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AutoPlanning\"/>
    </mc:Choice>
  </mc:AlternateContent>
  <xr:revisionPtr revIDLastSave="0" documentId="13_ncr:1_{E8DA093F-F53D-401C-8ECA-12C0C17E582A}" xr6:coauthVersionLast="47" xr6:coauthVersionMax="47" xr10:uidLastSave="{00000000-0000-0000-0000-000000000000}"/>
  <bookViews>
    <workbookView xWindow="-108" yWindow="-108" windowWidth="46296" windowHeight="25416" activeTab="9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DispoProf!$A$1:$Z$4735</definedName>
    <definedName name="_xleta.RAND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5" l="1" a="1"/>
  <c r="H3" i="5"/>
  <c r="H4" i="5" a="1"/>
  <c r="H4" i="5"/>
  <c r="H5" i="5" a="1"/>
  <c r="H5" i="5"/>
  <c r="H6" i="5" a="1"/>
  <c r="H6" i="5"/>
  <c r="H7" i="5" a="1"/>
  <c r="H7" i="5"/>
  <c r="H8" i="5" a="1"/>
  <c r="H8" i="5"/>
  <c r="H9" i="5" a="1"/>
  <c r="H9" i="5"/>
  <c r="H10" i="5" a="1"/>
  <c r="H10" i="5"/>
  <c r="H11" i="5" a="1"/>
  <c r="H11" i="5"/>
  <c r="H12" i="5" a="1"/>
  <c r="H12" i="5"/>
  <c r="H13" i="5" a="1"/>
  <c r="H13" i="5"/>
  <c r="H14" i="5" a="1"/>
  <c r="H14" i="5"/>
  <c r="H15" i="5" a="1"/>
  <c r="H15" i="5"/>
  <c r="H16" i="5" a="1"/>
  <c r="H16" i="5"/>
  <c r="H17" i="5" a="1"/>
  <c r="H17" i="5"/>
  <c r="H18" i="5" a="1"/>
  <c r="H18" i="5"/>
  <c r="H19" i="5" a="1"/>
  <c r="H19" i="5"/>
  <c r="H20" i="5" a="1"/>
  <c r="H20" i="5"/>
  <c r="H21" i="5" a="1"/>
  <c r="H21" i="5"/>
  <c r="H22" i="5" a="1"/>
  <c r="H22" i="5"/>
  <c r="H23" i="5" a="1"/>
  <c r="H23" i="5"/>
  <c r="H24" i="5" a="1"/>
  <c r="H24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2" i="5"/>
  <c r="A46" i="1"/>
  <c r="A47" i="1"/>
  <c r="A48" i="1"/>
  <c r="A49" i="1"/>
  <c r="A50" i="1"/>
  <c r="A51" i="1"/>
  <c r="A52" i="1"/>
  <c r="A53" i="1"/>
  <c r="A54" i="1"/>
  <c r="A55" i="1"/>
  <c r="A56" i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2" i="1"/>
  <c r="A43" i="1"/>
  <c r="A44" i="1"/>
  <c r="A45" i="1"/>
  <c r="B15" i="6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A10" i="1"/>
  <c r="A6" i="1"/>
  <c r="A7" i="1"/>
  <c r="A8" i="1"/>
  <c r="A9" i="1"/>
  <c r="A4" i="1"/>
  <c r="A5" i="1"/>
  <c r="A3" i="1"/>
  <c r="A2" i="1"/>
  <c r="B99" i="4" a="1"/>
  <c r="B243" i="4" a="1"/>
  <c r="B387" i="4" a="1"/>
  <c r="B28" i="4" a="1"/>
  <c r="B172" i="4" a="1"/>
  <c r="B23" i="4" a="1"/>
  <c r="B167" i="4" a="1"/>
  <c r="B48" i="4" a="1"/>
  <c r="B192" i="4" a="1"/>
  <c r="B336" i="4" a="1"/>
  <c r="B145" i="4" a="1"/>
  <c r="B56" i="4" a="1"/>
  <c r="B206" i="4" a="1"/>
  <c r="B542" i="4" a="1"/>
  <c r="B686" i="4" a="1"/>
  <c r="B486" i="4" a="1"/>
  <c r="B437" i="4" a="1"/>
  <c r="B574" i="4" a="1"/>
  <c r="B718" i="4" a="1"/>
  <c r="B254" i="4" a="1"/>
  <c r="B480" i="4" a="1"/>
  <c r="B641" i="4" a="1"/>
  <c r="B785" i="4" a="1"/>
  <c r="B316" i="4" a="1"/>
  <c r="B509" i="4" a="1"/>
  <c r="B951" i="4" a="1"/>
  <c r="B1095" i="4" a="1"/>
  <c r="B433" i="4" a="1"/>
  <c r="B814" i="4" a="1"/>
  <c r="B958" i="4" a="1"/>
  <c r="B681" i="4" a="1"/>
  <c r="B667" i="4" a="1"/>
  <c r="B917" i="4" a="1"/>
  <c r="B1061" i="4" a="1"/>
  <c r="B807" i="4" a="1"/>
  <c r="B654" i="4" a="1"/>
  <c r="B912" i="4" a="1"/>
  <c r="B1056" i="4" a="1"/>
  <c r="B716" i="4" a="1"/>
  <c r="B877" i="4" a="1"/>
  <c r="B1021" i="4" a="1"/>
  <c r="B818" i="4" a="1"/>
  <c r="B1040" i="4" a="1"/>
  <c r="B1283" i="4" a="1"/>
  <c r="B1072" i="4" a="1"/>
  <c r="B1188" i="4" a="1"/>
  <c r="B1332" i="4" a="1"/>
  <c r="B1476" i="4" a="1"/>
  <c r="B834" i="4" a="1"/>
  <c r="B1255" i="4" a="1"/>
  <c r="B835" i="4" a="1"/>
  <c r="B1244" i="4" a="1"/>
  <c r="B1388" i="4" a="1"/>
  <c r="B105" i="4" a="1"/>
  <c r="B249" i="4" a="1"/>
  <c r="B393" i="4" a="1"/>
  <c r="B34" i="4" a="1"/>
  <c r="B178" i="4" a="1"/>
  <c r="B29" i="4" a="1"/>
  <c r="B173" i="4" a="1"/>
  <c r="B54" i="4" a="1"/>
  <c r="B198" i="4" a="1"/>
  <c r="B7" i="4" a="1"/>
  <c r="B151" i="4" a="1"/>
  <c r="B62" i="4" a="1"/>
  <c r="B241" i="4" a="1"/>
  <c r="B548" i="4" a="1"/>
  <c r="B269" i="4" a="1"/>
  <c r="B505" i="4" a="1"/>
  <c r="B448" i="4" a="1"/>
  <c r="B580" i="4" a="1"/>
  <c r="B724" i="4" a="1"/>
  <c r="B325" i="4" a="1"/>
  <c r="B499" i="4" a="1"/>
  <c r="B647" i="4" a="1"/>
  <c r="B791" i="4" a="1"/>
  <c r="B389" i="4" a="1"/>
  <c r="B534" i="4" a="1"/>
  <c r="B957" i="4" a="1"/>
  <c r="B1101" i="4" a="1"/>
  <c r="B473" i="4" a="1"/>
  <c r="B859" i="4" a="1"/>
  <c r="B964" i="4" a="1"/>
  <c r="B798" i="4" a="1"/>
  <c r="B696" i="4" a="1"/>
  <c r="B923" i="4" a="1"/>
  <c r="B1067" i="4" a="1"/>
  <c r="B823" i="4" a="1"/>
  <c r="B697" i="4" a="1"/>
  <c r="B918" i="4" a="1"/>
  <c r="B1062" i="4" a="1"/>
  <c r="B733" i="4" a="1"/>
  <c r="B883" i="4" a="1"/>
  <c r="B1027" i="4" a="1"/>
  <c r="B826" i="4" a="1"/>
  <c r="B1104" i="4" a="1"/>
  <c r="B1289" i="4" a="1"/>
  <c r="B1140" i="4" a="1"/>
  <c r="B1194" i="4" a="1"/>
  <c r="B1338" i="4" a="1"/>
  <c r="B1482" i="4" a="1"/>
  <c r="B1076" i="4" a="1"/>
  <c r="B1261" i="4" a="1"/>
  <c r="B902" i="4" a="1"/>
  <c r="B1250" i="4" a="1"/>
  <c r="B1394" i="4" a="1"/>
  <c r="B908" i="4" a="1"/>
  <c r="B1264" i="4" a="1"/>
  <c r="B1574" i="4" a="1"/>
  <c r="B1718" i="4" a="1"/>
  <c r="B811" i="4" a="1"/>
  <c r="B1475" i="4" a="1"/>
  <c r="B1108" i="4" a="1"/>
  <c r="B1558" i="4" a="1"/>
  <c r="B678" i="4" a="1"/>
  <c r="B1535" i="4" a="1"/>
  <c r="B884" i="4" a="1"/>
  <c r="B1489" i="4" a="1"/>
  <c r="B1483" i="4" a="1"/>
  <c r="B1777" i="4" a="1"/>
  <c r="B1834" i="4" a="1"/>
  <c r="B1578" i="4" a="1"/>
  <c r="B1902" i="4" a="1"/>
  <c r="B2046" i="4" a="1"/>
  <c r="B1644" i="4" a="1"/>
  <c r="B1653" i="4" a="1"/>
  <c r="B1722" i="4" a="1"/>
  <c r="B1655" i="4" a="1"/>
  <c r="B1698" i="4" a="1"/>
  <c r="B1913" i="4" a="1"/>
  <c r="B2035" i="4" a="1"/>
  <c r="B2218" i="4" a="1"/>
  <c r="B1848" i="4" a="1"/>
  <c r="B1631" i="4" a="1"/>
  <c r="B2147" i="4" a="1"/>
  <c r="B2291" i="4" a="1"/>
  <c r="B1889" i="4" a="1"/>
  <c r="B1881" i="4" a="1"/>
  <c r="B2190" i="4" a="1"/>
  <c r="B2334" i="4" a="1"/>
  <c r="B1988" i="4" a="1"/>
  <c r="B2087" i="4" a="1"/>
  <c r="B2245" i="4" a="1"/>
  <c r="B1733" i="4" a="1"/>
  <c r="B1893" i="4" a="1"/>
  <c r="B2210" i="4" a="1"/>
  <c r="B1840" i="4" a="1"/>
  <c r="B1904" i="4" a="1"/>
  <c r="B2193" i="4" a="1"/>
  <c r="B2337" i="4" a="1"/>
  <c r="B3" i="5" a="1"/>
  <c r="N24" i="5" a="1"/>
  <c r="N60" i="5" a="1"/>
  <c r="N96" i="5" a="1"/>
  <c r="E15" i="5" a="1"/>
  <c r="E51" i="5" a="1"/>
  <c r="E87" i="5" a="1"/>
  <c r="M21" i="5" a="1"/>
  <c r="M57" i="5" a="1"/>
  <c r="B24" i="5" a="1"/>
  <c r="J29" i="5" a="1"/>
  <c r="J65" i="5" a="1"/>
  <c r="J101" i="5" a="1"/>
  <c r="J16" i="5" a="1"/>
  <c r="J52" i="5" a="1"/>
  <c r="J88" i="5" a="1"/>
  <c r="K4" i="5" a="1"/>
  <c r="K40" i="5" a="1"/>
  <c r="K76" i="5" a="1"/>
  <c r="B45" i="5" a="1"/>
  <c r="M29" i="5" a="1"/>
  <c r="M65" i="5" a="1"/>
  <c r="B92" i="5" a="1"/>
  <c r="K38" i="5" a="1"/>
  <c r="K74" i="5" a="1"/>
  <c r="I11" i="5" a="1"/>
  <c r="I47" i="5" a="1"/>
  <c r="N38" i="5" a="1"/>
  <c r="N129" i="5" a="1"/>
  <c r="N165" i="5" a="1"/>
  <c r="B111" i="4" a="1"/>
  <c r="B117" i="4" a="1"/>
  <c r="B261" i="4" a="1"/>
  <c r="B405" i="4" a="1"/>
  <c r="B46" i="4" a="1"/>
  <c r="B190" i="4" a="1"/>
  <c r="B41" i="4" a="1"/>
  <c r="B185" i="4" a="1"/>
  <c r="B66" i="4" a="1"/>
  <c r="B210" i="4" a="1"/>
  <c r="B19" i="4" a="1"/>
  <c r="B163" i="4" a="1"/>
  <c r="B74" i="4" a="1"/>
  <c r="B305" i="4" a="1"/>
  <c r="B560" i="4" a="1"/>
  <c r="B320" i="4" a="1"/>
  <c r="B272" i="4" a="1"/>
  <c r="B506" i="4" a="1"/>
  <c r="B592" i="4" a="1"/>
  <c r="B736" i="4" a="1"/>
  <c r="B356" i="4" a="1"/>
  <c r="B515" i="4" a="1"/>
  <c r="B659" i="4" a="1"/>
  <c r="B803" i="4" a="1"/>
  <c r="B461" i="4" a="1"/>
  <c r="B582" i="4" a="1"/>
  <c r="B969" i="4" a="1"/>
  <c r="B1113" i="4" a="1"/>
  <c r="B559" i="4" a="1"/>
  <c r="B392" i="4" a="1"/>
  <c r="B976" i="4" a="1"/>
  <c r="B822" i="4" a="1"/>
  <c r="B722" i="4" a="1"/>
  <c r="B935" i="4" a="1"/>
  <c r="B1079" i="4" a="1"/>
  <c r="B869" i="4" a="1"/>
  <c r="B723" i="4" a="1"/>
  <c r="B930" i="4" a="1"/>
  <c r="B1074" i="4" a="1"/>
  <c r="B817" i="4" a="1"/>
  <c r="B895" i="4" a="1"/>
  <c r="B1039" i="4" a="1"/>
  <c r="B266" i="4" a="1"/>
  <c r="B1156" i="4" a="1"/>
  <c r="B1301" i="4" a="1"/>
  <c r="B329" i="4" a="1"/>
  <c r="B1206" i="4" a="1"/>
  <c r="B1350" i="4" a="1"/>
  <c r="B1494" i="4" a="1"/>
  <c r="B1116" i="4" a="1"/>
  <c r="B1273" i="4" a="1"/>
  <c r="B1117" i="4" a="1"/>
  <c r="B1262" i="4" a="1"/>
  <c r="B1406" i="4" a="1"/>
  <c r="B123" i="4" a="1"/>
  <c r="B267" i="4" a="1"/>
  <c r="B411" i="4" a="1"/>
  <c r="B52" i="4" a="1"/>
  <c r="B196" i="4" a="1"/>
  <c r="B47" i="4" a="1"/>
  <c r="B191" i="4" a="1"/>
  <c r="B72" i="4" a="1"/>
  <c r="B216" i="4" a="1"/>
  <c r="B25" i="4" a="1"/>
  <c r="B169" i="4" a="1"/>
  <c r="B80" i="4" a="1"/>
  <c r="B331" i="4" a="1"/>
  <c r="B566" i="4" a="1"/>
  <c r="B383" i="4" a="1"/>
  <c r="B322" i="4" a="1"/>
  <c r="B275" i="4" a="1"/>
  <c r="B598" i="4" a="1"/>
  <c r="B742" i="4" a="1"/>
  <c r="B367" i="4" a="1"/>
  <c r="B521" i="4" a="1"/>
  <c r="B665" i="4" a="1"/>
  <c r="B809" i="4" a="1"/>
  <c r="B481" i="4" a="1"/>
  <c r="B606" i="4" a="1"/>
  <c r="B975" i="4" a="1"/>
  <c r="B1119" i="4" a="1"/>
  <c r="B583" i="4" a="1"/>
  <c r="B666" i="4" a="1"/>
  <c r="B982" i="4" a="1"/>
  <c r="B845" i="4" a="1"/>
  <c r="B739" i="4" a="1"/>
  <c r="B941" i="4" a="1"/>
  <c r="B1085" i="4" a="1"/>
  <c r="B200" i="4" a="1"/>
  <c r="B831" i="4" a="1"/>
  <c r="B936" i="4" a="1"/>
  <c r="B1080" i="4" a="1"/>
  <c r="B840" i="4" a="1"/>
  <c r="B901" i="4" a="1"/>
  <c r="B1045" i="4" a="1"/>
  <c r="B464" i="4" a="1"/>
  <c r="B265" i="4" a="1"/>
  <c r="B1307" i="4" a="1"/>
  <c r="B864" i="4" a="1"/>
  <c r="B1212" i="4" a="1"/>
  <c r="B1356" i="4" a="1"/>
  <c r="B1500" i="4" a="1"/>
  <c r="B1142" i="4" a="1"/>
  <c r="B1279" i="4" a="1"/>
  <c r="B1160" i="4" a="1"/>
  <c r="B1268" i="4" a="1"/>
  <c r="B1412" i="4" a="1"/>
  <c r="B129" i="4" a="1"/>
  <c r="B273" i="4" a="1"/>
  <c r="B417" i="4" a="1"/>
  <c r="B58" i="4" a="1"/>
  <c r="B202" i="4" a="1"/>
  <c r="B53" i="4" a="1"/>
  <c r="B197" i="4" a="1"/>
  <c r="B78" i="4" a="1"/>
  <c r="B222" i="4" a="1"/>
  <c r="B31" i="4" a="1"/>
  <c r="B175" i="4" a="1"/>
  <c r="B86" i="4" a="1"/>
  <c r="B341" i="4" a="1"/>
  <c r="B572" i="4" a="1"/>
  <c r="B394" i="4" a="1"/>
  <c r="B354" i="4" a="1"/>
  <c r="B296" i="4" a="1"/>
  <c r="B604" i="4" a="1"/>
  <c r="B748" i="4" a="1"/>
  <c r="B408" i="4" a="1"/>
  <c r="B527" i="4" a="1"/>
  <c r="B671" i="4" a="1"/>
  <c r="B347" i="4" a="1"/>
  <c r="B302" i="4" a="1"/>
  <c r="B720" i="4" a="1"/>
  <c r="B981" i="4" a="1"/>
  <c r="B1125" i="4" a="1"/>
  <c r="B607" i="4" a="1"/>
  <c r="B704" i="4" a="1"/>
  <c r="B988" i="4" a="1"/>
  <c r="B867" i="4" a="1"/>
  <c r="B747" i="4" a="1"/>
  <c r="B947" i="4" a="1"/>
  <c r="B1091" i="4" a="1"/>
  <c r="B403" i="4" a="1"/>
  <c r="B854" i="4" a="1"/>
  <c r="B942" i="4" a="1"/>
  <c r="B1086" i="4" a="1"/>
  <c r="B863" i="4" a="1"/>
  <c r="B907" i="4" a="1"/>
  <c r="B1051" i="4" a="1"/>
  <c r="B625" i="4" a="1"/>
  <c r="B890" i="4" a="1"/>
  <c r="B1313" i="4" a="1"/>
  <c r="B1058" i="4" a="1"/>
  <c r="B1218" i="4" a="1"/>
  <c r="B1362" i="4" a="1"/>
  <c r="B1506" i="4" a="1"/>
  <c r="B1159" i="4" a="1"/>
  <c r="B1285" i="4" a="1"/>
  <c r="B1168" i="4" a="1"/>
  <c r="B1274" i="4" a="1"/>
  <c r="B1418" i="4" a="1"/>
  <c r="B135" i="4" a="1"/>
  <c r="B279" i="4" a="1"/>
  <c r="B423" i="4" a="1"/>
  <c r="B64" i="4" a="1"/>
  <c r="B208" i="4" a="1"/>
  <c r="B59" i="4" a="1"/>
  <c r="B203" i="4" a="1"/>
  <c r="B84" i="4" a="1"/>
  <c r="B228" i="4" a="1"/>
  <c r="B37" i="4" a="1"/>
  <c r="B181" i="4" a="1"/>
  <c r="B92" i="4" a="1"/>
  <c r="B352" i="4" a="1"/>
  <c r="B578" i="4" a="1"/>
  <c r="B455" i="4" a="1"/>
  <c r="B248" i="4" a="1"/>
  <c r="B311" i="4" a="1"/>
  <c r="B610" i="4" a="1"/>
  <c r="B754" i="4" a="1"/>
  <c r="B428" i="4" a="1"/>
  <c r="B533" i="4" a="1"/>
  <c r="B677" i="4" a="1"/>
  <c r="B358" i="4" a="1"/>
  <c r="B328" i="4" a="1"/>
  <c r="B728" i="4" a="1"/>
  <c r="B987" i="4" a="1"/>
  <c r="B1131" i="4" a="1"/>
  <c r="B679" i="4" a="1"/>
  <c r="B721" i="4" a="1"/>
  <c r="B994" i="4" a="1"/>
  <c r="B516" i="4" a="1"/>
  <c r="B830" i="4" a="1"/>
  <c r="B953" i="4" a="1"/>
  <c r="B1097" i="4" a="1"/>
  <c r="B444" i="4" a="1"/>
  <c r="B862" i="4" a="1"/>
  <c r="B948" i="4" a="1"/>
  <c r="B319" i="4" a="1"/>
  <c r="B236" i="4" a="1"/>
  <c r="B913" i="4" a="1"/>
  <c r="B1057" i="4" a="1"/>
  <c r="B643" i="4" a="1"/>
  <c r="B1148" i="4" a="1"/>
  <c r="B1319" i="4" a="1"/>
  <c r="B1087" i="4" a="1"/>
  <c r="B1224" i="4" a="1"/>
  <c r="B1368" i="4" a="1"/>
  <c r="B1512" i="4" a="1"/>
  <c r="B553" i="4" a="1"/>
  <c r="B1291" i="4" a="1"/>
  <c r="B1176" i="4" a="1"/>
  <c r="B1280" i="4" a="1"/>
  <c r="B141" i="4" a="1"/>
  <c r="B285" i="4" a="1"/>
  <c r="B429" i="4" a="1"/>
  <c r="B70" i="4" a="1"/>
  <c r="B214" i="4" a="1"/>
  <c r="B65" i="4" a="1"/>
  <c r="B209" i="4" a="1"/>
  <c r="B90" i="4" a="1"/>
  <c r="B234" i="4" a="1"/>
  <c r="B43" i="4" a="1"/>
  <c r="B187" i="4" a="1"/>
  <c r="B98" i="4" a="1"/>
  <c r="B413" i="4" a="1"/>
  <c r="B584" i="4" a="1"/>
  <c r="B466" i="4" a="1"/>
  <c r="B293" i="4" a="1"/>
  <c r="B323" i="4" a="1"/>
  <c r="B616" i="4" a="1"/>
  <c r="B760" i="4" a="1"/>
  <c r="B439" i="4" a="1"/>
  <c r="B539" i="4" a="1"/>
  <c r="B683" i="4" a="1"/>
  <c r="B419" i="4" a="1"/>
  <c r="B359" i="4" a="1"/>
  <c r="B745" i="4" a="1"/>
  <c r="B993" i="4" a="1"/>
  <c r="B1137" i="4" a="1"/>
  <c r="B692" i="4" a="1"/>
  <c r="B729" i="4" a="1"/>
  <c r="B1000" i="4" a="1"/>
  <c r="B540" i="4" a="1"/>
  <c r="B838" i="4" a="1"/>
  <c r="B959" i="4" a="1"/>
  <c r="B1103" i="4" a="1"/>
  <c r="B484" i="4" a="1"/>
  <c r="B410" i="4" a="1"/>
  <c r="B954" i="4" a="1"/>
  <c r="B412" i="4" a="1"/>
  <c r="B371" i="4" a="1"/>
  <c r="B919" i="4" a="1"/>
  <c r="B1063" i="4" a="1"/>
  <c r="B661" i="4" a="1"/>
  <c r="B1181" i="4" a="1"/>
  <c r="B1325" i="4" a="1"/>
  <c r="B1105" i="4" a="1"/>
  <c r="B1230" i="4" a="1"/>
  <c r="B1374" i="4" a="1"/>
  <c r="B1518" i="4" a="1"/>
  <c r="B660" i="4" a="1"/>
  <c r="B1297" i="4" a="1"/>
  <c r="B576" i="4" a="1"/>
  <c r="B1286" i="4" a="1"/>
  <c r="B3" i="4" a="1"/>
  <c r="B147" i="4" a="1"/>
  <c r="B291" i="4" a="1"/>
  <c r="B435" i="4" a="1"/>
  <c r="B76" i="4" a="1"/>
  <c r="B220" i="4" a="1"/>
  <c r="B71" i="4" a="1"/>
  <c r="B215" i="4" a="1"/>
  <c r="B96" i="4" a="1"/>
  <c r="B240" i="4" a="1"/>
  <c r="B49" i="4" a="1"/>
  <c r="B193" i="4" a="1"/>
  <c r="B104" i="4" a="1"/>
  <c r="B424" i="4" a="1"/>
  <c r="B590" i="4" a="1"/>
  <c r="B494" i="4" a="1"/>
  <c r="B310" i="4" a="1"/>
  <c r="B366" i="4" a="1"/>
  <c r="B622" i="4" a="1"/>
  <c r="B766" i="4" a="1"/>
  <c r="B488" i="4" a="1"/>
  <c r="B545" i="4" a="1"/>
  <c r="B689" i="4" a="1"/>
  <c r="B430" i="4" a="1"/>
  <c r="B370" i="4" a="1"/>
  <c r="B753" i="4" a="1"/>
  <c r="B999" i="4" a="1"/>
  <c r="B1143" i="4" a="1"/>
  <c r="B780" i="4" a="1"/>
  <c r="B829" i="4" a="1"/>
  <c r="B1006" i="4" a="1"/>
  <c r="B564" i="4" a="1"/>
  <c r="B361" i="4" a="1"/>
  <c r="B965" i="4" a="1"/>
  <c r="B1109" i="4" a="1"/>
  <c r="B669" i="4" a="1"/>
  <c r="B522" i="4" a="1"/>
  <c r="B960" i="4" a="1"/>
  <c r="B672" i="4" a="1"/>
  <c r="B454" i="4" a="1"/>
  <c r="B925" i="4" a="1"/>
  <c r="B1069" i="4" a="1"/>
  <c r="B804" i="4" a="1"/>
  <c r="B1187" i="4" a="1"/>
  <c r="B1331" i="4" a="1"/>
  <c r="B1123" i="4" a="1"/>
  <c r="B1236" i="4" a="1"/>
  <c r="B1380" i="4" a="1"/>
  <c r="B340" i="4" a="1"/>
  <c r="B717" i="4" a="1"/>
  <c r="B1303" i="4" a="1"/>
  <c r="B841" i="4" a="1"/>
  <c r="B1292" i="4" a="1"/>
  <c r="B577" i="4" a="1"/>
  <c r="B500" i="4" a="1"/>
  <c r="B1306" i="4" a="1"/>
  <c r="B1616" i="4" a="1"/>
  <c r="B1760" i="4" a="1"/>
  <c r="B1245" i="4" a="1"/>
  <c r="B1539" i="4" a="1"/>
  <c r="B849" i="4" a="1"/>
  <c r="B1600" i="4" a="1"/>
  <c r="B1433" i="4" a="1"/>
  <c r="B1577" i="4" a="1"/>
  <c r="B1402" i="4" a="1"/>
  <c r="B1403" i="4" a="1"/>
  <c r="B1809" i="4" a="1"/>
  <c r="B1735" i="4" a="1"/>
  <c r="B1787" i="4" a="1"/>
  <c r="B1711" i="4" a="1"/>
  <c r="B1944" i="4" a="1"/>
  <c r="B2088" i="4" a="1"/>
  <c r="B1828" i="4" a="1"/>
  <c r="B1879" i="4" a="1"/>
  <c r="B1837" i="4" a="1"/>
  <c r="B1369" i="4" a="1"/>
  <c r="B1508" i="4" a="1"/>
  <c r="B2050" i="4" a="1"/>
  <c r="B2113" i="4" a="1"/>
  <c r="B2260" i="4" a="1"/>
  <c r="B1584" i="4" a="1"/>
  <c r="B1916" i="4" a="1"/>
  <c r="B2189" i="4" a="1"/>
  <c r="B2333" i="4" a="1"/>
  <c r="B2069" i="4" a="1"/>
  <c r="B1995" i="4" a="1"/>
  <c r="B2232" i="4" a="1"/>
  <c r="B1978" i="4" a="1"/>
  <c r="B1647" i="4" a="1"/>
  <c r="B2143" i="4" a="1"/>
  <c r="B2287" i="4" a="1"/>
  <c r="B1937" i="4" a="1"/>
  <c r="B2096" i="4" a="1"/>
  <c r="B2252" i="4" a="1"/>
  <c r="B1999" i="4" a="1"/>
  <c r="B2042" i="4" a="1"/>
  <c r="B2235" i="4" a="1"/>
  <c r="B2015" i="4" a="1"/>
  <c r="B87" i="5" a="1"/>
  <c r="M35" i="5" a="1"/>
  <c r="M71" i="5" a="1"/>
  <c r="M107" i="5" a="1"/>
  <c r="N23" i="5" a="1"/>
  <c r="N59" i="5" a="1"/>
  <c r="B49" i="5" a="1"/>
  <c r="L32" i="5" a="1"/>
  <c r="L68" i="5" a="1"/>
  <c r="I4" i="5" a="1"/>
  <c r="I40" i="5" a="1"/>
  <c r="I76" i="5" a="1"/>
  <c r="B23" i="5" a="1"/>
  <c r="I27" i="5" a="1"/>
  <c r="I63" i="5" a="1"/>
  <c r="I99" i="5" a="1"/>
  <c r="J15" i="5" a="1"/>
  <c r="J51" i="5" a="1"/>
  <c r="J87" i="5" a="1"/>
  <c r="L4" i="5" a="1"/>
  <c r="L40" i="5" a="1"/>
  <c r="L76" i="5" a="1"/>
  <c r="J13" i="5" a="1"/>
  <c r="J49" i="5" a="1"/>
  <c r="J85" i="5" a="1"/>
  <c r="H58" i="5" a="1"/>
  <c r="E101" i="5" a="1"/>
  <c r="M140" i="5" a="1"/>
  <c r="B9" i="4" a="1"/>
  <c r="B153" i="4" a="1"/>
  <c r="B297" i="4" a="1"/>
  <c r="B441" i="4" a="1"/>
  <c r="B82" i="4" a="1"/>
  <c r="B226" i="4" a="1"/>
  <c r="B77" i="4" a="1"/>
  <c r="B221" i="4" a="1"/>
  <c r="B102" i="4" a="1"/>
  <c r="B246" i="4" a="1"/>
  <c r="B55" i="4" a="1"/>
  <c r="B199" i="4" a="1"/>
  <c r="B110" i="4" a="1"/>
  <c r="B503" i="4" a="1"/>
  <c r="B596" i="4" a="1"/>
  <c r="B512" i="4" a="1"/>
  <c r="B395" i="4" a="1"/>
  <c r="B386" i="4" a="1"/>
  <c r="B628" i="4" a="1"/>
  <c r="B772" i="4" a="1"/>
  <c r="B507" i="4" a="1"/>
  <c r="B551" i="4" a="1"/>
  <c r="B695" i="4" a="1"/>
  <c r="B470" i="4" a="1"/>
  <c r="B431" i="4" a="1"/>
  <c r="B828" i="4" a="1"/>
  <c r="B1005" i="4" a="1"/>
  <c r="B1149" i="4" a="1"/>
  <c r="B788" i="4" a="1"/>
  <c r="B852" i="4" a="1"/>
  <c r="B1012" i="4" a="1"/>
  <c r="B588" i="4" a="1"/>
  <c r="B402" i="4" a="1"/>
  <c r="B971" i="4" a="1"/>
  <c r="B1115" i="4" a="1"/>
  <c r="B732" i="4" a="1"/>
  <c r="B546" i="4" a="1"/>
  <c r="B966" i="4" a="1"/>
  <c r="B750" i="4" a="1"/>
  <c r="B493" i="4" a="1"/>
  <c r="B931" i="4" a="1"/>
  <c r="B1075" i="4" a="1"/>
  <c r="B812" i="4" a="1"/>
  <c r="B1193" i="4" a="1"/>
  <c r="B1337" i="4" a="1"/>
  <c r="B529" i="4" a="1"/>
  <c r="B1242" i="4" a="1"/>
  <c r="B1386" i="4" a="1"/>
  <c r="B531" i="4" a="1"/>
  <c r="B974" i="4" a="1"/>
  <c r="B1309" i="4" a="1"/>
  <c r="B932" i="4" a="1"/>
  <c r="B1298" i="4" a="1"/>
  <c r="B15" i="4" a="1"/>
  <c r="B159" i="4" a="1"/>
  <c r="B303" i="4" a="1"/>
  <c r="B447" i="4" a="1"/>
  <c r="B88" i="4" a="1"/>
  <c r="B232" i="4" a="1"/>
  <c r="B83" i="4" a="1"/>
  <c r="B227" i="4" a="1"/>
  <c r="B108" i="4" a="1"/>
  <c r="B252" i="4" a="1"/>
  <c r="B61" i="4" a="1"/>
  <c r="B205" i="4" a="1"/>
  <c r="B116" i="4" a="1"/>
  <c r="B242" i="4" a="1"/>
  <c r="B602" i="4" a="1"/>
  <c r="B271" i="4" a="1"/>
  <c r="B406" i="4" a="1"/>
  <c r="B397" i="4" a="1"/>
  <c r="B634" i="4" a="1"/>
  <c r="B778" i="4" a="1"/>
  <c r="B224" i="4" a="1"/>
  <c r="B557" i="4" a="1"/>
  <c r="B701" i="4" a="1"/>
  <c r="B490" i="4" a="1"/>
  <c r="B442" i="4" a="1"/>
  <c r="B851" i="4" a="1"/>
  <c r="B1011" i="4" a="1"/>
  <c r="B1155" i="4" a="1"/>
  <c r="B805" i="4" a="1"/>
  <c r="B874" i="4" a="1"/>
  <c r="B1018" i="4" a="1"/>
  <c r="B612" i="4" a="1"/>
  <c r="B517" i="4" a="1"/>
  <c r="B977" i="4" a="1"/>
  <c r="B1121" i="4" a="1"/>
  <c r="B740" i="4" a="1"/>
  <c r="B570" i="4" a="1"/>
  <c r="B972" i="4" a="1"/>
  <c r="B758" i="4" a="1"/>
  <c r="B687" i="4" a="1"/>
  <c r="B937" i="4" a="1"/>
  <c r="B374" i="4" a="1"/>
  <c r="B820" i="4" a="1"/>
  <c r="B1199" i="4" a="1"/>
  <c r="B1343" i="4" a="1"/>
  <c r="B642" i="4" a="1"/>
  <c r="B1248" i="4" a="1"/>
  <c r="B1392" i="4" a="1"/>
  <c r="B896" i="4" a="1"/>
  <c r="B1046" i="4" a="1"/>
  <c r="B1315" i="4" a="1"/>
  <c r="B956" i="4" a="1"/>
  <c r="B1304" i="4" a="1"/>
  <c r="B762" i="4" a="1"/>
  <c r="B914" i="4" a="1"/>
  <c r="B777" i="4" a="1"/>
  <c r="B1628" i="4" a="1"/>
  <c r="B1772" i="4" a="1"/>
  <c r="B1354" i="4" a="1"/>
  <c r="B1551" i="4" a="1"/>
  <c r="B1203" i="4" a="1"/>
  <c r="B1612" i="4" a="1"/>
  <c r="B1469" i="4" a="1"/>
  <c r="B1589" i="4" a="1"/>
  <c r="B727" i="4" a="1"/>
  <c r="B1530" i="4" a="1"/>
  <c r="B1833" i="4" a="1"/>
  <c r="B1818" i="4" a="1"/>
  <c r="B1835" i="4" a="1"/>
  <c r="B1803" i="4" a="1"/>
  <c r="B1956" i="4" a="1"/>
  <c r="B1524" i="4" a="1"/>
  <c r="B1353" i="4" a="1"/>
  <c r="B1891" i="4" a="1"/>
  <c r="B1861" i="4" a="1"/>
  <c r="B1507" i="4" a="1"/>
  <c r="B1732" i="4" a="1"/>
  <c r="B2105" i="4" a="1"/>
  <c r="B2127" i="4" a="1"/>
  <c r="B2272" i="4" a="1"/>
  <c r="B1673" i="4" a="1"/>
  <c r="B1934" i="4" a="1"/>
  <c r="B2201" i="4" a="1"/>
  <c r="B1536" i="4" a="1"/>
  <c r="B2093" i="4" a="1"/>
  <c r="B2054" i="4" a="1"/>
  <c r="B2244" i="4" a="1"/>
  <c r="B1393" i="4" a="1"/>
  <c r="B1874" i="4" a="1"/>
  <c r="B2155" i="4" a="1"/>
  <c r="B2299" i="4" a="1"/>
  <c r="B2006" i="4" a="1"/>
  <c r="B2110" i="4" a="1"/>
  <c r="B2264" i="4" a="1"/>
  <c r="B2032" i="4" a="1"/>
  <c r="B2090" i="4" a="1"/>
  <c r="B2247" i="4" a="1"/>
  <c r="B2041" i="4" a="1"/>
  <c r="E4" i="5" a="1"/>
  <c r="E40" i="5" a="1"/>
  <c r="E76" i="5" a="1"/>
  <c r="B14" i="5" a="1"/>
  <c r="H29" i="5" a="1"/>
  <c r="H65" i="5" a="1"/>
  <c r="B73" i="5" a="1"/>
  <c r="N34" i="5" a="1"/>
  <c r="N70" i="5" a="1"/>
  <c r="K6" i="5" a="1"/>
  <c r="K42" i="5" a="1"/>
  <c r="K78" i="5" a="1"/>
  <c r="B47" i="5" a="1"/>
  <c r="K29" i="5" a="1"/>
  <c r="K65" i="5" a="1"/>
  <c r="K101" i="5" a="1"/>
  <c r="L17" i="5" a="1"/>
  <c r="L53" i="5" a="1"/>
  <c r="L89" i="5" a="1"/>
  <c r="N6" i="5" a="1"/>
  <c r="N42" i="5" a="1"/>
  <c r="N78" i="5" a="1"/>
  <c r="L15" i="5" a="1"/>
  <c r="L51" i="5" a="1"/>
  <c r="L87" i="5" a="1"/>
  <c r="J24" i="5" a="1"/>
  <c r="J60" i="5" a="1"/>
  <c r="K107" i="5" a="1"/>
  <c r="E145" i="5" a="1"/>
  <c r="B21" i="4" a="1"/>
  <c r="B165" i="4" a="1"/>
  <c r="B309" i="4" a="1"/>
  <c r="B453" i="4" a="1"/>
  <c r="B94" i="4" a="1"/>
  <c r="B238" i="4" a="1"/>
  <c r="B89" i="4" a="1"/>
  <c r="B233" i="4" a="1"/>
  <c r="B114" i="4" a="1"/>
  <c r="B258" i="4" a="1"/>
  <c r="B67" i="4" a="1"/>
  <c r="B211" i="4" a="1"/>
  <c r="B122" i="4" a="1"/>
  <c r="B307" i="4" a="1"/>
  <c r="B608" i="4" a="1"/>
  <c r="B308" i="4" a="1"/>
  <c r="B467" i="4" a="1"/>
  <c r="B438" i="4" a="1"/>
  <c r="B640" i="4" a="1"/>
  <c r="B784" i="4" a="1"/>
  <c r="B278" i="4" a="1"/>
  <c r="B563" i="4" a="1"/>
  <c r="B707" i="4" a="1"/>
  <c r="B259" i="4" a="1"/>
  <c r="B491" i="4" a="1"/>
  <c r="B873" i="4" a="1"/>
  <c r="B1017" i="4" a="1"/>
  <c r="B1161" i="4" a="1"/>
  <c r="B813" i="4" a="1"/>
  <c r="B880" i="4" a="1"/>
  <c r="B1024" i="4" a="1"/>
  <c r="B631" i="4" a="1"/>
  <c r="B541" i="4" a="1"/>
  <c r="B983" i="4" a="1"/>
  <c r="B1127" i="4" a="1"/>
  <c r="B757" i="4" a="1"/>
  <c r="B594" i="4" a="1"/>
  <c r="B978" i="4" a="1"/>
  <c r="B775" i="4" a="1"/>
  <c r="B810" i="4" a="1"/>
  <c r="B943" i="4" a="1"/>
  <c r="B457" i="4" a="1"/>
  <c r="B865" i="4" a="1"/>
  <c r="B1205" i="4" a="1"/>
  <c r="B1349" i="4" a="1"/>
  <c r="B709" i="4" a="1"/>
  <c r="B1254" i="4" a="1"/>
  <c r="B1398" i="4" a="1"/>
  <c r="B1088" i="4" a="1"/>
  <c r="B1134" i="4" a="1"/>
  <c r="B1321" i="4" a="1"/>
  <c r="B1064" i="4" a="1"/>
  <c r="B1310" i="4" a="1"/>
  <c r="B1100" i="4" a="1"/>
  <c r="B1138" i="4" a="1"/>
  <c r="B1094" i="4" a="1"/>
  <c r="B1634" i="4" a="1"/>
  <c r="B1778" i="4" a="1"/>
  <c r="B1371" i="4" a="1"/>
  <c r="B600" i="4" a="1"/>
  <c r="B1227" i="4" a="1"/>
  <c r="B1618" i="4" a="1"/>
  <c r="B1486" i="4" a="1"/>
  <c r="B1595" i="4" a="1"/>
  <c r="B1154" i="4" a="1"/>
  <c r="B769" i="4" a="1"/>
  <c r="B1849" i="4" a="1"/>
  <c r="B1842" i="4" a="1"/>
  <c r="B1335" i="4" a="1"/>
  <c r="B1336" i="4" a="1"/>
  <c r="B1962" i="4" a="1"/>
  <c r="B1720" i="4" a="1"/>
  <c r="B1465" i="4" a="1"/>
  <c r="B1897" i="4" a="1"/>
  <c r="B1090" i="4" a="1"/>
  <c r="B1531" i="4" a="1"/>
  <c r="B1445" i="4" a="1"/>
  <c r="B2112" i="4" a="1"/>
  <c r="B2134" i="4" a="1"/>
  <c r="B2278" i="4" a="1"/>
  <c r="B1709" i="4" a="1"/>
  <c r="B1942" i="4" a="1"/>
  <c r="B2207" i="4" a="1"/>
  <c r="B1750" i="4" a="1"/>
  <c r="B2100" i="4" a="1"/>
  <c r="B2078" i="4" a="1"/>
  <c r="B2250" i="4" a="1"/>
  <c r="B1554" i="4" a="1"/>
  <c r="B1882" i="4" a="1"/>
  <c r="B2161" i="4" a="1"/>
  <c r="B2305" i="4" a="1"/>
  <c r="B2023" i="4" a="1"/>
  <c r="B2125" i="4" a="1"/>
  <c r="B2270" i="4" a="1"/>
  <c r="B2049" i="4" a="1"/>
  <c r="B2097" i="4" a="1"/>
  <c r="B2253" i="4" a="1"/>
  <c r="B1767" i="4" a="1"/>
  <c r="H42" i="5" a="1"/>
  <c r="H78" i="5" a="1"/>
  <c r="B26" i="5" a="1"/>
  <c r="I30" i="5" a="1"/>
  <c r="I66" i="5" a="1"/>
  <c r="B85" i="5" a="1"/>
  <c r="E38" i="5" a="1"/>
  <c r="E74" i="5" a="1"/>
  <c r="L7" i="5" a="1"/>
  <c r="L43" i="5" a="1"/>
  <c r="L79" i="5" a="1"/>
  <c r="B59" i="5" a="1"/>
  <c r="L30" i="5" a="1"/>
  <c r="L66" i="5" a="1"/>
  <c r="L102" i="5" a="1"/>
  <c r="M18" i="5" a="1"/>
  <c r="M54" i="5" a="1"/>
  <c r="M90" i="5" a="1"/>
  <c r="E10" i="5" a="1"/>
  <c r="E46" i="5" a="1"/>
  <c r="E82" i="5" a="1"/>
  <c r="M16" i="5" a="1"/>
  <c r="M52" i="5" a="1"/>
  <c r="M88" i="5" a="1"/>
  <c r="K25" i="5" a="1"/>
  <c r="K61" i="5" a="1"/>
  <c r="H111" i="5" a="1"/>
  <c r="H147" i="5" a="1"/>
  <c r="B27" i="4" a="1"/>
  <c r="B171" i="4" a="1"/>
  <c r="B315" i="4" a="1"/>
  <c r="B459" i="4" a="1"/>
  <c r="B100" i="4" a="1"/>
  <c r="B244" i="4" a="1"/>
  <c r="B95" i="4" a="1"/>
  <c r="B239" i="4" a="1"/>
  <c r="B120" i="4" a="1"/>
  <c r="B264" i="4" a="1"/>
  <c r="B73" i="4" a="1"/>
  <c r="B217" i="4" a="1"/>
  <c r="B128" i="4" a="1"/>
  <c r="B342" i="4" a="1"/>
  <c r="B614" i="4" a="1"/>
  <c r="B343" i="4" a="1"/>
  <c r="B295" i="4" a="1"/>
  <c r="B458" i="4" a="1"/>
  <c r="B646" i="4" a="1"/>
  <c r="B790" i="4" a="1"/>
  <c r="B298" i="4" a="1"/>
  <c r="B569" i="4" a="1"/>
  <c r="B713" i="4" a="1"/>
  <c r="B299" i="4" a="1"/>
  <c r="B510" i="4" a="1"/>
  <c r="B879" i="4" a="1"/>
  <c r="B1023" i="4" a="1"/>
  <c r="B1167" i="4" a="1"/>
  <c r="B836" i="4" a="1"/>
  <c r="B886" i="4" a="1"/>
  <c r="B1030" i="4" a="1"/>
  <c r="B649" i="4" a="1"/>
  <c r="B565" i="4" a="1"/>
  <c r="B989" i="4" a="1"/>
  <c r="B1133" i="4" a="1"/>
  <c r="B765" i="4" a="1"/>
  <c r="B618" i="4" a="1"/>
  <c r="B984" i="4" a="1"/>
  <c r="B783" i="4" a="1"/>
  <c r="B833" i="4" a="1"/>
  <c r="B949" i="4" a="1"/>
  <c r="B496" i="4" a="1"/>
  <c r="B385" i="4" a="1"/>
  <c r="B1211" i="4" a="1"/>
  <c r="B1355" i="4" a="1"/>
  <c r="B827" i="4" a="1"/>
  <c r="B1260" i="4" a="1"/>
  <c r="B1404" i="4" a="1"/>
  <c r="B1106" i="4" a="1"/>
  <c r="B1183" i="4" a="1"/>
  <c r="B1327" i="4" a="1"/>
  <c r="B422" i="4" a="1"/>
  <c r="B1316" i="4" a="1"/>
  <c r="B1118" i="4" a="1"/>
  <c r="B1186" i="4" a="1"/>
  <c r="B1130" i="4" a="1"/>
  <c r="B1640" i="4" a="1"/>
  <c r="B1784" i="4" a="1"/>
  <c r="B1384" i="4" a="1"/>
  <c r="B1102" i="4" a="1"/>
  <c r="B1251" i="4" a="1"/>
  <c r="B1624" i="4" a="1"/>
  <c r="B1528" i="4" a="1"/>
  <c r="B1601" i="4" a="1"/>
  <c r="B1444" i="4" a="1"/>
  <c r="B1162" i="4" a="1"/>
  <c r="B1857" i="4" a="1"/>
  <c r="B1407" i="4" a="1"/>
  <c r="B1415" i="4" a="1"/>
  <c r="B1493" i="4" a="1"/>
  <c r="B1968" i="4" a="1"/>
  <c r="B1737" i="4" a="1"/>
  <c r="B1527" i="4" a="1"/>
  <c r="B1903" i="4" a="1"/>
  <c r="B1561" i="4" a="1"/>
  <c r="B1572" i="4" a="1"/>
  <c r="B1510" i="4" a="1"/>
  <c r="B1707" i="4" a="1"/>
  <c r="B2140" i="4" a="1"/>
  <c r="B2284" i="4" a="1"/>
  <c r="B1749" i="4" a="1"/>
  <c r="B1985" i="4" a="1"/>
  <c r="B2213" i="4" a="1"/>
  <c r="B1831" i="4" a="1"/>
  <c r="B2129" i="4" a="1"/>
  <c r="B2101" i="4" a="1"/>
  <c r="B2256" i="4" a="1"/>
  <c r="B2021" i="4" a="1"/>
  <c r="B1892" i="4" a="1"/>
  <c r="B2167" i="4" a="1"/>
  <c r="B2311" i="4" a="1"/>
  <c r="B2031" i="4" a="1"/>
  <c r="B2132" i="4" a="1"/>
  <c r="B2276" i="4" a="1"/>
  <c r="B2057" i="4" a="1"/>
  <c r="B2104" i="4" a="1"/>
  <c r="B2259" i="4" a="1"/>
  <c r="B1817" i="4" a="1"/>
  <c r="I7" i="5" a="1"/>
  <c r="I43" i="5" a="1"/>
  <c r="I79" i="5" a="1"/>
  <c r="B38" i="5" a="1"/>
  <c r="J31" i="5" a="1"/>
  <c r="J67" i="5" a="1"/>
  <c r="H40" i="5" a="1"/>
  <c r="H76" i="5" a="1"/>
  <c r="M8" i="5" a="1"/>
  <c r="M44" i="5" a="1"/>
  <c r="M80" i="5" a="1"/>
  <c r="B71" i="5" a="1"/>
  <c r="M31" i="5" a="1"/>
  <c r="M67" i="5" a="1"/>
  <c r="M103" i="5" a="1"/>
  <c r="N19" i="5" a="1"/>
  <c r="N55" i="5" a="1"/>
  <c r="N91" i="5" a="1"/>
  <c r="H48" i="5" a="1"/>
  <c r="H84" i="5" a="1"/>
  <c r="N17" i="5" a="1"/>
  <c r="N53" i="5" a="1"/>
  <c r="N89" i="5" a="1"/>
  <c r="L26" i="5" a="1"/>
  <c r="L62" i="5" a="1"/>
  <c r="I112" i="5" a="1"/>
  <c r="I148" i="5" a="1"/>
  <c r="B33" i="4" a="1"/>
  <c r="B39" i="4" a="1"/>
  <c r="B183" i="4" a="1"/>
  <c r="B327" i="4" a="1"/>
  <c r="B471" i="4" a="1"/>
  <c r="B112" i="4" a="1"/>
  <c r="B256" i="4" a="1"/>
  <c r="B107" i="4" a="1"/>
  <c r="B251" i="4" a="1"/>
  <c r="B132" i="4" a="1"/>
  <c r="B276" i="4" a="1"/>
  <c r="B85" i="4" a="1"/>
  <c r="B229" i="4" a="1"/>
  <c r="B140" i="4" a="1"/>
  <c r="B373" i="4" a="1"/>
  <c r="B626" i="4" a="1"/>
  <c r="B404" i="4" a="1"/>
  <c r="B344" i="4" a="1"/>
  <c r="B514" i="4" a="1"/>
  <c r="B658" i="4" a="1"/>
  <c r="B802" i="4" a="1"/>
  <c r="B388" i="4" a="1"/>
  <c r="B581" i="4" a="1"/>
  <c r="B725" i="4" a="1"/>
  <c r="B348" i="4" a="1"/>
  <c r="B360" i="4" a="1"/>
  <c r="B891" i="4" a="1"/>
  <c r="B1035" i="4" a="1"/>
  <c r="B1179" i="4" a="1"/>
  <c r="B350" i="4" a="1"/>
  <c r="B898" i="4" a="1"/>
  <c r="B1042" i="4" a="1"/>
  <c r="B764" i="4" a="1"/>
  <c r="B613" i="4" a="1"/>
  <c r="B1001" i="4" a="1"/>
  <c r="B1145" i="4" a="1"/>
  <c r="B839" i="4" a="1"/>
  <c r="B792" i="4" a="1"/>
  <c r="B996" i="4" a="1"/>
  <c r="B870" i="4" a="1"/>
  <c r="B372" i="4" a="1"/>
  <c r="B961" i="4" a="1"/>
  <c r="B549" i="4" a="1"/>
  <c r="B857" i="4" a="1"/>
  <c r="B1223" i="4" a="1"/>
  <c r="B1367" i="4" a="1"/>
  <c r="B1114" i="4" a="1"/>
  <c r="B1272" i="4" a="1"/>
  <c r="B1416" i="4" a="1"/>
  <c r="B552" i="4" a="1"/>
  <c r="B1195" i="4" a="1"/>
  <c r="B1339" i="4" a="1"/>
  <c r="B1184" i="4" a="1"/>
  <c r="B1328" i="4" a="1"/>
  <c r="B1177" i="4" a="1"/>
  <c r="B1198" i="4" a="1"/>
  <c r="B1305" i="4" a="1"/>
  <c r="B1652" i="4" a="1"/>
  <c r="B1796" i="4" a="1"/>
  <c r="B1439" i="4" a="1"/>
  <c r="B1324" i="4" a="1"/>
  <c r="B1311" i="4" a="1"/>
  <c r="B1636" i="4" a="1"/>
  <c r="B1443" i="4" a="1"/>
  <c r="B1078" i="4" a="1"/>
  <c r="B1514" i="4" a="1"/>
  <c r="B1215" i="4" a="1"/>
  <c r="B1405" i="4" a="1"/>
  <c r="B1490" i="4" a="1"/>
  <c r="B1615" i="4" a="1"/>
  <c r="B1597" i="4" a="1"/>
  <c r="B1980" i="4" a="1"/>
  <c r="B1763" i="4" a="1"/>
  <c r="B1579" i="4" a="1"/>
  <c r="B1915" i="4" a="1"/>
  <c r="B1609" i="4" a="1"/>
  <c r="B1731" i="4" a="1"/>
  <c r="B1674" i="4" a="1"/>
  <c r="B1859" i="4" a="1"/>
  <c r="B2152" i="4" a="1"/>
  <c r="B2296" i="4" a="1"/>
  <c r="B1827" i="4" a="1"/>
  <c r="B2011" i="4" a="1"/>
  <c r="B2225" i="4" a="1"/>
  <c r="B1952" i="4" a="1"/>
  <c r="B1537" i="4" a="1"/>
  <c r="B2115" i="4" a="1"/>
  <c r="B2268" i="4" a="1"/>
  <c r="B2062" i="4" a="1"/>
  <c r="B1910" i="4" a="1"/>
  <c r="B2179" i="4" a="1"/>
  <c r="B2323" i="4" a="1"/>
  <c r="B2072" i="4" a="1"/>
  <c r="B2144" i="4" a="1"/>
  <c r="B2288" i="4" a="1"/>
  <c r="B2081" i="4" a="1"/>
  <c r="B2126" i="4" a="1"/>
  <c r="B2271" i="4" a="1"/>
  <c r="B2065" i="4" a="1"/>
  <c r="K9" i="5" a="1"/>
  <c r="K45" i="5" a="1"/>
  <c r="K81" i="5" a="1"/>
  <c r="B62" i="5" a="1"/>
  <c r="L33" i="5" a="1"/>
  <c r="L69" i="5" a="1"/>
  <c r="J6" i="5" a="1"/>
  <c r="J42" i="5" a="1"/>
  <c r="J78" i="5" a="1"/>
  <c r="E13" i="5" a="1"/>
  <c r="E49" i="5" a="1"/>
  <c r="E85" i="5" a="1"/>
  <c r="B95" i="5" a="1"/>
  <c r="E36" i="5" a="1"/>
  <c r="E72" i="5" a="1"/>
  <c r="E108" i="5" a="1"/>
  <c r="H25" i="5" a="1"/>
  <c r="H61" i="5" a="1"/>
  <c r="H97" i="5" a="1"/>
  <c r="J14" i="5" a="1"/>
  <c r="J50" i="5" a="1"/>
  <c r="J86" i="5" a="1"/>
  <c r="H59" i="5" a="1"/>
  <c r="B19" i="5" a="1"/>
  <c r="N28" i="5" a="1"/>
  <c r="N64" i="5" a="1"/>
  <c r="K114" i="5" a="1"/>
  <c r="K150" i="5" a="1"/>
  <c r="B45" i="4" a="1"/>
  <c r="B189" i="4" a="1"/>
  <c r="B333" i="4" a="1"/>
  <c r="B477" i="4" a="1"/>
  <c r="B118" i="4" a="1"/>
  <c r="B262" i="4" a="1"/>
  <c r="B113" i="4" a="1"/>
  <c r="B257" i="4" a="1"/>
  <c r="B138" i="4" a="1"/>
  <c r="B282" i="4" a="1"/>
  <c r="B91" i="4" a="1"/>
  <c r="B235" i="4" a="1"/>
  <c r="B146" i="4" a="1"/>
  <c r="B414" i="4" a="1"/>
  <c r="B632" i="4" a="1"/>
  <c r="B415" i="4" a="1"/>
  <c r="B355" i="4" a="1"/>
  <c r="B520" i="4" a="1"/>
  <c r="B664" i="4" a="1"/>
  <c r="B808" i="4" a="1"/>
  <c r="B449" i="4" a="1"/>
  <c r="B587" i="4" a="1"/>
  <c r="B731" i="4" a="1"/>
  <c r="B368" i="4" a="1"/>
  <c r="B380" i="4" a="1"/>
  <c r="B897" i="4" a="1"/>
  <c r="B1041" i="4" a="1"/>
  <c r="B349" i="4" a="1"/>
  <c r="B474" i="4" a="1"/>
  <c r="B904" i="4" a="1"/>
  <c r="B1048" i="4" a="1"/>
  <c r="B781" i="4" a="1"/>
  <c r="B705" i="4" a="1"/>
  <c r="B1007" i="4" a="1"/>
  <c r="B1151" i="4" a="1"/>
  <c r="B861" i="4" a="1"/>
  <c r="B800" i="4" a="1"/>
  <c r="B1002" i="4" a="1"/>
  <c r="B523" i="4" a="1"/>
  <c r="B673" i="4" a="1"/>
  <c r="B967" i="4" a="1"/>
  <c r="B573" i="4" a="1"/>
  <c r="B944" i="4" a="1"/>
  <c r="B1229" i="4" a="1"/>
  <c r="B1373" i="4" a="1"/>
  <c r="B1132" i="4" a="1"/>
  <c r="B1278" i="4" a="1"/>
  <c r="B1422" i="4" a="1"/>
  <c r="B710" i="4" a="1"/>
  <c r="B1201" i="4" a="1"/>
  <c r="B1345" i="4" a="1"/>
  <c r="B1190" i="4" a="1"/>
  <c r="B1334" i="4" a="1"/>
  <c r="B51" i="4" a="1"/>
  <c r="B195" i="4" a="1"/>
  <c r="B339" i="4" a="1"/>
  <c r="B483" i="4" a="1"/>
  <c r="B124" i="4" a="1"/>
  <c r="B268" i="4" a="1"/>
  <c r="B119" i="4" a="1"/>
  <c r="B263" i="4" a="1"/>
  <c r="B144" i="4" a="1"/>
  <c r="B288" i="4" a="1"/>
  <c r="B97" i="4" a="1"/>
  <c r="B8" i="4" a="1"/>
  <c r="B152" i="4" a="1"/>
  <c r="B434" i="4" a="1"/>
  <c r="B638" i="4" a="1"/>
  <c r="B456" i="4" a="1"/>
  <c r="B396" i="4" a="1"/>
  <c r="B526" i="4" a="1"/>
  <c r="B670" i="4" a="1"/>
  <c r="B253" i="4" a="1"/>
  <c r="B460" i="4" a="1"/>
  <c r="B593" i="4" a="1"/>
  <c r="B737" i="4" a="1"/>
  <c r="B379" i="4" a="1"/>
  <c r="B391" i="4" a="1"/>
  <c r="B903" i="4" a="1"/>
  <c r="B1047" i="4" a="1"/>
  <c r="B627" i="4" a="1"/>
  <c r="B511" i="4" a="1"/>
  <c r="B910" i="4" a="1"/>
  <c r="B1054" i="4" a="1"/>
  <c r="B789" i="4" a="1"/>
  <c r="B853" i="4" a="1"/>
  <c r="B1013" i="4" a="1"/>
  <c r="B1157" i="4" a="1"/>
  <c r="B317" i="4" a="1"/>
  <c r="B824" i="4" a="1"/>
  <c r="B1008" i="4" a="1"/>
  <c r="B547" i="4" a="1"/>
  <c r="B699" i="4" a="1"/>
  <c r="B973" i="4" a="1"/>
  <c r="B597" i="4" a="1"/>
  <c r="B986" i="4" a="1"/>
  <c r="B1235" i="4" a="1"/>
  <c r="B1379" i="4" a="1"/>
  <c r="B338" i="4" a="1"/>
  <c r="B1284" i="4" a="1"/>
  <c r="B1428" i="4" a="1"/>
  <c r="B752" i="4" a="1"/>
  <c r="B1207" i="4" a="1"/>
  <c r="B1351" i="4" a="1"/>
  <c r="B1196" i="4" a="1"/>
  <c r="B1340" i="4" a="1"/>
  <c r="B57" i="4" a="1"/>
  <c r="B201" i="4" a="1"/>
  <c r="B345" i="4" a="1"/>
  <c r="B489" i="4" a="1"/>
  <c r="B130" i="4" a="1"/>
  <c r="B274" i="4" a="1"/>
  <c r="B125" i="4" a="1"/>
  <c r="B6" i="4" a="1"/>
  <c r="B150" i="4" a="1"/>
  <c r="B294" i="4" a="1"/>
  <c r="B103" i="4" a="1"/>
  <c r="B14" i="4" a="1"/>
  <c r="B158" i="4" a="1"/>
  <c r="B445" i="4" a="1"/>
  <c r="B644" i="4" a="1"/>
  <c r="B485" i="4" a="1"/>
  <c r="B416" i="4" a="1"/>
  <c r="B532" i="4" a="1"/>
  <c r="B676" i="4" a="1"/>
  <c r="B277" i="4" a="1"/>
  <c r="B479" i="4" a="1"/>
  <c r="B599" i="4" a="1"/>
  <c r="B743" i="4" a="1"/>
  <c r="B420" i="4" a="1"/>
  <c r="B432" i="4" a="1"/>
  <c r="B909" i="4" a="1"/>
  <c r="B1053" i="4" a="1"/>
  <c r="B645" i="4" a="1"/>
  <c r="B630" i="4" a="1"/>
  <c r="B916" i="4" a="1"/>
  <c r="B1060" i="4" a="1"/>
  <c r="B815" i="4" a="1"/>
  <c r="B875" i="4" a="1"/>
  <c r="B1019" i="4" a="1"/>
  <c r="B443" i="4" a="1"/>
  <c r="B446" i="4" a="1"/>
  <c r="B832" i="4" a="1"/>
  <c r="B1014" i="4" a="1"/>
  <c r="B571" i="4" a="1"/>
  <c r="B768" i="4" a="1"/>
  <c r="B979" i="4" a="1"/>
  <c r="B621" i="4" a="1"/>
  <c r="B1004" i="4" a="1"/>
  <c r="B1241" i="4" a="1"/>
  <c r="B528" i="4" a="1"/>
  <c r="B787" i="4" a="1"/>
  <c r="B1290" i="4" a="1"/>
  <c r="B1434" i="4" a="1"/>
  <c r="B794" i="4" a="1"/>
  <c r="B1213" i="4" a="1"/>
  <c r="B1357" i="4" a="1"/>
  <c r="B1202" i="4" a="1"/>
  <c r="B1346" i="4" a="1"/>
  <c r="B63" i="4" a="1"/>
  <c r="B207" i="4" a="1"/>
  <c r="B351" i="4" a="1"/>
  <c r="B495" i="4" a="1"/>
  <c r="B136" i="4" a="1"/>
  <c r="B280" i="4" a="1"/>
  <c r="B131" i="4" a="1"/>
  <c r="B12" i="4" a="1"/>
  <c r="B156" i="4" a="1"/>
  <c r="B300" i="4" a="1"/>
  <c r="B109" i="4" a="1"/>
  <c r="B20" i="4" a="1"/>
  <c r="B164" i="4" a="1"/>
  <c r="B475" i="4" a="1"/>
  <c r="B650" i="4" a="1"/>
  <c r="B212" i="4" a="1"/>
  <c r="B427" i="4" a="1"/>
  <c r="B538" i="4" a="1"/>
  <c r="B682" i="4" a="1"/>
  <c r="B313" i="4" a="1"/>
  <c r="B314" i="4" a="1"/>
  <c r="B605" i="4" a="1"/>
  <c r="B749" i="4" a="1"/>
  <c r="B440" i="4" a="1"/>
  <c r="B452" i="4" a="1"/>
  <c r="B915" i="4" a="1"/>
  <c r="B1059" i="4" a="1"/>
  <c r="B663" i="4" a="1"/>
  <c r="B648" i="4" a="1"/>
  <c r="B922" i="4" a="1"/>
  <c r="B476" i="4" a="1"/>
  <c r="B837" i="4" a="1"/>
  <c r="B881" i="4" a="1"/>
  <c r="B1025" i="4" a="1"/>
  <c r="B633" i="4" a="1"/>
  <c r="B519" i="4" a="1"/>
  <c r="B876" i="4" a="1"/>
  <c r="B1020" i="4" a="1"/>
  <c r="B595" i="4" a="1"/>
  <c r="B776" i="4" a="1"/>
  <c r="B985" i="4" a="1"/>
  <c r="B639" i="4" a="1"/>
  <c r="B1022" i="4" a="1"/>
  <c r="B1247" i="4" a="1"/>
  <c r="B702" i="4" a="1"/>
  <c r="B950" i="4" a="1"/>
  <c r="B1296" i="4" a="1"/>
  <c r="B1440" i="4" a="1"/>
  <c r="B926" i="4" a="1"/>
  <c r="B1219" i="4" a="1"/>
  <c r="B1363" i="4" a="1"/>
  <c r="B1208" i="4" a="1"/>
  <c r="B1352" i="4" a="1"/>
  <c r="B998" i="4" a="1"/>
  <c r="B1222" i="4" a="1"/>
  <c r="B1532" i="4" a="1"/>
  <c r="B1676" i="4" a="1"/>
  <c r="B1820" i="4" a="1"/>
  <c r="B1509" i="4" a="1"/>
  <c r="B1441" i="4" a="1"/>
  <c r="B1442" i="4" a="1"/>
  <c r="B850" i="4" a="1"/>
  <c r="B1112" i="4" a="1"/>
  <c r="B1453" i="4" a="1"/>
  <c r="B1317" i="4" a="1"/>
  <c r="B1366" i="4" a="1"/>
  <c r="B1614" i="4" a="1"/>
  <c r="B1641" i="4" a="1"/>
  <c r="B1719" i="4" a="1"/>
  <c r="B1779" i="4" a="1"/>
  <c r="B2004" i="4" a="1"/>
  <c r="B1836" i="4" a="1"/>
  <c r="B1780" i="4" a="1"/>
  <c r="B1939" i="4" a="1"/>
  <c r="B1680" i="4" a="1"/>
  <c r="B1798" i="4" a="1"/>
  <c r="B1621" i="4" a="1"/>
  <c r="B1869" i="4" a="1"/>
  <c r="B2176" i="4" a="1"/>
  <c r="B2320" i="4" a="1"/>
  <c r="B2060" i="4" a="1"/>
  <c r="B2092" i="4" a="1"/>
  <c r="B2249" i="4" a="1"/>
  <c r="B2053" i="4" a="1"/>
  <c r="B2012" i="4" a="1"/>
  <c r="B2148" i="4" a="1"/>
  <c r="B2292" i="4" a="1"/>
  <c r="B2130" i="4" a="1"/>
  <c r="B1946" i="4" a="1"/>
  <c r="B2203" i="4" a="1"/>
  <c r="B1603" i="4" a="1"/>
  <c r="B1447" i="4" a="1"/>
  <c r="B2168" i="4" a="1"/>
  <c r="B2312" i="4" a="1"/>
  <c r="B1620" i="4" a="1"/>
  <c r="B2151" i="4" a="1"/>
  <c r="B2295" i="4" a="1"/>
  <c r="B2089" i="4" a="1"/>
  <c r="E16" i="5" a="1"/>
  <c r="E52" i="5" a="1"/>
  <c r="E88" i="5" a="1"/>
  <c r="H41" i="5" a="1"/>
  <c r="H77" i="5" a="1"/>
  <c r="N10" i="5" a="1"/>
  <c r="N46" i="5" a="1"/>
  <c r="N82" i="5" a="1"/>
  <c r="K18" i="5" a="1"/>
  <c r="K54" i="5" a="1"/>
  <c r="K90" i="5" a="1"/>
  <c r="K5" i="5" a="1"/>
  <c r="K41" i="5" a="1"/>
  <c r="K77" i="5" a="1"/>
  <c r="B46" i="5" a="1"/>
  <c r="L29" i="5" a="1"/>
  <c r="L65" i="5" a="1"/>
  <c r="L101" i="5" a="1"/>
  <c r="N18" i="5" a="1"/>
  <c r="N54" i="5" a="1"/>
  <c r="B8" i="5" a="1"/>
  <c r="L27" i="5" a="1"/>
  <c r="L63" i="5" a="1"/>
  <c r="B67" i="5" a="1"/>
  <c r="J36" i="5" a="1"/>
  <c r="B30" i="5" a="1"/>
  <c r="E121" i="5" a="1"/>
  <c r="E157" i="5" a="1"/>
  <c r="B69" i="4" a="1"/>
  <c r="B213" i="4" a="1"/>
  <c r="B357" i="4" a="1"/>
  <c r="B501" i="4" a="1"/>
  <c r="B142" i="4" a="1"/>
  <c r="B286" i="4" a="1"/>
  <c r="B137" i="4" a="1"/>
  <c r="B18" i="4" a="1"/>
  <c r="B162" i="4" a="1"/>
  <c r="B306" i="4" a="1"/>
  <c r="B115" i="4" a="1"/>
  <c r="B26" i="4" a="1"/>
  <c r="B170" i="4" a="1"/>
  <c r="B504" i="4" a="1"/>
  <c r="B656" i="4" a="1"/>
  <c r="B332" i="4" a="1"/>
  <c r="B468" i="4" a="1"/>
  <c r="B544" i="4" a="1"/>
  <c r="B688" i="4" a="1"/>
  <c r="B346" i="4" a="1"/>
  <c r="B337" i="4" a="1"/>
  <c r="B611" i="4" a="1"/>
  <c r="B755" i="4" a="1"/>
  <c r="B451" i="4" a="1"/>
  <c r="B463" i="4" a="1"/>
  <c r="B921" i="4" a="1"/>
  <c r="B1065" i="4" a="1"/>
  <c r="B703" i="4" a="1"/>
  <c r="B693" i="4" a="1"/>
  <c r="B928" i="4" a="1"/>
  <c r="B513" i="4" a="1"/>
  <c r="B860" i="4" a="1"/>
  <c r="B887" i="4" a="1"/>
  <c r="B1031" i="4" a="1"/>
  <c r="B651" i="4" a="1"/>
  <c r="B543" i="4" a="1"/>
  <c r="B882" i="4" a="1"/>
  <c r="B1026" i="4" a="1"/>
  <c r="B619" i="4" a="1"/>
  <c r="B793" i="4" a="1"/>
  <c r="B991" i="4" a="1"/>
  <c r="B657" i="4" a="1"/>
  <c r="B1084" i="4" a="1"/>
  <c r="B1253" i="4" a="1"/>
  <c r="B744" i="4" a="1"/>
  <c r="B1141" i="4" a="1"/>
  <c r="B1302" i="4" a="1"/>
  <c r="B1446" i="4" a="1"/>
  <c r="B992" i="4" a="1"/>
  <c r="B1225" i="4" a="1"/>
  <c r="B382" i="4" a="1"/>
  <c r="B1214" i="4" a="1"/>
  <c r="B1358" i="4" a="1"/>
  <c r="B1016" i="4" a="1"/>
  <c r="B1228" i="4" a="1"/>
  <c r="B1538" i="4" a="1"/>
  <c r="B1682" i="4" a="1"/>
  <c r="B1826" i="4" a="1"/>
  <c r="B1517" i="4" a="1"/>
  <c r="B1459" i="4" a="1"/>
  <c r="B1460" i="4" a="1"/>
  <c r="B1275" i="4" a="1"/>
  <c r="B1147" i="4" a="1"/>
  <c r="B1471" i="4" a="1"/>
  <c r="B1365" i="4" a="1"/>
  <c r="B1473" i="4" a="1"/>
  <c r="B1632" i="4" a="1"/>
  <c r="B1659" i="4" a="1"/>
  <c r="B1728" i="4" a="1"/>
  <c r="B1866" i="4" a="1"/>
  <c r="B2010" i="4" a="1"/>
  <c r="B1860" i="4" a="1"/>
  <c r="B1805" i="4" a="1"/>
  <c r="B1945" i="4" a="1"/>
  <c r="B1697" i="4" a="1"/>
  <c r="B1822" i="4" a="1"/>
  <c r="B1774" i="4" a="1"/>
  <c r="B1887" i="4" a="1"/>
  <c r="B2182" i="4" a="1"/>
  <c r="B2326" i="4" a="1"/>
  <c r="B2084" i="4" a="1"/>
  <c r="B2107" i="4" a="1"/>
  <c r="B2255" i="4" a="1"/>
  <c r="B2077" i="4" a="1"/>
  <c r="B2029" i="4" a="1"/>
  <c r="B2154" i="4" a="1"/>
  <c r="B2298" i="4" a="1"/>
  <c r="B1395" i="4" a="1"/>
  <c r="B1963" i="4" a="1"/>
  <c r="B2209" i="4" a="1"/>
  <c r="B1690" i="4" a="1"/>
  <c r="B1611" i="4" a="1"/>
  <c r="B2174" i="4" a="1"/>
  <c r="B2318" i="4" a="1"/>
  <c r="B1741" i="4" a="1"/>
  <c r="B2157" i="4" a="1"/>
  <c r="B2301" i="4" a="1"/>
  <c r="M1951" i="5" a="1"/>
  <c r="H54" i="5" a="1"/>
  <c r="H90" i="5" a="1"/>
  <c r="I6" i="5" a="1"/>
  <c r="I42" i="5" a="1"/>
  <c r="I78" i="5" a="1"/>
  <c r="E14" i="5" a="1"/>
  <c r="E50" i="5" a="1"/>
  <c r="E86" i="5" a="1"/>
  <c r="L19" i="5" a="1"/>
  <c r="L55" i="5" a="1"/>
  <c r="L91" i="5" a="1"/>
  <c r="L6" i="5" a="1"/>
  <c r="L42" i="5" a="1"/>
  <c r="L78" i="5" a="1"/>
  <c r="B58" i="5" a="1"/>
  <c r="M30" i="5" a="1"/>
  <c r="M66" i="5" a="1"/>
  <c r="M102" i="5" a="1"/>
  <c r="E22" i="5" a="1"/>
  <c r="E58" i="5" a="1"/>
  <c r="B20" i="5" a="1"/>
  <c r="M28" i="5" a="1"/>
  <c r="M64" i="5" a="1"/>
  <c r="B79" i="5" a="1"/>
  <c r="K37" i="5" a="1"/>
  <c r="B42" i="5" a="1"/>
  <c r="H123" i="5" a="1"/>
  <c r="H159" i="5" a="1"/>
  <c r="B75" i="4" a="1"/>
  <c r="B219" i="4" a="1"/>
  <c r="B363" i="4" a="1"/>
  <c r="B4" i="4" a="1"/>
  <c r="B148" i="4" a="1"/>
  <c r="B292" i="4" a="1"/>
  <c r="B143" i="4" a="1"/>
  <c r="B24" i="4" a="1"/>
  <c r="B168" i="4" a="1"/>
  <c r="B312" i="4" a="1"/>
  <c r="B121" i="4" a="1"/>
  <c r="B32" i="4" a="1"/>
  <c r="B176" i="4" a="1"/>
  <c r="B518" i="4" a="1"/>
  <c r="B662" i="4" a="1"/>
  <c r="B353" i="4" a="1"/>
  <c r="B487" i="4" a="1"/>
  <c r="B550" i="4" a="1"/>
  <c r="B694" i="4" a="1"/>
  <c r="B407" i="4" a="1"/>
  <c r="B378" i="4" a="1"/>
  <c r="B617" i="4" a="1"/>
  <c r="B761" i="4" a="1"/>
  <c r="B230" i="4" a="1"/>
  <c r="B492" i="4" a="1"/>
  <c r="B927" i="4" a="1"/>
  <c r="B1071" i="4" a="1"/>
  <c r="B711" i="4" a="1"/>
  <c r="B738" i="4" a="1"/>
  <c r="B934" i="4" a="1"/>
  <c r="B537" i="4" a="1"/>
  <c r="B868" i="4" a="1"/>
  <c r="B893" i="4" a="1"/>
  <c r="B1037" i="4" a="1"/>
  <c r="B684" i="4" a="1"/>
  <c r="B567" i="4" a="1"/>
  <c r="B888" i="4" a="1"/>
  <c r="B1032" i="4" a="1"/>
  <c r="B637" i="4" a="1"/>
  <c r="B801" i="4" a="1"/>
  <c r="B997" i="4" a="1"/>
  <c r="B726" i="4" a="1"/>
  <c r="B1164" i="4" a="1"/>
  <c r="B1259" i="4" a="1"/>
  <c r="B786" i="4" a="1"/>
  <c r="B1158" i="4" a="1"/>
  <c r="B1308" i="4" a="1"/>
  <c r="B1452" i="4" a="1"/>
  <c r="B1010" i="4" a="1"/>
  <c r="B1231" i="4" a="1"/>
  <c r="B795" i="4" a="1"/>
  <c r="B1220" i="4" a="1"/>
  <c r="B1364" i="4" a="1"/>
  <c r="B81" i="4" a="1"/>
  <c r="B225" i="4" a="1"/>
  <c r="B369" i="4" a="1"/>
  <c r="B10" i="4" a="1"/>
  <c r="B154" i="4" a="1"/>
  <c r="B5" i="4" a="1"/>
  <c r="B149" i="4" a="1"/>
  <c r="B30" i="4" a="1"/>
  <c r="B174" i="4" a="1"/>
  <c r="B318" i="4" a="1"/>
  <c r="B127" i="4" a="1"/>
  <c r="B38" i="4" a="1"/>
  <c r="B182" i="4" a="1"/>
  <c r="B524" i="4" a="1"/>
  <c r="B668" i="4" a="1"/>
  <c r="B364" i="4" a="1"/>
  <c r="B218" i="4" a="1"/>
  <c r="B556" i="4" a="1"/>
  <c r="B700" i="4" a="1"/>
  <c r="B418" i="4" a="1"/>
  <c r="B398" i="4" a="1"/>
  <c r="B623" i="4" a="1"/>
  <c r="B767" i="4" a="1"/>
  <c r="B260" i="4" a="1"/>
  <c r="B283" i="4" a="1"/>
  <c r="B933" i="4" a="1"/>
  <c r="B1077" i="4" a="1"/>
  <c r="B821" i="4" a="1"/>
  <c r="B746" i="4" a="1"/>
  <c r="B940" i="4" a="1"/>
  <c r="B561" i="4" a="1"/>
  <c r="B304" i="4" a="1"/>
  <c r="B899" i="4" a="1"/>
  <c r="B1043" i="4" a="1"/>
  <c r="B774" i="4" a="1"/>
  <c r="B591" i="4" a="1"/>
  <c r="B894" i="4" a="1"/>
  <c r="B1038" i="4" a="1"/>
  <c r="B655" i="4" a="1"/>
  <c r="B825" i="4" a="1"/>
  <c r="B1003" i="4" a="1"/>
  <c r="B734" i="4" a="1"/>
  <c r="B1172" i="4" a="1"/>
  <c r="B1265" i="4" a="1"/>
  <c r="B858" i="4" a="1"/>
  <c r="B1166" i="4" a="1"/>
  <c r="B1314" i="4" a="1"/>
  <c r="B1458" i="4" a="1"/>
  <c r="B1028" i="4" a="1"/>
  <c r="B1237" i="4" a="1"/>
  <c r="B872" i="4" a="1"/>
  <c r="B1226" i="4" a="1"/>
  <c r="B1370" i="4" a="1"/>
  <c r="B87" i="4" a="1"/>
  <c r="B231" i="4" a="1"/>
  <c r="B375" i="4" a="1"/>
  <c r="B16" i="4" a="1"/>
  <c r="B160" i="4" a="1"/>
  <c r="B11" i="4" a="1"/>
  <c r="B155" i="4" a="1"/>
  <c r="B36" i="4" a="1"/>
  <c r="B180" i="4" a="1"/>
  <c r="B324" i="4" a="1"/>
  <c r="B133" i="4" a="1"/>
  <c r="B44" i="4" a="1"/>
  <c r="B188" i="4" a="1"/>
  <c r="B530" i="4" a="1"/>
  <c r="B674" i="4" a="1"/>
  <c r="B425" i="4" a="1"/>
  <c r="B365" i="4" a="1"/>
  <c r="B562" i="4" a="1"/>
  <c r="B706" i="4" a="1"/>
  <c r="B469" i="4" a="1"/>
  <c r="B409" i="4" a="1"/>
  <c r="B629" i="4" a="1"/>
  <c r="B773" i="4" a="1"/>
  <c r="B281" i="4" a="1"/>
  <c r="B390" i="4" a="1"/>
  <c r="B939" i="4" a="1"/>
  <c r="B1083" i="4" a="1"/>
  <c r="B843" i="4" a="1"/>
  <c r="B763" i="4" a="1"/>
  <c r="B946" i="4" a="1"/>
  <c r="B585" i="4" a="1"/>
  <c r="B401" i="4" a="1"/>
  <c r="B905" i="4" a="1"/>
  <c r="B1049" i="4" a="1"/>
  <c r="B782" i="4" a="1"/>
  <c r="B615" i="4" a="1"/>
  <c r="B900" i="4" a="1"/>
  <c r="B1044" i="4" a="1"/>
  <c r="B698" i="4" a="1"/>
  <c r="B848" i="4" a="1"/>
  <c r="B1009" i="4" a="1"/>
  <c r="B751" i="4" a="1"/>
  <c r="B1180" i="4" a="1"/>
  <c r="B1271" i="4" a="1"/>
  <c r="B920" i="4" a="1"/>
  <c r="B1174" i="4" a="1"/>
  <c r="B1320" i="4" a="1"/>
  <c r="B1464" i="4" a="1"/>
  <c r="B1150" i="4" a="1"/>
  <c r="B1243" i="4" a="1"/>
  <c r="B421" i="4" a="1"/>
  <c r="B1232" i="4" a="1"/>
  <c r="B1376" i="4" a="1"/>
  <c r="B1153" i="4" a="1"/>
  <c r="B1246" i="4" a="1"/>
  <c r="B1556" i="4" a="1"/>
  <c r="B1700" i="4" a="1"/>
  <c r="B1844" i="4" a="1"/>
  <c r="B1431" i="4" a="1"/>
  <c r="B1372" i="4" a="1"/>
  <c r="B1540" i="4" a="1"/>
  <c r="B1495" i="4" a="1"/>
  <c r="B1496" i="4" a="1"/>
  <c r="B1504" i="4" a="1"/>
  <c r="B1436" i="4" a="1"/>
  <c r="B938" i="4" a="1"/>
  <c r="B1743" i="4" a="1"/>
  <c r="B1693" i="4" a="1"/>
  <c r="B1456" i="4" a="1"/>
  <c r="B1884" i="4" a="1"/>
  <c r="B2028" i="4" a="1"/>
  <c r="B1560" i="4" a="1"/>
  <c r="B1548" i="4" a="1"/>
  <c r="B1590" i="4" a="1"/>
  <c r="B1549" i="4" a="1"/>
  <c r="B1591" i="4" a="1"/>
  <c r="B1858" i="4" a="1"/>
  <c r="B1941" i="4" a="1"/>
  <c r="B2200" i="4" a="1"/>
  <c r="B1163" i="4" a="1"/>
  <c r="B1807" i="4" a="1"/>
  <c r="B2128" i="4" a="1"/>
  <c r="B2273" i="4" a="1"/>
  <c r="B1751" i="4" a="1"/>
  <c r="B1593" i="4" a="1"/>
  <c r="B2172" i="4" a="1"/>
  <c r="B2316" i="4" a="1"/>
  <c r="B1815" i="4" a="1"/>
  <c r="B2055" i="4" a="1"/>
  <c r="B2227" i="4" a="1"/>
  <c r="B1954" i="4" a="1"/>
  <c r="B1734" i="4" a="1"/>
  <c r="B2192" i="4" a="1"/>
  <c r="B2336" i="4" a="1"/>
  <c r="B1876" i="4" a="1"/>
  <c r="B2175" i="4" a="1"/>
  <c r="B2319" i="4" a="1"/>
  <c r="M1954" i="5" a="1"/>
  <c r="K21" i="5" a="1"/>
  <c r="K57" i="5" a="1"/>
  <c r="K93" i="5" a="1"/>
  <c r="L9" i="5" a="1"/>
  <c r="L45" i="5" a="1"/>
  <c r="L81" i="5" a="1"/>
  <c r="J18" i="5" a="1"/>
  <c r="J54" i="5" a="1"/>
  <c r="J90" i="5" a="1"/>
  <c r="E25" i="5" a="1"/>
  <c r="E61" i="5" a="1"/>
  <c r="E97" i="5" a="1"/>
  <c r="E12" i="5" a="1"/>
  <c r="E48" i="5" a="1"/>
  <c r="E84" i="5" a="1"/>
  <c r="B94" i="5" a="1"/>
  <c r="H37" i="5" a="1"/>
  <c r="H73" i="5" a="1"/>
  <c r="B9" i="5" a="1"/>
  <c r="J26" i="5" a="1"/>
  <c r="J62" i="5" a="1"/>
  <c r="B56" i="5" a="1"/>
  <c r="H35" i="5" a="1"/>
  <c r="H71" i="5" a="1"/>
  <c r="N4" i="5" a="1"/>
  <c r="N40" i="5" a="1"/>
  <c r="K12" i="5" a="1"/>
  <c r="K126" i="5" a="1"/>
  <c r="K162" i="5" a="1"/>
  <c r="B93" i="4" a="1"/>
  <c r="B177" i="4" a="1"/>
  <c r="B270" i="4" a="1"/>
  <c r="B497" i="4" a="1"/>
  <c r="B885" i="4" a="1"/>
  <c r="B995" i="4" a="1"/>
  <c r="B525" i="4" a="1"/>
  <c r="B1189" i="4" a="1"/>
  <c r="B1066" i="4" a="1"/>
  <c r="B1474" i="4" a="1"/>
  <c r="B1748" i="4" a="1"/>
  <c r="B1449" i="4" a="1"/>
  <c r="B1293" i="4" a="1"/>
  <c r="B1146" i="4" a="1"/>
  <c r="B1435" i="4" a="1"/>
  <c r="B1348" i="4" a="1"/>
  <c r="B1752" i="4" a="1"/>
  <c r="B1523" i="4" a="1"/>
  <c r="B1914" i="4" a="1"/>
  <c r="B1812" i="4" a="1"/>
  <c r="B1867" i="4" a="1"/>
  <c r="B1619" i="4" a="1"/>
  <c r="B1665" i="4" a="1"/>
  <c r="B2051" i="4" a="1"/>
  <c r="B2314" i="4" a="1"/>
  <c r="B1898" i="4" a="1"/>
  <c r="B2279" i="4" a="1"/>
  <c r="B1955" i="4" a="1"/>
  <c r="B2202" i="4" a="1"/>
  <c r="B2123" i="4" a="1"/>
  <c r="B2131" i="4" a="1"/>
  <c r="B2039" i="4" a="1"/>
  <c r="B2138" i="4" a="1"/>
  <c r="B1657" i="4" a="1"/>
  <c r="B2145" i="4" a="1"/>
  <c r="B2025" i="4" a="1"/>
  <c r="L22" i="5" a="1"/>
  <c r="J80" i="5" a="1"/>
  <c r="I18" i="5" a="1"/>
  <c r="E75" i="5" a="1"/>
  <c r="J30" i="5" a="1"/>
  <c r="K91" i="5" a="1"/>
  <c r="N45" i="5" a="1"/>
  <c r="L103" i="5" a="1"/>
  <c r="J40" i="5" a="1"/>
  <c r="E96" i="5" a="1"/>
  <c r="I38" i="5" a="1"/>
  <c r="E95" i="5" a="1"/>
  <c r="E34" i="5" a="1"/>
  <c r="M89" i="5" a="1"/>
  <c r="H47" i="5" a="1"/>
  <c r="E8" i="5" a="1"/>
  <c r="M63" i="5" a="1"/>
  <c r="H135" i="5" a="1"/>
  <c r="I184" i="5" a="1"/>
  <c r="K34" i="5" a="1"/>
  <c r="N87" i="5" a="1"/>
  <c r="L104" i="5" a="1"/>
  <c r="N139" i="5" a="1"/>
  <c r="L84" i="5" a="1"/>
  <c r="J110" i="5" a="1"/>
  <c r="J146" i="5" a="1"/>
  <c r="H31" i="5" a="1"/>
  <c r="E129" i="5" a="1"/>
  <c r="E165" i="5" a="1"/>
  <c r="K36" i="5" a="1"/>
  <c r="L134" i="5" a="1"/>
  <c r="L170" i="5" a="1"/>
  <c r="E115" i="5" a="1"/>
  <c r="E151" i="5" a="1"/>
  <c r="J10" i="5" a="1"/>
  <c r="H128" i="5" a="1"/>
  <c r="N85" i="5" a="1"/>
  <c r="N109" i="5" a="1"/>
  <c r="N145" i="5" a="1"/>
  <c r="H107" i="5" a="1"/>
  <c r="N144" i="5" a="1"/>
  <c r="B96" i="5" a="1"/>
  <c r="M118" i="5" a="1"/>
  <c r="J47" i="5" a="1"/>
  <c r="N102" i="5" a="1"/>
  <c r="K177" i="5" a="1"/>
  <c r="L192" i="5" a="1"/>
  <c r="L228" i="5" a="1"/>
  <c r="J151" i="5" a="1"/>
  <c r="N183" i="5" a="1"/>
  <c r="N217" i="5" a="1"/>
  <c r="N253" i="5" a="1"/>
  <c r="H170" i="5" a="1"/>
  <c r="M166" i="5" a="1"/>
  <c r="E195" i="5" a="1"/>
  <c r="B193" i="5" a="1"/>
  <c r="N202" i="5" a="1"/>
  <c r="N238" i="5" a="1"/>
  <c r="B216" i="5" a="1"/>
  <c r="M200" i="5" a="1"/>
  <c r="M236" i="5" a="1"/>
  <c r="N98" i="5" a="1"/>
  <c r="I207" i="5" a="1"/>
  <c r="J69" i="5" a="1"/>
  <c r="N199" i="5" a="1"/>
  <c r="N235" i="5" a="1"/>
  <c r="K172" i="5" a="1"/>
  <c r="E94" i="5" a="1"/>
  <c r="B168" i="5" a="1"/>
  <c r="E187" i="5" a="1"/>
  <c r="H277" i="5" a="1"/>
  <c r="L222" i="5" a="1"/>
  <c r="E262" i="5" a="1"/>
  <c r="B234" i="5" a="1"/>
  <c r="H237" i="5" a="1"/>
  <c r="I288" i="5" a="1"/>
  <c r="K240" i="5" a="1"/>
  <c r="N258" i="5" a="1"/>
  <c r="N292" i="5" a="1"/>
  <c r="H234" i="5" a="1"/>
  <c r="N219" i="5" a="1"/>
  <c r="J287" i="5" a="1"/>
  <c r="B259" i="5" a="1"/>
  <c r="L264" i="5" a="1"/>
  <c r="E220" i="5" a="1"/>
  <c r="H228" i="5" a="1"/>
  <c r="I284" i="5" a="1"/>
  <c r="J236" i="5" a="1"/>
  <c r="K253" i="5" a="1"/>
  <c r="L247" i="5" a="1"/>
  <c r="L260" i="5" a="1"/>
  <c r="K212" i="5" a="1"/>
  <c r="B237" i="4" a="1"/>
  <c r="B330" i="4" a="1"/>
  <c r="B568" i="4" a="1"/>
  <c r="B945" i="4" a="1"/>
  <c r="B1055" i="4" a="1"/>
  <c r="B759" i="4" a="1"/>
  <c r="B1249" i="4" a="1"/>
  <c r="B1081" i="4" a="1"/>
  <c r="B1544" i="4" a="1"/>
  <c r="B1754" i="4" a="1"/>
  <c r="B1467" i="4" a="1"/>
  <c r="B1342" i="4" a="1"/>
  <c r="B1329" i="4" a="1"/>
  <c r="B1479" i="4" a="1"/>
  <c r="B1391" i="4" a="1"/>
  <c r="B1769" i="4" a="1"/>
  <c r="B1633" i="4" a="1"/>
  <c r="B1920" i="4" a="1"/>
  <c r="B1426" i="4" a="1"/>
  <c r="B1873" i="4" a="1"/>
  <c r="B1637" i="4" a="1"/>
  <c r="B1691" i="4" a="1"/>
  <c r="B2067" i="4" a="1"/>
  <c r="B2332" i="4" a="1"/>
  <c r="B1906" i="4" a="1"/>
  <c r="B2285" i="4" a="1"/>
  <c r="B1681" i="4" a="1"/>
  <c r="B2208" i="4" a="1"/>
  <c r="B1683" i="4" a="1"/>
  <c r="B2137" i="4" a="1"/>
  <c r="B1649" i="4" a="1"/>
  <c r="B2150" i="4" a="1"/>
  <c r="B1823" i="4" a="1"/>
  <c r="B2163" i="4" a="1"/>
  <c r="B1477" i="4" a="1"/>
  <c r="M23" i="5" a="1"/>
  <c r="L82" i="5" a="1"/>
  <c r="J19" i="5" a="1"/>
  <c r="J79" i="5" a="1"/>
  <c r="K31" i="5" a="1"/>
  <c r="B12" i="5" a="1"/>
  <c r="H51" i="5" a="1"/>
  <c r="M104" i="5" a="1"/>
  <c r="M43" i="5" a="1"/>
  <c r="H98" i="5" a="1"/>
  <c r="J39" i="5" a="1"/>
  <c r="I98" i="5" a="1"/>
  <c r="H36" i="5" a="1"/>
  <c r="B32" i="5" a="1"/>
  <c r="I48" i="5" a="1"/>
  <c r="E68" i="5" a="1"/>
  <c r="I136" i="5" a="1"/>
  <c r="N3" i="5" a="1"/>
  <c r="H57" i="5" a="1"/>
  <c r="K96" i="5" a="1"/>
  <c r="N107" i="5" a="1"/>
  <c r="E143" i="5" a="1"/>
  <c r="L96" i="5" a="1"/>
  <c r="K111" i="5" a="1"/>
  <c r="E18" i="5" a="1"/>
  <c r="L35" i="5" a="1"/>
  <c r="H131" i="5" a="1"/>
  <c r="H167" i="5" a="1"/>
  <c r="E54" i="5" a="1"/>
  <c r="M135" i="5" a="1"/>
  <c r="M171" i="5" a="1"/>
  <c r="H117" i="5" a="1"/>
  <c r="H153" i="5" a="1"/>
  <c r="N14" i="5" a="1"/>
  <c r="I129" i="5" a="1"/>
  <c r="E89" i="5" a="1"/>
  <c r="E113" i="5" a="1"/>
  <c r="E149" i="5" a="1"/>
  <c r="E112" i="5" a="1"/>
  <c r="E148" i="5" a="1"/>
  <c r="L97" i="5" a="1"/>
  <c r="N119" i="5" a="1"/>
  <c r="N51" i="5" a="1"/>
  <c r="H104" i="5" a="1"/>
  <c r="K183" i="5" a="1"/>
  <c r="M193" i="5" a="1"/>
  <c r="M229" i="5" a="1"/>
  <c r="L156" i="5" a="1"/>
  <c r="E185" i="5" a="1"/>
  <c r="E221" i="5" a="1"/>
  <c r="J23" i="5" a="1"/>
  <c r="N174" i="5" a="1"/>
  <c r="I173" i="5" a="1"/>
  <c r="H197" i="5" a="1"/>
  <c r="B205" i="5" a="1"/>
  <c r="E206" i="5" a="1"/>
  <c r="E242" i="5" a="1"/>
  <c r="B228" i="5" a="1"/>
  <c r="N201" i="5" a="1"/>
  <c r="N237" i="5" a="1"/>
  <c r="M106" i="5" a="1"/>
  <c r="J208" i="5" a="1"/>
  <c r="H92" i="5" a="1"/>
  <c r="E203" i="5" a="1"/>
  <c r="E239" i="5" a="1"/>
  <c r="E174" i="5" a="1"/>
  <c r="J108" i="5" a="1"/>
  <c r="J177" i="5" a="1"/>
  <c r="J191" i="5" a="1"/>
  <c r="I278" i="5" a="1"/>
  <c r="L230" i="5" a="1"/>
  <c r="H264" i="5" a="1"/>
  <c r="B239" i="5" a="1"/>
  <c r="M243" i="5" a="1"/>
  <c r="J289" i="5" a="1"/>
  <c r="H245" i="5" a="1"/>
  <c r="E260" i="5" a="1"/>
  <c r="E296" i="5" a="1"/>
  <c r="B236" i="5" a="1"/>
  <c r="E231" i="5" a="1"/>
  <c r="M127" i="5" a="1"/>
  <c r="B269" i="5" a="1"/>
  <c r="M265" i="5" a="1"/>
  <c r="M221" i="5" a="1"/>
  <c r="B233" i="5" a="1"/>
  <c r="J285" i="5" a="1"/>
  <c r="J244" i="5" a="1"/>
  <c r="E255" i="5" a="1"/>
  <c r="M256" i="5" a="1"/>
  <c r="M261" i="5" a="1"/>
  <c r="H230" i="5" a="1"/>
  <c r="B255" i="4" a="1"/>
  <c r="B13" i="4" a="1"/>
  <c r="B586" i="4" a="1"/>
  <c r="B963" i="4" a="1"/>
  <c r="B1073" i="4" a="1"/>
  <c r="B871" i="4" a="1"/>
  <c r="B1267" i="4" a="1"/>
  <c r="B1092" i="4" a="1"/>
  <c r="B1550" i="4" a="1"/>
  <c r="B1766" i="4" a="1"/>
  <c r="B1492" i="4" a="1"/>
  <c r="B1411" i="4" a="1"/>
  <c r="B1389" i="4" a="1"/>
  <c r="B1487" i="4" a="1"/>
  <c r="B1480" i="4" a="1"/>
  <c r="B770" i="4" a="1"/>
  <c r="B1651" i="4" a="1"/>
  <c r="B1926" i="4" a="1"/>
  <c r="B1525" i="4" a="1"/>
  <c r="B1885" i="4" a="1"/>
  <c r="B1663" i="4" a="1"/>
  <c r="B1699" i="4" a="1"/>
  <c r="B2075" i="4" a="1"/>
  <c r="B2338" i="4" a="1"/>
  <c r="B1924" i="4" a="1"/>
  <c r="B2297" i="4" a="1"/>
  <c r="B1717" i="4" a="1"/>
  <c r="B2214" i="4" a="1"/>
  <c r="B1725" i="4" a="1"/>
  <c r="B2149" i="4" a="1"/>
  <c r="B1816" i="4" a="1"/>
  <c r="B2156" i="4" a="1"/>
  <c r="B1841" i="4" a="1"/>
  <c r="B2169" i="4" a="1"/>
  <c r="B2024" i="4" a="1"/>
  <c r="E28" i="5" a="1"/>
  <c r="M83" i="5" a="1"/>
  <c r="K20" i="5" a="1"/>
  <c r="K80" i="5" a="1"/>
  <c r="M33" i="5" a="1"/>
  <c r="B36" i="5" a="1"/>
  <c r="I52" i="5" a="1"/>
  <c r="N105" i="5" a="1"/>
  <c r="N44" i="5" a="1"/>
  <c r="J100" i="5" a="1"/>
  <c r="B321" i="4" a="1"/>
  <c r="B79" i="4" a="1"/>
  <c r="B652" i="4" a="1"/>
  <c r="B1029" i="4" a="1"/>
  <c r="B1139" i="4" a="1"/>
  <c r="B624" i="4" a="1"/>
  <c r="B1333" i="4" a="1"/>
  <c r="B1110" i="4" a="1"/>
  <c r="B1562" i="4" a="1"/>
  <c r="B1790" i="4" a="1"/>
  <c r="B502" i="4" a="1"/>
  <c r="B1421" i="4" a="1"/>
  <c r="B1401" i="4" a="1"/>
  <c r="B1529" i="4" a="1"/>
  <c r="B1191" i="4" a="1"/>
  <c r="B1516" i="4" a="1"/>
  <c r="B1702" i="4" a="1"/>
  <c r="B1932" i="4" a="1"/>
  <c r="B1608" i="4" a="1"/>
  <c r="B1909" i="4" a="1"/>
  <c r="B1756" i="4" a="1"/>
  <c r="B1126" i="4" a="1"/>
  <c r="B2091" i="4" a="1"/>
  <c r="B1666" i="4" a="1"/>
  <c r="B1994" i="4" a="1"/>
  <c r="B2303" i="4" a="1"/>
  <c r="B2003" i="4" a="1"/>
  <c r="B2220" i="4" a="1"/>
  <c r="B1854" i="4" a="1"/>
  <c r="B2173" i="4" a="1"/>
  <c r="B1839" i="4" a="1"/>
  <c r="B2162" i="4" a="1"/>
  <c r="B1973" i="4" a="1"/>
  <c r="B2181" i="4" a="1"/>
  <c r="B1957" i="4" a="1"/>
  <c r="H30" i="5" a="1"/>
  <c r="B381" i="4" a="1"/>
  <c r="B139" i="4" a="1"/>
  <c r="B712" i="4" a="1"/>
  <c r="B1089" i="4" a="1"/>
  <c r="B799" i="4" a="1"/>
  <c r="B819" i="4" a="1"/>
  <c r="B555" i="4" a="1"/>
  <c r="B1128" i="4" a="1"/>
  <c r="B1568" i="4" a="1"/>
  <c r="B1802" i="4" a="1"/>
  <c r="B962" i="4" a="1"/>
  <c r="B1520" i="4" a="1"/>
  <c r="B1423" i="4" a="1"/>
  <c r="B691" i="4" a="1"/>
  <c r="B1239" i="4" a="1"/>
  <c r="B1684" i="4" a="1"/>
  <c r="B1745" i="4" a="1"/>
  <c r="B1938" i="4" a="1"/>
  <c r="B1626" i="4" a="1"/>
  <c r="B1921" i="4" a="1"/>
  <c r="B1773" i="4" a="1"/>
  <c r="B1800" i="4" a="1"/>
  <c r="B2098" i="4" a="1"/>
  <c r="B1708" i="4" a="1"/>
  <c r="B2019" i="4" a="1"/>
  <c r="B2309" i="4" a="1"/>
  <c r="B2037" i="4" a="1"/>
  <c r="B2226" i="4" a="1"/>
  <c r="B1979" i="4" a="1"/>
  <c r="B2185" i="4" a="1"/>
  <c r="B1865" i="4" a="1"/>
  <c r="B2180" i="4" a="1"/>
  <c r="B1982" i="4" a="1"/>
  <c r="B2187" i="4" a="1"/>
  <c r="B1990" i="4" a="1"/>
  <c r="I31" i="5" a="1"/>
  <c r="I91" i="5" a="1"/>
  <c r="M22" i="5" a="1"/>
  <c r="N83" i="5" a="1"/>
  <c r="K43" i="5" a="1"/>
  <c r="B60" i="5" a="1"/>
  <c r="M56" i="5" a="1"/>
  <c r="B11" i="5" a="1"/>
  <c r="I51" i="5" a="1"/>
  <c r="B10" i="5" a="1"/>
  <c r="B399" i="4" a="1"/>
  <c r="B157" i="4" a="1"/>
  <c r="B730" i="4" a="1"/>
  <c r="B1107" i="4" a="1"/>
  <c r="B846" i="4" a="1"/>
  <c r="B1122" i="4" a="1"/>
  <c r="B1099" i="4" a="1"/>
  <c r="B603" i="4" a="1"/>
  <c r="B1580" i="4" a="1"/>
  <c r="B1808" i="4" a="1"/>
  <c r="B1052" i="4" a="1"/>
  <c r="B1534" i="4" a="1"/>
  <c r="B1451" i="4" a="1"/>
  <c r="B1185" i="4" a="1"/>
  <c r="B1263" i="4" a="1"/>
  <c r="B1701" i="4" a="1"/>
  <c r="B1753" i="4" a="1"/>
  <c r="B1950" i="4" a="1"/>
  <c r="B1678" i="4" a="1"/>
  <c r="B1927" i="4" a="1"/>
  <c r="B1782" i="4" a="1"/>
  <c r="B1824" i="4" a="1"/>
  <c r="B2120" i="4" a="1"/>
  <c r="B1967" i="4" a="1"/>
  <c r="B2044" i="4" a="1"/>
  <c r="B2315" i="4" a="1"/>
  <c r="B1381" i="4" a="1"/>
  <c r="B2238" i="4" a="1"/>
  <c r="B2005" i="4" a="1"/>
  <c r="B2191" i="4" a="1"/>
  <c r="B1883" i="4" a="1"/>
  <c r="B2186" i="4" a="1"/>
  <c r="B2007" i="4" a="1"/>
  <c r="B2199" i="4" a="1"/>
  <c r="B1965" i="4" a="1"/>
  <c r="J32" i="5" a="1"/>
  <c r="J92" i="5" a="1"/>
  <c r="E27" i="5" a="1"/>
  <c r="H89" i="5" a="1"/>
  <c r="L44" i="5" a="1"/>
  <c r="B72" i="5" a="1"/>
  <c r="N57" i="5" a="1"/>
  <c r="B35" i="5" a="1"/>
  <c r="K53" i="5" a="1"/>
  <c r="B465" i="4" a="1"/>
  <c r="B223" i="4" a="1"/>
  <c r="B796" i="4" a="1"/>
  <c r="B1173" i="4" a="1"/>
  <c r="B816" i="4" a="1"/>
  <c r="B1217" i="4" a="1"/>
  <c r="B1169" i="4" a="1"/>
  <c r="B1192" i="4" a="1"/>
  <c r="B1586" i="4" a="1"/>
  <c r="B1814" i="4" a="1"/>
  <c r="B1341" i="4" a="1"/>
  <c r="B1546" i="4" a="1"/>
  <c r="B1360" i="4" a="1"/>
  <c r="B1209" i="4" a="1"/>
  <c r="B1318" i="4" a="1"/>
  <c r="B1710" i="4" a="1"/>
  <c r="B1491" i="4" a="1"/>
  <c r="B1974" i="4" a="1"/>
  <c r="B1695" i="4" a="1"/>
  <c r="B1933" i="4" a="1"/>
  <c r="B1806" i="4" a="1"/>
  <c r="B1877" i="4" a="1"/>
  <c r="B2146" i="4" a="1"/>
  <c r="B1976" i="4" a="1"/>
  <c r="B2068" i="4" a="1"/>
  <c r="B2321" i="4" a="1"/>
  <c r="B1639" i="4" a="1"/>
  <c r="B2262" i="4" a="1"/>
  <c r="B2013" i="4" a="1"/>
  <c r="B2197" i="4" a="1"/>
  <c r="B1901" i="4" a="1"/>
  <c r="B2198" i="4" a="1"/>
  <c r="B2073" i="4" a="1"/>
  <c r="B2205" i="4" a="1"/>
  <c r="B1855" i="4" a="1"/>
  <c r="K33" i="5" a="1"/>
  <c r="B22" i="4" a="1"/>
  <c r="B50" i="4" a="1"/>
  <c r="B498" i="4" a="1"/>
  <c r="B866" i="4" a="1"/>
  <c r="B636" i="4" a="1"/>
  <c r="B1277" i="4" a="1"/>
  <c r="B1238" i="4" a="1"/>
  <c r="B1204" i="4" a="1"/>
  <c r="B1592" i="4" a="1"/>
  <c r="B1832" i="4" a="1"/>
  <c r="B1533" i="4" a="1"/>
  <c r="B1552" i="4" a="1"/>
  <c r="B1461" i="4" a="1"/>
  <c r="B1233" i="4" a="1"/>
  <c r="B1481" i="4" a="1"/>
  <c r="B1727" i="4" a="1"/>
  <c r="B1543" i="4" a="1"/>
  <c r="B1986" i="4" a="1"/>
  <c r="B1704" i="4" a="1"/>
  <c r="B1429" i="4" a="1"/>
  <c r="B1830" i="4" a="1"/>
  <c r="B1895" i="4" a="1"/>
  <c r="B2158" i="4" a="1"/>
  <c r="B1993" i="4" a="1"/>
  <c r="B2114" i="4" a="1"/>
  <c r="B2327" i="4" a="1"/>
  <c r="B1863" i="4" a="1"/>
  <c r="B2274" i="4" a="1"/>
  <c r="B2038" i="4" a="1"/>
  <c r="B2215" i="4" a="1"/>
  <c r="B1919" i="4" a="1"/>
  <c r="B2204" i="4" a="1"/>
  <c r="B2111" i="4" a="1"/>
  <c r="B2211" i="4" a="1"/>
  <c r="M1952" i="5" a="1"/>
  <c r="L34" i="5" a="1"/>
  <c r="M95" i="5" a="1"/>
  <c r="M34" i="5" a="1"/>
  <c r="J91" i="5" a="1"/>
  <c r="H52" i="5" a="1"/>
  <c r="I64" i="5" a="1"/>
  <c r="B107" i="5" a="1"/>
  <c r="M55" i="5" a="1"/>
  <c r="B40" i="4" a="1"/>
  <c r="B68" i="4" a="1"/>
  <c r="B335" i="4" a="1"/>
  <c r="B535" i="4" a="1"/>
  <c r="B715" i="4" a="1"/>
  <c r="B1295" i="4" a="1"/>
  <c r="B1256" i="4" a="1"/>
  <c r="B1210" i="4" a="1"/>
  <c r="B1598" i="4" a="1"/>
  <c r="B1838" i="4" a="1"/>
  <c r="B1545" i="4" a="1"/>
  <c r="B1564" i="4" a="1"/>
  <c r="B690" i="4" a="1"/>
  <c r="B1257" i="4" a="1"/>
  <c r="B1498" i="4" a="1"/>
  <c r="B1794" i="4" a="1"/>
  <c r="B1625" i="4" a="1"/>
  <c r="B1992" i="4" a="1"/>
  <c r="B1721" i="4" a="1"/>
  <c r="B1499" i="4" a="1"/>
  <c r="B1437" i="4" a="1"/>
  <c r="B1931" i="4" a="1"/>
  <c r="B2164" i="4" a="1"/>
  <c r="B2001" i="4" a="1"/>
  <c r="B2121" i="4" a="1"/>
  <c r="B2339" i="4" a="1"/>
  <c r="B1899" i="4" a="1"/>
  <c r="B2280" i="4" a="1"/>
  <c r="B2047" i="4" a="1"/>
  <c r="B2221" i="4" a="1"/>
  <c r="B1997" i="4" a="1"/>
  <c r="B2216" i="4" a="1"/>
  <c r="B2118" i="4" a="1"/>
  <c r="B2217" i="4" a="1"/>
  <c r="M1953" i="5" a="1"/>
  <c r="N36" i="5" a="1"/>
  <c r="E100" i="5" a="1"/>
  <c r="N35" i="5" a="1"/>
  <c r="B13" i="5" a="1"/>
  <c r="I53" i="5" a="1"/>
  <c r="J5" i="5" a="1"/>
  <c r="K66" i="5" a="1"/>
  <c r="I3" i="5" a="1"/>
  <c r="N56" i="5" a="1"/>
  <c r="B82" i="5" a="1"/>
  <c r="K52" i="5" a="1"/>
  <c r="B57" i="5" a="1"/>
  <c r="L52" i="5" a="1"/>
  <c r="E9" i="5" a="1"/>
  <c r="E69" i="5" a="1"/>
  <c r="I23" i="5" a="1"/>
  <c r="B52" i="5" a="1"/>
  <c r="M152" i="5" a="1"/>
  <c r="M73" i="5" a="1"/>
  <c r="L107" i="5" a="1"/>
  <c r="B154" i="5" a="1"/>
  <c r="N115" i="5" a="1"/>
  <c r="N151" i="5" a="1"/>
  <c r="B165" i="5" a="1"/>
  <c r="J122" i="5" a="1"/>
  <c r="E67" i="5" a="1"/>
  <c r="N101" i="5" a="1"/>
  <c r="E141" i="5" a="1"/>
  <c r="J71" i="5" a="1"/>
  <c r="L110" i="5" a="1"/>
  <c r="L146" i="5" a="1"/>
  <c r="L182" i="5" a="1"/>
  <c r="E127" i="5" a="1"/>
  <c r="E163" i="5" a="1"/>
  <c r="N63" i="5" a="1"/>
  <c r="H140" i="5" a="1"/>
  <c r="B124" i="5" a="1"/>
  <c r="N121" i="5" a="1"/>
  <c r="N157" i="5" a="1"/>
  <c r="N120" i="5" a="1"/>
  <c r="N156" i="5" a="1"/>
  <c r="K11" i="5" a="1"/>
  <c r="M130" i="5" a="1"/>
  <c r="H96" i="5" a="1"/>
  <c r="L116" i="5" a="1"/>
  <c r="B125" i="5" a="1"/>
  <c r="L204" i="5" a="1"/>
  <c r="L240" i="5" a="1"/>
  <c r="B196" i="5" a="1"/>
  <c r="N193" i="5" a="1"/>
  <c r="N229" i="5" a="1"/>
  <c r="I176" i="5" a="1"/>
  <c r="M191" i="5" a="1"/>
  <c r="K137" i="5" a="1"/>
  <c r="E207" i="5" a="1"/>
  <c r="H149" i="5" a="1"/>
  <c r="N214" i="5" a="1"/>
  <c r="N250" i="5" a="1"/>
  <c r="E146" i="5" a="1"/>
  <c r="M212" i="5" a="1"/>
  <c r="E106" i="5" a="1"/>
  <c r="N173" i="5" a="1"/>
  <c r="L160" i="5" a="1"/>
  <c r="K167" i="5" a="1"/>
  <c r="N211" i="5" a="1"/>
  <c r="N247" i="5" a="1"/>
  <c r="I123" i="5" a="1"/>
  <c r="M169" i="5" a="1"/>
  <c r="B213" i="5" a="1"/>
  <c r="E237" i="5" a="1"/>
  <c r="H289" i="5" a="1"/>
  <c r="B261" i="5" a="1"/>
  <c r="E274" i="5" a="1"/>
  <c r="B272" i="5" a="1"/>
  <c r="I264" i="5" a="1"/>
  <c r="I300" i="5" a="1"/>
  <c r="B319" i="5" a="1"/>
  <c r="N268" i="5" a="1"/>
  <c r="N304" i="5" a="1"/>
  <c r="E256" i="5" a="1"/>
  <c r="J263" i="5" a="1"/>
  <c r="N209" i="5" a="1"/>
  <c r="N184" i="5" a="1"/>
  <c r="L276" i="5" a="1"/>
  <c r="M254" i="5" a="1"/>
  <c r="I260" i="5" a="1"/>
  <c r="I296" i="5" a="1"/>
  <c r="L194" i="5" a="1"/>
  <c r="E267" i="5" a="1"/>
  <c r="B106" i="4" a="1"/>
  <c r="B134" i="4" a="1"/>
  <c r="B377" i="4" a="1"/>
  <c r="B844" i="4" a="1"/>
  <c r="B685" i="4" a="1"/>
  <c r="B1361" i="4" a="1"/>
  <c r="B1322" i="4" a="1"/>
  <c r="B1216" i="4" a="1"/>
  <c r="B1604" i="4" a="1"/>
  <c r="B1850" i="4" a="1"/>
  <c r="B1171" i="4" a="1"/>
  <c r="B1570" i="4" a="1"/>
  <c r="B1070" i="4" a="1"/>
  <c r="B1330" i="4" a="1"/>
  <c r="B1417" i="4" a="1"/>
  <c r="B1455" i="4" a="1"/>
  <c r="B1643" i="4" a="1"/>
  <c r="B1998" i="4" a="1"/>
  <c r="B1729" i="4" a="1"/>
  <c r="B1696" i="4" a="1"/>
  <c r="B1714" i="4" a="1"/>
  <c r="B1949" i="4" a="1"/>
  <c r="B2170" i="4" a="1"/>
  <c r="B2026" i="4" a="1"/>
  <c r="B2135" i="4" a="1"/>
  <c r="B1862" i="4" a="1"/>
  <c r="B1917" i="4" a="1"/>
  <c r="B2286" i="4" a="1"/>
  <c r="B2071" i="4" a="1"/>
  <c r="B2233" i="4" a="1"/>
  <c r="B2048" i="4" a="1"/>
  <c r="B2222" i="4" a="1"/>
  <c r="B1573" i="4" a="1"/>
  <c r="B2223" i="4" a="1"/>
  <c r="M1955" i="5" a="1"/>
  <c r="J44" i="5" a="1"/>
  <c r="H102" i="5" a="1"/>
  <c r="E39" i="5" a="1"/>
  <c r="B25" i="5" a="1"/>
  <c r="K55" i="5" a="1"/>
  <c r="N9" i="5" a="1"/>
  <c r="L67" i="5" a="1"/>
  <c r="J4" i="5" a="1"/>
  <c r="E60" i="5" a="1"/>
  <c r="B106" i="5" a="1"/>
  <c r="E59" i="5" a="1"/>
  <c r="B69" i="5" a="1"/>
  <c r="M53" i="5" a="1"/>
  <c r="I72" i="5" a="1"/>
  <c r="M27" i="5" a="1"/>
  <c r="I56" i="5" a="1"/>
  <c r="N153" i="5" a="1"/>
  <c r="E77" i="5" a="1"/>
  <c r="H110" i="5" a="1"/>
  <c r="B166" i="5" a="1"/>
  <c r="E119" i="5" a="1"/>
  <c r="E155" i="5" a="1"/>
  <c r="K123" i="5" a="1"/>
  <c r="J81" i="5" a="1"/>
  <c r="H103" i="5" a="1"/>
  <c r="H143" i="5" a="1"/>
  <c r="H82" i="5" a="1"/>
  <c r="M111" i="5" a="1"/>
  <c r="M147" i="5" a="1"/>
  <c r="M183" i="5" a="1"/>
  <c r="H129" i="5" a="1"/>
  <c r="H165" i="5" a="1"/>
  <c r="L95" i="5" a="1"/>
  <c r="I141" i="5" a="1"/>
  <c r="B136" i="5" a="1"/>
  <c r="E125" i="5" a="1"/>
  <c r="E161" i="5" a="1"/>
  <c r="E124" i="5" a="1"/>
  <c r="E160" i="5" a="1"/>
  <c r="J33" i="5" a="1"/>
  <c r="N131" i="5" a="1"/>
  <c r="M97" i="5" a="1"/>
  <c r="M117" i="5" a="1"/>
  <c r="H148" i="5" a="1"/>
  <c r="M205" i="5" a="1"/>
  <c r="M241" i="5" a="1"/>
  <c r="B208" i="5" a="1"/>
  <c r="E197" i="5" a="1"/>
  <c r="E233" i="5" a="1"/>
  <c r="M177" i="5" a="1"/>
  <c r="N192" i="5" a="1"/>
  <c r="M141" i="5" a="1"/>
  <c r="H209" i="5" a="1"/>
  <c r="N154" i="5" a="1"/>
  <c r="E218" i="5" a="1"/>
  <c r="E254" i="5" a="1"/>
  <c r="M157" i="5" a="1"/>
  <c r="N213" i="5" a="1"/>
  <c r="H122" i="5" a="1"/>
  <c r="B183" i="5" a="1"/>
  <c r="J165" i="5" a="1"/>
  <c r="H169" i="5" a="1"/>
  <c r="E215" i="5" a="1"/>
  <c r="E251" i="5" a="1"/>
  <c r="I135" i="5" a="1"/>
  <c r="N175" i="5" a="1"/>
  <c r="E216" i="5" a="1"/>
  <c r="K243" i="5" a="1"/>
  <c r="I290" i="5" a="1"/>
  <c r="B273" i="5" a="1"/>
  <c r="H276" i="5" a="1"/>
  <c r="B284" i="5" a="1"/>
  <c r="J265" i="5" a="1"/>
  <c r="J301" i="5" a="1"/>
  <c r="I177" i="5" a="1"/>
  <c r="B166" i="4" a="1"/>
  <c r="B194" i="4" a="1"/>
  <c r="B450" i="4" a="1"/>
  <c r="B771" i="4" a="1"/>
  <c r="B906" i="4" a="1"/>
  <c r="B968" i="4" a="1"/>
  <c r="B1382" i="4" a="1"/>
  <c r="B1234" i="4" a="1"/>
  <c r="B1610" i="4" a="1"/>
  <c r="B1856" i="4" a="1"/>
  <c r="B1385" i="4" a="1"/>
  <c r="B1576" i="4" a="1"/>
  <c r="B1377" i="4" a="1"/>
  <c r="B1390" i="4" a="1"/>
  <c r="B1427" i="4" a="1"/>
  <c r="B1542" i="4" a="1"/>
  <c r="B1660" i="4" a="1"/>
  <c r="B2016" i="4" a="1"/>
  <c r="B1804" i="4" a="1"/>
  <c r="B1713" i="4" a="1"/>
  <c r="B1740" i="4" a="1"/>
  <c r="B1958" i="4" a="1"/>
  <c r="B2188" i="4" a="1"/>
  <c r="B1515" i="4" a="1"/>
  <c r="B2141" i="4" a="1"/>
  <c r="B1969" i="4" a="1"/>
  <c r="B1935" i="4" a="1"/>
  <c r="B2304" i="4" a="1"/>
  <c r="B1555" i="4" a="1"/>
  <c r="B2239" i="4" a="1"/>
  <c r="B2117" i="4" a="1"/>
  <c r="B2228" i="4" a="1"/>
  <c r="B1843" i="4" a="1"/>
  <c r="B2229" i="4" a="1"/>
  <c r="M1956" i="5" a="1"/>
  <c r="L46" i="5" a="1"/>
  <c r="I103" i="5" a="1"/>
  <c r="J43" i="5" a="1"/>
  <c r="B37" i="5" a="1"/>
  <c r="L56" i="5" a="1"/>
  <c r="M68" i="5" a="1"/>
  <c r="M7" i="5" a="1"/>
  <c r="H62" i="5" a="1"/>
  <c r="J3" i="5" a="1"/>
  <c r="I62" i="5" a="1"/>
  <c r="B81" i="5" a="1"/>
  <c r="H60" i="5" a="1"/>
  <c r="I12" i="5" a="1"/>
  <c r="J73" i="5" a="1"/>
  <c r="E32" i="5" a="1"/>
  <c r="M60" i="5" a="1"/>
  <c r="I160" i="5" a="1"/>
  <c r="J84" i="5" a="1"/>
  <c r="I111" i="5" a="1"/>
  <c r="B4" i="5" a="1"/>
  <c r="H121" i="5" a="1"/>
  <c r="H157" i="5" a="1"/>
  <c r="L13" i="5" a="1"/>
  <c r="L124" i="5" a="1"/>
  <c r="M84" i="5" a="1"/>
  <c r="E105" i="5" a="1"/>
  <c r="I144" i="5" a="1"/>
  <c r="K85" i="5" a="1"/>
  <c r="N112" i="5" a="1"/>
  <c r="N148" i="5" a="1"/>
  <c r="I10" i="5" a="1"/>
  <c r="I130" i="5" a="1"/>
  <c r="I166" i="5" a="1"/>
  <c r="L100" i="5" a="1"/>
  <c r="J142" i="5" a="1"/>
  <c r="B148" i="5" a="1"/>
  <c r="H127" i="5" a="1"/>
  <c r="H163" i="5" a="1"/>
  <c r="H126" i="5" a="1"/>
  <c r="H162" i="5" a="1"/>
  <c r="N37" i="5" a="1"/>
  <c r="E135" i="5" a="1"/>
  <c r="K99" i="5" a="1"/>
  <c r="N118" i="5" a="1"/>
  <c r="M161" i="5" a="1"/>
  <c r="N206" i="5" a="1"/>
  <c r="N242" i="5" a="1"/>
  <c r="B220" i="5" a="1"/>
  <c r="H199" i="5" a="1"/>
  <c r="H235" i="5" a="1"/>
  <c r="H179" i="5" a="1"/>
  <c r="E196" i="5" a="1"/>
  <c r="I162" i="5" a="1"/>
  <c r="I210" i="5" a="1"/>
  <c r="J170" i="5" a="1"/>
  <c r="H220" i="5" a="1"/>
  <c r="H256" i="5" a="1"/>
  <c r="H160" i="5" a="1"/>
  <c r="E217" i="5" a="1"/>
  <c r="N130" i="5" a="1"/>
  <c r="K185" i="5" a="1"/>
  <c r="B171" i="5" a="1"/>
  <c r="B177" i="5" a="1"/>
  <c r="H217" i="5" a="1"/>
  <c r="H253" i="5" a="1"/>
  <c r="J150" i="5" a="1"/>
  <c r="I183" i="5" a="1"/>
  <c r="E224" i="5" a="1"/>
  <c r="B245" i="5" a="1"/>
  <c r="J291" i="5" a="1"/>
  <c r="B285" i="5" a="1"/>
  <c r="I277" i="5" a="1"/>
  <c r="B296" i="5" a="1"/>
  <c r="K266" i="5" a="1"/>
  <c r="K302" i="5" a="1"/>
  <c r="K192" i="5" a="1"/>
  <c r="H274" i="5" a="1"/>
  <c r="H310" i="5" a="1"/>
  <c r="B270" i="5" a="1"/>
  <c r="L265" i="5" a="1"/>
  <c r="K213" i="5" a="1"/>
  <c r="H202" i="5" a="1"/>
  <c r="N278" i="5" a="1"/>
  <c r="M257" i="5" a="1"/>
  <c r="K262" i="5" a="1"/>
  <c r="K298" i="5" a="1"/>
  <c r="N210" i="5" a="1"/>
  <c r="I270" i="5" a="1"/>
  <c r="K207" i="5" a="1"/>
  <c r="N274" i="5" a="1"/>
  <c r="B120" i="5" a="1"/>
  <c r="B184" i="4" a="1"/>
  <c r="B289" i="4" a="1"/>
  <c r="B508" i="4" a="1"/>
  <c r="B287" i="4" a="1"/>
  <c r="B924" i="4" a="1"/>
  <c r="B1165" i="4" a="1"/>
  <c r="B1400" i="4" a="1"/>
  <c r="B1240" i="4" a="1"/>
  <c r="B1622" i="4" a="1"/>
  <c r="B1135" i="4" a="1"/>
  <c r="B1397" i="4" a="1"/>
  <c r="B1582" i="4" a="1"/>
  <c r="B1413" i="4" a="1"/>
  <c r="B1425" i="4" a="1"/>
  <c r="B1566" i="4" a="1"/>
  <c r="B1596" i="4" a="1"/>
  <c r="B1677" i="4" a="1"/>
  <c r="B2022" i="4" a="1"/>
  <c r="B1852" i="4" a="1"/>
  <c r="B1739" i="4" a="1"/>
  <c r="B1757" i="4" a="1"/>
  <c r="B1975" i="4" a="1"/>
  <c r="B2194" i="4" a="1"/>
  <c r="B1629" i="4" a="1"/>
  <c r="B2153" i="4" a="1"/>
  <c r="B1977" i="4" a="1"/>
  <c r="B1961" i="4" a="1"/>
  <c r="B2310" i="4" a="1"/>
  <c r="B1864" i="4" a="1"/>
  <c r="B2251" i="4" a="1"/>
  <c r="B2124" i="4" a="1"/>
  <c r="B2234" i="4" a="1"/>
  <c r="B1868" i="4" a="1"/>
  <c r="B2241" i="4" a="1"/>
  <c r="B15" i="5" a="1"/>
  <c r="M47" i="5" a="1"/>
  <c r="J104" i="5" a="1"/>
  <c r="K44" i="5" a="1"/>
  <c r="B61" i="5" a="1"/>
  <c r="N58" i="5" a="1"/>
  <c r="I16" i="5" a="1"/>
  <c r="N69" i="5" a="1"/>
  <c r="N8" i="5" a="1"/>
  <c r="J64" i="5" a="1"/>
  <c r="L5" i="5" a="1"/>
  <c r="J63" i="5" a="1"/>
  <c r="B93" i="5" a="1"/>
  <c r="I61" i="5" a="1"/>
  <c r="K14" i="5" a="1"/>
  <c r="L75" i="5" a="1"/>
  <c r="H34" i="5" a="1"/>
  <c r="E65" i="5" a="1"/>
  <c r="J161" i="5" a="1"/>
  <c r="M87" i="5" a="1"/>
  <c r="J112" i="5" a="1"/>
  <c r="I8" i="5" a="1"/>
  <c r="I122" i="5" a="1"/>
  <c r="I158" i="5" a="1"/>
  <c r="K35" i="5" a="1"/>
  <c r="M125" i="5" a="1"/>
  <c r="M96" i="5" a="1"/>
  <c r="J109" i="5" a="1"/>
  <c r="J145" i="5" a="1"/>
  <c r="N88" i="5" a="1"/>
  <c r="E116" i="5" a="1"/>
  <c r="E152" i="5" a="1"/>
  <c r="M14" i="5" a="1"/>
  <c r="J131" i="5" a="1"/>
  <c r="J167" i="5" a="1"/>
  <c r="E102" i="5" a="1"/>
  <c r="K143" i="5" a="1"/>
  <c r="B160" i="5" a="1"/>
  <c r="I128" i="5" a="1"/>
  <c r="E7" i="5" a="1"/>
  <c r="I127" i="5" a="1"/>
  <c r="I163" i="5" a="1"/>
  <c r="K60" i="5" a="1"/>
  <c r="H137" i="5" a="1"/>
  <c r="B101" i="5" a="1"/>
  <c r="E122" i="5" a="1"/>
  <c r="H164" i="5" a="1"/>
  <c r="E210" i="5" a="1"/>
  <c r="E246" i="5" a="1"/>
  <c r="B232" i="5" a="1"/>
  <c r="I200" i="5" a="1"/>
  <c r="I236" i="5" a="1"/>
  <c r="N180" i="5" a="1"/>
  <c r="H198" i="5" a="1"/>
  <c r="N168" i="5" a="1"/>
  <c r="I97" i="5" a="1"/>
  <c r="I185" i="5" a="1"/>
  <c r="I221" i="5" a="1"/>
  <c r="B250" i="4" a="1"/>
  <c r="B362" i="4" a="1"/>
  <c r="B575" i="4" a="1"/>
  <c r="B892" i="4" a="1"/>
  <c r="B990" i="4" a="1"/>
  <c r="B1096" i="4" a="1"/>
  <c r="B1424" i="4" a="1"/>
  <c r="B1252" i="4" a="1"/>
  <c r="B1646" i="4" a="1"/>
  <c r="B1323" i="4" a="1"/>
  <c r="B1420" i="4" a="1"/>
  <c r="B1588" i="4" a="1"/>
  <c r="B1513" i="4" a="1"/>
  <c r="B1462" i="4" a="1"/>
  <c r="B1667" i="4" a="1"/>
  <c r="B1623" i="4" a="1"/>
  <c r="B1686" i="4" a="1"/>
  <c r="B2034" i="4" a="1"/>
  <c r="B1569" i="4" a="1"/>
  <c r="B1747" i="4" a="1"/>
  <c r="B1765" i="4" a="1"/>
  <c r="B1983" i="4" a="1"/>
  <c r="B2206" i="4" a="1"/>
  <c r="B1776" i="4" a="1"/>
  <c r="B2159" i="4" a="1"/>
  <c r="B2002" i="4" a="1"/>
  <c r="B1970" i="4" a="1"/>
  <c r="B2322" i="4" a="1"/>
  <c r="B1900" i="4" a="1"/>
  <c r="B2257" i="4" a="1"/>
  <c r="B1981" i="4" a="1"/>
  <c r="B2240" i="4" a="1"/>
  <c r="B1886" i="4" a="1"/>
  <c r="B2265" i="4" a="1"/>
  <c r="B27" i="5" a="1"/>
  <c r="B17" i="4" a="1"/>
  <c r="B536" i="4" a="1"/>
  <c r="B635" i="4" a="1"/>
  <c r="B952" i="4" a="1"/>
  <c r="B1050" i="4" a="1"/>
  <c r="B1182" i="4" a="1"/>
  <c r="B1430" i="4" a="1"/>
  <c r="B1258" i="4" a="1"/>
  <c r="B1658" i="4" a="1"/>
  <c r="B1419" i="4" a="1"/>
  <c r="B1502" i="4" a="1"/>
  <c r="B1594" i="4" a="1"/>
  <c r="B1521" i="4" a="1"/>
  <c r="B1082" i="4" a="1"/>
  <c r="B1675" i="4" a="1"/>
  <c r="B1668" i="4" a="1"/>
  <c r="B1703" i="4" a="1"/>
  <c r="B2040" i="4" a="1"/>
  <c r="B1662" i="4" a="1"/>
  <c r="B1789" i="4" a="1"/>
  <c r="B1846" i="4" a="1"/>
  <c r="B2008" i="4" a="1"/>
  <c r="B2212" i="4" a="1"/>
  <c r="B1951" i="4" a="1"/>
  <c r="B2165" i="4" a="1"/>
  <c r="B1964" i="4" a="1"/>
  <c r="B1987" i="4" a="1"/>
  <c r="B2328" i="4" a="1"/>
  <c r="B1918" i="4" a="1"/>
  <c r="B2263" i="4" a="1"/>
  <c r="B1656" i="4" a="1"/>
  <c r="B2246" i="4" a="1"/>
  <c r="B1894" i="4" a="1"/>
  <c r="B2277" i="4" a="1"/>
  <c r="B39" i="5" a="1"/>
  <c r="I55" i="5" a="1"/>
  <c r="L106" i="5" a="1"/>
  <c r="N47" i="5" a="1"/>
  <c r="K7" i="5" a="1"/>
  <c r="H64" i="5" a="1"/>
  <c r="M20" i="5" a="1"/>
  <c r="H75" i="5" a="1"/>
  <c r="I15" i="5" a="1"/>
  <c r="H74" i="5" a="1"/>
  <c r="N7" i="5" a="1"/>
  <c r="N67" i="5" a="1"/>
  <c r="K3" i="5" a="1"/>
  <c r="L64" i="5" a="1"/>
  <c r="I24" i="5" a="1"/>
  <c r="N77" i="5" a="1"/>
  <c r="L38" i="5" a="1"/>
  <c r="B98" i="5" a="1"/>
  <c r="M164" i="5" a="1"/>
  <c r="J96" i="5" a="1"/>
  <c r="L114" i="5" a="1"/>
  <c r="E17" i="5" a="1"/>
  <c r="K124" i="5" a="1"/>
  <c r="K160" i="5" a="1"/>
  <c r="N61" i="5" a="1"/>
  <c r="E130" i="5" a="1"/>
  <c r="J106" i="5" a="1"/>
  <c r="L111" i="5" a="1"/>
  <c r="L147" i="5" a="1"/>
  <c r="L98" i="5" a="1"/>
  <c r="I119" i="5" a="1"/>
  <c r="I155" i="5" a="1"/>
  <c r="L36" i="5" a="1"/>
  <c r="L133" i="5" a="1"/>
  <c r="L169" i="5" a="1"/>
  <c r="M109" i="5" a="1"/>
  <c r="M145" i="5" a="1"/>
  <c r="B184" i="5" a="1"/>
  <c r="K130" i="5" a="1"/>
  <c r="N15" i="5" a="1"/>
  <c r="K129" i="5" a="1"/>
  <c r="K165" i="5" a="1"/>
  <c r="E90" i="5" a="1"/>
  <c r="J139" i="5" a="1"/>
  <c r="B133" i="5" a="1"/>
  <c r="I125" i="5" a="1"/>
  <c r="K171" i="5" a="1"/>
  <c r="I213" i="5" a="1"/>
  <c r="I249" i="5" a="1"/>
  <c r="B256" i="5" a="1"/>
  <c r="K202" i="5" a="1"/>
  <c r="K238" i="5" a="1"/>
  <c r="B207" i="5" a="1"/>
  <c r="J200" i="5" a="1"/>
  <c r="B178" i="5" a="1"/>
  <c r="M154" i="5" a="1"/>
  <c r="K187" i="5" a="1"/>
  <c r="K223" i="5" a="1"/>
  <c r="I149" i="5" a="1"/>
  <c r="J185" i="5" a="1"/>
  <c r="J221" i="5" a="1"/>
  <c r="N170" i="5" a="1"/>
  <c r="N188" i="5" a="1"/>
  <c r="J175" i="5" a="1"/>
  <c r="J181" i="5" a="1"/>
  <c r="K220" i="5" a="1"/>
  <c r="K256" i="5" a="1"/>
  <c r="K163" i="5" a="1"/>
  <c r="I94" i="5" a="1"/>
  <c r="L238" i="5" a="1"/>
  <c r="L255" i="5" a="1"/>
  <c r="M294" i="5" a="1"/>
  <c r="H192" i="5" a="1"/>
  <c r="I192" i="5" a="1"/>
  <c r="L71" i="5" a="1"/>
  <c r="N269" i="5" a="1"/>
  <c r="J124" i="5" a="1"/>
  <c r="M211" i="5" a="1"/>
  <c r="K277" i="5" a="1"/>
  <c r="K313" i="5" a="1"/>
  <c r="B306" i="5" a="1"/>
  <c r="E271" i="5" a="1"/>
  <c r="N224" i="5" a="1"/>
  <c r="B225" i="5" a="1"/>
  <c r="I285" i="5" a="1"/>
  <c r="B292" i="5" a="1"/>
  <c r="N265" i="5" a="1"/>
  <c r="N301" i="5" a="1"/>
  <c r="J220" i="5" a="1"/>
  <c r="H180" i="5" a="1"/>
  <c r="B219" i="5" a="1"/>
  <c r="I281" i="5" a="1"/>
  <c r="N181" i="5" a="1"/>
  <c r="B35" i="4" a="1"/>
  <c r="B554" i="4" a="1"/>
  <c r="B653" i="4" a="1"/>
  <c r="B970" i="4" a="1"/>
  <c r="B1068" i="4" a="1"/>
  <c r="B1200" i="4" a="1"/>
  <c r="B675" i="4" a="1"/>
  <c r="B1270" i="4" a="1"/>
  <c r="B1664" i="4" a="1"/>
  <c r="B1170" i="4" a="1"/>
  <c r="B1519" i="4" a="1"/>
  <c r="B1606" i="4" a="1"/>
  <c r="B1541" i="4" a="1"/>
  <c r="B1281" i="4" a="1"/>
  <c r="B1768" i="4" a="1"/>
  <c r="B1685" i="4" a="1"/>
  <c r="B1795" i="4" a="1"/>
  <c r="B2052" i="4" a="1"/>
  <c r="B1679" i="4" a="1"/>
  <c r="B1797" i="4" a="1"/>
  <c r="B1581" i="4" a="1"/>
  <c r="B2074" i="4" a="1"/>
  <c r="B2224" i="4" a="1"/>
  <c r="B1959" i="4" a="1"/>
  <c r="B2171" i="4" a="1"/>
  <c r="B1638" i="4" a="1"/>
  <c r="B2020" i="4" a="1"/>
  <c r="B2340" i="4" a="1"/>
  <c r="B1928" i="4" a="1"/>
  <c r="B2269" i="4" a="1"/>
  <c r="B1692" i="4" a="1"/>
  <c r="B2258" i="4" a="1"/>
  <c r="B1912" i="4" a="1"/>
  <c r="B2283" i="4" a="1"/>
  <c r="B51" i="5" a="1"/>
  <c r="J56" i="5" a="1"/>
  <c r="N108" i="5" a="1"/>
  <c r="H53" i="5" a="1"/>
  <c r="L8" i="5" a="1"/>
  <c r="I65" i="5" a="1"/>
  <c r="N21" i="5" a="1"/>
  <c r="J77" i="5" a="1"/>
  <c r="K17" i="5" a="1"/>
  <c r="I75" i="5" a="1"/>
  <c r="B101" i="4" a="1"/>
  <c r="B620" i="4" a="1"/>
  <c r="B719" i="4" a="1"/>
  <c r="B1036" i="4" a="1"/>
  <c r="B847" i="4" a="1"/>
  <c r="B1266" i="4" a="1"/>
  <c r="B1144" i="4" a="1"/>
  <c r="B1276" i="4" a="1"/>
  <c r="B1670" i="4" a="1"/>
  <c r="B1197" i="4" a="1"/>
  <c r="B1409" i="4" a="1"/>
  <c r="B1630" i="4" a="1"/>
  <c r="B1547" i="4" a="1"/>
  <c r="B1299" i="4" a="1"/>
  <c r="B1785" i="4" a="1"/>
  <c r="B1786" i="4" a="1"/>
  <c r="B1587" i="4" a="1"/>
  <c r="B2058" i="4" a="1"/>
  <c r="B1687" i="4" a="1"/>
  <c r="B1813" i="4" a="1"/>
  <c r="B1672" i="4" a="1"/>
  <c r="B1775" i="4" a="1"/>
  <c r="B2230" i="4" a="1"/>
  <c r="B1984" i="4" a="1"/>
  <c r="B2177" i="4" a="1"/>
  <c r="B1783" i="4" a="1"/>
  <c r="B2108" i="4" a="1"/>
  <c r="B1989" i="4" a="1"/>
  <c r="B1936" i="4" a="1"/>
  <c r="B2275" i="4" a="1"/>
  <c r="B1792" i="4" a="1"/>
  <c r="B2282" i="4" a="1"/>
  <c r="B1922" i="4" a="1"/>
  <c r="B2289" i="4" a="1"/>
  <c r="B63" i="5" a="1"/>
  <c r="B161" i="4" a="1"/>
  <c r="B680" i="4" a="1"/>
  <c r="B779" i="4" a="1"/>
  <c r="B609" i="4" a="1"/>
  <c r="B708" i="4" a="1"/>
  <c r="B1326" i="4" a="1"/>
  <c r="B426" i="4" a="1"/>
  <c r="B1282" i="4" a="1"/>
  <c r="B1688" i="4" a="1"/>
  <c r="B1221" i="4" a="1"/>
  <c r="B601" i="4" a="1"/>
  <c r="B1642" i="4" a="1"/>
  <c r="B1553" i="4" a="1"/>
  <c r="B1378" i="4" a="1"/>
  <c r="B1801" i="4" a="1"/>
  <c r="B1810" i="4" a="1"/>
  <c r="B1661" i="4" a="1"/>
  <c r="B2064" i="4" a="1"/>
  <c r="B1829" i="4" a="1"/>
  <c r="B1821" i="4" a="1"/>
  <c r="B1689" i="4" a="1"/>
  <c r="B1966" i="4" a="1"/>
  <c r="B2236" i="4" a="1"/>
  <c r="B2099" i="4" a="1"/>
  <c r="B2183" i="4" a="1"/>
  <c r="B1871" i="4" a="1"/>
  <c r="B2122" i="4" a="1"/>
  <c r="B2014" i="4" a="1"/>
  <c r="B1971" i="4" a="1"/>
  <c r="B2281" i="4" a="1"/>
  <c r="B1875" i="4" a="1"/>
  <c r="B2294" i="4" a="1"/>
  <c r="B1930" i="4" a="1"/>
  <c r="B2307" i="4" a="1"/>
  <c r="B75" i="5" a="1"/>
  <c r="B179" i="4" a="1"/>
  <c r="B290" i="4" a="1"/>
  <c r="B797" i="4" a="1"/>
  <c r="B806" i="4" a="1"/>
  <c r="B741" i="4" a="1"/>
  <c r="B1344" i="4" a="1"/>
  <c r="B842" i="4" a="1"/>
  <c r="B1288" i="4" a="1"/>
  <c r="B1694" i="4" a="1"/>
  <c r="B1269" i="4" a="1"/>
  <c r="B1359" i="4" a="1"/>
  <c r="B1648" i="4" a="1"/>
  <c r="B1559" i="4" a="1"/>
  <c r="B1414" i="4" a="1"/>
  <c r="B1825" i="4" a="1"/>
  <c r="B1557" i="4" a="1"/>
  <c r="B1669" i="4" a="1"/>
  <c r="B2070" i="4" a="1"/>
  <c r="B1853" i="4" a="1"/>
  <c r="B1845" i="4" a="1"/>
  <c r="B1715" i="4" a="1"/>
  <c r="B2059" i="4" a="1"/>
  <c r="B2242" i="4" a="1"/>
  <c r="B2106" i="4" a="1"/>
  <c r="B2195" i="4" a="1"/>
  <c r="B1907" i="4" a="1"/>
  <c r="B2136" i="4" a="1"/>
  <c r="B1758" i="4" a="1"/>
  <c r="B1996" i="4" a="1"/>
  <c r="B2293" i="4" a="1"/>
  <c r="B1911" i="4" a="1"/>
  <c r="B2300" i="4" a="1"/>
  <c r="B1940" i="4" a="1"/>
  <c r="B2313" i="4" a="1"/>
  <c r="B99" i="5" a="1"/>
  <c r="E64" i="5" a="1"/>
  <c r="B86" i="5" a="1"/>
  <c r="B245" i="4" a="1"/>
  <c r="B384" i="4" a="1"/>
  <c r="B326" i="4" a="1"/>
  <c r="B756" i="4" a="1"/>
  <c r="B855" i="4" a="1"/>
  <c r="B1410" i="4" a="1"/>
  <c r="B878" i="4" a="1"/>
  <c r="B1294" i="4" a="1"/>
  <c r="B1706" i="4" a="1"/>
  <c r="B1396" i="4" a="1"/>
  <c r="B1387" i="4" a="1"/>
  <c r="B1654" i="4" a="1"/>
  <c r="B1565" i="4" a="1"/>
  <c r="B1454" i="4" a="1"/>
  <c r="B735" i="4" a="1"/>
  <c r="B1567" i="4" a="1"/>
  <c r="B1762" i="4" a="1"/>
  <c r="B2076" i="4" a="1"/>
  <c r="B1617" i="4" a="1"/>
  <c r="B1599" i="4" a="1"/>
  <c r="B1723" i="4" a="1"/>
  <c r="B2083" i="4" a="1"/>
  <c r="B2248" i="4" a="1"/>
  <c r="B2027" i="4" a="1"/>
  <c r="B2219" i="4" a="1"/>
  <c r="B1925" i="4" a="1"/>
  <c r="B2142" i="4" a="1"/>
  <c r="B1851" i="4" a="1"/>
  <c r="B2063" i="4" a="1"/>
  <c r="B2317" i="4" a="1"/>
  <c r="B1929" i="4" a="1"/>
  <c r="B2306" i="4" a="1"/>
  <c r="B1948" i="4" a="1"/>
  <c r="B2325" i="4" a="1"/>
  <c r="J8" i="5" a="1"/>
  <c r="B42" i="4" a="1"/>
  <c r="B436" i="4" a="1"/>
  <c r="B301" i="4" a="1"/>
  <c r="B482" i="4" a="1"/>
  <c r="B856" i="4" a="1"/>
  <c r="B1470" i="4" a="1"/>
  <c r="B1034" i="4" a="1"/>
  <c r="B1300" i="4" a="1"/>
  <c r="B1712" i="4" a="1"/>
  <c r="B1457" i="4" a="1"/>
  <c r="B1399" i="4" a="1"/>
  <c r="B1375" i="4" a="1"/>
  <c r="B1571" i="4" a="1"/>
  <c r="B1472" i="4" a="1"/>
  <c r="B1485" i="4" a="1"/>
  <c r="B1605" i="4" a="1"/>
  <c r="B1872" i="4" a="1"/>
  <c r="B2082" i="4" a="1"/>
  <c r="B1635" i="4" a="1"/>
  <c r="B1627" i="4" a="1"/>
  <c r="B1799" i="4" a="1"/>
  <c r="B1905" i="4" a="1"/>
  <c r="B2254" i="4" a="1"/>
  <c r="B2036" i="4" a="1"/>
  <c r="B2231" i="4" a="1"/>
  <c r="B1943" i="4" a="1"/>
  <c r="B2160" i="4" a="1"/>
  <c r="B1953" i="4" a="1"/>
  <c r="B2079" i="4" a="1"/>
  <c r="B2329" i="4" a="1"/>
  <c r="B1947" i="4" a="1"/>
  <c r="B2324" i="4" a="1"/>
  <c r="B2033" i="4" a="1"/>
  <c r="B2331" i="4" a="1"/>
  <c r="L10" i="5" a="1"/>
  <c r="B60" i="4" a="1"/>
  <c r="B247" i="4" a="1"/>
  <c r="B400" i="4" a="1"/>
  <c r="B714" i="4" a="1"/>
  <c r="B889" i="4" a="1"/>
  <c r="B1488" i="4" a="1"/>
  <c r="B1136" i="4" a="1"/>
  <c r="B1312" i="4" a="1"/>
  <c r="B1724" i="4" a="1"/>
  <c r="B1484" i="4" a="1"/>
  <c r="B1432" i="4" a="1"/>
  <c r="B1478" i="4" a="1"/>
  <c r="B1583" i="4" a="1"/>
  <c r="B1497" i="4" a="1"/>
  <c r="B1575" i="4" a="1"/>
  <c r="B1744" i="4" a="1"/>
  <c r="B1878" i="4" a="1"/>
  <c r="B1463" i="4" a="1"/>
  <c r="B1738" i="4" a="1"/>
  <c r="B1645" i="4" a="1"/>
  <c r="B1129" i="4" a="1"/>
  <c r="B1923" i="4" a="1"/>
  <c r="B2266" i="4" a="1"/>
  <c r="B1716" i="4" a="1"/>
  <c r="B2237" i="4" a="1"/>
  <c r="B1960" i="4" a="1"/>
  <c r="B2166" i="4" a="1"/>
  <c r="B1563" i="4" a="1"/>
  <c r="B2095" i="4" a="1"/>
  <c r="B2335" i="4" a="1"/>
  <c r="B1972" i="4" a="1"/>
  <c r="B2330" i="4" a="1"/>
  <c r="B2066" i="4" a="1"/>
  <c r="B1847" i="4" a="1"/>
  <c r="M11" i="5" a="1"/>
  <c r="J68" i="5" a="1"/>
  <c r="K8" i="5" a="1"/>
  <c r="E63" i="5" a="1"/>
  <c r="N22" i="5" a="1"/>
  <c r="L80" i="5" a="1"/>
  <c r="N33" i="5" a="1"/>
  <c r="N93" i="5" a="1"/>
  <c r="J28" i="5" a="1"/>
  <c r="K89" i="5" a="1"/>
  <c r="J27" i="5" a="1"/>
  <c r="B126" i="4" a="1"/>
  <c r="B334" i="4" a="1"/>
  <c r="B284" i="4" a="1"/>
  <c r="B589" i="4" a="1"/>
  <c r="B955" i="4" a="1"/>
  <c r="B1124" i="4" a="1"/>
  <c r="B186" i="4" a="1"/>
  <c r="B204" i="4" a="1"/>
  <c r="B478" i="4" a="1"/>
  <c r="B558" i="4" a="1"/>
  <c r="B929" i="4" a="1"/>
  <c r="B1033" i="4" a="1"/>
  <c r="B1098" i="4" a="1"/>
  <c r="B980" i="4" a="1"/>
  <c r="B1466" i="4" a="1"/>
  <c r="B1742" i="4" a="1"/>
  <c r="B1408" i="4" a="1"/>
  <c r="B376" i="4" a="1"/>
  <c r="B1120" i="4" a="1"/>
  <c r="B2043" i="4" a="1"/>
  <c r="B1791" i="4" a="1"/>
  <c r="N84" i="5" a="1"/>
  <c r="M9" i="5" a="1"/>
  <c r="K30" i="5" a="1"/>
  <c r="H26" i="5" a="1"/>
  <c r="E23" i="5" a="1"/>
  <c r="N103" i="5" a="1"/>
  <c r="H72" i="5" a="1"/>
  <c r="E45" i="5" a="1"/>
  <c r="I35" i="5" a="1"/>
  <c r="J125" i="5" a="1"/>
  <c r="H43" i="5" a="1"/>
  <c r="N25" i="5" a="1"/>
  <c r="H109" i="5" a="1"/>
  <c r="L161" i="5" a="1"/>
  <c r="B100" i="5" a="1"/>
  <c r="M48" i="5" a="1"/>
  <c r="I120" i="5" a="1"/>
  <c r="J169" i="5" a="1"/>
  <c r="K121" i="5" a="1"/>
  <c r="J168" i="5" a="1"/>
  <c r="N123" i="5" a="1"/>
  <c r="J179" i="5" a="1"/>
  <c r="L132" i="5" a="1"/>
  <c r="L37" i="5" a="1"/>
  <c r="M144" i="5" a="1"/>
  <c r="J128" i="5" a="1"/>
  <c r="N76" i="5" a="1"/>
  <c r="J127" i="5" a="1"/>
  <c r="L11" i="5" a="1"/>
  <c r="B185" i="5" a="1"/>
  <c r="J214" i="5" a="1"/>
  <c r="L86" i="5" a="1"/>
  <c r="L191" i="5" a="1"/>
  <c r="H247" i="5" a="1"/>
  <c r="H186" i="5" a="1"/>
  <c r="B181" i="5" a="1"/>
  <c r="K182" i="5" a="1"/>
  <c r="M213" i="5" a="1"/>
  <c r="H175" i="5" a="1"/>
  <c r="E205" i="5" a="1"/>
  <c r="K149" i="5" a="1"/>
  <c r="K197" i="5" a="1"/>
  <c r="E99" i="5" a="1"/>
  <c r="I218" i="5" a="1"/>
  <c r="L92" i="5" a="1"/>
  <c r="B132" i="5" a="1"/>
  <c r="K230" i="5" a="1"/>
  <c r="J267" i="5" a="1"/>
  <c r="J235" i="5" a="1"/>
  <c r="I108" i="5" a="1"/>
  <c r="N196" i="5" a="1"/>
  <c r="K290" i="5" a="1"/>
  <c r="H201" i="5" a="1"/>
  <c r="E284" i="5" a="1"/>
  <c r="J229" i="5" a="1"/>
  <c r="E253" i="5" a="1"/>
  <c r="E223" i="5" a="1"/>
  <c r="M248" i="5" a="1"/>
  <c r="H215" i="5" a="1"/>
  <c r="I253" i="5" a="1"/>
  <c r="E305" i="5" a="1"/>
  <c r="B243" i="5" a="1"/>
  <c r="B265" i="5" a="1"/>
  <c r="J270" i="5" a="1"/>
  <c r="H158" i="5" a="1"/>
  <c r="M289" i="5" a="1"/>
  <c r="E347" i="5" a="1"/>
  <c r="E383" i="5" a="1"/>
  <c r="B314" i="5" a="1"/>
  <c r="H336" i="5" a="1"/>
  <c r="H372" i="5" a="1"/>
  <c r="I307" i="5" a="1"/>
  <c r="B317" i="5" a="1"/>
  <c r="L351" i="5" a="1"/>
  <c r="M260" i="5" a="1"/>
  <c r="M283" i="5" a="1"/>
  <c r="E344" i="5" a="1"/>
  <c r="E380" i="5" a="1"/>
  <c r="B354" i="5" a="1"/>
  <c r="M319" i="5" a="1"/>
  <c r="H357" i="5" a="1"/>
  <c r="N212" i="5" a="1"/>
  <c r="M242" i="5" a="1"/>
  <c r="M337" i="5" a="1"/>
  <c r="M373" i="5" a="1"/>
  <c r="H317" i="5" a="1"/>
  <c r="N325" i="5" a="1"/>
  <c r="N361" i="5" a="1"/>
  <c r="K288" i="5" a="1"/>
  <c r="L310" i="5" a="1"/>
  <c r="H354" i="5" a="1"/>
  <c r="I244" i="5" a="1"/>
  <c r="N257" i="5" a="1"/>
  <c r="H341" i="5" a="1"/>
  <c r="H377" i="5" a="1"/>
  <c r="I329" i="5" a="1"/>
  <c r="I365" i="5" a="1"/>
  <c r="I316" i="5" a="1"/>
  <c r="K354" i="5" a="1"/>
  <c r="B279" i="5" a="1"/>
  <c r="L342" i="5" a="1"/>
  <c r="L378" i="5" a="1"/>
  <c r="B370" i="5" a="1"/>
  <c r="L420" i="5" a="1"/>
  <c r="L456" i="5" a="1"/>
  <c r="B448" i="5" a="1"/>
  <c r="H415" i="5" a="1"/>
  <c r="H451" i="5" a="1"/>
  <c r="B411" i="5" a="1"/>
  <c r="K417" i="5" a="1"/>
  <c r="K390" i="5" a="1"/>
  <c r="J427" i="5" a="1"/>
  <c r="J463" i="5" a="1"/>
  <c r="B323" i="5" a="1"/>
  <c r="I425" i="5" a="1"/>
  <c r="I461" i="5" a="1"/>
  <c r="I389" i="5" a="1"/>
  <c r="N429" i="5" a="1"/>
  <c r="K401" i="5" a="1"/>
  <c r="K437" i="5" a="1"/>
  <c r="N403" i="5" a="1"/>
  <c r="L400" i="5" a="1"/>
  <c r="M399" i="5" a="1"/>
  <c r="M435" i="5" a="1"/>
  <c r="B472" i="4" a="1"/>
  <c r="B1585" i="4" a="1"/>
  <c r="B2290" i="4" a="1"/>
  <c r="B2056" i="4" a="1"/>
  <c r="L94" i="5" a="1"/>
  <c r="L31" i="5" a="1"/>
  <c r="N32" i="5" a="1"/>
  <c r="I26" i="5" a="1"/>
  <c r="E107" i="5" a="1"/>
  <c r="I73" i="5" a="1"/>
  <c r="K50" i="5" a="1"/>
  <c r="M39" i="5" a="1"/>
  <c r="L127" i="5" a="1"/>
  <c r="L47" i="5" a="1"/>
  <c r="K48" i="5" a="1"/>
  <c r="I110" i="5" a="1"/>
  <c r="M162" i="5" a="1"/>
  <c r="M101" i="5" a="1"/>
  <c r="E53" i="5" a="1"/>
  <c r="J121" i="5" a="1"/>
  <c r="K170" i="5" a="1"/>
  <c r="L122" i="5" a="1"/>
  <c r="K169" i="5" a="1"/>
  <c r="K132" i="5" a="1"/>
  <c r="K180" i="5" a="1"/>
  <c r="M133" i="5" a="1"/>
  <c r="K59" i="5" a="1"/>
  <c r="H151" i="5" a="1"/>
  <c r="L130" i="5" a="1"/>
  <c r="J83" i="5" a="1"/>
  <c r="K128" i="5" a="1"/>
  <c r="I34" i="5" a="1"/>
  <c r="B197" i="5" a="1"/>
  <c r="K215" i="5" a="1"/>
  <c r="B137" i="5" a="1"/>
  <c r="M192" i="5" a="1"/>
  <c r="I248" i="5" a="1"/>
  <c r="I187" i="5" a="1"/>
  <c r="J182" i="5" a="1"/>
  <c r="E184" i="5" a="1"/>
  <c r="J222" i="5" a="1"/>
  <c r="L176" i="5" a="1"/>
  <c r="H207" i="5" a="1"/>
  <c r="K152" i="5" a="1"/>
  <c r="L198" i="5" a="1"/>
  <c r="B113" i="5" a="1"/>
  <c r="J219" i="5" a="1"/>
  <c r="L99" i="5" a="1"/>
  <c r="I147" i="5" a="1"/>
  <c r="I235" i="5" a="1"/>
  <c r="K268" i="5" a="1"/>
  <c r="M238" i="5" a="1"/>
  <c r="I150" i="5" a="1"/>
  <c r="I205" i="5" a="1"/>
  <c r="L291" i="5" a="1"/>
  <c r="K205" i="5" a="1"/>
  <c r="H286" i="5" a="1"/>
  <c r="M232" i="5" a="1"/>
  <c r="H261" i="5" a="1"/>
  <c r="I226" i="5" a="1"/>
  <c r="M251" i="5" a="1"/>
  <c r="L229" i="5" a="1"/>
  <c r="E259" i="5" a="1"/>
  <c r="L165" i="5" a="1"/>
  <c r="B246" i="5" a="1"/>
  <c r="B277" i="5" a="1"/>
  <c r="K271" i="5" a="1"/>
  <c r="J174" i="5" a="1"/>
  <c r="J294" i="5" a="1"/>
  <c r="H349" i="5" a="1"/>
  <c r="H385" i="5" a="1"/>
  <c r="H315" i="5" a="1"/>
  <c r="I337" i="5" a="1"/>
  <c r="I373" i="5" a="1"/>
  <c r="L308" i="5" a="1"/>
  <c r="H318" i="5" a="1"/>
  <c r="M352" i="5" a="1"/>
  <c r="N275" i="5" a="1"/>
  <c r="E290" i="5" a="1"/>
  <c r="H346" i="5" a="1"/>
  <c r="H382" i="5" a="1"/>
  <c r="B366" i="5" a="1"/>
  <c r="I322" i="5" a="1"/>
  <c r="I358" i="5" a="1"/>
  <c r="M220" i="5" a="1"/>
  <c r="H249" i="5" a="1"/>
  <c r="N338" i="5" a="1"/>
  <c r="N374" i="5" a="1"/>
  <c r="B328" i="5" a="1"/>
  <c r="E329" i="5" a="1"/>
  <c r="E365" i="5" a="1"/>
  <c r="I293" i="5" a="1"/>
  <c r="H313" i="5" a="1"/>
  <c r="I355" i="5" a="1"/>
  <c r="E268" i="5" a="1"/>
  <c r="I268" i="5" a="1"/>
  <c r="I342" i="5" a="1"/>
  <c r="I378" i="5" a="1"/>
  <c r="J330" i="5" a="1"/>
  <c r="J366" i="5" a="1"/>
  <c r="M317" i="5" a="1"/>
  <c r="L355" i="5" a="1"/>
  <c r="K282" i="5" a="1"/>
  <c r="M343" i="5" a="1"/>
  <c r="M379" i="5" a="1"/>
  <c r="B382" i="5" a="1"/>
  <c r="M421" i="5" a="1"/>
  <c r="M457" i="5" a="1"/>
  <c r="B460" i="5" a="1"/>
  <c r="I416" i="5" a="1"/>
  <c r="I452" i="5" a="1"/>
  <c r="B423" i="5" a="1"/>
  <c r="L418" i="5" a="1"/>
  <c r="B392" i="5" a="1"/>
  <c r="K428" i="5" a="1"/>
  <c r="K464" i="5" a="1"/>
  <c r="J385" i="5" a="1"/>
  <c r="J426" i="5" a="1"/>
  <c r="J462" i="5" a="1"/>
  <c r="E397" i="5" a="1"/>
  <c r="E433" i="5" a="1"/>
  <c r="L402" i="5" a="1"/>
  <c r="J309" i="5" a="1"/>
  <c r="E407" i="5" a="1"/>
  <c r="M401" i="5" a="1"/>
  <c r="N400" i="5" a="1"/>
  <c r="N436" i="5" a="1"/>
  <c r="B911" i="4" a="1"/>
  <c r="B1650" i="4" a="1"/>
  <c r="B2302" i="4" a="1"/>
  <c r="B2080" i="4" a="1"/>
  <c r="K105" i="5" a="1"/>
  <c r="I17" i="5" a="1"/>
  <c r="M32" i="5" a="1"/>
  <c r="H38" i="5" a="1"/>
  <c r="K28" i="5" a="1"/>
  <c r="B21" i="5" a="1"/>
  <c r="J74" i="5" a="1"/>
  <c r="E57" i="5" a="1"/>
  <c r="E44" i="5" a="1"/>
  <c r="M128" i="5" a="1"/>
  <c r="H70" i="5" a="1"/>
  <c r="E66" i="5" a="1"/>
  <c r="J111" i="5" a="1"/>
  <c r="N163" i="5" a="1"/>
  <c r="I109" i="5" a="1"/>
  <c r="K98" i="5" a="1"/>
  <c r="K122" i="5" a="1"/>
  <c r="K22" i="5" a="1"/>
  <c r="M123" i="5" a="1"/>
  <c r="N172" i="5" a="1"/>
  <c r="M134" i="5" a="1"/>
  <c r="L181" i="5" a="1"/>
  <c r="N134" i="5" a="1"/>
  <c r="K72" i="5" a="1"/>
  <c r="I152" i="5" a="1"/>
  <c r="M131" i="5" a="1"/>
  <c r="M86" i="5" a="1"/>
  <c r="L129" i="5" a="1"/>
  <c r="M38" i="5" a="1"/>
  <c r="B209" i="5" a="1"/>
  <c r="L216" i="5" a="1"/>
  <c r="N140" i="5" a="1"/>
  <c r="J201" i="5" a="1"/>
  <c r="J249" i="5" a="1"/>
  <c r="J188" i="5" a="1"/>
  <c r="H185" i="5" a="1"/>
  <c r="L25" i="5" a="1"/>
  <c r="L224" i="5" a="1"/>
  <c r="E178" i="5" a="1"/>
  <c r="I208" i="5" a="1"/>
  <c r="H172" i="5" a="1"/>
  <c r="M199" i="5" a="1"/>
  <c r="B123" i="5" a="1"/>
  <c r="L221" i="5" a="1"/>
  <c r="B147" i="5" a="1"/>
  <c r="L150" i="5" a="1"/>
  <c r="H240" i="5" a="1"/>
  <c r="L269" i="5" a="1"/>
  <c r="I240" i="5" a="1"/>
  <c r="M196" i="5" a="1"/>
  <c r="B218" i="5" a="1"/>
  <c r="M292" i="5" a="1"/>
  <c r="H213" i="5" a="1"/>
  <c r="I287" i="5" a="1"/>
  <c r="K237" i="5" a="1"/>
  <c r="I262" i="5" a="1"/>
  <c r="K229" i="5" a="1"/>
  <c r="H260" i="5" a="1"/>
  <c r="I231" i="5" a="1"/>
  <c r="J261" i="5" a="1"/>
  <c r="B173" i="5" a="1"/>
  <c r="E249" i="5" a="1"/>
  <c r="B289" i="5" a="1"/>
  <c r="L272" i="5" a="1"/>
  <c r="H191" i="5" a="1"/>
  <c r="H300" i="5" a="1"/>
  <c r="I350" i="5" a="1"/>
  <c r="I386" i="5" a="1"/>
  <c r="L316" i="5" a="1"/>
  <c r="J338" i="5" a="1"/>
  <c r="J374" i="5" a="1"/>
  <c r="H311" i="5" a="1"/>
  <c r="K319" i="5" a="1"/>
  <c r="N353" i="5" a="1"/>
  <c r="L283" i="5" a="1"/>
  <c r="B303" i="5" a="1"/>
  <c r="I347" i="5" a="1"/>
  <c r="I383" i="5" a="1"/>
  <c r="B378" i="5" a="1"/>
  <c r="J323" i="5" a="1"/>
  <c r="J359" i="5" a="1"/>
  <c r="K255" i="5" a="1"/>
  <c r="N261" i="5" a="1"/>
  <c r="E342" i="5" a="1"/>
  <c r="E378" i="5" a="1"/>
  <c r="B340" i="5" a="1"/>
  <c r="H331" i="5" a="1"/>
  <c r="H367" i="5" a="1"/>
  <c r="L295" i="5" a="1"/>
  <c r="E316" i="5" a="1"/>
  <c r="J356" i="5" a="1"/>
  <c r="J281" i="5" a="1"/>
  <c r="K273" i="5" a="1"/>
  <c r="J343" i="5" a="1"/>
  <c r="J379" i="5" a="1"/>
  <c r="K331" i="5" a="1"/>
  <c r="K367" i="5" a="1"/>
  <c r="J320" i="5" a="1"/>
  <c r="M356" i="5" a="1"/>
  <c r="E286" i="5" a="1"/>
  <c r="N344" i="5" a="1"/>
  <c r="K195" i="5" a="1"/>
  <c r="K231" i="5" a="1"/>
  <c r="N422" i="5" a="1"/>
  <c r="N458" i="5" a="1"/>
  <c r="B472" i="5" a="1"/>
  <c r="J417" i="5" a="1"/>
  <c r="J453" i="5" a="1"/>
  <c r="B435" i="5" a="1"/>
  <c r="M419" i="5" a="1"/>
  <c r="J393" i="5" a="1"/>
  <c r="L429" i="5" a="1"/>
  <c r="L465" i="5" a="1"/>
  <c r="H389" i="5" a="1"/>
  <c r="K427" i="5" a="1"/>
  <c r="K463" i="5" a="1"/>
  <c r="H399" i="5" a="1"/>
  <c r="H435" i="5" a="1"/>
  <c r="M403" i="5" a="1"/>
  <c r="B325" i="5" a="1"/>
  <c r="K291" i="5" a="1"/>
  <c r="N402" i="5" a="1"/>
  <c r="E404" i="5" a="1"/>
  <c r="B1015" i="4" a="1"/>
  <c r="B1726" i="4" a="1"/>
  <c r="B2308" i="4" a="1"/>
  <c r="B2103" i="4" a="1"/>
  <c r="B50" i="5" a="1"/>
  <c r="K19" i="5" a="1"/>
  <c r="E37" i="5" a="1"/>
  <c r="I39" i="5" a="1"/>
  <c r="N31" i="5" a="1"/>
  <c r="B33" i="5" a="1"/>
  <c r="K75" i="5" a="1"/>
  <c r="I60" i="5" a="1"/>
  <c r="H46" i="5" a="1"/>
  <c r="E133" i="5" a="1"/>
  <c r="N94" i="5" a="1"/>
  <c r="N73" i="5" a="1"/>
  <c r="K112" i="5" a="1"/>
  <c r="E167" i="5" a="1"/>
  <c r="L112" i="5" a="1"/>
  <c r="B108" i="5" a="1"/>
  <c r="L123" i="5" a="1"/>
  <c r="H45" i="5" a="1"/>
  <c r="N124" i="5" a="1"/>
  <c r="E176" i="5" a="1"/>
  <c r="N135" i="5" a="1"/>
  <c r="M182" i="5" a="1"/>
  <c r="E138" i="5" a="1"/>
  <c r="B76" i="5" a="1"/>
  <c r="J153" i="5" a="1"/>
  <c r="N132" i="5" a="1"/>
  <c r="J94" i="5" a="1"/>
  <c r="I138" i="5" a="1"/>
  <c r="H56" i="5" a="1"/>
  <c r="M217" i="5" a="1"/>
  <c r="B162" i="5" a="1"/>
  <c r="L203" i="5" a="1"/>
  <c r="K250" i="5" a="1"/>
  <c r="K189" i="5" a="1"/>
  <c r="I186" i="5" a="1"/>
  <c r="E79" i="5" a="1"/>
  <c r="M225" i="5" a="1"/>
  <c r="M179" i="5" a="1"/>
  <c r="J209" i="5" a="1"/>
  <c r="M173" i="5" a="1"/>
  <c r="N200" i="5" a="1"/>
  <c r="K127" i="5" a="1"/>
  <c r="M222" i="5" a="1"/>
  <c r="K155" i="5" a="1"/>
  <c r="I153" i="5" a="1"/>
  <c r="K249" i="5" a="1"/>
  <c r="M270" i="5" a="1"/>
  <c r="E248" i="5" a="1"/>
  <c r="E201" i="5" a="1"/>
  <c r="L219" i="5" a="1"/>
  <c r="N293" i="5" a="1"/>
  <c r="M219" i="5" a="1"/>
  <c r="B1175" i="4" a="1"/>
  <c r="B1761" i="4" a="1"/>
  <c r="B1870" i="4" a="1"/>
  <c r="B1793" i="4" a="1"/>
  <c r="B74" i="5" a="1"/>
  <c r="L20" i="5" a="1"/>
  <c r="H39" i="5" a="1"/>
  <c r="H50" i="5" a="1"/>
  <c r="E35" i="5" a="1"/>
  <c r="B105" i="5" a="1"/>
  <c r="M77" i="5" a="1"/>
  <c r="J61" i="5" a="1"/>
  <c r="J48" i="5" a="1"/>
  <c r="J137" i="5" a="1"/>
  <c r="M99" i="5" a="1"/>
  <c r="B78" i="5" a="1"/>
  <c r="L113" i="5" a="1"/>
  <c r="I22" i="5" a="1"/>
  <c r="M113" i="5" a="1"/>
  <c r="B116" i="5" a="1"/>
  <c r="M124" i="5" a="1"/>
  <c r="L49" i="5" a="1"/>
  <c r="E128" i="5" a="1"/>
  <c r="H178" i="5" a="1"/>
  <c r="E139" i="5" a="1"/>
  <c r="E6" i="5" a="1"/>
  <c r="L144" i="5" a="1"/>
  <c r="K92" i="5" a="1"/>
  <c r="K154" i="5" a="1"/>
  <c r="E136" i="5" a="1"/>
  <c r="M108" i="5" a="1"/>
  <c r="K140" i="5" a="1"/>
  <c r="L60" i="5" a="1"/>
  <c r="K47" i="5" a="1"/>
  <c r="N218" i="5" a="1"/>
  <c r="I164" i="5" a="1"/>
  <c r="M204" i="5" a="1"/>
  <c r="L251" i="5" a="1"/>
  <c r="L190" i="5" a="1"/>
  <c r="J187" i="5" a="1"/>
  <c r="B90" i="5" a="1"/>
  <c r="N226" i="5" a="1"/>
  <c r="B192" i="5" a="1"/>
  <c r="K210" i="5" a="1"/>
  <c r="I175" i="5" a="1"/>
  <c r="E204" i="5" a="1"/>
  <c r="N152" i="5" a="1"/>
  <c r="N223" i="5" a="1"/>
  <c r="B161" i="5" a="1"/>
  <c r="B156" i="5" a="1"/>
  <c r="I258" i="5" a="1"/>
  <c r="N271" i="5" a="1"/>
  <c r="L249" i="5" a="1"/>
  <c r="N208" i="5" a="1"/>
  <c r="J224" i="5" a="1"/>
  <c r="E297" i="5" a="1"/>
  <c r="H221" i="5" a="1"/>
  <c r="B462" i="4" a="1"/>
  <c r="B1770" i="4" a="1"/>
  <c r="B1880" i="4" a="1"/>
  <c r="B1819" i="4" a="1"/>
  <c r="E3" i="5" a="1"/>
  <c r="E26" i="5" a="1"/>
  <c r="J41" i="5" a="1"/>
  <c r="L54" i="5" a="1"/>
  <c r="L41" i="5" a="1"/>
  <c r="M5" i="5" a="1"/>
  <c r="I85" i="5" a="1"/>
  <c r="K62" i="5" a="1"/>
  <c r="K49" i="5" a="1"/>
  <c r="K138" i="5" a="1"/>
  <c r="B103" i="5" a="1"/>
  <c r="H81" i="5" a="1"/>
  <c r="M114" i="5" a="1"/>
  <c r="M26" i="5" a="1"/>
  <c r="N114" i="5" a="1"/>
  <c r="B128" i="5" a="1"/>
  <c r="N125" i="5" a="1"/>
  <c r="E92" i="5" a="1"/>
  <c r="H130" i="5" a="1"/>
  <c r="I179" i="5" a="1"/>
  <c r="H141" i="5" a="1"/>
  <c r="B28" i="5" a="1"/>
  <c r="N146" i="5" a="1"/>
  <c r="N95" i="5" a="1"/>
  <c r="L155" i="5" a="1"/>
  <c r="H138" i="5" a="1"/>
  <c r="B110" i="5" a="1"/>
  <c r="L141" i="5" a="1"/>
  <c r="K73" i="5" a="1"/>
  <c r="E120" i="5" a="1"/>
  <c r="E222" i="5" a="1"/>
  <c r="J166" i="5" a="1"/>
  <c r="N205" i="5" a="1"/>
  <c r="M252" i="5" a="1"/>
  <c r="I199" i="5" a="1"/>
  <c r="K188" i="5" a="1"/>
  <c r="K97" i="5" a="1"/>
  <c r="E230" i="5" a="1"/>
  <c r="B204" i="5" a="1"/>
  <c r="L211" i="5" a="1"/>
  <c r="N176" i="5" a="1"/>
  <c r="H206" i="5" a="1"/>
  <c r="E158" i="5" a="1"/>
  <c r="E227" i="5" a="1"/>
  <c r="L167" i="5" a="1"/>
  <c r="M163" i="5" a="1"/>
  <c r="M259" i="5" a="1"/>
  <c r="E275" i="5" a="1"/>
  <c r="J258" i="5" a="1"/>
  <c r="J211" i="5" a="1"/>
  <c r="M235" i="5" a="1"/>
  <c r="H299" i="5" a="1"/>
  <c r="B223" i="5" a="1"/>
  <c r="B579" i="4" a="1"/>
  <c r="B1811" i="4" a="1"/>
  <c r="B1888" i="4" a="1"/>
  <c r="B1613" i="4" a="1"/>
  <c r="J7" i="5" a="1"/>
  <c r="H28" i="5" a="1"/>
  <c r="J53" i="5" a="1"/>
  <c r="N68" i="5" a="1"/>
  <c r="M42" i="5" a="1"/>
  <c r="I13" i="5" a="1"/>
  <c r="K87" i="5" a="1"/>
  <c r="N65" i="5" a="1"/>
  <c r="L50" i="5" a="1"/>
  <c r="L139" i="5" a="1"/>
  <c r="B119" i="5" a="1"/>
  <c r="K84" i="5" a="1"/>
  <c r="J123" i="5" a="1"/>
  <c r="H44" i="5" a="1"/>
  <c r="E118" i="5" a="1"/>
  <c r="B140" i="5" a="1"/>
  <c r="I132" i="5" a="1"/>
  <c r="K106" i="5" a="1"/>
  <c r="I131" i="5" a="1"/>
  <c r="J180" i="5" a="1"/>
  <c r="I142" i="5" a="1"/>
  <c r="I32" i="5" a="1"/>
  <c r="E150" i="5" a="1"/>
  <c r="M100" i="5" a="1"/>
  <c r="M156" i="5" a="1"/>
  <c r="I139" i="5" a="1"/>
  <c r="B122" i="5" a="1"/>
  <c r="M142" i="5" a="1"/>
  <c r="B77" i="5" a="1"/>
  <c r="H168" i="5" a="1"/>
  <c r="H224" i="5" a="1"/>
  <c r="L171" i="5" a="1"/>
  <c r="E209" i="5" a="1"/>
  <c r="M49" i="5" a="1"/>
  <c r="K201" i="5" a="1"/>
  <c r="L189" i="5" a="1"/>
  <c r="J126" i="5" a="1"/>
  <c r="H232" i="5" a="1"/>
  <c r="B240" i="5" a="1"/>
  <c r="H219" i="5" a="1"/>
  <c r="N179" i="5" a="1"/>
  <c r="K209" i="5" a="1"/>
  <c r="K178" i="5" a="1"/>
  <c r="H229" i="5" a="1"/>
  <c r="K175" i="5" a="1"/>
  <c r="B187" i="5" a="1"/>
  <c r="B262" i="5" a="1"/>
  <c r="J279" i="5" a="1"/>
  <c r="B297" i="5" a="1"/>
  <c r="M214" i="5" a="1"/>
  <c r="N246" i="5" a="1"/>
  <c r="L303" i="5" a="1"/>
  <c r="K224" i="5" a="1"/>
  <c r="B1287" i="4" a="1"/>
  <c r="B1890" i="4" a="1"/>
  <c r="B2243" i="4" a="1"/>
  <c r="B2119" i="4" a="1"/>
  <c r="M10" i="5" a="1"/>
  <c r="I29" i="5" a="1"/>
  <c r="H63" i="5" a="1"/>
  <c r="J76" i="5" a="1"/>
  <c r="N43" i="5" a="1"/>
  <c r="K15" i="5" a="1"/>
  <c r="L88" i="5" a="1"/>
  <c r="M76" i="5" a="1"/>
  <c r="M51" i="5" a="1"/>
  <c r="N141" i="5" a="1"/>
  <c r="B131" i="5" a="1"/>
  <c r="E98" i="5" a="1"/>
  <c r="L125" i="5" a="1"/>
  <c r="L48" i="5" a="1"/>
  <c r="H120" i="5" a="1"/>
  <c r="B152" i="5" a="1"/>
  <c r="J133" i="5" a="1"/>
  <c r="H108" i="5" a="1"/>
  <c r="J132" i="5" a="1"/>
  <c r="K181" i="5" a="1"/>
  <c r="J143" i="5" a="1"/>
  <c r="M36" i="5" a="1"/>
  <c r="J105" i="5" a="1"/>
  <c r="J11" i="5" a="1"/>
  <c r="J140" i="5" a="1"/>
  <c r="B134" i="5" a="1"/>
  <c r="N143" i="5" a="1"/>
  <c r="J107" i="5" a="1"/>
  <c r="L174" i="5" a="1"/>
  <c r="I225" i="5" a="1"/>
  <c r="L177" i="5" a="1"/>
  <c r="H211" i="5" a="1"/>
  <c r="L148" i="5" a="1"/>
  <c r="L202" i="5" a="1"/>
  <c r="M190" i="5" a="1"/>
  <c r="E134" i="5" a="1"/>
  <c r="I233" i="5" a="1"/>
  <c r="B252" i="5" a="1"/>
  <c r="I220" i="5" a="1"/>
  <c r="H181" i="5" a="1"/>
  <c r="L210" i="5" a="1"/>
  <c r="B180" i="5" a="1"/>
  <c r="I230" i="5" a="1"/>
  <c r="E183" i="5" a="1"/>
  <c r="B199" i="5" a="1"/>
  <c r="B274" i="5" a="1"/>
  <c r="K280" i="5" a="1"/>
  <c r="I169" i="5" a="1"/>
  <c r="I216" i="5" a="1"/>
  <c r="N255" i="5" a="1"/>
  <c r="M304" i="5" a="1"/>
  <c r="H242" i="5" a="1"/>
  <c r="B1448" i="4" a="1"/>
  <c r="B1896" i="4" a="1"/>
  <c r="B2261" i="4" a="1"/>
  <c r="B2133" i="4" a="1"/>
  <c r="N11" i="5" a="1"/>
  <c r="I41" i="5" a="1"/>
  <c r="E73" i="5" a="1"/>
  <c r="M79" i="5" a="1"/>
  <c r="E47" i="5" a="1"/>
  <c r="L16" i="5" a="1"/>
  <c r="B44" i="5" a="1"/>
  <c r="E81" i="5" a="1"/>
  <c r="N52" i="5" a="1"/>
  <c r="J149" i="5" a="1"/>
  <c r="B143" i="5" a="1"/>
  <c r="N99" i="5" a="1"/>
  <c r="M126" i="5" a="1"/>
  <c r="L74" i="5" a="1"/>
  <c r="I121" i="5" a="1"/>
  <c r="B164" i="5" a="1"/>
  <c r="K134" i="5" a="1"/>
  <c r="B115" i="5" a="1"/>
  <c r="K133" i="5" a="1"/>
  <c r="H32" i="5" a="1"/>
  <c r="K144" i="5" a="1"/>
  <c r="E41" i="5" a="1"/>
  <c r="L23" i="5" a="1"/>
  <c r="H115" i="5" a="1"/>
  <c r="B29" i="5" a="1"/>
  <c r="K141" i="5" a="1"/>
  <c r="B146" i="5" a="1"/>
  <c r="E147" i="5" a="1"/>
  <c r="E110" i="5" a="1"/>
  <c r="E179" i="5" a="1"/>
  <c r="J226" i="5" a="1"/>
  <c r="M180" i="5" a="1"/>
  <c r="I212" i="5" a="1"/>
  <c r="K159" i="5" a="1"/>
  <c r="M203" i="5" a="1"/>
  <c r="N191" i="5" a="1"/>
  <c r="J186" i="5" a="1"/>
  <c r="J234" i="5" a="1"/>
  <c r="N90" i="5" a="1"/>
  <c r="K222" i="5" a="1"/>
  <c r="H184" i="5" a="1"/>
  <c r="N106" i="5" a="1"/>
  <c r="L185" i="5" a="1"/>
  <c r="J231" i="5" a="1"/>
  <c r="K184" i="5" a="1"/>
  <c r="B102" i="5" a="1"/>
  <c r="B286" i="5" a="1"/>
  <c r="L281" i="5" a="1"/>
  <c r="L196" i="5" a="1"/>
  <c r="N222" i="5" a="1"/>
  <c r="H257" i="5" a="1"/>
  <c r="N150" i="5" a="1"/>
  <c r="N243" i="5" a="1"/>
  <c r="I299" i="5" a="1"/>
  <c r="J257" i="5" a="1"/>
  <c r="J275" i="5" a="1"/>
  <c r="K245" i="5" a="1"/>
  <c r="H272" i="5" a="1"/>
  <c r="B268" i="5" a="1"/>
  <c r="J273" i="5" a="1"/>
  <c r="B230" i="5" a="1"/>
  <c r="L261" i="5" a="1"/>
  <c r="M215" i="5" a="1"/>
  <c r="L284" i="5" a="1"/>
  <c r="B237" i="5" a="1"/>
  <c r="E323" i="5" a="1"/>
  <c r="E359" i="5" a="1"/>
  <c r="K225" i="5" a="1"/>
  <c r="H279" i="5" a="1"/>
  <c r="H348" i="5" a="1"/>
  <c r="H384" i="5" a="1"/>
  <c r="B356" i="5" a="1"/>
  <c r="L327" i="5" a="1"/>
  <c r="L363" i="5" a="1"/>
  <c r="J304" i="5" a="1"/>
  <c r="L319" i="5" a="1"/>
  <c r="E356" i="5" a="1"/>
  <c r="E392" i="5" a="1"/>
  <c r="I255" i="5" a="1"/>
  <c r="H333" i="5" a="1"/>
  <c r="H369" i="5" a="1"/>
  <c r="E303" i="5" a="1"/>
  <c r="E301" i="5" a="1"/>
  <c r="M349" i="5" a="1"/>
  <c r="M385" i="5" a="1"/>
  <c r="M272" i="5" a="1"/>
  <c r="N337" i="5" a="1"/>
  <c r="N373" i="5" a="1"/>
  <c r="H309" i="5" a="1"/>
  <c r="H330" i="5" a="1"/>
  <c r="H366" i="5" a="1"/>
  <c r="M301" i="5" a="1"/>
  <c r="M306" i="5" a="1"/>
  <c r="H353" i="5" a="1"/>
  <c r="B302" i="5" a="1"/>
  <c r="I341" i="5" a="1"/>
  <c r="I377" i="5" a="1"/>
  <c r="K330" i="5" a="1"/>
  <c r="K366" i="5" a="1"/>
  <c r="H319" i="5" a="1"/>
  <c r="L354" i="5" a="1"/>
  <c r="M274" i="5" a="1"/>
  <c r="L396" i="5" a="1"/>
  <c r="L432" i="5" a="1"/>
  <c r="L468" i="5" a="1"/>
  <c r="M388" i="5" a="1"/>
  <c r="H427" i="5" a="1"/>
  <c r="H463" i="5" a="1"/>
  <c r="I393" i="5" a="1"/>
  <c r="K429" i="5" a="1"/>
  <c r="J403" i="5" a="1"/>
  <c r="J439" i="5" a="1"/>
  <c r="J475" i="5" a="1"/>
  <c r="I401" i="5" a="1"/>
  <c r="I437" i="5" a="1"/>
  <c r="I473" i="5" a="1"/>
  <c r="N405" i="5" a="1"/>
  <c r="B371" i="5" a="1"/>
  <c r="K413" i="5" a="1"/>
  <c r="B418" i="5" a="1"/>
  <c r="B429" i="5" a="1"/>
  <c r="L412" i="5" a="1"/>
  <c r="M411" i="5" a="1"/>
  <c r="B1730" i="4" a="1"/>
  <c r="B1908" i="4" a="1"/>
  <c r="B2267" i="4" a="1"/>
  <c r="B2139" i="4" a="1"/>
  <c r="M45" i="5" a="1"/>
  <c r="N81" i="5" a="1"/>
  <c r="N80" i="5" a="1"/>
  <c r="H49" i="5" a="1"/>
  <c r="M17" i="5" a="1"/>
  <c r="B68" i="5" a="1"/>
  <c r="H83" i="5" a="1"/>
  <c r="E56" i="5" a="1"/>
  <c r="L151" i="5" a="1"/>
  <c r="B155" i="5" a="1"/>
  <c r="H106" i="5" a="1"/>
  <c r="N127" i="5" a="1"/>
  <c r="I81" i="5" a="1"/>
  <c r="N126" i="5" a="1"/>
  <c r="B176" i="5" a="1"/>
  <c r="L135" i="5" a="1"/>
  <c r="B127" i="5" a="1"/>
  <c r="N136" i="5" a="1"/>
  <c r="K58" i="5" a="1"/>
  <c r="L145" i="5" a="1"/>
  <c r="E55" i="5" a="1"/>
  <c r="I46" i="5" a="1"/>
  <c r="I116" i="5" a="1"/>
  <c r="I33" i="5" a="1"/>
  <c r="L142" i="5" a="1"/>
  <c r="B158" i="5" a="1"/>
  <c r="B16" i="5" a="1"/>
  <c r="H112" i="5" a="1"/>
  <c r="L180" i="5" a="1"/>
  <c r="K227" i="5" a="1"/>
  <c r="B244" i="5" a="1"/>
  <c r="J213" i="5" a="1"/>
  <c r="E162" i="5" a="1"/>
  <c r="N204" i="5" a="1"/>
  <c r="I198" i="5" a="1"/>
  <c r="L188" i="5" a="1"/>
  <c r="K235" i="5" a="1"/>
  <c r="L126" i="5" a="1"/>
  <c r="L223" i="5" a="1"/>
  <c r="B191" i="5" a="1"/>
  <c r="B135" i="5" a="1"/>
  <c r="M186" i="5" a="1"/>
  <c r="K232" i="5" a="1"/>
  <c r="B189" i="5" a="1"/>
  <c r="B109" i="5" a="1"/>
  <c r="B298" i="5" a="1"/>
  <c r="M282" i="5" a="1"/>
  <c r="M208" i="5" a="1"/>
  <c r="E226" i="5" a="1"/>
  <c r="L258" i="5" a="1"/>
  <c r="H161" i="5" a="1"/>
  <c r="J248" i="5" a="1"/>
  <c r="J300" i="5" a="1"/>
  <c r="B282" i="5" a="1"/>
  <c r="K276" i="5" a="1"/>
  <c r="L254" i="5" a="1"/>
  <c r="I273" i="5" a="1"/>
  <c r="B280" i="5" a="1"/>
  <c r="K274" i="5" a="1"/>
  <c r="L231" i="5" a="1"/>
  <c r="M262" i="5" a="1"/>
  <c r="I217" i="5" a="1"/>
  <c r="M285" i="5" a="1"/>
  <c r="E240" i="5" a="1"/>
  <c r="H325" i="5" a="1"/>
  <c r="H361" i="5" a="1"/>
  <c r="E232" i="5" a="1"/>
  <c r="H292" i="5" a="1"/>
  <c r="I349" i="5" a="1"/>
  <c r="I385" i="5" a="1"/>
  <c r="B368" i="5" a="1"/>
  <c r="M328" i="5" a="1"/>
  <c r="M364" i="5" a="1"/>
  <c r="J307" i="5" a="1"/>
  <c r="B321" i="5" a="1"/>
  <c r="H358" i="5" a="1"/>
  <c r="K147" i="5" a="1"/>
  <c r="H266" i="5" a="1"/>
  <c r="I334" i="5" a="1"/>
  <c r="I370" i="5" a="1"/>
  <c r="I306" i="5" a="1"/>
  <c r="J310" i="5" a="1"/>
  <c r="N350" i="5" a="1"/>
  <c r="N386" i="5" a="1"/>
  <c r="M284" i="5" a="1"/>
  <c r="E341" i="5" a="1"/>
  <c r="E377" i="5" a="1"/>
  <c r="M314" i="5" a="1"/>
  <c r="I331" i="5" a="1"/>
  <c r="I367" i="5" a="1"/>
  <c r="I303" i="5" a="1"/>
  <c r="M310" i="5" a="1"/>
  <c r="I354" i="5" a="1"/>
  <c r="N303" i="5" a="1"/>
  <c r="J342" i="5" a="1"/>
  <c r="J378" i="5" a="1"/>
  <c r="L331" i="5" a="1"/>
  <c r="L367" i="5" a="1"/>
  <c r="K320" i="5" a="1"/>
  <c r="M355" i="5" a="1"/>
  <c r="L282" i="5" a="1"/>
  <c r="M397" i="5" a="1"/>
  <c r="M433" i="5" a="1"/>
  <c r="M469" i="5" a="1"/>
  <c r="I390" i="5" a="1"/>
  <c r="I428" i="5" a="1"/>
  <c r="I464" i="5" a="1"/>
  <c r="L394" i="5" a="1"/>
  <c r="N285" i="5" a="1"/>
  <c r="B1736" i="4" a="1"/>
  <c r="B1746" i="4" a="1"/>
  <c r="B2045" i="4" a="1"/>
  <c r="B1991" i="4" a="1"/>
  <c r="L21" i="5" a="1"/>
  <c r="E62" i="5" a="1"/>
  <c r="H87" i="5" a="1"/>
  <c r="H86" i="5" a="1"/>
  <c r="I50" i="5" a="1"/>
  <c r="B80" i="5" a="1"/>
  <c r="I84" i="5" a="1"/>
  <c r="I59" i="5" a="1"/>
  <c r="L163" i="5" a="1"/>
  <c r="B167" i="5" a="1"/>
  <c r="B118" i="5" a="1"/>
  <c r="E131" i="5" a="1"/>
  <c r="J98" i="5" a="1"/>
  <c r="H132" i="5" a="1"/>
  <c r="B5" i="5" a="1"/>
  <c r="M136" i="5" a="1"/>
  <c r="B139" i="5" a="1"/>
  <c r="E140" i="5" a="1"/>
  <c r="M75" i="5" a="1"/>
  <c r="M146" i="5" a="1"/>
  <c r="J59" i="5" a="1"/>
  <c r="M50" i="5" a="1"/>
  <c r="J117" i="5" a="1"/>
  <c r="M37" i="5" a="1"/>
  <c r="M143" i="5" a="1"/>
  <c r="M72" i="5" a="1"/>
  <c r="I20" i="5" a="1"/>
  <c r="I113" i="5" a="1"/>
  <c r="E182" i="5" a="1"/>
  <c r="N230" i="5" a="1"/>
  <c r="E5" i="5" a="1"/>
  <c r="K214" i="5" a="1"/>
  <c r="L168" i="5" a="1"/>
  <c r="E208" i="5" a="1"/>
  <c r="J199" i="5" a="1"/>
  <c r="M189" i="5" a="1"/>
  <c r="L236" i="5" a="1"/>
  <c r="H134" i="5" a="1"/>
  <c r="M224" i="5" a="1"/>
  <c r="I68" i="5" a="1"/>
  <c r="N142" i="5" a="1"/>
  <c r="N187" i="5" a="1"/>
  <c r="L233" i="5" a="1"/>
  <c r="B201" i="5" a="1"/>
  <c r="L128" i="5" a="1"/>
  <c r="B310" i="5" a="1"/>
  <c r="N283" i="5" a="1"/>
  <c r="E213" i="5" a="1"/>
  <c r="M230" i="5" a="1"/>
  <c r="E261" i="5" a="1"/>
  <c r="J183" i="5" a="1"/>
  <c r="B253" i="5" a="1"/>
  <c r="K301" i="5" a="1"/>
  <c r="B294" i="5" a="1"/>
  <c r="L277" i="5" a="1"/>
  <c r="K257" i="5" a="1"/>
  <c r="J274" i="5" a="1"/>
  <c r="B304" i="5" a="1"/>
  <c r="L275" i="5" a="1"/>
  <c r="J247" i="5" a="1"/>
  <c r="N263" i="5" a="1"/>
  <c r="L220" i="5" a="1"/>
  <c r="N286" i="5" a="1"/>
  <c r="N244" i="5" a="1"/>
  <c r="I326" i="5" a="1"/>
  <c r="I362" i="5" a="1"/>
  <c r="J253" i="5" a="1"/>
  <c r="L294" i="5" a="1"/>
  <c r="J350" i="5" a="1"/>
  <c r="J386" i="5" a="1"/>
  <c r="B380" i="5" a="1"/>
  <c r="N329" i="5" a="1"/>
  <c r="N365" i="5" a="1"/>
  <c r="M308" i="5" a="1"/>
  <c r="I323" i="5" a="1"/>
  <c r="I359" i="5" a="1"/>
  <c r="L241" i="5" a="1"/>
  <c r="M271" i="5" a="1"/>
  <c r="J335" i="5" a="1"/>
  <c r="J371" i="5" a="1"/>
  <c r="L307" i="5" a="1"/>
  <c r="M311" i="5" a="1"/>
  <c r="E354" i="5" a="1"/>
  <c r="B203" i="5" a="1"/>
  <c r="H288" i="5" a="1"/>
  <c r="H343" i="5" a="1"/>
  <c r="H379" i="5" a="1"/>
  <c r="I317" i="5" a="1"/>
  <c r="J332" i="5" a="1"/>
  <c r="J368" i="5" a="1"/>
  <c r="L306" i="5" a="1"/>
  <c r="I313" i="5" a="1"/>
  <c r="J355" i="5" a="1"/>
  <c r="J305" i="5" a="1"/>
  <c r="K343" i="5" a="1"/>
  <c r="K379" i="5" a="1"/>
  <c r="M332" i="5" a="1"/>
  <c r="M368" i="5" a="1"/>
  <c r="N321" i="5" a="1"/>
  <c r="N356" i="5" a="1"/>
  <c r="L289" i="5" a="1"/>
  <c r="N398" i="5" a="1"/>
  <c r="N434" i="5" a="1"/>
  <c r="N470" i="5" a="1"/>
  <c r="M391" i="5" a="1"/>
  <c r="J429" i="5" a="1"/>
  <c r="J465" i="5" a="1"/>
  <c r="M395" i="5" a="1"/>
  <c r="B336" i="5" a="1"/>
  <c r="L405" i="5" a="1"/>
  <c r="L441" i="5" a="1"/>
  <c r="E298" i="5" a="1"/>
  <c r="K403" i="5" a="1"/>
  <c r="K439" i="5" a="1"/>
  <c r="K475" i="5" a="1"/>
  <c r="H411" i="5" a="1"/>
  <c r="N390" i="5" a="1"/>
  <c r="M415" i="5" a="1"/>
  <c r="J223" i="5" a="1"/>
  <c r="B453" i="5" a="1"/>
  <c r="N414" i="5" a="1"/>
  <c r="E416" i="5" a="1"/>
  <c r="B1501" i="4" a="1"/>
  <c r="B1771" i="4" a="1"/>
  <c r="B2061" i="4" a="1"/>
  <c r="B2000" i="4" a="1"/>
  <c r="K32" i="5" a="1"/>
  <c r="J66" i="5" a="1"/>
  <c r="I88" i="5" a="1"/>
  <c r="I87" i="5" a="1"/>
  <c r="K64" i="5" a="1"/>
  <c r="I25" i="5" a="1"/>
  <c r="L3" i="5" a="1"/>
  <c r="K86" i="5" a="1"/>
  <c r="B6" i="5" a="1"/>
  <c r="E169" i="5" a="1"/>
  <c r="B179" i="5" a="1"/>
  <c r="B130" i="5" a="1"/>
  <c r="H133" i="5" a="1"/>
  <c r="I106" i="5" a="1"/>
  <c r="I133" i="5" a="1"/>
  <c r="I9" i="5" a="1"/>
  <c r="N137" i="5" a="1"/>
  <c r="B151" i="5" a="1"/>
  <c r="H142" i="5" a="1"/>
  <c r="B89" i="5" a="1"/>
  <c r="N147" i="5" a="1"/>
  <c r="I105" i="5" a="1"/>
  <c r="H68" i="5" a="1"/>
  <c r="K118" i="5" a="1"/>
  <c r="H55" i="5" a="1"/>
  <c r="H150" i="5" a="1"/>
  <c r="E93" i="5" a="1"/>
  <c r="M24" i="5" a="1"/>
  <c r="J114" i="5" a="1"/>
  <c r="L183" i="5" a="1"/>
  <c r="E234" i="5" a="1"/>
  <c r="J148" i="5" a="1"/>
  <c r="L215" i="5" a="1"/>
  <c r="H173" i="5" a="1"/>
  <c r="H210" i="5" a="1"/>
  <c r="K200" i="5" a="1"/>
  <c r="N190" i="5" a="1"/>
  <c r="M237" i="5" a="1"/>
  <c r="J138" i="5" a="1"/>
  <c r="N225" i="5" a="1"/>
  <c r="I80" i="5" a="1"/>
  <c r="B150" i="5" a="1"/>
  <c r="E191" i="5" a="1"/>
  <c r="M234" i="5" a="1"/>
  <c r="K71" i="5" a="1"/>
  <c r="E132" i="5" a="1"/>
  <c r="B322" i="5" a="1"/>
  <c r="E287" i="5" a="1"/>
  <c r="K219" i="5" a="1"/>
  <c r="J232" i="5" a="1"/>
  <c r="H263" i="5" a="1"/>
  <c r="J205" i="5" a="1"/>
  <c r="I257" i="5" a="1"/>
  <c r="L302" i="5" a="1"/>
  <c r="B318" i="5" a="1"/>
  <c r="M278" i="5" a="1"/>
  <c r="B281" i="5" a="1"/>
  <c r="K275" i="5" a="1"/>
  <c r="M153" i="5" a="1"/>
  <c r="M276" i="5" a="1"/>
  <c r="L256" i="5" a="1"/>
  <c r="H269" i="5" a="1"/>
  <c r="K228" i="5" a="1"/>
  <c r="E166" i="5" a="1"/>
  <c r="B251" i="5" a="1"/>
  <c r="J327" i="5" a="1"/>
  <c r="J363" i="5" a="1"/>
  <c r="H270" i="5" a="1"/>
  <c r="L300" i="5" a="1"/>
  <c r="K351" i="5" a="1"/>
  <c r="L218" i="5" a="1"/>
  <c r="N198" i="5" a="1"/>
  <c r="E333" i="5" a="1"/>
  <c r="E369" i="5" a="1"/>
  <c r="N312" i="5" a="1"/>
  <c r="J324" i="5" a="1"/>
  <c r="J360" i="5" a="1"/>
  <c r="B249" i="5" a="1"/>
  <c r="E276" i="5" a="1"/>
  <c r="K336" i="5" a="1"/>
  <c r="K372" i="5" a="1"/>
  <c r="B309" i="5" a="1"/>
  <c r="K318" i="5" a="1"/>
  <c r="H356" i="5" a="1"/>
  <c r="I228" i="5" a="1"/>
  <c r="B291" i="5" a="1"/>
  <c r="I344" i="5" a="1"/>
  <c r="I380" i="5" a="1"/>
  <c r="B1526" i="4" a="1"/>
  <c r="B1788" i="4" a="1"/>
  <c r="B2085" i="4" a="1"/>
  <c r="B2017" i="4" a="1"/>
  <c r="M46" i="5" a="1"/>
  <c r="K67" i="5" a="1"/>
  <c r="J89" i="5" a="1"/>
  <c r="L90" i="5" a="1"/>
  <c r="E71" i="5" a="1"/>
  <c r="K27" i="5" a="1"/>
  <c r="M4" i="5" a="1"/>
  <c r="B7" i="5" a="1"/>
  <c r="B18" i="5" a="1"/>
  <c r="H171" i="5" a="1"/>
  <c r="B142" i="5" a="1"/>
  <c r="I134" i="5" a="1"/>
  <c r="B117" i="5" a="1"/>
  <c r="J134" i="5" a="1"/>
  <c r="M13" i="5" a="1"/>
  <c r="K146" i="5" a="1"/>
  <c r="B163" i="5" a="1"/>
  <c r="I143" i="5" a="1"/>
  <c r="K95" i="5" a="1"/>
  <c r="I154" i="5" a="1"/>
  <c r="N110" i="5" a="1"/>
  <c r="J72" i="5" a="1"/>
  <c r="L119" i="5" a="1"/>
  <c r="L59" i="5" a="1"/>
  <c r="I151" i="5" a="1"/>
  <c r="J102" i="5" a="1"/>
  <c r="E29" i="5" a="1"/>
  <c r="K115" i="5" a="1"/>
  <c r="E186" i="5" a="1"/>
  <c r="H236" i="5" a="1"/>
  <c r="K151" i="5" a="1"/>
  <c r="M216" i="5" a="1"/>
  <c r="B195" i="5" a="1"/>
  <c r="B126" i="5" a="1"/>
  <c r="L201" i="5" a="1"/>
  <c r="E194" i="5" a="1"/>
  <c r="H244" i="5" a="1"/>
  <c r="N162" i="5" a="1"/>
  <c r="E229" i="5" a="1"/>
  <c r="L138" i="5" a="1"/>
  <c r="J172" i="5" a="1"/>
  <c r="H193" i="5" a="1"/>
  <c r="H241" i="5" a="1"/>
  <c r="N155" i="5" a="1"/>
  <c r="H136" i="5" a="1"/>
  <c r="N195" i="5" a="1"/>
  <c r="K292" i="5" a="1"/>
  <c r="B1450" i="4" a="1"/>
  <c r="B1755" i="4" a="1"/>
  <c r="B2178" i="4" a="1"/>
  <c r="N12" i="5" a="1"/>
  <c r="I54" i="5" a="1"/>
  <c r="M69" i="5" a="1"/>
  <c r="M92" i="5" a="1"/>
  <c r="M91" i="5" a="1"/>
  <c r="I74" i="5" a="1"/>
  <c r="L28" i="5" a="1"/>
  <c r="N5" i="5" a="1"/>
  <c r="B31" i="5" a="1"/>
  <c r="B54" i="5" a="1"/>
  <c r="I172" i="5" a="1"/>
  <c r="L12" i="5" a="1"/>
  <c r="M12" i="5" a="1"/>
  <c r="J135" i="5" a="1"/>
  <c r="B129" i="5" a="1"/>
  <c r="K135" i="5" a="1"/>
  <c r="I58" i="5" a="1"/>
  <c r="M148" i="5" a="1"/>
  <c r="B175" i="5" a="1"/>
  <c r="J144" i="5" a="1"/>
  <c r="H100" i="5" a="1"/>
  <c r="J155" i="5" a="1"/>
  <c r="E114" i="5" a="1"/>
  <c r="H79" i="5" a="1"/>
  <c r="M120" i="5" a="1"/>
  <c r="L72" i="5" a="1"/>
  <c r="J152" i="5" a="1"/>
  <c r="M105" i="5" a="1"/>
  <c r="E43" i="5" a="1"/>
  <c r="H124" i="5" a="1"/>
  <c r="H188" i="5" a="1"/>
  <c r="I237" i="5" a="1"/>
  <c r="E154" i="5" a="1"/>
  <c r="H223" i="5" a="1"/>
  <c r="K23" i="5" a="1"/>
  <c r="B149" i="5" a="1"/>
  <c r="M202" i="5" a="1"/>
  <c r="H196" i="5" a="1"/>
  <c r="I245" i="5" a="1"/>
  <c r="N182" i="5" a="1"/>
  <c r="H231" i="5" a="1"/>
  <c r="H146" i="5" a="1"/>
  <c r="B174" i="5" a="1"/>
  <c r="I194" i="5" a="1"/>
  <c r="I242" i="5" a="1"/>
  <c r="J158" i="5" a="1"/>
  <c r="B144" i="5" a="1"/>
  <c r="L217" i="5" a="1"/>
  <c r="L293" i="5" a="1"/>
  <c r="B242" i="5" a="1"/>
  <c r="N249" i="5" a="1"/>
  <c r="M268" i="5" a="1"/>
  <c r="J216" i="5" a="1"/>
  <c r="I263" i="5" a="1"/>
  <c r="E308" i="5" a="1"/>
  <c r="M139" i="5" a="1"/>
  <c r="E283" i="5" a="1"/>
  <c r="B305" i="5" a="1"/>
  <c r="E282" i="5" a="1"/>
  <c r="L193" i="5" a="1"/>
  <c r="E281" i="5" a="1"/>
  <c r="B278" i="5" a="1"/>
  <c r="K272" i="5" a="1"/>
  <c r="N239" i="5" a="1"/>
  <c r="J203" i="5" a="1"/>
  <c r="L259" i="5" a="1"/>
  <c r="L329" i="5" a="1"/>
  <c r="L365" i="5" a="1"/>
  <c r="M286" i="5" a="1"/>
  <c r="M316" i="5" a="1"/>
  <c r="M353" i="5" a="1"/>
  <c r="L270" i="5" a="1"/>
  <c r="K233" i="5" a="1"/>
  <c r="I336" i="5" a="1"/>
  <c r="I372" i="5" a="1"/>
  <c r="B343" i="5" a="1"/>
  <c r="L326" i="5" a="1"/>
  <c r="L362" i="5" a="1"/>
  <c r="M287" i="5" a="1"/>
  <c r="N287" i="5" a="1"/>
  <c r="M338" i="5" a="1"/>
  <c r="M374" i="5" a="1"/>
  <c r="N319" i="5" a="1"/>
  <c r="J322" i="5" a="1"/>
  <c r="J358" i="5" a="1"/>
  <c r="J272" i="5" a="1"/>
  <c r="J299" i="5" a="1"/>
  <c r="K346" i="5" a="1"/>
  <c r="K382" i="5" a="1"/>
  <c r="B339" i="5" a="1"/>
  <c r="M335" i="5" a="1"/>
  <c r="M371" i="5" a="1"/>
  <c r="N314" i="5" a="1"/>
  <c r="M322" i="5" a="1"/>
  <c r="M358" i="5" a="1"/>
  <c r="E312" i="5" a="1"/>
  <c r="N346" i="5" a="1"/>
  <c r="M207" i="5" a="1"/>
  <c r="H339" i="5" a="1"/>
  <c r="H375" i="5" a="1"/>
  <c r="I327" i="5" a="1"/>
  <c r="I363" i="5" a="1"/>
  <c r="K296" i="5" a="1"/>
  <c r="I405" i="5" a="1"/>
  <c r="I441" i="5" a="1"/>
  <c r="J313" i="5" a="1"/>
  <c r="M396" i="5" a="1"/>
  <c r="M432" i="5" a="1"/>
  <c r="M468" i="5" a="1"/>
  <c r="H402" i="5" a="1"/>
  <c r="E389" i="5" a="1"/>
  <c r="E411" i="5" a="1"/>
  <c r="E447" i="5" a="1"/>
  <c r="B347" i="5" a="1"/>
  <c r="N406" i="5" a="1"/>
  <c r="N442" i="5" a="1"/>
  <c r="H392" i="5" a="1"/>
  <c r="K414" i="5" a="1"/>
  <c r="B395" i="5" a="1"/>
  <c r="H422" i="5" a="1"/>
  <c r="K317" i="5" a="1"/>
  <c r="N317" i="5" a="1"/>
  <c r="I421" i="5" a="1"/>
  <c r="J420" i="5" a="1"/>
  <c r="B1468" i="4" a="1"/>
  <c r="B1764" i="4" a="1"/>
  <c r="B2184" i="4" a="1"/>
  <c r="I19" i="5" a="1"/>
  <c r="J55" i="5" a="1"/>
  <c r="I77" i="5" a="1"/>
  <c r="H99" i="5" a="1"/>
  <c r="N92" i="5" a="1"/>
  <c r="J75" i="5" a="1"/>
  <c r="N30" i="5" a="1"/>
  <c r="E21" i="5" a="1"/>
  <c r="B43" i="5" a="1"/>
  <c r="B66" i="5" a="1"/>
  <c r="J173" i="5" a="1"/>
  <c r="L61" i="5" a="1"/>
  <c r="E31" i="5" a="1"/>
  <c r="K136" i="5" a="1"/>
  <c r="B141" i="5" a="1"/>
  <c r="L136" i="5" a="1"/>
  <c r="M62" i="5" a="1"/>
  <c r="N149" i="5" a="1"/>
  <c r="J9" i="5" a="1"/>
  <c r="K145" i="5" a="1"/>
  <c r="K103" i="5" a="1"/>
  <c r="K156" i="5" a="1"/>
  <c r="H116" i="5" a="1"/>
  <c r="K82" i="5" a="1"/>
  <c r="J129" i="5" a="1"/>
  <c r="N100" i="5" a="1"/>
  <c r="K153" i="5" a="1"/>
  <c r="I107" i="5" a="1"/>
  <c r="B65" i="5" a="1"/>
  <c r="M85" i="5" a="1"/>
  <c r="I189" i="5" a="1"/>
  <c r="J238" i="5" a="1"/>
  <c r="I159" i="5" a="1"/>
  <c r="I224" i="5" a="1"/>
  <c r="N49" i="5" a="1"/>
  <c r="J154" i="5" a="1"/>
  <c r="N203" i="5" a="1"/>
  <c r="I197" i="5" a="1"/>
  <c r="J246" i="5" a="1"/>
  <c r="K186" i="5" a="1"/>
  <c r="I232" i="5" a="1"/>
  <c r="M149" i="5" a="1"/>
  <c r="J178" i="5" a="1"/>
  <c r="J195" i="5" a="1"/>
  <c r="J243" i="5" a="1"/>
  <c r="L172" i="5" a="1"/>
  <c r="L153" i="5" a="1"/>
  <c r="I219" i="5" a="1"/>
  <c r="N295" i="5" a="1"/>
  <c r="L243" i="5" a="1"/>
  <c r="H251" i="5" a="1"/>
  <c r="E273" i="5" a="1"/>
  <c r="M227" i="5" a="1"/>
  <c r="J264" i="5" a="1"/>
  <c r="B1178" i="4" a="1"/>
  <c r="B1781" i="4" a="1"/>
  <c r="B2196" i="4" a="1"/>
  <c r="J20" i="5" a="1"/>
  <c r="K56" i="5" a="1"/>
  <c r="K79" i="5" a="1"/>
  <c r="I100" i="5" a="1"/>
  <c r="N104" i="5" a="1"/>
  <c r="L77" i="5" a="1"/>
  <c r="I37" i="5" a="1"/>
  <c r="J25" i="5" a="1"/>
  <c r="B55" i="5" a="1"/>
  <c r="E30" i="5" a="1"/>
  <c r="K174" i="5" a="1"/>
  <c r="I70" i="5" a="1"/>
  <c r="J35" i="5" a="1"/>
  <c r="L137" i="5" a="1"/>
  <c r="B153" i="5" a="1"/>
  <c r="M137" i="5" a="1"/>
  <c r="I71" i="5" a="1"/>
  <c r="E153" i="5" a="1"/>
  <c r="N13" i="5" a="1"/>
  <c r="H154" i="5" a="1"/>
  <c r="H105" i="5" a="1"/>
  <c r="L157" i="5" a="1"/>
  <c r="I117" i="5" a="1"/>
  <c r="I92" i="5" a="1"/>
  <c r="L131" i="5" a="1"/>
  <c r="I102" i="5" a="1"/>
  <c r="L154" i="5" a="1"/>
  <c r="E111" i="5" a="1"/>
  <c r="I69" i="5" a="1"/>
  <c r="N128" i="5" a="1"/>
  <c r="J190" i="5" a="1"/>
  <c r="K239" i="5" a="1"/>
  <c r="K166" i="5" a="1"/>
  <c r="J225" i="5" a="1"/>
  <c r="B64" i="5" a="1"/>
  <c r="L164" i="5" a="1"/>
  <c r="B138" i="5" a="1"/>
  <c r="J198" i="5" a="1"/>
  <c r="K247" i="5" a="1"/>
  <c r="L187" i="5" a="1"/>
  <c r="J233" i="5" a="1"/>
  <c r="L152" i="5" a="1"/>
  <c r="I181" i="5" a="1"/>
  <c r="K196" i="5" a="1"/>
  <c r="K244" i="5" a="1"/>
  <c r="M175" i="5" a="1"/>
  <c r="E156" i="5" a="1"/>
  <c r="I227" i="5" a="1"/>
  <c r="E299" i="5" a="1"/>
  <c r="L246" i="5" a="1"/>
  <c r="N252" i="5" a="1"/>
  <c r="H275" i="5" a="1"/>
  <c r="I229" i="5" a="1"/>
  <c r="K265" i="5" a="1"/>
  <c r="B1503" i="4" a="1"/>
  <c r="B1671" i="4" a="1"/>
  <c r="B2030" i="4" a="1"/>
  <c r="N48" i="5" a="1"/>
  <c r="L57" i="5" a="1"/>
  <c r="M81" i="5" a="1"/>
  <c r="K102" i="5" a="1"/>
  <c r="B22" i="5" a="1"/>
  <c r="M78" i="5" a="1"/>
  <c r="J38" i="5" a="1"/>
  <c r="K26" i="5" a="1"/>
  <c r="B91" i="5" a="1"/>
  <c r="J34" i="5" a="1"/>
  <c r="L175" i="5" a="1"/>
  <c r="E91" i="5" a="1"/>
  <c r="N39" i="5" a="1"/>
  <c r="M138" i="5" a="1"/>
  <c r="J57" i="5" a="1"/>
  <c r="N138" i="5" a="1"/>
  <c r="N74" i="5" a="1"/>
  <c r="H155" i="5" a="1"/>
  <c r="J58" i="5" a="1"/>
  <c r="J156" i="5" a="1"/>
  <c r="L109" i="5" a="1"/>
  <c r="M158" i="5" a="1"/>
  <c r="J118" i="5" a="1"/>
  <c r="H94" i="5" a="1"/>
  <c r="M132" i="5" a="1"/>
  <c r="E104" i="5" a="1"/>
  <c r="M155" i="5" a="1"/>
  <c r="H113" i="5" a="1"/>
  <c r="H80" i="5" a="1"/>
  <c r="J136" i="5" a="1"/>
  <c r="K191" i="5" a="1"/>
  <c r="H248" i="5" a="1"/>
  <c r="E170" i="5" a="1"/>
  <c r="K226" i="5" a="1"/>
  <c r="I96" i="5" a="1"/>
  <c r="J176" i="5" a="1"/>
  <c r="I157" i="5" a="1"/>
  <c r="K199" i="5" a="1"/>
  <c r="L248" i="5" a="1"/>
  <c r="M188" i="5" a="1"/>
  <c r="K234" i="5" a="1"/>
  <c r="J160" i="5" a="1"/>
  <c r="J184" i="5" a="1"/>
  <c r="L197" i="5" a="1"/>
  <c r="L245" i="5" a="1"/>
  <c r="E177" i="5" a="1"/>
  <c r="B159" i="5" a="1"/>
  <c r="B229" i="5" a="1"/>
  <c r="H301" i="5" a="1"/>
  <c r="M255" i="5" a="1"/>
  <c r="H254" i="5" a="1"/>
  <c r="I276" i="5" a="1"/>
  <c r="B231" i="5" a="1"/>
  <c r="L266" i="5" a="1"/>
  <c r="B1511" i="4" a="1"/>
  <c r="B1705" i="4" a="1"/>
  <c r="B2086" i="4" a="1"/>
  <c r="L58" i="5" a="1"/>
  <c r="M58" i="5" a="1"/>
  <c r="H88" i="5" a="1"/>
  <c r="E109" i="5" a="1"/>
  <c r="B34" i="5" a="1"/>
  <c r="N79" i="5" a="1"/>
  <c r="K39" i="5" a="1"/>
  <c r="N29" i="5" a="1"/>
  <c r="M3" i="5" a="1"/>
  <c r="H93" i="5" a="1"/>
  <c r="M176" i="5" a="1"/>
  <c r="I93" i="5" a="1"/>
  <c r="B53" i="5" a="1"/>
  <c r="H145" i="5" a="1"/>
  <c r="K70" i="5" a="1"/>
  <c r="E142" i="5" a="1"/>
  <c r="M93" i="5" a="1"/>
  <c r="I156" i="5" a="1"/>
  <c r="N62" i="5" a="1"/>
  <c r="K157" i="5" a="1"/>
  <c r="M110" i="5" a="1"/>
  <c r="N159" i="5" a="1"/>
  <c r="K119" i="5" a="1"/>
  <c r="J97" i="5" a="1"/>
  <c r="N133" i="5" a="1"/>
  <c r="L105" i="5" a="1"/>
  <c r="J164" i="5" a="1"/>
  <c r="I114" i="5" a="1"/>
  <c r="K83" i="5" a="1"/>
  <c r="L140" i="5" a="1"/>
  <c r="N194" i="5" a="1"/>
  <c r="J250" i="5" a="1"/>
  <c r="M174" i="5" a="1"/>
  <c r="L227" i="5" a="1"/>
  <c r="K125" i="5" a="1"/>
  <c r="B194" i="5" a="1"/>
  <c r="J162" i="5" a="1"/>
  <c r="L200" i="5" a="1"/>
  <c r="M249" i="5" a="1"/>
  <c r="N189" i="5" a="1"/>
  <c r="L235" i="5" a="1"/>
  <c r="I165" i="5" a="1"/>
  <c r="B190" i="5" a="1"/>
  <c r="M198" i="5" a="1"/>
  <c r="M246" i="5" a="1"/>
  <c r="M181" i="5" a="1"/>
  <c r="I161" i="5" a="1"/>
  <c r="N233" i="5" a="1"/>
  <c r="J46" i="5" a="1"/>
  <c r="K258" i="5" a="1"/>
  <c r="B260" i="5" a="1"/>
  <c r="J277" i="5" a="1"/>
  <c r="L232" i="5" a="1"/>
  <c r="M267" i="5" a="1"/>
  <c r="B1111" i="4" a="1"/>
  <c r="B1093" i="4" a="1"/>
  <c r="B2094" i="4" a="1"/>
  <c r="M59" i="5" a="1"/>
  <c r="K68" i="5" a="1"/>
  <c r="I89" i="5" a="1"/>
  <c r="B83" i="5" a="1"/>
  <c r="B70" i="5" a="1"/>
  <c r="E83" i="5" a="1"/>
  <c r="M41" i="5" a="1"/>
  <c r="E33" i="5" a="1"/>
  <c r="J12" i="5" a="1"/>
  <c r="I104" i="5" a="1"/>
  <c r="N177" i="5" a="1"/>
  <c r="H101" i="5" a="1"/>
  <c r="I57" i="5" a="1"/>
  <c r="I146" i="5" a="1"/>
  <c r="M74" i="5" a="1"/>
  <c r="H144" i="5" a="1"/>
  <c r="I95" i="5" a="1"/>
  <c r="J157" i="5" a="1"/>
  <c r="J95" i="5" a="1"/>
  <c r="L158" i="5" a="1"/>
  <c r="N111" i="5" a="1"/>
  <c r="K168" i="5" a="1"/>
  <c r="L120" i="5" a="1"/>
  <c r="B104" i="5" a="1"/>
  <c r="E137" i="5" a="1"/>
  <c r="H114" i="5" a="1"/>
  <c r="L166" i="5" a="1"/>
  <c r="J115" i="5" a="1"/>
  <c r="N86" i="5" a="1"/>
  <c r="E144" i="5" a="1"/>
  <c r="E198" i="5" a="1"/>
  <c r="K251" i="5" a="1"/>
  <c r="H176" i="5" a="1"/>
  <c r="M228" i="5" a="1"/>
  <c r="M129" i="5" a="1"/>
  <c r="B206" i="5" a="1"/>
  <c r="N164" i="5" a="1"/>
  <c r="M201" i="5" a="1"/>
  <c r="H67" i="5" a="1"/>
  <c r="E193" i="5" a="1"/>
  <c r="E241" i="5" a="1"/>
  <c r="L186" i="5" a="1"/>
  <c r="B202" i="5" a="1"/>
  <c r="H205" i="5" a="1"/>
  <c r="I254" i="5" a="1"/>
  <c r="L184" i="5" a="1"/>
  <c r="I180" i="5" a="1"/>
  <c r="K246" i="5" a="1"/>
  <c r="K204" i="5" a="1"/>
  <c r="I265" i="5" a="1"/>
  <c r="B308" i="5" a="1"/>
  <c r="K278" i="5" a="1"/>
  <c r="I251" i="5" a="1"/>
  <c r="E272" i="5" a="1"/>
  <c r="B1607" i="4" a="1"/>
  <c r="B1383" i="4" a="1"/>
  <c r="B2102" i="4" a="1"/>
  <c r="H66" i="5" a="1"/>
  <c r="M70" i="5" a="1"/>
  <c r="B48" i="5" a="1"/>
  <c r="M6" i="5" a="1"/>
  <c r="H85" i="5" a="1"/>
  <c r="I49" i="5" a="1"/>
  <c r="I36" i="5" a="1"/>
  <c r="K13" i="5" a="1"/>
  <c r="J113" i="5" a="1"/>
  <c r="E181" i="5" a="1"/>
  <c r="K104" i="5" a="1"/>
  <c r="M61" i="5" a="1"/>
  <c r="J147" i="5" a="1"/>
  <c r="E78" i="5" a="1"/>
  <c r="I145" i="5" a="1"/>
  <c r="K110" i="5" a="1"/>
  <c r="K158" i="5" a="1"/>
  <c r="B97" i="5" a="1"/>
  <c r="M159" i="5" a="1"/>
  <c r="I118" i="5" a="1"/>
  <c r="M170" i="5" a="1"/>
  <c r="M121" i="5" a="1"/>
  <c r="K108" i="5" a="1"/>
  <c r="H139" i="5" a="1"/>
  <c r="I115" i="5" a="1"/>
  <c r="M167" i="5" a="1"/>
  <c r="K116" i="5" a="1"/>
  <c r="K94" i="5" a="1"/>
  <c r="E159" i="5" a="1"/>
  <c r="H200" i="5" a="1"/>
  <c r="L252" i="5" a="1"/>
  <c r="H182" i="5" a="1"/>
  <c r="J237" i="5" a="1"/>
  <c r="I137" i="5" a="1"/>
  <c r="K24" i="5" a="1"/>
  <c r="N166" i="5" a="1"/>
  <c r="H208" i="5" a="1"/>
  <c r="N97" i="5" a="1"/>
  <c r="H195" i="5" a="1"/>
  <c r="H243" i="5" a="1"/>
  <c r="M187" i="5" a="1"/>
  <c r="B214" i="5" a="1"/>
  <c r="I206" i="5" a="1"/>
  <c r="J255" i="5" a="1"/>
  <c r="B188" i="5" a="1"/>
  <c r="B182" i="5" a="1"/>
  <c r="K252" i="5" a="1"/>
  <c r="L208" i="5" a="1"/>
  <c r="J266" i="5" a="1"/>
  <c r="B320" i="5" a="1"/>
  <c r="L279" i="5" a="1"/>
  <c r="J254" i="5" a="1"/>
  <c r="I275" i="5" a="1"/>
  <c r="B1152" i="4" a="1"/>
  <c r="B1438" i="4" a="1"/>
  <c r="B2109" i="4" a="1"/>
  <c r="I67" i="5" a="1"/>
  <c r="N71" i="5" a="1"/>
  <c r="B84" i="5" a="1"/>
  <c r="L18" i="5" a="1"/>
  <c r="E11" i="5" a="1"/>
  <c r="I86" i="5" a="1"/>
  <c r="K51" i="5" a="1"/>
  <c r="J37" i="5" a="1"/>
  <c r="L14" i="5" a="1"/>
  <c r="L115" i="5" a="1"/>
  <c r="H183" i="5" a="1"/>
  <c r="K113" i="5" a="1"/>
  <c r="J70" i="5" a="1"/>
  <c r="K148" i="5" a="1"/>
  <c r="B88" i="5" a="1"/>
  <c r="J22" i="5" a="1"/>
  <c r="M112" i="5" a="1"/>
  <c r="L159" i="5" a="1"/>
  <c r="J103" i="5" a="1"/>
  <c r="N160" i="5" a="1"/>
  <c r="J119" i="5" a="1"/>
  <c r="N171" i="5" a="1"/>
  <c r="N122" i="5" a="1"/>
  <c r="B112" i="5" a="1"/>
  <c r="I140" i="5" a="1"/>
  <c r="J116" i="5" a="1"/>
  <c r="L117" i="5" a="1"/>
  <c r="B121" i="5" a="1"/>
  <c r="K161" i="5" a="1"/>
  <c r="I201" i="5" a="1"/>
  <c r="M253" i="5" a="1"/>
  <c r="H187" i="5" a="1"/>
  <c r="L239" i="5" a="1"/>
  <c r="M151" i="5" a="1"/>
  <c r="N50" i="5" a="1"/>
  <c r="E172" i="5" a="1"/>
  <c r="I209" i="5" a="1"/>
  <c r="H152" i="5" a="1"/>
  <c r="I196" i="5" a="1"/>
  <c r="N27" i="5" a="1"/>
  <c r="E192" i="5" a="1"/>
  <c r="B226" i="5" a="1"/>
  <c r="J207" i="5" a="1"/>
  <c r="L257" i="5" a="1"/>
  <c r="B200" i="5" a="1"/>
  <c r="J45" i="5" a="1"/>
  <c r="E257" i="5" a="1"/>
  <c r="I211" i="5" a="1"/>
  <c r="B1347" i="4" a="1"/>
  <c r="B1602" i="4" a="1"/>
  <c r="B2116" i="4" a="1"/>
  <c r="K69" i="5" a="1"/>
  <c r="M82" i="5" a="1"/>
  <c r="J17" i="5" a="1"/>
  <c r="M19" i="5" a="1"/>
  <c r="K88" i="5" a="1"/>
  <c r="K63" i="5" a="1"/>
  <c r="L39" i="5" a="1"/>
  <c r="M15" i="5" a="1"/>
  <c r="M116" i="5" a="1"/>
  <c r="B17" i="5" a="1"/>
  <c r="M115" i="5" a="1"/>
  <c r="J93" i="5" a="1"/>
  <c r="L149" i="5" a="1"/>
  <c r="H91" i="5" a="1"/>
  <c r="N26" i="5" a="1"/>
  <c r="N113" i="5" a="1"/>
  <c r="M160" i="5" a="1"/>
  <c r="K109" i="5" a="1"/>
  <c r="E164" i="5" a="1"/>
  <c r="K120" i="5" a="1"/>
  <c r="E175" i="5" a="1"/>
  <c r="E126" i="5" a="1"/>
  <c r="B172" i="5" a="1"/>
  <c r="J141" i="5" a="1"/>
  <c r="K117" i="5" a="1"/>
  <c r="L24" i="5" a="1"/>
  <c r="E123" i="5" a="1"/>
  <c r="B145" i="5" a="1"/>
  <c r="E168" i="5" a="1"/>
  <c r="J202" i="5" a="1"/>
  <c r="N254" i="5" a="1"/>
  <c r="I188" i="5" a="1"/>
  <c r="M240" i="5" a="1"/>
  <c r="K164" i="5" a="1"/>
  <c r="B111" i="5" a="1"/>
  <c r="K173" i="5" a="1"/>
  <c r="J210" i="5" a="1"/>
  <c r="L162" i="5" a="1"/>
  <c r="J197" i="5" a="1"/>
  <c r="B41" i="5" a="1"/>
  <c r="H194" i="5" a="1"/>
  <c r="B238" i="5" a="1"/>
  <c r="K208" i="5" a="1"/>
  <c r="M258" i="5" a="1"/>
  <c r="E19" i="5" a="1"/>
  <c r="L85" i="5" a="1"/>
  <c r="E263" i="5" a="1"/>
  <c r="L214" i="5" a="1"/>
  <c r="L268" i="5" a="1"/>
  <c r="N169" i="5" a="1"/>
  <c r="N281" i="5" a="1"/>
  <c r="B283" i="5" a="1"/>
  <c r="B1505" i="4" a="1"/>
  <c r="N117" i="5" a="1"/>
  <c r="H177" i="5" a="1"/>
  <c r="N241" i="5" a="1"/>
  <c r="I45" i="5" a="1"/>
  <c r="H262" i="5" a="1"/>
  <c r="J251" i="5" a="1"/>
  <c r="E189" i="5" a="1"/>
  <c r="N266" i="5" a="1"/>
  <c r="L226" i="5" a="1"/>
  <c r="M206" i="5" a="1"/>
  <c r="M231" i="5" a="1"/>
  <c r="J282" i="5" a="1"/>
  <c r="I246" i="5" a="1"/>
  <c r="M354" i="5" a="1"/>
  <c r="H304" i="5" a="1"/>
  <c r="N342" i="5" a="1"/>
  <c r="M296" i="5" a="1"/>
  <c r="J325" i="5" a="1"/>
  <c r="E381" i="5" a="1"/>
  <c r="K315" i="5" a="1"/>
  <c r="J372" i="5" a="1"/>
  <c r="H227" i="5" a="1"/>
  <c r="K348" i="5" a="1"/>
  <c r="J290" i="5" a="1"/>
  <c r="H332" i="5" a="1"/>
  <c r="K383" i="5" a="1"/>
  <c r="L318" i="5" a="1"/>
  <c r="L371" i="5" a="1"/>
  <c r="L262" i="5" a="1"/>
  <c r="L358" i="5" a="1"/>
  <c r="N318" i="5" a="1"/>
  <c r="N335" i="5" a="1"/>
  <c r="N306" i="5" a="1"/>
  <c r="L356" i="5" a="1"/>
  <c r="H327" i="5" a="1"/>
  <c r="K378" i="5" a="1"/>
  <c r="K341" i="5" a="1"/>
  <c r="I294" i="5" a="1"/>
  <c r="H416" i="5" a="1"/>
  <c r="J466" i="5" a="1"/>
  <c r="I404" i="5" a="1"/>
  <c r="K454" i="5" a="1"/>
  <c r="I403" i="5" a="1"/>
  <c r="B217" i="5" a="1"/>
  <c r="H437" i="5" a="1"/>
  <c r="B397" i="5" a="1"/>
  <c r="N418" i="5" a="1"/>
  <c r="E470" i="5" a="1"/>
  <c r="M416" i="5" a="1"/>
  <c r="H398" i="5" a="1"/>
  <c r="N393" i="5" a="1"/>
  <c r="B372" i="5" a="1"/>
  <c r="J396" i="5" a="1"/>
  <c r="J444" i="5" a="1"/>
  <c r="J395" i="5" a="1"/>
  <c r="J431" i="5" a="1"/>
  <c r="B473" i="5" a="1"/>
  <c r="I476" i="5" a="1"/>
  <c r="I512" i="5" a="1"/>
  <c r="E384" i="5" a="1"/>
  <c r="M451" i="5" a="1"/>
  <c r="M503" i="5" a="1"/>
  <c r="M539" i="5" a="1"/>
  <c r="H457" i="5" a="1"/>
  <c r="B481" i="5" a="1"/>
  <c r="E494" i="5" a="1"/>
  <c r="E530" i="5" a="1"/>
  <c r="I468" i="5" a="1"/>
  <c r="H483" i="5" a="1"/>
  <c r="H519" i="5" a="1"/>
  <c r="H441" i="5" a="1"/>
  <c r="L448" i="5" a="1"/>
  <c r="K410" i="5" a="1"/>
  <c r="K424" i="5" a="1"/>
  <c r="B476" i="5" a="1"/>
  <c r="M521" i="5" a="1"/>
  <c r="I501" i="5" a="1"/>
  <c r="K562" i="5" a="1"/>
  <c r="K598" i="5" a="1"/>
  <c r="B555" i="5" a="1"/>
  <c r="H515" i="5" a="1"/>
  <c r="I571" i="5" a="1"/>
  <c r="I607" i="5" a="1"/>
  <c r="K491" i="5" a="1"/>
  <c r="I498" i="5" a="1"/>
  <c r="B514" i="5" a="1"/>
  <c r="E566" i="5" a="1"/>
  <c r="E602" i="5" a="1"/>
  <c r="K547" i="5" a="1"/>
  <c r="J527" i="5" a="1"/>
  <c r="L571" i="5" a="1"/>
  <c r="L607" i="5" a="1"/>
  <c r="B563" i="5" a="1"/>
  <c r="J539" i="5" a="1"/>
  <c r="J580" i="5" a="1"/>
  <c r="J467" i="5" a="1"/>
  <c r="B509" i="5" a="1"/>
  <c r="J519" i="5" a="1"/>
  <c r="L485" i="5" a="1"/>
  <c r="I432" i="5" a="1"/>
  <c r="M581" i="5" a="1"/>
  <c r="K639" i="5" a="1"/>
  <c r="L529" i="5" a="1"/>
  <c r="E558" i="5" a="1"/>
  <c r="E621" i="5" a="1"/>
  <c r="E657" i="5" a="1"/>
  <c r="M594" i="5" a="1"/>
  <c r="E525" i="5" a="1"/>
  <c r="B654" i="5" a="1"/>
  <c r="E619" i="5" a="1"/>
  <c r="E655" i="5" a="1"/>
  <c r="J591" i="5" a="1"/>
  <c r="N587" i="5" a="1"/>
  <c r="K635" i="5" a="1"/>
  <c r="J487" i="5" a="1"/>
  <c r="J516" i="5" a="1"/>
  <c r="E548" i="5" a="1"/>
  <c r="K516" i="5" a="1"/>
  <c r="K564" i="5" a="1"/>
  <c r="K584" i="5" a="1"/>
  <c r="M593" i="5" a="1"/>
  <c r="K548" i="5" a="1"/>
  <c r="E523" i="5" a="1"/>
  <c r="N683" i="5" a="1"/>
  <c r="N719" i="5" a="1"/>
  <c r="N755" i="5" a="1"/>
  <c r="B697" i="5" a="1"/>
  <c r="B1522" i="4" a="1"/>
  <c r="I124" i="5" a="1"/>
  <c r="I178" i="5" a="1"/>
  <c r="E245" i="5" a="1"/>
  <c r="L83" i="5" a="1"/>
  <c r="J276" i="5" a="1"/>
  <c r="K254" i="5" a="1"/>
  <c r="J193" i="5" a="1"/>
  <c r="E270" i="5" a="1"/>
  <c r="L234" i="5" a="1"/>
  <c r="J215" i="5" a="1"/>
  <c r="H233" i="5" a="1"/>
  <c r="K283" i="5" a="1"/>
  <c r="K259" i="5" a="1"/>
  <c r="N355" i="5" a="1"/>
  <c r="H307" i="5" a="1"/>
  <c r="E346" i="5" a="1"/>
  <c r="M298" i="5" a="1"/>
  <c r="K326" i="5" a="1"/>
  <c r="M226" i="5" a="1"/>
  <c r="I318" i="5" a="1"/>
  <c r="K373" i="5" a="1"/>
  <c r="N234" i="5" a="1"/>
  <c r="L349" i="5" a="1"/>
  <c r="I297" i="5" a="1"/>
  <c r="I333" i="5" a="1"/>
  <c r="L384" i="5" a="1"/>
  <c r="I321" i="5" a="1"/>
  <c r="M372" i="5" a="1"/>
  <c r="H281" i="5" a="1"/>
  <c r="M359" i="5" a="1"/>
  <c r="B326" i="5" a="1"/>
  <c r="E339" i="5" a="1"/>
  <c r="N310" i="5" a="1"/>
  <c r="M357" i="5" a="1"/>
  <c r="I328" i="5" a="1"/>
  <c r="L379" i="5" a="1"/>
  <c r="E348" i="5" a="1"/>
  <c r="J298" i="5" a="1"/>
  <c r="I417" i="5" a="1"/>
  <c r="K467" i="5" a="1"/>
  <c r="J405" i="5" a="1"/>
  <c r="L455" i="5" a="1"/>
  <c r="J404" i="5" a="1"/>
  <c r="B361" i="5" a="1"/>
  <c r="I438" i="5" a="1"/>
  <c r="B409" i="5" a="1"/>
  <c r="E422" i="5" a="1"/>
  <c r="H472" i="5" a="1"/>
  <c r="N417" i="5" a="1"/>
  <c r="I399" i="5" a="1"/>
  <c r="B406" i="5" a="1"/>
  <c r="B381" i="5" a="1"/>
  <c r="K397" i="5" a="1"/>
  <c r="K445" i="5" a="1"/>
  <c r="K396" i="5" a="1"/>
  <c r="K432" i="5" a="1"/>
  <c r="N474" i="5" a="1"/>
  <c r="J477" i="5" a="1"/>
  <c r="J513" i="5" a="1"/>
  <c r="L436" i="5" a="1"/>
  <c r="H455" i="5" a="1"/>
  <c r="N504" i="5" a="1"/>
  <c r="N540" i="5" a="1"/>
  <c r="J464" i="5" a="1"/>
  <c r="B493" i="5" a="1"/>
  <c r="H496" i="5" a="1"/>
  <c r="H532" i="5" a="1"/>
  <c r="N471" i="5" a="1"/>
  <c r="I484" i="5" a="1"/>
  <c r="I520" i="5" a="1"/>
  <c r="E445" i="5" a="1"/>
  <c r="K450" i="5" a="1"/>
  <c r="B428" i="5" a="1"/>
  <c r="B438" i="5" a="1"/>
  <c r="E390" i="5" a="1"/>
  <c r="N531" i="5" a="1"/>
  <c r="H503" i="5" a="1"/>
  <c r="L563" i="5" a="1"/>
  <c r="L599" i="5" a="1"/>
  <c r="B567" i="5" a="1"/>
  <c r="K518" i="5" a="1"/>
  <c r="J572" i="5" a="1"/>
  <c r="J608" i="5" a="1"/>
  <c r="I493" i="5" a="1"/>
  <c r="E500" i="5" a="1"/>
  <c r="J515" i="5" a="1"/>
  <c r="H568" i="5" a="1"/>
  <c r="H604" i="5" a="1"/>
  <c r="B552" i="5" a="1"/>
  <c r="H529" i="5" a="1"/>
  <c r="M572" i="5" a="1"/>
  <c r="M608" i="5" a="1"/>
  <c r="B575" i="5" a="1"/>
  <c r="H541" i="5" a="1"/>
  <c r="K581" i="5" a="1"/>
  <c r="K479" i="5" a="1"/>
  <c r="N510" i="5" a="1"/>
  <c r="H524" i="5" a="1"/>
  <c r="M490" i="5" a="1"/>
  <c r="I447" i="5" a="1"/>
  <c r="J583" i="5" a="1"/>
  <c r="L640" i="5" a="1"/>
  <c r="K556" i="5" a="1"/>
  <c r="E560" i="5" a="1"/>
  <c r="H623" i="5" a="1"/>
  <c r="H659" i="5" a="1"/>
  <c r="H596" i="5" a="1"/>
  <c r="I534" i="5" a="1"/>
  <c r="B666" i="5" a="1"/>
  <c r="H621" i="5" a="1"/>
  <c r="H657" i="5" a="1"/>
  <c r="B593" i="5" a="1"/>
  <c r="K589" i="5" a="1"/>
  <c r="L636" i="5" a="1"/>
  <c r="J499" i="5" a="1"/>
  <c r="K521" i="5" a="1"/>
  <c r="E550" i="5" a="1"/>
  <c r="L521" i="5" a="1"/>
  <c r="J566" i="5" a="1"/>
  <c r="I586" i="5" a="1"/>
  <c r="J595" i="5" a="1"/>
  <c r="I550" i="5" a="1"/>
  <c r="L544" i="5" a="1"/>
  <c r="E687" i="5" a="1"/>
  <c r="E723" i="5" a="1"/>
  <c r="E759" i="5" a="1"/>
  <c r="B709" i="5" a="1"/>
  <c r="B2009" i="4" a="1"/>
  <c r="I21" i="5" a="1"/>
  <c r="J130" i="5" a="1"/>
  <c r="M168" i="5" a="1"/>
  <c r="N158" i="5" a="1"/>
  <c r="L278" i="5" a="1"/>
  <c r="L73" i="5" a="1"/>
  <c r="N197" i="5" a="1"/>
  <c r="M277" i="5" a="1"/>
  <c r="L242" i="5" a="1"/>
  <c r="B266" i="5" a="1"/>
  <c r="B235" i="5" a="1"/>
  <c r="H174" i="5" a="1"/>
  <c r="N264" i="5" a="1"/>
  <c r="K364" i="5" a="1"/>
  <c r="K308" i="5" a="1"/>
  <c r="L352" i="5" a="1"/>
  <c r="J302" i="5" a="1"/>
  <c r="H335" i="5" a="1"/>
  <c r="M233" i="5" a="1"/>
  <c r="K325" i="5" a="1"/>
  <c r="L374" i="5" a="1"/>
  <c r="I280" i="5" a="1"/>
  <c r="M350" i="5" a="1"/>
  <c r="I314" i="5" a="1"/>
  <c r="J334" i="5" a="1"/>
  <c r="J256" i="5" a="1"/>
  <c r="K322" i="5" a="1"/>
  <c r="J381" i="5" a="1"/>
  <c r="L288" i="5" a="1"/>
  <c r="N360" i="5" a="1"/>
  <c r="B338" i="5" a="1"/>
  <c r="K344" i="5" a="1"/>
  <c r="L313" i="5" a="1"/>
  <c r="N358" i="5" a="1"/>
  <c r="J329" i="5" a="1"/>
  <c r="M380" i="5" a="1"/>
  <c r="H350" i="5" a="1"/>
  <c r="E300" i="5" a="1"/>
  <c r="J418" i="5" a="1"/>
  <c r="E474" i="5" a="1"/>
  <c r="K406" i="5" a="1"/>
  <c r="M456" i="5" a="1"/>
  <c r="K405" i="5" a="1"/>
  <c r="B383" i="5" a="1"/>
  <c r="K440" i="5" a="1"/>
  <c r="B421" i="5" a="1"/>
  <c r="H424" i="5" a="1"/>
  <c r="J474" i="5" a="1"/>
  <c r="E421" i="5" a="1"/>
  <c r="J400" i="5" a="1"/>
  <c r="B430" i="5" a="1"/>
  <c r="B384" i="5" a="1"/>
  <c r="L398" i="5" a="1"/>
  <c r="L446" i="5" a="1"/>
  <c r="L397" i="5" a="1"/>
  <c r="L433" i="5" a="1"/>
  <c r="B484" i="5" a="1"/>
  <c r="K478" i="5" a="1"/>
  <c r="K514" i="5" a="1"/>
  <c r="N440" i="5" a="1"/>
  <c r="E468" i="5" a="1"/>
  <c r="B2018" i="4" a="1"/>
  <c r="M25" i="5" a="1"/>
  <c r="K131" i="5" a="1"/>
  <c r="I182" i="5" a="1"/>
  <c r="J204" i="5" a="1"/>
  <c r="M279" i="5" a="1"/>
  <c r="E171" i="5" a="1"/>
  <c r="B212" i="5" a="1"/>
  <c r="H284" i="5" a="1"/>
  <c r="N248" i="5" a="1"/>
  <c r="M165" i="5" a="1"/>
  <c r="K236" i="5" a="1"/>
  <c r="L207" i="5" a="1"/>
  <c r="N282" i="5" a="1"/>
  <c r="M366" i="5" a="1"/>
  <c r="N309" i="5" a="1"/>
  <c r="N354" i="5" a="1"/>
  <c r="I304" i="5" a="1"/>
  <c r="J337" i="5" a="1"/>
  <c r="B248" i="5" a="1"/>
  <c r="M327" i="5" a="1"/>
  <c r="M375" i="5" a="1"/>
  <c r="H290" i="5" a="1"/>
  <c r="N351" i="5" a="1"/>
  <c r="E321" i="5" a="1"/>
  <c r="K335" i="5" a="1"/>
  <c r="K284" i="5" a="1"/>
  <c r="L323" i="5" a="1"/>
  <c r="L383" i="5" a="1"/>
  <c r="J293" i="5" a="1"/>
  <c r="E364" i="5" a="1"/>
  <c r="B350" i="5" a="1"/>
  <c r="L345" i="5" a="1"/>
  <c r="B315" i="5" a="1"/>
  <c r="E362" i="5" a="1"/>
  <c r="N333" i="5" a="1"/>
  <c r="N381" i="5" a="1"/>
  <c r="I351" i="5" a="1"/>
  <c r="M305" i="5" a="1"/>
  <c r="K419" i="5" a="1"/>
  <c r="H296" i="5" a="1"/>
  <c r="L407" i="5" a="1"/>
  <c r="N457" i="5" a="1"/>
  <c r="L406" i="5" a="1"/>
  <c r="M394" i="5" a="1"/>
  <c r="M442" i="5" a="1"/>
  <c r="B433" i="5" a="1"/>
  <c r="L428" i="5" a="1"/>
  <c r="N299" i="5" a="1"/>
  <c r="H423" i="5" a="1"/>
  <c r="N404" i="5" a="1"/>
  <c r="H291" i="5" a="1"/>
  <c r="L392" i="5" a="1"/>
  <c r="H406" i="5" a="1"/>
  <c r="M447" i="5" a="1"/>
  <c r="M398" i="5" a="1"/>
  <c r="M434" i="5" a="1"/>
  <c r="B496" i="5" a="1"/>
  <c r="L479" i="5" a="1"/>
  <c r="L515" i="5" a="1"/>
  <c r="B2341" i="4" a="1"/>
  <c r="N116" i="5" a="1"/>
  <c r="K10" i="5" a="1"/>
  <c r="I170" i="5" a="1"/>
  <c r="H265" i="5" a="1"/>
  <c r="N280" i="5" a="1"/>
  <c r="I193" i="5" a="1"/>
  <c r="K221" i="5" a="1"/>
  <c r="J286" i="5" a="1"/>
  <c r="N251" i="5" a="1"/>
  <c r="H190" i="5" a="1"/>
  <c r="L244" i="5" a="1"/>
  <c r="B211" i="5" a="1"/>
  <c r="L286" i="5" a="1"/>
  <c r="N367" i="5" a="1"/>
  <c r="L312" i="5" a="1"/>
  <c r="E358" i="5" a="1"/>
  <c r="E306" i="5" a="1"/>
  <c r="K338" i="5" a="1"/>
  <c r="B255" i="5" a="1"/>
  <c r="N328" i="5" a="1"/>
  <c r="N376" i="5" a="1"/>
  <c r="I295" i="5" a="1"/>
  <c r="E355" i="5" a="1"/>
  <c r="B329" i="5" a="1"/>
  <c r="L336" i="5" a="1"/>
  <c r="E288" i="5" a="1"/>
  <c r="M324" i="5" a="1"/>
  <c r="M384" i="5" a="1"/>
  <c r="L301" i="5" a="1"/>
  <c r="K369" i="5" a="1"/>
  <c r="B362" i="5" a="1"/>
  <c r="M346" i="5" a="1"/>
  <c r="H316" i="5" a="1"/>
  <c r="H364" i="5" a="1"/>
  <c r="E337" i="5" a="1"/>
  <c r="J252" i="5" a="1"/>
  <c r="J352" i="5" a="1"/>
  <c r="J308" i="5" a="1"/>
  <c r="E426" i="5" a="1"/>
  <c r="B351" i="5" a="1"/>
  <c r="M408" i="5" a="1"/>
  <c r="E461" i="5" a="1"/>
  <c r="M407" i="5" a="1"/>
  <c r="N395" i="5" a="1"/>
  <c r="N443" i="5" a="1"/>
  <c r="B445" i="5" a="1"/>
  <c r="M429" i="5" a="1"/>
  <c r="L387" i="5" a="1"/>
  <c r="I424" i="5" a="1"/>
  <c r="E408" i="5" a="1"/>
  <c r="K309" i="5" a="1"/>
  <c r="B1759" i="4" a="1"/>
  <c r="J21" i="5" a="1"/>
  <c r="H33" i="5" a="1"/>
  <c r="K179" i="5" a="1"/>
  <c r="I266" i="5" a="1"/>
  <c r="J288" i="5" a="1"/>
  <c r="M197" i="5" a="1"/>
  <c r="N232" i="5" a="1"/>
  <c r="K287" i="5" a="1"/>
  <c r="L263" i="5" a="1"/>
  <c r="H203" i="5" a="1"/>
  <c r="J82" i="5" a="1"/>
  <c r="N231" i="5" a="1"/>
  <c r="N305" i="5" a="1"/>
  <c r="E371" i="5" a="1"/>
  <c r="B333" i="5" a="1"/>
  <c r="H360" i="5" a="1"/>
  <c r="M312" i="5" a="1"/>
  <c r="L339" i="5" a="1"/>
  <c r="L292" i="5" a="1"/>
  <c r="E332" i="5" a="1"/>
  <c r="J384" i="5" a="1"/>
  <c r="H297" i="5" a="1"/>
  <c r="K360" i="5" a="1"/>
  <c r="B341" i="5" a="1"/>
  <c r="H344" i="5" a="1"/>
  <c r="N290" i="5" a="1"/>
  <c r="I332" i="5" a="1"/>
  <c r="N385" i="5" a="1"/>
  <c r="H305" i="5" a="1"/>
  <c r="L370" i="5" a="1"/>
  <c r="B374" i="5" a="1"/>
  <c r="N347" i="5" a="1"/>
  <c r="L317" i="5" a="1"/>
  <c r="L368" i="5" a="1"/>
  <c r="I340" i="5" a="1"/>
  <c r="E264" i="5" a="1"/>
  <c r="K353" i="5" a="1"/>
  <c r="M309" i="5" a="1"/>
  <c r="H428" i="5" a="1"/>
  <c r="B369" i="5" a="1"/>
  <c r="N409" i="5" a="1"/>
  <c r="K466" i="5" a="1"/>
  <c r="N408" i="5" a="1"/>
  <c r="E399" i="5" a="1"/>
  <c r="H449" i="5" a="1"/>
  <c r="B457" i="5" a="1"/>
  <c r="N430" i="5" a="1"/>
  <c r="L393" i="5" a="1"/>
  <c r="J425" i="5" a="1"/>
  <c r="H410" i="5" a="1"/>
  <c r="E388" i="5" a="1"/>
  <c r="H396" i="5" a="1"/>
  <c r="J408" i="5" a="1"/>
  <c r="E452" i="5" a="1"/>
  <c r="E403" i="5" a="1"/>
  <c r="J268" i="5" a="1"/>
  <c r="B520" i="5" a="1"/>
  <c r="N481" i="5" a="1"/>
  <c r="N517" i="5" a="1"/>
  <c r="M449" i="5" a="1"/>
  <c r="J476" i="5" a="1"/>
  <c r="L70" i="5" a="1"/>
  <c r="I101" i="5" a="1"/>
  <c r="K142" i="5" a="1"/>
  <c r="K176" i="5" a="1"/>
  <c r="H216" i="5" a="1"/>
  <c r="K289" i="5" a="1"/>
  <c r="E202" i="5" a="1"/>
  <c r="I234" i="5" a="1"/>
  <c r="B114" i="5" a="1"/>
  <c r="M264" i="5" a="1"/>
  <c r="E214" i="5" a="1"/>
  <c r="H156" i="5" a="1"/>
  <c r="E243" i="5" a="1"/>
  <c r="E311" i="5" a="1"/>
  <c r="H373" i="5" a="1"/>
  <c r="L225" i="5" a="1"/>
  <c r="I361" i="5" a="1"/>
  <c r="I315" i="5" a="1"/>
  <c r="M340" i="5" a="1"/>
  <c r="E295" i="5" a="1"/>
  <c r="H334" i="5" a="1"/>
  <c r="K385" i="5" a="1"/>
  <c r="B299" i="5" a="1"/>
  <c r="L361" i="5" a="1"/>
  <c r="B353" i="5" a="1"/>
  <c r="I345" i="5" a="1"/>
  <c r="K295" i="5" a="1"/>
  <c r="J333" i="5" a="1"/>
  <c r="M172" i="5" a="1"/>
  <c r="J321" i="5" a="1"/>
  <c r="N372" i="5" a="1"/>
  <c r="B386" i="5" a="1"/>
  <c r="E351" i="5" a="1"/>
  <c r="E319" i="5" a="1"/>
  <c r="M369" i="5" a="1"/>
  <c r="J341" i="5" a="1"/>
  <c r="K269" i="5" a="1"/>
  <c r="E360" i="5" a="1"/>
  <c r="K312" i="5" a="1"/>
  <c r="I429" i="5" a="1"/>
  <c r="M382" i="5" a="1"/>
  <c r="E413" i="5" a="1"/>
  <c r="L467" i="5" a="1"/>
  <c r="E412" i="5" a="1"/>
  <c r="H401" i="5" a="1"/>
  <c r="I450" i="5" a="1"/>
  <c r="B469" i="5" a="1"/>
  <c r="E434" i="5" a="1"/>
  <c r="B396" i="5" a="1"/>
  <c r="K426" i="5" a="1"/>
  <c r="I411" i="5" a="1"/>
  <c r="K389" i="5" a="1"/>
  <c r="I397" i="5" a="1"/>
  <c r="K409" i="5" a="1"/>
  <c r="H454" i="5" a="1"/>
  <c r="H405" i="5" a="1"/>
  <c r="H312" i="5" a="1"/>
  <c r="B532" i="5" a="1"/>
  <c r="E485" i="5" a="1"/>
  <c r="E521" i="5" a="1"/>
  <c r="M458" i="5" a="1"/>
  <c r="K477" i="5" a="1"/>
  <c r="N72" i="5" a="1"/>
  <c r="E103" i="5" a="1"/>
  <c r="L143" i="5" a="1"/>
  <c r="L179" i="5" a="1"/>
  <c r="B221" i="5" a="1"/>
  <c r="L290" i="5" a="1"/>
  <c r="L205" i="5" a="1"/>
  <c r="L237" i="5" a="1"/>
  <c r="J171" i="5" a="1"/>
  <c r="E269" i="5" a="1"/>
  <c r="M218" i="5" a="1"/>
  <c r="I190" i="5" a="1"/>
  <c r="M244" i="5" a="1"/>
  <c r="E318" i="5" a="1"/>
  <c r="I374" i="5" a="1"/>
  <c r="I247" i="5" a="1"/>
  <c r="J362" i="5" a="1"/>
  <c r="E322" i="5" a="1"/>
  <c r="N341" i="5" a="1"/>
  <c r="N296" i="5" a="1"/>
  <c r="I335" i="5" a="1"/>
  <c r="L386" i="5" a="1"/>
  <c r="I310" i="5" a="1"/>
  <c r="M362" i="5" a="1"/>
  <c r="B365" i="5" a="1"/>
  <c r="J346" i="5" a="1"/>
  <c r="K297" i="5" a="1"/>
  <c r="K334" i="5" a="1"/>
  <c r="I243" i="5" a="1"/>
  <c r="L322" i="5" a="1"/>
  <c r="E376" i="5" a="1"/>
  <c r="I174" i="5" a="1"/>
  <c r="K356" i="5" a="1"/>
  <c r="I320" i="5" a="1"/>
  <c r="N370" i="5" a="1"/>
  <c r="K342" i="5" a="1"/>
  <c r="L274" i="5" a="1"/>
  <c r="H362" i="5" a="1"/>
  <c r="K316" i="5" a="1"/>
  <c r="J430" i="5" a="1"/>
  <c r="B385" i="5" a="1"/>
  <c r="K418" i="5" a="1"/>
  <c r="N469" i="5" a="1"/>
  <c r="H414" i="5" a="1"/>
  <c r="I402" i="5" a="1"/>
  <c r="J451" i="5" a="1"/>
  <c r="E238" i="5" a="1"/>
  <c r="H436" i="5" a="1"/>
  <c r="B408" i="5" a="1"/>
  <c r="L427" i="5" a="1"/>
  <c r="J412" i="5" a="1"/>
  <c r="K392" i="5" a="1"/>
  <c r="J398" i="5" a="1"/>
  <c r="L410" i="5" a="1"/>
  <c r="I455" i="5" a="1"/>
  <c r="I406" i="5" a="1"/>
  <c r="N384" i="5" a="1"/>
  <c r="B544" i="5" a="1"/>
  <c r="H487" i="5" a="1"/>
  <c r="H523" i="5" a="1"/>
  <c r="L460" i="5" a="1"/>
  <c r="L478" i="5" a="1"/>
  <c r="I90" i="5" a="1"/>
  <c r="M150" i="5" a="1"/>
  <c r="L118" i="5" a="1"/>
  <c r="K211" i="5" a="1"/>
  <c r="J227" i="5" a="1"/>
  <c r="M291" i="5" a="1"/>
  <c r="M209" i="5" a="1"/>
  <c r="H239" i="5" a="1"/>
  <c r="N178" i="5" a="1"/>
  <c r="H271" i="5" a="1"/>
  <c r="B222" i="5" a="1"/>
  <c r="M194" i="5" a="1"/>
  <c r="M247" i="5" a="1"/>
  <c r="I319" i="5" a="1"/>
  <c r="J375" i="5" a="1"/>
  <c r="E265" i="5" a="1"/>
  <c r="K363" i="5" a="1"/>
  <c r="B332" i="5" a="1"/>
  <c r="E345" i="5" a="1"/>
  <c r="N298" i="5" a="1"/>
  <c r="J336" i="5" a="1"/>
  <c r="M387" i="5" a="1"/>
  <c r="L311" i="5" a="1"/>
  <c r="N363" i="5" a="1"/>
  <c r="B377" i="5" a="1"/>
  <c r="K347" i="5" a="1"/>
  <c r="J306" i="5" a="1"/>
  <c r="L335" i="5" a="1"/>
  <c r="I250" i="5" a="1"/>
  <c r="M323" i="5" a="1"/>
  <c r="H378" i="5" a="1"/>
  <c r="I222" i="5" a="1"/>
  <c r="L357" i="5" a="1"/>
  <c r="L321" i="5" a="1"/>
  <c r="E374" i="5" a="1"/>
  <c r="L343" i="5" a="1"/>
  <c r="I289" i="5" a="1"/>
  <c r="J364" i="5" a="1"/>
  <c r="B334" i="5" a="1"/>
  <c r="K431" i="5" a="1"/>
  <c r="H390" i="5" a="1"/>
  <c r="L419" i="5" a="1"/>
  <c r="E473" i="5" a="1"/>
  <c r="I415" i="5" a="1"/>
  <c r="K404" i="5" a="1"/>
  <c r="K452" i="5" a="1"/>
  <c r="E315" i="5" a="1"/>
  <c r="J438" i="5" a="1"/>
  <c r="B420" i="5" a="1"/>
  <c r="M428" i="5" a="1"/>
  <c r="L414" i="5" a="1"/>
  <c r="E395" i="5" a="1"/>
  <c r="K399" i="5" a="1"/>
  <c r="N412" i="5" a="1"/>
  <c r="J456" i="5" a="1"/>
  <c r="J407" i="5" a="1"/>
  <c r="E387" i="5" a="1"/>
  <c r="I391" i="5" a="1"/>
  <c r="I488" i="5" a="1"/>
  <c r="I524" i="5" a="1"/>
  <c r="K462" i="5" a="1"/>
  <c r="M479" i="5" a="1"/>
  <c r="M515" i="5" a="1"/>
  <c r="K453" i="5" a="1"/>
  <c r="H386" i="5" a="1"/>
  <c r="E441" i="5" a="1"/>
  <c r="E506" i="5" a="1"/>
  <c r="E542" i="5" a="1"/>
  <c r="B540" i="5" a="1"/>
  <c r="H495" i="5" a="1"/>
  <c r="H531" i="5" a="1"/>
  <c r="B491" i="5" a="1"/>
  <c r="N473" i="5" a="1"/>
  <c r="E479" i="5" a="1"/>
  <c r="E467" i="5" a="1"/>
  <c r="B455" i="5" a="1"/>
  <c r="B580" i="5" a="1"/>
  <c r="K528" i="5" a="1"/>
  <c r="K574" i="5" a="1"/>
  <c r="K610" i="5" a="1"/>
  <c r="L447" i="5" a="1"/>
  <c r="I542" i="5" a="1"/>
  <c r="I583" i="5" a="1"/>
  <c r="E460" i="5" a="1"/>
  <c r="L513" i="5" a="1"/>
  <c r="B553" i="5" a="1"/>
  <c r="B534" i="5" a="1"/>
  <c r="E578" i="5" a="1"/>
  <c r="E614" i="5" a="1"/>
  <c r="H467" i="5" a="1"/>
  <c r="L547" i="5" a="1"/>
  <c r="L583" i="5" a="1"/>
  <c r="J479" i="5" a="1"/>
  <c r="M481" i="5" a="1"/>
  <c r="J556" i="5" a="1"/>
  <c r="J592" i="5" a="1"/>
  <c r="H502" i="5" a="1"/>
  <c r="E302" i="5" a="1"/>
  <c r="I492" i="5" a="1"/>
  <c r="B511" i="5" a="1"/>
  <c r="B486" i="5" a="1"/>
  <c r="K615" i="5" a="1"/>
  <c r="K651" i="5" a="1"/>
  <c r="K612" i="5" a="1"/>
  <c r="I578" i="5" a="1"/>
  <c r="E633" i="5" a="1"/>
  <c r="E669" i="5" a="1"/>
  <c r="E515" i="5" a="1"/>
  <c r="M556" i="5" a="1"/>
  <c r="M558" i="5" a="1"/>
  <c r="E631" i="5" a="1"/>
  <c r="E667" i="5" a="1"/>
  <c r="N452" i="5" a="1"/>
  <c r="I609" i="5" a="1"/>
  <c r="K647" i="5" a="1"/>
  <c r="I564" i="5" a="1"/>
  <c r="J562" i="5" a="1"/>
  <c r="N569" i="5" a="1"/>
  <c r="H584" i="5" a="1"/>
  <c r="M591" i="5" a="1"/>
  <c r="J482" i="5" a="1"/>
  <c r="E535" i="5" a="1"/>
  <c r="E513" i="5" a="1"/>
  <c r="J629" i="5" a="1"/>
  <c r="N695" i="5" a="1"/>
  <c r="N731" i="5" a="1"/>
  <c r="M577" i="5" a="1"/>
  <c r="H572" i="5" a="1"/>
  <c r="I5" i="5" a="1"/>
  <c r="J159" i="5" a="1"/>
  <c r="M119" i="5" a="1"/>
  <c r="L212" i="5" a="1"/>
  <c r="K267" i="5" a="1"/>
  <c r="H298" i="5" a="1"/>
  <c r="H218" i="5" a="1"/>
  <c r="E244" i="5" a="1"/>
  <c r="B198" i="5" a="1"/>
  <c r="I272" i="5" a="1"/>
  <c r="B227" i="5" a="1"/>
  <c r="E199" i="5" a="1"/>
  <c r="N256" i="5" a="1"/>
  <c r="L320" i="5" a="1"/>
  <c r="K376" i="5" a="1"/>
  <c r="K270" i="5" a="1"/>
  <c r="L364" i="5" a="1"/>
  <c r="B344" i="5" a="1"/>
  <c r="H347" i="5" a="1"/>
  <c r="N302" i="5" a="1"/>
  <c r="K337" i="5" a="1"/>
  <c r="N388" i="5" a="1"/>
  <c r="B313" i="5" a="1"/>
  <c r="E367" i="5" a="1"/>
  <c r="B389" i="5" a="1"/>
  <c r="L348" i="5" a="1"/>
  <c r="M307" i="5" a="1"/>
  <c r="M336" i="5" a="1"/>
  <c r="I267" i="5" a="1"/>
  <c r="N324" i="5" a="1"/>
  <c r="I379" i="5" a="1"/>
  <c r="K281" i="5" a="1"/>
  <c r="N359" i="5" a="1"/>
  <c r="N322" i="5" a="1"/>
  <c r="H376" i="5" a="1"/>
  <c r="M344" i="5" a="1"/>
  <c r="I298" i="5" a="1"/>
  <c r="K365" i="5" a="1"/>
  <c r="B346" i="5" a="1"/>
  <c r="E438" i="5" a="1"/>
  <c r="E393" i="5" a="1"/>
  <c r="M420" i="5" a="1"/>
  <c r="H475" i="5" a="1"/>
  <c r="J416" i="5" a="1"/>
  <c r="M406" i="5" a="1"/>
  <c r="L453" i="5" a="1"/>
  <c r="L390" i="5" a="1"/>
  <c r="L440" i="5" a="1"/>
  <c r="B432" i="5" a="1"/>
  <c r="I436" i="5" a="1"/>
  <c r="N416" i="5" a="1"/>
  <c r="H397" i="5" a="1"/>
  <c r="E406" i="5" a="1"/>
  <c r="H418" i="5" a="1"/>
  <c r="K457" i="5" a="1"/>
  <c r="K408" i="5" a="1"/>
  <c r="I394" i="5" a="1"/>
  <c r="J397" i="5" a="1"/>
  <c r="J489" i="5" a="1"/>
  <c r="J525" i="5" a="1"/>
  <c r="E466" i="5" a="1"/>
  <c r="N480" i="5" a="1"/>
  <c r="N516" i="5" a="1"/>
  <c r="B459" i="5" a="1"/>
  <c r="K398" i="5" a="1"/>
  <c r="B452" i="5" a="1"/>
  <c r="H508" i="5" a="1"/>
  <c r="H544" i="5" a="1"/>
  <c r="B414" i="5" a="1"/>
  <c r="I496" i="5" a="1"/>
  <c r="I532" i="5" a="1"/>
  <c r="B503" i="5" a="1"/>
  <c r="N476" i="5" a="1"/>
  <c r="N207" i="5" a="1"/>
  <c r="E478" i="5" a="1"/>
  <c r="J458" i="5" a="1"/>
  <c r="B592" i="5" a="1"/>
  <c r="I530" i="5" a="1"/>
  <c r="L575" i="5" a="1"/>
  <c r="L611" i="5" a="1"/>
  <c r="B471" i="5" a="1"/>
  <c r="J548" i="5" a="1"/>
  <c r="J584" i="5" a="1"/>
  <c r="M484" i="5" a="1"/>
  <c r="I515" i="5" a="1"/>
  <c r="B565" i="5" a="1"/>
  <c r="I537" i="5" a="1"/>
  <c r="H580" i="5" a="1"/>
  <c r="M443" i="5" a="1"/>
  <c r="L472" i="5" a="1"/>
  <c r="M548" i="5" a="1"/>
  <c r="M584" i="5" a="1"/>
  <c r="K483" i="5" a="1"/>
  <c r="N488" i="5" a="1"/>
  <c r="K557" i="5" a="1"/>
  <c r="K593" i="5" a="1"/>
  <c r="J507" i="5" a="1"/>
  <c r="M389" i="5" a="1"/>
  <c r="H497" i="5" a="1"/>
  <c r="L445" i="5" a="1"/>
  <c r="I489" i="5" a="1"/>
  <c r="L616" i="5" a="1"/>
  <c r="L652" i="5" a="1"/>
  <c r="B620" i="5" a="1"/>
  <c r="N581" i="5" a="1"/>
  <c r="H635" i="5" a="1"/>
  <c r="B464" i="5" a="1"/>
  <c r="B530" i="5" a="1"/>
  <c r="L567" i="5" a="1"/>
  <c r="H560" i="5" a="1"/>
  <c r="H633" i="5" a="1"/>
  <c r="H669" i="5" a="1"/>
  <c r="L504" i="5" a="1"/>
  <c r="I611" i="5" a="1"/>
  <c r="L648" i="5" a="1"/>
  <c r="N567" i="5" a="1"/>
  <c r="M578" i="5" a="1"/>
  <c r="N571" i="5" a="1"/>
  <c r="H586" i="5" a="1"/>
  <c r="H27" i="5" a="1"/>
  <c r="L93" i="5" a="1"/>
  <c r="K46" i="5" a="1"/>
  <c r="B169" i="5" a="1"/>
  <c r="M269" i="5" a="1"/>
  <c r="M303" i="5" a="1"/>
  <c r="N240" i="5" a="1"/>
  <c r="B293" i="5" a="1"/>
  <c r="J206" i="5" a="1"/>
  <c r="N277" i="5" a="1"/>
  <c r="J228" i="5" a="1"/>
  <c r="H238" i="5" a="1"/>
  <c r="B264" i="5" a="1"/>
  <c r="K328" i="5" a="1"/>
  <c r="L377" i="5" a="1"/>
  <c r="I302" i="5" a="1"/>
  <c r="M365" i="5" a="1"/>
  <c r="E211" i="5" a="1"/>
  <c r="I348" i="5" a="1"/>
  <c r="B331" i="5" a="1"/>
  <c r="L338" i="5" a="1"/>
  <c r="L271" i="5" a="1"/>
  <c r="H314" i="5" a="1"/>
  <c r="L373" i="5" a="1"/>
  <c r="I83" i="5" a="1"/>
  <c r="I357" i="5" a="1"/>
  <c r="E313" i="5" a="1"/>
  <c r="J345" i="5" a="1"/>
  <c r="N272" i="5" a="1"/>
  <c r="E328" i="5" a="1"/>
  <c r="J380" i="5" a="1"/>
  <c r="N288" i="5" a="1"/>
  <c r="E363" i="5" a="1"/>
  <c r="E326" i="5" a="1"/>
  <c r="L380" i="5" a="1"/>
  <c r="N345" i="5" a="1"/>
  <c r="I312" i="5" a="1"/>
  <c r="L366" i="5" a="1"/>
  <c r="B358" i="5" a="1"/>
  <c r="H440" i="5" a="1"/>
  <c r="B400" i="5" a="1"/>
  <c r="N421" i="5" a="1"/>
  <c r="J194" i="5" a="1"/>
  <c r="N420" i="5" a="1"/>
  <c r="N407" i="5" a="1"/>
  <c r="M454" i="5" a="1"/>
  <c r="K393" i="5" a="1"/>
  <c r="M441" i="5" a="1"/>
  <c r="B444" i="5" a="1"/>
  <c r="J437" i="5" a="1"/>
  <c r="E420" i="5" a="1"/>
  <c r="I398" i="5" a="1"/>
  <c r="H408" i="5" a="1"/>
  <c r="I419" i="5" a="1"/>
  <c r="L458" i="5" a="1"/>
  <c r="L409" i="5" a="1"/>
  <c r="B401" i="5" a="1"/>
  <c r="I408" i="5" a="1"/>
  <c r="K490" i="5" a="1"/>
  <c r="K526" i="5" a="1"/>
  <c r="L469" i="5" a="1"/>
  <c r="E484" i="5" a="1"/>
  <c r="E520" i="5" a="1"/>
  <c r="M460" i="5" a="1"/>
  <c r="N426" i="5" a="1"/>
  <c r="H459" i="5" a="1"/>
  <c r="I509" i="5" a="1"/>
  <c r="I545" i="5" a="1"/>
  <c r="E419" i="5" a="1"/>
  <c r="J497" i="5" a="1"/>
  <c r="J533" i="5" a="1"/>
  <c r="B515" i="5" a="1"/>
  <c r="E480" i="5" a="1"/>
  <c r="I388" i="5" a="1"/>
  <c r="J278" i="5" a="1"/>
  <c r="I460" i="5" a="1"/>
  <c r="B604" i="5" a="1"/>
  <c r="E537" i="5" a="1"/>
  <c r="M576" i="5" a="1"/>
  <c r="M612" i="5" a="1"/>
  <c r="N475" i="5" a="1"/>
  <c r="K549" i="5" a="1"/>
  <c r="K585" i="5" a="1"/>
  <c r="I486" i="5" a="1"/>
  <c r="L518" i="5" a="1"/>
  <c r="B577" i="5" a="1"/>
  <c r="H539" i="5" a="1"/>
  <c r="I581" i="5" a="1"/>
  <c r="M461" i="5" a="1"/>
  <c r="L481" i="5" a="1"/>
  <c r="N549" i="5" a="1"/>
  <c r="N585" i="5" a="1"/>
  <c r="K488" i="5" a="1"/>
  <c r="L493" i="5" a="1"/>
  <c r="L558" i="5" a="1"/>
  <c r="L594" i="5" a="1"/>
  <c r="H512" i="5" a="1"/>
  <c r="L438" i="5" a="1"/>
  <c r="H504" i="5" a="1"/>
  <c r="B474" i="5" a="1"/>
  <c r="H491" i="5" a="1"/>
  <c r="M617" i="5" a="1"/>
  <c r="M653" i="5" a="1"/>
  <c r="B632" i="5" a="1"/>
  <c r="N583" i="5" a="1"/>
  <c r="I636" i="5" a="1"/>
  <c r="I477" i="5" a="1"/>
  <c r="M554" i="5" a="1"/>
  <c r="H569" i="5" a="1"/>
  <c r="H562" i="5" a="1"/>
  <c r="I634" i="5" a="1"/>
  <c r="H391" i="5" a="1"/>
  <c r="E511" i="5" a="1"/>
  <c r="H613" i="5" a="1"/>
  <c r="M649" i="5" a="1"/>
  <c r="M569" i="5" a="1"/>
  <c r="I582" i="5" a="1"/>
  <c r="I573" i="5" a="1"/>
  <c r="M589" i="5" a="1"/>
  <c r="K604" i="5" a="1"/>
  <c r="B513" i="5" a="1"/>
  <c r="L546" i="5" a="1"/>
  <c r="H528" i="5" a="1"/>
  <c r="M643" i="5" a="1"/>
  <c r="H701" i="5" a="1"/>
  <c r="H737" i="5" a="1"/>
  <c r="I618" i="5" a="1"/>
  <c r="I28" i="5" a="1"/>
  <c r="H95" i="5" a="1"/>
  <c r="H69" i="5" a="1"/>
  <c r="L173" i="5" a="1"/>
  <c r="N270" i="5" a="1"/>
  <c r="I311" i="5" a="1"/>
  <c r="J242" i="5" a="1"/>
  <c r="M94" i="5" a="1"/>
  <c r="B210" i="5" a="1"/>
  <c r="H283" i="5" a="1"/>
  <c r="M239" i="5" a="1"/>
  <c r="J241" i="5" a="1"/>
  <c r="B276" i="5" a="1"/>
  <c r="M330" i="5" a="1"/>
  <c r="M378" i="5" a="1"/>
  <c r="J319" i="5" a="1"/>
  <c r="N366" i="5" a="1"/>
  <c r="J260" i="5" a="1"/>
  <c r="J349" i="5" a="1"/>
  <c r="B355" i="5" a="1"/>
  <c r="M339" i="5" a="1"/>
  <c r="B301" i="5" a="1"/>
  <c r="N315" i="5" a="1"/>
  <c r="N375" i="5" a="1"/>
  <c r="N220" i="5" a="1"/>
  <c r="K359" i="5" a="1"/>
  <c r="J314" i="5" a="1"/>
  <c r="L347" i="5" a="1"/>
  <c r="E277" i="5" a="1"/>
  <c r="K333" i="5" a="1"/>
  <c r="K381" i="5" a="1"/>
  <c r="M293" i="5" a="1"/>
  <c r="H365" i="5" a="1"/>
  <c r="H328" i="5" a="1"/>
  <c r="M381" i="5" a="1"/>
  <c r="E349" i="5" a="1"/>
  <c r="N313" i="5" a="1"/>
  <c r="M367" i="5" a="1"/>
  <c r="I282" i="5" a="1"/>
  <c r="J442" i="5" a="1"/>
  <c r="B412" i="5" a="1"/>
  <c r="E425" i="5" a="1"/>
  <c r="I215" i="5" a="1"/>
  <c r="E424" i="5" a="1"/>
  <c r="H413" i="5" a="1"/>
  <c r="N455" i="5" a="1"/>
  <c r="N394" i="5" a="1"/>
  <c r="E446" i="5" a="1"/>
  <c r="B456" i="5" a="1"/>
  <c r="I308" i="5" a="1"/>
  <c r="I423" i="5" a="1"/>
  <c r="J399" i="5" a="1"/>
  <c r="I409" i="5" a="1"/>
  <c r="K421" i="5" a="1"/>
  <c r="M459" i="5" a="1"/>
  <c r="M410" i="5" a="1"/>
  <c r="B413" i="5" a="1"/>
  <c r="M412" i="5" a="1"/>
  <c r="L491" i="5" a="1"/>
  <c r="L527" i="5" a="1"/>
  <c r="J471" i="5" a="1"/>
  <c r="H486" i="5" a="1"/>
  <c r="N20" i="5" a="1"/>
  <c r="B40" i="5" a="1"/>
  <c r="H125" i="5" a="1"/>
  <c r="K198" i="5" a="1"/>
  <c r="J240" i="5" a="1"/>
  <c r="J312" i="5" a="1"/>
  <c r="K248" i="5" a="1"/>
  <c r="I171" i="5" a="1"/>
  <c r="L213" i="5" a="1"/>
  <c r="K286" i="5" a="1"/>
  <c r="I241" i="5" a="1"/>
  <c r="M250" i="5" a="1"/>
  <c r="B288" i="5" a="1"/>
  <c r="N331" i="5" a="1"/>
  <c r="N379" i="5" a="1"/>
  <c r="M320" i="5" a="1"/>
  <c r="E370" i="5" a="1"/>
  <c r="M275" i="5" a="1"/>
  <c r="K350" i="5" a="1"/>
  <c r="B367" i="5" a="1"/>
  <c r="N340" i="5" a="1"/>
  <c r="L304" i="5" a="1"/>
  <c r="J318" i="5" a="1"/>
  <c r="E379" i="5" a="1"/>
  <c r="E235" i="5" a="1"/>
  <c r="L360" i="5" a="1"/>
  <c r="B316" i="5" a="1"/>
  <c r="M348" i="5" a="1"/>
  <c r="N284" i="5" a="1"/>
  <c r="L334" i="5" a="1"/>
  <c r="L382" i="5" a="1"/>
  <c r="J303" i="5" a="1"/>
  <c r="I366" i="5" a="1"/>
  <c r="L332" i="5" a="1"/>
  <c r="B224" i="5" a="1"/>
  <c r="H351" i="5" a="1"/>
  <c r="J316" i="5" a="1"/>
  <c r="N368" i="5" a="1"/>
  <c r="L388" i="5" a="1"/>
  <c r="K443" i="5" a="1"/>
  <c r="B424" i="5" a="1"/>
  <c r="K430" i="5" a="1"/>
  <c r="I252" i="5" a="1"/>
  <c r="H426" i="5" a="1"/>
  <c r="I414" i="5" a="1"/>
  <c r="E459" i="5" a="1"/>
  <c r="E398" i="5" a="1"/>
  <c r="H448" i="5" a="1"/>
  <c r="B468" i="5" a="1"/>
  <c r="B324" i="5" a="1"/>
  <c r="J424" i="5" a="1"/>
  <c r="K400" i="5" a="1"/>
  <c r="J410" i="5" a="1"/>
  <c r="L422" i="5" a="1"/>
  <c r="N460" i="5" a="1"/>
  <c r="N411" i="5" a="1"/>
  <c r="B425" i="5" a="1"/>
  <c r="N425" i="5" a="1"/>
  <c r="M492" i="5" a="1"/>
  <c r="M528" i="5" a="1"/>
  <c r="B483" i="5" a="1"/>
  <c r="I487" i="5" a="1"/>
  <c r="I523" i="5" a="1"/>
  <c r="J473" i="5" a="1"/>
  <c r="E439" i="5" a="1"/>
  <c r="I466" i="5" a="1"/>
  <c r="K511" i="5" a="1"/>
  <c r="B311" i="5" a="1"/>
  <c r="B427" i="5" a="1"/>
  <c r="L499" i="5" a="1"/>
  <c r="L535" i="5" a="1"/>
  <c r="B539" i="5" a="1"/>
  <c r="H394" i="5" a="1"/>
  <c r="M431" i="5" a="1"/>
  <c r="N415" i="5" a="1"/>
  <c r="K303" i="5" a="1"/>
  <c r="N459" i="5" a="1"/>
  <c r="H542" i="5" a="1"/>
  <c r="E581" i="5" a="1"/>
  <c r="J411" i="5" a="1"/>
  <c r="I481" i="5" a="1"/>
  <c r="M551" i="5" a="1"/>
  <c r="M587" i="5" a="1"/>
  <c r="L496" i="5" a="1"/>
  <c r="I525" i="5" a="1"/>
  <c r="B601" i="5" a="1"/>
  <c r="J547" i="5" a="1"/>
  <c r="K583" i="5" a="1"/>
  <c r="J483" i="5" a="1"/>
  <c r="N486" i="5" a="1"/>
  <c r="H555" i="5" a="1"/>
  <c r="H591" i="5" a="1"/>
  <c r="J495" i="5" a="1"/>
  <c r="N498" i="5" a="1"/>
  <c r="N560" i="5" a="1"/>
  <c r="N596" i="5" a="1"/>
  <c r="N520" i="5" a="1"/>
  <c r="B451" i="5" a="1"/>
  <c r="N512" i="5" a="1"/>
  <c r="I480" i="5" a="1"/>
  <c r="M497" i="5" a="1"/>
  <c r="E622" i="5" a="1"/>
  <c r="E658" i="5" a="1"/>
  <c r="B656" i="5" a="1"/>
  <c r="I587" i="5" a="1"/>
  <c r="K638" i="5" a="1"/>
  <c r="N519" i="5" a="1"/>
  <c r="L565" i="5" a="1"/>
  <c r="E573" i="5" a="1"/>
  <c r="L576" i="5" a="1"/>
  <c r="K636" i="5" a="1"/>
  <c r="H530" i="5" a="1"/>
  <c r="I526" i="5" a="1"/>
  <c r="E618" i="5" a="1"/>
  <c r="E654" i="5" a="1"/>
  <c r="H573" i="5" a="1"/>
  <c r="K600" i="5" a="1"/>
  <c r="H577" i="5" a="1"/>
  <c r="K602" i="5" a="1"/>
  <c r="E501" i="5" a="1"/>
  <c r="M531" i="5" a="1"/>
  <c r="B554" i="5" a="1"/>
  <c r="L543" i="5" a="1"/>
  <c r="J653" i="5" a="1"/>
  <c r="J703" i="5" a="1"/>
  <c r="J739" i="5" a="1"/>
  <c r="N624" i="5" a="1"/>
  <c r="E24" i="5" a="1"/>
  <c r="I44" i="5" a="1"/>
  <c r="I126" i="5" a="1"/>
  <c r="L199" i="5" a="1"/>
  <c r="L108" i="5" a="1"/>
  <c r="L314" i="5" a="1"/>
  <c r="K264" i="5" a="1"/>
  <c r="M178" i="5" a="1"/>
  <c r="I239" i="5" a="1"/>
  <c r="L287" i="5" a="1"/>
  <c r="L250" i="5" a="1"/>
  <c r="H252" i="5" a="1"/>
  <c r="L195" i="5" a="1"/>
  <c r="E335" i="5" a="1"/>
  <c r="J387" i="5" a="1"/>
  <c r="H324" i="5" a="1"/>
  <c r="K375" i="5" a="1"/>
  <c r="K279" i="5" a="1"/>
  <c r="E357" i="5" a="1"/>
  <c r="B379" i="5" a="1"/>
  <c r="J348" i="5" a="1"/>
  <c r="H306" i="5" a="1"/>
  <c r="K324" i="5" a="1"/>
  <c r="H381" i="5" a="1"/>
  <c r="N276" i="5" a="1"/>
  <c r="M361" i="5" a="1"/>
  <c r="B352" i="5" a="1"/>
  <c r="N349" i="5" a="1"/>
  <c r="L297" i="5" a="1"/>
  <c r="N336" i="5" a="1"/>
  <c r="I214" i="5" a="1"/>
  <c r="I305" i="5" a="1"/>
  <c r="J367" i="5" a="1"/>
  <c r="M333" i="5" a="1"/>
  <c r="I238" i="5" a="1"/>
  <c r="I352" i="5" a="1"/>
  <c r="E324" i="5" a="1"/>
  <c r="E372" i="5" a="1"/>
  <c r="L391" i="5" a="1"/>
  <c r="L444" i="5" a="1"/>
  <c r="B436" i="5" a="1"/>
  <c r="L431" i="5" a="1"/>
  <c r="N382" i="5" a="1"/>
  <c r="I427" i="5" a="1"/>
  <c r="J415" i="5" a="1"/>
  <c r="H461" i="5" a="1"/>
  <c r="H400" i="5" a="1"/>
  <c r="I449" i="5" a="1"/>
  <c r="H308" i="5" a="1"/>
  <c r="B357" i="5" a="1"/>
  <c r="K425" i="5" a="1"/>
  <c r="L401" i="5" a="1"/>
  <c r="K411" i="5" a="1"/>
  <c r="M423" i="5" a="1"/>
  <c r="E464" i="5" a="1"/>
  <c r="E415" i="5" a="1"/>
  <c r="B437" i="5" a="1"/>
  <c r="E430" i="5" a="1"/>
  <c r="N493" i="5" a="1"/>
  <c r="N529" i="5" a="1"/>
  <c r="B495" i="5" a="1"/>
  <c r="J488" i="5" a="1"/>
  <c r="J524" i="5" a="1"/>
  <c r="M392" i="5" a="1"/>
  <c r="B443" i="5" a="1"/>
  <c r="L476" i="5" a="1"/>
  <c r="L512" i="5" a="1"/>
  <c r="B345" i="5" a="1"/>
  <c r="J434" i="5" a="1"/>
  <c r="M500" i="5" a="1"/>
  <c r="M536" i="5" a="1"/>
  <c r="E294" i="5" a="1"/>
  <c r="M439" i="5" a="1"/>
  <c r="N439" i="5" a="1"/>
  <c r="L424" i="5" a="1"/>
  <c r="L425" i="5" a="1"/>
  <c r="K465" i="5" a="1"/>
  <c r="E547" i="5" a="1"/>
  <c r="H583" i="5" a="1"/>
  <c r="N465" i="5" a="1"/>
  <c r="N482" i="5" a="1"/>
  <c r="N552" i="5" a="1"/>
  <c r="N588" i="5" a="1"/>
  <c r="E498" i="5" a="1"/>
  <c r="H527" i="5" a="1"/>
  <c r="B613" i="5" a="1"/>
  <c r="L548" i="5" a="1"/>
  <c r="L584" i="5" a="1"/>
  <c r="H488" i="5" a="1"/>
  <c r="E492" i="5" a="1"/>
  <c r="I556" i="5" a="1"/>
  <c r="I592" i="5" a="1"/>
  <c r="H500" i="5" a="1"/>
  <c r="E504" i="5" a="1"/>
  <c r="E564" i="5" a="1"/>
  <c r="E600" i="5" a="1"/>
  <c r="E526" i="5" a="1"/>
  <c r="M483" i="5" a="1"/>
  <c r="L517" i="5" a="1"/>
  <c r="I482" i="5" a="1"/>
  <c r="K509" i="5" a="1"/>
  <c r="H624" i="5" a="1"/>
  <c r="H660" i="5" a="1"/>
  <c r="B668" i="5" a="1"/>
  <c r="H589" i="5" a="1"/>
  <c r="L639" i="5" a="1"/>
  <c r="M529" i="5" a="1"/>
  <c r="K576" i="5" a="1"/>
  <c r="E575" i="5" a="1"/>
  <c r="K578" i="5" a="1"/>
  <c r="L637" i="5" a="1"/>
  <c r="E540" i="5" a="1"/>
  <c r="M534" i="5" a="1"/>
  <c r="H620" i="5" a="1"/>
  <c r="H656" i="5" a="1"/>
  <c r="H575" i="5" a="1"/>
  <c r="J602" i="5" a="1"/>
  <c r="M580" i="5" a="1"/>
  <c r="K611" i="5" a="1"/>
  <c r="J543" i="5" a="1"/>
  <c r="L540" i="5" a="1"/>
  <c r="M555" i="5" a="1"/>
  <c r="M546" i="5" a="1"/>
  <c r="L656" i="5" a="1"/>
  <c r="K704" i="5" a="1"/>
  <c r="K740" i="5" a="1"/>
  <c r="H626" i="5" a="1"/>
  <c r="I14" i="5" a="1"/>
  <c r="E117" i="5" a="1"/>
  <c r="B157" i="5" a="1"/>
  <c r="E80" i="5" a="1"/>
  <c r="E188" i="5" a="1"/>
  <c r="M315" i="5" a="1"/>
  <c r="M266" i="5" a="1"/>
  <c r="K193" i="5" a="1"/>
  <c r="B241" i="5" a="1"/>
  <c r="M288" i="5" a="1"/>
  <c r="E252" i="5" a="1"/>
  <c r="L253" i="5" a="1"/>
  <c r="H204" i="5" a="1"/>
  <c r="H337" i="5" a="1"/>
  <c r="K388" i="5" a="1"/>
  <c r="I325" i="5" a="1"/>
  <c r="L376" i="5" a="1"/>
  <c r="J283" i="5" a="1"/>
  <c r="H359" i="5" a="1"/>
  <c r="B391" i="5" a="1"/>
  <c r="K349" i="5" a="1"/>
  <c r="K307" i="5" a="1"/>
  <c r="L325" i="5" a="1"/>
  <c r="I382" i="5" a="1"/>
  <c r="L280" i="5" a="1"/>
  <c r="N362" i="5" a="1"/>
  <c r="B364" i="5" a="1"/>
  <c r="E353" i="5" a="1"/>
  <c r="K299" i="5" a="1"/>
  <c r="E340" i="5" a="1"/>
  <c r="H222" i="5" a="1"/>
  <c r="H320" i="5" a="1"/>
  <c r="K368" i="5" a="1"/>
  <c r="N334" i="5" a="1"/>
  <c r="N245" i="5" a="1"/>
  <c r="J353" i="5" a="1"/>
  <c r="H326" i="5" a="1"/>
  <c r="H374" i="5" a="1"/>
  <c r="J394" i="5" a="1"/>
  <c r="M445" i="5" a="1"/>
  <c r="J269" i="5" a="1"/>
  <c r="N433" i="5" a="1"/>
  <c r="H387" i="5" a="1"/>
  <c r="J428" i="5" a="1"/>
  <c r="K416" i="5" a="1"/>
  <c r="I462" i="5" a="1"/>
  <c r="J402" i="5" a="1"/>
  <c r="J450" i="5" a="1"/>
  <c r="H383" i="5" a="1"/>
  <c r="B388" i="5" a="1"/>
  <c r="L426" i="5" a="1"/>
  <c r="M402" i="5" a="1"/>
  <c r="M413" i="5" a="1"/>
  <c r="N424" i="5" a="1"/>
  <c r="H466" i="5" a="1"/>
  <c r="H417" i="5" a="1"/>
  <c r="M263" i="5" a="1"/>
  <c r="I433" i="5" a="1"/>
  <c r="E497" i="5" a="1"/>
  <c r="E533" i="5" a="1"/>
  <c r="B507" i="5" a="1"/>
  <c r="K489" i="5" a="1"/>
  <c r="K16" i="5" a="1"/>
  <c r="H119" i="5" a="1"/>
  <c r="M98" i="5" a="1"/>
  <c r="J192" i="5" a="1"/>
  <c r="N316" i="5" a="1"/>
  <c r="N267" i="5" a="1"/>
  <c r="N216" i="5" a="1"/>
  <c r="M245" i="5" a="1"/>
  <c r="N289" i="5" a="1"/>
  <c r="B258" i="5" a="1"/>
  <c r="H255" i="5" a="1"/>
  <c r="E219" i="5" a="1"/>
  <c r="I338" i="5" a="1"/>
  <c r="L389" i="5" a="1"/>
  <c r="J326" i="5" a="1"/>
  <c r="M377" i="5" a="1"/>
  <c r="J292" i="5" a="1"/>
  <c r="I360" i="5" a="1"/>
  <c r="N167" i="5" a="1"/>
  <c r="L350" i="5" a="1"/>
  <c r="N308" i="5" a="1"/>
  <c r="M326" i="5" a="1"/>
  <c r="J383" i="5" a="1"/>
  <c r="J284" i="5" a="1"/>
  <c r="E366" i="5" a="1"/>
  <c r="B376" i="5" a="1"/>
  <c r="H355" i="5" a="1"/>
  <c r="I301" i="5" a="1"/>
  <c r="H342" i="5" a="1"/>
  <c r="N236" i="5" a="1"/>
  <c r="K321" i="5" a="1"/>
  <c r="L369" i="5" a="1"/>
  <c r="E338" i="5" a="1"/>
  <c r="H278" i="5" a="1"/>
  <c r="N357" i="5" a="1"/>
  <c r="J328" i="5" a="1"/>
  <c r="I375" i="5" a="1"/>
  <c r="K395" i="5" a="1"/>
  <c r="N446" i="5" a="1"/>
  <c r="J296" i="5" a="1"/>
  <c r="E437" i="5" a="1"/>
  <c r="H393" i="5" a="1"/>
  <c r="B375" i="5" a="1"/>
  <c r="L417" i="5" a="1"/>
  <c r="M466" i="5" a="1"/>
  <c r="L404" i="5" a="1"/>
  <c r="K451" i="5" a="1"/>
  <c r="I400" i="5" a="1"/>
  <c r="I392" i="5" a="1"/>
  <c r="M427" i="5" a="1"/>
  <c r="L309" i="5" a="1"/>
  <c r="E418" i="5" a="1"/>
  <c r="E428" i="5" a="1"/>
  <c r="I467" i="5" a="1"/>
  <c r="I418" i="5" a="1"/>
  <c r="H433" i="5" a="1"/>
  <c r="K436" i="5" a="1"/>
  <c r="H499" i="5" a="1"/>
  <c r="H535" i="5" a="1"/>
  <c r="B519" i="5" a="1"/>
  <c r="L490" i="5" a="1"/>
  <c r="J99" i="5" a="1"/>
  <c r="N161" i="5" a="1"/>
  <c r="B170" i="5" a="1"/>
  <c r="I195" i="5" a="1"/>
  <c r="L267" i="5" a="1"/>
  <c r="E320" i="5" a="1"/>
  <c r="H273" i="5" a="1"/>
  <c r="J218" i="5" a="1"/>
  <c r="H250" i="5" a="1"/>
  <c r="E293" i="5" a="1"/>
  <c r="I259" i="5" a="1"/>
  <c r="J259" i="5" a="1"/>
  <c r="N228" i="5" a="1"/>
  <c r="J339" i="5" a="1"/>
  <c r="M390" i="5" a="1"/>
  <c r="K327" i="5" a="1"/>
  <c r="N378" i="5" a="1"/>
  <c r="N300" i="5" a="1"/>
  <c r="J361" i="5" a="1"/>
  <c r="M185" i="5" a="1"/>
  <c r="M351" i="5" a="1"/>
  <c r="L315" i="5" a="1"/>
  <c r="N327" i="5" a="1"/>
  <c r="K384" i="5" a="1"/>
  <c r="M290" i="5" a="1"/>
  <c r="H368" i="5" a="1"/>
  <c r="N221" i="5" a="1"/>
  <c r="I356" i="5" a="1"/>
  <c r="H303" i="5" a="1"/>
  <c r="I343" i="5" a="1"/>
  <c r="E291" i="5" a="1"/>
  <c r="N323" i="5" a="1"/>
  <c r="M370" i="5" a="1"/>
  <c r="H340" i="5" a="1"/>
  <c r="H282" i="5" a="1"/>
  <c r="E361" i="5" a="1"/>
  <c r="K329" i="5" a="1"/>
  <c r="J376" i="5" a="1"/>
  <c r="E402" i="5" a="1"/>
  <c r="E450" i="5" a="1"/>
  <c r="L305" i="5" a="1"/>
  <c r="H439" i="5" a="1"/>
  <c r="B399" i="5" a="1"/>
  <c r="I387" i="5" a="1"/>
  <c r="M418" i="5" a="1"/>
  <c r="N467" i="5" a="1"/>
  <c r="M405" i="5" a="1"/>
  <c r="L452" i="5" a="1"/>
  <c r="J401" i="5" a="1"/>
  <c r="M393" i="5" a="1"/>
  <c r="N428" i="5" a="1"/>
  <c r="B363" i="5" a="1"/>
  <c r="H420" i="5" a="1"/>
  <c r="H430" i="5" a="1"/>
  <c r="J468" i="5" a="1"/>
  <c r="J419" i="5" a="1"/>
  <c r="E436" i="5" a="1"/>
  <c r="N438" i="5" a="1"/>
  <c r="I500" i="5" a="1"/>
  <c r="I536" i="5" a="1"/>
  <c r="B531" i="5" a="1"/>
  <c r="M491" i="5" a="1"/>
  <c r="K100" i="5" a="1"/>
  <c r="I168" i="5" a="1"/>
  <c r="E173" i="5" a="1"/>
  <c r="J196" i="5" a="1"/>
  <c r="M280" i="5" a="1"/>
  <c r="K139" i="5" a="1"/>
  <c r="I274" i="5" a="1"/>
  <c r="E228" i="5" a="1"/>
  <c r="I256" i="5" a="1"/>
  <c r="H295" i="5" a="1"/>
  <c r="K260" i="5" a="1"/>
  <c r="N262" i="5" a="1"/>
  <c r="J230" i="5" a="1"/>
  <c r="K340" i="5" a="1"/>
  <c r="N391" i="5" a="1"/>
  <c r="L328" i="5" a="1"/>
  <c r="E382" i="5" a="1"/>
  <c r="M302" i="5" a="1"/>
  <c r="K362" i="5" a="1"/>
  <c r="K241" i="5" a="1"/>
  <c r="N352" i="5" a="1"/>
  <c r="E317" i="5" a="1"/>
  <c r="E331" i="5" a="1"/>
  <c r="L385" i="5" a="1"/>
  <c r="J295" i="5" a="1"/>
  <c r="I369" i="5" a="1"/>
  <c r="H267" i="5" a="1"/>
  <c r="J357" i="5" a="1"/>
  <c r="K306" i="5" a="1"/>
  <c r="J344" i="5" a="1"/>
  <c r="K293" i="5" a="1"/>
  <c r="E327" i="5" a="1"/>
  <c r="N371" i="5" a="1"/>
  <c r="L344" i="5" a="1"/>
  <c r="E289" i="5" a="1"/>
  <c r="H363" i="5" a="1"/>
  <c r="L330" i="5" a="1"/>
  <c r="K377" i="5" a="1"/>
  <c r="H404" i="5" a="1"/>
  <c r="H452" i="5" a="1"/>
  <c r="B335" i="5" a="1"/>
  <c r="I440" i="5" a="1"/>
  <c r="N215" i="5" a="1"/>
  <c r="B398" i="5" a="1"/>
  <c r="N419" i="5" a="1"/>
  <c r="E471" i="5" a="1"/>
  <c r="E410" i="5" a="1"/>
  <c r="M453" i="5" a="1"/>
  <c r="K402" i="5" a="1"/>
  <c r="B407" i="5" a="1"/>
  <c r="E432" i="5" a="1"/>
  <c r="N380" i="5" a="1"/>
  <c r="J422" i="5" a="1"/>
  <c r="I431" i="5" a="1"/>
  <c r="K469" i="5" a="1"/>
  <c r="K420" i="5" a="1"/>
  <c r="M438" i="5" a="1"/>
  <c r="I442" i="5" a="1"/>
  <c r="J501" i="5" a="1"/>
  <c r="J537" i="5" a="1"/>
  <c r="B543" i="5" a="1"/>
  <c r="N492" i="5" a="1"/>
  <c r="N66" i="5" a="1"/>
  <c r="H118" i="5" a="1"/>
  <c r="K203" i="5" a="1"/>
  <c r="B250" i="5" a="1"/>
  <c r="E285" i="5" a="1"/>
  <c r="K216" i="5" a="1"/>
  <c r="N279" i="5" a="1"/>
  <c r="E236" i="5" a="1"/>
  <c r="H189" i="5" a="1"/>
  <c r="J297" i="5" a="1"/>
  <c r="J271" i="5" a="1"/>
  <c r="E266" i="5" a="1"/>
  <c r="H258" i="5" a="1"/>
  <c r="L341" i="5" a="1"/>
  <c r="E279" i="5" a="1"/>
  <c r="M329" i="5" a="1"/>
  <c r="B254" i="5" a="1"/>
  <c r="J311" i="5" a="1"/>
  <c r="H371" i="5" a="1"/>
  <c r="N260" i="5" a="1"/>
  <c r="K361" i="5" a="1"/>
  <c r="H322" i="5" a="1"/>
  <c r="L337" i="5" a="1"/>
  <c r="M386" i="5" a="1"/>
  <c r="H321" i="5" a="1"/>
  <c r="J370" i="5" a="1"/>
  <c r="H293" i="5" a="1"/>
  <c r="K358" i="5" a="1"/>
  <c r="M318" i="5" a="1"/>
  <c r="K345" i="5" a="1"/>
  <c r="M295" i="5" a="1"/>
  <c r="H329" i="5" a="1"/>
  <c r="E375" i="5" a="1"/>
  <c r="M345" i="5" a="1"/>
  <c r="N291" i="5" a="1"/>
  <c r="I364" i="5" a="1"/>
  <c r="M331" i="5" a="1"/>
  <c r="J217" i="5" a="1"/>
  <c r="J406" i="5" a="1"/>
  <c r="I453" i="5" a="1"/>
  <c r="B360" i="5" a="1"/>
  <c r="J441" i="5" a="1"/>
  <c r="K285" i="5" a="1"/>
  <c r="B410" i="5" a="1"/>
  <c r="E423" i="5" a="1"/>
  <c r="H473" i="5" a="1"/>
  <c r="H412" i="5" a="1"/>
  <c r="N454" i="5" a="1"/>
  <c r="L403" i="5" a="1"/>
  <c r="B419" i="5" a="1"/>
  <c r="H434" i="5" a="1"/>
  <c r="B405" i="5" a="1"/>
  <c r="K423" i="5" a="1"/>
  <c r="J432" i="5" a="1"/>
  <c r="L470" i="5" a="1"/>
  <c r="L421" i="5" a="1"/>
  <c r="M440" i="5" a="1"/>
  <c r="L449" i="5" a="1"/>
  <c r="K502" i="5" a="1"/>
  <c r="K538" i="5" a="1"/>
  <c r="I384" i="5" a="1"/>
  <c r="E496" i="5" a="1"/>
  <c r="E70" i="5" a="1"/>
  <c r="J120" i="5" a="1"/>
  <c r="H212" i="5" a="1"/>
  <c r="E42" i="5" a="1"/>
  <c r="H287" i="5" a="1"/>
  <c r="H226" i="5" a="1"/>
  <c r="H285" i="5" a="1"/>
  <c r="K242" i="5" a="1"/>
  <c r="I202" i="5" a="1"/>
  <c r="L299" i="5" a="1"/>
  <c r="B186" i="5" a="1"/>
  <c r="H268" i="5" a="1"/>
  <c r="B263" i="5" a="1"/>
  <c r="M342" i="5" a="1"/>
  <c r="K294" i="5" a="1"/>
  <c r="N330" i="5" a="1"/>
  <c r="I279" i="5" a="1"/>
  <c r="E314" i="5" a="1"/>
  <c r="J373" i="5" a="1"/>
  <c r="I271" i="5" a="1"/>
  <c r="M363" i="5" a="1"/>
  <c r="B330" i="5" a="1"/>
  <c r="N339" i="5" a="1"/>
  <c r="N387" i="5" a="1"/>
  <c r="K323" i="5" a="1"/>
  <c r="K371" i="5" a="1"/>
  <c r="N307" i="5" a="1"/>
  <c r="L359" i="5" a="1"/>
  <c r="B327" i="5" a="1"/>
  <c r="L346" i="5" a="1"/>
  <c r="M297" i="5" a="1"/>
  <c r="I330" i="5" a="1"/>
  <c r="K380" i="5" a="1"/>
  <c r="E350" i="5" a="1"/>
  <c r="B300" i="5" a="1"/>
  <c r="J365" i="5" a="1"/>
  <c r="N332" i="5" a="1"/>
  <c r="E225" i="5" a="1"/>
  <c r="K407" i="5" a="1"/>
  <c r="J454" i="5" a="1"/>
  <c r="K394" i="5" a="1"/>
  <c r="K442" i="5" a="1"/>
  <c r="N297" i="5" a="1"/>
  <c r="B422" i="5" a="1"/>
  <c r="H425" i="5" a="1"/>
  <c r="I474" i="5" a="1"/>
  <c r="I413" i="5" a="1"/>
  <c r="E458" i="5" a="1"/>
  <c r="M404" i="5" a="1"/>
  <c r="B431" i="5" a="1"/>
  <c r="I435" i="5" a="1"/>
  <c r="B417" i="5" a="1"/>
  <c r="B373" i="5" a="1"/>
  <c r="K433" i="5" a="1"/>
  <c r="M471" i="5" a="1"/>
  <c r="M422" i="5" a="1"/>
  <c r="H444" i="5" a="1"/>
  <c r="L451" i="5" a="1"/>
  <c r="L503" i="5" a="1"/>
  <c r="L539" i="5" a="1"/>
  <c r="B403" i="5" a="1"/>
  <c r="M40" i="5" a="1"/>
  <c r="H166" i="5" a="1"/>
  <c r="E258" i="5" a="1"/>
  <c r="L209" i="5" a="1"/>
  <c r="B215" i="5" a="1"/>
  <c r="N227" i="5" a="1"/>
  <c r="I286" i="5" a="1"/>
  <c r="E247" i="5" a="1"/>
  <c r="K206" i="5" a="1"/>
  <c r="M300" i="5" a="1"/>
  <c r="I203" i="5" a="1"/>
  <c r="I269" i="5" a="1"/>
  <c r="B275" i="5" a="1"/>
  <c r="N343" i="5" a="1"/>
  <c r="L296" i="5" a="1"/>
  <c r="E334" i="5" a="1"/>
  <c r="I283" i="5" a="1"/>
  <c r="J315" i="5" a="1"/>
  <c r="K374" i="5" a="1"/>
  <c r="E280" i="5" a="1"/>
  <c r="N364" i="5" a="1"/>
  <c r="B342" i="5" a="1"/>
  <c r="E343" i="5" a="1"/>
  <c r="E391" i="5" a="1"/>
  <c r="L324" i="5" a="1"/>
  <c r="L372" i="5" a="1"/>
  <c r="E309" i="5" a="1"/>
  <c r="M360" i="5" a="1"/>
  <c r="E190" i="5" a="1"/>
  <c r="M347" i="5" a="1"/>
  <c r="M299" i="5" a="1"/>
  <c r="J331" i="5" a="1"/>
  <c r="L381" i="5" a="1"/>
  <c r="H352" i="5" a="1"/>
  <c r="K305" i="5" a="1"/>
  <c r="N369" i="5" a="1"/>
  <c r="E336" i="5" a="1"/>
  <c r="J239" i="5" a="1"/>
  <c r="L408" i="5" a="1"/>
  <c r="K455" i="5" a="1"/>
  <c r="L395" i="5" a="1"/>
  <c r="L443" i="5" a="1"/>
  <c r="E385" i="5" a="1"/>
  <c r="B434" i="5" a="1"/>
  <c r="I426" i="5" a="1"/>
  <c r="L273" i="5" a="1"/>
  <c r="E20" i="5" a="1"/>
  <c r="M122" i="5" a="1"/>
  <c r="K190" i="5" a="1"/>
  <c r="I82" i="5" a="1"/>
  <c r="B307" i="5" a="1"/>
  <c r="E250" i="5" a="1"/>
  <c r="M184" i="5" a="1"/>
  <c r="K263" i="5" a="1"/>
  <c r="I223" i="5" a="1"/>
  <c r="K194" i="5" a="1"/>
  <c r="H225" i="5" a="1"/>
  <c r="H280" i="5" a="1"/>
  <c r="K217" i="5" a="1"/>
  <c r="L353" i="5" a="1"/>
  <c r="H302" i="5" a="1"/>
  <c r="M341" i="5" a="1"/>
  <c r="N294" i="5" a="1"/>
  <c r="I324" i="5" a="1"/>
  <c r="N377" i="5" a="1"/>
  <c r="K311" i="5" a="1"/>
  <c r="I371" i="5" a="1"/>
  <c r="E200" i="5" a="1"/>
  <c r="N41" i="5" a="1"/>
  <c r="B287" i="5" a="1"/>
  <c r="B267" i="5" a="1"/>
  <c r="L333" i="5" a="1"/>
  <c r="H464" i="5" a="1"/>
  <c r="H460" i="5" a="1"/>
  <c r="I395" i="5" a="1"/>
  <c r="K460" i="5" a="1"/>
  <c r="L502" i="5" a="1"/>
  <c r="L462" i="5" a="1"/>
  <c r="M464" i="5" a="1"/>
  <c r="L500" i="5" a="1"/>
  <c r="N444" i="5" a="1"/>
  <c r="J485" i="5" a="1"/>
  <c r="N537" i="5" a="1"/>
  <c r="K434" i="5" a="1"/>
  <c r="L450" i="5" a="1"/>
  <c r="I454" i="5" a="1"/>
  <c r="M538" i="5" a="1"/>
  <c r="J549" i="5" a="1"/>
  <c r="I596" i="5" a="1"/>
  <c r="E442" i="5" a="1"/>
  <c r="L562" i="5" a="1"/>
  <c r="M611" i="5" a="1"/>
  <c r="J460" i="5" a="1"/>
  <c r="N506" i="5" a="1"/>
  <c r="J582" i="5" a="1"/>
  <c r="L520" i="5" a="1"/>
  <c r="I539" i="5" a="1"/>
  <c r="M596" i="5" a="1"/>
  <c r="B587" i="5" a="1"/>
  <c r="H566" i="5" a="1"/>
  <c r="E612" i="5" a="1"/>
  <c r="J529" i="5" a="1"/>
  <c r="M281" i="5" a="1"/>
  <c r="J469" i="5" a="1"/>
  <c r="J626" i="5" a="1"/>
  <c r="M514" i="5" a="1"/>
  <c r="J576" i="5" a="1"/>
  <c r="J649" i="5" a="1"/>
  <c r="L612" i="5" a="1"/>
  <c r="B586" i="5" a="1"/>
  <c r="N615" i="5" a="1"/>
  <c r="H526" i="5" a="1"/>
  <c r="L578" i="5" a="1"/>
  <c r="H644" i="5" a="1"/>
  <c r="B616" i="5" a="1"/>
  <c r="N551" i="5" a="1"/>
  <c r="J613" i="5" a="1"/>
  <c r="B572" i="5" a="1"/>
  <c r="L604" i="5" a="1"/>
  <c r="I552" i="5" a="1"/>
  <c r="J679" i="5" a="1"/>
  <c r="J727" i="5" a="1"/>
  <c r="E628" i="5" a="1"/>
  <c r="M632" i="5" a="1"/>
  <c r="H688" i="5" a="1"/>
  <c r="H724" i="5" a="1"/>
  <c r="H760" i="5" a="1"/>
  <c r="B672" i="5" a="1"/>
  <c r="K678" i="5" a="1"/>
  <c r="K714" i="5" a="1"/>
  <c r="I639" i="5" a="1"/>
  <c r="L626" i="5" a="1"/>
  <c r="N692" i="5" a="1"/>
  <c r="N728" i="5" a="1"/>
  <c r="I538" i="5" a="1"/>
  <c r="L666" i="5" a="1"/>
  <c r="H673" i="5" a="1"/>
  <c r="H709" i="5" a="1"/>
  <c r="H745" i="5" a="1"/>
  <c r="J628" i="5" a="1"/>
  <c r="B622" i="5" a="1"/>
  <c r="K687" i="5" a="1"/>
  <c r="K723" i="5" a="1"/>
  <c r="K759" i="5" a="1"/>
  <c r="B680" i="5" a="1"/>
  <c r="J673" i="5" a="1"/>
  <c r="J709" i="5" a="1"/>
  <c r="I654" i="5" a="1"/>
  <c r="M644" i="5" a="1"/>
  <c r="E692" i="5" a="1"/>
  <c r="E728" i="5" a="1"/>
  <c r="B702" i="5" a="1"/>
  <c r="E678" i="5" a="1"/>
  <c r="E714" i="5" a="1"/>
  <c r="M672" i="5" a="1"/>
  <c r="M708" i="5" a="1"/>
  <c r="K743" i="5" a="1"/>
  <c r="L791" i="5" a="1"/>
  <c r="L827" i="5" a="1"/>
  <c r="K755" i="5" a="1"/>
  <c r="L766" i="5" a="1"/>
  <c r="L802" i="5" a="1"/>
  <c r="L838" i="5" a="1"/>
  <c r="M686" i="5" a="1"/>
  <c r="B675" i="5" a="1"/>
  <c r="L694" i="5" a="1"/>
  <c r="H784" i="5" a="1"/>
  <c r="H820" i="5" a="1"/>
  <c r="L735" i="5" a="1"/>
  <c r="M710" i="5" a="1"/>
  <c r="L787" i="5" a="1"/>
  <c r="L823" i="5" a="1"/>
  <c r="M752" i="5" a="1"/>
  <c r="M747" i="5" a="1"/>
  <c r="L798" i="5" a="1"/>
  <c r="L834" i="5" a="1"/>
  <c r="B766" i="5" a="1"/>
  <c r="J616" i="5" a="1"/>
  <c r="E663" i="5" a="1"/>
  <c r="I627" i="5" a="1"/>
  <c r="N723" i="5" a="1"/>
  <c r="H791" i="5" a="1"/>
  <c r="M622" i="5" a="1"/>
  <c r="N772" i="5" a="1"/>
  <c r="N808" i="5" a="1"/>
  <c r="E762" i="5" a="1"/>
  <c r="K854" i="5" a="1"/>
  <c r="K890" i="5" a="1"/>
  <c r="K926" i="5" a="1"/>
  <c r="B895" i="5" a="1"/>
  <c r="N844" i="5" a="1"/>
  <c r="N880" i="5" a="1"/>
  <c r="N916" i="5" a="1"/>
  <c r="E791" i="5" a="1"/>
  <c r="M842" i="5" a="1"/>
  <c r="K816" i="5" a="1"/>
  <c r="M806" i="5" a="1"/>
  <c r="M865" i="5" a="1"/>
  <c r="M901" i="5" a="1"/>
  <c r="B856" i="5" a="1"/>
  <c r="N16" i="5" a="1"/>
  <c r="M195" i="5" a="1"/>
  <c r="J280" i="5" a="1"/>
  <c r="M334" i="5" a="1"/>
  <c r="I465" i="5" a="1"/>
  <c r="L464" i="5" a="1"/>
  <c r="I407" i="5" a="1"/>
  <c r="H462" i="5" a="1"/>
  <c r="E508" i="5" a="1"/>
  <c r="B404" i="5" a="1"/>
  <c r="H468" i="5" a="1"/>
  <c r="M501" i="5" a="1"/>
  <c r="K446" i="5" a="1"/>
  <c r="K486" i="5" a="1"/>
  <c r="E541" i="5" a="1"/>
  <c r="M437" i="5" a="1"/>
  <c r="E465" i="5" a="1"/>
  <c r="L461" i="5" a="1"/>
  <c r="M543" i="5" a="1"/>
  <c r="K550" i="5" a="1"/>
  <c r="J597" i="5" a="1"/>
  <c r="J478" i="5" a="1"/>
  <c r="M563" i="5" a="1"/>
  <c r="N612" i="5" a="1"/>
  <c r="H471" i="5" a="1"/>
  <c r="H517" i="5" a="1"/>
  <c r="M585" i="5" a="1"/>
  <c r="E522" i="5" a="1"/>
  <c r="L542" i="5" a="1"/>
  <c r="N597" i="5" a="1"/>
  <c r="B599" i="5" a="1"/>
  <c r="I567" i="5" a="1"/>
  <c r="B402" i="5" a="1"/>
  <c r="E531" i="5" a="1"/>
  <c r="N389" i="5" a="1"/>
  <c r="L474" i="5" a="1"/>
  <c r="K627" i="5" a="1"/>
  <c r="M519" i="5" a="1"/>
  <c r="I585" i="5" a="1"/>
  <c r="K650" i="5" a="1"/>
  <c r="K492" i="5" a="1"/>
  <c r="E591" i="5" a="1"/>
  <c r="I622" i="5" a="1"/>
  <c r="J542" i="5" a="1"/>
  <c r="E582" i="5" a="1"/>
  <c r="I645" i="5" a="1"/>
  <c r="B628" i="5" a="1"/>
  <c r="K553" i="5" a="1"/>
  <c r="H469" i="5" a="1"/>
  <c r="B574" i="5" a="1"/>
  <c r="I420" i="5" a="1"/>
  <c r="N555" i="5" a="1"/>
  <c r="K680" i="5" a="1"/>
  <c r="K728" i="5" a="1"/>
  <c r="I642" i="5" a="1"/>
  <c r="H634" i="5" a="1"/>
  <c r="I689" i="5" a="1"/>
  <c r="I725" i="5" a="1"/>
  <c r="I761" i="5" a="1"/>
  <c r="B684" i="5" a="1"/>
  <c r="L679" i="5" a="1"/>
  <c r="L715" i="5" a="1"/>
  <c r="K642" i="5" a="1"/>
  <c r="J631" i="5" a="1"/>
  <c r="E696" i="5" a="1"/>
  <c r="I167" i="5" a="1"/>
  <c r="J351" i="5" a="1"/>
  <c r="M325" i="5" a="1"/>
  <c r="N273" i="5" a="1"/>
  <c r="N397" i="5" a="1"/>
  <c r="M465" i="5" a="1"/>
  <c r="L434" i="5" a="1"/>
  <c r="M480" i="5" a="1"/>
  <c r="H510" i="5" a="1"/>
  <c r="H409" i="5" a="1"/>
  <c r="K473" i="5" a="1"/>
  <c r="N502" i="5" a="1"/>
  <c r="J448" i="5" a="1"/>
  <c r="L487" i="5" a="1"/>
  <c r="H543" i="5" a="1"/>
  <c r="M446" i="5" a="1"/>
  <c r="B415" i="5" a="1"/>
  <c r="L463" i="5" a="1"/>
  <c r="K545" i="5" a="1"/>
  <c r="L551" i="5" a="1"/>
  <c r="M600" i="5" a="1"/>
  <c r="B490" i="5" a="1"/>
  <c r="N564" i="5" a="1"/>
  <c r="L411" i="5" a="1"/>
  <c r="E476" i="5" a="1"/>
  <c r="M518" i="5" a="1"/>
  <c r="N586" i="5" a="1"/>
  <c r="K532" i="5" a="1"/>
  <c r="B546" i="5" a="1"/>
  <c r="E601" i="5" a="1"/>
  <c r="B611" i="5" a="1"/>
  <c r="J568" i="5" a="1"/>
  <c r="H438" i="5" a="1"/>
  <c r="J445" i="5" a="1"/>
  <c r="E417" i="5" a="1"/>
  <c r="H478" i="5" a="1"/>
  <c r="L628" i="5" a="1"/>
  <c r="J567" i="5" a="1"/>
  <c r="M592" i="5" a="1"/>
  <c r="L651" i="5" a="1"/>
  <c r="J504" i="5" a="1"/>
  <c r="N594" i="5" a="1"/>
  <c r="J623" i="5" a="1"/>
  <c r="L549" i="5" a="1"/>
  <c r="E584" i="5" a="1"/>
  <c r="J646" i="5" a="1"/>
  <c r="B640" i="5" a="1"/>
  <c r="B559" i="5" a="1"/>
  <c r="J494" i="5" a="1"/>
  <c r="E579" i="5" a="1"/>
  <c r="N495" i="5" a="1"/>
  <c r="M557" i="5" a="1"/>
  <c r="L681" i="5" a="1"/>
  <c r="L729" i="5" a="1"/>
  <c r="K645" i="5" a="1"/>
  <c r="B636" i="5" a="1"/>
  <c r="J690" i="5" a="1"/>
  <c r="J726" i="5" a="1"/>
  <c r="J762" i="5" a="1"/>
  <c r="B696" i="5" a="1"/>
  <c r="M680" i="5" a="1"/>
  <c r="M716" i="5" a="1"/>
  <c r="E644" i="5" a="1"/>
  <c r="B638" i="5" a="1"/>
  <c r="H698" i="5" a="1"/>
  <c r="L121" i="5" a="1"/>
  <c r="K352" i="5" a="1"/>
  <c r="N326" i="5" a="1"/>
  <c r="L285" i="5" a="1"/>
  <c r="E401" i="5" a="1"/>
  <c r="N466" i="5" a="1"/>
  <c r="E440" i="5" a="1"/>
  <c r="M504" i="5" a="1"/>
  <c r="I511" i="5" a="1"/>
  <c r="L413" i="5" a="1"/>
  <c r="E475" i="5" a="1"/>
  <c r="J510" i="5" a="1"/>
  <c r="B454" i="5" a="1"/>
  <c r="M488" i="5" a="1"/>
  <c r="I544" i="5" a="1"/>
  <c r="E454" i="5" a="1"/>
  <c r="N441" i="5" a="1"/>
  <c r="H465" i="5" a="1"/>
  <c r="B556" i="5" a="1"/>
  <c r="M552" i="5" a="1"/>
  <c r="N601" i="5" a="1"/>
  <c r="J491" i="5" a="1"/>
  <c r="E568" i="5" a="1"/>
  <c r="K435" i="5" a="1"/>
  <c r="H479" i="5" a="1"/>
  <c r="B524" i="5" a="1"/>
  <c r="E590" i="5" a="1"/>
  <c r="J544" i="5" a="1"/>
  <c r="N75" i="5" a="1"/>
  <c r="L298" i="5" a="1"/>
  <c r="E330" i="5" a="1"/>
  <c r="I291" i="5" a="1"/>
  <c r="H403" i="5" a="1"/>
  <c r="E409" i="5" a="1"/>
  <c r="H442" i="5" a="1"/>
  <c r="N505" i="5" a="1"/>
  <c r="J512" i="5" a="1"/>
  <c r="K422" i="5" a="1"/>
  <c r="B505" i="5" a="1"/>
  <c r="M513" i="5" a="1"/>
  <c r="J457" i="5" a="1"/>
  <c r="N489" i="5" a="1"/>
  <c r="J545" i="5" a="1"/>
  <c r="L457" i="5" a="1"/>
  <c r="H445" i="5" a="1"/>
  <c r="E469" i="5" a="1"/>
  <c r="B568" i="5" a="1"/>
  <c r="N553" i="5" a="1"/>
  <c r="E605" i="5" a="1"/>
  <c r="H493" i="5" a="1"/>
  <c r="H570" i="5" a="1"/>
  <c r="E488" i="5" a="1"/>
  <c r="I483" i="5" a="1"/>
  <c r="L525" i="5" a="1"/>
  <c r="H592" i="5" a="1"/>
  <c r="B564" i="5" a="1"/>
  <c r="J557" i="5" a="1"/>
  <c r="I604" i="5" a="1"/>
  <c r="M472" i="5" a="1"/>
  <c r="L570" i="5" a="1"/>
  <c r="L483" i="5" a="1"/>
  <c r="B489" i="5" a="1"/>
  <c r="M463" i="5" a="1"/>
  <c r="L482" i="5" a="1"/>
  <c r="N630" i="5" a="1"/>
  <c r="J574" i="5" a="1"/>
  <c r="H605" i="5" a="1"/>
  <c r="N653" i="5" a="1"/>
  <c r="I558" i="5" a="1"/>
  <c r="I598" i="5" a="1"/>
  <c r="L625" i="5" a="1"/>
  <c r="I553" i="5" a="1"/>
  <c r="B595" i="5" a="1"/>
  <c r="I657" i="5" a="1"/>
  <c r="B664" i="5" a="1"/>
  <c r="J564" i="5" a="1"/>
  <c r="L531" i="5" a="1"/>
  <c r="L602" i="5" a="1"/>
  <c r="K543" i="5" a="1"/>
  <c r="H561" i="5" a="1"/>
  <c r="H689" i="5" a="1"/>
  <c r="E735" i="5" a="1"/>
  <c r="H650" i="5" a="1"/>
  <c r="N640" i="5" a="1"/>
  <c r="L692" i="5" a="1"/>
  <c r="L728" i="5" a="1"/>
  <c r="I458" i="5" a="1"/>
  <c r="B720" i="5" a="1"/>
  <c r="E685" i="5" a="1"/>
  <c r="E721" i="5" a="1"/>
  <c r="H652" i="5" a="1"/>
  <c r="I647" i="5" a="1"/>
  <c r="J700" i="5" a="1"/>
  <c r="J189" i="5" a="1"/>
  <c r="K300" i="5" a="1"/>
  <c r="H380" i="5" a="1"/>
  <c r="I353" i="5" a="1"/>
  <c r="M444" i="5" a="1"/>
  <c r="I412" i="5" a="1"/>
  <c r="I443" i="5" a="1"/>
  <c r="E509" i="5" a="1"/>
  <c r="K513" i="5" a="1"/>
  <c r="M426" i="5" a="1"/>
  <c r="B517" i="5" a="1"/>
  <c r="N514" i="5" a="1"/>
  <c r="B461" i="5" a="1"/>
  <c r="E493" i="5" a="1"/>
  <c r="K546" i="5" a="1"/>
  <c r="J459" i="5" a="1"/>
  <c r="J452" i="5" a="1"/>
  <c r="M210" i="5" a="1"/>
  <c r="K339" i="5" a="1"/>
  <c r="I381" i="5" a="1"/>
  <c r="J354" i="5" a="1"/>
  <c r="N445" i="5" a="1"/>
  <c r="J413" i="5" a="1"/>
  <c r="N448" i="5" a="1"/>
  <c r="H511" i="5" a="1"/>
  <c r="L514" i="5" a="1"/>
  <c r="K444" i="5" a="1"/>
  <c r="B529" i="5" a="1"/>
  <c r="E518" i="5" a="1"/>
  <c r="N464" i="5" a="1"/>
  <c r="K498" i="5" a="1"/>
  <c r="E394" i="5" a="1"/>
  <c r="K468" i="5" a="1"/>
  <c r="L459" i="5" a="1"/>
  <c r="N401" i="5" a="1"/>
  <c r="M470" i="5" a="1"/>
  <c r="H559" i="5" a="1"/>
  <c r="I608" i="5" a="1"/>
  <c r="B500" i="5" a="1"/>
  <c r="L574" i="5" a="1"/>
  <c r="J520" i="5" a="1"/>
  <c r="E490" i="5" a="1"/>
  <c r="L530" i="5" a="1"/>
  <c r="J594" i="5" a="1"/>
  <c r="B588" i="5" a="1"/>
  <c r="L559" i="5" a="1"/>
  <c r="K606" i="5" a="1"/>
  <c r="B497" i="5" a="1"/>
  <c r="N572" i="5" a="1"/>
  <c r="I490" i="5" a="1"/>
  <c r="B494" i="5" a="1"/>
  <c r="M495" i="5" a="1"/>
  <c r="K533" i="5" a="1"/>
  <c r="H636" i="5" a="1"/>
  <c r="I594" i="5" a="1"/>
  <c r="E609" i="5" a="1"/>
  <c r="J661" i="5" a="1"/>
  <c r="L585" i="5" a="1"/>
  <c r="B630" i="5" a="1"/>
  <c r="N627" i="5" a="1"/>
  <c r="H564" i="5" a="1"/>
  <c r="J600" i="5" a="1"/>
  <c r="K659" i="5" a="1"/>
  <c r="M499" i="5" a="1"/>
  <c r="I575" i="5" a="1"/>
  <c r="E538" i="5" a="1"/>
  <c r="E608" i="5" a="1"/>
  <c r="L557" i="5" a="1"/>
  <c r="L568" i="5" a="1"/>
  <c r="J691" i="5" a="1"/>
  <c r="L741" i="5" a="1"/>
  <c r="I666" i="5" a="1"/>
  <c r="K653" i="5" a="1"/>
  <c r="N694" i="5" a="1"/>
  <c r="N730" i="5" a="1"/>
  <c r="K601" i="5" a="1"/>
  <c r="M566" i="5" a="1"/>
  <c r="I688" i="5" a="1"/>
  <c r="I724" i="5" a="1"/>
  <c r="E660" i="5" a="1"/>
  <c r="J655" i="5" a="1"/>
  <c r="L702" i="5" a="1"/>
  <c r="N259" i="5" a="1"/>
  <c r="L340" i="5" a="1"/>
  <c r="J382" i="5" a="1"/>
  <c r="K355" i="5" a="1"/>
  <c r="E449" i="5" a="1"/>
  <c r="L415" i="5" a="1"/>
  <c r="H294" i="5" a="1"/>
  <c r="M516" i="5" a="1"/>
  <c r="H522" i="5" a="1"/>
  <c r="I446" i="5" a="1"/>
  <c r="B541" i="5" a="1"/>
  <c r="H520" i="5" a="1"/>
  <c r="L473" i="5" a="1"/>
  <c r="N501" i="5" a="1"/>
  <c r="E405" i="5" a="1"/>
  <c r="I470" i="5" a="1"/>
  <c r="K461" i="5" a="1"/>
  <c r="H421" i="5" a="1"/>
  <c r="M474" i="5" a="1"/>
  <c r="I560" i="5" a="1"/>
  <c r="J609" i="5" a="1"/>
  <c r="L501" i="5" a="1"/>
  <c r="M575" i="5" a="1"/>
  <c r="N523" i="5" a="1"/>
  <c r="M496" i="5" a="1"/>
  <c r="K542" i="5" a="1"/>
  <c r="K595" i="5" a="1"/>
  <c r="B600" i="5" a="1"/>
  <c r="M560" i="5" a="1"/>
  <c r="N609" i="5" a="1"/>
  <c r="K505" i="5" a="1"/>
  <c r="E576" i="5" a="1"/>
  <c r="K495" i="5" a="1"/>
  <c r="L495" i="5" a="1"/>
  <c r="K497" i="5" a="1"/>
  <c r="H536" i="5" a="1"/>
  <c r="I637" i="5" a="1"/>
  <c r="L601" i="5" a="1"/>
  <c r="E611" i="5" a="1"/>
  <c r="K662" i="5" a="1"/>
  <c r="J587" i="5" a="1"/>
  <c r="B642" i="5" a="1"/>
  <c r="J635" i="5" a="1"/>
  <c r="B566" i="5" a="1"/>
  <c r="I602" i="5" a="1"/>
  <c r="L660" i="5" a="1"/>
  <c r="J526" i="5" a="1"/>
  <c r="L591" i="5" a="1"/>
  <c r="I540" i="5" a="1"/>
  <c r="E610" i="5" a="1"/>
  <c r="K568" i="5" a="1"/>
  <c r="K579" i="5" a="1"/>
  <c r="K692" i="5" a="1"/>
  <c r="M742" i="5" a="1"/>
  <c r="K669" i="5" a="1"/>
  <c r="H655" i="5" a="1"/>
  <c r="E698" i="5" a="1"/>
  <c r="E734" i="5" a="1"/>
  <c r="H615" i="5" a="1"/>
  <c r="K572" i="5" a="1"/>
  <c r="J689" i="5" a="1"/>
  <c r="J725" i="5" a="1"/>
  <c r="I663" i="5" a="1"/>
  <c r="B662" i="5" a="1"/>
  <c r="M703" i="5" a="1"/>
  <c r="M739" i="5" a="1"/>
  <c r="J615" i="5" a="1"/>
  <c r="B742" i="5" a="1"/>
  <c r="E683" i="5" a="1"/>
  <c r="E719" i="5" a="1"/>
  <c r="E755" i="5" a="1"/>
  <c r="E662" i="5" a="1"/>
  <c r="L655" i="5" a="1"/>
  <c r="J698" i="5" a="1"/>
  <c r="J734" i="5" a="1"/>
  <c r="B619" i="5" a="1"/>
  <c r="B549" i="5" a="1"/>
  <c r="I684" i="5" a="1"/>
  <c r="I720" i="5" a="1"/>
  <c r="B703" i="5" a="1"/>
  <c r="H667" i="5" a="1"/>
  <c r="N700" i="5" a="1"/>
  <c r="B609" i="5" a="1"/>
  <c r="B605" i="5" a="1"/>
  <c r="N686" i="5" a="1"/>
  <c r="N722" i="5" a="1"/>
  <c r="L683" i="5" a="1"/>
  <c r="L719" i="5" a="1"/>
  <c r="K766" i="5" a="1"/>
  <c r="K802" i="5" a="1"/>
  <c r="K838" i="5" a="1"/>
  <c r="B831" i="5" a="1"/>
  <c r="K777" i="5" a="1"/>
  <c r="K813" i="5" a="1"/>
  <c r="L721" i="5" a="1"/>
  <c r="B749" i="5" a="1"/>
  <c r="L745" i="5" a="1"/>
  <c r="I742" i="5" a="1"/>
  <c r="E794" i="5" a="1"/>
  <c r="E830" i="5" a="1"/>
  <c r="J764" i="5" a="1"/>
  <c r="L747" i="5" a="1"/>
  <c r="K798" i="5" a="1"/>
  <c r="K834" i="5" a="1"/>
  <c r="B803" i="5" a="1"/>
  <c r="K773" i="5" a="1"/>
  <c r="K809" i="5" a="1"/>
  <c r="M657" i="5" a="1"/>
  <c r="B688" i="5" a="1"/>
  <c r="B723" i="5" a="1"/>
  <c r="B736" i="5" a="1"/>
  <c r="B748" i="5" a="1"/>
  <c r="E765" i="5" a="1"/>
  <c r="E801" i="5" a="1"/>
  <c r="E712" i="5" a="1"/>
  <c r="M783" i="5" a="1"/>
  <c r="M819" i="5" a="1"/>
  <c r="I806" i="5" a="1"/>
  <c r="J865" i="5" a="1"/>
  <c r="J901" i="5" a="1"/>
  <c r="J937" i="5" a="1"/>
  <c r="N782" i="5" a="1"/>
  <c r="M855" i="5" a="1"/>
  <c r="M891" i="5" a="1"/>
  <c r="M927" i="5" a="1"/>
  <c r="E837" i="5" a="1"/>
  <c r="L853" i="5" a="1"/>
  <c r="B271" i="5" a="1"/>
  <c r="B290" i="5" a="1"/>
  <c r="K310" i="5" a="1"/>
  <c r="M313" i="5" a="1"/>
  <c r="J390" i="5" a="1"/>
  <c r="B348" i="5" a="1"/>
  <c r="E304" i="5" a="1"/>
  <c r="M540" i="5" a="1"/>
  <c r="K525" i="5" a="1"/>
  <c r="E448" i="5" a="1"/>
  <c r="J409" i="5" a="1"/>
  <c r="I521" i="5" a="1"/>
  <c r="B480" i="5" a="1"/>
  <c r="E505" i="5" a="1"/>
  <c r="L437" i="5" a="1"/>
  <c r="E472" i="5" a="1"/>
  <c r="N468" i="5" a="1"/>
  <c r="E444" i="5" a="1"/>
  <c r="I478" i="5" a="1"/>
  <c r="J561" i="5" a="1"/>
  <c r="N613" i="5" a="1"/>
  <c r="I503" i="5" a="1"/>
  <c r="N576" i="5" a="1"/>
  <c r="M424" i="5" a="1"/>
  <c r="L508" i="5" a="1"/>
  <c r="M549" i="5" a="1"/>
  <c r="L596" i="5" a="1"/>
  <c r="B612" i="5" a="1"/>
  <c r="N561" i="5" a="1"/>
  <c r="E613" i="5" a="1"/>
  <c r="M510" i="5" a="1"/>
  <c r="H578" i="5" a="1"/>
  <c r="K500" i="5" a="1"/>
  <c r="B499" i="5" a="1"/>
  <c r="B501" i="5" a="1"/>
  <c r="L541" i="5" a="1"/>
  <c r="J638" i="5" a="1"/>
  <c r="B644" i="5" a="1"/>
  <c r="J614" i="5" a="1"/>
  <c r="L663" i="5" a="1"/>
  <c r="I589" i="5" a="1"/>
  <c r="H432" i="5" a="1"/>
  <c r="M638" i="5" a="1"/>
  <c r="M567" i="5" a="1"/>
  <c r="N605" i="5" a="1"/>
  <c r="M661" i="5" a="1"/>
  <c r="N534" i="5" a="1"/>
  <c r="H593" i="5" a="1"/>
  <c r="E546" i="5" a="1"/>
  <c r="N611" i="5" a="1"/>
  <c r="J579" i="5" a="1"/>
  <c r="M586" i="5" a="1"/>
  <c r="L693" i="5" a="1"/>
  <c r="N743" i="5" a="1"/>
  <c r="B673" i="5" a="1"/>
  <c r="M656" i="5" a="1"/>
  <c r="H700" i="5" a="1"/>
  <c r="H736" i="5" a="1"/>
  <c r="J618" i="5" a="1"/>
  <c r="B585" i="5" a="1"/>
  <c r="K690" i="5" a="1"/>
  <c r="K726" i="5" a="1"/>
  <c r="K666" i="5" a="1"/>
  <c r="I668" i="5" a="1"/>
  <c r="N704" i="5" a="1"/>
  <c r="N740" i="5" a="1"/>
  <c r="L618" i="5" a="1"/>
  <c r="B754" i="5" a="1"/>
  <c r="H685" i="5" a="1"/>
  <c r="H721" i="5" a="1"/>
  <c r="H757" i="5" a="1"/>
  <c r="M666" i="5" a="1"/>
  <c r="J660" i="5" a="1"/>
  <c r="K699" i="5" a="1"/>
  <c r="K735" i="5" a="1"/>
  <c r="N623" i="5" a="1"/>
  <c r="B562" i="5" a="1"/>
  <c r="J685" i="5" a="1"/>
  <c r="J721" i="5" a="1"/>
  <c r="B715" i="5" a="1"/>
  <c r="M668" i="5" a="1"/>
  <c r="E704" i="5" a="1"/>
  <c r="K622" i="5" a="1"/>
  <c r="J619" i="5" a="1"/>
  <c r="E690" i="5" a="1"/>
  <c r="E726" i="5" a="1"/>
  <c r="M684" i="5" a="1"/>
  <c r="M720" i="5" a="1"/>
  <c r="L767" i="5" a="1"/>
  <c r="L803" i="5" a="1"/>
  <c r="L839" i="5" a="1"/>
  <c r="B558" i="5" a="1"/>
  <c r="L778" i="5" a="1"/>
  <c r="L814" i="5" a="1"/>
  <c r="M731" i="5" a="1"/>
  <c r="I752" i="5" a="1"/>
  <c r="H754" i="5" a="1"/>
  <c r="B744" i="5" a="1"/>
  <c r="H796" i="5" a="1"/>
  <c r="H832" i="5" a="1"/>
  <c r="B768" i="5" a="1"/>
  <c r="M757" i="5" a="1"/>
  <c r="L799" i="5" a="1"/>
  <c r="L835" i="5" a="1"/>
  <c r="B815" i="5" a="1"/>
  <c r="L774" i="5" a="1"/>
  <c r="L810" i="5" a="1"/>
  <c r="L667" i="5" a="1"/>
  <c r="N699" i="5" a="1"/>
  <c r="K730" i="5" a="1"/>
  <c r="I739" i="5" a="1"/>
  <c r="I751" i="5" a="1"/>
  <c r="H767" i="5" a="1"/>
  <c r="H803" i="5" a="1"/>
  <c r="B724" i="5" a="1"/>
  <c r="N784" i="5" a="1"/>
  <c r="N820" i="5" a="1"/>
  <c r="E810" i="5" a="1"/>
  <c r="K866" i="5" a="1"/>
  <c r="K902" i="5" a="1"/>
  <c r="K938" i="5" a="1"/>
  <c r="B789" i="5" a="1"/>
  <c r="N856" i="5" a="1"/>
  <c r="N892" i="5" a="1"/>
  <c r="N928" i="5" a="1"/>
  <c r="B846" i="5" a="1"/>
  <c r="M854" i="5" a="1"/>
  <c r="B893" i="5" a="1"/>
  <c r="M841" i="5" a="1"/>
  <c r="B295" i="5" a="1"/>
  <c r="I292" i="5" a="1"/>
  <c r="N311" i="5" a="1"/>
  <c r="M321" i="5" a="1"/>
  <c r="N396" i="5" a="1"/>
  <c r="M383" i="5" a="1"/>
  <c r="K391" i="5" a="1"/>
  <c r="N541" i="5" a="1"/>
  <c r="L526" i="5" a="1"/>
  <c r="N451" i="5" a="1"/>
  <c r="N413" i="5" a="1"/>
  <c r="J522" i="5" a="1"/>
  <c r="B492" i="5" a="1"/>
  <c r="H507" i="5" a="1"/>
  <c r="L439" i="5" a="1"/>
  <c r="H388" i="5" a="1"/>
  <c r="K470" i="5" a="1"/>
  <c r="K447" i="5" a="1"/>
  <c r="H481" i="5" a="1"/>
  <c r="M564" i="5" a="1"/>
  <c r="L484" i="5" a="1"/>
  <c r="L506" i="5" a="1"/>
  <c r="E580" i="5" a="1"/>
  <c r="B449" i="5" a="1"/>
  <c r="E510" i="5" a="1"/>
  <c r="N550" i="5" a="1"/>
  <c r="M597" i="5" a="1"/>
  <c r="M425" i="5" a="1"/>
  <c r="E565" i="5" a="1"/>
  <c r="K449" i="5" a="1"/>
  <c r="N515" i="5" a="1"/>
  <c r="I579" i="5" a="1"/>
  <c r="I519" i="5" a="1"/>
  <c r="I502" i="5" a="1"/>
  <c r="J502" i="5" a="1"/>
  <c r="M544" i="5" a="1"/>
  <c r="M641" i="5" a="1"/>
  <c r="H407" i="5" a="1"/>
  <c r="L615" i="5" a="1"/>
  <c r="M664" i="5" a="1"/>
  <c r="N592" i="5" a="1"/>
  <c r="L492" i="5" a="1"/>
  <c r="N639" i="5" a="1"/>
  <c r="L569" i="5" a="1"/>
  <c r="N607" i="5" a="1"/>
  <c r="N662" i="5" a="1"/>
  <c r="H537" i="5" a="1"/>
  <c r="E595" i="5" a="1"/>
  <c r="L553" i="5" a="1"/>
  <c r="K613" i="5" a="1"/>
  <c r="B581" i="5" a="1"/>
  <c r="N602" i="5" a="1"/>
  <c r="M694" i="5" a="1"/>
  <c r="E747" i="5" a="1"/>
  <c r="B685" i="5" a="1"/>
  <c r="H658" i="5" a="1"/>
  <c r="I701" i="5" a="1"/>
  <c r="I737" i="5" a="1"/>
  <c r="L621" i="5" a="1"/>
  <c r="E617" i="5" a="1"/>
  <c r="L691" i="5" a="1"/>
  <c r="L727" i="5" a="1"/>
  <c r="E668" i="5" a="1"/>
  <c r="E672" i="5" a="1"/>
  <c r="E708" i="5" a="1"/>
  <c r="E744" i="5" a="1"/>
  <c r="N621" i="5" a="1"/>
  <c r="B547" i="5" a="1"/>
  <c r="I686" i="5" a="1"/>
  <c r="I722" i="5" a="1"/>
  <c r="I758" i="5" a="1"/>
  <c r="B681" i="5" a="1"/>
  <c r="M663" i="5" a="1"/>
  <c r="L700" i="5" a="1"/>
  <c r="L736" i="5" a="1"/>
  <c r="H625" i="5" a="1"/>
  <c r="I574" i="5" a="1"/>
  <c r="K686" i="5" a="1"/>
  <c r="K722" i="5" a="1"/>
  <c r="B727" i="5" a="1"/>
  <c r="H670" i="5" a="1"/>
  <c r="H706" i="5" a="1"/>
  <c r="N625" i="5" a="1"/>
  <c r="B626" i="5" a="1"/>
  <c r="H692" i="5" a="1"/>
  <c r="H728" i="5" a="1"/>
  <c r="N685" i="5" a="1"/>
  <c r="N721" i="5" a="1"/>
  <c r="M768" i="5" a="1"/>
  <c r="M804" i="5" a="1"/>
  <c r="E503" i="5" a="1"/>
  <c r="I629" i="5" a="1"/>
  <c r="M779" i="5" a="1"/>
  <c r="M815" i="5" a="1"/>
  <c r="B737" i="5" a="1"/>
  <c r="K757" i="5" a="1"/>
  <c r="M755" i="5" a="1"/>
  <c r="H747" i="5" a="1"/>
  <c r="I797" i="5" a="1"/>
  <c r="I833" i="5" a="1"/>
  <c r="B780" i="5" a="1"/>
  <c r="E761" i="5" a="1"/>
  <c r="M800" i="5" a="1"/>
  <c r="M836" i="5" a="1"/>
  <c r="B827" i="5" a="1"/>
  <c r="M775" i="5" a="1"/>
  <c r="M811" i="5" a="1"/>
  <c r="M683" i="5" a="1"/>
  <c r="H739" i="5" a="1"/>
  <c r="K732" i="5" a="1"/>
  <c r="H741" i="5" a="1"/>
  <c r="H753" i="5" a="1"/>
  <c r="I768" i="5" a="1"/>
  <c r="I804" i="5" a="1"/>
  <c r="J245" i="5" a="1"/>
  <c r="N320" i="5" a="1"/>
  <c r="K314" i="5" a="1"/>
  <c r="E325" i="5" a="1"/>
  <c r="E400" i="5" a="1"/>
  <c r="J389" i="5" a="1"/>
  <c r="B393" i="5" a="1"/>
  <c r="E545" i="5" a="1"/>
  <c r="M527" i="5" a="1"/>
  <c r="N453" i="5" a="1"/>
  <c r="N462" i="5" a="1"/>
  <c r="K523" i="5" a="1"/>
  <c r="B504" i="5" a="1"/>
  <c r="I508" i="5" a="1"/>
  <c r="K448" i="5" a="1"/>
  <c r="H443" i="5" a="1"/>
  <c r="J472" i="5" a="1"/>
  <c r="J449" i="5" a="1"/>
  <c r="M482" i="5" a="1"/>
  <c r="N565" i="5" a="1"/>
  <c r="E486" i="5" a="1"/>
  <c r="B510" i="5" a="1"/>
  <c r="H582" i="5" a="1"/>
  <c r="L454" i="5" a="1"/>
  <c r="K520" i="5" a="1"/>
  <c r="E554" i="5" a="1"/>
  <c r="N598" i="5" a="1"/>
  <c r="B485" i="5" a="1"/>
  <c r="H567" i="5" a="1"/>
  <c r="I456" i="5" a="1"/>
  <c r="J517" i="5" a="1"/>
  <c r="L582" i="5" a="1"/>
  <c r="M532" i="5" a="1"/>
  <c r="K507" i="5" a="1"/>
  <c r="B506" i="5" a="1"/>
  <c r="L552" i="5" a="1"/>
  <c r="N642" i="5" a="1"/>
  <c r="N463" i="5" a="1"/>
  <c r="M616" i="5" a="1"/>
  <c r="N665" i="5" a="1"/>
  <c r="H600" i="5" a="1"/>
  <c r="K504" i="5" a="1"/>
  <c r="E643" i="5" a="1"/>
  <c r="K580" i="5" a="1"/>
  <c r="M614" i="5" a="1"/>
  <c r="E666" i="5" a="1"/>
  <c r="M545" i="5" a="1"/>
  <c r="E597" i="5" a="1"/>
  <c r="L573" i="5" a="1"/>
  <c r="J506" i="5" a="1"/>
  <c r="J586" i="5" a="1"/>
  <c r="J552" i="5" a="1"/>
  <c r="E699" i="5" a="1"/>
  <c r="H749" i="5" a="1"/>
  <c r="B721" i="5" a="1"/>
  <c r="B660" i="5" a="1"/>
  <c r="J702" i="5" a="1"/>
  <c r="J738" i="5" a="1"/>
  <c r="E623" i="5" a="1"/>
  <c r="B625" i="5" a="1"/>
  <c r="M692" i="5" a="1"/>
  <c r="M728" i="5" a="1"/>
  <c r="M669" i="5" a="1"/>
  <c r="H674" i="5" a="1"/>
  <c r="H710" i="5" a="1"/>
  <c r="H746" i="5" a="1"/>
  <c r="L623" i="5" a="1"/>
  <c r="E567" i="5" a="1"/>
  <c r="J687" i="5" a="1"/>
  <c r="J723" i="5" a="1"/>
  <c r="J759" i="5" a="1"/>
  <c r="B693" i="5" a="1"/>
  <c r="I665" i="5" a="1"/>
  <c r="M701" i="5" a="1"/>
  <c r="M737" i="5" a="1"/>
  <c r="E627" i="5" a="1"/>
  <c r="E598" i="5" a="1"/>
  <c r="L687" i="5" a="1"/>
  <c r="L723" i="5" a="1"/>
  <c r="N575" i="5" a="1"/>
  <c r="I671" i="5" a="1"/>
  <c r="I707" i="5" a="1"/>
  <c r="H627" i="5" a="1"/>
  <c r="I632" i="5" a="1"/>
  <c r="I693" i="5" a="1"/>
  <c r="I729" i="5" a="1"/>
  <c r="E689" i="5" a="1"/>
  <c r="E725" i="5" a="1"/>
  <c r="N769" i="5" a="1"/>
  <c r="N805" i="5" a="1"/>
  <c r="N599" i="5" a="1"/>
  <c r="H640" i="5" a="1"/>
  <c r="N780" i="5" a="1"/>
  <c r="N816" i="5" a="1"/>
  <c r="I740" i="5" a="1"/>
  <c r="K762" i="5" a="1"/>
  <c r="B761" i="5" a="1"/>
  <c r="B751" i="5" a="1"/>
  <c r="J798" i="5" a="1"/>
  <c r="J834" i="5" a="1"/>
  <c r="B792" i="5" a="1"/>
  <c r="B247" i="5" a="1"/>
  <c r="H323" i="5" a="1"/>
  <c r="I368" i="5" a="1"/>
  <c r="E373" i="5" a="1"/>
  <c r="B446" i="5" a="1"/>
  <c r="E396" i="5" a="1"/>
  <c r="N399" i="5" a="1"/>
  <c r="H547" i="5" a="1"/>
  <c r="N528" i="5" a="1"/>
  <c r="L471" i="5" a="1"/>
  <c r="M477" i="5" a="1"/>
  <c r="L524" i="5" a="1"/>
  <c r="B516" i="5" a="1"/>
  <c r="J509" i="5" a="1"/>
  <c r="H450" i="5" a="1"/>
  <c r="E456" i="5" a="1"/>
  <c r="J388" i="5" a="1"/>
  <c r="E451" i="5" a="1"/>
  <c r="B488" i="5" a="1"/>
  <c r="E569" i="5" a="1"/>
  <c r="K496" i="5" a="1"/>
  <c r="I513" i="5" a="1"/>
  <c r="L586" i="5" a="1"/>
  <c r="B466" i="5" a="1"/>
  <c r="J532" i="5" a="1"/>
  <c r="H556" i="5" a="1"/>
  <c r="I605" i="5" a="1"/>
  <c r="K493" i="5" a="1"/>
  <c r="I568" i="5" a="1"/>
  <c r="N461" i="5" a="1"/>
  <c r="E519" i="5" a="1"/>
  <c r="M583" i="5" a="1"/>
  <c r="K438" i="5" a="1"/>
  <c r="K512" i="5" a="1"/>
  <c r="L507" i="5" a="1"/>
  <c r="K554" i="5" a="1"/>
  <c r="E646" i="5" a="1"/>
  <c r="N497" i="5" a="1"/>
  <c r="N617" i="5" a="1"/>
  <c r="N485" i="5" a="1"/>
  <c r="B602" i="5" a="1"/>
  <c r="L534" i="5" a="1"/>
  <c r="H645" i="5" a="1"/>
  <c r="J598" i="5" a="1"/>
  <c r="I621" i="5" a="1"/>
  <c r="H668" i="5" a="1"/>
  <c r="J555" i="5" a="1"/>
  <c r="E599" i="5" a="1"/>
  <c r="J575" i="5" a="1"/>
  <c r="B518" i="5" a="1"/>
  <c r="M602" i="5" a="1"/>
  <c r="N595" i="5" a="1"/>
  <c r="I702" i="5" a="1"/>
  <c r="I750" i="5" a="1"/>
  <c r="B733" i="5" a="1"/>
  <c r="K661" i="5" a="1"/>
  <c r="K703" i="5" a="1"/>
  <c r="K739" i="5" a="1"/>
  <c r="I626" i="5" a="1"/>
  <c r="L629" i="5" a="1"/>
  <c r="N693" i="5" a="1"/>
  <c r="N729" i="5" a="1"/>
  <c r="B671" i="5" a="1"/>
  <c r="I675" i="5" a="1"/>
  <c r="I711" i="5" a="1"/>
  <c r="I747" i="5" a="1"/>
  <c r="E625" i="5" a="1"/>
  <c r="L579" i="5" a="1"/>
  <c r="K688" i="5" a="1"/>
  <c r="K724" i="5" a="1"/>
  <c r="K760" i="5" a="1"/>
  <c r="B705" i="5" a="1"/>
  <c r="K668" i="5" a="1"/>
  <c r="N702" i="5" a="1"/>
  <c r="N738" i="5" a="1"/>
  <c r="K628" i="5" a="1"/>
  <c r="K608" i="5" a="1"/>
  <c r="M688" i="5" a="1"/>
  <c r="M724" i="5" a="1"/>
  <c r="K592" i="5" a="1"/>
  <c r="J672" i="5" a="1"/>
  <c r="J708" i="5" a="1"/>
  <c r="J630" i="5" a="1"/>
  <c r="I635" i="5" a="1"/>
  <c r="J694" i="5" a="1"/>
  <c r="H610" i="5" a="1"/>
  <c r="H691" i="5" a="1"/>
  <c r="H727" i="5" a="1"/>
  <c r="E773" i="5" a="1"/>
  <c r="E809" i="5" a="1"/>
  <c r="I619" i="5" a="1"/>
  <c r="L670" i="5" a="1"/>
  <c r="J163" i="5" a="1"/>
  <c r="L375" i="5" a="1"/>
  <c r="J369" i="5" a="1"/>
  <c r="I376" i="5" a="1"/>
  <c r="B458" i="5" a="1"/>
  <c r="J436" i="5" a="1"/>
  <c r="N423" i="5" a="1"/>
  <c r="I444" i="5" a="1"/>
  <c r="E532" i="5" a="1"/>
  <c r="K476" i="5" a="1"/>
  <c r="N478" i="5" a="1"/>
  <c r="M525" i="5" a="1"/>
  <c r="B528" i="5" a="1"/>
  <c r="K510" i="5" a="1"/>
  <c r="B463" i="5" a="1"/>
  <c r="K459" i="5" a="1"/>
  <c r="H395" i="5" a="1"/>
  <c r="B462" i="5" a="1"/>
  <c r="L489" i="5" a="1"/>
  <c r="H571" i="5" a="1"/>
  <c r="J508" i="5" a="1"/>
  <c r="H525" i="5" a="1"/>
  <c r="E592" i="5" a="1"/>
  <c r="J481" i="5" a="1"/>
  <c r="N535" i="5" a="1"/>
  <c r="I557" i="5" a="1"/>
  <c r="J606" i="5" a="1"/>
  <c r="M498" i="5" a="1"/>
  <c r="J569" i="5" a="1"/>
  <c r="H476" i="5" a="1"/>
  <c r="L522" i="5" a="1"/>
  <c r="N584" i="5" a="1"/>
  <c r="K456" i="5" a="1"/>
  <c r="H514" i="5" a="1"/>
  <c r="H477" i="5" a="1"/>
  <c r="K563" i="5" a="1"/>
  <c r="H648" i="5" a="1"/>
  <c r="L509" i="5" a="1"/>
  <c r="I624" i="5" a="1"/>
  <c r="N536" i="5" a="1"/>
  <c r="M603" i="5" a="1"/>
  <c r="B537" i="5" a="1"/>
  <c r="I646" i="5" a="1"/>
  <c r="B617" i="5" a="1"/>
  <c r="J622" i="5" a="1"/>
  <c r="I669" i="5" a="1"/>
  <c r="B557" i="5" a="1"/>
  <c r="B606" i="5" a="1"/>
  <c r="I577" i="5" a="1"/>
  <c r="I546" i="5" a="1"/>
  <c r="K482" i="5" a="1"/>
  <c r="M606" i="5" a="1"/>
  <c r="L705" i="5" a="1"/>
  <c r="J751" i="5" a="1"/>
  <c r="B745" i="5" a="1"/>
  <c r="N664" i="5" a="1"/>
  <c r="L704" i="5" a="1"/>
  <c r="L740" i="5" a="1"/>
  <c r="K634" i="5" a="1"/>
  <c r="I631" i="5" a="1"/>
  <c r="E697" i="5" a="1"/>
  <c r="N546" i="5" a="1"/>
  <c r="B683" i="5" a="1"/>
  <c r="J676" i="5" a="1"/>
  <c r="J712" i="5" a="1"/>
  <c r="J748" i="5" a="1"/>
  <c r="I628" i="5" a="1"/>
  <c r="L597" i="5" a="1"/>
  <c r="L689" i="5" a="1"/>
  <c r="L725" i="5" a="1"/>
  <c r="L761" i="5" a="1"/>
  <c r="B717" i="5" a="1"/>
  <c r="B670" i="5" a="1"/>
  <c r="E706" i="5" a="1"/>
  <c r="E742" i="5" a="1"/>
  <c r="H630" i="5" a="1"/>
  <c r="J617" i="5" a="1"/>
  <c r="N689" i="5" a="1"/>
  <c r="N725" i="5" a="1"/>
  <c r="I599" i="5" a="1"/>
  <c r="K673" i="5" a="1"/>
  <c r="K709" i="5" a="1"/>
  <c r="L633" i="5" a="1"/>
  <c r="L638" i="5" a="1"/>
  <c r="K695" i="5" a="1"/>
  <c r="H614" i="5" a="1"/>
  <c r="I692" i="5" a="1"/>
  <c r="I728" i="5" a="1"/>
  <c r="H775" i="5" a="1"/>
  <c r="H811" i="5" a="1"/>
  <c r="B645" i="5" a="1"/>
  <c r="M674" i="5" a="1"/>
  <c r="H786" i="5" a="1"/>
  <c r="H822" i="5" a="1"/>
  <c r="K750" i="5" a="1"/>
  <c r="M766" i="5" a="1"/>
  <c r="B769" i="5" a="1"/>
  <c r="L757" i="5" a="1"/>
  <c r="L800" i="5" a="1"/>
  <c r="L836" i="5" a="1"/>
  <c r="B816" i="5" a="1"/>
  <c r="H771" i="5" a="1"/>
  <c r="H807" i="5" a="1"/>
  <c r="M646" i="5" a="1"/>
  <c r="B621" i="5" a="1"/>
  <c r="H782" i="5" a="1"/>
  <c r="H818" i="5" a="1"/>
  <c r="B711" i="5" a="1"/>
  <c r="B746" i="5" a="1"/>
  <c r="L754" i="5" a="1"/>
  <c r="H763" i="5" a="1"/>
  <c r="H474" i="5" a="1"/>
  <c r="L771" i="5" a="1"/>
  <c r="L807" i="5" a="1"/>
  <c r="H743" i="5" a="1"/>
  <c r="J792" i="5" a="1"/>
  <c r="J828" i="5" a="1"/>
  <c r="B835" i="5" a="1"/>
  <c r="E873" i="5" a="1"/>
  <c r="E909" i="5" a="1"/>
  <c r="N786" i="5" a="1"/>
  <c r="K804" i="5" a="1"/>
  <c r="J864" i="5" a="1"/>
  <c r="J900" i="5" a="1"/>
  <c r="J936" i="5" a="1"/>
  <c r="H777" i="5" a="1"/>
  <c r="H717" i="5" a="1"/>
  <c r="I653" i="5" a="1"/>
  <c r="I849" i="5" a="1"/>
  <c r="I885" i="5" a="1"/>
  <c r="J775" i="5" a="1"/>
  <c r="L758" i="5" a="1"/>
  <c r="L178" i="5" a="1"/>
  <c r="M376" i="5" a="1"/>
  <c r="K370" i="5" a="1"/>
  <c r="J377" i="5" a="1"/>
  <c r="B470" i="5" a="1"/>
  <c r="N383" i="5" a="1"/>
  <c r="E427" i="5" a="1"/>
  <c r="N447" i="5" a="1"/>
  <c r="H534" i="5" a="1"/>
  <c r="L477" i="5" a="1"/>
  <c r="E482" i="5" a="1"/>
  <c r="N526" i="5" a="1"/>
  <c r="J423" i="5" a="1"/>
  <c r="L511" i="5" a="1"/>
  <c r="L466" i="5" a="1"/>
  <c r="J461" i="5" a="1"/>
  <c r="J443" i="5" a="1"/>
  <c r="N432" i="5" a="1"/>
  <c r="I491" i="5" a="1"/>
  <c r="I572" i="5" a="1"/>
  <c r="N511" i="5" a="1"/>
  <c r="L528" i="5" a="1"/>
  <c r="H594" i="5" a="1"/>
  <c r="E483" i="5" a="1"/>
  <c r="N545" i="5" a="1"/>
  <c r="J558" i="5" a="1"/>
  <c r="K607" i="5" a="1"/>
  <c r="N503" i="5" a="1"/>
  <c r="K570" i="5" a="1"/>
  <c r="H490" i="5" a="1"/>
  <c r="K527" i="5" a="1"/>
  <c r="E588" i="5" a="1"/>
  <c r="N472" i="5" a="1"/>
  <c r="I531" i="5" a="1"/>
  <c r="E489" i="5" a="1"/>
  <c r="J565" i="5" a="1"/>
  <c r="I649" i="5" a="1"/>
  <c r="B525" i="5" a="1"/>
  <c r="J625" i="5" a="1"/>
  <c r="K539" i="5" a="1"/>
  <c r="L605" i="5" a="1"/>
  <c r="N554" i="5" a="1"/>
  <c r="J647" i="5" a="1"/>
  <c r="B629" i="5" a="1"/>
  <c r="K623" i="5" a="1"/>
  <c r="J480" i="5" a="1"/>
  <c r="L589" i="5" a="1"/>
  <c r="B608" i="5" a="1"/>
  <c r="N580" i="5" a="1"/>
  <c r="H548" i="5" a="1"/>
  <c r="M507" i="5" a="1"/>
  <c r="J610" i="5" a="1"/>
  <c r="M706" i="5" a="1"/>
  <c r="K752" i="5" a="1"/>
  <c r="B757" i="5" a="1"/>
  <c r="N667" i="5" a="1"/>
  <c r="M705" i="5" a="1"/>
  <c r="M741" i="5" a="1"/>
  <c r="N637" i="5" a="1"/>
  <c r="N632" i="5" a="1"/>
  <c r="H699" i="5" a="1"/>
  <c r="B560" i="5" a="1"/>
  <c r="B695" i="5" a="1"/>
  <c r="K677" i="5" a="1"/>
  <c r="K713" i="5" a="1"/>
  <c r="I261" i="5" a="1"/>
  <c r="K304" i="5" a="1"/>
  <c r="I204" i="5" a="1"/>
  <c r="H338" i="5" a="1"/>
  <c r="M430" i="5" a="1"/>
  <c r="E386" i="5" a="1"/>
  <c r="H429" i="5" a="1"/>
  <c r="I422" i="5" a="1"/>
  <c r="I535" i="5" a="1"/>
  <c r="M478" i="5" a="1"/>
  <c r="H484" i="5" a="1"/>
  <c r="I533" i="5" a="1"/>
  <c r="I439" i="5" a="1"/>
  <c r="M512" i="5" a="1"/>
  <c r="L475" i="5" a="1"/>
  <c r="E463" i="5" a="1"/>
  <c r="I445" i="5" a="1"/>
  <c r="N435" i="5" a="1"/>
  <c r="L494" i="5" a="1"/>
  <c r="J573" i="5" a="1"/>
  <c r="N521" i="5" a="1"/>
  <c r="J530" i="5" a="1"/>
  <c r="I595" i="5" a="1"/>
  <c r="L486" i="5" a="1"/>
  <c r="B589" i="5" a="1"/>
  <c r="K559" i="5" a="1"/>
  <c r="L608" i="5" a="1"/>
  <c r="J505" i="5" a="1"/>
  <c r="N573" i="5" a="1"/>
  <c r="I507" i="5" a="1"/>
  <c r="I529" i="5" a="1"/>
  <c r="H590" i="5" a="1"/>
  <c r="E477" i="5" a="1"/>
  <c r="N532" i="5" a="1"/>
  <c r="J492" i="5" a="1"/>
  <c r="I576" i="5" a="1"/>
  <c r="J650" i="5" a="1"/>
  <c r="N533" i="5" a="1"/>
  <c r="K626" i="5" a="1"/>
  <c r="B542" i="5" a="1"/>
  <c r="K614" i="5" a="1"/>
  <c r="M565" i="5" a="1"/>
  <c r="K648" i="5" a="1"/>
  <c r="B641" i="5" a="1"/>
  <c r="L624" i="5" a="1"/>
  <c r="H521" i="5" a="1"/>
  <c r="L609" i="5" a="1"/>
  <c r="B610" i="5" a="1"/>
  <c r="H588" i="5" a="1"/>
  <c r="H550" i="5" a="1"/>
  <c r="M535" i="5" a="1"/>
  <c r="M619" i="5" a="1"/>
  <c r="N707" i="5" a="1"/>
  <c r="L753" i="5" a="1"/>
  <c r="K552" i="5" a="1"/>
  <c r="N670" i="5" a="1"/>
  <c r="N706" i="5" a="1"/>
  <c r="N742" i="5" a="1"/>
  <c r="H639" i="5" a="1"/>
  <c r="E641" i="5" a="1"/>
  <c r="I700" i="5" a="1"/>
  <c r="K590" i="5" a="1"/>
  <c r="B707" i="5" a="1"/>
  <c r="L678" i="5" a="1"/>
  <c r="J262" i="5" a="1"/>
  <c r="E310" i="5" a="1"/>
  <c r="H214" i="5" a="1"/>
  <c r="I339" i="5" a="1"/>
  <c r="N431" i="5" a="1"/>
  <c r="J392" i="5" a="1"/>
  <c r="I430" i="5" a="1"/>
  <c r="B426" i="5" a="1"/>
  <c r="J536" i="5" a="1"/>
  <c r="N479" i="5" a="1"/>
  <c r="I485" i="5" a="1"/>
  <c r="J534" i="5" a="1"/>
  <c r="E443" i="5" a="1"/>
  <c r="N513" i="5" a="1"/>
  <c r="B479" i="5" a="1"/>
  <c r="B467" i="5" a="1"/>
  <c r="M450" i="5" a="1"/>
  <c r="J421" i="5" a="1"/>
  <c r="B498" i="5" a="1"/>
  <c r="N577" i="5" a="1"/>
  <c r="M523" i="5" a="1"/>
  <c r="J535" i="5" a="1"/>
  <c r="J596" i="5" a="1"/>
  <c r="N494" i="5" a="1"/>
  <c r="K412" i="5" a="1"/>
  <c r="L560" i="5" a="1"/>
  <c r="M609" i="5" a="1"/>
  <c r="E507" i="5" a="1"/>
  <c r="E577" i="5" a="1"/>
  <c r="N508" i="5" a="1"/>
  <c r="N530" i="5" a="1"/>
  <c r="I591" i="5" a="1"/>
  <c r="H485" i="5" a="1"/>
  <c r="N456" i="5" a="1"/>
  <c r="H494" i="5" a="1"/>
  <c r="N579" i="5" a="1"/>
  <c r="N654" i="5" a="1"/>
  <c r="K536" i="5" a="1"/>
  <c r="L627" i="5" a="1"/>
  <c r="I547" i="5" a="1"/>
  <c r="N539" i="5" a="1"/>
  <c r="K587" i="5" a="1"/>
  <c r="L649" i="5" a="1"/>
  <c r="B653" i="5" a="1"/>
  <c r="M625" i="5" a="1"/>
  <c r="J531" i="5" a="1"/>
  <c r="J611" i="5" a="1"/>
  <c r="N487" i="5" a="1"/>
  <c r="B590" i="5" a="1"/>
  <c r="M553" i="5" a="1"/>
  <c r="H538" i="5" a="1"/>
  <c r="B623" i="5" a="1"/>
  <c r="E711" i="5" a="1"/>
  <c r="M754" i="5" a="1"/>
  <c r="N559" i="5" a="1"/>
  <c r="E674" i="5" a="1"/>
  <c r="E710" i="5" a="1"/>
  <c r="E746" i="5" a="1"/>
  <c r="J642" i="5" a="1"/>
  <c r="B649" i="5" a="1"/>
  <c r="J701" i="5" a="1"/>
  <c r="E596" i="5" a="1"/>
  <c r="B719" i="5" a="1"/>
  <c r="M679" i="5" a="1"/>
  <c r="E212" i="5" a="1"/>
  <c r="E368" i="5" a="1"/>
  <c r="B257" i="5" a="1"/>
  <c r="J340" i="5" a="1"/>
  <c r="E435" i="5" a="1"/>
  <c r="B441" i="5" a="1"/>
  <c r="I191" i="5" a="1"/>
  <c r="J433" i="5" a="1"/>
  <c r="K537" i="5" a="1"/>
  <c r="B359" i="5" a="1"/>
  <c r="J486" i="5" a="1"/>
  <c r="K535" i="5" a="1"/>
  <c r="M455" i="5" a="1"/>
  <c r="E517" i="5" a="1"/>
  <c r="B527" i="5" a="1"/>
  <c r="J470" i="5" a="1"/>
  <c r="M452" i="5" a="1"/>
  <c r="B442" i="5" a="1"/>
  <c r="K506" i="5" a="1"/>
  <c r="I584" i="5" a="1"/>
  <c r="M533" i="5" a="1"/>
  <c r="E539" i="5" a="1"/>
  <c r="K597" i="5" a="1"/>
  <c r="B502" i="5" a="1"/>
  <c r="K481" i="5" a="1"/>
  <c r="M561" i="5" a="1"/>
  <c r="N610" i="5" a="1"/>
  <c r="L510" i="5" a="1"/>
  <c r="H579" i="5" a="1"/>
  <c r="E514" i="5" a="1"/>
  <c r="B538" i="5" a="1"/>
  <c r="M595" i="5" a="1"/>
  <c r="H492" i="5" a="1"/>
  <c r="H480" i="5" a="1"/>
  <c r="E499" i="5" a="1"/>
  <c r="H585" i="5" a="1"/>
  <c r="I661" i="5" a="1"/>
  <c r="M541" i="5" a="1"/>
  <c r="M628" i="5" a="1"/>
  <c r="H549" i="5" a="1"/>
  <c r="B545" i="5" a="1"/>
  <c r="J589" i="5" a="1"/>
  <c r="M650" i="5" a="1"/>
  <c r="B665" i="5" a="1"/>
  <c r="N626" i="5" a="1"/>
  <c r="N542" i="5" a="1"/>
  <c r="I613" i="5" a="1"/>
  <c r="J511" i="5" a="1"/>
  <c r="L593" i="5" a="1"/>
  <c r="L564" i="5" a="1"/>
  <c r="L566" i="5" a="1"/>
  <c r="L632" i="5" a="1"/>
  <c r="H713" i="5" a="1"/>
  <c r="H761" i="5" a="1"/>
  <c r="B578" i="5" a="1"/>
  <c r="H676" i="5" a="1"/>
  <c r="H712" i="5" a="1"/>
  <c r="H748" i="5" a="1"/>
  <c r="L645" i="5" a="1"/>
  <c r="L653" i="5" a="1"/>
  <c r="K702" i="5" a="1"/>
  <c r="B607" i="5" a="1"/>
  <c r="B731" i="5" a="1"/>
  <c r="N680" i="5" a="1"/>
  <c r="K218" i="5" a="1"/>
  <c r="H370" i="5" a="1"/>
  <c r="N348" i="5" a="1"/>
  <c r="H246" i="5" a="1"/>
  <c r="E307" i="5" a="1"/>
  <c r="B465" i="5" a="1"/>
  <c r="I451" i="5" a="1"/>
  <c r="H446" i="5" a="1"/>
  <c r="L538" i="5" a="1"/>
  <c r="L430" i="5" a="1"/>
  <c r="K487" i="5" a="1"/>
  <c r="L536" i="5" a="1"/>
  <c r="I459" i="5" a="1"/>
  <c r="J521" i="5" a="1"/>
  <c r="L399" i="5" a="1"/>
  <c r="I472" i="5" a="1"/>
  <c r="H456" i="5" a="1"/>
  <c r="E453" i="5" a="1"/>
  <c r="H513" i="5" a="1"/>
  <c r="J585" i="5" a="1"/>
  <c r="N543" i="5" a="1"/>
  <c r="K540" i="5" a="1"/>
  <c r="L598" i="5" a="1"/>
  <c r="J503" i="5" a="1"/>
  <c r="M486" i="5" a="1"/>
  <c r="N562" i="5" a="1"/>
  <c r="I479" i="5" a="1"/>
  <c r="K515" i="5" a="1"/>
  <c r="I580" i="5" a="1"/>
  <c r="M520" i="5" a="1"/>
  <c r="M542" i="5" a="1"/>
  <c r="H602" i="5" a="1"/>
  <c r="M493" i="5" a="1"/>
  <c r="H482" i="5" a="1"/>
  <c r="I504" i="5" a="1"/>
  <c r="H587" i="5" a="1"/>
  <c r="J662" i="5" a="1"/>
  <c r="N544" i="5" a="1"/>
  <c r="N629" i="5" a="1"/>
  <c r="H551" i="5" a="1"/>
  <c r="N547" i="5" a="1"/>
  <c r="I600" i="5" a="1"/>
  <c r="N651" i="5" a="1"/>
  <c r="I516" i="5" a="1"/>
  <c r="E630" i="5" a="1"/>
  <c r="H545" i="5" a="1"/>
  <c r="N614" i="5" a="1"/>
  <c r="M526" i="5" a="1"/>
  <c r="I469" i="5" a="1"/>
  <c r="K566" i="5" a="1"/>
  <c r="E570" i="5" a="1"/>
  <c r="B647" i="5" a="1"/>
  <c r="I714" i="5" a="1"/>
  <c r="I762" i="5" a="1"/>
  <c r="I590" i="5" a="1"/>
  <c r="I677" i="5" a="1"/>
  <c r="I713" i="5" a="1"/>
  <c r="I749" i="5" a="1"/>
  <c r="E647" i="5" a="1"/>
  <c r="I655" i="5" a="1"/>
  <c r="L703" i="5" a="1"/>
  <c r="I615" i="5" a="1"/>
  <c r="B743" i="5" a="1"/>
  <c r="E684" i="5" a="1"/>
  <c r="E180" i="5" a="1"/>
  <c r="B390" i="5" a="1"/>
  <c r="E352" i="5" a="1"/>
  <c r="H259" i="5" a="1"/>
  <c r="B337" i="5" a="1"/>
  <c r="L206" i="5" a="1"/>
  <c r="E455" i="5" a="1"/>
  <c r="K471" i="5" a="1"/>
  <c r="E544" i="5" a="1"/>
  <c r="J446" i="5" a="1"/>
  <c r="L488" i="5" a="1"/>
  <c r="M537" i="5" a="1"/>
  <c r="H470" i="5" a="1"/>
  <c r="K522" i="5" a="1"/>
  <c r="I410" i="5" a="1"/>
  <c r="M475" i="5" a="1"/>
  <c r="I463" i="5" a="1"/>
  <c r="K484" i="5" a="1"/>
  <c r="L516" i="5" a="1"/>
  <c r="K586" i="5" a="1"/>
  <c r="L545" i="5" a="1"/>
  <c r="L550" i="5" a="1"/>
  <c r="M599" i="5" a="1"/>
  <c r="H505" i="5" a="1"/>
  <c r="N491" i="5" a="1"/>
  <c r="I569" i="5" a="1"/>
  <c r="I495" i="5" a="1"/>
  <c r="I517" i="5" a="1"/>
  <c r="J581" i="5" a="1"/>
  <c r="I522" i="5" a="1"/>
  <c r="M547" i="5" a="1"/>
  <c r="I603" i="5" a="1"/>
  <c r="N500" i="5" a="1"/>
  <c r="E487" i="5" a="1"/>
  <c r="H509" i="5" a="1"/>
  <c r="L592" i="5" a="1"/>
  <c r="K663" i="5" a="1"/>
  <c r="L554" i="5" a="1"/>
  <c r="J637" i="5" a="1"/>
  <c r="L556" i="5" a="1"/>
  <c r="I549" i="5" a="1"/>
  <c r="N603" i="5" a="1"/>
  <c r="I658" i="5" a="1"/>
  <c r="B548" i="5" a="1"/>
  <c r="H632" i="5" a="1"/>
  <c r="K551" i="5" a="1"/>
  <c r="K480" i="5" a="1"/>
  <c r="I543" i="5" a="1"/>
  <c r="L555" i="5" a="1"/>
  <c r="K575" i="5" a="1"/>
  <c r="E572" i="5" a="1"/>
  <c r="M667" i="5" a="1"/>
  <c r="J715" i="5" a="1"/>
  <c r="J763" i="5" a="1"/>
  <c r="B596" i="5" a="1"/>
  <c r="J678" i="5" a="1"/>
  <c r="J714" i="5" a="1"/>
  <c r="J750" i="5" a="1"/>
  <c r="I650" i="5" a="1"/>
  <c r="N656" i="5" a="1"/>
  <c r="M704" i="5" a="1"/>
  <c r="K618" i="5" a="1"/>
  <c r="B755" i="5" a="1"/>
  <c r="H686" i="5" a="1"/>
  <c r="H722" i="5" a="1"/>
  <c r="H758" i="5" a="1"/>
  <c r="L647" i="5" a="1"/>
  <c r="J644" i="5" a="1"/>
  <c r="J699" i="5" a="1"/>
  <c r="J735" i="5" a="1"/>
  <c r="I561" i="5" a="1"/>
  <c r="H574" i="5" a="1"/>
  <c r="M677" i="5" a="1"/>
  <c r="M713" i="5" a="1"/>
  <c r="M749" i="5" a="1"/>
  <c r="E651" i="5" a="1"/>
  <c r="M655" i="5" a="1"/>
  <c r="L699" i="5" a="1"/>
  <c r="E616" i="5" a="1"/>
  <c r="B624" i="5" a="1"/>
  <c r="I683" i="5" a="1"/>
  <c r="I719" i="5" a="1"/>
  <c r="N185" i="5" a="1"/>
  <c r="N186" i="5" a="1"/>
  <c r="K357" i="5" a="1"/>
  <c r="E292" i="5" a="1"/>
  <c r="K387" i="5" a="1"/>
  <c r="B349" i="5" a="1"/>
  <c r="M467" i="5" a="1"/>
  <c r="B475" i="5" a="1"/>
  <c r="H546" i="5" a="1"/>
  <c r="I448" i="5" a="1"/>
  <c r="M489" i="5" a="1"/>
  <c r="N538" i="5" a="1"/>
  <c r="M473" i="5" a="1"/>
  <c r="L523" i="5" a="1"/>
  <c r="M414" i="5" a="1"/>
  <c r="B478" i="5" a="1"/>
  <c r="M400" i="5" a="1"/>
  <c r="J496" i="5" a="1"/>
  <c r="J518" i="5" a="1"/>
  <c r="L587" i="5" a="1"/>
  <c r="B579" i="5" a="1"/>
  <c r="E556" i="5" a="1"/>
  <c r="N600" i="5" a="1"/>
  <c r="M506" i="5" a="1"/>
  <c r="J493" i="5" a="1"/>
  <c r="J570" i="5" a="1"/>
  <c r="N496" i="5" a="1"/>
  <c r="N518" i="5" a="1"/>
  <c r="K582" i="5" a="1"/>
  <c r="E524" i="5" a="1"/>
  <c r="N548" i="5" a="1"/>
  <c r="J604" i="5" a="1"/>
  <c r="L505" i="5" a="1"/>
  <c r="M505" i="5" a="1"/>
  <c r="H516" i="5" a="1"/>
  <c r="K603" i="5" a="1"/>
  <c r="L664" i="5" a="1"/>
  <c r="E562" i="5" a="1"/>
  <c r="M640" i="5" a="1"/>
  <c r="K567" i="5" a="1"/>
  <c r="I551" i="5" a="1"/>
  <c r="M605" i="5" a="1"/>
  <c r="J659" i="5" a="1"/>
  <c r="B550" i="5" a="1"/>
  <c r="I633" i="5" a="1"/>
  <c r="J553" i="5" a="1"/>
  <c r="I494" i="5" a="1"/>
  <c r="K555" i="5" a="1"/>
  <c r="H557" i="5" a="1"/>
  <c r="J577" i="5" a="1"/>
  <c r="H458" i="5" a="1"/>
  <c r="M670" i="5" a="1"/>
  <c r="K716" i="5" a="1"/>
  <c r="K764" i="5" a="1"/>
  <c r="N606" i="5" a="1"/>
  <c r="K679" i="5" a="1"/>
  <c r="K715" i="5" a="1"/>
  <c r="K751" i="5" a="1"/>
  <c r="K658" i="5" a="1"/>
  <c r="E665" i="5" a="1"/>
  <c r="N705" i="5" a="1"/>
  <c r="E620" i="5" a="1"/>
  <c r="L497" i="5" a="1"/>
  <c r="I687" i="5" a="1"/>
  <c r="I723" i="5" a="1"/>
  <c r="I759" i="5" a="1"/>
  <c r="E649" i="5" a="1"/>
  <c r="B651" i="5" a="1"/>
  <c r="K700" i="5" a="1"/>
  <c r="K736" i="5" a="1"/>
  <c r="B598" i="5" a="1"/>
  <c r="M579" i="5" a="1"/>
  <c r="N678" i="5" a="1"/>
  <c r="N714" i="5" a="1"/>
  <c r="N750" i="5" a="1"/>
  <c r="K652" i="5" a="1"/>
  <c r="J212" i="5" a="1"/>
  <c r="I471" i="5" a="1"/>
  <c r="I475" i="5" a="1"/>
  <c r="L533" i="5" a="1"/>
  <c r="K609" i="5" a="1"/>
  <c r="M530" i="5" a="1"/>
  <c r="L606" i="5" a="1"/>
  <c r="I614" i="5" a="1"/>
  <c r="N590" i="5" a="1"/>
  <c r="N558" i="5" a="1"/>
  <c r="N578" i="5" a="1"/>
  <c r="E675" i="5" a="1"/>
  <c r="M681" i="5" a="1"/>
  <c r="H675" i="5" a="1"/>
  <c r="K689" i="5" a="1"/>
  <c r="J760" i="5" a="1"/>
  <c r="B730" i="5" a="1"/>
  <c r="E707" i="5" a="1"/>
  <c r="I514" i="5" a="1"/>
  <c r="M639" i="5" a="1"/>
  <c r="E718" i="5" a="1"/>
  <c r="J612" i="5" a="1"/>
  <c r="H671" i="5" a="1"/>
  <c r="E729" i="5" a="1"/>
  <c r="K641" i="5" a="1"/>
  <c r="L710" i="5" a="1"/>
  <c r="I662" i="5" a="1"/>
  <c r="L684" i="5" a="1"/>
  <c r="H653" i="5" a="1"/>
  <c r="E713" i="5" a="1"/>
  <c r="K778" i="5" a="1"/>
  <c r="J825" i="5" a="1"/>
  <c r="B819" i="5" a="1"/>
  <c r="N792" i="5" a="1"/>
  <c r="M839" i="5" a="1"/>
  <c r="L765" i="5" a="1"/>
  <c r="N507" i="5" a="1"/>
  <c r="I785" i="5" a="1"/>
  <c r="K835" i="5" a="1"/>
  <c r="M630" i="5" a="1"/>
  <c r="K786" i="5" a="1"/>
  <c r="I832" i="5" a="1"/>
  <c r="B631" i="5" a="1"/>
  <c r="E792" i="5" a="1"/>
  <c r="M835" i="5" a="1"/>
  <c r="E676" i="5" a="1"/>
  <c r="N759" i="5" a="1"/>
  <c r="E551" i="5" a="1"/>
  <c r="B738" i="5" a="1"/>
  <c r="J805" i="5" a="1"/>
  <c r="L751" i="5" a="1"/>
  <c r="I803" i="5" a="1"/>
  <c r="M756" i="5" a="1"/>
  <c r="E861" i="5" a="1"/>
  <c r="M904" i="5" a="1"/>
  <c r="J802" i="5" a="1"/>
  <c r="M838" i="5" a="1"/>
  <c r="M879" i="5" a="1"/>
  <c r="J924" i="5" a="1"/>
  <c r="E594" i="5" a="1"/>
  <c r="L763" i="5" a="1"/>
  <c r="B764" i="5" a="1"/>
  <c r="J862" i="5" a="1"/>
  <c r="L900" i="5" a="1"/>
  <c r="B880" i="5" a="1"/>
  <c r="N841" i="5" a="1"/>
  <c r="N877" i="5" a="1"/>
  <c r="N913" i="5" a="1"/>
  <c r="I753" i="5" a="1"/>
  <c r="K720" i="5" a="1"/>
  <c r="L850" i="5" a="1"/>
  <c r="L886" i="5" a="1"/>
  <c r="L922" i="5" a="1"/>
  <c r="B842" i="5" a="1"/>
  <c r="J847" i="5" a="1"/>
  <c r="B841" i="5" a="1"/>
  <c r="E854" i="5" a="1"/>
  <c r="L659" i="5" a="1"/>
  <c r="H854" i="5" a="1"/>
  <c r="B750" i="5" a="1"/>
  <c r="N834" i="5" a="1"/>
  <c r="M942" i="5" a="1"/>
  <c r="M978" i="5" a="1"/>
  <c r="M1014" i="5" a="1"/>
  <c r="N659" i="5" a="1"/>
  <c r="B993" i="5" a="1"/>
  <c r="K940" i="5" a="1"/>
  <c r="L976" i="5" a="1"/>
  <c r="L1012" i="5" a="1"/>
  <c r="L1048" i="5" a="1"/>
  <c r="L937" i="5" a="1"/>
  <c r="J934" i="5" a="1"/>
  <c r="E887" i="5" a="1"/>
  <c r="B860" i="5" a="1"/>
  <c r="E956" i="5" a="1"/>
  <c r="E992" i="5" a="1"/>
  <c r="E1028" i="5" a="1"/>
  <c r="I915" i="5" a="1"/>
  <c r="K836" i="5" a="1"/>
  <c r="N934" i="5" a="1"/>
  <c r="L973" i="5" a="1"/>
  <c r="L1009" i="5" a="1"/>
  <c r="L1045" i="5" a="1"/>
  <c r="B953" i="5" a="1"/>
  <c r="K903" i="5" a="1"/>
  <c r="N962" i="5" a="1"/>
  <c r="N998" i="5" a="1"/>
  <c r="N1034" i="5" a="1"/>
  <c r="M908" i="5" a="1"/>
  <c r="I891" i="5" a="1"/>
  <c r="L857" i="5" a="1"/>
  <c r="L832" i="5" a="1"/>
  <c r="E952" i="5" a="1"/>
  <c r="L925" i="5" a="1"/>
  <c r="B932" i="5" a="1"/>
  <c r="L969" i="5" a="1"/>
  <c r="L882" i="5" a="1"/>
  <c r="L956" i="5" a="1"/>
  <c r="L992" i="5" a="1"/>
  <c r="J1009" i="5" a="1"/>
  <c r="M1067" i="5" a="1"/>
  <c r="M1103" i="5" a="1"/>
  <c r="M1139" i="5" a="1"/>
  <c r="M1175" i="5" a="1"/>
  <c r="J1028" i="5" a="1"/>
  <c r="B970" i="5" a="1"/>
  <c r="H1061" i="5" a="1"/>
  <c r="H1097" i="5" a="1"/>
  <c r="H1133" i="5" a="1"/>
  <c r="H1169" i="5" a="1"/>
  <c r="J993" i="5" a="1"/>
  <c r="I968" i="5" a="1"/>
  <c r="K1063" i="5" a="1"/>
  <c r="M223" i="5" a="1"/>
  <c r="B508" i="5" a="1"/>
  <c r="M476" i="5" a="1"/>
  <c r="J447" i="5" a="1"/>
  <c r="L610" i="5" a="1"/>
  <c r="B536" i="5" a="1"/>
  <c r="M607" i="5" a="1"/>
  <c r="N618" i="5" a="1"/>
  <c r="H598" i="5" a="1"/>
  <c r="K560" i="5" a="1"/>
  <c r="M582" i="5" a="1"/>
  <c r="H677" i="5" a="1"/>
  <c r="N682" i="5" a="1"/>
  <c r="I676" i="5" a="1"/>
  <c r="L690" i="5" a="1"/>
  <c r="K761" i="5" a="1"/>
  <c r="H617" i="5" a="1"/>
  <c r="I710" i="5" a="1"/>
  <c r="J538" i="5" a="1"/>
  <c r="I641" i="5" a="1"/>
  <c r="H720" i="5" a="1"/>
  <c r="J633" i="5" a="1"/>
  <c r="I672" i="5" a="1"/>
  <c r="M502" i="5" a="1"/>
  <c r="H643" i="5" a="1"/>
  <c r="M711" i="5" a="1"/>
  <c r="B678" i="5" a="1"/>
  <c r="M685" i="5" a="1"/>
  <c r="J656" i="5" a="1"/>
  <c r="H715" i="5" a="1"/>
  <c r="L779" i="5" a="1"/>
  <c r="K826" i="5" a="1"/>
  <c r="B686" i="5" a="1"/>
  <c r="E796" i="5" a="1"/>
  <c r="M613" i="5" a="1"/>
  <c r="N767" i="5" a="1"/>
  <c r="L588" i="5" a="1"/>
  <c r="J786" i="5" a="1"/>
  <c r="M837" i="5" a="1"/>
  <c r="N635" i="5" a="1"/>
  <c r="M788" i="5" a="1"/>
  <c r="J833" i="5" a="1"/>
  <c r="B637" i="5" a="1"/>
  <c r="H794" i="5" a="1"/>
  <c r="N836" i="5" a="1"/>
  <c r="L742" i="5" a="1"/>
  <c r="J761" i="5" a="1"/>
  <c r="H565" i="5" a="1"/>
  <c r="I741" i="5" a="1"/>
  <c r="K806" i="5" a="1"/>
  <c r="K758" i="5" a="1"/>
  <c r="J804" i="5" a="1"/>
  <c r="M770" i="5" a="1"/>
  <c r="H863" i="5" a="1"/>
  <c r="N905" i="5" a="1"/>
  <c r="H816" i="5" a="1"/>
  <c r="J840" i="5" a="1"/>
  <c r="E884" i="5" a="1"/>
  <c r="K925" i="5" a="1"/>
  <c r="J664" i="5" a="1"/>
  <c r="K767" i="5" a="1"/>
  <c r="I777" i="5" a="1"/>
  <c r="K863" i="5" a="1"/>
  <c r="N902" i="5" a="1"/>
  <c r="B892" i="5" a="1"/>
  <c r="E845" i="5" a="1"/>
  <c r="E881" i="5" a="1"/>
  <c r="E917" i="5" a="1"/>
  <c r="E764" i="5" a="1"/>
  <c r="N746" i="5" a="1"/>
  <c r="M851" i="5" a="1"/>
  <c r="M887" i="5" a="1"/>
  <c r="M923" i="5" a="1"/>
  <c r="B854" i="5" a="1"/>
  <c r="K848" i="5" a="1"/>
  <c r="B853" i="5" a="1"/>
  <c r="H856" i="5" a="1"/>
  <c r="B713" i="5" a="1"/>
  <c r="I855" i="5" a="1"/>
  <c r="I755" i="5" a="1"/>
  <c r="N847" i="5" a="1"/>
  <c r="N943" i="5" a="1"/>
  <c r="N979" i="5" a="1"/>
  <c r="N1015" i="5" a="1"/>
  <c r="K731" i="5" a="1"/>
  <c r="B1005" i="5" a="1"/>
  <c r="M941" i="5" a="1"/>
  <c r="M977" i="5" a="1"/>
  <c r="M1013" i="5" a="1"/>
  <c r="M1049" i="5" a="1"/>
  <c r="H939" i="5" a="1"/>
  <c r="E936" i="5" a="1"/>
  <c r="J894" i="5" a="1"/>
  <c r="M862" i="5" a="1"/>
  <c r="H958" i="5" a="1"/>
  <c r="H994" i="5" a="1"/>
  <c r="H1030" i="5" a="1"/>
  <c r="L918" i="5" a="1"/>
  <c r="I841" i="5" a="1"/>
  <c r="H936" i="5" a="1"/>
  <c r="M974" i="5" a="1"/>
  <c r="M1010" i="5" a="1"/>
  <c r="M1046" i="5" a="1"/>
  <c r="B965" i="5" a="1"/>
  <c r="I905" i="5" a="1"/>
  <c r="E966" i="5" a="1"/>
  <c r="E1002" i="5" a="1"/>
  <c r="E1038" i="5" a="1"/>
  <c r="I910" i="5" a="1"/>
  <c r="H893" i="5" a="1"/>
  <c r="E863" i="5" a="1"/>
  <c r="B861" i="5" a="1"/>
  <c r="H738" i="5" a="1"/>
  <c r="J930" i="5" a="1"/>
  <c r="M933" i="5" a="1"/>
  <c r="M970" i="5" a="1"/>
  <c r="E888" i="5" a="1"/>
  <c r="M957" i="5" a="1"/>
  <c r="M273" i="5" a="1"/>
  <c r="H453" i="5" a="1"/>
  <c r="N477" i="5" a="1"/>
  <c r="J523" i="5" a="1"/>
  <c r="K508" i="5" a="1"/>
  <c r="L537" i="5" a="1"/>
  <c r="N608" i="5" a="1"/>
  <c r="I625" i="5" a="1"/>
  <c r="M601" i="5" a="1"/>
  <c r="I562" i="5" a="1"/>
  <c r="L600" i="5" a="1"/>
  <c r="I678" i="5" a="1"/>
  <c r="E686" i="5" a="1"/>
  <c r="J677" i="5" a="1"/>
  <c r="M691" i="5" a="1"/>
  <c r="L762" i="5" a="1"/>
  <c r="J620" i="5" a="1"/>
  <c r="J711" i="5" a="1"/>
  <c r="J554" i="5" a="1"/>
  <c r="K644" i="5" a="1"/>
  <c r="I721" i="5" a="1"/>
  <c r="M636" i="5" a="1"/>
  <c r="K674" i="5" a="1"/>
  <c r="N568" i="5" a="1"/>
  <c r="H646" i="5" a="1"/>
  <c r="N712" i="5" a="1"/>
  <c r="B690" i="5" a="1"/>
  <c r="L696" i="5" a="1"/>
  <c r="B663" i="5" a="1"/>
  <c r="I716" i="5" a="1"/>
  <c r="M780" i="5" a="1"/>
  <c r="M828" i="5" a="1"/>
  <c r="H690" i="5" a="1"/>
  <c r="H798" i="5" a="1"/>
  <c r="J624" i="5" a="1"/>
  <c r="E771" i="5" a="1"/>
  <c r="K630" i="5" a="1"/>
  <c r="K787" i="5" a="1"/>
  <c r="N838" i="5" a="1"/>
  <c r="L641" i="5" a="1"/>
  <c r="N789" i="5" a="1"/>
  <c r="N837" i="5" a="1"/>
  <c r="N646" i="5" a="1"/>
  <c r="I795" i="5" a="1"/>
  <c r="E840" i="5" a="1"/>
  <c r="J744" i="5" a="1"/>
  <c r="B765" i="5" a="1"/>
  <c r="B594" i="5" a="1"/>
  <c r="L744" i="5" a="1"/>
  <c r="M808" i="5" a="1"/>
  <c r="B762" i="5" a="1"/>
  <c r="K805" i="5" a="1"/>
  <c r="N774" i="5" a="1"/>
  <c r="I864" i="5" a="1"/>
  <c r="H911" i="5" a="1"/>
  <c r="B820" i="5" a="1"/>
  <c r="K841" i="5" a="1"/>
  <c r="H886" i="5" a="1"/>
  <c r="L926" i="5" a="1"/>
  <c r="H781" i="5" a="1"/>
  <c r="E783" i="5" a="1"/>
  <c r="J779" i="5" a="1"/>
  <c r="L864" i="5" a="1"/>
  <c r="E906" i="5" a="1"/>
  <c r="B904" i="5" a="1"/>
  <c r="H847" i="5" a="1"/>
  <c r="H883" i="5" a="1"/>
  <c r="H919" i="5" a="1"/>
  <c r="N775" i="5" a="1"/>
  <c r="J753" i="5" a="1"/>
  <c r="E278" i="5" a="1"/>
  <c r="E457" i="5" a="1"/>
  <c r="E481" i="5" a="1"/>
  <c r="E527" i="5" a="1"/>
  <c r="B512" i="5" a="1"/>
  <c r="E553" i="5" a="1"/>
  <c r="B482" i="5" a="1"/>
  <c r="M629" i="5" a="1"/>
  <c r="M509" i="5" a="1"/>
  <c r="E586" i="5" a="1"/>
  <c r="I506" i="5" a="1"/>
  <c r="M682" i="5" a="1"/>
  <c r="K691" i="5" a="1"/>
  <c r="N681" i="5" a="1"/>
  <c r="I699" i="5" a="1"/>
  <c r="M763" i="5" a="1"/>
  <c r="B627" i="5" a="1"/>
  <c r="K712" i="5" a="1"/>
  <c r="J603" i="5" a="1"/>
  <c r="B646" i="5" a="1"/>
  <c r="J722" i="5" a="1"/>
  <c r="B643" i="5" a="1"/>
  <c r="L675" i="5" a="1"/>
  <c r="E587" i="5" a="1"/>
  <c r="B648" i="5" a="1"/>
  <c r="E716" i="5" a="1"/>
  <c r="B714" i="5" a="1"/>
  <c r="M697" i="5" a="1"/>
  <c r="K667" i="5" a="1"/>
  <c r="J717" i="5" a="1"/>
  <c r="N781" i="5" a="1"/>
  <c r="N829" i="5" a="1"/>
  <c r="I694" i="5" a="1"/>
  <c r="I799" i="5" a="1"/>
  <c r="I640" i="5" a="1"/>
  <c r="H773" i="5" a="1"/>
  <c r="M635" i="5" a="1"/>
  <c r="L788" i="5" a="1"/>
  <c r="L630" i="5" a="1"/>
  <c r="L646" i="5" a="1"/>
  <c r="E793" i="5" a="1"/>
  <c r="I563" i="5" a="1"/>
  <c r="B676" i="5" a="1"/>
  <c r="J796" i="5" a="1"/>
  <c r="E491" i="5" a="1"/>
  <c r="N747" i="5" a="1"/>
  <c r="H533" i="5" a="1"/>
  <c r="K616" i="5" a="1"/>
  <c r="B760" i="5" a="1"/>
  <c r="N809" i="5" a="1"/>
  <c r="H766" i="5" a="1"/>
  <c r="L806" i="5" a="1"/>
  <c r="E779" i="5" a="1"/>
  <c r="L867" i="5" a="1"/>
  <c r="I912" i="5" a="1"/>
  <c r="E826" i="5" a="1"/>
  <c r="L842" i="5" a="1"/>
  <c r="I887" i="5" a="1"/>
  <c r="E932" i="5" a="1"/>
  <c r="B785" i="5" a="1"/>
  <c r="E787" i="5" a="1"/>
  <c r="I781" i="5" a="1"/>
  <c r="N866" i="5" a="1"/>
  <c r="H908" i="5" a="1"/>
  <c r="B916" i="5" a="1"/>
  <c r="I848" i="5" a="1"/>
  <c r="I884" i="5" a="1"/>
  <c r="I920" i="5" a="1"/>
  <c r="L777" i="5" a="1"/>
  <c r="M758" i="5" a="1"/>
  <c r="H345" i="5" a="1"/>
  <c r="H498" i="5" a="1"/>
  <c r="M524" i="5" a="1"/>
  <c r="J540" i="5" a="1"/>
  <c r="B522" i="5" a="1"/>
  <c r="K558" i="5" a="1"/>
  <c r="B487" i="5" a="1"/>
  <c r="E634" i="5" a="1"/>
  <c r="J578" i="5" a="1"/>
  <c r="B597" i="5" a="1"/>
  <c r="B535" i="5" a="1"/>
  <c r="I690" i="5" a="1"/>
  <c r="M693" i="5" a="1"/>
  <c r="H687" i="5" a="1"/>
  <c r="K701" i="5" a="1"/>
  <c r="I554" i="5" a="1"/>
  <c r="K631" i="5" a="1"/>
  <c r="L713" i="5" a="1"/>
  <c r="I612" i="5" a="1"/>
  <c r="H672" i="5" a="1"/>
  <c r="L724" i="5" a="1"/>
  <c r="N647" i="5" a="1"/>
  <c r="M676" i="5" a="1"/>
  <c r="M604" i="5" a="1"/>
  <c r="K649" i="5" a="1"/>
  <c r="H718" i="5" a="1"/>
  <c r="B726" i="5" a="1"/>
  <c r="N698" i="5" a="1"/>
  <c r="K670" i="5" a="1"/>
  <c r="K718" i="5" a="1"/>
  <c r="E785" i="5" a="1"/>
  <c r="E833" i="5" a="1"/>
  <c r="K733" i="5" a="1"/>
  <c r="J800" i="5" a="1"/>
  <c r="E679" i="5" a="1"/>
  <c r="I774" i="5" a="1"/>
  <c r="K640" i="5" a="1"/>
  <c r="M789" i="5" a="1"/>
  <c r="J651" i="5" a="1"/>
  <c r="N675" i="5" a="1"/>
  <c r="H795" i="5" a="1"/>
  <c r="M651" i="5" a="1"/>
  <c r="N687" i="5" a="1"/>
  <c r="K797" i="5" a="1"/>
  <c r="L577" i="5" a="1"/>
  <c r="J749" i="5" a="1"/>
  <c r="N593" i="5" a="1"/>
  <c r="E648" i="5" a="1"/>
  <c r="I763" i="5" a="1"/>
  <c r="E813" i="5" a="1"/>
  <c r="I767" i="5" a="1"/>
  <c r="M807" i="5" a="1"/>
  <c r="M782" i="5" a="1"/>
  <c r="M868" i="5" a="1"/>
  <c r="J913" i="5" a="1"/>
  <c r="N827" i="5" a="1"/>
  <c r="M843" i="5" a="1"/>
  <c r="J888" i="5" a="1"/>
  <c r="H934" i="5" a="1"/>
  <c r="N798" i="5" a="1"/>
  <c r="N794" i="5" a="1"/>
  <c r="B799" i="5" a="1"/>
  <c r="E870" i="5" a="1"/>
  <c r="I909" i="5" a="1"/>
  <c r="B928" i="5" a="1"/>
  <c r="J849" i="5" a="1"/>
  <c r="J885" i="5" a="1"/>
  <c r="J921" i="5" a="1"/>
  <c r="K783" i="5" a="1"/>
  <c r="K768" i="5" a="1"/>
  <c r="I346" i="5" a="1"/>
  <c r="I499" i="5" a="1"/>
  <c r="N525" i="5" a="1"/>
  <c r="I548" i="5" a="1"/>
  <c r="K530" i="5" a="1"/>
  <c r="E589" i="5" a="1"/>
  <c r="E516" i="5" a="1"/>
  <c r="M665" i="5" a="1"/>
  <c r="H553" i="5" a="1"/>
  <c r="J634" i="5" a="1"/>
  <c r="E559" i="5" a="1"/>
  <c r="L717" i="5" a="1"/>
  <c r="L716" i="5" a="1"/>
  <c r="E709" i="5" a="1"/>
  <c r="L714" i="5" a="1"/>
  <c r="E574" i="5" a="1"/>
  <c r="H641" i="5" a="1"/>
  <c r="M714" i="5" a="1"/>
  <c r="M618" i="5" a="1"/>
  <c r="I673" i="5" a="1"/>
  <c r="M725" i="5" a="1"/>
  <c r="H649" i="5" a="1"/>
  <c r="N677" i="5" a="1"/>
  <c r="I630" i="5" a="1"/>
  <c r="N652" i="5" a="1"/>
  <c r="J720" i="5" a="1"/>
  <c r="K519" i="5" a="1"/>
  <c r="E702" i="5" a="1"/>
  <c r="L671" i="5" a="1"/>
  <c r="J729" i="5" a="1"/>
  <c r="H787" i="5" a="1"/>
  <c r="H835" i="5" a="1"/>
  <c r="K738" i="5" a="1"/>
  <c r="K801" i="5" a="1"/>
  <c r="K717" i="5" a="1"/>
  <c r="K588" i="5" a="1"/>
  <c r="I651" i="5" a="1"/>
  <c r="N790" i="5" a="1"/>
  <c r="K656" i="5" a="1"/>
  <c r="L706" i="5" a="1"/>
  <c r="I796" i="5" a="1"/>
  <c r="M671" i="5" a="1"/>
  <c r="L718" i="5" a="1"/>
  <c r="M799" i="5" a="1"/>
  <c r="H616" i="5" a="1"/>
  <c r="N764" i="5" a="1"/>
  <c r="I606" i="5" a="1"/>
  <c r="B677" i="5" a="1"/>
  <c r="J769" i="5" a="1"/>
  <c r="H815" i="5" a="1"/>
  <c r="J768" i="5" a="1"/>
  <c r="E812" i="5" a="1"/>
  <c r="K796" i="5" a="1"/>
  <c r="N869" i="5" a="1"/>
  <c r="K914" i="5" a="1"/>
  <c r="B847" i="5" a="1"/>
  <c r="E848" i="5" a="1"/>
  <c r="K889" i="5" a="1"/>
  <c r="I935" i="5" a="1"/>
  <c r="M802" i="5" a="1"/>
  <c r="B801" i="5" a="1"/>
  <c r="E803" i="5" a="1"/>
  <c r="H872" i="5" a="1"/>
  <c r="J910" i="5" a="1"/>
  <c r="B940" i="5" a="1"/>
  <c r="K850" i="5" a="1"/>
  <c r="K886" i="5" a="1"/>
  <c r="K922" i="5" a="1"/>
  <c r="I789" i="5" a="1"/>
  <c r="B772" i="5" a="1"/>
  <c r="J347" i="5" a="1"/>
  <c r="J500" i="5" a="1"/>
  <c r="E529" i="5" a="1"/>
  <c r="E557" i="5" a="1"/>
  <c r="L435" i="5" a="1"/>
  <c r="J593" i="5" a="1"/>
  <c r="K517" i="5" a="1"/>
  <c r="N666" i="5" a="1"/>
  <c r="E571" i="5" a="1"/>
  <c r="M637" i="5" a="1"/>
  <c r="E561" i="5" a="1"/>
  <c r="M718" i="5" a="1"/>
  <c r="M717" i="5" a="1"/>
  <c r="H711" i="5" a="1"/>
  <c r="M715" i="5" a="1"/>
  <c r="L590" i="5" a="1"/>
  <c r="K655" i="5" a="1"/>
  <c r="N715" i="5" a="1"/>
  <c r="M623" i="5" a="1"/>
  <c r="J674" i="5" a="1"/>
  <c r="N726" i="5" a="1"/>
  <c r="H654" i="5" a="1"/>
  <c r="E681" i="5" a="1"/>
  <c r="K633" i="5" a="1"/>
  <c r="N655" i="5" a="1"/>
  <c r="K721" i="5" a="1"/>
  <c r="J563" i="5" a="1"/>
  <c r="H704" i="5" a="1"/>
  <c r="N673" i="5" a="1"/>
  <c r="K541" i="5" a="1"/>
  <c r="I788" i="5" a="1"/>
  <c r="I836" i="5" a="1"/>
  <c r="L743" i="5" a="1"/>
  <c r="M803" i="5" a="1"/>
  <c r="K745" i="5" a="1"/>
  <c r="I601" i="5" a="1"/>
  <c r="M698" i="5" a="1"/>
  <c r="K799" i="5" a="1"/>
  <c r="H661" i="5" a="1"/>
  <c r="B722" i="5" a="1"/>
  <c r="J797" i="5" a="1"/>
  <c r="I691" i="5" a="1"/>
  <c r="M722" i="5" a="1"/>
  <c r="N800" i="5" a="1"/>
  <c r="I703" i="5" a="1"/>
  <c r="E767" i="5" a="1"/>
  <c r="J621" i="5" a="1"/>
  <c r="M707" i="5" a="1"/>
  <c r="K770" i="5" a="1"/>
  <c r="I816" i="5" a="1"/>
  <c r="K769" i="5" a="1"/>
  <c r="H814" i="5" a="1"/>
  <c r="I798" i="5" a="1"/>
  <c r="H875" i="5" a="1"/>
  <c r="L915" i="5" a="1"/>
  <c r="B859" i="5" a="1"/>
  <c r="H850" i="5" a="1"/>
  <c r="L890" i="5" a="1"/>
  <c r="K937" i="5" a="1"/>
  <c r="L804" i="5" a="1"/>
  <c r="L808" i="5" a="1"/>
  <c r="K820" i="5" a="1"/>
  <c r="I873" i="5" a="1"/>
  <c r="K911" i="5" a="1"/>
  <c r="E629" i="5" a="1"/>
  <c r="L851" i="5" a="1"/>
  <c r="L887" i="5" a="1"/>
  <c r="L923" i="5" a="1"/>
  <c r="J791" i="5" a="1"/>
  <c r="B778" i="5" a="1"/>
  <c r="K261" i="5" a="1"/>
  <c r="K501" i="5" a="1"/>
  <c r="K534" i="5" a="1"/>
  <c r="M588" i="5" a="1"/>
  <c r="N484" i="5" a="1"/>
  <c r="K594" i="5" a="1"/>
  <c r="M522" i="5" a="1"/>
  <c r="E670" i="5" a="1"/>
  <c r="B582" i="5" a="1"/>
  <c r="N638" i="5" a="1"/>
  <c r="E563" i="5" a="1"/>
  <c r="H725" i="5" a="1"/>
  <c r="N718" i="5" a="1"/>
  <c r="I712" i="5" a="1"/>
  <c r="N716" i="5" a="1"/>
  <c r="I597" i="5" a="1"/>
  <c r="H665" i="5" a="1"/>
  <c r="M726" i="5" a="1"/>
  <c r="N634" i="5" a="1"/>
  <c r="K675" i="5" a="1"/>
  <c r="E730" i="5" a="1"/>
  <c r="J657" i="5" a="1"/>
  <c r="H683" i="5" a="1"/>
  <c r="N636" i="5" a="1"/>
  <c r="K665" i="5" a="1"/>
  <c r="L722" i="5" a="1"/>
  <c r="L581" i="5" a="1"/>
  <c r="I705" i="5" a="1"/>
  <c r="E677" i="5" a="1"/>
  <c r="N557" i="5" a="1"/>
  <c r="J789" i="5" a="1"/>
  <c r="J837" i="5" a="1"/>
  <c r="B747" i="5" a="1"/>
  <c r="N804" i="5" a="1"/>
  <c r="L755" i="5" a="1"/>
  <c r="L619" i="5" a="1"/>
  <c r="B710" i="5" a="1"/>
  <c r="M801" i="5" a="1"/>
  <c r="I667" i="5" a="1"/>
  <c r="H726" i="5" a="1"/>
  <c r="N801" i="5" a="1"/>
  <c r="J695" i="5" a="1"/>
  <c r="E741" i="5" a="1"/>
  <c r="E804" i="5" a="1"/>
  <c r="J707" i="5" a="1"/>
  <c r="H769" i="5" a="1"/>
  <c r="H642" i="5" a="1"/>
  <c r="I727" i="5" a="1"/>
  <c r="M772" i="5" a="1"/>
  <c r="J817" i="5" a="1"/>
  <c r="L770" i="5" a="1"/>
  <c r="I815" i="5" a="1"/>
  <c r="B822" i="5" a="1"/>
  <c r="I876" i="5" a="1"/>
  <c r="M916" i="5" a="1"/>
  <c r="B871" i="5" a="1"/>
  <c r="I851" i="5" a="1"/>
  <c r="E896" i="5" a="1"/>
  <c r="L938" i="5" a="1"/>
  <c r="J814" i="5" a="1"/>
  <c r="M810" i="5" a="1"/>
  <c r="I822" i="5" a="1"/>
  <c r="J874" i="5" a="1"/>
  <c r="L912" i="5" a="1"/>
  <c r="L665" i="5" a="1"/>
  <c r="M852" i="5" a="1"/>
  <c r="M888" i="5" a="1"/>
  <c r="M924" i="5" a="1"/>
  <c r="I793" i="5" a="1"/>
  <c r="L781" i="5" a="1"/>
  <c r="K861" i="5" a="1"/>
  <c r="K897" i="5" a="1"/>
  <c r="K933" i="5" a="1"/>
  <c r="B776" i="5" a="1"/>
  <c r="I858" i="5" a="1"/>
  <c r="B782" i="5" a="1"/>
  <c r="I748" i="5" a="1"/>
  <c r="B798" i="5" a="1"/>
  <c r="E864" i="5" a="1"/>
  <c r="E802" i="5" a="1"/>
  <c r="E883" i="5" a="1"/>
  <c r="L953" i="5" a="1"/>
  <c r="L989" i="5" a="1"/>
  <c r="L1025" i="5" a="1"/>
  <c r="B870" i="5" a="1"/>
  <c r="E798" i="5" a="1"/>
  <c r="K951" i="5" a="1"/>
  <c r="K987" i="5" a="1"/>
  <c r="K1023" i="5" a="1"/>
  <c r="B848" i="5" a="1"/>
  <c r="I862" i="5" a="1"/>
  <c r="I948" i="5" a="1"/>
  <c r="J931" i="5" a="1"/>
  <c r="L892" i="5" a="1"/>
  <c r="N964" i="5" a="1"/>
  <c r="N1000" i="5" a="1"/>
  <c r="N1036" i="5" a="1"/>
  <c r="J939" i="5" a="1"/>
  <c r="I874" i="5" a="1"/>
  <c r="K948" i="5" a="1"/>
  <c r="K984" i="5" a="1"/>
  <c r="K1020" i="5" a="1"/>
  <c r="M866" i="5" a="1"/>
  <c r="B1037" i="5" a="1"/>
  <c r="E927" i="5" a="1"/>
  <c r="M973" i="5" a="1"/>
  <c r="M1009" i="5" a="1"/>
  <c r="M1045" i="5" a="1"/>
  <c r="M931" i="5" a="1"/>
  <c r="L920" i="5" a="1"/>
  <c r="H900" i="5" a="1"/>
  <c r="N898" i="5" a="1"/>
  <c r="M857" i="5" a="1"/>
  <c r="N795" i="5" a="1"/>
  <c r="K944" i="5" a="1"/>
  <c r="K980" i="5" a="1"/>
  <c r="B911" i="5" a="1"/>
  <c r="K967" i="5" a="1"/>
  <c r="K1003" i="5" a="1"/>
  <c r="E1037" i="5" a="1"/>
  <c r="L1078" i="5" a="1"/>
  <c r="L1114" i="5" a="1"/>
  <c r="L1150" i="5" a="1"/>
  <c r="M886" i="5" a="1"/>
  <c r="B1082" i="5" a="1"/>
  <c r="N1009" i="5" a="1"/>
  <c r="E1071" i="5" a="1"/>
  <c r="E1107" i="5" a="1"/>
  <c r="E1143" i="5" a="1"/>
  <c r="E1179" i="5" a="1"/>
  <c r="H1025" i="5" a="1"/>
  <c r="B1008" i="5" a="1"/>
  <c r="J1074" i="5" a="1"/>
  <c r="I309" i="5" a="1"/>
  <c r="M436" i="5" a="1"/>
  <c r="H419" i="5" a="1"/>
  <c r="N589" i="5" a="1"/>
  <c r="E495" i="5" a="1"/>
  <c r="L595" i="5" a="1"/>
  <c r="N527" i="5" a="1"/>
  <c r="M485" i="5" a="1"/>
  <c r="B584" i="5" a="1"/>
  <c r="E642" i="5" a="1"/>
  <c r="B570" i="5" a="1"/>
  <c r="I726" i="5" a="1"/>
  <c r="E722" i="5" a="1"/>
  <c r="J713" i="5" a="1"/>
  <c r="E720" i="5" a="1"/>
  <c r="E603" i="5" a="1"/>
  <c r="J668" i="5" a="1"/>
  <c r="N727" i="5" a="1"/>
  <c r="E638" i="5" a="1"/>
  <c r="L676" i="5" a="1"/>
  <c r="H732" i="5" a="1"/>
  <c r="M660" i="5" a="1"/>
  <c r="E693" i="5" a="1"/>
  <c r="H638" i="5" a="1"/>
  <c r="L674" i="5" a="1"/>
  <c r="M723" i="5" a="1"/>
  <c r="J588" i="5" a="1"/>
  <c r="J706" i="5" a="1"/>
  <c r="H679" i="5" a="1"/>
  <c r="K599" i="5" a="1"/>
  <c r="K790" i="5" a="1"/>
  <c r="E650" i="5" a="1"/>
  <c r="H752" i="5" a="1"/>
  <c r="E808" i="5" a="1"/>
  <c r="B759" i="5" a="1"/>
  <c r="L635" i="5" a="1"/>
  <c r="H714" i="5" a="1"/>
  <c r="N802" i="5" a="1"/>
  <c r="I679" i="5" a="1"/>
  <c r="N733" i="5" a="1"/>
  <c r="E805" i="5" a="1"/>
  <c r="B699" i="5" a="1"/>
  <c r="K742" i="5" a="1"/>
  <c r="H806" i="5" a="1"/>
  <c r="E727" i="5" a="1"/>
  <c r="I770" i="5" a="1"/>
  <c r="B658" i="5" a="1"/>
  <c r="L730" i="5" a="1"/>
  <c r="N773" i="5" a="1"/>
  <c r="K818" i="5" a="1"/>
  <c r="M771" i="5" a="1"/>
  <c r="J816" i="5" a="1"/>
  <c r="B824" i="5" a="1"/>
  <c r="J877" i="5" a="1"/>
  <c r="N917" i="5" a="1"/>
  <c r="B883" i="5" a="1"/>
  <c r="J852" i="5" a="1"/>
  <c r="H898" i="5" a="1"/>
  <c r="H664" i="5" a="1"/>
  <c r="M829" i="5" a="1"/>
  <c r="K812" i="5" a="1"/>
  <c r="I826" i="5" a="1"/>
  <c r="K875" i="5" a="1"/>
  <c r="M913" i="5" a="1"/>
  <c r="M719" i="5" a="1"/>
  <c r="N853" i="5" a="1"/>
  <c r="N889" i="5" a="1"/>
  <c r="N925" i="5" a="1"/>
  <c r="B811" i="5" a="1"/>
  <c r="L785" i="5" a="1"/>
  <c r="L862" i="5" a="1"/>
  <c r="L898" i="5" a="1"/>
  <c r="L934" i="5" a="1"/>
  <c r="M781" i="5" a="1"/>
  <c r="J859" i="5" a="1"/>
  <c r="N791" i="5" a="1"/>
  <c r="E760" i="5" a="1"/>
  <c r="B800" i="5" a="1"/>
  <c r="H866" i="5" a="1"/>
  <c r="N807" i="5" a="1"/>
  <c r="K888" i="5" a="1"/>
  <c r="M954" i="5" a="1"/>
  <c r="M990" i="5" a="1"/>
  <c r="M1026" i="5" a="1"/>
  <c r="N873" i="5" a="1"/>
  <c r="I829" i="5" a="1"/>
  <c r="L952" i="5" a="1"/>
  <c r="L988" i="5" a="1"/>
  <c r="L1024" i="5" a="1"/>
  <c r="N859" i="5" a="1"/>
  <c r="H864" i="5" a="1"/>
  <c r="J949" i="5" a="1"/>
  <c r="B938" i="5" a="1"/>
  <c r="B900" i="5" a="1"/>
  <c r="E968" i="5" a="1"/>
  <c r="E1004" i="5" a="1"/>
  <c r="E1040" i="5" a="1"/>
  <c r="N940" i="5" a="1"/>
  <c r="H876" i="5" a="1"/>
  <c r="L949" i="5" a="1"/>
  <c r="L985" i="5" a="1"/>
  <c r="L1021" i="5" a="1"/>
  <c r="L868" i="5" a="1"/>
  <c r="B1049" i="5" a="1"/>
  <c r="B941" i="5" a="1"/>
  <c r="N974" i="5" a="1"/>
  <c r="N1010" i="5" a="1"/>
  <c r="N1046" i="5" a="1"/>
  <c r="H933" i="5" a="1"/>
  <c r="E922" i="5" a="1"/>
  <c r="N903" i="5" a="1"/>
  <c r="K905" i="5" a="1"/>
  <c r="H865" i="5" a="1"/>
  <c r="I838" i="5" a="1"/>
  <c r="L945" i="5" a="1"/>
  <c r="L981" i="5" a="1"/>
  <c r="I914" i="5" a="1"/>
  <c r="L968" i="5" a="1"/>
  <c r="L1004" i="5" a="1"/>
  <c r="K1038" i="5" a="1"/>
  <c r="M1079" i="5" a="1"/>
  <c r="M1115" i="5" a="1"/>
  <c r="M1151" i="5" a="1"/>
  <c r="B899" i="5" a="1"/>
  <c r="B1094" i="5" a="1"/>
  <c r="I1011" i="5" a="1"/>
  <c r="H1073" i="5" a="1"/>
  <c r="H1109" i="5" a="1"/>
  <c r="H1145" i="5" a="1"/>
  <c r="H1181" i="5" a="1"/>
  <c r="K1028" i="5" a="1"/>
  <c r="I1013" i="5" a="1"/>
  <c r="K1075" i="5" a="1"/>
  <c r="B312" i="5" a="1"/>
  <c r="B439" i="5" a="1"/>
  <c r="L423" i="5" a="1"/>
  <c r="E593" i="5" a="1"/>
  <c r="L498" i="5" a="1"/>
  <c r="H603" i="5" a="1"/>
  <c r="K485" i="5" a="1"/>
  <c r="B569" i="5" a="1"/>
  <c r="K596" i="5" a="1"/>
  <c r="N650" i="5" a="1"/>
  <c r="N582" i="5" a="1"/>
  <c r="M730" i="5" a="1"/>
  <c r="K727" i="5" a="1"/>
  <c r="N717" i="5" a="1"/>
  <c r="J724" i="5" a="1"/>
  <c r="H612" i="5" a="1"/>
  <c r="E671" i="5" a="1"/>
  <c r="E731" i="5" a="1"/>
  <c r="M642" i="5" a="1"/>
  <c r="E682" i="5" a="1"/>
  <c r="I733" i="5" a="1"/>
  <c r="B667" i="5" a="1"/>
  <c r="H695" i="5" a="1"/>
  <c r="E640" i="5" a="1"/>
  <c r="M675" i="5" a="1"/>
  <c r="N724" i="5" a="1"/>
  <c r="J643" i="5" a="1"/>
  <c r="K707" i="5" a="1"/>
  <c r="I680" i="5" a="1"/>
  <c r="E624" i="5" a="1"/>
  <c r="M792" i="5" a="1"/>
  <c r="B655" i="5" a="1"/>
  <c r="J757" i="5" a="1"/>
  <c r="H810" i="5" a="1"/>
  <c r="H764" i="5" a="1"/>
  <c r="J645" i="5" a="1"/>
  <c r="I718" i="5" a="1"/>
  <c r="E806" i="5" a="1"/>
  <c r="J683" i="5" a="1"/>
  <c r="E739" i="5" a="1"/>
  <c r="I808" i="5" a="1"/>
  <c r="E715" i="5" a="1"/>
  <c r="I744" i="5" a="1"/>
  <c r="I807" i="5" a="1"/>
  <c r="J730" i="5" a="1"/>
  <c r="J771" i="5" a="1"/>
  <c r="N668" i="5" a="1"/>
  <c r="L732" i="5" a="1"/>
  <c r="E777" i="5" a="1"/>
  <c r="L819" i="5" a="1"/>
  <c r="E776" i="5" a="1"/>
  <c r="K817" i="5" a="1"/>
  <c r="J831" i="5" a="1"/>
  <c r="K878" i="5" a="1"/>
  <c r="E921" i="5" a="1"/>
  <c r="B907" i="5" a="1"/>
  <c r="K853" i="5" a="1"/>
  <c r="I899" i="5" a="1"/>
  <c r="L685" i="5" a="1"/>
  <c r="L831" i="5" a="1"/>
  <c r="J818" i="5" a="1"/>
  <c r="H828" i="5" a="1"/>
  <c r="L876" i="5" a="1"/>
  <c r="N914" i="5" a="1"/>
  <c r="M746" i="5" a="1"/>
  <c r="E857" i="5" a="1"/>
  <c r="E893" i="5" a="1"/>
  <c r="E929" i="5" a="1"/>
  <c r="E815" i="5" a="1"/>
  <c r="J787" i="5" a="1"/>
  <c r="M863" i="5" a="1"/>
  <c r="M899" i="5" a="1"/>
  <c r="M935" i="5" a="1"/>
  <c r="M785" i="5" a="1"/>
  <c r="I518" i="5" a="1"/>
  <c r="K803" i="5" a="1"/>
  <c r="I765" i="5" a="1"/>
  <c r="M805" i="5" a="1"/>
  <c r="I867" i="5" a="1"/>
  <c r="B814" i="5" a="1"/>
  <c r="N895" i="5" a="1"/>
  <c r="N955" i="5" a="1"/>
  <c r="N991" i="5" a="1"/>
  <c r="N1027" i="5" a="1"/>
  <c r="B878" i="5" a="1"/>
  <c r="J883" i="5" a="1"/>
  <c r="M953" i="5" a="1"/>
  <c r="M989" i="5" a="1"/>
  <c r="M1025" i="5" a="1"/>
  <c r="H868" i="5" a="1"/>
  <c r="I866" i="5" a="1"/>
  <c r="K950" i="5" a="1"/>
  <c r="I939" i="5" a="1"/>
  <c r="I903" i="5" a="1"/>
  <c r="H970" i="5" a="1"/>
  <c r="H1006" i="5" a="1"/>
  <c r="H1042" i="5" a="1"/>
  <c r="B942" i="5" a="1"/>
  <c r="I878" i="5" a="1"/>
  <c r="M950" i="5" a="1"/>
  <c r="M986" i="5" a="1"/>
  <c r="M1022" i="5" a="1"/>
  <c r="K870" i="5" a="1"/>
  <c r="M648" i="5" a="1"/>
  <c r="E942" i="5" a="1"/>
  <c r="E978" i="5" a="1"/>
  <c r="E1014" i="5" a="1"/>
  <c r="E1050" i="5" a="1"/>
  <c r="B935" i="5" a="1"/>
  <c r="I925" i="5" a="1"/>
  <c r="E907" i="5" a="1"/>
  <c r="H912" i="5" a="1"/>
  <c r="H867" i="5" a="1"/>
  <c r="I854" i="5" a="1"/>
  <c r="M946" i="5" a="1"/>
  <c r="M982" i="5" a="1"/>
  <c r="M922" i="5" a="1"/>
  <c r="M969" i="5" a="1"/>
  <c r="M1005" i="5" a="1"/>
  <c r="I1040" i="5" a="1"/>
  <c r="N1080" i="5" a="1"/>
  <c r="N1116" i="5" a="1"/>
  <c r="N1152" i="5" a="1"/>
  <c r="N945" i="5" a="1"/>
  <c r="B1106" i="5" a="1"/>
  <c r="H1013" i="5" a="1"/>
  <c r="I1074" i="5" a="1"/>
  <c r="J317" i="5" a="1"/>
  <c r="L442" i="5" a="1"/>
  <c r="N427" i="5" a="1"/>
  <c r="H595" i="5" a="1"/>
  <c r="K503" i="5" a="1"/>
  <c r="J605" i="5" a="1"/>
  <c r="J490" i="5" a="1"/>
  <c r="M590" i="5" a="1"/>
  <c r="B618" i="5" a="1"/>
  <c r="J658" i="5" a="1"/>
  <c r="E606" i="5" a="1"/>
  <c r="I738" i="5" a="1"/>
  <c r="M729" i="5" a="1"/>
  <c r="H723" i="5" a="1"/>
  <c r="K725" i="5" a="1"/>
  <c r="B633" i="5" a="1"/>
  <c r="I674" i="5" a="1"/>
  <c r="H733" i="5" a="1"/>
  <c r="M647" i="5" a="1"/>
  <c r="H684" i="5" a="1"/>
  <c r="H744" i="5" a="1"/>
  <c r="B692" i="5" a="1"/>
  <c r="I696" i="5" a="1"/>
  <c r="K657" i="5" a="1"/>
  <c r="N676" i="5" a="1"/>
  <c r="H730" i="5" a="1"/>
  <c r="B650" i="5" a="1"/>
  <c r="L708" i="5" a="1"/>
  <c r="J681" i="5" a="1"/>
  <c r="B674" i="5" a="1"/>
  <c r="N793" i="5" a="1"/>
  <c r="B661" i="5" a="1"/>
  <c r="N760" i="5" a="1"/>
  <c r="I811" i="5" a="1"/>
  <c r="B770" i="5" a="1"/>
  <c r="H666" i="5" a="1"/>
  <c r="M733" i="5" a="1"/>
  <c r="H808" i="5" a="1"/>
  <c r="B687" i="5" a="1"/>
  <c r="M740" i="5" a="1"/>
  <c r="J809" i="5" a="1"/>
  <c r="I730" i="5" a="1"/>
  <c r="N757" i="5" a="1"/>
  <c r="J808" i="5" a="1"/>
  <c r="J732" i="5" a="1"/>
  <c r="K772" i="5" a="1"/>
  <c r="J680" i="5" a="1"/>
  <c r="K756" i="5" a="1"/>
  <c r="H779" i="5" a="1"/>
  <c r="M820" i="5" a="1"/>
  <c r="H778" i="5" a="1"/>
  <c r="L818" i="5" a="1"/>
  <c r="B837" i="5" a="1"/>
  <c r="L879" i="5" a="1"/>
  <c r="H923" i="5" a="1"/>
  <c r="B919" i="5" a="1"/>
  <c r="L854" i="5" a="1"/>
  <c r="K901" i="5" a="1"/>
  <c r="M734" i="5" a="1"/>
  <c r="E839" i="5" a="1"/>
  <c r="H824" i="5" a="1"/>
  <c r="B830" i="5" a="1"/>
  <c r="M877" i="5" a="1"/>
  <c r="E918" i="5" a="1"/>
  <c r="K779" i="5" a="1"/>
  <c r="H859" i="5" a="1"/>
  <c r="H895" i="5" a="1"/>
  <c r="H931" i="5" a="1"/>
  <c r="M818" i="5" a="1"/>
  <c r="J795" i="5" a="1"/>
  <c r="N864" i="5" a="1"/>
  <c r="N900" i="5" a="1"/>
  <c r="N936" i="5" a="1"/>
  <c r="N787" i="5" a="1"/>
  <c r="M736" i="5" a="1"/>
  <c r="H809" i="5" a="1"/>
  <c r="B773" i="5" a="1"/>
  <c r="M809" i="5" a="1"/>
  <c r="J868" i="5" a="1"/>
  <c r="L817" i="5" a="1"/>
  <c r="M897" i="5" a="1"/>
  <c r="E959" i="5" a="1"/>
  <c r="E995" i="5" a="1"/>
  <c r="E1031" i="5" a="1"/>
  <c r="J881" i="5" a="1"/>
  <c r="B887" i="5" a="1"/>
  <c r="N954" i="5" a="1"/>
  <c r="N990" i="5" a="1"/>
  <c r="N1026" i="5" a="1"/>
  <c r="B872" i="5" a="1"/>
  <c r="E878" i="5" a="1"/>
  <c r="L951" i="5" a="1"/>
  <c r="B943" i="5" a="1"/>
  <c r="L906" i="5" a="1"/>
  <c r="I971" i="5" a="1"/>
  <c r="I1007" i="5" a="1"/>
  <c r="I1043" i="5" a="1"/>
  <c r="B954" i="5" a="1"/>
  <c r="H880" i="5" a="1"/>
  <c r="N951" i="5" a="1"/>
  <c r="N987" i="5" a="1"/>
  <c r="N1023" i="5" a="1"/>
  <c r="N883" i="5" a="1"/>
  <c r="E774" i="5" a="1"/>
  <c r="H944" i="5" a="1"/>
  <c r="H980" i="5" a="1"/>
  <c r="H1016" i="5" a="1"/>
  <c r="E750" i="5" a="1"/>
  <c r="K936" i="5" a="1"/>
  <c r="I933" i="5" a="1"/>
  <c r="N908" i="5" a="1"/>
  <c r="N915" i="5" a="1"/>
  <c r="H869" i="5" a="1"/>
  <c r="E871" i="5" a="1"/>
  <c r="N947" i="5" a="1"/>
  <c r="N983" i="5" a="1"/>
  <c r="J927" i="5" a="1"/>
  <c r="N970" i="5" a="1"/>
  <c r="N1006" i="5" a="1"/>
  <c r="M1043" i="5" a="1"/>
  <c r="E1084" i="5" a="1"/>
  <c r="E1120" i="5" a="1"/>
  <c r="E1156" i="5" a="1"/>
  <c r="I956" i="5" a="1"/>
  <c r="B1118" i="5" a="1"/>
  <c r="K1016" i="5" a="1"/>
  <c r="J1075" i="5" a="1"/>
  <c r="J1111" i="5" a="1"/>
  <c r="J1147" i="5" a="1"/>
  <c r="L673" i="5" a="1"/>
  <c r="J1045" i="5" a="1"/>
  <c r="B1032" i="5" a="1"/>
  <c r="L869" i="5" a="1"/>
  <c r="K332" i="5" a="1"/>
  <c r="N449" i="5" a="1"/>
  <c r="H431" i="5" a="1"/>
  <c r="H607" i="5" a="1"/>
  <c r="I505" i="5" a="1"/>
  <c r="L532" i="5" a="1"/>
  <c r="B521" i="5" a="1"/>
  <c r="N563" i="5" a="1"/>
  <c r="J607" i="5" a="1"/>
  <c r="J571" i="5" a="1"/>
  <c r="I588" i="5" a="1"/>
  <c r="E536" i="5" a="1"/>
  <c r="L752" i="5" a="1"/>
  <c r="M621" i="5" a="1"/>
  <c r="L726" i="5" a="1"/>
  <c r="M634" i="5" a="1"/>
  <c r="J675" i="5" a="1"/>
  <c r="I734" i="5" a="1"/>
  <c r="J652" i="5" a="1"/>
  <c r="I685" i="5" a="1"/>
  <c r="I745" i="5" a="1"/>
  <c r="B704" i="5" a="1"/>
  <c r="J697" i="5" a="1"/>
  <c r="N660" i="5" a="1"/>
  <c r="E680" i="5" a="1"/>
  <c r="I731" i="5" a="1"/>
  <c r="I656" i="5" a="1"/>
  <c r="M709" i="5" a="1"/>
  <c r="K682" i="5" a="1"/>
  <c r="H678" i="5" a="1"/>
  <c r="E797" i="5" a="1"/>
  <c r="K705" i="5" a="1"/>
  <c r="K765" i="5" a="1"/>
  <c r="J812" i="5" a="1"/>
  <c r="H601" i="5" a="1"/>
  <c r="J671" i="5" a="1"/>
  <c r="E737" i="5" a="1"/>
  <c r="I809" i="5" a="1"/>
  <c r="E703" i="5" a="1"/>
  <c r="J742" i="5" a="1"/>
  <c r="K810" i="5" a="1"/>
  <c r="I732" i="5" a="1"/>
  <c r="E763" i="5" a="1"/>
  <c r="N812" i="5" a="1"/>
  <c r="B734" i="5" a="1"/>
  <c r="L773" i="5" a="1"/>
  <c r="K684" i="5" a="1"/>
  <c r="N761" i="5" a="1"/>
  <c r="I780" i="5" a="1"/>
  <c r="N821" i="5" a="1"/>
  <c r="I779" i="5" a="1"/>
  <c r="E824" i="5" a="1"/>
  <c r="I840" i="5" a="1"/>
  <c r="M880" i="5" a="1"/>
  <c r="I924" i="5" a="1"/>
  <c r="B931" i="5" a="1"/>
  <c r="E860" i="5" a="1"/>
  <c r="L902" i="5" a="1"/>
  <c r="E740" i="5" a="1"/>
  <c r="K840" i="5" a="1"/>
  <c r="L833" i="5" a="1"/>
  <c r="H837" i="5" a="1"/>
  <c r="N878" i="5" a="1"/>
  <c r="N771" i="5" a="1"/>
  <c r="H785" i="5" a="1"/>
  <c r="I860" i="5" a="1"/>
  <c r="I896" i="5" a="1"/>
  <c r="I932" i="5" a="1"/>
  <c r="N833" i="5" a="1"/>
  <c r="H801" i="5" a="1"/>
  <c r="E868" i="5" a="1"/>
  <c r="E904" i="5" a="1"/>
  <c r="M654" i="5" a="1"/>
  <c r="L789" i="5" a="1"/>
  <c r="H765" i="5" a="1"/>
  <c r="E819" i="5" a="1"/>
  <c r="B786" i="5" a="1"/>
  <c r="N811" i="5" a="1"/>
  <c r="K869" i="5" a="1"/>
  <c r="L821" i="5" a="1"/>
  <c r="E903" i="5" a="1"/>
  <c r="H961" i="5" a="1"/>
  <c r="H997" i="5" a="1"/>
  <c r="H1033" i="5" a="1"/>
  <c r="B885" i="5" a="1"/>
  <c r="M409" i="5" a="1"/>
  <c r="B450" i="5" a="1"/>
  <c r="N437" i="5" a="1"/>
  <c r="B591" i="5" a="1"/>
  <c r="I527" i="5" a="1"/>
  <c r="E534" i="5" a="1"/>
  <c r="N522" i="5" a="1"/>
  <c r="K565" i="5" a="1"/>
  <c r="H609" i="5" a="1"/>
  <c r="L580" i="5" a="1"/>
  <c r="N591" i="5" a="1"/>
  <c r="I565" i="5" a="1"/>
  <c r="M753" i="5" a="1"/>
  <c r="H628" i="5" a="1"/>
  <c r="M727" i="5" a="1"/>
  <c r="J639" i="5" a="1"/>
  <c r="K676" i="5" a="1"/>
  <c r="L737" i="5" a="1"/>
  <c r="N658" i="5" a="1"/>
  <c r="J686" i="5" a="1"/>
  <c r="J746" i="5" a="1"/>
  <c r="B716" i="5" a="1"/>
  <c r="K698" i="5" a="1"/>
  <c r="H662" i="5" a="1"/>
  <c r="H682" i="5" a="1"/>
  <c r="J541" i="5" a="1"/>
  <c r="I659" i="5" a="1"/>
  <c r="N710" i="5" a="1"/>
  <c r="J693" i="5" a="1"/>
  <c r="I682" i="5" a="1"/>
  <c r="H799" i="5" a="1"/>
  <c r="L709" i="5" a="1"/>
  <c r="M767" i="5" a="1"/>
  <c r="E820" i="5" a="1"/>
  <c r="B614" i="5" a="1"/>
  <c r="E691" i="5" a="1"/>
  <c r="J752" i="5" a="1"/>
  <c r="J810" i="5" a="1"/>
  <c r="M745" i="5" a="1"/>
  <c r="N765" i="5" a="1"/>
  <c r="L811" i="5" a="1"/>
  <c r="M735" i="5" a="1"/>
  <c r="E768" i="5" a="1"/>
  <c r="E816" i="5" a="1"/>
  <c r="N735" i="5" a="1"/>
  <c r="M774" i="5" a="1"/>
  <c r="E688" i="5" a="1"/>
  <c r="H581" i="5" a="1"/>
  <c r="J781" i="5" a="1"/>
  <c r="E825" i="5" a="1"/>
  <c r="J780" i="5" a="1"/>
  <c r="H826" i="5" a="1"/>
  <c r="J841" i="5" a="1"/>
  <c r="N881" i="5" a="1"/>
  <c r="J925" i="5" a="1"/>
  <c r="J716" i="5" a="1"/>
  <c r="H862" i="5" a="1"/>
  <c r="M903" i="5" a="1"/>
  <c r="E745" i="5" a="1"/>
  <c r="L841" i="5" a="1"/>
  <c r="B845" i="5" a="1"/>
  <c r="L840" i="5" a="1"/>
  <c r="E882" i="5" a="1"/>
  <c r="J783" i="5" a="1"/>
  <c r="E795" i="5" a="1"/>
  <c r="J861" i="5" a="1"/>
  <c r="J897" i="5" a="1"/>
  <c r="J933" i="5" a="1"/>
  <c r="N835" i="5" a="1"/>
  <c r="H805" i="5" a="1"/>
  <c r="H870" i="5" a="1"/>
  <c r="H906" i="5" a="1"/>
  <c r="I736" i="5" a="1"/>
  <c r="K795" i="5" a="1"/>
  <c r="E778" i="5" a="1"/>
  <c r="E823" i="5" a="1"/>
  <c r="B788" i="5" a="1"/>
  <c r="L813" i="5" a="1"/>
  <c r="L870" i="5" a="1"/>
  <c r="J823" i="5" a="1"/>
  <c r="K904" i="5" a="1"/>
  <c r="I962" i="5" a="1"/>
  <c r="I998" i="5" a="1"/>
  <c r="I1034" i="5" a="1"/>
  <c r="J890" i="5" a="1"/>
  <c r="H901" i="5" a="1"/>
  <c r="H960" i="5" a="1"/>
  <c r="H996" i="5" a="1"/>
  <c r="H1032" i="5" a="1"/>
  <c r="N879" i="5" a="1"/>
  <c r="K883" i="5" a="1"/>
  <c r="N953" i="5" a="1"/>
  <c r="B967" i="5" a="1"/>
  <c r="E925" i="5" a="1"/>
  <c r="K973" i="5" a="1"/>
  <c r="K1009" i="5" a="1"/>
  <c r="M786" i="5" a="1"/>
  <c r="B978" i="5" a="1"/>
  <c r="M883" i="5" a="1"/>
  <c r="H957" i="5" a="1"/>
  <c r="H993" i="5" a="1"/>
  <c r="H1029" i="5" a="1"/>
  <c r="H889" i="5" a="1"/>
  <c r="L845" i="5" a="1"/>
  <c r="J946" i="5" a="1"/>
  <c r="J982" i="5" a="1"/>
  <c r="J1018" i="5" a="1"/>
  <c r="L825" i="5" a="1"/>
  <c r="B952" i="5" a="1"/>
  <c r="H938" i="5" a="1"/>
  <c r="J917" i="5" a="1"/>
  <c r="M920" i="5" a="1"/>
  <c r="B875" i="5" a="1"/>
  <c r="E886" i="5" a="1"/>
  <c r="H953" i="5" a="1"/>
  <c r="M570" i="5" a="1"/>
  <c r="E937" i="5" a="1"/>
  <c r="H976" i="5" a="1"/>
  <c r="H755" i="5" a="1"/>
  <c r="I1051" i="5" a="1"/>
  <c r="I1087" i="5" a="1"/>
  <c r="I1123" i="5" a="1"/>
  <c r="N410" i="5" a="1"/>
  <c r="J455" i="5" a="1"/>
  <c r="K441" i="5" a="1"/>
  <c r="B603" i="5" a="1"/>
  <c r="K571" i="5" a="1"/>
  <c r="K544" i="5" a="1"/>
  <c r="E528" i="5" a="1"/>
  <c r="B571" i="5" a="1"/>
  <c r="H611" i="5" a="1"/>
  <c r="K591" i="5" a="1"/>
  <c r="H597" i="5" a="1"/>
  <c r="J601" i="5" a="1"/>
  <c r="N754" i="5" a="1"/>
  <c r="L634" i="5" a="1"/>
  <c r="E732" i="5" a="1"/>
  <c r="L642" i="5" a="1"/>
  <c r="L677" i="5" a="1"/>
  <c r="M738" i="5" a="1"/>
  <c r="B729" i="5" a="1"/>
  <c r="L688" i="5" a="1"/>
  <c r="K747" i="5" a="1"/>
  <c r="B728" i="5" a="1"/>
  <c r="M700" i="5" a="1"/>
  <c r="E664" i="5" a="1"/>
  <c r="J684" i="5" a="1"/>
  <c r="E549" i="5" a="1"/>
  <c r="L662" i="5" a="1"/>
  <c r="H716" i="5" a="1"/>
  <c r="K694" i="5" a="1"/>
  <c r="N720" i="5" a="1"/>
  <c r="I800" i="5" a="1"/>
  <c r="H729" i="5" a="1"/>
  <c r="N768" i="5" a="1"/>
  <c r="I823" i="5" a="1"/>
  <c r="M624" i="5" a="1"/>
  <c r="K729" i="5" a="1"/>
  <c r="M765" i="5" a="1"/>
  <c r="K811" i="5" a="1"/>
  <c r="E749" i="5" a="1"/>
  <c r="E769" i="5" a="1"/>
  <c r="M812" i="5" a="1"/>
  <c r="N745" i="5" a="1"/>
  <c r="H770" i="5" a="1"/>
  <c r="I819" i="5" a="1"/>
  <c r="J737" i="5" a="1"/>
  <c r="M550" i="5" a="1"/>
  <c r="B700" i="5" a="1"/>
  <c r="J627" i="5" a="1"/>
  <c r="K782" i="5" a="1"/>
  <c r="M627" i="5" a="1"/>
  <c r="K781" i="5" a="1"/>
  <c r="I827" i="5" a="1"/>
  <c r="K842" i="5" a="1"/>
  <c r="E885" i="5" a="1"/>
  <c r="L927" i="5" a="1"/>
  <c r="N756" i="5" a="1"/>
  <c r="I863" i="5" a="1"/>
  <c r="N904" i="5" a="1"/>
  <c r="B752" i="5" a="1"/>
  <c r="N843" i="5" a="1"/>
  <c r="B857" i="5" a="1"/>
  <c r="N842" i="5" a="1"/>
  <c r="H884" i="5" a="1"/>
  <c r="H789" i="5" a="1"/>
  <c r="E799" i="5" a="1"/>
  <c r="K862" i="5" a="1"/>
  <c r="K898" i="5" a="1"/>
  <c r="K934" i="5" a="1"/>
  <c r="B843" i="5" a="1"/>
  <c r="B809" i="5" a="1"/>
  <c r="E414" i="5" a="1"/>
  <c r="I457" i="5" a="1"/>
  <c r="B447" i="5" a="1"/>
  <c r="B615" i="5" a="1"/>
  <c r="L572" i="5" a="1"/>
  <c r="B551" i="5" a="1"/>
  <c r="K529" i="5" a="1"/>
  <c r="B573" i="5" a="1"/>
  <c r="L614" i="5" a="1"/>
  <c r="M598" i="5" a="1"/>
  <c r="H599" i="5" a="1"/>
  <c r="K621" i="5" a="1"/>
  <c r="E758" i="5" a="1"/>
  <c r="E636" i="5" a="1"/>
  <c r="H734" i="5" a="1"/>
  <c r="N645" i="5" a="1"/>
  <c r="M678" i="5" a="1"/>
  <c r="N739" i="5" a="1"/>
  <c r="B741" i="5" a="1"/>
  <c r="M689" i="5" a="1"/>
  <c r="L748" i="5" a="1"/>
  <c r="J484" i="5" a="1"/>
  <c r="N701" i="5" a="1"/>
  <c r="B679" i="5" a="1"/>
  <c r="K685" i="5" a="1"/>
  <c r="J599" i="5" a="1"/>
  <c r="J667" i="5" a="1"/>
  <c r="I717" i="5" a="1"/>
  <c r="L695" i="5" a="1"/>
  <c r="J733" i="5" a="1"/>
  <c r="J801" i="5" a="1"/>
  <c r="L731" i="5" a="1"/>
  <c r="E772" i="5" a="1"/>
  <c r="J824" i="5" a="1"/>
  <c r="J640" i="5" a="1"/>
  <c r="B732" i="5" a="1"/>
  <c r="N766" i="5" a="1"/>
  <c r="L812" i="5" a="1"/>
  <c r="I754" i="5" a="1"/>
  <c r="I772" i="5" a="1"/>
  <c r="N813" i="5" a="1"/>
  <c r="E751" i="5" a="1"/>
  <c r="I771" i="5" a="1"/>
  <c r="J820" i="5" a="1"/>
  <c r="E753" i="5" a="1"/>
  <c r="E632" i="5" a="1"/>
  <c r="N711" i="5" a="1"/>
  <c r="K632" i="5" a="1"/>
  <c r="L783" i="5" a="1"/>
  <c r="J648" i="5" a="1"/>
  <c r="L782" i="5" a="1"/>
  <c r="K829" i="5" a="1"/>
  <c r="L843" i="5" a="1"/>
  <c r="H887" i="5" a="1"/>
  <c r="M928" i="5" a="1"/>
  <c r="N770" i="5" a="1"/>
  <c r="K865" i="5" a="1"/>
  <c r="E908" i="5" a="1"/>
  <c r="J767" i="5" a="1"/>
  <c r="E847" i="5" a="1"/>
  <c r="B869" i="5" a="1"/>
  <c r="E846" i="5" a="1"/>
  <c r="J886" i="5" a="1"/>
  <c r="H793" i="5" a="1"/>
  <c r="N806" i="5" a="1"/>
  <c r="L863" i="5" a="1"/>
  <c r="L899" i="5" a="1"/>
  <c r="L935" i="5" a="1"/>
  <c r="B855" i="5" a="1"/>
  <c r="N822" i="5" a="1"/>
  <c r="E462" i="5" a="1"/>
  <c r="M462" i="5" a="1"/>
  <c r="M448" i="5" a="1"/>
  <c r="I396" i="5" a="1"/>
  <c r="M573" i="5" a="1"/>
  <c r="B416" i="5" a="1"/>
  <c r="E429" i="5" a="1"/>
  <c r="L603" i="5" a="1"/>
  <c r="K624" i="5" a="1"/>
  <c r="B652" i="5" a="1"/>
  <c r="B523" i="5" a="1"/>
  <c r="N648" i="5" a="1"/>
  <c r="K763" i="5" a="1"/>
  <c r="M645" i="5" a="1"/>
  <c r="I735" i="5" a="1"/>
  <c r="I652" i="5" a="1"/>
  <c r="N679" i="5" a="1"/>
  <c r="E743" i="5" a="1"/>
  <c r="B753" i="5" a="1"/>
  <c r="N690" i="5" a="1"/>
  <c r="E754" i="5" a="1"/>
  <c r="J528" i="5" a="1"/>
  <c r="E705" i="5" a="1"/>
  <c r="B691" i="5" a="1"/>
  <c r="L686" i="5" a="1"/>
  <c r="N604" i="5" a="1"/>
  <c r="J670" i="5" a="1"/>
  <c r="J718" i="5" a="1"/>
  <c r="M696" i="5" a="1"/>
  <c r="N736" i="5" a="1"/>
  <c r="I812" i="5" a="1"/>
  <c r="B735" i="5" a="1"/>
  <c r="H774" i="5" a="1"/>
  <c r="K825" i="5" a="1"/>
  <c r="E656" i="5" a="1"/>
  <c r="H735" i="5" a="1"/>
  <c r="E770" i="5" a="1"/>
  <c r="M813" i="5" a="1"/>
  <c r="B756" i="5" a="1"/>
  <c r="J773" i="5" a="1"/>
  <c r="E817" i="5" a="1"/>
  <c r="J754" i="5" a="1"/>
  <c r="J772" i="5" a="1"/>
  <c r="K821" i="5" a="1"/>
  <c r="K754" i="5" a="1"/>
  <c r="E637" i="5" a="1"/>
  <c r="K744" i="5" a="1"/>
  <c r="H637" i="5" a="1"/>
  <c r="J414" i="5" a="1"/>
  <c r="N490" i="5" a="1"/>
  <c r="J435" i="5" a="1"/>
  <c r="M494" i="5" a="1"/>
  <c r="N574" i="5" a="1"/>
  <c r="B477" i="5" a="1"/>
  <c r="N483" i="5" a="1"/>
  <c r="E607" i="5" a="1"/>
  <c r="M626" i="5" a="1"/>
  <c r="M487" i="5" a="1"/>
  <c r="H552" i="5" a="1"/>
  <c r="E652" i="5" a="1"/>
  <c r="J590" i="5" a="1"/>
  <c r="L658" i="5" a="1"/>
  <c r="J736" i="5" a="1"/>
  <c r="B657" i="5" a="1"/>
  <c r="M690" i="5" a="1"/>
  <c r="I746" i="5" a="1"/>
  <c r="J514" i="5" a="1"/>
  <c r="E694" i="5" a="1"/>
  <c r="H756" i="5" a="1"/>
  <c r="L620" i="5" a="1"/>
  <c r="H707" i="5" a="1"/>
  <c r="L613" i="5" a="1"/>
  <c r="M687" i="5" a="1"/>
  <c r="E635" i="5" a="1"/>
  <c r="K671" i="5" a="1"/>
  <c r="K719" i="5" a="1"/>
  <c r="N697" i="5" a="1"/>
  <c r="H750" i="5" a="1"/>
  <c r="J813" i="5" a="1"/>
  <c r="H740" i="5" a="1"/>
  <c r="I775" i="5" a="1"/>
  <c r="L826" i="5" a="1"/>
  <c r="E661" i="5" a="1"/>
  <c r="B739" i="5" a="1"/>
  <c r="H772" i="5" a="1"/>
  <c r="N814" i="5" a="1"/>
  <c r="H759" i="5" a="1"/>
  <c r="K774" i="5" a="1"/>
  <c r="H819" i="5" a="1"/>
  <c r="L759" i="5" a="1"/>
  <c r="N776" i="5" a="1"/>
  <c r="L822" i="5" a="1"/>
  <c r="I756" i="5" a="1"/>
  <c r="E653" i="5" a="1"/>
  <c r="N749" i="5" a="1"/>
  <c r="I643" i="5" a="1"/>
  <c r="N785" i="5" a="1"/>
  <c r="N684" i="5" a="1"/>
  <c r="H790" i="5" a="1"/>
  <c r="M831" i="5" a="1"/>
  <c r="N845" i="5" a="1"/>
  <c r="J889" i="5" a="1"/>
  <c r="E933" i="5" a="1"/>
  <c r="M798" i="5" a="1"/>
  <c r="M867" i="5" a="1"/>
  <c r="I911" i="5" a="1"/>
  <c r="B787" i="5" a="1"/>
  <c r="I850" i="5" a="1"/>
  <c r="B905" i="5" a="1"/>
  <c r="J850" i="5" a="1"/>
  <c r="L888" i="5" a="1"/>
  <c r="N810" i="5" a="1"/>
  <c r="L820" i="5" a="1"/>
  <c r="N865" i="5" a="1"/>
  <c r="N901" i="5" a="1"/>
  <c r="N937" i="5" a="1"/>
  <c r="B879" i="5" a="1"/>
  <c r="B832" i="5" a="1"/>
  <c r="K415" i="5" a="1"/>
  <c r="I497" i="5" a="1"/>
  <c r="B440" i="5" a="1"/>
  <c r="H558" i="5" a="1"/>
  <c r="I593" i="5" a="1"/>
  <c r="E552" i="5" a="1"/>
  <c r="M517" i="5" a="1"/>
  <c r="N641" i="5" a="1"/>
  <c r="K660" i="5" a="1"/>
  <c r="H506" i="5" a="1"/>
  <c r="H489" i="5" a="1"/>
  <c r="N616" i="5" a="1"/>
  <c r="N661" i="5" a="1"/>
  <c r="N566" i="5" a="1"/>
  <c r="K737" i="5" a="1"/>
  <c r="M658" i="5" a="1"/>
  <c r="N691" i="5" a="1"/>
  <c r="J747" i="5" a="1"/>
  <c r="I528" i="5" a="1"/>
  <c r="H696" i="5" a="1"/>
  <c r="I757" i="5" a="1"/>
  <c r="M631" i="5" a="1"/>
  <c r="I708" i="5" a="1"/>
  <c r="K617" i="5" a="1"/>
  <c r="N688" i="5" a="1"/>
  <c r="I638" i="5" a="1"/>
  <c r="L672" i="5" a="1"/>
  <c r="L720" i="5" a="1"/>
  <c r="E701" i="5" a="1"/>
  <c r="N753" i="5" a="1"/>
  <c r="K814" i="5" a="1"/>
  <c r="J745" i="5" a="1"/>
  <c r="J776" i="5" a="1"/>
  <c r="M827" i="5" a="1"/>
  <c r="L682" i="5" a="1"/>
  <c r="J740" i="5" a="1"/>
  <c r="I773" i="5" a="1"/>
  <c r="E818" i="5" a="1"/>
  <c r="B763" i="5" a="1"/>
  <c r="L775" i="5" a="1"/>
  <c r="I820" i="5" a="1"/>
  <c r="L764" i="5" a="1"/>
  <c r="E780" i="5" a="1"/>
  <c r="M823" i="5" a="1"/>
  <c r="M759" i="5" a="1"/>
  <c r="M695" i="5" a="1"/>
  <c r="E766" i="5" a="1"/>
  <c r="B669" i="5" a="1"/>
  <c r="E789" i="5" a="1"/>
  <c r="J704" i="5" a="1"/>
  <c r="I791" i="5" a="1"/>
  <c r="N832" i="5" a="1"/>
  <c r="E849" i="5" a="1"/>
  <c r="L891" i="5" a="1"/>
  <c r="H935" i="5" a="1"/>
  <c r="K800" i="5" a="1"/>
  <c r="N868" i="5" a="1"/>
  <c r="J912" i="5" a="1"/>
  <c r="M794" i="5" a="1"/>
  <c r="J851" i="5" a="1"/>
  <c r="B917" i="5" a="1"/>
  <c r="L416" i="5" a="1"/>
  <c r="J498" i="5" a="1"/>
  <c r="H447" i="5" a="1"/>
  <c r="I559" i="5" a="1"/>
  <c r="E502" i="5" a="1"/>
  <c r="H554" i="5" a="1"/>
  <c r="N524" i="5" a="1"/>
  <c r="E645" i="5" a="1"/>
  <c r="L661" i="5" a="1"/>
  <c r="K531" i="5" a="1"/>
  <c r="H501" i="5" a="1"/>
  <c r="N619" i="5" a="1"/>
  <c r="H663" i="5" a="1"/>
  <c r="E585" i="5" a="1"/>
  <c r="L738" i="5" a="1"/>
  <c r="J663" i="5" a="1"/>
  <c r="E695" i="5" a="1"/>
  <c r="K748" i="5" a="1"/>
  <c r="H608" i="5" a="1"/>
  <c r="I697" i="5" a="1"/>
  <c r="J758" i="5" a="1"/>
  <c r="B635" i="5" a="1"/>
  <c r="K710" i="5" a="1"/>
  <c r="H619" i="5" a="1"/>
  <c r="H694" i="5" a="1"/>
  <c r="K646" i="5" a="1"/>
  <c r="M673" i="5" a="1"/>
  <c r="M721" i="5" a="1"/>
  <c r="H703" i="5" a="1"/>
  <c r="E757" i="5" a="1"/>
  <c r="L815" i="5" a="1"/>
  <c r="N748" i="5" a="1"/>
  <c r="E784" i="5" a="1"/>
  <c r="N828" i="5" a="1"/>
  <c r="B698" i="5" a="1"/>
  <c r="I764" i="5" a="1"/>
  <c r="J774" i="5" a="1"/>
  <c r="I821" i="5" a="1"/>
  <c r="B804" i="5" a="1"/>
  <c r="M776" i="5" a="1"/>
  <c r="J821" i="5" a="1"/>
  <c r="B767" i="5" a="1"/>
  <c r="I783" i="5" a="1"/>
  <c r="N824" i="5" a="1"/>
  <c r="M764" i="5" a="1"/>
  <c r="I715" i="5" a="1"/>
  <c r="H768" i="5" a="1"/>
  <c r="N672" i="5" a="1"/>
  <c r="I792" i="5" a="1"/>
  <c r="K708" i="5" a="1"/>
  <c r="K793" i="5" a="1"/>
  <c r="E836" i="5" a="1"/>
  <c r="H851" i="5" a="1"/>
  <c r="M892" i="5" a="1"/>
  <c r="I936" i="5" a="1"/>
  <c r="J806" i="5" a="1"/>
  <c r="E872" i="5" a="1"/>
  <c r="K913" i="5" a="1"/>
  <c r="K808" i="5" a="1"/>
  <c r="K852" i="5" a="1"/>
  <c r="B929" i="5" a="1"/>
  <c r="L852" i="5" a="1"/>
  <c r="N890" i="5" a="1"/>
  <c r="L816" i="5" a="1"/>
  <c r="K824" i="5" a="1"/>
  <c r="H871" i="5" a="1"/>
  <c r="H907" i="5" a="1"/>
  <c r="L617" i="5" a="1"/>
  <c r="B903" i="5" a="1"/>
  <c r="M417" i="5" a="1"/>
  <c r="K499" i="5" a="1"/>
  <c r="N450" i="5" a="1"/>
  <c r="J560" i="5" a="1"/>
  <c r="M508" i="5" a="1"/>
  <c r="I555" i="5" a="1"/>
  <c r="J440" i="5" a="1"/>
  <c r="H647" i="5" a="1"/>
  <c r="M662" i="5" a="1"/>
  <c r="H540" i="5" a="1"/>
  <c r="H518" i="5" a="1"/>
  <c r="K629" i="5" a="1"/>
  <c r="J666" i="5" a="1"/>
  <c r="I620" i="5" a="1"/>
  <c r="K749" i="5" a="1"/>
  <c r="N669" i="5" a="1"/>
  <c r="H697" i="5" a="1"/>
  <c r="L749" i="5" a="1"/>
  <c r="M615" i="5" a="1"/>
  <c r="H708" i="5" a="1"/>
  <c r="L760" i="5" a="1"/>
  <c r="J641" i="5" a="1"/>
  <c r="L711" i="5" a="1"/>
  <c r="M620" i="5" a="1"/>
  <c r="I695" i="5" a="1"/>
  <c r="N649" i="5" a="1"/>
  <c r="N674" i="5" a="1"/>
  <c r="K619" i="5" a="1"/>
  <c r="I704" i="5" a="1"/>
  <c r="N758" i="5" a="1"/>
  <c r="M816" i="5" a="1"/>
  <c r="H762" i="5" a="1"/>
  <c r="I787" i="5" a="1"/>
  <c r="E832" i="5" a="1"/>
  <c r="H702" i="5" a="1"/>
  <c r="B781" i="5" a="1"/>
  <c r="K775" i="5" a="1"/>
  <c r="J822" i="5" a="1"/>
  <c r="B828" i="5" a="1"/>
  <c r="N777" i="5" a="1"/>
  <c r="K822" i="5" a="1"/>
  <c r="B779" i="5" a="1"/>
  <c r="J784" i="5" a="1"/>
  <c r="E828" i="5" a="1"/>
  <c r="B533" i="5" a="1"/>
  <c r="J719" i="5" a="1"/>
  <c r="I769" i="5" a="1"/>
  <c r="J692" i="5" a="1"/>
  <c r="J793" i="5" a="1"/>
  <c r="L734" i="5" a="1"/>
  <c r="L794" i="5" a="1"/>
  <c r="N570" i="5" a="1"/>
  <c r="I852" i="5" a="1"/>
  <c r="N893" i="5" a="1"/>
  <c r="L939" i="5" a="1"/>
  <c r="H812" i="5" a="1"/>
  <c r="H874" i="5" a="1"/>
  <c r="L914" i="5" a="1"/>
  <c r="I810" i="5" a="1"/>
  <c r="N855" i="5" a="1"/>
  <c r="K664" i="5" a="1"/>
  <c r="M853" i="5" a="1"/>
  <c r="E894" i="5" a="1"/>
  <c r="N831" i="5" a="1"/>
  <c r="J826" i="5" a="1"/>
  <c r="I872" i="5" a="1"/>
  <c r="I908" i="5" a="1"/>
  <c r="K654" i="5" a="1"/>
  <c r="B915" i="5" a="1"/>
  <c r="N392" i="5" a="1"/>
  <c r="I434" i="5" a="1"/>
  <c r="M511" i="5" a="1"/>
  <c r="H606" i="5" a="1"/>
  <c r="B526" i="5" a="1"/>
  <c r="K605" i="5" a="1"/>
  <c r="M610" i="5" a="1"/>
  <c r="M574" i="5" a="1"/>
  <c r="E555" i="5" a="1"/>
  <c r="M562" i="5" a="1"/>
  <c r="N671" i="5" a="1"/>
  <c r="L680" i="5" a="1"/>
  <c r="E673" i="5" a="1"/>
  <c r="J688" i="5" a="1"/>
  <c r="E756" i="5" a="1"/>
  <c r="B718" i="5" a="1"/>
  <c r="N703" i="5" a="1"/>
  <c r="N763" i="5" a="1"/>
  <c r="J636" i="5" a="1"/>
  <c r="L712" i="5" a="1"/>
  <c r="M568" i="5" a="1"/>
  <c r="L668" i="5" a="1"/>
  <c r="H719" i="5" a="1"/>
  <c r="N631" i="5" a="1"/>
  <c r="M699" i="5" a="1"/>
  <c r="E659" i="5" a="1"/>
  <c r="K683" i="5" a="1"/>
  <c r="K643" i="5" a="1"/>
  <c r="N709" i="5" a="1"/>
  <c r="J777" i="5" a="1"/>
  <c r="I824" i="5" a="1"/>
  <c r="B394" i="5" a="1"/>
  <c r="N663" i="5" a="1"/>
  <c r="I698" i="5" a="1"/>
  <c r="J696" i="5" a="1"/>
  <c r="B807" i="5" a="1"/>
  <c r="N826" i="5" a="1"/>
  <c r="K833" i="5" a="1"/>
  <c r="J741" i="5" a="1"/>
  <c r="H705" i="5" a="1"/>
  <c r="H849" i="5" a="1"/>
  <c r="M833" i="5" a="1"/>
  <c r="B689" i="5" a="1"/>
  <c r="J872" i="5" a="1"/>
  <c r="J920" i="5" a="1"/>
  <c r="J803" i="5" a="1"/>
  <c r="E827" i="5" a="1"/>
  <c r="M797" i="5" a="1"/>
  <c r="N848" i="5" a="1"/>
  <c r="N830" i="5" a="1"/>
  <c r="J940" i="5" a="1"/>
  <c r="K1000" i="5" a="1"/>
  <c r="K1048" i="5" a="1"/>
  <c r="L904" i="5" a="1"/>
  <c r="H972" i="5" a="1"/>
  <c r="I1021" i="5" a="1"/>
  <c r="B896" i="5" a="1"/>
  <c r="M937" i="5" a="1"/>
  <c r="B991" i="5" a="1"/>
  <c r="L950" i="5" a="1"/>
  <c r="M999" i="5" a="1"/>
  <c r="L885" i="5" a="1"/>
  <c r="B849" i="5" a="1"/>
  <c r="K960" i="5" a="1"/>
  <c r="J1007" i="5" a="1"/>
  <c r="M885" i="5" a="1"/>
  <c r="J887" i="5" a="1"/>
  <c r="J970" i="5" a="1"/>
  <c r="N1022" i="5" a="1"/>
  <c r="E902" i="5" a="1"/>
  <c r="H943" i="5" a="1"/>
  <c r="K788" i="5" a="1"/>
  <c r="K846" i="5" a="1"/>
  <c r="B909" i="5" a="1"/>
  <c r="N971" i="5" a="1"/>
  <c r="J942" i="5" a="1"/>
  <c r="I989" i="5" a="1"/>
  <c r="B1018" i="5" a="1"/>
  <c r="L1090" i="5" a="1"/>
  <c r="J1136" i="5" a="1"/>
  <c r="H1182" i="5" a="1"/>
  <c r="B1142" i="5" a="1"/>
  <c r="E1047" i="5" a="1"/>
  <c r="N1091" i="5" a="1"/>
  <c r="K1136" i="5" a="1"/>
  <c r="I1182" i="5" a="1"/>
  <c r="B1069" i="5" a="1"/>
  <c r="M1053" i="5" a="1"/>
  <c r="K993" i="5" a="1"/>
  <c r="H855" i="5" a="1"/>
  <c r="B1034" i="5" a="1"/>
  <c r="N1077" i="5" a="1"/>
  <c r="N1113" i="5" a="1"/>
  <c r="N1149" i="5" a="1"/>
  <c r="N922" i="5" a="1"/>
  <c r="B1103" i="5" a="1"/>
  <c r="L1030" i="5" a="1"/>
  <c r="N1076" i="5" a="1"/>
  <c r="N1112" i="5" a="1"/>
  <c r="N1148" i="5" a="1"/>
  <c r="M846" i="5" a="1"/>
  <c r="N1028" i="5" a="1"/>
  <c r="B923" i="5" a="1"/>
  <c r="E1055" i="5" a="1"/>
  <c r="E1091" i="5" a="1"/>
  <c r="E1127" i="5" a="1"/>
  <c r="E1163" i="5" a="1"/>
  <c r="L978" i="5" a="1"/>
  <c r="E961" i="5" a="1"/>
  <c r="E1054" i="5" a="1"/>
  <c r="B973" i="5" a="1"/>
  <c r="J957" i="5" a="1"/>
  <c r="K1058" i="5" a="1"/>
  <c r="E969" i="5" a="1"/>
  <c r="J935" i="5" a="1"/>
  <c r="K1049" i="5" a="1"/>
  <c r="N1084" i="5" a="1"/>
  <c r="N1120" i="5" a="1"/>
  <c r="L919" i="5" a="1"/>
  <c r="J1055" i="5" a="1"/>
  <c r="J1091" i="5" a="1"/>
  <c r="J1127" i="5" a="1"/>
  <c r="J1163" i="5" a="1"/>
  <c r="J1065" i="5" a="1"/>
  <c r="B1223" i="5" a="1"/>
  <c r="I1145" i="5" a="1"/>
  <c r="K1205" i="5" a="1"/>
  <c r="K1241" i="5" a="1"/>
  <c r="K1277" i="5" a="1"/>
  <c r="M1069" i="5" a="1"/>
  <c r="B1198" i="5" a="1"/>
  <c r="M1145" i="5" a="1"/>
  <c r="N1207" i="5" a="1"/>
  <c r="E1138" i="5" a="1"/>
  <c r="B1101" i="5" a="1"/>
  <c r="M1193" i="5" a="1"/>
  <c r="K1166" i="5" a="1"/>
  <c r="L1112" i="5" a="1"/>
  <c r="I1200" i="5" a="1"/>
  <c r="I1236" i="5" a="1"/>
  <c r="I1272" i="5" a="1"/>
  <c r="H1091" i="5" a="1"/>
  <c r="B1267" i="5" a="1"/>
  <c r="M1155" i="5" a="1"/>
  <c r="K1213" i="5" a="1"/>
  <c r="K1249" i="5" a="1"/>
  <c r="K1285" i="5" a="1"/>
  <c r="E1097" i="5" a="1"/>
  <c r="E926" i="5" a="1"/>
  <c r="I1181" i="5" a="1"/>
  <c r="N1215" i="5" a="1"/>
  <c r="N1251" i="5" a="1"/>
  <c r="N1287" i="5" a="1"/>
  <c r="K1087" i="5" a="1"/>
  <c r="I1097" i="5" a="1"/>
  <c r="L1188" i="5" a="1"/>
  <c r="N1085" i="5" a="1"/>
  <c r="L959" i="5" a="1"/>
  <c r="N1181" i="5" a="1"/>
  <c r="K784" i="5" a="1"/>
  <c r="K1154" i="5" a="1"/>
  <c r="B1100" i="5" a="1"/>
  <c r="B387" i="5" a="1"/>
  <c r="J551" i="5" a="1"/>
  <c r="L701" i="5" a="1"/>
  <c r="K697" i="5" a="1"/>
  <c r="J788" i="5" a="1"/>
  <c r="B840" i="5" a="1"/>
  <c r="J550" i="5" a="1"/>
  <c r="M744" i="5" a="1"/>
  <c r="B775" i="5" a="1"/>
  <c r="E859" i="5" a="1"/>
  <c r="J835" i="5" a="1"/>
  <c r="L697" i="5" a="1"/>
  <c r="K873" i="5" a="1"/>
  <c r="K921" i="5" a="1"/>
  <c r="I805" i="5" a="1"/>
  <c r="L828" i="5" a="1"/>
  <c r="N799" i="5" a="1"/>
  <c r="E852" i="5" a="1"/>
  <c r="M832" i="5" a="1"/>
  <c r="L941" i="5" a="1"/>
  <c r="L1001" i="5" a="1"/>
  <c r="L1049" i="5" a="1"/>
  <c r="J906" i="5" a="1"/>
  <c r="I973" i="5" a="1"/>
  <c r="J1022" i="5" a="1"/>
  <c r="N899" i="5" a="1"/>
  <c r="L940" i="5" a="1"/>
  <c r="B1003" i="5" a="1"/>
  <c r="M951" i="5" a="1"/>
  <c r="J1008" i="5" a="1"/>
  <c r="K894" i="5" a="1"/>
  <c r="L856" i="5" a="1"/>
  <c r="L961" i="5" a="1"/>
  <c r="K1008" i="5" a="1"/>
  <c r="L894" i="5" a="1"/>
  <c r="H891" i="5" a="1"/>
  <c r="K971" i="5" a="1"/>
  <c r="E1026" i="5" a="1"/>
  <c r="K915" i="5" a="1"/>
  <c r="I944" i="5" a="1"/>
  <c r="J794" i="5" a="1"/>
  <c r="E850" i="5" a="1"/>
  <c r="H914" i="5" a="1"/>
  <c r="E975" i="5" a="1"/>
  <c r="K943" i="5" a="1"/>
  <c r="J990" i="5" a="1"/>
  <c r="N1019" i="5" a="1"/>
  <c r="M1091" i="5" a="1"/>
  <c r="K1137" i="5" a="1"/>
  <c r="H693" i="5" a="1"/>
  <c r="B1154" i="5" a="1"/>
  <c r="J1051" i="5" a="1"/>
  <c r="E1095" i="5" a="1"/>
  <c r="L1137" i="5" a="1"/>
  <c r="E790" i="5" a="1"/>
  <c r="L756" i="5" a="1"/>
  <c r="N1054" i="5" a="1"/>
  <c r="E997" i="5" a="1"/>
  <c r="N863" i="5" a="1"/>
  <c r="I1037" i="5" a="1"/>
  <c r="E1081" i="5" a="1"/>
  <c r="E1117" i="5" a="1"/>
  <c r="E1153" i="5" a="1"/>
  <c r="N938" i="5" a="1"/>
  <c r="B1115" i="5" a="1"/>
  <c r="B1036" i="5" a="1"/>
  <c r="E1080" i="5" a="1"/>
  <c r="E1116" i="5" a="1"/>
  <c r="E1152" i="5" a="1"/>
  <c r="B864" i="5" a="1"/>
  <c r="E1034" i="5" a="1"/>
  <c r="E939" i="5" a="1"/>
  <c r="H1057" i="5" a="1"/>
  <c r="H1093" i="5" a="1"/>
  <c r="H1129" i="5" a="1"/>
  <c r="H1165" i="5" a="1"/>
  <c r="J988" i="5" a="1"/>
  <c r="N968" i="5" a="1"/>
  <c r="H1056" i="5" a="1"/>
  <c r="E977" i="5" a="1"/>
  <c r="H963" i="5" a="1"/>
  <c r="L1059" i="5" a="1"/>
  <c r="E973" i="5" a="1"/>
  <c r="I940" i="5" a="1"/>
  <c r="E1052" i="5" a="1"/>
  <c r="E1088" i="5" a="1"/>
  <c r="E1124" i="5" a="1"/>
  <c r="K924" i="5" a="1"/>
  <c r="K1056" i="5" a="1"/>
  <c r="K1092" i="5" a="1"/>
  <c r="K1128" i="5" a="1"/>
  <c r="K1164" i="5" a="1"/>
  <c r="E1073" i="5" a="1"/>
  <c r="B1235" i="5" a="1"/>
  <c r="I1153" i="5" a="1"/>
  <c r="L1206" i="5" a="1"/>
  <c r="L1242" i="5" a="1"/>
  <c r="L1278" i="5" a="1"/>
  <c r="B1074" i="5" a="1"/>
  <c r="B1210" i="5" a="1"/>
  <c r="K1147" i="5" a="1"/>
  <c r="E1211" i="5" a="1"/>
  <c r="M1141" i="5" a="1"/>
  <c r="L1104" i="5" a="1"/>
  <c r="N1194" i="5" a="1"/>
  <c r="E1170" i="5" a="1"/>
  <c r="K1118" i="5" a="1"/>
  <c r="J1201" i="5" a="1"/>
  <c r="J1237" i="5" a="1"/>
  <c r="J1273" i="5" a="1"/>
  <c r="B1095" i="5" a="1"/>
  <c r="B1279" i="5" a="1"/>
  <c r="M1157" i="5" a="1"/>
  <c r="L1214" i="5" a="1"/>
  <c r="L1250" i="5" a="1"/>
  <c r="L1286" i="5" a="1"/>
  <c r="B1109" i="5" a="1"/>
  <c r="E964" i="5" a="1"/>
  <c r="E1183" i="5" a="1"/>
  <c r="E1219" i="5" a="1"/>
  <c r="E1255" i="5" a="1"/>
  <c r="E1291" i="5" a="1"/>
  <c r="K1091" i="5" a="1"/>
  <c r="I1105" i="5" a="1"/>
  <c r="M1189" i="5" a="1"/>
  <c r="M1089" i="5" a="1"/>
  <c r="K977" i="5" a="1"/>
  <c r="H1183" i="5" a="1"/>
  <c r="J391" i="5" a="1"/>
  <c r="N556" i="5" a="1"/>
  <c r="M702" i="5" a="1"/>
  <c r="L698" i="5" a="1"/>
  <c r="K789" i="5" a="1"/>
  <c r="H576" i="5" a="1"/>
  <c r="I616" i="5" a="1"/>
  <c r="E748" i="5" a="1"/>
  <c r="M790" i="5" a="1"/>
  <c r="E639" i="5" a="1"/>
  <c r="B844" i="5" a="1"/>
  <c r="E736" i="5" a="1"/>
  <c r="L874" i="5" a="1"/>
  <c r="N924" i="5" a="1"/>
  <c r="B823" i="5" a="1"/>
  <c r="B583" i="5" a="1"/>
  <c r="L801" i="5" a="1"/>
  <c r="J856" i="5" a="1"/>
  <c r="M834" i="5" a="1"/>
  <c r="E947" i="5" a="1"/>
  <c r="M1002" i="5" a="1"/>
  <c r="H840" i="5" a="1"/>
  <c r="B908" i="5" a="1"/>
  <c r="J974" i="5" a="1"/>
  <c r="E1030" i="5" a="1"/>
  <c r="H913" i="5" a="1"/>
  <c r="N941" i="5" a="1"/>
  <c r="B1015" i="5" a="1"/>
  <c r="N952" i="5" a="1"/>
  <c r="L1010" i="5" a="1"/>
  <c r="E898" i="5" a="1"/>
  <c r="N862" i="5" a="1"/>
  <c r="M962" i="5" a="1"/>
  <c r="N1011" i="5" a="1"/>
  <c r="E900" i="5" a="1"/>
  <c r="M894" i="5" a="1"/>
  <c r="L972" i="5" a="1"/>
  <c r="H1028" i="5" a="1"/>
  <c r="I917" i="5" a="1"/>
  <c r="J945" i="5" a="1"/>
  <c r="B802" i="5" a="1"/>
  <c r="B873" i="5" a="1"/>
  <c r="N920" i="5" a="1"/>
  <c r="H977" i="5" a="1"/>
  <c r="L944" i="5" a="1"/>
  <c r="K991" i="5" a="1"/>
  <c r="J1021" i="5" a="1"/>
  <c r="N1092" i="5" a="1"/>
  <c r="L1138" i="5" a="1"/>
  <c r="N815" i="5" a="1"/>
  <c r="B1166" i="5" a="1"/>
  <c r="K1052" i="5" a="1"/>
  <c r="I1098" i="5" a="1"/>
  <c r="M1138" i="5" a="1"/>
  <c r="I802" i="5" a="1"/>
  <c r="I790" i="5" a="1"/>
  <c r="E1058" i="5" a="1"/>
  <c r="J1004" i="5" a="1"/>
  <c r="E911" i="5" a="1"/>
  <c r="L1040" i="5" a="1"/>
  <c r="H1083" i="5" a="1"/>
  <c r="H1119" i="5" a="1"/>
  <c r="H1155" i="5" a="1"/>
  <c r="M956" i="5" a="1"/>
  <c r="B1127" i="5" a="1"/>
  <c r="J1037" i="5" a="1"/>
  <c r="H1082" i="5" a="1"/>
  <c r="H1118" i="5" a="1"/>
  <c r="H1154" i="5" a="1"/>
  <c r="E877" i="5" a="1"/>
  <c r="L1042" i="5" a="1"/>
  <c r="L954" i="5" a="1"/>
  <c r="I1058" i="5" a="1"/>
  <c r="I1094" i="5" a="1"/>
  <c r="I1130" i="5" a="1"/>
  <c r="I1166" i="5" a="1"/>
  <c r="I990" i="5" a="1"/>
  <c r="B975" i="5" a="1"/>
  <c r="I1057" i="5" a="1"/>
  <c r="M980" i="5" a="1"/>
  <c r="H967" i="5" a="1"/>
  <c r="M1060" i="5" a="1"/>
  <c r="N980" i="5" a="1"/>
  <c r="E948" i="5" a="1"/>
  <c r="H1054" i="5" a="1"/>
  <c r="H1090" i="5" a="1"/>
  <c r="H1126" i="5" a="1"/>
  <c r="K930" i="5" a="1"/>
  <c r="L1057" i="5" a="1"/>
  <c r="L1093" i="5" a="1"/>
  <c r="L1129" i="5" a="1"/>
  <c r="L1165" i="5" a="1"/>
  <c r="N1078" i="5" a="1"/>
  <c r="B1247" i="5" a="1"/>
  <c r="B1157" i="5" a="1"/>
  <c r="M1207" i="5" a="1"/>
  <c r="M1243" i="5" a="1"/>
  <c r="M1279" i="5" a="1"/>
  <c r="E1077" i="5" a="1"/>
  <c r="B1222" i="5" a="1"/>
  <c r="K1151" i="5" a="1"/>
  <c r="H1213" i="5" a="1"/>
  <c r="E1157" i="5" a="1"/>
  <c r="L1108" i="5" a="1"/>
  <c r="E1198" i="5" a="1"/>
  <c r="J1177" i="5" a="1"/>
  <c r="I1124" i="5" a="1"/>
  <c r="K1202" i="5" a="1"/>
  <c r="K1238" i="5" a="1"/>
  <c r="K1274" i="5" a="1"/>
  <c r="E1101" i="5" a="1"/>
  <c r="B1291" i="5" a="1"/>
  <c r="L1168" i="5" a="1"/>
  <c r="M1215" i="5" a="1"/>
  <c r="M1251" i="5" a="1"/>
  <c r="M1287" i="5" a="1"/>
  <c r="B1111" i="5" a="1"/>
  <c r="M1077" i="5" a="1"/>
  <c r="H1185" i="5" a="1"/>
  <c r="H1221" i="5" a="1"/>
  <c r="H1257" i="5" a="1"/>
  <c r="H1293" i="5" a="1"/>
  <c r="J1093" i="5" a="1"/>
  <c r="E1109" i="5" a="1"/>
  <c r="N1190" i="5" a="1"/>
  <c r="L1091" i="5" a="1"/>
  <c r="L983" i="5" a="1"/>
  <c r="I1184" i="5" a="1"/>
  <c r="J941" i="5" a="1"/>
  <c r="J1165" i="5" a="1"/>
  <c r="M1109" i="5" a="1"/>
  <c r="J546" i="5" a="1"/>
  <c r="E543" i="5" a="1"/>
  <c r="M750" i="5" a="1"/>
  <c r="H651" i="5" a="1"/>
  <c r="L790" i="5" a="1"/>
  <c r="E615" i="5" a="1"/>
  <c r="N657" i="5" a="1"/>
  <c r="E788" i="5" a="1"/>
  <c r="L792" i="5" a="1"/>
  <c r="N734" i="5" a="1"/>
  <c r="B868" i="5" a="1"/>
  <c r="K741" i="5" a="1"/>
  <c r="M875" i="5" a="1"/>
  <c r="E928" i="5" a="1"/>
  <c r="J830" i="5" a="1"/>
  <c r="H618" i="5" a="1"/>
  <c r="K807" i="5" a="1"/>
  <c r="K857" i="5" a="1"/>
  <c r="H838" i="5" a="1"/>
  <c r="H949" i="5" a="1"/>
  <c r="N1003" i="5" a="1"/>
  <c r="I844" i="5" a="1"/>
  <c r="N909" i="5" a="1"/>
  <c r="K975" i="5" a="1"/>
  <c r="I1033" i="5" a="1"/>
  <c r="L916" i="5" a="1"/>
  <c r="E945" i="5" a="1"/>
  <c r="B1027" i="5" a="1"/>
  <c r="I959" i="5" a="1"/>
  <c r="M1011" i="5" a="1"/>
  <c r="L901" i="5" a="1"/>
  <c r="K872" i="5" a="1"/>
  <c r="N963" i="5" a="1"/>
  <c r="E1015" i="5" a="1"/>
  <c r="L908" i="5" a="1"/>
  <c r="L896" i="5" a="1"/>
  <c r="I981" i="5" a="1"/>
  <c r="I1029" i="5" a="1"/>
  <c r="N918" i="5" a="1"/>
  <c r="K946" i="5" a="1"/>
  <c r="E814" i="5" a="1"/>
  <c r="E879" i="5" a="1"/>
  <c r="J922" i="5" a="1"/>
  <c r="I978" i="5" a="1"/>
  <c r="M945" i="5" a="1"/>
  <c r="M993" i="5" a="1"/>
  <c r="J1048" i="5" a="1"/>
  <c r="E1096" i="5" a="1"/>
  <c r="N1140" i="5" a="1"/>
  <c r="E875" i="5" a="1"/>
  <c r="B1178" i="5" a="1"/>
  <c r="L1053" i="5" a="1"/>
  <c r="J1099" i="5" a="1"/>
  <c r="N1139" i="5" a="1"/>
  <c r="J869" i="5" a="1"/>
  <c r="K843" i="5" a="1"/>
  <c r="H1060" i="5" a="1"/>
  <c r="B1010" i="5" a="1"/>
  <c r="J916" i="5" a="1"/>
  <c r="N1045" i="5" a="1"/>
  <c r="I1084" i="5" a="1"/>
  <c r="I1120" i="5" a="1"/>
  <c r="I1156" i="5" a="1"/>
  <c r="K386" i="5" a="1"/>
  <c r="B561" i="5" a="1"/>
  <c r="N751" i="5" a="1"/>
  <c r="J654" i="5" a="1"/>
  <c r="M791" i="5" a="1"/>
  <c r="N620" i="5" a="1"/>
  <c r="K672" i="5" a="1"/>
  <c r="M795" i="5" a="1"/>
  <c r="L796" i="5" a="1"/>
  <c r="K746" i="5" a="1"/>
  <c r="B813" i="5" a="1"/>
  <c r="B867" i="5" a="1"/>
  <c r="N876" i="5" a="1"/>
  <c r="H930" i="5" a="1"/>
  <c r="B836" i="5" a="1"/>
  <c r="J669" i="5" a="1"/>
  <c r="I813" i="5" a="1"/>
  <c r="L858" i="5" a="1"/>
  <c r="B850" i="5" a="1"/>
  <c r="I950" i="5" a="1"/>
  <c r="E1007" i="5" a="1"/>
  <c r="K855" i="5" a="1"/>
  <c r="J911" i="5" a="1"/>
  <c r="N978" i="5" a="1"/>
  <c r="J1034" i="5" a="1"/>
  <c r="J918" i="5" a="1"/>
  <c r="H947" i="5" a="1"/>
  <c r="B1039" i="5" a="1"/>
  <c r="J960" i="5" a="1"/>
  <c r="N1012" i="5" a="1"/>
  <c r="K908" i="5" a="1"/>
  <c r="B882" i="5" a="1"/>
  <c r="E967" i="5" a="1"/>
  <c r="H1017" i="5" a="1"/>
  <c r="B914" i="5" a="1"/>
  <c r="I898" i="5" a="1"/>
  <c r="K983" i="5" a="1"/>
  <c r="J1030" i="5" a="1"/>
  <c r="K928" i="5" a="1"/>
  <c r="L947" i="5" a="1"/>
  <c r="B877" i="5" a="1"/>
  <c r="L880" i="5" a="1"/>
  <c r="E924" i="5" a="1"/>
  <c r="J979" i="5" a="1"/>
  <c r="N946" i="5" a="1"/>
  <c r="N994" i="5" a="1"/>
  <c r="J1052" i="5" a="1"/>
  <c r="H1098" i="5" a="1"/>
  <c r="E1144" i="5" a="1"/>
  <c r="E960" i="5" a="1"/>
  <c r="J755" i="5" a="1"/>
  <c r="M1054" i="5" a="1"/>
  <c r="K1100" i="5" a="1"/>
  <c r="I1146" i="5" a="1"/>
  <c r="H881" i="5" a="1"/>
  <c r="I916" i="5" a="1"/>
  <c r="I1061" i="5" a="1"/>
  <c r="L1011" i="5" a="1"/>
  <c r="M938" i="5" a="1"/>
  <c r="H1047" i="5" a="1"/>
  <c r="J1085" i="5" a="1"/>
  <c r="J1121" i="5" a="1"/>
  <c r="E431" i="5" a="1"/>
  <c r="I566" i="5" a="1"/>
  <c r="M762" i="5" a="1"/>
  <c r="L657" i="5" a="1"/>
  <c r="H834" i="5" a="1"/>
  <c r="E781" i="5" a="1"/>
  <c r="N737" i="5" a="1"/>
  <c r="N796" i="5" a="1"/>
  <c r="I814" i="5" a="1"/>
  <c r="B881" i="5" a="1"/>
  <c r="M822" i="5" a="1"/>
  <c r="B891" i="5" a="1"/>
  <c r="E880" i="5" a="1"/>
  <c r="I931" i="5" a="1"/>
  <c r="B838" i="5" a="1"/>
  <c r="B701" i="5" a="1"/>
  <c r="J815" i="5" a="1"/>
  <c r="M859" i="5" a="1"/>
  <c r="B862" i="5" a="1"/>
  <c r="J951" i="5" a="1"/>
  <c r="H1009" i="5" a="1"/>
  <c r="L859" i="5" a="1"/>
  <c r="L921" i="5" a="1"/>
  <c r="E982" i="5" a="1"/>
  <c r="K1035" i="5" a="1"/>
  <c r="B925" i="5" a="1"/>
  <c r="M952" i="5" a="1"/>
  <c r="K792" i="5" a="1"/>
  <c r="K961" i="5" a="1"/>
  <c r="E1016" i="5" a="1"/>
  <c r="B912" i="5" a="1"/>
  <c r="K896" i="5" a="1"/>
  <c r="H969" i="5" a="1"/>
  <c r="I1018" i="5" a="1"/>
  <c r="J915" i="5" a="1"/>
  <c r="N906" i="5" a="1"/>
  <c r="L984" i="5" a="1"/>
  <c r="K1031" i="5" a="1"/>
  <c r="E930" i="5" a="1"/>
  <c r="M948" i="5" a="1"/>
  <c r="J882" i="5" a="1"/>
  <c r="B888" i="5" a="1"/>
  <c r="M925" i="5" a="1"/>
  <c r="E987" i="5" a="1"/>
  <c r="E950" i="5" a="1"/>
  <c r="E998" i="5" a="1"/>
  <c r="K1053" i="5" a="1"/>
  <c r="I1099" i="5" a="1"/>
  <c r="H1146" i="5" a="1"/>
  <c r="B972" i="5" a="1"/>
  <c r="J843" i="5" a="1"/>
  <c r="N1055" i="5" a="1"/>
  <c r="L1101" i="5" a="1"/>
  <c r="K1148" i="5" a="1"/>
  <c r="N886" i="5" a="1"/>
  <c r="K942" i="5" a="1"/>
  <c r="J1062" i="5" a="1"/>
  <c r="K1018" i="5" a="1"/>
  <c r="L942" i="5" a="1"/>
  <c r="E1049" i="5" a="1"/>
  <c r="K1086" i="5" a="1"/>
  <c r="K1122" i="5" a="1"/>
  <c r="K472" i="5" a="1"/>
  <c r="I541" i="5" a="1"/>
  <c r="I617" i="5" a="1"/>
  <c r="H680" i="5" a="1"/>
  <c r="I835" i="5" a="1"/>
  <c r="H783" i="5" a="1"/>
  <c r="H751" i="5" a="1"/>
  <c r="E800" i="5" a="1"/>
  <c r="L829" i="5" a="1"/>
  <c r="N696" i="5" a="1"/>
  <c r="I828" i="5" a="1"/>
  <c r="B927" i="5" a="1"/>
  <c r="H882" i="5" a="1"/>
  <c r="J932" i="5" a="1"/>
  <c r="J839" i="5" a="1"/>
  <c r="J731" i="5" a="1"/>
  <c r="I817" i="5" a="1"/>
  <c r="N860" i="5" a="1"/>
  <c r="B874" i="5" a="1"/>
  <c r="K952" i="5" a="1"/>
  <c r="I1010" i="5" a="1"/>
  <c r="E862" i="5" a="1"/>
  <c r="E923" i="5" a="1"/>
  <c r="H984" i="5" a="1"/>
  <c r="L1036" i="5" a="1"/>
  <c r="I934" i="5" a="1"/>
  <c r="H681" i="5" a="1"/>
  <c r="L805" i="5" a="1"/>
  <c r="L962" i="5" a="1"/>
  <c r="H1018" i="5" a="1"/>
  <c r="J923" i="5" a="1"/>
  <c r="B902" i="5" a="1"/>
  <c r="I970" i="5" a="1"/>
  <c r="J1019" i="5" a="1"/>
  <c r="H917" i="5" a="1"/>
  <c r="E912" i="5" a="1"/>
  <c r="M985" i="5" a="1"/>
  <c r="L1032" i="5" a="1"/>
  <c r="M939" i="5" a="1"/>
  <c r="N949" i="5" a="1"/>
  <c r="L889" i="5" a="1"/>
  <c r="B890" i="5" a="1"/>
  <c r="I927" i="5" a="1"/>
  <c r="K815" i="5" a="1"/>
  <c r="H952" i="5" a="1"/>
  <c r="H1000" i="5" a="1"/>
  <c r="L1054" i="5" a="1"/>
  <c r="J1100" i="5" a="1"/>
  <c r="I1147" i="5" a="1"/>
  <c r="B974" i="5" a="1"/>
  <c r="I869" i="5" a="1"/>
  <c r="E1059" i="5" a="1"/>
  <c r="M1102" i="5" a="1"/>
  <c r="L1149" i="5" a="1"/>
  <c r="L893" i="5" a="1"/>
  <c r="B946" i="5" a="1"/>
  <c r="L1064" i="5" a="1"/>
  <c r="B1022" i="5" a="1"/>
  <c r="L958" i="5" a="1"/>
  <c r="L1051" i="5" a="1"/>
  <c r="L1087" i="5" a="1"/>
  <c r="L1123" i="5" a="1"/>
  <c r="L1159" i="5" a="1"/>
  <c r="E984" i="5" a="1"/>
  <c r="B1175" i="5" a="1"/>
  <c r="I1047" i="5" a="1"/>
  <c r="L1086" i="5" a="1"/>
  <c r="L1122" i="5" a="1"/>
  <c r="L1158" i="5" a="1"/>
  <c r="H951" i="5" a="1"/>
  <c r="B1066" i="5" a="1"/>
  <c r="K982" i="5" a="1"/>
  <c r="M1062" i="5" a="1"/>
  <c r="M1098" i="5" a="1"/>
  <c r="M1134" i="5" a="1"/>
  <c r="M1170" i="5" a="1"/>
  <c r="E1017" i="5" a="1"/>
  <c r="N995" i="5" a="1"/>
  <c r="M1061" i="5" a="1"/>
  <c r="H1012" i="5" a="1"/>
  <c r="K990" i="5" a="1"/>
  <c r="I1068" i="5" a="1"/>
  <c r="B1000" i="5" a="1"/>
  <c r="J965" i="5" a="1"/>
  <c r="L1058" i="5" a="1"/>
  <c r="L1094" i="5" a="1"/>
  <c r="L1130" i="5" a="1"/>
  <c r="K965" i="5" a="1"/>
  <c r="H1065" i="5" a="1"/>
  <c r="H1101" i="5" a="1"/>
  <c r="H1137" i="5" a="1"/>
  <c r="H1173" i="5" a="1"/>
  <c r="E1110" i="5" a="1"/>
  <c r="B1295" i="5" a="1"/>
  <c r="K1171" i="5" a="1"/>
  <c r="I1215" i="5" a="1"/>
  <c r="I1251" i="5" a="1"/>
  <c r="I1287" i="5" a="1"/>
  <c r="L1096" i="5" a="1"/>
  <c r="B1270" i="5" a="1"/>
  <c r="N1180" i="5" a="1"/>
  <c r="J969" i="5" a="1"/>
  <c r="I1177" i="5" a="1"/>
  <c r="H1128" i="5" a="1"/>
  <c r="K1203" i="5" a="1"/>
  <c r="B1220" i="5" a="1"/>
  <c r="E1150" i="5" a="1"/>
  <c r="E1209" i="5" a="1"/>
  <c r="E1245" i="5" a="1"/>
  <c r="E1281" i="5" a="1"/>
  <c r="L1120" i="5" a="1"/>
  <c r="N969" i="5" a="1"/>
  <c r="I1187" i="5" a="1"/>
  <c r="I1223" i="5" a="1"/>
  <c r="I1259" i="5" a="1"/>
  <c r="I1295" i="5" a="1"/>
  <c r="L1124" i="5" a="1"/>
  <c r="B1107" i="5" a="1"/>
  <c r="L1189" i="5" a="1"/>
  <c r="L1225" i="5" a="1"/>
  <c r="L1261" i="5" a="1"/>
  <c r="L1297" i="5" a="1"/>
  <c r="N1126" i="5" a="1"/>
  <c r="M1132" i="5" a="1"/>
  <c r="J1198" i="5" a="1"/>
  <c r="E1125" i="5" a="1"/>
  <c r="H1064" i="5" a="1"/>
  <c r="N499" i="5" a="1"/>
  <c r="J559" i="5" a="1"/>
  <c r="K620" i="5" a="1"/>
  <c r="I681" i="5" a="1"/>
  <c r="J836" i="5" a="1"/>
  <c r="I784" i="5" a="1"/>
  <c r="J756" i="5" a="1"/>
  <c r="H802" i="5" a="1"/>
  <c r="K831" i="5" a="1"/>
  <c r="J728" i="5" a="1"/>
  <c r="I837" i="5" a="1"/>
  <c r="B939" i="5" a="1"/>
  <c r="I883" i="5" a="1"/>
  <c r="N779" i="5" a="1"/>
  <c r="E843" i="5" a="1"/>
  <c r="K830" i="5" a="1"/>
  <c r="K832" i="5" a="1"/>
  <c r="M871" i="5" a="1"/>
  <c r="B886" i="5" a="1"/>
  <c r="J963" i="5" a="1"/>
  <c r="J1011" i="5" a="1"/>
  <c r="I892" i="5" a="1"/>
  <c r="I926" i="5" a="1"/>
  <c r="I985" i="5" a="1"/>
  <c r="M1037" i="5" a="1"/>
  <c r="B944" i="5" a="1"/>
  <c r="E733" i="5" a="1"/>
  <c r="B812" i="5" a="1"/>
  <c r="M963" i="5" a="1"/>
  <c r="I1019" i="5" a="1"/>
  <c r="M926" i="5" a="1"/>
  <c r="J903" i="5" a="1"/>
  <c r="J971" i="5" a="1"/>
  <c r="E1027" i="5" a="1"/>
  <c r="M918" i="5" a="1"/>
  <c r="K920" i="5" a="1"/>
  <c r="N986" i="5" a="1"/>
  <c r="M1033" i="5" a="1"/>
  <c r="I794" i="5" a="1"/>
  <c r="E953" i="5" a="1"/>
  <c r="I893" i="5" a="1"/>
  <c r="K891" i="5" a="1"/>
  <c r="J938" i="5" a="1"/>
  <c r="J827" i="5" a="1"/>
  <c r="I953" i="5" a="1"/>
  <c r="I1001" i="5" a="1"/>
  <c r="M1055" i="5" a="1"/>
  <c r="K1101" i="5" a="1"/>
  <c r="J1148" i="5" a="1"/>
  <c r="M979" i="5" a="1"/>
  <c r="J904" i="5" a="1"/>
  <c r="I1062" i="5" a="1"/>
  <c r="N1103" i="5" a="1"/>
  <c r="M1150" i="5" a="1"/>
  <c r="E899" i="5" a="1"/>
  <c r="H950" i="5" a="1"/>
  <c r="M1065" i="5" a="1"/>
  <c r="I1025" i="5" a="1"/>
  <c r="M960" i="5" a="1"/>
  <c r="M1052" i="5" a="1"/>
  <c r="M1088" i="5" a="1"/>
  <c r="M1124" i="5" a="1"/>
  <c r="M1160" i="5" a="1"/>
  <c r="M991" i="5" a="1"/>
  <c r="N633" i="5" a="1"/>
  <c r="M1051" i="5" a="1"/>
  <c r="M1087" i="5" a="1"/>
  <c r="M1123" i="5" a="1"/>
  <c r="M1159" i="5" a="1"/>
  <c r="N956" i="5" a="1"/>
  <c r="B1078" i="5" a="1"/>
  <c r="I984" i="5" a="1"/>
  <c r="N1063" i="5" a="1"/>
  <c r="N1099" i="5" a="1"/>
  <c r="N1135" i="5" a="1"/>
  <c r="N1171" i="5" a="1"/>
  <c r="N1018" i="5" a="1"/>
  <c r="N997" i="5" a="1"/>
  <c r="N1062" i="5" a="1"/>
  <c r="J1017" i="5" a="1"/>
  <c r="B996" i="5" a="1"/>
  <c r="J1069" i="5" a="1"/>
  <c r="K1001" i="5" a="1"/>
  <c r="I967" i="5" a="1"/>
  <c r="M1059" i="5" a="1"/>
  <c r="M1095" i="5" a="1"/>
  <c r="M1131" i="5" a="1"/>
  <c r="H971" i="5" a="1"/>
  <c r="I1066" i="5" a="1"/>
  <c r="I1102" i="5" a="1"/>
  <c r="I1138" i="5" a="1"/>
  <c r="I1174" i="5" a="1"/>
  <c r="N1117" i="5" a="1"/>
  <c r="M955" i="5" a="1"/>
  <c r="N1178" i="5" a="1"/>
  <c r="J1216" i="5" a="1"/>
  <c r="J1252" i="5" a="1"/>
  <c r="J1288" i="5" a="1"/>
  <c r="J1098" i="5" a="1"/>
  <c r="B1282" i="5" a="1"/>
  <c r="M1182" i="5" a="1"/>
  <c r="H975" i="5" a="1"/>
  <c r="B1179" i="5" a="1"/>
  <c r="B1132" i="5" a="1"/>
  <c r="L1204" i="5" a="1"/>
  <c r="B1232" i="5" a="1"/>
  <c r="M1153" i="5" a="1"/>
  <c r="H1211" i="5" a="1"/>
  <c r="H1247" i="5" a="1"/>
  <c r="H1283" i="5" a="1"/>
  <c r="J1122" i="5" a="1"/>
  <c r="B976" i="5" a="1"/>
  <c r="J1188" i="5" a="1"/>
  <c r="J1224" i="5" a="1"/>
  <c r="J1260" i="5" a="1"/>
  <c r="J1296" i="5" a="1"/>
  <c r="K1130" i="5" a="1"/>
  <c r="E1113" i="5" a="1"/>
  <c r="M1190" i="5" a="1"/>
  <c r="M1226" i="5" a="1"/>
  <c r="M1262" i="5" a="1"/>
  <c r="M1298" i="5" a="1"/>
  <c r="K1138" i="5" a="1"/>
  <c r="N1134" i="5" a="1"/>
  <c r="K1199" i="5" a="1"/>
  <c r="N1130" i="5" a="1"/>
  <c r="N1081" i="5" a="1"/>
  <c r="N1189" i="5" a="1"/>
  <c r="H1002" i="5" a="1"/>
  <c r="B1191" i="5" a="1"/>
  <c r="N509" i="5" a="1"/>
  <c r="H563" i="5" a="1"/>
  <c r="L631" i="5" a="1"/>
  <c r="J682" i="5" a="1"/>
  <c r="K837" i="5" a="1"/>
  <c r="J785" i="5" a="1"/>
  <c r="B758" i="5" a="1"/>
  <c r="L830" i="5" a="1"/>
  <c r="E835" i="5" a="1"/>
  <c r="L746" i="5" a="1"/>
  <c r="H839" i="5" a="1"/>
  <c r="L654" i="5" a="1"/>
  <c r="J884" i="5" a="1"/>
  <c r="K791" i="5" a="1"/>
  <c r="H845" i="5" a="1"/>
  <c r="E834" i="5" a="1"/>
  <c r="E838" i="5" a="1"/>
  <c r="N872" i="5" a="1"/>
  <c r="B898" i="5" a="1"/>
  <c r="K964" i="5" a="1"/>
  <c r="K1012" i="5" a="1"/>
  <c r="J899" i="5" a="1"/>
  <c r="K929" i="5" a="1"/>
  <c r="J986" i="5" a="1"/>
  <c r="N1038" i="5" a="1"/>
  <c r="J829" i="5" a="1"/>
  <c r="H780" i="5" a="1"/>
  <c r="H841" i="5" a="1"/>
  <c r="J972" i="5" a="1"/>
  <c r="J1020" i="5" a="1"/>
  <c r="I928" i="5" a="1"/>
  <c r="H905" i="5" a="1"/>
  <c r="K972" i="5" a="1"/>
  <c r="I1030" i="5" a="1"/>
  <c r="B922" i="5" a="1"/>
  <c r="N923" i="5" a="1"/>
  <c r="E990" i="5" a="1"/>
  <c r="H1040" i="5" a="1"/>
  <c r="H800" i="5" a="1"/>
  <c r="H955" i="5" a="1"/>
  <c r="N896" i="5" a="1"/>
  <c r="E895" i="5" a="1"/>
  <c r="E940" i="5" a="1"/>
  <c r="B833" i="5" a="1"/>
  <c r="J954" i="5" a="1"/>
  <c r="J1002" i="5" a="1"/>
  <c r="N1056" i="5" a="1"/>
  <c r="L1102" i="5" a="1"/>
  <c r="K1149" i="5" a="1"/>
  <c r="M983" i="5" a="1"/>
  <c r="H916" i="5" a="1"/>
  <c r="J1063" i="5" a="1"/>
  <c r="I1110" i="5" a="1"/>
  <c r="N1151" i="5" a="1"/>
  <c r="H921" i="5" a="1"/>
  <c r="K958" i="5" a="1"/>
  <c r="N1066" i="5" a="1"/>
  <c r="L1028" i="5" a="1"/>
  <c r="K962" i="5" a="1"/>
  <c r="N1053" i="5" a="1"/>
  <c r="N1089" i="5" a="1"/>
  <c r="N1125" i="5" a="1"/>
  <c r="N1161" i="5" a="1"/>
  <c r="L993" i="5" a="1"/>
  <c r="J855" i="5" a="1"/>
  <c r="N1052" i="5" a="1"/>
  <c r="N1088" i="5" a="1"/>
  <c r="N1124" i="5" a="1"/>
  <c r="N1160" i="5" a="1"/>
  <c r="B963" i="5" a="1"/>
  <c r="B1090" i="5" a="1"/>
  <c r="N993" i="5" a="1"/>
  <c r="E1067" i="5" a="1"/>
  <c r="E1103" i="5" a="1"/>
  <c r="E1139" i="5" a="1"/>
  <c r="E1175" i="5" a="1"/>
  <c r="M1020" i="5" a="1"/>
  <c r="H1003" i="5" a="1"/>
  <c r="E1066" i="5" a="1"/>
  <c r="N1020" i="5" a="1"/>
  <c r="L999" i="5" a="1"/>
  <c r="K1070" i="5" a="1"/>
  <c r="E1005" i="5" a="1"/>
  <c r="B985" i="5" a="1"/>
  <c r="N1060" i="5" a="1"/>
  <c r="N1096" i="5" a="1"/>
  <c r="N1132" i="5" a="1"/>
  <c r="E981" i="5" a="1"/>
  <c r="J1067" i="5" a="1"/>
  <c r="J1103" i="5" a="1"/>
  <c r="J1139" i="5" a="1"/>
  <c r="J1175" i="5" a="1"/>
  <c r="B1124" i="5" a="1"/>
  <c r="L979" i="5" a="1"/>
  <c r="M1180" i="5" a="1"/>
  <c r="K1217" i="5" a="1"/>
  <c r="K1253" i="5" a="1"/>
  <c r="K1289" i="5" a="1"/>
  <c r="J1106" i="5" a="1"/>
  <c r="B1294" i="5" a="1"/>
  <c r="N1183" i="5" a="1"/>
  <c r="I987" i="5" a="1"/>
  <c r="B1185" i="5" a="1"/>
  <c r="N1145" i="5" a="1"/>
  <c r="M1205" i="5" a="1"/>
  <c r="B1244" i="5" a="1"/>
  <c r="L1155" i="5" a="1"/>
  <c r="I1212" i="5" a="1"/>
  <c r="I1248" i="5" a="1"/>
  <c r="I1284" i="5" a="1"/>
  <c r="J1130" i="5" a="1"/>
  <c r="I1000" i="5" a="1"/>
  <c r="K1189" i="5" a="1"/>
  <c r="K1225" i="5" a="1"/>
  <c r="K1261" i="5" a="1"/>
  <c r="K1297" i="5" a="1"/>
  <c r="I1136" i="5" a="1"/>
  <c r="N1118" i="5" a="1"/>
  <c r="N1191" i="5" a="1"/>
  <c r="N1227" i="5" a="1"/>
  <c r="N1263" i="5" a="1"/>
  <c r="H861" i="5" a="1"/>
  <c r="H1144" i="5" a="1"/>
  <c r="L1136" i="5" a="1"/>
  <c r="L1200" i="5" a="1"/>
  <c r="B1137" i="5" a="1"/>
  <c r="B1088" i="5" a="1"/>
  <c r="E1193" i="5" a="1"/>
  <c r="E1025" i="5" a="1"/>
  <c r="B1203" i="5" a="1"/>
  <c r="B1141" i="5" a="1"/>
  <c r="K561" i="5" a="1"/>
  <c r="H631" i="5" a="1"/>
  <c r="I709" i="5" a="1"/>
  <c r="H629" i="5" a="1"/>
  <c r="I706" i="5" a="1"/>
  <c r="M824" i="5" a="1"/>
  <c r="J770" i="5" a="1"/>
  <c r="I610" i="5" a="1"/>
  <c r="L866" i="5" a="1"/>
  <c r="E752" i="5" a="1"/>
  <c r="M840" i="5" a="1"/>
  <c r="N708" i="5" a="1"/>
  <c r="K885" i="5" a="1"/>
  <c r="H797" i="5" a="1"/>
  <c r="I846" i="5" a="1"/>
  <c r="K839" i="5" a="1"/>
  <c r="B852" i="5" a="1"/>
  <c r="E876" i="5" a="1"/>
  <c r="L784" i="5" a="1"/>
  <c r="L965" i="5" a="1"/>
  <c r="L1013" i="5" a="1"/>
  <c r="E915" i="5" a="1"/>
  <c r="E931" i="5" a="1"/>
  <c r="E994" i="5" a="1"/>
  <c r="E1042" i="5" a="1"/>
  <c r="E841" i="5" a="1"/>
  <c r="I786" i="5" a="1"/>
  <c r="K856" i="5" a="1"/>
  <c r="L974" i="5" a="1"/>
  <c r="K1021" i="5" a="1"/>
  <c r="K931" i="5" a="1"/>
  <c r="M906" i="5" a="1"/>
  <c r="N975" i="5" a="1"/>
  <c r="J1031" i="5" a="1"/>
  <c r="J928" i="5" a="1"/>
  <c r="H925" i="5" a="1"/>
  <c r="H992" i="5" a="1"/>
  <c r="I1041" i="5" a="1"/>
  <c r="N819" i="5" a="1"/>
  <c r="I670" i="5" a="1"/>
  <c r="E919" i="5" a="1"/>
  <c r="H902" i="5" a="1"/>
  <c r="H941" i="5" a="1"/>
  <c r="J838" i="5" a="1"/>
  <c r="K955" i="5" a="1"/>
  <c r="E1010" i="5" a="1"/>
  <c r="E1060" i="5" a="1"/>
  <c r="N1104" i="5" a="1"/>
  <c r="H1158" i="5" a="1"/>
  <c r="N985" i="5" a="1"/>
  <c r="H937" i="5" a="1"/>
  <c r="K1064" i="5" a="1"/>
  <c r="K1112" i="5" a="1"/>
  <c r="E1155" i="5" a="1"/>
  <c r="H932" i="5" a="1"/>
  <c r="I960" i="5" a="1"/>
  <c r="E1070" i="5" a="1"/>
  <c r="B1044" i="5" a="1"/>
  <c r="K966" i="5" a="1"/>
  <c r="E1057" i="5" a="1"/>
  <c r="E1093" i="5" a="1"/>
  <c r="E1129" i="5" a="1"/>
  <c r="E1165" i="5" a="1"/>
  <c r="K1004" i="5" a="1"/>
  <c r="M882" i="5" a="1"/>
  <c r="E1056" i="5" a="1"/>
  <c r="E1092" i="5" a="1"/>
  <c r="E1128" i="5" a="1"/>
  <c r="E1164" i="5" a="1"/>
  <c r="L970" i="5" a="1"/>
  <c r="B1102" i="5" a="1"/>
  <c r="M995" i="5" a="1"/>
  <c r="H1069" i="5" a="1"/>
  <c r="H1105" i="5" a="1"/>
  <c r="H1141" i="5" a="1"/>
  <c r="H1177" i="5" a="1"/>
  <c r="J1027" i="5" a="1"/>
  <c r="N1004" i="5" a="1"/>
  <c r="H1068" i="5" a="1"/>
  <c r="K1027" i="5" a="1"/>
  <c r="I1003" i="5" a="1"/>
  <c r="L1071" i="5" a="1"/>
  <c r="I1012" i="5" a="1"/>
  <c r="E989" i="5" a="1"/>
  <c r="E1064" i="5" a="1"/>
  <c r="E1100" i="5" a="1"/>
  <c r="E1136" i="5" a="1"/>
  <c r="E985" i="5" a="1"/>
  <c r="K1068" i="5" a="1"/>
  <c r="K1104" i="5" a="1"/>
  <c r="K1140" i="5" a="1"/>
  <c r="K1176" i="5" a="1"/>
  <c r="L1131" i="5" a="1"/>
  <c r="B1011" i="5" a="1"/>
  <c r="J1182" i="5" a="1"/>
  <c r="L1218" i="5" a="1"/>
  <c r="L1254" i="5" a="1"/>
  <c r="L1290" i="5" a="1"/>
  <c r="H1112" i="5" a="1"/>
  <c r="K935" i="5" a="1"/>
  <c r="E1187" i="5" a="1"/>
  <c r="B1040" i="5" a="1"/>
  <c r="B1197" i="5" a="1"/>
  <c r="K573" i="5" a="1"/>
  <c r="K637" i="5" a="1"/>
  <c r="J710" i="5" a="1"/>
  <c r="J632" i="5" a="1"/>
  <c r="L733" i="5" a="1"/>
  <c r="N825" i="5" a="1"/>
  <c r="K771" i="5" a="1"/>
  <c r="K693" i="5" a="1"/>
  <c r="I875" i="5" a="1"/>
  <c r="H848" i="5" a="1"/>
  <c r="M864" i="5" a="1"/>
  <c r="I830" i="5" a="1"/>
  <c r="N888" i="5" a="1"/>
  <c r="E807" i="5" a="1"/>
  <c r="L849" i="5" a="1"/>
  <c r="E842" i="5" a="1"/>
  <c r="M732" i="5" a="1"/>
  <c r="H878" i="5" a="1"/>
  <c r="E866" i="5" a="1"/>
  <c r="M966" i="5" a="1"/>
  <c r="E1019" i="5" a="1"/>
  <c r="K916" i="5" a="1"/>
  <c r="M932" i="5" a="1"/>
  <c r="I997" i="5" a="1"/>
  <c r="H1044" i="5" a="1"/>
  <c r="H852" i="5" a="1"/>
  <c r="B818" i="5" a="1"/>
  <c r="J866" i="5" a="1"/>
  <c r="M975" i="5" a="1"/>
  <c r="L1022" i="5" a="1"/>
  <c r="B933" i="5" a="1"/>
  <c r="E910" i="5" a="1"/>
  <c r="E979" i="5" a="1"/>
  <c r="K1032" i="5" a="1"/>
  <c r="L931" i="5" a="1"/>
  <c r="I945" i="5" a="1"/>
  <c r="I993" i="5" a="1"/>
  <c r="J1042" i="5" a="1"/>
  <c r="B826" i="5" a="1"/>
  <c r="I842" i="5" a="1"/>
  <c r="H927" i="5" a="1"/>
  <c r="J907" i="5" a="1"/>
  <c r="I942" i="5" a="1"/>
  <c r="H843" i="5" a="1"/>
  <c r="N958" i="5" a="1"/>
  <c r="H892" i="5" a="1"/>
  <c r="H1062" i="5" a="1"/>
  <c r="E1108" i="5" a="1"/>
  <c r="I1159" i="5" a="1"/>
  <c r="L987" i="5" a="1"/>
  <c r="K953" i="5" a="1"/>
  <c r="L1065" i="5" a="1"/>
  <c r="L1113" i="5" a="1"/>
  <c r="H1157" i="5" a="1"/>
  <c r="J956" i="5" a="1"/>
  <c r="E972" i="5" a="1"/>
  <c r="H1072" i="5" a="1"/>
  <c r="J1050" i="5" a="1"/>
  <c r="J968" i="5" a="1"/>
  <c r="H1059" i="5" a="1"/>
  <c r="H1095" i="5" a="1"/>
  <c r="H1131" i="5" a="1"/>
  <c r="H1167" i="5" a="1"/>
  <c r="E1008" i="5" a="1"/>
  <c r="H888" i="5" a="1"/>
  <c r="H1058" i="5" a="1"/>
  <c r="H1094" i="5" a="1"/>
  <c r="H1130" i="5" a="1"/>
  <c r="H1166" i="5" a="1"/>
  <c r="M972" i="5" a="1"/>
  <c r="B1114" i="5" a="1"/>
  <c r="J997" i="5" a="1"/>
  <c r="I1070" i="5" a="1"/>
  <c r="I1106" i="5" a="1"/>
  <c r="I1142" i="5" a="1"/>
  <c r="I1178" i="5" a="1"/>
  <c r="E1036" i="5" a="1"/>
  <c r="M1006" i="5" a="1"/>
  <c r="I1069" i="5" a="1"/>
  <c r="H1034" i="5" a="1"/>
  <c r="N1008" i="5" a="1"/>
  <c r="M1072" i="5" a="1"/>
  <c r="K1017" i="5" a="1"/>
  <c r="L990" i="5" a="1"/>
  <c r="H1066" i="5" a="1"/>
  <c r="H1102" i="5" a="1"/>
  <c r="H1138" i="5" a="1"/>
  <c r="K994" i="5" a="1"/>
  <c r="L1069" i="5" a="1"/>
  <c r="L1105" i="5" a="1"/>
  <c r="L1141" i="5" a="1"/>
  <c r="L1177" i="5" a="1"/>
  <c r="M1133" i="5" a="1"/>
  <c r="M1027" i="5" a="1"/>
  <c r="M1183" i="5" a="1"/>
  <c r="M1219" i="5" a="1"/>
  <c r="M1255" i="5" a="1"/>
  <c r="M1291" i="5" a="1"/>
  <c r="H1116" i="5" a="1"/>
  <c r="B956" i="5" a="1"/>
  <c r="H1189" i="5" a="1"/>
  <c r="E1045" i="5" a="1"/>
  <c r="B1209" i="5" a="1"/>
  <c r="L1151" i="5" a="1"/>
  <c r="N884" i="5" a="1"/>
  <c r="B1268" i="5" a="1"/>
  <c r="H1168" i="5" a="1"/>
  <c r="K1214" i="5" a="1"/>
  <c r="K1250" i="5" a="1"/>
  <c r="K1286" i="5" a="1"/>
  <c r="H1140" i="5" a="1"/>
  <c r="K1041" i="5" a="1"/>
  <c r="M1191" i="5" a="1"/>
  <c r="M1227" i="5" a="1"/>
  <c r="M1263" i="5" a="1"/>
  <c r="L873" i="5" a="1"/>
  <c r="E604" i="5" a="1"/>
  <c r="N643" i="5" a="1"/>
  <c r="K711" i="5" a="1"/>
  <c r="B639" i="5" a="1"/>
  <c r="H742" i="5" a="1"/>
  <c r="E829" i="5" a="1"/>
  <c r="L772" i="5" a="1"/>
  <c r="L739" i="5" a="1"/>
  <c r="J876" i="5" a="1"/>
  <c r="K851" i="5" a="1"/>
  <c r="E869" i="5" a="1"/>
  <c r="I839" i="5" a="1"/>
  <c r="E892" i="5" a="1"/>
  <c r="E811" i="5" a="1"/>
  <c r="M850" i="5" a="1"/>
  <c r="H844" i="5" a="1"/>
  <c r="E738" i="5" a="1"/>
  <c r="L622" i="5" a="1"/>
  <c r="N871" i="5" a="1"/>
  <c r="N967" i="5" a="1"/>
  <c r="H1021" i="5" a="1"/>
  <c r="I918" i="5" a="1"/>
  <c r="N942" i="5" a="1"/>
  <c r="J998" i="5" a="1"/>
  <c r="I1045" i="5" a="1"/>
  <c r="I856" i="5" a="1"/>
  <c r="L844" i="5" a="1"/>
  <c r="M881" i="5" a="1"/>
  <c r="N976" i="5" a="1"/>
  <c r="M1023" i="5" a="1"/>
  <c r="B966" i="5" a="1"/>
  <c r="L913" i="5" a="1"/>
  <c r="H981" i="5" a="1"/>
  <c r="L1033" i="5" a="1"/>
  <c r="K939" i="5" a="1"/>
  <c r="K947" i="5" a="1"/>
  <c r="J994" i="5" a="1"/>
  <c r="K1043" i="5" a="1"/>
  <c r="M845" i="5" a="1"/>
  <c r="E865" i="5" a="1"/>
  <c r="L933" i="5" a="1"/>
  <c r="N910" i="5" a="1"/>
  <c r="J943" i="5" a="1"/>
  <c r="B851" i="5" a="1"/>
  <c r="E962" i="5" a="1"/>
  <c r="I904" i="5" a="1"/>
  <c r="I1063" i="5" a="1"/>
  <c r="H1110" i="5" a="1"/>
  <c r="J1160" i="5" a="1"/>
  <c r="K989" i="5" a="1"/>
  <c r="H966" i="5" a="1"/>
  <c r="M1066" i="5" a="1"/>
  <c r="M1114" i="5" a="1"/>
  <c r="I1158" i="5" a="1"/>
  <c r="H962" i="5" a="1"/>
  <c r="B984" i="5" a="1"/>
  <c r="I1073" i="5" a="1"/>
  <c r="B1056" i="5" a="1"/>
  <c r="H974" i="5" a="1"/>
  <c r="I1060" i="5" a="1"/>
  <c r="I1096" i="5" a="1"/>
  <c r="I1132" i="5" a="1"/>
  <c r="I1168" i="5" a="1"/>
  <c r="L1018" i="5" a="1"/>
  <c r="L917" i="5" a="1"/>
  <c r="I1059" i="5" a="1"/>
  <c r="I1095" i="5" a="1"/>
  <c r="I1131" i="5" a="1"/>
  <c r="I1167" i="5" a="1"/>
  <c r="K974" i="5" a="1"/>
  <c r="B1126" i="5" a="1"/>
  <c r="H1001" i="5" a="1"/>
  <c r="J1071" i="5" a="1"/>
  <c r="J1107" i="5" a="1"/>
  <c r="J1143" i="5" a="1"/>
  <c r="J1179" i="5" a="1"/>
  <c r="M1042" i="5" a="1"/>
  <c r="M1008" i="5" a="1"/>
  <c r="J1070" i="5" a="1"/>
  <c r="N1037" i="5" a="1"/>
  <c r="K1010" i="5" a="1"/>
  <c r="N1073" i="5" a="1"/>
  <c r="K1022" i="5" a="1"/>
  <c r="J1003" i="5" a="1"/>
  <c r="I1067" i="5" a="1"/>
  <c r="I1103" i="5" a="1"/>
  <c r="I1139" i="5" a="1"/>
  <c r="E1000" i="5" a="1"/>
  <c r="M1070" i="5" a="1"/>
  <c r="M1106" i="5" a="1"/>
  <c r="M1142" i="5" a="1"/>
  <c r="M1178" i="5" a="1"/>
  <c r="K1135" i="5" a="1"/>
  <c r="B1045" i="5" a="1"/>
  <c r="N1184" i="5" a="1"/>
  <c r="N1220" i="5" a="1"/>
  <c r="N1256" i="5" a="1"/>
  <c r="N1292" i="5" a="1"/>
  <c r="B1120" i="5" a="1"/>
  <c r="B962" i="5" a="1"/>
  <c r="I1190" i="5" a="1"/>
  <c r="N1069" i="5" a="1"/>
  <c r="M884" i="5" a="1"/>
  <c r="K1155" i="5" a="1"/>
  <c r="M1017" i="5" a="1"/>
  <c r="L897" i="5" a="1"/>
  <c r="E1172" i="5" a="1"/>
  <c r="L1215" i="5" a="1"/>
  <c r="L1251" i="5" a="1"/>
  <c r="L1287" i="5" a="1"/>
  <c r="B1144" i="5" a="1"/>
  <c r="L1046" i="5" a="1"/>
  <c r="N1192" i="5" a="1"/>
  <c r="N1228" i="5" a="1"/>
  <c r="N1264" i="5" a="1"/>
  <c r="I886" i="5" a="1"/>
  <c r="I1161" i="5" a="1"/>
  <c r="L1132" i="5" a="1"/>
  <c r="I1198" i="5" a="1"/>
  <c r="I1234" i="5" a="1"/>
  <c r="I1270" i="5" a="1"/>
  <c r="B958" i="5" a="1"/>
  <c r="I1163" i="5" a="1"/>
  <c r="J1150" i="5" a="1"/>
  <c r="E1206" i="5" a="1"/>
  <c r="J1146" i="5" a="1"/>
  <c r="K1099" i="5" a="1"/>
  <c r="J1197" i="5" a="1"/>
  <c r="B1086" i="5" a="1"/>
  <c r="B1239" i="5" a="1"/>
  <c r="I510" i="5" a="1"/>
  <c r="L669" i="5" a="1"/>
  <c r="M761" i="5" a="1"/>
  <c r="J705" i="5" a="1"/>
  <c r="M743" i="5" a="1"/>
  <c r="H831" i="5" a="1"/>
  <c r="M773" i="5" a="1"/>
  <c r="N744" i="5" a="1"/>
  <c r="K877" i="5" a="1"/>
  <c r="N854" i="5" a="1"/>
  <c r="J873" i="5" a="1"/>
  <c r="N840" i="5" a="1"/>
  <c r="H894" i="5" a="1"/>
  <c r="N818" i="5" a="1"/>
  <c r="N851" i="5" a="1"/>
  <c r="I845" i="5" a="1"/>
  <c r="I760" i="5" a="1"/>
  <c r="B634" i="5" a="1"/>
  <c r="N875" i="5" a="1"/>
  <c r="E971" i="5" a="1"/>
  <c r="I1022" i="5" a="1"/>
  <c r="N919" i="5" a="1"/>
  <c r="E946" i="5" a="1"/>
  <c r="K999" i="5" a="1"/>
  <c r="J1046" i="5" a="1"/>
  <c r="L881" i="5" a="1"/>
  <c r="M848" i="5" a="1"/>
  <c r="L883" i="5" a="1"/>
  <c r="E980" i="5" a="1"/>
  <c r="N1024" i="5" a="1"/>
  <c r="B990" i="5" a="1"/>
  <c r="H920" i="5" a="1"/>
  <c r="I982" i="5" a="1"/>
  <c r="M1034" i="5" a="1"/>
  <c r="B977" i="5" a="1"/>
  <c r="L948" i="5" a="1"/>
  <c r="K995" i="5" a="1"/>
  <c r="L1044" i="5" a="1"/>
  <c r="M872" i="5" a="1"/>
  <c r="N870" i="5" a="1"/>
  <c r="E935" i="5" a="1"/>
  <c r="K917" i="5" a="1"/>
  <c r="E951" i="5" a="1"/>
  <c r="J854" i="5" a="1"/>
  <c r="H964" i="5" a="1"/>
  <c r="L909" i="5" a="1"/>
  <c r="J1064" i="5" a="1"/>
  <c r="I1111" i="5" a="1"/>
  <c r="K1161" i="5" a="1"/>
  <c r="E993" i="5" a="1"/>
  <c r="E976" i="5" a="1"/>
  <c r="N1067" i="5" a="1"/>
  <c r="N1115" i="5" a="1"/>
  <c r="J1159" i="5" a="1"/>
  <c r="I964" i="5" a="1"/>
  <c r="B986" i="5" a="1"/>
  <c r="B777" i="5" a="1"/>
  <c r="B1068" i="5" a="1"/>
  <c r="I976" i="5" a="1"/>
  <c r="J1061" i="5" a="1"/>
  <c r="J1097" i="5" a="1"/>
  <c r="J1133" i="5" a="1"/>
  <c r="E512" i="5" a="1"/>
  <c r="B708" i="5" a="1"/>
  <c r="N762" i="5" a="1"/>
  <c r="K706" i="5" a="1"/>
  <c r="B793" i="5" a="1"/>
  <c r="B791" i="5" a="1"/>
  <c r="K696" i="5" a="1"/>
  <c r="M844" i="5" a="1"/>
  <c r="L878" i="5" a="1"/>
  <c r="E858" i="5" a="1"/>
  <c r="K874" i="5" a="1"/>
  <c r="E844" i="5" a="1"/>
  <c r="I895" i="5" a="1"/>
  <c r="B825" i="5" a="1"/>
  <c r="E855" i="5" a="1"/>
  <c r="J846" i="5" a="1"/>
  <c r="I782" i="5" a="1"/>
  <c r="M659" i="5" a="1"/>
  <c r="L877" i="5" a="1"/>
  <c r="H973" i="5" a="1"/>
  <c r="J1023" i="5" a="1"/>
  <c r="B936" i="5" a="1"/>
  <c r="H948" i="5" a="1"/>
  <c r="L1000" i="5" a="1"/>
  <c r="K1047" i="5" a="1"/>
  <c r="M890" i="5" a="1"/>
  <c r="I868" i="5" a="1"/>
  <c r="E889" i="5" a="1"/>
  <c r="H982" i="5" a="1"/>
  <c r="I1031" i="5" a="1"/>
  <c r="B1002" i="5" a="1"/>
  <c r="K923" i="5" a="1"/>
  <c r="J983" i="5" a="1"/>
  <c r="N1035" i="5" a="1"/>
  <c r="B989" i="5" a="1"/>
  <c r="M949" i="5" a="1"/>
  <c r="L996" i="5" a="1"/>
  <c r="H788" i="5" a="1"/>
  <c r="N874" i="5" a="1"/>
  <c r="M878" i="5" a="1"/>
  <c r="I938" i="5" a="1"/>
  <c r="I922" i="5" a="1"/>
  <c r="I954" i="5" a="1"/>
  <c r="K858" i="5" a="1"/>
  <c r="I965" i="5" a="1"/>
  <c r="J953" i="5" a="1"/>
  <c r="K1065" i="5" a="1"/>
  <c r="J1112" i="5" a="1"/>
  <c r="L1162" i="5" a="1"/>
  <c r="J1000" i="5" a="1"/>
  <c r="N981" i="5" a="1"/>
  <c r="K1076" i="5" a="1"/>
  <c r="E1119" i="5" a="1"/>
  <c r="K1160" i="5" a="1"/>
  <c r="B980" i="5" a="1"/>
  <c r="N989" i="5" a="1"/>
  <c r="J875" i="5" a="1"/>
  <c r="B1080" i="5" a="1"/>
  <c r="H995" i="5" a="1"/>
  <c r="K1062" i="5" a="1"/>
  <c r="K1098" i="5" a="1"/>
  <c r="K1134" i="5" a="1"/>
  <c r="B576" i="5" a="1"/>
  <c r="K524" i="5" a="1"/>
  <c r="L561" i="5" a="1"/>
  <c r="L707" i="5" a="1"/>
  <c r="B805" i="5" a="1"/>
  <c r="B839" i="5" a="1"/>
  <c r="E700" i="5" a="1"/>
  <c r="J853" i="5" a="1"/>
  <c r="H910" i="5" a="1"/>
  <c r="H860" i="5" a="1"/>
  <c r="L875" i="5" a="1"/>
  <c r="H846" i="5" a="1"/>
  <c r="J896" i="5" a="1"/>
  <c r="M826" i="5" a="1"/>
  <c r="H857" i="5" a="1"/>
  <c r="K847" i="5" a="1"/>
  <c r="E786" i="5" a="1"/>
  <c r="K681" i="5" a="1"/>
  <c r="K879" i="5" a="1"/>
  <c r="I974" i="5" a="1"/>
  <c r="K1024" i="5" a="1"/>
  <c r="B945" i="5" a="1"/>
  <c r="I949" i="5" a="1"/>
  <c r="M1001" i="5" a="1"/>
  <c r="H804" i="5" a="1"/>
  <c r="K892" i="5" a="1"/>
  <c r="I870" i="5" a="1"/>
  <c r="E891" i="5" a="1"/>
  <c r="I983" i="5" a="1"/>
  <c r="J1032" i="5" a="1"/>
  <c r="B1014" i="5" a="1"/>
  <c r="N926" i="5" a="1"/>
  <c r="E991" i="5" a="1"/>
  <c r="E1039" i="5" a="1"/>
  <c r="M559" i="5" a="1"/>
  <c r="I623" i="5" a="1"/>
  <c r="L644" i="5" a="1"/>
  <c r="M760" i="5" a="1"/>
  <c r="B817" i="5" a="1"/>
  <c r="K577" i="5" a="1"/>
  <c r="B712" i="5" a="1"/>
  <c r="L855" i="5" a="1"/>
  <c r="M915" i="5" a="1"/>
  <c r="I861" i="5" a="1"/>
  <c r="M876" i="5" a="1"/>
  <c r="I847" i="5" a="1"/>
  <c r="I907" i="5" a="1"/>
  <c r="K828" i="5" a="1"/>
  <c r="N783" i="5" a="1"/>
  <c r="L848" i="5" a="1"/>
  <c r="K819" i="5" a="1"/>
  <c r="E724" i="5" a="1"/>
  <c r="I906" i="5" a="1"/>
  <c r="J975" i="5" a="1"/>
  <c r="J1035" i="5" a="1"/>
  <c r="B957" i="5" a="1"/>
  <c r="J950" i="5" a="1"/>
  <c r="N1002" i="5" a="1"/>
  <c r="J811" i="5" a="1"/>
  <c r="I901" i="5" a="1"/>
  <c r="E874" i="5" a="1"/>
  <c r="N921" i="5" a="1"/>
  <c r="J984" i="5" a="1"/>
  <c r="K1033" i="5" a="1"/>
  <c r="B1026" i="5" a="1"/>
  <c r="B930" i="5" a="1"/>
  <c r="I994" i="5" a="1"/>
  <c r="H1041" i="5" a="1"/>
  <c r="B1013" i="5" a="1"/>
  <c r="E954" i="5" a="1"/>
  <c r="H1004" i="5" a="1"/>
  <c r="I853" i="5" a="1"/>
  <c r="I882" i="5" a="1"/>
  <c r="J891" i="5" a="1"/>
  <c r="I943" i="5" a="1"/>
  <c r="B950" i="5" a="1"/>
  <c r="K956" i="5" a="1"/>
  <c r="J863" i="5" a="1"/>
  <c r="E974" i="5" a="1"/>
  <c r="N977" i="5" a="1"/>
  <c r="N1068" i="5" a="1"/>
  <c r="H1122" i="5" a="1"/>
  <c r="N1164" i="5" a="1"/>
  <c r="H1023" i="5" a="1"/>
  <c r="J991" i="5" a="1"/>
  <c r="M1078" i="5" a="1"/>
  <c r="I1122" i="5" a="1"/>
  <c r="M1162" i="5" a="1"/>
  <c r="B999" i="5" a="1"/>
  <c r="K1002" i="5" a="1"/>
  <c r="M893" i="5" a="1"/>
  <c r="B1104" i="5" a="1"/>
  <c r="E1001" i="5" a="1"/>
  <c r="M1064" i="5" a="1"/>
  <c r="M1100" i="5" a="1"/>
  <c r="M1136" i="5" a="1"/>
  <c r="M1172" i="5" a="1"/>
  <c r="M1028" i="5" a="1"/>
  <c r="M964" i="5" a="1"/>
  <c r="M1063" i="5" a="1"/>
  <c r="M1099" i="5" a="1"/>
  <c r="M1135" i="5" a="1"/>
  <c r="M1171" i="5" a="1"/>
  <c r="I988" i="5" a="1"/>
  <c r="B1174" i="5" a="1"/>
  <c r="J1015" i="5" a="1"/>
  <c r="N1075" i="5" a="1"/>
  <c r="N1111" i="5" a="1"/>
  <c r="N1147" i="5" a="1"/>
  <c r="M821" i="5" a="1"/>
  <c r="B1053" i="5" a="1"/>
  <c r="E1029" i="5" a="1"/>
  <c r="N1074" i="5" a="1"/>
  <c r="B1052" i="5" a="1"/>
  <c r="J1029" i="5" a="1"/>
  <c r="L884" i="5" a="1"/>
  <c r="J1041" i="5" a="1"/>
  <c r="B1021" i="5" a="1"/>
  <c r="M1071" i="5" a="1"/>
  <c r="M1107" i="5" a="1"/>
  <c r="M1143" i="5" a="1"/>
  <c r="H1019" i="5" a="1"/>
  <c r="I1078" i="5" a="1"/>
  <c r="I1114" i="5" a="1"/>
  <c r="I1150" i="5" a="1"/>
  <c r="L955" i="5" a="1"/>
  <c r="I1149" i="5" a="1"/>
  <c r="L1088" i="5" a="1"/>
  <c r="J1192" i="5" a="1"/>
  <c r="J1228" i="5" a="1"/>
  <c r="J1264" i="5" a="1"/>
  <c r="N867" i="5" a="1"/>
  <c r="J1149" i="5" a="1"/>
  <c r="B1081" i="5" a="1"/>
  <c r="M1194" i="5" a="1"/>
  <c r="M1092" i="5" a="1"/>
  <c r="J981" i="5" a="1"/>
  <c r="K1175" i="5" a="1"/>
  <c r="B1093" i="5" a="1"/>
  <c r="N1058" i="5" a="1"/>
  <c r="H1187" i="5" a="1"/>
  <c r="H1223" i="5" a="1"/>
  <c r="H1259" i="5" a="1"/>
  <c r="N839" i="5" a="1"/>
  <c r="K1177" i="5" a="1"/>
  <c r="H1087" i="5" a="1"/>
  <c r="J1200" i="5" a="1"/>
  <c r="J1236" i="5" a="1"/>
  <c r="J1272" i="5" a="1"/>
  <c r="M1012" i="5" a="1"/>
  <c r="K569" i="5" a="1"/>
  <c r="I644" i="5" a="1"/>
  <c r="B659" i="5" a="1"/>
  <c r="J765" i="5" a="1"/>
  <c r="B829" i="5" a="1"/>
  <c r="E626" i="5" a="1"/>
  <c r="K734" i="5" a="1"/>
  <c r="M856" i="5" a="1"/>
  <c r="E920" i="5" a="1"/>
  <c r="K887" i="5" a="1"/>
  <c r="M900" i="5" a="1"/>
  <c r="J848" i="5" a="1"/>
  <c r="J908" i="5" a="1"/>
  <c r="B834" i="5" a="1"/>
  <c r="B790" i="5" a="1"/>
  <c r="M849" i="5" a="1"/>
  <c r="I825" i="5" a="1"/>
  <c r="N732" i="5" a="1"/>
  <c r="M909" i="5" a="1"/>
  <c r="K976" i="5" a="1"/>
  <c r="K1036" i="5" a="1"/>
  <c r="B969" i="5" a="1"/>
  <c r="E958" i="5" a="1"/>
  <c r="E1006" i="5" a="1"/>
  <c r="M817" i="5" a="1"/>
  <c r="H903" i="5" a="1"/>
  <c r="H885" i="5" a="1"/>
  <c r="M929" i="5" a="1"/>
  <c r="K985" i="5" a="1"/>
  <c r="L1034" i="5" a="1"/>
  <c r="B1038" i="5" a="1"/>
  <c r="E938" i="5" a="1"/>
  <c r="J995" i="5" a="1"/>
  <c r="I1042" i="5" a="1"/>
  <c r="B1025" i="5" a="1"/>
  <c r="H956" i="5" a="1"/>
  <c r="I1005" i="5" a="1"/>
  <c r="J857" i="5" a="1"/>
  <c r="B884" i="5" a="1"/>
  <c r="M910" i="5" a="1"/>
  <c r="J944" i="5" a="1"/>
  <c r="K474" i="5" a="1"/>
  <c r="L957" i="5" a="1"/>
  <c r="J871" i="5" a="1"/>
  <c r="I977" i="5" a="1"/>
  <c r="I991" i="5" a="1"/>
  <c r="E1072" i="5" a="1"/>
  <c r="J1124" i="5" a="1"/>
  <c r="E1168" i="5" a="1"/>
  <c r="L1026" i="5" a="1"/>
  <c r="B995" i="5" a="1"/>
  <c r="N1079" i="5" a="1"/>
  <c r="J1123" i="5" a="1"/>
  <c r="N1163" i="5" a="1"/>
  <c r="I1004" i="5" a="1"/>
  <c r="L1016" i="5" a="1"/>
  <c r="K927" i="5" a="1"/>
  <c r="B1116" i="5" a="1"/>
  <c r="L1002" i="5" a="1"/>
  <c r="N1065" i="5" a="1"/>
  <c r="N1101" i="5" a="1"/>
  <c r="N1137" i="5" a="1"/>
  <c r="M571" i="5" a="1"/>
  <c r="L650" i="5" a="1"/>
  <c r="J665" i="5" a="1"/>
  <c r="I776" i="5" a="1"/>
  <c r="L776" i="5" a="1"/>
  <c r="K785" i="5" a="1"/>
  <c r="M784" i="5" a="1"/>
  <c r="N857" i="5" a="1"/>
  <c r="H922" i="5" a="1"/>
  <c r="M889" i="5" a="1"/>
  <c r="E905" i="5" a="1"/>
  <c r="K849" i="5" a="1"/>
  <c r="K909" i="5" a="1"/>
  <c r="L837" i="5" a="1"/>
  <c r="L793" i="5" a="1"/>
  <c r="N850" i="5" a="1"/>
  <c r="H836" i="5" a="1"/>
  <c r="J743" i="5" a="1"/>
  <c r="I921" i="5" a="1"/>
  <c r="L977" i="5" a="1"/>
  <c r="L1037" i="5" a="1"/>
  <c r="B981" i="5" a="1"/>
  <c r="I961" i="5" a="1"/>
  <c r="H1008" i="5" a="1"/>
  <c r="N823" i="5" a="1"/>
  <c r="K906" i="5" a="1"/>
  <c r="B910" i="5" a="1"/>
  <c r="M934" i="5" a="1"/>
  <c r="L986" i="5" a="1"/>
  <c r="M1035" i="5" a="1"/>
  <c r="B1050" i="5" a="1"/>
  <c r="E943" i="5" a="1"/>
  <c r="K996" i="5" a="1"/>
  <c r="J1043" i="5" a="1"/>
  <c r="E831" i="5" a="1"/>
  <c r="I957" i="5" a="1"/>
  <c r="J1006" i="5" a="1"/>
  <c r="M860" i="5" a="1"/>
  <c r="N887" i="5" a="1"/>
  <c r="B924" i="5" a="1"/>
  <c r="K945" i="5" a="1"/>
  <c r="M633" i="5" a="1"/>
  <c r="M958" i="5" a="1"/>
  <c r="E890" i="5" a="1"/>
  <c r="J978" i="5" a="1"/>
  <c r="N996" i="5" a="1"/>
  <c r="H1074" i="5" a="1"/>
  <c r="K1125" i="5" a="1"/>
  <c r="H1170" i="5" a="1"/>
  <c r="B1030" i="5" a="1"/>
  <c r="N1007" i="5" a="1"/>
  <c r="E1083" i="5" a="1"/>
  <c r="K1124" i="5" a="1"/>
  <c r="E1167" i="5" a="1"/>
  <c r="B1006" i="5" a="1"/>
  <c r="I1035" i="5" a="1"/>
  <c r="K932" i="5" a="1"/>
  <c r="B1128" i="5" a="1"/>
  <c r="B1012" i="5" a="1"/>
  <c r="E1069" i="5" a="1"/>
  <c r="E1105" i="5" a="1"/>
  <c r="E1141" i="5" a="1"/>
  <c r="K494" i="5" a="1"/>
  <c r="N752" i="5" a="1"/>
  <c r="E717" i="5" a="1"/>
  <c r="H823" i="5" a="1"/>
  <c r="E782" i="5" a="1"/>
  <c r="N788" i="5" a="1"/>
  <c r="M796" i="5" a="1"/>
  <c r="H899" i="5" a="1"/>
  <c r="I818" i="5" a="1"/>
  <c r="J898" i="5" a="1"/>
  <c r="L911" i="5" a="1"/>
  <c r="H858" i="5" a="1"/>
  <c r="N912" i="5" a="1"/>
  <c r="N741" i="5" a="1"/>
  <c r="J807" i="5" a="1"/>
  <c r="K859" i="5" a="1"/>
  <c r="J844" i="5" a="1"/>
  <c r="J778" i="5" a="1"/>
  <c r="J929" i="5" a="1"/>
  <c r="I986" i="5" a="1"/>
  <c r="E1043" i="5" a="1"/>
  <c r="B1041" i="5" a="1"/>
  <c r="L964" i="5" a="1"/>
  <c r="K1011" i="5" a="1"/>
  <c r="K881" i="5" a="1"/>
  <c r="M921" i="5" a="1"/>
  <c r="K918" i="5" a="1"/>
  <c r="H946" i="5" a="1"/>
  <c r="I995" i="5" a="1"/>
  <c r="E853" i="5" a="1"/>
  <c r="B806" i="5" a="1"/>
  <c r="J947" i="5" a="1"/>
  <c r="N999" i="5" a="1"/>
  <c r="L780" i="5" a="1"/>
  <c r="L872" i="5" a="1"/>
  <c r="L960" i="5" a="1"/>
  <c r="I1017" i="5" a="1"/>
  <c r="M870" i="5" a="1"/>
  <c r="M898" i="5" a="1"/>
  <c r="N931" i="5" a="1"/>
  <c r="N948" i="5" a="1"/>
  <c r="J893" i="5" a="1"/>
  <c r="H965" i="5" a="1"/>
  <c r="H904" i="5" a="1"/>
  <c r="M981" i="5" a="1"/>
  <c r="M1007" i="5" a="1"/>
  <c r="K1077" i="5" a="1"/>
  <c r="N1128" i="5" a="1"/>
  <c r="K1173" i="5" a="1"/>
  <c r="H1050" i="5" a="1"/>
  <c r="L1038" i="5" a="1"/>
  <c r="J1087" i="5" a="1"/>
  <c r="N1127" i="5" a="1"/>
  <c r="K1172" i="5" a="1"/>
  <c r="N1033" i="5" a="1"/>
  <c r="K1045" i="5" a="1"/>
  <c r="H978" i="5" a="1"/>
  <c r="B1164" i="5" a="1"/>
  <c r="M1016" i="5" a="1"/>
  <c r="J1073" i="5" a="1"/>
  <c r="J1109" i="5" a="1"/>
  <c r="J1145" i="5" a="1"/>
  <c r="I648" i="5" a="1"/>
  <c r="B682" i="5" a="1"/>
  <c r="H622" i="5" a="1"/>
  <c r="B771" i="5" a="1"/>
  <c r="K823" i="5" a="1"/>
  <c r="H830" i="5" a="1"/>
  <c r="N797" i="5" a="1"/>
  <c r="I900" i="5" a="1"/>
  <c r="E822" i="5" a="1"/>
  <c r="K899" i="5" a="1"/>
  <c r="M912" i="5" a="1"/>
  <c r="I859" i="5" a="1"/>
  <c r="E916" i="5" a="1"/>
  <c r="K753" i="5" a="1"/>
  <c r="H813" i="5" a="1"/>
  <c r="L519" i="5" a="1"/>
  <c r="K845" i="5" a="1"/>
  <c r="H792" i="5" a="1"/>
  <c r="L932" i="5" a="1"/>
  <c r="J987" i="5" a="1"/>
  <c r="H1045" i="5" a="1"/>
  <c r="N622" i="5" a="1"/>
  <c r="M965" i="5" a="1"/>
  <c r="N1014" i="5" a="1"/>
  <c r="B889" i="5" a="1"/>
  <c r="J926" i="5" a="1"/>
  <c r="H928" i="5" a="1"/>
  <c r="I947" i="5" a="1"/>
  <c r="J996" i="5" a="1"/>
  <c r="K864" i="5" a="1"/>
  <c r="J819" i="5" a="1"/>
  <c r="E955" i="5" a="1"/>
  <c r="E1003" i="5" a="1"/>
  <c r="B794" i="5" a="1"/>
  <c r="M874" i="5" a="1"/>
  <c r="M961" i="5" a="1"/>
  <c r="K1019" i="5" a="1"/>
  <c r="K876" i="5" a="1"/>
  <c r="I660" i="5" a="1"/>
  <c r="B706" i="5" a="1"/>
  <c r="N628" i="5" a="1"/>
  <c r="B795" i="5" a="1"/>
  <c r="M825" i="5" a="1"/>
  <c r="J832" i="5" a="1"/>
  <c r="B740" i="5" a="1"/>
  <c r="N929" i="5" a="1"/>
  <c r="B858" i="5" a="1"/>
  <c r="M814" i="5" a="1"/>
  <c r="E941" i="5" a="1"/>
  <c r="I871" i="5" a="1"/>
  <c r="I919" i="5" a="1"/>
  <c r="I801" i="5" a="1"/>
  <c r="B821" i="5" a="1"/>
  <c r="M793" i="5" a="1"/>
  <c r="M847" i="5" a="1"/>
  <c r="H829" i="5" a="1"/>
  <c r="I937" i="5" a="1"/>
  <c r="J999" i="5" a="1"/>
  <c r="J1047" i="5" a="1"/>
  <c r="N897" i="5" a="1"/>
  <c r="E970" i="5" a="1"/>
  <c r="H1020" i="5" a="1"/>
  <c r="I894" i="5" a="1"/>
  <c r="N932" i="5" a="1"/>
  <c r="B979" i="5" a="1"/>
  <c r="K949" i="5" a="1"/>
  <c r="L998" i="5" a="1"/>
  <c r="J870" i="5" a="1"/>
  <c r="J845" i="5" a="1"/>
  <c r="J959" i="5" a="1"/>
  <c r="I1006" i="5" a="1"/>
  <c r="K860" i="5" a="1"/>
  <c r="I880" i="5" a="1"/>
  <c r="I969" i="5" a="1"/>
  <c r="M1021" i="5" a="1"/>
  <c r="I889" i="5" a="1"/>
  <c r="L936" i="5" a="1"/>
  <c r="J782" i="5" a="1"/>
  <c r="J842" i="5" a="1"/>
  <c r="L905" i="5" a="1"/>
  <c r="K968" i="5" a="1"/>
  <c r="I941" i="5" a="1"/>
  <c r="H988" i="5" a="1"/>
  <c r="J1016" i="5" a="1"/>
  <c r="K1089" i="5" a="1"/>
  <c r="I1135" i="5" a="1"/>
  <c r="E1180" i="5" a="1"/>
  <c r="B1130" i="5" a="1"/>
  <c r="N1043" i="5" a="1"/>
  <c r="M1090" i="5" a="1"/>
  <c r="J1135" i="5" a="1"/>
  <c r="N1175" i="5" a="1"/>
  <c r="B1057" i="5" a="1"/>
  <c r="L1052" i="5" a="1"/>
  <c r="L991" i="5" a="1"/>
  <c r="N803" i="5" a="1"/>
  <c r="K1030" i="5" a="1"/>
  <c r="M1076" i="5" a="1"/>
  <c r="M1112" i="5" a="1"/>
  <c r="M1148" i="5" a="1"/>
  <c r="K458" i="5" a="1"/>
  <c r="I923" i="5" a="1"/>
  <c r="H842" i="5" a="1"/>
  <c r="K844" i="5" a="1"/>
  <c r="L997" i="5" a="1"/>
  <c r="M896" i="5" a="1"/>
  <c r="N891" i="5" a="1"/>
  <c r="M1163" i="5" a="1"/>
  <c r="I1134" i="5" a="1"/>
  <c r="B1176" i="5" a="1"/>
  <c r="J1169" i="5" a="1"/>
  <c r="B1091" i="5" a="1"/>
  <c r="I1071" i="5" a="1"/>
  <c r="L1134" i="5" a="1"/>
  <c r="M917" i="5" a="1"/>
  <c r="N882" i="5" a="1"/>
  <c r="H1081" i="5" a="1"/>
  <c r="K1144" i="5" a="1"/>
  <c r="M976" i="5" a="1"/>
  <c r="J1044" i="5" a="1"/>
  <c r="B1048" i="5" a="1"/>
  <c r="E1065" i="5" a="1"/>
  <c r="H890" i="5" a="1"/>
  <c r="E1076" i="5" a="1"/>
  <c r="J1140" i="5" a="1"/>
  <c r="I1054" i="5" a="1"/>
  <c r="M1118" i="5" a="1"/>
  <c r="N944" i="5" a="1"/>
  <c r="B1271" i="5" a="1"/>
  <c r="H1202" i="5" a="1"/>
  <c r="L1266" i="5" a="1"/>
  <c r="N1133" i="5" a="1"/>
  <c r="L1143" i="5" a="1"/>
  <c r="K1106" i="5" a="1"/>
  <c r="N1162" i="5" a="1"/>
  <c r="L1164" i="5" a="1"/>
  <c r="J1189" i="5" a="1"/>
  <c r="N1241" i="5" a="1"/>
  <c r="N1017" i="5" a="1"/>
  <c r="K1079" i="5" a="1"/>
  <c r="J1212" i="5" a="1"/>
  <c r="L1274" i="5" a="1"/>
  <c r="N1122" i="5" a="1"/>
  <c r="N1157" i="5" a="1"/>
  <c r="M1214" i="5" a="1"/>
  <c r="K1272" i="5" a="1"/>
  <c r="B1071" i="5" a="1"/>
  <c r="K1142" i="5" a="1"/>
  <c r="M1213" i="5" a="1"/>
  <c r="L1019" i="5" a="1"/>
  <c r="L1199" i="5" a="1"/>
  <c r="B1133" i="5" a="1"/>
  <c r="N1093" i="5" a="1"/>
  <c r="J867" i="5" a="1"/>
  <c r="L1152" i="5" a="1"/>
  <c r="N1298" i="5" a="1"/>
  <c r="M1224" i="5" a="1"/>
  <c r="J1304" i="5" a="1"/>
  <c r="J1340" i="5" a="1"/>
  <c r="J1376" i="5" a="1"/>
  <c r="J1412" i="5" a="1"/>
  <c r="E1182" i="5" a="1"/>
  <c r="N1295" i="5" a="1"/>
  <c r="K1234" i="5" a="1"/>
  <c r="L1317" i="5" a="1"/>
  <c r="L1353" i="5" a="1"/>
  <c r="L1389" i="5" a="1"/>
  <c r="L1425" i="5" a="1"/>
  <c r="H1240" i="5" a="1"/>
  <c r="M1125" i="5" a="1"/>
  <c r="M1283" i="5" a="1"/>
  <c r="M1257" i="5" a="1"/>
  <c r="B1009" i="5" a="1"/>
  <c r="J1278" i="5" a="1"/>
  <c r="J1325" i="5" a="1"/>
  <c r="J1361" i="5" a="1"/>
  <c r="J1397" i="5" a="1"/>
  <c r="J1433" i="5" a="1"/>
  <c r="K1244" i="5" a="1"/>
  <c r="H1160" i="5" a="1"/>
  <c r="N1297" i="5" a="1"/>
  <c r="I1335" i="5" a="1"/>
  <c r="I1371" i="5" a="1"/>
  <c r="I1407" i="5" a="1"/>
  <c r="N1105" i="5" a="1"/>
  <c r="L1267" i="5" a="1"/>
  <c r="I979" i="5" a="1"/>
  <c r="K1280" i="5" a="1"/>
  <c r="M1326" i="5" a="1"/>
  <c r="M1362" i="5" a="1"/>
  <c r="M1398" i="5" a="1"/>
  <c r="M1434" i="5" a="1"/>
  <c r="I1256" i="5" a="1"/>
  <c r="E1241" i="5" a="1"/>
  <c r="E1192" i="5" a="1"/>
  <c r="J1078" i="5" a="1"/>
  <c r="M1280" i="5" a="1"/>
  <c r="L1233" i="5" a="1"/>
  <c r="B1411" i="5" a="1"/>
  <c r="B1377" i="5" a="1"/>
  <c r="E1454" i="5" a="1"/>
  <c r="E1490" i="5" a="1"/>
  <c r="E1526" i="5" a="1"/>
  <c r="H1088" i="5" a="1"/>
  <c r="H1367" i="5" a="1"/>
  <c r="K1218" i="5" a="1"/>
  <c r="I1388" i="5" a="1"/>
  <c r="J1457" i="5" a="1"/>
  <c r="J1493" i="5" a="1"/>
  <c r="J1529" i="5" a="1"/>
  <c r="I1241" i="5" a="1"/>
  <c r="N1386" i="5" a="1"/>
  <c r="B1329" i="5" a="1"/>
  <c r="K1185" i="5" a="1"/>
  <c r="M1357" i="5" a="1"/>
  <c r="B1558" i="5" a="1"/>
  <c r="K1371" i="5" a="1"/>
  <c r="J1455" i="5" a="1"/>
  <c r="J1491" i="5" a="1"/>
  <c r="J1527" i="5" a="1"/>
  <c r="K1196" i="5" a="1"/>
  <c r="I1379" i="5" a="1"/>
  <c r="L1003" i="5" a="1"/>
  <c r="L1369" i="5" a="1"/>
  <c r="I1453" i="5" a="1"/>
  <c r="I1489" i="5" a="1"/>
  <c r="I1525" i="5" a="1"/>
  <c r="L1196" i="5" a="1"/>
  <c r="L480" i="5" a="1"/>
  <c r="E775" i="5" a="1"/>
  <c r="I843" i="5" a="1"/>
  <c r="B876" i="5" a="1"/>
  <c r="M998" i="5" a="1"/>
  <c r="J905" i="5" a="1"/>
  <c r="K893" i="5" a="1"/>
  <c r="I1171" i="5" a="1"/>
  <c r="L1161" i="5" a="1"/>
  <c r="J790" i="5" a="1"/>
  <c r="K1170" i="5" a="1"/>
  <c r="B1139" i="5" a="1"/>
  <c r="J1072" i="5" a="1"/>
  <c r="N1136" i="5" a="1"/>
  <c r="B947" i="5" a="1"/>
  <c r="J895" i="5" a="1"/>
  <c r="I1082" i="5" a="1"/>
  <c r="L1145" i="5" a="1"/>
  <c r="I999" i="5" a="1"/>
  <c r="E1046" i="5" a="1"/>
  <c r="B1064" i="5" a="1"/>
  <c r="H1067" i="5" a="1"/>
  <c r="J902" i="5" a="1"/>
  <c r="H1078" i="5" a="1"/>
  <c r="K1141" i="5" a="1"/>
  <c r="M1058" i="5" a="1"/>
  <c r="N1119" i="5" a="1"/>
  <c r="N961" i="5" a="1"/>
  <c r="B1283" i="5" a="1"/>
  <c r="I1203" i="5" a="1"/>
  <c r="M1267" i="5" a="1"/>
  <c r="M1137" i="5" a="1"/>
  <c r="J1153" i="5" a="1"/>
  <c r="I1112" i="5" a="1"/>
  <c r="M1173" i="5" a="1"/>
  <c r="B1184" i="5" a="1"/>
  <c r="K1190" i="5" a="1"/>
  <c r="J1249" i="5" a="1"/>
  <c r="K1046" i="5" a="1"/>
  <c r="J1081" i="5" a="1"/>
  <c r="N1216" i="5" a="1"/>
  <c r="M1275" i="5" a="1"/>
  <c r="J1138" i="5" a="1"/>
  <c r="K1159" i="5" a="1"/>
  <c r="I1222" i="5" a="1"/>
  <c r="L1273" i="5" a="1"/>
  <c r="H1075" i="5" a="1"/>
  <c r="I1148" i="5" a="1"/>
  <c r="L971" i="5" a="1"/>
  <c r="I1052" i="5" a="1"/>
  <c r="M1200" i="5" a="1"/>
  <c r="B1135" i="5" a="1"/>
  <c r="L1107" i="5" a="1"/>
  <c r="J879" i="5" a="1"/>
  <c r="M1185" i="5" a="1"/>
  <c r="B1311" i="5" a="1"/>
  <c r="N1226" i="5" a="1"/>
  <c r="K1305" i="5" a="1"/>
  <c r="K1341" i="5" a="1"/>
  <c r="K1377" i="5" a="1"/>
  <c r="K1413" i="5" a="1"/>
  <c r="N1185" i="5" a="1"/>
  <c r="I1297" i="5" a="1"/>
  <c r="H1236" i="5" a="1"/>
  <c r="M1318" i="5" a="1"/>
  <c r="M1354" i="5" a="1"/>
  <c r="M1390" i="5" a="1"/>
  <c r="M1426" i="5" a="1"/>
  <c r="I1242" i="5" a="1"/>
  <c r="E1133" i="5" a="1"/>
  <c r="E1289" i="5" a="1"/>
  <c r="M1259" i="5" a="1"/>
  <c r="H1076" i="5" a="1"/>
  <c r="H1280" i="5" a="1"/>
  <c r="K1326" i="5" a="1"/>
  <c r="K1362" i="5" a="1"/>
  <c r="K1398" i="5" a="1"/>
  <c r="K1434" i="5" a="1"/>
  <c r="N1257" i="5" a="1"/>
  <c r="K1194" i="5" a="1"/>
  <c r="J1300" i="5" a="1"/>
  <c r="J1336" i="5" a="1"/>
  <c r="J1372" i="5" a="1"/>
  <c r="J1408" i="5" a="1"/>
  <c r="M1113" i="5" a="1"/>
  <c r="L1269" i="5" a="1"/>
  <c r="J1038" i="5" a="1"/>
  <c r="J1282" i="5" a="1"/>
  <c r="N1327" i="5" a="1"/>
  <c r="N1363" i="5" a="1"/>
  <c r="N1399" i="5" a="1"/>
  <c r="N1435" i="5" a="1"/>
  <c r="E1262" i="5" a="1"/>
  <c r="N1246" i="5" a="1"/>
  <c r="K1195" i="5" a="1"/>
  <c r="N1121" i="5" a="1"/>
  <c r="M1282" i="5" a="1"/>
  <c r="I1237" i="5" a="1"/>
  <c r="B1423" i="5" a="1"/>
  <c r="L1382" i="5" a="1"/>
  <c r="H1456" i="5" a="1"/>
  <c r="H1492" i="5" a="1"/>
  <c r="H1528" i="5" a="1"/>
  <c r="L1184" i="5" a="1"/>
  <c r="N1378" i="5" a="1"/>
  <c r="E1230" i="5" a="1"/>
  <c r="J1390" i="5" a="1"/>
  <c r="K1458" i="5" a="1"/>
  <c r="K1494" i="5" a="1"/>
  <c r="K1530" i="5" a="1"/>
  <c r="J1251" i="5" a="1"/>
  <c r="H1402" i="5" a="1"/>
  <c r="L1334" i="5" a="1"/>
  <c r="H1204" i="5" a="1"/>
  <c r="J1365" i="5" a="1"/>
  <c r="K1078" i="5" a="1"/>
  <c r="H1377" i="5" a="1"/>
  <c r="K1456" i="5" a="1"/>
  <c r="K1492" i="5" a="1"/>
  <c r="K1528" i="5" a="1"/>
  <c r="I1204" i="5" a="1"/>
  <c r="B1385" i="5" a="1"/>
  <c r="H1043" i="5" a="1"/>
  <c r="L1371" i="5" a="1"/>
  <c r="J1454" i="5" a="1"/>
  <c r="J1490" i="5" a="1"/>
  <c r="J1526" i="5" a="1"/>
  <c r="M652" i="5" a="1"/>
  <c r="H833" i="5" a="1"/>
  <c r="L846" i="5" a="1"/>
  <c r="J892" i="5" a="1"/>
  <c r="H1005" i="5" a="1"/>
  <c r="E914" i="5" a="1"/>
  <c r="M905" i="5" a="1"/>
  <c r="J1172" i="5" a="1"/>
  <c r="I1170" i="5" a="1"/>
  <c r="E999" i="5" a="1"/>
  <c r="L1171" i="5" a="1"/>
  <c r="B1151" i="5" a="1"/>
  <c r="K1073" i="5" a="1"/>
  <c r="E1140" i="5" a="1"/>
  <c r="K978" i="5" a="1"/>
  <c r="K912" i="5" a="1"/>
  <c r="J1083" i="5" a="1"/>
  <c r="M1146" i="5" a="1"/>
  <c r="H1010" i="5" a="1"/>
  <c r="M1047" i="5" a="1"/>
  <c r="B1076" i="5" a="1"/>
  <c r="J766" i="5" a="1"/>
  <c r="K919" i="5" a="1"/>
  <c r="I1079" i="5" a="1"/>
  <c r="L1142" i="5" a="1"/>
  <c r="N1059" i="5" a="1"/>
  <c r="E1123" i="5" a="1"/>
  <c r="M967" i="5" a="1"/>
  <c r="M1080" i="5" a="1"/>
  <c r="J1204" i="5" a="1"/>
  <c r="N1268" i="5" a="1"/>
  <c r="L1139" i="5" a="1"/>
  <c r="J1164" i="5" a="1"/>
  <c r="J1114" i="5" a="1"/>
  <c r="B1181" i="5" a="1"/>
  <c r="B1196" i="5" a="1"/>
  <c r="L1191" i="5" a="1"/>
  <c r="M1252" i="5" a="1"/>
  <c r="H1051" i="5" a="1"/>
  <c r="I1089" i="5" a="1"/>
  <c r="E1220" i="5" a="1"/>
  <c r="N1276" i="5" a="1"/>
  <c r="I1140" i="5" a="1"/>
  <c r="N1166" i="5" a="1"/>
  <c r="J1223" i="5" a="1"/>
  <c r="M1274" i="5" a="1"/>
  <c r="L1083" i="5" a="1"/>
  <c r="I1152" i="5" a="1"/>
  <c r="E996" i="5" a="1"/>
  <c r="B1060" i="5" a="1"/>
  <c r="N1201" i="5" a="1"/>
  <c r="M1140" i="5" a="1"/>
  <c r="K1111" i="5" a="1"/>
  <c r="L967" i="5" a="1"/>
  <c r="I1193" i="5" a="1"/>
  <c r="B1323" i="5" a="1"/>
  <c r="K1228" i="5" a="1"/>
  <c r="L1306" i="5" a="1"/>
  <c r="L1342" i="5" a="1"/>
  <c r="L1378" i="5" a="1"/>
  <c r="L1414" i="5" a="1"/>
  <c r="J1193" i="5" a="1"/>
  <c r="B1310" i="5" a="1"/>
  <c r="I1238" i="5" a="1"/>
  <c r="N1319" i="5" a="1"/>
  <c r="N1355" i="5" a="1"/>
  <c r="N1391" i="5" a="1"/>
  <c r="N1427" i="5" a="1"/>
  <c r="H1244" i="5" a="1"/>
  <c r="M1186" i="5" a="1"/>
  <c r="L1292" i="5" a="1"/>
  <c r="M1261" i="5" a="1"/>
  <c r="B1098" i="5" a="1"/>
  <c r="M1285" i="5" a="1"/>
  <c r="L1327" i="5" a="1"/>
  <c r="L1363" i="5" a="1"/>
  <c r="L1399" i="5" a="1"/>
  <c r="L1435" i="5" a="1"/>
  <c r="N1261" i="5" a="1"/>
  <c r="M1198" i="5" a="1"/>
  <c r="K1301" i="5" a="1"/>
  <c r="K1337" i="5" a="1"/>
  <c r="K1373" i="5" a="1"/>
  <c r="K1409" i="5" a="1"/>
  <c r="I1141" i="5" a="1"/>
  <c r="K1271" i="5" a="1"/>
  <c r="I1053" i="5" a="1"/>
  <c r="J1289" i="5" a="1"/>
  <c r="E1331" i="5" a="1"/>
  <c r="E1367" i="5" a="1"/>
  <c r="E1403" i="5" a="1"/>
  <c r="M930" i="5" a="1"/>
  <c r="E1266" i="5" a="1"/>
  <c r="M1248" i="5" a="1"/>
  <c r="L1210" i="5" a="1"/>
  <c r="I1129" i="5" a="1"/>
  <c r="J1293" i="5" a="1"/>
  <c r="H1239" i="5" a="1"/>
  <c r="B1435" i="5" a="1"/>
  <c r="H1388" i="5" a="1"/>
  <c r="I1457" i="5" a="1"/>
  <c r="I1493" i="5" a="1"/>
  <c r="I1529" i="5" a="1"/>
  <c r="H1193" i="5" a="1"/>
  <c r="L1380" i="5" a="1"/>
  <c r="M1235" i="5" a="1"/>
  <c r="J1392" i="5" a="1"/>
  <c r="L1459" i="5" a="1"/>
  <c r="L1495" i="5" a="1"/>
  <c r="L1531" i="5" a="1"/>
  <c r="K1268" i="5" a="1"/>
  <c r="N1405" i="5" a="1"/>
  <c r="H1340" i="5" a="1"/>
  <c r="N1218" i="5" a="1"/>
  <c r="J1369" i="5" a="1"/>
  <c r="L1185" i="5" a="1"/>
  <c r="H1379" i="5" a="1"/>
  <c r="L1457" i="5" a="1"/>
  <c r="L1493" i="5" a="1"/>
  <c r="L1529" i="5" a="1"/>
  <c r="L1224" i="5" a="1"/>
  <c r="M1394" i="5" a="1"/>
  <c r="J1214" i="5" a="1"/>
  <c r="I1377" i="5" a="1"/>
  <c r="K1455" i="5" a="1"/>
  <c r="K1491" i="5" a="1"/>
  <c r="K1527" i="5" a="1"/>
  <c r="L750" i="5" a="1"/>
  <c r="H896" i="5" a="1"/>
  <c r="M769" i="5" a="1"/>
  <c r="N911" i="5" a="1"/>
  <c r="K1044" i="5" a="1"/>
  <c r="K880" i="5" a="1"/>
  <c r="N933" i="5" a="1"/>
  <c r="L1174" i="5" a="1"/>
  <c r="J1171" i="5" a="1"/>
  <c r="J1013" i="5" a="1"/>
  <c r="N1173" i="5" a="1"/>
  <c r="B1163" i="5" a="1"/>
  <c r="L1074" i="5" a="1"/>
  <c r="H1142" i="5" a="1"/>
  <c r="J980" i="5" a="1"/>
  <c r="B961" i="5" a="1"/>
  <c r="K1084" i="5" a="1"/>
  <c r="E1151" i="5" a="1"/>
  <c r="N1013" i="5" a="1"/>
  <c r="I1049" i="5" a="1"/>
  <c r="L809" i="5" a="1"/>
  <c r="N858" i="5" a="1"/>
  <c r="I952" i="5" a="1"/>
  <c r="J1080" i="5" a="1"/>
  <c r="N1144" i="5" a="1"/>
  <c r="E1063" i="5" a="1"/>
  <c r="H1125" i="5" a="1"/>
  <c r="N973" i="5" a="1"/>
  <c r="M1084" i="5" a="1"/>
  <c r="N1208" i="5" a="1"/>
  <c r="E1272" i="5" a="1"/>
  <c r="B1159" i="5" a="1"/>
  <c r="B1168" i="5" a="1"/>
  <c r="I1116" i="5" a="1"/>
  <c r="N1182" i="5" a="1"/>
  <c r="B1208" i="5" a="1"/>
  <c r="M1192" i="5" a="1"/>
  <c r="N1253" i="5" a="1"/>
  <c r="J1077" i="5" a="1"/>
  <c r="B1105" i="5" a="1"/>
  <c r="H1222" i="5" a="1"/>
  <c r="E1280" i="5" a="1"/>
  <c r="H1163" i="5" a="1"/>
  <c r="M1168" i="5" a="1"/>
  <c r="K1224" i="5" a="1"/>
  <c r="N1275" i="5" a="1"/>
  <c r="M1085" i="5" a="1"/>
  <c r="B1156" i="5" a="1"/>
  <c r="L1007" i="5" a="1"/>
  <c r="L1095" i="5" a="1"/>
  <c r="E1205" i="5" a="1"/>
  <c r="M1144" i="5" a="1"/>
  <c r="K1115" i="5" a="1"/>
  <c r="J973" i="5" a="1"/>
  <c r="B1201" i="5" a="1"/>
  <c r="B1335" i="5" a="1"/>
  <c r="J1232" i="5" a="1"/>
  <c r="M1307" i="5" a="1"/>
  <c r="M1343" i="5" a="1"/>
  <c r="M1379" i="5" a="1"/>
  <c r="M1415" i="5" a="1"/>
  <c r="L1197" i="5" a="1"/>
  <c r="B1322" i="5" a="1"/>
  <c r="H1242" i="5" a="1"/>
  <c r="E1323" i="5" a="1"/>
  <c r="E1359" i="5" a="1"/>
  <c r="E1395" i="5" a="1"/>
  <c r="E1431" i="5" a="1"/>
  <c r="B1248" i="5" a="1"/>
  <c r="I1194" i="5" a="1"/>
  <c r="B1296" i="5" a="1"/>
  <c r="J1267" i="5" a="1"/>
  <c r="L1119" i="5" a="1"/>
  <c r="J1287" i="5" a="1"/>
  <c r="M1328" i="5" a="1"/>
  <c r="M1364" i="5" a="1"/>
  <c r="M1400" i="5" a="1"/>
  <c r="M1436" i="5" a="1"/>
  <c r="L1265" i="5" a="1"/>
  <c r="I1206" i="5" a="1"/>
  <c r="L1302" i="5" a="1"/>
  <c r="L1338" i="5" a="1"/>
  <c r="L1374" i="5" a="1"/>
  <c r="L1410" i="5" a="1"/>
  <c r="B1149" i="5" a="1"/>
  <c r="H1273" i="5" a="1"/>
  <c r="B1077" i="5" a="1"/>
  <c r="I1291" i="5" a="1"/>
  <c r="H1333" i="5" a="1"/>
  <c r="H1369" i="5" a="1"/>
  <c r="H1405" i="5" a="1"/>
  <c r="H1084" i="5" a="1"/>
  <c r="M1269" i="5" a="1"/>
  <c r="N1250" i="5" a="1"/>
  <c r="N1221" i="5" a="1"/>
  <c r="B1143" i="5" a="1"/>
  <c r="E1295" i="5" a="1"/>
  <c r="H1243" i="5" a="1"/>
  <c r="L1056" i="5" a="1"/>
  <c r="I1390" i="5" a="1"/>
  <c r="J1458" i="5" a="1"/>
  <c r="J1494" i="5" a="1"/>
  <c r="J1530" i="5" a="1"/>
  <c r="M1211" i="5" a="1"/>
  <c r="L1384" i="5" a="1"/>
  <c r="H1251" i="5" a="1"/>
  <c r="J1394" i="5" a="1"/>
  <c r="M1460" i="5" a="1"/>
  <c r="M1496" i="5" a="1"/>
  <c r="M1532" i="5" a="1"/>
  <c r="H1279" i="5" a="1"/>
  <c r="B1412" i="5" a="1"/>
  <c r="I1342" i="5" a="1"/>
  <c r="H1224" i="5" a="1"/>
  <c r="E1373" i="5" a="1"/>
  <c r="J1196" i="5" a="1"/>
  <c r="N1390" i="5" a="1"/>
  <c r="M1458" i="5" a="1"/>
  <c r="M1494" i="5" a="1"/>
  <c r="M1530" i="5" a="1"/>
  <c r="E1253" i="5" a="1"/>
  <c r="I1400" i="5" a="1"/>
  <c r="M1241" i="5" a="1"/>
  <c r="I1381" i="5" a="1"/>
  <c r="L1456" i="5" a="1"/>
  <c r="L1492" i="5" a="1"/>
  <c r="L1528" i="5" a="1"/>
  <c r="M751" i="5" a="1"/>
  <c r="I897" i="5" a="1"/>
  <c r="B774" i="5" a="1"/>
  <c r="B920" i="5" a="1"/>
  <c r="N1047" i="5" a="1"/>
  <c r="L928" i="5" a="1"/>
  <c r="J966" i="5" a="1"/>
  <c r="N1176" i="5" a="1"/>
  <c r="L1173" i="5" a="1"/>
  <c r="H1015" i="5" a="1"/>
  <c r="E1177" i="5" a="1"/>
  <c r="N927" i="5" a="1"/>
  <c r="M1075" i="5" a="1"/>
  <c r="I1143" i="5" a="1"/>
  <c r="H986" i="5" a="1"/>
  <c r="E965" i="5" a="1"/>
  <c r="L1085" i="5" a="1"/>
  <c r="H1153" i="5" a="1"/>
  <c r="I1044" i="5" a="1"/>
  <c r="N1050" i="5" a="1"/>
  <c r="L865" i="5" a="1"/>
  <c r="B866" i="5" a="1"/>
  <c r="K957" i="5" a="1"/>
  <c r="K1081" i="5" a="1"/>
  <c r="E1148" i="5" a="1"/>
  <c r="N1071" i="5" a="1"/>
  <c r="I1126" i="5" a="1"/>
  <c r="M992" i="5" a="1"/>
  <c r="N1086" i="5" a="1"/>
  <c r="E1212" i="5" a="1"/>
  <c r="H1274" i="5" a="1"/>
  <c r="B1161" i="5" a="1"/>
  <c r="J1191" i="5" a="1"/>
  <c r="B1134" i="5" a="1"/>
  <c r="E1186" i="5" a="1"/>
  <c r="B1256" i="5" a="1"/>
  <c r="N1193" i="5" a="1"/>
  <c r="E1257" i="5" a="1"/>
  <c r="N1106" i="5" a="1"/>
  <c r="N1114" i="5" a="1"/>
  <c r="L1226" i="5" a="1"/>
  <c r="H1282" i="5" a="1"/>
  <c r="B1165" i="5" a="1"/>
  <c r="J1170" i="5" a="1"/>
  <c r="E1231" i="5" a="1"/>
  <c r="E1279" i="5" a="1"/>
  <c r="H1099" i="5" a="1"/>
  <c r="N1168" i="5" a="1"/>
  <c r="M1024" i="5" a="1"/>
  <c r="M1097" i="5" a="1"/>
  <c r="H1207" i="5" a="1"/>
  <c r="N1146" i="5" a="1"/>
  <c r="J1117" i="5" a="1"/>
  <c r="J985" i="5" a="1"/>
  <c r="E1215" i="5" a="1"/>
  <c r="B1347" i="5" a="1"/>
  <c r="J1234" i="5" a="1"/>
  <c r="N1308" i="5" a="1"/>
  <c r="N1344" i="5" a="1"/>
  <c r="N1380" i="5" a="1"/>
  <c r="N1416" i="5" a="1"/>
  <c r="H1205" i="5" a="1"/>
  <c r="B1334" i="5" a="1"/>
  <c r="K1257" i="5" a="1"/>
  <c r="H1325" i="5" a="1"/>
  <c r="H1361" i="5" a="1"/>
  <c r="H1397" i="5" a="1"/>
  <c r="B694" i="5" a="1"/>
  <c r="B797" i="5" a="1"/>
  <c r="B796" i="5" a="1"/>
  <c r="L929" i="5" a="1"/>
  <c r="H853" i="5" a="1"/>
  <c r="I930" i="5" a="1"/>
  <c r="K979" i="5" a="1"/>
  <c r="I1002" i="5" a="1"/>
  <c r="M1174" i="5" a="1"/>
  <c r="E1020" i="5" a="1"/>
  <c r="H1179" i="5" a="1"/>
  <c r="K954" i="5" a="1"/>
  <c r="I1083" i="5" a="1"/>
  <c r="J1144" i="5" a="1"/>
  <c r="H990" i="5" a="1"/>
  <c r="M968" i="5" a="1"/>
  <c r="M1086" i="5" a="1"/>
  <c r="I1154" i="5" a="1"/>
  <c r="L1047" i="5" a="1"/>
  <c r="J1058" i="5" a="1"/>
  <c r="L871" i="5" a="1"/>
  <c r="M895" i="5" a="1"/>
  <c r="I963" i="5" a="1"/>
  <c r="L1082" i="5" a="1"/>
  <c r="H1150" i="5" a="1"/>
  <c r="E1075" i="5" a="1"/>
  <c r="M1130" i="5" a="1"/>
  <c r="H998" i="5" a="1"/>
  <c r="K1094" i="5" a="1"/>
  <c r="H1214" i="5" a="1"/>
  <c r="I1275" i="5" a="1"/>
  <c r="K1162" i="5" a="1"/>
  <c r="K1192" i="5" a="1"/>
  <c r="J1166" i="5" a="1"/>
  <c r="H1188" i="5" a="1"/>
  <c r="L963" i="5" a="1"/>
  <c r="E1197" i="5" a="1"/>
  <c r="I1260" i="5" a="1"/>
  <c r="B1113" i="5" a="1"/>
  <c r="K1126" i="5" a="1"/>
  <c r="E1232" i="5" a="1"/>
  <c r="I1283" i="5" a="1"/>
  <c r="H1172" i="5" a="1"/>
  <c r="H1174" i="5" a="1"/>
  <c r="H1233" i="5" a="1"/>
  <c r="H1281" i="5" a="1"/>
  <c r="I1101" i="5" a="1"/>
  <c r="N1170" i="5" a="1"/>
  <c r="N1041" i="5" a="1"/>
  <c r="K1103" i="5" a="1"/>
  <c r="I1208" i="5" a="1"/>
  <c r="L1148" i="5" a="1"/>
  <c r="H1123" i="5" a="1"/>
  <c r="K992" i="5" a="1"/>
  <c r="M1220" i="5" a="1"/>
  <c r="B1359" i="5" a="1"/>
  <c r="E1240" i="5" a="1"/>
  <c r="E1312" i="5" a="1"/>
  <c r="E1348" i="5" a="1"/>
  <c r="E1384" i="5" a="1"/>
  <c r="E1420" i="5" a="1"/>
  <c r="B1212" i="5" a="1"/>
  <c r="B1346" i="5" a="1"/>
  <c r="K1259" i="5" a="1"/>
  <c r="I1326" i="5" a="1"/>
  <c r="I1362" i="5" a="1"/>
  <c r="I1398" i="5" a="1"/>
  <c r="M712" i="5" a="1"/>
  <c r="J909" i="5" a="1"/>
  <c r="L924" i="5" a="1"/>
  <c r="I913" i="5" a="1"/>
  <c r="B1001" i="5" a="1"/>
  <c r="N939" i="5" a="1"/>
  <c r="L980" i="5" a="1"/>
  <c r="N1031" i="5" a="1"/>
  <c r="B997" i="5" a="1"/>
  <c r="L1023" i="5" a="1"/>
  <c r="I1180" i="5" a="1"/>
  <c r="N960" i="5" a="1"/>
  <c r="J1084" i="5" a="1"/>
  <c r="K1145" i="5" a="1"/>
  <c r="B992" i="5" a="1"/>
  <c r="M1004" i="5" a="1"/>
  <c r="N1087" i="5" a="1"/>
  <c r="J1155" i="5" a="1"/>
  <c r="M1050" i="5" a="1"/>
  <c r="K1059" i="5" a="1"/>
  <c r="K884" i="5" a="1"/>
  <c r="I902" i="5" a="1"/>
  <c r="B1007" i="5" a="1"/>
  <c r="M1083" i="5" a="1"/>
  <c r="I1151" i="5" a="1"/>
  <c r="H1077" i="5" a="1"/>
  <c r="N1131" i="5" a="1"/>
  <c r="E1033" i="5" a="1"/>
  <c r="I1100" i="5" a="1"/>
  <c r="E1224" i="5" a="1"/>
  <c r="J1276" i="5" a="1"/>
  <c r="E1166" i="5" a="1"/>
  <c r="L1193" i="5" a="1"/>
  <c r="B1170" i="5" a="1"/>
  <c r="I1189" i="5" a="1"/>
  <c r="K981" i="5" a="1"/>
  <c r="H1199" i="5" a="1"/>
  <c r="J1261" i="5" a="1"/>
  <c r="L1116" i="5" a="1"/>
  <c r="H1132" i="5" a="1"/>
  <c r="H1234" i="5" a="1"/>
  <c r="J1284" i="5" a="1"/>
  <c r="B1194" i="5" a="1"/>
  <c r="M1177" i="5" a="1"/>
  <c r="J1235" i="5" a="1"/>
  <c r="I1282" i="5" a="1"/>
  <c r="B1117" i="5" a="1"/>
  <c r="H1176" i="5" a="1"/>
  <c r="L1067" i="5" a="1"/>
  <c r="J1105" i="5" a="1"/>
  <c r="J1209" i="5" a="1"/>
  <c r="E1158" i="5" a="1"/>
  <c r="I1125" i="5" a="1"/>
  <c r="E1021" i="5" a="1"/>
  <c r="I1228" i="5" a="1"/>
  <c r="B1371" i="5" a="1"/>
  <c r="N1247" i="5" a="1"/>
  <c r="H1314" i="5" a="1"/>
  <c r="H1350" i="5" a="1"/>
  <c r="H1386" i="5" a="1"/>
  <c r="H1422" i="5" a="1"/>
  <c r="B1221" i="5" a="1"/>
  <c r="B1358" i="5" a="1"/>
  <c r="H1265" i="5" a="1"/>
  <c r="J1327" i="5" a="1"/>
  <c r="J1363" i="5" a="1"/>
  <c r="J1399" i="5" a="1"/>
  <c r="N713" i="5" a="1"/>
  <c r="K910" i="5" a="1"/>
  <c r="H926" i="5" a="1"/>
  <c r="H915" i="5" a="1"/>
  <c r="L860" i="5" a="1"/>
  <c r="B951" i="5" a="1"/>
  <c r="N982" i="5" a="1"/>
  <c r="J1033" i="5" a="1"/>
  <c r="B1020" i="5" a="1"/>
  <c r="L1063" i="5" a="1"/>
  <c r="J1181" i="5" a="1"/>
  <c r="L966" i="5" a="1"/>
  <c r="K1085" i="5" a="1"/>
  <c r="L1146" i="5" a="1"/>
  <c r="H999" i="5" a="1"/>
  <c r="L1006" i="5" a="1"/>
  <c r="J1095" i="5" a="1"/>
  <c r="K1156" i="5" a="1"/>
  <c r="B1065" i="5" a="1"/>
  <c r="L1060" i="5" a="1"/>
  <c r="H940" i="5" a="1"/>
  <c r="M907" i="5" a="1"/>
  <c r="H1014" i="5" a="1"/>
  <c r="I1091" i="5" a="1"/>
  <c r="K625" i="5" a="1"/>
  <c r="M936" i="5" a="1"/>
  <c r="E934" i="5" a="1"/>
  <c r="B955" i="5" a="1"/>
  <c r="B865" i="5" a="1"/>
  <c r="H942" i="5" a="1"/>
  <c r="E986" i="5" a="1"/>
  <c r="B1058" i="5" a="1"/>
  <c r="I1023" i="5" a="1"/>
  <c r="H1071" i="5" a="1"/>
  <c r="M869" i="5" a="1"/>
  <c r="J976" i="5" a="1"/>
  <c r="J1096" i="5" a="1"/>
  <c r="M1147" i="5" a="1"/>
  <c r="E1012" i="5" a="1"/>
  <c r="I1008" i="5" a="1"/>
  <c r="K1096" i="5" a="1"/>
  <c r="L1157" i="5" a="1"/>
  <c r="I865" i="5" a="1"/>
  <c r="K1071" i="5" a="1"/>
  <c r="I955" i="5" a="1"/>
  <c r="E913" i="5" a="1"/>
  <c r="M1015" i="5" a="1"/>
  <c r="J1092" i="5" a="1"/>
  <c r="K1153" i="5" a="1"/>
  <c r="K1080" i="5" a="1"/>
  <c r="N1143" i="5" a="1"/>
  <c r="B1062" i="5" a="1"/>
  <c r="I1104" i="5" a="1"/>
  <c r="I1227" i="5" a="1"/>
  <c r="E1284" i="5" a="1"/>
  <c r="I1175" i="5" a="1"/>
  <c r="E1199" i="5" a="1"/>
  <c r="H897" i="5" a="1"/>
  <c r="K1191" i="5" a="1"/>
  <c r="K1066" i="5" a="1"/>
  <c r="M1204" i="5" a="1"/>
  <c r="L1263" i="5" a="1"/>
  <c r="H1159" i="5" a="1"/>
  <c r="E1146" i="5" a="1"/>
  <c r="K1237" i="5" a="1"/>
  <c r="E1292" i="5" a="1"/>
  <c r="B1218" i="5" a="1"/>
  <c r="I1186" i="5" a="1"/>
  <c r="L1237" i="5" a="1"/>
  <c r="K1284" i="5" a="1"/>
  <c r="J1161" i="5" a="1"/>
  <c r="M1179" i="5" a="1"/>
  <c r="H1115" i="5" a="1"/>
  <c r="I1113" i="5" a="1"/>
  <c r="L1211" i="5" a="1"/>
  <c r="B1173" i="5" a="1"/>
  <c r="L1154" i="5" a="1"/>
  <c r="J1053" i="5" a="1"/>
  <c r="I1232" i="5" a="1"/>
  <c r="B1395" i="5" a="1"/>
  <c r="J1253" i="5" a="1"/>
  <c r="J1316" i="5" a="1"/>
  <c r="J1352" i="5" a="1"/>
  <c r="J1388" i="5" a="1"/>
  <c r="J1424" i="5" a="1"/>
  <c r="K1230" i="5" a="1"/>
  <c r="B1382" i="5" a="1"/>
  <c r="H1276" i="5" a="1"/>
  <c r="L1329" i="5" a="1"/>
  <c r="L1365" i="5" a="1"/>
  <c r="L1401" i="5" a="1"/>
  <c r="L1437" i="5" a="1"/>
  <c r="I1261" i="5" a="1"/>
  <c r="E1223" i="5" a="1"/>
  <c r="L1304" i="5" a="1"/>
  <c r="H1287" i="5" a="1"/>
  <c r="E1202" i="5" a="1"/>
  <c r="J1301" i="5" a="1"/>
  <c r="J1337" i="5" a="1"/>
  <c r="J1373" i="5" a="1"/>
  <c r="J1409" i="5" a="1"/>
  <c r="J1113" i="5" a="1"/>
  <c r="L1294" i="5" a="1"/>
  <c r="L1240" i="5" a="1"/>
  <c r="I1311" i="5" a="1"/>
  <c r="I1347" i="5" a="1"/>
  <c r="I1383" i="5" a="1"/>
  <c r="I1419" i="5" a="1"/>
  <c r="M1217" i="5" a="1"/>
  <c r="H1291" i="5" a="1"/>
  <c r="N1198" i="5" a="1"/>
  <c r="M1302" i="5" a="1"/>
  <c r="M1338" i="5" a="1"/>
  <c r="M1374" i="5" a="1"/>
  <c r="M1410" i="5" a="1"/>
  <c r="L1183" i="5" a="1"/>
  <c r="J1291" i="5" a="1"/>
  <c r="M1271" i="5" a="1"/>
  <c r="H1237" i="5" a="1"/>
  <c r="M1199" i="5" a="1"/>
  <c r="H1100" i="5" a="1"/>
  <c r="H1264" i="5" a="1"/>
  <c r="N1262" i="5" a="1"/>
  <c r="M1409" i="5" a="1"/>
  <c r="E1466" i="5" a="1"/>
  <c r="E1502" i="5" a="1"/>
  <c r="E1538" i="5" a="1"/>
  <c r="K1288" i="5" a="1"/>
  <c r="J1413" i="5" a="1"/>
  <c r="I1305" i="5" a="1"/>
  <c r="K1417" i="5" a="1"/>
  <c r="J1469" i="5" a="1"/>
  <c r="J1505" i="5" a="1"/>
  <c r="J1541" i="5" a="1"/>
  <c r="L1328" i="5" a="1"/>
  <c r="B1433" i="5" a="1"/>
  <c r="M1361" i="5" a="1"/>
  <c r="L1268" i="5" a="1"/>
  <c r="E1406" i="5" a="1"/>
  <c r="E1303" i="5" a="1"/>
  <c r="E1412" i="5" a="1"/>
  <c r="J1467" i="5" a="1"/>
  <c r="J1503" i="5" a="1"/>
  <c r="J1539" i="5" a="1"/>
  <c r="L1307" i="5" a="1"/>
  <c r="N1419" i="5" a="1"/>
  <c r="E1306" i="5" a="1"/>
  <c r="N1398" i="5" a="1"/>
  <c r="I1465" i="5" a="1"/>
  <c r="I1501" i="5" a="1"/>
  <c r="I1537" i="5" a="1"/>
  <c r="N817" i="5" a="1"/>
  <c r="N852" i="5" a="1"/>
  <c r="E983" i="5" a="1"/>
  <c r="M940" i="5" a="1"/>
  <c r="J878" i="5" a="1"/>
  <c r="L946" i="5" a="1"/>
  <c r="B968" i="5" a="1"/>
  <c r="B1070" i="5" a="1"/>
  <c r="M1048" i="5" a="1"/>
  <c r="I1072" i="5" a="1"/>
  <c r="B894" i="5" a="1"/>
  <c r="L995" i="5" a="1"/>
  <c r="K1097" i="5" a="1"/>
  <c r="I1155" i="5" a="1"/>
  <c r="M1018" i="5" a="1"/>
  <c r="E1024" i="5" a="1"/>
  <c r="L1097" i="5" a="1"/>
  <c r="M1158" i="5" a="1"/>
  <c r="K871" i="5" a="1"/>
  <c r="L1072" i="5" a="1"/>
  <c r="B971" i="5" a="1"/>
  <c r="J919" i="5" a="1"/>
  <c r="I1024" i="5" a="1"/>
  <c r="K1093" i="5" a="1"/>
  <c r="H873" i="5" a="1"/>
  <c r="L1081" i="5" a="1"/>
  <c r="E1147" i="5" a="1"/>
  <c r="K1090" i="5" a="1"/>
  <c r="B1122" i="5" a="1"/>
  <c r="K1229" i="5" a="1"/>
  <c r="H1286" i="5" a="1"/>
  <c r="K1182" i="5" a="1"/>
  <c r="H1201" i="5" a="1"/>
  <c r="K969" i="5" a="1"/>
  <c r="L1192" i="5" a="1"/>
  <c r="I1081" i="5" a="1"/>
  <c r="N1205" i="5" a="1"/>
  <c r="M1264" i="5" a="1"/>
  <c r="M1164" i="5" a="1"/>
  <c r="N1153" i="5" a="1"/>
  <c r="L1238" i="5" a="1"/>
  <c r="H1294" i="5" a="1"/>
  <c r="B1230" i="5" a="1"/>
  <c r="J1187" i="5" a="1"/>
  <c r="M1238" i="5" a="1"/>
  <c r="L1285" i="5" a="1"/>
  <c r="I1172" i="5" a="1"/>
  <c r="M1181" i="5" a="1"/>
  <c r="B1119" i="5" a="1"/>
  <c r="B1129" i="5" a="1"/>
  <c r="M1212" i="5" a="1"/>
  <c r="K1174" i="5" a="1"/>
  <c r="K1165" i="5" a="1"/>
  <c r="E1061" i="5" a="1"/>
  <c r="E1238" i="5" a="1"/>
  <c r="B1407" i="5" a="1"/>
  <c r="E1261" i="5" a="1"/>
  <c r="K1317" i="5" a="1"/>
  <c r="K1353" i="5" a="1"/>
  <c r="K1389" i="5" a="1"/>
  <c r="K1425" i="5" a="1"/>
  <c r="K1232" i="5" a="1"/>
  <c r="B1394" i="5" a="1"/>
  <c r="M1281" i="5" a="1"/>
  <c r="M1330" i="5" a="1"/>
  <c r="M1366" i="5" a="1"/>
  <c r="M1402" i="5" a="1"/>
  <c r="M1438" i="5" a="1"/>
  <c r="H1263" i="5" a="1"/>
  <c r="N1230" i="5" a="1"/>
  <c r="N1097" i="5" a="1"/>
  <c r="K1294" i="5" a="1"/>
  <c r="L1209" i="5" a="1"/>
  <c r="K1302" i="5" a="1"/>
  <c r="K1338" i="5" a="1"/>
  <c r="K1374" i="5" a="1"/>
  <c r="K1410" i="5" a="1"/>
  <c r="H1127" i="5" a="1"/>
  <c r="B1307" i="5" a="1"/>
  <c r="M1242" i="5" a="1"/>
  <c r="J1312" i="5" a="1"/>
  <c r="J1348" i="5" a="1"/>
  <c r="J1384" i="5" a="1"/>
  <c r="J1420" i="5" a="1"/>
  <c r="L1219" i="5" a="1"/>
  <c r="H1296" i="5" a="1"/>
  <c r="J1206" i="5" a="1"/>
  <c r="N1303" i="5" a="1"/>
  <c r="N1339" i="5" a="1"/>
  <c r="N1375" i="5" a="1"/>
  <c r="N1411" i="5" a="1"/>
  <c r="N1187" i="5" a="1"/>
  <c r="I1296" i="5" a="1"/>
  <c r="E1277" i="5" a="1"/>
  <c r="B1245" i="5" a="1"/>
  <c r="I1207" i="5" a="1"/>
  <c r="L1115" i="5" a="1"/>
  <c r="I1266" i="5" a="1"/>
  <c r="I1288" i="5" a="1"/>
  <c r="K1411" i="5" a="1"/>
  <c r="H1468" i="5" a="1"/>
  <c r="H1504" i="5" a="1"/>
  <c r="H1540" i="5" a="1"/>
  <c r="E1302" i="5" a="1"/>
  <c r="J1417" i="5" a="1"/>
  <c r="I1309" i="5" a="1"/>
  <c r="K1419" i="5" a="1"/>
  <c r="K1470" i="5" a="1"/>
  <c r="K1506" i="5" a="1"/>
  <c r="K1542" i="5" a="1"/>
  <c r="K1330" i="5" a="1"/>
  <c r="B1439" i="5" a="1"/>
  <c r="K1363" i="5" a="1"/>
  <c r="E1274" i="5" a="1"/>
  <c r="B1408" i="5" a="1"/>
  <c r="M1305" i="5" a="1"/>
  <c r="M1417" i="5" a="1"/>
  <c r="K1468" i="5" a="1"/>
  <c r="K1504" i="5" a="1"/>
  <c r="K1540" i="5" a="1"/>
  <c r="L1309" i="5" a="1"/>
  <c r="N1421" i="5" a="1"/>
  <c r="M1311" i="5" a="1"/>
  <c r="H1414" i="5" a="1"/>
  <c r="J1466" i="5" a="1"/>
  <c r="J1502" i="5" a="1"/>
  <c r="J1538" i="5" a="1"/>
  <c r="E821" i="5" a="1"/>
  <c r="E856" i="5" a="1"/>
  <c r="H985" i="5" a="1"/>
  <c r="E944" i="5" a="1"/>
  <c r="N950" i="5" a="1"/>
  <c r="M947" i="5" a="1"/>
  <c r="K998" i="5" a="1"/>
  <c r="B988" i="5" a="1"/>
  <c r="I1050" i="5" a="1"/>
  <c r="K1074" i="5" a="1"/>
  <c r="B906" i="5" a="1"/>
  <c r="K1006" i="5" a="1"/>
  <c r="L1098" i="5" a="1"/>
  <c r="J1156" i="5" a="1"/>
  <c r="I1020" i="5" a="1"/>
  <c r="M1030" i="5" a="1"/>
  <c r="K1108" i="5" a="1"/>
  <c r="N1159" i="5" a="1"/>
  <c r="I877" i="5" a="1"/>
  <c r="M1073" i="5" a="1"/>
  <c r="N984" i="5" a="1"/>
  <c r="H924" i="5" a="1"/>
  <c r="K1029" i="5" a="1"/>
  <c r="J1104" i="5" a="1"/>
  <c r="H879" i="5" a="1"/>
  <c r="M1082" i="5" a="1"/>
  <c r="H1149" i="5" a="1"/>
  <c r="H1096" i="5" a="1"/>
  <c r="E1126" i="5" a="1"/>
  <c r="L1230" i="5" a="1"/>
  <c r="E1296" i="5" a="1"/>
  <c r="B1186" i="5" a="1"/>
  <c r="I1202" i="5" a="1"/>
  <c r="I975" i="5" a="1"/>
  <c r="H1200" i="5" a="1"/>
  <c r="E1085" i="5" a="1"/>
  <c r="J1213" i="5" a="1"/>
  <c r="N1265" i="5" a="1"/>
  <c r="L1166" i="5" a="1"/>
  <c r="K1179" i="5" a="1"/>
  <c r="M1239" i="5" a="1"/>
  <c r="L1298" i="5" a="1"/>
  <c r="B1242" i="5" a="1"/>
  <c r="K1188" i="5" a="1"/>
  <c r="N1239" i="5" a="1"/>
  <c r="M1286" i="5" a="1"/>
  <c r="B1193" i="5" a="1"/>
  <c r="H1184" i="5" a="1"/>
  <c r="L1140" i="5" a="1"/>
  <c r="N1138" i="5" a="1"/>
  <c r="N1213" i="5" a="1"/>
  <c r="E1178" i="5" a="1"/>
  <c r="E1169" i="5" a="1"/>
  <c r="I1065" i="5" a="1"/>
  <c r="E1242" i="5" a="1"/>
  <c r="B1419" i="5" a="1"/>
  <c r="E1265" i="5" a="1"/>
  <c r="L1318" i="5" a="1"/>
  <c r="L1354" i="5" a="1"/>
  <c r="L1390" i="5" a="1"/>
  <c r="L1426" i="5" a="1"/>
  <c r="N1245" i="5" a="1"/>
  <c r="B1406" i="5" a="1"/>
  <c r="K1292" i="5" a="1"/>
  <c r="N1331" i="5" a="1"/>
  <c r="N1367" i="5" a="1"/>
  <c r="N1403" i="5" a="1"/>
  <c r="H991" i="5" a="1"/>
  <c r="H1267" i="5" a="1"/>
  <c r="M1234" i="5" a="1"/>
  <c r="M1176" i="5" a="1"/>
  <c r="E1299" i="5" a="1"/>
  <c r="K1215" i="5" a="1"/>
  <c r="L1303" i="5" a="1"/>
  <c r="L1339" i="5" a="1"/>
  <c r="L1375" i="5" a="1"/>
  <c r="L1411" i="5" a="1"/>
  <c r="M1165" i="5" a="1"/>
  <c r="B1319" i="5" a="1"/>
  <c r="K1246" i="5" a="1"/>
  <c r="K1313" i="5" a="1"/>
  <c r="K1349" i="5" a="1"/>
  <c r="K1385" i="5" a="1"/>
  <c r="K1421" i="5" a="1"/>
  <c r="L1221" i="5" a="1"/>
  <c r="H1299" i="5" a="1"/>
  <c r="N1209" i="5" a="1"/>
  <c r="E1307" i="5" a="1"/>
  <c r="E1343" i="5" a="1"/>
  <c r="E1379" i="5" a="1"/>
  <c r="E1415" i="5" a="1"/>
  <c r="H1191" i="5" a="1"/>
  <c r="B1305" i="5" a="1"/>
  <c r="L1280" i="5" a="1"/>
  <c r="N1248" i="5" a="1"/>
  <c r="M1210" i="5" a="1"/>
  <c r="L1156" i="5" a="1"/>
  <c r="H1268" i="5" a="1"/>
  <c r="M1293" i="5" a="1"/>
  <c r="J1415" i="5" a="1"/>
  <c r="I1469" i="5" a="1"/>
  <c r="I1505" i="5" a="1"/>
  <c r="I1541" i="5" a="1"/>
  <c r="I1307" i="5" a="1"/>
  <c r="E1421" i="5" a="1"/>
  <c r="E1315" i="5" a="1"/>
  <c r="H1425" i="5" a="1"/>
  <c r="L1471" i="5" a="1"/>
  <c r="L1507" i="5" a="1"/>
  <c r="L1543" i="5" a="1"/>
  <c r="K1332" i="5" a="1"/>
  <c r="B1451" i="5" a="1"/>
  <c r="J1367" i="5" a="1"/>
  <c r="J1279" i="5" a="1"/>
  <c r="E1414" i="5" a="1"/>
  <c r="I1313" i="5" a="1"/>
  <c r="J1425" i="5" a="1"/>
  <c r="L1469" i="5" a="1"/>
  <c r="L1505" i="5" a="1"/>
  <c r="L1541" i="5" a="1"/>
  <c r="L1311" i="5" a="1"/>
  <c r="K1427" i="5" a="1"/>
  <c r="M1313" i="5" a="1"/>
  <c r="N1417" i="5" a="1"/>
  <c r="K1467" i="5" a="1"/>
  <c r="B783" i="5" a="1"/>
  <c r="J860" i="5" a="1"/>
  <c r="K988" i="5" a="1"/>
  <c r="J948" i="5" a="1"/>
  <c r="J958" i="5" a="1"/>
  <c r="I766" i="5" a="1"/>
  <c r="N1005" i="5" a="1"/>
  <c r="N1021" i="5" a="1"/>
  <c r="M1000" i="5" a="1"/>
  <c r="L1075" i="5" a="1"/>
  <c r="K970" i="5" a="1"/>
  <c r="K1013" i="5" a="1"/>
  <c r="N1100" i="5" a="1"/>
  <c r="K1157" i="5" a="1"/>
  <c r="K1025" i="5" a="1"/>
  <c r="I1032" i="5" a="1"/>
  <c r="L1109" i="5" a="1"/>
  <c r="J1167" i="5" a="1"/>
  <c r="E901" i="5" a="1"/>
  <c r="B725" i="5" a="1"/>
  <c r="M988" i="5" a="1"/>
  <c r="I929" i="5" a="1"/>
  <c r="K1034" i="5" a="1"/>
  <c r="K1105" i="5" a="1"/>
  <c r="M944" i="5" a="1"/>
  <c r="N1083" i="5" a="1"/>
  <c r="J1151" i="5" a="1"/>
  <c r="E1106" i="5" a="1"/>
  <c r="M1129" i="5" a="1"/>
  <c r="M1231" i="5" a="1"/>
  <c r="H1298" i="5" a="1"/>
  <c r="B1234" i="5" a="1"/>
  <c r="J1203" i="5" a="1"/>
  <c r="L1005" i="5" a="1"/>
  <c r="I1201" i="5" a="1"/>
  <c r="B1097" i="5" a="1"/>
  <c r="M1216" i="5" a="1"/>
  <c r="E1269" i="5" a="1"/>
  <c r="E1181" i="5" a="1"/>
  <c r="E1184" i="5" a="1"/>
  <c r="N1240" i="5" a="1"/>
  <c r="B983" i="5" a="1"/>
  <c r="B1254" i="5" a="1"/>
  <c r="E1195" i="5" a="1"/>
  <c r="E1243" i="5" a="1"/>
  <c r="I1294" i="5" a="1"/>
  <c r="B1205" i="5" a="1"/>
  <c r="I1185" i="5" a="1"/>
  <c r="L1144" i="5" a="1"/>
  <c r="K1150" i="5" a="1"/>
  <c r="H827" i="5" a="1"/>
  <c r="B1215" i="5" a="1"/>
  <c r="J1178" i="5" a="1"/>
  <c r="L1076" i="5" a="1"/>
  <c r="M1245" i="5" a="1"/>
  <c r="B1431" i="5" a="1"/>
  <c r="N1270" i="5" a="1"/>
  <c r="M1319" i="5" a="1"/>
  <c r="M1355" i="5" a="1"/>
  <c r="M1391" i="5" a="1"/>
  <c r="M1427" i="5" a="1"/>
  <c r="N1249" i="5" a="1"/>
  <c r="B1418" i="5" a="1"/>
  <c r="B1299" i="5" a="1"/>
  <c r="E1335" i="5" a="1"/>
  <c r="E1371" i="5" a="1"/>
  <c r="E1407" i="5" a="1"/>
  <c r="B1147" i="5" a="1"/>
  <c r="N1272" i="5" a="1"/>
  <c r="L1236" i="5" a="1"/>
  <c r="N1197" i="5" a="1"/>
  <c r="B1308" i="5" a="1"/>
  <c r="J1217" i="5" a="1"/>
  <c r="M1304" i="5" a="1"/>
  <c r="M1340" i="5" a="1"/>
  <c r="M1376" i="5" a="1"/>
  <c r="M1412" i="5" a="1"/>
  <c r="H1171" i="5" a="1"/>
  <c r="B1331" i="5" a="1"/>
  <c r="H1248" i="5" a="1"/>
  <c r="L1314" i="5" a="1"/>
  <c r="L1350" i="5" a="1"/>
  <c r="L1386" i="5" a="1"/>
  <c r="L1422" i="5" a="1"/>
  <c r="I1225" i="5" a="1"/>
  <c r="B1306" i="5" a="1"/>
  <c r="E1213" i="5" a="1"/>
  <c r="H1309" i="5" a="1"/>
  <c r="H1345" i="5" a="1"/>
  <c r="H1381" i="5" a="1"/>
  <c r="H1417" i="5" a="1"/>
  <c r="J1195" i="5" a="1"/>
  <c r="I1026" i="5" a="1"/>
  <c r="K1282" i="5" a="1"/>
  <c r="K1254" i="5" a="1"/>
  <c r="H1218" i="5" a="1"/>
  <c r="L1167" i="5" a="1"/>
  <c r="I1286" i="5" a="1"/>
  <c r="J1298" i="5" a="1"/>
  <c r="B1429" i="5" a="1"/>
  <c r="J1470" i="5" a="1"/>
  <c r="J1506" i="5" a="1"/>
  <c r="J1542" i="5" a="1"/>
  <c r="B1313" i="5" a="1"/>
  <c r="B1437" i="5" a="1"/>
  <c r="E1317" i="5" a="1"/>
  <c r="H1427" i="5" a="1"/>
  <c r="M1472" i="5" a="1"/>
  <c r="M1508" i="5" a="1"/>
  <c r="M1544" i="5" a="1"/>
  <c r="K1334" i="5" a="1"/>
  <c r="B1463" i="5" a="1"/>
  <c r="B1381" i="5" a="1"/>
  <c r="N1284" i="5" a="1"/>
  <c r="M1419" i="5" a="1"/>
  <c r="H1315" i="5" a="1"/>
  <c r="M777" i="5" a="1"/>
  <c r="L910" i="5" a="1"/>
  <c r="M1038" i="5" a="1"/>
  <c r="M987" i="5" a="1"/>
  <c r="K959" i="5" a="1"/>
  <c r="H776" i="5" a="1"/>
  <c r="H1011" i="5" a="1"/>
  <c r="H1035" i="5" a="1"/>
  <c r="H1037" i="5" a="1"/>
  <c r="L1099" i="5" a="1"/>
  <c r="I972" i="5" a="1"/>
  <c r="I1015" i="5" a="1"/>
  <c r="E1104" i="5" a="1"/>
  <c r="J1168" i="5" a="1"/>
  <c r="I1027" i="5" a="1"/>
  <c r="K1037" i="5" a="1"/>
  <c r="M1110" i="5" a="1"/>
  <c r="K1168" i="5" a="1"/>
  <c r="K907" i="5" a="1"/>
  <c r="L847" i="5" a="1"/>
  <c r="L1015" i="5" a="1"/>
  <c r="H959" i="5" a="1"/>
  <c r="L1039" i="5" a="1"/>
  <c r="L1106" i="5" a="1"/>
  <c r="B949" i="5" a="1"/>
  <c r="E1087" i="5" a="1"/>
  <c r="K1152" i="5" a="1"/>
  <c r="K1139" i="5" a="1"/>
  <c r="K1143" i="5" a="1"/>
  <c r="N1232" i="5" a="1"/>
  <c r="I1299" i="5" a="1"/>
  <c r="B1246" i="5" a="1"/>
  <c r="K1204" i="5" a="1"/>
  <c r="L1017" i="5" a="1"/>
  <c r="J1202" i="5" a="1"/>
  <c r="B1099" i="5" a="1"/>
  <c r="N1217" i="5" a="1"/>
  <c r="H1271" i="5" a="1"/>
  <c r="B1183" i="5" a="1"/>
  <c r="H1186" i="5" a="1"/>
  <c r="E1244" i="5" a="1"/>
  <c r="H989" i="5" a="1"/>
  <c r="B1266" i="5" a="1"/>
  <c r="H1197" i="5" a="1"/>
  <c r="H1245" i="5" a="1"/>
  <c r="J1295" i="5" a="1"/>
  <c r="M861" i="5" a="1"/>
  <c r="J1186" i="5" a="1"/>
  <c r="J1154" i="5" a="1"/>
  <c r="M1161" i="5" a="1"/>
  <c r="M959" i="5" a="1"/>
  <c r="B1227" i="5" a="1"/>
  <c r="B1182" i="5" a="1"/>
  <c r="K1082" i="5" a="1"/>
  <c r="M1247" i="5" a="1"/>
  <c r="B1004" i="5" a="1"/>
  <c r="L1272" i="5" a="1"/>
  <c r="N1320" i="5" a="1"/>
  <c r="N1356" i="5" a="1"/>
  <c r="N1392" i="5" a="1"/>
  <c r="N1428" i="5" a="1"/>
  <c r="L1253" i="5" a="1"/>
  <c r="B1430" i="5" a="1"/>
  <c r="H1301" i="5" a="1"/>
  <c r="H1337" i="5" a="1"/>
  <c r="H1373" i="5" a="1"/>
  <c r="N778" i="5" a="1"/>
  <c r="M911" i="5" a="1"/>
  <c r="N1039" i="5" a="1"/>
  <c r="N988" i="5" a="1"/>
  <c r="H968" i="5" a="1"/>
  <c r="B937" i="5" a="1"/>
  <c r="L1014" i="5" a="1"/>
  <c r="J1040" i="5" a="1"/>
  <c r="K1040" i="5" a="1"/>
  <c r="H1107" i="5" a="1"/>
  <c r="I980" i="5" a="1"/>
  <c r="N1016" i="5" a="1"/>
  <c r="H1106" i="5" a="1"/>
  <c r="K1169" i="5" a="1"/>
  <c r="B1046" i="5" a="1"/>
  <c r="I1039" i="5" a="1"/>
  <c r="E1115" i="5" a="1"/>
  <c r="L1169" i="5" a="1"/>
  <c r="B913" i="5" a="1"/>
  <c r="M858" i="5" a="1"/>
  <c r="B1019" i="5" a="1"/>
  <c r="B987" i="5" a="1"/>
  <c r="B1043" i="5" a="1"/>
  <c r="N1108" i="5" a="1"/>
  <c r="J952" i="5" a="1"/>
  <c r="H1089" i="5" a="1"/>
  <c r="L1153" i="5" a="1"/>
  <c r="J1141" i="5" a="1"/>
  <c r="L1160" i="5" a="1"/>
  <c r="E1236" i="5" a="1"/>
  <c r="B921" i="5" a="1"/>
  <c r="B1258" i="5" a="1"/>
  <c r="L1205" i="5" a="1"/>
  <c r="K1054" i="5" a="1"/>
  <c r="N1206" i="5" a="1"/>
  <c r="M1104" i="5" a="1"/>
  <c r="E1221" i="5" a="1"/>
  <c r="L1275" i="5" a="1"/>
  <c r="B1195" i="5" a="1"/>
  <c r="L1190" i="5" a="1"/>
  <c r="H1246" i="5" a="1"/>
  <c r="M994" i="5" a="1"/>
  <c r="B1278" i="5" a="1"/>
  <c r="J1199" i="5" a="1"/>
  <c r="I1246" i="5" a="1"/>
  <c r="K1296" i="5" a="1"/>
  <c r="J977" i="5" a="1"/>
  <c r="K1187" i="5" a="1"/>
  <c r="B1158" i="5" a="1"/>
  <c r="K1163" i="5" a="1"/>
  <c r="N965" i="5" a="1"/>
  <c r="B1251" i="5" a="1"/>
  <c r="B1190" i="5" a="1"/>
  <c r="I1088" i="5" a="1"/>
  <c r="M1249" i="5" a="1"/>
  <c r="H1048" i="5" a="1"/>
  <c r="E1278" i="5" a="1"/>
  <c r="E1324" i="5" a="1"/>
  <c r="E1360" i="5" a="1"/>
  <c r="E1396" i="5" a="1"/>
  <c r="E1432" i="5" a="1"/>
  <c r="K1255" i="5" a="1"/>
  <c r="B960" i="5" a="1"/>
  <c r="I1302" i="5" a="1"/>
  <c r="I1338" i="5" a="1"/>
  <c r="I1374" i="5" a="1"/>
  <c r="L824" i="5" a="1"/>
  <c r="H918" i="5" a="1"/>
  <c r="I1046" i="5" a="1"/>
  <c r="K997" i="5" a="1"/>
  <c r="M997" i="5" a="1"/>
  <c r="K776" i="5" a="1"/>
  <c r="L1066" i="5" a="1"/>
  <c r="B1042" i="5" a="1"/>
  <c r="N1048" i="5" a="1"/>
  <c r="I1108" i="5" a="1"/>
  <c r="B1024" i="5" a="1"/>
  <c r="E1022" i="5" a="1"/>
  <c r="I1107" i="5" a="1"/>
  <c r="L1170" i="5" a="1"/>
  <c r="L1050" i="5" a="1"/>
  <c r="N1040" i="5" a="1"/>
  <c r="H1117" i="5" a="1"/>
  <c r="K1180" i="5" a="1"/>
  <c r="E957" i="5" a="1"/>
  <c r="L895" i="5" a="1"/>
  <c r="H1024" i="5" a="1"/>
  <c r="J992" i="5" a="1"/>
  <c r="N1044" i="5" a="1"/>
  <c r="E1112" i="5" a="1"/>
  <c r="N1001" i="5" a="1"/>
  <c r="I1090" i="5" a="1"/>
  <c r="M1154" i="5" a="1"/>
  <c r="H1147" i="5" a="1"/>
  <c r="I1164" i="5" a="1"/>
  <c r="H1238" i="5" a="1"/>
  <c r="H987" i="5" a="1"/>
  <c r="K1005" i="5" a="1"/>
  <c r="M1206" i="5" a="1"/>
  <c r="J1066" i="5" a="1"/>
  <c r="I1028" i="5" a="1"/>
  <c r="M1108" i="5" a="1"/>
  <c r="I1224" i="5" a="1"/>
  <c r="M1276" i="5" a="1"/>
  <c r="B1207" i="5" a="1"/>
  <c r="E1196" i="5" a="1"/>
  <c r="I1247" i="5" a="1"/>
  <c r="M1029" i="5" a="1"/>
  <c r="B1290" i="5" a="1"/>
  <c r="K1200" i="5" a="1"/>
  <c r="J1247" i="5" a="1"/>
  <c r="M873" i="5" a="1"/>
  <c r="H983" i="5" a="1"/>
  <c r="E1194" i="5" a="1"/>
  <c r="B1160" i="5" a="1"/>
  <c r="B1169" i="5" a="1"/>
  <c r="M971" i="5" a="1"/>
  <c r="B1263" i="5" a="1"/>
  <c r="B1202" i="5" a="1"/>
  <c r="J1090" i="5" a="1"/>
  <c r="J1255" i="5" a="1"/>
  <c r="B1061" i="5" a="1"/>
  <c r="N1279" i="5" a="1"/>
  <c r="H1326" i="5" a="1"/>
  <c r="H1362" i="5" a="1"/>
  <c r="H1398" i="5" a="1"/>
  <c r="H1434" i="5" a="1"/>
  <c r="J1257" i="5" a="1"/>
  <c r="M1019" i="5" a="1"/>
  <c r="J1303" i="5" a="1"/>
  <c r="J1339" i="5" a="1"/>
  <c r="J1375" i="5" a="1"/>
  <c r="L786" i="5" a="1"/>
  <c r="L643" i="5" a="1"/>
  <c r="B1017" i="5" a="1"/>
  <c r="K780" i="5" a="1"/>
  <c r="K1007" i="5" a="1"/>
  <c r="K882" i="5" a="1"/>
  <c r="I1075" i="5" a="1"/>
  <c r="L1077" i="5" a="1"/>
  <c r="K1051" i="5" a="1"/>
  <c r="K1110" i="5" a="1"/>
  <c r="J1025" i="5" a="1"/>
  <c r="H1039" i="5" a="1"/>
  <c r="J1108" i="5" a="1"/>
  <c r="N1172" i="5" a="1"/>
  <c r="B1054" i="5" a="1"/>
  <c r="H1049" i="5" a="1"/>
  <c r="I1118" i="5" a="1"/>
  <c r="L1181" i="5" a="1"/>
  <c r="L982" i="5" a="1"/>
  <c r="L907" i="5" a="1"/>
  <c r="N1032" i="5" a="1"/>
  <c r="B998" i="5" a="1"/>
  <c r="H1046" i="5" a="1"/>
  <c r="H1114" i="5" a="1"/>
  <c r="I1014" i="5" a="1"/>
  <c r="M1094" i="5" a="1"/>
  <c r="N1155" i="5" a="1"/>
  <c r="B1155" i="5" a="1"/>
  <c r="N1169" i="5" a="1"/>
  <c r="I1239" i="5" a="1"/>
  <c r="N992" i="5" a="1"/>
  <c r="E1011" i="5" a="1"/>
  <c r="I1214" i="5" a="1"/>
  <c r="H1079" i="5" a="1"/>
  <c r="B1035" i="5" a="1"/>
  <c r="N1110" i="5" a="1"/>
  <c r="J1225" i="5" a="1"/>
  <c r="N1277" i="5" a="1"/>
  <c r="B1219" i="5" a="1"/>
  <c r="H1198" i="5" a="1"/>
  <c r="J1248" i="5" a="1"/>
  <c r="L1041" i="5" a="1"/>
  <c r="L1079" i="5" a="1"/>
  <c r="L1201" i="5" a="1"/>
  <c r="K1248" i="5" a="1"/>
  <c r="J914" i="5" a="1"/>
  <c r="J989" i="5" a="1"/>
  <c r="H1196" i="5" a="1"/>
  <c r="M787" i="5" a="1"/>
  <c r="H731" i="5" a="1"/>
  <c r="B1029" i="5" a="1"/>
  <c r="M830" i="5" a="1"/>
  <c r="L1008" i="5" a="1"/>
  <c r="B897" i="5" a="1"/>
  <c r="J1076" i="5" a="1"/>
  <c r="H1085" i="5" a="1"/>
  <c r="I881" i="5" a="1"/>
  <c r="L1111" i="5" a="1"/>
  <c r="H1027" i="5" a="1"/>
  <c r="M1040" i="5" a="1"/>
  <c r="K1109" i="5" a="1"/>
  <c r="E1176" i="5" a="1"/>
  <c r="B1138" i="5" a="1"/>
  <c r="N1051" i="5" a="1"/>
  <c r="J1119" i="5" a="1"/>
  <c r="B808" i="5" a="1"/>
  <c r="M984" i="5" a="1"/>
  <c r="H929" i="5" a="1"/>
  <c r="K1039" i="5" a="1"/>
  <c r="L1027" i="5" a="1"/>
  <c r="E1048" i="5" a="1"/>
  <c r="I1115" i="5" a="1"/>
  <c r="B1016" i="5" a="1"/>
  <c r="N1095" i="5" a="1"/>
  <c r="E1159" i="5" a="1"/>
  <c r="J1162" i="5" a="1"/>
  <c r="E1188" i="5" a="1"/>
  <c r="J1240" i="5" a="1"/>
  <c r="J1005" i="5" a="1"/>
  <c r="J1054" i="5" a="1"/>
  <c r="H909" i="5" a="1"/>
  <c r="B1083" i="5" a="1"/>
  <c r="I1077" i="5" a="1"/>
  <c r="J1126" i="5" a="1"/>
  <c r="K1226" i="5" a="1"/>
  <c r="J1285" i="5" a="1"/>
  <c r="B1231" i="5" a="1"/>
  <c r="I1199" i="5" a="1"/>
  <c r="N1252" i="5" a="1"/>
  <c r="K1055" i="5" a="1"/>
  <c r="J1089" i="5" a="1"/>
  <c r="M1202" i="5" a="1"/>
  <c r="L1249" i="5" a="1"/>
  <c r="H1007" i="5" a="1"/>
  <c r="J1036" i="5" a="1"/>
  <c r="I1197" i="5" a="1"/>
  <c r="B1167" i="5" a="1"/>
  <c r="I1176" i="5" a="1"/>
  <c r="H1031" i="5" a="1"/>
  <c r="B1287" i="5" a="1"/>
  <c r="B1226" i="5" a="1"/>
  <c r="B1110" i="5" a="1"/>
  <c r="E1263" i="5" a="1"/>
  <c r="B1096" i="5" a="1"/>
  <c r="E1285" i="5" a="1"/>
  <c r="J1328" i="5" a="1"/>
  <c r="J1364" i="5" a="1"/>
  <c r="J1400" i="5" a="1"/>
  <c r="J1436" i="5" a="1"/>
  <c r="B1269" i="5" a="1"/>
  <c r="B1153" i="5" a="1"/>
  <c r="L1305" i="5" a="1"/>
  <c r="L1341" i="5" a="1"/>
  <c r="L1377" i="5" a="1"/>
  <c r="I831" i="5" a="1"/>
  <c r="L768" i="5" a="1"/>
  <c r="M778" i="5" a="1"/>
  <c r="K868" i="5" a="1"/>
  <c r="L1020" i="5" a="1"/>
  <c r="K900" i="5" a="1"/>
  <c r="H1086" i="5" a="1"/>
  <c r="I1086" i="5" a="1"/>
  <c r="H954" i="5" a="1"/>
  <c r="L1135" i="5" a="1"/>
  <c r="E1032" i="5" a="1"/>
  <c r="E1044" i="5" a="1"/>
  <c r="L1110" i="5" a="1"/>
  <c r="H1178" i="5" a="1"/>
  <c r="B1150" i="5" a="1"/>
  <c r="J1059" i="5" a="1"/>
  <c r="K1120" i="5" a="1"/>
  <c r="K895" i="5" a="1"/>
  <c r="K986" i="5" a="1"/>
  <c r="M943" i="5" a="1"/>
  <c r="M1044" i="5" a="1"/>
  <c r="B1031" i="5" a="1"/>
  <c r="I1055" i="5" a="1"/>
  <c r="J1116" i="5" a="1"/>
  <c r="B1023" i="5" a="1"/>
  <c r="E1099" i="5" a="1"/>
  <c r="H1161" i="5" a="1"/>
  <c r="I1173" i="5" a="1"/>
  <c r="H1190" i="5" a="1"/>
  <c r="N1244" i="5" a="1"/>
  <c r="I1016" i="5" a="1"/>
  <c r="N1090" i="5" a="1"/>
  <c r="N935" i="5" a="1"/>
  <c r="E1089" i="5" a="1"/>
  <c r="N1102" i="5" a="1"/>
  <c r="I1128" i="5" a="1"/>
  <c r="L1227" i="5" a="1"/>
  <c r="M1288" i="5" a="1"/>
  <c r="B1243" i="5" a="1"/>
  <c r="K1201" i="5" a="1"/>
  <c r="E1256" i="5" a="1"/>
  <c r="B1059" i="5" a="1"/>
  <c r="H1103" i="5" a="1"/>
  <c r="N1203" i="5" a="1"/>
  <c r="M1250" i="5" a="1"/>
  <c r="E1013" i="5" a="1"/>
  <c r="H1052" i="5" a="1"/>
  <c r="M1201" i="5" a="1"/>
  <c r="J1174" i="5" a="1"/>
  <c r="J1185" i="5" a="1"/>
  <c r="M1036" i="5" a="1"/>
  <c r="K827" i="5" a="1"/>
  <c r="B1238" i="5" a="1"/>
  <c r="E1114" i="5" a="1"/>
  <c r="M1268" i="5" a="1"/>
  <c r="L1103" i="5" a="1"/>
  <c r="K1290" i="5" a="1"/>
  <c r="K1329" i="5" a="1"/>
  <c r="K1365" i="5" a="1"/>
  <c r="K1401" i="5" a="1"/>
  <c r="K1437" i="5" a="1"/>
  <c r="J1274" i="5" a="1"/>
  <c r="H1164" i="5" a="1"/>
  <c r="M1306" i="5" a="1"/>
  <c r="M1342" i="5" a="1"/>
  <c r="M1378" i="5" a="1"/>
  <c r="K794" i="5" a="1"/>
  <c r="L797" i="5" a="1"/>
  <c r="J962" i="5" a="1"/>
  <c r="E583" i="5" a="1"/>
  <c r="N849" i="5" a="1"/>
  <c r="J955" i="5" a="1"/>
  <c r="J1088" i="5" a="1"/>
  <c r="K1088" i="5" a="1"/>
  <c r="J964" i="5" a="1"/>
  <c r="H1143" i="5" a="1"/>
  <c r="L1035" i="5" a="1"/>
  <c r="J1060" i="5" a="1"/>
  <c r="M1111" i="5" a="1"/>
  <c r="I1179" i="5" a="1"/>
  <c r="B1162" i="5" a="1"/>
  <c r="K1060" i="5" a="1"/>
  <c r="L1121" i="5" a="1"/>
  <c r="B918" i="5" a="1"/>
  <c r="K1015" i="5" a="1"/>
  <c r="B948" i="5" a="1"/>
  <c r="J1049" i="5" a="1"/>
  <c r="H1036" i="5" a="1"/>
  <c r="J1056" i="5" a="1"/>
  <c r="K1117" i="5" a="1"/>
  <c r="J1024" i="5" a="1"/>
  <c r="N1107" i="5" a="1"/>
  <c r="I1162" i="5" a="1"/>
  <c r="H1175" i="5" a="1"/>
  <c r="I1191" i="5" a="1"/>
  <c r="E1248" i="5" a="1"/>
  <c r="B1028" i="5" a="1"/>
  <c r="K1102" i="5" a="1"/>
  <c r="E1074" i="5" a="1"/>
  <c r="N1094" i="5" a="1"/>
  <c r="K1114" i="5" a="1"/>
  <c r="B1146" i="5" a="1"/>
  <c r="M1228" i="5" a="1"/>
  <c r="N1289" i="5" a="1"/>
  <c r="B1255" i="5" a="1"/>
  <c r="L1202" i="5" a="1"/>
  <c r="H1258" i="5" a="1"/>
  <c r="H1063" i="5" a="1"/>
  <c r="B1125" i="5" a="1"/>
  <c r="E1207" i="5" a="1"/>
  <c r="I1258" i="5" a="1"/>
  <c r="N1029" i="5" a="1"/>
  <c r="E1078" i="5" a="1"/>
  <c r="N1202" i="5" a="1"/>
  <c r="B1192" i="5" a="1"/>
  <c r="K1186" i="5" a="1"/>
  <c r="E1090" i="5" a="1"/>
  <c r="K941" i="5" a="1"/>
  <c r="B1250" i="5" a="1"/>
  <c r="M1117" i="5" a="1"/>
  <c r="I1274" i="5" a="1"/>
  <c r="M1152" i="5" a="1"/>
  <c r="I1292" i="5" a="1"/>
  <c r="L1330" i="5" a="1"/>
  <c r="L1366" i="5" a="1"/>
  <c r="L1402" i="5" a="1"/>
  <c r="L1438" i="5" a="1"/>
  <c r="K1283" i="5" a="1"/>
  <c r="E1190" i="5" a="1"/>
  <c r="L795" i="5" a="1"/>
  <c r="J799" i="5" a="1"/>
  <c r="K963" i="5" a="1"/>
  <c r="M748" i="5" a="1"/>
  <c r="B863" i="5" a="1"/>
  <c r="N959" i="5" a="1"/>
  <c r="K1113" i="5" a="1"/>
  <c r="L1089" i="5" a="1"/>
  <c r="B982" i="5" a="1"/>
  <c r="I1144" i="5" a="1"/>
  <c r="K1042" i="5" a="1"/>
  <c r="K1061" i="5" a="1"/>
  <c r="I1119" i="5" a="1"/>
  <c r="J1180" i="5" a="1"/>
  <c r="I743" i="5" a="1"/>
  <c r="L1061" i="5" a="1"/>
  <c r="M1122" i="5" a="1"/>
  <c r="B934" i="5" a="1"/>
  <c r="H1022" i="5" a="1"/>
  <c r="I992" i="5" a="1"/>
  <c r="E1053" i="5" a="1"/>
  <c r="B1051" i="5" a="1"/>
  <c r="K1057" i="5" a="1"/>
  <c r="L1118" i="5" a="1"/>
  <c r="L1029" i="5" a="1"/>
  <c r="E1111" i="5" a="1"/>
  <c r="M1166" i="5" a="1"/>
  <c r="B1177" i="5" a="1"/>
  <c r="K1193" i="5" a="1"/>
  <c r="H1250" i="5" a="1"/>
  <c r="N1057" i="5" a="1"/>
  <c r="H1108" i="5" a="1"/>
  <c r="B1085" i="5" a="1"/>
  <c r="J1110" i="5" a="1"/>
  <c r="H1120" i="5" a="1"/>
  <c r="I1157" i="5" a="1"/>
  <c r="N1229" i="5" a="1"/>
  <c r="E1293" i="5" a="1"/>
  <c r="B926" i="5" a="1"/>
  <c r="M1203" i="5" a="1"/>
  <c r="L1262" i="5" a="1"/>
  <c r="K1083" i="5" a="1"/>
  <c r="L1128" i="5" a="1"/>
  <c r="H1209" i="5" a="1"/>
  <c r="J1259" i="5" a="1"/>
  <c r="I1036" i="5" a="1"/>
  <c r="M1081" i="5" a="1"/>
  <c r="H1208" i="5" a="1"/>
  <c r="B1204" i="5" a="1"/>
  <c r="L1187" i="5" a="1"/>
  <c r="M1093" i="5" a="1"/>
  <c r="M996" i="5" a="1"/>
  <c r="B1262" i="5" a="1"/>
  <c r="K1131" i="5" a="1"/>
  <c r="E1276" i="5" a="1"/>
  <c r="M1169" i="5" a="1"/>
  <c r="E1294" i="5" a="1"/>
  <c r="M1331" i="5" a="1"/>
  <c r="M1367" i="5" a="1"/>
  <c r="M1403" i="5" a="1"/>
  <c r="I1048" i="5" a="1"/>
  <c r="H1285" i="5" a="1"/>
  <c r="E1201" i="5" a="1"/>
  <c r="I664" i="5" a="1"/>
  <c r="H817" i="5" a="1"/>
  <c r="N966" i="5" a="1"/>
  <c r="H825" i="5" a="1"/>
  <c r="E867" i="5" a="1"/>
  <c r="E963" i="5" a="1"/>
  <c r="L1126" i="5" a="1"/>
  <c r="H1121" i="5" a="1"/>
  <c r="E988" i="5" a="1"/>
  <c r="K1146" i="5" a="1"/>
  <c r="K1050" i="5" a="1"/>
  <c r="L1062" i="5" a="1"/>
  <c r="J1120" i="5" a="1"/>
  <c r="K1181" i="5" a="1"/>
  <c r="H821" i="5" a="1"/>
  <c r="K1072" i="5" a="1"/>
  <c r="N1123" i="5" a="1"/>
  <c r="L943" i="5" a="1"/>
  <c r="N1025" i="5" a="1"/>
  <c r="B994" i="5" a="1"/>
  <c r="H1055" i="5" a="1"/>
  <c r="B1063" i="5" a="1"/>
  <c r="J1068" i="5" a="1"/>
  <c r="M1119" i="5" a="1"/>
  <c r="H1038" i="5" a="1"/>
  <c r="H1113" i="5" a="1"/>
  <c r="N1167" i="5" a="1"/>
  <c r="B1187" i="5" a="1"/>
  <c r="L1194" i="5" a="1"/>
  <c r="E1260" i="5" a="1"/>
  <c r="E1062" i="5" a="1"/>
  <c r="E1118" i="5" a="1"/>
  <c r="B1087" i="5" a="1"/>
  <c r="J1118" i="5" a="1"/>
  <c r="E1130" i="5" a="1"/>
  <c r="E1174" i="5" a="1"/>
  <c r="E1233" i="5" a="1"/>
  <c r="B964" i="5" a="1"/>
  <c r="E949" i="5" a="1"/>
  <c r="N1204" i="5" a="1"/>
  <c r="E1268" i="5" a="1"/>
  <c r="I1085" i="5" a="1"/>
  <c r="J1134" i="5" a="1"/>
  <c r="I1210" i="5" a="1"/>
  <c r="K1260" i="5" a="1"/>
  <c r="M1041" i="5" a="1"/>
  <c r="K1095" i="5" a="1"/>
  <c r="I1209" i="5" a="1"/>
  <c r="N861" i="5" a="1"/>
  <c r="M1188" i="5" a="1"/>
  <c r="K1107" i="5" a="1"/>
  <c r="H1026" i="5" a="1"/>
  <c r="B1274" i="5" a="1"/>
  <c r="I1133" i="5" a="1"/>
  <c r="L1279" i="5" a="1"/>
  <c r="K1197" i="5" a="1"/>
  <c r="M1295" i="5" a="1"/>
  <c r="N1332" i="5" a="1"/>
  <c r="N1368" i="5" a="1"/>
  <c r="N1404" i="5" a="1"/>
  <c r="B1073" i="5" a="1"/>
  <c r="E1287" i="5" a="1"/>
  <c r="M1208" i="5" a="1"/>
  <c r="E897" i="5" a="1"/>
  <c r="J858" i="5" a="1"/>
  <c r="J1010" i="5" a="1"/>
  <c r="I946" i="5" a="1"/>
  <c r="J880" i="5" a="1"/>
  <c r="J967" i="5" a="1"/>
  <c r="E1132" i="5" a="1"/>
  <c r="M1126" i="5" a="1"/>
  <c r="B1140" i="5" a="1"/>
  <c r="J1157" i="5" a="1"/>
  <c r="B1067" i="5" a="1"/>
  <c r="E1068" i="5" a="1"/>
  <c r="J1132" i="5" a="1"/>
  <c r="I778" i="5" a="1"/>
  <c r="N846" i="5" a="1"/>
  <c r="M1074" i="5" a="1"/>
  <c r="K1132" i="5" a="1"/>
  <c r="B959" i="5" a="1"/>
  <c r="M1032" i="5" a="1"/>
  <c r="E1041" i="5" a="1"/>
  <c r="J1057" i="5" a="1"/>
  <c r="I570" i="5" a="1"/>
  <c r="L1070" i="5" a="1"/>
  <c r="J1128" i="5" a="1"/>
  <c r="E1051" i="5" a="1"/>
  <c r="K1116" i="5" a="1"/>
  <c r="N1179" i="5" a="1"/>
  <c r="B1211" i="5" a="1"/>
  <c r="N1196" i="5" a="1"/>
  <c r="I1263" i="5" a="1"/>
  <c r="B1089" i="5" a="1"/>
  <c r="N1129" i="5" a="1"/>
  <c r="N1098" i="5" a="1"/>
  <c r="M1149" i="5" a="1"/>
  <c r="N1141" i="5" a="1"/>
  <c r="E1185" i="5" a="1"/>
  <c r="L1239" i="5" a="1"/>
  <c r="L994" i="5" a="1"/>
  <c r="E1035" i="5" a="1"/>
  <c r="H1210" i="5" a="1"/>
  <c r="I1271" i="5" a="1"/>
  <c r="M1116" i="5" a="1"/>
  <c r="H1148" i="5" a="1"/>
  <c r="K1212" i="5" a="1"/>
  <c r="H1269" i="5" a="1"/>
  <c r="L1055" i="5" a="1"/>
  <c r="B1123" i="5" a="1"/>
  <c r="K1211" i="5" a="1"/>
  <c r="M902" i="5" a="1"/>
  <c r="I1196" i="5" a="1"/>
  <c r="I1117" i="5" a="1"/>
  <c r="E1082" i="5" a="1"/>
  <c r="B1298" i="5" a="1"/>
  <c r="M1031" i="5" a="1"/>
  <c r="L1288" i="5" a="1"/>
  <c r="E1217" i="5" a="1"/>
  <c r="H1302" i="5" a="1"/>
  <c r="H1338" i="5" a="1"/>
  <c r="H1374" i="5" a="1"/>
  <c r="H1410" i="5" a="1"/>
  <c r="J1158" i="5" a="1"/>
  <c r="M1290" i="5" a="1"/>
  <c r="L1228" i="5" a="1"/>
  <c r="J1315" i="5" a="1"/>
  <c r="J1351" i="5" a="1"/>
  <c r="J1387" i="5" a="1"/>
  <c r="I888" i="5" a="1"/>
  <c r="K1121" i="5" a="1"/>
  <c r="J1152" i="5" a="1"/>
  <c r="N1195" i="5" a="1"/>
  <c r="I1235" i="5" a="1"/>
  <c r="J1101" i="5" a="1"/>
  <c r="J1230" i="5" a="1"/>
  <c r="I1423" i="5" a="1"/>
  <c r="I1350" i="5" a="1"/>
  <c r="J1435" i="5" a="1"/>
  <c r="J1297" i="5" a="1"/>
  <c r="J1302" i="5" a="1"/>
  <c r="B1392" i="5" a="1"/>
  <c r="M1297" i="5" a="1"/>
  <c r="L1351" i="5" a="1"/>
  <c r="H1407" i="5" a="1"/>
  <c r="K1219" i="5" a="1"/>
  <c r="K1223" i="5" a="1"/>
  <c r="K1325" i="5" a="1"/>
  <c r="E1380" i="5" a="1"/>
  <c r="K1433" i="5" a="1"/>
  <c r="M1278" i="5" a="1"/>
  <c r="N1242" i="5" a="1"/>
  <c r="K1336" i="5" a="1"/>
  <c r="E1391" i="5" a="1"/>
  <c r="E1149" i="5" a="1"/>
  <c r="E1210" i="5" a="1"/>
  <c r="K1231" i="5" a="1"/>
  <c r="H1260" i="5" a="1"/>
  <c r="L1256" i="5" a="1"/>
  <c r="I1332" i="5" a="1"/>
  <c r="M1461" i="5" a="1"/>
  <c r="I1517" i="5" a="1"/>
  <c r="I1268" i="5" a="1"/>
  <c r="B1512" i="5" a="1"/>
  <c r="N1409" i="5" a="1"/>
  <c r="L1483" i="5" a="1"/>
  <c r="H1539" i="5" a="1"/>
  <c r="I1365" i="5" a="1"/>
  <c r="E1354" i="5" a="1"/>
  <c r="N1330" i="5" a="1"/>
  <c r="L1241" i="5" a="1"/>
  <c r="K1444" i="5" a="1"/>
  <c r="N1495" i="5" a="1"/>
  <c r="H1549" i="5" a="1"/>
  <c r="M1365" i="5" a="1"/>
  <c r="K1315" i="5" a="1"/>
  <c r="K1443" i="5" a="1"/>
  <c r="N1494" i="5" a="1"/>
  <c r="N1542" i="5" a="1"/>
  <c r="L1346" i="5" a="1"/>
  <c r="B1448" i="5" a="1"/>
  <c r="H1329" i="5" a="1"/>
  <c r="J1441" i="5" a="1"/>
  <c r="J1477" i="5" a="1"/>
  <c r="J1513" i="5" a="1"/>
  <c r="J1549" i="5" a="1"/>
  <c r="M1317" i="5" a="1"/>
  <c r="M919" i="5" a="1"/>
  <c r="M1377" i="5" a="1"/>
  <c r="B1312" i="5" a="1"/>
  <c r="M1408" i="5" a="1"/>
  <c r="J1391" i="5" a="1"/>
  <c r="K1333" i="5" a="1"/>
  <c r="N1260" i="5" a="1"/>
  <c r="H1401" i="5" a="1"/>
  <c r="K1463" i="5" a="1"/>
  <c r="K1499" i="5" a="1"/>
  <c r="K1535" i="5" a="1"/>
  <c r="E1481" i="5" a="1"/>
  <c r="H1255" i="5" a="1"/>
  <c r="E1516" i="5" a="1"/>
  <c r="M1576" i="5" a="1"/>
  <c r="M1612" i="5" a="1"/>
  <c r="M1648" i="5" a="1"/>
  <c r="K1318" i="5" a="1"/>
  <c r="E1532" i="5" a="1"/>
  <c r="J1428" i="5" a="1"/>
  <c r="N1552" i="5" a="1"/>
  <c r="M1587" i="5" a="1"/>
  <c r="M1623" i="5" a="1"/>
  <c r="M1659" i="5" a="1"/>
  <c r="I1450" i="5" a="1"/>
  <c r="J1314" i="5" a="1"/>
  <c r="J1520" i="5" a="1"/>
  <c r="E1579" i="5" a="1"/>
  <c r="E1615" i="5" a="1"/>
  <c r="E1651" i="5" a="1"/>
  <c r="B1326" i="5" a="1"/>
  <c r="J1524" i="5" a="1"/>
  <c r="J1380" i="5" a="1"/>
  <c r="K1520" i="5" a="1"/>
  <c r="J1582" i="5" a="1"/>
  <c r="J1618" i="5" a="1"/>
  <c r="J1654" i="5" a="1"/>
  <c r="L1293" i="5" a="1"/>
  <c r="I1534" i="5" a="1"/>
  <c r="M1428" i="5" a="1"/>
  <c r="E1540" i="5" a="1"/>
  <c r="L1583" i="5" a="1"/>
  <c r="L1619" i="5" a="1"/>
  <c r="L1655" i="5" a="1"/>
  <c r="K1403" i="5" a="1"/>
  <c r="B1635" i="5" a="1"/>
  <c r="I1439" i="5" a="1"/>
  <c r="H1316" i="5" a="1"/>
  <c r="L1534" i="5" a="1"/>
  <c r="B1457" i="5" a="1"/>
  <c r="B1455" i="5" a="1"/>
  <c r="I1555" i="5" a="1"/>
  <c r="J1488" i="5" a="1"/>
  <c r="B1607" i="5" a="1"/>
  <c r="L1451" i="5" a="1"/>
  <c r="I1318" i="5" a="1"/>
  <c r="L1525" i="5" a="1"/>
  <c r="N1580" i="5" a="1"/>
  <c r="B1724" i="5" a="1"/>
  <c r="E1631" i="5" a="1"/>
  <c r="K1694" i="5" a="1"/>
  <c r="M1476" i="5" a="1"/>
  <c r="L1654" i="5" a="1"/>
  <c r="M1594" i="5" a="1"/>
  <c r="J1680" i="5" a="1"/>
  <c r="J1716" i="5" a="1"/>
  <c r="I1515" i="5" a="1"/>
  <c r="E1560" i="5" a="1"/>
  <c r="L1666" i="5" a="1"/>
  <c r="I1713" i="5" a="1"/>
  <c r="K1635" i="5" a="1"/>
  <c r="K1460" i="5" a="1"/>
  <c r="H1645" i="5" a="1"/>
  <c r="L1703" i="5" a="1"/>
  <c r="N1503" i="5" a="1"/>
  <c r="M1664" i="5" a="1"/>
  <c r="K1614" i="5" a="1"/>
  <c r="E1696" i="5" a="1"/>
  <c r="H1411" i="5" a="1"/>
  <c r="E1330" i="5" a="1"/>
  <c r="I1576" i="5" a="1"/>
  <c r="J1576" i="5" a="1"/>
  <c r="N1674" i="5" a="1"/>
  <c r="K1532" i="5" a="1"/>
  <c r="H1717" i="5" a="1"/>
  <c r="J1757" i="5" a="1"/>
  <c r="J1793" i="5" a="1"/>
  <c r="J1829" i="5" a="1"/>
  <c r="J1865" i="5" a="1"/>
  <c r="I1707" i="5" a="1"/>
  <c r="L1616" i="5" a="1"/>
  <c r="J1732" i="5" a="1"/>
  <c r="J1768" i="5" a="1"/>
  <c r="J1804" i="5" a="1"/>
  <c r="J1840" i="5" a="1"/>
  <c r="H1565" i="5" a="1"/>
  <c r="L903" i="5" a="1"/>
  <c r="K1133" i="5" a="1"/>
  <c r="M1039" i="5" a="1"/>
  <c r="M1096" i="5" a="1"/>
  <c r="H1270" i="5" a="1"/>
  <c r="I1165" i="5" a="1"/>
  <c r="I1257" i="5" a="1"/>
  <c r="I1435" i="5" a="1"/>
  <c r="K1352" i="5" a="1"/>
  <c r="K1436" i="5" a="1"/>
  <c r="N1049" i="5" a="1"/>
  <c r="K1303" i="5" a="1"/>
  <c r="B1404" i="5" a="1"/>
  <c r="I1300" i="5" a="1"/>
  <c r="M1352" i="5" a="1"/>
  <c r="I1408" i="5" a="1"/>
  <c r="J1221" i="5" a="1"/>
  <c r="H1229" i="5" a="1"/>
  <c r="L1326" i="5" a="1"/>
  <c r="H1382" i="5" a="1"/>
  <c r="L1434" i="5" a="1"/>
  <c r="J1280" i="5" a="1"/>
  <c r="M1246" i="5" a="1"/>
  <c r="L1337" i="5" a="1"/>
  <c r="H1393" i="5" a="1"/>
  <c r="K1178" i="5" a="1"/>
  <c r="E1216" i="5" a="1"/>
  <c r="J1233" i="5" a="1"/>
  <c r="I1262" i="5" a="1"/>
  <c r="L1258" i="5" a="1"/>
  <c r="E1340" i="5" a="1"/>
  <c r="N1462" i="5" a="1"/>
  <c r="J1518" i="5" a="1"/>
  <c r="N1273" i="5" a="1"/>
  <c r="B1524" i="5" a="1"/>
  <c r="K1415" i="5" a="1"/>
  <c r="M1484" i="5" a="1"/>
  <c r="I1540" i="5" a="1"/>
  <c r="I1369" i="5" a="1"/>
  <c r="M1359" i="5" a="1"/>
  <c r="L1332" i="5" a="1"/>
  <c r="M1299" i="5" a="1"/>
  <c r="L1445" i="5" a="1"/>
  <c r="E1499" i="5" a="1"/>
  <c r="I1550" i="5" a="1"/>
  <c r="I1373" i="5" a="1"/>
  <c r="J1319" i="5" a="1"/>
  <c r="L1444" i="5" a="1"/>
  <c r="E1498" i="5" a="1"/>
  <c r="E1546" i="5" a="1"/>
  <c r="H1352" i="5" a="1"/>
  <c r="B1460" i="5" a="1"/>
  <c r="H1331" i="5" a="1"/>
  <c r="K1442" i="5" a="1"/>
  <c r="K1478" i="5" a="1"/>
  <c r="K1514" i="5" a="1"/>
  <c r="K1550" i="5" a="1"/>
  <c r="I1325" i="5" a="1"/>
  <c r="N1109" i="5" a="1"/>
  <c r="I1385" i="5" a="1"/>
  <c r="E1318" i="5" a="1"/>
  <c r="N1410" i="5" a="1"/>
  <c r="B1405" i="5" a="1"/>
  <c r="K1335" i="5" a="1"/>
  <c r="J1266" i="5" a="1"/>
  <c r="H1403" i="5" a="1"/>
  <c r="L1464" i="5" a="1"/>
  <c r="L1500" i="5" a="1"/>
  <c r="L1536" i="5" a="1"/>
  <c r="B1495" i="5" a="1"/>
  <c r="M1277" i="5" a="1"/>
  <c r="N1523" i="5" a="1"/>
  <c r="N1577" i="5" a="1"/>
  <c r="N1613" i="5" a="1"/>
  <c r="N1649" i="5" a="1"/>
  <c r="H1330" i="5" a="1"/>
  <c r="L1537" i="5" a="1"/>
  <c r="N1431" i="5" a="1"/>
  <c r="I1554" i="5" a="1"/>
  <c r="N1588" i="5" a="1"/>
  <c r="N1624" i="5" a="1"/>
  <c r="N1660" i="5" a="1"/>
  <c r="E1452" i="5" a="1"/>
  <c r="K1347" i="5" a="1"/>
  <c r="E1528" i="5" a="1"/>
  <c r="H1581" i="5" a="1"/>
  <c r="H1617" i="5" a="1"/>
  <c r="H1653" i="5" a="1"/>
  <c r="L1331" i="5" a="1"/>
  <c r="H1534" i="5" a="1"/>
  <c r="E1386" i="5" a="1"/>
  <c r="K1522" i="5" a="1"/>
  <c r="K1583" i="5" a="1"/>
  <c r="K1619" i="5" a="1"/>
  <c r="K1655" i="5" a="1"/>
  <c r="I1320" i="5" a="1"/>
  <c r="E1536" i="5" a="1"/>
  <c r="H1432" i="5" a="1"/>
  <c r="L1547" i="5" a="1"/>
  <c r="M1584" i="5" a="1"/>
  <c r="M1620" i="5" a="1"/>
  <c r="M1656" i="5" a="1"/>
  <c r="E1409" i="5" a="1"/>
  <c r="B1647" i="5" a="1"/>
  <c r="B1441" i="5" a="1"/>
  <c r="L1343" i="5" a="1"/>
  <c r="L1538" i="5" a="1"/>
  <c r="J1476" i="5" a="1"/>
  <c r="E1459" i="5" a="1"/>
  <c r="L1216" i="5" a="1"/>
  <c r="H1498" i="5" a="1"/>
  <c r="B1619" i="5" a="1"/>
  <c r="J1461" i="5" a="1"/>
  <c r="L1335" i="5" a="1"/>
  <c r="M1527" i="5" a="1"/>
  <c r="N1582" i="5" a="1"/>
  <c r="L1322" i="5" a="1"/>
  <c r="E1633" i="5" a="1"/>
  <c r="L1695" i="5" a="1"/>
  <c r="M1488" i="5" a="1"/>
  <c r="B1666" i="5" a="1"/>
  <c r="J1600" i="5" a="1"/>
  <c r="K1681" i="5" a="1"/>
  <c r="K1717" i="5" a="1"/>
  <c r="K1521" i="5" a="1"/>
  <c r="B1566" i="5" a="1"/>
  <c r="B1678" i="5" a="1"/>
  <c r="J1714" i="5" a="1"/>
  <c r="K1637" i="5" a="1"/>
  <c r="H1466" i="5" a="1"/>
  <c r="I1647" i="5" a="1"/>
  <c r="M1704" i="5" a="1"/>
  <c r="L1558" i="5" a="1"/>
  <c r="N1668" i="5" a="1"/>
  <c r="L1618" i="5" a="1"/>
  <c r="H1698" i="5" a="1"/>
  <c r="B1467" i="5" a="1"/>
  <c r="I1345" i="5" a="1"/>
  <c r="I1578" i="5" a="1"/>
  <c r="J1580" i="5" a="1"/>
  <c r="E1681" i="5" a="1"/>
  <c r="M1437" i="5" a="1"/>
  <c r="E1719" i="5" a="1"/>
  <c r="K1758" i="5" a="1"/>
  <c r="K1794" i="5" a="1"/>
  <c r="K1830" i="5" a="1"/>
  <c r="K1866" i="5" a="1"/>
  <c r="K1712" i="5" a="1"/>
  <c r="J1636" i="5" a="1"/>
  <c r="K1733" i="5" a="1"/>
  <c r="K1769" i="5" a="1"/>
  <c r="K1805" i="5" a="1"/>
  <c r="K1841" i="5" a="1"/>
  <c r="H1576" i="5" a="1"/>
  <c r="I857" i="5" a="1"/>
  <c r="L1182" i="5" a="1"/>
  <c r="H1053" i="5" a="1"/>
  <c r="L1100" i="5" a="1"/>
  <c r="K1273" i="5" a="1"/>
  <c r="I890" i="5" a="1"/>
  <c r="K1281" i="5" a="1"/>
  <c r="H1139" i="5" a="1"/>
  <c r="K1364" i="5" a="1"/>
  <c r="N1158" i="5" a="1"/>
  <c r="J1082" i="5" a="1"/>
  <c r="J1205" i="5" a="1"/>
  <c r="B1416" i="5" a="1"/>
  <c r="N1305" i="5" a="1"/>
  <c r="N1353" i="5" a="1"/>
  <c r="N1413" i="5" a="1"/>
  <c r="H1225" i="5" a="1"/>
  <c r="I1250" i="5" a="1"/>
  <c r="M1327" i="5" a="1"/>
  <c r="M1387" i="5" a="1"/>
  <c r="M1435" i="5" a="1"/>
  <c r="B1318" i="5" a="1"/>
  <c r="L1248" i="5" a="1"/>
  <c r="I1346" i="5" a="1"/>
  <c r="I1394" i="5" a="1"/>
  <c r="E1203" i="5" a="1"/>
  <c r="N1223" i="5" a="1"/>
  <c r="K1256" i="5" a="1"/>
  <c r="H1266" i="5" a="1"/>
  <c r="E1288" i="5" a="1"/>
  <c r="M1345" i="5" a="1"/>
  <c r="K1471" i="5" a="1"/>
  <c r="K1519" i="5" a="1"/>
  <c r="M1322" i="5" a="1"/>
  <c r="B1536" i="5" a="1"/>
  <c r="N1438" i="5" a="1"/>
  <c r="N1485" i="5" a="1"/>
  <c r="N1545" i="5" a="1"/>
  <c r="E1375" i="5" a="1"/>
  <c r="N1382" i="5" a="1"/>
  <c r="L1336" i="5" a="1"/>
  <c r="I1319" i="5" a="1"/>
  <c r="M1446" i="5" a="1"/>
  <c r="H1501" i="5" a="1"/>
  <c r="J1551" i="5" a="1"/>
  <c r="H1375" i="5" a="1"/>
  <c r="B1333" i="5" a="1"/>
  <c r="M1445" i="5" a="1"/>
  <c r="H1500" i="5" a="1"/>
  <c r="H1548" i="5" a="1"/>
  <c r="I1354" i="5" a="1"/>
  <c r="B1472" i="5" a="1"/>
  <c r="N1342" i="5" a="1"/>
  <c r="L1443" i="5" a="1"/>
  <c r="L1479" i="5" a="1"/>
  <c r="L1515" i="5" a="1"/>
  <c r="L1551" i="5" a="1"/>
  <c r="H1327" i="5" a="1"/>
  <c r="K1123" i="5" a="1"/>
  <c r="H1387" i="5" a="1"/>
  <c r="M1323" i="5" a="1"/>
  <c r="L1207" i="5" a="1"/>
  <c r="N1406" i="5" a="1"/>
  <c r="H1341" i="5" a="1"/>
  <c r="J1281" i="5" a="1"/>
  <c r="N1414" i="5" a="1"/>
  <c r="M1465" i="5" a="1"/>
  <c r="M1501" i="5" a="1"/>
  <c r="M1537" i="5" a="1"/>
  <c r="K1500" i="5" a="1"/>
  <c r="E1301" i="5" a="1"/>
  <c r="N1525" i="5" a="1"/>
  <c r="E1581" i="5" a="1"/>
  <c r="E1617" i="5" a="1"/>
  <c r="E1653" i="5" a="1"/>
  <c r="J1341" i="5" a="1"/>
  <c r="M1539" i="5" a="1"/>
  <c r="H1438" i="5" a="1"/>
  <c r="I1556" i="5" a="1"/>
  <c r="E1592" i="5" a="1"/>
  <c r="E1628" i="5" a="1"/>
  <c r="E1664" i="5" a="1"/>
  <c r="B1454" i="5" a="1"/>
  <c r="N1374" i="5" a="1"/>
  <c r="N1535" i="5" a="1"/>
  <c r="I1582" i="5" a="1"/>
  <c r="I1618" i="5" a="1"/>
  <c r="I1654" i="5" a="1"/>
  <c r="E1342" i="5" a="1"/>
  <c r="B1540" i="5" a="1"/>
  <c r="B1409" i="5" a="1"/>
  <c r="H1526" i="5" a="1"/>
  <c r="L1584" i="5" a="1"/>
  <c r="L1620" i="5" a="1"/>
  <c r="L1656" i="5" a="1"/>
  <c r="M1337" i="5" a="1"/>
  <c r="B1538" i="5" a="1"/>
  <c r="B1436" i="5" a="1"/>
  <c r="K1549" i="5" a="1"/>
  <c r="N1585" i="5" a="1"/>
  <c r="N1621" i="5" a="1"/>
  <c r="N1657" i="5" a="1"/>
  <c r="B1445" i="5" a="1"/>
  <c r="B1659" i="5" a="1"/>
  <c r="E1445" i="5" a="1"/>
  <c r="M1360" i="5" a="1"/>
  <c r="J1540" i="5" a="1"/>
  <c r="H1486" i="5" a="1"/>
  <c r="M1462" i="5" a="1"/>
  <c r="E1228" i="5" a="1"/>
  <c r="B1504" i="5" a="1"/>
  <c r="B1631" i="5" a="1"/>
  <c r="N1476" i="5" a="1"/>
  <c r="L1345" i="5" a="1"/>
  <c r="K1529" i="5" a="1"/>
  <c r="K1588" i="5" a="1"/>
  <c r="N1393" i="5" a="1"/>
  <c r="N1640" i="5" a="1"/>
  <c r="M1696" i="5" a="1"/>
  <c r="B1539" i="5" a="1"/>
  <c r="E1672" i="5" a="1"/>
  <c r="J1604" i="5" a="1"/>
  <c r="L1682" i="5" a="1"/>
  <c r="L1718" i="5" a="1"/>
  <c r="K1533" i="5" a="1"/>
  <c r="N1567" i="5" a="1"/>
  <c r="K1679" i="5" a="1"/>
  <c r="I1277" i="5" a="1"/>
  <c r="K1639" i="5" a="1"/>
  <c r="L1478" i="5" a="1"/>
  <c r="I1651" i="5" a="1"/>
  <c r="N1705" i="5" a="1"/>
  <c r="B1570" i="5" a="1"/>
  <c r="J1670" i="5" a="1"/>
  <c r="B1630" i="5" a="1"/>
  <c r="I1699" i="5" a="1"/>
  <c r="B1479" i="5" a="1"/>
  <c r="M1372" i="5" a="1"/>
  <c r="E1586" i="5" a="1"/>
  <c r="E1584" i="5" a="1"/>
  <c r="H1683" i="5" a="1"/>
  <c r="N1499" i="5" a="1"/>
  <c r="E1722" i="5" a="1"/>
  <c r="L1759" i="5" a="1"/>
  <c r="L1795" i="5" a="1"/>
  <c r="L1831" i="5" a="1"/>
  <c r="L1867" i="5" a="1"/>
  <c r="K1720" i="5" a="1"/>
  <c r="H1646" i="5" a="1"/>
  <c r="L1734" i="5" a="1"/>
  <c r="L1770" i="5" a="1"/>
  <c r="L1806" i="5" a="1"/>
  <c r="L1842" i="5" a="1"/>
  <c r="B1620" i="5" a="1"/>
  <c r="N644" i="5" a="1"/>
  <c r="B901" i="5" a="1"/>
  <c r="J1079" i="5" a="1"/>
  <c r="B1172" i="5" a="1"/>
  <c r="N1288" i="5" a="1"/>
  <c r="M914" i="5" a="1"/>
  <c r="H1297" i="5" a="1"/>
  <c r="J1176" i="5" a="1"/>
  <c r="K1376" i="5" a="1"/>
  <c r="L1176" i="5" a="1"/>
  <c r="H1104" i="5" a="1"/>
  <c r="K1209" i="5" a="1"/>
  <c r="B1428" i="5" a="1"/>
  <c r="E1309" i="5" a="1"/>
  <c r="E1357" i="5" a="1"/>
  <c r="E1417" i="5" a="1"/>
  <c r="B1233" i="5" a="1"/>
  <c r="H1254" i="5" a="1"/>
  <c r="N1328" i="5" a="1"/>
  <c r="N1388" i="5" a="1"/>
  <c r="N1436" i="5" a="1"/>
  <c r="B1330" i="5" a="1"/>
  <c r="J1250" i="5" a="1"/>
  <c r="J1347" i="5" a="1"/>
  <c r="J1395" i="5" a="1"/>
  <c r="I1213" i="5" a="1"/>
  <c r="K1227" i="5" a="1"/>
  <c r="N1269" i="5" a="1"/>
  <c r="M1273" i="5" a="1"/>
  <c r="L1291" i="5" a="1"/>
  <c r="J1353" i="5" a="1"/>
  <c r="L1472" i="5" a="1"/>
  <c r="L1520" i="5" a="1"/>
  <c r="I1328" i="5" a="1"/>
  <c r="B1548" i="5" a="1"/>
  <c r="E1441" i="5" a="1"/>
  <c r="E1489" i="5" a="1"/>
  <c r="E1549" i="5" a="1"/>
  <c r="E1377" i="5" a="1"/>
  <c r="N1384" i="5" a="1"/>
  <c r="J1338" i="5" a="1"/>
  <c r="B1325" i="5" a="1"/>
  <c r="N1447" i="5" a="1"/>
  <c r="I1502" i="5" a="1"/>
  <c r="K1552" i="5" a="1"/>
  <c r="J1402" i="5" a="1"/>
  <c r="N1334" i="5" a="1"/>
  <c r="N1446" i="5" a="1"/>
  <c r="K1503" i="5" a="1"/>
  <c r="I1549" i="5" a="1"/>
  <c r="E1358" i="5" a="1"/>
  <c r="B1484" i="5" a="1"/>
  <c r="L1344" i="5" a="1"/>
  <c r="M1444" i="5" a="1"/>
  <c r="M1480" i="5" a="1"/>
  <c r="M1516" i="5" a="1"/>
  <c r="M1552" i="5" a="1"/>
  <c r="I1331" i="5" a="1"/>
  <c r="I1137" i="5" a="1"/>
  <c r="I1391" i="5" a="1"/>
  <c r="M1325" i="5" a="1"/>
  <c r="H1232" i="5" a="1"/>
  <c r="N1408" i="5" a="1"/>
  <c r="H1343" i="5" a="1"/>
  <c r="B1292" i="5" a="1"/>
  <c r="L1416" i="5" a="1"/>
  <c r="N1466" i="5" a="1"/>
  <c r="N1502" i="5" a="1"/>
  <c r="N1538" i="5" a="1"/>
  <c r="I1510" i="5" a="1"/>
  <c r="N1335" i="5" a="1"/>
  <c r="B1530" i="5" a="1"/>
  <c r="H1583" i="5" a="1"/>
  <c r="H1619" i="5" a="1"/>
  <c r="H1655" i="5" a="1"/>
  <c r="I1357" i="5" a="1"/>
  <c r="K1541" i="5" a="1"/>
  <c r="H1442" i="5" a="1"/>
  <c r="H1558" i="5" a="1"/>
  <c r="H1594" i="5" a="1"/>
  <c r="H1630" i="5" a="1"/>
  <c r="H1666" i="5" a="1"/>
  <c r="N1467" i="5" a="1"/>
  <c r="L1407" i="5" a="1"/>
  <c r="N1537" i="5" a="1"/>
  <c r="J1583" i="5" a="1"/>
  <c r="J1619" i="5" a="1"/>
  <c r="J1655" i="5" a="1"/>
  <c r="I1009" i="5" a="1"/>
  <c r="I834" i="5" a="1"/>
  <c r="J1115" i="5" a="1"/>
  <c r="H1124" i="5" a="1"/>
  <c r="I1093" i="5" a="1"/>
  <c r="H1111" i="5" a="1"/>
  <c r="B1383" i="5" a="1"/>
  <c r="N1224" i="5" a="1"/>
  <c r="N1379" i="5" a="1"/>
  <c r="L1186" i="5" a="1"/>
  <c r="B1112" i="5" a="1"/>
  <c r="N1212" i="5" a="1"/>
  <c r="K867" i="5" a="1"/>
  <c r="H1311" i="5" a="1"/>
  <c r="H1359" i="5" a="1"/>
  <c r="H1419" i="5" a="1"/>
  <c r="N1236" i="5" a="1"/>
  <c r="K1269" i="5" a="1"/>
  <c r="E1332" i="5" a="1"/>
  <c r="E1392" i="5" a="1"/>
  <c r="H979" i="5" a="1"/>
  <c r="B1342" i="5" a="1"/>
  <c r="E1258" i="5" a="1"/>
  <c r="K1348" i="5" a="1"/>
  <c r="K1396" i="5" a="1"/>
  <c r="E1218" i="5" a="1"/>
  <c r="J1229" i="5" a="1"/>
  <c r="N1271" i="5" a="1"/>
  <c r="J1275" i="5" a="1"/>
  <c r="M1296" i="5" a="1"/>
  <c r="J1357" i="5" a="1"/>
  <c r="M1473" i="5" a="1"/>
  <c r="M1521" i="5" a="1"/>
  <c r="J1330" i="5" a="1"/>
  <c r="E1204" i="5" a="1"/>
  <c r="H1443" i="5" a="1"/>
  <c r="H1491" i="5" a="1"/>
  <c r="H1551" i="5" a="1"/>
  <c r="M1380" i="5" a="1"/>
  <c r="L1388" i="5" a="1"/>
  <c r="I1344" i="5" a="1"/>
  <c r="M1334" i="5" a="1"/>
  <c r="E1451" i="5" a="1"/>
  <c r="M1506" i="5" a="1"/>
  <c r="L1553" i="5" a="1"/>
  <c r="J1404" i="5" a="1"/>
  <c r="N1336" i="5" a="1"/>
  <c r="E1450" i="5" a="1"/>
  <c r="L1504" i="5" a="1"/>
  <c r="J1550" i="5" a="1"/>
  <c r="B1360" i="5" a="1"/>
  <c r="B1496" i="5" a="1"/>
  <c r="L1348" i="5" a="1"/>
  <c r="N1445" i="5" a="1"/>
  <c r="N1481" i="5" a="1"/>
  <c r="N1517" i="5" a="1"/>
  <c r="N1553" i="5" a="1"/>
  <c r="B1337" i="5" a="1"/>
  <c r="K1207" i="5" a="1"/>
  <c r="B1397" i="5" a="1"/>
  <c r="K1327" i="5" a="1"/>
  <c r="K1243" i="5" a="1"/>
  <c r="L1412" i="5" a="1"/>
  <c r="N1354" i="5" a="1"/>
  <c r="H1304" i="5" a="1"/>
  <c r="L1420" i="5" a="1"/>
  <c r="E1470" i="5" a="1"/>
  <c r="E1506" i="5" a="1"/>
  <c r="E1542" i="5" a="1"/>
  <c r="E1512" i="5" a="1"/>
  <c r="K1351" i="5" a="1"/>
  <c r="L1533" i="5" a="1"/>
  <c r="I1584" i="5" a="1"/>
  <c r="I1620" i="5" a="1"/>
  <c r="I1656" i="5" a="1"/>
  <c r="E1363" i="5" a="1"/>
  <c r="J1543" i="5" a="1"/>
  <c r="H1446" i="5" a="1"/>
  <c r="I1559" i="5" a="1"/>
  <c r="I1595" i="5" a="1"/>
  <c r="I1631" i="5" a="1"/>
  <c r="I1667" i="5" a="1"/>
  <c r="M1471" i="5" a="1"/>
  <c r="I1413" i="5" a="1"/>
  <c r="B1542" i="5" a="1"/>
  <c r="K1584" i="5" a="1"/>
  <c r="K1620" i="5" a="1"/>
  <c r="K1656" i="5" a="1"/>
  <c r="E1018" i="5" a="1"/>
  <c r="H877" i="5" a="1"/>
  <c r="L1117" i="5" a="1"/>
  <c r="E1161" i="5" a="1"/>
  <c r="M1120" i="5" a="1"/>
  <c r="L1172" i="5" a="1"/>
  <c r="L1080" i="5" a="1"/>
  <c r="H1261" i="5" a="1"/>
  <c r="E1383" i="5" a="1"/>
  <c r="H1194" i="5" a="1"/>
  <c r="K1119" i="5" a="1"/>
  <c r="J1219" i="5" a="1"/>
  <c r="J961" i="5" a="1"/>
  <c r="I1312" i="5" a="1"/>
  <c r="I1360" i="5" a="1"/>
  <c r="I1420" i="5" a="1"/>
  <c r="K1242" i="5" a="1"/>
  <c r="E1273" i="5" a="1"/>
  <c r="H1334" i="5" a="1"/>
  <c r="H1394" i="5" a="1"/>
  <c r="I1038" i="5" a="1"/>
  <c r="B1354" i="5" a="1"/>
  <c r="N1267" i="5" a="1"/>
  <c r="L1349" i="5" a="1"/>
  <c r="L1397" i="5" a="1"/>
  <c r="M1221" i="5" a="1"/>
  <c r="E1237" i="5" a="1"/>
  <c r="H1275" i="5" a="1"/>
  <c r="H1277" i="5" a="1"/>
  <c r="B1303" i="5" a="1"/>
  <c r="E1361" i="5" a="1"/>
  <c r="N1474" i="5" a="1"/>
  <c r="N1522" i="5" a="1"/>
  <c r="J1332" i="5" a="1"/>
  <c r="N1211" i="5" a="1"/>
  <c r="I1444" i="5" a="1"/>
  <c r="I1492" i="5" a="1"/>
  <c r="I1552" i="5" a="1"/>
  <c r="M1384" i="5" a="1"/>
  <c r="K1390" i="5" a="1"/>
  <c r="E1352" i="5" a="1"/>
  <c r="I1340" i="5" a="1"/>
  <c r="H1453" i="5" a="1"/>
  <c r="N1507" i="5" a="1"/>
  <c r="M1554" i="5" a="1"/>
  <c r="J1406" i="5" a="1"/>
  <c r="L1340" i="5" a="1"/>
  <c r="H1452" i="5" a="1"/>
  <c r="M1505" i="5" a="1"/>
  <c r="K1551" i="5" a="1"/>
  <c r="E1366" i="5" a="1"/>
  <c r="B1508" i="5" a="1"/>
  <c r="J1350" i="5" a="1"/>
  <c r="E1449" i="5" a="1"/>
  <c r="E1485" i="5" a="1"/>
  <c r="E1521" i="5" a="1"/>
  <c r="E1557" i="5" a="1"/>
  <c r="M1346" i="5" a="1"/>
  <c r="J1243" i="5" a="1"/>
  <c r="M1406" i="5" a="1"/>
  <c r="J1331" i="5" a="1"/>
  <c r="L1270" i="5" a="1"/>
  <c r="K1414" i="5" a="1"/>
  <c r="L1356" i="5" a="1"/>
  <c r="H1318" i="5" a="1"/>
  <c r="J1422" i="5" a="1"/>
  <c r="H1472" i="5" a="1"/>
  <c r="H1508" i="5" a="1"/>
  <c r="M1266" i="5" a="1"/>
  <c r="B1514" i="5" a="1"/>
  <c r="H1384" i="5" a="1"/>
  <c r="L1535" i="5" a="1"/>
  <c r="J1585" i="5" a="1"/>
  <c r="J1621" i="5" a="1"/>
  <c r="J1657" i="5" a="1"/>
  <c r="M1368" i="5" a="1"/>
  <c r="N1548" i="5" a="1"/>
  <c r="I1448" i="5" a="1"/>
  <c r="J1560" i="5" a="1"/>
  <c r="J1596" i="5" a="1"/>
  <c r="J1632" i="5" a="1"/>
  <c r="J1668" i="5" a="1"/>
  <c r="K1477" i="5" a="1"/>
  <c r="K1428" i="5" a="1"/>
  <c r="K1545" i="5" a="1"/>
  <c r="L1585" i="5" a="1"/>
  <c r="L1621" i="5" a="1"/>
  <c r="L1657" i="5" a="1"/>
  <c r="H945" i="5" a="1"/>
  <c r="L1073" i="5" a="1"/>
  <c r="E1135" i="5" a="1"/>
  <c r="J1190" i="5" a="1"/>
  <c r="B1206" i="5" a="1"/>
  <c r="H1195" i="5" a="1"/>
  <c r="L1208" i="5" a="1"/>
  <c r="B1289" i="5" a="1"/>
  <c r="H1385" i="5" a="1"/>
  <c r="M1197" i="5" a="1"/>
  <c r="H1212" i="5" a="1"/>
  <c r="I1221" i="5" a="1"/>
  <c r="E1160" i="5" a="1"/>
  <c r="J1313" i="5" a="1"/>
  <c r="N1365" i="5" a="1"/>
  <c r="J1421" i="5" a="1"/>
  <c r="K1267" i="5" a="1"/>
  <c r="K1278" i="5" a="1"/>
  <c r="M1339" i="5" a="1"/>
  <c r="I1395" i="5" a="1"/>
  <c r="N1154" i="5" a="1"/>
  <c r="B1366" i="5" a="1"/>
  <c r="N1294" i="5" a="1"/>
  <c r="M1350" i="5" a="1"/>
  <c r="I1406" i="5" a="1"/>
  <c r="M1223" i="5" a="1"/>
  <c r="K1252" i="5" a="1"/>
  <c r="L1282" i="5" a="1"/>
  <c r="L1299" i="5" a="1"/>
  <c r="B1315" i="5" a="1"/>
  <c r="E1394" i="5" a="1"/>
  <c r="E1478" i="5" a="1"/>
  <c r="K1531" i="5" a="1"/>
  <c r="J1334" i="5" a="1"/>
  <c r="J1268" i="5" a="1"/>
  <c r="J1445" i="5" a="1"/>
  <c r="N1497" i="5" a="1"/>
  <c r="J1553" i="5" a="1"/>
  <c r="M1413" i="5" a="1"/>
  <c r="K1392" i="5" a="1"/>
  <c r="B1389" i="5" a="1"/>
  <c r="J1342" i="5" a="1"/>
  <c r="I1454" i="5" a="1"/>
  <c r="E1511" i="5" a="1"/>
  <c r="N1555" i="5" a="1"/>
  <c r="E1410" i="5" a="1"/>
  <c r="K1342" i="5" a="1"/>
  <c r="M1457" i="5" a="1"/>
  <c r="N1506" i="5" a="1"/>
  <c r="L1552" i="5" a="1"/>
  <c r="M1371" i="5" a="1"/>
  <c r="B1520" i="5" a="1"/>
  <c r="I1356" i="5" a="1"/>
  <c r="H1451" i="5" a="1"/>
  <c r="H1487" i="5" a="1"/>
  <c r="H1523" i="5" a="1"/>
  <c r="I1080" i="5" a="1"/>
  <c r="I1352" i="5" a="1"/>
  <c r="J1286" i="5" a="1"/>
  <c r="I1412" i="5" a="1"/>
  <c r="B1345" i="5" a="1"/>
  <c r="I1281" i="5" a="1"/>
  <c r="K1416" i="5" a="1"/>
  <c r="L1360" i="5" a="1"/>
  <c r="N1321" i="5" a="1"/>
  <c r="I1428" i="5" a="1"/>
  <c r="I1473" i="5" a="1"/>
  <c r="I1509" i="5" a="1"/>
  <c r="K1308" i="5" a="1"/>
  <c r="N1527" i="5" a="1"/>
  <c r="J1401" i="5" a="1"/>
  <c r="I1545" i="5" a="1"/>
  <c r="K1586" i="5" a="1"/>
  <c r="K1622" i="5" a="1"/>
  <c r="K1658" i="5" a="1"/>
  <c r="L1424" i="5" a="1"/>
  <c r="B1567" i="5" a="1"/>
  <c r="M1463" i="5" a="1"/>
  <c r="K1561" i="5" a="1"/>
  <c r="K1597" i="5" a="1"/>
  <c r="K1633" i="5" a="1"/>
  <c r="K1669" i="5" a="1"/>
  <c r="I1479" i="5" a="1"/>
  <c r="I1438" i="5" a="1"/>
  <c r="J1547" i="5" a="1"/>
  <c r="M1586" i="5" a="1"/>
  <c r="M1622" i="5" a="1"/>
  <c r="M1658" i="5" a="1"/>
  <c r="I958" i="5" a="1"/>
  <c r="E1079" i="5" a="1"/>
  <c r="E1171" i="5" a="1"/>
  <c r="E1134" i="5" a="1"/>
  <c r="J1142" i="5" a="1"/>
  <c r="K1198" i="5" a="1"/>
  <c r="N1222" i="5" a="1"/>
  <c r="J1292" i="5" a="1"/>
  <c r="I1386" i="5" a="1"/>
  <c r="I1205" i="5" a="1"/>
  <c r="J1215" i="5" a="1"/>
  <c r="E1227" i="5" a="1"/>
  <c r="I1183" i="5" a="1"/>
  <c r="K1314" i="5" a="1"/>
  <c r="E1369" i="5" a="1"/>
  <c r="K1422" i="5" a="1"/>
  <c r="J1269" i="5" a="1"/>
  <c r="I1280" i="5" a="1"/>
  <c r="N1340" i="5" a="1"/>
  <c r="J1396" i="5" a="1"/>
  <c r="N1165" i="5" a="1"/>
  <c r="B1378" i="5" a="1"/>
  <c r="J1299" i="5" a="1"/>
  <c r="N1351" i="5" a="1"/>
  <c r="J1407" i="5" a="1"/>
  <c r="M1225" i="5" a="1"/>
  <c r="J1256" i="5" a="1"/>
  <c r="H1284" i="5" a="1"/>
  <c r="M1300" i="5" a="1"/>
  <c r="B1327" i="5" a="1"/>
  <c r="B1396" i="5" a="1"/>
  <c r="H1480" i="5" a="1"/>
  <c r="L1532" i="5" a="1"/>
  <c r="E1338" i="5" a="1"/>
  <c r="L1284" i="5" a="1"/>
  <c r="K1446" i="5" a="1"/>
  <c r="E1501" i="5" a="1"/>
  <c r="K1554" i="5" a="1"/>
  <c r="I1421" i="5" a="1"/>
  <c r="K1394" i="5" a="1"/>
  <c r="L1394" i="5" a="1"/>
  <c r="J1344" i="5" a="1"/>
  <c r="N1459" i="5" a="1"/>
  <c r="H1513" i="5" a="1"/>
  <c r="B1108" i="5" a="1"/>
  <c r="K1429" i="5" a="1"/>
  <c r="K1344" i="5" a="1"/>
  <c r="N1458" i="5" a="1"/>
  <c r="E1510" i="5" a="1"/>
  <c r="M1553" i="5" a="1"/>
  <c r="M1373" i="5" a="1"/>
  <c r="B1532" i="5" a="1"/>
  <c r="E1364" i="5" a="1"/>
  <c r="I1452" i="5" a="1"/>
  <c r="I1488" i="5" a="1"/>
  <c r="I1524" i="5" a="1"/>
  <c r="J1094" i="5" a="1"/>
  <c r="J1354" i="5" a="1"/>
  <c r="L1295" i="5" a="1"/>
  <c r="J1414" i="5" a="1"/>
  <c r="N1346" i="5" a="1"/>
  <c r="N1300" i="5" a="1"/>
  <c r="K1418" i="5" a="1"/>
  <c r="J1362" i="5" a="1"/>
  <c r="B1328" i="5" a="1"/>
  <c r="E1436" i="5" a="1"/>
  <c r="J1474" i="5" a="1"/>
  <c r="J1510" i="5" a="1"/>
  <c r="J1318" i="5" a="1"/>
  <c r="M1531" i="5" a="1"/>
  <c r="N1418" i="5" a="1"/>
  <c r="M1550" i="5" a="1"/>
  <c r="L1587" i="5" a="1"/>
  <c r="L1623" i="5" a="1"/>
  <c r="L1659" i="5" a="1"/>
  <c r="J1434" i="5" a="1"/>
  <c r="B1579" i="5" a="1"/>
  <c r="K1473" i="5" a="1"/>
  <c r="L1562" i="5" a="1"/>
  <c r="L1598" i="5" a="1"/>
  <c r="L1634" i="5" a="1"/>
  <c r="L1670" i="5" a="1"/>
  <c r="H1481" i="5" a="1"/>
  <c r="L1442" i="5" a="1"/>
  <c r="B1549" i="5" a="1"/>
  <c r="N1587" i="5" a="1"/>
  <c r="N1623" i="5" a="1"/>
  <c r="N1659" i="5" a="1"/>
  <c r="N885" i="5" a="1"/>
  <c r="J1131" i="5" a="1"/>
  <c r="L769" i="5" a="1"/>
  <c r="B1148" i="5" a="1"/>
  <c r="H1152" i="5" a="1"/>
  <c r="K1210" i="5" a="1"/>
  <c r="K1251" i="5" a="1"/>
  <c r="B1370" i="5" a="1"/>
  <c r="K1388" i="5" a="1"/>
  <c r="H1215" i="5" a="1"/>
  <c r="I1217" i="5" a="1"/>
  <c r="M1232" i="5" a="1"/>
  <c r="N1186" i="5" a="1"/>
  <c r="L1315" i="5" a="1"/>
  <c r="H1371" i="5" a="1"/>
  <c r="L1423" i="5" a="1"/>
  <c r="L1276" i="5" a="1"/>
  <c r="B1284" i="5" a="1"/>
  <c r="E1344" i="5" a="1"/>
  <c r="K1397" i="5" a="1"/>
  <c r="K1183" i="5" a="1"/>
  <c r="B1390" i="5" a="1"/>
  <c r="K1300" i="5" a="1"/>
  <c r="E1355" i="5" a="1"/>
  <c r="K1408" i="5" a="1"/>
  <c r="J1231" i="5" a="1"/>
  <c r="J1258" i="5" a="1"/>
  <c r="M1289" i="5" a="1"/>
  <c r="N1301" i="5" a="1"/>
  <c r="B1339" i="5" a="1"/>
  <c r="E1402" i="5" a="1"/>
  <c r="I1481" i="5" a="1"/>
  <c r="M1533" i="5" a="1"/>
  <c r="N1347" i="5" a="1"/>
  <c r="N1293" i="5" a="1"/>
  <c r="L1447" i="5" a="1"/>
  <c r="H1503" i="5" a="1"/>
  <c r="L1555" i="5" a="1"/>
  <c r="H1423" i="5" a="1"/>
  <c r="H1396" i="5" a="1"/>
  <c r="H1400" i="5" a="1"/>
  <c r="J1346" i="5" a="1"/>
  <c r="E1463" i="5" a="1"/>
  <c r="I1514" i="5" a="1"/>
  <c r="H1162" i="5" a="1"/>
  <c r="K1431" i="5" a="1"/>
  <c r="K1346" i="5" a="1"/>
  <c r="E1462" i="5" a="1"/>
  <c r="H1512" i="5" a="1"/>
  <c r="N1554" i="5" a="1"/>
  <c r="K1375" i="5" a="1"/>
  <c r="B1544" i="5" a="1"/>
  <c r="M1369" i="5" a="1"/>
  <c r="J1453" i="5" a="1"/>
  <c r="J1489" i="5" a="1"/>
  <c r="J1525" i="5" a="1"/>
  <c r="L1163" i="5" a="1"/>
  <c r="J1356" i="5" a="1"/>
  <c r="E1304" i="5" a="1"/>
  <c r="J1416" i="5" a="1"/>
  <c r="N1348" i="5" a="1"/>
  <c r="I1308" i="5" a="1"/>
  <c r="H1420" i="5" a="1"/>
  <c r="I1368" i="5" a="1"/>
  <c r="M1329" i="5" a="1"/>
  <c r="K1439" i="5" a="1"/>
  <c r="K1475" i="5" a="1"/>
  <c r="K1511" i="5" a="1"/>
  <c r="I1341" i="5" a="1"/>
  <c r="K1537" i="5" a="1"/>
  <c r="H1428" i="5" a="1"/>
  <c r="J1552" i="5" a="1"/>
  <c r="M1588" i="5" a="1"/>
  <c r="M1624" i="5" a="1"/>
  <c r="M1660" i="5" a="1"/>
  <c r="J1440" i="5" a="1"/>
  <c r="B1591" i="5" a="1"/>
  <c r="B1491" i="5" a="1"/>
  <c r="M1563" i="5" a="1"/>
  <c r="M1599" i="5" a="1"/>
  <c r="M1635" i="5" a="1"/>
  <c r="M1671" i="5" a="1"/>
  <c r="I1483" i="5" a="1"/>
  <c r="J1444" i="5" a="1"/>
  <c r="L1554" i="5" a="1"/>
  <c r="E1591" i="5" a="1"/>
  <c r="E1627" i="5" a="1"/>
  <c r="E1663" i="5" a="1"/>
  <c r="E1425" i="5" a="1"/>
  <c r="B1577" i="5" a="1"/>
  <c r="N1444" i="5" a="1"/>
  <c r="J1558" i="5" a="1"/>
  <c r="J1594" i="5" a="1"/>
  <c r="J1630" i="5" a="1"/>
  <c r="J1666" i="5" a="1"/>
  <c r="B1447" i="5" a="1"/>
  <c r="B1624" i="5" a="1"/>
  <c r="I1458" i="5" a="1"/>
  <c r="L1559" i="5" a="1"/>
  <c r="L1595" i="5" a="1"/>
  <c r="L1631" i="5" a="1"/>
  <c r="L1667" i="5" a="1"/>
  <c r="M1491" i="5" a="1"/>
  <c r="H1376" i="5" a="1"/>
  <c r="N1491" i="5" a="1"/>
  <c r="N1452" i="5" a="1"/>
  <c r="H1555" i="5" a="1"/>
  <c r="J1507" i="5" a="1"/>
  <c r="K1474" i="5" a="1"/>
  <c r="B1317" i="5" a="1"/>
  <c r="J1523" i="5" a="1"/>
  <c r="M1167" i="5" a="1"/>
  <c r="J1496" i="5" a="1"/>
  <c r="E1434" i="5" a="1"/>
  <c r="L1548" i="5" a="1"/>
  <c r="L1613" i="5" a="1"/>
  <c r="B1483" i="5" a="1"/>
  <c r="H1662" i="5" a="1"/>
  <c r="K1706" i="5" a="1"/>
  <c r="H1577" i="5" a="1"/>
  <c r="J1129" i="5" a="1"/>
  <c r="K1627" i="5" a="1"/>
  <c r="J1692" i="5" a="1"/>
  <c r="E1447" i="5" a="1"/>
  <c r="I1459" i="5" a="1"/>
  <c r="H1589" i="5" a="1"/>
  <c r="I1689" i="5" a="1"/>
  <c r="H1490" i="5" a="1"/>
  <c r="L1662" i="5" a="1"/>
  <c r="H1564" i="5" a="1"/>
  <c r="L1679" i="5" a="1"/>
  <c r="L1715" i="5" a="1"/>
  <c r="E1595" i="5" a="1"/>
  <c r="B1719" i="5" a="1"/>
  <c r="E1655" i="5" a="1"/>
  <c r="E1708" i="5" a="1"/>
  <c r="J1564" i="5" a="1"/>
  <c r="L1511" i="5" a="1"/>
  <c r="K1626" i="5" a="1"/>
  <c r="K1605" i="5" a="1"/>
  <c r="N1689" i="5" a="1"/>
  <c r="E1623" i="5" a="1"/>
  <c r="J1733" i="5" a="1"/>
  <c r="J1769" i="5" a="1"/>
  <c r="J1805" i="5" a="1"/>
  <c r="J1841" i="5" a="1"/>
  <c r="J1599" i="5" a="1"/>
  <c r="B1787" i="5" a="1"/>
  <c r="J1671" i="5" a="1"/>
  <c r="J1744" i="5" a="1"/>
  <c r="J1780" i="5" a="1"/>
  <c r="J1816" i="5" a="1"/>
  <c r="J1852" i="5" a="1"/>
  <c r="H1689" i="5" a="1"/>
  <c r="N894" i="5" a="1"/>
  <c r="L1133" i="5" a="1"/>
  <c r="M1057" i="5" a="1"/>
  <c r="E1023" i="5" a="1"/>
  <c r="L1179" i="5" a="1"/>
  <c r="I996" i="5" a="1"/>
  <c r="L1281" i="5" a="1"/>
  <c r="J1125" i="5" a="1"/>
  <c r="K1400" i="5" a="1"/>
  <c r="H1219" i="5" a="1"/>
  <c r="I1219" i="5" a="1"/>
  <c r="I1240" i="5" a="1"/>
  <c r="J1194" i="5" a="1"/>
  <c r="M1316" i="5" a="1"/>
  <c r="I1372" i="5" a="1"/>
  <c r="M1424" i="5" a="1"/>
  <c r="E1282" i="5" a="1"/>
  <c r="N1285" i="5" a="1"/>
  <c r="H1346" i="5" a="1"/>
  <c r="L1398" i="5" a="1"/>
  <c r="B1216" i="5" a="1"/>
  <c r="B1402" i="5" a="1"/>
  <c r="L1301" i="5" a="1"/>
  <c r="H1357" i="5" a="1"/>
  <c r="L1409" i="5" a="1"/>
  <c r="I1233" i="5" a="1"/>
  <c r="E1264" i="5" a="1"/>
  <c r="K1291" i="5" a="1"/>
  <c r="K1026" i="5" a="1"/>
  <c r="B1351" i="5" a="1"/>
  <c r="M1407" i="5" a="1"/>
  <c r="J1482" i="5" a="1"/>
  <c r="N1534" i="5" a="1"/>
  <c r="N1349" i="5" a="1"/>
  <c r="K1298" i="5" a="1"/>
  <c r="M1448" i="5" a="1"/>
  <c r="I1504" i="5" a="1"/>
  <c r="M1556" i="5" a="1"/>
  <c r="I1427" i="5" a="1"/>
  <c r="H1404" i="5" a="1"/>
  <c r="I1402" i="5" a="1"/>
  <c r="E1350" i="5" a="1"/>
  <c r="H1465" i="5" a="1"/>
  <c r="J1515" i="5" a="1"/>
  <c r="N1174" i="5" a="1"/>
  <c r="H1437" i="5" a="1"/>
  <c r="H1348" i="5" a="1"/>
  <c r="H1464" i="5" a="1"/>
  <c r="I1513" i="5" a="1"/>
  <c r="E1558" i="5" a="1"/>
  <c r="J1379" i="5" a="1"/>
  <c r="B1556" i="5" a="1"/>
  <c r="J1377" i="5" a="1"/>
  <c r="K1454" i="5" a="1"/>
  <c r="K1490" i="5" a="1"/>
  <c r="K1526" i="5" a="1"/>
  <c r="N1188" i="5" a="1"/>
  <c r="J1358" i="5" a="1"/>
  <c r="H1308" i="5" a="1"/>
  <c r="J1418" i="5" a="1"/>
  <c r="L1352" i="5" a="1"/>
  <c r="E1316" i="5" a="1"/>
  <c r="B1180" i="5" a="1"/>
  <c r="E1376" i="5" a="1"/>
  <c r="I1337" i="5" a="1"/>
  <c r="L1440" i="5" a="1"/>
  <c r="L1476" i="5" a="1"/>
  <c r="L1512" i="5" a="1"/>
  <c r="L1368" i="5" a="1"/>
  <c r="I1539" i="5" a="1"/>
  <c r="E1438" i="5" a="1"/>
  <c r="H1554" i="5" a="1"/>
  <c r="N1589" i="5" a="1"/>
  <c r="N1625" i="5" a="1"/>
  <c r="N1661" i="5" a="1"/>
  <c r="H1450" i="5" a="1"/>
  <c r="B1603" i="5" a="1"/>
  <c r="E1495" i="5" a="1"/>
  <c r="N1564" i="5" a="1"/>
  <c r="N1600" i="5" a="1"/>
  <c r="N1636" i="5" a="1"/>
  <c r="N1672" i="5" a="1"/>
  <c r="I1487" i="5" a="1"/>
  <c r="I1446" i="5" a="1"/>
  <c r="J1556" i="5" a="1"/>
  <c r="H1593" i="5" a="1"/>
  <c r="H1629" i="5" a="1"/>
  <c r="H1665" i="5" a="1"/>
  <c r="B1432" i="5" a="1"/>
  <c r="B1589" i="5" a="1"/>
  <c r="L1446" i="5" a="1"/>
  <c r="K1559" i="5" a="1"/>
  <c r="K1595" i="5" a="1"/>
  <c r="K1631" i="5" a="1"/>
  <c r="K1667" i="5" a="1"/>
  <c r="K1452" i="5" a="1"/>
  <c r="B1636" i="5" a="1"/>
  <c r="J1460" i="5" a="1"/>
  <c r="M1560" i="5" a="1"/>
  <c r="M1596" i="5" a="1"/>
  <c r="M1632" i="5" a="1"/>
  <c r="M1668" i="5" a="1"/>
  <c r="K1493" i="5" a="1"/>
  <c r="N1381" i="5" a="1"/>
  <c r="M1495" i="5" a="1"/>
  <c r="N1460" i="5" a="1"/>
  <c r="I879" i="5" a="1"/>
  <c r="J1511" i="5" a="1"/>
  <c r="H1478" i="5" a="1"/>
  <c r="N1333" i="5" a="1"/>
  <c r="E1527" i="5" a="1"/>
  <c r="H1228" i="5" a="1"/>
  <c r="E1504" i="5" a="1"/>
  <c r="B1444" i="5" a="1"/>
  <c r="K1322" i="5" a="1"/>
  <c r="L1615" i="5" a="1"/>
  <c r="K1488" i="5" a="1"/>
  <c r="B1668" i="5" a="1"/>
  <c r="L1707" i="5" a="1"/>
  <c r="B1585" i="5" a="1"/>
  <c r="B1324" i="5" a="1"/>
  <c r="K1629" i="5" a="1"/>
  <c r="K1693" i="5" a="1"/>
  <c r="B1453" i="5" a="1"/>
  <c r="J1546" i="5" a="1"/>
  <c r="B1597" i="5" a="1"/>
  <c r="J1690" i="5" a="1"/>
  <c r="L1509" i="5" a="1"/>
  <c r="L1664" i="5" a="1"/>
  <c r="H1566" i="5" a="1"/>
  <c r="M1680" i="5" a="1"/>
  <c r="M1716" i="5" a="1"/>
  <c r="E1597" i="5" a="1"/>
  <c r="L1180" i="5" a="1"/>
  <c r="E1657" i="5" a="1"/>
  <c r="H1710" i="5" a="1"/>
  <c r="B1443" i="5" a="1"/>
  <c r="M1523" i="5" a="1"/>
  <c r="L1630" i="5" a="1"/>
  <c r="H1611" i="5" a="1"/>
  <c r="E1693" i="5" a="1"/>
  <c r="K1649" i="5" a="1"/>
  <c r="K1734" i="5" a="1"/>
  <c r="K1770" i="5" a="1"/>
  <c r="K1806" i="5" a="1"/>
  <c r="K1842" i="5" a="1"/>
  <c r="I1609" i="5" a="1"/>
  <c r="B1799" i="5" a="1"/>
  <c r="M1674" i="5" a="1"/>
  <c r="K1745" i="5" a="1"/>
  <c r="K1781" i="5" a="1"/>
  <c r="K1817" i="5" a="1"/>
  <c r="K1853" i="5" a="1"/>
  <c r="E1691" i="5" a="1"/>
  <c r="I966" i="5" a="1"/>
  <c r="I951" i="5" a="1"/>
  <c r="B1199" i="5" a="1"/>
  <c r="L1175" i="5" a="1"/>
  <c r="J1211" i="5" a="1"/>
  <c r="I1109" i="5" a="1"/>
  <c r="E1300" i="5" a="1"/>
  <c r="H1217" i="5" a="1"/>
  <c r="H1409" i="5" a="1"/>
  <c r="B1225" i="5" a="1"/>
  <c r="J1238" i="5" a="1"/>
  <c r="J1242" i="5" a="1"/>
  <c r="E1225" i="5" a="1"/>
  <c r="N1317" i="5" a="1"/>
  <c r="N1377" i="5" a="1"/>
  <c r="N1425" i="5" a="1"/>
  <c r="B1343" i="5" a="1"/>
  <c r="K1287" i="5" a="1"/>
  <c r="M1351" i="5" a="1"/>
  <c r="M1399" i="5" a="1"/>
  <c r="H1227" i="5" a="1"/>
  <c r="B1414" i="5" a="1"/>
  <c r="I1310" i="5" a="1"/>
  <c r="I1358" i="5" a="1"/>
  <c r="I1418" i="5" a="1"/>
  <c r="E1239" i="5" a="1"/>
  <c r="E1286" i="5" a="1"/>
  <c r="L1296" i="5" a="1"/>
  <c r="L1195" i="5" a="1"/>
  <c r="B1363" i="5" a="1"/>
  <c r="N1430" i="5" a="1"/>
  <c r="K1483" i="5" a="1"/>
  <c r="K1543" i="5" a="1"/>
  <c r="K1355" i="5" a="1"/>
  <c r="M1320" i="5" a="1"/>
  <c r="N1449" i="5" a="1"/>
  <c r="N1509" i="5" a="1"/>
  <c r="N1557" i="5" a="1"/>
  <c r="B1475" i="5" a="1"/>
  <c r="B1410" i="5" a="1"/>
  <c r="M1421" i="5" a="1"/>
  <c r="N1359" i="5" a="1"/>
  <c r="I1466" i="5" a="1"/>
  <c r="K1516" i="5" a="1"/>
  <c r="N1258" i="5" a="1"/>
  <c r="B1449" i="5" a="1"/>
  <c r="H1356" i="5" a="1"/>
  <c r="L1468" i="5" a="1"/>
  <c r="J1514" i="5" a="1"/>
  <c r="E1137" i="5" a="1"/>
  <c r="B1393" i="5" a="1"/>
  <c r="L1043" i="5" a="1"/>
  <c r="J1381" i="5" a="1"/>
  <c r="L1455" i="5" a="1"/>
  <c r="L1491" i="5" a="1"/>
  <c r="L1527" i="5" a="1"/>
  <c r="M1196" i="5" a="1"/>
  <c r="E1362" i="5" a="1"/>
  <c r="B1314" i="5" a="1"/>
  <c r="E1422" i="5" a="1"/>
  <c r="K1354" i="5" a="1"/>
  <c r="M1321" i="5" a="1"/>
  <c r="I1216" i="5" a="1"/>
  <c r="M1381" i="5" a="1"/>
  <c r="H1339" i="5" a="1"/>
  <c r="M1441" i="5" a="1"/>
  <c r="M1477" i="5" a="1"/>
  <c r="M1513" i="5" a="1"/>
  <c r="K1378" i="5" a="1"/>
  <c r="H1541" i="5" a="1"/>
  <c r="E1444" i="5" a="1"/>
  <c r="H1556" i="5" a="1"/>
  <c r="E1593" i="5" a="1"/>
  <c r="E1629" i="5" a="1"/>
  <c r="E1665" i="5" a="1"/>
  <c r="B1456" i="5" a="1"/>
  <c r="B1615" i="5" a="1"/>
  <c r="M1498" i="5" a="1"/>
  <c r="E1568" i="5" a="1"/>
  <c r="E1604" i="5" a="1"/>
  <c r="E1640" i="5" a="1"/>
  <c r="E1676" i="5" a="1"/>
  <c r="B1489" i="5" a="1"/>
  <c r="J1448" i="5" a="1"/>
  <c r="I1558" i="5" a="1"/>
  <c r="I1594" i="5" a="1"/>
  <c r="I1630" i="5" a="1"/>
  <c r="I1666" i="5" a="1"/>
  <c r="E1435" i="5" a="1"/>
  <c r="B1601" i="5" a="1"/>
  <c r="K1448" i="5" a="1"/>
  <c r="L1560" i="5" a="1"/>
  <c r="L1596" i="5" a="1"/>
  <c r="L1632" i="5" a="1"/>
  <c r="L1668" i="5" a="1"/>
  <c r="I1462" i="5" a="1"/>
  <c r="B1648" i="5" a="1"/>
  <c r="E1468" i="5" a="1"/>
  <c r="N1561" i="5" a="1"/>
  <c r="N1597" i="5" a="1"/>
  <c r="N1633" i="5" a="1"/>
  <c r="N1669" i="5" a="1"/>
  <c r="J1495" i="5" a="1"/>
  <c r="B1388" i="5" a="1"/>
  <c r="K1501" i="5" a="1"/>
  <c r="L1462" i="5" a="1"/>
  <c r="I1249" i="5" a="1"/>
  <c r="E1515" i="5" a="1"/>
  <c r="H1482" i="5" a="1"/>
  <c r="L1372" i="5" a="1"/>
  <c r="H1531" i="5" a="1"/>
  <c r="B1240" i="5" a="1"/>
  <c r="N1511" i="5" a="1"/>
  <c r="E1448" i="5" a="1"/>
  <c r="M1335" i="5" a="1"/>
  <c r="L1617" i="5" a="1"/>
  <c r="L1494" i="5" a="1"/>
  <c r="L1673" i="5" a="1"/>
  <c r="M1708" i="5" a="1"/>
  <c r="L1588" i="5" a="1"/>
  <c r="N1366" i="5" a="1"/>
  <c r="H1635" i="5" a="1"/>
  <c r="L1694" i="5" a="1"/>
  <c r="E1471" i="5" a="1"/>
  <c r="L1557" i="5" a="1"/>
  <c r="L1600" i="5" a="1"/>
  <c r="K1691" i="5" a="1"/>
  <c r="N1515" i="5" a="1"/>
  <c r="H1668" i="5" a="1"/>
  <c r="B1572" i="5" a="1"/>
  <c r="N1681" i="5" a="1"/>
  <c r="N1717" i="5" a="1"/>
  <c r="N1604" i="5" a="1"/>
  <c r="J1355" i="5" a="1"/>
  <c r="N1664" i="5" a="1"/>
  <c r="I1711" i="5" a="1"/>
  <c r="N1560" i="5" a="1"/>
  <c r="L1530" i="5" a="1"/>
  <c r="B1642" i="5" a="1"/>
  <c r="H1613" i="5" a="1"/>
  <c r="H1695" i="5" a="1"/>
  <c r="B1665" i="5" a="1"/>
  <c r="L1735" i="5" a="1"/>
  <c r="L1771" i="5" a="1"/>
  <c r="L1807" i="5" a="1"/>
  <c r="L1843" i="5" a="1"/>
  <c r="J1626" i="5" a="1"/>
  <c r="B1811" i="5" a="1"/>
  <c r="N1677" i="5" a="1"/>
  <c r="L1746" i="5" a="1"/>
  <c r="L1782" i="5" a="1"/>
  <c r="L1818" i="5" a="1"/>
  <c r="L1854" i="5" a="1"/>
  <c r="B1704" i="5" a="1"/>
  <c r="L861" i="5" a="1"/>
  <c r="N972" i="5" a="1"/>
  <c r="B1259" i="5" a="1"/>
  <c r="I1188" i="5" a="1"/>
  <c r="L1213" i="5" a="1"/>
  <c r="E1121" i="5" a="1"/>
  <c r="I1303" i="5" a="1"/>
  <c r="M1230" i="5" a="1"/>
  <c r="I1410" i="5" a="1"/>
  <c r="B1229" i="5" a="1"/>
  <c r="E1246" i="5" a="1"/>
  <c r="I1244" i="5" a="1"/>
  <c r="E1229" i="5" a="1"/>
  <c r="E1321" i="5" a="1"/>
  <c r="E1381" i="5" a="1"/>
  <c r="E1429" i="5" a="1"/>
  <c r="B1355" i="5" a="1"/>
  <c r="I1289" i="5" a="1"/>
  <c r="N1352" i="5" a="1"/>
  <c r="N1400" i="5" a="1"/>
  <c r="H1231" i="5" a="1"/>
  <c r="B1426" i="5" a="1"/>
  <c r="J1311" i="5" a="1"/>
  <c r="J1359" i="5" a="1"/>
  <c r="J1419" i="5" a="1"/>
  <c r="M1244" i="5" a="1"/>
  <c r="B1288" i="5" a="1"/>
  <c r="E1298" i="5" a="1"/>
  <c r="N1199" i="5" a="1"/>
  <c r="B1375" i="5" a="1"/>
  <c r="N1432" i="5" a="1"/>
  <c r="L1484" i="5" a="1"/>
  <c r="L1544" i="5" a="1"/>
  <c r="K1357" i="5" a="1"/>
  <c r="M1324" i="5" a="1"/>
  <c r="E1453" i="5" a="1"/>
  <c r="E1513" i="5" a="1"/>
  <c r="M1184" i="5" a="1"/>
  <c r="B1487" i="5" a="1"/>
  <c r="L1415" i="5" a="1"/>
  <c r="K1423" i="5" a="1"/>
  <c r="N1361" i="5" a="1"/>
  <c r="M1470" i="5" a="1"/>
  <c r="L1517" i="5" a="1"/>
  <c r="I1264" i="5" a="1"/>
  <c r="B1461" i="5" a="1"/>
  <c r="B1362" i="5" a="1"/>
  <c r="M1469" i="5" a="1"/>
  <c r="K1515" i="5" a="1"/>
  <c r="N1214" i="5" a="1"/>
  <c r="N1394" i="5" a="1"/>
  <c r="H1080" i="5" a="1"/>
  <c r="E1385" i="5" a="1"/>
  <c r="M1456" i="5" a="1"/>
  <c r="M1492" i="5" a="1"/>
  <c r="M1528" i="5" a="1"/>
  <c r="K1220" i="5" a="1"/>
  <c r="N1371" i="5" a="1"/>
  <c r="L1319" i="5" a="1"/>
  <c r="J1137" i="5" a="1"/>
  <c r="K1356" i="5" a="1"/>
  <c r="J1329" i="5" a="1"/>
  <c r="J1226" i="5" a="1"/>
  <c r="J1389" i="5" a="1"/>
  <c r="I1343" i="5" a="1"/>
  <c r="N1442" i="5" a="1"/>
  <c r="N1478" i="5" a="1"/>
  <c r="N1514" i="5" a="1"/>
  <c r="H1390" i="5" a="1"/>
  <c r="I1543" i="5" a="1"/>
  <c r="N1451" i="5" a="1"/>
  <c r="H1559" i="5" a="1"/>
  <c r="H1595" i="5" a="1"/>
  <c r="H1631" i="5" a="1"/>
  <c r="H1667" i="5" a="1"/>
  <c r="E1460" i="5" a="1"/>
  <c r="B1627" i="5" a="1"/>
  <c r="M1500" i="5" a="1"/>
  <c r="H1570" i="5" a="1"/>
  <c r="H1606" i="5" a="1"/>
  <c r="H1642" i="5" a="1"/>
  <c r="H1678" i="5" a="1"/>
  <c r="E1493" i="5" a="1"/>
  <c r="E1456" i="5" a="1"/>
  <c r="J1559" i="5" a="1"/>
  <c r="J1595" i="5" a="1"/>
  <c r="J1631" i="5" a="1"/>
  <c r="J1667" i="5" a="1"/>
  <c r="J1452" i="5" a="1"/>
  <c r="B1613" i="5" a="1"/>
  <c r="K1450" i="5" a="1"/>
  <c r="M1561" i="5" a="1"/>
  <c r="M1597" i="5" a="1"/>
  <c r="M1633" i="5" a="1"/>
  <c r="M1669" i="5" a="1"/>
  <c r="E1464" i="5" a="1"/>
  <c r="B1660" i="5" a="1"/>
  <c r="N1475" i="5" a="1"/>
  <c r="E1565" i="5" a="1"/>
  <c r="E1601" i="5" a="1"/>
  <c r="E1637" i="5" a="1"/>
  <c r="E1673" i="5" a="1"/>
  <c r="J1499" i="5" a="1"/>
  <c r="B1261" i="5" a="1"/>
  <c r="I1503" i="5" a="1"/>
  <c r="L1466" i="5" a="1"/>
  <c r="N1310" i="5" a="1"/>
  <c r="H1519" i="5" a="1"/>
  <c r="I1484" i="5" a="1"/>
  <c r="H1378" i="5" a="1"/>
  <c r="H1533" i="5" a="1"/>
  <c r="M1356" i="5" a="1"/>
  <c r="N1513" i="5" a="1"/>
  <c r="L1453" i="5" a="1"/>
  <c r="K1405" i="5" a="1"/>
  <c r="M1619" i="5" a="1"/>
  <c r="L1550" i="5" a="1"/>
  <c r="L1675" i="5" a="1"/>
  <c r="N1709" i="5" a="1"/>
  <c r="L1590" i="5" a="1"/>
  <c r="M1452" i="5" a="1"/>
  <c r="H1637" i="5" a="1"/>
  <c r="M1695" i="5" a="1"/>
  <c r="I1508" i="5" a="1"/>
  <c r="E1562" i="5" a="1"/>
  <c r="L1602" i="5" a="1"/>
  <c r="L1692" i="5" a="1"/>
  <c r="N1569" i="5" a="1"/>
  <c r="I1670" i="5" a="1"/>
  <c r="L1577" i="5" a="1"/>
  <c r="E1685" i="5" a="1"/>
  <c r="E1721" i="5" a="1"/>
  <c r="N1606" i="5" a="1"/>
  <c r="K1497" i="5" a="1"/>
  <c r="N1666" i="5" a="1"/>
  <c r="J1712" i="5" a="1"/>
  <c r="J1562" i="5" a="1"/>
  <c r="B1543" i="5" a="1"/>
  <c r="E1648" i="5" a="1"/>
  <c r="B1621" i="5" a="1"/>
  <c r="I1696" i="5" a="1"/>
  <c r="E1668" i="5" a="1"/>
  <c r="M1736" i="5" a="1"/>
  <c r="M1772" i="5" a="1"/>
  <c r="M1808" i="5" a="1"/>
  <c r="M1844" i="5" a="1"/>
  <c r="L1629" i="5" a="1"/>
  <c r="B1823" i="5" a="1"/>
  <c r="E1682" i="5" a="1"/>
  <c r="M1747" i="5" a="1"/>
  <c r="M1783" i="5" a="1"/>
  <c r="M1819" i="5" a="1"/>
  <c r="M1855" i="5" a="1"/>
  <c r="B1706" i="5" a="1"/>
  <c r="M1127" i="5" a="1"/>
  <c r="N1030" i="5" a="1"/>
  <c r="J1102" i="5" a="1"/>
  <c r="L1203" i="5" a="1"/>
  <c r="K1236" i="5" a="1"/>
  <c r="B1171" i="5" a="1"/>
  <c r="I1315" i="5" a="1"/>
  <c r="M1272" i="5" a="1"/>
  <c r="J1411" i="5" a="1"/>
  <c r="L1232" i="5" a="1"/>
  <c r="N1255" i="5" a="1"/>
  <c r="E1250" i="5" a="1"/>
  <c r="N1234" i="5" a="1"/>
  <c r="H1323" i="5" a="1"/>
  <c r="H1383" i="5" a="1"/>
  <c r="H1431" i="5" a="1"/>
  <c r="B1367" i="5" a="1"/>
  <c r="B1293" i="5" a="1"/>
  <c r="E1356" i="5" a="1"/>
  <c r="E1404" i="5" a="1"/>
  <c r="B1237" i="5" a="1"/>
  <c r="B1438" i="5" a="1"/>
  <c r="K1312" i="5" a="1"/>
  <c r="K1360" i="5" a="1"/>
  <c r="K1420" i="5" a="1"/>
  <c r="I1252" i="5" a="1"/>
  <c r="I1293" i="5" a="1"/>
  <c r="B1304" i="5" a="1"/>
  <c r="H1203" i="5" a="1"/>
  <c r="B1387" i="5" a="1"/>
  <c r="L1436" i="5" a="1"/>
  <c r="M1485" i="5" a="1"/>
  <c r="M1545" i="5" a="1"/>
  <c r="K1359" i="5" a="1"/>
  <c r="N1326" i="5" a="1"/>
  <c r="H1455" i="5" a="1"/>
  <c r="H1515" i="5" a="1"/>
  <c r="M1218" i="5" a="1"/>
  <c r="B1499" i="5" a="1"/>
  <c r="L1417" i="5" a="1"/>
  <c r="J1427" i="5" a="1"/>
  <c r="K1367" i="5" a="1"/>
  <c r="N1471" i="5" a="1"/>
  <c r="M1518" i="5" a="1"/>
  <c r="K1279" i="5" a="1"/>
  <c r="B1473" i="5" a="1"/>
  <c r="L1367" i="5" a="1"/>
  <c r="N1470" i="5" a="1"/>
  <c r="L1516" i="5" a="1"/>
  <c r="I1220" i="5" a="1"/>
  <c r="N1396" i="5" a="1"/>
  <c r="E1094" i="5" a="1"/>
  <c r="B1401" i="5" a="1"/>
  <c r="N1457" i="5" a="1"/>
  <c r="N1493" i="5" a="1"/>
  <c r="N1529" i="5" a="1"/>
  <c r="M1237" i="5" a="1"/>
  <c r="N1373" i="5" a="1"/>
  <c r="L1321" i="5" a="1"/>
  <c r="H1151" i="5" a="1"/>
  <c r="K1358" i="5" a="1"/>
  <c r="J1333" i="5" a="1"/>
  <c r="E1249" i="5" a="1"/>
  <c r="J1393" i="5" a="1"/>
  <c r="B1349" i="5" a="1"/>
  <c r="E1446" i="5" a="1"/>
  <c r="E1482" i="5" a="1"/>
  <c r="E1518" i="5" a="1"/>
  <c r="E1413" i="5" a="1"/>
  <c r="M1548" i="5" a="1"/>
  <c r="N1453" i="5" a="1"/>
  <c r="I1560" i="5" a="1"/>
  <c r="I1596" i="5" a="1"/>
  <c r="I1632" i="5" a="1"/>
  <c r="I1668" i="5" a="1"/>
  <c r="L1465" i="5" a="1"/>
  <c r="B1639" i="5" a="1"/>
  <c r="M1502" i="5" a="1"/>
  <c r="I1571" i="5" a="1"/>
  <c r="I1607" i="5" a="1"/>
  <c r="I1643" i="5" a="1"/>
  <c r="E1222" i="5" a="1"/>
  <c r="B1507" i="5" a="1"/>
  <c r="N1463" i="5" a="1"/>
  <c r="K1560" i="5" a="1"/>
  <c r="K1596" i="5" a="1"/>
  <c r="K1632" i="5" a="1"/>
  <c r="K1668" i="5" a="1"/>
  <c r="H1462" i="5" a="1"/>
  <c r="B1625" i="5" a="1"/>
  <c r="H1454" i="5" a="1"/>
  <c r="N1562" i="5" a="1"/>
  <c r="N1598" i="5" a="1"/>
  <c r="N1634" i="5" a="1"/>
  <c r="N1670" i="5" a="1"/>
  <c r="B1466" i="5" a="1"/>
  <c r="B1672" i="5" a="1"/>
  <c r="N1477" i="5" a="1"/>
  <c r="H1567" i="5" a="1"/>
  <c r="H1603" i="5" a="1"/>
  <c r="H1639" i="5" a="1"/>
  <c r="H1675" i="5" a="1"/>
  <c r="E1503" i="5" a="1"/>
  <c r="E1283" i="5" a="1"/>
  <c r="H1505" i="5" a="1"/>
  <c r="J1468" i="5" a="1"/>
  <c r="L1333" i="5" a="1"/>
  <c r="H1521" i="5" a="1"/>
  <c r="M1499" i="5" a="1"/>
  <c r="B1400" i="5" a="1"/>
  <c r="B1541" i="5" a="1"/>
  <c r="N1362" i="5" a="1"/>
  <c r="B1518" i="5" a="1"/>
  <c r="M1455" i="5" a="1"/>
  <c r="M1418" i="5" a="1"/>
  <c r="I1625" i="5" a="1"/>
  <c r="I1557" i="5" a="1"/>
  <c r="L1677" i="5" a="1"/>
  <c r="E1713" i="5" a="1"/>
  <c r="L1592" i="5" a="1"/>
  <c r="N1464" i="5" a="1"/>
  <c r="B1645" i="5" a="1"/>
  <c r="N1696" i="5" a="1"/>
  <c r="J1521" i="5" a="1"/>
  <c r="M1565" i="5" a="1"/>
  <c r="L1604" i="5" a="1"/>
  <c r="M1693" i="5" a="1"/>
  <c r="B1574" i="5" a="1"/>
  <c r="I1672" i="5" a="1"/>
  <c r="L1579" i="5" a="1"/>
  <c r="H1687" i="5" a="1"/>
  <c r="H1723" i="5" a="1"/>
  <c r="K1612" i="5" a="1"/>
  <c r="H1134" i="5" a="1"/>
  <c r="J1039" i="5" a="1"/>
  <c r="M1195" i="5" a="1"/>
  <c r="H1235" i="5" a="1"/>
  <c r="E1267" i="5" a="1"/>
  <c r="B1275" i="5" a="1"/>
  <c r="I1327" i="5" a="1"/>
  <c r="K1304" i="5" a="1"/>
  <c r="K1412" i="5" a="1"/>
  <c r="L1234" i="5" a="1"/>
  <c r="L1259" i="5" a="1"/>
  <c r="E1254" i="5" a="1"/>
  <c r="M1236" i="5" a="1"/>
  <c r="I1324" i="5" a="1"/>
  <c r="I1384" i="5" a="1"/>
  <c r="I1432" i="5" a="1"/>
  <c r="B1379" i="5" a="1"/>
  <c r="M1294" i="5" a="1"/>
  <c r="H1358" i="5" a="1"/>
  <c r="H1406" i="5" a="1"/>
  <c r="B1241" i="5" a="1"/>
  <c r="L930" i="5" a="1"/>
  <c r="L1313" i="5" a="1"/>
  <c r="L1361" i="5" a="1"/>
  <c r="L1421" i="5" a="1"/>
  <c r="J1254" i="5" a="1"/>
  <c r="K1299" i="5" a="1"/>
  <c r="J1026" i="5" a="1"/>
  <c r="J1207" i="5" a="1"/>
  <c r="B1399" i="5" a="1"/>
  <c r="K1438" i="5" a="1"/>
  <c r="N1486" i="5" a="1"/>
  <c r="N1546" i="5" a="1"/>
  <c r="H1365" i="5" a="1"/>
  <c r="H1342" i="5" a="1"/>
  <c r="I1456" i="5" a="1"/>
  <c r="I1516" i="5" a="1"/>
  <c r="N1235" i="5" a="1"/>
  <c r="B1511" i="5" a="1"/>
  <c r="L1419" i="5" a="1"/>
  <c r="B1450" i="5" a="1"/>
  <c r="K1369" i="5" a="1"/>
  <c r="E1475" i="5" a="1"/>
  <c r="N1519" i="5" a="1"/>
  <c r="B1285" i="5" a="1"/>
  <c r="B1485" i="5" a="1"/>
  <c r="E1387" i="5" a="1"/>
  <c r="E1474" i="5" a="1"/>
  <c r="M1517" i="5" a="1"/>
  <c r="N1231" i="5" a="1"/>
  <c r="L1400" i="5" a="1"/>
  <c r="J1220" i="5" a="1"/>
  <c r="L1406" i="5" a="1"/>
  <c r="E1461" i="5" a="1"/>
  <c r="E1497" i="5" a="1"/>
  <c r="E1533" i="5" a="1"/>
  <c r="I1243" i="5" a="1"/>
  <c r="K1379" i="5" a="1"/>
  <c r="L1323" i="5" a="1"/>
  <c r="B1189" i="5" a="1"/>
  <c r="H1360" i="5" a="1"/>
  <c r="E1337" i="5" a="1"/>
  <c r="M1260" i="5" a="1"/>
  <c r="E1397" i="5" a="1"/>
  <c r="M1358" i="5" a="1"/>
  <c r="H1448" i="5" a="1"/>
  <c r="H1484" i="5" a="1"/>
  <c r="H1520" i="5" a="1"/>
  <c r="I1424" i="5" a="1"/>
  <c r="B1568" i="5" a="1"/>
  <c r="B1458" i="5" a="1"/>
  <c r="J1561" i="5" a="1"/>
  <c r="J1597" i="5" a="1"/>
  <c r="J1633" i="5" a="1"/>
  <c r="J1669" i="5" a="1"/>
  <c r="M1467" i="5" a="1"/>
  <c r="B1651" i="5" a="1"/>
  <c r="N1504" i="5" a="1"/>
  <c r="J1572" i="5" a="1"/>
  <c r="J1608" i="5" a="1"/>
  <c r="J1644" i="5" a="1"/>
  <c r="M1308" i="5" a="1"/>
  <c r="K1512" i="5" a="1"/>
  <c r="N1465" i="5" a="1"/>
  <c r="L1561" i="5" a="1"/>
  <c r="L1597" i="5" a="1"/>
  <c r="L1633" i="5" a="1"/>
  <c r="L1669" i="5" a="1"/>
  <c r="B1468" i="5" a="1"/>
  <c r="B1637" i="5" a="1"/>
  <c r="H1458" i="5" a="1"/>
  <c r="E1566" i="5" a="1"/>
  <c r="E1602" i="5" a="1"/>
  <c r="E1638" i="5" a="1"/>
  <c r="E1674" i="5" a="1"/>
  <c r="N1479" i="5" a="1"/>
  <c r="J1014" i="5" a="1"/>
  <c r="B1482" i="5" a="1"/>
  <c r="I1568" i="5" a="1"/>
  <c r="I1604" i="5" a="1"/>
  <c r="I1640" i="5" a="1"/>
  <c r="I1676" i="5" a="1"/>
  <c r="H1507" i="5" a="1"/>
  <c r="E1305" i="5" a="1"/>
  <c r="I1507" i="5" a="1"/>
  <c r="I1470" i="5" a="1"/>
  <c r="I1349" i="5" a="1"/>
  <c r="B1529" i="5" a="1"/>
  <c r="K1509" i="5" a="1"/>
  <c r="J1405" i="5" a="1"/>
  <c r="N1544" i="5" a="1"/>
  <c r="N1372" i="5" a="1"/>
  <c r="L1521" i="5" a="1"/>
  <c r="K1457" i="5" a="1"/>
  <c r="J1430" i="5" a="1"/>
  <c r="M1638" i="5" a="1"/>
  <c r="N1559" i="5" a="1"/>
  <c r="H1679" i="5" a="1"/>
  <c r="H1715" i="5" a="1"/>
  <c r="H1596" i="5" a="1"/>
  <c r="E1483" i="5" a="1"/>
  <c r="L1648" i="5" a="1"/>
  <c r="E1700" i="5" a="1"/>
  <c r="I1527" i="5" a="1"/>
  <c r="J1086" i="5" a="1"/>
  <c r="H1608" i="5" a="1"/>
  <c r="N1694" i="5" a="1"/>
  <c r="H1585" i="5" a="1"/>
  <c r="I1674" i="5" a="1"/>
  <c r="L1581" i="5" a="1"/>
  <c r="I1688" i="5" a="1"/>
  <c r="I1724" i="5" a="1"/>
  <c r="K1616" i="5" a="1"/>
  <c r="E1541" i="5" a="1"/>
  <c r="K1676" i="5" a="1"/>
  <c r="L1714" i="5" a="1"/>
  <c r="J1262" i="5" a="1"/>
  <c r="J1345" i="5" a="1"/>
  <c r="H1415" i="5" a="1"/>
  <c r="L1626" i="5" a="1"/>
  <c r="K1698" i="5" a="1"/>
  <c r="L1674" i="5" a="1"/>
  <c r="E1741" i="5" a="1"/>
  <c r="E1777" i="5" a="1"/>
  <c r="E1813" i="5" a="1"/>
  <c r="E1849" i="5" a="1"/>
  <c r="H1636" i="5" a="1"/>
  <c r="B1847" i="5" a="1"/>
  <c r="K1696" i="5" a="1"/>
  <c r="E1752" i="5" a="1"/>
  <c r="E1788" i="5" a="1"/>
  <c r="E1824" i="5" a="1"/>
  <c r="E1860" i="5" a="1"/>
  <c r="H1709" i="5" a="1"/>
  <c r="L1125" i="5" a="1"/>
  <c r="J1001" i="5" a="1"/>
  <c r="E1200" i="5" a="1"/>
  <c r="M1240" i="5" a="1"/>
  <c r="J1271" i="5" a="1"/>
  <c r="L1031" i="5" a="1"/>
  <c r="E1336" i="5" a="1"/>
  <c r="N1307" i="5" a="1"/>
  <c r="L1413" i="5" a="1"/>
  <c r="B1252" i="5" a="1"/>
  <c r="J1263" i="5" a="1"/>
  <c r="I1269" i="5" a="1"/>
  <c r="N1238" i="5" a="1"/>
  <c r="N1329" i="5" a="1"/>
  <c r="J1385" i="5" a="1"/>
  <c r="N1437" i="5" a="1"/>
  <c r="B1391" i="5" a="1"/>
  <c r="M1303" i="5" a="1"/>
  <c r="I1359" i="5" a="1"/>
  <c r="M1411" i="5" a="1"/>
  <c r="L1244" i="5" a="1"/>
  <c r="K1127" i="5" a="1"/>
  <c r="M1314" i="5" a="1"/>
  <c r="I1370" i="5" a="1"/>
  <c r="M1422" i="5" a="1"/>
  <c r="L1271" i="5" a="1"/>
  <c r="L1300" i="5" a="1"/>
  <c r="H1156" i="5" a="1"/>
  <c r="E1214" i="5" a="1"/>
  <c r="B1145" i="5" a="1"/>
  <c r="E1442" i="5" a="1"/>
  <c r="K1495" i="5" a="1"/>
  <c r="E1550" i="5" a="1"/>
  <c r="J1386" i="5" a="1"/>
  <c r="N1345" i="5" a="1"/>
  <c r="N1461" i="5" a="1"/>
  <c r="J1517" i="5" a="1"/>
  <c r="J1307" i="5" a="1"/>
  <c r="B1523" i="5" a="1"/>
  <c r="H1230" i="5" a="1"/>
  <c r="B1462" i="5" a="1"/>
  <c r="L1392" i="5" a="1"/>
  <c r="H1477" i="5" a="1"/>
  <c r="E1523" i="5" a="1"/>
  <c r="I1317" i="5" a="1"/>
  <c r="B1497" i="5" a="1"/>
  <c r="E1389" i="5" a="1"/>
  <c r="H1476" i="5" a="1"/>
  <c r="N1518" i="5" a="1"/>
  <c r="K1247" i="5" a="1"/>
  <c r="K1402" i="5" a="1"/>
  <c r="E1226" i="5" a="1"/>
  <c r="H1412" i="5" a="1"/>
  <c r="H1463" i="5" a="1"/>
  <c r="H1499" i="5" a="1"/>
  <c r="H1535" i="5" a="1"/>
  <c r="L1247" i="5" a="1"/>
  <c r="K1381" i="5" a="1"/>
  <c r="I1329" i="5" a="1"/>
  <c r="L1220" i="5" a="1"/>
  <c r="H1368" i="5" a="1"/>
  <c r="B1353" i="5" a="1"/>
  <c r="M1270" i="5" a="1"/>
  <c r="B1413" i="5" a="1"/>
  <c r="I1364" i="5" a="1"/>
  <c r="I1449" i="5" a="1"/>
  <c r="I1485" i="5" a="1"/>
  <c r="I1521" i="5" a="1"/>
  <c r="E1440" i="5" a="1"/>
  <c r="B1580" i="5" a="1"/>
  <c r="L1461" i="5" a="1"/>
  <c r="K1562" i="5" a="1"/>
  <c r="K1598" i="5" a="1"/>
  <c r="K1634" i="5" a="1"/>
  <c r="K1670" i="5" a="1"/>
  <c r="K1469" i="5" a="1"/>
  <c r="B1663" i="5" a="1"/>
  <c r="L1506" i="5" a="1"/>
  <c r="K1573" i="5" a="1"/>
  <c r="K1609" i="5" a="1"/>
  <c r="K1645" i="5" a="1"/>
  <c r="I1330" i="5" a="1"/>
  <c r="I1522" i="5" a="1"/>
  <c r="B1470" i="5" a="1"/>
  <c r="M1562" i="5" a="1"/>
  <c r="M1598" i="5" a="1"/>
  <c r="M1634" i="5" a="1"/>
  <c r="M1670" i="5" a="1"/>
  <c r="E1472" i="5" a="1"/>
  <c r="B1649" i="5" a="1"/>
  <c r="I1460" i="5" a="1"/>
  <c r="H1568" i="5" a="1"/>
  <c r="H1604" i="5" a="1"/>
  <c r="H1640" i="5" a="1"/>
  <c r="H1676" i="5" a="1"/>
  <c r="M1483" i="5" a="1"/>
  <c r="L1222" i="5" a="1"/>
  <c r="L1485" i="5" a="1"/>
  <c r="J1569" i="5" a="1"/>
  <c r="J1605" i="5" a="1"/>
  <c r="J1641" i="5" a="1"/>
  <c r="J1677" i="5" a="1"/>
  <c r="H1509" i="5" a="1"/>
  <c r="M1310" i="5" a="1"/>
  <c r="I1511" i="5" a="1"/>
  <c r="J1472" i="5" a="1"/>
  <c r="N1360" i="5" a="1"/>
  <c r="J1544" i="5" a="1"/>
  <c r="B1527" i="5" a="1"/>
  <c r="N1426" i="5" a="1"/>
  <c r="K1546" i="5" a="1"/>
  <c r="B1384" i="5" a="1"/>
  <c r="L1523" i="5" a="1"/>
  <c r="J1459" i="5" a="1"/>
  <c r="H1470" i="5" a="1"/>
  <c r="M1640" i="5" a="1"/>
  <c r="J1565" i="5" a="1"/>
  <c r="I1680" i="5" a="1"/>
  <c r="I1716" i="5" a="1"/>
  <c r="I1598" i="5" a="1"/>
  <c r="N1501" i="5" a="1"/>
  <c r="L1650" i="5" a="1"/>
  <c r="H1702" i="5" a="1"/>
  <c r="K1557" i="5" a="1"/>
  <c r="B1200" i="5" a="1"/>
  <c r="I1610" i="5" a="1"/>
  <c r="E1698" i="5" a="1"/>
  <c r="I1587" i="5" a="1"/>
  <c r="B1684" i="5" a="1"/>
  <c r="M1583" i="5" a="1"/>
  <c r="J1689" i="5" a="1"/>
  <c r="J1725" i="5" a="1"/>
  <c r="H1622" i="5" a="1"/>
  <c r="H1560" i="5" a="1"/>
  <c r="M1679" i="5" a="1"/>
  <c r="M1715" i="5" a="1"/>
  <c r="L1316" i="5" a="1"/>
  <c r="I1401" i="5" a="1"/>
  <c r="I1436" i="5" a="1"/>
  <c r="L1628" i="5" a="1"/>
  <c r="L1699" i="5" a="1"/>
  <c r="K1677" i="5" a="1"/>
  <c r="H1743" i="5" a="1"/>
  <c r="H1779" i="5" a="1"/>
  <c r="H1815" i="5" a="1"/>
  <c r="H1851" i="5" a="1"/>
  <c r="J1639" i="5" a="1"/>
  <c r="B1859" i="5" a="1"/>
  <c r="J1698" i="5" a="1"/>
  <c r="H1754" i="5" a="1"/>
  <c r="H1790" i="5" a="1"/>
  <c r="H1826" i="5" a="1"/>
  <c r="H1862" i="5" a="1"/>
  <c r="L1712" i="5" a="1"/>
  <c r="E1131" i="5" a="1"/>
  <c r="N1042" i="5" a="1"/>
  <c r="H1226" i="5" a="1"/>
  <c r="K1262" i="5" a="1"/>
  <c r="J1283" i="5" a="1"/>
  <c r="E1086" i="5" a="1"/>
  <c r="I1339" i="5" a="1"/>
  <c r="E1311" i="5" a="1"/>
  <c r="M1414" i="5" a="1"/>
  <c r="M1253" i="5" a="1"/>
  <c r="I1265" i="5" a="1"/>
  <c r="B1273" i="5" a="1"/>
  <c r="K1240" i="5" a="1"/>
  <c r="E1333" i="5" a="1"/>
  <c r="K1386" i="5" a="1"/>
  <c r="I1064" i="5" a="1"/>
  <c r="B1403" i="5" a="1"/>
  <c r="N1304" i="5" a="1"/>
  <c r="J1360" i="5" a="1"/>
  <c r="N1412" i="5" a="1"/>
  <c r="L1246" i="5" a="1"/>
  <c r="I1160" i="5" a="1"/>
  <c r="N1315" i="5" a="1"/>
  <c r="J1371" i="5" a="1"/>
  <c r="N1423" i="5" a="1"/>
  <c r="I1273" i="5" a="1"/>
  <c r="M1301" i="5" a="1"/>
  <c r="E1162" i="5" a="1"/>
  <c r="H1216" i="5" a="1"/>
  <c r="J1218" i="5" a="1"/>
  <c r="H1444" i="5" a="1"/>
  <c r="L1496" i="5" a="1"/>
  <c r="H1552" i="5" a="1"/>
  <c r="I1392" i="5" a="1"/>
  <c r="B1352" i="5" a="1"/>
  <c r="E1465" i="5" a="1"/>
  <c r="K1518" i="5" a="1"/>
  <c r="B1321" i="5" a="1"/>
  <c r="B1535" i="5" a="1"/>
  <c r="J1241" i="5" a="1"/>
  <c r="B1474" i="5" a="1"/>
  <c r="L1396" i="5" a="1"/>
  <c r="I1478" i="5" a="1"/>
  <c r="H1525" i="5" a="1"/>
  <c r="I1321" i="5" a="1"/>
  <c r="B1509" i="5" a="1"/>
  <c r="M1392" i="5" a="1"/>
  <c r="I1477" i="5" a="1"/>
  <c r="E1522" i="5" a="1"/>
  <c r="H1253" i="5" a="1"/>
  <c r="K1404" i="5" a="1"/>
  <c r="L1264" i="5" a="1"/>
  <c r="I1414" i="5" a="1"/>
  <c r="I1464" i="5" a="1"/>
  <c r="I1500" i="5" a="1"/>
  <c r="I1536" i="5" a="1"/>
  <c r="I1253" i="5" a="1"/>
  <c r="K1383" i="5" a="1"/>
  <c r="I1333" i="5" a="1"/>
  <c r="I1226" i="5" a="1"/>
  <c r="B1374" i="5" a="1"/>
  <c r="L1358" i="5" a="1"/>
  <c r="N1286" i="5" a="1"/>
  <c r="L1418" i="5" a="1"/>
  <c r="J1366" i="5" a="1"/>
  <c r="J1450" i="5" a="1"/>
  <c r="J1486" i="5" a="1"/>
  <c r="J1522" i="5" a="1"/>
  <c r="B1442" i="5" a="1"/>
  <c r="B1592" i="5" a="1"/>
  <c r="L1463" i="5" a="1"/>
  <c r="L1563" i="5" a="1"/>
  <c r="L1599" i="5" a="1"/>
  <c r="L1635" i="5" a="1"/>
  <c r="L1671" i="5" a="1"/>
  <c r="J1471" i="5" a="1"/>
  <c r="B1675" i="5" a="1"/>
  <c r="K1508" i="5" a="1"/>
  <c r="L1574" i="5" a="1"/>
  <c r="L1610" i="5" a="1"/>
  <c r="L1646" i="5" a="1"/>
  <c r="B1336" i="5" a="1"/>
  <c r="E1524" i="5" a="1"/>
  <c r="L1473" i="5" a="1"/>
  <c r="N1563" i="5" a="1"/>
  <c r="N1599" i="5" a="1"/>
  <c r="N1635" i="5" a="1"/>
  <c r="N1671" i="5" a="1"/>
  <c r="B1092" i="5" a="1"/>
  <c r="I1056" i="5" a="1"/>
  <c r="H1262" i="5" a="1"/>
  <c r="L975" i="5" a="1"/>
  <c r="B1047" i="5" a="1"/>
  <c r="N1150" i="5" a="1"/>
  <c r="I1351" i="5" a="1"/>
  <c r="H1313" i="5" a="1"/>
  <c r="N1415" i="5" a="1"/>
  <c r="L1255" i="5" a="1"/>
  <c r="I1267" i="5" a="1"/>
  <c r="K1276" i="5" a="1"/>
  <c r="J1244" i="5" a="1"/>
  <c r="H1335" i="5" a="1"/>
  <c r="L1387" i="5" a="1"/>
  <c r="I1076" i="5" a="1"/>
  <c r="B1415" i="5" a="1"/>
  <c r="E1308" i="5" a="1"/>
  <c r="K1361" i="5" a="1"/>
  <c r="E1416" i="5" a="1"/>
  <c r="H1252" i="5" a="1"/>
  <c r="M1187" i="5" a="1"/>
  <c r="E1319" i="5" a="1"/>
  <c r="K1372" i="5" a="1"/>
  <c r="E1427" i="5" a="1"/>
  <c r="N1278" i="5" a="1"/>
  <c r="N1302" i="5" a="1"/>
  <c r="K1184" i="5" a="1"/>
  <c r="I1218" i="5" a="1"/>
  <c r="K1245" i="5" a="1"/>
  <c r="I1445" i="5" a="1"/>
  <c r="M1497" i="5" a="1"/>
  <c r="I1553" i="5" a="1"/>
  <c r="E1400" i="5" a="1"/>
  <c r="M1353" i="5" a="1"/>
  <c r="H1467" i="5" a="1"/>
  <c r="L1519" i="5" a="1"/>
  <c r="N1322" i="5" a="1"/>
  <c r="B1547" i="5" a="1"/>
  <c r="E1247" i="5" a="1"/>
  <c r="B1486" i="5" a="1"/>
  <c r="J1398" i="5" a="1"/>
  <c r="J1479" i="5" a="1"/>
  <c r="I1526" i="5" a="1"/>
  <c r="E1327" i="5" a="1"/>
  <c r="B1521" i="5" a="1"/>
  <c r="M1396" i="5" a="1"/>
  <c r="J1478" i="5" a="1"/>
  <c r="H1524" i="5" a="1"/>
  <c r="E1270" i="5" a="1"/>
  <c r="K1406" i="5" a="1"/>
  <c r="B1281" i="5" a="1"/>
  <c r="E1418" i="5" a="1"/>
  <c r="J1465" i="5" a="1"/>
  <c r="J1501" i="5" a="1"/>
  <c r="J1537" i="5" a="1"/>
  <c r="E1259" i="5" a="1"/>
  <c r="H1389" i="5" a="1"/>
  <c r="E1339" i="5" a="1"/>
  <c r="N1237" i="5" a="1"/>
  <c r="B1152" i="5" a="1"/>
  <c r="N1061" i="5" a="1"/>
  <c r="K1265" i="5" a="1"/>
  <c r="J1012" i="5" a="1"/>
  <c r="K1067" i="5" a="1"/>
  <c r="B1214" i="5" a="1"/>
  <c r="I1363" i="5" a="1"/>
  <c r="I1314" i="5" a="1"/>
  <c r="E1419" i="5" a="1"/>
  <c r="L1257" i="5" a="1"/>
  <c r="E1271" i="5" a="1"/>
  <c r="N1283" i="5" a="1"/>
  <c r="J1246" i="5" a="1"/>
  <c r="I1336" i="5" a="1"/>
  <c r="M1388" i="5" a="1"/>
  <c r="M1105" i="5" a="1"/>
  <c r="B1427" i="5" a="1"/>
  <c r="H1310" i="5" a="1"/>
  <c r="L1362" i="5" a="1"/>
  <c r="H1418" i="5" a="1"/>
  <c r="I1254" i="5" a="1"/>
  <c r="I1195" i="5" a="1"/>
  <c r="H1321" i="5" a="1"/>
  <c r="L1373" i="5" a="1"/>
  <c r="H1429" i="5" a="1"/>
  <c r="L1289" i="5" a="1"/>
  <c r="N930" i="5" a="1"/>
  <c r="B1188" i="5" a="1"/>
  <c r="H1220" i="5" a="1"/>
  <c r="B1257" i="5" a="1"/>
  <c r="J1446" i="5" a="1"/>
  <c r="N1498" i="5" a="1"/>
  <c r="J1554" i="5" a="1"/>
  <c r="M1405" i="5" a="1"/>
  <c r="I1361" i="5" a="1"/>
  <c r="I1468" i="5" a="1"/>
  <c r="M1520" i="5" a="1"/>
  <c r="N1324" i="5" a="1"/>
  <c r="I1279" i="5" a="1"/>
  <c r="M1258" i="5" a="1"/>
  <c r="B1498" i="5" a="1"/>
  <c r="I1404" i="5" a="1"/>
  <c r="K1480" i="5" a="1"/>
  <c r="N1531" i="5" a="1"/>
  <c r="E1329" i="5" a="1"/>
  <c r="B1533" i="5" a="1"/>
  <c r="B1424" i="5" a="1"/>
  <c r="K1479" i="5" a="1"/>
  <c r="M1529" i="5" a="1"/>
  <c r="K1275" i="5" a="1"/>
  <c r="H1408" i="5" a="1"/>
  <c r="K1295" i="5" a="1"/>
  <c r="B1420" i="5" a="1"/>
  <c r="K1466" i="5" a="1"/>
  <c r="K1502" i="5" a="1"/>
  <c r="K1538" i="5" a="1"/>
  <c r="B1265" i="5" a="1"/>
  <c r="H1391" i="5" a="1"/>
  <c r="E1341" i="5" a="1"/>
  <c r="N1254" i="5" a="1"/>
  <c r="L1381" i="5" a="1"/>
  <c r="I1366" i="5" a="1"/>
  <c r="J1306" i="5" a="1"/>
  <c r="B810" i="5" a="1"/>
  <c r="J1370" i="5" a="1"/>
  <c r="L1452" i="5" a="1"/>
  <c r="L1488" i="5" a="1"/>
  <c r="L1524" i="5" a="1"/>
  <c r="M1459" i="5" a="1"/>
  <c r="B1616" i="5" a="1"/>
  <c r="N1488" i="5" a="1"/>
  <c r="N1565" i="5" a="1"/>
  <c r="N1601" i="5" a="1"/>
  <c r="N1637" i="5" a="1"/>
  <c r="N1673" i="5" a="1"/>
  <c r="E1479" i="5" a="1"/>
  <c r="H1324" i="5" a="1"/>
  <c r="H1514" i="5" a="1"/>
  <c r="N1576" i="5" a="1"/>
  <c r="N1612" i="5" a="1"/>
  <c r="N1648" i="5" a="1"/>
  <c r="E1353" i="5" a="1"/>
  <c r="N1539" i="5" a="1"/>
  <c r="J1485" i="5" a="1"/>
  <c r="H1569" i="5" a="1"/>
  <c r="H1605" i="5" a="1"/>
  <c r="H1641" i="5" a="1"/>
  <c r="H1677" i="5" a="1"/>
  <c r="L1147" i="5" a="1"/>
  <c r="B1075" i="5" a="1"/>
  <c r="N1280" i="5" a="1"/>
  <c r="H1136" i="5" a="1"/>
  <c r="E1154" i="5" a="1"/>
  <c r="B1286" i="5" a="1"/>
  <c r="E1372" i="5" a="1"/>
  <c r="K1316" i="5" a="1"/>
  <c r="H1421" i="5" a="1"/>
  <c r="H1278" i="5" a="1"/>
  <c r="N1274" i="5" a="1"/>
  <c r="B1320" i="5" a="1"/>
  <c r="E1252" i="5" a="1"/>
  <c r="N1341" i="5" a="1"/>
  <c r="N1389" i="5" a="1"/>
  <c r="J1183" i="5" a="1"/>
  <c r="N907" i="5" a="1"/>
  <c r="M1315" i="5" a="1"/>
  <c r="M1363" i="5" a="1"/>
  <c r="M1423" i="5" a="1"/>
  <c r="H1256" i="5" a="1"/>
  <c r="N1219" i="5" a="1"/>
  <c r="I1322" i="5" a="1"/>
  <c r="I1382" i="5" a="1"/>
  <c r="I1430" i="5" a="1"/>
  <c r="L1084" i="5" a="1"/>
  <c r="M1121" i="5" a="1"/>
  <c r="K1233" i="5" a="1"/>
  <c r="B1224" i="5" a="1"/>
  <c r="H1305" i="5" a="1"/>
  <c r="K1447" i="5" a="1"/>
  <c r="K1507" i="5" a="1"/>
  <c r="K1555" i="5" a="1"/>
  <c r="B1440" i="5" a="1"/>
  <c r="H1363" i="5" a="1"/>
  <c r="N1473" i="5" a="1"/>
  <c r="N1521" i="5" a="1"/>
  <c r="H1336" i="5" a="1"/>
  <c r="M1284" i="5" a="1"/>
  <c r="E1290" i="5" a="1"/>
  <c r="B1510" i="5" a="1"/>
  <c r="J1429" i="5" a="1"/>
  <c r="L1481" i="5" a="1"/>
  <c r="E1535" i="5" a="1"/>
  <c r="M1332" i="5" a="1"/>
  <c r="B1545" i="5" a="1"/>
  <c r="M1425" i="5" a="1"/>
  <c r="L1480" i="5" a="1"/>
  <c r="N1530" i="5" a="1"/>
  <c r="I1290" i="5" a="1"/>
  <c r="H1416" i="5" a="1"/>
  <c r="H1303" i="5" a="1"/>
  <c r="E1426" i="5" a="1"/>
  <c r="L1467" i="5" a="1"/>
  <c r="L1503" i="5" a="1"/>
  <c r="L1539" i="5" a="1"/>
  <c r="J1270" i="5" a="1"/>
  <c r="N1402" i="5" a="1"/>
  <c r="M1344" i="5" a="1"/>
  <c r="L1260" i="5" a="1"/>
  <c r="L1383" i="5" a="1"/>
  <c r="E1370" i="5" a="1"/>
  <c r="J1308" i="5" a="1"/>
  <c r="L1068" i="5" a="1"/>
  <c r="E1374" i="5" a="1"/>
  <c r="M1453" i="5" a="1"/>
  <c r="M1489" i="5" a="1"/>
  <c r="M1525" i="5" a="1"/>
  <c r="K1465" i="5" a="1"/>
  <c r="B1628" i="5" a="1"/>
  <c r="N1496" i="5" a="1"/>
  <c r="E1569" i="5" a="1"/>
  <c r="E1605" i="5" a="1"/>
  <c r="E1641" i="5" a="1"/>
  <c r="E1677" i="5" a="1"/>
  <c r="H1483" i="5" a="1"/>
  <c r="B1369" i="5" a="1"/>
  <c r="H1518" i="5" a="1"/>
  <c r="E1580" i="5" a="1"/>
  <c r="E1616" i="5" a="1"/>
  <c r="E1652" i="5" a="1"/>
  <c r="H1380" i="5" a="1"/>
  <c r="M1543" i="5" a="1"/>
  <c r="N1500" i="5" a="1"/>
  <c r="I1570" i="5" a="1"/>
  <c r="I1606" i="5" a="1"/>
  <c r="I1642" i="5" a="1"/>
  <c r="I1678" i="5" a="1"/>
  <c r="K1158" i="5" a="1"/>
  <c r="B784" i="5" a="1"/>
  <c r="N1082" i="5" a="1"/>
  <c r="N957" i="5" a="1"/>
  <c r="B1121" i="5" a="1"/>
  <c r="E851" i="5" a="1"/>
  <c r="I1375" i="5" a="1"/>
  <c r="K1328" i="5" a="1"/>
  <c r="I1422" i="5" a="1"/>
  <c r="B1280" i="5" a="1"/>
  <c r="I1276" i="5" a="1"/>
  <c r="B1332" i="5" a="1"/>
  <c r="N1259" i="5" a="1"/>
  <c r="E1345" i="5" a="1"/>
  <c r="E1393" i="5" a="1"/>
  <c r="E1191" i="5" a="1"/>
  <c r="E1009" i="5" a="1"/>
  <c r="N1316" i="5" a="1"/>
  <c r="N1364" i="5" a="1"/>
  <c r="N1424" i="5" a="1"/>
  <c r="B1260" i="5" a="1"/>
  <c r="L1223" i="5" a="1"/>
  <c r="J1323" i="5" a="1"/>
  <c r="J1383" i="5" a="1"/>
  <c r="J1431" i="5" a="1"/>
  <c r="H1092" i="5" a="1"/>
  <c r="K1167" i="5" a="1"/>
  <c r="K1235" i="5" a="1"/>
  <c r="B1228" i="5" a="1"/>
  <c r="H1307" i="5" a="1"/>
  <c r="L1448" i="5" a="1"/>
  <c r="L1508" i="5" a="1"/>
  <c r="L1556" i="5" a="1"/>
  <c r="B1452" i="5" a="1"/>
  <c r="I1367" i="5" a="1"/>
  <c r="E1477" i="5" a="1"/>
  <c r="E1525" i="5" a="1"/>
  <c r="H1344" i="5" a="1"/>
  <c r="J1305" i="5" a="1"/>
  <c r="K1307" i="5" a="1"/>
  <c r="B1522" i="5" a="1"/>
  <c r="E1433" i="5" a="1"/>
  <c r="M1482" i="5" a="1"/>
  <c r="H1537" i="5" a="1"/>
  <c r="M1336" i="5" a="1"/>
  <c r="B1557" i="5" a="1"/>
  <c r="I1433" i="5" a="1"/>
  <c r="M1481" i="5" a="1"/>
  <c r="E1534" i="5" a="1"/>
  <c r="M1309" i="5" a="1"/>
  <c r="B1422" i="5" a="1"/>
  <c r="N1311" i="5" a="1"/>
  <c r="M1431" i="5" a="1"/>
  <c r="M1468" i="5" a="1"/>
  <c r="M1504" i="5" a="1"/>
  <c r="M1540" i="5" a="1"/>
  <c r="J1290" i="5" a="1"/>
  <c r="L1404" i="5" a="1"/>
  <c r="M1348" i="5" a="1"/>
  <c r="K1270" i="5" a="1"/>
  <c r="I1389" i="5" a="1"/>
  <c r="B1372" i="5" a="1"/>
  <c r="J1310" i="5" a="1"/>
  <c r="E1189" i="5" a="1"/>
  <c r="N1383" i="5" a="1"/>
  <c r="N1454" i="5" a="1"/>
  <c r="N1490" i="5" a="1"/>
  <c r="N1526" i="5" a="1"/>
  <c r="I1467" i="5" a="1"/>
  <c r="B1640" i="5" a="1"/>
  <c r="L1498" i="5" a="1"/>
  <c r="H1571" i="5" a="1"/>
  <c r="H1607" i="5" a="1"/>
  <c r="H1643" i="5" a="1"/>
  <c r="I1169" i="5" a="1"/>
  <c r="H1485" i="5" a="1"/>
  <c r="J1374" i="5" a="1"/>
  <c r="I1520" i="5" a="1"/>
  <c r="H1582" i="5" a="1"/>
  <c r="H1618" i="5" a="1"/>
  <c r="H1654" i="5" a="1"/>
  <c r="B1386" i="5" a="1"/>
  <c r="K1208" i="5" a="1"/>
  <c r="N1508" i="5" a="1"/>
  <c r="J1571" i="5" a="1"/>
  <c r="J1607" i="5" a="1"/>
  <c r="J1643" i="5" a="1"/>
  <c r="M1156" i="5" a="1"/>
  <c r="B1055" i="5" a="1"/>
  <c r="K1069" i="5" a="1"/>
  <c r="L1092" i="5" a="1"/>
  <c r="N1070" i="5" a="1"/>
  <c r="M1128" i="5" a="1"/>
  <c r="B1033" i="5" a="1"/>
  <c r="I1387" i="5" a="1"/>
  <c r="K1340" i="5" a="1"/>
  <c r="J1423" i="5" a="1"/>
  <c r="L1283" i="5" a="1"/>
  <c r="I1278" i="5" a="1"/>
  <c r="B1344" i="5" a="1"/>
  <c r="K1263" i="5" a="1"/>
  <c r="H1347" i="5" a="1"/>
  <c r="H1395" i="5" a="1"/>
  <c r="L1198" i="5" a="1"/>
  <c r="B1084" i="5" a="1"/>
  <c r="E1320" i="5" a="1"/>
  <c r="E1368" i="5" a="1"/>
  <c r="E1428" i="5" a="1"/>
  <c r="B1264" i="5" a="1"/>
  <c r="J1227" i="5" a="1"/>
  <c r="K1324" i="5" a="1"/>
  <c r="K1384" i="5" a="1"/>
  <c r="K1432" i="5" a="1"/>
  <c r="H1135" i="5" a="1"/>
  <c r="L1178" i="5" a="1"/>
  <c r="H1241" i="5" a="1"/>
  <c r="M1229" i="5" a="1"/>
  <c r="N1318" i="5" a="1"/>
  <c r="M1449" i="5" a="1"/>
  <c r="M1509" i="5" a="1"/>
  <c r="M1557" i="5" a="1"/>
  <c r="B1464" i="5" a="1"/>
  <c r="B1373" i="5" a="1"/>
  <c r="H1479" i="5" a="1"/>
  <c r="H1527" i="5" a="1"/>
  <c r="B1350" i="5" a="1"/>
  <c r="J1309" i="5" a="1"/>
  <c r="K1309" i="5" a="1"/>
  <c r="B1534" i="5" a="1"/>
  <c r="E1439" i="5" a="1"/>
  <c r="N1483" i="5" a="1"/>
  <c r="I1538" i="5" a="1"/>
  <c r="N1338" i="5" a="1"/>
  <c r="K1264" i="5" a="1"/>
  <c r="H1435" i="5" a="1"/>
  <c r="N1482" i="5" a="1"/>
  <c r="H1536" i="5" a="1"/>
  <c r="J1317" i="5" a="1"/>
  <c r="L1427" i="5" a="1"/>
  <c r="N1313" i="5" a="1"/>
  <c r="M1433" i="5" a="1"/>
  <c r="N1469" i="5" a="1"/>
  <c r="N1505" i="5" a="1"/>
  <c r="N1541" i="5" a="1"/>
  <c r="B1300" i="5" a="1"/>
  <c r="L1408" i="5" a="1"/>
  <c r="N1350" i="5" a="1"/>
  <c r="B1276" i="5" a="1"/>
  <c r="I1393" i="5" a="1"/>
  <c r="E1378" i="5" a="1"/>
  <c r="E1314" i="5" a="1"/>
  <c r="J1208" i="5" a="1"/>
  <c r="N1385" i="5" a="1"/>
  <c r="E1458" i="5" a="1"/>
  <c r="E1494" i="5" a="1"/>
  <c r="E1530" i="5" a="1"/>
  <c r="H1469" i="5" a="1"/>
  <c r="B1652" i="5" a="1"/>
  <c r="L1502" i="5" a="1"/>
  <c r="I1572" i="5" a="1"/>
  <c r="I1608" i="5" a="1"/>
  <c r="I1644" i="5" a="1"/>
  <c r="N1243" i="5" a="1"/>
  <c r="B1493" i="5" a="1"/>
  <c r="M1401" i="5" a="1"/>
  <c r="M1535" i="5" a="1"/>
  <c r="I1583" i="5" a="1"/>
  <c r="I1619" i="5" a="1"/>
  <c r="I1655" i="5" a="1"/>
  <c r="L1391" i="5" a="1"/>
  <c r="M1233" i="5" a="1"/>
  <c r="L1510" i="5" a="1"/>
  <c r="K1572" i="5" a="1"/>
  <c r="K1608" i="5" a="1"/>
  <c r="K1644" i="5" a="1"/>
  <c r="H1192" i="5" a="1"/>
  <c r="E1491" i="5" a="1"/>
  <c r="L1347" i="5" a="1"/>
  <c r="M1512" i="5" a="1"/>
  <c r="N1574" i="5" a="1"/>
  <c r="N1610" i="5" a="1"/>
  <c r="N1646" i="5" a="1"/>
  <c r="K1222" i="5" a="1"/>
  <c r="B1501" i="5" a="1"/>
  <c r="I1353" i="5" a="1"/>
  <c r="L1526" i="5" a="1"/>
  <c r="H1579" i="5" a="1"/>
  <c r="H1615" i="5" a="1"/>
  <c r="H1651" i="5" a="1"/>
  <c r="N1337" i="5" a="1"/>
  <c r="B1587" i="5" a="1"/>
  <c r="I1409" i="5" a="1"/>
  <c r="H1546" i="5" a="1"/>
  <c r="L1499" i="5" a="1"/>
  <c r="J1439" i="5" a="1"/>
  <c r="L1376" i="5" a="1"/>
  <c r="L1542" i="5" a="1"/>
  <c r="E1455" i="5" a="1"/>
  <c r="B1559" i="5" a="1"/>
  <c r="N1439" i="5" a="1"/>
  <c r="J1277" i="5" a="1"/>
  <c r="J1500" i="5" a="1"/>
  <c r="J1563" i="5" a="1"/>
  <c r="B1670" i="5" a="1"/>
  <c r="M1615" i="5" a="1"/>
  <c r="E1689" i="5" a="1"/>
  <c r="E1725" i="5" a="1"/>
  <c r="N1619" i="5" a="1"/>
  <c r="I1575" i="5" a="1"/>
  <c r="E1670" i="5" a="1"/>
  <c r="N1708" i="5" a="1"/>
  <c r="I1447" i="5" a="1"/>
  <c r="I1496" i="5" a="1"/>
  <c r="N1631" i="5" a="1"/>
  <c r="M1705" i="5" a="1"/>
  <c r="H1070" i="5" a="1"/>
  <c r="K1129" i="5" a="1"/>
  <c r="B1136" i="5" a="1"/>
  <c r="I1211" i="5" a="1"/>
  <c r="L1212" i="5" a="1"/>
  <c r="E1145" i="5" a="1"/>
  <c r="I1411" i="5" a="1"/>
  <c r="H1349" i="5" a="1"/>
  <c r="I1434" i="5" a="1"/>
  <c r="J1294" i="5" a="1"/>
  <c r="I1301" i="5" a="1"/>
  <c r="B1380" i="5" a="1"/>
  <c r="M1292" i="5" a="1"/>
  <c r="K1350" i="5" a="1"/>
  <c r="E1405" i="5" a="1"/>
  <c r="L1217" i="5" a="1"/>
  <c r="K1221" i="5" a="1"/>
  <c r="J1324" i="5" a="1"/>
  <c r="N1376" i="5" a="1"/>
  <c r="J1432" i="5" a="1"/>
  <c r="B1277" i="5" a="1"/>
  <c r="E1235" i="5" a="1"/>
  <c r="J1335" i="5" a="1"/>
  <c r="N1387" i="5" a="1"/>
  <c r="L1127" i="5" a="1"/>
  <c r="K1206" i="5" a="1"/>
  <c r="L1229" i="5" a="1"/>
  <c r="K1258" i="5" a="1"/>
  <c r="B1253" i="5" a="1"/>
  <c r="J1326" i="5" a="1"/>
  <c r="L1460" i="5" a="1"/>
  <c r="H1516" i="5" a="1"/>
  <c r="L1245" i="5" a="1"/>
  <c r="B1500" i="5" a="1"/>
  <c r="N1407" i="5" a="1"/>
  <c r="K1482" i="5" a="1"/>
  <c r="E1537" i="5" a="1"/>
  <c r="L1359" i="5" a="1"/>
  <c r="B1348" i="5" a="1"/>
  <c r="H1319" i="5" a="1"/>
  <c r="B1236" i="5" a="1"/>
  <c r="J1443" i="5" a="1"/>
  <c r="I1490" i="5" a="1"/>
  <c r="E1547" i="5" a="1"/>
  <c r="B1364" i="5" a="1"/>
  <c r="N1299" i="5" a="1"/>
  <c r="J1442" i="5" a="1"/>
  <c r="M1493" i="5" a="1"/>
  <c r="M1541" i="5" a="1"/>
  <c r="B1341" i="5" a="1"/>
  <c r="I1437" i="5" a="1"/>
  <c r="K1323" i="5" a="1"/>
  <c r="I1440" i="5" a="1"/>
  <c r="I1476" i="5" a="1"/>
  <c r="I1512" i="5" a="1"/>
  <c r="I1548" i="5" a="1"/>
  <c r="B1316" i="5" a="1"/>
  <c r="E1424" i="5" a="1"/>
  <c r="B1376" i="5" a="1"/>
  <c r="B1079" i="5" a="1"/>
  <c r="J1265" i="5" a="1"/>
  <c r="L1433" i="5" a="1"/>
  <c r="I1528" i="5" a="1"/>
  <c r="K1539" i="5" a="1"/>
  <c r="E1310" i="5" a="1"/>
  <c r="J1462" i="5" a="1"/>
  <c r="L1575" i="5" a="1"/>
  <c r="N1550" i="5" a="1"/>
  <c r="I1518" i="5" a="1"/>
  <c r="K1481" i="5" a="1"/>
  <c r="M1475" i="5" a="1"/>
  <c r="H1592" i="5" a="1"/>
  <c r="N1658" i="5" a="1"/>
  <c r="K1524" i="5" a="1"/>
  <c r="J1528" i="5" a="1"/>
  <c r="N1609" i="5" a="1"/>
  <c r="K1014" i="5" a="1"/>
  <c r="K1343" i="5" a="1"/>
  <c r="H1399" i="5" a="1"/>
  <c r="B1492" i="5" a="1"/>
  <c r="N1551" i="5" a="1"/>
  <c r="J1557" i="5" a="1"/>
  <c r="E1552" i="5" a="1"/>
  <c r="K1476" i="5" a="1"/>
  <c r="L1458" i="5" a="1"/>
  <c r="E1701" i="5" a="1"/>
  <c r="K1650" i="5" a="1"/>
  <c r="M1673" i="5" a="1"/>
  <c r="B1217" i="5" a="1"/>
  <c r="I1614" i="5" a="1"/>
  <c r="K1484" i="5" a="1"/>
  <c r="K1496" i="5" a="1"/>
  <c r="H1699" i="5" a="1"/>
  <c r="H1626" i="5" a="1"/>
  <c r="M1639" i="5" a="1"/>
  <c r="J1724" i="5" a="1"/>
  <c r="I1498" i="5" a="1"/>
  <c r="E1563" i="5" a="1"/>
  <c r="N1701" i="5" a="1"/>
  <c r="H1725" i="5" a="1"/>
  <c r="M1784" i="5" a="1"/>
  <c r="I1840" i="5" a="1"/>
  <c r="M1694" i="5" a="1"/>
  <c r="M1710" i="5" a="1"/>
  <c r="N1772" i="5" a="1"/>
  <c r="M1831" i="5" a="1"/>
  <c r="L1685" i="5" a="1"/>
  <c r="I1646" i="5" a="1"/>
  <c r="M1746" i="5" a="1"/>
  <c r="K1700" i="5" a="1"/>
  <c r="E1711" i="5" a="1"/>
  <c r="I1753" i="5" a="1"/>
  <c r="I1789" i="5" a="1"/>
  <c r="I1825" i="5" a="1"/>
  <c r="I1861" i="5" a="1"/>
  <c r="M1678" i="5" a="1"/>
  <c r="B1844" i="5" a="1"/>
  <c r="K1600" i="5" a="1"/>
  <c r="B1807" i="5" a="1"/>
  <c r="I1686" i="5" a="1"/>
  <c r="L1742" i="5" a="1"/>
  <c r="L1778" i="5" a="1"/>
  <c r="L1814" i="5" a="1"/>
  <c r="L1850" i="5" a="1"/>
  <c r="J1663" i="5" a="1"/>
  <c r="N1570" i="5" a="1"/>
  <c r="J1727" i="5" a="1"/>
  <c r="B1641" i="5" a="1"/>
  <c r="H1644" i="5" a="1"/>
  <c r="I1737" i="5" a="1"/>
  <c r="N1695" i="5" a="1"/>
  <c r="M1706" i="5" a="1"/>
  <c r="M1591" i="5" a="1"/>
  <c r="N1711" i="5" a="1"/>
  <c r="N1641" i="5" a="1"/>
  <c r="J1748" i="5" a="1"/>
  <c r="J1784" i="5" a="1"/>
  <c r="J1820" i="5" a="1"/>
  <c r="J1856" i="5" a="1"/>
  <c r="J1658" i="5" a="1"/>
  <c r="E1437" i="5" a="1"/>
  <c r="I1728" i="5" a="1"/>
  <c r="B1841" i="5" a="1"/>
  <c r="J1894" i="5" a="1"/>
  <c r="J1930" i="5" a="1"/>
  <c r="J1966" i="5" a="1"/>
  <c r="L1757" i="5" a="1"/>
  <c r="B1900" i="5" a="1"/>
  <c r="I1808" i="5" a="1"/>
  <c r="E1754" i="5" a="1"/>
  <c r="L1844" i="5" a="1"/>
  <c r="E1572" i="5" a="1"/>
  <c r="H1841" i="5" a="1"/>
  <c r="L1799" i="5" a="1"/>
  <c r="H1877" i="5" a="1"/>
  <c r="H1913" i="5" a="1"/>
  <c r="H1949" i="5" a="1"/>
  <c r="B1730" i="5" a="1"/>
  <c r="B1873" i="5" a="1"/>
  <c r="N1790" i="5" a="1"/>
  <c r="K1879" i="5" a="1"/>
  <c r="K1915" i="5" a="1"/>
  <c r="K1951" i="5" a="1"/>
  <c r="L1988" i="5" a="1"/>
  <c r="M1810" i="5" a="1"/>
  <c r="B1968" i="5" a="1"/>
  <c r="K1832" i="5" a="1"/>
  <c r="N1893" i="5" a="1"/>
  <c r="N1929" i="5" a="1"/>
  <c r="E1969" i="5" a="1"/>
  <c r="J1767" i="5" a="1"/>
  <c r="B1895" i="5" a="1"/>
  <c r="N1783" i="5" a="1"/>
  <c r="N1679" i="5" a="1"/>
  <c r="I1865" i="5" a="1"/>
  <c r="B1822" i="5" a="1"/>
  <c r="M1785" i="5" a="1"/>
  <c r="N1688" i="5" a="1"/>
  <c r="H1849" i="5" a="1"/>
  <c r="J1898" i="5" a="1"/>
  <c r="J1934" i="5" a="1"/>
  <c r="J1970" i="5" a="1"/>
  <c r="N1825" i="5" a="1"/>
  <c r="M1749" i="5" a="1"/>
  <c r="M1838" i="5" a="1"/>
  <c r="L1791" i="5" a="1"/>
  <c r="B1963" i="5" a="1"/>
  <c r="H1953" i="5" a="1"/>
  <c r="H1985" i="5" a="1"/>
  <c r="H1869" i="5" a="1"/>
  <c r="J1897" i="5" a="1"/>
  <c r="E1817" i="5" a="1"/>
  <c r="J1957" i="5" a="1"/>
  <c r="K1957" i="5" a="1"/>
  <c r="I1934" i="5" a="1"/>
  <c r="N1851" i="5" a="1"/>
  <c r="E1975" i="5" a="1"/>
  <c r="N1897" i="5" a="1"/>
  <c r="I1999" i="5" a="1"/>
  <c r="B1925" i="5" a="1"/>
  <c r="H1853" i="5" a="1"/>
  <c r="K1969" i="5" a="1"/>
  <c r="N1880" i="5" a="1"/>
  <c r="J1984" i="5" a="1"/>
  <c r="N1798" i="5" a="1"/>
  <c r="I1894" i="5" a="1"/>
  <c r="M1888" i="5" a="1"/>
  <c r="B1698" i="5" a="1"/>
  <c r="N1973" i="5" a="1"/>
  <c r="L1923" i="5" a="1"/>
  <c r="I1784" i="5" a="1"/>
  <c r="B1974" i="5" a="1"/>
  <c r="N1925" i="5" a="1"/>
  <c r="J1835" i="5" a="1"/>
  <c r="N1960" i="5" a="1"/>
  <c r="L1883" i="5" a="1"/>
  <c r="L1970" i="5" a="1"/>
  <c r="H1893" i="5" a="1"/>
  <c r="N1998" i="5" a="1"/>
  <c r="E1985" i="5" a="1"/>
  <c r="L1985" i="5" a="1"/>
  <c r="M1968" i="5" a="1"/>
  <c r="K1937" i="5" a="1"/>
  <c r="B361" i="2" a="1"/>
  <c r="B1065" i="2" a="1"/>
  <c r="B789" i="2" a="1"/>
  <c r="B967" i="2" a="1"/>
  <c r="B615" i="2" a="1"/>
  <c r="B1213" i="2" a="1"/>
  <c r="B1889" i="2" a="1"/>
  <c r="B2128" i="2" a="1"/>
  <c r="B608" i="2" a="1"/>
  <c r="B177" i="2" a="1"/>
  <c r="B1369" i="2" a="1"/>
  <c r="B622" i="2" a="1"/>
  <c r="B1682" i="2" a="1"/>
  <c r="B1631" i="2" a="1"/>
  <c r="B1402" i="2" a="1"/>
  <c r="B645" i="2" a="1"/>
  <c r="B1261" i="2" a="1"/>
  <c r="B1951" i="2" a="1"/>
  <c r="B2129" i="2" a="1"/>
  <c r="B691" i="2" a="1"/>
  <c r="B297" i="2" a="1"/>
  <c r="B1528" i="2" a="1"/>
  <c r="B652" i="2" a="1"/>
  <c r="B1712" i="2" a="1"/>
  <c r="B182" i="2" a="1"/>
  <c r="B911" i="2" a="1"/>
  <c r="B1781" i="2" a="1"/>
  <c r="B1066" i="2" a="1"/>
  <c r="B251" i="2" a="1"/>
  <c r="B917" i="2" a="1"/>
  <c r="B1308" i="2" a="1"/>
  <c r="B856" i="2" a="1"/>
  <c r="B669" i="2" a="1"/>
  <c r="B534" i="2" a="1"/>
  <c r="B1418" i="2" a="1"/>
  <c r="B1108" i="2" a="1"/>
  <c r="B1897" i="2" a="1"/>
  <c r="B1183" i="2" a="1"/>
  <c r="B2019" i="2" a="1"/>
  <c r="B487" i="2" a="1"/>
  <c r="B1923" i="2" a="1"/>
  <c r="B1611" i="2" a="1"/>
  <c r="B593" i="2" a="1"/>
  <c r="N1064" i="5" a="1"/>
  <c r="H1289" i="5" a="1"/>
  <c r="I1121" i="5" a="1"/>
  <c r="N1533" i="5" a="1"/>
  <c r="L1540" i="5" a="1"/>
  <c r="L1379" i="5" a="1"/>
  <c r="K1487" i="5" a="1"/>
  <c r="M1600" i="5" a="1"/>
  <c r="M1575" i="5" a="1"/>
  <c r="E1567" i="5" a="1"/>
  <c r="J1483" i="5" a="1"/>
  <c r="K1485" i="5" a="1"/>
  <c r="I1593" i="5" a="1"/>
  <c r="E1662" i="5" a="1"/>
  <c r="B1564" i="5" a="1"/>
  <c r="I1530" i="5" a="1"/>
  <c r="E1613" i="5" a="1"/>
  <c r="M1222" i="5" a="1"/>
  <c r="B1338" i="5" a="1"/>
  <c r="I1426" i="5" a="1"/>
  <c r="E1496" i="5" a="1"/>
  <c r="K1553" i="5" a="1"/>
  <c r="B1571" i="5" a="1"/>
  <c r="E1554" i="5" a="1"/>
  <c r="L1482" i="5" a="1"/>
  <c r="B1471" i="5" a="1"/>
  <c r="H1703" i="5" a="1"/>
  <c r="M1675" i="5" a="1"/>
  <c r="M1677" i="5" a="1"/>
  <c r="L1395" i="5" a="1"/>
  <c r="E1622" i="5" a="1"/>
  <c r="I1591" i="5" a="1"/>
  <c r="M1522" i="5" a="1"/>
  <c r="I1700" i="5" a="1"/>
  <c r="B1632" i="5" a="1"/>
  <c r="I1645" i="5" a="1"/>
  <c r="K1725" i="5" a="1"/>
  <c r="K1566" i="5" a="1"/>
  <c r="M1570" i="5" a="1"/>
  <c r="E1705" i="5" a="1"/>
  <c r="E1729" i="5" a="1"/>
  <c r="N1785" i="5" a="1"/>
  <c r="N1845" i="5" a="1"/>
  <c r="L1705" i="5" a="1"/>
  <c r="I1717" i="5" a="1"/>
  <c r="E1776" i="5" a="1"/>
  <c r="N1832" i="5" a="1"/>
  <c r="J1707" i="5" a="1"/>
  <c r="B1669" i="5" a="1"/>
  <c r="N1747" i="5" a="1"/>
  <c r="E1702" i="5" a="1"/>
  <c r="E1716" i="5" a="1"/>
  <c r="J1754" i="5" a="1"/>
  <c r="J1790" i="5" a="1"/>
  <c r="J1826" i="5" a="1"/>
  <c r="J1862" i="5" a="1"/>
  <c r="K1680" i="5" a="1"/>
  <c r="B1856" i="5" a="1"/>
  <c r="N1603" i="5" a="1"/>
  <c r="B1819" i="5" a="1"/>
  <c r="N1691" i="5" a="1"/>
  <c r="M1743" i="5" a="1"/>
  <c r="M1779" i="5" a="1"/>
  <c r="M1815" i="5" a="1"/>
  <c r="M1851" i="5" a="1"/>
  <c r="I1669" i="5" a="1"/>
  <c r="N1590" i="5" a="1"/>
  <c r="K1728" i="5" a="1"/>
  <c r="E1679" i="5" a="1"/>
  <c r="K1651" i="5" a="1"/>
  <c r="J1738" i="5" a="1"/>
  <c r="K1697" i="5" a="1"/>
  <c r="E1715" i="5" a="1"/>
  <c r="L1601" i="5" a="1"/>
  <c r="L1713" i="5" a="1"/>
  <c r="E1645" i="5" a="1"/>
  <c r="K1749" i="5" a="1"/>
  <c r="K1785" i="5" a="1"/>
  <c r="K1821" i="5" a="1"/>
  <c r="K1857" i="5" a="1"/>
  <c r="H1674" i="5" a="1"/>
  <c r="M1578" i="5" a="1"/>
  <c r="I1750" i="5" a="1"/>
  <c r="M1842" i="5" a="1"/>
  <c r="K1895" i="5" a="1"/>
  <c r="K1931" i="5" a="1"/>
  <c r="K1967" i="5" a="1"/>
  <c r="J1759" i="5" a="1"/>
  <c r="B1912" i="5" a="1"/>
  <c r="B1812" i="5" a="1"/>
  <c r="N1757" i="5" a="1"/>
  <c r="E1850" i="5" a="1"/>
  <c r="K1664" i="5" a="1"/>
  <c r="K1848" i="5" a="1"/>
  <c r="J1801" i="5" a="1"/>
  <c r="I1878" i="5" a="1"/>
  <c r="I1914" i="5" a="1"/>
  <c r="I1950" i="5" a="1"/>
  <c r="B1749" i="5" a="1"/>
  <c r="B1885" i="5" a="1"/>
  <c r="K1792" i="5" a="1"/>
  <c r="L1880" i="5" a="1"/>
  <c r="L1916" i="5" a="1"/>
  <c r="L1952" i="5" a="1"/>
  <c r="M1989" i="5" a="1"/>
  <c r="I1814" i="5" a="1"/>
  <c r="B1980" i="5" a="1"/>
  <c r="L1841" i="5" a="1"/>
  <c r="E1897" i="5" a="1"/>
  <c r="E1933" i="5" a="1"/>
  <c r="H1971" i="5" a="1"/>
  <c r="H1769" i="5" a="1"/>
  <c r="B1907" i="5" a="1"/>
  <c r="E1791" i="5" a="1"/>
  <c r="J1715" i="5" a="1"/>
  <c r="N1868" i="5" a="1"/>
  <c r="N1823" i="5" a="1"/>
  <c r="L1787" i="5" a="1"/>
  <c r="J1703" i="5" a="1"/>
  <c r="K1856" i="5" a="1"/>
  <c r="K1899" i="5" a="1"/>
  <c r="K1935" i="5" a="1"/>
  <c r="K1971" i="5" a="1"/>
  <c r="N1827" i="5" a="1"/>
  <c r="L1751" i="5" a="1"/>
  <c r="M1845" i="5" a="1"/>
  <c r="I1793" i="5" a="1"/>
  <c r="B1975" i="5" a="1"/>
  <c r="I1955" i="5" a="1"/>
  <c r="E1987" i="5" a="1"/>
  <c r="B1882" i="5" a="1"/>
  <c r="H1903" i="5" a="1"/>
  <c r="L1837" i="5" a="1"/>
  <c r="B1989" i="5" a="1"/>
  <c r="M1690" i="5" a="1"/>
  <c r="J1936" i="5" a="1"/>
  <c r="H1870" i="5" a="1"/>
  <c r="M1980" i="5" a="1"/>
  <c r="J1909" i="5" a="1"/>
  <c r="M1971" i="5" a="1"/>
  <c r="M1932" i="5" a="1"/>
  <c r="H1859" i="5" a="1"/>
  <c r="J1971" i="5" a="1"/>
  <c r="K1884" i="5" a="1"/>
  <c r="N1987" i="5" a="1"/>
  <c r="I1833" i="5" a="1"/>
  <c r="I1896" i="5" a="1"/>
  <c r="J1892" i="5" a="1"/>
  <c r="J1775" i="5" a="1"/>
  <c r="N1975" i="5" a="1"/>
  <c r="H1933" i="5" a="1"/>
  <c r="B1792" i="5" a="1"/>
  <c r="I1981" i="5" a="1"/>
  <c r="N1927" i="5" a="1"/>
  <c r="H1868" i="5" a="1"/>
  <c r="M1962" i="5" a="1"/>
  <c r="K1885" i="5" a="1"/>
  <c r="I1983" i="5" a="1"/>
  <c r="M1902" i="5" a="1"/>
  <c r="K1995" i="5" a="1"/>
  <c r="J1947" i="5" a="1"/>
  <c r="L1991" i="5" a="1"/>
  <c r="N1986" i="5" a="1"/>
  <c r="L1943" i="5" a="1"/>
  <c r="B706" i="2" a="1"/>
  <c r="B1663" i="2" a="1"/>
  <c r="B988" i="2" a="1"/>
  <c r="B1638" i="2" a="1"/>
  <c r="B19" i="2" a="1"/>
  <c r="B1744" i="2" a="1"/>
  <c r="B1643" i="2" a="1"/>
  <c r="B1386" i="2" a="1"/>
  <c r="B1210" i="2" a="1"/>
  <c r="B68" i="2" a="1"/>
  <c r="B1679" i="2" a="1"/>
  <c r="B3" i="2" a="1"/>
  <c r="B1922" i="2" a="1"/>
  <c r="B2149" i="2" a="1"/>
  <c r="B1821" i="2" a="1"/>
  <c r="B97" i="2" a="1"/>
  <c r="B1803" i="2" a="1"/>
  <c r="B1875" i="2" a="1"/>
  <c r="B710" i="2" a="1"/>
  <c r="B1269" i="2" a="1"/>
  <c r="B416" i="2" a="1"/>
  <c r="B1798" i="2" a="1"/>
  <c r="B33" i="2" a="1"/>
  <c r="B1952" i="2" a="1"/>
  <c r="B422" i="2" a="1"/>
  <c r="B1482" i="2" a="1"/>
  <c r="B1073" i="2" a="1"/>
  <c r="B69" i="2" a="1"/>
  <c r="B1201" i="2" a="1"/>
  <c r="B357" i="2" a="1"/>
  <c r="B1851" i="2" a="1"/>
  <c r="B170" i="2" a="1"/>
  <c r="B626" i="2" a="1"/>
  <c r="B59" i="2" a="1"/>
  <c r="B1945" i="2" a="1"/>
  <c r="B206" i="2" a="1"/>
  <c r="B529" i="2" a="1"/>
  <c r="B2000" i="2" a="1"/>
  <c r="B2240" i="2" a="1"/>
  <c r="B1145" i="2" a="1"/>
  <c r="B464" i="2" a="1"/>
  <c r="B1401" i="2" a="1"/>
  <c r="B833" i="2" a="1"/>
  <c r="N1072" i="5" a="1"/>
  <c r="I1348" i="5" a="1"/>
  <c r="N1142" i="5" a="1"/>
  <c r="L1355" i="5" a="1"/>
  <c r="J1321" i="5" a="1"/>
  <c r="E1399" i="5" a="1"/>
  <c r="H1496" i="5" a="1"/>
  <c r="J1609" i="5" a="1"/>
  <c r="J1584" i="5" a="1"/>
  <c r="L1573" i="5" a="1"/>
  <c r="J1487" i="5" a="1"/>
  <c r="B1503" i="5" a="1"/>
  <c r="I1605" i="5" a="1"/>
  <c r="H1664" i="5" a="1"/>
  <c r="B1576" i="5" a="1"/>
  <c r="J1532" i="5" a="1"/>
  <c r="I1616" i="5" a="1"/>
  <c r="E1234" i="5" a="1"/>
  <c r="E1349" i="5" a="1"/>
  <c r="M1432" i="5" a="1"/>
  <c r="L1501" i="5" a="1"/>
  <c r="K1239" i="5" a="1"/>
  <c r="B1583" i="5" a="1"/>
  <c r="E1556" i="5" a="1"/>
  <c r="M1507" i="5" a="1"/>
  <c r="N1578" i="5" a="1"/>
  <c r="I1704" i="5" a="1"/>
  <c r="B1687" i="5" a="1"/>
  <c r="I1679" i="5" a="1"/>
  <c r="B1465" i="5" a="1"/>
  <c r="M1625" i="5" a="1"/>
  <c r="B1593" i="5" a="1"/>
  <c r="E1529" i="5" a="1"/>
  <c r="J1701" i="5" a="1"/>
  <c r="L1637" i="5" a="1"/>
  <c r="J1647" i="5" a="1"/>
  <c r="L1726" i="5" a="1"/>
  <c r="K1486" i="5" a="1"/>
  <c r="B1590" i="5" a="1"/>
  <c r="J1322" i="5" a="1"/>
  <c r="H1731" i="5" a="1"/>
  <c r="E1789" i="5" a="1"/>
  <c r="I1852" i="5" a="1"/>
  <c r="B1727" i="5" a="1"/>
  <c r="I1722" i="5" a="1"/>
  <c r="H1778" i="5" a="1"/>
  <c r="E1836" i="5" a="1"/>
  <c r="E1714" i="5" a="1"/>
  <c r="K1671" i="5" a="1"/>
  <c r="M1487" i="5" a="1"/>
  <c r="E1704" i="5" a="1"/>
  <c r="M1717" i="5" a="1"/>
  <c r="K1755" i="5" a="1"/>
  <c r="K1791" i="5" a="1"/>
  <c r="K1827" i="5" a="1"/>
  <c r="K1863" i="5" a="1"/>
  <c r="I1682" i="5" a="1"/>
  <c r="B1868" i="5" a="1"/>
  <c r="I1624" i="5" a="1"/>
  <c r="B1831" i="5" a="1"/>
  <c r="H1697" i="5" a="1"/>
  <c r="N1744" i="5" a="1"/>
  <c r="N1780" i="5" a="1"/>
  <c r="N1816" i="5" a="1"/>
  <c r="N1852" i="5" a="1"/>
  <c r="B1681" i="5" a="1"/>
  <c r="B1598" i="5" a="1"/>
  <c r="L1729" i="5" a="1"/>
  <c r="B1692" i="5" a="1"/>
  <c r="I1657" i="5" a="1"/>
  <c r="K1739" i="5" a="1"/>
  <c r="B1705" i="5" a="1"/>
  <c r="I1718" i="5" a="1"/>
  <c r="K1611" i="5" a="1"/>
  <c r="B1717" i="5" a="1"/>
  <c r="I1648" i="5" a="1"/>
  <c r="L1750" i="5" a="1"/>
  <c r="L1786" i="5" a="1"/>
  <c r="L1822" i="5" a="1"/>
  <c r="L1858" i="5" a="1"/>
  <c r="I1685" i="5" a="1"/>
  <c r="B1596" i="5" a="1"/>
  <c r="B1754" i="5" a="1"/>
  <c r="I1846" i="5" a="1"/>
  <c r="L1896" i="5" a="1"/>
  <c r="L1932" i="5" a="1"/>
  <c r="L1968" i="5" a="1"/>
  <c r="H1761" i="5" a="1"/>
  <c r="B1924" i="5" a="1"/>
  <c r="N1813" i="5" a="1"/>
  <c r="K1759" i="5" a="1"/>
  <c r="N1853" i="5" a="1"/>
  <c r="K1692" i="5" a="1"/>
  <c r="J1857" i="5" a="1"/>
  <c r="E1805" i="5" a="1"/>
  <c r="J1879" i="5" a="1"/>
  <c r="J1915" i="5" a="1"/>
  <c r="J1951" i="5" a="1"/>
  <c r="L1752" i="5" a="1"/>
  <c r="B1897" i="5" a="1"/>
  <c r="B1798" i="5" a="1"/>
  <c r="M1881" i="5" a="1"/>
  <c r="M1917" i="5" a="1"/>
  <c r="N1954" i="5" a="1"/>
  <c r="N1990" i="5" a="1"/>
  <c r="E1818" i="5" a="1"/>
  <c r="B1992" i="5" a="1"/>
  <c r="J1843" i="5" a="1"/>
  <c r="H1899" i="5" a="1"/>
  <c r="H1935" i="5" a="1"/>
  <c r="I1972" i="5" a="1"/>
  <c r="K1776" i="5" a="1"/>
  <c r="B1919" i="5" a="1"/>
  <c r="B1793" i="5" a="1"/>
  <c r="I1746" i="5" a="1"/>
  <c r="B1870" i="5" a="1"/>
  <c r="J1827" i="5" a="1"/>
  <c r="J1789" i="5" a="1"/>
  <c r="B1722" i="5" a="1"/>
  <c r="L1865" i="5" a="1"/>
  <c r="L1900" i="5" a="1"/>
  <c r="L1936" i="5" a="1"/>
  <c r="L1972" i="5" a="1"/>
  <c r="H1831" i="5" a="1"/>
  <c r="J1753" i="5" a="1"/>
  <c r="L1847" i="5" a="1"/>
  <c r="B1797" i="5" a="1"/>
  <c r="B1987" i="5" a="1"/>
  <c r="B1965" i="5" a="1"/>
  <c r="J1993" i="5" a="1"/>
  <c r="M1887" i="5" a="1"/>
  <c r="L1918" i="5" a="1"/>
  <c r="J1851" i="5" a="1"/>
  <c r="N1996" i="5" a="1"/>
  <c r="H1817" i="5" a="1"/>
  <c r="K1961" i="5" a="1"/>
  <c r="K1874" i="5" a="1"/>
  <c r="I1982" i="5" a="1"/>
  <c r="H1915" i="5" a="1"/>
  <c r="B1994" i="5" a="1"/>
  <c r="L1934" i="5" a="1"/>
  <c r="E1866" i="5" a="1"/>
  <c r="K1982" i="5" a="1"/>
  <c r="H1890" i="5" a="1"/>
  <c r="B1995" i="5" a="1"/>
  <c r="K1840" i="5" a="1"/>
  <c r="H1898" i="5" a="1"/>
  <c r="J1896" i="5" a="1"/>
  <c r="E1799" i="5" a="1"/>
  <c r="K1977" i="5" a="1"/>
  <c r="E1937" i="5" a="1"/>
  <c r="B1848" i="5" a="1"/>
  <c r="N1984" i="5" a="1"/>
  <c r="K1929" i="5" a="1"/>
  <c r="M1875" i="5" a="1"/>
  <c r="K1966" i="5" a="1"/>
  <c r="J1887" i="5" a="1"/>
  <c r="I1988" i="5" a="1"/>
  <c r="J1945" i="5" a="1"/>
  <c r="L1906" i="5" a="1"/>
  <c r="E1980" i="5" a="1"/>
  <c r="L1999" i="5" a="1"/>
  <c r="E1992" i="5" a="1"/>
  <c r="H1951" i="5" a="1"/>
  <c r="B471" i="2" a="1"/>
  <c r="B2204" i="2" a="1"/>
  <c r="B1228" i="2" a="1"/>
  <c r="B2156" i="2" a="1"/>
  <c r="B460" i="2" a="1"/>
  <c r="B11" i="2" a="1"/>
  <c r="B549" i="2" a="1"/>
  <c r="B1440" i="2" a="1"/>
  <c r="B696" i="2" a="1"/>
  <c r="B1166" i="2" a="1"/>
  <c r="B1584" i="2" a="1"/>
  <c r="B243" i="2" a="1"/>
  <c r="B2162" i="2" a="1"/>
  <c r="B1202" i="2" a="1"/>
  <c r="B384" i="2" a="1"/>
  <c r="B504" i="2" a="1"/>
  <c r="B171" i="2" a="1"/>
  <c r="B698" i="2" a="1"/>
  <c r="B2195" i="2" a="1"/>
  <c r="B811" i="2" a="1"/>
  <c r="B1215" i="2" a="1"/>
  <c r="B1959" i="2" a="1"/>
  <c r="B273" i="2" a="1"/>
  <c r="B2192" i="2" a="1"/>
  <c r="B662" i="2" a="1"/>
  <c r="B1722" i="2" a="1"/>
  <c r="B192" i="2" a="1"/>
  <c r="B936" i="2" a="1"/>
  <c r="B1794" i="2" a="1"/>
  <c r="B1080" i="2" a="1"/>
  <c r="B298" i="2" a="1"/>
  <c r="B930" i="2" a="1"/>
  <c r="B1350" i="2" a="1"/>
  <c r="B869" i="2" a="1"/>
  <c r="B717" i="2" a="1"/>
  <c r="B548" i="2" a="1"/>
  <c r="B1444" i="2" a="1"/>
  <c r="B1022" i="2" a="1"/>
  <c r="B2" i="2" a="1"/>
  <c r="B246" i="2" a="1"/>
  <c r="B1337" i="2" a="1"/>
  <c r="B591" i="2" a="1"/>
  <c r="B25" i="2" a="1"/>
  <c r="I1127" i="5" a="1"/>
  <c r="J1349" i="5" a="1"/>
  <c r="E1173" i="5" a="1"/>
  <c r="L1357" i="5" a="1"/>
  <c r="E1325" i="5" a="1"/>
  <c r="E1401" i="5" a="1"/>
  <c r="I1497" i="5" a="1"/>
  <c r="K1610" i="5" a="1"/>
  <c r="K1585" i="5" a="1"/>
  <c r="M1574" i="5" a="1"/>
  <c r="H1495" i="5" a="1"/>
  <c r="E1507" i="5" a="1"/>
  <c r="J1606" i="5" a="1"/>
  <c r="I1665" i="5" a="1"/>
  <c r="B1588" i="5" a="1"/>
  <c r="E1551" i="5" a="1"/>
  <c r="J1617" i="5" a="1"/>
  <c r="L1310" i="5" a="1"/>
  <c r="N1370" i="5" a="1"/>
  <c r="E1480" i="5" a="1"/>
  <c r="M1503" i="5" a="1"/>
  <c r="E1251" i="5" a="1"/>
  <c r="B1595" i="5" a="1"/>
  <c r="H1288" i="5" a="1"/>
  <c r="M1526" i="5" a="1"/>
  <c r="K1590" i="5" a="1"/>
  <c r="J1705" i="5" a="1"/>
  <c r="B1699" i="5" a="1"/>
  <c r="M1683" i="5" a="1"/>
  <c r="B1490" i="5" a="1"/>
  <c r="M1629" i="5" a="1"/>
  <c r="E1599" i="5" a="1"/>
  <c r="L1546" i="5" a="1"/>
  <c r="K1702" i="5" a="1"/>
  <c r="L1639" i="5" a="1"/>
  <c r="J1651" i="5" a="1"/>
  <c r="H1328" i="5" a="1"/>
  <c r="K1498" i="5" a="1"/>
  <c r="N1591" i="5" a="1"/>
  <c r="M1349" i="5" a="1"/>
  <c r="I1732" i="5" a="1"/>
  <c r="H1791" i="5" a="1"/>
  <c r="J1853" i="5" a="1"/>
  <c r="B1739" i="5" a="1"/>
  <c r="N1723" i="5" a="1"/>
  <c r="I1779" i="5" a="1"/>
  <c r="H1838" i="5" a="1"/>
  <c r="B1716" i="5" a="1"/>
  <c r="E1695" i="5" a="1"/>
  <c r="I1519" i="5" a="1"/>
  <c r="K1707" i="5" a="1"/>
  <c r="I1719" i="5" a="1"/>
  <c r="L1756" i="5" a="1"/>
  <c r="L1792" i="5" a="1"/>
  <c r="L1828" i="5" a="1"/>
  <c r="L1864" i="5" a="1"/>
  <c r="H1684" i="5" a="1"/>
  <c r="L1474" i="5" a="1"/>
  <c r="N1630" i="5" a="1"/>
  <c r="B1843" i="5" a="1"/>
  <c r="N1700" i="5" a="1"/>
  <c r="E1748" i="5" a="1"/>
  <c r="E1784" i="5" a="1"/>
  <c r="E1820" i="5" a="1"/>
  <c r="E1856" i="5" a="1"/>
  <c r="M1682" i="5" a="1"/>
  <c r="H1601" i="5" a="1"/>
  <c r="M1730" i="5" a="1"/>
  <c r="B1694" i="5" a="1"/>
  <c r="K1660" i="5" a="1"/>
  <c r="L1740" i="5" a="1"/>
  <c r="I1708" i="5" a="1"/>
  <c r="K1721" i="5" a="1"/>
  <c r="I1615" i="5" a="1"/>
  <c r="N1724" i="5" a="1"/>
  <c r="N1651" i="5" a="1"/>
  <c r="M1751" i="5" a="1"/>
  <c r="M1787" i="5" a="1"/>
  <c r="M1823" i="5" a="1"/>
  <c r="M1859" i="5" a="1"/>
  <c r="N1690" i="5" a="1"/>
  <c r="I1599" i="5" a="1"/>
  <c r="E1761" i="5" a="1"/>
  <c r="B1850" i="5" a="1"/>
  <c r="M1897" i="5" a="1"/>
  <c r="M1933" i="5" a="1"/>
  <c r="M1969" i="5" a="1"/>
  <c r="I1770" i="5" a="1"/>
  <c r="B1936" i="5" a="1"/>
  <c r="N1815" i="5" a="1"/>
  <c r="I1761" i="5" a="1"/>
  <c r="K1855" i="5" a="1"/>
  <c r="M1713" i="5" a="1"/>
  <c r="J1859" i="5" a="1"/>
  <c r="L1808" i="5" a="1"/>
  <c r="K1880" i="5" a="1"/>
  <c r="K1916" i="5" a="1"/>
  <c r="K1952" i="5" a="1"/>
  <c r="L1761" i="5" a="1"/>
  <c r="B1909" i="5" a="1"/>
  <c r="N1799" i="5" a="1"/>
  <c r="N1882" i="5" a="1"/>
  <c r="N1918" i="5" a="1"/>
  <c r="E1958" i="5" a="1"/>
  <c r="E1575" i="5" a="1"/>
  <c r="N1819" i="5" a="1"/>
  <c r="M1667" i="5" a="1"/>
  <c r="H1845" i="5" a="1"/>
  <c r="I1900" i="5" a="1"/>
  <c r="I1936" i="5" a="1"/>
  <c r="J1973" i="5" a="1"/>
  <c r="J1785" i="5" a="1"/>
  <c r="B1931" i="5" a="1"/>
  <c r="M1794" i="5" a="1"/>
  <c r="H1751" i="5" a="1"/>
  <c r="H1563" i="5" a="1"/>
  <c r="H1829" i="5" a="1"/>
  <c r="E1793" i="5" a="1"/>
  <c r="E1743" i="5" a="1"/>
  <c r="J1867" i="5" a="1"/>
  <c r="M1901" i="5" a="1"/>
  <c r="M1937" i="5" a="1"/>
  <c r="M1973" i="5" a="1"/>
  <c r="N1834" i="5" a="1"/>
  <c r="E1757" i="5" a="1"/>
  <c r="J1849" i="5" a="1"/>
  <c r="L1800" i="5" a="1"/>
  <c r="J1755" i="5" a="1"/>
  <c r="J1173" i="5" a="1"/>
  <c r="I1396" i="5" a="1"/>
  <c r="J1184" i="5" a="1"/>
  <c r="E1313" i="5" a="1"/>
  <c r="L1429" i="5" a="1"/>
  <c r="M1404" i="5" a="1"/>
  <c r="J1498" i="5" a="1"/>
  <c r="L1611" i="5" a="1"/>
  <c r="L1586" i="5" a="1"/>
  <c r="N1575" i="5" a="1"/>
  <c r="H1497" i="5" a="1"/>
  <c r="M1510" i="5" a="1"/>
  <c r="K1607" i="5" a="1"/>
  <c r="I1677" i="5" a="1"/>
  <c r="B1600" i="5" a="1"/>
  <c r="E1553" i="5" a="1"/>
  <c r="K1618" i="5" a="1"/>
  <c r="E1365" i="5" a="1"/>
  <c r="L1393" i="5" a="1"/>
  <c r="N1487" i="5" a="1"/>
  <c r="K1505" i="5" a="1"/>
  <c r="I1298" i="5" a="1"/>
  <c r="B1643" i="5" a="1"/>
  <c r="B1301" i="5" a="1"/>
  <c r="I1561" i="5" a="1"/>
  <c r="L1594" i="5" a="1"/>
  <c r="J1717" i="5" a="1"/>
  <c r="B1711" i="5" a="1"/>
  <c r="N1684" i="5" a="1"/>
  <c r="B1502" i="5" a="1"/>
  <c r="J1637" i="5" a="1"/>
  <c r="M1606" i="5" a="1"/>
  <c r="H1562" i="5" a="1"/>
  <c r="E1709" i="5" a="1"/>
  <c r="L1641" i="5" a="1"/>
  <c r="K1672" i="5" a="1"/>
  <c r="H1372" i="5" a="1"/>
  <c r="M1511" i="5" a="1"/>
  <c r="K1599" i="5" a="1"/>
  <c r="I1378" i="5" a="1"/>
  <c r="N1737" i="5" a="1"/>
  <c r="I1792" i="5" a="1"/>
  <c r="K1854" i="5" a="1"/>
  <c r="B1751" i="5" a="1"/>
  <c r="I1725" i="5" a="1"/>
  <c r="N1784" i="5" a="1"/>
  <c r="I1839" i="5" a="1"/>
  <c r="L1720" i="5" a="1"/>
  <c r="L1696" i="5" a="1"/>
  <c r="I1565" i="5" a="1"/>
  <c r="I1709" i="5" a="1"/>
  <c r="B1721" i="5" a="1"/>
  <c r="M1757" i="5" a="1"/>
  <c r="M1793" i="5" a="1"/>
  <c r="M1829" i="5" a="1"/>
  <c r="M1865" i="5" a="1"/>
  <c r="N1687" i="5" a="1"/>
  <c r="B1506" i="5" a="1"/>
  <c r="K1640" i="5" a="1"/>
  <c r="B1855" i="5" a="1"/>
  <c r="M1702" i="5" a="1"/>
  <c r="H1750" i="5" a="1"/>
  <c r="H1786" i="5" a="1"/>
  <c r="H1822" i="5" a="1"/>
  <c r="H1858" i="5" a="1"/>
  <c r="L1693" i="5" a="1"/>
  <c r="N1607" i="5" a="1"/>
  <c r="N1731" i="5" a="1"/>
  <c r="K1695" i="5" a="1"/>
  <c r="L1663" i="5" a="1"/>
  <c r="M1741" i="5" a="1"/>
  <c r="M1711" i="5" a="1"/>
  <c r="I1726" i="5" a="1"/>
  <c r="M1618" i="5" a="1"/>
  <c r="B1731" i="5" a="1"/>
  <c r="J1673" i="5" a="1"/>
  <c r="N1752" i="5" a="1"/>
  <c r="N1788" i="5" a="1"/>
  <c r="N1824" i="5" a="1"/>
  <c r="N1860" i="5" a="1"/>
  <c r="M1701" i="5" a="1"/>
  <c r="H1609" i="5" a="1"/>
  <c r="M1764" i="5" a="1"/>
  <c r="E1857" i="5" a="1"/>
  <c r="N1898" i="5" a="1"/>
  <c r="N1934" i="5" a="1"/>
  <c r="N1970" i="5" a="1"/>
  <c r="L1777" i="5" a="1"/>
  <c r="B1948" i="5" a="1"/>
  <c r="H1819" i="5" a="1"/>
  <c r="B1765" i="5" a="1"/>
  <c r="I1857" i="5" a="1"/>
  <c r="B1741" i="5" a="1"/>
  <c r="J1615" i="5" a="1"/>
  <c r="E1814" i="5" a="1"/>
  <c r="L1881" i="5" a="1"/>
  <c r="L1917" i="5" a="1"/>
  <c r="L1953" i="5" a="1"/>
  <c r="K1763" i="5" a="1"/>
  <c r="B1921" i="5" a="1"/>
  <c r="J1803" i="5" a="1"/>
  <c r="E1886" i="5" a="1"/>
  <c r="E1922" i="5" a="1"/>
  <c r="H1960" i="5" a="1"/>
  <c r="J1588" i="5" a="1"/>
  <c r="E1827" i="5" a="1"/>
  <c r="N1686" i="5" a="1"/>
  <c r="I1854" i="5" a="1"/>
  <c r="J1901" i="5" a="1"/>
  <c r="J1937" i="5" a="1"/>
  <c r="K1974" i="5" a="1"/>
  <c r="J1787" i="5" a="1"/>
  <c r="B1943" i="5" a="1"/>
  <c r="I1798" i="5" a="1"/>
  <c r="M1756" i="5" a="1"/>
  <c r="L1605" i="5" a="1"/>
  <c r="K1836" i="5" a="1"/>
  <c r="L1796" i="5" a="1"/>
  <c r="L1749" i="5" a="1"/>
  <c r="B1869" i="5" a="1"/>
  <c r="N1902" i="5" a="1"/>
  <c r="N1938" i="5" a="1"/>
  <c r="N1974" i="5" a="1"/>
  <c r="K1838" i="5" a="1"/>
  <c r="L1760" i="5" a="1"/>
  <c r="E1853" i="5" a="1"/>
  <c r="L1809" i="5" a="1"/>
  <c r="E1122" i="5" a="1"/>
  <c r="N1401" i="5" a="1"/>
  <c r="N1225" i="5" a="1"/>
  <c r="E1346" i="5" a="1"/>
  <c r="L1431" i="5" a="1"/>
  <c r="H1364" i="5" a="1"/>
  <c r="K1523" i="5" a="1"/>
  <c r="M1636" i="5" a="1"/>
  <c r="M1611" i="5" a="1"/>
  <c r="E1603" i="5" a="1"/>
  <c r="B1505" i="5" a="1"/>
  <c r="M1514" i="5" a="1"/>
  <c r="L1608" i="5" a="1"/>
  <c r="J1678" i="5" a="1"/>
  <c r="B1612" i="5" a="1"/>
  <c r="E1555" i="5" a="1"/>
  <c r="E1625" i="5" a="1"/>
  <c r="M1370" i="5" a="1"/>
  <c r="L1403" i="5" a="1"/>
  <c r="N1489" i="5" a="1"/>
  <c r="I1546" i="5" a="1"/>
  <c r="N1306" i="5" a="1"/>
  <c r="B1655" i="5" a="1"/>
  <c r="M1312" i="5" a="1"/>
  <c r="J1567" i="5" a="1"/>
  <c r="B1606" i="5" a="1"/>
  <c r="K1718" i="5" a="1"/>
  <c r="B1723" i="5" a="1"/>
  <c r="E1688" i="5" a="1"/>
  <c r="E1564" i="5" a="1"/>
  <c r="N1650" i="5" a="1"/>
  <c r="J1612" i="5" a="1"/>
  <c r="I1589" i="5" a="1"/>
  <c r="H1711" i="5" a="1"/>
  <c r="M1643" i="5" a="1"/>
  <c r="N1680" i="5" a="1"/>
  <c r="H1517" i="5" a="1"/>
  <c r="B1561" i="5" a="1"/>
  <c r="K1601" i="5" a="1"/>
  <c r="E1430" i="5" a="1"/>
  <c r="I1744" i="5" a="1"/>
  <c r="M1796" i="5" a="1"/>
  <c r="L1855" i="5" a="1"/>
  <c r="B1763" i="5" a="1"/>
  <c r="E1728" i="5" a="1"/>
  <c r="I1791" i="5" a="1"/>
  <c r="M1843" i="5" a="1"/>
  <c r="B1738" i="5" a="1"/>
  <c r="N1710" i="5" a="1"/>
  <c r="E1583" i="5" a="1"/>
  <c r="M1712" i="5" a="1"/>
  <c r="K1722" i="5" a="1"/>
  <c r="N1758" i="5" a="1"/>
  <c r="N1794" i="5" a="1"/>
  <c r="N1830" i="5" a="1"/>
  <c r="N1866" i="5" a="1"/>
  <c r="J1691" i="5" a="1"/>
  <c r="M1519" i="5" a="1"/>
  <c r="E1660" i="5" a="1"/>
  <c r="B1867" i="5" a="1"/>
  <c r="H1706" i="5" a="1"/>
  <c r="I1751" i="5" a="1"/>
  <c r="I1787" i="5" a="1"/>
  <c r="I1823" i="5" a="1"/>
  <c r="I1859" i="5" a="1"/>
  <c r="J1695" i="5" a="1"/>
  <c r="L1614" i="5" a="1"/>
  <c r="E1735" i="5" a="1"/>
  <c r="B1701" i="5" a="1"/>
  <c r="H1673" i="5" a="1"/>
  <c r="N1742" i="5" a="1"/>
  <c r="M1724" i="5" a="1"/>
  <c r="L1727" i="5" a="1"/>
  <c r="H1625" i="5" a="1"/>
  <c r="B1743" i="5" a="1"/>
  <c r="N1676" i="5" a="1"/>
  <c r="E1756" i="5" a="1"/>
  <c r="E1792" i="5" a="1"/>
  <c r="E1828" i="5" a="1"/>
  <c r="E1864" i="5" a="1"/>
  <c r="K1710" i="5" a="1"/>
  <c r="L1612" i="5" a="1"/>
  <c r="M1766" i="5" a="1"/>
  <c r="M1860" i="5" a="1"/>
  <c r="E1902" i="5" a="1"/>
  <c r="E1938" i="5" a="1"/>
  <c r="E1974" i="5" a="1"/>
  <c r="E1783" i="5" a="1"/>
  <c r="B1960" i="5" a="1"/>
  <c r="N1822" i="5" a="1"/>
  <c r="J1770" i="5" a="1"/>
  <c r="B1861" i="5" a="1"/>
  <c r="K1752" i="5" a="1"/>
  <c r="N1628" i="5" a="1"/>
  <c r="N1817" i="5" a="1"/>
  <c r="M1882" i="5" a="1"/>
  <c r="M1918" i="5" a="1"/>
  <c r="N1955" i="5" a="1"/>
  <c r="H1765" i="5" a="1"/>
  <c r="B1933" i="5" a="1"/>
  <c r="H1805" i="5" a="1"/>
  <c r="H1888" i="5" a="1"/>
  <c r="H1924" i="5" a="1"/>
  <c r="I1961" i="5" a="1"/>
  <c r="H1694" i="5" a="1"/>
  <c r="B1829" i="5" a="1"/>
  <c r="K1708" i="5" a="1"/>
  <c r="L1861" i="5" a="1"/>
  <c r="K1902" i="5" a="1"/>
  <c r="K1938" i="5" a="1"/>
  <c r="L1975" i="5" a="1"/>
  <c r="I1796" i="5" a="1"/>
  <c r="B1955" i="5" a="1"/>
  <c r="B1802" i="5" a="1"/>
  <c r="L1767" i="5" a="1"/>
  <c r="B1646" i="5" a="1"/>
  <c r="J1845" i="5" a="1"/>
  <c r="E1802" i="5" a="1"/>
  <c r="K1751" i="5" a="1"/>
  <c r="E1870" i="5" a="1"/>
  <c r="E1906" i="5" a="1"/>
  <c r="E1942" i="5" a="1"/>
  <c r="E1978" i="5" a="1"/>
  <c r="H1840" i="5" a="1"/>
  <c r="E1766" i="5" a="1"/>
  <c r="L1856" i="5" a="1"/>
  <c r="K1811" i="5" a="1"/>
  <c r="E1142" i="5" a="1"/>
  <c r="H1206" i="5" a="1"/>
  <c r="L1252" i="5" a="1"/>
  <c r="K1311" i="5" a="1"/>
  <c r="K1319" i="5" a="1"/>
  <c r="M1383" i="5" a="1"/>
  <c r="H1532" i="5" a="1"/>
  <c r="J1645" i="5" a="1"/>
  <c r="J1620" i="5" a="1"/>
  <c r="L1609" i="5" a="1"/>
  <c r="E1544" i="5" a="1"/>
  <c r="N1516" i="5" a="1"/>
  <c r="M1609" i="5" a="1"/>
  <c r="N1156" i="5" a="1"/>
  <c r="I1304" i="5" a="1"/>
  <c r="N1556" i="5" a="1"/>
  <c r="H1627" i="5" a="1"/>
  <c r="B1398" i="5" a="1"/>
  <c r="I1415" i="5" a="1"/>
  <c r="B1494" i="5" a="1"/>
  <c r="H1557" i="5" a="1"/>
  <c r="H1312" i="5" a="1"/>
  <c r="B1667" i="5" a="1"/>
  <c r="B1357" i="5" a="1"/>
  <c r="E1571" i="5" a="1"/>
  <c r="E1612" i="5" a="1"/>
  <c r="L1719" i="5" a="1"/>
  <c r="B1515" i="5" a="1"/>
  <c r="H1690" i="5" a="1"/>
  <c r="K1339" i="5" a="1"/>
  <c r="K1662" i="5" a="1"/>
  <c r="J1616" i="5" a="1"/>
  <c r="M1602" i="5" a="1"/>
  <c r="I1712" i="5" a="1"/>
  <c r="I1649" i="5" a="1"/>
  <c r="E1684" i="5" a="1"/>
  <c r="H1529" i="5" a="1"/>
  <c r="L1564" i="5" a="1"/>
  <c r="K1603" i="5" a="1"/>
  <c r="I1482" i="5" a="1"/>
  <c r="J1745" i="5" a="1"/>
  <c r="N1797" i="5" a="1"/>
  <c r="M1856" i="5" a="1"/>
  <c r="B1775" i="5" a="1"/>
  <c r="H1730" i="5" a="1"/>
  <c r="J1792" i="5" a="1"/>
  <c r="N1844" i="5" a="1"/>
  <c r="E1519" i="5" a="1"/>
  <c r="L1717" i="5" a="1"/>
  <c r="H1590" i="5" a="1"/>
  <c r="I1714" i="5" a="1"/>
  <c r="M1725" i="5" a="1"/>
  <c r="E1762" i="5" a="1"/>
  <c r="E1798" i="5" a="1"/>
  <c r="E1834" i="5" a="1"/>
  <c r="N1443" i="5" a="1"/>
  <c r="H1693" i="5" a="1"/>
  <c r="E1570" i="5" a="1"/>
  <c r="I1663" i="5" a="1"/>
  <c r="E1561" i="5" a="1"/>
  <c r="B1713" i="5" a="1"/>
  <c r="J1752" i="5" a="1"/>
  <c r="J1788" i="5" a="1"/>
  <c r="J1824" i="5" a="1"/>
  <c r="J1860" i="5" a="1"/>
  <c r="E1699" i="5" a="1"/>
  <c r="N1617" i="5" a="1"/>
  <c r="H1737" i="5" a="1"/>
  <c r="H1708" i="5" a="1"/>
  <c r="E1683" i="5" a="1"/>
  <c r="E1746" i="5" a="1"/>
  <c r="B1732" i="5" a="1"/>
  <c r="M1728" i="5" a="1"/>
  <c r="E1635" i="5" a="1"/>
  <c r="B1755" i="5" a="1"/>
  <c r="I1710" i="5" a="1"/>
  <c r="H1758" i="5" a="1"/>
  <c r="H1794" i="5" a="1"/>
  <c r="H1830" i="5" a="1"/>
  <c r="H1866" i="5" a="1"/>
  <c r="K1715" i="5" a="1"/>
  <c r="I1626" i="5" a="1"/>
  <c r="M1773" i="5" a="1"/>
  <c r="M1862" i="5" a="1"/>
  <c r="H1904" i="5" a="1"/>
  <c r="H1940" i="5" a="1"/>
  <c r="H1976" i="5" a="1"/>
  <c r="K1786" i="5" a="1"/>
  <c r="B1972" i="5" a="1"/>
  <c r="K1826" i="5" a="1"/>
  <c r="H1772" i="5" a="1"/>
  <c r="J1866" i="5" a="1"/>
  <c r="J1761" i="5" a="1"/>
  <c r="B1677" i="5" a="1"/>
  <c r="K1819" i="5" a="1"/>
  <c r="N1883" i="5" a="1"/>
  <c r="N1919" i="5" a="1"/>
  <c r="E1959" i="5" a="1"/>
  <c r="K1772" i="5" a="1"/>
  <c r="B1945" i="5" a="1"/>
  <c r="K1812" i="5" a="1"/>
  <c r="I1889" i="5" a="1"/>
  <c r="I1925" i="5" a="1"/>
  <c r="J1962" i="5" a="1"/>
  <c r="N1725" i="5" a="1"/>
  <c r="M1830" i="5" a="1"/>
  <c r="M1714" i="5" a="1"/>
  <c r="E1867" i="5" a="1"/>
  <c r="L1903" i="5" a="1"/>
  <c r="L1939" i="5" a="1"/>
  <c r="M1976" i="5" a="1"/>
  <c r="B1800" i="5" a="1"/>
  <c r="B1967" i="5" a="1"/>
  <c r="E1809" i="5" a="1"/>
  <c r="I1769" i="5" a="1"/>
  <c r="E1731" i="5" a="1"/>
  <c r="J1847" i="5" a="1"/>
  <c r="N1805" i="5" a="1"/>
  <c r="H1753" i="5" a="1"/>
  <c r="H1872" i="5" a="1"/>
  <c r="H1908" i="5" a="1"/>
  <c r="H1944" i="5" a="1"/>
  <c r="H1980" i="5" a="1"/>
  <c r="J1858" i="5" a="1"/>
  <c r="N1769" i="5" a="1"/>
  <c r="E1862" i="5" a="1"/>
  <c r="H1813" i="5" a="1"/>
  <c r="B1857" i="5" a="1"/>
  <c r="N1988" i="5" a="1"/>
  <c r="N1997" i="5" a="1"/>
  <c r="J1895" i="5" a="1"/>
  <c r="B1942" i="5" a="1"/>
  <c r="N1887" i="5" a="1"/>
  <c r="I1844" i="5" a="1"/>
  <c r="M1858" i="5" a="1"/>
  <c r="B1977" i="5" a="1"/>
  <c r="M1899" i="5" a="1"/>
  <c r="B1997" i="5" a="1"/>
  <c r="I1940" i="5" a="1"/>
  <c r="I1757" i="5" a="1"/>
  <c r="H1946" i="5" a="1"/>
  <c r="M1878" i="5" a="1"/>
  <c r="M1992" i="5" a="1"/>
  <c r="M1907" i="5" a="1"/>
  <c r="K1944" i="5" a="1"/>
  <c r="L1882" i="5" a="1"/>
  <c r="J1921" i="5" a="1"/>
  <c r="N1915" i="5" a="1"/>
  <c r="E1879" i="5" a="1"/>
  <c r="M1595" i="5" a="1"/>
  <c r="N1948" i="5" a="1"/>
  <c r="L1894" i="5" a="1"/>
  <c r="E1835" i="5" a="1"/>
  <c r="H1943" i="5" a="1"/>
  <c r="J1883" i="5" a="1"/>
  <c r="E1990" i="5" a="1"/>
  <c r="L1937" i="5" a="1"/>
  <c r="I1916" i="5" a="1"/>
  <c r="I1939" i="5" a="1"/>
  <c r="L1954" i="5" a="1"/>
  <c r="M1991" i="5" a="1"/>
  <c r="I1906" i="5" a="1"/>
  <c r="I1992" i="5" a="1"/>
  <c r="B35" i="3" a="1"/>
  <c r="B824" i="2" a="1"/>
  <c r="B2146" i="2" a="1"/>
  <c r="B1174" i="2" a="1"/>
  <c r="B16" i="2" a="1"/>
  <c r="B390" i="2" a="1"/>
  <c r="B1164" i="2" a="1"/>
  <c r="B314" i="2" a="1"/>
  <c r="B132" i="2" a="1"/>
  <c r="B787" i="2" a="1"/>
  <c r="B1653" i="2" a="1"/>
  <c r="B2025" i="2" a="1"/>
  <c r="B155" i="2" a="1"/>
  <c r="B1100" i="2" a="1"/>
  <c r="B2093" i="2" a="1"/>
  <c r="B2233" i="2" a="1"/>
  <c r="B434" i="2" a="1"/>
  <c r="B1230" i="2" a="1"/>
  <c r="B468" i="2" a="1"/>
  <c r="B162" i="2" a="1"/>
  <c r="B872" i="2" a="1"/>
  <c r="B1735" i="2" a="1"/>
  <c r="B701" i="2" a="1"/>
  <c r="B185" i="2" a="1"/>
  <c r="B1152" i="2" a="1"/>
  <c r="B763" i="2" a="1"/>
  <c r="B1400" i="2" a="1"/>
  <c r="B293" i="2" a="1"/>
  <c r="B2212" i="2" a="1"/>
  <c r="B682" i="2" a="1"/>
  <c r="B1742" i="2" a="1"/>
  <c r="B212" i="2" a="1"/>
  <c r="B963" i="2" a="1"/>
  <c r="B21" i="2" a="1"/>
  <c r="B1106" i="2" a="1"/>
  <c r="B346" i="2" a="1"/>
  <c r="B976" i="2" a="1"/>
  <c r="B1392" i="2" a="1"/>
  <c r="B1026" i="2" a="1"/>
  <c r="B103" i="2" a="1"/>
  <c r="B2022" i="2" a="1"/>
  <c r="B580" i="2" a="1"/>
  <c r="B1059" i="2" a="1"/>
  <c r="E1208" i="5" a="1"/>
  <c r="B1213" i="5" a="1"/>
  <c r="M1254" i="5" a="1"/>
  <c r="H1317" i="5" a="1"/>
  <c r="K1321" i="5" a="1"/>
  <c r="M1385" i="5" a="1"/>
  <c r="I1533" i="5" a="1"/>
  <c r="K1646" i="5" a="1"/>
  <c r="K1621" i="5" a="1"/>
  <c r="M1610" i="5" a="1"/>
  <c r="B1551" i="5" a="1"/>
  <c r="L1518" i="5" a="1"/>
  <c r="E1614" i="5" a="1"/>
  <c r="I1192" i="5" a="1"/>
  <c r="K1310" i="5" a="1"/>
  <c r="K1558" i="5" a="1"/>
  <c r="I1628" i="5" a="1"/>
  <c r="J1464" i="5" a="1"/>
  <c r="B1421" i="5" a="1"/>
  <c r="L1497" i="5" a="1"/>
  <c r="H1180" i="5" a="1"/>
  <c r="L1441" i="5" a="1"/>
  <c r="B1679" i="5" a="1"/>
  <c r="K1368" i="5" a="1"/>
  <c r="E1573" i="5" a="1"/>
  <c r="I1621" i="5" a="1"/>
  <c r="M1720" i="5" a="1"/>
  <c r="H1545" i="5" a="1"/>
  <c r="I1691" i="5" a="1"/>
  <c r="K1382" i="5" a="1"/>
  <c r="L1680" i="5" a="1"/>
  <c r="E1620" i="5" a="1"/>
  <c r="M1604" i="5" a="1"/>
  <c r="J1713" i="5" a="1"/>
  <c r="M1662" i="5" a="1"/>
  <c r="H1686" i="5" a="1"/>
  <c r="I1535" i="5" a="1"/>
  <c r="L1566" i="5" a="1"/>
  <c r="L1624" i="5" a="1"/>
  <c r="H1494" i="5" a="1"/>
  <c r="K1746" i="5" a="1"/>
  <c r="E1801" i="5" a="1"/>
  <c r="N1857" i="5" a="1"/>
  <c r="B1835" i="5" a="1"/>
  <c r="I1731" i="5" a="1"/>
  <c r="K1793" i="5" a="1"/>
  <c r="E1848" i="5" a="1"/>
  <c r="L1569" i="5" a="1"/>
  <c r="H1719" i="5" a="1"/>
  <c r="N1616" i="5" a="1"/>
  <c r="B1361" i="5" a="1"/>
  <c r="H1728" i="5" a="1"/>
  <c r="H1764" i="5" a="1"/>
  <c r="H1800" i="5" a="1"/>
  <c r="H1836" i="5" a="1"/>
  <c r="E1488" i="5" a="1"/>
  <c r="B1697" i="5" a="1"/>
  <c r="I1573" i="5" a="1"/>
  <c r="H1669" i="5" a="1"/>
  <c r="L1570" i="5" a="1"/>
  <c r="N1714" i="5" a="1"/>
  <c r="K1753" i="5" a="1"/>
  <c r="K1789" i="5" a="1"/>
  <c r="K1825" i="5" a="1"/>
  <c r="K1861" i="5" a="1"/>
  <c r="K1704" i="5" a="1"/>
  <c r="E1621" i="5" a="1"/>
  <c r="I1738" i="5" a="1"/>
  <c r="M1709" i="5" a="1"/>
  <c r="L1684" i="5" a="1"/>
  <c r="H1748" i="5" a="1"/>
  <c r="B1744" i="5" a="1"/>
  <c r="N1729" i="5" a="1"/>
  <c r="J1638" i="5" a="1"/>
  <c r="B1767" i="5" a="1"/>
  <c r="J1718" i="5" a="1"/>
  <c r="I1759" i="5" a="1"/>
  <c r="I1795" i="5" a="1"/>
  <c r="I1831" i="5" a="1"/>
  <c r="I1867" i="5" a="1"/>
  <c r="N1718" i="5" a="1"/>
  <c r="I1639" i="5" a="1"/>
  <c r="L1775" i="5" a="1"/>
  <c r="I1869" i="5" a="1"/>
  <c r="I1905" i="5" a="1"/>
  <c r="I1941" i="5" a="1"/>
  <c r="I1977" i="5" a="1"/>
  <c r="I1788" i="5" a="1"/>
  <c r="B1984" i="5" a="1"/>
  <c r="H1828" i="5" a="1"/>
  <c r="M1777" i="5" a="1"/>
  <c r="M1555" i="5" a="1"/>
  <c r="J1763" i="5" a="1"/>
  <c r="J1719" i="5" a="1"/>
  <c r="I1821" i="5" a="1"/>
  <c r="E1887" i="5" a="1"/>
  <c r="E1923" i="5" a="1"/>
  <c r="H1961" i="5" a="1"/>
  <c r="L1781" i="5" a="1"/>
  <c r="B1957" i="5" a="1"/>
  <c r="J1821" i="5" a="1"/>
  <c r="J1890" i="5" a="1"/>
  <c r="J1926" i="5" a="1"/>
  <c r="K1963" i="5" a="1"/>
  <c r="B1742" i="5" a="1"/>
  <c r="I1834" i="5" a="1"/>
  <c r="I1720" i="5" a="1"/>
  <c r="L1868" i="5" a="1"/>
  <c r="M1904" i="5" a="1"/>
  <c r="M1940" i="5" a="1"/>
  <c r="N1977" i="5" a="1"/>
  <c r="N1801" i="5" a="1"/>
  <c r="B1979" i="5" a="1"/>
  <c r="M1812" i="5" a="1"/>
  <c r="B1773" i="5" a="1"/>
  <c r="M1738" i="5" a="1"/>
  <c r="I1856" i="5" a="1"/>
  <c r="K1807" i="5" a="1"/>
  <c r="K1760" i="5" a="1"/>
  <c r="I1873" i="5" a="1"/>
  <c r="I1909" i="5" a="1"/>
  <c r="I1945" i="5" a="1"/>
  <c r="L1578" i="5" a="1"/>
  <c r="B1864" i="5" a="1"/>
  <c r="K1771" i="5" a="1"/>
  <c r="N1865" i="5" a="1"/>
  <c r="K1820" i="5" a="1"/>
  <c r="N1177" i="5" a="1"/>
  <c r="E1098" i="5" a="1"/>
  <c r="L1231" i="5" a="1"/>
  <c r="B1546" i="5" a="1"/>
  <c r="K1435" i="5" a="1"/>
  <c r="K1387" i="5" a="1"/>
  <c r="J1534" i="5" a="1"/>
  <c r="L1647" i="5" a="1"/>
  <c r="L1622" i="5" a="1"/>
  <c r="N1611" i="5" a="1"/>
  <c r="B1553" i="5" a="1"/>
  <c r="H1530" i="5" a="1"/>
  <c r="H1616" i="5" a="1"/>
  <c r="N1210" i="5" a="1"/>
  <c r="J1320" i="5" a="1"/>
  <c r="K1570" i="5" a="1"/>
  <c r="J1629" i="5" a="1"/>
  <c r="H1474" i="5" a="1"/>
  <c r="M1429" i="5" a="1"/>
  <c r="J1509" i="5" a="1"/>
  <c r="I1316" i="5" a="1"/>
  <c r="M1443" i="5" a="1"/>
  <c r="M1068" i="5" a="1"/>
  <c r="J1378" i="5" a="1"/>
  <c r="K1592" i="5" a="1"/>
  <c r="J1623" i="5" a="1"/>
  <c r="N1721" i="5" a="1"/>
  <c r="I1551" i="5" a="1"/>
  <c r="I1703" i="5" a="1"/>
  <c r="N1395" i="5" a="1"/>
  <c r="M1681" i="5" a="1"/>
  <c r="B1626" i="5" a="1"/>
  <c r="N1608" i="5" a="1"/>
  <c r="K1714" i="5" a="1"/>
  <c r="J1674" i="5" a="1"/>
  <c r="I1687" i="5" a="1"/>
  <c r="M1547" i="5" a="1"/>
  <c r="L1568" i="5" a="1"/>
  <c r="H1632" i="5" a="1"/>
  <c r="L1582" i="5" a="1"/>
  <c r="L1747" i="5" a="1"/>
  <c r="H1803" i="5" a="1"/>
  <c r="E1861" i="5" a="1"/>
  <c r="E1500" i="5" a="1"/>
  <c r="M1735" i="5" a="1"/>
  <c r="L1794" i="5" a="1"/>
  <c r="H1850" i="5" a="1"/>
  <c r="B1573" i="5" a="1"/>
  <c r="J1722" i="5" a="1"/>
  <c r="I1623" i="5" a="1"/>
  <c r="H1457" i="5" a="1"/>
  <c r="I1729" i="5" a="1"/>
  <c r="I1765" i="5" a="1"/>
  <c r="I1801" i="5" a="1"/>
  <c r="I1837" i="5" a="1"/>
  <c r="M1559" i="5" a="1"/>
  <c r="M1698" i="5" a="1"/>
  <c r="L1576" i="5" a="1"/>
  <c r="K1675" i="5" a="1"/>
  <c r="M1590" i="5" a="1"/>
  <c r="H1716" i="5" a="1"/>
  <c r="L1754" i="5" a="1"/>
  <c r="L1790" i="5" a="1"/>
  <c r="L1826" i="5" a="1"/>
  <c r="L1862" i="5" a="1"/>
  <c r="L1709" i="5" a="1"/>
  <c r="K1624" i="5" a="1"/>
  <c r="J1739" i="5" a="1"/>
  <c r="L1711" i="5" a="1"/>
  <c r="J1699" i="5" a="1"/>
  <c r="H1538" i="5" a="1"/>
  <c r="K1306" i="5" a="1"/>
  <c r="E1733" i="5" a="1"/>
  <c r="M1651" i="5" a="1"/>
  <c r="B1779" i="5" a="1"/>
  <c r="L1721" i="5" a="1"/>
  <c r="J1760" i="5" a="1"/>
  <c r="J1796" i="5" a="1"/>
  <c r="J1832" i="5" a="1"/>
  <c r="J1868" i="5" a="1"/>
  <c r="L1723" i="5" a="1"/>
  <c r="L1642" i="5" a="1"/>
  <c r="J1777" i="5" a="1"/>
  <c r="J1870" i="5" a="1"/>
  <c r="J1906" i="5" a="1"/>
  <c r="J1942" i="5" a="1"/>
  <c r="J1978" i="5" a="1"/>
  <c r="H1799" i="5" a="1"/>
  <c r="H1612" i="5" a="1"/>
  <c r="J1846" i="5" a="1"/>
  <c r="M1786" i="5" a="1"/>
  <c r="E1707" i="5" a="1"/>
  <c r="I1772" i="5" a="1"/>
  <c r="J1729" i="5" a="1"/>
  <c r="B1825" i="5" a="1"/>
  <c r="H1889" i="5" a="1"/>
  <c r="H1925" i="5" a="1"/>
  <c r="I1962" i="5" a="1"/>
  <c r="J1783" i="5" a="1"/>
  <c r="B1969" i="5" a="1"/>
  <c r="J1823" i="5" a="1"/>
  <c r="K1891" i="5" a="1"/>
  <c r="K1927" i="5" a="1"/>
  <c r="L1964" i="5" a="1"/>
  <c r="E1749" i="5" a="1"/>
  <c r="B1838" i="5" a="1"/>
  <c r="N1745" i="5" a="1"/>
  <c r="N1869" i="5" a="1"/>
  <c r="N1905" i="5" a="1"/>
  <c r="N1941" i="5" a="1"/>
  <c r="E1981" i="5" a="1"/>
  <c r="N1803" i="5" a="1"/>
  <c r="B1991" i="5" a="1"/>
  <c r="M1814" i="5" a="1"/>
  <c r="L1776" i="5" a="1"/>
  <c r="K1742" i="5" a="1"/>
  <c r="B1860" i="5" a="1"/>
  <c r="I1809" i="5" a="1"/>
  <c r="L1769" i="5" a="1"/>
  <c r="J1874" i="5" a="1"/>
  <c r="J1910" i="5" a="1"/>
  <c r="J1946" i="5" a="1"/>
  <c r="H1696" i="5" a="1"/>
  <c r="B1880" i="5" a="1"/>
  <c r="I1773" i="5" a="1"/>
  <c r="K1867" i="5" a="1"/>
  <c r="L1829" i="5" a="1"/>
  <c r="B1878" i="5" a="1"/>
  <c r="B2000" i="5" a="1"/>
  <c r="K1985" i="5" a="1"/>
  <c r="E1905" i="5" a="1"/>
  <c r="L1949" i="5" a="1"/>
  <c r="N1891" i="5" a="1"/>
  <c r="I1874" i="5" a="1"/>
  <c r="K1872" i="5" a="1"/>
  <c r="I1987" i="5" a="1"/>
  <c r="M1903" i="5" a="1"/>
  <c r="J1999" i="5" a="1"/>
  <c r="M1959" i="5" a="1"/>
  <c r="N1789" i="5" a="1"/>
  <c r="E1952" i="5" a="1"/>
  <c r="I1886" i="5" a="1"/>
  <c r="E1997" i="5" a="1"/>
  <c r="L1911" i="5" a="1"/>
  <c r="H1954" i="5" a="1"/>
  <c r="K1888" i="5" a="1"/>
  <c r="L1942" i="5" a="1"/>
  <c r="L1919" i="5" a="1"/>
  <c r="M1886" i="5" a="1"/>
  <c r="H1759" i="5" a="1"/>
  <c r="K1954" i="5" a="1"/>
  <c r="K1900" i="5" a="1"/>
  <c r="K1873" i="5" a="1"/>
  <c r="B1949" i="5" a="1"/>
  <c r="E1893" i="5" a="1"/>
  <c r="N1753" i="5" a="1"/>
  <c r="K1970" i="5" a="1"/>
  <c r="J1959" i="5" a="1"/>
  <c r="I1978" i="5" a="1"/>
  <c r="B1973" i="5" a="1"/>
  <c r="N1849" i="5" a="1"/>
  <c r="L1898" i="5" a="1"/>
  <c r="J1815" i="5" a="1"/>
  <c r="B102" i="2" a="1"/>
  <c r="B638" i="2" a="1"/>
  <c r="B1594" i="2" a="1"/>
  <c r="B1235" i="2" a="1"/>
  <c r="B1651" i="2" a="1"/>
  <c r="B557" i="2" a="1"/>
  <c r="B2250" i="2" a="1"/>
  <c r="B1342" i="2" a="1"/>
  <c r="B612" i="2" a="1"/>
  <c r="B1672" i="2" a="1"/>
  <c r="B1608" i="2" a="1"/>
  <c r="B1318" i="2" a="1"/>
  <c r="B635" i="2" a="1"/>
  <c r="B1244" i="2" a="1"/>
  <c r="B1919" i="2" a="1"/>
  <c r="B2230" i="2" a="1"/>
  <c r="B674" i="2" a="1"/>
  <c r="B250" i="2" a="1"/>
  <c r="B1500" i="2" a="1"/>
  <c r="B642" i="2" a="1"/>
  <c r="B1702" i="2" a="1"/>
  <c r="B1667" i="2" a="1"/>
  <c r="B1509" i="2" a="1"/>
  <c r="B665" i="2" a="1"/>
  <c r="B1292" i="2" a="1"/>
  <c r="B195" i="2" a="1"/>
  <c r="B1165" i="2" a="1"/>
  <c r="B773" i="2" a="1"/>
  <c r="B10" i="2" a="1"/>
  <c r="B303" i="2" a="1"/>
  <c r="B2222" i="2" a="1"/>
  <c r="B692" i="2" a="1"/>
  <c r="B1752" i="2" a="1"/>
  <c r="B222" i="2" a="1"/>
  <c r="B990" i="2" a="1"/>
  <c r="B51" i="2" a="1"/>
  <c r="B1120" i="2" a="1"/>
  <c r="B391" i="2" a="1"/>
  <c r="B1343" i="2" a="1"/>
  <c r="B583" i="2" a="1"/>
  <c r="B1067" i="2" a="1"/>
  <c r="B2186" i="2" a="1"/>
  <c r="B349" i="2" a="1"/>
  <c r="J1210" i="5" a="1"/>
  <c r="M1209" i="5" a="1"/>
  <c r="B1249" i="5" a="1"/>
  <c r="I1230" i="5" a="1"/>
  <c r="H1439" i="5" a="1"/>
  <c r="N1296" i="5" a="1"/>
  <c r="N1455" i="5" a="1"/>
  <c r="M1672" i="5" a="1"/>
  <c r="M1647" i="5" a="1"/>
  <c r="E1639" i="5" a="1"/>
  <c r="B1555" i="5" a="1"/>
  <c r="I1532" i="5" a="1"/>
  <c r="I1617" i="5" a="1"/>
  <c r="J1245" i="5" a="1"/>
  <c r="E1326" i="5" a="1"/>
  <c r="L1571" i="5" a="1"/>
  <c r="K1630" i="5" a="1"/>
  <c r="B1480" i="5" a="1"/>
  <c r="B1459" i="5" a="1"/>
  <c r="N1524" i="5" a="1"/>
  <c r="E1322" i="5" a="1"/>
  <c r="K1445" i="5" a="1"/>
  <c r="E1390" i="5" a="1"/>
  <c r="E1423" i="5" a="1"/>
  <c r="H1598" i="5" a="1"/>
  <c r="J1627" i="5" a="1"/>
  <c r="E1351" i="5" a="1"/>
  <c r="B1562" i="5" a="1"/>
  <c r="J1704" i="5" a="1"/>
  <c r="L1432" i="5" a="1"/>
  <c r="N1682" i="5" a="1"/>
  <c r="N1627" i="5" a="1"/>
  <c r="J1610" i="5" a="1"/>
  <c r="K1726" i="5" a="1"/>
  <c r="E1678" i="5" a="1"/>
  <c r="J1688" i="5" a="1"/>
  <c r="M1558" i="5" a="1"/>
  <c r="H1572" i="5" a="1"/>
  <c r="I1634" i="5" a="1"/>
  <c r="K1589" i="5" a="1"/>
  <c r="M1748" i="5" a="1"/>
  <c r="I1804" i="5" a="1"/>
  <c r="H1863" i="5" a="1"/>
  <c r="K1544" i="5" a="1"/>
  <c r="N1736" i="5" a="1"/>
  <c r="M1795" i="5" a="1"/>
  <c r="I1851" i="5" a="1"/>
  <c r="N1579" i="5" a="1"/>
  <c r="L1725" i="5" a="1"/>
  <c r="E1630" i="5" a="1"/>
  <c r="M1569" i="5" a="1"/>
  <c r="J1730" i="5" a="1"/>
  <c r="J1766" i="5" a="1"/>
  <c r="J1802" i="5" a="1"/>
  <c r="J1838" i="5" a="1"/>
  <c r="M1566" i="5" a="1"/>
  <c r="L1700" i="5" a="1"/>
  <c r="N1593" i="5" a="1"/>
  <c r="N1678" i="5" a="1"/>
  <c r="B1594" i="5" a="1"/>
  <c r="E1718" i="5" a="1"/>
  <c r="M1755" i="5" a="1"/>
  <c r="M1791" i="5" a="1"/>
  <c r="M1827" i="5" a="1"/>
  <c r="M1863" i="5" a="1"/>
  <c r="K1711" i="5" a="1"/>
  <c r="M1637" i="5" a="1"/>
  <c r="K1740" i="5" a="1"/>
  <c r="B1715" i="5" a="1"/>
  <c r="B1703" i="5" a="1"/>
  <c r="J1574" i="5" a="1"/>
  <c r="I1463" i="5" a="1"/>
  <c r="H1735" i="5" a="1"/>
  <c r="N1654" i="5" a="1"/>
  <c r="B1791" i="5" a="1"/>
  <c r="J1723" i="5" a="1"/>
  <c r="K1761" i="5" a="1"/>
  <c r="K1797" i="5" a="1"/>
  <c r="K1833" i="5" a="1"/>
  <c r="M1333" i="5" a="1"/>
  <c r="N1726" i="5" a="1"/>
  <c r="J1649" i="5" a="1"/>
  <c r="E1781" i="5" a="1"/>
  <c r="K1871" i="5" a="1"/>
  <c r="K1907" i="5" a="1"/>
  <c r="K1943" i="5" a="1"/>
  <c r="K1979" i="5" a="1"/>
  <c r="M1804" i="5" a="1"/>
  <c r="J1683" i="5" a="1"/>
  <c r="B1852" i="5" a="1"/>
  <c r="I1790" i="5" a="1"/>
  <c r="B1725" i="5" a="1"/>
  <c r="B1776" i="5" a="1"/>
  <c r="E1737" i="5" a="1"/>
  <c r="J1830" i="5" a="1"/>
  <c r="I1890" i="5" a="1"/>
  <c r="I1926" i="5" a="1"/>
  <c r="J1963" i="5" a="1"/>
  <c r="H1785" i="5" a="1"/>
  <c r="B1981" i="5" a="1"/>
  <c r="I1832" i="5" a="1"/>
  <c r="L1892" i="5" a="1"/>
  <c r="L1928" i="5" a="1"/>
  <c r="M1965" i="5" a="1"/>
  <c r="M1752" i="5" a="1"/>
  <c r="E1845" i="5" a="1"/>
  <c r="H1749" i="5" a="1"/>
  <c r="E1873" i="5" a="1"/>
  <c r="E1909" i="5" a="1"/>
  <c r="E1945" i="5" a="1"/>
  <c r="H1983" i="5" a="1"/>
  <c r="H1807" i="5" a="1"/>
  <c r="I1451" i="5" a="1"/>
  <c r="M1821" i="5" a="1"/>
  <c r="L1785" i="5" a="1"/>
  <c r="J1749" i="5" a="1"/>
  <c r="N1861" i="5" a="1"/>
  <c r="B1813" i="5" a="1"/>
  <c r="J1771" i="5" a="1"/>
  <c r="K1875" i="5" a="1"/>
  <c r="K1911" i="5" a="1"/>
  <c r="K1947" i="5" a="1"/>
  <c r="H1727" i="5" a="1"/>
  <c r="B1892" i="5" a="1"/>
  <c r="B1777" i="5" a="1"/>
  <c r="H1871" i="5" a="1"/>
  <c r="J1831" i="5" a="1"/>
  <c r="M1883" i="5" a="1"/>
  <c r="H1930" i="5" a="1"/>
  <c r="K1990" i="5" a="1"/>
  <c r="E1907" i="5" a="1"/>
  <c r="J1953" i="5" a="1"/>
  <c r="K1893" i="5" a="1"/>
  <c r="J1876" i="5" a="1"/>
  <c r="H1878" i="5" a="1"/>
  <c r="J1992" i="5" a="1"/>
  <c r="J1905" i="5" a="1"/>
  <c r="M2001" i="5" a="1"/>
  <c r="L1961" i="5" a="1"/>
  <c r="H1797" i="5" a="1"/>
  <c r="N1957" i="5" a="1"/>
  <c r="J1888" i="5" a="1"/>
  <c r="H1999" i="5" a="1"/>
  <c r="H1921" i="5" a="1"/>
  <c r="B1958" i="5" a="1"/>
  <c r="I1892" i="5" a="1"/>
  <c r="K1946" i="5" a="1"/>
  <c r="K1921" i="5" a="1"/>
  <c r="N1888" i="5" a="1"/>
  <c r="L1813" i="5" a="1"/>
  <c r="I1958" i="5" a="1"/>
  <c r="I1904" i="5" a="1"/>
  <c r="J1875" i="5" a="1"/>
  <c r="L1958" i="5" a="1"/>
  <c r="E1895" i="5" a="1"/>
  <c r="H1777" i="5" a="1"/>
  <c r="B2001" i="5" a="1"/>
  <c r="H1978" i="5" a="1"/>
  <c r="I1994" i="5" a="1"/>
  <c r="M1979" i="5" a="1"/>
  <c r="H1995" i="5" a="1"/>
  <c r="K1906" i="5" a="1"/>
  <c r="N1921" i="5" a="1"/>
  <c r="B342" i="2" a="1"/>
  <c r="B1322" i="2" a="1"/>
  <c r="B700" i="2" a="1"/>
  <c r="B857" i="2" a="1"/>
  <c r="B2169" i="2" a="1"/>
  <c r="B1197" i="2" a="1"/>
  <c r="B40" i="2" a="1"/>
  <c r="B1630" i="2" a="1"/>
  <c r="B852" i="2" a="1"/>
  <c r="B1912" i="2" a="1"/>
  <c r="B2126" i="2" a="1"/>
  <c r="B1680" i="2" a="1"/>
  <c r="B80" i="2" a="1"/>
  <c r="B1790" i="2" a="1"/>
  <c r="B1741" i="2" a="1"/>
  <c r="B2211" i="2" a="1"/>
  <c r="B1256" i="2" a="1"/>
  <c r="B368" i="2" a="1"/>
  <c r="B1771" i="2" a="1"/>
  <c r="B23" i="2" a="1"/>
  <c r="B1942" i="2" a="1"/>
  <c r="B2208" i="2" a="1"/>
  <c r="B1978" i="2" a="1"/>
  <c r="B158" i="2" a="1"/>
  <c r="B1849" i="2" a="1"/>
  <c r="B435" i="2" a="1"/>
  <c r="B480" i="2" a="1"/>
  <c r="B164" i="2" a="1"/>
  <c r="B570" i="2" a="1"/>
  <c r="B543" i="2" a="1"/>
  <c r="B899" i="2" a="1"/>
  <c r="B73" i="2" a="1"/>
  <c r="B1992" i="2" a="1"/>
  <c r="B462" i="2" a="1"/>
  <c r="B1522" i="2" a="1"/>
  <c r="B1253" i="2" a="1"/>
  <c r="B209" i="2" a="1"/>
  <c r="B1324" i="2" a="1"/>
  <c r="B428" i="2" a="1"/>
  <c r="B823" i="2" a="1"/>
  <c r="B150" i="2" a="1"/>
  <c r="B511" i="2" a="1"/>
  <c r="B1941" i="2" a="1"/>
  <c r="I1092" i="5" a="1"/>
  <c r="H1322" i="5" a="1"/>
  <c r="L1320" i="5" a="1"/>
  <c r="H1441" i="5" a="1"/>
  <c r="E1473" i="5" a="1"/>
  <c r="N1323" i="5" a="1"/>
  <c r="I1471" i="5" a="1"/>
  <c r="I1255" i="5" a="1"/>
  <c r="J1656" i="5" a="1"/>
  <c r="L1645" i="5" a="1"/>
  <c r="B1565" i="5" a="1"/>
  <c r="L1545" i="5" a="1"/>
  <c r="M1621" i="5" a="1"/>
  <c r="B1272" i="5" a="1"/>
  <c r="J1343" i="5" a="1"/>
  <c r="M1572" i="5" a="1"/>
  <c r="K1642" i="5" a="1"/>
  <c r="E1484" i="5" a="1"/>
  <c r="K1464" i="5" a="1"/>
  <c r="N1532" i="5" a="1"/>
  <c r="J1382" i="5" a="1"/>
  <c r="J1447" i="5" a="1"/>
  <c r="M1395" i="5" a="1"/>
  <c r="M1430" i="5" a="1"/>
  <c r="H1600" i="5" a="1"/>
  <c r="N1642" i="5" a="1"/>
  <c r="L1430" i="5" a="1"/>
  <c r="H1573" i="5" a="1"/>
  <c r="K1705" i="5" a="1"/>
  <c r="L1312" i="5" a="1"/>
  <c r="E1686" i="5" a="1"/>
  <c r="K1641" i="5" a="1"/>
  <c r="J1614" i="5" a="1"/>
  <c r="N1200" i="5" a="1"/>
  <c r="B1683" i="5" a="1"/>
  <c r="K1689" i="5" a="1"/>
  <c r="J1566" i="5" a="1"/>
  <c r="I1574" i="5" a="1"/>
  <c r="I1636" i="5" a="1"/>
  <c r="M1592" i="5" a="1"/>
  <c r="N1749" i="5" a="1"/>
  <c r="N1809" i="5" a="1"/>
  <c r="I1864" i="5" a="1"/>
  <c r="J1579" i="5" a="1"/>
  <c r="E1740" i="5" a="1"/>
  <c r="N1796" i="5" a="1"/>
  <c r="N1856" i="5" a="1"/>
  <c r="I1586" i="5" a="1"/>
  <c r="E1727" i="5" a="1"/>
  <c r="N1643" i="5" a="1"/>
  <c r="K1576" i="5" a="1"/>
  <c r="K1731" i="5" a="1"/>
  <c r="K1767" i="5" a="1"/>
  <c r="K1803" i="5" a="1"/>
  <c r="K1839" i="5" a="1"/>
  <c r="I1590" i="5" a="1"/>
  <c r="I1702" i="5" a="1"/>
  <c r="E1607" i="5" a="1"/>
  <c r="J1682" i="5" a="1"/>
  <c r="M1607" i="5" a="1"/>
  <c r="K1719" i="5" a="1"/>
  <c r="N1756" i="5" a="1"/>
  <c r="N1792" i="5" a="1"/>
  <c r="N1828" i="5" a="1"/>
  <c r="N1864" i="5" a="1"/>
  <c r="K1724" i="5" a="1"/>
  <c r="B1654" i="5" a="1"/>
  <c r="L1741" i="5" a="1"/>
  <c r="L1724" i="5" a="1"/>
  <c r="J1706" i="5" a="1"/>
  <c r="H1584" i="5" a="1"/>
  <c r="H1578" i="5" a="1"/>
  <c r="I1736" i="5" a="1"/>
  <c r="H1661" i="5" a="1"/>
  <c r="B1803" i="5" a="1"/>
  <c r="J1726" i="5" a="1"/>
  <c r="L1762" i="5" a="1"/>
  <c r="L1798" i="5" a="1"/>
  <c r="L1834" i="5" a="1"/>
  <c r="B1417" i="5" a="1"/>
  <c r="E1730" i="5" a="1"/>
  <c r="J1652" i="5" a="1"/>
  <c r="L1784" i="5" a="1"/>
  <c r="L1872" i="5" a="1"/>
  <c r="L1908" i="5" a="1"/>
  <c r="L1944" i="5" a="1"/>
  <c r="L1980" i="5" a="1"/>
  <c r="L1815" i="5" a="1"/>
  <c r="M1718" i="5" a="1"/>
  <c r="E1859" i="5" a="1"/>
  <c r="E1794" i="5" a="1"/>
  <c r="H1733" i="5" a="1"/>
  <c r="N1777" i="5" a="1"/>
  <c r="H1745" i="5" a="1"/>
  <c r="H1832" i="5" a="1"/>
  <c r="J1891" i="5" a="1"/>
  <c r="J1927" i="5" a="1"/>
  <c r="K1964" i="5" a="1"/>
  <c r="I1794" i="5" a="1"/>
  <c r="B1602" i="5" a="1"/>
  <c r="B1836" i="5" a="1"/>
  <c r="M1893" i="5" a="1"/>
  <c r="M1929" i="5" a="1"/>
  <c r="N1966" i="5" a="1"/>
  <c r="M1754" i="5" a="1"/>
  <c r="M1848" i="5" a="1"/>
  <c r="I1758" i="5" a="1"/>
  <c r="H1875" i="5" a="1"/>
  <c r="H1911" i="5" a="1"/>
  <c r="H1947" i="5" a="1"/>
  <c r="I1984" i="5" a="1"/>
  <c r="N1810" i="5" a="1"/>
  <c r="N1618" i="5" a="1"/>
  <c r="L1823" i="5" a="1"/>
  <c r="K1787" i="5" a="1"/>
  <c r="J1751" i="5" a="1"/>
  <c r="N1863" i="5" a="1"/>
  <c r="J1818" i="5" a="1"/>
  <c r="H1773" i="5" a="1"/>
  <c r="L1876" i="5" a="1"/>
  <c r="L1912" i="5" a="1"/>
  <c r="L1948" i="5" a="1"/>
  <c r="J1762" i="5" a="1"/>
  <c r="B1904" i="5" a="1"/>
  <c r="J1782" i="5" a="1"/>
  <c r="B1609" i="5" a="1"/>
  <c r="H1833" i="5" a="1"/>
  <c r="L1885" i="5" a="1"/>
  <c r="B1934" i="5" a="1"/>
  <c r="I1932" i="5" a="1"/>
  <c r="N1916" i="5" a="1"/>
  <c r="J1955" i="5" a="1"/>
  <c r="L1895" i="5" a="1"/>
  <c r="K1901" i="5" a="1"/>
  <c r="H1882" i="5" a="1"/>
  <c r="L1993" i="5" a="1"/>
  <c r="J1907" i="5" a="1"/>
  <c r="B1750" i="5" a="1"/>
  <c r="M1963" i="5" a="1"/>
  <c r="I1870" i="5" a="1"/>
  <c r="J1969" i="5" a="1"/>
  <c r="K1913" i="5" a="1"/>
  <c r="I2000" i="5" a="1"/>
  <c r="E1925" i="5" a="1"/>
  <c r="B1962" i="5" a="1"/>
  <c r="B1906" i="5" a="1"/>
  <c r="K1948" i="5" a="1"/>
  <c r="J1923" i="5" a="1"/>
  <c r="M1890" i="5" a="1"/>
  <c r="L1820" i="5" a="1"/>
  <c r="J1960" i="5" a="1"/>
  <c r="B1918" i="5" a="1"/>
  <c r="K1661" i="5" a="1"/>
  <c r="L1962" i="5" a="1"/>
  <c r="N1904" i="5" a="1"/>
  <c r="L1793" i="5" a="1"/>
  <c r="I1993" i="5" a="1"/>
  <c r="K1988" i="5" a="1"/>
  <c r="B1998" i="5" a="1"/>
  <c r="B1985" i="5" a="1"/>
  <c r="H1891" i="5" a="1"/>
  <c r="M1912" i="5" a="1"/>
  <c r="I1943" i="5" a="1"/>
  <c r="B582" i="2" a="1"/>
  <c r="B1642" i="2" a="1"/>
  <c r="B1524" i="2" a="1"/>
  <c r="B1355" i="2" a="1"/>
  <c r="B971" i="2" a="1"/>
  <c r="B644" i="2" a="1"/>
  <c r="B1150" i="2" a="1"/>
  <c r="B1479" i="2" a="1"/>
  <c r="B233" i="2" a="1"/>
  <c r="B2152" i="2" a="1"/>
  <c r="B1154" i="2" a="1"/>
  <c r="B337" i="2" a="1"/>
  <c r="B489" i="2" a="1"/>
  <c r="B146" i="2" a="1"/>
  <c r="B617" i="2" a="1"/>
  <c r="B1860" i="2" a="1"/>
  <c r="B779" i="2" a="1"/>
  <c r="B1200" i="2" a="1"/>
  <c r="B1868" i="2" a="1"/>
  <c r="B263" i="2" a="1"/>
  <c r="B2182" i="2" a="1"/>
  <c r="B1291" i="2" a="1"/>
  <c r="B594" i="2" a="1"/>
  <c r="B531" i="2" a="1"/>
  <c r="B296" i="2" a="1"/>
  <c r="B675" i="2" a="1"/>
  <c r="B1306" i="2" a="1"/>
  <c r="B205" i="2" a="1"/>
  <c r="B1179" i="2" a="1"/>
  <c r="B783" i="2" a="1"/>
  <c r="B49" i="2" a="1"/>
  <c r="B313" i="2" a="1"/>
  <c r="B2232" i="2" a="1"/>
  <c r="B702" i="2" a="1"/>
  <c r="B1762" i="2" a="1"/>
  <c r="B232" i="2" a="1"/>
  <c r="B1015" i="2" a="1"/>
  <c r="B157" i="2" a="1"/>
  <c r="B1683" i="2" a="1"/>
  <c r="B15" i="2" a="1"/>
  <c r="B778" i="2" a="1"/>
  <c r="B1574" i="2" a="1"/>
  <c r="B1665" i="2" a="1"/>
  <c r="M1003" i="5" a="1"/>
  <c r="I1323" i="5" a="1"/>
  <c r="L1324" i="5" a="1"/>
  <c r="I1442" i="5" a="1"/>
  <c r="H1475" i="5" a="1"/>
  <c r="N1325" i="5" a="1"/>
  <c r="I1475" i="5" a="1"/>
  <c r="N1266" i="5" a="1"/>
  <c r="K1657" i="5" a="1"/>
  <c r="M1646" i="5" a="1"/>
  <c r="B1661" i="5" a="1"/>
  <c r="K1547" i="5" a="1"/>
  <c r="N1622" i="5" a="1"/>
  <c r="N1282" i="5" a="1"/>
  <c r="K1380" i="5" a="1"/>
  <c r="N1573" i="5" a="1"/>
  <c r="L1643" i="5" a="1"/>
  <c r="L1489" i="5" a="1"/>
  <c r="I1474" i="5" a="1"/>
  <c r="I1542" i="5" a="1"/>
  <c r="K1399" i="5" a="1"/>
  <c r="J1451" i="5" a="1"/>
  <c r="L1405" i="5" a="1"/>
  <c r="J1463" i="5" a="1"/>
  <c r="H1602" i="5" a="1"/>
  <c r="K1648" i="5" a="1"/>
  <c r="M1439" i="5" a="1"/>
  <c r="I1579" i="5" a="1"/>
  <c r="L1706" i="5" a="1"/>
  <c r="N1422" i="5" a="1"/>
  <c r="H1688" i="5" a="1"/>
  <c r="H1647" i="5" a="1"/>
  <c r="E1618" i="5" a="1"/>
  <c r="J1239" i="5" a="1"/>
  <c r="B1695" i="5" a="1"/>
  <c r="L1690" i="5" a="1"/>
  <c r="H1426" i="5" a="1"/>
  <c r="M1589" i="5" a="1"/>
  <c r="I1638" i="5" a="1"/>
  <c r="K1602" i="5" a="1"/>
  <c r="E1753" i="5" a="1"/>
  <c r="I1816" i="5" a="1"/>
  <c r="E1334" i="5" a="1"/>
  <c r="M1582" i="5" a="1"/>
  <c r="H1742" i="5" a="1"/>
  <c r="E1800" i="5" a="1"/>
  <c r="I1863" i="5" a="1"/>
  <c r="K1593" i="5" a="1"/>
  <c r="H1729" i="5" a="1"/>
  <c r="H1650" i="5" a="1"/>
  <c r="J1586" i="5" a="1"/>
  <c r="L1732" i="5" a="1"/>
  <c r="L1768" i="5" a="1"/>
  <c r="L1804" i="5" a="1"/>
  <c r="L1840" i="5" a="1"/>
  <c r="M1603" i="5" a="1"/>
  <c r="N1707" i="5" a="1"/>
  <c r="N1620" i="5" a="1"/>
  <c r="I1693" i="5" a="1"/>
  <c r="E1611" i="5" a="1"/>
  <c r="H1721" i="5" a="1"/>
  <c r="E1760" i="5" a="1"/>
  <c r="E1796" i="5" a="1"/>
  <c r="E1832" i="5" a="1"/>
  <c r="E1868" i="5" a="1"/>
  <c r="B1726" i="5" a="1"/>
  <c r="H1657" i="5" a="1"/>
  <c r="M1742" i="5" a="1"/>
  <c r="B1733" i="5" a="1"/>
  <c r="B1710" i="5" a="1"/>
  <c r="N1594" i="5" a="1"/>
  <c r="H1588" i="5" a="1"/>
  <c r="J1737" i="5" a="1"/>
  <c r="N1663" i="5" a="1"/>
  <c r="B1815" i="5" a="1"/>
  <c r="M1727" i="5" a="1"/>
  <c r="M1763" i="5" a="1"/>
  <c r="M1799" i="5" a="1"/>
  <c r="M1835" i="5" a="1"/>
  <c r="N1568" i="5" a="1"/>
  <c r="H1732" i="5" a="1"/>
  <c r="L1661" i="5" a="1"/>
  <c r="E1790" i="5" a="1"/>
  <c r="M1873" i="5" a="1"/>
  <c r="M1909" i="5" a="1"/>
  <c r="M1945" i="5" a="1"/>
  <c r="M1981" i="5" a="1"/>
  <c r="I1817" i="5" a="1"/>
  <c r="I1740" i="5" a="1"/>
  <c r="N1862" i="5" a="1"/>
  <c r="N1795" i="5" a="1"/>
  <c r="B1737" i="5" a="1"/>
  <c r="N1779" i="5" a="1"/>
  <c r="M1750" i="5" a="1"/>
  <c r="M1837" i="5" a="1"/>
  <c r="K1892" i="5" a="1"/>
  <c r="K1928" i="5" a="1"/>
  <c r="L1965" i="5" a="1"/>
  <c r="L1801" i="5" a="1"/>
  <c r="K1615" i="5" a="1"/>
  <c r="N1837" i="5" a="1"/>
  <c r="N1894" i="5" a="1"/>
  <c r="N1930" i="5" a="1"/>
  <c r="E1970" i="5" a="1"/>
  <c r="M1761" i="5" a="1"/>
  <c r="M1850" i="5" a="1"/>
  <c r="L1765" i="5" a="1"/>
  <c r="I1876" i="5" a="1"/>
  <c r="I1912" i="5" a="1"/>
  <c r="I1948" i="5" a="1"/>
  <c r="J1985" i="5" a="1"/>
  <c r="K1814" i="5" a="1"/>
  <c r="N1667" i="5" a="1"/>
  <c r="J1825" i="5" a="1"/>
  <c r="H1789" i="5" a="1"/>
  <c r="I1760" i="5" a="1"/>
  <c r="H1867" i="5" a="1"/>
  <c r="H1820" i="5" a="1"/>
  <c r="I1782" i="5" a="1"/>
  <c r="M1877" i="5" a="1"/>
  <c r="M1913" i="5" a="1"/>
  <c r="M1949" i="5" a="1"/>
  <c r="B1768" i="5" a="1"/>
  <c r="B1916" i="5" a="1"/>
  <c r="H1784" i="5" a="1"/>
  <c r="J1648" i="5" a="1"/>
  <c r="I1842" i="5" a="1"/>
  <c r="I1399" i="5" a="1"/>
  <c r="H1370" i="5" a="1"/>
  <c r="N1450" i="5" a="1"/>
  <c r="E1487" i="5" a="1"/>
  <c r="E1509" i="5" a="1"/>
  <c r="K1331" i="5" a="1"/>
  <c r="B1477" i="5" a="1"/>
  <c r="L1308" i="5" a="1"/>
  <c r="L1658" i="5" a="1"/>
  <c r="N1647" i="5" a="1"/>
  <c r="B1673" i="5" a="1"/>
  <c r="K1556" i="5" a="1"/>
  <c r="E1626" i="5" a="1"/>
  <c r="M1347" i="5" a="1"/>
  <c r="H1392" i="5" a="1"/>
  <c r="E1577" i="5" a="1"/>
  <c r="M1644" i="5" a="1"/>
  <c r="B1517" i="5" a="1"/>
  <c r="E1476" i="5" a="1"/>
  <c r="N1547" i="5" a="1"/>
  <c r="H1436" i="5" a="1"/>
  <c r="H1459" i="5" a="1"/>
  <c r="I1417" i="5" a="1"/>
  <c r="E1467" i="5" a="1"/>
  <c r="B1608" i="5" a="1"/>
  <c r="K1652" i="5" a="1"/>
  <c r="K1563" i="5" a="1"/>
  <c r="B1581" i="5" a="1"/>
  <c r="M1707" i="5" a="1"/>
  <c r="K1441" i="5" a="1"/>
  <c r="H1700" i="5" a="1"/>
  <c r="H1649" i="5" a="1"/>
  <c r="N1629" i="5" a="1"/>
  <c r="I1355" i="5" a="1"/>
  <c r="B1707" i="5" a="1"/>
  <c r="M1691" i="5" a="1"/>
  <c r="J1449" i="5" a="1"/>
  <c r="M1593" i="5" a="1"/>
  <c r="E1646" i="5" a="1"/>
  <c r="N1605" i="5" a="1"/>
  <c r="H1755" i="5" a="1"/>
  <c r="J1817" i="5" a="1"/>
  <c r="E1469" i="5" a="1"/>
  <c r="H1586" i="5" a="1"/>
  <c r="I1743" i="5" a="1"/>
  <c r="H1802" i="5" a="1"/>
  <c r="J1864" i="5" a="1"/>
  <c r="N1596" i="5" a="1"/>
  <c r="I1730" i="5" a="1"/>
  <c r="K1653" i="5" a="1"/>
  <c r="L1593" i="5" a="1"/>
  <c r="M1733" i="5" a="1"/>
  <c r="M1769" i="5" a="1"/>
  <c r="M1805" i="5" a="1"/>
  <c r="M1841" i="5" a="1"/>
  <c r="H1610" i="5" a="1"/>
  <c r="J1709" i="5" a="1"/>
  <c r="E1624" i="5" a="1"/>
  <c r="I1695" i="5" a="1"/>
  <c r="H1614" i="5" a="1"/>
  <c r="M1722" i="5" a="1"/>
  <c r="H1762" i="5" a="1"/>
  <c r="H1798" i="5" a="1"/>
  <c r="H1834" i="5" a="1"/>
  <c r="H1445" i="5" a="1"/>
  <c r="B1734" i="5" a="1"/>
  <c r="J1660" i="5" a="1"/>
  <c r="N1743" i="5" a="1"/>
  <c r="B1745" i="5" a="1"/>
  <c r="H1713" i="5" a="1"/>
  <c r="E1598" i="5" a="1"/>
  <c r="L1591" i="5" a="1"/>
  <c r="K1738" i="5" a="1"/>
  <c r="H1670" i="5" a="1"/>
  <c r="B1827" i="5" a="1"/>
  <c r="N1728" i="5" a="1"/>
  <c r="N1764" i="5" a="1"/>
  <c r="N1800" i="5" a="1"/>
  <c r="N1836" i="5" a="1"/>
  <c r="J1575" i="5" a="1"/>
  <c r="I1733" i="5" a="1"/>
  <c r="H1671" i="5" a="1"/>
  <c r="N1793" i="5" a="1"/>
  <c r="N1874" i="5" a="1"/>
  <c r="N1910" i="5" a="1"/>
  <c r="N1946" i="5" a="1"/>
  <c r="N1982" i="5" a="1"/>
  <c r="B1821" i="5" a="1"/>
  <c r="J1750" i="5" a="1"/>
  <c r="K1864" i="5" a="1"/>
  <c r="E1803" i="5" a="1"/>
  <c r="K1750" i="5" a="1"/>
  <c r="H1783" i="5" a="1"/>
  <c r="I1754" i="5" a="1"/>
  <c r="M1846" i="5" a="1"/>
  <c r="L1893" i="5" a="1"/>
  <c r="L1929" i="5" a="1"/>
  <c r="M1966" i="5" a="1"/>
  <c r="E1807" i="5" a="1"/>
  <c r="E1642" i="5" a="1"/>
  <c r="N1839" i="5" a="1"/>
  <c r="E1898" i="5" a="1"/>
  <c r="E1934" i="5" a="1"/>
  <c r="H1972" i="5" a="1"/>
  <c r="L1763" i="5" a="1"/>
  <c r="M1857" i="5" a="1"/>
  <c r="E1771" i="5" a="1"/>
  <c r="J1877" i="5" a="1"/>
  <c r="J1913" i="5" a="1"/>
  <c r="J1949" i="5" a="1"/>
  <c r="K1986" i="5" a="1"/>
  <c r="H1816" i="5" a="1"/>
  <c r="E1687" i="5" a="1"/>
  <c r="E1829" i="5" a="1"/>
  <c r="K1796" i="5" a="1"/>
  <c r="B1764" i="5" a="1"/>
  <c r="E1871" i="5" a="1"/>
  <c r="M1825" i="5" a="1"/>
  <c r="L1789" i="5" a="1"/>
  <c r="N1878" i="5" a="1"/>
  <c r="N1914" i="5" a="1"/>
  <c r="N1950" i="5" a="1"/>
  <c r="E1775" i="5" a="1"/>
  <c r="B1928" i="5" a="1"/>
  <c r="M1789" i="5" a="1"/>
  <c r="M1689" i="5" a="1"/>
  <c r="L1849" i="5" a="1"/>
  <c r="H1897" i="5" a="1"/>
  <c r="M1943" i="5" a="1"/>
  <c r="N1983" i="5" a="1"/>
  <c r="H1926" i="5" a="1"/>
  <c r="E1965" i="5" a="1"/>
  <c r="J1899" i="5" a="1"/>
  <c r="H1905" i="5" a="1"/>
  <c r="B1890" i="5" a="1"/>
  <c r="N1995" i="5" a="1"/>
  <c r="E1917" i="5" a="1"/>
  <c r="K1804" i="5" a="1"/>
  <c r="J1967" i="5" a="1"/>
  <c r="J1880" i="5" a="1"/>
  <c r="E1979" i="5" a="1"/>
  <c r="H1917" i="5" a="1"/>
  <c r="I1979" i="5" a="1"/>
  <c r="N1932" i="5" a="1"/>
  <c r="L1969" i="5" a="1"/>
  <c r="L1913" i="5" a="1"/>
  <c r="B1966" i="5" a="1"/>
  <c r="B1935" i="5" a="1"/>
  <c r="I1898" i="5" a="1"/>
  <c r="J1871" i="5" a="1"/>
  <c r="B1983" i="5" a="1"/>
  <c r="L1925" i="5" a="1"/>
  <c r="K1784" i="5" a="1"/>
  <c r="I1968" i="5" a="1"/>
  <c r="H1914" i="5" a="1"/>
  <c r="J1822" i="5" a="1"/>
  <c r="N1937" i="5" a="1"/>
  <c r="H1910" i="5" a="1"/>
  <c r="M1939" i="5" a="1"/>
  <c r="H1967" i="5" a="1"/>
  <c r="N1896" i="5" a="1"/>
  <c r="K1968" i="5" a="1"/>
  <c r="K1996" i="5" a="1"/>
  <c r="B203" i="2" a="1"/>
  <c r="B2122" i="2" a="1"/>
  <c r="B352" i="2" a="1"/>
  <c r="B1411" i="2" a="1"/>
  <c r="B796" i="2" a="1"/>
  <c r="B884" i="2" a="1"/>
  <c r="B2205" i="2" a="1"/>
  <c r="B840" i="2" a="1"/>
  <c r="B713" i="2" a="1"/>
  <c r="B1345" i="2" a="1"/>
  <c r="B1776" i="2" a="1"/>
  <c r="B1463" i="2" a="1"/>
  <c r="B1018" i="2" a="1"/>
  <c r="B1697" i="2" a="1"/>
  <c r="B729" i="2" a="1"/>
  <c r="B721" i="2" a="1"/>
  <c r="B975" i="2" a="1"/>
  <c r="B41" i="2" a="1"/>
  <c r="B981" i="2" a="1"/>
  <c r="B743" i="2" a="1"/>
  <c r="B1378" i="2" a="1"/>
  <c r="B2016" i="2" a="1"/>
  <c r="B1587" i="2" a="1"/>
  <c r="B1048" i="2" a="1"/>
  <c r="B1756" i="2" a="1"/>
  <c r="B547" i="2" a="1"/>
  <c r="B341" i="2" a="1"/>
  <c r="B685" i="2" a="1"/>
  <c r="B1319" i="2" a="1"/>
  <c r="B215" i="2" a="1"/>
  <c r="B1204" i="2" a="1"/>
  <c r="B793" i="2" a="1"/>
  <c r="B70" i="2" a="1"/>
  <c r="B323" i="2" a="1"/>
  <c r="B2242" i="2" a="1"/>
  <c r="B712" i="2" a="1"/>
  <c r="B1772" i="2" a="1"/>
  <c r="B1831" i="2" a="1"/>
  <c r="B1773" i="2" a="1"/>
  <c r="B495" i="2" a="1"/>
  <c r="B759" i="2" a="1"/>
  <c r="B1589" i="2" a="1"/>
  <c r="B932" i="2" a="1"/>
  <c r="E1408" i="5" a="1"/>
  <c r="M1375" i="5" a="1"/>
  <c r="K1459" i="5" a="1"/>
  <c r="H1489" i="5" a="1"/>
  <c r="H1511" i="5" a="1"/>
  <c r="H1424" i="5" a="1"/>
  <c r="B1604" i="5" a="1"/>
  <c r="J1475" i="5" a="1"/>
  <c r="M1341" i="5" a="1"/>
  <c r="E1675" i="5" a="1"/>
  <c r="N1233" i="5" a="1"/>
  <c r="I1569" i="5" a="1"/>
  <c r="H1628" i="5" a="1"/>
  <c r="L1370" i="5" a="1"/>
  <c r="N1420" i="5" a="1"/>
  <c r="I1580" i="5" a="1"/>
  <c r="N1645" i="5" a="1"/>
  <c r="J1536" i="5" a="1"/>
  <c r="B1478" i="5" a="1"/>
  <c r="M1549" i="5" a="1"/>
  <c r="M1464" i="5" a="1"/>
  <c r="H1461" i="5" a="1"/>
  <c r="J1437" i="5" a="1"/>
  <c r="H1471" i="5" a="1"/>
  <c r="N1644" i="5" a="1"/>
  <c r="H1658" i="5" a="1"/>
  <c r="K1565" i="5" a="1"/>
  <c r="E1587" i="5" a="1"/>
  <c r="E1712" i="5" a="1"/>
  <c r="K1453" i="5" a="1"/>
  <c r="I1701" i="5" a="1"/>
  <c r="B1657" i="5" a="1"/>
  <c r="B1634" i="5" a="1"/>
  <c r="B1434" i="5" a="1"/>
  <c r="I1523" i="5" a="1"/>
  <c r="N1692" i="5" a="1"/>
  <c r="I1455" i="5" a="1"/>
  <c r="N1595" i="5" a="1"/>
  <c r="M1649" i="5" a="1"/>
  <c r="I1671" i="5" a="1"/>
  <c r="I1756" i="5" a="1"/>
  <c r="K1818" i="5" a="1"/>
  <c r="B1569" i="5" a="1"/>
  <c r="L1589" i="5" a="1"/>
  <c r="N1748" i="5" a="1"/>
  <c r="I1803" i="5" a="1"/>
  <c r="K1865" i="5" a="1"/>
  <c r="E1600" i="5" a="1"/>
  <c r="J1731" i="5" a="1"/>
  <c r="E1656" i="5" a="1"/>
  <c r="L1603" i="5" a="1"/>
  <c r="N1734" i="5" a="1"/>
  <c r="N1770" i="5" a="1"/>
  <c r="N1806" i="5" a="1"/>
  <c r="N1842" i="5" a="1"/>
  <c r="K1613" i="5" a="1"/>
  <c r="N1712" i="5" a="1"/>
  <c r="I1627" i="5" a="1"/>
  <c r="N1698" i="5" a="1"/>
  <c r="K1617" i="5" a="1"/>
  <c r="I1727" i="5" a="1"/>
  <c r="I1763" i="5" a="1"/>
  <c r="I1799" i="5" a="1"/>
  <c r="I1835" i="5" a="1"/>
  <c r="H1506" i="5" a="1"/>
  <c r="B1746" i="5" a="1"/>
  <c r="K1663" i="5" a="1"/>
  <c r="E1747" i="5" a="1"/>
  <c r="M1389" i="5" a="1"/>
  <c r="L1716" i="5" a="1"/>
  <c r="J1611" i="5" a="1"/>
  <c r="B1605" i="5" a="1"/>
  <c r="L1739" i="5" a="1"/>
  <c r="M1676" i="5" a="1"/>
  <c r="B1839" i="5" a="1"/>
  <c r="E1732" i="5" a="1"/>
  <c r="E1768" i="5" a="1"/>
  <c r="E1804" i="5" a="1"/>
  <c r="E1840" i="5" a="1"/>
  <c r="E1582" i="5" a="1"/>
  <c r="J1734" i="5" a="1"/>
  <c r="K1674" i="5" a="1"/>
  <c r="K1795" i="5" a="1"/>
  <c r="E1878" i="5" a="1"/>
  <c r="E1914" i="5" a="1"/>
  <c r="E1950" i="5" a="1"/>
  <c r="E1986" i="5" a="1"/>
  <c r="L1824" i="5" a="1"/>
  <c r="B1756" i="5" a="1"/>
  <c r="J1869" i="5" a="1"/>
  <c r="B1805" i="5" a="1"/>
  <c r="I1752" i="5" a="1"/>
  <c r="N1786" i="5" a="1"/>
  <c r="E1758" i="5" a="1"/>
  <c r="I1850" i="5" a="1"/>
  <c r="M1894" i="5" a="1"/>
  <c r="M1930" i="5" a="1"/>
  <c r="N1967" i="5" a="1"/>
  <c r="K1810" i="5" a="1"/>
  <c r="L1701" i="5" a="1"/>
  <c r="H1843" i="5" a="1"/>
  <c r="H1900" i="5" a="1"/>
  <c r="H1936" i="5" a="1"/>
  <c r="I1973" i="5" a="1"/>
  <c r="J1765" i="5" a="1"/>
  <c r="L1859" i="5" a="1"/>
  <c r="K1774" i="5" a="1"/>
  <c r="K1878" i="5" a="1"/>
  <c r="K1914" i="5" a="1"/>
  <c r="K1950" i="5" a="1"/>
  <c r="L1987" i="5" a="1"/>
  <c r="J1834" i="5" a="1"/>
  <c r="L1708" i="5" a="1"/>
  <c r="L1832" i="5" a="1"/>
  <c r="L1805" i="5" a="1"/>
  <c r="N1765" i="5" a="1"/>
  <c r="I1563" i="5" a="1"/>
  <c r="M1834" i="5" a="1"/>
  <c r="E1795" i="5" a="1"/>
  <c r="E1882" i="5" a="1"/>
  <c r="E1918" i="5" a="1"/>
  <c r="E1954" i="5" a="1"/>
  <c r="N1778" i="5" a="1"/>
  <c r="B1940" i="5" a="1"/>
  <c r="M1798" i="5" a="1"/>
  <c r="M1697" i="5" a="1"/>
  <c r="E1855" i="5" a="1"/>
  <c r="E1901" i="5" a="1"/>
  <c r="L1947" i="5" a="1"/>
  <c r="H1987" i="5" a="1"/>
  <c r="L1945" i="5" a="1"/>
  <c r="E1967" i="5" a="1"/>
  <c r="H1907" i="5" a="1"/>
  <c r="I1907" i="5" a="1"/>
  <c r="M1895" i="5" a="1"/>
  <c r="E1999" i="5" a="1"/>
  <c r="E1919" i="5" a="1"/>
  <c r="L1811" i="5" a="1"/>
  <c r="I1971" i="5" a="1"/>
  <c r="J1884" i="5" a="1"/>
  <c r="N1980" i="5" a="1"/>
  <c r="I1919" i="5" a="1"/>
  <c r="J2000" i="5" a="1"/>
  <c r="M1934" i="5" a="1"/>
  <c r="J1989" i="5" a="1"/>
  <c r="M1915" i="5" a="1"/>
  <c r="B1728" i="5" a="1"/>
  <c r="B1937" i="5" a="1"/>
  <c r="J1900" i="5" a="1"/>
  <c r="I1875" i="5" a="1"/>
  <c r="M1984" i="5" a="1"/>
  <c r="M1927" i="5" a="1"/>
  <c r="I1848" i="5" a="1"/>
  <c r="H1970" i="5" a="1"/>
  <c r="H1918" i="5" a="1"/>
  <c r="M1849" i="5" a="1"/>
  <c r="B1978" i="5" a="1"/>
  <c r="E1924" i="5" a="1"/>
  <c r="M1960" i="5" a="1"/>
  <c r="K1980" i="5" a="1"/>
  <c r="B1905" i="5" a="1"/>
  <c r="L1974" i="5" a="1"/>
  <c r="H1883" i="5" a="1"/>
  <c r="B443" i="2" a="1"/>
  <c r="B566" i="2" a="1"/>
  <c r="B592" i="2" a="1"/>
  <c r="B1652" i="2" a="1"/>
  <c r="B1536" i="2" a="1"/>
  <c r="B1366" i="2" a="1"/>
  <c r="B986" i="2" a="1"/>
  <c r="B1930" i="2" a="1"/>
  <c r="B104" i="2" a="1"/>
  <c r="B421" i="2" a="1"/>
  <c r="B1272" i="2" a="1"/>
  <c r="B999" i="2" a="1"/>
  <c r="B1258" i="2" a="1"/>
  <c r="B2238" i="2" a="1"/>
  <c r="B1777" i="2" a="1"/>
  <c r="B1496" i="2" a="1"/>
  <c r="B1399" i="2" a="1"/>
  <c r="B1036" i="2" a="1"/>
  <c r="B2068" i="2" a="1"/>
  <c r="B134" i="2" a="1"/>
  <c r="B479" i="2" a="1"/>
  <c r="B1353" i="2" a="1"/>
  <c r="B1140" i="2" a="1"/>
  <c r="B20" i="2" a="1"/>
  <c r="B199" i="2" a="1"/>
  <c r="B67" i="2" a="1"/>
  <c r="B1147" i="2" a="1"/>
  <c r="B218" i="2" a="1"/>
  <c r="B1908" i="2" a="1"/>
  <c r="B455" i="2" a="1"/>
  <c r="B550" i="2" a="1"/>
  <c r="B184" i="2" a="1"/>
  <c r="B628" i="2" a="1"/>
  <c r="B563" i="2" a="1"/>
  <c r="B1003" i="2" a="1"/>
  <c r="B93" i="2" a="1"/>
  <c r="B2012" i="2" a="1"/>
  <c r="B329" i="2" a="1"/>
  <c r="B994" i="2" a="1"/>
  <c r="B735" i="2" a="1"/>
  <c r="B1493" i="2" a="1"/>
  <c r="B2187" i="2" a="1"/>
  <c r="B1689" i="2" a="1"/>
  <c r="N1343" i="5" a="1"/>
  <c r="H1430" i="5" a="1"/>
  <c r="N1510" i="5" a="1"/>
  <c r="M1542" i="5" a="1"/>
  <c r="E1545" i="5" a="1"/>
  <c r="K1216" i="5" a="1"/>
  <c r="B1664" i="5" a="1"/>
  <c r="J1512" i="5" a="1"/>
  <c r="I1397" i="5" a="1"/>
  <c r="J1222" i="5" a="1"/>
  <c r="K1293" i="5" a="1"/>
  <c r="J1570" i="5" a="1"/>
  <c r="I1629" i="5" a="1"/>
  <c r="N1397" i="5" a="1"/>
  <c r="N1440" i="5" a="1"/>
  <c r="J1581" i="5" a="1"/>
  <c r="E1649" i="5" a="1"/>
  <c r="H1544" i="5" a="1"/>
  <c r="B1513" i="5" a="1"/>
  <c r="M1551" i="5" a="1"/>
  <c r="M1466" i="5" a="1"/>
  <c r="B1469" i="5" a="1"/>
  <c r="N1441" i="5" a="1"/>
  <c r="H1473" i="5" a="1"/>
  <c r="J1646" i="5" a="1"/>
  <c r="H1660" i="5" a="1"/>
  <c r="K1567" i="5" a="1"/>
  <c r="E1608" i="5" a="1"/>
  <c r="H1714" i="5" a="1"/>
  <c r="J1484" i="5" a="1"/>
  <c r="J1702" i="5" a="1"/>
  <c r="L1660" i="5" a="1"/>
  <c r="B1653" i="5" a="1"/>
  <c r="M1454" i="5" a="1"/>
  <c r="I1562" i="5" a="1"/>
  <c r="J1700" i="5" a="1"/>
  <c r="I1486" i="5" a="1"/>
  <c r="J1601" i="5" a="1"/>
  <c r="M1653" i="5" a="1"/>
  <c r="J1687" i="5" a="1"/>
  <c r="M1760" i="5" a="1"/>
  <c r="L1819" i="5" a="1"/>
  <c r="N1572" i="5" a="1"/>
  <c r="E1596" i="5" a="1"/>
  <c r="I1755" i="5" a="1"/>
  <c r="M1807" i="5" a="1"/>
  <c r="L1866" i="5" a="1"/>
  <c r="J1603" i="5" a="1"/>
  <c r="K1732" i="5" a="1"/>
  <c r="J1659" i="5" a="1"/>
  <c r="J1613" i="5" a="1"/>
  <c r="E1738" i="5" a="1"/>
  <c r="E1774" i="5" a="1"/>
  <c r="E1810" i="5" a="1"/>
  <c r="E1846" i="5" a="1"/>
  <c r="M1630" i="5" a="1"/>
  <c r="B1718" i="5" a="1"/>
  <c r="E1634" i="5" a="1"/>
  <c r="H1704" i="5" a="1"/>
  <c r="J1624" i="5" a="1"/>
  <c r="J1728" i="5" a="1"/>
  <c r="J1764" i="5" a="1"/>
  <c r="J1800" i="5" a="1"/>
  <c r="J1836" i="5" a="1"/>
  <c r="B1537" i="5" a="1"/>
  <c r="B1758" i="5" a="1"/>
  <c r="K1684" i="5" a="1"/>
  <c r="H1561" i="5" a="1"/>
  <c r="I1429" i="5" a="1"/>
  <c r="H1718" i="5" a="1"/>
  <c r="H1621" i="5" a="1"/>
  <c r="B1622" i="5" a="1"/>
  <c r="M1740" i="5" a="1"/>
  <c r="J1679" i="5" a="1"/>
  <c r="B1851" i="5" a="1"/>
  <c r="H1734" i="5" a="1"/>
  <c r="H1770" i="5" a="1"/>
  <c r="H1806" i="5" a="1"/>
  <c r="H1842" i="5" a="1"/>
  <c r="B1586" i="5" a="1"/>
  <c r="K1735" i="5" a="1"/>
  <c r="B1680" i="5" a="1"/>
  <c r="I1797" i="5" a="1"/>
  <c r="H1880" i="5" a="1"/>
  <c r="H1916" i="5" a="1"/>
  <c r="H1952" i="5" a="1"/>
  <c r="H1988" i="5" a="1"/>
  <c r="L1833" i="5" a="1"/>
  <c r="E1763" i="5" a="1"/>
  <c r="K1870" i="5" a="1"/>
  <c r="M1806" i="5" a="1"/>
  <c r="H1763" i="5" a="1"/>
  <c r="K1790" i="5" a="1"/>
  <c r="N1759" i="5" a="1"/>
  <c r="E1854" i="5" a="1"/>
  <c r="N1895" i="5" a="1"/>
  <c r="N1931" i="5" a="1"/>
  <c r="E1971" i="5" a="1"/>
  <c r="I1812" i="5" a="1"/>
  <c r="H1720" i="5" a="1"/>
  <c r="N1846" i="5" a="1"/>
  <c r="I1901" i="5" a="1"/>
  <c r="I1937" i="5" a="1"/>
  <c r="J1974" i="5" a="1"/>
  <c r="E1769" i="5" a="1"/>
  <c r="J1861" i="5" a="1"/>
  <c r="I1776" i="5" a="1"/>
  <c r="L1879" i="5" a="1"/>
  <c r="L1915" i="5" a="1"/>
  <c r="L1951" i="5" a="1"/>
  <c r="M1988" i="5" a="1"/>
  <c r="B1840" i="5" a="1"/>
  <c r="M1726" i="5" a="1"/>
  <c r="E1838" i="5" a="1"/>
  <c r="J1807" i="5" a="1"/>
  <c r="N1767" i="5" a="1"/>
  <c r="E1658" i="5" a="1"/>
  <c r="I1838" i="5" a="1"/>
  <c r="K1798" i="5" a="1"/>
  <c r="H1884" i="5" a="1"/>
  <c r="H1920" i="5" a="1"/>
  <c r="H1956" i="5" a="1"/>
  <c r="K1780" i="5" a="1"/>
  <c r="B1952" i="5" a="1"/>
  <c r="I1802" i="5" a="1"/>
  <c r="E1717" i="5" a="1"/>
  <c r="K1858" i="5" a="1"/>
  <c r="E1347" i="5" a="1"/>
  <c r="I1431" i="5" a="1"/>
  <c r="E1514" i="5" a="1"/>
  <c r="N1543" i="5" a="1"/>
  <c r="H1547" i="5" a="1"/>
  <c r="L1243" i="5" a="1"/>
  <c r="B1676" i="5" a="1"/>
  <c r="H1522" i="5" a="1"/>
  <c r="N1434" i="5" a="1"/>
  <c r="I1245" i="5" a="1"/>
  <c r="N1314" i="5" a="1"/>
  <c r="K1571" i="5" a="1"/>
  <c r="I1641" i="5" a="1"/>
  <c r="J1403" i="5" a="1"/>
  <c r="N1448" i="5" a="1"/>
  <c r="K1582" i="5" a="1"/>
  <c r="I1652" i="5" a="1"/>
  <c r="B1563" i="5" a="1"/>
  <c r="E1517" i="5" a="1"/>
  <c r="H1553" i="5" a="1"/>
  <c r="N1468" i="5" a="1"/>
  <c r="E1508" i="5" a="1"/>
  <c r="B1446" i="5" a="1"/>
  <c r="B1481" i="5" a="1"/>
  <c r="J1650" i="5" a="1"/>
  <c r="J1681" i="5" a="1"/>
  <c r="K1569" i="5" a="1"/>
  <c r="B1614" i="5" a="1"/>
  <c r="I1715" i="5" a="1"/>
  <c r="H1502" i="5" a="1"/>
  <c r="K1703" i="5" a="1"/>
  <c r="B1696" i="5" a="1"/>
  <c r="E1659" i="5" a="1"/>
  <c r="N1472" i="5" a="1"/>
  <c r="I1564" i="5" a="1"/>
  <c r="K1701" i="5" a="1"/>
  <c r="E1492" i="5" a="1"/>
  <c r="N1614" i="5" a="1"/>
  <c r="N1655" i="5" a="1"/>
  <c r="B1691" i="5" a="1"/>
  <c r="N1761" i="5" a="1"/>
  <c r="M1820" i="5" a="1"/>
  <c r="N1592" i="5" a="1"/>
  <c r="I1603" i="5" a="1"/>
  <c r="J1756" i="5" a="1"/>
  <c r="N1808" i="5" a="1"/>
  <c r="M1867" i="5" a="1"/>
  <c r="L1606" i="5" a="1"/>
  <c r="L1733" i="5" a="1"/>
  <c r="J1662" i="5" a="1"/>
  <c r="B1617" i="5" a="1"/>
  <c r="H1740" i="5" a="1"/>
  <c r="H1776" i="5" a="1"/>
  <c r="H1812" i="5" a="1"/>
  <c r="H1848" i="5" a="1"/>
  <c r="J1640" i="5" a="1"/>
  <c r="B1736" i="5" a="1"/>
  <c r="B1644" i="5" a="1"/>
  <c r="K1709" i="5" a="1"/>
  <c r="L1627" i="5" a="1"/>
  <c r="K1729" i="5" a="1"/>
  <c r="K1765" i="5" a="1"/>
  <c r="K1801" i="5" a="1"/>
  <c r="K1837" i="5" a="1"/>
  <c r="I1567" i="5" a="1"/>
  <c r="B1770" i="5" a="1"/>
  <c r="J1686" i="5" a="1"/>
  <c r="L1567" i="5" a="1"/>
  <c r="B1525" i="5" a="1"/>
  <c r="J1721" i="5" a="1"/>
  <c r="M1631" i="5" a="1"/>
  <c r="K1628" i="5" a="1"/>
  <c r="N1741" i="5" a="1"/>
  <c r="H1681" i="5" a="1"/>
  <c r="B1863" i="5" a="1"/>
  <c r="I1735" i="5" a="1"/>
  <c r="I1771" i="5" a="1"/>
  <c r="I1807" i="5" a="1"/>
  <c r="I1843" i="5" a="1"/>
  <c r="J1592" i="5" a="1"/>
  <c r="L1736" i="5" a="1"/>
  <c r="B1682" i="5" a="1"/>
  <c r="B1801" i="5" a="1"/>
  <c r="I1881" i="5" a="1"/>
  <c r="I1917" i="5" a="1"/>
  <c r="I1953" i="5" a="1"/>
  <c r="I1989" i="5" a="1"/>
  <c r="K1835" i="5" a="1"/>
  <c r="N1766" i="5" a="1"/>
  <c r="J1555" i="5" a="1"/>
  <c r="I1810" i="5" a="1"/>
  <c r="M1768" i="5" a="1"/>
  <c r="H1792" i="5" a="1"/>
  <c r="E1767" i="5" a="1"/>
  <c r="N1855" i="5" a="1"/>
  <c r="E1899" i="5" a="1"/>
  <c r="E1935" i="5" a="1"/>
  <c r="H1973" i="5" a="1"/>
  <c r="H1823" i="5" a="1"/>
  <c r="N1733" i="5" a="1"/>
  <c r="K1850" i="5" a="1"/>
  <c r="J1902" i="5" a="1"/>
  <c r="J1938" i="5" a="1"/>
  <c r="K1975" i="5" a="1"/>
  <c r="L1772" i="5" a="1"/>
  <c r="E1865" i="5" a="1"/>
  <c r="H1787" i="5" a="1"/>
  <c r="M1880" i="5" a="1"/>
  <c r="M1916" i="5" a="1"/>
  <c r="N1953" i="5" a="1"/>
  <c r="N1989" i="5" a="1"/>
  <c r="E1847" i="5" a="1"/>
  <c r="K1730" i="5" a="1"/>
  <c r="N1841" i="5" a="1"/>
  <c r="H1809" i="5" a="1"/>
  <c r="H1771" i="5" a="1"/>
  <c r="M1721" i="5" a="1"/>
  <c r="E1842" i="5" a="1"/>
  <c r="I1800" i="5" a="1"/>
  <c r="I1885" i="5" a="1"/>
  <c r="I1921" i="5" a="1"/>
  <c r="I1957" i="5" a="1"/>
  <c r="B1786" i="5" a="1"/>
  <c r="B1964" i="5" a="1"/>
  <c r="E1806" i="5" a="1"/>
  <c r="L1722" i="5" a="1"/>
  <c r="I1860" i="5" a="1"/>
  <c r="K1424" i="5" a="1"/>
  <c r="M1265" i="5" a="1"/>
  <c r="M1056" i="5" a="1"/>
  <c r="H1354" i="5" a="1"/>
  <c r="H1306" i="5" a="1"/>
  <c r="H1249" i="5" a="1"/>
  <c r="B1072" i="5" a="1"/>
  <c r="B1528" i="5" a="1"/>
  <c r="K1440" i="5" a="1"/>
  <c r="H1320" i="5" a="1"/>
  <c r="H1353" i="5" a="1"/>
  <c r="L1572" i="5" a="1"/>
  <c r="J1642" i="5" a="1"/>
  <c r="M1420" i="5" a="1"/>
  <c r="L1450" i="5" a="1"/>
  <c r="E1589" i="5" a="1"/>
  <c r="J1653" i="5" a="1"/>
  <c r="B1575" i="5" a="1"/>
  <c r="B1531" i="5" a="1"/>
  <c r="K1366" i="5" a="1"/>
  <c r="L1470" i="5" a="1"/>
  <c r="L1513" i="5" a="1"/>
  <c r="L1449" i="5" a="1"/>
  <c r="H1510" i="5" a="1"/>
  <c r="E1654" i="5" a="1"/>
  <c r="K1682" i="5" a="1"/>
  <c r="H1575" i="5" a="1"/>
  <c r="N1615" i="5" a="1"/>
  <c r="M1719" i="5" a="1"/>
  <c r="N1528" i="5" a="1"/>
  <c r="L1704" i="5" a="1"/>
  <c r="B1708" i="5" a="1"/>
  <c r="M1666" i="5" a="1"/>
  <c r="M1478" i="5" a="1"/>
  <c r="I1566" i="5" a="1"/>
  <c r="L1702" i="5" a="1"/>
  <c r="H1542" i="5" a="1"/>
  <c r="K1345" i="5" a="1"/>
  <c r="J1661" i="5" a="1"/>
  <c r="J1696" i="5" a="1"/>
  <c r="E1765" i="5" a="1"/>
  <c r="N1821" i="5" a="1"/>
  <c r="B1633" i="5" a="1"/>
  <c r="E1606" i="5" a="1"/>
  <c r="K1757" i="5" a="1"/>
  <c r="E1812" i="5" a="1"/>
  <c r="E1457" i="5" a="1"/>
  <c r="B1610" i="5" a="1"/>
  <c r="M1734" i="5" a="1"/>
  <c r="L1665" i="5" a="1"/>
  <c r="H1620" i="5" a="1"/>
  <c r="I1741" i="5" a="1"/>
  <c r="I1777" i="5" a="1"/>
  <c r="I1813" i="5" a="1"/>
  <c r="I1849" i="5" a="1"/>
  <c r="E1647" i="5" a="1"/>
  <c r="B1748" i="5" a="1"/>
  <c r="I1405" i="5" a="1"/>
  <c r="J1711" i="5" a="1"/>
  <c r="I1637" i="5" a="1"/>
  <c r="L1730" i="5" a="1"/>
  <c r="L1766" i="5" a="1"/>
  <c r="L1802" i="5" a="1"/>
  <c r="L1838" i="5" a="1"/>
  <c r="I1577" i="5" a="1"/>
  <c r="B1782" i="5" a="1"/>
  <c r="B1690" i="5" a="1"/>
  <c r="H1574" i="5" a="1"/>
  <c r="M1567" i="5" a="1"/>
  <c r="E1723" i="5" a="1"/>
  <c r="H1638" i="5" a="1"/>
  <c r="M1641" i="5" a="1"/>
  <c r="E1745" i="5" a="1"/>
  <c r="B1685" i="5" a="1"/>
  <c r="N1480" i="5" a="1"/>
  <c r="J1736" i="5" a="1"/>
  <c r="J1772" i="5" a="1"/>
  <c r="J1808" i="5" a="1"/>
  <c r="J1844" i="5" a="1"/>
  <c r="H1599" i="5" a="1"/>
  <c r="M1737" i="5" a="1"/>
  <c r="K1683" i="5" a="1"/>
  <c r="J1806" i="5" a="1"/>
  <c r="J1882" i="5" a="1"/>
  <c r="J1918" i="5" a="1"/>
  <c r="J1954" i="5" a="1"/>
  <c r="J1990" i="5" a="1"/>
  <c r="H1837" i="5" a="1"/>
  <c r="K1768" i="5" a="1"/>
  <c r="N1571" i="5" a="1"/>
  <c r="B1814" i="5" a="1"/>
  <c r="L1779" i="5" a="1"/>
  <c r="J1810" i="5" a="1"/>
  <c r="B1769" i="5" a="1"/>
  <c r="E1863" i="5" a="1"/>
  <c r="H1901" i="5" a="1"/>
  <c r="H1937" i="5" a="1"/>
  <c r="I1974" i="5" a="1"/>
  <c r="M1828" i="5" a="1"/>
  <c r="L1737" i="5" a="1"/>
  <c r="H1852" i="5" a="1"/>
  <c r="K1903" i="5" a="1"/>
  <c r="K1939" i="5" a="1"/>
  <c r="L1976" i="5" a="1"/>
  <c r="E1778" i="5" a="1"/>
  <c r="B1872" i="5" a="1"/>
  <c r="M1792" i="5" a="1"/>
  <c r="N1881" i="5" a="1"/>
  <c r="N1917" i="5" a="1"/>
  <c r="E1957" i="5" a="1"/>
  <c r="I1694" i="5" a="1"/>
  <c r="N1850" i="5" a="1"/>
  <c r="I1749" i="5" a="1"/>
  <c r="K1843" i="5" a="1"/>
  <c r="I1818" i="5" a="1"/>
  <c r="N1774" i="5" a="1"/>
  <c r="E1755" i="5" a="1"/>
  <c r="N1843" i="5" a="1"/>
  <c r="H1811" i="5" a="1"/>
  <c r="J1886" i="5" a="1"/>
  <c r="J1922" i="5" a="1"/>
  <c r="J1958" i="5" a="1"/>
  <c r="N1787" i="5" a="1"/>
  <c r="B1976" i="5" a="1"/>
  <c r="N1807" i="5" a="1"/>
  <c r="N1727" i="5" a="1"/>
  <c r="E1869" i="5" a="1"/>
  <c r="H1433" i="5" a="1"/>
  <c r="E1275" i="5" a="1"/>
  <c r="L1235" i="5" a="1"/>
  <c r="N1357" i="5" a="1"/>
  <c r="N1309" i="5" a="1"/>
  <c r="J1368" i="5" a="1"/>
  <c r="J1473" i="5" a="1"/>
  <c r="B1302" i="5" a="1"/>
  <c r="B1526" i="5" a="1"/>
  <c r="N1358" i="5" a="1"/>
  <c r="B1365" i="5" a="1"/>
  <c r="M1573" i="5" a="1"/>
  <c r="K1643" i="5" a="1"/>
  <c r="K1489" i="5" a="1"/>
  <c r="L1454" i="5" a="1"/>
  <c r="H1591" i="5" a="1"/>
  <c r="K1654" i="5" a="1"/>
  <c r="B1599" i="5" a="1"/>
  <c r="K1536" i="5" a="1"/>
  <c r="E1388" i="5" a="1"/>
  <c r="K1472" i="5" a="1"/>
  <c r="M1515" i="5" a="1"/>
  <c r="N1484" i="5" a="1"/>
  <c r="B1516" i="5" a="1"/>
  <c r="N1665" i="5" a="1"/>
  <c r="L1683" i="5" a="1"/>
  <c r="I1600" i="5" a="1"/>
  <c r="K1623" i="5" a="1"/>
  <c r="N1720" i="5" a="1"/>
  <c r="K1534" i="5" a="1"/>
  <c r="N1706" i="5" a="1"/>
  <c r="B1720" i="5" a="1"/>
  <c r="J1672" i="5" a="1"/>
  <c r="M1490" i="5" a="1"/>
  <c r="E1574" i="5" a="1"/>
  <c r="M1703" i="5" a="1"/>
  <c r="E1548" i="5" a="1"/>
  <c r="N1456" i="5" a="1"/>
  <c r="I1684" i="5" a="1"/>
  <c r="I1698" i="5" a="1"/>
  <c r="H1767" i="5" a="1"/>
  <c r="E1825" i="5" a="1"/>
  <c r="M1642" i="5" a="1"/>
  <c r="L1649" i="5" a="1"/>
  <c r="L1758" i="5" a="1"/>
  <c r="H1814" i="5" a="1"/>
  <c r="M1486" i="5" a="1"/>
  <c r="I1613" i="5" a="1"/>
  <c r="N1735" i="5" a="1"/>
  <c r="I1675" i="5" a="1"/>
  <c r="N1626" i="5" a="1"/>
  <c r="J1742" i="5" a="1"/>
  <c r="J1778" i="5" a="1"/>
  <c r="J1814" i="5" a="1"/>
  <c r="J1850" i="5" a="1"/>
  <c r="I1650" i="5" a="1"/>
  <c r="B1760" i="5" a="1"/>
  <c r="M1474" i="5" a="1"/>
  <c r="H1724" i="5" a="1"/>
  <c r="E1644" i="5" a="1"/>
  <c r="M1731" i="5" a="1"/>
  <c r="M1767" i="5" a="1"/>
  <c r="M1803" i="5" a="1"/>
  <c r="M1839" i="5" a="1"/>
  <c r="L1580" i="5" a="1"/>
  <c r="B1794" i="5" a="1"/>
  <c r="I1697" i="5" a="1"/>
  <c r="J1577" i="5" a="1"/>
  <c r="B1578" i="5" a="1"/>
  <c r="E1726" i="5" a="1"/>
  <c r="M1654" i="5" a="1"/>
  <c r="H1648" i="5" a="1"/>
  <c r="H1747" i="5" a="1"/>
  <c r="M1686" i="5" a="1"/>
  <c r="J1578" i="5" a="1"/>
  <c r="K1737" i="5" a="1"/>
  <c r="K1773" i="5" a="1"/>
  <c r="K1809" i="5" a="1"/>
  <c r="K1845" i="5" a="1"/>
  <c r="J1602" i="5" a="1"/>
  <c r="N1738" i="5" a="1"/>
  <c r="B1689" i="5" a="1"/>
  <c r="H1808" i="5" a="1"/>
  <c r="K1883" i="5" a="1"/>
  <c r="K1919" i="5" a="1"/>
  <c r="K1955" i="5" a="1"/>
  <c r="K1991" i="5" a="1"/>
  <c r="K1844" i="5" a="1"/>
  <c r="B1774" i="5" a="1"/>
  <c r="E1585" i="5" a="1"/>
  <c r="E1821" i="5" a="1"/>
  <c r="I1781" i="5" a="1"/>
  <c r="B1816" i="5" a="1"/>
  <c r="M1770" i="5" a="1"/>
  <c r="B1865" i="5" a="1"/>
  <c r="I1902" i="5" a="1"/>
  <c r="I1938" i="5" a="1"/>
  <c r="J1975" i="5" a="1"/>
  <c r="L1839" i="5" a="1"/>
  <c r="J1741" i="5" a="1"/>
  <c r="K1868" i="5" a="1"/>
  <c r="L1904" i="5" a="1"/>
  <c r="L1940" i="5" a="1"/>
  <c r="M1977" i="5" a="1"/>
  <c r="N1781" i="5" a="1"/>
  <c r="B1884" i="5" a="1"/>
  <c r="L1803" i="5" a="1"/>
  <c r="E1885" i="5" a="1"/>
  <c r="E1921" i="5" a="1"/>
  <c r="H1959" i="5" a="1"/>
  <c r="J1720" i="5" a="1"/>
  <c r="K1852" i="5" a="1"/>
  <c r="B1753" i="5" a="1"/>
  <c r="I1845" i="5" a="1"/>
  <c r="L1825" i="5" a="1"/>
  <c r="K1778" i="5" a="1"/>
  <c r="B1757" i="5" a="1"/>
  <c r="E1851" i="5" a="1"/>
  <c r="M1816" i="5" a="1"/>
  <c r="K1887" i="5" a="1"/>
  <c r="K1923" i="5" a="1"/>
  <c r="K1959" i="5" a="1"/>
  <c r="J1791" i="5" a="1"/>
  <c r="B1988" i="5" a="1"/>
  <c r="E1815" i="5" a="1"/>
  <c r="H1739" i="5" a="1"/>
  <c r="B1879" i="5" a="1"/>
  <c r="I1285" i="5" a="1"/>
  <c r="I1229" i="5" a="1"/>
  <c r="B1476" i="5" a="1"/>
  <c r="H1290" i="5" a="1"/>
  <c r="J1410" i="5" a="1"/>
  <c r="K1391" i="5" a="1"/>
  <c r="J1504" i="5" a="1"/>
  <c r="K1407" i="5" a="1"/>
  <c r="M1256" i="5" a="1"/>
  <c r="L1364" i="5" a="1"/>
  <c r="K1370" i="5" a="1"/>
  <c r="E1578" i="5" a="1"/>
  <c r="L1644" i="5" a="1"/>
  <c r="I1491" i="5" a="1"/>
  <c r="J1456" i="5" a="1"/>
  <c r="I1592" i="5" a="1"/>
  <c r="E1661" i="5" a="1"/>
  <c r="B1611" i="5" a="1"/>
  <c r="I1544" i="5" a="1"/>
  <c r="M1393" i="5" a="1"/>
  <c r="E1531" i="5" a="1"/>
  <c r="K1517" i="5" a="1"/>
  <c r="L1486" i="5" a="1"/>
  <c r="E1520" i="5" a="1"/>
  <c r="B1688" i="5" a="1"/>
  <c r="M1684" i="5" a="1"/>
  <c r="I1602" i="5" a="1"/>
  <c r="K1625" i="5" a="1"/>
  <c r="E1724" i="5" a="1"/>
  <c r="K1575" i="5" a="1"/>
  <c r="E1710" i="5" a="1"/>
  <c r="L1277" i="5" a="1"/>
  <c r="J1676" i="5" a="1"/>
  <c r="E1576" i="5" a="1"/>
  <c r="M1577" i="5" a="1"/>
  <c r="N1704" i="5" a="1"/>
  <c r="N1558" i="5" a="1"/>
  <c r="K1462" i="5" a="1"/>
  <c r="J1685" i="5" a="1"/>
  <c r="N1703" i="5" a="1"/>
  <c r="I1768" i="5" a="1"/>
  <c r="H1827" i="5" a="1"/>
  <c r="M1652" i="5" a="1"/>
  <c r="N1652" i="5" a="1"/>
  <c r="M1759" i="5" a="1"/>
  <c r="I1815" i="5" a="1"/>
  <c r="I1531" i="5" a="1"/>
  <c r="M1616" i="5" a="1"/>
  <c r="E1739" i="5" a="1"/>
  <c r="L1678" i="5" a="1"/>
  <c r="I1633" i="5" a="1"/>
  <c r="K1743" i="5" a="1"/>
  <c r="K1779" i="5" a="1"/>
  <c r="K1815" i="5" a="1"/>
  <c r="K1851" i="5" a="1"/>
  <c r="L1653" i="5" a="1"/>
  <c r="B1772" i="5" a="1"/>
  <c r="L1549" i="5" a="1"/>
  <c r="B1735" i="5" a="1"/>
  <c r="M1650" i="5" a="1"/>
  <c r="N1732" i="5" a="1"/>
  <c r="N1768" i="5" a="1"/>
  <c r="N1804" i="5" a="1"/>
  <c r="N1840" i="5" a="1"/>
  <c r="K1587" i="5" a="1"/>
  <c r="B1806" i="5" a="1"/>
  <c r="N1702" i="5" a="1"/>
  <c r="M1580" i="5" a="1"/>
  <c r="E1588" i="5" a="1"/>
  <c r="K1727" i="5" a="1"/>
  <c r="M1663" i="5" a="1"/>
  <c r="L1651" i="5" a="1"/>
  <c r="I1748" i="5" a="1"/>
  <c r="L1688" i="5" a="1"/>
  <c r="N1581" i="5" a="1"/>
  <c r="L1738" i="5" a="1"/>
  <c r="L1774" i="5" a="1"/>
  <c r="L1810" i="5" a="1"/>
  <c r="L1846" i="5" a="1"/>
  <c r="M1605" i="5" a="1"/>
  <c r="E1742" i="5" a="1"/>
  <c r="J1694" i="5" a="1"/>
  <c r="M1813" i="5" a="1"/>
  <c r="L1884" i="5" a="1"/>
  <c r="L1920" i="5" a="1"/>
  <c r="L1956" i="5" a="1"/>
  <c r="L1992" i="5" a="1"/>
  <c r="L1853" i="5" a="1"/>
  <c r="N1775" i="5" a="1"/>
  <c r="J1664" i="5" a="1"/>
  <c r="M1824" i="5" a="1"/>
  <c r="B1785" i="5" a="1"/>
  <c r="E1823" i="5" a="1"/>
  <c r="I1774" i="5" a="1"/>
  <c r="M1866" i="5" a="1"/>
  <c r="J1903" i="5" a="1"/>
  <c r="J1939" i="5" a="1"/>
  <c r="K1976" i="5" a="1"/>
  <c r="I1841" i="5" a="1"/>
  <c r="N1750" i="5" a="1"/>
  <c r="M1869" i="5" a="1"/>
  <c r="M1905" i="5" a="1"/>
  <c r="M1941" i="5" a="1"/>
  <c r="N1978" i="5" a="1"/>
  <c r="K1783" i="5" a="1"/>
  <c r="B1896" i="5" a="1"/>
  <c r="I1805" i="5" a="1"/>
  <c r="H1887" i="5" a="1"/>
  <c r="H1923" i="5" a="1"/>
  <c r="I1960" i="5" a="1"/>
  <c r="I1734" i="5" a="1"/>
  <c r="B1858" i="5" a="1"/>
  <c r="J1758" i="5" a="1"/>
  <c r="B1849" i="5" a="1"/>
  <c r="E1831" i="5" a="1"/>
  <c r="H1780" i="5" a="1"/>
  <c r="M1758" i="5" a="1"/>
  <c r="B1853" i="5" a="1"/>
  <c r="L1827" i="5" a="1"/>
  <c r="L1888" i="5" a="1"/>
  <c r="L1924" i="5" a="1"/>
  <c r="L1960" i="5" a="1"/>
  <c r="H1793" i="5" a="1"/>
  <c r="I1622" i="5" a="1"/>
  <c r="B1817" i="5" a="1"/>
  <c r="L1753" i="5" a="1"/>
  <c r="B1891" i="5" a="1"/>
  <c r="M1914" i="5" a="1"/>
  <c r="M1970" i="5" a="1"/>
  <c r="N1762" i="5" a="1"/>
  <c r="H1844" i="5" a="1"/>
  <c r="M1995" i="5" a="1"/>
  <c r="L1926" i="5" a="1"/>
  <c r="E1944" i="5" a="1"/>
  <c r="E1915" i="5" a="1"/>
  <c r="K1723" i="5" a="1"/>
  <c r="B1946" i="5" a="1"/>
  <c r="L1878" i="5" a="1"/>
  <c r="K1992" i="5" a="1"/>
  <c r="K1905" i="5" a="1"/>
  <c r="L1973" i="5" a="1"/>
  <c r="E1956" i="5" a="1"/>
  <c r="I1998" i="5" a="1"/>
  <c r="J1948" i="5" a="1"/>
  <c r="M1982" i="5" a="1"/>
  <c r="J1819" i="5" a="1"/>
  <c r="J1833" i="5" a="1"/>
  <c r="I1956" i="5" a="1"/>
  <c r="B1941" i="5" a="1"/>
  <c r="H1902" i="5" a="1"/>
  <c r="H1996" i="5" a="1"/>
  <c r="E1943" i="5" a="1"/>
  <c r="B1893" i="5" a="1"/>
  <c r="M1753" i="5" a="1"/>
  <c r="L1935" i="5" a="1"/>
  <c r="N1829" i="5" a="1"/>
  <c r="J1916" i="5" a="1"/>
  <c r="B1971" i="5" a="1"/>
  <c r="B1887" i="5" a="1"/>
  <c r="N1979" i="5" a="1"/>
  <c r="B1930" i="5" a="1"/>
  <c r="M1898" i="5" a="1"/>
  <c r="M2000" i="5" a="1"/>
  <c r="B595" i="2" a="1"/>
  <c r="B1163" i="2" a="1"/>
  <c r="B84" i="2" a="1"/>
  <c r="B367" i="2" a="1"/>
  <c r="B223" i="2" a="1"/>
  <c r="B2142" i="2" a="1"/>
  <c r="B1129" i="2" a="1"/>
  <c r="B166" i="2" a="1"/>
  <c r="B476" i="2" a="1"/>
  <c r="B119" i="2" a="1"/>
  <c r="B587" i="2" a="1"/>
  <c r="B1688" i="2" a="1"/>
  <c r="B728" i="2" a="1"/>
  <c r="B1182" i="2" a="1"/>
  <c r="B1799" i="2" a="1"/>
  <c r="B253" i="2" a="1"/>
  <c r="B2172" i="2" a="1"/>
  <c r="B1246" i="2" a="1"/>
  <c r="B429" i="2" a="1"/>
  <c r="B518" i="2" a="1"/>
  <c r="B249" i="2" a="1"/>
  <c r="B865" i="2" a="1"/>
  <c r="B500" i="2" a="1"/>
  <c r="B846" i="2" a="1"/>
  <c r="B1247" i="2" a="1"/>
  <c r="B758" i="2" a="1"/>
  <c r="B411" i="2" a="1"/>
  <c r="B490" i="2" a="1"/>
  <c r="B1363" i="2" a="1"/>
  <c r="B1078" i="2" a="1"/>
  <c r="B1838" i="2" a="1"/>
  <c r="B589" i="2" a="1"/>
  <c r="B410" i="2" a="1"/>
  <c r="B715" i="2" a="1"/>
  <c r="B1443" i="2" a="1"/>
  <c r="B245" i="2" a="1"/>
  <c r="B1283" i="2" a="1"/>
  <c r="B139" i="2" a="1"/>
  <c r="B1170" i="2" a="1"/>
  <c r="B219" i="2" a="1"/>
  <c r="B551" i="2" a="1"/>
  <c r="B2065" i="2" a="1"/>
  <c r="B12" i="2" a="1"/>
  <c r="N1290" i="5" a="1"/>
  <c r="I1231" i="5" a="1"/>
  <c r="B1488" i="5" a="1"/>
  <c r="H1295" i="5" a="1"/>
  <c r="I1416" i="5" a="1"/>
  <c r="K1393" i="5" a="1"/>
  <c r="I1506" i="5" a="1"/>
  <c r="H1413" i="5" a="1"/>
  <c r="H1292" i="5" a="1"/>
  <c r="I1380" i="5" a="1"/>
  <c r="I1425" i="5" a="1"/>
  <c r="H1580" i="5" a="1"/>
  <c r="M1645" i="5" a="1"/>
  <c r="H1493" i="5" a="1"/>
  <c r="L1487" i="5" a="1"/>
  <c r="J1593" i="5" a="1"/>
  <c r="H1663" i="5" a="1"/>
  <c r="B1623" i="5" a="1"/>
  <c r="E1102" i="5" a="1"/>
  <c r="J1426" i="5" a="1"/>
  <c r="M1534" i="5" a="1"/>
  <c r="J1519" i="5" a="1"/>
  <c r="L1490" i="5" a="1"/>
  <c r="J1531" i="5" a="1"/>
  <c r="B1700" i="5" a="1"/>
  <c r="N1685" i="5" a="1"/>
  <c r="E1610" i="5" a="1"/>
  <c r="L1652" i="5" a="1"/>
  <c r="H1726" i="5" a="1"/>
  <c r="K1577" i="5" a="1"/>
  <c r="H1712" i="5" a="1"/>
  <c r="E1297" i="5" a="1"/>
  <c r="K1690" i="5" a="1"/>
  <c r="M1579" i="5" a="1"/>
  <c r="M1581" i="5" a="1"/>
  <c r="K1713" i="5" a="1"/>
  <c r="K1564" i="5" a="1"/>
  <c r="J1480" i="5" a="1"/>
  <c r="K1686" i="5" a="1"/>
  <c r="B1709" i="5" a="1"/>
  <c r="N1773" i="5" a="1"/>
  <c r="I1828" i="5" a="1"/>
  <c r="M1661" i="5" a="1"/>
  <c r="B1656" i="5" a="1"/>
  <c r="N1760" i="5" a="1"/>
  <c r="N1820" i="5" a="1"/>
  <c r="E1559" i="5" a="1"/>
  <c r="H1623" i="5" a="1"/>
  <c r="H1741" i="5" a="1"/>
  <c r="H1680" i="5" a="1"/>
  <c r="L1636" i="5" a="1"/>
  <c r="L1744" i="5" a="1"/>
  <c r="L1780" i="5" a="1"/>
  <c r="L1816" i="5" a="1"/>
  <c r="L1852" i="5" a="1"/>
  <c r="N1656" i="5" a="1"/>
  <c r="B1784" i="5" a="1"/>
  <c r="N1566" i="5" a="1"/>
  <c r="B1747" i="5" a="1"/>
  <c r="N1653" i="5" a="1"/>
  <c r="E1736" i="5" a="1"/>
  <c r="E1772" i="5" a="1"/>
  <c r="E1808" i="5" a="1"/>
  <c r="E1844" i="5" a="1"/>
  <c r="I1597" i="5" a="1"/>
  <c r="B1818" i="5" a="1"/>
  <c r="I1706" i="5" a="1"/>
  <c r="E1594" i="5" a="1"/>
  <c r="K1591" i="5" a="1"/>
  <c r="L1728" i="5" a="1"/>
  <c r="L1676" i="5" a="1"/>
  <c r="B1658" i="5" a="1"/>
  <c r="M1450" i="5" a="1"/>
  <c r="I1690" i="5" a="1"/>
  <c r="I1588" i="5" a="1"/>
  <c r="M1739" i="5" a="1"/>
  <c r="M1775" i="5" a="1"/>
  <c r="M1811" i="5" a="1"/>
  <c r="M1847" i="5" a="1"/>
  <c r="E1609" i="5" a="1"/>
  <c r="H1744" i="5" a="1"/>
  <c r="M1416" i="5" a="1"/>
  <c r="M1822" i="5" a="1"/>
  <c r="M1885" i="5" a="1"/>
  <c r="M1921" i="5" a="1"/>
  <c r="M1957" i="5" a="1"/>
  <c r="L1625" i="5" a="1"/>
  <c r="J1855" i="5" a="1"/>
  <c r="J1779" i="5" a="1"/>
  <c r="H1692" i="5" a="1"/>
  <c r="M1826" i="5" a="1"/>
  <c r="L1788" i="5" a="1"/>
  <c r="N1826" i="5" a="1"/>
  <c r="B1778" i="5" a="1"/>
  <c r="I1868" i="5" a="1"/>
  <c r="K1904" i="5" a="1"/>
  <c r="K1940" i="5" a="1"/>
  <c r="L1977" i="5" a="1"/>
  <c r="B1845" i="5" a="1"/>
  <c r="K1754" i="5" a="1"/>
  <c r="N1870" i="5" a="1"/>
  <c r="N1906" i="5" a="1"/>
  <c r="N1942" i="5" a="1"/>
  <c r="E1982" i="5" a="1"/>
  <c r="I1785" i="5" a="1"/>
  <c r="B1908" i="5" a="1"/>
  <c r="B1809" i="5" a="1"/>
  <c r="I1888" i="5" a="1"/>
  <c r="I1924" i="5" a="1"/>
  <c r="J1961" i="5" a="1"/>
  <c r="E1751" i="5" a="1"/>
  <c r="N1859" i="5" a="1"/>
  <c r="H1760" i="5" a="1"/>
  <c r="J1854" i="5" a="1"/>
  <c r="K1834" i="5" a="1"/>
  <c r="J1798" i="5" a="1"/>
  <c r="I1762" i="5" a="1"/>
  <c r="M1854" i="5" a="1"/>
  <c r="I1829" i="5" a="1"/>
  <c r="M1889" i="5" a="1"/>
  <c r="M1925" i="5" a="1"/>
  <c r="M1961" i="5" a="1"/>
  <c r="K1800" i="5" a="1"/>
  <c r="E1671" i="5" a="1"/>
  <c r="M1818" i="5" a="1"/>
  <c r="E1759" i="5" a="1"/>
  <c r="B1903" i="5" a="1"/>
  <c r="K1918" i="5" a="1"/>
  <c r="M1974" i="5" a="1"/>
  <c r="E1779" i="5" a="1"/>
  <c r="I1872" i="5" a="1"/>
  <c r="H1705" i="5" a="1"/>
  <c r="I1930" i="5" a="1"/>
  <c r="N1947" i="5" a="1"/>
  <c r="N1920" i="5" a="1"/>
  <c r="H1757" i="5" a="1"/>
  <c r="B1950" i="5" a="1"/>
  <c r="I1882" i="5" a="1"/>
  <c r="M1993" i="5" a="1"/>
  <c r="L1907" i="5" a="1"/>
  <c r="I1991" i="5" a="1"/>
  <c r="N1959" i="5" a="1"/>
  <c r="K2000" i="5" a="1"/>
  <c r="K1973" i="5" a="1"/>
  <c r="K1989" i="5" a="1"/>
  <c r="B1875" i="5" a="1"/>
  <c r="M1840" i="5" a="1"/>
  <c r="H1958" i="5" a="1"/>
  <c r="M1948" i="5" a="1"/>
  <c r="H1906" i="5" a="1"/>
  <c r="I1997" i="5" a="1"/>
  <c r="N1952" i="5" a="1"/>
  <c r="M1900" i="5" a="1"/>
  <c r="B1761" i="5" a="1"/>
  <c r="H1945" i="5" a="1"/>
  <c r="E1872" i="5" a="1"/>
  <c r="H1939" i="5" a="1"/>
  <c r="I1862" i="5" a="1"/>
  <c r="L1910" i="5" a="1"/>
  <c r="H1990" i="5" a="1"/>
  <c r="M1871" i="5" a="1"/>
  <c r="E1928" i="5" a="1"/>
  <c r="K1958" i="5" a="1"/>
  <c r="B835" i="2" a="1"/>
  <c r="B1708" i="2" a="1"/>
  <c r="B125" i="2" a="1"/>
  <c r="B1047" i="2" a="1"/>
  <c r="B463" i="2" a="1"/>
  <c r="B620" i="2" a="1"/>
  <c r="B1904" i="2" a="1"/>
  <c r="B1869" i="2" a="1"/>
  <c r="B818" i="2" a="1"/>
  <c r="B1050" i="2" a="1"/>
  <c r="B1876" i="2" a="1"/>
  <c r="B499" i="2" a="1"/>
  <c r="B88" i="2" a="1"/>
  <c r="B1710" i="2" a="1"/>
  <c r="B286" i="2" a="1"/>
  <c r="B493" i="2" a="1"/>
  <c r="B769" i="2" a="1"/>
  <c r="B1983" i="2" a="1"/>
  <c r="B2053" i="2" a="1"/>
  <c r="B6" i="2" a="1"/>
  <c r="B1114" i="2" a="1"/>
  <c r="B2017" i="2" a="1"/>
  <c r="B1621" i="2" a="1"/>
  <c r="B227" i="2" a="1"/>
  <c r="B1769" i="2" a="1"/>
  <c r="B46" i="2" a="1"/>
  <c r="B484" i="2" a="1"/>
  <c r="B834" i="2" a="1"/>
  <c r="B1863" i="2" a="1"/>
  <c r="B98" i="2" a="1"/>
  <c r="B437" i="2" a="1"/>
  <c r="B189" i="2" a="1"/>
  <c r="B1279" i="2" a="1"/>
  <c r="B260" i="2" a="1"/>
  <c r="B1967" i="2" a="1"/>
  <c r="B485" i="2" a="1"/>
  <c r="B688" i="2" a="1"/>
  <c r="B1557" i="2" a="1"/>
  <c r="B456" i="2" a="1"/>
  <c r="B561" i="2" a="1"/>
  <c r="B1456" i="2" a="1"/>
  <c r="B1051" i="2" a="1"/>
  <c r="B252" i="2" a="1"/>
  <c r="H1300" i="5" a="1"/>
  <c r="I1334" i="5" a="1"/>
  <c r="E1398" i="5" a="1"/>
  <c r="I1441" i="5" a="1"/>
  <c r="N1369" i="5" a="1"/>
  <c r="K1451" i="5" a="1"/>
  <c r="M1564" i="5" a="1"/>
  <c r="K1510" i="5" a="1"/>
  <c r="L1475" i="5" a="1"/>
  <c r="I1403" i="5" a="1"/>
  <c r="J1438" i="5" a="1"/>
  <c r="M1585" i="5" a="1"/>
  <c r="H1652" i="5" a="1"/>
  <c r="I1499" i="5" a="1"/>
  <c r="N1512" i="5" a="1"/>
  <c r="K1606" i="5" a="1"/>
  <c r="J1665" i="5" a="1"/>
  <c r="B1368" i="5" a="1"/>
  <c r="M1386" i="5" a="1"/>
  <c r="J1481" i="5" a="1"/>
  <c r="H1488" i="5" a="1"/>
  <c r="I1306" i="5" a="1"/>
  <c r="I1461" i="5" a="1"/>
  <c r="K1574" i="5" a="1"/>
  <c r="I1547" i="5" a="1"/>
  <c r="J1516" i="5" a="1"/>
  <c r="M1479" i="5" a="1"/>
  <c r="M1442" i="5" a="1"/>
  <c r="E1590" i="5" a="1"/>
  <c r="M1657" i="5" a="1"/>
  <c r="B1519" i="5" a="1"/>
  <c r="L1522" i="5" a="1"/>
  <c r="M1608" i="5" a="1"/>
  <c r="K1678" i="5" a="1"/>
  <c r="H1332" i="5" a="1"/>
  <c r="E1382" i="5" a="1"/>
  <c r="H1449" i="5" a="1"/>
  <c r="N1549" i="5" a="1"/>
  <c r="B1554" i="5" a="1"/>
  <c r="H1550" i="5" a="1"/>
  <c r="M1546" i="5" a="1"/>
  <c r="M1451" i="5" a="1"/>
  <c r="N1697" i="5" a="1"/>
  <c r="N1638" i="5" a="1"/>
  <c r="I1662" i="5" a="1"/>
  <c r="B1131" i="5" a="1"/>
  <c r="I1612" i="5" a="1"/>
  <c r="I1472" i="5" a="1"/>
  <c r="N1433" i="5" a="1"/>
  <c r="E1697" i="5" a="1"/>
  <c r="H1624" i="5" a="1"/>
  <c r="E1636" i="5" a="1"/>
  <c r="I1723" i="5" a="1"/>
  <c r="K1461" i="5" a="1"/>
  <c r="K1548" i="5" a="1"/>
  <c r="M1700" i="5" a="1"/>
  <c r="M1723" i="5" a="1"/>
  <c r="L1783" i="5" a="1"/>
  <c r="H1839" i="5" a="1"/>
  <c r="B1693" i="5" a="1"/>
  <c r="B1702" i="5" a="1"/>
  <c r="M1771" i="5" a="1"/>
  <c r="L1830" i="5" a="1"/>
  <c r="K1665" i="5" a="1"/>
  <c r="E1643" i="5" a="1"/>
  <c r="L1745" i="5" a="1"/>
  <c r="L1698" i="5" a="1"/>
  <c r="E1706" i="5" a="1"/>
  <c r="H1752" i="5" a="1"/>
  <c r="H1788" i="5" a="1"/>
  <c r="H1824" i="5" a="1"/>
  <c r="H1860" i="5" a="1"/>
  <c r="J1675" i="5" a="1"/>
  <c r="B1832" i="5" a="1"/>
  <c r="H1597" i="5" a="1"/>
  <c r="B1795" i="5" a="1"/>
  <c r="J1684" i="5" a="1"/>
  <c r="K1741" i="5" a="1"/>
  <c r="K1777" i="5" a="1"/>
  <c r="K1813" i="5" a="1"/>
  <c r="K1849" i="5" a="1"/>
  <c r="K1647" i="5" a="1"/>
  <c r="B1866" i="5" a="1"/>
  <c r="N1722" i="5" a="1"/>
  <c r="B1638" i="5" a="1"/>
  <c r="J1628" i="5" a="1"/>
  <c r="H1736" i="5" a="1"/>
  <c r="E1692" i="5" a="1"/>
  <c r="K1699" i="5" a="1"/>
  <c r="N1584" i="5" a="1"/>
  <c r="J1708" i="5" a="1"/>
  <c r="I1635" i="5" a="1"/>
  <c r="I1747" i="5" a="1"/>
  <c r="I1783" i="5" a="1"/>
  <c r="I1819" i="5" a="1"/>
  <c r="I1855" i="5" a="1"/>
  <c r="M1655" i="5" a="1"/>
  <c r="L1748" i="5" a="1"/>
  <c r="I1705" i="5" a="1"/>
  <c r="E1839" i="5" a="1"/>
  <c r="I1893" i="5" a="1"/>
  <c r="I1929" i="5" a="1"/>
  <c r="I1965" i="5" a="1"/>
  <c r="K1736" i="5" a="1"/>
  <c r="B1888" i="5" a="1"/>
  <c r="J1799" i="5" a="1"/>
  <c r="K1748" i="5" a="1"/>
  <c r="E1841" i="5" a="1"/>
  <c r="K1513" i="5" a="1"/>
  <c r="J1839" i="5" a="1"/>
  <c r="M1797" i="5" a="1"/>
  <c r="E1875" i="5" a="1"/>
  <c r="E1911" i="5" a="1"/>
  <c r="E1947" i="5" a="1"/>
  <c r="N1713" i="5" a="1"/>
  <c r="H1861" i="5" a="1"/>
  <c r="E1787" i="5" a="1"/>
  <c r="J1878" i="5" a="1"/>
  <c r="J1914" i="5" a="1"/>
  <c r="J1950" i="5" a="1"/>
  <c r="K1987" i="5" a="1"/>
  <c r="M1801" i="5" a="1"/>
  <c r="B1956" i="5" a="1"/>
  <c r="H1825" i="5" a="1"/>
  <c r="M1892" i="5" a="1"/>
  <c r="M1928" i="5" a="1"/>
  <c r="N1965" i="5" a="1"/>
  <c r="N1763" i="5" a="1"/>
  <c r="B1883" i="5" a="1"/>
  <c r="E1782" i="5" a="1"/>
  <c r="E1543" i="5" a="1"/>
  <c r="L1863" i="5" a="1"/>
  <c r="K1816" i="5" a="1"/>
  <c r="M1778" i="5" a="1"/>
  <c r="K1578" i="5" a="1"/>
  <c r="K1847" i="5" a="1"/>
  <c r="I1897" i="5" a="1"/>
  <c r="I1933" i="5" a="1"/>
  <c r="I1969" i="5" a="1"/>
  <c r="B1824" i="5" a="1"/>
  <c r="J1735" i="5" a="1"/>
  <c r="M1836" i="5" a="1"/>
  <c r="M1780" i="5" a="1"/>
  <c r="B1951" i="5" a="1"/>
  <c r="N1281" i="5" a="1"/>
  <c r="E1650" i="5" a="1"/>
  <c r="B1552" i="5" a="1"/>
  <c r="H1587" i="5" a="1"/>
  <c r="N1536" i="5" a="1"/>
  <c r="K1829" i="5" a="1"/>
  <c r="E1822" i="5" a="1"/>
  <c r="J1776" i="5" a="1"/>
  <c r="E1734" i="5" a="1"/>
  <c r="H1818" i="5" a="1"/>
  <c r="H1964" i="5" a="1"/>
  <c r="M1790" i="5" a="1"/>
  <c r="I1913" i="5" a="1"/>
  <c r="M1964" i="5" a="1"/>
  <c r="K1266" i="5" a="1"/>
  <c r="H1775" i="5" a="1"/>
  <c r="N1968" i="5" a="1"/>
  <c r="K1993" i="5" a="1"/>
  <c r="K1897" i="5" a="1"/>
  <c r="L1851" i="5" a="1"/>
  <c r="K1876" i="5" a="1"/>
  <c r="E1888" i="5" a="1"/>
  <c r="K1909" i="5" a="1"/>
  <c r="J1940" i="5" a="1"/>
  <c r="N1936" i="5" a="1"/>
  <c r="K1886" i="5" a="1"/>
  <c r="N1911" i="5" a="1"/>
  <c r="N1971" i="5" a="1"/>
  <c r="K1999" i="5" a="1"/>
  <c r="I1883" i="5" a="1"/>
  <c r="B1926" i="5" a="1"/>
  <c r="J1997" i="5" a="1"/>
  <c r="E1932" i="5" a="1"/>
  <c r="L1990" i="5" a="1"/>
  <c r="L1873" i="5" a="1"/>
  <c r="B431" i="2" a="1"/>
  <c r="B453" i="2" a="1"/>
  <c r="B122" i="2" a="1"/>
  <c r="B1709" i="2" a="1"/>
  <c r="B2104" i="2" a="1"/>
  <c r="B1745" i="2" a="1"/>
  <c r="B1361" i="2" a="1"/>
  <c r="B200" i="2" a="1"/>
  <c r="B392" i="2" a="1"/>
  <c r="B1723" i="2" a="1"/>
  <c r="B1550" i="2" a="1"/>
  <c r="B1746" i="2" a="1"/>
  <c r="B172" i="2" a="1"/>
  <c r="B178" i="2" a="1"/>
  <c r="B1320" i="2" a="1"/>
  <c r="B366" i="2" a="1"/>
  <c r="B1982" i="2" a="1"/>
  <c r="B1093" i="2" a="1"/>
  <c r="B176" i="2" a="1"/>
  <c r="B276" i="2" a="1"/>
  <c r="B1538" i="2" a="1"/>
  <c r="B631" i="2" a="1"/>
  <c r="B259" i="2" a="1"/>
  <c r="B745" i="2" a="1"/>
  <c r="B1505" i="2" a="1"/>
  <c r="B2201" i="2" a="1"/>
  <c r="B126" i="2" a="1"/>
  <c r="B974" i="2" a="1"/>
  <c r="B854" i="2" a="1"/>
  <c r="B1955" i="2" a="1"/>
  <c r="B752" i="2" a="1"/>
  <c r="B1812" i="2" a="1"/>
  <c r="B1903" i="2" a="1"/>
  <c r="B2048" i="2" a="1"/>
  <c r="B775" i="2" a="1"/>
  <c r="B1567" i="2" a="1"/>
  <c r="B1263" i="2" a="1"/>
  <c r="B670" i="2" a="1"/>
  <c r="B441" i="2" a="1"/>
  <c r="B937" i="2" a="1"/>
  <c r="B1222" i="2" a="1"/>
  <c r="B1115" i="2" a="1"/>
  <c r="B1613" i="2" a="1"/>
  <c r="B1809" i="2" a="1"/>
  <c r="B2290" i="2" a="1"/>
  <c r="B1370" i="2" a="1"/>
  <c r="B2168" i="2" a="1"/>
  <c r="B394" i="2" a="1"/>
  <c r="B1891" i="2" a="1"/>
  <c r="B2297" i="2" a="1"/>
  <c r="B288" i="2" a="1"/>
  <c r="B1888" i="2" a="1"/>
  <c r="B931" i="2" a="1"/>
  <c r="B2134" i="2" a="1"/>
  <c r="B958" i="2" a="1"/>
  <c r="B2241" i="2" a="1"/>
  <c r="B687" i="2" a="1"/>
  <c r="B667" i="2" a="1"/>
  <c r="B925" i="2" a="1"/>
  <c r="B1530" i="2" a="1"/>
  <c r="B1045" i="2" a="1"/>
  <c r="B517" i="2" a="1"/>
  <c r="B2328" i="2" a="1"/>
  <c r="B1531" i="2" a="1"/>
  <c r="B2074" i="2" a="1"/>
  <c r="B1497" i="2" a="1"/>
  <c r="B1395" i="2" a="1"/>
  <c r="B2352" i="2" a="1"/>
  <c r="B2164" i="2" a="1"/>
  <c r="B1394" i="2" a="1"/>
  <c r="B1855" i="2" a="1"/>
  <c r="B1523" i="2" a="1"/>
  <c r="B2324" i="2" a="1"/>
  <c r="B87" i="2" a="1"/>
  <c r="B1076" i="2" a="1"/>
  <c r="B1489" i="2" a="1"/>
  <c r="A1914" i="4" a="1"/>
  <c r="A1779" i="4" a="1"/>
  <c r="A905" i="4" a="1"/>
  <c r="B1707" i="2" a="1"/>
  <c r="A2142" i="4" a="1"/>
  <c r="A1224" i="4" a="1"/>
  <c r="A1727" i="4" a="1"/>
  <c r="A915" i="4" a="1"/>
  <c r="B467" i="2" a="1"/>
  <c r="A1999" i="4" a="1"/>
  <c r="A1799" i="4" a="1"/>
  <c r="A1011" i="4" a="1"/>
  <c r="B2136" i="2" a="1"/>
  <c r="B1760" i="2" a="1"/>
  <c r="B1049" i="2" a="1"/>
  <c r="B1193" i="2" a="1"/>
  <c r="B1451" i="2" a="1"/>
  <c r="A2188" i="4" a="1"/>
  <c r="B1949" i="2" a="1"/>
  <c r="A2013" i="4" a="1"/>
  <c r="A1625" i="4" a="1"/>
  <c r="A2150" i="4" a="1"/>
  <c r="A1309" i="4" a="1"/>
  <c r="A2038" i="4" a="1"/>
  <c r="A1167" i="4" a="1"/>
  <c r="A2200" i="4" a="1"/>
  <c r="A1291" i="4" a="1"/>
  <c r="A1818" i="4" a="1"/>
  <c r="A1251" i="4" a="1"/>
  <c r="A1786" i="4" a="1"/>
  <c r="A1148" i="4" a="1"/>
  <c r="B575" i="2" a="1"/>
  <c r="A1991" i="4" a="1"/>
  <c r="A1695" i="4" a="1"/>
  <c r="D620" i="4" a="1"/>
  <c r="A1278" i="4" a="1"/>
  <c r="D736" i="4" a="1"/>
  <c r="A1515" i="4" a="1"/>
  <c r="D653" i="4" a="1"/>
  <c r="A1385" i="4" a="1"/>
  <c r="D749" i="4" a="1"/>
  <c r="A316" i="4" a="1"/>
  <c r="A2334" i="4" a="1"/>
  <c r="A675" i="4" a="1"/>
  <c r="A661" i="4" a="1"/>
  <c r="A272" i="4" a="1"/>
  <c r="A1269" i="4" a="1"/>
  <c r="A859" i="4" a="1"/>
  <c r="A228" i="4" a="1"/>
  <c r="A878" i="4" a="1"/>
  <c r="A1563" i="4" a="1"/>
  <c r="D604" i="4" a="1"/>
  <c r="A346" i="4" a="1"/>
  <c r="A1024" i="4" a="1"/>
  <c r="A1575" i="4" a="1"/>
  <c r="A463" i="4" a="1"/>
  <c r="A1827" i="4" a="1"/>
  <c r="A1659" i="4" a="1"/>
  <c r="D668" i="4" a="1"/>
  <c r="A1509" i="4" a="1"/>
  <c r="A2251" i="4" a="1"/>
  <c r="C48" i="3" a="1"/>
  <c r="A2336" i="4" a="1"/>
  <c r="A1389" i="4" a="1"/>
  <c r="A907" i="4" a="1"/>
  <c r="D787" i="4" a="1"/>
  <c r="A1252" i="4" a="1"/>
  <c r="A2243" i="4" a="1"/>
  <c r="A1279" i="4" a="1"/>
  <c r="D743" i="4" a="1"/>
  <c r="A186" i="4" a="1"/>
  <c r="A978" i="4" a="1"/>
  <c r="A1561" i="4" a="1"/>
  <c r="A63" i="4" a="1"/>
  <c r="A280" i="4" a="1"/>
  <c r="A1540" i="4" a="1"/>
  <c r="D748" i="4" a="1"/>
  <c r="A206" i="4" a="1"/>
  <c r="A1041" i="4" a="1"/>
  <c r="A1447" i="4" a="1"/>
  <c r="A85" i="4" a="1"/>
  <c r="A2076" i="4" a="1"/>
  <c r="A1403" i="4" a="1"/>
  <c r="A637" i="4" a="1"/>
  <c r="A482" i="4" a="1"/>
  <c r="A1310" i="4" a="1"/>
  <c r="D641" i="4" a="1"/>
  <c r="A27" i="4" a="1"/>
  <c r="A1049" i="4" a="1"/>
  <c r="A598" i="4" a="1"/>
  <c r="A1462" i="4" a="1"/>
  <c r="A437" i="4" a="1"/>
  <c r="A149" i="4" a="1"/>
  <c r="A82" i="4" a="1"/>
  <c r="A520" i="4" a="1"/>
  <c r="A536" i="4" a="1"/>
  <c r="A136" i="4" a="1"/>
  <c r="A275" i="4" a="1"/>
  <c r="A156" i="4" a="1"/>
  <c r="A173" i="4" a="1"/>
  <c r="A233" i="4" a="1"/>
  <c r="A634" i="4" a="1"/>
  <c r="D634" i="4" a="1"/>
  <c r="A597" i="4" a="1"/>
  <c r="D692" i="4" a="1"/>
  <c r="C7" i="3" a="1"/>
  <c r="A692" i="4" a="1"/>
  <c r="A1676" i="4" a="1"/>
  <c r="C16" i="3" a="1"/>
  <c r="A1448" i="4" a="1"/>
  <c r="A1344" i="4" a="1"/>
  <c r="A2025" i="4" a="1"/>
  <c r="D860" i="4" a="1"/>
  <c r="A120" i="4" a="1"/>
  <c r="A608" i="4" a="1"/>
  <c r="B1356" i="5" a="1"/>
  <c r="I1653" i="5" a="1"/>
  <c r="J1492" i="5" a="1"/>
  <c r="N1312" i="5" a="1"/>
  <c r="L1687" i="5" a="1"/>
  <c r="N1639" i="5" a="1"/>
  <c r="M1853" i="5" a="1"/>
  <c r="H1810" i="5" a="1"/>
  <c r="L1686" i="5" a="1"/>
  <c r="N1848" i="5" a="1"/>
  <c r="L1638" i="5" a="1"/>
  <c r="L1869" i="5" a="1"/>
  <c r="E1946" i="5" a="1"/>
  <c r="N1754" i="5" a="1"/>
  <c r="B1833" i="5" a="1"/>
  <c r="B1915" i="5" a="1"/>
  <c r="K1978" i="5" a="1"/>
  <c r="L1755" i="5" a="1"/>
  <c r="B1911" i="5" a="1"/>
  <c r="M1864" i="5" a="1"/>
  <c r="I1880" i="5" a="1"/>
  <c r="E1892" i="5" a="1"/>
  <c r="J1911" i="5" a="1"/>
  <c r="J1944" i="5" a="1"/>
  <c r="M1938" i="5" a="1"/>
  <c r="M1911" i="5" a="1"/>
  <c r="N1913" i="5" a="1"/>
  <c r="H1981" i="5" a="1"/>
  <c r="I1661" i="5" a="1"/>
  <c r="J1904" i="5" a="1"/>
  <c r="M1931" i="5" a="1"/>
  <c r="J1988" i="5" a="1"/>
  <c r="K1960" i="5" a="1"/>
  <c r="I1995" i="5" a="1"/>
  <c r="J1920" i="5" a="1"/>
  <c r="B776" i="2" a="1"/>
  <c r="B693" i="2" a="1"/>
  <c r="B362" i="2" a="1"/>
  <c r="B1664" i="2" a="1"/>
  <c r="B1284" i="2" a="1"/>
  <c r="B1687" i="2" a="1"/>
  <c r="B142" i="2" a="1"/>
  <c r="B2251" i="2" a="1"/>
  <c r="B632" i="2" a="1"/>
  <c r="B1699" i="2" a="1"/>
  <c r="B402" i="2" a="1"/>
  <c r="B121" i="2" a="1"/>
  <c r="B412" i="2" a="1"/>
  <c r="B1070" i="2" a="1"/>
  <c r="B1850" i="2" a="1"/>
  <c r="B1195" i="2" a="1"/>
  <c r="B609" i="2" a="1"/>
  <c r="B129" i="2" a="1"/>
  <c r="B190" i="2" a="1"/>
  <c r="B618" i="2" a="1"/>
  <c r="B2171" i="2" a="1"/>
  <c r="B878" i="2" a="1"/>
  <c r="B514" i="2" a="1"/>
  <c r="B304" i="2" a="1"/>
  <c r="B2026" i="2" a="1"/>
  <c r="B658" i="2" a="1"/>
  <c r="B1901" i="2" a="1"/>
  <c r="B291" i="2" a="1"/>
  <c r="B788" i="2" a="1"/>
  <c r="B2225" i="2" a="1"/>
  <c r="B133" i="2" a="1"/>
  <c r="B2052" i="2" a="1"/>
  <c r="B686" i="2" a="1"/>
  <c r="B1481" i="2" a="1"/>
  <c r="B347" i="2" a="1"/>
  <c r="B52" i="2" a="1"/>
  <c r="B378" i="2" a="1"/>
  <c r="B1470" i="2" a="1"/>
  <c r="B1130" i="2" a="1"/>
  <c r="B1533" i="2" a="1"/>
  <c r="B2143" i="2" a="1"/>
  <c r="B1872" i="2" a="1"/>
  <c r="B2196" i="2" a="1"/>
  <c r="B838" i="2" a="1"/>
  <c r="B2348" i="2" a="1"/>
  <c r="B1561" i="2" a="1"/>
  <c r="B1558" i="2" a="1"/>
  <c r="B1811" i="2" a="1"/>
  <c r="B1648" i="2" a="1"/>
  <c r="B423" i="2" a="1"/>
  <c r="B607" i="2" a="1"/>
  <c r="B890" i="2" a="1"/>
  <c r="B1387" i="2" a="1"/>
  <c r="B1510" i="2" a="1"/>
  <c r="B711" i="2" a="1"/>
  <c r="B1141" i="2" a="1"/>
  <c r="B2125" i="2" a="1"/>
  <c r="B2292" i="2" a="1"/>
  <c r="B1191" i="2" a="1"/>
  <c r="B985" i="2" a="1"/>
  <c r="B979" i="2" a="1"/>
  <c r="B71" i="2" a="1"/>
  <c r="B2300" i="2" a="1"/>
  <c r="B1939" i="2" a="1"/>
  <c r="B1545" i="2" a="1"/>
  <c r="B1928" i="2" a="1"/>
  <c r="B1593" i="2" a="1"/>
  <c r="B2264" i="2" a="1"/>
  <c r="B1701" i="2" a="1"/>
  <c r="B870" i="2" a="1"/>
  <c r="B972" i="2" a="1"/>
  <c r="B1677" i="2" a="1"/>
  <c r="B2309" i="2" a="1"/>
  <c r="B2069" i="2" a="1"/>
  <c r="A1784" i="4" a="1"/>
  <c r="B1577" i="2" a="1"/>
  <c r="A1751" i="4" a="1"/>
  <c r="A1927" i="4" a="1"/>
  <c r="A1025" i="4" a="1"/>
  <c r="B2199" i="2" a="1"/>
  <c r="A2318" i="4" a="1"/>
  <c r="A1116" i="4" a="1"/>
  <c r="A2163" i="4" a="1"/>
  <c r="A1035" i="4" a="1"/>
  <c r="B2318" i="2" a="1"/>
  <c r="A2239" i="4" a="1"/>
  <c r="A1736" i="4" a="1"/>
  <c r="A1131" i="4" a="1"/>
  <c r="B1739" i="2" a="1"/>
  <c r="B2160" i="2" a="1"/>
  <c r="B2298" i="2" a="1"/>
  <c r="B244" i="2" a="1"/>
  <c r="B1290" i="2" a="1"/>
  <c r="A2332" i="4" a="1"/>
  <c r="B875" i="2" a="1"/>
  <c r="A974" i="4" a="1"/>
  <c r="B1985" i="2" a="1"/>
  <c r="A2229" i="4" a="1"/>
  <c r="A1057" i="4" a="1"/>
  <c r="A2028" i="4" a="1"/>
  <c r="A1323" i="4" a="1"/>
  <c r="A2341" i="4" a="1"/>
  <c r="A896" i="4" a="1"/>
  <c r="A1938" i="4" a="1"/>
  <c r="A926" i="4" a="1"/>
  <c r="A2005" i="4" a="1"/>
  <c r="A985" i="4" a="1"/>
  <c r="B1575" i="2" a="1"/>
  <c r="A2278" i="4" a="1"/>
  <c r="A890" i="4" a="1"/>
  <c r="D680" i="4" a="1"/>
  <c r="A919" i="4" a="1"/>
  <c r="A823" i="4" a="1"/>
  <c r="A1705" i="4" a="1"/>
  <c r="D713" i="4" a="1"/>
  <c r="A1274" i="4" a="1"/>
  <c r="A782" i="4" a="1"/>
  <c r="A556" i="4" a="1"/>
  <c r="A921" i="4" a="1"/>
  <c r="A795" i="4" a="1"/>
  <c r="A855" i="4" a="1"/>
  <c r="A179" i="4" a="1"/>
  <c r="A1632" i="4" a="1"/>
  <c r="A694" i="4" a="1"/>
  <c r="A468" i="4" a="1"/>
  <c r="A1108" i="4" a="1"/>
  <c r="A1489" i="4" a="1"/>
  <c r="A848" i="4" a="1"/>
  <c r="A586" i="4" a="1"/>
  <c r="A1201" i="4" a="1"/>
  <c r="A1419" i="4" a="1"/>
  <c r="A104" i="4" a="1"/>
  <c r="A1753" i="4" a="1"/>
  <c r="A1417" i="4" a="1"/>
  <c r="D728" i="4" a="1"/>
  <c r="A1317" i="4" a="1"/>
  <c r="A2204" i="4" a="1"/>
  <c r="C22" i="3" a="1"/>
  <c r="A2259" i="4" a="1"/>
  <c r="A1425" i="4" a="1"/>
  <c r="A1431" i="4" a="1"/>
  <c r="A678" i="4" a="1"/>
  <c r="A1391" i="4" a="1"/>
  <c r="A2014" i="4" a="1"/>
  <c r="A1683" i="4" a="1"/>
  <c r="A596" i="4" a="1"/>
  <c r="A426" i="4" a="1"/>
  <c r="A930" i="4" a="1"/>
  <c r="A1589" i="4" a="1"/>
  <c r="A303" i="4" a="1"/>
  <c r="B1460" i="2" a="1"/>
  <c r="A1531" i="4" a="1"/>
  <c r="D827" i="4" a="1"/>
  <c r="A446" i="4" a="1"/>
  <c r="A988" i="4" a="1"/>
  <c r="A1498" i="4" a="1"/>
  <c r="A325" i="4" a="1"/>
  <c r="A1783" i="4" a="1"/>
  <c r="A1604" i="4" a="1"/>
  <c r="A724" i="4" a="1"/>
  <c r="A91" i="4" a="1"/>
  <c r="A1428" i="4" a="1"/>
  <c r="A756" i="4" a="1"/>
  <c r="A501" i="4" a="1"/>
  <c r="A1333" i="4" a="1"/>
  <c r="A718" i="4" a="1"/>
  <c r="A1029" i="4" a="1"/>
  <c r="A569" i="4" a="1"/>
  <c r="A130" i="4" a="1"/>
  <c r="A39" i="4" a="1"/>
  <c r="A189" i="4" a="1"/>
  <c r="A408" i="4" a="1"/>
  <c r="A546" i="4" a="1"/>
  <c r="A146" i="4" a="1"/>
  <c r="A28" i="4" a="1"/>
  <c r="A34" i="4" a="1"/>
  <c r="A44" i="4" a="1"/>
  <c r="A860" i="4" a="1"/>
  <c r="D619" i="4" a="1"/>
  <c r="D614" i="4" a="1"/>
  <c r="D735" i="4" a="1"/>
  <c r="D810" i="4" a="1"/>
  <c r="A829" i="4" a="1"/>
  <c r="C6" i="3" a="1"/>
  <c r="D752" i="4" a="1"/>
  <c r="A1595" i="4" a="1"/>
  <c r="A1594" i="4" a="1"/>
  <c r="A1154" i="4" a="1"/>
  <c r="A23" i="4" a="1"/>
  <c r="D221" i="4" a="1"/>
  <c r="A734" i="4" a="1"/>
  <c r="L1325" i="5" a="1"/>
  <c r="I1495" i="5" a="1"/>
  <c r="I1494" i="5" a="1"/>
  <c r="B1340" i="5" a="1"/>
  <c r="M1688" i="5" a="1"/>
  <c r="B1650" i="5" a="1"/>
  <c r="N1854" i="5" a="1"/>
  <c r="I1811" i="5" a="1"/>
  <c r="K1688" i="5" a="1"/>
  <c r="E1852" i="5" a="1"/>
  <c r="M1699" i="5" a="1"/>
  <c r="M1870" i="5" a="1"/>
  <c r="H1948" i="5" a="1"/>
  <c r="K1756" i="5" a="1"/>
  <c r="L1836" i="5" a="1"/>
  <c r="B1927" i="5" a="1"/>
  <c r="I1980" i="5" a="1"/>
  <c r="B1810" i="5" a="1"/>
  <c r="B1913" i="5" a="1"/>
  <c r="B1886" i="5" a="1"/>
  <c r="B1894" i="5" a="1"/>
  <c r="L1930" i="5" a="1"/>
  <c r="H1919" i="5" a="1"/>
  <c r="N1961" i="5" a="1"/>
  <c r="K1942" i="5" a="1"/>
  <c r="J1919" i="5" a="1"/>
  <c r="K1917" i="5" a="1"/>
  <c r="L1984" i="5" a="1"/>
  <c r="K1775" i="5" a="1"/>
  <c r="J1908" i="5" a="1"/>
  <c r="L1933" i="5" a="1"/>
  <c r="L1997" i="5" a="1"/>
  <c r="K1910" i="5" a="1"/>
  <c r="J1995" i="5" a="1"/>
  <c r="I1996" i="5" a="1"/>
  <c r="B978" i="2" a="1"/>
  <c r="B365" i="2" a="1"/>
  <c r="B602" i="2" a="1"/>
  <c r="B1640" i="2" a="1"/>
  <c r="B372" i="2" a="1"/>
  <c r="B2228" i="2" a="1"/>
  <c r="B382" i="2" a="1"/>
  <c r="B1020" i="2" a="1"/>
  <c r="B13" i="2" a="1"/>
  <c r="B992" i="2" a="1"/>
  <c r="B503" i="2" a="1"/>
  <c r="B1052" i="2" a="1"/>
  <c r="B513" i="2" a="1"/>
  <c r="B1758" i="2" a="1"/>
  <c r="B1281" i="2" a="1"/>
  <c r="B1815" i="2" a="1"/>
  <c r="B1375" i="2" a="1"/>
  <c r="B1512" i="2" a="1"/>
  <c r="B953" i="2" a="1"/>
  <c r="B868" i="2" a="1"/>
  <c r="B220" i="2" a="1"/>
  <c r="B1118" i="2" a="1"/>
  <c r="B1374" i="2" a="1"/>
  <c r="B647" i="2" a="1"/>
  <c r="B668" i="2" a="1"/>
  <c r="B1469" i="2" a="1"/>
  <c r="B1517" i="2" a="1"/>
  <c r="B1035" i="2" a="1"/>
  <c r="B1433" i="2" a="1"/>
  <c r="B1321" i="2" a="1"/>
  <c r="B373" i="2" a="1"/>
  <c r="B169" i="2" a="1"/>
  <c r="B1588" i="2" a="1"/>
  <c r="B1511" i="2" a="1"/>
  <c r="B689" i="2" a="1"/>
  <c r="B292" i="2" a="1"/>
  <c r="B1199" i="2" a="1"/>
  <c r="B328" i="2" a="1"/>
  <c r="B656" i="2" a="1"/>
  <c r="B2064" i="2" a="1"/>
  <c r="B879" i="2" a="1"/>
  <c r="B1685" i="2" a="1"/>
  <c r="B1044" i="2" a="1"/>
  <c r="B2079" i="2" a="1"/>
  <c r="B2265" i="2" a="1"/>
  <c r="B1681" i="2" a="1"/>
  <c r="B2231" i="2" a="1"/>
  <c r="B309" i="2" a="1"/>
  <c r="B2021" i="2" a="1"/>
  <c r="B747" i="2" a="1"/>
  <c r="B1365" i="2" a="1"/>
  <c r="B101" i="2" a="1"/>
  <c r="B1242" i="2" a="1"/>
  <c r="B1190" i="2" a="1"/>
  <c r="B1264" i="2" a="1"/>
  <c r="B2150" i="2" a="1"/>
  <c r="B993" i="2" a="1"/>
  <c r="B2313" i="2" a="1"/>
  <c r="B1655" i="2" a="1"/>
  <c r="B1474" i="2" a="1"/>
  <c r="B671" i="2" a="1"/>
  <c r="B2177" i="2" a="1"/>
  <c r="A1744" i="4" a="1"/>
  <c r="B927" i="2" a="1"/>
  <c r="B1703" i="2" a="1"/>
  <c r="B1173" i="2" a="1"/>
  <c r="B1043" i="2" a="1"/>
  <c r="B2266" i="2" a="1"/>
  <c r="B110" i="2" a="1"/>
  <c r="B2028" i="2" a="1"/>
  <c r="B1696" i="2" a="1"/>
  <c r="B1157" i="2" a="1"/>
  <c r="B2296" i="2" a="1"/>
  <c r="B1162" i="2" a="1"/>
  <c r="A1904" i="4" a="1"/>
  <c r="A1769" i="4" a="1"/>
  <c r="A1871" i="4" a="1"/>
  <c r="A2081" i="4" a="1"/>
  <c r="A1053" i="4" a="1"/>
  <c r="B1491" i="2" a="1"/>
  <c r="A1892" i="4" a="1"/>
  <c r="A1066" i="4" a="1"/>
  <c r="A2077" i="4" a="1"/>
  <c r="A1248" i="4" a="1"/>
  <c r="A1814" i="4" a="1"/>
  <c r="A2231" i="4" a="1"/>
  <c r="A2065" i="4" a="1"/>
  <c r="A968" i="4" a="1"/>
  <c r="B2274" i="2" a="1"/>
  <c r="B1925" i="2" a="1"/>
  <c r="A1834" i="4" a="1"/>
  <c r="B2316" i="2" a="1"/>
  <c r="B359" i="2" a="1"/>
  <c r="A2224" i="4" a="1"/>
  <c r="B1326" i="2" a="1"/>
  <c r="A1094" i="4" a="1"/>
  <c r="B907" i="2" a="1"/>
  <c r="A2269" i="4" a="1"/>
  <c r="A1345" i="4" a="1"/>
  <c r="A2073" i="4" a="1"/>
  <c r="A1549" i="4" a="1"/>
  <c r="A2237" i="4" a="1"/>
  <c r="A916" i="4" a="1"/>
  <c r="A1775" i="4" a="1"/>
  <c r="A1149" i="4" a="1"/>
  <c r="A1971" i="4" a="1"/>
  <c r="A886" i="4" a="1"/>
  <c r="B744" i="2" a="1"/>
  <c r="A2241" i="4" a="1"/>
  <c r="A1067" i="4" a="1"/>
  <c r="D740" i="4" a="1"/>
  <c r="A1612" i="4" a="1"/>
  <c r="D741" i="4" a="1"/>
  <c r="A1629" i="4" a="1"/>
  <c r="D773" i="4" a="1"/>
  <c r="A1520" i="4" a="1"/>
  <c r="A833" i="4" a="1"/>
  <c r="A208" i="4" a="1"/>
  <c r="A1151" i="4" a="1"/>
  <c r="D647" i="4" a="1"/>
  <c r="A627" i="4" a="1"/>
  <c r="A117" i="4" a="1"/>
  <c r="A1390" i="4" a="1"/>
  <c r="D846" i="4" a="1"/>
  <c r="A227" i="4" a="1"/>
  <c r="A1055" i="4" a="1"/>
  <c r="A1706" i="4" a="1"/>
  <c r="D596" i="4" a="1"/>
  <c r="A238" i="4" a="1"/>
  <c r="A970" i="4" a="1"/>
  <c r="C54" i="3" a="1"/>
  <c r="A344" i="4" a="1"/>
  <c r="A2240" i="4" a="1"/>
  <c r="A1477" i="4" a="1"/>
  <c r="D788" i="4" a="1"/>
  <c r="A1486" i="4" a="1"/>
  <c r="A2287" i="4" a="1"/>
  <c r="A705" i="4" a="1"/>
  <c r="A2117" i="4" a="1"/>
  <c r="A1166" i="4" a="1"/>
  <c r="A883" i="4" a="1"/>
  <c r="A798" i="4" a="1"/>
  <c r="A922" i="4" a="1"/>
  <c r="A2040" i="4" a="1"/>
  <c r="A1578" i="4" a="1"/>
  <c r="D822" i="4" a="1"/>
  <c r="A78" i="4" a="1"/>
  <c r="A1271" i="4" a="1"/>
  <c r="C13" i="3" a="1"/>
  <c r="A543" i="4" a="1"/>
  <c r="A1900" i="4" a="1"/>
  <c r="A1504" i="4" a="1"/>
  <c r="A719" i="4" a="1"/>
  <c r="A98" i="4" a="1"/>
  <c r="A935" i="4" a="1"/>
  <c r="A1206" i="4" a="1"/>
  <c r="A565" i="4" a="1"/>
  <c r="A2293" i="4" a="1"/>
  <c r="A1673" i="4" a="1"/>
  <c r="D855" i="4" a="1"/>
  <c r="A309" i="4" a="1"/>
  <c r="A990" i="4" a="1"/>
  <c r="A809" i="4" a="1"/>
  <c r="A160" i="4" a="1"/>
  <c r="A1039" i="4" a="1"/>
  <c r="D610" i="4" a="1"/>
  <c r="A1544" i="4" a="1"/>
  <c r="A2245" i="4" a="1"/>
  <c r="A590" i="4" a="1"/>
  <c r="A567" i="4" a="1"/>
  <c r="A170" i="4" a="1"/>
  <c r="A539" i="4" a="1"/>
  <c r="A418" i="4" a="1"/>
  <c r="A18" i="4" a="1"/>
  <c r="A438" i="4" a="1"/>
  <c r="A494" i="4" a="1"/>
  <c r="A504" i="4" a="1"/>
  <c r="A821" i="4" a="1"/>
  <c r="D864" i="4" a="1"/>
  <c r="D731" i="4" a="1"/>
  <c r="D842" i="4" a="1"/>
  <c r="A824" i="4" a="1"/>
  <c r="D826" i="4" a="1"/>
  <c r="A682" i="4" a="1"/>
  <c r="D795" i="4" a="1"/>
  <c r="C26" i="3" a="1"/>
  <c r="C19" i="3" a="1"/>
  <c r="A1100" i="4" a="1"/>
  <c r="A109" i="4" a="1"/>
  <c r="A294" i="4" a="1"/>
  <c r="A406" i="4" a="1"/>
  <c r="L1385" i="5" a="1"/>
  <c r="E1505" i="5" a="1"/>
  <c r="J1533" i="5" a="1"/>
  <c r="M1447" i="5" a="1"/>
  <c r="J1697" i="5" a="1"/>
  <c r="I1659" i="5" a="1"/>
  <c r="E1858" i="5" a="1"/>
  <c r="J1812" i="5" a="1"/>
  <c r="E1690" i="5" a="1"/>
  <c r="H1854" i="5" a="1"/>
  <c r="M1732" i="5" a="1"/>
  <c r="N1871" i="5" a="1"/>
  <c r="I1949" i="5" a="1"/>
  <c r="B1762" i="5" a="1"/>
  <c r="L1845" i="5" a="1"/>
  <c r="B1939" i="5" a="1"/>
  <c r="B1982" i="5" a="1"/>
  <c r="H1874" i="5" a="1"/>
  <c r="M1920" i="5" a="1"/>
  <c r="L1897" i="5" a="1"/>
  <c r="L1901" i="5" a="1"/>
  <c r="K1934" i="5" a="1"/>
  <c r="B1923" i="5" a="1"/>
  <c r="N1963" i="5" a="1"/>
  <c r="I1946" i="5" a="1"/>
  <c r="I1923" i="5" a="1"/>
  <c r="H1931" i="5" a="1"/>
  <c r="H1986" i="5" a="1"/>
  <c r="N1867" i="5" a="1"/>
  <c r="E1920" i="5" a="1"/>
  <c r="E1949" i="5" a="1"/>
  <c r="K1983" i="5" a="1"/>
  <c r="K1972" i="5" a="1"/>
  <c r="I1976" i="5" a="1"/>
  <c r="B1582" i="5" a="1"/>
  <c r="B1218" i="2" a="1"/>
  <c r="B605" i="2" a="1"/>
  <c r="B842" i="2" a="1"/>
  <c r="B876" i="2" a="1"/>
  <c r="B473" i="2" a="1"/>
  <c r="B1004" i="2" a="1"/>
  <c r="B483" i="2" a="1"/>
  <c r="B1676" i="2" a="1"/>
  <c r="B733" i="2" a="1"/>
  <c r="B1644" i="2" a="1"/>
  <c r="B175" i="2" a="1"/>
  <c r="B1024" i="2" a="1"/>
  <c r="B753" i="2" a="1"/>
  <c r="B1040" i="2" a="1"/>
  <c r="B1805" i="2" a="1"/>
  <c r="B317" i="2" a="1"/>
  <c r="B1931" i="2" a="1"/>
  <c r="B924" i="2" a="1"/>
  <c r="B430" i="2" a="1"/>
  <c r="B96" i="2" a="1"/>
  <c r="B1336" i="2" a="1"/>
  <c r="B116" i="2" a="1"/>
  <c r="B2253" i="2" a="1"/>
  <c r="B888" i="2" a="1"/>
  <c r="B1362" i="2" a="1"/>
  <c r="B26" i="2" a="1"/>
  <c r="B896" i="2" a="1"/>
  <c r="B526" i="2" a="1"/>
  <c r="B1969" i="2" a="1"/>
  <c r="B1780" i="2" a="1"/>
  <c r="B613" i="2" a="1"/>
  <c r="B1146" i="2" a="1"/>
  <c r="B1156" i="2" a="1"/>
  <c r="B650" i="2" a="1"/>
  <c r="B918" i="2" a="1"/>
  <c r="B532" i="2" a="1"/>
  <c r="B1592" i="2" a="1"/>
  <c r="B1409" i="2" a="1"/>
  <c r="B1288" i="2" a="1"/>
  <c r="B741" i="2" a="1"/>
  <c r="B947" i="2" a="1"/>
  <c r="B1650" i="2" a="1"/>
  <c r="B1570" i="2" a="1"/>
  <c r="B1659" i="2" a="1"/>
  <c r="B2366" i="2" a="1"/>
  <c r="B1896" i="2" a="1"/>
  <c r="B1757" i="2" a="1"/>
  <c r="B2217" i="2" a="1"/>
  <c r="B746" i="2" a="1"/>
  <c r="B1176" i="2" a="1"/>
  <c r="B611" i="2" a="1"/>
  <c r="B2030" i="2" a="1"/>
  <c r="B2262" i="2" a="1"/>
  <c r="B1935" i="2" a="1"/>
  <c r="B934" i="2" a="1"/>
  <c r="B2194" i="2" a="1"/>
  <c r="B336" i="2" a="1"/>
  <c r="B2345" i="2" a="1"/>
  <c r="B2229" i="2" a="1"/>
  <c r="B940" i="2" a="1"/>
  <c r="B1716" i="2" a="1"/>
  <c r="B1846" i="2" a="1"/>
  <c r="B72" i="2" a="1"/>
  <c r="B1439" i="2" a="1"/>
  <c r="B1037" i="2" a="1"/>
  <c r="B2106" i="2" a="1"/>
  <c r="B211" i="2" a="1"/>
  <c r="B2268" i="2" a="1"/>
  <c r="B1169" i="2" a="1"/>
  <c r="B1785" i="2" a="1"/>
  <c r="B1471" i="2" a="1"/>
  <c r="B679" i="2" a="1"/>
  <c r="B2359" i="2" a="1"/>
  <c r="B1301" i="2" a="1"/>
  <c r="A1741" i="4" a="1"/>
  <c r="A1889" i="4" a="1"/>
  <c r="A1738" i="4" a="1"/>
  <c r="A2045" i="4" a="1"/>
  <c r="A1238" i="4" a="1"/>
  <c r="B2284" i="2" a="1"/>
  <c r="A2109" i="4" a="1"/>
  <c r="A1315" i="4" a="1"/>
  <c r="A2087" i="4" a="1"/>
  <c r="A1020" i="4" a="1"/>
  <c r="A1934" i="4" a="1"/>
  <c r="A2008" i="4" a="1"/>
  <c r="A1842" i="4" a="1"/>
  <c r="A1088" i="4" a="1"/>
  <c r="A1824" i="4" a="1"/>
  <c r="B2344" i="2" a="1"/>
  <c r="A1954" i="4" a="1"/>
  <c r="A1819" i="4" a="1"/>
  <c r="B2326" i="2" a="1"/>
  <c r="B837" i="2" a="1"/>
  <c r="B1647" i="2" a="1"/>
  <c r="A1042" i="4" a="1"/>
  <c r="B1684" i="2" a="1"/>
  <c r="A2257" i="4" a="1"/>
  <c r="A1388" i="4" a="1"/>
  <c r="A2258" i="4" a="1"/>
  <c r="A1516" i="4" a="1"/>
  <c r="A1850" i="4" a="1"/>
  <c r="A1302" i="4" a="1"/>
  <c r="A1895" i="4" a="1"/>
  <c r="A1275" i="4" a="1"/>
  <c r="A2094" i="4" a="1"/>
  <c r="A1086" i="4" a="1"/>
  <c r="B201" i="2" a="1"/>
  <c r="A2096" i="4" a="1"/>
  <c r="A1619" i="4" a="1"/>
  <c r="D800" i="4" a="1"/>
  <c r="A1196" i="4" a="1"/>
  <c r="A1749" i="4" a="1"/>
  <c r="A1254" i="4" a="1"/>
  <c r="A746" i="4" a="1"/>
  <c r="A1155" i="4" a="1"/>
  <c r="A787" i="4" a="1"/>
  <c r="A448" i="4" a="1"/>
  <c r="A1098" i="4" a="1"/>
  <c r="D707" i="4" a="1"/>
  <c r="A767" i="4" a="1"/>
  <c r="A239" i="4" a="1"/>
  <c r="A1319" i="4" a="1"/>
  <c r="A616" i="4" a="1"/>
  <c r="A581" i="4" a="1"/>
  <c r="A1171" i="4" a="1"/>
  <c r="A1651" i="4" a="1"/>
  <c r="D825" i="4" a="1"/>
  <c r="A478" i="4" a="1"/>
  <c r="A1192" i="4" a="1"/>
  <c r="C18" i="3" a="1"/>
  <c r="A584" i="4" a="1"/>
  <c r="A1959" i="4" a="1"/>
  <c r="A1501" i="4" a="1"/>
  <c r="D807" i="4" a="1"/>
  <c r="A1368" i="4" a="1"/>
  <c r="A2337" i="4" a="1"/>
  <c r="D602" i="4" a="1"/>
  <c r="A892" i="4" a="1"/>
  <c r="C32" i="3" a="1"/>
  <c r="A889" i="4" a="1"/>
  <c r="D650" i="4" a="1"/>
  <c r="A1316" i="4" a="1"/>
  <c r="A2149" i="4" a="1"/>
  <c r="A1703" i="4" a="1"/>
  <c r="D704" i="4" a="1"/>
  <c r="A318" i="4" a="1"/>
  <c r="A1076" i="4" a="1"/>
  <c r="C35" i="3" a="1"/>
  <c r="A184" i="4" a="1"/>
  <c r="A2058" i="4" a="1"/>
  <c r="A1621" i="4" a="1"/>
  <c r="D796" i="4" a="1"/>
  <c r="A338" i="4" a="1"/>
  <c r="A942" i="4" a="1"/>
  <c r="A1450" i="4" a="1"/>
  <c r="A216" i="4" a="1"/>
  <c r="A2221" i="4" a="1"/>
  <c r="C43" i="3" a="1"/>
  <c r="A789" i="4" a="1"/>
  <c r="A71" i="4" a="1"/>
  <c r="A1546" i="4" a="1"/>
  <c r="D761" i="4" a="1"/>
  <c r="A329" i="4" a="1"/>
  <c r="A946" i="4" a="1"/>
  <c r="D670" i="4" a="1"/>
  <c r="A1523" i="4" a="1"/>
  <c r="A1048" i="4" a="1"/>
  <c r="A529" i="4" a="1"/>
  <c r="A551" i="4" a="1"/>
  <c r="A382" i="4" a="1"/>
  <c r="A209" i="4" a="1"/>
  <c r="A489" i="4" a="1"/>
  <c r="A428" i="4" a="1"/>
  <c r="A191" i="4" a="1"/>
  <c r="A355" i="4" a="1"/>
  <c r="A365" i="4" a="1"/>
  <c r="A243" i="4" a="1"/>
  <c r="A253" i="4" a="1"/>
  <c r="D651" i="4" a="1"/>
  <c r="A819" i="4" a="1"/>
  <c r="A672" i="4" a="1"/>
  <c r="A815" i="4" a="1"/>
  <c r="D815" i="4" a="1"/>
  <c r="D686" i="4" a="1"/>
  <c r="A844" i="4" a="1"/>
  <c r="A701" i="4" a="1"/>
  <c r="A1650" i="4" a="1"/>
  <c r="D585" i="4" a="1"/>
  <c r="A21" i="4" a="1"/>
  <c r="A59" i="4" a="1"/>
  <c r="M1382" i="5" a="1"/>
  <c r="J1497" i="5" a="1"/>
  <c r="J1535" i="5" a="1"/>
  <c r="E1328" i="5" a="1"/>
  <c r="L1710" i="5" a="1"/>
  <c r="M1626" i="5" a="1"/>
  <c r="N1662" i="5" a="1"/>
  <c r="H1846" i="5" a="1"/>
  <c r="E1667" i="5" a="1"/>
  <c r="E1619" i="5" a="1"/>
  <c r="H1857" i="5" a="1"/>
  <c r="L1905" i="5" a="1"/>
  <c r="H1984" i="5" a="1"/>
  <c r="J1863" i="5" a="1"/>
  <c r="N1890" i="5" a="1"/>
  <c r="M1809" i="5" a="1"/>
  <c r="M1983" i="5" a="1"/>
  <c r="E1876" i="5" a="1"/>
  <c r="L1922" i="5" a="1"/>
  <c r="L1899" i="5" a="1"/>
  <c r="I1911" i="5" a="1"/>
  <c r="K1936" i="5" a="1"/>
  <c r="L1938" i="5" a="1"/>
  <c r="K1965" i="5" a="1"/>
  <c r="I1975" i="5" a="1"/>
  <c r="E1929" i="5" a="1"/>
  <c r="M1944" i="5" a="1"/>
  <c r="B1752" i="5" a="1"/>
  <c r="J1873" i="5" a="1"/>
  <c r="N1923" i="5" a="1"/>
  <c r="E1951" i="5" a="1"/>
  <c r="N2001" i="5" a="1"/>
  <c r="B1990" i="5" a="1"/>
  <c r="I1786" i="5" a="1"/>
  <c r="N1935" i="5" a="1"/>
  <c r="B1151" i="2" a="1"/>
  <c r="B845" i="2" a="1"/>
  <c r="B703" i="2" a="1"/>
  <c r="B1585" i="2" a="1"/>
  <c r="B145" i="2" a="1"/>
  <c r="B893" i="2" a="1"/>
  <c r="B723" i="2" a="1"/>
  <c r="B959" i="2" a="1"/>
  <c r="B124" i="2" a="1"/>
  <c r="B2185" i="2" a="1"/>
  <c r="B415" i="2" a="1"/>
  <c r="B2013" i="2" a="1"/>
  <c r="B144" i="2" a="1"/>
  <c r="B43" i="2" a="1"/>
  <c r="B229" i="2" a="1"/>
  <c r="B554" i="2" a="1"/>
  <c r="B387" i="2" a="1"/>
  <c r="B1243" i="2" a="1"/>
  <c r="B188" i="2" a="1"/>
  <c r="B892" i="2" a="1"/>
  <c r="B2220" i="2" a="1"/>
  <c r="B915" i="2" a="1"/>
  <c r="B1227" i="2" a="1"/>
  <c r="B1128" i="2" a="1"/>
  <c r="B1933" i="2" a="1"/>
  <c r="B1274" i="2" a="1"/>
  <c r="B2193" i="2" a="1"/>
  <c r="B1184" i="2" a="1"/>
  <c r="B556" i="2" a="1"/>
  <c r="B1454" i="2" a="1"/>
  <c r="B4" i="2" a="1"/>
  <c r="B17" i="2" a="1"/>
  <c r="B757" i="2" a="1"/>
  <c r="B2165" i="2" a="1"/>
  <c r="B1158" i="2" a="1"/>
  <c r="B772" i="2" a="1"/>
  <c r="B1832" i="2" a="1"/>
  <c r="B62" i="2" a="1"/>
  <c r="B414" i="2" a="1"/>
  <c r="B1508" i="2" a="1"/>
  <c r="B922" i="2" a="1"/>
  <c r="B905" i="2" a="1"/>
  <c r="B1046" i="2" a="1"/>
  <c r="B1425" i="2" a="1"/>
  <c r="B183" i="2" a="1"/>
  <c r="B350" i="2" a="1"/>
  <c r="B798" i="2" a="1"/>
  <c r="B1475" i="2" a="1"/>
  <c r="B426" i="2" a="1"/>
  <c r="B488" i="2" a="1"/>
  <c r="B1446" i="2" a="1"/>
  <c r="B370" i="2" a="1"/>
  <c r="B2283" i="2" a="1"/>
  <c r="B588" i="2" a="1"/>
  <c r="B120" i="2" a="1"/>
  <c r="B1637" i="2" a="1"/>
  <c r="B2141" i="2" a="1"/>
  <c r="B2357" i="2" a="1"/>
  <c r="B895" i="2" a="1"/>
  <c r="B2124" i="2" a="1"/>
  <c r="B1598" i="2" a="1"/>
  <c r="B1915" i="2" a="1"/>
  <c r="B85" i="2" a="1"/>
  <c r="B1714" i="2" a="1"/>
  <c r="B1296" i="2" a="1"/>
  <c r="B1836" i="2" a="1"/>
  <c r="B736" i="2" a="1"/>
  <c r="B312" i="2" a="1"/>
  <c r="B1614" i="2" a="1"/>
  <c r="B1313" i="2" a="1"/>
  <c r="B567" i="2" a="1"/>
  <c r="B946" i="2" a="1"/>
  <c r="B552" i="2" a="1"/>
  <c r="B1943" i="2" a="1"/>
  <c r="I1480" i="5" a="1"/>
  <c r="N1520" i="5" a="1"/>
  <c r="E1539" i="5" a="1"/>
  <c r="H1355" i="5" a="1"/>
  <c r="B1714" i="5" a="1"/>
  <c r="H1633" i="5" a="1"/>
  <c r="M1665" i="5" a="1"/>
  <c r="I1847" i="5" a="1"/>
  <c r="I1673" i="5" a="1"/>
  <c r="B1629" i="5" a="1"/>
  <c r="I1866" i="5" a="1"/>
  <c r="M1906" i="5" a="1"/>
  <c r="I1985" i="5" a="1"/>
  <c r="H1865" i="5" a="1"/>
  <c r="E1894" i="5" a="1"/>
  <c r="B1837" i="5" a="1"/>
  <c r="K1994" i="5" a="1"/>
  <c r="E1880" i="5" a="1"/>
  <c r="H1934" i="5" a="1"/>
  <c r="H1909" i="5" a="1"/>
  <c r="N1928" i="5" a="1"/>
  <c r="B1954" i="5" a="1"/>
  <c r="I1942" i="5" a="1"/>
  <c r="L1967" i="5" a="1"/>
  <c r="H1977" i="5" a="1"/>
  <c r="N1751" i="5" a="1"/>
  <c r="L1946" i="5" a="1"/>
  <c r="B1828" i="5" a="1"/>
  <c r="H1879" i="5" a="1"/>
  <c r="L1931" i="5" a="1"/>
  <c r="N1956" i="5" a="1"/>
  <c r="E1953" i="5" a="1"/>
  <c r="M1986" i="5" a="1"/>
  <c r="E1912" i="5" a="1"/>
  <c r="J1996" i="5" a="1"/>
  <c r="B578" i="2" a="1"/>
  <c r="B447" i="2" a="1"/>
  <c r="B94" i="2" a="1"/>
  <c r="B2103" i="2" a="1"/>
  <c r="B385" i="2" a="1"/>
  <c r="B1918" i="2" a="1"/>
  <c r="B114" i="2" a="1"/>
  <c r="B1950" i="2" a="1"/>
  <c r="B165" i="2" a="1"/>
  <c r="B1937" i="2" a="1"/>
  <c r="B655" i="2" a="1"/>
  <c r="B2139" i="2" a="1"/>
  <c r="B425" i="2" a="1"/>
  <c r="B283" i="2" a="1"/>
  <c r="B1085" i="2" a="1"/>
  <c r="B509" i="2" a="1"/>
  <c r="B1245" i="2" a="1"/>
  <c r="B571" i="2" a="1"/>
  <c r="B2002" i="2" a="1"/>
  <c r="B208" i="2" a="1"/>
  <c r="B2198" i="2" a="1"/>
  <c r="B240" i="2" a="1"/>
  <c r="B1055" i="2" a="1"/>
  <c r="B234" i="2" a="1"/>
  <c r="B598" i="2" a="1"/>
  <c r="B2095" i="2" a="1"/>
  <c r="B22" i="2" a="1"/>
  <c r="B300" i="2" a="1"/>
  <c r="B1379" i="2" a="1"/>
  <c r="B955" i="2" a="1"/>
  <c r="B45" i="2" a="1"/>
  <c r="B864" i="2" a="1"/>
  <c r="B1673" i="2" a="1"/>
  <c r="B1806" i="2" a="1"/>
  <c r="B277" i="2" a="1"/>
  <c r="B153" i="2" a="1"/>
  <c r="B2072" i="2" a="1"/>
  <c r="B302" i="2" a="1"/>
  <c r="B1237" i="2" a="1"/>
  <c r="B538" i="2" a="1"/>
  <c r="B1535" i="2" a="1"/>
  <c r="B2044" i="2" a="1"/>
  <c r="B2057" i="2" a="1"/>
  <c r="B1719" i="2" a="1"/>
  <c r="B404" i="2" a="1"/>
  <c r="B1837" i="2" a="1"/>
  <c r="B2248" i="2" a="1"/>
  <c r="B1994" i="2" a="1"/>
  <c r="B1633" i="2" a="1"/>
  <c r="B784" i="2" a="1"/>
  <c r="B2020" i="2" a="1"/>
  <c r="B230" i="2" a="1"/>
  <c r="B2315" i="2" a="1"/>
  <c r="B794" i="2" a="1"/>
  <c r="B654" i="2" a="1"/>
  <c r="B1499" i="2" a="1"/>
  <c r="B2041" i="2" a="1"/>
  <c r="B44" i="2" a="1"/>
  <c r="B1566" i="2" a="1"/>
  <c r="B1372" i="2" a="1"/>
  <c r="B1461" i="2" a="1"/>
  <c r="B1580" i="2" a="1"/>
  <c r="B319" i="2" a="1"/>
  <c r="B2197" i="2" a="1"/>
  <c r="B1449" i="2" a="1"/>
  <c r="B2010" i="2" a="1"/>
  <c r="B1977" i="2" a="1"/>
  <c r="B325" i="2" a="1"/>
  <c r="B2080" i="2" a="1"/>
  <c r="B1450" i="2" a="1"/>
  <c r="B2166" i="2" a="1"/>
  <c r="B537" i="2" a="1"/>
  <c r="B565" i="2" a="1"/>
  <c r="B47" i="2" a="1"/>
  <c r="H1440" i="5" a="1"/>
  <c r="K1594" i="5" a="1"/>
  <c r="H1543" i="5" a="1"/>
  <c r="E1411" i="5" a="1"/>
  <c r="N1715" i="5" a="1"/>
  <c r="K1636" i="5" a="1"/>
  <c r="E1669" i="5" a="1"/>
  <c r="J1848" i="5" a="1"/>
  <c r="E1694" i="5" a="1"/>
  <c r="N1632" i="5" a="1"/>
  <c r="B1876" i="5" a="1"/>
  <c r="N1907" i="5" a="1"/>
  <c r="J1986" i="5" a="1"/>
  <c r="B1871" i="5" a="1"/>
  <c r="H1896" i="5" a="1"/>
  <c r="B1874" i="5" a="1"/>
  <c r="L1995" i="5" a="1"/>
  <c r="N1885" i="5" a="1"/>
  <c r="E1936" i="5" a="1"/>
  <c r="E1913" i="5" a="1"/>
  <c r="K1932" i="5" a="1"/>
  <c r="J1965" i="5" a="1"/>
  <c r="I1944" i="5" a="1"/>
  <c r="B1986" i="5" a="1"/>
  <c r="H1979" i="5" a="1"/>
  <c r="B1877" i="5" a="1"/>
  <c r="L1950" i="5" a="1"/>
  <c r="E1881" i="5" a="1"/>
  <c r="K1898" i="5" a="1"/>
  <c r="K1933" i="5" a="1"/>
  <c r="M1958" i="5" a="1"/>
  <c r="M1997" i="5" a="1"/>
  <c r="I1908" i="5" a="1"/>
  <c r="B1889" i="5" a="1"/>
  <c r="N1981" i="5" a="1"/>
  <c r="B1212" i="2" a="1"/>
  <c r="B377" i="2" a="1"/>
  <c r="B135" i="2" a="1"/>
  <c r="B1658" i="2" a="1"/>
  <c r="B625" i="2" a="1"/>
  <c r="B2077" i="2" a="1"/>
  <c r="B395" i="2" a="1"/>
  <c r="B1858" i="2" a="1"/>
  <c r="B405" i="2" a="1"/>
  <c r="B1331" i="2" a="1"/>
  <c r="B141" i="2" a="1"/>
  <c r="B1203" i="2" a="1"/>
  <c r="B50" i="2" a="1"/>
  <c r="B523" i="2" a="1"/>
  <c r="B432" i="2" a="1"/>
  <c r="B1295" i="2" a="1"/>
  <c r="B1376" i="2" a="1"/>
  <c r="B1417" i="2" a="1"/>
  <c r="B109" i="2" a="1"/>
  <c r="B450" i="2" a="1"/>
  <c r="B1770" i="2" a="1"/>
  <c r="B989" i="2" a="1"/>
  <c r="B1797" i="2" a="1"/>
  <c r="B577" i="2" a="1"/>
  <c r="B1494" i="2" a="1"/>
  <c r="B1079" i="2" a="1"/>
  <c r="B262" i="2" a="1"/>
  <c r="B1081" i="2" a="1"/>
  <c r="B258" i="2" a="1"/>
  <c r="B1940" i="2" a="1"/>
  <c r="B285" i="2" a="1"/>
  <c r="B1327" i="2" a="1"/>
  <c r="B369" i="2" a="1"/>
  <c r="B1328" i="2" a="1"/>
  <c r="B619" i="2" a="1"/>
  <c r="B393" i="2" a="1"/>
  <c r="B284" i="2" a="1"/>
  <c r="B542" i="2" a="1"/>
  <c r="B1602" i="2" a="1"/>
  <c r="B1424" i="2" a="1"/>
  <c r="B1734" i="2" a="1"/>
  <c r="B1639" i="2" a="1"/>
  <c r="B1783" i="2" a="1"/>
  <c r="B2116" i="2" a="1"/>
  <c r="B527" i="2" a="1"/>
  <c r="B1423" i="2" a="1"/>
  <c r="B1843" i="2" a="1"/>
  <c r="B2288" i="2" a="1"/>
  <c r="B1478" i="2" a="1"/>
  <c r="B904" i="2" a="1"/>
  <c r="B1234" i="2" a="1"/>
  <c r="B1954" i="2" a="1"/>
  <c r="B2317" i="2" a="1"/>
  <c r="B2117" i="2" a="1"/>
  <c r="B257" i="2" a="1"/>
  <c r="B1473" i="2" a="1"/>
  <c r="B2245" i="2" a="1"/>
  <c r="B1188" i="2" a="1"/>
  <c r="B1216" i="2" a="1"/>
  <c r="B891" i="2" a="1"/>
  <c r="B2261" i="2" a="1"/>
  <c r="B1325" i="2" a="1"/>
  <c r="B469" i="2" a="1"/>
  <c r="B1447" i="2" a="1"/>
  <c r="B1013" i="2" a="1"/>
  <c r="B2291" i="2" a="1"/>
  <c r="B749" i="2" a="1"/>
  <c r="B661" i="2" a="1"/>
  <c r="B1814" i="2" a="1"/>
  <c r="B1725" i="2" a="1"/>
  <c r="B1786" i="2" a="1"/>
  <c r="B1030" i="2" a="1"/>
  <c r="B388" i="2" a="1"/>
  <c r="B1194" i="2" a="1"/>
  <c r="E1486" i="5" a="1"/>
  <c r="L1607" i="5" a="1"/>
  <c r="B1712" i="5" a="1"/>
  <c r="L1691" i="5" a="1"/>
  <c r="I1780" i="5" a="1"/>
  <c r="I1742" i="5" a="1"/>
  <c r="B1796" i="5" a="1"/>
  <c r="M1627" i="5" a="1"/>
  <c r="K1525" i="5" a="1"/>
  <c r="I1745" i="5" a="1"/>
  <c r="H1781" i="5" a="1"/>
  <c r="L1941" i="5" a="1"/>
  <c r="B1789" i="5" a="1"/>
  <c r="M1765" i="5" a="1"/>
  <c r="N1926" i="5" a="1"/>
  <c r="L1887" i="5" a="1"/>
  <c r="M1996" i="5" a="1"/>
  <c r="K1922" i="5" a="1"/>
  <c r="E1940" i="5" a="1"/>
  <c r="M1922" i="5" a="1"/>
  <c r="H1938" i="5" a="1"/>
  <c r="E1977" i="5" a="1"/>
  <c r="E1948" i="5" a="1"/>
  <c r="H1989" i="5" a="1"/>
  <c r="L1982" i="5" a="1"/>
  <c r="M1884" i="5" a="1"/>
  <c r="I1954" i="5" a="1"/>
  <c r="E1883" i="5" a="1"/>
  <c r="M1923" i="5" a="1"/>
  <c r="J1935" i="5" a="1"/>
  <c r="I1970" i="5" a="1"/>
  <c r="M1908" i="5" a="1"/>
  <c r="J1933" i="5" a="1"/>
  <c r="J1912" i="5" a="1"/>
  <c r="E1891" i="5" a="1"/>
  <c r="B1344" i="2" a="1"/>
  <c r="B719" i="2" a="1"/>
  <c r="B375" i="2" a="1"/>
  <c r="B1223" i="2" a="1"/>
  <c r="B36" i="2" a="1"/>
  <c r="B1110" i="2" a="1"/>
  <c r="B831" i="2" a="1"/>
  <c r="B1314" i="2" a="1"/>
  <c r="B847" i="2" a="1"/>
  <c r="B2107" i="2" a="1"/>
  <c r="B1038" i="2" a="1"/>
  <c r="B1984" i="2" a="1"/>
  <c r="B461" i="2" a="1"/>
  <c r="B154" i="2" a="1"/>
  <c r="B672" i="2" a="1"/>
  <c r="B1828" i="2" a="1"/>
  <c r="B1886" i="2" a="1"/>
  <c r="B1944" i="2" a="1"/>
  <c r="B684" i="2" a="1"/>
  <c r="B1532" i="2" a="1"/>
  <c r="B2089" i="2" a="1"/>
  <c r="B1029" i="2" a="1"/>
  <c r="B2115" i="2" a="1"/>
  <c r="B131" i="2" a="1"/>
  <c r="B2004" i="2" a="1"/>
  <c r="B30" i="2" a="1"/>
  <c r="B502" i="2" a="1"/>
  <c r="B1562" i="2" a="1"/>
  <c r="B1354" i="2" a="1"/>
  <c r="B161" i="2" a="1"/>
  <c r="B525" i="2" a="1"/>
  <c r="B919" i="2" a="1"/>
  <c r="B1675" i="2" a="1"/>
  <c r="B1186" i="2" a="1"/>
  <c r="B270" i="2" a="1"/>
  <c r="B633" i="2" a="1"/>
  <c r="B1185" i="2" a="1"/>
  <c r="B782" i="2" a="1"/>
  <c r="B1842" i="2" a="1"/>
  <c r="B802" i="2" a="1"/>
  <c r="B2055" i="2" a="1"/>
  <c r="B18" i="2" a="1"/>
  <c r="B901" i="2" a="1"/>
  <c r="B160" i="2" a="1"/>
  <c r="B2102" i="2" a="1"/>
  <c r="B1754" i="2" a="1"/>
  <c r="B140" i="2" a="1"/>
  <c r="B2350" i="2" a="1"/>
  <c r="B2247" i="2" a="1"/>
  <c r="B307" i="2" a="1"/>
  <c r="B2148" i="2" a="1"/>
  <c r="B1698" i="2" a="1"/>
  <c r="A1714" i="4" a="1"/>
  <c r="B707" i="2" a="1"/>
  <c r="B2045" i="2" a="1"/>
  <c r="B1175" i="2" a="1"/>
  <c r="B1704" i="2" a="1"/>
  <c r="B1299" i="2" a="1"/>
  <c r="B664" i="2" a="1"/>
  <c r="B1135" i="2" a="1"/>
  <c r="B2312" i="2" a="1"/>
  <c r="B1257" i="2" a="1"/>
  <c r="B982" i="2" a="1"/>
  <c r="B1618" i="2" a="1"/>
  <c r="B1315" i="2" a="1"/>
  <c r="B2342" i="2" a="1"/>
  <c r="B1721" i="2" a="1"/>
  <c r="B1251" i="2" a="1"/>
  <c r="B466" i="2" a="1"/>
  <c r="B1431" i="2" a="1"/>
  <c r="B2321" i="2" a="1"/>
  <c r="B1911" i="2" a="1"/>
  <c r="B1612" i="2" a="1"/>
  <c r="B1113" i="2" a="1"/>
  <c r="H1366" i="5" a="1"/>
  <c r="I1664" i="5" a="1"/>
  <c r="K1430" i="5" a="1"/>
  <c r="M1692" i="5" a="1"/>
  <c r="J1781" i="5" a="1"/>
  <c r="J1743" i="5" a="1"/>
  <c r="B1808" i="5" a="1"/>
  <c r="H1634" i="5" a="1"/>
  <c r="J1568" i="5" a="1"/>
  <c r="J1746" i="5" a="1"/>
  <c r="K1788" i="5" a="1"/>
  <c r="M1942" i="5" a="1"/>
  <c r="J1794" i="5" a="1"/>
  <c r="M1774" i="5" a="1"/>
  <c r="E1930" i="5" a="1"/>
  <c r="E1903" i="5" a="1"/>
  <c r="E2001" i="5" a="1"/>
  <c r="K1924" i="5" a="1"/>
  <c r="N1945" i="5" a="1"/>
  <c r="N1924" i="5" a="1"/>
  <c r="H1942" i="5" a="1"/>
  <c r="E1984" i="5" a="1"/>
  <c r="H1975" i="5" a="1"/>
  <c r="E1991" i="5" a="1"/>
  <c r="J1917" i="5" a="1"/>
  <c r="L1886" i="5" a="1"/>
  <c r="E1960" i="5" a="1"/>
  <c r="N1892" i="5" a="1"/>
  <c r="J1929" i="5" a="1"/>
  <c r="B1947" i="5" a="1"/>
  <c r="J1972" i="5" a="1"/>
  <c r="E1916" i="5" a="1"/>
  <c r="J1994" i="5" a="1"/>
  <c r="H1941" i="5" a="1"/>
  <c r="L1914" i="5" a="1"/>
  <c r="B1882" i="2" a="1"/>
  <c r="B524" i="2" a="1"/>
  <c r="B804" i="2" a="1"/>
  <c r="B1998" i="2" a="1"/>
  <c r="B1008" i="2" a="1"/>
  <c r="B1905" i="2" a="1"/>
  <c r="B419" i="2" a="1"/>
  <c r="B1132" i="2" a="1"/>
  <c r="B1028" i="2" a="1"/>
  <c r="B1177" i="2" a="1"/>
  <c r="B1278" i="2" a="1"/>
  <c r="B1921" i="2" a="1"/>
  <c r="B806" i="2" a="1"/>
  <c r="B204" i="2" a="1"/>
  <c r="B53" i="2" a="1"/>
  <c r="B1137" i="2" a="1"/>
  <c r="B624" i="2" a="1"/>
  <c r="B1861" i="2" a="1"/>
  <c r="B1270" i="2" a="1"/>
  <c r="B2252" i="2" a="1"/>
  <c r="B1586" i="2" a="1"/>
  <c r="B1542" i="2" a="1"/>
  <c r="B1095" i="2" a="1"/>
  <c r="B951" i="2" a="1"/>
  <c r="B836" i="2" a="1"/>
  <c r="B1840" i="2" a="1"/>
  <c r="B742" i="2" a="1"/>
  <c r="B1802" i="2" a="1"/>
  <c r="B1890" i="2" a="1"/>
  <c r="B2024" i="2" a="1"/>
  <c r="B765" i="2" a="1"/>
  <c r="B1555" i="2" a="1"/>
  <c r="B1087" i="2" a="1"/>
  <c r="B1635" i="2" a="1"/>
  <c r="B1010" i="2" a="1"/>
  <c r="B24" i="2" a="1"/>
  <c r="B77" i="2" a="1"/>
  <c r="B163" i="2" a="1"/>
  <c r="B2082" i="2" a="1"/>
  <c r="B815" i="2" a="1"/>
  <c r="B1420" i="2" a="1"/>
  <c r="B1966" i="2" a="1"/>
  <c r="B417" i="2" a="1"/>
  <c r="B1259" i="2" a="1"/>
  <c r="B2167" i="2" a="1"/>
  <c r="B1209" i="2" a="1"/>
  <c r="B2174" i="2" a="1"/>
  <c r="B2285" i="2" a="1"/>
  <c r="B1778" i="2" a="1"/>
  <c r="B100" i="2" a="1"/>
  <c r="B678" i="2" a="1"/>
  <c r="B2088" i="2" a="1"/>
  <c r="B653" i="2" a="1"/>
  <c r="B1385" i="2" a="1"/>
  <c r="B991" i="2" a="1"/>
  <c r="B1005" i="2" a="1"/>
  <c r="B1286" i="2" a="1"/>
  <c r="B198" i="2" a="1"/>
  <c r="B1764" i="2" a="1"/>
  <c r="B1063" i="2" a="1"/>
  <c r="B2333" i="2" a="1"/>
  <c r="B1894" i="2" a="1"/>
  <c r="B2015" i="2" a="1"/>
  <c r="B1438" i="2" a="1"/>
  <c r="B1205" i="2" a="1"/>
  <c r="B2363" i="2" a="1"/>
  <c r="B2098" i="2" a="1"/>
  <c r="B1383" i="2" a="1"/>
  <c r="B1788" i="2" a="1"/>
  <c r="B1467" i="2" a="1"/>
  <c r="B2304" i="2" a="1"/>
  <c r="B31" i="2" a="1"/>
  <c r="B1064" i="2" a="1"/>
  <c r="B78" i="2" a="1"/>
  <c r="N1291" i="5" a="1"/>
  <c r="K1666" i="5" a="1"/>
  <c r="L1439" i="5" a="1"/>
  <c r="N1693" i="5" a="1"/>
  <c r="K1782" i="5" a="1"/>
  <c r="K1744" i="5" a="1"/>
  <c r="B1820" i="5" a="1"/>
  <c r="L1640" i="5" a="1"/>
  <c r="M1571" i="5" a="1"/>
  <c r="K1747" i="5" a="1"/>
  <c r="J1797" i="5" a="1"/>
  <c r="N1943" i="5" a="1"/>
  <c r="H1796" i="5" a="1"/>
  <c r="I1778" i="5" a="1"/>
  <c r="H1932" i="5" a="1"/>
  <c r="N1908" i="5" a="1"/>
  <c r="L1978" i="5" a="1"/>
  <c r="I1928" i="5" a="1"/>
  <c r="K1764" i="5" a="1"/>
  <c r="M1926" i="5" a="1"/>
  <c r="L1957" i="5" a="1"/>
  <c r="N1985" i="5" a="1"/>
  <c r="J1982" i="5" a="1"/>
  <c r="N1993" i="5" a="1"/>
  <c r="E1931" i="5" a="1"/>
  <c r="L1890" i="5" a="1"/>
  <c r="E1964" i="5" a="1"/>
  <c r="K1896" i="5" a="1"/>
  <c r="J1931" i="5" a="1"/>
  <c r="I1966" i="5" a="1"/>
  <c r="L1981" i="5" a="1"/>
  <c r="B1959" i="5" a="1"/>
  <c r="K1998" i="5" a="1"/>
  <c r="K1912" i="5" a="1"/>
  <c r="J1943" i="5" a="1"/>
  <c r="B1300" i="2" a="1"/>
  <c r="B610" i="2" a="1"/>
  <c r="B998" i="2" a="1"/>
  <c r="B1062" i="2" a="1"/>
  <c r="B1248" i="2" a="1"/>
  <c r="B1693" i="2" a="1"/>
  <c r="B761" i="2" a="1"/>
  <c r="B1906" i="2" a="1"/>
  <c r="B1268" i="2" a="1"/>
  <c r="B1938" i="2" a="1"/>
  <c r="B448" i="2" a="1"/>
  <c r="B839" i="2" a="1"/>
  <c r="B726" i="2" a="1"/>
  <c r="B1058" i="2" a="1"/>
  <c r="B533" i="2" a="1"/>
  <c r="B202" i="2" a="1"/>
  <c r="B530" i="2" a="1"/>
  <c r="B458" i="2" a="1"/>
  <c r="B597" i="2" a="1"/>
  <c r="B1042" i="2" a="1"/>
  <c r="B1529" i="2" a="1"/>
  <c r="B1782" i="2" a="1"/>
  <c r="B1730" i="2" a="1"/>
  <c r="B274" i="2" a="1"/>
  <c r="B766" i="2" a="1"/>
  <c r="B2180" i="2" a="1"/>
  <c r="B123" i="2" a="1"/>
  <c r="B2042" i="2" a="1"/>
  <c r="B651" i="2" a="1"/>
  <c r="B1380" i="2" a="1"/>
  <c r="B331" i="2" a="1"/>
  <c r="B2085" i="2" a="1"/>
  <c r="B799" i="2" a="1"/>
  <c r="B2018" i="2" a="1"/>
  <c r="B358" i="2" a="1"/>
  <c r="B65" i="2" a="1"/>
  <c r="B916" i="2" a="1"/>
  <c r="B403" i="2" a="1"/>
  <c r="B397" i="2" a="1"/>
  <c r="B1092" i="2" a="1"/>
  <c r="B1548" i="2" a="1"/>
  <c r="B1793" i="2" a="1"/>
  <c r="B2289" i="2" a="1"/>
  <c r="B1123" i="2" a="1"/>
  <c r="B2145" i="2" a="1"/>
  <c r="B1975" i="2" a="1"/>
  <c r="B1859" i="2" a="1"/>
  <c r="B2287" i="2" a="1"/>
  <c r="B2210" i="2" a="1"/>
  <c r="B1824" i="2" a="1"/>
  <c r="B708" i="2" a="1"/>
  <c r="B956" i="2" a="1"/>
  <c r="B948" i="2" a="1"/>
  <c r="B1974" i="2" a="1"/>
  <c r="B616" i="2" a="1"/>
  <c r="B2054" i="2" a="1"/>
  <c r="B882" i="2" a="1"/>
  <c r="B1518" i="2" a="1"/>
  <c r="B866" i="2" a="1"/>
  <c r="B446" i="2" a="1"/>
  <c r="B2365" i="2" a="1"/>
  <c r="B179" i="2" a="1"/>
  <c r="B1483" i="2" a="1"/>
  <c r="B1645" i="2" a="1"/>
  <c r="B966" i="2" a="1"/>
  <c r="B2310" i="2" a="1"/>
  <c r="B1654" i="2" a="1"/>
  <c r="B2120" i="2" a="1"/>
  <c r="B1973" i="2" a="1"/>
  <c r="B1625" i="2" a="1"/>
  <c r="B2338" i="2" a="1"/>
  <c r="B1750" i="2" a="1"/>
  <c r="B1001" i="2" a="1"/>
  <c r="B1620" i="2" a="1"/>
  <c r="A1925" i="4" a="1"/>
  <c r="A2143" i="4" a="1"/>
  <c r="A2012" i="4" a="1"/>
  <c r="A2275" i="4" a="1"/>
  <c r="A1090" i="4" a="1"/>
  <c r="A1868" i="4" a="1"/>
  <c r="A2131" i="4" a="1"/>
  <c r="A1476" i="4" a="1"/>
  <c r="A2210" i="4" a="1"/>
  <c r="A1142" i="4" a="1"/>
  <c r="A1835" i="4" a="1"/>
  <c r="A1026" i="4" a="1"/>
  <c r="A2178" i="4" a="1"/>
  <c r="A1162" i="4" a="1"/>
  <c r="A1725" i="4" a="1"/>
  <c r="A2075" i="4" a="1"/>
  <c r="A1855" i="4" a="1"/>
  <c r="A2039" i="4" a="1"/>
  <c r="A1908" i="4" a="1"/>
  <c r="A1829" i="4" a="1"/>
  <c r="A1798" i="4" a="1"/>
  <c r="A940" i="4" a="1"/>
  <c r="A2021" i="4" a="1"/>
  <c r="A965" i="4" a="1"/>
  <c r="B1713" i="2" a="1"/>
  <c r="A2230" i="4" a="1"/>
  <c r="B1312" i="2" a="1"/>
  <c r="A2289" i="4" a="1"/>
  <c r="A1122" i="4" a="1"/>
  <c r="A2108" i="4" a="1"/>
  <c r="A1338" i="4" a="1"/>
  <c r="A2222" i="4" a="1"/>
  <c r="A1157" i="4" a="1"/>
  <c r="A1961" i="4" a="1"/>
  <c r="A1872" i="4" a="1"/>
  <c r="A1537" i="4" a="1"/>
  <c r="A818" i="4" a="1"/>
  <c r="A1289" i="4" a="1"/>
  <c r="A1953" i="4" a="1"/>
  <c r="A1600" i="4" a="1"/>
  <c r="A2226" i="4" a="1"/>
  <c r="A1405" i="4" a="1"/>
  <c r="D744" i="4" a="1"/>
  <c r="A541" i="4" a="1"/>
  <c r="A1321" i="4" a="1"/>
  <c r="D750" i="4" a="1"/>
  <c r="A554" i="4" a="1"/>
  <c r="A2049" i="4" a="1"/>
  <c r="A1440" i="4" a="1"/>
  <c r="D684" i="4" a="1"/>
  <c r="A292" i="4" a="1"/>
  <c r="A939" i="4" a="1"/>
  <c r="A805" i="4" a="1"/>
  <c r="A799" i="4" a="1"/>
  <c r="A470" i="4" a="1"/>
  <c r="A1442" i="4" a="1"/>
  <c r="A853" i="4" a="1"/>
  <c r="A248" i="4" a="1"/>
  <c r="A918" i="4" a="1"/>
  <c r="A1637" i="4" a="1"/>
  <c r="A1787" i="4" a="1"/>
  <c r="A1073" i="4" a="1"/>
  <c r="A1421" i="4" a="1"/>
  <c r="D645" i="4" a="1"/>
  <c r="A1270" i="4" a="1"/>
  <c r="A873" i="4" a="1"/>
  <c r="A1585" i="4" a="1"/>
  <c r="D798" i="4" a="1"/>
  <c r="A1672" i="4" a="1"/>
  <c r="A1168" i="4" a="1"/>
  <c r="C25" i="3" a="1"/>
  <c r="D809" i="4" a="1"/>
  <c r="A250" i="4" a="1"/>
  <c r="A1347" i="4" a="1"/>
  <c r="A742" i="4" a="1"/>
  <c r="A436" i="4" a="1"/>
  <c r="A936" i="4" a="1"/>
  <c r="C45" i="3" a="1"/>
  <c r="D714" i="4" a="1"/>
  <c r="A290" i="4" a="1"/>
  <c r="A1105" i="4" a="1"/>
  <c r="A703" i="4" a="1"/>
  <c r="A592" i="4" a="1"/>
  <c r="A987" i="4" a="1"/>
  <c r="D682" i="4" a="1"/>
  <c r="A761" i="4" a="1"/>
  <c r="A397" i="4" a="1"/>
  <c r="A1666" i="4" a="1"/>
  <c r="D824" i="4" a="1"/>
  <c r="A121" i="4" a="1"/>
  <c r="A1599" i="4" a="1"/>
  <c r="D837" i="4" a="1"/>
  <c r="D664" i="4" a="1"/>
  <c r="D703" i="4" a="1"/>
  <c r="A733" i="4" a="1"/>
  <c r="A720" i="4" a="1"/>
  <c r="A1069" i="4" a="1"/>
  <c r="A1036" i="4" a="1"/>
  <c r="A122" i="4" a="1"/>
  <c r="A159" i="4" a="1"/>
  <c r="A572" i="4" a="1"/>
  <c r="A390" i="4" a="1"/>
  <c r="A410" i="4" a="1"/>
  <c r="A518" i="4" a="1"/>
  <c r="A528" i="4" a="1"/>
  <c r="A395" i="4" a="1"/>
  <c r="A594" i="4" a="1"/>
  <c r="A5" i="4" a="1"/>
  <c r="A475" i="4" a="1"/>
  <c r="A830" i="4" a="1"/>
  <c r="A641" i="4" a="1"/>
  <c r="A383" i="4" a="1"/>
  <c r="D676" i="4" a="1"/>
  <c r="A677" i="4" a="1"/>
  <c r="A1712" i="4" a="1"/>
  <c r="A1500" i="4" a="1"/>
  <c r="D193" i="4" a="1"/>
  <c r="K1395" i="5" a="1"/>
  <c r="B1671" i="5" a="1"/>
  <c r="H1691" i="5" a="1"/>
  <c r="I1585" i="5" a="1"/>
  <c r="M1832" i="5" a="1"/>
  <c r="H1682" i="5" a="1"/>
  <c r="K1580" i="5" a="1"/>
  <c r="B1830" i="5" a="1"/>
  <c r="L1697" i="5" a="1"/>
  <c r="K1638" i="5" a="1"/>
  <c r="N1699" i="5" a="1"/>
  <c r="M1601" i="5" a="1"/>
  <c r="B1920" i="5" a="1"/>
  <c r="H1856" i="5" a="1"/>
  <c r="N1962" i="5" a="1"/>
  <c r="M1910" i="5" a="1"/>
  <c r="H1992" i="5" a="1"/>
  <c r="M1947" i="5" a="1"/>
  <c r="H1804" i="5" a="1"/>
  <c r="K1930" i="5" a="1"/>
  <c r="L1959" i="5" a="1"/>
  <c r="J1987" i="5" a="1"/>
  <c r="M1987" i="5" a="1"/>
  <c r="J2001" i="5" a="1"/>
  <c r="N1940" i="5" a="1"/>
  <c r="E1900" i="5" a="1"/>
  <c r="N1969" i="5" a="1"/>
  <c r="B1910" i="5" a="1"/>
  <c r="I1935" i="5" a="1"/>
  <c r="E1972" i="5" a="1"/>
  <c r="J1622" i="5" a="1"/>
  <c r="J1983" i="5" a="1"/>
  <c r="E1955" i="5" a="1"/>
  <c r="J1941" i="5" a="1"/>
  <c r="E1993" i="5" a="1"/>
  <c r="B310" i="2" a="1"/>
  <c r="B730" i="2" a="1"/>
  <c r="B1238" i="2" a="1"/>
  <c r="B1810" i="2" a="1"/>
  <c r="B406" i="2" a="1"/>
  <c r="B659" i="2" a="1"/>
  <c r="B640" i="2" a="1"/>
  <c r="B424" i="2" a="1"/>
  <c r="B777" i="2" a="1"/>
  <c r="B800" i="2" a="1"/>
  <c r="B790" i="2" a="1"/>
  <c r="B1845" i="2" a="1"/>
  <c r="B9" i="2" a="1"/>
  <c r="B37" i="2" a="1"/>
  <c r="B445" i="2" a="1"/>
  <c r="B442" i="2" a="1"/>
  <c r="B1232" i="2" a="1"/>
  <c r="B1391" i="2" a="1"/>
  <c r="B501" i="2" a="1"/>
  <c r="B130" i="2" a="1"/>
  <c r="B1381" i="2" a="1"/>
  <c r="B29" i="2" a="1"/>
  <c r="B1583" i="2" a="1"/>
  <c r="B1012" i="2" a="1"/>
  <c r="B1419" i="2" a="1"/>
  <c r="B1260" i="2" a="1"/>
  <c r="B363" i="2" a="1"/>
  <c r="B149" i="2" a="1"/>
  <c r="B1573" i="2" a="1"/>
  <c r="B1484" i="2" a="1"/>
  <c r="B676" i="2" a="1"/>
  <c r="B738" i="2" a="1"/>
  <c r="B1559" i="2" a="1"/>
  <c r="B207" i="2" a="1"/>
  <c r="B1094" i="2" a="1"/>
  <c r="B305" i="2" a="1"/>
  <c r="B1349" i="2" a="1"/>
  <c r="B643" i="2" a="1"/>
  <c r="B1225" i="2" a="1"/>
  <c r="B1862" i="2" a="1"/>
  <c r="B1813" i="2" a="1"/>
  <c r="B2235" i="2" a="1"/>
  <c r="B2294" i="2" a="1"/>
  <c r="B1192" i="2" a="1"/>
  <c r="B1520" i="2" a="1"/>
  <c r="B1498" i="2" a="1"/>
  <c r="B1476" i="2" a="1"/>
  <c r="B413" i="2" a="1"/>
  <c r="B558" i="2" a="1"/>
  <c r="B863" i="2" a="1"/>
  <c r="B1646" i="2" a="1"/>
  <c r="B1122" i="2" a="1"/>
  <c r="B694" i="2" a="1"/>
  <c r="B756" i="2" a="1"/>
  <c r="B2060" i="2" a="1"/>
  <c r="B2282" i="2" a="1"/>
  <c r="B1025" i="2" a="1"/>
  <c r="B954" i="2" a="1"/>
  <c r="B2101" i="2" a="1"/>
  <c r="B2236" i="2" a="1"/>
  <c r="B2299" i="2" a="1"/>
  <c r="B1358" i="2" a="1"/>
  <c r="B1690" i="2" a="1"/>
  <c r="B906" i="2" a="1"/>
  <c r="B27" i="2" a="1"/>
  <c r="B2347" i="2" a="1"/>
  <c r="B2137" i="2" a="1"/>
  <c r="B1605" i="2" a="1"/>
  <c r="B1241" i="2" a="1"/>
  <c r="B1136" i="2" a="1"/>
  <c r="B2286" i="2" a="1"/>
  <c r="B1060" i="2" a="1"/>
  <c r="B2110" i="2" a="1"/>
  <c r="B666" i="2" a="1"/>
  <c r="A1906" i="4" a="1"/>
  <c r="A1863" i="4" a="1"/>
  <c r="A1890" i="4" a="1"/>
  <c r="A2192" i="4" a="1"/>
  <c r="A1010" i="4" a="1"/>
  <c r="A1988" i="4" a="1"/>
  <c r="A2159" i="4" a="1"/>
  <c r="A929" i="4" a="1"/>
  <c r="A2116" i="4" a="1"/>
  <c r="A1362" i="4" a="1"/>
  <c r="A1955" i="4" a="1"/>
  <c r="A1215" i="4" a="1"/>
  <c r="A2174" i="4" a="1"/>
  <c r="A1361" i="4" a="1"/>
  <c r="A1845" i="4" a="1"/>
  <c r="A2027" i="4" a="1"/>
  <c r="A1975" i="4" a="1"/>
  <c r="A2193" i="4" a="1"/>
  <c r="A1745" i="4" a="1"/>
  <c r="A2011" i="4" a="1"/>
  <c r="A1918" i="4" a="1"/>
  <c r="A1106" i="4" a="1"/>
  <c r="A1743" i="4" a="1"/>
  <c r="A1085" i="4" a="1"/>
  <c r="B1883" i="2" a="1"/>
  <c r="A2300" i="4" a="1"/>
  <c r="B1964" i="2" a="1"/>
  <c r="A2277" i="4" a="1"/>
  <c r="A1393" i="4" a="1"/>
  <c r="A2268" i="4" a="1"/>
  <c r="A1264" i="4" a="1"/>
  <c r="A2236" i="4" a="1"/>
  <c r="A1301" i="4" a="1"/>
  <c r="A1828" i="4" a="1"/>
  <c r="A2137" i="4" a="1"/>
  <c r="A1627" i="4" a="1"/>
  <c r="A737" i="4" a="1"/>
  <c r="A1395" i="4" a="1"/>
  <c r="A911" i="4" a="1"/>
  <c r="C4" i="3" a="1"/>
  <c r="A2140" i="4" a="1"/>
  <c r="A1518" i="4" a="1"/>
  <c r="D813" i="4" a="1"/>
  <c r="A202" i="4" a="1"/>
  <c r="A1303" i="4" a="1"/>
  <c r="D598" i="4" a="1"/>
  <c r="A195" i="4" a="1"/>
  <c r="A2304" i="4" a="1"/>
  <c r="A1590" i="4" a="1"/>
  <c r="A752" i="4" a="1"/>
  <c r="A219" i="4" a="1"/>
  <c r="A1184" i="4" a="1"/>
  <c r="D652" i="4" a="1"/>
  <c r="A684" i="4" a="1"/>
  <c r="A282" i="4" a="1"/>
  <c r="A1353" i="4" a="1"/>
  <c r="A606" i="4" a="1"/>
  <c r="A488" i="4" a="1"/>
  <c r="A1118" i="4" a="1"/>
  <c r="C64" i="3" a="1"/>
  <c r="A2262" i="4" a="1"/>
  <c r="A1204" i="4" a="1"/>
  <c r="A1095" i="4" a="1"/>
  <c r="D705" i="4" a="1"/>
  <c r="A1383" i="4" a="1"/>
  <c r="B2157" i="2" a="1"/>
  <c r="A1691" i="4" a="1"/>
  <c r="D817" i="4" a="1"/>
  <c r="A1525" i="4" a="1"/>
  <c r="A1070" i="4" a="1"/>
  <c r="C49" i="3" a="1"/>
  <c r="D849" i="4" a="1"/>
  <c r="A271" i="4" a="1"/>
  <c r="A1569" i="4" a="1"/>
  <c r="D746" i="4" a="1"/>
  <c r="A88" i="4" a="1"/>
  <c r="A1208" i="4" a="1"/>
  <c r="C9" i="3" a="1"/>
  <c r="A659" i="4" a="1"/>
  <c r="A331" i="4" a="1"/>
  <c r="A1209" i="4" a="1"/>
  <c r="A614" i="4" a="1"/>
  <c r="A289" i="4" a="1"/>
  <c r="A1430" i="4" a="1"/>
  <c r="D742" i="4" a="1"/>
  <c r="A786" i="4" a="1"/>
  <c r="A221" i="4" a="1"/>
  <c r="A1514" i="4" a="1"/>
  <c r="A865" i="4" a="1"/>
  <c r="A417" i="4" a="1"/>
  <c r="A1592" i="4" a="1"/>
  <c r="A769" i="4" a="1"/>
  <c r="A602" i="4" a="1"/>
  <c r="D691" i="4" a="1"/>
  <c r="D866" i="4" a="1"/>
  <c r="A803" i="4" a="1"/>
  <c r="A760" i="4" a="1"/>
  <c r="A1609" i="4" a="1"/>
  <c r="A2260" i="4" a="1"/>
  <c r="A557" i="4" a="1"/>
  <c r="A2333" i="4" a="1"/>
  <c r="A490" i="4" a="1"/>
  <c r="A112" i="4" a="1"/>
  <c r="A570" i="4" a="1"/>
  <c r="A61" i="4" a="1"/>
  <c r="A266" i="4" a="1"/>
  <c r="A405" i="4" a="1"/>
  <c r="A415" i="4" a="1"/>
  <c r="A296" i="4" a="1"/>
  <c r="A363" i="4" a="1"/>
  <c r="A373" i="4" a="1"/>
  <c r="A244" i="4" a="1"/>
  <c r="A393" i="4" a="1"/>
  <c r="D828" i="4" a="1"/>
  <c r="A473" i="4" a="1"/>
  <c r="A845" i="4" a="1"/>
  <c r="H1460" i="5" a="1"/>
  <c r="M1101" i="5" a="1"/>
  <c r="I1692" i="5" a="1"/>
  <c r="J1587" i="5" a="1"/>
  <c r="N1833" i="5" a="1"/>
  <c r="M1685" i="5" a="1"/>
  <c r="B1584" i="5" a="1"/>
  <c r="B1842" i="5" a="1"/>
  <c r="H1701" i="5" a="1"/>
  <c r="B1674" i="5" a="1"/>
  <c r="B1729" i="5" a="1"/>
  <c r="H1685" i="5" a="1"/>
  <c r="B1932" i="5" a="1"/>
  <c r="M1861" i="5" a="1"/>
  <c r="E1966" i="5" a="1"/>
  <c r="N1912" i="5" a="1"/>
  <c r="L1994" i="5" a="1"/>
  <c r="I1959" i="5" a="1"/>
  <c r="K1831" i="5" a="1"/>
  <c r="I1963" i="5" a="1"/>
  <c r="H1969" i="5" a="1"/>
  <c r="N1994" i="5" a="1"/>
  <c r="B1996" i="5" a="1"/>
  <c r="M1975" i="5" a="1"/>
  <c r="H1950" i="5" a="1"/>
  <c r="E1904" i="5" a="1"/>
  <c r="J1979" i="5" a="1"/>
  <c r="B1914" i="5" a="1"/>
  <c r="E1941" i="5" a="1"/>
  <c r="E1976" i="5" a="1"/>
  <c r="K1808" i="5" a="1"/>
  <c r="K1997" i="5" a="1"/>
  <c r="L1996" i="5" a="1"/>
  <c r="H1955" i="5" a="1"/>
  <c r="L1875" i="5" a="1"/>
  <c r="B1034" i="2" a="1"/>
  <c r="B1892" i="2" a="1"/>
  <c r="B734" i="2" a="1"/>
  <c r="B627" i="2" a="1"/>
  <c r="B748" i="2" a="1"/>
  <c r="B1761" i="2" a="1"/>
  <c r="B1233" i="2" a="1"/>
  <c r="B1839" i="2" a="1"/>
  <c r="B127" i="2" a="1"/>
  <c r="B1829" i="2" a="1"/>
  <c r="B148" i="2" a="1"/>
  <c r="B521" i="2" a="1"/>
  <c r="B1027" i="2" a="1"/>
  <c r="B477" i="2" a="1"/>
  <c r="B560" i="2" a="1"/>
  <c r="B63" i="2" a="1"/>
  <c r="B1817" i="2" a="1"/>
  <c r="B1909" i="2" a="1"/>
  <c r="B1293" i="2" a="1"/>
  <c r="B739" i="2" a="1"/>
  <c r="B287" i="2" a="1"/>
  <c r="B1294" i="2" a="1"/>
  <c r="B1893" i="2" a="1"/>
  <c r="B507" i="2" a="1"/>
  <c r="B1946" i="2" a="1"/>
  <c r="B1705" i="2" a="1"/>
  <c r="B603" i="2" a="1"/>
  <c r="B1121" i="2" a="1"/>
  <c r="B942" i="2" a="1"/>
  <c r="B497" i="2" a="1"/>
  <c r="B908" i="2" a="1"/>
  <c r="B1404" i="2" a="1"/>
  <c r="B151" i="2" a="1"/>
  <c r="B1074" i="2" a="1"/>
  <c r="B564" i="2" a="1"/>
  <c r="B545" i="2" a="1"/>
  <c r="B1016" i="2" a="1"/>
  <c r="B34" i="2" a="1"/>
  <c r="B138" i="2" a="1"/>
  <c r="B1649" i="2" a="1"/>
  <c r="B945" i="2" a="1"/>
  <c r="B2047" i="2" a="1"/>
  <c r="B2330" i="2" a="1"/>
  <c r="B1656" i="2" a="1"/>
  <c r="B2090" i="2" a="1"/>
  <c r="B167" i="2" a="1"/>
  <c r="B1997" i="2" a="1"/>
  <c r="B731" i="2" a="1"/>
  <c r="B2066" i="2" a="1"/>
  <c r="B58" i="2" a="1"/>
  <c r="B1830" i="2" a="1"/>
  <c r="B1847" i="2" a="1"/>
  <c r="B1239" i="2" a="1"/>
  <c r="B1989" i="2" a="1"/>
  <c r="B478" i="2" a="1"/>
  <c r="B2303" i="2" a="1"/>
  <c r="B1563" i="2" a="1"/>
  <c r="B1436" i="2" a="1"/>
  <c r="B308" i="2" a="1"/>
  <c r="B2153" i="2" a="1"/>
  <c r="B64" i="2" a="1"/>
  <c r="B1616" i="2" a="1"/>
  <c r="B987" i="2" a="1"/>
  <c r="B1947" i="2" a="1"/>
  <c r="B680" i="2" a="1"/>
  <c r="A1754" i="4" a="1"/>
  <c r="B1031" i="2" a="1"/>
  <c r="B1749" i="2" a="1"/>
  <c r="B1397" i="2" a="1"/>
  <c r="B569" i="2" a="1"/>
  <c r="B2269" i="2" a="1"/>
  <c r="B1266" i="2" a="1"/>
  <c r="B1926" i="2" a="1"/>
  <c r="B1596" i="2" a="1"/>
  <c r="A1780" i="4" a="1"/>
  <c r="A1800" i="4" a="1"/>
  <c r="A1907" i="4" a="1"/>
  <c r="A2102" i="4" a="1"/>
  <c r="A1352" i="4" a="1"/>
  <c r="A1825" i="4" a="1"/>
  <c r="A2186" i="4" a="1"/>
  <c r="A956" i="4" a="1"/>
  <c r="A2129" i="4" a="1"/>
  <c r="A1337" i="4" a="1"/>
  <c r="A1742" i="4" a="1"/>
  <c r="A1314" i="4" a="1"/>
  <c r="A2089" i="4" a="1"/>
  <c r="A1145" i="4" a="1"/>
  <c r="A1965" i="4" a="1"/>
  <c r="A2183" i="4" a="1"/>
  <c r="A1797" i="4" a="1"/>
  <c r="A1732" i="4" a="1"/>
  <c r="A1865" i="4" a="1"/>
  <c r="A1870" i="4" a="1"/>
  <c r="A1755" i="4" a="1"/>
  <c r="A1354" i="4" a="1"/>
  <c r="A1980" i="4" a="1"/>
  <c r="A953" i="4" a="1"/>
  <c r="A1864" i="4" a="1"/>
  <c r="A2320" i="4" a="1"/>
  <c r="B1009" i="2" a="1"/>
  <c r="A2136" i="4" a="1"/>
  <c r="A1152" i="4" a="1"/>
  <c r="A2007" i="4" a="1"/>
  <c r="A1286" i="4" a="1"/>
  <c r="A2016" i="4" a="1"/>
  <c r="A972" i="4" a="1"/>
  <c r="A1948" i="4" a="1"/>
  <c r="A2256" i="4" a="1"/>
  <c r="A1513" i="4" a="1"/>
  <c r="A1877" i="4" a="1"/>
  <c r="A1532" i="4" a="1"/>
  <c r="A1141" i="4" a="1"/>
  <c r="C56" i="3" a="1"/>
  <c r="A1903" i="4" a="1"/>
  <c r="A1239" i="4" a="1"/>
  <c r="A766" i="4" a="1"/>
  <c r="A252" i="4" a="1"/>
  <c r="A1307" i="4" a="1"/>
  <c r="D658" i="4" a="1"/>
  <c r="A435" i="4" a="1"/>
  <c r="A1873" i="4" a="1"/>
  <c r="A1463" i="4" a="1"/>
  <c r="D814" i="4" a="1"/>
  <c r="A137" i="4" a="1"/>
  <c r="A1420" i="4" a="1"/>
  <c r="D712" i="4" a="1"/>
  <c r="A716" i="4" a="1"/>
  <c r="A312" i="4" a="1"/>
  <c r="A1642" i="4" a="1"/>
  <c r="A671" i="4" a="1"/>
  <c r="A267" i="4" a="1"/>
  <c r="A1065" i="4" a="1"/>
  <c r="C28" i="3" a="1"/>
  <c r="A2326" i="4" a="1"/>
  <c r="A1571" i="4" a="1"/>
  <c r="A1495" i="4" a="1"/>
  <c r="D765" i="4" a="1"/>
  <c r="A1519" i="4" a="1"/>
  <c r="A1718" i="4" a="1"/>
  <c r="A1570" i="4" a="1"/>
  <c r="D646" i="4" a="1"/>
  <c r="A1220" i="4" a="1"/>
  <c r="A949" i="4" a="1"/>
  <c r="A605" i="4" a="1"/>
  <c r="A717" i="4" a="1"/>
  <c r="A509" i="4" a="1"/>
  <c r="A1437" i="4" a="1"/>
  <c r="A706" i="4" a="1"/>
  <c r="A328" i="4" a="1"/>
  <c r="A1082" i="4" a="1"/>
  <c r="A615" i="4" a="1"/>
  <c r="A791" i="4" a="1"/>
  <c r="A32" i="4" a="1"/>
  <c r="A1481" i="4" a="1"/>
  <c r="A751" i="4" a="1"/>
  <c r="A469" i="4" a="1"/>
  <c r="A1598" i="4" a="1"/>
  <c r="D802" i="4" a="1"/>
  <c r="A93" i="4" a="1"/>
  <c r="B1280" i="2" a="1"/>
  <c r="A1413" i="4" a="1"/>
  <c r="D801" i="4" a="1"/>
  <c r="A241" i="4" a="1"/>
  <c r="A1670" i="4" a="1"/>
  <c r="B801" i="2" a="1"/>
  <c r="D764" i="4" a="1"/>
  <c r="D865" i="4" a="1"/>
  <c r="D656" i="4" a="1"/>
  <c r="D870" i="4" a="1"/>
  <c r="D609" i="4" a="1"/>
  <c r="A765" i="4" a="1"/>
  <c r="A909" i="4" a="1"/>
  <c r="A2280" i="4" a="1"/>
  <c r="A1107" i="4" a="1"/>
  <c r="A587" i="4" a="1"/>
  <c r="A531" i="4" a="1"/>
  <c r="A449" i="4" a="1"/>
  <c r="A487" i="4" a="1"/>
  <c r="A138" i="4" a="1"/>
  <c r="A276" i="4" a="1"/>
  <c r="A286" i="4" a="1"/>
  <c r="A168" i="4" a="1"/>
  <c r="A164" i="4" a="1"/>
  <c r="A234" i="4" a="1"/>
  <c r="A45" i="4" a="1"/>
  <c r="A254" i="4" a="1"/>
  <c r="A403" i="4" a="1"/>
  <c r="A162" i="4" a="1"/>
  <c r="A155" i="4" a="1"/>
  <c r="J1508" i="5" a="1"/>
  <c r="K1320" i="5" a="1"/>
  <c r="J1693" i="5" a="1"/>
  <c r="J1591" i="5" a="1"/>
  <c r="E1837" i="5" a="1"/>
  <c r="M1687" i="5" a="1"/>
  <c r="J1590" i="5" a="1"/>
  <c r="B1854" i="5" a="1"/>
  <c r="E1703" i="5" a="1"/>
  <c r="I1683" i="5" a="1"/>
  <c r="M1744" i="5" a="1"/>
  <c r="H1707" i="5" a="1"/>
  <c r="B1944" i="5" a="1"/>
  <c r="M1868" i="5" a="1"/>
  <c r="H1968" i="5" a="1"/>
  <c r="I1922" i="5" a="1"/>
  <c r="E2000" i="5" a="1"/>
  <c r="N1976" i="5" a="1"/>
  <c r="H1864" i="5" a="1"/>
  <c r="H1965" i="5" a="1"/>
  <c r="E1973" i="5" a="1"/>
  <c r="E1998" i="5" a="1"/>
  <c r="L1971" i="5" a="1"/>
  <c r="K1984" i="5" a="1"/>
  <c r="M1967" i="5" a="1"/>
  <c r="N1909" i="5" a="1"/>
  <c r="J1813" i="5" a="1"/>
  <c r="M1919" i="5" a="1"/>
  <c r="K1956" i="5" a="1"/>
  <c r="K1981" i="5" a="1"/>
  <c r="K1862" i="5" a="1"/>
  <c r="B1953" i="5" a="1"/>
  <c r="I1895" i="5" a="1"/>
  <c r="H1974" i="5" a="1"/>
  <c r="I1891" i="5" a="1"/>
  <c r="B1416" i="2" a="1"/>
  <c r="B2132" i="2" a="1"/>
  <c r="B1271" i="2" a="1"/>
  <c r="B1711" i="2" a="1"/>
  <c r="B28" i="2" a="1"/>
  <c r="B374" i="2" a="1"/>
  <c r="B962" i="2" a="1"/>
  <c r="B1477" i="2" a="1"/>
  <c r="B859" i="2" a="1"/>
  <c r="B1865" i="2" a="1"/>
  <c r="B1002" i="2" a="1"/>
  <c r="B1884" i="2" a="1"/>
  <c r="B8" i="2" a="1"/>
  <c r="B819" i="2" a="1"/>
  <c r="B111" i="2" a="1"/>
  <c r="B174" i="2" a="1"/>
  <c r="B1187" i="2" a="1"/>
  <c r="B1864" i="2" a="1"/>
  <c r="B1874" i="2" a="1"/>
  <c r="B1455" i="2" a="1"/>
  <c r="B1917" i="2" a="1"/>
  <c r="B2003" i="2" a="1"/>
  <c r="B1407" i="2" a="1"/>
  <c r="B1159" i="2" a="1"/>
  <c r="B510" i="2" a="1"/>
  <c r="B1426" i="2" a="1"/>
  <c r="B843" i="2" a="1"/>
  <c r="B210" i="2" a="1"/>
  <c r="B584" i="2" a="1"/>
  <c r="B2075" i="2" a="1"/>
  <c r="B1148" i="2" a="1"/>
  <c r="B1979" i="2" a="1"/>
  <c r="B1357" i="2" a="1"/>
  <c r="B239" i="2" a="1"/>
  <c r="B1224" i="2" a="1"/>
  <c r="B785" i="2" a="1"/>
  <c r="B1590" i="2" a="1"/>
  <c r="B75" i="2" a="1"/>
  <c r="B943" i="2" a="1"/>
  <c r="B1627" i="2" a="1"/>
  <c r="B1304" i="2" a="1"/>
  <c r="B1576" i="2" a="1"/>
  <c r="B2356" i="2" a="1"/>
  <c r="B1877" i="2" a="1"/>
  <c r="B1706" i="2" a="1"/>
  <c r="B2118" i="2" a="1"/>
  <c r="B491" i="2" a="1"/>
  <c r="B1153" i="2" a="1"/>
  <c r="B1965" i="2" a="1"/>
  <c r="B2014" i="2" a="1"/>
  <c r="B2280" i="2" a="1"/>
  <c r="B327" i="2" a="1"/>
  <c r="B902" i="2" a="1"/>
  <c r="B2130" i="2" a="1"/>
  <c r="B301" i="2" a="1"/>
  <c r="B2335" i="2" a="1"/>
  <c r="B2184" i="2" a="1"/>
  <c r="B828" i="2" a="1"/>
  <c r="B1597" i="2" a="1"/>
  <c r="B1820" i="2" a="1"/>
  <c r="B1208" i="2" a="1"/>
  <c r="B2037" i="2" a="1"/>
  <c r="B1252" i="2" a="1"/>
  <c r="B1717" i="2" a="1"/>
  <c r="B1958" i="2" a="1"/>
  <c r="B92" i="2" a="1"/>
  <c r="B1541" i="2" a="1"/>
  <c r="B1109" i="2" a="1"/>
  <c r="B196" i="2" a="1"/>
  <c r="B909" i="2" a="1"/>
  <c r="B332" i="2" a="1"/>
  <c r="B1898" i="2" a="1"/>
  <c r="B1352" i="2" a="1"/>
  <c r="B926" i="2" a="1"/>
  <c r="A2002" i="4" a="1"/>
  <c r="A1777" i="4" a="1"/>
  <c r="A1916" i="4" a="1"/>
  <c r="A2134" i="4" a="1"/>
  <c r="A966" i="4" a="1"/>
  <c r="A1945" i="4" a="1"/>
  <c r="A1860" i="4" a="1"/>
  <c r="A1560" i="4" a="1"/>
  <c r="A2167" i="4" a="1"/>
  <c r="A1461" i="4" a="1"/>
  <c r="A1970" i="4" a="1"/>
  <c r="A1236" i="4" a="1"/>
  <c r="A2295" i="4" a="1"/>
  <c r="A1372" i="4" a="1"/>
  <c r="A1847" i="4" a="1"/>
  <c r="A2126" i="4" a="1"/>
  <c r="A1998" i="4" a="1"/>
  <c r="A2029" i="4" a="1"/>
  <c r="A1985" i="4" a="1"/>
  <c r="A1723" i="4" a="1"/>
  <c r="A1875" i="4" a="1"/>
  <c r="A1253" i="4" a="1"/>
  <c r="A2082" i="4" a="1"/>
  <c r="A1178" i="4" a="1"/>
  <c r="A1984" i="4" a="1"/>
  <c r="A2206" i="4" a="1"/>
  <c r="A1734" i="4" a="1"/>
  <c r="A941" i="4" a="1"/>
  <c r="A1628" i="4" a="1"/>
  <c r="A1913" i="4" a="1"/>
  <c r="A1350" i="4" a="1"/>
  <c r="A2191" i="4" a="1"/>
  <c r="A1312" i="4" a="1"/>
  <c r="A1785" i="4" a="1"/>
  <c r="A2238" i="4" a="1"/>
  <c r="A1266" i="4" a="1"/>
  <c r="A2255" i="4" a="1"/>
  <c r="A1574" i="4" a="1"/>
  <c r="A997" i="4" a="1"/>
  <c r="C70" i="3" a="1"/>
  <c r="A2254" i="4" a="1"/>
  <c r="A1711" i="4" a="1"/>
  <c r="A609" i="4" a="1"/>
  <c r="A139" i="4" a="1"/>
  <c r="A1639" i="4" a="1"/>
  <c r="D718" i="4" a="1"/>
  <c r="A86" i="4" a="1"/>
  <c r="A1014" i="4" a="1"/>
  <c r="A1663" i="4" a="1"/>
  <c r="D829" i="4" a="1"/>
  <c r="A279" i="4" a="1"/>
  <c r="A1280" i="4" a="1"/>
  <c r="D772" i="4" a="1"/>
  <c r="D644" i="4" a="1"/>
  <c r="A259" i="4" a="1"/>
  <c r="A1443" i="4" a="1"/>
  <c r="A869" i="4" a="1"/>
  <c r="A380" i="4" a="1"/>
  <c r="A1047" i="4" a="1"/>
  <c r="C61" i="3" a="1"/>
  <c r="A2327" i="4" a="1"/>
  <c r="A1552" i="4" a="1"/>
  <c r="A1398" i="4" a="1"/>
  <c r="D613" i="4" a="1"/>
  <c r="A1426" i="4" a="1"/>
  <c r="A2122" i="4" a="1"/>
  <c r="A1019" i="4" a="1"/>
  <c r="A669" i="4" a="1"/>
  <c r="A1697" i="4" a="1"/>
  <c r="A1284" i="4" a="1"/>
  <c r="A725" i="4" a="1"/>
  <c r="A810" i="4" a="1"/>
  <c r="A547" i="4" a="1"/>
  <c r="A1479" i="4" a="1"/>
  <c r="A771" i="4" a="1"/>
  <c r="A568" i="4" a="1"/>
  <c r="A1294" i="4" a="1"/>
  <c r="A735" i="4" a="1"/>
  <c r="A691" i="4" a="1"/>
  <c r="A140" i="4" a="1"/>
  <c r="A1387" i="4" a="1"/>
  <c r="D816" i="4" a="1"/>
  <c r="A310" i="4" a="1"/>
  <c r="A1665" i="4" a="1"/>
  <c r="A708" i="4" a="1"/>
  <c r="A333" i="4" a="1"/>
  <c r="A1950" i="4" a="1"/>
  <c r="A1565" i="4" a="1"/>
  <c r="A103" i="4" a="1"/>
  <c r="B709" i="2" a="1"/>
  <c r="A1435" i="4" a="1"/>
  <c r="A1795" i="4" a="1"/>
  <c r="A33" i="4" a="1"/>
  <c r="D639" i="4" a="1"/>
  <c r="D701" i="4" a="1"/>
  <c r="A626" i="4" a="1"/>
  <c r="D629" i="4" a="1"/>
  <c r="D615" i="4" a="1"/>
  <c r="A1465" i="4" a="1"/>
  <c r="A1190" i="4" a="1"/>
  <c r="A1373" i="4" a="1"/>
  <c r="A439" i="4" a="1"/>
  <c r="A497" i="4" a="1"/>
  <c r="A430" i="4" a="1"/>
  <c r="A450" i="4" a="1"/>
  <c r="A538" i="4" a="1"/>
  <c r="A148" i="4" a="1"/>
  <c r="A158" i="4" a="1"/>
  <c r="A67" i="4" a="1"/>
  <c r="A25" i="4" a="1"/>
  <c r="A35" i="4" a="1"/>
  <c r="A505" i="4" a="1"/>
  <c r="A115" i="4" a="1"/>
  <c r="A264" i="4" a="1"/>
  <c r="D289" i="4" a="1"/>
  <c r="A491" i="4" a="1"/>
  <c r="J1573" i="5" a="1"/>
  <c r="H1272" i="5" a="1"/>
  <c r="M1613" i="5" a="1"/>
  <c r="N1583" i="5" a="1"/>
  <c r="E1680" i="5" a="1"/>
  <c r="K1659" i="5" a="1"/>
  <c r="B1759" i="5" a="1"/>
  <c r="K1716" i="5" a="1"/>
  <c r="J1598" i="5" a="1"/>
  <c r="I1826" i="5" a="1"/>
  <c r="M1833" i="5" a="1"/>
  <c r="L1848" i="5" a="1"/>
  <c r="L1812" i="5" a="1"/>
  <c r="I1836" i="5" a="1"/>
  <c r="J1809" i="5" a="1"/>
  <c r="J1924" i="5" a="1"/>
  <c r="J1747" i="5" a="1"/>
  <c r="J1980" i="5" a="1"/>
  <c r="I1903" i="5" a="1"/>
  <c r="I1967" i="5" a="1"/>
  <c r="M1985" i="5" a="1"/>
  <c r="H2000" i="5" a="1"/>
  <c r="H1997" i="5" a="1"/>
  <c r="H1991" i="5" a="1"/>
  <c r="N1992" i="5" a="1"/>
  <c r="H1927" i="5" a="1"/>
  <c r="H1873" i="5" a="1"/>
  <c r="L1921" i="5" a="1"/>
  <c r="H1962" i="5" a="1"/>
  <c r="E1983" i="5" a="1"/>
  <c r="N1873" i="5" a="1"/>
  <c r="J1885" i="5" a="1"/>
  <c r="N1939" i="5" a="1"/>
  <c r="M1999" i="5" a="1"/>
  <c r="N1900" i="5" a="1"/>
  <c r="B2226" i="2" a="1"/>
  <c r="B600" i="2" a="1"/>
  <c r="B750" i="2" a="1"/>
  <c r="B1796" i="2" a="1"/>
  <c r="B923" i="2" a="1"/>
  <c r="B1818" i="2" a="1"/>
  <c r="B1388" i="2" a="1"/>
  <c r="B1724" i="2" a="1"/>
  <c r="B1452" i="2" a="1"/>
  <c r="B496" i="2" a="1"/>
  <c r="B1410" i="2" a="1"/>
  <c r="B596" i="2" a="1"/>
  <c r="B897" i="2" a="1"/>
  <c r="B871" i="2" a="1"/>
  <c r="B1068" i="2" a="1"/>
  <c r="B695" i="2" a="1"/>
  <c r="B452" i="2" a="1"/>
  <c r="B324" i="2" a="1"/>
  <c r="B481" i="2" a="1"/>
  <c r="B1990" i="2" a="1"/>
  <c r="B1636" i="2" a="1"/>
  <c r="B621" i="2" a="1"/>
  <c r="B1206" i="2" a="1"/>
  <c r="B266" i="2" a="1"/>
  <c r="B1351" i="2" a="1"/>
  <c r="B791" i="2" a="1"/>
  <c r="B35" i="2" a="1"/>
  <c r="B851" i="2" a="1"/>
  <c r="B1657" i="2" a="1"/>
  <c r="B1784" i="2" a="1"/>
  <c r="B261" i="2" a="1"/>
  <c r="B764" i="2" a="1"/>
  <c r="B2127" i="2" a="1"/>
  <c r="B42" i="2" a="1"/>
  <c r="B339" i="2" a="1"/>
  <c r="B360" i="2" a="1"/>
  <c r="B2131" i="2" a="1"/>
  <c r="B315" i="2" a="1"/>
  <c r="B1360" i="2" a="1"/>
  <c r="B855" i="2" a="1"/>
  <c r="B874" i="2" a="1"/>
  <c r="B1398" i="2" a="1"/>
  <c r="B173" i="2" a="1"/>
  <c r="B241" i="2" a="1"/>
  <c r="B364" i="2" a="1"/>
  <c r="B996" i="2" a="1"/>
  <c r="B278" i="2" a="1"/>
  <c r="B451" i="2" a="1"/>
  <c r="B2256" i="2" a="1"/>
  <c r="B299" i="2" a="1"/>
  <c r="B2273" i="2" a="1"/>
  <c r="B699" i="2" a="1"/>
  <c r="B66" i="2" a="1"/>
  <c r="B2099" i="2" a="1"/>
  <c r="B1986" i="2" a="1"/>
  <c r="B2337" i="2" a="1"/>
  <c r="B814" i="2" a="1"/>
  <c r="B2091" i="2" a="1"/>
  <c r="B1546" i="2" a="1"/>
  <c r="B1823" i="2" a="1"/>
  <c r="B1333" i="2" a="1"/>
  <c r="B1144" i="2" a="1"/>
  <c r="B1429" i="2" a="1"/>
  <c r="B2213" i="2" a="1"/>
  <c r="B2070" i="2" a="1"/>
  <c r="B105" i="2" a="1"/>
  <c r="B2056" i="2" a="1"/>
  <c r="B1414" i="2" a="1"/>
  <c r="B136" i="2" a="1"/>
  <c r="B381" i="2" a="1"/>
  <c r="B345" i="2" a="1"/>
  <c r="B2147" i="2" a="1"/>
  <c r="B1539" i="2" a="1"/>
  <c r="B2259" i="2" a="1"/>
  <c r="A1766" i="4" a="1"/>
  <c r="A2261" i="4" a="1"/>
  <c r="A2044" i="4" a="1"/>
  <c r="A2104" i="4" a="1"/>
  <c r="A1451" i="4" a="1"/>
  <c r="A1722" i="4" a="1"/>
  <c r="A2234" i="4" a="1"/>
  <c r="B1082" i="2" a="1"/>
  <c r="A2211" i="4" a="1"/>
  <c r="A1365" i="4" a="1"/>
  <c r="A2032" i="4" a="1"/>
  <c r="A1414" i="4" a="1"/>
  <c r="A2232" i="4" a="1"/>
  <c r="A1377" i="4" a="1"/>
  <c r="A2042" i="4" a="1"/>
  <c r="A1820" i="4" a="1"/>
  <c r="A1923" i="4" a="1"/>
  <c r="A1720" i="4" a="1"/>
  <c r="A1857" i="4" a="1"/>
  <c r="A1966" i="4" a="1"/>
  <c r="A1995" i="4" a="1"/>
  <c r="A1454" i="4" a="1"/>
  <c r="A2213" i="4" a="1"/>
  <c r="A999" i="4" a="1"/>
  <c r="A1821" i="4" a="1"/>
  <c r="A2070" i="4" a="1"/>
  <c r="A1729" i="4" a="1"/>
  <c r="A1061" i="4" a="1"/>
  <c r="A1336" i="4" a="1"/>
  <c r="A2246" i="4" a="1"/>
  <c r="A1559" i="4" a="1"/>
  <c r="A2340" i="4" a="1"/>
  <c r="A1119" i="4" a="1"/>
  <c r="A1905" i="4" a="1"/>
  <c r="A2120" i="4" a="1"/>
  <c r="A1583" i="4" a="1"/>
  <c r="A1837" i="4" a="1"/>
  <c r="A1677" i="4" a="1"/>
  <c r="A876" i="4" a="1"/>
  <c r="A665" i="4" a="1"/>
  <c r="A1004" i="4" a="1"/>
  <c r="A1593" i="4" a="1"/>
  <c r="D868" i="4" a="1"/>
  <c r="A97" i="4" a="1"/>
  <c r="A1308" i="4" a="1"/>
  <c r="D778" i="4" a="1"/>
  <c r="A326" i="4" a="1"/>
  <c r="A1182" i="4" a="1"/>
  <c r="C34" i="3" a="1"/>
  <c r="A831" i="4" a="1"/>
  <c r="A492" i="4" a="1"/>
  <c r="A1326" i="4" a="1"/>
  <c r="A648" i="4" a="1"/>
  <c r="A826" i="4" a="1"/>
  <c r="A157" i="4" a="1"/>
  <c r="A1363" i="4" a="1"/>
  <c r="D729" i="4" a="1"/>
  <c r="A89" i="4" a="1"/>
  <c r="A976" i="4" a="1"/>
  <c r="A695" i="4" a="1"/>
  <c r="A2297" i="4" a="1"/>
  <c r="A1643" i="4" a="1"/>
  <c r="A1615" i="4" a="1"/>
  <c r="D673" i="4" a="1"/>
  <c r="A1499" i="4" a="1"/>
  <c r="A2018" i="4" a="1"/>
  <c r="A1164" i="4" a="1"/>
  <c r="A642" i="4" a="1"/>
  <c r="A1611" i="4" a="1"/>
  <c r="A1174" i="4" a="1"/>
  <c r="D612" i="4" a="1"/>
  <c r="D719" i="4" a="1"/>
  <c r="A200" i="4" a="1"/>
  <c r="A1682" i="4" a="1"/>
  <c r="A707" i="4" a="1"/>
  <c r="A427" i="4" a="1"/>
  <c r="A1186" i="4" a="1"/>
  <c r="D617" i="4" a="1"/>
  <c r="A654" i="4" a="1"/>
  <c r="A320" i="4" a="1"/>
  <c r="A1579" i="4" a="1"/>
  <c r="D808" i="4" a="1"/>
  <c r="A371" i="4" a="1"/>
  <c r="A1547" i="4" a="1"/>
  <c r="D605" i="4" a="1"/>
  <c r="A573" i="4" a="1"/>
  <c r="A2162" i="4" a="1"/>
  <c r="A1664" i="4" a="1"/>
  <c r="A343" i="4" a="1"/>
  <c r="A2015" i="4" a="1"/>
  <c r="A1704" i="4" a="1"/>
  <c r="A2165" i="4" a="1"/>
  <c r="A493" i="4" a="1"/>
  <c r="D818" i="4" a="1"/>
  <c r="A851" i="4" a="1"/>
  <c r="A704" i="4" a="1"/>
  <c r="A729" i="4" a="1"/>
  <c r="D763" i="4" a="1"/>
  <c r="A770" i="4" a="1"/>
  <c r="A656" i="4" a="1"/>
  <c r="A1648" i="4" a="1"/>
  <c r="A591" i="4" a="1"/>
  <c r="B311" i="2" a="1"/>
  <c r="A132" i="4" a="1"/>
  <c r="A152" i="4" a="1"/>
  <c r="A142" i="4" a="1"/>
  <c r="A548" i="4" a="1"/>
  <c r="A47" i="4" a="1"/>
  <c r="A362" i="4" a="1"/>
  <c r="A485" i="4" a="1"/>
  <c r="A495" i="4" a="1"/>
  <c r="A376" i="4" a="1"/>
  <c r="A515" i="4" a="1"/>
  <c r="A125" i="4" a="1"/>
  <c r="A957" i="4" a="1"/>
  <c r="C30" i="3" a="1"/>
  <c r="B1425" i="5" a="1"/>
  <c r="B1297" i="5" a="1"/>
  <c r="M1617" i="5" a="1"/>
  <c r="J1589" i="5" a="1"/>
  <c r="N1683" i="5" a="1"/>
  <c r="B1686" i="5" a="1"/>
  <c r="B1771" i="5" a="1"/>
  <c r="N1719" i="5" a="1"/>
  <c r="M1628" i="5" a="1"/>
  <c r="E1830" i="5" a="1"/>
  <c r="L1835" i="5" a="1"/>
  <c r="L1857" i="5" a="1"/>
  <c r="L1821" i="5" a="1"/>
  <c r="H1847" i="5" a="1"/>
  <c r="J1811" i="5" a="1"/>
  <c r="K1949" i="5" a="1"/>
  <c r="J1786" i="5" a="1"/>
  <c r="B1999" i="5" a="1"/>
  <c r="B1917" i="5" a="1"/>
  <c r="M1978" i="5" a="1"/>
  <c r="E1989" i="5" a="1"/>
  <c r="I2001" i="5" a="1"/>
  <c r="L2001" i="5" a="1"/>
  <c r="E1995" i="5" a="1"/>
  <c r="E1996" i="5" a="1"/>
  <c r="I1952" i="5" a="1"/>
  <c r="E1877" i="5" a="1"/>
  <c r="E1939" i="5" a="1"/>
  <c r="H1966" i="5" a="1"/>
  <c r="H1768" i="5" a="1"/>
  <c r="E1770" i="5" a="1"/>
  <c r="K1945" i="5" a="1"/>
  <c r="L1966" i="5" a="1"/>
  <c r="M1935" i="5" a="1"/>
  <c r="H1922" i="5" a="1"/>
  <c r="B952" i="2" a="1"/>
  <c r="B1323" i="2" a="1"/>
  <c r="B1422" i="2" a="1"/>
  <c r="B2163" i="2" a="1"/>
  <c r="B1377" i="2" a="1"/>
  <c r="B2254" i="2" a="1"/>
  <c r="B807" i="2" a="1"/>
  <c r="B910" i="2" a="1"/>
  <c r="B1692" i="2" a="1"/>
  <c r="B539" i="2" a="1"/>
  <c r="B1462" i="2" a="1"/>
  <c r="B1023" i="2" a="1"/>
  <c r="B1472" i="2" a="1"/>
  <c r="B281" i="2" a="1"/>
  <c r="B81" i="2" a="1"/>
  <c r="B231" i="2" a="1"/>
  <c r="B553" i="2" a="1"/>
  <c r="B1249" i="2" a="1"/>
  <c r="B649" i="2" a="1"/>
  <c r="B574" i="2" a="1"/>
  <c r="B1441" i="2" a="1"/>
  <c r="B1348" i="2" a="1"/>
  <c r="B1787" i="2" a="1"/>
  <c r="B1054" i="2" a="1"/>
  <c r="B236" i="2" a="1"/>
  <c r="B1895" i="2" a="1"/>
  <c r="B275" i="2" a="1"/>
  <c r="B1316" i="2" a="1"/>
  <c r="B330" i="2" a="1"/>
  <c r="B1302" i="2" a="1"/>
  <c r="B606" i="2" a="1"/>
  <c r="B1544" i="2" a="1"/>
  <c r="B1254" i="2" a="1"/>
  <c r="B282" i="2" a="1"/>
  <c r="B1172" i="2" a="1"/>
  <c r="B704" i="2" a="1"/>
  <c r="B830" i="2" a="1"/>
  <c r="B555" i="2" a="1"/>
  <c r="B1032" i="2" a="1"/>
  <c r="B2031" i="2" a="1"/>
  <c r="B1995" i="2" a="1"/>
  <c r="B1629" i="2" a="1"/>
  <c r="B389" i="2" a="1"/>
  <c r="B1718" i="2" a="1"/>
  <c r="B2234" i="2" a="1"/>
  <c r="B1167" i="2" a="1"/>
  <c r="B1534" i="2" a="1"/>
  <c r="B2203" i="2" a="1"/>
  <c r="B1971" i="2" a="1"/>
  <c r="B187" i="2" a="1"/>
  <c r="B2305" i="2" a="1"/>
  <c r="B1848" i="2" a="1"/>
  <c r="B630" i="2" a="1"/>
  <c r="B771" i="2" a="1"/>
  <c r="B1996" i="2" a="1"/>
  <c r="B673" i="2" a="1"/>
  <c r="B1515" i="2" a="1"/>
  <c r="B1155" i="2" a="1"/>
  <c r="B540" i="2" a="1"/>
  <c r="B1553" i="2" a="1"/>
  <c r="B271" i="2" a="1"/>
  <c r="B1880" i="2" a="1"/>
  <c r="B964" i="2" a="1"/>
  <c r="B2281" i="2" a="1"/>
  <c r="B1700" i="2" a="1"/>
  <c r="B348" i="2" a="1"/>
  <c r="B1571" i="2" a="1"/>
  <c r="B1501" i="2" a="1"/>
  <c r="B1765" i="2" a="1"/>
  <c r="B957" i="2" a="1"/>
  <c r="B690" i="2" a="1"/>
  <c r="B267" i="2" a="1"/>
  <c r="B1775" i="2" a="1"/>
  <c r="B1104" i="2" a="1"/>
  <c r="A2147" i="4" a="1"/>
  <c r="A2088" i="4" a="1"/>
  <c r="A1973" i="4" a="1"/>
  <c r="A2019" i="4" a="1"/>
  <c r="A1396" i="4" a="1"/>
  <c r="A1933" i="4" a="1"/>
  <c r="A2294" i="4" a="1"/>
  <c r="B1999" i="2" a="1"/>
  <c r="A1942" i="4" a="1"/>
  <c r="A1408" i="4" a="1"/>
  <c r="A1740" i="4" a="1"/>
  <c r="A1146" i="4" a="1"/>
  <c r="A2179" i="4" a="1"/>
  <c r="A1471" i="4" a="1"/>
  <c r="A1807" i="4" a="1"/>
  <c r="A2017" i="4" a="1"/>
  <c r="A1866" i="4" a="1"/>
  <c r="A2146" i="4" a="1"/>
  <c r="A1816" i="4" a="1"/>
  <c r="A2203" i="4" a="1"/>
  <c r="A1876" i="4" a="1"/>
  <c r="A1256" i="4" a="1"/>
  <c r="A2067" i="4" a="1"/>
  <c r="A1202" i="4" a="1"/>
  <c r="A1941" i="4" a="1"/>
  <c r="A2217" i="4" a="1"/>
  <c r="A1849" i="4" a="1"/>
  <c r="A898" i="4" a="1"/>
  <c r="A1305" i="4" a="1"/>
  <c r="A2339" i="4" a="1"/>
  <c r="A1140" i="4" a="1"/>
  <c r="A2141" i="4" a="1"/>
  <c r="A1296" i="4" a="1"/>
  <c r="A1822" i="4" a="1"/>
  <c r="A2010" i="4" a="1"/>
  <c r="C52" i="3" a="1"/>
  <c r="A2151" i="4" a="1"/>
  <c r="A1541" i="4" a="1"/>
  <c r="A1235" i="4" a="1"/>
  <c r="A785" i="4" a="1"/>
  <c r="A1015" i="4" a="1"/>
  <c r="A1606" i="4" a="1"/>
  <c r="D666" i="4" a="1"/>
  <c r="A199" i="4" a="1"/>
  <c r="A1170" i="4" a="1"/>
  <c r="D857" i="4" a="1"/>
  <c r="A566" i="4" a="1"/>
  <c r="A913" i="4" a="1"/>
  <c r="C42" i="3" a="1"/>
  <c r="A203" i="4" a="1"/>
  <c r="A1731" i="4" a="1"/>
  <c r="A1267" i="4" a="1"/>
  <c r="A768" i="4" a="1"/>
  <c r="D839" i="4" a="1"/>
  <c r="A319" i="4" a="1"/>
  <c r="A1690" i="4" a="1"/>
  <c r="D851" i="4" a="1"/>
  <c r="A51" i="4" a="1"/>
  <c r="A1139" i="4" a="1"/>
  <c r="D597" i="4" a="1"/>
  <c r="A1034" i="4" a="1"/>
  <c r="C17" i="3" a="1"/>
  <c r="A1453" i="4" a="1"/>
  <c r="D733" i="4" a="1"/>
  <c r="A1407" i="4" a="1"/>
  <c r="A2093" i="4" a="1"/>
  <c r="A1586" i="4" a="1"/>
  <c r="B1841" i="2" a="1"/>
  <c r="A1330" i="4" a="1"/>
  <c r="A1249" i="4" a="1"/>
  <c r="D672" i="4" a="1"/>
  <c r="A604" i="4" a="1"/>
  <c r="A317" i="4" a="1"/>
  <c r="A1538" i="4" a="1"/>
  <c r="D811" i="4" a="1"/>
  <c r="A519" i="4" a="1"/>
  <c r="A962" i="4" a="1"/>
  <c r="D677" i="4" a="1"/>
  <c r="A652" i="4" a="1"/>
  <c r="A357" i="4" a="1"/>
  <c r="A1536" i="4" a="1"/>
  <c r="D706" i="4" a="1"/>
  <c r="A52" i="4" a="1"/>
  <c r="A1709" i="4" a="1"/>
  <c r="D665" i="4" a="1"/>
  <c r="A214" i="4" a="1"/>
  <c r="A2215" i="4" a="1"/>
  <c r="A1512" i="4" a="1"/>
  <c r="A583" i="4" a="1"/>
  <c r="A2099" i="4" a="1"/>
  <c r="A1640" i="4" a="1"/>
  <c r="A2180" i="4" a="1"/>
  <c r="A354" i="4" a="1"/>
  <c r="D626" i="4" a="1"/>
  <c r="A113" i="4" a="1"/>
  <c r="A837" i="4" a="1"/>
  <c r="A781" i="4" a="1"/>
  <c r="A792" i="4" a="1"/>
  <c r="A624" i="4" a="1"/>
  <c r="A676" i="4" a="1"/>
  <c r="A1671" i="4" a="1"/>
  <c r="A1796" i="4" a="1"/>
  <c r="A2003" i="4" a="1"/>
  <c r="A40" i="4" a="1"/>
  <c r="A499" i="4" a="1"/>
  <c r="A251" i="4" a="1"/>
  <c r="A222" i="4" a="1"/>
  <c r="A302" i="4" a="1"/>
  <c r="A80" i="4" a="1"/>
  <c r="A306" i="4" a="1"/>
  <c r="A366" i="4" a="1"/>
  <c r="A198" i="4" a="1"/>
  <c r="A386" i="4" a="1"/>
  <c r="A525" i="4" a="1"/>
  <c r="A657" i="4" a="1"/>
  <c r="A599" i="4" a="1"/>
  <c r="J1545" i="5" a="1"/>
  <c r="I1376" i="5" a="1"/>
  <c r="J1625" i="5" a="1"/>
  <c r="N1602" i="5" a="1"/>
  <c r="K1685" i="5" a="1"/>
  <c r="L1689" i="5" a="1"/>
  <c r="B1783" i="5" a="1"/>
  <c r="I1721" i="5" a="1"/>
  <c r="E1632" i="5" a="1"/>
  <c r="N1831" i="5" a="1"/>
  <c r="J1837" i="5" a="1"/>
  <c r="K1859" i="5" a="1"/>
  <c r="K1823" i="5" a="1"/>
  <c r="M1852" i="5" a="1"/>
  <c r="I1820" i="5" a="1"/>
  <c r="I1951" i="5" a="1"/>
  <c r="H1795" i="5" a="1"/>
  <c r="H1963" i="5" a="1"/>
  <c r="M1924" i="5" a="1"/>
  <c r="M1994" i="5" a="1"/>
  <c r="M1990" i="5" a="1"/>
  <c r="B1993" i="5" a="1"/>
  <c r="B1790" i="5" a="1"/>
  <c r="L1773" i="5" a="1"/>
  <c r="H1998" i="5" a="1"/>
  <c r="B1740" i="5" a="1"/>
  <c r="N1884" i="5" a="1"/>
  <c r="N1944" i="5" a="1"/>
  <c r="B1970" i="5" a="1"/>
  <c r="H1821" i="5" a="1"/>
  <c r="K1802" i="5" a="1"/>
  <c r="H1994" i="5" a="1"/>
  <c r="L1998" i="5" a="1"/>
  <c r="E1889" i="5" a="1"/>
  <c r="J1964" i="5" a="1"/>
  <c r="B1615" i="2" a="1"/>
  <c r="B90" i="2" a="1"/>
  <c r="B1662" i="2" a="1"/>
  <c r="B237" i="2" a="1"/>
  <c r="B1432" i="2" a="1"/>
  <c r="B877" i="2" a="1"/>
  <c r="B1442" i="2" a="1"/>
  <c r="B2023" i="2" a="1"/>
  <c r="B1932" i="2" a="1"/>
  <c r="B781" i="2" a="1"/>
  <c r="B826" i="2" a="1"/>
  <c r="B2114" i="2" a="1"/>
  <c r="B844" i="2" a="1"/>
  <c r="B1041" i="2" a="1"/>
  <c r="B809" i="2" a="1"/>
  <c r="B576" i="2" a="1"/>
  <c r="B225" i="2" a="1"/>
  <c r="B1220" i="2" a="1"/>
  <c r="B1364" i="2" a="1"/>
  <c r="B1335" i="2" a="1"/>
  <c r="B1668" i="2" a="1"/>
  <c r="B1920" i="2" a="1"/>
  <c r="B1075" i="2" a="1"/>
  <c r="B1552" i="2" a="1"/>
  <c r="B1340" i="2" a="1"/>
  <c r="B1428" i="2" a="1"/>
  <c r="B515" i="2" a="1"/>
  <c r="B867" i="2" a="1"/>
  <c r="B1641" i="2" a="1"/>
  <c r="B1105" i="2" a="1"/>
  <c r="B238" i="2" a="1"/>
  <c r="B2050" i="2" a="1"/>
  <c r="B379" i="2" a="1"/>
  <c r="B522" i="2" a="1"/>
  <c r="B1582" i="2" a="1"/>
  <c r="B928" i="2" a="1"/>
  <c r="B1468" i="2" a="1"/>
  <c r="B795" i="2" a="1"/>
  <c r="B1603" i="2" a="1"/>
  <c r="B1623" i="2" a="1"/>
  <c r="B1660" i="2" a="1"/>
  <c r="B1346" i="2" a="1"/>
  <c r="B494" i="2" a="1"/>
  <c r="B2073" i="2" a="1"/>
  <c r="B1825" i="2" a="1"/>
  <c r="B2314" i="2" a="1"/>
  <c r="B1427" i="2" a="1"/>
  <c r="B2191" i="2" a="1"/>
  <c r="B883" i="2" a="1"/>
  <c r="B1924" i="2" a="1"/>
  <c r="B2307" i="2" a="1"/>
  <c r="B498" i="2" a="1"/>
  <c r="B217" i="2" a="1"/>
  <c r="B1077" i="2" a="1"/>
  <c r="B2224" i="2" a="1"/>
  <c r="B968" i="2" a="1"/>
  <c r="B973" i="2" a="1"/>
  <c r="B727" i="2" a="1"/>
  <c r="B1834" i="2" a="1"/>
  <c r="B1096" i="2" a="1"/>
  <c r="B1579" i="2" a="1"/>
  <c r="B1127" i="2" a="1"/>
  <c r="B1273" i="2" a="1"/>
  <c r="B2332" i="2" a="1"/>
  <c r="B1564" i="2" a="1"/>
  <c r="B581" i="2" a="1"/>
  <c r="B351" i="2" a="1"/>
  <c r="B1373" i="2" a="1"/>
  <c r="B2311" i="2" a="1"/>
  <c r="B1866" i="2" a="1"/>
  <c r="B1311" i="2" a="1"/>
  <c r="B933" i="2" a="1"/>
  <c r="B1503" i="2" a="1"/>
  <c r="B2341" i="2" a="1"/>
  <c r="B1309" i="5" a="1"/>
  <c r="N1429" i="5" a="1"/>
  <c r="H1656" i="5" a="1"/>
  <c r="N1716" i="5" a="1"/>
  <c r="H1659" i="5" a="1"/>
  <c r="M1745" i="5" a="1"/>
  <c r="E1666" i="5" a="1"/>
  <c r="K1604" i="5" a="1"/>
  <c r="N1740" i="5" a="1"/>
  <c r="N1886" i="5" a="1"/>
  <c r="L1797" i="5" a="1"/>
  <c r="H1756" i="5" a="1"/>
  <c r="J1889" i="5" a="1"/>
  <c r="B1804" i="5" a="1"/>
  <c r="I1681" i="5" a="1"/>
  <c r="M1972" i="5" a="1"/>
  <c r="N1802" i="5" a="1"/>
  <c r="N1755" i="5" a="1"/>
  <c r="J1928" i="5" a="1"/>
  <c r="H2001" i="5" a="1"/>
  <c r="J1977" i="5" a="1"/>
  <c r="M1568" i="5" a="1"/>
  <c r="N1811" i="5" a="1"/>
  <c r="E1819" i="5" a="1"/>
  <c r="K2001" i="5" a="1"/>
  <c r="K1766" i="5" a="1"/>
  <c r="K1894" i="5" a="1"/>
  <c r="M1946" i="5" a="1"/>
  <c r="I1986" i="5" a="1"/>
  <c r="H1835" i="5" a="1"/>
  <c r="N1875" i="5" a="1"/>
  <c r="I1920" i="5" a="1"/>
  <c r="N2000" i="5" a="1"/>
  <c r="J1968" i="5" a="1"/>
  <c r="H1982" i="5" a="1"/>
  <c r="B2133" i="2" a="1"/>
  <c r="B1180" i="2" a="1"/>
  <c r="B1902" i="2" a="1"/>
  <c r="B636" i="2" a="1"/>
  <c r="B657" i="2" a="1"/>
  <c r="B1957" i="2" a="1"/>
  <c r="B714" i="2" a="1"/>
  <c r="B386" i="2" a="1"/>
  <c r="B1367" i="2" a="1"/>
  <c r="B1457" i="2" a="1"/>
  <c r="B1139" i="2" a="1"/>
  <c r="B912" i="2" a="1"/>
  <c r="B1389" i="2" a="1"/>
  <c r="B48" i="2" a="1"/>
  <c r="B61" i="2" a="1"/>
  <c r="B128" i="2" a="1"/>
  <c r="B465" i="2" a="1"/>
  <c r="B83" i="2" a="1"/>
  <c r="B1887" i="2" a="1"/>
  <c r="B1968" i="2" a="1"/>
  <c r="B900" i="2" a="1"/>
  <c r="B1991" i="2" a="1"/>
  <c r="B774" i="2" a="1"/>
  <c r="B1792" i="2" a="1"/>
  <c r="B1867" i="2" a="1"/>
  <c r="B1934" i="2" a="1"/>
  <c r="B755" i="2" a="1"/>
  <c r="B1543" i="2" a="1"/>
  <c r="B965" i="2" a="1"/>
  <c r="B1143" i="2" a="1"/>
  <c r="B997" i="2" a="1"/>
  <c r="B887" i="2" a="1"/>
  <c r="B1976" i="2" a="1"/>
  <c r="B762" i="2" a="1"/>
  <c r="B1822" i="2" a="1"/>
  <c r="B1168" i="2" a="1"/>
  <c r="B2038" i="2" a="1"/>
  <c r="B376" i="2" a="1"/>
  <c r="B2144" i="2" a="1"/>
  <c r="B2219" i="2" a="1"/>
  <c r="B821" i="2" a="1"/>
  <c r="B2255" i="2" a="1"/>
  <c r="B2092" i="2" a="1"/>
  <c r="B256" i="2" a="1"/>
  <c r="B106" i="2" a="1"/>
  <c r="B2349" i="2" a="1"/>
  <c r="B2183" i="2" a="1"/>
  <c r="B1581" i="2" a="1"/>
  <c r="B2036" i="2" a="1"/>
  <c r="B1670" i="2" a="1"/>
  <c r="B433" i="2" a="1"/>
  <c r="B816" i="2" a="1"/>
  <c r="B2029" i="2" a="1"/>
  <c r="B1103" i="2" a="1"/>
  <c r="B1610" i="2" a="1"/>
  <c r="B768" i="2" a="1"/>
  <c r="B641" i="2" a="1"/>
  <c r="B2155" i="2" a="1"/>
  <c r="B2302" i="2" a="1"/>
  <c r="B1221" i="2" a="1"/>
  <c r="B1101" i="2" a="1"/>
  <c r="B1516" i="2" a="1"/>
  <c r="B1111" i="2" a="1"/>
  <c r="B2353" i="2" a="1"/>
  <c r="B1560" i="2" a="1"/>
  <c r="B1021" i="2" a="1"/>
  <c r="B1737" i="2" a="1"/>
  <c r="B1434" i="2" a="1"/>
  <c r="B2362" i="2" a="1"/>
  <c r="B2209" i="2" a="1"/>
  <c r="B1405" i="2" a="1"/>
  <c r="B1907" i="2" a="1"/>
  <c r="B1953" i="2" a="1"/>
  <c r="B2334" i="2" a="1"/>
  <c r="L1514" i="5" a="1"/>
  <c r="E1443" i="5" a="1"/>
  <c r="I1658" i="5" a="1"/>
  <c r="E1720" i="5" a="1"/>
  <c r="B1662" i="5" a="1"/>
  <c r="N1746" i="5" a="1"/>
  <c r="L1672" i="5" a="1"/>
  <c r="I1611" i="5" a="1"/>
  <c r="E1744" i="5" a="1"/>
  <c r="E1890" i="5" a="1"/>
  <c r="K1799" i="5" a="1"/>
  <c r="J1774" i="5" a="1"/>
  <c r="K1890" i="5" a="1"/>
  <c r="E1811" i="5" a="1"/>
  <c r="J1710" i="5" a="1"/>
  <c r="J1976" i="5" a="1"/>
  <c r="I1830" i="5" a="1"/>
  <c r="N1771" i="5" a="1"/>
  <c r="J1932" i="5" a="1"/>
  <c r="L2000" i="5" a="1"/>
  <c r="E1797" i="5" a="1"/>
  <c r="K1673" i="5" a="1"/>
  <c r="N1872" i="5" a="1"/>
  <c r="E1826" i="5" a="1"/>
  <c r="J1635" i="5" a="1"/>
  <c r="N1791" i="5" a="1"/>
  <c r="K1925" i="5" a="1"/>
  <c r="M1950" i="5" a="1"/>
  <c r="L1681" i="5" a="1"/>
  <c r="J1842" i="5" a="1"/>
  <c r="N1877" i="5" a="1"/>
  <c r="I1964" i="5" a="1"/>
  <c r="M1762" i="5" a="1"/>
  <c r="K1941" i="5" a="1"/>
  <c r="H1993" i="5" a="1"/>
  <c r="B147" i="2" a="1"/>
  <c r="B1731" i="2" a="1"/>
  <c r="B1334" i="2" a="1"/>
  <c r="B1287" i="2" a="1"/>
  <c r="B1086" i="2" a="1"/>
  <c r="B681" i="2" a="1"/>
  <c r="B1356" i="2" a="1"/>
  <c r="B737" i="2" a="1"/>
  <c r="B459" i="2" a="1"/>
  <c r="B1914" i="2" a="1"/>
  <c r="B436" i="2" a="1"/>
  <c r="B2096" i="2" a="1"/>
  <c r="B516" i="2" a="1"/>
  <c r="B1962" i="2" a="1"/>
  <c r="B894" i="2" a="1"/>
  <c r="B506" i="2" a="1"/>
  <c r="B705" i="2" a="1"/>
  <c r="B803" i="2" a="1"/>
  <c r="B1265" i="2" a="1"/>
  <c r="B786" i="2" a="1"/>
  <c r="B399" i="2" a="1"/>
  <c r="B810" i="2" a="1"/>
  <c r="B2081" i="2" a="1"/>
  <c r="B2032" i="2" a="1"/>
  <c r="B614" i="2" a="1"/>
  <c r="B1231" i="2" a="1"/>
  <c r="B318" i="2" a="1"/>
  <c r="B2049" i="2" a="1"/>
  <c r="B767" i="2" a="1"/>
  <c r="B1963" i="2" a="1"/>
  <c r="B326" i="2" a="1"/>
  <c r="B873" i="2" a="1"/>
  <c r="B2246" i="2" a="1"/>
  <c r="B143" i="2" a="1"/>
  <c r="B2062" i="2" a="1"/>
  <c r="B290" i="2" a="1"/>
  <c r="B920" i="2" a="1"/>
  <c r="B718" i="2" a="1"/>
  <c r="B853" i="2" a="1"/>
  <c r="B1936" i="2" a="1"/>
  <c r="B2221" i="2" a="1"/>
  <c r="B99" i="2" a="1"/>
  <c r="B2108" i="2" a="1"/>
  <c r="B1119" i="2" a="1"/>
  <c r="B2158" i="2" a="1"/>
  <c r="B2275" i="2" a="1"/>
  <c r="B1753" i="2" a="1"/>
  <c r="B2244" i="2" a="1"/>
  <c r="B420" i="2" a="1"/>
  <c r="B2043" i="2" a="1"/>
  <c r="B760" i="2" a="1"/>
  <c r="B1807" i="2" a="1"/>
  <c r="B913" i="2" a="1"/>
  <c r="B197" i="2" a="1"/>
  <c r="B1255" i="2" a="1"/>
  <c r="B1289" i="2" a="1"/>
  <c r="B520" i="2" a="1"/>
  <c r="B1014" i="2" a="1"/>
  <c r="B2323" i="2" a="1"/>
  <c r="B1729" i="2" a="1"/>
  <c r="B1486" i="2" a="1"/>
  <c r="B817" i="2" a="1"/>
  <c r="B944" i="2" a="1"/>
  <c r="B2319" i="2" a="1"/>
  <c r="B1980" i="2" a="1"/>
  <c r="B2097" i="2" a="1"/>
  <c r="B1801" i="2" a="1"/>
  <c r="B1609" i="2" a="1"/>
  <c r="B2364" i="2" a="1"/>
  <c r="B1728" i="2" a="1"/>
  <c r="B984" i="2" a="1"/>
  <c r="B1303" i="2" a="1"/>
  <c r="B1727" i="2" a="1"/>
  <c r="B2320" i="2" a="1"/>
  <c r="M1397" i="5" a="1"/>
  <c r="H1447" i="5" a="1"/>
  <c r="I1660" i="5" a="1"/>
  <c r="H1722" i="5" a="1"/>
  <c r="K1687" i="5" a="1"/>
  <c r="E1750" i="5" a="1"/>
  <c r="N1675" i="5" a="1"/>
  <c r="J1634" i="5" a="1"/>
  <c r="H1746" i="5" a="1"/>
  <c r="H1892" i="5" a="1"/>
  <c r="H1801" i="5" a="1"/>
  <c r="B1780" i="5" a="1"/>
  <c r="L1891" i="5" a="1"/>
  <c r="N1814" i="5" a="1"/>
  <c r="L1731" i="5" a="1"/>
  <c r="L1983" i="5" a="1"/>
  <c r="L1889" i="5" a="1"/>
  <c r="B1788" i="5" a="1"/>
  <c r="N1949" i="5" a="1"/>
  <c r="K1568" i="5" a="1"/>
  <c r="B1846" i="5" a="1"/>
  <c r="J1773" i="5" a="1"/>
  <c r="M1874" i="5" a="1"/>
  <c r="L1870" i="5" a="1"/>
  <c r="N1739" i="5" a="1"/>
  <c r="I1806" i="5" a="1"/>
  <c r="I1927" i="5" a="1"/>
  <c r="L1979" i="5" a="1"/>
  <c r="M1800" i="5" a="1"/>
  <c r="L1877" i="5" a="1"/>
  <c r="N1879" i="5" a="1"/>
  <c r="L1902" i="5" a="1"/>
  <c r="I1947" i="5" a="1"/>
  <c r="L1986" i="5" a="1"/>
  <c r="B36" i="3" a="1"/>
  <c r="B1116" i="2" a="1"/>
  <c r="B2249" i="2" a="1"/>
  <c r="B401" i="2" a="1"/>
  <c r="B1606" i="2" a="1"/>
  <c r="B269" i="2" a="1"/>
  <c r="B1960" i="2" a="1"/>
  <c r="B440" i="2" a="1"/>
  <c r="B1981" i="2" a="1"/>
  <c r="B1125" i="2" a="1"/>
  <c r="B1565" i="2" a="1"/>
  <c r="B1277" i="2" a="1"/>
  <c r="B56" i="2" a="1"/>
  <c r="B457" i="2" a="1"/>
  <c r="B2202" i="2" a="1"/>
  <c r="B338" i="2" a="1"/>
  <c r="B848" i="2" a="1"/>
  <c r="B247" i="2" a="1"/>
  <c r="B194" i="2" a="1"/>
  <c r="B472" i="2" a="1"/>
  <c r="B697" i="2" a="1"/>
  <c r="B242" i="2" a="1"/>
  <c r="B740" i="2" a="1"/>
  <c r="B492" i="2" a="1"/>
  <c r="B89" i="2" a="1"/>
  <c r="B1554" i="2" a="1"/>
  <c r="B1437" i="2" a="1"/>
  <c r="B660" i="2" a="1"/>
  <c r="B716" i="2" a="1"/>
  <c r="B1504" i="2" a="1"/>
  <c r="B1993" i="2" a="1"/>
  <c r="B1071" i="2" a="1"/>
  <c r="B1445" i="2" a="1"/>
  <c r="B1459" i="2" a="1"/>
  <c r="B383" i="2" a="1"/>
  <c r="B228" i="2" a="1"/>
  <c r="B634" i="2" a="1"/>
  <c r="B1568" i="2" a="1"/>
  <c r="B938" i="2" a="1"/>
  <c r="B1480" i="2" a="1"/>
  <c r="B1759" i="2" a="1"/>
  <c r="B2308" i="2" a="1"/>
  <c r="B1091" i="2" a="1"/>
  <c r="B2063" i="2" a="1"/>
  <c r="B1747" i="2" a="1"/>
  <c r="B1694" i="2" a="1"/>
  <c r="B2267" i="2" a="1"/>
  <c r="B2189" i="2" a="1"/>
  <c r="B1789" i="2" a="1"/>
  <c r="B454" i="2" a="1"/>
  <c r="B849" i="2" a="1"/>
  <c r="B1189" i="2" a="1"/>
  <c r="B1619" i="2" a="1"/>
  <c r="B474" i="2" a="1"/>
  <c r="B568" i="2" a="1"/>
  <c r="B2161" i="2" a="1"/>
  <c r="B1430" i="2" a="1"/>
  <c r="B751" i="2" a="1"/>
  <c r="B371" i="2" a="1"/>
  <c r="B2355" i="2" a="1"/>
  <c r="B117" i="2" a="1"/>
  <c r="B961" i="2" a="1"/>
  <c r="B1835" i="2" a="1"/>
  <c r="B107" i="2" a="1"/>
  <c r="B2277" i="2" a="1"/>
  <c r="B960" i="2" a="1"/>
  <c r="B1569" i="2" a="1"/>
  <c r="B2258" i="2" a="1"/>
  <c r="B1090" i="2" a="1"/>
  <c r="B2276" i="2" a="1"/>
  <c r="B995" i="2" a="1"/>
  <c r="B2087" i="2" a="1"/>
  <c r="B2151" i="2" a="1"/>
  <c r="B1415" i="2" a="1"/>
  <c r="B2306" i="2" a="1"/>
  <c r="L1477" i="5" a="1"/>
  <c r="M1536" i="5" a="1"/>
  <c r="H1351" i="5" a="1"/>
  <c r="K1426" i="5" a="1"/>
  <c r="E1764" i="5" a="1"/>
  <c r="M1781" i="5" a="1"/>
  <c r="H1738" i="5" a="1"/>
  <c r="I1601" i="5" a="1"/>
  <c r="N1776" i="5" a="1"/>
  <c r="N1922" i="5" a="1"/>
  <c r="K1828" i="5" a="1"/>
  <c r="E1874" i="5" a="1"/>
  <c r="J1925" i="5" a="1"/>
  <c r="B1766" i="5" a="1"/>
  <c r="I1822" i="5" a="1"/>
  <c r="I1990" i="5" a="1"/>
  <c r="M1891" i="5" a="1"/>
  <c r="J1795" i="5" a="1"/>
  <c r="N1951" i="5" a="1"/>
  <c r="H1672" i="5" a="1"/>
  <c r="N1858" i="5" a="1"/>
  <c r="M1876" i="5" a="1"/>
  <c r="N1876" i="5" a="1"/>
  <c r="H1894" i="5" a="1"/>
  <c r="I1766" i="5" a="1"/>
  <c r="N1847" i="5" a="1"/>
  <c r="H1929" i="5" a="1"/>
  <c r="E1988" i="5" a="1"/>
  <c r="L1871" i="5" a="1"/>
  <c r="M1879" i="5" a="1"/>
  <c r="K1881" i="5" a="1"/>
  <c r="K1822" i="5" a="1"/>
  <c r="B1961" i="5" a="1"/>
  <c r="N1991" i="5" a="1"/>
  <c r="B822" i="2" a="1"/>
  <c r="B1628" i="2" a="1"/>
  <c r="B1149" i="2" a="1"/>
  <c r="B1061" i="2" a="1"/>
  <c r="B1384" i="2" a="1"/>
  <c r="B1229" i="2" a="1"/>
  <c r="B2119" i="2" a="1"/>
  <c r="B316" i="2" a="1"/>
  <c r="B1514" i="2" a="1"/>
  <c r="B340" i="2" a="1"/>
  <c r="B1102" i="2" a="1"/>
  <c r="B1826" i="2" a="1"/>
  <c r="B2035" i="2" a="1"/>
  <c r="B1131" i="2" a="1"/>
  <c r="B860" i="2" a="1"/>
  <c r="B1492" i="2" a="1"/>
  <c r="B841" i="2" a="1"/>
  <c r="B1088" i="2" a="1"/>
  <c r="B235" i="2" a="1"/>
  <c r="B333" i="2" a="1"/>
  <c r="B1910" i="2" a="1"/>
  <c r="B482" i="2" a="1"/>
  <c r="B1406" i="2" a="1"/>
  <c r="B732" i="2" a="1"/>
  <c r="B1107" i="2" a="1"/>
  <c r="B2200" i="2" a="1"/>
  <c r="B449" i="2" a="1"/>
  <c r="B898" i="2" a="1"/>
  <c r="B1390" i="2" a="1"/>
  <c r="B60" i="2" a="1"/>
  <c r="B977" i="2" a="1"/>
  <c r="B544" i="2" a="1"/>
  <c r="B2005" i="2" a="1"/>
  <c r="B1916" i="2" a="1"/>
  <c r="B623" i="2" a="1"/>
  <c r="B1160" i="2" a="1"/>
  <c r="B321" i="2" a="1"/>
  <c r="B2086" i="2" a="1"/>
  <c r="B1178" i="2" a="1"/>
  <c r="B2061" i="2" a="1"/>
  <c r="B2173" i="2" a="1"/>
  <c r="B2340" i="2" a="1"/>
  <c r="B1057" i="2" a="1"/>
  <c r="B1458" i="2" a="1"/>
  <c r="B1142" i="2" a="1"/>
  <c r="B1453" i="2" a="1"/>
  <c r="B193" i="2" a="1"/>
  <c r="B398" i="2" a="1"/>
  <c r="B829" i="2" a="1"/>
  <c r="B2175" i="2" a="1"/>
  <c r="B1053" i="2" a="1"/>
  <c r="B546" i="2" a="1"/>
  <c r="B1695" i="2" a="1"/>
  <c r="B2046" i="2" a="1"/>
  <c r="B2272" i="2" a="1"/>
  <c r="B949" i="2" a="1"/>
  <c r="B889" i="2" a="1"/>
  <c r="B1879" i="2" a="1"/>
  <c r="B2206" i="2" a="1"/>
  <c r="B2278" i="2" a="1"/>
  <c r="B1236" i="2" a="1"/>
  <c r="B2154" i="2" a="1"/>
  <c r="B1666" i="2" a="1"/>
  <c r="B470" i="2" a="1"/>
  <c r="B82" i="2" a="1"/>
  <c r="B1490" i="2" a="1"/>
  <c r="B1726" i="2" a="1"/>
  <c r="B1329" i="2" a="1"/>
  <c r="B268" i="2" a="1"/>
  <c r="B2358" i="2" a="1"/>
  <c r="B1196" i="2" a="1"/>
  <c r="B1808" i="2" a="1"/>
  <c r="B1526" i="2" a="1"/>
  <c r="B827" i="2" a="1"/>
  <c r="B2270" i="2" a="1"/>
  <c r="L1428" i="5" a="1"/>
  <c r="M1538" i="5" a="1"/>
  <c r="B1560" i="5" a="1"/>
  <c r="I1443" i="5" a="1"/>
  <c r="H1766" i="5" a="1"/>
  <c r="N1782" i="5" a="1"/>
  <c r="I1739" i="5" a="1"/>
  <c r="M1614" i="5" a="1"/>
  <c r="E1780" i="5" a="1"/>
  <c r="E1926" i="5" a="1"/>
  <c r="B1834" i="5" a="1"/>
  <c r="H1876" i="5" a="1"/>
  <c r="K1926" i="5" a="1"/>
  <c r="E1773" i="5" a="1"/>
  <c r="B1826" i="5" a="1"/>
  <c r="B1938" i="5" a="1"/>
  <c r="J1893" i="5" a="1"/>
  <c r="K1869" i="5" a="1"/>
  <c r="K1953" i="5" a="1"/>
  <c r="L1764" i="5" a="1"/>
  <c r="M1872" i="5" a="1"/>
  <c r="E1896" i="5" a="1"/>
  <c r="K1882" i="5" a="1"/>
  <c r="B1898" i="5" a="1"/>
  <c r="M1782" i="5" a="1"/>
  <c r="L1860" i="5" a="1"/>
  <c r="I1931" i="5" a="1"/>
  <c r="L1989" i="5" a="1"/>
  <c r="L1743" i="5" a="1"/>
  <c r="J1881" i="5" a="1"/>
  <c r="H1895" i="5" a="1"/>
  <c r="E1843" i="5" a="1"/>
  <c r="M1998" i="5" a="1"/>
  <c r="N1999" i="5" a="1"/>
  <c r="B683" i="2" a="1"/>
  <c r="B939" i="2" a="1"/>
  <c r="B1686" i="2" a="1"/>
  <c r="B221" i="2" a="1"/>
  <c r="B929" i="2" a="1"/>
  <c r="B1767" i="2" a="1"/>
  <c r="B1854" i="2" a="1"/>
  <c r="B1083" i="2" a="1"/>
  <c r="B1072" i="2" a="1"/>
  <c r="B1099" i="2" a="1"/>
  <c r="B2257" i="2" a="1"/>
  <c r="B1733" i="2" a="1"/>
  <c r="B79" i="2" a="1"/>
  <c r="B1307" i="2" a="1"/>
  <c r="B536" i="2" a="1"/>
  <c r="B1732" i="2" a="1"/>
  <c r="B118" i="2" a="1"/>
  <c r="B159" i="2" a="1"/>
  <c r="B475" i="2" a="1"/>
  <c r="B573" i="2" a="1"/>
  <c r="B1285" i="2" a="1"/>
  <c r="B722" i="2" a="1"/>
  <c r="B181" i="2" a="1"/>
  <c r="B113" i="2" a="1"/>
  <c r="B191" i="2" a="1"/>
  <c r="B541" i="2" a="1"/>
  <c r="B2034" i="2" a="1"/>
  <c r="B1138" i="2" a="1"/>
  <c r="B1956" i="2" a="1"/>
  <c r="B1297" i="2" a="1"/>
  <c r="B2239" i="2" a="1"/>
  <c r="B1211" i="2" a="1"/>
  <c r="B579" i="2" a="1"/>
  <c r="B1507" i="2" a="1"/>
  <c r="B14" i="2" a="1"/>
  <c r="B38" i="2" a="1"/>
  <c r="B1033" i="2" a="1"/>
  <c r="B935" i="2" a="1"/>
  <c r="B306" i="2" a="1"/>
  <c r="B969" i="2" a="1"/>
  <c r="B2033" i="2" a="1"/>
  <c r="B2339" i="2" a="1"/>
  <c r="B1634" i="2" a="1"/>
  <c r="B2067" i="2" a="1"/>
  <c r="B2214" i="2" a="1"/>
  <c r="B1748" i="2" a="1"/>
  <c r="B418" i="2" a="1"/>
  <c r="B2011" i="2" a="1"/>
  <c r="B914" i="2" a="1"/>
  <c r="B2105" i="2" a="1"/>
  <c r="B1774" i="2" a="1"/>
  <c r="B886" i="2" a="1"/>
  <c r="B2083" i="2" a="1"/>
  <c r="B444" i="2" a="1"/>
  <c r="B2293" i="2" a="1"/>
  <c r="B881" i="2" a="1"/>
  <c r="B1396" i="2" a="1"/>
  <c r="B156" i="2" a="1"/>
  <c r="B2113" i="2" a="1"/>
  <c r="B54" i="2" a="1"/>
  <c r="B1595" i="2" a="1"/>
  <c r="B1413" i="2" a="1"/>
  <c r="B1900" i="2" a="1"/>
  <c r="B1913" i="2" a="1"/>
  <c r="B95" i="2" a="1"/>
  <c r="B1736" i="2" a="1"/>
  <c r="B1084" i="2" a="1"/>
  <c r="B2216" i="2" a="1"/>
  <c r="B780" i="2" a="1"/>
  <c r="B322" i="2" a="1"/>
  <c r="B1833" i="2" a="1"/>
  <c r="B1330" i="2" a="1"/>
  <c r="B820" i="2" a="1"/>
  <c r="B1219" i="2" a="1"/>
  <c r="B439" i="2" a="1"/>
  <c r="M1440" i="5" a="1"/>
  <c r="N1540" i="5" a="1"/>
  <c r="L1565" i="5" a="1"/>
  <c r="K1449" i="5" a="1"/>
  <c r="I1767" i="5" a="1"/>
  <c r="E1786" i="5" a="1"/>
  <c r="J1740" i="5" a="1"/>
  <c r="B1618" i="5" a="1"/>
  <c r="H1782" i="5" a="1"/>
  <c r="H1928" i="5" a="1"/>
  <c r="N1835" i="5" a="1"/>
  <c r="I1877" i="5" a="1"/>
  <c r="L1927" i="5" a="1"/>
  <c r="M1776" i="5" a="1"/>
  <c r="E1833" i="5" a="1"/>
  <c r="H1957" i="5" a="1"/>
  <c r="I1899" i="5" a="1"/>
  <c r="J1872" i="5" a="1"/>
  <c r="L1955" i="5" a="1"/>
  <c r="B1781" i="5" a="1"/>
  <c r="L1874" i="5" a="1"/>
  <c r="N1899" i="5" a="1"/>
  <c r="I1915" i="5" a="1"/>
  <c r="B1902" i="5" a="1"/>
  <c r="K1846" i="5" a="1"/>
  <c r="I1871" i="5" a="1"/>
  <c r="J1952" i="5" a="1"/>
  <c r="J1991" i="5" a="1"/>
  <c r="K1877" i="5" a="1"/>
  <c r="I1887" i="5" a="1"/>
  <c r="B1899" i="5" a="1"/>
  <c r="H1885" i="5" a="1"/>
  <c r="M1896" i="5" a="1"/>
  <c r="K1889" i="5" a="1"/>
  <c r="B74" i="2" a="1"/>
  <c r="B112" i="2" a="1"/>
  <c r="B2227" i="2" a="1"/>
  <c r="B1000" i="2" a="1"/>
  <c r="B2100" i="2" a="1"/>
  <c r="B1674" i="2" a="1"/>
  <c r="B2176" i="2" a="1"/>
  <c r="B1214" i="2" a="1"/>
  <c r="B1878" i="2" a="1"/>
  <c r="B1720" i="2" a="1"/>
  <c r="B1899" i="2" a="1"/>
  <c r="B91" i="2" a="1"/>
  <c r="B1112" i="2" a="1"/>
  <c r="B1827" i="2" a="1"/>
  <c r="B1885" i="2" a="1"/>
  <c r="B1972" i="2" a="1"/>
  <c r="B108" i="2" a="1"/>
  <c r="B519" i="2" a="1"/>
  <c r="B604" i="2" a="1"/>
  <c r="B813" i="2" a="1"/>
  <c r="B1465" i="2" a="1"/>
  <c r="B343" i="2" a="1"/>
  <c r="B1298" i="2" a="1"/>
  <c r="B353" i="2" a="1"/>
  <c r="B797" i="2" a="1"/>
  <c r="B1607" i="2" a="1"/>
  <c r="B1755" i="2" a="1"/>
  <c r="B248" i="2" a="1"/>
  <c r="B646" i="2" a="1"/>
  <c r="B2111" i="2" a="1"/>
  <c r="B32" i="2" a="1"/>
  <c r="B320" i="2" a="1"/>
  <c r="B1393" i="2" a="1"/>
  <c r="B1161" i="2" a="1"/>
  <c r="B55" i="2" a="1"/>
  <c r="B903" i="2" a="1"/>
  <c r="B409" i="2" a="1"/>
  <c r="B921" i="2" a="1"/>
  <c r="B648" i="2" a="1"/>
  <c r="B1591" i="2" a="1"/>
  <c r="B1540" i="2" a="1"/>
  <c r="B2346" i="2" a="1"/>
  <c r="B1853" i="2" a="1"/>
  <c r="B1671" i="2" a="1"/>
  <c r="B2058" i="2" a="1"/>
  <c r="B2207" i="2" a="1"/>
  <c r="B559" i="2" a="1"/>
  <c r="B1549" i="2" a="1"/>
  <c r="B1873" i="2" a="1"/>
  <c r="B2279" i="2" a="1"/>
  <c r="B279" i="2" a="1"/>
  <c r="B1019" i="2" a="1"/>
  <c r="B1927" i="2" a="1"/>
  <c r="B264" i="2" a="1"/>
  <c r="B2325" i="2" a="1"/>
  <c r="B2138" i="2" a="1"/>
  <c r="B724" i="2" a="1"/>
  <c r="B1527" i="2" a="1"/>
  <c r="B1601" i="2" a="1"/>
  <c r="B1198" i="2" a="1"/>
  <c r="B1870" i="2" a="1"/>
  <c r="B941" i="2" a="1"/>
  <c r="B2271" i="2" a="1"/>
  <c r="B2006" i="2" a="1"/>
  <c r="B334" i="2" a="1"/>
  <c r="B1240" i="2" a="1"/>
  <c r="B1332" i="2" a="1"/>
  <c r="B1948" i="2" a="1"/>
  <c r="B2001" i="2" a="1"/>
  <c r="B335" i="2" a="1"/>
  <c r="B2121" i="2" a="1"/>
  <c r="B1487" i="2" a="1"/>
  <c r="B1881" i="2" a="1"/>
  <c r="B637" i="2" a="1"/>
  <c r="B1857" i="2" a="1"/>
  <c r="B1069" i="2" a="1"/>
  <c r="B1282" i="2" a="1"/>
  <c r="B2178" i="2" a="1"/>
  <c r="A1111" i="4" a="1"/>
  <c r="A1459" i="4" a="1"/>
  <c r="A1986" i="4" a="1"/>
  <c r="A1207" i="4" a="1"/>
  <c r="A1960" i="4" a="1"/>
  <c r="A1121" i="4" a="1"/>
  <c r="B1097" i="2" a="1"/>
  <c r="A2139" i="4" a="1"/>
  <c r="B486" i="2" a="1"/>
  <c r="A2190" i="4" a="1"/>
  <c r="A1572" i="4" a="1"/>
  <c r="A2312" i="4" a="1"/>
  <c r="B1604" i="2" a="1"/>
  <c r="A2322" i="4" a="1"/>
  <c r="A1813" i="4" a="1"/>
  <c r="I1581" i="5" a="1"/>
  <c r="K1962" i="5" a="1"/>
  <c r="I1853" i="5" a="1"/>
  <c r="B1134" i="2" a="1"/>
  <c r="B1779" i="2" a="1"/>
  <c r="B1267" i="2" a="1"/>
  <c r="B356" i="2" a="1"/>
  <c r="B639" i="2" a="1"/>
  <c r="B2322" i="2" a="1"/>
  <c r="B1961" i="2" a="1"/>
  <c r="B1521" i="2" a="1"/>
  <c r="A1806" i="4" a="1"/>
  <c r="A1853" i="4" a="1"/>
  <c r="A1400" i="4" a="1"/>
  <c r="A1272" i="4" a="1"/>
  <c r="A2059" i="4" a="1"/>
  <c r="A2145" i="4" a="1"/>
  <c r="A2338" i="4" a="1"/>
  <c r="A2033" i="4" a="1"/>
  <c r="A1788" i="4" a="1"/>
  <c r="B2360" i="2" a="1"/>
  <c r="A1506" i="4" a="1"/>
  <c r="A1132" i="4" a="1"/>
  <c r="A2228" i="4" a="1"/>
  <c r="A1856" i="4" a="1"/>
  <c r="B1988" i="2" a="1"/>
  <c r="A1474" i="4" a="1"/>
  <c r="A1198" i="4" a="1"/>
  <c r="A2110" i="4" a="1"/>
  <c r="C50" i="3" a="1"/>
  <c r="A1603" i="4" a="1"/>
  <c r="A1227" i="4" a="1"/>
  <c r="A1172" i="4" a="1"/>
  <c r="A862" i="4" a="1"/>
  <c r="A1161" i="4" a="1"/>
  <c r="A854" i="4" a="1"/>
  <c r="A1130" i="4" a="1"/>
  <c r="A731" i="4" a="1"/>
  <c r="A1862" i="4" a="1"/>
  <c r="D603" i="4" a="1"/>
  <c r="A90" i="4" a="1"/>
  <c r="C51" i="3" a="1"/>
  <c r="A177" i="4" a="1"/>
  <c r="D717" i="4" a="1"/>
  <c r="A1467" i="4" a="1"/>
  <c r="A1002" i="4" a="1"/>
  <c r="A1492" i="4" a="1"/>
  <c r="A1679" i="4" a="1"/>
  <c r="A1529" i="4" a="1"/>
  <c r="A1645" i="4" a="1"/>
  <c r="A53" i="4" a="1"/>
  <c r="A952" i="4" a="1"/>
  <c r="A629" i="4" a="1"/>
  <c r="A1177" i="4" a="1"/>
  <c r="A779" i="4" a="1"/>
  <c r="A1092" i="4" a="1"/>
  <c r="A323" i="4" a="1"/>
  <c r="A1636" i="4" a="1"/>
  <c r="A816" i="4" a="1"/>
  <c r="A1263" i="4" a="1"/>
  <c r="A345" i="4" a="1"/>
  <c r="A1675" i="4" a="1"/>
  <c r="A640" i="4" a="1"/>
  <c r="A46" i="4" a="1"/>
  <c r="D869" i="4" a="1"/>
  <c r="A119" i="4" a="1"/>
  <c r="A14" i="4" a="1"/>
  <c r="A744" i="4" a="1"/>
  <c r="A429" i="4" a="1"/>
  <c r="A114" i="4" a="1"/>
  <c r="A2171" i="4" a="1"/>
  <c r="A111" i="4" a="1"/>
  <c r="A804" i="4" a="1"/>
  <c r="A381" i="4" a="1"/>
  <c r="A101" i="4" a="1"/>
  <c r="D89" i="4" a="1"/>
  <c r="D9" i="4" a="1"/>
  <c r="D286" i="4" a="1"/>
  <c r="D248" i="4" a="1"/>
  <c r="D130" i="4" a="1"/>
  <c r="D42" i="4" a="1"/>
  <c r="D548" i="4" a="1"/>
  <c r="D100" i="4" a="1"/>
  <c r="D183" i="4" a="1"/>
  <c r="D178" i="4" a="1"/>
  <c r="D514" i="4" a="1"/>
  <c r="D18" i="4" a="1"/>
  <c r="D578" i="4" a="1"/>
  <c r="D64" i="4" a="1"/>
  <c r="D179" i="4" a="1"/>
  <c r="D379" i="4" a="1"/>
  <c r="D396" i="4" a="1"/>
  <c r="D125" i="4" a="1"/>
  <c r="D469" i="4" a="1"/>
  <c r="D366" i="4" a="1"/>
  <c r="D551" i="4" a="1"/>
  <c r="D419" i="4" a="1"/>
  <c r="D257" i="4" a="1"/>
  <c r="B33" i="3" a="1"/>
  <c r="D121" i="4" a="1"/>
  <c r="D300" i="4" a="1"/>
  <c r="D560" i="4" a="1"/>
  <c r="D60" i="4" a="1"/>
  <c r="B45" i="3" a="1"/>
  <c r="A496" i="2" a="1"/>
  <c r="A395" i="2" a="1"/>
  <c r="A294" i="2" a="1"/>
  <c r="A203" i="2" a="1"/>
  <c r="A863" i="2" a="1"/>
  <c r="A1299" i="2" a="1"/>
  <c r="A1241" i="2" a="1"/>
  <c r="A1321" i="2" a="1"/>
  <c r="A195" i="2" a="1"/>
  <c r="A1627" i="2" a="1"/>
  <c r="A1228" i="2" a="1"/>
  <c r="A884" i="2" a="1"/>
  <c r="A2050" i="2" a="1"/>
  <c r="A806" i="2" a="1"/>
  <c r="A1660" i="2" a="1"/>
  <c r="A354" i="2" a="1"/>
  <c r="J2" i="5" a="1"/>
  <c r="A914" i="2" a="1"/>
  <c r="A99" i="2" a="1"/>
  <c r="A846" i="2" a="1"/>
  <c r="A745" i="2" a="1"/>
  <c r="A644" i="2" a="1"/>
  <c r="A553" i="2" a="1"/>
  <c r="A662" i="2" a="1"/>
  <c r="A1093" i="2" a="1"/>
  <c r="A329" i="2" a="1"/>
  <c r="A1564" i="2" a="1"/>
  <c r="A305" i="2" a="1"/>
  <c r="A11" i="2" a="1"/>
  <c r="A1573" i="2" a="1"/>
  <c r="A994" i="2" a="1"/>
  <c r="A2160" i="2" a="1"/>
  <c r="A220" i="2" a="1"/>
  <c r="A327" i="2" a="1"/>
  <c r="A464" i="2" a="1"/>
  <c r="A507" i="2" a="1"/>
  <c r="A2351" i="2" a="1"/>
  <c r="A1212" i="2" a="1"/>
  <c r="A1911" i="2" a="1"/>
  <c r="A352" i="2" a="1"/>
  <c r="A929" i="2" a="1"/>
  <c r="A1048" i="2" a="1"/>
  <c r="A949" i="2" a="1"/>
  <c r="A2330" i="2" a="1"/>
  <c r="A2076" i="2" a="1"/>
  <c r="A226" i="2" a="1"/>
  <c r="A271" i="2" a="1"/>
  <c r="A909" i="2" a="1"/>
  <c r="A692" i="2" a="1"/>
  <c r="A935" i="2" a="1"/>
  <c r="A1480" i="2" a="1"/>
  <c r="A2222" i="2" a="1"/>
  <c r="A248" i="2" a="1"/>
  <c r="A1442" i="2" a="1"/>
  <c r="A201" i="2" a="1"/>
  <c r="A702" i="2" a="1"/>
  <c r="A97" i="2" a="1"/>
  <c r="A2179" i="2" a="1"/>
  <c r="A1560" i="2" a="1"/>
  <c r="A2189" i="2" a="1"/>
  <c r="A1836" i="2" a="1"/>
  <c r="A2022" i="2" a="1"/>
  <c r="A1996" i="2" a="1"/>
  <c r="A422" i="2" a="1"/>
  <c r="A2139" i="2" a="1"/>
  <c r="A1973" i="2" a="1"/>
  <c r="A1285" i="2" a="1"/>
  <c r="A2164" i="2" a="1"/>
  <c r="A1029" i="2" a="1"/>
  <c r="A588" i="2" a="1"/>
  <c r="A402" i="2" a="1"/>
  <c r="A1398" i="2" a="1"/>
  <c r="A2082" i="2" a="1"/>
  <c r="A718" i="2" a="1"/>
  <c r="A219" i="2" a="1"/>
  <c r="A2286" i="2" a="1"/>
  <c r="A2110" i="2" a="1"/>
  <c r="A899" i="2" a="1"/>
  <c r="A941" i="2" a="1"/>
  <c r="A1330" i="2" a="1"/>
  <c r="A1565" i="2" a="1"/>
  <c r="A2190" i="2" a="1"/>
  <c r="A1178" i="2" a="1"/>
  <c r="A355" i="2" a="1"/>
  <c r="A1787" i="2" a="1"/>
  <c r="A2299" i="2" a="1"/>
  <c r="A308" i="2" a="1"/>
  <c r="A2294" i="2" a="1"/>
  <c r="A1956" i="2" a="1"/>
  <c r="A2108" i="2" a="1"/>
  <c r="A2137" i="2" a="1"/>
  <c r="A1891" i="2" a="1"/>
  <c r="A2291" i="2" a="1"/>
  <c r="A1841" i="2" a="1"/>
  <c r="A1850" i="2" a="1"/>
  <c r="A913" i="2" a="1"/>
  <c r="A1924" i="2" a="1"/>
  <c r="A1311" i="2" a="1"/>
  <c r="D604" i="2" a="1"/>
  <c r="D374" i="2" a="1"/>
  <c r="D763" i="2" a="1"/>
  <c r="D612" i="2" a="1"/>
  <c r="D1238" i="2" a="1"/>
  <c r="D154" i="2" a="1"/>
  <c r="D1036" i="2" a="1"/>
  <c r="D1724" i="2" a="1"/>
  <c r="D404" i="2" a="1"/>
  <c r="D1286" i="2" a="1"/>
  <c r="D1974" i="2" a="1"/>
  <c r="D654" i="2" a="1"/>
  <c r="D231" i="2" a="1"/>
  <c r="D1324" i="2" a="1"/>
  <c r="D65" i="2" a="1"/>
  <c r="D854" i="2" a="1"/>
  <c r="D1045" i="2" a="1"/>
  <c r="D555" i="2" a="1"/>
  <c r="D85" i="2" a="1"/>
  <c r="D454" i="2" a="1"/>
  <c r="D105" i="2" a="1"/>
  <c r="D474" i="2" a="1"/>
  <c r="D246" i="2" a="1"/>
  <c r="D615" i="2" a="1"/>
  <c r="D1700" i="2" a="1"/>
  <c r="D781" i="2" a="1"/>
  <c r="D266" i="2" a="1"/>
  <c r="D940" i="2" a="1"/>
  <c r="D1305" i="2" a="1"/>
  <c r="D756" i="2" a="1"/>
  <c r="D70" i="2" a="1"/>
  <c r="D2316" i="2" a="1"/>
  <c r="N1586" i="5" a="1"/>
  <c r="L1963" i="5" a="1"/>
  <c r="K1860" i="5" a="1"/>
  <c r="B1617" i="2" a="1"/>
  <c r="B224" i="2" a="1"/>
  <c r="B1011" i="2" a="1"/>
  <c r="B1056" i="2" a="1"/>
  <c r="B1800" i="2" a="1"/>
  <c r="B2343" i="2" a="1"/>
  <c r="B1421" i="2" a="1"/>
  <c r="B2159" i="2" a="1"/>
  <c r="A2135" i="4" a="1"/>
  <c r="A2022" i="4" a="1"/>
  <c r="A1217" i="4" a="1"/>
  <c r="A1213" i="4" a="1"/>
  <c r="A1987" i="4" a="1"/>
  <c r="A2317" i="4" a="1"/>
  <c r="A2121" i="4" a="1"/>
  <c r="A2023" i="4" a="1"/>
  <c r="A1902" i="4" a="1"/>
  <c r="A1854" i="4" a="1"/>
  <c r="A1339" i="4" a="1"/>
  <c r="A1281" i="4" a="1"/>
  <c r="A1833" i="4" a="1"/>
  <c r="A2100" i="4" a="1"/>
  <c r="B1408" i="2" a="1"/>
  <c r="A1526" i="4" a="1"/>
  <c r="A932" i="4" a="1"/>
  <c r="A1983" i="4" a="1"/>
  <c r="A655" i="4" a="1"/>
  <c r="A1558" i="4" a="1"/>
  <c r="A1668" i="4" a="1"/>
  <c r="A1404" i="4" a="1"/>
  <c r="D863" i="4" a="1"/>
  <c r="A1009" i="4" a="1"/>
  <c r="A870" i="4" a="1"/>
  <c r="A1444" i="4" a="1"/>
  <c r="D789" i="4" a="1"/>
  <c r="A961" i="4" a="1"/>
  <c r="D663" i="4" a="1"/>
  <c r="A511" i="4" a="1"/>
  <c r="A690" i="4" a="1"/>
  <c r="A359" i="4" a="1"/>
  <c r="D777" i="4" a="1"/>
  <c r="A1460" i="4" a="1"/>
  <c r="C47" i="3" a="1"/>
  <c r="A1550" i="4" a="1"/>
  <c r="A1482" i="4" a="1"/>
  <c r="A1452" i="4" a="1"/>
  <c r="A1507" i="4" a="1"/>
  <c r="A293" i="4" a="1"/>
  <c r="A1282" i="4" a="1"/>
  <c r="A612" i="4" a="1"/>
  <c r="A1655" i="4" a="1"/>
  <c r="A636" i="4" a="1"/>
  <c r="A1165" i="4" a="1"/>
  <c r="A563" i="4" a="1"/>
  <c r="A1478" i="4" a="1"/>
  <c r="A820" i="4" a="1"/>
  <c r="A1332" i="4" a="1"/>
  <c r="A585" i="4" a="1"/>
  <c r="A1313" i="4" a="1"/>
  <c r="A723" i="4" a="1"/>
  <c r="A506" i="4" a="1"/>
  <c r="A123" i="4" a="1"/>
  <c r="A19" i="4" a="1"/>
  <c r="A474" i="4" a="1"/>
  <c r="A840" i="4" a="1"/>
  <c r="A1185" i="4" a="1"/>
  <c r="A524" i="4" a="1"/>
  <c r="A1079" i="4" a="1"/>
  <c r="A212" i="4" a="1"/>
  <c r="D819" i="4" a="1"/>
  <c r="B67" i="3" a="1"/>
  <c r="A231" i="4" a="1"/>
  <c r="A483" i="4" a="1"/>
  <c r="A613" i="4" a="1"/>
  <c r="D840" i="4" a="1"/>
  <c r="D492" i="4" a="1"/>
  <c r="D2" i="4" a="1"/>
  <c r="D118" i="4" a="1"/>
  <c r="D354" i="4" a="1"/>
  <c r="D536" i="4" a="1"/>
  <c r="D338" i="4" a="1"/>
  <c r="D112" i="4" a="1"/>
  <c r="D220" i="4" a="1"/>
  <c r="D389" i="4" a="1"/>
  <c r="D490" i="4" a="1"/>
  <c r="D539" i="4" a="1"/>
  <c r="D126" i="4" a="1"/>
  <c r="D247" i="4" a="1"/>
  <c r="D542" i="4" a="1"/>
  <c r="D198" i="4" a="1"/>
  <c r="D285" i="4" a="1"/>
  <c r="D334" i="4" a="1"/>
  <c r="D477" i="4" a="1"/>
  <c r="D512" i="4" a="1"/>
  <c r="D37" i="4" a="1"/>
  <c r="B12" i="3" a="1"/>
  <c r="B8" i="3" a="1"/>
  <c r="D21" i="4" a="1"/>
  <c r="B16" i="3" a="1"/>
  <c r="D345" i="4" a="1"/>
  <c r="B25" i="3" a="1"/>
  <c r="A736" i="2" a="1"/>
  <c r="A635" i="2" a="1"/>
  <c r="A534" i="2" a="1"/>
  <c r="A443" i="2" a="1"/>
  <c r="A70" i="2" a="1"/>
  <c r="A322" i="2" a="1"/>
  <c r="A790" i="2" a="1"/>
  <c r="A1770" i="2" a="1"/>
  <c r="A435" i="2" a="1"/>
  <c r="A920" i="2" a="1"/>
  <c r="B2" i="3" a="1"/>
  <c r="A1124" i="2" a="1"/>
  <c r="A2290" i="2" a="1"/>
  <c r="A637" i="2" a="1"/>
  <c r="A1058" i="2" a="1"/>
  <c r="A594" i="2" a="1"/>
  <c r="A23" i="2" a="1"/>
  <c r="A109" i="2" a="1"/>
  <c r="A872" i="2" a="1"/>
  <c r="A759" i="2" a="1"/>
  <c r="A136" i="2" a="1"/>
  <c r="A35" i="2" a="1"/>
  <c r="A793" i="2" a="1"/>
  <c r="A152" i="2" a="1"/>
  <c r="A1703" i="2" a="1"/>
  <c r="A282" i="2" a="1"/>
  <c r="A260" i="2" a="1"/>
  <c r="A545" i="2" a="1"/>
  <c r="A1290" i="2" a="1"/>
  <c r="A103" i="2" a="1"/>
  <c r="A439" i="2" a="1"/>
  <c r="A367" i="2" a="1"/>
  <c r="A901" i="2" a="1"/>
  <c r="A1456" i="2" a="1"/>
  <c r="A704" i="2" a="1"/>
  <c r="A1015" i="2" a="1"/>
  <c r="A1534" i="2" a="1"/>
  <c r="A669" i="2" a="1"/>
  <c r="A72" i="2" a="1"/>
  <c r="A1806" i="2" a="1"/>
  <c r="A87" i="2" a="1"/>
  <c r="A2055" i="2" a="1"/>
  <c r="A2125" i="2" a="1"/>
  <c r="A771" i="2" a="1"/>
  <c r="A1633" i="2" a="1"/>
  <c r="A982" i="2" a="1"/>
  <c r="A1693" i="2" a="1"/>
  <c r="A1998" i="2" a="1"/>
  <c r="A1950" i="2" a="1"/>
  <c r="A2104" i="2" a="1"/>
  <c r="A24" i="2" a="1"/>
  <c r="A1498" i="2" a="1"/>
  <c r="A1898" i="2" a="1"/>
  <c r="A1138" i="2" a="1"/>
  <c r="A1876" i="2" a="1"/>
  <c r="A2054" i="2" a="1"/>
  <c r="A1756" i="2" a="1"/>
  <c r="A1735" i="2" a="1"/>
  <c r="A1307" i="2" a="1"/>
  <c r="A1684" i="2" a="1"/>
  <c r="A2097" i="2" a="1"/>
  <c r="A1514" i="2" a="1"/>
  <c r="A1147" i="2" a="1"/>
  <c r="A1508" i="2" a="1"/>
  <c r="A1462" i="2" a="1"/>
  <c r="A2068" i="2" a="1"/>
  <c r="A1399" i="2" a="1"/>
  <c r="A1180" i="2" a="1"/>
  <c r="A1697" i="2" a="1"/>
  <c r="A1224" i="2" a="1"/>
  <c r="A1887" i="2" a="1"/>
  <c r="A2151" i="2" a="1"/>
  <c r="A1360" i="2" a="1"/>
  <c r="A1274" i="2" a="1"/>
  <c r="A1661" i="2" a="1"/>
  <c r="A1696" i="2" a="1"/>
  <c r="A1533" i="2" a="1"/>
  <c r="A958" i="2" a="1"/>
  <c r="A1044" i="2" a="1"/>
  <c r="A509" i="2" a="1"/>
  <c r="A2328" i="2" a="1"/>
  <c r="A1624" i="2" a="1"/>
  <c r="A1075" i="2" a="1"/>
  <c r="A1171" i="2" a="1"/>
  <c r="A1375" i="2" a="1"/>
  <c r="A1718" i="2" a="1"/>
  <c r="A1558" i="2" a="1"/>
  <c r="A1789" i="2" a="1"/>
  <c r="A163" i="2" a="1"/>
  <c r="A887" i="2" a="1"/>
  <c r="A1541" i="2" a="1"/>
  <c r="A988" i="2" a="1"/>
  <c r="A1965" i="2" a="1"/>
  <c r="A1552" i="2" a="1"/>
  <c r="A1912" i="2" a="1"/>
  <c r="A886" i="2" a="1"/>
  <c r="A1928" i="2" a="1"/>
  <c r="A2156" i="2" a="1"/>
  <c r="D5" i="2" a="1"/>
  <c r="D614" i="2" a="1"/>
  <c r="D144" i="2" a="1"/>
  <c r="D1026" i="2" a="1"/>
  <c r="D1691" i="2" a="1"/>
  <c r="D394" i="2" a="1"/>
  <c r="D1276" i="2" a="1"/>
  <c r="D1964" i="2" a="1"/>
  <c r="D644" i="2" a="1"/>
  <c r="D199" i="2" a="1"/>
  <c r="D1290" i="2" a="1"/>
  <c r="D55" i="2" a="1"/>
  <c r="D791" i="2" a="1"/>
  <c r="D1022" i="2" a="1"/>
  <c r="D305" i="2" a="1"/>
  <c r="D1390" i="2" a="1"/>
  <c r="D2105" i="2" a="1"/>
  <c r="D795" i="2" a="1"/>
  <c r="D325" i="2" a="1"/>
  <c r="D694" i="2" a="1"/>
  <c r="D345" i="2" a="1"/>
  <c r="D714" i="2" a="1"/>
  <c r="D486" i="2" a="1"/>
  <c r="D16" i="2" a="1"/>
  <c r="D1194" i="2" a="1"/>
  <c r="D1823" i="2" a="1"/>
  <c r="D506" i="2" a="1"/>
  <c r="D550" i="2" a="1"/>
  <c r="D2066" i="2" a="1"/>
  <c r="D178" i="2" a="1"/>
  <c r="D1197" i="2" a="1"/>
  <c r="D1395" i="2" a="1"/>
  <c r="J1548" i="5" a="1"/>
  <c r="I1858" i="5" a="1"/>
  <c r="B1881" i="5" a="1"/>
  <c r="B1661" i="2" a="1"/>
  <c r="B885" i="2" a="1"/>
  <c r="B590" i="2" a="1"/>
  <c r="B2109" i="2" a="1"/>
  <c r="B586" i="2" a="1"/>
  <c r="B1678" i="2" a="1"/>
  <c r="A1861" i="4" a="1"/>
  <c r="B2351" i="2" a="1"/>
  <c r="A2155" i="4" a="1"/>
  <c r="A1962" i="4" a="1"/>
  <c r="B380" i="2" a="1"/>
  <c r="A1230" i="4" a="1"/>
  <c r="A934" i="4" a="1"/>
  <c r="A891" i="4" a="1"/>
  <c r="A2148" i="4" a="1"/>
  <c r="A2119" i="4" a="1"/>
  <c r="A2062" i="4" a="1"/>
  <c r="A1974" i="4" a="1"/>
  <c r="A1380" i="4" a="1"/>
  <c r="A1401" i="4" a="1"/>
  <c r="A2319" i="4" a="1"/>
  <c r="A2242" i="4" a="1"/>
  <c r="A1874" i="4" a="1"/>
  <c r="B792" i="2" a="1"/>
  <c r="A1037" i="4" a="1"/>
  <c r="A2095" i="4" a="1"/>
  <c r="A775" i="4" a="1"/>
  <c r="A1346" i="4" a="1"/>
  <c r="A1696" i="4" a="1"/>
  <c r="A879" i="4" a="1"/>
  <c r="A183" i="4" a="1"/>
  <c r="A1245" i="4" a="1"/>
  <c r="A754" i="4" a="1"/>
  <c r="A1277" i="4" a="1"/>
  <c r="A667" i="4" a="1"/>
  <c r="A1113" i="4" a="1"/>
  <c r="D723" i="4" a="1"/>
  <c r="A1879" i="4" a="1"/>
  <c r="A653" i="4" a="1"/>
  <c r="A530" i="4" a="1"/>
  <c r="A658" i="4" a="1"/>
  <c r="A1657" i="4" a="1"/>
  <c r="D662" i="4" a="1"/>
  <c r="A900" i="4" a="1"/>
  <c r="A1617" i="4" a="1"/>
  <c r="A1415" i="4" a="1"/>
  <c r="A1689" i="4" a="1"/>
  <c r="A533" i="4" a="1"/>
  <c r="A1022" i="4" a="1"/>
  <c r="A424" i="4" a="1"/>
  <c r="A1485" i="4" a="1"/>
  <c r="A73" i="4" a="1"/>
  <c r="A1135" i="4" a="1"/>
  <c r="A204" i="4" a="1"/>
  <c r="A1582" i="4" a="1"/>
  <c r="D756" i="4" a="1"/>
  <c r="A1591" i="4" a="1"/>
  <c r="A236" i="4" a="1"/>
  <c r="C63" i="3" a="1"/>
  <c r="A687" i="4" a="1"/>
  <c r="A378" i="4" a="1"/>
  <c r="A523" i="4" a="1"/>
  <c r="A571" i="4" a="1"/>
  <c r="A31" i="4" a="1"/>
  <c r="D721" i="4" a="1"/>
  <c r="A1369" i="4" a="1"/>
  <c r="A385" i="4" a="1"/>
  <c r="A967" i="4" a="1"/>
  <c r="A17" i="4" a="1"/>
  <c r="D848" i="4" a="1"/>
  <c r="A631" i="4" a="1"/>
  <c r="A412" i="4" a="1"/>
  <c r="A402" i="4" a="1"/>
  <c r="A807" i="4" a="1"/>
  <c r="A3" i="4" a="1"/>
  <c r="D111" i="4" a="1"/>
  <c r="D504" i="4" a="1"/>
  <c r="D301" i="4" a="1"/>
  <c r="D140" i="4" a="1"/>
  <c r="D34" i="4" a="1"/>
  <c r="D516" i="4" a="1"/>
  <c r="D408" i="4" a="1"/>
  <c r="D493" i="4" a="1"/>
  <c r="D426" i="4" a="1"/>
  <c r="D265" i="4" a="1"/>
  <c r="D427" i="4" a="1"/>
  <c r="D53" i="4" a="1"/>
  <c r="D553" i="4" a="1"/>
  <c r="D5" i="4" a="1"/>
  <c r="D543" i="4" a="1"/>
  <c r="D222" i="4" a="1"/>
  <c r="D380" i="4" a="1"/>
  <c r="D211" i="4" a="1"/>
  <c r="D530" i="4" a="1"/>
  <c r="D363" i="4" a="1"/>
  <c r="D417" i="4" a="1"/>
  <c r="D84" i="4" a="1"/>
  <c r="D507" i="4" a="1"/>
  <c r="D368" i="4" a="1"/>
  <c r="B23" i="3" a="1"/>
  <c r="D191" i="4" a="1"/>
  <c r="A420" i="2" a="1"/>
  <c r="A26" i="2" a="1"/>
  <c r="A774" i="2" a="1"/>
  <c r="A683" i="2" a="1"/>
  <c r="A1129" i="2" a="1"/>
  <c r="A1446" i="2" a="1"/>
  <c r="A699" i="2" a="1"/>
  <c r="A1213" i="2" a="1"/>
  <c r="A675" i="2" a="1"/>
  <c r="A291" i="2" a="1"/>
  <c r="A233" i="2" a="1"/>
  <c r="A916" i="2" a="1"/>
  <c r="A1383" i="2" a="1"/>
  <c r="A1031" i="2" a="1"/>
  <c r="A430" i="2" a="1"/>
  <c r="A834" i="2" a="1"/>
  <c r="A263" i="2" a="1"/>
  <c r="A983" i="2" a="1"/>
  <c r="A1112" i="2" a="1"/>
  <c r="A1071" i="2" a="1"/>
  <c r="A376" i="2" a="1"/>
  <c r="A275" i="2" a="1"/>
  <c r="A174" i="2" a="1"/>
  <c r="A1010" i="2" a="1"/>
  <c r="A2061" i="2" a="1"/>
  <c r="A922" i="2" a="1"/>
  <c r="A1609" i="2" a="1"/>
  <c r="A785" i="2" a="1"/>
  <c r="A89" i="2" a="1"/>
  <c r="A343" i="2" a="1"/>
  <c r="A1143" i="2" a="1"/>
  <c r="A1774" i="2" a="1"/>
  <c r="A1141" i="2" a="1"/>
  <c r="A1080" i="2" a="1"/>
  <c r="A95" i="2" a="1"/>
  <c r="A1527" i="2" a="1"/>
  <c r="A926" i="2" a="1"/>
  <c r="A640" i="2" a="1"/>
  <c r="A158" i="2" a="1"/>
  <c r="A828" i="2" a="1"/>
  <c r="A1537" i="2" a="1"/>
  <c r="A2105" i="2" a="1"/>
  <c r="A1376" i="2" a="1"/>
  <c r="A1931" i="2" a="1"/>
  <c r="A517" i="2" a="1"/>
  <c r="A419" i="2" a="1"/>
  <c r="A1133" i="2" a="1"/>
  <c r="A1153" i="2" a="1"/>
  <c r="A2350" i="2" a="1"/>
  <c r="A2178" i="2" a="1"/>
  <c r="A246" i="2" a="1"/>
  <c r="A557" i="2" a="1"/>
  <c r="A1073" i="2" a="1"/>
  <c r="A801" i="2" a="1"/>
  <c r="A1057" i="2" a="1"/>
  <c r="A1798" i="2" a="1"/>
  <c r="A2246" i="2" a="1"/>
  <c r="A229" i="2" a="1"/>
  <c r="A1495" i="2" a="1"/>
  <c r="A351" i="2" a="1"/>
  <c r="A1554" i="2" a="1"/>
  <c r="A209" i="2" a="1"/>
  <c r="A2225" i="2" a="1"/>
  <c r="A1580" i="2" a="1"/>
  <c r="A2264" i="2" a="1"/>
  <c r="A965" i="2" a="1"/>
  <c r="A2042" i="2" a="1"/>
  <c r="A2092" i="2" a="1"/>
  <c r="A472" i="2" a="1"/>
  <c r="A2214" i="2" a="1"/>
  <c r="A1502" i="2" a="1"/>
  <c r="A1625" i="2" a="1"/>
  <c r="A2223" i="2" a="1"/>
  <c r="A1108" i="2" a="1"/>
  <c r="A937" i="2" a="1"/>
  <c r="A631" i="2" a="1"/>
  <c r="A1546" i="2" a="1"/>
  <c r="A2155" i="2" a="1"/>
  <c r="A1294" i="2" a="1"/>
  <c r="A1705" i="2" a="1"/>
  <c r="A1813" i="2" a="1"/>
  <c r="A1572" i="2" a="1"/>
  <c r="A2199" i="2" a="1"/>
  <c r="A561" i="2" a="1"/>
  <c r="A711" i="2" a="1"/>
  <c r="A230" i="2" a="1"/>
  <c r="A2210" i="2" a="1"/>
  <c r="A1604" i="2" a="1"/>
  <c r="A375" i="2" a="1"/>
  <c r="A1885" i="2" a="1"/>
  <c r="A78" i="2" a="1"/>
  <c r="A1856" i="2" a="1"/>
  <c r="A1240" i="2" a="1"/>
  <c r="A2235" i="2" a="1"/>
  <c r="A832" i="2" a="1"/>
  <c r="A1988" i="2" a="1"/>
  <c r="A1944" i="2" a="1"/>
  <c r="A1078" i="2" a="1"/>
  <c r="D245" i="2" a="1"/>
  <c r="D15" i="2" a="1"/>
  <c r="D384" i="2" a="1"/>
  <c r="D1266" i="2" a="1"/>
  <c r="D1954" i="2" a="1"/>
  <c r="D634" i="2" a="1"/>
  <c r="D181" i="2" a="1"/>
  <c r="D1204" i="2" a="1"/>
  <c r="D45" i="2" a="1"/>
  <c r="D771" i="2" a="1"/>
  <c r="D997" i="2" a="1"/>
  <c r="D295" i="2" a="1"/>
  <c r="D1380" i="2" a="1"/>
  <c r="D2095" i="2" a="1"/>
  <c r="D545" i="2" a="1"/>
  <c r="D1630" i="2" a="1"/>
  <c r="D2345" i="2" a="1"/>
  <c r="D196" i="2" a="1"/>
  <c r="D565" i="2" a="1"/>
  <c r="D95" i="2" a="1"/>
  <c r="D585" i="2" a="1"/>
  <c r="D115" i="2" a="1"/>
  <c r="D726" i="2" a="1"/>
  <c r="D256" i="2" a="1"/>
  <c r="D927" i="2" a="1"/>
  <c r="D1259" i="2" a="1"/>
  <c r="D746" i="2" a="1"/>
  <c r="D11" i="2" a="1"/>
  <c r="D2306" i="2" a="1"/>
  <c r="D418" i="2" a="1"/>
  <c r="D1062" i="2" a="1"/>
  <c r="D2045" i="2" a="1"/>
  <c r="B1550" i="5" a="1"/>
  <c r="B1862" i="5" a="1"/>
  <c r="E1908" i="5" a="1"/>
  <c r="B2179" i="2" a="1"/>
  <c r="B528" i="2" a="1"/>
  <c r="B168" i="2" a="1"/>
  <c r="B970" i="2" a="1"/>
  <c r="B180" i="2" a="1"/>
  <c r="B1513" i="2" a="1"/>
  <c r="A1728" i="4" a="1"/>
  <c r="A1794" i="4" a="1"/>
  <c r="A991" i="4" a="1"/>
  <c r="A1992" i="4" a="1"/>
  <c r="B354" i="2" a="1"/>
  <c r="A1351" i="4" a="1"/>
  <c r="A1054" i="4" a="1"/>
  <c r="A925" i="4" a="1"/>
  <c r="A2184" i="4" a="1"/>
  <c r="A2209" i="4" a="1"/>
  <c r="A1926" i="4" a="1"/>
  <c r="A1811" i="4" a="1"/>
  <c r="A1115" i="4" a="1"/>
  <c r="A1258" i="4" a="1"/>
  <c r="A984" i="4" a="1"/>
  <c r="A2113" i="4" a="1"/>
  <c r="A1994" i="4" a="1"/>
  <c r="B1448" i="2" a="1"/>
  <c r="A1222" i="4" a="1"/>
  <c r="A2103" i="4" a="1"/>
  <c r="D637" i="4" a="1"/>
  <c r="A1634" i="4" a="1"/>
  <c r="A1367" i="4" a="1"/>
  <c r="A1434" i="4" a="1"/>
  <c r="A423" i="4" a="1"/>
  <c r="A1257" i="4" a="1"/>
  <c r="A722" i="4" a="1"/>
  <c r="A910" i="4" a="1"/>
  <c r="A443" i="4" a="1"/>
  <c r="A960" i="4" a="1"/>
  <c r="D783" i="4" a="1"/>
  <c r="A1817" i="4" a="1"/>
  <c r="A773" i="4" a="1"/>
  <c r="B585" i="2" a="1"/>
  <c r="A778" i="4" a="1"/>
  <c r="C38" i="3" a="1"/>
  <c r="D722" i="4" a="1"/>
  <c r="A1700" i="4" a="1"/>
  <c r="C5" i="3" a="1"/>
  <c r="A1423" i="4" a="1"/>
  <c r="A1530" i="4" a="1"/>
  <c r="A174" i="4" a="1"/>
  <c r="A1497" i="4" a="1"/>
  <c r="A65" i="4" a="1"/>
  <c r="A1543" i="4" a="1"/>
  <c r="A313" i="4" a="1"/>
  <c r="A1324" i="4" a="1"/>
  <c r="A444" i="4" a="1"/>
  <c r="A1469" i="4" a="1"/>
  <c r="A454" i="4" a="1"/>
  <c r="A1551" i="4" a="1"/>
  <c r="A476" i="4" a="1"/>
  <c r="C67" i="3" a="1"/>
  <c r="D661" i="4" a="1"/>
  <c r="A367" i="4" a="1"/>
  <c r="A384" i="4" a="1"/>
  <c r="A777" i="4" a="1"/>
  <c r="A369" i="4" a="1"/>
  <c r="A842" i="4" a="1"/>
  <c r="A1056" i="4" a="1"/>
  <c r="A256" i="4" a="1"/>
  <c r="C37" i="3" a="1"/>
  <c r="A281" i="4" a="1"/>
  <c r="A178" i="4" a="1"/>
  <c r="A666" i="4" a="1"/>
  <c r="A217" i="4" a="1"/>
  <c r="D489" i="4" a="1"/>
  <c r="A416" i="4" a="1"/>
  <c r="A322" i="4" a="1"/>
  <c r="D280" i="4" a="1"/>
  <c r="D392" i="4" a="1"/>
  <c r="D361" i="4" a="1"/>
  <c r="D144" i="4" a="1"/>
  <c r="D74" i="4" a="1"/>
  <c r="D138" i="4" a="1"/>
  <c r="D494" i="4" a="1"/>
  <c r="D327" i="4" a="1"/>
  <c r="D470" i="4" a="1"/>
  <c r="D333" i="4" a="1"/>
  <c r="D411" i="4" a="1"/>
  <c r="D170" i="4" a="1"/>
  <c r="D459" i="4" a="1"/>
  <c r="D91" i="4" a="1"/>
  <c r="D521" i="4" a="1"/>
  <c r="D56" i="4" a="1"/>
  <c r="A866" i="4" a="1"/>
  <c r="D81" i="4" a="1"/>
  <c r="D541" i="4" a="1"/>
  <c r="D169" i="4" a="1"/>
  <c r="D276" i="4" a="1"/>
  <c r="D446" i="4" a="1"/>
  <c r="B5" i="3" a="1"/>
  <c r="D161" i="4" a="1"/>
  <c r="B17" i="3" a="1"/>
  <c r="D580" i="4" a="1"/>
  <c r="A961" i="2" a="1"/>
  <c r="A266" i="2" a="1"/>
  <c r="A165" i="2" a="1"/>
  <c r="A64" i="2" a="1"/>
  <c r="A647" i="2" a="1"/>
  <c r="A1951" i="2" a="1"/>
  <c r="A1052" i="2" a="1"/>
  <c r="A580" i="2" a="1"/>
  <c r="A66" i="2" a="1"/>
  <c r="A923" i="2" a="1"/>
  <c r="A473" i="2" a="1"/>
  <c r="A151" i="2" a="1"/>
  <c r="A658" i="2" a="1"/>
  <c r="A68" i="2" a="1"/>
  <c r="A1404" i="2" a="1"/>
  <c r="A225" i="2" a="1"/>
  <c r="A503" i="2" a="1"/>
  <c r="A357" i="2" a="1"/>
  <c r="A347" i="2" a="1"/>
  <c r="A207" i="2" a="1"/>
  <c r="A616" i="2" a="1"/>
  <c r="A515" i="2" a="1"/>
  <c r="K1579" i="5" a="1"/>
  <c r="K1762" i="5" a="1"/>
  <c r="J1956" i="5" a="1"/>
  <c r="B1763" i="2" a="1"/>
  <c r="B950" i="2" a="1"/>
  <c r="B1506" i="2" a="1"/>
  <c r="B1368" i="2" a="1"/>
  <c r="B2243" i="2" a="1"/>
  <c r="B508" i="2" a="1"/>
  <c r="A1848" i="4" a="1"/>
  <c r="A1858" i="4" a="1"/>
  <c r="A948" i="4" a="1"/>
  <c r="A1947" i="4" a="1"/>
  <c r="B2354" i="2" a="1"/>
  <c r="A1410" i="4" a="1"/>
  <c r="A980" i="4" a="1"/>
  <c r="A1045" i="4" a="1"/>
  <c r="B1556" i="2" a="1"/>
  <c r="A1747" i="4" a="1"/>
  <c r="A1937" i="4" a="1"/>
  <c r="A1931" i="4" a="1"/>
  <c r="B1766" i="2" a="1"/>
  <c r="A1292" i="4" a="1"/>
  <c r="A1104" i="4" a="1"/>
  <c r="A2253" i="4" a="1"/>
  <c r="A1831" i="4" a="1"/>
  <c r="B1578" i="2" a="1"/>
  <c r="A1219" i="4" a="1"/>
  <c r="A2252" i="4" a="1"/>
  <c r="D697" i="4" a="1"/>
  <c r="C62" i="3" a="1"/>
  <c r="A1229" i="4" a="1"/>
  <c r="A1193" i="4" a="1"/>
  <c r="A64" i="4" a="1"/>
  <c r="A877" i="4" a="1"/>
  <c r="A686" i="4" a="1"/>
  <c r="A1160" i="4" a="1"/>
  <c r="A84" i="4" a="1"/>
  <c r="A969" i="4" a="1"/>
  <c r="A796" i="4" a="1"/>
  <c r="A1867" i="4" a="1"/>
  <c r="D799" i="4" a="1"/>
  <c r="A2307" i="4" a="1"/>
  <c r="D640" i="4" a="1"/>
  <c r="C71" i="3" a="1"/>
  <c r="D782" i="4" a="1"/>
  <c r="A1527" i="4" a="1"/>
  <c r="C68" i="3" a="1"/>
  <c r="A1502" i="4" a="1"/>
  <c r="A1620" i="4" a="1"/>
  <c r="A414" i="4" a="1"/>
  <c r="A1355" i="4" a="1"/>
  <c r="A305" i="4" a="1"/>
  <c r="A1699" i="4" a="1"/>
  <c r="A553" i="4" a="1"/>
  <c r="A1322" i="4" a="1"/>
  <c r="A456" i="4" a="1"/>
  <c r="A1457" i="4" a="1"/>
  <c r="A95" i="4" a="1"/>
  <c r="A1702" i="4" a="1"/>
  <c r="A128" i="4" a="1"/>
  <c r="C10" i="3" a="1"/>
  <c r="D861" i="4" a="1"/>
  <c r="A457" i="4" a="1"/>
  <c r="A245" i="4" a="1"/>
  <c r="A622" i="4" a="1"/>
  <c r="A230" i="4" a="1"/>
  <c r="A825" i="4" a="1"/>
  <c r="A1096" i="4" a="1"/>
  <c r="A68" i="4" a="1"/>
  <c r="D806" i="4" a="1"/>
  <c r="B70" i="3" a="1"/>
  <c r="A87" i="4" a="1"/>
  <c r="A857" i="4" a="1"/>
  <c r="A461" i="4" a="1"/>
  <c r="A1623" i="4" a="1"/>
  <c r="A379" i="4" a="1"/>
  <c r="D185" i="4" a="1"/>
  <c r="D168" i="4" a="1"/>
  <c r="D428" i="4" a="1"/>
  <c r="D498" i="4" a="1"/>
  <c r="D149" i="4" a="1"/>
  <c r="D303" i="4" a="1"/>
  <c r="D323" i="4" a="1"/>
  <c r="D266" i="4" a="1"/>
  <c r="D475" i="4" a="1"/>
  <c r="D429" i="4" a="1"/>
  <c r="D525" i="4" a="1"/>
  <c r="D113" i="4" a="1"/>
  <c r="D382" i="4" a="1"/>
  <c r="D346" i="4" a="1"/>
  <c r="D352" i="4" a="1"/>
  <c r="D574" i="4" a="1"/>
  <c r="D311" i="4" a="1"/>
  <c r="D296" i="4" a="1"/>
  <c r="D270" i="4" a="1"/>
  <c r="D567" i="4" a="1"/>
  <c r="D453" i="4" a="1"/>
  <c r="D28" i="4" a="1"/>
  <c r="D568" i="4" a="1"/>
  <c r="D398" i="4" a="1"/>
  <c r="D269" i="4" a="1"/>
  <c r="D421" i="4" a="1"/>
  <c r="B39" i="3" a="1"/>
  <c r="A1201" i="2" a="1"/>
  <c r="A506" i="2" a="1"/>
  <c r="A405" i="2" a="1"/>
  <c r="A304" i="2" a="1"/>
  <c r="A1304" i="2" a="1"/>
  <c r="A2191" i="2" a="1"/>
  <c r="A147" i="2" a="1"/>
  <c r="A946" i="2" a="1"/>
  <c r="A306" i="2" a="1"/>
  <c r="A169" i="2" a="1"/>
  <c r="A713" i="2" a="1"/>
  <c r="A1263" i="2" a="1"/>
  <c r="A1505" i="2" a="1"/>
  <c r="A21" i="2" a="1"/>
  <c r="A1800" i="2" a="1"/>
  <c r="A465" i="2" a="1"/>
  <c r="A743" i="2" a="1"/>
  <c r="A1293" i="2" a="1"/>
  <c r="A301" i="2" a="1"/>
  <c r="A160" i="2" a="1"/>
  <c r="A20" i="2" a="1"/>
  <c r="A755" i="2" a="1"/>
  <c r="K1581" i="5" a="1"/>
  <c r="I1764" i="5" a="1"/>
  <c r="E1968" i="5" a="1"/>
  <c r="B2237" i="2" a="1"/>
  <c r="B1502" i="2" a="1"/>
  <c r="B2027" i="2" a="1"/>
  <c r="B1600" i="2" a="1"/>
  <c r="B1006" i="2" a="1"/>
  <c r="B1007" i="2" a="1"/>
  <c r="A1968" i="4" a="1"/>
  <c r="A1978" i="4" a="1"/>
  <c r="A1068" i="4" a="1"/>
  <c r="A2056" i="4" a="1"/>
  <c r="A1789" i="4" a="1"/>
  <c r="A973" i="4" a="1"/>
  <c r="A1191" i="4" a="1"/>
  <c r="A986" i="4" a="1"/>
  <c r="A1809" i="4" a="1"/>
  <c r="B2123" i="2" a="1"/>
  <c r="A1733" i="4" a="1"/>
  <c r="A1730" i="4" a="1"/>
  <c r="B2260" i="2" a="1"/>
  <c r="A963" i="4" a="1"/>
  <c r="A1241" i="4" a="1"/>
  <c r="A2212" i="4" a="1"/>
  <c r="A1951" i="4" a="1"/>
  <c r="B2009" i="2" a="1"/>
  <c r="A1411" i="4" a="1"/>
  <c r="A1981" i="4" a="1"/>
  <c r="D757" i="4" a="1"/>
  <c r="C46" i="3" a="1"/>
  <c r="A1348" i="4" a="1"/>
  <c r="A1325" i="4" a="1"/>
  <c r="A304" i="4" a="1"/>
  <c r="A1633" i="4" a="1"/>
  <c r="A193" i="4" a="1"/>
  <c r="A1318" i="4" a="1"/>
  <c r="A324" i="4" a="1"/>
  <c r="A1331" i="4" a="1"/>
  <c r="D862" i="4" a="1"/>
  <c r="A2074" i="4" a="1"/>
  <c r="D689" i="4" a="1"/>
  <c r="A2177" i="4" a="1"/>
  <c r="D700" i="4" a="1"/>
  <c r="A700" i="4" a="1"/>
  <c r="A668" i="4" a="1"/>
  <c r="A1412" i="4" a="1"/>
  <c r="A595" i="4" a="1"/>
  <c r="A1406" i="4" a="1"/>
  <c r="A1521" i="4" a="1"/>
  <c r="A55" i="4" a="1"/>
  <c r="A1017" i="4" a="1"/>
  <c r="A545" i="4" a="1"/>
  <c r="A1624" i="4" a="1"/>
  <c r="A194" i="4" a="1"/>
  <c r="A1189" i="4" a="1"/>
  <c r="A108" i="4" a="1"/>
  <c r="A1046" i="4" a="1"/>
  <c r="A335" i="4" a="1"/>
  <c r="A1573" i="4" a="1"/>
  <c r="A368" i="4" a="1"/>
  <c r="A635" i="4" a="1"/>
  <c r="A165" i="4" a="1"/>
  <c r="A20" i="4" a="1"/>
  <c r="A66" i="4" a="1"/>
  <c r="D858" i="4" a="1"/>
  <c r="A481" i="4" a="1"/>
  <c r="D873" i="4" a="1"/>
  <c r="A1510" i="4" a="1"/>
  <c r="A60" i="4" a="1"/>
  <c r="D621" i="4" a="1"/>
  <c r="A1680" i="4" a="1"/>
  <c r="A532" i="4" a="1"/>
  <c r="A872" i="4" a="1"/>
  <c r="B69" i="3" a="1"/>
  <c r="A274" i="4" a="1"/>
  <c r="A683" i="4" a="1"/>
  <c r="D206" i="4" a="1"/>
  <c r="D208" i="4" a="1"/>
  <c r="D117" i="4" a="1"/>
  <c r="D547" i="4" a="1"/>
  <c r="D589" i="4" a="1"/>
  <c r="D19" i="4" a="1"/>
  <c r="D218" i="4" a="1"/>
  <c r="D76" i="4" a="1"/>
  <c r="D544" i="4" a="1"/>
  <c r="D77" i="4" a="1"/>
  <c r="D272" i="4" a="1"/>
  <c r="D586" i="4" a="1"/>
  <c r="D154" i="4" a="1"/>
  <c r="D343" i="4" a="1"/>
  <c r="D294" i="4" a="1"/>
  <c r="D70" i="4" a="1"/>
  <c r="D425" i="4" a="1"/>
  <c r="D120" i="4" a="1"/>
  <c r="D40" i="4" a="1"/>
  <c r="D448" i="4" a="1"/>
  <c r="D94" i="4" a="1"/>
  <c r="D355" i="4" a="1"/>
  <c r="D484" i="4" a="1"/>
  <c r="D517" i="4" a="1"/>
  <c r="D365" i="4" a="1"/>
  <c r="D172" i="4" a="1"/>
  <c r="B26" i="3" a="1"/>
  <c r="A651" i="2" a="1"/>
  <c r="A746" i="2" a="1"/>
  <c r="A645" i="2" a="1"/>
  <c r="A544" i="2" a="1"/>
  <c r="A392" i="2" a="1"/>
  <c r="A617" i="2" a="1"/>
  <c r="A101" i="2" a="1"/>
  <c r="A1636" i="2" a="1"/>
  <c r="A546" i="2" a="1"/>
  <c r="A1317" i="2" a="1"/>
  <c r="A94" i="2" a="1"/>
  <c r="A830" i="2" a="1"/>
  <c r="A1981" i="2" a="1"/>
  <c r="A821" i="2" a="1"/>
  <c r="A1308" i="2" a="1"/>
  <c r="A705" i="2" a="1"/>
  <c r="A124" i="2" a="1"/>
  <c r="A905" i="2" a="1"/>
  <c r="A924" i="2" a="1"/>
  <c r="A882" i="2" a="1"/>
  <c r="A820" i="2" a="1"/>
  <c r="A146" i="2" a="1"/>
  <c r="A45" i="2" a="1"/>
  <c r="A1433" i="2" a="1"/>
  <c r="A539" i="2" a="1"/>
  <c r="A457" i="2" a="1"/>
  <c r="A1900" i="2" a="1"/>
  <c r="A656" i="2" a="1"/>
  <c r="A1499" i="2" a="1"/>
  <c r="A204" i="2" a="1"/>
  <c r="A1065" i="2" a="1"/>
  <c r="A2091" i="2" a="1"/>
  <c r="A952" i="2" a="1"/>
  <c r="A1720" i="2" a="1"/>
  <c r="A815" i="2" a="1"/>
  <c r="A321" i="2" a="1"/>
  <c r="A373" i="2" a="1"/>
  <c r="A1179" i="2" a="1"/>
  <c r="A1964" i="2" a="1"/>
  <c r="A1946" i="2" a="1"/>
  <c r="A1350" i="2" a="1"/>
  <c r="A1974" i="2" a="1"/>
  <c r="A1835" i="2" a="1"/>
  <c r="A1952" i="2" a="1"/>
  <c r="A1754" i="2" a="1"/>
  <c r="A1444" i="2" a="1"/>
  <c r="A1917" i="2" a="1"/>
  <c r="A2304" i="2" a="1"/>
  <c r="A411" i="2" a="1"/>
  <c r="A1894" i="2" a="1"/>
  <c r="A341" i="2" a="1"/>
  <c r="A2175" i="2" a="1"/>
  <c r="A2227" i="2" a="1"/>
  <c r="A919" i="2" a="1"/>
  <c r="A1795" i="2" a="1"/>
  <c r="A1232" i="2" a="1"/>
  <c r="A1816" i="2" a="1"/>
  <c r="A2094" i="2" a="1"/>
  <c r="A1990" i="2" a="1"/>
  <c r="A2206" i="2" a="1"/>
  <c r="A484" i="2" a="1"/>
  <c r="A1568" i="2" a="1"/>
  <c r="A2064" i="2" a="1"/>
  <c r="A1443" i="2" a="1"/>
  <c r="A1994" i="2" a="1"/>
  <c r="A1323" i="2" a="1"/>
  <c r="A1844" i="2" a="1"/>
  <c r="A1847" i="2" a="1"/>
  <c r="A1619" i="2" a="1"/>
  <c r="A1943" i="2" a="1"/>
  <c r="A689" i="2" a="1"/>
  <c r="A1671" i="2" a="1"/>
  <c r="A1340" i="2" a="1"/>
  <c r="A450" i="2" a="1"/>
  <c r="A1555" i="2" a="1"/>
  <c r="N1492" i="5" a="1"/>
  <c r="E1961" i="5" a="1"/>
  <c r="E1994" i="5" a="1"/>
  <c r="B2215" i="2" a="1"/>
  <c r="B7" i="2" a="1"/>
  <c r="B1217" i="2" a="1"/>
  <c r="B812" i="2" a="1"/>
  <c r="B1970" i="2" a="1"/>
  <c r="B2040" i="2" a="1"/>
  <c r="A1805" i="4" a="1"/>
  <c r="A1815" i="4" a="1"/>
  <c r="A899" i="4" a="1"/>
  <c r="A2024" i="4" a="1"/>
  <c r="A1939" i="4" a="1"/>
  <c r="A1040" i="4" a="1"/>
  <c r="A1060" i="4" a="1"/>
  <c r="A1032" i="4" a="1"/>
  <c r="A1803" i="4" a="1"/>
  <c r="B1435" i="2" a="1"/>
  <c r="A1969" i="4" a="1"/>
  <c r="A2072" i="4" a="1"/>
  <c r="A1724" i="4" a="1"/>
  <c r="A1320" i="4" a="1"/>
  <c r="A959" i="4" a="1"/>
  <c r="A2069" i="4" a="1"/>
  <c r="A1773" i="4" a="1"/>
  <c r="B1537" i="2" a="1"/>
  <c r="A1233" i="4" a="1"/>
  <c r="A1997" i="4" a="1"/>
  <c r="A618" i="4" a="1"/>
  <c r="C60" i="3" a="1"/>
  <c r="A1607" i="4" a="1"/>
  <c r="A1622" i="4" a="1"/>
  <c r="A544" i="4" a="1"/>
  <c r="A1487" i="4" a="1"/>
  <c r="A433" i="4" a="1"/>
  <c r="A1297" i="4" a="1"/>
  <c r="A564" i="4" a="1"/>
  <c r="A1159" i="4" a="1"/>
  <c r="A639" i="4" a="1"/>
  <c r="A2316" i="4" a="1"/>
  <c r="A841" i="4" a="1"/>
  <c r="A2009" i="4" a="1"/>
  <c r="D760" i="4" a="1"/>
  <c r="A663" i="4" a="1"/>
  <c r="A788" i="4" a="1"/>
  <c r="C58" i="3" a="1"/>
  <c r="A715" i="4" a="1"/>
  <c r="A1614" i="4" a="1"/>
  <c r="A1687" i="4" a="1"/>
  <c r="A295" i="4" a="1"/>
  <c r="A1470" i="4" a="1"/>
  <c r="A196" i="4" a="1"/>
  <c r="A1553" i="4" a="1"/>
  <c r="A434" i="4" a="1"/>
  <c r="A1576" i="4" a="1"/>
  <c r="A348" i="4" a="1"/>
  <c r="A1535" i="4" a="1"/>
  <c r="A575" i="4" a="1"/>
  <c r="A1577" i="4" a="1"/>
  <c r="A180" i="4" a="1"/>
  <c r="A755" i="4" a="1"/>
  <c r="A36" i="4" a="1"/>
  <c r="A1197" i="4" a="1"/>
  <c r="A526" i="4" a="1"/>
  <c r="D833" i="4" a="1"/>
  <c r="A399" i="4" a="1"/>
  <c r="A166" i="4" a="1"/>
  <c r="D699" i="4" a="1"/>
  <c r="B71" i="3" a="1"/>
  <c r="A709" i="4" a="1"/>
  <c r="A1300" i="4" a="1"/>
  <c r="A300" i="4" a="1"/>
  <c r="D726" i="4" a="1"/>
  <c r="C20" i="3" a="1"/>
  <c r="A580" i="4" a="1"/>
  <c r="A486" i="4" a="1"/>
  <c r="D413" i="4" a="1"/>
  <c r="D147" i="4" a="1"/>
  <c r="D260" i="4" a="1"/>
  <c r="D43" i="4" a="1"/>
  <c r="D90" i="4" a="1"/>
  <c r="D152" i="4" a="1"/>
  <c r="D258" i="4" a="1"/>
  <c r="D33" i="4" a="1"/>
  <c r="D131" i="4" a="1"/>
  <c r="D316" i="4" a="1"/>
  <c r="D394" i="4" a="1"/>
  <c r="D510" i="4" a="1"/>
  <c r="D35" i="4" a="1"/>
  <c r="D590" i="4" a="1"/>
  <c r="D441" i="4" a="1"/>
  <c r="D555" i="4" a="1"/>
  <c r="D431" i="4" a="1"/>
  <c r="D336" i="4" a="1"/>
  <c r="D478" i="4" a="1"/>
  <c r="D322" i="4" a="1"/>
  <c r="D73" i="4" a="1"/>
  <c r="B43" i="3" a="1"/>
  <c r="D357" i="4" a="1"/>
  <c r="D142" i="4" a="1"/>
  <c r="D8" i="4" a="1"/>
  <c r="B24" i="3" a="1"/>
  <c r="D227" i="4" a="1"/>
  <c r="A577" i="2" a="1"/>
  <c r="A437" i="2" a="1"/>
  <c r="A36" i="2" a="1"/>
  <c r="A784" i="2" a="1"/>
  <c r="A1255" i="2" a="1"/>
  <c r="A1716" i="2" a="1"/>
  <c r="A864" i="2" a="1"/>
  <c r="A2030" i="2" a="1"/>
  <c r="A786" i="2" a="1"/>
  <c r="A1640" i="2" a="1"/>
  <c r="A334" i="2" a="1"/>
  <c r="A1334" i="2" a="1"/>
  <c r="A2221" i="2" a="1"/>
  <c r="A1082" i="2" a="1"/>
  <c r="A798" i="2" a="1"/>
  <c r="A96" i="2" a="1"/>
  <c r="A364" i="2" a="1"/>
  <c r="A33" i="2" a="1"/>
  <c r="A170" i="2" a="1"/>
  <c r="A1122" i="2" a="1"/>
  <c r="A1081" i="2" a="1"/>
  <c r="A386" i="2" a="1"/>
  <c r="A285" i="2" a="1"/>
  <c r="A1717" i="2" a="1"/>
  <c r="A1506" i="2" a="1"/>
  <c r="M1524" i="5" a="1"/>
  <c r="E1963" i="5" a="1"/>
  <c r="J1998" i="5" a="1"/>
  <c r="B1181" i="2" a="1"/>
  <c r="B396" i="2" a="1"/>
  <c r="B86" i="2" a="1"/>
  <c r="B825" i="2" a="1"/>
  <c r="B1929" i="2" a="1"/>
  <c r="B1669" i="2" a="1"/>
  <c r="A1993" i="4" a="1"/>
  <c r="A1935" i="4" a="1"/>
  <c r="A1103" i="4" a="1"/>
  <c r="A2132" i="4" a="1"/>
  <c r="A1716" i="4" a="1"/>
  <c r="A1688" i="4" a="1"/>
  <c r="A1528" i="4" a="1"/>
  <c r="A937" i="4" a="1"/>
  <c r="A1989" i="4" a="1"/>
  <c r="A1852" i="4" a="1"/>
  <c r="A2227" i="4" a="1"/>
  <c r="A2004" i="4" a="1"/>
  <c r="A1719" i="4" a="1"/>
  <c r="A1458" i="4" a="1"/>
  <c r="A1123" i="4" a="1"/>
  <c r="A1018" i="4" a="1"/>
  <c r="A1737" i="4" a="1"/>
  <c r="A1739" i="4" a="1"/>
  <c r="A1287" i="4" a="1"/>
  <c r="A1774" i="4" a="1"/>
  <c r="A738" i="4" a="1"/>
  <c r="A660" i="4" a="1"/>
  <c r="D642" i="4" a="1"/>
  <c r="A1328" i="4" a="1"/>
  <c r="A185" i="4" a="1"/>
  <c r="A1243" i="4" a="1"/>
  <c r="A74" i="4" a="1"/>
  <c r="A1708" i="4" a="1"/>
  <c r="A205" i="4" a="1"/>
  <c r="A1349" i="4" a="1"/>
  <c r="A864" i="4" a="1"/>
  <c r="A2154" i="4" a="1"/>
  <c r="D631" i="4" a="1"/>
  <c r="A2244" i="4" a="1"/>
  <c r="D608" i="4" a="1"/>
  <c r="A783" i="4" a="1"/>
  <c r="D793" i="4" a="1"/>
  <c r="C2" i="3" a="1"/>
  <c r="D607" i="4" a="1"/>
  <c r="A1508" i="4" a="1"/>
  <c r="A1562" i="4" a="1"/>
  <c r="I1827" i="5" a="1"/>
  <c r="K1920" i="5" a="1"/>
  <c r="I1879" i="5" a="1"/>
  <c r="B1816" i="2" a="1"/>
  <c r="B858" i="2" a="1"/>
  <c r="B272" i="2" a="1"/>
  <c r="B2076" i="2" a="1"/>
  <c r="B2327" i="2" a="1"/>
  <c r="B1485" i="2" a="1"/>
  <c r="A2080" i="4" a="1"/>
  <c r="A1956" i="4" a="1"/>
  <c r="A1262" i="4" a="1"/>
  <c r="A2292" i="4" a="1"/>
  <c r="A2055" i="4" a="1"/>
  <c r="A1491" i="4" a="1"/>
  <c r="A1524" i="4" a="1"/>
  <c r="A1418" i="4" a="1"/>
  <c r="A1792" i="4" a="1"/>
  <c r="A2001" i="4" a="1"/>
  <c r="A2161" i="4" a="1"/>
  <c r="A1843" i="4" a="1"/>
  <c r="A1839" i="4" a="1"/>
  <c r="A1618" i="4" a="1"/>
  <c r="A1265" i="4" a="1"/>
  <c r="A1138" i="4" a="1"/>
  <c r="A2086" i="4" a="1"/>
  <c r="A1859" i="4" a="1"/>
  <c r="A983" i="4" a="1"/>
  <c r="A1915" i="4" a="1"/>
  <c r="D648" i="4" a="1"/>
  <c r="A780" i="4" a="1"/>
  <c r="D702" i="4" a="1"/>
  <c r="A1298" i="4" a="1"/>
  <c r="A425" i="4" a="1"/>
  <c r="A1644" i="4" a="1"/>
  <c r="A314" i="4" a="1"/>
  <c r="A1244" i="4" a="1"/>
  <c r="A445" i="4" a="1"/>
  <c r="A1409" i="4" a="1"/>
  <c r="A726" i="4" a="1"/>
  <c r="A2324" i="4" a="1"/>
  <c r="D771" i="4" a="1"/>
  <c r="A971" i="4" a="1"/>
  <c r="D867" i="4" a="1"/>
  <c r="A651" i="4" a="1"/>
  <c r="D812" i="4" a="1"/>
  <c r="A710" i="4" a="1"/>
  <c r="D667" i="4" a="1"/>
  <c r="A1707" i="4" a="1"/>
  <c r="C3" i="3" a="1"/>
  <c r="A558" i="4" a="1"/>
  <c r="A1493" i="4" a="1"/>
  <c r="A81" i="4" a="1"/>
  <c r="A1449" i="4" a="1"/>
  <c r="A315" i="4" a="1"/>
  <c r="A1511" i="4" a="1"/>
  <c r="A467" i="4" a="1"/>
  <c r="C65" i="3" a="1"/>
  <c r="A466" i="4" a="1"/>
  <c r="C53" i="3" a="1"/>
  <c r="A451" i="4" a="1"/>
  <c r="D687" i="4" a="1"/>
  <c r="A308" i="4" a="1"/>
  <c r="A650" i="4" a="1"/>
  <c r="A79" i="4" a="1"/>
  <c r="A143" i="4" a="1"/>
  <c r="A697" i="4" a="1"/>
  <c r="A498" i="4" a="1"/>
  <c r="D724" i="4" a="1"/>
  <c r="A1195" i="4" a="1"/>
  <c r="A134" i="4" a="1"/>
  <c r="A852" i="4" a="1"/>
  <c r="A352" i="4" a="1"/>
  <c r="A341" i="4" a="1"/>
  <c r="A801" i="4" a="1"/>
  <c r="D856" i="4" a="1"/>
  <c r="D393" i="4" a="1"/>
  <c r="D483" i="4" a="1"/>
  <c r="D452" i="4" a="1"/>
  <c r="D497" i="4" a="1"/>
  <c r="D93" i="4" a="1"/>
  <c r="D326" i="4" a="1"/>
  <c r="D14" i="4" a="1"/>
  <c r="D75" i="4" a="1"/>
  <c r="D314" i="4" a="1"/>
  <c r="D298" i="4" a="1"/>
  <c r="D467" i="4" a="1"/>
  <c r="D201" i="4" a="1"/>
  <c r="D10" i="4" a="1"/>
  <c r="D373" i="4" a="1"/>
  <c r="D216" i="4" a="1"/>
  <c r="D364" i="4" a="1"/>
  <c r="D267" i="4" a="1"/>
  <c r="D522" i="4" a="1"/>
  <c r="D388" i="4" a="1"/>
  <c r="D79" i="4" a="1"/>
  <c r="D41" i="4" a="1"/>
  <c r="B3" i="3" a="1"/>
  <c r="D200" i="4" a="1"/>
  <c r="D400" i="4" a="1"/>
  <c r="D157" i="4" a="1"/>
  <c r="B18" i="3" a="1"/>
  <c r="D133" i="4" a="1"/>
  <c r="D449" i="4" a="1"/>
  <c r="A8" i="2" a="1"/>
  <c r="A1211" i="2" a="1"/>
  <c r="A516" i="2" a="1"/>
  <c r="A415" i="2" a="1"/>
  <c r="A888" i="2" a="1"/>
  <c r="A213" i="2" a="1"/>
  <c r="A876" i="2" a="1"/>
  <c r="A1332" i="2" a="1"/>
  <c r="A1011" i="2" a="1"/>
  <c r="A259" i="2" a="1"/>
  <c r="A814" i="2" a="1"/>
  <c r="A1325" i="2" a="1"/>
  <c r="A1775" i="2" a="1"/>
  <c r="A179" i="2" a="1"/>
  <c r="A1676" i="2" a="1"/>
  <c r="A576" i="2" a="1"/>
  <c r="A844" i="2" a="1"/>
  <c r="A513" i="2" a="1"/>
  <c r="A418" i="2" a="1"/>
  <c r="A318" i="2" a="1"/>
  <c r="J1828" i="5" a="1"/>
  <c r="N1972" i="5" a="1"/>
  <c r="H1881" i="5" a="1"/>
  <c r="B76" i="2" a="1"/>
  <c r="B1098" i="2" a="1"/>
  <c r="B512" i="2" a="1"/>
  <c r="B1599" i="2" a="1"/>
  <c r="B663" i="2" a="1"/>
  <c r="B1250" i="2" a="1"/>
  <c r="A2298" i="4" a="1"/>
  <c r="A2101" i="4" a="1"/>
  <c r="A923" i="4" a="1"/>
  <c r="A2296" i="4" a="1"/>
  <c r="A1793" i="4" a="1"/>
  <c r="A1564" i="4" a="1"/>
  <c r="A1568" i="4" a="1"/>
  <c r="A902" i="4" a="1"/>
  <c r="A1917" i="4" a="1"/>
  <c r="A1929" i="4" a="1"/>
  <c r="A1830" i="4" a="1"/>
  <c r="A1757" i="4" a="1"/>
  <c r="A2182" i="4" a="1"/>
  <c r="A1194" i="4" a="1"/>
  <c r="A996" i="4" a="1"/>
  <c r="A975" i="4" a="1"/>
  <c r="A1919" i="4" a="1"/>
  <c r="A2041" i="4" a="1"/>
  <c r="A1358" i="4" a="1"/>
  <c r="A901" i="4" a="1"/>
  <c r="D708" i="4" a="1"/>
  <c r="A623" i="4" a="1"/>
  <c r="D762" i="4" a="1"/>
  <c r="A1285" i="4" a="1"/>
  <c r="A76" i="4" a="1"/>
  <c r="A1429" i="4" a="1"/>
  <c r="A218" i="4" a="1"/>
  <c r="A1557" i="4" a="1"/>
  <c r="A96" i="4" a="1"/>
  <c r="A1340" i="4" a="1"/>
  <c r="A871" i="4" a="1"/>
  <c r="A2172" i="4" a="1"/>
  <c r="A741" i="4" a="1"/>
  <c r="A989" i="4" a="1"/>
  <c r="A619" i="4" a="1"/>
  <c r="A863" i="4" a="1"/>
  <c r="D872" i="4" a="1"/>
  <c r="A673" i="4" a="1"/>
  <c r="D727" i="4" a="1"/>
  <c r="A1681" i="4" a="1"/>
  <c r="D732" i="4" a="1"/>
  <c r="A407" i="4" a="1"/>
  <c r="A1626" i="4" a="1"/>
  <c r="A270" i="4" a="1"/>
  <c r="A1567" i="4" a="1"/>
  <c r="A555" i="4" a="1"/>
  <c r="A1542" i="4" a="1"/>
  <c r="A181" i="4" a="1"/>
  <c r="C39" i="3" a="1"/>
  <c r="A118" i="4" a="1"/>
  <c r="C57" i="3" a="1"/>
  <c r="A92" i="4" a="1"/>
  <c r="D747" i="4" a="1"/>
  <c r="A347" i="4" a="1"/>
  <c r="A513" i="4" a="1"/>
  <c r="A582" i="4" a="1"/>
  <c r="A4" i="4" a="1"/>
  <c r="D601" i="4" a="1"/>
  <c r="A291" i="4" a="1"/>
  <c r="D779" i="4" a="1"/>
  <c r="A1445" i="4" a="1"/>
  <c r="A391" i="4" a="1"/>
  <c r="A784" i="4" a="1"/>
  <c r="A57" i="4" a="1"/>
  <c r="A517" i="4" a="1"/>
  <c r="A607" i="4" a="1"/>
  <c r="A284" i="4" a="1"/>
  <c r="D643" i="4" a="1"/>
  <c r="D532" i="4" a="1"/>
  <c r="D350" i="4" a="1"/>
  <c r="D367" i="4" a="1"/>
  <c r="D406" i="4" a="1"/>
  <c r="D423" i="4" a="1"/>
  <c r="D197" i="4" a="1"/>
  <c r="D405" i="4" a="1"/>
  <c r="D401" i="4" a="1"/>
  <c r="D106" i="4" a="1"/>
  <c r="D45" i="4" a="1"/>
  <c r="D415" i="4" a="1"/>
  <c r="D281" i="4" a="1"/>
  <c r="D166" i="4" a="1"/>
  <c r="D310" i="4" a="1"/>
  <c r="D187" i="4" a="1"/>
  <c r="D569" i="4" a="1"/>
  <c r="D230" i="4" a="1"/>
  <c r="D430" i="4" a="1"/>
  <c r="D48" i="4" a="1"/>
  <c r="D318" i="4" a="1"/>
  <c r="D562" i="4" a="1"/>
  <c r="D573" i="4" a="1"/>
  <c r="D217" i="4" a="1"/>
  <c r="D390" i="4" a="1"/>
  <c r="D370" i="4" a="1"/>
  <c r="D124" i="4" a="1"/>
  <c r="B38" i="3" a="1"/>
  <c r="A808" i="2" a="1"/>
  <c r="A668" i="2" a="1"/>
  <c r="A756" i="2" a="1"/>
  <c r="A655" i="2" a="1"/>
  <c r="A242" i="2" a="1"/>
  <c r="A453" i="2" a="1"/>
  <c r="A90" i="2" a="1"/>
  <c r="A410" i="2" a="1"/>
  <c r="A7" i="2" a="1"/>
  <c r="A1335" i="2" a="1"/>
  <c r="A205" i="2" a="1"/>
  <c r="A1637" i="2" a="1"/>
  <c r="A1319" i="2" a="1"/>
  <c r="A894" i="2" a="1"/>
  <c r="A2060" i="2" a="1"/>
  <c r="A816" i="2" a="1"/>
  <c r="A235" i="2" a="1"/>
  <c r="A753" i="2" a="1"/>
  <c r="A1303" i="2" a="1"/>
  <c r="A934" i="2" a="1"/>
  <c r="A892" i="2" a="1"/>
  <c r="A837" i="2" a="1"/>
  <c r="M1817" i="5" a="1"/>
  <c r="E1884" i="5" a="1"/>
  <c r="K1908" i="5" a="1"/>
  <c r="B1768" i="2" a="1"/>
  <c r="B5" i="2" a="1"/>
  <c r="B1133" i="2" a="1"/>
  <c r="B57" i="2" a="1"/>
  <c r="B754" i="2" a="1"/>
  <c r="B1715" i="2" a="1"/>
  <c r="A2205" i="4" a="1"/>
  <c r="A2308" i="4" a="1"/>
  <c r="A1341" i="4" a="1"/>
  <c r="A2158" i="4" a="1"/>
  <c r="A2034" i="4" a="1"/>
  <c r="B2078" i="2" a="1"/>
  <c r="B1626" i="2" a="1"/>
  <c r="A1436" i="4" a="1"/>
  <c r="A2115" i="4" a="1"/>
  <c r="A2085" i="4" a="1"/>
  <c r="B1488" i="2" a="1"/>
  <c r="A2248" i="4" a="1"/>
  <c r="A2331" i="4" a="1"/>
  <c r="A1214" i="4" a="1"/>
  <c r="A1364" i="4" a="1"/>
  <c r="A1188" i="4" a="1"/>
  <c r="A1887" i="4" a="1"/>
  <c r="A2233" i="4" a="1"/>
  <c r="A1416" i="4" a="1"/>
  <c r="A1133" i="4" a="1"/>
  <c r="D768" i="4" a="1"/>
  <c r="A743" i="4" a="1"/>
  <c r="A628" i="4" a="1"/>
  <c r="A1587" i="4" a="1"/>
  <c r="A187" i="4" a="1"/>
  <c r="A1613" i="4" a="1"/>
  <c r="A458" i="4" a="1"/>
  <c r="A1601" i="4" a="1"/>
  <c r="A336" i="4" a="1"/>
  <c r="A1649" i="4" a="1"/>
  <c r="A747" i="4" a="1"/>
  <c r="A1016" i="4" a="1"/>
  <c r="D734" i="4" a="1"/>
  <c r="A1216" i="4" a="1"/>
  <c r="A858" i="4" a="1"/>
  <c r="B407" i="2" a="1"/>
  <c r="D654" i="4" a="1"/>
  <c r="A793" i="4" a="1"/>
  <c r="D710" i="4" a="1"/>
  <c r="A1661" i="4" a="1"/>
  <c r="D792" i="4" a="1"/>
  <c r="A442" i="4" a="1"/>
  <c r="A1522" i="4" a="1"/>
  <c r="A311" i="4" a="1"/>
  <c r="C23" i="3" a="1"/>
  <c r="A578" i="4" a="1"/>
  <c r="A1692" i="4" a="1"/>
  <c r="A400" i="4" a="1"/>
  <c r="A625" i="4" a="1"/>
  <c r="A358" i="4" a="1"/>
  <c r="C59" i="3" a="1"/>
  <c r="A62" i="4" a="1"/>
  <c r="D730" i="4" a="1"/>
  <c r="A129" i="4" a="1"/>
  <c r="A374" i="4" a="1"/>
  <c r="A141" i="4" a="1"/>
  <c r="A404" i="4" a="1"/>
  <c r="D776" i="4" a="1"/>
  <c r="A409" i="4" a="1"/>
  <c r="A54" i="4" a="1"/>
  <c r="A1596" i="4" a="1"/>
  <c r="A522" i="4" a="1"/>
  <c r="A353" i="4" a="1"/>
  <c r="A361" i="4" a="1"/>
  <c r="A211" i="4" a="1"/>
  <c r="D671" i="4" a="1"/>
  <c r="A1694" i="4" a="1"/>
  <c r="A727" i="4" a="1"/>
  <c r="D440" i="4" a="1"/>
  <c r="D324" i="4" a="1"/>
  <c r="D527" i="4" a="1"/>
  <c r="D472" i="4" a="1"/>
  <c r="D463" i="4" a="1"/>
  <c r="D284" i="4" a="1"/>
  <c r="D434" i="4" a="1"/>
  <c r="D163" i="4" a="1"/>
  <c r="D134" i="4" a="1"/>
  <c r="D432" i="4" a="1"/>
  <c r="D244" i="4" a="1"/>
  <c r="D306" i="4" a="1"/>
  <c r="D96" i="4" a="1"/>
  <c r="D464" i="4" a="1"/>
  <c r="D353" i="4" a="1"/>
  <c r="D414" i="4" a="1"/>
  <c r="D39" i="4" a="1"/>
  <c r="D369" i="4" a="1"/>
  <c r="D207" i="4" a="1"/>
  <c r="D383" i="4" a="1"/>
  <c r="D591" i="4" a="1"/>
  <c r="D443" i="4" a="1"/>
  <c r="B34" i="3" a="1"/>
  <c r="D160" i="4" a="1"/>
  <c r="D202" i="4" a="1"/>
  <c r="D577" i="4" a="1"/>
  <c r="B27" i="3" a="1"/>
  <c r="A762" i="2" a="1"/>
  <c r="A621" i="2" a="1"/>
  <c r="A481" i="2" a="1"/>
  <c r="A46" i="2" a="1"/>
  <c r="A875" i="2" a="1"/>
  <c r="A693" i="2" a="1"/>
  <c r="A1243" i="2" a="1"/>
  <c r="A1476" i="2" a="1"/>
  <c r="A807" i="2" a="1"/>
  <c r="A1780" i="2" a="1"/>
  <c r="A445" i="2" a="1"/>
  <c r="A967" i="2" a="1"/>
  <c r="A3" i="2" a="1"/>
  <c r="A1134" i="2" a="1"/>
  <c r="A2300" i="2" a="1"/>
  <c r="A681" i="2" a="1"/>
  <c r="A475" i="2" a="1"/>
  <c r="A134" i="2" a="1"/>
  <c r="A43" i="2" a="1"/>
  <c r="A231" i="2" a="1"/>
  <c r="A1132" i="2" a="1"/>
  <c r="A1091" i="2" a="1"/>
  <c r="N1818" i="5" a="1"/>
  <c r="N1889" i="5" a="1"/>
  <c r="B1922" i="5" a="1"/>
  <c r="B226" i="2" a="1"/>
  <c r="B725" i="2" a="1"/>
  <c r="B1572" i="2" a="1"/>
  <c r="B2218" i="2" a="1"/>
  <c r="B1464" i="2" a="1"/>
  <c r="B2301" i="2" a="1"/>
  <c r="A2272" i="4" a="1"/>
  <c r="A1726" i="4" a="1"/>
  <c r="A1210" i="4" a="1"/>
  <c r="A2037" i="4" a="1"/>
  <c r="A2043" i="4" a="1"/>
  <c r="B427" i="2" a="1"/>
  <c r="B2140" i="2" a="1"/>
  <c r="A1173" i="4" a="1"/>
  <c r="A2301" i="4" a="1"/>
  <c r="A1896" i="4" a="1"/>
  <c r="B1347" i="2" a="1"/>
  <c r="A1943" i="4" a="1"/>
  <c r="A1932" i="4" a="1"/>
  <c r="B2008" i="2" a="1"/>
  <c r="A1464" i="4" a="1"/>
  <c r="A920" i="4" a="1"/>
  <c r="A2079" i="4" a="1"/>
  <c r="A1957" i="4" a="1"/>
  <c r="A1359" i="4" a="1"/>
  <c r="A1225" i="4" a="1"/>
  <c r="D847" i="4" a="1"/>
  <c r="A714" i="4" a="1"/>
  <c r="A748" i="4" a="1"/>
  <c r="A1290" i="4" a="1"/>
  <c r="A431" i="4" a="1"/>
  <c r="C24" i="3" a="1"/>
  <c r="H1774" i="5" a="1"/>
  <c r="I1824" i="5" a="1"/>
  <c r="B1901" i="5" a="1"/>
  <c r="B2084" i="2" a="1"/>
  <c r="B2170" i="2" a="1"/>
  <c r="B280" i="2" a="1"/>
  <c r="B137" i="2" a="1"/>
  <c r="B2059" i="2" a="1"/>
  <c r="B850" i="2" a="1"/>
  <c r="A2066" i="4" a="1"/>
  <c r="A2282" i="4" a="1"/>
  <c r="A1456" i="4" a="1"/>
  <c r="A1922" i="4" a="1"/>
  <c r="A2281" i="4" a="1"/>
  <c r="A1771" i="4" a="1"/>
  <c r="B862" i="2" a="1"/>
  <c r="A1533" i="4" a="1"/>
  <c r="A2138" i="4" a="1"/>
  <c r="A2311" i="4" a="1"/>
  <c r="B770" i="2" a="1"/>
  <c r="A1772" i="4" a="1"/>
  <c r="A2046" i="4" a="1"/>
  <c r="B980" i="2" a="1"/>
  <c r="A1366" i="4" a="1"/>
  <c r="A1212" i="4" a="1"/>
  <c r="A2225" i="4" a="1"/>
  <c r="A2091" i="4" a="1"/>
  <c r="A1638" i="4" a="1"/>
  <c r="A1087" i="4" a="1"/>
  <c r="A732" i="4" a="1"/>
  <c r="A1930" i="4" a="1"/>
  <c r="D625" i="4" a="1"/>
  <c r="A1375" i="4" a="1"/>
  <c r="A9" i="4" a="1"/>
  <c r="C27" i="3" a="1"/>
  <c r="A561" i="4" a="1"/>
  <c r="A1480" i="4" a="1"/>
  <c r="A49" i="4" a="1"/>
  <c r="A1136" i="4" a="1"/>
  <c r="A213" i="4" a="1"/>
  <c r="A1183" i="4" a="1"/>
  <c r="A802" i="4" a="1"/>
  <c r="A1288" i="4" a="1"/>
  <c r="A1851" i="4" a="1"/>
  <c r="A1064" i="4" a="1"/>
  <c r="B2094" i="2" a="1"/>
  <c r="A2310" i="4" a="1"/>
  <c r="D618" i="4" a="1"/>
  <c r="C15" i="3" a="1"/>
  <c r="D595" i="4" a="1"/>
  <c r="A589" i="4" a="1"/>
  <c r="C69" i="3" a="1"/>
  <c r="A562" i="4" a="1"/>
  <c r="D797" i="4" a="1"/>
  <c r="A577" i="4" a="1"/>
  <c r="A1630" i="4" a="1"/>
  <c r="A201" i="4" a="1"/>
  <c r="D622" i="4" a="1"/>
  <c r="A330" i="4" a="1"/>
  <c r="A750" i="4" a="1"/>
  <c r="A2313" i="4" a="1"/>
  <c r="D638" i="4" a="1"/>
  <c r="A537" i="4" a="1"/>
  <c r="A56" i="4" a="1"/>
  <c r="A1342" i="4" a="1"/>
  <c r="A349" i="4" a="1"/>
  <c r="A163" i="4" a="1"/>
  <c r="D675" i="4" a="1"/>
  <c r="A375" i="4" a="1"/>
  <c r="A814" i="4" a="1"/>
  <c r="A42" i="4" a="1"/>
  <c r="A15" i="4" a="1"/>
  <c r="D830" i="4" a="1"/>
  <c r="A197" i="4" a="1"/>
  <c r="A268" i="4" a="1"/>
  <c r="A452" i="4" a="1"/>
  <c r="D593" i="4" a="1"/>
  <c r="D277" i="4" a="1"/>
  <c r="D51" i="4" a="1"/>
  <c r="D292" i="4" a="1"/>
  <c r="D171" i="4" a="1"/>
  <c r="D375" i="4" a="1"/>
  <c r="D16" i="4" a="1"/>
  <c r="D474" i="4" a="1"/>
  <c r="D486" i="4" a="1"/>
  <c r="D412" i="4" a="1"/>
  <c r="D509" i="4" a="1"/>
  <c r="D95" i="4" a="1"/>
  <c r="D436" i="4" a="1"/>
  <c r="D308" i="4" a="1"/>
  <c r="D249" i="4" a="1"/>
  <c r="D242" i="4" a="1"/>
  <c r="D225" i="4" a="1"/>
  <c r="D26" i="4" a="1"/>
  <c r="D139" i="4" a="1"/>
  <c r="D340" i="4" a="1"/>
  <c r="D395" i="4" a="1"/>
  <c r="D72" i="4" a="1"/>
  <c r="B4" i="3" a="1"/>
  <c r="D293" i="4" a="1"/>
  <c r="B15" i="3" a="1"/>
  <c r="D177" i="4" a="1"/>
  <c r="B29" i="3" a="1"/>
  <c r="I1775" i="5" a="1"/>
  <c r="N1838" i="5" a="1"/>
  <c r="N1964" i="5" a="1"/>
  <c r="B152" i="2" a="1"/>
  <c r="B400" i="2" a="1"/>
  <c r="B1382" i="2" a="1"/>
  <c r="B2223" i="2" a="1"/>
  <c r="B1039" i="2" a="1"/>
  <c r="B1819" i="2" a="1"/>
  <c r="B1871" i="2" a="1"/>
  <c r="B1632" i="2" a="1"/>
  <c r="A1260" i="4" a="1"/>
  <c r="A924" i="4" a="1"/>
  <c r="A2026" i="4" a="1"/>
  <c r="A1891" i="4" a="1"/>
  <c r="B2329" i="2" a="1"/>
  <c r="A1698" i="4" a="1"/>
  <c r="A2305" i="4" a="1"/>
  <c r="A2218" i="4" a="1"/>
  <c r="B2336" i="2" a="1"/>
  <c r="A2299" i="4" a="1"/>
  <c r="A2196" i="4" a="1"/>
  <c r="A1808" i="4" a="1"/>
  <c r="A917" i="4" a="1"/>
  <c r="A1006" i="4" a="1"/>
  <c r="A2060" i="4" a="1"/>
  <c r="A1899" i="4" a="1"/>
  <c r="A1357" i="4" a="1"/>
  <c r="A1268" i="4" a="1"/>
  <c r="A1982" i="4" a="1"/>
  <c r="A2266" i="4" a="1"/>
  <c r="D685" i="4" a="1"/>
  <c r="C14" i="3" a="1"/>
  <c r="A502" i="4" a="1"/>
  <c r="C21" i="3" a="1"/>
  <c r="A29" i="4" a="1"/>
  <c r="C31" i="3" a="1"/>
  <c r="A540" i="4" a="1"/>
  <c r="A1654" i="4" a="1"/>
  <c r="A453" i="4" a="1"/>
  <c r="A1484" i="4" a="1"/>
  <c r="A223" i="4" a="1"/>
  <c r="A1446" i="4" a="1"/>
  <c r="A1211" i="4" a="1"/>
  <c r="A981" i="4" a="1"/>
  <c r="A2051" i="4" a="1"/>
  <c r="A1074" i="4" a="1"/>
  <c r="D678" i="4" a="1"/>
  <c r="B880" i="2" a="1"/>
  <c r="D655" i="4" a="1"/>
  <c r="A340" i="4" a="1"/>
  <c r="A610" i="4" a="1"/>
  <c r="A260" i="4" a="1"/>
  <c r="A698" i="4" a="1"/>
  <c r="A269" i="4" a="1"/>
  <c r="A1433" i="4" a="1"/>
  <c r="A440" i="4" a="1"/>
  <c r="D725" i="4" a="1"/>
  <c r="A411" i="4" a="1"/>
  <c r="A713" i="4" a="1"/>
  <c r="A2249" i="4" a="1"/>
  <c r="D698" i="4" a="1"/>
  <c r="A510" i="4" a="1"/>
  <c r="A516" i="4" a="1"/>
  <c r="A846" i="4" a="1"/>
  <c r="A210" i="4" a="1"/>
  <c r="A24" i="4" a="1"/>
  <c r="A696" i="4" a="1"/>
  <c r="A246" i="4" a="1"/>
  <c r="A794" i="4" a="1"/>
  <c r="A261" i="4" a="1"/>
  <c r="A131" i="4" a="1"/>
  <c r="A839" i="4" a="1"/>
  <c r="A421" i="4" a="1"/>
  <c r="A167" i="4" a="1"/>
  <c r="A145" i="4" a="1"/>
  <c r="A288" i="4" a="1"/>
  <c r="D108" i="4" a="1"/>
  <c r="D82" i="4" a="1"/>
  <c r="D416" i="4" a="1"/>
  <c r="D66" i="4" a="1"/>
  <c r="D552" i="4" a="1"/>
  <c r="D511" i="4" a="1"/>
  <c r="D114" i="4" a="1"/>
  <c r="D254" i="4" a="1"/>
  <c r="D454" i="4" a="1"/>
  <c r="D215" i="4" a="1"/>
  <c r="D328" i="4" a="1"/>
  <c r="D295" i="4" a="1"/>
  <c r="D203" i="4" a="1"/>
  <c r="D288" i="4" a="1"/>
  <c r="D85" i="4" a="1"/>
  <c r="D351" i="4" a="1"/>
  <c r="D450" i="4" a="1"/>
  <c r="D271" i="4" a="1"/>
  <c r="A327" i="4" a="1"/>
  <c r="D213" i="4" a="1"/>
  <c r="D176" i="4" a="1"/>
  <c r="D302" i="4" a="1"/>
  <c r="D190" i="4" a="1"/>
  <c r="D137" i="4" a="1"/>
  <c r="D447" i="4" a="1"/>
  <c r="D182" i="4" a="1"/>
  <c r="A413" i="2" a="1"/>
  <c r="A1229" i="2" a="1"/>
  <c r="A852" i="2" a="1"/>
  <c r="A712" i="2" a="1"/>
  <c r="A766" i="2" a="1"/>
  <c r="A1620" i="2" a="1"/>
  <c r="A554" i="2" a="1"/>
  <c r="A447" i="2" a="1"/>
  <c r="A700" i="2" a="1"/>
  <c r="A191" i="2" a="1"/>
  <c r="A993" i="2" a="1"/>
  <c r="A316" i="2" a="1"/>
  <c r="A198" i="2" a="1"/>
  <c r="A723" i="2" a="1"/>
  <c r="A1273" i="2" a="1"/>
  <c r="A1521" i="2" a="1"/>
  <c r="A38" i="2" a="1"/>
  <c r="A346" i="2" a="1"/>
  <c r="A5" i="2" a="1"/>
  <c r="A763" i="2" a="1"/>
  <c r="A1313" i="2" a="1"/>
  <c r="A944" i="2" a="1"/>
  <c r="A902" i="2" a="1"/>
  <c r="A861" i="2" a="1"/>
  <c r="A1349" i="2" a="1"/>
  <c r="A664" i="2" a="1"/>
  <c r="M1729" i="5" a="1"/>
  <c r="L1817" i="5" a="1"/>
  <c r="M1802" i="5" a="1"/>
  <c r="B39" i="2" a="1"/>
  <c r="B255" i="2" a="1"/>
  <c r="B2007" i="2" a="1"/>
  <c r="B214" i="2" a="1"/>
  <c r="B1339" i="2" a="1"/>
  <c r="B677" i="2" a="1"/>
  <c r="B2071" i="2" a="1"/>
  <c r="B1691" i="2" a="1"/>
  <c r="A912" i="4" a="1"/>
  <c r="A1044" i="4" a="1"/>
  <c r="A2285" i="4" a="1"/>
  <c r="A1758" i="4" a="1"/>
  <c r="A1776" i="4" a="1"/>
  <c r="B1017" i="2" a="1"/>
  <c r="A1752" i="4" a="1"/>
  <c r="A2214" i="4" a="1"/>
  <c r="B2" i="5" a="1"/>
  <c r="A1231" i="4" a="1"/>
  <c r="A2335" i="4" a="1"/>
  <c r="A1928" i="4" a="1"/>
  <c r="A1293" i="4" a="1"/>
  <c r="A1169" i="4" a="1"/>
  <c r="A2235" i="4" a="1"/>
  <c r="A2112" i="4" a="1"/>
  <c r="B1171" i="2" a="1"/>
  <c r="A1382" i="4" a="1"/>
  <c r="A2274" i="4" a="1"/>
  <c r="A2130" i="4" a="1"/>
  <c r="D745" i="4" a="1"/>
  <c r="C66" i="3" a="1"/>
  <c r="A30" i="4" a="1"/>
  <c r="D767" i="4" a="1"/>
  <c r="A521" i="4" a="1"/>
  <c r="A680" i="4" a="1"/>
  <c r="A70" i="4" a="1"/>
  <c r="A1641" i="4" a="1"/>
  <c r="A94" i="4" a="1"/>
  <c r="A1295" i="4" a="1"/>
  <c r="A225" i="4" a="1"/>
  <c r="A1283" i="4" a="1"/>
  <c r="A1117" i="4" a="1"/>
  <c r="A928" i="4" a="1"/>
  <c r="A2118" i="4" a="1"/>
  <c r="A938" i="4" a="1"/>
  <c r="D738" i="4" a="1"/>
  <c r="A2105" i="4" a="1"/>
  <c r="D715" i="4" a="1"/>
  <c r="A220" i="4" a="1"/>
  <c r="A730" i="4" a="1"/>
  <c r="A337" i="4" a="1"/>
  <c r="D600" i="4" a="1"/>
  <c r="A182" i="4" a="1"/>
  <c r="C33" i="3" a="1"/>
  <c r="B1341" i="2" a="1"/>
  <c r="D785" i="4" a="1"/>
  <c r="A72" i="4" a="1"/>
  <c r="D649" i="4" a="1"/>
  <c r="A2250" i="4" a="1"/>
  <c r="D758" i="4" a="1"/>
  <c r="A1556" i="4" a="1"/>
  <c r="A388" i="4" a="1"/>
  <c r="D781" i="4" a="1"/>
  <c r="A462" i="4" a="1"/>
  <c r="A484" i="4" a="1"/>
  <c r="A721" i="4" a="1"/>
  <c r="A58" i="4" a="1"/>
  <c r="A712" i="4" a="1"/>
  <c r="A2290" i="4" a="1"/>
  <c r="A232" i="4" a="1"/>
  <c r="D831" i="4" a="1"/>
  <c r="B64" i="3" a="1"/>
  <c r="A22" i="4" a="1"/>
  <c r="A472" i="4" a="1"/>
  <c r="A1101" i="4" a="1"/>
  <c r="D59" i="4" a="1"/>
  <c r="D325" i="4" a="1"/>
  <c r="D192" i="4" a="1"/>
  <c r="D223" i="4" a="1"/>
  <c r="D437" i="4" a="1"/>
  <c r="D307" i="4" a="1"/>
  <c r="D61" i="4" a="1"/>
  <c r="D409" i="4" a="1"/>
  <c r="D229" i="4" a="1"/>
  <c r="D44" i="4" a="1"/>
  <c r="D256" i="4" a="1"/>
  <c r="D387" i="4" a="1"/>
  <c r="D110" i="4" a="1"/>
  <c r="D418" i="4" a="1"/>
  <c r="D305" i="4" a="1"/>
  <c r="D399" i="4" a="1"/>
  <c r="D165" i="4" a="1"/>
  <c r="D11" i="4" a="1"/>
  <c r="D195" i="4" a="1"/>
  <c r="D529" i="4" a="1"/>
  <c r="D557" i="4" a="1"/>
  <c r="D65" i="4" a="1"/>
  <c r="D466" i="4" a="1"/>
  <c r="D278" i="4" a="1"/>
  <c r="D6" i="4" a="1"/>
  <c r="D374" i="4" a="1"/>
  <c r="A653" i="2" a="1"/>
  <c r="A1009" i="2" a="1"/>
  <c r="A779" i="2" a="1"/>
  <c r="A638" i="2" a="1"/>
  <c r="A498" i="2" a="1"/>
  <c r="A810" i="2" a="1"/>
  <c r="A794" i="2" a="1"/>
  <c r="A1278" i="2" a="1"/>
  <c r="A1753" i="2" a="1"/>
  <c r="A118" i="2" a="1"/>
  <c r="A1649" i="2" a="1"/>
  <c r="A556" i="2" a="1"/>
  <c r="A1328" i="2" a="1"/>
  <c r="A104" i="2" a="1"/>
  <c r="A865" i="2" a="1"/>
  <c r="A1991" i="2" a="1"/>
  <c r="A838" i="2" a="1"/>
  <c r="A586" i="2" a="1"/>
  <c r="A245" i="2" a="1"/>
  <c r="A144" i="2" a="1"/>
  <c r="A53" i="2" a="1"/>
  <c r="A292" i="2" a="1"/>
  <c r="N1730" i="5" a="1"/>
  <c r="K1824" i="5" a="1"/>
  <c r="I1910" i="5" a="1"/>
  <c r="B1791" i="2" a="1"/>
  <c r="B289" i="2" a="1"/>
  <c r="B216" i="2" a="1"/>
  <c r="B1403" i="2" a="1"/>
  <c r="B1525" i="2" a="1"/>
  <c r="B1276" i="2" a="1"/>
  <c r="A2071" i="4" a="1"/>
  <c r="B1359" i="2" a="1"/>
  <c r="A1496" i="4" a="1"/>
  <c r="A1181" i="4" a="1"/>
  <c r="A2263" i="4" a="1"/>
  <c r="A1878" i="4" a="1"/>
  <c r="A2173" i="4" a="1"/>
  <c r="B1743" i="2" a="1"/>
  <c r="A2157" i="4" a="1"/>
  <c r="A1770" i="4" a="1"/>
  <c r="A1832" i="4" a="1"/>
  <c r="A947" i="4" a="1"/>
  <c r="A1963" i="4" a="1"/>
  <c r="A1765" i="4" a="1"/>
  <c r="B562" i="2" a="1"/>
  <c r="A1125" i="4" a="1"/>
  <c r="A874" i="4" a="1"/>
  <c r="A2273" i="4" a="1"/>
  <c r="A1764" i="4" a="1"/>
  <c r="A1023" i="4" a="1"/>
  <c r="A2314" i="4" a="1"/>
  <c r="A1760" i="4" a="1"/>
  <c r="D805" i="4" a="1"/>
  <c r="C11" i="3" a="1"/>
  <c r="A102" i="4" a="1"/>
  <c r="A638" i="4" a="1"/>
  <c r="A50" i="4" a="1"/>
  <c r="A800" i="4" a="1"/>
  <c r="A579" i="4" a="1"/>
  <c r="A1545" i="4" a="1"/>
  <c r="A334" i="4" a="1"/>
  <c r="A1647" i="4" a="1"/>
  <c r="A465" i="4" a="1"/>
  <c r="A1605" i="4" a="1"/>
  <c r="A982" i="4" a="1"/>
  <c r="A875" i="4" a="1"/>
  <c r="A1977" i="4" a="1"/>
  <c r="A885" i="4" a="1"/>
  <c r="A2061" i="4" a="1"/>
  <c r="A2195" i="4" a="1"/>
  <c r="D775" i="4" a="1"/>
  <c r="B1124" i="2" a="1"/>
  <c r="A693" i="4" a="1"/>
  <c r="A420" i="4" a="1"/>
  <c r="D660" i="4" a="1"/>
  <c r="A161" i="4" a="1"/>
  <c r="C55" i="3" a="1"/>
  <c r="A1958" i="4" a="1"/>
  <c r="D633" i="4" a="1"/>
  <c r="A401" i="4" a="1"/>
  <c r="D636" i="4" a="1"/>
  <c r="A2125" i="4" a="1"/>
  <c r="A2207" i="4" a="1"/>
  <c r="A1588" i="4" a="1"/>
  <c r="A387" i="4" a="1"/>
  <c r="A817" i="4" a="1"/>
  <c r="A339" i="4" a="1"/>
  <c r="A285" i="4" a="1"/>
  <c r="A776" i="4" a="1"/>
  <c r="A550" i="4" a="1"/>
  <c r="A662" i="4" a="1"/>
  <c r="A1240" i="4" a="1"/>
  <c r="A37" i="4" a="1"/>
  <c r="A847" i="4" a="1"/>
  <c r="A954" i="4" a="1"/>
  <c r="A301" i="4" a="1"/>
  <c r="A6" i="4" a="1"/>
  <c r="A298" i="4" a="1"/>
  <c r="D30" i="4" a="1"/>
  <c r="D219" i="4" a="1"/>
  <c r="D282" i="4" a="1"/>
  <c r="D263" i="4" a="1"/>
  <c r="D488" i="4" a="1"/>
  <c r="D535" i="4" a="1"/>
  <c r="D17" i="4" a="1"/>
  <c r="D563" i="4" a="1"/>
  <c r="D457" i="4" a="1"/>
  <c r="D255" i="4" a="1"/>
  <c r="D20" i="4" a="1"/>
  <c r="D115" i="4" a="1"/>
  <c r="D119" i="4" a="1"/>
  <c r="D500" i="4" a="1"/>
  <c r="A1187" i="4" a="1"/>
  <c r="D57" i="4" a="1"/>
  <c r="D304" i="4" a="1"/>
  <c r="D505" i="4" a="1"/>
  <c r="D12" i="4" a="1"/>
  <c r="D153" i="4" a="1"/>
  <c r="B42" i="3" a="1"/>
  <c r="D371" i="4" a="1"/>
  <c r="D235" i="4" a="1"/>
  <c r="D594" i="4" a="1"/>
  <c r="B21" i="3" a="1"/>
  <c r="D473" i="4" a="1"/>
  <c r="A34" i="2" a="1"/>
  <c r="A502" i="2" a="1"/>
  <c r="A1074" i="2" a="1"/>
  <c r="A1032" i="2" a="1"/>
  <c r="A991" i="2" a="1"/>
  <c r="A50" i="2" a="1"/>
  <c r="A185" i="2" a="1"/>
  <c r="A1617" i="2" a="1"/>
  <c r="A1208" i="2" a="1"/>
  <c r="A874" i="2" a="1"/>
  <c r="A2040" i="2" a="1"/>
  <c r="A796" i="2" a="1"/>
  <c r="A1650" i="2" a="1"/>
  <c r="A344" i="2" a="1"/>
  <c r="A1344" i="2" a="1"/>
  <c r="A2231" i="2" a="1"/>
  <c r="A1092" i="2" a="1"/>
  <c r="A826" i="2" a="1"/>
  <c r="A485" i="2" a="1"/>
  <c r="A384" i="2" a="1"/>
  <c r="A293" i="2" a="1"/>
  <c r="A1036" i="2" a="1"/>
  <c r="N1812" i="5" a="1"/>
  <c r="I1884" i="5" a="1"/>
  <c r="I1918" i="5" a="1"/>
  <c r="B629" i="2" a="1"/>
  <c r="B1844" i="2" a="1"/>
  <c r="B295" i="2" a="1"/>
  <c r="B2112" i="2" a="1"/>
  <c r="B1751" i="2" a="1"/>
  <c r="B2039" i="2" a="1"/>
  <c r="A1912" i="4" a="1"/>
  <c r="B2361" i="2" a="1"/>
  <c r="A1678" i="4" a="1"/>
  <c r="A1153" i="4" a="1"/>
  <c r="A2098" i="4" a="1"/>
  <c r="A1715" i="4" a="1"/>
  <c r="A2107" i="4" a="1"/>
  <c r="A1944" i="4" a="1"/>
  <c r="B1795" i="2" a="1"/>
  <c r="A2156" i="4" a="1"/>
  <c r="A1967" i="4" a="1"/>
  <c r="A1097" i="4" a="1"/>
  <c r="A2220" i="4" a="1"/>
  <c r="A1885" i="4" a="1"/>
  <c r="B1371" i="2" a="1"/>
  <c r="A1063" i="4" a="1"/>
  <c r="A994" i="4" a="1"/>
  <c r="A1802" i="4" a="1"/>
  <c r="A1884" i="4" a="1"/>
  <c r="A1422" i="4" a="1"/>
  <c r="A964" i="4" a="1"/>
  <c r="A2068" i="4" a="1"/>
  <c r="D852" i="4" a="1"/>
  <c r="A670" i="4" a="1"/>
  <c r="A1759" i="4" a="1"/>
  <c r="A758" i="4" a="1"/>
  <c r="A560" i="4" a="1"/>
  <c r="A643" i="4" a="1"/>
  <c r="A262" i="4" a="1"/>
  <c r="A1713" i="4" a="1"/>
  <c r="A574" i="4" a="1"/>
  <c r="A1483" i="4" a="1"/>
  <c r="A116" i="4" a="1"/>
  <c r="A1370" i="4" a="1"/>
  <c r="A1232" i="4" a="1"/>
  <c r="A1075" i="4" a="1"/>
  <c r="A1221" i="4" a="1"/>
  <c r="A1158" i="4" a="1"/>
  <c r="A2133" i="4" a="1"/>
  <c r="A884" i="4" a="1"/>
  <c r="D623" i="4" a="1"/>
  <c r="A1838" i="4" a="1"/>
  <c r="D599" i="4" a="1"/>
  <c r="A1893" i="4" a="1"/>
  <c r="D720" i="4" a="1"/>
  <c r="A360" i="4" a="1"/>
  <c r="C29" i="3" a="1"/>
  <c r="A2006" i="4" a="1"/>
  <c r="D693" i="4" a="1"/>
  <c r="A479" i="4" a="1"/>
  <c r="D821" i="4" a="1"/>
  <c r="A914" i="4" a="1"/>
  <c r="A2057" i="4" a="1"/>
  <c r="A1110" i="4" a="1"/>
  <c r="A169" i="4" a="1"/>
  <c r="A861" i="4" a="1"/>
  <c r="A99" i="4" a="1"/>
  <c r="A389" i="4" a="1"/>
  <c r="D844" i="4" a="1"/>
  <c r="B66" i="3" a="1"/>
  <c r="A263" i="4" a="1"/>
  <c r="A1685" i="4" a="1"/>
  <c r="A321" i="4" a="1"/>
  <c r="D834" i="4" a="1"/>
  <c r="D835" i="4" a="1"/>
  <c r="A527" i="4" a="1"/>
  <c r="A257" i="4" a="1"/>
  <c r="D404" i="4" a="1"/>
  <c r="D317" i="4" a="1"/>
  <c r="D410" i="4" a="1"/>
  <c r="D476" i="4" a="1"/>
  <c r="D4" i="4" a="1"/>
  <c r="D47" i="4" a="1"/>
  <c r="D451" i="4" a="1"/>
  <c r="D27" i="4" a="1"/>
  <c r="D297" i="4" a="1"/>
  <c r="D309" i="4" a="1"/>
  <c r="D576" i="4" a="1"/>
  <c r="D515" i="4" a="1"/>
  <c r="D402" i="4" a="1"/>
  <c r="D86" i="4" a="1"/>
  <c r="D46" i="4" a="1"/>
  <c r="D214" i="4" a="1"/>
  <c r="D71" i="4" a="1"/>
  <c r="D520" i="4" a="1"/>
  <c r="D290" i="4" a="1"/>
  <c r="D329" i="4" a="1"/>
  <c r="D537" i="4" a="1"/>
  <c r="B13" i="3" a="1"/>
  <c r="D245" i="4" a="1"/>
  <c r="D518" i="4" a="1"/>
  <c r="D397" i="4" a="1"/>
  <c r="B9" i="3" a="1"/>
  <c r="D38" i="4" a="1"/>
  <c r="A274" i="2" a="1"/>
  <c r="A183" i="2" a="1"/>
  <c r="A787" i="2" a="1"/>
  <c r="A69" i="2" a="1"/>
  <c r="A1231" i="2" a="1"/>
  <c r="A1292" i="2" a="1"/>
  <c r="A425" i="2" a="1"/>
  <c r="A906" i="2" a="1"/>
  <c r="H2" i="5" a="1"/>
  <c r="A1114" i="2" a="1"/>
  <c r="A2280" i="2" a="1"/>
  <c r="A620" i="2" a="1"/>
  <c r="A979" i="2" a="1"/>
  <c r="A584" i="2" a="1"/>
  <c r="A549" i="2" a="1"/>
  <c r="A995" i="2" a="1"/>
  <c r="A269" i="2" a="1"/>
  <c r="A698" i="2" a="1"/>
  <c r="A725" i="2" a="1"/>
  <c r="A624" i="2" a="1"/>
  <c r="A533" i="2" a="1"/>
  <c r="A540" i="2" a="1"/>
  <c r="A379" i="2" a="1"/>
  <c r="A238" i="2" a="1"/>
  <c r="E1816" i="5" a="1"/>
  <c r="H1886" i="5" a="1"/>
  <c r="N1933" i="5" a="1"/>
  <c r="B861" i="2" a="1"/>
  <c r="B1519" i="2" a="1"/>
  <c r="B535" i="2" a="1"/>
  <c r="B2190" i="2" a="1"/>
  <c r="B1317" i="2" a="1"/>
  <c r="B720" i="2" a="1"/>
  <c r="A2035" i="4" a="1"/>
  <c r="A2153" i="4" a="1"/>
  <c r="A1555" i="4" a="1"/>
  <c r="A1059" i="4" a="1"/>
  <c r="A2330" i="4" a="1"/>
  <c r="A2000" i="4" a="1"/>
  <c r="A1790" i="4" a="1"/>
  <c r="A1781" i="4" a="1"/>
  <c r="B2181" i="2" a="1"/>
  <c r="A2315" i="4" a="1"/>
  <c r="A1746" i="4" a="1"/>
  <c r="A1255" i="4" a="1"/>
  <c r="A1920" i="4" a="1"/>
  <c r="A1762" i="4" a="1"/>
  <c r="A2031" i="4" a="1"/>
  <c r="A1329" i="4" a="1"/>
  <c r="A1114" i="4" a="1"/>
  <c r="A2309" i="4" a="1"/>
  <c r="A1721" i="4" a="1"/>
  <c r="A1658" i="4" a="1"/>
  <c r="A1058" i="4" a="1"/>
  <c r="A1163" i="4" a="1"/>
  <c r="A828" i="4" a="1"/>
  <c r="A790" i="4" a="1"/>
  <c r="A1949" i="4" a="1"/>
  <c r="D630" i="4" a="1"/>
  <c r="A242" i="4" a="1"/>
  <c r="A763" i="4" a="1"/>
  <c r="A1812" i="4" a="1"/>
  <c r="C44" i="3" a="1"/>
  <c r="A215" i="4" a="1"/>
  <c r="A1012" i="4" a="1"/>
  <c r="A356" i="4" a="1"/>
  <c r="A1432" i="4" a="1"/>
  <c r="A1072" i="4" a="1"/>
  <c r="A1439" i="4" a="1"/>
  <c r="A1143" i="4" a="1"/>
  <c r="A893" i="4" a="1"/>
  <c r="A2063" i="4" a="1"/>
  <c r="A1084" i="4" a="1"/>
  <c r="D683" i="4" a="1"/>
  <c r="A2036" i="4" a="1"/>
  <c r="D871" i="4" a="1"/>
  <c r="A2194" i="4" a="1"/>
  <c r="D780" i="4" a="1"/>
  <c r="B1275" i="2" a="1"/>
  <c r="A620" i="4" a="1"/>
  <c r="A2288" i="4" a="1"/>
  <c r="D753" i="4" a="1"/>
  <c r="A1081" i="4" a="1"/>
  <c r="D694" i="4" a="1"/>
  <c r="A1144" i="4" a="1"/>
  <c r="A2270" i="4" a="1"/>
  <c r="A645" i="4" a="1"/>
  <c r="A150" i="4" a="1"/>
  <c r="A133" i="4" a="1"/>
  <c r="D674" i="4" a="1"/>
  <c r="A370" i="4" a="1"/>
  <c r="A617" i="4" a="1"/>
  <c r="A1378" i="4" a="1"/>
  <c r="A124" i="4" a="1"/>
  <c r="A1674" i="4" a="1"/>
  <c r="B68" i="3" a="1"/>
  <c r="A188" i="4" a="1"/>
  <c r="D836" i="4" a="1"/>
  <c r="A432" i="4" a="1"/>
  <c r="C40" i="3" a="1"/>
  <c r="D403" i="4" a="1"/>
  <c r="D204" i="4" a="1"/>
  <c r="D335" i="4" a="1"/>
  <c r="D499" i="4" a="1"/>
  <c r="D105" i="4" a="1"/>
  <c r="D253" i="4" a="1"/>
  <c r="D205" i="4" a="1"/>
  <c r="D264" i="4" a="1"/>
  <c r="D344" i="4" a="1"/>
  <c r="D566" i="4" a="1"/>
  <c r="D181" i="4" a="1"/>
  <c r="D513" i="4" a="1"/>
  <c r="D321" i="4" a="1"/>
  <c r="D159" i="4" a="1"/>
  <c r="D319" i="4" a="1"/>
  <c r="D519" i="4" a="1"/>
  <c r="D445" i="4" a="1"/>
  <c r="D501" i="4" a="1"/>
  <c r="D481" i="4" a="1"/>
  <c r="D13" i="4" a="1"/>
  <c r="D240" i="4" a="1"/>
  <c r="D228" i="4" a="1"/>
  <c r="D252" i="4" a="1"/>
  <c r="D508" i="4" a="1"/>
  <c r="B37" i="3" a="1"/>
  <c r="D526" i="4" a="1"/>
  <c r="D92" i="4" a="1"/>
  <c r="A514" i="2" a="1"/>
  <c r="A423" i="2" a="1"/>
  <c r="A9" i="2" a="1"/>
  <c r="A40" i="2" a="1"/>
  <c r="A729" i="2" a="1"/>
  <c r="A1760" i="2" a="1"/>
  <c r="A665" i="2" a="1"/>
  <c r="A267" i="2" a="1"/>
  <c r="A223" i="2" a="1"/>
  <c r="A903" i="2" a="1"/>
  <c r="A1351" i="2" a="1"/>
  <c r="A1021" i="2" a="1"/>
  <c r="A361" i="2" a="1"/>
  <c r="A824" i="2" a="1"/>
  <c r="A1336" i="2" a="1"/>
  <c r="A1786" i="2" a="1"/>
  <c r="A240" i="2" a="1"/>
  <c r="A1051" i="2" a="1"/>
  <c r="A116" i="2" a="1"/>
  <c r="A15" i="2" a="1"/>
  <c r="A773" i="2" a="1"/>
  <c r="A30" i="2" a="1"/>
  <c r="N1958" i="5" a="1"/>
  <c r="N1901" i="5" a="1"/>
  <c r="J1981" i="5" a="1"/>
  <c r="B1262" i="2" a="1"/>
  <c r="B265" i="2" a="1"/>
  <c r="B1338" i="2" a="1"/>
  <c r="B1987" i="2" a="1"/>
  <c r="B1310" i="2" a="1"/>
  <c r="B1740" i="2" a="1"/>
  <c r="A1836" i="4" a="1"/>
  <c r="A2050" i="4" a="1"/>
  <c r="B1852" i="2" a="1"/>
  <c r="A1205" i="4" a="1"/>
  <c r="A2208" i="4" a="1"/>
  <c r="A1782" i="4" a="1"/>
  <c r="A2291" i="4" a="1"/>
  <c r="A1901" i="4" a="1"/>
  <c r="A1791" i="4" a="1"/>
  <c r="A2219" i="4" a="1"/>
  <c r="A1996" i="4" a="1"/>
  <c r="A993" i="4" a="1"/>
  <c r="A931" i="4" a="1"/>
  <c r="A1756" i="4" a="1"/>
  <c r="A1767" i="4" a="1"/>
  <c r="A1360" i="4" a="1"/>
  <c r="A880" i="4" a="1"/>
  <c r="A2189" i="4" a="1"/>
  <c r="A1841" i="4" a="1"/>
  <c r="A1686" i="4" a="1"/>
  <c r="A1005" i="4" a="1"/>
  <c r="A1311" i="4" a="1"/>
  <c r="A1894" i="4" a="1"/>
  <c r="A633" i="4" a="1"/>
  <c r="A2152" i="4" a="1"/>
  <c r="D690" i="4" a="1"/>
  <c r="A477" i="4" a="1"/>
  <c r="A764" i="4" a="1"/>
  <c r="A1826" i="4" a="1"/>
  <c r="C8" i="3" a="1"/>
  <c r="A455" i="4" a="1"/>
  <c r="A1276" i="4" a="1"/>
  <c r="A8" i="4" a="1"/>
  <c r="A1653" i="4" a="1"/>
  <c r="A1371" i="4" a="1"/>
  <c r="A1669" i="4" a="1"/>
  <c r="A887" i="4" a="1"/>
  <c r="A1273" i="4" a="1"/>
  <c r="A2083" i="4" a="1"/>
  <c r="A895" i="4" a="1"/>
  <c r="D696" i="4" a="1"/>
  <c r="A2048" i="4" a="1"/>
  <c r="D769" i="4" a="1"/>
  <c r="A2123" i="4" a="1"/>
  <c r="D628" i="4" a="1"/>
  <c r="A1883" i="4" a="1"/>
  <c r="A740" i="4" a="1"/>
  <c r="A2216" i="4" a="1"/>
  <c r="A646" i="4" a="1"/>
  <c r="A998" i="4" a="1"/>
  <c r="A827" i="4" a="1"/>
  <c r="A897" i="4" a="1"/>
  <c r="A2164" i="4" a="1"/>
  <c r="A728" i="4" a="1"/>
  <c r="A2202" i="4" a="1"/>
  <c r="A593" i="4" a="1"/>
  <c r="A644" i="4" a="1"/>
  <c r="A471" i="4" a="1"/>
  <c r="A835" i="4" a="1"/>
  <c r="A1089" i="4" a="1"/>
  <c r="A534" i="4" a="1"/>
  <c r="A811" i="4" a="1"/>
  <c r="A2199" i="4" a="1"/>
  <c r="A107" i="4" a="1"/>
  <c r="A647" i="4" a="1"/>
  <c r="A237" i="4" a="1"/>
  <c r="D606" i="4" a="1"/>
  <c r="A1384" i="4" a="1"/>
  <c r="D99" i="4" a="1"/>
  <c r="B41" i="3" a="1"/>
  <c r="D424" i="4" a="1"/>
  <c r="D572" i="4" a="1"/>
  <c r="D312" i="4" a="1"/>
  <c r="D234" i="4" a="1"/>
  <c r="D523" i="4" a="1"/>
  <c r="D148" i="4" a="1"/>
  <c r="D433" i="4" a="1"/>
  <c r="D524" i="4" a="1"/>
  <c r="D460" i="4" a="1"/>
  <c r="D194" i="4" a="1"/>
  <c r="D495" i="4" a="1"/>
  <c r="D376" i="4" a="1"/>
  <c r="D25" i="4" a="1"/>
  <c r="D238" i="4" a="1"/>
  <c r="D209" i="4" a="1"/>
  <c r="D80" i="4" a="1"/>
  <c r="D378" i="4" a="1"/>
  <c r="D262" i="4" a="1"/>
  <c r="D104" i="4" a="1"/>
  <c r="D279" i="4" a="1"/>
  <c r="D377" i="4" a="1"/>
  <c r="B6" i="3" a="1"/>
  <c r="D164" i="4" a="1"/>
  <c r="B30" i="3" a="1"/>
  <c r="A754" i="2" a="1"/>
  <c r="A663" i="2" a="1"/>
  <c r="A1049" i="2" a="1"/>
  <c r="A840" i="2" a="1"/>
  <c r="A682" i="2" a="1"/>
  <c r="E1962" i="5" a="1"/>
  <c r="N1903" i="5" a="1"/>
  <c r="H1855" i="5" a="1"/>
  <c r="B1804" i="2" a="1"/>
  <c r="B505" i="2" a="1"/>
  <c r="B983" i="2" a="1"/>
  <c r="B1856" i="2" a="1"/>
  <c r="B254" i="2" a="1"/>
  <c r="B1466" i="2" a="1"/>
  <c r="A1886" i="4" a="1"/>
  <c r="A1909" i="4" a="1"/>
  <c r="A1804" i="4" a="1"/>
  <c r="A1304" i="4" a="1"/>
  <c r="A881" i="4" a="1"/>
  <c r="A2053" i="4" a="1"/>
  <c r="A2175" i="4" a="1"/>
  <c r="A1768" i="4" a="1"/>
  <c r="A1911" i="4" a="1"/>
  <c r="B601" i="2" a="1"/>
  <c r="A2160" i="4" a="1"/>
  <c r="A1120" i="4" a="1"/>
  <c r="A1051" i="4" a="1"/>
  <c r="A1750" i="4" a="1"/>
  <c r="A1810" i="4" a="1"/>
  <c r="A1226" i="4" a="1"/>
  <c r="A1080" i="4" a="1"/>
  <c r="A2264" i="4" a="1"/>
  <c r="A1840" i="4" a="1"/>
  <c r="A1597" i="4" a="1"/>
  <c r="A1102" i="4" a="1"/>
  <c r="A1247" i="4" a="1"/>
  <c r="A1990" i="4" a="1"/>
  <c r="A753" i="4" a="1"/>
  <c r="A2276" i="4" a="1"/>
  <c r="D786" i="4" a="1"/>
  <c r="A1869" i="4" a="1"/>
  <c r="A601" i="4" a="1"/>
  <c r="A2064" i="4" a="1"/>
  <c r="C41" i="3" a="1"/>
  <c r="A106" i="4" a="1"/>
  <c r="A1259" i="4" a="1"/>
  <c r="A110" i="4" a="1"/>
  <c r="A1554" i="4" a="1"/>
  <c r="A1223" i="4" a="1"/>
  <c r="A1505" i="4" a="1"/>
  <c r="A1242" i="4" a="1"/>
  <c r="A1199" i="4" a="1"/>
  <c r="A2030" i="4" a="1"/>
  <c r="A977" i="4" a="1"/>
  <c r="A674" i="4" a="1"/>
  <c r="A2124" i="4" a="1"/>
  <c r="A850" i="4" a="1"/>
  <c r="A894" i="4" a="1"/>
  <c r="D688" i="4" a="1"/>
  <c r="A2097" i="4" a="1"/>
  <c r="A797" i="4" a="1"/>
  <c r="A904" i="4" a="1"/>
  <c r="D832" i="4" a="1"/>
  <c r="A945" i="4" a="1"/>
  <c r="A699" i="4" a="1"/>
  <c r="A1228" i="4" a="1"/>
  <c r="A944" i="4" a="1"/>
  <c r="A806" i="4" a="1"/>
  <c r="A995" i="4" a="1"/>
  <c r="A394" i="4" a="1"/>
  <c r="A681" i="4" a="1"/>
  <c r="A459" i="4" a="1"/>
  <c r="D616" i="4" a="1"/>
  <c r="A1156" i="4" a="1"/>
  <c r="A507" i="4" a="1"/>
  <c r="D838" i="4" a="1"/>
  <c r="A1052" i="4" a="1"/>
  <c r="A41" i="4" a="1"/>
  <c r="D823" i="4" a="1"/>
  <c r="A549" i="4" a="1"/>
  <c r="A16" i="4" a="1"/>
  <c r="A808" i="4" a="1"/>
  <c r="D24" i="4" a="1"/>
  <c r="B28" i="3" a="1"/>
  <c r="D23" i="4" a="1"/>
  <c r="D582" i="4" a="1"/>
  <c r="D188" i="4" a="1"/>
  <c r="D274" i="4" a="1"/>
  <c r="D485" i="4" a="1"/>
  <c r="D83" i="4" a="1"/>
  <c r="D55" i="4" a="1"/>
  <c r="D584" i="4" a="1"/>
  <c r="D465" i="4" a="1"/>
  <c r="D528" i="4" a="1"/>
  <c r="D482" i="4" a="1"/>
  <c r="D359" i="4" a="1"/>
  <c r="D559" i="4" a="1"/>
  <c r="D564" i="4" a="1"/>
  <c r="D122" i="4" a="1"/>
  <c r="D531" i="4" a="1"/>
  <c r="D491" i="4" a="1"/>
  <c r="D167" i="4" a="1"/>
  <c r="B10" i="3" a="1"/>
  <c r="B14" i="3" a="1"/>
  <c r="B44" i="3" a="1"/>
  <c r="D52" i="4" a="1"/>
  <c r="D468" i="4" a="1"/>
  <c r="D101" i="4" a="1"/>
  <c r="A145" i="2" a="1"/>
  <c r="A44" i="2" a="1"/>
  <c r="A541" i="2" a="1"/>
  <c r="A1084" i="2" a="1"/>
  <c r="A1042" i="2" a="1"/>
  <c r="A442" i="2" a="1"/>
  <c r="A296" i="2" a="1"/>
  <c r="A120" i="2" a="1"/>
  <c r="A703" i="2" a="1"/>
  <c r="A1253" i="2" a="1"/>
  <c r="A1491" i="2" a="1"/>
  <c r="A851" i="2" a="1"/>
  <c r="A1790" i="2" a="1"/>
  <c r="A455" i="2" a="1"/>
  <c r="A999" i="2" a="1"/>
  <c r="A13" i="2" a="1"/>
  <c r="A48" i="2" a="1"/>
  <c r="A82" i="2" a="1"/>
  <c r="A596" i="2" a="1"/>
  <c r="A495" i="2" a="1"/>
  <c r="A394" i="2" a="1"/>
  <c r="A303" i="2" a="1"/>
  <c r="E1785" i="5" a="1"/>
  <c r="B1929" i="5" a="1"/>
  <c r="B115" i="2" a="1"/>
  <c r="B1207" i="2" a="1"/>
  <c r="B1305" i="2" a="1"/>
  <c r="B1117" i="2" a="1"/>
  <c r="B186" i="2" a="1"/>
  <c r="B408" i="2" a="1"/>
  <c r="B1547" i="2" a="1"/>
  <c r="A2265" i="4" a="1"/>
  <c r="A2271" i="4" a="1"/>
  <c r="A1924" i="4" a="1"/>
  <c r="A933" i="4" a="1"/>
  <c r="A1001" i="4" a="1"/>
  <c r="A2169" i="4" a="1"/>
  <c r="A2092" i="4" a="1"/>
  <c r="A1888" i="4" a="1"/>
  <c r="A1778" i="4" a="1"/>
  <c r="A1844" i="4" a="1"/>
  <c r="A2321" i="4" a="1"/>
  <c r="A927" i="4" a="1"/>
  <c r="A888" i="4" a="1"/>
  <c r="A1940" i="4" a="1"/>
  <c r="A1946" i="4" a="1"/>
  <c r="A1234" i="4" a="1"/>
  <c r="A1374" i="4" a="1"/>
  <c r="A951" i="4" a="1"/>
  <c r="A1823" i="4" a="1"/>
  <c r="A1667" i="4" a="1"/>
  <c r="A1394" i="4" a="1"/>
  <c r="A1392" i="4" a="1"/>
  <c r="A2128" i="4" a="1"/>
  <c r="A621" i="4" a="1"/>
  <c r="A1882" i="4" a="1"/>
  <c r="A838" i="4" a="1"/>
  <c r="A2054" i="4" a="1"/>
  <c r="A843" i="4" a="1"/>
  <c r="A2286" i="4" a="1"/>
  <c r="A685" i="4" a="1"/>
  <c r="A247" i="4" a="1"/>
  <c r="A1455" i="4" a="1"/>
  <c r="A11" i="4" a="1"/>
  <c r="A1488" i="4" a="1"/>
  <c r="A1494" i="4" a="1"/>
  <c r="A1710" i="4" a="1"/>
  <c r="A1381" i="4" a="1"/>
  <c r="A1635" i="4" a="1"/>
  <c r="A2279" i="4" a="1"/>
  <c r="A1176" i="4" a="1"/>
  <c r="D845" i="4" a="1"/>
  <c r="A2284" i="4" a="1"/>
  <c r="A867" i="4" a="1"/>
  <c r="A1124" i="4" a="1"/>
  <c r="D709" i="4" a="1"/>
  <c r="A2267" i="4" a="1"/>
  <c r="A711" i="4" a="1"/>
  <c r="A1134" i="4" a="1"/>
  <c r="A632" i="4" a="1"/>
  <c r="A1127" i="4" a="1"/>
  <c r="A611" i="4" a="1"/>
  <c r="A1033" i="4" a="1"/>
  <c r="A1091" i="4" a="1"/>
  <c r="A43" i="4" a="1"/>
  <c r="A1203" i="4" a="1"/>
  <c r="A255" i="4" a="1"/>
  <c r="A856" i="4" a="1"/>
  <c r="A419" i="4" a="1"/>
  <c r="A176" i="4" a="1"/>
  <c r="A1656" i="4" a="1"/>
  <c r="A172" i="4" a="1"/>
  <c r="A759" i="4" a="1"/>
  <c r="A1438" i="4" a="1"/>
  <c r="A460" i="4" a="1"/>
  <c r="D859" i="4" a="1"/>
  <c r="A1602" i="4" a="1"/>
  <c r="A277" i="4" a="1"/>
  <c r="A287" i="4" a="1"/>
  <c r="D341" i="4" a="1"/>
  <c r="D36" i="4" a="1"/>
  <c r="D63" i="4" a="1"/>
  <c r="D58" i="4" a="1"/>
  <c r="D189" i="4" a="1"/>
  <c r="D503" i="4" a="1"/>
  <c r="D88" i="4" a="1"/>
  <c r="D109" i="4" a="1"/>
  <c r="D156" i="4" a="1"/>
  <c r="D461" i="4" a="1"/>
  <c r="D487" i="4" a="1"/>
  <c r="D49" i="4" a="1"/>
  <c r="D435" i="4" a="1"/>
  <c r="D556" i="4" a="1"/>
  <c r="D199" i="4" a="1"/>
  <c r="D7" i="4" a="1"/>
  <c r="D123" i="4" a="1"/>
  <c r="A13" i="4" a="1"/>
  <c r="D331" i="4" a="1"/>
  <c r="D132" i="4" a="1"/>
  <c r="D313" i="4" a="1"/>
  <c r="D143" i="4" a="1"/>
  <c r="B11" i="3" a="1"/>
  <c r="D102" i="4" a="1"/>
  <c r="B22" i="3" a="1"/>
  <c r="D422" i="4" a="1"/>
  <c r="A385" i="2" a="1"/>
  <c r="A284" i="2" a="1"/>
  <c r="A193" i="2" a="1"/>
  <c r="A848" i="2" a="1"/>
  <c r="A130" i="2" a="1"/>
  <c r="A918" i="2" a="1"/>
  <c r="A536" i="2" a="1"/>
  <c r="A1281" i="2" a="1"/>
  <c r="A84" i="2" a="1"/>
  <c r="A769" i="2" a="1"/>
  <c r="A1971" i="2" a="1"/>
  <c r="A777" i="2" a="1"/>
  <c r="A1249" i="2" a="1"/>
  <c r="A695" i="2" a="1"/>
  <c r="A397" i="2" a="1"/>
  <c r="A253" i="2" a="1"/>
  <c r="A956" i="2" a="1"/>
  <c r="A862" i="2" a="1"/>
  <c r="A836" i="2" a="1"/>
  <c r="A735" i="2" a="1"/>
  <c r="A634" i="2" a="1"/>
  <c r="A543" i="2" a="1"/>
  <c r="A601" i="2" a="1"/>
  <c r="A440" i="2" a="1"/>
  <c r="A1890" i="2" a="1"/>
  <c r="A646" i="2" a="1"/>
  <c r="A1478" i="2" a="1"/>
  <c r="A194" i="2" a="1"/>
  <c r="A1050" i="2" a="1"/>
  <c r="A2081" i="2" a="1"/>
  <c r="A942" i="2" a="1"/>
  <c r="A1709" i="2" a="1"/>
  <c r="A805" i="2" a="1"/>
  <c r="A189" i="2" a="1"/>
  <c r="A363" i="2" a="1"/>
  <c r="A1167" i="2" a="1"/>
  <c r="A1796" i="2" a="1"/>
  <c r="A1161" i="2" a="1"/>
  <c r="A990" i="2" a="1"/>
  <c r="A429" i="2" a="1"/>
  <c r="A2335" i="2" a="1"/>
  <c r="A2172" i="2" a="1"/>
  <c r="A2268" i="2" a="1"/>
  <c r="A1233" i="2" a="1"/>
  <c r="A2349" i="2" a="1"/>
  <c r="A2099" i="2" a="1"/>
  <c r="A2029" i="2" a="1"/>
  <c r="A2063" i="2" a="1"/>
  <c r="A1394" i="2" a="1"/>
  <c r="A2087" i="2" a="1"/>
  <c r="A2276" i="2" a="1"/>
  <c r="A1982" i="2" a="1"/>
  <c r="A1878" i="2" a="1"/>
  <c r="A39" i="2" a="1"/>
  <c r="A2016" i="2" a="1"/>
  <c r="A880" i="2" a="1"/>
  <c r="A1045" i="2" a="1"/>
  <c r="A1995" i="2" a="1"/>
  <c r="A618" i="2" a="1"/>
  <c r="A2248" i="2" a="1"/>
  <c r="A2356" i="2" a="1"/>
  <c r="A1318" i="2" a="1"/>
  <c r="A1953" i="2" a="1"/>
  <c r="A747" i="2" a="1"/>
  <c r="A1966" i="2" a="1"/>
  <c r="A2197" i="2" a="1"/>
  <c r="A2070" i="2" a="1"/>
  <c r="A2309" i="2" a="1"/>
  <c r="A724" i="2" a="1"/>
  <c r="A1639" i="2" a="1"/>
  <c r="A2124" i="2" a="1"/>
  <c r="A102" i="2" a="1"/>
  <c r="A2147" i="2" a="1"/>
  <c r="A1682" i="2" a="1"/>
  <c r="A1937" i="2" a="1"/>
  <c r="A1915" i="2" a="1"/>
  <c r="A18" i="2" a="1"/>
  <c r="A2025" i="2" a="1"/>
  <c r="A1659" i="2" a="1"/>
  <c r="A917" i="2" a="1"/>
  <c r="A799" i="2" a="1"/>
  <c r="A567" i="2" a="1"/>
  <c r="A2074" i="2" a="1"/>
  <c r="A1854" i="2" a="1"/>
  <c r="A1814" i="2" a="1"/>
  <c r="A1694" i="2" a="1"/>
  <c r="A1018" i="2" a="1"/>
  <c r="A1804" i="2" a="1"/>
  <c r="A2217" i="2" a="1"/>
  <c r="A1892" i="2" a="1"/>
  <c r="A1539" i="2" a="1"/>
  <c r="A1563" i="2" a="1"/>
  <c r="A161" i="2" a="1"/>
  <c r="A1777" i="2" a="1"/>
  <c r="A531" i="2" a="1"/>
  <c r="A2339" i="2" a="1"/>
  <c r="A1811" i="2" a="1"/>
  <c r="A2240" i="2" a="1"/>
  <c r="D503" i="2" a="1"/>
  <c r="D273" i="2" a="1"/>
  <c r="A792" i="2" a="1"/>
  <c r="D259" i="2" a="1"/>
  <c r="D1910" i="2" a="1"/>
  <c r="D53" i="2" a="1"/>
  <c r="D903" i="2" a="1"/>
  <c r="D1406" i="2" a="1"/>
  <c r="D303" i="2" a="1"/>
  <c r="D1153" i="2" a="1"/>
  <c r="D1124" i="2" a="1"/>
  <c r="D553" i="2" a="1"/>
  <c r="D80" i="2" a="1"/>
  <c r="D151" i="2" a="1"/>
  <c r="D803" i="2" a="1"/>
  <c r="D770" i="2" a="1"/>
  <c r="D1412" i="2" a="1"/>
  <c r="D434" i="2" a="1"/>
  <c r="D823" i="2" a="1"/>
  <c r="D353" i="2" a="1"/>
  <c r="D843" i="2" a="1"/>
  <c r="D373" i="2" a="1"/>
  <c r="D125" i="2" a="1"/>
  <c r="D494" i="2" a="1"/>
  <c r="D662" i="2" a="1"/>
  <c r="D420" i="2" a="1"/>
  <c r="D145" i="2" a="1"/>
  <c r="D1047" i="2" a="1"/>
  <c r="D1654" i="2" a="1"/>
  <c r="D635" i="2" a="1"/>
  <c r="D137" i="2" a="1"/>
  <c r="D1077" i="2" a="1"/>
  <c r="M1788" i="5" a="1"/>
  <c r="M1936" i="5" a="1"/>
  <c r="B355" i="2" a="1"/>
  <c r="B1738" i="2" a="1"/>
  <c r="B808" i="2" a="1"/>
  <c r="B599" i="2" a="1"/>
  <c r="B2188" i="2" a="1"/>
  <c r="B1309" i="2" a="1"/>
  <c r="B2331" i="2" a="1"/>
  <c r="A2170" i="4" a="1"/>
  <c r="A2127" i="4" a="1"/>
  <c r="A1761" i="4" a="1"/>
  <c r="A1007" i="4" a="1"/>
  <c r="A958" i="4" a="1"/>
  <c r="A2328" i="4" a="1"/>
  <c r="A2020" i="4" a="1"/>
  <c r="A2114" i="4" a="1"/>
  <c r="A1898" i="4" a="1"/>
  <c r="A1964" i="4" a="1"/>
  <c r="A2325" i="4" a="1"/>
  <c r="A1246" i="4" a="1"/>
  <c r="A1008" i="4" a="1"/>
  <c r="A1717" i="4" a="1"/>
  <c r="A2223" i="4" a="1"/>
  <c r="B572" i="2" a="1"/>
  <c r="A1150" i="4" a="1"/>
  <c r="A1071" i="4" a="1"/>
  <c r="A1976" i="4" a="1"/>
  <c r="A1646" i="4" a="1"/>
  <c r="A1424" i="4" a="1"/>
  <c r="A1083" i="4" a="1"/>
  <c r="A1137" i="4" a="1"/>
  <c r="A849" i="4" a="1"/>
  <c r="A2168" i="4" a="1"/>
  <c r="D791" i="4" a="1"/>
  <c r="A1936" i="4" a="1"/>
  <c r="D804" i="4" a="1"/>
  <c r="A1880" i="4" a="1"/>
  <c r="D635" i="4" a="1"/>
  <c r="A100" i="4" a="1"/>
  <c r="A1631" i="4" a="1"/>
  <c r="A342" i="4" a="1"/>
  <c r="A1660" i="4" a="1"/>
  <c r="A1343" i="4" a="1"/>
  <c r="A1684" i="4" a="1"/>
  <c r="A1399" i="4" a="1"/>
  <c r="A1473" i="4" a="1"/>
  <c r="A1021" i="4" a="1"/>
  <c r="A1441" i="4" a="1"/>
  <c r="A739" i="4" a="1"/>
  <c r="A1031" i="4" a="1"/>
  <c r="A649" i="4" a="1"/>
  <c r="A1093" i="4" a="1"/>
  <c r="D850" i="4" a="1"/>
  <c r="A2176" i="4" a="1"/>
  <c r="D739" i="4" a="1"/>
  <c r="A992" i="4" a="1"/>
  <c r="D754" i="4" a="1"/>
  <c r="A1175" i="4" a="1"/>
  <c r="A224" i="4" a="1"/>
  <c r="A1386" i="4" a="1"/>
  <c r="A1038" i="4" a="1"/>
  <c r="A503" i="4" a="1"/>
  <c r="A1566" i="4" a="1"/>
  <c r="A126" i="4" a="1"/>
  <c r="A736" i="4" a="1"/>
  <c r="A664" i="4" a="1"/>
  <c r="A48" i="4" a="1"/>
  <c r="A772" i="4" a="1"/>
  <c r="A552" i="4" a="1"/>
  <c r="A283" i="4" a="1"/>
  <c r="A1584" i="4" a="1"/>
  <c r="A171" i="4" a="1"/>
  <c r="A258" i="4" a="1"/>
  <c r="D611" i="4" a="1"/>
  <c r="A600" i="4" a="1"/>
  <c r="A813" i="4" a="1"/>
  <c r="D174" i="4" a="1"/>
  <c r="D299" i="4" a="1"/>
  <c r="D246" i="4" a="1"/>
  <c r="D212" i="4" a="1"/>
  <c r="D540" i="4" a="1"/>
  <c r="D339" i="4" a="1"/>
  <c r="D54" i="4" a="1"/>
  <c r="D356" i="4" a="1"/>
  <c r="D420" i="4" a="1"/>
  <c r="D173" i="4" a="1"/>
  <c r="D362" i="4" a="1"/>
  <c r="D592" i="4" a="1"/>
  <c r="D391" i="4" a="1"/>
  <c r="D237" i="4" a="1"/>
  <c r="D342" i="4" a="1"/>
  <c r="D250" i="4" a="1"/>
  <c r="D496" i="4" a="1"/>
  <c r="D506" i="4" a="1"/>
  <c r="D67" i="4" a="1"/>
  <c r="D145" i="4" a="1"/>
  <c r="D68" i="4" a="1"/>
  <c r="D360" i="4" a="1"/>
  <c r="D32" i="4" a="1"/>
  <c r="D239" i="4" a="1"/>
  <c r="B7" i="3" a="1"/>
  <c r="D315" i="4" a="1"/>
  <c r="A625" i="2" a="1"/>
  <c r="E1910" i="5" a="1"/>
  <c r="L1909" i="5" a="1"/>
  <c r="B832" i="2" a="1"/>
  <c r="B344" i="2" a="1"/>
  <c r="B294" i="2" a="1"/>
  <c r="B1495" i="2" a="1"/>
  <c r="B2263" i="2" a="1"/>
  <c r="B1226" i="2" a="1"/>
  <c r="B1126" i="2" a="1"/>
  <c r="A2090" i="4" a="1"/>
  <c r="A2166" i="4" a="1"/>
  <c r="A1881" i="4" a="1"/>
  <c r="A1050" i="4" a="1"/>
  <c r="A1078" i="4" a="1"/>
  <c r="A2302" i="4" a="1"/>
  <c r="A2047" i="4" a="1"/>
  <c r="A2111" i="4" a="1"/>
  <c r="A1735" i="4" a="1"/>
  <c r="A1801" i="4" a="1"/>
  <c r="A1910" i="4" a="1"/>
  <c r="A1539" i="4" a="1"/>
  <c r="A1128" i="4" a="1"/>
  <c r="A2201" i="4" a="1"/>
  <c r="A1897" i="4" a="1"/>
  <c r="B1412" i="2" a="1"/>
  <c r="A906" i="4" a="1"/>
  <c r="A908" i="4" a="1"/>
  <c r="A1763" i="4" a="1"/>
  <c r="A1112" i="4" a="1"/>
  <c r="A1179" i="4" a="1"/>
  <c r="A1379" i="4" a="1"/>
  <c r="A1003" i="4" a="1"/>
  <c r="D679" i="4" a="1"/>
  <c r="A1952" i="4" a="1"/>
  <c r="D820" i="4" a="1"/>
  <c r="A2185" i="4" a="1"/>
  <c r="D803" i="4" a="1"/>
  <c r="A2247" i="4" a="1"/>
  <c r="D695" i="4" a="1"/>
  <c r="A69" i="4" a="1"/>
  <c r="A1475" i="4" a="1"/>
  <c r="A332" i="4" a="1"/>
  <c r="A1335" i="4" a="1"/>
  <c r="A1327" i="4" a="1"/>
  <c r="A1299" i="4" a="1"/>
  <c r="A1466" i="4" a="1"/>
  <c r="A1503" i="4" a="1"/>
  <c r="A1261" i="4" a="1"/>
  <c r="A1472" i="4" a="1"/>
  <c r="A762" i="4" a="1"/>
  <c r="A1099" i="4" a="1"/>
  <c r="D766" i="4" a="1"/>
  <c r="A1200" i="4" a="1"/>
  <c r="D774" i="4" a="1"/>
  <c r="A2144" i="4" a="1"/>
  <c r="D681" i="4" a="1"/>
  <c r="A1218" i="4" a="1"/>
  <c r="A757" i="4" a="1"/>
  <c r="A1043" i="4" a="1"/>
  <c r="A464" i="4" a="1"/>
  <c r="A1608" i="4" a="1"/>
  <c r="A955" i="4" a="1"/>
  <c r="A364" i="4" a="1"/>
  <c r="A1000" i="4" a="1"/>
  <c r="A190" i="4" a="1"/>
  <c r="A822" i="4" a="1"/>
  <c r="D659" i="4" a="1"/>
  <c r="A508" i="4" a="1"/>
  <c r="D794" i="4" a="1"/>
  <c r="A240" i="4" a="1"/>
  <c r="A144" i="4" a="1"/>
  <c r="A834" i="4" a="1"/>
  <c r="A372" i="4" a="1"/>
  <c r="A147" i="4" a="1"/>
  <c r="A413" i="4" a="1"/>
  <c r="A26" i="4" a="1"/>
  <c r="A812" i="4" a="1"/>
  <c r="D337" i="4" a="1"/>
  <c r="D224" i="4" a="1"/>
  <c r="D127" i="4" a="1"/>
  <c r="D236" i="4" a="1"/>
  <c r="D87" i="4" a="1"/>
  <c r="D268" i="4" a="1"/>
  <c r="D233" i="4" a="1"/>
  <c r="D184" i="4" a="1"/>
  <c r="D581" i="4" a="1"/>
  <c r="D15" i="4" a="1"/>
  <c r="D347" i="4" a="1"/>
  <c r="D534" i="4" a="1"/>
  <c r="D29" i="4" a="1"/>
  <c r="D349" i="4" a="1"/>
  <c r="D546" i="4" a="1"/>
  <c r="D384" i="4" a="1"/>
  <c r="N2" i="5" a="1"/>
  <c r="D162" i="4" a="1"/>
  <c r="D291" i="4" a="1"/>
  <c r="D196" i="4" a="1"/>
  <c r="D407" i="4" a="1"/>
  <c r="D462" i="4" a="1"/>
  <c r="D583" i="4" a="1"/>
  <c r="D332" i="4" a="1"/>
  <c r="B2" i="4" a="1"/>
  <c r="A16" i="2" a="1"/>
  <c r="A764" i="2" a="1"/>
  <c r="A673" i="2" a="1"/>
  <c r="A1089" i="2" a="1"/>
  <c r="A854" i="2" a="1"/>
  <c r="A2020" i="2" a="1"/>
  <c r="A542" i="2" a="1"/>
  <c r="A841" i="2" a="1"/>
  <c r="A564" i="2" a="1"/>
  <c r="A471" i="2" a="1"/>
  <c r="A737" i="2" a="1"/>
  <c r="A208" i="2" a="1"/>
  <c r="A1017" i="2" a="1"/>
  <c r="A326" i="2" a="1"/>
  <c r="A222" i="2" a="1"/>
  <c r="A733" i="2" a="1"/>
  <c r="A1283" i="2" a="1"/>
  <c r="A330" i="2" a="1"/>
  <c r="A1061" i="2" a="1"/>
  <c r="A366" i="2" a="1"/>
  <c r="A265" i="2" a="1"/>
  <c r="A164" i="2" a="1"/>
  <c r="A73" i="2" a="1"/>
  <c r="A337" i="2" a="1"/>
  <c r="A107" i="2" a="1"/>
  <c r="A871" i="2" a="1"/>
  <c r="A1363" i="2" a="1"/>
  <c r="A674" i="2" a="1"/>
  <c r="A873" i="2" a="1"/>
  <c r="A1447" i="2" a="1"/>
  <c r="A591" i="2" a="1"/>
  <c r="A1397" i="2" a="1"/>
  <c r="A436" i="2" a="1"/>
  <c r="A925" i="2" a="1"/>
  <c r="A843" i="2" a="1"/>
  <c r="A358" i="2" a="1"/>
  <c r="A1871" i="2" a="1"/>
  <c r="A438" i="2" a="1"/>
  <c r="A2310" i="2" a="1"/>
  <c r="A1945" i="2" a="1"/>
  <c r="A845" i="2" a="1"/>
  <c r="A100" i="2" a="1"/>
  <c r="A741" i="2" a="1"/>
  <c r="A572" i="2" a="1"/>
  <c r="A587" i="2" a="1"/>
  <c r="A831" i="2" a="1"/>
  <c r="A2196" i="2" a="1"/>
  <c r="A2327" i="2" a="1"/>
  <c r="A1277" i="2" a="1"/>
  <c r="A47" i="2" a="1"/>
  <c r="A1802" i="2" a="1"/>
  <c r="A2069" i="2" a="1"/>
  <c r="A2106" i="2" a="1"/>
  <c r="A1436" i="2" a="1"/>
  <c r="A2145" i="2" a="1"/>
  <c r="A568" i="2" a="1"/>
  <c r="A2002" i="2" a="1"/>
  <c r="A1914" i="2" a="1"/>
  <c r="A117" i="2" a="1"/>
  <c r="A2095" i="2" a="1"/>
  <c r="A1594" i="2" a="1"/>
  <c r="A1118" i="2" a="1"/>
  <c r="A2089" i="2" a="1"/>
  <c r="A739" i="2" a="1"/>
  <c r="A2306" i="2" a="1"/>
  <c r="A249" i="2" a="1"/>
  <c r="A1367" i="2" a="1"/>
  <c r="A2018" i="2" a="1"/>
  <c r="A657" i="2" a="1"/>
  <c r="A2046" i="2" a="1"/>
  <c r="A2242" i="2" a="1"/>
  <c r="A2090" i="2" a="1"/>
  <c r="A132" i="2" a="1"/>
  <c r="A744" i="2" a="1"/>
  <c r="A1672" i="2" a="1"/>
  <c r="A2182" i="2" a="1"/>
  <c r="A171" i="2" a="1"/>
  <c r="A2192" i="2" a="1"/>
  <c r="A1087" i="2" a="1"/>
  <c r="A210" i="2" a="1"/>
  <c r="A1341" i="2" a="1"/>
  <c r="A239" i="2" a="1"/>
  <c r="A2236" i="2" a="1"/>
  <c r="A1782" i="2" a="1"/>
  <c r="A2084" i="2" a="1"/>
  <c r="A2093" i="2" a="1"/>
  <c r="A690" i="2" a="1"/>
  <c r="A2132" i="2" a="1"/>
  <c r="A2173" i="2" a="1"/>
  <c r="A1884" i="2" a="1"/>
  <c r="A1792" i="2" a="1"/>
  <c r="A393" i="2" a="1"/>
  <c r="A605" i="2" a="1"/>
  <c r="A590" i="2" a="1"/>
  <c r="L2" i="5" a="1"/>
  <c r="A2115" i="2" a="1"/>
  <c r="A1380" i="2" a="1"/>
  <c r="A1737" i="2" a="1"/>
  <c r="D124" i="2" a="1"/>
  <c r="D753" i="2" a="1"/>
  <c r="D283" i="2" a="1"/>
  <c r="D1133" i="2" a="1"/>
  <c r="D1050" i="2" a="1"/>
  <c r="D533" i="2" a="1"/>
  <c r="D30" i="2" a="1"/>
  <c r="D1605" i="2" a="1"/>
  <c r="D783" i="2" a="1"/>
  <c r="D692" i="2" a="1"/>
  <c r="D1372" i="2" a="1"/>
  <c r="D174" i="2" a="1"/>
  <c r="D1056" i="2" a="1"/>
  <c r="D1744" i="2" a="1"/>
  <c r="D424" i="2" a="1"/>
  <c r="D1306" i="2" a="1"/>
  <c r="D1994" i="2" a="1"/>
  <c r="D75" i="2" a="1"/>
  <c r="D444" i="2" a="1"/>
  <c r="D833" i="2" a="1"/>
  <c r="D464" i="2" a="1"/>
  <c r="D853" i="2" a="1"/>
  <c r="D605" i="2" a="1"/>
  <c r="D135" i="2" a="1"/>
  <c r="D1007" i="2" a="1"/>
  <c r="D1637" i="2" a="1"/>
  <c r="D625" i="2" a="1"/>
  <c r="D60" i="2" a="1"/>
  <c r="D888" i="2" a="1"/>
  <c r="D276" i="2" a="1"/>
  <c r="D968" i="2" a="1"/>
  <c r="D1328" i="2" a="1"/>
  <c r="H1912" i="5" a="1"/>
  <c r="E1927" i="5" a="1"/>
  <c r="B213" i="2" a="1"/>
  <c r="B438" i="2" a="1"/>
  <c r="B1624" i="2" a="1"/>
  <c r="B2051" i="2" a="1"/>
  <c r="B2295" i="2" a="1"/>
  <c r="B1089" i="2" a="1"/>
  <c r="B2135" i="2" a="1"/>
  <c r="B1622" i="2" a="1"/>
  <c r="A1972" i="4" a="1"/>
  <c r="A1748" i="4" a="1"/>
  <c r="A1356" i="4" a="1"/>
  <c r="A1129" i="4" a="1"/>
  <c r="A2306" i="4" a="1"/>
  <c r="A2303" i="4" a="1"/>
  <c r="A2187" i="4" a="1"/>
  <c r="A2052" i="4" a="1"/>
  <c r="A1921" i="4" a="1"/>
  <c r="A2197" i="4" a="1"/>
  <c r="A1013" i="4" a="1"/>
  <c r="A950" i="4" a="1"/>
  <c r="A1979" i="4" a="1"/>
  <c r="A2078" i="4" a="1"/>
  <c r="B1551" i="2" a="1"/>
  <c r="A1077" i="4" a="1"/>
  <c r="A1028" i="4" a="1"/>
  <c r="D657" i="4" a="1"/>
  <c r="A1147" i="4" a="1"/>
  <c r="D627" i="4" a="1"/>
  <c r="A2329" i="4" a="1"/>
  <c r="D261" i="4" a="1"/>
  <c r="D175" i="4" a="1"/>
  <c r="D31" i="4" a="1"/>
  <c r="B40" i="3" a="1"/>
  <c r="A602" i="2" a="1"/>
  <c r="A2270" i="2" a="1"/>
  <c r="A521" i="2" a="1"/>
  <c r="A336" i="2" a="1"/>
  <c r="A391" i="2" a="1"/>
  <c r="A414" i="2" a="1"/>
  <c r="A1553" i="2" a="1"/>
  <c r="A530" i="2" a="1"/>
  <c r="A2071" i="2" a="1"/>
  <c r="A1116" i="2" a="1"/>
  <c r="A823" i="2" a="1"/>
  <c r="A140" i="2" a="1"/>
  <c r="A85" i="2" a="1"/>
  <c r="A599" i="2" a="1"/>
  <c r="A1151" i="2" a="1"/>
  <c r="A1940" i="2" a="1"/>
  <c r="A520" i="2" a="1"/>
  <c r="A1007" i="2" a="1"/>
  <c r="A1269" i="2" a="1"/>
  <c r="A569" i="2" a="1"/>
  <c r="A6" i="2" a="1"/>
  <c r="A639" i="2" a="1"/>
  <c r="A1557" i="2" a="1"/>
  <c r="A722" i="2" a="1"/>
  <c r="A1567" i="2" a="1"/>
  <c r="A727" i="2" a="1"/>
  <c r="A1417" i="2" a="1"/>
  <c r="A855" i="2" a="1"/>
  <c r="A578" i="2" a="1"/>
  <c r="A2152" i="2" a="1"/>
  <c r="A732" i="2" a="1"/>
  <c r="A1189" i="2" a="1"/>
  <c r="A2012" i="2" a="1"/>
  <c r="A1223" i="2" a="1"/>
  <c r="A2272" i="2" a="1"/>
  <c r="A1803" i="2" a="1"/>
  <c r="A2284" i="2" a="1"/>
  <c r="A1939" i="2" a="1"/>
  <c r="A2348" i="2" a="1"/>
  <c r="A2247" i="2" a="1"/>
  <c r="A2323" i="2" a="1"/>
  <c r="A701" i="2" a="1"/>
  <c r="A2336" i="2" a="1"/>
  <c r="A550" i="2" a="1"/>
  <c r="A728" i="2" a="1"/>
  <c r="A217" i="2" a="1"/>
  <c r="A1623" i="2" a="1"/>
  <c r="A1690" i="2" a="1"/>
  <c r="A1026" i="2" a="1"/>
  <c r="A370" i="2" a="1"/>
  <c r="A1538" i="2" a="1"/>
  <c r="A1710" i="2" a="1"/>
  <c r="A1561" i="2" a="1"/>
  <c r="A789" i="2" a="1"/>
  <c r="A2257" i="2" a="1"/>
  <c r="A1097" i="2" a="1"/>
  <c r="A1908" i="2" a="1"/>
  <c r="A2303" i="2" a="1"/>
  <c r="A250" i="2" a="1"/>
  <c r="A2249" i="2" a="1"/>
  <c r="A157" i="2" a="1"/>
  <c r="A1235" i="2" a="1"/>
  <c r="A1913" i="2" a="1"/>
  <c r="D239" i="2" a="1"/>
  <c r="D40" i="2" a="1"/>
  <c r="D12" i="2" a="1"/>
  <c r="D1536" i="2" a="1"/>
  <c r="D538" i="2" a="1"/>
  <c r="D1284" i="2" a="1"/>
  <c r="D285" i="2" a="1"/>
  <c r="D1178" i="2" a="1"/>
  <c r="D627" i="2" a="1"/>
  <c r="D923" i="2" a="1"/>
  <c r="D1588" i="2" a="1"/>
  <c r="D568" i="2" a="1"/>
  <c r="D1349" i="2" a="1"/>
  <c r="D194" i="2" a="1"/>
  <c r="D446" i="2" a="1"/>
  <c r="D358" i="2" a="1"/>
  <c r="D892" i="2" a="1"/>
  <c r="D365" i="2" a="1"/>
  <c r="D398" i="2" a="1"/>
  <c r="D858" i="2" a="1"/>
  <c r="D24" i="2" a="1"/>
  <c r="D1245" i="2" a="1"/>
  <c r="D1165" i="2" a="1"/>
  <c r="D1263" i="2" a="1"/>
  <c r="D1679" i="2" a="1"/>
  <c r="D766" i="2" a="1"/>
  <c r="D42" i="2" a="1"/>
  <c r="D2326" i="2" a="1"/>
  <c r="D438" i="2" a="1"/>
  <c r="D1187" i="2" a="1"/>
  <c r="D152" i="2" a="1"/>
  <c r="D687" i="2" a="1"/>
  <c r="D1455" i="2" a="1"/>
  <c r="D2207" i="2" a="1"/>
  <c r="D1301" i="2" a="1"/>
  <c r="D1532" i="2" a="1"/>
  <c r="D1866" i="2" a="1"/>
  <c r="D2365" i="2" a="1"/>
  <c r="D2031" i="2" a="1"/>
  <c r="D1761" i="2" a="1"/>
  <c r="D1091" i="2" a="1"/>
  <c r="D1059" i="2" a="1"/>
  <c r="D1004" i="2" a="1"/>
  <c r="D1582" i="2" a="1"/>
  <c r="D990" i="2" a="1"/>
  <c r="D2179" i="2" a="1"/>
  <c r="D1750" i="2" a="1"/>
  <c r="D987" i="2" a="1"/>
  <c r="D667" i="2" a="1"/>
  <c r="D1232" i="2" a="1"/>
  <c r="D2099" i="2" a="1"/>
  <c r="D1902" i="2" a="1"/>
  <c r="D160" i="2" a="1"/>
  <c r="D1737" i="2" a="1"/>
  <c r="D1667" i="2" a="1"/>
  <c r="D1413" i="2" a="1"/>
  <c r="D1774" i="2" a="1"/>
  <c r="D1384" i="2" a="1"/>
  <c r="D2193" i="2" a="1"/>
  <c r="D1953" i="2" a="1"/>
  <c r="D2028" i="2" a="1"/>
  <c r="D1073" i="2" a="1"/>
  <c r="D711" i="2" a="1"/>
  <c r="D920" i="2" a="1"/>
  <c r="D2261" i="2" a="1"/>
  <c r="D1835" i="2" a="1"/>
  <c r="D2115" i="2" a="1"/>
  <c r="D1935" i="2" a="1"/>
  <c r="D1818" i="2" a="1"/>
  <c r="D713" i="2" a="1"/>
  <c r="D320" i="2" a="1"/>
  <c r="D2323" i="2" a="1"/>
  <c r="D512" i="2" a="1"/>
  <c r="D844" i="2" a="1"/>
  <c r="D2082" i="2" a="1"/>
  <c r="D1170" i="2" a="1"/>
  <c r="D977" i="2" a="1"/>
  <c r="D1437" i="2" a="1"/>
  <c r="D347" i="2" a="1"/>
  <c r="D948" i="2" a="1"/>
  <c r="D1957" i="2" a="1"/>
  <c r="D1934" i="2" a="1"/>
  <c r="D132" i="2" a="1"/>
  <c r="D792" i="2" a="1"/>
  <c r="D47" i="2" a="1"/>
  <c r="D1626" i="2" a="1"/>
  <c r="D574" i="2" a="1"/>
  <c r="D1209" i="2" a="1"/>
  <c r="D201" i="2" a="1"/>
  <c r="D1727" i="2" a="1"/>
  <c r="D2101" i="2" a="1"/>
  <c r="D2188" i="2" a="1"/>
  <c r="A2325" i="2" a="1"/>
  <c r="D782" i="2" a="1"/>
  <c r="D157" i="2" a="1"/>
  <c r="D1241" i="2" a="1"/>
  <c r="D2076" i="2" a="1"/>
  <c r="D1281" i="2" a="1"/>
  <c r="D1517" i="2" a="1"/>
  <c r="D2239" i="2" a="1"/>
  <c r="D831" i="2" a="1"/>
  <c r="A2106" i="4" a="1"/>
  <c r="B805" i="2" a="1"/>
  <c r="D737" i="4" a="1"/>
  <c r="D790" i="4" a="1"/>
  <c r="A774" i="4" a="1"/>
  <c r="D78" i="4" a="1"/>
  <c r="D381" i="4" a="1"/>
  <c r="D155" i="4" a="1"/>
  <c r="D358" i="4" a="1"/>
  <c r="A175" i="2" a="1"/>
  <c r="A1961" i="2" a="1"/>
  <c r="A320" i="2" a="1"/>
  <c r="A1041" i="2" a="1"/>
  <c r="A1023" i="2" a="1"/>
  <c r="A654" i="2" a="1"/>
  <c r="A228" i="2" a="1"/>
  <c r="A974" i="2" a="1"/>
  <c r="A2311" i="2" a="1"/>
  <c r="A707" i="2" a="1"/>
  <c r="A444" i="2" a="1"/>
  <c r="A1268" i="2" a="1"/>
  <c r="A325" i="2" a="1"/>
  <c r="A449" i="2" a="1"/>
  <c r="A468" i="2" a="1"/>
  <c r="A2180" i="2" a="1"/>
  <c r="A829" i="2" a="1"/>
  <c r="A2024" i="2" a="1"/>
  <c r="A1938" i="2" a="1"/>
  <c r="A1357" i="2" a="1"/>
  <c r="A560" i="2" a="1"/>
  <c r="A2039" i="2" a="1"/>
  <c r="A1140" i="2" a="1"/>
  <c r="A2075" i="2" a="1"/>
  <c r="A1465" i="2" a="1"/>
  <c r="A1261" i="2" a="1"/>
  <c r="A1083" i="2" a="1"/>
  <c r="A1959" i="2" a="1"/>
  <c r="A2021" i="2" a="1"/>
  <c r="A1714" i="2" a="1"/>
  <c r="A947" i="2" a="1"/>
  <c r="A1342" i="2" a="1"/>
  <c r="A1473" i="2" a="1"/>
  <c r="A2138" i="2" a="1"/>
  <c r="A859" i="2" a="1"/>
  <c r="A1987" i="2" a="1"/>
  <c r="A1588" i="2" a="1"/>
  <c r="A1701" i="2" a="1"/>
  <c r="A1190" i="2" a="1"/>
  <c r="A1455" i="2" a="1"/>
  <c r="A719" i="2" a="1"/>
  <c r="A1264" i="2" a="1"/>
  <c r="A1993" i="2" a="1"/>
  <c r="A1670" i="2" a="1"/>
  <c r="A877" i="2" a="1"/>
  <c r="A571" i="2" a="1"/>
  <c r="A1439" i="2" a="1"/>
  <c r="A492" i="2" a="1"/>
  <c r="A998" i="2" a="1"/>
  <c r="A721" i="2" a="1"/>
  <c r="A2312" i="2" a="1"/>
  <c r="A630" i="2" a="1"/>
  <c r="A1123" i="2" a="1"/>
  <c r="A527" i="2" a="1"/>
  <c r="A1626" i="2" a="1"/>
  <c r="A461" i="2" a="1"/>
  <c r="A1751" i="2" a="1"/>
  <c r="A2362" i="2" a="1"/>
  <c r="A615" i="2" a="1"/>
  <c r="A629" i="2" a="1"/>
  <c r="A895" i="2" a="1"/>
  <c r="A1689" i="2" a="1"/>
  <c r="A1365" i="2" a="1"/>
  <c r="D871" i="2" a="1"/>
  <c r="D640" i="2" a="1"/>
  <c r="D149" i="2" a="1"/>
  <c r="D552" i="2" a="1"/>
  <c r="D321" i="2" a="1"/>
  <c r="D1651" i="2" a="1"/>
  <c r="D525" i="2" a="1"/>
  <c r="D842" i="2" a="1"/>
  <c r="D1693" i="2" a="1"/>
  <c r="D1163" i="2" a="1"/>
  <c r="D915" i="2" a="1"/>
  <c r="D389" i="2" a="1"/>
  <c r="D1709" i="2" a="1"/>
  <c r="D674" i="2" a="1"/>
  <c r="D686" i="2" a="1"/>
  <c r="D598" i="2" a="1"/>
  <c r="D459" i="2" a="1"/>
  <c r="D6" i="2" a="1"/>
  <c r="D638" i="2" a="1"/>
  <c r="D1456" i="2" a="1"/>
  <c r="D264" i="2" a="1"/>
  <c r="D1179" i="2" a="1"/>
  <c r="D2060" i="2" a="1"/>
  <c r="D330" i="2" a="1"/>
  <c r="D1669" i="2" a="1"/>
  <c r="D188" i="2" a="1"/>
  <c r="D1212" i="2" a="1"/>
  <c r="D1414" i="2" a="1"/>
  <c r="D71" i="2" a="1"/>
  <c r="D875" i="2" a="1"/>
  <c r="D1838" i="2" a="1"/>
  <c r="D1051" i="2" a="1"/>
  <c r="D1799" i="2" a="1"/>
  <c r="D1314" i="2" a="1"/>
  <c r="D762" i="2" a="1"/>
  <c r="D1572" i="2" a="1"/>
  <c r="D1347" i="2" a="1"/>
  <c r="D500" i="2" a="1"/>
  <c r="D102" i="2" a="1"/>
  <c r="D1622" i="2" a="1"/>
  <c r="D441" i="2" a="1"/>
  <c r="D2260" i="2" a="1"/>
  <c r="D1767" i="2" a="1"/>
  <c r="D2148" i="2" a="1"/>
  <c r="D1809" i="2" a="1"/>
  <c r="D1986" i="2" a="1"/>
  <c r="D1663" i="2" a="1"/>
  <c r="D1551" i="2" a="1"/>
  <c r="D870" i="2" a="1"/>
  <c r="D1690" i="2" a="1"/>
  <c r="D1137" i="2" a="1"/>
  <c r="D2204" i="2" a="1"/>
  <c r="D2073" i="2" a="1"/>
  <c r="D1425" i="2" a="1"/>
  <c r="D2071" i="2" a="1"/>
  <c r="D1235" i="2" a="1"/>
  <c r="D1130" i="2" a="1"/>
  <c r="D885" i="2" a="1"/>
  <c r="D1512" i="2" a="1"/>
  <c r="D2005" i="2" a="1"/>
  <c r="D1716" i="2" a="1"/>
  <c r="D262" i="2" a="1"/>
  <c r="D37" i="2" a="1"/>
  <c r="D1853" i="2" a="1"/>
  <c r="D840" i="2" a="1"/>
  <c r="D1503" i="2" a="1"/>
  <c r="D1483" i="2" a="1"/>
  <c r="D1365" i="2" a="1"/>
  <c r="D1665" i="2" a="1"/>
  <c r="D715" i="2" a="1"/>
  <c r="D699" i="2" a="1"/>
  <c r="D2104" i="2" a="1"/>
  <c r="D1206" i="2" a="1"/>
  <c r="D2191" i="2" a="1"/>
  <c r="D1227" i="2" a="1"/>
  <c r="D1147" i="2" a="1"/>
  <c r="D1148" i="2" a="1"/>
  <c r="D1742" i="2" a="1"/>
  <c r="D1928" i="2" a="1"/>
  <c r="D104" i="2" a="1"/>
  <c r="D1025" i="2" a="1"/>
  <c r="D599" i="2" a="1"/>
  <c r="D1528" i="2" a="1"/>
  <c r="D882" i="2" a="1"/>
  <c r="D2150" i="2" a="1"/>
  <c r="D477" i="2" a="1"/>
  <c r="D566" i="2" a="1"/>
  <c r="D1688" i="2" a="1"/>
  <c r="D2136" i="2" a="1"/>
  <c r="D1612" i="2" a="1"/>
  <c r="D1966" i="2" a="1"/>
  <c r="D487" i="2" a="1"/>
  <c r="A1545" i="2" a="1"/>
  <c r="A1668" i="2" a="1"/>
  <c r="A2005" i="2" a="1"/>
  <c r="A1193" i="2" a="1"/>
  <c r="A1401" i="2" a="1"/>
  <c r="D22" i="2" a="1"/>
  <c r="D1590" i="2" a="1"/>
  <c r="D7" i="2" a="1"/>
  <c r="D1274" i="2" a="1"/>
  <c r="D1175" i="2" a="1"/>
  <c r="A1829" i="2" a="1"/>
  <c r="D1250" i="2" a="1"/>
  <c r="D676" i="2" a="1"/>
  <c r="D133" i="2" a="1"/>
  <c r="D385" i="2" a="1"/>
  <c r="D740" i="2" a="1"/>
  <c r="D2187" i="2" a="1"/>
  <c r="D472" i="2" a="1"/>
  <c r="D689" i="2" a="1"/>
  <c r="D1878" i="2" a="1"/>
  <c r="D1453" i="2" a="1"/>
  <c r="C36" i="3" a="1"/>
  <c r="A1652" i="4" a="1"/>
  <c r="D711" i="4" a="1"/>
  <c r="A903" i="4" a="1"/>
  <c r="B65" i="3" a="1"/>
  <c r="D241" i="4" a="1"/>
  <c r="D283" i="4" a="1"/>
  <c r="D141" i="4" a="1"/>
  <c r="D579" i="4" a="1"/>
  <c r="A286" i="2" a="1"/>
  <c r="A2201" i="2" a="1"/>
  <c r="A968" i="2" a="1"/>
  <c r="A112" i="2" a="1"/>
  <c r="A479" i="2" a="1"/>
  <c r="A525" i="2" a="1"/>
  <c r="A1598" i="2" a="1"/>
  <c r="A378" i="2" a="1"/>
  <c r="A1352" i="2" a="1"/>
  <c r="A258" i="2" a="1"/>
  <c r="A684" i="2" a="1"/>
  <c r="A878" i="2" a="1"/>
  <c r="A565" i="2" a="1"/>
  <c r="A1411" i="2" a="1"/>
  <c r="A421" i="2" a="1"/>
  <c r="A490" i="2" a="1"/>
  <c r="A380" i="2" a="1"/>
  <c r="A2045" i="2" a="1"/>
  <c r="A1955" i="2" a="1"/>
  <c r="A2307" i="2" a="1"/>
  <c r="A969" i="2" a="1"/>
  <c r="A1408" i="2" a="1"/>
  <c r="A1372" i="2" a="1"/>
  <c r="A2135" i="2" a="1"/>
  <c r="A1157" i="2" a="1"/>
  <c r="A1846" i="2" a="1"/>
  <c r="A731" i="2" a="1"/>
  <c r="A1320" i="2" a="1"/>
  <c r="A1019" i="2" a="1"/>
  <c r="A141" i="2" a="1"/>
  <c r="A2031" i="2" a="1"/>
  <c r="A2302" i="2" a="1"/>
  <c r="A148" i="2" a="1"/>
  <c r="A1370" i="2" a="1"/>
  <c r="A1926" i="2" a="1"/>
  <c r="A1919" i="2" a="1"/>
  <c r="A893" i="2" a="1"/>
  <c r="A504" i="2" a="1"/>
  <c r="A2168" i="2" a="1"/>
  <c r="A1799" i="2" a="1"/>
  <c r="A2117" i="2" a="1"/>
  <c r="A1077" i="2" a="1"/>
  <c r="A976" i="2" a="1"/>
  <c r="A1719" i="2" a="1"/>
  <c r="A2126" i="2" a="1"/>
  <c r="A552" i="2" a="1"/>
  <c r="A2266" i="2" a="1"/>
  <c r="A1740" i="2" a="1"/>
  <c r="A2185" i="2" a="1"/>
  <c r="A1700" i="2" a="1"/>
  <c r="A1440" i="2" a="1"/>
  <c r="A1810" i="2" a="1"/>
  <c r="A2228" i="2" a="1"/>
  <c r="A17" i="2" a="1"/>
  <c r="A2338" i="2" a="1"/>
  <c r="A811" i="2" a="1"/>
  <c r="A1260" i="2" a="1"/>
  <c r="A1145" i="2" a="1"/>
  <c r="A659" i="2" a="1"/>
  <c r="A1848" i="2" a="1"/>
  <c r="A800" i="2" a="1"/>
  <c r="A1864" i="2" a="1"/>
  <c r="A2202" i="2" a="1"/>
  <c r="D1111" i="2" a="1"/>
  <c r="D241" i="2" a="1"/>
  <c r="D707" i="2" a="1"/>
  <c r="D1811" i="2" a="1"/>
  <c r="D901" i="2" a="1"/>
  <c r="D1920" i="2" a="1"/>
  <c r="D765" i="2" a="1"/>
  <c r="D561" i="2" a="1"/>
  <c r="D2200" i="2" a="1"/>
  <c r="D709" i="2" a="1"/>
  <c r="D1877" i="2" a="1"/>
  <c r="D931" i="2" a="1"/>
  <c r="D1950" i="2" a="1"/>
  <c r="D315" i="2" a="1"/>
  <c r="D108" i="2" a="1"/>
  <c r="D471" i="2" a="1"/>
  <c r="D973" i="2" a="1"/>
  <c r="D148" i="2" a="1"/>
  <c r="D571" i="2" a="1"/>
  <c r="D1780" i="2" a="1"/>
  <c r="D504" i="2" a="1"/>
  <c r="D1029" i="2" a="1"/>
  <c r="D2300" i="2" a="1"/>
  <c r="D916" i="2" a="1"/>
  <c r="D2195" i="2" a="1"/>
  <c r="D428" i="2" a="1"/>
  <c r="D1108" i="2" a="1"/>
  <c r="D29" i="2" a="1"/>
  <c r="D670" i="2" a="1"/>
  <c r="D1443" i="2" a="1"/>
  <c r="D2197" i="2" a="1"/>
  <c r="D1291" i="2" a="1"/>
  <c r="D2039" i="2" a="1"/>
  <c r="D2100" i="2" a="1"/>
  <c r="D490" i="2" a="1"/>
  <c r="D229" i="2" a="1"/>
  <c r="D2319" i="2" a="1"/>
  <c r="D2156" i="2" a="1"/>
  <c r="D2248" i="2" a="1"/>
  <c r="D1635" i="2" a="1"/>
  <c r="D1343" i="2" a="1"/>
  <c r="D1803" i="2" a="1"/>
  <c r="D2334" i="2" a="1"/>
  <c r="D1237" i="2" a="1"/>
  <c r="D742" i="2" a="1"/>
  <c r="D1150" i="2" a="1"/>
  <c r="D1581" i="2" a="1"/>
  <c r="D1933" i="2" a="1"/>
  <c r="D1109" i="2" a="1"/>
  <c r="D869" i="2" a="1"/>
  <c r="D2298" i="2" a="1"/>
  <c r="D1257" i="2" a="1"/>
  <c r="D677" i="2" a="1"/>
  <c r="D2134" i="2" a="1"/>
  <c r="D233" i="2" a="1"/>
  <c r="D2266" i="2" a="1"/>
  <c r="D1956" i="2" a="1"/>
  <c r="D1298" i="2" a="1"/>
  <c r="D864" i="2" a="1"/>
  <c r="D2111" i="2" a="1"/>
  <c r="D2268" i="2" a="1"/>
  <c r="D1106" i="2" a="1"/>
  <c r="D2068" i="2" a="1"/>
  <c r="D2363" i="2" a="1"/>
  <c r="D2041" i="2" a="1"/>
  <c r="D1718" i="2" a="1"/>
  <c r="D1731" i="2" a="1"/>
  <c r="D2129" i="2" a="1"/>
  <c r="D1781" i="2" a="1"/>
  <c r="D498" i="2" a="1"/>
  <c r="D2147" i="2" a="1"/>
  <c r="D1288" i="2" a="1"/>
  <c r="D399" i="2" a="1"/>
  <c r="D1477" i="2" a="1"/>
  <c r="D2203" i="2" a="1"/>
  <c r="D467" i="2" a="1"/>
  <c r="D1904" i="2" a="1"/>
  <c r="D2092" i="2" a="1"/>
  <c r="D838" i="2" a="1"/>
  <c r="D116" i="2" a="1"/>
  <c r="D972" i="2" a="1"/>
  <c r="D2245" i="2" a="1"/>
  <c r="D400" i="2" a="1"/>
  <c r="D1223" i="2" a="1"/>
  <c r="D1598" i="2" a="1"/>
  <c r="D1567" i="2" a="1"/>
  <c r="D861" i="2" a="1"/>
  <c r="D584" i="2" a="1"/>
  <c r="D1466" i="2" a="1"/>
  <c r="D1885" i="2" a="1"/>
  <c r="D2259" i="2" a="1"/>
  <c r="D1915" i="2" a="1"/>
  <c r="A1628" i="2" a="1"/>
  <c r="D43" i="2" a="1"/>
  <c r="D1620" i="2" a="1"/>
  <c r="D1201" i="2" a="1"/>
  <c r="D1392" i="2" a="1"/>
  <c r="D639" i="2" a="1"/>
  <c r="D2090" i="2" a="1"/>
  <c r="D2355" i="2" a="1"/>
  <c r="D637" i="2" a="1"/>
  <c r="A1237" i="4" a="1"/>
  <c r="A1846" i="4" a="1"/>
  <c r="A75" i="4" a="1"/>
  <c r="A496" i="4" a="1"/>
  <c r="A273" i="4" a="1"/>
  <c r="D136" i="4" a="1"/>
  <c r="D226" i="4" a="1"/>
  <c r="D471" i="4" a="1"/>
  <c r="D372" i="4" a="1"/>
  <c r="A526" i="2" a="1"/>
  <c r="A463" i="2" a="1"/>
  <c r="A1377" i="2" a="1"/>
  <c r="A904" i="2" a="1"/>
  <c r="A154" i="2" a="1"/>
  <c r="A765" i="2" a="1"/>
  <c r="A1128" i="2" a="1"/>
  <c r="A1103" i="2" a="1"/>
  <c r="A582" i="2" a="1"/>
  <c r="A401" i="2" a="1"/>
  <c r="A75" i="2" a="1"/>
  <c r="A1520" i="2" a="1"/>
  <c r="A196" i="2" a="1"/>
  <c r="A1930" i="2" a="1"/>
  <c r="A962" i="2" a="1"/>
  <c r="A1226" i="2" a="1"/>
  <c r="A623" i="2" a="1"/>
  <c r="A1778" i="2" a="1"/>
  <c r="A633" i="2" a="1"/>
  <c r="A1748" i="2" a="1"/>
  <c r="A110" i="2" a="1"/>
  <c r="A1805" i="2" a="1"/>
  <c r="A1137" i="2" a="1"/>
  <c r="A1699" i="2" a="1"/>
  <c r="A1194" i="2" a="1"/>
  <c r="A519" i="2" a="1"/>
  <c r="A1960" i="2" a="1"/>
  <c r="A589" i="2" a="1"/>
  <c r="A1146" i="2" a="1"/>
  <c r="A1947" i="2" a="1"/>
  <c r="A1165" i="2" a="1"/>
  <c r="A1634" i="2" a="1"/>
  <c r="A1784" i="2" a="1"/>
  <c r="A1681" i="2" a="1"/>
  <c r="A1356" i="2" a="1"/>
  <c r="A2169" i="2" a="1"/>
  <c r="A1407" i="2" a="1"/>
  <c r="A726" i="2" a="1"/>
  <c r="A1485" i="2" a="1"/>
  <c r="A298" i="2" a="1"/>
  <c r="A1488" i="2" a="1"/>
  <c r="A1707" i="2" a="1"/>
  <c r="A1513" i="2" a="1"/>
  <c r="A1686" i="2" a="1"/>
  <c r="A1387" i="2" a="1"/>
  <c r="A1680" i="2" a="1"/>
  <c r="A1388" i="2" a="1"/>
  <c r="A202" i="2" a="1"/>
  <c r="A1489" i="2" a="1"/>
  <c r="A1750" i="2" a="1"/>
  <c r="A2267" i="2" a="1"/>
  <c r="A277" i="2" a="1"/>
  <c r="A1602" i="2" a="1"/>
  <c r="A1820" i="2" a="1"/>
  <c r="A1493" i="2" a="1"/>
  <c r="A1830" i="2" a="1"/>
  <c r="A2274" i="2" a="1"/>
  <c r="A2357" i="2" a="1"/>
  <c r="A2361" i="2" a="1"/>
  <c r="A1765" i="2" a="1"/>
  <c r="A1923" i="2" a="1"/>
  <c r="A1295" i="2" a="1"/>
  <c r="D13" i="2" a="1"/>
  <c r="D1351" i="2" a="1"/>
  <c r="D883" i="2" a="1"/>
  <c r="D1332" i="2" a="1"/>
  <c r="D2186" i="2" a="1"/>
  <c r="D1141" i="2" a="1"/>
  <c r="D1068" i="2" a="1"/>
  <c r="D166" i="2" a="1"/>
  <c r="D620" i="2" a="1"/>
  <c r="D1139" i="2" a="1"/>
  <c r="D1296" i="2" a="1"/>
  <c r="D2216" i="2" a="1"/>
  <c r="D1171" i="2" a="1"/>
  <c r="D1616" i="2" a="1"/>
  <c r="D436" i="2" a="1"/>
  <c r="D348" i="2" a="1"/>
  <c r="D961" i="2" a="1"/>
  <c r="A182" i="2" a="1"/>
  <c r="D388" i="2" a="1"/>
  <c r="D1001" i="2" a="1"/>
  <c r="D329" i="2" a="1"/>
  <c r="D744" i="2" a="1"/>
  <c r="D741" i="2" a="1"/>
  <c r="A1400" i="2" a="1"/>
  <c r="D1156" i="2" a="1"/>
  <c r="D1903" i="2" a="1"/>
  <c r="D39" i="2" a="1"/>
  <c r="D857" i="2" a="1"/>
  <c r="D1812" i="2" a="1"/>
  <c r="D1041" i="2" a="1"/>
  <c r="D1789" i="2" a="1"/>
  <c r="D1292" i="2" a="1"/>
  <c r="D718" i="2" a="1"/>
  <c r="D1012" i="2" a="1"/>
  <c r="D2340" i="2" a="1"/>
  <c r="D91" i="2" a="1"/>
  <c r="D1182" i="2" a="1"/>
  <c r="D1645" i="2" a="1"/>
  <c r="D1502" i="2" a="1"/>
  <c r="D1968" i="2" a="1"/>
  <c r="D2078" i="2" a="1"/>
  <c r="D976" i="2" a="1"/>
  <c r="D1792" i="2" a="1"/>
  <c r="D2017" i="2" a="1"/>
  <c r="D1782" i="2" a="1"/>
  <c r="D1740" i="2" a="1"/>
  <c r="D2091" i="2" a="1"/>
  <c r="D964" i="2" a="1"/>
  <c r="D2084" i="2" a="1"/>
  <c r="M2" i="5" a="1"/>
  <c r="D1239" i="2" a="1"/>
  <c r="D2000" i="2" a="1"/>
  <c r="D1065" i="2" a="1"/>
  <c r="D2213" i="2" a="1"/>
  <c r="D952" i="2" a="1"/>
  <c r="D455" i="2" a="1"/>
  <c r="D1825" i="2" a="1"/>
  <c r="D1428" i="2" a="1"/>
  <c r="D1869" i="2" a="1"/>
  <c r="D2151" i="2" a="1"/>
  <c r="D197" i="2" a="1"/>
  <c r="D1488" i="2" a="1"/>
  <c r="D299" i="2" a="1"/>
  <c r="D1015" i="2" a="1"/>
  <c r="D1982" i="2" a="1"/>
  <c r="D1441" i="2" a="1"/>
  <c r="D483" i="2" a="1"/>
  <c r="D2366" i="2" a="1"/>
  <c r="D2271" i="2" a="1"/>
  <c r="D1747" i="2" a="1"/>
  <c r="D851" i="2" a="1"/>
  <c r="D1896" i="2" a="1"/>
  <c r="D2051" i="2" a="1"/>
  <c r="D1430" i="2" a="1"/>
  <c r="D1399" i="2" a="1"/>
  <c r="D1911" i="2" a="1"/>
  <c r="D1647" i="2" a="1"/>
  <c r="D79" i="2" a="1"/>
  <c r="D1867" i="2" a="1"/>
  <c r="D94" i="2" a="1"/>
  <c r="D221" i="2" a="1"/>
  <c r="D2247" i="2" a="1"/>
  <c r="D1783" i="2" a="1"/>
  <c r="D1543" i="2" a="1"/>
  <c r="D856" i="2" a="1"/>
  <c r="D1451" i="2" a="1"/>
  <c r="D1030" i="2" a="1"/>
  <c r="D109" i="2" a="1"/>
  <c r="D576" i="2" a="1"/>
  <c r="D1704" i="2" a="1"/>
  <c r="D1832" i="2" a="1"/>
  <c r="D2243" i="2" a="1"/>
  <c r="D1786" i="2" a="1"/>
  <c r="A1518" i="2" a="1"/>
  <c r="D253" i="2" a="1"/>
  <c r="D406" i="2" a="1"/>
  <c r="D917" i="2" a="1"/>
  <c r="D588" i="2" a="1"/>
  <c r="D252" i="2" a="1"/>
  <c r="D173" i="2" a="1"/>
  <c r="D1429" i="2" a="1"/>
  <c r="D2029" i="2" a="1"/>
  <c r="A2212" i="2" a="1"/>
  <c r="D587" i="2" a="1"/>
  <c r="A1250" i="4" a="1"/>
  <c r="A1427" i="4" a="1"/>
  <c r="A447" i="4" a="1"/>
  <c r="A10" i="4" a="1"/>
  <c r="A192" i="4" a="1"/>
  <c r="D232" i="4" a="1"/>
  <c r="D146" i="4" a="1"/>
  <c r="D69" i="4" a="1"/>
  <c r="B31" i="3" a="1"/>
  <c r="A57" i="2" a="1"/>
  <c r="A324" i="2" a="1"/>
  <c r="A677" i="2" a="1"/>
  <c r="A212" i="2" a="1"/>
  <c r="A25" i="2" a="1"/>
  <c r="A156" i="2" a="1"/>
  <c r="A1348" i="2" a="1"/>
  <c r="A687" i="2" a="1"/>
  <c r="A1522" i="2" a="1"/>
  <c r="A1475" i="2" a="1"/>
  <c r="A315" i="2" a="1"/>
  <c r="A289" i="2" a="1"/>
  <c r="A676" i="2" a="1"/>
  <c r="A2170" i="2" a="1"/>
  <c r="A1202" i="2" a="1"/>
  <c r="A2111" i="2" a="1"/>
  <c r="A835" i="2" a="1"/>
  <c r="A508" i="2" a="1"/>
  <c r="A499" i="2" a="1"/>
  <c r="A511" i="2" a="1"/>
  <c r="A1547" i="2" a="1"/>
  <c r="A2058" i="2" a="1"/>
  <c r="A1262" i="2" a="1"/>
  <c r="A649" i="2" a="1"/>
  <c r="A1059" i="2" a="1"/>
  <c r="A2077" i="2" a="1"/>
  <c r="A2360" i="2" a="1"/>
  <c r="A1648" i="2" a="1"/>
  <c r="A1992" i="2" a="1"/>
  <c r="A1109" i="2" a="1"/>
  <c r="A1452" i="2" a="1"/>
  <c r="A1484" i="2" a="1"/>
  <c r="A2258" i="2" a="1"/>
  <c r="A1905" i="2" a="1"/>
  <c r="A2277" i="2" a="1"/>
  <c r="A1855" i="2" a="1"/>
  <c r="A1035" i="2" a="1"/>
  <c r="A791" i="2" a="1"/>
  <c r="A2293" i="2" a="1"/>
  <c r="A1254" i="2" a="1"/>
  <c r="A2352" i="2" a="1"/>
  <c r="A497" i="2" a="1"/>
  <c r="A680" i="2" a="1"/>
  <c r="A137" i="2" a="1"/>
  <c r="A2237" i="2" a="1"/>
  <c r="A1730" i="2" a="1"/>
  <c r="A2194" i="2" a="1"/>
  <c r="A1504" i="2" a="1"/>
  <c r="A2295" i="2" a="1"/>
  <c r="A1807" i="2" a="1"/>
  <c r="A2313" i="2" a="1"/>
  <c r="A827" i="2" a="1"/>
  <c r="A1629" i="2" a="1"/>
  <c r="A2337" i="2" a="1"/>
  <c r="A882" i="4" a="1"/>
  <c r="A868" i="4" a="1"/>
  <c r="A2181" i="4" a="1"/>
  <c r="A175" i="4" a="1"/>
  <c r="A542" i="4" a="1"/>
  <c r="K2" i="5" a="1"/>
  <c r="D135" i="4" a="1"/>
  <c r="D129" i="4" a="1"/>
  <c r="D439" i="4" a="1"/>
  <c r="A1094" i="2" a="1"/>
  <c r="A804" i="2" a="1"/>
  <c r="A1662" i="2" a="1"/>
  <c r="A890" i="2" a="1"/>
  <c r="A505" i="2" a="1"/>
  <c r="A396" i="2" a="1"/>
  <c r="A2130" i="2" a="1"/>
  <c r="A197" i="2" a="1"/>
  <c r="A93" i="2" a="1"/>
  <c r="A1245" i="2" a="1"/>
  <c r="A555" i="2" a="1"/>
  <c r="A1429" i="2" a="1"/>
  <c r="A451" i="2" a="1"/>
  <c r="A409" i="2" a="1"/>
  <c r="A652" i="2" a="1"/>
  <c r="A1729" i="2" a="1"/>
  <c r="A482" i="2" a="1"/>
  <c r="A1957" i="2" a="1"/>
  <c r="A1139" i="2" a="1"/>
  <c r="A2043" i="2" a="1"/>
  <c r="A1185" i="2" a="1"/>
  <c r="A1843" i="2" a="1"/>
  <c r="A980" i="2" a="1"/>
  <c r="A1877" i="2" a="1"/>
  <c r="A870" i="2" a="1"/>
  <c r="A1606" i="2" a="1"/>
  <c r="A897" i="2" a="1"/>
  <c r="A2034" i="2" a="1"/>
  <c r="A1435" i="2" a="1"/>
  <c r="A2048" i="2" a="1"/>
  <c r="A1535" i="2" a="1"/>
  <c r="A1509" i="2" a="1"/>
  <c r="A1551" i="2" a="1"/>
  <c r="A2347" i="2" a="1"/>
  <c r="A997" i="2" a="1"/>
  <c r="A1086" i="2" a="1"/>
  <c r="A1858" i="2" a="1"/>
  <c r="A1244" i="2" a="1"/>
  <c r="A1907" i="2" a="1"/>
  <c r="A300" i="2" a="1"/>
  <c r="A628" i="2" a="1"/>
  <c r="A350" i="2" a="1"/>
  <c r="A1276" i="2" a="1"/>
  <c r="A1282" i="2" a="1"/>
  <c r="A1310" i="2" a="1"/>
  <c r="A1490" i="2" a="1"/>
  <c r="A1468" i="2" a="1"/>
  <c r="A2120" i="2" a="1"/>
  <c r="A1419" i="2" a="1"/>
  <c r="A2241" i="2" a="1"/>
  <c r="A1028" i="2" a="1"/>
  <c r="A2200" i="2" a="1"/>
  <c r="A1467" i="2" a="1"/>
  <c r="A1612" i="2" a="1"/>
  <c r="A1773" i="2" a="1"/>
  <c r="A1571" i="2" a="1"/>
  <c r="A2365" i="2" a="1"/>
  <c r="A960" i="2" a="1"/>
  <c r="A1272" i="2" a="1"/>
  <c r="A1840" i="2" a="1"/>
  <c r="A1984" i="2" a="1"/>
  <c r="A1702" i="2" a="1"/>
  <c r="D493" i="2" a="1"/>
  <c r="D622" i="2" a="1"/>
  <c r="D841" i="4" a="1"/>
  <c r="A1662" i="4" a="1"/>
  <c r="A1580" i="4" a="1"/>
  <c r="A1397" i="4" a="1"/>
  <c r="C12" i="3" a="1"/>
  <c r="D480" i="4" a="1"/>
  <c r="D62" i="4" a="1"/>
  <c r="D533" i="4" a="1"/>
  <c r="D259" i="4" a="1"/>
  <c r="A1607" i="2" a="1"/>
  <c r="A559" i="2" a="1"/>
  <c r="A849" i="2" a="1"/>
  <c r="A604" i="2" a="1"/>
  <c r="A251" i="2" a="1"/>
  <c r="A636" i="2" a="1"/>
  <c r="A1739" i="2" a="1"/>
  <c r="A1025" i="2" a="1"/>
  <c r="A333" i="2" a="1"/>
  <c r="A860" i="2" a="1"/>
  <c r="A795" i="2" a="1"/>
  <c r="A1040" i="2" a="1"/>
  <c r="A377" i="2" a="1"/>
  <c r="A1785" i="2" a="1"/>
  <c r="A579" i="2" a="1"/>
  <c r="A133" i="2" a="1"/>
  <c r="A889" i="2" a="1"/>
  <c r="A1298" i="2" a="1"/>
  <c r="A1079" i="2" a="1"/>
  <c r="A2027" i="2" a="1"/>
  <c r="A1126" i="2" a="1"/>
  <c r="A1037" i="2" a="1"/>
  <c r="A612" i="2" a="1"/>
  <c r="A1196" i="2" a="1"/>
  <c r="A2001" i="2" a="1"/>
  <c r="A2342" i="2" a="1"/>
  <c r="A2011" i="2" a="1"/>
  <c r="A1288" i="2" a="1"/>
  <c r="A32" i="2" a="1"/>
  <c r="A1315" i="2" a="1"/>
  <c r="A667" i="2" a="1"/>
  <c r="A1745" i="2" a="1"/>
  <c r="A819" i="2" a="1"/>
  <c r="A1481" i="2" a="1"/>
  <c r="A2112" i="2" a="1"/>
  <c r="A1593" i="2" a="1"/>
  <c r="A510" i="2" a="1"/>
  <c r="A788" i="2" a="1"/>
  <c r="A641" i="2" a="1"/>
  <c r="A1600" i="2" a="1"/>
  <c r="A2066" i="2" a="1"/>
  <c r="A1610" i="2" a="1"/>
  <c r="A2136" i="2" a="1"/>
  <c r="A2100" i="2" a="1"/>
  <c r="A2165" i="2" a="1"/>
  <c r="A2171" i="2" a="1"/>
  <c r="A372" i="2" a="1"/>
  <c r="A1584" i="2" a="1"/>
  <c r="A2238" i="2" a="1"/>
  <c r="A1678" i="2" a="1"/>
  <c r="A2047" i="2" a="1"/>
  <c r="A1715" i="2" a="1"/>
  <c r="A2297" i="2" a="1"/>
  <c r="A2261" i="2" a="1"/>
  <c r="A1188" i="2" a="1"/>
  <c r="A2220" i="2" a="1"/>
  <c r="A2326" i="2" a="1"/>
  <c r="A403" i="2" a="1"/>
  <c r="A1749" i="2" a="1"/>
  <c r="A1902" i="2" a="1"/>
  <c r="A218" i="2" a="1"/>
  <c r="A1949" i="2" a="1"/>
  <c r="D733" i="2" a="1"/>
  <c r="D209" i="2" a="1"/>
  <c r="A2323" i="4" a="1"/>
  <c r="A2283" i="4" a="1"/>
  <c r="A1534" i="4" a="1"/>
  <c r="A235" i="4" a="1"/>
  <c r="A154" i="4" a="1"/>
  <c r="D565" i="4" a="1"/>
  <c r="D455" i="4" a="1"/>
  <c r="D330" i="4" a="1"/>
  <c r="I2" i="5" a="1"/>
  <c r="A92" i="2" a="1"/>
  <c r="A760" i="2" a="1"/>
  <c r="A243" i="2" a="1"/>
  <c r="A715" i="2" a="1"/>
  <c r="A177" i="2" a="1"/>
  <c r="A81" i="2" a="1"/>
  <c r="A2301" i="2" a="1"/>
  <c r="A340" i="2" a="1"/>
  <c r="A573" i="2" a="1"/>
  <c r="A227" i="2" a="1"/>
  <c r="A186" i="2" a="1"/>
  <c r="A1586" i="2" a="1"/>
  <c r="A1192" i="2" a="1"/>
  <c r="A1207" i="2" a="1"/>
  <c r="A1014" i="2" a="1"/>
  <c r="A613" i="2" a="1"/>
  <c r="A60" i="2" a="1"/>
  <c r="A2278" i="2" a="1"/>
  <c r="A751" i="2" a="1"/>
  <c r="A1525" i="2" a="1"/>
  <c r="A1361" i="2" a="1"/>
  <c r="A371" i="2" a="1"/>
  <c r="A1880" i="2" a="1"/>
  <c r="A1826" i="2" a="1"/>
  <c r="A1096" i="2" a="1"/>
  <c r="A1865" i="2" a="1"/>
  <c r="A491" i="2" a="1"/>
  <c r="A1503" i="2" a="1"/>
  <c r="A1738" i="2" a="1"/>
  <c r="A2256" i="2" a="1"/>
  <c r="A1297" i="2" a="1"/>
  <c r="A2019" i="2" a="1"/>
  <c r="A1886" i="2" a="1"/>
  <c r="A706" i="2" a="1"/>
  <c r="A1434" i="2" a="1"/>
  <c r="A494" i="2" a="1"/>
  <c r="A1409" i="2" a="1"/>
  <c r="A1687" i="2" a="1"/>
  <c r="A2088" i="2" a="1"/>
  <c r="A1664" i="2" a="1"/>
  <c r="A1338" i="2" a="1"/>
  <c r="A1708" i="2" a="1"/>
  <c r="A2354" i="2" a="1"/>
  <c r="A1460" i="2" a="1"/>
  <c r="A1362" i="2" a="1"/>
  <c r="A1651" i="2" a="1"/>
  <c r="A1997" i="2" a="1"/>
  <c r="A1559" i="2" a="1"/>
  <c r="A1562" i="2" a="1"/>
  <c r="A1862" i="2" a="1"/>
  <c r="A1395" i="2" a="1"/>
  <c r="A1599" i="2" a="1"/>
  <c r="A1067" i="2" a="1"/>
  <c r="A1797" i="2" a="1"/>
  <c r="A2123" i="2" a="1"/>
  <c r="A1818" i="2" a="1"/>
  <c r="A1220" i="2" a="1"/>
  <c r="A1174" i="2" a="1"/>
  <c r="A528" i="2" a="1"/>
  <c r="A488" i="2" a="1"/>
  <c r="A2364" i="2" a="1"/>
  <c r="A1978" i="2" a="1"/>
  <c r="D114" i="2" a="1"/>
  <c r="D873" i="2" a="1"/>
  <c r="D624" i="4" a="1"/>
  <c r="A1468" i="4" a="1"/>
  <c r="A83" i="4" a="1"/>
  <c r="D784" i="4" a="1"/>
  <c r="D853" i="4" a="1"/>
  <c r="D22" i="4" a="1"/>
  <c r="D545" i="4" a="1"/>
  <c r="D554" i="4" a="1"/>
  <c r="A173" i="2" a="1"/>
  <c r="A1258" i="2" a="1"/>
  <c r="A1062" i="2" a="1"/>
  <c r="A483" i="2" a="1"/>
  <c r="A106" i="2" a="1"/>
  <c r="A408" i="2" a="1"/>
  <c r="A1101" i="2" a="1"/>
  <c r="A1300" i="2" a="1"/>
  <c r="A857" i="2" a="1"/>
  <c r="A813" i="2" a="1"/>
  <c r="A1389" i="2" a="1"/>
  <c r="A426" i="2" a="1"/>
  <c r="A399" i="2" a="1"/>
  <c r="A608" i="2" a="1"/>
  <c r="A1861" i="2" a="1"/>
  <c r="A500" i="2" a="1"/>
  <c r="A853" i="2" a="1"/>
  <c r="A1422" i="2" a="1"/>
  <c r="A1732" i="2" a="1"/>
  <c r="A1195" i="2" a="1"/>
  <c r="A431" i="2" a="1"/>
  <c r="A780" i="2" a="1"/>
  <c r="A2028" i="2" a="1"/>
  <c r="A2340" i="2" a="1"/>
  <c r="A458" i="2" a="1"/>
  <c r="A1972" i="2" a="1"/>
  <c r="A1033" i="2" a="1"/>
  <c r="A1120" i="2" a="1"/>
  <c r="A478" i="2" a="1"/>
  <c r="A2234" i="2" a="1"/>
  <c r="A1526" i="2" a="1"/>
  <c r="A2233" i="2" a="1"/>
  <c r="A1039" i="2" a="1"/>
  <c r="A1326" i="2" a="1"/>
  <c r="A730" i="2" a="1"/>
  <c r="A2218" i="2" a="1"/>
  <c r="A716" i="2" a="1"/>
  <c r="A2279" i="2" a="1"/>
  <c r="A448" i="2" a="1"/>
  <c r="A1464" i="2" a="1"/>
  <c r="A1483" i="2" a="1"/>
  <c r="A2193" i="2" a="1"/>
  <c r="A1675" i="2" a="1"/>
  <c r="A1896" i="2" a="1"/>
  <c r="A1414" i="2" a="1"/>
  <c r="A77" i="2" a="1"/>
  <c r="A1831" i="2" a="1"/>
  <c r="A1107" i="2" a="1"/>
  <c r="A2181" i="2" a="1"/>
  <c r="A2014" i="2" a="1"/>
  <c r="A310" i="2" a="1"/>
  <c r="A2285" i="2" a="1"/>
  <c r="A2251" i="2" a="1"/>
  <c r="A1448" i="2" a="1"/>
  <c r="A1882" i="2" a="1"/>
  <c r="A1523" i="2" a="1"/>
  <c r="A1663" i="2" a="1"/>
  <c r="A1758" i="2" a="1"/>
  <c r="A1901" i="2" a="1"/>
  <c r="A1006" i="2" a="1"/>
  <c r="A1556" i="2" a="1"/>
  <c r="A2366" i="2" a="1"/>
  <c r="A2009" i="2" a="1"/>
  <c r="D354" i="2" a="1"/>
  <c r="D33" i="2" a="1"/>
  <c r="A207" i="4" a="1"/>
  <c r="D770" i="4" a="1"/>
  <c r="A588" i="4" a="1"/>
  <c r="A398" i="4" a="1"/>
  <c r="A151" i="4" a="1"/>
  <c r="D479" i="4" a="1"/>
  <c r="D98" i="4" a="1"/>
  <c r="D128" i="4" a="1"/>
  <c r="A256" i="2" a="1"/>
  <c r="A1159" i="2" a="1"/>
  <c r="A131" i="2" a="1"/>
  <c r="A215" i="2" a="1"/>
  <c r="A129" i="2" a="1"/>
  <c r="A362" i="2" a="1"/>
  <c r="A312" i="2" a="1"/>
  <c r="A83" i="2" a="1"/>
  <c r="A1454" i="2" a="1"/>
  <c r="A434" i="2" a="1"/>
  <c r="A1020" i="2" a="1"/>
  <c r="A666" i="2" a="1"/>
  <c r="A311" i="2" a="1"/>
  <c r="A562" i="2" a="1"/>
  <c r="A2101" i="2" a="1"/>
  <c r="A809" i="2" a="1"/>
  <c r="A234" i="2" a="1"/>
  <c r="A1125" i="2" a="1"/>
  <c r="A2026" i="2" a="1"/>
  <c r="A781" i="2" a="1"/>
  <c r="A1825" i="2" a="1"/>
  <c r="A885" i="2" a="1"/>
  <c r="A1494" i="2" a="1"/>
  <c r="A802" i="2" a="1"/>
  <c r="A1582" i="2" a="1"/>
  <c r="A1393" i="2" a="1"/>
  <c r="A2015" i="2" a="1"/>
  <c r="A1410" i="2" a="1"/>
  <c r="A927" i="2" a="1"/>
  <c r="A1515" i="2" a="1"/>
  <c r="A1197" i="2" a="1"/>
  <c r="A910" i="2" a="1"/>
  <c r="A2203" i="2" a="1"/>
  <c r="A953" i="2" a="1"/>
  <c r="A985" i="2" a="1"/>
  <c r="A1767" i="2" a="1"/>
  <c r="A1130" i="2" a="1"/>
  <c r="A172" i="2" a="1"/>
  <c r="A62" i="2" a="1"/>
  <c r="A470" i="2" a="1"/>
  <c r="A1247" i="2" a="1"/>
  <c r="A1219" i="2" a="1"/>
  <c r="A1265" i="2" a="1"/>
  <c r="A940" i="2" a="1"/>
  <c r="A2161" i="2" a="1"/>
  <c r="A1030" i="2" a="1"/>
  <c r="A31" i="2" a="1"/>
  <c r="A2226" i="2" a="1"/>
  <c r="A1665" i="2" a="1"/>
  <c r="A2255" i="2" a="1"/>
  <c r="A1769" i="2" a="1"/>
  <c r="A1652" i="2" a="1"/>
  <c r="A1691" i="2" a="1"/>
  <c r="A1883" i="2" a="1"/>
  <c r="A551" i="2" a="1"/>
  <c r="A2355" i="2" a="1"/>
  <c r="A2271" i="2" a="1"/>
  <c r="A467" i="2" a="1"/>
  <c r="A1055" i="2" a="1"/>
  <c r="A529" i="2" a="1"/>
  <c r="A1581" i="2" a="1"/>
  <c r="A2065" i="2" a="1"/>
  <c r="A1929" i="2" a="1"/>
  <c r="D594" i="2" a="1"/>
  <c r="D513" i="2" a="1"/>
  <c r="D505" i="2" a="1"/>
  <c r="D690" i="2" a="1"/>
  <c r="D1661" i="2" a="1"/>
  <c r="D630" i="2" a="1"/>
  <c r="D601" i="2" a="1"/>
  <c r="D339" i="2" a="1"/>
  <c r="D1674" i="2" a="1"/>
  <c r="D535" i="2" a="1"/>
  <c r="D860" i="2" a="1"/>
  <c r="D1707" i="2" a="1"/>
  <c r="D1173" i="2" a="1"/>
  <c r="D970" i="2" a="1"/>
  <c r="D941" i="2" a="1"/>
  <c r="D222" i="2" a="1"/>
  <c r="D603" i="2" a="1"/>
  <c r="D835" i="2" a="1"/>
  <c r="D322" i="2" a="1"/>
  <c r="D1003" i="2" a="1"/>
  <c r="D1633" i="2" a="1"/>
  <c r="D589" i="2" a="1"/>
  <c r="D1790" i="2" a="1"/>
  <c r="D514" i="2" a="1"/>
  <c r="D602" i="2" a="1"/>
  <c r="D2310" i="2" a="1"/>
  <c r="D9" i="2" a="1"/>
  <c r="D1810" i="2" a="1"/>
  <c r="D193" i="2" a="1"/>
  <c r="D1043" i="2" a="1"/>
  <c r="D652" i="2" a="1"/>
  <c r="D683" i="2" a="1"/>
  <c r="D412" i="2" a="1"/>
  <c r="D924" i="2" a="1"/>
  <c r="D314" i="2" a="1"/>
  <c r="D1071" i="2" a="1"/>
  <c r="D982" i="2" a="1"/>
  <c r="D370" i="2" a="1"/>
  <c r="D1144" i="2" a="1"/>
  <c r="D1514" i="2" a="1"/>
  <c r="D1081" i="2" a="1"/>
  <c r="D1719" i="2" a="1"/>
  <c r="D850" i="2" a="1"/>
  <c r="D1883" i="2" a="1"/>
  <c r="D904" i="2" a="1"/>
  <c r="D319" i="2" a="1"/>
  <c r="D279" i="2" a="1"/>
  <c r="D1362" i="2" a="1"/>
  <c r="D2010" i="2" a="1"/>
  <c r="D996" i="2" a="1"/>
  <c r="D1686" i="2" a="1"/>
  <c r="D531" i="2" a="1"/>
  <c r="D1876" i="2" a="1"/>
  <c r="D1415" i="2" a="1"/>
  <c r="D1472" i="2" a="1"/>
  <c r="D99" i="2" a="1"/>
  <c r="D963" i="2" a="1"/>
  <c r="D350" i="2" a="1"/>
  <c r="D1355" i="2" a="1"/>
  <c r="D1080" i="2" a="1"/>
  <c r="D270" i="2" a="1"/>
  <c r="D451" i="2" a="1"/>
  <c r="D1315" i="2" a="1"/>
  <c r="D949" i="2" a="1"/>
  <c r="D1299" i="2" a="1"/>
  <c r="D1509" i="2" a="1"/>
  <c r="D1116" i="2" a="1"/>
  <c r="D2113" i="2" a="1"/>
  <c r="D2015" i="2" a="1"/>
  <c r="D2036" i="2" a="1"/>
  <c r="D1074" i="2" a="1"/>
  <c r="D1614" i="2" a="1"/>
  <c r="D1642" i="2" a="1"/>
  <c r="D1969" i="2" a="1"/>
  <c r="D2302" i="2" a="1"/>
  <c r="D2172" i="2" a="1"/>
  <c r="D171" i="2" a="1"/>
  <c r="D2227" i="2" a="1"/>
  <c r="D2110" i="2" a="1"/>
  <c r="D1226" i="2" a="1"/>
  <c r="D1520" i="2" a="1"/>
  <c r="D1203" i="2" a="1"/>
  <c r="D1545" i="2" a="1"/>
  <c r="D2255" i="2" a="1"/>
  <c r="D1039" i="2" a="1"/>
  <c r="D237" i="2" a="1"/>
  <c r="D2032" i="2" a="1"/>
  <c r="D369" i="2" a="1"/>
  <c r="D897" i="2" a="1"/>
  <c r="D929" i="2" a="1"/>
  <c r="D1937" i="2" a="1"/>
  <c r="D2114" i="2" a="1"/>
  <c r="D1845" i="2" a="1"/>
  <c r="A1109" i="4" a="1"/>
  <c r="A943" i="4" a="1"/>
  <c r="A377" i="4" a="1"/>
  <c r="A1030" i="4" a="1"/>
  <c r="A1062" i="4" a="1"/>
  <c r="D385" i="4" a="1"/>
  <c r="D444" i="4" a="1"/>
  <c r="A500" i="4" a="1"/>
  <c r="A1012" i="2" a="1"/>
  <c r="A1611" i="2" a="1"/>
  <c r="A1324" i="2" a="1"/>
  <c r="A86" i="2" a="1"/>
  <c r="A1102" i="2" a="1"/>
  <c r="A63" i="2" a="1"/>
  <c r="A912" i="2" a="1"/>
  <c r="A323" i="2" a="1"/>
  <c r="A1727" i="2" a="1"/>
  <c r="A65" i="2" a="1"/>
  <c r="A1575" i="2" a="1"/>
  <c r="A159" i="2" a="1"/>
  <c r="A1920" i="2" a="1"/>
  <c r="A1004" i="2" a="1"/>
  <c r="A2341" i="2" a="1"/>
  <c r="A1105" i="2" a="1"/>
  <c r="A474" i="2" a="1"/>
  <c r="A1047" i="2" a="1"/>
  <c r="A1479" i="2" a="1"/>
  <c r="A1069" i="2" a="1"/>
  <c r="A959" i="2" a="1"/>
  <c r="A1870" i="2" a="1"/>
  <c r="A2314" i="2" a="1"/>
  <c r="A1941" i="2" a="1"/>
  <c r="A1832" i="2" a="1"/>
  <c r="A2044" i="2" a="1"/>
  <c r="A1257" i="2" a="1"/>
  <c r="A1603" i="2" a="1"/>
  <c r="A181" i="2" a="1"/>
  <c r="A610" i="2" a="1"/>
  <c r="A1935" i="2" a="1"/>
  <c r="A2035" i="2" a="1"/>
  <c r="A2345" i="2" a="1"/>
  <c r="A1381" i="2" a="1"/>
  <c r="A691" i="2" a="1"/>
  <c r="A428" i="2" a="1"/>
  <c r="A1677" i="2" a="1"/>
  <c r="A1968" i="2" a="1"/>
  <c r="A1590" i="2" a="1"/>
  <c r="A1305" i="2" a="1"/>
  <c r="A2080" i="2" a="1"/>
  <c r="A2119" i="2" a="1"/>
  <c r="A1428" i="2" a="1"/>
  <c r="A2153" i="2" a="1"/>
  <c r="A1638" i="2" a="1"/>
  <c r="A1500" i="2" a="1"/>
  <c r="A1706" i="2" a="1"/>
  <c r="A1543" i="2" a="1"/>
  <c r="A1852" i="2" a="1"/>
  <c r="A758" i="2" a="1"/>
  <c r="A955" i="2" a="1"/>
  <c r="A2343" i="2" a="1"/>
  <c r="A1872" i="2" a="1"/>
  <c r="A1005" i="2" a="1"/>
  <c r="A1869" i="2" a="1"/>
  <c r="A1736" i="2" a="1"/>
  <c r="A1808" i="2" a="1"/>
  <c r="A1967" i="2" a="1"/>
  <c r="A1875" i="2" a="1"/>
  <c r="A866" i="2" a="1"/>
  <c r="A2332" i="2" a="1"/>
  <c r="A2188" i="2" a="1"/>
  <c r="A1322" i="2" a="1"/>
  <c r="D834" i="2" a="1"/>
  <c r="D134" i="2" a="1"/>
  <c r="D745" i="2" a="1"/>
  <c r="D297" i="2" a="1"/>
  <c r="D2180" i="2" a="1"/>
  <c r="D728" i="2" a="1"/>
  <c r="D1837" i="2" a="1"/>
  <c r="D911" i="2" a="1"/>
  <c r="D1930" i="2" a="1"/>
  <c r="D775" i="2" a="1"/>
  <c r="D649" i="2" a="1"/>
  <c r="D2210" i="2" a="1"/>
  <c r="D112" i="2" a="1"/>
  <c r="D1891" i="2" a="1"/>
  <c r="D1181" i="2" a="1"/>
  <c r="D872" i="2" a="1"/>
  <c r="D224" i="2" a="1"/>
  <c r="D236" i="2" a="1"/>
  <c r="D912" i="2" a="1"/>
  <c r="D1243" i="2" a="1"/>
  <c r="D2175" i="2" a="1"/>
  <c r="D1011" i="2" a="1"/>
  <c r="D681" i="2" a="1"/>
  <c r="D754" i="2" a="1"/>
  <c r="D830" i="2" a="1"/>
  <c r="A1450" i="2" a="1"/>
  <c r="D609" i="2" a="1"/>
  <c r="D807" i="2" a="1"/>
  <c r="D433" i="2" a="1"/>
  <c r="D1283" i="2" a="1"/>
  <c r="D1482" i="2" a="1"/>
  <c r="D64" i="2" a="1"/>
  <c r="D946" i="2" a="1"/>
  <c r="D1559" i="2" a="1"/>
  <c r="D554" i="2" a="1"/>
  <c r="D159" i="2" a="1"/>
  <c r="D2240" i="2" a="1"/>
  <c r="D1557" i="2" a="1"/>
  <c r="D2016" i="2" a="1"/>
  <c r="D1908" i="2" a="1"/>
  <c r="D191" i="2" a="1"/>
  <c r="D955" i="2" a="1"/>
  <c r="D2163" i="2" a="1"/>
  <c r="D1058" i="2" a="1"/>
  <c r="D597" i="2" a="1"/>
  <c r="D1078" i="2" a="1"/>
  <c r="D2158" i="2" a="1"/>
  <c r="D2280" i="2" a="1"/>
  <c r="D2161" i="2" a="1"/>
  <c r="D31" i="2" a="1"/>
  <c r="D379" i="2" a="1"/>
  <c r="D2042" i="2" a="1"/>
  <c r="D1375" i="2" a="1"/>
  <c r="D2322" i="2" a="1"/>
  <c r="D1629" i="2" a="1"/>
  <c r="D1269" i="2" a="1"/>
  <c r="D212" i="2" a="1"/>
  <c r="D2014" i="2" a="1"/>
  <c r="D2043" i="2" a="1"/>
  <c r="D2211" i="2" a="1"/>
  <c r="D2137" i="2" a="1"/>
  <c r="D1653" i="2" a="1"/>
  <c r="D1929" i="2" a="1"/>
  <c r="D2212" i="2" a="1"/>
  <c r="D2058" i="2" a="1"/>
  <c r="D1793" i="2" a="1"/>
  <c r="D331" i="2" a="1"/>
  <c r="D1095" i="2" a="1"/>
  <c r="D2119" i="2" a="1"/>
  <c r="D703" i="2" a="1"/>
  <c r="D1270" i="2" a="1"/>
  <c r="D721" i="2" a="1"/>
  <c r="D1546" i="2" a="1"/>
  <c r="D1393" i="2" a="1"/>
  <c r="D1599" i="2" a="1"/>
  <c r="D2262" i="2" a="1"/>
  <c r="D290" i="2" a="1"/>
  <c r="D1976" i="2" a="1"/>
  <c r="D1297" i="2" a="1"/>
  <c r="D211" i="2" a="1"/>
  <c r="D1154" i="2" a="1"/>
  <c r="D787" i="2" a="1"/>
  <c r="D1325" i="2" a="1"/>
  <c r="D2008" i="2" a="1"/>
  <c r="D170" i="2" a="1"/>
  <c r="D2001" i="2" a="1"/>
  <c r="D2116" i="2" a="1"/>
  <c r="D944" i="2" a="1"/>
  <c r="D1580" i="2" a="1"/>
  <c r="D1861" i="2" a="1"/>
  <c r="D1846" i="2" a="1"/>
  <c r="D2131" i="2" a="1"/>
  <c r="D1322" i="2" a="1"/>
  <c r="D2284" i="2" a="1"/>
  <c r="D738" i="2" a="1"/>
  <c r="D1491" i="2" a="1"/>
  <c r="D680" i="2" a="1"/>
  <c r="D100" i="2" a="1"/>
  <c r="D1246" i="2" a="1"/>
  <c r="D2297" i="2" a="1"/>
  <c r="D1541" i="2" a="1"/>
  <c r="D564" i="2" a="1"/>
  <c r="D1184" i="2" a="1"/>
  <c r="D1118" i="2" a="1"/>
  <c r="D1912" i="2" a="1"/>
  <c r="D1042" i="2" a="1"/>
  <c r="D909" i="2" a="1"/>
  <c r="D1389" i="2" a="1"/>
  <c r="D959" i="2" a="1"/>
  <c r="D2162" i="2" a="1"/>
  <c r="D1643" i="2" a="1"/>
  <c r="A1906" i="2" a="1"/>
  <c r="D318" i="2" a="1"/>
  <c r="D1460" i="2" a="1"/>
  <c r="D284" i="2" a="1"/>
  <c r="D425" i="2" a="1"/>
  <c r="D1640" i="2" a="1"/>
  <c r="A1517" i="4" a="1"/>
  <c r="A1548" i="4" a="1"/>
  <c r="A1581" i="4" a="1"/>
  <c r="A422" i="4" a="1"/>
  <c r="A77" i="4" a="1"/>
  <c r="D502" i="4" a="1"/>
  <c r="D273" i="4" a="1"/>
  <c r="D158" i="4" a="1"/>
  <c r="A1064" i="2" a="1"/>
  <c r="A2260" i="2" a="1"/>
  <c r="A1301" i="2" a="1"/>
  <c r="A566" i="2" a="1"/>
  <c r="A257" i="2" a="1"/>
  <c r="A783" i="2" a="1"/>
  <c r="A1152" i="2" a="1"/>
  <c r="A563" i="2" a="1"/>
  <c r="A1267" i="2" a="1"/>
  <c r="A176" i="2" a="1"/>
  <c r="A328" i="2" a="1"/>
  <c r="A891" i="2" a="1"/>
  <c r="A1164" i="2" a="1"/>
  <c r="A459" i="2" a="1"/>
  <c r="A1477" i="2" a="1"/>
  <c r="A139" i="2" a="1"/>
  <c r="A714" i="2" a="1"/>
  <c r="A1203" i="2" a="1"/>
  <c r="A1713" i="2" a="1"/>
  <c r="A1860" i="2" a="1"/>
  <c r="A1734" i="2" a="1"/>
  <c r="A200" i="2" a="1"/>
  <c r="A1812" i="2" a="1"/>
  <c r="A368" i="2" a="1"/>
  <c r="A2183" i="2" a="1"/>
  <c r="A1583" i="2" a="1"/>
  <c r="A2198" i="2" a="1"/>
  <c r="A1772" i="2" a="1"/>
  <c r="A1853" i="2" a="1"/>
  <c r="A1788" i="2" a="1"/>
  <c r="A254" i="2" a="1"/>
  <c r="A1327" i="2" a="1"/>
  <c r="A264" i="2" a="1"/>
  <c r="A1958" i="2" a="1"/>
  <c r="A1667" i="2" a="1"/>
  <c r="A1975" i="2" a="1"/>
  <c r="A1519" i="2" a="1"/>
  <c r="A1275" i="2" a="1"/>
  <c r="A1608" i="2" a="1"/>
  <c r="A1252" i="2" a="1"/>
  <c r="A1206" i="2" a="1"/>
  <c r="A1279" i="2" a="1"/>
  <c r="A1492" i="2" a="1"/>
  <c r="A1471" i="2" a="1"/>
  <c r="A1742" i="2" a="1"/>
  <c r="A1969" i="2" a="1"/>
  <c r="A856" i="2" a="1"/>
  <c r="A2315" i="2" a="1"/>
  <c r="A261" i="2" a="1"/>
  <c r="A2003" i="2" a="1"/>
  <c r="A2057" i="2" a="1"/>
  <c r="A1866" i="2" a="1"/>
  <c r="A381" i="2" a="1"/>
  <c r="A2067" i="2" a="1"/>
  <c r="A1016" i="2" a="1"/>
  <c r="A388" i="2" a="1"/>
  <c r="A650" i="2" a="1"/>
  <c r="A1160" i="2" a="1"/>
  <c r="A128" i="2" a="1"/>
  <c r="A1819" i="2" a="1"/>
  <c r="A1205" i="2" a="1"/>
  <c r="A10" i="2" a="1"/>
  <c r="A1046" i="2" a="1"/>
  <c r="D235" i="2" a="1"/>
  <c r="D255" i="2" a="1"/>
  <c r="D146" i="2" a="1"/>
  <c r="D450" i="2" a="1"/>
  <c r="D1009" i="2" a="1"/>
  <c r="D1357" i="2" a="1"/>
  <c r="D2196" i="2" a="1"/>
  <c r="D1151" i="2" a="1"/>
  <c r="D1419" i="2" a="1"/>
  <c r="D176" i="2" a="1"/>
  <c r="D17" i="2" a="1"/>
  <c r="D1169" i="2" a="1"/>
  <c r="D1066" i="2" a="1"/>
  <c r="D2226" i="2" a="1"/>
  <c r="D207" i="2" a="1"/>
  <c r="D409" i="2" a="1"/>
  <c r="D704" i="2" a="1"/>
  <c r="D476" i="2" a="1"/>
  <c r="D509" i="2" a="1"/>
  <c r="D280" i="2" a="1"/>
  <c r="D2056" i="2" a="1"/>
  <c r="D1251" i="2" a="1"/>
  <c r="D292" i="2" a="1"/>
  <c r="D155" i="2" a="1"/>
  <c r="D1417" i="2" a="1"/>
  <c r="D183" i="2" a="1"/>
  <c r="D1033" i="2" a="1"/>
  <c r="D517" i="2" a="1"/>
  <c r="D673" i="2" a="1"/>
  <c r="D380" i="2" a="1"/>
  <c r="D905" i="2" a="1"/>
  <c r="D304" i="2" a="1"/>
  <c r="D1186" i="2" a="1"/>
  <c r="D1874" i="2" a="1"/>
  <c r="D794" i="2" a="1"/>
  <c r="D1323" i="2" a="1"/>
  <c r="D1723" i="2" a="1"/>
  <c r="D2281" i="2" a="1"/>
  <c r="D720" i="2" a="1"/>
  <c r="D2002" i="2" a="1"/>
  <c r="D1333" i="2" a="1"/>
  <c r="D1739" i="2" a="1"/>
  <c r="D1965" i="2" a="1"/>
  <c r="D2224" i="2" a="1"/>
  <c r="D1549" i="2" a="1"/>
  <c r="D2176" i="2" a="1"/>
  <c r="D1476" i="2" a="1"/>
  <c r="D1873" i="2" a="1"/>
  <c r="D337" i="2" a="1"/>
  <c r="D1219" i="2" a="1"/>
  <c r="D1644" i="2" a="1"/>
  <c r="D1601" i="2" a="1"/>
  <c r="D1155" i="2" a="1"/>
  <c r="D1706" i="2" a="1"/>
  <c r="D223" i="2" a="1"/>
  <c r="D617" i="2" a="1"/>
  <c r="D1086" i="2" a="1"/>
  <c r="D1995" i="2" a="1"/>
  <c r="D1447" i="2" a="1"/>
  <c r="D1791" i="2" a="1"/>
  <c r="D482" i="2" a="1"/>
  <c r="D1893" i="2" a="1"/>
  <c r="D1177" i="2" a="1"/>
  <c r="D1344" i="2" a="1"/>
  <c r="D2314" i="2" a="1"/>
  <c r="D2331" i="2" a="1"/>
  <c r="D1400" i="2" a="1"/>
  <c r="D658" i="2" a="1"/>
  <c r="D2223" i="2" a="1"/>
  <c r="D705" i="2" a="1"/>
  <c r="D402" i="2" a="1"/>
  <c r="D1542" i="2" a="1"/>
  <c r="D1960" i="2" a="1"/>
  <c r="D2361" i="2" a="1"/>
  <c r="D1123" i="2" a="1"/>
  <c r="D1450" i="2" a="1"/>
  <c r="D2021" i="2" a="1"/>
  <c r="D470" i="2" a="1"/>
  <c r="A532" i="2" a="1"/>
  <c r="D393" i="2" a="1"/>
  <c r="A832" i="4" a="1"/>
  <c r="A1126" i="4" a="1"/>
  <c r="A1616" i="4" a="1"/>
  <c r="A679" i="4" a="1"/>
  <c r="A127" i="4" a="1"/>
  <c r="D251" i="4" a="1"/>
  <c r="D97" i="4" a="1"/>
  <c r="B32" i="3" a="1"/>
  <c r="A642" i="2" a="1"/>
  <c r="A1187" i="2" a="1"/>
  <c r="A900" i="2" a="1"/>
  <c r="A252" i="2" a="1"/>
  <c r="A273" i="2" a="1"/>
  <c r="A404" i="2" a="1"/>
  <c r="A469" i="2" a="1"/>
  <c r="A803" i="2" a="1"/>
  <c r="A619" i="2" a="1"/>
  <c r="A416" i="2" a="1"/>
  <c r="A1698" i="2" a="1"/>
  <c r="A1131" i="2" a="1"/>
  <c r="A1851" i="2" a="1"/>
  <c r="A1155" i="2" a="1"/>
  <c r="A898" i="2" a="1"/>
  <c r="A1423" i="2" a="1"/>
  <c r="A105" i="2" a="1"/>
  <c r="A720" i="2" a="1"/>
  <c r="A138" i="2" a="1"/>
  <c r="A2320" i="2" a="1"/>
  <c r="A302" i="2" a="1"/>
  <c r="A975" i="2" a="1"/>
  <c r="A818" i="2" a="1"/>
  <c r="A1070" i="2" a="1"/>
  <c r="A1426" i="2" a="1"/>
  <c r="A2208" i="2" a="1"/>
  <c r="A1451" i="2" a="1"/>
  <c r="A1239" i="2" a="1"/>
  <c r="A338" i="2" a="1"/>
  <c r="A1271" i="2" a="1"/>
  <c r="A476" i="2" a="1"/>
  <c r="A2162" i="2" a="1"/>
  <c r="A486" i="2" a="1"/>
  <c r="A1331" i="2" a="1"/>
  <c r="A167" i="2" a="1"/>
  <c r="A1359" i="2" a="1"/>
  <c r="A1542" i="2" a="1"/>
  <c r="A2118" i="2" a="1"/>
  <c r="A1653" i="2" a="1"/>
  <c r="A2283" i="2" a="1"/>
  <c r="A1384" i="2" a="1"/>
  <c r="A2298" i="2" a="1"/>
  <c r="A2062" i="2" a="1"/>
  <c r="A2269" i="2" a="1"/>
  <c r="A2072" i="2" a="1"/>
  <c r="A2142" i="2" a="1"/>
  <c r="A1977" i="2" a="1"/>
  <c r="A1794" i="2" a="1"/>
  <c r="A1723" i="2" a="1"/>
  <c r="A2288" i="2" a="1"/>
  <c r="A262" i="2" a="1"/>
  <c r="A879" i="2" a="1"/>
  <c r="A987" i="2" a="1"/>
  <c r="A915" i="2" a="1"/>
  <c r="A2096" i="2" a="1"/>
  <c r="A1948" i="2" a="1"/>
  <c r="A1085" i="2" a="1"/>
  <c r="A2098" i="2" a="1"/>
  <c r="A1695" i="2" a="1"/>
  <c r="A1536" i="2" a="1"/>
  <c r="A1601" i="2" a="1"/>
  <c r="A933" i="2" a="1"/>
  <c r="A2230" i="2" a="1"/>
  <c r="D23" i="2" a="1"/>
  <c r="D495" i="2" a="1"/>
  <c r="D386" i="2" a="1"/>
  <c r="D1138" i="2" a="1"/>
  <c r="A817" i="2" a="1"/>
  <c r="D1600" i="2" a="1"/>
  <c r="D827" i="2" a="1"/>
  <c r="D57" i="2" a="1"/>
  <c r="D1628" i="2" a="1"/>
  <c r="D416" i="2" a="1"/>
  <c r="D1229" i="2" a="1"/>
  <c r="A22" i="2" a="1"/>
  <c r="D249" i="2" a="1"/>
  <c r="D999" i="2" a="1"/>
  <c r="D190" i="2" a="1"/>
  <c r="D953" i="2" a="1"/>
  <c r="D825" i="2" a="1"/>
  <c r="D716" i="2" a="1"/>
  <c r="D993" i="2" a="1"/>
  <c r="D896" i="2" a="1"/>
  <c r="D2296" i="2" a="1"/>
  <c r="D557" i="2" a="1"/>
  <c r="D1445" i="2" a="1"/>
  <c r="D395" i="2" a="1"/>
  <c r="D1769" i="2" a="1"/>
  <c r="D423" i="2" a="1"/>
  <c r="D1273" i="2" a="1"/>
  <c r="D1469" i="2" a="1"/>
  <c r="D54" i="2" a="1"/>
  <c r="D936" i="2" a="1"/>
  <c r="D1547" i="2" a="1"/>
  <c r="D544" i="2" a="1"/>
  <c r="D818" i="2" a="1"/>
  <c r="D820" i="2" a="1"/>
  <c r="D195" i="2" a="1"/>
  <c r="D956" i="2" a="1"/>
  <c r="D1710" i="2" a="1"/>
  <c r="D1857" i="2" a="1"/>
  <c r="D2208" i="2" a="1"/>
  <c r="D1367" i="2" a="1"/>
  <c r="D966" i="2" a="1"/>
  <c r="D712" i="2" a="1"/>
  <c r="D1112" i="2" a="1"/>
  <c r="D351" i="2" a="1"/>
  <c r="D205" i="2" a="1"/>
  <c r="D1537" i="2" a="1"/>
  <c r="D730" i="2" a="1"/>
  <c r="D1615" i="2" a="1"/>
  <c r="D2122" i="2" a="1"/>
  <c r="D1225" i="2" a="1"/>
  <c r="D984" i="2" a="1"/>
  <c r="D352" i="2" a="1"/>
  <c r="D2256" i="2" a="1"/>
  <c r="D1189" i="2" a="1"/>
  <c r="D445" i="2" a="1"/>
  <c r="D898" i="2" a="1"/>
  <c r="D131" i="2" a="1"/>
  <c r="D2341" i="2" a="1"/>
  <c r="D1687" i="2" a="1"/>
  <c r="D537" i="2" a="1"/>
  <c r="D934" i="2" a="1"/>
  <c r="D1875" i="2" a="1"/>
  <c r="D1870" i="2" a="1"/>
  <c r="D2303" i="2" a="1"/>
  <c r="D1217" i="2" a="1"/>
  <c r="D2027" i="2" a="1"/>
  <c r="D837" i="2" a="1"/>
  <c r="D1561" i="2" a="1"/>
  <c r="D2149" i="2" a="1"/>
  <c r="D488" i="2" a="1"/>
  <c r="D1262" i="2" a="1"/>
  <c r="D1692" i="2" a="1"/>
  <c r="D2364" i="2" a="1"/>
  <c r="D958" i="2" a="1"/>
  <c r="D1382" i="2" a="1"/>
  <c r="D1135" i="2" a="1"/>
  <c r="D530" i="2" a="1"/>
  <c r="D1055" i="2" a="1"/>
  <c r="D510" i="2" a="1"/>
  <c r="D1140" i="2" a="1"/>
  <c r="D945" i="2" a="1"/>
  <c r="D442" i="2" a="1"/>
  <c r="D334" i="2" a="1"/>
  <c r="D1104" i="2" a="1"/>
  <c r="D437" i="2" a="1"/>
  <c r="D356" i="2" a="1"/>
  <c r="D1672" i="2" a="1"/>
  <c r="D360" i="2" a="1"/>
  <c r="D2112" i="2" a="1"/>
  <c r="D2047" i="2" a="1"/>
  <c r="A1837" i="2" a="1"/>
  <c r="D563" i="2" a="1"/>
  <c r="D1834" i="2" a="1"/>
  <c r="D774" i="2" a="1"/>
  <c r="D76" i="2" a="1"/>
  <c r="A576" i="4" a="1"/>
  <c r="A688" i="4" a="1"/>
  <c r="A745" i="4" a="1"/>
  <c r="A265" i="4" a="1"/>
  <c r="A392" i="4" a="1"/>
  <c r="D103" i="4" a="1"/>
  <c r="D458" i="4" a="1"/>
  <c r="D538" i="4" a="1"/>
  <c r="A524" i="2" a="1"/>
  <c r="A74" i="2" a="1"/>
  <c r="A1234" i="2" a="1"/>
  <c r="A943" i="2" a="1"/>
  <c r="A374" i="2" a="1"/>
  <c r="A626" i="2" a="1"/>
  <c r="A964" i="2" a="1"/>
  <c r="A184" i="2" a="1"/>
  <c r="A1215" i="2" a="1"/>
  <c r="A142" i="2" a="1"/>
  <c r="A149" i="2" a="1"/>
  <c r="A407" i="2" a="1"/>
  <c r="A2331" i="2" a="1"/>
  <c r="A768" i="2" a="1"/>
  <c r="A1704" i="2" a="1"/>
  <c r="A1392" i="2" a="1"/>
  <c r="A345" i="2" a="1"/>
  <c r="A1176" i="2" a="1"/>
  <c r="A1420" i="2" a="1"/>
  <c r="A280" i="2" a="1"/>
  <c r="A1963" i="2" a="1"/>
  <c r="A1306" i="2" a="1"/>
  <c r="A1933" i="2" a="1"/>
  <c r="A1962" i="2" a="1"/>
  <c r="A178" i="2" a="1"/>
  <c r="A1416" i="2" a="1"/>
  <c r="A2346" i="2" a="1"/>
  <c r="A627" i="2" a="1"/>
  <c r="A2333" i="2" a="1"/>
  <c r="A2204" i="2" a="1"/>
  <c r="A945" i="2" a="1"/>
  <c r="A1666" i="2" a="1"/>
  <c r="A1242" i="2" a="1"/>
  <c r="A247" i="2" a="1"/>
  <c r="A1487" i="2" a="1"/>
  <c r="A2252" i="2" a="1"/>
  <c r="A1163" i="2" a="1"/>
  <c r="A1027" i="2" a="1"/>
  <c r="A1470" i="2" a="1"/>
  <c r="A867" i="2" a="1"/>
  <c r="A2141" i="2" a="1"/>
  <c r="A1879" i="2" a="1"/>
  <c r="A709" i="2" a="1"/>
  <c r="A1674" i="2" a="1"/>
  <c r="A1688" i="2" a="1"/>
  <c r="A1379" i="2" a="1"/>
  <c r="A41" i="2" a="1"/>
  <c r="A688" i="2" a="1"/>
  <c r="A2017" i="2" a="1"/>
  <c r="A1616" i="2" a="1"/>
  <c r="A1771" i="2" a="1"/>
  <c r="A2053" i="2" a="1"/>
  <c r="A331" i="2" a="1"/>
  <c r="A2144" i="2" a="1"/>
  <c r="A661" i="2" a="1"/>
  <c r="A1038" i="2" a="1"/>
  <c r="A1516" i="2" a="1"/>
  <c r="A1378" i="2" a="1"/>
  <c r="A1199" i="2" a="1"/>
  <c r="A2205" i="2" a="1"/>
  <c r="A1605" i="2" a="1"/>
  <c r="A1148" i="2" a="1"/>
  <c r="A1177" i="2" a="1"/>
  <c r="D263" i="2" a="1"/>
  <c r="D735" i="2" a="1"/>
  <c r="D626" i="2" a="1"/>
  <c r="D1554" i="2" a="1"/>
  <c r="D293" i="2" a="1"/>
  <c r="D994" i="2" a="1"/>
  <c r="D1624" i="2" a="1"/>
  <c r="D122" i="2" a="1"/>
  <c r="D1734" i="2" a="1"/>
  <c r="D656" i="2" a="1"/>
  <c r="D1591" i="2" a="1"/>
  <c r="D83" i="2" a="1"/>
  <c r="D1060" i="2" a="1"/>
  <c r="D1745" i="2" a="1"/>
  <c r="D862" i="2" a="1"/>
  <c r="A2134" i="2" a="1"/>
  <c r="D226" i="2" a="1"/>
  <c r="D138" i="2" a="1"/>
  <c r="A417" i="2" a="1"/>
  <c r="D1136" i="2" a="1"/>
  <c r="D1329" i="2" a="1"/>
  <c r="D372" i="2" a="1"/>
  <c r="D819" i="2" a="1"/>
  <c r="D36" i="2" a="1"/>
  <c r="D2009" i="2" a="1"/>
  <c r="D663" i="2" a="1"/>
  <c r="D362" i="2" a="1"/>
  <c r="D887" i="2" a="1"/>
  <c r="D294" i="2" a="1"/>
  <c r="D1176" i="2" a="1"/>
  <c r="D1864" i="2" a="1"/>
  <c r="D784" i="2" a="1"/>
  <c r="D110" i="2" a="1"/>
  <c r="D20" i="2" a="1"/>
  <c r="D435" i="2" a="1"/>
  <c r="D1356" i="2" a="1"/>
  <c r="D1017" i="2" a="1"/>
  <c r="D928" i="2" a="1"/>
  <c r="D1795" i="2" a="1"/>
  <c r="D2132" i="2" a="1"/>
  <c r="D1366" i="2" a="1"/>
  <c r="D1730" i="2" a="1"/>
  <c r="D2074" i="2" a="1"/>
  <c r="D277" i="2" a="1"/>
  <c r="D816" i="2" a="1"/>
  <c r="D1918" i="2" a="1"/>
  <c r="D2109" i="2" a="1"/>
  <c r="D2083" i="2" a="1"/>
  <c r="D2154" i="2" a="1"/>
  <c r="D177" i="2" a="1"/>
  <c r="D1836" i="2" a="1"/>
  <c r="D1992" i="2" a="1"/>
  <c r="D1785" i="2" a="1"/>
  <c r="D1725" i="2" a="1"/>
  <c r="D228" i="2" a="1"/>
  <c r="D1268" i="2" a="1"/>
  <c r="D1282" i="2" a="1"/>
  <c r="D463" i="2" a="1"/>
  <c r="D2286" i="2" a="1"/>
  <c r="D2072" i="2" a="1"/>
  <c r="D659" i="2" a="1"/>
  <c r="D678" i="2" a="1"/>
  <c r="D836" i="2" a="1"/>
  <c r="D1037" i="2" a="1"/>
  <c r="D1890" i="2" a="1"/>
  <c r="D1487" i="2" a="1"/>
  <c r="D1220" i="2" a="1"/>
  <c r="D579" i="2" a="1"/>
  <c r="D2165" i="2" a="1"/>
  <c r="D839" i="2" a="1"/>
  <c r="D1364" i="2" a="1"/>
  <c r="D1377" i="2" a="1"/>
  <c r="D2357" i="2" a="1"/>
  <c r="D1110" i="2" a="1"/>
  <c r="D1439" i="2" a="1"/>
  <c r="D1587" i="2" a="1"/>
  <c r="D1216" i="2" a="1"/>
  <c r="D2252" i="2" a="1"/>
  <c r="D1808" i="2" a="1"/>
  <c r="D1411" i="2" a="1"/>
  <c r="D269" i="2" a="1"/>
  <c r="D1530" i="2" a="1"/>
  <c r="D336" i="2" a="1"/>
  <c r="D1396" i="2" a="1"/>
  <c r="D1555" i="2" a="1"/>
  <c r="D809" i="2" a="1"/>
  <c r="D799" i="2" a="1"/>
  <c r="D1649" i="2" a="1"/>
  <c r="D1359" i="2" a="1"/>
  <c r="D2054" i="2" a="1"/>
  <c r="D1822" i="2" a="1"/>
  <c r="D1312" i="2" a="1"/>
  <c r="D1524" i="2" a="1"/>
  <c r="A1762" i="2" a="1"/>
  <c r="D376" i="2" a="1"/>
  <c r="D309" i="2" a="1"/>
  <c r="D1391" i="2" a="1"/>
  <c r="D943" i="2" a="1"/>
  <c r="D706" i="2" a="1"/>
  <c r="D1758" i="2" a="1"/>
  <c r="D21" i="2" a="1"/>
  <c r="D1166" i="2" a="1"/>
  <c r="D32" i="2" a="1"/>
  <c r="D1510" i="2" a="1"/>
  <c r="A2084" i="4" a="1"/>
  <c r="D843" i="4" a="1"/>
  <c r="D854" i="4" a="1"/>
  <c r="A153" i="4" a="1"/>
  <c r="A480" i="4" a="1"/>
  <c r="D210" i="4" a="1"/>
  <c r="D287" i="4" a="1"/>
  <c r="D150" i="4" a="1"/>
  <c r="A155" i="2" a="1"/>
  <c r="A314" i="2" a="1"/>
  <c r="A611" i="2" a="1"/>
  <c r="A192" i="2" a="1"/>
  <c r="A614" i="2" a="1"/>
  <c r="A37" i="2" a="1"/>
  <c r="A1076" i="2" a="1"/>
  <c r="A424" i="2" a="1"/>
  <c r="A842" i="2" a="1"/>
  <c r="A881" i="2" a="1"/>
  <c r="A1382" i="2" a="1"/>
  <c r="A360" i="2" a="1"/>
  <c r="A1461" i="2" a="1"/>
  <c r="A319" i="2" a="1"/>
  <c r="A123" i="2" a="1"/>
  <c r="A939" i="2" a="1"/>
  <c r="A585" i="2" a="1"/>
  <c r="A752" i="2" a="1"/>
  <c r="A2239" i="2" a="1"/>
  <c r="A1921" i="2" a="1"/>
  <c r="A1441" i="2" a="1"/>
  <c r="A2004" i="2" a="1"/>
  <c r="A1110" i="2" a="1"/>
  <c r="A1346" i="2" a="1"/>
  <c r="A2128" i="2" a="1"/>
  <c r="A387" i="2" a="1"/>
  <c r="A548" i="2" a="1"/>
  <c r="A1999" i="2" a="1"/>
  <c r="A1592" i="2" a="1"/>
  <c r="A750" i="2" a="1"/>
  <c r="A597" i="2" a="1"/>
  <c r="A287" i="2" a="1"/>
  <c r="A970" i="2" a="1"/>
  <c r="A1903" i="2" a="1"/>
  <c r="A1570" i="2" a="1"/>
  <c r="A2049" i="2" a="1"/>
  <c r="A2010" i="2" a="1"/>
  <c r="A2013" i="2" a="1"/>
  <c r="A1225" i="2" a="1"/>
  <c r="A2107" i="2" a="1"/>
  <c r="A1585" i="2" a="1"/>
  <c r="A908" i="2" a="1"/>
  <c r="A1897" i="2" a="1"/>
  <c r="A477" i="2" a="1"/>
  <c r="A757" i="2" a="1"/>
  <c r="A2232" i="2" a="1"/>
  <c r="A1692" i="2" a="1"/>
  <c r="A1986" i="2" a="1"/>
  <c r="A1724" i="2" a="1"/>
  <c r="A632" i="2" a="1"/>
  <c r="A1355" i="2" a="1"/>
  <c r="A2358" i="2" a="1"/>
  <c r="A1766" i="2" a="1"/>
  <c r="A1641" i="2" a="1"/>
  <c r="A1815" i="2" a="1"/>
  <c r="A2083" i="2" a="1"/>
  <c r="A349" i="2" a="1"/>
  <c r="A2292" i="2" a="1"/>
  <c r="A595" i="2" a="1"/>
  <c r="A58" i="2" a="1"/>
  <c r="A679" i="2" a="1"/>
  <c r="A2007" i="2" a="1"/>
  <c r="A1679" i="2" a="1"/>
  <c r="D743" i="2" a="1"/>
  <c r="D136" i="2" a="1"/>
  <c r="D48" i="2" a="1"/>
  <c r="D1879" i="2" a="1"/>
  <c r="D773" i="2" a="1"/>
  <c r="D592" i="2" a="1"/>
  <c r="D1260" i="2" a="1"/>
  <c r="D732" i="2" a="1"/>
  <c r="D2085" i="2" a="1"/>
  <c r="D78" i="2" a="1"/>
  <c r="D1909" i="2" a="1"/>
  <c r="D323" i="2" a="1"/>
  <c r="D751" i="2" a="1"/>
  <c r="D1354" i="2" a="1"/>
  <c r="D391" i="2" a="1"/>
  <c r="D113" i="2" a="1"/>
  <c r="D466" i="2" a="1"/>
  <c r="D378" i="2" a="1"/>
  <c r="D153" i="2" a="1"/>
  <c r="D431" i="2" a="1"/>
  <c r="D1997" i="2" a="1"/>
  <c r="D932" i="2" a="1"/>
  <c r="D1511" i="2" a="1"/>
  <c r="D516" i="2" a="1"/>
  <c r="D937" i="2" a="1"/>
  <c r="D44" i="2" a="1"/>
  <c r="D926" i="2" a="1"/>
  <c r="D1535" i="2" a="1"/>
  <c r="D534" i="2" a="1"/>
  <c r="D801" i="2" a="1"/>
  <c r="D788" i="2" a="1"/>
  <c r="D185" i="2" a="1"/>
  <c r="D1207" i="2" a="1"/>
  <c r="D1756" i="2" a="1"/>
  <c r="D675" i="2" a="1"/>
  <c r="D910" i="2" a="1"/>
  <c r="D1998" i="2" a="1"/>
  <c r="D1458" i="2" a="1"/>
  <c r="D2118" i="2" a="1"/>
  <c r="D2089" i="2" a="1"/>
  <c r="D925" i="2" a="1"/>
  <c r="D1285" i="2" a="1"/>
  <c r="D2062" i="2" a="1"/>
  <c r="D2242" i="2" a="1"/>
  <c r="D1101" i="2" a="1"/>
  <c r="D1338" i="2" a="1"/>
  <c r="D1435" i="2" a="1"/>
  <c r="D2283" i="2" a="1"/>
  <c r="D1278" i="2" a="1"/>
  <c r="D1819" i="2" a="1"/>
  <c r="D737" i="2" a="1"/>
  <c r="D1340" i="2" a="1"/>
  <c r="D1972" i="2" a="1"/>
  <c r="D1499" i="2" a="1"/>
  <c r="D1321" i="2" a="1"/>
  <c r="D849" i="2" a="1"/>
  <c r="D661" i="2" a="1"/>
  <c r="D475" i="2" a="1"/>
  <c r="D1905" i="2" a="1"/>
  <c r="D1842" i="2" a="1"/>
  <c r="D1272" i="2" a="1"/>
  <c r="D1751" i="2" a="1"/>
  <c r="D727" i="2" a="1"/>
  <c r="D2199" i="2" a="1"/>
  <c r="D1018" i="2" a="1"/>
  <c r="D1632" i="2" a="1"/>
  <c r="D311" i="2" a="1"/>
  <c r="D2254" i="2" a="1"/>
  <c r="D1636" i="2" a="1"/>
  <c r="D1093" i="2" a="1"/>
  <c r="D1959" i="2" a="1"/>
  <c r="D2288" i="2" a="1"/>
  <c r="D2169" i="2" a="1"/>
  <c r="D1894" i="2" a="1"/>
  <c r="D1988" i="2" a="1"/>
  <c r="D1777" i="2" a="1"/>
  <c r="D187" i="2" a="1"/>
  <c r="D1585" i="2" a="1"/>
  <c r="D1526" i="2" a="1"/>
  <c r="D551" i="2" a="1"/>
  <c r="D1504" i="2" a="1"/>
  <c r="D1180" i="2" a="1"/>
  <c r="D748" i="2" a="1"/>
  <c r="D2267" i="2" a="1"/>
  <c r="D995" i="2" a="1"/>
  <c r="D902" i="2" a="1"/>
  <c r="D2160" i="2" a="1"/>
  <c r="D511" i="2" a="1"/>
  <c r="D547" i="2" a="1"/>
  <c r="D2170" i="2" a="1"/>
  <c r="D1659" i="2" a="1"/>
  <c r="D502" i="2" a="1"/>
  <c r="D2079" i="2" a="1"/>
  <c r="A1822" i="2" a="1"/>
  <c r="A288" i="2" a="1"/>
  <c r="A1809" i="2" a="1"/>
  <c r="D364" i="2" a="1"/>
  <c r="D288" i="2" a="1"/>
  <c r="D549" i="2" a="1"/>
  <c r="D1358" i="2" a="1"/>
  <c r="D2057" i="2" a="1"/>
  <c r="D2325" i="2" a="1"/>
  <c r="D327" i="2" a="1"/>
  <c r="D2087" i="2" a="1"/>
  <c r="D593" i="2" a="1"/>
  <c r="D618" i="2" a="1"/>
  <c r="D559" i="2" a="1"/>
  <c r="D1481" i="2" a="1"/>
  <c r="D1854" i="2" a="1"/>
  <c r="D1714" i="2" a="1"/>
  <c r="D2225" i="2" a="1"/>
  <c r="D1827" i="2" a="1"/>
  <c r="A1402" i="4" a="1"/>
  <c r="A535" i="4" a="1"/>
  <c r="A226" i="4" a="1"/>
  <c r="A836" i="4" a="1"/>
  <c r="A603" i="4" a="1"/>
  <c r="D442" i="4" a="1"/>
  <c r="D438" i="4" a="1"/>
  <c r="B19" i="3" a="1"/>
  <c r="A971" i="2" a="1"/>
  <c r="A56" i="2" a="1"/>
  <c r="A538" i="2" a="1"/>
  <c r="A1647" i="2" a="1"/>
  <c r="A356" i="2" a="1"/>
  <c r="A268" i="2" a="1"/>
  <c r="A279" i="2" a="1"/>
  <c r="A55" i="2" a="1"/>
  <c r="A121" i="2" a="1"/>
  <c r="A1121" i="2" a="1"/>
  <c r="A1910" i="2" a="1"/>
  <c r="A1182" i="2" a="1"/>
  <c r="A850" i="2" a="1"/>
  <c r="A1090" i="2" a="1"/>
  <c r="A603" i="2" a="1"/>
  <c r="A1540" i="2" a="1"/>
  <c r="A825" i="2" a="1"/>
  <c r="A1839" i="2" a="1"/>
  <c r="A1757" i="2" a="1"/>
  <c r="A108" i="2" a="1"/>
  <c r="A1793" i="2" a="1"/>
  <c r="A1497" i="2" a="1"/>
  <c r="A2154" i="2" a="1"/>
  <c r="A1532" i="2" a="1"/>
  <c r="A1658" i="2" a="1"/>
  <c r="A1725" i="2" a="1"/>
  <c r="A1761" i="2" a="1"/>
  <c r="A1053" i="2" a="1"/>
  <c r="A244" i="2" a="1"/>
  <c r="A1168" i="2" a="1"/>
  <c r="A1597" i="2" a="1"/>
  <c r="A1893" i="2" a="1"/>
  <c r="A1657" i="2" a="1"/>
  <c r="A1216" i="2" a="1"/>
  <c r="A1507" i="2" a="1"/>
  <c r="A1246" i="2" a="1"/>
  <c r="A1068" i="2" a="1"/>
  <c r="A1183" i="2" a="1"/>
  <c r="A1184" i="2" a="1"/>
  <c r="A1396" i="2" a="1"/>
  <c r="A1431" i="2" a="1"/>
  <c r="A1421" i="2" a="1"/>
  <c r="A2322" i="2" a="1"/>
  <c r="A1904" i="2" a="1"/>
  <c r="A2334" i="2" a="1"/>
  <c r="A1549" i="2" a="1"/>
  <c r="A1287" i="2" a="1"/>
  <c r="A2215" i="2" a="1"/>
  <c r="A1251" i="2" a="1"/>
  <c r="A671" i="2" a="1"/>
  <c r="A1418" i="2" a="1"/>
  <c r="A1936" i="2" a="1"/>
  <c r="A1458" i="2" a="1"/>
  <c r="A1166" i="2" a="1"/>
  <c r="A2318" i="2" a="1"/>
  <c r="D755" i="4" a="1"/>
  <c r="A229" i="4" a="1"/>
  <c r="A7" i="4" a="1"/>
  <c r="A749" i="4" a="1"/>
  <c r="A396" i="4" a="1"/>
  <c r="D587" i="4" a="1"/>
  <c r="D550" i="4" a="1"/>
  <c r="D558" i="4" a="1"/>
  <c r="A1022" i="2" a="1"/>
  <c r="A776" i="2" a="1"/>
  <c r="A2211" i="2" a="1"/>
  <c r="A986" i="2" a="1"/>
  <c r="A742" i="2" a="1"/>
  <c r="A221" i="2" a="1"/>
  <c r="A812" i="2" a="1"/>
  <c r="A295" i="2" a="1"/>
  <c r="A1003" i="2" a="1"/>
  <c r="A390" i="2" a="1"/>
  <c r="A2150" i="2" a="1"/>
  <c r="A518" i="2" a="1"/>
  <c r="A1613" i="2" a="1"/>
  <c r="A487" i="2" a="1"/>
  <c r="A224" i="2" a="1"/>
  <c r="A389" i="2" a="1"/>
  <c r="A216" i="2" a="1"/>
  <c r="A150" i="2" a="1"/>
  <c r="A609" i="2" a="1"/>
  <c r="A948" i="2" a="1"/>
  <c r="A1916" i="2" a="1"/>
  <c r="A2184" i="2" a="1"/>
  <c r="A1402" i="2" a="1"/>
  <c r="A1329" i="2" a="1"/>
  <c r="A2174" i="2" a="1"/>
  <c r="A1200" i="2" a="1"/>
  <c r="A2262" i="2" a="1"/>
  <c r="A2116" i="2" a="1"/>
  <c r="A466" i="2" a="1"/>
  <c r="A1644" i="2" a="1"/>
  <c r="A61" i="2" a="1"/>
  <c r="A1100" i="2" a="1"/>
  <c r="A1466" i="2" a="1"/>
  <c r="A2059" i="2" a="1"/>
  <c r="A1531" i="2" a="1"/>
  <c r="A978" i="2" a="1"/>
  <c r="A1333" i="2" a="1"/>
  <c r="A2254" i="2" a="1"/>
  <c r="A2131" i="2" a="1"/>
  <c r="A2213" i="2" a="1"/>
  <c r="A2052" i="2" a="1"/>
  <c r="A1654" i="2" a="1"/>
  <c r="A1656" i="2" a="1"/>
  <c r="A1614" i="2" a="1"/>
  <c r="A1238" i="2" a="1"/>
  <c r="A767" i="2" a="1"/>
  <c r="A272" i="2" a="1"/>
  <c r="A1510" i="2" a="1"/>
  <c r="A1472" i="2" a="1"/>
  <c r="A1779" i="2" a="1"/>
  <c r="A1726" i="2" a="1"/>
  <c r="A1528" i="2" a="1"/>
  <c r="A1544" i="2" a="1"/>
  <c r="A2036" i="2" a="1"/>
  <c r="A761" i="2" a="1"/>
  <c r="A1746" i="2" a="1"/>
  <c r="A1791" i="2" a="1"/>
  <c r="A2245" i="2" a="1"/>
  <c r="A2281" i="2" a="1"/>
  <c r="A1119" i="2" a="1"/>
  <c r="A1217" i="2" a="1"/>
  <c r="A59" i="2" a="1"/>
  <c r="A1280" i="2" a="1"/>
  <c r="D485" i="2" a="1"/>
  <c r="D616" i="2" a="1"/>
  <c r="D751" i="4" a="1"/>
  <c r="A1180" i="4" a="1"/>
  <c r="A1334" i="4" a="1"/>
  <c r="A689" i="4" a="1"/>
  <c r="A441" i="4" a="1"/>
  <c r="D243" i="4" a="1"/>
  <c r="D107" i="4" a="1"/>
  <c r="D3" i="4" a="1"/>
  <c r="A52" i="2" a="1"/>
  <c r="A1001" i="2" a="1"/>
  <c r="A1764" i="2" a="1"/>
  <c r="A1339" i="2" a="1"/>
  <c r="A190" i="2" a="1"/>
  <c r="A1142" i="2" a="1"/>
  <c r="A1214" i="2" a="1"/>
  <c r="A535" i="2" a="1"/>
  <c r="A19" i="2" a="1"/>
  <c r="A299" i="2" a="1"/>
  <c r="A232" i="2" a="1"/>
  <c r="A748" i="2" a="1"/>
  <c r="A113" i="2" a="1"/>
  <c r="A950" i="2" a="1"/>
  <c r="A335" i="2" a="1"/>
  <c r="A1469" i="2" a="1"/>
  <c r="A456" i="2" a="1"/>
  <c r="A1932" i="2" a="1"/>
  <c r="A1899" i="2" a="1"/>
  <c r="A1942" i="2" a="1"/>
  <c r="A2259" i="2" a="1"/>
  <c r="A1286" i="2" a="1"/>
  <c r="A2275" i="2" a="1"/>
  <c r="A2129" i="2" a="1"/>
  <c r="A2187" i="2" a="1"/>
  <c r="A2159" i="2" a="1"/>
  <c r="A1002" i="2" a="1"/>
  <c r="A1578" i="2" a="1"/>
  <c r="A1222" i="2" a="1"/>
  <c r="A2148" i="2" a="1"/>
  <c r="A1445" i="2" a="1"/>
  <c r="A2177" i="2" a="1"/>
  <c r="A1405" i="2" a="1"/>
  <c r="A938" i="2" a="1"/>
  <c r="A1430" i="2" a="1"/>
  <c r="A1776" i="2" a="1"/>
  <c r="A2121" i="2" a="1"/>
  <c r="A1827" i="2" a="1"/>
  <c r="A1635" i="2" a="1"/>
  <c r="A1632" i="2" a="1"/>
  <c r="A1655" i="2" a="1"/>
  <c r="A558" i="2" a="1"/>
  <c r="A1150" i="2" a="1"/>
  <c r="A928" i="2" a="1"/>
  <c r="A1343" i="2" a="1"/>
  <c r="A1873" i="2" a="1"/>
  <c r="A1683" i="2" a="1"/>
  <c r="A2305" i="2" a="1"/>
  <c r="A2316" i="2" a="1"/>
  <c r="A1576" i="2" a="1"/>
  <c r="A1309" i="2" a="1"/>
  <c r="A1954" i="2" a="1"/>
  <c r="A2344" i="2" a="1"/>
  <c r="A1874" i="2" a="1"/>
  <c r="A1889" i="2" a="1"/>
  <c r="A2113" i="2" a="1"/>
  <c r="A1591" i="2" a="1"/>
  <c r="A2186" i="2" a="1"/>
  <c r="A1925" i="2" a="1"/>
  <c r="A80" i="2" a="1"/>
  <c r="A122" i="2" a="1"/>
  <c r="A2079" i="2" a="1"/>
  <c r="A2127" i="2" a="1"/>
  <c r="D725" i="2" a="1"/>
  <c r="D38" i="2" a="1"/>
  <c r="A559" i="4" a="1"/>
  <c r="A1376" i="4" a="1"/>
  <c r="A1610" i="4" a="1"/>
  <c r="A38" i="4" a="1"/>
  <c r="D151" i="4" a="1"/>
  <c r="D549" i="4" a="1"/>
  <c r="D275" i="4" a="1"/>
  <c r="D50" i="4" a="1"/>
  <c r="A433" i="2" a="1"/>
  <c r="A1104" i="2" a="1"/>
  <c r="A574" i="2" a="1"/>
  <c r="A1043" i="2" a="1"/>
  <c r="A996" i="2" a="1"/>
  <c r="A452" i="2" a="1"/>
  <c r="A598" i="2" a="1"/>
  <c r="A775" i="2" a="1"/>
  <c r="A1366" i="2" a="1"/>
  <c r="A932" i="2" a="1"/>
  <c r="A1763" i="2" a="1"/>
  <c r="A297" i="2" a="1"/>
  <c r="A353" i="2" a="1"/>
  <c r="A1517" i="2" a="1"/>
  <c r="A575" i="2" a="1"/>
  <c r="A1099" i="2" a="1"/>
  <c r="A696" i="2" a="1"/>
  <c r="A1175" i="2" a="1"/>
  <c r="A868" i="2" a="1"/>
  <c r="A1236" i="2" a="1"/>
  <c r="A2289" i="2" a="1"/>
  <c r="A211" i="2" a="1"/>
  <c r="A2359" i="2" a="1"/>
  <c r="A2207" i="2" a="1"/>
  <c r="A1127" i="2" a="1"/>
  <c r="A2282" i="2" a="1"/>
  <c r="A480" i="2" a="1"/>
  <c r="A127" i="2" a="1"/>
  <c r="A930" i="2" a="1"/>
  <c r="A2253" i="2" a="1"/>
  <c r="A1550" i="2" a="1"/>
  <c r="A2353" i="2" a="1"/>
  <c r="A896" i="2" a="1"/>
  <c r="A1979" i="2" a="1"/>
  <c r="A1115" i="2" a="1"/>
  <c r="A678" i="2" a="1"/>
  <c r="A1250" i="2" a="1"/>
  <c r="A740" i="2" a="1"/>
  <c r="A432" i="2" a="1"/>
  <c r="A332" i="2" a="1"/>
  <c r="A489" i="2" a="1"/>
  <c r="A2085" i="2" a="1"/>
  <c r="A168" i="2" a="1"/>
  <c r="A2157" i="2" a="1"/>
  <c r="A2273" i="2" a="1"/>
  <c r="A2" i="4" a="1"/>
  <c r="A1218" i="2" a="1"/>
  <c r="A1296" i="2" a="1"/>
  <c r="A1731" i="2" a="1"/>
  <c r="A135" i="2" a="1"/>
  <c r="A1501" i="2" a="1"/>
  <c r="A143" i="2" a="1"/>
  <c r="A1783" i="2" a="1"/>
  <c r="A153" i="2" a="1"/>
  <c r="A1646" i="2" a="1"/>
  <c r="A1191" i="2" a="1"/>
  <c r="A28" i="2" a="1"/>
  <c r="A2038" i="2" a="1"/>
  <c r="A1209" i="2" a="1"/>
  <c r="A1833" i="2" a="1"/>
  <c r="A1922" i="2" a="1"/>
  <c r="A2263" i="2" a="1"/>
  <c r="A1060" i="2" a="1"/>
  <c r="D126" i="2" a="1"/>
  <c r="D278" i="2" a="1"/>
  <c r="A979" i="4" a="1"/>
  <c r="A1693" i="4" a="1"/>
  <c r="A630" i="4" a="1"/>
  <c r="D632" i="4" a="1"/>
  <c r="A135" i="4" a="1"/>
  <c r="E2" i="5" a="1"/>
  <c r="D575" i="4" a="1"/>
  <c r="B20" i="3" a="1"/>
  <c r="A54" i="2" a="1"/>
  <c r="A708" i="2" a="1"/>
  <c r="A685" i="2" a="1"/>
  <c r="A1413" i="2" a="1"/>
  <c r="A283" i="2" a="1"/>
  <c r="A954" i="2" a="1"/>
  <c r="A1186" i="2" a="1"/>
  <c r="A166" i="2" a="1"/>
  <c r="A2140" i="2" a="1"/>
  <c r="A1172" i="2" a="1"/>
  <c r="A1144" i="2" a="1"/>
  <c r="A462" i="2" a="1"/>
  <c r="A593" i="2" a="1"/>
  <c r="A111" i="2" a="1"/>
  <c r="A206" i="2" a="1"/>
  <c r="A1642" i="2" a="1"/>
  <c r="A281" i="2" a="1"/>
  <c r="A1373" i="2" a="1"/>
  <c r="A2109" i="2" a="1"/>
  <c r="A1989" i="2" a="1"/>
  <c r="A1425" i="2" a="1"/>
  <c r="A1673" i="2" a="1"/>
  <c r="A1918" i="2" a="1"/>
  <c r="A710" i="2" a="1"/>
  <c r="A14" i="2" a="1"/>
  <c r="A1934" i="2" a="1"/>
  <c r="A1577" i="2" a="1"/>
  <c r="A1859" i="2" a="1"/>
  <c r="A570" i="2" a="1"/>
  <c r="A977" i="2" a="1"/>
  <c r="A1248" i="2" a="1"/>
  <c r="A1867" i="2" a="1"/>
  <c r="A770" i="2" a="1"/>
  <c r="A1106" i="2" a="1"/>
  <c r="A2000" i="2" a="1"/>
  <c r="A1256" i="2" a="1"/>
  <c r="A1385" i="2" a="1"/>
  <c r="A2078" i="2" a="1"/>
  <c r="A2296" i="2" a="1"/>
  <c r="A1868" i="2" a="1"/>
  <c r="A1857" i="2" a="1"/>
  <c r="A2319" i="2" a="1"/>
  <c r="A1643" i="2" a="1"/>
  <c r="A1270" i="2" a="1"/>
  <c r="A2363" i="2" a="1"/>
  <c r="A115" i="2" a="1"/>
  <c r="A1371" i="2" a="1"/>
  <c r="A125" i="2" a="1"/>
  <c r="A278" i="2" a="1"/>
  <c r="A951" i="2" a="1"/>
  <c r="A2329" i="2" a="1"/>
  <c r="A1364" i="2" a="1"/>
  <c r="A782" i="2" a="1"/>
  <c r="A365" i="2" a="1"/>
  <c r="A1566" i="2" a="1"/>
  <c r="A622" i="2" a="1"/>
  <c r="A1823" i="2" a="1"/>
  <c r="A383" i="2" a="1"/>
  <c r="A1712" i="2" a="1"/>
  <c r="A1427" i="2" a="1"/>
  <c r="A883" i="2" a="1"/>
  <c r="A1369" i="2" a="1"/>
  <c r="A1204" i="2" a="1"/>
  <c r="D366" i="2" a="1"/>
  <c r="D518" i="2" a="1"/>
  <c r="A1701" i="4" a="1"/>
  <c r="A702" i="4" a="1"/>
  <c r="A105" i="4" a="1"/>
  <c r="A351" i="4" a="1"/>
  <c r="A297" i="4" a="1"/>
  <c r="D180" i="4" a="1"/>
  <c r="D348" i="4" a="1"/>
  <c r="D561" i="4" a="1"/>
  <c r="A276" i="2" a="1"/>
  <c r="A1314" i="2" a="1"/>
  <c r="A76" i="2" a="1"/>
  <c r="A697" i="2" a="1"/>
  <c r="A523" i="2" a="1"/>
  <c r="A317" i="2" a="1"/>
  <c r="A749" i="2" a="1"/>
  <c r="A406" i="2" a="1"/>
  <c r="A199" i="2" a="1"/>
  <c r="A547" i="2" a="1"/>
  <c r="A1741" i="2" a="1"/>
  <c r="A936" i="2" a="1"/>
  <c r="A833" i="2" a="1"/>
  <c r="A1412" i="2" a="1"/>
  <c r="A446" i="2" a="1"/>
  <c r="A660" i="2" a="1"/>
  <c r="A921" i="2" a="1"/>
  <c r="A2158" i="2" a="1"/>
  <c r="A1345" i="2" a="1"/>
  <c r="A1453" i="2" a="1"/>
  <c r="A2023" i="2" a="1"/>
  <c r="A1088" i="2" a="1"/>
  <c r="A1548" i="2" a="1"/>
  <c r="A2073" i="2" a="1"/>
  <c r="A236" i="2" a="1"/>
  <c r="A966" i="2" a="1"/>
  <c r="A1486" i="2" a="1"/>
  <c r="A1013" i="2" a="1"/>
  <c r="A1587" i="2" a="1"/>
  <c r="A1976" i="2" a="1"/>
  <c r="A1482" i="2" a="1"/>
  <c r="A1136" i="2" a="1"/>
  <c r="A1266" i="2" a="1"/>
  <c r="A2209" i="2" a="1"/>
  <c r="A847" i="2" a="1"/>
  <c r="A2167" i="2" a="1"/>
  <c r="A2032" i="2" a="1"/>
  <c r="A1312" i="2" a="1"/>
  <c r="A1621" i="2" a="1"/>
  <c r="A119" i="2" a="1"/>
  <c r="A2308" i="2" a="1"/>
  <c r="A1574" i="2" a="1"/>
  <c r="A858" i="2" a="1"/>
  <c r="A339" i="2" a="1"/>
  <c r="A2008" i="2" a="1"/>
  <c r="A931" i="2" a="1"/>
  <c r="A2287" i="2" a="1"/>
  <c r="A1169" i="2" a="1"/>
  <c r="A2056" i="2" a="1"/>
  <c r="A1054" i="2" a="1"/>
  <c r="A1747" i="2" a="1"/>
  <c r="A1227" i="2" a="1"/>
  <c r="A2103" i="2" a="1"/>
  <c r="A1181" i="2" a="1"/>
  <c r="A1985" i="2" a="1"/>
  <c r="A12" i="2" a="1"/>
  <c r="A1170" i="2" a="1"/>
  <c r="A1113" i="2" a="1"/>
  <c r="A2086" i="2" a="1"/>
  <c r="A607" i="2" a="1"/>
  <c r="A1711" i="2" a="1"/>
  <c r="A1596" i="2" a="1"/>
  <c r="A1863" i="2" a="1"/>
  <c r="D606" i="2" a="1"/>
  <c r="A1306" i="4" a="1"/>
  <c r="A1490" i="4" a="1"/>
  <c r="A1027" i="4" a="1"/>
  <c r="D716" i="4" a="1"/>
  <c r="A307" i="4" a="1"/>
  <c r="D456" i="4" a="1"/>
  <c r="D320" i="4" a="1"/>
  <c r="D570" i="4" a="1"/>
  <c r="A29" i="2" a="1"/>
  <c r="A187" i="2" a="1"/>
  <c r="A162" i="2" a="1"/>
  <c r="A114" i="2" a="1"/>
  <c r="A606" i="2" a="1"/>
  <c r="A313" i="2" a="1"/>
  <c r="A963" i="2" a="1"/>
  <c r="A1162" i="2" a="1"/>
  <c r="A1728" i="2" a="1"/>
  <c r="A398" i="2" a="1"/>
  <c r="A583" i="2" a="1"/>
  <c r="A1391" i="2" a="1"/>
  <c r="A694" i="2" a="1"/>
  <c r="A1631" i="2" a="1"/>
  <c r="A911" i="2" a="1"/>
  <c r="A1474" i="2" a="1"/>
  <c r="A1024" i="2" a="1"/>
  <c r="A1589" i="2" a="1"/>
  <c r="A1744" i="2" a="1"/>
  <c r="A1834" i="2" a="1"/>
  <c r="A643" i="2" a="1"/>
  <c r="A1849" i="2" a="1"/>
  <c r="A241" i="2" a="1"/>
  <c r="A1824" i="2" a="1"/>
  <c r="A290" i="2" a="1"/>
  <c r="A1721" i="2" a="1"/>
  <c r="A1210" i="2" a="1"/>
  <c r="A1743" i="2" a="1"/>
  <c r="A1970" i="2" a="1"/>
  <c r="A738" i="2" a="1"/>
  <c r="A1980" i="2" a="1"/>
  <c r="A1983" i="2" a="1"/>
  <c r="A1353" i="2" a="1"/>
  <c r="A2033" i="2" a="1"/>
  <c r="A1801" i="2" a="1"/>
  <c r="A1722" i="2" a="1"/>
  <c r="A1828" i="2" a="1"/>
  <c r="A2244" i="2" a="1"/>
  <c r="A1432" i="2" a="1"/>
  <c r="A2317" i="2" a="1"/>
  <c r="A1511" i="2" a="1"/>
  <c r="A342" i="2" a="1"/>
  <c r="A1529" i="2" a="1"/>
  <c r="A188" i="2" a="1"/>
  <c r="A1579" i="2" a="1"/>
  <c r="A1154" i="2" a="1"/>
  <c r="A1135" i="2" a="1"/>
  <c r="A600" i="2" a="1"/>
  <c r="A1645" i="2" a="1"/>
  <c r="A522" i="2" a="1"/>
  <c r="A1685" i="2" a="1"/>
  <c r="A973" i="2" a="1"/>
  <c r="A1768" i="2" a="1"/>
  <c r="A1347" i="2" a="1"/>
  <c r="A1156" i="2" a="1"/>
  <c r="A648" i="2" a="1"/>
  <c r="A2324" i="2" a="1"/>
  <c r="A1838" i="2" a="1"/>
  <c r="A307" i="2" a="1"/>
  <c r="A1569" i="2" a="1"/>
  <c r="A1781" i="2" a="1"/>
  <c r="A1927" i="2" a="1"/>
  <c r="A1759" i="2" a="1"/>
  <c r="D508" i="2" a="1"/>
  <c r="D1361" i="2" a="1"/>
  <c r="D893" i="2" a="1"/>
  <c r="D2305" i="2" a="1"/>
  <c r="D298" i="2" a="1"/>
  <c r="D250" i="2" a="1"/>
  <c r="D164" i="2" a="1"/>
  <c r="D1370" i="2" a="1"/>
  <c r="D2067" i="2" a="1"/>
  <c r="D341" i="2" a="1"/>
  <c r="D2335" i="2" a="1"/>
  <c r="D328" i="2" a="1"/>
  <c r="D361" i="2" a="1"/>
  <c r="D813" i="2" a="1"/>
  <c r="D206" i="2" a="1"/>
  <c r="D118" i="2" a="1"/>
  <c r="D272" i="2" a="1"/>
  <c r="D724" i="2" a="1"/>
  <c r="D158" i="2" a="1"/>
  <c r="D1989" i="2" a="1"/>
  <c r="D643" i="2" a="1"/>
  <c r="D1470" i="2" a="1"/>
  <c r="D2167" i="2" a="1"/>
  <c r="D1023" i="2" a="1"/>
  <c r="D632" i="2" a="1"/>
  <c r="D526" i="2" a="1"/>
  <c r="D761" i="2" a="1"/>
  <c r="D2086" i="2" a="1"/>
  <c r="D198" i="2" a="1"/>
  <c r="D1240" i="2" a="1"/>
  <c r="D1431" i="2" a="1"/>
  <c r="D89" i="2" a="1"/>
  <c r="D895" i="2" a="1"/>
  <c r="D1852" i="2" a="1"/>
  <c r="D1061" i="2" a="1"/>
  <c r="D1215" i="2" a="1"/>
  <c r="D1927" i="2" a="1"/>
  <c r="D1205" i="2" a="1"/>
  <c r="D2293" i="2" a="1"/>
  <c r="D1002" i="2" a="1"/>
  <c r="D806" i="2" a="1"/>
  <c r="D1892" i="2" a="1"/>
  <c r="D2011" i="2" a="1"/>
  <c r="D2171" i="2" a="1"/>
  <c r="D82" i="2" a="1"/>
  <c r="D985" i="2" a="1"/>
  <c r="D832" i="2" a="1"/>
  <c r="D1539" i="2" a="1"/>
  <c r="D2214" i="2" a="1"/>
  <c r="D49" i="2" a="1"/>
  <c r="D1689" i="2" a="1"/>
  <c r="D1513" i="2" a="1"/>
  <c r="D1145" i="2" a="1"/>
  <c r="D2278" i="2" a="1"/>
  <c r="D1839" i="2" a="1"/>
  <c r="D1916" i="2" a="1"/>
  <c r="D669" i="4" a="1"/>
  <c r="A255" i="2" a="1"/>
  <c r="A512" i="2" a="1"/>
  <c r="A1424" i="2" a="1"/>
  <c r="A1056" i="2" a="1"/>
  <c r="A1386" i="2" a="1"/>
  <c r="D268" i="2" a="1"/>
  <c r="D914" i="2" a="1"/>
  <c r="D1889" i="2" a="1"/>
  <c r="D1899" i="2" a="1"/>
  <c r="D1195" i="2" a="1"/>
  <c r="D894" i="2" a="1"/>
  <c r="D583" i="2" a="1"/>
  <c r="D1211" i="2" a="1"/>
  <c r="D736" i="2" a="1"/>
  <c r="D168" i="2" a="1"/>
  <c r="D274" i="2" a="1"/>
  <c r="D764" i="2" a="1"/>
  <c r="D2205" i="2" a="1"/>
  <c r="D789" i="2" a="1"/>
  <c r="D59" i="2" a="1"/>
  <c r="D693" i="2" a="1"/>
  <c r="D577" i="2" a="1"/>
  <c r="D1070" i="2" a="1"/>
  <c r="D1038" i="2" a="1"/>
  <c r="D1463" i="2" a="1"/>
  <c r="D1675" i="2" a="1"/>
  <c r="D1522" i="2" a="1"/>
  <c r="D1446" i="2" a="1"/>
  <c r="D130" i="2" a="1"/>
  <c r="D1668" i="2" a="1"/>
  <c r="D642" i="2" a="1"/>
  <c r="D1120" i="2" a="1"/>
  <c r="D1865" i="2" a="1"/>
  <c r="D1452" i="2" a="1"/>
  <c r="D2218" i="2" a="1"/>
  <c r="D918" i="2" a="1"/>
  <c r="D2233" i="2" a="1"/>
  <c r="D1752" i="2" a="1"/>
  <c r="D1069" i="2" a="1"/>
  <c r="D1454" i="2" a="1"/>
  <c r="D1623" i="2" a="1"/>
  <c r="D1576" i="2" a="1"/>
  <c r="D1404" i="2" a="1"/>
  <c r="D1788" i="2" a="1"/>
  <c r="D1459" i="2" a="1"/>
  <c r="D1492" i="2" a="1"/>
  <c r="D326" i="2" a="1"/>
  <c r="D220" i="2" a="1"/>
  <c r="D780" i="2" a="1"/>
  <c r="D2275" i="2" a="1"/>
  <c r="D981" i="2" a="1"/>
  <c r="D2184" i="2" a="1"/>
  <c r="D1044" i="2" a="1"/>
  <c r="D141" i="2" a="1"/>
  <c r="D1496" i="2" a="1"/>
  <c r="D1558" i="2" a="1"/>
  <c r="D1708" i="2" a="1"/>
  <c r="D886" i="2" a="1"/>
  <c r="D46" i="2" a="1"/>
  <c r="D798" i="2" a="1"/>
  <c r="D61" i="2" a="1"/>
  <c r="D695" i="2" a="1"/>
  <c r="D96" i="2" a="1"/>
  <c r="D1157" i="2" a="1"/>
  <c r="D1748" i="2" a="1"/>
  <c r="D1082" i="2" a="1"/>
  <c r="D2053" i="2" a="1"/>
  <c r="D1770" i="2" a="1"/>
  <c r="D2183" i="2" a="1"/>
  <c r="D1814" i="2" a="1"/>
  <c r="D349" i="2" a="1"/>
  <c r="D1113" i="2" a="1"/>
  <c r="D1416" i="2" a="1"/>
  <c r="D1944" i="2" a="1"/>
  <c r="D1673" i="2" a="1"/>
  <c r="D1775" i="2" a="1"/>
  <c r="D1760" i="2" a="1"/>
  <c r="D1805" i="2" a="1"/>
  <c r="D826" i="2" a="1"/>
  <c r="D1097" i="2" a="1"/>
  <c r="D2352" i="2" a="1"/>
  <c r="D1516" i="2" a="1"/>
  <c r="D582" i="2" a="1"/>
  <c r="D1094" i="2" a="1"/>
  <c r="D1757" i="2" a="1"/>
  <c r="D1569" i="2" a="1"/>
  <c r="D210" i="2" a="1"/>
  <c r="D1592" i="2" a="1"/>
  <c r="D501" i="2" a="1"/>
  <c r="D492" i="2" a="1"/>
  <c r="D540" i="2" a="1"/>
  <c r="D1753" i="2" a="1"/>
  <c r="D1922" i="2" a="1"/>
  <c r="D519" i="2" a="1"/>
  <c r="D1900" i="2" a="1"/>
  <c r="D1550" i="2" a="1"/>
  <c r="D429" i="2" a="1"/>
  <c r="D829" i="2" a="1"/>
  <c r="D1664" i="2" a="1"/>
  <c r="D1317" i="2" a="1"/>
  <c r="D413" i="2" a="1"/>
  <c r="D1898" i="2" a="1"/>
  <c r="D1040" i="2" a="1"/>
  <c r="D1743" i="2" a="1"/>
  <c r="A670" i="2" a="1"/>
  <c r="D103" i="2" a="1"/>
  <c r="D1728" i="2" a="1"/>
  <c r="D1671" i="2" a="1"/>
  <c r="D2299" i="2" a="1"/>
  <c r="D1762" i="2" a="1"/>
  <c r="A299" i="4" a="1"/>
  <c r="A126" i="2" a="1"/>
  <c r="A972" i="2" a="1"/>
  <c r="A1230" i="2" a="1"/>
  <c r="A1459" i="2" a="1"/>
  <c r="A2265" i="2" a="1"/>
  <c r="D271" i="2" a="1"/>
  <c r="D2065" i="2" a="1"/>
  <c r="D969" i="2" a="1"/>
  <c r="D287" i="2" a="1"/>
  <c r="D1334" i="2" a="1"/>
  <c r="D722" i="2" a="1"/>
  <c r="D204" i="2" a="1"/>
  <c r="D357" i="2" a="1"/>
  <c r="D507" i="2" a="1"/>
  <c r="D408" i="2" a="1"/>
  <c r="D621" i="2" a="1"/>
  <c r="D165" i="2" a="1"/>
  <c r="D1279" i="2" a="1"/>
  <c r="D101" i="2" a="1"/>
  <c r="D672" i="2" a="1"/>
  <c r="D74" i="2" a="1"/>
  <c r="D2192" i="2" a="1"/>
  <c r="D2024" i="2" a="1"/>
  <c r="D1408" i="2" a="1"/>
  <c r="D2348" i="2" a="1"/>
  <c r="D491" i="2" a="1"/>
  <c r="D2362" i="2" a="1"/>
  <c r="D2093" i="2" a="1"/>
  <c r="D1006" i="2" a="1"/>
  <c r="D2048" i="2" a="1"/>
  <c r="D2327" i="2" a="1"/>
  <c r="D1849" i="2" a="1"/>
  <c r="D2097" i="2" a="1"/>
  <c r="D2354" i="2" a="1"/>
  <c r="D2141" i="2" a="1"/>
  <c r="D1794" i="2" a="1"/>
  <c r="D1787" i="2" a="1"/>
  <c r="D1574" i="2" a="1"/>
  <c r="D2228" i="2" a="1"/>
  <c r="D1427" i="2" a="1"/>
  <c r="D1771" i="2" a="1"/>
  <c r="D723" i="2" a="1"/>
  <c r="D1765" i="2" a="1"/>
  <c r="D2013" i="2" a="1"/>
  <c r="D2317" i="2" a="1"/>
  <c r="D2049" i="2" a="1"/>
  <c r="D521" i="2" a="1"/>
  <c r="D1024" i="2" a="1"/>
  <c r="D2265" i="2" a="1"/>
  <c r="D1631" i="2" a="1"/>
  <c r="D2201" i="2" a="1"/>
  <c r="D988" i="2" a="1"/>
  <c r="D2339" i="2" a="1"/>
  <c r="D1192" i="2" a="1"/>
  <c r="D1218" i="2" a="1"/>
  <c r="D1409" i="2" a="1"/>
  <c r="D1403" i="2" a="1"/>
  <c r="D1829" i="2" a="1"/>
  <c r="D407" i="2" a="1"/>
  <c r="D1465" i="2" a="1"/>
  <c r="D1126" i="2" a="1"/>
  <c r="D1265" i="2" a="1"/>
  <c r="D1267" i="2" a="1"/>
  <c r="D1346" i="2" a="1"/>
  <c r="A2143" i="2" a="1"/>
  <c r="D1565" i="2" a="1"/>
  <c r="D1527" i="2" a="1"/>
  <c r="D1694" i="2" a="1"/>
  <c r="D478" i="2" a="1"/>
  <c r="D2351" i="2" a="1"/>
  <c r="D1185" i="2" a="1"/>
  <c r="D2353" i="2" a="1"/>
  <c r="D2059" i="2" a="1"/>
  <c r="D1764" i="2" a="1"/>
  <c r="D2125" i="2" a="1"/>
  <c r="D1410" i="2" a="1"/>
  <c r="D1114" i="2" a="1"/>
  <c r="D691" i="2" a="1"/>
  <c r="D1200" i="2" a="1"/>
  <c r="D1096" i="2" a="1"/>
  <c r="D1083" i="2" a="1"/>
  <c r="D1401" i="2" a="1"/>
  <c r="D1833" i="2" a="1"/>
  <c r="D2181" i="2" a="1"/>
  <c r="D1258" i="2" a="1"/>
  <c r="D1318" i="2" a="1"/>
  <c r="D332" i="2" a="1"/>
  <c r="D859" i="2" a="1"/>
  <c r="D1985" i="2" a="1"/>
  <c r="D1473" i="2" a="1"/>
  <c r="D217" i="2" a="1"/>
  <c r="D1075" i="2" a="1"/>
  <c r="D1034" i="2" a="1"/>
  <c r="D668" i="2" a="1"/>
  <c r="D1575" i="2" a="1"/>
  <c r="D817" i="2" a="1"/>
  <c r="D1224" i="2" a="1"/>
  <c r="A2133" i="2" a="1"/>
  <c r="D375" i="2" a="1"/>
  <c r="D2123" i="2" a="1"/>
  <c r="D1981" i="2" a="1"/>
  <c r="A249" i="4" a="1"/>
  <c r="A1063" i="2" a="1"/>
  <c r="A1149" i="2" a="1"/>
  <c r="A672" i="2" a="1"/>
  <c r="A1888" i="2" a="1"/>
  <c r="A581" i="2" a="1"/>
  <c r="D881" i="2" a="1"/>
  <c r="D1607" i="2" a="1"/>
  <c r="D2075" i="2" a="1"/>
  <c r="D1300" i="2" a="1"/>
  <c r="D1697" i="2" a="1"/>
  <c r="D92" i="2" a="1"/>
  <c r="D684" i="2" a="1"/>
  <c r="D613" i="2" a="1"/>
  <c r="D340" i="2" a="1"/>
  <c r="D648" i="2" a="1"/>
  <c r="D1021" i="2" a="1"/>
  <c r="D405" i="2" a="1"/>
  <c r="D1943" i="2" a="1"/>
  <c r="D974" i="2" a="1"/>
  <c r="D1053" i="2" a="1"/>
  <c r="D316" i="2" a="1"/>
  <c r="D1735" i="2" a="1"/>
  <c r="D1990" i="2" a="1"/>
  <c r="D1729" i="2" a="1"/>
  <c r="D1828" i="2" a="1"/>
  <c r="D1353" i="2" a="1"/>
  <c r="D1871" i="2" a="1"/>
  <c r="D2249" i="2" a="1"/>
  <c r="D202" i="2" a="1"/>
  <c r="D1442" i="2" a="1"/>
  <c r="D1188" i="2" a="1"/>
  <c r="D1122" i="2" a="1"/>
  <c r="D1613" i="2" a="1"/>
  <c r="D1310" i="2" a="1"/>
  <c r="D800" i="2" a="1"/>
  <c r="D1373" i="2" a="1"/>
  <c r="D1072" i="2" a="1"/>
  <c r="D1975" i="2" a="1"/>
  <c r="D1462" i="2" a="1"/>
  <c r="D1741" i="2" a="1"/>
  <c r="D1438" i="2" a="1"/>
  <c r="D86" i="2" a="1"/>
  <c r="D1054" i="2" a="1"/>
  <c r="D1862" i="2" a="1"/>
  <c r="D1625" i="2" a="1"/>
  <c r="D1432" i="2" a="1"/>
  <c r="D572" i="2" a="1"/>
  <c r="D251" i="2" a="1"/>
  <c r="D2020" i="2" a="1"/>
  <c r="D1313" i="2" a="1"/>
  <c r="D607" i="2" a="1"/>
  <c r="D796" i="2" a="1"/>
  <c r="D846" i="2" a="1"/>
  <c r="D1067" i="2" a="1"/>
  <c r="D989" i="2" a="1"/>
  <c r="D760" i="2" a="1"/>
  <c r="D2174" i="2" a="1"/>
  <c r="D67" i="2" a="1"/>
  <c r="D1855" i="2" a="1"/>
  <c r="D1882" i="2" a="1"/>
  <c r="D529" i="2" a="1"/>
  <c r="D1397" i="2" a="1"/>
  <c r="D1657" i="2" a="1"/>
  <c r="D1594" i="2" a="1"/>
  <c r="D230" i="2" a="1"/>
  <c r="D2356" i="2" a="1"/>
  <c r="D50" i="2" a="1"/>
  <c r="D1100" i="2" a="1"/>
  <c r="D1914" i="2" a="1"/>
  <c r="D2069" i="2" a="1"/>
  <c r="D120" i="2" a="1"/>
  <c r="D2159" i="2" a="1"/>
  <c r="D1308" i="2" a="1"/>
  <c r="D1726" i="2" a="1"/>
  <c r="D1563" i="2" a="1"/>
  <c r="D2232" i="2" a="1"/>
  <c r="D430" i="2" a="1"/>
  <c r="D2347" i="2" a="1"/>
  <c r="D527" i="2" a="1"/>
  <c r="D1562" i="2" a="1"/>
  <c r="D930" i="2" a="1"/>
  <c r="D1222" i="2" a="1"/>
  <c r="D1948" i="2" a="1"/>
  <c r="D1213" i="2" a="1"/>
  <c r="D1478" i="2" a="1"/>
  <c r="D2" i="2" a="1"/>
  <c r="D1020" i="2" a="1"/>
  <c r="D608" i="2" a="1"/>
  <c r="D786" i="2" a="1"/>
  <c r="D18" i="2" a="1"/>
  <c r="D2332" i="2" a="1"/>
  <c r="D979" i="2" a="1"/>
  <c r="D1394" i="2" a="1"/>
  <c r="A1337" i="2" a="1"/>
  <c r="D2070" i="2" a="1"/>
  <c r="D180" i="2" a="1"/>
  <c r="D562" i="2" a="1"/>
  <c r="A12" i="4" a="1"/>
  <c r="A91" i="2" a="1"/>
  <c r="A42" i="2" a="1"/>
  <c r="A1895" i="2" a="1"/>
  <c r="A734" i="2" a="1"/>
  <c r="A1374" i="2" a="1"/>
  <c r="D1121" i="2" a="1"/>
  <c r="D1107" i="2" a="1"/>
  <c r="D2315" i="2" a="1"/>
  <c r="D1571" i="2" a="1"/>
  <c r="D1940" i="2" a="1"/>
  <c r="D1248" i="2" a="1"/>
  <c r="D805" i="2" a="1"/>
  <c r="D234" i="2" a="1"/>
  <c r="D922" i="2" a="1"/>
  <c r="D1013" i="2" a="1"/>
  <c r="D1261" i="2" a="1"/>
  <c r="D645" i="2" a="1"/>
  <c r="D1519" i="2" a="1"/>
  <c r="D1505" i="2" a="1"/>
  <c r="D1293" i="2" a="1"/>
  <c r="D556" i="2" a="1"/>
  <c r="D660" i="2" a="1"/>
  <c r="D1926" i="2" a="1"/>
  <c r="D1584" i="2" a="1"/>
  <c r="D2321" i="2" a="1"/>
  <c r="D986" i="2" a="1"/>
  <c r="D1848" i="2" a="1"/>
  <c r="D2202" i="2" a="1"/>
  <c r="D1028" i="2" a="1"/>
  <c r="D2143" i="2" a="1"/>
  <c r="D2229" i="2" a="1"/>
  <c r="D1840" i="2" a="1"/>
  <c r="D258" i="2" a="1"/>
  <c r="D2289" i="2" a="1"/>
  <c r="D2063" i="2" a="1"/>
  <c r="D2055" i="2" a="1"/>
  <c r="D874" i="2" a="1"/>
  <c r="D1802" i="2" a="1"/>
  <c r="D2318" i="2" a="1"/>
  <c r="D462" i="2" a="1"/>
  <c r="D769" i="2" a="1"/>
  <c r="D139" i="2" a="1"/>
  <c r="D2128" i="2" a="1"/>
  <c r="D84" i="2" a="1"/>
  <c r="D182" i="2" a="1"/>
  <c r="D1980" i="2" a="1"/>
  <c r="D129" i="2" a="1"/>
  <c r="D1350" i="2" a="1"/>
  <c r="D2044" i="2" a="1"/>
  <c r="D1705" i="2" a="1"/>
  <c r="D1820" i="2" a="1"/>
  <c r="D2102" i="2" a="1"/>
  <c r="D2098" i="2" a="1"/>
  <c r="D1946" i="2" a="1"/>
  <c r="D1722" i="2" a="1"/>
  <c r="D1125" i="2" a="1"/>
  <c r="D2244" i="2" a="1"/>
  <c r="D240" i="2" a="1"/>
  <c r="D960" i="2" a="1"/>
  <c r="D1906" i="2" a="1"/>
  <c r="D2333" i="2" a="1"/>
  <c r="D1049" i="2" a="1"/>
  <c r="D983" i="2" a="1"/>
  <c r="D1702" i="2" a="1"/>
  <c r="D1277" i="2" a="1"/>
  <c r="D1440" i="2" a="1"/>
  <c r="D387" i="2" a="1"/>
  <c r="D127" i="2" a="1"/>
  <c r="D1388" i="2" a="1"/>
  <c r="D2108" i="2" a="1"/>
  <c r="D2219" i="2" a="1"/>
  <c r="D2324" i="2" a="1"/>
  <c r="D560" i="2" a="1"/>
  <c r="D954" i="2" a="1"/>
  <c r="D1434" i="2" a="1"/>
  <c r="D200" i="2" a="1"/>
  <c r="D2140" i="2" a="1"/>
  <c r="D2287" i="2" a="1"/>
  <c r="D2117" i="2" a="1"/>
  <c r="D2251" i="2" a="1"/>
  <c r="D1529" i="2" a="1"/>
  <c r="D1198" i="2" a="1"/>
  <c r="D1506" i="2" a="1"/>
  <c r="D1368" i="2" a="1"/>
  <c r="D1738" i="2" a="1"/>
  <c r="D845" i="2" a="1"/>
  <c r="D2153" i="2" a="1"/>
  <c r="D359" i="2" a="1"/>
  <c r="D734" i="2" a="1"/>
  <c r="D267" i="2" a="1"/>
  <c r="D2253" i="2" a="1"/>
  <c r="D2034" i="2" a="1"/>
  <c r="D1027" i="2" a="1"/>
  <c r="D2142" i="2" a="1"/>
  <c r="A180" i="2" a="1"/>
  <c r="D489" i="2" a="1"/>
  <c r="D1817" i="2" a="1"/>
  <c r="D1583" i="2" a="1"/>
  <c r="D77" i="2" a="1"/>
  <c r="A350" i="4" a="1"/>
  <c r="A1457" i="2" a="1"/>
  <c r="A2229" i="2" a="1"/>
  <c r="A1390" i="2" a="1"/>
  <c r="A1316" i="2" a="1"/>
  <c r="A1008" i="2" a="1"/>
  <c r="D523" i="2" a="1"/>
  <c r="D2022" i="2" a="1"/>
  <c r="D1552" i="2" a="1"/>
  <c r="D822" i="2" a="1"/>
  <c r="D1531" i="2" a="1"/>
  <c r="D1603" i="2" a="1"/>
  <c r="D439" i="2" a="1"/>
  <c r="D355" i="2" a="1"/>
  <c r="D541" i="2" a="1"/>
  <c r="D1253" i="2" a="1"/>
  <c r="D392" i="2" a="1"/>
  <c r="D1436" i="2" a="1"/>
  <c r="D2221" i="2" a="1"/>
  <c r="A2198" i="4" a="1"/>
  <c r="A49" i="2" a="1"/>
  <c r="A2216" i="2" a="1"/>
  <c r="A869" i="2" a="1"/>
  <c r="A2243" i="2" a="1"/>
  <c r="A1438" i="2" a="1"/>
  <c r="D624" i="2" a="1"/>
  <c r="D169" i="2" a="1"/>
  <c r="D460" i="2" a="1"/>
  <c r="D1851" i="2" a="1"/>
  <c r="D1160" i="2" a="1"/>
  <c r="D1919" i="2" a="1"/>
  <c r="D951" i="2" a="1"/>
  <c r="D595" i="2" a="1"/>
  <c r="D401" i="2" a="1"/>
  <c r="D312" i="2" a="1"/>
  <c r="D390" i="2" a="1"/>
  <c r="D286" i="2" a="1"/>
  <c r="D2080" i="2" a="1"/>
  <c r="D899" i="2" a="1"/>
  <c r="D87" i="2" a="1"/>
  <c r="D218" i="2" a="1"/>
  <c r="D967" i="2" a="1"/>
  <c r="D759" i="4" a="1"/>
  <c r="A98" i="2" a="1"/>
  <c r="A1237" i="2" a="1"/>
  <c r="A797" i="2" a="1"/>
  <c r="A2" i="2" a="1"/>
  <c r="A1358" i="2" a="1"/>
  <c r="D25" i="2" a="1"/>
  <c r="D35" i="2" a="1"/>
  <c r="D1677" i="2" a="1"/>
  <c r="D2206" i="2" a="1"/>
  <c r="D1398" i="2" a="1"/>
  <c r="D261" i="2" a="1"/>
  <c r="D1191" i="2" a="1"/>
  <c r="A270" i="2" a="1"/>
  <c r="D1407" i="2" a="1"/>
  <c r="D906" i="2" a="1"/>
  <c r="D942" i="2" a="1"/>
  <c r="D1031" i="2" a="1"/>
  <c r="D2320" i="2" a="1"/>
  <c r="D1701" i="2" a="1"/>
  <c r="D1088" i="2" a="1"/>
  <c r="D458" i="2" a="1"/>
  <c r="D1032" i="2" a="1"/>
  <c r="D1695" i="2" a="1"/>
  <c r="D824" i="2" a="1"/>
  <c r="D2301" i="2" a="1"/>
  <c r="D1670" i="2" a="1"/>
  <c r="D1698" i="2" a="1"/>
  <c r="D1683" i="2" a="1"/>
  <c r="D907" i="2" a="1"/>
  <c r="A514" i="4" a="1"/>
  <c r="A1111" i="2" a="1"/>
  <c r="A1622" i="2" a="1"/>
  <c r="A1066" i="2" a="1"/>
  <c r="A359" i="2" a="1"/>
  <c r="A839" i="2" a="1"/>
  <c r="D265" i="2" a="1"/>
  <c r="D275" i="2" a="1"/>
  <c r="D2190" i="2" a="1"/>
  <c r="D889" i="2" a="1"/>
  <c r="D1984" i="2" a="1"/>
  <c r="D1754" i="2" a="1"/>
  <c r="D257" i="2" a="1"/>
  <c r="D143" i="2" a="1"/>
  <c r="D1164" i="2" a="1"/>
  <c r="D1146" i="2" a="1"/>
  <c r="D591" i="2" a="1"/>
  <c r="D1271" i="2" a="1"/>
  <c r="A2166" i="2" a="1"/>
  <c r="D2215" i="2" a="1"/>
  <c r="D841" i="2" a="1"/>
  <c r="D121" i="2" a="1"/>
  <c r="D1987" i="2" a="1"/>
  <c r="D1618" i="2" a="1"/>
  <c r="D939" i="2" a="1"/>
  <c r="D1228" i="2" a="1"/>
  <c r="D797" i="2" a="1"/>
  <c r="D1634" i="2" a="1"/>
  <c r="D2222" i="2" a="1"/>
  <c r="D1129" i="2" a="1"/>
  <c r="D452" i="2" a="1"/>
  <c r="D2329" i="2" a="1"/>
  <c r="D1945" i="2" a="1"/>
  <c r="A512" i="4" a="1"/>
  <c r="A1752" i="2" a="1"/>
  <c r="A2037" i="2" a="1"/>
  <c r="A2041" i="2" a="1"/>
  <c r="A1098" i="2" a="1"/>
  <c r="A2176" i="2" a="1"/>
  <c r="D528" i="2" a="1"/>
  <c r="D515" i="2" a="1"/>
  <c r="D1115" i="2" a="1"/>
  <c r="D1641" i="2" a="1"/>
  <c r="D1717" i="2" a="1"/>
  <c r="D1339" i="2" a="1"/>
  <c r="D214" i="2" a="1"/>
  <c r="D383" i="2" a="1"/>
  <c r="D1014" i="2" a="1"/>
  <c r="D679" i="2" a="1"/>
  <c r="D481" i="2" a="1"/>
  <c r="D657" i="2" a="1"/>
  <c r="D175" i="2" a="1"/>
  <c r="D1327" i="2" a="1"/>
  <c r="D167" i="2" a="1"/>
  <c r="D731" i="2" a="1"/>
  <c r="D1913" i="2" a="1"/>
  <c r="D2308" i="2" a="1"/>
  <c r="D1660" i="2" a="1"/>
  <c r="D1577" i="2" a="1"/>
  <c r="D1099" i="2" a="1"/>
  <c r="D1991" i="2" a="1"/>
  <c r="D427" i="2" a="1"/>
  <c r="D2246" i="2" a="1"/>
  <c r="D1057" i="2" a="1"/>
  <c r="D2309" i="2" a="1"/>
  <c r="D1977" i="2" a="1"/>
  <c r="D281" i="2" a="1"/>
  <c r="D1973" i="2" a="1"/>
  <c r="D2273" i="2" a="1"/>
  <c r="D2126" i="2" a="1"/>
  <c r="A278" i="4" a="1"/>
  <c r="A1117" i="2" a="1"/>
  <c r="A412" i="2" a="1"/>
  <c r="A1095" i="2" a="1"/>
  <c r="A2163" i="2" a="1"/>
  <c r="A1512" i="2" a="1"/>
  <c r="D289" i="2" a="1"/>
  <c r="D755" i="2" a="1"/>
  <c r="A1000" i="2" a="1"/>
  <c r="D1287" i="2" a="1"/>
  <c r="D1309" i="2" a="1"/>
  <c r="D1606" i="2" a="1"/>
  <c r="D335" i="2" a="1"/>
  <c r="D623" i="2" a="1"/>
  <c r="D650" i="2" a="1"/>
  <c r="D449" i="2" a="1"/>
  <c r="D1087" i="2" a="1"/>
  <c r="D422" i="2" a="1"/>
  <c r="D415" i="2" a="1"/>
  <c r="D1983" i="2" a="1"/>
  <c r="D1255" i="2" a="1"/>
  <c r="D1063" i="2" a="1"/>
  <c r="D2272" i="2" a="1"/>
  <c r="D1938" i="2" a="1"/>
  <c r="D772" i="2" a="1"/>
  <c r="D1951" i="2" a="1"/>
  <c r="D1639" i="2" a="1"/>
  <c r="D1680" i="2" a="1"/>
  <c r="D2138" i="2" a="1"/>
  <c r="D1589" i="2" a="1"/>
  <c r="D1402" i="2" a="1"/>
  <c r="D752" i="2" a="1"/>
  <c r="D243" i="2" a="1"/>
  <c r="D1307" i="2" a="1"/>
  <c r="D768" i="2" a="1"/>
  <c r="D1711" i="2" a="1"/>
  <c r="D1776" i="2" a="1"/>
  <c r="D1422" i="2" a="1"/>
  <c r="D950" i="2" a="1"/>
  <c r="D1199" i="2" a="1"/>
  <c r="D377" i="2" a="1"/>
  <c r="D1275" i="2" a="1"/>
  <c r="D27" i="2" a="1"/>
  <c r="D1678" i="2" a="1"/>
  <c r="D52" i="2" a="1"/>
  <c r="D1595" i="2" a="1"/>
  <c r="D1193" i="2" a="1"/>
  <c r="D97" i="2" a="1"/>
  <c r="D1423" i="2" a="1"/>
  <c r="D1978" i="2" a="1"/>
  <c r="D2018" i="2" a="1"/>
  <c r="D1518" i="2" a="1"/>
  <c r="D1715" i="2" a="1"/>
  <c r="D2103" i="2" a="1"/>
  <c r="D1804" i="2" a="1"/>
  <c r="D1475" i="2" a="1"/>
  <c r="D342" i="2" a="1"/>
  <c r="D1806" i="2" a="1"/>
  <c r="D2107" i="2" a="1"/>
  <c r="D2343" i="2" a="1"/>
  <c r="D2217" i="2" a="1"/>
  <c r="D590" i="2" a="1"/>
  <c r="D1936" i="2" a="1"/>
  <c r="D1924" i="2" a="1"/>
  <c r="D1721" i="2" a="1"/>
  <c r="D117" i="2" a="1"/>
  <c r="D310" i="2" a="1"/>
  <c r="D2064" i="2" a="1"/>
  <c r="A1072" i="2" a="1"/>
  <c r="D863" i="2" a="1"/>
  <c r="D933" i="2" a="1"/>
  <c r="D1484" i="2" a="1"/>
  <c r="D1311" i="2" a="1"/>
  <c r="D567" i="2" a="1"/>
  <c r="D2313" i="2" a="1"/>
  <c r="D116" i="4" a="1"/>
  <c r="A501" i="2" a="1"/>
  <c r="A2102" i="2" a="1"/>
  <c r="A1755" i="2" a="1"/>
  <c r="A1034" i="2" a="1"/>
  <c r="A1881" i="2" a="1"/>
  <c r="D891" i="2" a="1"/>
  <c r="D156" i="2" a="1"/>
  <c r="D63" i="2" a="1"/>
  <c r="D73" i="2" a="1"/>
  <c r="D2077" i="2" a="1"/>
  <c r="D710" i="2" a="1"/>
  <c r="D575" i="2" a="1"/>
  <c r="D4" i="2" a="1"/>
  <c r="D1378" i="2" a="1"/>
  <c r="D1759" i="2" a="1"/>
  <c r="D1480" i="2" a="1"/>
  <c r="D757" i="2" a="1"/>
  <c r="D655" i="2" a="1"/>
  <c r="D1553" i="2" a="1"/>
  <c r="D1202" i="2" a="1"/>
  <c r="A1615" i="2" a="1"/>
  <c r="D2189" i="2" a="1"/>
  <c r="D1134" i="2" a="1"/>
  <c r="D1084" i="2" a="1"/>
  <c r="D855" i="2" a="1"/>
  <c r="D1568" i="2" a="1"/>
  <c r="D1010" i="2" a="1"/>
  <c r="D300" i="2" a="1"/>
  <c r="D1958" i="2" a="1"/>
  <c r="D2360" i="2" a="1"/>
  <c r="D2088" i="2" a="1"/>
  <c r="D465" i="2" a="1"/>
  <c r="D682" i="2" a="1"/>
  <c r="D1768" i="2" a="1"/>
  <c r="D1858" i="2" a="1"/>
  <c r="D410" i="2" a="1"/>
  <c r="D1174" i="2" a="1"/>
  <c r="D1330" i="2" a="1"/>
  <c r="D1548" i="2" a="1"/>
  <c r="D1949" i="2" a="1"/>
  <c r="D532" i="2" a="1"/>
  <c r="D1467" i="2" a="1"/>
  <c r="D2234" i="2" a="1"/>
  <c r="D1479" i="2" a="1"/>
  <c r="D2007" i="2" a="1"/>
  <c r="D580" i="2" a="1"/>
  <c r="D1335" i="2" a="1"/>
  <c r="D2311" i="2" a="1"/>
  <c r="D1534" i="2" a="1"/>
  <c r="D1303" i="2" a="1"/>
  <c r="D1485" i="2" a="1"/>
  <c r="D1617" i="2" a="1"/>
  <c r="D397" i="2" a="1"/>
  <c r="D1619" i="2" a="1"/>
  <c r="D1374" i="2" a="1"/>
  <c r="D1280" i="2" a="1"/>
  <c r="D2130" i="2" a="1"/>
  <c r="D1348" i="2" a="1"/>
  <c r="D2264" i="2" a="1"/>
  <c r="D1386" i="2" a="1"/>
  <c r="D1379" i="2" a="1"/>
  <c r="D698" i="2" a="1"/>
  <c r="D1681" i="2" a="1"/>
  <c r="D2120" i="2" a="1"/>
  <c r="D1699" i="2" a="1"/>
  <c r="D1474" i="2" a="1"/>
  <c r="D808" i="2" a="1"/>
  <c r="D522" i="2" a="1"/>
  <c r="D2003" i="2" a="1"/>
  <c r="A2250" i="2" a="1"/>
  <c r="D163" i="2" a="1"/>
  <c r="D1763" i="2" a="1"/>
  <c r="D631" i="2" a="1"/>
  <c r="D1884" i="2" a="1"/>
  <c r="D1461" i="2" a="1"/>
  <c r="A1259" i="2" a="1"/>
  <c r="D213" i="2" a="1"/>
  <c r="D890" i="2" a="1"/>
  <c r="D1921" i="2" a="1"/>
  <c r="D588" i="4" a="1"/>
  <c r="A984" i="2" a="1"/>
  <c r="A2149" i="2" a="1"/>
  <c r="A460" i="2" a="1"/>
  <c r="A1284" i="2" a="1"/>
  <c r="A957" i="2" a="1"/>
  <c r="D1131" i="2" a="1"/>
  <c r="D396" i="2" a="1"/>
  <c r="D543" i="2" a="1"/>
  <c r="D313" i="2" a="1"/>
  <c r="D669" i="2" a="1"/>
  <c r="D1736" i="2" a="1"/>
  <c r="D815" i="2" a="1"/>
  <c r="D244" i="2" a="1"/>
  <c r="D1749" i="2" a="1"/>
  <c r="D1999" i="2" a="1"/>
  <c r="D1295" i="2" a="1"/>
  <c r="D499" i="2" a="1"/>
  <c r="D56" i="2" a="1"/>
  <c r="D2096" i="2" a="1"/>
  <c r="D1830" i="2" a="1"/>
  <c r="D804" i="2" a="1"/>
  <c r="D1887" i="2" a="1"/>
  <c r="D908" i="2" a="1"/>
  <c r="D1556" i="2" a="1"/>
  <c r="D647" i="2" a="1"/>
  <c r="D1608" i="2" a="1"/>
  <c r="D1796" i="2" a="1"/>
  <c r="D2198" i="2" a="1"/>
  <c r="D1383" i="2" a="1"/>
  <c r="D1963" i="2" a="1"/>
  <c r="D811" i="2" a="1"/>
  <c r="D248" i="2" a="1"/>
  <c r="D1168" i="2" a="1"/>
  <c r="D2337" i="2" a="1"/>
  <c r="D1387" i="2" a="1"/>
  <c r="D1533" i="2" a="1"/>
  <c r="D1586" i="2" a="1"/>
  <c r="D1939" i="2" a="1"/>
  <c r="D965" i="2" a="1"/>
  <c r="D1856" i="2" a="1"/>
  <c r="D1967" i="2" a="1"/>
  <c r="D1609" i="2" a="1"/>
  <c r="D1405" i="2" a="1"/>
  <c r="D1979" i="2" a="1"/>
  <c r="D1766" i="2" a="1"/>
  <c r="D1236" i="2" a="1"/>
  <c r="D1424" i="2" a="1"/>
  <c r="D1773" i="2" a="1"/>
  <c r="D1233" i="2" a="1"/>
  <c r="D876" i="2" a="1"/>
  <c r="D192" i="2" a="1"/>
  <c r="D992" i="2" a="1"/>
  <c r="D1242" i="2" a="1"/>
  <c r="D1712" i="2" a="1"/>
  <c r="D1336" i="2" a="1"/>
  <c r="D411" i="2" a="1"/>
  <c r="D419" i="2" a="1"/>
  <c r="D382" i="2" a="1"/>
  <c r="D346" i="2" a="1"/>
  <c r="D1162" i="2" a="1"/>
  <c r="D739" i="2" a="1"/>
  <c r="D1302" i="2" a="1"/>
  <c r="D1662" i="2" a="1"/>
  <c r="D610" i="2" a="1"/>
  <c r="D629" i="2" a="1"/>
  <c r="D1085" i="2" a="1"/>
  <c r="D938" i="2" a="1"/>
  <c r="D1256" i="2" a="1"/>
  <c r="A237" i="2" a="1"/>
  <c r="D1602" i="2" a="1"/>
  <c r="D1183" i="2" a="1"/>
  <c r="D708" i="2" a="1"/>
  <c r="D653" i="2" a="1"/>
  <c r="D1888" i="2" a="1"/>
  <c r="D1208" i="2" a="1"/>
  <c r="D1815" i="2" a="1"/>
  <c r="D386" i="4" a="1"/>
  <c r="A2321" i="2" a="1"/>
  <c r="A2114" i="2" a="1"/>
  <c r="A2051" i="2" a="1"/>
  <c r="A1595" i="2" a="1"/>
  <c r="A592" i="2" a="1"/>
  <c r="D1371" i="2" a="1"/>
  <c r="D636" i="2" a="1"/>
  <c r="D646" i="2" a="1"/>
  <c r="D793" i="2" a="1"/>
  <c r="D184" i="2" a="1"/>
  <c r="D2220" i="2" a="1"/>
  <c r="D216" i="2" a="1"/>
  <c r="D484" i="2" a="1"/>
  <c r="D1433" i="2" a="1"/>
  <c r="D878" i="2" a="1"/>
  <c r="D1800" i="2" a="1"/>
  <c r="D1127" i="2" a="1"/>
  <c r="D296" i="2" a="1"/>
  <c r="D2336" i="2" a="1"/>
  <c r="D975" i="2" a="1"/>
  <c r="D586" i="2" a="1"/>
  <c r="D1650" i="2" a="1"/>
  <c r="D812" i="2" a="1"/>
  <c r="D1596" i="2" a="1"/>
  <c r="D2139" i="2" a="1"/>
  <c r="D947" i="2" a="1"/>
  <c r="D1102" i="2" a="1"/>
  <c r="D2121" i="2" a="1"/>
  <c r="D2350" i="2" a="1"/>
  <c r="D1955" i="2" a="1"/>
  <c r="D162" i="2" a="1"/>
  <c r="D1341" i="2" a="1"/>
  <c r="D1159" i="2" a="1"/>
  <c r="D1901" i="2" a="1"/>
  <c r="D142" i="2" a="1"/>
  <c r="D232" i="2" a="1"/>
  <c r="D1666" i="2" a="1"/>
  <c r="D1230" i="2" a="1"/>
  <c r="D1092" i="2" a="1"/>
  <c r="D1103" i="2" a="1"/>
  <c r="D1652" i="2" a="1"/>
  <c r="D2145" i="2" a="1"/>
  <c r="D877" i="2" a="1"/>
  <c r="D1418" i="2" a="1"/>
  <c r="D2292" i="2" a="1"/>
  <c r="D317" i="2" a="1"/>
  <c r="D1971" i="2" a="1"/>
  <c r="D866" i="2" a="1"/>
  <c r="D1152" i="2" a="1"/>
  <c r="D1244" i="2" a="1"/>
  <c r="D1886" i="2" a="1"/>
  <c r="D1515" i="2" a="1"/>
  <c r="D2257" i="2" a="1"/>
  <c r="D473" i="2" a="1"/>
  <c r="D2237" i="2" a="1"/>
  <c r="D1316" i="2" a="1"/>
  <c r="D1859" i="2" a="1"/>
  <c r="D2282" i="2" a="1"/>
  <c r="D219" i="2" a="1"/>
  <c r="D828" i="2" a="1"/>
  <c r="D2304" i="2" a="1"/>
  <c r="D2344" i="2" a="1"/>
  <c r="D1733" i="2" a="1"/>
  <c r="A1302" i="2" a="1"/>
  <c r="D1962" i="2" a="1"/>
  <c r="D1847" i="2" a="1"/>
  <c r="D1593" i="2" a="1"/>
  <c r="D10" i="2" a="1"/>
  <c r="D1952" i="2" a="1"/>
  <c r="D301" i="2" a="1"/>
  <c r="D1540" i="2" a="1"/>
  <c r="D231" i="4" a="1"/>
  <c r="A772" i="2" a="1"/>
  <c r="A4" i="2" a="1"/>
  <c r="A1368" i="2" a="1"/>
  <c r="A400" i="2" a="1"/>
  <c r="A1733" i="2" a="1"/>
  <c r="D72" i="2" a="1"/>
  <c r="D58" i="2" a="1"/>
  <c r="D68" i="2" a="1"/>
  <c r="D414" i="2" a="1"/>
  <c r="D664" i="2" a="1"/>
  <c r="A67" i="2" a="1"/>
  <c r="D456" i="2" a="1"/>
  <c r="D628" i="2" a="1"/>
  <c r="D758" i="2" a="1"/>
  <c r="D1468" i="2" a="1"/>
  <c r="D777" i="2" a="1"/>
  <c r="D1490" i="2" a="1"/>
  <c r="D536" i="2" a="1"/>
  <c r="D2330" i="2" a="1"/>
  <c r="D717" i="2" a="1"/>
  <c r="D497" i="2" a="1"/>
  <c r="D935" i="2" a="1"/>
  <c r="D1881" i="2" a="1"/>
  <c r="D847" i="2" a="1"/>
  <c r="D1214" i="2" a="1"/>
  <c r="D1464" i="2" a="1"/>
  <c r="D2236" i="2" a="1"/>
  <c r="D215" i="2" a="1"/>
  <c r="D1923" i="2" a="1"/>
  <c r="D570" i="2" a="1"/>
  <c r="D1016" i="2" a="1"/>
  <c r="D1128" i="2" a="1"/>
  <c r="D1860" i="2" a="1"/>
  <c r="D2178" i="2" a="1"/>
  <c r="D1841" i="2" a="1"/>
  <c r="D2209" i="2" a="1"/>
  <c r="D1489" i="2" a="1"/>
  <c r="D1880" i="2" a="1"/>
  <c r="D1648" i="2" a="1"/>
  <c r="D480" i="2" a="1"/>
  <c r="D962" i="2" a="1"/>
  <c r="D1638" i="2" a="1"/>
  <c r="D1495" i="2" a="1"/>
  <c r="D1970" i="2" a="1"/>
  <c r="D1426" i="2" a="1"/>
  <c r="D51" i="2" a="1"/>
  <c r="D1052" i="2" a="1"/>
  <c r="D1897" i="2" a="1"/>
  <c r="D1326" i="2" a="1"/>
  <c r="D868" i="2" a="1"/>
  <c r="D2295" i="2" a="1"/>
  <c r="D2194" i="2" a="1"/>
  <c r="D2277" i="2" a="1"/>
  <c r="D542" i="2" a="1"/>
  <c r="D900" i="2" a="1"/>
  <c r="D1289" i="2" a="1"/>
  <c r="D1221" i="2" a="1"/>
  <c r="D697" i="2" a="1"/>
  <c r="D1826" i="2" a="1"/>
  <c r="D1000" i="2" a="1"/>
  <c r="D381" i="2" a="1"/>
  <c r="D1685" i="2" a="1"/>
  <c r="D19" i="2" a="1"/>
  <c r="D1579" i="2" a="1"/>
  <c r="D1784" i="2" a="1"/>
  <c r="D2338" i="2" a="1"/>
  <c r="D1917" i="2" a="1"/>
  <c r="D1105" i="2" a="1"/>
  <c r="D2040" i="2" a="1"/>
  <c r="D2050" i="2" a="1"/>
  <c r="D2307" i="2" a="1"/>
  <c r="D1421" i="2" a="1"/>
  <c r="D1098" i="2" a="1"/>
  <c r="A1415" i="2" a="1"/>
  <c r="D814" i="2" a="1"/>
  <c r="D880" i="2" a="1"/>
  <c r="D227" i="2" a="1"/>
  <c r="D729" i="2" a="1"/>
  <c r="D403" i="2" a="1"/>
  <c r="D596" i="2" a="1"/>
  <c r="D1682" i="2" a="1"/>
  <c r="D1360" i="2" a="1"/>
  <c r="D150" i="2" a="1"/>
  <c r="D571" i="4" a="1"/>
  <c r="A1496" i="2" a="1"/>
  <c r="A1437" i="2" a="1"/>
  <c r="A1449" i="2" a="1"/>
  <c r="A369" i="2" a="1"/>
  <c r="A1158" i="2" a="1"/>
  <c r="D671" i="2" a="1"/>
  <c r="D90" i="2" a="1"/>
  <c r="D308" i="2" a="1"/>
  <c r="D558" i="2" a="1"/>
  <c r="D785" i="2" a="1"/>
  <c r="D93" i="2" a="1"/>
  <c r="D696" i="2" a="1"/>
  <c r="D539" i="2" a="1"/>
  <c r="D1498" i="2" a="1"/>
  <c r="D600" i="2" a="1"/>
  <c r="D367" i="2" a="1"/>
  <c r="D161" i="2" a="1"/>
  <c r="D776" i="2" a="1"/>
  <c r="A2195" i="2" a="1"/>
  <c r="D1494" i="2" a="1"/>
  <c r="D1005" i="2" a="1"/>
  <c r="D651" i="2" a="1"/>
  <c r="D1807" i="2" a="1"/>
  <c r="D1304" i="2" a="1"/>
  <c r="D1821" i="2" a="1"/>
  <c r="D2270" i="2" a="1"/>
  <c r="D1573" i="2" a="1"/>
  <c r="D8" i="2" a="1"/>
  <c r="D1895" i="2" a="1"/>
  <c r="D2144" i="2" a="1"/>
  <c r="D81" i="2" a="1"/>
  <c r="D1342" i="2" a="1"/>
  <c r="D778" i="2" a="1"/>
  <c r="D1746" i="2" a="1"/>
  <c r="D1831" i="2" a="1"/>
  <c r="D1538" i="2" a="1"/>
  <c r="D242" i="2" a="1"/>
  <c r="D879" i="2" a="1"/>
  <c r="D1471" i="2" a="1"/>
  <c r="D1196" i="2" a="1"/>
  <c r="D2030" i="2" a="1"/>
  <c r="D1797" i="2" a="1"/>
  <c r="D2279" i="2" a="1"/>
  <c r="D2155" i="2" a="1"/>
  <c r="D2359" i="2" a="1"/>
  <c r="D1444" i="2" a="1"/>
  <c r="D1079" i="2" a="1"/>
  <c r="D344" i="2" a="1"/>
  <c r="D1570" i="2" a="1"/>
  <c r="D2291" i="2" a="1"/>
  <c r="D1064" i="2" a="1"/>
  <c r="D867" i="2" a="1"/>
  <c r="D2173" i="2" a="1"/>
  <c r="D1497" i="2" a="1"/>
  <c r="D1611" i="2" a="1"/>
  <c r="D1172" i="2" a="1"/>
  <c r="D2046" i="2" a="1"/>
  <c r="D1560" i="2" a="1"/>
  <c r="D1868" i="2" a="1"/>
  <c r="D1420" i="2" a="1"/>
  <c r="D1658" i="2" a="1"/>
  <c r="D1525" i="2" a="1"/>
  <c r="D1254" i="2" a="1"/>
  <c r="D2328" i="2" a="1"/>
  <c r="D2038" i="2" a="1"/>
  <c r="D106" i="2" a="1"/>
  <c r="D189" i="2" a="1"/>
  <c r="D1247" i="2" a="1"/>
  <c r="D2235" i="2" a="1"/>
  <c r="A2006" i="2" a="1"/>
  <c r="D447" i="2" a="1"/>
  <c r="D1925" i="2" a="1"/>
  <c r="D2285" i="2" a="1"/>
  <c r="D1158" i="2" a="1"/>
  <c r="D208" i="2" a="1"/>
  <c r="D1090" i="2" a="1"/>
  <c r="D1597" i="2" a="1"/>
  <c r="D2230" i="2" a="1"/>
  <c r="D186" i="4" a="1"/>
  <c r="A88" i="2" a="1"/>
  <c r="A309" i="2" a="1"/>
  <c r="A79" i="2" a="1"/>
  <c r="A348" i="2" a="1"/>
  <c r="A27" i="2" a="1"/>
  <c r="D980" i="2" a="1"/>
  <c r="D688" i="2" a="1"/>
  <c r="D548" i="2" a="1"/>
  <c r="D371" i="2" a="1"/>
  <c r="D186" i="2" a="1"/>
  <c r="D333" i="2" a="1"/>
  <c r="D307" i="2" a="1"/>
  <c r="D991" i="2" a="1"/>
  <c r="D1824" i="2" a="1"/>
  <c r="D1656" i="2" a="1"/>
  <c r="D1457" i="2" a="1"/>
  <c r="D1345" i="2" a="1"/>
  <c r="D701" i="2" a="1"/>
  <c r="D203" i="2" a="1"/>
  <c r="D1352" i="2" a="1"/>
  <c r="D1385" i="2" a="1"/>
  <c r="D1720" i="2" a="1"/>
  <c r="D2258" i="2" a="1"/>
  <c r="D260" i="2" a="1"/>
  <c r="D2081" i="2" a="1"/>
  <c r="D1843" i="2" a="1"/>
  <c r="D1932" i="2" a="1"/>
  <c r="D1294" i="2" a="1"/>
  <c r="D1801" i="2" a="1"/>
  <c r="D2004" i="2" a="1"/>
  <c r="A981" i="2" a="1"/>
  <c r="A214" i="2" a="1"/>
  <c r="A992" i="2" a="1"/>
  <c r="A1618" i="2" a="1"/>
  <c r="A1173" i="2" a="1"/>
  <c r="A778" i="2" a="1"/>
  <c r="D569" i="2" a="1"/>
  <c r="D291" i="2" a="1"/>
  <c r="D913" i="2" a="1"/>
  <c r="D921" i="2" a="1"/>
  <c r="D426" i="2" a="1"/>
  <c r="D573" i="2" a="1"/>
  <c r="A2146" i="2" a="1"/>
  <c r="D1231" i="2" a="1"/>
  <c r="D2157" i="2" a="1"/>
  <c r="D2185" i="2" a="1"/>
  <c r="D865" i="2" a="1"/>
  <c r="D1008" i="2" a="1"/>
  <c r="D440" i="2" a="1"/>
  <c r="D443" i="2" a="1"/>
  <c r="D1996" i="2" a="1"/>
  <c r="D581" i="2" a="1"/>
  <c r="D1234" i="2" a="1"/>
  <c r="D719" i="2" a="1"/>
  <c r="D998" i="2" a="1"/>
  <c r="D2263" i="2" a="1"/>
  <c r="D1813" i="2" a="1"/>
  <c r="D1961" i="2" a="1"/>
  <c r="D750" i="2" a="1"/>
  <c r="D2241" i="2" a="1"/>
  <c r="D2312" i="2" a="1"/>
  <c r="D884" i="2" a="1"/>
  <c r="D2124" i="2" a="1"/>
  <c r="D111" i="2" a="1"/>
  <c r="A1221" i="2" a="1"/>
  <c r="A454" i="2" a="1"/>
  <c r="A441" i="2" a="1"/>
  <c r="A382" i="2" a="1"/>
  <c r="A2219" i="2" a="1"/>
  <c r="A1669" i="2" a="1"/>
  <c r="D1320" i="2" a="1"/>
  <c r="D1143" i="2" a="1"/>
  <c r="D62" i="2" a="1"/>
  <c r="D1161" i="2" a="1"/>
  <c r="D666" i="2" a="1"/>
  <c r="D98" i="2" a="1"/>
  <c r="D123" i="2" a="1"/>
  <c r="D457" i="2" a="1"/>
  <c r="D1089" i="2" a="1"/>
  <c r="D1863" i="2" a="1"/>
  <c r="D1523" i="2" a="1"/>
  <c r="D1779" i="2" a="1"/>
  <c r="D41" i="2" a="1"/>
  <c r="D665" i="2" a="1"/>
  <c r="D1655" i="2" a="1"/>
  <c r="D1696" i="2" a="1"/>
  <c r="D1544" i="2" a="1"/>
  <c r="D1337" i="2" a="1"/>
  <c r="D2166" i="2" a="1"/>
  <c r="D1508" i="2" a="1"/>
  <c r="D1507" i="2" a="1"/>
  <c r="D1019" i="2" a="1"/>
  <c r="D1363" i="2" a="1"/>
  <c r="D685" i="2" a="1"/>
  <c r="D324" i="2" a="1"/>
  <c r="A907" i="2" a="1"/>
  <c r="A1291" i="2" a="1"/>
  <c r="A1463" i="2" a="1"/>
  <c r="A1524" i="2" a="1"/>
  <c r="A1354" i="2" a="1"/>
  <c r="A822" i="2" a="1"/>
  <c r="D1117" i="2" a="1"/>
  <c r="D1132" i="2" a="1"/>
  <c r="D1046" i="2" a="1"/>
  <c r="D107" i="2" a="1"/>
  <c r="D88" i="2" a="1"/>
  <c r="D338" i="2" a="1"/>
  <c r="D363" i="2" a="1"/>
  <c r="D633" i="2" a="1"/>
  <c r="D2037" i="2" a="1"/>
  <c r="D1376" i="2" a="1"/>
  <c r="D1844" i="2" a="1"/>
  <c r="D2019" i="2" a="1"/>
  <c r="D641" i="2" a="1"/>
  <c r="D66" i="2" a="1"/>
  <c r="D2106" i="2" a="1"/>
  <c r="D619" i="2" a="1"/>
  <c r="D302" i="2" a="1"/>
  <c r="D2274" i="2" a="1"/>
  <c r="D1521" i="2" a="1"/>
  <c r="D747" i="2" a="1"/>
  <c r="D2052" i="2" a="1"/>
  <c r="D2023" i="2" a="1"/>
  <c r="D1621" i="2" a="1"/>
  <c r="D69" i="2" a="1"/>
  <c r="D2061" i="2" a="1"/>
  <c r="D802" i="2" a="1"/>
  <c r="D1142" i="2" a="1"/>
  <c r="D1646" i="2" a="1"/>
  <c r="D919" i="2" a="1"/>
  <c r="D468" i="2" a="1"/>
  <c r="D1872" i="2" a="1"/>
  <c r="D1931" i="2" a="1"/>
  <c r="D147" i="2" a="1"/>
  <c r="A1630" i="2" a="1"/>
  <c r="A1530" i="2" a="1"/>
  <c r="A1842" i="2" a="1"/>
  <c r="A1817" i="2" a="1"/>
  <c r="A1198" i="2" a="1"/>
  <c r="A1909" i="2" a="1"/>
  <c r="D1249" i="2" a="1"/>
  <c r="D790" i="2" a="1"/>
  <c r="D1369" i="2" a="1"/>
  <c r="D140" i="2" a="1"/>
  <c r="D172" i="2" a="1"/>
  <c r="D578" i="2" a="1"/>
  <c r="D128" i="2" a="1"/>
  <c r="D14" i="2" a="1"/>
  <c r="D2290" i="2" a="1"/>
  <c r="D2033" i="2" a="1"/>
  <c r="D1798" i="2" a="1"/>
  <c r="D957" i="2" a="1"/>
  <c r="D1167" i="2" a="1"/>
  <c r="D306" i="2" a="1"/>
  <c r="D2346" i="2" a="1"/>
  <c r="D1604" i="2" a="1"/>
  <c r="D1035" i="2" a="1"/>
  <c r="D2231" i="2" a="1"/>
  <c r="D2035" i="2" a="1"/>
  <c r="D2349" i="2" a="1"/>
  <c r="D978" i="2" a="1"/>
  <c r="D2152" i="2" a="1"/>
  <c r="D3" i="2" a="1"/>
  <c r="D2168" i="2" a="1"/>
  <c r="D1676" i="2" a="1"/>
  <c r="D238" i="2" a="1"/>
  <c r="D1850" i="2" a="1"/>
  <c r="D461" i="2" a="1"/>
  <c r="D1486" i="2" a="1"/>
  <c r="D779" i="2" a="1"/>
  <c r="D702" i="2" a="1"/>
  <c r="D1252" i="2" a="1"/>
  <c r="D2127" i="2" a="1"/>
  <c r="D247" i="2" a="1"/>
  <c r="D1755" i="2" a="1"/>
  <c r="A51" i="2" a="1"/>
  <c r="A686" i="2" a="1"/>
  <c r="A1403" i="2" a="1"/>
  <c r="A989" i="2" a="1"/>
  <c r="A717" i="2" a="1"/>
  <c r="A1845" i="2" a="1"/>
  <c r="D1627" i="2" a="1"/>
  <c r="D417" i="2" a="1"/>
  <c r="D1610" i="2" a="1"/>
  <c r="D749" i="2" a="1"/>
  <c r="D810" i="2" a="1"/>
  <c r="D421" i="2" a="1"/>
  <c r="D368" i="2" a="1"/>
  <c r="D254" i="2" a="1"/>
  <c r="A1289" i="2" a="1"/>
  <c r="D1772" i="2" a="1"/>
  <c r="D2177" i="2" a="1"/>
  <c r="D1493" i="2" a="1"/>
  <c r="D1500" i="2" a="1"/>
  <c r="D546" i="2" a="1"/>
  <c r="D1449" i="2" a="1"/>
  <c r="D432" i="2" a="1"/>
  <c r="D2250" i="2" a="1"/>
  <c r="A1821" i="2" a="1"/>
  <c r="D848" i="2" a="1"/>
  <c r="D2182" i="2" a="1"/>
  <c r="D2269" i="2" a="1"/>
  <c r="D2025" i="2" a="1"/>
  <c r="D225" i="2" a="1"/>
  <c r="D2294" i="2" a="1"/>
  <c r="D611" i="2" a="1"/>
  <c r="D1331" i="2" a="1"/>
  <c r="D179" i="2" a="1"/>
  <c r="D2026" i="2" a="1"/>
  <c r="D1501" i="2" a="1"/>
  <c r="D1319" i="2" a="1"/>
  <c r="D2133" i="2" a="1"/>
  <c r="D2342" i="2" a="1"/>
  <c r="D1816" i="2" a="1"/>
  <c r="D700" i="2" a="1"/>
  <c r="D479" i="2" a="1"/>
  <c r="A2122" i="2" a="1"/>
  <c r="D1190" i="2" a="1"/>
  <c r="D2146" i="2" a="1"/>
  <c r="D2094" i="2" a="1"/>
  <c r="D759" i="2" a="1"/>
  <c r="D469" i="2" a="1"/>
  <c r="A71" i="2" a="1"/>
  <c r="D1703" i="2" a="1"/>
  <c r="D1907" i="2" a="1"/>
  <c r="D1448" i="2" a="1"/>
  <c r="A493" i="2" a="1"/>
  <c r="A537" i="2" a="1"/>
  <c r="A2224" i="2" a="1"/>
  <c r="A1406" i="2" a="1"/>
  <c r="A427" i="2" a="1"/>
  <c r="D28" i="2" a="1"/>
  <c r="D1149" i="2" a="1"/>
  <c r="D1566" i="2" a="1"/>
  <c r="D1578" i="2" a="1"/>
  <c r="D1381" i="2" a="1"/>
  <c r="D1210" i="2" a="1"/>
  <c r="D343" i="2" a="1"/>
  <c r="D971" i="2" a="1"/>
  <c r="D496" i="2" a="1"/>
  <c r="D26" i="2" a="1"/>
  <c r="D34" i="2" a="1"/>
  <c r="D524" i="2" a="1"/>
  <c r="D1684" i="2" a="1"/>
  <c r="D1048" i="2" a="1"/>
  <c r="D448" i="2" a="1"/>
  <c r="D453" i="2" a="1"/>
  <c r="D1732" i="2" a="1"/>
  <c r="D1942" i="2" a="1"/>
  <c r="D520" i="2" a="1"/>
  <c r="D1947" i="2" a="1"/>
  <c r="D1778" i="2" a="1"/>
  <c r="D2006" i="2" a="1"/>
  <c r="D852" i="2" a="1"/>
  <c r="D767" i="2" a="1"/>
  <c r="D2164" i="2" a="1"/>
  <c r="D119" i="2" a="1"/>
  <c r="D1076" i="2" a="1"/>
  <c r="D2276" i="2" a="1"/>
  <c r="D2238" i="2" a="1"/>
  <c r="D1993" i="2" a="1"/>
  <c r="D282" i="2" a="1"/>
  <c r="D2012" i="2" a="1"/>
  <c r="D2358" i="2" a="1"/>
  <c r="D1564" i="2" a="1"/>
  <c r="D1941" i="2" a="1"/>
  <c r="D2135" i="2" a="1"/>
  <c r="D1264" i="2" a="1"/>
  <c r="D1713" i="2" a="1"/>
  <c r="D1119" i="2" a="1"/>
  <c r="D821" i="2" a="1"/>
  <c r="B46" i="3" a="1"/>
  <c r="B58" i="3" a="1"/>
  <c r="B59" i="3" a="1"/>
  <c r="B47" i="3" a="1"/>
  <c r="B48" i="3" a="1"/>
  <c r="B60" i="3" a="1"/>
  <c r="B49" i="3" a="1"/>
  <c r="B61" i="3" a="1"/>
  <c r="B50" i="3" a="1"/>
  <c r="B62" i="3" a="1"/>
  <c r="B51" i="3" a="1"/>
  <c r="B63" i="3" a="1"/>
  <c r="B52" i="3" a="1"/>
  <c r="B53" i="3" a="1"/>
  <c r="B54" i="3" a="1"/>
  <c r="B55" i="3" a="1"/>
  <c r="B56" i="3" a="1"/>
  <c r="B57" i="3" a="1"/>
  <c r="B57" i="3" l="1"/>
  <c r="B56" i="3"/>
  <c r="B55" i="3"/>
  <c r="B54" i="3"/>
  <c r="B53" i="3"/>
  <c r="B52" i="3"/>
  <c r="B63" i="3"/>
  <c r="B51" i="3"/>
  <c r="B62" i="3"/>
  <c r="B50" i="3"/>
  <c r="B61" i="3"/>
  <c r="B49" i="3"/>
  <c r="B60" i="3"/>
  <c r="B48" i="3"/>
  <c r="B47" i="3"/>
  <c r="B59" i="3"/>
  <c r="B58" i="3"/>
  <c r="B46" i="3"/>
  <c r="B2089" i="4"/>
  <c r="B1855" i="4"/>
  <c r="B1965" i="4"/>
  <c r="B1990" i="4"/>
  <c r="B2065" i="4"/>
  <c r="B1957" i="4"/>
  <c r="B1817" i="4"/>
  <c r="B1767" i="4"/>
  <c r="B2041" i="4"/>
  <c r="B2024" i="4"/>
  <c r="B2015" i="4"/>
  <c r="B1477" i="4"/>
  <c r="B2025" i="4"/>
  <c r="B2017" i="4"/>
  <c r="B2000" i="4"/>
  <c r="B1991" i="4"/>
  <c r="B1847" i="4"/>
  <c r="B2337" i="4"/>
  <c r="B2331" i="4"/>
  <c r="B2325" i="4"/>
  <c r="B2319" i="4"/>
  <c r="B2313" i="4"/>
  <c r="B2307" i="4"/>
  <c r="B2301" i="4"/>
  <c r="B2295" i="4"/>
  <c r="B2289" i="4"/>
  <c r="B2283" i="4"/>
  <c r="B2277" i="4"/>
  <c r="B2271" i="4"/>
  <c r="B2265" i="4"/>
  <c r="B2259" i="4"/>
  <c r="B2253" i="4"/>
  <c r="B2247" i="4"/>
  <c r="B2241" i="4"/>
  <c r="B2235" i="4"/>
  <c r="B2229" i="4"/>
  <c r="B2223" i="4"/>
  <c r="B2217" i="4"/>
  <c r="B2211" i="4"/>
  <c r="B2205" i="4"/>
  <c r="B2199" i="4"/>
  <c r="B2193" i="4"/>
  <c r="B2187" i="4"/>
  <c r="B2181" i="4"/>
  <c r="B2175" i="4"/>
  <c r="B2169" i="4"/>
  <c r="B2163" i="4"/>
  <c r="B2157" i="4"/>
  <c r="B2151" i="4"/>
  <c r="B2145" i="4"/>
  <c r="B2139" i="4"/>
  <c r="B2133" i="4"/>
  <c r="B2126" i="4"/>
  <c r="B2119" i="4"/>
  <c r="B2104" i="4"/>
  <c r="B2097" i="4"/>
  <c r="B2090" i="4"/>
  <c r="B2066" i="4"/>
  <c r="B2042" i="4"/>
  <c r="B2033" i="4"/>
  <c r="B1948" i="4"/>
  <c r="B1940" i="4"/>
  <c r="B1930" i="4"/>
  <c r="B1922" i="4"/>
  <c r="B1912" i="4"/>
  <c r="B1904" i="4"/>
  <c r="B1894" i="4"/>
  <c r="B1886" i="4"/>
  <c r="B1876" i="4"/>
  <c r="B1868" i="4"/>
  <c r="B1843" i="4"/>
  <c r="B1741" i="4"/>
  <c r="B1620" i="4"/>
  <c r="B1573" i="4"/>
  <c r="B2118" i="4"/>
  <c r="B2111" i="4"/>
  <c r="B2081" i="4"/>
  <c r="B2073" i="4"/>
  <c r="B2057" i="4"/>
  <c r="B2049" i="4"/>
  <c r="B2032" i="4"/>
  <c r="B2007" i="4"/>
  <c r="B1999" i="4"/>
  <c r="B1982" i="4"/>
  <c r="B1973" i="4"/>
  <c r="B1841" i="4"/>
  <c r="B1823" i="4"/>
  <c r="B1657" i="4"/>
  <c r="B1613" i="4"/>
  <c r="B1840" i="4"/>
  <c r="B1819" i="4"/>
  <c r="B1793" i="4"/>
  <c r="B2336" i="4"/>
  <c r="B2330" i="4"/>
  <c r="B2324" i="4"/>
  <c r="B2318" i="4"/>
  <c r="B2312" i="4"/>
  <c r="B2306" i="4"/>
  <c r="B2300" i="4"/>
  <c r="B2294" i="4"/>
  <c r="B2288" i="4"/>
  <c r="B2282" i="4"/>
  <c r="B2276" i="4"/>
  <c r="B2270" i="4"/>
  <c r="B2264" i="4"/>
  <c r="B2258" i="4"/>
  <c r="B2252" i="4"/>
  <c r="B2246" i="4"/>
  <c r="B2240" i="4"/>
  <c r="B2234" i="4"/>
  <c r="B2228" i="4"/>
  <c r="B2222" i="4"/>
  <c r="B2216" i="4"/>
  <c r="B2210" i="4"/>
  <c r="B2204" i="4"/>
  <c r="B2198" i="4"/>
  <c r="B2192" i="4"/>
  <c r="B2186" i="4"/>
  <c r="B2180" i="4"/>
  <c r="B2174" i="4"/>
  <c r="B2168" i="4"/>
  <c r="B2162" i="4"/>
  <c r="B2156" i="4"/>
  <c r="B2150" i="4"/>
  <c r="B2144" i="4"/>
  <c r="B2138" i="4"/>
  <c r="B2132" i="4"/>
  <c r="B2125" i="4"/>
  <c r="B2110" i="4"/>
  <c r="B2103" i="4"/>
  <c r="B2096" i="4"/>
  <c r="B2080" i="4"/>
  <c r="B2056" i="4"/>
  <c r="B1972" i="4"/>
  <c r="B1947" i="4"/>
  <c r="B1929" i="4"/>
  <c r="B1911" i="4"/>
  <c r="B1893" i="4"/>
  <c r="B1875" i="4"/>
  <c r="B1792" i="4"/>
  <c r="B1734" i="4"/>
  <c r="B1692" i="4"/>
  <c r="B1656" i="4"/>
  <c r="B1611" i="4"/>
  <c r="B1447" i="4"/>
  <c r="B1981" i="4"/>
  <c r="B2124" i="4"/>
  <c r="B2117" i="4"/>
  <c r="B2072" i="4"/>
  <c r="B2048" i="4"/>
  <c r="B2031" i="4"/>
  <c r="B2023" i="4"/>
  <c r="B2006" i="4"/>
  <c r="B1997" i="4"/>
  <c r="B1937" i="4"/>
  <c r="B1919" i="4"/>
  <c r="B1901" i="4"/>
  <c r="B1883" i="4"/>
  <c r="B1865" i="4"/>
  <c r="B1839" i="4"/>
  <c r="B1816" i="4"/>
  <c r="B1733" i="4"/>
  <c r="B1649" i="4"/>
  <c r="B2039" i="4"/>
  <c r="B1954" i="4"/>
  <c r="B1791" i="4"/>
  <c r="B1759" i="4"/>
  <c r="B1690" i="4"/>
  <c r="B1603" i="4"/>
  <c r="B2341" i="4"/>
  <c r="B2335" i="4"/>
  <c r="B2329" i="4"/>
  <c r="B2323" i="4"/>
  <c r="B2317" i="4"/>
  <c r="B2311" i="4"/>
  <c r="B2305" i="4"/>
  <c r="B2299" i="4"/>
  <c r="B2293" i="4"/>
  <c r="B2287" i="4"/>
  <c r="B2281" i="4"/>
  <c r="B2275" i="4"/>
  <c r="B2269" i="4"/>
  <c r="B2263" i="4"/>
  <c r="B2257" i="4"/>
  <c r="B2251" i="4"/>
  <c r="B2245" i="4"/>
  <c r="B2239" i="4"/>
  <c r="B2233" i="4"/>
  <c r="B2227" i="4"/>
  <c r="B2221" i="4"/>
  <c r="B2215" i="4"/>
  <c r="B2209" i="4"/>
  <c r="B2203" i="4"/>
  <c r="B2197" i="4"/>
  <c r="B2191" i="4"/>
  <c r="B2185" i="4"/>
  <c r="B2179" i="4"/>
  <c r="B2173" i="4"/>
  <c r="B2167" i="4"/>
  <c r="B2161" i="4"/>
  <c r="B2155" i="4"/>
  <c r="B2149" i="4"/>
  <c r="B2143" i="4"/>
  <c r="B2137" i="4"/>
  <c r="B2131" i="4"/>
  <c r="B2116" i="4"/>
  <c r="B2109" i="4"/>
  <c r="B2102" i="4"/>
  <c r="B2095" i="4"/>
  <c r="B2087" i="4"/>
  <c r="B2079" i="4"/>
  <c r="B2063" i="4"/>
  <c r="B2055" i="4"/>
  <c r="B1996" i="4"/>
  <c r="B1971" i="4"/>
  <c r="B1963" i="4"/>
  <c r="B1946" i="4"/>
  <c r="B1936" i="4"/>
  <c r="B1928" i="4"/>
  <c r="B1918" i="4"/>
  <c r="B1910" i="4"/>
  <c r="B1900" i="4"/>
  <c r="B1892" i="4"/>
  <c r="B1882" i="4"/>
  <c r="B1874" i="4"/>
  <c r="B1864" i="4"/>
  <c r="B1647" i="4"/>
  <c r="B1555" i="4"/>
  <c r="B2071" i="4"/>
  <c r="B2047" i="4"/>
  <c r="B2038" i="4"/>
  <c r="B2013" i="4"/>
  <c r="B2005" i="4"/>
  <c r="B1988" i="4"/>
  <c r="B1979" i="4"/>
  <c r="B1854" i="4"/>
  <c r="B1815" i="4"/>
  <c r="B1725" i="4"/>
  <c r="B1683" i="4"/>
  <c r="B1395" i="4"/>
  <c r="B2130" i="4"/>
  <c r="B2123" i="4"/>
  <c r="B2094" i="4"/>
  <c r="B2086" i="4"/>
  <c r="B2062" i="4"/>
  <c r="B2030" i="4"/>
  <c r="B2021" i="4"/>
  <c r="B1554" i="4"/>
  <c r="B1393" i="4"/>
  <c r="B1563" i="4"/>
  <c r="B1978" i="4"/>
  <c r="B1953" i="4"/>
  <c r="B1851" i="4"/>
  <c r="B1758" i="4"/>
  <c r="B2014" i="4"/>
  <c r="B1989" i="4"/>
  <c r="B2340" i="4"/>
  <c r="B2334" i="4"/>
  <c r="B2328" i="4"/>
  <c r="B2322" i="4"/>
  <c r="B2316" i="4"/>
  <c r="B2310" i="4"/>
  <c r="B2304" i="4"/>
  <c r="B2298" i="4"/>
  <c r="B2292" i="4"/>
  <c r="B2286" i="4"/>
  <c r="B2280" i="4"/>
  <c r="B2274" i="4"/>
  <c r="B2268" i="4"/>
  <c r="B2262" i="4"/>
  <c r="B2256" i="4"/>
  <c r="B2250" i="4"/>
  <c r="B2244" i="4"/>
  <c r="B2238" i="4"/>
  <c r="B2232" i="4"/>
  <c r="B2226" i="4"/>
  <c r="B2220" i="4"/>
  <c r="B2214" i="4"/>
  <c r="B2208" i="4"/>
  <c r="B2202" i="4"/>
  <c r="B2196" i="4"/>
  <c r="B2190" i="4"/>
  <c r="B2184" i="4"/>
  <c r="B2178" i="4"/>
  <c r="B2172" i="4"/>
  <c r="B2166" i="4"/>
  <c r="B2160" i="4"/>
  <c r="B2154" i="4"/>
  <c r="B2148" i="4"/>
  <c r="B2142" i="4"/>
  <c r="B2136" i="4"/>
  <c r="B2122" i="4"/>
  <c r="B2115" i="4"/>
  <c r="B2108" i="4"/>
  <c r="B2101" i="4"/>
  <c r="B2078" i="4"/>
  <c r="B2054" i="4"/>
  <c r="B2020" i="4"/>
  <c r="B1995" i="4"/>
  <c r="B1987" i="4"/>
  <c r="B1970" i="4"/>
  <c r="B1961" i="4"/>
  <c r="B1935" i="4"/>
  <c r="B1917" i="4"/>
  <c r="B1899" i="4"/>
  <c r="B1881" i="4"/>
  <c r="B1863" i="4"/>
  <c r="B1639" i="4"/>
  <c r="B1593" i="4"/>
  <c r="B1381" i="4"/>
  <c r="B2037" i="4"/>
  <c r="B2029" i="4"/>
  <c r="B2012" i="4"/>
  <c r="B2003" i="4"/>
  <c r="B1717" i="4"/>
  <c r="B1681" i="4"/>
  <c r="B1537" i="4"/>
  <c r="B1955" i="4"/>
  <c r="B2129" i="4"/>
  <c r="B2100" i="4"/>
  <c r="B2093" i="4"/>
  <c r="B2085" i="4"/>
  <c r="B2069" i="4"/>
  <c r="B2061" i="4"/>
  <c r="B2045" i="4"/>
  <c r="B1960" i="4"/>
  <c r="B1943" i="4"/>
  <c r="B1925" i="4"/>
  <c r="B1907" i="4"/>
  <c r="B1889" i="4"/>
  <c r="B1871" i="4"/>
  <c r="B1783" i="4"/>
  <c r="B1751" i="4"/>
  <c r="B1638" i="4"/>
  <c r="B1964" i="4"/>
  <c r="B2077" i="4"/>
  <c r="B2053" i="4"/>
  <c r="B2002" i="4"/>
  <c r="B1977" i="4"/>
  <c r="B1969" i="4"/>
  <c r="B1952" i="4"/>
  <c r="B1862" i="4"/>
  <c r="B1831" i="4"/>
  <c r="B1750" i="4"/>
  <c r="B1536" i="4"/>
  <c r="B2339" i="4"/>
  <c r="B2333" i="4"/>
  <c r="B2327" i="4"/>
  <c r="B2321" i="4"/>
  <c r="B2315" i="4"/>
  <c r="B2309" i="4"/>
  <c r="B2303" i="4"/>
  <c r="B2297" i="4"/>
  <c r="B2291" i="4"/>
  <c r="B2285" i="4"/>
  <c r="B2279" i="4"/>
  <c r="B2273" i="4"/>
  <c r="B2267" i="4"/>
  <c r="B2261" i="4"/>
  <c r="B2255" i="4"/>
  <c r="B2249" i="4"/>
  <c r="B2243" i="4"/>
  <c r="B2237" i="4"/>
  <c r="B2231" i="4"/>
  <c r="B2225" i="4"/>
  <c r="B2219" i="4"/>
  <c r="B2213" i="4"/>
  <c r="B2207" i="4"/>
  <c r="B2201" i="4"/>
  <c r="B2195" i="4"/>
  <c r="B2189" i="4"/>
  <c r="B2183" i="4"/>
  <c r="B2177" i="4"/>
  <c r="B2171" i="4"/>
  <c r="B2165" i="4"/>
  <c r="B2159" i="4"/>
  <c r="B2153" i="4"/>
  <c r="B2147" i="4"/>
  <c r="B2141" i="4"/>
  <c r="B2135" i="4"/>
  <c r="B2128" i="4"/>
  <c r="B2121" i="4"/>
  <c r="B2114" i="4"/>
  <c r="B2107" i="4"/>
  <c r="B2092" i="4"/>
  <c r="B2068" i="4"/>
  <c r="B2044" i="4"/>
  <c r="B2019" i="4"/>
  <c r="B2011" i="4"/>
  <c r="B1994" i="4"/>
  <c r="B1985" i="4"/>
  <c r="B1942" i="4"/>
  <c r="B1934" i="4"/>
  <c r="B1924" i="4"/>
  <c r="B1916" i="4"/>
  <c r="B1906" i="4"/>
  <c r="B1898" i="4"/>
  <c r="B1888" i="4"/>
  <c r="B1880" i="4"/>
  <c r="B1870" i="4"/>
  <c r="B1716" i="4"/>
  <c r="B1631" i="4"/>
  <c r="B2036" i="4"/>
  <c r="B2027" i="4"/>
  <c r="B1807" i="4"/>
  <c r="B2106" i="4"/>
  <c r="B2099" i="4"/>
  <c r="B2084" i="4"/>
  <c r="B2060" i="4"/>
  <c r="B1984" i="4"/>
  <c r="B1959" i="4"/>
  <c r="B1951" i="4"/>
  <c r="B1827" i="4"/>
  <c r="B1776" i="4"/>
  <c r="B1749" i="4"/>
  <c r="B1709" i="4"/>
  <c r="B1673" i="4"/>
  <c r="B1629" i="4"/>
  <c r="B1584" i="4"/>
  <c r="B1515" i="4"/>
  <c r="B2026" i="4"/>
  <c r="B2001" i="4"/>
  <c r="B1993" i="4"/>
  <c r="B1976" i="4"/>
  <c r="B1967" i="4"/>
  <c r="B1848" i="4"/>
  <c r="B1708" i="4"/>
  <c r="B1666" i="4"/>
  <c r="B1163" i="4"/>
  <c r="B2338" i="4"/>
  <c r="B2332" i="4"/>
  <c r="B2326" i="4"/>
  <c r="B2320" i="4"/>
  <c r="B2314" i="4"/>
  <c r="B2308" i="4"/>
  <c r="B2302" i="4"/>
  <c r="B2296" i="4"/>
  <c r="B2290" i="4"/>
  <c r="B2284" i="4"/>
  <c r="B2278" i="4"/>
  <c r="B2272" i="4"/>
  <c r="B2266" i="4"/>
  <c r="B2260" i="4"/>
  <c r="B2254" i="4"/>
  <c r="B2248" i="4"/>
  <c r="B2242" i="4"/>
  <c r="B2236" i="4"/>
  <c r="B2230" i="4"/>
  <c r="B2224" i="4"/>
  <c r="B2218" i="4"/>
  <c r="B2212" i="4"/>
  <c r="B2206" i="4"/>
  <c r="B2200" i="4"/>
  <c r="B2194" i="4"/>
  <c r="B2188" i="4"/>
  <c r="B2182" i="4"/>
  <c r="B2176" i="4"/>
  <c r="B2170" i="4"/>
  <c r="B2164" i="4"/>
  <c r="B2158" i="4"/>
  <c r="B2152" i="4"/>
  <c r="B2146" i="4"/>
  <c r="B2140" i="4"/>
  <c r="B2134" i="4"/>
  <c r="B2127" i="4"/>
  <c r="B2120" i="4"/>
  <c r="B2113" i="4"/>
  <c r="B2098" i="4"/>
  <c r="B2091" i="4"/>
  <c r="B2075" i="4"/>
  <c r="B2067" i="4"/>
  <c r="B2051" i="4"/>
  <c r="B2043" i="4"/>
  <c r="B2035" i="4"/>
  <c r="B2018" i="4"/>
  <c r="B2009" i="4"/>
  <c r="B1941" i="4"/>
  <c r="B1923" i="4"/>
  <c r="B1905" i="4"/>
  <c r="B1887" i="4"/>
  <c r="B1869" i="4"/>
  <c r="B2083" i="4"/>
  <c r="B2059" i="4"/>
  <c r="B1966" i="4"/>
  <c r="B1859" i="4"/>
  <c r="B1775" i="4"/>
  <c r="B1707" i="4"/>
  <c r="B2112" i="4"/>
  <c r="B2105" i="4"/>
  <c r="B2074" i="4"/>
  <c r="B2050" i="4"/>
  <c r="B2008" i="4"/>
  <c r="B1983" i="4"/>
  <c r="B1975" i="4"/>
  <c r="B1958" i="4"/>
  <c r="B1949" i="4"/>
  <c r="B1931" i="4"/>
  <c r="B1913" i="4"/>
  <c r="B1895" i="4"/>
  <c r="B1877" i="4"/>
  <c r="B1858" i="4"/>
  <c r="B1824" i="4"/>
  <c r="B1800" i="4"/>
  <c r="B1774" i="4"/>
  <c r="B1621" i="4"/>
  <c r="B1126" i="4"/>
  <c r="B1699" i="4"/>
  <c r="B1691" i="4"/>
  <c r="B1674" i="4"/>
  <c r="B1665" i="4"/>
  <c r="B1510" i="4"/>
  <c r="B1445" i="4"/>
  <c r="B1732" i="4"/>
  <c r="B1602" i="4"/>
  <c r="B1508" i="4"/>
  <c r="B1438" i="4"/>
  <c r="B1383" i="4"/>
  <c r="B1129" i="4"/>
  <c r="B1799" i="4"/>
  <c r="B1723" i="4"/>
  <c r="B1715" i="4"/>
  <c r="B1698" i="4"/>
  <c r="B1689" i="4"/>
  <c r="B1672" i="4"/>
  <c r="B1591" i="4"/>
  <c r="B1581" i="4"/>
  <c r="B1846" i="4"/>
  <c r="B1822" i="4"/>
  <c r="B1798" i="4"/>
  <c r="B1765" i="4"/>
  <c r="B1757" i="4"/>
  <c r="B1740" i="4"/>
  <c r="B1731" i="4"/>
  <c r="B1714" i="4"/>
  <c r="B1572" i="4"/>
  <c r="B1531" i="4"/>
  <c r="B1507" i="4"/>
  <c r="B1437" i="4"/>
  <c r="B1369" i="4"/>
  <c r="B1830" i="4"/>
  <c r="B1806" i="4"/>
  <c r="B1782" i="4"/>
  <c r="B1773" i="4"/>
  <c r="B1756" i="4"/>
  <c r="B1663" i="4"/>
  <c r="B1655" i="4"/>
  <c r="B1637" i="4"/>
  <c r="B1619" i="4"/>
  <c r="B1549" i="4"/>
  <c r="B1093" i="4"/>
  <c r="B1705" i="4"/>
  <c r="B1697" i="4"/>
  <c r="B1680" i="4"/>
  <c r="B1671" i="4"/>
  <c r="B1645" i="4"/>
  <c r="B1627" i="4"/>
  <c r="B1609" i="4"/>
  <c r="B1599" i="4"/>
  <c r="B1561" i="4"/>
  <c r="B1090" i="4"/>
  <c r="B1861" i="4"/>
  <c r="B1845" i="4"/>
  <c r="B1837" i="4"/>
  <c r="B1821" i="4"/>
  <c r="B1813" i="4"/>
  <c r="B1797" i="4"/>
  <c r="B1789" i="4"/>
  <c r="B1747" i="4"/>
  <c r="B1739" i="4"/>
  <c r="B1722" i="4"/>
  <c r="B1713" i="4"/>
  <c r="B1696" i="4"/>
  <c r="B1590" i="4"/>
  <c r="B1499" i="4"/>
  <c r="B1429" i="4"/>
  <c r="B1945" i="4"/>
  <c r="B1939" i="4"/>
  <c r="B1933" i="4"/>
  <c r="B1927" i="4"/>
  <c r="B1921" i="4"/>
  <c r="B1915" i="4"/>
  <c r="B1909" i="4"/>
  <c r="B1903" i="4"/>
  <c r="B1897" i="4"/>
  <c r="B1891" i="4"/>
  <c r="B1885" i="4"/>
  <c r="B1879" i="4"/>
  <c r="B1873" i="4"/>
  <c r="B1867" i="4"/>
  <c r="B1781" i="4"/>
  <c r="B1764" i="4"/>
  <c r="B1755" i="4"/>
  <c r="B1738" i="4"/>
  <c r="B1653" i="4"/>
  <c r="B1635" i="4"/>
  <c r="B1617" i="4"/>
  <c r="B1548" i="4"/>
  <c r="B1853" i="4"/>
  <c r="B1829" i="4"/>
  <c r="B1805" i="4"/>
  <c r="B1780" i="4"/>
  <c r="B1687" i="4"/>
  <c r="B1679" i="4"/>
  <c r="B1662" i="4"/>
  <c r="B1579" i="4"/>
  <c r="B1569" i="4"/>
  <c r="B1527" i="4"/>
  <c r="B1465" i="4"/>
  <c r="B1353" i="4"/>
  <c r="B1852" i="4"/>
  <c r="B1828" i="4"/>
  <c r="B1804" i="4"/>
  <c r="B1729" i="4"/>
  <c r="B1721" i="4"/>
  <c r="B1704" i="4"/>
  <c r="B1695" i="4"/>
  <c r="B1678" i="4"/>
  <c r="B1644" i="4"/>
  <c r="B1626" i="4"/>
  <c r="B1608" i="4"/>
  <c r="B1560" i="4"/>
  <c r="B1525" i="4"/>
  <c r="B1426" i="4"/>
  <c r="B1860" i="4"/>
  <c r="B1836" i="4"/>
  <c r="B1812" i="4"/>
  <c r="B1788" i="4"/>
  <c r="B1771" i="4"/>
  <c r="B1763" i="4"/>
  <c r="B1746" i="4"/>
  <c r="B1737" i="4"/>
  <c r="B1720" i="4"/>
  <c r="B1524" i="4"/>
  <c r="B1463" i="4"/>
  <c r="B2088" i="4"/>
  <c r="B2082" i="4"/>
  <c r="B2076" i="4"/>
  <c r="B2070" i="4"/>
  <c r="B2064" i="4"/>
  <c r="B2058" i="4"/>
  <c r="B2052" i="4"/>
  <c r="B2046" i="4"/>
  <c r="B2040" i="4"/>
  <c r="B2034" i="4"/>
  <c r="B2028" i="4"/>
  <c r="B2022" i="4"/>
  <c r="B2016" i="4"/>
  <c r="B2010" i="4"/>
  <c r="B2004" i="4"/>
  <c r="B1998" i="4"/>
  <c r="B1992" i="4"/>
  <c r="B1986" i="4"/>
  <c r="B1980" i="4"/>
  <c r="B1974" i="4"/>
  <c r="B1968" i="4"/>
  <c r="B1962" i="4"/>
  <c r="B1956" i="4"/>
  <c r="B1950" i="4"/>
  <c r="B1944" i="4"/>
  <c r="B1938" i="4"/>
  <c r="B1932" i="4"/>
  <c r="B1926" i="4"/>
  <c r="B1920" i="4"/>
  <c r="B1914" i="4"/>
  <c r="B1908" i="4"/>
  <c r="B1902" i="4"/>
  <c r="B1896" i="4"/>
  <c r="B1890" i="4"/>
  <c r="B1884" i="4"/>
  <c r="B1878" i="4"/>
  <c r="B1872" i="4"/>
  <c r="B1866" i="4"/>
  <c r="B1779" i="4"/>
  <c r="B1762" i="4"/>
  <c r="B1669" i="4"/>
  <c r="B1661" i="4"/>
  <c r="B1597" i="4"/>
  <c r="B1587" i="4"/>
  <c r="B1493" i="4"/>
  <c r="B1336" i="4"/>
  <c r="B1803" i="4"/>
  <c r="B1795" i="4"/>
  <c r="B1711" i="4"/>
  <c r="B1703" i="4"/>
  <c r="B1686" i="4"/>
  <c r="B1677" i="4"/>
  <c r="B1660" i="4"/>
  <c r="B1643" i="4"/>
  <c r="B1625" i="4"/>
  <c r="B1578" i="4"/>
  <c r="B1543" i="4"/>
  <c r="B1491" i="4"/>
  <c r="B1456" i="4"/>
  <c r="B1753" i="4"/>
  <c r="B1745" i="4"/>
  <c r="B1728" i="4"/>
  <c r="B1719" i="4"/>
  <c r="B1702" i="4"/>
  <c r="B1651" i="4"/>
  <c r="B1633" i="4"/>
  <c r="B1615" i="4"/>
  <c r="B1523" i="4"/>
  <c r="B1415" i="4"/>
  <c r="B1335" i="4"/>
  <c r="B1835" i="4"/>
  <c r="B1811" i="4"/>
  <c r="B1787" i="4"/>
  <c r="B1770" i="4"/>
  <c r="B1761" i="4"/>
  <c r="B1744" i="4"/>
  <c r="B1605" i="4"/>
  <c r="B1567" i="4"/>
  <c r="B1557" i="4"/>
  <c r="B1834" i="4"/>
  <c r="B1810" i="4"/>
  <c r="B1786" i="4"/>
  <c r="B1693" i="4"/>
  <c r="B1685" i="4"/>
  <c r="B1668" i="4"/>
  <c r="B1659" i="4"/>
  <c r="B1641" i="4"/>
  <c r="B1623" i="4"/>
  <c r="B1596" i="4"/>
  <c r="B1542" i="4"/>
  <c r="B1490" i="4"/>
  <c r="B1455" i="4"/>
  <c r="B1407" i="4"/>
  <c r="B1842" i="4"/>
  <c r="B1818" i="4"/>
  <c r="B1794" i="4"/>
  <c r="B1735" i="4"/>
  <c r="B1727" i="4"/>
  <c r="B1710" i="4"/>
  <c r="B1701" i="4"/>
  <c r="B1684" i="4"/>
  <c r="B1516" i="4"/>
  <c r="B770" i="4"/>
  <c r="B1777" i="4"/>
  <c r="B1769" i="4"/>
  <c r="B1752" i="4"/>
  <c r="B1743" i="4"/>
  <c r="B1726" i="4"/>
  <c r="B1650" i="4"/>
  <c r="B1632" i="4"/>
  <c r="B1614" i="4"/>
  <c r="B1585" i="4"/>
  <c r="B1575" i="4"/>
  <c r="B1485" i="4"/>
  <c r="B1405" i="4"/>
  <c r="B735" i="4"/>
  <c r="B1857" i="4"/>
  <c r="B1849" i="4"/>
  <c r="B1833" i="4"/>
  <c r="B1825" i="4"/>
  <c r="B1809" i="4"/>
  <c r="B1801" i="4"/>
  <c r="B1785" i="4"/>
  <c r="B1768" i="4"/>
  <c r="B1675" i="4"/>
  <c r="B1667" i="4"/>
  <c r="B1566" i="4"/>
  <c r="B1483" i="4"/>
  <c r="B1427" i="4"/>
  <c r="B1417" i="4"/>
  <c r="B938" i="4"/>
  <c r="B1498" i="4"/>
  <c r="B1481" i="4"/>
  <c r="B1473" i="4"/>
  <c r="B1366" i="4"/>
  <c r="B1318" i="4"/>
  <c r="B1263" i="4"/>
  <c r="B1239" i="4"/>
  <c r="B1215" i="4"/>
  <c r="B1191" i="4"/>
  <c r="B1162" i="4"/>
  <c r="B769" i="4"/>
  <c r="B1530" i="4"/>
  <c r="B1480" i="4"/>
  <c r="B1403" i="4"/>
  <c r="B1391" i="4"/>
  <c r="B1348" i="4"/>
  <c r="B1120" i="4"/>
  <c r="B1522" i="4"/>
  <c r="B1505" i="4"/>
  <c r="B1497" i="4"/>
  <c r="B1489" i="4"/>
  <c r="B1472" i="4"/>
  <c r="B1454" i="4"/>
  <c r="B1436" i="4"/>
  <c r="B1414" i="4"/>
  <c r="B1378" i="4"/>
  <c r="B1365" i="4"/>
  <c r="B1317" i="4"/>
  <c r="B1299" i="4"/>
  <c r="B1281" i="4"/>
  <c r="B1082" i="4"/>
  <c r="B1514" i="4"/>
  <c r="B1462" i="4"/>
  <c r="B1444" i="4"/>
  <c r="B1154" i="4"/>
  <c r="B727" i="4"/>
  <c r="B1425" i="4"/>
  <c r="B1402" i="4"/>
  <c r="B1390" i="4"/>
  <c r="B1330" i="4"/>
  <c r="B1257" i="4"/>
  <c r="B1233" i="4"/>
  <c r="B1209" i="4"/>
  <c r="B1185" i="4"/>
  <c r="B884" i="4"/>
  <c r="B691" i="4"/>
  <c r="B1529" i="4"/>
  <c r="B1504" i="4"/>
  <c r="B1487" i="4"/>
  <c r="B1479" i="4"/>
  <c r="B1471" i="4"/>
  <c r="B1453" i="4"/>
  <c r="B1435" i="4"/>
  <c r="B1347" i="4"/>
  <c r="B1152" i="4"/>
  <c r="B1078" i="4"/>
  <c r="B1607" i="4"/>
  <c r="B1601" i="4"/>
  <c r="B1595" i="4"/>
  <c r="B1589" i="4"/>
  <c r="B1583" i="4"/>
  <c r="B1577" i="4"/>
  <c r="B1571" i="4"/>
  <c r="B1565" i="4"/>
  <c r="B1559" i="4"/>
  <c r="B1553" i="4"/>
  <c r="B1547" i="4"/>
  <c r="B1541" i="4"/>
  <c r="B1535" i="4"/>
  <c r="B1521" i="4"/>
  <c r="B1513" i="4"/>
  <c r="B1496" i="4"/>
  <c r="B1413" i="4"/>
  <c r="B1377" i="4"/>
  <c r="B1147" i="4"/>
  <c r="B1112" i="4"/>
  <c r="B1070" i="4"/>
  <c r="B690" i="4"/>
  <c r="B1461" i="4"/>
  <c r="B1443" i="4"/>
  <c r="B1360" i="4"/>
  <c r="B1528" i="4"/>
  <c r="B1486" i="4"/>
  <c r="B1469" i="4"/>
  <c r="B1451" i="4"/>
  <c r="B1433" i="4"/>
  <c r="B1423" i="4"/>
  <c r="B1401" i="4"/>
  <c r="B1389" i="4"/>
  <c r="B1329" i="4"/>
  <c r="B1146" i="4"/>
  <c r="B1111" i="4"/>
  <c r="B678" i="4"/>
  <c r="B1511" i="4"/>
  <c r="B1503" i="4"/>
  <c r="B1495" i="4"/>
  <c r="B1478" i="4"/>
  <c r="B1375" i="4"/>
  <c r="B1275" i="4"/>
  <c r="B850" i="4"/>
  <c r="B1654" i="4"/>
  <c r="B1648" i="4"/>
  <c r="B1642" i="4"/>
  <c r="B1636" i="4"/>
  <c r="B1630" i="4"/>
  <c r="B1624" i="4"/>
  <c r="B1618" i="4"/>
  <c r="B1612" i="4"/>
  <c r="B1606" i="4"/>
  <c r="B1600" i="4"/>
  <c r="B1594" i="4"/>
  <c r="B1588" i="4"/>
  <c r="B1582" i="4"/>
  <c r="B1576" i="4"/>
  <c r="B1570" i="4"/>
  <c r="B1564" i="4"/>
  <c r="B1558" i="4"/>
  <c r="B1552" i="4"/>
  <c r="B1546" i="4"/>
  <c r="B1540" i="4"/>
  <c r="B1534" i="4"/>
  <c r="B1520" i="4"/>
  <c r="B1460" i="4"/>
  <c r="B1442" i="4"/>
  <c r="B1421" i="4"/>
  <c r="B1411" i="4"/>
  <c r="B1342" i="4"/>
  <c r="B1311" i="4"/>
  <c r="B1293" i="4"/>
  <c r="B1251" i="4"/>
  <c r="B1227" i="4"/>
  <c r="B1203" i="4"/>
  <c r="B1178" i="4"/>
  <c r="B849" i="4"/>
  <c r="B1468" i="4"/>
  <c r="B1450" i="4"/>
  <c r="B1432" i="4"/>
  <c r="B1399" i="4"/>
  <c r="B1387" i="4"/>
  <c r="B1359" i="4"/>
  <c r="B1108" i="4"/>
  <c r="B601" i="4"/>
  <c r="B1409" i="4"/>
  <c r="B1372" i="4"/>
  <c r="B1519" i="4"/>
  <c r="B1502" i="4"/>
  <c r="B1459" i="4"/>
  <c r="B1441" i="4"/>
  <c r="B1420" i="4"/>
  <c r="B1397" i="4"/>
  <c r="B1385" i="4"/>
  <c r="B1324" i="4"/>
  <c r="B1171" i="4"/>
  <c r="B1102" i="4"/>
  <c r="B600" i="4"/>
  <c r="B1551" i="4"/>
  <c r="B1545" i="4"/>
  <c r="B1539" i="4"/>
  <c r="B1533" i="4"/>
  <c r="B1341" i="4"/>
  <c r="B1052" i="4"/>
  <c r="B962" i="4"/>
  <c r="B502" i="4"/>
  <c r="B1492" i="4"/>
  <c r="B1475" i="4"/>
  <c r="B1467" i="4"/>
  <c r="B1449" i="4"/>
  <c r="B1431" i="4"/>
  <c r="B1408" i="4"/>
  <c r="B1526" i="4"/>
  <c r="B1517" i="4"/>
  <c r="B1509" i="4"/>
  <c r="B1501" i="4"/>
  <c r="B1484" i="4"/>
  <c r="B1457" i="4"/>
  <c r="B1439" i="4"/>
  <c r="B1396" i="4"/>
  <c r="B1384" i="4"/>
  <c r="B1371" i="4"/>
  <c r="B1354" i="4"/>
  <c r="B1269" i="4"/>
  <c r="B1245" i="4"/>
  <c r="B1221" i="4"/>
  <c r="B1197" i="4"/>
  <c r="B1170" i="4"/>
  <c r="B1419" i="4"/>
  <c r="B1323" i="4"/>
  <c r="B1135" i="4"/>
  <c r="B811" i="4"/>
  <c r="B1856" i="4"/>
  <c r="B1850" i="4"/>
  <c r="B1844" i="4"/>
  <c r="B1838" i="4"/>
  <c r="B1832" i="4"/>
  <c r="B1826" i="4"/>
  <c r="B1820" i="4"/>
  <c r="B1814" i="4"/>
  <c r="B1808" i="4"/>
  <c r="B1802" i="4"/>
  <c r="B1796" i="4"/>
  <c r="B1790" i="4"/>
  <c r="B1784" i="4"/>
  <c r="B1778" i="4"/>
  <c r="B1772" i="4"/>
  <c r="B1766" i="4"/>
  <c r="B1760" i="4"/>
  <c r="B1754" i="4"/>
  <c r="B1748" i="4"/>
  <c r="B1742" i="4"/>
  <c r="B1736" i="4"/>
  <c r="B1730" i="4"/>
  <c r="B1724" i="4"/>
  <c r="B1718" i="4"/>
  <c r="B1712" i="4"/>
  <c r="B1706" i="4"/>
  <c r="B1700" i="4"/>
  <c r="B1694" i="4"/>
  <c r="B1688" i="4"/>
  <c r="B1682" i="4"/>
  <c r="B1676" i="4"/>
  <c r="B1670" i="4"/>
  <c r="B1664" i="4"/>
  <c r="B1658" i="4"/>
  <c r="B1652" i="4"/>
  <c r="B1646" i="4"/>
  <c r="B1640" i="4"/>
  <c r="B1634" i="4"/>
  <c r="B1628" i="4"/>
  <c r="B1622" i="4"/>
  <c r="B1616" i="4"/>
  <c r="B1610" i="4"/>
  <c r="B1604" i="4"/>
  <c r="B1598" i="4"/>
  <c r="B1592" i="4"/>
  <c r="B1586" i="4"/>
  <c r="B1580" i="4"/>
  <c r="B1574" i="4"/>
  <c r="B1568" i="4"/>
  <c r="B1562" i="4"/>
  <c r="B1556" i="4"/>
  <c r="B1550" i="4"/>
  <c r="B1544" i="4"/>
  <c r="B1538" i="4"/>
  <c r="B1532" i="4"/>
  <c r="B1474" i="4"/>
  <c r="B1466" i="4"/>
  <c r="B1448" i="4"/>
  <c r="B1305" i="4"/>
  <c r="B1287" i="4"/>
  <c r="B1130" i="4"/>
  <c r="B1094" i="4"/>
  <c r="B777" i="4"/>
  <c r="B1312" i="4"/>
  <c r="B1306" i="4"/>
  <c r="B1300" i="4"/>
  <c r="B1294" i="4"/>
  <c r="B1288" i="4"/>
  <c r="B1282" i="4"/>
  <c r="B1276" i="4"/>
  <c r="B1270" i="4"/>
  <c r="B1264" i="4"/>
  <c r="B1258" i="4"/>
  <c r="B1252" i="4"/>
  <c r="B1246" i="4"/>
  <c r="B1240" i="4"/>
  <c r="B1234" i="4"/>
  <c r="B1228" i="4"/>
  <c r="B1222" i="4"/>
  <c r="B1216" i="4"/>
  <c r="B1210" i="4"/>
  <c r="B1204" i="4"/>
  <c r="B1198" i="4"/>
  <c r="B1192" i="4"/>
  <c r="B1186" i="4"/>
  <c r="B1138" i="4"/>
  <c r="B914" i="4"/>
  <c r="B603" i="4"/>
  <c r="B500" i="4"/>
  <c r="B1128" i="4"/>
  <c r="B1110" i="4"/>
  <c r="B1092" i="4"/>
  <c r="B1081" i="4"/>
  <c r="B1066" i="4"/>
  <c r="B980" i="4"/>
  <c r="B908" i="4"/>
  <c r="B579" i="4"/>
  <c r="B462" i="4"/>
  <c r="B1153" i="4"/>
  <c r="B1136" i="4"/>
  <c r="B1034" i="4"/>
  <c r="B1016" i="4"/>
  <c r="B998" i="4"/>
  <c r="B878" i="4"/>
  <c r="B842" i="4"/>
  <c r="B426" i="4"/>
  <c r="B1177" i="4"/>
  <c r="B1144" i="4"/>
  <c r="B1118" i="4"/>
  <c r="B1100" i="4"/>
  <c r="B762" i="4"/>
  <c r="B675" i="4"/>
  <c r="B577" i="4"/>
  <c r="B1430" i="4"/>
  <c r="B1424" i="4"/>
  <c r="B1418" i="4"/>
  <c r="B1412" i="4"/>
  <c r="B1406" i="4"/>
  <c r="B1400" i="4"/>
  <c r="B1394" i="4"/>
  <c r="B1388" i="4"/>
  <c r="B1382" i="4"/>
  <c r="B1376" i="4"/>
  <c r="B1370" i="4"/>
  <c r="B1364" i="4"/>
  <c r="B1358" i="4"/>
  <c r="B1352" i="4"/>
  <c r="B1346" i="4"/>
  <c r="B1340" i="4"/>
  <c r="B1334" i="4"/>
  <c r="B1328" i="4"/>
  <c r="B1322" i="4"/>
  <c r="B1316" i="4"/>
  <c r="B1310" i="4"/>
  <c r="B1304" i="4"/>
  <c r="B1298" i="4"/>
  <c r="B1292" i="4"/>
  <c r="B1286" i="4"/>
  <c r="B1280" i="4"/>
  <c r="B1274" i="4"/>
  <c r="B1268" i="4"/>
  <c r="B1262" i="4"/>
  <c r="B1256" i="4"/>
  <c r="B1250" i="4"/>
  <c r="B1244" i="4"/>
  <c r="B1238" i="4"/>
  <c r="B1232" i="4"/>
  <c r="B1226" i="4"/>
  <c r="B1220" i="4"/>
  <c r="B1214" i="4"/>
  <c r="B1208" i="4"/>
  <c r="B1202" i="4"/>
  <c r="B1196" i="4"/>
  <c r="B1190" i="4"/>
  <c r="B1184" i="4"/>
  <c r="B1169" i="4"/>
  <c r="B422" i="4"/>
  <c r="B1064" i="4"/>
  <c r="B956" i="4"/>
  <c r="B932" i="4"/>
  <c r="B841" i="4"/>
  <c r="B576" i="4"/>
  <c r="B1176" i="4"/>
  <c r="B1168" i="4"/>
  <c r="B1160" i="4"/>
  <c r="B1117" i="4"/>
  <c r="B1099" i="4"/>
  <c r="B902" i="4"/>
  <c r="B835" i="4"/>
  <c r="B555" i="4"/>
  <c r="B421" i="4"/>
  <c r="B872" i="4"/>
  <c r="B795" i="4"/>
  <c r="B382" i="4"/>
  <c r="B1363" i="4"/>
  <c r="B1357" i="4"/>
  <c r="B1351" i="4"/>
  <c r="B1345" i="4"/>
  <c r="B1339" i="4"/>
  <c r="B1333" i="4"/>
  <c r="B1327" i="4"/>
  <c r="B1321" i="4"/>
  <c r="B1315" i="4"/>
  <c r="B1309" i="4"/>
  <c r="B1303" i="4"/>
  <c r="B1297" i="4"/>
  <c r="B1291" i="4"/>
  <c r="B1285" i="4"/>
  <c r="B1279" i="4"/>
  <c r="B1273" i="4"/>
  <c r="B1267" i="4"/>
  <c r="B1261" i="4"/>
  <c r="B1255" i="4"/>
  <c r="B1249" i="4"/>
  <c r="B1243" i="4"/>
  <c r="B1237" i="4"/>
  <c r="B1231" i="4"/>
  <c r="B1225" i="4"/>
  <c r="B1219" i="4"/>
  <c r="B1213" i="4"/>
  <c r="B1207" i="4"/>
  <c r="B1201" i="4"/>
  <c r="B1195" i="4"/>
  <c r="B1189" i="4"/>
  <c r="B1183" i="4"/>
  <c r="B1134" i="4"/>
  <c r="B1046" i="4"/>
  <c r="B974" i="4"/>
  <c r="B717" i="4"/>
  <c r="B660" i="4"/>
  <c r="B553" i="4"/>
  <c r="B1159" i="4"/>
  <c r="B1142" i="4"/>
  <c r="B1116" i="4"/>
  <c r="B1098" i="4"/>
  <c r="B1076" i="4"/>
  <c r="B834" i="4"/>
  <c r="B1175" i="4"/>
  <c r="B1150" i="4"/>
  <c r="B1028" i="4"/>
  <c r="B1010" i="4"/>
  <c r="B992" i="4"/>
  <c r="B926" i="4"/>
  <c r="B794" i="4"/>
  <c r="B752" i="4"/>
  <c r="B710" i="4"/>
  <c r="B552" i="4"/>
  <c r="B1124" i="4"/>
  <c r="B1106" i="4"/>
  <c r="B1088" i="4"/>
  <c r="B896" i="4"/>
  <c r="B531" i="4"/>
  <c r="B340" i="4"/>
  <c r="B1518" i="4"/>
  <c r="B1512" i="4"/>
  <c r="B1506" i="4"/>
  <c r="B1500" i="4"/>
  <c r="B1494" i="4"/>
  <c r="B1488" i="4"/>
  <c r="B1482" i="4"/>
  <c r="B1476" i="4"/>
  <c r="B1470" i="4"/>
  <c r="B1464" i="4"/>
  <c r="B1458" i="4"/>
  <c r="B1452" i="4"/>
  <c r="B1446" i="4"/>
  <c r="B1440" i="4"/>
  <c r="B1434" i="4"/>
  <c r="B1428" i="4"/>
  <c r="B1422" i="4"/>
  <c r="B1416" i="4"/>
  <c r="B1410" i="4"/>
  <c r="B1404" i="4"/>
  <c r="B1398" i="4"/>
  <c r="B1392" i="4"/>
  <c r="B1386" i="4"/>
  <c r="B1380" i="4"/>
  <c r="B1374" i="4"/>
  <c r="B1368" i="4"/>
  <c r="B1362" i="4"/>
  <c r="B1356" i="4"/>
  <c r="B1350" i="4"/>
  <c r="B1344" i="4"/>
  <c r="B1338" i="4"/>
  <c r="B1332" i="4"/>
  <c r="B1326" i="4"/>
  <c r="B1320" i="4"/>
  <c r="B1314" i="4"/>
  <c r="B1308" i="4"/>
  <c r="B1302" i="4"/>
  <c r="B1296" i="4"/>
  <c r="B1290" i="4"/>
  <c r="B1284" i="4"/>
  <c r="B1278" i="4"/>
  <c r="B1272" i="4"/>
  <c r="B1266" i="4"/>
  <c r="B1260" i="4"/>
  <c r="B1254" i="4"/>
  <c r="B1248" i="4"/>
  <c r="B1242" i="4"/>
  <c r="B1236" i="4"/>
  <c r="B1230" i="4"/>
  <c r="B1224" i="4"/>
  <c r="B1218" i="4"/>
  <c r="B1212" i="4"/>
  <c r="B1206" i="4"/>
  <c r="B1200" i="4"/>
  <c r="B1194" i="4"/>
  <c r="B1188" i="4"/>
  <c r="B1182" i="4"/>
  <c r="B1174" i="4"/>
  <c r="B1166" i="4"/>
  <c r="B1158" i="4"/>
  <c r="B1141" i="4"/>
  <c r="B950" i="4"/>
  <c r="B787" i="4"/>
  <c r="B338" i="4"/>
  <c r="B1132" i="4"/>
  <c r="B1114" i="4"/>
  <c r="B1096" i="4"/>
  <c r="B827" i="4"/>
  <c r="B709" i="4"/>
  <c r="B642" i="4"/>
  <c r="B529" i="4"/>
  <c r="B1123" i="4"/>
  <c r="B1105" i="4"/>
  <c r="B1087" i="4"/>
  <c r="B1058" i="4"/>
  <c r="B864" i="4"/>
  <c r="B329" i="4"/>
  <c r="B1165" i="4"/>
  <c r="B1140" i="4"/>
  <c r="B1072" i="4"/>
  <c r="B968" i="4"/>
  <c r="B920" i="4"/>
  <c r="B858" i="4"/>
  <c r="B786" i="4"/>
  <c r="B744" i="4"/>
  <c r="B702" i="4"/>
  <c r="B528" i="4"/>
  <c r="B1379" i="4"/>
  <c r="B1373" i="4"/>
  <c r="B1367" i="4"/>
  <c r="B1361" i="4"/>
  <c r="B1355" i="4"/>
  <c r="B1349" i="4"/>
  <c r="B1343" i="4"/>
  <c r="B1337" i="4"/>
  <c r="B1331" i="4"/>
  <c r="B1325" i="4"/>
  <c r="B1319" i="4"/>
  <c r="B1313" i="4"/>
  <c r="B1307" i="4"/>
  <c r="B1301" i="4"/>
  <c r="B1295" i="4"/>
  <c r="B1289" i="4"/>
  <c r="B1283" i="4"/>
  <c r="B1277" i="4"/>
  <c r="B1271" i="4"/>
  <c r="B1265" i="4"/>
  <c r="B1259" i="4"/>
  <c r="B1253" i="4"/>
  <c r="B1247" i="4"/>
  <c r="B1241" i="4"/>
  <c r="B1235" i="4"/>
  <c r="B1229" i="4"/>
  <c r="B1223" i="4"/>
  <c r="B1217" i="4"/>
  <c r="B1211" i="4"/>
  <c r="B1205" i="4"/>
  <c r="B1199" i="4"/>
  <c r="B1193" i="4"/>
  <c r="B1187" i="4"/>
  <c r="B1181" i="4"/>
  <c r="B1148" i="4"/>
  <c r="B890" i="4"/>
  <c r="B265" i="4"/>
  <c r="B1156" i="4"/>
  <c r="B1122" i="4"/>
  <c r="B1104" i="4"/>
  <c r="B1040" i="4"/>
  <c r="B819" i="4"/>
  <c r="B1180" i="4"/>
  <c r="B1172" i="4"/>
  <c r="B1164" i="4"/>
  <c r="B1084" i="4"/>
  <c r="B1022" i="4"/>
  <c r="B1004" i="4"/>
  <c r="B986" i="4"/>
  <c r="B944" i="4"/>
  <c r="B857" i="4"/>
  <c r="B624" i="4"/>
  <c r="B385" i="4"/>
  <c r="B865" i="4"/>
  <c r="B820" i="4"/>
  <c r="B812" i="4"/>
  <c r="B804" i="4"/>
  <c r="B661" i="4"/>
  <c r="B643" i="4"/>
  <c r="B625" i="4"/>
  <c r="B464" i="4"/>
  <c r="B266" i="4"/>
  <c r="B871" i="4"/>
  <c r="B826" i="4"/>
  <c r="B818" i="4"/>
  <c r="B759" i="4"/>
  <c r="B751" i="4"/>
  <c r="B734" i="4"/>
  <c r="B726" i="4"/>
  <c r="B657" i="4"/>
  <c r="B639" i="4"/>
  <c r="B621" i="4"/>
  <c r="B597" i="4"/>
  <c r="B573" i="4"/>
  <c r="B549" i="4"/>
  <c r="B525" i="4"/>
  <c r="B496" i="4"/>
  <c r="B457" i="4"/>
  <c r="B374" i="4"/>
  <c r="B1075" i="4"/>
  <c r="B1069" i="4"/>
  <c r="B1063" i="4"/>
  <c r="B1057" i="4"/>
  <c r="B1051" i="4"/>
  <c r="B1045" i="4"/>
  <c r="B1039" i="4"/>
  <c r="B1033" i="4"/>
  <c r="B1027" i="4"/>
  <c r="B1021" i="4"/>
  <c r="B1015" i="4"/>
  <c r="B1009" i="4"/>
  <c r="B1003" i="4"/>
  <c r="B997" i="4"/>
  <c r="B991" i="4"/>
  <c r="B985" i="4"/>
  <c r="B979" i="4"/>
  <c r="B973" i="4"/>
  <c r="B967" i="4"/>
  <c r="B961" i="4"/>
  <c r="B955" i="4"/>
  <c r="B949" i="4"/>
  <c r="B943" i="4"/>
  <c r="B937" i="4"/>
  <c r="B931" i="4"/>
  <c r="B925" i="4"/>
  <c r="B919" i="4"/>
  <c r="B913" i="4"/>
  <c r="B907" i="4"/>
  <c r="B901" i="4"/>
  <c r="B895" i="4"/>
  <c r="B889" i="4"/>
  <c r="B883" i="4"/>
  <c r="B877" i="4"/>
  <c r="B856" i="4"/>
  <c r="B848" i="4"/>
  <c r="B825" i="4"/>
  <c r="B801" i="4"/>
  <c r="B793" i="4"/>
  <c r="B776" i="4"/>
  <c r="B768" i="4"/>
  <c r="B699" i="4"/>
  <c r="B673" i="4"/>
  <c r="B372" i="4"/>
  <c r="B855" i="4"/>
  <c r="B833" i="4"/>
  <c r="B810" i="4"/>
  <c r="B687" i="4"/>
  <c r="B493" i="4"/>
  <c r="B454" i="4"/>
  <c r="B371" i="4"/>
  <c r="B236" i="4"/>
  <c r="B863" i="4"/>
  <c r="B840" i="4"/>
  <c r="B817" i="4"/>
  <c r="B741" i="4"/>
  <c r="B733" i="4"/>
  <c r="B716" i="4"/>
  <c r="B708" i="4"/>
  <c r="B698" i="4"/>
  <c r="B655" i="4"/>
  <c r="B637" i="4"/>
  <c r="B619" i="4"/>
  <c r="B595" i="4"/>
  <c r="B571" i="4"/>
  <c r="B547" i="4"/>
  <c r="B523" i="4"/>
  <c r="B870" i="4"/>
  <c r="B847" i="4"/>
  <c r="B783" i="4"/>
  <c r="B775" i="4"/>
  <c r="B758" i="4"/>
  <c r="B750" i="4"/>
  <c r="B672" i="4"/>
  <c r="B412" i="4"/>
  <c r="B319" i="4"/>
  <c r="B1086" i="4"/>
  <c r="B1080" i="4"/>
  <c r="B1074" i="4"/>
  <c r="B1068" i="4"/>
  <c r="B1062" i="4"/>
  <c r="B1056" i="4"/>
  <c r="B1050" i="4"/>
  <c r="B1044" i="4"/>
  <c r="B1038" i="4"/>
  <c r="B1032" i="4"/>
  <c r="B1026" i="4"/>
  <c r="B1020" i="4"/>
  <c r="B1014" i="4"/>
  <c r="B1008" i="4"/>
  <c r="B1002" i="4"/>
  <c r="B996" i="4"/>
  <c r="B990" i="4"/>
  <c r="B984" i="4"/>
  <c r="B978" i="4"/>
  <c r="B972" i="4"/>
  <c r="B966" i="4"/>
  <c r="B960" i="4"/>
  <c r="B954" i="4"/>
  <c r="B948" i="4"/>
  <c r="B942" i="4"/>
  <c r="B936" i="4"/>
  <c r="B930" i="4"/>
  <c r="B924" i="4"/>
  <c r="B918" i="4"/>
  <c r="B912" i="4"/>
  <c r="B906" i="4"/>
  <c r="B900" i="4"/>
  <c r="B894" i="4"/>
  <c r="B888" i="4"/>
  <c r="B882" i="4"/>
  <c r="B876" i="4"/>
  <c r="B832" i="4"/>
  <c r="B824" i="4"/>
  <c r="B800" i="4"/>
  <c r="B792" i="4"/>
  <c r="B685" i="4"/>
  <c r="B618" i="4"/>
  <c r="B594" i="4"/>
  <c r="B570" i="4"/>
  <c r="B546" i="4"/>
  <c r="B522" i="4"/>
  <c r="B410" i="4"/>
  <c r="B862" i="4"/>
  <c r="B854" i="4"/>
  <c r="B831" i="4"/>
  <c r="B723" i="4"/>
  <c r="B715" i="4"/>
  <c r="B697" i="4"/>
  <c r="B654" i="4"/>
  <c r="B636" i="4"/>
  <c r="B615" i="4"/>
  <c r="B591" i="4"/>
  <c r="B567" i="4"/>
  <c r="B543" i="4"/>
  <c r="B519" i="4"/>
  <c r="B446" i="4"/>
  <c r="B317" i="4"/>
  <c r="B861" i="4"/>
  <c r="B839" i="4"/>
  <c r="B816" i="4"/>
  <c r="B765" i="4"/>
  <c r="B757" i="4"/>
  <c r="B740" i="4"/>
  <c r="B732" i="4"/>
  <c r="B669" i="4"/>
  <c r="B484" i="4"/>
  <c r="B444" i="4"/>
  <c r="B403" i="4"/>
  <c r="B200" i="4"/>
  <c r="B869" i="4"/>
  <c r="B846" i="4"/>
  <c r="B823" i="4"/>
  <c r="B807" i="4"/>
  <c r="B799" i="4"/>
  <c r="B782" i="4"/>
  <c r="B774" i="4"/>
  <c r="B684" i="4"/>
  <c r="B651" i="4"/>
  <c r="B633" i="4"/>
  <c r="B443" i="4"/>
  <c r="B1157" i="4"/>
  <c r="B1151" i="4"/>
  <c r="B1145" i="4"/>
  <c r="B1139" i="4"/>
  <c r="B1133" i="4"/>
  <c r="B1127" i="4"/>
  <c r="B1121" i="4"/>
  <c r="B1115" i="4"/>
  <c r="B1109" i="4"/>
  <c r="B1103" i="4"/>
  <c r="B1097" i="4"/>
  <c r="B1091" i="4"/>
  <c r="B1085" i="4"/>
  <c r="B1079" i="4"/>
  <c r="B1073" i="4"/>
  <c r="B1067" i="4"/>
  <c r="B1061" i="4"/>
  <c r="B1055" i="4"/>
  <c r="B1049" i="4"/>
  <c r="B1043" i="4"/>
  <c r="B1037" i="4"/>
  <c r="B1031" i="4"/>
  <c r="B1025" i="4"/>
  <c r="B1019" i="4"/>
  <c r="B1013" i="4"/>
  <c r="B1007" i="4"/>
  <c r="B1001" i="4"/>
  <c r="B995" i="4"/>
  <c r="B989" i="4"/>
  <c r="B983" i="4"/>
  <c r="B977" i="4"/>
  <c r="B971" i="4"/>
  <c r="B965" i="4"/>
  <c r="B959" i="4"/>
  <c r="B953" i="4"/>
  <c r="B947" i="4"/>
  <c r="B941" i="4"/>
  <c r="B935" i="4"/>
  <c r="B929" i="4"/>
  <c r="B923" i="4"/>
  <c r="B917" i="4"/>
  <c r="B911" i="4"/>
  <c r="B905" i="4"/>
  <c r="B899" i="4"/>
  <c r="B893" i="4"/>
  <c r="B887" i="4"/>
  <c r="B881" i="4"/>
  <c r="B875" i="4"/>
  <c r="B853" i="4"/>
  <c r="B705" i="4"/>
  <c r="B613" i="4"/>
  <c r="B589" i="4"/>
  <c r="B565" i="4"/>
  <c r="B541" i="4"/>
  <c r="B517" i="4"/>
  <c r="B402" i="4"/>
  <c r="B361" i="4"/>
  <c r="B838" i="4"/>
  <c r="B830" i="4"/>
  <c r="B747" i="4"/>
  <c r="B739" i="4"/>
  <c r="B722" i="4"/>
  <c r="B714" i="4"/>
  <c r="B696" i="4"/>
  <c r="B667" i="4"/>
  <c r="B482" i="4"/>
  <c r="B401" i="4"/>
  <c r="B304" i="4"/>
  <c r="B868" i="4"/>
  <c r="B860" i="4"/>
  <c r="B837" i="4"/>
  <c r="B815" i="4"/>
  <c r="B789" i="4"/>
  <c r="B781" i="4"/>
  <c r="B764" i="4"/>
  <c r="B756" i="4"/>
  <c r="B649" i="4"/>
  <c r="B631" i="4"/>
  <c r="B612" i="4"/>
  <c r="B588" i="4"/>
  <c r="B564" i="4"/>
  <c r="B540" i="4"/>
  <c r="B516" i="4"/>
  <c r="B867" i="4"/>
  <c r="B845" i="4"/>
  <c r="B822" i="4"/>
  <c r="B806" i="4"/>
  <c r="B798" i="4"/>
  <c r="B681" i="4"/>
  <c r="B609" i="4"/>
  <c r="B585" i="4"/>
  <c r="B561" i="4"/>
  <c r="B537" i="4"/>
  <c r="B513" i="4"/>
  <c r="B476" i="4"/>
  <c r="B1060" i="4"/>
  <c r="B1054" i="4"/>
  <c r="B1048" i="4"/>
  <c r="B1042" i="4"/>
  <c r="B1036" i="4"/>
  <c r="B1030" i="4"/>
  <c r="B1024" i="4"/>
  <c r="B1018" i="4"/>
  <c r="B1012" i="4"/>
  <c r="B1006" i="4"/>
  <c r="B1000" i="4"/>
  <c r="B994" i="4"/>
  <c r="B988" i="4"/>
  <c r="B982" i="4"/>
  <c r="B976" i="4"/>
  <c r="B970" i="4"/>
  <c r="B964" i="4"/>
  <c r="B958" i="4"/>
  <c r="B952" i="4"/>
  <c r="B946" i="4"/>
  <c r="B940" i="4"/>
  <c r="B934" i="4"/>
  <c r="B928" i="4"/>
  <c r="B922" i="4"/>
  <c r="B916" i="4"/>
  <c r="B910" i="4"/>
  <c r="B904" i="4"/>
  <c r="B898" i="4"/>
  <c r="B892" i="4"/>
  <c r="B886" i="4"/>
  <c r="B880" i="4"/>
  <c r="B874" i="4"/>
  <c r="B852" i="4"/>
  <c r="B829" i="4"/>
  <c r="B729" i="4"/>
  <c r="B721" i="4"/>
  <c r="B704" i="4"/>
  <c r="B666" i="4"/>
  <c r="B392" i="4"/>
  <c r="B287" i="4"/>
  <c r="B859" i="4"/>
  <c r="B814" i="4"/>
  <c r="B771" i="4"/>
  <c r="B763" i="4"/>
  <c r="B746" i="4"/>
  <c r="B738" i="4"/>
  <c r="B693" i="4"/>
  <c r="B648" i="4"/>
  <c r="B630" i="4"/>
  <c r="B511" i="4"/>
  <c r="B474" i="4"/>
  <c r="B350" i="4"/>
  <c r="B844" i="4"/>
  <c r="B836" i="4"/>
  <c r="B813" i="4"/>
  <c r="B805" i="4"/>
  <c r="B788" i="4"/>
  <c r="B780" i="4"/>
  <c r="B692" i="4"/>
  <c r="B679" i="4"/>
  <c r="B607" i="4"/>
  <c r="B583" i="4"/>
  <c r="B559" i="4"/>
  <c r="B535" i="4"/>
  <c r="B473" i="4"/>
  <c r="B433" i="4"/>
  <c r="B866" i="4"/>
  <c r="B843" i="4"/>
  <c r="B821" i="4"/>
  <c r="B711" i="4"/>
  <c r="B703" i="4"/>
  <c r="B663" i="4"/>
  <c r="B645" i="4"/>
  <c r="B627" i="4"/>
  <c r="B349" i="4"/>
  <c r="B1179" i="4"/>
  <c r="B1173" i="4"/>
  <c r="B1167" i="4"/>
  <c r="B1161" i="4"/>
  <c r="B1155" i="4"/>
  <c r="B1149" i="4"/>
  <c r="B1143" i="4"/>
  <c r="B1137" i="4"/>
  <c r="B1131" i="4"/>
  <c r="B1125" i="4"/>
  <c r="B1119" i="4"/>
  <c r="B1113" i="4"/>
  <c r="B1107" i="4"/>
  <c r="B1101" i="4"/>
  <c r="B1095" i="4"/>
  <c r="B1089" i="4"/>
  <c r="B1083" i="4"/>
  <c r="B1077" i="4"/>
  <c r="B1071" i="4"/>
  <c r="B1065" i="4"/>
  <c r="B1059" i="4"/>
  <c r="B1053" i="4"/>
  <c r="B1047" i="4"/>
  <c r="B1041" i="4"/>
  <c r="B1035" i="4"/>
  <c r="B1029" i="4"/>
  <c r="B1023" i="4"/>
  <c r="B1017" i="4"/>
  <c r="B1011" i="4"/>
  <c r="B1005" i="4"/>
  <c r="B999" i="4"/>
  <c r="B993" i="4"/>
  <c r="B987" i="4"/>
  <c r="B981" i="4"/>
  <c r="B975" i="4"/>
  <c r="B969" i="4"/>
  <c r="B963" i="4"/>
  <c r="B957" i="4"/>
  <c r="B951" i="4"/>
  <c r="B945" i="4"/>
  <c r="B939" i="4"/>
  <c r="B933" i="4"/>
  <c r="B927" i="4"/>
  <c r="B921" i="4"/>
  <c r="B915" i="4"/>
  <c r="B909" i="4"/>
  <c r="B903" i="4"/>
  <c r="B897" i="4"/>
  <c r="B891" i="4"/>
  <c r="B885" i="4"/>
  <c r="B879" i="4"/>
  <c r="B873" i="4"/>
  <c r="B851" i="4"/>
  <c r="B828" i="4"/>
  <c r="B753" i="4"/>
  <c r="B745" i="4"/>
  <c r="B728" i="4"/>
  <c r="B720" i="4"/>
  <c r="B606" i="4"/>
  <c r="B582" i="4"/>
  <c r="B558" i="4"/>
  <c r="B534" i="4"/>
  <c r="B509" i="4"/>
  <c r="B472" i="4"/>
  <c r="B390" i="4"/>
  <c r="B283" i="4"/>
  <c r="B492" i="4"/>
  <c r="B463" i="4"/>
  <c r="B452" i="4"/>
  <c r="B432" i="4"/>
  <c r="B391" i="4"/>
  <c r="B380" i="4"/>
  <c r="B360" i="4"/>
  <c r="B284" i="4"/>
  <c r="B510" i="4"/>
  <c r="B491" i="4"/>
  <c r="B442" i="4"/>
  <c r="B431" i="4"/>
  <c r="B370" i="4"/>
  <c r="B359" i="4"/>
  <c r="B328" i="4"/>
  <c r="B302" i="4"/>
  <c r="B481" i="4"/>
  <c r="B461" i="4"/>
  <c r="B400" i="4"/>
  <c r="B389" i="4"/>
  <c r="B316" i="4"/>
  <c r="B301" i="4"/>
  <c r="B281" i="4"/>
  <c r="B260" i="4"/>
  <c r="B230" i="4"/>
  <c r="B451" i="4"/>
  <c r="B440" i="4"/>
  <c r="B420" i="4"/>
  <c r="B379" i="4"/>
  <c r="B368" i="4"/>
  <c r="B348" i="4"/>
  <c r="B326" i="4"/>
  <c r="B299" i="4"/>
  <c r="B259" i="4"/>
  <c r="B490" i="4"/>
  <c r="B470" i="4"/>
  <c r="B430" i="4"/>
  <c r="B419" i="4"/>
  <c r="B358" i="4"/>
  <c r="B347" i="4"/>
  <c r="B809" i="4"/>
  <c r="B803" i="4"/>
  <c r="B797" i="4"/>
  <c r="B791" i="4"/>
  <c r="B785" i="4"/>
  <c r="B779" i="4"/>
  <c r="B773" i="4"/>
  <c r="B767" i="4"/>
  <c r="B761" i="4"/>
  <c r="B755" i="4"/>
  <c r="B749" i="4"/>
  <c r="B743" i="4"/>
  <c r="B737" i="4"/>
  <c r="B731" i="4"/>
  <c r="B725" i="4"/>
  <c r="B719" i="4"/>
  <c r="B713" i="4"/>
  <c r="B707" i="4"/>
  <c r="B701" i="4"/>
  <c r="B695" i="4"/>
  <c r="B689" i="4"/>
  <c r="B683" i="4"/>
  <c r="B677" i="4"/>
  <c r="B671" i="4"/>
  <c r="B665" i="4"/>
  <c r="B659" i="4"/>
  <c r="B653" i="4"/>
  <c r="B647" i="4"/>
  <c r="B641" i="4"/>
  <c r="B635" i="4"/>
  <c r="B629" i="4"/>
  <c r="B623" i="4"/>
  <c r="B617" i="4"/>
  <c r="B611" i="4"/>
  <c r="B605" i="4"/>
  <c r="B599" i="4"/>
  <c r="B593" i="4"/>
  <c r="B587" i="4"/>
  <c r="B581" i="4"/>
  <c r="B575" i="4"/>
  <c r="B569" i="4"/>
  <c r="B563" i="4"/>
  <c r="B557" i="4"/>
  <c r="B551" i="4"/>
  <c r="B545" i="4"/>
  <c r="B539" i="4"/>
  <c r="B533" i="4"/>
  <c r="B527" i="4"/>
  <c r="B521" i="4"/>
  <c r="B515" i="4"/>
  <c r="B508" i="4"/>
  <c r="B499" i="4"/>
  <c r="B480" i="4"/>
  <c r="B450" i="4"/>
  <c r="B409" i="4"/>
  <c r="B398" i="4"/>
  <c r="B378" i="4"/>
  <c r="B337" i="4"/>
  <c r="B314" i="4"/>
  <c r="B479" i="4"/>
  <c r="B460" i="4"/>
  <c r="B449" i="4"/>
  <c r="B388" i="4"/>
  <c r="B377" i="4"/>
  <c r="B298" i="4"/>
  <c r="B278" i="4"/>
  <c r="B224" i="4"/>
  <c r="B507" i="4"/>
  <c r="B488" i="4"/>
  <c r="B439" i="4"/>
  <c r="B428" i="4"/>
  <c r="B408" i="4"/>
  <c r="B367" i="4"/>
  <c r="B356" i="4"/>
  <c r="B335" i="4"/>
  <c r="B325" i="4"/>
  <c r="B254" i="4"/>
  <c r="B498" i="4"/>
  <c r="B469" i="4"/>
  <c r="B418" i="4"/>
  <c r="B407" i="4"/>
  <c r="B346" i="4"/>
  <c r="B313" i="4"/>
  <c r="B277" i="4"/>
  <c r="B253" i="4"/>
  <c r="B808" i="4"/>
  <c r="B802" i="4"/>
  <c r="B796" i="4"/>
  <c r="B790" i="4"/>
  <c r="B784" i="4"/>
  <c r="B778" i="4"/>
  <c r="B772" i="4"/>
  <c r="B766" i="4"/>
  <c r="B760" i="4"/>
  <c r="B754" i="4"/>
  <c r="B748" i="4"/>
  <c r="B742" i="4"/>
  <c r="B736" i="4"/>
  <c r="B730" i="4"/>
  <c r="B724" i="4"/>
  <c r="B718" i="4"/>
  <c r="B712" i="4"/>
  <c r="B706" i="4"/>
  <c r="B700" i="4"/>
  <c r="B694" i="4"/>
  <c r="B688" i="4"/>
  <c r="B682" i="4"/>
  <c r="B676" i="4"/>
  <c r="B670" i="4"/>
  <c r="B664" i="4"/>
  <c r="B658" i="4"/>
  <c r="B652" i="4"/>
  <c r="B646" i="4"/>
  <c r="B640" i="4"/>
  <c r="B634" i="4"/>
  <c r="B628" i="4"/>
  <c r="B622" i="4"/>
  <c r="B616" i="4"/>
  <c r="B610" i="4"/>
  <c r="B604" i="4"/>
  <c r="B598" i="4"/>
  <c r="B592" i="4"/>
  <c r="B586" i="4"/>
  <c r="B580" i="4"/>
  <c r="B574" i="4"/>
  <c r="B568" i="4"/>
  <c r="B562" i="4"/>
  <c r="B556" i="4"/>
  <c r="B550" i="4"/>
  <c r="B544" i="4"/>
  <c r="B538" i="4"/>
  <c r="B532" i="4"/>
  <c r="B526" i="4"/>
  <c r="B520" i="4"/>
  <c r="B514" i="4"/>
  <c r="B497" i="4"/>
  <c r="B458" i="4"/>
  <c r="B438" i="4"/>
  <c r="B397" i="4"/>
  <c r="B386" i="4"/>
  <c r="B366" i="4"/>
  <c r="B323" i="4"/>
  <c r="B311" i="4"/>
  <c r="B296" i="4"/>
  <c r="B275" i="4"/>
  <c r="B506" i="4"/>
  <c r="B478" i="4"/>
  <c r="B448" i="4"/>
  <c r="B437" i="4"/>
  <c r="B376" i="4"/>
  <c r="B365" i="4"/>
  <c r="B218" i="4"/>
  <c r="B487" i="4"/>
  <c r="B468" i="4"/>
  <c r="B427" i="4"/>
  <c r="B416" i="4"/>
  <c r="B396" i="4"/>
  <c r="B355" i="4"/>
  <c r="B344" i="4"/>
  <c r="B334" i="4"/>
  <c r="B295" i="4"/>
  <c r="B467" i="4"/>
  <c r="B406" i="4"/>
  <c r="B395" i="4"/>
  <c r="B310" i="4"/>
  <c r="B293" i="4"/>
  <c r="B248" i="4"/>
  <c r="B354" i="4"/>
  <c r="B322" i="4"/>
  <c r="B272" i="4"/>
  <c r="B247" i="4"/>
  <c r="B505" i="4"/>
  <c r="B486" i="4"/>
  <c r="B436" i="4"/>
  <c r="B425" i="4"/>
  <c r="B364" i="4"/>
  <c r="B353" i="4"/>
  <c r="B332" i="4"/>
  <c r="B212" i="4"/>
  <c r="B485" i="4"/>
  <c r="B456" i="4"/>
  <c r="B415" i="4"/>
  <c r="B404" i="4"/>
  <c r="B384" i="4"/>
  <c r="B343" i="4"/>
  <c r="B308" i="4"/>
  <c r="B271" i="4"/>
  <c r="B512" i="4"/>
  <c r="B494" i="4"/>
  <c r="B466" i="4"/>
  <c r="B455" i="4"/>
  <c r="B394" i="4"/>
  <c r="B383" i="4"/>
  <c r="B320" i="4"/>
  <c r="B290" i="4"/>
  <c r="B269" i="4"/>
  <c r="B686" i="4"/>
  <c r="B680" i="4"/>
  <c r="B674" i="4"/>
  <c r="B668" i="4"/>
  <c r="B662" i="4"/>
  <c r="B656" i="4"/>
  <c r="B650" i="4"/>
  <c r="B644" i="4"/>
  <c r="B638" i="4"/>
  <c r="B632" i="4"/>
  <c r="B626" i="4"/>
  <c r="B620" i="4"/>
  <c r="B614" i="4"/>
  <c r="B608" i="4"/>
  <c r="B602" i="4"/>
  <c r="B596" i="4"/>
  <c r="B590" i="4"/>
  <c r="B584" i="4"/>
  <c r="B578" i="4"/>
  <c r="B572" i="4"/>
  <c r="B566" i="4"/>
  <c r="B560" i="4"/>
  <c r="B554" i="4"/>
  <c r="B548" i="4"/>
  <c r="B542" i="4"/>
  <c r="B536" i="4"/>
  <c r="B530" i="4"/>
  <c r="B524" i="4"/>
  <c r="B518" i="4"/>
  <c r="B504" i="4"/>
  <c r="B475" i="4"/>
  <c r="B445" i="4"/>
  <c r="B434" i="4"/>
  <c r="B414" i="4"/>
  <c r="B373" i="4"/>
  <c r="B362" i="4"/>
  <c r="B342" i="4"/>
  <c r="B307" i="4"/>
  <c r="B242" i="4"/>
  <c r="B503" i="4"/>
  <c r="B424" i="4"/>
  <c r="B413" i="4"/>
  <c r="B352" i="4"/>
  <c r="B341" i="4"/>
  <c r="B331" i="4"/>
  <c r="B305" i="4"/>
  <c r="B289" i="4"/>
  <c r="B241" i="4"/>
  <c r="B206" i="4"/>
  <c r="B194" i="4"/>
  <c r="B188" i="4"/>
  <c r="B182" i="4"/>
  <c r="B176" i="4"/>
  <c r="B170" i="4"/>
  <c r="B164" i="4"/>
  <c r="B158" i="4"/>
  <c r="B152" i="4"/>
  <c r="B146" i="4"/>
  <c r="B140" i="4"/>
  <c r="B134" i="4"/>
  <c r="B128" i="4"/>
  <c r="B122" i="4"/>
  <c r="B116" i="4"/>
  <c r="B110" i="4"/>
  <c r="B104" i="4"/>
  <c r="B98" i="4"/>
  <c r="B92" i="4"/>
  <c r="B86" i="4"/>
  <c r="B80" i="4"/>
  <c r="B74" i="4"/>
  <c r="B68" i="4"/>
  <c r="B62" i="4"/>
  <c r="B56" i="4"/>
  <c r="B50" i="4"/>
  <c r="B44" i="4"/>
  <c r="B38" i="4"/>
  <c r="B32" i="4"/>
  <c r="B26" i="4"/>
  <c r="B20" i="4"/>
  <c r="B14" i="4"/>
  <c r="B8" i="4"/>
  <c r="B235" i="4"/>
  <c r="B229" i="4"/>
  <c r="B223" i="4"/>
  <c r="B217" i="4"/>
  <c r="B211" i="4"/>
  <c r="B205" i="4"/>
  <c r="B199" i="4"/>
  <c r="B193" i="4"/>
  <c r="B187" i="4"/>
  <c r="B181" i="4"/>
  <c r="B175" i="4"/>
  <c r="B169" i="4"/>
  <c r="B163" i="4"/>
  <c r="B157" i="4"/>
  <c r="B151" i="4"/>
  <c r="B145" i="4"/>
  <c r="B139" i="4"/>
  <c r="B133" i="4"/>
  <c r="B127" i="4"/>
  <c r="B121" i="4"/>
  <c r="B115" i="4"/>
  <c r="B109" i="4"/>
  <c r="B103" i="4"/>
  <c r="B97" i="4"/>
  <c r="B91" i="4"/>
  <c r="B85" i="4"/>
  <c r="B79" i="4"/>
  <c r="B73" i="4"/>
  <c r="B67" i="4"/>
  <c r="B61" i="4"/>
  <c r="B55" i="4"/>
  <c r="B49" i="4"/>
  <c r="B43" i="4"/>
  <c r="B37" i="4"/>
  <c r="B31" i="4"/>
  <c r="B25" i="4"/>
  <c r="B19" i="4"/>
  <c r="B13" i="4"/>
  <c r="B7" i="4"/>
  <c r="B336" i="4"/>
  <c r="B330" i="4"/>
  <c r="B324" i="4"/>
  <c r="B318" i="4"/>
  <c r="B312" i="4"/>
  <c r="B306" i="4"/>
  <c r="B300" i="4"/>
  <c r="B294" i="4"/>
  <c r="B288" i="4"/>
  <c r="B282" i="4"/>
  <c r="B276" i="4"/>
  <c r="B270" i="4"/>
  <c r="B264" i="4"/>
  <c r="B258" i="4"/>
  <c r="B252" i="4"/>
  <c r="B246" i="4"/>
  <c r="B240" i="4"/>
  <c r="B234" i="4"/>
  <c r="B228" i="4"/>
  <c r="B222" i="4"/>
  <c r="B216" i="4"/>
  <c r="B210" i="4"/>
  <c r="B204" i="4"/>
  <c r="B198" i="4"/>
  <c r="B192" i="4"/>
  <c r="B186" i="4"/>
  <c r="B180" i="4"/>
  <c r="B174" i="4"/>
  <c r="B168" i="4"/>
  <c r="B162" i="4"/>
  <c r="B156" i="4"/>
  <c r="B150" i="4"/>
  <c r="B144" i="4"/>
  <c r="B138" i="4"/>
  <c r="B132" i="4"/>
  <c r="B126" i="4"/>
  <c r="B120" i="4"/>
  <c r="B114" i="4"/>
  <c r="B108" i="4"/>
  <c r="B102" i="4"/>
  <c r="B96" i="4"/>
  <c r="B90" i="4"/>
  <c r="B84" i="4"/>
  <c r="B78" i="4"/>
  <c r="B72" i="4"/>
  <c r="B66" i="4"/>
  <c r="B60" i="4"/>
  <c r="B54" i="4"/>
  <c r="B48" i="4"/>
  <c r="B42" i="4"/>
  <c r="B36" i="4"/>
  <c r="B30" i="4"/>
  <c r="B24" i="4"/>
  <c r="B18" i="4"/>
  <c r="B12" i="4"/>
  <c r="B6" i="4"/>
  <c r="B263" i="4"/>
  <c r="B257" i="4"/>
  <c r="B251" i="4"/>
  <c r="B245" i="4"/>
  <c r="B239" i="4"/>
  <c r="B233" i="4"/>
  <c r="B227" i="4"/>
  <c r="B221" i="4"/>
  <c r="B215" i="4"/>
  <c r="B209" i="4"/>
  <c r="B203" i="4"/>
  <c r="B197" i="4"/>
  <c r="B191" i="4"/>
  <c r="B185" i="4"/>
  <c r="B179" i="4"/>
  <c r="B173" i="4"/>
  <c r="B167" i="4"/>
  <c r="B161" i="4"/>
  <c r="B155" i="4"/>
  <c r="B149" i="4"/>
  <c r="B143" i="4"/>
  <c r="B137" i="4"/>
  <c r="B131" i="4"/>
  <c r="B125" i="4"/>
  <c r="B119" i="4"/>
  <c r="B113" i="4"/>
  <c r="B107" i="4"/>
  <c r="B101" i="4"/>
  <c r="B95" i="4"/>
  <c r="B89" i="4"/>
  <c r="B83" i="4"/>
  <c r="B77" i="4"/>
  <c r="B71" i="4"/>
  <c r="B65" i="4"/>
  <c r="B59" i="4"/>
  <c r="B53" i="4"/>
  <c r="B47" i="4"/>
  <c r="B41" i="4"/>
  <c r="B35" i="4"/>
  <c r="B29" i="4"/>
  <c r="B23" i="4"/>
  <c r="B17" i="4"/>
  <c r="B11" i="4"/>
  <c r="B5" i="4"/>
  <c r="B292" i="4"/>
  <c r="B286" i="4"/>
  <c r="B280" i="4"/>
  <c r="B274" i="4"/>
  <c r="B268" i="4"/>
  <c r="B262" i="4"/>
  <c r="B256" i="4"/>
  <c r="B250" i="4"/>
  <c r="B244" i="4"/>
  <c r="B238" i="4"/>
  <c r="B232" i="4"/>
  <c r="B226" i="4"/>
  <c r="B220" i="4"/>
  <c r="B214" i="4"/>
  <c r="B208" i="4"/>
  <c r="B202" i="4"/>
  <c r="B196" i="4"/>
  <c r="B190" i="4"/>
  <c r="B184" i="4"/>
  <c r="B178" i="4"/>
  <c r="B172" i="4"/>
  <c r="B166" i="4"/>
  <c r="B160" i="4"/>
  <c r="B154" i="4"/>
  <c r="B148" i="4"/>
  <c r="B142" i="4"/>
  <c r="B136" i="4"/>
  <c r="B130" i="4"/>
  <c r="B124" i="4"/>
  <c r="B118" i="4"/>
  <c r="B112" i="4"/>
  <c r="B106" i="4"/>
  <c r="B100" i="4"/>
  <c r="B94" i="4"/>
  <c r="B88" i="4"/>
  <c r="B82" i="4"/>
  <c r="B76" i="4"/>
  <c r="B70" i="4"/>
  <c r="B64" i="4"/>
  <c r="B58" i="4"/>
  <c r="B52" i="4"/>
  <c r="B46" i="4"/>
  <c r="B40" i="4"/>
  <c r="B34" i="4"/>
  <c r="B28" i="4"/>
  <c r="B22" i="4"/>
  <c r="B16" i="4"/>
  <c r="B10" i="4"/>
  <c r="B4" i="4"/>
  <c r="B501" i="4"/>
  <c r="B495" i="4"/>
  <c r="B489" i="4"/>
  <c r="B483" i="4"/>
  <c r="B477" i="4"/>
  <c r="B471" i="4"/>
  <c r="B465" i="4"/>
  <c r="B459" i="4"/>
  <c r="B453" i="4"/>
  <c r="B447" i="4"/>
  <c r="B441" i="4"/>
  <c r="B435" i="4"/>
  <c r="B429" i="4"/>
  <c r="B423" i="4"/>
  <c r="B417" i="4"/>
  <c r="B411" i="4"/>
  <c r="B405" i="4"/>
  <c r="B399" i="4"/>
  <c r="B393" i="4"/>
  <c r="B387" i="4"/>
  <c r="B381" i="4"/>
  <c r="B375" i="4"/>
  <c r="B369" i="4"/>
  <c r="B363" i="4"/>
  <c r="B357" i="4"/>
  <c r="B351" i="4"/>
  <c r="B345" i="4"/>
  <c r="B339" i="4"/>
  <c r="B333" i="4"/>
  <c r="B327" i="4"/>
  <c r="B321" i="4"/>
  <c r="B315" i="4"/>
  <c r="B309" i="4"/>
  <c r="B303" i="4"/>
  <c r="B297" i="4"/>
  <c r="B291" i="4"/>
  <c r="B285" i="4"/>
  <c r="B279" i="4"/>
  <c r="B273" i="4"/>
  <c r="B267" i="4"/>
  <c r="B261" i="4"/>
  <c r="B255" i="4"/>
  <c r="B249" i="4"/>
  <c r="B243" i="4"/>
  <c r="B237" i="4"/>
  <c r="B231" i="4"/>
  <c r="B225" i="4"/>
  <c r="B219" i="4"/>
  <c r="B213" i="4"/>
  <c r="B207" i="4"/>
  <c r="B201" i="4"/>
  <c r="B195" i="4"/>
  <c r="B189" i="4"/>
  <c r="B183" i="4"/>
  <c r="B177" i="4"/>
  <c r="B171" i="4"/>
  <c r="B165" i="4"/>
  <c r="B159" i="4"/>
  <c r="B153" i="4"/>
  <c r="B147" i="4"/>
  <c r="B141" i="4"/>
  <c r="B135" i="4"/>
  <c r="B129" i="4"/>
  <c r="B123" i="4"/>
  <c r="B117" i="4"/>
  <c r="B111" i="4"/>
  <c r="B105" i="4"/>
  <c r="B99" i="4"/>
  <c r="B93" i="4"/>
  <c r="B87" i="4"/>
  <c r="B81" i="4"/>
  <c r="B75" i="4"/>
  <c r="B69" i="4"/>
  <c r="B63" i="4"/>
  <c r="B57" i="4"/>
  <c r="B51" i="4"/>
  <c r="B45" i="4"/>
  <c r="B39" i="4"/>
  <c r="B33" i="4"/>
  <c r="B27" i="4"/>
  <c r="B21" i="4"/>
  <c r="B15" i="4"/>
  <c r="B9" i="4"/>
  <c r="B3" i="4"/>
  <c r="M1956" i="5"/>
  <c r="M1955" i="5"/>
  <c r="M1954" i="5"/>
  <c r="M1953" i="5"/>
  <c r="M1952" i="5"/>
  <c r="M1951" i="5"/>
  <c r="H1993" i="5"/>
  <c r="H1982" i="5"/>
  <c r="J1964" i="5"/>
  <c r="H1951" i="5"/>
  <c r="L1943" i="5"/>
  <c r="K1937" i="5"/>
  <c r="G1937" i="5" s="1"/>
  <c r="H1922" i="5"/>
  <c r="N1900" i="5"/>
  <c r="I1891" i="5"/>
  <c r="L1875" i="5"/>
  <c r="K1958" i="5"/>
  <c r="G1958" i="5" s="1"/>
  <c r="M2000" i="5"/>
  <c r="E1993" i="5"/>
  <c r="F1993" i="5" s="1"/>
  <c r="J1943" i="5"/>
  <c r="L1914" i="5"/>
  <c r="E1891" i="5"/>
  <c r="F1891" i="5" s="1"/>
  <c r="H1883" i="5"/>
  <c r="K1996" i="5"/>
  <c r="G1996" i="5" s="1"/>
  <c r="N1981" i="5"/>
  <c r="I1943" i="5"/>
  <c r="N1921" i="5"/>
  <c r="J1815" i="5"/>
  <c r="J1996" i="5"/>
  <c r="I1992" i="5"/>
  <c r="N1935" i="5"/>
  <c r="B1582" i="5"/>
  <c r="I1996" i="5"/>
  <c r="E1992" i="5"/>
  <c r="F1992" i="5" s="1"/>
  <c r="N1986" i="5"/>
  <c r="M1968" i="5"/>
  <c r="J1920" i="5"/>
  <c r="L1873" i="5"/>
  <c r="H1855" i="5"/>
  <c r="J1981" i="5"/>
  <c r="E1928" i="5"/>
  <c r="F1928" i="5" s="1"/>
  <c r="M1898" i="5"/>
  <c r="K1889" i="5"/>
  <c r="G1889" i="5" s="1"/>
  <c r="N1999" i="5"/>
  <c r="N1991" i="5"/>
  <c r="L1986" i="5"/>
  <c r="L1974" i="5"/>
  <c r="K1968" i="5"/>
  <c r="G1968" i="5" s="1"/>
  <c r="K1941" i="5"/>
  <c r="G1941" i="5" s="1"/>
  <c r="M1912" i="5"/>
  <c r="K1906" i="5"/>
  <c r="G1906" i="5" s="1"/>
  <c r="L1898" i="5"/>
  <c r="J1968" i="5"/>
  <c r="I1906" i="5"/>
  <c r="E1889" i="5"/>
  <c r="F1889" i="5" s="1"/>
  <c r="M1935" i="5"/>
  <c r="M1999" i="5"/>
  <c r="L1999" i="5"/>
  <c r="L1991" i="5"/>
  <c r="L1985" i="5"/>
  <c r="H1974" i="5"/>
  <c r="H1955" i="5"/>
  <c r="J1941" i="5"/>
  <c r="K1912" i="5"/>
  <c r="G1912" i="5" s="1"/>
  <c r="M1871" i="5"/>
  <c r="B1930" i="5"/>
  <c r="H1941" i="5"/>
  <c r="J1912" i="5"/>
  <c r="B1889" i="5"/>
  <c r="E1912" i="5"/>
  <c r="F1912" i="5" s="1"/>
  <c r="B1905" i="5"/>
  <c r="N1896" i="5"/>
  <c r="I1786" i="5"/>
  <c r="H1891" i="5"/>
  <c r="H1995" i="5"/>
  <c r="N1849" i="5"/>
  <c r="I1976" i="5"/>
  <c r="M1991" i="5"/>
  <c r="J1995" i="5"/>
  <c r="I1995" i="5"/>
  <c r="L1990" i="5"/>
  <c r="E1980" i="5"/>
  <c r="F1980" i="5" s="1"/>
  <c r="J1947" i="5"/>
  <c r="E1985" i="5"/>
  <c r="F1985" i="5" s="1"/>
  <c r="N1933" i="5"/>
  <c r="I1918" i="5"/>
  <c r="M1896" i="5"/>
  <c r="M1998" i="5"/>
  <c r="H1990" i="5"/>
  <c r="N1979" i="5"/>
  <c r="B1961" i="5"/>
  <c r="I1947" i="5"/>
  <c r="M1762" i="5"/>
  <c r="N2000" i="5"/>
  <c r="K1980" i="5"/>
  <c r="G1980" i="5" s="1"/>
  <c r="H1967" i="5"/>
  <c r="L1998" i="5"/>
  <c r="B1985" i="5"/>
  <c r="M1979" i="5"/>
  <c r="B1973" i="5"/>
  <c r="L1966" i="5"/>
  <c r="L1954" i="5"/>
  <c r="N1939" i="5"/>
  <c r="I1895" i="5"/>
  <c r="L1996" i="5"/>
  <c r="L1906" i="5"/>
  <c r="K1995" i="5"/>
  <c r="G1995" i="5" s="1"/>
  <c r="N1998" i="5"/>
  <c r="E1955" i="5"/>
  <c r="F1955" i="5" s="1"/>
  <c r="K1998" i="5"/>
  <c r="G1998" i="5" s="1"/>
  <c r="J1994" i="5"/>
  <c r="J1933" i="5"/>
  <c r="L1910" i="5"/>
  <c r="B1887" i="5"/>
  <c r="I1908" i="5"/>
  <c r="M1986" i="5"/>
  <c r="B1990" i="5"/>
  <c r="K1972" i="5"/>
  <c r="G1972" i="5" s="1"/>
  <c r="M1960" i="5"/>
  <c r="M1939" i="5"/>
  <c r="K1910" i="5"/>
  <c r="G1910" i="5" s="1"/>
  <c r="B1998" i="5"/>
  <c r="I1994" i="5"/>
  <c r="I1978" i="5"/>
  <c r="K1960" i="5"/>
  <c r="G1960" i="5" s="1"/>
  <c r="I1939" i="5"/>
  <c r="E1932" i="5"/>
  <c r="F1932" i="5" s="1"/>
  <c r="I1910" i="5"/>
  <c r="M1802" i="5"/>
  <c r="J1945" i="5"/>
  <c r="M1902" i="5"/>
  <c r="H1893" i="5"/>
  <c r="H1885" i="5"/>
  <c r="E1843" i="5"/>
  <c r="F1843" i="5" s="1"/>
  <c r="K1822" i="5"/>
  <c r="G1822" i="5" s="1"/>
  <c r="L1902" i="5"/>
  <c r="I1862" i="5"/>
  <c r="B1971" i="5"/>
  <c r="I1964" i="5"/>
  <c r="I1920" i="5"/>
  <c r="H1994" i="5"/>
  <c r="K1945" i="5"/>
  <c r="G1945" i="5" s="1"/>
  <c r="E1924" i="5"/>
  <c r="F1924" i="5" s="1"/>
  <c r="H1910" i="5"/>
  <c r="J1885" i="5"/>
  <c r="K1988" i="5"/>
  <c r="G1988" i="5" s="1"/>
  <c r="H1978" i="5"/>
  <c r="J1959" i="5"/>
  <c r="B1953" i="5"/>
  <c r="I1916" i="5"/>
  <c r="K1997" i="5"/>
  <c r="G1997" i="5" s="1"/>
  <c r="J1983" i="5"/>
  <c r="B1959" i="5"/>
  <c r="I1988" i="5"/>
  <c r="I1983" i="5"/>
  <c r="L1970" i="5"/>
  <c r="E1916" i="5"/>
  <c r="F1916" i="5" s="1"/>
  <c r="M1908" i="5"/>
  <c r="M1997" i="5"/>
  <c r="E1953" i="5"/>
  <c r="F1953" i="5" s="1"/>
  <c r="H1939" i="5"/>
  <c r="J1916" i="5"/>
  <c r="N2001" i="5"/>
  <c r="K1983" i="5"/>
  <c r="G1983" i="5" s="1"/>
  <c r="L1997" i="5"/>
  <c r="J1988" i="5"/>
  <c r="B1978" i="5"/>
  <c r="N1937" i="5"/>
  <c r="J1997" i="5"/>
  <c r="I1993" i="5"/>
  <c r="B2001" i="5"/>
  <c r="K1970" i="5"/>
  <c r="G1970" i="5" s="1"/>
  <c r="N1964" i="5"/>
  <c r="L1937" i="5"/>
  <c r="B1901" i="5"/>
  <c r="B1899" i="5"/>
  <c r="H1895" i="5"/>
  <c r="J1887" i="5"/>
  <c r="K1885" i="5"/>
  <c r="G1885" i="5" s="1"/>
  <c r="L1883" i="5"/>
  <c r="K1881" i="5"/>
  <c r="G1881" i="5" s="1"/>
  <c r="N1879" i="5"/>
  <c r="N1877" i="5"/>
  <c r="N1875" i="5"/>
  <c r="E1872" i="5"/>
  <c r="F1872" i="5" s="1"/>
  <c r="N1829" i="5"/>
  <c r="K1802" i="5"/>
  <c r="G1802" i="5" s="1"/>
  <c r="E1770" i="5"/>
  <c r="F1770" i="5" s="1"/>
  <c r="N1873" i="5"/>
  <c r="K1862" i="5"/>
  <c r="G1862" i="5" s="1"/>
  <c r="M1849" i="5"/>
  <c r="J1822" i="5"/>
  <c r="K1808" i="5"/>
  <c r="G1808" i="5" s="1"/>
  <c r="L1793" i="5"/>
  <c r="H1777" i="5"/>
  <c r="N1753" i="5"/>
  <c r="J1622" i="5"/>
  <c r="E1990" i="5"/>
  <c r="F1990" i="5" s="1"/>
  <c r="L1981" i="5"/>
  <c r="J1972" i="5"/>
  <c r="I1970" i="5"/>
  <c r="K1966" i="5"/>
  <c r="G1966" i="5" s="1"/>
  <c r="M1962" i="5"/>
  <c r="N1960" i="5"/>
  <c r="M1958" i="5"/>
  <c r="N1956" i="5"/>
  <c r="E1951" i="5"/>
  <c r="F1951" i="5" s="1"/>
  <c r="E1949" i="5"/>
  <c r="F1949" i="5" s="1"/>
  <c r="H1945" i="5"/>
  <c r="L1935" i="5"/>
  <c r="L1933" i="5"/>
  <c r="M1931" i="5"/>
  <c r="B1926" i="5"/>
  <c r="B1922" i="5"/>
  <c r="H1918" i="5"/>
  <c r="H1914" i="5"/>
  <c r="K1908" i="5"/>
  <c r="G1908" i="5" s="1"/>
  <c r="N1904" i="5"/>
  <c r="E1895" i="5"/>
  <c r="F1895" i="5" s="1"/>
  <c r="E1893" i="5"/>
  <c r="F1893" i="5" s="1"/>
  <c r="I1887" i="5"/>
  <c r="J1883" i="5"/>
  <c r="J1881" i="5"/>
  <c r="M1879" i="5"/>
  <c r="L1877" i="5"/>
  <c r="M1875" i="5"/>
  <c r="H1868" i="5"/>
  <c r="J1835" i="5"/>
  <c r="J1842" i="5"/>
  <c r="H1835" i="5"/>
  <c r="H1821" i="5"/>
  <c r="H1768" i="5"/>
  <c r="B1761" i="5"/>
  <c r="M1753" i="5"/>
  <c r="E1983" i="5"/>
  <c r="F1983" i="5" s="1"/>
  <c r="K1981" i="5"/>
  <c r="G1981" i="5" s="1"/>
  <c r="E1976" i="5"/>
  <c r="F1976" i="5" s="1"/>
  <c r="E1972" i="5"/>
  <c r="F1972" i="5" s="1"/>
  <c r="H1970" i="5"/>
  <c r="I1968" i="5"/>
  <c r="I1966" i="5"/>
  <c r="L1962" i="5"/>
  <c r="L1958" i="5"/>
  <c r="B1949" i="5"/>
  <c r="B1947" i="5"/>
  <c r="H1943" i="5"/>
  <c r="J1935" i="5"/>
  <c r="K1933" i="5"/>
  <c r="G1933" i="5" s="1"/>
  <c r="L1931" i="5"/>
  <c r="K1929" i="5"/>
  <c r="G1929" i="5" s="1"/>
  <c r="N1927" i="5"/>
  <c r="N1925" i="5"/>
  <c r="N1923" i="5"/>
  <c r="E1920" i="5"/>
  <c r="F1920" i="5" s="1"/>
  <c r="J1908" i="5"/>
  <c r="J1904" i="5"/>
  <c r="M1900" i="5"/>
  <c r="B1893" i="5"/>
  <c r="I1883" i="5"/>
  <c r="H1881" i="5"/>
  <c r="I1879" i="5"/>
  <c r="K1877" i="5"/>
  <c r="G1877" i="5" s="1"/>
  <c r="I1848" i="5"/>
  <c r="K1784" i="5"/>
  <c r="G1784" i="5" s="1"/>
  <c r="L1743" i="5"/>
  <c r="K1661" i="5"/>
  <c r="G1661" i="5" s="1"/>
  <c r="J1875" i="5"/>
  <c r="K1873" i="5"/>
  <c r="G1873" i="5" s="1"/>
  <c r="L1871" i="5"/>
  <c r="E1835" i="5"/>
  <c r="F1835" i="5" s="1"/>
  <c r="M1800" i="5"/>
  <c r="L1681" i="5"/>
  <c r="I1986" i="5"/>
  <c r="N1984" i="5"/>
  <c r="I1981" i="5"/>
  <c r="B1974" i="5"/>
  <c r="B1970" i="5"/>
  <c r="H1966" i="5"/>
  <c r="H1962" i="5"/>
  <c r="K1956" i="5"/>
  <c r="G1956" i="5" s="1"/>
  <c r="N1952" i="5"/>
  <c r="E1943" i="5"/>
  <c r="F1943" i="5" s="1"/>
  <c r="E1941" i="5"/>
  <c r="F1941" i="5" s="1"/>
  <c r="I1935" i="5"/>
  <c r="J1931" i="5"/>
  <c r="J1929" i="5"/>
  <c r="M1927" i="5"/>
  <c r="L1925" i="5"/>
  <c r="M1923" i="5"/>
  <c r="B1918" i="5"/>
  <c r="I1904" i="5"/>
  <c r="K1900" i="5"/>
  <c r="G1900" i="5" s="1"/>
  <c r="K1898" i="5"/>
  <c r="G1898" i="5" s="1"/>
  <c r="L1894" i="5"/>
  <c r="H1879" i="5"/>
  <c r="J1873" i="5"/>
  <c r="N1867" i="5"/>
  <c r="B1848" i="5"/>
  <c r="B1792" i="5"/>
  <c r="I1784" i="5"/>
  <c r="K1775" i="5"/>
  <c r="G1775" i="5" s="1"/>
  <c r="I1661" i="5"/>
  <c r="K1999" i="5"/>
  <c r="G1999" i="5" s="1"/>
  <c r="J1998" i="5"/>
  <c r="I1997" i="5"/>
  <c r="H1996" i="5"/>
  <c r="E1994" i="5"/>
  <c r="F1994" i="5" s="1"/>
  <c r="J1991" i="5"/>
  <c r="L1989" i="5"/>
  <c r="E1988" i="5"/>
  <c r="F1988" i="5" s="1"/>
  <c r="M1984" i="5"/>
  <c r="B1983" i="5"/>
  <c r="L1979" i="5"/>
  <c r="J1960" i="5"/>
  <c r="I1958" i="5"/>
  <c r="K1954" i="5"/>
  <c r="G1954" i="5" s="1"/>
  <c r="M1950" i="5"/>
  <c r="N1948" i="5"/>
  <c r="M1946" i="5"/>
  <c r="N1944" i="5"/>
  <c r="E1939" i="5"/>
  <c r="F1939" i="5" s="1"/>
  <c r="E1937" i="5"/>
  <c r="F1937" i="5" s="1"/>
  <c r="H1933" i="5"/>
  <c r="L1923" i="5"/>
  <c r="L1921" i="5"/>
  <c r="M1919" i="5"/>
  <c r="B1914" i="5"/>
  <c r="B1910" i="5"/>
  <c r="H1906" i="5"/>
  <c r="H1902" i="5"/>
  <c r="K1896" i="5"/>
  <c r="G1896" i="5" s="1"/>
  <c r="N1892" i="5"/>
  <c r="E1883" i="5"/>
  <c r="F1883" i="5" s="1"/>
  <c r="E1881" i="5"/>
  <c r="F1881" i="5" s="1"/>
  <c r="I1875" i="5"/>
  <c r="J1871" i="5"/>
  <c r="B1828" i="5"/>
  <c r="L1820" i="5"/>
  <c r="L1813" i="5"/>
  <c r="H1759" i="5"/>
  <c r="B1752" i="5"/>
  <c r="M1595" i="5"/>
  <c r="H1986" i="5"/>
  <c r="L1984" i="5"/>
  <c r="H1981" i="5"/>
  <c r="K1977" i="5"/>
  <c r="G1977" i="5" s="1"/>
  <c r="N1975" i="5"/>
  <c r="N1973" i="5"/>
  <c r="N1971" i="5"/>
  <c r="E1968" i="5"/>
  <c r="F1968" i="5" s="1"/>
  <c r="J1956" i="5"/>
  <c r="J1952" i="5"/>
  <c r="M1948" i="5"/>
  <c r="B1941" i="5"/>
  <c r="I1931" i="5"/>
  <c r="H1929" i="5"/>
  <c r="I1927" i="5"/>
  <c r="K1925" i="5"/>
  <c r="G1925" i="5" s="1"/>
  <c r="J1900" i="5"/>
  <c r="I1898" i="5"/>
  <c r="K1894" i="5"/>
  <c r="G1894" i="5" s="1"/>
  <c r="M1890" i="5"/>
  <c r="N1888" i="5"/>
  <c r="M1886" i="5"/>
  <c r="N1884" i="5"/>
  <c r="E1879" i="5"/>
  <c r="F1879" i="5" s="1"/>
  <c r="E1877" i="5"/>
  <c r="F1877" i="5" s="1"/>
  <c r="H1873" i="5"/>
  <c r="J1813" i="5"/>
  <c r="E1799" i="5"/>
  <c r="F1799" i="5" s="1"/>
  <c r="J1775" i="5"/>
  <c r="B1698" i="5"/>
  <c r="J1979" i="5"/>
  <c r="N1969" i="5"/>
  <c r="E1964" i="5"/>
  <c r="F1964" i="5" s="1"/>
  <c r="E1960" i="5"/>
  <c r="F1960" i="5" s="1"/>
  <c r="H1958" i="5"/>
  <c r="I1956" i="5"/>
  <c r="I1954" i="5"/>
  <c r="L1950" i="5"/>
  <c r="L1946" i="5"/>
  <c r="M1944" i="5"/>
  <c r="B1937" i="5"/>
  <c r="B1935" i="5"/>
  <c r="H1931" i="5"/>
  <c r="J1923" i="5"/>
  <c r="K1921" i="5"/>
  <c r="G1921" i="5" s="1"/>
  <c r="L1919" i="5"/>
  <c r="K1917" i="5"/>
  <c r="G1917" i="5" s="1"/>
  <c r="N1915" i="5"/>
  <c r="N1913" i="5"/>
  <c r="N1911" i="5"/>
  <c r="E1908" i="5"/>
  <c r="F1908" i="5" s="1"/>
  <c r="J1896" i="5"/>
  <c r="J1892" i="5"/>
  <c r="M1888" i="5"/>
  <c r="B1881" i="5"/>
  <c r="I1871" i="5"/>
  <c r="L1860" i="5"/>
  <c r="N1847" i="5"/>
  <c r="M1840" i="5"/>
  <c r="J1833" i="5"/>
  <c r="I1806" i="5"/>
  <c r="N1791" i="5"/>
  <c r="K1766" i="5"/>
  <c r="G1766" i="5" s="1"/>
  <c r="B1740" i="5"/>
  <c r="B1728" i="5"/>
  <c r="B1966" i="5"/>
  <c r="I1952" i="5"/>
  <c r="K1948" i="5"/>
  <c r="G1948" i="5" s="1"/>
  <c r="K1946" i="5"/>
  <c r="G1946" i="5" s="1"/>
  <c r="L1942" i="5"/>
  <c r="H1927" i="5"/>
  <c r="J1921" i="5"/>
  <c r="N1909" i="5"/>
  <c r="E1904" i="5"/>
  <c r="F1904" i="5" s="1"/>
  <c r="E1900" i="5"/>
  <c r="F1900" i="5" s="1"/>
  <c r="H1898" i="5"/>
  <c r="I1896" i="5"/>
  <c r="I1894" i="5"/>
  <c r="L1890" i="5"/>
  <c r="L1886" i="5"/>
  <c r="M1884" i="5"/>
  <c r="B1877" i="5"/>
  <c r="B1875" i="5"/>
  <c r="J1819" i="5"/>
  <c r="N1751" i="5"/>
  <c r="E1929" i="5"/>
  <c r="F1929" i="5" s="1"/>
  <c r="I1923" i="5"/>
  <c r="J1919" i="5"/>
  <c r="M1915" i="5"/>
  <c r="L1913" i="5"/>
  <c r="M1911" i="5"/>
  <c r="B1906" i="5"/>
  <c r="I1892" i="5"/>
  <c r="K1888" i="5"/>
  <c r="G1888" i="5" s="1"/>
  <c r="K1886" i="5"/>
  <c r="G1886" i="5" s="1"/>
  <c r="L1882" i="5"/>
  <c r="K1860" i="5"/>
  <c r="G1860" i="5" s="1"/>
  <c r="I1853" i="5"/>
  <c r="K1846" i="5"/>
  <c r="G1846" i="5" s="1"/>
  <c r="K1840" i="5"/>
  <c r="G1840" i="5" s="1"/>
  <c r="I1833" i="5"/>
  <c r="N1798" i="5"/>
  <c r="M1782" i="5"/>
  <c r="I1766" i="5"/>
  <c r="N1739" i="5"/>
  <c r="J1635" i="5"/>
  <c r="K1989" i="5"/>
  <c r="G1989" i="5" s="1"/>
  <c r="M1982" i="5"/>
  <c r="K2001" i="5"/>
  <c r="G2001" i="5" s="1"/>
  <c r="H1998" i="5"/>
  <c r="E1996" i="5"/>
  <c r="F1996" i="5" s="1"/>
  <c r="N1992" i="5"/>
  <c r="J1989" i="5"/>
  <c r="L1969" i="5"/>
  <c r="M1967" i="5"/>
  <c r="B1962" i="5"/>
  <c r="B1958" i="5"/>
  <c r="H1954" i="5"/>
  <c r="H1950" i="5"/>
  <c r="K1944" i="5"/>
  <c r="G1944" i="5" s="1"/>
  <c r="N1940" i="5"/>
  <c r="E1931" i="5"/>
  <c r="F1931" i="5" s="1"/>
  <c r="J1917" i="5"/>
  <c r="B1995" i="5"/>
  <c r="N1987" i="5"/>
  <c r="J1984" i="5"/>
  <c r="L1982" i="5"/>
  <c r="H1979" i="5"/>
  <c r="H1977" i="5"/>
  <c r="I1975" i="5"/>
  <c r="K1973" i="5"/>
  <c r="G1973" i="5" s="1"/>
  <c r="J1948" i="5"/>
  <c r="I1946" i="5"/>
  <c r="K1942" i="5"/>
  <c r="G1942" i="5" s="1"/>
  <c r="M1938" i="5"/>
  <c r="N1936" i="5"/>
  <c r="M1934" i="5"/>
  <c r="N1932" i="5"/>
  <c r="E1927" i="5"/>
  <c r="F1927" i="5" s="1"/>
  <c r="E1925" i="5"/>
  <c r="F1925" i="5" s="1"/>
  <c r="H1921" i="5"/>
  <c r="L1911" i="5"/>
  <c r="L1909" i="5"/>
  <c r="M1907" i="5"/>
  <c r="B1902" i="5"/>
  <c r="B1898" i="5"/>
  <c r="H1894" i="5"/>
  <c r="H1890" i="5"/>
  <c r="K1884" i="5"/>
  <c r="G1884" i="5" s="1"/>
  <c r="N1880" i="5"/>
  <c r="L1870" i="5"/>
  <c r="E1826" i="5"/>
  <c r="F1826" i="5" s="1"/>
  <c r="E1819" i="5"/>
  <c r="F1819" i="5" s="1"/>
  <c r="L1773" i="5"/>
  <c r="K2000" i="5"/>
  <c r="G2000" i="5" s="1"/>
  <c r="I1998" i="5"/>
  <c r="E1995" i="5"/>
  <c r="F1995" i="5" s="1"/>
  <c r="H1991" i="5"/>
  <c r="K1984" i="5"/>
  <c r="G1984" i="5" s="1"/>
  <c r="M1975" i="5"/>
  <c r="J2000" i="5"/>
  <c r="I1979" i="5"/>
  <c r="J2001" i="5"/>
  <c r="I2000" i="5"/>
  <c r="H1999" i="5"/>
  <c r="E1997" i="5"/>
  <c r="F1997" i="5" s="1"/>
  <c r="N1993" i="5"/>
  <c r="M1992" i="5"/>
  <c r="E1991" i="5"/>
  <c r="F1991" i="5" s="1"/>
  <c r="H1989" i="5"/>
  <c r="B1986" i="5"/>
  <c r="K1982" i="5"/>
  <c r="G1982" i="5" s="1"/>
  <c r="J1971" i="5"/>
  <c r="K1969" i="5"/>
  <c r="G1969" i="5" s="1"/>
  <c r="L1967" i="5"/>
  <c r="K1965" i="5"/>
  <c r="G1965" i="5" s="1"/>
  <c r="N1963" i="5"/>
  <c r="N1961" i="5"/>
  <c r="N1959" i="5"/>
  <c r="E1956" i="5"/>
  <c r="F1956" i="5" s="1"/>
  <c r="J1944" i="5"/>
  <c r="J1940" i="5"/>
  <c r="M1936" i="5"/>
  <c r="B1929" i="5"/>
  <c r="I1919" i="5"/>
  <c r="H1917" i="5"/>
  <c r="I1915" i="5"/>
  <c r="K1913" i="5"/>
  <c r="G1913" i="5" s="1"/>
  <c r="J1888" i="5"/>
  <c r="I1886" i="5"/>
  <c r="K1882" i="5"/>
  <c r="G1882" i="5" s="1"/>
  <c r="M1878" i="5"/>
  <c r="N1876" i="5"/>
  <c r="M1874" i="5"/>
  <c r="N1872" i="5"/>
  <c r="E1866" i="5"/>
  <c r="F1866" i="5" s="1"/>
  <c r="H1859" i="5"/>
  <c r="H1853" i="5"/>
  <c r="N1811" i="5"/>
  <c r="B1790" i="5"/>
  <c r="L2001" i="5"/>
  <c r="H1997" i="5"/>
  <c r="I1991" i="5"/>
  <c r="L1973" i="5"/>
  <c r="L1971" i="5"/>
  <c r="B1996" i="5"/>
  <c r="M1987" i="5"/>
  <c r="J1982" i="5"/>
  <c r="N1980" i="5"/>
  <c r="E1979" i="5"/>
  <c r="F1979" i="5" s="1"/>
  <c r="H1975" i="5"/>
  <c r="J1969" i="5"/>
  <c r="N1957" i="5"/>
  <c r="E1952" i="5"/>
  <c r="F1952" i="5" s="1"/>
  <c r="E1948" i="5"/>
  <c r="F1948" i="5" s="1"/>
  <c r="H1946" i="5"/>
  <c r="I1944" i="5"/>
  <c r="I1942" i="5"/>
  <c r="L1938" i="5"/>
  <c r="L1934" i="5"/>
  <c r="M1932" i="5"/>
  <c r="B1925" i="5"/>
  <c r="B1923" i="5"/>
  <c r="H1919" i="5"/>
  <c r="J1911" i="5"/>
  <c r="K1909" i="5"/>
  <c r="G1909" i="5" s="1"/>
  <c r="L1907" i="5"/>
  <c r="K1905" i="5"/>
  <c r="G1905" i="5" s="1"/>
  <c r="N1903" i="5"/>
  <c r="N1901" i="5"/>
  <c r="N1899" i="5"/>
  <c r="E1896" i="5"/>
  <c r="F1896" i="5" s="1"/>
  <c r="J1884" i="5"/>
  <c r="J1880" i="5"/>
  <c r="M1876" i="5"/>
  <c r="I1870" i="5"/>
  <c r="H1797" i="5"/>
  <c r="N1789" i="5"/>
  <c r="J1773" i="5"/>
  <c r="I1757" i="5"/>
  <c r="K1673" i="5"/>
  <c r="G1673" i="5" s="1"/>
  <c r="M1568" i="5"/>
  <c r="B1993" i="5"/>
  <c r="B1994" i="5"/>
  <c r="M1971" i="5"/>
  <c r="I1999" i="5"/>
  <c r="I2001" i="5"/>
  <c r="H2000" i="5"/>
  <c r="E1998" i="5"/>
  <c r="F1998" i="5" s="1"/>
  <c r="N1994" i="5"/>
  <c r="M1993" i="5"/>
  <c r="K1992" i="5"/>
  <c r="G1992" i="5" s="1"/>
  <c r="J1987" i="5"/>
  <c r="N1985" i="5"/>
  <c r="E1984" i="5"/>
  <c r="F1984" i="5" s="1"/>
  <c r="E1977" i="5"/>
  <c r="F1977" i="5" s="1"/>
  <c r="I1971" i="5"/>
  <c r="J1967" i="5"/>
  <c r="J1965" i="5"/>
  <c r="M1963" i="5"/>
  <c r="L1961" i="5"/>
  <c r="M1959" i="5"/>
  <c r="B1954" i="5"/>
  <c r="I1940" i="5"/>
  <c r="K1936" i="5"/>
  <c r="G1936" i="5" s="1"/>
  <c r="K1934" i="5"/>
  <c r="G1934" i="5" s="1"/>
  <c r="L1930" i="5"/>
  <c r="H1915" i="5"/>
  <c r="J1909" i="5"/>
  <c r="N1897" i="5"/>
  <c r="E1892" i="5"/>
  <c r="F1892" i="5" s="1"/>
  <c r="E1888" i="5"/>
  <c r="F1888" i="5" s="1"/>
  <c r="H1886" i="5"/>
  <c r="I1884" i="5"/>
  <c r="I1882" i="5"/>
  <c r="L1878" i="5"/>
  <c r="L1874" i="5"/>
  <c r="M1872" i="5"/>
  <c r="N1858" i="5"/>
  <c r="B1846" i="5"/>
  <c r="L1811" i="5"/>
  <c r="K1804" i="5"/>
  <c r="G1804" i="5" s="1"/>
  <c r="E1797" i="5"/>
  <c r="F1797" i="5" s="1"/>
  <c r="B1750" i="5"/>
  <c r="M2001" i="5"/>
  <c r="J1999" i="5"/>
  <c r="J1977" i="5"/>
  <c r="B1997" i="5"/>
  <c r="M1990" i="5"/>
  <c r="E1989" i="5"/>
  <c r="F1989" i="5" s="1"/>
  <c r="M1985" i="5"/>
  <c r="I1982" i="5"/>
  <c r="M1980" i="5"/>
  <c r="E1975" i="5"/>
  <c r="F1975" i="5" s="1"/>
  <c r="E1973" i="5"/>
  <c r="F1973" i="5" s="1"/>
  <c r="H1969" i="5"/>
  <c r="L1959" i="5"/>
  <c r="L1957" i="5"/>
  <c r="B1950" i="5"/>
  <c r="B1946" i="5"/>
  <c r="H1942" i="5"/>
  <c r="H1938" i="5"/>
  <c r="K1932" i="5"/>
  <c r="G1932" i="5" s="1"/>
  <c r="N1928" i="5"/>
  <c r="E1919" i="5"/>
  <c r="F1919" i="5" s="1"/>
  <c r="E1917" i="5"/>
  <c r="F1917" i="5" s="1"/>
  <c r="I1911" i="5"/>
  <c r="J1907" i="5"/>
  <c r="J1905" i="5"/>
  <c r="M1903" i="5"/>
  <c r="L1901" i="5"/>
  <c r="M1899" i="5"/>
  <c r="B1894" i="5"/>
  <c r="I1880" i="5"/>
  <c r="K1876" i="5"/>
  <c r="G1876" i="5" s="1"/>
  <c r="K1874" i="5"/>
  <c r="G1874" i="5" s="1"/>
  <c r="H1870" i="5"/>
  <c r="N1851" i="5"/>
  <c r="K1824" i="5"/>
  <c r="G1824" i="5" s="1"/>
  <c r="L1817" i="5"/>
  <c r="B1781" i="5"/>
  <c r="L1764" i="5"/>
  <c r="H1757" i="5"/>
  <c r="K1723" i="5"/>
  <c r="G1723" i="5" s="1"/>
  <c r="H1672" i="5"/>
  <c r="K1568" i="5"/>
  <c r="G1568" i="5" s="1"/>
  <c r="L2000" i="5"/>
  <c r="H2001" i="5"/>
  <c r="E1999" i="5"/>
  <c r="F1999" i="5" s="1"/>
  <c r="N1995" i="5"/>
  <c r="M1994" i="5"/>
  <c r="L1993" i="5"/>
  <c r="J1992" i="5"/>
  <c r="I1987" i="5"/>
  <c r="M1978" i="5"/>
  <c r="B1977" i="5"/>
  <c r="I1967" i="5"/>
  <c r="H1965" i="5"/>
  <c r="I1963" i="5"/>
  <c r="K1961" i="5"/>
  <c r="G1961" i="5" s="1"/>
  <c r="J1936" i="5"/>
  <c r="I1934" i="5"/>
  <c r="K1930" i="5"/>
  <c r="G1930" i="5" s="1"/>
  <c r="M1926" i="5"/>
  <c r="N1924" i="5"/>
  <c r="M1922" i="5"/>
  <c r="N1920" i="5"/>
  <c r="E1915" i="5"/>
  <c r="F1915" i="5" s="1"/>
  <c r="E1913" i="5"/>
  <c r="F1913" i="5" s="1"/>
  <c r="H1909" i="5"/>
  <c r="L1899" i="5"/>
  <c r="L1897" i="5"/>
  <c r="M1895" i="5"/>
  <c r="B1890" i="5"/>
  <c r="B1886" i="5"/>
  <c r="H1882" i="5"/>
  <c r="H1878" i="5"/>
  <c r="K1872" i="5"/>
  <c r="G1872" i="5" s="1"/>
  <c r="M1864" i="5"/>
  <c r="M1858" i="5"/>
  <c r="L1851" i="5"/>
  <c r="N1838" i="5"/>
  <c r="I1824" i="5"/>
  <c r="H1817" i="5"/>
  <c r="M1690" i="5"/>
  <c r="K1957" i="5"/>
  <c r="G1957" i="5" s="1"/>
  <c r="L1955" i="5"/>
  <c r="K1953" i="5"/>
  <c r="G1953" i="5" s="1"/>
  <c r="N1951" i="5"/>
  <c r="N1949" i="5"/>
  <c r="N1947" i="5"/>
  <c r="E1944" i="5"/>
  <c r="F1944" i="5" s="1"/>
  <c r="J1932" i="5"/>
  <c r="J1928" i="5"/>
  <c r="M1924" i="5"/>
  <c r="B1917" i="5"/>
  <c r="I1907" i="5"/>
  <c r="H1905" i="5"/>
  <c r="I1903" i="5"/>
  <c r="K1901" i="5"/>
  <c r="G1901" i="5" s="1"/>
  <c r="J1876" i="5"/>
  <c r="I1874" i="5"/>
  <c r="H1864" i="5"/>
  <c r="I1844" i="5"/>
  <c r="K1831" i="5"/>
  <c r="G1831" i="5" s="1"/>
  <c r="H1804" i="5"/>
  <c r="K1764" i="5"/>
  <c r="G1764" i="5" s="1"/>
  <c r="N1996" i="5"/>
  <c r="B1989" i="5"/>
  <c r="J1957" i="5"/>
  <c r="N1945" i="5"/>
  <c r="E1940" i="5"/>
  <c r="F1940" i="5" s="1"/>
  <c r="E1936" i="5"/>
  <c r="F1936" i="5" s="1"/>
  <c r="H1934" i="5"/>
  <c r="I1930" i="5"/>
  <c r="L1926" i="5"/>
  <c r="L1922" i="5"/>
  <c r="M1920" i="5"/>
  <c r="B1913" i="5"/>
  <c r="B1911" i="5"/>
  <c r="H1907" i="5"/>
  <c r="J1899" i="5"/>
  <c r="K1897" i="5"/>
  <c r="G1897" i="5" s="1"/>
  <c r="L1895" i="5"/>
  <c r="K1893" i="5"/>
  <c r="G1893" i="5" s="1"/>
  <c r="N1891" i="5"/>
  <c r="N1889" i="5"/>
  <c r="N1887" i="5"/>
  <c r="E1884" i="5"/>
  <c r="F1884" i="5" s="1"/>
  <c r="J1872" i="5"/>
  <c r="K1869" i="5"/>
  <c r="G1869" i="5" s="1"/>
  <c r="J1851" i="5"/>
  <c r="L1837" i="5"/>
  <c r="E1817" i="5"/>
  <c r="F1817" i="5" s="1"/>
  <c r="J1795" i="5"/>
  <c r="B1788" i="5"/>
  <c r="N1771" i="5"/>
  <c r="N1755" i="5"/>
  <c r="H1705" i="5"/>
  <c r="M1995" i="5"/>
  <c r="H1963" i="5"/>
  <c r="B1999" i="5"/>
  <c r="P1999" i="5" s="1"/>
  <c r="J1980" i="5"/>
  <c r="N1976" i="5"/>
  <c r="E1967" i="5"/>
  <c r="F1967" i="5" s="1"/>
  <c r="E1965" i="5"/>
  <c r="F1965" i="5" s="1"/>
  <c r="I1959" i="5"/>
  <c r="J1955" i="5"/>
  <c r="J1953" i="5"/>
  <c r="L1949" i="5"/>
  <c r="M1947" i="5"/>
  <c r="B1942" i="5"/>
  <c r="I1928" i="5"/>
  <c r="K1924" i="5"/>
  <c r="G1924" i="5" s="1"/>
  <c r="K1922" i="5"/>
  <c r="G1922" i="5" s="1"/>
  <c r="L1918" i="5"/>
  <c r="H1903" i="5"/>
  <c r="J1897" i="5"/>
  <c r="N1885" i="5"/>
  <c r="E1880" i="5"/>
  <c r="F1880" i="5" s="1"/>
  <c r="E1876" i="5"/>
  <c r="F1876" i="5" s="1"/>
  <c r="H1874" i="5"/>
  <c r="I1872" i="5"/>
  <c r="H1844" i="5"/>
  <c r="B1810" i="5"/>
  <c r="L1755" i="5"/>
  <c r="K1993" i="5"/>
  <c r="G1993" i="5" s="1"/>
  <c r="N1972" i="5"/>
  <c r="L1945" i="5"/>
  <c r="H1926" i="5"/>
  <c r="K1920" i="5"/>
  <c r="G1920" i="5" s="1"/>
  <c r="N1916" i="5"/>
  <c r="E1907" i="5"/>
  <c r="F1907" i="5" s="1"/>
  <c r="E1905" i="5"/>
  <c r="F1905" i="5" s="1"/>
  <c r="I1899" i="5"/>
  <c r="J1895" i="5"/>
  <c r="J1893" i="5"/>
  <c r="M1891" i="5"/>
  <c r="L1889" i="5"/>
  <c r="M1887" i="5"/>
  <c r="B1882" i="5"/>
  <c r="H1869" i="5"/>
  <c r="I1830" i="5"/>
  <c r="N1802" i="5"/>
  <c r="H1795" i="5"/>
  <c r="J1786" i="5"/>
  <c r="E1779" i="5"/>
  <c r="F1779" i="5" s="1"/>
  <c r="N1762" i="5"/>
  <c r="J1747" i="5"/>
  <c r="E2000" i="5"/>
  <c r="F2000" i="5" s="1"/>
  <c r="L1994" i="5"/>
  <c r="H1992" i="5"/>
  <c r="H1987" i="5"/>
  <c r="N1983" i="5"/>
  <c r="L1978" i="5"/>
  <c r="I1932" i="5"/>
  <c r="K1990" i="5"/>
  <c r="G1990" i="5" s="1"/>
  <c r="K1985" i="5"/>
  <c r="G1985" i="5" s="1"/>
  <c r="E2001" i="5"/>
  <c r="F2001" i="5" s="1"/>
  <c r="N1997" i="5"/>
  <c r="M1996" i="5"/>
  <c r="L1995" i="5"/>
  <c r="K1994" i="5"/>
  <c r="G1994" i="5" s="1"/>
  <c r="J1993" i="5"/>
  <c r="E1987" i="5"/>
  <c r="F1987" i="5" s="1"/>
  <c r="H1985" i="5"/>
  <c r="M1983" i="5"/>
  <c r="B1982" i="5"/>
  <c r="I1980" i="5"/>
  <c r="K1978" i="5"/>
  <c r="G1978" i="5" s="1"/>
  <c r="M1974" i="5"/>
  <c r="M1970" i="5"/>
  <c r="N1968" i="5"/>
  <c r="E1963" i="5"/>
  <c r="F1963" i="5" s="1"/>
  <c r="E1961" i="5"/>
  <c r="F1961" i="5" s="1"/>
  <c r="H1957" i="5"/>
  <c r="L1947" i="5"/>
  <c r="M1943" i="5"/>
  <c r="B1938" i="5"/>
  <c r="B1934" i="5"/>
  <c r="H1930" i="5"/>
  <c r="B2000" i="5"/>
  <c r="I1990" i="5"/>
  <c r="N1988" i="5"/>
  <c r="L1983" i="5"/>
  <c r="J1976" i="5"/>
  <c r="M1972" i="5"/>
  <c r="B1965" i="5"/>
  <c r="I1955" i="5"/>
  <c r="H1953" i="5"/>
  <c r="I1951" i="5"/>
  <c r="K1949" i="5"/>
  <c r="G1949" i="5" s="1"/>
  <c r="J1924" i="5"/>
  <c r="I1922" i="5"/>
  <c r="K1918" i="5"/>
  <c r="G1918" i="5" s="1"/>
  <c r="M1914" i="5"/>
  <c r="N1912" i="5"/>
  <c r="M1910" i="5"/>
  <c r="N1908" i="5"/>
  <c r="E1903" i="5"/>
  <c r="F1903" i="5" s="1"/>
  <c r="E1901" i="5"/>
  <c r="F1901" i="5" s="1"/>
  <c r="H1897" i="5"/>
  <c r="L1887" i="5"/>
  <c r="L1885" i="5"/>
  <c r="M1883" i="5"/>
  <c r="B1878" i="5"/>
  <c r="B1874" i="5"/>
  <c r="B1857" i="5"/>
  <c r="B1837" i="5"/>
  <c r="M1809" i="5"/>
  <c r="J1755" i="5"/>
  <c r="B1987" i="5"/>
  <c r="B1975" i="5"/>
  <c r="P1975" i="5" s="1"/>
  <c r="B1963" i="5"/>
  <c r="B1951" i="5"/>
  <c r="B1939" i="5"/>
  <c r="B1927" i="5"/>
  <c r="B1915" i="5"/>
  <c r="B1903" i="5"/>
  <c r="B1891" i="5"/>
  <c r="B1879" i="5"/>
  <c r="E1869" i="5"/>
  <c r="F1869" i="5" s="1"/>
  <c r="I1860" i="5"/>
  <c r="K1858" i="5"/>
  <c r="G1858" i="5" s="1"/>
  <c r="E1855" i="5"/>
  <c r="F1855" i="5" s="1"/>
  <c r="L1849" i="5"/>
  <c r="I1842" i="5"/>
  <c r="H1833" i="5"/>
  <c r="J1831" i="5"/>
  <c r="L1829" i="5"/>
  <c r="K1820" i="5"/>
  <c r="G1820" i="5" s="1"/>
  <c r="H1813" i="5"/>
  <c r="K1811" i="5"/>
  <c r="G1811" i="5" s="1"/>
  <c r="L1809" i="5"/>
  <c r="L1800" i="5"/>
  <c r="B1797" i="5"/>
  <c r="I1793" i="5"/>
  <c r="L1791" i="5"/>
  <c r="M1780" i="5"/>
  <c r="H1775" i="5"/>
  <c r="I1764" i="5"/>
  <c r="K1762" i="5"/>
  <c r="G1762" i="5" s="1"/>
  <c r="E1759" i="5"/>
  <c r="F1759" i="5" s="1"/>
  <c r="L1753" i="5"/>
  <c r="H1739" i="5"/>
  <c r="N1727" i="5"/>
  <c r="L1722" i="5"/>
  <c r="E1717" i="5"/>
  <c r="F1717" i="5" s="1"/>
  <c r="M1697" i="5"/>
  <c r="M1689" i="5"/>
  <c r="J1648" i="5"/>
  <c r="B1609" i="5"/>
  <c r="H1871" i="5"/>
  <c r="K1867" i="5"/>
  <c r="G1867" i="5" s="1"/>
  <c r="N1865" i="5"/>
  <c r="E1862" i="5"/>
  <c r="F1862" i="5" s="1"/>
  <c r="L1856" i="5"/>
  <c r="E1853" i="5"/>
  <c r="F1853" i="5" s="1"/>
  <c r="J1849" i="5"/>
  <c r="L1847" i="5"/>
  <c r="M1845" i="5"/>
  <c r="M1838" i="5"/>
  <c r="M1836" i="5"/>
  <c r="E1833" i="5"/>
  <c r="F1833" i="5" s="1"/>
  <c r="B1826" i="5"/>
  <c r="I1822" i="5"/>
  <c r="M1818" i="5"/>
  <c r="B1817" i="5"/>
  <c r="E1815" i="5"/>
  <c r="F1815" i="5" s="1"/>
  <c r="N1807" i="5"/>
  <c r="E1806" i="5"/>
  <c r="F1806" i="5" s="1"/>
  <c r="I1802" i="5"/>
  <c r="M1798" i="5"/>
  <c r="M1789" i="5"/>
  <c r="H1784" i="5"/>
  <c r="J1782" i="5"/>
  <c r="B1777" i="5"/>
  <c r="I1773" i="5"/>
  <c r="K1771" i="5"/>
  <c r="G1771" i="5" s="1"/>
  <c r="N1769" i="5"/>
  <c r="E1766" i="5"/>
  <c r="F1766" i="5" s="1"/>
  <c r="L1760" i="5"/>
  <c r="E1757" i="5"/>
  <c r="F1757" i="5" s="1"/>
  <c r="J1753" i="5"/>
  <c r="L1751" i="5"/>
  <c r="M1749" i="5"/>
  <c r="J1735" i="5"/>
  <c r="L1731" i="5"/>
  <c r="J1710" i="5"/>
  <c r="I1681" i="5"/>
  <c r="E1671" i="5"/>
  <c r="F1671" i="5" s="1"/>
  <c r="I1622" i="5"/>
  <c r="B1988" i="5"/>
  <c r="B1976" i="5"/>
  <c r="B1964" i="5"/>
  <c r="B1952" i="5"/>
  <c r="B1940" i="5"/>
  <c r="B1928" i="5"/>
  <c r="B1916" i="5"/>
  <c r="B1904" i="5"/>
  <c r="B1892" i="5"/>
  <c r="B1880" i="5"/>
  <c r="B1864" i="5"/>
  <c r="J1858" i="5"/>
  <c r="H1840" i="5"/>
  <c r="K1838" i="5"/>
  <c r="G1838" i="5" s="1"/>
  <c r="N1834" i="5"/>
  <c r="H1831" i="5"/>
  <c r="N1827" i="5"/>
  <c r="N1825" i="5"/>
  <c r="B1824" i="5"/>
  <c r="I1820" i="5"/>
  <c r="J1811" i="5"/>
  <c r="J1809" i="5"/>
  <c r="K1800" i="5"/>
  <c r="G1800" i="5" s="1"/>
  <c r="H1793" i="5"/>
  <c r="J1791" i="5"/>
  <c r="N1787" i="5"/>
  <c r="B1786" i="5"/>
  <c r="K1780" i="5"/>
  <c r="G1780" i="5" s="1"/>
  <c r="N1778" i="5"/>
  <c r="E1775" i="5"/>
  <c r="F1775" i="5" s="1"/>
  <c r="B1768" i="5"/>
  <c r="J1762" i="5"/>
  <c r="H1727" i="5"/>
  <c r="H1696" i="5"/>
  <c r="L1578" i="5"/>
  <c r="H1980" i="5"/>
  <c r="E1978" i="5"/>
  <c r="F1978" i="5" s="1"/>
  <c r="N1974" i="5"/>
  <c r="M1973" i="5"/>
  <c r="L1972" i="5"/>
  <c r="K1971" i="5"/>
  <c r="G1971" i="5" s="1"/>
  <c r="J1970" i="5"/>
  <c r="I1969" i="5"/>
  <c r="H1968" i="5"/>
  <c r="E1966" i="5"/>
  <c r="F1966" i="5" s="1"/>
  <c r="N1962" i="5"/>
  <c r="M1961" i="5"/>
  <c r="L1960" i="5"/>
  <c r="K1959" i="5"/>
  <c r="G1959" i="5" s="1"/>
  <c r="J1958" i="5"/>
  <c r="I1957" i="5"/>
  <c r="H1956" i="5"/>
  <c r="E1954" i="5"/>
  <c r="F1954" i="5" s="1"/>
  <c r="N1950" i="5"/>
  <c r="M1949" i="5"/>
  <c r="L1948" i="5"/>
  <c r="K1947" i="5"/>
  <c r="G1947" i="5" s="1"/>
  <c r="J1946" i="5"/>
  <c r="I1945" i="5"/>
  <c r="H1944" i="5"/>
  <c r="E1942" i="5"/>
  <c r="F1942" i="5" s="1"/>
  <c r="N1938" i="5"/>
  <c r="M1937" i="5"/>
  <c r="L1936" i="5"/>
  <c r="K1935" i="5"/>
  <c r="G1935" i="5" s="1"/>
  <c r="J1934" i="5"/>
  <c r="I1933" i="5"/>
  <c r="H1932" i="5"/>
  <c r="E1930" i="5"/>
  <c r="F1930" i="5" s="1"/>
  <c r="N1926" i="5"/>
  <c r="M1925" i="5"/>
  <c r="L1924" i="5"/>
  <c r="K1923" i="5"/>
  <c r="G1923" i="5" s="1"/>
  <c r="J1922" i="5"/>
  <c r="I1921" i="5"/>
  <c r="H1920" i="5"/>
  <c r="E1918" i="5"/>
  <c r="F1918" i="5" s="1"/>
  <c r="N1914" i="5"/>
  <c r="M1913" i="5"/>
  <c r="L1912" i="5"/>
  <c r="K1911" i="5"/>
  <c r="G1911" i="5" s="1"/>
  <c r="J1910" i="5"/>
  <c r="I1909" i="5"/>
  <c r="H1908" i="5"/>
  <c r="E1906" i="5"/>
  <c r="F1906" i="5" s="1"/>
  <c r="N1902" i="5"/>
  <c r="M1901" i="5"/>
  <c r="L1900" i="5"/>
  <c r="K1899" i="5"/>
  <c r="G1899" i="5" s="1"/>
  <c r="J1898" i="5"/>
  <c r="I1897" i="5"/>
  <c r="H1896" i="5"/>
  <c r="E1894" i="5"/>
  <c r="F1894" i="5" s="1"/>
  <c r="N1890" i="5"/>
  <c r="M1889" i="5"/>
  <c r="L1888" i="5"/>
  <c r="K1887" i="5"/>
  <c r="G1887" i="5" s="1"/>
  <c r="J1886" i="5"/>
  <c r="I1885" i="5"/>
  <c r="H1884" i="5"/>
  <c r="E1882" i="5"/>
  <c r="F1882" i="5" s="1"/>
  <c r="N1878" i="5"/>
  <c r="M1877" i="5"/>
  <c r="L1876" i="5"/>
  <c r="K1875" i="5"/>
  <c r="G1875" i="5" s="1"/>
  <c r="J1874" i="5"/>
  <c r="I1873" i="5"/>
  <c r="H1872" i="5"/>
  <c r="E1870" i="5"/>
  <c r="F1870" i="5" s="1"/>
  <c r="B1869" i="5"/>
  <c r="J1867" i="5"/>
  <c r="L1865" i="5"/>
  <c r="K1856" i="5"/>
  <c r="G1856" i="5" s="1"/>
  <c r="H1849" i="5"/>
  <c r="K1847" i="5"/>
  <c r="G1847" i="5" s="1"/>
  <c r="L1845" i="5"/>
  <c r="L1836" i="5"/>
  <c r="B1833" i="5"/>
  <c r="I1829" i="5"/>
  <c r="L1827" i="5"/>
  <c r="M1816" i="5"/>
  <c r="H1811" i="5"/>
  <c r="I1800" i="5"/>
  <c r="K1798" i="5"/>
  <c r="G1798" i="5" s="1"/>
  <c r="E1795" i="5"/>
  <c r="F1795" i="5" s="1"/>
  <c r="L1789" i="5"/>
  <c r="I1782" i="5"/>
  <c r="H1773" i="5"/>
  <c r="J1771" i="5"/>
  <c r="L1769" i="5"/>
  <c r="K1760" i="5"/>
  <c r="G1760" i="5" s="1"/>
  <c r="H1753" i="5"/>
  <c r="K1751" i="5"/>
  <c r="G1751" i="5" s="1"/>
  <c r="L1749" i="5"/>
  <c r="E1743" i="5"/>
  <c r="F1743" i="5" s="1"/>
  <c r="B1722" i="5"/>
  <c r="J1703" i="5"/>
  <c r="N1688" i="5"/>
  <c r="K1578" i="5"/>
  <c r="G1578" i="5" s="1"/>
  <c r="K1266" i="5"/>
  <c r="G1266" i="5" s="1"/>
  <c r="B1862" i="5"/>
  <c r="I1858" i="5"/>
  <c r="M1854" i="5"/>
  <c r="B1853" i="5"/>
  <c r="E1851" i="5"/>
  <c r="F1851" i="5" s="1"/>
  <c r="N1843" i="5"/>
  <c r="E1842" i="5"/>
  <c r="F1842" i="5" s="1"/>
  <c r="I1838" i="5"/>
  <c r="M1834" i="5"/>
  <c r="M1825" i="5"/>
  <c r="H1820" i="5"/>
  <c r="J1818" i="5"/>
  <c r="B1813" i="5"/>
  <c r="I1809" i="5"/>
  <c r="K1807" i="5"/>
  <c r="G1807" i="5" s="1"/>
  <c r="N1805" i="5"/>
  <c r="E1802" i="5"/>
  <c r="F1802" i="5" s="1"/>
  <c r="L1796" i="5"/>
  <c r="E1793" i="5"/>
  <c r="F1793" i="5" s="1"/>
  <c r="J1789" i="5"/>
  <c r="L1787" i="5"/>
  <c r="M1785" i="5"/>
  <c r="M1778" i="5"/>
  <c r="M1776" i="5"/>
  <c r="E1773" i="5"/>
  <c r="F1773" i="5" s="1"/>
  <c r="B1766" i="5"/>
  <c r="I1762" i="5"/>
  <c r="M1758" i="5"/>
  <c r="B1757" i="5"/>
  <c r="E1755" i="5"/>
  <c r="F1755" i="5" s="1"/>
  <c r="M1721" i="5"/>
  <c r="E1658" i="5"/>
  <c r="F1658" i="5" s="1"/>
  <c r="I1563" i="5"/>
  <c r="E1871" i="5"/>
  <c r="F1871" i="5" s="1"/>
  <c r="H1867" i="5"/>
  <c r="N1863" i="5"/>
  <c r="N1861" i="5"/>
  <c r="B1860" i="5"/>
  <c r="I1856" i="5"/>
  <c r="J1847" i="5"/>
  <c r="J1845" i="5"/>
  <c r="K1836" i="5"/>
  <c r="G1836" i="5" s="1"/>
  <c r="H1829" i="5"/>
  <c r="J1827" i="5"/>
  <c r="N1823" i="5"/>
  <c r="B1822" i="5"/>
  <c r="K1816" i="5"/>
  <c r="G1816" i="5" s="1"/>
  <c r="N1814" i="5"/>
  <c r="E1811" i="5"/>
  <c r="F1811" i="5" s="1"/>
  <c r="B1804" i="5"/>
  <c r="J1798" i="5"/>
  <c r="H1780" i="5"/>
  <c r="K1778" i="5"/>
  <c r="G1778" i="5" s="1"/>
  <c r="N1774" i="5"/>
  <c r="H1771" i="5"/>
  <c r="N1767" i="5"/>
  <c r="N1765" i="5"/>
  <c r="B1764" i="5"/>
  <c r="I1760" i="5"/>
  <c r="J1751" i="5"/>
  <c r="J1749" i="5"/>
  <c r="K1742" i="5"/>
  <c r="G1742" i="5" s="1"/>
  <c r="M1738" i="5"/>
  <c r="E1731" i="5"/>
  <c r="F1731" i="5" s="1"/>
  <c r="B1646" i="5"/>
  <c r="L1605" i="5"/>
  <c r="H1563" i="5"/>
  <c r="B1870" i="5"/>
  <c r="N1868" i="5"/>
  <c r="I1865" i="5"/>
  <c r="L1863" i="5"/>
  <c r="M1852" i="5"/>
  <c r="H1847" i="5"/>
  <c r="I1836" i="5"/>
  <c r="K1834" i="5"/>
  <c r="G1834" i="5" s="1"/>
  <c r="E1831" i="5"/>
  <c r="F1831" i="5" s="1"/>
  <c r="L1825" i="5"/>
  <c r="I1818" i="5"/>
  <c r="H1809" i="5"/>
  <c r="J1807" i="5"/>
  <c r="L1805" i="5"/>
  <c r="K1796" i="5"/>
  <c r="G1796" i="5" s="1"/>
  <c r="H1789" i="5"/>
  <c r="K1787" i="5"/>
  <c r="G1787" i="5" s="1"/>
  <c r="L1785" i="5"/>
  <c r="L1776" i="5"/>
  <c r="B1773" i="5"/>
  <c r="I1769" i="5"/>
  <c r="L1767" i="5"/>
  <c r="M1756" i="5"/>
  <c r="H1751" i="5"/>
  <c r="I1746" i="5"/>
  <c r="J1715" i="5"/>
  <c r="N1679" i="5"/>
  <c r="E1543" i="5"/>
  <c r="F1543" i="5" s="1"/>
  <c r="M1868" i="5"/>
  <c r="M1861" i="5"/>
  <c r="H1856" i="5"/>
  <c r="J1854" i="5"/>
  <c r="B1849" i="5"/>
  <c r="I1845" i="5"/>
  <c r="K1843" i="5"/>
  <c r="G1843" i="5" s="1"/>
  <c r="N1841" i="5"/>
  <c r="E1838" i="5"/>
  <c r="F1838" i="5" s="1"/>
  <c r="L1832" i="5"/>
  <c r="E1829" i="5"/>
  <c r="F1829" i="5" s="1"/>
  <c r="J1825" i="5"/>
  <c r="L1823" i="5"/>
  <c r="M1821" i="5"/>
  <c r="M1814" i="5"/>
  <c r="M1812" i="5"/>
  <c r="E1809" i="5"/>
  <c r="F1809" i="5" s="1"/>
  <c r="B1802" i="5"/>
  <c r="I1798" i="5"/>
  <c r="M1794" i="5"/>
  <c r="B1793" i="5"/>
  <c r="E1791" i="5"/>
  <c r="F1791" i="5" s="1"/>
  <c r="N1783" i="5"/>
  <c r="E1782" i="5"/>
  <c r="F1782" i="5" s="1"/>
  <c r="I1778" i="5"/>
  <c r="M1774" i="5"/>
  <c r="M1765" i="5"/>
  <c r="H1760" i="5"/>
  <c r="J1758" i="5"/>
  <c r="B1753" i="5"/>
  <c r="I1749" i="5"/>
  <c r="K1730" i="5"/>
  <c r="G1730" i="5" s="1"/>
  <c r="M1726" i="5"/>
  <c r="L1708" i="5"/>
  <c r="E1687" i="5"/>
  <c r="F1687" i="5" s="1"/>
  <c r="N1667" i="5"/>
  <c r="N1618" i="5"/>
  <c r="I1451" i="5"/>
  <c r="B1991" i="5"/>
  <c r="B1979" i="5"/>
  <c r="B1967" i="5"/>
  <c r="B1955" i="5"/>
  <c r="B1943" i="5"/>
  <c r="B1931" i="5"/>
  <c r="B1919" i="5"/>
  <c r="B1907" i="5"/>
  <c r="B1895" i="5"/>
  <c r="B1883" i="5"/>
  <c r="B1871" i="5"/>
  <c r="H1865" i="5"/>
  <c r="J1863" i="5"/>
  <c r="N1859" i="5"/>
  <c r="B1858" i="5"/>
  <c r="P1858" i="5" s="1"/>
  <c r="K1852" i="5"/>
  <c r="G1852" i="5" s="1"/>
  <c r="N1850" i="5"/>
  <c r="E1847" i="5"/>
  <c r="F1847" i="5" s="1"/>
  <c r="B1840" i="5"/>
  <c r="J1834" i="5"/>
  <c r="H1816" i="5"/>
  <c r="K1814" i="5"/>
  <c r="G1814" i="5" s="1"/>
  <c r="N1810" i="5"/>
  <c r="H1807" i="5"/>
  <c r="N1803" i="5"/>
  <c r="N1801" i="5"/>
  <c r="B1800" i="5"/>
  <c r="I1796" i="5"/>
  <c r="J1787" i="5"/>
  <c r="J1785" i="5"/>
  <c r="K1776" i="5"/>
  <c r="G1776" i="5" s="1"/>
  <c r="H1769" i="5"/>
  <c r="J1767" i="5"/>
  <c r="N1763" i="5"/>
  <c r="B1762" i="5"/>
  <c r="K1756" i="5"/>
  <c r="G1756" i="5" s="1"/>
  <c r="N1754" i="5"/>
  <c r="E1751" i="5"/>
  <c r="F1751" i="5" s="1"/>
  <c r="I1734" i="5"/>
  <c r="J1720" i="5"/>
  <c r="I1694" i="5"/>
  <c r="N1989" i="5"/>
  <c r="M1988" i="5"/>
  <c r="L1987" i="5"/>
  <c r="K1986" i="5"/>
  <c r="G1986" i="5" s="1"/>
  <c r="J1985" i="5"/>
  <c r="I1984" i="5"/>
  <c r="H1983" i="5"/>
  <c r="E1981" i="5"/>
  <c r="F1981" i="5" s="1"/>
  <c r="N1977" i="5"/>
  <c r="M1976" i="5"/>
  <c r="L1975" i="5"/>
  <c r="K1974" i="5"/>
  <c r="G1974" i="5" s="1"/>
  <c r="J1973" i="5"/>
  <c r="I1972" i="5"/>
  <c r="H1971" i="5"/>
  <c r="E1969" i="5"/>
  <c r="F1969" i="5" s="1"/>
  <c r="N1965" i="5"/>
  <c r="M1964" i="5"/>
  <c r="L1963" i="5"/>
  <c r="K1962" i="5"/>
  <c r="G1962" i="5" s="1"/>
  <c r="J1961" i="5"/>
  <c r="I1960" i="5"/>
  <c r="H1959" i="5"/>
  <c r="E1957" i="5"/>
  <c r="F1957" i="5" s="1"/>
  <c r="N1953" i="5"/>
  <c r="L1951" i="5"/>
  <c r="K1950" i="5"/>
  <c r="G1950" i="5" s="1"/>
  <c r="J1949" i="5"/>
  <c r="I1948" i="5"/>
  <c r="H1947" i="5"/>
  <c r="E1945" i="5"/>
  <c r="F1945" i="5" s="1"/>
  <c r="N1941" i="5"/>
  <c r="M1940" i="5"/>
  <c r="L1939" i="5"/>
  <c r="K1938" i="5"/>
  <c r="G1938" i="5" s="1"/>
  <c r="J1937" i="5"/>
  <c r="I1936" i="5"/>
  <c r="H1935" i="5"/>
  <c r="E1933" i="5"/>
  <c r="F1933" i="5" s="1"/>
  <c r="N1929" i="5"/>
  <c r="M1928" i="5"/>
  <c r="L1927" i="5"/>
  <c r="K1926" i="5"/>
  <c r="G1926" i="5" s="1"/>
  <c r="J1925" i="5"/>
  <c r="I1924" i="5"/>
  <c r="H1923" i="5"/>
  <c r="E1921" i="5"/>
  <c r="F1921" i="5" s="1"/>
  <c r="N1917" i="5"/>
  <c r="M1916" i="5"/>
  <c r="L1915" i="5"/>
  <c r="K1914" i="5"/>
  <c r="G1914" i="5" s="1"/>
  <c r="J1913" i="5"/>
  <c r="I1912" i="5"/>
  <c r="H1911" i="5"/>
  <c r="E1909" i="5"/>
  <c r="F1909" i="5" s="1"/>
  <c r="N1905" i="5"/>
  <c r="M1904" i="5"/>
  <c r="L1903" i="5"/>
  <c r="K1902" i="5"/>
  <c r="G1902" i="5" s="1"/>
  <c r="J1901" i="5"/>
  <c r="I1900" i="5"/>
  <c r="H1899" i="5"/>
  <c r="E1897" i="5"/>
  <c r="F1897" i="5" s="1"/>
  <c r="N1893" i="5"/>
  <c r="M1892" i="5"/>
  <c r="L1891" i="5"/>
  <c r="K1890" i="5"/>
  <c r="G1890" i="5" s="1"/>
  <c r="J1889" i="5"/>
  <c r="I1888" i="5"/>
  <c r="H1887" i="5"/>
  <c r="E1885" i="5"/>
  <c r="F1885" i="5" s="1"/>
  <c r="N1881" i="5"/>
  <c r="M1880" i="5"/>
  <c r="L1879" i="5"/>
  <c r="K1878" i="5"/>
  <c r="G1878" i="5" s="1"/>
  <c r="J1877" i="5"/>
  <c r="I1876" i="5"/>
  <c r="H1875" i="5"/>
  <c r="E1873" i="5"/>
  <c r="F1873" i="5" s="1"/>
  <c r="N1869" i="5"/>
  <c r="L1868" i="5"/>
  <c r="E1867" i="5"/>
  <c r="F1867" i="5" s="1"/>
  <c r="L1861" i="5"/>
  <c r="I1854" i="5"/>
  <c r="H1845" i="5"/>
  <c r="J1843" i="5"/>
  <c r="L1841" i="5"/>
  <c r="K1832" i="5"/>
  <c r="G1832" i="5" s="1"/>
  <c r="H1825" i="5"/>
  <c r="K1823" i="5"/>
  <c r="G1823" i="5" s="1"/>
  <c r="L1821" i="5"/>
  <c r="L1812" i="5"/>
  <c r="B1809" i="5"/>
  <c r="I1805" i="5"/>
  <c r="L1803" i="5"/>
  <c r="M1792" i="5"/>
  <c r="H1787" i="5"/>
  <c r="I1776" i="5"/>
  <c r="K1774" i="5"/>
  <c r="G1774" i="5" s="1"/>
  <c r="E1771" i="5"/>
  <c r="F1771" i="5" s="1"/>
  <c r="L1765" i="5"/>
  <c r="I1758" i="5"/>
  <c r="H1749" i="5"/>
  <c r="N1745" i="5"/>
  <c r="I1720" i="5"/>
  <c r="M1714" i="5"/>
  <c r="K1708" i="5"/>
  <c r="G1708" i="5" s="1"/>
  <c r="N1686" i="5"/>
  <c r="M1667" i="5"/>
  <c r="B1992" i="5"/>
  <c r="B1980" i="5"/>
  <c r="B1968" i="5"/>
  <c r="B1956" i="5"/>
  <c r="B1944" i="5"/>
  <c r="B1932" i="5"/>
  <c r="P1932" i="5" s="1"/>
  <c r="B1920" i="5"/>
  <c r="B1908" i="5"/>
  <c r="B1896" i="5"/>
  <c r="P1896" i="5" s="1"/>
  <c r="B1884" i="5"/>
  <c r="B1872" i="5"/>
  <c r="P1872" i="5" s="1"/>
  <c r="E1865" i="5"/>
  <c r="F1865" i="5" s="1"/>
  <c r="J1861" i="5"/>
  <c r="L1859" i="5"/>
  <c r="M1857" i="5"/>
  <c r="M1850" i="5"/>
  <c r="M1848" i="5"/>
  <c r="E1845" i="5"/>
  <c r="F1845" i="5" s="1"/>
  <c r="B1838" i="5"/>
  <c r="I1834" i="5"/>
  <c r="M1830" i="5"/>
  <c r="B1829" i="5"/>
  <c r="E1827" i="5"/>
  <c r="F1827" i="5" s="1"/>
  <c r="N1819" i="5"/>
  <c r="E1818" i="5"/>
  <c r="F1818" i="5" s="1"/>
  <c r="I1814" i="5"/>
  <c r="M1810" i="5"/>
  <c r="M1801" i="5"/>
  <c r="H1796" i="5"/>
  <c r="J1794" i="5"/>
  <c r="B1789" i="5"/>
  <c r="I1785" i="5"/>
  <c r="K1783" i="5"/>
  <c r="G1783" i="5" s="1"/>
  <c r="N1781" i="5"/>
  <c r="E1778" i="5"/>
  <c r="F1778" i="5" s="1"/>
  <c r="L1772" i="5"/>
  <c r="E1769" i="5"/>
  <c r="F1769" i="5" s="1"/>
  <c r="J1765" i="5"/>
  <c r="L1763" i="5"/>
  <c r="M1761" i="5"/>
  <c r="M1754" i="5"/>
  <c r="M1752" i="5"/>
  <c r="E1749" i="5"/>
  <c r="F1749" i="5" s="1"/>
  <c r="B1742" i="5"/>
  <c r="N1725" i="5"/>
  <c r="H1694" i="5"/>
  <c r="J1588" i="5"/>
  <c r="E1575" i="5"/>
  <c r="F1575" i="5" s="1"/>
  <c r="N1990" i="5"/>
  <c r="M1989" i="5"/>
  <c r="L1988" i="5"/>
  <c r="K1987" i="5"/>
  <c r="G1987" i="5" s="1"/>
  <c r="J1986" i="5"/>
  <c r="I1985" i="5"/>
  <c r="H1984" i="5"/>
  <c r="E1982" i="5"/>
  <c r="F1982" i="5" s="1"/>
  <c r="N1978" i="5"/>
  <c r="M1977" i="5"/>
  <c r="L1976" i="5"/>
  <c r="K1975" i="5"/>
  <c r="G1975" i="5" s="1"/>
  <c r="J1974" i="5"/>
  <c r="I1973" i="5"/>
  <c r="H1972" i="5"/>
  <c r="E1970" i="5"/>
  <c r="F1970" i="5" s="1"/>
  <c r="N1966" i="5"/>
  <c r="M1965" i="5"/>
  <c r="L1964" i="5"/>
  <c r="K1963" i="5"/>
  <c r="G1963" i="5" s="1"/>
  <c r="J1962" i="5"/>
  <c r="I1961" i="5"/>
  <c r="H1960" i="5"/>
  <c r="E1958" i="5"/>
  <c r="F1958" i="5" s="1"/>
  <c r="N1954" i="5"/>
  <c r="L1952" i="5"/>
  <c r="K1951" i="5"/>
  <c r="G1951" i="5" s="1"/>
  <c r="J1950" i="5"/>
  <c r="I1949" i="5"/>
  <c r="H1948" i="5"/>
  <c r="E1946" i="5"/>
  <c r="F1946" i="5" s="1"/>
  <c r="N1942" i="5"/>
  <c r="M1941" i="5"/>
  <c r="L1940" i="5"/>
  <c r="K1939" i="5"/>
  <c r="G1939" i="5" s="1"/>
  <c r="J1938" i="5"/>
  <c r="I1937" i="5"/>
  <c r="H1936" i="5"/>
  <c r="E1934" i="5"/>
  <c r="F1934" i="5" s="1"/>
  <c r="N1930" i="5"/>
  <c r="M1929" i="5"/>
  <c r="L1928" i="5"/>
  <c r="K1927" i="5"/>
  <c r="G1927" i="5" s="1"/>
  <c r="J1926" i="5"/>
  <c r="I1925" i="5"/>
  <c r="H1924" i="5"/>
  <c r="E1922" i="5"/>
  <c r="F1922" i="5" s="1"/>
  <c r="N1918" i="5"/>
  <c r="M1917" i="5"/>
  <c r="L1916" i="5"/>
  <c r="K1915" i="5"/>
  <c r="G1915" i="5" s="1"/>
  <c r="J1914" i="5"/>
  <c r="I1913" i="5"/>
  <c r="H1912" i="5"/>
  <c r="E1910" i="5"/>
  <c r="F1910" i="5" s="1"/>
  <c r="N1906" i="5"/>
  <c r="M1905" i="5"/>
  <c r="L1904" i="5"/>
  <c r="K1903" i="5"/>
  <c r="G1903" i="5" s="1"/>
  <c r="J1902" i="5"/>
  <c r="I1901" i="5"/>
  <c r="H1900" i="5"/>
  <c r="E1898" i="5"/>
  <c r="F1898" i="5" s="1"/>
  <c r="N1894" i="5"/>
  <c r="M1893" i="5"/>
  <c r="L1892" i="5"/>
  <c r="K1891" i="5"/>
  <c r="G1891" i="5" s="1"/>
  <c r="J1890" i="5"/>
  <c r="I1889" i="5"/>
  <c r="H1888" i="5"/>
  <c r="E1886" i="5"/>
  <c r="F1886" i="5" s="1"/>
  <c r="N1882" i="5"/>
  <c r="M1881" i="5"/>
  <c r="L1880" i="5"/>
  <c r="K1879" i="5"/>
  <c r="G1879" i="5" s="1"/>
  <c r="J1878" i="5"/>
  <c r="I1877" i="5"/>
  <c r="H1876" i="5"/>
  <c r="E1874" i="5"/>
  <c r="F1874" i="5" s="1"/>
  <c r="N1870" i="5"/>
  <c r="M1869" i="5"/>
  <c r="K1868" i="5"/>
  <c r="G1868" i="5" s="1"/>
  <c r="H1852" i="5"/>
  <c r="K1850" i="5"/>
  <c r="G1850" i="5" s="1"/>
  <c r="N1846" i="5"/>
  <c r="H1843" i="5"/>
  <c r="N1839" i="5"/>
  <c r="N1837" i="5"/>
  <c r="B1836" i="5"/>
  <c r="I1832" i="5"/>
  <c r="J1823" i="5"/>
  <c r="J1821" i="5"/>
  <c r="K1812" i="5"/>
  <c r="G1812" i="5" s="1"/>
  <c r="H1805" i="5"/>
  <c r="J1803" i="5"/>
  <c r="N1799" i="5"/>
  <c r="B1798" i="5"/>
  <c r="K1792" i="5"/>
  <c r="G1792" i="5" s="1"/>
  <c r="N1790" i="5"/>
  <c r="E1787" i="5"/>
  <c r="F1787" i="5" s="1"/>
  <c r="B1780" i="5"/>
  <c r="J1774" i="5"/>
  <c r="H1756" i="5"/>
  <c r="K1754" i="5"/>
  <c r="G1754" i="5" s="1"/>
  <c r="N1750" i="5"/>
  <c r="J1741" i="5"/>
  <c r="L1737" i="5"/>
  <c r="N1733" i="5"/>
  <c r="H1720" i="5"/>
  <c r="L1701" i="5"/>
  <c r="E1642" i="5"/>
  <c r="F1642" i="5" s="1"/>
  <c r="K1615" i="5"/>
  <c r="G1615" i="5" s="1"/>
  <c r="B1602" i="5"/>
  <c r="B1981" i="5"/>
  <c r="B1969" i="5"/>
  <c r="B1957" i="5"/>
  <c r="B1945" i="5"/>
  <c r="B1933" i="5"/>
  <c r="B1921" i="5"/>
  <c r="B1909" i="5"/>
  <c r="B1897" i="5"/>
  <c r="B1885" i="5"/>
  <c r="B1873" i="5"/>
  <c r="H1861" i="5"/>
  <c r="K1859" i="5"/>
  <c r="G1859" i="5" s="1"/>
  <c r="L1857" i="5"/>
  <c r="L1848" i="5"/>
  <c r="B1845" i="5"/>
  <c r="I1841" i="5"/>
  <c r="L1839" i="5"/>
  <c r="M1828" i="5"/>
  <c r="H1823" i="5"/>
  <c r="I1812" i="5"/>
  <c r="K1810" i="5"/>
  <c r="G1810" i="5" s="1"/>
  <c r="E1807" i="5"/>
  <c r="F1807" i="5" s="1"/>
  <c r="L1801" i="5"/>
  <c r="I1794" i="5"/>
  <c r="H1785" i="5"/>
  <c r="J1783" i="5"/>
  <c r="L1781" i="5"/>
  <c r="K1772" i="5"/>
  <c r="G1772" i="5" s="1"/>
  <c r="H1765" i="5"/>
  <c r="K1763" i="5"/>
  <c r="G1763" i="5" s="1"/>
  <c r="L1761" i="5"/>
  <c r="L1752" i="5"/>
  <c r="B1749" i="5"/>
  <c r="B1730" i="5"/>
  <c r="N1713" i="5"/>
  <c r="H1707" i="5"/>
  <c r="H1685" i="5"/>
  <c r="M1601" i="5"/>
  <c r="L1977" i="5"/>
  <c r="K1976" i="5"/>
  <c r="G1976" i="5" s="1"/>
  <c r="J1975" i="5"/>
  <c r="I1974" i="5"/>
  <c r="H1973" i="5"/>
  <c r="E1971" i="5"/>
  <c r="F1971" i="5" s="1"/>
  <c r="N1967" i="5"/>
  <c r="M1966" i="5"/>
  <c r="L1965" i="5"/>
  <c r="K1964" i="5"/>
  <c r="G1964" i="5" s="1"/>
  <c r="J1963" i="5"/>
  <c r="I1962" i="5"/>
  <c r="H1961" i="5"/>
  <c r="E1959" i="5"/>
  <c r="F1959" i="5" s="1"/>
  <c r="N1955" i="5"/>
  <c r="L1953" i="5"/>
  <c r="K1952" i="5"/>
  <c r="G1952" i="5" s="1"/>
  <c r="J1951" i="5"/>
  <c r="I1950" i="5"/>
  <c r="H1949" i="5"/>
  <c r="E1947" i="5"/>
  <c r="F1947" i="5" s="1"/>
  <c r="N1943" i="5"/>
  <c r="M1942" i="5"/>
  <c r="L1941" i="5"/>
  <c r="K1940" i="5"/>
  <c r="G1940" i="5" s="1"/>
  <c r="J1939" i="5"/>
  <c r="I1938" i="5"/>
  <c r="H1937" i="5"/>
  <c r="E1935" i="5"/>
  <c r="F1935" i="5" s="1"/>
  <c r="N1931" i="5"/>
  <c r="M1930" i="5"/>
  <c r="L1929" i="5"/>
  <c r="K1928" i="5"/>
  <c r="G1928" i="5" s="1"/>
  <c r="J1927" i="5"/>
  <c r="I1926" i="5"/>
  <c r="H1925" i="5"/>
  <c r="E1923" i="5"/>
  <c r="F1923" i="5" s="1"/>
  <c r="N1919" i="5"/>
  <c r="M1918" i="5"/>
  <c r="L1917" i="5"/>
  <c r="K1916" i="5"/>
  <c r="G1916" i="5" s="1"/>
  <c r="J1915" i="5"/>
  <c r="I1914" i="5"/>
  <c r="H1913" i="5"/>
  <c r="E1911" i="5"/>
  <c r="F1911" i="5" s="1"/>
  <c r="N1907" i="5"/>
  <c r="M1906" i="5"/>
  <c r="L1905" i="5"/>
  <c r="K1904" i="5"/>
  <c r="G1904" i="5" s="1"/>
  <c r="J1903" i="5"/>
  <c r="I1902" i="5"/>
  <c r="H1901" i="5"/>
  <c r="E1899" i="5"/>
  <c r="F1899" i="5" s="1"/>
  <c r="N1895" i="5"/>
  <c r="M1894" i="5"/>
  <c r="L1893" i="5"/>
  <c r="K1892" i="5"/>
  <c r="G1892" i="5" s="1"/>
  <c r="J1891" i="5"/>
  <c r="I1890" i="5"/>
  <c r="H1889" i="5"/>
  <c r="E1887" i="5"/>
  <c r="F1887" i="5" s="1"/>
  <c r="N1883" i="5"/>
  <c r="M1882" i="5"/>
  <c r="L1881" i="5"/>
  <c r="K1880" i="5"/>
  <c r="G1880" i="5" s="1"/>
  <c r="J1879" i="5"/>
  <c r="I1878" i="5"/>
  <c r="H1877" i="5"/>
  <c r="E1875" i="5"/>
  <c r="F1875" i="5" s="1"/>
  <c r="N1871" i="5"/>
  <c r="M1870" i="5"/>
  <c r="L1869" i="5"/>
  <c r="I1868" i="5"/>
  <c r="M1866" i="5"/>
  <c r="B1865" i="5"/>
  <c r="E1863" i="5"/>
  <c r="F1863" i="5" s="1"/>
  <c r="N1855" i="5"/>
  <c r="E1854" i="5"/>
  <c r="F1854" i="5" s="1"/>
  <c r="I1850" i="5"/>
  <c r="M1846" i="5"/>
  <c r="M1837" i="5"/>
  <c r="H1832" i="5"/>
  <c r="J1830" i="5"/>
  <c r="B1825" i="5"/>
  <c r="P1825" i="5" s="1"/>
  <c r="I1821" i="5"/>
  <c r="K1819" i="5"/>
  <c r="G1819" i="5" s="1"/>
  <c r="N1817" i="5"/>
  <c r="E1814" i="5"/>
  <c r="F1814" i="5" s="1"/>
  <c r="L1808" i="5"/>
  <c r="E1805" i="5"/>
  <c r="F1805" i="5" s="1"/>
  <c r="J1801" i="5"/>
  <c r="L1799" i="5"/>
  <c r="M1797" i="5"/>
  <c r="M1790" i="5"/>
  <c r="M1788" i="5"/>
  <c r="E1785" i="5"/>
  <c r="F1785" i="5" s="1"/>
  <c r="B1778" i="5"/>
  <c r="I1774" i="5"/>
  <c r="M1770" i="5"/>
  <c r="B1769" i="5"/>
  <c r="E1767" i="5"/>
  <c r="F1767" i="5" s="1"/>
  <c r="N1759" i="5"/>
  <c r="E1758" i="5"/>
  <c r="F1758" i="5" s="1"/>
  <c r="I1754" i="5"/>
  <c r="M1750" i="5"/>
  <c r="H1745" i="5"/>
  <c r="E1737" i="5"/>
  <c r="F1737" i="5" s="1"/>
  <c r="J1729" i="5"/>
  <c r="J1719" i="5"/>
  <c r="B1677" i="5"/>
  <c r="N1628" i="5"/>
  <c r="J1615" i="5"/>
  <c r="J1859" i="5"/>
  <c r="J1857" i="5"/>
  <c r="K1848" i="5"/>
  <c r="G1848" i="5" s="1"/>
  <c r="H1841" i="5"/>
  <c r="J1839" i="5"/>
  <c r="N1835" i="5"/>
  <c r="B1834" i="5"/>
  <c r="K1828" i="5"/>
  <c r="G1828" i="5" s="1"/>
  <c r="N1826" i="5"/>
  <c r="E1823" i="5"/>
  <c r="F1823" i="5" s="1"/>
  <c r="B1816" i="5"/>
  <c r="J1810" i="5"/>
  <c r="H1792" i="5"/>
  <c r="K1790" i="5"/>
  <c r="G1790" i="5" s="1"/>
  <c r="N1786" i="5"/>
  <c r="H1783" i="5"/>
  <c r="N1779" i="5"/>
  <c r="N1777" i="5"/>
  <c r="B1776" i="5"/>
  <c r="I1772" i="5"/>
  <c r="J1763" i="5"/>
  <c r="J1761" i="5"/>
  <c r="K1752" i="5"/>
  <c r="G1752" i="5" s="1"/>
  <c r="B1741" i="5"/>
  <c r="M1713" i="5"/>
  <c r="K1692" i="5"/>
  <c r="G1692" i="5" s="1"/>
  <c r="K1664" i="5"/>
  <c r="G1664" i="5" s="1"/>
  <c r="E1572" i="5"/>
  <c r="F1572" i="5" s="1"/>
  <c r="K1513" i="5"/>
  <c r="G1513" i="5" s="1"/>
  <c r="H1801" i="5"/>
  <c r="K1799" i="5"/>
  <c r="G1799" i="5" s="1"/>
  <c r="L1797" i="5"/>
  <c r="L1788" i="5"/>
  <c r="B1785" i="5"/>
  <c r="I1781" i="5"/>
  <c r="L1779" i="5"/>
  <c r="M1768" i="5"/>
  <c r="H1763" i="5"/>
  <c r="I1752" i="5"/>
  <c r="K1750" i="5"/>
  <c r="G1750" i="5" s="1"/>
  <c r="B1737" i="5"/>
  <c r="H1733" i="5"/>
  <c r="B1725" i="5"/>
  <c r="E1707" i="5"/>
  <c r="F1707" i="5" s="1"/>
  <c r="M1555" i="5"/>
  <c r="J1866" i="5"/>
  <c r="B1861" i="5"/>
  <c r="I1857" i="5"/>
  <c r="K1855" i="5"/>
  <c r="G1855" i="5" s="1"/>
  <c r="N1853" i="5"/>
  <c r="E1850" i="5"/>
  <c r="F1850" i="5" s="1"/>
  <c r="L1844" i="5"/>
  <c r="E1841" i="5"/>
  <c r="F1841" i="5" s="1"/>
  <c r="J1837" i="5"/>
  <c r="L1835" i="5"/>
  <c r="M1833" i="5"/>
  <c r="M1826" i="5"/>
  <c r="M1824" i="5"/>
  <c r="E1821" i="5"/>
  <c r="F1821" i="5" s="1"/>
  <c r="B1814" i="5"/>
  <c r="I1810" i="5"/>
  <c r="M1806" i="5"/>
  <c r="B1805" i="5"/>
  <c r="E1803" i="5"/>
  <c r="F1803" i="5" s="1"/>
  <c r="N1795" i="5"/>
  <c r="E1794" i="5"/>
  <c r="F1794" i="5" s="1"/>
  <c r="I1790" i="5"/>
  <c r="M1786" i="5"/>
  <c r="M1777" i="5"/>
  <c r="H1772" i="5"/>
  <c r="J1770" i="5"/>
  <c r="B1765" i="5"/>
  <c r="I1761" i="5"/>
  <c r="K1759" i="5"/>
  <c r="G1759" i="5" s="1"/>
  <c r="N1757" i="5"/>
  <c r="E1754" i="5"/>
  <c r="F1754" i="5" s="1"/>
  <c r="K1748" i="5"/>
  <c r="G1748" i="5" s="1"/>
  <c r="M1744" i="5"/>
  <c r="B1729" i="5"/>
  <c r="N1699" i="5"/>
  <c r="H1692" i="5"/>
  <c r="J1664" i="5"/>
  <c r="E1585" i="5"/>
  <c r="F1585" i="5" s="1"/>
  <c r="N1571" i="5"/>
  <c r="J1555" i="5"/>
  <c r="K1870" i="5"/>
  <c r="G1870" i="5" s="1"/>
  <c r="J1869" i="5"/>
  <c r="K1864" i="5"/>
  <c r="G1864" i="5" s="1"/>
  <c r="N1862" i="5"/>
  <c r="E1859" i="5"/>
  <c r="F1859" i="5" s="1"/>
  <c r="B1852" i="5"/>
  <c r="J1846" i="5"/>
  <c r="H1828" i="5"/>
  <c r="K1826" i="5"/>
  <c r="G1826" i="5" s="1"/>
  <c r="N1822" i="5"/>
  <c r="H1819" i="5"/>
  <c r="N1815" i="5"/>
  <c r="N1813" i="5"/>
  <c r="B1812" i="5"/>
  <c r="I1808" i="5"/>
  <c r="J1799" i="5"/>
  <c r="J1797" i="5"/>
  <c r="K1788" i="5"/>
  <c r="G1788" i="5" s="1"/>
  <c r="H1781" i="5"/>
  <c r="J1779" i="5"/>
  <c r="N1775" i="5"/>
  <c r="B1774" i="5"/>
  <c r="K1768" i="5"/>
  <c r="G1768" i="5" s="1"/>
  <c r="N1766" i="5"/>
  <c r="E1763" i="5"/>
  <c r="F1763" i="5" s="1"/>
  <c r="B1756" i="5"/>
  <c r="J1750" i="5"/>
  <c r="I1740" i="5"/>
  <c r="M1718" i="5"/>
  <c r="J1683" i="5"/>
  <c r="H1612" i="5"/>
  <c r="B1984" i="5"/>
  <c r="B1972" i="5"/>
  <c r="P1972" i="5" s="1"/>
  <c r="B1960" i="5"/>
  <c r="B1948" i="5"/>
  <c r="B1936" i="5"/>
  <c r="B1924" i="5"/>
  <c r="B1912" i="5"/>
  <c r="B1900" i="5"/>
  <c r="B1888" i="5"/>
  <c r="B1876" i="5"/>
  <c r="P1876" i="5" s="1"/>
  <c r="I1866" i="5"/>
  <c r="H1857" i="5"/>
  <c r="J1855" i="5"/>
  <c r="L1853" i="5"/>
  <c r="K1844" i="5"/>
  <c r="G1844" i="5" s="1"/>
  <c r="H1837" i="5"/>
  <c r="K1835" i="5"/>
  <c r="G1835" i="5" s="1"/>
  <c r="L1833" i="5"/>
  <c r="L1824" i="5"/>
  <c r="B1821" i="5"/>
  <c r="I1817" i="5"/>
  <c r="L1815" i="5"/>
  <c r="M1804" i="5"/>
  <c r="H1799" i="5"/>
  <c r="I1788" i="5"/>
  <c r="K1786" i="5"/>
  <c r="G1786" i="5" s="1"/>
  <c r="E1783" i="5"/>
  <c r="F1783" i="5" s="1"/>
  <c r="L1777" i="5"/>
  <c r="I1770" i="5"/>
  <c r="H1761" i="5"/>
  <c r="J1759" i="5"/>
  <c r="L1757" i="5"/>
  <c r="K1736" i="5"/>
  <c r="G1736" i="5" s="1"/>
  <c r="M1732" i="5"/>
  <c r="M1699" i="5"/>
  <c r="L1638" i="5"/>
  <c r="L1625" i="5"/>
  <c r="L1992" i="5"/>
  <c r="K1991" i="5"/>
  <c r="G1991" i="5" s="1"/>
  <c r="J1990" i="5"/>
  <c r="I1989" i="5"/>
  <c r="H1988" i="5"/>
  <c r="E1986" i="5"/>
  <c r="F1986" i="5" s="1"/>
  <c r="N1982" i="5"/>
  <c r="M1981" i="5"/>
  <c r="L1980" i="5"/>
  <c r="K1979" i="5"/>
  <c r="G1979" i="5" s="1"/>
  <c r="J1978" i="5"/>
  <c r="I1977" i="5"/>
  <c r="H1976" i="5"/>
  <c r="E1974" i="5"/>
  <c r="F1974" i="5" s="1"/>
  <c r="N1970" i="5"/>
  <c r="M1969" i="5"/>
  <c r="L1968" i="5"/>
  <c r="K1967" i="5"/>
  <c r="G1967" i="5" s="1"/>
  <c r="J1966" i="5"/>
  <c r="I1965" i="5"/>
  <c r="H1964" i="5"/>
  <c r="E1962" i="5"/>
  <c r="F1962" i="5" s="1"/>
  <c r="N1958" i="5"/>
  <c r="M1957" i="5"/>
  <c r="L1956" i="5"/>
  <c r="K1955" i="5"/>
  <c r="G1955" i="5" s="1"/>
  <c r="J1954" i="5"/>
  <c r="I1953" i="5"/>
  <c r="H1952" i="5"/>
  <c r="E1950" i="5"/>
  <c r="F1950" i="5" s="1"/>
  <c r="N1946" i="5"/>
  <c r="M1945" i="5"/>
  <c r="L1944" i="5"/>
  <c r="K1943" i="5"/>
  <c r="G1943" i="5" s="1"/>
  <c r="J1942" i="5"/>
  <c r="I1941" i="5"/>
  <c r="H1940" i="5"/>
  <c r="E1938" i="5"/>
  <c r="F1938" i="5" s="1"/>
  <c r="N1934" i="5"/>
  <c r="M1933" i="5"/>
  <c r="L1932" i="5"/>
  <c r="K1931" i="5"/>
  <c r="G1931" i="5" s="1"/>
  <c r="J1930" i="5"/>
  <c r="I1929" i="5"/>
  <c r="H1928" i="5"/>
  <c r="E1926" i="5"/>
  <c r="F1926" i="5" s="1"/>
  <c r="N1922" i="5"/>
  <c r="M1921" i="5"/>
  <c r="L1920" i="5"/>
  <c r="K1919" i="5"/>
  <c r="G1919" i="5" s="1"/>
  <c r="J1918" i="5"/>
  <c r="I1917" i="5"/>
  <c r="H1916" i="5"/>
  <c r="E1914" i="5"/>
  <c r="F1914" i="5" s="1"/>
  <c r="N1910" i="5"/>
  <c r="M1909" i="5"/>
  <c r="L1908" i="5"/>
  <c r="K1907" i="5"/>
  <c r="G1907" i="5" s="1"/>
  <c r="J1906" i="5"/>
  <c r="I1905" i="5"/>
  <c r="H1904" i="5"/>
  <c r="E1902" i="5"/>
  <c r="F1902" i="5" s="1"/>
  <c r="N1898" i="5"/>
  <c r="M1897" i="5"/>
  <c r="L1896" i="5"/>
  <c r="K1895" i="5"/>
  <c r="G1895" i="5" s="1"/>
  <c r="J1894" i="5"/>
  <c r="I1893" i="5"/>
  <c r="H1892" i="5"/>
  <c r="E1890" i="5"/>
  <c r="F1890" i="5" s="1"/>
  <c r="N1886" i="5"/>
  <c r="M1885" i="5"/>
  <c r="L1884" i="5"/>
  <c r="K1883" i="5"/>
  <c r="G1883" i="5" s="1"/>
  <c r="J1882" i="5"/>
  <c r="I1881" i="5"/>
  <c r="H1880" i="5"/>
  <c r="E1878" i="5"/>
  <c r="F1878" i="5" s="1"/>
  <c r="N1874" i="5"/>
  <c r="M1873" i="5"/>
  <c r="L1872" i="5"/>
  <c r="K1871" i="5"/>
  <c r="G1871" i="5" s="1"/>
  <c r="J1870" i="5"/>
  <c r="I1869" i="5"/>
  <c r="M1862" i="5"/>
  <c r="M1860" i="5"/>
  <c r="E1857" i="5"/>
  <c r="F1857" i="5" s="1"/>
  <c r="B1850" i="5"/>
  <c r="I1846" i="5"/>
  <c r="M1842" i="5"/>
  <c r="B1841" i="5"/>
  <c r="E1839" i="5"/>
  <c r="F1839" i="5" s="1"/>
  <c r="N1831" i="5"/>
  <c r="E1830" i="5"/>
  <c r="F1830" i="5" s="1"/>
  <c r="I1826" i="5"/>
  <c r="M1822" i="5"/>
  <c r="M1813" i="5"/>
  <c r="H1808" i="5"/>
  <c r="J1806" i="5"/>
  <c r="B1801" i="5"/>
  <c r="I1797" i="5"/>
  <c r="K1795" i="5"/>
  <c r="G1795" i="5" s="1"/>
  <c r="N1793" i="5"/>
  <c r="E1790" i="5"/>
  <c r="F1790" i="5" s="1"/>
  <c r="L1784" i="5"/>
  <c r="E1781" i="5"/>
  <c r="F1781" i="5" s="1"/>
  <c r="J1777" i="5"/>
  <c r="L1775" i="5"/>
  <c r="M1773" i="5"/>
  <c r="M1766" i="5"/>
  <c r="M1764" i="5"/>
  <c r="E1761" i="5"/>
  <c r="F1761" i="5" s="1"/>
  <c r="B1754" i="5"/>
  <c r="I1750" i="5"/>
  <c r="I1728" i="5"/>
  <c r="I1705" i="5"/>
  <c r="I1683" i="5"/>
  <c r="B1674" i="5"/>
  <c r="K1638" i="5"/>
  <c r="G1638" i="5" s="1"/>
  <c r="M1416" i="5"/>
  <c r="J1694" i="5"/>
  <c r="B1689" i="5"/>
  <c r="K1683" i="5"/>
  <c r="G1683" i="5" s="1"/>
  <c r="B1682" i="5"/>
  <c r="B1680" i="5"/>
  <c r="K1674" i="5"/>
  <c r="G1674" i="5" s="1"/>
  <c r="H1671" i="5"/>
  <c r="L1661" i="5"/>
  <c r="J1652" i="5"/>
  <c r="J1649" i="5"/>
  <c r="L1642" i="5"/>
  <c r="I1639" i="5"/>
  <c r="I1626" i="5"/>
  <c r="L1612" i="5"/>
  <c r="H1609" i="5"/>
  <c r="I1599" i="5"/>
  <c r="B1596" i="5"/>
  <c r="M1578" i="5"/>
  <c r="E1437" i="5"/>
  <c r="F1437" i="5" s="1"/>
  <c r="L1748" i="5"/>
  <c r="K1747" i="5"/>
  <c r="G1747" i="5" s="1"/>
  <c r="J1746" i="5"/>
  <c r="I1745" i="5"/>
  <c r="H1744" i="5"/>
  <c r="E1742" i="5"/>
  <c r="F1742" i="5" s="1"/>
  <c r="N1738" i="5"/>
  <c r="M1737" i="5"/>
  <c r="L1736" i="5"/>
  <c r="K1735" i="5"/>
  <c r="G1735" i="5" s="1"/>
  <c r="J1734" i="5"/>
  <c r="I1733" i="5"/>
  <c r="H1732" i="5"/>
  <c r="E1730" i="5"/>
  <c r="F1730" i="5" s="1"/>
  <c r="N1726" i="5"/>
  <c r="L1723" i="5"/>
  <c r="N1718" i="5"/>
  <c r="K1715" i="5"/>
  <c r="G1715" i="5" s="1"/>
  <c r="K1710" i="5"/>
  <c r="G1710" i="5" s="1"/>
  <c r="M1701" i="5"/>
  <c r="N1690" i="5"/>
  <c r="I1685" i="5"/>
  <c r="H1674" i="5"/>
  <c r="J1658" i="5"/>
  <c r="M1655" i="5"/>
  <c r="N1632" i="5"/>
  <c r="B1629" i="5"/>
  <c r="E1619" i="5"/>
  <c r="F1619" i="5" s="1"/>
  <c r="E1609" i="5"/>
  <c r="F1609" i="5" s="1"/>
  <c r="M1605" i="5"/>
  <c r="J1602" i="5"/>
  <c r="H1599" i="5"/>
  <c r="J1592" i="5"/>
  <c r="B1586" i="5"/>
  <c r="E1582" i="5"/>
  <c r="F1582" i="5" s="1"/>
  <c r="J1575" i="5"/>
  <c r="N1568" i="5"/>
  <c r="B1417" i="5"/>
  <c r="M1333" i="5"/>
  <c r="J1868" i="5"/>
  <c r="I1867" i="5"/>
  <c r="H1866" i="5"/>
  <c r="E1864" i="5"/>
  <c r="F1864" i="5" s="1"/>
  <c r="N1860" i="5"/>
  <c r="M1859" i="5"/>
  <c r="L1858" i="5"/>
  <c r="K1857" i="5"/>
  <c r="G1857" i="5" s="1"/>
  <c r="J1856" i="5"/>
  <c r="I1855" i="5"/>
  <c r="H1854" i="5"/>
  <c r="E1852" i="5"/>
  <c r="F1852" i="5" s="1"/>
  <c r="N1848" i="5"/>
  <c r="M1847" i="5"/>
  <c r="L1846" i="5"/>
  <c r="K1845" i="5"/>
  <c r="G1845" i="5" s="1"/>
  <c r="J1844" i="5"/>
  <c r="I1843" i="5"/>
  <c r="H1842" i="5"/>
  <c r="E1840" i="5"/>
  <c r="F1840" i="5" s="1"/>
  <c r="N1836" i="5"/>
  <c r="M1835" i="5"/>
  <c r="L1834" i="5"/>
  <c r="K1833" i="5"/>
  <c r="G1833" i="5" s="1"/>
  <c r="J1832" i="5"/>
  <c r="I1831" i="5"/>
  <c r="H1830" i="5"/>
  <c r="E1828" i="5"/>
  <c r="F1828" i="5" s="1"/>
  <c r="N1824" i="5"/>
  <c r="M1823" i="5"/>
  <c r="L1822" i="5"/>
  <c r="K1821" i="5"/>
  <c r="G1821" i="5" s="1"/>
  <c r="J1820" i="5"/>
  <c r="I1819" i="5"/>
  <c r="H1818" i="5"/>
  <c r="E1816" i="5"/>
  <c r="F1816" i="5" s="1"/>
  <c r="N1812" i="5"/>
  <c r="M1811" i="5"/>
  <c r="L1810" i="5"/>
  <c r="K1809" i="5"/>
  <c r="G1809" i="5" s="1"/>
  <c r="J1808" i="5"/>
  <c r="I1807" i="5"/>
  <c r="H1806" i="5"/>
  <c r="E1804" i="5"/>
  <c r="F1804" i="5" s="1"/>
  <c r="N1800" i="5"/>
  <c r="M1799" i="5"/>
  <c r="L1798" i="5"/>
  <c r="K1797" i="5"/>
  <c r="G1797" i="5" s="1"/>
  <c r="J1796" i="5"/>
  <c r="I1795" i="5"/>
  <c r="H1794" i="5"/>
  <c r="E1792" i="5"/>
  <c r="F1792" i="5" s="1"/>
  <c r="N1788" i="5"/>
  <c r="M1787" i="5"/>
  <c r="L1786" i="5"/>
  <c r="K1785" i="5"/>
  <c r="G1785" i="5" s="1"/>
  <c r="J1784" i="5"/>
  <c r="I1783" i="5"/>
  <c r="H1782" i="5"/>
  <c r="E1780" i="5"/>
  <c r="F1780" i="5" s="1"/>
  <c r="N1776" i="5"/>
  <c r="M1775" i="5"/>
  <c r="L1774" i="5"/>
  <c r="K1773" i="5"/>
  <c r="G1773" i="5" s="1"/>
  <c r="J1772" i="5"/>
  <c r="I1771" i="5"/>
  <c r="H1770" i="5"/>
  <c r="E1768" i="5"/>
  <c r="F1768" i="5" s="1"/>
  <c r="N1764" i="5"/>
  <c r="M1763" i="5"/>
  <c r="L1762" i="5"/>
  <c r="K1761" i="5"/>
  <c r="G1761" i="5" s="1"/>
  <c r="J1760" i="5"/>
  <c r="I1759" i="5"/>
  <c r="H1758" i="5"/>
  <c r="E1756" i="5"/>
  <c r="F1756" i="5" s="1"/>
  <c r="N1752" i="5"/>
  <c r="M1751" i="5"/>
  <c r="L1750" i="5"/>
  <c r="K1749" i="5"/>
  <c r="G1749" i="5" s="1"/>
  <c r="J1748" i="5"/>
  <c r="I1747" i="5"/>
  <c r="H1746" i="5"/>
  <c r="E1744" i="5"/>
  <c r="F1744" i="5" s="1"/>
  <c r="N1740" i="5"/>
  <c r="M1739" i="5"/>
  <c r="L1738" i="5"/>
  <c r="K1737" i="5"/>
  <c r="G1737" i="5" s="1"/>
  <c r="J1736" i="5"/>
  <c r="I1735" i="5"/>
  <c r="H1734" i="5"/>
  <c r="E1732" i="5"/>
  <c r="F1732" i="5" s="1"/>
  <c r="N1728" i="5"/>
  <c r="M1727" i="5"/>
  <c r="J1726" i="5"/>
  <c r="J1723" i="5"/>
  <c r="L1721" i="5"/>
  <c r="J1718" i="5"/>
  <c r="I1710" i="5"/>
  <c r="N1676" i="5"/>
  <c r="J1673" i="5"/>
  <c r="N1651" i="5"/>
  <c r="I1648" i="5"/>
  <c r="E1645" i="5"/>
  <c r="F1645" i="5" s="1"/>
  <c r="N1641" i="5"/>
  <c r="I1635" i="5"/>
  <c r="E1632" i="5"/>
  <c r="F1632" i="5" s="1"/>
  <c r="M1628" i="5"/>
  <c r="J1598" i="5"/>
  <c r="I1588" i="5"/>
  <c r="N1581" i="5"/>
  <c r="J1578" i="5"/>
  <c r="N1480" i="5"/>
  <c r="B1863" i="5"/>
  <c r="B1851" i="5"/>
  <c r="B1839" i="5"/>
  <c r="B1827" i="5"/>
  <c r="B1815" i="5"/>
  <c r="B1803" i="5"/>
  <c r="B1791" i="5"/>
  <c r="B1779" i="5"/>
  <c r="B1767" i="5"/>
  <c r="B1755" i="5"/>
  <c r="B1743" i="5"/>
  <c r="B1731" i="5"/>
  <c r="N1724" i="5"/>
  <c r="B1717" i="5"/>
  <c r="L1713" i="5"/>
  <c r="N1711" i="5"/>
  <c r="J1708" i="5"/>
  <c r="E1703" i="5"/>
  <c r="F1703" i="5" s="1"/>
  <c r="H1701" i="5"/>
  <c r="L1697" i="5"/>
  <c r="I1690" i="5"/>
  <c r="L1688" i="5"/>
  <c r="M1686" i="5"/>
  <c r="B1685" i="5"/>
  <c r="H1681" i="5"/>
  <c r="J1679" i="5"/>
  <c r="M1676" i="5"/>
  <c r="H1670" i="5"/>
  <c r="N1663" i="5"/>
  <c r="H1661" i="5"/>
  <c r="N1654" i="5"/>
  <c r="M1651" i="5"/>
  <c r="J1638" i="5"/>
  <c r="E1635" i="5"/>
  <c r="F1635" i="5" s="1"/>
  <c r="H1625" i="5"/>
  <c r="M1618" i="5"/>
  <c r="I1615" i="5"/>
  <c r="K1611" i="5"/>
  <c r="G1611" i="5" s="1"/>
  <c r="L1601" i="5"/>
  <c r="M1591" i="5"/>
  <c r="N1584" i="5"/>
  <c r="M1571" i="5"/>
  <c r="J1568" i="5"/>
  <c r="K1525" i="5"/>
  <c r="G1525" i="5" s="1"/>
  <c r="M1450" i="5"/>
  <c r="I1748" i="5"/>
  <c r="H1747" i="5"/>
  <c r="E1745" i="5"/>
  <c r="F1745" i="5" s="1"/>
  <c r="N1741" i="5"/>
  <c r="M1740" i="5"/>
  <c r="L1739" i="5"/>
  <c r="K1738" i="5"/>
  <c r="G1738" i="5" s="1"/>
  <c r="J1737" i="5"/>
  <c r="I1736" i="5"/>
  <c r="H1735" i="5"/>
  <c r="E1733" i="5"/>
  <c r="F1733" i="5" s="1"/>
  <c r="N1729" i="5"/>
  <c r="M1728" i="5"/>
  <c r="L1727" i="5"/>
  <c r="I1726" i="5"/>
  <c r="K1721" i="5"/>
  <c r="G1721" i="5" s="1"/>
  <c r="I1718" i="5"/>
  <c r="E1715" i="5"/>
  <c r="F1715" i="5" s="1"/>
  <c r="M1706" i="5"/>
  <c r="K1699" i="5"/>
  <c r="G1699" i="5" s="1"/>
  <c r="E1694" i="5"/>
  <c r="F1694" i="5" s="1"/>
  <c r="I1673" i="5"/>
  <c r="E1667" i="5"/>
  <c r="F1667" i="5" s="1"/>
  <c r="B1658" i="5"/>
  <c r="L1651" i="5"/>
  <c r="H1648" i="5"/>
  <c r="M1641" i="5"/>
  <c r="K1628" i="5"/>
  <c r="G1628" i="5" s="1"/>
  <c r="B1622" i="5"/>
  <c r="B1605" i="5"/>
  <c r="L1591" i="5"/>
  <c r="H1588" i="5"/>
  <c r="H1578" i="5"/>
  <c r="I1463" i="5"/>
  <c r="K1306" i="5"/>
  <c r="G1306" i="5" s="1"/>
  <c r="B1744" i="5"/>
  <c r="B1732" i="5"/>
  <c r="M1724" i="5"/>
  <c r="M1711" i="5"/>
  <c r="I1708" i="5"/>
  <c r="B1705" i="5"/>
  <c r="K1697" i="5"/>
  <c r="G1697" i="5" s="1"/>
  <c r="N1695" i="5"/>
  <c r="E1692" i="5"/>
  <c r="F1692" i="5" s="1"/>
  <c r="E1690" i="5"/>
  <c r="F1690" i="5" s="1"/>
  <c r="K1688" i="5"/>
  <c r="G1688" i="5" s="1"/>
  <c r="L1686" i="5"/>
  <c r="L1676" i="5"/>
  <c r="M1663" i="5"/>
  <c r="M1654" i="5"/>
  <c r="H1638" i="5"/>
  <c r="M1631" i="5"/>
  <c r="H1621" i="5"/>
  <c r="J1611" i="5"/>
  <c r="E1598" i="5"/>
  <c r="F1598" i="5" s="1"/>
  <c r="N1594" i="5"/>
  <c r="H1584" i="5"/>
  <c r="J1574" i="5"/>
  <c r="H1538" i="5"/>
  <c r="H1748" i="5"/>
  <c r="E1746" i="5"/>
  <c r="F1746" i="5" s="1"/>
  <c r="N1742" i="5"/>
  <c r="M1741" i="5"/>
  <c r="L1740" i="5"/>
  <c r="K1739" i="5"/>
  <c r="G1739" i="5" s="1"/>
  <c r="J1738" i="5"/>
  <c r="I1737" i="5"/>
  <c r="H1736" i="5"/>
  <c r="E1734" i="5"/>
  <c r="F1734" i="5" s="1"/>
  <c r="N1730" i="5"/>
  <c r="M1729" i="5"/>
  <c r="L1728" i="5"/>
  <c r="K1727" i="5"/>
  <c r="G1727" i="5" s="1"/>
  <c r="E1726" i="5"/>
  <c r="F1726" i="5" s="1"/>
  <c r="E1723" i="5"/>
  <c r="F1723" i="5" s="1"/>
  <c r="J1721" i="5"/>
  <c r="H1718" i="5"/>
  <c r="L1716" i="5"/>
  <c r="H1713" i="5"/>
  <c r="B1710" i="5"/>
  <c r="J1706" i="5"/>
  <c r="B1703" i="5"/>
  <c r="J1699" i="5"/>
  <c r="L1684" i="5"/>
  <c r="E1683" i="5"/>
  <c r="F1683" i="5" s="1"/>
  <c r="H1673" i="5"/>
  <c r="L1663" i="5"/>
  <c r="K1660" i="5"/>
  <c r="G1660" i="5" s="1"/>
  <c r="I1657" i="5"/>
  <c r="K1651" i="5"/>
  <c r="G1651" i="5" s="1"/>
  <c r="H1644" i="5"/>
  <c r="J1628" i="5"/>
  <c r="B1618" i="5"/>
  <c r="M1614" i="5"/>
  <c r="I1601" i="5"/>
  <c r="K1591" i="5"/>
  <c r="G1591" i="5" s="1"/>
  <c r="E1588" i="5"/>
  <c r="F1588" i="5" s="1"/>
  <c r="B1578" i="5"/>
  <c r="M1567" i="5"/>
  <c r="B1525" i="5"/>
  <c r="I1429" i="5"/>
  <c r="M1389" i="5"/>
  <c r="B1745" i="5"/>
  <c r="B1733" i="5"/>
  <c r="L1724" i="5"/>
  <c r="B1715" i="5"/>
  <c r="L1711" i="5"/>
  <c r="M1709" i="5"/>
  <c r="H1708" i="5"/>
  <c r="B1701" i="5"/>
  <c r="K1695" i="5"/>
  <c r="G1695" i="5" s="1"/>
  <c r="B1694" i="5"/>
  <c r="B1692" i="5"/>
  <c r="E1679" i="5"/>
  <c r="F1679" i="5" s="1"/>
  <c r="B1641" i="5"/>
  <c r="B1638" i="5"/>
  <c r="J1634" i="5"/>
  <c r="I1611" i="5"/>
  <c r="K1604" i="5"/>
  <c r="G1604" i="5" s="1"/>
  <c r="E1594" i="5"/>
  <c r="F1594" i="5" s="1"/>
  <c r="M1580" i="5"/>
  <c r="J1577" i="5"/>
  <c r="H1574" i="5"/>
  <c r="L1567" i="5"/>
  <c r="H1561" i="5"/>
  <c r="E1747" i="5"/>
  <c r="F1747" i="5" s="1"/>
  <c r="N1743" i="5"/>
  <c r="M1742" i="5"/>
  <c r="L1741" i="5"/>
  <c r="K1740" i="5"/>
  <c r="G1740" i="5" s="1"/>
  <c r="J1739" i="5"/>
  <c r="I1738" i="5"/>
  <c r="H1737" i="5"/>
  <c r="E1735" i="5"/>
  <c r="F1735" i="5" s="1"/>
  <c r="N1731" i="5"/>
  <c r="M1730" i="5"/>
  <c r="L1729" i="5"/>
  <c r="K1728" i="5"/>
  <c r="G1728" i="5" s="1"/>
  <c r="J1727" i="5"/>
  <c r="N1722" i="5"/>
  <c r="I1721" i="5"/>
  <c r="N1719" i="5"/>
  <c r="K1716" i="5"/>
  <c r="G1716" i="5" s="1"/>
  <c r="I1706" i="5"/>
  <c r="N1702" i="5"/>
  <c r="I1697" i="5"/>
  <c r="B1690" i="5"/>
  <c r="J1686" i="5"/>
  <c r="K1684" i="5"/>
  <c r="G1684" i="5" s="1"/>
  <c r="K1663" i="5"/>
  <c r="G1663" i="5" s="1"/>
  <c r="J1660" i="5"/>
  <c r="H1657" i="5"/>
  <c r="B1654" i="5"/>
  <c r="M1637" i="5"/>
  <c r="K1624" i="5"/>
  <c r="G1624" i="5" s="1"/>
  <c r="E1621" i="5"/>
  <c r="F1621" i="5" s="1"/>
  <c r="N1617" i="5"/>
  <c r="L1614" i="5"/>
  <c r="N1607" i="5"/>
  <c r="H1601" i="5"/>
  <c r="B1598" i="5"/>
  <c r="N1590" i="5"/>
  <c r="N1570" i="5"/>
  <c r="B1866" i="5"/>
  <c r="B1854" i="5"/>
  <c r="B1842" i="5"/>
  <c r="B1830" i="5"/>
  <c r="B1818" i="5"/>
  <c r="B1806" i="5"/>
  <c r="B1794" i="5"/>
  <c r="B1782" i="5"/>
  <c r="B1770" i="5"/>
  <c r="B1758" i="5"/>
  <c r="B1746" i="5"/>
  <c r="B1734" i="5"/>
  <c r="B1726" i="5"/>
  <c r="K1724" i="5"/>
  <c r="G1724" i="5" s="1"/>
  <c r="K1711" i="5"/>
  <c r="G1711" i="5" s="1"/>
  <c r="L1709" i="5"/>
  <c r="K1704" i="5"/>
  <c r="G1704" i="5" s="1"/>
  <c r="E1699" i="5"/>
  <c r="F1699" i="5" s="1"/>
  <c r="J1695" i="5"/>
  <c r="L1693" i="5"/>
  <c r="M1682" i="5"/>
  <c r="B1681" i="5"/>
  <c r="I1669" i="5"/>
  <c r="J1663" i="5"/>
  <c r="K1647" i="5"/>
  <c r="G1647" i="5" s="1"/>
  <c r="L1640" i="5"/>
  <c r="H1634" i="5"/>
  <c r="M1627" i="5"/>
  <c r="I1597" i="5"/>
  <c r="K1587" i="5"/>
  <c r="G1587" i="5" s="1"/>
  <c r="L1580" i="5"/>
  <c r="I1577" i="5"/>
  <c r="I1567" i="5"/>
  <c r="B1537" i="5"/>
  <c r="H1506" i="5"/>
  <c r="H1445" i="5"/>
  <c r="E1868" i="5"/>
  <c r="F1868" i="5" s="1"/>
  <c r="N1864" i="5"/>
  <c r="M1863" i="5"/>
  <c r="L1862" i="5"/>
  <c r="K1861" i="5"/>
  <c r="G1861" i="5" s="1"/>
  <c r="J1860" i="5"/>
  <c r="I1859" i="5"/>
  <c r="H1858" i="5"/>
  <c r="E1856" i="5"/>
  <c r="F1856" i="5" s="1"/>
  <c r="N1852" i="5"/>
  <c r="M1851" i="5"/>
  <c r="L1850" i="5"/>
  <c r="K1849" i="5"/>
  <c r="G1849" i="5" s="1"/>
  <c r="J1848" i="5"/>
  <c r="I1847" i="5"/>
  <c r="H1846" i="5"/>
  <c r="E1844" i="5"/>
  <c r="F1844" i="5" s="1"/>
  <c r="N1840" i="5"/>
  <c r="M1839" i="5"/>
  <c r="L1838" i="5"/>
  <c r="K1837" i="5"/>
  <c r="G1837" i="5" s="1"/>
  <c r="J1836" i="5"/>
  <c r="I1835" i="5"/>
  <c r="H1834" i="5"/>
  <c r="E1832" i="5"/>
  <c r="F1832" i="5" s="1"/>
  <c r="N1828" i="5"/>
  <c r="M1827" i="5"/>
  <c r="L1826" i="5"/>
  <c r="K1825" i="5"/>
  <c r="G1825" i="5" s="1"/>
  <c r="J1824" i="5"/>
  <c r="I1823" i="5"/>
  <c r="H1822" i="5"/>
  <c r="E1820" i="5"/>
  <c r="F1820" i="5" s="1"/>
  <c r="N1816" i="5"/>
  <c r="M1815" i="5"/>
  <c r="L1814" i="5"/>
  <c r="K1813" i="5"/>
  <c r="G1813" i="5" s="1"/>
  <c r="J1812" i="5"/>
  <c r="I1811" i="5"/>
  <c r="H1810" i="5"/>
  <c r="E1808" i="5"/>
  <c r="F1808" i="5" s="1"/>
  <c r="N1804" i="5"/>
  <c r="M1803" i="5"/>
  <c r="L1802" i="5"/>
  <c r="K1801" i="5"/>
  <c r="G1801" i="5" s="1"/>
  <c r="J1800" i="5"/>
  <c r="I1799" i="5"/>
  <c r="H1798" i="5"/>
  <c r="E1796" i="5"/>
  <c r="F1796" i="5" s="1"/>
  <c r="N1792" i="5"/>
  <c r="M1791" i="5"/>
  <c r="L1790" i="5"/>
  <c r="K1789" i="5"/>
  <c r="G1789" i="5" s="1"/>
  <c r="J1788" i="5"/>
  <c r="I1787" i="5"/>
  <c r="H1786" i="5"/>
  <c r="E1784" i="5"/>
  <c r="F1784" i="5" s="1"/>
  <c r="N1780" i="5"/>
  <c r="M1779" i="5"/>
  <c r="L1778" i="5"/>
  <c r="K1777" i="5"/>
  <c r="G1777" i="5" s="1"/>
  <c r="J1776" i="5"/>
  <c r="I1775" i="5"/>
  <c r="H1774" i="5"/>
  <c r="E1772" i="5"/>
  <c r="F1772" i="5" s="1"/>
  <c r="N1768" i="5"/>
  <c r="M1767" i="5"/>
  <c r="L1766" i="5"/>
  <c r="K1765" i="5"/>
  <c r="G1765" i="5" s="1"/>
  <c r="J1764" i="5"/>
  <c r="I1763" i="5"/>
  <c r="H1762" i="5"/>
  <c r="E1760" i="5"/>
  <c r="F1760" i="5" s="1"/>
  <c r="N1756" i="5"/>
  <c r="M1755" i="5"/>
  <c r="L1754" i="5"/>
  <c r="K1753" i="5"/>
  <c r="G1753" i="5" s="1"/>
  <c r="J1752" i="5"/>
  <c r="I1751" i="5"/>
  <c r="H1750" i="5"/>
  <c r="E1748" i="5"/>
  <c r="F1748" i="5" s="1"/>
  <c r="N1744" i="5"/>
  <c r="M1743" i="5"/>
  <c r="L1742" i="5"/>
  <c r="K1741" i="5"/>
  <c r="G1741" i="5" s="1"/>
  <c r="J1740" i="5"/>
  <c r="I1739" i="5"/>
  <c r="H1738" i="5"/>
  <c r="E1736" i="5"/>
  <c r="F1736" i="5" s="1"/>
  <c r="N1732" i="5"/>
  <c r="M1731" i="5"/>
  <c r="L1730" i="5"/>
  <c r="K1729" i="5"/>
  <c r="G1729" i="5" s="1"/>
  <c r="J1728" i="5"/>
  <c r="I1727" i="5"/>
  <c r="M1722" i="5"/>
  <c r="H1721" i="5"/>
  <c r="K1719" i="5"/>
  <c r="G1719" i="5" s="1"/>
  <c r="E1718" i="5"/>
  <c r="F1718" i="5" s="1"/>
  <c r="H1716" i="5"/>
  <c r="N1714" i="5"/>
  <c r="B1713" i="5"/>
  <c r="H1706" i="5"/>
  <c r="M1702" i="5"/>
  <c r="N1700" i="5"/>
  <c r="H1697" i="5"/>
  <c r="N1691" i="5"/>
  <c r="I1686" i="5"/>
  <c r="J1684" i="5"/>
  <c r="N1675" i="5"/>
  <c r="L1672" i="5"/>
  <c r="E1666" i="5"/>
  <c r="F1666" i="5" s="1"/>
  <c r="N1653" i="5"/>
  <c r="M1650" i="5"/>
  <c r="E1644" i="5"/>
  <c r="F1644" i="5" s="1"/>
  <c r="I1637" i="5"/>
  <c r="L1627" i="5"/>
  <c r="J1624" i="5"/>
  <c r="K1617" i="5"/>
  <c r="G1617" i="5" s="1"/>
  <c r="H1614" i="5"/>
  <c r="E1611" i="5"/>
  <c r="F1611" i="5" s="1"/>
  <c r="M1607" i="5"/>
  <c r="B1594" i="5"/>
  <c r="M1590" i="5"/>
  <c r="L1570" i="5"/>
  <c r="E1561" i="5"/>
  <c r="F1561" i="5" s="1"/>
  <c r="B1867" i="5"/>
  <c r="B1855" i="5"/>
  <c r="B1843" i="5"/>
  <c r="B1831" i="5"/>
  <c r="B1819" i="5"/>
  <c r="B1807" i="5"/>
  <c r="B1795" i="5"/>
  <c r="B1783" i="5"/>
  <c r="B1771" i="5"/>
  <c r="B1759" i="5"/>
  <c r="B1747" i="5"/>
  <c r="B1735" i="5"/>
  <c r="H1724" i="5"/>
  <c r="J1711" i="5"/>
  <c r="K1709" i="5"/>
  <c r="G1709" i="5" s="1"/>
  <c r="H1704" i="5"/>
  <c r="N1698" i="5"/>
  <c r="I1695" i="5"/>
  <c r="I1693" i="5"/>
  <c r="J1682" i="5"/>
  <c r="N1678" i="5"/>
  <c r="K1675" i="5"/>
  <c r="G1675" i="5" s="1"/>
  <c r="H1669" i="5"/>
  <c r="I1663" i="5"/>
  <c r="E1660" i="5"/>
  <c r="F1660" i="5" s="1"/>
  <c r="K1640" i="5"/>
  <c r="G1640" i="5" s="1"/>
  <c r="N1630" i="5"/>
  <c r="I1624" i="5"/>
  <c r="N1603" i="5"/>
  <c r="K1600" i="5"/>
  <c r="G1600" i="5" s="1"/>
  <c r="H1597" i="5"/>
  <c r="J1590" i="5"/>
  <c r="B1584" i="5"/>
  <c r="K1580" i="5"/>
  <c r="G1580" i="5" s="1"/>
  <c r="N1566" i="5"/>
  <c r="L1549" i="5"/>
  <c r="M1474" i="5"/>
  <c r="I1405" i="5"/>
  <c r="B1644" i="5"/>
  <c r="E1634" i="5"/>
  <c r="F1634" i="5" s="1"/>
  <c r="I1627" i="5"/>
  <c r="E1624" i="5"/>
  <c r="F1624" i="5" s="1"/>
  <c r="N1620" i="5"/>
  <c r="E1607" i="5"/>
  <c r="F1607" i="5" s="1"/>
  <c r="N1593" i="5"/>
  <c r="L1576" i="5"/>
  <c r="I1573" i="5"/>
  <c r="E1570" i="5"/>
  <c r="F1570" i="5" s="1"/>
  <c r="M1519" i="5"/>
  <c r="B1506" i="5"/>
  <c r="L1474" i="5"/>
  <c r="B1868" i="5"/>
  <c r="B1856" i="5"/>
  <c r="B1844" i="5"/>
  <c r="B1832" i="5"/>
  <c r="B1820" i="5"/>
  <c r="B1808" i="5"/>
  <c r="B1796" i="5"/>
  <c r="B1784" i="5"/>
  <c r="B1772" i="5"/>
  <c r="B1760" i="5"/>
  <c r="B1748" i="5"/>
  <c r="B1736" i="5"/>
  <c r="B1718" i="5"/>
  <c r="N1712" i="5"/>
  <c r="J1709" i="5"/>
  <c r="N1707" i="5"/>
  <c r="I1702" i="5"/>
  <c r="L1700" i="5"/>
  <c r="M1698" i="5"/>
  <c r="B1697" i="5"/>
  <c r="H1693" i="5"/>
  <c r="J1691" i="5"/>
  <c r="N1687" i="5"/>
  <c r="H1684" i="5"/>
  <c r="I1682" i="5"/>
  <c r="K1680" i="5"/>
  <c r="G1680" i="5" s="1"/>
  <c r="M1678" i="5"/>
  <c r="J1675" i="5"/>
  <c r="E1669" i="5"/>
  <c r="F1669" i="5" s="1"/>
  <c r="M1665" i="5"/>
  <c r="N1662" i="5"/>
  <c r="N1656" i="5"/>
  <c r="L1653" i="5"/>
  <c r="I1650" i="5"/>
  <c r="E1647" i="5"/>
  <c r="F1647" i="5" s="1"/>
  <c r="J1640" i="5"/>
  <c r="M1630" i="5"/>
  <c r="K1613" i="5"/>
  <c r="G1613" i="5" s="1"/>
  <c r="H1610" i="5"/>
  <c r="M1603" i="5"/>
  <c r="I1590" i="5"/>
  <c r="M1566" i="5"/>
  <c r="M1559" i="5"/>
  <c r="E1488" i="5"/>
  <c r="F1488" i="5" s="1"/>
  <c r="N1443" i="5"/>
  <c r="N1866" i="5"/>
  <c r="M1865" i="5"/>
  <c r="L1864" i="5"/>
  <c r="K1863" i="5"/>
  <c r="G1863" i="5" s="1"/>
  <c r="J1862" i="5"/>
  <c r="I1861" i="5"/>
  <c r="H1860" i="5"/>
  <c r="E1858" i="5"/>
  <c r="F1858" i="5" s="1"/>
  <c r="N1854" i="5"/>
  <c r="M1853" i="5"/>
  <c r="L1852" i="5"/>
  <c r="K1851" i="5"/>
  <c r="G1851" i="5" s="1"/>
  <c r="J1850" i="5"/>
  <c r="I1849" i="5"/>
  <c r="H1848" i="5"/>
  <c r="E1846" i="5"/>
  <c r="F1846" i="5" s="1"/>
  <c r="N1842" i="5"/>
  <c r="M1841" i="5"/>
  <c r="L1840" i="5"/>
  <c r="K1839" i="5"/>
  <c r="G1839" i="5" s="1"/>
  <c r="J1838" i="5"/>
  <c r="I1837" i="5"/>
  <c r="H1836" i="5"/>
  <c r="E1834" i="5"/>
  <c r="F1834" i="5" s="1"/>
  <c r="N1830" i="5"/>
  <c r="M1829" i="5"/>
  <c r="L1828" i="5"/>
  <c r="K1827" i="5"/>
  <c r="G1827" i="5" s="1"/>
  <c r="J1826" i="5"/>
  <c r="I1825" i="5"/>
  <c r="H1824" i="5"/>
  <c r="E1822" i="5"/>
  <c r="F1822" i="5" s="1"/>
  <c r="N1818" i="5"/>
  <c r="M1817" i="5"/>
  <c r="L1816" i="5"/>
  <c r="K1815" i="5"/>
  <c r="G1815" i="5" s="1"/>
  <c r="J1814" i="5"/>
  <c r="I1813" i="5"/>
  <c r="H1812" i="5"/>
  <c r="E1810" i="5"/>
  <c r="F1810" i="5" s="1"/>
  <c r="N1806" i="5"/>
  <c r="M1805" i="5"/>
  <c r="L1804" i="5"/>
  <c r="K1803" i="5"/>
  <c r="G1803" i="5" s="1"/>
  <c r="J1802" i="5"/>
  <c r="I1801" i="5"/>
  <c r="H1800" i="5"/>
  <c r="E1798" i="5"/>
  <c r="F1798" i="5" s="1"/>
  <c r="N1794" i="5"/>
  <c r="M1793" i="5"/>
  <c r="L1792" i="5"/>
  <c r="K1791" i="5"/>
  <c r="G1791" i="5" s="1"/>
  <c r="J1790" i="5"/>
  <c r="I1789" i="5"/>
  <c r="H1788" i="5"/>
  <c r="E1786" i="5"/>
  <c r="F1786" i="5" s="1"/>
  <c r="N1782" i="5"/>
  <c r="M1781" i="5"/>
  <c r="L1780" i="5"/>
  <c r="K1779" i="5"/>
  <c r="G1779" i="5" s="1"/>
  <c r="J1778" i="5"/>
  <c r="I1777" i="5"/>
  <c r="H1776" i="5"/>
  <c r="E1774" i="5"/>
  <c r="F1774" i="5" s="1"/>
  <c r="N1770" i="5"/>
  <c r="M1769" i="5"/>
  <c r="L1768" i="5"/>
  <c r="K1767" i="5"/>
  <c r="G1767" i="5" s="1"/>
  <c r="J1766" i="5"/>
  <c r="I1765" i="5"/>
  <c r="H1764" i="5"/>
  <c r="E1762" i="5"/>
  <c r="F1762" i="5" s="1"/>
  <c r="N1758" i="5"/>
  <c r="M1757" i="5"/>
  <c r="L1756" i="5"/>
  <c r="K1755" i="5"/>
  <c r="G1755" i="5" s="1"/>
  <c r="J1754" i="5"/>
  <c r="I1753" i="5"/>
  <c r="H1752" i="5"/>
  <c r="E1750" i="5"/>
  <c r="F1750" i="5" s="1"/>
  <c r="N1746" i="5"/>
  <c r="M1745" i="5"/>
  <c r="L1744" i="5"/>
  <c r="K1743" i="5"/>
  <c r="G1743" i="5" s="1"/>
  <c r="J1742" i="5"/>
  <c r="I1741" i="5"/>
  <c r="H1740" i="5"/>
  <c r="E1738" i="5"/>
  <c r="F1738" i="5" s="1"/>
  <c r="N1734" i="5"/>
  <c r="M1733" i="5"/>
  <c r="L1732" i="5"/>
  <c r="K1731" i="5"/>
  <c r="G1731" i="5" s="1"/>
  <c r="J1730" i="5"/>
  <c r="I1729" i="5"/>
  <c r="H1728" i="5"/>
  <c r="M1725" i="5"/>
  <c r="K1722" i="5"/>
  <c r="G1722" i="5" s="1"/>
  <c r="B1721" i="5"/>
  <c r="I1719" i="5"/>
  <c r="M1717" i="5"/>
  <c r="E1716" i="5"/>
  <c r="F1716" i="5" s="1"/>
  <c r="E1711" i="5"/>
  <c r="F1711" i="5" s="1"/>
  <c r="E1706" i="5"/>
  <c r="F1706" i="5" s="1"/>
  <c r="L1689" i="5"/>
  <c r="B1686" i="5"/>
  <c r="K1659" i="5"/>
  <c r="G1659" i="5" s="1"/>
  <c r="L1636" i="5"/>
  <c r="I1633" i="5"/>
  <c r="N1626" i="5"/>
  <c r="H1620" i="5"/>
  <c r="B1617" i="5"/>
  <c r="J1613" i="5"/>
  <c r="L1603" i="5"/>
  <c r="L1593" i="5"/>
  <c r="J1586" i="5"/>
  <c r="K1576" i="5"/>
  <c r="G1576" i="5" s="1"/>
  <c r="M1569" i="5"/>
  <c r="H1457" i="5"/>
  <c r="B1361" i="5"/>
  <c r="I1714" i="5"/>
  <c r="M1712" i="5"/>
  <c r="I1709" i="5"/>
  <c r="K1707" i="5"/>
  <c r="G1707" i="5" s="1"/>
  <c r="E1704" i="5"/>
  <c r="F1704" i="5" s="1"/>
  <c r="E1702" i="5"/>
  <c r="F1702" i="5" s="1"/>
  <c r="K1700" i="5"/>
  <c r="G1700" i="5" s="1"/>
  <c r="L1698" i="5"/>
  <c r="M1687" i="5"/>
  <c r="M1685" i="5"/>
  <c r="H1682" i="5"/>
  <c r="H1680" i="5"/>
  <c r="L1678" i="5"/>
  <c r="I1675" i="5"/>
  <c r="L1665" i="5"/>
  <c r="J1662" i="5"/>
  <c r="J1659" i="5"/>
  <c r="E1656" i="5"/>
  <c r="F1656" i="5" s="1"/>
  <c r="K1653" i="5"/>
  <c r="G1653" i="5" s="1"/>
  <c r="H1650" i="5"/>
  <c r="N1643" i="5"/>
  <c r="E1630" i="5"/>
  <c r="F1630" i="5" s="1"/>
  <c r="I1623" i="5"/>
  <c r="N1616" i="5"/>
  <c r="H1590" i="5"/>
  <c r="E1583" i="5"/>
  <c r="F1583" i="5" s="1"/>
  <c r="I1565" i="5"/>
  <c r="I1519" i="5"/>
  <c r="M1487" i="5"/>
  <c r="N1747" i="5"/>
  <c r="M1746" i="5"/>
  <c r="L1745" i="5"/>
  <c r="K1744" i="5"/>
  <c r="G1744" i="5" s="1"/>
  <c r="J1743" i="5"/>
  <c r="I1742" i="5"/>
  <c r="H1741" i="5"/>
  <c r="E1739" i="5"/>
  <c r="F1739" i="5" s="1"/>
  <c r="N1735" i="5"/>
  <c r="M1734" i="5"/>
  <c r="L1733" i="5"/>
  <c r="K1732" i="5"/>
  <c r="G1732" i="5" s="1"/>
  <c r="J1731" i="5"/>
  <c r="I1730" i="5"/>
  <c r="H1729" i="5"/>
  <c r="E1727" i="5"/>
  <c r="F1727" i="5" s="1"/>
  <c r="L1725" i="5"/>
  <c r="J1722" i="5"/>
  <c r="H1719" i="5"/>
  <c r="L1717" i="5"/>
  <c r="N1710" i="5"/>
  <c r="L1696" i="5"/>
  <c r="E1695" i="5"/>
  <c r="F1695" i="5" s="1"/>
  <c r="K1671" i="5"/>
  <c r="G1671" i="5" s="1"/>
  <c r="B1669" i="5"/>
  <c r="I1646" i="5"/>
  <c r="E1643" i="5"/>
  <c r="F1643" i="5" s="1"/>
  <c r="K1636" i="5"/>
  <c r="G1636" i="5" s="1"/>
  <c r="H1633" i="5"/>
  <c r="M1626" i="5"/>
  <c r="H1623" i="5"/>
  <c r="M1616" i="5"/>
  <c r="I1613" i="5"/>
  <c r="B1610" i="5"/>
  <c r="L1606" i="5"/>
  <c r="J1603" i="5"/>
  <c r="E1600" i="5"/>
  <c r="F1600" i="5" s="1"/>
  <c r="N1596" i="5"/>
  <c r="K1593" i="5"/>
  <c r="G1593" i="5" s="1"/>
  <c r="I1586" i="5"/>
  <c r="N1579" i="5"/>
  <c r="B1573" i="5"/>
  <c r="L1569" i="5"/>
  <c r="E1519" i="5"/>
  <c r="F1519" i="5" s="1"/>
  <c r="B1738" i="5"/>
  <c r="L1720" i="5"/>
  <c r="B1716" i="5"/>
  <c r="E1714" i="5"/>
  <c r="F1714" i="5" s="1"/>
  <c r="L1712" i="5"/>
  <c r="H1709" i="5"/>
  <c r="J1707" i="5"/>
  <c r="B1706" i="5"/>
  <c r="B1704" i="5"/>
  <c r="E1691" i="5"/>
  <c r="F1691" i="5" s="1"/>
  <c r="H1689" i="5"/>
  <c r="L1685" i="5"/>
  <c r="K1665" i="5"/>
  <c r="G1665" i="5" s="1"/>
  <c r="I1659" i="5"/>
  <c r="B1650" i="5"/>
  <c r="N1639" i="5"/>
  <c r="B1620" i="5"/>
  <c r="H1576" i="5"/>
  <c r="H1565" i="5"/>
  <c r="E1559" i="5"/>
  <c r="F1559" i="5" s="1"/>
  <c r="I1531" i="5"/>
  <c r="M1486" i="5"/>
  <c r="E1457" i="5"/>
  <c r="F1457" i="5" s="1"/>
  <c r="M1867" i="5"/>
  <c r="L1866" i="5"/>
  <c r="K1865" i="5"/>
  <c r="G1865" i="5" s="1"/>
  <c r="J1864" i="5"/>
  <c r="I1863" i="5"/>
  <c r="H1862" i="5"/>
  <c r="E1860" i="5"/>
  <c r="F1860" i="5" s="1"/>
  <c r="N1856" i="5"/>
  <c r="M1855" i="5"/>
  <c r="L1854" i="5"/>
  <c r="K1853" i="5"/>
  <c r="G1853" i="5" s="1"/>
  <c r="J1852" i="5"/>
  <c r="I1851" i="5"/>
  <c r="H1850" i="5"/>
  <c r="E1848" i="5"/>
  <c r="F1848" i="5" s="1"/>
  <c r="N1844" i="5"/>
  <c r="M1843" i="5"/>
  <c r="L1842" i="5"/>
  <c r="K1841" i="5"/>
  <c r="G1841" i="5" s="1"/>
  <c r="J1840" i="5"/>
  <c r="I1839" i="5"/>
  <c r="H1838" i="5"/>
  <c r="E1836" i="5"/>
  <c r="F1836" i="5" s="1"/>
  <c r="N1832" i="5"/>
  <c r="M1831" i="5"/>
  <c r="L1830" i="5"/>
  <c r="K1829" i="5"/>
  <c r="G1829" i="5" s="1"/>
  <c r="J1828" i="5"/>
  <c r="I1827" i="5"/>
  <c r="H1826" i="5"/>
  <c r="E1824" i="5"/>
  <c r="F1824" i="5" s="1"/>
  <c r="N1820" i="5"/>
  <c r="M1819" i="5"/>
  <c r="L1818" i="5"/>
  <c r="K1817" i="5"/>
  <c r="G1817" i="5" s="1"/>
  <c r="J1816" i="5"/>
  <c r="I1815" i="5"/>
  <c r="H1814" i="5"/>
  <c r="E1812" i="5"/>
  <c r="F1812" i="5" s="1"/>
  <c r="N1808" i="5"/>
  <c r="M1807" i="5"/>
  <c r="L1806" i="5"/>
  <c r="K1805" i="5"/>
  <c r="G1805" i="5" s="1"/>
  <c r="J1804" i="5"/>
  <c r="I1803" i="5"/>
  <c r="H1802" i="5"/>
  <c r="E1800" i="5"/>
  <c r="F1800" i="5" s="1"/>
  <c r="N1796" i="5"/>
  <c r="M1795" i="5"/>
  <c r="L1794" i="5"/>
  <c r="K1793" i="5"/>
  <c r="G1793" i="5" s="1"/>
  <c r="J1792" i="5"/>
  <c r="I1791" i="5"/>
  <c r="H1790" i="5"/>
  <c r="E1788" i="5"/>
  <c r="F1788" i="5" s="1"/>
  <c r="N1784" i="5"/>
  <c r="M1783" i="5"/>
  <c r="L1782" i="5"/>
  <c r="K1781" i="5"/>
  <c r="G1781" i="5" s="1"/>
  <c r="J1780" i="5"/>
  <c r="I1779" i="5"/>
  <c r="H1778" i="5"/>
  <c r="E1776" i="5"/>
  <c r="F1776" i="5" s="1"/>
  <c r="N1772" i="5"/>
  <c r="M1771" i="5"/>
  <c r="L1770" i="5"/>
  <c r="K1769" i="5"/>
  <c r="G1769" i="5" s="1"/>
  <c r="J1768" i="5"/>
  <c r="I1767" i="5"/>
  <c r="H1766" i="5"/>
  <c r="E1764" i="5"/>
  <c r="F1764" i="5" s="1"/>
  <c r="N1760" i="5"/>
  <c r="M1759" i="5"/>
  <c r="L1758" i="5"/>
  <c r="K1757" i="5"/>
  <c r="G1757" i="5" s="1"/>
  <c r="J1756" i="5"/>
  <c r="I1755" i="5"/>
  <c r="H1754" i="5"/>
  <c r="E1752" i="5"/>
  <c r="F1752" i="5" s="1"/>
  <c r="N1748" i="5"/>
  <c r="M1747" i="5"/>
  <c r="L1746" i="5"/>
  <c r="K1745" i="5"/>
  <c r="G1745" i="5" s="1"/>
  <c r="J1744" i="5"/>
  <c r="I1743" i="5"/>
  <c r="H1742" i="5"/>
  <c r="E1740" i="5"/>
  <c r="F1740" i="5" s="1"/>
  <c r="N1736" i="5"/>
  <c r="M1735" i="5"/>
  <c r="L1734" i="5"/>
  <c r="K1733" i="5"/>
  <c r="G1733" i="5" s="1"/>
  <c r="J1732" i="5"/>
  <c r="I1731" i="5"/>
  <c r="H1730" i="5"/>
  <c r="E1728" i="5"/>
  <c r="F1728" i="5" s="1"/>
  <c r="I1725" i="5"/>
  <c r="N1723" i="5"/>
  <c r="I1722" i="5"/>
  <c r="I1717" i="5"/>
  <c r="M1710" i="5"/>
  <c r="B1702" i="5"/>
  <c r="J1698" i="5"/>
  <c r="K1696" i="5"/>
  <c r="G1696" i="5" s="1"/>
  <c r="K1687" i="5"/>
  <c r="G1687" i="5" s="1"/>
  <c r="E1682" i="5"/>
  <c r="F1682" i="5" s="1"/>
  <c r="N1677" i="5"/>
  <c r="M1674" i="5"/>
  <c r="J1671" i="5"/>
  <c r="B1662" i="5"/>
  <c r="H1659" i="5"/>
  <c r="B1656" i="5"/>
  <c r="N1652" i="5"/>
  <c r="L1649" i="5"/>
  <c r="H1646" i="5"/>
  <c r="J1636" i="5"/>
  <c r="L1616" i="5"/>
  <c r="E1606" i="5"/>
  <c r="F1606" i="5" s="1"/>
  <c r="I1603" i="5"/>
  <c r="E1596" i="5"/>
  <c r="F1596" i="5" s="1"/>
  <c r="L1589" i="5"/>
  <c r="H1586" i="5"/>
  <c r="M1582" i="5"/>
  <c r="J1579" i="5"/>
  <c r="K1544" i="5"/>
  <c r="G1544" i="5" s="1"/>
  <c r="E1500" i="5"/>
  <c r="F1500" i="5" s="1"/>
  <c r="B1859" i="5"/>
  <c r="B1847" i="5"/>
  <c r="B1835" i="5"/>
  <c r="B1823" i="5"/>
  <c r="P1823" i="5" s="1"/>
  <c r="B1811" i="5"/>
  <c r="B1799" i="5"/>
  <c r="B1787" i="5"/>
  <c r="P1787" i="5" s="1"/>
  <c r="B1775" i="5"/>
  <c r="P1775" i="5" s="1"/>
  <c r="B1763" i="5"/>
  <c r="B1751" i="5"/>
  <c r="B1739" i="5"/>
  <c r="B1727" i="5"/>
  <c r="K1720" i="5"/>
  <c r="G1720" i="5" s="1"/>
  <c r="K1712" i="5"/>
  <c r="G1712" i="5" s="1"/>
  <c r="I1707" i="5"/>
  <c r="L1705" i="5"/>
  <c r="M1694" i="5"/>
  <c r="B1693" i="5"/>
  <c r="K1685" i="5"/>
  <c r="G1685" i="5" s="1"/>
  <c r="N1683" i="5"/>
  <c r="E1680" i="5"/>
  <c r="F1680" i="5" s="1"/>
  <c r="M1661" i="5"/>
  <c r="M1652" i="5"/>
  <c r="M1642" i="5"/>
  <c r="J1639" i="5"/>
  <c r="H1636" i="5"/>
  <c r="B1633" i="5"/>
  <c r="L1629" i="5"/>
  <c r="J1626" i="5"/>
  <c r="I1609" i="5"/>
  <c r="J1599" i="5"/>
  <c r="N1592" i="5"/>
  <c r="N1572" i="5"/>
  <c r="B1569" i="5"/>
  <c r="E1469" i="5"/>
  <c r="F1469" i="5" s="1"/>
  <c r="E1334" i="5"/>
  <c r="F1334" i="5" s="1"/>
  <c r="L1867" i="5"/>
  <c r="K1866" i="5"/>
  <c r="G1866" i="5" s="1"/>
  <c r="J1865" i="5"/>
  <c r="I1864" i="5"/>
  <c r="H1863" i="5"/>
  <c r="E1861" i="5"/>
  <c r="F1861" i="5" s="1"/>
  <c r="N1857" i="5"/>
  <c r="M1856" i="5"/>
  <c r="L1855" i="5"/>
  <c r="K1854" i="5"/>
  <c r="G1854" i="5" s="1"/>
  <c r="J1853" i="5"/>
  <c r="I1852" i="5"/>
  <c r="H1851" i="5"/>
  <c r="E1849" i="5"/>
  <c r="F1849" i="5" s="1"/>
  <c r="N1845" i="5"/>
  <c r="M1844" i="5"/>
  <c r="L1843" i="5"/>
  <c r="K1842" i="5"/>
  <c r="G1842" i="5" s="1"/>
  <c r="J1841" i="5"/>
  <c r="I1840" i="5"/>
  <c r="H1839" i="5"/>
  <c r="E1837" i="5"/>
  <c r="F1837" i="5" s="1"/>
  <c r="N1833" i="5"/>
  <c r="M1832" i="5"/>
  <c r="L1831" i="5"/>
  <c r="K1830" i="5"/>
  <c r="G1830" i="5" s="1"/>
  <c r="J1829" i="5"/>
  <c r="I1828" i="5"/>
  <c r="H1827" i="5"/>
  <c r="E1825" i="5"/>
  <c r="F1825" i="5" s="1"/>
  <c r="N1821" i="5"/>
  <c r="M1820" i="5"/>
  <c r="L1819" i="5"/>
  <c r="K1818" i="5"/>
  <c r="G1818" i="5" s="1"/>
  <c r="J1817" i="5"/>
  <c r="I1816" i="5"/>
  <c r="H1815" i="5"/>
  <c r="E1813" i="5"/>
  <c r="F1813" i="5" s="1"/>
  <c r="N1809" i="5"/>
  <c r="M1808" i="5"/>
  <c r="L1807" i="5"/>
  <c r="K1806" i="5"/>
  <c r="G1806" i="5" s="1"/>
  <c r="J1805" i="5"/>
  <c r="I1804" i="5"/>
  <c r="H1803" i="5"/>
  <c r="E1801" i="5"/>
  <c r="F1801" i="5" s="1"/>
  <c r="N1797" i="5"/>
  <c r="M1796" i="5"/>
  <c r="L1795" i="5"/>
  <c r="K1794" i="5"/>
  <c r="G1794" i="5" s="1"/>
  <c r="J1793" i="5"/>
  <c r="I1792" i="5"/>
  <c r="H1791" i="5"/>
  <c r="E1789" i="5"/>
  <c r="F1789" i="5" s="1"/>
  <c r="N1785" i="5"/>
  <c r="M1784" i="5"/>
  <c r="L1783" i="5"/>
  <c r="K1782" i="5"/>
  <c r="G1782" i="5" s="1"/>
  <c r="J1781" i="5"/>
  <c r="I1780" i="5"/>
  <c r="H1779" i="5"/>
  <c r="E1777" i="5"/>
  <c r="F1777" i="5" s="1"/>
  <c r="N1773" i="5"/>
  <c r="M1772" i="5"/>
  <c r="L1771" i="5"/>
  <c r="K1770" i="5"/>
  <c r="G1770" i="5" s="1"/>
  <c r="J1769" i="5"/>
  <c r="I1768" i="5"/>
  <c r="H1767" i="5"/>
  <c r="E1765" i="5"/>
  <c r="F1765" i="5" s="1"/>
  <c r="N1761" i="5"/>
  <c r="M1760" i="5"/>
  <c r="L1759" i="5"/>
  <c r="K1758" i="5"/>
  <c r="G1758" i="5" s="1"/>
  <c r="J1757" i="5"/>
  <c r="I1756" i="5"/>
  <c r="H1755" i="5"/>
  <c r="E1753" i="5"/>
  <c r="F1753" i="5" s="1"/>
  <c r="N1749" i="5"/>
  <c r="M1748" i="5"/>
  <c r="L1747" i="5"/>
  <c r="K1746" i="5"/>
  <c r="G1746" i="5" s="1"/>
  <c r="J1745" i="5"/>
  <c r="I1744" i="5"/>
  <c r="H1743" i="5"/>
  <c r="E1741" i="5"/>
  <c r="F1741" i="5" s="1"/>
  <c r="N1737" i="5"/>
  <c r="M1736" i="5"/>
  <c r="L1735" i="5"/>
  <c r="K1734" i="5"/>
  <c r="G1734" i="5" s="1"/>
  <c r="J1733" i="5"/>
  <c r="I1732" i="5"/>
  <c r="H1731" i="5"/>
  <c r="E1729" i="5"/>
  <c r="F1729" i="5" s="1"/>
  <c r="H1725" i="5"/>
  <c r="M1723" i="5"/>
  <c r="E1722" i="5"/>
  <c r="F1722" i="5" s="1"/>
  <c r="E1719" i="5"/>
  <c r="F1719" i="5" s="1"/>
  <c r="H1717" i="5"/>
  <c r="N1715" i="5"/>
  <c r="B1714" i="5"/>
  <c r="P1714" i="5" s="1"/>
  <c r="L1710" i="5"/>
  <c r="B1709" i="5"/>
  <c r="N1703" i="5"/>
  <c r="I1698" i="5"/>
  <c r="J1696" i="5"/>
  <c r="B1691" i="5"/>
  <c r="J1687" i="5"/>
  <c r="K1677" i="5"/>
  <c r="G1677" i="5" s="1"/>
  <c r="L1674" i="5"/>
  <c r="I1671" i="5"/>
  <c r="E1668" i="5"/>
  <c r="F1668" i="5" s="1"/>
  <c r="B1665" i="5"/>
  <c r="K1649" i="5"/>
  <c r="G1649" i="5" s="1"/>
  <c r="E1623" i="5"/>
  <c r="F1623" i="5" s="1"/>
  <c r="N1605" i="5"/>
  <c r="K1602" i="5"/>
  <c r="G1602" i="5" s="1"/>
  <c r="M1592" i="5"/>
  <c r="K1589" i="5"/>
  <c r="G1589" i="5" s="1"/>
  <c r="L1582" i="5"/>
  <c r="N1499" i="5"/>
  <c r="M1437" i="5"/>
  <c r="K1532" i="5"/>
  <c r="G1532" i="5" s="1"/>
  <c r="H1494" i="5"/>
  <c r="I1482" i="5"/>
  <c r="E1430" i="5"/>
  <c r="F1430" i="5" s="1"/>
  <c r="I1378" i="5"/>
  <c r="M1349" i="5"/>
  <c r="J1322" i="5"/>
  <c r="E1705" i="5"/>
  <c r="F1705" i="5" s="1"/>
  <c r="N1701" i="5"/>
  <c r="M1700" i="5"/>
  <c r="L1699" i="5"/>
  <c r="K1698" i="5"/>
  <c r="G1698" i="5" s="1"/>
  <c r="J1697" i="5"/>
  <c r="I1696" i="5"/>
  <c r="H1695" i="5"/>
  <c r="E1693" i="5"/>
  <c r="F1693" i="5" s="1"/>
  <c r="N1689" i="5"/>
  <c r="M1688" i="5"/>
  <c r="L1687" i="5"/>
  <c r="K1686" i="5"/>
  <c r="G1686" i="5" s="1"/>
  <c r="J1685" i="5"/>
  <c r="I1684" i="5"/>
  <c r="H1683" i="5"/>
  <c r="E1681" i="5"/>
  <c r="F1681" i="5" s="1"/>
  <c r="N1674" i="5"/>
  <c r="J1661" i="5"/>
  <c r="N1655" i="5"/>
  <c r="M1653" i="5"/>
  <c r="M1649" i="5"/>
  <c r="E1646" i="5"/>
  <c r="F1646" i="5" s="1"/>
  <c r="I1638" i="5"/>
  <c r="I1636" i="5"/>
  <c r="I1634" i="5"/>
  <c r="H1632" i="5"/>
  <c r="L1628" i="5"/>
  <c r="L1626" i="5"/>
  <c r="L1624" i="5"/>
  <c r="B1621" i="5"/>
  <c r="H1613" i="5"/>
  <c r="H1611" i="5"/>
  <c r="K1605" i="5"/>
  <c r="G1605" i="5" s="1"/>
  <c r="K1603" i="5"/>
  <c r="G1603" i="5" s="1"/>
  <c r="K1601" i="5"/>
  <c r="G1601" i="5" s="1"/>
  <c r="K1599" i="5"/>
  <c r="G1599" i="5" s="1"/>
  <c r="N1591" i="5"/>
  <c r="B1590" i="5"/>
  <c r="E1584" i="5"/>
  <c r="F1584" i="5" s="1"/>
  <c r="J1580" i="5"/>
  <c r="J1576" i="5"/>
  <c r="M1570" i="5"/>
  <c r="E1563" i="5"/>
  <c r="F1563" i="5" s="1"/>
  <c r="K1548" i="5"/>
  <c r="G1548" i="5" s="1"/>
  <c r="N1536" i="5"/>
  <c r="M1524" i="5"/>
  <c r="N1492" i="5"/>
  <c r="J1480" i="5"/>
  <c r="K1462" i="5"/>
  <c r="G1462" i="5" s="1"/>
  <c r="N1456" i="5"/>
  <c r="I1436" i="5"/>
  <c r="H1415" i="5"/>
  <c r="K1345" i="5"/>
  <c r="G1345" i="5" s="1"/>
  <c r="E1648" i="5"/>
  <c r="F1648" i="5" s="1"/>
  <c r="B1642" i="5"/>
  <c r="L1630" i="5"/>
  <c r="K1626" i="5"/>
  <c r="G1626" i="5" s="1"/>
  <c r="N1614" i="5"/>
  <c r="J1601" i="5"/>
  <c r="N1595" i="5"/>
  <c r="M1593" i="5"/>
  <c r="M1589" i="5"/>
  <c r="E1586" i="5"/>
  <c r="F1586" i="5" s="1"/>
  <c r="I1578" i="5"/>
  <c r="I1576" i="5"/>
  <c r="I1574" i="5"/>
  <c r="H1572" i="5"/>
  <c r="L1568" i="5"/>
  <c r="L1566" i="5"/>
  <c r="L1564" i="5"/>
  <c r="B1561" i="5"/>
  <c r="M1511" i="5"/>
  <c r="K1498" i="5"/>
  <c r="G1498" i="5" s="1"/>
  <c r="K1486" i="5"/>
  <c r="G1486" i="5" s="1"/>
  <c r="I1401" i="5"/>
  <c r="J1345" i="5"/>
  <c r="K1566" i="5"/>
  <c r="G1566" i="5" s="1"/>
  <c r="B1543" i="5"/>
  <c r="L1530" i="5"/>
  <c r="M1523" i="5"/>
  <c r="L1511" i="5"/>
  <c r="I1498" i="5"/>
  <c r="K1461" i="5"/>
  <c r="G1461" i="5" s="1"/>
  <c r="K1449" i="5"/>
  <c r="G1449" i="5" s="1"/>
  <c r="I1443" i="5"/>
  <c r="K1426" i="5"/>
  <c r="G1426" i="5" s="1"/>
  <c r="M1372" i="5"/>
  <c r="I1345" i="5"/>
  <c r="E1330" i="5"/>
  <c r="F1330" i="5" s="1"/>
  <c r="K1564" i="5"/>
  <c r="G1564" i="5" s="1"/>
  <c r="N1558" i="5"/>
  <c r="E1548" i="5"/>
  <c r="F1548" i="5" s="1"/>
  <c r="H1542" i="5"/>
  <c r="E1492" i="5"/>
  <c r="F1492" i="5" s="1"/>
  <c r="I1486" i="5"/>
  <c r="I1455" i="5"/>
  <c r="J1449" i="5"/>
  <c r="H1426" i="5"/>
  <c r="L1316" i="5"/>
  <c r="J1262" i="5"/>
  <c r="J1566" i="5"/>
  <c r="J1562" i="5"/>
  <c r="N1560" i="5"/>
  <c r="B1443" i="5"/>
  <c r="J1564" i="5"/>
  <c r="M1558" i="5"/>
  <c r="M1547" i="5"/>
  <c r="I1535" i="5"/>
  <c r="H1529" i="5"/>
  <c r="H1517" i="5"/>
  <c r="B1479" i="5"/>
  <c r="B1467" i="5"/>
  <c r="H1411" i="5"/>
  <c r="H1372" i="5"/>
  <c r="H1328" i="5"/>
  <c r="L1726" i="5"/>
  <c r="K1725" i="5"/>
  <c r="G1725" i="5" s="1"/>
  <c r="J1724" i="5"/>
  <c r="I1723" i="5"/>
  <c r="H1722" i="5"/>
  <c r="E1720" i="5"/>
  <c r="F1720" i="5" s="1"/>
  <c r="N1716" i="5"/>
  <c r="M1715" i="5"/>
  <c r="L1714" i="5"/>
  <c r="K1713" i="5"/>
  <c r="G1713" i="5" s="1"/>
  <c r="J1712" i="5"/>
  <c r="I1711" i="5"/>
  <c r="H1710" i="5"/>
  <c r="E1708" i="5"/>
  <c r="F1708" i="5" s="1"/>
  <c r="N1704" i="5"/>
  <c r="M1703" i="5"/>
  <c r="L1702" i="5"/>
  <c r="K1701" i="5"/>
  <c r="G1701" i="5" s="1"/>
  <c r="J1700" i="5"/>
  <c r="I1699" i="5"/>
  <c r="H1698" i="5"/>
  <c r="E1696" i="5"/>
  <c r="F1696" i="5" s="1"/>
  <c r="N1692" i="5"/>
  <c r="M1691" i="5"/>
  <c r="L1690" i="5"/>
  <c r="K1689" i="5"/>
  <c r="G1689" i="5" s="1"/>
  <c r="J1688" i="5"/>
  <c r="I1687" i="5"/>
  <c r="H1686" i="5"/>
  <c r="E1684" i="5"/>
  <c r="F1684" i="5" s="1"/>
  <c r="N1680" i="5"/>
  <c r="M1679" i="5"/>
  <c r="K1676" i="5"/>
  <c r="G1676" i="5" s="1"/>
  <c r="K1672" i="5"/>
  <c r="G1672" i="5" s="1"/>
  <c r="N1666" i="5"/>
  <c r="N1664" i="5"/>
  <c r="E1657" i="5"/>
  <c r="F1657" i="5" s="1"/>
  <c r="E1655" i="5"/>
  <c r="F1655" i="5" s="1"/>
  <c r="J1651" i="5"/>
  <c r="J1647" i="5"/>
  <c r="I1645" i="5"/>
  <c r="M1639" i="5"/>
  <c r="E1636" i="5"/>
  <c r="F1636" i="5" s="1"/>
  <c r="B1630" i="5"/>
  <c r="P1630" i="5" s="1"/>
  <c r="L1618" i="5"/>
  <c r="K1614" i="5"/>
  <c r="G1614" i="5" s="1"/>
  <c r="N1602" i="5"/>
  <c r="J1589" i="5"/>
  <c r="N1583" i="5"/>
  <c r="M1581" i="5"/>
  <c r="M1577" i="5"/>
  <c r="E1574" i="5"/>
  <c r="F1574" i="5" s="1"/>
  <c r="I1566" i="5"/>
  <c r="I1564" i="5"/>
  <c r="I1562" i="5"/>
  <c r="H1560" i="5"/>
  <c r="E1541" i="5"/>
  <c r="F1541" i="5" s="1"/>
  <c r="I1523" i="5"/>
  <c r="K1497" i="5"/>
  <c r="G1497" i="5" s="1"/>
  <c r="J1355" i="5"/>
  <c r="L1180" i="5"/>
  <c r="B1719" i="5"/>
  <c r="B1707" i="5"/>
  <c r="B1695" i="5"/>
  <c r="B1683" i="5"/>
  <c r="E1678" i="5"/>
  <c r="F1678" i="5" s="1"/>
  <c r="J1674" i="5"/>
  <c r="J1670" i="5"/>
  <c r="N1668" i="5"/>
  <c r="M1664" i="5"/>
  <c r="M1662" i="5"/>
  <c r="I1649" i="5"/>
  <c r="M1643" i="5"/>
  <c r="L1641" i="5"/>
  <c r="L1639" i="5"/>
  <c r="L1637" i="5"/>
  <c r="B1632" i="5"/>
  <c r="H1626" i="5"/>
  <c r="H1624" i="5"/>
  <c r="H1622" i="5"/>
  <c r="K1616" i="5"/>
  <c r="G1616" i="5" s="1"/>
  <c r="K1612" i="5"/>
  <c r="G1612" i="5" s="1"/>
  <c r="N1606" i="5"/>
  <c r="N1604" i="5"/>
  <c r="E1597" i="5"/>
  <c r="F1597" i="5" s="1"/>
  <c r="E1595" i="5"/>
  <c r="F1595" i="5" s="1"/>
  <c r="J1591" i="5"/>
  <c r="J1587" i="5"/>
  <c r="I1585" i="5"/>
  <c r="M1579" i="5"/>
  <c r="E1576" i="5"/>
  <c r="F1576" i="5" s="1"/>
  <c r="B1570" i="5"/>
  <c r="L1558" i="5"/>
  <c r="N1503" i="5"/>
  <c r="M1490" i="5"/>
  <c r="M1478" i="5"/>
  <c r="N1472" i="5"/>
  <c r="M1454" i="5"/>
  <c r="B1434" i="5"/>
  <c r="I1355" i="5"/>
  <c r="J1239" i="5"/>
  <c r="N1200" i="5"/>
  <c r="K1726" i="5"/>
  <c r="G1726" i="5" s="1"/>
  <c r="J1725" i="5"/>
  <c r="I1724" i="5"/>
  <c r="H1723" i="5"/>
  <c r="E1721" i="5"/>
  <c r="F1721" i="5" s="1"/>
  <c r="N1717" i="5"/>
  <c r="M1716" i="5"/>
  <c r="L1715" i="5"/>
  <c r="K1714" i="5"/>
  <c r="G1714" i="5" s="1"/>
  <c r="J1713" i="5"/>
  <c r="I1712" i="5"/>
  <c r="H1711" i="5"/>
  <c r="E1709" i="5"/>
  <c r="F1709" i="5" s="1"/>
  <c r="N1705" i="5"/>
  <c r="M1704" i="5"/>
  <c r="L1703" i="5"/>
  <c r="K1702" i="5"/>
  <c r="G1702" i="5" s="1"/>
  <c r="J1701" i="5"/>
  <c r="I1700" i="5"/>
  <c r="H1699" i="5"/>
  <c r="E1697" i="5"/>
  <c r="F1697" i="5" s="1"/>
  <c r="N1693" i="5"/>
  <c r="M1692" i="5"/>
  <c r="L1691" i="5"/>
  <c r="K1690" i="5"/>
  <c r="G1690" i="5" s="1"/>
  <c r="J1689" i="5"/>
  <c r="I1688" i="5"/>
  <c r="H1687" i="5"/>
  <c r="E1685" i="5"/>
  <c r="F1685" i="5" s="1"/>
  <c r="N1681" i="5"/>
  <c r="M1680" i="5"/>
  <c r="L1679" i="5"/>
  <c r="J1676" i="5"/>
  <c r="J1672" i="5"/>
  <c r="M1666" i="5"/>
  <c r="E1659" i="5"/>
  <c r="F1659" i="5" s="1"/>
  <c r="B1653" i="5"/>
  <c r="I1651" i="5"/>
  <c r="I1647" i="5"/>
  <c r="H1645" i="5"/>
  <c r="B1634" i="5"/>
  <c r="N1629" i="5"/>
  <c r="E1618" i="5"/>
  <c r="F1618" i="5" s="1"/>
  <c r="J1614" i="5"/>
  <c r="J1610" i="5"/>
  <c r="N1608" i="5"/>
  <c r="M1604" i="5"/>
  <c r="M1602" i="5"/>
  <c r="I1589" i="5"/>
  <c r="M1583" i="5"/>
  <c r="L1581" i="5"/>
  <c r="L1579" i="5"/>
  <c r="L1577" i="5"/>
  <c r="B1572" i="5"/>
  <c r="H1566" i="5"/>
  <c r="H1564" i="5"/>
  <c r="H1562" i="5"/>
  <c r="L1546" i="5"/>
  <c r="E1529" i="5"/>
  <c r="F1529" i="5" s="1"/>
  <c r="M1522" i="5"/>
  <c r="K1496" i="5"/>
  <c r="G1496" i="5" s="1"/>
  <c r="L1478" i="5"/>
  <c r="H1466" i="5"/>
  <c r="K1460" i="5"/>
  <c r="G1460" i="5" s="1"/>
  <c r="N1433" i="5"/>
  <c r="E1411" i="5"/>
  <c r="F1411" i="5" s="1"/>
  <c r="H1355" i="5"/>
  <c r="E1328" i="5"/>
  <c r="F1328" i="5" s="1"/>
  <c r="E1297" i="5"/>
  <c r="F1297" i="5" s="1"/>
  <c r="L1277" i="5"/>
  <c r="B1720" i="5"/>
  <c r="B1708" i="5"/>
  <c r="B1696" i="5"/>
  <c r="B1684" i="5"/>
  <c r="I1674" i="5"/>
  <c r="I1672" i="5"/>
  <c r="I1670" i="5"/>
  <c r="H1668" i="5"/>
  <c r="L1664" i="5"/>
  <c r="L1662" i="5"/>
  <c r="L1660" i="5"/>
  <c r="B1657" i="5"/>
  <c r="H1649" i="5"/>
  <c r="H1647" i="5"/>
  <c r="K1641" i="5"/>
  <c r="G1641" i="5" s="1"/>
  <c r="K1639" i="5"/>
  <c r="G1639" i="5" s="1"/>
  <c r="K1637" i="5"/>
  <c r="G1637" i="5" s="1"/>
  <c r="K1635" i="5"/>
  <c r="G1635" i="5" s="1"/>
  <c r="N1627" i="5"/>
  <c r="B1626" i="5"/>
  <c r="E1620" i="5"/>
  <c r="F1620" i="5" s="1"/>
  <c r="J1616" i="5"/>
  <c r="J1612" i="5"/>
  <c r="M1606" i="5"/>
  <c r="E1599" i="5"/>
  <c r="F1599" i="5" s="1"/>
  <c r="B1593" i="5"/>
  <c r="I1591" i="5"/>
  <c r="I1587" i="5"/>
  <c r="H1585" i="5"/>
  <c r="B1574" i="5"/>
  <c r="N1569" i="5"/>
  <c r="N1515" i="5"/>
  <c r="L1509" i="5"/>
  <c r="H1490" i="5"/>
  <c r="K1484" i="5"/>
  <c r="G1484" i="5" s="1"/>
  <c r="I1472" i="5"/>
  <c r="M1447" i="5"/>
  <c r="B1340" i="5"/>
  <c r="N1312" i="5"/>
  <c r="I1277" i="5"/>
  <c r="J1714" i="5"/>
  <c r="I1713" i="5"/>
  <c r="H1712" i="5"/>
  <c r="E1710" i="5"/>
  <c r="F1710" i="5" s="1"/>
  <c r="N1706" i="5"/>
  <c r="M1705" i="5"/>
  <c r="L1704" i="5"/>
  <c r="K1703" i="5"/>
  <c r="G1703" i="5" s="1"/>
  <c r="J1702" i="5"/>
  <c r="I1701" i="5"/>
  <c r="H1700" i="5"/>
  <c r="E1698" i="5"/>
  <c r="F1698" i="5" s="1"/>
  <c r="N1694" i="5"/>
  <c r="M1693" i="5"/>
  <c r="L1692" i="5"/>
  <c r="K1691" i="5"/>
  <c r="G1691" i="5" s="1"/>
  <c r="J1690" i="5"/>
  <c r="I1689" i="5"/>
  <c r="H1688" i="5"/>
  <c r="E1686" i="5"/>
  <c r="F1686" i="5" s="1"/>
  <c r="N1682" i="5"/>
  <c r="M1681" i="5"/>
  <c r="L1680" i="5"/>
  <c r="K1679" i="5"/>
  <c r="G1679" i="5" s="1"/>
  <c r="B1678" i="5"/>
  <c r="L1666" i="5"/>
  <c r="K1662" i="5"/>
  <c r="G1662" i="5" s="1"/>
  <c r="N1650" i="5"/>
  <c r="J1637" i="5"/>
  <c r="N1631" i="5"/>
  <c r="M1629" i="5"/>
  <c r="M1625" i="5"/>
  <c r="E1622" i="5"/>
  <c r="F1622" i="5" s="1"/>
  <c r="I1614" i="5"/>
  <c r="I1612" i="5"/>
  <c r="I1610" i="5"/>
  <c r="H1608" i="5"/>
  <c r="L1604" i="5"/>
  <c r="L1602" i="5"/>
  <c r="L1600" i="5"/>
  <c r="B1597" i="5"/>
  <c r="H1589" i="5"/>
  <c r="H1587" i="5"/>
  <c r="K1581" i="5"/>
  <c r="G1581" i="5" s="1"/>
  <c r="K1579" i="5"/>
  <c r="G1579" i="5" s="1"/>
  <c r="K1577" i="5"/>
  <c r="G1577" i="5" s="1"/>
  <c r="K1575" i="5"/>
  <c r="G1575" i="5" s="1"/>
  <c r="N1567" i="5"/>
  <c r="B1566" i="5"/>
  <c r="E1560" i="5"/>
  <c r="F1560" i="5" s="1"/>
  <c r="K1534" i="5"/>
  <c r="G1534" i="5" s="1"/>
  <c r="N1528" i="5"/>
  <c r="H1502" i="5"/>
  <c r="I1496" i="5"/>
  <c r="J1484" i="5"/>
  <c r="K1453" i="5"/>
  <c r="G1453" i="5" s="1"/>
  <c r="K1441" i="5"/>
  <c r="G1441" i="5" s="1"/>
  <c r="N1422" i="5"/>
  <c r="L1312" i="5"/>
  <c r="B1200" i="5"/>
  <c r="J1086" i="5"/>
  <c r="M1565" i="5"/>
  <c r="E1562" i="5"/>
  <c r="F1562" i="5" s="1"/>
  <c r="L1557" i="5"/>
  <c r="J1546" i="5"/>
  <c r="I1459" i="5"/>
  <c r="L1432" i="5"/>
  <c r="N1395" i="5"/>
  <c r="K1382" i="5"/>
  <c r="G1382" i="5" s="1"/>
  <c r="K1339" i="5"/>
  <c r="G1339" i="5" s="1"/>
  <c r="E1564" i="5"/>
  <c r="F1564" i="5" s="1"/>
  <c r="K1533" i="5"/>
  <c r="G1533" i="5" s="1"/>
  <c r="K1521" i="5"/>
  <c r="G1521" i="5" s="1"/>
  <c r="I1515" i="5"/>
  <c r="B1502" i="5"/>
  <c r="B1490" i="5"/>
  <c r="B1465" i="5"/>
  <c r="I1447" i="5"/>
  <c r="L1395" i="5"/>
  <c r="B1217" i="5"/>
  <c r="B1131" i="5"/>
  <c r="L1565" i="5"/>
  <c r="B1560" i="5"/>
  <c r="K1557" i="5"/>
  <c r="G1557" i="5" s="1"/>
  <c r="I1527" i="5"/>
  <c r="J1521" i="5"/>
  <c r="I1508" i="5"/>
  <c r="E1471" i="5"/>
  <c r="F1471" i="5" s="1"/>
  <c r="B1453" i="5"/>
  <c r="E1447" i="5"/>
  <c r="F1447" i="5" s="1"/>
  <c r="H1351" i="5"/>
  <c r="H1726" i="5"/>
  <c r="E1724" i="5"/>
  <c r="F1724" i="5" s="1"/>
  <c r="N1720" i="5"/>
  <c r="M1719" i="5"/>
  <c r="L1718" i="5"/>
  <c r="K1717" i="5"/>
  <c r="G1717" i="5" s="1"/>
  <c r="J1716" i="5"/>
  <c r="I1715" i="5"/>
  <c r="H1714" i="5"/>
  <c r="E1712" i="5"/>
  <c r="F1712" i="5" s="1"/>
  <c r="N1708" i="5"/>
  <c r="M1707" i="5"/>
  <c r="L1706" i="5"/>
  <c r="K1705" i="5"/>
  <c r="G1705" i="5" s="1"/>
  <c r="J1704" i="5"/>
  <c r="I1703" i="5"/>
  <c r="H1702" i="5"/>
  <c r="E1700" i="5"/>
  <c r="F1700" i="5" s="1"/>
  <c r="N1696" i="5"/>
  <c r="M1695" i="5"/>
  <c r="L1694" i="5"/>
  <c r="K1693" i="5"/>
  <c r="G1693" i="5" s="1"/>
  <c r="J1692" i="5"/>
  <c r="I1691" i="5"/>
  <c r="H1690" i="5"/>
  <c r="E1688" i="5"/>
  <c r="F1688" i="5" s="1"/>
  <c r="N1684" i="5"/>
  <c r="M1683" i="5"/>
  <c r="L1682" i="5"/>
  <c r="K1681" i="5"/>
  <c r="G1681" i="5" s="1"/>
  <c r="J1680" i="5"/>
  <c r="I1679" i="5"/>
  <c r="M1677" i="5"/>
  <c r="M1673" i="5"/>
  <c r="E1670" i="5"/>
  <c r="F1670" i="5" s="1"/>
  <c r="I1662" i="5"/>
  <c r="I1660" i="5"/>
  <c r="I1658" i="5"/>
  <c r="H1656" i="5"/>
  <c r="L1652" i="5"/>
  <c r="L1650" i="5"/>
  <c r="L1648" i="5"/>
  <c r="B1645" i="5"/>
  <c r="H1637" i="5"/>
  <c r="H1635" i="5"/>
  <c r="K1629" i="5"/>
  <c r="G1629" i="5" s="1"/>
  <c r="K1627" i="5"/>
  <c r="G1627" i="5" s="1"/>
  <c r="K1625" i="5"/>
  <c r="G1625" i="5" s="1"/>
  <c r="K1623" i="5"/>
  <c r="G1623" i="5" s="1"/>
  <c r="N1615" i="5"/>
  <c r="B1614" i="5"/>
  <c r="E1608" i="5"/>
  <c r="F1608" i="5" s="1"/>
  <c r="J1604" i="5"/>
  <c r="J1600" i="5"/>
  <c r="M1594" i="5"/>
  <c r="E1587" i="5"/>
  <c r="F1587" i="5" s="1"/>
  <c r="B1581" i="5"/>
  <c r="I1579" i="5"/>
  <c r="I1575" i="5"/>
  <c r="H1573" i="5"/>
  <c r="B1562" i="5"/>
  <c r="I1551" i="5"/>
  <c r="H1545" i="5"/>
  <c r="B1515" i="5"/>
  <c r="N1501" i="5"/>
  <c r="E1483" i="5"/>
  <c r="F1483" i="5" s="1"/>
  <c r="N1464" i="5"/>
  <c r="M1452" i="5"/>
  <c r="N1366" i="5"/>
  <c r="B1324" i="5"/>
  <c r="J1129" i="5"/>
  <c r="B1723" i="5"/>
  <c r="P1723" i="5" s="1"/>
  <c r="B1711" i="5"/>
  <c r="P1711" i="5" s="1"/>
  <c r="B1699" i="5"/>
  <c r="B1687" i="5"/>
  <c r="M1675" i="5"/>
  <c r="E1672" i="5"/>
  <c r="F1672" i="5" s="1"/>
  <c r="B1666" i="5"/>
  <c r="L1654" i="5"/>
  <c r="K1650" i="5"/>
  <c r="G1650" i="5" s="1"/>
  <c r="N1638" i="5"/>
  <c r="J1625" i="5"/>
  <c r="N1619" i="5"/>
  <c r="M1617" i="5"/>
  <c r="M1613" i="5"/>
  <c r="E1610" i="5"/>
  <c r="F1610" i="5" s="1"/>
  <c r="I1602" i="5"/>
  <c r="I1600" i="5"/>
  <c r="I1598" i="5"/>
  <c r="H1596" i="5"/>
  <c r="L1592" i="5"/>
  <c r="L1590" i="5"/>
  <c r="L1588" i="5"/>
  <c r="B1585" i="5"/>
  <c r="H1577" i="5"/>
  <c r="H1575" i="5"/>
  <c r="K1569" i="5"/>
  <c r="G1569" i="5" s="1"/>
  <c r="K1567" i="5"/>
  <c r="G1567" i="5" s="1"/>
  <c r="K1565" i="5"/>
  <c r="G1565" i="5" s="1"/>
  <c r="K1563" i="5"/>
  <c r="G1563" i="5" s="1"/>
  <c r="B1539" i="5"/>
  <c r="M1488" i="5"/>
  <c r="M1476" i="5"/>
  <c r="M1439" i="5"/>
  <c r="L1430" i="5"/>
  <c r="E1351" i="5"/>
  <c r="F1351" i="5" s="1"/>
  <c r="E1725" i="5"/>
  <c r="F1725" i="5" s="1"/>
  <c r="N1721" i="5"/>
  <c r="M1720" i="5"/>
  <c r="L1719" i="5"/>
  <c r="K1718" i="5"/>
  <c r="G1718" i="5" s="1"/>
  <c r="J1717" i="5"/>
  <c r="I1716" i="5"/>
  <c r="H1715" i="5"/>
  <c r="E1713" i="5"/>
  <c r="F1713" i="5" s="1"/>
  <c r="N1709" i="5"/>
  <c r="M1708" i="5"/>
  <c r="L1707" i="5"/>
  <c r="K1706" i="5"/>
  <c r="G1706" i="5" s="1"/>
  <c r="J1705" i="5"/>
  <c r="I1704" i="5"/>
  <c r="H1703" i="5"/>
  <c r="E1701" i="5"/>
  <c r="F1701" i="5" s="1"/>
  <c r="N1697" i="5"/>
  <c r="M1696" i="5"/>
  <c r="L1695" i="5"/>
  <c r="K1694" i="5"/>
  <c r="G1694" i="5" s="1"/>
  <c r="J1693" i="5"/>
  <c r="I1692" i="5"/>
  <c r="H1691" i="5"/>
  <c r="E1689" i="5"/>
  <c r="F1689" i="5" s="1"/>
  <c r="N1685" i="5"/>
  <c r="M1684" i="5"/>
  <c r="L1683" i="5"/>
  <c r="K1682" i="5"/>
  <c r="G1682" i="5" s="1"/>
  <c r="J1681" i="5"/>
  <c r="I1680" i="5"/>
  <c r="H1679" i="5"/>
  <c r="L1677" i="5"/>
  <c r="L1675" i="5"/>
  <c r="L1673" i="5"/>
  <c r="B1668" i="5"/>
  <c r="H1662" i="5"/>
  <c r="H1660" i="5"/>
  <c r="H1658" i="5"/>
  <c r="K1652" i="5"/>
  <c r="G1652" i="5" s="1"/>
  <c r="K1648" i="5"/>
  <c r="G1648" i="5" s="1"/>
  <c r="N1642" i="5"/>
  <c r="N1640" i="5"/>
  <c r="E1633" i="5"/>
  <c r="F1633" i="5" s="1"/>
  <c r="E1631" i="5"/>
  <c r="F1631" i="5" s="1"/>
  <c r="J1627" i="5"/>
  <c r="J1623" i="5"/>
  <c r="I1621" i="5"/>
  <c r="M1615" i="5"/>
  <c r="E1612" i="5"/>
  <c r="F1612" i="5" s="1"/>
  <c r="B1606" i="5"/>
  <c r="L1594" i="5"/>
  <c r="K1590" i="5"/>
  <c r="G1590" i="5" s="1"/>
  <c r="N1578" i="5"/>
  <c r="J1565" i="5"/>
  <c r="N1559" i="5"/>
  <c r="I1557" i="5"/>
  <c r="L1550" i="5"/>
  <c r="L1494" i="5"/>
  <c r="K1488" i="5"/>
  <c r="G1488" i="5" s="1"/>
  <c r="B1483" i="5"/>
  <c r="B1471" i="5"/>
  <c r="L1458" i="5"/>
  <c r="M1451" i="5"/>
  <c r="L1439" i="5"/>
  <c r="K1430" i="5"/>
  <c r="G1430" i="5" s="1"/>
  <c r="N1393" i="5"/>
  <c r="L1322" i="5"/>
  <c r="B1724" i="5"/>
  <c r="P1724" i="5" s="1"/>
  <c r="B1712" i="5"/>
  <c r="B1700" i="5"/>
  <c r="P1700" i="5" s="1"/>
  <c r="B1688" i="5"/>
  <c r="B1670" i="5"/>
  <c r="N1665" i="5"/>
  <c r="E1654" i="5"/>
  <c r="F1654" i="5" s="1"/>
  <c r="J1650" i="5"/>
  <c r="J1646" i="5"/>
  <c r="N1644" i="5"/>
  <c r="M1640" i="5"/>
  <c r="M1638" i="5"/>
  <c r="I1625" i="5"/>
  <c r="M1619" i="5"/>
  <c r="L1617" i="5"/>
  <c r="L1615" i="5"/>
  <c r="L1613" i="5"/>
  <c r="B1608" i="5"/>
  <c r="H1602" i="5"/>
  <c r="H1600" i="5"/>
  <c r="H1598" i="5"/>
  <c r="K1592" i="5"/>
  <c r="G1592" i="5" s="1"/>
  <c r="K1588" i="5"/>
  <c r="G1588" i="5" s="1"/>
  <c r="N1582" i="5"/>
  <c r="N1580" i="5"/>
  <c r="E1573" i="5"/>
  <c r="F1573" i="5" s="1"/>
  <c r="E1571" i="5"/>
  <c r="F1571" i="5" s="1"/>
  <c r="J1567" i="5"/>
  <c r="J1563" i="5"/>
  <c r="I1561" i="5"/>
  <c r="M1526" i="5"/>
  <c r="M1507" i="5"/>
  <c r="L1482" i="5"/>
  <c r="K1476" i="5"/>
  <c r="G1476" i="5" s="1"/>
  <c r="H1470" i="5"/>
  <c r="J1430" i="5"/>
  <c r="M1418" i="5"/>
  <c r="K1405" i="5"/>
  <c r="G1405" i="5" s="1"/>
  <c r="M1335" i="5"/>
  <c r="K1322" i="5"/>
  <c r="G1322" i="5" s="1"/>
  <c r="L1548" i="5"/>
  <c r="M1546" i="5"/>
  <c r="H1543" i="5"/>
  <c r="E1539" i="5"/>
  <c r="F1539" i="5" s="1"/>
  <c r="J1535" i="5"/>
  <c r="J1531" i="5"/>
  <c r="K1529" i="5"/>
  <c r="G1529" i="5" s="1"/>
  <c r="M1527" i="5"/>
  <c r="L1525" i="5"/>
  <c r="E1520" i="5"/>
  <c r="F1520" i="5" s="1"/>
  <c r="B1516" i="5"/>
  <c r="H1510" i="5"/>
  <c r="J1500" i="5"/>
  <c r="B1481" i="5"/>
  <c r="H1473" i="5"/>
  <c r="H1471" i="5"/>
  <c r="E1467" i="5"/>
  <c r="F1467" i="5" s="1"/>
  <c r="J1463" i="5"/>
  <c r="J1459" i="5"/>
  <c r="K1457" i="5"/>
  <c r="G1457" i="5" s="1"/>
  <c r="M1455" i="5"/>
  <c r="L1453" i="5"/>
  <c r="E1448" i="5"/>
  <c r="F1448" i="5" s="1"/>
  <c r="B1444" i="5"/>
  <c r="E1434" i="5"/>
  <c r="F1434" i="5" s="1"/>
  <c r="M1430" i="5"/>
  <c r="E1423" i="5"/>
  <c r="F1423" i="5" s="1"/>
  <c r="J1378" i="5"/>
  <c r="K1368" i="5"/>
  <c r="G1368" i="5" s="1"/>
  <c r="B1357" i="5"/>
  <c r="L1345" i="5"/>
  <c r="L1335" i="5"/>
  <c r="I1318" i="5"/>
  <c r="M1312" i="5"/>
  <c r="B1301" i="5"/>
  <c r="H1288" i="5"/>
  <c r="J1277" i="5"/>
  <c r="E1556" i="5"/>
  <c r="F1556" i="5" s="1"/>
  <c r="E1554" i="5"/>
  <c r="F1554" i="5" s="1"/>
  <c r="E1552" i="5"/>
  <c r="F1552" i="5" s="1"/>
  <c r="H1550" i="5"/>
  <c r="J1533" i="5"/>
  <c r="L1523" i="5"/>
  <c r="L1521" i="5"/>
  <c r="B1518" i="5"/>
  <c r="N1513" i="5"/>
  <c r="N1511" i="5"/>
  <c r="E1504" i="5"/>
  <c r="F1504" i="5" s="1"/>
  <c r="J1496" i="5"/>
  <c r="I1494" i="5"/>
  <c r="J1492" i="5"/>
  <c r="L1490" i="5"/>
  <c r="L1486" i="5"/>
  <c r="N1484" i="5"/>
  <c r="N1476" i="5"/>
  <c r="J1461" i="5"/>
  <c r="L1451" i="5"/>
  <c r="L1449" i="5"/>
  <c r="B1446" i="5"/>
  <c r="N1441" i="5"/>
  <c r="N1439" i="5"/>
  <c r="J1437" i="5"/>
  <c r="I1417" i="5"/>
  <c r="L1405" i="5"/>
  <c r="M1395" i="5"/>
  <c r="E1390" i="5"/>
  <c r="F1390" i="5" s="1"/>
  <c r="B1384" i="5"/>
  <c r="N1372" i="5"/>
  <c r="N1362" i="5"/>
  <c r="M1356" i="5"/>
  <c r="B1240" i="5"/>
  <c r="H1228" i="5"/>
  <c r="M1167" i="5"/>
  <c r="M1068" i="5"/>
  <c r="B1679" i="5"/>
  <c r="B1667" i="5"/>
  <c r="B1655" i="5"/>
  <c r="B1643" i="5"/>
  <c r="B1631" i="5"/>
  <c r="B1619" i="5"/>
  <c r="B1607" i="5"/>
  <c r="B1595" i="5"/>
  <c r="P1595" i="5" s="1"/>
  <c r="B1583" i="5"/>
  <c r="B1571" i="5"/>
  <c r="B1559" i="5"/>
  <c r="J1557" i="5"/>
  <c r="B1554" i="5"/>
  <c r="B1552" i="5"/>
  <c r="B1550" i="5"/>
  <c r="J1548" i="5"/>
  <c r="K1546" i="5"/>
  <c r="G1546" i="5" s="1"/>
  <c r="N1544" i="5"/>
  <c r="B1541" i="5"/>
  <c r="H1533" i="5"/>
  <c r="H1531" i="5"/>
  <c r="E1527" i="5"/>
  <c r="F1527" i="5" s="1"/>
  <c r="J1523" i="5"/>
  <c r="J1519" i="5"/>
  <c r="K1517" i="5"/>
  <c r="G1517" i="5" s="1"/>
  <c r="M1515" i="5"/>
  <c r="L1513" i="5"/>
  <c r="E1508" i="5"/>
  <c r="F1508" i="5" s="1"/>
  <c r="B1504" i="5"/>
  <c r="H1498" i="5"/>
  <c r="J1488" i="5"/>
  <c r="B1469" i="5"/>
  <c r="H1461" i="5"/>
  <c r="H1459" i="5"/>
  <c r="E1455" i="5"/>
  <c r="F1455" i="5" s="1"/>
  <c r="J1451" i="5"/>
  <c r="J1447" i="5"/>
  <c r="K1445" i="5"/>
  <c r="G1445" i="5" s="1"/>
  <c r="M1443" i="5"/>
  <c r="L1441" i="5"/>
  <c r="N1426" i="5"/>
  <c r="J1405" i="5"/>
  <c r="B1400" i="5"/>
  <c r="H1378" i="5"/>
  <c r="L1372" i="5"/>
  <c r="N1333" i="5"/>
  <c r="B1317" i="5"/>
  <c r="H1312" i="5"/>
  <c r="N1306" i="5"/>
  <c r="I1298" i="5"/>
  <c r="E1251" i="5"/>
  <c r="F1251" i="5" s="1"/>
  <c r="K1239" i="5"/>
  <c r="G1239" i="5" s="1"/>
  <c r="E1228" i="5"/>
  <c r="F1228" i="5" s="1"/>
  <c r="L1216" i="5"/>
  <c r="I1555" i="5"/>
  <c r="K1553" i="5"/>
  <c r="G1553" i="5" s="1"/>
  <c r="N1551" i="5"/>
  <c r="N1549" i="5"/>
  <c r="L1542" i="5"/>
  <c r="N1540" i="5"/>
  <c r="M1538" i="5"/>
  <c r="M1536" i="5"/>
  <c r="M1534" i="5"/>
  <c r="E1531" i="5"/>
  <c r="F1531" i="5" s="1"/>
  <c r="B1527" i="5"/>
  <c r="K1509" i="5"/>
  <c r="G1509" i="5" s="1"/>
  <c r="M1499" i="5"/>
  <c r="I1484" i="5"/>
  <c r="H1482" i="5"/>
  <c r="H1478" i="5"/>
  <c r="K1474" i="5"/>
  <c r="G1474" i="5" s="1"/>
  <c r="K1472" i="5"/>
  <c r="G1472" i="5" s="1"/>
  <c r="L1470" i="5"/>
  <c r="N1468" i="5"/>
  <c r="M1466" i="5"/>
  <c r="M1464" i="5"/>
  <c r="M1462" i="5"/>
  <c r="E1459" i="5"/>
  <c r="F1459" i="5" s="1"/>
  <c r="B1455" i="5"/>
  <c r="H1436" i="5"/>
  <c r="K1399" i="5"/>
  <c r="G1399" i="5" s="1"/>
  <c r="J1382" i="5"/>
  <c r="L1376" i="5"/>
  <c r="E1322" i="5"/>
  <c r="F1322" i="5" s="1"/>
  <c r="I1316" i="5"/>
  <c r="H1180" i="5"/>
  <c r="H1557" i="5"/>
  <c r="I1546" i="5"/>
  <c r="J1544" i="5"/>
  <c r="B1529" i="5"/>
  <c r="H1521" i="5"/>
  <c r="H1519" i="5"/>
  <c r="E1515" i="5"/>
  <c r="F1515" i="5" s="1"/>
  <c r="J1511" i="5"/>
  <c r="J1507" i="5"/>
  <c r="K1505" i="5"/>
  <c r="G1505" i="5" s="1"/>
  <c r="M1503" i="5"/>
  <c r="L1501" i="5"/>
  <c r="E1496" i="5"/>
  <c r="F1496" i="5" s="1"/>
  <c r="B1492" i="5"/>
  <c r="H1486" i="5"/>
  <c r="J1476" i="5"/>
  <c r="B1457" i="5"/>
  <c r="H1449" i="5"/>
  <c r="H1447" i="5"/>
  <c r="E1443" i="5"/>
  <c r="F1443" i="5" s="1"/>
  <c r="J1439" i="5"/>
  <c r="N1429" i="5"/>
  <c r="J1426" i="5"/>
  <c r="M1393" i="5"/>
  <c r="E1388" i="5"/>
  <c r="F1388" i="5" s="1"/>
  <c r="K1366" i="5"/>
  <c r="G1366" i="5" s="1"/>
  <c r="N1360" i="5"/>
  <c r="I1349" i="5"/>
  <c r="L1333" i="5"/>
  <c r="N1310" i="5"/>
  <c r="I1249" i="5"/>
  <c r="I879" i="5"/>
  <c r="H1555" i="5"/>
  <c r="H1553" i="5"/>
  <c r="M1551" i="5"/>
  <c r="M1549" i="5"/>
  <c r="N1547" i="5"/>
  <c r="I1542" i="5"/>
  <c r="J1540" i="5"/>
  <c r="L1538" i="5"/>
  <c r="L1534" i="5"/>
  <c r="N1532" i="5"/>
  <c r="N1524" i="5"/>
  <c r="J1509" i="5"/>
  <c r="L1499" i="5"/>
  <c r="L1497" i="5"/>
  <c r="B1494" i="5"/>
  <c r="N1489" i="5"/>
  <c r="N1487" i="5"/>
  <c r="E1480" i="5"/>
  <c r="F1480" i="5" s="1"/>
  <c r="J1472" i="5"/>
  <c r="I1470" i="5"/>
  <c r="J1468" i="5"/>
  <c r="L1466" i="5"/>
  <c r="L1462" i="5"/>
  <c r="N1460" i="5"/>
  <c r="N1452" i="5"/>
  <c r="M1432" i="5"/>
  <c r="I1426" i="5"/>
  <c r="H1399" i="5"/>
  <c r="E1382" i="5"/>
  <c r="F1382" i="5" s="1"/>
  <c r="I1376" i="5"/>
  <c r="M1360" i="5"/>
  <c r="L1343" i="5"/>
  <c r="H1316" i="5"/>
  <c r="B1297" i="5"/>
  <c r="H1272" i="5"/>
  <c r="E1102" i="5"/>
  <c r="F1102" i="5" s="1"/>
  <c r="H1546" i="5"/>
  <c r="I1544" i="5"/>
  <c r="K1536" i="5"/>
  <c r="G1536" i="5" s="1"/>
  <c r="B1531" i="5"/>
  <c r="E1517" i="5"/>
  <c r="F1517" i="5" s="1"/>
  <c r="B1513" i="5"/>
  <c r="I1511" i="5"/>
  <c r="I1507" i="5"/>
  <c r="H1505" i="5"/>
  <c r="I1503" i="5"/>
  <c r="K1501" i="5"/>
  <c r="G1501" i="5" s="1"/>
  <c r="M1495" i="5"/>
  <c r="N1491" i="5"/>
  <c r="B1478" i="5"/>
  <c r="E1476" i="5"/>
  <c r="F1476" i="5" s="1"/>
  <c r="I1474" i="5"/>
  <c r="K1464" i="5"/>
  <c r="G1464" i="5" s="1"/>
  <c r="B1459" i="5"/>
  <c r="E1445" i="5"/>
  <c r="F1445" i="5" s="1"/>
  <c r="B1441" i="5"/>
  <c r="I1439" i="5"/>
  <c r="M1429" i="5"/>
  <c r="B1421" i="5"/>
  <c r="I1415" i="5"/>
  <c r="I1409" i="5"/>
  <c r="L1403" i="5"/>
  <c r="L1393" i="5"/>
  <c r="N1370" i="5"/>
  <c r="E1349" i="5"/>
  <c r="F1349" i="5" s="1"/>
  <c r="B1338" i="5"/>
  <c r="M1310" i="5"/>
  <c r="E1305" i="5"/>
  <c r="F1305" i="5" s="1"/>
  <c r="E1283" i="5"/>
  <c r="F1283" i="5" s="1"/>
  <c r="B1261" i="5"/>
  <c r="B1388" i="5"/>
  <c r="N1381" i="5"/>
  <c r="H1376" i="5"/>
  <c r="K1343" i="5"/>
  <c r="G1343" i="5" s="1"/>
  <c r="H1332" i="5"/>
  <c r="K1320" i="5"/>
  <c r="G1320" i="5" s="1"/>
  <c r="M1101" i="5"/>
  <c r="B1671" i="5"/>
  <c r="B1659" i="5"/>
  <c r="B1647" i="5"/>
  <c r="B1635" i="5"/>
  <c r="B1623" i="5"/>
  <c r="B1611" i="5"/>
  <c r="B1599" i="5"/>
  <c r="B1587" i="5"/>
  <c r="B1575" i="5"/>
  <c r="B1563" i="5"/>
  <c r="H1544" i="5"/>
  <c r="J1536" i="5"/>
  <c r="B1517" i="5"/>
  <c r="H1509" i="5"/>
  <c r="H1507" i="5"/>
  <c r="E1503" i="5"/>
  <c r="F1503" i="5" s="1"/>
  <c r="J1499" i="5"/>
  <c r="J1495" i="5"/>
  <c r="K1493" i="5"/>
  <c r="G1493" i="5" s="1"/>
  <c r="M1491" i="5"/>
  <c r="L1489" i="5"/>
  <c r="E1484" i="5"/>
  <c r="F1484" i="5" s="1"/>
  <c r="B1480" i="5"/>
  <c r="H1474" i="5"/>
  <c r="J1464" i="5"/>
  <c r="B1445" i="5"/>
  <c r="E1409" i="5"/>
  <c r="F1409" i="5" s="1"/>
  <c r="K1403" i="5"/>
  <c r="G1403" i="5" s="1"/>
  <c r="B1398" i="5"/>
  <c r="M1370" i="5"/>
  <c r="E1365" i="5"/>
  <c r="F1365" i="5" s="1"/>
  <c r="N1337" i="5"/>
  <c r="L1310" i="5"/>
  <c r="E1234" i="5"/>
  <c r="F1234" i="5" s="1"/>
  <c r="M1222" i="5"/>
  <c r="K1014" i="5"/>
  <c r="G1014" i="5" s="1"/>
  <c r="K1678" i="5"/>
  <c r="G1678" i="5" s="1"/>
  <c r="J1677" i="5"/>
  <c r="I1676" i="5"/>
  <c r="H1675" i="5"/>
  <c r="E1673" i="5"/>
  <c r="F1673" i="5" s="1"/>
  <c r="N1669" i="5"/>
  <c r="M1668" i="5"/>
  <c r="L1667" i="5"/>
  <c r="K1666" i="5"/>
  <c r="G1666" i="5" s="1"/>
  <c r="J1665" i="5"/>
  <c r="I1664" i="5"/>
  <c r="H1663" i="5"/>
  <c r="E1661" i="5"/>
  <c r="F1661" i="5" s="1"/>
  <c r="N1657" i="5"/>
  <c r="M1656" i="5"/>
  <c r="L1655" i="5"/>
  <c r="K1654" i="5"/>
  <c r="G1654" i="5" s="1"/>
  <c r="J1653" i="5"/>
  <c r="I1652" i="5"/>
  <c r="H1651" i="5"/>
  <c r="E1649" i="5"/>
  <c r="F1649" i="5" s="1"/>
  <c r="N1645" i="5"/>
  <c r="M1644" i="5"/>
  <c r="L1643" i="5"/>
  <c r="K1642" i="5"/>
  <c r="G1642" i="5" s="1"/>
  <c r="J1641" i="5"/>
  <c r="I1640" i="5"/>
  <c r="H1639" i="5"/>
  <c r="E1637" i="5"/>
  <c r="F1637" i="5" s="1"/>
  <c r="N1633" i="5"/>
  <c r="M1632" i="5"/>
  <c r="L1631" i="5"/>
  <c r="K1630" i="5"/>
  <c r="G1630" i="5" s="1"/>
  <c r="J1629" i="5"/>
  <c r="I1628" i="5"/>
  <c r="H1627" i="5"/>
  <c r="E1625" i="5"/>
  <c r="F1625" i="5" s="1"/>
  <c r="N1621" i="5"/>
  <c r="M1620" i="5"/>
  <c r="L1619" i="5"/>
  <c r="K1618" i="5"/>
  <c r="G1618" i="5" s="1"/>
  <c r="J1617" i="5"/>
  <c r="I1616" i="5"/>
  <c r="H1615" i="5"/>
  <c r="E1613" i="5"/>
  <c r="F1613" i="5" s="1"/>
  <c r="N1609" i="5"/>
  <c r="M1608" i="5"/>
  <c r="L1607" i="5"/>
  <c r="K1606" i="5"/>
  <c r="G1606" i="5" s="1"/>
  <c r="J1605" i="5"/>
  <c r="I1604" i="5"/>
  <c r="H1603" i="5"/>
  <c r="E1601" i="5"/>
  <c r="F1601" i="5" s="1"/>
  <c r="N1597" i="5"/>
  <c r="M1596" i="5"/>
  <c r="L1595" i="5"/>
  <c r="K1594" i="5"/>
  <c r="G1594" i="5" s="1"/>
  <c r="J1593" i="5"/>
  <c r="I1592" i="5"/>
  <c r="H1591" i="5"/>
  <c r="E1589" i="5"/>
  <c r="F1589" i="5" s="1"/>
  <c r="N1585" i="5"/>
  <c r="M1584" i="5"/>
  <c r="L1583" i="5"/>
  <c r="K1582" i="5"/>
  <c r="G1582" i="5" s="1"/>
  <c r="J1581" i="5"/>
  <c r="I1580" i="5"/>
  <c r="H1579" i="5"/>
  <c r="E1577" i="5"/>
  <c r="F1577" i="5" s="1"/>
  <c r="N1573" i="5"/>
  <c r="M1572" i="5"/>
  <c r="L1571" i="5"/>
  <c r="K1570" i="5"/>
  <c r="G1570" i="5" s="1"/>
  <c r="J1569" i="5"/>
  <c r="I1568" i="5"/>
  <c r="H1567" i="5"/>
  <c r="E1565" i="5"/>
  <c r="F1565" i="5" s="1"/>
  <c r="N1561" i="5"/>
  <c r="M1560" i="5"/>
  <c r="L1559" i="5"/>
  <c r="K1558" i="5"/>
  <c r="G1558" i="5" s="1"/>
  <c r="N1556" i="5"/>
  <c r="E1555" i="5"/>
  <c r="F1555" i="5" s="1"/>
  <c r="E1553" i="5"/>
  <c r="F1553" i="5" s="1"/>
  <c r="E1551" i="5"/>
  <c r="F1551" i="5" s="1"/>
  <c r="K1549" i="5"/>
  <c r="G1549" i="5" s="1"/>
  <c r="L1547" i="5"/>
  <c r="E1540" i="5"/>
  <c r="F1540" i="5" s="1"/>
  <c r="J1532" i="5"/>
  <c r="I1530" i="5"/>
  <c r="J1528" i="5"/>
  <c r="L1526" i="5"/>
  <c r="L1522" i="5"/>
  <c r="N1520" i="5"/>
  <c r="N1512" i="5"/>
  <c r="J1497" i="5"/>
  <c r="L1487" i="5"/>
  <c r="L1485" i="5"/>
  <c r="B1482" i="5"/>
  <c r="N1477" i="5"/>
  <c r="N1475" i="5"/>
  <c r="E1468" i="5"/>
  <c r="F1468" i="5" s="1"/>
  <c r="J1460" i="5"/>
  <c r="I1458" i="5"/>
  <c r="J1456" i="5"/>
  <c r="L1454" i="5"/>
  <c r="L1450" i="5"/>
  <c r="N1448" i="5"/>
  <c r="N1440" i="5"/>
  <c r="B1436" i="5"/>
  <c r="H1432" i="5"/>
  <c r="M1428" i="5"/>
  <c r="N1420" i="5"/>
  <c r="H1392" i="5"/>
  <c r="K1380" i="5"/>
  <c r="G1380" i="5" s="1"/>
  <c r="I1353" i="5"/>
  <c r="J1343" i="5"/>
  <c r="E1326" i="5"/>
  <c r="F1326" i="5" s="1"/>
  <c r="J1320" i="5"/>
  <c r="K1310" i="5"/>
  <c r="G1310" i="5" s="1"/>
  <c r="I1304" i="5"/>
  <c r="L1222" i="5"/>
  <c r="J1014" i="5"/>
  <c r="B1672" i="5"/>
  <c r="B1660" i="5"/>
  <c r="B1648" i="5"/>
  <c r="B1636" i="5"/>
  <c r="B1624" i="5"/>
  <c r="B1612" i="5"/>
  <c r="B1600" i="5"/>
  <c r="B1588" i="5"/>
  <c r="B1576" i="5"/>
  <c r="B1564" i="5"/>
  <c r="B1538" i="5"/>
  <c r="E1536" i="5"/>
  <c r="F1536" i="5" s="1"/>
  <c r="I1534" i="5"/>
  <c r="K1524" i="5"/>
  <c r="G1524" i="5" s="1"/>
  <c r="B1519" i="5"/>
  <c r="E1505" i="5"/>
  <c r="F1505" i="5" s="1"/>
  <c r="B1501" i="5"/>
  <c r="I1499" i="5"/>
  <c r="I1495" i="5"/>
  <c r="H1493" i="5"/>
  <c r="I1491" i="5"/>
  <c r="K1489" i="5"/>
  <c r="G1489" i="5" s="1"/>
  <c r="M1483" i="5"/>
  <c r="N1479" i="5"/>
  <c r="B1466" i="5"/>
  <c r="E1464" i="5"/>
  <c r="F1464" i="5" s="1"/>
  <c r="I1462" i="5"/>
  <c r="K1452" i="5"/>
  <c r="G1452" i="5" s="1"/>
  <c r="B1447" i="5"/>
  <c r="M1420" i="5"/>
  <c r="J1403" i="5"/>
  <c r="N1397" i="5"/>
  <c r="L1370" i="5"/>
  <c r="M1347" i="5"/>
  <c r="M1337" i="5"/>
  <c r="I1320" i="5"/>
  <c r="L1293" i="5"/>
  <c r="N1282" i="5"/>
  <c r="B1272" i="5"/>
  <c r="J1245" i="5"/>
  <c r="K1222" i="5"/>
  <c r="G1222" i="5" s="1"/>
  <c r="N1210" i="5"/>
  <c r="I1192" i="5"/>
  <c r="N1156" i="5"/>
  <c r="J1678" i="5"/>
  <c r="I1677" i="5"/>
  <c r="H1676" i="5"/>
  <c r="E1674" i="5"/>
  <c r="F1674" i="5" s="1"/>
  <c r="N1670" i="5"/>
  <c r="M1669" i="5"/>
  <c r="L1668" i="5"/>
  <c r="K1667" i="5"/>
  <c r="G1667" i="5" s="1"/>
  <c r="J1666" i="5"/>
  <c r="I1665" i="5"/>
  <c r="H1664" i="5"/>
  <c r="E1662" i="5"/>
  <c r="F1662" i="5" s="1"/>
  <c r="N1658" i="5"/>
  <c r="M1657" i="5"/>
  <c r="L1656" i="5"/>
  <c r="K1655" i="5"/>
  <c r="G1655" i="5" s="1"/>
  <c r="J1654" i="5"/>
  <c r="I1653" i="5"/>
  <c r="H1652" i="5"/>
  <c r="E1650" i="5"/>
  <c r="F1650" i="5" s="1"/>
  <c r="N1646" i="5"/>
  <c r="M1645" i="5"/>
  <c r="L1644" i="5"/>
  <c r="K1643" i="5"/>
  <c r="G1643" i="5" s="1"/>
  <c r="J1642" i="5"/>
  <c r="I1641" i="5"/>
  <c r="H1640" i="5"/>
  <c r="E1638" i="5"/>
  <c r="F1638" i="5" s="1"/>
  <c r="N1634" i="5"/>
  <c r="M1633" i="5"/>
  <c r="L1632" i="5"/>
  <c r="K1631" i="5"/>
  <c r="G1631" i="5" s="1"/>
  <c r="J1630" i="5"/>
  <c r="I1629" i="5"/>
  <c r="H1628" i="5"/>
  <c r="E1626" i="5"/>
  <c r="F1626" i="5" s="1"/>
  <c r="N1622" i="5"/>
  <c r="M1621" i="5"/>
  <c r="L1620" i="5"/>
  <c r="K1619" i="5"/>
  <c r="G1619" i="5" s="1"/>
  <c r="J1618" i="5"/>
  <c r="I1617" i="5"/>
  <c r="H1616" i="5"/>
  <c r="E1614" i="5"/>
  <c r="F1614" i="5" s="1"/>
  <c r="N1610" i="5"/>
  <c r="M1609" i="5"/>
  <c r="L1608" i="5"/>
  <c r="K1607" i="5"/>
  <c r="G1607" i="5" s="1"/>
  <c r="J1606" i="5"/>
  <c r="I1605" i="5"/>
  <c r="H1604" i="5"/>
  <c r="E1602" i="5"/>
  <c r="F1602" i="5" s="1"/>
  <c r="N1598" i="5"/>
  <c r="M1597" i="5"/>
  <c r="L1596" i="5"/>
  <c r="K1595" i="5"/>
  <c r="G1595" i="5" s="1"/>
  <c r="J1594" i="5"/>
  <c r="I1593" i="5"/>
  <c r="H1592" i="5"/>
  <c r="E1590" i="5"/>
  <c r="F1590" i="5" s="1"/>
  <c r="N1586" i="5"/>
  <c r="M1585" i="5"/>
  <c r="L1584" i="5"/>
  <c r="K1583" i="5"/>
  <c r="G1583" i="5" s="1"/>
  <c r="J1582" i="5"/>
  <c r="I1581" i="5"/>
  <c r="H1580" i="5"/>
  <c r="E1578" i="5"/>
  <c r="F1578" i="5" s="1"/>
  <c r="N1574" i="5"/>
  <c r="M1573" i="5"/>
  <c r="L1572" i="5"/>
  <c r="K1571" i="5"/>
  <c r="G1571" i="5" s="1"/>
  <c r="J1570" i="5"/>
  <c r="I1569" i="5"/>
  <c r="H1568" i="5"/>
  <c r="E1566" i="5"/>
  <c r="F1566" i="5" s="1"/>
  <c r="N1562" i="5"/>
  <c r="M1561" i="5"/>
  <c r="L1560" i="5"/>
  <c r="K1559" i="5"/>
  <c r="G1559" i="5" s="1"/>
  <c r="J1558" i="5"/>
  <c r="K1556" i="5"/>
  <c r="G1556" i="5" s="1"/>
  <c r="K1547" i="5"/>
  <c r="G1547" i="5" s="1"/>
  <c r="L1545" i="5"/>
  <c r="I1532" i="5"/>
  <c r="H1530" i="5"/>
  <c r="H1526" i="5"/>
  <c r="K1522" i="5"/>
  <c r="G1522" i="5" s="1"/>
  <c r="K1520" i="5"/>
  <c r="G1520" i="5" s="1"/>
  <c r="L1518" i="5"/>
  <c r="N1516" i="5"/>
  <c r="M1514" i="5"/>
  <c r="M1512" i="5"/>
  <c r="M1510" i="5"/>
  <c r="E1507" i="5"/>
  <c r="F1507" i="5" s="1"/>
  <c r="B1503" i="5"/>
  <c r="K1485" i="5"/>
  <c r="G1485" i="5" s="1"/>
  <c r="M1475" i="5"/>
  <c r="I1460" i="5"/>
  <c r="H1458" i="5"/>
  <c r="H1454" i="5"/>
  <c r="K1450" i="5"/>
  <c r="G1450" i="5" s="1"/>
  <c r="K1448" i="5"/>
  <c r="G1448" i="5" s="1"/>
  <c r="L1446" i="5"/>
  <c r="N1444" i="5"/>
  <c r="M1442" i="5"/>
  <c r="M1440" i="5"/>
  <c r="J1438" i="5"/>
  <c r="L1428" i="5"/>
  <c r="I1425" i="5"/>
  <c r="B1409" i="5"/>
  <c r="E1386" i="5"/>
  <c r="F1386" i="5" s="1"/>
  <c r="J1380" i="5"/>
  <c r="K1370" i="5"/>
  <c r="G1370" i="5" s="1"/>
  <c r="B1365" i="5"/>
  <c r="H1353" i="5"/>
  <c r="L1347" i="5"/>
  <c r="N1314" i="5"/>
  <c r="K1293" i="5"/>
  <c r="G1293" i="5" s="1"/>
  <c r="N1233" i="5"/>
  <c r="B1673" i="5"/>
  <c r="B1661" i="5"/>
  <c r="B1649" i="5"/>
  <c r="B1637" i="5"/>
  <c r="B1625" i="5"/>
  <c r="B1613" i="5"/>
  <c r="B1601" i="5"/>
  <c r="B1589" i="5"/>
  <c r="B1577" i="5"/>
  <c r="B1565" i="5"/>
  <c r="B1555" i="5"/>
  <c r="B1553" i="5"/>
  <c r="B1551" i="5"/>
  <c r="E1544" i="5"/>
  <c r="F1544" i="5" s="1"/>
  <c r="B1540" i="5"/>
  <c r="H1534" i="5"/>
  <c r="J1524" i="5"/>
  <c r="B1505" i="5"/>
  <c r="H1497" i="5"/>
  <c r="H1495" i="5"/>
  <c r="E1491" i="5"/>
  <c r="F1491" i="5" s="1"/>
  <c r="J1487" i="5"/>
  <c r="J1483" i="5"/>
  <c r="K1481" i="5"/>
  <c r="G1481" i="5" s="1"/>
  <c r="M1479" i="5"/>
  <c r="L1477" i="5"/>
  <c r="E1472" i="5"/>
  <c r="F1472" i="5" s="1"/>
  <c r="B1468" i="5"/>
  <c r="H1462" i="5"/>
  <c r="J1452" i="5"/>
  <c r="E1435" i="5"/>
  <c r="F1435" i="5" s="1"/>
  <c r="B1432" i="5"/>
  <c r="E1425" i="5"/>
  <c r="F1425" i="5" s="1"/>
  <c r="I1403" i="5"/>
  <c r="M1397" i="5"/>
  <c r="I1380" i="5"/>
  <c r="L1364" i="5"/>
  <c r="N1358" i="5"/>
  <c r="E1342" i="5"/>
  <c r="F1342" i="5" s="1"/>
  <c r="L1331" i="5"/>
  <c r="B1326" i="5"/>
  <c r="H1320" i="5"/>
  <c r="I1245" i="5"/>
  <c r="J1222" i="5"/>
  <c r="H1192" i="5"/>
  <c r="M1156" i="5"/>
  <c r="I1678" i="5"/>
  <c r="H1677" i="5"/>
  <c r="E1675" i="5"/>
  <c r="F1675" i="5" s="1"/>
  <c r="N1671" i="5"/>
  <c r="M1670" i="5"/>
  <c r="L1669" i="5"/>
  <c r="K1668" i="5"/>
  <c r="G1668" i="5" s="1"/>
  <c r="J1667" i="5"/>
  <c r="I1666" i="5"/>
  <c r="H1665" i="5"/>
  <c r="E1663" i="5"/>
  <c r="F1663" i="5" s="1"/>
  <c r="N1659" i="5"/>
  <c r="M1658" i="5"/>
  <c r="L1657" i="5"/>
  <c r="K1656" i="5"/>
  <c r="G1656" i="5" s="1"/>
  <c r="J1655" i="5"/>
  <c r="I1654" i="5"/>
  <c r="H1653" i="5"/>
  <c r="E1651" i="5"/>
  <c r="F1651" i="5" s="1"/>
  <c r="N1647" i="5"/>
  <c r="M1646" i="5"/>
  <c r="L1645" i="5"/>
  <c r="K1644" i="5"/>
  <c r="G1644" i="5" s="1"/>
  <c r="J1643" i="5"/>
  <c r="I1642" i="5"/>
  <c r="H1641" i="5"/>
  <c r="E1639" i="5"/>
  <c r="F1639" i="5" s="1"/>
  <c r="N1635" i="5"/>
  <c r="M1634" i="5"/>
  <c r="L1633" i="5"/>
  <c r="K1632" i="5"/>
  <c r="G1632" i="5" s="1"/>
  <c r="J1631" i="5"/>
  <c r="I1630" i="5"/>
  <c r="H1629" i="5"/>
  <c r="E1627" i="5"/>
  <c r="F1627" i="5" s="1"/>
  <c r="N1623" i="5"/>
  <c r="M1622" i="5"/>
  <c r="L1621" i="5"/>
  <c r="K1620" i="5"/>
  <c r="G1620" i="5" s="1"/>
  <c r="J1619" i="5"/>
  <c r="I1618" i="5"/>
  <c r="H1617" i="5"/>
  <c r="E1615" i="5"/>
  <c r="F1615" i="5" s="1"/>
  <c r="N1611" i="5"/>
  <c r="M1610" i="5"/>
  <c r="L1609" i="5"/>
  <c r="K1608" i="5"/>
  <c r="G1608" i="5" s="1"/>
  <c r="J1607" i="5"/>
  <c r="I1606" i="5"/>
  <c r="H1605" i="5"/>
  <c r="E1603" i="5"/>
  <c r="F1603" i="5" s="1"/>
  <c r="N1599" i="5"/>
  <c r="M1598" i="5"/>
  <c r="L1597" i="5"/>
  <c r="K1596" i="5"/>
  <c r="G1596" i="5" s="1"/>
  <c r="J1595" i="5"/>
  <c r="I1594" i="5"/>
  <c r="H1593" i="5"/>
  <c r="E1591" i="5"/>
  <c r="F1591" i="5" s="1"/>
  <c r="N1587" i="5"/>
  <c r="M1586" i="5"/>
  <c r="L1585" i="5"/>
  <c r="K1584" i="5"/>
  <c r="G1584" i="5" s="1"/>
  <c r="J1583" i="5"/>
  <c r="I1582" i="5"/>
  <c r="H1581" i="5"/>
  <c r="E1579" i="5"/>
  <c r="F1579" i="5" s="1"/>
  <c r="N1575" i="5"/>
  <c r="M1574" i="5"/>
  <c r="L1573" i="5"/>
  <c r="K1572" i="5"/>
  <c r="G1572" i="5" s="1"/>
  <c r="J1571" i="5"/>
  <c r="I1570" i="5"/>
  <c r="H1569" i="5"/>
  <c r="E1567" i="5"/>
  <c r="F1567" i="5" s="1"/>
  <c r="N1563" i="5"/>
  <c r="M1562" i="5"/>
  <c r="L1561" i="5"/>
  <c r="K1560" i="5"/>
  <c r="G1560" i="5" s="1"/>
  <c r="J1559" i="5"/>
  <c r="I1558" i="5"/>
  <c r="J1556" i="5"/>
  <c r="L1554" i="5"/>
  <c r="B1549" i="5"/>
  <c r="J1547" i="5"/>
  <c r="K1545" i="5"/>
  <c r="G1545" i="5" s="1"/>
  <c r="B1542" i="5"/>
  <c r="N1537" i="5"/>
  <c r="N1535" i="5"/>
  <c r="E1528" i="5"/>
  <c r="F1528" i="5" s="1"/>
  <c r="J1520" i="5"/>
  <c r="I1518" i="5"/>
  <c r="J1516" i="5"/>
  <c r="L1514" i="5"/>
  <c r="L1510" i="5"/>
  <c r="N1508" i="5"/>
  <c r="N1500" i="5"/>
  <c r="J1485" i="5"/>
  <c r="L1475" i="5"/>
  <c r="L1473" i="5"/>
  <c r="B1470" i="5"/>
  <c r="N1465" i="5"/>
  <c r="N1463" i="5"/>
  <c r="E1456" i="5"/>
  <c r="F1456" i="5" s="1"/>
  <c r="J1448" i="5"/>
  <c r="I1446" i="5"/>
  <c r="J1444" i="5"/>
  <c r="L1442" i="5"/>
  <c r="I1438" i="5"/>
  <c r="K1428" i="5"/>
  <c r="G1428" i="5" s="1"/>
  <c r="I1413" i="5"/>
  <c r="L1407" i="5"/>
  <c r="N1374" i="5"/>
  <c r="K1347" i="5"/>
  <c r="G1347" i="5" s="1"/>
  <c r="J1314" i="5"/>
  <c r="B1309" i="5"/>
  <c r="H1292" i="5"/>
  <c r="M1256" i="5"/>
  <c r="M1233" i="5"/>
  <c r="K1208" i="5"/>
  <c r="G1208" i="5" s="1"/>
  <c r="M1543" i="5"/>
  <c r="N1539" i="5"/>
  <c r="B1526" i="5"/>
  <c r="E1524" i="5"/>
  <c r="F1524" i="5" s="1"/>
  <c r="I1522" i="5"/>
  <c r="K1512" i="5"/>
  <c r="G1512" i="5" s="1"/>
  <c r="B1507" i="5"/>
  <c r="E1493" i="5"/>
  <c r="F1493" i="5" s="1"/>
  <c r="B1489" i="5"/>
  <c r="I1487" i="5"/>
  <c r="I1483" i="5"/>
  <c r="H1481" i="5"/>
  <c r="I1479" i="5"/>
  <c r="K1477" i="5"/>
  <c r="G1477" i="5" s="1"/>
  <c r="M1471" i="5"/>
  <c r="N1467" i="5"/>
  <c r="B1454" i="5"/>
  <c r="E1452" i="5"/>
  <c r="F1452" i="5" s="1"/>
  <c r="I1450" i="5"/>
  <c r="K1440" i="5"/>
  <c r="G1440" i="5" s="1"/>
  <c r="N1434" i="5"/>
  <c r="I1397" i="5"/>
  <c r="L1391" i="5"/>
  <c r="B1386" i="5"/>
  <c r="H1380" i="5"/>
  <c r="E1353" i="5"/>
  <c r="F1353" i="5" s="1"/>
  <c r="M1341" i="5"/>
  <c r="B1336" i="5"/>
  <c r="I1330" i="5"/>
  <c r="M1308" i="5"/>
  <c r="E1222" i="5"/>
  <c r="F1222" i="5" s="1"/>
  <c r="H1678" i="5"/>
  <c r="E1676" i="5"/>
  <c r="F1676" i="5" s="1"/>
  <c r="N1672" i="5"/>
  <c r="M1671" i="5"/>
  <c r="L1670" i="5"/>
  <c r="K1669" i="5"/>
  <c r="G1669" i="5" s="1"/>
  <c r="J1668" i="5"/>
  <c r="I1667" i="5"/>
  <c r="H1666" i="5"/>
  <c r="E1664" i="5"/>
  <c r="F1664" i="5" s="1"/>
  <c r="N1660" i="5"/>
  <c r="M1659" i="5"/>
  <c r="L1658" i="5"/>
  <c r="K1657" i="5"/>
  <c r="G1657" i="5" s="1"/>
  <c r="J1656" i="5"/>
  <c r="I1655" i="5"/>
  <c r="H1654" i="5"/>
  <c r="E1652" i="5"/>
  <c r="F1652" i="5" s="1"/>
  <c r="N1648" i="5"/>
  <c r="M1647" i="5"/>
  <c r="L1646" i="5"/>
  <c r="K1645" i="5"/>
  <c r="G1645" i="5" s="1"/>
  <c r="J1644" i="5"/>
  <c r="I1643" i="5"/>
  <c r="H1642" i="5"/>
  <c r="E1640" i="5"/>
  <c r="F1640" i="5" s="1"/>
  <c r="N1636" i="5"/>
  <c r="M1635" i="5"/>
  <c r="L1634" i="5"/>
  <c r="K1633" i="5"/>
  <c r="G1633" i="5" s="1"/>
  <c r="J1632" i="5"/>
  <c r="I1631" i="5"/>
  <c r="H1630" i="5"/>
  <c r="E1628" i="5"/>
  <c r="F1628" i="5" s="1"/>
  <c r="N1624" i="5"/>
  <c r="M1623" i="5"/>
  <c r="L1622" i="5"/>
  <c r="K1621" i="5"/>
  <c r="G1621" i="5" s="1"/>
  <c r="J1620" i="5"/>
  <c r="I1619" i="5"/>
  <c r="H1618" i="5"/>
  <c r="E1616" i="5"/>
  <c r="F1616" i="5" s="1"/>
  <c r="N1612" i="5"/>
  <c r="M1611" i="5"/>
  <c r="L1610" i="5"/>
  <c r="K1609" i="5"/>
  <c r="G1609" i="5" s="1"/>
  <c r="J1608" i="5"/>
  <c r="I1607" i="5"/>
  <c r="H1606" i="5"/>
  <c r="E1604" i="5"/>
  <c r="F1604" i="5" s="1"/>
  <c r="N1600" i="5"/>
  <c r="M1599" i="5"/>
  <c r="L1598" i="5"/>
  <c r="K1597" i="5"/>
  <c r="G1597" i="5" s="1"/>
  <c r="J1596" i="5"/>
  <c r="I1595" i="5"/>
  <c r="H1594" i="5"/>
  <c r="E1592" i="5"/>
  <c r="F1592" i="5" s="1"/>
  <c r="N1588" i="5"/>
  <c r="M1587" i="5"/>
  <c r="L1586" i="5"/>
  <c r="K1585" i="5"/>
  <c r="G1585" i="5" s="1"/>
  <c r="J1584" i="5"/>
  <c r="I1583" i="5"/>
  <c r="H1582" i="5"/>
  <c r="E1580" i="5"/>
  <c r="F1580" i="5" s="1"/>
  <c r="N1576" i="5"/>
  <c r="M1575" i="5"/>
  <c r="L1574" i="5"/>
  <c r="K1573" i="5"/>
  <c r="G1573" i="5" s="1"/>
  <c r="J1572" i="5"/>
  <c r="I1571" i="5"/>
  <c r="H1570" i="5"/>
  <c r="E1568" i="5"/>
  <c r="F1568" i="5" s="1"/>
  <c r="N1564" i="5"/>
  <c r="M1563" i="5"/>
  <c r="L1562" i="5"/>
  <c r="K1561" i="5"/>
  <c r="G1561" i="5" s="1"/>
  <c r="J1560" i="5"/>
  <c r="I1559" i="5"/>
  <c r="H1558" i="5"/>
  <c r="I1556" i="5"/>
  <c r="I1554" i="5"/>
  <c r="N1552" i="5"/>
  <c r="N1550" i="5"/>
  <c r="I1547" i="5"/>
  <c r="J1545" i="5"/>
  <c r="M1535" i="5"/>
  <c r="I1520" i="5"/>
  <c r="H1518" i="5"/>
  <c r="H1514" i="5"/>
  <c r="K1510" i="5"/>
  <c r="G1510" i="5" s="1"/>
  <c r="K1508" i="5"/>
  <c r="G1508" i="5" s="1"/>
  <c r="L1506" i="5"/>
  <c r="N1504" i="5"/>
  <c r="M1502" i="5"/>
  <c r="M1500" i="5"/>
  <c r="M1498" i="5"/>
  <c r="E1495" i="5"/>
  <c r="F1495" i="5" s="1"/>
  <c r="B1491" i="5"/>
  <c r="P1491" i="5" s="1"/>
  <c r="K1473" i="5"/>
  <c r="G1473" i="5" s="1"/>
  <c r="M1463" i="5"/>
  <c r="I1448" i="5"/>
  <c r="H1446" i="5"/>
  <c r="H1442" i="5"/>
  <c r="H1438" i="5"/>
  <c r="N1431" i="5"/>
  <c r="J1428" i="5"/>
  <c r="B1425" i="5"/>
  <c r="H1413" i="5"/>
  <c r="K1407" i="5"/>
  <c r="G1407" i="5" s="1"/>
  <c r="M1401" i="5"/>
  <c r="J1374" i="5"/>
  <c r="B1369" i="5"/>
  <c r="H1324" i="5"/>
  <c r="B1302" i="5"/>
  <c r="B1675" i="5"/>
  <c r="B1663" i="5"/>
  <c r="B1651" i="5"/>
  <c r="B1639" i="5"/>
  <c r="P1639" i="5" s="1"/>
  <c r="B1627" i="5"/>
  <c r="B1615" i="5"/>
  <c r="P1615" i="5" s="1"/>
  <c r="B1603" i="5"/>
  <c r="B1591" i="5"/>
  <c r="P1591" i="5" s="1"/>
  <c r="B1579" i="5"/>
  <c r="B1567" i="5"/>
  <c r="N1548" i="5"/>
  <c r="J1543" i="5"/>
  <c r="K1541" i="5"/>
  <c r="G1541" i="5" s="1"/>
  <c r="M1539" i="5"/>
  <c r="L1537" i="5"/>
  <c r="E1532" i="5"/>
  <c r="F1532" i="5" s="1"/>
  <c r="B1528" i="5"/>
  <c r="H1522" i="5"/>
  <c r="J1512" i="5"/>
  <c r="B1493" i="5"/>
  <c r="H1485" i="5"/>
  <c r="H1483" i="5"/>
  <c r="E1479" i="5"/>
  <c r="F1479" i="5" s="1"/>
  <c r="J1475" i="5"/>
  <c r="J1471" i="5"/>
  <c r="K1469" i="5"/>
  <c r="G1469" i="5" s="1"/>
  <c r="M1467" i="5"/>
  <c r="L1465" i="5"/>
  <c r="E1460" i="5"/>
  <c r="F1460" i="5" s="1"/>
  <c r="B1456" i="5"/>
  <c r="H1450" i="5"/>
  <c r="J1440" i="5"/>
  <c r="J1434" i="5"/>
  <c r="L1424" i="5"/>
  <c r="M1368" i="5"/>
  <c r="E1363" i="5"/>
  <c r="F1363" i="5" s="1"/>
  <c r="I1357" i="5"/>
  <c r="J1341" i="5"/>
  <c r="H1330" i="5"/>
  <c r="K1318" i="5"/>
  <c r="G1318" i="5" s="1"/>
  <c r="L1308" i="5"/>
  <c r="N1266" i="5"/>
  <c r="I1255" i="5"/>
  <c r="N1243" i="5"/>
  <c r="I1169" i="5"/>
  <c r="E1677" i="5"/>
  <c r="F1677" i="5" s="1"/>
  <c r="N1673" i="5"/>
  <c r="M1672" i="5"/>
  <c r="L1671" i="5"/>
  <c r="K1670" i="5"/>
  <c r="G1670" i="5" s="1"/>
  <c r="J1669" i="5"/>
  <c r="I1668" i="5"/>
  <c r="H1667" i="5"/>
  <c r="E1665" i="5"/>
  <c r="F1665" i="5" s="1"/>
  <c r="N1661" i="5"/>
  <c r="M1660" i="5"/>
  <c r="L1659" i="5"/>
  <c r="K1658" i="5"/>
  <c r="G1658" i="5" s="1"/>
  <c r="J1657" i="5"/>
  <c r="I1656" i="5"/>
  <c r="H1655" i="5"/>
  <c r="E1653" i="5"/>
  <c r="F1653" i="5" s="1"/>
  <c r="N1649" i="5"/>
  <c r="M1648" i="5"/>
  <c r="L1647" i="5"/>
  <c r="K1646" i="5"/>
  <c r="G1646" i="5" s="1"/>
  <c r="J1645" i="5"/>
  <c r="I1644" i="5"/>
  <c r="H1643" i="5"/>
  <c r="E1641" i="5"/>
  <c r="F1641" i="5" s="1"/>
  <c r="N1637" i="5"/>
  <c r="M1636" i="5"/>
  <c r="L1635" i="5"/>
  <c r="K1634" i="5"/>
  <c r="G1634" i="5" s="1"/>
  <c r="J1633" i="5"/>
  <c r="I1632" i="5"/>
  <c r="H1631" i="5"/>
  <c r="E1629" i="5"/>
  <c r="F1629" i="5" s="1"/>
  <c r="N1625" i="5"/>
  <c r="M1624" i="5"/>
  <c r="L1623" i="5"/>
  <c r="K1622" i="5"/>
  <c r="G1622" i="5" s="1"/>
  <c r="J1621" i="5"/>
  <c r="I1620" i="5"/>
  <c r="H1619" i="5"/>
  <c r="E1617" i="5"/>
  <c r="F1617" i="5" s="1"/>
  <c r="N1613" i="5"/>
  <c r="M1612" i="5"/>
  <c r="L1611" i="5"/>
  <c r="K1610" i="5"/>
  <c r="G1610" i="5" s="1"/>
  <c r="J1609" i="5"/>
  <c r="I1608" i="5"/>
  <c r="H1607" i="5"/>
  <c r="E1605" i="5"/>
  <c r="F1605" i="5" s="1"/>
  <c r="N1601" i="5"/>
  <c r="M1600" i="5"/>
  <c r="L1599" i="5"/>
  <c r="K1598" i="5"/>
  <c r="G1598" i="5" s="1"/>
  <c r="J1597" i="5"/>
  <c r="I1596" i="5"/>
  <c r="H1595" i="5"/>
  <c r="E1593" i="5"/>
  <c r="F1593" i="5" s="1"/>
  <c r="N1589" i="5"/>
  <c r="M1588" i="5"/>
  <c r="L1587" i="5"/>
  <c r="K1586" i="5"/>
  <c r="G1586" i="5" s="1"/>
  <c r="J1585" i="5"/>
  <c r="I1584" i="5"/>
  <c r="H1583" i="5"/>
  <c r="E1581" i="5"/>
  <c r="F1581" i="5" s="1"/>
  <c r="N1577" i="5"/>
  <c r="M1576" i="5"/>
  <c r="L1575" i="5"/>
  <c r="K1574" i="5"/>
  <c r="G1574" i="5" s="1"/>
  <c r="J1573" i="5"/>
  <c r="I1572" i="5"/>
  <c r="H1571" i="5"/>
  <c r="E1569" i="5"/>
  <c r="F1569" i="5" s="1"/>
  <c r="N1565" i="5"/>
  <c r="M1564" i="5"/>
  <c r="L1563" i="5"/>
  <c r="K1562" i="5"/>
  <c r="G1562" i="5" s="1"/>
  <c r="J1561" i="5"/>
  <c r="I1560" i="5"/>
  <c r="H1559" i="5"/>
  <c r="H1556" i="5"/>
  <c r="H1554" i="5"/>
  <c r="J1552" i="5"/>
  <c r="M1550" i="5"/>
  <c r="I1545" i="5"/>
  <c r="L1535" i="5"/>
  <c r="L1533" i="5"/>
  <c r="B1530" i="5"/>
  <c r="N1525" i="5"/>
  <c r="N1523" i="5"/>
  <c r="E1516" i="5"/>
  <c r="F1516" i="5" s="1"/>
  <c r="J1508" i="5"/>
  <c r="I1506" i="5"/>
  <c r="J1504" i="5"/>
  <c r="L1502" i="5"/>
  <c r="L1498" i="5"/>
  <c r="N1496" i="5"/>
  <c r="N1488" i="5"/>
  <c r="J1473" i="5"/>
  <c r="L1463" i="5"/>
  <c r="L1461" i="5"/>
  <c r="B1458" i="5"/>
  <c r="N1453" i="5"/>
  <c r="N1451" i="5"/>
  <c r="E1444" i="5"/>
  <c r="F1444" i="5" s="1"/>
  <c r="E1438" i="5"/>
  <c r="F1438" i="5" s="1"/>
  <c r="H1428" i="5"/>
  <c r="N1418" i="5"/>
  <c r="J1401" i="5"/>
  <c r="H1384" i="5"/>
  <c r="K1351" i="5"/>
  <c r="G1351" i="5" s="1"/>
  <c r="N1335" i="5"/>
  <c r="E1301" i="5"/>
  <c r="F1301" i="5" s="1"/>
  <c r="M1277" i="5"/>
  <c r="H1255" i="5"/>
  <c r="B1072" i="5"/>
  <c r="B1676" i="5"/>
  <c r="B1664" i="5"/>
  <c r="P1664" i="5" s="1"/>
  <c r="B1652" i="5"/>
  <c r="P1652" i="5" s="1"/>
  <c r="B1640" i="5"/>
  <c r="B1628" i="5"/>
  <c r="B1616" i="5"/>
  <c r="B1604" i="5"/>
  <c r="B1592" i="5"/>
  <c r="B1580" i="5"/>
  <c r="B1568" i="5"/>
  <c r="M1548" i="5"/>
  <c r="I1543" i="5"/>
  <c r="H1541" i="5"/>
  <c r="I1539" i="5"/>
  <c r="K1537" i="5"/>
  <c r="G1537" i="5" s="1"/>
  <c r="M1531" i="5"/>
  <c r="N1527" i="5"/>
  <c r="B1514" i="5"/>
  <c r="E1512" i="5"/>
  <c r="F1512" i="5" s="1"/>
  <c r="I1510" i="5"/>
  <c r="K1500" i="5"/>
  <c r="G1500" i="5" s="1"/>
  <c r="B1495" i="5"/>
  <c r="E1481" i="5"/>
  <c r="F1481" i="5" s="1"/>
  <c r="B1477" i="5"/>
  <c r="I1475" i="5"/>
  <c r="I1471" i="5"/>
  <c r="H1469" i="5"/>
  <c r="I1467" i="5"/>
  <c r="K1465" i="5"/>
  <c r="G1465" i="5" s="1"/>
  <c r="M1459" i="5"/>
  <c r="N1455" i="5"/>
  <c r="B1442" i="5"/>
  <c r="E1440" i="5"/>
  <c r="F1440" i="5" s="1"/>
  <c r="I1424" i="5"/>
  <c r="E1413" i="5"/>
  <c r="F1413" i="5" s="1"/>
  <c r="H1390" i="5"/>
  <c r="K1378" i="5"/>
  <c r="G1378" i="5" s="1"/>
  <c r="L1368" i="5"/>
  <c r="I1341" i="5"/>
  <c r="J1318" i="5"/>
  <c r="K1308" i="5"/>
  <c r="G1308" i="5" s="1"/>
  <c r="M1266" i="5"/>
  <c r="E1542" i="5"/>
  <c r="F1542" i="5" s="1"/>
  <c r="N1538" i="5"/>
  <c r="M1537" i="5"/>
  <c r="L1536" i="5"/>
  <c r="K1535" i="5"/>
  <c r="G1535" i="5" s="1"/>
  <c r="J1534" i="5"/>
  <c r="I1533" i="5"/>
  <c r="H1532" i="5"/>
  <c r="E1530" i="5"/>
  <c r="F1530" i="5" s="1"/>
  <c r="N1526" i="5"/>
  <c r="M1525" i="5"/>
  <c r="L1524" i="5"/>
  <c r="K1523" i="5"/>
  <c r="G1523" i="5" s="1"/>
  <c r="J1522" i="5"/>
  <c r="I1521" i="5"/>
  <c r="H1520" i="5"/>
  <c r="E1518" i="5"/>
  <c r="F1518" i="5" s="1"/>
  <c r="N1514" i="5"/>
  <c r="M1513" i="5"/>
  <c r="L1512" i="5"/>
  <c r="K1511" i="5"/>
  <c r="G1511" i="5" s="1"/>
  <c r="J1510" i="5"/>
  <c r="I1509" i="5"/>
  <c r="H1508" i="5"/>
  <c r="E1506" i="5"/>
  <c r="F1506" i="5" s="1"/>
  <c r="N1502" i="5"/>
  <c r="M1501" i="5"/>
  <c r="L1500" i="5"/>
  <c r="K1499" i="5"/>
  <c r="G1499" i="5" s="1"/>
  <c r="J1498" i="5"/>
  <c r="I1497" i="5"/>
  <c r="H1496" i="5"/>
  <c r="E1494" i="5"/>
  <c r="F1494" i="5" s="1"/>
  <c r="N1490" i="5"/>
  <c r="M1489" i="5"/>
  <c r="L1488" i="5"/>
  <c r="K1487" i="5"/>
  <c r="G1487" i="5" s="1"/>
  <c r="J1486" i="5"/>
  <c r="I1485" i="5"/>
  <c r="H1484" i="5"/>
  <c r="E1482" i="5"/>
  <c r="F1482" i="5" s="1"/>
  <c r="N1478" i="5"/>
  <c r="M1477" i="5"/>
  <c r="L1476" i="5"/>
  <c r="K1475" i="5"/>
  <c r="G1475" i="5" s="1"/>
  <c r="J1474" i="5"/>
  <c r="I1473" i="5"/>
  <c r="H1472" i="5"/>
  <c r="E1470" i="5"/>
  <c r="F1470" i="5" s="1"/>
  <c r="N1466" i="5"/>
  <c r="M1465" i="5"/>
  <c r="L1464" i="5"/>
  <c r="K1463" i="5"/>
  <c r="G1463" i="5" s="1"/>
  <c r="J1462" i="5"/>
  <c r="I1461" i="5"/>
  <c r="H1460" i="5"/>
  <c r="E1458" i="5"/>
  <c r="F1458" i="5" s="1"/>
  <c r="N1454" i="5"/>
  <c r="M1453" i="5"/>
  <c r="L1452" i="5"/>
  <c r="K1451" i="5"/>
  <c r="G1451" i="5" s="1"/>
  <c r="J1450" i="5"/>
  <c r="I1449" i="5"/>
  <c r="H1448" i="5"/>
  <c r="E1446" i="5"/>
  <c r="F1446" i="5" s="1"/>
  <c r="N1442" i="5"/>
  <c r="M1441" i="5"/>
  <c r="L1440" i="5"/>
  <c r="K1439" i="5"/>
  <c r="G1439" i="5" s="1"/>
  <c r="E1436" i="5"/>
  <c r="F1436" i="5" s="1"/>
  <c r="I1428" i="5"/>
  <c r="J1422" i="5"/>
  <c r="L1420" i="5"/>
  <c r="L1416" i="5"/>
  <c r="N1414" i="5"/>
  <c r="H1403" i="5"/>
  <c r="H1401" i="5"/>
  <c r="K1395" i="5"/>
  <c r="G1395" i="5" s="1"/>
  <c r="K1393" i="5"/>
  <c r="G1393" i="5" s="1"/>
  <c r="K1391" i="5"/>
  <c r="G1391" i="5" s="1"/>
  <c r="N1385" i="5"/>
  <c r="N1383" i="5"/>
  <c r="E1374" i="5"/>
  <c r="F1374" i="5" s="1"/>
  <c r="J1370" i="5"/>
  <c r="J1368" i="5"/>
  <c r="J1366" i="5"/>
  <c r="I1364" i="5"/>
  <c r="M1358" i="5"/>
  <c r="B1349" i="5"/>
  <c r="I1343" i="5"/>
  <c r="H1339" i="5"/>
  <c r="I1337" i="5"/>
  <c r="M1329" i="5"/>
  <c r="B1328" i="5"/>
  <c r="N1321" i="5"/>
  <c r="H1318" i="5"/>
  <c r="H1304" i="5"/>
  <c r="B1292" i="5"/>
  <c r="J1281" i="5"/>
  <c r="J1266" i="5"/>
  <c r="N1260" i="5"/>
  <c r="H1249" i="5"/>
  <c r="L1243" i="5"/>
  <c r="K1216" i="5"/>
  <c r="G1216" i="5" s="1"/>
  <c r="J1208" i="5"/>
  <c r="E1189" i="5"/>
  <c r="F1189" i="5" s="1"/>
  <c r="L1068" i="5"/>
  <c r="B810" i="5"/>
  <c r="H1424" i="5"/>
  <c r="L1418" i="5"/>
  <c r="B1413" i="5"/>
  <c r="E1397" i="5"/>
  <c r="F1397" i="5" s="1"/>
  <c r="J1393" i="5"/>
  <c r="J1389" i="5"/>
  <c r="M1381" i="5"/>
  <c r="E1376" i="5"/>
  <c r="F1376" i="5" s="1"/>
  <c r="I1368" i="5"/>
  <c r="J1362" i="5"/>
  <c r="L1360" i="5"/>
  <c r="L1356" i="5"/>
  <c r="N1354" i="5"/>
  <c r="H1343" i="5"/>
  <c r="H1341" i="5"/>
  <c r="K1335" i="5"/>
  <c r="G1335" i="5" s="1"/>
  <c r="K1333" i="5"/>
  <c r="G1333" i="5" s="1"/>
  <c r="K1331" i="5"/>
  <c r="G1331" i="5" s="1"/>
  <c r="N1325" i="5"/>
  <c r="N1323" i="5"/>
  <c r="E1314" i="5"/>
  <c r="F1314" i="5" s="1"/>
  <c r="J1310" i="5"/>
  <c r="J1308" i="5"/>
  <c r="J1306" i="5"/>
  <c r="N1296" i="5"/>
  <c r="N1286" i="5"/>
  <c r="M1270" i="5"/>
  <c r="M1260" i="5"/>
  <c r="E1249" i="5"/>
  <c r="F1249" i="5" s="1"/>
  <c r="J1226" i="5"/>
  <c r="I1216" i="5"/>
  <c r="B1180" i="5"/>
  <c r="H1420" i="5"/>
  <c r="K1418" i="5"/>
  <c r="G1418" i="5" s="1"/>
  <c r="K1416" i="5"/>
  <c r="G1416" i="5" s="1"/>
  <c r="K1414" i="5"/>
  <c r="G1414" i="5" s="1"/>
  <c r="L1412" i="5"/>
  <c r="N1408" i="5"/>
  <c r="N1406" i="5"/>
  <c r="B1405" i="5"/>
  <c r="J1391" i="5"/>
  <c r="K1387" i="5"/>
  <c r="G1387" i="5" s="1"/>
  <c r="M1385" i="5"/>
  <c r="M1383" i="5"/>
  <c r="E1378" i="5"/>
  <c r="F1378" i="5" s="1"/>
  <c r="B1372" i="5"/>
  <c r="E1370" i="5"/>
  <c r="F1370" i="5" s="1"/>
  <c r="I1366" i="5"/>
  <c r="H1364" i="5"/>
  <c r="L1358" i="5"/>
  <c r="B1353" i="5"/>
  <c r="E1337" i="5"/>
  <c r="F1337" i="5" s="1"/>
  <c r="J1333" i="5"/>
  <c r="J1329" i="5"/>
  <c r="M1321" i="5"/>
  <c r="E1316" i="5"/>
  <c r="F1316" i="5" s="1"/>
  <c r="I1308" i="5"/>
  <c r="N1300" i="5"/>
  <c r="I1281" i="5"/>
  <c r="L1270" i="5"/>
  <c r="K1243" i="5"/>
  <c r="G1243" i="5" s="1"/>
  <c r="H1232" i="5"/>
  <c r="L1207" i="5"/>
  <c r="N1410" i="5"/>
  <c r="M1408" i="5"/>
  <c r="M1404" i="5"/>
  <c r="E1401" i="5"/>
  <c r="F1401" i="5" s="1"/>
  <c r="E1399" i="5"/>
  <c r="F1399" i="5" s="1"/>
  <c r="I1393" i="5"/>
  <c r="I1389" i="5"/>
  <c r="L1383" i="5"/>
  <c r="L1381" i="5"/>
  <c r="L1379" i="5"/>
  <c r="B1374" i="5"/>
  <c r="H1368" i="5"/>
  <c r="H1360" i="5"/>
  <c r="K1358" i="5"/>
  <c r="G1358" i="5" s="1"/>
  <c r="K1356" i="5"/>
  <c r="G1356" i="5" s="1"/>
  <c r="K1354" i="5"/>
  <c r="G1354" i="5" s="1"/>
  <c r="L1352" i="5"/>
  <c r="N1348" i="5"/>
  <c r="N1346" i="5"/>
  <c r="B1345" i="5"/>
  <c r="J1331" i="5"/>
  <c r="K1327" i="5"/>
  <c r="G1327" i="5" s="1"/>
  <c r="M1325" i="5"/>
  <c r="M1323" i="5"/>
  <c r="E1318" i="5"/>
  <c r="F1318" i="5" s="1"/>
  <c r="B1312" i="5"/>
  <c r="P1312" i="5" s="1"/>
  <c r="E1310" i="5"/>
  <c r="F1310" i="5" s="1"/>
  <c r="I1306" i="5"/>
  <c r="N1291" i="5"/>
  <c r="B1276" i="5"/>
  <c r="K1270" i="5"/>
  <c r="G1270" i="5" s="1"/>
  <c r="L1260" i="5"/>
  <c r="N1254" i="5"/>
  <c r="N1237" i="5"/>
  <c r="I1226" i="5"/>
  <c r="L1220" i="5"/>
  <c r="B1189" i="5"/>
  <c r="H1151" i="5"/>
  <c r="J1137" i="5"/>
  <c r="E1422" i="5"/>
  <c r="F1422" i="5" s="1"/>
  <c r="J1418" i="5"/>
  <c r="J1416" i="5"/>
  <c r="J1414" i="5"/>
  <c r="I1412" i="5"/>
  <c r="M1406" i="5"/>
  <c r="B1397" i="5"/>
  <c r="I1391" i="5"/>
  <c r="H1387" i="5"/>
  <c r="I1385" i="5"/>
  <c r="M1377" i="5"/>
  <c r="B1376" i="5"/>
  <c r="N1369" i="5"/>
  <c r="H1366" i="5"/>
  <c r="N1350" i="5"/>
  <c r="M1348" i="5"/>
  <c r="M1344" i="5"/>
  <c r="E1341" i="5"/>
  <c r="F1341" i="5" s="1"/>
  <c r="E1339" i="5"/>
  <c r="F1339" i="5" s="1"/>
  <c r="I1333" i="5"/>
  <c r="I1329" i="5"/>
  <c r="L1323" i="5"/>
  <c r="L1321" i="5"/>
  <c r="L1319" i="5"/>
  <c r="B1314" i="5"/>
  <c r="H1308" i="5"/>
  <c r="E1304" i="5"/>
  <c r="F1304" i="5" s="1"/>
  <c r="L1295" i="5"/>
  <c r="J1286" i="5"/>
  <c r="J1243" i="5"/>
  <c r="K1207" i="5"/>
  <c r="G1207" i="5" s="1"/>
  <c r="I1137" i="5"/>
  <c r="K1123" i="5"/>
  <c r="G1123" i="5" s="1"/>
  <c r="N1109" i="5"/>
  <c r="M919" i="5"/>
  <c r="E1424" i="5"/>
  <c r="F1424" i="5" s="1"/>
  <c r="I1416" i="5"/>
  <c r="J1410" i="5"/>
  <c r="L1408" i="5"/>
  <c r="L1404" i="5"/>
  <c r="N1402" i="5"/>
  <c r="H1391" i="5"/>
  <c r="H1389" i="5"/>
  <c r="K1383" i="5"/>
  <c r="G1383" i="5" s="1"/>
  <c r="K1381" i="5"/>
  <c r="G1381" i="5" s="1"/>
  <c r="K1379" i="5"/>
  <c r="G1379" i="5" s="1"/>
  <c r="N1373" i="5"/>
  <c r="N1371" i="5"/>
  <c r="E1362" i="5"/>
  <c r="F1362" i="5" s="1"/>
  <c r="J1358" i="5"/>
  <c r="J1356" i="5"/>
  <c r="J1354" i="5"/>
  <c r="I1352" i="5"/>
  <c r="M1346" i="5"/>
  <c r="B1337" i="5"/>
  <c r="I1331" i="5"/>
  <c r="H1327" i="5"/>
  <c r="I1325" i="5"/>
  <c r="M1317" i="5"/>
  <c r="B1316" i="5"/>
  <c r="N1309" i="5"/>
  <c r="H1306" i="5"/>
  <c r="B1300" i="5"/>
  <c r="J1290" i="5"/>
  <c r="J1270" i="5"/>
  <c r="B1265" i="5"/>
  <c r="E1259" i="5"/>
  <c r="F1259" i="5" s="1"/>
  <c r="I1253" i="5"/>
  <c r="L1247" i="5"/>
  <c r="I1243" i="5"/>
  <c r="M1237" i="5"/>
  <c r="K1220" i="5"/>
  <c r="G1220" i="5" s="1"/>
  <c r="M1196" i="5"/>
  <c r="N1188" i="5"/>
  <c r="L1163" i="5"/>
  <c r="J1094" i="5"/>
  <c r="I1080" i="5"/>
  <c r="E1557" i="5"/>
  <c r="F1557" i="5" s="1"/>
  <c r="N1553" i="5"/>
  <c r="M1552" i="5"/>
  <c r="L1551" i="5"/>
  <c r="K1550" i="5"/>
  <c r="G1550" i="5" s="1"/>
  <c r="J1549" i="5"/>
  <c r="I1548" i="5"/>
  <c r="H1547" i="5"/>
  <c r="E1545" i="5"/>
  <c r="F1545" i="5" s="1"/>
  <c r="N1541" i="5"/>
  <c r="M1540" i="5"/>
  <c r="L1539" i="5"/>
  <c r="K1538" i="5"/>
  <c r="G1538" i="5" s="1"/>
  <c r="J1537" i="5"/>
  <c r="I1536" i="5"/>
  <c r="H1535" i="5"/>
  <c r="E1533" i="5"/>
  <c r="F1533" i="5" s="1"/>
  <c r="N1529" i="5"/>
  <c r="M1528" i="5"/>
  <c r="L1527" i="5"/>
  <c r="K1526" i="5"/>
  <c r="G1526" i="5" s="1"/>
  <c r="J1525" i="5"/>
  <c r="I1524" i="5"/>
  <c r="H1523" i="5"/>
  <c r="E1521" i="5"/>
  <c r="F1521" i="5" s="1"/>
  <c r="N1517" i="5"/>
  <c r="M1516" i="5"/>
  <c r="L1515" i="5"/>
  <c r="K1514" i="5"/>
  <c r="G1514" i="5" s="1"/>
  <c r="J1513" i="5"/>
  <c r="I1512" i="5"/>
  <c r="H1511" i="5"/>
  <c r="E1509" i="5"/>
  <c r="F1509" i="5" s="1"/>
  <c r="N1505" i="5"/>
  <c r="M1504" i="5"/>
  <c r="L1503" i="5"/>
  <c r="K1502" i="5"/>
  <c r="G1502" i="5" s="1"/>
  <c r="J1501" i="5"/>
  <c r="I1500" i="5"/>
  <c r="H1499" i="5"/>
  <c r="E1497" i="5"/>
  <c r="F1497" i="5" s="1"/>
  <c r="N1493" i="5"/>
  <c r="M1492" i="5"/>
  <c r="L1491" i="5"/>
  <c r="K1490" i="5"/>
  <c r="G1490" i="5" s="1"/>
  <c r="J1489" i="5"/>
  <c r="I1488" i="5"/>
  <c r="H1487" i="5"/>
  <c r="E1485" i="5"/>
  <c r="F1485" i="5" s="1"/>
  <c r="N1481" i="5"/>
  <c r="M1480" i="5"/>
  <c r="L1479" i="5"/>
  <c r="K1478" i="5"/>
  <c r="G1478" i="5" s="1"/>
  <c r="J1477" i="5"/>
  <c r="I1476" i="5"/>
  <c r="H1475" i="5"/>
  <c r="E1473" i="5"/>
  <c r="F1473" i="5" s="1"/>
  <c r="N1469" i="5"/>
  <c r="M1468" i="5"/>
  <c r="L1467" i="5"/>
  <c r="K1466" i="5"/>
  <c r="G1466" i="5" s="1"/>
  <c r="J1465" i="5"/>
  <c r="I1464" i="5"/>
  <c r="H1463" i="5"/>
  <c r="E1461" i="5"/>
  <c r="F1461" i="5" s="1"/>
  <c r="N1457" i="5"/>
  <c r="M1456" i="5"/>
  <c r="L1455" i="5"/>
  <c r="K1454" i="5"/>
  <c r="G1454" i="5" s="1"/>
  <c r="J1453" i="5"/>
  <c r="I1452" i="5"/>
  <c r="H1451" i="5"/>
  <c r="E1449" i="5"/>
  <c r="F1449" i="5" s="1"/>
  <c r="N1445" i="5"/>
  <c r="M1444" i="5"/>
  <c r="L1443" i="5"/>
  <c r="K1442" i="5"/>
  <c r="G1442" i="5" s="1"/>
  <c r="J1441" i="5"/>
  <c r="I1440" i="5"/>
  <c r="H1439" i="5"/>
  <c r="K1435" i="5"/>
  <c r="G1435" i="5" s="1"/>
  <c r="M1433" i="5"/>
  <c r="M1431" i="5"/>
  <c r="E1426" i="5"/>
  <c r="F1426" i="5" s="1"/>
  <c r="B1420" i="5"/>
  <c r="E1418" i="5"/>
  <c r="F1418" i="5" s="1"/>
  <c r="I1414" i="5"/>
  <c r="H1412" i="5"/>
  <c r="L1406" i="5"/>
  <c r="B1401" i="5"/>
  <c r="E1385" i="5"/>
  <c r="F1385" i="5" s="1"/>
  <c r="J1381" i="5"/>
  <c r="J1377" i="5"/>
  <c r="M1369" i="5"/>
  <c r="E1364" i="5"/>
  <c r="F1364" i="5" s="1"/>
  <c r="I1356" i="5"/>
  <c r="J1350" i="5"/>
  <c r="L1348" i="5"/>
  <c r="L1344" i="5"/>
  <c r="N1342" i="5"/>
  <c r="H1331" i="5"/>
  <c r="H1329" i="5"/>
  <c r="K1323" i="5"/>
  <c r="G1323" i="5" s="1"/>
  <c r="K1321" i="5"/>
  <c r="G1321" i="5" s="1"/>
  <c r="K1319" i="5"/>
  <c r="G1319" i="5" s="1"/>
  <c r="N1313" i="5"/>
  <c r="N1311" i="5"/>
  <c r="H1303" i="5"/>
  <c r="K1295" i="5"/>
  <c r="G1295" i="5" s="1"/>
  <c r="B1281" i="5"/>
  <c r="L1264" i="5"/>
  <c r="E1226" i="5"/>
  <c r="F1226" i="5" s="1"/>
  <c r="J1220" i="5"/>
  <c r="E1094" i="5"/>
  <c r="F1094" i="5" s="1"/>
  <c r="H1080" i="5"/>
  <c r="L1043" i="5"/>
  <c r="B1556" i="5"/>
  <c r="B1544" i="5"/>
  <c r="B1532" i="5"/>
  <c r="B1520" i="5"/>
  <c r="B1508" i="5"/>
  <c r="B1496" i="5"/>
  <c r="B1484" i="5"/>
  <c r="B1472" i="5"/>
  <c r="B1460" i="5"/>
  <c r="B1448" i="5"/>
  <c r="I1437" i="5"/>
  <c r="L1431" i="5"/>
  <c r="L1429" i="5"/>
  <c r="L1427" i="5"/>
  <c r="B1422" i="5"/>
  <c r="H1416" i="5"/>
  <c r="H1408" i="5"/>
  <c r="K1406" i="5"/>
  <c r="G1406" i="5" s="1"/>
  <c r="K1404" i="5"/>
  <c r="G1404" i="5" s="1"/>
  <c r="K1402" i="5"/>
  <c r="G1402" i="5" s="1"/>
  <c r="L1400" i="5"/>
  <c r="N1396" i="5"/>
  <c r="N1394" i="5"/>
  <c r="B1393" i="5"/>
  <c r="J1379" i="5"/>
  <c r="K1375" i="5"/>
  <c r="G1375" i="5" s="1"/>
  <c r="M1373" i="5"/>
  <c r="M1371" i="5"/>
  <c r="E1366" i="5"/>
  <c r="F1366" i="5" s="1"/>
  <c r="B1360" i="5"/>
  <c r="E1358" i="5"/>
  <c r="F1358" i="5" s="1"/>
  <c r="I1354" i="5"/>
  <c r="H1352" i="5"/>
  <c r="L1346" i="5"/>
  <c r="B1341" i="5"/>
  <c r="E1325" i="5"/>
  <c r="F1325" i="5" s="1"/>
  <c r="J1321" i="5"/>
  <c r="J1317" i="5"/>
  <c r="M1309" i="5"/>
  <c r="I1290" i="5"/>
  <c r="K1275" i="5"/>
  <c r="G1275" i="5" s="1"/>
  <c r="E1270" i="5"/>
  <c r="F1270" i="5" s="1"/>
  <c r="H1253" i="5"/>
  <c r="K1247" i="5"/>
  <c r="G1247" i="5" s="1"/>
  <c r="N1231" i="5"/>
  <c r="I1220" i="5"/>
  <c r="N1214" i="5"/>
  <c r="L1196" i="5"/>
  <c r="E1137" i="5"/>
  <c r="F1137" i="5" s="1"/>
  <c r="E1558" i="5"/>
  <c r="F1558" i="5" s="1"/>
  <c r="N1554" i="5"/>
  <c r="M1553" i="5"/>
  <c r="L1552" i="5"/>
  <c r="K1551" i="5"/>
  <c r="G1551" i="5" s="1"/>
  <c r="J1550" i="5"/>
  <c r="I1549" i="5"/>
  <c r="H1548" i="5"/>
  <c r="E1546" i="5"/>
  <c r="F1546" i="5" s="1"/>
  <c r="N1542" i="5"/>
  <c r="M1541" i="5"/>
  <c r="L1540" i="5"/>
  <c r="K1539" i="5"/>
  <c r="G1539" i="5" s="1"/>
  <c r="J1538" i="5"/>
  <c r="I1537" i="5"/>
  <c r="H1536" i="5"/>
  <c r="E1534" i="5"/>
  <c r="F1534" i="5" s="1"/>
  <c r="N1530" i="5"/>
  <c r="M1529" i="5"/>
  <c r="L1528" i="5"/>
  <c r="K1527" i="5"/>
  <c r="G1527" i="5" s="1"/>
  <c r="J1526" i="5"/>
  <c r="I1525" i="5"/>
  <c r="H1524" i="5"/>
  <c r="E1522" i="5"/>
  <c r="F1522" i="5" s="1"/>
  <c r="N1518" i="5"/>
  <c r="M1517" i="5"/>
  <c r="L1516" i="5"/>
  <c r="K1515" i="5"/>
  <c r="G1515" i="5" s="1"/>
  <c r="J1514" i="5"/>
  <c r="I1513" i="5"/>
  <c r="H1512" i="5"/>
  <c r="E1510" i="5"/>
  <c r="F1510" i="5" s="1"/>
  <c r="N1506" i="5"/>
  <c r="M1505" i="5"/>
  <c r="L1504" i="5"/>
  <c r="K1503" i="5"/>
  <c r="G1503" i="5" s="1"/>
  <c r="J1502" i="5"/>
  <c r="I1501" i="5"/>
  <c r="H1500" i="5"/>
  <c r="E1498" i="5"/>
  <c r="F1498" i="5" s="1"/>
  <c r="N1494" i="5"/>
  <c r="M1493" i="5"/>
  <c r="L1492" i="5"/>
  <c r="K1491" i="5"/>
  <c r="G1491" i="5" s="1"/>
  <c r="J1490" i="5"/>
  <c r="I1489" i="5"/>
  <c r="H1488" i="5"/>
  <c r="E1486" i="5"/>
  <c r="F1486" i="5" s="1"/>
  <c r="N1482" i="5"/>
  <c r="M1481" i="5"/>
  <c r="L1480" i="5"/>
  <c r="K1479" i="5"/>
  <c r="G1479" i="5" s="1"/>
  <c r="J1478" i="5"/>
  <c r="I1477" i="5"/>
  <c r="H1476" i="5"/>
  <c r="E1474" i="5"/>
  <c r="F1474" i="5" s="1"/>
  <c r="N1470" i="5"/>
  <c r="M1469" i="5"/>
  <c r="L1468" i="5"/>
  <c r="K1467" i="5"/>
  <c r="G1467" i="5" s="1"/>
  <c r="J1466" i="5"/>
  <c r="I1465" i="5"/>
  <c r="H1464" i="5"/>
  <c r="E1462" i="5"/>
  <c r="F1462" i="5" s="1"/>
  <c r="N1458" i="5"/>
  <c r="M1457" i="5"/>
  <c r="L1456" i="5"/>
  <c r="K1455" i="5"/>
  <c r="G1455" i="5" s="1"/>
  <c r="J1454" i="5"/>
  <c r="I1453" i="5"/>
  <c r="H1452" i="5"/>
  <c r="E1450" i="5"/>
  <c r="F1450" i="5" s="1"/>
  <c r="N1446" i="5"/>
  <c r="M1445" i="5"/>
  <c r="L1444" i="5"/>
  <c r="K1443" i="5"/>
  <c r="G1443" i="5" s="1"/>
  <c r="J1442" i="5"/>
  <c r="I1441" i="5"/>
  <c r="H1440" i="5"/>
  <c r="H1435" i="5"/>
  <c r="I1433" i="5"/>
  <c r="M1425" i="5"/>
  <c r="B1424" i="5"/>
  <c r="N1417" i="5"/>
  <c r="H1414" i="5"/>
  <c r="N1398" i="5"/>
  <c r="M1396" i="5"/>
  <c r="M1392" i="5"/>
  <c r="E1389" i="5"/>
  <c r="F1389" i="5" s="1"/>
  <c r="E1387" i="5"/>
  <c r="F1387" i="5" s="1"/>
  <c r="I1381" i="5"/>
  <c r="I1377" i="5"/>
  <c r="L1371" i="5"/>
  <c r="L1369" i="5"/>
  <c r="L1367" i="5"/>
  <c r="B1362" i="5"/>
  <c r="H1356" i="5"/>
  <c r="H1348" i="5"/>
  <c r="K1346" i="5"/>
  <c r="G1346" i="5" s="1"/>
  <c r="K1344" i="5"/>
  <c r="G1344" i="5" s="1"/>
  <c r="K1342" i="5"/>
  <c r="G1342" i="5" s="1"/>
  <c r="L1340" i="5"/>
  <c r="N1336" i="5"/>
  <c r="N1334" i="5"/>
  <c r="B1333" i="5"/>
  <c r="J1319" i="5"/>
  <c r="K1315" i="5"/>
  <c r="G1315" i="5" s="1"/>
  <c r="M1313" i="5"/>
  <c r="M1311" i="5"/>
  <c r="E1306" i="5"/>
  <c r="F1306" i="5" s="1"/>
  <c r="N1299" i="5"/>
  <c r="H1295" i="5"/>
  <c r="H1290" i="5"/>
  <c r="K1264" i="5"/>
  <c r="G1264" i="5" s="1"/>
  <c r="M1241" i="5"/>
  <c r="J1214" i="5"/>
  <c r="H1043" i="5"/>
  <c r="L1003" i="5"/>
  <c r="B1557" i="5"/>
  <c r="B1545" i="5"/>
  <c r="B1533" i="5"/>
  <c r="B1521" i="5"/>
  <c r="B1509" i="5"/>
  <c r="B1497" i="5"/>
  <c r="B1485" i="5"/>
  <c r="B1473" i="5"/>
  <c r="B1461" i="5"/>
  <c r="B1449" i="5"/>
  <c r="H1437" i="5"/>
  <c r="K1431" i="5"/>
  <c r="G1431" i="5" s="1"/>
  <c r="K1429" i="5"/>
  <c r="G1429" i="5" s="1"/>
  <c r="K1427" i="5"/>
  <c r="G1427" i="5" s="1"/>
  <c r="N1421" i="5"/>
  <c r="N1419" i="5"/>
  <c r="E1410" i="5"/>
  <c r="F1410" i="5" s="1"/>
  <c r="J1406" i="5"/>
  <c r="J1404" i="5"/>
  <c r="J1402" i="5"/>
  <c r="I1400" i="5"/>
  <c r="M1394" i="5"/>
  <c r="B1385" i="5"/>
  <c r="I1379" i="5"/>
  <c r="H1375" i="5"/>
  <c r="I1373" i="5"/>
  <c r="M1365" i="5"/>
  <c r="B1364" i="5"/>
  <c r="N1357" i="5"/>
  <c r="H1354" i="5"/>
  <c r="N1338" i="5"/>
  <c r="M1336" i="5"/>
  <c r="M1332" i="5"/>
  <c r="E1329" i="5"/>
  <c r="F1329" i="5" s="1"/>
  <c r="E1327" i="5"/>
  <c r="F1327" i="5" s="1"/>
  <c r="I1321" i="5"/>
  <c r="I1317" i="5"/>
  <c r="L1311" i="5"/>
  <c r="L1309" i="5"/>
  <c r="L1307" i="5"/>
  <c r="B1285" i="5"/>
  <c r="K1279" i="5"/>
  <c r="G1279" i="5" s="1"/>
  <c r="I1264" i="5"/>
  <c r="N1258" i="5"/>
  <c r="E1253" i="5"/>
  <c r="F1253" i="5" s="1"/>
  <c r="L1224" i="5"/>
  <c r="I1204" i="5"/>
  <c r="K1196" i="5"/>
  <c r="G1196" i="5" s="1"/>
  <c r="N1174" i="5"/>
  <c r="H1162" i="5"/>
  <c r="B1108" i="5"/>
  <c r="N1555" i="5"/>
  <c r="M1554" i="5"/>
  <c r="L1553" i="5"/>
  <c r="K1552" i="5"/>
  <c r="G1552" i="5" s="1"/>
  <c r="J1551" i="5"/>
  <c r="I1550" i="5"/>
  <c r="H1549" i="5"/>
  <c r="E1547" i="5"/>
  <c r="F1547" i="5" s="1"/>
  <c r="N1543" i="5"/>
  <c r="M1542" i="5"/>
  <c r="L1541" i="5"/>
  <c r="K1540" i="5"/>
  <c r="G1540" i="5" s="1"/>
  <c r="J1539" i="5"/>
  <c r="I1538" i="5"/>
  <c r="H1537" i="5"/>
  <c r="E1535" i="5"/>
  <c r="F1535" i="5" s="1"/>
  <c r="N1531" i="5"/>
  <c r="M1530" i="5"/>
  <c r="L1529" i="5"/>
  <c r="K1528" i="5"/>
  <c r="G1528" i="5" s="1"/>
  <c r="J1527" i="5"/>
  <c r="I1526" i="5"/>
  <c r="H1525" i="5"/>
  <c r="E1523" i="5"/>
  <c r="F1523" i="5" s="1"/>
  <c r="N1519" i="5"/>
  <c r="M1518" i="5"/>
  <c r="L1517" i="5"/>
  <c r="K1516" i="5"/>
  <c r="G1516" i="5" s="1"/>
  <c r="J1515" i="5"/>
  <c r="I1514" i="5"/>
  <c r="H1513" i="5"/>
  <c r="E1511" i="5"/>
  <c r="F1511" i="5" s="1"/>
  <c r="N1507" i="5"/>
  <c r="M1506" i="5"/>
  <c r="L1505" i="5"/>
  <c r="K1504" i="5"/>
  <c r="G1504" i="5" s="1"/>
  <c r="J1503" i="5"/>
  <c r="I1502" i="5"/>
  <c r="H1501" i="5"/>
  <c r="E1499" i="5"/>
  <c r="F1499" i="5" s="1"/>
  <c r="N1495" i="5"/>
  <c r="M1494" i="5"/>
  <c r="L1493" i="5"/>
  <c r="K1492" i="5"/>
  <c r="G1492" i="5" s="1"/>
  <c r="J1491" i="5"/>
  <c r="I1490" i="5"/>
  <c r="H1489" i="5"/>
  <c r="E1487" i="5"/>
  <c r="F1487" i="5" s="1"/>
  <c r="N1483" i="5"/>
  <c r="M1482" i="5"/>
  <c r="L1481" i="5"/>
  <c r="K1480" i="5"/>
  <c r="G1480" i="5" s="1"/>
  <c r="J1479" i="5"/>
  <c r="I1478" i="5"/>
  <c r="H1477" i="5"/>
  <c r="E1475" i="5"/>
  <c r="F1475" i="5" s="1"/>
  <c r="N1471" i="5"/>
  <c r="M1470" i="5"/>
  <c r="L1469" i="5"/>
  <c r="K1468" i="5"/>
  <c r="G1468" i="5" s="1"/>
  <c r="J1467" i="5"/>
  <c r="I1466" i="5"/>
  <c r="H1465" i="5"/>
  <c r="E1463" i="5"/>
  <c r="F1463" i="5" s="1"/>
  <c r="N1459" i="5"/>
  <c r="M1458" i="5"/>
  <c r="L1457" i="5"/>
  <c r="K1456" i="5"/>
  <c r="G1456" i="5" s="1"/>
  <c r="J1455" i="5"/>
  <c r="I1454" i="5"/>
  <c r="H1453" i="5"/>
  <c r="E1451" i="5"/>
  <c r="F1451" i="5" s="1"/>
  <c r="N1447" i="5"/>
  <c r="M1446" i="5"/>
  <c r="L1445" i="5"/>
  <c r="K1444" i="5"/>
  <c r="G1444" i="5" s="1"/>
  <c r="J1443" i="5"/>
  <c r="I1442" i="5"/>
  <c r="H1441" i="5"/>
  <c r="E1439" i="5"/>
  <c r="F1439" i="5" s="1"/>
  <c r="E1433" i="5"/>
  <c r="F1433" i="5" s="1"/>
  <c r="J1429" i="5"/>
  <c r="J1425" i="5"/>
  <c r="M1417" i="5"/>
  <c r="E1412" i="5"/>
  <c r="F1412" i="5" s="1"/>
  <c r="I1404" i="5"/>
  <c r="J1398" i="5"/>
  <c r="L1396" i="5"/>
  <c r="L1392" i="5"/>
  <c r="N1390" i="5"/>
  <c r="H1379" i="5"/>
  <c r="H1377" i="5"/>
  <c r="K1371" i="5"/>
  <c r="G1371" i="5" s="1"/>
  <c r="K1369" i="5"/>
  <c r="G1369" i="5" s="1"/>
  <c r="K1367" i="5"/>
  <c r="G1367" i="5" s="1"/>
  <c r="N1361" i="5"/>
  <c r="N1359" i="5"/>
  <c r="E1350" i="5"/>
  <c r="F1350" i="5" s="1"/>
  <c r="J1346" i="5"/>
  <c r="J1344" i="5"/>
  <c r="J1342" i="5"/>
  <c r="I1340" i="5"/>
  <c r="M1334" i="5"/>
  <c r="B1325" i="5"/>
  <c r="I1319" i="5"/>
  <c r="H1315" i="5"/>
  <c r="I1313" i="5"/>
  <c r="M1305" i="5"/>
  <c r="E1303" i="5"/>
  <c r="F1303" i="5" s="1"/>
  <c r="M1299" i="5"/>
  <c r="L1241" i="5"/>
  <c r="B1236" i="5"/>
  <c r="I1230" i="5"/>
  <c r="J1196" i="5"/>
  <c r="L1185" i="5"/>
  <c r="K1078" i="5"/>
  <c r="G1078" i="5" s="1"/>
  <c r="B1558" i="5"/>
  <c r="B1546" i="5"/>
  <c r="B1534" i="5"/>
  <c r="B1522" i="5"/>
  <c r="B1510" i="5"/>
  <c r="B1498" i="5"/>
  <c r="B1486" i="5"/>
  <c r="B1474" i="5"/>
  <c r="B1462" i="5"/>
  <c r="B1450" i="5"/>
  <c r="J1427" i="5"/>
  <c r="K1423" i="5"/>
  <c r="G1423" i="5" s="1"/>
  <c r="M1421" i="5"/>
  <c r="M1419" i="5"/>
  <c r="E1414" i="5"/>
  <c r="F1414" i="5" s="1"/>
  <c r="B1408" i="5"/>
  <c r="E1406" i="5"/>
  <c r="F1406" i="5" s="1"/>
  <c r="I1402" i="5"/>
  <c r="H1400" i="5"/>
  <c r="L1394" i="5"/>
  <c r="B1389" i="5"/>
  <c r="E1373" i="5"/>
  <c r="F1373" i="5" s="1"/>
  <c r="J1369" i="5"/>
  <c r="J1365" i="5"/>
  <c r="M1357" i="5"/>
  <c r="E1352" i="5"/>
  <c r="F1352" i="5" s="1"/>
  <c r="I1344" i="5"/>
  <c r="J1338" i="5"/>
  <c r="L1336" i="5"/>
  <c r="L1332" i="5"/>
  <c r="N1330" i="5"/>
  <c r="H1319" i="5"/>
  <c r="H1317" i="5"/>
  <c r="K1311" i="5"/>
  <c r="G1311" i="5" s="1"/>
  <c r="K1309" i="5"/>
  <c r="G1309" i="5" s="1"/>
  <c r="K1307" i="5"/>
  <c r="G1307" i="5" s="1"/>
  <c r="E1290" i="5"/>
  <c r="F1290" i="5" s="1"/>
  <c r="N1284" i="5"/>
  <c r="J1279" i="5"/>
  <c r="E1274" i="5"/>
  <c r="F1274" i="5" s="1"/>
  <c r="L1268" i="5"/>
  <c r="M1258" i="5"/>
  <c r="E1247" i="5"/>
  <c r="F1247" i="5" s="1"/>
  <c r="J1241" i="5"/>
  <c r="H1230" i="5"/>
  <c r="H1224" i="5"/>
  <c r="N1218" i="5"/>
  <c r="H1204" i="5"/>
  <c r="K1185" i="5"/>
  <c r="G1185" i="5" s="1"/>
  <c r="L1419" i="5"/>
  <c r="L1417" i="5"/>
  <c r="L1415" i="5"/>
  <c r="B1410" i="5"/>
  <c r="H1404" i="5"/>
  <c r="H1396" i="5"/>
  <c r="K1394" i="5"/>
  <c r="G1394" i="5" s="1"/>
  <c r="K1392" i="5"/>
  <c r="G1392" i="5" s="1"/>
  <c r="K1390" i="5"/>
  <c r="G1390" i="5" s="1"/>
  <c r="L1388" i="5"/>
  <c r="N1384" i="5"/>
  <c r="N1382" i="5"/>
  <c r="B1381" i="5"/>
  <c r="J1367" i="5"/>
  <c r="K1363" i="5"/>
  <c r="G1363" i="5" s="1"/>
  <c r="M1361" i="5"/>
  <c r="M1359" i="5"/>
  <c r="E1354" i="5"/>
  <c r="F1354" i="5" s="1"/>
  <c r="B1348" i="5"/>
  <c r="E1346" i="5"/>
  <c r="F1346" i="5" s="1"/>
  <c r="I1342" i="5"/>
  <c r="H1340" i="5"/>
  <c r="L1334" i="5"/>
  <c r="B1329" i="5"/>
  <c r="E1313" i="5"/>
  <c r="F1313" i="5" s="1"/>
  <c r="J1309" i="5"/>
  <c r="J1305" i="5"/>
  <c r="M1284" i="5"/>
  <c r="I1279" i="5"/>
  <c r="B1547" i="5"/>
  <c r="B1535" i="5"/>
  <c r="B1523" i="5"/>
  <c r="B1511" i="5"/>
  <c r="B1499" i="5"/>
  <c r="B1487" i="5"/>
  <c r="P1487" i="5" s="1"/>
  <c r="B1475" i="5"/>
  <c r="B1463" i="5"/>
  <c r="B1451" i="5"/>
  <c r="B1439" i="5"/>
  <c r="P1439" i="5" s="1"/>
  <c r="B1433" i="5"/>
  <c r="I1427" i="5"/>
  <c r="H1423" i="5"/>
  <c r="I1421" i="5"/>
  <c r="M1413" i="5"/>
  <c r="B1412" i="5"/>
  <c r="N1405" i="5"/>
  <c r="H1402" i="5"/>
  <c r="N1386" i="5"/>
  <c r="M1384" i="5"/>
  <c r="M1380" i="5"/>
  <c r="E1377" i="5"/>
  <c r="F1377" i="5" s="1"/>
  <c r="E1375" i="5"/>
  <c r="F1375" i="5" s="1"/>
  <c r="I1369" i="5"/>
  <c r="I1365" i="5"/>
  <c r="L1359" i="5"/>
  <c r="L1357" i="5"/>
  <c r="L1355" i="5"/>
  <c r="B1350" i="5"/>
  <c r="H1344" i="5"/>
  <c r="H1336" i="5"/>
  <c r="K1334" i="5"/>
  <c r="G1334" i="5" s="1"/>
  <c r="K1332" i="5"/>
  <c r="G1332" i="5" s="1"/>
  <c r="K1330" i="5"/>
  <c r="G1330" i="5" s="1"/>
  <c r="L1328" i="5"/>
  <c r="N1324" i="5"/>
  <c r="N1322" i="5"/>
  <c r="B1321" i="5"/>
  <c r="J1307" i="5"/>
  <c r="H1279" i="5"/>
  <c r="K1268" i="5"/>
  <c r="G1268" i="5" s="1"/>
  <c r="J1251" i="5"/>
  <c r="I1241" i="5"/>
  <c r="N1235" i="5"/>
  <c r="M1218" i="5"/>
  <c r="M1184" i="5"/>
  <c r="N1557" i="5"/>
  <c r="M1556" i="5"/>
  <c r="L1555" i="5"/>
  <c r="K1554" i="5"/>
  <c r="G1554" i="5" s="1"/>
  <c r="J1553" i="5"/>
  <c r="I1552" i="5"/>
  <c r="H1551" i="5"/>
  <c r="E1549" i="5"/>
  <c r="F1549" i="5" s="1"/>
  <c r="N1545" i="5"/>
  <c r="M1544" i="5"/>
  <c r="L1543" i="5"/>
  <c r="K1542" i="5"/>
  <c r="G1542" i="5" s="1"/>
  <c r="J1541" i="5"/>
  <c r="I1540" i="5"/>
  <c r="H1539" i="5"/>
  <c r="E1537" i="5"/>
  <c r="F1537" i="5" s="1"/>
  <c r="N1533" i="5"/>
  <c r="M1532" i="5"/>
  <c r="L1531" i="5"/>
  <c r="K1530" i="5"/>
  <c r="G1530" i="5" s="1"/>
  <c r="J1529" i="5"/>
  <c r="I1528" i="5"/>
  <c r="H1527" i="5"/>
  <c r="E1525" i="5"/>
  <c r="F1525" i="5" s="1"/>
  <c r="N1521" i="5"/>
  <c r="M1520" i="5"/>
  <c r="L1519" i="5"/>
  <c r="K1518" i="5"/>
  <c r="G1518" i="5" s="1"/>
  <c r="J1517" i="5"/>
  <c r="I1516" i="5"/>
  <c r="H1515" i="5"/>
  <c r="E1513" i="5"/>
  <c r="F1513" i="5" s="1"/>
  <c r="N1509" i="5"/>
  <c r="M1508" i="5"/>
  <c r="L1507" i="5"/>
  <c r="K1506" i="5"/>
  <c r="G1506" i="5" s="1"/>
  <c r="J1505" i="5"/>
  <c r="I1504" i="5"/>
  <c r="H1503" i="5"/>
  <c r="E1501" i="5"/>
  <c r="F1501" i="5" s="1"/>
  <c r="N1497" i="5"/>
  <c r="M1496" i="5"/>
  <c r="L1495" i="5"/>
  <c r="K1494" i="5"/>
  <c r="G1494" i="5" s="1"/>
  <c r="J1493" i="5"/>
  <c r="I1492" i="5"/>
  <c r="H1491" i="5"/>
  <c r="E1489" i="5"/>
  <c r="F1489" i="5" s="1"/>
  <c r="N1485" i="5"/>
  <c r="M1484" i="5"/>
  <c r="L1483" i="5"/>
  <c r="K1482" i="5"/>
  <c r="G1482" i="5" s="1"/>
  <c r="J1481" i="5"/>
  <c r="I1480" i="5"/>
  <c r="H1479" i="5"/>
  <c r="E1477" i="5"/>
  <c r="F1477" i="5" s="1"/>
  <c r="N1473" i="5"/>
  <c r="M1472" i="5"/>
  <c r="L1471" i="5"/>
  <c r="K1470" i="5"/>
  <c r="G1470" i="5" s="1"/>
  <c r="J1469" i="5"/>
  <c r="I1468" i="5"/>
  <c r="H1467" i="5"/>
  <c r="E1465" i="5"/>
  <c r="F1465" i="5" s="1"/>
  <c r="N1461" i="5"/>
  <c r="M1460" i="5"/>
  <c r="L1459" i="5"/>
  <c r="K1458" i="5"/>
  <c r="G1458" i="5" s="1"/>
  <c r="J1457" i="5"/>
  <c r="I1456" i="5"/>
  <c r="H1455" i="5"/>
  <c r="E1453" i="5"/>
  <c r="F1453" i="5" s="1"/>
  <c r="N1449" i="5"/>
  <c r="M1448" i="5"/>
  <c r="L1447" i="5"/>
  <c r="K1446" i="5"/>
  <c r="G1446" i="5" s="1"/>
  <c r="J1445" i="5"/>
  <c r="I1444" i="5"/>
  <c r="H1443" i="5"/>
  <c r="E1441" i="5"/>
  <c r="F1441" i="5" s="1"/>
  <c r="N1438" i="5"/>
  <c r="H1427" i="5"/>
  <c r="H1425" i="5"/>
  <c r="K1419" i="5"/>
  <c r="G1419" i="5" s="1"/>
  <c r="K1417" i="5"/>
  <c r="G1417" i="5" s="1"/>
  <c r="K1415" i="5"/>
  <c r="G1415" i="5" s="1"/>
  <c r="N1409" i="5"/>
  <c r="N1407" i="5"/>
  <c r="E1398" i="5"/>
  <c r="F1398" i="5" s="1"/>
  <c r="J1394" i="5"/>
  <c r="J1392" i="5"/>
  <c r="J1390" i="5"/>
  <c r="I1388" i="5"/>
  <c r="M1382" i="5"/>
  <c r="B1373" i="5"/>
  <c r="I1367" i="5"/>
  <c r="H1363" i="5"/>
  <c r="I1361" i="5"/>
  <c r="M1353" i="5"/>
  <c r="B1352" i="5"/>
  <c r="N1345" i="5"/>
  <c r="H1342" i="5"/>
  <c r="N1326" i="5"/>
  <c r="M1324" i="5"/>
  <c r="M1320" i="5"/>
  <c r="E1317" i="5"/>
  <c r="F1317" i="5" s="1"/>
  <c r="E1315" i="5"/>
  <c r="F1315" i="5" s="1"/>
  <c r="I1309" i="5"/>
  <c r="I1305" i="5"/>
  <c r="K1298" i="5"/>
  <c r="G1298" i="5" s="1"/>
  <c r="N1293" i="5"/>
  <c r="L1284" i="5"/>
  <c r="J1268" i="5"/>
  <c r="H1251" i="5"/>
  <c r="M1235" i="5"/>
  <c r="E1230" i="5"/>
  <c r="F1230" i="5" s="1"/>
  <c r="K1218" i="5"/>
  <c r="G1218" i="5" s="1"/>
  <c r="N1211" i="5"/>
  <c r="E1204" i="5"/>
  <c r="F1204" i="5" s="1"/>
  <c r="B1548" i="5"/>
  <c r="B1536" i="5"/>
  <c r="B1524" i="5"/>
  <c r="B1512" i="5"/>
  <c r="B1500" i="5"/>
  <c r="B1488" i="5"/>
  <c r="B1476" i="5"/>
  <c r="B1464" i="5"/>
  <c r="P1464" i="5" s="1"/>
  <c r="B1452" i="5"/>
  <c r="B1440" i="5"/>
  <c r="B1437" i="5"/>
  <c r="E1421" i="5"/>
  <c r="F1421" i="5" s="1"/>
  <c r="J1417" i="5"/>
  <c r="J1413" i="5"/>
  <c r="M1405" i="5"/>
  <c r="E1400" i="5"/>
  <c r="F1400" i="5" s="1"/>
  <c r="I1392" i="5"/>
  <c r="J1386" i="5"/>
  <c r="L1384" i="5"/>
  <c r="L1380" i="5"/>
  <c r="N1378" i="5"/>
  <c r="H1367" i="5"/>
  <c r="H1365" i="5"/>
  <c r="K1359" i="5"/>
  <c r="G1359" i="5" s="1"/>
  <c r="K1357" i="5"/>
  <c r="G1357" i="5" s="1"/>
  <c r="K1355" i="5"/>
  <c r="G1355" i="5" s="1"/>
  <c r="N1349" i="5"/>
  <c r="N1347" i="5"/>
  <c r="E1338" i="5"/>
  <c r="F1338" i="5" s="1"/>
  <c r="J1334" i="5"/>
  <c r="J1332" i="5"/>
  <c r="J1330" i="5"/>
  <c r="I1328" i="5"/>
  <c r="M1322" i="5"/>
  <c r="B1313" i="5"/>
  <c r="P1313" i="5" s="1"/>
  <c r="I1307" i="5"/>
  <c r="E1302" i="5"/>
  <c r="F1302" i="5" s="1"/>
  <c r="K1288" i="5"/>
  <c r="G1288" i="5" s="1"/>
  <c r="N1273" i="5"/>
  <c r="I1268" i="5"/>
  <c r="L1245" i="5"/>
  <c r="L1235" i="5"/>
  <c r="M1211" i="5"/>
  <c r="H1193" i="5"/>
  <c r="L1184" i="5"/>
  <c r="H1088" i="5"/>
  <c r="M1056" i="5"/>
  <c r="M1557" i="5"/>
  <c r="L1556" i="5"/>
  <c r="K1555" i="5"/>
  <c r="G1555" i="5" s="1"/>
  <c r="J1554" i="5"/>
  <c r="I1553" i="5"/>
  <c r="H1552" i="5"/>
  <c r="E1550" i="5"/>
  <c r="F1550" i="5" s="1"/>
  <c r="N1546" i="5"/>
  <c r="M1545" i="5"/>
  <c r="L1544" i="5"/>
  <c r="K1543" i="5"/>
  <c r="G1543" i="5" s="1"/>
  <c r="J1542" i="5"/>
  <c r="I1541" i="5"/>
  <c r="H1540" i="5"/>
  <c r="E1538" i="5"/>
  <c r="F1538" i="5" s="1"/>
  <c r="N1534" i="5"/>
  <c r="M1533" i="5"/>
  <c r="L1532" i="5"/>
  <c r="K1531" i="5"/>
  <c r="G1531" i="5" s="1"/>
  <c r="J1530" i="5"/>
  <c r="I1529" i="5"/>
  <c r="H1528" i="5"/>
  <c r="E1526" i="5"/>
  <c r="F1526" i="5" s="1"/>
  <c r="N1522" i="5"/>
  <c r="M1521" i="5"/>
  <c r="L1520" i="5"/>
  <c r="K1519" i="5"/>
  <c r="G1519" i="5" s="1"/>
  <c r="J1518" i="5"/>
  <c r="I1517" i="5"/>
  <c r="H1516" i="5"/>
  <c r="E1514" i="5"/>
  <c r="F1514" i="5" s="1"/>
  <c r="N1510" i="5"/>
  <c r="M1509" i="5"/>
  <c r="L1508" i="5"/>
  <c r="K1507" i="5"/>
  <c r="G1507" i="5" s="1"/>
  <c r="J1506" i="5"/>
  <c r="I1505" i="5"/>
  <c r="H1504" i="5"/>
  <c r="E1502" i="5"/>
  <c r="F1502" i="5" s="1"/>
  <c r="N1498" i="5"/>
  <c r="M1497" i="5"/>
  <c r="L1496" i="5"/>
  <c r="K1495" i="5"/>
  <c r="G1495" i="5" s="1"/>
  <c r="J1494" i="5"/>
  <c r="I1493" i="5"/>
  <c r="H1492" i="5"/>
  <c r="E1490" i="5"/>
  <c r="F1490" i="5" s="1"/>
  <c r="N1486" i="5"/>
  <c r="M1485" i="5"/>
  <c r="L1484" i="5"/>
  <c r="K1483" i="5"/>
  <c r="G1483" i="5" s="1"/>
  <c r="J1482" i="5"/>
  <c r="I1481" i="5"/>
  <c r="H1480" i="5"/>
  <c r="E1478" i="5"/>
  <c r="F1478" i="5" s="1"/>
  <c r="N1474" i="5"/>
  <c r="M1473" i="5"/>
  <c r="L1472" i="5"/>
  <c r="K1471" i="5"/>
  <c r="G1471" i="5" s="1"/>
  <c r="J1470" i="5"/>
  <c r="I1469" i="5"/>
  <c r="H1468" i="5"/>
  <c r="E1466" i="5"/>
  <c r="F1466" i="5" s="1"/>
  <c r="N1462" i="5"/>
  <c r="M1461" i="5"/>
  <c r="L1460" i="5"/>
  <c r="K1459" i="5"/>
  <c r="G1459" i="5" s="1"/>
  <c r="J1458" i="5"/>
  <c r="I1457" i="5"/>
  <c r="H1456" i="5"/>
  <c r="E1454" i="5"/>
  <c r="F1454" i="5" s="1"/>
  <c r="N1450" i="5"/>
  <c r="M1449" i="5"/>
  <c r="L1448" i="5"/>
  <c r="K1447" i="5"/>
  <c r="G1447" i="5" s="1"/>
  <c r="J1446" i="5"/>
  <c r="I1445" i="5"/>
  <c r="H1444" i="5"/>
  <c r="E1442" i="5"/>
  <c r="F1442" i="5" s="1"/>
  <c r="K1438" i="5"/>
  <c r="G1438" i="5" s="1"/>
  <c r="L1436" i="5"/>
  <c r="N1432" i="5"/>
  <c r="N1430" i="5"/>
  <c r="B1429" i="5"/>
  <c r="P1429" i="5" s="1"/>
  <c r="J1415" i="5"/>
  <c r="K1411" i="5"/>
  <c r="G1411" i="5" s="1"/>
  <c r="M1409" i="5"/>
  <c r="M1407" i="5"/>
  <c r="E1402" i="5"/>
  <c r="F1402" i="5" s="1"/>
  <c r="B1396" i="5"/>
  <c r="E1394" i="5"/>
  <c r="F1394" i="5" s="1"/>
  <c r="I1390" i="5"/>
  <c r="H1388" i="5"/>
  <c r="L1382" i="5"/>
  <c r="B1377" i="5"/>
  <c r="E1361" i="5"/>
  <c r="F1361" i="5" s="1"/>
  <c r="J1357" i="5"/>
  <c r="J1353" i="5"/>
  <c r="M1345" i="5"/>
  <c r="E1340" i="5"/>
  <c r="F1340" i="5" s="1"/>
  <c r="I1332" i="5"/>
  <c r="J1326" i="5"/>
  <c r="L1324" i="5"/>
  <c r="L1320" i="5"/>
  <c r="N1318" i="5"/>
  <c r="H1307" i="5"/>
  <c r="H1305" i="5"/>
  <c r="J1298" i="5"/>
  <c r="M1293" i="5"/>
  <c r="I1288" i="5"/>
  <c r="N1262" i="5"/>
  <c r="B1257" i="5"/>
  <c r="K1245" i="5"/>
  <c r="G1245" i="5" s="1"/>
  <c r="J1218" i="5"/>
  <c r="B1145" i="5"/>
  <c r="L1056" i="5"/>
  <c r="B1435" i="5"/>
  <c r="B1423" i="5"/>
  <c r="B1411" i="5"/>
  <c r="B1399" i="5"/>
  <c r="B1387" i="5"/>
  <c r="B1375" i="5"/>
  <c r="B1363" i="5"/>
  <c r="B1351" i="5"/>
  <c r="B1339" i="5"/>
  <c r="B1327" i="5"/>
  <c r="B1315" i="5"/>
  <c r="B1303" i="5"/>
  <c r="M1296" i="5"/>
  <c r="L1291" i="5"/>
  <c r="E1288" i="5"/>
  <c r="F1288" i="5" s="1"/>
  <c r="I1286" i="5"/>
  <c r="H1268" i="5"/>
  <c r="I1266" i="5"/>
  <c r="H1264" i="5"/>
  <c r="L1258" i="5"/>
  <c r="L1256" i="5"/>
  <c r="B1253" i="5"/>
  <c r="B1249" i="5"/>
  <c r="H1243" i="5"/>
  <c r="H1239" i="5"/>
  <c r="I1237" i="5"/>
  <c r="L1233" i="5"/>
  <c r="L1231" i="5"/>
  <c r="M1229" i="5"/>
  <c r="B1228" i="5"/>
  <c r="B1224" i="5"/>
  <c r="H1220" i="5"/>
  <c r="I1218" i="5"/>
  <c r="H1216" i="5"/>
  <c r="E1214" i="5"/>
  <c r="F1214" i="5" s="1"/>
  <c r="J1207" i="5"/>
  <c r="H1203" i="5"/>
  <c r="N1199" i="5"/>
  <c r="L1195" i="5"/>
  <c r="L1167" i="5"/>
  <c r="L1156" i="5"/>
  <c r="L1115" i="5"/>
  <c r="H1100" i="5"/>
  <c r="K1026" i="5"/>
  <c r="G1026" i="5" s="1"/>
  <c r="N1301" i="5"/>
  <c r="M1300" i="5"/>
  <c r="L1299" i="5"/>
  <c r="E1295" i="5"/>
  <c r="F1295" i="5" s="1"/>
  <c r="J1293" i="5"/>
  <c r="M1282" i="5"/>
  <c r="M1280" i="5"/>
  <c r="H1277" i="5"/>
  <c r="J1275" i="5"/>
  <c r="M1273" i="5"/>
  <c r="H1266" i="5"/>
  <c r="I1262" i="5"/>
  <c r="H1260" i="5"/>
  <c r="K1258" i="5"/>
  <c r="G1258" i="5" s="1"/>
  <c r="M1254" i="5"/>
  <c r="L1252" i="5"/>
  <c r="H1241" i="5"/>
  <c r="K1235" i="5"/>
  <c r="G1235" i="5" s="1"/>
  <c r="K1233" i="5"/>
  <c r="G1233" i="5" s="1"/>
  <c r="H1218" i="5"/>
  <c r="M1210" i="5"/>
  <c r="I1207" i="5"/>
  <c r="M1199" i="5"/>
  <c r="B1188" i="5"/>
  <c r="K1184" i="5"/>
  <c r="G1184" i="5" s="1"/>
  <c r="E1162" i="5"/>
  <c r="F1162" i="5" s="1"/>
  <c r="H1156" i="5"/>
  <c r="B1143" i="5"/>
  <c r="I1129" i="5"/>
  <c r="N1121" i="5"/>
  <c r="J1078" i="5"/>
  <c r="J1026" i="5"/>
  <c r="B1304" i="5"/>
  <c r="E1298" i="5"/>
  <c r="F1298" i="5" s="1"/>
  <c r="L1296" i="5"/>
  <c r="K1291" i="5"/>
  <c r="G1291" i="5" s="1"/>
  <c r="M1289" i="5"/>
  <c r="H1284" i="5"/>
  <c r="L1282" i="5"/>
  <c r="H1275" i="5"/>
  <c r="N1271" i="5"/>
  <c r="N1269" i="5"/>
  <c r="K1256" i="5"/>
  <c r="G1256" i="5" s="1"/>
  <c r="K1254" i="5"/>
  <c r="G1254" i="5" s="1"/>
  <c r="N1248" i="5"/>
  <c r="B1245" i="5"/>
  <c r="H1237" i="5"/>
  <c r="J1233" i="5"/>
  <c r="K1231" i="5"/>
  <c r="G1231" i="5" s="1"/>
  <c r="L1229" i="5"/>
  <c r="N1225" i="5"/>
  <c r="N1221" i="5"/>
  <c r="L1210" i="5"/>
  <c r="K1195" i="5"/>
  <c r="G1195" i="5" s="1"/>
  <c r="E1192" i="5"/>
  <c r="F1192" i="5" s="1"/>
  <c r="J1184" i="5"/>
  <c r="L1178" i="5"/>
  <c r="K1167" i="5"/>
  <c r="G1167" i="5" s="1"/>
  <c r="M1121" i="5"/>
  <c r="N930" i="5"/>
  <c r="N1302" i="5"/>
  <c r="M1301" i="5"/>
  <c r="L1300" i="5"/>
  <c r="K1299" i="5"/>
  <c r="G1299" i="5" s="1"/>
  <c r="I1293" i="5"/>
  <c r="B1288" i="5"/>
  <c r="E1286" i="5"/>
  <c r="F1286" i="5" s="1"/>
  <c r="K1282" i="5"/>
  <c r="G1282" i="5" s="1"/>
  <c r="L1280" i="5"/>
  <c r="E1277" i="5"/>
  <c r="F1277" i="5" s="1"/>
  <c r="M1271" i="5"/>
  <c r="E1264" i="5"/>
  <c r="F1264" i="5" s="1"/>
  <c r="J1258" i="5"/>
  <c r="J1256" i="5"/>
  <c r="K1252" i="5"/>
  <c r="G1252" i="5" s="1"/>
  <c r="N1250" i="5"/>
  <c r="M1248" i="5"/>
  <c r="N1246" i="5"/>
  <c r="E1241" i="5"/>
  <c r="F1241" i="5" s="1"/>
  <c r="E1237" i="5"/>
  <c r="F1237" i="5" s="1"/>
  <c r="J1229" i="5"/>
  <c r="K1227" i="5"/>
  <c r="G1227" i="5" s="1"/>
  <c r="N1223" i="5"/>
  <c r="E1216" i="5"/>
  <c r="F1216" i="5" s="1"/>
  <c r="E1210" i="5"/>
  <c r="F1210" i="5" s="1"/>
  <c r="K1206" i="5"/>
  <c r="G1206" i="5" s="1"/>
  <c r="E1173" i="5"/>
  <c r="F1173" i="5" s="1"/>
  <c r="N1142" i="5"/>
  <c r="H1135" i="5"/>
  <c r="H1092" i="5"/>
  <c r="L1084" i="5"/>
  <c r="I1026" i="5"/>
  <c r="B1305" i="5"/>
  <c r="I1296" i="5"/>
  <c r="J1291" i="5"/>
  <c r="L1289" i="5"/>
  <c r="N1278" i="5"/>
  <c r="I1273" i="5"/>
  <c r="L1271" i="5"/>
  <c r="M1269" i="5"/>
  <c r="E1266" i="5"/>
  <c r="F1266" i="5" s="1"/>
  <c r="E1262" i="5"/>
  <c r="F1262" i="5" s="1"/>
  <c r="I1256" i="5"/>
  <c r="J1254" i="5"/>
  <c r="I1252" i="5"/>
  <c r="M1244" i="5"/>
  <c r="E1239" i="5"/>
  <c r="F1239" i="5" s="1"/>
  <c r="I1233" i="5"/>
  <c r="J1231" i="5"/>
  <c r="M1225" i="5"/>
  <c r="M1223" i="5"/>
  <c r="M1221" i="5"/>
  <c r="E1218" i="5"/>
  <c r="F1218" i="5" s="1"/>
  <c r="I1213" i="5"/>
  <c r="E1203" i="5"/>
  <c r="F1203" i="5" s="1"/>
  <c r="J1195" i="5"/>
  <c r="H1191" i="5"/>
  <c r="N1187" i="5"/>
  <c r="L1183" i="5"/>
  <c r="K1178" i="5"/>
  <c r="G1178" i="5" s="1"/>
  <c r="E1149" i="5"/>
  <c r="F1149" i="5" s="1"/>
  <c r="L1127" i="5"/>
  <c r="I1121" i="5"/>
  <c r="H1084" i="5"/>
  <c r="M930" i="5"/>
  <c r="N1435" i="5"/>
  <c r="M1434" i="5"/>
  <c r="L1433" i="5"/>
  <c r="K1432" i="5"/>
  <c r="G1432" i="5" s="1"/>
  <c r="J1431" i="5"/>
  <c r="I1430" i="5"/>
  <c r="H1429" i="5"/>
  <c r="E1427" i="5"/>
  <c r="F1427" i="5" s="1"/>
  <c r="N1423" i="5"/>
  <c r="M1422" i="5"/>
  <c r="L1421" i="5"/>
  <c r="K1420" i="5"/>
  <c r="G1420" i="5" s="1"/>
  <c r="J1419" i="5"/>
  <c r="I1418" i="5"/>
  <c r="H1417" i="5"/>
  <c r="E1415" i="5"/>
  <c r="F1415" i="5" s="1"/>
  <c r="N1411" i="5"/>
  <c r="M1410" i="5"/>
  <c r="L1409" i="5"/>
  <c r="K1408" i="5"/>
  <c r="G1408" i="5" s="1"/>
  <c r="J1407" i="5"/>
  <c r="I1406" i="5"/>
  <c r="H1405" i="5"/>
  <c r="E1403" i="5"/>
  <c r="F1403" i="5" s="1"/>
  <c r="N1399" i="5"/>
  <c r="M1398" i="5"/>
  <c r="L1397" i="5"/>
  <c r="K1396" i="5"/>
  <c r="G1396" i="5" s="1"/>
  <c r="J1395" i="5"/>
  <c r="I1394" i="5"/>
  <c r="H1393" i="5"/>
  <c r="E1391" i="5"/>
  <c r="F1391" i="5" s="1"/>
  <c r="N1387" i="5"/>
  <c r="M1386" i="5"/>
  <c r="L1385" i="5"/>
  <c r="K1384" i="5"/>
  <c r="G1384" i="5" s="1"/>
  <c r="J1383" i="5"/>
  <c r="I1382" i="5"/>
  <c r="H1381" i="5"/>
  <c r="E1379" i="5"/>
  <c r="F1379" i="5" s="1"/>
  <c r="N1375" i="5"/>
  <c r="M1374" i="5"/>
  <c r="L1373" i="5"/>
  <c r="K1372" i="5"/>
  <c r="G1372" i="5" s="1"/>
  <c r="J1371" i="5"/>
  <c r="I1370" i="5"/>
  <c r="H1369" i="5"/>
  <c r="E1367" i="5"/>
  <c r="F1367" i="5" s="1"/>
  <c r="N1363" i="5"/>
  <c r="M1362" i="5"/>
  <c r="L1361" i="5"/>
  <c r="K1360" i="5"/>
  <c r="G1360" i="5" s="1"/>
  <c r="J1359" i="5"/>
  <c r="I1358" i="5"/>
  <c r="H1357" i="5"/>
  <c r="E1355" i="5"/>
  <c r="F1355" i="5" s="1"/>
  <c r="N1351" i="5"/>
  <c r="M1350" i="5"/>
  <c r="L1349" i="5"/>
  <c r="K1348" i="5"/>
  <c r="G1348" i="5" s="1"/>
  <c r="J1347" i="5"/>
  <c r="I1346" i="5"/>
  <c r="H1345" i="5"/>
  <c r="E1343" i="5"/>
  <c r="F1343" i="5" s="1"/>
  <c r="N1339" i="5"/>
  <c r="M1338" i="5"/>
  <c r="L1337" i="5"/>
  <c r="K1336" i="5"/>
  <c r="G1336" i="5" s="1"/>
  <c r="J1335" i="5"/>
  <c r="I1334" i="5"/>
  <c r="H1333" i="5"/>
  <c r="E1331" i="5"/>
  <c r="F1331" i="5" s="1"/>
  <c r="N1327" i="5"/>
  <c r="M1326" i="5"/>
  <c r="L1325" i="5"/>
  <c r="K1324" i="5"/>
  <c r="G1324" i="5" s="1"/>
  <c r="J1323" i="5"/>
  <c r="I1322" i="5"/>
  <c r="H1321" i="5"/>
  <c r="E1319" i="5"/>
  <c r="F1319" i="5" s="1"/>
  <c r="N1315" i="5"/>
  <c r="M1314" i="5"/>
  <c r="L1313" i="5"/>
  <c r="K1312" i="5"/>
  <c r="G1312" i="5" s="1"/>
  <c r="J1311" i="5"/>
  <c r="I1310" i="5"/>
  <c r="H1309" i="5"/>
  <c r="E1307" i="5"/>
  <c r="F1307" i="5" s="1"/>
  <c r="N1303" i="5"/>
  <c r="M1302" i="5"/>
  <c r="L1301" i="5"/>
  <c r="K1300" i="5"/>
  <c r="G1300" i="5" s="1"/>
  <c r="J1299" i="5"/>
  <c r="N1294" i="5"/>
  <c r="I1291" i="5"/>
  <c r="J1289" i="5"/>
  <c r="J1282" i="5"/>
  <c r="K1280" i="5"/>
  <c r="G1280" i="5" s="1"/>
  <c r="N1267" i="5"/>
  <c r="E1258" i="5"/>
  <c r="F1258" i="5" s="1"/>
  <c r="J1250" i="5"/>
  <c r="L1248" i="5"/>
  <c r="M1246" i="5"/>
  <c r="N1242" i="5"/>
  <c r="E1235" i="5"/>
  <c r="F1235" i="5" s="1"/>
  <c r="I1231" i="5"/>
  <c r="I1229" i="5"/>
  <c r="J1227" i="5"/>
  <c r="L1223" i="5"/>
  <c r="N1219" i="5"/>
  <c r="E1213" i="5"/>
  <c r="F1213" i="5" s="1"/>
  <c r="N1209" i="5"/>
  <c r="J1206" i="5"/>
  <c r="N1198" i="5"/>
  <c r="I1195" i="5"/>
  <c r="M1187" i="5"/>
  <c r="I1160" i="5"/>
  <c r="K1127" i="5"/>
  <c r="G1127" i="5" s="1"/>
  <c r="B1077" i="5"/>
  <c r="I1053" i="5"/>
  <c r="J1038" i="5"/>
  <c r="I979" i="5"/>
  <c r="L930" i="5"/>
  <c r="B1438" i="5"/>
  <c r="B1426" i="5"/>
  <c r="B1414" i="5"/>
  <c r="B1402" i="5"/>
  <c r="B1390" i="5"/>
  <c r="B1378" i="5"/>
  <c r="B1366" i="5"/>
  <c r="B1354" i="5"/>
  <c r="B1342" i="5"/>
  <c r="B1330" i="5"/>
  <c r="B1318" i="5"/>
  <c r="B1306" i="5"/>
  <c r="H1299" i="5"/>
  <c r="H1296" i="5"/>
  <c r="H1291" i="5"/>
  <c r="J1280" i="5"/>
  <c r="M1278" i="5"/>
  <c r="B1277" i="5"/>
  <c r="E1275" i="5"/>
  <c r="F1275" i="5" s="1"/>
  <c r="H1273" i="5"/>
  <c r="K1271" i="5"/>
  <c r="G1271" i="5" s="1"/>
  <c r="L1269" i="5"/>
  <c r="L1267" i="5"/>
  <c r="M1265" i="5"/>
  <c r="B1264" i="5"/>
  <c r="B1260" i="5"/>
  <c r="H1256" i="5"/>
  <c r="I1254" i="5"/>
  <c r="H1252" i="5"/>
  <c r="L1246" i="5"/>
  <c r="L1244" i="5"/>
  <c r="B1241" i="5"/>
  <c r="B1237" i="5"/>
  <c r="P1237" i="5" s="1"/>
  <c r="H1231" i="5"/>
  <c r="H1227" i="5"/>
  <c r="I1225" i="5"/>
  <c r="L1221" i="5"/>
  <c r="L1219" i="5"/>
  <c r="M1217" i="5"/>
  <c r="B1216" i="5"/>
  <c r="K1183" i="5"/>
  <c r="G1183" i="5" s="1"/>
  <c r="N1165" i="5"/>
  <c r="N1154" i="5"/>
  <c r="B1149" i="5"/>
  <c r="I1141" i="5"/>
  <c r="M1113" i="5"/>
  <c r="N1105" i="5"/>
  <c r="I1038" i="5"/>
  <c r="H979" i="5"/>
  <c r="N1436" i="5"/>
  <c r="M1435" i="5"/>
  <c r="L1434" i="5"/>
  <c r="K1433" i="5"/>
  <c r="G1433" i="5" s="1"/>
  <c r="J1432" i="5"/>
  <c r="I1431" i="5"/>
  <c r="H1430" i="5"/>
  <c r="E1428" i="5"/>
  <c r="F1428" i="5" s="1"/>
  <c r="N1424" i="5"/>
  <c r="M1423" i="5"/>
  <c r="L1422" i="5"/>
  <c r="K1421" i="5"/>
  <c r="G1421" i="5" s="1"/>
  <c r="J1420" i="5"/>
  <c r="I1419" i="5"/>
  <c r="H1418" i="5"/>
  <c r="E1416" i="5"/>
  <c r="F1416" i="5" s="1"/>
  <c r="N1412" i="5"/>
  <c r="M1411" i="5"/>
  <c r="L1410" i="5"/>
  <c r="K1409" i="5"/>
  <c r="G1409" i="5" s="1"/>
  <c r="J1408" i="5"/>
  <c r="I1407" i="5"/>
  <c r="H1406" i="5"/>
  <c r="E1404" i="5"/>
  <c r="F1404" i="5" s="1"/>
  <c r="N1400" i="5"/>
  <c r="M1399" i="5"/>
  <c r="L1398" i="5"/>
  <c r="K1397" i="5"/>
  <c r="G1397" i="5" s="1"/>
  <c r="J1396" i="5"/>
  <c r="I1395" i="5"/>
  <c r="H1394" i="5"/>
  <c r="E1392" i="5"/>
  <c r="F1392" i="5" s="1"/>
  <c r="N1388" i="5"/>
  <c r="M1387" i="5"/>
  <c r="L1386" i="5"/>
  <c r="K1385" i="5"/>
  <c r="G1385" i="5" s="1"/>
  <c r="J1384" i="5"/>
  <c r="I1383" i="5"/>
  <c r="H1382" i="5"/>
  <c r="E1380" i="5"/>
  <c r="F1380" i="5" s="1"/>
  <c r="N1376" i="5"/>
  <c r="M1375" i="5"/>
  <c r="L1374" i="5"/>
  <c r="K1373" i="5"/>
  <c r="G1373" i="5" s="1"/>
  <c r="J1372" i="5"/>
  <c r="I1371" i="5"/>
  <c r="H1370" i="5"/>
  <c r="E1368" i="5"/>
  <c r="F1368" i="5" s="1"/>
  <c r="N1364" i="5"/>
  <c r="M1363" i="5"/>
  <c r="L1362" i="5"/>
  <c r="K1361" i="5"/>
  <c r="G1361" i="5" s="1"/>
  <c r="J1360" i="5"/>
  <c r="I1359" i="5"/>
  <c r="H1358" i="5"/>
  <c r="E1356" i="5"/>
  <c r="F1356" i="5" s="1"/>
  <c r="N1352" i="5"/>
  <c r="M1351" i="5"/>
  <c r="L1350" i="5"/>
  <c r="K1349" i="5"/>
  <c r="G1349" i="5" s="1"/>
  <c r="J1348" i="5"/>
  <c r="I1347" i="5"/>
  <c r="H1346" i="5"/>
  <c r="E1344" i="5"/>
  <c r="F1344" i="5" s="1"/>
  <c r="N1340" i="5"/>
  <c r="M1339" i="5"/>
  <c r="L1338" i="5"/>
  <c r="K1337" i="5"/>
  <c r="G1337" i="5" s="1"/>
  <c r="J1336" i="5"/>
  <c r="I1335" i="5"/>
  <c r="H1334" i="5"/>
  <c r="E1332" i="5"/>
  <c r="F1332" i="5" s="1"/>
  <c r="N1328" i="5"/>
  <c r="M1327" i="5"/>
  <c r="L1326" i="5"/>
  <c r="K1325" i="5"/>
  <c r="G1325" i="5" s="1"/>
  <c r="J1324" i="5"/>
  <c r="I1323" i="5"/>
  <c r="H1322" i="5"/>
  <c r="E1320" i="5"/>
  <c r="F1320" i="5" s="1"/>
  <c r="N1316" i="5"/>
  <c r="M1315" i="5"/>
  <c r="L1314" i="5"/>
  <c r="K1313" i="5"/>
  <c r="G1313" i="5" s="1"/>
  <c r="J1312" i="5"/>
  <c r="I1311" i="5"/>
  <c r="H1310" i="5"/>
  <c r="E1308" i="5"/>
  <c r="F1308" i="5" s="1"/>
  <c r="N1304" i="5"/>
  <c r="M1303" i="5"/>
  <c r="L1302" i="5"/>
  <c r="K1301" i="5"/>
  <c r="G1301" i="5" s="1"/>
  <c r="J1300" i="5"/>
  <c r="N1297" i="5"/>
  <c r="M1294" i="5"/>
  <c r="B1293" i="5"/>
  <c r="P1293" i="5" s="1"/>
  <c r="I1289" i="5"/>
  <c r="K1287" i="5"/>
  <c r="G1287" i="5" s="1"/>
  <c r="N1285" i="5"/>
  <c r="B1284" i="5"/>
  <c r="I1280" i="5"/>
  <c r="K1278" i="5"/>
  <c r="G1278" i="5" s="1"/>
  <c r="E1273" i="5"/>
  <c r="F1273" i="5" s="1"/>
  <c r="K1269" i="5"/>
  <c r="G1269" i="5" s="1"/>
  <c r="H1254" i="5"/>
  <c r="I1250" i="5"/>
  <c r="H1248" i="5"/>
  <c r="K1246" i="5"/>
  <c r="G1246" i="5" s="1"/>
  <c r="M1242" i="5"/>
  <c r="L1240" i="5"/>
  <c r="H1229" i="5"/>
  <c r="K1223" i="5"/>
  <c r="G1223" i="5" s="1"/>
  <c r="K1221" i="5"/>
  <c r="G1221" i="5" s="1"/>
  <c r="M1209" i="5"/>
  <c r="I1206" i="5"/>
  <c r="M1198" i="5"/>
  <c r="K1194" i="5"/>
  <c r="G1194" i="5" s="1"/>
  <c r="H1160" i="5"/>
  <c r="E1098" i="5"/>
  <c r="F1098" i="5" s="1"/>
  <c r="B1084" i="5"/>
  <c r="E1009" i="5"/>
  <c r="F1009" i="5" s="1"/>
  <c r="N907" i="5"/>
  <c r="B1427" i="5"/>
  <c r="B1415" i="5"/>
  <c r="B1403" i="5"/>
  <c r="B1391" i="5"/>
  <c r="B1379" i="5"/>
  <c r="B1367" i="5"/>
  <c r="B1355" i="5"/>
  <c r="B1343" i="5"/>
  <c r="B1331" i="5"/>
  <c r="B1319" i="5"/>
  <c r="B1307" i="5"/>
  <c r="L1294" i="5"/>
  <c r="E1282" i="5"/>
  <c r="F1282" i="5" s="1"/>
  <c r="L1276" i="5"/>
  <c r="J1269" i="5"/>
  <c r="K1267" i="5"/>
  <c r="G1267" i="5" s="1"/>
  <c r="L1265" i="5"/>
  <c r="N1261" i="5"/>
  <c r="N1257" i="5"/>
  <c r="K1244" i="5"/>
  <c r="G1244" i="5" s="1"/>
  <c r="K1242" i="5"/>
  <c r="G1242" i="5" s="1"/>
  <c r="N1236" i="5"/>
  <c r="B1233" i="5"/>
  <c r="H1225" i="5"/>
  <c r="J1221" i="5"/>
  <c r="K1219" i="5"/>
  <c r="G1219" i="5" s="1"/>
  <c r="L1217" i="5"/>
  <c r="B1213" i="5"/>
  <c r="H1206" i="5"/>
  <c r="L1198" i="5"/>
  <c r="E1191" i="5"/>
  <c r="F1191" i="5" s="1"/>
  <c r="J1183" i="5"/>
  <c r="H1171" i="5"/>
  <c r="M1165" i="5"/>
  <c r="H1127" i="5"/>
  <c r="J1113" i="5"/>
  <c r="M1105" i="5"/>
  <c r="I1076" i="5"/>
  <c r="I1064" i="5"/>
  <c r="N1437" i="5"/>
  <c r="M1436" i="5"/>
  <c r="L1435" i="5"/>
  <c r="K1434" i="5"/>
  <c r="G1434" i="5" s="1"/>
  <c r="J1433" i="5"/>
  <c r="I1432" i="5"/>
  <c r="H1431" i="5"/>
  <c r="E1429" i="5"/>
  <c r="F1429" i="5" s="1"/>
  <c r="N1425" i="5"/>
  <c r="M1424" i="5"/>
  <c r="L1423" i="5"/>
  <c r="K1422" i="5"/>
  <c r="G1422" i="5" s="1"/>
  <c r="J1421" i="5"/>
  <c r="I1420" i="5"/>
  <c r="H1419" i="5"/>
  <c r="E1417" i="5"/>
  <c r="F1417" i="5" s="1"/>
  <c r="N1413" i="5"/>
  <c r="M1412" i="5"/>
  <c r="L1411" i="5"/>
  <c r="K1410" i="5"/>
  <c r="G1410" i="5" s="1"/>
  <c r="J1409" i="5"/>
  <c r="I1408" i="5"/>
  <c r="H1407" i="5"/>
  <c r="E1405" i="5"/>
  <c r="F1405" i="5" s="1"/>
  <c r="N1401" i="5"/>
  <c r="M1400" i="5"/>
  <c r="L1399" i="5"/>
  <c r="K1398" i="5"/>
  <c r="G1398" i="5" s="1"/>
  <c r="J1397" i="5"/>
  <c r="I1396" i="5"/>
  <c r="H1395" i="5"/>
  <c r="E1393" i="5"/>
  <c r="F1393" i="5" s="1"/>
  <c r="N1389" i="5"/>
  <c r="M1388" i="5"/>
  <c r="L1387" i="5"/>
  <c r="K1386" i="5"/>
  <c r="G1386" i="5" s="1"/>
  <c r="J1385" i="5"/>
  <c r="I1384" i="5"/>
  <c r="H1383" i="5"/>
  <c r="E1381" i="5"/>
  <c r="F1381" i="5" s="1"/>
  <c r="N1377" i="5"/>
  <c r="M1376" i="5"/>
  <c r="L1375" i="5"/>
  <c r="K1374" i="5"/>
  <c r="G1374" i="5" s="1"/>
  <c r="J1373" i="5"/>
  <c r="I1372" i="5"/>
  <c r="H1371" i="5"/>
  <c r="E1369" i="5"/>
  <c r="F1369" i="5" s="1"/>
  <c r="N1365" i="5"/>
  <c r="M1364" i="5"/>
  <c r="L1363" i="5"/>
  <c r="K1362" i="5"/>
  <c r="G1362" i="5" s="1"/>
  <c r="J1361" i="5"/>
  <c r="I1360" i="5"/>
  <c r="H1359" i="5"/>
  <c r="E1357" i="5"/>
  <c r="F1357" i="5" s="1"/>
  <c r="N1353" i="5"/>
  <c r="M1352" i="5"/>
  <c r="L1351" i="5"/>
  <c r="K1350" i="5"/>
  <c r="G1350" i="5" s="1"/>
  <c r="J1349" i="5"/>
  <c r="I1348" i="5"/>
  <c r="H1347" i="5"/>
  <c r="E1345" i="5"/>
  <c r="F1345" i="5" s="1"/>
  <c r="N1341" i="5"/>
  <c r="M1340" i="5"/>
  <c r="L1339" i="5"/>
  <c r="K1338" i="5"/>
  <c r="G1338" i="5" s="1"/>
  <c r="J1337" i="5"/>
  <c r="I1336" i="5"/>
  <c r="H1335" i="5"/>
  <c r="E1333" i="5"/>
  <c r="F1333" i="5" s="1"/>
  <c r="N1329" i="5"/>
  <c r="M1328" i="5"/>
  <c r="L1327" i="5"/>
  <c r="K1326" i="5"/>
  <c r="G1326" i="5" s="1"/>
  <c r="J1325" i="5"/>
  <c r="I1324" i="5"/>
  <c r="H1323" i="5"/>
  <c r="E1321" i="5"/>
  <c r="F1321" i="5" s="1"/>
  <c r="N1317" i="5"/>
  <c r="M1316" i="5"/>
  <c r="L1315" i="5"/>
  <c r="K1314" i="5"/>
  <c r="G1314" i="5" s="1"/>
  <c r="J1313" i="5"/>
  <c r="I1312" i="5"/>
  <c r="H1311" i="5"/>
  <c r="E1309" i="5"/>
  <c r="F1309" i="5" s="1"/>
  <c r="N1305" i="5"/>
  <c r="M1304" i="5"/>
  <c r="L1303" i="5"/>
  <c r="K1302" i="5"/>
  <c r="G1302" i="5" s="1"/>
  <c r="J1301" i="5"/>
  <c r="I1300" i="5"/>
  <c r="M1297" i="5"/>
  <c r="M1292" i="5"/>
  <c r="H1289" i="5"/>
  <c r="J1287" i="5"/>
  <c r="M1285" i="5"/>
  <c r="H1280" i="5"/>
  <c r="J1278" i="5"/>
  <c r="J1265" i="5"/>
  <c r="K1263" i="5"/>
  <c r="G1263" i="5" s="1"/>
  <c r="N1259" i="5"/>
  <c r="E1252" i="5"/>
  <c r="F1252" i="5" s="1"/>
  <c r="J1246" i="5"/>
  <c r="J1244" i="5"/>
  <c r="K1240" i="5"/>
  <c r="G1240" i="5" s="1"/>
  <c r="N1238" i="5"/>
  <c r="M1236" i="5"/>
  <c r="N1234" i="5"/>
  <c r="E1229" i="5"/>
  <c r="F1229" i="5" s="1"/>
  <c r="E1225" i="5"/>
  <c r="F1225" i="5" s="1"/>
  <c r="J1217" i="5"/>
  <c r="K1215" i="5"/>
  <c r="G1215" i="5" s="1"/>
  <c r="L1209" i="5"/>
  <c r="E1202" i="5"/>
  <c r="F1202" i="5" s="1"/>
  <c r="J1194" i="5"/>
  <c r="N1186" i="5"/>
  <c r="I1183" i="5"/>
  <c r="E1160" i="5"/>
  <c r="F1160" i="5" s="1"/>
  <c r="L1119" i="5"/>
  <c r="B1098" i="5"/>
  <c r="H1076" i="5"/>
  <c r="B1009" i="5"/>
  <c r="J961" i="5"/>
  <c r="K867" i="5"/>
  <c r="G867" i="5" s="1"/>
  <c r="B1428" i="5"/>
  <c r="B1416" i="5"/>
  <c r="B1404" i="5"/>
  <c r="B1392" i="5"/>
  <c r="B1380" i="5"/>
  <c r="B1368" i="5"/>
  <c r="B1356" i="5"/>
  <c r="B1344" i="5"/>
  <c r="B1332" i="5"/>
  <c r="B1320" i="5"/>
  <c r="B1308" i="5"/>
  <c r="E1299" i="5"/>
  <c r="F1299" i="5" s="1"/>
  <c r="K1294" i="5"/>
  <c r="G1294" i="5" s="1"/>
  <c r="H1287" i="5"/>
  <c r="N1283" i="5"/>
  <c r="K1276" i="5"/>
  <c r="G1276" i="5" s="1"/>
  <c r="B1273" i="5"/>
  <c r="I1269" i="5"/>
  <c r="J1267" i="5"/>
  <c r="M1261" i="5"/>
  <c r="M1259" i="5"/>
  <c r="M1257" i="5"/>
  <c r="E1254" i="5"/>
  <c r="F1254" i="5" s="1"/>
  <c r="E1250" i="5"/>
  <c r="F1250" i="5" s="1"/>
  <c r="I1244" i="5"/>
  <c r="J1242" i="5"/>
  <c r="I1240" i="5"/>
  <c r="M1232" i="5"/>
  <c r="E1227" i="5"/>
  <c r="F1227" i="5" s="1"/>
  <c r="I1221" i="5"/>
  <c r="J1219" i="5"/>
  <c r="N1212" i="5"/>
  <c r="K1209" i="5"/>
  <c r="G1209" i="5" s="1"/>
  <c r="J1205" i="5"/>
  <c r="N1197" i="5"/>
  <c r="M1176" i="5"/>
  <c r="N1097" i="5"/>
  <c r="L1304" i="5"/>
  <c r="K1303" i="5"/>
  <c r="G1303" i="5" s="1"/>
  <c r="J1302" i="5"/>
  <c r="I1301" i="5"/>
  <c r="H1300" i="5"/>
  <c r="B1296" i="5"/>
  <c r="L1292" i="5"/>
  <c r="E1289" i="5"/>
  <c r="F1289" i="5" s="1"/>
  <c r="M1283" i="5"/>
  <c r="N1281" i="5"/>
  <c r="I1278" i="5"/>
  <c r="I1276" i="5"/>
  <c r="N1274" i="5"/>
  <c r="E1271" i="5"/>
  <c r="F1271" i="5" s="1"/>
  <c r="I1267" i="5"/>
  <c r="I1265" i="5"/>
  <c r="J1263" i="5"/>
  <c r="L1259" i="5"/>
  <c r="N1255" i="5"/>
  <c r="E1246" i="5"/>
  <c r="F1246" i="5" s="1"/>
  <c r="J1238" i="5"/>
  <c r="L1236" i="5"/>
  <c r="M1234" i="5"/>
  <c r="N1230" i="5"/>
  <c r="E1223" i="5"/>
  <c r="F1223" i="5" s="1"/>
  <c r="I1219" i="5"/>
  <c r="I1217" i="5"/>
  <c r="J1215" i="5"/>
  <c r="H1212" i="5"/>
  <c r="I1194" i="5"/>
  <c r="M1186" i="5"/>
  <c r="E1133" i="5"/>
  <c r="F1133" i="5" s="1"/>
  <c r="M1125" i="5"/>
  <c r="K1119" i="5"/>
  <c r="G1119" i="5" s="1"/>
  <c r="B1112" i="5"/>
  <c r="H1104" i="5"/>
  <c r="J1082" i="5"/>
  <c r="N1049" i="5"/>
  <c r="J1297" i="5"/>
  <c r="J1294" i="5"/>
  <c r="N1290" i="5"/>
  <c r="I1285" i="5"/>
  <c r="L1283" i="5"/>
  <c r="B1280" i="5"/>
  <c r="H1278" i="5"/>
  <c r="N1272" i="5"/>
  <c r="H1267" i="5"/>
  <c r="H1263" i="5"/>
  <c r="I1261" i="5"/>
  <c r="L1257" i="5"/>
  <c r="L1255" i="5"/>
  <c r="M1253" i="5"/>
  <c r="B1252" i="5"/>
  <c r="B1248" i="5"/>
  <c r="H1244" i="5"/>
  <c r="I1242" i="5"/>
  <c r="H1240" i="5"/>
  <c r="L1234" i="5"/>
  <c r="L1232" i="5"/>
  <c r="B1229" i="5"/>
  <c r="B1225" i="5"/>
  <c r="P1225" i="5" s="1"/>
  <c r="H1219" i="5"/>
  <c r="H1215" i="5"/>
  <c r="I1205" i="5"/>
  <c r="M1197" i="5"/>
  <c r="H1194" i="5"/>
  <c r="L1186" i="5"/>
  <c r="L1176" i="5"/>
  <c r="N1158" i="5"/>
  <c r="B1147" i="5"/>
  <c r="H991" i="5"/>
  <c r="M1438" i="5"/>
  <c r="L1437" i="5"/>
  <c r="K1436" i="5"/>
  <c r="G1436" i="5" s="1"/>
  <c r="J1435" i="5"/>
  <c r="I1434" i="5"/>
  <c r="H1433" i="5"/>
  <c r="E1431" i="5"/>
  <c r="F1431" i="5" s="1"/>
  <c r="N1427" i="5"/>
  <c r="M1426" i="5"/>
  <c r="L1425" i="5"/>
  <c r="K1424" i="5"/>
  <c r="G1424" i="5" s="1"/>
  <c r="J1423" i="5"/>
  <c r="I1422" i="5"/>
  <c r="H1421" i="5"/>
  <c r="E1419" i="5"/>
  <c r="F1419" i="5" s="1"/>
  <c r="N1415" i="5"/>
  <c r="M1414" i="5"/>
  <c r="L1413" i="5"/>
  <c r="K1412" i="5"/>
  <c r="G1412" i="5" s="1"/>
  <c r="J1411" i="5"/>
  <c r="I1410" i="5"/>
  <c r="H1409" i="5"/>
  <c r="E1407" i="5"/>
  <c r="F1407" i="5" s="1"/>
  <c r="N1403" i="5"/>
  <c r="M1402" i="5"/>
  <c r="L1401" i="5"/>
  <c r="K1400" i="5"/>
  <c r="G1400" i="5" s="1"/>
  <c r="J1399" i="5"/>
  <c r="I1398" i="5"/>
  <c r="H1397" i="5"/>
  <c r="E1395" i="5"/>
  <c r="F1395" i="5" s="1"/>
  <c r="N1391" i="5"/>
  <c r="M1390" i="5"/>
  <c r="L1389" i="5"/>
  <c r="K1388" i="5"/>
  <c r="G1388" i="5" s="1"/>
  <c r="J1387" i="5"/>
  <c r="I1386" i="5"/>
  <c r="H1385" i="5"/>
  <c r="E1383" i="5"/>
  <c r="F1383" i="5" s="1"/>
  <c r="N1379" i="5"/>
  <c r="M1378" i="5"/>
  <c r="L1377" i="5"/>
  <c r="K1376" i="5"/>
  <c r="G1376" i="5" s="1"/>
  <c r="J1375" i="5"/>
  <c r="I1374" i="5"/>
  <c r="H1373" i="5"/>
  <c r="E1371" i="5"/>
  <c r="F1371" i="5" s="1"/>
  <c r="N1367" i="5"/>
  <c r="M1366" i="5"/>
  <c r="L1365" i="5"/>
  <c r="K1364" i="5"/>
  <c r="G1364" i="5" s="1"/>
  <c r="J1363" i="5"/>
  <c r="I1362" i="5"/>
  <c r="H1361" i="5"/>
  <c r="E1359" i="5"/>
  <c r="F1359" i="5" s="1"/>
  <c r="N1355" i="5"/>
  <c r="M1354" i="5"/>
  <c r="L1353" i="5"/>
  <c r="K1352" i="5"/>
  <c r="G1352" i="5" s="1"/>
  <c r="J1351" i="5"/>
  <c r="I1350" i="5"/>
  <c r="H1349" i="5"/>
  <c r="E1347" i="5"/>
  <c r="F1347" i="5" s="1"/>
  <c r="N1343" i="5"/>
  <c r="M1342" i="5"/>
  <c r="L1341" i="5"/>
  <c r="K1340" i="5"/>
  <c r="G1340" i="5" s="1"/>
  <c r="J1339" i="5"/>
  <c r="I1338" i="5"/>
  <c r="H1337" i="5"/>
  <c r="E1335" i="5"/>
  <c r="F1335" i="5" s="1"/>
  <c r="N1331" i="5"/>
  <c r="M1330" i="5"/>
  <c r="L1329" i="5"/>
  <c r="K1328" i="5"/>
  <c r="G1328" i="5" s="1"/>
  <c r="J1327" i="5"/>
  <c r="I1326" i="5"/>
  <c r="H1325" i="5"/>
  <c r="E1323" i="5"/>
  <c r="F1323" i="5" s="1"/>
  <c r="N1319" i="5"/>
  <c r="M1318" i="5"/>
  <c r="L1317" i="5"/>
  <c r="K1316" i="5"/>
  <c r="G1316" i="5" s="1"/>
  <c r="J1315" i="5"/>
  <c r="I1314" i="5"/>
  <c r="H1313" i="5"/>
  <c r="E1311" i="5"/>
  <c r="F1311" i="5" s="1"/>
  <c r="N1307" i="5"/>
  <c r="M1306" i="5"/>
  <c r="L1305" i="5"/>
  <c r="K1304" i="5"/>
  <c r="G1304" i="5" s="1"/>
  <c r="J1303" i="5"/>
  <c r="I1302" i="5"/>
  <c r="H1301" i="5"/>
  <c r="B1299" i="5"/>
  <c r="K1292" i="5"/>
  <c r="G1292" i="5" s="1"/>
  <c r="M1281" i="5"/>
  <c r="H1276" i="5"/>
  <c r="M1272" i="5"/>
  <c r="H1265" i="5"/>
  <c r="K1259" i="5"/>
  <c r="G1259" i="5" s="1"/>
  <c r="K1257" i="5"/>
  <c r="G1257" i="5" s="1"/>
  <c r="H1242" i="5"/>
  <c r="I1238" i="5"/>
  <c r="H1236" i="5"/>
  <c r="K1234" i="5"/>
  <c r="G1234" i="5" s="1"/>
  <c r="M1230" i="5"/>
  <c r="L1228" i="5"/>
  <c r="H1217" i="5"/>
  <c r="M1208" i="5"/>
  <c r="E1201" i="5"/>
  <c r="F1201" i="5" s="1"/>
  <c r="E1190" i="5"/>
  <c r="F1190" i="5" s="1"/>
  <c r="H1164" i="5"/>
  <c r="B1153" i="5"/>
  <c r="J1125" i="5"/>
  <c r="M1019" i="5"/>
  <c r="B960" i="5"/>
  <c r="B1430" i="5"/>
  <c r="B1418" i="5"/>
  <c r="B1406" i="5"/>
  <c r="B1394" i="5"/>
  <c r="B1382" i="5"/>
  <c r="B1370" i="5"/>
  <c r="B1358" i="5"/>
  <c r="P1358" i="5" s="1"/>
  <c r="B1346" i="5"/>
  <c r="B1334" i="5"/>
  <c r="B1322" i="5"/>
  <c r="B1310" i="5"/>
  <c r="I1297" i="5"/>
  <c r="N1295" i="5"/>
  <c r="J1292" i="5"/>
  <c r="M1290" i="5"/>
  <c r="B1289" i="5"/>
  <c r="E1287" i="5"/>
  <c r="F1287" i="5" s="1"/>
  <c r="H1285" i="5"/>
  <c r="K1283" i="5"/>
  <c r="G1283" i="5" s="1"/>
  <c r="J1274" i="5"/>
  <c r="B1269" i="5"/>
  <c r="H1261" i="5"/>
  <c r="J1257" i="5"/>
  <c r="K1255" i="5"/>
  <c r="G1255" i="5" s="1"/>
  <c r="L1253" i="5"/>
  <c r="N1249" i="5"/>
  <c r="N1245" i="5"/>
  <c r="K1232" i="5"/>
  <c r="G1232" i="5" s="1"/>
  <c r="K1230" i="5"/>
  <c r="G1230" i="5" s="1"/>
  <c r="N1224" i="5"/>
  <c r="B1221" i="5"/>
  <c r="B1212" i="5"/>
  <c r="H1205" i="5"/>
  <c r="L1197" i="5"/>
  <c r="J1193" i="5"/>
  <c r="N1185" i="5"/>
  <c r="E1182" i="5"/>
  <c r="F1182" i="5" s="1"/>
  <c r="J1176" i="5"/>
  <c r="J1158" i="5"/>
  <c r="H1139" i="5"/>
  <c r="B1073" i="5"/>
  <c r="I1048" i="5"/>
  <c r="L1438" i="5"/>
  <c r="K1437" i="5"/>
  <c r="G1437" i="5" s="1"/>
  <c r="J1436" i="5"/>
  <c r="I1435" i="5"/>
  <c r="H1434" i="5"/>
  <c r="E1432" i="5"/>
  <c r="F1432" i="5" s="1"/>
  <c r="N1428" i="5"/>
  <c r="M1427" i="5"/>
  <c r="L1426" i="5"/>
  <c r="K1425" i="5"/>
  <c r="G1425" i="5" s="1"/>
  <c r="J1424" i="5"/>
  <c r="I1423" i="5"/>
  <c r="H1422" i="5"/>
  <c r="E1420" i="5"/>
  <c r="F1420" i="5" s="1"/>
  <c r="N1416" i="5"/>
  <c r="M1415" i="5"/>
  <c r="L1414" i="5"/>
  <c r="K1413" i="5"/>
  <c r="G1413" i="5" s="1"/>
  <c r="J1412" i="5"/>
  <c r="I1411" i="5"/>
  <c r="H1410" i="5"/>
  <c r="E1408" i="5"/>
  <c r="F1408" i="5" s="1"/>
  <c r="N1404" i="5"/>
  <c r="M1403" i="5"/>
  <c r="L1402" i="5"/>
  <c r="K1401" i="5"/>
  <c r="G1401" i="5" s="1"/>
  <c r="J1400" i="5"/>
  <c r="I1399" i="5"/>
  <c r="H1398" i="5"/>
  <c r="E1396" i="5"/>
  <c r="F1396" i="5" s="1"/>
  <c r="N1392" i="5"/>
  <c r="M1391" i="5"/>
  <c r="L1390" i="5"/>
  <c r="K1389" i="5"/>
  <c r="G1389" i="5" s="1"/>
  <c r="J1388" i="5"/>
  <c r="I1387" i="5"/>
  <c r="H1386" i="5"/>
  <c r="E1384" i="5"/>
  <c r="F1384" i="5" s="1"/>
  <c r="N1380" i="5"/>
  <c r="M1379" i="5"/>
  <c r="L1378" i="5"/>
  <c r="K1377" i="5"/>
  <c r="G1377" i="5" s="1"/>
  <c r="J1376" i="5"/>
  <c r="I1375" i="5"/>
  <c r="H1374" i="5"/>
  <c r="E1372" i="5"/>
  <c r="F1372" i="5" s="1"/>
  <c r="N1368" i="5"/>
  <c r="M1367" i="5"/>
  <c r="L1366" i="5"/>
  <c r="K1365" i="5"/>
  <c r="G1365" i="5" s="1"/>
  <c r="J1364" i="5"/>
  <c r="I1363" i="5"/>
  <c r="H1362" i="5"/>
  <c r="E1360" i="5"/>
  <c r="F1360" i="5" s="1"/>
  <c r="N1356" i="5"/>
  <c r="M1355" i="5"/>
  <c r="L1354" i="5"/>
  <c r="K1353" i="5"/>
  <c r="G1353" i="5" s="1"/>
  <c r="J1352" i="5"/>
  <c r="I1351" i="5"/>
  <c r="H1350" i="5"/>
  <c r="E1348" i="5"/>
  <c r="F1348" i="5" s="1"/>
  <c r="N1344" i="5"/>
  <c r="M1343" i="5"/>
  <c r="L1342" i="5"/>
  <c r="K1341" i="5"/>
  <c r="G1341" i="5" s="1"/>
  <c r="J1340" i="5"/>
  <c r="I1339" i="5"/>
  <c r="H1338" i="5"/>
  <c r="E1336" i="5"/>
  <c r="F1336" i="5" s="1"/>
  <c r="N1332" i="5"/>
  <c r="M1331" i="5"/>
  <c r="L1330" i="5"/>
  <c r="K1329" i="5"/>
  <c r="G1329" i="5" s="1"/>
  <c r="J1328" i="5"/>
  <c r="I1327" i="5"/>
  <c r="H1326" i="5"/>
  <c r="E1324" i="5"/>
  <c r="F1324" i="5" s="1"/>
  <c r="N1320" i="5"/>
  <c r="M1319" i="5"/>
  <c r="L1318" i="5"/>
  <c r="K1317" i="5"/>
  <c r="G1317" i="5" s="1"/>
  <c r="J1316" i="5"/>
  <c r="I1315" i="5"/>
  <c r="H1314" i="5"/>
  <c r="E1312" i="5"/>
  <c r="F1312" i="5" s="1"/>
  <c r="N1308" i="5"/>
  <c r="M1307" i="5"/>
  <c r="L1306" i="5"/>
  <c r="K1305" i="5"/>
  <c r="G1305" i="5" s="1"/>
  <c r="J1304" i="5"/>
  <c r="I1303" i="5"/>
  <c r="H1302" i="5"/>
  <c r="E1300" i="5"/>
  <c r="F1300" i="5" s="1"/>
  <c r="M1295" i="5"/>
  <c r="E1294" i="5"/>
  <c r="F1294" i="5" s="1"/>
  <c r="I1292" i="5"/>
  <c r="K1290" i="5"/>
  <c r="G1290" i="5" s="1"/>
  <c r="E1285" i="5"/>
  <c r="F1285" i="5" s="1"/>
  <c r="L1281" i="5"/>
  <c r="N1279" i="5"/>
  <c r="E1278" i="5"/>
  <c r="F1278" i="5" s="1"/>
  <c r="L1272" i="5"/>
  <c r="N1270" i="5"/>
  <c r="E1265" i="5"/>
  <c r="F1265" i="5" s="1"/>
  <c r="E1261" i="5"/>
  <c r="F1261" i="5" s="1"/>
  <c r="J1253" i="5"/>
  <c r="K1251" i="5"/>
  <c r="G1251" i="5" s="1"/>
  <c r="N1247" i="5"/>
  <c r="E1240" i="5"/>
  <c r="F1240" i="5" s="1"/>
  <c r="J1234" i="5"/>
  <c r="J1232" i="5"/>
  <c r="K1228" i="5"/>
  <c r="G1228" i="5" s="1"/>
  <c r="N1226" i="5"/>
  <c r="M1224" i="5"/>
  <c r="N1222" i="5"/>
  <c r="E1217" i="5"/>
  <c r="F1217" i="5" s="1"/>
  <c r="L1208" i="5"/>
  <c r="K1197" i="5"/>
  <c r="G1197" i="5" s="1"/>
  <c r="M1169" i="5"/>
  <c r="M1152" i="5"/>
  <c r="L1103" i="5"/>
  <c r="B1096" i="5"/>
  <c r="L1080" i="5"/>
  <c r="B1061" i="5"/>
  <c r="H1048" i="5"/>
  <c r="B1004" i="5"/>
  <c r="B1431" i="5"/>
  <c r="B1419" i="5"/>
  <c r="B1407" i="5"/>
  <c r="B1395" i="5"/>
  <c r="B1383" i="5"/>
  <c r="B1371" i="5"/>
  <c r="B1359" i="5"/>
  <c r="B1347" i="5"/>
  <c r="P1347" i="5" s="1"/>
  <c r="B1335" i="5"/>
  <c r="B1323" i="5"/>
  <c r="B1311" i="5"/>
  <c r="P1311" i="5" s="1"/>
  <c r="N1298" i="5"/>
  <c r="H1297" i="5"/>
  <c r="L1288" i="5"/>
  <c r="K1281" i="5"/>
  <c r="G1281" i="5" s="1"/>
  <c r="L1279" i="5"/>
  <c r="E1276" i="5"/>
  <c r="F1276" i="5" s="1"/>
  <c r="I1274" i="5"/>
  <c r="M1268" i="5"/>
  <c r="E1263" i="5"/>
  <c r="F1263" i="5" s="1"/>
  <c r="I1257" i="5"/>
  <c r="J1255" i="5"/>
  <c r="M1249" i="5"/>
  <c r="M1247" i="5"/>
  <c r="M1245" i="5"/>
  <c r="E1242" i="5"/>
  <c r="F1242" i="5" s="1"/>
  <c r="E1238" i="5"/>
  <c r="F1238" i="5" s="1"/>
  <c r="I1232" i="5"/>
  <c r="J1230" i="5"/>
  <c r="I1228" i="5"/>
  <c r="M1220" i="5"/>
  <c r="E1215" i="5"/>
  <c r="F1215" i="5" s="1"/>
  <c r="B1201" i="5"/>
  <c r="I1193" i="5"/>
  <c r="M1185" i="5"/>
  <c r="L1152" i="5"/>
  <c r="E1145" i="5"/>
  <c r="F1145" i="5" s="1"/>
  <c r="M1031" i="5"/>
  <c r="M1003" i="5"/>
  <c r="I1133" i="5"/>
  <c r="K1131" i="5"/>
  <c r="G1131" i="5" s="1"/>
  <c r="M1117" i="5"/>
  <c r="E1114" i="5"/>
  <c r="F1114" i="5" s="1"/>
  <c r="B1110" i="5"/>
  <c r="I1092" i="5"/>
  <c r="J1090" i="5"/>
  <c r="I1088" i="5"/>
  <c r="K1082" i="5"/>
  <c r="G1082" i="5" s="1"/>
  <c r="L1076" i="5"/>
  <c r="I1065" i="5"/>
  <c r="E1061" i="5"/>
  <c r="F1061" i="5" s="1"/>
  <c r="J1053" i="5"/>
  <c r="B1033" i="5"/>
  <c r="E1021" i="5"/>
  <c r="F1021" i="5" s="1"/>
  <c r="K992" i="5"/>
  <c r="G992" i="5" s="1"/>
  <c r="J985" i="5"/>
  <c r="J973" i="5"/>
  <c r="L967" i="5"/>
  <c r="J879" i="5"/>
  <c r="J867" i="5"/>
  <c r="E851" i="5"/>
  <c r="F851" i="5" s="1"/>
  <c r="B1298" i="5"/>
  <c r="B1286" i="5"/>
  <c r="B1274" i="5"/>
  <c r="B1262" i="5"/>
  <c r="B1250" i="5"/>
  <c r="B1238" i="5"/>
  <c r="B1226" i="5"/>
  <c r="B1214" i="5"/>
  <c r="B1202" i="5"/>
  <c r="B1190" i="5"/>
  <c r="B1182" i="5"/>
  <c r="J1178" i="5"/>
  <c r="E1169" i="5"/>
  <c r="F1169" i="5" s="1"/>
  <c r="K1165" i="5"/>
  <c r="G1165" i="5" s="1"/>
  <c r="L1154" i="5"/>
  <c r="N1150" i="5"/>
  <c r="B1141" i="5"/>
  <c r="I1125" i="5"/>
  <c r="H1123" i="5"/>
  <c r="J1117" i="5"/>
  <c r="K1115" i="5"/>
  <c r="G1115" i="5" s="1"/>
  <c r="K1111" i="5"/>
  <c r="G1111" i="5" s="1"/>
  <c r="M1109" i="5"/>
  <c r="L1107" i="5"/>
  <c r="B1100" i="5"/>
  <c r="N1093" i="5"/>
  <c r="E1086" i="5"/>
  <c r="F1086" i="5" s="1"/>
  <c r="E1082" i="5"/>
  <c r="F1082" i="5" s="1"/>
  <c r="L1031" i="5"/>
  <c r="H1026" i="5"/>
  <c r="M996" i="5"/>
  <c r="K941" i="5"/>
  <c r="G941" i="5" s="1"/>
  <c r="K827" i="5"/>
  <c r="G827" i="5" s="1"/>
  <c r="B1287" i="5"/>
  <c r="B1275" i="5"/>
  <c r="B1263" i="5"/>
  <c r="B1251" i="5"/>
  <c r="B1239" i="5"/>
  <c r="B1227" i="5"/>
  <c r="B1215" i="5"/>
  <c r="B1203" i="5"/>
  <c r="B1191" i="5"/>
  <c r="E1178" i="5"/>
  <c r="F1178" i="5" s="1"/>
  <c r="K1174" i="5"/>
  <c r="G1174" i="5" s="1"/>
  <c r="B1173" i="5"/>
  <c r="B1171" i="5"/>
  <c r="J1165" i="5"/>
  <c r="E1158" i="5"/>
  <c r="F1158" i="5" s="1"/>
  <c r="K1154" i="5"/>
  <c r="G1154" i="5" s="1"/>
  <c r="L1148" i="5"/>
  <c r="N1146" i="5"/>
  <c r="M1144" i="5"/>
  <c r="M1140" i="5"/>
  <c r="B1135" i="5"/>
  <c r="B1133" i="5"/>
  <c r="E1121" i="5"/>
  <c r="F1121" i="5" s="1"/>
  <c r="I1117" i="5"/>
  <c r="I1109" i="5"/>
  <c r="K1107" i="5"/>
  <c r="G1107" i="5" s="1"/>
  <c r="M1093" i="5"/>
  <c r="E1090" i="5"/>
  <c r="F1090" i="5" s="1"/>
  <c r="B1086" i="5"/>
  <c r="M1036" i="5"/>
  <c r="H1031" i="5"/>
  <c r="E1025" i="5"/>
  <c r="F1025" i="5" s="1"/>
  <c r="H1002" i="5"/>
  <c r="I996" i="5"/>
  <c r="M971" i="5"/>
  <c r="N965" i="5"/>
  <c r="M959" i="5"/>
  <c r="J941" i="5"/>
  <c r="H827" i="5"/>
  <c r="K784" i="5"/>
  <c r="G784" i="5" s="1"/>
  <c r="N1213" i="5"/>
  <c r="M1212" i="5"/>
  <c r="L1211" i="5"/>
  <c r="K1210" i="5"/>
  <c r="G1210" i="5" s="1"/>
  <c r="J1209" i="5"/>
  <c r="I1208" i="5"/>
  <c r="H1207" i="5"/>
  <c r="E1205" i="5"/>
  <c r="F1205" i="5" s="1"/>
  <c r="N1201" i="5"/>
  <c r="M1200" i="5"/>
  <c r="L1199" i="5"/>
  <c r="K1198" i="5"/>
  <c r="G1198" i="5" s="1"/>
  <c r="J1197" i="5"/>
  <c r="I1196" i="5"/>
  <c r="H1195" i="5"/>
  <c r="E1193" i="5"/>
  <c r="F1193" i="5" s="1"/>
  <c r="N1189" i="5"/>
  <c r="M1188" i="5"/>
  <c r="L1187" i="5"/>
  <c r="K1186" i="5"/>
  <c r="G1186" i="5" s="1"/>
  <c r="J1185" i="5"/>
  <c r="I1184" i="5"/>
  <c r="H1183" i="5"/>
  <c r="N1181" i="5"/>
  <c r="I1176" i="5"/>
  <c r="L1172" i="5"/>
  <c r="B1169" i="5"/>
  <c r="K1163" i="5"/>
  <c r="G1163" i="5" s="1"/>
  <c r="M1161" i="5"/>
  <c r="K1150" i="5"/>
  <c r="G1150" i="5" s="1"/>
  <c r="N1138" i="5"/>
  <c r="B1129" i="5"/>
  <c r="I1113" i="5"/>
  <c r="H1111" i="5"/>
  <c r="J1105" i="5"/>
  <c r="K1103" i="5"/>
  <c r="G1103" i="5" s="1"/>
  <c r="K1099" i="5"/>
  <c r="G1099" i="5" s="1"/>
  <c r="M1097" i="5"/>
  <c r="L1095" i="5"/>
  <c r="B1088" i="5"/>
  <c r="N1081" i="5"/>
  <c r="H1064" i="5"/>
  <c r="B1060" i="5"/>
  <c r="I1052" i="5"/>
  <c r="L1019" i="5"/>
  <c r="L983" i="5"/>
  <c r="K977" i="5"/>
  <c r="G977" i="5" s="1"/>
  <c r="L959" i="5"/>
  <c r="M914" i="5"/>
  <c r="M902" i="5"/>
  <c r="I890" i="5"/>
  <c r="N861" i="5"/>
  <c r="B1204" i="5"/>
  <c r="B1192" i="5"/>
  <c r="J1174" i="5"/>
  <c r="B1167" i="5"/>
  <c r="I1165" i="5"/>
  <c r="B1160" i="5"/>
  <c r="B1158" i="5"/>
  <c r="J1154" i="5"/>
  <c r="J1146" i="5"/>
  <c r="L1144" i="5"/>
  <c r="L1140" i="5"/>
  <c r="B1137" i="5"/>
  <c r="N1130" i="5"/>
  <c r="E1125" i="5"/>
  <c r="F1125" i="5" s="1"/>
  <c r="B1119" i="5"/>
  <c r="H1115" i="5"/>
  <c r="J1101" i="5"/>
  <c r="L1091" i="5"/>
  <c r="M1089" i="5"/>
  <c r="N1085" i="5"/>
  <c r="L1067" i="5"/>
  <c r="N1041" i="5"/>
  <c r="M1024" i="5"/>
  <c r="L1007" i="5"/>
  <c r="E996" i="5"/>
  <c r="F996" i="5" s="1"/>
  <c r="L971" i="5"/>
  <c r="M1213" i="5"/>
  <c r="L1212" i="5"/>
  <c r="K1211" i="5"/>
  <c r="G1211" i="5" s="1"/>
  <c r="J1210" i="5"/>
  <c r="I1209" i="5"/>
  <c r="H1208" i="5"/>
  <c r="E1206" i="5"/>
  <c r="F1206" i="5" s="1"/>
  <c r="N1202" i="5"/>
  <c r="M1201" i="5"/>
  <c r="L1200" i="5"/>
  <c r="K1199" i="5"/>
  <c r="G1199" i="5" s="1"/>
  <c r="J1198" i="5"/>
  <c r="I1197" i="5"/>
  <c r="H1196" i="5"/>
  <c r="E1194" i="5"/>
  <c r="F1194" i="5" s="1"/>
  <c r="N1190" i="5"/>
  <c r="M1189" i="5"/>
  <c r="L1188" i="5"/>
  <c r="K1187" i="5"/>
  <c r="G1187" i="5" s="1"/>
  <c r="J1186" i="5"/>
  <c r="I1185" i="5"/>
  <c r="H1184" i="5"/>
  <c r="M1181" i="5"/>
  <c r="M1179" i="5"/>
  <c r="N1177" i="5"/>
  <c r="H1176" i="5"/>
  <c r="N1170" i="5"/>
  <c r="N1168" i="5"/>
  <c r="B1156" i="5"/>
  <c r="I1152" i="5"/>
  <c r="J1150" i="5"/>
  <c r="I1148" i="5"/>
  <c r="K1142" i="5"/>
  <c r="G1142" i="5" s="1"/>
  <c r="L1136" i="5"/>
  <c r="N1134" i="5"/>
  <c r="M1132" i="5"/>
  <c r="M1128" i="5"/>
  <c r="B1123" i="5"/>
  <c r="B1121" i="5"/>
  <c r="E1109" i="5"/>
  <c r="F1109" i="5" s="1"/>
  <c r="I1105" i="5"/>
  <c r="I1097" i="5"/>
  <c r="K1095" i="5"/>
  <c r="G1095" i="5" s="1"/>
  <c r="M1081" i="5"/>
  <c r="E1078" i="5"/>
  <c r="F1078" i="5" s="1"/>
  <c r="H1052" i="5"/>
  <c r="J1036" i="5"/>
  <c r="J989" i="5"/>
  <c r="H983" i="5"/>
  <c r="J977" i="5"/>
  <c r="M861" i="5"/>
  <c r="B1205" i="5"/>
  <c r="B1193" i="5"/>
  <c r="I1172" i="5"/>
  <c r="I1163" i="5"/>
  <c r="J1161" i="5"/>
  <c r="E1154" i="5"/>
  <c r="F1154" i="5" s="1"/>
  <c r="H1144" i="5"/>
  <c r="K1138" i="5"/>
  <c r="G1138" i="5" s="1"/>
  <c r="N1126" i="5"/>
  <c r="B1117" i="5"/>
  <c r="I1101" i="5"/>
  <c r="H1099" i="5"/>
  <c r="J1093" i="5"/>
  <c r="K1091" i="5"/>
  <c r="G1091" i="5" s="1"/>
  <c r="K1087" i="5"/>
  <c r="G1087" i="5" s="1"/>
  <c r="M1085" i="5"/>
  <c r="L1083" i="5"/>
  <c r="H1075" i="5"/>
  <c r="B1071" i="5"/>
  <c r="K1067" i="5"/>
  <c r="G1067" i="5" s="1"/>
  <c r="L1055" i="5"/>
  <c r="B1047" i="5"/>
  <c r="M1041" i="5"/>
  <c r="I1036" i="5"/>
  <c r="N1029" i="5"/>
  <c r="E1013" i="5"/>
  <c r="F1013" i="5" s="1"/>
  <c r="H1007" i="5"/>
  <c r="B958" i="5"/>
  <c r="J914" i="5"/>
  <c r="M873" i="5"/>
  <c r="H861" i="5"/>
  <c r="M1298" i="5"/>
  <c r="L1297" i="5"/>
  <c r="K1296" i="5"/>
  <c r="G1296" i="5" s="1"/>
  <c r="J1295" i="5"/>
  <c r="I1294" i="5"/>
  <c r="H1293" i="5"/>
  <c r="E1291" i="5"/>
  <c r="F1291" i="5" s="1"/>
  <c r="N1287" i="5"/>
  <c r="M1286" i="5"/>
  <c r="L1285" i="5"/>
  <c r="K1284" i="5"/>
  <c r="G1284" i="5" s="1"/>
  <c r="J1283" i="5"/>
  <c r="I1282" i="5"/>
  <c r="H1281" i="5"/>
  <c r="E1279" i="5"/>
  <c r="F1279" i="5" s="1"/>
  <c r="N1275" i="5"/>
  <c r="M1274" i="5"/>
  <c r="L1273" i="5"/>
  <c r="K1272" i="5"/>
  <c r="G1272" i="5" s="1"/>
  <c r="J1271" i="5"/>
  <c r="I1270" i="5"/>
  <c r="H1269" i="5"/>
  <c r="E1267" i="5"/>
  <c r="F1267" i="5" s="1"/>
  <c r="N1263" i="5"/>
  <c r="M1262" i="5"/>
  <c r="L1261" i="5"/>
  <c r="K1260" i="5"/>
  <c r="G1260" i="5" s="1"/>
  <c r="J1259" i="5"/>
  <c r="I1258" i="5"/>
  <c r="H1257" i="5"/>
  <c r="E1255" i="5"/>
  <c r="F1255" i="5" s="1"/>
  <c r="N1251" i="5"/>
  <c r="M1250" i="5"/>
  <c r="L1249" i="5"/>
  <c r="K1248" i="5"/>
  <c r="G1248" i="5" s="1"/>
  <c r="J1247" i="5"/>
  <c r="I1246" i="5"/>
  <c r="H1245" i="5"/>
  <c r="E1243" i="5"/>
  <c r="F1243" i="5" s="1"/>
  <c r="N1239" i="5"/>
  <c r="M1238" i="5"/>
  <c r="L1237" i="5"/>
  <c r="K1236" i="5"/>
  <c r="G1236" i="5" s="1"/>
  <c r="J1235" i="5"/>
  <c r="I1234" i="5"/>
  <c r="H1233" i="5"/>
  <c r="E1231" i="5"/>
  <c r="F1231" i="5" s="1"/>
  <c r="N1227" i="5"/>
  <c r="M1226" i="5"/>
  <c r="L1225" i="5"/>
  <c r="K1224" i="5"/>
  <c r="G1224" i="5" s="1"/>
  <c r="J1223" i="5"/>
  <c r="I1222" i="5"/>
  <c r="H1221" i="5"/>
  <c r="E1219" i="5"/>
  <c r="F1219" i="5" s="1"/>
  <c r="N1215" i="5"/>
  <c r="M1214" i="5"/>
  <c r="L1213" i="5"/>
  <c r="K1212" i="5"/>
  <c r="G1212" i="5" s="1"/>
  <c r="J1211" i="5"/>
  <c r="I1210" i="5"/>
  <c r="H1209" i="5"/>
  <c r="E1207" i="5"/>
  <c r="F1207" i="5" s="1"/>
  <c r="N1203" i="5"/>
  <c r="M1202" i="5"/>
  <c r="L1201" i="5"/>
  <c r="K1200" i="5"/>
  <c r="G1200" i="5" s="1"/>
  <c r="J1199" i="5"/>
  <c r="I1198" i="5"/>
  <c r="H1197" i="5"/>
  <c r="E1195" i="5"/>
  <c r="F1195" i="5" s="1"/>
  <c r="N1191" i="5"/>
  <c r="M1190" i="5"/>
  <c r="L1189" i="5"/>
  <c r="K1188" i="5"/>
  <c r="G1188" i="5" s="1"/>
  <c r="J1187" i="5"/>
  <c r="I1186" i="5"/>
  <c r="H1185" i="5"/>
  <c r="E1183" i="5"/>
  <c r="F1183" i="5" s="1"/>
  <c r="I1181" i="5"/>
  <c r="L1179" i="5"/>
  <c r="M1177" i="5"/>
  <c r="H1174" i="5"/>
  <c r="J1170" i="5"/>
  <c r="M1168" i="5"/>
  <c r="N1166" i="5"/>
  <c r="K1159" i="5"/>
  <c r="G1159" i="5" s="1"/>
  <c r="N1157" i="5"/>
  <c r="H1152" i="5"/>
  <c r="H1148" i="5"/>
  <c r="J1142" i="5"/>
  <c r="J1134" i="5"/>
  <c r="L1132" i="5"/>
  <c r="L1128" i="5"/>
  <c r="B1125" i="5"/>
  <c r="N1118" i="5"/>
  <c r="E1113" i="5"/>
  <c r="F1113" i="5" s="1"/>
  <c r="B1107" i="5"/>
  <c r="H1103" i="5"/>
  <c r="J1089" i="5"/>
  <c r="L1079" i="5"/>
  <c r="M1077" i="5"/>
  <c r="E964" i="5"/>
  <c r="F964" i="5" s="1"/>
  <c r="E926" i="5"/>
  <c r="F926" i="5" s="1"/>
  <c r="B1290" i="5"/>
  <c r="B1278" i="5"/>
  <c r="P1278" i="5" s="1"/>
  <c r="B1266" i="5"/>
  <c r="B1254" i="5"/>
  <c r="B1242" i="5"/>
  <c r="B1230" i="5"/>
  <c r="B1218" i="5"/>
  <c r="B1206" i="5"/>
  <c r="B1194" i="5"/>
  <c r="H1172" i="5"/>
  <c r="B1165" i="5"/>
  <c r="P1165" i="5" s="1"/>
  <c r="H1163" i="5"/>
  <c r="I1161" i="5"/>
  <c r="I1140" i="5"/>
  <c r="J1138" i="5"/>
  <c r="I1136" i="5"/>
  <c r="K1130" i="5"/>
  <c r="G1130" i="5" s="1"/>
  <c r="L1124" i="5"/>
  <c r="N1122" i="5"/>
  <c r="M1120" i="5"/>
  <c r="M1116" i="5"/>
  <c r="B1111" i="5"/>
  <c r="B1109" i="5"/>
  <c r="E1097" i="5"/>
  <c r="F1097" i="5" s="1"/>
  <c r="I1093" i="5"/>
  <c r="I1085" i="5"/>
  <c r="K1083" i="5"/>
  <c r="G1083" i="5" s="1"/>
  <c r="H1063" i="5"/>
  <c r="B1059" i="5"/>
  <c r="K1055" i="5"/>
  <c r="G1055" i="5" s="1"/>
  <c r="L1041" i="5"/>
  <c r="M1029" i="5"/>
  <c r="M1012" i="5"/>
  <c r="M994" i="5"/>
  <c r="H989" i="5"/>
  <c r="B983" i="5"/>
  <c r="I886" i="5"/>
  <c r="L873" i="5"/>
  <c r="L1298" i="5"/>
  <c r="K1297" i="5"/>
  <c r="G1297" i="5" s="1"/>
  <c r="J1296" i="5"/>
  <c r="I1295" i="5"/>
  <c r="H1294" i="5"/>
  <c r="E1292" i="5"/>
  <c r="F1292" i="5" s="1"/>
  <c r="N1288" i="5"/>
  <c r="M1287" i="5"/>
  <c r="L1286" i="5"/>
  <c r="K1285" i="5"/>
  <c r="G1285" i="5" s="1"/>
  <c r="J1284" i="5"/>
  <c r="I1283" i="5"/>
  <c r="H1282" i="5"/>
  <c r="E1280" i="5"/>
  <c r="F1280" i="5" s="1"/>
  <c r="N1276" i="5"/>
  <c r="M1275" i="5"/>
  <c r="L1274" i="5"/>
  <c r="K1273" i="5"/>
  <c r="G1273" i="5" s="1"/>
  <c r="J1272" i="5"/>
  <c r="I1271" i="5"/>
  <c r="H1270" i="5"/>
  <c r="E1268" i="5"/>
  <c r="F1268" i="5" s="1"/>
  <c r="N1264" i="5"/>
  <c r="M1263" i="5"/>
  <c r="L1262" i="5"/>
  <c r="K1261" i="5"/>
  <c r="G1261" i="5" s="1"/>
  <c r="J1260" i="5"/>
  <c r="I1259" i="5"/>
  <c r="H1258" i="5"/>
  <c r="E1256" i="5"/>
  <c r="F1256" i="5" s="1"/>
  <c r="N1252" i="5"/>
  <c r="M1251" i="5"/>
  <c r="L1250" i="5"/>
  <c r="K1249" i="5"/>
  <c r="G1249" i="5" s="1"/>
  <c r="J1248" i="5"/>
  <c r="I1247" i="5"/>
  <c r="H1246" i="5"/>
  <c r="E1244" i="5"/>
  <c r="F1244" i="5" s="1"/>
  <c r="N1240" i="5"/>
  <c r="M1239" i="5"/>
  <c r="L1238" i="5"/>
  <c r="K1237" i="5"/>
  <c r="G1237" i="5" s="1"/>
  <c r="J1236" i="5"/>
  <c r="I1235" i="5"/>
  <c r="H1234" i="5"/>
  <c r="E1232" i="5"/>
  <c r="F1232" i="5" s="1"/>
  <c r="N1228" i="5"/>
  <c r="M1227" i="5"/>
  <c r="L1226" i="5"/>
  <c r="K1225" i="5"/>
  <c r="G1225" i="5" s="1"/>
  <c r="J1224" i="5"/>
  <c r="I1223" i="5"/>
  <c r="H1222" i="5"/>
  <c r="E1220" i="5"/>
  <c r="F1220" i="5" s="1"/>
  <c r="N1216" i="5"/>
  <c r="M1215" i="5"/>
  <c r="L1214" i="5"/>
  <c r="K1213" i="5"/>
  <c r="G1213" i="5" s="1"/>
  <c r="J1212" i="5"/>
  <c r="I1211" i="5"/>
  <c r="H1210" i="5"/>
  <c r="E1208" i="5"/>
  <c r="F1208" i="5" s="1"/>
  <c r="N1204" i="5"/>
  <c r="M1203" i="5"/>
  <c r="L1202" i="5"/>
  <c r="K1201" i="5"/>
  <c r="G1201" i="5" s="1"/>
  <c r="J1200" i="5"/>
  <c r="I1199" i="5"/>
  <c r="H1198" i="5"/>
  <c r="E1196" i="5"/>
  <c r="F1196" i="5" s="1"/>
  <c r="N1192" i="5"/>
  <c r="M1191" i="5"/>
  <c r="L1190" i="5"/>
  <c r="K1189" i="5"/>
  <c r="G1189" i="5" s="1"/>
  <c r="J1188" i="5"/>
  <c r="I1187" i="5"/>
  <c r="H1186" i="5"/>
  <c r="E1184" i="5"/>
  <c r="F1184" i="5" s="1"/>
  <c r="K1179" i="5"/>
  <c r="G1179" i="5" s="1"/>
  <c r="L1168" i="5"/>
  <c r="M1157" i="5"/>
  <c r="M1155" i="5"/>
  <c r="N1153" i="5"/>
  <c r="E1146" i="5"/>
  <c r="F1146" i="5" s="1"/>
  <c r="E1142" i="5"/>
  <c r="F1142" i="5" s="1"/>
  <c r="H1132" i="5"/>
  <c r="K1126" i="5"/>
  <c r="G1126" i="5" s="1"/>
  <c r="N1114" i="5"/>
  <c r="B1105" i="5"/>
  <c r="I1089" i="5"/>
  <c r="H1087" i="5"/>
  <c r="J1081" i="5"/>
  <c r="K1079" i="5"/>
  <c r="G1079" i="5" s="1"/>
  <c r="N1070" i="5"/>
  <c r="L1046" i="5"/>
  <c r="K1041" i="5"/>
  <c r="G1041" i="5" s="1"/>
  <c r="E1035" i="5"/>
  <c r="F1035" i="5" s="1"/>
  <c r="I1000" i="5"/>
  <c r="B976" i="5"/>
  <c r="N969" i="5"/>
  <c r="N957" i="5"/>
  <c r="E949" i="5"/>
  <c r="F949" i="5" s="1"/>
  <c r="B926" i="5"/>
  <c r="B1291" i="5"/>
  <c r="B1279" i="5"/>
  <c r="B1267" i="5"/>
  <c r="B1255" i="5"/>
  <c r="B1243" i="5"/>
  <c r="B1231" i="5"/>
  <c r="B1219" i="5"/>
  <c r="B1207" i="5"/>
  <c r="B1195" i="5"/>
  <c r="B1183" i="5"/>
  <c r="E1181" i="5"/>
  <c r="F1181" i="5" s="1"/>
  <c r="K1177" i="5"/>
  <c r="G1177" i="5" s="1"/>
  <c r="L1166" i="5"/>
  <c r="M1164" i="5"/>
  <c r="H1159" i="5"/>
  <c r="B1144" i="5"/>
  <c r="H1140" i="5"/>
  <c r="H1136" i="5"/>
  <c r="J1130" i="5"/>
  <c r="J1122" i="5"/>
  <c r="L1120" i="5"/>
  <c r="L1116" i="5"/>
  <c r="B1113" i="5"/>
  <c r="N1106" i="5"/>
  <c r="E1101" i="5"/>
  <c r="F1101" i="5" s="1"/>
  <c r="B1095" i="5"/>
  <c r="H1091" i="5"/>
  <c r="J1077" i="5"/>
  <c r="H1051" i="5"/>
  <c r="K1046" i="5"/>
  <c r="G1046" i="5" s="1"/>
  <c r="N1017" i="5"/>
  <c r="J1012" i="5"/>
  <c r="L994" i="5"/>
  <c r="L975" i="5"/>
  <c r="B964" i="5"/>
  <c r="N839" i="5"/>
  <c r="E1293" i="5"/>
  <c r="F1293" i="5" s="1"/>
  <c r="N1289" i="5"/>
  <c r="M1288" i="5"/>
  <c r="L1287" i="5"/>
  <c r="K1286" i="5"/>
  <c r="G1286" i="5" s="1"/>
  <c r="J1285" i="5"/>
  <c r="I1284" i="5"/>
  <c r="H1283" i="5"/>
  <c r="E1281" i="5"/>
  <c r="F1281" i="5" s="1"/>
  <c r="N1277" i="5"/>
  <c r="M1276" i="5"/>
  <c r="L1275" i="5"/>
  <c r="K1274" i="5"/>
  <c r="G1274" i="5" s="1"/>
  <c r="J1273" i="5"/>
  <c r="I1272" i="5"/>
  <c r="H1271" i="5"/>
  <c r="E1269" i="5"/>
  <c r="F1269" i="5" s="1"/>
  <c r="N1265" i="5"/>
  <c r="M1264" i="5"/>
  <c r="L1263" i="5"/>
  <c r="K1262" i="5"/>
  <c r="G1262" i="5" s="1"/>
  <c r="J1261" i="5"/>
  <c r="I1260" i="5"/>
  <c r="H1259" i="5"/>
  <c r="E1257" i="5"/>
  <c r="F1257" i="5" s="1"/>
  <c r="N1253" i="5"/>
  <c r="M1252" i="5"/>
  <c r="L1251" i="5"/>
  <c r="K1250" i="5"/>
  <c r="G1250" i="5" s="1"/>
  <c r="J1249" i="5"/>
  <c r="I1248" i="5"/>
  <c r="H1247" i="5"/>
  <c r="E1245" i="5"/>
  <c r="F1245" i="5" s="1"/>
  <c r="N1241" i="5"/>
  <c r="M1240" i="5"/>
  <c r="L1239" i="5"/>
  <c r="K1238" i="5"/>
  <c r="G1238" i="5" s="1"/>
  <c r="J1237" i="5"/>
  <c r="I1236" i="5"/>
  <c r="H1235" i="5"/>
  <c r="E1233" i="5"/>
  <c r="F1233" i="5" s="1"/>
  <c r="N1229" i="5"/>
  <c r="M1228" i="5"/>
  <c r="L1227" i="5"/>
  <c r="K1226" i="5"/>
  <c r="G1226" i="5" s="1"/>
  <c r="J1225" i="5"/>
  <c r="I1224" i="5"/>
  <c r="H1223" i="5"/>
  <c r="E1221" i="5"/>
  <c r="F1221" i="5" s="1"/>
  <c r="N1217" i="5"/>
  <c r="M1216" i="5"/>
  <c r="L1215" i="5"/>
  <c r="K1214" i="5"/>
  <c r="G1214" i="5" s="1"/>
  <c r="J1213" i="5"/>
  <c r="I1212" i="5"/>
  <c r="H1211" i="5"/>
  <c r="E1209" i="5"/>
  <c r="F1209" i="5" s="1"/>
  <c r="N1205" i="5"/>
  <c r="M1204" i="5"/>
  <c r="L1203" i="5"/>
  <c r="K1202" i="5"/>
  <c r="G1202" i="5" s="1"/>
  <c r="J1201" i="5"/>
  <c r="I1200" i="5"/>
  <c r="H1199" i="5"/>
  <c r="E1197" i="5"/>
  <c r="F1197" i="5" s="1"/>
  <c r="N1193" i="5"/>
  <c r="M1192" i="5"/>
  <c r="L1191" i="5"/>
  <c r="K1190" i="5"/>
  <c r="G1190" i="5" s="1"/>
  <c r="J1189" i="5"/>
  <c r="I1188" i="5"/>
  <c r="H1187" i="5"/>
  <c r="E1185" i="5"/>
  <c r="F1185" i="5" s="1"/>
  <c r="L1175" i="5"/>
  <c r="E1174" i="5"/>
  <c r="F1174" i="5" s="1"/>
  <c r="E1172" i="5"/>
  <c r="F1172" i="5" s="1"/>
  <c r="H1168" i="5"/>
  <c r="I1157" i="5"/>
  <c r="L1155" i="5"/>
  <c r="M1153" i="5"/>
  <c r="E1150" i="5"/>
  <c r="F1150" i="5" s="1"/>
  <c r="B1146" i="5"/>
  <c r="I1128" i="5"/>
  <c r="J1126" i="5"/>
  <c r="I1124" i="5"/>
  <c r="K1118" i="5"/>
  <c r="G1118" i="5" s="1"/>
  <c r="L1112" i="5"/>
  <c r="N1110" i="5"/>
  <c r="M1108" i="5"/>
  <c r="M1104" i="5"/>
  <c r="B1099" i="5"/>
  <c r="B1097" i="5"/>
  <c r="E1085" i="5"/>
  <c r="F1085" i="5" s="1"/>
  <c r="I1081" i="5"/>
  <c r="K1066" i="5"/>
  <c r="G1066" i="5" s="1"/>
  <c r="N1058" i="5"/>
  <c r="E1023" i="5"/>
  <c r="F1023" i="5" s="1"/>
  <c r="K981" i="5"/>
  <c r="G981" i="5" s="1"/>
  <c r="L963" i="5"/>
  <c r="L897" i="5"/>
  <c r="B1268" i="5"/>
  <c r="B1256" i="5"/>
  <c r="B1244" i="5"/>
  <c r="B1232" i="5"/>
  <c r="B1220" i="5"/>
  <c r="B1208" i="5"/>
  <c r="B1196" i="5"/>
  <c r="B1184" i="5"/>
  <c r="J1177" i="5"/>
  <c r="E1170" i="5"/>
  <c r="F1170" i="5" s="1"/>
  <c r="K1166" i="5"/>
  <c r="G1166" i="5" s="1"/>
  <c r="L1164" i="5"/>
  <c r="B1148" i="5"/>
  <c r="N1141" i="5"/>
  <c r="E1134" i="5"/>
  <c r="F1134" i="5" s="1"/>
  <c r="E1130" i="5"/>
  <c r="F1130" i="5" s="1"/>
  <c r="H1120" i="5"/>
  <c r="K1114" i="5"/>
  <c r="G1114" i="5" s="1"/>
  <c r="N1102" i="5"/>
  <c r="B1093" i="5"/>
  <c r="I1077" i="5"/>
  <c r="B1035" i="5"/>
  <c r="I1028" i="5"/>
  <c r="M1017" i="5"/>
  <c r="N884" i="5"/>
  <c r="N1206" i="5"/>
  <c r="M1205" i="5"/>
  <c r="L1204" i="5"/>
  <c r="K1203" i="5"/>
  <c r="G1203" i="5" s="1"/>
  <c r="J1202" i="5"/>
  <c r="I1201" i="5"/>
  <c r="H1200" i="5"/>
  <c r="E1198" i="5"/>
  <c r="F1198" i="5" s="1"/>
  <c r="N1194" i="5"/>
  <c r="M1193" i="5"/>
  <c r="L1192" i="5"/>
  <c r="K1191" i="5"/>
  <c r="G1191" i="5" s="1"/>
  <c r="J1190" i="5"/>
  <c r="I1189" i="5"/>
  <c r="H1188" i="5"/>
  <c r="E1186" i="5"/>
  <c r="F1186" i="5" s="1"/>
  <c r="N1182" i="5"/>
  <c r="B1181" i="5"/>
  <c r="K1175" i="5"/>
  <c r="G1175" i="5" s="1"/>
  <c r="M1173" i="5"/>
  <c r="N1162" i="5"/>
  <c r="E1161" i="5"/>
  <c r="F1161" i="5" s="1"/>
  <c r="K1155" i="5"/>
  <c r="G1155" i="5" s="1"/>
  <c r="L1151" i="5"/>
  <c r="M1149" i="5"/>
  <c r="N1145" i="5"/>
  <c r="B1132" i="5"/>
  <c r="H1128" i="5"/>
  <c r="H1124" i="5"/>
  <c r="J1118" i="5"/>
  <c r="J1110" i="5"/>
  <c r="L1108" i="5"/>
  <c r="L1104" i="5"/>
  <c r="B1101" i="5"/>
  <c r="N1094" i="5"/>
  <c r="E1089" i="5"/>
  <c r="F1089" i="5" s="1"/>
  <c r="B1083" i="5"/>
  <c r="H1079" i="5"/>
  <c r="J1066" i="5"/>
  <c r="K1054" i="5"/>
  <c r="G1054" i="5" s="1"/>
  <c r="L1017" i="5"/>
  <c r="L1005" i="5"/>
  <c r="J981" i="5"/>
  <c r="I975" i="5"/>
  <c r="K969" i="5"/>
  <c r="G969" i="5" s="1"/>
  <c r="H897" i="5"/>
  <c r="M884" i="5"/>
  <c r="B1209" i="5"/>
  <c r="B1197" i="5"/>
  <c r="B1185" i="5"/>
  <c r="B1179" i="5"/>
  <c r="I1177" i="5"/>
  <c r="B1172" i="5"/>
  <c r="B1170" i="5"/>
  <c r="J1166" i="5"/>
  <c r="E1157" i="5"/>
  <c r="F1157" i="5" s="1"/>
  <c r="M1141" i="5"/>
  <c r="E1138" i="5"/>
  <c r="F1138" i="5" s="1"/>
  <c r="B1134" i="5"/>
  <c r="I1116" i="5"/>
  <c r="J1114" i="5"/>
  <c r="I1112" i="5"/>
  <c r="K1106" i="5"/>
  <c r="G1106" i="5" s="1"/>
  <c r="L1100" i="5"/>
  <c r="N1098" i="5"/>
  <c r="M1096" i="5"/>
  <c r="M1092" i="5"/>
  <c r="B1087" i="5"/>
  <c r="B1085" i="5"/>
  <c r="E1074" i="5"/>
  <c r="F1074" i="5" s="1"/>
  <c r="N1069" i="5"/>
  <c r="E1045" i="5"/>
  <c r="F1045" i="5" s="1"/>
  <c r="B1040" i="5"/>
  <c r="I987" i="5"/>
  <c r="H975" i="5"/>
  <c r="J969" i="5"/>
  <c r="N935" i="5"/>
  <c r="H909" i="5"/>
  <c r="I1214" i="5"/>
  <c r="H1213" i="5"/>
  <c r="E1211" i="5"/>
  <c r="F1211" i="5" s="1"/>
  <c r="N1207" i="5"/>
  <c r="M1206" i="5"/>
  <c r="L1205" i="5"/>
  <c r="K1204" i="5"/>
  <c r="G1204" i="5" s="1"/>
  <c r="J1203" i="5"/>
  <c r="I1202" i="5"/>
  <c r="H1201" i="5"/>
  <c r="E1199" i="5"/>
  <c r="F1199" i="5" s="1"/>
  <c r="N1195" i="5"/>
  <c r="M1194" i="5"/>
  <c r="L1193" i="5"/>
  <c r="K1192" i="5"/>
  <c r="G1192" i="5" s="1"/>
  <c r="J1191" i="5"/>
  <c r="I1190" i="5"/>
  <c r="H1189" i="5"/>
  <c r="E1187" i="5"/>
  <c r="F1187" i="5" s="1"/>
  <c r="N1183" i="5"/>
  <c r="M1182" i="5"/>
  <c r="N1180" i="5"/>
  <c r="B1168" i="5"/>
  <c r="J1164" i="5"/>
  <c r="J1153" i="5"/>
  <c r="K1151" i="5"/>
  <c r="G1151" i="5" s="1"/>
  <c r="K1147" i="5"/>
  <c r="G1147" i="5" s="1"/>
  <c r="M1145" i="5"/>
  <c r="L1143" i="5"/>
  <c r="B1136" i="5"/>
  <c r="N1129" i="5"/>
  <c r="E1122" i="5"/>
  <c r="F1122" i="5" s="1"/>
  <c r="E1118" i="5"/>
  <c r="F1118" i="5" s="1"/>
  <c r="H1108" i="5"/>
  <c r="K1102" i="5"/>
  <c r="G1102" i="5" s="1"/>
  <c r="N1090" i="5"/>
  <c r="B1081" i="5"/>
  <c r="J1054" i="5"/>
  <c r="E1011" i="5"/>
  <c r="F1011" i="5" s="1"/>
  <c r="K1005" i="5"/>
  <c r="G1005" i="5" s="1"/>
  <c r="B962" i="5"/>
  <c r="B956" i="5"/>
  <c r="K935" i="5"/>
  <c r="G935" i="5" s="1"/>
  <c r="B1294" i="5"/>
  <c r="B1282" i="5"/>
  <c r="B1270" i="5"/>
  <c r="B1258" i="5"/>
  <c r="B1246" i="5"/>
  <c r="B1234" i="5"/>
  <c r="P1234" i="5" s="1"/>
  <c r="B1222" i="5"/>
  <c r="B1210" i="5"/>
  <c r="P1210" i="5" s="1"/>
  <c r="B1198" i="5"/>
  <c r="B1186" i="5"/>
  <c r="K1182" i="5"/>
  <c r="G1182" i="5" s="1"/>
  <c r="I1175" i="5"/>
  <c r="J1173" i="5"/>
  <c r="E1166" i="5"/>
  <c r="F1166" i="5" s="1"/>
  <c r="K1162" i="5"/>
  <c r="G1162" i="5" s="1"/>
  <c r="B1161" i="5"/>
  <c r="B1159" i="5"/>
  <c r="J1149" i="5"/>
  <c r="L1139" i="5"/>
  <c r="M1137" i="5"/>
  <c r="N1133" i="5"/>
  <c r="B1120" i="5"/>
  <c r="H1116" i="5"/>
  <c r="H1112" i="5"/>
  <c r="J1106" i="5"/>
  <c r="J1098" i="5"/>
  <c r="L1096" i="5"/>
  <c r="L1092" i="5"/>
  <c r="B1089" i="5"/>
  <c r="N1082" i="5"/>
  <c r="E1077" i="5"/>
  <c r="F1077" i="5" s="1"/>
  <c r="B1074" i="5"/>
  <c r="M1069" i="5"/>
  <c r="E1062" i="5"/>
  <c r="F1062" i="5" s="1"/>
  <c r="N1057" i="5"/>
  <c r="B1028" i="5"/>
  <c r="I1016" i="5"/>
  <c r="J1005" i="5"/>
  <c r="N992" i="5"/>
  <c r="H987" i="5"/>
  <c r="B921" i="5"/>
  <c r="N867" i="5"/>
  <c r="I1299" i="5"/>
  <c r="H1298" i="5"/>
  <c r="E1296" i="5"/>
  <c r="F1296" i="5" s="1"/>
  <c r="N1292" i="5"/>
  <c r="M1291" i="5"/>
  <c r="L1290" i="5"/>
  <c r="K1289" i="5"/>
  <c r="G1289" i="5" s="1"/>
  <c r="J1288" i="5"/>
  <c r="I1287" i="5"/>
  <c r="H1286" i="5"/>
  <c r="E1284" i="5"/>
  <c r="F1284" i="5" s="1"/>
  <c r="N1280" i="5"/>
  <c r="M1279" i="5"/>
  <c r="L1278" i="5"/>
  <c r="K1277" i="5"/>
  <c r="G1277" i="5" s="1"/>
  <c r="J1276" i="5"/>
  <c r="I1275" i="5"/>
  <c r="H1274" i="5"/>
  <c r="E1272" i="5"/>
  <c r="F1272" i="5" s="1"/>
  <c r="N1268" i="5"/>
  <c r="M1267" i="5"/>
  <c r="L1266" i="5"/>
  <c r="K1265" i="5"/>
  <c r="G1265" i="5" s="1"/>
  <c r="J1264" i="5"/>
  <c r="I1263" i="5"/>
  <c r="H1262" i="5"/>
  <c r="E1260" i="5"/>
  <c r="F1260" i="5" s="1"/>
  <c r="N1256" i="5"/>
  <c r="M1255" i="5"/>
  <c r="L1254" i="5"/>
  <c r="K1253" i="5"/>
  <c r="G1253" i="5" s="1"/>
  <c r="J1252" i="5"/>
  <c r="I1251" i="5"/>
  <c r="H1250" i="5"/>
  <c r="E1248" i="5"/>
  <c r="F1248" i="5" s="1"/>
  <c r="N1244" i="5"/>
  <c r="M1243" i="5"/>
  <c r="L1242" i="5"/>
  <c r="K1241" i="5"/>
  <c r="G1241" i="5" s="1"/>
  <c r="J1240" i="5"/>
  <c r="I1239" i="5"/>
  <c r="H1238" i="5"/>
  <c r="E1236" i="5"/>
  <c r="F1236" i="5" s="1"/>
  <c r="N1232" i="5"/>
  <c r="M1231" i="5"/>
  <c r="L1230" i="5"/>
  <c r="K1229" i="5"/>
  <c r="G1229" i="5" s="1"/>
  <c r="J1228" i="5"/>
  <c r="I1227" i="5"/>
  <c r="H1226" i="5"/>
  <c r="E1224" i="5"/>
  <c r="F1224" i="5" s="1"/>
  <c r="N1220" i="5"/>
  <c r="M1219" i="5"/>
  <c r="L1218" i="5"/>
  <c r="K1217" i="5"/>
  <c r="G1217" i="5" s="1"/>
  <c r="J1216" i="5"/>
  <c r="I1215" i="5"/>
  <c r="H1214" i="5"/>
  <c r="E1212" i="5"/>
  <c r="F1212" i="5" s="1"/>
  <c r="N1208" i="5"/>
  <c r="M1207" i="5"/>
  <c r="L1206" i="5"/>
  <c r="K1205" i="5"/>
  <c r="G1205" i="5" s="1"/>
  <c r="J1204" i="5"/>
  <c r="I1203" i="5"/>
  <c r="H1202" i="5"/>
  <c r="E1200" i="5"/>
  <c r="F1200" i="5" s="1"/>
  <c r="N1196" i="5"/>
  <c r="M1195" i="5"/>
  <c r="L1194" i="5"/>
  <c r="K1193" i="5"/>
  <c r="G1193" i="5" s="1"/>
  <c r="J1192" i="5"/>
  <c r="I1191" i="5"/>
  <c r="H1190" i="5"/>
  <c r="E1188" i="5"/>
  <c r="F1188" i="5" s="1"/>
  <c r="N1184" i="5"/>
  <c r="M1183" i="5"/>
  <c r="J1182" i="5"/>
  <c r="M1180" i="5"/>
  <c r="N1178" i="5"/>
  <c r="K1171" i="5"/>
  <c r="G1171" i="5" s="1"/>
  <c r="N1169" i="5"/>
  <c r="I1164" i="5"/>
  <c r="L1160" i="5"/>
  <c r="B1157" i="5"/>
  <c r="I1153" i="5"/>
  <c r="I1145" i="5"/>
  <c r="K1143" i="5"/>
  <c r="G1143" i="5" s="1"/>
  <c r="M1129" i="5"/>
  <c r="E1126" i="5"/>
  <c r="F1126" i="5" s="1"/>
  <c r="B1122" i="5"/>
  <c r="I1104" i="5"/>
  <c r="J1102" i="5"/>
  <c r="I1100" i="5"/>
  <c r="K1094" i="5"/>
  <c r="G1094" i="5" s="1"/>
  <c r="L1088" i="5"/>
  <c r="N1086" i="5"/>
  <c r="M1084" i="5"/>
  <c r="M1080" i="5"/>
  <c r="B1045" i="5"/>
  <c r="M1027" i="5"/>
  <c r="B1011" i="5"/>
  <c r="L979" i="5"/>
  <c r="M955" i="5"/>
  <c r="B1295" i="5"/>
  <c r="B1283" i="5"/>
  <c r="B1271" i="5"/>
  <c r="B1259" i="5"/>
  <c r="B1247" i="5"/>
  <c r="B1235" i="5"/>
  <c r="B1223" i="5"/>
  <c r="B1211" i="5"/>
  <c r="B1199" i="5"/>
  <c r="B1187" i="5"/>
  <c r="B1177" i="5"/>
  <c r="H1175" i="5"/>
  <c r="I1173" i="5"/>
  <c r="J1162" i="5"/>
  <c r="B1155" i="5"/>
  <c r="I1149" i="5"/>
  <c r="H1147" i="5"/>
  <c r="J1141" i="5"/>
  <c r="K1139" i="5"/>
  <c r="G1139" i="5" s="1"/>
  <c r="K1135" i="5"/>
  <c r="G1135" i="5" s="1"/>
  <c r="M1133" i="5"/>
  <c r="L1131" i="5"/>
  <c r="B1124" i="5"/>
  <c r="N1117" i="5"/>
  <c r="E1110" i="5"/>
  <c r="F1110" i="5" s="1"/>
  <c r="E1106" i="5"/>
  <c r="F1106" i="5" s="1"/>
  <c r="H1096" i="5"/>
  <c r="K1090" i="5"/>
  <c r="G1090" i="5" s="1"/>
  <c r="N1078" i="5"/>
  <c r="E1073" i="5"/>
  <c r="F1073" i="5" s="1"/>
  <c r="J1065" i="5"/>
  <c r="B1062" i="5"/>
  <c r="M1057" i="5"/>
  <c r="E1033" i="5"/>
  <c r="F1033" i="5" s="1"/>
  <c r="H998" i="5"/>
  <c r="M992" i="5"/>
  <c r="N973" i="5"/>
  <c r="M967" i="5"/>
  <c r="N961" i="5"/>
  <c r="L955" i="5"/>
  <c r="N944" i="5"/>
  <c r="L769" i="5"/>
  <c r="N1179" i="5"/>
  <c r="M1178" i="5"/>
  <c r="L1177" i="5"/>
  <c r="K1176" i="5"/>
  <c r="G1176" i="5" s="1"/>
  <c r="J1175" i="5"/>
  <c r="I1174" i="5"/>
  <c r="H1173" i="5"/>
  <c r="E1171" i="5"/>
  <c r="F1171" i="5" s="1"/>
  <c r="N1167" i="5"/>
  <c r="M1166" i="5"/>
  <c r="L1165" i="5"/>
  <c r="K1164" i="5"/>
  <c r="G1164" i="5" s="1"/>
  <c r="J1163" i="5"/>
  <c r="I1162" i="5"/>
  <c r="H1161" i="5"/>
  <c r="E1159" i="5"/>
  <c r="F1159" i="5" s="1"/>
  <c r="N1155" i="5"/>
  <c r="M1154" i="5"/>
  <c r="L1153" i="5"/>
  <c r="K1152" i="5"/>
  <c r="G1152" i="5" s="1"/>
  <c r="J1151" i="5"/>
  <c r="I1150" i="5"/>
  <c r="H1149" i="5"/>
  <c r="E1147" i="5"/>
  <c r="F1147" i="5" s="1"/>
  <c r="N1143" i="5"/>
  <c r="M1142" i="5"/>
  <c r="L1141" i="5"/>
  <c r="K1140" i="5"/>
  <c r="G1140" i="5" s="1"/>
  <c r="J1139" i="5"/>
  <c r="I1138" i="5"/>
  <c r="H1137" i="5"/>
  <c r="E1135" i="5"/>
  <c r="F1135" i="5" s="1"/>
  <c r="N1131" i="5"/>
  <c r="M1130" i="5"/>
  <c r="L1129" i="5"/>
  <c r="K1128" i="5"/>
  <c r="G1128" i="5" s="1"/>
  <c r="J1127" i="5"/>
  <c r="I1126" i="5"/>
  <c r="H1125" i="5"/>
  <c r="E1123" i="5"/>
  <c r="F1123" i="5" s="1"/>
  <c r="N1119" i="5"/>
  <c r="M1118" i="5"/>
  <c r="L1117" i="5"/>
  <c r="K1116" i="5"/>
  <c r="G1116" i="5" s="1"/>
  <c r="J1115" i="5"/>
  <c r="I1114" i="5"/>
  <c r="H1113" i="5"/>
  <c r="E1111" i="5"/>
  <c r="F1111" i="5" s="1"/>
  <c r="N1107" i="5"/>
  <c r="M1106" i="5"/>
  <c r="L1105" i="5"/>
  <c r="K1104" i="5"/>
  <c r="G1104" i="5" s="1"/>
  <c r="J1103" i="5"/>
  <c r="I1102" i="5"/>
  <c r="H1101" i="5"/>
  <c r="E1099" i="5"/>
  <c r="F1099" i="5" s="1"/>
  <c r="N1095" i="5"/>
  <c r="M1094" i="5"/>
  <c r="L1093" i="5"/>
  <c r="K1092" i="5"/>
  <c r="G1092" i="5" s="1"/>
  <c r="J1091" i="5"/>
  <c r="I1090" i="5"/>
  <c r="H1089" i="5"/>
  <c r="E1087" i="5"/>
  <c r="F1087" i="5" s="1"/>
  <c r="N1083" i="5"/>
  <c r="M1082" i="5"/>
  <c r="L1081" i="5"/>
  <c r="K1080" i="5"/>
  <c r="G1080" i="5" s="1"/>
  <c r="J1079" i="5"/>
  <c r="I1078" i="5"/>
  <c r="H1077" i="5"/>
  <c r="E1075" i="5"/>
  <c r="F1075" i="5" s="1"/>
  <c r="N1071" i="5"/>
  <c r="M1070" i="5"/>
  <c r="L1069" i="5"/>
  <c r="K1068" i="5"/>
  <c r="G1068" i="5" s="1"/>
  <c r="J1067" i="5"/>
  <c r="I1066" i="5"/>
  <c r="H1065" i="5"/>
  <c r="E1063" i="5"/>
  <c r="F1063" i="5" s="1"/>
  <c r="N1059" i="5"/>
  <c r="M1058" i="5"/>
  <c r="L1057" i="5"/>
  <c r="K1056" i="5"/>
  <c r="G1056" i="5" s="1"/>
  <c r="J1055" i="5"/>
  <c r="I1054" i="5"/>
  <c r="H1053" i="5"/>
  <c r="E1051" i="5"/>
  <c r="F1051" i="5" s="1"/>
  <c r="M1039" i="5"/>
  <c r="H1038" i="5"/>
  <c r="L1029" i="5"/>
  <c r="J1024" i="5"/>
  <c r="B1023" i="5"/>
  <c r="H1019" i="5"/>
  <c r="B1016" i="5"/>
  <c r="I1014" i="5"/>
  <c r="N1001" i="5"/>
  <c r="E1000" i="5"/>
  <c r="F1000" i="5" s="1"/>
  <c r="K994" i="5"/>
  <c r="G994" i="5" s="1"/>
  <c r="E985" i="5"/>
  <c r="F985" i="5" s="1"/>
  <c r="E981" i="5"/>
  <c r="F981" i="5" s="1"/>
  <c r="H971" i="5"/>
  <c r="K965" i="5"/>
  <c r="G965" i="5" s="1"/>
  <c r="J952" i="5"/>
  <c r="B949" i="5"/>
  <c r="M944" i="5"/>
  <c r="K930" i="5"/>
  <c r="G930" i="5" s="1"/>
  <c r="K924" i="5"/>
  <c r="G924" i="5" s="1"/>
  <c r="L919" i="5"/>
  <c r="H879" i="5"/>
  <c r="H873" i="5"/>
  <c r="K1153" i="5"/>
  <c r="G1153" i="5" s="1"/>
  <c r="J1152" i="5"/>
  <c r="I1151" i="5"/>
  <c r="H1150" i="5"/>
  <c r="E1148" i="5"/>
  <c r="F1148" i="5" s="1"/>
  <c r="N1144" i="5"/>
  <c r="M1143" i="5"/>
  <c r="L1142" i="5"/>
  <c r="K1141" i="5"/>
  <c r="G1141" i="5" s="1"/>
  <c r="J1140" i="5"/>
  <c r="I1139" i="5"/>
  <c r="H1138" i="5"/>
  <c r="E1136" i="5"/>
  <c r="F1136" i="5" s="1"/>
  <c r="N1132" i="5"/>
  <c r="M1131" i="5"/>
  <c r="L1130" i="5"/>
  <c r="K1129" i="5"/>
  <c r="G1129" i="5" s="1"/>
  <c r="J1128" i="5"/>
  <c r="I1127" i="5"/>
  <c r="H1126" i="5"/>
  <c r="E1124" i="5"/>
  <c r="F1124" i="5" s="1"/>
  <c r="N1120" i="5"/>
  <c r="M1119" i="5"/>
  <c r="L1118" i="5"/>
  <c r="K1117" i="5"/>
  <c r="G1117" i="5" s="1"/>
  <c r="J1116" i="5"/>
  <c r="I1115" i="5"/>
  <c r="H1114" i="5"/>
  <c r="E1112" i="5"/>
  <c r="F1112" i="5" s="1"/>
  <c r="N1108" i="5"/>
  <c r="M1107" i="5"/>
  <c r="L1106" i="5"/>
  <c r="K1105" i="5"/>
  <c r="G1105" i="5" s="1"/>
  <c r="J1104" i="5"/>
  <c r="I1103" i="5"/>
  <c r="H1102" i="5"/>
  <c r="E1100" i="5"/>
  <c r="F1100" i="5" s="1"/>
  <c r="N1096" i="5"/>
  <c r="M1095" i="5"/>
  <c r="L1094" i="5"/>
  <c r="K1093" i="5"/>
  <c r="G1093" i="5" s="1"/>
  <c r="J1092" i="5"/>
  <c r="I1091" i="5"/>
  <c r="H1090" i="5"/>
  <c r="E1088" i="5"/>
  <c r="F1088" i="5" s="1"/>
  <c r="N1084" i="5"/>
  <c r="M1083" i="5"/>
  <c r="L1082" i="5"/>
  <c r="K1081" i="5"/>
  <c r="G1081" i="5" s="1"/>
  <c r="J1080" i="5"/>
  <c r="I1079" i="5"/>
  <c r="H1078" i="5"/>
  <c r="E1076" i="5"/>
  <c r="F1076" i="5" s="1"/>
  <c r="N1072" i="5"/>
  <c r="M1071" i="5"/>
  <c r="L1070" i="5"/>
  <c r="K1069" i="5"/>
  <c r="G1069" i="5" s="1"/>
  <c r="J1068" i="5"/>
  <c r="I1067" i="5"/>
  <c r="H1066" i="5"/>
  <c r="E1064" i="5"/>
  <c r="F1064" i="5" s="1"/>
  <c r="N1060" i="5"/>
  <c r="M1059" i="5"/>
  <c r="L1058" i="5"/>
  <c r="K1057" i="5"/>
  <c r="G1057" i="5" s="1"/>
  <c r="J1056" i="5"/>
  <c r="I1055" i="5"/>
  <c r="H1054" i="5"/>
  <c r="E1052" i="5"/>
  <c r="F1052" i="5" s="1"/>
  <c r="K1049" i="5"/>
  <c r="G1049" i="5" s="1"/>
  <c r="E1048" i="5"/>
  <c r="F1048" i="5" s="1"/>
  <c r="H1046" i="5"/>
  <c r="N1044" i="5"/>
  <c r="B1043" i="5"/>
  <c r="L1039" i="5"/>
  <c r="K1034" i="5"/>
  <c r="G1034" i="5" s="1"/>
  <c r="K1029" i="5"/>
  <c r="G1029" i="5" s="1"/>
  <c r="I1024" i="5"/>
  <c r="B1021" i="5"/>
  <c r="M1015" i="5"/>
  <c r="H1014" i="5"/>
  <c r="B1007" i="5"/>
  <c r="J1003" i="5"/>
  <c r="L990" i="5"/>
  <c r="E989" i="5"/>
  <c r="F989" i="5" s="1"/>
  <c r="B985" i="5"/>
  <c r="I967" i="5"/>
  <c r="J965" i="5"/>
  <c r="I963" i="5"/>
  <c r="K957" i="5"/>
  <c r="G957" i="5" s="1"/>
  <c r="I952" i="5"/>
  <c r="E948" i="5"/>
  <c r="F948" i="5" s="1"/>
  <c r="I940" i="5"/>
  <c r="J935" i="5"/>
  <c r="K919" i="5"/>
  <c r="G919" i="5" s="1"/>
  <c r="J902" i="5"/>
  <c r="H890" i="5"/>
  <c r="B784" i="5"/>
  <c r="I570" i="5"/>
  <c r="B1075" i="5"/>
  <c r="B1063" i="5"/>
  <c r="B1051" i="5"/>
  <c r="J1041" i="5"/>
  <c r="H1036" i="5"/>
  <c r="B1031" i="5"/>
  <c r="L1027" i="5"/>
  <c r="K1022" i="5"/>
  <c r="G1022" i="5" s="1"/>
  <c r="K1017" i="5"/>
  <c r="G1017" i="5" s="1"/>
  <c r="I1012" i="5"/>
  <c r="E1005" i="5"/>
  <c r="F1005" i="5" s="1"/>
  <c r="K1001" i="5"/>
  <c r="G1001" i="5" s="1"/>
  <c r="B1000" i="5"/>
  <c r="B998" i="5"/>
  <c r="J992" i="5"/>
  <c r="B987" i="5"/>
  <c r="N980" i="5"/>
  <c r="E973" i="5"/>
  <c r="F973" i="5" s="1"/>
  <c r="E969" i="5"/>
  <c r="F969" i="5" s="1"/>
  <c r="H959" i="5"/>
  <c r="I929" i="5"/>
  <c r="H924" i="5"/>
  <c r="J919" i="5"/>
  <c r="E913" i="5"/>
  <c r="F913" i="5" s="1"/>
  <c r="M907" i="5"/>
  <c r="I902" i="5"/>
  <c r="M895" i="5"/>
  <c r="L884" i="5"/>
  <c r="B866" i="5"/>
  <c r="N858" i="5"/>
  <c r="J766" i="5"/>
  <c r="N1073" i="5"/>
  <c r="M1072" i="5"/>
  <c r="L1071" i="5"/>
  <c r="K1070" i="5"/>
  <c r="G1070" i="5" s="1"/>
  <c r="J1069" i="5"/>
  <c r="I1068" i="5"/>
  <c r="H1067" i="5"/>
  <c r="E1065" i="5"/>
  <c r="F1065" i="5" s="1"/>
  <c r="N1061" i="5"/>
  <c r="M1060" i="5"/>
  <c r="L1059" i="5"/>
  <c r="K1058" i="5"/>
  <c r="G1058" i="5" s="1"/>
  <c r="J1057" i="5"/>
  <c r="I1056" i="5"/>
  <c r="H1055" i="5"/>
  <c r="E1053" i="5"/>
  <c r="F1053" i="5" s="1"/>
  <c r="J1049" i="5"/>
  <c r="M1044" i="5"/>
  <c r="K1039" i="5"/>
  <c r="G1039" i="5" s="1"/>
  <c r="N1032" i="5"/>
  <c r="J1029" i="5"/>
  <c r="H1024" i="5"/>
  <c r="B1019" i="5"/>
  <c r="L1015" i="5"/>
  <c r="K1010" i="5"/>
  <c r="G1010" i="5" s="1"/>
  <c r="N1008" i="5"/>
  <c r="I1003" i="5"/>
  <c r="L999" i="5"/>
  <c r="B996" i="5"/>
  <c r="K990" i="5"/>
  <c r="G990" i="5" s="1"/>
  <c r="M988" i="5"/>
  <c r="N984" i="5"/>
  <c r="B971" i="5"/>
  <c r="H967" i="5"/>
  <c r="H963" i="5"/>
  <c r="J957" i="5"/>
  <c r="I955" i="5"/>
  <c r="H940" i="5"/>
  <c r="K884" i="5"/>
  <c r="G884" i="5" s="1"/>
  <c r="L871" i="5"/>
  <c r="L865" i="5"/>
  <c r="L809" i="5"/>
  <c r="B1076" i="5"/>
  <c r="B1064" i="5"/>
  <c r="B1052" i="5"/>
  <c r="B1048" i="5"/>
  <c r="N1042" i="5"/>
  <c r="E1041" i="5"/>
  <c r="F1041" i="5" s="1"/>
  <c r="N1037" i="5"/>
  <c r="H1034" i="5"/>
  <c r="K1027" i="5"/>
  <c r="G1027" i="5" s="1"/>
  <c r="N1020" i="5"/>
  <c r="J1017" i="5"/>
  <c r="H1012" i="5"/>
  <c r="J1001" i="5"/>
  <c r="B994" i="5"/>
  <c r="I992" i="5"/>
  <c r="M980" i="5"/>
  <c r="E977" i="5"/>
  <c r="F977" i="5" s="1"/>
  <c r="B973" i="5"/>
  <c r="B948" i="5"/>
  <c r="M943" i="5"/>
  <c r="H929" i="5"/>
  <c r="L907" i="5"/>
  <c r="L895" i="5"/>
  <c r="M858" i="5"/>
  <c r="L847" i="5"/>
  <c r="B725" i="5"/>
  <c r="N1074" i="5"/>
  <c r="M1073" i="5"/>
  <c r="L1072" i="5"/>
  <c r="K1071" i="5"/>
  <c r="G1071" i="5" s="1"/>
  <c r="J1070" i="5"/>
  <c r="I1069" i="5"/>
  <c r="H1068" i="5"/>
  <c r="E1066" i="5"/>
  <c r="F1066" i="5" s="1"/>
  <c r="N1062" i="5"/>
  <c r="M1061" i="5"/>
  <c r="L1060" i="5"/>
  <c r="K1059" i="5"/>
  <c r="G1059" i="5" s="1"/>
  <c r="J1058" i="5"/>
  <c r="I1057" i="5"/>
  <c r="H1056" i="5"/>
  <c r="E1054" i="5"/>
  <c r="F1054" i="5" s="1"/>
  <c r="N1050" i="5"/>
  <c r="I1049" i="5"/>
  <c r="M1047" i="5"/>
  <c r="E1046" i="5"/>
  <c r="F1046" i="5" s="1"/>
  <c r="J1044" i="5"/>
  <c r="J1039" i="5"/>
  <c r="M1032" i="5"/>
  <c r="N1030" i="5"/>
  <c r="E1029" i="5"/>
  <c r="F1029" i="5" s="1"/>
  <c r="N1025" i="5"/>
  <c r="H1022" i="5"/>
  <c r="K1015" i="5"/>
  <c r="G1015" i="5" s="1"/>
  <c r="M1008" i="5"/>
  <c r="M1006" i="5"/>
  <c r="N1004" i="5"/>
  <c r="H1003" i="5"/>
  <c r="N997" i="5"/>
  <c r="N995" i="5"/>
  <c r="K986" i="5"/>
  <c r="G986" i="5" s="1"/>
  <c r="M984" i="5"/>
  <c r="L982" i="5"/>
  <c r="B975" i="5"/>
  <c r="N968" i="5"/>
  <c r="E961" i="5"/>
  <c r="F961" i="5" s="1"/>
  <c r="E957" i="5"/>
  <c r="F957" i="5" s="1"/>
  <c r="B913" i="5"/>
  <c r="K907" i="5"/>
  <c r="G907" i="5" s="1"/>
  <c r="E901" i="5"/>
  <c r="F901" i="5" s="1"/>
  <c r="I877" i="5"/>
  <c r="K871" i="5"/>
  <c r="G871" i="5" s="1"/>
  <c r="I865" i="5"/>
  <c r="B1065" i="5"/>
  <c r="B1053" i="5"/>
  <c r="M1050" i="5"/>
  <c r="L1047" i="5"/>
  <c r="I1044" i="5"/>
  <c r="M1042" i="5"/>
  <c r="E1036" i="5"/>
  <c r="F1036" i="5" s="1"/>
  <c r="J1027" i="5"/>
  <c r="M1020" i="5"/>
  <c r="N1018" i="5"/>
  <c r="E1017" i="5"/>
  <c r="F1017" i="5" s="1"/>
  <c r="N1013" i="5"/>
  <c r="H1010" i="5"/>
  <c r="I999" i="5"/>
  <c r="I990" i="5"/>
  <c r="J988" i="5"/>
  <c r="L978" i="5"/>
  <c r="M976" i="5"/>
  <c r="N972" i="5"/>
  <c r="B959" i="5"/>
  <c r="I951" i="5"/>
  <c r="L943" i="5"/>
  <c r="B934" i="5"/>
  <c r="B918" i="5"/>
  <c r="K895" i="5"/>
  <c r="G895" i="5" s="1"/>
  <c r="M821" i="5"/>
  <c r="B808" i="5"/>
  <c r="L1181" i="5"/>
  <c r="K1180" i="5"/>
  <c r="G1180" i="5" s="1"/>
  <c r="J1179" i="5"/>
  <c r="I1178" i="5"/>
  <c r="H1177" i="5"/>
  <c r="E1175" i="5"/>
  <c r="F1175" i="5" s="1"/>
  <c r="N1171" i="5"/>
  <c r="M1170" i="5"/>
  <c r="L1169" i="5"/>
  <c r="K1168" i="5"/>
  <c r="G1168" i="5" s="1"/>
  <c r="J1167" i="5"/>
  <c r="I1166" i="5"/>
  <c r="H1165" i="5"/>
  <c r="E1163" i="5"/>
  <c r="F1163" i="5" s="1"/>
  <c r="N1159" i="5"/>
  <c r="M1158" i="5"/>
  <c r="L1157" i="5"/>
  <c r="K1156" i="5"/>
  <c r="G1156" i="5" s="1"/>
  <c r="J1155" i="5"/>
  <c r="I1154" i="5"/>
  <c r="H1153" i="5"/>
  <c r="E1151" i="5"/>
  <c r="F1151" i="5" s="1"/>
  <c r="N1147" i="5"/>
  <c r="M1146" i="5"/>
  <c r="L1145" i="5"/>
  <c r="K1144" i="5"/>
  <c r="G1144" i="5" s="1"/>
  <c r="J1143" i="5"/>
  <c r="I1142" i="5"/>
  <c r="H1141" i="5"/>
  <c r="E1139" i="5"/>
  <c r="F1139" i="5" s="1"/>
  <c r="N1135" i="5"/>
  <c r="M1134" i="5"/>
  <c r="L1133" i="5"/>
  <c r="K1132" i="5"/>
  <c r="G1132" i="5" s="1"/>
  <c r="J1131" i="5"/>
  <c r="I1130" i="5"/>
  <c r="H1129" i="5"/>
  <c r="E1127" i="5"/>
  <c r="F1127" i="5" s="1"/>
  <c r="N1123" i="5"/>
  <c r="M1122" i="5"/>
  <c r="L1121" i="5"/>
  <c r="K1120" i="5"/>
  <c r="G1120" i="5" s="1"/>
  <c r="J1119" i="5"/>
  <c r="I1118" i="5"/>
  <c r="H1117" i="5"/>
  <c r="E1115" i="5"/>
  <c r="F1115" i="5" s="1"/>
  <c r="N1111" i="5"/>
  <c r="M1110" i="5"/>
  <c r="L1109" i="5"/>
  <c r="K1108" i="5"/>
  <c r="G1108" i="5" s="1"/>
  <c r="J1107" i="5"/>
  <c r="I1106" i="5"/>
  <c r="H1105" i="5"/>
  <c r="E1103" i="5"/>
  <c r="F1103" i="5" s="1"/>
  <c r="N1099" i="5"/>
  <c r="M1098" i="5"/>
  <c r="L1097" i="5"/>
  <c r="K1096" i="5"/>
  <c r="G1096" i="5" s="1"/>
  <c r="J1095" i="5"/>
  <c r="I1094" i="5"/>
  <c r="H1093" i="5"/>
  <c r="E1091" i="5"/>
  <c r="F1091" i="5" s="1"/>
  <c r="N1087" i="5"/>
  <c r="M1086" i="5"/>
  <c r="L1085" i="5"/>
  <c r="K1084" i="5"/>
  <c r="G1084" i="5" s="1"/>
  <c r="J1083" i="5"/>
  <c r="I1082" i="5"/>
  <c r="H1081" i="5"/>
  <c r="E1079" i="5"/>
  <c r="F1079" i="5" s="1"/>
  <c r="N1075" i="5"/>
  <c r="M1074" i="5"/>
  <c r="L1073" i="5"/>
  <c r="K1072" i="5"/>
  <c r="G1072" i="5" s="1"/>
  <c r="J1071" i="5"/>
  <c r="I1070" i="5"/>
  <c r="H1069" i="5"/>
  <c r="E1067" i="5"/>
  <c r="F1067" i="5" s="1"/>
  <c r="N1063" i="5"/>
  <c r="M1062" i="5"/>
  <c r="L1061" i="5"/>
  <c r="K1060" i="5"/>
  <c r="G1060" i="5" s="1"/>
  <c r="J1059" i="5"/>
  <c r="I1058" i="5"/>
  <c r="H1057" i="5"/>
  <c r="E1055" i="5"/>
  <c r="F1055" i="5" s="1"/>
  <c r="N1051" i="5"/>
  <c r="H1049" i="5"/>
  <c r="N1040" i="5"/>
  <c r="I1039" i="5"/>
  <c r="K1037" i="5"/>
  <c r="G1037" i="5" s="1"/>
  <c r="I1032" i="5"/>
  <c r="M1030" i="5"/>
  <c r="E1024" i="5"/>
  <c r="F1024" i="5" s="1"/>
  <c r="J1015" i="5"/>
  <c r="I1008" i="5"/>
  <c r="L1006" i="5"/>
  <c r="M1004" i="5"/>
  <c r="H1001" i="5"/>
  <c r="J997" i="5"/>
  <c r="M995" i="5"/>
  <c r="N993" i="5"/>
  <c r="I984" i="5"/>
  <c r="K982" i="5"/>
  <c r="G982" i="5" s="1"/>
  <c r="M968" i="5"/>
  <c r="E965" i="5"/>
  <c r="F965" i="5" s="1"/>
  <c r="B961" i="5"/>
  <c r="L954" i="5"/>
  <c r="E939" i="5"/>
  <c r="F939" i="5" s="1"/>
  <c r="B923" i="5"/>
  <c r="K912" i="5"/>
  <c r="G912" i="5" s="1"/>
  <c r="J895" i="5"/>
  <c r="N882" i="5"/>
  <c r="H877" i="5"/>
  <c r="N846" i="5"/>
  <c r="I834" i="5"/>
  <c r="H821" i="5"/>
  <c r="I743" i="5"/>
  <c r="B1174" i="5"/>
  <c r="B1162" i="5"/>
  <c r="B1150" i="5"/>
  <c r="B1138" i="5"/>
  <c r="B1126" i="5"/>
  <c r="B1114" i="5"/>
  <c r="B1102" i="5"/>
  <c r="B1090" i="5"/>
  <c r="B1078" i="5"/>
  <c r="B1066" i="5"/>
  <c r="B1054" i="5"/>
  <c r="L1050" i="5"/>
  <c r="B1046" i="5"/>
  <c r="L1042" i="5"/>
  <c r="E1034" i="5"/>
  <c r="F1034" i="5" s="1"/>
  <c r="N1028" i="5"/>
  <c r="I1027" i="5"/>
  <c r="K1025" i="5"/>
  <c r="G1025" i="5" s="1"/>
  <c r="I1020" i="5"/>
  <c r="M1018" i="5"/>
  <c r="E1012" i="5"/>
  <c r="F1012" i="5" s="1"/>
  <c r="H999" i="5"/>
  <c r="B992" i="5"/>
  <c r="H990" i="5"/>
  <c r="I988" i="5"/>
  <c r="H986" i="5"/>
  <c r="J980" i="5"/>
  <c r="K978" i="5"/>
  <c r="G978" i="5" s="1"/>
  <c r="K974" i="5"/>
  <c r="G974" i="5" s="1"/>
  <c r="M972" i="5"/>
  <c r="L970" i="5"/>
  <c r="B963" i="5"/>
  <c r="N956" i="5"/>
  <c r="H951" i="5"/>
  <c r="B947" i="5"/>
  <c r="M917" i="5"/>
  <c r="B901" i="5"/>
  <c r="E877" i="5"/>
  <c r="F877" i="5" s="1"/>
  <c r="B864" i="5"/>
  <c r="M846" i="5"/>
  <c r="I778" i="5"/>
  <c r="L1182" i="5"/>
  <c r="K1181" i="5"/>
  <c r="G1181" i="5" s="1"/>
  <c r="J1180" i="5"/>
  <c r="I1179" i="5"/>
  <c r="H1178" i="5"/>
  <c r="E1176" i="5"/>
  <c r="F1176" i="5" s="1"/>
  <c r="N1172" i="5"/>
  <c r="M1171" i="5"/>
  <c r="L1170" i="5"/>
  <c r="K1169" i="5"/>
  <c r="G1169" i="5" s="1"/>
  <c r="J1168" i="5"/>
  <c r="I1167" i="5"/>
  <c r="H1166" i="5"/>
  <c r="E1164" i="5"/>
  <c r="F1164" i="5" s="1"/>
  <c r="N1160" i="5"/>
  <c r="M1159" i="5"/>
  <c r="L1158" i="5"/>
  <c r="K1157" i="5"/>
  <c r="G1157" i="5" s="1"/>
  <c r="J1156" i="5"/>
  <c r="I1155" i="5"/>
  <c r="H1154" i="5"/>
  <c r="E1152" i="5"/>
  <c r="F1152" i="5" s="1"/>
  <c r="N1148" i="5"/>
  <c r="M1147" i="5"/>
  <c r="L1146" i="5"/>
  <c r="K1145" i="5"/>
  <c r="G1145" i="5" s="1"/>
  <c r="J1144" i="5"/>
  <c r="I1143" i="5"/>
  <c r="H1142" i="5"/>
  <c r="E1140" i="5"/>
  <c r="F1140" i="5" s="1"/>
  <c r="N1136" i="5"/>
  <c r="M1135" i="5"/>
  <c r="L1134" i="5"/>
  <c r="K1133" i="5"/>
  <c r="G1133" i="5" s="1"/>
  <c r="J1132" i="5"/>
  <c r="I1131" i="5"/>
  <c r="H1130" i="5"/>
  <c r="E1128" i="5"/>
  <c r="F1128" i="5" s="1"/>
  <c r="N1124" i="5"/>
  <c r="M1123" i="5"/>
  <c r="L1122" i="5"/>
  <c r="K1121" i="5"/>
  <c r="G1121" i="5" s="1"/>
  <c r="J1120" i="5"/>
  <c r="I1119" i="5"/>
  <c r="H1118" i="5"/>
  <c r="E1116" i="5"/>
  <c r="F1116" i="5" s="1"/>
  <c r="N1112" i="5"/>
  <c r="M1111" i="5"/>
  <c r="L1110" i="5"/>
  <c r="K1109" i="5"/>
  <c r="G1109" i="5" s="1"/>
  <c r="J1108" i="5"/>
  <c r="I1107" i="5"/>
  <c r="H1106" i="5"/>
  <c r="E1104" i="5"/>
  <c r="F1104" i="5" s="1"/>
  <c r="N1100" i="5"/>
  <c r="M1099" i="5"/>
  <c r="L1098" i="5"/>
  <c r="K1097" i="5"/>
  <c r="G1097" i="5" s="1"/>
  <c r="J1096" i="5"/>
  <c r="I1095" i="5"/>
  <c r="H1094" i="5"/>
  <c r="E1092" i="5"/>
  <c r="F1092" i="5" s="1"/>
  <c r="N1088" i="5"/>
  <c r="M1087" i="5"/>
  <c r="L1086" i="5"/>
  <c r="K1085" i="5"/>
  <c r="G1085" i="5" s="1"/>
  <c r="J1084" i="5"/>
  <c r="I1083" i="5"/>
  <c r="H1082" i="5"/>
  <c r="E1080" i="5"/>
  <c r="F1080" i="5" s="1"/>
  <c r="N1076" i="5"/>
  <c r="M1075" i="5"/>
  <c r="L1074" i="5"/>
  <c r="K1073" i="5"/>
  <c r="G1073" i="5" s="1"/>
  <c r="J1072" i="5"/>
  <c r="I1071" i="5"/>
  <c r="H1070" i="5"/>
  <c r="E1068" i="5"/>
  <c r="F1068" i="5" s="1"/>
  <c r="N1064" i="5"/>
  <c r="M1063" i="5"/>
  <c r="L1062" i="5"/>
  <c r="K1061" i="5"/>
  <c r="G1061" i="5" s="1"/>
  <c r="J1060" i="5"/>
  <c r="I1059" i="5"/>
  <c r="H1058" i="5"/>
  <c r="E1056" i="5"/>
  <c r="F1056" i="5" s="1"/>
  <c r="N1052" i="5"/>
  <c r="M1051" i="5"/>
  <c r="I1047" i="5"/>
  <c r="E1044" i="5"/>
  <c r="F1044" i="5" s="1"/>
  <c r="M1040" i="5"/>
  <c r="H1039" i="5"/>
  <c r="J1037" i="5"/>
  <c r="B1036" i="5"/>
  <c r="L1030" i="5"/>
  <c r="E1022" i="5"/>
  <c r="F1022" i="5" s="1"/>
  <c r="N1016" i="5"/>
  <c r="I1015" i="5"/>
  <c r="K1013" i="5"/>
  <c r="G1013" i="5" s="1"/>
  <c r="K1006" i="5"/>
  <c r="G1006" i="5" s="1"/>
  <c r="L995" i="5"/>
  <c r="J976" i="5"/>
  <c r="L966" i="5"/>
  <c r="M964" i="5"/>
  <c r="N960" i="5"/>
  <c r="K954" i="5"/>
  <c r="G954" i="5" s="1"/>
  <c r="N927" i="5"/>
  <c r="L917" i="5"/>
  <c r="H888" i="5"/>
  <c r="M882" i="5"/>
  <c r="J855" i="5"/>
  <c r="N633" i="5"/>
  <c r="B1175" i="5"/>
  <c r="B1163" i="5"/>
  <c r="B1151" i="5"/>
  <c r="B1139" i="5"/>
  <c r="B1127" i="5"/>
  <c r="B1115" i="5"/>
  <c r="B1103" i="5"/>
  <c r="B1091" i="5"/>
  <c r="B1079" i="5"/>
  <c r="B1067" i="5"/>
  <c r="B1055" i="5"/>
  <c r="K1050" i="5"/>
  <c r="G1050" i="5" s="1"/>
  <c r="K1042" i="5"/>
  <c r="G1042" i="5" s="1"/>
  <c r="L1035" i="5"/>
  <c r="E1032" i="5"/>
  <c r="F1032" i="5" s="1"/>
  <c r="M1028" i="5"/>
  <c r="H1027" i="5"/>
  <c r="J1025" i="5"/>
  <c r="B1024" i="5"/>
  <c r="L1018" i="5"/>
  <c r="E1008" i="5"/>
  <c r="F1008" i="5" s="1"/>
  <c r="K1004" i="5"/>
  <c r="G1004" i="5" s="1"/>
  <c r="L993" i="5"/>
  <c r="M991" i="5"/>
  <c r="E984" i="5"/>
  <c r="F984" i="5" s="1"/>
  <c r="I980" i="5"/>
  <c r="I972" i="5"/>
  <c r="K970" i="5"/>
  <c r="G970" i="5" s="1"/>
  <c r="M956" i="5"/>
  <c r="N938" i="5"/>
  <c r="N922" i="5"/>
  <c r="B906" i="5"/>
  <c r="B894" i="5"/>
  <c r="M869" i="5"/>
  <c r="J1181" i="5"/>
  <c r="I1180" i="5"/>
  <c r="H1179" i="5"/>
  <c r="E1177" i="5"/>
  <c r="F1177" i="5" s="1"/>
  <c r="N1173" i="5"/>
  <c r="M1172" i="5"/>
  <c r="L1171" i="5"/>
  <c r="K1170" i="5"/>
  <c r="G1170" i="5" s="1"/>
  <c r="J1169" i="5"/>
  <c r="I1168" i="5"/>
  <c r="H1167" i="5"/>
  <c r="E1165" i="5"/>
  <c r="F1165" i="5" s="1"/>
  <c r="N1161" i="5"/>
  <c r="M1160" i="5"/>
  <c r="L1159" i="5"/>
  <c r="K1158" i="5"/>
  <c r="G1158" i="5" s="1"/>
  <c r="J1157" i="5"/>
  <c r="I1156" i="5"/>
  <c r="H1155" i="5"/>
  <c r="E1153" i="5"/>
  <c r="F1153" i="5" s="1"/>
  <c r="N1149" i="5"/>
  <c r="M1148" i="5"/>
  <c r="L1147" i="5"/>
  <c r="K1146" i="5"/>
  <c r="G1146" i="5" s="1"/>
  <c r="J1145" i="5"/>
  <c r="I1144" i="5"/>
  <c r="H1143" i="5"/>
  <c r="E1141" i="5"/>
  <c r="F1141" i="5" s="1"/>
  <c r="N1137" i="5"/>
  <c r="M1136" i="5"/>
  <c r="L1135" i="5"/>
  <c r="K1134" i="5"/>
  <c r="G1134" i="5" s="1"/>
  <c r="J1133" i="5"/>
  <c r="I1132" i="5"/>
  <c r="H1131" i="5"/>
  <c r="E1129" i="5"/>
  <c r="F1129" i="5" s="1"/>
  <c r="N1125" i="5"/>
  <c r="M1124" i="5"/>
  <c r="L1123" i="5"/>
  <c r="K1122" i="5"/>
  <c r="G1122" i="5" s="1"/>
  <c r="J1121" i="5"/>
  <c r="I1120" i="5"/>
  <c r="H1119" i="5"/>
  <c r="E1117" i="5"/>
  <c r="F1117" i="5" s="1"/>
  <c r="N1113" i="5"/>
  <c r="M1112" i="5"/>
  <c r="L1111" i="5"/>
  <c r="K1110" i="5"/>
  <c r="G1110" i="5" s="1"/>
  <c r="J1109" i="5"/>
  <c r="I1108" i="5"/>
  <c r="H1107" i="5"/>
  <c r="E1105" i="5"/>
  <c r="F1105" i="5" s="1"/>
  <c r="N1101" i="5"/>
  <c r="M1100" i="5"/>
  <c r="L1099" i="5"/>
  <c r="K1098" i="5"/>
  <c r="G1098" i="5" s="1"/>
  <c r="J1097" i="5"/>
  <c r="I1096" i="5"/>
  <c r="H1095" i="5"/>
  <c r="E1093" i="5"/>
  <c r="F1093" i="5" s="1"/>
  <c r="N1089" i="5"/>
  <c r="M1088" i="5"/>
  <c r="L1087" i="5"/>
  <c r="K1086" i="5"/>
  <c r="G1086" i="5" s="1"/>
  <c r="J1085" i="5"/>
  <c r="I1084" i="5"/>
  <c r="H1083" i="5"/>
  <c r="E1081" i="5"/>
  <c r="F1081" i="5" s="1"/>
  <c r="N1077" i="5"/>
  <c r="M1076" i="5"/>
  <c r="L1075" i="5"/>
  <c r="K1074" i="5"/>
  <c r="G1074" i="5" s="1"/>
  <c r="J1073" i="5"/>
  <c r="I1072" i="5"/>
  <c r="H1071" i="5"/>
  <c r="E1069" i="5"/>
  <c r="F1069" i="5" s="1"/>
  <c r="N1065" i="5"/>
  <c r="M1064" i="5"/>
  <c r="L1063" i="5"/>
  <c r="K1062" i="5"/>
  <c r="G1062" i="5" s="1"/>
  <c r="J1061" i="5"/>
  <c r="I1060" i="5"/>
  <c r="H1059" i="5"/>
  <c r="E1057" i="5"/>
  <c r="F1057" i="5" s="1"/>
  <c r="N1053" i="5"/>
  <c r="M1052" i="5"/>
  <c r="L1051" i="5"/>
  <c r="E1049" i="5"/>
  <c r="F1049" i="5" s="1"/>
  <c r="H1047" i="5"/>
  <c r="N1045" i="5"/>
  <c r="L1040" i="5"/>
  <c r="I1037" i="5"/>
  <c r="B1034" i="5"/>
  <c r="K1030" i="5"/>
  <c r="G1030" i="5" s="1"/>
  <c r="L1023" i="5"/>
  <c r="E1020" i="5"/>
  <c r="F1020" i="5" s="1"/>
  <c r="M1016" i="5"/>
  <c r="H1015" i="5"/>
  <c r="J1013" i="5"/>
  <c r="B1012" i="5"/>
  <c r="L1002" i="5"/>
  <c r="E1001" i="5"/>
  <c r="F1001" i="5" s="1"/>
  <c r="E999" i="5"/>
  <c r="F999" i="5" s="1"/>
  <c r="H995" i="5"/>
  <c r="I976" i="5"/>
  <c r="H974" i="5"/>
  <c r="J968" i="5"/>
  <c r="K966" i="5"/>
  <c r="G966" i="5" s="1"/>
  <c r="K962" i="5"/>
  <c r="G962" i="5" s="1"/>
  <c r="M960" i="5"/>
  <c r="L958" i="5"/>
  <c r="L942" i="5"/>
  <c r="M938" i="5"/>
  <c r="J916" i="5"/>
  <c r="E911" i="5"/>
  <c r="F911" i="5" s="1"/>
  <c r="N863" i="5"/>
  <c r="H855" i="5"/>
  <c r="N803" i="5"/>
  <c r="J790" i="5"/>
  <c r="B1176" i="5"/>
  <c r="B1164" i="5"/>
  <c r="B1152" i="5"/>
  <c r="B1140" i="5"/>
  <c r="B1128" i="5"/>
  <c r="B1116" i="5"/>
  <c r="B1104" i="5"/>
  <c r="B1092" i="5"/>
  <c r="B1080" i="5"/>
  <c r="B1068" i="5"/>
  <c r="B1056" i="5"/>
  <c r="J1050" i="5"/>
  <c r="B1044" i="5"/>
  <c r="L1028" i="5"/>
  <c r="I1025" i="5"/>
  <c r="B1022" i="5"/>
  <c r="K1018" i="5"/>
  <c r="G1018" i="5" s="1"/>
  <c r="L1011" i="5"/>
  <c r="B1010" i="5"/>
  <c r="J1004" i="5"/>
  <c r="E997" i="5"/>
  <c r="F997" i="5" s="1"/>
  <c r="K993" i="5"/>
  <c r="G993" i="5" s="1"/>
  <c r="L991" i="5"/>
  <c r="E988" i="5"/>
  <c r="F988" i="5" s="1"/>
  <c r="B982" i="5"/>
  <c r="H978" i="5"/>
  <c r="J964" i="5"/>
  <c r="H954" i="5"/>
  <c r="K932" i="5"/>
  <c r="G932" i="5" s="1"/>
  <c r="K927" i="5"/>
  <c r="G927" i="5" s="1"/>
  <c r="M893" i="5"/>
  <c r="I881" i="5"/>
  <c r="J875" i="5"/>
  <c r="L869" i="5"/>
  <c r="B777" i="5"/>
  <c r="K1075" i="5"/>
  <c r="G1075" i="5" s="1"/>
  <c r="J1074" i="5"/>
  <c r="I1073" i="5"/>
  <c r="H1072" i="5"/>
  <c r="E1070" i="5"/>
  <c r="F1070" i="5" s="1"/>
  <c r="N1066" i="5"/>
  <c r="M1065" i="5"/>
  <c r="L1064" i="5"/>
  <c r="K1063" i="5"/>
  <c r="G1063" i="5" s="1"/>
  <c r="J1062" i="5"/>
  <c r="I1061" i="5"/>
  <c r="H1060" i="5"/>
  <c r="E1058" i="5"/>
  <c r="F1058" i="5" s="1"/>
  <c r="N1054" i="5"/>
  <c r="M1053" i="5"/>
  <c r="L1052" i="5"/>
  <c r="K1051" i="5"/>
  <c r="G1051" i="5" s="1"/>
  <c r="N1048" i="5"/>
  <c r="K1045" i="5"/>
  <c r="G1045" i="5" s="1"/>
  <c r="K1040" i="5"/>
  <c r="G1040" i="5" s="1"/>
  <c r="H1037" i="5"/>
  <c r="I1035" i="5"/>
  <c r="B1032" i="5"/>
  <c r="L1016" i="5"/>
  <c r="I1013" i="5"/>
  <c r="B1008" i="5"/>
  <c r="K1002" i="5"/>
  <c r="G1002" i="5" s="1"/>
  <c r="M1000" i="5"/>
  <c r="N989" i="5"/>
  <c r="B986" i="5"/>
  <c r="B984" i="5"/>
  <c r="P984" i="5" s="1"/>
  <c r="E972" i="5"/>
  <c r="F972" i="5" s="1"/>
  <c r="I968" i="5"/>
  <c r="I960" i="5"/>
  <c r="K958" i="5"/>
  <c r="G958" i="5" s="1"/>
  <c r="H950" i="5"/>
  <c r="B946" i="5"/>
  <c r="K942" i="5"/>
  <c r="G942" i="5" s="1"/>
  <c r="I916" i="5"/>
  <c r="K843" i="5"/>
  <c r="G843" i="5" s="1"/>
  <c r="I790" i="5"/>
  <c r="L756" i="5"/>
  <c r="B1069" i="5"/>
  <c r="B1057" i="5"/>
  <c r="I1050" i="5"/>
  <c r="M1048" i="5"/>
  <c r="J1045" i="5"/>
  <c r="N1033" i="5"/>
  <c r="K1028" i="5"/>
  <c r="G1028" i="5" s="1"/>
  <c r="H1025" i="5"/>
  <c r="I1023" i="5"/>
  <c r="B1020" i="5"/>
  <c r="P1020" i="5" s="1"/>
  <c r="B1006" i="5"/>
  <c r="I1004" i="5"/>
  <c r="B999" i="5"/>
  <c r="B997" i="5"/>
  <c r="J993" i="5"/>
  <c r="B980" i="5"/>
  <c r="I964" i="5"/>
  <c r="H962" i="5"/>
  <c r="J956" i="5"/>
  <c r="H932" i="5"/>
  <c r="H921" i="5"/>
  <c r="E899" i="5"/>
  <c r="F899" i="5" s="1"/>
  <c r="L893" i="5"/>
  <c r="N886" i="5"/>
  <c r="H881" i="5"/>
  <c r="J869" i="5"/>
  <c r="I802" i="5"/>
  <c r="E790" i="5"/>
  <c r="F790" i="5" s="1"/>
  <c r="L673" i="5"/>
  <c r="I1182" i="5"/>
  <c r="H1181" i="5"/>
  <c r="E1179" i="5"/>
  <c r="F1179" i="5" s="1"/>
  <c r="N1175" i="5"/>
  <c r="M1174" i="5"/>
  <c r="L1173" i="5"/>
  <c r="K1172" i="5"/>
  <c r="G1172" i="5" s="1"/>
  <c r="J1171" i="5"/>
  <c r="I1170" i="5"/>
  <c r="H1169" i="5"/>
  <c r="E1167" i="5"/>
  <c r="F1167" i="5" s="1"/>
  <c r="N1163" i="5"/>
  <c r="M1162" i="5"/>
  <c r="L1161" i="5"/>
  <c r="K1160" i="5"/>
  <c r="G1160" i="5" s="1"/>
  <c r="J1159" i="5"/>
  <c r="I1158" i="5"/>
  <c r="H1157" i="5"/>
  <c r="E1155" i="5"/>
  <c r="F1155" i="5" s="1"/>
  <c r="N1151" i="5"/>
  <c r="M1150" i="5"/>
  <c r="L1149" i="5"/>
  <c r="K1148" i="5"/>
  <c r="G1148" i="5" s="1"/>
  <c r="J1147" i="5"/>
  <c r="I1146" i="5"/>
  <c r="H1145" i="5"/>
  <c r="E1143" i="5"/>
  <c r="F1143" i="5" s="1"/>
  <c r="N1139" i="5"/>
  <c r="M1138" i="5"/>
  <c r="L1137" i="5"/>
  <c r="K1136" i="5"/>
  <c r="G1136" i="5" s="1"/>
  <c r="J1135" i="5"/>
  <c r="I1134" i="5"/>
  <c r="H1133" i="5"/>
  <c r="E1131" i="5"/>
  <c r="F1131" i="5" s="1"/>
  <c r="N1127" i="5"/>
  <c r="M1126" i="5"/>
  <c r="L1125" i="5"/>
  <c r="K1124" i="5"/>
  <c r="G1124" i="5" s="1"/>
  <c r="J1123" i="5"/>
  <c r="I1122" i="5"/>
  <c r="H1121" i="5"/>
  <c r="E1119" i="5"/>
  <c r="F1119" i="5" s="1"/>
  <c r="N1115" i="5"/>
  <c r="M1114" i="5"/>
  <c r="L1113" i="5"/>
  <c r="K1112" i="5"/>
  <c r="G1112" i="5" s="1"/>
  <c r="J1111" i="5"/>
  <c r="I1110" i="5"/>
  <c r="H1109" i="5"/>
  <c r="E1107" i="5"/>
  <c r="F1107" i="5" s="1"/>
  <c r="N1103" i="5"/>
  <c r="M1102" i="5"/>
  <c r="L1101" i="5"/>
  <c r="K1100" i="5"/>
  <c r="G1100" i="5" s="1"/>
  <c r="J1099" i="5"/>
  <c r="I1098" i="5"/>
  <c r="H1097" i="5"/>
  <c r="E1095" i="5"/>
  <c r="F1095" i="5" s="1"/>
  <c r="N1091" i="5"/>
  <c r="M1090" i="5"/>
  <c r="L1089" i="5"/>
  <c r="K1088" i="5"/>
  <c r="G1088" i="5" s="1"/>
  <c r="J1087" i="5"/>
  <c r="I1086" i="5"/>
  <c r="H1085" i="5"/>
  <c r="E1083" i="5"/>
  <c r="F1083" i="5" s="1"/>
  <c r="N1079" i="5"/>
  <c r="M1078" i="5"/>
  <c r="L1077" i="5"/>
  <c r="K1076" i="5"/>
  <c r="G1076" i="5" s="1"/>
  <c r="J1075" i="5"/>
  <c r="I1074" i="5"/>
  <c r="H1073" i="5"/>
  <c r="E1071" i="5"/>
  <c r="F1071" i="5" s="1"/>
  <c r="N1067" i="5"/>
  <c r="M1066" i="5"/>
  <c r="L1065" i="5"/>
  <c r="K1064" i="5"/>
  <c r="G1064" i="5" s="1"/>
  <c r="J1063" i="5"/>
  <c r="I1062" i="5"/>
  <c r="H1061" i="5"/>
  <c r="E1059" i="5"/>
  <c r="F1059" i="5" s="1"/>
  <c r="N1055" i="5"/>
  <c r="M1054" i="5"/>
  <c r="L1053" i="5"/>
  <c r="K1052" i="5"/>
  <c r="G1052" i="5" s="1"/>
  <c r="J1051" i="5"/>
  <c r="E1047" i="5"/>
  <c r="F1047" i="5" s="1"/>
  <c r="N1043" i="5"/>
  <c r="B1042" i="5"/>
  <c r="J1040" i="5"/>
  <c r="L1038" i="5"/>
  <c r="H1035" i="5"/>
  <c r="N1021" i="5"/>
  <c r="K1016" i="5"/>
  <c r="G1016" i="5" s="1"/>
  <c r="H1013" i="5"/>
  <c r="I1011" i="5"/>
  <c r="N1009" i="5"/>
  <c r="N1007" i="5"/>
  <c r="B995" i="5"/>
  <c r="J991" i="5"/>
  <c r="B988" i="5"/>
  <c r="N981" i="5"/>
  <c r="E976" i="5"/>
  <c r="F976" i="5" s="1"/>
  <c r="B970" i="5"/>
  <c r="H966" i="5"/>
  <c r="K953" i="5"/>
  <c r="G953" i="5" s="1"/>
  <c r="H937" i="5"/>
  <c r="H916" i="5"/>
  <c r="J904" i="5"/>
  <c r="I869" i="5"/>
  <c r="J843" i="5"/>
  <c r="J755" i="5"/>
  <c r="B1178" i="5"/>
  <c r="B1166" i="5"/>
  <c r="B1154" i="5"/>
  <c r="P1154" i="5" s="1"/>
  <c r="B1142" i="5"/>
  <c r="B1130" i="5"/>
  <c r="B1118" i="5"/>
  <c r="P1118" i="5" s="1"/>
  <c r="B1106" i="5"/>
  <c r="B1094" i="5"/>
  <c r="B1082" i="5"/>
  <c r="B1070" i="5"/>
  <c r="B1058" i="5"/>
  <c r="H1050" i="5"/>
  <c r="J1033" i="5"/>
  <c r="N1031" i="5"/>
  <c r="B1030" i="5"/>
  <c r="J1028" i="5"/>
  <c r="L1026" i="5"/>
  <c r="H1023" i="5"/>
  <c r="I1002" i="5"/>
  <c r="J1000" i="5"/>
  <c r="E993" i="5"/>
  <c r="F993" i="5" s="1"/>
  <c r="K989" i="5"/>
  <c r="G989" i="5" s="1"/>
  <c r="L987" i="5"/>
  <c r="N985" i="5"/>
  <c r="M983" i="5"/>
  <c r="M979" i="5"/>
  <c r="B974" i="5"/>
  <c r="B972" i="5"/>
  <c r="E960" i="5"/>
  <c r="F960" i="5" s="1"/>
  <c r="I956" i="5"/>
  <c r="N945" i="5"/>
  <c r="B899" i="5"/>
  <c r="M886" i="5"/>
  <c r="E875" i="5"/>
  <c r="F875" i="5" s="1"/>
  <c r="N815" i="5"/>
  <c r="H693" i="5"/>
  <c r="H1182" i="5"/>
  <c r="E1180" i="5"/>
  <c r="F1180" i="5" s="1"/>
  <c r="N1176" i="5"/>
  <c r="M1175" i="5"/>
  <c r="L1174" i="5"/>
  <c r="K1173" i="5"/>
  <c r="G1173" i="5" s="1"/>
  <c r="J1172" i="5"/>
  <c r="I1171" i="5"/>
  <c r="H1170" i="5"/>
  <c r="E1168" i="5"/>
  <c r="F1168" i="5" s="1"/>
  <c r="N1164" i="5"/>
  <c r="M1163" i="5"/>
  <c r="L1162" i="5"/>
  <c r="K1161" i="5"/>
  <c r="G1161" i="5" s="1"/>
  <c r="J1160" i="5"/>
  <c r="I1159" i="5"/>
  <c r="H1158" i="5"/>
  <c r="E1156" i="5"/>
  <c r="F1156" i="5" s="1"/>
  <c r="N1152" i="5"/>
  <c r="M1151" i="5"/>
  <c r="L1150" i="5"/>
  <c r="K1149" i="5"/>
  <c r="G1149" i="5" s="1"/>
  <c r="J1148" i="5"/>
  <c r="I1147" i="5"/>
  <c r="H1146" i="5"/>
  <c r="E1144" i="5"/>
  <c r="F1144" i="5" s="1"/>
  <c r="N1140" i="5"/>
  <c r="M1139" i="5"/>
  <c r="L1138" i="5"/>
  <c r="K1137" i="5"/>
  <c r="G1137" i="5" s="1"/>
  <c r="J1136" i="5"/>
  <c r="I1135" i="5"/>
  <c r="H1134" i="5"/>
  <c r="E1132" i="5"/>
  <c r="F1132" i="5" s="1"/>
  <c r="N1128" i="5"/>
  <c r="M1127" i="5"/>
  <c r="L1126" i="5"/>
  <c r="K1125" i="5"/>
  <c r="G1125" i="5" s="1"/>
  <c r="J1124" i="5"/>
  <c r="I1123" i="5"/>
  <c r="H1122" i="5"/>
  <c r="E1120" i="5"/>
  <c r="F1120" i="5" s="1"/>
  <c r="N1116" i="5"/>
  <c r="M1115" i="5"/>
  <c r="L1114" i="5"/>
  <c r="K1113" i="5"/>
  <c r="G1113" i="5" s="1"/>
  <c r="J1112" i="5"/>
  <c r="I1111" i="5"/>
  <c r="H1110" i="5"/>
  <c r="E1108" i="5"/>
  <c r="F1108" i="5" s="1"/>
  <c r="N1104" i="5"/>
  <c r="M1103" i="5"/>
  <c r="L1102" i="5"/>
  <c r="K1101" i="5"/>
  <c r="G1101" i="5" s="1"/>
  <c r="J1100" i="5"/>
  <c r="I1099" i="5"/>
  <c r="H1098" i="5"/>
  <c r="E1096" i="5"/>
  <c r="F1096" i="5" s="1"/>
  <c r="N1092" i="5"/>
  <c r="M1091" i="5"/>
  <c r="L1090" i="5"/>
  <c r="K1089" i="5"/>
  <c r="G1089" i="5" s="1"/>
  <c r="J1088" i="5"/>
  <c r="I1087" i="5"/>
  <c r="H1086" i="5"/>
  <c r="E1084" i="5"/>
  <c r="F1084" i="5" s="1"/>
  <c r="N1080" i="5"/>
  <c r="M1079" i="5"/>
  <c r="L1078" i="5"/>
  <c r="K1077" i="5"/>
  <c r="G1077" i="5" s="1"/>
  <c r="J1076" i="5"/>
  <c r="I1075" i="5"/>
  <c r="H1074" i="5"/>
  <c r="E1072" i="5"/>
  <c r="F1072" i="5" s="1"/>
  <c r="N1068" i="5"/>
  <c r="M1067" i="5"/>
  <c r="L1066" i="5"/>
  <c r="K1065" i="5"/>
  <c r="G1065" i="5" s="1"/>
  <c r="J1064" i="5"/>
  <c r="I1063" i="5"/>
  <c r="H1062" i="5"/>
  <c r="E1060" i="5"/>
  <c r="F1060" i="5" s="1"/>
  <c r="N1056" i="5"/>
  <c r="M1055" i="5"/>
  <c r="L1054" i="5"/>
  <c r="K1053" i="5"/>
  <c r="G1053" i="5" s="1"/>
  <c r="J1052" i="5"/>
  <c r="I1051" i="5"/>
  <c r="J1048" i="5"/>
  <c r="M1043" i="5"/>
  <c r="I1040" i="5"/>
  <c r="K1038" i="5"/>
  <c r="G1038" i="5" s="1"/>
  <c r="E1037" i="5"/>
  <c r="F1037" i="5" s="1"/>
  <c r="J1021" i="5"/>
  <c r="N1019" i="5"/>
  <c r="B1018" i="5"/>
  <c r="P1018" i="5" s="1"/>
  <c r="J1016" i="5"/>
  <c r="L1014" i="5"/>
  <c r="H1011" i="5"/>
  <c r="J1009" i="5"/>
  <c r="M1007" i="5"/>
  <c r="N1005" i="5"/>
  <c r="K998" i="5"/>
  <c r="G998" i="5" s="1"/>
  <c r="N996" i="5"/>
  <c r="I991" i="5"/>
  <c r="N977" i="5"/>
  <c r="B968" i="5"/>
  <c r="J953" i="5"/>
  <c r="L909" i="5"/>
  <c r="I904" i="5"/>
  <c r="H892" i="5"/>
  <c r="H755" i="5"/>
  <c r="E1010" i="5"/>
  <c r="F1010" i="5" s="1"/>
  <c r="N1006" i="5"/>
  <c r="M1005" i="5"/>
  <c r="L1004" i="5"/>
  <c r="K1003" i="5"/>
  <c r="G1003" i="5" s="1"/>
  <c r="J1002" i="5"/>
  <c r="I1001" i="5"/>
  <c r="H1000" i="5"/>
  <c r="E998" i="5"/>
  <c r="F998" i="5" s="1"/>
  <c r="N994" i="5"/>
  <c r="M993" i="5"/>
  <c r="L992" i="5"/>
  <c r="K991" i="5"/>
  <c r="G991" i="5" s="1"/>
  <c r="J990" i="5"/>
  <c r="I989" i="5"/>
  <c r="H988" i="5"/>
  <c r="E986" i="5"/>
  <c r="F986" i="5" s="1"/>
  <c r="N982" i="5"/>
  <c r="M981" i="5"/>
  <c r="L980" i="5"/>
  <c r="K979" i="5"/>
  <c r="G979" i="5" s="1"/>
  <c r="J978" i="5"/>
  <c r="I977" i="5"/>
  <c r="H976" i="5"/>
  <c r="E974" i="5"/>
  <c r="F974" i="5" s="1"/>
  <c r="N970" i="5"/>
  <c r="M969" i="5"/>
  <c r="L968" i="5"/>
  <c r="K967" i="5"/>
  <c r="G967" i="5" s="1"/>
  <c r="J966" i="5"/>
  <c r="I965" i="5"/>
  <c r="H964" i="5"/>
  <c r="E962" i="5"/>
  <c r="F962" i="5" s="1"/>
  <c r="N958" i="5"/>
  <c r="M957" i="5"/>
  <c r="L956" i="5"/>
  <c r="K955" i="5"/>
  <c r="G955" i="5" s="1"/>
  <c r="J954" i="5"/>
  <c r="I953" i="5"/>
  <c r="H952" i="5"/>
  <c r="E950" i="5"/>
  <c r="F950" i="5" s="1"/>
  <c r="N946" i="5"/>
  <c r="M945" i="5"/>
  <c r="L944" i="5"/>
  <c r="K943" i="5"/>
  <c r="G943" i="5" s="1"/>
  <c r="J942" i="5"/>
  <c r="I941" i="5"/>
  <c r="E937" i="5"/>
  <c r="F937" i="5" s="1"/>
  <c r="N933" i="5"/>
  <c r="J927" i="5"/>
  <c r="M922" i="5"/>
  <c r="I914" i="5"/>
  <c r="B911" i="5"/>
  <c r="M905" i="5"/>
  <c r="H904" i="5"/>
  <c r="K893" i="5"/>
  <c r="G893" i="5" s="1"/>
  <c r="N891" i="5"/>
  <c r="E890" i="5"/>
  <c r="F890" i="5" s="1"/>
  <c r="E888" i="5"/>
  <c r="F888" i="5" s="1"/>
  <c r="L882" i="5"/>
  <c r="J871" i="5"/>
  <c r="J863" i="5"/>
  <c r="L861" i="5"/>
  <c r="K858" i="5"/>
  <c r="G858" i="5" s="1"/>
  <c r="J854" i="5"/>
  <c r="B851" i="5"/>
  <c r="H843" i="5"/>
  <c r="J838" i="5"/>
  <c r="B833" i="5"/>
  <c r="J827" i="5"/>
  <c r="K815" i="5"/>
  <c r="G815" i="5" s="1"/>
  <c r="M570" i="5"/>
  <c r="E987" i="5"/>
  <c r="F987" i="5" s="1"/>
  <c r="N983" i="5"/>
  <c r="M982" i="5"/>
  <c r="L981" i="5"/>
  <c r="K980" i="5"/>
  <c r="G980" i="5" s="1"/>
  <c r="J979" i="5"/>
  <c r="I978" i="5"/>
  <c r="H977" i="5"/>
  <c r="E975" i="5"/>
  <c r="F975" i="5" s="1"/>
  <c r="N971" i="5"/>
  <c r="M970" i="5"/>
  <c r="L969" i="5"/>
  <c r="K968" i="5"/>
  <c r="G968" i="5" s="1"/>
  <c r="J967" i="5"/>
  <c r="I966" i="5"/>
  <c r="H965" i="5"/>
  <c r="E963" i="5"/>
  <c r="F963" i="5" s="1"/>
  <c r="N959" i="5"/>
  <c r="M958" i="5"/>
  <c r="L957" i="5"/>
  <c r="K956" i="5"/>
  <c r="G956" i="5" s="1"/>
  <c r="J955" i="5"/>
  <c r="I954" i="5"/>
  <c r="H953" i="5"/>
  <c r="E951" i="5"/>
  <c r="F951" i="5" s="1"/>
  <c r="N947" i="5"/>
  <c r="M946" i="5"/>
  <c r="L945" i="5"/>
  <c r="K944" i="5"/>
  <c r="G944" i="5" s="1"/>
  <c r="J943" i="5"/>
  <c r="I942" i="5"/>
  <c r="H941" i="5"/>
  <c r="E940" i="5"/>
  <c r="F940" i="5" s="1"/>
  <c r="J938" i="5"/>
  <c r="M933" i="5"/>
  <c r="B932" i="5"/>
  <c r="I927" i="5"/>
  <c r="M925" i="5"/>
  <c r="E924" i="5"/>
  <c r="F924" i="5" s="1"/>
  <c r="J922" i="5"/>
  <c r="N920" i="5"/>
  <c r="H914" i="5"/>
  <c r="B909" i="5"/>
  <c r="L905" i="5"/>
  <c r="K900" i="5"/>
  <c r="G900" i="5" s="1"/>
  <c r="B897" i="5"/>
  <c r="J893" i="5"/>
  <c r="E886" i="5"/>
  <c r="F886" i="5" s="1"/>
  <c r="K882" i="5"/>
  <c r="G882" i="5" s="1"/>
  <c r="E871" i="5"/>
  <c r="F871" i="5" s="1"/>
  <c r="I854" i="5"/>
  <c r="I838" i="5"/>
  <c r="N795" i="5"/>
  <c r="K776" i="5"/>
  <c r="G776" i="5" s="1"/>
  <c r="M633" i="5"/>
  <c r="K474" i="5"/>
  <c r="G474" i="5" s="1"/>
  <c r="B950" i="5"/>
  <c r="B937" i="5"/>
  <c r="J930" i="5"/>
  <c r="L925" i="5"/>
  <c r="I922" i="5"/>
  <c r="K917" i="5"/>
  <c r="G917" i="5" s="1"/>
  <c r="N910" i="5"/>
  <c r="J907" i="5"/>
  <c r="H902" i="5"/>
  <c r="E895" i="5"/>
  <c r="F895" i="5" s="1"/>
  <c r="K891" i="5"/>
  <c r="G891" i="5" s="1"/>
  <c r="B890" i="5"/>
  <c r="B888" i="5"/>
  <c r="L880" i="5"/>
  <c r="E879" i="5"/>
  <c r="F879" i="5" s="1"/>
  <c r="B875" i="5"/>
  <c r="B873" i="5"/>
  <c r="H869" i="5"/>
  <c r="H867" i="5"/>
  <c r="H865" i="5"/>
  <c r="M857" i="5"/>
  <c r="E850" i="5"/>
  <c r="F850" i="5" s="1"/>
  <c r="K846" i="5"/>
  <c r="G846" i="5" s="1"/>
  <c r="J842" i="5"/>
  <c r="H776" i="5"/>
  <c r="I766" i="5"/>
  <c r="H738" i="5"/>
  <c r="E952" i="5"/>
  <c r="F952" i="5" s="1"/>
  <c r="N948" i="5"/>
  <c r="M947" i="5"/>
  <c r="L946" i="5"/>
  <c r="K945" i="5"/>
  <c r="G945" i="5" s="1"/>
  <c r="J944" i="5"/>
  <c r="I943" i="5"/>
  <c r="H942" i="5"/>
  <c r="I938" i="5"/>
  <c r="E935" i="5"/>
  <c r="F935" i="5" s="1"/>
  <c r="L933" i="5"/>
  <c r="H927" i="5"/>
  <c r="M920" i="5"/>
  <c r="E919" i="5"/>
  <c r="F919" i="5" s="1"/>
  <c r="N915" i="5"/>
  <c r="H912" i="5"/>
  <c r="K905" i="5"/>
  <c r="G905" i="5" s="1"/>
  <c r="N898" i="5"/>
  <c r="N896" i="5"/>
  <c r="I893" i="5"/>
  <c r="L889" i="5"/>
  <c r="J882" i="5"/>
  <c r="B877" i="5"/>
  <c r="B861" i="5"/>
  <c r="P861" i="5" s="1"/>
  <c r="L832" i="5"/>
  <c r="E814" i="5"/>
  <c r="F814" i="5" s="1"/>
  <c r="B802" i="5"/>
  <c r="J794" i="5"/>
  <c r="K788" i="5"/>
  <c r="G788" i="5" s="1"/>
  <c r="J782" i="5"/>
  <c r="B951" i="5"/>
  <c r="N939" i="5"/>
  <c r="N931" i="5"/>
  <c r="I930" i="5"/>
  <c r="L928" i="5"/>
  <c r="B924" i="5"/>
  <c r="J917" i="5"/>
  <c r="M910" i="5"/>
  <c r="N908" i="5"/>
  <c r="E907" i="5"/>
  <c r="F907" i="5" s="1"/>
  <c r="N903" i="5"/>
  <c r="H900" i="5"/>
  <c r="J891" i="5"/>
  <c r="K880" i="5"/>
  <c r="G880" i="5" s="1"/>
  <c r="M878" i="5"/>
  <c r="N870" i="5"/>
  <c r="E865" i="5"/>
  <c r="F865" i="5" s="1"/>
  <c r="E863" i="5"/>
  <c r="F863" i="5" s="1"/>
  <c r="L857" i="5"/>
  <c r="I842" i="5"/>
  <c r="I670" i="5"/>
  <c r="H955" i="5"/>
  <c r="E953" i="5"/>
  <c r="F953" i="5" s="1"/>
  <c r="N949" i="5"/>
  <c r="M948" i="5"/>
  <c r="L947" i="5"/>
  <c r="K946" i="5"/>
  <c r="G946" i="5" s="1"/>
  <c r="J945" i="5"/>
  <c r="I944" i="5"/>
  <c r="H943" i="5"/>
  <c r="H938" i="5"/>
  <c r="L936" i="5"/>
  <c r="I933" i="5"/>
  <c r="I925" i="5"/>
  <c r="E922" i="5"/>
  <c r="F922" i="5" s="1"/>
  <c r="L920" i="5"/>
  <c r="E914" i="5"/>
  <c r="F914" i="5" s="1"/>
  <c r="J905" i="5"/>
  <c r="M898" i="5"/>
  <c r="M896" i="5"/>
  <c r="N894" i="5"/>
  <c r="H893" i="5"/>
  <c r="I891" i="5"/>
  <c r="N887" i="5"/>
  <c r="B884" i="5"/>
  <c r="I882" i="5"/>
  <c r="J880" i="5"/>
  <c r="N874" i="5"/>
  <c r="M872" i="5"/>
  <c r="M845" i="5"/>
  <c r="B826" i="5"/>
  <c r="N819" i="5"/>
  <c r="H800" i="5"/>
  <c r="I794" i="5"/>
  <c r="B952" i="5"/>
  <c r="M939" i="5"/>
  <c r="K936" i="5"/>
  <c r="G936" i="5" s="1"/>
  <c r="B935" i="5"/>
  <c r="H933" i="5"/>
  <c r="M931" i="5"/>
  <c r="E930" i="5"/>
  <c r="F930" i="5" s="1"/>
  <c r="K928" i="5"/>
  <c r="G928" i="5" s="1"/>
  <c r="N918" i="5"/>
  <c r="I917" i="5"/>
  <c r="K915" i="5"/>
  <c r="G915" i="5" s="1"/>
  <c r="I910" i="5"/>
  <c r="M908" i="5"/>
  <c r="E902" i="5"/>
  <c r="F902" i="5" s="1"/>
  <c r="I889" i="5"/>
  <c r="N885" i="5"/>
  <c r="K876" i="5"/>
  <c r="G876" i="5" s="1"/>
  <c r="M870" i="5"/>
  <c r="E867" i="5"/>
  <c r="F867" i="5" s="1"/>
  <c r="B863" i="5"/>
  <c r="M860" i="5"/>
  <c r="J857" i="5"/>
  <c r="I853" i="5"/>
  <c r="N849" i="5"/>
  <c r="L825" i="5"/>
  <c r="H788" i="5"/>
  <c r="E750" i="5"/>
  <c r="F750" i="5" s="1"/>
  <c r="E1050" i="5"/>
  <c r="F1050" i="5" s="1"/>
  <c r="N1046" i="5"/>
  <c r="M1045" i="5"/>
  <c r="L1044" i="5"/>
  <c r="K1043" i="5"/>
  <c r="G1043" i="5" s="1"/>
  <c r="J1042" i="5"/>
  <c r="I1041" i="5"/>
  <c r="H1040" i="5"/>
  <c r="E1038" i="5"/>
  <c r="F1038" i="5" s="1"/>
  <c r="N1034" i="5"/>
  <c r="M1033" i="5"/>
  <c r="L1032" i="5"/>
  <c r="K1031" i="5"/>
  <c r="G1031" i="5" s="1"/>
  <c r="J1030" i="5"/>
  <c r="I1029" i="5"/>
  <c r="H1028" i="5"/>
  <c r="E1026" i="5"/>
  <c r="F1026" i="5" s="1"/>
  <c r="N1022" i="5"/>
  <c r="M1021" i="5"/>
  <c r="L1020" i="5"/>
  <c r="K1019" i="5"/>
  <c r="G1019" i="5" s="1"/>
  <c r="J1018" i="5"/>
  <c r="I1017" i="5"/>
  <c r="H1016" i="5"/>
  <c r="E1014" i="5"/>
  <c r="F1014" i="5" s="1"/>
  <c r="N1010" i="5"/>
  <c r="M1009" i="5"/>
  <c r="L1008" i="5"/>
  <c r="K1007" i="5"/>
  <c r="G1007" i="5" s="1"/>
  <c r="J1006" i="5"/>
  <c r="I1005" i="5"/>
  <c r="H1004" i="5"/>
  <c r="E1002" i="5"/>
  <c r="F1002" i="5" s="1"/>
  <c r="N998" i="5"/>
  <c r="M997" i="5"/>
  <c r="L996" i="5"/>
  <c r="K995" i="5"/>
  <c r="G995" i="5" s="1"/>
  <c r="J994" i="5"/>
  <c r="I993" i="5"/>
  <c r="H992" i="5"/>
  <c r="E990" i="5"/>
  <c r="F990" i="5" s="1"/>
  <c r="N986" i="5"/>
  <c r="M985" i="5"/>
  <c r="L984" i="5"/>
  <c r="K983" i="5"/>
  <c r="G983" i="5" s="1"/>
  <c r="J982" i="5"/>
  <c r="I981" i="5"/>
  <c r="H980" i="5"/>
  <c r="E978" i="5"/>
  <c r="F978" i="5" s="1"/>
  <c r="N974" i="5"/>
  <c r="M973" i="5"/>
  <c r="L972" i="5"/>
  <c r="K971" i="5"/>
  <c r="G971" i="5" s="1"/>
  <c r="J970" i="5"/>
  <c r="I969" i="5"/>
  <c r="H968" i="5"/>
  <c r="E966" i="5"/>
  <c r="F966" i="5" s="1"/>
  <c r="N962" i="5"/>
  <c r="M961" i="5"/>
  <c r="L960" i="5"/>
  <c r="K959" i="5"/>
  <c r="G959" i="5" s="1"/>
  <c r="J958" i="5"/>
  <c r="I957" i="5"/>
  <c r="H956" i="5"/>
  <c r="E954" i="5"/>
  <c r="F954" i="5" s="1"/>
  <c r="N950" i="5"/>
  <c r="M949" i="5"/>
  <c r="L948" i="5"/>
  <c r="K947" i="5"/>
  <c r="G947" i="5" s="1"/>
  <c r="J946" i="5"/>
  <c r="I945" i="5"/>
  <c r="H944" i="5"/>
  <c r="E942" i="5"/>
  <c r="F942" i="5" s="1"/>
  <c r="B941" i="5"/>
  <c r="E927" i="5"/>
  <c r="F927" i="5" s="1"/>
  <c r="H925" i="5"/>
  <c r="N923" i="5"/>
  <c r="K920" i="5"/>
  <c r="G920" i="5" s="1"/>
  <c r="E912" i="5"/>
  <c r="F912" i="5" s="1"/>
  <c r="N906" i="5"/>
  <c r="I905" i="5"/>
  <c r="K903" i="5"/>
  <c r="G903" i="5" s="1"/>
  <c r="I898" i="5"/>
  <c r="L896" i="5"/>
  <c r="M894" i="5"/>
  <c r="H891" i="5"/>
  <c r="J887" i="5"/>
  <c r="I880" i="5"/>
  <c r="J878" i="5"/>
  <c r="M874" i="5"/>
  <c r="L872" i="5"/>
  <c r="B865" i="5"/>
  <c r="L860" i="5"/>
  <c r="L845" i="5"/>
  <c r="E831" i="5"/>
  <c r="F831" i="5" s="1"/>
  <c r="E774" i="5"/>
  <c r="F774" i="5" s="1"/>
  <c r="M648" i="5"/>
  <c r="B1049" i="5"/>
  <c r="B1037" i="5"/>
  <c r="B1025" i="5"/>
  <c r="B1013" i="5"/>
  <c r="B1001" i="5"/>
  <c r="B989" i="5"/>
  <c r="B977" i="5"/>
  <c r="B965" i="5"/>
  <c r="B953" i="5"/>
  <c r="K939" i="5"/>
  <c r="G939" i="5" s="1"/>
  <c r="L931" i="5"/>
  <c r="J928" i="5"/>
  <c r="B922" i="5"/>
  <c r="M918" i="5"/>
  <c r="H917" i="5"/>
  <c r="J915" i="5"/>
  <c r="B914" i="5"/>
  <c r="L908" i="5"/>
  <c r="E900" i="5"/>
  <c r="F900" i="5" s="1"/>
  <c r="L894" i="5"/>
  <c r="H889" i="5"/>
  <c r="M885" i="5"/>
  <c r="N883" i="5"/>
  <c r="K870" i="5"/>
  <c r="G870" i="5" s="1"/>
  <c r="L868" i="5"/>
  <c r="M866" i="5"/>
  <c r="K860" i="5"/>
  <c r="G860" i="5" s="1"/>
  <c r="H853" i="5"/>
  <c r="B794" i="5"/>
  <c r="L780" i="5"/>
  <c r="N1047" i="5"/>
  <c r="M1046" i="5"/>
  <c r="L1045" i="5"/>
  <c r="K1044" i="5"/>
  <c r="G1044" i="5" s="1"/>
  <c r="J1043" i="5"/>
  <c r="I1042" i="5"/>
  <c r="H1041" i="5"/>
  <c r="E1039" i="5"/>
  <c r="F1039" i="5" s="1"/>
  <c r="N1035" i="5"/>
  <c r="M1034" i="5"/>
  <c r="L1033" i="5"/>
  <c r="K1032" i="5"/>
  <c r="G1032" i="5" s="1"/>
  <c r="J1031" i="5"/>
  <c r="I1030" i="5"/>
  <c r="H1029" i="5"/>
  <c r="E1027" i="5"/>
  <c r="F1027" i="5" s="1"/>
  <c r="N1023" i="5"/>
  <c r="M1022" i="5"/>
  <c r="L1021" i="5"/>
  <c r="K1020" i="5"/>
  <c r="G1020" i="5" s="1"/>
  <c r="J1019" i="5"/>
  <c r="I1018" i="5"/>
  <c r="H1017" i="5"/>
  <c r="E1015" i="5"/>
  <c r="F1015" i="5" s="1"/>
  <c r="N1011" i="5"/>
  <c r="M1010" i="5"/>
  <c r="L1009" i="5"/>
  <c r="K1008" i="5"/>
  <c r="G1008" i="5" s="1"/>
  <c r="J1007" i="5"/>
  <c r="I1006" i="5"/>
  <c r="H1005" i="5"/>
  <c r="E1003" i="5"/>
  <c r="F1003" i="5" s="1"/>
  <c r="N999" i="5"/>
  <c r="M998" i="5"/>
  <c r="L997" i="5"/>
  <c r="K996" i="5"/>
  <c r="G996" i="5" s="1"/>
  <c r="J995" i="5"/>
  <c r="I994" i="5"/>
  <c r="H993" i="5"/>
  <c r="E991" i="5"/>
  <c r="F991" i="5" s="1"/>
  <c r="N987" i="5"/>
  <c r="M986" i="5"/>
  <c r="L985" i="5"/>
  <c r="K984" i="5"/>
  <c r="G984" i="5" s="1"/>
  <c r="J983" i="5"/>
  <c r="I982" i="5"/>
  <c r="H981" i="5"/>
  <c r="E979" i="5"/>
  <c r="F979" i="5" s="1"/>
  <c r="N975" i="5"/>
  <c r="M974" i="5"/>
  <c r="L973" i="5"/>
  <c r="K972" i="5"/>
  <c r="G972" i="5" s="1"/>
  <c r="J971" i="5"/>
  <c r="I970" i="5"/>
  <c r="H969" i="5"/>
  <c r="E967" i="5"/>
  <c r="F967" i="5" s="1"/>
  <c r="N963" i="5"/>
  <c r="M962" i="5"/>
  <c r="L961" i="5"/>
  <c r="K960" i="5"/>
  <c r="G960" i="5" s="1"/>
  <c r="J959" i="5"/>
  <c r="I958" i="5"/>
  <c r="H957" i="5"/>
  <c r="E955" i="5"/>
  <c r="F955" i="5" s="1"/>
  <c r="N951" i="5"/>
  <c r="M950" i="5"/>
  <c r="L949" i="5"/>
  <c r="K948" i="5"/>
  <c r="G948" i="5" s="1"/>
  <c r="J947" i="5"/>
  <c r="I946" i="5"/>
  <c r="H945" i="5"/>
  <c r="E943" i="5"/>
  <c r="F943" i="5" s="1"/>
  <c r="E938" i="5"/>
  <c r="F938" i="5" s="1"/>
  <c r="H936" i="5"/>
  <c r="N934" i="5"/>
  <c r="B930" i="5"/>
  <c r="N926" i="5"/>
  <c r="K923" i="5"/>
  <c r="G923" i="5" s="1"/>
  <c r="H920" i="5"/>
  <c r="L913" i="5"/>
  <c r="E910" i="5"/>
  <c r="F910" i="5" s="1"/>
  <c r="M906" i="5"/>
  <c r="H905" i="5"/>
  <c r="J903" i="5"/>
  <c r="B902" i="5"/>
  <c r="K896" i="5"/>
  <c r="G896" i="5" s="1"/>
  <c r="M883" i="5"/>
  <c r="B882" i="5"/>
  <c r="H880" i="5"/>
  <c r="I878" i="5"/>
  <c r="H876" i="5"/>
  <c r="I874" i="5"/>
  <c r="K872" i="5"/>
  <c r="G872" i="5" s="1"/>
  <c r="N862" i="5"/>
  <c r="L856" i="5"/>
  <c r="B849" i="5"/>
  <c r="J845" i="5"/>
  <c r="I841" i="5"/>
  <c r="K836" i="5"/>
  <c r="G836" i="5" s="1"/>
  <c r="H825" i="5"/>
  <c r="J819" i="5"/>
  <c r="B806" i="5"/>
  <c r="M748" i="5"/>
  <c r="E583" i="5"/>
  <c r="F583" i="5" s="1"/>
  <c r="B1050" i="5"/>
  <c r="B1038" i="5"/>
  <c r="B1026" i="5"/>
  <c r="B1014" i="5"/>
  <c r="B1002" i="5"/>
  <c r="B990" i="5"/>
  <c r="B978" i="5"/>
  <c r="B966" i="5"/>
  <c r="B954" i="5"/>
  <c r="B942" i="5"/>
  <c r="N940" i="5"/>
  <c r="J939" i="5"/>
  <c r="B933" i="5"/>
  <c r="K931" i="5"/>
  <c r="G931" i="5" s="1"/>
  <c r="I928" i="5"/>
  <c r="M926" i="5"/>
  <c r="J923" i="5"/>
  <c r="L918" i="5"/>
  <c r="I915" i="5"/>
  <c r="B912" i="5"/>
  <c r="K908" i="5"/>
  <c r="G908" i="5" s="1"/>
  <c r="L901" i="5"/>
  <c r="E898" i="5"/>
  <c r="F898" i="5" s="1"/>
  <c r="K894" i="5"/>
  <c r="G894" i="5" s="1"/>
  <c r="L885" i="5"/>
  <c r="J870" i="5"/>
  <c r="K868" i="5"/>
  <c r="G868" i="5" s="1"/>
  <c r="K864" i="5"/>
  <c r="G864" i="5" s="1"/>
  <c r="E853" i="5"/>
  <c r="F853" i="5" s="1"/>
  <c r="M830" i="5"/>
  <c r="M786" i="5"/>
  <c r="K780" i="5"/>
  <c r="G780" i="5" s="1"/>
  <c r="I1043" i="5"/>
  <c r="H1042" i="5"/>
  <c r="E1040" i="5"/>
  <c r="F1040" i="5" s="1"/>
  <c r="N1036" i="5"/>
  <c r="M1035" i="5"/>
  <c r="L1034" i="5"/>
  <c r="K1033" i="5"/>
  <c r="G1033" i="5" s="1"/>
  <c r="J1032" i="5"/>
  <c r="I1031" i="5"/>
  <c r="H1030" i="5"/>
  <c r="E1028" i="5"/>
  <c r="F1028" i="5" s="1"/>
  <c r="N1024" i="5"/>
  <c r="M1023" i="5"/>
  <c r="L1022" i="5"/>
  <c r="K1021" i="5"/>
  <c r="G1021" i="5" s="1"/>
  <c r="J1020" i="5"/>
  <c r="I1019" i="5"/>
  <c r="H1018" i="5"/>
  <c r="E1016" i="5"/>
  <c r="F1016" i="5" s="1"/>
  <c r="N1012" i="5"/>
  <c r="M1011" i="5"/>
  <c r="L1010" i="5"/>
  <c r="K1009" i="5"/>
  <c r="G1009" i="5" s="1"/>
  <c r="J1008" i="5"/>
  <c r="I1007" i="5"/>
  <c r="H1006" i="5"/>
  <c r="E1004" i="5"/>
  <c r="F1004" i="5" s="1"/>
  <c r="N1000" i="5"/>
  <c r="M999" i="5"/>
  <c r="L998" i="5"/>
  <c r="K997" i="5"/>
  <c r="G997" i="5" s="1"/>
  <c r="J996" i="5"/>
  <c r="I995" i="5"/>
  <c r="H994" i="5"/>
  <c r="E992" i="5"/>
  <c r="F992" i="5" s="1"/>
  <c r="N988" i="5"/>
  <c r="M987" i="5"/>
  <c r="L986" i="5"/>
  <c r="K985" i="5"/>
  <c r="G985" i="5" s="1"/>
  <c r="J984" i="5"/>
  <c r="I983" i="5"/>
  <c r="H982" i="5"/>
  <c r="E980" i="5"/>
  <c r="F980" i="5" s="1"/>
  <c r="N976" i="5"/>
  <c r="M975" i="5"/>
  <c r="L974" i="5"/>
  <c r="K973" i="5"/>
  <c r="G973" i="5" s="1"/>
  <c r="J972" i="5"/>
  <c r="I971" i="5"/>
  <c r="H970" i="5"/>
  <c r="E968" i="5"/>
  <c r="F968" i="5" s="1"/>
  <c r="N964" i="5"/>
  <c r="M963" i="5"/>
  <c r="L962" i="5"/>
  <c r="K961" i="5"/>
  <c r="G961" i="5" s="1"/>
  <c r="J960" i="5"/>
  <c r="I959" i="5"/>
  <c r="H958" i="5"/>
  <c r="E956" i="5"/>
  <c r="F956" i="5" s="1"/>
  <c r="N952" i="5"/>
  <c r="M951" i="5"/>
  <c r="L950" i="5"/>
  <c r="K949" i="5"/>
  <c r="G949" i="5" s="1"/>
  <c r="J948" i="5"/>
  <c r="I947" i="5"/>
  <c r="H946" i="5"/>
  <c r="E944" i="5"/>
  <c r="F944" i="5" s="1"/>
  <c r="M940" i="5"/>
  <c r="M934" i="5"/>
  <c r="M929" i="5"/>
  <c r="E925" i="5"/>
  <c r="F925" i="5" s="1"/>
  <c r="N921" i="5"/>
  <c r="L906" i="5"/>
  <c r="I903" i="5"/>
  <c r="B900" i="5"/>
  <c r="L892" i="5"/>
  <c r="E891" i="5"/>
  <c r="F891" i="5" s="1"/>
  <c r="E889" i="5"/>
  <c r="F889" i="5" s="1"/>
  <c r="L883" i="5"/>
  <c r="M881" i="5"/>
  <c r="J866" i="5"/>
  <c r="M862" i="5"/>
  <c r="B860" i="5"/>
  <c r="K856" i="5"/>
  <c r="G856" i="5" s="1"/>
  <c r="H841" i="5"/>
  <c r="B812" i="5"/>
  <c r="L805" i="5"/>
  <c r="K792" i="5"/>
  <c r="G792" i="5" s="1"/>
  <c r="B1039" i="5"/>
  <c r="B1027" i="5"/>
  <c r="B1015" i="5"/>
  <c r="B1003" i="5"/>
  <c r="B991" i="5"/>
  <c r="B979" i="5"/>
  <c r="B967" i="5"/>
  <c r="B955" i="5"/>
  <c r="B943" i="5"/>
  <c r="I939" i="5"/>
  <c r="B938" i="5"/>
  <c r="J931" i="5"/>
  <c r="H928" i="5"/>
  <c r="K918" i="5"/>
  <c r="G918" i="5" s="1"/>
  <c r="H915" i="5"/>
  <c r="I913" i="5"/>
  <c r="B910" i="5"/>
  <c r="J894" i="5"/>
  <c r="E887" i="5"/>
  <c r="F887" i="5" s="1"/>
  <c r="H885" i="5"/>
  <c r="E874" i="5"/>
  <c r="F874" i="5" s="1"/>
  <c r="I870" i="5"/>
  <c r="I868" i="5"/>
  <c r="M848" i="5"/>
  <c r="L844" i="5"/>
  <c r="B818" i="5"/>
  <c r="I786" i="5"/>
  <c r="H780" i="5"/>
  <c r="E733" i="5"/>
  <c r="F733" i="5" s="1"/>
  <c r="H681" i="5"/>
  <c r="N953" i="5"/>
  <c r="M952" i="5"/>
  <c r="L951" i="5"/>
  <c r="K950" i="5"/>
  <c r="G950" i="5" s="1"/>
  <c r="J949" i="5"/>
  <c r="I948" i="5"/>
  <c r="H947" i="5"/>
  <c r="E945" i="5"/>
  <c r="F945" i="5" s="1"/>
  <c r="N941" i="5"/>
  <c r="L940" i="5"/>
  <c r="M937" i="5"/>
  <c r="E936" i="5"/>
  <c r="F936" i="5" s="1"/>
  <c r="J934" i="5"/>
  <c r="N932" i="5"/>
  <c r="L929" i="5"/>
  <c r="J926" i="5"/>
  <c r="M921" i="5"/>
  <c r="B920" i="5"/>
  <c r="N911" i="5"/>
  <c r="K906" i="5"/>
  <c r="G906" i="5" s="1"/>
  <c r="H903" i="5"/>
  <c r="I901" i="5"/>
  <c r="K892" i="5"/>
  <c r="G892" i="5" s="1"/>
  <c r="M890" i="5"/>
  <c r="K883" i="5"/>
  <c r="G883" i="5" s="1"/>
  <c r="L881" i="5"/>
  <c r="E878" i="5"/>
  <c r="F878" i="5" s="1"/>
  <c r="I866" i="5"/>
  <c r="H864" i="5"/>
  <c r="I862" i="5"/>
  <c r="I856" i="5"/>
  <c r="H852" i="5"/>
  <c r="E841" i="5"/>
  <c r="F841" i="5" s="1"/>
  <c r="J829" i="5"/>
  <c r="B944" i="5"/>
  <c r="H939" i="5"/>
  <c r="L937" i="5"/>
  <c r="I934" i="5"/>
  <c r="B925" i="5"/>
  <c r="J918" i="5"/>
  <c r="L916" i="5"/>
  <c r="H913" i="5"/>
  <c r="N899" i="5"/>
  <c r="B896" i="5"/>
  <c r="I894" i="5"/>
  <c r="J892" i="5"/>
  <c r="B889" i="5"/>
  <c r="K881" i="5"/>
  <c r="G881" i="5" s="1"/>
  <c r="N879" i="5"/>
  <c r="B876" i="5"/>
  <c r="B872" i="5"/>
  <c r="H868" i="5"/>
  <c r="N859" i="5"/>
  <c r="B848" i="5"/>
  <c r="K844" i="5"/>
  <c r="G844" i="5" s="1"/>
  <c r="N823" i="5"/>
  <c r="M817" i="5"/>
  <c r="J811" i="5"/>
  <c r="H804" i="5"/>
  <c r="M1049" i="5"/>
  <c r="L1048" i="5"/>
  <c r="K1047" i="5"/>
  <c r="G1047" i="5" s="1"/>
  <c r="J1046" i="5"/>
  <c r="I1045" i="5"/>
  <c r="H1044" i="5"/>
  <c r="E1042" i="5"/>
  <c r="F1042" i="5" s="1"/>
  <c r="N1038" i="5"/>
  <c r="M1037" i="5"/>
  <c r="L1036" i="5"/>
  <c r="K1035" i="5"/>
  <c r="G1035" i="5" s="1"/>
  <c r="J1034" i="5"/>
  <c r="I1033" i="5"/>
  <c r="H1032" i="5"/>
  <c r="E1030" i="5"/>
  <c r="F1030" i="5" s="1"/>
  <c r="N1026" i="5"/>
  <c r="M1025" i="5"/>
  <c r="L1024" i="5"/>
  <c r="K1023" i="5"/>
  <c r="G1023" i="5" s="1"/>
  <c r="J1022" i="5"/>
  <c r="I1021" i="5"/>
  <c r="H1020" i="5"/>
  <c r="E1018" i="5"/>
  <c r="F1018" i="5" s="1"/>
  <c r="N1014" i="5"/>
  <c r="M1013" i="5"/>
  <c r="L1012" i="5"/>
  <c r="K1011" i="5"/>
  <c r="G1011" i="5" s="1"/>
  <c r="J1010" i="5"/>
  <c r="I1009" i="5"/>
  <c r="H1008" i="5"/>
  <c r="E1006" i="5"/>
  <c r="F1006" i="5" s="1"/>
  <c r="N1002" i="5"/>
  <c r="M1001" i="5"/>
  <c r="L1000" i="5"/>
  <c r="K999" i="5"/>
  <c r="G999" i="5" s="1"/>
  <c r="J998" i="5"/>
  <c r="I997" i="5"/>
  <c r="H996" i="5"/>
  <c r="E994" i="5"/>
  <c r="F994" i="5" s="1"/>
  <c r="N990" i="5"/>
  <c r="M989" i="5"/>
  <c r="L988" i="5"/>
  <c r="K987" i="5"/>
  <c r="G987" i="5" s="1"/>
  <c r="J986" i="5"/>
  <c r="I985" i="5"/>
  <c r="H984" i="5"/>
  <c r="E982" i="5"/>
  <c r="F982" i="5" s="1"/>
  <c r="N978" i="5"/>
  <c r="M977" i="5"/>
  <c r="L976" i="5"/>
  <c r="K975" i="5"/>
  <c r="G975" i="5" s="1"/>
  <c r="J974" i="5"/>
  <c r="I973" i="5"/>
  <c r="H972" i="5"/>
  <c r="E970" i="5"/>
  <c r="F970" i="5" s="1"/>
  <c r="N966" i="5"/>
  <c r="M965" i="5"/>
  <c r="L964" i="5"/>
  <c r="K963" i="5"/>
  <c r="G963" i="5" s="1"/>
  <c r="J962" i="5"/>
  <c r="I961" i="5"/>
  <c r="H960" i="5"/>
  <c r="E958" i="5"/>
  <c r="F958" i="5" s="1"/>
  <c r="N954" i="5"/>
  <c r="M953" i="5"/>
  <c r="L952" i="5"/>
  <c r="K951" i="5"/>
  <c r="G951" i="5" s="1"/>
  <c r="J950" i="5"/>
  <c r="I949" i="5"/>
  <c r="H948" i="5"/>
  <c r="E946" i="5"/>
  <c r="F946" i="5" s="1"/>
  <c r="N942" i="5"/>
  <c r="M941" i="5"/>
  <c r="K940" i="5"/>
  <c r="G940" i="5" s="1"/>
  <c r="M932" i="5"/>
  <c r="E931" i="5"/>
  <c r="F931" i="5" s="1"/>
  <c r="K929" i="5"/>
  <c r="G929" i="5" s="1"/>
  <c r="I926" i="5"/>
  <c r="E923" i="5"/>
  <c r="F923" i="5" s="1"/>
  <c r="L921" i="5"/>
  <c r="J911" i="5"/>
  <c r="N909" i="5"/>
  <c r="B908" i="5"/>
  <c r="J906" i="5"/>
  <c r="L904" i="5"/>
  <c r="H901" i="5"/>
  <c r="N897" i="5"/>
  <c r="B887" i="5"/>
  <c r="J883" i="5"/>
  <c r="I829" i="5"/>
  <c r="E798" i="5"/>
  <c r="F798" i="5" s="1"/>
  <c r="M778" i="5"/>
  <c r="N622" i="5"/>
  <c r="B1041" i="5"/>
  <c r="B1029" i="5"/>
  <c r="B1017" i="5"/>
  <c r="P1017" i="5" s="1"/>
  <c r="B1005" i="5"/>
  <c r="B993" i="5"/>
  <c r="B981" i="5"/>
  <c r="B969" i="5"/>
  <c r="P969" i="5" s="1"/>
  <c r="B957" i="5"/>
  <c r="B945" i="5"/>
  <c r="B936" i="5"/>
  <c r="N919" i="5"/>
  <c r="I918" i="5"/>
  <c r="K916" i="5"/>
  <c r="G916" i="5" s="1"/>
  <c r="E915" i="5"/>
  <c r="F915" i="5" s="1"/>
  <c r="J899" i="5"/>
  <c r="I892" i="5"/>
  <c r="J890" i="5"/>
  <c r="B885" i="5"/>
  <c r="J881" i="5"/>
  <c r="B878" i="5"/>
  <c r="N873" i="5"/>
  <c r="B870" i="5"/>
  <c r="E862" i="5"/>
  <c r="F862" i="5" s="1"/>
  <c r="L859" i="5"/>
  <c r="K855" i="5"/>
  <c r="G855" i="5" s="1"/>
  <c r="I844" i="5"/>
  <c r="H840" i="5"/>
  <c r="K731" i="5"/>
  <c r="G731" i="5" s="1"/>
  <c r="N659" i="5"/>
  <c r="L1049" i="5"/>
  <c r="K1048" i="5"/>
  <c r="G1048" i="5" s="1"/>
  <c r="J1047" i="5"/>
  <c r="I1046" i="5"/>
  <c r="H1045" i="5"/>
  <c r="E1043" i="5"/>
  <c r="F1043" i="5" s="1"/>
  <c r="N1039" i="5"/>
  <c r="M1038" i="5"/>
  <c r="L1037" i="5"/>
  <c r="K1036" i="5"/>
  <c r="G1036" i="5" s="1"/>
  <c r="J1035" i="5"/>
  <c r="I1034" i="5"/>
  <c r="H1033" i="5"/>
  <c r="E1031" i="5"/>
  <c r="F1031" i="5" s="1"/>
  <c r="N1027" i="5"/>
  <c r="M1026" i="5"/>
  <c r="L1025" i="5"/>
  <c r="K1024" i="5"/>
  <c r="G1024" i="5" s="1"/>
  <c r="J1023" i="5"/>
  <c r="I1022" i="5"/>
  <c r="H1021" i="5"/>
  <c r="E1019" i="5"/>
  <c r="F1019" i="5" s="1"/>
  <c r="N1015" i="5"/>
  <c r="M1014" i="5"/>
  <c r="L1013" i="5"/>
  <c r="K1012" i="5"/>
  <c r="G1012" i="5" s="1"/>
  <c r="J1011" i="5"/>
  <c r="I1010" i="5"/>
  <c r="H1009" i="5"/>
  <c r="E1007" i="5"/>
  <c r="F1007" i="5" s="1"/>
  <c r="N1003" i="5"/>
  <c r="M1002" i="5"/>
  <c r="L1001" i="5"/>
  <c r="K1000" i="5"/>
  <c r="G1000" i="5" s="1"/>
  <c r="J999" i="5"/>
  <c r="I998" i="5"/>
  <c r="H997" i="5"/>
  <c r="E995" i="5"/>
  <c r="F995" i="5" s="1"/>
  <c r="N991" i="5"/>
  <c r="M990" i="5"/>
  <c r="L989" i="5"/>
  <c r="K988" i="5"/>
  <c r="G988" i="5" s="1"/>
  <c r="J987" i="5"/>
  <c r="I986" i="5"/>
  <c r="H985" i="5"/>
  <c r="E983" i="5"/>
  <c r="F983" i="5" s="1"/>
  <c r="N979" i="5"/>
  <c r="M978" i="5"/>
  <c r="L977" i="5"/>
  <c r="K976" i="5"/>
  <c r="G976" i="5" s="1"/>
  <c r="J975" i="5"/>
  <c r="I974" i="5"/>
  <c r="H973" i="5"/>
  <c r="E971" i="5"/>
  <c r="F971" i="5" s="1"/>
  <c r="N967" i="5"/>
  <c r="M966" i="5"/>
  <c r="L965" i="5"/>
  <c r="K964" i="5"/>
  <c r="G964" i="5" s="1"/>
  <c r="J963" i="5"/>
  <c r="I962" i="5"/>
  <c r="H961" i="5"/>
  <c r="E959" i="5"/>
  <c r="F959" i="5" s="1"/>
  <c r="N955" i="5"/>
  <c r="M954" i="5"/>
  <c r="L953" i="5"/>
  <c r="K952" i="5"/>
  <c r="G952" i="5" s="1"/>
  <c r="J951" i="5"/>
  <c r="I950" i="5"/>
  <c r="H949" i="5"/>
  <c r="E947" i="5"/>
  <c r="F947" i="5" s="1"/>
  <c r="N943" i="5"/>
  <c r="M942" i="5"/>
  <c r="L941" i="5"/>
  <c r="J940" i="5"/>
  <c r="I937" i="5"/>
  <c r="E934" i="5"/>
  <c r="F934" i="5" s="1"/>
  <c r="L932" i="5"/>
  <c r="J929" i="5"/>
  <c r="H926" i="5"/>
  <c r="L924" i="5"/>
  <c r="I921" i="5"/>
  <c r="M909" i="5"/>
  <c r="I906" i="5"/>
  <c r="K904" i="5"/>
  <c r="G904" i="5" s="1"/>
  <c r="E903" i="5"/>
  <c r="F903" i="5" s="1"/>
  <c r="M897" i="5"/>
  <c r="N895" i="5"/>
  <c r="K888" i="5"/>
  <c r="G888" i="5" s="1"/>
  <c r="E883" i="5"/>
  <c r="F883" i="5" s="1"/>
  <c r="K879" i="5"/>
  <c r="G879" i="5" s="1"/>
  <c r="L877" i="5"/>
  <c r="N875" i="5"/>
  <c r="N871" i="5"/>
  <c r="E866" i="5"/>
  <c r="F866" i="5" s="1"/>
  <c r="N847" i="5"/>
  <c r="N834" i="5"/>
  <c r="L784" i="5"/>
  <c r="B898" i="5"/>
  <c r="B886" i="5"/>
  <c r="B874" i="5"/>
  <c r="B862" i="5"/>
  <c r="B850" i="5"/>
  <c r="H838" i="5"/>
  <c r="M834" i="5"/>
  <c r="M832" i="5"/>
  <c r="N830" i="5"/>
  <c r="H829" i="5"/>
  <c r="J823" i="5"/>
  <c r="L821" i="5"/>
  <c r="L817" i="5"/>
  <c r="B814" i="5"/>
  <c r="N807" i="5"/>
  <c r="E802" i="5"/>
  <c r="F802" i="5" s="1"/>
  <c r="B796" i="5"/>
  <c r="H792" i="5"/>
  <c r="J778" i="5"/>
  <c r="B774" i="5"/>
  <c r="M769" i="5"/>
  <c r="I755" i="5"/>
  <c r="B750" i="5"/>
  <c r="J743" i="5"/>
  <c r="N732" i="5"/>
  <c r="E724" i="5"/>
  <c r="F724" i="5" s="1"/>
  <c r="K681" i="5"/>
  <c r="G681" i="5" s="1"/>
  <c r="M659" i="5"/>
  <c r="B634" i="5"/>
  <c r="L622" i="5"/>
  <c r="H878" i="5"/>
  <c r="E876" i="5"/>
  <c r="F876" i="5" s="1"/>
  <c r="N872" i="5"/>
  <c r="M871" i="5"/>
  <c r="L870" i="5"/>
  <c r="K869" i="5"/>
  <c r="G869" i="5" s="1"/>
  <c r="J868" i="5"/>
  <c r="I867" i="5"/>
  <c r="H866" i="5"/>
  <c r="E864" i="5"/>
  <c r="F864" i="5" s="1"/>
  <c r="N860" i="5"/>
  <c r="M859" i="5"/>
  <c r="L858" i="5"/>
  <c r="K857" i="5"/>
  <c r="G857" i="5" s="1"/>
  <c r="J856" i="5"/>
  <c r="I855" i="5"/>
  <c r="H854" i="5"/>
  <c r="E852" i="5"/>
  <c r="F852" i="5" s="1"/>
  <c r="N848" i="5"/>
  <c r="M847" i="5"/>
  <c r="L846" i="5"/>
  <c r="K845" i="5"/>
  <c r="G845" i="5" s="1"/>
  <c r="J844" i="5"/>
  <c r="I843" i="5"/>
  <c r="H842" i="5"/>
  <c r="H836" i="5"/>
  <c r="I825" i="5"/>
  <c r="K819" i="5"/>
  <c r="G819" i="5" s="1"/>
  <c r="L813" i="5"/>
  <c r="N811" i="5"/>
  <c r="M809" i="5"/>
  <c r="M805" i="5"/>
  <c r="B800" i="5"/>
  <c r="B798" i="5"/>
  <c r="E786" i="5"/>
  <c r="F786" i="5" s="1"/>
  <c r="I782" i="5"/>
  <c r="I760" i="5"/>
  <c r="E738" i="5"/>
  <c r="F738" i="5" s="1"/>
  <c r="M732" i="5"/>
  <c r="B713" i="5"/>
  <c r="L659" i="5"/>
  <c r="B852" i="5"/>
  <c r="E838" i="5"/>
  <c r="F838" i="5" s="1"/>
  <c r="K832" i="5"/>
  <c r="G832" i="5" s="1"/>
  <c r="I817" i="5"/>
  <c r="J815" i="5"/>
  <c r="I813" i="5"/>
  <c r="K807" i="5"/>
  <c r="G807" i="5" s="1"/>
  <c r="L801" i="5"/>
  <c r="N799" i="5"/>
  <c r="M797" i="5"/>
  <c r="M793" i="5"/>
  <c r="B788" i="5"/>
  <c r="B786" i="5"/>
  <c r="B773" i="5"/>
  <c r="I765" i="5"/>
  <c r="E760" i="5"/>
  <c r="F760" i="5" s="1"/>
  <c r="I748" i="5"/>
  <c r="N644" i="5"/>
  <c r="L519" i="5"/>
  <c r="K859" i="5"/>
  <c r="G859" i="5" s="1"/>
  <c r="J858" i="5"/>
  <c r="I857" i="5"/>
  <c r="H856" i="5"/>
  <c r="E854" i="5"/>
  <c r="F854" i="5" s="1"/>
  <c r="N850" i="5"/>
  <c r="M849" i="5"/>
  <c r="L848" i="5"/>
  <c r="K847" i="5"/>
  <c r="G847" i="5" s="1"/>
  <c r="J846" i="5"/>
  <c r="I845" i="5"/>
  <c r="H844" i="5"/>
  <c r="E842" i="5"/>
  <c r="F842" i="5" s="1"/>
  <c r="K839" i="5"/>
  <c r="G839" i="5" s="1"/>
  <c r="E834" i="5"/>
  <c r="F834" i="5" s="1"/>
  <c r="K830" i="5"/>
  <c r="G830" i="5" s="1"/>
  <c r="E823" i="5"/>
  <c r="F823" i="5" s="1"/>
  <c r="E819" i="5"/>
  <c r="F819" i="5" s="1"/>
  <c r="H809" i="5"/>
  <c r="K803" i="5"/>
  <c r="G803" i="5" s="1"/>
  <c r="N791" i="5"/>
  <c r="B782" i="5"/>
  <c r="J731" i="5"/>
  <c r="B701" i="5"/>
  <c r="J669" i="5"/>
  <c r="H618" i="5"/>
  <c r="B583" i="5"/>
  <c r="B853" i="5"/>
  <c r="B841" i="5"/>
  <c r="L828" i="5"/>
  <c r="E827" i="5"/>
  <c r="F827" i="5" s="1"/>
  <c r="B821" i="5"/>
  <c r="H817" i="5"/>
  <c r="H813" i="5"/>
  <c r="J807" i="5"/>
  <c r="J799" i="5"/>
  <c r="L797" i="5"/>
  <c r="L793" i="5"/>
  <c r="B790" i="5"/>
  <c r="N783" i="5"/>
  <c r="E778" i="5"/>
  <c r="F778" i="5" s="1"/>
  <c r="H765" i="5"/>
  <c r="M736" i="5"/>
  <c r="I518" i="5"/>
  <c r="J859" i="5"/>
  <c r="I858" i="5"/>
  <c r="H857" i="5"/>
  <c r="E855" i="5"/>
  <c r="F855" i="5" s="1"/>
  <c r="N851" i="5"/>
  <c r="M850" i="5"/>
  <c r="L849" i="5"/>
  <c r="K848" i="5"/>
  <c r="G848" i="5" s="1"/>
  <c r="J847" i="5"/>
  <c r="I846" i="5"/>
  <c r="H845" i="5"/>
  <c r="E843" i="5"/>
  <c r="F843" i="5" s="1"/>
  <c r="J839" i="5"/>
  <c r="B838" i="5"/>
  <c r="B836" i="5"/>
  <c r="J830" i="5"/>
  <c r="B823" i="5"/>
  <c r="I805" i="5"/>
  <c r="J803" i="5"/>
  <c r="I801" i="5"/>
  <c r="K795" i="5"/>
  <c r="G795" i="5" s="1"/>
  <c r="L789" i="5"/>
  <c r="N787" i="5"/>
  <c r="M785" i="5"/>
  <c r="M781" i="5"/>
  <c r="B776" i="5"/>
  <c r="L768" i="5"/>
  <c r="K753" i="5"/>
  <c r="G753" i="5" s="1"/>
  <c r="N741" i="5"/>
  <c r="H731" i="5"/>
  <c r="L643" i="5"/>
  <c r="B854" i="5"/>
  <c r="B842" i="5"/>
  <c r="L837" i="5"/>
  <c r="B834" i="5"/>
  <c r="K828" i="5"/>
  <c r="G828" i="5" s="1"/>
  <c r="M826" i="5"/>
  <c r="B825" i="5"/>
  <c r="N818" i="5"/>
  <c r="E811" i="5"/>
  <c r="F811" i="5" s="1"/>
  <c r="E807" i="5"/>
  <c r="F807" i="5" s="1"/>
  <c r="H797" i="5"/>
  <c r="K791" i="5"/>
  <c r="G791" i="5" s="1"/>
  <c r="N779" i="5"/>
  <c r="I736" i="5"/>
  <c r="M654" i="5"/>
  <c r="N936" i="5"/>
  <c r="M935" i="5"/>
  <c r="L934" i="5"/>
  <c r="K933" i="5"/>
  <c r="G933" i="5" s="1"/>
  <c r="J932" i="5"/>
  <c r="I931" i="5"/>
  <c r="H930" i="5"/>
  <c r="E928" i="5"/>
  <c r="F928" i="5" s="1"/>
  <c r="N924" i="5"/>
  <c r="M923" i="5"/>
  <c r="L922" i="5"/>
  <c r="K921" i="5"/>
  <c r="G921" i="5" s="1"/>
  <c r="J920" i="5"/>
  <c r="I919" i="5"/>
  <c r="H918" i="5"/>
  <c r="E916" i="5"/>
  <c r="F916" i="5" s="1"/>
  <c r="N912" i="5"/>
  <c r="M911" i="5"/>
  <c r="L910" i="5"/>
  <c r="K909" i="5"/>
  <c r="G909" i="5" s="1"/>
  <c r="J908" i="5"/>
  <c r="I907" i="5"/>
  <c r="H906" i="5"/>
  <c r="E904" i="5"/>
  <c r="F904" i="5" s="1"/>
  <c r="N900" i="5"/>
  <c r="M899" i="5"/>
  <c r="L898" i="5"/>
  <c r="K897" i="5"/>
  <c r="G897" i="5" s="1"/>
  <c r="J896" i="5"/>
  <c r="I895" i="5"/>
  <c r="H894" i="5"/>
  <c r="E892" i="5"/>
  <c r="F892" i="5" s="1"/>
  <c r="N888" i="5"/>
  <c r="M887" i="5"/>
  <c r="L886" i="5"/>
  <c r="K885" i="5"/>
  <c r="G885" i="5" s="1"/>
  <c r="J884" i="5"/>
  <c r="I883" i="5"/>
  <c r="H882" i="5"/>
  <c r="E880" i="5"/>
  <c r="F880" i="5" s="1"/>
  <c r="N876" i="5"/>
  <c r="M875" i="5"/>
  <c r="L874" i="5"/>
  <c r="K873" i="5"/>
  <c r="G873" i="5" s="1"/>
  <c r="J872" i="5"/>
  <c r="I871" i="5"/>
  <c r="H870" i="5"/>
  <c r="E868" i="5"/>
  <c r="F868" i="5" s="1"/>
  <c r="N864" i="5"/>
  <c r="M863" i="5"/>
  <c r="L862" i="5"/>
  <c r="K861" i="5"/>
  <c r="G861" i="5" s="1"/>
  <c r="J860" i="5"/>
  <c r="I859" i="5"/>
  <c r="H858" i="5"/>
  <c r="E856" i="5"/>
  <c r="F856" i="5" s="1"/>
  <c r="N852" i="5"/>
  <c r="M851" i="5"/>
  <c r="L850" i="5"/>
  <c r="K849" i="5"/>
  <c r="G849" i="5" s="1"/>
  <c r="J848" i="5"/>
  <c r="I847" i="5"/>
  <c r="H846" i="5"/>
  <c r="E844" i="5"/>
  <c r="F844" i="5" s="1"/>
  <c r="N840" i="5"/>
  <c r="I839" i="5"/>
  <c r="B832" i="5"/>
  <c r="I830" i="5"/>
  <c r="N822" i="5"/>
  <c r="B809" i="5"/>
  <c r="H805" i="5"/>
  <c r="H801" i="5"/>
  <c r="J795" i="5"/>
  <c r="J787" i="5"/>
  <c r="L785" i="5"/>
  <c r="L781" i="5"/>
  <c r="B778" i="5"/>
  <c r="B772" i="5"/>
  <c r="K768" i="5"/>
  <c r="G768" i="5" s="1"/>
  <c r="M758" i="5"/>
  <c r="J753" i="5"/>
  <c r="N746" i="5"/>
  <c r="K720" i="5"/>
  <c r="G720" i="5" s="1"/>
  <c r="N708" i="5"/>
  <c r="L654" i="5"/>
  <c r="B939" i="5"/>
  <c r="B927" i="5"/>
  <c r="B915" i="5"/>
  <c r="B903" i="5"/>
  <c r="B891" i="5"/>
  <c r="B879" i="5"/>
  <c r="B867" i="5"/>
  <c r="B855" i="5"/>
  <c r="B843" i="5"/>
  <c r="N835" i="5"/>
  <c r="N833" i="5"/>
  <c r="M818" i="5"/>
  <c r="E815" i="5"/>
  <c r="F815" i="5" s="1"/>
  <c r="B811" i="5"/>
  <c r="I793" i="5"/>
  <c r="J791" i="5"/>
  <c r="I789" i="5"/>
  <c r="K783" i="5"/>
  <c r="G783" i="5" s="1"/>
  <c r="L777" i="5"/>
  <c r="N775" i="5"/>
  <c r="E764" i="5"/>
  <c r="F764" i="5" s="1"/>
  <c r="I753" i="5"/>
  <c r="K741" i="5"/>
  <c r="G741" i="5" s="1"/>
  <c r="E736" i="5"/>
  <c r="F736" i="5" s="1"/>
  <c r="L697" i="5"/>
  <c r="B689" i="5"/>
  <c r="K654" i="5"/>
  <c r="G654" i="5" s="1"/>
  <c r="L617" i="5"/>
  <c r="E941" i="5"/>
  <c r="F941" i="5" s="1"/>
  <c r="N937" i="5"/>
  <c r="M936" i="5"/>
  <c r="L935" i="5"/>
  <c r="K934" i="5"/>
  <c r="G934" i="5" s="1"/>
  <c r="J933" i="5"/>
  <c r="I932" i="5"/>
  <c r="H931" i="5"/>
  <c r="E929" i="5"/>
  <c r="F929" i="5" s="1"/>
  <c r="N925" i="5"/>
  <c r="M924" i="5"/>
  <c r="L923" i="5"/>
  <c r="K922" i="5"/>
  <c r="G922" i="5" s="1"/>
  <c r="J921" i="5"/>
  <c r="I920" i="5"/>
  <c r="H919" i="5"/>
  <c r="E917" i="5"/>
  <c r="F917" i="5" s="1"/>
  <c r="N913" i="5"/>
  <c r="M912" i="5"/>
  <c r="L911" i="5"/>
  <c r="K910" i="5"/>
  <c r="G910" i="5" s="1"/>
  <c r="J909" i="5"/>
  <c r="I908" i="5"/>
  <c r="H907" i="5"/>
  <c r="E905" i="5"/>
  <c r="F905" i="5" s="1"/>
  <c r="N901" i="5"/>
  <c r="M900" i="5"/>
  <c r="L899" i="5"/>
  <c r="K898" i="5"/>
  <c r="G898" i="5" s="1"/>
  <c r="J897" i="5"/>
  <c r="I896" i="5"/>
  <c r="H895" i="5"/>
  <c r="E893" i="5"/>
  <c r="F893" i="5" s="1"/>
  <c r="N889" i="5"/>
  <c r="M888" i="5"/>
  <c r="L887" i="5"/>
  <c r="K886" i="5"/>
  <c r="G886" i="5" s="1"/>
  <c r="J885" i="5"/>
  <c r="I884" i="5"/>
  <c r="H883" i="5"/>
  <c r="E881" i="5"/>
  <c r="F881" i="5" s="1"/>
  <c r="N877" i="5"/>
  <c r="M876" i="5"/>
  <c r="L875" i="5"/>
  <c r="K874" i="5"/>
  <c r="G874" i="5" s="1"/>
  <c r="J873" i="5"/>
  <c r="I872" i="5"/>
  <c r="H871" i="5"/>
  <c r="E869" i="5"/>
  <c r="F869" i="5" s="1"/>
  <c r="N865" i="5"/>
  <c r="M864" i="5"/>
  <c r="L863" i="5"/>
  <c r="K862" i="5"/>
  <c r="G862" i="5" s="1"/>
  <c r="J861" i="5"/>
  <c r="I860" i="5"/>
  <c r="H859" i="5"/>
  <c r="E857" i="5"/>
  <c r="F857" i="5" s="1"/>
  <c r="N853" i="5"/>
  <c r="M852" i="5"/>
  <c r="L851" i="5"/>
  <c r="K850" i="5"/>
  <c r="G850" i="5" s="1"/>
  <c r="J849" i="5"/>
  <c r="I848" i="5"/>
  <c r="H847" i="5"/>
  <c r="E845" i="5"/>
  <c r="F845" i="5" s="1"/>
  <c r="N841" i="5"/>
  <c r="M840" i="5"/>
  <c r="H839" i="5"/>
  <c r="I837" i="5"/>
  <c r="I828" i="5"/>
  <c r="J826" i="5"/>
  <c r="K824" i="5"/>
  <c r="G824" i="5" s="1"/>
  <c r="M822" i="5"/>
  <c r="L820" i="5"/>
  <c r="B813" i="5"/>
  <c r="N806" i="5"/>
  <c r="E799" i="5"/>
  <c r="F799" i="5" s="1"/>
  <c r="E795" i="5"/>
  <c r="F795" i="5" s="1"/>
  <c r="H785" i="5"/>
  <c r="K779" i="5"/>
  <c r="G779" i="5" s="1"/>
  <c r="L758" i="5"/>
  <c r="M746" i="5"/>
  <c r="M719" i="5"/>
  <c r="L665" i="5"/>
  <c r="E629" i="5"/>
  <c r="F629" i="5" s="1"/>
  <c r="B940" i="5"/>
  <c r="B928" i="5"/>
  <c r="B916" i="5"/>
  <c r="B904" i="5"/>
  <c r="B892" i="5"/>
  <c r="B880" i="5"/>
  <c r="B868" i="5"/>
  <c r="B856" i="5"/>
  <c r="B844" i="5"/>
  <c r="J835" i="5"/>
  <c r="M833" i="5"/>
  <c r="N831" i="5"/>
  <c r="L816" i="5"/>
  <c r="M814" i="5"/>
  <c r="N810" i="5"/>
  <c r="B797" i="5"/>
  <c r="H793" i="5"/>
  <c r="H789" i="5"/>
  <c r="J783" i="5"/>
  <c r="J775" i="5"/>
  <c r="N771" i="5"/>
  <c r="E918" i="5"/>
  <c r="F918" i="5" s="1"/>
  <c r="N914" i="5"/>
  <c r="M913" i="5"/>
  <c r="L912" i="5"/>
  <c r="K911" i="5"/>
  <c r="G911" i="5" s="1"/>
  <c r="J910" i="5"/>
  <c r="I909" i="5"/>
  <c r="H908" i="5"/>
  <c r="E906" i="5"/>
  <c r="F906" i="5" s="1"/>
  <c r="N902" i="5"/>
  <c r="M901" i="5"/>
  <c r="L900" i="5"/>
  <c r="K899" i="5"/>
  <c r="G899" i="5" s="1"/>
  <c r="J898" i="5"/>
  <c r="I897" i="5"/>
  <c r="H896" i="5"/>
  <c r="E894" i="5"/>
  <c r="F894" i="5" s="1"/>
  <c r="N890" i="5"/>
  <c r="M889" i="5"/>
  <c r="L888" i="5"/>
  <c r="K887" i="5"/>
  <c r="G887" i="5" s="1"/>
  <c r="J886" i="5"/>
  <c r="I885" i="5"/>
  <c r="H884" i="5"/>
  <c r="E882" i="5"/>
  <c r="F882" i="5" s="1"/>
  <c r="N878" i="5"/>
  <c r="M877" i="5"/>
  <c r="L876" i="5"/>
  <c r="K875" i="5"/>
  <c r="G875" i="5" s="1"/>
  <c r="J874" i="5"/>
  <c r="I873" i="5"/>
  <c r="H872" i="5"/>
  <c r="E870" i="5"/>
  <c r="F870" i="5" s="1"/>
  <c r="N866" i="5"/>
  <c r="M865" i="5"/>
  <c r="L864" i="5"/>
  <c r="K863" i="5"/>
  <c r="G863" i="5" s="1"/>
  <c r="J862" i="5"/>
  <c r="I861" i="5"/>
  <c r="H860" i="5"/>
  <c r="E858" i="5"/>
  <c r="F858" i="5" s="1"/>
  <c r="N854" i="5"/>
  <c r="M853" i="5"/>
  <c r="L852" i="5"/>
  <c r="K851" i="5"/>
  <c r="G851" i="5" s="1"/>
  <c r="J850" i="5"/>
  <c r="I849" i="5"/>
  <c r="H848" i="5"/>
  <c r="E846" i="5"/>
  <c r="F846" i="5" s="1"/>
  <c r="N842" i="5"/>
  <c r="M841" i="5"/>
  <c r="L840" i="5"/>
  <c r="H837" i="5"/>
  <c r="B830" i="5"/>
  <c r="H828" i="5"/>
  <c r="I826" i="5"/>
  <c r="I822" i="5"/>
  <c r="K820" i="5"/>
  <c r="G820" i="5" s="1"/>
  <c r="M806" i="5"/>
  <c r="E803" i="5"/>
  <c r="F803" i="5" s="1"/>
  <c r="B799" i="5"/>
  <c r="I781" i="5"/>
  <c r="J779" i="5"/>
  <c r="I777" i="5"/>
  <c r="B764" i="5"/>
  <c r="E752" i="5"/>
  <c r="F752" i="5" s="1"/>
  <c r="L746" i="5"/>
  <c r="J728" i="5"/>
  <c r="N696" i="5"/>
  <c r="K664" i="5"/>
  <c r="G664" i="5" s="1"/>
  <c r="I653" i="5"/>
  <c r="B929" i="5"/>
  <c r="B917" i="5"/>
  <c r="B905" i="5"/>
  <c r="B893" i="5"/>
  <c r="B881" i="5"/>
  <c r="B869" i="5"/>
  <c r="B857" i="5"/>
  <c r="B845" i="5"/>
  <c r="L833" i="5"/>
  <c r="H824" i="5"/>
  <c r="J818" i="5"/>
  <c r="K816" i="5"/>
  <c r="G816" i="5" s="1"/>
  <c r="K812" i="5"/>
  <c r="G812" i="5" s="1"/>
  <c r="M810" i="5"/>
  <c r="L808" i="5"/>
  <c r="B801" i="5"/>
  <c r="N794" i="5"/>
  <c r="E787" i="5"/>
  <c r="F787" i="5" s="1"/>
  <c r="E783" i="5"/>
  <c r="F783" i="5" s="1"/>
  <c r="K767" i="5"/>
  <c r="G767" i="5" s="1"/>
  <c r="L763" i="5"/>
  <c r="K746" i="5"/>
  <c r="G746" i="5" s="1"/>
  <c r="N734" i="5"/>
  <c r="H717" i="5"/>
  <c r="E639" i="5"/>
  <c r="F639" i="5" s="1"/>
  <c r="E859" i="5"/>
  <c r="F859" i="5" s="1"/>
  <c r="N855" i="5"/>
  <c r="M854" i="5"/>
  <c r="L853" i="5"/>
  <c r="K852" i="5"/>
  <c r="G852" i="5" s="1"/>
  <c r="J851" i="5"/>
  <c r="I850" i="5"/>
  <c r="H849" i="5"/>
  <c r="E847" i="5"/>
  <c r="F847" i="5" s="1"/>
  <c r="N843" i="5"/>
  <c r="M842" i="5"/>
  <c r="L841" i="5"/>
  <c r="K840" i="5"/>
  <c r="G840" i="5" s="1"/>
  <c r="E839" i="5"/>
  <c r="F839" i="5" s="1"/>
  <c r="L831" i="5"/>
  <c r="M829" i="5"/>
  <c r="J814" i="5"/>
  <c r="L804" i="5"/>
  <c r="M802" i="5"/>
  <c r="N798" i="5"/>
  <c r="B785" i="5"/>
  <c r="H781" i="5"/>
  <c r="H777" i="5"/>
  <c r="J664" i="5"/>
  <c r="E594" i="5"/>
  <c r="F594" i="5" s="1"/>
  <c r="B858" i="5"/>
  <c r="B846" i="5"/>
  <c r="E837" i="5"/>
  <c r="F837" i="5" s="1"/>
  <c r="H833" i="5"/>
  <c r="E822" i="5"/>
  <c r="F822" i="5" s="1"/>
  <c r="I818" i="5"/>
  <c r="I810" i="5"/>
  <c r="K808" i="5"/>
  <c r="G808" i="5" s="1"/>
  <c r="M794" i="5"/>
  <c r="E791" i="5"/>
  <c r="F791" i="5" s="1"/>
  <c r="B787" i="5"/>
  <c r="E775" i="5"/>
  <c r="F775" i="5" s="1"/>
  <c r="J767" i="5"/>
  <c r="B752" i="5"/>
  <c r="E745" i="5"/>
  <c r="F745" i="5" s="1"/>
  <c r="E740" i="5"/>
  <c r="F740" i="5" s="1"/>
  <c r="M734" i="5"/>
  <c r="L685" i="5"/>
  <c r="H664" i="5"/>
  <c r="L938" i="5"/>
  <c r="K937" i="5"/>
  <c r="G937" i="5" s="1"/>
  <c r="J936" i="5"/>
  <c r="I935" i="5"/>
  <c r="H934" i="5"/>
  <c r="E932" i="5"/>
  <c r="F932" i="5" s="1"/>
  <c r="N928" i="5"/>
  <c r="M927" i="5"/>
  <c r="L926" i="5"/>
  <c r="K925" i="5"/>
  <c r="G925" i="5" s="1"/>
  <c r="J924" i="5"/>
  <c r="I923" i="5"/>
  <c r="H922" i="5"/>
  <c r="E920" i="5"/>
  <c r="F920" i="5" s="1"/>
  <c r="N916" i="5"/>
  <c r="M915" i="5"/>
  <c r="L914" i="5"/>
  <c r="K913" i="5"/>
  <c r="G913" i="5" s="1"/>
  <c r="J912" i="5"/>
  <c r="I911" i="5"/>
  <c r="H910" i="5"/>
  <c r="E908" i="5"/>
  <c r="F908" i="5" s="1"/>
  <c r="N904" i="5"/>
  <c r="M903" i="5"/>
  <c r="L902" i="5"/>
  <c r="K901" i="5"/>
  <c r="G901" i="5" s="1"/>
  <c r="J900" i="5"/>
  <c r="I899" i="5"/>
  <c r="H898" i="5"/>
  <c r="E896" i="5"/>
  <c r="F896" i="5" s="1"/>
  <c r="N892" i="5"/>
  <c r="M891" i="5"/>
  <c r="L890" i="5"/>
  <c r="K889" i="5"/>
  <c r="G889" i="5" s="1"/>
  <c r="J888" i="5"/>
  <c r="I887" i="5"/>
  <c r="H886" i="5"/>
  <c r="E884" i="5"/>
  <c r="F884" i="5" s="1"/>
  <c r="N880" i="5"/>
  <c r="M879" i="5"/>
  <c r="L878" i="5"/>
  <c r="K877" i="5"/>
  <c r="G877" i="5" s="1"/>
  <c r="J876" i="5"/>
  <c r="I875" i="5"/>
  <c r="H874" i="5"/>
  <c r="E872" i="5"/>
  <c r="F872" i="5" s="1"/>
  <c r="N868" i="5"/>
  <c r="M867" i="5"/>
  <c r="L866" i="5"/>
  <c r="K865" i="5"/>
  <c r="G865" i="5" s="1"/>
  <c r="J864" i="5"/>
  <c r="I863" i="5"/>
  <c r="H862" i="5"/>
  <c r="E860" i="5"/>
  <c r="F860" i="5" s="1"/>
  <c r="N856" i="5"/>
  <c r="M855" i="5"/>
  <c r="L854" i="5"/>
  <c r="K853" i="5"/>
  <c r="G853" i="5" s="1"/>
  <c r="J852" i="5"/>
  <c r="I851" i="5"/>
  <c r="H850" i="5"/>
  <c r="E848" i="5"/>
  <c r="F848" i="5" s="1"/>
  <c r="N844" i="5"/>
  <c r="M843" i="5"/>
  <c r="L842" i="5"/>
  <c r="K841" i="5"/>
  <c r="G841" i="5" s="1"/>
  <c r="J840" i="5"/>
  <c r="M838" i="5"/>
  <c r="E835" i="5"/>
  <c r="F835" i="5" s="1"/>
  <c r="K831" i="5"/>
  <c r="G831" i="5" s="1"/>
  <c r="L829" i="5"/>
  <c r="I814" i="5"/>
  <c r="H812" i="5"/>
  <c r="J806" i="5"/>
  <c r="K804" i="5"/>
  <c r="G804" i="5" s="1"/>
  <c r="K800" i="5"/>
  <c r="G800" i="5" s="1"/>
  <c r="M798" i="5"/>
  <c r="L796" i="5"/>
  <c r="B789" i="5"/>
  <c r="N782" i="5"/>
  <c r="N770" i="5"/>
  <c r="N756" i="5"/>
  <c r="J716" i="5"/>
  <c r="B931" i="5"/>
  <c r="B919" i="5"/>
  <c r="B907" i="5"/>
  <c r="B895" i="5"/>
  <c r="B883" i="5"/>
  <c r="B871" i="5"/>
  <c r="B859" i="5"/>
  <c r="B847" i="5"/>
  <c r="N827" i="5"/>
  <c r="E826" i="5"/>
  <c r="F826" i="5" s="1"/>
  <c r="B820" i="5"/>
  <c r="H816" i="5"/>
  <c r="J802" i="5"/>
  <c r="L792" i="5"/>
  <c r="M790" i="5"/>
  <c r="N786" i="5"/>
  <c r="B775" i="5"/>
  <c r="H705" i="5"/>
  <c r="L939" i="5"/>
  <c r="K938" i="5"/>
  <c r="G938" i="5" s="1"/>
  <c r="J937" i="5"/>
  <c r="I936" i="5"/>
  <c r="H935" i="5"/>
  <c r="E933" i="5"/>
  <c r="F933" i="5" s="1"/>
  <c r="N929" i="5"/>
  <c r="M928" i="5"/>
  <c r="L927" i="5"/>
  <c r="K926" i="5"/>
  <c r="G926" i="5" s="1"/>
  <c r="J925" i="5"/>
  <c r="I924" i="5"/>
  <c r="H923" i="5"/>
  <c r="E921" i="5"/>
  <c r="F921" i="5" s="1"/>
  <c r="N917" i="5"/>
  <c r="M916" i="5"/>
  <c r="L915" i="5"/>
  <c r="K914" i="5"/>
  <c r="G914" i="5" s="1"/>
  <c r="J913" i="5"/>
  <c r="I912" i="5"/>
  <c r="H911" i="5"/>
  <c r="E909" i="5"/>
  <c r="F909" i="5" s="1"/>
  <c r="N905" i="5"/>
  <c r="M904" i="5"/>
  <c r="L903" i="5"/>
  <c r="K902" i="5"/>
  <c r="G902" i="5" s="1"/>
  <c r="J901" i="5"/>
  <c r="I900" i="5"/>
  <c r="H899" i="5"/>
  <c r="E897" i="5"/>
  <c r="F897" i="5" s="1"/>
  <c r="N893" i="5"/>
  <c r="M892" i="5"/>
  <c r="L891" i="5"/>
  <c r="K890" i="5"/>
  <c r="G890" i="5" s="1"/>
  <c r="J889" i="5"/>
  <c r="I888" i="5"/>
  <c r="H887" i="5"/>
  <c r="E885" i="5"/>
  <c r="F885" i="5" s="1"/>
  <c r="N881" i="5"/>
  <c r="M880" i="5"/>
  <c r="L879" i="5"/>
  <c r="K878" i="5"/>
  <c r="G878" i="5" s="1"/>
  <c r="J877" i="5"/>
  <c r="I876" i="5"/>
  <c r="H875" i="5"/>
  <c r="E873" i="5"/>
  <c r="F873" i="5" s="1"/>
  <c r="N869" i="5"/>
  <c r="M868" i="5"/>
  <c r="L867" i="5"/>
  <c r="K866" i="5"/>
  <c r="G866" i="5" s="1"/>
  <c r="J865" i="5"/>
  <c r="I864" i="5"/>
  <c r="H863" i="5"/>
  <c r="E861" i="5"/>
  <c r="F861" i="5" s="1"/>
  <c r="N857" i="5"/>
  <c r="M856" i="5"/>
  <c r="L855" i="5"/>
  <c r="K854" i="5"/>
  <c r="G854" i="5" s="1"/>
  <c r="J853" i="5"/>
  <c r="I852" i="5"/>
  <c r="H851" i="5"/>
  <c r="E849" i="5"/>
  <c r="F849" i="5" s="1"/>
  <c r="N845" i="5"/>
  <c r="M844" i="5"/>
  <c r="L843" i="5"/>
  <c r="K842" i="5"/>
  <c r="G842" i="5" s="1"/>
  <c r="J841" i="5"/>
  <c r="I840" i="5"/>
  <c r="B837" i="5"/>
  <c r="B835" i="5"/>
  <c r="J831" i="5"/>
  <c r="B824" i="5"/>
  <c r="B822" i="5"/>
  <c r="E810" i="5"/>
  <c r="F810" i="5" s="1"/>
  <c r="I806" i="5"/>
  <c r="I798" i="5"/>
  <c r="K796" i="5"/>
  <c r="G796" i="5" s="1"/>
  <c r="M782" i="5"/>
  <c r="E779" i="5"/>
  <c r="F779" i="5" s="1"/>
  <c r="N774" i="5"/>
  <c r="M770" i="5"/>
  <c r="E762" i="5"/>
  <c r="F762" i="5" s="1"/>
  <c r="M756" i="5"/>
  <c r="N744" i="5"/>
  <c r="L739" i="5"/>
  <c r="K693" i="5"/>
  <c r="G693" i="5" s="1"/>
  <c r="I610" i="5"/>
  <c r="N570" i="5"/>
  <c r="E836" i="5"/>
  <c r="F836" i="5" s="1"/>
  <c r="N832" i="5"/>
  <c r="M831" i="5"/>
  <c r="L830" i="5"/>
  <c r="K829" i="5"/>
  <c r="G829" i="5" s="1"/>
  <c r="J828" i="5"/>
  <c r="I827" i="5"/>
  <c r="H826" i="5"/>
  <c r="E824" i="5"/>
  <c r="F824" i="5" s="1"/>
  <c r="N820" i="5"/>
  <c r="M819" i="5"/>
  <c r="L818" i="5"/>
  <c r="K817" i="5"/>
  <c r="G817" i="5" s="1"/>
  <c r="J816" i="5"/>
  <c r="I815" i="5"/>
  <c r="H814" i="5"/>
  <c r="E812" i="5"/>
  <c r="F812" i="5" s="1"/>
  <c r="N808" i="5"/>
  <c r="M807" i="5"/>
  <c r="L806" i="5"/>
  <c r="K805" i="5"/>
  <c r="G805" i="5" s="1"/>
  <c r="J804" i="5"/>
  <c r="I803" i="5"/>
  <c r="H802" i="5"/>
  <c r="E800" i="5"/>
  <c r="F800" i="5" s="1"/>
  <c r="N796" i="5"/>
  <c r="M795" i="5"/>
  <c r="L794" i="5"/>
  <c r="K793" i="5"/>
  <c r="G793" i="5" s="1"/>
  <c r="J792" i="5"/>
  <c r="I791" i="5"/>
  <c r="H790" i="5"/>
  <c r="E788" i="5"/>
  <c r="F788" i="5" s="1"/>
  <c r="N784" i="5"/>
  <c r="M783" i="5"/>
  <c r="L782" i="5"/>
  <c r="K781" i="5"/>
  <c r="G781" i="5" s="1"/>
  <c r="J780" i="5"/>
  <c r="I779" i="5"/>
  <c r="H778" i="5"/>
  <c r="E776" i="5"/>
  <c r="F776" i="5" s="1"/>
  <c r="N772" i="5"/>
  <c r="M771" i="5"/>
  <c r="L770" i="5"/>
  <c r="K769" i="5"/>
  <c r="G769" i="5" s="1"/>
  <c r="J768" i="5"/>
  <c r="I767" i="5"/>
  <c r="H766" i="5"/>
  <c r="B762" i="5"/>
  <c r="K758" i="5"/>
  <c r="G758" i="5" s="1"/>
  <c r="L751" i="5"/>
  <c r="E748" i="5"/>
  <c r="F748" i="5" s="1"/>
  <c r="M744" i="5"/>
  <c r="H743" i="5"/>
  <c r="J741" i="5"/>
  <c r="B740" i="5"/>
  <c r="L734" i="5"/>
  <c r="B724" i="5"/>
  <c r="E712" i="5"/>
  <c r="F712" i="5" s="1"/>
  <c r="K708" i="5"/>
  <c r="G708" i="5" s="1"/>
  <c r="J704" i="5"/>
  <c r="N684" i="5"/>
  <c r="I664" i="5"/>
  <c r="J648" i="5"/>
  <c r="M627" i="5"/>
  <c r="M622" i="5"/>
  <c r="E825" i="5"/>
  <c r="F825" i="5" s="1"/>
  <c r="N821" i="5"/>
  <c r="M820" i="5"/>
  <c r="L819" i="5"/>
  <c r="K818" i="5"/>
  <c r="G818" i="5" s="1"/>
  <c r="J817" i="5"/>
  <c r="I816" i="5"/>
  <c r="H815" i="5"/>
  <c r="E813" i="5"/>
  <c r="F813" i="5" s="1"/>
  <c r="N809" i="5"/>
  <c r="M808" i="5"/>
  <c r="L807" i="5"/>
  <c r="K806" i="5"/>
  <c r="G806" i="5" s="1"/>
  <c r="J805" i="5"/>
  <c r="I804" i="5"/>
  <c r="H803" i="5"/>
  <c r="E801" i="5"/>
  <c r="F801" i="5" s="1"/>
  <c r="N797" i="5"/>
  <c r="M796" i="5"/>
  <c r="L795" i="5"/>
  <c r="K794" i="5"/>
  <c r="G794" i="5" s="1"/>
  <c r="J793" i="5"/>
  <c r="I792" i="5"/>
  <c r="H791" i="5"/>
  <c r="E789" i="5"/>
  <c r="F789" i="5" s="1"/>
  <c r="N785" i="5"/>
  <c r="M784" i="5"/>
  <c r="L783" i="5"/>
  <c r="K782" i="5"/>
  <c r="G782" i="5" s="1"/>
  <c r="J781" i="5"/>
  <c r="I780" i="5"/>
  <c r="H779" i="5"/>
  <c r="E777" i="5"/>
  <c r="F777" i="5" s="1"/>
  <c r="N773" i="5"/>
  <c r="M772" i="5"/>
  <c r="L771" i="5"/>
  <c r="K770" i="5"/>
  <c r="G770" i="5" s="1"/>
  <c r="J769" i="5"/>
  <c r="I768" i="5"/>
  <c r="H767" i="5"/>
  <c r="E765" i="5"/>
  <c r="F765" i="5" s="1"/>
  <c r="I763" i="5"/>
  <c r="B760" i="5"/>
  <c r="L744" i="5"/>
  <c r="I741" i="5"/>
  <c r="B738" i="5"/>
  <c r="K734" i="5"/>
  <c r="G734" i="5" s="1"/>
  <c r="N723" i="5"/>
  <c r="B712" i="5"/>
  <c r="E700" i="5"/>
  <c r="F700" i="5" s="1"/>
  <c r="K696" i="5"/>
  <c r="G696" i="5" s="1"/>
  <c r="J692" i="5"/>
  <c r="N672" i="5"/>
  <c r="B669" i="5"/>
  <c r="I643" i="5"/>
  <c r="H637" i="5"/>
  <c r="K632" i="5"/>
  <c r="G632" i="5" s="1"/>
  <c r="J627" i="5"/>
  <c r="H581" i="5"/>
  <c r="H474" i="5"/>
  <c r="N761" i="5"/>
  <c r="K756" i="5"/>
  <c r="G756" i="5" s="1"/>
  <c r="H753" i="5"/>
  <c r="I751" i="5"/>
  <c r="B748" i="5"/>
  <c r="L732" i="5"/>
  <c r="L730" i="5"/>
  <c r="I727" i="5"/>
  <c r="M707" i="5"/>
  <c r="B677" i="5"/>
  <c r="E648" i="5"/>
  <c r="F648" i="5" s="1"/>
  <c r="I627" i="5"/>
  <c r="K616" i="5"/>
  <c r="G616" i="5" s="1"/>
  <c r="B594" i="5"/>
  <c r="H565" i="5"/>
  <c r="E551" i="5"/>
  <c r="F551" i="5" s="1"/>
  <c r="M773" i="5"/>
  <c r="L772" i="5"/>
  <c r="K771" i="5"/>
  <c r="G771" i="5" s="1"/>
  <c r="J770" i="5"/>
  <c r="I769" i="5"/>
  <c r="H768" i="5"/>
  <c r="E766" i="5"/>
  <c r="F766" i="5" s="1"/>
  <c r="H763" i="5"/>
  <c r="N749" i="5"/>
  <c r="K744" i="5"/>
  <c r="G744" i="5" s="1"/>
  <c r="H741" i="5"/>
  <c r="I739" i="5"/>
  <c r="B736" i="5"/>
  <c r="N711" i="5"/>
  <c r="B700" i="5"/>
  <c r="E688" i="5"/>
  <c r="F688" i="5" s="1"/>
  <c r="K684" i="5"/>
  <c r="G684" i="5" s="1"/>
  <c r="J680" i="5"/>
  <c r="N668" i="5"/>
  <c r="E663" i="5"/>
  <c r="F663" i="5" s="1"/>
  <c r="B658" i="5"/>
  <c r="H642" i="5"/>
  <c r="J621" i="5"/>
  <c r="I606" i="5"/>
  <c r="N593" i="5"/>
  <c r="H533" i="5"/>
  <c r="B765" i="5"/>
  <c r="J761" i="5"/>
  <c r="N759" i="5"/>
  <c r="B758" i="5"/>
  <c r="J756" i="5"/>
  <c r="L754" i="5"/>
  <c r="H751" i="5"/>
  <c r="N737" i="5"/>
  <c r="K732" i="5"/>
  <c r="G732" i="5" s="1"/>
  <c r="K730" i="5"/>
  <c r="G730" i="5" s="1"/>
  <c r="B723" i="5"/>
  <c r="J719" i="5"/>
  <c r="I715" i="5"/>
  <c r="M695" i="5"/>
  <c r="E653" i="5"/>
  <c r="F653" i="5" s="1"/>
  <c r="E637" i="5"/>
  <c r="F637" i="5" s="1"/>
  <c r="E632" i="5"/>
  <c r="F632" i="5" s="1"/>
  <c r="J616" i="5"/>
  <c r="M550" i="5"/>
  <c r="M774" i="5"/>
  <c r="L773" i="5"/>
  <c r="K772" i="5"/>
  <c r="G772" i="5" s="1"/>
  <c r="J771" i="5"/>
  <c r="I770" i="5"/>
  <c r="H769" i="5"/>
  <c r="E767" i="5"/>
  <c r="F767" i="5" s="1"/>
  <c r="N764" i="5"/>
  <c r="J749" i="5"/>
  <c r="N747" i="5"/>
  <c r="B746" i="5"/>
  <c r="J744" i="5"/>
  <c r="L742" i="5"/>
  <c r="H739" i="5"/>
  <c r="N699" i="5"/>
  <c r="B688" i="5"/>
  <c r="E676" i="5"/>
  <c r="F676" i="5" s="1"/>
  <c r="K672" i="5"/>
  <c r="G672" i="5" s="1"/>
  <c r="N657" i="5"/>
  <c r="I616" i="5"/>
  <c r="J550" i="5"/>
  <c r="B533" i="5"/>
  <c r="B766" i="5"/>
  <c r="M764" i="5"/>
  <c r="M759" i="5"/>
  <c r="I756" i="5"/>
  <c r="K754" i="5"/>
  <c r="G754" i="5" s="1"/>
  <c r="E753" i="5"/>
  <c r="F753" i="5" s="1"/>
  <c r="J737" i="5"/>
  <c r="N735" i="5"/>
  <c r="B734" i="5"/>
  <c r="J732" i="5"/>
  <c r="J730" i="5"/>
  <c r="E727" i="5"/>
  <c r="F727" i="5" s="1"/>
  <c r="B711" i="5"/>
  <c r="J707" i="5"/>
  <c r="I703" i="5"/>
  <c r="M683" i="5"/>
  <c r="L667" i="5"/>
  <c r="M657" i="5"/>
  <c r="H616" i="5"/>
  <c r="L577" i="5"/>
  <c r="E491" i="5"/>
  <c r="F491" i="5" s="1"/>
  <c r="E840" i="5"/>
  <c r="F840" i="5" s="1"/>
  <c r="N836" i="5"/>
  <c r="M835" i="5"/>
  <c r="L834" i="5"/>
  <c r="K833" i="5"/>
  <c r="G833" i="5" s="1"/>
  <c r="J832" i="5"/>
  <c r="I831" i="5"/>
  <c r="H830" i="5"/>
  <c r="E828" i="5"/>
  <c r="F828" i="5" s="1"/>
  <c r="N824" i="5"/>
  <c r="M823" i="5"/>
  <c r="L822" i="5"/>
  <c r="K821" i="5"/>
  <c r="G821" i="5" s="1"/>
  <c r="J820" i="5"/>
  <c r="I819" i="5"/>
  <c r="H818" i="5"/>
  <c r="E816" i="5"/>
  <c r="F816" i="5" s="1"/>
  <c r="N812" i="5"/>
  <c r="M811" i="5"/>
  <c r="L810" i="5"/>
  <c r="K809" i="5"/>
  <c r="G809" i="5" s="1"/>
  <c r="J808" i="5"/>
  <c r="I807" i="5"/>
  <c r="H806" i="5"/>
  <c r="E804" i="5"/>
  <c r="F804" i="5" s="1"/>
  <c r="N800" i="5"/>
  <c r="M799" i="5"/>
  <c r="L798" i="5"/>
  <c r="K797" i="5"/>
  <c r="G797" i="5" s="1"/>
  <c r="J796" i="5"/>
  <c r="I795" i="5"/>
  <c r="H794" i="5"/>
  <c r="E792" i="5"/>
  <c r="F792" i="5" s="1"/>
  <c r="N788" i="5"/>
  <c r="M787" i="5"/>
  <c r="L786" i="5"/>
  <c r="K785" i="5"/>
  <c r="G785" i="5" s="1"/>
  <c r="J784" i="5"/>
  <c r="I783" i="5"/>
  <c r="H782" i="5"/>
  <c r="E780" i="5"/>
  <c r="F780" i="5" s="1"/>
  <c r="N776" i="5"/>
  <c r="M775" i="5"/>
  <c r="L774" i="5"/>
  <c r="K773" i="5"/>
  <c r="G773" i="5" s="1"/>
  <c r="J772" i="5"/>
  <c r="I771" i="5"/>
  <c r="H770" i="5"/>
  <c r="E768" i="5"/>
  <c r="F768" i="5" s="1"/>
  <c r="E763" i="5"/>
  <c r="F763" i="5" s="1"/>
  <c r="N757" i="5"/>
  <c r="M747" i="5"/>
  <c r="I744" i="5"/>
  <c r="K742" i="5"/>
  <c r="G742" i="5" s="1"/>
  <c r="E741" i="5"/>
  <c r="F741" i="5" s="1"/>
  <c r="M722" i="5"/>
  <c r="L718" i="5"/>
  <c r="N687" i="5"/>
  <c r="B676" i="5"/>
  <c r="N646" i="5"/>
  <c r="B637" i="5"/>
  <c r="B631" i="5"/>
  <c r="E626" i="5"/>
  <c r="F626" i="5" s="1"/>
  <c r="B621" i="5"/>
  <c r="K577" i="5"/>
  <c r="G577" i="5" s="1"/>
  <c r="B839" i="5"/>
  <c r="B827" i="5"/>
  <c r="B815" i="5"/>
  <c r="B803" i="5"/>
  <c r="B791" i="5"/>
  <c r="B779" i="5"/>
  <c r="B767" i="5"/>
  <c r="L764" i="5"/>
  <c r="L759" i="5"/>
  <c r="J754" i="5"/>
  <c r="M752" i="5"/>
  <c r="E751" i="5"/>
  <c r="F751" i="5" s="1"/>
  <c r="N745" i="5"/>
  <c r="M735" i="5"/>
  <c r="I732" i="5"/>
  <c r="I730" i="5"/>
  <c r="E715" i="5"/>
  <c r="F715" i="5" s="1"/>
  <c r="B699" i="5"/>
  <c r="J695" i="5"/>
  <c r="I691" i="5"/>
  <c r="M671" i="5"/>
  <c r="M651" i="5"/>
  <c r="M646" i="5"/>
  <c r="I563" i="5"/>
  <c r="N837" i="5"/>
  <c r="M836" i="5"/>
  <c r="L835" i="5"/>
  <c r="K834" i="5"/>
  <c r="G834" i="5" s="1"/>
  <c r="J833" i="5"/>
  <c r="I832" i="5"/>
  <c r="H831" i="5"/>
  <c r="E829" i="5"/>
  <c r="F829" i="5" s="1"/>
  <c r="N825" i="5"/>
  <c r="M824" i="5"/>
  <c r="L823" i="5"/>
  <c r="K822" i="5"/>
  <c r="G822" i="5" s="1"/>
  <c r="J821" i="5"/>
  <c r="I820" i="5"/>
  <c r="H819" i="5"/>
  <c r="E817" i="5"/>
  <c r="F817" i="5" s="1"/>
  <c r="N813" i="5"/>
  <c r="M812" i="5"/>
  <c r="L811" i="5"/>
  <c r="K810" i="5"/>
  <c r="G810" i="5" s="1"/>
  <c r="J809" i="5"/>
  <c r="I808" i="5"/>
  <c r="H807" i="5"/>
  <c r="E805" i="5"/>
  <c r="F805" i="5" s="1"/>
  <c r="N801" i="5"/>
  <c r="M800" i="5"/>
  <c r="L799" i="5"/>
  <c r="K798" i="5"/>
  <c r="G798" i="5" s="1"/>
  <c r="J797" i="5"/>
  <c r="I796" i="5"/>
  <c r="H795" i="5"/>
  <c r="E793" i="5"/>
  <c r="F793" i="5" s="1"/>
  <c r="N789" i="5"/>
  <c r="M788" i="5"/>
  <c r="L787" i="5"/>
  <c r="K786" i="5"/>
  <c r="G786" i="5" s="1"/>
  <c r="J785" i="5"/>
  <c r="I784" i="5"/>
  <c r="H783" i="5"/>
  <c r="E781" i="5"/>
  <c r="F781" i="5" s="1"/>
  <c r="N777" i="5"/>
  <c r="M776" i="5"/>
  <c r="L775" i="5"/>
  <c r="K774" i="5"/>
  <c r="G774" i="5" s="1"/>
  <c r="J773" i="5"/>
  <c r="I772" i="5"/>
  <c r="H771" i="5"/>
  <c r="E769" i="5"/>
  <c r="F769" i="5" s="1"/>
  <c r="N765" i="5"/>
  <c r="E761" i="5"/>
  <c r="F761" i="5" s="1"/>
  <c r="M757" i="5"/>
  <c r="L747" i="5"/>
  <c r="J742" i="5"/>
  <c r="M740" i="5"/>
  <c r="E739" i="5"/>
  <c r="F739" i="5" s="1"/>
  <c r="N733" i="5"/>
  <c r="H726" i="5"/>
  <c r="B722" i="5"/>
  <c r="M710" i="5"/>
  <c r="L706" i="5"/>
  <c r="N675" i="5"/>
  <c r="L646" i="5"/>
  <c r="L641" i="5"/>
  <c r="N635" i="5"/>
  <c r="M630" i="5"/>
  <c r="N620" i="5"/>
  <c r="E615" i="5"/>
  <c r="F615" i="5" s="1"/>
  <c r="H576" i="5"/>
  <c r="B840" i="5"/>
  <c r="B828" i="5"/>
  <c r="B816" i="5"/>
  <c r="B804" i="5"/>
  <c r="B792" i="5"/>
  <c r="B780" i="5"/>
  <c r="B768" i="5"/>
  <c r="J764" i="5"/>
  <c r="B763" i="5"/>
  <c r="H759" i="5"/>
  <c r="B756" i="5"/>
  <c r="I754" i="5"/>
  <c r="E749" i="5"/>
  <c r="F749" i="5" s="1"/>
  <c r="M745" i="5"/>
  <c r="L735" i="5"/>
  <c r="E703" i="5"/>
  <c r="F703" i="5" s="1"/>
  <c r="B687" i="5"/>
  <c r="J683" i="5"/>
  <c r="I679" i="5"/>
  <c r="I667" i="5"/>
  <c r="H661" i="5"/>
  <c r="K656" i="5"/>
  <c r="G656" i="5" s="1"/>
  <c r="J651" i="5"/>
  <c r="L630" i="5"/>
  <c r="N838" i="5"/>
  <c r="M837" i="5"/>
  <c r="L836" i="5"/>
  <c r="K835" i="5"/>
  <c r="G835" i="5" s="1"/>
  <c r="J834" i="5"/>
  <c r="I833" i="5"/>
  <c r="H832" i="5"/>
  <c r="E830" i="5"/>
  <c r="F830" i="5" s="1"/>
  <c r="N826" i="5"/>
  <c r="M825" i="5"/>
  <c r="L824" i="5"/>
  <c r="K823" i="5"/>
  <c r="G823" i="5" s="1"/>
  <c r="J822" i="5"/>
  <c r="I821" i="5"/>
  <c r="H820" i="5"/>
  <c r="E818" i="5"/>
  <c r="F818" i="5" s="1"/>
  <c r="N814" i="5"/>
  <c r="M813" i="5"/>
  <c r="L812" i="5"/>
  <c r="K811" i="5"/>
  <c r="G811" i="5" s="1"/>
  <c r="J810" i="5"/>
  <c r="I809" i="5"/>
  <c r="H808" i="5"/>
  <c r="E806" i="5"/>
  <c r="F806" i="5" s="1"/>
  <c r="N802" i="5"/>
  <c r="M801" i="5"/>
  <c r="L800" i="5"/>
  <c r="K799" i="5"/>
  <c r="G799" i="5" s="1"/>
  <c r="J798" i="5"/>
  <c r="I797" i="5"/>
  <c r="H796" i="5"/>
  <c r="E794" i="5"/>
  <c r="F794" i="5" s="1"/>
  <c r="N790" i="5"/>
  <c r="M789" i="5"/>
  <c r="L788" i="5"/>
  <c r="K787" i="5"/>
  <c r="G787" i="5" s="1"/>
  <c r="J786" i="5"/>
  <c r="I785" i="5"/>
  <c r="H784" i="5"/>
  <c r="E782" i="5"/>
  <c r="F782" i="5" s="1"/>
  <c r="N778" i="5"/>
  <c r="M777" i="5"/>
  <c r="L776" i="5"/>
  <c r="K775" i="5"/>
  <c r="G775" i="5" s="1"/>
  <c r="J774" i="5"/>
  <c r="I773" i="5"/>
  <c r="H772" i="5"/>
  <c r="E770" i="5"/>
  <c r="F770" i="5" s="1"/>
  <c r="N766" i="5"/>
  <c r="M765" i="5"/>
  <c r="L757" i="5"/>
  <c r="J752" i="5"/>
  <c r="B751" i="5"/>
  <c r="H747" i="5"/>
  <c r="B744" i="5"/>
  <c r="I742" i="5"/>
  <c r="E737" i="5"/>
  <c r="F737" i="5" s="1"/>
  <c r="M733" i="5"/>
  <c r="I718" i="5"/>
  <c r="H714" i="5"/>
  <c r="B710" i="5"/>
  <c r="M698" i="5"/>
  <c r="L694" i="5"/>
  <c r="I651" i="5"/>
  <c r="K640" i="5"/>
  <c r="G640" i="5" s="1"/>
  <c r="M635" i="5"/>
  <c r="K630" i="5"/>
  <c r="G630" i="5" s="1"/>
  <c r="L588" i="5"/>
  <c r="N507" i="5"/>
  <c r="B829" i="5"/>
  <c r="B817" i="5"/>
  <c r="B805" i="5"/>
  <c r="B793" i="5"/>
  <c r="B781" i="5"/>
  <c r="B769" i="5"/>
  <c r="I764" i="5"/>
  <c r="B761" i="5"/>
  <c r="M755" i="5"/>
  <c r="H754" i="5"/>
  <c r="L745" i="5"/>
  <c r="J740" i="5"/>
  <c r="B739" i="5"/>
  <c r="H735" i="5"/>
  <c r="B732" i="5"/>
  <c r="K729" i="5"/>
  <c r="G729" i="5" s="1"/>
  <c r="E691" i="5"/>
  <c r="F691" i="5" s="1"/>
  <c r="B675" i="5"/>
  <c r="J671" i="5"/>
  <c r="H666" i="5"/>
  <c r="J645" i="5"/>
  <c r="L635" i="5"/>
  <c r="L619" i="5"/>
  <c r="I601" i="5"/>
  <c r="K588" i="5"/>
  <c r="G588" i="5" s="1"/>
  <c r="I774" i="5"/>
  <c r="H773" i="5"/>
  <c r="E771" i="5"/>
  <c r="F771" i="5" s="1"/>
  <c r="N767" i="5"/>
  <c r="M766" i="5"/>
  <c r="L765" i="5"/>
  <c r="K762" i="5"/>
  <c r="G762" i="5" s="1"/>
  <c r="K757" i="5"/>
  <c r="G757" i="5" s="1"/>
  <c r="I752" i="5"/>
  <c r="B749" i="5"/>
  <c r="M743" i="5"/>
  <c r="H742" i="5"/>
  <c r="L733" i="5"/>
  <c r="I706" i="5"/>
  <c r="H702" i="5"/>
  <c r="B698" i="5"/>
  <c r="M686" i="5"/>
  <c r="L682" i="5"/>
  <c r="E661" i="5"/>
  <c r="F661" i="5" s="1"/>
  <c r="E656" i="5"/>
  <c r="F656" i="5" s="1"/>
  <c r="J640" i="5"/>
  <c r="M624" i="5"/>
  <c r="B614" i="5"/>
  <c r="H601" i="5"/>
  <c r="B770" i="5"/>
  <c r="H764" i="5"/>
  <c r="B759" i="5"/>
  <c r="L755" i="5"/>
  <c r="K750" i="5"/>
  <c r="G750" i="5" s="1"/>
  <c r="K745" i="5"/>
  <c r="G745" i="5" s="1"/>
  <c r="I740" i="5"/>
  <c r="B737" i="5"/>
  <c r="M731" i="5"/>
  <c r="L721" i="5"/>
  <c r="K717" i="5"/>
  <c r="G717" i="5" s="1"/>
  <c r="E679" i="5"/>
  <c r="F679" i="5" s="1"/>
  <c r="I640" i="5"/>
  <c r="J624" i="5"/>
  <c r="M613" i="5"/>
  <c r="M839" i="5"/>
  <c r="L838" i="5"/>
  <c r="K837" i="5"/>
  <c r="G837" i="5" s="1"/>
  <c r="J836" i="5"/>
  <c r="I835" i="5"/>
  <c r="H834" i="5"/>
  <c r="E832" i="5"/>
  <c r="F832" i="5" s="1"/>
  <c r="N828" i="5"/>
  <c r="M827" i="5"/>
  <c r="L826" i="5"/>
  <c r="K825" i="5"/>
  <c r="G825" i="5" s="1"/>
  <c r="J824" i="5"/>
  <c r="I823" i="5"/>
  <c r="H822" i="5"/>
  <c r="E820" i="5"/>
  <c r="F820" i="5" s="1"/>
  <c r="N816" i="5"/>
  <c r="M815" i="5"/>
  <c r="L814" i="5"/>
  <c r="K813" i="5"/>
  <c r="G813" i="5" s="1"/>
  <c r="J812" i="5"/>
  <c r="I811" i="5"/>
  <c r="H810" i="5"/>
  <c r="E808" i="5"/>
  <c r="F808" i="5" s="1"/>
  <c r="N804" i="5"/>
  <c r="M803" i="5"/>
  <c r="L802" i="5"/>
  <c r="K801" i="5"/>
  <c r="G801" i="5" s="1"/>
  <c r="J800" i="5"/>
  <c r="I799" i="5"/>
  <c r="H798" i="5"/>
  <c r="E796" i="5"/>
  <c r="F796" i="5" s="1"/>
  <c r="N792" i="5"/>
  <c r="M791" i="5"/>
  <c r="L790" i="5"/>
  <c r="K789" i="5"/>
  <c r="G789" i="5" s="1"/>
  <c r="J788" i="5"/>
  <c r="I787" i="5"/>
  <c r="H786" i="5"/>
  <c r="E784" i="5"/>
  <c r="F784" i="5" s="1"/>
  <c r="N780" i="5"/>
  <c r="M779" i="5"/>
  <c r="L778" i="5"/>
  <c r="K777" i="5"/>
  <c r="G777" i="5" s="1"/>
  <c r="J776" i="5"/>
  <c r="I775" i="5"/>
  <c r="H774" i="5"/>
  <c r="E772" i="5"/>
  <c r="F772" i="5" s="1"/>
  <c r="N768" i="5"/>
  <c r="M767" i="5"/>
  <c r="L766" i="5"/>
  <c r="K765" i="5"/>
  <c r="G765" i="5" s="1"/>
  <c r="N760" i="5"/>
  <c r="J757" i="5"/>
  <c r="H752" i="5"/>
  <c r="B747" i="5"/>
  <c r="L743" i="5"/>
  <c r="K738" i="5"/>
  <c r="G738" i="5" s="1"/>
  <c r="K733" i="5"/>
  <c r="G733" i="5" s="1"/>
  <c r="I694" i="5"/>
  <c r="H690" i="5"/>
  <c r="B686" i="5"/>
  <c r="M674" i="5"/>
  <c r="L670" i="5"/>
  <c r="H640" i="5"/>
  <c r="I629" i="5"/>
  <c r="B558" i="5"/>
  <c r="B831" i="5"/>
  <c r="B819" i="5"/>
  <c r="B807" i="5"/>
  <c r="B795" i="5"/>
  <c r="B783" i="5"/>
  <c r="B771" i="5"/>
  <c r="H762" i="5"/>
  <c r="K755" i="5"/>
  <c r="G755" i="5" s="1"/>
  <c r="N748" i="5"/>
  <c r="J745" i="5"/>
  <c r="H740" i="5"/>
  <c r="B735" i="5"/>
  <c r="L731" i="5"/>
  <c r="H729" i="5"/>
  <c r="L709" i="5"/>
  <c r="K705" i="5"/>
  <c r="G705" i="5" s="1"/>
  <c r="B661" i="5"/>
  <c r="B655" i="5"/>
  <c r="E650" i="5"/>
  <c r="F650" i="5" s="1"/>
  <c r="B645" i="5"/>
  <c r="I619" i="5"/>
  <c r="N599" i="5"/>
  <c r="E503" i="5"/>
  <c r="F503" i="5" s="1"/>
  <c r="L839" i="5"/>
  <c r="K838" i="5"/>
  <c r="G838" i="5" s="1"/>
  <c r="J837" i="5"/>
  <c r="I836" i="5"/>
  <c r="H835" i="5"/>
  <c r="E833" i="5"/>
  <c r="F833" i="5" s="1"/>
  <c r="N829" i="5"/>
  <c r="M828" i="5"/>
  <c r="L827" i="5"/>
  <c r="K826" i="5"/>
  <c r="G826" i="5" s="1"/>
  <c r="J825" i="5"/>
  <c r="I824" i="5"/>
  <c r="H823" i="5"/>
  <c r="E821" i="5"/>
  <c r="F821" i="5" s="1"/>
  <c r="N817" i="5"/>
  <c r="M816" i="5"/>
  <c r="L815" i="5"/>
  <c r="K814" i="5"/>
  <c r="G814" i="5" s="1"/>
  <c r="J813" i="5"/>
  <c r="I812" i="5"/>
  <c r="H811" i="5"/>
  <c r="E809" i="5"/>
  <c r="F809" i="5" s="1"/>
  <c r="N805" i="5"/>
  <c r="M804" i="5"/>
  <c r="L803" i="5"/>
  <c r="K802" i="5"/>
  <c r="G802" i="5" s="1"/>
  <c r="J801" i="5"/>
  <c r="I800" i="5"/>
  <c r="H799" i="5"/>
  <c r="E797" i="5"/>
  <c r="F797" i="5" s="1"/>
  <c r="N793" i="5"/>
  <c r="M792" i="5"/>
  <c r="L791" i="5"/>
  <c r="K790" i="5"/>
  <c r="G790" i="5" s="1"/>
  <c r="J789" i="5"/>
  <c r="I788" i="5"/>
  <c r="H787" i="5"/>
  <c r="E785" i="5"/>
  <c r="F785" i="5" s="1"/>
  <c r="N781" i="5"/>
  <c r="M780" i="5"/>
  <c r="L779" i="5"/>
  <c r="K778" i="5"/>
  <c r="G778" i="5" s="1"/>
  <c r="J777" i="5"/>
  <c r="I776" i="5"/>
  <c r="H775" i="5"/>
  <c r="E773" i="5"/>
  <c r="F773" i="5" s="1"/>
  <c r="N769" i="5"/>
  <c r="M768" i="5"/>
  <c r="L767" i="5"/>
  <c r="K766" i="5"/>
  <c r="G766" i="5" s="1"/>
  <c r="J765" i="5"/>
  <c r="M760" i="5"/>
  <c r="N758" i="5"/>
  <c r="E757" i="5"/>
  <c r="F757" i="5" s="1"/>
  <c r="N753" i="5"/>
  <c r="H750" i="5"/>
  <c r="K743" i="5"/>
  <c r="G743" i="5" s="1"/>
  <c r="N736" i="5"/>
  <c r="J733" i="5"/>
  <c r="N720" i="5"/>
  <c r="I682" i="5"/>
  <c r="H678" i="5"/>
  <c r="B674" i="5"/>
  <c r="E624" i="5"/>
  <c r="F624" i="5" s="1"/>
  <c r="K599" i="5"/>
  <c r="G599" i="5" s="1"/>
  <c r="N557" i="5"/>
  <c r="K541" i="5"/>
  <c r="G541" i="5" s="1"/>
  <c r="J729" i="5"/>
  <c r="I728" i="5"/>
  <c r="H727" i="5"/>
  <c r="E725" i="5"/>
  <c r="F725" i="5" s="1"/>
  <c r="N721" i="5"/>
  <c r="M720" i="5"/>
  <c r="L719" i="5"/>
  <c r="K718" i="5"/>
  <c r="G718" i="5" s="1"/>
  <c r="J717" i="5"/>
  <c r="I716" i="5"/>
  <c r="H715" i="5"/>
  <c r="E713" i="5"/>
  <c r="F713" i="5" s="1"/>
  <c r="N709" i="5"/>
  <c r="M708" i="5"/>
  <c r="L707" i="5"/>
  <c r="K706" i="5"/>
  <c r="G706" i="5" s="1"/>
  <c r="J705" i="5"/>
  <c r="I704" i="5"/>
  <c r="H703" i="5"/>
  <c r="E701" i="5"/>
  <c r="F701" i="5" s="1"/>
  <c r="N697" i="5"/>
  <c r="M696" i="5"/>
  <c r="L695" i="5"/>
  <c r="K694" i="5"/>
  <c r="G694" i="5" s="1"/>
  <c r="J693" i="5"/>
  <c r="I692" i="5"/>
  <c r="H691" i="5"/>
  <c r="E689" i="5"/>
  <c r="F689" i="5" s="1"/>
  <c r="N685" i="5"/>
  <c r="M684" i="5"/>
  <c r="L683" i="5"/>
  <c r="K682" i="5"/>
  <c r="G682" i="5" s="1"/>
  <c r="J681" i="5"/>
  <c r="I680" i="5"/>
  <c r="H679" i="5"/>
  <c r="E677" i="5"/>
  <c r="F677" i="5" s="1"/>
  <c r="N673" i="5"/>
  <c r="M672" i="5"/>
  <c r="L671" i="5"/>
  <c r="K670" i="5"/>
  <c r="G670" i="5" s="1"/>
  <c r="K667" i="5"/>
  <c r="G667" i="5" s="1"/>
  <c r="B663" i="5"/>
  <c r="J656" i="5"/>
  <c r="H653" i="5"/>
  <c r="K643" i="5"/>
  <c r="G643" i="5" s="1"/>
  <c r="B639" i="5"/>
  <c r="J632" i="5"/>
  <c r="H629" i="5"/>
  <c r="K619" i="5"/>
  <c r="G619" i="5" s="1"/>
  <c r="H614" i="5"/>
  <c r="H610" i="5"/>
  <c r="I729" i="5"/>
  <c r="H728" i="5"/>
  <c r="E726" i="5"/>
  <c r="F726" i="5" s="1"/>
  <c r="N722" i="5"/>
  <c r="M721" i="5"/>
  <c r="L720" i="5"/>
  <c r="K719" i="5"/>
  <c r="G719" i="5" s="1"/>
  <c r="J718" i="5"/>
  <c r="I717" i="5"/>
  <c r="H716" i="5"/>
  <c r="E714" i="5"/>
  <c r="F714" i="5" s="1"/>
  <c r="N710" i="5"/>
  <c r="M709" i="5"/>
  <c r="L708" i="5"/>
  <c r="K707" i="5"/>
  <c r="G707" i="5" s="1"/>
  <c r="J706" i="5"/>
  <c r="I705" i="5"/>
  <c r="H704" i="5"/>
  <c r="E702" i="5"/>
  <c r="F702" i="5" s="1"/>
  <c r="N698" i="5"/>
  <c r="M697" i="5"/>
  <c r="L696" i="5"/>
  <c r="K695" i="5"/>
  <c r="G695" i="5" s="1"/>
  <c r="J694" i="5"/>
  <c r="I693" i="5"/>
  <c r="H692" i="5"/>
  <c r="E690" i="5"/>
  <c r="F690" i="5" s="1"/>
  <c r="N686" i="5"/>
  <c r="M685" i="5"/>
  <c r="L684" i="5"/>
  <c r="K683" i="5"/>
  <c r="G683" i="5" s="1"/>
  <c r="J682" i="5"/>
  <c r="I681" i="5"/>
  <c r="H680" i="5"/>
  <c r="E678" i="5"/>
  <c r="F678" i="5" s="1"/>
  <c r="N674" i="5"/>
  <c r="M673" i="5"/>
  <c r="L672" i="5"/>
  <c r="K671" i="5"/>
  <c r="G671" i="5" s="1"/>
  <c r="J670" i="5"/>
  <c r="J667" i="5"/>
  <c r="L662" i="5"/>
  <c r="I659" i="5"/>
  <c r="I656" i="5"/>
  <c r="B650" i="5"/>
  <c r="J643" i="5"/>
  <c r="L638" i="5"/>
  <c r="I635" i="5"/>
  <c r="I632" i="5"/>
  <c r="B626" i="5"/>
  <c r="J619" i="5"/>
  <c r="B605" i="5"/>
  <c r="J588" i="5"/>
  <c r="L581" i="5"/>
  <c r="J563" i="5"/>
  <c r="K519" i="5"/>
  <c r="G519" i="5" s="1"/>
  <c r="B726" i="5"/>
  <c r="B714" i="5"/>
  <c r="B702" i="5"/>
  <c r="B690" i="5"/>
  <c r="B678" i="5"/>
  <c r="I662" i="5"/>
  <c r="E659" i="5"/>
  <c r="F659" i="5" s="1"/>
  <c r="L657" i="5"/>
  <c r="J654" i="5"/>
  <c r="H651" i="5"/>
  <c r="N649" i="5"/>
  <c r="K646" i="5"/>
  <c r="G646" i="5" s="1"/>
  <c r="I638" i="5"/>
  <c r="E635" i="5"/>
  <c r="F635" i="5" s="1"/>
  <c r="L633" i="5"/>
  <c r="J630" i="5"/>
  <c r="H627" i="5"/>
  <c r="N625" i="5"/>
  <c r="K622" i="5"/>
  <c r="G622" i="5" s="1"/>
  <c r="B609" i="5"/>
  <c r="N604" i="5"/>
  <c r="J599" i="5"/>
  <c r="E549" i="5"/>
  <c r="F549" i="5" s="1"/>
  <c r="J541" i="5"/>
  <c r="I731" i="5"/>
  <c r="H730" i="5"/>
  <c r="E728" i="5"/>
  <c r="F728" i="5" s="1"/>
  <c r="N724" i="5"/>
  <c r="M723" i="5"/>
  <c r="L722" i="5"/>
  <c r="K721" i="5"/>
  <c r="G721" i="5" s="1"/>
  <c r="J720" i="5"/>
  <c r="I719" i="5"/>
  <c r="H718" i="5"/>
  <c r="E716" i="5"/>
  <c r="F716" i="5" s="1"/>
  <c r="N712" i="5"/>
  <c r="M711" i="5"/>
  <c r="L710" i="5"/>
  <c r="K709" i="5"/>
  <c r="G709" i="5" s="1"/>
  <c r="J708" i="5"/>
  <c r="I707" i="5"/>
  <c r="H706" i="5"/>
  <c r="E704" i="5"/>
  <c r="F704" i="5" s="1"/>
  <c r="N700" i="5"/>
  <c r="M699" i="5"/>
  <c r="L698" i="5"/>
  <c r="K697" i="5"/>
  <c r="G697" i="5" s="1"/>
  <c r="J696" i="5"/>
  <c r="I695" i="5"/>
  <c r="H694" i="5"/>
  <c r="E692" i="5"/>
  <c r="F692" i="5" s="1"/>
  <c r="N688" i="5"/>
  <c r="M687" i="5"/>
  <c r="L686" i="5"/>
  <c r="K685" i="5"/>
  <c r="G685" i="5" s="1"/>
  <c r="J684" i="5"/>
  <c r="I683" i="5"/>
  <c r="H682" i="5"/>
  <c r="E680" i="5"/>
  <c r="F680" i="5" s="1"/>
  <c r="N676" i="5"/>
  <c r="M675" i="5"/>
  <c r="L674" i="5"/>
  <c r="K673" i="5"/>
  <c r="G673" i="5" s="1"/>
  <c r="J672" i="5"/>
  <c r="I671" i="5"/>
  <c r="H670" i="5"/>
  <c r="M668" i="5"/>
  <c r="H667" i="5"/>
  <c r="K665" i="5"/>
  <c r="G665" i="5" s="1"/>
  <c r="N655" i="5"/>
  <c r="N652" i="5"/>
  <c r="K649" i="5"/>
  <c r="G649" i="5" s="1"/>
  <c r="B648" i="5"/>
  <c r="H646" i="5"/>
  <c r="M644" i="5"/>
  <c r="H643" i="5"/>
  <c r="K641" i="5"/>
  <c r="G641" i="5" s="1"/>
  <c r="N631" i="5"/>
  <c r="N628" i="5"/>
  <c r="K625" i="5"/>
  <c r="G625" i="5" s="1"/>
  <c r="B624" i="5"/>
  <c r="H622" i="5"/>
  <c r="M620" i="5"/>
  <c r="H619" i="5"/>
  <c r="K617" i="5"/>
  <c r="G617" i="5" s="1"/>
  <c r="L613" i="5"/>
  <c r="I599" i="5"/>
  <c r="K592" i="5"/>
  <c r="G592" i="5" s="1"/>
  <c r="N575" i="5"/>
  <c r="B727" i="5"/>
  <c r="B715" i="5"/>
  <c r="B703" i="5"/>
  <c r="B691" i="5"/>
  <c r="B679" i="5"/>
  <c r="E664" i="5"/>
  <c r="F664" i="5" s="1"/>
  <c r="H662" i="5"/>
  <c r="N660" i="5"/>
  <c r="K657" i="5"/>
  <c r="G657" i="5" s="1"/>
  <c r="I654" i="5"/>
  <c r="E640" i="5"/>
  <c r="F640" i="5" s="1"/>
  <c r="H638" i="5"/>
  <c r="N636" i="5"/>
  <c r="K633" i="5"/>
  <c r="G633" i="5" s="1"/>
  <c r="I630" i="5"/>
  <c r="E616" i="5"/>
  <c r="F616" i="5" s="1"/>
  <c r="M604" i="5"/>
  <c r="E587" i="5"/>
  <c r="F587" i="5" s="1"/>
  <c r="N568" i="5"/>
  <c r="M502" i="5"/>
  <c r="E729" i="5"/>
  <c r="F729" i="5" s="1"/>
  <c r="N725" i="5"/>
  <c r="M724" i="5"/>
  <c r="L723" i="5"/>
  <c r="K722" i="5"/>
  <c r="G722" i="5" s="1"/>
  <c r="J721" i="5"/>
  <c r="I720" i="5"/>
  <c r="H719" i="5"/>
  <c r="E717" i="5"/>
  <c r="F717" i="5" s="1"/>
  <c r="N713" i="5"/>
  <c r="M712" i="5"/>
  <c r="L711" i="5"/>
  <c r="K710" i="5"/>
  <c r="G710" i="5" s="1"/>
  <c r="J709" i="5"/>
  <c r="I708" i="5"/>
  <c r="H707" i="5"/>
  <c r="E705" i="5"/>
  <c r="F705" i="5" s="1"/>
  <c r="N701" i="5"/>
  <c r="M700" i="5"/>
  <c r="L699" i="5"/>
  <c r="K698" i="5"/>
  <c r="G698" i="5" s="1"/>
  <c r="J697" i="5"/>
  <c r="I696" i="5"/>
  <c r="H695" i="5"/>
  <c r="E693" i="5"/>
  <c r="F693" i="5" s="1"/>
  <c r="N689" i="5"/>
  <c r="M688" i="5"/>
  <c r="L687" i="5"/>
  <c r="K686" i="5"/>
  <c r="G686" i="5" s="1"/>
  <c r="J685" i="5"/>
  <c r="I684" i="5"/>
  <c r="H683" i="5"/>
  <c r="E681" i="5"/>
  <c r="F681" i="5" s="1"/>
  <c r="N677" i="5"/>
  <c r="M676" i="5"/>
  <c r="L675" i="5"/>
  <c r="K674" i="5"/>
  <c r="G674" i="5" s="1"/>
  <c r="J673" i="5"/>
  <c r="I672" i="5"/>
  <c r="H671" i="5"/>
  <c r="L668" i="5"/>
  <c r="J665" i="5"/>
  <c r="B659" i="5"/>
  <c r="M655" i="5"/>
  <c r="L644" i="5"/>
  <c r="J641" i="5"/>
  <c r="B635" i="5"/>
  <c r="M631" i="5"/>
  <c r="L620" i="5"/>
  <c r="J617" i="5"/>
  <c r="K608" i="5"/>
  <c r="G608" i="5" s="1"/>
  <c r="E598" i="5"/>
  <c r="F598" i="5" s="1"/>
  <c r="I574" i="5"/>
  <c r="B562" i="5"/>
  <c r="B549" i="5"/>
  <c r="J528" i="5"/>
  <c r="J484" i="5"/>
  <c r="B728" i="5"/>
  <c r="B716" i="5"/>
  <c r="B704" i="5"/>
  <c r="B692" i="5"/>
  <c r="B680" i="5"/>
  <c r="B667" i="5"/>
  <c r="M660" i="5"/>
  <c r="J657" i="5"/>
  <c r="H654" i="5"/>
  <c r="K652" i="5"/>
  <c r="G652" i="5" s="1"/>
  <c r="E651" i="5"/>
  <c r="F651" i="5" s="1"/>
  <c r="H649" i="5"/>
  <c r="N647" i="5"/>
  <c r="B643" i="5"/>
  <c r="M636" i="5"/>
  <c r="J633" i="5"/>
  <c r="H630" i="5"/>
  <c r="K628" i="5"/>
  <c r="G628" i="5" s="1"/>
  <c r="E627" i="5"/>
  <c r="F627" i="5" s="1"/>
  <c r="H625" i="5"/>
  <c r="N623" i="5"/>
  <c r="B619" i="5"/>
  <c r="J612" i="5"/>
  <c r="M568" i="5"/>
  <c r="L561" i="5"/>
  <c r="N762" i="5"/>
  <c r="M761" i="5"/>
  <c r="L760" i="5"/>
  <c r="K759" i="5"/>
  <c r="G759" i="5" s="1"/>
  <c r="J758" i="5"/>
  <c r="I757" i="5"/>
  <c r="H756" i="5"/>
  <c r="E754" i="5"/>
  <c r="F754" i="5" s="1"/>
  <c r="N750" i="5"/>
  <c r="M749" i="5"/>
  <c r="L748" i="5"/>
  <c r="K747" i="5"/>
  <c r="G747" i="5" s="1"/>
  <c r="J746" i="5"/>
  <c r="I745" i="5"/>
  <c r="H744" i="5"/>
  <c r="E742" i="5"/>
  <c r="F742" i="5" s="1"/>
  <c r="N738" i="5"/>
  <c r="M737" i="5"/>
  <c r="L736" i="5"/>
  <c r="K735" i="5"/>
  <c r="G735" i="5" s="1"/>
  <c r="J734" i="5"/>
  <c r="I733" i="5"/>
  <c r="H732" i="5"/>
  <c r="E730" i="5"/>
  <c r="F730" i="5" s="1"/>
  <c r="N726" i="5"/>
  <c r="M725" i="5"/>
  <c r="L724" i="5"/>
  <c r="K723" i="5"/>
  <c r="G723" i="5" s="1"/>
  <c r="J722" i="5"/>
  <c r="I721" i="5"/>
  <c r="H720" i="5"/>
  <c r="E718" i="5"/>
  <c r="F718" i="5" s="1"/>
  <c r="N714" i="5"/>
  <c r="M713" i="5"/>
  <c r="L712" i="5"/>
  <c r="K711" i="5"/>
  <c r="G711" i="5" s="1"/>
  <c r="J710" i="5"/>
  <c r="I709" i="5"/>
  <c r="H708" i="5"/>
  <c r="E706" i="5"/>
  <c r="F706" i="5" s="1"/>
  <c r="N702" i="5"/>
  <c r="M701" i="5"/>
  <c r="L700" i="5"/>
  <c r="K699" i="5"/>
  <c r="G699" i="5" s="1"/>
  <c r="J698" i="5"/>
  <c r="I697" i="5"/>
  <c r="H696" i="5"/>
  <c r="E694" i="5"/>
  <c r="F694" i="5" s="1"/>
  <c r="N690" i="5"/>
  <c r="M689" i="5"/>
  <c r="L688" i="5"/>
  <c r="K687" i="5"/>
  <c r="G687" i="5" s="1"/>
  <c r="J686" i="5"/>
  <c r="I685" i="5"/>
  <c r="H684" i="5"/>
  <c r="E682" i="5"/>
  <c r="F682" i="5" s="1"/>
  <c r="N678" i="5"/>
  <c r="M677" i="5"/>
  <c r="L676" i="5"/>
  <c r="K675" i="5"/>
  <c r="G675" i="5" s="1"/>
  <c r="J674" i="5"/>
  <c r="I673" i="5"/>
  <c r="H672" i="5"/>
  <c r="B670" i="5"/>
  <c r="K668" i="5"/>
  <c r="G668" i="5" s="1"/>
  <c r="I665" i="5"/>
  <c r="M663" i="5"/>
  <c r="J660" i="5"/>
  <c r="L655" i="5"/>
  <c r="B646" i="5"/>
  <c r="K644" i="5"/>
  <c r="G644" i="5" s="1"/>
  <c r="I641" i="5"/>
  <c r="M639" i="5"/>
  <c r="J636" i="5"/>
  <c r="L631" i="5"/>
  <c r="B622" i="5"/>
  <c r="P622" i="5" s="1"/>
  <c r="K620" i="5"/>
  <c r="G620" i="5" s="1"/>
  <c r="I617" i="5"/>
  <c r="M615" i="5"/>
  <c r="H608" i="5"/>
  <c r="M579" i="5"/>
  <c r="H574" i="5"/>
  <c r="I528" i="5"/>
  <c r="J514" i="5"/>
  <c r="B753" i="5"/>
  <c r="B741" i="5"/>
  <c r="B729" i="5"/>
  <c r="B717" i="5"/>
  <c r="B705" i="5"/>
  <c r="B693" i="5"/>
  <c r="B681" i="5"/>
  <c r="M666" i="5"/>
  <c r="E662" i="5"/>
  <c r="F662" i="5" s="1"/>
  <c r="N658" i="5"/>
  <c r="J652" i="5"/>
  <c r="M647" i="5"/>
  <c r="M642" i="5"/>
  <c r="E638" i="5"/>
  <c r="F638" i="5" s="1"/>
  <c r="N634" i="5"/>
  <c r="J628" i="5"/>
  <c r="M623" i="5"/>
  <c r="M618" i="5"/>
  <c r="I612" i="5"/>
  <c r="J603" i="5"/>
  <c r="B598" i="5"/>
  <c r="I561" i="5"/>
  <c r="J554" i="5"/>
  <c r="J538" i="5"/>
  <c r="I514" i="5"/>
  <c r="N763" i="5"/>
  <c r="M762" i="5"/>
  <c r="L761" i="5"/>
  <c r="K760" i="5"/>
  <c r="G760" i="5" s="1"/>
  <c r="J759" i="5"/>
  <c r="I758" i="5"/>
  <c r="H757" i="5"/>
  <c r="E755" i="5"/>
  <c r="F755" i="5" s="1"/>
  <c r="N751" i="5"/>
  <c r="M750" i="5"/>
  <c r="L749" i="5"/>
  <c r="K748" i="5"/>
  <c r="G748" i="5" s="1"/>
  <c r="J747" i="5"/>
  <c r="I746" i="5"/>
  <c r="H745" i="5"/>
  <c r="E743" i="5"/>
  <c r="F743" i="5" s="1"/>
  <c r="N739" i="5"/>
  <c r="M738" i="5"/>
  <c r="L737" i="5"/>
  <c r="K736" i="5"/>
  <c r="G736" i="5" s="1"/>
  <c r="J735" i="5"/>
  <c r="I734" i="5"/>
  <c r="H733" i="5"/>
  <c r="E731" i="5"/>
  <c r="F731" i="5" s="1"/>
  <c r="N727" i="5"/>
  <c r="M726" i="5"/>
  <c r="L725" i="5"/>
  <c r="K724" i="5"/>
  <c r="G724" i="5" s="1"/>
  <c r="J723" i="5"/>
  <c r="I722" i="5"/>
  <c r="H721" i="5"/>
  <c r="E719" i="5"/>
  <c r="F719" i="5" s="1"/>
  <c r="N715" i="5"/>
  <c r="M714" i="5"/>
  <c r="L713" i="5"/>
  <c r="K712" i="5"/>
  <c r="G712" i="5" s="1"/>
  <c r="J711" i="5"/>
  <c r="I710" i="5"/>
  <c r="H709" i="5"/>
  <c r="E707" i="5"/>
  <c r="F707" i="5" s="1"/>
  <c r="N703" i="5"/>
  <c r="M702" i="5"/>
  <c r="L701" i="5"/>
  <c r="K700" i="5"/>
  <c r="G700" i="5" s="1"/>
  <c r="J699" i="5"/>
  <c r="I698" i="5"/>
  <c r="H697" i="5"/>
  <c r="E695" i="5"/>
  <c r="F695" i="5" s="1"/>
  <c r="N691" i="5"/>
  <c r="M690" i="5"/>
  <c r="L689" i="5"/>
  <c r="K688" i="5"/>
  <c r="G688" i="5" s="1"/>
  <c r="J687" i="5"/>
  <c r="I686" i="5"/>
  <c r="H685" i="5"/>
  <c r="E683" i="5"/>
  <c r="F683" i="5" s="1"/>
  <c r="N679" i="5"/>
  <c r="M678" i="5"/>
  <c r="L677" i="5"/>
  <c r="K676" i="5"/>
  <c r="G676" i="5" s="1"/>
  <c r="J675" i="5"/>
  <c r="I674" i="5"/>
  <c r="H673" i="5"/>
  <c r="E671" i="5"/>
  <c r="F671" i="5" s="1"/>
  <c r="J668" i="5"/>
  <c r="H665" i="5"/>
  <c r="K655" i="5"/>
  <c r="G655" i="5" s="1"/>
  <c r="B651" i="5"/>
  <c r="J644" i="5"/>
  <c r="H641" i="5"/>
  <c r="K631" i="5"/>
  <c r="G631" i="5" s="1"/>
  <c r="B627" i="5"/>
  <c r="J620" i="5"/>
  <c r="H617" i="5"/>
  <c r="L597" i="5"/>
  <c r="L579" i="5"/>
  <c r="E567" i="5"/>
  <c r="F567" i="5" s="1"/>
  <c r="B547" i="5"/>
  <c r="B754" i="5"/>
  <c r="B742" i="5"/>
  <c r="B730" i="5"/>
  <c r="B718" i="5"/>
  <c r="B706" i="5"/>
  <c r="B694" i="5"/>
  <c r="B682" i="5"/>
  <c r="N669" i="5"/>
  <c r="L666" i="5"/>
  <c r="J663" i="5"/>
  <c r="M658" i="5"/>
  <c r="B657" i="5"/>
  <c r="I652" i="5"/>
  <c r="E649" i="5"/>
  <c r="F649" i="5" s="1"/>
  <c r="L647" i="5"/>
  <c r="N645" i="5"/>
  <c r="L642" i="5"/>
  <c r="J639" i="5"/>
  <c r="M634" i="5"/>
  <c r="B633" i="5"/>
  <c r="P633" i="5" s="1"/>
  <c r="I628" i="5"/>
  <c r="E625" i="5"/>
  <c r="F625" i="5" s="1"/>
  <c r="L623" i="5"/>
  <c r="N621" i="5"/>
  <c r="L618" i="5"/>
  <c r="J615" i="5"/>
  <c r="H612" i="5"/>
  <c r="E603" i="5"/>
  <c r="F603" i="5" s="1"/>
  <c r="I597" i="5"/>
  <c r="L590" i="5"/>
  <c r="E574" i="5"/>
  <c r="F574" i="5" s="1"/>
  <c r="I554" i="5"/>
  <c r="I538" i="5"/>
  <c r="M763" i="5"/>
  <c r="L762" i="5"/>
  <c r="K761" i="5"/>
  <c r="G761" i="5" s="1"/>
  <c r="J760" i="5"/>
  <c r="I759" i="5"/>
  <c r="H758" i="5"/>
  <c r="E756" i="5"/>
  <c r="F756" i="5" s="1"/>
  <c r="N752" i="5"/>
  <c r="M751" i="5"/>
  <c r="L750" i="5"/>
  <c r="K749" i="5"/>
  <c r="G749" i="5" s="1"/>
  <c r="J748" i="5"/>
  <c r="I747" i="5"/>
  <c r="H746" i="5"/>
  <c r="E744" i="5"/>
  <c r="F744" i="5" s="1"/>
  <c r="N740" i="5"/>
  <c r="M739" i="5"/>
  <c r="L738" i="5"/>
  <c r="K737" i="5"/>
  <c r="G737" i="5" s="1"/>
  <c r="J736" i="5"/>
  <c r="I735" i="5"/>
  <c r="H734" i="5"/>
  <c r="E732" i="5"/>
  <c r="F732" i="5" s="1"/>
  <c r="N728" i="5"/>
  <c r="M727" i="5"/>
  <c r="L726" i="5"/>
  <c r="K725" i="5"/>
  <c r="G725" i="5" s="1"/>
  <c r="J724" i="5"/>
  <c r="I723" i="5"/>
  <c r="H722" i="5"/>
  <c r="E720" i="5"/>
  <c r="F720" i="5" s="1"/>
  <c r="N716" i="5"/>
  <c r="M715" i="5"/>
  <c r="L714" i="5"/>
  <c r="K713" i="5"/>
  <c r="G713" i="5" s="1"/>
  <c r="J712" i="5"/>
  <c r="I711" i="5"/>
  <c r="H710" i="5"/>
  <c r="E708" i="5"/>
  <c r="F708" i="5" s="1"/>
  <c r="N704" i="5"/>
  <c r="M703" i="5"/>
  <c r="L702" i="5"/>
  <c r="K701" i="5"/>
  <c r="G701" i="5" s="1"/>
  <c r="J700" i="5"/>
  <c r="I699" i="5"/>
  <c r="H698" i="5"/>
  <c r="E696" i="5"/>
  <c r="F696" i="5" s="1"/>
  <c r="N692" i="5"/>
  <c r="M691" i="5"/>
  <c r="L690" i="5"/>
  <c r="K689" i="5"/>
  <c r="G689" i="5" s="1"/>
  <c r="J688" i="5"/>
  <c r="I687" i="5"/>
  <c r="H686" i="5"/>
  <c r="E684" i="5"/>
  <c r="F684" i="5" s="1"/>
  <c r="N680" i="5"/>
  <c r="M679" i="5"/>
  <c r="L678" i="5"/>
  <c r="K677" i="5"/>
  <c r="G677" i="5" s="1"/>
  <c r="J676" i="5"/>
  <c r="I675" i="5"/>
  <c r="H674" i="5"/>
  <c r="E672" i="5"/>
  <c r="F672" i="5" s="1"/>
  <c r="I668" i="5"/>
  <c r="B662" i="5"/>
  <c r="J655" i="5"/>
  <c r="L650" i="5"/>
  <c r="I647" i="5"/>
  <c r="I644" i="5"/>
  <c r="B638" i="5"/>
  <c r="J631" i="5"/>
  <c r="L626" i="5"/>
  <c r="I623" i="5"/>
  <c r="I620" i="5"/>
  <c r="E585" i="5"/>
  <c r="F585" i="5" s="1"/>
  <c r="N566" i="5"/>
  <c r="L497" i="5"/>
  <c r="B755" i="5"/>
  <c r="B743" i="5"/>
  <c r="B731" i="5"/>
  <c r="B719" i="5"/>
  <c r="B707" i="5"/>
  <c r="B695" i="5"/>
  <c r="B683" i="5"/>
  <c r="B671" i="5"/>
  <c r="M669" i="5"/>
  <c r="E668" i="5"/>
  <c r="F668" i="5" s="1"/>
  <c r="K666" i="5"/>
  <c r="G666" i="5" s="1"/>
  <c r="I663" i="5"/>
  <c r="E660" i="5"/>
  <c r="F660" i="5" s="1"/>
  <c r="L658" i="5"/>
  <c r="H652" i="5"/>
  <c r="M645" i="5"/>
  <c r="E644" i="5"/>
  <c r="F644" i="5" s="1"/>
  <c r="K642" i="5"/>
  <c r="G642" i="5" s="1"/>
  <c r="I639" i="5"/>
  <c r="E636" i="5"/>
  <c r="F636" i="5" s="1"/>
  <c r="L634" i="5"/>
  <c r="H628" i="5"/>
  <c r="M621" i="5"/>
  <c r="E620" i="5"/>
  <c r="F620" i="5" s="1"/>
  <c r="K618" i="5"/>
  <c r="G618" i="5" s="1"/>
  <c r="I615" i="5"/>
  <c r="B607" i="5"/>
  <c r="E596" i="5"/>
  <c r="F596" i="5" s="1"/>
  <c r="K590" i="5"/>
  <c r="G590" i="5" s="1"/>
  <c r="B560" i="5"/>
  <c r="N546" i="5"/>
  <c r="N729" i="5"/>
  <c r="M728" i="5"/>
  <c r="L727" i="5"/>
  <c r="K726" i="5"/>
  <c r="G726" i="5" s="1"/>
  <c r="J725" i="5"/>
  <c r="I724" i="5"/>
  <c r="H723" i="5"/>
  <c r="E721" i="5"/>
  <c r="F721" i="5" s="1"/>
  <c r="N717" i="5"/>
  <c r="M716" i="5"/>
  <c r="L715" i="5"/>
  <c r="K714" i="5"/>
  <c r="G714" i="5" s="1"/>
  <c r="J713" i="5"/>
  <c r="I712" i="5"/>
  <c r="H711" i="5"/>
  <c r="E709" i="5"/>
  <c r="F709" i="5" s="1"/>
  <c r="N705" i="5"/>
  <c r="M704" i="5"/>
  <c r="L703" i="5"/>
  <c r="K702" i="5"/>
  <c r="G702" i="5" s="1"/>
  <c r="J701" i="5"/>
  <c r="I700" i="5"/>
  <c r="H699" i="5"/>
  <c r="E697" i="5"/>
  <c r="F697" i="5" s="1"/>
  <c r="N693" i="5"/>
  <c r="M692" i="5"/>
  <c r="L691" i="5"/>
  <c r="K690" i="5"/>
  <c r="G690" i="5" s="1"/>
  <c r="J689" i="5"/>
  <c r="I688" i="5"/>
  <c r="H687" i="5"/>
  <c r="E685" i="5"/>
  <c r="F685" i="5" s="1"/>
  <c r="N681" i="5"/>
  <c r="M680" i="5"/>
  <c r="L679" i="5"/>
  <c r="K678" i="5"/>
  <c r="G678" i="5" s="1"/>
  <c r="J677" i="5"/>
  <c r="I676" i="5"/>
  <c r="H675" i="5"/>
  <c r="E673" i="5"/>
  <c r="F673" i="5" s="1"/>
  <c r="E665" i="5"/>
  <c r="F665" i="5" s="1"/>
  <c r="N656" i="5"/>
  <c r="I655" i="5"/>
  <c r="L653" i="5"/>
  <c r="B649" i="5"/>
  <c r="E641" i="5"/>
  <c r="F641" i="5" s="1"/>
  <c r="N632" i="5"/>
  <c r="I631" i="5"/>
  <c r="L629" i="5"/>
  <c r="B625" i="5"/>
  <c r="E617" i="5"/>
  <c r="F617" i="5" s="1"/>
  <c r="B585" i="5"/>
  <c r="K572" i="5"/>
  <c r="G572" i="5" s="1"/>
  <c r="M566" i="5"/>
  <c r="K524" i="5"/>
  <c r="G524" i="5" s="1"/>
  <c r="B720" i="5"/>
  <c r="B708" i="5"/>
  <c r="B696" i="5"/>
  <c r="B684" i="5"/>
  <c r="B672" i="5"/>
  <c r="L669" i="5"/>
  <c r="J666" i="5"/>
  <c r="H663" i="5"/>
  <c r="N661" i="5"/>
  <c r="K658" i="5"/>
  <c r="G658" i="5" s="1"/>
  <c r="I650" i="5"/>
  <c r="E647" i="5"/>
  <c r="F647" i="5" s="1"/>
  <c r="L645" i="5"/>
  <c r="J642" i="5"/>
  <c r="H639" i="5"/>
  <c r="N637" i="5"/>
  <c r="K634" i="5"/>
  <c r="G634" i="5" s="1"/>
  <c r="I626" i="5"/>
  <c r="E623" i="5"/>
  <c r="F623" i="5" s="1"/>
  <c r="L621" i="5"/>
  <c r="J618" i="5"/>
  <c r="H615" i="5"/>
  <c r="K601" i="5"/>
  <c r="G601" i="5" s="1"/>
  <c r="J590" i="5"/>
  <c r="I458" i="5"/>
  <c r="K763" i="5"/>
  <c r="G763" i="5" s="1"/>
  <c r="J762" i="5"/>
  <c r="I761" i="5"/>
  <c r="H760" i="5"/>
  <c r="E758" i="5"/>
  <c r="F758" i="5" s="1"/>
  <c r="N754" i="5"/>
  <c r="M753" i="5"/>
  <c r="L752" i="5"/>
  <c r="K751" i="5"/>
  <c r="G751" i="5" s="1"/>
  <c r="J750" i="5"/>
  <c r="I749" i="5"/>
  <c r="H748" i="5"/>
  <c r="E746" i="5"/>
  <c r="F746" i="5" s="1"/>
  <c r="N742" i="5"/>
  <c r="M741" i="5"/>
  <c r="L740" i="5"/>
  <c r="K739" i="5"/>
  <c r="G739" i="5" s="1"/>
  <c r="J738" i="5"/>
  <c r="I737" i="5"/>
  <c r="H736" i="5"/>
  <c r="E734" i="5"/>
  <c r="F734" i="5" s="1"/>
  <c r="N730" i="5"/>
  <c r="M729" i="5"/>
  <c r="L728" i="5"/>
  <c r="K727" i="5"/>
  <c r="G727" i="5" s="1"/>
  <c r="J726" i="5"/>
  <c r="I725" i="5"/>
  <c r="H724" i="5"/>
  <c r="E722" i="5"/>
  <c r="F722" i="5" s="1"/>
  <c r="N718" i="5"/>
  <c r="M717" i="5"/>
  <c r="L716" i="5"/>
  <c r="K715" i="5"/>
  <c r="G715" i="5" s="1"/>
  <c r="J714" i="5"/>
  <c r="I713" i="5"/>
  <c r="H712" i="5"/>
  <c r="E710" i="5"/>
  <c r="F710" i="5" s="1"/>
  <c r="N706" i="5"/>
  <c r="M705" i="5"/>
  <c r="L704" i="5"/>
  <c r="K703" i="5"/>
  <c r="G703" i="5" s="1"/>
  <c r="J702" i="5"/>
  <c r="I701" i="5"/>
  <c r="H700" i="5"/>
  <c r="E698" i="5"/>
  <c r="F698" i="5" s="1"/>
  <c r="N694" i="5"/>
  <c r="M693" i="5"/>
  <c r="L692" i="5"/>
  <c r="K691" i="5"/>
  <c r="G691" i="5" s="1"/>
  <c r="J690" i="5"/>
  <c r="I689" i="5"/>
  <c r="H688" i="5"/>
  <c r="E686" i="5"/>
  <c r="F686" i="5" s="1"/>
  <c r="N682" i="5"/>
  <c r="M681" i="5"/>
  <c r="L680" i="5"/>
  <c r="K679" i="5"/>
  <c r="G679" i="5" s="1"/>
  <c r="J678" i="5"/>
  <c r="I677" i="5"/>
  <c r="H676" i="5"/>
  <c r="E674" i="5"/>
  <c r="F674" i="5" s="1"/>
  <c r="N670" i="5"/>
  <c r="N667" i="5"/>
  <c r="N664" i="5"/>
  <c r="K661" i="5"/>
  <c r="G661" i="5" s="1"/>
  <c r="B660" i="5"/>
  <c r="H658" i="5"/>
  <c r="M656" i="5"/>
  <c r="H655" i="5"/>
  <c r="K653" i="5"/>
  <c r="G653" i="5" s="1"/>
  <c r="N643" i="5"/>
  <c r="N640" i="5"/>
  <c r="K637" i="5"/>
  <c r="G637" i="5" s="1"/>
  <c r="B636" i="5"/>
  <c r="H634" i="5"/>
  <c r="M632" i="5"/>
  <c r="H631" i="5"/>
  <c r="K629" i="5"/>
  <c r="G629" i="5" s="1"/>
  <c r="N619" i="5"/>
  <c r="N616" i="5"/>
  <c r="N606" i="5"/>
  <c r="B596" i="5"/>
  <c r="I590" i="5"/>
  <c r="B578" i="5"/>
  <c r="H572" i="5"/>
  <c r="N559" i="5"/>
  <c r="K552" i="5"/>
  <c r="G552" i="5" s="1"/>
  <c r="B757" i="5"/>
  <c r="B745" i="5"/>
  <c r="B733" i="5"/>
  <c r="B721" i="5"/>
  <c r="B709" i="5"/>
  <c r="B697" i="5"/>
  <c r="B685" i="5"/>
  <c r="P685" i="5" s="1"/>
  <c r="B673" i="5"/>
  <c r="K669" i="5"/>
  <c r="G669" i="5" s="1"/>
  <c r="I666" i="5"/>
  <c r="E652" i="5"/>
  <c r="F652" i="5" s="1"/>
  <c r="H650" i="5"/>
  <c r="N648" i="5"/>
  <c r="K645" i="5"/>
  <c r="G645" i="5" s="1"/>
  <c r="I642" i="5"/>
  <c r="E628" i="5"/>
  <c r="F628" i="5" s="1"/>
  <c r="H626" i="5"/>
  <c r="N624" i="5"/>
  <c r="K621" i="5"/>
  <c r="G621" i="5" s="1"/>
  <c r="I618" i="5"/>
  <c r="J601" i="5"/>
  <c r="M577" i="5"/>
  <c r="I565" i="5"/>
  <c r="E536" i="5"/>
  <c r="F536" i="5" s="1"/>
  <c r="K764" i="5"/>
  <c r="G764" i="5" s="1"/>
  <c r="J763" i="5"/>
  <c r="I762" i="5"/>
  <c r="H761" i="5"/>
  <c r="E759" i="5"/>
  <c r="F759" i="5" s="1"/>
  <c r="N755" i="5"/>
  <c r="M754" i="5"/>
  <c r="L753" i="5"/>
  <c r="K752" i="5"/>
  <c r="G752" i="5" s="1"/>
  <c r="J751" i="5"/>
  <c r="I750" i="5"/>
  <c r="H749" i="5"/>
  <c r="E747" i="5"/>
  <c r="F747" i="5" s="1"/>
  <c r="N743" i="5"/>
  <c r="M742" i="5"/>
  <c r="L741" i="5"/>
  <c r="K740" i="5"/>
  <c r="G740" i="5" s="1"/>
  <c r="J739" i="5"/>
  <c r="I738" i="5"/>
  <c r="H737" i="5"/>
  <c r="E735" i="5"/>
  <c r="F735" i="5" s="1"/>
  <c r="N731" i="5"/>
  <c r="M730" i="5"/>
  <c r="L729" i="5"/>
  <c r="K728" i="5"/>
  <c r="G728" i="5" s="1"/>
  <c r="J727" i="5"/>
  <c r="I726" i="5"/>
  <c r="H725" i="5"/>
  <c r="E723" i="5"/>
  <c r="F723" i="5" s="1"/>
  <c r="N719" i="5"/>
  <c r="M718" i="5"/>
  <c r="L717" i="5"/>
  <c r="K716" i="5"/>
  <c r="G716" i="5" s="1"/>
  <c r="J715" i="5"/>
  <c r="I714" i="5"/>
  <c r="H713" i="5"/>
  <c r="E711" i="5"/>
  <c r="F711" i="5" s="1"/>
  <c r="N707" i="5"/>
  <c r="M706" i="5"/>
  <c r="L705" i="5"/>
  <c r="K704" i="5"/>
  <c r="G704" i="5" s="1"/>
  <c r="J703" i="5"/>
  <c r="I702" i="5"/>
  <c r="H701" i="5"/>
  <c r="E699" i="5"/>
  <c r="F699" i="5" s="1"/>
  <c r="N695" i="5"/>
  <c r="M694" i="5"/>
  <c r="L693" i="5"/>
  <c r="K692" i="5"/>
  <c r="G692" i="5" s="1"/>
  <c r="J691" i="5"/>
  <c r="I690" i="5"/>
  <c r="H689" i="5"/>
  <c r="E687" i="5"/>
  <c r="F687" i="5" s="1"/>
  <c r="N683" i="5"/>
  <c r="M682" i="5"/>
  <c r="L681" i="5"/>
  <c r="K680" i="5"/>
  <c r="G680" i="5" s="1"/>
  <c r="J679" i="5"/>
  <c r="I678" i="5"/>
  <c r="H677" i="5"/>
  <c r="E675" i="5"/>
  <c r="F675" i="5" s="1"/>
  <c r="N671" i="5"/>
  <c r="M670" i="5"/>
  <c r="M667" i="5"/>
  <c r="L656" i="5"/>
  <c r="J653" i="5"/>
  <c r="B647" i="5"/>
  <c r="M643" i="5"/>
  <c r="L632" i="5"/>
  <c r="J629" i="5"/>
  <c r="B623" i="5"/>
  <c r="M619" i="5"/>
  <c r="J610" i="5"/>
  <c r="M606" i="5"/>
  <c r="N595" i="5"/>
  <c r="J552" i="5"/>
  <c r="L544" i="5"/>
  <c r="E523" i="5"/>
  <c r="F523" i="5" s="1"/>
  <c r="N602" i="5"/>
  <c r="M586" i="5"/>
  <c r="K579" i="5"/>
  <c r="G579" i="5" s="1"/>
  <c r="L568" i="5"/>
  <c r="H563" i="5"/>
  <c r="H561" i="5"/>
  <c r="J559" i="5"/>
  <c r="M557" i="5"/>
  <c r="N555" i="5"/>
  <c r="I552" i="5"/>
  <c r="M546" i="5"/>
  <c r="L543" i="5"/>
  <c r="I541" i="5"/>
  <c r="H528" i="5"/>
  <c r="H518" i="5"/>
  <c r="E513" i="5"/>
  <c r="F513" i="5" s="1"/>
  <c r="H501" i="5"/>
  <c r="H489" i="5"/>
  <c r="H458" i="5"/>
  <c r="E572" i="5"/>
  <c r="F572" i="5" s="1"/>
  <c r="E570" i="5"/>
  <c r="F570" i="5" s="1"/>
  <c r="L566" i="5"/>
  <c r="I550" i="5"/>
  <c r="K548" i="5"/>
  <c r="G548" i="5" s="1"/>
  <c r="H538" i="5"/>
  <c r="M535" i="5"/>
  <c r="M507" i="5"/>
  <c r="K482" i="5"/>
  <c r="G482" i="5" s="1"/>
  <c r="M602" i="5"/>
  <c r="J586" i="5"/>
  <c r="B581" i="5"/>
  <c r="J579" i="5"/>
  <c r="K568" i="5"/>
  <c r="G568" i="5" s="1"/>
  <c r="L557" i="5"/>
  <c r="M555" i="5"/>
  <c r="B554" i="5"/>
  <c r="H552" i="5"/>
  <c r="L546" i="5"/>
  <c r="K543" i="5"/>
  <c r="G543" i="5" s="1"/>
  <c r="E535" i="5"/>
  <c r="F535" i="5" s="1"/>
  <c r="B523" i="5"/>
  <c r="N495" i="5"/>
  <c r="I420" i="5"/>
  <c r="L604" i="5"/>
  <c r="H599" i="5"/>
  <c r="H597" i="5"/>
  <c r="J595" i="5"/>
  <c r="M593" i="5"/>
  <c r="N591" i="5"/>
  <c r="I588" i="5"/>
  <c r="J577" i="5"/>
  <c r="K575" i="5"/>
  <c r="G575" i="5" s="1"/>
  <c r="K566" i="5"/>
  <c r="G566" i="5" s="1"/>
  <c r="L564" i="5"/>
  <c r="M553" i="5"/>
  <c r="H550" i="5"/>
  <c r="H548" i="5"/>
  <c r="I546" i="5"/>
  <c r="L540" i="5"/>
  <c r="M531" i="5"/>
  <c r="B518" i="5"/>
  <c r="B513" i="5"/>
  <c r="J506" i="5"/>
  <c r="J482" i="5"/>
  <c r="K613" i="5"/>
  <c r="G613" i="5" s="1"/>
  <c r="N611" i="5"/>
  <c r="E610" i="5"/>
  <c r="F610" i="5" s="1"/>
  <c r="E608" i="5"/>
  <c r="F608" i="5" s="1"/>
  <c r="E606" i="5"/>
  <c r="F606" i="5" s="1"/>
  <c r="L602" i="5"/>
  <c r="I586" i="5"/>
  <c r="K584" i="5"/>
  <c r="G584" i="5" s="1"/>
  <c r="N582" i="5"/>
  <c r="E579" i="5"/>
  <c r="F579" i="5" s="1"/>
  <c r="B574" i="5"/>
  <c r="B572" i="5"/>
  <c r="B570" i="5"/>
  <c r="E563" i="5"/>
  <c r="F563" i="5" s="1"/>
  <c r="E561" i="5"/>
  <c r="F561" i="5" s="1"/>
  <c r="E559" i="5"/>
  <c r="F559" i="5" s="1"/>
  <c r="H557" i="5"/>
  <c r="L555" i="5"/>
  <c r="J543" i="5"/>
  <c r="E501" i="5"/>
  <c r="F501" i="5" s="1"/>
  <c r="I469" i="5"/>
  <c r="K604" i="5"/>
  <c r="G604" i="5" s="1"/>
  <c r="L593" i="5"/>
  <c r="M591" i="5"/>
  <c r="B590" i="5"/>
  <c r="H588" i="5"/>
  <c r="N580" i="5"/>
  <c r="I577" i="5"/>
  <c r="J575" i="5"/>
  <c r="L573" i="5"/>
  <c r="J566" i="5"/>
  <c r="K564" i="5"/>
  <c r="G564" i="5" s="1"/>
  <c r="L553" i="5"/>
  <c r="E546" i="5"/>
  <c r="F546" i="5" s="1"/>
  <c r="I540" i="5"/>
  <c r="E538" i="5"/>
  <c r="F538" i="5" s="1"/>
  <c r="B535" i="5"/>
  <c r="L531" i="5"/>
  <c r="I506" i="5"/>
  <c r="J494" i="5"/>
  <c r="H469" i="5"/>
  <c r="J613" i="5"/>
  <c r="K611" i="5"/>
  <c r="G611" i="5" s="1"/>
  <c r="K602" i="5"/>
  <c r="G602" i="5" s="1"/>
  <c r="L600" i="5"/>
  <c r="M589" i="5"/>
  <c r="H586" i="5"/>
  <c r="H584" i="5"/>
  <c r="M582" i="5"/>
  <c r="N578" i="5"/>
  <c r="M562" i="5"/>
  <c r="K555" i="5"/>
  <c r="G555" i="5" s="1"/>
  <c r="I543" i="5"/>
  <c r="M526" i="5"/>
  <c r="L521" i="5"/>
  <c r="K516" i="5"/>
  <c r="G516" i="5" s="1"/>
  <c r="J511" i="5"/>
  <c r="N487" i="5"/>
  <c r="B610" i="5"/>
  <c r="B608" i="5"/>
  <c r="B606" i="5"/>
  <c r="E599" i="5"/>
  <c r="F599" i="5" s="1"/>
  <c r="E597" i="5"/>
  <c r="F597" i="5" s="1"/>
  <c r="E595" i="5"/>
  <c r="F595" i="5" s="1"/>
  <c r="H593" i="5"/>
  <c r="L591" i="5"/>
  <c r="M580" i="5"/>
  <c r="H577" i="5"/>
  <c r="I575" i="5"/>
  <c r="I573" i="5"/>
  <c r="N571" i="5"/>
  <c r="N569" i="5"/>
  <c r="I566" i="5"/>
  <c r="J564" i="5"/>
  <c r="B561" i="5"/>
  <c r="B559" i="5"/>
  <c r="K553" i="5"/>
  <c r="G553" i="5" s="1"/>
  <c r="N551" i="5"/>
  <c r="E550" i="5"/>
  <c r="F550" i="5" s="1"/>
  <c r="E548" i="5"/>
  <c r="F548" i="5" s="1"/>
  <c r="E543" i="5"/>
  <c r="F543" i="5" s="1"/>
  <c r="H540" i="5"/>
  <c r="K531" i="5"/>
  <c r="G531" i="5" s="1"/>
  <c r="H506" i="5"/>
  <c r="I494" i="5"/>
  <c r="K480" i="5"/>
  <c r="G480" i="5" s="1"/>
  <c r="N614" i="5"/>
  <c r="I613" i="5"/>
  <c r="J611" i="5"/>
  <c r="L609" i="5"/>
  <c r="J602" i="5"/>
  <c r="K600" i="5"/>
  <c r="G600" i="5" s="1"/>
  <c r="L589" i="5"/>
  <c r="I582" i="5"/>
  <c r="M578" i="5"/>
  <c r="J562" i="5"/>
  <c r="B557" i="5"/>
  <c r="J555" i="5"/>
  <c r="M545" i="5"/>
  <c r="H537" i="5"/>
  <c r="N534" i="5"/>
  <c r="J526" i="5"/>
  <c r="K521" i="5"/>
  <c r="G521" i="5" s="1"/>
  <c r="J516" i="5"/>
  <c r="M499" i="5"/>
  <c r="M487" i="5"/>
  <c r="B664" i="5"/>
  <c r="B652" i="5"/>
  <c r="B640" i="5"/>
  <c r="B628" i="5"/>
  <c r="B616" i="5"/>
  <c r="M598" i="5"/>
  <c r="K591" i="5"/>
  <c r="G591" i="5" s="1"/>
  <c r="L580" i="5"/>
  <c r="H575" i="5"/>
  <c r="H573" i="5"/>
  <c r="J571" i="5"/>
  <c r="M569" i="5"/>
  <c r="N567" i="5"/>
  <c r="I564" i="5"/>
  <c r="J553" i="5"/>
  <c r="K551" i="5"/>
  <c r="G551" i="5" s="1"/>
  <c r="H545" i="5"/>
  <c r="N542" i="5"/>
  <c r="J531" i="5"/>
  <c r="H521" i="5"/>
  <c r="J499" i="5"/>
  <c r="J487" i="5"/>
  <c r="J480" i="5"/>
  <c r="I669" i="5"/>
  <c r="H668" i="5"/>
  <c r="E666" i="5"/>
  <c r="F666" i="5" s="1"/>
  <c r="N662" i="5"/>
  <c r="M661" i="5"/>
  <c r="L660" i="5"/>
  <c r="K659" i="5"/>
  <c r="G659" i="5" s="1"/>
  <c r="J658" i="5"/>
  <c r="I657" i="5"/>
  <c r="H656" i="5"/>
  <c r="E654" i="5"/>
  <c r="F654" i="5" s="1"/>
  <c r="N650" i="5"/>
  <c r="M649" i="5"/>
  <c r="L648" i="5"/>
  <c r="K647" i="5"/>
  <c r="G647" i="5" s="1"/>
  <c r="J646" i="5"/>
  <c r="I645" i="5"/>
  <c r="H644" i="5"/>
  <c r="E642" i="5"/>
  <c r="F642" i="5" s="1"/>
  <c r="N638" i="5"/>
  <c r="M637" i="5"/>
  <c r="L636" i="5"/>
  <c r="K635" i="5"/>
  <c r="G635" i="5" s="1"/>
  <c r="J634" i="5"/>
  <c r="I633" i="5"/>
  <c r="H632" i="5"/>
  <c r="E630" i="5"/>
  <c r="F630" i="5" s="1"/>
  <c r="N626" i="5"/>
  <c r="M625" i="5"/>
  <c r="L624" i="5"/>
  <c r="K623" i="5"/>
  <c r="G623" i="5" s="1"/>
  <c r="J622" i="5"/>
  <c r="I621" i="5"/>
  <c r="H620" i="5"/>
  <c r="E618" i="5"/>
  <c r="F618" i="5" s="1"/>
  <c r="M614" i="5"/>
  <c r="H613" i="5"/>
  <c r="I611" i="5"/>
  <c r="I609" i="5"/>
  <c r="N607" i="5"/>
  <c r="N605" i="5"/>
  <c r="I602" i="5"/>
  <c r="J600" i="5"/>
  <c r="B597" i="5"/>
  <c r="B595" i="5"/>
  <c r="K589" i="5"/>
  <c r="G589" i="5" s="1"/>
  <c r="N587" i="5"/>
  <c r="E586" i="5"/>
  <c r="F586" i="5" s="1"/>
  <c r="E584" i="5"/>
  <c r="F584" i="5" s="1"/>
  <c r="E582" i="5"/>
  <c r="F582" i="5" s="1"/>
  <c r="L578" i="5"/>
  <c r="I562" i="5"/>
  <c r="K560" i="5"/>
  <c r="G560" i="5" s="1"/>
  <c r="N558" i="5"/>
  <c r="E555" i="5"/>
  <c r="F555" i="5" s="1"/>
  <c r="B550" i="5"/>
  <c r="B548" i="5"/>
  <c r="M534" i="5"/>
  <c r="I526" i="5"/>
  <c r="I516" i="5"/>
  <c r="E511" i="5"/>
  <c r="F511" i="5" s="1"/>
  <c r="L504" i="5"/>
  <c r="N452" i="5"/>
  <c r="B665" i="5"/>
  <c r="B653" i="5"/>
  <c r="B641" i="5"/>
  <c r="B629" i="5"/>
  <c r="B617" i="5"/>
  <c r="J598" i="5"/>
  <c r="B593" i="5"/>
  <c r="J591" i="5"/>
  <c r="K580" i="5"/>
  <c r="G580" i="5" s="1"/>
  <c r="L569" i="5"/>
  <c r="M567" i="5"/>
  <c r="B566" i="5"/>
  <c r="H564" i="5"/>
  <c r="N556" i="5"/>
  <c r="I553" i="5"/>
  <c r="J551" i="5"/>
  <c r="L549" i="5"/>
  <c r="J542" i="5"/>
  <c r="E540" i="5"/>
  <c r="F540" i="5" s="1"/>
  <c r="H530" i="5"/>
  <c r="H526" i="5"/>
  <c r="H391" i="5"/>
  <c r="H669" i="5"/>
  <c r="E667" i="5"/>
  <c r="F667" i="5" s="1"/>
  <c r="N663" i="5"/>
  <c r="M662" i="5"/>
  <c r="L661" i="5"/>
  <c r="K660" i="5"/>
  <c r="G660" i="5" s="1"/>
  <c r="J659" i="5"/>
  <c r="I658" i="5"/>
  <c r="H657" i="5"/>
  <c r="E655" i="5"/>
  <c r="F655" i="5" s="1"/>
  <c r="N651" i="5"/>
  <c r="M650" i="5"/>
  <c r="L649" i="5"/>
  <c r="K648" i="5"/>
  <c r="G648" i="5" s="1"/>
  <c r="J647" i="5"/>
  <c r="I646" i="5"/>
  <c r="H645" i="5"/>
  <c r="E643" i="5"/>
  <c r="F643" i="5" s="1"/>
  <c r="N639" i="5"/>
  <c r="M638" i="5"/>
  <c r="L637" i="5"/>
  <c r="K636" i="5"/>
  <c r="G636" i="5" s="1"/>
  <c r="J635" i="5"/>
  <c r="I634" i="5"/>
  <c r="H633" i="5"/>
  <c r="E631" i="5"/>
  <c r="F631" i="5" s="1"/>
  <c r="N627" i="5"/>
  <c r="M626" i="5"/>
  <c r="L625" i="5"/>
  <c r="K624" i="5"/>
  <c r="G624" i="5" s="1"/>
  <c r="J623" i="5"/>
  <c r="I622" i="5"/>
  <c r="H621" i="5"/>
  <c r="E619" i="5"/>
  <c r="F619" i="5" s="1"/>
  <c r="N615" i="5"/>
  <c r="L614" i="5"/>
  <c r="H611" i="5"/>
  <c r="H609" i="5"/>
  <c r="J607" i="5"/>
  <c r="M605" i="5"/>
  <c r="N603" i="5"/>
  <c r="I600" i="5"/>
  <c r="J589" i="5"/>
  <c r="K587" i="5"/>
  <c r="G587" i="5" s="1"/>
  <c r="K578" i="5"/>
  <c r="G578" i="5" s="1"/>
  <c r="L576" i="5"/>
  <c r="M565" i="5"/>
  <c r="H562" i="5"/>
  <c r="H560" i="5"/>
  <c r="M558" i="5"/>
  <c r="N554" i="5"/>
  <c r="B537" i="5"/>
  <c r="L534" i="5"/>
  <c r="K504" i="5"/>
  <c r="G504" i="5" s="1"/>
  <c r="L492" i="5"/>
  <c r="H432" i="5"/>
  <c r="B666" i="5"/>
  <c r="B654" i="5"/>
  <c r="B642" i="5"/>
  <c r="B630" i="5"/>
  <c r="B618" i="5"/>
  <c r="I598" i="5"/>
  <c r="K596" i="5"/>
  <c r="G596" i="5" s="1"/>
  <c r="N594" i="5"/>
  <c r="E591" i="5"/>
  <c r="F591" i="5" s="1"/>
  <c r="B586" i="5"/>
  <c r="B584" i="5"/>
  <c r="B582" i="5"/>
  <c r="E575" i="5"/>
  <c r="F575" i="5" s="1"/>
  <c r="E573" i="5"/>
  <c r="F573" i="5" s="1"/>
  <c r="E571" i="5"/>
  <c r="F571" i="5" s="1"/>
  <c r="H569" i="5"/>
  <c r="L567" i="5"/>
  <c r="M556" i="5"/>
  <c r="H553" i="5"/>
  <c r="I551" i="5"/>
  <c r="I549" i="5"/>
  <c r="N547" i="5"/>
  <c r="B545" i="5"/>
  <c r="N539" i="5"/>
  <c r="I534" i="5"/>
  <c r="E525" i="5"/>
  <c r="F525" i="5" s="1"/>
  <c r="K614" i="5"/>
  <c r="G614" i="5" s="1"/>
  <c r="L605" i="5"/>
  <c r="M603" i="5"/>
  <c r="B602" i="5"/>
  <c r="H600" i="5"/>
  <c r="N592" i="5"/>
  <c r="I589" i="5"/>
  <c r="J587" i="5"/>
  <c r="L585" i="5"/>
  <c r="J578" i="5"/>
  <c r="K576" i="5"/>
  <c r="G576" i="5" s="1"/>
  <c r="L565" i="5"/>
  <c r="I558" i="5"/>
  <c r="M554" i="5"/>
  <c r="B530" i="5"/>
  <c r="E515" i="5"/>
  <c r="F515" i="5" s="1"/>
  <c r="M509" i="5"/>
  <c r="J504" i="5"/>
  <c r="K492" i="5"/>
  <c r="G492" i="5" s="1"/>
  <c r="L612" i="5"/>
  <c r="M601" i="5"/>
  <c r="H598" i="5"/>
  <c r="H596" i="5"/>
  <c r="M594" i="5"/>
  <c r="N590" i="5"/>
  <c r="M574" i="5"/>
  <c r="K567" i="5"/>
  <c r="G567" i="5" s="1"/>
  <c r="L556" i="5"/>
  <c r="H551" i="5"/>
  <c r="H549" i="5"/>
  <c r="I547" i="5"/>
  <c r="B542" i="5"/>
  <c r="K539" i="5"/>
  <c r="G539" i="5" s="1"/>
  <c r="N536" i="5"/>
  <c r="M529" i="5"/>
  <c r="N519" i="5"/>
  <c r="N485" i="5"/>
  <c r="I477" i="5"/>
  <c r="B464" i="5"/>
  <c r="E669" i="5"/>
  <c r="F669" i="5" s="1"/>
  <c r="N665" i="5"/>
  <c r="M664" i="5"/>
  <c r="L663" i="5"/>
  <c r="K662" i="5"/>
  <c r="G662" i="5" s="1"/>
  <c r="J661" i="5"/>
  <c r="I660" i="5"/>
  <c r="H659" i="5"/>
  <c r="E657" i="5"/>
  <c r="F657" i="5" s="1"/>
  <c r="N653" i="5"/>
  <c r="M652" i="5"/>
  <c r="L651" i="5"/>
  <c r="K650" i="5"/>
  <c r="G650" i="5" s="1"/>
  <c r="J649" i="5"/>
  <c r="I648" i="5"/>
  <c r="H647" i="5"/>
  <c r="E645" i="5"/>
  <c r="F645" i="5" s="1"/>
  <c r="N641" i="5"/>
  <c r="M640" i="5"/>
  <c r="L639" i="5"/>
  <c r="K638" i="5"/>
  <c r="G638" i="5" s="1"/>
  <c r="J637" i="5"/>
  <c r="I636" i="5"/>
  <c r="H635" i="5"/>
  <c r="E633" i="5"/>
  <c r="F633" i="5" s="1"/>
  <c r="N629" i="5"/>
  <c r="M628" i="5"/>
  <c r="L627" i="5"/>
  <c r="K626" i="5"/>
  <c r="G626" i="5" s="1"/>
  <c r="J625" i="5"/>
  <c r="I624" i="5"/>
  <c r="H623" i="5"/>
  <c r="E621" i="5"/>
  <c r="F621" i="5" s="1"/>
  <c r="N617" i="5"/>
  <c r="M616" i="5"/>
  <c r="L615" i="5"/>
  <c r="J614" i="5"/>
  <c r="E611" i="5"/>
  <c r="F611" i="5" s="1"/>
  <c r="E609" i="5"/>
  <c r="F609" i="5" s="1"/>
  <c r="E607" i="5"/>
  <c r="F607" i="5" s="1"/>
  <c r="H605" i="5"/>
  <c r="L603" i="5"/>
  <c r="M592" i="5"/>
  <c r="H589" i="5"/>
  <c r="I587" i="5"/>
  <c r="I585" i="5"/>
  <c r="N583" i="5"/>
  <c r="N581" i="5"/>
  <c r="I578" i="5"/>
  <c r="J576" i="5"/>
  <c r="B573" i="5"/>
  <c r="B571" i="5"/>
  <c r="K565" i="5"/>
  <c r="G565" i="5" s="1"/>
  <c r="N563" i="5"/>
  <c r="E562" i="5"/>
  <c r="F562" i="5" s="1"/>
  <c r="E560" i="5"/>
  <c r="F560" i="5" s="1"/>
  <c r="E558" i="5"/>
  <c r="F558" i="5" s="1"/>
  <c r="L554" i="5"/>
  <c r="N544" i="5"/>
  <c r="M541" i="5"/>
  <c r="K536" i="5"/>
  <c r="G536" i="5" s="1"/>
  <c r="N533" i="5"/>
  <c r="B525" i="5"/>
  <c r="L509" i="5"/>
  <c r="N497" i="5"/>
  <c r="N463" i="5"/>
  <c r="H407" i="5"/>
  <c r="B668" i="5"/>
  <c r="B656" i="5"/>
  <c r="B644" i="5"/>
  <c r="B632" i="5"/>
  <c r="B620" i="5"/>
  <c r="K612" i="5"/>
  <c r="G612" i="5" s="1"/>
  <c r="L601" i="5"/>
  <c r="I594" i="5"/>
  <c r="M590" i="5"/>
  <c r="J574" i="5"/>
  <c r="B569" i="5"/>
  <c r="J567" i="5"/>
  <c r="K556" i="5"/>
  <c r="G556" i="5" s="1"/>
  <c r="L529" i="5"/>
  <c r="M519" i="5"/>
  <c r="M514" i="5"/>
  <c r="M485" i="5"/>
  <c r="E670" i="5"/>
  <c r="F670" i="5" s="1"/>
  <c r="N666" i="5"/>
  <c r="M665" i="5"/>
  <c r="L664" i="5"/>
  <c r="K663" i="5"/>
  <c r="G663" i="5" s="1"/>
  <c r="J662" i="5"/>
  <c r="I661" i="5"/>
  <c r="H660" i="5"/>
  <c r="E658" i="5"/>
  <c r="F658" i="5" s="1"/>
  <c r="N654" i="5"/>
  <c r="M653" i="5"/>
  <c r="L652" i="5"/>
  <c r="K651" i="5"/>
  <c r="G651" i="5" s="1"/>
  <c r="J650" i="5"/>
  <c r="I649" i="5"/>
  <c r="H648" i="5"/>
  <c r="E646" i="5"/>
  <c r="F646" i="5" s="1"/>
  <c r="N642" i="5"/>
  <c r="M641" i="5"/>
  <c r="L640" i="5"/>
  <c r="K639" i="5"/>
  <c r="G639" i="5" s="1"/>
  <c r="J638" i="5"/>
  <c r="I637" i="5"/>
  <c r="H636" i="5"/>
  <c r="E634" i="5"/>
  <c r="F634" i="5" s="1"/>
  <c r="N630" i="5"/>
  <c r="M629" i="5"/>
  <c r="L628" i="5"/>
  <c r="K627" i="5"/>
  <c r="G627" i="5" s="1"/>
  <c r="J626" i="5"/>
  <c r="I625" i="5"/>
  <c r="H624" i="5"/>
  <c r="E622" i="5"/>
  <c r="F622" i="5" s="1"/>
  <c r="N618" i="5"/>
  <c r="M617" i="5"/>
  <c r="L616" i="5"/>
  <c r="K615" i="5"/>
  <c r="G615" i="5" s="1"/>
  <c r="I614" i="5"/>
  <c r="M610" i="5"/>
  <c r="K603" i="5"/>
  <c r="G603" i="5" s="1"/>
  <c r="L592" i="5"/>
  <c r="H587" i="5"/>
  <c r="H585" i="5"/>
  <c r="J583" i="5"/>
  <c r="M581" i="5"/>
  <c r="N579" i="5"/>
  <c r="I576" i="5"/>
  <c r="J565" i="5"/>
  <c r="K563" i="5"/>
  <c r="G563" i="5" s="1"/>
  <c r="K554" i="5"/>
  <c r="G554" i="5" s="1"/>
  <c r="L552" i="5"/>
  <c r="M544" i="5"/>
  <c r="L541" i="5"/>
  <c r="H536" i="5"/>
  <c r="K533" i="5"/>
  <c r="G533" i="5" s="1"/>
  <c r="K509" i="5"/>
  <c r="G509" i="5" s="1"/>
  <c r="M497" i="5"/>
  <c r="K494" i="5"/>
  <c r="G494" i="5" s="1"/>
  <c r="H491" i="5"/>
  <c r="I489" i="5"/>
  <c r="B486" i="5"/>
  <c r="L482" i="5"/>
  <c r="L480" i="5"/>
  <c r="H478" i="5"/>
  <c r="L474" i="5"/>
  <c r="J469" i="5"/>
  <c r="K458" i="5"/>
  <c r="G458" i="5" s="1"/>
  <c r="I447" i="5"/>
  <c r="I432" i="5"/>
  <c r="J440" i="5"/>
  <c r="N524" i="5"/>
  <c r="M517" i="5"/>
  <c r="H516" i="5"/>
  <c r="H509" i="5"/>
  <c r="I504" i="5"/>
  <c r="E499" i="5"/>
  <c r="F499" i="5" s="1"/>
  <c r="H494" i="5"/>
  <c r="J492" i="5"/>
  <c r="E489" i="5"/>
  <c r="F489" i="5" s="1"/>
  <c r="I482" i="5"/>
  <c r="I480" i="5"/>
  <c r="H477" i="5"/>
  <c r="B474" i="5"/>
  <c r="L445" i="5"/>
  <c r="B511" i="5"/>
  <c r="L507" i="5"/>
  <c r="B506" i="5"/>
  <c r="J502" i="5"/>
  <c r="B501" i="5"/>
  <c r="K497" i="5"/>
  <c r="G497" i="5" s="1"/>
  <c r="M495" i="5"/>
  <c r="M490" i="5"/>
  <c r="L485" i="5"/>
  <c r="N483" i="5"/>
  <c r="M463" i="5"/>
  <c r="E429" i="5"/>
  <c r="F429" i="5" s="1"/>
  <c r="E417" i="5"/>
  <c r="F417" i="5" s="1"/>
  <c r="N389" i="5"/>
  <c r="M281" i="5"/>
  <c r="K529" i="5"/>
  <c r="G529" i="5" s="1"/>
  <c r="E528" i="5"/>
  <c r="F528" i="5" s="1"/>
  <c r="N522" i="5"/>
  <c r="B521" i="5"/>
  <c r="L517" i="5"/>
  <c r="N512" i="5"/>
  <c r="M505" i="5"/>
  <c r="H504" i="5"/>
  <c r="H497" i="5"/>
  <c r="I492" i="5"/>
  <c r="E487" i="5"/>
  <c r="F487" i="5" s="1"/>
  <c r="H482" i="5"/>
  <c r="H480" i="5"/>
  <c r="N456" i="5"/>
  <c r="N532" i="5"/>
  <c r="I531" i="5"/>
  <c r="H524" i="5"/>
  <c r="J519" i="5"/>
  <c r="H514" i="5"/>
  <c r="K512" i="5"/>
  <c r="G512" i="5" s="1"/>
  <c r="K507" i="5"/>
  <c r="G507" i="5" s="1"/>
  <c r="I502" i="5"/>
  <c r="B499" i="5"/>
  <c r="L495" i="5"/>
  <c r="B494" i="5"/>
  <c r="J490" i="5"/>
  <c r="B489" i="5"/>
  <c r="K485" i="5"/>
  <c r="G485" i="5" s="1"/>
  <c r="M483" i="5"/>
  <c r="B451" i="5"/>
  <c r="J445" i="5"/>
  <c r="L438" i="5"/>
  <c r="M389" i="5"/>
  <c r="E302" i="5"/>
  <c r="F302" i="5" s="1"/>
  <c r="E531" i="5"/>
  <c r="F531" i="5" s="1"/>
  <c r="J529" i="5"/>
  <c r="N527" i="5"/>
  <c r="M522" i="5"/>
  <c r="K517" i="5"/>
  <c r="G517" i="5" s="1"/>
  <c r="E516" i="5"/>
  <c r="F516" i="5" s="1"/>
  <c r="N510" i="5"/>
  <c r="B509" i="5"/>
  <c r="L505" i="5"/>
  <c r="N500" i="5"/>
  <c r="M493" i="5"/>
  <c r="H492" i="5"/>
  <c r="H485" i="5"/>
  <c r="E477" i="5"/>
  <c r="F477" i="5" s="1"/>
  <c r="N472" i="5"/>
  <c r="K456" i="5"/>
  <c r="G456" i="5" s="1"/>
  <c r="K438" i="5"/>
  <c r="G438" i="5" s="1"/>
  <c r="M532" i="5"/>
  <c r="E526" i="5"/>
  <c r="F526" i="5" s="1"/>
  <c r="N520" i="5"/>
  <c r="I519" i="5"/>
  <c r="H512" i="5"/>
  <c r="J507" i="5"/>
  <c r="H502" i="5"/>
  <c r="K500" i="5"/>
  <c r="G500" i="5" s="1"/>
  <c r="K495" i="5"/>
  <c r="G495" i="5" s="1"/>
  <c r="I490" i="5"/>
  <c r="B487" i="5"/>
  <c r="L483" i="5"/>
  <c r="B482" i="5"/>
  <c r="K479" i="5"/>
  <c r="G479" i="5" s="1"/>
  <c r="J467" i="5"/>
  <c r="H438" i="5"/>
  <c r="B402" i="5"/>
  <c r="E612" i="5"/>
  <c r="F612" i="5" s="1"/>
  <c r="N608" i="5"/>
  <c r="M607" i="5"/>
  <c r="L606" i="5"/>
  <c r="K605" i="5"/>
  <c r="G605" i="5" s="1"/>
  <c r="J604" i="5"/>
  <c r="I603" i="5"/>
  <c r="H602" i="5"/>
  <c r="E600" i="5"/>
  <c r="F600" i="5" s="1"/>
  <c r="N596" i="5"/>
  <c r="M595" i="5"/>
  <c r="L594" i="5"/>
  <c r="K593" i="5"/>
  <c r="G593" i="5" s="1"/>
  <c r="J592" i="5"/>
  <c r="I591" i="5"/>
  <c r="H590" i="5"/>
  <c r="E588" i="5"/>
  <c r="F588" i="5" s="1"/>
  <c r="N584" i="5"/>
  <c r="M583" i="5"/>
  <c r="L582" i="5"/>
  <c r="K581" i="5"/>
  <c r="G581" i="5" s="1"/>
  <c r="J580" i="5"/>
  <c r="I579" i="5"/>
  <c r="H578" i="5"/>
  <c r="E576" i="5"/>
  <c r="F576" i="5" s="1"/>
  <c r="N572" i="5"/>
  <c r="M571" i="5"/>
  <c r="L570" i="5"/>
  <c r="K569" i="5"/>
  <c r="G569" i="5" s="1"/>
  <c r="J568" i="5"/>
  <c r="I567" i="5"/>
  <c r="H566" i="5"/>
  <c r="E564" i="5"/>
  <c r="F564" i="5" s="1"/>
  <c r="N560" i="5"/>
  <c r="M559" i="5"/>
  <c r="L558" i="5"/>
  <c r="K557" i="5"/>
  <c r="G557" i="5" s="1"/>
  <c r="J556" i="5"/>
  <c r="I555" i="5"/>
  <c r="H554" i="5"/>
  <c r="E552" i="5"/>
  <c r="F552" i="5" s="1"/>
  <c r="N548" i="5"/>
  <c r="M547" i="5"/>
  <c r="M542" i="5"/>
  <c r="H541" i="5"/>
  <c r="J539" i="5"/>
  <c r="B538" i="5"/>
  <c r="N530" i="5"/>
  <c r="I529" i="5"/>
  <c r="K527" i="5"/>
  <c r="G527" i="5" s="1"/>
  <c r="L522" i="5"/>
  <c r="E519" i="5"/>
  <c r="F519" i="5" s="1"/>
  <c r="J517" i="5"/>
  <c r="N515" i="5"/>
  <c r="M510" i="5"/>
  <c r="K505" i="5"/>
  <c r="G505" i="5" s="1"/>
  <c r="E504" i="5"/>
  <c r="F504" i="5" s="1"/>
  <c r="N498" i="5"/>
  <c r="B497" i="5"/>
  <c r="L493" i="5"/>
  <c r="N488" i="5"/>
  <c r="M481" i="5"/>
  <c r="B477" i="5"/>
  <c r="M472" i="5"/>
  <c r="B416" i="5"/>
  <c r="B611" i="5"/>
  <c r="B599" i="5"/>
  <c r="B587" i="5"/>
  <c r="B575" i="5"/>
  <c r="B563" i="5"/>
  <c r="B551" i="5"/>
  <c r="K544" i="5"/>
  <c r="G544" i="5" s="1"/>
  <c r="E534" i="5"/>
  <c r="F534" i="5" s="1"/>
  <c r="L532" i="5"/>
  <c r="E524" i="5"/>
  <c r="F524" i="5" s="1"/>
  <c r="I522" i="5"/>
  <c r="M520" i="5"/>
  <c r="E514" i="5"/>
  <c r="F514" i="5" s="1"/>
  <c r="N508" i="5"/>
  <c r="I507" i="5"/>
  <c r="H500" i="5"/>
  <c r="J495" i="5"/>
  <c r="H490" i="5"/>
  <c r="K488" i="5"/>
  <c r="G488" i="5" s="1"/>
  <c r="K483" i="5"/>
  <c r="G483" i="5" s="1"/>
  <c r="J479" i="5"/>
  <c r="H476" i="5"/>
  <c r="N461" i="5"/>
  <c r="I456" i="5"/>
  <c r="K449" i="5"/>
  <c r="G449" i="5" s="1"/>
  <c r="E613" i="5"/>
  <c r="F613" i="5" s="1"/>
  <c r="N609" i="5"/>
  <c r="M608" i="5"/>
  <c r="L607" i="5"/>
  <c r="K606" i="5"/>
  <c r="G606" i="5" s="1"/>
  <c r="J605" i="5"/>
  <c r="I604" i="5"/>
  <c r="H603" i="5"/>
  <c r="E601" i="5"/>
  <c r="F601" i="5" s="1"/>
  <c r="N597" i="5"/>
  <c r="M596" i="5"/>
  <c r="L595" i="5"/>
  <c r="K594" i="5"/>
  <c r="G594" i="5" s="1"/>
  <c r="J593" i="5"/>
  <c r="I592" i="5"/>
  <c r="H591" i="5"/>
  <c r="E589" i="5"/>
  <c r="F589" i="5" s="1"/>
  <c r="N585" i="5"/>
  <c r="M584" i="5"/>
  <c r="L583" i="5"/>
  <c r="K582" i="5"/>
  <c r="G582" i="5" s="1"/>
  <c r="J581" i="5"/>
  <c r="I580" i="5"/>
  <c r="H579" i="5"/>
  <c r="E577" i="5"/>
  <c r="F577" i="5" s="1"/>
  <c r="N573" i="5"/>
  <c r="M572" i="5"/>
  <c r="L571" i="5"/>
  <c r="K570" i="5"/>
  <c r="G570" i="5" s="1"/>
  <c r="J569" i="5"/>
  <c r="I568" i="5"/>
  <c r="H567" i="5"/>
  <c r="E565" i="5"/>
  <c r="F565" i="5" s="1"/>
  <c r="N561" i="5"/>
  <c r="M560" i="5"/>
  <c r="L559" i="5"/>
  <c r="K558" i="5"/>
  <c r="G558" i="5" s="1"/>
  <c r="J557" i="5"/>
  <c r="I556" i="5"/>
  <c r="H555" i="5"/>
  <c r="E553" i="5"/>
  <c r="F553" i="5" s="1"/>
  <c r="N549" i="5"/>
  <c r="M548" i="5"/>
  <c r="L547" i="5"/>
  <c r="B546" i="5"/>
  <c r="L542" i="5"/>
  <c r="I539" i="5"/>
  <c r="L537" i="5"/>
  <c r="B536" i="5"/>
  <c r="M530" i="5"/>
  <c r="H529" i="5"/>
  <c r="J527" i="5"/>
  <c r="B526" i="5"/>
  <c r="N518" i="5"/>
  <c r="I517" i="5"/>
  <c r="K515" i="5"/>
  <c r="G515" i="5" s="1"/>
  <c r="L510" i="5"/>
  <c r="E507" i="5"/>
  <c r="F507" i="5" s="1"/>
  <c r="J505" i="5"/>
  <c r="N503" i="5"/>
  <c r="M498" i="5"/>
  <c r="K493" i="5"/>
  <c r="G493" i="5" s="1"/>
  <c r="E492" i="5"/>
  <c r="F492" i="5" s="1"/>
  <c r="N486" i="5"/>
  <c r="B485" i="5"/>
  <c r="L481" i="5"/>
  <c r="L472" i="5"/>
  <c r="H467" i="5"/>
  <c r="M425" i="5"/>
  <c r="B612" i="5"/>
  <c r="B600" i="5"/>
  <c r="B588" i="5"/>
  <c r="B576" i="5"/>
  <c r="B564" i="5"/>
  <c r="B552" i="5"/>
  <c r="K547" i="5"/>
  <c r="G547" i="5" s="1"/>
  <c r="J544" i="5"/>
  <c r="K532" i="5"/>
  <c r="G532" i="5" s="1"/>
  <c r="E522" i="5"/>
  <c r="F522" i="5" s="1"/>
  <c r="L520" i="5"/>
  <c r="E512" i="5"/>
  <c r="F512" i="5" s="1"/>
  <c r="I510" i="5"/>
  <c r="M508" i="5"/>
  <c r="E502" i="5"/>
  <c r="F502" i="5" s="1"/>
  <c r="N496" i="5"/>
  <c r="I495" i="5"/>
  <c r="H488" i="5"/>
  <c r="J483" i="5"/>
  <c r="I479" i="5"/>
  <c r="M461" i="5"/>
  <c r="M443" i="5"/>
  <c r="E614" i="5"/>
  <c r="F614" i="5" s="1"/>
  <c r="N610" i="5"/>
  <c r="M609" i="5"/>
  <c r="L608" i="5"/>
  <c r="K607" i="5"/>
  <c r="G607" i="5" s="1"/>
  <c r="J606" i="5"/>
  <c r="I605" i="5"/>
  <c r="H604" i="5"/>
  <c r="E602" i="5"/>
  <c r="F602" i="5" s="1"/>
  <c r="N598" i="5"/>
  <c r="M597" i="5"/>
  <c r="L596" i="5"/>
  <c r="K595" i="5"/>
  <c r="G595" i="5" s="1"/>
  <c r="J594" i="5"/>
  <c r="I593" i="5"/>
  <c r="H592" i="5"/>
  <c r="E590" i="5"/>
  <c r="F590" i="5" s="1"/>
  <c r="N586" i="5"/>
  <c r="M585" i="5"/>
  <c r="L584" i="5"/>
  <c r="K583" i="5"/>
  <c r="G583" i="5" s="1"/>
  <c r="J582" i="5"/>
  <c r="I581" i="5"/>
  <c r="H580" i="5"/>
  <c r="E578" i="5"/>
  <c r="F578" i="5" s="1"/>
  <c r="N574" i="5"/>
  <c r="M573" i="5"/>
  <c r="L572" i="5"/>
  <c r="K571" i="5"/>
  <c r="G571" i="5" s="1"/>
  <c r="J570" i="5"/>
  <c r="I569" i="5"/>
  <c r="H568" i="5"/>
  <c r="E566" i="5"/>
  <c r="F566" i="5" s="1"/>
  <c r="N562" i="5"/>
  <c r="M561" i="5"/>
  <c r="L560" i="5"/>
  <c r="K559" i="5"/>
  <c r="G559" i="5" s="1"/>
  <c r="J558" i="5"/>
  <c r="I557" i="5"/>
  <c r="H556" i="5"/>
  <c r="E554" i="5"/>
  <c r="F554" i="5" s="1"/>
  <c r="N550" i="5"/>
  <c r="M549" i="5"/>
  <c r="L548" i="5"/>
  <c r="J547" i="5"/>
  <c r="K542" i="5"/>
  <c r="G542" i="5" s="1"/>
  <c r="H539" i="5"/>
  <c r="I537" i="5"/>
  <c r="B534" i="5"/>
  <c r="L530" i="5"/>
  <c r="I527" i="5"/>
  <c r="L525" i="5"/>
  <c r="B524" i="5"/>
  <c r="M518" i="5"/>
  <c r="H517" i="5"/>
  <c r="J515" i="5"/>
  <c r="B514" i="5"/>
  <c r="N506" i="5"/>
  <c r="I505" i="5"/>
  <c r="K503" i="5"/>
  <c r="G503" i="5" s="1"/>
  <c r="L498" i="5"/>
  <c r="E495" i="5"/>
  <c r="F495" i="5" s="1"/>
  <c r="J493" i="5"/>
  <c r="N491" i="5"/>
  <c r="M486" i="5"/>
  <c r="K481" i="5"/>
  <c r="G481" i="5" s="1"/>
  <c r="K412" i="5"/>
  <c r="G412" i="5" s="1"/>
  <c r="B613" i="5"/>
  <c r="B601" i="5"/>
  <c r="B589" i="5"/>
  <c r="B577" i="5"/>
  <c r="B565" i="5"/>
  <c r="B553" i="5"/>
  <c r="N545" i="5"/>
  <c r="N535" i="5"/>
  <c r="J532" i="5"/>
  <c r="K520" i="5"/>
  <c r="G520" i="5" s="1"/>
  <c r="E510" i="5"/>
  <c r="F510" i="5" s="1"/>
  <c r="L508" i="5"/>
  <c r="E500" i="5"/>
  <c r="F500" i="5" s="1"/>
  <c r="I498" i="5"/>
  <c r="M496" i="5"/>
  <c r="E490" i="5"/>
  <c r="F490" i="5" s="1"/>
  <c r="N484" i="5"/>
  <c r="I483" i="5"/>
  <c r="H479" i="5"/>
  <c r="E476" i="5"/>
  <c r="F476" i="5" s="1"/>
  <c r="H471" i="5"/>
  <c r="J460" i="5"/>
  <c r="L435" i="5"/>
  <c r="K530" i="5"/>
  <c r="G530" i="5" s="1"/>
  <c r="H527" i="5"/>
  <c r="I525" i="5"/>
  <c r="B522" i="5"/>
  <c r="L518" i="5"/>
  <c r="I515" i="5"/>
  <c r="L513" i="5"/>
  <c r="B512" i="5"/>
  <c r="M506" i="5"/>
  <c r="H505" i="5"/>
  <c r="J503" i="5"/>
  <c r="B502" i="5"/>
  <c r="N494" i="5"/>
  <c r="I493" i="5"/>
  <c r="K491" i="5"/>
  <c r="G491" i="5" s="1"/>
  <c r="L486" i="5"/>
  <c r="E483" i="5"/>
  <c r="F483" i="5" s="1"/>
  <c r="J481" i="5"/>
  <c r="B466" i="5"/>
  <c r="L454" i="5"/>
  <c r="B449" i="5"/>
  <c r="M424" i="5"/>
  <c r="N523" i="5"/>
  <c r="J520" i="5"/>
  <c r="K508" i="5"/>
  <c r="G508" i="5" s="1"/>
  <c r="E498" i="5"/>
  <c r="F498" i="5" s="1"/>
  <c r="L496" i="5"/>
  <c r="E488" i="5"/>
  <c r="F488" i="5" s="1"/>
  <c r="I486" i="5"/>
  <c r="M484" i="5"/>
  <c r="E460" i="5"/>
  <c r="F460" i="5" s="1"/>
  <c r="K435" i="5"/>
  <c r="G435" i="5" s="1"/>
  <c r="L411" i="5"/>
  <c r="N612" i="5"/>
  <c r="M611" i="5"/>
  <c r="L610" i="5"/>
  <c r="K609" i="5"/>
  <c r="G609" i="5" s="1"/>
  <c r="J608" i="5"/>
  <c r="I607" i="5"/>
  <c r="H606" i="5"/>
  <c r="E604" i="5"/>
  <c r="F604" i="5" s="1"/>
  <c r="N600" i="5"/>
  <c r="M599" i="5"/>
  <c r="L598" i="5"/>
  <c r="K597" i="5"/>
  <c r="G597" i="5" s="1"/>
  <c r="J596" i="5"/>
  <c r="I595" i="5"/>
  <c r="H594" i="5"/>
  <c r="E592" i="5"/>
  <c r="F592" i="5" s="1"/>
  <c r="N588" i="5"/>
  <c r="M587" i="5"/>
  <c r="L586" i="5"/>
  <c r="K585" i="5"/>
  <c r="G585" i="5" s="1"/>
  <c r="J584" i="5"/>
  <c r="I583" i="5"/>
  <c r="H582" i="5"/>
  <c r="E580" i="5"/>
  <c r="F580" i="5" s="1"/>
  <c r="N576" i="5"/>
  <c r="M575" i="5"/>
  <c r="L574" i="5"/>
  <c r="K573" i="5"/>
  <c r="G573" i="5" s="1"/>
  <c r="J572" i="5"/>
  <c r="I571" i="5"/>
  <c r="H570" i="5"/>
  <c r="E568" i="5"/>
  <c r="F568" i="5" s="1"/>
  <c r="N564" i="5"/>
  <c r="M563" i="5"/>
  <c r="L562" i="5"/>
  <c r="K561" i="5"/>
  <c r="G561" i="5" s="1"/>
  <c r="J560" i="5"/>
  <c r="I559" i="5"/>
  <c r="H558" i="5"/>
  <c r="E556" i="5"/>
  <c r="F556" i="5" s="1"/>
  <c r="N552" i="5"/>
  <c r="M551" i="5"/>
  <c r="L550" i="5"/>
  <c r="K549" i="5"/>
  <c r="G549" i="5" s="1"/>
  <c r="J548" i="5"/>
  <c r="I542" i="5"/>
  <c r="K540" i="5"/>
  <c r="G540" i="5" s="1"/>
  <c r="E539" i="5"/>
  <c r="F539" i="5" s="1"/>
  <c r="J535" i="5"/>
  <c r="J530" i="5"/>
  <c r="L528" i="5"/>
  <c r="H525" i="5"/>
  <c r="K518" i="5"/>
  <c r="G518" i="5" s="1"/>
  <c r="H515" i="5"/>
  <c r="I513" i="5"/>
  <c r="B510" i="5"/>
  <c r="L506" i="5"/>
  <c r="I503" i="5"/>
  <c r="L501" i="5"/>
  <c r="B500" i="5"/>
  <c r="M494" i="5"/>
  <c r="H493" i="5"/>
  <c r="J491" i="5"/>
  <c r="B490" i="5"/>
  <c r="N482" i="5"/>
  <c r="I481" i="5"/>
  <c r="J478" i="5"/>
  <c r="N475" i="5"/>
  <c r="B471" i="5"/>
  <c r="L447" i="5"/>
  <c r="E442" i="5"/>
  <c r="F442" i="5" s="1"/>
  <c r="I396" i="5"/>
  <c r="B615" i="5"/>
  <c r="B603" i="5"/>
  <c r="B591" i="5"/>
  <c r="B579" i="5"/>
  <c r="B567" i="5"/>
  <c r="B555" i="5"/>
  <c r="P555" i="5" s="1"/>
  <c r="L545" i="5"/>
  <c r="N543" i="5"/>
  <c r="M533" i="5"/>
  <c r="M523" i="5"/>
  <c r="N521" i="5"/>
  <c r="N511" i="5"/>
  <c r="J508" i="5"/>
  <c r="K496" i="5"/>
  <c r="G496" i="5" s="1"/>
  <c r="E486" i="5"/>
  <c r="F486" i="5" s="1"/>
  <c r="L484" i="5"/>
  <c r="N465" i="5"/>
  <c r="J411" i="5"/>
  <c r="N613" i="5"/>
  <c r="M612" i="5"/>
  <c r="L611" i="5"/>
  <c r="K610" i="5"/>
  <c r="G610" i="5" s="1"/>
  <c r="J609" i="5"/>
  <c r="I608" i="5"/>
  <c r="H607" i="5"/>
  <c r="E605" i="5"/>
  <c r="F605" i="5" s="1"/>
  <c r="N601" i="5"/>
  <c r="M600" i="5"/>
  <c r="L599" i="5"/>
  <c r="K598" i="5"/>
  <c r="G598" i="5" s="1"/>
  <c r="J597" i="5"/>
  <c r="I596" i="5"/>
  <c r="H595" i="5"/>
  <c r="E593" i="5"/>
  <c r="F593" i="5" s="1"/>
  <c r="N589" i="5"/>
  <c r="M588" i="5"/>
  <c r="L587" i="5"/>
  <c r="K586" i="5"/>
  <c r="G586" i="5" s="1"/>
  <c r="J585" i="5"/>
  <c r="I584" i="5"/>
  <c r="H583" i="5"/>
  <c r="E581" i="5"/>
  <c r="F581" i="5" s="1"/>
  <c r="N577" i="5"/>
  <c r="M576" i="5"/>
  <c r="L575" i="5"/>
  <c r="K574" i="5"/>
  <c r="G574" i="5" s="1"/>
  <c r="J573" i="5"/>
  <c r="I572" i="5"/>
  <c r="H571" i="5"/>
  <c r="E569" i="5"/>
  <c r="F569" i="5" s="1"/>
  <c r="N565" i="5"/>
  <c r="M564" i="5"/>
  <c r="L563" i="5"/>
  <c r="K562" i="5"/>
  <c r="G562" i="5" s="1"/>
  <c r="J561" i="5"/>
  <c r="I560" i="5"/>
  <c r="H559" i="5"/>
  <c r="E557" i="5"/>
  <c r="F557" i="5" s="1"/>
  <c r="N553" i="5"/>
  <c r="M552" i="5"/>
  <c r="L551" i="5"/>
  <c r="K550" i="5"/>
  <c r="G550" i="5" s="1"/>
  <c r="J549" i="5"/>
  <c r="I548" i="5"/>
  <c r="E547" i="5"/>
  <c r="F547" i="5" s="1"/>
  <c r="H542" i="5"/>
  <c r="J540" i="5"/>
  <c r="E537" i="5"/>
  <c r="F537" i="5" s="1"/>
  <c r="I530" i="5"/>
  <c r="K528" i="5"/>
  <c r="G528" i="5" s="1"/>
  <c r="E527" i="5"/>
  <c r="F527" i="5" s="1"/>
  <c r="J523" i="5"/>
  <c r="J518" i="5"/>
  <c r="L516" i="5"/>
  <c r="H513" i="5"/>
  <c r="K506" i="5"/>
  <c r="G506" i="5" s="1"/>
  <c r="H503" i="5"/>
  <c r="I501" i="5"/>
  <c r="B498" i="5"/>
  <c r="L494" i="5"/>
  <c r="I491" i="5"/>
  <c r="L489" i="5"/>
  <c r="B488" i="5"/>
  <c r="M482" i="5"/>
  <c r="H481" i="5"/>
  <c r="I478" i="5"/>
  <c r="M474" i="5"/>
  <c r="M470" i="5"/>
  <c r="K465" i="5"/>
  <c r="G465" i="5" s="1"/>
  <c r="N459" i="5"/>
  <c r="J447" i="5"/>
  <c r="B604" i="5"/>
  <c r="P604" i="5" s="1"/>
  <c r="B592" i="5"/>
  <c r="B580" i="5"/>
  <c r="P580" i="5" s="1"/>
  <c r="B568" i="5"/>
  <c r="B556" i="5"/>
  <c r="K545" i="5"/>
  <c r="G545" i="5" s="1"/>
  <c r="M543" i="5"/>
  <c r="M538" i="5"/>
  <c r="L533" i="5"/>
  <c r="N531" i="5"/>
  <c r="M521" i="5"/>
  <c r="M511" i="5"/>
  <c r="N509" i="5"/>
  <c r="N499" i="5"/>
  <c r="J496" i="5"/>
  <c r="K484" i="5"/>
  <c r="G484" i="5" s="1"/>
  <c r="E453" i="5"/>
  <c r="F453" i="5" s="1"/>
  <c r="B442" i="5"/>
  <c r="J421" i="5"/>
  <c r="N435" i="5"/>
  <c r="N432" i="5"/>
  <c r="L425" i="5"/>
  <c r="K303" i="5"/>
  <c r="G303" i="5" s="1"/>
  <c r="B462" i="5"/>
  <c r="I460" i="5"/>
  <c r="J458" i="5"/>
  <c r="B455" i="5"/>
  <c r="E451" i="5"/>
  <c r="F451" i="5" s="1"/>
  <c r="J449" i="5"/>
  <c r="K447" i="5"/>
  <c r="G447" i="5" s="1"/>
  <c r="E444" i="5"/>
  <c r="F444" i="5" s="1"/>
  <c r="H421" i="5"/>
  <c r="N401" i="5"/>
  <c r="E390" i="5"/>
  <c r="F390" i="5" s="1"/>
  <c r="B476" i="5"/>
  <c r="K472" i="5"/>
  <c r="G472" i="5" s="1"/>
  <c r="E469" i="5"/>
  <c r="F469" i="5" s="1"/>
  <c r="H465" i="5"/>
  <c r="L463" i="5"/>
  <c r="L461" i="5"/>
  <c r="I454" i="5"/>
  <c r="N450" i="5"/>
  <c r="H447" i="5"/>
  <c r="B440" i="5"/>
  <c r="J435" i="5"/>
  <c r="L424" i="5"/>
  <c r="N415" i="5"/>
  <c r="M400" i="5"/>
  <c r="J278" i="5"/>
  <c r="E478" i="5"/>
  <c r="F478" i="5" s="1"/>
  <c r="E467" i="5"/>
  <c r="F467" i="5" s="1"/>
  <c r="I463" i="5"/>
  <c r="H456" i="5"/>
  <c r="M452" i="5"/>
  <c r="M450" i="5"/>
  <c r="I445" i="5"/>
  <c r="J443" i="5"/>
  <c r="B438" i="5"/>
  <c r="K424" i="5"/>
  <c r="G424" i="5" s="1"/>
  <c r="H395" i="5"/>
  <c r="J388" i="5"/>
  <c r="J472" i="5"/>
  <c r="K470" i="5"/>
  <c r="G470" i="5" s="1"/>
  <c r="N468" i="5"/>
  <c r="K461" i="5"/>
  <c r="G461" i="5" s="1"/>
  <c r="L459" i="5"/>
  <c r="J452" i="5"/>
  <c r="H445" i="5"/>
  <c r="N441" i="5"/>
  <c r="N439" i="5"/>
  <c r="M431" i="5"/>
  <c r="B415" i="5"/>
  <c r="I388" i="5"/>
  <c r="N207" i="5"/>
  <c r="E479" i="5"/>
  <c r="F479" i="5" s="1"/>
  <c r="E465" i="5"/>
  <c r="F465" i="5" s="1"/>
  <c r="L450" i="5"/>
  <c r="M448" i="5"/>
  <c r="B447" i="5"/>
  <c r="K441" i="5"/>
  <c r="G441" i="5" s="1"/>
  <c r="N437" i="5"/>
  <c r="B428" i="5"/>
  <c r="K410" i="5"/>
  <c r="G410" i="5" s="1"/>
  <c r="B478" i="5"/>
  <c r="M475" i="5"/>
  <c r="I472" i="5"/>
  <c r="J470" i="5"/>
  <c r="B467" i="5"/>
  <c r="E463" i="5"/>
  <c r="F463" i="5" s="1"/>
  <c r="J461" i="5"/>
  <c r="K459" i="5"/>
  <c r="G459" i="5" s="1"/>
  <c r="E456" i="5"/>
  <c r="F456" i="5" s="1"/>
  <c r="H443" i="5"/>
  <c r="M439" i="5"/>
  <c r="H394" i="5"/>
  <c r="H388" i="5"/>
  <c r="E480" i="5"/>
  <c r="F480" i="5" s="1"/>
  <c r="N476" i="5"/>
  <c r="N473" i="5"/>
  <c r="E472" i="5"/>
  <c r="F472" i="5" s="1"/>
  <c r="I470" i="5"/>
  <c r="K468" i="5"/>
  <c r="G468" i="5" s="1"/>
  <c r="J459" i="5"/>
  <c r="L457" i="5"/>
  <c r="E454" i="5"/>
  <c r="F454" i="5" s="1"/>
  <c r="K450" i="5"/>
  <c r="G450" i="5" s="1"/>
  <c r="L448" i="5"/>
  <c r="M446" i="5"/>
  <c r="M437" i="5"/>
  <c r="K434" i="5"/>
  <c r="G434" i="5" s="1"/>
  <c r="H431" i="5"/>
  <c r="N427" i="5"/>
  <c r="L423" i="5"/>
  <c r="H419" i="5"/>
  <c r="M414" i="5"/>
  <c r="I410" i="5"/>
  <c r="L399" i="5"/>
  <c r="E294" i="5"/>
  <c r="F294" i="5" s="1"/>
  <c r="B539" i="5"/>
  <c r="B527" i="5"/>
  <c r="B515" i="5"/>
  <c r="B503" i="5"/>
  <c r="B491" i="5"/>
  <c r="B479" i="5"/>
  <c r="L475" i="5"/>
  <c r="L466" i="5"/>
  <c r="B463" i="5"/>
  <c r="H450" i="5"/>
  <c r="K448" i="5"/>
  <c r="G448" i="5" s="1"/>
  <c r="E445" i="5"/>
  <c r="F445" i="5" s="1"/>
  <c r="H441" i="5"/>
  <c r="L439" i="5"/>
  <c r="L437" i="5"/>
  <c r="E405" i="5"/>
  <c r="F405" i="5" s="1"/>
  <c r="E394" i="5"/>
  <c r="F394" i="5" s="1"/>
  <c r="K546" i="5"/>
  <c r="G546" i="5" s="1"/>
  <c r="J545" i="5"/>
  <c r="I544" i="5"/>
  <c r="H543" i="5"/>
  <c r="E541" i="5"/>
  <c r="F541" i="5" s="1"/>
  <c r="N537" i="5"/>
  <c r="M536" i="5"/>
  <c r="L535" i="5"/>
  <c r="K534" i="5"/>
  <c r="G534" i="5" s="1"/>
  <c r="J533" i="5"/>
  <c r="I532" i="5"/>
  <c r="H531" i="5"/>
  <c r="E529" i="5"/>
  <c r="F529" i="5" s="1"/>
  <c r="N525" i="5"/>
  <c r="M524" i="5"/>
  <c r="L523" i="5"/>
  <c r="K522" i="5"/>
  <c r="G522" i="5" s="1"/>
  <c r="J521" i="5"/>
  <c r="I520" i="5"/>
  <c r="H519" i="5"/>
  <c r="E517" i="5"/>
  <c r="F517" i="5" s="1"/>
  <c r="N513" i="5"/>
  <c r="M512" i="5"/>
  <c r="L511" i="5"/>
  <c r="K510" i="5"/>
  <c r="G510" i="5" s="1"/>
  <c r="J509" i="5"/>
  <c r="I508" i="5"/>
  <c r="H507" i="5"/>
  <c r="E505" i="5"/>
  <c r="F505" i="5" s="1"/>
  <c r="N501" i="5"/>
  <c r="M500" i="5"/>
  <c r="L499" i="5"/>
  <c r="K498" i="5"/>
  <c r="G498" i="5" s="1"/>
  <c r="J497" i="5"/>
  <c r="I496" i="5"/>
  <c r="H495" i="5"/>
  <c r="E493" i="5"/>
  <c r="F493" i="5" s="1"/>
  <c r="N489" i="5"/>
  <c r="M488" i="5"/>
  <c r="L487" i="5"/>
  <c r="K486" i="5"/>
  <c r="G486" i="5" s="1"/>
  <c r="J485" i="5"/>
  <c r="I484" i="5"/>
  <c r="H483" i="5"/>
  <c r="E481" i="5"/>
  <c r="F481" i="5" s="1"/>
  <c r="N477" i="5"/>
  <c r="M476" i="5"/>
  <c r="I475" i="5"/>
  <c r="M473" i="5"/>
  <c r="H470" i="5"/>
  <c r="I459" i="5"/>
  <c r="M455" i="5"/>
  <c r="E443" i="5"/>
  <c r="F443" i="5" s="1"/>
  <c r="I439" i="5"/>
  <c r="J434" i="5"/>
  <c r="B427" i="5"/>
  <c r="J423" i="5"/>
  <c r="E419" i="5"/>
  <c r="F419" i="5" s="1"/>
  <c r="B414" i="5"/>
  <c r="B540" i="5"/>
  <c r="B528" i="5"/>
  <c r="B516" i="5"/>
  <c r="B504" i="5"/>
  <c r="B492" i="5"/>
  <c r="B480" i="5"/>
  <c r="L473" i="5"/>
  <c r="N471" i="5"/>
  <c r="I468" i="5"/>
  <c r="N464" i="5"/>
  <c r="B461" i="5"/>
  <c r="J457" i="5"/>
  <c r="B454" i="5"/>
  <c r="J448" i="5"/>
  <c r="K446" i="5"/>
  <c r="G446" i="5" s="1"/>
  <c r="N444" i="5"/>
  <c r="I434" i="5"/>
  <c r="E431" i="5"/>
  <c r="F431" i="5" s="1"/>
  <c r="K386" i="5"/>
  <c r="G386" i="5" s="1"/>
  <c r="B345" i="5"/>
  <c r="B311" i="5"/>
  <c r="J546" i="5"/>
  <c r="I545" i="5"/>
  <c r="H544" i="5"/>
  <c r="E542" i="5"/>
  <c r="F542" i="5" s="1"/>
  <c r="N538" i="5"/>
  <c r="M537" i="5"/>
  <c r="L536" i="5"/>
  <c r="K535" i="5"/>
  <c r="G535" i="5" s="1"/>
  <c r="J534" i="5"/>
  <c r="I533" i="5"/>
  <c r="H532" i="5"/>
  <c r="E530" i="5"/>
  <c r="F530" i="5" s="1"/>
  <c r="N526" i="5"/>
  <c r="M525" i="5"/>
  <c r="L524" i="5"/>
  <c r="K523" i="5"/>
  <c r="G523" i="5" s="1"/>
  <c r="J522" i="5"/>
  <c r="I521" i="5"/>
  <c r="H520" i="5"/>
  <c r="E518" i="5"/>
  <c r="F518" i="5" s="1"/>
  <c r="N514" i="5"/>
  <c r="M513" i="5"/>
  <c r="L512" i="5"/>
  <c r="K511" i="5"/>
  <c r="G511" i="5" s="1"/>
  <c r="J510" i="5"/>
  <c r="I509" i="5"/>
  <c r="H508" i="5"/>
  <c r="E506" i="5"/>
  <c r="F506" i="5" s="1"/>
  <c r="N502" i="5"/>
  <c r="M501" i="5"/>
  <c r="L500" i="5"/>
  <c r="K499" i="5"/>
  <c r="G499" i="5" s="1"/>
  <c r="J498" i="5"/>
  <c r="I497" i="5"/>
  <c r="H496" i="5"/>
  <c r="E494" i="5"/>
  <c r="F494" i="5" s="1"/>
  <c r="N490" i="5"/>
  <c r="M489" i="5"/>
  <c r="L488" i="5"/>
  <c r="K487" i="5"/>
  <c r="G487" i="5" s="1"/>
  <c r="J486" i="5"/>
  <c r="I485" i="5"/>
  <c r="H484" i="5"/>
  <c r="E482" i="5"/>
  <c r="F482" i="5" s="1"/>
  <c r="N478" i="5"/>
  <c r="M477" i="5"/>
  <c r="L476" i="5"/>
  <c r="I466" i="5"/>
  <c r="N462" i="5"/>
  <c r="H459" i="5"/>
  <c r="B452" i="5"/>
  <c r="E441" i="5"/>
  <c r="F441" i="5" s="1"/>
  <c r="N413" i="5"/>
  <c r="J409" i="5"/>
  <c r="B541" i="5"/>
  <c r="B529" i="5"/>
  <c r="B517" i="5"/>
  <c r="B505" i="5"/>
  <c r="B493" i="5"/>
  <c r="B481" i="5"/>
  <c r="E475" i="5"/>
  <c r="F475" i="5" s="1"/>
  <c r="K473" i="5"/>
  <c r="G473" i="5" s="1"/>
  <c r="H468" i="5"/>
  <c r="M464" i="5"/>
  <c r="M462" i="5"/>
  <c r="I457" i="5"/>
  <c r="J455" i="5"/>
  <c r="B450" i="5"/>
  <c r="I448" i="5"/>
  <c r="J446" i="5"/>
  <c r="B443" i="5"/>
  <c r="E439" i="5"/>
  <c r="F439" i="5" s="1"/>
  <c r="L430" i="5"/>
  <c r="N426" i="5"/>
  <c r="K398" i="5"/>
  <c r="G398" i="5" s="1"/>
  <c r="H386" i="5"/>
  <c r="B359" i="5"/>
  <c r="N479" i="5"/>
  <c r="M478" i="5"/>
  <c r="L477" i="5"/>
  <c r="K476" i="5"/>
  <c r="G476" i="5" s="1"/>
  <c r="L471" i="5"/>
  <c r="J464" i="5"/>
  <c r="H457" i="5"/>
  <c r="N453" i="5"/>
  <c r="N451" i="5"/>
  <c r="E448" i="5"/>
  <c r="F448" i="5" s="1"/>
  <c r="I446" i="5"/>
  <c r="K444" i="5"/>
  <c r="G444" i="5" s="1"/>
  <c r="M426" i="5"/>
  <c r="K422" i="5"/>
  <c r="G422" i="5" s="1"/>
  <c r="L413" i="5"/>
  <c r="H409" i="5"/>
  <c r="B404" i="5"/>
  <c r="M392" i="5"/>
  <c r="J473" i="5"/>
  <c r="L462" i="5"/>
  <c r="M460" i="5"/>
  <c r="B459" i="5"/>
  <c r="K453" i="5"/>
  <c r="G453" i="5" s="1"/>
  <c r="N449" i="5"/>
  <c r="L442" i="5"/>
  <c r="B439" i="5"/>
  <c r="M436" i="5"/>
  <c r="H546" i="5"/>
  <c r="E544" i="5"/>
  <c r="F544" i="5" s="1"/>
  <c r="N540" i="5"/>
  <c r="M539" i="5"/>
  <c r="L538" i="5"/>
  <c r="K537" i="5"/>
  <c r="G537" i="5" s="1"/>
  <c r="J536" i="5"/>
  <c r="I535" i="5"/>
  <c r="H534" i="5"/>
  <c r="E532" i="5"/>
  <c r="F532" i="5" s="1"/>
  <c r="N528" i="5"/>
  <c r="M527" i="5"/>
  <c r="L526" i="5"/>
  <c r="K525" i="5"/>
  <c r="G525" i="5" s="1"/>
  <c r="J524" i="5"/>
  <c r="I523" i="5"/>
  <c r="H522" i="5"/>
  <c r="E520" i="5"/>
  <c r="F520" i="5" s="1"/>
  <c r="N516" i="5"/>
  <c r="M515" i="5"/>
  <c r="L514" i="5"/>
  <c r="K513" i="5"/>
  <c r="G513" i="5" s="1"/>
  <c r="J512" i="5"/>
  <c r="I511" i="5"/>
  <c r="H510" i="5"/>
  <c r="E508" i="5"/>
  <c r="F508" i="5" s="1"/>
  <c r="N504" i="5"/>
  <c r="M503" i="5"/>
  <c r="L502" i="5"/>
  <c r="K501" i="5"/>
  <c r="G501" i="5" s="1"/>
  <c r="J500" i="5"/>
  <c r="I499" i="5"/>
  <c r="H498" i="5"/>
  <c r="E496" i="5"/>
  <c r="F496" i="5" s="1"/>
  <c r="N492" i="5"/>
  <c r="M491" i="5"/>
  <c r="L490" i="5"/>
  <c r="K489" i="5"/>
  <c r="G489" i="5" s="1"/>
  <c r="J488" i="5"/>
  <c r="I487" i="5"/>
  <c r="H486" i="5"/>
  <c r="E484" i="5"/>
  <c r="F484" i="5" s="1"/>
  <c r="N480" i="5"/>
  <c r="M479" i="5"/>
  <c r="L478" i="5"/>
  <c r="K477" i="5"/>
  <c r="G477" i="5" s="1"/>
  <c r="J476" i="5"/>
  <c r="B475" i="5"/>
  <c r="K471" i="5"/>
  <c r="G471" i="5" s="1"/>
  <c r="E468" i="5"/>
  <c r="F468" i="5" s="1"/>
  <c r="H455" i="5"/>
  <c r="M451" i="5"/>
  <c r="H446" i="5"/>
  <c r="J433" i="5"/>
  <c r="B426" i="5"/>
  <c r="I422" i="5"/>
  <c r="B403" i="5"/>
  <c r="I384" i="5"/>
  <c r="B543" i="5"/>
  <c r="B531" i="5"/>
  <c r="B519" i="5"/>
  <c r="B507" i="5"/>
  <c r="B495" i="5"/>
  <c r="B483" i="5"/>
  <c r="J471" i="5"/>
  <c r="L469" i="5"/>
  <c r="E466" i="5"/>
  <c r="F466" i="5" s="1"/>
  <c r="K462" i="5"/>
  <c r="G462" i="5" s="1"/>
  <c r="L460" i="5"/>
  <c r="M458" i="5"/>
  <c r="M449" i="5"/>
  <c r="N447" i="5"/>
  <c r="I444" i="5"/>
  <c r="N440" i="5"/>
  <c r="L436" i="5"/>
  <c r="E384" i="5"/>
  <c r="F384" i="5" s="1"/>
  <c r="H547" i="5"/>
  <c r="E545" i="5"/>
  <c r="F545" i="5" s="1"/>
  <c r="N541" i="5"/>
  <c r="M540" i="5"/>
  <c r="L539" i="5"/>
  <c r="K538" i="5"/>
  <c r="G538" i="5" s="1"/>
  <c r="J537" i="5"/>
  <c r="I536" i="5"/>
  <c r="H535" i="5"/>
  <c r="E533" i="5"/>
  <c r="F533" i="5" s="1"/>
  <c r="N529" i="5"/>
  <c r="M528" i="5"/>
  <c r="L527" i="5"/>
  <c r="K526" i="5"/>
  <c r="G526" i="5" s="1"/>
  <c r="J525" i="5"/>
  <c r="I524" i="5"/>
  <c r="H523" i="5"/>
  <c r="E521" i="5"/>
  <c r="F521" i="5" s="1"/>
  <c r="N517" i="5"/>
  <c r="M516" i="5"/>
  <c r="L515" i="5"/>
  <c r="K514" i="5"/>
  <c r="G514" i="5" s="1"/>
  <c r="J513" i="5"/>
  <c r="I512" i="5"/>
  <c r="H511" i="5"/>
  <c r="E509" i="5"/>
  <c r="F509" i="5" s="1"/>
  <c r="N505" i="5"/>
  <c r="M504" i="5"/>
  <c r="L503" i="5"/>
  <c r="K502" i="5"/>
  <c r="G502" i="5" s="1"/>
  <c r="J501" i="5"/>
  <c r="I500" i="5"/>
  <c r="H499" i="5"/>
  <c r="E497" i="5"/>
  <c r="F497" i="5" s="1"/>
  <c r="N493" i="5"/>
  <c r="M492" i="5"/>
  <c r="L491" i="5"/>
  <c r="K490" i="5"/>
  <c r="G490" i="5" s="1"/>
  <c r="J489" i="5"/>
  <c r="I488" i="5"/>
  <c r="H487" i="5"/>
  <c r="E485" i="5"/>
  <c r="F485" i="5" s="1"/>
  <c r="N481" i="5"/>
  <c r="M480" i="5"/>
  <c r="L479" i="5"/>
  <c r="K478" i="5"/>
  <c r="G478" i="5" s="1"/>
  <c r="J477" i="5"/>
  <c r="I476" i="5"/>
  <c r="H462" i="5"/>
  <c r="K460" i="5"/>
  <c r="G460" i="5" s="1"/>
  <c r="E457" i="5"/>
  <c r="F457" i="5" s="1"/>
  <c r="H453" i="5"/>
  <c r="L451" i="5"/>
  <c r="L449" i="5"/>
  <c r="I442" i="5"/>
  <c r="N438" i="5"/>
  <c r="K436" i="5"/>
  <c r="G436" i="5" s="1"/>
  <c r="I433" i="5"/>
  <c r="E430" i="5"/>
  <c r="F430" i="5" s="1"/>
  <c r="N425" i="5"/>
  <c r="M412" i="5"/>
  <c r="I408" i="5"/>
  <c r="J397" i="5"/>
  <c r="I391" i="5"/>
  <c r="B544" i="5"/>
  <c r="B532" i="5"/>
  <c r="B520" i="5"/>
  <c r="B508" i="5"/>
  <c r="B496" i="5"/>
  <c r="B484" i="5"/>
  <c r="N474" i="5"/>
  <c r="B473" i="5"/>
  <c r="I471" i="5"/>
  <c r="M467" i="5"/>
  <c r="E455" i="5"/>
  <c r="F455" i="5" s="1"/>
  <c r="I451" i="5"/>
  <c r="H444" i="5"/>
  <c r="M440" i="5"/>
  <c r="M438" i="5"/>
  <c r="E436" i="5"/>
  <c r="F436" i="5" s="1"/>
  <c r="H433" i="5"/>
  <c r="M263" i="5"/>
  <c r="B437" i="5"/>
  <c r="B425" i="5"/>
  <c r="B413" i="5"/>
  <c r="B401" i="5"/>
  <c r="I394" i="5"/>
  <c r="E387" i="5"/>
  <c r="F387" i="5" s="1"/>
  <c r="N384" i="5"/>
  <c r="H312" i="5"/>
  <c r="J268" i="5"/>
  <c r="I191" i="5"/>
  <c r="M434" i="5"/>
  <c r="L433" i="5"/>
  <c r="K432" i="5"/>
  <c r="G432" i="5" s="1"/>
  <c r="J431" i="5"/>
  <c r="I430" i="5"/>
  <c r="H429" i="5"/>
  <c r="E427" i="5"/>
  <c r="F427" i="5" s="1"/>
  <c r="N423" i="5"/>
  <c r="M422" i="5"/>
  <c r="L421" i="5"/>
  <c r="K420" i="5"/>
  <c r="G420" i="5" s="1"/>
  <c r="J419" i="5"/>
  <c r="I418" i="5"/>
  <c r="H417" i="5"/>
  <c r="E415" i="5"/>
  <c r="F415" i="5" s="1"/>
  <c r="N411" i="5"/>
  <c r="M410" i="5"/>
  <c r="L409" i="5"/>
  <c r="K408" i="5"/>
  <c r="G408" i="5" s="1"/>
  <c r="J407" i="5"/>
  <c r="I406" i="5"/>
  <c r="H405" i="5"/>
  <c r="E403" i="5"/>
  <c r="F403" i="5" s="1"/>
  <c r="N399" i="5"/>
  <c r="M398" i="5"/>
  <c r="L397" i="5"/>
  <c r="K396" i="5"/>
  <c r="G396" i="5" s="1"/>
  <c r="J395" i="5"/>
  <c r="B393" i="5"/>
  <c r="K391" i="5"/>
  <c r="G391" i="5" s="1"/>
  <c r="E304" i="5"/>
  <c r="F304" i="5" s="1"/>
  <c r="H294" i="5"/>
  <c r="M471" i="5"/>
  <c r="L470" i="5"/>
  <c r="K469" i="5"/>
  <c r="G469" i="5" s="1"/>
  <c r="J468" i="5"/>
  <c r="I467" i="5"/>
  <c r="H466" i="5"/>
  <c r="E464" i="5"/>
  <c r="F464" i="5" s="1"/>
  <c r="N460" i="5"/>
  <c r="M459" i="5"/>
  <c r="L458" i="5"/>
  <c r="K457" i="5"/>
  <c r="G457" i="5" s="1"/>
  <c r="J456" i="5"/>
  <c r="I455" i="5"/>
  <c r="H454" i="5"/>
  <c r="E452" i="5"/>
  <c r="F452" i="5" s="1"/>
  <c r="N448" i="5"/>
  <c r="M447" i="5"/>
  <c r="L446" i="5"/>
  <c r="K445" i="5"/>
  <c r="G445" i="5" s="1"/>
  <c r="J444" i="5"/>
  <c r="I443" i="5"/>
  <c r="H442" i="5"/>
  <c r="E440" i="5"/>
  <c r="F440" i="5" s="1"/>
  <c r="N436" i="5"/>
  <c r="M435" i="5"/>
  <c r="L434" i="5"/>
  <c r="K433" i="5"/>
  <c r="G433" i="5" s="1"/>
  <c r="J432" i="5"/>
  <c r="I431" i="5"/>
  <c r="H430" i="5"/>
  <c r="E428" i="5"/>
  <c r="F428" i="5" s="1"/>
  <c r="N424" i="5"/>
  <c r="M423" i="5"/>
  <c r="L422" i="5"/>
  <c r="K421" i="5"/>
  <c r="G421" i="5" s="1"/>
  <c r="J420" i="5"/>
  <c r="I419" i="5"/>
  <c r="H418" i="5"/>
  <c r="E416" i="5"/>
  <c r="F416" i="5" s="1"/>
  <c r="N412" i="5"/>
  <c r="M411" i="5"/>
  <c r="L410" i="5"/>
  <c r="K409" i="5"/>
  <c r="G409" i="5" s="1"/>
  <c r="J408" i="5"/>
  <c r="I407" i="5"/>
  <c r="H406" i="5"/>
  <c r="E404" i="5"/>
  <c r="F404" i="5" s="1"/>
  <c r="N400" i="5"/>
  <c r="M399" i="5"/>
  <c r="L398" i="5"/>
  <c r="K397" i="5"/>
  <c r="G397" i="5" s="1"/>
  <c r="J396" i="5"/>
  <c r="I395" i="5"/>
  <c r="N392" i="5"/>
  <c r="J391" i="5"/>
  <c r="B387" i="5"/>
  <c r="B373" i="5"/>
  <c r="K423" i="5"/>
  <c r="G423" i="5" s="1"/>
  <c r="J422" i="5"/>
  <c r="I421" i="5"/>
  <c r="H420" i="5"/>
  <c r="E418" i="5"/>
  <c r="F418" i="5" s="1"/>
  <c r="N414" i="5"/>
  <c r="M413" i="5"/>
  <c r="L412" i="5"/>
  <c r="K411" i="5"/>
  <c r="G411" i="5" s="1"/>
  <c r="J410" i="5"/>
  <c r="I409" i="5"/>
  <c r="H408" i="5"/>
  <c r="E406" i="5"/>
  <c r="F406" i="5" s="1"/>
  <c r="N402" i="5"/>
  <c r="M401" i="5"/>
  <c r="L400" i="5"/>
  <c r="K399" i="5"/>
  <c r="G399" i="5" s="1"/>
  <c r="J398" i="5"/>
  <c r="I397" i="5"/>
  <c r="H396" i="5"/>
  <c r="B394" i="5"/>
  <c r="L392" i="5"/>
  <c r="B384" i="5"/>
  <c r="B381" i="5"/>
  <c r="B372" i="5"/>
  <c r="B349" i="5"/>
  <c r="N317" i="5"/>
  <c r="L206" i="5"/>
  <c r="B465" i="5"/>
  <c r="B453" i="5"/>
  <c r="B441" i="5"/>
  <c r="B429" i="5"/>
  <c r="B417" i="5"/>
  <c r="B405" i="5"/>
  <c r="N380" i="5"/>
  <c r="B363" i="5"/>
  <c r="L309" i="5"/>
  <c r="K291" i="5"/>
  <c r="G291" i="5" s="1"/>
  <c r="E407" i="5"/>
  <c r="F407" i="5" s="1"/>
  <c r="N403" i="5"/>
  <c r="M402" i="5"/>
  <c r="L401" i="5"/>
  <c r="K400" i="5"/>
  <c r="G400" i="5" s="1"/>
  <c r="J399" i="5"/>
  <c r="I398" i="5"/>
  <c r="H397" i="5"/>
  <c r="E395" i="5"/>
  <c r="F395" i="5" s="1"/>
  <c r="K392" i="5"/>
  <c r="G392" i="5" s="1"/>
  <c r="K389" i="5"/>
  <c r="G389" i="5" s="1"/>
  <c r="E388" i="5"/>
  <c r="F388" i="5" s="1"/>
  <c r="K317" i="5"/>
  <c r="G317" i="5" s="1"/>
  <c r="K309" i="5"/>
  <c r="G309" i="5" s="1"/>
  <c r="H291" i="5"/>
  <c r="J223" i="5"/>
  <c r="B430" i="5"/>
  <c r="B418" i="5"/>
  <c r="B406" i="5"/>
  <c r="N393" i="5"/>
  <c r="J392" i="5"/>
  <c r="E386" i="5"/>
  <c r="F386" i="5" s="1"/>
  <c r="N383" i="5"/>
  <c r="B325" i="5"/>
  <c r="J309" i="5"/>
  <c r="K437" i="5"/>
  <c r="G437" i="5" s="1"/>
  <c r="J436" i="5"/>
  <c r="I435" i="5"/>
  <c r="H434" i="5"/>
  <c r="E432" i="5"/>
  <c r="F432" i="5" s="1"/>
  <c r="N428" i="5"/>
  <c r="M427" i="5"/>
  <c r="L426" i="5"/>
  <c r="K425" i="5"/>
  <c r="G425" i="5" s="1"/>
  <c r="J424" i="5"/>
  <c r="I423" i="5"/>
  <c r="H422" i="5"/>
  <c r="E420" i="5"/>
  <c r="F420" i="5" s="1"/>
  <c r="N416" i="5"/>
  <c r="M415" i="5"/>
  <c r="L414" i="5"/>
  <c r="K413" i="5"/>
  <c r="G413" i="5" s="1"/>
  <c r="J412" i="5"/>
  <c r="I411" i="5"/>
  <c r="H410" i="5"/>
  <c r="E408" i="5"/>
  <c r="F408" i="5" s="1"/>
  <c r="N404" i="5"/>
  <c r="M403" i="5"/>
  <c r="L402" i="5"/>
  <c r="K401" i="5"/>
  <c r="G401" i="5" s="1"/>
  <c r="J400" i="5"/>
  <c r="I399" i="5"/>
  <c r="H398" i="5"/>
  <c r="E396" i="5"/>
  <c r="F396" i="5" s="1"/>
  <c r="J389" i="5"/>
  <c r="M383" i="5"/>
  <c r="B348" i="5"/>
  <c r="B431" i="5"/>
  <c r="B419" i="5"/>
  <c r="B407" i="5"/>
  <c r="B395" i="5"/>
  <c r="M393" i="5"/>
  <c r="I392" i="5"/>
  <c r="N390" i="5"/>
  <c r="B388" i="5"/>
  <c r="B371" i="5"/>
  <c r="B357" i="5"/>
  <c r="B324" i="5"/>
  <c r="I308" i="5"/>
  <c r="J437" i="5"/>
  <c r="I436" i="5"/>
  <c r="H435" i="5"/>
  <c r="E433" i="5"/>
  <c r="F433" i="5" s="1"/>
  <c r="N429" i="5"/>
  <c r="M428" i="5"/>
  <c r="L427" i="5"/>
  <c r="K426" i="5"/>
  <c r="G426" i="5" s="1"/>
  <c r="J425" i="5"/>
  <c r="I424" i="5"/>
  <c r="H423" i="5"/>
  <c r="E421" i="5"/>
  <c r="F421" i="5" s="1"/>
  <c r="N417" i="5"/>
  <c r="M416" i="5"/>
  <c r="L415" i="5"/>
  <c r="K414" i="5"/>
  <c r="G414" i="5" s="1"/>
  <c r="J413" i="5"/>
  <c r="I412" i="5"/>
  <c r="H411" i="5"/>
  <c r="E409" i="5"/>
  <c r="F409" i="5" s="1"/>
  <c r="N405" i="5"/>
  <c r="M404" i="5"/>
  <c r="L403" i="5"/>
  <c r="K402" i="5"/>
  <c r="G402" i="5" s="1"/>
  <c r="J401" i="5"/>
  <c r="I400" i="5"/>
  <c r="H399" i="5"/>
  <c r="E397" i="5"/>
  <c r="F397" i="5" s="1"/>
  <c r="I389" i="5"/>
  <c r="H383" i="5"/>
  <c r="H308" i="5"/>
  <c r="B468" i="5"/>
  <c r="B456" i="5"/>
  <c r="B444" i="5"/>
  <c r="B432" i="5"/>
  <c r="B420" i="5"/>
  <c r="B408" i="5"/>
  <c r="B396" i="5"/>
  <c r="L393" i="5"/>
  <c r="H392" i="5"/>
  <c r="L387" i="5"/>
  <c r="N299" i="5"/>
  <c r="K475" i="5"/>
  <c r="G475" i="5" s="1"/>
  <c r="J474" i="5"/>
  <c r="I473" i="5"/>
  <c r="H472" i="5"/>
  <c r="E470" i="5"/>
  <c r="F470" i="5" s="1"/>
  <c r="N466" i="5"/>
  <c r="M465" i="5"/>
  <c r="L464" i="5"/>
  <c r="K463" i="5"/>
  <c r="G463" i="5" s="1"/>
  <c r="J462" i="5"/>
  <c r="I461" i="5"/>
  <c r="H460" i="5"/>
  <c r="E458" i="5"/>
  <c r="F458" i="5" s="1"/>
  <c r="N454" i="5"/>
  <c r="M453" i="5"/>
  <c r="L452" i="5"/>
  <c r="K451" i="5"/>
  <c r="G451" i="5" s="1"/>
  <c r="J450" i="5"/>
  <c r="I449" i="5"/>
  <c r="H448" i="5"/>
  <c r="E446" i="5"/>
  <c r="F446" i="5" s="1"/>
  <c r="N442" i="5"/>
  <c r="M441" i="5"/>
  <c r="L440" i="5"/>
  <c r="K439" i="5"/>
  <c r="G439" i="5" s="1"/>
  <c r="J438" i="5"/>
  <c r="I437" i="5"/>
  <c r="H436" i="5"/>
  <c r="E434" i="5"/>
  <c r="F434" i="5" s="1"/>
  <c r="N430" i="5"/>
  <c r="M429" i="5"/>
  <c r="L428" i="5"/>
  <c r="K427" i="5"/>
  <c r="G427" i="5" s="1"/>
  <c r="J426" i="5"/>
  <c r="I425" i="5"/>
  <c r="H424" i="5"/>
  <c r="E422" i="5"/>
  <c r="F422" i="5" s="1"/>
  <c r="N418" i="5"/>
  <c r="M417" i="5"/>
  <c r="L416" i="5"/>
  <c r="K415" i="5"/>
  <c r="G415" i="5" s="1"/>
  <c r="J414" i="5"/>
  <c r="I413" i="5"/>
  <c r="H412" i="5"/>
  <c r="E410" i="5"/>
  <c r="F410" i="5" s="1"/>
  <c r="N406" i="5"/>
  <c r="M405" i="5"/>
  <c r="L404" i="5"/>
  <c r="K403" i="5"/>
  <c r="G403" i="5" s="1"/>
  <c r="J402" i="5"/>
  <c r="I401" i="5"/>
  <c r="H400" i="5"/>
  <c r="E398" i="5"/>
  <c r="F398" i="5" s="1"/>
  <c r="N394" i="5"/>
  <c r="K393" i="5"/>
  <c r="G393" i="5" s="1"/>
  <c r="L390" i="5"/>
  <c r="H389" i="5"/>
  <c r="J385" i="5"/>
  <c r="B323" i="5"/>
  <c r="E315" i="5"/>
  <c r="F315" i="5" s="1"/>
  <c r="E238" i="5"/>
  <c r="F238" i="5" s="1"/>
  <c r="B469" i="5"/>
  <c r="B457" i="5"/>
  <c r="B445" i="5"/>
  <c r="B433" i="5"/>
  <c r="B421" i="5"/>
  <c r="B409" i="5"/>
  <c r="B397" i="5"/>
  <c r="K387" i="5"/>
  <c r="G387" i="5" s="1"/>
  <c r="B347" i="5"/>
  <c r="B337" i="5"/>
  <c r="E307" i="5"/>
  <c r="F307" i="5" s="1"/>
  <c r="E298" i="5"/>
  <c r="F298" i="5" s="1"/>
  <c r="L273" i="5"/>
  <c r="J475" i="5"/>
  <c r="I474" i="5"/>
  <c r="H473" i="5"/>
  <c r="E471" i="5"/>
  <c r="F471" i="5" s="1"/>
  <c r="N467" i="5"/>
  <c r="M466" i="5"/>
  <c r="L465" i="5"/>
  <c r="K464" i="5"/>
  <c r="G464" i="5" s="1"/>
  <c r="J463" i="5"/>
  <c r="I462" i="5"/>
  <c r="H461" i="5"/>
  <c r="E459" i="5"/>
  <c r="F459" i="5" s="1"/>
  <c r="N455" i="5"/>
  <c r="M454" i="5"/>
  <c r="L453" i="5"/>
  <c r="K452" i="5"/>
  <c r="G452" i="5" s="1"/>
  <c r="J451" i="5"/>
  <c r="I450" i="5"/>
  <c r="H449" i="5"/>
  <c r="E447" i="5"/>
  <c r="F447" i="5" s="1"/>
  <c r="N443" i="5"/>
  <c r="M442" i="5"/>
  <c r="L441" i="5"/>
  <c r="K440" i="5"/>
  <c r="G440" i="5" s="1"/>
  <c r="J439" i="5"/>
  <c r="I438" i="5"/>
  <c r="H437" i="5"/>
  <c r="E435" i="5"/>
  <c r="F435" i="5" s="1"/>
  <c r="N431" i="5"/>
  <c r="M430" i="5"/>
  <c r="L429" i="5"/>
  <c r="K428" i="5"/>
  <c r="G428" i="5" s="1"/>
  <c r="J427" i="5"/>
  <c r="I426" i="5"/>
  <c r="H425" i="5"/>
  <c r="E423" i="5"/>
  <c r="F423" i="5" s="1"/>
  <c r="N419" i="5"/>
  <c r="M418" i="5"/>
  <c r="L417" i="5"/>
  <c r="K416" i="5"/>
  <c r="G416" i="5" s="1"/>
  <c r="J415" i="5"/>
  <c r="I414" i="5"/>
  <c r="H413" i="5"/>
  <c r="E411" i="5"/>
  <c r="F411" i="5" s="1"/>
  <c r="N407" i="5"/>
  <c r="M406" i="5"/>
  <c r="L405" i="5"/>
  <c r="K404" i="5"/>
  <c r="G404" i="5" s="1"/>
  <c r="J403" i="5"/>
  <c r="I402" i="5"/>
  <c r="H401" i="5"/>
  <c r="E399" i="5"/>
  <c r="F399" i="5" s="1"/>
  <c r="N395" i="5"/>
  <c r="M394" i="5"/>
  <c r="J393" i="5"/>
  <c r="B392" i="5"/>
  <c r="K390" i="5"/>
  <c r="G390" i="5" s="1"/>
  <c r="B383" i="5"/>
  <c r="B361" i="5"/>
  <c r="B217" i="5"/>
  <c r="B470" i="5"/>
  <c r="B458" i="5"/>
  <c r="B446" i="5"/>
  <c r="B434" i="5"/>
  <c r="B422" i="5"/>
  <c r="B410" i="5"/>
  <c r="B398" i="5"/>
  <c r="E389" i="5"/>
  <c r="F389" i="5" s="1"/>
  <c r="I387" i="5"/>
  <c r="B375" i="5"/>
  <c r="B336" i="5"/>
  <c r="N285" i="5"/>
  <c r="K429" i="5"/>
  <c r="G429" i="5" s="1"/>
  <c r="J428" i="5"/>
  <c r="I427" i="5"/>
  <c r="H426" i="5"/>
  <c r="E424" i="5"/>
  <c r="F424" i="5" s="1"/>
  <c r="N420" i="5"/>
  <c r="M419" i="5"/>
  <c r="L418" i="5"/>
  <c r="K417" i="5"/>
  <c r="G417" i="5" s="1"/>
  <c r="J416" i="5"/>
  <c r="I415" i="5"/>
  <c r="H414" i="5"/>
  <c r="E412" i="5"/>
  <c r="F412" i="5" s="1"/>
  <c r="N408" i="5"/>
  <c r="M407" i="5"/>
  <c r="L406" i="5"/>
  <c r="K405" i="5"/>
  <c r="G405" i="5" s="1"/>
  <c r="J404" i="5"/>
  <c r="I403" i="5"/>
  <c r="H402" i="5"/>
  <c r="E400" i="5"/>
  <c r="F400" i="5" s="1"/>
  <c r="N396" i="5"/>
  <c r="M395" i="5"/>
  <c r="L394" i="5"/>
  <c r="I393" i="5"/>
  <c r="J390" i="5"/>
  <c r="E385" i="5"/>
  <c r="F385" i="5" s="1"/>
  <c r="N297" i="5"/>
  <c r="K285" i="5"/>
  <c r="G285" i="5" s="1"/>
  <c r="N215" i="5"/>
  <c r="B435" i="5"/>
  <c r="B423" i="5"/>
  <c r="B411" i="5"/>
  <c r="B399" i="5"/>
  <c r="H393" i="5"/>
  <c r="H387" i="5"/>
  <c r="N382" i="5"/>
  <c r="I252" i="5"/>
  <c r="I215" i="5"/>
  <c r="J194" i="5"/>
  <c r="H475" i="5"/>
  <c r="E473" i="5"/>
  <c r="F473" i="5" s="1"/>
  <c r="N469" i="5"/>
  <c r="M468" i="5"/>
  <c r="L467" i="5"/>
  <c r="K466" i="5"/>
  <c r="G466" i="5" s="1"/>
  <c r="J465" i="5"/>
  <c r="I464" i="5"/>
  <c r="H463" i="5"/>
  <c r="E461" i="5"/>
  <c r="F461" i="5" s="1"/>
  <c r="N457" i="5"/>
  <c r="M456" i="5"/>
  <c r="L455" i="5"/>
  <c r="K454" i="5"/>
  <c r="G454" i="5" s="1"/>
  <c r="J453" i="5"/>
  <c r="I452" i="5"/>
  <c r="H451" i="5"/>
  <c r="E449" i="5"/>
  <c r="F449" i="5" s="1"/>
  <c r="N445" i="5"/>
  <c r="M444" i="5"/>
  <c r="L443" i="5"/>
  <c r="K442" i="5"/>
  <c r="G442" i="5" s="1"/>
  <c r="J441" i="5"/>
  <c r="I440" i="5"/>
  <c r="H439" i="5"/>
  <c r="E437" i="5"/>
  <c r="F437" i="5" s="1"/>
  <c r="N433" i="5"/>
  <c r="M432" i="5"/>
  <c r="L431" i="5"/>
  <c r="K430" i="5"/>
  <c r="G430" i="5" s="1"/>
  <c r="J429" i="5"/>
  <c r="I428" i="5"/>
  <c r="H427" i="5"/>
  <c r="E425" i="5"/>
  <c r="F425" i="5" s="1"/>
  <c r="N421" i="5"/>
  <c r="M420" i="5"/>
  <c r="L419" i="5"/>
  <c r="K418" i="5"/>
  <c r="G418" i="5" s="1"/>
  <c r="J417" i="5"/>
  <c r="I416" i="5"/>
  <c r="H415" i="5"/>
  <c r="E413" i="5"/>
  <c r="F413" i="5" s="1"/>
  <c r="N409" i="5"/>
  <c r="M408" i="5"/>
  <c r="L407" i="5"/>
  <c r="K406" i="5"/>
  <c r="G406" i="5" s="1"/>
  <c r="J405" i="5"/>
  <c r="I404" i="5"/>
  <c r="H403" i="5"/>
  <c r="E401" i="5"/>
  <c r="F401" i="5" s="1"/>
  <c r="N397" i="5"/>
  <c r="M396" i="5"/>
  <c r="L395" i="5"/>
  <c r="K394" i="5"/>
  <c r="G394" i="5" s="1"/>
  <c r="M391" i="5"/>
  <c r="I390" i="5"/>
  <c r="M388" i="5"/>
  <c r="B360" i="5"/>
  <c r="B335" i="5"/>
  <c r="L305" i="5"/>
  <c r="J296" i="5"/>
  <c r="J269" i="5"/>
  <c r="B472" i="5"/>
  <c r="B460" i="5"/>
  <c r="B448" i="5"/>
  <c r="B436" i="5"/>
  <c r="B424" i="5"/>
  <c r="B412" i="5"/>
  <c r="B400" i="5"/>
  <c r="E393" i="5"/>
  <c r="F393" i="5" s="1"/>
  <c r="H390" i="5"/>
  <c r="B385" i="5"/>
  <c r="M382" i="5"/>
  <c r="B369" i="5"/>
  <c r="B351" i="5"/>
  <c r="J313" i="5"/>
  <c r="H296" i="5"/>
  <c r="E474" i="5"/>
  <c r="F474" i="5" s="1"/>
  <c r="N470" i="5"/>
  <c r="M469" i="5"/>
  <c r="L468" i="5"/>
  <c r="K467" i="5"/>
  <c r="G467" i="5" s="1"/>
  <c r="J466" i="5"/>
  <c r="I465" i="5"/>
  <c r="H464" i="5"/>
  <c r="E462" i="5"/>
  <c r="F462" i="5" s="1"/>
  <c r="N458" i="5"/>
  <c r="M457" i="5"/>
  <c r="L456" i="5"/>
  <c r="K455" i="5"/>
  <c r="G455" i="5" s="1"/>
  <c r="J454" i="5"/>
  <c r="I453" i="5"/>
  <c r="H452" i="5"/>
  <c r="E450" i="5"/>
  <c r="F450" i="5" s="1"/>
  <c r="N446" i="5"/>
  <c r="M445" i="5"/>
  <c r="L444" i="5"/>
  <c r="K443" i="5"/>
  <c r="G443" i="5" s="1"/>
  <c r="J442" i="5"/>
  <c r="I441" i="5"/>
  <c r="H440" i="5"/>
  <c r="E438" i="5"/>
  <c r="F438" i="5" s="1"/>
  <c r="N434" i="5"/>
  <c r="M433" i="5"/>
  <c r="L432" i="5"/>
  <c r="K431" i="5"/>
  <c r="G431" i="5" s="1"/>
  <c r="J430" i="5"/>
  <c r="I429" i="5"/>
  <c r="H428" i="5"/>
  <c r="E426" i="5"/>
  <c r="F426" i="5" s="1"/>
  <c r="N422" i="5"/>
  <c r="M421" i="5"/>
  <c r="L420" i="5"/>
  <c r="K419" i="5"/>
  <c r="G419" i="5" s="1"/>
  <c r="J418" i="5"/>
  <c r="I417" i="5"/>
  <c r="H416" i="5"/>
  <c r="E414" i="5"/>
  <c r="F414" i="5" s="1"/>
  <c r="N410" i="5"/>
  <c r="M409" i="5"/>
  <c r="L408" i="5"/>
  <c r="K407" i="5"/>
  <c r="G407" i="5" s="1"/>
  <c r="J406" i="5"/>
  <c r="I405" i="5"/>
  <c r="H404" i="5"/>
  <c r="E402" i="5"/>
  <c r="F402" i="5" s="1"/>
  <c r="N398" i="5"/>
  <c r="M397" i="5"/>
  <c r="L396" i="5"/>
  <c r="K395" i="5"/>
  <c r="G395" i="5" s="1"/>
  <c r="J394" i="5"/>
  <c r="L391" i="5"/>
  <c r="L388" i="5"/>
  <c r="I282" i="5"/>
  <c r="K231" i="5"/>
  <c r="G231" i="5" s="1"/>
  <c r="B382" i="5"/>
  <c r="B370" i="5"/>
  <c r="B358" i="5"/>
  <c r="B346" i="5"/>
  <c r="B334" i="5"/>
  <c r="K316" i="5"/>
  <c r="G316" i="5" s="1"/>
  <c r="K312" i="5"/>
  <c r="G312" i="5" s="1"/>
  <c r="M309" i="5"/>
  <c r="J308" i="5"/>
  <c r="M305" i="5"/>
  <c r="E300" i="5"/>
  <c r="F300" i="5" s="1"/>
  <c r="J298" i="5"/>
  <c r="K296" i="5"/>
  <c r="G296" i="5" s="1"/>
  <c r="I294" i="5"/>
  <c r="E292" i="5"/>
  <c r="F292" i="5" s="1"/>
  <c r="L289" i="5"/>
  <c r="L282" i="5"/>
  <c r="M274" i="5"/>
  <c r="H259" i="5"/>
  <c r="H246" i="5"/>
  <c r="J239" i="5"/>
  <c r="E225" i="5"/>
  <c r="F225" i="5" s="1"/>
  <c r="J217" i="5"/>
  <c r="K195" i="5"/>
  <c r="G195" i="5" s="1"/>
  <c r="M379" i="5"/>
  <c r="L378" i="5"/>
  <c r="K377" i="5"/>
  <c r="G377" i="5" s="1"/>
  <c r="J376" i="5"/>
  <c r="I375" i="5"/>
  <c r="H374" i="5"/>
  <c r="E372" i="5"/>
  <c r="F372" i="5" s="1"/>
  <c r="N368" i="5"/>
  <c r="M367" i="5"/>
  <c r="L366" i="5"/>
  <c r="K365" i="5"/>
  <c r="G365" i="5" s="1"/>
  <c r="J364" i="5"/>
  <c r="I363" i="5"/>
  <c r="H362" i="5"/>
  <c r="E360" i="5"/>
  <c r="F360" i="5" s="1"/>
  <c r="N356" i="5"/>
  <c r="M355" i="5"/>
  <c r="L354" i="5"/>
  <c r="K353" i="5"/>
  <c r="G353" i="5" s="1"/>
  <c r="J352" i="5"/>
  <c r="I351" i="5"/>
  <c r="H350" i="5"/>
  <c r="E348" i="5"/>
  <c r="F348" i="5" s="1"/>
  <c r="N344" i="5"/>
  <c r="M343" i="5"/>
  <c r="L342" i="5"/>
  <c r="K341" i="5"/>
  <c r="G341" i="5" s="1"/>
  <c r="J340" i="5"/>
  <c r="I339" i="5"/>
  <c r="H338" i="5"/>
  <c r="E336" i="5"/>
  <c r="F336" i="5" s="1"/>
  <c r="N332" i="5"/>
  <c r="M331" i="5"/>
  <c r="L330" i="5"/>
  <c r="K329" i="5"/>
  <c r="G329" i="5" s="1"/>
  <c r="J328" i="5"/>
  <c r="I327" i="5"/>
  <c r="H326" i="5"/>
  <c r="E324" i="5"/>
  <c r="F324" i="5" s="1"/>
  <c r="N321" i="5"/>
  <c r="K320" i="5"/>
  <c r="G320" i="5" s="1"/>
  <c r="H319" i="5"/>
  <c r="J316" i="5"/>
  <c r="N313" i="5"/>
  <c r="I312" i="5"/>
  <c r="I298" i="5"/>
  <c r="I289" i="5"/>
  <c r="E286" i="5"/>
  <c r="F286" i="5" s="1"/>
  <c r="K282" i="5"/>
  <c r="G282" i="5" s="1"/>
  <c r="B279" i="5"/>
  <c r="L274" i="5"/>
  <c r="K269" i="5"/>
  <c r="G269" i="5" s="1"/>
  <c r="E264" i="5"/>
  <c r="F264" i="5" s="1"/>
  <c r="J252" i="5"/>
  <c r="N381" i="5"/>
  <c r="M380" i="5"/>
  <c r="L379" i="5"/>
  <c r="K378" i="5"/>
  <c r="G378" i="5" s="1"/>
  <c r="J377" i="5"/>
  <c r="I376" i="5"/>
  <c r="H375" i="5"/>
  <c r="E373" i="5"/>
  <c r="F373" i="5" s="1"/>
  <c r="N369" i="5"/>
  <c r="M368" i="5"/>
  <c r="L367" i="5"/>
  <c r="K366" i="5"/>
  <c r="G366" i="5" s="1"/>
  <c r="J365" i="5"/>
  <c r="I364" i="5"/>
  <c r="H363" i="5"/>
  <c r="E361" i="5"/>
  <c r="F361" i="5" s="1"/>
  <c r="N357" i="5"/>
  <c r="M356" i="5"/>
  <c r="L355" i="5"/>
  <c r="K354" i="5"/>
  <c r="G354" i="5" s="1"/>
  <c r="J353" i="5"/>
  <c r="I352" i="5"/>
  <c r="H351" i="5"/>
  <c r="E349" i="5"/>
  <c r="F349" i="5" s="1"/>
  <c r="N345" i="5"/>
  <c r="M344" i="5"/>
  <c r="L343" i="5"/>
  <c r="K342" i="5"/>
  <c r="G342" i="5" s="1"/>
  <c r="J341" i="5"/>
  <c r="I340" i="5"/>
  <c r="H339" i="5"/>
  <c r="E337" i="5"/>
  <c r="F337" i="5" s="1"/>
  <c r="N333" i="5"/>
  <c r="M332" i="5"/>
  <c r="L331" i="5"/>
  <c r="K330" i="5"/>
  <c r="G330" i="5" s="1"/>
  <c r="J329" i="5"/>
  <c r="I328" i="5"/>
  <c r="H327" i="5"/>
  <c r="E325" i="5"/>
  <c r="F325" i="5" s="1"/>
  <c r="M321" i="5"/>
  <c r="J320" i="5"/>
  <c r="M317" i="5"/>
  <c r="I316" i="5"/>
  <c r="M313" i="5"/>
  <c r="K305" i="5"/>
  <c r="G305" i="5" s="1"/>
  <c r="B300" i="5"/>
  <c r="N291" i="5"/>
  <c r="E289" i="5"/>
  <c r="F289" i="5" s="1"/>
  <c r="H282" i="5"/>
  <c r="H278" i="5"/>
  <c r="N245" i="5"/>
  <c r="I238" i="5"/>
  <c r="B224" i="5"/>
  <c r="M207" i="5"/>
  <c r="M381" i="5"/>
  <c r="L380" i="5"/>
  <c r="K379" i="5"/>
  <c r="G379" i="5" s="1"/>
  <c r="J378" i="5"/>
  <c r="I377" i="5"/>
  <c r="H376" i="5"/>
  <c r="E374" i="5"/>
  <c r="F374" i="5" s="1"/>
  <c r="N370" i="5"/>
  <c r="M369" i="5"/>
  <c r="L368" i="5"/>
  <c r="K367" i="5"/>
  <c r="G367" i="5" s="1"/>
  <c r="J366" i="5"/>
  <c r="I365" i="5"/>
  <c r="H364" i="5"/>
  <c r="E362" i="5"/>
  <c r="F362" i="5" s="1"/>
  <c r="N358" i="5"/>
  <c r="M357" i="5"/>
  <c r="L356" i="5"/>
  <c r="K355" i="5"/>
  <c r="G355" i="5" s="1"/>
  <c r="J354" i="5"/>
  <c r="I353" i="5"/>
  <c r="H352" i="5"/>
  <c r="E350" i="5"/>
  <c r="F350" i="5" s="1"/>
  <c r="N346" i="5"/>
  <c r="M345" i="5"/>
  <c r="L344" i="5"/>
  <c r="K343" i="5"/>
  <c r="G343" i="5" s="1"/>
  <c r="J342" i="5"/>
  <c r="I341" i="5"/>
  <c r="H340" i="5"/>
  <c r="E338" i="5"/>
  <c r="F338" i="5" s="1"/>
  <c r="N334" i="5"/>
  <c r="M333" i="5"/>
  <c r="L332" i="5"/>
  <c r="K331" i="5"/>
  <c r="G331" i="5" s="1"/>
  <c r="J330" i="5"/>
  <c r="I329" i="5"/>
  <c r="H328" i="5"/>
  <c r="E326" i="5"/>
  <c r="F326" i="5" s="1"/>
  <c r="N322" i="5"/>
  <c r="L321" i="5"/>
  <c r="I320" i="5"/>
  <c r="E319" i="5"/>
  <c r="F319" i="5" s="1"/>
  <c r="L317" i="5"/>
  <c r="H316" i="5"/>
  <c r="B315" i="5"/>
  <c r="L313" i="5"/>
  <c r="E312" i="5"/>
  <c r="F312" i="5" s="1"/>
  <c r="N310" i="5"/>
  <c r="N306" i="5"/>
  <c r="J305" i="5"/>
  <c r="N303" i="5"/>
  <c r="B302" i="5"/>
  <c r="I291" i="5"/>
  <c r="L285" i="5"/>
  <c r="N273" i="5"/>
  <c r="L381" i="5"/>
  <c r="K380" i="5"/>
  <c r="G380" i="5" s="1"/>
  <c r="J379" i="5"/>
  <c r="I378" i="5"/>
  <c r="H377" i="5"/>
  <c r="E375" i="5"/>
  <c r="F375" i="5" s="1"/>
  <c r="N371" i="5"/>
  <c r="M370" i="5"/>
  <c r="L369" i="5"/>
  <c r="K368" i="5"/>
  <c r="G368" i="5" s="1"/>
  <c r="J367" i="5"/>
  <c r="I366" i="5"/>
  <c r="H365" i="5"/>
  <c r="E363" i="5"/>
  <c r="F363" i="5" s="1"/>
  <c r="N359" i="5"/>
  <c r="M358" i="5"/>
  <c r="L357" i="5"/>
  <c r="K356" i="5"/>
  <c r="G356" i="5" s="1"/>
  <c r="J355" i="5"/>
  <c r="I354" i="5"/>
  <c r="H353" i="5"/>
  <c r="E351" i="5"/>
  <c r="F351" i="5" s="1"/>
  <c r="N347" i="5"/>
  <c r="M346" i="5"/>
  <c r="L345" i="5"/>
  <c r="K344" i="5"/>
  <c r="G344" i="5" s="1"/>
  <c r="J343" i="5"/>
  <c r="I342" i="5"/>
  <c r="H341" i="5"/>
  <c r="E339" i="5"/>
  <c r="F339" i="5" s="1"/>
  <c r="N335" i="5"/>
  <c r="M334" i="5"/>
  <c r="L333" i="5"/>
  <c r="K332" i="5"/>
  <c r="G332" i="5" s="1"/>
  <c r="J331" i="5"/>
  <c r="I330" i="5"/>
  <c r="H329" i="5"/>
  <c r="E327" i="5"/>
  <c r="F327" i="5" s="1"/>
  <c r="N323" i="5"/>
  <c r="M322" i="5"/>
  <c r="K321" i="5"/>
  <c r="G321" i="5" s="1"/>
  <c r="H320" i="5"/>
  <c r="I313" i="5"/>
  <c r="M310" i="5"/>
  <c r="M306" i="5"/>
  <c r="I305" i="5"/>
  <c r="J303" i="5"/>
  <c r="M293" i="5"/>
  <c r="N288" i="5"/>
  <c r="K281" i="5"/>
  <c r="G281" i="5" s="1"/>
  <c r="K273" i="5"/>
  <c r="G273" i="5" s="1"/>
  <c r="I268" i="5"/>
  <c r="N257" i="5"/>
  <c r="I222" i="5"/>
  <c r="I174" i="5"/>
  <c r="B386" i="5"/>
  <c r="B374" i="5"/>
  <c r="B362" i="5"/>
  <c r="B350" i="5"/>
  <c r="B338" i="5"/>
  <c r="B326" i="5"/>
  <c r="N318" i="5"/>
  <c r="J317" i="5"/>
  <c r="N314" i="5"/>
  <c r="B312" i="5"/>
  <c r="I309" i="5"/>
  <c r="L306" i="5"/>
  <c r="I303" i="5"/>
  <c r="M301" i="5"/>
  <c r="M299" i="5"/>
  <c r="M297" i="5"/>
  <c r="M295" i="5"/>
  <c r="K293" i="5"/>
  <c r="G293" i="5" s="1"/>
  <c r="E291" i="5"/>
  <c r="F291" i="5" s="1"/>
  <c r="J281" i="5"/>
  <c r="E268" i="5"/>
  <c r="F268" i="5" s="1"/>
  <c r="I244" i="5"/>
  <c r="N236" i="5"/>
  <c r="H222" i="5"/>
  <c r="I214" i="5"/>
  <c r="L382" i="5"/>
  <c r="K381" i="5"/>
  <c r="G381" i="5" s="1"/>
  <c r="J380" i="5"/>
  <c r="I379" i="5"/>
  <c r="H378" i="5"/>
  <c r="E376" i="5"/>
  <c r="F376" i="5" s="1"/>
  <c r="N372" i="5"/>
  <c r="M371" i="5"/>
  <c r="L370" i="5"/>
  <c r="K369" i="5"/>
  <c r="G369" i="5" s="1"/>
  <c r="J368" i="5"/>
  <c r="I367" i="5"/>
  <c r="H366" i="5"/>
  <c r="E364" i="5"/>
  <c r="F364" i="5" s="1"/>
  <c r="N360" i="5"/>
  <c r="M359" i="5"/>
  <c r="L358" i="5"/>
  <c r="K357" i="5"/>
  <c r="G357" i="5" s="1"/>
  <c r="J356" i="5"/>
  <c r="I355" i="5"/>
  <c r="H354" i="5"/>
  <c r="E352" i="5"/>
  <c r="F352" i="5" s="1"/>
  <c r="N348" i="5"/>
  <c r="M347" i="5"/>
  <c r="L346" i="5"/>
  <c r="K345" i="5"/>
  <c r="G345" i="5" s="1"/>
  <c r="J344" i="5"/>
  <c r="I343" i="5"/>
  <c r="H342" i="5"/>
  <c r="E340" i="5"/>
  <c r="F340" i="5" s="1"/>
  <c r="N336" i="5"/>
  <c r="M335" i="5"/>
  <c r="L334" i="5"/>
  <c r="K333" i="5"/>
  <c r="G333" i="5" s="1"/>
  <c r="J332" i="5"/>
  <c r="I331" i="5"/>
  <c r="H330" i="5"/>
  <c r="E328" i="5"/>
  <c r="F328" i="5" s="1"/>
  <c r="N324" i="5"/>
  <c r="M323" i="5"/>
  <c r="L322" i="5"/>
  <c r="J321" i="5"/>
  <c r="E316" i="5"/>
  <c r="F316" i="5" s="1"/>
  <c r="H313" i="5"/>
  <c r="L310" i="5"/>
  <c r="H305" i="5"/>
  <c r="L301" i="5"/>
  <c r="J293" i="5"/>
  <c r="L288" i="5"/>
  <c r="H281" i="5"/>
  <c r="L262" i="5"/>
  <c r="B257" i="5"/>
  <c r="H214" i="5"/>
  <c r="I204" i="5"/>
  <c r="E190" i="5"/>
  <c r="F190" i="5" s="1"/>
  <c r="B339" i="5"/>
  <c r="B327" i="5"/>
  <c r="M318" i="5"/>
  <c r="I317" i="5"/>
  <c r="M314" i="5"/>
  <c r="H309" i="5"/>
  <c r="K306" i="5"/>
  <c r="G306" i="5" s="1"/>
  <c r="H303" i="5"/>
  <c r="I301" i="5"/>
  <c r="K299" i="5"/>
  <c r="G299" i="5" s="1"/>
  <c r="L297" i="5"/>
  <c r="L295" i="5"/>
  <c r="I293" i="5"/>
  <c r="K288" i="5"/>
  <c r="G288" i="5" s="1"/>
  <c r="N284" i="5"/>
  <c r="E277" i="5"/>
  <c r="F277" i="5" s="1"/>
  <c r="N272" i="5"/>
  <c r="I267" i="5"/>
  <c r="I250" i="5"/>
  <c r="I243" i="5"/>
  <c r="M172" i="5"/>
  <c r="N385" i="5"/>
  <c r="M384" i="5"/>
  <c r="L383" i="5"/>
  <c r="K382" i="5"/>
  <c r="G382" i="5" s="1"/>
  <c r="J381" i="5"/>
  <c r="I380" i="5"/>
  <c r="H379" i="5"/>
  <c r="E377" i="5"/>
  <c r="F377" i="5" s="1"/>
  <c r="N373" i="5"/>
  <c r="M372" i="5"/>
  <c r="L371" i="5"/>
  <c r="K370" i="5"/>
  <c r="G370" i="5" s="1"/>
  <c r="J369" i="5"/>
  <c r="I368" i="5"/>
  <c r="H367" i="5"/>
  <c r="E365" i="5"/>
  <c r="F365" i="5" s="1"/>
  <c r="N361" i="5"/>
  <c r="M360" i="5"/>
  <c r="L359" i="5"/>
  <c r="K358" i="5"/>
  <c r="G358" i="5" s="1"/>
  <c r="J357" i="5"/>
  <c r="I356" i="5"/>
  <c r="H355" i="5"/>
  <c r="E353" i="5"/>
  <c r="F353" i="5" s="1"/>
  <c r="N349" i="5"/>
  <c r="M348" i="5"/>
  <c r="L347" i="5"/>
  <c r="K346" i="5"/>
  <c r="G346" i="5" s="1"/>
  <c r="J345" i="5"/>
  <c r="I344" i="5"/>
  <c r="H343" i="5"/>
  <c r="E341" i="5"/>
  <c r="F341" i="5" s="1"/>
  <c r="N337" i="5"/>
  <c r="M336" i="5"/>
  <c r="L335" i="5"/>
  <c r="K334" i="5"/>
  <c r="G334" i="5" s="1"/>
  <c r="J333" i="5"/>
  <c r="I332" i="5"/>
  <c r="H331" i="5"/>
  <c r="E329" i="5"/>
  <c r="F329" i="5" s="1"/>
  <c r="N325" i="5"/>
  <c r="M324" i="5"/>
  <c r="L323" i="5"/>
  <c r="K322" i="5"/>
  <c r="G322" i="5" s="1"/>
  <c r="I321" i="5"/>
  <c r="L318" i="5"/>
  <c r="K314" i="5"/>
  <c r="G314" i="5" s="1"/>
  <c r="N311" i="5"/>
  <c r="K310" i="5"/>
  <c r="G310" i="5" s="1"/>
  <c r="E309" i="5"/>
  <c r="F309" i="5" s="1"/>
  <c r="N307" i="5"/>
  <c r="J299" i="5"/>
  <c r="H293" i="5"/>
  <c r="B291" i="5"/>
  <c r="H288" i="5"/>
  <c r="M284" i="5"/>
  <c r="M272" i="5"/>
  <c r="H267" i="5"/>
  <c r="N221" i="5"/>
  <c r="B376" i="5"/>
  <c r="B364" i="5"/>
  <c r="B352" i="5"/>
  <c r="B340" i="5"/>
  <c r="B328" i="5"/>
  <c r="H317" i="5"/>
  <c r="B316" i="5"/>
  <c r="J314" i="5"/>
  <c r="E313" i="5"/>
  <c r="F313" i="5" s="1"/>
  <c r="M307" i="5"/>
  <c r="J306" i="5"/>
  <c r="K297" i="5"/>
  <c r="G297" i="5" s="1"/>
  <c r="K295" i="5"/>
  <c r="G295" i="5" s="1"/>
  <c r="N290" i="5"/>
  <c r="E288" i="5"/>
  <c r="F288" i="5" s="1"/>
  <c r="K284" i="5"/>
  <c r="G284" i="5" s="1"/>
  <c r="J272" i="5"/>
  <c r="J256" i="5"/>
  <c r="I228" i="5"/>
  <c r="B203" i="5"/>
  <c r="N386" i="5"/>
  <c r="M385" i="5"/>
  <c r="L384" i="5"/>
  <c r="K383" i="5"/>
  <c r="G383" i="5" s="1"/>
  <c r="J382" i="5"/>
  <c r="I381" i="5"/>
  <c r="H380" i="5"/>
  <c r="E378" i="5"/>
  <c r="F378" i="5" s="1"/>
  <c r="N374" i="5"/>
  <c r="M373" i="5"/>
  <c r="L372" i="5"/>
  <c r="K371" i="5"/>
  <c r="G371" i="5" s="1"/>
  <c r="J370" i="5"/>
  <c r="I369" i="5"/>
  <c r="H368" i="5"/>
  <c r="E366" i="5"/>
  <c r="F366" i="5" s="1"/>
  <c r="N362" i="5"/>
  <c r="M361" i="5"/>
  <c r="L360" i="5"/>
  <c r="K359" i="5"/>
  <c r="G359" i="5" s="1"/>
  <c r="J358" i="5"/>
  <c r="I357" i="5"/>
  <c r="H356" i="5"/>
  <c r="E354" i="5"/>
  <c r="F354" i="5" s="1"/>
  <c r="N350" i="5"/>
  <c r="M349" i="5"/>
  <c r="L348" i="5"/>
  <c r="K347" i="5"/>
  <c r="G347" i="5" s="1"/>
  <c r="J346" i="5"/>
  <c r="I345" i="5"/>
  <c r="H344" i="5"/>
  <c r="E342" i="5"/>
  <c r="F342" i="5" s="1"/>
  <c r="N338" i="5"/>
  <c r="M337" i="5"/>
  <c r="L336" i="5"/>
  <c r="K335" i="5"/>
  <c r="G335" i="5" s="1"/>
  <c r="J334" i="5"/>
  <c r="I333" i="5"/>
  <c r="H332" i="5"/>
  <c r="E330" i="5"/>
  <c r="F330" i="5" s="1"/>
  <c r="N326" i="5"/>
  <c r="M325" i="5"/>
  <c r="L324" i="5"/>
  <c r="K323" i="5"/>
  <c r="G323" i="5" s="1"/>
  <c r="J322" i="5"/>
  <c r="H321" i="5"/>
  <c r="K318" i="5"/>
  <c r="G318" i="5" s="1"/>
  <c r="M311" i="5"/>
  <c r="J310" i="5"/>
  <c r="E301" i="5"/>
  <c r="F301" i="5" s="1"/>
  <c r="J295" i="5"/>
  <c r="M290" i="5"/>
  <c r="J284" i="5"/>
  <c r="L280" i="5"/>
  <c r="N276" i="5"/>
  <c r="N261" i="5"/>
  <c r="H249" i="5"/>
  <c r="M242" i="5"/>
  <c r="E235" i="5"/>
  <c r="F235" i="5" s="1"/>
  <c r="N220" i="5"/>
  <c r="I83" i="5"/>
  <c r="B389" i="5"/>
  <c r="B377" i="5"/>
  <c r="B365" i="5"/>
  <c r="B353" i="5"/>
  <c r="B341" i="5"/>
  <c r="B329" i="5"/>
  <c r="E321" i="5"/>
  <c r="F321" i="5" s="1"/>
  <c r="N319" i="5"/>
  <c r="I314" i="5"/>
  <c r="B309" i="5"/>
  <c r="L307" i="5"/>
  <c r="I306" i="5"/>
  <c r="E303" i="5"/>
  <c r="F303" i="5" s="1"/>
  <c r="I297" i="5"/>
  <c r="J290" i="5"/>
  <c r="J280" i="5"/>
  <c r="B267" i="5"/>
  <c r="K261" i="5"/>
  <c r="G261" i="5" s="1"/>
  <c r="K255" i="5"/>
  <c r="G255" i="5" s="1"/>
  <c r="M220" i="5"/>
  <c r="N212" i="5"/>
  <c r="E391" i="5"/>
  <c r="F391" i="5" s="1"/>
  <c r="N387" i="5"/>
  <c r="M386" i="5"/>
  <c r="L385" i="5"/>
  <c r="K384" i="5"/>
  <c r="G384" i="5" s="1"/>
  <c r="J383" i="5"/>
  <c r="I382" i="5"/>
  <c r="H381" i="5"/>
  <c r="E379" i="5"/>
  <c r="F379" i="5" s="1"/>
  <c r="N375" i="5"/>
  <c r="M374" i="5"/>
  <c r="L373" i="5"/>
  <c r="K372" i="5"/>
  <c r="G372" i="5" s="1"/>
  <c r="J371" i="5"/>
  <c r="I370" i="5"/>
  <c r="H369" i="5"/>
  <c r="E367" i="5"/>
  <c r="F367" i="5" s="1"/>
  <c r="N363" i="5"/>
  <c r="M362" i="5"/>
  <c r="L361" i="5"/>
  <c r="K360" i="5"/>
  <c r="G360" i="5" s="1"/>
  <c r="J359" i="5"/>
  <c r="I358" i="5"/>
  <c r="H357" i="5"/>
  <c r="E355" i="5"/>
  <c r="F355" i="5" s="1"/>
  <c r="N351" i="5"/>
  <c r="M350" i="5"/>
  <c r="L349" i="5"/>
  <c r="K348" i="5"/>
  <c r="G348" i="5" s="1"/>
  <c r="J347" i="5"/>
  <c r="I346" i="5"/>
  <c r="H345" i="5"/>
  <c r="E343" i="5"/>
  <c r="F343" i="5" s="1"/>
  <c r="N339" i="5"/>
  <c r="M338" i="5"/>
  <c r="L337" i="5"/>
  <c r="K336" i="5"/>
  <c r="G336" i="5" s="1"/>
  <c r="J335" i="5"/>
  <c r="I334" i="5"/>
  <c r="H333" i="5"/>
  <c r="E331" i="5"/>
  <c r="F331" i="5" s="1"/>
  <c r="N327" i="5"/>
  <c r="M326" i="5"/>
  <c r="L325" i="5"/>
  <c r="K324" i="5"/>
  <c r="G324" i="5" s="1"/>
  <c r="J323" i="5"/>
  <c r="I322" i="5"/>
  <c r="M319" i="5"/>
  <c r="J318" i="5"/>
  <c r="N315" i="5"/>
  <c r="H314" i="5"/>
  <c r="B313" i="5"/>
  <c r="L311" i="5"/>
  <c r="I310" i="5"/>
  <c r="B299" i="5"/>
  <c r="H297" i="5"/>
  <c r="I295" i="5"/>
  <c r="H290" i="5"/>
  <c r="N287" i="5"/>
  <c r="I280" i="5"/>
  <c r="E276" i="5"/>
  <c r="F276" i="5" s="1"/>
  <c r="M271" i="5"/>
  <c r="H266" i="5"/>
  <c r="I255" i="5"/>
  <c r="N234" i="5"/>
  <c r="H227" i="5"/>
  <c r="E200" i="5"/>
  <c r="F200" i="5" s="1"/>
  <c r="N186" i="5"/>
  <c r="B390" i="5"/>
  <c r="B378" i="5"/>
  <c r="B366" i="5"/>
  <c r="B354" i="5"/>
  <c r="B342" i="5"/>
  <c r="B330" i="5"/>
  <c r="H322" i="5"/>
  <c r="E317" i="5"/>
  <c r="F317" i="5" s="1"/>
  <c r="L315" i="5"/>
  <c r="N308" i="5"/>
  <c r="K307" i="5"/>
  <c r="G307" i="5" s="1"/>
  <c r="H306" i="5"/>
  <c r="L304" i="5"/>
  <c r="B301" i="5"/>
  <c r="M287" i="5"/>
  <c r="L271" i="5"/>
  <c r="B249" i="5"/>
  <c r="L241" i="5"/>
  <c r="K147" i="5"/>
  <c r="G147" i="5" s="1"/>
  <c r="E392" i="5"/>
  <c r="F392" i="5" s="1"/>
  <c r="N388" i="5"/>
  <c r="M387" i="5"/>
  <c r="L386" i="5"/>
  <c r="K385" i="5"/>
  <c r="G385" i="5" s="1"/>
  <c r="J384" i="5"/>
  <c r="I383" i="5"/>
  <c r="H382" i="5"/>
  <c r="E380" i="5"/>
  <c r="F380" i="5" s="1"/>
  <c r="N376" i="5"/>
  <c r="M375" i="5"/>
  <c r="L374" i="5"/>
  <c r="K373" i="5"/>
  <c r="G373" i="5" s="1"/>
  <c r="J372" i="5"/>
  <c r="I371" i="5"/>
  <c r="H370" i="5"/>
  <c r="E368" i="5"/>
  <c r="F368" i="5" s="1"/>
  <c r="N364" i="5"/>
  <c r="M363" i="5"/>
  <c r="L362" i="5"/>
  <c r="K361" i="5"/>
  <c r="G361" i="5" s="1"/>
  <c r="J360" i="5"/>
  <c r="I359" i="5"/>
  <c r="H358" i="5"/>
  <c r="E356" i="5"/>
  <c r="F356" i="5" s="1"/>
  <c r="N352" i="5"/>
  <c r="M351" i="5"/>
  <c r="L350" i="5"/>
  <c r="K349" i="5"/>
  <c r="G349" i="5" s="1"/>
  <c r="J348" i="5"/>
  <c r="I347" i="5"/>
  <c r="H346" i="5"/>
  <c r="E344" i="5"/>
  <c r="F344" i="5" s="1"/>
  <c r="N340" i="5"/>
  <c r="M339" i="5"/>
  <c r="L338" i="5"/>
  <c r="K337" i="5"/>
  <c r="G337" i="5" s="1"/>
  <c r="J336" i="5"/>
  <c r="I335" i="5"/>
  <c r="H334" i="5"/>
  <c r="E332" i="5"/>
  <c r="F332" i="5" s="1"/>
  <c r="N328" i="5"/>
  <c r="M327" i="5"/>
  <c r="L326" i="5"/>
  <c r="K325" i="5"/>
  <c r="G325" i="5" s="1"/>
  <c r="J324" i="5"/>
  <c r="I323" i="5"/>
  <c r="B321" i="5"/>
  <c r="L319" i="5"/>
  <c r="I318" i="5"/>
  <c r="K315" i="5"/>
  <c r="G315" i="5" s="1"/>
  <c r="K311" i="5"/>
  <c r="G311" i="5" s="1"/>
  <c r="E310" i="5"/>
  <c r="F310" i="5" s="1"/>
  <c r="K304" i="5"/>
  <c r="G304" i="5" s="1"/>
  <c r="B303" i="5"/>
  <c r="E290" i="5"/>
  <c r="F290" i="5" s="1"/>
  <c r="M283" i="5"/>
  <c r="E280" i="5"/>
  <c r="F280" i="5" s="1"/>
  <c r="I271" i="5"/>
  <c r="N260" i="5"/>
  <c r="K241" i="5"/>
  <c r="G241" i="5" s="1"/>
  <c r="M185" i="5"/>
  <c r="N167" i="5"/>
  <c r="B391" i="5"/>
  <c r="B379" i="5"/>
  <c r="B367" i="5"/>
  <c r="B355" i="5"/>
  <c r="B343" i="5"/>
  <c r="B331" i="5"/>
  <c r="N312" i="5"/>
  <c r="M308" i="5"/>
  <c r="J307" i="5"/>
  <c r="J304" i="5"/>
  <c r="N302" i="5"/>
  <c r="N298" i="5"/>
  <c r="N296" i="5"/>
  <c r="E295" i="5"/>
  <c r="F295" i="5" s="1"/>
  <c r="L292" i="5"/>
  <c r="L283" i="5"/>
  <c r="N275" i="5"/>
  <c r="M260" i="5"/>
  <c r="B255" i="5"/>
  <c r="B248" i="5"/>
  <c r="M233" i="5"/>
  <c r="M226" i="5"/>
  <c r="E381" i="5"/>
  <c r="F381" i="5" s="1"/>
  <c r="N377" i="5"/>
  <c r="M376" i="5"/>
  <c r="L375" i="5"/>
  <c r="K374" i="5"/>
  <c r="G374" i="5" s="1"/>
  <c r="J373" i="5"/>
  <c r="I372" i="5"/>
  <c r="H371" i="5"/>
  <c r="E369" i="5"/>
  <c r="F369" i="5" s="1"/>
  <c r="N365" i="5"/>
  <c r="M364" i="5"/>
  <c r="L363" i="5"/>
  <c r="K362" i="5"/>
  <c r="G362" i="5" s="1"/>
  <c r="J361" i="5"/>
  <c r="I360" i="5"/>
  <c r="H359" i="5"/>
  <c r="E357" i="5"/>
  <c r="F357" i="5" s="1"/>
  <c r="N353" i="5"/>
  <c r="M352" i="5"/>
  <c r="L351" i="5"/>
  <c r="K350" i="5"/>
  <c r="G350" i="5" s="1"/>
  <c r="J349" i="5"/>
  <c r="I348" i="5"/>
  <c r="H347" i="5"/>
  <c r="E345" i="5"/>
  <c r="F345" i="5" s="1"/>
  <c r="N341" i="5"/>
  <c r="M340" i="5"/>
  <c r="L339" i="5"/>
  <c r="K338" i="5"/>
  <c r="G338" i="5" s="1"/>
  <c r="J337" i="5"/>
  <c r="I336" i="5"/>
  <c r="H335" i="5"/>
  <c r="E333" i="5"/>
  <c r="F333" i="5" s="1"/>
  <c r="N329" i="5"/>
  <c r="M328" i="5"/>
  <c r="L327" i="5"/>
  <c r="K326" i="5"/>
  <c r="G326" i="5" s="1"/>
  <c r="J325" i="5"/>
  <c r="I324" i="5"/>
  <c r="H323" i="5"/>
  <c r="N320" i="5"/>
  <c r="K319" i="5"/>
  <c r="G319" i="5" s="1"/>
  <c r="H318" i="5"/>
  <c r="B317" i="5"/>
  <c r="J315" i="5"/>
  <c r="E314" i="5"/>
  <c r="F314" i="5" s="1"/>
  <c r="J311" i="5"/>
  <c r="M302" i="5"/>
  <c r="N300" i="5"/>
  <c r="J292" i="5"/>
  <c r="J283" i="5"/>
  <c r="K279" i="5"/>
  <c r="G279" i="5" s="1"/>
  <c r="M275" i="5"/>
  <c r="J260" i="5"/>
  <c r="K233" i="5"/>
  <c r="G233" i="5" s="1"/>
  <c r="E211" i="5"/>
  <c r="F211" i="5" s="1"/>
  <c r="N198" i="5"/>
  <c r="B380" i="5"/>
  <c r="B368" i="5"/>
  <c r="B356" i="5"/>
  <c r="B344" i="5"/>
  <c r="B332" i="5"/>
  <c r="E322" i="5"/>
  <c r="F322" i="5" s="1"/>
  <c r="I315" i="5"/>
  <c r="M312" i="5"/>
  <c r="H311" i="5"/>
  <c r="L308" i="5"/>
  <c r="I307" i="5"/>
  <c r="E306" i="5"/>
  <c r="F306" i="5" s="1"/>
  <c r="I304" i="5"/>
  <c r="J302" i="5"/>
  <c r="M298" i="5"/>
  <c r="M296" i="5"/>
  <c r="N294" i="5"/>
  <c r="I292" i="5"/>
  <c r="B290" i="5"/>
  <c r="I283" i="5"/>
  <c r="I279" i="5"/>
  <c r="L270" i="5"/>
  <c r="B254" i="5"/>
  <c r="L218" i="5"/>
  <c r="J386" i="5"/>
  <c r="I385" i="5"/>
  <c r="H384" i="5"/>
  <c r="E382" i="5"/>
  <c r="F382" i="5" s="1"/>
  <c r="N378" i="5"/>
  <c r="M377" i="5"/>
  <c r="L376" i="5"/>
  <c r="K375" i="5"/>
  <c r="G375" i="5" s="1"/>
  <c r="J374" i="5"/>
  <c r="I373" i="5"/>
  <c r="H372" i="5"/>
  <c r="E370" i="5"/>
  <c r="F370" i="5" s="1"/>
  <c r="N366" i="5"/>
  <c r="M365" i="5"/>
  <c r="L364" i="5"/>
  <c r="K363" i="5"/>
  <c r="G363" i="5" s="1"/>
  <c r="J362" i="5"/>
  <c r="I361" i="5"/>
  <c r="H360" i="5"/>
  <c r="E358" i="5"/>
  <c r="F358" i="5" s="1"/>
  <c r="N354" i="5"/>
  <c r="M353" i="5"/>
  <c r="L352" i="5"/>
  <c r="K351" i="5"/>
  <c r="G351" i="5" s="1"/>
  <c r="J350" i="5"/>
  <c r="I349" i="5"/>
  <c r="H348" i="5"/>
  <c r="E346" i="5"/>
  <c r="F346" i="5" s="1"/>
  <c r="N342" i="5"/>
  <c r="M341" i="5"/>
  <c r="L340" i="5"/>
  <c r="K339" i="5"/>
  <c r="G339" i="5" s="1"/>
  <c r="J338" i="5"/>
  <c r="I337" i="5"/>
  <c r="H336" i="5"/>
  <c r="E334" i="5"/>
  <c r="F334" i="5" s="1"/>
  <c r="N330" i="5"/>
  <c r="M329" i="5"/>
  <c r="L328" i="5"/>
  <c r="K327" i="5"/>
  <c r="G327" i="5" s="1"/>
  <c r="J326" i="5"/>
  <c r="I325" i="5"/>
  <c r="H324" i="5"/>
  <c r="M320" i="5"/>
  <c r="J319" i="5"/>
  <c r="M316" i="5"/>
  <c r="I302" i="5"/>
  <c r="L300" i="5"/>
  <c r="L294" i="5"/>
  <c r="H292" i="5"/>
  <c r="H279" i="5"/>
  <c r="K270" i="5"/>
  <c r="G270" i="5" s="1"/>
  <c r="E265" i="5"/>
  <c r="F265" i="5" s="1"/>
  <c r="I247" i="5"/>
  <c r="L225" i="5"/>
  <c r="B333" i="5"/>
  <c r="L316" i="5"/>
  <c r="H315" i="5"/>
  <c r="B314" i="5"/>
  <c r="L312" i="5"/>
  <c r="N309" i="5"/>
  <c r="K308" i="5"/>
  <c r="G308" i="5" s="1"/>
  <c r="H307" i="5"/>
  <c r="H304" i="5"/>
  <c r="H302" i="5"/>
  <c r="K300" i="5"/>
  <c r="G300" i="5" s="1"/>
  <c r="L298" i="5"/>
  <c r="L296" i="5"/>
  <c r="K294" i="5"/>
  <c r="G294" i="5" s="1"/>
  <c r="M286" i="5"/>
  <c r="E279" i="5"/>
  <c r="F279" i="5" s="1"/>
  <c r="H270" i="5"/>
  <c r="J253" i="5"/>
  <c r="E232" i="5"/>
  <c r="F232" i="5" s="1"/>
  <c r="K225" i="5"/>
  <c r="G225" i="5" s="1"/>
  <c r="N391" i="5"/>
  <c r="M390" i="5"/>
  <c r="L389" i="5"/>
  <c r="K388" i="5"/>
  <c r="G388" i="5" s="1"/>
  <c r="J387" i="5"/>
  <c r="I386" i="5"/>
  <c r="H385" i="5"/>
  <c r="E383" i="5"/>
  <c r="F383" i="5" s="1"/>
  <c r="N379" i="5"/>
  <c r="M378" i="5"/>
  <c r="L377" i="5"/>
  <c r="K376" i="5"/>
  <c r="G376" i="5" s="1"/>
  <c r="J375" i="5"/>
  <c r="I374" i="5"/>
  <c r="H373" i="5"/>
  <c r="E371" i="5"/>
  <c r="F371" i="5" s="1"/>
  <c r="N367" i="5"/>
  <c r="M366" i="5"/>
  <c r="L365" i="5"/>
  <c r="K364" i="5"/>
  <c r="G364" i="5" s="1"/>
  <c r="J363" i="5"/>
  <c r="I362" i="5"/>
  <c r="H361" i="5"/>
  <c r="E359" i="5"/>
  <c r="F359" i="5" s="1"/>
  <c r="N355" i="5"/>
  <c r="M354" i="5"/>
  <c r="L353" i="5"/>
  <c r="K352" i="5"/>
  <c r="G352" i="5" s="1"/>
  <c r="J351" i="5"/>
  <c r="I350" i="5"/>
  <c r="H349" i="5"/>
  <c r="E347" i="5"/>
  <c r="F347" i="5" s="1"/>
  <c r="N343" i="5"/>
  <c r="M342" i="5"/>
  <c r="L341" i="5"/>
  <c r="K340" i="5"/>
  <c r="G340" i="5" s="1"/>
  <c r="J339" i="5"/>
  <c r="I338" i="5"/>
  <c r="H337" i="5"/>
  <c r="E335" i="5"/>
  <c r="F335" i="5" s="1"/>
  <c r="N331" i="5"/>
  <c r="M330" i="5"/>
  <c r="L329" i="5"/>
  <c r="K328" i="5"/>
  <c r="G328" i="5" s="1"/>
  <c r="J327" i="5"/>
  <c r="I326" i="5"/>
  <c r="H325" i="5"/>
  <c r="E323" i="5"/>
  <c r="F323" i="5" s="1"/>
  <c r="L320" i="5"/>
  <c r="I319" i="5"/>
  <c r="E318" i="5"/>
  <c r="F318" i="5" s="1"/>
  <c r="E311" i="5"/>
  <c r="F311" i="5" s="1"/>
  <c r="N305" i="5"/>
  <c r="H300" i="5"/>
  <c r="J294" i="5"/>
  <c r="M289" i="5"/>
  <c r="L286" i="5"/>
  <c r="N282" i="5"/>
  <c r="N264" i="5"/>
  <c r="K259" i="5"/>
  <c r="G259" i="5" s="1"/>
  <c r="I246" i="5"/>
  <c r="K217" i="5"/>
  <c r="G217" i="5" s="1"/>
  <c r="M195" i="5"/>
  <c r="B287" i="5"/>
  <c r="B275" i="5"/>
  <c r="B263" i="5"/>
  <c r="L259" i="5"/>
  <c r="H258" i="5"/>
  <c r="B251" i="5"/>
  <c r="N244" i="5"/>
  <c r="E240" i="5"/>
  <c r="F240" i="5" s="1"/>
  <c r="B237" i="5"/>
  <c r="J230" i="5"/>
  <c r="N228" i="5"/>
  <c r="E219" i="5"/>
  <c r="F219" i="5" s="1"/>
  <c r="H204" i="5"/>
  <c r="L195" i="5"/>
  <c r="H191" i="5"/>
  <c r="N181" i="5"/>
  <c r="J174" i="5"/>
  <c r="H158" i="5"/>
  <c r="B120" i="5"/>
  <c r="B288" i="5"/>
  <c r="B276" i="5"/>
  <c r="B264" i="5"/>
  <c r="N256" i="5"/>
  <c r="M247" i="5"/>
  <c r="M244" i="5"/>
  <c r="E243" i="5"/>
  <c r="F243" i="5" s="1"/>
  <c r="N231" i="5"/>
  <c r="H230" i="5"/>
  <c r="K212" i="5"/>
  <c r="G212" i="5" s="1"/>
  <c r="B211" i="5"/>
  <c r="L207" i="5"/>
  <c r="J203" i="5"/>
  <c r="H174" i="5"/>
  <c r="E166" i="5"/>
  <c r="F166" i="5" s="1"/>
  <c r="N286" i="5"/>
  <c r="M285" i="5"/>
  <c r="L284" i="5"/>
  <c r="K283" i="5"/>
  <c r="G283" i="5" s="1"/>
  <c r="J282" i="5"/>
  <c r="I281" i="5"/>
  <c r="H280" i="5"/>
  <c r="E278" i="5"/>
  <c r="F278" i="5" s="1"/>
  <c r="N274" i="5"/>
  <c r="M273" i="5"/>
  <c r="L272" i="5"/>
  <c r="K271" i="5"/>
  <c r="G271" i="5" s="1"/>
  <c r="J270" i="5"/>
  <c r="I269" i="5"/>
  <c r="H268" i="5"/>
  <c r="E266" i="5"/>
  <c r="F266" i="5" s="1"/>
  <c r="N262" i="5"/>
  <c r="M261" i="5"/>
  <c r="L260" i="5"/>
  <c r="J259" i="5"/>
  <c r="H255" i="5"/>
  <c r="L253" i="5"/>
  <c r="H252" i="5"/>
  <c r="M250" i="5"/>
  <c r="J241" i="5"/>
  <c r="N239" i="5"/>
  <c r="H238" i="5"/>
  <c r="K228" i="5"/>
  <c r="G228" i="5" s="1"/>
  <c r="L220" i="5"/>
  <c r="B219" i="5"/>
  <c r="I217" i="5"/>
  <c r="M215" i="5"/>
  <c r="K207" i="5"/>
  <c r="G207" i="5" s="1"/>
  <c r="E199" i="5"/>
  <c r="F199" i="5" s="1"/>
  <c r="M194" i="5"/>
  <c r="I190" i="5"/>
  <c r="H156" i="5"/>
  <c r="J82" i="5"/>
  <c r="B289" i="5"/>
  <c r="B277" i="5"/>
  <c r="B265" i="5"/>
  <c r="M256" i="5"/>
  <c r="L247" i="5"/>
  <c r="L244" i="5"/>
  <c r="K236" i="5"/>
  <c r="G236" i="5" s="1"/>
  <c r="B235" i="5"/>
  <c r="H233" i="5"/>
  <c r="M231" i="5"/>
  <c r="H225" i="5"/>
  <c r="M223" i="5"/>
  <c r="J212" i="5"/>
  <c r="I203" i="5"/>
  <c r="B186" i="5"/>
  <c r="H180" i="5"/>
  <c r="K272" i="5"/>
  <c r="G272" i="5" s="1"/>
  <c r="J271" i="5"/>
  <c r="I270" i="5"/>
  <c r="H269" i="5"/>
  <c r="E267" i="5"/>
  <c r="F267" i="5" s="1"/>
  <c r="N263" i="5"/>
  <c r="M262" i="5"/>
  <c r="L261" i="5"/>
  <c r="K260" i="5"/>
  <c r="G260" i="5" s="1"/>
  <c r="I259" i="5"/>
  <c r="B258" i="5"/>
  <c r="E255" i="5"/>
  <c r="F255" i="5" s="1"/>
  <c r="K253" i="5"/>
  <c r="G253" i="5" s="1"/>
  <c r="E252" i="5"/>
  <c r="F252" i="5" s="1"/>
  <c r="L250" i="5"/>
  <c r="E249" i="5"/>
  <c r="F249" i="5" s="1"/>
  <c r="B246" i="5"/>
  <c r="B243" i="5"/>
  <c r="I241" i="5"/>
  <c r="M239" i="5"/>
  <c r="J228" i="5"/>
  <c r="B227" i="5"/>
  <c r="B222" i="5"/>
  <c r="J220" i="5"/>
  <c r="M218" i="5"/>
  <c r="E214" i="5"/>
  <c r="F214" i="5" s="1"/>
  <c r="N210" i="5"/>
  <c r="H203" i="5"/>
  <c r="L194" i="5"/>
  <c r="H190" i="5"/>
  <c r="M165" i="5"/>
  <c r="B278" i="5"/>
  <c r="B266" i="5"/>
  <c r="L256" i="5"/>
  <c r="J247" i="5"/>
  <c r="J244" i="5"/>
  <c r="J236" i="5"/>
  <c r="L231" i="5"/>
  <c r="B230" i="5"/>
  <c r="J215" i="5"/>
  <c r="M206" i="5"/>
  <c r="K194" i="5"/>
  <c r="G194" i="5" s="1"/>
  <c r="N185" i="5"/>
  <c r="E180" i="5"/>
  <c r="F180" i="5" s="1"/>
  <c r="B173" i="5"/>
  <c r="L165" i="5"/>
  <c r="E305" i="5"/>
  <c r="F305" i="5" s="1"/>
  <c r="N301" i="5"/>
  <c r="M300" i="5"/>
  <c r="L299" i="5"/>
  <c r="K298" i="5"/>
  <c r="G298" i="5" s="1"/>
  <c r="J297" i="5"/>
  <c r="I296" i="5"/>
  <c r="H295" i="5"/>
  <c r="E293" i="5"/>
  <c r="F293" i="5" s="1"/>
  <c r="N289" i="5"/>
  <c r="M288" i="5"/>
  <c r="L287" i="5"/>
  <c r="K286" i="5"/>
  <c r="G286" i="5" s="1"/>
  <c r="J285" i="5"/>
  <c r="I284" i="5"/>
  <c r="H283" i="5"/>
  <c r="E281" i="5"/>
  <c r="F281" i="5" s="1"/>
  <c r="N277" i="5"/>
  <c r="M276" i="5"/>
  <c r="L275" i="5"/>
  <c r="K274" i="5"/>
  <c r="G274" i="5" s="1"/>
  <c r="J273" i="5"/>
  <c r="I272" i="5"/>
  <c r="H271" i="5"/>
  <c r="E269" i="5"/>
  <c r="F269" i="5" s="1"/>
  <c r="N265" i="5"/>
  <c r="M264" i="5"/>
  <c r="L263" i="5"/>
  <c r="K262" i="5"/>
  <c r="G262" i="5" s="1"/>
  <c r="J261" i="5"/>
  <c r="I260" i="5"/>
  <c r="E259" i="5"/>
  <c r="F259" i="5" s="1"/>
  <c r="I253" i="5"/>
  <c r="N251" i="5"/>
  <c r="N248" i="5"/>
  <c r="L242" i="5"/>
  <c r="L234" i="5"/>
  <c r="B233" i="5"/>
  <c r="H228" i="5"/>
  <c r="L226" i="5"/>
  <c r="I223" i="5"/>
  <c r="K218" i="5"/>
  <c r="G218" i="5" s="1"/>
  <c r="E212" i="5"/>
  <c r="F212" i="5" s="1"/>
  <c r="K206" i="5"/>
  <c r="G206" i="5" s="1"/>
  <c r="I202" i="5"/>
  <c r="L193" i="5"/>
  <c r="H189" i="5"/>
  <c r="M153" i="5"/>
  <c r="B304" i="5"/>
  <c r="B292" i="5"/>
  <c r="B280" i="5"/>
  <c r="B268" i="5"/>
  <c r="M257" i="5"/>
  <c r="I256" i="5"/>
  <c r="M254" i="5"/>
  <c r="H250" i="5"/>
  <c r="M245" i="5"/>
  <c r="B241" i="5"/>
  <c r="I239" i="5"/>
  <c r="I231" i="5"/>
  <c r="L229" i="5"/>
  <c r="M221" i="5"/>
  <c r="E220" i="5"/>
  <c r="F220" i="5" s="1"/>
  <c r="H215" i="5"/>
  <c r="L213" i="5"/>
  <c r="B210" i="5"/>
  <c r="J206" i="5"/>
  <c r="B198" i="5"/>
  <c r="N178" i="5"/>
  <c r="J171" i="5"/>
  <c r="B114" i="5"/>
  <c r="K287" i="5"/>
  <c r="G287" i="5" s="1"/>
  <c r="J286" i="5"/>
  <c r="I285" i="5"/>
  <c r="H284" i="5"/>
  <c r="E282" i="5"/>
  <c r="F282" i="5" s="1"/>
  <c r="N278" i="5"/>
  <c r="M277" i="5"/>
  <c r="L276" i="5"/>
  <c r="K275" i="5"/>
  <c r="G275" i="5" s="1"/>
  <c r="J274" i="5"/>
  <c r="I273" i="5"/>
  <c r="H272" i="5"/>
  <c r="E270" i="5"/>
  <c r="F270" i="5" s="1"/>
  <c r="N266" i="5"/>
  <c r="M265" i="5"/>
  <c r="L264" i="5"/>
  <c r="K263" i="5"/>
  <c r="G263" i="5" s="1"/>
  <c r="J262" i="5"/>
  <c r="I261" i="5"/>
  <c r="H260" i="5"/>
  <c r="M251" i="5"/>
  <c r="M248" i="5"/>
  <c r="E247" i="5"/>
  <c r="F247" i="5" s="1"/>
  <c r="K242" i="5"/>
  <c r="G242" i="5" s="1"/>
  <c r="E236" i="5"/>
  <c r="F236" i="5" s="1"/>
  <c r="E228" i="5"/>
  <c r="F228" i="5" s="1"/>
  <c r="B225" i="5"/>
  <c r="J218" i="5"/>
  <c r="N216" i="5"/>
  <c r="H202" i="5"/>
  <c r="K193" i="5"/>
  <c r="G193" i="5" s="1"/>
  <c r="N184" i="5"/>
  <c r="M178" i="5"/>
  <c r="I171" i="5"/>
  <c r="M94" i="5"/>
  <c r="B305" i="5"/>
  <c r="B293" i="5"/>
  <c r="B281" i="5"/>
  <c r="B269" i="5"/>
  <c r="B259" i="5"/>
  <c r="K257" i="5"/>
  <c r="G257" i="5" s="1"/>
  <c r="L254" i="5"/>
  <c r="K245" i="5"/>
  <c r="G245" i="5" s="1"/>
  <c r="E244" i="5"/>
  <c r="F244" i="5" s="1"/>
  <c r="H239" i="5"/>
  <c r="L237" i="5"/>
  <c r="I234" i="5"/>
  <c r="N232" i="5"/>
  <c r="K229" i="5"/>
  <c r="G229" i="5" s="1"/>
  <c r="I226" i="5"/>
  <c r="N224" i="5"/>
  <c r="E223" i="5"/>
  <c r="F223" i="5" s="1"/>
  <c r="K221" i="5"/>
  <c r="G221" i="5" s="1"/>
  <c r="K213" i="5"/>
  <c r="G213" i="5" s="1"/>
  <c r="B212" i="5"/>
  <c r="N209" i="5"/>
  <c r="N197" i="5"/>
  <c r="J193" i="5"/>
  <c r="E189" i="5"/>
  <c r="F189" i="5" s="1"/>
  <c r="M184" i="5"/>
  <c r="L178" i="5"/>
  <c r="J163" i="5"/>
  <c r="M127" i="5"/>
  <c r="J287" i="5"/>
  <c r="I286" i="5"/>
  <c r="H285" i="5"/>
  <c r="E283" i="5"/>
  <c r="F283" i="5" s="1"/>
  <c r="N279" i="5"/>
  <c r="M278" i="5"/>
  <c r="L277" i="5"/>
  <c r="K276" i="5"/>
  <c r="G276" i="5" s="1"/>
  <c r="J275" i="5"/>
  <c r="I274" i="5"/>
  <c r="H273" i="5"/>
  <c r="E271" i="5"/>
  <c r="F271" i="5" s="1"/>
  <c r="N267" i="5"/>
  <c r="M266" i="5"/>
  <c r="L265" i="5"/>
  <c r="K264" i="5"/>
  <c r="G264" i="5" s="1"/>
  <c r="J263" i="5"/>
  <c r="I262" i="5"/>
  <c r="H261" i="5"/>
  <c r="E253" i="5"/>
  <c r="F253" i="5" s="1"/>
  <c r="K248" i="5"/>
  <c r="G248" i="5" s="1"/>
  <c r="J242" i="5"/>
  <c r="N240" i="5"/>
  <c r="E231" i="5"/>
  <c r="F231" i="5" s="1"/>
  <c r="N219" i="5"/>
  <c r="H218" i="5"/>
  <c r="M209" i="5"/>
  <c r="L205" i="5"/>
  <c r="E202" i="5"/>
  <c r="F202" i="5" s="1"/>
  <c r="M197" i="5"/>
  <c r="I193" i="5"/>
  <c r="E171" i="5"/>
  <c r="F171" i="5" s="1"/>
  <c r="M139" i="5"/>
  <c r="L73" i="5"/>
  <c r="B318" i="5"/>
  <c r="B306" i="5"/>
  <c r="B294" i="5"/>
  <c r="B282" i="5"/>
  <c r="B270" i="5"/>
  <c r="J257" i="5"/>
  <c r="E256" i="5"/>
  <c r="F256" i="5" s="1"/>
  <c r="K254" i="5"/>
  <c r="G254" i="5" s="1"/>
  <c r="J251" i="5"/>
  <c r="E250" i="5"/>
  <c r="F250" i="5" s="1"/>
  <c r="B247" i="5"/>
  <c r="J245" i="5"/>
  <c r="K237" i="5"/>
  <c r="G237" i="5" s="1"/>
  <c r="B236" i="5"/>
  <c r="H234" i="5"/>
  <c r="M232" i="5"/>
  <c r="J229" i="5"/>
  <c r="N227" i="5"/>
  <c r="H226" i="5"/>
  <c r="K216" i="5"/>
  <c r="G216" i="5" s="1"/>
  <c r="K139" i="5"/>
  <c r="G139" i="5" s="1"/>
  <c r="E320" i="5"/>
  <c r="F320" i="5" s="1"/>
  <c r="N316" i="5"/>
  <c r="M315" i="5"/>
  <c r="L314" i="5"/>
  <c r="K313" i="5"/>
  <c r="G313" i="5" s="1"/>
  <c r="J312" i="5"/>
  <c r="I311" i="5"/>
  <c r="H310" i="5"/>
  <c r="E308" i="5"/>
  <c r="F308" i="5" s="1"/>
  <c r="N304" i="5"/>
  <c r="M303" i="5"/>
  <c r="L302" i="5"/>
  <c r="K301" i="5"/>
  <c r="G301" i="5" s="1"/>
  <c r="J300" i="5"/>
  <c r="I299" i="5"/>
  <c r="H298" i="5"/>
  <c r="E296" i="5"/>
  <c r="F296" i="5" s="1"/>
  <c r="N292" i="5"/>
  <c r="M291" i="5"/>
  <c r="L290" i="5"/>
  <c r="K289" i="5"/>
  <c r="G289" i="5" s="1"/>
  <c r="J288" i="5"/>
  <c r="I287" i="5"/>
  <c r="H286" i="5"/>
  <c r="E284" i="5"/>
  <c r="F284" i="5" s="1"/>
  <c r="N280" i="5"/>
  <c r="M279" i="5"/>
  <c r="L278" i="5"/>
  <c r="K277" i="5"/>
  <c r="G277" i="5" s="1"/>
  <c r="J276" i="5"/>
  <c r="I275" i="5"/>
  <c r="H274" i="5"/>
  <c r="E272" i="5"/>
  <c r="F272" i="5" s="1"/>
  <c r="N268" i="5"/>
  <c r="M267" i="5"/>
  <c r="L266" i="5"/>
  <c r="K265" i="5"/>
  <c r="G265" i="5" s="1"/>
  <c r="J264" i="5"/>
  <c r="I263" i="5"/>
  <c r="H262" i="5"/>
  <c r="E260" i="5"/>
  <c r="F260" i="5" s="1"/>
  <c r="N258" i="5"/>
  <c r="I257" i="5"/>
  <c r="B253" i="5"/>
  <c r="J248" i="5"/>
  <c r="N243" i="5"/>
  <c r="H242" i="5"/>
  <c r="K224" i="5"/>
  <c r="G224" i="5" s="1"/>
  <c r="B223" i="5"/>
  <c r="H221" i="5"/>
  <c r="M219" i="5"/>
  <c r="H213" i="5"/>
  <c r="M211" i="5"/>
  <c r="K205" i="5"/>
  <c r="G205" i="5" s="1"/>
  <c r="H201" i="5"/>
  <c r="K192" i="5"/>
  <c r="G192" i="5" s="1"/>
  <c r="I177" i="5"/>
  <c r="B319" i="5"/>
  <c r="B307" i="5"/>
  <c r="B295" i="5"/>
  <c r="B283" i="5"/>
  <c r="B271" i="5"/>
  <c r="J254" i="5"/>
  <c r="I251" i="5"/>
  <c r="H245" i="5"/>
  <c r="K240" i="5"/>
  <c r="G240" i="5" s="1"/>
  <c r="L232" i="5"/>
  <c r="B231" i="5"/>
  <c r="I229" i="5"/>
  <c r="M227" i="5"/>
  <c r="J216" i="5"/>
  <c r="B215" i="5"/>
  <c r="J205" i="5"/>
  <c r="J183" i="5"/>
  <c r="H161" i="5"/>
  <c r="N150" i="5"/>
  <c r="J124" i="5"/>
  <c r="M304" i="5"/>
  <c r="L303" i="5"/>
  <c r="K302" i="5"/>
  <c r="G302" i="5" s="1"/>
  <c r="J301" i="5"/>
  <c r="I300" i="5"/>
  <c r="H299" i="5"/>
  <c r="E297" i="5"/>
  <c r="F297" i="5" s="1"/>
  <c r="N293" i="5"/>
  <c r="M292" i="5"/>
  <c r="L291" i="5"/>
  <c r="K290" i="5"/>
  <c r="G290" i="5" s="1"/>
  <c r="J289" i="5"/>
  <c r="I288" i="5"/>
  <c r="H287" i="5"/>
  <c r="E285" i="5"/>
  <c r="F285" i="5" s="1"/>
  <c r="N281" i="5"/>
  <c r="M280" i="5"/>
  <c r="L279" i="5"/>
  <c r="K278" i="5"/>
  <c r="G278" i="5" s="1"/>
  <c r="J277" i="5"/>
  <c r="I276" i="5"/>
  <c r="H275" i="5"/>
  <c r="E273" i="5"/>
  <c r="F273" i="5" s="1"/>
  <c r="N269" i="5"/>
  <c r="M268" i="5"/>
  <c r="L267" i="5"/>
  <c r="K266" i="5"/>
  <c r="G266" i="5" s="1"/>
  <c r="J265" i="5"/>
  <c r="I264" i="5"/>
  <c r="H263" i="5"/>
  <c r="E261" i="5"/>
  <c r="F261" i="5" s="1"/>
  <c r="L258" i="5"/>
  <c r="H257" i="5"/>
  <c r="N255" i="5"/>
  <c r="N246" i="5"/>
  <c r="M243" i="5"/>
  <c r="H237" i="5"/>
  <c r="M235" i="5"/>
  <c r="J224" i="5"/>
  <c r="L219" i="5"/>
  <c r="B218" i="5"/>
  <c r="I205" i="5"/>
  <c r="N196" i="5"/>
  <c r="J192" i="5"/>
  <c r="E188" i="5"/>
  <c r="F188" i="5" s="1"/>
  <c r="N169" i="5"/>
  <c r="L108" i="5"/>
  <c r="L71" i="5"/>
  <c r="B320" i="5"/>
  <c r="B308" i="5"/>
  <c r="B296" i="5"/>
  <c r="B284" i="5"/>
  <c r="B272" i="5"/>
  <c r="B260" i="5"/>
  <c r="H254" i="5"/>
  <c r="N252" i="5"/>
  <c r="H251" i="5"/>
  <c r="N249" i="5"/>
  <c r="J240" i="5"/>
  <c r="B239" i="5"/>
  <c r="B234" i="5"/>
  <c r="J232" i="5"/>
  <c r="M230" i="5"/>
  <c r="E226" i="5"/>
  <c r="F226" i="5" s="1"/>
  <c r="N222" i="5"/>
  <c r="I216" i="5"/>
  <c r="M214" i="5"/>
  <c r="J211" i="5"/>
  <c r="N208" i="5"/>
  <c r="E201" i="5"/>
  <c r="F201" i="5" s="1"/>
  <c r="M196" i="5"/>
  <c r="I192" i="5"/>
  <c r="I150" i="5"/>
  <c r="I108" i="5"/>
  <c r="I277" i="5"/>
  <c r="H276" i="5"/>
  <c r="E274" i="5"/>
  <c r="F274" i="5" s="1"/>
  <c r="N270" i="5"/>
  <c r="M269" i="5"/>
  <c r="L268" i="5"/>
  <c r="K267" i="5"/>
  <c r="G267" i="5" s="1"/>
  <c r="J266" i="5"/>
  <c r="I265" i="5"/>
  <c r="H264" i="5"/>
  <c r="E262" i="5"/>
  <c r="F262" i="5" s="1"/>
  <c r="K258" i="5"/>
  <c r="G258" i="5" s="1"/>
  <c r="M255" i="5"/>
  <c r="L246" i="5"/>
  <c r="L243" i="5"/>
  <c r="B242" i="5"/>
  <c r="J227" i="5"/>
  <c r="K219" i="5"/>
  <c r="G219" i="5" s="1"/>
  <c r="E213" i="5"/>
  <c r="F213" i="5" s="1"/>
  <c r="M208" i="5"/>
  <c r="L196" i="5"/>
  <c r="H192" i="5"/>
  <c r="I169" i="5"/>
  <c r="B297" i="5"/>
  <c r="P297" i="5" s="1"/>
  <c r="B285" i="5"/>
  <c r="B273" i="5"/>
  <c r="P273" i="5" s="1"/>
  <c r="B261" i="5"/>
  <c r="J258" i="5"/>
  <c r="L249" i="5"/>
  <c r="E248" i="5"/>
  <c r="F248" i="5" s="1"/>
  <c r="I240" i="5"/>
  <c r="M238" i="5"/>
  <c r="J235" i="5"/>
  <c r="L230" i="5"/>
  <c r="L222" i="5"/>
  <c r="B221" i="5"/>
  <c r="H216" i="5"/>
  <c r="L214" i="5"/>
  <c r="I211" i="5"/>
  <c r="L208" i="5"/>
  <c r="K204" i="5"/>
  <c r="G204" i="5" s="1"/>
  <c r="J46" i="5"/>
  <c r="H301" i="5"/>
  <c r="E299" i="5"/>
  <c r="F299" i="5" s="1"/>
  <c r="N295" i="5"/>
  <c r="M294" i="5"/>
  <c r="L293" i="5"/>
  <c r="K292" i="5"/>
  <c r="G292" i="5" s="1"/>
  <c r="J291" i="5"/>
  <c r="I290" i="5"/>
  <c r="H289" i="5"/>
  <c r="E287" i="5"/>
  <c r="F287" i="5" s="1"/>
  <c r="N283" i="5"/>
  <c r="M282" i="5"/>
  <c r="L281" i="5"/>
  <c r="K280" i="5"/>
  <c r="G280" i="5" s="1"/>
  <c r="J279" i="5"/>
  <c r="I278" i="5"/>
  <c r="H277" i="5"/>
  <c r="E275" i="5"/>
  <c r="F275" i="5" s="1"/>
  <c r="N271" i="5"/>
  <c r="M270" i="5"/>
  <c r="L269" i="5"/>
  <c r="K268" i="5"/>
  <c r="G268" i="5" s="1"/>
  <c r="J267" i="5"/>
  <c r="I266" i="5"/>
  <c r="H265" i="5"/>
  <c r="E263" i="5"/>
  <c r="F263" i="5" s="1"/>
  <c r="E257" i="5"/>
  <c r="F257" i="5" s="1"/>
  <c r="L255" i="5"/>
  <c r="K252" i="5"/>
  <c r="G252" i="5" s="1"/>
  <c r="K246" i="5"/>
  <c r="G246" i="5" s="1"/>
  <c r="B245" i="5"/>
  <c r="K243" i="5"/>
  <c r="G243" i="5" s="1"/>
  <c r="E237" i="5"/>
  <c r="F237" i="5" s="1"/>
  <c r="N233" i="5"/>
  <c r="B229" i="5"/>
  <c r="I227" i="5"/>
  <c r="I219" i="5"/>
  <c r="L217" i="5"/>
  <c r="N195" i="5"/>
  <c r="J191" i="5"/>
  <c r="E187" i="5"/>
  <c r="F187" i="5" s="1"/>
  <c r="B322" i="5"/>
  <c r="B310" i="5"/>
  <c r="B298" i="5"/>
  <c r="B286" i="5"/>
  <c r="B274" i="5"/>
  <c r="B262" i="5"/>
  <c r="M259" i="5"/>
  <c r="I258" i="5"/>
  <c r="K249" i="5"/>
  <c r="G249" i="5" s="1"/>
  <c r="H240" i="5"/>
  <c r="L238" i="5"/>
  <c r="I235" i="5"/>
  <c r="K230" i="5"/>
  <c r="G230" i="5" s="1"/>
  <c r="E224" i="5"/>
  <c r="F224" i="5" s="1"/>
  <c r="E216" i="5"/>
  <c r="F216" i="5" s="1"/>
  <c r="B213" i="5"/>
  <c r="J204" i="5"/>
  <c r="N158" i="5"/>
  <c r="L85" i="5"/>
  <c r="J45" i="5"/>
  <c r="B182" i="5"/>
  <c r="I180" i="5"/>
  <c r="J177" i="5"/>
  <c r="B168" i="5"/>
  <c r="I161" i="5"/>
  <c r="B159" i="5"/>
  <c r="E156" i="5"/>
  <c r="F156" i="5" s="1"/>
  <c r="L153" i="5"/>
  <c r="B144" i="5"/>
  <c r="H136" i="5"/>
  <c r="E132" i="5"/>
  <c r="F132" i="5" s="1"/>
  <c r="L128" i="5"/>
  <c r="B109" i="5"/>
  <c r="B102" i="5"/>
  <c r="I94" i="5"/>
  <c r="B199" i="5"/>
  <c r="B187" i="5"/>
  <c r="I183" i="5"/>
  <c r="N175" i="5"/>
  <c r="M169" i="5"/>
  <c r="M163" i="5"/>
  <c r="B156" i="5"/>
  <c r="I153" i="5"/>
  <c r="L150" i="5"/>
  <c r="I147" i="5"/>
  <c r="B132" i="5"/>
  <c r="J108" i="5"/>
  <c r="E94" i="5"/>
  <c r="F94" i="5" s="1"/>
  <c r="L83" i="5"/>
  <c r="I45" i="5"/>
  <c r="E19" i="5"/>
  <c r="F19" i="5" s="1"/>
  <c r="B200" i="5"/>
  <c r="B188" i="5"/>
  <c r="L184" i="5"/>
  <c r="M181" i="5"/>
  <c r="E177" i="5"/>
  <c r="F177" i="5" s="1"/>
  <c r="M175" i="5"/>
  <c r="L172" i="5"/>
  <c r="K163" i="5"/>
  <c r="G163" i="5" s="1"/>
  <c r="J158" i="5"/>
  <c r="N155" i="5"/>
  <c r="J150" i="5"/>
  <c r="I135" i="5"/>
  <c r="I123" i="5"/>
  <c r="K71" i="5"/>
  <c r="G71" i="5" s="1"/>
  <c r="B201" i="5"/>
  <c r="B189" i="5"/>
  <c r="K184" i="5"/>
  <c r="G184" i="5" s="1"/>
  <c r="E183" i="5"/>
  <c r="F183" i="5" s="1"/>
  <c r="K175" i="5"/>
  <c r="G175" i="5" s="1"/>
  <c r="E174" i="5"/>
  <c r="F174" i="5" s="1"/>
  <c r="K172" i="5"/>
  <c r="G172" i="5" s="1"/>
  <c r="L167" i="5"/>
  <c r="B161" i="5"/>
  <c r="K155" i="5"/>
  <c r="G155" i="5" s="1"/>
  <c r="B147" i="5"/>
  <c r="L99" i="5"/>
  <c r="L92" i="5"/>
  <c r="I82" i="5"/>
  <c r="N259" i="5"/>
  <c r="M258" i="5"/>
  <c r="L257" i="5"/>
  <c r="K256" i="5"/>
  <c r="G256" i="5" s="1"/>
  <c r="J255" i="5"/>
  <c r="I254" i="5"/>
  <c r="H253" i="5"/>
  <c r="E251" i="5"/>
  <c r="F251" i="5" s="1"/>
  <c r="N247" i="5"/>
  <c r="M246" i="5"/>
  <c r="L245" i="5"/>
  <c r="K244" i="5"/>
  <c r="G244" i="5" s="1"/>
  <c r="J243" i="5"/>
  <c r="I242" i="5"/>
  <c r="H241" i="5"/>
  <c r="E239" i="5"/>
  <c r="F239" i="5" s="1"/>
  <c r="N235" i="5"/>
  <c r="M234" i="5"/>
  <c r="L233" i="5"/>
  <c r="K232" i="5"/>
  <c r="G232" i="5" s="1"/>
  <c r="J231" i="5"/>
  <c r="I230" i="5"/>
  <c r="H229" i="5"/>
  <c r="E227" i="5"/>
  <c r="F227" i="5" s="1"/>
  <c r="N223" i="5"/>
  <c r="M222" i="5"/>
  <c r="L221" i="5"/>
  <c r="K220" i="5"/>
  <c r="G220" i="5" s="1"/>
  <c r="J219" i="5"/>
  <c r="I218" i="5"/>
  <c r="H217" i="5"/>
  <c r="E215" i="5"/>
  <c r="F215" i="5" s="1"/>
  <c r="N211" i="5"/>
  <c r="M210" i="5"/>
  <c r="L209" i="5"/>
  <c r="K208" i="5"/>
  <c r="G208" i="5" s="1"/>
  <c r="J207" i="5"/>
  <c r="I206" i="5"/>
  <c r="H205" i="5"/>
  <c r="E203" i="5"/>
  <c r="F203" i="5" s="1"/>
  <c r="N199" i="5"/>
  <c r="M198" i="5"/>
  <c r="L197" i="5"/>
  <c r="K196" i="5"/>
  <c r="G196" i="5" s="1"/>
  <c r="J195" i="5"/>
  <c r="I194" i="5"/>
  <c r="H193" i="5"/>
  <c r="E191" i="5"/>
  <c r="F191" i="5" s="1"/>
  <c r="N187" i="5"/>
  <c r="M186" i="5"/>
  <c r="L185" i="5"/>
  <c r="J181" i="5"/>
  <c r="B180" i="5"/>
  <c r="K178" i="5"/>
  <c r="G178" i="5" s="1"/>
  <c r="B177" i="5"/>
  <c r="H169" i="5"/>
  <c r="K167" i="5"/>
  <c r="G167" i="5" s="1"/>
  <c r="E158" i="5"/>
  <c r="F158" i="5" s="1"/>
  <c r="N152" i="5"/>
  <c r="K127" i="5"/>
  <c r="G127" i="5" s="1"/>
  <c r="B123" i="5"/>
  <c r="B113" i="5"/>
  <c r="E99" i="5"/>
  <c r="F99" i="5" s="1"/>
  <c r="H92" i="5"/>
  <c r="J69" i="5"/>
  <c r="E42" i="5"/>
  <c r="F42" i="5" s="1"/>
  <c r="B250" i="5"/>
  <c r="B238" i="5"/>
  <c r="B226" i="5"/>
  <c r="B214" i="5"/>
  <c r="B202" i="5"/>
  <c r="B190" i="5"/>
  <c r="J184" i="5"/>
  <c r="I181" i="5"/>
  <c r="J178" i="5"/>
  <c r="J175" i="5"/>
  <c r="B174" i="5"/>
  <c r="J172" i="5"/>
  <c r="B171" i="5"/>
  <c r="J165" i="5"/>
  <c r="L160" i="5"/>
  <c r="B150" i="5"/>
  <c r="N142" i="5"/>
  <c r="B135" i="5"/>
  <c r="N106" i="5"/>
  <c r="L210" i="5"/>
  <c r="K209" i="5"/>
  <c r="G209" i="5" s="1"/>
  <c r="J208" i="5"/>
  <c r="I207" i="5"/>
  <c r="H206" i="5"/>
  <c r="E204" i="5"/>
  <c r="F204" i="5" s="1"/>
  <c r="N200" i="5"/>
  <c r="M199" i="5"/>
  <c r="L198" i="5"/>
  <c r="K197" i="5"/>
  <c r="G197" i="5" s="1"/>
  <c r="J196" i="5"/>
  <c r="I195" i="5"/>
  <c r="H194" i="5"/>
  <c r="E192" i="5"/>
  <c r="F192" i="5" s="1"/>
  <c r="N188" i="5"/>
  <c r="M187" i="5"/>
  <c r="L186" i="5"/>
  <c r="K185" i="5"/>
  <c r="G185" i="5" s="1"/>
  <c r="B183" i="5"/>
  <c r="N173" i="5"/>
  <c r="I165" i="5"/>
  <c r="J160" i="5"/>
  <c r="L152" i="5"/>
  <c r="M149" i="5"/>
  <c r="H146" i="5"/>
  <c r="L138" i="5"/>
  <c r="M106" i="5"/>
  <c r="N98" i="5"/>
  <c r="I80" i="5"/>
  <c r="I68" i="5"/>
  <c r="B191" i="5"/>
  <c r="H184" i="5"/>
  <c r="H181" i="5"/>
  <c r="N179" i="5"/>
  <c r="N176" i="5"/>
  <c r="I175" i="5"/>
  <c r="M173" i="5"/>
  <c r="H172" i="5"/>
  <c r="N170" i="5"/>
  <c r="K152" i="5"/>
  <c r="G152" i="5" s="1"/>
  <c r="K149" i="5"/>
  <c r="G149" i="5" s="1"/>
  <c r="N130" i="5"/>
  <c r="H122" i="5"/>
  <c r="E106" i="5"/>
  <c r="F106" i="5" s="1"/>
  <c r="M98" i="5"/>
  <c r="E80" i="5"/>
  <c r="F80" i="5" s="1"/>
  <c r="B41" i="5"/>
  <c r="N27" i="5"/>
  <c r="H243" i="5"/>
  <c r="E241" i="5"/>
  <c r="F241" i="5" s="1"/>
  <c r="N237" i="5"/>
  <c r="M236" i="5"/>
  <c r="L235" i="5"/>
  <c r="K234" i="5"/>
  <c r="G234" i="5" s="1"/>
  <c r="J233" i="5"/>
  <c r="I232" i="5"/>
  <c r="H231" i="5"/>
  <c r="E229" i="5"/>
  <c r="F229" i="5" s="1"/>
  <c r="N225" i="5"/>
  <c r="M224" i="5"/>
  <c r="L223" i="5"/>
  <c r="K222" i="5"/>
  <c r="G222" i="5" s="1"/>
  <c r="J221" i="5"/>
  <c r="I220" i="5"/>
  <c r="H219" i="5"/>
  <c r="E217" i="5"/>
  <c r="F217" i="5" s="1"/>
  <c r="N213" i="5"/>
  <c r="M212" i="5"/>
  <c r="L211" i="5"/>
  <c r="K210" i="5"/>
  <c r="G210" i="5" s="1"/>
  <c r="J209" i="5"/>
  <c r="I208" i="5"/>
  <c r="H207" i="5"/>
  <c r="E205" i="5"/>
  <c r="F205" i="5" s="1"/>
  <c r="N201" i="5"/>
  <c r="M200" i="5"/>
  <c r="L199" i="5"/>
  <c r="K198" i="5"/>
  <c r="G198" i="5" s="1"/>
  <c r="J197" i="5"/>
  <c r="I196" i="5"/>
  <c r="H195" i="5"/>
  <c r="E193" i="5"/>
  <c r="F193" i="5" s="1"/>
  <c r="N189" i="5"/>
  <c r="M188" i="5"/>
  <c r="L187" i="5"/>
  <c r="K186" i="5"/>
  <c r="G186" i="5" s="1"/>
  <c r="J185" i="5"/>
  <c r="N182" i="5"/>
  <c r="N162" i="5"/>
  <c r="H160" i="5"/>
  <c r="M157" i="5"/>
  <c r="E146" i="5"/>
  <c r="F146" i="5" s="1"/>
  <c r="J138" i="5"/>
  <c r="H134" i="5"/>
  <c r="L126" i="5"/>
  <c r="N90" i="5"/>
  <c r="B252" i="5"/>
  <c r="B240" i="5"/>
  <c r="B228" i="5"/>
  <c r="B216" i="5"/>
  <c r="B204" i="5"/>
  <c r="B192" i="5"/>
  <c r="M179" i="5"/>
  <c r="E178" i="5"/>
  <c r="F178" i="5" s="1"/>
  <c r="L176" i="5"/>
  <c r="H175" i="5"/>
  <c r="L173" i="5"/>
  <c r="B169" i="5"/>
  <c r="L162" i="5"/>
  <c r="H152" i="5"/>
  <c r="I149" i="5"/>
  <c r="N97" i="5"/>
  <c r="H67" i="5"/>
  <c r="H256" i="5"/>
  <c r="E254" i="5"/>
  <c r="F254" i="5" s="1"/>
  <c r="N250" i="5"/>
  <c r="M249" i="5"/>
  <c r="L248" i="5"/>
  <c r="K247" i="5"/>
  <c r="G247" i="5" s="1"/>
  <c r="J246" i="5"/>
  <c r="I245" i="5"/>
  <c r="H244" i="5"/>
  <c r="E242" i="5"/>
  <c r="F242" i="5" s="1"/>
  <c r="N238" i="5"/>
  <c r="M237" i="5"/>
  <c r="L236" i="5"/>
  <c r="K235" i="5"/>
  <c r="G235" i="5" s="1"/>
  <c r="J234" i="5"/>
  <c r="I233" i="5"/>
  <c r="H232" i="5"/>
  <c r="E230" i="5"/>
  <c r="F230" i="5" s="1"/>
  <c r="N226" i="5"/>
  <c r="M225" i="5"/>
  <c r="L224" i="5"/>
  <c r="K223" i="5"/>
  <c r="G223" i="5" s="1"/>
  <c r="J222" i="5"/>
  <c r="I221" i="5"/>
  <c r="H220" i="5"/>
  <c r="E218" i="5"/>
  <c r="F218" i="5" s="1"/>
  <c r="N214" i="5"/>
  <c r="M213" i="5"/>
  <c r="L212" i="5"/>
  <c r="K211" i="5"/>
  <c r="G211" i="5" s="1"/>
  <c r="J210" i="5"/>
  <c r="I209" i="5"/>
  <c r="H208" i="5"/>
  <c r="E206" i="5"/>
  <c r="F206" i="5" s="1"/>
  <c r="N202" i="5"/>
  <c r="M201" i="5"/>
  <c r="L200" i="5"/>
  <c r="K199" i="5"/>
  <c r="G199" i="5" s="1"/>
  <c r="J198" i="5"/>
  <c r="I197" i="5"/>
  <c r="H196" i="5"/>
  <c r="E194" i="5"/>
  <c r="F194" i="5" s="1"/>
  <c r="N190" i="5"/>
  <c r="M189" i="5"/>
  <c r="L188" i="5"/>
  <c r="K187" i="5"/>
  <c r="G187" i="5" s="1"/>
  <c r="J186" i="5"/>
  <c r="I185" i="5"/>
  <c r="J170" i="5"/>
  <c r="N154" i="5"/>
  <c r="H149" i="5"/>
  <c r="E134" i="5"/>
  <c r="F134" i="5" s="1"/>
  <c r="J126" i="5"/>
  <c r="K97" i="5"/>
  <c r="G97" i="5" s="1"/>
  <c r="B90" i="5"/>
  <c r="E79" i="5"/>
  <c r="F79" i="5" s="1"/>
  <c r="L25" i="5"/>
  <c r="B205" i="5"/>
  <c r="B193" i="5"/>
  <c r="E184" i="5"/>
  <c r="F184" i="5" s="1"/>
  <c r="K182" i="5"/>
  <c r="G182" i="5" s="1"/>
  <c r="L179" i="5"/>
  <c r="K176" i="5"/>
  <c r="G176" i="5" s="1"/>
  <c r="K173" i="5"/>
  <c r="G173" i="5" s="1"/>
  <c r="E172" i="5"/>
  <c r="F172" i="5" s="1"/>
  <c r="N166" i="5"/>
  <c r="N164" i="5"/>
  <c r="J162" i="5"/>
  <c r="I157" i="5"/>
  <c r="M154" i="5"/>
  <c r="B138" i="5"/>
  <c r="I97" i="5"/>
  <c r="I210" i="5"/>
  <c r="H209" i="5"/>
  <c r="E207" i="5"/>
  <c r="F207" i="5" s="1"/>
  <c r="N203" i="5"/>
  <c r="M202" i="5"/>
  <c r="L201" i="5"/>
  <c r="K200" i="5"/>
  <c r="G200" i="5" s="1"/>
  <c r="J199" i="5"/>
  <c r="I198" i="5"/>
  <c r="H197" i="5"/>
  <c r="E195" i="5"/>
  <c r="F195" i="5" s="1"/>
  <c r="N191" i="5"/>
  <c r="M190" i="5"/>
  <c r="L189" i="5"/>
  <c r="K188" i="5"/>
  <c r="G188" i="5" s="1"/>
  <c r="J187" i="5"/>
  <c r="I186" i="5"/>
  <c r="H185" i="5"/>
  <c r="J182" i="5"/>
  <c r="B181" i="5"/>
  <c r="K179" i="5"/>
  <c r="G179" i="5" s="1"/>
  <c r="B178" i="5"/>
  <c r="I170" i="5"/>
  <c r="N168" i="5"/>
  <c r="I162" i="5"/>
  <c r="M141" i="5"/>
  <c r="K137" i="5"/>
  <c r="G137" i="5" s="1"/>
  <c r="B111" i="5"/>
  <c r="N50" i="5"/>
  <c r="K24" i="5"/>
  <c r="G24" i="5" s="1"/>
  <c r="B206" i="5"/>
  <c r="B194" i="5"/>
  <c r="J176" i="5"/>
  <c r="I173" i="5"/>
  <c r="M166" i="5"/>
  <c r="L164" i="5"/>
  <c r="J154" i="5"/>
  <c r="B149" i="5"/>
  <c r="B126" i="5"/>
  <c r="H210" i="5"/>
  <c r="E208" i="5"/>
  <c r="F208" i="5" s="1"/>
  <c r="N204" i="5"/>
  <c r="M203" i="5"/>
  <c r="L202" i="5"/>
  <c r="K201" i="5"/>
  <c r="G201" i="5" s="1"/>
  <c r="J200" i="5"/>
  <c r="I199" i="5"/>
  <c r="H198" i="5"/>
  <c r="E196" i="5"/>
  <c r="F196" i="5" s="1"/>
  <c r="N192" i="5"/>
  <c r="M191" i="5"/>
  <c r="L190" i="5"/>
  <c r="K189" i="5"/>
  <c r="G189" i="5" s="1"/>
  <c r="J188" i="5"/>
  <c r="I187" i="5"/>
  <c r="H186" i="5"/>
  <c r="I182" i="5"/>
  <c r="N174" i="5"/>
  <c r="H170" i="5"/>
  <c r="M168" i="5"/>
  <c r="K164" i="5"/>
  <c r="G164" i="5" s="1"/>
  <c r="M151" i="5"/>
  <c r="I137" i="5"/>
  <c r="M129" i="5"/>
  <c r="K125" i="5"/>
  <c r="G125" i="5" s="1"/>
  <c r="I96" i="5"/>
  <c r="B64" i="5"/>
  <c r="N49" i="5"/>
  <c r="K23" i="5"/>
  <c r="G23" i="5" s="1"/>
  <c r="B207" i="5"/>
  <c r="B195" i="5"/>
  <c r="N180" i="5"/>
  <c r="H179" i="5"/>
  <c r="M177" i="5"/>
  <c r="I176" i="5"/>
  <c r="H173" i="5"/>
  <c r="L168" i="5"/>
  <c r="E162" i="5"/>
  <c r="F162" i="5" s="1"/>
  <c r="K159" i="5"/>
  <c r="G159" i="5" s="1"/>
  <c r="L148" i="5"/>
  <c r="M49" i="5"/>
  <c r="J23" i="5"/>
  <c r="N253" i="5"/>
  <c r="M252" i="5"/>
  <c r="L251" i="5"/>
  <c r="K250" i="5"/>
  <c r="G250" i="5" s="1"/>
  <c r="J249" i="5"/>
  <c r="I248" i="5"/>
  <c r="H247" i="5"/>
  <c r="E245" i="5"/>
  <c r="F245" i="5" s="1"/>
  <c r="N241" i="5"/>
  <c r="M240" i="5"/>
  <c r="L239" i="5"/>
  <c r="K238" i="5"/>
  <c r="G238" i="5" s="1"/>
  <c r="J237" i="5"/>
  <c r="I236" i="5"/>
  <c r="H235" i="5"/>
  <c r="E233" i="5"/>
  <c r="F233" i="5" s="1"/>
  <c r="N229" i="5"/>
  <c r="M228" i="5"/>
  <c r="L227" i="5"/>
  <c r="K226" i="5"/>
  <c r="G226" i="5" s="1"/>
  <c r="J225" i="5"/>
  <c r="I224" i="5"/>
  <c r="H223" i="5"/>
  <c r="E221" i="5"/>
  <c r="F221" i="5" s="1"/>
  <c r="N217" i="5"/>
  <c r="M216" i="5"/>
  <c r="L215" i="5"/>
  <c r="K214" i="5"/>
  <c r="G214" i="5" s="1"/>
  <c r="J213" i="5"/>
  <c r="I212" i="5"/>
  <c r="H211" i="5"/>
  <c r="E209" i="5"/>
  <c r="F209" i="5" s="1"/>
  <c r="N205" i="5"/>
  <c r="M204" i="5"/>
  <c r="L203" i="5"/>
  <c r="K202" i="5"/>
  <c r="G202" i="5" s="1"/>
  <c r="J201" i="5"/>
  <c r="I200" i="5"/>
  <c r="H199" i="5"/>
  <c r="E197" i="5"/>
  <c r="F197" i="5" s="1"/>
  <c r="N193" i="5"/>
  <c r="M192" i="5"/>
  <c r="L191" i="5"/>
  <c r="K190" i="5"/>
  <c r="G190" i="5" s="1"/>
  <c r="J189" i="5"/>
  <c r="I188" i="5"/>
  <c r="H187" i="5"/>
  <c r="E185" i="5"/>
  <c r="F185" i="5" s="1"/>
  <c r="N183" i="5"/>
  <c r="H182" i="5"/>
  <c r="H176" i="5"/>
  <c r="M174" i="5"/>
  <c r="E170" i="5"/>
  <c r="F170" i="5" s="1"/>
  <c r="K166" i="5"/>
  <c r="G166" i="5" s="1"/>
  <c r="I159" i="5"/>
  <c r="E154" i="5"/>
  <c r="F154" i="5" s="1"/>
  <c r="K151" i="5"/>
  <c r="G151" i="5" s="1"/>
  <c r="J148" i="5"/>
  <c r="E5" i="5"/>
  <c r="F5" i="5" s="1"/>
  <c r="B256" i="5"/>
  <c r="B244" i="5"/>
  <c r="B232" i="5"/>
  <c r="B220" i="5"/>
  <c r="B208" i="5"/>
  <c r="B196" i="5"/>
  <c r="M180" i="5"/>
  <c r="L177" i="5"/>
  <c r="L171" i="5"/>
  <c r="J166" i="5"/>
  <c r="I164" i="5"/>
  <c r="B162" i="5"/>
  <c r="L156" i="5"/>
  <c r="J151" i="5"/>
  <c r="N140" i="5"/>
  <c r="B137" i="5"/>
  <c r="L86" i="5"/>
  <c r="N75" i="5"/>
  <c r="E258" i="5"/>
  <c r="F258" i="5" s="1"/>
  <c r="N254" i="5"/>
  <c r="M253" i="5"/>
  <c r="L252" i="5"/>
  <c r="K251" i="5"/>
  <c r="G251" i="5" s="1"/>
  <c r="J250" i="5"/>
  <c r="I249" i="5"/>
  <c r="H248" i="5"/>
  <c r="E246" i="5"/>
  <c r="F246" i="5" s="1"/>
  <c r="N242" i="5"/>
  <c r="M241" i="5"/>
  <c r="L240" i="5"/>
  <c r="K239" i="5"/>
  <c r="G239" i="5" s="1"/>
  <c r="J238" i="5"/>
  <c r="I237" i="5"/>
  <c r="H236" i="5"/>
  <c r="E234" i="5"/>
  <c r="F234" i="5" s="1"/>
  <c r="N230" i="5"/>
  <c r="M229" i="5"/>
  <c r="L228" i="5"/>
  <c r="K227" i="5"/>
  <c r="G227" i="5" s="1"/>
  <c r="J226" i="5"/>
  <c r="I225" i="5"/>
  <c r="H224" i="5"/>
  <c r="E222" i="5"/>
  <c r="F222" i="5" s="1"/>
  <c r="N218" i="5"/>
  <c r="M217" i="5"/>
  <c r="L216" i="5"/>
  <c r="K215" i="5"/>
  <c r="G215" i="5" s="1"/>
  <c r="J214" i="5"/>
  <c r="I213" i="5"/>
  <c r="H212" i="5"/>
  <c r="E210" i="5"/>
  <c r="F210" i="5" s="1"/>
  <c r="N206" i="5"/>
  <c r="M205" i="5"/>
  <c r="L204" i="5"/>
  <c r="K203" i="5"/>
  <c r="G203" i="5" s="1"/>
  <c r="J202" i="5"/>
  <c r="I201" i="5"/>
  <c r="H200" i="5"/>
  <c r="E198" i="5"/>
  <c r="F198" i="5" s="1"/>
  <c r="N194" i="5"/>
  <c r="M193" i="5"/>
  <c r="L192" i="5"/>
  <c r="K191" i="5"/>
  <c r="G191" i="5" s="1"/>
  <c r="J190" i="5"/>
  <c r="I189" i="5"/>
  <c r="H188" i="5"/>
  <c r="E186" i="5"/>
  <c r="F186" i="5" s="1"/>
  <c r="L183" i="5"/>
  <c r="E182" i="5"/>
  <c r="F182" i="5" s="1"/>
  <c r="L180" i="5"/>
  <c r="E179" i="5"/>
  <c r="F179" i="5" s="1"/>
  <c r="L174" i="5"/>
  <c r="K171" i="5"/>
  <c r="G171" i="5" s="1"/>
  <c r="H168" i="5"/>
  <c r="H164" i="5"/>
  <c r="M161" i="5"/>
  <c r="H148" i="5"/>
  <c r="B125" i="5"/>
  <c r="E120" i="5"/>
  <c r="F120" i="5" s="1"/>
  <c r="K47" i="5"/>
  <c r="G47" i="5" s="1"/>
  <c r="B209" i="5"/>
  <c r="B197" i="5"/>
  <c r="B185" i="5"/>
  <c r="P185" i="5" s="1"/>
  <c r="K183" i="5"/>
  <c r="G183" i="5" s="1"/>
  <c r="K177" i="5"/>
  <c r="G177" i="5" s="1"/>
  <c r="E173" i="5"/>
  <c r="F173" i="5" s="1"/>
  <c r="B170" i="5"/>
  <c r="E168" i="5"/>
  <c r="F168" i="5" s="1"/>
  <c r="K161" i="5"/>
  <c r="G161" i="5" s="1"/>
  <c r="E159" i="5"/>
  <c r="F159" i="5" s="1"/>
  <c r="E144" i="5"/>
  <c r="F144" i="5" s="1"/>
  <c r="L140" i="5"/>
  <c r="J136" i="5"/>
  <c r="N128" i="5"/>
  <c r="M85" i="5"/>
  <c r="I125" i="5"/>
  <c r="H124" i="5"/>
  <c r="E122" i="5"/>
  <c r="F122" i="5" s="1"/>
  <c r="N118" i="5"/>
  <c r="M117" i="5"/>
  <c r="L116" i="5"/>
  <c r="K115" i="5"/>
  <c r="G115" i="5" s="1"/>
  <c r="J114" i="5"/>
  <c r="I113" i="5"/>
  <c r="H112" i="5"/>
  <c r="E110" i="5"/>
  <c r="F110" i="5" s="1"/>
  <c r="J107" i="5"/>
  <c r="H104" i="5"/>
  <c r="N102" i="5"/>
  <c r="B77" i="5"/>
  <c r="K73" i="5"/>
  <c r="G73" i="5" s="1"/>
  <c r="L60" i="5"/>
  <c r="H56" i="5"/>
  <c r="M38" i="5"/>
  <c r="I34" i="5"/>
  <c r="L11" i="5"/>
  <c r="B157" i="5"/>
  <c r="B145" i="5"/>
  <c r="B133" i="5"/>
  <c r="B121" i="5"/>
  <c r="B101" i="5"/>
  <c r="K99" i="5"/>
  <c r="G99" i="5" s="1"/>
  <c r="M97" i="5"/>
  <c r="H96" i="5"/>
  <c r="K94" i="5"/>
  <c r="G94" i="5" s="1"/>
  <c r="N86" i="5"/>
  <c r="K83" i="5"/>
  <c r="G83" i="5" s="1"/>
  <c r="H80" i="5"/>
  <c r="I69" i="5"/>
  <c r="B65" i="5"/>
  <c r="N51" i="5"/>
  <c r="J47" i="5"/>
  <c r="E43" i="5"/>
  <c r="F43" i="5" s="1"/>
  <c r="E29" i="5"/>
  <c r="F29" i="5" s="1"/>
  <c r="M24" i="5"/>
  <c r="I20" i="5"/>
  <c r="B16" i="5"/>
  <c r="E147" i="5"/>
  <c r="F147" i="5" s="1"/>
  <c r="N143" i="5"/>
  <c r="M142" i="5"/>
  <c r="L141" i="5"/>
  <c r="K140" i="5"/>
  <c r="G140" i="5" s="1"/>
  <c r="J139" i="5"/>
  <c r="I138" i="5"/>
  <c r="H137" i="5"/>
  <c r="E135" i="5"/>
  <c r="F135" i="5" s="1"/>
  <c r="N131" i="5"/>
  <c r="M130" i="5"/>
  <c r="L129" i="5"/>
  <c r="K128" i="5"/>
  <c r="G128" i="5" s="1"/>
  <c r="J127" i="5"/>
  <c r="I126" i="5"/>
  <c r="H125" i="5"/>
  <c r="E123" i="5"/>
  <c r="F123" i="5" s="1"/>
  <c r="N119" i="5"/>
  <c r="M118" i="5"/>
  <c r="L117" i="5"/>
  <c r="K116" i="5"/>
  <c r="G116" i="5" s="1"/>
  <c r="J115" i="5"/>
  <c r="I114" i="5"/>
  <c r="H113" i="5"/>
  <c r="E111" i="5"/>
  <c r="F111" i="5" s="1"/>
  <c r="I107" i="5"/>
  <c r="M105" i="5"/>
  <c r="J102" i="5"/>
  <c r="E93" i="5"/>
  <c r="F93" i="5" s="1"/>
  <c r="E90" i="5"/>
  <c r="F90" i="5" s="1"/>
  <c r="M72" i="5"/>
  <c r="K60" i="5"/>
  <c r="G60" i="5" s="1"/>
  <c r="N37" i="5"/>
  <c r="J33" i="5"/>
  <c r="K11" i="5"/>
  <c r="G11" i="5" s="1"/>
  <c r="B158" i="5"/>
  <c r="B146" i="5"/>
  <c r="B134" i="5"/>
  <c r="B122" i="5"/>
  <c r="B110" i="5"/>
  <c r="M108" i="5"/>
  <c r="L97" i="5"/>
  <c r="B96" i="5"/>
  <c r="J94" i="5"/>
  <c r="M86" i="5"/>
  <c r="J83" i="5"/>
  <c r="N76" i="5"/>
  <c r="H69" i="5"/>
  <c r="K46" i="5"/>
  <c r="G46" i="5" s="1"/>
  <c r="L24" i="5"/>
  <c r="M167" i="5"/>
  <c r="L166" i="5"/>
  <c r="K165" i="5"/>
  <c r="G165" i="5" s="1"/>
  <c r="J164" i="5"/>
  <c r="I163" i="5"/>
  <c r="H162" i="5"/>
  <c r="E160" i="5"/>
  <c r="F160" i="5" s="1"/>
  <c r="N156" i="5"/>
  <c r="M155" i="5"/>
  <c r="L154" i="5"/>
  <c r="K153" i="5"/>
  <c r="G153" i="5" s="1"/>
  <c r="J152" i="5"/>
  <c r="I151" i="5"/>
  <c r="H150" i="5"/>
  <c r="E148" i="5"/>
  <c r="F148" i="5" s="1"/>
  <c r="N144" i="5"/>
  <c r="M143" i="5"/>
  <c r="L142" i="5"/>
  <c r="K141" i="5"/>
  <c r="G141" i="5" s="1"/>
  <c r="J140" i="5"/>
  <c r="I139" i="5"/>
  <c r="H138" i="5"/>
  <c r="E136" i="5"/>
  <c r="F136" i="5" s="1"/>
  <c r="N132" i="5"/>
  <c r="M131" i="5"/>
  <c r="L130" i="5"/>
  <c r="K129" i="5"/>
  <c r="G129" i="5" s="1"/>
  <c r="J128" i="5"/>
  <c r="I127" i="5"/>
  <c r="H126" i="5"/>
  <c r="E124" i="5"/>
  <c r="F124" i="5" s="1"/>
  <c r="N120" i="5"/>
  <c r="M119" i="5"/>
  <c r="L118" i="5"/>
  <c r="K117" i="5"/>
  <c r="G117" i="5" s="1"/>
  <c r="J116" i="5"/>
  <c r="I115" i="5"/>
  <c r="H114" i="5"/>
  <c r="E112" i="5"/>
  <c r="F112" i="5" s="1"/>
  <c r="H107" i="5"/>
  <c r="L105" i="5"/>
  <c r="E104" i="5"/>
  <c r="F104" i="5" s="1"/>
  <c r="I102" i="5"/>
  <c r="N100" i="5"/>
  <c r="L72" i="5"/>
  <c r="L59" i="5"/>
  <c r="H55" i="5"/>
  <c r="M37" i="5"/>
  <c r="I33" i="5"/>
  <c r="B29" i="5"/>
  <c r="N15" i="5"/>
  <c r="J11" i="5"/>
  <c r="E7" i="5"/>
  <c r="F7" i="5" s="1"/>
  <c r="H163" i="5"/>
  <c r="E161" i="5"/>
  <c r="F161" i="5" s="1"/>
  <c r="N157" i="5"/>
  <c r="M156" i="5"/>
  <c r="L155" i="5"/>
  <c r="K154" i="5"/>
  <c r="G154" i="5" s="1"/>
  <c r="J153" i="5"/>
  <c r="I152" i="5"/>
  <c r="H151" i="5"/>
  <c r="E149" i="5"/>
  <c r="F149" i="5" s="1"/>
  <c r="N145" i="5"/>
  <c r="M144" i="5"/>
  <c r="L143" i="5"/>
  <c r="K142" i="5"/>
  <c r="G142" i="5" s="1"/>
  <c r="J141" i="5"/>
  <c r="I140" i="5"/>
  <c r="H139" i="5"/>
  <c r="E137" i="5"/>
  <c r="F137" i="5" s="1"/>
  <c r="N133" i="5"/>
  <c r="M132" i="5"/>
  <c r="L131" i="5"/>
  <c r="K130" i="5"/>
  <c r="G130" i="5" s="1"/>
  <c r="J129" i="5"/>
  <c r="I128" i="5"/>
  <c r="H127" i="5"/>
  <c r="E125" i="5"/>
  <c r="F125" i="5" s="1"/>
  <c r="N121" i="5"/>
  <c r="M120" i="5"/>
  <c r="L119" i="5"/>
  <c r="K118" i="5"/>
  <c r="G118" i="5" s="1"/>
  <c r="J117" i="5"/>
  <c r="I116" i="5"/>
  <c r="H115" i="5"/>
  <c r="E113" i="5"/>
  <c r="F113" i="5" s="1"/>
  <c r="N109" i="5"/>
  <c r="J105" i="5"/>
  <c r="M100" i="5"/>
  <c r="N95" i="5"/>
  <c r="K92" i="5"/>
  <c r="G92" i="5" s="1"/>
  <c r="B76" i="5"/>
  <c r="K72" i="5"/>
  <c r="G72" i="5" s="1"/>
  <c r="K59" i="5"/>
  <c r="G59" i="5" s="1"/>
  <c r="L37" i="5"/>
  <c r="H33" i="5"/>
  <c r="K10" i="5"/>
  <c r="G10" i="5" s="1"/>
  <c r="B184" i="5"/>
  <c r="B172" i="5"/>
  <c r="B160" i="5"/>
  <c r="B148" i="5"/>
  <c r="B136" i="5"/>
  <c r="B124" i="5"/>
  <c r="B112" i="5"/>
  <c r="K108" i="5"/>
  <c r="G108" i="5" s="1"/>
  <c r="B104" i="5"/>
  <c r="J97" i="5"/>
  <c r="H94" i="5"/>
  <c r="I92" i="5"/>
  <c r="E89" i="5"/>
  <c r="F89" i="5" s="1"/>
  <c r="N85" i="5"/>
  <c r="K82" i="5"/>
  <c r="G82" i="5" s="1"/>
  <c r="H79" i="5"/>
  <c r="J72" i="5"/>
  <c r="H68" i="5"/>
  <c r="M50" i="5"/>
  <c r="I46" i="5"/>
  <c r="L23" i="5"/>
  <c r="E150" i="5"/>
  <c r="F150" i="5" s="1"/>
  <c r="N146" i="5"/>
  <c r="M145" i="5"/>
  <c r="L144" i="5"/>
  <c r="K143" i="5"/>
  <c r="G143" i="5" s="1"/>
  <c r="J142" i="5"/>
  <c r="I141" i="5"/>
  <c r="H140" i="5"/>
  <c r="E138" i="5"/>
  <c r="F138" i="5" s="1"/>
  <c r="N134" i="5"/>
  <c r="M133" i="5"/>
  <c r="L132" i="5"/>
  <c r="K131" i="5"/>
  <c r="G131" i="5" s="1"/>
  <c r="J130" i="5"/>
  <c r="I129" i="5"/>
  <c r="H128" i="5"/>
  <c r="E126" i="5"/>
  <c r="F126" i="5" s="1"/>
  <c r="N122" i="5"/>
  <c r="M121" i="5"/>
  <c r="L120" i="5"/>
  <c r="K119" i="5"/>
  <c r="G119" i="5" s="1"/>
  <c r="J118" i="5"/>
  <c r="I117" i="5"/>
  <c r="H116" i="5"/>
  <c r="E114" i="5"/>
  <c r="F114" i="5" s="1"/>
  <c r="N110" i="5"/>
  <c r="M109" i="5"/>
  <c r="I105" i="5"/>
  <c r="E102" i="5"/>
  <c r="F102" i="5" s="1"/>
  <c r="L100" i="5"/>
  <c r="L95" i="5"/>
  <c r="N63" i="5"/>
  <c r="J59" i="5"/>
  <c r="E55" i="5"/>
  <c r="F55" i="5" s="1"/>
  <c r="E41" i="5"/>
  <c r="F41" i="5" s="1"/>
  <c r="M36" i="5"/>
  <c r="I32" i="5"/>
  <c r="B28" i="5"/>
  <c r="N14" i="5"/>
  <c r="J10" i="5"/>
  <c r="E6" i="5"/>
  <c r="F6" i="5" s="1"/>
  <c r="M182" i="5"/>
  <c r="L181" i="5"/>
  <c r="K180" i="5"/>
  <c r="G180" i="5" s="1"/>
  <c r="J179" i="5"/>
  <c r="I178" i="5"/>
  <c r="H177" i="5"/>
  <c r="E175" i="5"/>
  <c r="F175" i="5" s="1"/>
  <c r="N171" i="5"/>
  <c r="M170" i="5"/>
  <c r="L169" i="5"/>
  <c r="K168" i="5"/>
  <c r="G168" i="5" s="1"/>
  <c r="J167" i="5"/>
  <c r="I166" i="5"/>
  <c r="H165" i="5"/>
  <c r="E163" i="5"/>
  <c r="F163" i="5" s="1"/>
  <c r="N159" i="5"/>
  <c r="M158" i="5"/>
  <c r="L157" i="5"/>
  <c r="K156" i="5"/>
  <c r="G156" i="5" s="1"/>
  <c r="J155" i="5"/>
  <c r="I154" i="5"/>
  <c r="H153" i="5"/>
  <c r="E151" i="5"/>
  <c r="F151" i="5" s="1"/>
  <c r="N147" i="5"/>
  <c r="M146" i="5"/>
  <c r="L145" i="5"/>
  <c r="K144" i="5"/>
  <c r="G144" i="5" s="1"/>
  <c r="J143" i="5"/>
  <c r="I142" i="5"/>
  <c r="H141" i="5"/>
  <c r="E139" i="5"/>
  <c r="F139" i="5" s="1"/>
  <c r="N135" i="5"/>
  <c r="M134" i="5"/>
  <c r="L133" i="5"/>
  <c r="K132" i="5"/>
  <c r="G132" i="5" s="1"/>
  <c r="J131" i="5"/>
  <c r="I130" i="5"/>
  <c r="H129" i="5"/>
  <c r="E127" i="5"/>
  <c r="F127" i="5" s="1"/>
  <c r="N123" i="5"/>
  <c r="M122" i="5"/>
  <c r="L121" i="5"/>
  <c r="K120" i="5"/>
  <c r="G120" i="5" s="1"/>
  <c r="J119" i="5"/>
  <c r="I118" i="5"/>
  <c r="H117" i="5"/>
  <c r="E115" i="5"/>
  <c r="F115" i="5" s="1"/>
  <c r="N111" i="5"/>
  <c r="M110" i="5"/>
  <c r="L109" i="5"/>
  <c r="H105" i="5"/>
  <c r="K103" i="5"/>
  <c r="G103" i="5" s="1"/>
  <c r="H100" i="5"/>
  <c r="K95" i="5"/>
  <c r="G95" i="5" s="1"/>
  <c r="B89" i="5"/>
  <c r="M75" i="5"/>
  <c r="K58" i="5"/>
  <c r="G58" i="5" s="1"/>
  <c r="L36" i="5"/>
  <c r="H32" i="5"/>
  <c r="M14" i="5"/>
  <c r="I10" i="5"/>
  <c r="M183" i="5"/>
  <c r="L182" i="5"/>
  <c r="K181" i="5"/>
  <c r="G181" i="5" s="1"/>
  <c r="J180" i="5"/>
  <c r="I179" i="5"/>
  <c r="H178" i="5"/>
  <c r="E176" i="5"/>
  <c r="F176" i="5" s="1"/>
  <c r="N172" i="5"/>
  <c r="M171" i="5"/>
  <c r="L170" i="5"/>
  <c r="K169" i="5"/>
  <c r="G169" i="5" s="1"/>
  <c r="J168" i="5"/>
  <c r="I167" i="5"/>
  <c r="H166" i="5"/>
  <c r="E164" i="5"/>
  <c r="F164" i="5" s="1"/>
  <c r="N160" i="5"/>
  <c r="M159" i="5"/>
  <c r="L158" i="5"/>
  <c r="K157" i="5"/>
  <c r="G157" i="5" s="1"/>
  <c r="J156" i="5"/>
  <c r="I155" i="5"/>
  <c r="H154" i="5"/>
  <c r="E152" i="5"/>
  <c r="F152" i="5" s="1"/>
  <c r="N148" i="5"/>
  <c r="M147" i="5"/>
  <c r="L146" i="5"/>
  <c r="K145" i="5"/>
  <c r="G145" i="5" s="1"/>
  <c r="J144" i="5"/>
  <c r="I143" i="5"/>
  <c r="H142" i="5"/>
  <c r="E140" i="5"/>
  <c r="F140" i="5" s="1"/>
  <c r="N136" i="5"/>
  <c r="M135" i="5"/>
  <c r="L134" i="5"/>
  <c r="K133" i="5"/>
  <c r="G133" i="5" s="1"/>
  <c r="J132" i="5"/>
  <c r="I131" i="5"/>
  <c r="H130" i="5"/>
  <c r="E128" i="5"/>
  <c r="F128" i="5" s="1"/>
  <c r="N124" i="5"/>
  <c r="M123" i="5"/>
  <c r="L122" i="5"/>
  <c r="K121" i="5"/>
  <c r="G121" i="5" s="1"/>
  <c r="J120" i="5"/>
  <c r="I119" i="5"/>
  <c r="H118" i="5"/>
  <c r="E116" i="5"/>
  <c r="F116" i="5" s="1"/>
  <c r="N112" i="5"/>
  <c r="M111" i="5"/>
  <c r="L110" i="5"/>
  <c r="K109" i="5"/>
  <c r="G109" i="5" s="1"/>
  <c r="J103" i="5"/>
  <c r="B97" i="5"/>
  <c r="J95" i="5"/>
  <c r="N62" i="5"/>
  <c r="J58" i="5"/>
  <c r="E54" i="5"/>
  <c r="F54" i="5" s="1"/>
  <c r="K36" i="5"/>
  <c r="G36" i="5" s="1"/>
  <c r="N13" i="5"/>
  <c r="J9" i="5"/>
  <c r="B175" i="5"/>
  <c r="B163" i="5"/>
  <c r="B151" i="5"/>
  <c r="B139" i="5"/>
  <c r="B127" i="5"/>
  <c r="B115" i="5"/>
  <c r="H108" i="5"/>
  <c r="K106" i="5"/>
  <c r="G106" i="5" s="1"/>
  <c r="L98" i="5"/>
  <c r="E92" i="5"/>
  <c r="F92" i="5" s="1"/>
  <c r="N88" i="5"/>
  <c r="K85" i="5"/>
  <c r="G85" i="5" s="1"/>
  <c r="H82" i="5"/>
  <c r="J71" i="5"/>
  <c r="L49" i="5"/>
  <c r="H45" i="5"/>
  <c r="K22" i="5"/>
  <c r="G22" i="5" s="1"/>
  <c r="K170" i="5"/>
  <c r="G170" i="5" s="1"/>
  <c r="J169" i="5"/>
  <c r="I168" i="5"/>
  <c r="H167" i="5"/>
  <c r="E165" i="5"/>
  <c r="F165" i="5" s="1"/>
  <c r="N161" i="5"/>
  <c r="M160" i="5"/>
  <c r="L159" i="5"/>
  <c r="K158" i="5"/>
  <c r="G158" i="5" s="1"/>
  <c r="J157" i="5"/>
  <c r="I156" i="5"/>
  <c r="H155" i="5"/>
  <c r="E153" i="5"/>
  <c r="F153" i="5" s="1"/>
  <c r="N149" i="5"/>
  <c r="M148" i="5"/>
  <c r="L147" i="5"/>
  <c r="K146" i="5"/>
  <c r="G146" i="5" s="1"/>
  <c r="J145" i="5"/>
  <c r="I144" i="5"/>
  <c r="H143" i="5"/>
  <c r="E141" i="5"/>
  <c r="F141" i="5" s="1"/>
  <c r="N137" i="5"/>
  <c r="M136" i="5"/>
  <c r="L135" i="5"/>
  <c r="K134" i="5"/>
  <c r="G134" i="5" s="1"/>
  <c r="J133" i="5"/>
  <c r="I132" i="5"/>
  <c r="H131" i="5"/>
  <c r="E129" i="5"/>
  <c r="F129" i="5" s="1"/>
  <c r="N125" i="5"/>
  <c r="M124" i="5"/>
  <c r="L123" i="5"/>
  <c r="K122" i="5"/>
  <c r="G122" i="5" s="1"/>
  <c r="J121" i="5"/>
  <c r="I120" i="5"/>
  <c r="H119" i="5"/>
  <c r="E117" i="5"/>
  <c r="F117" i="5" s="1"/>
  <c r="N113" i="5"/>
  <c r="M112" i="5"/>
  <c r="L111" i="5"/>
  <c r="K110" i="5"/>
  <c r="G110" i="5" s="1"/>
  <c r="J109" i="5"/>
  <c r="E105" i="5"/>
  <c r="F105" i="5" s="1"/>
  <c r="H103" i="5"/>
  <c r="N101" i="5"/>
  <c r="I95" i="5"/>
  <c r="M93" i="5"/>
  <c r="N74" i="5"/>
  <c r="I71" i="5"/>
  <c r="M62" i="5"/>
  <c r="I58" i="5"/>
  <c r="L35" i="5"/>
  <c r="H31" i="5"/>
  <c r="M13" i="5"/>
  <c r="I9" i="5"/>
  <c r="B5" i="5"/>
  <c r="B176" i="5"/>
  <c r="B164" i="5"/>
  <c r="B152" i="5"/>
  <c r="B140" i="5"/>
  <c r="B128" i="5"/>
  <c r="B116" i="5"/>
  <c r="B108" i="5"/>
  <c r="J106" i="5"/>
  <c r="K98" i="5"/>
  <c r="G98" i="5" s="1"/>
  <c r="M96" i="5"/>
  <c r="M84" i="5"/>
  <c r="J81" i="5"/>
  <c r="E67" i="5"/>
  <c r="F67" i="5" s="1"/>
  <c r="E53" i="5"/>
  <c r="F53" i="5" s="1"/>
  <c r="M48" i="5"/>
  <c r="I44" i="5"/>
  <c r="B40" i="5"/>
  <c r="N26" i="5"/>
  <c r="J22" i="5"/>
  <c r="E18" i="5"/>
  <c r="F18" i="5" s="1"/>
  <c r="J146" i="5"/>
  <c r="I145" i="5"/>
  <c r="H144" i="5"/>
  <c r="E142" i="5"/>
  <c r="F142" i="5" s="1"/>
  <c r="N138" i="5"/>
  <c r="M137" i="5"/>
  <c r="L136" i="5"/>
  <c r="K135" i="5"/>
  <c r="G135" i="5" s="1"/>
  <c r="J134" i="5"/>
  <c r="I133" i="5"/>
  <c r="H132" i="5"/>
  <c r="E130" i="5"/>
  <c r="F130" i="5" s="1"/>
  <c r="N126" i="5"/>
  <c r="M125" i="5"/>
  <c r="L124" i="5"/>
  <c r="K123" i="5"/>
  <c r="G123" i="5" s="1"/>
  <c r="J122" i="5"/>
  <c r="I121" i="5"/>
  <c r="H120" i="5"/>
  <c r="E118" i="5"/>
  <c r="F118" i="5" s="1"/>
  <c r="N114" i="5"/>
  <c r="M113" i="5"/>
  <c r="L112" i="5"/>
  <c r="K111" i="5"/>
  <c r="G111" i="5" s="1"/>
  <c r="J110" i="5"/>
  <c r="I109" i="5"/>
  <c r="M101" i="5"/>
  <c r="B100" i="5"/>
  <c r="H95" i="5"/>
  <c r="L93" i="5"/>
  <c r="H91" i="5"/>
  <c r="B88" i="5"/>
  <c r="E78" i="5"/>
  <c r="F78" i="5" s="1"/>
  <c r="M74" i="5"/>
  <c r="K70" i="5"/>
  <c r="G70" i="5" s="1"/>
  <c r="N61" i="5"/>
  <c r="J57" i="5"/>
  <c r="K35" i="5"/>
  <c r="G35" i="5" s="1"/>
  <c r="L13" i="5"/>
  <c r="B165" i="5"/>
  <c r="B153" i="5"/>
  <c r="B141" i="5"/>
  <c r="B129" i="5"/>
  <c r="B117" i="5"/>
  <c r="I106" i="5"/>
  <c r="J98" i="5"/>
  <c r="L96" i="5"/>
  <c r="L84" i="5"/>
  <c r="I81" i="5"/>
  <c r="L74" i="5"/>
  <c r="L48" i="5"/>
  <c r="H44" i="5"/>
  <c r="M26" i="5"/>
  <c r="I22" i="5"/>
  <c r="E167" i="5"/>
  <c r="F167" i="5" s="1"/>
  <c r="N163" i="5"/>
  <c r="M162" i="5"/>
  <c r="L161" i="5"/>
  <c r="K160" i="5"/>
  <c r="G160" i="5" s="1"/>
  <c r="J159" i="5"/>
  <c r="I158" i="5"/>
  <c r="H157" i="5"/>
  <c r="E155" i="5"/>
  <c r="F155" i="5" s="1"/>
  <c r="N151" i="5"/>
  <c r="M150" i="5"/>
  <c r="L149" i="5"/>
  <c r="K148" i="5"/>
  <c r="G148" i="5" s="1"/>
  <c r="J147" i="5"/>
  <c r="I146" i="5"/>
  <c r="H145" i="5"/>
  <c r="E143" i="5"/>
  <c r="F143" i="5" s="1"/>
  <c r="N139" i="5"/>
  <c r="M138" i="5"/>
  <c r="L137" i="5"/>
  <c r="K136" i="5"/>
  <c r="G136" i="5" s="1"/>
  <c r="J135" i="5"/>
  <c r="I134" i="5"/>
  <c r="H133" i="5"/>
  <c r="E131" i="5"/>
  <c r="F131" i="5" s="1"/>
  <c r="N127" i="5"/>
  <c r="M126" i="5"/>
  <c r="L125" i="5"/>
  <c r="K124" i="5"/>
  <c r="G124" i="5" s="1"/>
  <c r="J123" i="5"/>
  <c r="I122" i="5"/>
  <c r="H121" i="5"/>
  <c r="E119" i="5"/>
  <c r="F119" i="5" s="1"/>
  <c r="N115" i="5"/>
  <c r="M114" i="5"/>
  <c r="L113" i="5"/>
  <c r="K112" i="5"/>
  <c r="G112" i="5" s="1"/>
  <c r="J111" i="5"/>
  <c r="I110" i="5"/>
  <c r="H109" i="5"/>
  <c r="N107" i="5"/>
  <c r="L104" i="5"/>
  <c r="E103" i="5"/>
  <c r="F103" i="5" s="1"/>
  <c r="I101" i="5"/>
  <c r="J93" i="5"/>
  <c r="J70" i="5"/>
  <c r="M61" i="5"/>
  <c r="I57" i="5"/>
  <c r="B53" i="5"/>
  <c r="N39" i="5"/>
  <c r="J35" i="5"/>
  <c r="E31" i="5"/>
  <c r="F31" i="5" s="1"/>
  <c r="E17" i="5"/>
  <c r="F17" i="5" s="1"/>
  <c r="M12" i="5"/>
  <c r="I8" i="5"/>
  <c r="B4" i="5"/>
  <c r="B166" i="5"/>
  <c r="B154" i="5"/>
  <c r="B142" i="5"/>
  <c r="B130" i="5"/>
  <c r="B118" i="5"/>
  <c r="H106" i="5"/>
  <c r="N99" i="5"/>
  <c r="E98" i="5"/>
  <c r="F98" i="5" s="1"/>
  <c r="K96" i="5"/>
  <c r="G96" i="5" s="1"/>
  <c r="N87" i="5"/>
  <c r="K84" i="5"/>
  <c r="G84" i="5" s="1"/>
  <c r="H81" i="5"/>
  <c r="B78" i="5"/>
  <c r="N73" i="5"/>
  <c r="E66" i="5"/>
  <c r="F66" i="5" s="1"/>
  <c r="K48" i="5"/>
  <c r="G48" i="5" s="1"/>
  <c r="N25" i="5"/>
  <c r="J21" i="5"/>
  <c r="N116" i="5"/>
  <c r="M115" i="5"/>
  <c r="L114" i="5"/>
  <c r="K113" i="5"/>
  <c r="G113" i="5" s="1"/>
  <c r="J112" i="5"/>
  <c r="I111" i="5"/>
  <c r="H110" i="5"/>
  <c r="L107" i="5"/>
  <c r="K104" i="5"/>
  <c r="G104" i="5" s="1"/>
  <c r="H101" i="5"/>
  <c r="I93" i="5"/>
  <c r="E91" i="5"/>
  <c r="F91" i="5" s="1"/>
  <c r="I70" i="5"/>
  <c r="L61" i="5"/>
  <c r="H57" i="5"/>
  <c r="K34" i="5"/>
  <c r="G34" i="5" s="1"/>
  <c r="L12" i="5"/>
  <c r="B179" i="5"/>
  <c r="P179" i="5" s="1"/>
  <c r="B167" i="5"/>
  <c r="B155" i="5"/>
  <c r="B143" i="5"/>
  <c r="B131" i="5"/>
  <c r="B119" i="5"/>
  <c r="B103" i="5"/>
  <c r="M99" i="5"/>
  <c r="J96" i="5"/>
  <c r="N94" i="5"/>
  <c r="M87" i="5"/>
  <c r="J84" i="5"/>
  <c r="E77" i="5"/>
  <c r="F77" i="5" s="1"/>
  <c r="M73" i="5"/>
  <c r="H70" i="5"/>
  <c r="L47" i="5"/>
  <c r="H43" i="5"/>
  <c r="M25" i="5"/>
  <c r="I21" i="5"/>
  <c r="B17" i="5"/>
  <c r="N3" i="5"/>
  <c r="I184" i="5"/>
  <c r="H183" i="5"/>
  <c r="E181" i="5"/>
  <c r="F181" i="5" s="1"/>
  <c r="N177" i="5"/>
  <c r="M176" i="5"/>
  <c r="L175" i="5"/>
  <c r="K174" i="5"/>
  <c r="G174" i="5" s="1"/>
  <c r="J173" i="5"/>
  <c r="I172" i="5"/>
  <c r="H171" i="5"/>
  <c r="E169" i="5"/>
  <c r="F169" i="5" s="1"/>
  <c r="N165" i="5"/>
  <c r="M164" i="5"/>
  <c r="L163" i="5"/>
  <c r="K162" i="5"/>
  <c r="G162" i="5" s="1"/>
  <c r="J161" i="5"/>
  <c r="I160" i="5"/>
  <c r="H159" i="5"/>
  <c r="E157" i="5"/>
  <c r="F157" i="5" s="1"/>
  <c r="N153" i="5"/>
  <c r="M152" i="5"/>
  <c r="L151" i="5"/>
  <c r="K150" i="5"/>
  <c r="G150" i="5" s="1"/>
  <c r="J149" i="5"/>
  <c r="I148" i="5"/>
  <c r="H147" i="5"/>
  <c r="E145" i="5"/>
  <c r="F145" i="5" s="1"/>
  <c r="N141" i="5"/>
  <c r="M140" i="5"/>
  <c r="L139" i="5"/>
  <c r="K138" i="5"/>
  <c r="G138" i="5" s="1"/>
  <c r="J137" i="5"/>
  <c r="I136" i="5"/>
  <c r="H135" i="5"/>
  <c r="E133" i="5"/>
  <c r="F133" i="5" s="1"/>
  <c r="N129" i="5"/>
  <c r="M128" i="5"/>
  <c r="L127" i="5"/>
  <c r="K126" i="5"/>
  <c r="G126" i="5" s="1"/>
  <c r="J125" i="5"/>
  <c r="I124" i="5"/>
  <c r="H123" i="5"/>
  <c r="E121" i="5"/>
  <c r="F121" i="5" s="1"/>
  <c r="N117" i="5"/>
  <c r="M116" i="5"/>
  <c r="L115" i="5"/>
  <c r="K114" i="5"/>
  <c r="G114" i="5" s="1"/>
  <c r="J113" i="5"/>
  <c r="I112" i="5"/>
  <c r="H111" i="5"/>
  <c r="K107" i="5"/>
  <c r="G107" i="5" s="1"/>
  <c r="I104" i="5"/>
  <c r="E101" i="5"/>
  <c r="F101" i="5" s="1"/>
  <c r="B98" i="5"/>
  <c r="H93" i="5"/>
  <c r="E65" i="5"/>
  <c r="F65" i="5" s="1"/>
  <c r="M60" i="5"/>
  <c r="I56" i="5"/>
  <c r="B52" i="5"/>
  <c r="N38" i="5"/>
  <c r="J34" i="5"/>
  <c r="E30" i="5"/>
  <c r="F30" i="5" s="1"/>
  <c r="K12" i="5"/>
  <c r="G12" i="5" s="1"/>
  <c r="B66" i="5"/>
  <c r="B54" i="5"/>
  <c r="B42" i="5"/>
  <c r="B30" i="5"/>
  <c r="B18" i="5"/>
  <c r="B6" i="5"/>
  <c r="E68" i="5"/>
  <c r="F68" i="5" s="1"/>
  <c r="N64" i="5"/>
  <c r="M63" i="5"/>
  <c r="L62" i="5"/>
  <c r="K61" i="5"/>
  <c r="G61" i="5" s="1"/>
  <c r="J60" i="5"/>
  <c r="I59" i="5"/>
  <c r="H58" i="5"/>
  <c r="E56" i="5"/>
  <c r="F56" i="5" s="1"/>
  <c r="N52" i="5"/>
  <c r="M51" i="5"/>
  <c r="L50" i="5"/>
  <c r="K49" i="5"/>
  <c r="G49" i="5" s="1"/>
  <c r="J48" i="5"/>
  <c r="I47" i="5"/>
  <c r="H46" i="5"/>
  <c r="E44" i="5"/>
  <c r="F44" i="5" s="1"/>
  <c r="N40" i="5"/>
  <c r="M39" i="5"/>
  <c r="L38" i="5"/>
  <c r="K37" i="5"/>
  <c r="G37" i="5" s="1"/>
  <c r="J36" i="5"/>
  <c r="I35" i="5"/>
  <c r="H34" i="5"/>
  <c r="E32" i="5"/>
  <c r="F32" i="5" s="1"/>
  <c r="N28" i="5"/>
  <c r="M27" i="5"/>
  <c r="L26" i="5"/>
  <c r="K25" i="5"/>
  <c r="G25" i="5" s="1"/>
  <c r="J24" i="5"/>
  <c r="I23" i="5"/>
  <c r="E20" i="5"/>
  <c r="F20" i="5" s="1"/>
  <c r="N16" i="5"/>
  <c r="M15" i="5"/>
  <c r="L14" i="5"/>
  <c r="K13" i="5"/>
  <c r="G13" i="5" s="1"/>
  <c r="J12" i="5"/>
  <c r="I11" i="5"/>
  <c r="E8" i="5"/>
  <c r="F8" i="5" s="1"/>
  <c r="N4" i="5"/>
  <c r="M3" i="5"/>
  <c r="B91" i="5"/>
  <c r="B79" i="5"/>
  <c r="B67" i="5"/>
  <c r="B55" i="5"/>
  <c r="B43" i="5"/>
  <c r="B31" i="5"/>
  <c r="B19" i="5"/>
  <c r="B7" i="5"/>
  <c r="N89" i="5"/>
  <c r="M88" i="5"/>
  <c r="L87" i="5"/>
  <c r="K86" i="5"/>
  <c r="G86" i="5" s="1"/>
  <c r="J85" i="5"/>
  <c r="I84" i="5"/>
  <c r="H83" i="5"/>
  <c r="E81" i="5"/>
  <c r="F81" i="5" s="1"/>
  <c r="N77" i="5"/>
  <c r="M76" i="5"/>
  <c r="L75" i="5"/>
  <c r="K74" i="5"/>
  <c r="G74" i="5" s="1"/>
  <c r="J73" i="5"/>
  <c r="I72" i="5"/>
  <c r="H71" i="5"/>
  <c r="E69" i="5"/>
  <c r="F69" i="5" s="1"/>
  <c r="N65" i="5"/>
  <c r="M64" i="5"/>
  <c r="L63" i="5"/>
  <c r="K62" i="5"/>
  <c r="G62" i="5" s="1"/>
  <c r="J61" i="5"/>
  <c r="I60" i="5"/>
  <c r="H59" i="5"/>
  <c r="E57" i="5"/>
  <c r="F57" i="5" s="1"/>
  <c r="N53" i="5"/>
  <c r="M52" i="5"/>
  <c r="L51" i="5"/>
  <c r="K50" i="5"/>
  <c r="G50" i="5" s="1"/>
  <c r="J49" i="5"/>
  <c r="I48" i="5"/>
  <c r="H47" i="5"/>
  <c r="E45" i="5"/>
  <c r="F45" i="5" s="1"/>
  <c r="N41" i="5"/>
  <c r="M40" i="5"/>
  <c r="L39" i="5"/>
  <c r="K38" i="5"/>
  <c r="G38" i="5" s="1"/>
  <c r="J37" i="5"/>
  <c r="I36" i="5"/>
  <c r="H35" i="5"/>
  <c r="E33" i="5"/>
  <c r="F33" i="5" s="1"/>
  <c r="N29" i="5"/>
  <c r="M28" i="5"/>
  <c r="L27" i="5"/>
  <c r="K26" i="5"/>
  <c r="G26" i="5" s="1"/>
  <c r="J25" i="5"/>
  <c r="I24" i="5"/>
  <c r="E21" i="5"/>
  <c r="F21" i="5" s="1"/>
  <c r="N17" i="5"/>
  <c r="M16" i="5"/>
  <c r="L15" i="5"/>
  <c r="K14" i="5"/>
  <c r="G14" i="5" s="1"/>
  <c r="J13" i="5"/>
  <c r="I12" i="5"/>
  <c r="E9" i="5"/>
  <c r="F9" i="5" s="1"/>
  <c r="N5" i="5"/>
  <c r="M4" i="5"/>
  <c r="L3" i="5"/>
  <c r="B92" i="5"/>
  <c r="B80" i="5"/>
  <c r="B68" i="5"/>
  <c r="B56" i="5"/>
  <c r="B44" i="5"/>
  <c r="B32" i="5"/>
  <c r="B20" i="5"/>
  <c r="B8" i="5"/>
  <c r="M89" i="5"/>
  <c r="L88" i="5"/>
  <c r="K87" i="5"/>
  <c r="G87" i="5" s="1"/>
  <c r="J86" i="5"/>
  <c r="I85" i="5"/>
  <c r="H84" i="5"/>
  <c r="E82" i="5"/>
  <c r="F82" i="5" s="1"/>
  <c r="N78" i="5"/>
  <c r="M77" i="5"/>
  <c r="L76" i="5"/>
  <c r="K75" i="5"/>
  <c r="G75" i="5" s="1"/>
  <c r="J74" i="5"/>
  <c r="I73" i="5"/>
  <c r="H72" i="5"/>
  <c r="E70" i="5"/>
  <c r="F70" i="5" s="1"/>
  <c r="N66" i="5"/>
  <c r="M65" i="5"/>
  <c r="L64" i="5"/>
  <c r="K63" i="5"/>
  <c r="G63" i="5" s="1"/>
  <c r="J62" i="5"/>
  <c r="I61" i="5"/>
  <c r="H60" i="5"/>
  <c r="E58" i="5"/>
  <c r="F58" i="5" s="1"/>
  <c r="N54" i="5"/>
  <c r="M53" i="5"/>
  <c r="L52" i="5"/>
  <c r="K51" i="5"/>
  <c r="G51" i="5" s="1"/>
  <c r="J50" i="5"/>
  <c r="I49" i="5"/>
  <c r="H48" i="5"/>
  <c r="E46" i="5"/>
  <c r="F46" i="5" s="1"/>
  <c r="N42" i="5"/>
  <c r="M41" i="5"/>
  <c r="L40" i="5"/>
  <c r="K39" i="5"/>
  <c r="G39" i="5" s="1"/>
  <c r="J38" i="5"/>
  <c r="I37" i="5"/>
  <c r="H36" i="5"/>
  <c r="E34" i="5"/>
  <c r="F34" i="5" s="1"/>
  <c r="N30" i="5"/>
  <c r="M29" i="5"/>
  <c r="L28" i="5"/>
  <c r="K27" i="5"/>
  <c r="G27" i="5" s="1"/>
  <c r="J26" i="5"/>
  <c r="I25" i="5"/>
  <c r="E22" i="5"/>
  <c r="F22" i="5" s="1"/>
  <c r="N18" i="5"/>
  <c r="M17" i="5"/>
  <c r="L16" i="5"/>
  <c r="K15" i="5"/>
  <c r="G15" i="5" s="1"/>
  <c r="J14" i="5"/>
  <c r="I13" i="5"/>
  <c r="E10" i="5"/>
  <c r="F10" i="5" s="1"/>
  <c r="N6" i="5"/>
  <c r="M5" i="5"/>
  <c r="L4" i="5"/>
  <c r="K3" i="5"/>
  <c r="G3" i="5" s="1"/>
  <c r="B105" i="5"/>
  <c r="B93" i="5"/>
  <c r="B81" i="5"/>
  <c r="B69" i="5"/>
  <c r="B57" i="5"/>
  <c r="B45" i="5"/>
  <c r="B33" i="5"/>
  <c r="B21" i="5"/>
  <c r="B9" i="5"/>
  <c r="E107" i="5"/>
  <c r="F107" i="5" s="1"/>
  <c r="N103" i="5"/>
  <c r="M102" i="5"/>
  <c r="L101" i="5"/>
  <c r="K100" i="5"/>
  <c r="G100" i="5" s="1"/>
  <c r="J99" i="5"/>
  <c r="I98" i="5"/>
  <c r="H97" i="5"/>
  <c r="E95" i="5"/>
  <c r="F95" i="5" s="1"/>
  <c r="N91" i="5"/>
  <c r="M90" i="5"/>
  <c r="L89" i="5"/>
  <c r="K88" i="5"/>
  <c r="G88" i="5" s="1"/>
  <c r="J87" i="5"/>
  <c r="I86" i="5"/>
  <c r="H85" i="5"/>
  <c r="E83" i="5"/>
  <c r="F83" i="5" s="1"/>
  <c r="N79" i="5"/>
  <c r="M78" i="5"/>
  <c r="L77" i="5"/>
  <c r="K76" i="5"/>
  <c r="G76" i="5" s="1"/>
  <c r="J75" i="5"/>
  <c r="I74" i="5"/>
  <c r="H73" i="5"/>
  <c r="E71" i="5"/>
  <c r="F71" i="5" s="1"/>
  <c r="N67" i="5"/>
  <c r="M66" i="5"/>
  <c r="L65" i="5"/>
  <c r="K64" i="5"/>
  <c r="G64" i="5" s="1"/>
  <c r="J63" i="5"/>
  <c r="I62" i="5"/>
  <c r="H61" i="5"/>
  <c r="E59" i="5"/>
  <c r="F59" i="5" s="1"/>
  <c r="N55" i="5"/>
  <c r="M54" i="5"/>
  <c r="L53" i="5"/>
  <c r="K52" i="5"/>
  <c r="G52" i="5" s="1"/>
  <c r="J51" i="5"/>
  <c r="I50" i="5"/>
  <c r="H49" i="5"/>
  <c r="E47" i="5"/>
  <c r="F47" i="5" s="1"/>
  <c r="N43" i="5"/>
  <c r="M42" i="5"/>
  <c r="L41" i="5"/>
  <c r="K40" i="5"/>
  <c r="G40" i="5" s="1"/>
  <c r="J39" i="5"/>
  <c r="I38" i="5"/>
  <c r="H37" i="5"/>
  <c r="E35" i="5"/>
  <c r="F35" i="5" s="1"/>
  <c r="N31" i="5"/>
  <c r="M30" i="5"/>
  <c r="L29" i="5"/>
  <c r="K28" i="5"/>
  <c r="G28" i="5" s="1"/>
  <c r="J27" i="5"/>
  <c r="I26" i="5"/>
  <c r="H25" i="5"/>
  <c r="E23" i="5"/>
  <c r="F23" i="5" s="1"/>
  <c r="N19" i="5"/>
  <c r="M18" i="5"/>
  <c r="L17" i="5"/>
  <c r="K16" i="5"/>
  <c r="G16" i="5" s="1"/>
  <c r="J15" i="5"/>
  <c r="I14" i="5"/>
  <c r="E11" i="5"/>
  <c r="F11" i="5" s="1"/>
  <c r="N7" i="5"/>
  <c r="M6" i="5"/>
  <c r="L5" i="5"/>
  <c r="K4" i="5"/>
  <c r="G4" i="5" s="1"/>
  <c r="J3" i="5"/>
  <c r="B106" i="5"/>
  <c r="B94" i="5"/>
  <c r="B82" i="5"/>
  <c r="B70" i="5"/>
  <c r="B58" i="5"/>
  <c r="B46" i="5"/>
  <c r="B34" i="5"/>
  <c r="B22" i="5"/>
  <c r="B10" i="5"/>
  <c r="E108" i="5"/>
  <c r="F108" i="5" s="1"/>
  <c r="N104" i="5"/>
  <c r="M103" i="5"/>
  <c r="L102" i="5"/>
  <c r="K101" i="5"/>
  <c r="G101" i="5" s="1"/>
  <c r="J100" i="5"/>
  <c r="I99" i="5"/>
  <c r="H98" i="5"/>
  <c r="E96" i="5"/>
  <c r="F96" i="5" s="1"/>
  <c r="N92" i="5"/>
  <c r="M91" i="5"/>
  <c r="L90" i="5"/>
  <c r="K89" i="5"/>
  <c r="G89" i="5" s="1"/>
  <c r="J88" i="5"/>
  <c r="I87" i="5"/>
  <c r="H86" i="5"/>
  <c r="E84" i="5"/>
  <c r="F84" i="5" s="1"/>
  <c r="N80" i="5"/>
  <c r="M79" i="5"/>
  <c r="L78" i="5"/>
  <c r="K77" i="5"/>
  <c r="G77" i="5" s="1"/>
  <c r="J76" i="5"/>
  <c r="I75" i="5"/>
  <c r="H74" i="5"/>
  <c r="E72" i="5"/>
  <c r="F72" i="5" s="1"/>
  <c r="N68" i="5"/>
  <c r="M67" i="5"/>
  <c r="L66" i="5"/>
  <c r="K65" i="5"/>
  <c r="G65" i="5" s="1"/>
  <c r="J64" i="5"/>
  <c r="I63" i="5"/>
  <c r="H62" i="5"/>
  <c r="E60" i="5"/>
  <c r="F60" i="5" s="1"/>
  <c r="N56" i="5"/>
  <c r="M55" i="5"/>
  <c r="L54" i="5"/>
  <c r="K53" i="5"/>
  <c r="G53" i="5" s="1"/>
  <c r="J52" i="5"/>
  <c r="I51" i="5"/>
  <c r="H50" i="5"/>
  <c r="E48" i="5"/>
  <c r="F48" i="5" s="1"/>
  <c r="N44" i="5"/>
  <c r="M43" i="5"/>
  <c r="L42" i="5"/>
  <c r="K41" i="5"/>
  <c r="G41" i="5" s="1"/>
  <c r="J40" i="5"/>
  <c r="I39" i="5"/>
  <c r="H38" i="5"/>
  <c r="E36" i="5"/>
  <c r="F36" i="5" s="1"/>
  <c r="N32" i="5"/>
  <c r="M31" i="5"/>
  <c r="L30" i="5"/>
  <c r="K29" i="5"/>
  <c r="G29" i="5" s="1"/>
  <c r="J28" i="5"/>
  <c r="I27" i="5"/>
  <c r="H26" i="5"/>
  <c r="E24" i="5"/>
  <c r="F24" i="5" s="1"/>
  <c r="N20" i="5"/>
  <c r="M19" i="5"/>
  <c r="L18" i="5"/>
  <c r="K17" i="5"/>
  <c r="G17" i="5" s="1"/>
  <c r="J16" i="5"/>
  <c r="I15" i="5"/>
  <c r="E12" i="5"/>
  <c r="F12" i="5" s="1"/>
  <c r="N8" i="5"/>
  <c r="M7" i="5"/>
  <c r="L6" i="5"/>
  <c r="K5" i="5"/>
  <c r="G5" i="5" s="1"/>
  <c r="J4" i="5"/>
  <c r="I3" i="5"/>
  <c r="B107" i="5"/>
  <c r="B95" i="5"/>
  <c r="B83" i="5"/>
  <c r="B71" i="5"/>
  <c r="B59" i="5"/>
  <c r="B47" i="5"/>
  <c r="B35" i="5"/>
  <c r="B23" i="5"/>
  <c r="B11" i="5"/>
  <c r="E109" i="5"/>
  <c r="F109" i="5" s="1"/>
  <c r="N105" i="5"/>
  <c r="M104" i="5"/>
  <c r="L103" i="5"/>
  <c r="K102" i="5"/>
  <c r="G102" i="5" s="1"/>
  <c r="J101" i="5"/>
  <c r="I100" i="5"/>
  <c r="H99" i="5"/>
  <c r="E97" i="5"/>
  <c r="F97" i="5" s="1"/>
  <c r="N93" i="5"/>
  <c r="M92" i="5"/>
  <c r="L91" i="5"/>
  <c r="K90" i="5"/>
  <c r="G90" i="5" s="1"/>
  <c r="J89" i="5"/>
  <c r="I88" i="5"/>
  <c r="H87" i="5"/>
  <c r="E85" i="5"/>
  <c r="F85" i="5" s="1"/>
  <c r="N81" i="5"/>
  <c r="M80" i="5"/>
  <c r="L79" i="5"/>
  <c r="K78" i="5"/>
  <c r="G78" i="5" s="1"/>
  <c r="J77" i="5"/>
  <c r="I76" i="5"/>
  <c r="H75" i="5"/>
  <c r="E73" i="5"/>
  <c r="F73" i="5" s="1"/>
  <c r="N69" i="5"/>
  <c r="M68" i="5"/>
  <c r="L67" i="5"/>
  <c r="K66" i="5"/>
  <c r="G66" i="5" s="1"/>
  <c r="J65" i="5"/>
  <c r="I64" i="5"/>
  <c r="H63" i="5"/>
  <c r="E61" i="5"/>
  <c r="F61" i="5" s="1"/>
  <c r="N57" i="5"/>
  <c r="M56" i="5"/>
  <c r="L55" i="5"/>
  <c r="K54" i="5"/>
  <c r="G54" i="5" s="1"/>
  <c r="J53" i="5"/>
  <c r="I52" i="5"/>
  <c r="H51" i="5"/>
  <c r="E49" i="5"/>
  <c r="F49" i="5" s="1"/>
  <c r="N45" i="5"/>
  <c r="M44" i="5"/>
  <c r="L43" i="5"/>
  <c r="K42" i="5"/>
  <c r="G42" i="5" s="1"/>
  <c r="J41" i="5"/>
  <c r="I40" i="5"/>
  <c r="H39" i="5"/>
  <c r="E37" i="5"/>
  <c r="F37" i="5" s="1"/>
  <c r="N33" i="5"/>
  <c r="M32" i="5"/>
  <c r="L31" i="5"/>
  <c r="K30" i="5"/>
  <c r="G30" i="5" s="1"/>
  <c r="J29" i="5"/>
  <c r="I28" i="5"/>
  <c r="H27" i="5"/>
  <c r="E25" i="5"/>
  <c r="F25" i="5" s="1"/>
  <c r="N21" i="5"/>
  <c r="M20" i="5"/>
  <c r="L19" i="5"/>
  <c r="K18" i="5"/>
  <c r="G18" i="5" s="1"/>
  <c r="J17" i="5"/>
  <c r="I16" i="5"/>
  <c r="E13" i="5"/>
  <c r="F13" i="5" s="1"/>
  <c r="N9" i="5"/>
  <c r="M8" i="5"/>
  <c r="L7" i="5"/>
  <c r="K6" i="5"/>
  <c r="G6" i="5" s="1"/>
  <c r="J5" i="5"/>
  <c r="I4" i="5"/>
  <c r="B84" i="5"/>
  <c r="B72" i="5"/>
  <c r="B60" i="5"/>
  <c r="B48" i="5"/>
  <c r="B36" i="5"/>
  <c r="B24" i="5"/>
  <c r="B12" i="5"/>
  <c r="K91" i="5"/>
  <c r="G91" i="5" s="1"/>
  <c r="J90" i="5"/>
  <c r="I89" i="5"/>
  <c r="H88" i="5"/>
  <c r="E86" i="5"/>
  <c r="F86" i="5" s="1"/>
  <c r="N82" i="5"/>
  <c r="M81" i="5"/>
  <c r="L80" i="5"/>
  <c r="K79" i="5"/>
  <c r="G79" i="5" s="1"/>
  <c r="J78" i="5"/>
  <c r="I77" i="5"/>
  <c r="H76" i="5"/>
  <c r="E74" i="5"/>
  <c r="F74" i="5" s="1"/>
  <c r="N70" i="5"/>
  <c r="M69" i="5"/>
  <c r="L68" i="5"/>
  <c r="K67" i="5"/>
  <c r="G67" i="5" s="1"/>
  <c r="J66" i="5"/>
  <c r="I65" i="5"/>
  <c r="H64" i="5"/>
  <c r="E62" i="5"/>
  <c r="F62" i="5" s="1"/>
  <c r="N58" i="5"/>
  <c r="M57" i="5"/>
  <c r="L56" i="5"/>
  <c r="K55" i="5"/>
  <c r="G55" i="5" s="1"/>
  <c r="J54" i="5"/>
  <c r="I53" i="5"/>
  <c r="H52" i="5"/>
  <c r="E50" i="5"/>
  <c r="F50" i="5" s="1"/>
  <c r="N46" i="5"/>
  <c r="M45" i="5"/>
  <c r="L44" i="5"/>
  <c r="K43" i="5"/>
  <c r="G43" i="5" s="1"/>
  <c r="J42" i="5"/>
  <c r="I41" i="5"/>
  <c r="H40" i="5"/>
  <c r="E38" i="5"/>
  <c r="F38" i="5" s="1"/>
  <c r="N34" i="5"/>
  <c r="M33" i="5"/>
  <c r="L32" i="5"/>
  <c r="K31" i="5"/>
  <c r="G31" i="5" s="1"/>
  <c r="J30" i="5"/>
  <c r="I29" i="5"/>
  <c r="H28" i="5"/>
  <c r="E26" i="5"/>
  <c r="F26" i="5" s="1"/>
  <c r="N22" i="5"/>
  <c r="M21" i="5"/>
  <c r="L20" i="5"/>
  <c r="K19" i="5"/>
  <c r="G19" i="5" s="1"/>
  <c r="J18" i="5"/>
  <c r="I17" i="5"/>
  <c r="E14" i="5"/>
  <c r="F14" i="5" s="1"/>
  <c r="N10" i="5"/>
  <c r="M9" i="5"/>
  <c r="L8" i="5"/>
  <c r="K7" i="5"/>
  <c r="G7" i="5" s="1"/>
  <c r="J6" i="5"/>
  <c r="I5" i="5"/>
  <c r="B85" i="5"/>
  <c r="B73" i="5"/>
  <c r="B61" i="5"/>
  <c r="B49" i="5"/>
  <c r="B37" i="5"/>
  <c r="B25" i="5"/>
  <c r="B13" i="5"/>
  <c r="J91" i="5"/>
  <c r="I90" i="5"/>
  <c r="H89" i="5"/>
  <c r="E87" i="5"/>
  <c r="F87" i="5" s="1"/>
  <c r="N83" i="5"/>
  <c r="M82" i="5"/>
  <c r="L81" i="5"/>
  <c r="K80" i="5"/>
  <c r="G80" i="5" s="1"/>
  <c r="J79" i="5"/>
  <c r="I78" i="5"/>
  <c r="H77" i="5"/>
  <c r="E75" i="5"/>
  <c r="F75" i="5" s="1"/>
  <c r="N71" i="5"/>
  <c r="M70" i="5"/>
  <c r="L69" i="5"/>
  <c r="K68" i="5"/>
  <c r="G68" i="5" s="1"/>
  <c r="J67" i="5"/>
  <c r="I66" i="5"/>
  <c r="H65" i="5"/>
  <c r="E63" i="5"/>
  <c r="F63" i="5" s="1"/>
  <c r="N59" i="5"/>
  <c r="M58" i="5"/>
  <c r="L57" i="5"/>
  <c r="K56" i="5"/>
  <c r="G56" i="5" s="1"/>
  <c r="J55" i="5"/>
  <c r="I54" i="5"/>
  <c r="H53" i="5"/>
  <c r="E51" i="5"/>
  <c r="F51" i="5" s="1"/>
  <c r="N47" i="5"/>
  <c r="M46" i="5"/>
  <c r="L45" i="5"/>
  <c r="K44" i="5"/>
  <c r="G44" i="5" s="1"/>
  <c r="J43" i="5"/>
  <c r="I42" i="5"/>
  <c r="H41" i="5"/>
  <c r="E39" i="5"/>
  <c r="F39" i="5" s="1"/>
  <c r="N35" i="5"/>
  <c r="M34" i="5"/>
  <c r="L33" i="5"/>
  <c r="K32" i="5"/>
  <c r="G32" i="5" s="1"/>
  <c r="J31" i="5"/>
  <c r="I30" i="5"/>
  <c r="H29" i="5"/>
  <c r="E27" i="5"/>
  <c r="F27" i="5" s="1"/>
  <c r="N23" i="5"/>
  <c r="M22" i="5"/>
  <c r="L21" i="5"/>
  <c r="K20" i="5"/>
  <c r="G20" i="5" s="1"/>
  <c r="J19" i="5"/>
  <c r="I18" i="5"/>
  <c r="E15" i="5"/>
  <c r="F15" i="5" s="1"/>
  <c r="N11" i="5"/>
  <c r="M10" i="5"/>
  <c r="L9" i="5"/>
  <c r="K8" i="5"/>
  <c r="G8" i="5" s="1"/>
  <c r="J7" i="5"/>
  <c r="I6" i="5"/>
  <c r="E3" i="5"/>
  <c r="F3" i="5" s="1"/>
  <c r="B86" i="5"/>
  <c r="B74" i="5"/>
  <c r="B62" i="5"/>
  <c r="B50" i="5"/>
  <c r="B38" i="5"/>
  <c r="P38" i="5" s="1"/>
  <c r="B26" i="5"/>
  <c r="B14" i="5"/>
  <c r="N108" i="5"/>
  <c r="M107" i="5"/>
  <c r="L106" i="5"/>
  <c r="K105" i="5"/>
  <c r="G105" i="5" s="1"/>
  <c r="J104" i="5"/>
  <c r="I103" i="5"/>
  <c r="H102" i="5"/>
  <c r="E100" i="5"/>
  <c r="F100" i="5" s="1"/>
  <c r="N96" i="5"/>
  <c r="M95" i="5"/>
  <c r="L94" i="5"/>
  <c r="K93" i="5"/>
  <c r="G93" i="5" s="1"/>
  <c r="J92" i="5"/>
  <c r="I91" i="5"/>
  <c r="H90" i="5"/>
  <c r="E88" i="5"/>
  <c r="F88" i="5" s="1"/>
  <c r="N84" i="5"/>
  <c r="M83" i="5"/>
  <c r="L82" i="5"/>
  <c r="K81" i="5"/>
  <c r="G81" i="5" s="1"/>
  <c r="J80" i="5"/>
  <c r="I79" i="5"/>
  <c r="H78" i="5"/>
  <c r="E76" i="5"/>
  <c r="F76" i="5" s="1"/>
  <c r="N72" i="5"/>
  <c r="M71" i="5"/>
  <c r="L70" i="5"/>
  <c r="K69" i="5"/>
  <c r="G69" i="5" s="1"/>
  <c r="J68" i="5"/>
  <c r="I67" i="5"/>
  <c r="H66" i="5"/>
  <c r="E64" i="5"/>
  <c r="F64" i="5" s="1"/>
  <c r="N60" i="5"/>
  <c r="M59" i="5"/>
  <c r="L58" i="5"/>
  <c r="K57" i="5"/>
  <c r="G57" i="5" s="1"/>
  <c r="J56" i="5"/>
  <c r="I55" i="5"/>
  <c r="H54" i="5"/>
  <c r="E52" i="5"/>
  <c r="F52" i="5" s="1"/>
  <c r="N48" i="5"/>
  <c r="M47" i="5"/>
  <c r="L46" i="5"/>
  <c r="K45" i="5"/>
  <c r="G45" i="5" s="1"/>
  <c r="J44" i="5"/>
  <c r="I43" i="5"/>
  <c r="H42" i="5"/>
  <c r="E40" i="5"/>
  <c r="F40" i="5" s="1"/>
  <c r="N36" i="5"/>
  <c r="M35" i="5"/>
  <c r="L34" i="5"/>
  <c r="K33" i="5"/>
  <c r="G33" i="5" s="1"/>
  <c r="J32" i="5"/>
  <c r="I31" i="5"/>
  <c r="H30" i="5"/>
  <c r="E28" i="5"/>
  <c r="F28" i="5" s="1"/>
  <c r="N24" i="5"/>
  <c r="M23" i="5"/>
  <c r="L22" i="5"/>
  <c r="K21" i="5"/>
  <c r="G21" i="5" s="1"/>
  <c r="J20" i="5"/>
  <c r="I19" i="5"/>
  <c r="E16" i="5"/>
  <c r="F16" i="5" s="1"/>
  <c r="N12" i="5"/>
  <c r="M11" i="5"/>
  <c r="L10" i="5"/>
  <c r="K9" i="5"/>
  <c r="G9" i="5" s="1"/>
  <c r="J8" i="5"/>
  <c r="I7" i="5"/>
  <c r="E4" i="5"/>
  <c r="F4" i="5" s="1"/>
  <c r="B99" i="5"/>
  <c r="B87" i="5"/>
  <c r="B75" i="5"/>
  <c r="B63" i="5"/>
  <c r="B51" i="5"/>
  <c r="B39" i="5"/>
  <c r="B27" i="5"/>
  <c r="B15" i="5"/>
  <c r="B3" i="5"/>
  <c r="B35" i="3"/>
  <c r="B36" i="3"/>
  <c r="B1834" i="2"/>
  <c r="B667" i="2"/>
  <c r="B2054" i="2"/>
  <c r="B568" i="2"/>
  <c r="B1242" i="2"/>
  <c r="B1830" i="2"/>
  <c r="B2105" i="2"/>
  <c r="B1994" i="2"/>
  <c r="B1167" i="2"/>
  <c r="B2223" i="2"/>
  <c r="B417" i="2"/>
  <c r="B2221" i="2"/>
  <c r="B1577" i="2"/>
  <c r="B1076" i="2"/>
  <c r="B311" i="2"/>
  <c r="B1104" i="2"/>
  <c r="B1547" i="2"/>
  <c r="B1786" i="2"/>
  <c r="B1765" i="2"/>
  <c r="B1715" i="2"/>
  <c r="B2010" i="2"/>
  <c r="B2213" i="2"/>
  <c r="B1900" i="2"/>
  <c r="B1461" i="2"/>
  <c r="B540" i="2"/>
  <c r="B1525" i="2"/>
  <c r="B1005" i="2"/>
  <c r="B197" i="2"/>
  <c r="B1387" i="2"/>
  <c r="B1646" i="2"/>
  <c r="B2175" i="2"/>
  <c r="B1475" i="2"/>
  <c r="B996" i="2"/>
  <c r="B137" i="2"/>
  <c r="B901" i="2"/>
  <c r="B821" i="2"/>
  <c r="B801" i="2"/>
  <c r="B709" i="2"/>
  <c r="B1171" i="2"/>
  <c r="B2259" i="2"/>
  <c r="B1881" i="2"/>
  <c r="B2166" i="2"/>
  <c r="B136" i="2"/>
  <c r="B1948" i="2"/>
  <c r="B1836" i="2"/>
  <c r="B1717" i="2"/>
  <c r="B1666" i="2"/>
  <c r="B1598" i="2"/>
  <c r="B1546" i="2"/>
  <c r="B1339" i="2"/>
  <c r="B1175" i="2"/>
  <c r="B1103" i="2"/>
  <c r="B931" i="2"/>
  <c r="B708" i="2"/>
  <c r="B454" i="2"/>
  <c r="B2217" i="2"/>
  <c r="B2118" i="2"/>
  <c r="B2058" i="2"/>
  <c r="B1783" i="2"/>
  <c r="B1660" i="2"/>
  <c r="B1537" i="2"/>
  <c r="B1408" i="2"/>
  <c r="B1009" i="2"/>
  <c r="B926" i="2"/>
  <c r="B820" i="2"/>
  <c r="B567" i="2"/>
  <c r="B196" i="2"/>
  <c r="B2216" i="2"/>
  <c r="B2106" i="2"/>
  <c r="B1947" i="2"/>
  <c r="B1835" i="2"/>
  <c r="B1716" i="2"/>
  <c r="B1597" i="2"/>
  <c r="B1527" i="2"/>
  <c r="B1473" i="2"/>
  <c r="B1077" i="2"/>
  <c r="B1006" i="2"/>
  <c r="B678" i="2"/>
  <c r="B420" i="2"/>
  <c r="B309" i="2"/>
  <c r="B167" i="2"/>
  <c r="B2214" i="2"/>
  <c r="B2057" i="2"/>
  <c r="B1995" i="2"/>
  <c r="B1883" i="2"/>
  <c r="B1766" i="2"/>
  <c r="B1647" i="2"/>
  <c r="B1596" i="2"/>
  <c r="B1526" i="2"/>
  <c r="B1471" i="2"/>
  <c r="B1397" i="2"/>
  <c r="B1329" i="2"/>
  <c r="B1173" i="2"/>
  <c r="B906" i="2"/>
  <c r="B817" i="2"/>
  <c r="B671" i="2"/>
  <c r="B308" i="2"/>
  <c r="B156" i="2"/>
  <c r="B1499" i="2"/>
  <c r="B771" i="2"/>
  <c r="B2243" i="2"/>
  <c r="B2148" i="2"/>
  <c r="B2036" i="2"/>
  <c r="B1811" i="2"/>
  <c r="B1498" i="2"/>
  <c r="B1142" i="2"/>
  <c r="B1046" i="2"/>
  <c r="B874" i="2"/>
  <c r="B770" i="2"/>
  <c r="B359" i="2"/>
  <c r="B244" i="2"/>
  <c r="B666" i="2"/>
  <c r="B2151" i="2"/>
  <c r="B1696" i="2"/>
  <c r="B1241" i="2"/>
  <c r="B2258" i="2"/>
  <c r="B1928" i="2"/>
  <c r="B1645" i="2"/>
  <c r="B1516" i="2"/>
  <c r="B979" i="2"/>
  <c r="B2101" i="2"/>
  <c r="B1879" i="2"/>
  <c r="B1637" i="2"/>
  <c r="B2099" i="2"/>
  <c r="B1927" i="2"/>
  <c r="B1234" i="2"/>
  <c r="B883" i="2"/>
  <c r="B394" i="2"/>
  <c r="B1975" i="2"/>
  <c r="B1747" i="2"/>
  <c r="B1570" i="2"/>
  <c r="B1304" i="2"/>
  <c r="B1049" i="2"/>
  <c r="B1925" i="2"/>
  <c r="B1739" i="2"/>
  <c r="B1620" i="2"/>
  <c r="B1303" i="2"/>
  <c r="B972" i="2"/>
  <c r="B1973" i="2"/>
  <c r="B1801" i="2"/>
  <c r="B1497" i="2"/>
  <c r="B1438" i="2"/>
  <c r="B1127" i="2"/>
  <c r="B1045" i="2"/>
  <c r="B866" i="2"/>
  <c r="B751" i="2"/>
  <c r="B2240" i="2"/>
  <c r="B2194" i="2"/>
  <c r="B2130" i="2"/>
  <c r="B2083" i="2"/>
  <c r="B2020" i="2"/>
  <c r="B1971" i="2"/>
  <c r="B1856" i="2"/>
  <c r="B1738" i="2"/>
  <c r="B1550" i="2"/>
  <c r="B1496" i="2"/>
  <c r="B1361" i="2"/>
  <c r="B1284" i="2"/>
  <c r="B1209" i="2"/>
  <c r="B1119" i="2"/>
  <c r="B1044" i="2"/>
  <c r="B945" i="2"/>
  <c r="B862" i="2"/>
  <c r="B467" i="2"/>
  <c r="B354" i="2"/>
  <c r="B78" i="2"/>
  <c r="B239" i="2"/>
  <c r="B2239" i="2"/>
  <c r="B2193" i="2"/>
  <c r="B2081" i="2"/>
  <c r="B2019" i="2"/>
  <c r="B1907" i="2"/>
  <c r="B1855" i="2"/>
  <c r="B1788" i="2"/>
  <c r="B1737" i="2"/>
  <c r="B1669" i="2"/>
  <c r="B1618" i="2"/>
  <c r="B1207" i="2"/>
  <c r="B861" i="2"/>
  <c r="B721" i="2"/>
  <c r="B76" i="2"/>
  <c r="B2104" i="2"/>
  <c r="B1880" i="2"/>
  <c r="B1309" i="2"/>
  <c r="B1764" i="2"/>
  <c r="B520" i="2"/>
  <c r="B2150" i="2"/>
  <c r="B1989" i="2"/>
  <c r="B1695" i="2"/>
  <c r="B1446" i="2"/>
  <c r="B1074" i="2"/>
  <c r="B977" i="2"/>
  <c r="B896" i="2"/>
  <c r="B774" i="2"/>
  <c r="B399" i="2"/>
  <c r="B2256" i="2"/>
  <c r="B1987" i="2"/>
  <c r="B1754" i="2"/>
  <c r="B256" i="2"/>
  <c r="B2196" i="2"/>
  <c r="B1813" i="2"/>
  <c r="B1621" i="2"/>
  <c r="B629" i="2"/>
  <c r="B2084" i="2"/>
  <c r="B499" i="2"/>
  <c r="B2237" i="2"/>
  <c r="B1491" i="2"/>
  <c r="B1359" i="2"/>
  <c r="B1282" i="2"/>
  <c r="B1113" i="2"/>
  <c r="B933" i="2"/>
  <c r="B720" i="2"/>
  <c r="B466" i="2"/>
  <c r="B351" i="2"/>
  <c r="B207" i="2"/>
  <c r="B1993" i="2"/>
  <c r="B1517" i="2"/>
  <c r="B1075" i="2"/>
  <c r="B900" i="2"/>
  <c r="B2040" i="2"/>
  <c r="B1447" i="2"/>
  <c r="B1144" i="2"/>
  <c r="B408" i="2"/>
  <c r="B664" i="2"/>
  <c r="B641" i="2"/>
  <c r="B500" i="2"/>
  <c r="B2195" i="2"/>
  <c r="B1860" i="2"/>
  <c r="B1688" i="2"/>
  <c r="B1440" i="2"/>
  <c r="B1141" i="2"/>
  <c r="B756" i="2"/>
  <c r="B1619" i="2"/>
  <c r="B611" i="2"/>
  <c r="B1965" i="2"/>
  <c r="B1549" i="2"/>
  <c r="B1423" i="2"/>
  <c r="B2073" i="2"/>
  <c r="B2018" i="2"/>
  <c r="B1963" i="2"/>
  <c r="B1901" i="2"/>
  <c r="B1787" i="2"/>
  <c r="B1668" i="2"/>
  <c r="B1613" i="2"/>
  <c r="B1548" i="2"/>
  <c r="B1489" i="2"/>
  <c r="B1421" i="2"/>
  <c r="B1280" i="2"/>
  <c r="B1194" i="2"/>
  <c r="B1112" i="2"/>
  <c r="B710" i="2"/>
  <c r="B2211" i="2"/>
  <c r="B1816" i="2"/>
  <c r="B1386" i="2"/>
  <c r="B267" i="2"/>
  <c r="B2039" i="2"/>
  <c r="B1814" i="2"/>
  <c r="B1571" i="2"/>
  <c r="B1240" i="2"/>
  <c r="B2197" i="2"/>
  <c r="B2037" i="2"/>
  <c r="B1870" i="2"/>
  <c r="B1635" i="2"/>
  <c r="B1143" i="2"/>
  <c r="B126" i="2"/>
  <c r="B1689" i="2"/>
  <c r="B1441" i="2"/>
  <c r="B1216" i="2"/>
  <c r="B973" i="2"/>
  <c r="B2241" i="2"/>
  <c r="B1974" i="2"/>
  <c r="B1807" i="2"/>
  <c r="B1365" i="2"/>
  <c r="B79" i="2"/>
  <c r="B2129" i="2"/>
  <c r="B2230" i="2"/>
  <c r="B2176" i="2"/>
  <c r="B2128" i="2"/>
  <c r="B2066" i="2"/>
  <c r="B2011" i="2"/>
  <c r="B1837" i="2"/>
  <c r="B1718" i="2"/>
  <c r="B1599" i="2"/>
  <c r="B1420" i="2"/>
  <c r="B1341" i="2"/>
  <c r="B1275" i="2"/>
  <c r="B1186" i="2"/>
  <c r="B1105" i="2"/>
  <c r="B1011" i="2"/>
  <c r="B932" i="2"/>
  <c r="B456" i="2"/>
  <c r="B201" i="2"/>
  <c r="B47" i="2"/>
  <c r="B2147" i="2"/>
  <c r="B2121" i="2"/>
  <c r="B2080" i="2"/>
  <c r="B2056" i="2"/>
  <c r="B2035" i="2"/>
  <c r="B1899" i="2"/>
  <c r="B1878" i="2"/>
  <c r="B1854" i="2"/>
  <c r="B1763" i="2"/>
  <c r="B1736" i="2"/>
  <c r="B1714" i="2"/>
  <c r="B1616" i="2"/>
  <c r="B1595" i="2"/>
  <c r="B1566" i="2"/>
  <c r="B1515" i="2"/>
  <c r="B1464" i="2"/>
  <c r="B1385" i="2"/>
  <c r="B1328" i="2"/>
  <c r="B1302" i="2"/>
  <c r="B1267" i="2"/>
  <c r="B1206" i="2"/>
  <c r="B1170" i="2"/>
  <c r="B816" i="2"/>
  <c r="B607" i="2"/>
  <c r="B558" i="2"/>
  <c r="B398" i="2"/>
  <c r="B350" i="2"/>
  <c r="B241" i="2"/>
  <c r="B56" i="2"/>
  <c r="B2257" i="2"/>
  <c r="B2233" i="2"/>
  <c r="B2119" i="2"/>
  <c r="B2100" i="2"/>
  <c r="B2076" i="2"/>
  <c r="B2055" i="2"/>
  <c r="B2009" i="2"/>
  <c r="B1988" i="2"/>
  <c r="B1964" i="2"/>
  <c r="B1943" i="2"/>
  <c r="B1898" i="2"/>
  <c r="B1833" i="2"/>
  <c r="B1806" i="2"/>
  <c r="B1784" i="2"/>
  <c r="B1755" i="2"/>
  <c r="B1665" i="2"/>
  <c r="B1636" i="2"/>
  <c r="B1614" i="2"/>
  <c r="B1541" i="2"/>
  <c r="B1490" i="2"/>
  <c r="B1439" i="2"/>
  <c r="B1358" i="2"/>
  <c r="B1236" i="2"/>
  <c r="B1140" i="2"/>
  <c r="B1102" i="2"/>
  <c r="B1072" i="2"/>
  <c r="B999" i="2"/>
  <c r="B929" i="2"/>
  <c r="B895" i="2"/>
  <c r="B814" i="2"/>
  <c r="B754" i="2"/>
  <c r="B707" i="2"/>
  <c r="B498" i="2"/>
  <c r="B288" i="2"/>
  <c r="B2210" i="2"/>
  <c r="B2189" i="2"/>
  <c r="B2165" i="2"/>
  <c r="B2075" i="2"/>
  <c r="B2034" i="2"/>
  <c r="B1941" i="2"/>
  <c r="B1917" i="2"/>
  <c r="B1896" i="2"/>
  <c r="B1877" i="2"/>
  <c r="B1853" i="2"/>
  <c r="B1734" i="2"/>
  <c r="B1713" i="2"/>
  <c r="B1684" i="2"/>
  <c r="B1587" i="2"/>
  <c r="B1565" i="2"/>
  <c r="B1514" i="2"/>
  <c r="B1463" i="2"/>
  <c r="B1384" i="2"/>
  <c r="B1326" i="2"/>
  <c r="B1301" i="2"/>
  <c r="B1266" i="2"/>
  <c r="B1196" i="2"/>
  <c r="B1169" i="2"/>
  <c r="B1031" i="2"/>
  <c r="B960" i="2"/>
  <c r="B927" i="2"/>
  <c r="B650" i="2"/>
  <c r="B497" i="2"/>
  <c r="B449" i="2"/>
  <c r="B349" i="2"/>
  <c r="B287" i="2"/>
  <c r="B179" i="2"/>
  <c r="B117" i="2"/>
  <c r="B2229" i="2"/>
  <c r="B2184" i="2"/>
  <c r="B2138" i="2"/>
  <c r="B2117" i="2"/>
  <c r="B2096" i="2"/>
  <c r="B2053" i="2"/>
  <c r="B1981" i="2"/>
  <c r="B1960" i="2"/>
  <c r="B1869" i="2"/>
  <c r="B1848" i="2"/>
  <c r="B1800" i="2"/>
  <c r="B1778" i="2"/>
  <c r="B1753" i="2"/>
  <c r="B1681" i="2"/>
  <c r="B1656" i="2"/>
  <c r="B1634" i="2"/>
  <c r="B1535" i="2"/>
  <c r="B1511" i="2"/>
  <c r="B1484" i="2"/>
  <c r="B1437" i="2"/>
  <c r="B1407" i="2"/>
  <c r="B1381" i="2"/>
  <c r="B1347" i="2"/>
  <c r="B1290" i="2"/>
  <c r="B1193" i="2"/>
  <c r="B1162" i="2"/>
  <c r="B1060" i="2"/>
  <c r="B995" i="2"/>
  <c r="B594" i="2"/>
  <c r="B429" i="2"/>
  <c r="B384" i="2"/>
  <c r="B337" i="2"/>
  <c r="B166" i="2"/>
  <c r="B110" i="2"/>
  <c r="B2137" i="2"/>
  <c r="B1980" i="2"/>
  <c r="B1939" i="2"/>
  <c r="B1894" i="2"/>
  <c r="B1729" i="2"/>
  <c r="B1655" i="2"/>
  <c r="B1563" i="2"/>
  <c r="B1481" i="2"/>
  <c r="B1380" i="2"/>
  <c r="B1231" i="2"/>
  <c r="B1059" i="2"/>
  <c r="B994" i="2"/>
  <c r="B881" i="2"/>
  <c r="B794" i="2"/>
  <c r="B699" i="2"/>
  <c r="B639" i="2"/>
  <c r="B2247" i="2"/>
  <c r="B2183" i="2"/>
  <c r="B1978" i="2"/>
  <c r="B1914" i="2"/>
  <c r="B1821" i="2"/>
  <c r="B1680" i="2"/>
  <c r="B1606" i="2"/>
  <c r="B1561" i="2"/>
  <c r="B1192" i="2"/>
  <c r="B1057" i="2"/>
  <c r="B922" i="2"/>
  <c r="B2181" i="2"/>
  <c r="B2160" i="2"/>
  <c r="B2136" i="2"/>
  <c r="B2069" i="2"/>
  <c r="B2048" i="2"/>
  <c r="B2024" i="2"/>
  <c r="B1934" i="2"/>
  <c r="B1893" i="2"/>
  <c r="B1773" i="2"/>
  <c r="B1750" i="2"/>
  <c r="B1728" i="2"/>
  <c r="B1701" i="2"/>
  <c r="B1654" i="2"/>
  <c r="B1560" i="2"/>
  <c r="B1531" i="2"/>
  <c r="B1509" i="2"/>
  <c r="B1457" i="2"/>
  <c r="B1402" i="2"/>
  <c r="B1318" i="2"/>
  <c r="B1287" i="2"/>
  <c r="B1257" i="2"/>
  <c r="B1221" i="2"/>
  <c r="B1191" i="2"/>
  <c r="B1025" i="2"/>
  <c r="B949" i="2"/>
  <c r="B588" i="2"/>
  <c r="B327" i="2"/>
  <c r="B279" i="2"/>
  <c r="B216" i="2"/>
  <c r="B161" i="2"/>
  <c r="B1428" i="2"/>
  <c r="B1583" i="2"/>
  <c r="B1529" i="2"/>
  <c r="B1478" i="2"/>
  <c r="B1427" i="2"/>
  <c r="B1370" i="2"/>
  <c r="B1123" i="2"/>
  <c r="B1091" i="2"/>
  <c r="B947" i="2"/>
  <c r="B912" i="2"/>
  <c r="B781" i="2"/>
  <c r="B737" i="2"/>
  <c r="B681" i="2"/>
  <c r="B636" i="2"/>
  <c r="B486" i="2"/>
  <c r="B427" i="2"/>
  <c r="B380" i="2"/>
  <c r="B87" i="2"/>
  <c r="B31" i="2"/>
  <c r="B2209" i="2"/>
  <c r="B2164" i="2"/>
  <c r="B2098" i="2"/>
  <c r="B2007" i="2"/>
  <c r="B1940" i="2"/>
  <c r="B1895" i="2"/>
  <c r="B1730" i="2"/>
  <c r="B1683" i="2"/>
  <c r="B1564" i="2"/>
  <c r="B1513" i="2"/>
  <c r="B1325" i="2"/>
  <c r="B1096" i="2"/>
  <c r="B925" i="2"/>
  <c r="B882" i="2"/>
  <c r="B701" i="2"/>
  <c r="B539" i="2"/>
  <c r="B386" i="2"/>
  <c r="B2025" i="2"/>
  <c r="B237" i="2"/>
  <c r="B2161" i="2"/>
  <c r="B1935" i="2"/>
  <c r="B1847" i="2"/>
  <c r="B1774" i="2"/>
  <c r="B1633" i="2"/>
  <c r="B1534" i="2"/>
  <c r="B1403" i="2"/>
  <c r="B1259" i="2"/>
  <c r="B1161" i="2"/>
  <c r="B955" i="2"/>
  <c r="B791" i="2"/>
  <c r="B591" i="2"/>
  <c r="B428" i="2"/>
  <c r="B99" i="2"/>
  <c r="B879" i="2"/>
  <c r="B2199" i="2"/>
  <c r="B2178" i="2"/>
  <c r="B2159" i="2"/>
  <c r="B2135" i="2"/>
  <c r="B2114" i="2"/>
  <c r="B2068" i="2"/>
  <c r="B2023" i="2"/>
  <c r="B1957" i="2"/>
  <c r="B1930" i="2"/>
  <c r="B1911" i="2"/>
  <c r="B1866" i="2"/>
  <c r="B1819" i="2"/>
  <c r="B1721" i="2"/>
  <c r="B1700" i="2"/>
  <c r="B1678" i="2"/>
  <c r="B1580" i="2"/>
  <c r="B1553" i="2"/>
  <c r="B1507" i="2"/>
  <c r="B1454" i="2"/>
  <c r="B1426" i="2"/>
  <c r="B1401" i="2"/>
  <c r="B1343" i="2"/>
  <c r="B1317" i="2"/>
  <c r="B1286" i="2"/>
  <c r="B1255" i="2"/>
  <c r="B1190" i="2"/>
  <c r="B1122" i="2"/>
  <c r="B1053" i="2"/>
  <c r="B1023" i="2"/>
  <c r="B981" i="2"/>
  <c r="B910" i="2"/>
  <c r="B877" i="2"/>
  <c r="B840" i="2"/>
  <c r="B426" i="2"/>
  <c r="B278" i="2"/>
  <c r="B214" i="2"/>
  <c r="B160" i="2"/>
  <c r="B2255" i="2"/>
  <c r="B2143" i="2"/>
  <c r="B2071" i="2"/>
  <c r="B1961" i="2"/>
  <c r="B1916" i="2"/>
  <c r="B1780" i="2"/>
  <c r="B1705" i="2"/>
  <c r="B1611" i="2"/>
  <c r="B1586" i="2"/>
  <c r="B1460" i="2"/>
  <c r="B1126" i="2"/>
  <c r="B1030" i="2"/>
  <c r="B957" i="2"/>
  <c r="B850" i="2"/>
  <c r="B749" i="2"/>
  <c r="B596" i="2"/>
  <c r="B496" i="2"/>
  <c r="B286" i="2"/>
  <c r="B2254" i="2"/>
  <c r="B2163" i="2"/>
  <c r="B2070" i="2"/>
  <c r="B2006" i="2"/>
  <c r="B1915" i="2"/>
  <c r="B1823" i="2"/>
  <c r="B1751" i="2"/>
  <c r="B1704" i="2"/>
  <c r="B1610" i="2"/>
  <c r="B1510" i="2"/>
  <c r="B1459" i="2"/>
  <c r="B1321" i="2"/>
  <c r="B1260" i="2"/>
  <c r="B1095" i="2"/>
  <c r="B1026" i="2"/>
  <c r="B956" i="2"/>
  <c r="B849" i="2"/>
  <c r="B746" i="2"/>
  <c r="B491" i="2"/>
  <c r="B2207" i="2"/>
  <c r="B2116" i="2"/>
  <c r="B1959" i="2"/>
  <c r="B1868" i="2"/>
  <c r="B1799" i="2"/>
  <c r="B1584" i="2"/>
  <c r="B1479" i="2"/>
  <c r="B1346" i="2"/>
  <c r="B1222" i="2"/>
  <c r="B1124" i="2"/>
  <c r="B880" i="2"/>
  <c r="B744" i="2"/>
  <c r="B637" i="2"/>
  <c r="B537" i="2"/>
  <c r="B381" i="2"/>
  <c r="B2246" i="2"/>
  <c r="B2225" i="2"/>
  <c r="B2180" i="2"/>
  <c r="B2115" i="2"/>
  <c r="B2089" i="2"/>
  <c r="B2001" i="2"/>
  <c r="B1977" i="2"/>
  <c r="B1958" i="2"/>
  <c r="B1913" i="2"/>
  <c r="B1846" i="2"/>
  <c r="B1820" i="2"/>
  <c r="B1798" i="2"/>
  <c r="B1771" i="2"/>
  <c r="B1724" i="2"/>
  <c r="B1679" i="2"/>
  <c r="B1630" i="2"/>
  <c r="B1601" i="2"/>
  <c r="B2245" i="2"/>
  <c r="B2224" i="2"/>
  <c r="B2134" i="2"/>
  <c r="B2088" i="2"/>
  <c r="B2043" i="2"/>
  <c r="B2021" i="2"/>
  <c r="B1997" i="2"/>
  <c r="B1976" i="2"/>
  <c r="B1955" i="2"/>
  <c r="B1840" i="2"/>
  <c r="B1797" i="2"/>
  <c r="B1770" i="2"/>
  <c r="B1748" i="2"/>
  <c r="B1719" i="2"/>
  <c r="B1629" i="2"/>
  <c r="B1600" i="2"/>
  <c r="B1578" i="2"/>
  <c r="B1551" i="2"/>
  <c r="B1528" i="2"/>
  <c r="B1500" i="2"/>
  <c r="B1477" i="2"/>
  <c r="B1369" i="2"/>
  <c r="B1342" i="2"/>
  <c r="B1312" i="2"/>
  <c r="B1219" i="2"/>
  <c r="B946" i="2"/>
  <c r="B909" i="2"/>
  <c r="B780" i="2"/>
  <c r="B736" i="2"/>
  <c r="B680" i="2"/>
  <c r="B470" i="2"/>
  <c r="B379" i="2"/>
  <c r="B86" i="2"/>
  <c r="B30" i="2"/>
  <c r="B1055" i="2"/>
  <c r="B2198" i="2"/>
  <c r="B2177" i="2"/>
  <c r="B2153" i="2"/>
  <c r="B2113" i="2"/>
  <c r="B2041" i="2"/>
  <c r="B1996" i="2"/>
  <c r="B1929" i="2"/>
  <c r="B1884" i="2"/>
  <c r="B1865" i="2"/>
  <c r="B1839" i="2"/>
  <c r="B1818" i="2"/>
  <c r="B1796" i="2"/>
  <c r="B1698" i="2"/>
  <c r="B1670" i="2"/>
  <c r="B1648" i="2"/>
  <c r="B1476" i="2"/>
  <c r="B1453" i="2"/>
  <c r="B1425" i="2"/>
  <c r="B1398" i="2"/>
  <c r="B1368" i="2"/>
  <c r="B1254" i="2"/>
  <c r="B1217" i="2"/>
  <c r="B1079" i="2"/>
  <c r="B1051" i="2"/>
  <c r="B1022" i="2"/>
  <c r="B980" i="2"/>
  <c r="B907" i="2"/>
  <c r="B875" i="2"/>
  <c r="B827" i="2"/>
  <c r="B679" i="2"/>
  <c r="B569" i="2"/>
  <c r="B521" i="2"/>
  <c r="B468" i="2"/>
  <c r="B424" i="2"/>
  <c r="B374" i="2"/>
  <c r="B314" i="2"/>
  <c r="B268" i="2"/>
  <c r="B211" i="2"/>
  <c r="B27" i="2"/>
  <c r="B107" i="2"/>
  <c r="B71" i="2"/>
  <c r="B2236" i="2"/>
  <c r="B2206" i="2"/>
  <c r="B2141" i="2"/>
  <c r="B2127" i="2"/>
  <c r="B2111" i="2"/>
  <c r="B2095" i="2"/>
  <c r="B2065" i="2"/>
  <c r="B2000" i="2"/>
  <c r="B1986" i="2"/>
  <c r="B1970" i="2"/>
  <c r="B1954" i="2"/>
  <c r="B1924" i="2"/>
  <c r="B1891" i="2"/>
  <c r="B1859" i="2"/>
  <c r="B1845" i="2"/>
  <c r="B1829" i="2"/>
  <c r="B1777" i="2"/>
  <c r="B1761" i="2"/>
  <c r="B1711" i="2"/>
  <c r="B1694" i="2"/>
  <c r="B1659" i="2"/>
  <c r="B1576" i="2"/>
  <c r="B1540" i="2"/>
  <c r="B1488" i="2"/>
  <c r="B1451" i="2"/>
  <c r="B1435" i="2"/>
  <c r="B1415" i="2"/>
  <c r="B1357" i="2"/>
  <c r="B1297" i="2"/>
  <c r="B1274" i="2"/>
  <c r="B1227" i="2"/>
  <c r="B1183" i="2"/>
  <c r="B1157" i="2"/>
  <c r="B1136" i="2"/>
  <c r="B1090" i="2"/>
  <c r="B1043" i="2"/>
  <c r="B966" i="2"/>
  <c r="B944" i="2"/>
  <c r="B839" i="2"/>
  <c r="B800" i="2"/>
  <c r="B729" i="2"/>
  <c r="B659" i="2"/>
  <c r="B627" i="2"/>
  <c r="B517" i="2"/>
  <c r="B446" i="2"/>
  <c r="B371" i="2"/>
  <c r="B336" i="2"/>
  <c r="B301" i="2"/>
  <c r="B264" i="2"/>
  <c r="B230" i="2"/>
  <c r="B187" i="2"/>
  <c r="B151" i="2"/>
  <c r="B60" i="2"/>
  <c r="B26" i="2"/>
  <c r="B2253" i="2"/>
  <c r="B2220" i="2"/>
  <c r="B2188" i="2"/>
  <c r="B2174" i="2"/>
  <c r="B2158" i="2"/>
  <c r="B2079" i="2"/>
  <c r="B2047" i="2"/>
  <c r="B2033" i="2"/>
  <c r="B2017" i="2"/>
  <c r="B1938" i="2"/>
  <c r="B1906" i="2"/>
  <c r="B1876" i="2"/>
  <c r="B1810" i="2"/>
  <c r="B1795" i="2"/>
  <c r="B1760" i="2"/>
  <c r="B1743" i="2"/>
  <c r="B1727" i="2"/>
  <c r="B1677" i="2"/>
  <c r="B1625" i="2"/>
  <c r="B1609" i="2"/>
  <c r="B1593" i="2"/>
  <c r="B1559" i="2"/>
  <c r="B1504" i="2"/>
  <c r="B1469" i="2"/>
  <c r="B1374" i="2"/>
  <c r="B1336" i="2"/>
  <c r="B1205" i="2"/>
  <c r="B1111" i="2"/>
  <c r="B1089" i="2"/>
  <c r="B1063" i="2"/>
  <c r="B1014" i="2"/>
  <c r="B993" i="2"/>
  <c r="B865" i="2"/>
  <c r="B698" i="2"/>
  <c r="B617" i="2"/>
  <c r="B587" i="2"/>
  <c r="B549" i="2"/>
  <c r="B478" i="2"/>
  <c r="B444" i="2"/>
  <c r="B370" i="2"/>
  <c r="B299" i="2"/>
  <c r="B186" i="2"/>
  <c r="B140" i="2"/>
  <c r="B106" i="2"/>
  <c r="B838" i="2"/>
  <c r="B799" i="2"/>
  <c r="B767" i="2"/>
  <c r="B658" i="2"/>
  <c r="B514" i="2"/>
  <c r="B220" i="2"/>
  <c r="B2235" i="2"/>
  <c r="B2173" i="2"/>
  <c r="B2140" i="2"/>
  <c r="B2078" i="2"/>
  <c r="B1999" i="2"/>
  <c r="B1953" i="2"/>
  <c r="B1921" i="2"/>
  <c r="B1875" i="2"/>
  <c r="B1741" i="2"/>
  <c r="B1693" i="2"/>
  <c r="B1643" i="2"/>
  <c r="B1523" i="2"/>
  <c r="B1467" i="2"/>
  <c r="B1434" i="2"/>
  <c r="B1395" i="2"/>
  <c r="B1315" i="2"/>
  <c r="B1273" i="2"/>
  <c r="B1226" i="2"/>
  <c r="B1135" i="2"/>
  <c r="B1087" i="2"/>
  <c r="B965" i="2"/>
  <c r="B2201" i="2"/>
  <c r="B2187" i="2"/>
  <c r="B2171" i="2"/>
  <c r="B2155" i="2"/>
  <c r="B2125" i="2"/>
  <c r="B2060" i="2"/>
  <c r="B2046" i="2"/>
  <c r="B2030" i="2"/>
  <c r="B2014" i="2"/>
  <c r="B1984" i="2"/>
  <c r="B1951" i="2"/>
  <c r="B1919" i="2"/>
  <c r="B1905" i="2"/>
  <c r="B1889" i="2"/>
  <c r="B1873" i="2"/>
  <c r="B1843" i="2"/>
  <c r="B1825" i="2"/>
  <c r="B1809" i="2"/>
  <c r="B1793" i="2"/>
  <c r="B1759" i="2"/>
  <c r="B1707" i="2"/>
  <c r="B1691" i="2"/>
  <c r="B1675" i="2"/>
  <c r="B1641" i="2"/>
  <c r="B1624" i="2"/>
  <c r="B1589" i="2"/>
  <c r="B1557" i="2"/>
  <c r="B1521" i="2"/>
  <c r="B1503" i="2"/>
  <c r="B1466" i="2"/>
  <c r="B1431" i="2"/>
  <c r="B1373" i="2"/>
  <c r="B1250" i="2"/>
  <c r="B1203" i="2"/>
  <c r="B1177" i="2"/>
  <c r="B1132" i="2"/>
  <c r="B1110" i="2"/>
  <c r="B1062" i="2"/>
  <c r="B1013" i="2"/>
  <c r="B964" i="2"/>
  <c r="B941" i="2"/>
  <c r="B891" i="2"/>
  <c r="B727" i="2"/>
  <c r="B687" i="2"/>
  <c r="B616" i="2"/>
  <c r="B474" i="2"/>
  <c r="B369" i="2"/>
  <c r="B330" i="2"/>
  <c r="B294" i="2"/>
  <c r="B259" i="2"/>
  <c r="B139" i="2"/>
  <c r="B101" i="2"/>
  <c r="B58" i="2"/>
  <c r="B914" i="2"/>
  <c r="B2248" i="2"/>
  <c r="B2234" i="2"/>
  <c r="B2218" i="2"/>
  <c r="B2139" i="2"/>
  <c r="B2107" i="2"/>
  <c r="B2093" i="2"/>
  <c r="B2077" i="2"/>
  <c r="B1998" i="2"/>
  <c r="B1966" i="2"/>
  <c r="B1936" i="2"/>
  <c r="B1871" i="2"/>
  <c r="B1857" i="2"/>
  <c r="B1841" i="2"/>
  <c r="B1775" i="2"/>
  <c r="B1740" i="2"/>
  <c r="B1725" i="2"/>
  <c r="B1673" i="2"/>
  <c r="B1657" i="2"/>
  <c r="B1607" i="2"/>
  <c r="B1574" i="2"/>
  <c r="B1538" i="2"/>
  <c r="B1501" i="2"/>
  <c r="B1485" i="2"/>
  <c r="B1449" i="2"/>
  <c r="B1429" i="2"/>
  <c r="B1413" i="2"/>
  <c r="B1372" i="2"/>
  <c r="B1353" i="2"/>
  <c r="B1331" i="2"/>
  <c r="B1314" i="2"/>
  <c r="B1272" i="2"/>
  <c r="B1223" i="2"/>
  <c r="B1155" i="2"/>
  <c r="B1039" i="2"/>
  <c r="B991" i="2"/>
  <c r="B913" i="2"/>
  <c r="B890" i="2"/>
  <c r="B863" i="2"/>
  <c r="B829" i="2"/>
  <c r="B798" i="2"/>
  <c r="B757" i="2"/>
  <c r="B584" i="2"/>
  <c r="B541" i="2"/>
  <c r="B511" i="2"/>
  <c r="B400" i="2"/>
  <c r="B364" i="2"/>
  <c r="B57" i="2"/>
  <c r="B18" i="2"/>
  <c r="B2219" i="2"/>
  <c r="B2157" i="2"/>
  <c r="B2094" i="2"/>
  <c r="B2016" i="2"/>
  <c r="B1937" i="2"/>
  <c r="B1858" i="2"/>
  <c r="B1776" i="2"/>
  <c r="B1658" i="2"/>
  <c r="B1575" i="2"/>
  <c r="B1539" i="2"/>
  <c r="B1487" i="2"/>
  <c r="B1450" i="2"/>
  <c r="B1414" i="2"/>
  <c r="B1332" i="2"/>
  <c r="B1296" i="2"/>
  <c r="B1252" i="2"/>
  <c r="B1156" i="2"/>
  <c r="B942" i="2"/>
  <c r="B2200" i="2"/>
  <c r="B2186" i="2"/>
  <c r="B2170" i="2"/>
  <c r="B2154" i="2"/>
  <c r="B2124" i="2"/>
  <c r="B2091" i="2"/>
  <c r="B2059" i="2"/>
  <c r="B2045" i="2"/>
  <c r="B2029" i="2"/>
  <c r="B2013" i="2"/>
  <c r="B1983" i="2"/>
  <c r="B1950" i="2"/>
  <c r="B1918" i="2"/>
  <c r="B1904" i="2"/>
  <c r="B1888" i="2"/>
  <c r="B1824" i="2"/>
  <c r="B1789" i="2"/>
  <c r="B1757" i="2"/>
  <c r="B1706" i="2"/>
  <c r="B1671" i="2"/>
  <c r="B1639" i="2"/>
  <c r="B1623" i="2"/>
  <c r="B1588" i="2"/>
  <c r="B1573" i="2"/>
  <c r="B1554" i="2"/>
  <c r="B1519" i="2"/>
  <c r="B1465" i="2"/>
  <c r="B1448" i="2"/>
  <c r="B1412" i="2"/>
  <c r="B1371" i="2"/>
  <c r="B1352" i="2"/>
  <c r="B1330" i="2"/>
  <c r="B1313" i="2"/>
  <c r="B1291" i="2"/>
  <c r="B1246" i="2"/>
  <c r="B1202" i="2"/>
  <c r="B1154" i="2"/>
  <c r="B1129" i="2"/>
  <c r="B1109" i="2"/>
  <c r="B1084" i="2"/>
  <c r="B1037" i="2"/>
  <c r="B987" i="2"/>
  <c r="B961" i="2"/>
  <c r="B940" i="2"/>
  <c r="B828" i="2"/>
  <c r="B724" i="2"/>
  <c r="B686" i="2"/>
  <c r="B651" i="2"/>
  <c r="B614" i="2"/>
  <c r="B580" i="2"/>
  <c r="B329" i="2"/>
  <c r="B257" i="2"/>
  <c r="B217" i="2"/>
  <c r="B180" i="2"/>
  <c r="B100" i="2"/>
  <c r="B2244" i="2"/>
  <c r="B2231" i="2"/>
  <c r="B2208" i="2"/>
  <c r="B2185" i="2"/>
  <c r="B2149" i="2"/>
  <c r="B2126" i="2"/>
  <c r="B2103" i="2"/>
  <c r="B2090" i="2"/>
  <c r="B2067" i="2"/>
  <c r="B2044" i="2"/>
  <c r="B2031" i="2"/>
  <c r="B2008" i="2"/>
  <c r="B1985" i="2"/>
  <c r="B1949" i="2"/>
  <c r="B1926" i="2"/>
  <c r="B1903" i="2"/>
  <c r="B1890" i="2"/>
  <c r="B1867" i="2"/>
  <c r="B1844" i="2"/>
  <c r="B1831" i="2"/>
  <c r="B1808" i="2"/>
  <c r="B1785" i="2"/>
  <c r="B1749" i="2"/>
  <c r="B1726" i="2"/>
  <c r="B1703" i="2"/>
  <c r="B1690" i="2"/>
  <c r="B1667" i="2"/>
  <c r="B1644" i="2"/>
  <c r="B1631" i="2"/>
  <c r="B1608" i="2"/>
  <c r="B1585" i="2"/>
  <c r="B1536" i="2"/>
  <c r="B1524" i="2"/>
  <c r="B1486" i="2"/>
  <c r="B1474" i="2"/>
  <c r="B1436" i="2"/>
  <c r="B1424" i="2"/>
  <c r="B1409" i="2"/>
  <c r="B1396" i="2"/>
  <c r="B1382" i="2"/>
  <c r="B1354" i="2"/>
  <c r="B1340" i="2"/>
  <c r="B1298" i="2"/>
  <c r="B1285" i="2"/>
  <c r="B1253" i="2"/>
  <c r="B1220" i="2"/>
  <c r="B1187" i="2"/>
  <c r="B1137" i="2"/>
  <c r="B1073" i="2"/>
  <c r="B1040" i="2"/>
  <c r="B1024" i="2"/>
  <c r="B992" i="2"/>
  <c r="B959" i="2"/>
  <c r="B893" i="2"/>
  <c r="B876" i="2"/>
  <c r="B796" i="2"/>
  <c r="B700" i="2"/>
  <c r="B654" i="2"/>
  <c r="B630" i="2"/>
  <c r="B586" i="2"/>
  <c r="B538" i="2"/>
  <c r="B328" i="2"/>
  <c r="B307" i="2"/>
  <c r="B280" i="2"/>
  <c r="B258" i="2"/>
  <c r="B236" i="2"/>
  <c r="B181" i="2"/>
  <c r="B157" i="2"/>
  <c r="B51" i="2"/>
  <c r="B21" i="2"/>
  <c r="B1817" i="2"/>
  <c r="B1794" i="2"/>
  <c r="B1781" i="2"/>
  <c r="B1758" i="2"/>
  <c r="B1735" i="2"/>
  <c r="B1699" i="2"/>
  <c r="B1676" i="2"/>
  <c r="B1653" i="2"/>
  <c r="B1640" i="2"/>
  <c r="B1617" i="2"/>
  <c r="B1594" i="2"/>
  <c r="B1581" i="2"/>
  <c r="B1558" i="2"/>
  <c r="B1520" i="2"/>
  <c r="B1508" i="2"/>
  <c r="B1470" i="2"/>
  <c r="B1458" i="2"/>
  <c r="B1393" i="2"/>
  <c r="B1379" i="2"/>
  <c r="B1351" i="2"/>
  <c r="B1337" i="2"/>
  <c r="B1324" i="2"/>
  <c r="B1265" i="2"/>
  <c r="B1249" i="2"/>
  <c r="B1232" i="2"/>
  <c r="B1201" i="2"/>
  <c r="B1085" i="2"/>
  <c r="B1070" i="2"/>
  <c r="B1052" i="2"/>
  <c r="B1036" i="2"/>
  <c r="B1020" i="2"/>
  <c r="B1004" i="2"/>
  <c r="B986" i="2"/>
  <c r="B971" i="2"/>
  <c r="B939" i="2"/>
  <c r="B905" i="2"/>
  <c r="B855" i="2"/>
  <c r="B837" i="2"/>
  <c r="B741" i="2"/>
  <c r="B670" i="2"/>
  <c r="B601" i="2"/>
  <c r="B579" i="2"/>
  <c r="B556" i="2"/>
  <c r="B510" i="2"/>
  <c r="B464" i="2"/>
  <c r="B391" i="2"/>
  <c r="B346" i="2"/>
  <c r="B324" i="2"/>
  <c r="B298" i="2"/>
  <c r="B251" i="2"/>
  <c r="B229" i="2"/>
  <c r="B178" i="2"/>
  <c r="B121" i="2"/>
  <c r="B41" i="2"/>
  <c r="B2251" i="2"/>
  <c r="B2228" i="2"/>
  <c r="B2205" i="2"/>
  <c r="B2169" i="2"/>
  <c r="B2146" i="2"/>
  <c r="B2123" i="2"/>
  <c r="B2110" i="2"/>
  <c r="B2087" i="2"/>
  <c r="B2064" i="2"/>
  <c r="B2051" i="2"/>
  <c r="B2028" i="2"/>
  <c r="B2005" i="2"/>
  <c r="B1969" i="2"/>
  <c r="B1946" i="2"/>
  <c r="B1923" i="2"/>
  <c r="B1910" i="2"/>
  <c r="B1887" i="2"/>
  <c r="B1864" i="2"/>
  <c r="B1851" i="2"/>
  <c r="B1828" i="2"/>
  <c r="B1805" i="2"/>
  <c r="B1769" i="2"/>
  <c r="B1746" i="2"/>
  <c r="B1723" i="2"/>
  <c r="B1710" i="2"/>
  <c r="B1687" i="2"/>
  <c r="B1664" i="2"/>
  <c r="B1651" i="2"/>
  <c r="B1628" i="2"/>
  <c r="B1605" i="2"/>
  <c r="B1569" i="2"/>
  <c r="B1545" i="2"/>
  <c r="B1533" i="2"/>
  <c r="B1495" i="2"/>
  <c r="B1483" i="2"/>
  <c r="B1445" i="2"/>
  <c r="B1433" i="2"/>
  <c r="B1419" i="2"/>
  <c r="B1406" i="2"/>
  <c r="B1392" i="2"/>
  <c r="B1364" i="2"/>
  <c r="B1350" i="2"/>
  <c r="B1308" i="2"/>
  <c r="B1295" i="2"/>
  <c r="B1281" i="2"/>
  <c r="B1247" i="2"/>
  <c r="B1215" i="2"/>
  <c r="B1200" i="2"/>
  <c r="B1182" i="2"/>
  <c r="B1166" i="2"/>
  <c r="B1150" i="2"/>
  <c r="B1134" i="2"/>
  <c r="B1116" i="2"/>
  <c r="B1101" i="2"/>
  <c r="B985" i="2"/>
  <c r="B954" i="2"/>
  <c r="B937" i="2"/>
  <c r="B921" i="2"/>
  <c r="B889" i="2"/>
  <c r="B873" i="2"/>
  <c r="B788" i="2"/>
  <c r="B766" i="2"/>
  <c r="B740" i="2"/>
  <c r="B697" i="2"/>
  <c r="B649" i="2"/>
  <c r="B626" i="2"/>
  <c r="B530" i="2"/>
  <c r="B509" i="2"/>
  <c r="B484" i="2"/>
  <c r="B438" i="2"/>
  <c r="B416" i="2"/>
  <c r="B368" i="2"/>
  <c r="B200" i="2"/>
  <c r="B68" i="2"/>
  <c r="B40" i="2"/>
  <c r="B16" i="2"/>
  <c r="B147" i="2"/>
  <c r="B120" i="2"/>
  <c r="B66" i="2"/>
  <c r="B1019" i="2"/>
  <c r="B970" i="2"/>
  <c r="B935" i="2"/>
  <c r="B904" i="2"/>
  <c r="B887" i="2"/>
  <c r="B854" i="2"/>
  <c r="B836" i="2"/>
  <c r="B810" i="2"/>
  <c r="B786" i="2"/>
  <c r="B717" i="2"/>
  <c r="B669" i="2"/>
  <c r="B624" i="2"/>
  <c r="B554" i="2"/>
  <c r="B411" i="2"/>
  <c r="B344" i="2"/>
  <c r="B297" i="2"/>
  <c r="B250" i="2"/>
  <c r="B226" i="2"/>
  <c r="B177" i="2"/>
  <c r="B2250" i="2"/>
  <c r="B2227" i="2"/>
  <c r="B2204" i="2"/>
  <c r="B2191" i="2"/>
  <c r="B2168" i="2"/>
  <c r="B2145" i="2"/>
  <c r="B2109" i="2"/>
  <c r="B2086" i="2"/>
  <c r="B2063" i="2"/>
  <c r="B2050" i="2"/>
  <c r="B2027" i="2"/>
  <c r="B2004" i="2"/>
  <c r="B1991" i="2"/>
  <c r="B1968" i="2"/>
  <c r="B1945" i="2"/>
  <c r="B1909" i="2"/>
  <c r="B1886" i="2"/>
  <c r="B1863" i="2"/>
  <c r="B1850" i="2"/>
  <c r="B1827" i="2"/>
  <c r="B1804" i="2"/>
  <c r="B1791" i="2"/>
  <c r="B1768" i="2"/>
  <c r="B1745" i="2"/>
  <c r="B1709" i="2"/>
  <c r="B1686" i="2"/>
  <c r="B1663" i="2"/>
  <c r="B1650" i="2"/>
  <c r="B1627" i="2"/>
  <c r="B1604" i="2"/>
  <c r="B1591" i="2"/>
  <c r="B1568" i="2"/>
  <c r="B1556" i="2"/>
  <c r="B1544" i="2"/>
  <c r="B1506" i="2"/>
  <c r="B1494" i="2"/>
  <c r="B1456" i="2"/>
  <c r="B1444" i="2"/>
  <c r="B1418" i="2"/>
  <c r="B1391" i="2"/>
  <c r="B1376" i="2"/>
  <c r="B1363" i="2"/>
  <c r="B1320" i="2"/>
  <c r="B1307" i="2"/>
  <c r="B1262" i="2"/>
  <c r="B1230" i="2"/>
  <c r="B1214" i="2"/>
  <c r="B1181" i="2"/>
  <c r="B1164" i="2"/>
  <c r="B1149" i="2"/>
  <c r="B1065" i="2"/>
  <c r="B1017" i="2"/>
  <c r="B1001" i="2"/>
  <c r="B984" i="2"/>
  <c r="B969" i="2"/>
  <c r="B920" i="2"/>
  <c r="B870" i="2"/>
  <c r="B764" i="2"/>
  <c r="B646" i="2"/>
  <c r="B598" i="2"/>
  <c r="B551" i="2"/>
  <c r="B529" i="2"/>
  <c r="B481" i="2"/>
  <c r="B458" i="2"/>
  <c r="B437" i="2"/>
  <c r="B317" i="2"/>
  <c r="B224" i="2"/>
  <c r="B199" i="2"/>
  <c r="B91" i="2"/>
  <c r="B39" i="2"/>
  <c r="B2238" i="2"/>
  <c r="B2215" i="2"/>
  <c r="B2179" i="2"/>
  <c r="B2156" i="2"/>
  <c r="B2133" i="2"/>
  <c r="B2120" i="2"/>
  <c r="B2097" i="2"/>
  <c r="B2074" i="2"/>
  <c r="B2061" i="2"/>
  <c r="B2038" i="2"/>
  <c r="B2015" i="2"/>
  <c r="B1979" i="2"/>
  <c r="B1956" i="2"/>
  <c r="B1933" i="2"/>
  <c r="B1920" i="2"/>
  <c r="B1897" i="2"/>
  <c r="B1874" i="2"/>
  <c r="B1861" i="2"/>
  <c r="B1838" i="2"/>
  <c r="B1815" i="2"/>
  <c r="B1779" i="2"/>
  <c r="B1756" i="2"/>
  <c r="B1733" i="2"/>
  <c r="B1720" i="2"/>
  <c r="B1697" i="2"/>
  <c r="B1674" i="2"/>
  <c r="B1661" i="2"/>
  <c r="B1638" i="2"/>
  <c r="B1615" i="2"/>
  <c r="B1579" i="2"/>
  <c r="B1530" i="2"/>
  <c r="B1518" i="2"/>
  <c r="B1480" i="2"/>
  <c r="B1468" i="2"/>
  <c r="B1430" i="2"/>
  <c r="B1404" i="2"/>
  <c r="B1390" i="2"/>
  <c r="B1362" i="2"/>
  <c r="B1348" i="2"/>
  <c r="B1335" i="2"/>
  <c r="B1293" i="2"/>
  <c r="B1279" i="2"/>
  <c r="B1245" i="2"/>
  <c r="B1195" i="2"/>
  <c r="B1147" i="2"/>
  <c r="B1131" i="2"/>
  <c r="B1114" i="2"/>
  <c r="B1099" i="2"/>
  <c r="B1083" i="2"/>
  <c r="B1050" i="2"/>
  <c r="B1000" i="2"/>
  <c r="B967" i="2"/>
  <c r="B952" i="2"/>
  <c r="B934" i="2"/>
  <c r="B902" i="2"/>
  <c r="B886" i="2"/>
  <c r="B853" i="2"/>
  <c r="B830" i="2"/>
  <c r="B784" i="2"/>
  <c r="B738" i="2"/>
  <c r="B716" i="2"/>
  <c r="B668" i="2"/>
  <c r="B621" i="2"/>
  <c r="B574" i="2"/>
  <c r="B501" i="2"/>
  <c r="B410" i="2"/>
  <c r="B387" i="2"/>
  <c r="B366" i="2"/>
  <c r="B341" i="2"/>
  <c r="B296" i="2"/>
  <c r="B249" i="2"/>
  <c r="B171" i="2"/>
  <c r="B146" i="2"/>
  <c r="B119" i="2"/>
  <c r="B11" i="2"/>
  <c r="B2249" i="2"/>
  <c r="B2226" i="2"/>
  <c r="B2203" i="2"/>
  <c r="B2190" i="2"/>
  <c r="B2167" i="2"/>
  <c r="B2144" i="2"/>
  <c r="B2131" i="2"/>
  <c r="B2108" i="2"/>
  <c r="B2085" i="2"/>
  <c r="B2049" i="2"/>
  <c r="B2026" i="2"/>
  <c r="B2003" i="2"/>
  <c r="B1990" i="2"/>
  <c r="B1967" i="2"/>
  <c r="B1944" i="2"/>
  <c r="B1931" i="2"/>
  <c r="B1908" i="2"/>
  <c r="B1885" i="2"/>
  <c r="B1849" i="2"/>
  <c r="B1826" i="2"/>
  <c r="B1803" i="2"/>
  <c r="B1790" i="2"/>
  <c r="B1767" i="2"/>
  <c r="B1744" i="2"/>
  <c r="B1731" i="2"/>
  <c r="B1708" i="2"/>
  <c r="B1685" i="2"/>
  <c r="B1649" i="2"/>
  <c r="B1626" i="2"/>
  <c r="B1603" i="2"/>
  <c r="B1590" i="2"/>
  <c r="B1567" i="2"/>
  <c r="B1555" i="2"/>
  <c r="B1543" i="2"/>
  <c r="B1505" i="2"/>
  <c r="B1493" i="2"/>
  <c r="B1455" i="2"/>
  <c r="B1443" i="2"/>
  <c r="B1417" i="2"/>
  <c r="B1375" i="2"/>
  <c r="B1319" i="2"/>
  <c r="B1306" i="2"/>
  <c r="B1292" i="2"/>
  <c r="B1277" i="2"/>
  <c r="B1261" i="2"/>
  <c r="B1244" i="2"/>
  <c r="B1229" i="2"/>
  <c r="B1213" i="2"/>
  <c r="B1180" i="2"/>
  <c r="B1163" i="2"/>
  <c r="B1097" i="2"/>
  <c r="B1082" i="2"/>
  <c r="B1064" i="2"/>
  <c r="B1032" i="2"/>
  <c r="B1016" i="2"/>
  <c r="B983" i="2"/>
  <c r="B919" i="2"/>
  <c r="B867" i="2"/>
  <c r="B808" i="2"/>
  <c r="B759" i="2"/>
  <c r="B688" i="2"/>
  <c r="B597" i="2"/>
  <c r="B571" i="2"/>
  <c r="B550" i="2"/>
  <c r="B528" i="2"/>
  <c r="B480" i="2"/>
  <c r="B457" i="2"/>
  <c r="B436" i="2"/>
  <c r="B340" i="2"/>
  <c r="B316" i="2"/>
  <c r="B269" i="2"/>
  <c r="B221" i="2"/>
  <c r="B90" i="2"/>
  <c r="B1416" i="2"/>
  <c r="B1405" i="2"/>
  <c r="B1394" i="2"/>
  <c r="B1383" i="2"/>
  <c r="B1360" i="2"/>
  <c r="B1349" i="2"/>
  <c r="B1338" i="2"/>
  <c r="B1327" i="2"/>
  <c r="B1316" i="2"/>
  <c r="B1305" i="2"/>
  <c r="B1294" i="2"/>
  <c r="B1283" i="2"/>
  <c r="B1270" i="2"/>
  <c r="B1243" i="2"/>
  <c r="B1204" i="2"/>
  <c r="B1179" i="2"/>
  <c r="B1165" i="2"/>
  <c r="B1152" i="2"/>
  <c r="B1139" i="2"/>
  <c r="B1125" i="2"/>
  <c r="B1100" i="2"/>
  <c r="B1086" i="2"/>
  <c r="B1061" i="2"/>
  <c r="B1047" i="2"/>
  <c r="B1034" i="2"/>
  <c r="B1021" i="2"/>
  <c r="B1007" i="2"/>
  <c r="B982" i="2"/>
  <c r="B943" i="2"/>
  <c r="B916" i="2"/>
  <c r="B903" i="2"/>
  <c r="B864" i="2"/>
  <c r="B851" i="2"/>
  <c r="B797" i="2"/>
  <c r="B778" i="2"/>
  <c r="B739" i="2"/>
  <c r="B684" i="2"/>
  <c r="B628" i="2"/>
  <c r="B609" i="2"/>
  <c r="B570" i="2"/>
  <c r="B536" i="2"/>
  <c r="B516" i="2"/>
  <c r="B479" i="2"/>
  <c r="B459" i="2"/>
  <c r="B440" i="2"/>
  <c r="B421" i="2"/>
  <c r="B401" i="2"/>
  <c r="B367" i="2"/>
  <c r="B310" i="2"/>
  <c r="B271" i="2"/>
  <c r="B254" i="2"/>
  <c r="B198" i="2"/>
  <c r="B138" i="2"/>
  <c r="B77" i="2"/>
  <c r="B38" i="2"/>
  <c r="B17" i="2"/>
  <c r="B210" i="2"/>
  <c r="B191" i="2"/>
  <c r="B150" i="2"/>
  <c r="B130" i="2"/>
  <c r="B109" i="2"/>
  <c r="B70" i="2"/>
  <c r="B49" i="2"/>
  <c r="B10" i="2"/>
  <c r="B1400" i="2"/>
  <c r="B1389" i="2"/>
  <c r="B1378" i="2"/>
  <c r="B1367" i="2"/>
  <c r="B1356" i="2"/>
  <c r="B1345" i="2"/>
  <c r="B1334" i="2"/>
  <c r="B1323" i="2"/>
  <c r="B1300" i="2"/>
  <c r="B1289" i="2"/>
  <c r="B1264" i="2"/>
  <c r="B1239" i="2"/>
  <c r="B1225" i="2"/>
  <c r="B1185" i="2"/>
  <c r="B1160" i="2"/>
  <c r="B1146" i="2"/>
  <c r="B1121" i="2"/>
  <c r="B1107" i="2"/>
  <c r="B1067" i="2"/>
  <c r="B1042" i="2"/>
  <c r="B1003" i="2"/>
  <c r="B924" i="2"/>
  <c r="B899" i="2"/>
  <c r="B885" i="2"/>
  <c r="B860" i="2"/>
  <c r="B844" i="2"/>
  <c r="B826" i="2"/>
  <c r="B769" i="2"/>
  <c r="B714" i="2"/>
  <c r="B657" i="2"/>
  <c r="B620" i="2"/>
  <c r="B600" i="2"/>
  <c r="B566" i="2"/>
  <c r="B546" i="2"/>
  <c r="B488" i="2"/>
  <c r="B451" i="2"/>
  <c r="B397" i="2"/>
  <c r="B284" i="2"/>
  <c r="B228" i="2"/>
  <c r="B169" i="2"/>
  <c r="B149" i="2"/>
  <c r="B89" i="2"/>
  <c r="B29" i="2"/>
  <c r="B2252" i="2"/>
  <c r="B2242" i="2"/>
  <c r="B2232" i="2"/>
  <c r="B2222" i="2"/>
  <c r="B2212" i="2"/>
  <c r="B2202" i="2"/>
  <c r="B2192" i="2"/>
  <c r="B2182" i="2"/>
  <c r="B2172" i="2"/>
  <c r="B2162" i="2"/>
  <c r="B2152" i="2"/>
  <c r="B2142" i="2"/>
  <c r="B2132" i="2"/>
  <c r="B2122" i="2"/>
  <c r="B2112" i="2"/>
  <c r="B2102" i="2"/>
  <c r="B2092" i="2"/>
  <c r="B2082" i="2"/>
  <c r="B2072" i="2"/>
  <c r="B2062" i="2"/>
  <c r="B2052" i="2"/>
  <c r="B2042" i="2"/>
  <c r="B2032" i="2"/>
  <c r="B2022" i="2"/>
  <c r="B2012" i="2"/>
  <c r="B2002" i="2"/>
  <c r="B1992" i="2"/>
  <c r="B1982" i="2"/>
  <c r="B1972" i="2"/>
  <c r="B1962" i="2"/>
  <c r="B1952" i="2"/>
  <c r="B1942" i="2"/>
  <c r="B1932" i="2"/>
  <c r="B1922" i="2"/>
  <c r="B1912" i="2"/>
  <c r="B1902" i="2"/>
  <c r="B1892" i="2"/>
  <c r="B1882" i="2"/>
  <c r="B1872" i="2"/>
  <c r="B1862" i="2"/>
  <c r="B1852" i="2"/>
  <c r="B1842" i="2"/>
  <c r="B1832" i="2"/>
  <c r="B1822" i="2"/>
  <c r="B1812" i="2"/>
  <c r="B1802" i="2"/>
  <c r="B1792" i="2"/>
  <c r="B1782" i="2"/>
  <c r="B1772" i="2"/>
  <c r="B1762" i="2"/>
  <c r="B1752" i="2"/>
  <c r="B1742" i="2"/>
  <c r="B1732" i="2"/>
  <c r="B1722" i="2"/>
  <c r="B1712" i="2"/>
  <c r="B1702" i="2"/>
  <c r="B1692" i="2"/>
  <c r="B1682" i="2"/>
  <c r="B1672" i="2"/>
  <c r="B1662" i="2"/>
  <c r="B1652" i="2"/>
  <c r="B1642" i="2"/>
  <c r="B1632" i="2"/>
  <c r="B1622" i="2"/>
  <c r="B1612" i="2"/>
  <c r="B1602" i="2"/>
  <c r="B1592" i="2"/>
  <c r="B1582" i="2"/>
  <c r="B1572" i="2"/>
  <c r="B1562" i="2"/>
  <c r="B1552" i="2"/>
  <c r="B1542" i="2"/>
  <c r="B1532" i="2"/>
  <c r="B1522" i="2"/>
  <c r="B1512" i="2"/>
  <c r="B1502" i="2"/>
  <c r="B1492" i="2"/>
  <c r="B1482" i="2"/>
  <c r="B1472" i="2"/>
  <c r="B1462" i="2"/>
  <c r="B1452" i="2"/>
  <c r="B1442" i="2"/>
  <c r="B1432" i="2"/>
  <c r="B1422" i="2"/>
  <c r="B1411" i="2"/>
  <c r="B1322" i="2"/>
  <c r="B1311" i="2"/>
  <c r="B1276" i="2"/>
  <c r="B1251" i="2"/>
  <c r="B1237" i="2"/>
  <c r="B1199" i="2"/>
  <c r="B1172" i="2"/>
  <c r="B1133" i="2"/>
  <c r="B1081" i="2"/>
  <c r="B1054" i="2"/>
  <c r="B1029" i="2"/>
  <c r="B1015" i="2"/>
  <c r="B990" i="2"/>
  <c r="B963" i="2"/>
  <c r="B950" i="2"/>
  <c r="B936" i="2"/>
  <c r="B911" i="2"/>
  <c r="B897" i="2"/>
  <c r="B872" i="2"/>
  <c r="B859" i="2"/>
  <c r="B807" i="2"/>
  <c r="B787" i="2"/>
  <c r="B750" i="2"/>
  <c r="B730" i="2"/>
  <c r="B638" i="2"/>
  <c r="B581" i="2"/>
  <c r="B508" i="2"/>
  <c r="B469" i="2"/>
  <c r="B414" i="2"/>
  <c r="B378" i="2"/>
  <c r="B339" i="2"/>
  <c r="B320" i="2"/>
  <c r="B300" i="2"/>
  <c r="B266" i="2"/>
  <c r="B246" i="2"/>
  <c r="B209" i="2"/>
  <c r="B188" i="2"/>
  <c r="B129" i="2"/>
  <c r="B108" i="2"/>
  <c r="B69" i="2"/>
  <c r="B48" i="2"/>
  <c r="B8" i="2"/>
  <c r="B1410" i="2"/>
  <c r="B1399" i="2"/>
  <c r="B1388" i="2"/>
  <c r="B1377" i="2"/>
  <c r="B1366" i="2"/>
  <c r="B1355" i="2"/>
  <c r="B1344" i="2"/>
  <c r="B1333" i="2"/>
  <c r="B1310" i="2"/>
  <c r="B1299" i="2"/>
  <c r="B1288" i="2"/>
  <c r="B1263" i="2"/>
  <c r="B1224" i="2"/>
  <c r="B1211" i="2"/>
  <c r="B1184" i="2"/>
  <c r="B1159" i="2"/>
  <c r="B1145" i="2"/>
  <c r="B1120" i="2"/>
  <c r="B1106" i="2"/>
  <c r="B1093" i="2"/>
  <c r="B1080" i="2"/>
  <c r="B1066" i="2"/>
  <c r="B1041" i="2"/>
  <c r="B1027" i="2"/>
  <c r="B1002" i="2"/>
  <c r="B975" i="2"/>
  <c r="B962" i="2"/>
  <c r="B923" i="2"/>
  <c r="B884" i="2"/>
  <c r="B857" i="2"/>
  <c r="B824" i="2"/>
  <c r="B768" i="2"/>
  <c r="B711" i="2"/>
  <c r="B694" i="2"/>
  <c r="B656" i="2"/>
  <c r="B599" i="2"/>
  <c r="B564" i="2"/>
  <c r="B544" i="2"/>
  <c r="B526" i="2"/>
  <c r="B507" i="2"/>
  <c r="B487" i="2"/>
  <c r="B450" i="2"/>
  <c r="B430" i="2"/>
  <c r="B396" i="2"/>
  <c r="B357" i="2"/>
  <c r="B338" i="2"/>
  <c r="B281" i="2"/>
  <c r="B227" i="2"/>
  <c r="B148" i="2"/>
  <c r="B127" i="2"/>
  <c r="B88" i="2"/>
  <c r="B28" i="2"/>
  <c r="B1271" i="2"/>
  <c r="B1235" i="2"/>
  <c r="B1212" i="2"/>
  <c r="B1189" i="2"/>
  <c r="B1176" i="2"/>
  <c r="B1153" i="2"/>
  <c r="B1130" i="2"/>
  <c r="B1117" i="2"/>
  <c r="B1094" i="2"/>
  <c r="B1071" i="2"/>
  <c r="B1035" i="2"/>
  <c r="B1012" i="2"/>
  <c r="B989" i="2"/>
  <c r="B976" i="2"/>
  <c r="B953" i="2"/>
  <c r="B930" i="2"/>
  <c r="B917" i="2"/>
  <c r="B894" i="2"/>
  <c r="B871" i="2"/>
  <c r="B846" i="2"/>
  <c r="B811" i="2"/>
  <c r="B779" i="2"/>
  <c r="B728" i="2"/>
  <c r="B696" i="2"/>
  <c r="B644" i="2"/>
  <c r="B610" i="2"/>
  <c r="B578" i="2"/>
  <c r="B559" i="2"/>
  <c r="B527" i="2"/>
  <c r="B494" i="2"/>
  <c r="B441" i="2"/>
  <c r="B409" i="2"/>
  <c r="B358" i="2"/>
  <c r="B326" i="2"/>
  <c r="B291" i="2"/>
  <c r="B274" i="2"/>
  <c r="B240" i="2"/>
  <c r="B208" i="2"/>
  <c r="B190" i="2"/>
  <c r="B170" i="2"/>
  <c r="B118" i="2"/>
  <c r="B61" i="2"/>
  <c r="B46" i="2"/>
  <c r="B9" i="2"/>
  <c r="B1269" i="2"/>
  <c r="B1256" i="2"/>
  <c r="B1233" i="2"/>
  <c r="B1210" i="2"/>
  <c r="B1197" i="2"/>
  <c r="B1174" i="2"/>
  <c r="B1151" i="2"/>
  <c r="B1115" i="2"/>
  <c r="B1092" i="2"/>
  <c r="B1069" i="2"/>
  <c r="B1056" i="2"/>
  <c r="B1033" i="2"/>
  <c r="B1010" i="2"/>
  <c r="B997" i="2"/>
  <c r="B974" i="2"/>
  <c r="B951" i="2"/>
  <c r="B915" i="2"/>
  <c r="B892" i="2"/>
  <c r="B869" i="2"/>
  <c r="B856" i="2"/>
  <c r="B841" i="2"/>
  <c r="B809" i="2"/>
  <c r="B758" i="2"/>
  <c r="B726" i="2"/>
  <c r="B691" i="2"/>
  <c r="B674" i="2"/>
  <c r="B640" i="2"/>
  <c r="B608" i="2"/>
  <c r="B557" i="2"/>
  <c r="B524" i="2"/>
  <c r="B471" i="2"/>
  <c r="B439" i="2"/>
  <c r="B407" i="2"/>
  <c r="B388" i="2"/>
  <c r="B356" i="2"/>
  <c r="B321" i="2"/>
  <c r="B270" i="2"/>
  <c r="B238" i="2"/>
  <c r="B168" i="2"/>
  <c r="B131" i="2"/>
  <c r="B116" i="2"/>
  <c r="B96" i="2"/>
  <c r="B59" i="2"/>
  <c r="B7" i="2"/>
  <c r="B848" i="2"/>
  <c r="B834" i="2"/>
  <c r="B819" i="2"/>
  <c r="B806" i="2"/>
  <c r="B790" i="2"/>
  <c r="B777" i="2"/>
  <c r="B761" i="2"/>
  <c r="B748" i="2"/>
  <c r="B734" i="2"/>
  <c r="B719" i="2"/>
  <c r="B706" i="2"/>
  <c r="B690" i="2"/>
  <c r="B677" i="2"/>
  <c r="B661" i="2"/>
  <c r="B648" i="2"/>
  <c r="B634" i="2"/>
  <c r="B619" i="2"/>
  <c r="B606" i="2"/>
  <c r="B590" i="2"/>
  <c r="B577" i="2"/>
  <c r="B561" i="2"/>
  <c r="B548" i="2"/>
  <c r="B534" i="2"/>
  <c r="B519" i="2"/>
  <c r="B506" i="2"/>
  <c r="B490" i="2"/>
  <c r="B477" i="2"/>
  <c r="B461" i="2"/>
  <c r="B448" i="2"/>
  <c r="B434" i="2"/>
  <c r="B419" i="2"/>
  <c r="B406" i="2"/>
  <c r="B390" i="2"/>
  <c r="B377" i="2"/>
  <c r="B361" i="2"/>
  <c r="B348" i="2"/>
  <c r="B334" i="2"/>
  <c r="B319" i="2"/>
  <c r="B306" i="2"/>
  <c r="B290" i="2"/>
  <c r="B277" i="2"/>
  <c r="B261" i="2"/>
  <c r="B248" i="2"/>
  <c r="B234" i="2"/>
  <c r="B219" i="2"/>
  <c r="B206" i="2"/>
  <c r="B176" i="2"/>
  <c r="B159" i="2"/>
  <c r="B98" i="2"/>
  <c r="B81" i="2"/>
  <c r="B37" i="2"/>
  <c r="B20" i="2"/>
  <c r="B1278" i="2"/>
  <c r="B1268" i="2"/>
  <c r="B1258" i="2"/>
  <c r="B1248" i="2"/>
  <c r="B1238" i="2"/>
  <c r="B1228" i="2"/>
  <c r="B1218" i="2"/>
  <c r="B1208" i="2"/>
  <c r="B1198" i="2"/>
  <c r="B1188" i="2"/>
  <c r="B1178" i="2"/>
  <c r="B1168" i="2"/>
  <c r="B1158" i="2"/>
  <c r="B1148" i="2"/>
  <c r="B1138" i="2"/>
  <c r="B1128" i="2"/>
  <c r="B1118" i="2"/>
  <c r="B1108" i="2"/>
  <c r="B1098" i="2"/>
  <c r="B1088" i="2"/>
  <c r="B1078" i="2"/>
  <c r="B1068" i="2"/>
  <c r="B1058" i="2"/>
  <c r="B1048" i="2"/>
  <c r="B1038" i="2"/>
  <c r="B1028" i="2"/>
  <c r="B1018" i="2"/>
  <c r="B1008" i="2"/>
  <c r="B998" i="2"/>
  <c r="B988" i="2"/>
  <c r="B978" i="2"/>
  <c r="B968" i="2"/>
  <c r="B958" i="2"/>
  <c r="B948" i="2"/>
  <c r="B938" i="2"/>
  <c r="B928" i="2"/>
  <c r="B918" i="2"/>
  <c r="B908" i="2"/>
  <c r="B898" i="2"/>
  <c r="B888" i="2"/>
  <c r="B878" i="2"/>
  <c r="B868" i="2"/>
  <c r="B858" i="2"/>
  <c r="B189" i="2"/>
  <c r="B128" i="2"/>
  <c r="B111" i="2"/>
  <c r="B67" i="2"/>
  <c r="B50" i="2"/>
  <c r="B6" i="2"/>
  <c r="B847" i="2"/>
  <c r="B831" i="2"/>
  <c r="B818" i="2"/>
  <c r="B804" i="2"/>
  <c r="B789" i="2"/>
  <c r="B776" i="2"/>
  <c r="B760" i="2"/>
  <c r="B747" i="2"/>
  <c r="B731" i="2"/>
  <c r="B718" i="2"/>
  <c r="B704" i="2"/>
  <c r="B689" i="2"/>
  <c r="B676" i="2"/>
  <c r="B660" i="2"/>
  <c r="B647" i="2"/>
  <c r="B631" i="2"/>
  <c r="B618" i="2"/>
  <c r="B604" i="2"/>
  <c r="B589" i="2"/>
  <c r="B576" i="2"/>
  <c r="B560" i="2"/>
  <c r="B547" i="2"/>
  <c r="B531" i="2"/>
  <c r="B518" i="2"/>
  <c r="B504" i="2"/>
  <c r="B489" i="2"/>
  <c r="B476" i="2"/>
  <c r="B460" i="2"/>
  <c r="B447" i="2"/>
  <c r="B431" i="2"/>
  <c r="B418" i="2"/>
  <c r="B404" i="2"/>
  <c r="B389" i="2"/>
  <c r="B376" i="2"/>
  <c r="B360" i="2"/>
  <c r="B347" i="2"/>
  <c r="B331" i="2"/>
  <c r="B318" i="2"/>
  <c r="B304" i="2"/>
  <c r="B289" i="2"/>
  <c r="B276" i="2"/>
  <c r="B260" i="2"/>
  <c r="B247" i="2"/>
  <c r="B231" i="2"/>
  <c r="B218" i="2"/>
  <c r="B204" i="2"/>
  <c r="B158" i="2"/>
  <c r="B141" i="2"/>
  <c r="B97" i="2"/>
  <c r="B80" i="2"/>
  <c r="B36" i="2"/>
  <c r="B19" i="2"/>
  <c r="B845" i="2"/>
  <c r="B835" i="2"/>
  <c r="B825" i="2"/>
  <c r="B815" i="2"/>
  <c r="B805" i="2"/>
  <c r="B795" i="2"/>
  <c r="B785" i="2"/>
  <c r="B775" i="2"/>
  <c r="B765" i="2"/>
  <c r="B755" i="2"/>
  <c r="B745" i="2"/>
  <c r="B735" i="2"/>
  <c r="B725" i="2"/>
  <c r="B715" i="2"/>
  <c r="B705" i="2"/>
  <c r="B695" i="2"/>
  <c r="B685" i="2"/>
  <c r="B675" i="2"/>
  <c r="B665" i="2"/>
  <c r="B655" i="2"/>
  <c r="B645" i="2"/>
  <c r="B635" i="2"/>
  <c r="B625" i="2"/>
  <c r="B615" i="2"/>
  <c r="B605" i="2"/>
  <c r="B595" i="2"/>
  <c r="B585" i="2"/>
  <c r="B575" i="2"/>
  <c r="B565" i="2"/>
  <c r="B555" i="2"/>
  <c r="B545" i="2"/>
  <c r="B535" i="2"/>
  <c r="B525" i="2"/>
  <c r="B515" i="2"/>
  <c r="B505" i="2"/>
  <c r="B495" i="2"/>
  <c r="B485" i="2"/>
  <c r="B475" i="2"/>
  <c r="B465" i="2"/>
  <c r="B455" i="2"/>
  <c r="B445" i="2"/>
  <c r="B435" i="2"/>
  <c r="B425" i="2"/>
  <c r="B415" i="2"/>
  <c r="B405" i="2"/>
  <c r="B395" i="2"/>
  <c r="B385" i="2"/>
  <c r="B375" i="2"/>
  <c r="B365" i="2"/>
  <c r="B355" i="2"/>
  <c r="B345" i="2"/>
  <c r="B335" i="2"/>
  <c r="B325" i="2"/>
  <c r="B315" i="2"/>
  <c r="B305" i="2"/>
  <c r="B295" i="2"/>
  <c r="B285" i="2"/>
  <c r="B275" i="2"/>
  <c r="B265" i="2"/>
  <c r="B255" i="2"/>
  <c r="B245" i="2"/>
  <c r="B235" i="2"/>
  <c r="B225" i="2"/>
  <c r="B215" i="2"/>
  <c r="B205" i="2"/>
  <c r="B195" i="2"/>
  <c r="B185" i="2"/>
  <c r="B175" i="2"/>
  <c r="B165" i="2"/>
  <c r="B155" i="2"/>
  <c r="B145" i="2"/>
  <c r="B135" i="2"/>
  <c r="B125" i="2"/>
  <c r="B115" i="2"/>
  <c r="B105" i="2"/>
  <c r="B95" i="2"/>
  <c r="B85" i="2"/>
  <c r="B75" i="2"/>
  <c r="B65" i="2"/>
  <c r="B55" i="2"/>
  <c r="B45" i="2"/>
  <c r="B35" i="2"/>
  <c r="B25" i="2"/>
  <c r="B15" i="2"/>
  <c r="B5" i="2"/>
  <c r="B194" i="2"/>
  <c r="B184" i="2"/>
  <c r="B174" i="2"/>
  <c r="B164" i="2"/>
  <c r="B154" i="2"/>
  <c r="B144" i="2"/>
  <c r="B134" i="2"/>
  <c r="B124" i="2"/>
  <c r="B114" i="2"/>
  <c r="B104" i="2"/>
  <c r="B94" i="2"/>
  <c r="B84" i="2"/>
  <c r="B74" i="2"/>
  <c r="B64" i="2"/>
  <c r="B54" i="2"/>
  <c r="B44" i="2"/>
  <c r="B34" i="2"/>
  <c r="B24" i="2"/>
  <c r="B14" i="2"/>
  <c r="B4" i="2"/>
  <c r="B843" i="2"/>
  <c r="B833" i="2"/>
  <c r="B823" i="2"/>
  <c r="B813" i="2"/>
  <c r="B803" i="2"/>
  <c r="B793" i="2"/>
  <c r="B783" i="2"/>
  <c r="B773" i="2"/>
  <c r="B763" i="2"/>
  <c r="B753" i="2"/>
  <c r="B743" i="2"/>
  <c r="B733" i="2"/>
  <c r="B723" i="2"/>
  <c r="B713" i="2"/>
  <c r="B703" i="2"/>
  <c r="B693" i="2"/>
  <c r="B683" i="2"/>
  <c r="B673" i="2"/>
  <c r="B663" i="2"/>
  <c r="B653" i="2"/>
  <c r="B643" i="2"/>
  <c r="B633" i="2"/>
  <c r="B623" i="2"/>
  <c r="B613" i="2"/>
  <c r="B603" i="2"/>
  <c r="B593" i="2"/>
  <c r="B583" i="2"/>
  <c r="B573" i="2"/>
  <c r="B563" i="2"/>
  <c r="B553" i="2"/>
  <c r="B543" i="2"/>
  <c r="B533" i="2"/>
  <c r="B523" i="2"/>
  <c r="B513" i="2"/>
  <c r="B503" i="2"/>
  <c r="B493" i="2"/>
  <c r="B483" i="2"/>
  <c r="B473" i="2"/>
  <c r="B463" i="2"/>
  <c r="B453" i="2"/>
  <c r="B443" i="2"/>
  <c r="B433" i="2"/>
  <c r="B423" i="2"/>
  <c r="B413" i="2"/>
  <c r="B403" i="2"/>
  <c r="B393" i="2"/>
  <c r="B383" i="2"/>
  <c r="B373" i="2"/>
  <c r="B363" i="2"/>
  <c r="B353" i="2"/>
  <c r="B343" i="2"/>
  <c r="B333" i="2"/>
  <c r="B323" i="2"/>
  <c r="B313" i="2"/>
  <c r="B303" i="2"/>
  <c r="B293" i="2"/>
  <c r="B283" i="2"/>
  <c r="B273" i="2"/>
  <c r="B263" i="2"/>
  <c r="B253" i="2"/>
  <c r="B243" i="2"/>
  <c r="B233" i="2"/>
  <c r="B223" i="2"/>
  <c r="B213" i="2"/>
  <c r="B203" i="2"/>
  <c r="B193" i="2"/>
  <c r="B183" i="2"/>
  <c r="B173" i="2"/>
  <c r="B163" i="2"/>
  <c r="B153" i="2"/>
  <c r="B143" i="2"/>
  <c r="B133" i="2"/>
  <c r="B123" i="2"/>
  <c r="B113" i="2"/>
  <c r="B103" i="2"/>
  <c r="B93" i="2"/>
  <c r="B83" i="2"/>
  <c r="B73" i="2"/>
  <c r="B63" i="2"/>
  <c r="B53" i="2"/>
  <c r="B43" i="2"/>
  <c r="B33" i="2"/>
  <c r="B23" i="2"/>
  <c r="B13" i="2"/>
  <c r="B3" i="2"/>
  <c r="B852" i="2"/>
  <c r="B842" i="2"/>
  <c r="B832" i="2"/>
  <c r="B822" i="2"/>
  <c r="B812" i="2"/>
  <c r="B802" i="2"/>
  <c r="B792" i="2"/>
  <c r="B782" i="2"/>
  <c r="B772" i="2"/>
  <c r="B762" i="2"/>
  <c r="B752" i="2"/>
  <c r="B742" i="2"/>
  <c r="B732" i="2"/>
  <c r="B722" i="2"/>
  <c r="B712" i="2"/>
  <c r="B702" i="2"/>
  <c r="B692" i="2"/>
  <c r="B682" i="2"/>
  <c r="B672" i="2"/>
  <c r="B662" i="2"/>
  <c r="B652" i="2"/>
  <c r="B642" i="2"/>
  <c r="B632" i="2"/>
  <c r="B622" i="2"/>
  <c r="B612" i="2"/>
  <c r="B602" i="2"/>
  <c r="B592" i="2"/>
  <c r="B582" i="2"/>
  <c r="B572" i="2"/>
  <c r="B562" i="2"/>
  <c r="B552" i="2"/>
  <c r="B542" i="2"/>
  <c r="B532" i="2"/>
  <c r="B522" i="2"/>
  <c r="B512" i="2"/>
  <c r="B502" i="2"/>
  <c r="B492" i="2"/>
  <c r="B482" i="2"/>
  <c r="B472" i="2"/>
  <c r="B462" i="2"/>
  <c r="B452" i="2"/>
  <c r="B442" i="2"/>
  <c r="B432" i="2"/>
  <c r="B422" i="2"/>
  <c r="B412" i="2"/>
  <c r="B402" i="2"/>
  <c r="B392" i="2"/>
  <c r="B382" i="2"/>
  <c r="B372" i="2"/>
  <c r="B362" i="2"/>
  <c r="B352" i="2"/>
  <c r="B342" i="2"/>
  <c r="B332" i="2"/>
  <c r="B322" i="2"/>
  <c r="B312" i="2"/>
  <c r="B302" i="2"/>
  <c r="B292" i="2"/>
  <c r="B282" i="2"/>
  <c r="B272" i="2"/>
  <c r="B262" i="2"/>
  <c r="B252" i="2"/>
  <c r="B242" i="2"/>
  <c r="B232" i="2"/>
  <c r="B222" i="2"/>
  <c r="B212" i="2"/>
  <c r="B202" i="2"/>
  <c r="B192" i="2"/>
  <c r="B182" i="2"/>
  <c r="B172" i="2"/>
  <c r="B162" i="2"/>
  <c r="B152" i="2"/>
  <c r="B142" i="2"/>
  <c r="B132" i="2"/>
  <c r="B122" i="2"/>
  <c r="B112" i="2"/>
  <c r="B102" i="2"/>
  <c r="B92" i="2"/>
  <c r="B82" i="2"/>
  <c r="B72" i="2"/>
  <c r="B62" i="2"/>
  <c r="B52" i="2"/>
  <c r="B42" i="2"/>
  <c r="B32" i="2"/>
  <c r="B22" i="2"/>
  <c r="B12" i="2"/>
  <c r="B2" i="2"/>
  <c r="B2360" i="2"/>
  <c r="B2270" i="2"/>
  <c r="B2359" i="2"/>
  <c r="B2269" i="2"/>
  <c r="B2358" i="2"/>
  <c r="B2268" i="2"/>
  <c r="B2347" i="2"/>
  <c r="B2277" i="2"/>
  <c r="B2300" i="2"/>
  <c r="B2299" i="2"/>
  <c r="B2278" i="2"/>
  <c r="B2357" i="2"/>
  <c r="B2337" i="2"/>
  <c r="B2327" i="2"/>
  <c r="B2317" i="2"/>
  <c r="B2307" i="2"/>
  <c r="B2297" i="2"/>
  <c r="B2287" i="2"/>
  <c r="B2267" i="2"/>
  <c r="B2366" i="2"/>
  <c r="B2356" i="2"/>
  <c r="B2346" i="2"/>
  <c r="B2336" i="2"/>
  <c r="B2326" i="2"/>
  <c r="B2316" i="2"/>
  <c r="B2306" i="2"/>
  <c r="B2296" i="2"/>
  <c r="B2286" i="2"/>
  <c r="B2276" i="2"/>
  <c r="B2266" i="2"/>
  <c r="B2310" i="2"/>
  <c r="B2319" i="2"/>
  <c r="B2328" i="2"/>
  <c r="B2365" i="2"/>
  <c r="B2355" i="2"/>
  <c r="B2345" i="2"/>
  <c r="B2335" i="2"/>
  <c r="B2325" i="2"/>
  <c r="B2315" i="2"/>
  <c r="B2305" i="2"/>
  <c r="B2295" i="2"/>
  <c r="B2285" i="2"/>
  <c r="B2275" i="2"/>
  <c r="B2265" i="2"/>
  <c r="B2330" i="2"/>
  <c r="B2339" i="2"/>
  <c r="B2298" i="2"/>
  <c r="B2344" i="2"/>
  <c r="B2274" i="2"/>
  <c r="B2320" i="2"/>
  <c r="B2309" i="2"/>
  <c r="B2338" i="2"/>
  <c r="B2364" i="2"/>
  <c r="B2264" i="2"/>
  <c r="B2363" i="2"/>
  <c r="B2353" i="2"/>
  <c r="B2343" i="2"/>
  <c r="B2333" i="2"/>
  <c r="B2323" i="2"/>
  <c r="B2313" i="2"/>
  <c r="B2303" i="2"/>
  <c r="B2293" i="2"/>
  <c r="B2283" i="2"/>
  <c r="B2273" i="2"/>
  <c r="B2263" i="2"/>
  <c r="B2350" i="2"/>
  <c r="B2349" i="2"/>
  <c r="B2348" i="2"/>
  <c r="B2294" i="2"/>
  <c r="B2340" i="2"/>
  <c r="B2329" i="2"/>
  <c r="B2318" i="2"/>
  <c r="B2354" i="2"/>
  <c r="B2334" i="2"/>
  <c r="B2324" i="2"/>
  <c r="B2304" i="2"/>
  <c r="B2362" i="2"/>
  <c r="B2352" i="2"/>
  <c r="B2342" i="2"/>
  <c r="B2332" i="2"/>
  <c r="B2322" i="2"/>
  <c r="B2312" i="2"/>
  <c r="B2302" i="2"/>
  <c r="B2292" i="2"/>
  <c r="B2282" i="2"/>
  <c r="B2272" i="2"/>
  <c r="B2262" i="2"/>
  <c r="B2280" i="2"/>
  <c r="B2279" i="2"/>
  <c r="B2288" i="2"/>
  <c r="B2314" i="2"/>
  <c r="B2290" i="2"/>
  <c r="B2289" i="2"/>
  <c r="B2308" i="2"/>
  <c r="B2284" i="2"/>
  <c r="B2361" i="2"/>
  <c r="B2351" i="2"/>
  <c r="B2341" i="2"/>
  <c r="B2331" i="2"/>
  <c r="B2321" i="2"/>
  <c r="B2311" i="2"/>
  <c r="B2301" i="2"/>
  <c r="B2291" i="2"/>
  <c r="B2281" i="2"/>
  <c r="B2271" i="2"/>
  <c r="B2261" i="2"/>
  <c r="B2260" i="2"/>
  <c r="B2" i="5"/>
  <c r="A2217" i="4"/>
  <c r="A2337" i="4"/>
  <c r="A2297" i="4"/>
  <c r="A2317" i="4"/>
  <c r="A2208" i="4"/>
  <c r="A2294" i="4"/>
  <c r="A2172" i="4"/>
  <c r="A1873" i="4"/>
  <c r="A2334" i="4"/>
  <c r="A2314" i="4"/>
  <c r="A2264" i="4"/>
  <c r="A2235" i="4"/>
  <c r="A2070" i="4"/>
  <c r="A2013" i="4"/>
  <c r="A2010" i="4"/>
  <c r="A2199" i="4"/>
  <c r="A2164" i="4"/>
  <c r="A2125" i="4"/>
  <c r="A1987" i="4"/>
  <c r="A2330" i="4"/>
  <c r="A2155" i="4"/>
  <c r="A2284" i="4"/>
  <c r="A2195" i="4"/>
  <c r="A2310" i="4"/>
  <c r="A2136" i="4"/>
  <c r="A2257" i="4"/>
  <c r="A2244" i="4"/>
  <c r="A2324" i="4"/>
  <c r="A2190" i="4"/>
  <c r="A2304" i="4"/>
  <c r="A2254" i="4"/>
  <c r="A1953" i="4"/>
  <c r="A2274" i="4"/>
  <c r="A2060" i="4"/>
  <c r="A2277" i="4"/>
  <c r="A2290" i="4"/>
  <c r="A2270" i="4"/>
  <c r="A2250" i="4"/>
  <c r="A2216" i="4"/>
  <c r="A2181" i="4"/>
  <c r="A2145" i="4"/>
  <c r="A2098" i="4"/>
  <c r="A2124" i="4"/>
  <c r="A2283" i="4"/>
  <c r="A2189" i="4"/>
  <c r="A2206" i="4"/>
  <c r="A2009" i="4"/>
  <c r="A1862" i="4"/>
  <c r="A2323" i="4"/>
  <c r="A2303" i="4"/>
  <c r="A2263" i="4"/>
  <c r="A2234" i="4"/>
  <c r="A2135" i="4"/>
  <c r="A2068" i="4"/>
  <c r="A1982" i="4"/>
  <c r="A2171" i="4"/>
  <c r="A2329" i="4"/>
  <c r="A2309" i="4"/>
  <c r="A2289" i="4"/>
  <c r="A2269" i="4"/>
  <c r="A2249" i="4"/>
  <c r="A2215" i="4"/>
  <c r="A2144" i="4"/>
  <c r="A2123" i="4"/>
  <c r="A2047" i="4"/>
  <c r="A2008" i="4"/>
  <c r="A1942" i="4"/>
  <c r="A1860" i="4"/>
  <c r="A1806" i="4"/>
  <c r="A2225" i="4"/>
  <c r="A2069" i="4"/>
  <c r="A2154" i="4"/>
  <c r="A2084" i="4"/>
  <c r="A2049" i="4"/>
  <c r="A1952" i="4"/>
  <c r="A1903" i="4"/>
  <c r="A1760" i="4"/>
  <c r="A2231" i="4"/>
  <c r="A2186" i="4"/>
  <c r="A2151" i="4"/>
  <c r="A2120" i="4"/>
  <c r="A2003" i="4"/>
  <c r="A2212" i="4"/>
  <c r="A2320" i="4"/>
  <c r="A2221" i="4"/>
  <c r="A2176" i="4"/>
  <c r="A2105" i="4"/>
  <c r="A2239" i="4"/>
  <c r="A2159" i="4"/>
  <c r="A2093" i="4"/>
  <c r="A2287" i="4"/>
  <c r="A2177" i="4"/>
  <c r="A1802" i="4"/>
  <c r="A2300" i="4"/>
  <c r="A2185" i="4"/>
  <c r="A2140" i="4"/>
  <c r="A2130" i="4"/>
  <c r="A2020" i="4"/>
  <c r="A1999" i="4"/>
  <c r="A2131" i="4"/>
  <c r="A1972" i="4"/>
  <c r="A1796" i="4"/>
  <c r="A2333" i="4"/>
  <c r="A2313" i="4"/>
  <c r="A2293" i="4"/>
  <c r="A2273" i="4"/>
  <c r="A2253" i="4"/>
  <c r="A2229" i="4"/>
  <c r="A2194" i="4"/>
  <c r="A2149" i="4"/>
  <c r="A2117" i="4"/>
  <c r="A2092" i="4"/>
  <c r="A2059" i="4"/>
  <c r="A1922" i="4"/>
  <c r="A2204" i="4"/>
  <c r="A2327" i="4"/>
  <c r="A2307" i="4"/>
  <c r="A2247" i="4"/>
  <c r="A2168" i="4"/>
  <c r="A2141" i="4"/>
  <c r="A2079" i="4"/>
  <c r="A2230" i="4"/>
  <c r="A2150" i="4"/>
  <c r="A2280" i="4"/>
  <c r="A2260" i="4"/>
  <c r="A2211" i="4"/>
  <c r="A2166" i="4"/>
  <c r="A2057" i="4"/>
  <c r="A1783" i="4"/>
  <c r="A2267" i="4"/>
  <c r="A1893" i="4"/>
  <c r="A2340" i="4"/>
  <c r="A2339" i="4"/>
  <c r="A2319" i="4"/>
  <c r="A2299" i="4"/>
  <c r="A2279" i="4"/>
  <c r="A2259" i="4"/>
  <c r="A2175" i="4"/>
  <c r="A2037" i="4"/>
  <c r="A2019" i="4"/>
  <c r="A1959" i="4"/>
  <c r="A1880" i="4"/>
  <c r="A1936" i="4"/>
  <c r="A1882" i="4"/>
  <c r="A2226" i="4"/>
  <c r="A2191" i="4"/>
  <c r="A2113" i="4"/>
  <c r="A1920" i="4"/>
  <c r="A1837" i="4"/>
  <c r="A2238" i="4"/>
  <c r="A2207" i="4"/>
  <c r="A2198" i="4"/>
  <c r="A2167" i="4"/>
  <c r="A2158" i="4"/>
  <c r="A2076" i="4"/>
  <c r="A2058" i="4"/>
  <c r="A2048" i="4"/>
  <c r="A2040" i="4"/>
  <c r="A2030" i="4"/>
  <c r="A2336" i="4"/>
  <c r="A2326" i="4"/>
  <c r="A2316" i="4"/>
  <c r="A2306" i="4"/>
  <c r="A2296" i="4"/>
  <c r="A2286" i="4"/>
  <c r="A2276" i="4"/>
  <c r="A2266" i="4"/>
  <c r="A2256" i="4"/>
  <c r="A2246" i="4"/>
  <c r="A2242" i="4"/>
  <c r="A2220" i="4"/>
  <c r="A2202" i="4"/>
  <c r="A2180" i="4"/>
  <c r="A2162" i="4"/>
  <c r="A2139" i="4"/>
  <c r="A2129" i="4"/>
  <c r="A2104" i="4"/>
  <c r="A2097" i="4"/>
  <c r="A2090" i="4"/>
  <c r="A2066" i="4"/>
  <c r="A1997" i="4"/>
  <c r="A2224" i="4"/>
  <c r="A2219" i="4"/>
  <c r="A2184" i="4"/>
  <c r="A2179" i="4"/>
  <c r="A2134" i="4"/>
  <c r="A2083" i="4"/>
  <c r="A2018" i="4"/>
  <c r="A1981" i="4"/>
  <c r="A1913" i="4"/>
  <c r="A1850" i="4"/>
  <c r="A1833" i="4"/>
  <c r="A1772" i="4"/>
  <c r="A2332" i="4"/>
  <c r="A2322" i="4"/>
  <c r="A2312" i="4"/>
  <c r="A2302" i="4"/>
  <c r="A2292" i="4"/>
  <c r="A2282" i="4"/>
  <c r="A2272" i="4"/>
  <c r="A2262" i="4"/>
  <c r="A2252" i="4"/>
  <c r="A2237" i="4"/>
  <c r="A2228" i="4"/>
  <c r="A2197" i="4"/>
  <c r="A2188" i="4"/>
  <c r="A2157" i="4"/>
  <c r="A2148" i="4"/>
  <c r="A2116" i="4"/>
  <c r="A2109" i="4"/>
  <c r="A2102" i="4"/>
  <c r="A2074" i="4"/>
  <c r="A2064" i="4"/>
  <c r="A2054" i="4"/>
  <c r="A2016" i="4"/>
  <c r="A2007" i="4"/>
  <c r="A1979" i="4"/>
  <c r="A1963" i="4"/>
  <c r="A1910" i="4"/>
  <c r="A1830" i="4"/>
  <c r="A1813" i="4"/>
  <c r="A1752" i="4"/>
  <c r="A2232" i="4"/>
  <c r="A2210" i="4"/>
  <c r="A2192" i="4"/>
  <c r="A2170" i="4"/>
  <c r="A2152" i="4"/>
  <c r="A2128" i="4"/>
  <c r="A2096" i="4"/>
  <c r="A2335" i="4"/>
  <c r="A2325" i="4"/>
  <c r="A2315" i="4"/>
  <c r="A2305" i="4"/>
  <c r="A2295" i="4"/>
  <c r="A2285" i="4"/>
  <c r="A2275" i="4"/>
  <c r="A2265" i="4"/>
  <c r="A2255" i="4"/>
  <c r="A2245" i="4"/>
  <c r="A2241" i="4"/>
  <c r="A2236" i="4"/>
  <c r="A2201" i="4"/>
  <c r="A2196" i="4"/>
  <c r="A2161" i="4"/>
  <c r="A2156" i="4"/>
  <c r="A2138" i="4"/>
  <c r="A2121" i="4"/>
  <c r="A2089" i="4"/>
  <c r="A2026" i="4"/>
  <c r="A1892" i="4"/>
  <c r="A1726" i="4"/>
  <c r="A2205" i="4"/>
  <c r="A2165" i="4"/>
  <c r="A2046" i="4"/>
  <c r="A1943" i="4"/>
  <c r="A1770" i="4"/>
  <c r="A1747" i="4"/>
  <c r="A2338" i="4"/>
  <c r="A2328" i="4"/>
  <c r="A2318" i="4"/>
  <c r="A2308" i="4"/>
  <c r="A2298" i="4"/>
  <c r="A2288" i="4"/>
  <c r="A2278" i="4"/>
  <c r="A2268" i="4"/>
  <c r="A2258" i="4"/>
  <c r="A2248" i="4"/>
  <c r="A2214" i="4"/>
  <c r="A2209" i="4"/>
  <c r="A2174" i="4"/>
  <c r="A2169" i="4"/>
  <c r="A2142" i="4"/>
  <c r="A2127" i="4"/>
  <c r="A2101" i="4"/>
  <c r="A2036" i="4"/>
  <c r="A2014" i="4"/>
  <c r="A1991" i="4"/>
  <c r="A1932" i="4"/>
  <c r="A2227" i="4"/>
  <c r="A2218" i="4"/>
  <c r="A2187" i="4"/>
  <c r="A2178" i="4"/>
  <c r="A2132" i="4"/>
  <c r="A2088" i="4"/>
  <c r="A2080" i="4"/>
  <c r="A2063" i="4"/>
  <c r="A1977" i="4"/>
  <c r="A2341" i="4"/>
  <c r="A2331" i="4"/>
  <c r="A2321" i="4"/>
  <c r="A2311" i="4"/>
  <c r="A2301" i="4"/>
  <c r="A2291" i="4"/>
  <c r="A2281" i="4"/>
  <c r="A2271" i="4"/>
  <c r="A2261" i="4"/>
  <c r="A2251" i="4"/>
  <c r="A2240" i="4"/>
  <c r="A2222" i="4"/>
  <c r="A2200" i="4"/>
  <c r="A2182" i="4"/>
  <c r="A2160" i="4"/>
  <c r="A2146" i="4"/>
  <c r="A2053" i="4"/>
  <c r="A2043" i="4"/>
  <c r="A2024" i="4"/>
  <c r="A1973" i="4"/>
  <c r="A1867" i="4"/>
  <c r="A1826" i="4"/>
  <c r="A2112" i="4"/>
  <c r="A2108" i="4"/>
  <c r="A2100" i="4"/>
  <c r="A1996" i="4"/>
  <c r="A1969" i="4"/>
  <c r="A1790" i="4"/>
  <c r="A1782" i="4"/>
  <c r="A2034" i="4"/>
  <c r="A1993" i="4"/>
  <c r="A1949" i="4"/>
  <c r="A1930" i="4"/>
  <c r="A1899" i="4"/>
  <c r="A1887" i="4"/>
  <c r="A1856" i="4"/>
  <c r="A1757" i="4"/>
  <c r="A1746" i="4"/>
  <c r="A1733" i="4"/>
  <c r="A1720" i="4"/>
  <c r="A2119" i="4"/>
  <c r="A2115" i="4"/>
  <c r="A2111" i="4"/>
  <c r="A2107" i="4"/>
  <c r="A2087" i="4"/>
  <c r="A1986" i="4"/>
  <c r="A1777" i="4"/>
  <c r="A2147" i="4"/>
  <c r="A2137" i="4"/>
  <c r="A2103" i="4"/>
  <c r="A2078" i="4"/>
  <c r="A2073" i="4"/>
  <c r="A2067" i="4"/>
  <c r="A2029" i="4"/>
  <c r="A2023" i="4"/>
  <c r="A2017" i="4"/>
  <c r="A2000" i="4"/>
  <c r="A1909" i="4"/>
  <c r="A1800" i="4"/>
  <c r="A1766" i="4"/>
  <c r="A2099" i="4"/>
  <c r="A2095" i="4"/>
  <c r="A2091" i="4"/>
  <c r="A2028" i="4"/>
  <c r="A1967" i="4"/>
  <c r="A1937" i="4"/>
  <c r="A1820" i="4"/>
  <c r="A2056" i="4"/>
  <c r="A2050" i="4"/>
  <c r="A2044" i="4"/>
  <c r="A2006" i="4"/>
  <c r="A1983" i="4"/>
  <c r="A1957" i="4"/>
  <c r="A1919" i="4"/>
  <c r="A1897" i="4"/>
  <c r="A1843" i="4"/>
  <c r="A1832" i="4"/>
  <c r="A1732" i="4"/>
  <c r="A2126" i="4"/>
  <c r="A2114" i="4"/>
  <c r="A2077" i="4"/>
  <c r="A1947" i="4"/>
  <c r="A1916" i="4"/>
  <c r="A1863" i="4"/>
  <c r="A2243" i="4"/>
  <c r="A2233" i="4"/>
  <c r="A2223" i="4"/>
  <c r="A2213" i="4"/>
  <c r="A2203" i="4"/>
  <c r="A2193" i="4"/>
  <c r="A2183" i="4"/>
  <c r="A2173" i="4"/>
  <c r="A2163" i="4"/>
  <c r="A2153" i="4"/>
  <c r="A2143" i="4"/>
  <c r="A2133" i="4"/>
  <c r="A2122" i="4"/>
  <c r="A2118" i="4"/>
  <c r="A2110" i="4"/>
  <c r="A2082" i="4"/>
  <c r="A2039" i="4"/>
  <c r="A2033" i="4"/>
  <c r="A2027" i="4"/>
  <c r="A1992" i="4"/>
  <c r="A1907" i="4"/>
  <c r="A1886" i="4"/>
  <c r="A1787" i="4"/>
  <c r="A1753" i="4"/>
  <c r="A2106" i="4"/>
  <c r="A2094" i="4"/>
  <c r="A2086" i="4"/>
  <c r="A2038" i="4"/>
  <c r="A2004" i="4"/>
  <c r="A1926" i="4"/>
  <c r="A1807" i="4"/>
  <c r="A1776" i="4"/>
  <c r="A1740" i="4"/>
  <c r="A1727" i="4"/>
  <c r="A1962" i="4"/>
  <c r="A1890" i="4"/>
  <c r="A1836" i="4"/>
  <c r="A1817" i="4"/>
  <c r="A1812" i="4"/>
  <c r="A1763" i="4"/>
  <c r="A1737" i="4"/>
  <c r="A1717" i="4"/>
  <c r="A2072" i="4"/>
  <c r="A2062" i="4"/>
  <c r="A2052" i="4"/>
  <c r="A2042" i="4"/>
  <c r="A2032" i="4"/>
  <c r="A2022" i="4"/>
  <c r="A2012" i="4"/>
  <c r="A2002" i="4"/>
  <c r="A1990" i="4"/>
  <c r="A1976" i="4"/>
  <c r="A1971" i="4"/>
  <c r="A1946" i="4"/>
  <c r="A1940" i="4"/>
  <c r="A1902" i="4"/>
  <c r="A1896" i="4"/>
  <c r="A1866" i="4"/>
  <c r="A1847" i="4"/>
  <c r="A1842" i="4"/>
  <c r="A1793" i="4"/>
  <c r="A1956" i="4"/>
  <c r="A1877" i="4"/>
  <c r="A1872" i="4"/>
  <c r="A1823" i="4"/>
  <c r="A1750" i="4"/>
  <c r="A1730" i="4"/>
  <c r="A2085" i="4"/>
  <c r="A2075" i="4"/>
  <c r="A2065" i="4"/>
  <c r="A2055" i="4"/>
  <c r="A2045" i="4"/>
  <c r="A2035" i="4"/>
  <c r="A2025" i="4"/>
  <c r="A2015" i="4"/>
  <c r="A2005" i="4"/>
  <c r="A1980" i="4"/>
  <c r="A1966" i="4"/>
  <c r="A1929" i="4"/>
  <c r="A1923" i="4"/>
  <c r="A1917" i="4"/>
  <c r="A1853" i="4"/>
  <c r="A1780" i="4"/>
  <c r="A1950" i="4"/>
  <c r="A1883" i="4"/>
  <c r="A1810" i="4"/>
  <c r="A1756" i="4"/>
  <c r="A1743" i="4"/>
  <c r="A1723" i="4"/>
  <c r="A1998" i="4"/>
  <c r="A1970" i="4"/>
  <c r="A1960" i="4"/>
  <c r="A1912" i="4"/>
  <c r="A1906" i="4"/>
  <c r="A1900" i="4"/>
  <c r="A1840" i="4"/>
  <c r="A1786" i="4"/>
  <c r="A1767" i="4"/>
  <c r="A1762" i="4"/>
  <c r="A1870" i="4"/>
  <c r="A1816" i="4"/>
  <c r="A1797" i="4"/>
  <c r="A1792" i="4"/>
  <c r="A1736" i="4"/>
  <c r="A1716" i="4"/>
  <c r="A2081" i="4"/>
  <c r="A2071" i="4"/>
  <c r="A2061" i="4"/>
  <c r="A2051" i="4"/>
  <c r="A2041" i="4"/>
  <c r="A2031" i="4"/>
  <c r="A2021" i="4"/>
  <c r="A2011" i="4"/>
  <c r="A2001" i="4"/>
  <c r="A1989" i="4"/>
  <c r="A1939" i="4"/>
  <c r="A1933" i="4"/>
  <c r="A1927" i="4"/>
  <c r="A1846" i="4"/>
  <c r="A1827" i="4"/>
  <c r="A1822" i="4"/>
  <c r="A1773" i="4"/>
  <c r="A1876" i="4"/>
  <c r="A1857" i="4"/>
  <c r="A1852" i="4"/>
  <c r="A1803" i="4"/>
  <c r="A1742" i="4"/>
  <c r="A1722" i="4"/>
  <c r="A1889" i="4"/>
  <c r="A1879" i="4"/>
  <c r="A1869" i="4"/>
  <c r="A1859" i="4"/>
  <c r="A1849" i="4"/>
  <c r="A1839" i="4"/>
  <c r="A1829" i="4"/>
  <c r="A1819" i="4"/>
  <c r="A1809" i="4"/>
  <c r="A1799" i="4"/>
  <c r="A1789" i="4"/>
  <c r="A1779" i="4"/>
  <c r="A1769" i="4"/>
  <c r="A1759" i="4"/>
  <c r="A1749" i="4"/>
  <c r="A1739" i="4"/>
  <c r="A1729" i="4"/>
  <c r="A1719" i="4"/>
  <c r="A1995" i="4"/>
  <c r="A1985" i="4"/>
  <c r="A1975" i="4"/>
  <c r="A1965" i="4"/>
  <c r="A1955" i="4"/>
  <c r="A1945" i="4"/>
  <c r="A1935" i="4"/>
  <c r="A1925" i="4"/>
  <c r="A1915" i="4"/>
  <c r="A1905" i="4"/>
  <c r="A1895" i="4"/>
  <c r="A1885" i="4"/>
  <c r="A1875" i="4"/>
  <c r="A1865" i="4"/>
  <c r="A1855" i="4"/>
  <c r="A1845" i="4"/>
  <c r="A1835" i="4"/>
  <c r="A1825" i="4"/>
  <c r="A1815" i="4"/>
  <c r="A1805" i="4"/>
  <c r="A1795" i="4"/>
  <c r="A1785" i="4"/>
  <c r="A1775" i="4"/>
  <c r="A1765" i="4"/>
  <c r="A1755" i="4"/>
  <c r="A1745" i="4"/>
  <c r="A1735" i="4"/>
  <c r="A1725" i="4"/>
  <c r="A1715" i="4"/>
  <c r="A1988" i="4"/>
  <c r="A1978" i="4"/>
  <c r="A1968" i="4"/>
  <c r="A1958" i="4"/>
  <c r="A1948" i="4"/>
  <c r="A1938" i="4"/>
  <c r="A1928" i="4"/>
  <c r="A1918" i="4"/>
  <c r="A1908" i="4"/>
  <c r="A1898" i="4"/>
  <c r="A1888" i="4"/>
  <c r="A1878" i="4"/>
  <c r="A1868" i="4"/>
  <c r="A1858" i="4"/>
  <c r="A1848" i="4"/>
  <c r="A1838" i="4"/>
  <c r="A1828" i="4"/>
  <c r="A1818" i="4"/>
  <c r="A1808" i="4"/>
  <c r="A1798" i="4"/>
  <c r="A1788" i="4"/>
  <c r="A1778" i="4"/>
  <c r="A1768" i="4"/>
  <c r="A1758" i="4"/>
  <c r="A1748" i="4"/>
  <c r="A1738" i="4"/>
  <c r="A1728" i="4"/>
  <c r="A1718" i="4"/>
  <c r="A1961" i="4"/>
  <c r="A1951" i="4"/>
  <c r="A1941" i="4"/>
  <c r="A1931" i="4"/>
  <c r="A1921" i="4"/>
  <c r="A1911" i="4"/>
  <c r="A1901" i="4"/>
  <c r="A1891" i="4"/>
  <c r="A1881" i="4"/>
  <c r="A1871" i="4"/>
  <c r="A1861" i="4"/>
  <c r="A1851" i="4"/>
  <c r="A1841" i="4"/>
  <c r="A1831" i="4"/>
  <c r="A1821" i="4"/>
  <c r="A1811" i="4"/>
  <c r="A1801" i="4"/>
  <c r="A1791" i="4"/>
  <c r="A1781" i="4"/>
  <c r="A1771" i="4"/>
  <c r="A1761" i="4"/>
  <c r="A1751" i="4"/>
  <c r="A1741" i="4"/>
  <c r="A1731" i="4"/>
  <c r="A1721" i="4"/>
  <c r="A1994" i="4"/>
  <c r="A1984" i="4"/>
  <c r="A1974" i="4"/>
  <c r="A1964" i="4"/>
  <c r="A1954" i="4"/>
  <c r="A1944" i="4"/>
  <c r="A1934" i="4"/>
  <c r="A1924" i="4"/>
  <c r="A1914" i="4"/>
  <c r="A1904" i="4"/>
  <c r="A1894" i="4"/>
  <c r="A1884" i="4"/>
  <c r="A1874" i="4"/>
  <c r="A1864" i="4"/>
  <c r="A1854" i="4"/>
  <c r="A1844" i="4"/>
  <c r="A1834" i="4"/>
  <c r="A1824" i="4"/>
  <c r="A1814" i="4"/>
  <c r="A1804" i="4"/>
  <c r="A1794" i="4"/>
  <c r="A1784" i="4"/>
  <c r="A1774" i="4"/>
  <c r="A1764" i="4"/>
  <c r="A1754" i="4"/>
  <c r="A1744" i="4"/>
  <c r="A1734" i="4"/>
  <c r="A1724" i="4"/>
  <c r="A1714" i="4"/>
  <c r="A1166" i="4"/>
  <c r="A1002" i="4"/>
  <c r="A1419" i="4"/>
  <c r="A1713" i="4"/>
  <c r="A1663" i="4"/>
  <c r="A1613" i="4"/>
  <c r="A1375" i="4"/>
  <c r="A1634" i="4"/>
  <c r="A1583" i="4"/>
  <c r="A1596" i="4"/>
  <c r="A1313" i="4"/>
  <c r="A1673" i="4"/>
  <c r="A1450" i="4"/>
  <c r="A1589" i="4"/>
  <c r="A1562" i="4"/>
  <c r="A1548" i="4"/>
  <c r="A1427" i="4"/>
  <c r="A1575" i="4"/>
  <c r="A1463" i="4"/>
  <c r="A1290" i="4"/>
  <c r="A1600" i="4"/>
  <c r="A1266" i="4"/>
  <c r="A1671" i="4"/>
  <c r="A1190" i="4"/>
  <c r="A1610" i="4"/>
  <c r="A1604" i="4"/>
  <c r="A1567" i="4"/>
  <c r="A1561" i="4"/>
  <c r="A1425" i="4"/>
  <c r="A1701" i="4"/>
  <c r="A1651" i="4"/>
  <c r="A1590" i="4"/>
  <c r="A1429" i="4"/>
  <c r="A1607" i="4"/>
  <c r="A1541" i="4"/>
  <c r="A1513" i="4"/>
  <c r="A1465" i="4"/>
  <c r="A1640" i="4"/>
  <c r="A1512" i="4"/>
  <c r="A1403" i="4"/>
  <c r="A1206" i="4"/>
  <c r="A1661" i="4"/>
  <c r="A1617" i="4"/>
  <c r="A1475" i="4"/>
  <c r="A1706" i="4"/>
  <c r="A1644" i="4"/>
  <c r="A1606" i="4"/>
  <c r="A1348" i="4"/>
  <c r="A1677" i="4"/>
  <c r="A1627" i="4"/>
  <c r="A1110" i="4"/>
  <c r="A1704" i="4"/>
  <c r="A1616" i="4"/>
  <c r="A1449" i="4"/>
  <c r="A1693" i="4"/>
  <c r="A1687" i="4"/>
  <c r="A1681" i="4"/>
  <c r="A1643" i="4"/>
  <c r="A1637" i="4"/>
  <c r="A1631" i="4"/>
  <c r="A1593" i="4"/>
  <c r="A1574" i="4"/>
  <c r="A1537" i="4"/>
  <c r="A1523" i="4"/>
  <c r="A1500" i="4"/>
  <c r="A1435" i="4"/>
  <c r="A1147" i="4"/>
  <c r="A1521" i="4"/>
  <c r="A1707" i="4"/>
  <c r="A1389" i="4"/>
  <c r="A1299" i="4"/>
  <c r="A1335" i="4"/>
  <c r="A1455" i="4"/>
  <c r="A1440" i="4"/>
  <c r="A1711" i="4"/>
  <c r="A1532" i="4"/>
  <c r="A1112" i="4"/>
  <c r="A1694" i="4"/>
  <c r="A1650" i="4"/>
  <c r="A1594" i="4"/>
  <c r="A1553" i="4"/>
  <c r="A1522" i="4"/>
  <c r="A1508" i="4"/>
  <c r="A1482" i="4"/>
  <c r="A1412" i="4"/>
  <c r="A1259" i="4"/>
  <c r="A1243" i="4"/>
  <c r="A1239" i="4"/>
  <c r="A1229" i="4"/>
  <c r="A1676" i="4"/>
  <c r="A1670" i="4"/>
  <c r="A1664" i="4"/>
  <c r="A1626" i="4"/>
  <c r="A1620" i="4"/>
  <c r="A1614" i="4"/>
  <c r="A1586" i="4"/>
  <c r="A1552" i="4"/>
  <c r="A1489" i="4"/>
  <c r="A1480" i="4"/>
  <c r="A1395" i="4"/>
  <c r="A1300" i="4"/>
  <c r="A967" i="4"/>
  <c r="A1565" i="4"/>
  <c r="A1535" i="4"/>
  <c r="A1498" i="4"/>
  <c r="A1406" i="4"/>
  <c r="A1527" i="4"/>
  <c r="A1684" i="4"/>
  <c r="A1276" i="4"/>
  <c r="A1563" i="4"/>
  <c r="A1518" i="4"/>
  <c r="A1367" i="4"/>
  <c r="A1656" i="4"/>
  <c r="A1510" i="4"/>
  <c r="A1413" i="4"/>
  <c r="A1046" i="4"/>
  <c r="A1621" i="4"/>
  <c r="A1493" i="4"/>
  <c r="A1330" i="4"/>
  <c r="A1164" i="4"/>
  <c r="A1710" i="4"/>
  <c r="A1660" i="4"/>
  <c r="A1545" i="4"/>
  <c r="A1517" i="4"/>
  <c r="A1289" i="4"/>
  <c r="A1514" i="4"/>
  <c r="A1457" i="4"/>
  <c r="A1447" i="4"/>
  <c r="A1376" i="4"/>
  <c r="A1019" i="4"/>
  <c r="A1571" i="4"/>
  <c r="A1488" i="4"/>
  <c r="A1012" i="4"/>
  <c r="A1601" i="4"/>
  <c r="A1487" i="4"/>
  <c r="A1405" i="4"/>
  <c r="A1696" i="4"/>
  <c r="A1646" i="4"/>
  <c r="A1069" i="4"/>
  <c r="A1504" i="4"/>
  <c r="A1611" i="4"/>
  <c r="A1570" i="4"/>
  <c r="A1700" i="4"/>
  <c r="A1204" i="4"/>
  <c r="A1554" i="4"/>
  <c r="A1483" i="4"/>
  <c r="A1633" i="4"/>
  <c r="A1587" i="4"/>
  <c r="A1346" i="4"/>
  <c r="A1397" i="4"/>
  <c r="A1666" i="4"/>
  <c r="A1531" i="4"/>
  <c r="A1470" i="4"/>
  <c r="A1703" i="4"/>
  <c r="A1697" i="4"/>
  <c r="A1691" i="4"/>
  <c r="A1653" i="4"/>
  <c r="A1647" i="4"/>
  <c r="A1641" i="4"/>
  <c r="A1558" i="4"/>
  <c r="A1544" i="4"/>
  <c r="A1469" i="4"/>
  <c r="A1017" i="4"/>
  <c r="A1578" i="4"/>
  <c r="A1073" i="4"/>
  <c r="A1690" i="4"/>
  <c r="A1557" i="4"/>
  <c r="A1170" i="4"/>
  <c r="A1667" i="4"/>
  <c r="A1623" i="4"/>
  <c r="A1582" i="4"/>
  <c r="A1540" i="4"/>
  <c r="A1683" i="4"/>
  <c r="A1501" i="4"/>
  <c r="A1363" i="4"/>
  <c r="A1654" i="4"/>
  <c r="A1603" i="4"/>
  <c r="A1597" i="4"/>
  <c r="A1478" i="4"/>
  <c r="A1433" i="4"/>
  <c r="A1355" i="4"/>
  <c r="A1279" i="4"/>
  <c r="A1220" i="4"/>
  <c r="A900" i="4"/>
  <c r="A1657" i="4"/>
  <c r="A1136" i="4"/>
  <c r="A1686" i="4"/>
  <c r="A1680" i="4"/>
  <c r="A1674" i="4"/>
  <c r="A1636" i="4"/>
  <c r="A1630" i="4"/>
  <c r="A1624" i="4"/>
  <c r="A1585" i="4"/>
  <c r="A1550" i="4"/>
  <c r="A1505" i="4"/>
  <c r="A1477" i="4"/>
  <c r="A1443" i="4"/>
  <c r="A1244" i="4"/>
  <c r="A1156" i="4"/>
  <c r="A1096" i="4"/>
  <c r="A1592" i="4"/>
  <c r="A1581" i="4"/>
  <c r="A1530" i="4"/>
  <c r="A1525" i="4"/>
  <c r="A1460" i="4"/>
  <c r="A1417" i="4"/>
  <c r="A1402" i="4"/>
  <c r="A1308" i="4"/>
  <c r="A1285" i="4"/>
  <c r="A1254" i="4"/>
  <c r="A1237" i="4"/>
  <c r="A1709" i="4"/>
  <c r="A1699" i="4"/>
  <c r="A1689" i="4"/>
  <c r="A1679" i="4"/>
  <c r="A1669" i="4"/>
  <c r="A1659" i="4"/>
  <c r="A1649" i="4"/>
  <c r="A1639" i="4"/>
  <c r="A1629" i="4"/>
  <c r="A1619" i="4"/>
  <c r="A1609" i="4"/>
  <c r="A1599" i="4"/>
  <c r="A1577" i="4"/>
  <c r="A1534" i="4"/>
  <c r="A1497" i="4"/>
  <c r="A1468" i="4"/>
  <c r="A1439" i="4"/>
  <c r="A1340" i="4"/>
  <c r="A1319" i="4"/>
  <c r="A1307" i="4"/>
  <c r="A1298" i="4"/>
  <c r="A1179" i="4"/>
  <c r="A1067" i="4"/>
  <c r="A1000" i="4"/>
  <c r="A1588" i="4"/>
  <c r="A1573" i="4"/>
  <c r="A1543" i="4"/>
  <c r="A1538" i="4"/>
  <c r="A1503" i="4"/>
  <c r="A1492" i="4"/>
  <c r="A1467" i="4"/>
  <c r="A1432" i="4"/>
  <c r="A1409" i="4"/>
  <c r="A1390" i="4"/>
  <c r="A1328" i="4"/>
  <c r="A1196" i="4"/>
  <c r="A1029" i="4"/>
  <c r="A957" i="4"/>
  <c r="A1712" i="4"/>
  <c r="A1702" i="4"/>
  <c r="A1692" i="4"/>
  <c r="A1682" i="4"/>
  <c r="A1672" i="4"/>
  <c r="A1662" i="4"/>
  <c r="A1652" i="4"/>
  <c r="A1642" i="4"/>
  <c r="A1632" i="4"/>
  <c r="A1622" i="4"/>
  <c r="A1612" i="4"/>
  <c r="A1602" i="4"/>
  <c r="A1547" i="4"/>
  <c r="A1542" i="4"/>
  <c r="A1507" i="4"/>
  <c r="A1502" i="4"/>
  <c r="A1473" i="4"/>
  <c r="A1466" i="4"/>
  <c r="A1453" i="4"/>
  <c r="A1370" i="4"/>
  <c r="A1349" i="4"/>
  <c r="A1269" i="4"/>
  <c r="A1155" i="4"/>
  <c r="A919" i="4"/>
  <c r="A890" i="4"/>
  <c r="A1595" i="4"/>
  <c r="A1584" i="4"/>
  <c r="A1551" i="4"/>
  <c r="A1511" i="4"/>
  <c r="A1485" i="4"/>
  <c r="A1479" i="4"/>
  <c r="A1423" i="4"/>
  <c r="A1327" i="4"/>
  <c r="A1267" i="4"/>
  <c r="A1705" i="4"/>
  <c r="A1695" i="4"/>
  <c r="A1685" i="4"/>
  <c r="A1675" i="4"/>
  <c r="A1665" i="4"/>
  <c r="A1655" i="4"/>
  <c r="A1645" i="4"/>
  <c r="A1635" i="4"/>
  <c r="A1625" i="4"/>
  <c r="A1615" i="4"/>
  <c r="A1605" i="4"/>
  <c r="A1572" i="4"/>
  <c r="A1568" i="4"/>
  <c r="A1564" i="4"/>
  <c r="A1560" i="4"/>
  <c r="A1555" i="4"/>
  <c r="A1520" i="4"/>
  <c r="A1515" i="4"/>
  <c r="A1445" i="4"/>
  <c r="A1305" i="4"/>
  <c r="A1214" i="4"/>
  <c r="A1089" i="4"/>
  <c r="A1056" i="4"/>
  <c r="A1027" i="4"/>
  <c r="A1591" i="4"/>
  <c r="A1580" i="4"/>
  <c r="A1524" i="4"/>
  <c r="A1491" i="4"/>
  <c r="A1459" i="4"/>
  <c r="A1437" i="4"/>
  <c r="A1415" i="4"/>
  <c r="A1399" i="4"/>
  <c r="A1357" i="4"/>
  <c r="A1336" i="4"/>
  <c r="A1293" i="4"/>
  <c r="A1194" i="4"/>
  <c r="A1115" i="4"/>
  <c r="A1708" i="4"/>
  <c r="A1698" i="4"/>
  <c r="A1688" i="4"/>
  <c r="A1678" i="4"/>
  <c r="A1668" i="4"/>
  <c r="A1658" i="4"/>
  <c r="A1648" i="4"/>
  <c r="A1638" i="4"/>
  <c r="A1628" i="4"/>
  <c r="A1618" i="4"/>
  <c r="A1608" i="4"/>
  <c r="A1598" i="4"/>
  <c r="A1576" i="4"/>
  <c r="A1533" i="4"/>
  <c r="A1528" i="4"/>
  <c r="A1496" i="4"/>
  <c r="A1407" i="4"/>
  <c r="A1398" i="4"/>
  <c r="A1368" i="4"/>
  <c r="A1283" i="4"/>
  <c r="A1152" i="4"/>
  <c r="A917" i="4"/>
  <c r="A1388" i="4"/>
  <c r="A1380" i="4"/>
  <c r="A1353" i="4"/>
  <c r="A1326" i="4"/>
  <c r="A1297" i="4"/>
  <c r="A1274" i="4"/>
  <c r="A1227" i="4"/>
  <c r="A956" i="4"/>
  <c r="A912" i="4"/>
  <c r="A1422" i="4"/>
  <c r="A1386" i="4"/>
  <c r="A1359" i="4"/>
  <c r="A1189" i="4"/>
  <c r="A1177" i="4"/>
  <c r="A1126" i="4"/>
  <c r="A1060" i="4"/>
  <c r="A1040" i="4"/>
  <c r="A889" i="4"/>
  <c r="A1499" i="4"/>
  <c r="A1495" i="4"/>
  <c r="A1486" i="4"/>
  <c r="A1442" i="4"/>
  <c r="A1416" i="4"/>
  <c r="A1393" i="4"/>
  <c r="A1366" i="4"/>
  <c r="A1345" i="4"/>
  <c r="A1339" i="4"/>
  <c r="A1318" i="4"/>
  <c r="A1303" i="4"/>
  <c r="A1250" i="4"/>
  <c r="A1173" i="4"/>
  <c r="A973" i="4"/>
  <c r="A929" i="4"/>
  <c r="A1566" i="4"/>
  <c r="A1556" i="4"/>
  <c r="A1546" i="4"/>
  <c r="A1536" i="4"/>
  <c r="A1526" i="4"/>
  <c r="A1516" i="4"/>
  <c r="A1506" i="4"/>
  <c r="A1490" i="4"/>
  <c r="A1472" i="4"/>
  <c r="A1452" i="4"/>
  <c r="A1426" i="4"/>
  <c r="A1317" i="4"/>
  <c r="A1295" i="4"/>
  <c r="A1280" i="4"/>
  <c r="A1140" i="4"/>
  <c r="A1122" i="4"/>
  <c r="A1057" i="4"/>
  <c r="A1013" i="4"/>
  <c r="A1462" i="4"/>
  <c r="A1436" i="4"/>
  <c r="A1410" i="4"/>
  <c r="A1260" i="4"/>
  <c r="A1187" i="4"/>
  <c r="A1033" i="4"/>
  <c r="A990" i="4"/>
  <c r="A1579" i="4"/>
  <c r="A1569" i="4"/>
  <c r="A1559" i="4"/>
  <c r="A1549" i="4"/>
  <c r="A1539" i="4"/>
  <c r="A1529" i="4"/>
  <c r="A1519" i="4"/>
  <c r="A1509" i="4"/>
  <c r="A1476" i="4"/>
  <c r="A1446" i="4"/>
  <c r="A1420" i="4"/>
  <c r="A1385" i="4"/>
  <c r="A1379" i="4"/>
  <c r="A1358" i="4"/>
  <c r="A1350" i="4"/>
  <c r="A1323" i="4"/>
  <c r="A1309" i="4"/>
  <c r="A1246" i="4"/>
  <c r="A1100" i="4"/>
  <c r="A946" i="4"/>
  <c r="A902" i="4"/>
  <c r="A1456" i="4"/>
  <c r="A1430" i="4"/>
  <c r="A1286" i="4"/>
  <c r="A1234" i="4"/>
  <c r="A927" i="4"/>
  <c r="A883" i="4"/>
  <c r="A1383" i="4"/>
  <c r="A1343" i="4"/>
  <c r="A1288" i="4"/>
  <c r="A1217" i="4"/>
  <c r="A1210" i="4"/>
  <c r="A1184" i="4"/>
  <c r="A1160" i="4"/>
  <c r="A1083" i="4"/>
  <c r="A1023" i="4"/>
  <c r="A983" i="4"/>
  <c r="A1458" i="4"/>
  <c r="A1448" i="4"/>
  <c r="A1438" i="4"/>
  <c r="A1428" i="4"/>
  <c r="A1418" i="4"/>
  <c r="A1408" i="4"/>
  <c r="A1400" i="4"/>
  <c r="A1396" i="4"/>
  <c r="A1387" i="4"/>
  <c r="A1347" i="4"/>
  <c r="A1316" i="4"/>
  <c r="A1287" i="4"/>
  <c r="A1264" i="4"/>
  <c r="A1226" i="4"/>
  <c r="A1167" i="4"/>
  <c r="A1095" i="4"/>
  <c r="A939" i="4"/>
  <c r="A910" i="4"/>
  <c r="A1365" i="4"/>
  <c r="A1356" i="4"/>
  <c r="A1325" i="4"/>
  <c r="A1278" i="4"/>
  <c r="A1240" i="4"/>
  <c r="A1233" i="4"/>
  <c r="A1120" i="4"/>
  <c r="A1079" i="4"/>
  <c r="A1039" i="4"/>
  <c r="A1481" i="4"/>
  <c r="A1471" i="4"/>
  <c r="A1461" i="4"/>
  <c r="A1451" i="4"/>
  <c r="A1441" i="4"/>
  <c r="A1431" i="4"/>
  <c r="A1421" i="4"/>
  <c r="A1411" i="4"/>
  <c r="A1360" i="4"/>
  <c r="A1320" i="4"/>
  <c r="A1306" i="4"/>
  <c r="A1277" i="4"/>
  <c r="A1193" i="4"/>
  <c r="A1146" i="4"/>
  <c r="A1050" i="4"/>
  <c r="A966" i="4"/>
  <c r="A1378" i="4"/>
  <c r="A1369" i="4"/>
  <c r="A1338" i="4"/>
  <c r="A1329" i="4"/>
  <c r="A1256" i="4"/>
  <c r="A1209" i="4"/>
  <c r="A1200" i="4"/>
  <c r="A1176" i="4"/>
  <c r="A1007" i="4"/>
  <c r="A922" i="4"/>
  <c r="A907" i="4"/>
  <c r="A1494" i="4"/>
  <c r="A1484" i="4"/>
  <c r="A1474" i="4"/>
  <c r="A1464" i="4"/>
  <c r="A1454" i="4"/>
  <c r="A1444" i="4"/>
  <c r="A1434" i="4"/>
  <c r="A1424" i="4"/>
  <c r="A1414" i="4"/>
  <c r="A1373" i="4"/>
  <c r="A1333" i="4"/>
  <c r="A1310" i="4"/>
  <c r="A1296" i="4"/>
  <c r="A1105" i="4"/>
  <c r="A1093" i="4"/>
  <c r="A1022" i="4"/>
  <c r="A977" i="4"/>
  <c r="A1377" i="4"/>
  <c r="A1337" i="4"/>
  <c r="A1315" i="4"/>
  <c r="A1270" i="4"/>
  <c r="A1223" i="4"/>
  <c r="A1216" i="4"/>
  <c r="A1183" i="4"/>
  <c r="A1130" i="4"/>
  <c r="A1119" i="4"/>
  <c r="A1077" i="4"/>
  <c r="A1063" i="4"/>
  <c r="A963" i="4"/>
  <c r="A879" i="4"/>
  <c r="A1392" i="4"/>
  <c r="A1382" i="4"/>
  <c r="A1372" i="4"/>
  <c r="A1362" i="4"/>
  <c r="A1352" i="4"/>
  <c r="A1342" i="4"/>
  <c r="A1332" i="4"/>
  <c r="A1322" i="4"/>
  <c r="A1312" i="4"/>
  <c r="A1302" i="4"/>
  <c r="A1292" i="4"/>
  <c r="A1282" i="4"/>
  <c r="A1249" i="4"/>
  <c r="A1199" i="4"/>
  <c r="A1145" i="4"/>
  <c r="A1066" i="4"/>
  <c r="A1010" i="4"/>
  <c r="A1159" i="4"/>
  <c r="A1109" i="4"/>
  <c r="A972" i="4"/>
  <c r="A916" i="4"/>
  <c r="A1258" i="4"/>
  <c r="A1253" i="4"/>
  <c r="A1247" i="4"/>
  <c r="A1203" i="4"/>
  <c r="A1197" i="4"/>
  <c r="A1142" i="4"/>
  <c r="A1116" i="4"/>
  <c r="A1090" i="4"/>
  <c r="A962" i="4"/>
  <c r="A952" i="4"/>
  <c r="A906" i="4"/>
  <c r="A896" i="4"/>
  <c r="A1401" i="4"/>
  <c r="A1391" i="4"/>
  <c r="A1381" i="4"/>
  <c r="A1371" i="4"/>
  <c r="A1361" i="4"/>
  <c r="A1351" i="4"/>
  <c r="A1341" i="4"/>
  <c r="A1331" i="4"/>
  <c r="A1321" i="4"/>
  <c r="A1311" i="4"/>
  <c r="A1301" i="4"/>
  <c r="A1291" i="4"/>
  <c r="A1281" i="4"/>
  <c r="A1268" i="4"/>
  <c r="A1263" i="4"/>
  <c r="A1236" i="4"/>
  <c r="A1230" i="4"/>
  <c r="A1224" i="4"/>
  <c r="A1186" i="4"/>
  <c r="A1180" i="4"/>
  <c r="A1174" i="4"/>
  <c r="A1157" i="4"/>
  <c r="A1150" i="4"/>
  <c r="A1125" i="4"/>
  <c r="A989" i="4"/>
  <c r="A979" i="4"/>
  <c r="A969" i="4"/>
  <c r="A933" i="4"/>
  <c r="A923" i="4"/>
  <c r="A913" i="4"/>
  <c r="A877" i="4"/>
  <c r="A1404" i="4"/>
  <c r="A1394" i="4"/>
  <c r="A1384" i="4"/>
  <c r="A1374" i="4"/>
  <c r="A1364" i="4"/>
  <c r="A1354" i="4"/>
  <c r="A1344" i="4"/>
  <c r="A1334" i="4"/>
  <c r="A1324" i="4"/>
  <c r="A1314" i="4"/>
  <c r="A1304" i="4"/>
  <c r="A1294" i="4"/>
  <c r="A1284" i="4"/>
  <c r="A1273" i="4"/>
  <c r="A1219" i="4"/>
  <c r="A1169" i="4"/>
  <c r="A1132" i="4"/>
  <c r="A1106" i="4"/>
  <c r="A1072" i="4"/>
  <c r="A1016" i="4"/>
  <c r="A960" i="4"/>
  <c r="A1257" i="4"/>
  <c r="A1213" i="4"/>
  <c r="A1207" i="4"/>
  <c r="A1163" i="4"/>
  <c r="A1062" i="4"/>
  <c r="A1052" i="4"/>
  <c r="A1006" i="4"/>
  <c r="A996" i="4"/>
  <c r="A950" i="4"/>
  <c r="A940" i="4"/>
  <c r="A1135" i="4"/>
  <c r="A1099" i="4"/>
  <c r="A1272" i="4"/>
  <c r="A1262" i="4"/>
  <c r="A1252" i="4"/>
  <c r="A1242" i="4"/>
  <c r="A1232" i="4"/>
  <c r="A1222" i="4"/>
  <c r="A1212" i="4"/>
  <c r="A1202" i="4"/>
  <c r="A1192" i="4"/>
  <c r="A1182" i="4"/>
  <c r="A1172" i="4"/>
  <c r="A1162" i="4"/>
  <c r="A1129" i="4"/>
  <c r="A1103" i="4"/>
  <c r="A1087" i="4"/>
  <c r="A1049" i="4"/>
  <c r="A1043" i="4"/>
  <c r="A1037" i="4"/>
  <c r="A999" i="4"/>
  <c r="A993" i="4"/>
  <c r="A987" i="4"/>
  <c r="A949" i="4"/>
  <c r="A943" i="4"/>
  <c r="A937" i="4"/>
  <c r="A899" i="4"/>
  <c r="A893" i="4"/>
  <c r="A887" i="4"/>
  <c r="A1139" i="4"/>
  <c r="A1113" i="4"/>
  <c r="A1275" i="4"/>
  <c r="A1265" i="4"/>
  <c r="A1255" i="4"/>
  <c r="A1245" i="4"/>
  <c r="A1235" i="4"/>
  <c r="A1225" i="4"/>
  <c r="A1215" i="4"/>
  <c r="A1205" i="4"/>
  <c r="A1195" i="4"/>
  <c r="A1185" i="4"/>
  <c r="A1175" i="4"/>
  <c r="A1165" i="4"/>
  <c r="A1149" i="4"/>
  <c r="A1123" i="4"/>
  <c r="A1097" i="4"/>
  <c r="A1082" i="4"/>
  <c r="A1076" i="4"/>
  <c r="A1070" i="4"/>
  <c r="A1032" i="4"/>
  <c r="A1026" i="4"/>
  <c r="A1020" i="4"/>
  <c r="A982" i="4"/>
  <c r="A976" i="4"/>
  <c r="A970" i="4"/>
  <c r="A932" i="4"/>
  <c r="A926" i="4"/>
  <c r="A920" i="4"/>
  <c r="A882" i="4"/>
  <c r="A876" i="4"/>
  <c r="A1133" i="4"/>
  <c r="A1107" i="4"/>
  <c r="A1248" i="4"/>
  <c r="A1238" i="4"/>
  <c r="A1228" i="4"/>
  <c r="A1218" i="4"/>
  <c r="A1208" i="4"/>
  <c r="A1198" i="4"/>
  <c r="A1188" i="4"/>
  <c r="A1178" i="4"/>
  <c r="A1168" i="4"/>
  <c r="A1158" i="4"/>
  <c r="A1143" i="4"/>
  <c r="A1117" i="4"/>
  <c r="A1059" i="4"/>
  <c r="A1053" i="4"/>
  <c r="A1047" i="4"/>
  <c r="A1009" i="4"/>
  <c r="A1003" i="4"/>
  <c r="A997" i="4"/>
  <c r="A959" i="4"/>
  <c r="A953" i="4"/>
  <c r="A947" i="4"/>
  <c r="A909" i="4"/>
  <c r="A903" i="4"/>
  <c r="A897" i="4"/>
  <c r="A1153" i="4"/>
  <c r="A1127" i="4"/>
  <c r="A1092" i="4"/>
  <c r="A1271" i="4"/>
  <c r="A1261" i="4"/>
  <c r="A1251" i="4"/>
  <c r="A1241" i="4"/>
  <c r="A1231" i="4"/>
  <c r="A1221" i="4"/>
  <c r="A1211" i="4"/>
  <c r="A1201" i="4"/>
  <c r="A1191" i="4"/>
  <c r="A1181" i="4"/>
  <c r="A1171" i="4"/>
  <c r="A1161" i="4"/>
  <c r="A1137" i="4"/>
  <c r="A1102" i="4"/>
  <c r="A1086" i="4"/>
  <c r="A1080" i="4"/>
  <c r="A1042" i="4"/>
  <c r="A1036" i="4"/>
  <c r="A1030" i="4"/>
  <c r="A992" i="4"/>
  <c r="A986" i="4"/>
  <c r="A980" i="4"/>
  <c r="A942" i="4"/>
  <c r="A936" i="4"/>
  <c r="A930" i="4"/>
  <c r="A892" i="4"/>
  <c r="A886" i="4"/>
  <c r="A880" i="4"/>
  <c r="A1085" i="4"/>
  <c r="A1075" i="4"/>
  <c r="A1065" i="4"/>
  <c r="A1055" i="4"/>
  <c r="A1045" i="4"/>
  <c r="A1035" i="4"/>
  <c r="A1025" i="4"/>
  <c r="A1015" i="4"/>
  <c r="A1005" i="4"/>
  <c r="A995" i="4"/>
  <c r="A985" i="4"/>
  <c r="A975" i="4"/>
  <c r="A965" i="4"/>
  <c r="A955" i="4"/>
  <c r="A945" i="4"/>
  <c r="A935" i="4"/>
  <c r="A925" i="4"/>
  <c r="A915" i="4"/>
  <c r="A905" i="4"/>
  <c r="A895" i="4"/>
  <c r="A885" i="4"/>
  <c r="A875" i="4"/>
  <c r="A1148" i="4"/>
  <c r="A1138" i="4"/>
  <c r="A1128" i="4"/>
  <c r="A1118" i="4"/>
  <c r="A1108" i="4"/>
  <c r="A1098" i="4"/>
  <c r="A1088" i="4"/>
  <c r="A1078" i="4"/>
  <c r="A1068" i="4"/>
  <c r="A1058" i="4"/>
  <c r="A1048" i="4"/>
  <c r="A1038" i="4"/>
  <c r="A1028" i="4"/>
  <c r="A1018" i="4"/>
  <c r="A1008" i="4"/>
  <c r="A998" i="4"/>
  <c r="A988" i="4"/>
  <c r="A978" i="4"/>
  <c r="A968" i="4"/>
  <c r="A958" i="4"/>
  <c r="A948" i="4"/>
  <c r="A938" i="4"/>
  <c r="A928" i="4"/>
  <c r="A918" i="4"/>
  <c r="A908" i="4"/>
  <c r="A898" i="4"/>
  <c r="A888" i="4"/>
  <c r="A878" i="4"/>
  <c r="A1151" i="4"/>
  <c r="A1141" i="4"/>
  <c r="A1131" i="4"/>
  <c r="A1121" i="4"/>
  <c r="A1111" i="4"/>
  <c r="A1101" i="4"/>
  <c r="A1091" i="4"/>
  <c r="A1081" i="4"/>
  <c r="A1071" i="4"/>
  <c r="A1061" i="4"/>
  <c r="A1051" i="4"/>
  <c r="A1041" i="4"/>
  <c r="A1031" i="4"/>
  <c r="A1021" i="4"/>
  <c r="A1011" i="4"/>
  <c r="A1001" i="4"/>
  <c r="A991" i="4"/>
  <c r="A981" i="4"/>
  <c r="A971" i="4"/>
  <c r="A961" i="4"/>
  <c r="A951" i="4"/>
  <c r="A941" i="4"/>
  <c r="A931" i="4"/>
  <c r="A921" i="4"/>
  <c r="A911" i="4"/>
  <c r="A901" i="4"/>
  <c r="A891" i="4"/>
  <c r="A881" i="4"/>
  <c r="A1154" i="4"/>
  <c r="A1144" i="4"/>
  <c r="A1134" i="4"/>
  <c r="A1124" i="4"/>
  <c r="A1114" i="4"/>
  <c r="A1104" i="4"/>
  <c r="A1094" i="4"/>
  <c r="A1084" i="4"/>
  <c r="A1074" i="4"/>
  <c r="A1064" i="4"/>
  <c r="A1054" i="4"/>
  <c r="A1044" i="4"/>
  <c r="A1034" i="4"/>
  <c r="A1024" i="4"/>
  <c r="A1014" i="4"/>
  <c r="A1004" i="4"/>
  <c r="A994" i="4"/>
  <c r="A984" i="4"/>
  <c r="A974" i="4"/>
  <c r="A964" i="4"/>
  <c r="A954" i="4"/>
  <c r="A944" i="4"/>
  <c r="A934" i="4"/>
  <c r="A924" i="4"/>
  <c r="A914" i="4"/>
  <c r="A904" i="4"/>
  <c r="A894" i="4"/>
  <c r="A884" i="4"/>
  <c r="A874" i="4"/>
  <c r="C22" i="3"/>
  <c r="C71" i="3"/>
  <c r="C61" i="3"/>
  <c r="C51" i="3"/>
  <c r="C41" i="3"/>
  <c r="C31" i="3"/>
  <c r="C21" i="3"/>
  <c r="C11" i="3"/>
  <c r="C70" i="3"/>
  <c r="C60" i="3"/>
  <c r="C50" i="3"/>
  <c r="C40" i="3"/>
  <c r="C30" i="3"/>
  <c r="C20" i="3"/>
  <c r="C10" i="3"/>
  <c r="C59" i="3"/>
  <c r="C39" i="3"/>
  <c r="C29" i="3"/>
  <c r="C9" i="3"/>
  <c r="C69" i="3"/>
  <c r="C49" i="3"/>
  <c r="C19" i="3"/>
  <c r="C68" i="3"/>
  <c r="C58" i="3"/>
  <c r="C48" i="3"/>
  <c r="C38" i="3"/>
  <c r="C28" i="3"/>
  <c r="C18" i="3"/>
  <c r="C8" i="3"/>
  <c r="C42" i="3"/>
  <c r="C27" i="3"/>
  <c r="C66" i="3"/>
  <c r="C56" i="3"/>
  <c r="C46" i="3"/>
  <c r="C36" i="3"/>
  <c r="C26" i="3"/>
  <c r="C16" i="3"/>
  <c r="C6" i="3"/>
  <c r="C67" i="3"/>
  <c r="C57" i="3"/>
  <c r="C65" i="3"/>
  <c r="C55" i="3"/>
  <c r="C45" i="3"/>
  <c r="C35" i="3"/>
  <c r="C25" i="3"/>
  <c r="C15" i="3"/>
  <c r="C5" i="3"/>
  <c r="C32" i="3"/>
  <c r="C47" i="3"/>
  <c r="C17" i="3"/>
  <c r="C64" i="3"/>
  <c r="C54" i="3"/>
  <c r="C44" i="3"/>
  <c r="C34" i="3"/>
  <c r="C24" i="3"/>
  <c r="C14" i="3"/>
  <c r="C4" i="3"/>
  <c r="C62" i="3"/>
  <c r="C52" i="3"/>
  <c r="C12" i="3"/>
  <c r="C7" i="3"/>
  <c r="C37" i="3"/>
  <c r="C63" i="3"/>
  <c r="C53" i="3"/>
  <c r="C43" i="3"/>
  <c r="C33" i="3"/>
  <c r="C23" i="3"/>
  <c r="C13" i="3"/>
  <c r="C3" i="3"/>
  <c r="C2" i="3"/>
  <c r="D751" i="4"/>
  <c r="A831" i="4"/>
  <c r="A686" i="4"/>
  <c r="D863" i="4"/>
  <c r="D726" i="4"/>
  <c r="A830" i="4"/>
  <c r="A786" i="4"/>
  <c r="D681" i="4"/>
  <c r="A636" i="4"/>
  <c r="A612" i="4"/>
  <c r="D843" i="4"/>
  <c r="A662" i="4"/>
  <c r="D864" i="4"/>
  <c r="A821" i="4"/>
  <c r="D616" i="4"/>
  <c r="D873" i="4"/>
  <c r="A749" i="4"/>
  <c r="D839" i="4"/>
  <c r="D829" i="4"/>
  <c r="A767" i="4"/>
  <c r="A822" i="4"/>
  <c r="A679" i="4"/>
  <c r="A861" i="4"/>
  <c r="D869" i="4"/>
  <c r="D801" i="4"/>
  <c r="A761" i="4"/>
  <c r="D739" i="4"/>
  <c r="A652" i="4"/>
  <c r="A629" i="4"/>
  <c r="A604" i="4"/>
  <c r="A866" i="4"/>
  <c r="A812" i="4"/>
  <c r="D828" i="4"/>
  <c r="A872" i="4"/>
  <c r="A802" i="4"/>
  <c r="A826" i="4"/>
  <c r="D814" i="4"/>
  <c r="A627" i="4"/>
  <c r="D666" i="4"/>
  <c r="A641" i="4"/>
  <c r="D848" i="4"/>
  <c r="A784" i="4"/>
  <c r="A759" i="4"/>
  <c r="A712" i="4"/>
  <c r="D619" i="4"/>
  <c r="A865" i="4"/>
  <c r="A711" i="4"/>
  <c r="A654" i="4"/>
  <c r="A702" i="4"/>
  <c r="D719" i="4"/>
  <c r="A835" i="4"/>
  <c r="A825" i="4"/>
  <c r="D776" i="4"/>
  <c r="A736" i="4"/>
  <c r="D669" i="4"/>
  <c r="D644" i="4"/>
  <c r="A752" i="4"/>
  <c r="A855" i="4"/>
  <c r="A817" i="4"/>
  <c r="D784" i="4"/>
  <c r="A851" i="4"/>
  <c r="A806" i="4"/>
  <c r="D764" i="4"/>
  <c r="D756" i="4"/>
  <c r="A691" i="4"/>
  <c r="A810" i="4"/>
  <c r="A727" i="4"/>
  <c r="A677" i="4"/>
  <c r="D676" i="4"/>
  <c r="A857" i="4"/>
  <c r="D834" i="4"/>
  <c r="D734" i="4"/>
  <c r="A716" i="4"/>
  <c r="D684" i="4"/>
  <c r="A661" i="4"/>
  <c r="D868" i="4"/>
  <c r="A852" i="4"/>
  <c r="D838" i="4"/>
  <c r="A709" i="4"/>
  <c r="D651" i="4"/>
  <c r="D634" i="4"/>
  <c r="A860" i="4"/>
  <c r="D824" i="4"/>
  <c r="A820" i="4"/>
  <c r="A791" i="4"/>
  <c r="D766" i="4"/>
  <c r="A717" i="4"/>
  <c r="D601" i="4"/>
  <c r="A856" i="4"/>
  <c r="D833" i="4"/>
  <c r="D781" i="4"/>
  <c r="A741" i="4"/>
  <c r="A684" i="4"/>
  <c r="A667" i="4"/>
  <c r="A609" i="4"/>
  <c r="D701" i="4"/>
  <c r="D626" i="4"/>
  <c r="A602" i="4"/>
  <c r="A807" i="4"/>
  <c r="A734" i="4"/>
  <c r="A611" i="4"/>
  <c r="A816" i="4"/>
  <c r="A659" i="4"/>
  <c r="D859" i="4"/>
  <c r="A847" i="4"/>
  <c r="D819" i="4"/>
  <c r="A815" i="4"/>
  <c r="A811" i="4"/>
  <c r="A799" i="4"/>
  <c r="D789" i="4"/>
  <c r="A766" i="4"/>
  <c r="D731" i="4"/>
  <c r="D716" i="4"/>
  <c r="A634" i="4"/>
  <c r="A617" i="4"/>
  <c r="A842" i="4"/>
  <c r="A699" i="4"/>
  <c r="D714" i="4"/>
  <c r="A649" i="4"/>
  <c r="D858" i="4"/>
  <c r="A846" i="4"/>
  <c r="A837" i="4"/>
  <c r="D818" i="4"/>
  <c r="D771" i="4"/>
  <c r="A747" i="4"/>
  <c r="A731" i="4"/>
  <c r="A722" i="4"/>
  <c r="D664" i="4"/>
  <c r="D606" i="4"/>
  <c r="A599" i="4"/>
  <c r="D823" i="4"/>
  <c r="A666" i="4"/>
  <c r="D854" i="4"/>
  <c r="A797" i="4"/>
  <c r="A867" i="4"/>
  <c r="D849" i="4"/>
  <c r="A804" i="4"/>
  <c r="A672" i="4"/>
  <c r="D614" i="4"/>
  <c r="D631" i="4"/>
  <c r="A871" i="4"/>
  <c r="A832" i="4"/>
  <c r="D813" i="4"/>
  <c r="D794" i="4"/>
  <c r="D721" i="4"/>
  <c r="A697" i="4"/>
  <c r="A681" i="4"/>
  <c r="A622" i="4"/>
  <c r="D706" i="4"/>
  <c r="A850" i="4"/>
  <c r="D809" i="4"/>
  <c r="A781" i="4"/>
  <c r="D656" i="4"/>
  <c r="D639" i="4"/>
  <c r="A845" i="4"/>
  <c r="A841" i="4"/>
  <c r="D803" i="4"/>
  <c r="A754" i="4"/>
  <c r="D744" i="4"/>
  <c r="D671" i="4"/>
  <c r="A647" i="4"/>
  <c r="A631" i="4"/>
  <c r="D853" i="4"/>
  <c r="A827" i="4"/>
  <c r="D808" i="4"/>
  <c r="A779" i="4"/>
  <c r="D769" i="4"/>
  <c r="A762" i="4"/>
  <c r="D621" i="4"/>
  <c r="A597" i="4"/>
  <c r="A772" i="4"/>
  <c r="D689" i="4"/>
  <c r="A616" i="4"/>
  <c r="A870" i="4"/>
  <c r="A862" i="4"/>
  <c r="D844" i="4"/>
  <c r="A840" i="4"/>
  <c r="A836" i="4"/>
  <c r="A777" i="4"/>
  <c r="A729" i="4"/>
  <c r="A704" i="4"/>
  <c r="D694" i="4"/>
  <c r="D871" i="4"/>
  <c r="D866" i="4"/>
  <c r="D861" i="4"/>
  <c r="D856" i="4"/>
  <c r="D851" i="4"/>
  <c r="D846" i="4"/>
  <c r="D841" i="4"/>
  <c r="D836" i="4"/>
  <c r="D831" i="4"/>
  <c r="D826" i="4"/>
  <c r="D821" i="4"/>
  <c r="D816" i="4"/>
  <c r="D811" i="4"/>
  <c r="D806" i="4"/>
  <c r="A794" i="4"/>
  <c r="D779" i="4"/>
  <c r="A776" i="4"/>
  <c r="A744" i="4"/>
  <c r="D729" i="4"/>
  <c r="A726" i="4"/>
  <c r="A694" i="4"/>
  <c r="D679" i="4"/>
  <c r="A676" i="4"/>
  <c r="A644" i="4"/>
  <c r="D629" i="4"/>
  <c r="A626" i="4"/>
  <c r="D761" i="4"/>
  <c r="A757" i="4"/>
  <c r="D711" i="4"/>
  <c r="A707" i="4"/>
  <c r="D661" i="4"/>
  <c r="A657" i="4"/>
  <c r="D611" i="4"/>
  <c r="A607" i="4"/>
  <c r="A869" i="4"/>
  <c r="A864" i="4"/>
  <c r="A859" i="4"/>
  <c r="A854" i="4"/>
  <c r="A849" i="4"/>
  <c r="A844" i="4"/>
  <c r="A839" i="4"/>
  <c r="A834" i="4"/>
  <c r="A829" i="4"/>
  <c r="A824" i="4"/>
  <c r="A819" i="4"/>
  <c r="A814" i="4"/>
  <c r="A809" i="4"/>
  <c r="A789" i="4"/>
  <c r="D774" i="4"/>
  <c r="A771" i="4"/>
  <c r="A739" i="4"/>
  <c r="D724" i="4"/>
  <c r="A721" i="4"/>
  <c r="A689" i="4"/>
  <c r="D674" i="4"/>
  <c r="A671" i="4"/>
  <c r="A639" i="4"/>
  <c r="D624" i="4"/>
  <c r="A621" i="4"/>
  <c r="A792" i="4"/>
  <c r="D870" i="4"/>
  <c r="D865" i="4"/>
  <c r="D860" i="4"/>
  <c r="D855" i="4"/>
  <c r="D850" i="4"/>
  <c r="D845" i="4"/>
  <c r="D840" i="4"/>
  <c r="D835" i="4"/>
  <c r="D830" i="4"/>
  <c r="D825" i="4"/>
  <c r="D820" i="4"/>
  <c r="D815" i="4"/>
  <c r="D810" i="4"/>
  <c r="A774" i="4"/>
  <c r="D759" i="4"/>
  <c r="A756" i="4"/>
  <c r="A724" i="4"/>
  <c r="D709" i="4"/>
  <c r="A706" i="4"/>
  <c r="A674" i="4"/>
  <c r="D659" i="4"/>
  <c r="A656" i="4"/>
  <c r="A624" i="4"/>
  <c r="D609" i="4"/>
  <c r="A606" i="4"/>
  <c r="D596" i="4"/>
  <c r="D804" i="4"/>
  <c r="D791" i="4"/>
  <c r="A787" i="4"/>
  <c r="D741" i="4"/>
  <c r="A737" i="4"/>
  <c r="D691" i="4"/>
  <c r="A687" i="4"/>
  <c r="D641" i="4"/>
  <c r="A637" i="4"/>
  <c r="D796" i="4"/>
  <c r="D746" i="4"/>
  <c r="D696" i="4"/>
  <c r="A642" i="4"/>
  <c r="A873" i="4"/>
  <c r="A868" i="4"/>
  <c r="A863" i="4"/>
  <c r="A858" i="4"/>
  <c r="A853" i="4"/>
  <c r="A848" i="4"/>
  <c r="A843" i="4"/>
  <c r="A838" i="4"/>
  <c r="A833" i="4"/>
  <c r="A828" i="4"/>
  <c r="A823" i="4"/>
  <c r="A818" i="4"/>
  <c r="A813" i="4"/>
  <c r="A808" i="4"/>
  <c r="A801" i="4"/>
  <c r="A769" i="4"/>
  <c r="D754" i="4"/>
  <c r="A751" i="4"/>
  <c r="A719" i="4"/>
  <c r="D704" i="4"/>
  <c r="A701" i="4"/>
  <c r="A669" i="4"/>
  <c r="D654" i="4"/>
  <c r="A651" i="4"/>
  <c r="A619" i="4"/>
  <c r="D604" i="4"/>
  <c r="A601" i="4"/>
  <c r="D786" i="4"/>
  <c r="A782" i="4"/>
  <c r="D736" i="4"/>
  <c r="A732" i="4"/>
  <c r="D686" i="4"/>
  <c r="A682" i="4"/>
  <c r="D636" i="4"/>
  <c r="A632" i="4"/>
  <c r="A742" i="4"/>
  <c r="A692" i="4"/>
  <c r="D646" i="4"/>
  <c r="D872" i="4"/>
  <c r="D867" i="4"/>
  <c r="D862" i="4"/>
  <c r="D857" i="4"/>
  <c r="D852" i="4"/>
  <c r="D847" i="4"/>
  <c r="D842" i="4"/>
  <c r="D837" i="4"/>
  <c r="D832" i="4"/>
  <c r="D827" i="4"/>
  <c r="D822" i="4"/>
  <c r="D817" i="4"/>
  <c r="D812" i="4"/>
  <c r="D807" i="4"/>
  <c r="D799" i="4"/>
  <c r="A796" i="4"/>
  <c r="A764" i="4"/>
  <c r="D749" i="4"/>
  <c r="A746" i="4"/>
  <c r="A714" i="4"/>
  <c r="D699" i="4"/>
  <c r="A696" i="4"/>
  <c r="A664" i="4"/>
  <c r="D649" i="4"/>
  <c r="A646" i="4"/>
  <c r="A614" i="4"/>
  <c r="D599" i="4"/>
  <c r="A596" i="4"/>
  <c r="D798" i="4"/>
  <c r="D793" i="4"/>
  <c r="D788" i="4"/>
  <c r="D783" i="4"/>
  <c r="D778" i="4"/>
  <c r="D773" i="4"/>
  <c r="D768" i="4"/>
  <c r="D763" i="4"/>
  <c r="D758" i="4"/>
  <c r="D753" i="4"/>
  <c r="D748" i="4"/>
  <c r="D743" i="4"/>
  <c r="D738" i="4"/>
  <c r="D733" i="4"/>
  <c r="D728" i="4"/>
  <c r="D723" i="4"/>
  <c r="D718" i="4"/>
  <c r="D713" i="4"/>
  <c r="D708" i="4"/>
  <c r="D703" i="4"/>
  <c r="D698" i="4"/>
  <c r="D693" i="4"/>
  <c r="D688" i="4"/>
  <c r="D683" i="4"/>
  <c r="D678" i="4"/>
  <c r="D673" i="4"/>
  <c r="D668" i="4"/>
  <c r="D663" i="4"/>
  <c r="D658" i="4"/>
  <c r="D653" i="4"/>
  <c r="D648" i="4"/>
  <c r="D643" i="4"/>
  <c r="D638" i="4"/>
  <c r="D633" i="4"/>
  <c r="D628" i="4"/>
  <c r="D623" i="4"/>
  <c r="D618" i="4"/>
  <c r="D613" i="4"/>
  <c r="D608" i="4"/>
  <c r="D603" i="4"/>
  <c r="D598" i="4"/>
  <c r="D805" i="4"/>
  <c r="D800" i="4"/>
  <c r="D795" i="4"/>
  <c r="D790" i="4"/>
  <c r="D785" i="4"/>
  <c r="D780" i="4"/>
  <c r="D775" i="4"/>
  <c r="D770" i="4"/>
  <c r="D765" i="4"/>
  <c r="D760" i="4"/>
  <c r="D755" i="4"/>
  <c r="D750" i="4"/>
  <c r="D745" i="4"/>
  <c r="D740" i="4"/>
  <c r="D735" i="4"/>
  <c r="D730" i="4"/>
  <c r="D725" i="4"/>
  <c r="D720" i="4"/>
  <c r="D715" i="4"/>
  <c r="D710" i="4"/>
  <c r="D705" i="4"/>
  <c r="D700" i="4"/>
  <c r="D695" i="4"/>
  <c r="D690" i="4"/>
  <c r="D685" i="4"/>
  <c r="D680" i="4"/>
  <c r="D675" i="4"/>
  <c r="D670" i="4"/>
  <c r="D665" i="4"/>
  <c r="D660" i="4"/>
  <c r="D655" i="4"/>
  <c r="D650" i="4"/>
  <c r="D645" i="4"/>
  <c r="D640" i="4"/>
  <c r="D635" i="4"/>
  <c r="D630" i="4"/>
  <c r="D625" i="4"/>
  <c r="D620" i="4"/>
  <c r="D615" i="4"/>
  <c r="D610" i="4"/>
  <c r="D605" i="4"/>
  <c r="D600" i="4"/>
  <c r="D595" i="4"/>
  <c r="A803" i="4"/>
  <c r="A798" i="4"/>
  <c r="A793" i="4"/>
  <c r="A788" i="4"/>
  <c r="A783" i="4"/>
  <c r="A778" i="4"/>
  <c r="A773" i="4"/>
  <c r="A768" i="4"/>
  <c r="A763" i="4"/>
  <c r="A758" i="4"/>
  <c r="A753" i="4"/>
  <c r="A748" i="4"/>
  <c r="A743" i="4"/>
  <c r="A738" i="4"/>
  <c r="A733" i="4"/>
  <c r="A728" i="4"/>
  <c r="A723" i="4"/>
  <c r="A718" i="4"/>
  <c r="A713" i="4"/>
  <c r="A708" i="4"/>
  <c r="A703" i="4"/>
  <c r="A698" i="4"/>
  <c r="A693" i="4"/>
  <c r="A688" i="4"/>
  <c r="A683" i="4"/>
  <c r="A678" i="4"/>
  <c r="A673" i="4"/>
  <c r="A668" i="4"/>
  <c r="A663" i="4"/>
  <c r="A658" i="4"/>
  <c r="A653" i="4"/>
  <c r="A648" i="4"/>
  <c r="A643" i="4"/>
  <c r="A638" i="4"/>
  <c r="A633" i="4"/>
  <c r="A628" i="4"/>
  <c r="A623" i="4"/>
  <c r="A618" i="4"/>
  <c r="A613" i="4"/>
  <c r="A608" i="4"/>
  <c r="A603" i="4"/>
  <c r="A598" i="4"/>
  <c r="D802" i="4"/>
  <c r="D797" i="4"/>
  <c r="D792" i="4"/>
  <c r="D787" i="4"/>
  <c r="D782" i="4"/>
  <c r="D777" i="4"/>
  <c r="D772" i="4"/>
  <c r="D767" i="4"/>
  <c r="D762" i="4"/>
  <c r="D757" i="4"/>
  <c r="D752" i="4"/>
  <c r="D747" i="4"/>
  <c r="D742" i="4"/>
  <c r="D737" i="4"/>
  <c r="D732" i="4"/>
  <c r="D727" i="4"/>
  <c r="D722" i="4"/>
  <c r="D717" i="4"/>
  <c r="D712" i="4"/>
  <c r="D707" i="4"/>
  <c r="D702" i="4"/>
  <c r="D697" i="4"/>
  <c r="D692" i="4"/>
  <c r="D687" i="4"/>
  <c r="D682" i="4"/>
  <c r="D677" i="4"/>
  <c r="D672" i="4"/>
  <c r="D667" i="4"/>
  <c r="D662" i="4"/>
  <c r="D657" i="4"/>
  <c r="D652" i="4"/>
  <c r="D647" i="4"/>
  <c r="D642" i="4"/>
  <c r="D637" i="4"/>
  <c r="D632" i="4"/>
  <c r="D627" i="4"/>
  <c r="D622" i="4"/>
  <c r="D617" i="4"/>
  <c r="D612" i="4"/>
  <c r="D607" i="4"/>
  <c r="D602" i="4"/>
  <c r="D597" i="4"/>
  <c r="A805" i="4"/>
  <c r="A800" i="4"/>
  <c r="A795" i="4"/>
  <c r="A790" i="4"/>
  <c r="A785" i="4"/>
  <c r="A780" i="4"/>
  <c r="A775" i="4"/>
  <c r="A770" i="4"/>
  <c r="A765" i="4"/>
  <c r="A760" i="4"/>
  <c r="A755" i="4"/>
  <c r="A750" i="4"/>
  <c r="A745" i="4"/>
  <c r="A740" i="4"/>
  <c r="A735" i="4"/>
  <c r="A730" i="4"/>
  <c r="A725" i="4"/>
  <c r="A720" i="4"/>
  <c r="A715" i="4"/>
  <c r="A710" i="4"/>
  <c r="A705" i="4"/>
  <c r="A700" i="4"/>
  <c r="A695" i="4"/>
  <c r="A690" i="4"/>
  <c r="A685" i="4"/>
  <c r="A680" i="4"/>
  <c r="A675" i="4"/>
  <c r="A670" i="4"/>
  <c r="A665" i="4"/>
  <c r="A660" i="4"/>
  <c r="A655" i="4"/>
  <c r="A650" i="4"/>
  <c r="A645" i="4"/>
  <c r="A640" i="4"/>
  <c r="A635" i="4"/>
  <c r="A630" i="4"/>
  <c r="A625" i="4"/>
  <c r="A620" i="4"/>
  <c r="A615" i="4"/>
  <c r="A610" i="4"/>
  <c r="A605" i="4"/>
  <c r="A600" i="4"/>
  <c r="A595" i="4"/>
  <c r="A591" i="4"/>
  <c r="A572" i="4"/>
  <c r="A557" i="4"/>
  <c r="A122" i="4"/>
  <c r="A571" i="4"/>
  <c r="A141" i="4"/>
  <c r="A551" i="4"/>
  <c r="A440" i="4"/>
  <c r="A360" i="4"/>
  <c r="A280" i="4"/>
  <c r="A220" i="4"/>
  <c r="A20" i="4"/>
  <c r="A569" i="4"/>
  <c r="A512" i="4"/>
  <c r="A379" i="4"/>
  <c r="A59" i="4"/>
  <c r="A549" i="4"/>
  <c r="A530" i="4"/>
  <c r="A511" i="4"/>
  <c r="A492" i="4"/>
  <c r="A477" i="4"/>
  <c r="A102" i="4"/>
  <c r="A461" i="4"/>
  <c r="A421" i="4"/>
  <c r="A381" i="4"/>
  <c r="A361" i="4"/>
  <c r="A321" i="4"/>
  <c r="A281" i="4"/>
  <c r="A261" i="4"/>
  <c r="A241" i="4"/>
  <c r="A221" i="4"/>
  <c r="A201" i="4"/>
  <c r="A161" i="4"/>
  <c r="A420" i="4"/>
  <c r="A340" i="4"/>
  <c r="A240" i="4"/>
  <c r="A60" i="4"/>
  <c r="A550" i="4"/>
  <c r="A497" i="4"/>
  <c r="A439" i="4"/>
  <c r="A419" i="4"/>
  <c r="A359" i="4"/>
  <c r="A319" i="4"/>
  <c r="A279" i="4"/>
  <c r="A239" i="4"/>
  <c r="A199" i="4"/>
  <c r="A159" i="4"/>
  <c r="A99" i="4"/>
  <c r="A19" i="4"/>
  <c r="A582" i="4"/>
  <c r="A567" i="4"/>
  <c r="A457" i="4"/>
  <c r="A437" i="4"/>
  <c r="A417" i="4"/>
  <c r="A397" i="4"/>
  <c r="A377" i="4"/>
  <c r="A357" i="4"/>
  <c r="A337" i="4"/>
  <c r="A317" i="4"/>
  <c r="A297" i="4"/>
  <c r="A277" i="4"/>
  <c r="A257" i="4"/>
  <c r="A237" i="4"/>
  <c r="A217" i="4"/>
  <c r="A197" i="4"/>
  <c r="A177" i="4"/>
  <c r="A157" i="4"/>
  <c r="A137" i="4"/>
  <c r="A117" i="4"/>
  <c r="A97" i="4"/>
  <c r="A77" i="4"/>
  <c r="A57" i="4"/>
  <c r="A37" i="4"/>
  <c r="A17" i="4"/>
  <c r="A42" i="4"/>
  <c r="A552" i="4"/>
  <c r="A499" i="4"/>
  <c r="A121" i="4"/>
  <c r="A479" i="4"/>
  <c r="A400" i="4"/>
  <c r="A320" i="4"/>
  <c r="A260" i="4"/>
  <c r="A200" i="4"/>
  <c r="A40" i="4"/>
  <c r="A531" i="4"/>
  <c r="A587" i="4"/>
  <c r="A459" i="4"/>
  <c r="A399" i="4"/>
  <c r="A339" i="4"/>
  <c r="A299" i="4"/>
  <c r="A259" i="4"/>
  <c r="A219" i="4"/>
  <c r="A179" i="4"/>
  <c r="A139" i="4"/>
  <c r="A119" i="4"/>
  <c r="A79" i="4"/>
  <c r="A39" i="4"/>
  <c r="A529" i="4"/>
  <c r="A510" i="4"/>
  <c r="A491" i="4"/>
  <c r="A472" i="4"/>
  <c r="A62" i="4"/>
  <c r="A401" i="4"/>
  <c r="A181" i="4"/>
  <c r="A140" i="4"/>
  <c r="A562" i="4"/>
  <c r="A547" i="4"/>
  <c r="A452" i="4"/>
  <c r="A432" i="4"/>
  <c r="A412" i="4"/>
  <c r="A392" i="4"/>
  <c r="A372" i="4"/>
  <c r="A352" i="4"/>
  <c r="A332" i="4"/>
  <c r="A312" i="4"/>
  <c r="A292" i="4"/>
  <c r="A272" i="4"/>
  <c r="A252" i="4"/>
  <c r="A232" i="4"/>
  <c r="A212" i="4"/>
  <c r="A192" i="4"/>
  <c r="A172" i="4"/>
  <c r="A152" i="4"/>
  <c r="A132" i="4"/>
  <c r="A112" i="4"/>
  <c r="A92" i="4"/>
  <c r="A72" i="4"/>
  <c r="A52" i="4"/>
  <c r="A32" i="4"/>
  <c r="A12" i="4"/>
  <c r="A509" i="4"/>
  <c r="A490" i="4"/>
  <c r="A471" i="4"/>
  <c r="A481" i="4"/>
  <c r="A462" i="4"/>
  <c r="A422" i="4"/>
  <c r="A382" i="4"/>
  <c r="A342" i="4"/>
  <c r="A282" i="4"/>
  <c r="A262" i="4"/>
  <c r="A242" i="4"/>
  <c r="A202" i="4"/>
  <c r="A82" i="4"/>
  <c r="A590" i="4"/>
  <c r="A537" i="4"/>
  <c r="A21" i="4"/>
  <c r="A120" i="4"/>
  <c r="A580" i="4"/>
  <c r="A527" i="4"/>
  <c r="A451" i="4"/>
  <c r="A411" i="4"/>
  <c r="A371" i="4"/>
  <c r="A331" i="4"/>
  <c r="A311" i="4"/>
  <c r="A271" i="4"/>
  <c r="A231" i="4"/>
  <c r="A211" i="4"/>
  <c r="A171" i="4"/>
  <c r="A151" i="4"/>
  <c r="A131" i="4"/>
  <c r="A111" i="4"/>
  <c r="A11" i="4"/>
  <c r="A470" i="4"/>
  <c r="A579" i="4"/>
  <c r="A560" i="4"/>
  <c r="A541" i="4"/>
  <c r="A522" i="4"/>
  <c r="A507" i="4"/>
  <c r="A450" i="4"/>
  <c r="A430" i="4"/>
  <c r="A410" i="4"/>
  <c r="A390" i="4"/>
  <c r="A370" i="4"/>
  <c r="A350" i="4"/>
  <c r="A330" i="4"/>
  <c r="A310" i="4"/>
  <c r="A290" i="4"/>
  <c r="A270" i="4"/>
  <c r="A250" i="4"/>
  <c r="A230" i="4"/>
  <c r="A210" i="4"/>
  <c r="A190" i="4"/>
  <c r="A170" i="4"/>
  <c r="A150" i="4"/>
  <c r="A130" i="4"/>
  <c r="A110" i="4"/>
  <c r="A90" i="4"/>
  <c r="A70" i="4"/>
  <c r="A50" i="4"/>
  <c r="A30" i="4"/>
  <c r="A10" i="4"/>
  <c r="A402" i="4"/>
  <c r="A162" i="4"/>
  <c r="A441" i="4"/>
  <c r="A301" i="4"/>
  <c r="A101" i="4"/>
  <c r="A517" i="4"/>
  <c r="A180" i="4"/>
  <c r="A71" i="4"/>
  <c r="A469" i="4"/>
  <c r="A182" i="4"/>
  <c r="A81" i="4"/>
  <c r="A589" i="4"/>
  <c r="A460" i="4"/>
  <c r="A300" i="4"/>
  <c r="A80" i="4"/>
  <c r="A542" i="4"/>
  <c r="A391" i="4"/>
  <c r="A251" i="4"/>
  <c r="A51" i="4"/>
  <c r="A559" i="4"/>
  <c r="A540" i="4"/>
  <c r="A521" i="4"/>
  <c r="A502" i="4"/>
  <c r="A487" i="4"/>
  <c r="A449" i="4"/>
  <c r="A429" i="4"/>
  <c r="A409" i="4"/>
  <c r="A389" i="4"/>
  <c r="A369" i="4"/>
  <c r="A349" i="4"/>
  <c r="A329" i="4"/>
  <c r="A309" i="4"/>
  <c r="A289" i="4"/>
  <c r="A269" i="4"/>
  <c r="A249" i="4"/>
  <c r="A229" i="4"/>
  <c r="A209" i="4"/>
  <c r="A189" i="4"/>
  <c r="A169" i="4"/>
  <c r="A149" i="4"/>
  <c r="A129" i="4"/>
  <c r="A109" i="4"/>
  <c r="A89" i="4"/>
  <c r="A69" i="4"/>
  <c r="A49" i="4"/>
  <c r="A29" i="4"/>
  <c r="A9" i="4"/>
  <c r="A500" i="4"/>
  <c r="A322" i="4"/>
  <c r="A22" i="4"/>
  <c r="A480" i="4"/>
  <c r="A341" i="4"/>
  <c r="A41" i="4"/>
  <c r="A532" i="4"/>
  <c r="A160" i="4"/>
  <c r="A91" i="4"/>
  <c r="A592" i="4"/>
  <c r="A577" i="4"/>
  <c r="A519" i="4"/>
  <c r="A442" i="4"/>
  <c r="A362" i="4"/>
  <c r="A302" i="4"/>
  <c r="A222" i="4"/>
  <c r="A142" i="4"/>
  <c r="A61" i="4"/>
  <c r="A570" i="4"/>
  <c r="A380" i="4"/>
  <c r="A100" i="4"/>
  <c r="A581" i="4"/>
  <c r="A561" i="4"/>
  <c r="A431" i="4"/>
  <c r="A351" i="4"/>
  <c r="A291" i="4"/>
  <c r="A191" i="4"/>
  <c r="A31" i="4"/>
  <c r="A489" i="4"/>
  <c r="A539" i="4"/>
  <c r="A520" i="4"/>
  <c r="A501" i="4"/>
  <c r="A482" i="4"/>
  <c r="A467" i="4"/>
  <c r="A447" i="4"/>
  <c r="A427" i="4"/>
  <c r="A407" i="4"/>
  <c r="A387" i="4"/>
  <c r="A367" i="4"/>
  <c r="A347" i="4"/>
  <c r="A327" i="4"/>
  <c r="A307" i="4"/>
  <c r="A287" i="4"/>
  <c r="A267" i="4"/>
  <c r="A247" i="4"/>
  <c r="A227" i="4"/>
  <c r="A207" i="4"/>
  <c r="A187" i="4"/>
  <c r="A167" i="4"/>
  <c r="A147" i="4"/>
  <c r="A127" i="4"/>
  <c r="A107" i="4"/>
  <c r="A87" i="4"/>
  <c r="A67" i="4"/>
  <c r="A47" i="4"/>
  <c r="A27" i="4"/>
  <c r="A7" i="4"/>
  <c r="A588" i="4"/>
  <c r="A578" i="4"/>
  <c r="A568" i="4"/>
  <c r="A558" i="4"/>
  <c r="A548" i="4"/>
  <c r="A538" i="4"/>
  <c r="A528" i="4"/>
  <c r="A518" i="4"/>
  <c r="A508" i="4"/>
  <c r="A498" i="4"/>
  <c r="A488" i="4"/>
  <c r="A478" i="4"/>
  <c r="A468" i="4"/>
  <c r="A458" i="4"/>
  <c r="A448" i="4"/>
  <c r="A438" i="4"/>
  <c r="A428" i="4"/>
  <c r="A418" i="4"/>
  <c r="A408" i="4"/>
  <c r="A398" i="4"/>
  <c r="A388" i="4"/>
  <c r="A378" i="4"/>
  <c r="A368" i="4"/>
  <c r="A358" i="4"/>
  <c r="A348" i="4"/>
  <c r="A338" i="4"/>
  <c r="A328" i="4"/>
  <c r="A318" i="4"/>
  <c r="A308" i="4"/>
  <c r="A298" i="4"/>
  <c r="A288" i="4"/>
  <c r="A278" i="4"/>
  <c r="A268" i="4"/>
  <c r="A258" i="4"/>
  <c r="A248" i="4"/>
  <c r="A238" i="4"/>
  <c r="A228" i="4"/>
  <c r="A218" i="4"/>
  <c r="A208" i="4"/>
  <c r="A198" i="4"/>
  <c r="A188" i="4"/>
  <c r="A178" i="4"/>
  <c r="A168" i="4"/>
  <c r="A158" i="4"/>
  <c r="A148" i="4"/>
  <c r="A138" i="4"/>
  <c r="A128" i="4"/>
  <c r="A118" i="4"/>
  <c r="A108" i="4"/>
  <c r="A98" i="4"/>
  <c r="A88" i="4"/>
  <c r="A78" i="4"/>
  <c r="A68" i="4"/>
  <c r="A58" i="4"/>
  <c r="A48" i="4"/>
  <c r="A38" i="4"/>
  <c r="A28" i="4"/>
  <c r="A18" i="4"/>
  <c r="A8" i="4"/>
  <c r="A586" i="4"/>
  <c r="A576" i="4"/>
  <c r="A566" i="4"/>
  <c r="A556" i="4"/>
  <c r="A546" i="4"/>
  <c r="A536" i="4"/>
  <c r="A526" i="4"/>
  <c r="A516" i="4"/>
  <c r="A506" i="4"/>
  <c r="A496" i="4"/>
  <c r="A486" i="4"/>
  <c r="A476" i="4"/>
  <c r="A466" i="4"/>
  <c r="A456" i="4"/>
  <c r="A446" i="4"/>
  <c r="A436" i="4"/>
  <c r="A426" i="4"/>
  <c r="A416" i="4"/>
  <c r="A406" i="4"/>
  <c r="A396" i="4"/>
  <c r="A386" i="4"/>
  <c r="A376" i="4"/>
  <c r="A366" i="4"/>
  <c r="A356" i="4"/>
  <c r="A346" i="4"/>
  <c r="A336" i="4"/>
  <c r="A326" i="4"/>
  <c r="A316" i="4"/>
  <c r="A306" i="4"/>
  <c r="A296" i="4"/>
  <c r="A286" i="4"/>
  <c r="A276" i="4"/>
  <c r="A266" i="4"/>
  <c r="A256" i="4"/>
  <c r="A246" i="4"/>
  <c r="A236" i="4"/>
  <c r="A226" i="4"/>
  <c r="A216" i="4"/>
  <c r="A206" i="4"/>
  <c r="A196" i="4"/>
  <c r="A186" i="4"/>
  <c r="A176" i="4"/>
  <c r="A166" i="4"/>
  <c r="A156" i="4"/>
  <c r="A146" i="4"/>
  <c r="A136" i="4"/>
  <c r="A126" i="4"/>
  <c r="A116" i="4"/>
  <c r="A106" i="4"/>
  <c r="A96" i="4"/>
  <c r="A86" i="4"/>
  <c r="A76" i="4"/>
  <c r="A66" i="4"/>
  <c r="A56" i="4"/>
  <c r="A46" i="4"/>
  <c r="A36" i="4"/>
  <c r="A26" i="4"/>
  <c r="A16" i="4"/>
  <c r="A6" i="4"/>
  <c r="A585" i="4"/>
  <c r="A575" i="4"/>
  <c r="A565" i="4"/>
  <c r="A555" i="4"/>
  <c r="A545" i="4"/>
  <c r="A535" i="4"/>
  <c r="A525" i="4"/>
  <c r="A515" i="4"/>
  <c r="A505" i="4"/>
  <c r="A495" i="4"/>
  <c r="A485" i="4"/>
  <c r="A475" i="4"/>
  <c r="A465" i="4"/>
  <c r="A455" i="4"/>
  <c r="A445" i="4"/>
  <c r="A435" i="4"/>
  <c r="A425" i="4"/>
  <c r="A415" i="4"/>
  <c r="A405" i="4"/>
  <c r="A395" i="4"/>
  <c r="A385" i="4"/>
  <c r="A375" i="4"/>
  <c r="A365" i="4"/>
  <c r="A355" i="4"/>
  <c r="A345" i="4"/>
  <c r="A335" i="4"/>
  <c r="A325" i="4"/>
  <c r="A315" i="4"/>
  <c r="A305" i="4"/>
  <c r="A295" i="4"/>
  <c r="A285" i="4"/>
  <c r="A275" i="4"/>
  <c r="A265" i="4"/>
  <c r="A255" i="4"/>
  <c r="A245" i="4"/>
  <c r="A235" i="4"/>
  <c r="A225" i="4"/>
  <c r="A215" i="4"/>
  <c r="A205" i="4"/>
  <c r="A195" i="4"/>
  <c r="A185" i="4"/>
  <c r="A175" i="4"/>
  <c r="A165" i="4"/>
  <c r="A155" i="4"/>
  <c r="A145" i="4"/>
  <c r="A135" i="4"/>
  <c r="A125" i="4"/>
  <c r="A115" i="4"/>
  <c r="A105" i="4"/>
  <c r="A95" i="4"/>
  <c r="A85" i="4"/>
  <c r="A75" i="4"/>
  <c r="A65" i="4"/>
  <c r="A55" i="4"/>
  <c r="A45" i="4"/>
  <c r="A35" i="4"/>
  <c r="A25" i="4"/>
  <c r="A15" i="4"/>
  <c r="A5" i="4"/>
  <c r="A594" i="4"/>
  <c r="A584" i="4"/>
  <c r="A574" i="4"/>
  <c r="A564" i="4"/>
  <c r="A554" i="4"/>
  <c r="A544" i="4"/>
  <c r="A534" i="4"/>
  <c r="A524" i="4"/>
  <c r="A514" i="4"/>
  <c r="A504" i="4"/>
  <c r="A494" i="4"/>
  <c r="A484" i="4"/>
  <c r="A474" i="4"/>
  <c r="A464" i="4"/>
  <c r="A454" i="4"/>
  <c r="A444" i="4"/>
  <c r="A434" i="4"/>
  <c r="A424" i="4"/>
  <c r="A414" i="4"/>
  <c r="A404" i="4"/>
  <c r="A394" i="4"/>
  <c r="A384" i="4"/>
  <c r="A374" i="4"/>
  <c r="A364" i="4"/>
  <c r="A354" i="4"/>
  <c r="A344" i="4"/>
  <c r="A334" i="4"/>
  <c r="A324" i="4"/>
  <c r="A314" i="4"/>
  <c r="A304" i="4"/>
  <c r="A294" i="4"/>
  <c r="A284" i="4"/>
  <c r="A274" i="4"/>
  <c r="A264" i="4"/>
  <c r="A254" i="4"/>
  <c r="A244" i="4"/>
  <c r="A234" i="4"/>
  <c r="A224" i="4"/>
  <c r="A214" i="4"/>
  <c r="A204" i="4"/>
  <c r="A194" i="4"/>
  <c r="A184" i="4"/>
  <c r="A174" i="4"/>
  <c r="A164" i="4"/>
  <c r="A154" i="4"/>
  <c r="A144" i="4"/>
  <c r="A134" i="4"/>
  <c r="A124" i="4"/>
  <c r="A114" i="4"/>
  <c r="A104" i="4"/>
  <c r="A94" i="4"/>
  <c r="A84" i="4"/>
  <c r="A74" i="4"/>
  <c r="A64" i="4"/>
  <c r="A54" i="4"/>
  <c r="A44" i="4"/>
  <c r="A34" i="4"/>
  <c r="A24" i="4"/>
  <c r="A14" i="4"/>
  <c r="A4" i="4"/>
  <c r="A593" i="4"/>
  <c r="A583" i="4"/>
  <c r="A573" i="4"/>
  <c r="A563" i="4"/>
  <c r="A553" i="4"/>
  <c r="A543" i="4"/>
  <c r="A533" i="4"/>
  <c r="A523" i="4"/>
  <c r="A513" i="4"/>
  <c r="A503" i="4"/>
  <c r="A493" i="4"/>
  <c r="A483" i="4"/>
  <c r="A473" i="4"/>
  <c r="A463" i="4"/>
  <c r="A453" i="4"/>
  <c r="A443" i="4"/>
  <c r="A433" i="4"/>
  <c r="A423" i="4"/>
  <c r="A413" i="4"/>
  <c r="A403" i="4"/>
  <c r="A393" i="4"/>
  <c r="A383" i="4"/>
  <c r="A373" i="4"/>
  <c r="A363" i="4"/>
  <c r="A353" i="4"/>
  <c r="A343" i="4"/>
  <c r="A333" i="4"/>
  <c r="A323" i="4"/>
  <c r="A313" i="4"/>
  <c r="A303" i="4"/>
  <c r="A293" i="4"/>
  <c r="A283" i="4"/>
  <c r="A273" i="4"/>
  <c r="A263" i="4"/>
  <c r="A253" i="4"/>
  <c r="A243" i="4"/>
  <c r="A233" i="4"/>
  <c r="A223" i="4"/>
  <c r="A213" i="4"/>
  <c r="A203" i="4"/>
  <c r="A193" i="4"/>
  <c r="A183" i="4"/>
  <c r="A173" i="4"/>
  <c r="A163" i="4"/>
  <c r="A153" i="4"/>
  <c r="A143" i="4"/>
  <c r="A133" i="4"/>
  <c r="A123" i="4"/>
  <c r="A113" i="4"/>
  <c r="A103" i="4"/>
  <c r="A93" i="4"/>
  <c r="A83" i="4"/>
  <c r="A73" i="4"/>
  <c r="A63" i="4"/>
  <c r="A53" i="4"/>
  <c r="A43" i="4"/>
  <c r="A33" i="4"/>
  <c r="A23" i="4"/>
  <c r="A13" i="4"/>
  <c r="A3" i="4"/>
  <c r="B69" i="3"/>
  <c r="B64" i="3"/>
  <c r="B67" i="3"/>
  <c r="B68" i="3"/>
  <c r="B70" i="3"/>
  <c r="B65" i="3"/>
  <c r="B71" i="3"/>
  <c r="B66" i="3"/>
  <c r="B40" i="3"/>
  <c r="B37" i="3"/>
  <c r="B44" i="3"/>
  <c r="B34" i="3"/>
  <c r="B43" i="3"/>
  <c r="B33" i="3"/>
  <c r="B42" i="3"/>
  <c r="B32" i="3"/>
  <c r="B38" i="3"/>
  <c r="B39" i="3"/>
  <c r="B45" i="3"/>
  <c r="B41" i="3"/>
  <c r="B31" i="3"/>
  <c r="B27" i="3"/>
  <c r="B26" i="3"/>
  <c r="B25" i="3"/>
  <c r="B30" i="3"/>
  <c r="B29" i="3"/>
  <c r="B28" i="3"/>
  <c r="B24" i="3"/>
  <c r="B23" i="3"/>
  <c r="B22" i="3"/>
  <c r="B21" i="3"/>
  <c r="B17" i="3"/>
  <c r="B7" i="3"/>
  <c r="B9" i="3"/>
  <c r="B18" i="3"/>
  <c r="B16" i="3"/>
  <c r="B6" i="3"/>
  <c r="B15" i="3"/>
  <c r="B5" i="3"/>
  <c r="B11" i="3"/>
  <c r="B20" i="3"/>
  <c r="B8" i="3"/>
  <c r="B14" i="3"/>
  <c r="B4" i="3"/>
  <c r="B19" i="3"/>
  <c r="B12" i="3"/>
  <c r="B10" i="3"/>
  <c r="B13" i="3"/>
  <c r="B3" i="3"/>
  <c r="B2" i="3"/>
  <c r="A1888" i="2"/>
  <c r="A1799" i="2"/>
  <c r="A1701" i="2"/>
  <c r="A1593" i="2"/>
  <c r="A1481" i="2"/>
  <c r="A2345" i="2"/>
  <c r="A1798" i="2"/>
  <c r="A1592" i="2"/>
  <c r="A1480" i="2"/>
  <c r="A1127" i="2"/>
  <c r="A831" i="2"/>
  <c r="A412" i="2"/>
  <c r="A2335" i="2"/>
  <c r="A2263" i="2"/>
  <c r="A2188" i="2"/>
  <c r="A2115" i="2"/>
  <c r="A2038" i="2"/>
  <c r="A1956" i="2"/>
  <c r="A1874" i="2"/>
  <c r="A1782" i="2"/>
  <c r="A1576" i="2"/>
  <c r="A1087" i="2"/>
  <c r="A1873" i="2"/>
  <c r="A1682" i="2"/>
  <c r="A1574" i="2"/>
  <c r="A1455" i="2"/>
  <c r="A1323" i="2"/>
  <c r="A1086" i="2"/>
  <c r="A2347" i="2"/>
  <c r="A2203" i="2"/>
  <c r="A2054" i="2"/>
  <c r="A2333" i="2"/>
  <c r="A2262" i="2"/>
  <c r="A2187" i="2"/>
  <c r="A2114" i="2"/>
  <c r="A2037" i="2"/>
  <c r="A1955" i="2"/>
  <c r="A1781" i="2"/>
  <c r="A778" i="2"/>
  <c r="A2332" i="2"/>
  <c r="A2186" i="2"/>
  <c r="A2113" i="2"/>
  <c r="A2036" i="2"/>
  <c r="A1954" i="2"/>
  <c r="A1779" i="2"/>
  <c r="A1296" i="2"/>
  <c r="A767" i="2"/>
  <c r="A339" i="2"/>
  <c r="A2319" i="2"/>
  <c r="A2247" i="2"/>
  <c r="A1939" i="2"/>
  <c r="A1855" i="2"/>
  <c r="A1554" i="2"/>
  <c r="A1039" i="2"/>
  <c r="A702" i="2"/>
  <c r="A338" i="2"/>
  <c r="A1802" i="2"/>
  <c r="A2174" i="2"/>
  <c r="A2099" i="2"/>
  <c r="A2023" i="2"/>
  <c r="A1938" i="2"/>
  <c r="A1765" i="2"/>
  <c r="A1427" i="2"/>
  <c r="A2318" i="2"/>
  <c r="A2245" i="2"/>
  <c r="A2173" i="2"/>
  <c r="A1936" i="2"/>
  <c r="A1854" i="2"/>
  <c r="A1762" i="2"/>
  <c r="A1659" i="2"/>
  <c r="A1549" i="2"/>
  <c r="A1270" i="2"/>
  <c r="A689" i="2"/>
  <c r="A2317" i="2"/>
  <c r="A2244" i="2"/>
  <c r="A2169" i="2"/>
  <c r="A2097" i="2"/>
  <c r="A2019" i="2"/>
  <c r="A1935" i="2"/>
  <c r="A1853" i="2"/>
  <c r="A1761" i="2"/>
  <c r="A1658" i="2"/>
  <c r="A1548" i="2"/>
  <c r="A1425" i="2"/>
  <c r="A1269" i="2"/>
  <c r="A1006" i="2"/>
  <c r="A250" i="2"/>
  <c r="A2086" i="2"/>
  <c r="A1837" i="2"/>
  <c r="A1746" i="2"/>
  <c r="A1641" i="2"/>
  <c r="A1528" i="2"/>
  <c r="A632" i="2"/>
  <c r="A2305" i="2"/>
  <c r="A2232" i="2"/>
  <c r="A2157" i="2"/>
  <c r="A2085" i="2"/>
  <c r="A1406" i="2"/>
  <c r="A965" i="2"/>
  <c r="A1919" i="2"/>
  <c r="A1836" i="2"/>
  <c r="A1745" i="2"/>
  <c r="A568" i="2"/>
  <c r="A181" i="2"/>
  <c r="A2276" i="2"/>
  <c r="A2128" i="2"/>
  <c r="A1918" i="2"/>
  <c r="A1835" i="2"/>
  <c r="A1744" i="2"/>
  <c r="A1199" i="2"/>
  <c r="A960" i="2"/>
  <c r="A2362" i="2"/>
  <c r="A2292" i="2"/>
  <c r="A2217" i="2"/>
  <c r="A2144" i="2"/>
  <c r="A1822" i="2"/>
  <c r="A1616" i="2"/>
  <c r="A1510" i="2"/>
  <c r="A1379" i="2"/>
  <c r="A928" i="2"/>
  <c r="A558" i="2"/>
  <c r="A180" i="2"/>
  <c r="A2068" i="2"/>
  <c r="A1987" i="2"/>
  <c r="A1905" i="2"/>
  <c r="A1509" i="2"/>
  <c r="A1197" i="2"/>
  <c r="A927" i="2"/>
  <c r="A548" i="2"/>
  <c r="A178" i="2"/>
  <c r="A2359" i="2"/>
  <c r="A2289" i="2"/>
  <c r="A2216" i="2"/>
  <c r="A2143" i="2"/>
  <c r="A1821" i="2"/>
  <c r="A1615" i="2"/>
  <c r="A1378" i="2"/>
  <c r="A1166" i="2"/>
  <c r="A915" i="2"/>
  <c r="A2358" i="2"/>
  <c r="A2288" i="2"/>
  <c r="A2215" i="2"/>
  <c r="A2142" i="2"/>
  <c r="A1614" i="2"/>
  <c r="A1502" i="2"/>
  <c r="A119" i="2"/>
  <c r="A1973" i="2"/>
  <c r="A1803" i="2"/>
  <c r="A1594" i="2"/>
  <c r="A1484" i="2"/>
  <c r="A880" i="2"/>
  <c r="A478" i="2"/>
  <c r="A2346" i="2"/>
  <c r="A2304" i="2"/>
  <c r="A2275" i="2"/>
  <c r="A2259" i="2"/>
  <c r="A2229" i="2"/>
  <c r="A2202" i="2"/>
  <c r="A2156" i="2"/>
  <c r="A2127" i="2"/>
  <c r="A2098" i="2"/>
  <c r="A2083" i="2"/>
  <c r="A2067" i="2"/>
  <c r="A2053" i="2"/>
  <c r="A2003" i="2"/>
  <c r="A1986" i="2"/>
  <c r="A1969" i="2"/>
  <c r="A1904" i="2"/>
  <c r="A1887" i="2"/>
  <c r="A1868" i="2"/>
  <c r="A1817" i="2"/>
  <c r="A1722" i="2"/>
  <c r="A1681" i="2"/>
  <c r="A1634" i="2"/>
  <c r="A1526" i="2"/>
  <c r="A1503" i="2"/>
  <c r="A1451" i="2"/>
  <c r="A1426" i="2"/>
  <c r="A1402" i="2"/>
  <c r="A1376" i="2"/>
  <c r="A1345" i="2"/>
  <c r="A1322" i="2"/>
  <c r="A1295" i="2"/>
  <c r="A1235" i="2"/>
  <c r="A1160" i="2"/>
  <c r="A1038" i="2"/>
  <c r="A1005" i="2"/>
  <c r="A879" i="2"/>
  <c r="A758" i="2"/>
  <c r="A688" i="2"/>
  <c r="A631" i="2"/>
  <c r="A477" i="2"/>
  <c r="A402" i="2"/>
  <c r="A332" i="2"/>
  <c r="A249" i="2"/>
  <c r="A79" i="2"/>
  <c r="A2356" i="2"/>
  <c r="A2302" i="2"/>
  <c r="A2256" i="2"/>
  <c r="A2227" i="2"/>
  <c r="A2198" i="2"/>
  <c r="A2183" i="2"/>
  <c r="A2154" i="2"/>
  <c r="A2125" i="2"/>
  <c r="A2109" i="2"/>
  <c r="A2079" i="2"/>
  <c r="A2065" i="2"/>
  <c r="A1984" i="2"/>
  <c r="A1967" i="2"/>
  <c r="A1948" i="2"/>
  <c r="A1883" i="2"/>
  <c r="A1866" i="2"/>
  <c r="A1813" i="2"/>
  <c r="A1794" i="2"/>
  <c r="A1696" i="2"/>
  <c r="A1674" i="2"/>
  <c r="A1654" i="2"/>
  <c r="A1632" i="2"/>
  <c r="A1524" i="2"/>
  <c r="A1449" i="2"/>
  <c r="A1370" i="2"/>
  <c r="A1342" i="2"/>
  <c r="A1315" i="2"/>
  <c r="A1288" i="2"/>
  <c r="A1257" i="2"/>
  <c r="A1153" i="2"/>
  <c r="A1110" i="2"/>
  <c r="A949" i="2"/>
  <c r="A868" i="2"/>
  <c r="A822" i="2"/>
  <c r="A679" i="2"/>
  <c r="A531" i="2"/>
  <c r="A467" i="2"/>
  <c r="A388" i="2"/>
  <c r="A230" i="2"/>
  <c r="A2343" i="2"/>
  <c r="A2328" i="2"/>
  <c r="A2315" i="2"/>
  <c r="A2286" i="2"/>
  <c r="A2269" i="2"/>
  <c r="A2242" i="2"/>
  <c r="A2213" i="2"/>
  <c r="A2197" i="2"/>
  <c r="A2167" i="2"/>
  <c r="A2138" i="2"/>
  <c r="A2094" i="2"/>
  <c r="A2048" i="2"/>
  <c r="A2034" i="2"/>
  <c r="A2015" i="2"/>
  <c r="A1998" i="2"/>
  <c r="A1933" i="2"/>
  <c r="A1916" i="2"/>
  <c r="A1899" i="2"/>
  <c r="A1848" i="2"/>
  <c r="A1833" i="2"/>
  <c r="A1777" i="2"/>
  <c r="A1758" i="2"/>
  <c r="A1736" i="2"/>
  <c r="A1718" i="2"/>
  <c r="A1652" i="2"/>
  <c r="A1565" i="2"/>
  <c r="A1543" i="2"/>
  <c r="A1500" i="2"/>
  <c r="A1471" i="2"/>
  <c r="A1421" i="2"/>
  <c r="A1396" i="2"/>
  <c r="A1312" i="2"/>
  <c r="A1256" i="2"/>
  <c r="A1223" i="2"/>
  <c r="A1189" i="2"/>
  <c r="A1109" i="2"/>
  <c r="A1073" i="2"/>
  <c r="A1033" i="2"/>
  <c r="A909" i="2"/>
  <c r="A818" i="2"/>
  <c r="A741" i="2"/>
  <c r="A609" i="2"/>
  <c r="A528" i="2"/>
  <c r="A307" i="2"/>
  <c r="A161" i="2"/>
  <c r="A78" i="2"/>
  <c r="A2355" i="2"/>
  <c r="A2299" i="2"/>
  <c r="A2285" i="2"/>
  <c r="A2255" i="2"/>
  <c r="A2226" i="2"/>
  <c r="A2182" i="2"/>
  <c r="A2153" i="2"/>
  <c r="A2124" i="2"/>
  <c r="A2107" i="2"/>
  <c r="A2078" i="2"/>
  <c r="A2064" i="2"/>
  <c r="A2033" i="2"/>
  <c r="A1983" i="2"/>
  <c r="A1947" i="2"/>
  <c r="A1898" i="2"/>
  <c r="A1865" i="2"/>
  <c r="A1832" i="2"/>
  <c r="A1812" i="2"/>
  <c r="A1793" i="2"/>
  <c r="A1757" i="2"/>
  <c r="A1695" i="2"/>
  <c r="A1629" i="2"/>
  <c r="A1563" i="2"/>
  <c r="A1541" i="2"/>
  <c r="A1523" i="2"/>
  <c r="A1448" i="2"/>
  <c r="A1395" i="2"/>
  <c r="A1341" i="2"/>
  <c r="A1107" i="2"/>
  <c r="A1030" i="2"/>
  <c r="A940" i="2"/>
  <c r="A908" i="2"/>
  <c r="A867" i="2"/>
  <c r="A740" i="2"/>
  <c r="A678" i="2"/>
  <c r="A460" i="2"/>
  <c r="A229" i="2"/>
  <c r="A141" i="2"/>
  <c r="A248" i="2"/>
  <c r="A2342" i="2"/>
  <c r="A2327" i="2"/>
  <c r="A2314" i="2"/>
  <c r="A2268" i="2"/>
  <c r="A2239" i="2"/>
  <c r="A2212" i="2"/>
  <c r="A2195" i="2"/>
  <c r="A2166" i="2"/>
  <c r="A2137" i="2"/>
  <c r="A2123" i="2"/>
  <c r="A2093" i="2"/>
  <c r="A2047" i="2"/>
  <c r="A2014" i="2"/>
  <c r="A1997" i="2"/>
  <c r="A1915" i="2"/>
  <c r="A1896" i="2"/>
  <c r="A1879" i="2"/>
  <c r="A1847" i="2"/>
  <c r="A1827" i="2"/>
  <c r="A1776" i="2"/>
  <c r="A1755" i="2"/>
  <c r="A1735" i="2"/>
  <c r="A1714" i="2"/>
  <c r="A1648" i="2"/>
  <c r="A1606" i="2"/>
  <c r="A1582" i="2"/>
  <c r="A1494" i="2"/>
  <c r="A1441" i="2"/>
  <c r="A1420" i="2"/>
  <c r="A1365" i="2"/>
  <c r="A1311" i="2"/>
  <c r="A1280" i="2"/>
  <c r="A1220" i="2"/>
  <c r="A1188" i="2"/>
  <c r="A1067" i="2"/>
  <c r="A1028" i="2"/>
  <c r="A799" i="2"/>
  <c r="A372" i="2"/>
  <c r="A77" i="2"/>
  <c r="A2354" i="2"/>
  <c r="A2298" i="2"/>
  <c r="A2283" i="2"/>
  <c r="A2254" i="2"/>
  <c r="A2225" i="2"/>
  <c r="A2209" i="2"/>
  <c r="A2179" i="2"/>
  <c r="A2152" i="2"/>
  <c r="A2106" i="2"/>
  <c r="A2077" i="2"/>
  <c r="A2063" i="2"/>
  <c r="A2028" i="2"/>
  <c r="A1963" i="2"/>
  <c r="A1946" i="2"/>
  <c r="A1929" i="2"/>
  <c r="A1864" i="2"/>
  <c r="A1811" i="2"/>
  <c r="A1792" i="2"/>
  <c r="A1773" i="2"/>
  <c r="A1694" i="2"/>
  <c r="A1628" i="2"/>
  <c r="A1562" i="2"/>
  <c r="A1468" i="2"/>
  <c r="A1362" i="2"/>
  <c r="A1340" i="2"/>
  <c r="A1279" i="2"/>
  <c r="A1252" i="2"/>
  <c r="A1183" i="2"/>
  <c r="A1147" i="2"/>
  <c r="A1106" i="2"/>
  <c r="A1066" i="2"/>
  <c r="A738" i="2"/>
  <c r="A589" i="2"/>
  <c r="A519" i="2"/>
  <c r="A458" i="2"/>
  <c r="A371" i="2"/>
  <c r="A302" i="2"/>
  <c r="A138" i="2"/>
  <c r="A59" i="2"/>
  <c r="A2366" i="2"/>
  <c r="A2339" i="2"/>
  <c r="A2326" i="2"/>
  <c r="A2313" i="2"/>
  <c r="A2297" i="2"/>
  <c r="A2267" i="2"/>
  <c r="A2238" i="2"/>
  <c r="A2194" i="2"/>
  <c r="A2165" i="2"/>
  <c r="A2136" i="2"/>
  <c r="A2119" i="2"/>
  <c r="A2092" i="2"/>
  <c r="A2013" i="2"/>
  <c r="A1996" i="2"/>
  <c r="A1979" i="2"/>
  <c r="A1914" i="2"/>
  <c r="A1895" i="2"/>
  <c r="A1878" i="2"/>
  <c r="A1846" i="2"/>
  <c r="A1826" i="2"/>
  <c r="A1754" i="2"/>
  <c r="A1734" i="2"/>
  <c r="A1713" i="2"/>
  <c r="A1669" i="2"/>
  <c r="A1605" i="2"/>
  <c r="A1581" i="2"/>
  <c r="A1539" i="2"/>
  <c r="A1493" i="2"/>
  <c r="A1467" i="2"/>
  <c r="A1440" i="2"/>
  <c r="A1419" i="2"/>
  <c r="A1388" i="2"/>
  <c r="A1310" i="2"/>
  <c r="A1276" i="2"/>
  <c r="A1219" i="2"/>
  <c r="A1180" i="2"/>
  <c r="A1027" i="2"/>
  <c r="A978" i="2"/>
  <c r="A938" i="2"/>
  <c r="A797" i="2"/>
  <c r="A672" i="2"/>
  <c r="A1320" i="2"/>
  <c r="A1261" i="2"/>
  <c r="A1196" i="2"/>
  <c r="A1037" i="2"/>
  <c r="A959" i="2"/>
  <c r="A828" i="2"/>
  <c r="A629" i="2"/>
  <c r="A80" i="2"/>
  <c r="A58" i="2"/>
  <c r="A2365" i="2"/>
  <c r="A2338" i="2"/>
  <c r="A2325" i="2"/>
  <c r="A2312" i="2"/>
  <c r="A2295" i="2"/>
  <c r="A2266" i="2"/>
  <c r="A2237" i="2"/>
  <c r="A2223" i="2"/>
  <c r="A2193" i="2"/>
  <c r="A2164" i="2"/>
  <c r="A2118" i="2"/>
  <c r="A2089" i="2"/>
  <c r="A2059" i="2"/>
  <c r="A1995" i="2"/>
  <c r="A1976" i="2"/>
  <c r="A1959" i="2"/>
  <c r="A1894" i="2"/>
  <c r="A1877" i="2"/>
  <c r="A1843" i="2"/>
  <c r="A1825" i="2"/>
  <c r="A1806" i="2"/>
  <c r="A1749" i="2"/>
  <c r="A1733" i="2"/>
  <c r="A1712" i="2"/>
  <c r="A1668" i="2"/>
  <c r="A1626" i="2"/>
  <c r="A1602" i="2"/>
  <c r="A1538" i="2"/>
  <c r="A1489" i="2"/>
  <c r="A1439" i="2"/>
  <c r="A1387" i="2"/>
  <c r="A1360" i="2"/>
  <c r="A1338" i="2"/>
  <c r="A1305" i="2"/>
  <c r="A1275" i="2"/>
  <c r="A1246" i="2"/>
  <c r="A1216" i="2"/>
  <c r="A1136" i="2"/>
  <c r="A977" i="2"/>
  <c r="A855" i="2"/>
  <c r="A727" i="2"/>
  <c r="A649" i="2"/>
  <c r="A517" i="2"/>
  <c r="A431" i="2"/>
  <c r="A352" i="2"/>
  <c r="A128" i="2"/>
  <c r="A2357" i="2"/>
  <c r="A2303" i="2"/>
  <c r="A2274" i="2"/>
  <c r="A2257" i="2"/>
  <c r="A2228" i="2"/>
  <c r="A2199" i="2"/>
  <c r="A2185" i="2"/>
  <c r="A2155" i="2"/>
  <c r="A2126" i="2"/>
  <c r="A2082" i="2"/>
  <c r="A2066" i="2"/>
  <c r="A2018" i="2"/>
  <c r="A1968" i="2"/>
  <c r="A1953" i="2"/>
  <c r="A1903" i="2"/>
  <c r="A1867" i="2"/>
  <c r="A1795" i="2"/>
  <c r="A1743" i="2"/>
  <c r="A1721" i="2"/>
  <c r="A1699" i="2"/>
  <c r="A1633" i="2"/>
  <c r="A1525" i="2"/>
  <c r="A1479" i="2"/>
  <c r="A1450" i="2"/>
  <c r="A1400" i="2"/>
  <c r="A1289" i="2"/>
  <c r="A1260" i="2"/>
  <c r="A1156" i="2"/>
  <c r="A1123" i="2"/>
  <c r="A1075" i="2"/>
  <c r="A998" i="2"/>
  <c r="A958" i="2"/>
  <c r="A877" i="2"/>
  <c r="A680" i="2"/>
  <c r="A628" i="2"/>
  <c r="A470" i="2"/>
  <c r="A172" i="2"/>
  <c r="A2049" i="2"/>
  <c r="A247" i="2"/>
  <c r="A2353" i="2"/>
  <c r="A2253" i="2"/>
  <c r="A2224" i="2"/>
  <c r="A2178" i="2"/>
  <c r="A2135" i="2"/>
  <c r="A2076" i="2"/>
  <c r="A2027" i="2"/>
  <c r="A1945" i="2"/>
  <c r="A1913" i="2"/>
  <c r="A1863" i="2"/>
  <c r="A1809" i="2"/>
  <c r="A1751" i="2"/>
  <c r="A1604" i="2"/>
  <c r="A1561" i="2"/>
  <c r="A1178" i="2"/>
  <c r="A1026" i="2"/>
  <c r="A899" i="2"/>
  <c r="A728" i="2"/>
  <c r="A132" i="2"/>
  <c r="A2352" i="2"/>
  <c r="A2309" i="2"/>
  <c r="A2279" i="2"/>
  <c r="A2252" i="2"/>
  <c r="A2206" i="2"/>
  <c r="A2177" i="2"/>
  <c r="A2148" i="2"/>
  <c r="A2133" i="2"/>
  <c r="A2104" i="2"/>
  <c r="A2075" i="2"/>
  <c r="A2058" i="2"/>
  <c r="A2043" i="2"/>
  <c r="A2026" i="2"/>
  <c r="A2009" i="2"/>
  <c r="A1944" i="2"/>
  <c r="A1927" i="2"/>
  <c r="A1908" i="2"/>
  <c r="A1789" i="2"/>
  <c r="A1768" i="2"/>
  <c r="A1685" i="2"/>
  <c r="A1645" i="2"/>
  <c r="A1623" i="2"/>
  <c r="A1579" i="2"/>
  <c r="A1513" i="2"/>
  <c r="A1488" i="2"/>
  <c r="A1464" i="2"/>
  <c r="A1409" i="2"/>
  <c r="A1359" i="2"/>
  <c r="A1331" i="2"/>
  <c r="A1100" i="2"/>
  <c r="A1057" i="2"/>
  <c r="A1013" i="2"/>
  <c r="A935" i="2"/>
  <c r="A722" i="2"/>
  <c r="A587" i="2"/>
  <c r="A511" i="2"/>
  <c r="A429" i="2"/>
  <c r="A288" i="2"/>
  <c r="A2364" i="2"/>
  <c r="A2337" i="2"/>
  <c r="A2324" i="2"/>
  <c r="A2294" i="2"/>
  <c r="A2265" i="2"/>
  <c r="A2236" i="2"/>
  <c r="A2219" i="2"/>
  <c r="A2192" i="2"/>
  <c r="A2163" i="2"/>
  <c r="A2147" i="2"/>
  <c r="A2117" i="2"/>
  <c r="A2088" i="2"/>
  <c r="A1994" i="2"/>
  <c r="A1975" i="2"/>
  <c r="A1958" i="2"/>
  <c r="A1893" i="2"/>
  <c r="A1876" i="2"/>
  <c r="A1859" i="2"/>
  <c r="A1842" i="2"/>
  <c r="A1824" i="2"/>
  <c r="A1805" i="2"/>
  <c r="A1748" i="2"/>
  <c r="A1732" i="2"/>
  <c r="A1711" i="2"/>
  <c r="A1601" i="2"/>
  <c r="A1556" i="2"/>
  <c r="A1512" i="2"/>
  <c r="A1438" i="2"/>
  <c r="A1386" i="2"/>
  <c r="A1302" i="2"/>
  <c r="A1173" i="2"/>
  <c r="A1135" i="2"/>
  <c r="A1098" i="2"/>
  <c r="A976" i="2"/>
  <c r="A719" i="2"/>
  <c r="A641" i="2"/>
  <c r="A510" i="2"/>
  <c r="A428" i="2"/>
  <c r="A351" i="2"/>
  <c r="A287" i="2"/>
  <c r="A201" i="2"/>
  <c r="A127" i="2"/>
  <c r="A47" i="2"/>
  <c r="A309" i="2"/>
  <c r="A2349" i="2"/>
  <c r="A2307" i="2"/>
  <c r="A2278" i="2"/>
  <c r="A2249" i="2"/>
  <c r="A2235" i="2"/>
  <c r="A2205" i="2"/>
  <c r="A2176" i="2"/>
  <c r="A2132" i="2"/>
  <c r="A2103" i="2"/>
  <c r="A2074" i="2"/>
  <c r="A2056" i="2"/>
  <c r="A2025" i="2"/>
  <c r="A2008" i="2"/>
  <c r="A1993" i="2"/>
  <c r="A1943" i="2"/>
  <c r="A1907" i="2"/>
  <c r="A1858" i="2"/>
  <c r="A1767" i="2"/>
  <c r="A1684" i="2"/>
  <c r="A1666" i="2"/>
  <c r="A1644" i="2"/>
  <c r="A1578" i="2"/>
  <c r="A1463" i="2"/>
  <c r="A1437" i="2"/>
  <c r="A1408" i="2"/>
  <c r="A1357" i="2"/>
  <c r="A1298" i="2"/>
  <c r="A1272" i="2"/>
  <c r="A1240" i="2"/>
  <c r="A1209" i="2"/>
  <c r="A1170" i="2"/>
  <c r="A1008" i="2"/>
  <c r="A782" i="2"/>
  <c r="A717" i="2"/>
  <c r="A278" i="2"/>
  <c r="A400" i="2"/>
  <c r="A2363" i="2"/>
  <c r="A2336" i="2"/>
  <c r="A2323" i="2"/>
  <c r="A2293" i="2"/>
  <c r="A2264" i="2"/>
  <c r="A2218" i="2"/>
  <c r="A2189" i="2"/>
  <c r="A2162" i="2"/>
  <c r="A2145" i="2"/>
  <c r="A2116" i="2"/>
  <c r="A2087" i="2"/>
  <c r="A2073" i="2"/>
  <c r="A2039" i="2"/>
  <c r="A1974" i="2"/>
  <c r="A1957" i="2"/>
  <c r="A1875" i="2"/>
  <c r="A1856" i="2"/>
  <c r="A1838" i="2"/>
  <c r="A1823" i="2"/>
  <c r="A1804" i="2"/>
  <c r="A1783" i="2"/>
  <c r="A1747" i="2"/>
  <c r="A1731" i="2"/>
  <c r="A1595" i="2"/>
  <c r="A1555" i="2"/>
  <c r="A1529" i="2"/>
  <c r="A1511" i="2"/>
  <c r="A1485" i="2"/>
  <c r="A1462" i="2"/>
  <c r="A1434" i="2"/>
  <c r="A1381" i="2"/>
  <c r="A1327" i="2"/>
  <c r="A1168" i="2"/>
  <c r="A1053" i="2"/>
  <c r="A966" i="2"/>
  <c r="A710" i="2"/>
  <c r="A639" i="2"/>
  <c r="A569" i="2"/>
  <c r="A508" i="2"/>
  <c r="A417" i="2"/>
  <c r="A270" i="2"/>
  <c r="A182" i="2"/>
  <c r="A28" i="2"/>
  <c r="A1985" i="2"/>
  <c r="A2344" i="2"/>
  <c r="A2329" i="2"/>
  <c r="A2316" i="2"/>
  <c r="A2287" i="2"/>
  <c r="A2273" i="2"/>
  <c r="A2243" i="2"/>
  <c r="A2214" i="2"/>
  <c r="A2168" i="2"/>
  <c r="A2139" i="2"/>
  <c r="A2112" i="2"/>
  <c r="A2095" i="2"/>
  <c r="A2035" i="2"/>
  <c r="A2016" i="2"/>
  <c r="A1999" i="2"/>
  <c r="A1934" i="2"/>
  <c r="A1917" i="2"/>
  <c r="A1849" i="2"/>
  <c r="A1834" i="2"/>
  <c r="A1778" i="2"/>
  <c r="A1759" i="2"/>
  <c r="A1737" i="2"/>
  <c r="A1679" i="2"/>
  <c r="A1591" i="2"/>
  <c r="A1566" i="2"/>
  <c r="A1544" i="2"/>
  <c r="A1501" i="2"/>
  <c r="A1472" i="2"/>
  <c r="A1371" i="2"/>
  <c r="A1343" i="2"/>
  <c r="A1316" i="2"/>
  <c r="A1224" i="2"/>
  <c r="A1190" i="2"/>
  <c r="A1035" i="2"/>
  <c r="A997" i="2"/>
  <c r="A953" i="2"/>
  <c r="A910" i="2"/>
  <c r="A750" i="2"/>
  <c r="A627" i="2"/>
  <c r="A2282" i="2"/>
  <c r="A2207" i="2"/>
  <c r="A2149" i="2"/>
  <c r="A2105" i="2"/>
  <c r="A2045" i="2"/>
  <c r="A1978" i="2"/>
  <c r="A1928" i="2"/>
  <c r="A1845" i="2"/>
  <c r="A1791" i="2"/>
  <c r="A1646" i="2"/>
  <c r="A1418" i="2"/>
  <c r="A1309" i="2"/>
  <c r="A1251" i="2"/>
  <c r="A1218" i="2"/>
  <c r="A937" i="2"/>
  <c r="A858" i="2"/>
  <c r="A588" i="2"/>
  <c r="A2348" i="2"/>
  <c r="A2306" i="2"/>
  <c r="A2277" i="2"/>
  <c r="A2248" i="2"/>
  <c r="A2233" i="2"/>
  <c r="A2204" i="2"/>
  <c r="A2175" i="2"/>
  <c r="A2159" i="2"/>
  <c r="A2129" i="2"/>
  <c r="A2102" i="2"/>
  <c r="A2055" i="2"/>
  <c r="A2024" i="2"/>
  <c r="A2007" i="2"/>
  <c r="A1988" i="2"/>
  <c r="A1923" i="2"/>
  <c r="A1906" i="2"/>
  <c r="A1889" i="2"/>
  <c r="A1766" i="2"/>
  <c r="A1726" i="2"/>
  <c r="A1705" i="2"/>
  <c r="A1683" i="2"/>
  <c r="A1661" i="2"/>
  <c r="A1643" i="2"/>
  <c r="A1459" i="2"/>
  <c r="A1432" i="2"/>
  <c r="A1407" i="2"/>
  <c r="A1356" i="2"/>
  <c r="A1326" i="2"/>
  <c r="A1297" i="2"/>
  <c r="A1271" i="2"/>
  <c r="A1239" i="2"/>
  <c r="A1200" i="2"/>
  <c r="A1133" i="2"/>
  <c r="A1088" i="2"/>
  <c r="A1048" i="2"/>
  <c r="A1007" i="2"/>
  <c r="A883" i="2"/>
  <c r="A832" i="2"/>
  <c r="A488" i="2"/>
  <c r="A349" i="2"/>
  <c r="A761" i="2"/>
  <c r="A711" i="2"/>
  <c r="A671" i="2"/>
  <c r="A509" i="2"/>
  <c r="A272" i="2"/>
  <c r="A219" i="2"/>
  <c r="A168" i="2"/>
  <c r="A2046" i="2"/>
  <c r="A2006" i="2"/>
  <c r="A1966" i="2"/>
  <c r="A1926" i="2"/>
  <c r="A1886" i="2"/>
  <c r="A1816" i="2"/>
  <c r="A1788" i="2"/>
  <c r="A1772" i="2"/>
  <c r="A1725" i="2"/>
  <c r="A1693" i="2"/>
  <c r="A1673" i="2"/>
  <c r="A1622" i="2"/>
  <c r="A1589" i="2"/>
  <c r="A1569" i="2"/>
  <c r="A1552" i="2"/>
  <c r="A1536" i="2"/>
  <c r="A1516" i="2"/>
  <c r="A1458" i="2"/>
  <c r="A1375" i="2"/>
  <c r="A1355" i="2"/>
  <c r="A1330" i="2"/>
  <c r="A1287" i="2"/>
  <c r="A1238" i="2"/>
  <c r="A1150" i="2"/>
  <c r="A1056" i="2"/>
  <c r="A989" i="2"/>
  <c r="A893" i="2"/>
  <c r="A859" i="2"/>
  <c r="A819" i="2"/>
  <c r="A667" i="2"/>
  <c r="A610" i="2"/>
  <c r="A557" i="2"/>
  <c r="A387" i="2"/>
  <c r="A271" i="2"/>
  <c r="A211" i="2"/>
  <c r="A100" i="2"/>
  <c r="A42" i="2"/>
  <c r="A2005" i="2"/>
  <c r="A1965" i="2"/>
  <c r="A1925" i="2"/>
  <c r="A1885" i="2"/>
  <c r="A1815" i="2"/>
  <c r="A1787" i="2"/>
  <c r="A1771" i="2"/>
  <c r="A1724" i="2"/>
  <c r="A1692" i="2"/>
  <c r="A1672" i="2"/>
  <c r="A1656" i="2"/>
  <c r="A1639" i="2"/>
  <c r="A1621" i="2"/>
  <c r="A1588" i="2"/>
  <c r="A1568" i="2"/>
  <c r="A1551" i="2"/>
  <c r="A1535" i="2"/>
  <c r="A1515" i="2"/>
  <c r="A1498" i="2"/>
  <c r="A1416" i="2"/>
  <c r="A1329" i="2"/>
  <c r="A1286" i="2"/>
  <c r="A1237" i="2"/>
  <c r="A1149" i="2"/>
  <c r="A1055" i="2"/>
  <c r="A988" i="2"/>
  <c r="A957" i="2"/>
  <c r="A887" i="2"/>
  <c r="A661" i="2"/>
  <c r="A331" i="2"/>
  <c r="A262" i="2"/>
  <c r="A210" i="2"/>
  <c r="A41" i="2"/>
  <c r="A2334" i="2"/>
  <c r="A2322" i="2"/>
  <c r="A2308" i="2"/>
  <c r="A2296" i="2"/>
  <c r="A2284" i="2"/>
  <c r="A2272" i="2"/>
  <c r="A2258" i="2"/>
  <c r="A2246" i="2"/>
  <c r="A2234" i="2"/>
  <c r="A2222" i="2"/>
  <c r="A2208" i="2"/>
  <c r="A2196" i="2"/>
  <c r="A2184" i="2"/>
  <c r="A2172" i="2"/>
  <c r="A2158" i="2"/>
  <c r="A2146" i="2"/>
  <c r="A2134" i="2"/>
  <c r="A2122" i="2"/>
  <c r="A2108" i="2"/>
  <c r="A2096" i="2"/>
  <c r="A2084" i="2"/>
  <c r="A2057" i="2"/>
  <c r="A2017" i="2"/>
  <c r="A1977" i="2"/>
  <c r="A1937" i="2"/>
  <c r="A1897" i="2"/>
  <c r="A1857" i="2"/>
  <c r="A1844" i="2"/>
  <c r="A1828" i="2"/>
  <c r="A1801" i="2"/>
  <c r="A1784" i="2"/>
  <c r="A1756" i="2"/>
  <c r="A1738" i="2"/>
  <c r="A1603" i="2"/>
  <c r="A1583" i="2"/>
  <c r="A1532" i="2"/>
  <c r="A1497" i="2"/>
  <c r="A1453" i="2"/>
  <c r="A1373" i="2"/>
  <c r="A1259" i="2"/>
  <c r="A1204" i="2"/>
  <c r="A1177" i="2"/>
  <c r="A1085" i="2"/>
  <c r="A1016" i="2"/>
  <c r="A987" i="2"/>
  <c r="A955" i="2"/>
  <c r="A917" i="2"/>
  <c r="A856" i="2"/>
  <c r="A757" i="2"/>
  <c r="A709" i="2"/>
  <c r="A489" i="2"/>
  <c r="A432" i="2"/>
  <c r="A382" i="2"/>
  <c r="A209" i="2"/>
  <c r="A148" i="2"/>
  <c r="A97" i="2"/>
  <c r="A32" i="2"/>
  <c r="A2069" i="2"/>
  <c r="A2044" i="2"/>
  <c r="A2029" i="2"/>
  <c r="A2004" i="2"/>
  <c r="A1989" i="2"/>
  <c r="A1964" i="2"/>
  <c r="A1949" i="2"/>
  <c r="A1924" i="2"/>
  <c r="A1909" i="2"/>
  <c r="A1884" i="2"/>
  <c r="A1869" i="2"/>
  <c r="A1814" i="2"/>
  <c r="A1769" i="2"/>
  <c r="A1723" i="2"/>
  <c r="A1706" i="2"/>
  <c r="A1688" i="2"/>
  <c r="A1671" i="2"/>
  <c r="A1655" i="2"/>
  <c r="A1635" i="2"/>
  <c r="A1618" i="2"/>
  <c r="A1514" i="2"/>
  <c r="A1473" i="2"/>
  <c r="A1452" i="2"/>
  <c r="A1435" i="2"/>
  <c r="A1410" i="2"/>
  <c r="A1393" i="2"/>
  <c r="A1346" i="2"/>
  <c r="A1306" i="2"/>
  <c r="A1236" i="2"/>
  <c r="A1175" i="2"/>
  <c r="A1148" i="2"/>
  <c r="A886" i="2"/>
  <c r="A800" i="2"/>
  <c r="A650" i="2"/>
  <c r="A551" i="2"/>
  <c r="A381" i="2"/>
  <c r="A310" i="2"/>
  <c r="A261" i="2"/>
  <c r="A31" i="2"/>
  <c r="A2072" i="2"/>
  <c r="A2062" i="2"/>
  <c r="A2052" i="2"/>
  <c r="A2042" i="2"/>
  <c r="A2032" i="2"/>
  <c r="A2022" i="2"/>
  <c r="A2012" i="2"/>
  <c r="A2002" i="2"/>
  <c r="A1992" i="2"/>
  <c r="A1982" i="2"/>
  <c r="A1972" i="2"/>
  <c r="A1962" i="2"/>
  <c r="A1952" i="2"/>
  <c r="A1942" i="2"/>
  <c r="A1932" i="2"/>
  <c r="A1922" i="2"/>
  <c r="A1912" i="2"/>
  <c r="A1902" i="2"/>
  <c r="A1892" i="2"/>
  <c r="A1882" i="2"/>
  <c r="A1872" i="2"/>
  <c r="A1862" i="2"/>
  <c r="A1852" i="2"/>
  <c r="A1831" i="2"/>
  <c r="A1742" i="2"/>
  <c r="A1729" i="2"/>
  <c r="A1704" i="2"/>
  <c r="A1613" i="2"/>
  <c r="A1573" i="2"/>
  <c r="A1522" i="2"/>
  <c r="A1506" i="2"/>
  <c r="A1492" i="2"/>
  <c r="A1431" i="2"/>
  <c r="A1399" i="2"/>
  <c r="A1385" i="2"/>
  <c r="A1368" i="2"/>
  <c r="A1353" i="2"/>
  <c r="A1337" i="2"/>
  <c r="A1319" i="2"/>
  <c r="A1228" i="2"/>
  <c r="A1208" i="2"/>
  <c r="A1187" i="2"/>
  <c r="A1165" i="2"/>
  <c r="A1146" i="2"/>
  <c r="A1120" i="2"/>
  <c r="A1096" i="2"/>
  <c r="A1070" i="2"/>
  <c r="A975" i="2"/>
  <c r="A948" i="2"/>
  <c r="A926" i="2"/>
  <c r="A898" i="2"/>
  <c r="A850" i="2"/>
  <c r="A772" i="2"/>
  <c r="A582" i="2"/>
  <c r="A539" i="2"/>
  <c r="A158" i="2"/>
  <c r="A27" i="2"/>
  <c r="A1841" i="2"/>
  <c r="A1819" i="2"/>
  <c r="A1808" i="2"/>
  <c r="A1797" i="2"/>
  <c r="A1786" i="2"/>
  <c r="A1775" i="2"/>
  <c r="A1764" i="2"/>
  <c r="A1753" i="2"/>
  <c r="A1716" i="2"/>
  <c r="A1691" i="2"/>
  <c r="A1678" i="2"/>
  <c r="A1665" i="2"/>
  <c r="A1651" i="2"/>
  <c r="A1638" i="2"/>
  <c r="A1625" i="2"/>
  <c r="A1585" i="2"/>
  <c r="A1534" i="2"/>
  <c r="A1477" i="2"/>
  <c r="A1461" i="2"/>
  <c r="A1447" i="2"/>
  <c r="A1352" i="2"/>
  <c r="A1300" i="2"/>
  <c r="A1285" i="2"/>
  <c r="A1250" i="2"/>
  <c r="A1118" i="2"/>
  <c r="A1095" i="2"/>
  <c r="A1045" i="2"/>
  <c r="A1019" i="2"/>
  <c r="A995" i="2"/>
  <c r="A849" i="2"/>
  <c r="A737" i="2"/>
  <c r="A700" i="2"/>
  <c r="A617" i="2"/>
  <c r="A491" i="2"/>
  <c r="A411" i="2"/>
  <c r="A368" i="2"/>
  <c r="A200" i="2"/>
  <c r="A108" i="2"/>
  <c r="A72" i="2"/>
  <c r="A2361" i="2"/>
  <c r="A2351" i="2"/>
  <c r="A2341" i="2"/>
  <c r="A2331" i="2"/>
  <c r="A2321" i="2"/>
  <c r="A2311" i="2"/>
  <c r="A2301" i="2"/>
  <c r="A2291" i="2"/>
  <c r="A2281" i="2"/>
  <c r="A2271" i="2"/>
  <c r="A2261" i="2"/>
  <c r="A2251" i="2"/>
  <c r="A2241" i="2"/>
  <c r="A2231" i="2"/>
  <c r="A2221" i="2"/>
  <c r="A2211" i="2"/>
  <c r="A2201" i="2"/>
  <c r="A2191" i="2"/>
  <c r="A2181" i="2"/>
  <c r="A2171" i="2"/>
  <c r="A2161" i="2"/>
  <c r="A2151" i="2"/>
  <c r="A2141" i="2"/>
  <c r="A2131" i="2"/>
  <c r="A2121" i="2"/>
  <c r="A2111" i="2"/>
  <c r="A2101" i="2"/>
  <c r="A2091" i="2"/>
  <c r="A2081" i="2"/>
  <c r="A2071" i="2"/>
  <c r="A2061" i="2"/>
  <c r="A2051" i="2"/>
  <c r="A2041" i="2"/>
  <c r="A2031" i="2"/>
  <c r="A2021" i="2"/>
  <c r="A2011" i="2"/>
  <c r="A2001" i="2"/>
  <c r="A1991" i="2"/>
  <c r="A1981" i="2"/>
  <c r="A1971" i="2"/>
  <c r="A1961" i="2"/>
  <c r="A1951" i="2"/>
  <c r="A1941" i="2"/>
  <c r="A1931" i="2"/>
  <c r="A1921" i="2"/>
  <c r="A1911" i="2"/>
  <c r="A1901" i="2"/>
  <c r="A1891" i="2"/>
  <c r="A1881" i="2"/>
  <c r="A1871" i="2"/>
  <c r="A1861" i="2"/>
  <c r="A1851" i="2"/>
  <c r="A1741" i="2"/>
  <c r="A1728" i="2"/>
  <c r="A1703" i="2"/>
  <c r="A1663" i="2"/>
  <c r="A1612" i="2"/>
  <c r="A1599" i="2"/>
  <c r="A1572" i="2"/>
  <c r="A1559" i="2"/>
  <c r="A1546" i="2"/>
  <c r="A1521" i="2"/>
  <c r="A1505" i="2"/>
  <c r="A1491" i="2"/>
  <c r="A1476" i="2"/>
  <c r="A1446" i="2"/>
  <c r="A1414" i="2"/>
  <c r="A1398" i="2"/>
  <c r="A1384" i="2"/>
  <c r="A1367" i="2"/>
  <c r="A1333" i="2"/>
  <c r="A1318" i="2"/>
  <c r="A1266" i="2"/>
  <c r="A1226" i="2"/>
  <c r="A1207" i="2"/>
  <c r="A1164" i="2"/>
  <c r="A1144" i="2"/>
  <c r="A1117" i="2"/>
  <c r="A1093" i="2"/>
  <c r="A947" i="2"/>
  <c r="A919" i="2"/>
  <c r="A897" i="2"/>
  <c r="A870" i="2"/>
  <c r="A802" i="2"/>
  <c r="A771" i="2"/>
  <c r="A697" i="2"/>
  <c r="A658" i="2"/>
  <c r="A538" i="2"/>
  <c r="A410" i="2"/>
  <c r="A322" i="2"/>
  <c r="A280" i="2"/>
  <c r="A150" i="2"/>
  <c r="A67" i="2"/>
  <c r="A22" i="2"/>
  <c r="A1829" i="2"/>
  <c r="A1818" i="2"/>
  <c r="A1807" i="2"/>
  <c r="A1796" i="2"/>
  <c r="A1785" i="2"/>
  <c r="A1774" i="2"/>
  <c r="A1763" i="2"/>
  <c r="A1752" i="2"/>
  <c r="A1739" i="2"/>
  <c r="A1715" i="2"/>
  <c r="A1624" i="2"/>
  <c r="A1584" i="2"/>
  <c r="A1533" i="2"/>
  <c r="A1460" i="2"/>
  <c r="A1428" i="2"/>
  <c r="A1413" i="2"/>
  <c r="A1383" i="2"/>
  <c r="A1351" i="2"/>
  <c r="A1332" i="2"/>
  <c r="A1299" i="2"/>
  <c r="A1206" i="2"/>
  <c r="A1184" i="2"/>
  <c r="A1068" i="2"/>
  <c r="A847" i="2"/>
  <c r="A770" i="2"/>
  <c r="A732" i="2"/>
  <c r="A578" i="2"/>
  <c r="A490" i="2"/>
  <c r="A409" i="2"/>
  <c r="A367" i="2"/>
  <c r="A232" i="2"/>
  <c r="A199" i="2"/>
  <c r="A107" i="2"/>
  <c r="A2360" i="2"/>
  <c r="A2350" i="2"/>
  <c r="A2340" i="2"/>
  <c r="A2330" i="2"/>
  <c r="A2320" i="2"/>
  <c r="A2310" i="2"/>
  <c r="A2300" i="2"/>
  <c r="A2290" i="2"/>
  <c r="A2280" i="2"/>
  <c r="A2270" i="2"/>
  <c r="A2260" i="2"/>
  <c r="A2250" i="2"/>
  <c r="A2240" i="2"/>
  <c r="A2230" i="2"/>
  <c r="A2220" i="2"/>
  <c r="A2210" i="2"/>
  <c r="A2200" i="2"/>
  <c r="A2190" i="2"/>
  <c r="A2180" i="2"/>
  <c r="A2170" i="2"/>
  <c r="A2160" i="2"/>
  <c r="A2150" i="2"/>
  <c r="A2140" i="2"/>
  <c r="A2130" i="2"/>
  <c r="A2120" i="2"/>
  <c r="A2110" i="2"/>
  <c r="A2100" i="2"/>
  <c r="A2090" i="2"/>
  <c r="A2080" i="2"/>
  <c r="A2070" i="2"/>
  <c r="A2060" i="2"/>
  <c r="A2050" i="2"/>
  <c r="A2040" i="2"/>
  <c r="A2030" i="2"/>
  <c r="A2020" i="2"/>
  <c r="A2010" i="2"/>
  <c r="A2000" i="2"/>
  <c r="A1990" i="2"/>
  <c r="A1980" i="2"/>
  <c r="A1970" i="2"/>
  <c r="A1960" i="2"/>
  <c r="A1950" i="2"/>
  <c r="A1940" i="2"/>
  <c r="A1930" i="2"/>
  <c r="A1920" i="2"/>
  <c r="A1910" i="2"/>
  <c r="A1900" i="2"/>
  <c r="A1890" i="2"/>
  <c r="A1880" i="2"/>
  <c r="A1870" i="2"/>
  <c r="A1860" i="2"/>
  <c r="A1839" i="2"/>
  <c r="A1702" i="2"/>
  <c r="A1689" i="2"/>
  <c r="A1676" i="2"/>
  <c r="A1662" i="2"/>
  <c r="A1649" i="2"/>
  <c r="A1636" i="2"/>
  <c r="A1611" i="2"/>
  <c r="A1596" i="2"/>
  <c r="A1571" i="2"/>
  <c r="A1558" i="2"/>
  <c r="A1545" i="2"/>
  <c r="A1518" i="2"/>
  <c r="A1504" i="2"/>
  <c r="A1490" i="2"/>
  <c r="A1474" i="2"/>
  <c r="A1411" i="2"/>
  <c r="A1397" i="2"/>
  <c r="A1382" i="2"/>
  <c r="A1366" i="2"/>
  <c r="A1348" i="2"/>
  <c r="A1282" i="2"/>
  <c r="A1265" i="2"/>
  <c r="A1247" i="2"/>
  <c r="A1225" i="2"/>
  <c r="A1163" i="2"/>
  <c r="A1115" i="2"/>
  <c r="A1043" i="2"/>
  <c r="A1017" i="2"/>
  <c r="A993" i="2"/>
  <c r="A946" i="2"/>
  <c r="A918" i="2"/>
  <c r="A896" i="2"/>
  <c r="A869" i="2"/>
  <c r="A801" i="2"/>
  <c r="A731" i="2"/>
  <c r="A692" i="2"/>
  <c r="A612" i="2"/>
  <c r="A572" i="2"/>
  <c r="A537" i="2"/>
  <c r="A449" i="2"/>
  <c r="A311" i="2"/>
  <c r="A149" i="2"/>
  <c r="A19" i="2"/>
  <c r="A1128" i="2"/>
  <c r="A1069" i="2"/>
  <c r="A990" i="2"/>
  <c r="A933" i="2"/>
  <c r="A913" i="2"/>
  <c r="A895" i="2"/>
  <c r="A827" i="2"/>
  <c r="A798" i="2"/>
  <c r="A677" i="2"/>
  <c r="A611" i="2"/>
  <c r="A580" i="2"/>
  <c r="A442" i="2"/>
  <c r="A308" i="2"/>
  <c r="A277" i="2"/>
  <c r="A239" i="2"/>
  <c r="A202" i="2"/>
  <c r="A171" i="2"/>
  <c r="A137" i="2"/>
  <c r="A102" i="2"/>
  <c r="A71" i="2"/>
  <c r="A1720" i="2"/>
  <c r="A1709" i="2"/>
  <c r="A1698" i="2"/>
  <c r="A1609" i="2"/>
  <c r="A1598" i="2"/>
  <c r="A1483" i="2"/>
  <c r="A1470" i="2"/>
  <c r="A1443" i="2"/>
  <c r="A1430" i="2"/>
  <c r="A1405" i="2"/>
  <c r="A1390" i="2"/>
  <c r="A1308" i="2"/>
  <c r="A1249" i="2"/>
  <c r="A1234" i="2"/>
  <c r="A1213" i="2"/>
  <c r="A1159" i="2"/>
  <c r="A1138" i="2"/>
  <c r="A1083" i="2"/>
  <c r="A1059" i="2"/>
  <c r="A980" i="2"/>
  <c r="A885" i="2"/>
  <c r="A781" i="2"/>
  <c r="A752" i="2"/>
  <c r="A660" i="2"/>
  <c r="A599" i="2"/>
  <c r="A399" i="2"/>
  <c r="A328" i="2"/>
  <c r="A260" i="2"/>
  <c r="A228" i="2"/>
  <c r="A122" i="2"/>
  <c r="A1850" i="2"/>
  <c r="A1840" i="2"/>
  <c r="A1830" i="2"/>
  <c r="A1820" i="2"/>
  <c r="A1810" i="2"/>
  <c r="A1800" i="2"/>
  <c r="A1790" i="2"/>
  <c r="A1780" i="2"/>
  <c r="A1770" i="2"/>
  <c r="A1760" i="2"/>
  <c r="A1750" i="2"/>
  <c r="A1740" i="2"/>
  <c r="A1730" i="2"/>
  <c r="A1686" i="2"/>
  <c r="A1675" i="2"/>
  <c r="A1664" i="2"/>
  <c r="A1653" i="2"/>
  <c r="A1642" i="2"/>
  <c r="A1631" i="2"/>
  <c r="A1586" i="2"/>
  <c r="A1575" i="2"/>
  <c r="A1564" i="2"/>
  <c r="A1553" i="2"/>
  <c r="A1542" i="2"/>
  <c r="A1531" i="2"/>
  <c r="A1495" i="2"/>
  <c r="A1482" i="2"/>
  <c r="A1442" i="2"/>
  <c r="A1417" i="2"/>
  <c r="A1404" i="2"/>
  <c r="A1377" i="2"/>
  <c r="A1335" i="2"/>
  <c r="A1321" i="2"/>
  <c r="A1292" i="2"/>
  <c r="A1277" i="2"/>
  <c r="A1262" i="2"/>
  <c r="A1233" i="2"/>
  <c r="A1195" i="2"/>
  <c r="A1176" i="2"/>
  <c r="A1158" i="2"/>
  <c r="A1119" i="2"/>
  <c r="A1099" i="2"/>
  <c r="A1080" i="2"/>
  <c r="A1040" i="2"/>
  <c r="A1020" i="2"/>
  <c r="A1003" i="2"/>
  <c r="A963" i="2"/>
  <c r="A866" i="2"/>
  <c r="A811" i="2"/>
  <c r="A690" i="2"/>
  <c r="A630" i="2"/>
  <c r="A567" i="2"/>
  <c r="A492" i="2"/>
  <c r="A430" i="2"/>
  <c r="A361" i="2"/>
  <c r="A259" i="2"/>
  <c r="A187" i="2"/>
  <c r="A50" i="2"/>
  <c r="A18" i="2"/>
  <c r="A1719" i="2"/>
  <c r="A1708" i="2"/>
  <c r="A1619" i="2"/>
  <c r="A1608" i="2"/>
  <c r="A1519" i="2"/>
  <c r="A1507" i="2"/>
  <c r="A1469" i="2"/>
  <c r="A1456" i="2"/>
  <c r="A1429" i="2"/>
  <c r="A1389" i="2"/>
  <c r="A1363" i="2"/>
  <c r="A1349" i="2"/>
  <c r="A1307" i="2"/>
  <c r="A1248" i="2"/>
  <c r="A1230" i="2"/>
  <c r="A1210" i="2"/>
  <c r="A1194" i="2"/>
  <c r="A1137" i="2"/>
  <c r="A1058" i="2"/>
  <c r="A979" i="2"/>
  <c r="A900" i="2"/>
  <c r="A841" i="2"/>
  <c r="A810" i="2"/>
  <c r="A780" i="2"/>
  <c r="A751" i="2"/>
  <c r="A720" i="2"/>
  <c r="A659" i="2"/>
  <c r="A592" i="2"/>
  <c r="A532" i="2"/>
  <c r="A461" i="2"/>
  <c r="A389" i="2"/>
  <c r="A327" i="2"/>
  <c r="A289" i="2"/>
  <c r="A227" i="2"/>
  <c r="A121" i="2"/>
  <c r="A49" i="2"/>
  <c r="A17" i="2"/>
  <c r="A1710" i="2"/>
  <c r="A1700" i="2"/>
  <c r="A1690" i="2"/>
  <c r="A1680" i="2"/>
  <c r="A1670" i="2"/>
  <c r="A1660" i="2"/>
  <c r="A1650" i="2"/>
  <c r="A1640" i="2"/>
  <c r="A1630" i="2"/>
  <c r="A1620" i="2"/>
  <c r="A1610" i="2"/>
  <c r="A1600" i="2"/>
  <c r="A1590" i="2"/>
  <c r="A1580" i="2"/>
  <c r="A1570" i="2"/>
  <c r="A1560" i="2"/>
  <c r="A1550" i="2"/>
  <c r="A1540" i="2"/>
  <c r="A1530" i="2"/>
  <c r="A1520" i="2"/>
  <c r="A1499" i="2"/>
  <c r="A1478" i="2"/>
  <c r="A1457" i="2"/>
  <c r="A1436" i="2"/>
  <c r="A1415" i="2"/>
  <c r="A1394" i="2"/>
  <c r="A1372" i="2"/>
  <c r="A1361" i="2"/>
  <c r="A1350" i="2"/>
  <c r="A1339" i="2"/>
  <c r="A1328" i="2"/>
  <c r="A1317" i="2"/>
  <c r="A1281" i="2"/>
  <c r="A1258" i="2"/>
  <c r="A1203" i="2"/>
  <c r="A1174" i="2"/>
  <c r="A1145" i="2"/>
  <c r="A1113" i="2"/>
  <c r="A1097" i="2"/>
  <c r="A1018" i="2"/>
  <c r="A973" i="2"/>
  <c r="A939" i="2"/>
  <c r="A925" i="2"/>
  <c r="A878" i="2"/>
  <c r="A860" i="2"/>
  <c r="A842" i="2"/>
  <c r="A749" i="2"/>
  <c r="A721" i="2"/>
  <c r="A600" i="2"/>
  <c r="A552" i="2"/>
  <c r="A450" i="2"/>
  <c r="A350" i="2"/>
  <c r="A300" i="2"/>
  <c r="A222" i="2"/>
  <c r="A198" i="2"/>
  <c r="A169" i="2"/>
  <c r="A120" i="2"/>
  <c r="A92" i="2"/>
  <c r="A62" i="2"/>
  <c r="A1508" i="2"/>
  <c r="A1487" i="2"/>
  <c r="A1466" i="2"/>
  <c r="A1445" i="2"/>
  <c r="A1424" i="2"/>
  <c r="A1403" i="2"/>
  <c r="A1392" i="2"/>
  <c r="A1291" i="2"/>
  <c r="A1268" i="2"/>
  <c r="A1245" i="2"/>
  <c r="A1215" i="2"/>
  <c r="A1186" i="2"/>
  <c r="A1157" i="2"/>
  <c r="A1140" i="2"/>
  <c r="A1126" i="2"/>
  <c r="A1079" i="2"/>
  <c r="A1047" i="2"/>
  <c r="A1000" i="2"/>
  <c r="A986" i="2"/>
  <c r="A968" i="2"/>
  <c r="A923" i="2"/>
  <c r="A907" i="2"/>
  <c r="A875" i="2"/>
  <c r="A817" i="2"/>
  <c r="A792" i="2"/>
  <c r="A648" i="2"/>
  <c r="A527" i="2"/>
  <c r="A427" i="2"/>
  <c r="A370" i="2"/>
  <c r="A348" i="2"/>
  <c r="A321" i="2"/>
  <c r="A189" i="2"/>
  <c r="A140" i="2"/>
  <c r="A89" i="2"/>
  <c r="A619" i="2"/>
  <c r="A598" i="2"/>
  <c r="A571" i="2"/>
  <c r="A550" i="2"/>
  <c r="A497" i="2"/>
  <c r="A472" i="2"/>
  <c r="A448" i="2"/>
  <c r="A422" i="2"/>
  <c r="A397" i="2"/>
  <c r="A320" i="2"/>
  <c r="A291" i="2"/>
  <c r="A267" i="2"/>
  <c r="A242" i="2"/>
  <c r="A167" i="2"/>
  <c r="A117" i="2"/>
  <c r="A61" i="2"/>
  <c r="A39" i="2"/>
  <c r="A1486" i="2"/>
  <c r="A1465" i="2"/>
  <c r="A1444" i="2"/>
  <c r="A1423" i="2"/>
  <c r="A1412" i="2"/>
  <c r="A1391" i="2"/>
  <c r="A1290" i="2"/>
  <c r="A1267" i="2"/>
  <c r="A1214" i="2"/>
  <c r="A1185" i="2"/>
  <c r="A1139" i="2"/>
  <c r="A1125" i="2"/>
  <c r="A1078" i="2"/>
  <c r="A1060" i="2"/>
  <c r="A1046" i="2"/>
  <c r="A999" i="2"/>
  <c r="A967" i="2"/>
  <c r="A920" i="2"/>
  <c r="A906" i="2"/>
  <c r="A888" i="2"/>
  <c r="A839" i="2"/>
  <c r="A789" i="2"/>
  <c r="A670" i="2"/>
  <c r="A522" i="2"/>
  <c r="A369" i="2"/>
  <c r="A217" i="2"/>
  <c r="A188" i="2"/>
  <c r="A139" i="2"/>
  <c r="A111" i="2"/>
  <c r="A88" i="2"/>
  <c r="A11" i="2"/>
  <c r="A1727" i="2"/>
  <c r="A1717" i="2"/>
  <c r="A1707" i="2"/>
  <c r="A1697" i="2"/>
  <c r="A1687" i="2"/>
  <c r="A1677" i="2"/>
  <c r="A1667" i="2"/>
  <c r="A1657" i="2"/>
  <c r="A1647" i="2"/>
  <c r="A1637" i="2"/>
  <c r="A1627" i="2"/>
  <c r="A1617" i="2"/>
  <c r="A1607" i="2"/>
  <c r="A1597" i="2"/>
  <c r="A1587" i="2"/>
  <c r="A1577" i="2"/>
  <c r="A1567" i="2"/>
  <c r="A1557" i="2"/>
  <c r="A1547" i="2"/>
  <c r="A1537" i="2"/>
  <c r="A1527" i="2"/>
  <c r="A1517" i="2"/>
  <c r="A1496" i="2"/>
  <c r="A1475" i="2"/>
  <c r="A1454" i="2"/>
  <c r="A1433" i="2"/>
  <c r="A1422" i="2"/>
  <c r="A1401" i="2"/>
  <c r="A1380" i="2"/>
  <c r="A1369" i="2"/>
  <c r="A1358" i="2"/>
  <c r="A1347" i="2"/>
  <c r="A1336" i="2"/>
  <c r="A1325" i="2"/>
  <c r="A1301" i="2"/>
  <c r="A1278" i="2"/>
  <c r="A1255" i="2"/>
  <c r="A1227" i="2"/>
  <c r="A1198" i="2"/>
  <c r="A1169" i="2"/>
  <c r="A1154" i="2"/>
  <c r="A1108" i="2"/>
  <c r="A1077" i="2"/>
  <c r="A1029" i="2"/>
  <c r="A1015" i="2"/>
  <c r="A950" i="2"/>
  <c r="A936" i="2"/>
  <c r="A873" i="2"/>
  <c r="A857" i="2"/>
  <c r="A812" i="2"/>
  <c r="A788" i="2"/>
  <c r="A739" i="2"/>
  <c r="A691" i="2"/>
  <c r="A618" i="2"/>
  <c r="A597" i="2"/>
  <c r="A570" i="2"/>
  <c r="A549" i="2"/>
  <c r="A521" i="2"/>
  <c r="A471" i="2"/>
  <c r="A447" i="2"/>
  <c r="A392" i="2"/>
  <c r="A341" i="2"/>
  <c r="A290" i="2"/>
  <c r="A241" i="2"/>
  <c r="A110" i="2"/>
  <c r="A87" i="2"/>
  <c r="A60" i="2"/>
  <c r="A10" i="2"/>
  <c r="A507" i="2"/>
  <c r="A487" i="2"/>
  <c r="A462" i="2"/>
  <c r="A401" i="2"/>
  <c r="A340" i="2"/>
  <c r="A279" i="2"/>
  <c r="A218" i="2"/>
  <c r="A157" i="2"/>
  <c r="A12" i="2"/>
  <c r="A1374" i="2"/>
  <c r="A1364" i="2"/>
  <c r="A1354" i="2"/>
  <c r="A1344" i="2"/>
  <c r="A1334" i="2"/>
  <c r="A1324" i="2"/>
  <c r="A1314" i="2"/>
  <c r="A1304" i="2"/>
  <c r="A1294" i="2"/>
  <c r="A1284" i="2"/>
  <c r="A1274" i="2"/>
  <c r="A1264" i="2"/>
  <c r="A1254" i="2"/>
  <c r="A1244" i="2"/>
  <c r="A1130" i="2"/>
  <c r="A1105" i="2"/>
  <c r="A1090" i="2"/>
  <c r="A1065" i="2"/>
  <c r="A1050" i="2"/>
  <c r="A1025" i="2"/>
  <c r="A1010" i="2"/>
  <c r="A985" i="2"/>
  <c r="A970" i="2"/>
  <c r="A945" i="2"/>
  <c r="A930" i="2"/>
  <c r="A905" i="2"/>
  <c r="A890" i="2"/>
  <c r="A865" i="2"/>
  <c r="A830" i="2"/>
  <c r="A769" i="2"/>
  <c r="A708" i="2"/>
  <c r="A647" i="2"/>
  <c r="A602" i="2"/>
  <c r="A541" i="2"/>
  <c r="A502" i="2"/>
  <c r="A480" i="2"/>
  <c r="A441" i="2"/>
  <c r="A419" i="2"/>
  <c r="A380" i="2"/>
  <c r="A358" i="2"/>
  <c r="A319" i="2"/>
  <c r="A297" i="2"/>
  <c r="A258" i="2"/>
  <c r="A197" i="2"/>
  <c r="A152" i="2"/>
  <c r="A91" i="2"/>
  <c r="A30" i="2"/>
  <c r="A1313" i="2"/>
  <c r="A1303" i="2"/>
  <c r="A1293" i="2"/>
  <c r="A1283" i="2"/>
  <c r="A1273" i="2"/>
  <c r="A1263" i="2"/>
  <c r="A1253" i="2"/>
  <c r="A1243" i="2"/>
  <c r="A1129" i="2"/>
  <c r="A1089" i="2"/>
  <c r="A1049" i="2"/>
  <c r="A1009" i="2"/>
  <c r="A969" i="2"/>
  <c r="A929" i="2"/>
  <c r="A889" i="2"/>
  <c r="A829" i="2"/>
  <c r="A809" i="2"/>
  <c r="A768" i="2"/>
  <c r="A748" i="2"/>
  <c r="A707" i="2"/>
  <c r="A687" i="2"/>
  <c r="A662" i="2"/>
  <c r="A601" i="2"/>
  <c r="A540" i="2"/>
  <c r="A479" i="2"/>
  <c r="A418" i="2"/>
  <c r="A357" i="2"/>
  <c r="A212" i="2"/>
  <c r="A192" i="2"/>
  <c r="A151" i="2"/>
  <c r="A131" i="2"/>
  <c r="A90" i="2"/>
  <c r="A70" i="2"/>
  <c r="A29" i="2"/>
  <c r="A9" i="2"/>
  <c r="A1229" i="2"/>
  <c r="A1217" i="2"/>
  <c r="A1205" i="2"/>
  <c r="A1193" i="2"/>
  <c r="A1179" i="2"/>
  <c r="A1167" i="2"/>
  <c r="A1155" i="2"/>
  <c r="A1143" i="2"/>
  <c r="A1116" i="2"/>
  <c r="A1103" i="2"/>
  <c r="A1076" i="2"/>
  <c r="A1063" i="2"/>
  <c r="A1036" i="2"/>
  <c r="A1023" i="2"/>
  <c r="A996" i="2"/>
  <c r="A983" i="2"/>
  <c r="A956" i="2"/>
  <c r="A943" i="2"/>
  <c r="A916" i="2"/>
  <c r="A903" i="2"/>
  <c r="A876" i="2"/>
  <c r="A863" i="2"/>
  <c r="A848" i="2"/>
  <c r="A787" i="2"/>
  <c r="A642" i="2"/>
  <c r="A622" i="2"/>
  <c r="A581" i="2"/>
  <c r="A561" i="2"/>
  <c r="A520" i="2"/>
  <c r="A500" i="2"/>
  <c r="A459" i="2"/>
  <c r="A439" i="2"/>
  <c r="A398" i="2"/>
  <c r="A378" i="2"/>
  <c r="A337" i="2"/>
  <c r="A317" i="2"/>
  <c r="A292" i="2"/>
  <c r="A231" i="2"/>
  <c r="A170" i="2"/>
  <c r="A109" i="2"/>
  <c r="A48" i="2"/>
  <c r="A1134" i="2"/>
  <c r="A1124" i="2"/>
  <c r="A1114" i="2"/>
  <c r="A1104" i="2"/>
  <c r="A1094" i="2"/>
  <c r="A1084" i="2"/>
  <c r="A1074" i="2"/>
  <c r="A1064" i="2"/>
  <c r="A1054" i="2"/>
  <c r="A1044" i="2"/>
  <c r="A1034" i="2"/>
  <c r="A1024" i="2"/>
  <c r="A1014" i="2"/>
  <c r="A1004" i="2"/>
  <c r="A994" i="2"/>
  <c r="A984" i="2"/>
  <c r="A974" i="2"/>
  <c r="A964" i="2"/>
  <c r="A954" i="2"/>
  <c r="A944" i="2"/>
  <c r="A934" i="2"/>
  <c r="A924" i="2"/>
  <c r="A914" i="2"/>
  <c r="A904" i="2"/>
  <c r="A894" i="2"/>
  <c r="A884" i="2"/>
  <c r="A874" i="2"/>
  <c r="A864" i="2"/>
  <c r="A854" i="2"/>
  <c r="A840" i="2"/>
  <c r="A779" i="2"/>
  <c r="A762" i="2"/>
  <c r="A718" i="2"/>
  <c r="A701" i="2"/>
  <c r="A657" i="2"/>
  <c r="A640" i="2"/>
  <c r="A579" i="2"/>
  <c r="A562" i="2"/>
  <c r="A518" i="2"/>
  <c r="A501" i="2"/>
  <c r="A457" i="2"/>
  <c r="A440" i="2"/>
  <c r="A379" i="2"/>
  <c r="A362" i="2"/>
  <c r="A318" i="2"/>
  <c r="A301" i="2"/>
  <c r="A257" i="2"/>
  <c r="A240" i="2"/>
  <c r="A179" i="2"/>
  <c r="A162" i="2"/>
  <c r="A118" i="2"/>
  <c r="A101" i="2"/>
  <c r="A57" i="2"/>
  <c r="A40" i="2"/>
  <c r="A852" i="2"/>
  <c r="A808" i="2"/>
  <c r="A791" i="2"/>
  <c r="A747" i="2"/>
  <c r="A730" i="2"/>
  <c r="A669" i="2"/>
  <c r="A652" i="2"/>
  <c r="A608" i="2"/>
  <c r="A591" i="2"/>
  <c r="A547" i="2"/>
  <c r="A530" i="2"/>
  <c r="A469" i="2"/>
  <c r="A452" i="2"/>
  <c r="A408" i="2"/>
  <c r="A391" i="2"/>
  <c r="A347" i="2"/>
  <c r="A330" i="2"/>
  <c r="A269" i="2"/>
  <c r="A252" i="2"/>
  <c r="A208" i="2"/>
  <c r="A191" i="2"/>
  <c r="A147" i="2"/>
  <c r="A130" i="2"/>
  <c r="A69" i="2"/>
  <c r="A52" i="2"/>
  <c r="A8" i="2"/>
  <c r="A1242" i="2"/>
  <c r="A1232" i="2"/>
  <c r="A1222" i="2"/>
  <c r="A1212" i="2"/>
  <c r="A1202" i="2"/>
  <c r="A1192" i="2"/>
  <c r="A1182" i="2"/>
  <c r="A1172" i="2"/>
  <c r="A1162" i="2"/>
  <c r="A1152" i="2"/>
  <c r="A1142" i="2"/>
  <c r="A1132" i="2"/>
  <c r="A1122" i="2"/>
  <c r="A1112" i="2"/>
  <c r="A1102" i="2"/>
  <c r="A1092" i="2"/>
  <c r="A1082" i="2"/>
  <c r="A1072" i="2"/>
  <c r="A1062" i="2"/>
  <c r="A1052" i="2"/>
  <c r="A1042" i="2"/>
  <c r="A1032" i="2"/>
  <c r="A1022" i="2"/>
  <c r="A1012" i="2"/>
  <c r="A1002" i="2"/>
  <c r="A992" i="2"/>
  <c r="A982" i="2"/>
  <c r="A972" i="2"/>
  <c r="A962" i="2"/>
  <c r="A952" i="2"/>
  <c r="A942" i="2"/>
  <c r="A932" i="2"/>
  <c r="A922" i="2"/>
  <c r="A912" i="2"/>
  <c r="A902" i="2"/>
  <c r="A892" i="2"/>
  <c r="A882" i="2"/>
  <c r="A872" i="2"/>
  <c r="A862" i="2"/>
  <c r="A838" i="2"/>
  <c r="A821" i="2"/>
  <c r="A777" i="2"/>
  <c r="A760" i="2"/>
  <c r="A699" i="2"/>
  <c r="A682" i="2"/>
  <c r="A638" i="2"/>
  <c r="A621" i="2"/>
  <c r="A577" i="2"/>
  <c r="A560" i="2"/>
  <c r="A499" i="2"/>
  <c r="A482" i="2"/>
  <c r="A438" i="2"/>
  <c r="A421" i="2"/>
  <c r="A377" i="2"/>
  <c r="A360" i="2"/>
  <c r="A299" i="2"/>
  <c r="A282" i="2"/>
  <c r="A238" i="2"/>
  <c r="A221" i="2"/>
  <c r="A177" i="2"/>
  <c r="A160" i="2"/>
  <c r="A99" i="2"/>
  <c r="A82" i="2"/>
  <c r="A38" i="2"/>
  <c r="A21" i="2"/>
  <c r="A851" i="2"/>
  <c r="A807" i="2"/>
  <c r="A790" i="2"/>
  <c r="A729" i="2"/>
  <c r="A712" i="2"/>
  <c r="A668" i="2"/>
  <c r="A651" i="2"/>
  <c r="A607" i="2"/>
  <c r="A590" i="2"/>
  <c r="A529" i="2"/>
  <c r="A512" i="2"/>
  <c r="A468" i="2"/>
  <c r="A451" i="2"/>
  <c r="A407" i="2"/>
  <c r="A390" i="2"/>
  <c r="A329" i="2"/>
  <c r="A312" i="2"/>
  <c r="A268" i="2"/>
  <c r="A251" i="2"/>
  <c r="A207" i="2"/>
  <c r="A190" i="2"/>
  <c r="A129" i="2"/>
  <c r="A112" i="2"/>
  <c r="A68" i="2"/>
  <c r="A51" i="2"/>
  <c r="A7" i="2"/>
  <c r="A1241" i="2"/>
  <c r="A1231" i="2"/>
  <c r="A1221" i="2"/>
  <c r="A1211" i="2"/>
  <c r="A1201" i="2"/>
  <c r="A1191" i="2"/>
  <c r="A1181" i="2"/>
  <c r="A1171" i="2"/>
  <c r="A1161" i="2"/>
  <c r="A1151" i="2"/>
  <c r="A1141" i="2"/>
  <c r="A1131" i="2"/>
  <c r="A1121" i="2"/>
  <c r="A1111" i="2"/>
  <c r="A1101" i="2"/>
  <c r="A1091" i="2"/>
  <c r="A1081" i="2"/>
  <c r="A1071" i="2"/>
  <c r="A1061" i="2"/>
  <c r="A1051" i="2"/>
  <c r="A1041" i="2"/>
  <c r="A1031" i="2"/>
  <c r="A1021" i="2"/>
  <c r="A1011" i="2"/>
  <c r="A1001" i="2"/>
  <c r="A991" i="2"/>
  <c r="A981" i="2"/>
  <c r="A971" i="2"/>
  <c r="A961" i="2"/>
  <c r="A951" i="2"/>
  <c r="A941" i="2"/>
  <c r="A931" i="2"/>
  <c r="A921" i="2"/>
  <c r="A911" i="2"/>
  <c r="A901" i="2"/>
  <c r="A891" i="2"/>
  <c r="A881" i="2"/>
  <c r="A871" i="2"/>
  <c r="A861" i="2"/>
  <c r="A837" i="2"/>
  <c r="A820" i="2"/>
  <c r="A759" i="2"/>
  <c r="A742" i="2"/>
  <c r="A698" i="2"/>
  <c r="A681" i="2"/>
  <c r="A637" i="2"/>
  <c r="A620" i="2"/>
  <c r="A559" i="2"/>
  <c r="A542" i="2"/>
  <c r="A498" i="2"/>
  <c r="A481" i="2"/>
  <c r="A437" i="2"/>
  <c r="A420" i="2"/>
  <c r="A359" i="2"/>
  <c r="A342" i="2"/>
  <c r="A298" i="2"/>
  <c r="A281" i="2"/>
  <c r="A237" i="2"/>
  <c r="A220" i="2"/>
  <c r="A159" i="2"/>
  <c r="A142" i="2"/>
  <c r="A98" i="2"/>
  <c r="A81" i="2"/>
  <c r="A37" i="2"/>
  <c r="A20" i="2"/>
  <c r="A846" i="2"/>
  <c r="A836" i="2"/>
  <c r="A826" i="2"/>
  <c r="A816" i="2"/>
  <c r="A806" i="2"/>
  <c r="A796" i="2"/>
  <c r="A786" i="2"/>
  <c r="A776" i="2"/>
  <c r="A766" i="2"/>
  <c r="A756" i="2"/>
  <c r="A746" i="2"/>
  <c r="A736" i="2"/>
  <c r="A726" i="2"/>
  <c r="A716" i="2"/>
  <c r="A706" i="2"/>
  <c r="A696" i="2"/>
  <c r="A686" i="2"/>
  <c r="A676" i="2"/>
  <c r="A666" i="2"/>
  <c r="A656" i="2"/>
  <c r="A646" i="2"/>
  <c r="A636" i="2"/>
  <c r="A626" i="2"/>
  <c r="A616" i="2"/>
  <c r="A606" i="2"/>
  <c r="A596" i="2"/>
  <c r="A586" i="2"/>
  <c r="A576" i="2"/>
  <c r="A566" i="2"/>
  <c r="A556" i="2"/>
  <c r="A546" i="2"/>
  <c r="A536" i="2"/>
  <c r="A526" i="2"/>
  <c r="A516" i="2"/>
  <c r="A506" i="2"/>
  <c r="A496" i="2"/>
  <c r="A486" i="2"/>
  <c r="A476" i="2"/>
  <c r="A466" i="2"/>
  <c r="A456" i="2"/>
  <c r="A446" i="2"/>
  <c r="A436" i="2"/>
  <c r="A426" i="2"/>
  <c r="A416" i="2"/>
  <c r="A406" i="2"/>
  <c r="A396" i="2"/>
  <c r="A386" i="2"/>
  <c r="A376" i="2"/>
  <c r="A366" i="2"/>
  <c r="A356" i="2"/>
  <c r="A346" i="2"/>
  <c r="A336" i="2"/>
  <c r="A326" i="2"/>
  <c r="A316" i="2"/>
  <c r="A306" i="2"/>
  <c r="A296" i="2"/>
  <c r="A286" i="2"/>
  <c r="A276" i="2"/>
  <c r="A266" i="2"/>
  <c r="A256" i="2"/>
  <c r="A246" i="2"/>
  <c r="A236" i="2"/>
  <c r="A226" i="2"/>
  <c r="A216" i="2"/>
  <c r="A206" i="2"/>
  <c r="A196" i="2"/>
  <c r="A186" i="2"/>
  <c r="A176" i="2"/>
  <c r="A166" i="2"/>
  <c r="A156" i="2"/>
  <c r="A146" i="2"/>
  <c r="A136" i="2"/>
  <c r="A126" i="2"/>
  <c r="A116" i="2"/>
  <c r="A106" i="2"/>
  <c r="A96" i="2"/>
  <c r="A86" i="2"/>
  <c r="A76" i="2"/>
  <c r="A66" i="2"/>
  <c r="A56" i="2"/>
  <c r="A46" i="2"/>
  <c r="A36" i="2"/>
  <c r="A26" i="2"/>
  <c r="A16" i="2"/>
  <c r="A6" i="2"/>
  <c r="A845" i="2"/>
  <c r="A835" i="2"/>
  <c r="A825" i="2"/>
  <c r="A815" i="2"/>
  <c r="A805" i="2"/>
  <c r="A795" i="2"/>
  <c r="A785" i="2"/>
  <c r="A775" i="2"/>
  <c r="A765" i="2"/>
  <c r="A755" i="2"/>
  <c r="A745" i="2"/>
  <c r="A735" i="2"/>
  <c r="A725" i="2"/>
  <c r="A715" i="2"/>
  <c r="A705" i="2"/>
  <c r="A695" i="2"/>
  <c r="A685" i="2"/>
  <c r="A675" i="2"/>
  <c r="A665" i="2"/>
  <c r="A655" i="2"/>
  <c r="A645" i="2"/>
  <c r="A635" i="2"/>
  <c r="A625" i="2"/>
  <c r="A615" i="2"/>
  <c r="A605" i="2"/>
  <c r="A595" i="2"/>
  <c r="A585" i="2"/>
  <c r="A575" i="2"/>
  <c r="A565" i="2"/>
  <c r="A555" i="2"/>
  <c r="A545" i="2"/>
  <c r="A535" i="2"/>
  <c r="A525" i="2"/>
  <c r="A515" i="2"/>
  <c r="A505" i="2"/>
  <c r="A495" i="2"/>
  <c r="A485" i="2"/>
  <c r="A475" i="2"/>
  <c r="A465" i="2"/>
  <c r="A455" i="2"/>
  <c r="A445" i="2"/>
  <c r="A435" i="2"/>
  <c r="A425" i="2"/>
  <c r="A415" i="2"/>
  <c r="A405" i="2"/>
  <c r="A395" i="2"/>
  <c r="A385" i="2"/>
  <c r="A375" i="2"/>
  <c r="A365" i="2"/>
  <c r="A355" i="2"/>
  <c r="A345" i="2"/>
  <c r="A335" i="2"/>
  <c r="A325" i="2"/>
  <c r="A315" i="2"/>
  <c r="A305" i="2"/>
  <c r="A295" i="2"/>
  <c r="A285" i="2"/>
  <c r="A275" i="2"/>
  <c r="A265" i="2"/>
  <c r="A255" i="2"/>
  <c r="A245" i="2"/>
  <c r="A235" i="2"/>
  <c r="A225" i="2"/>
  <c r="A215" i="2"/>
  <c r="A205" i="2"/>
  <c r="A195" i="2"/>
  <c r="A185" i="2"/>
  <c r="A175" i="2"/>
  <c r="A165" i="2"/>
  <c r="A155" i="2"/>
  <c r="A145" i="2"/>
  <c r="A135" i="2"/>
  <c r="A125" i="2"/>
  <c r="A115" i="2"/>
  <c r="A105" i="2"/>
  <c r="A95" i="2"/>
  <c r="A85" i="2"/>
  <c r="A75" i="2"/>
  <c r="A65" i="2"/>
  <c r="A55" i="2"/>
  <c r="A45" i="2"/>
  <c r="A35" i="2"/>
  <c r="A25" i="2"/>
  <c r="A15" i="2"/>
  <c r="A5" i="2"/>
  <c r="A844" i="2"/>
  <c r="A834" i="2"/>
  <c r="A824" i="2"/>
  <c r="A814" i="2"/>
  <c r="A804" i="2"/>
  <c r="A794" i="2"/>
  <c r="A784" i="2"/>
  <c r="A774" i="2"/>
  <c r="A764" i="2"/>
  <c r="A754" i="2"/>
  <c r="A744" i="2"/>
  <c r="A734" i="2"/>
  <c r="A724" i="2"/>
  <c r="A714" i="2"/>
  <c r="A704" i="2"/>
  <c r="A694" i="2"/>
  <c r="A684" i="2"/>
  <c r="A674" i="2"/>
  <c r="A664" i="2"/>
  <c r="A654" i="2"/>
  <c r="A644" i="2"/>
  <c r="A634" i="2"/>
  <c r="A624" i="2"/>
  <c r="A614" i="2"/>
  <c r="A604" i="2"/>
  <c r="A594" i="2"/>
  <c r="A584" i="2"/>
  <c r="A574" i="2"/>
  <c r="A564" i="2"/>
  <c r="A554" i="2"/>
  <c r="A544" i="2"/>
  <c r="A534" i="2"/>
  <c r="A524" i="2"/>
  <c r="A514" i="2"/>
  <c r="A504" i="2"/>
  <c r="A494" i="2"/>
  <c r="A484" i="2"/>
  <c r="A474" i="2"/>
  <c r="A464" i="2"/>
  <c r="A454" i="2"/>
  <c r="A444" i="2"/>
  <c r="A434" i="2"/>
  <c r="A424" i="2"/>
  <c r="A414" i="2"/>
  <c r="A404" i="2"/>
  <c r="A394" i="2"/>
  <c r="A384" i="2"/>
  <c r="A374" i="2"/>
  <c r="A364" i="2"/>
  <c r="A354" i="2"/>
  <c r="A344" i="2"/>
  <c r="A334" i="2"/>
  <c r="A324" i="2"/>
  <c r="A314" i="2"/>
  <c r="A304" i="2"/>
  <c r="A294" i="2"/>
  <c r="A284" i="2"/>
  <c r="A274" i="2"/>
  <c r="A264" i="2"/>
  <c r="A254" i="2"/>
  <c r="A244" i="2"/>
  <c r="A234" i="2"/>
  <c r="A224" i="2"/>
  <c r="A214" i="2"/>
  <c r="A204" i="2"/>
  <c r="A194" i="2"/>
  <c r="A184" i="2"/>
  <c r="A174" i="2"/>
  <c r="A164" i="2"/>
  <c r="A154" i="2"/>
  <c r="A144" i="2"/>
  <c r="A134" i="2"/>
  <c r="A124" i="2"/>
  <c r="A114" i="2"/>
  <c r="A104" i="2"/>
  <c r="A94" i="2"/>
  <c r="A84" i="2"/>
  <c r="A74" i="2"/>
  <c r="A64" i="2"/>
  <c r="A54" i="2"/>
  <c r="A44" i="2"/>
  <c r="A34" i="2"/>
  <c r="A24" i="2"/>
  <c r="A14" i="2"/>
  <c r="A4" i="2"/>
  <c r="A853" i="2"/>
  <c r="A843" i="2"/>
  <c r="A833" i="2"/>
  <c r="A823" i="2"/>
  <c r="A813" i="2"/>
  <c r="A803" i="2"/>
  <c r="A793" i="2"/>
  <c r="A783" i="2"/>
  <c r="A773" i="2"/>
  <c r="A763" i="2"/>
  <c r="A753" i="2"/>
  <c r="A743" i="2"/>
  <c r="A733" i="2"/>
  <c r="A723" i="2"/>
  <c r="A713" i="2"/>
  <c r="A703" i="2"/>
  <c r="A693" i="2"/>
  <c r="A683" i="2"/>
  <c r="A673" i="2"/>
  <c r="A663" i="2"/>
  <c r="A653" i="2"/>
  <c r="A643" i="2"/>
  <c r="A633" i="2"/>
  <c r="A623" i="2"/>
  <c r="A613" i="2"/>
  <c r="A603" i="2"/>
  <c r="A593" i="2"/>
  <c r="A583" i="2"/>
  <c r="A573" i="2"/>
  <c r="A563" i="2"/>
  <c r="A553" i="2"/>
  <c r="A543" i="2"/>
  <c r="A533" i="2"/>
  <c r="A523" i="2"/>
  <c r="A513" i="2"/>
  <c r="A503" i="2"/>
  <c r="A493" i="2"/>
  <c r="A483" i="2"/>
  <c r="A473" i="2"/>
  <c r="A463" i="2"/>
  <c r="A453" i="2"/>
  <c r="A443" i="2"/>
  <c r="A433" i="2"/>
  <c r="A423" i="2"/>
  <c r="A413" i="2"/>
  <c r="A403" i="2"/>
  <c r="A393" i="2"/>
  <c r="A383" i="2"/>
  <c r="A373" i="2"/>
  <c r="A363" i="2"/>
  <c r="A353" i="2"/>
  <c r="A343" i="2"/>
  <c r="A333" i="2"/>
  <c r="A323" i="2"/>
  <c r="A313" i="2"/>
  <c r="A303" i="2"/>
  <c r="A293" i="2"/>
  <c r="A283" i="2"/>
  <c r="A273" i="2"/>
  <c r="A263" i="2"/>
  <c r="A253" i="2"/>
  <c r="A243" i="2"/>
  <c r="A233" i="2"/>
  <c r="A223" i="2"/>
  <c r="A213" i="2"/>
  <c r="A203" i="2"/>
  <c r="A193" i="2"/>
  <c r="A183" i="2"/>
  <c r="A173" i="2"/>
  <c r="A163" i="2"/>
  <c r="A153" i="2"/>
  <c r="A143" i="2"/>
  <c r="A133" i="2"/>
  <c r="A123" i="2"/>
  <c r="A113" i="2"/>
  <c r="A103" i="2"/>
  <c r="A93" i="2"/>
  <c r="A83" i="2"/>
  <c r="A73" i="2"/>
  <c r="A63" i="2"/>
  <c r="A53" i="2"/>
  <c r="A43" i="2"/>
  <c r="A33" i="2"/>
  <c r="A23" i="2"/>
  <c r="A13" i="2"/>
  <c r="A3" i="2"/>
  <c r="A2" i="2"/>
  <c r="A2" i="4"/>
  <c r="L2" i="5"/>
  <c r="D2343" i="2"/>
  <c r="D2234" i="2"/>
  <c r="D2124" i="2"/>
  <c r="D2063" i="2"/>
  <c r="D1868" i="2"/>
  <c r="D1787" i="2"/>
  <c r="D1746" i="2"/>
  <c r="D1635" i="2"/>
  <c r="D1582" i="2"/>
  <c r="D2263" i="2"/>
  <c r="D2204" i="2"/>
  <c r="D2093" i="2"/>
  <c r="D1991" i="2"/>
  <c r="D1951" i="2"/>
  <c r="D1908" i="2"/>
  <c r="D1827" i="2"/>
  <c r="D1524" i="2"/>
  <c r="D1389" i="2"/>
  <c r="D1322" i="2"/>
  <c r="D1244" i="2"/>
  <c r="D667" i="2"/>
  <c r="D467" i="2"/>
  <c r="D2292" i="2"/>
  <c r="D2181" i="2"/>
  <c r="D2028" i="2"/>
  <c r="D1911" i="2"/>
  <c r="D1694" i="2"/>
  <c r="D242" i="2"/>
  <c r="D2314" i="2"/>
  <c r="D2233" i="2"/>
  <c r="D2178" i="2"/>
  <c r="D2121" i="2"/>
  <c r="D2059" i="2"/>
  <c r="D1946" i="2"/>
  <c r="D1902" i="2"/>
  <c r="D1821" i="2"/>
  <c r="D1634" i="2"/>
  <c r="D1577" i="2"/>
  <c r="D1514" i="2"/>
  <c r="D1458" i="2"/>
  <c r="D1242" i="2"/>
  <c r="D1042" i="2"/>
  <c r="D930" i="2"/>
  <c r="D829" i="2"/>
  <c r="D637" i="2"/>
  <c r="D219" i="2"/>
  <c r="D2364" i="2"/>
  <c r="D2338" i="2"/>
  <c r="D2262" i="2"/>
  <c r="D2203" i="2"/>
  <c r="D2149" i="2"/>
  <c r="D2119" i="2"/>
  <c r="D2058" i="2"/>
  <c r="D1982" i="2"/>
  <c r="D1901" i="2"/>
  <c r="D1778" i="2"/>
  <c r="D1737" i="2"/>
  <c r="D1682" i="2"/>
  <c r="D1513" i="2"/>
  <c r="D1446" i="2"/>
  <c r="D1388" i="2"/>
  <c r="D1228" i="2"/>
  <c r="D1134" i="2"/>
  <c r="D928" i="2"/>
  <c r="D2287" i="2"/>
  <c r="D2259" i="2"/>
  <c r="D2232" i="2"/>
  <c r="D2173" i="2"/>
  <c r="D2088" i="2"/>
  <c r="D1941" i="2"/>
  <c r="D1818" i="2"/>
  <c r="D1632" i="2"/>
  <c r="D1318" i="2"/>
  <c r="D1227" i="2"/>
  <c r="D1125" i="2"/>
  <c r="D800" i="2"/>
  <c r="D197" i="2"/>
  <c r="D2363" i="2"/>
  <c r="D2337" i="2"/>
  <c r="D2309" i="2"/>
  <c r="D2258" i="2"/>
  <c r="D2202" i="2"/>
  <c r="D2143" i="2"/>
  <c r="D2084" i="2"/>
  <c r="D2053" i="2"/>
  <c r="D2017" i="2"/>
  <c r="D1938" i="2"/>
  <c r="D1857" i="2"/>
  <c r="D1775" i="2"/>
  <c r="D1727" i="2"/>
  <c r="D1681" i="2"/>
  <c r="D1629" i="2"/>
  <c r="D1503" i="2"/>
  <c r="D1387" i="2"/>
  <c r="D1027" i="2"/>
  <c r="D629" i="2"/>
  <c r="D2172" i="2"/>
  <c r="D2082" i="2"/>
  <c r="D2051" i="2"/>
  <c r="D2015" i="2"/>
  <c r="D1935" i="2"/>
  <c r="D1853" i="2"/>
  <c r="D1768" i="2"/>
  <c r="D1622" i="2"/>
  <c r="D1565" i="2"/>
  <c r="D1499" i="2"/>
  <c r="D1442" i="2"/>
  <c r="D1214" i="2"/>
  <c r="D1403" i="2"/>
  <c r="D2334" i="2"/>
  <c r="D2308" i="2"/>
  <c r="D2281" i="2"/>
  <c r="D2201" i="2"/>
  <c r="D2142" i="2"/>
  <c r="D2112" i="2"/>
  <c r="D2050" i="2"/>
  <c r="D2013" i="2"/>
  <c r="D1975" i="2"/>
  <c r="D1893" i="2"/>
  <c r="D1808" i="2"/>
  <c r="D1726" i="2"/>
  <c r="D1678" i="2"/>
  <c r="D1497" i="2"/>
  <c r="D1441" i="2"/>
  <c r="D1299" i="2"/>
  <c r="D920" i="2"/>
  <c r="D768" i="2"/>
  <c r="D2198" i="2"/>
  <c r="D2171" i="2"/>
  <c r="D2081" i="2"/>
  <c r="D2048" i="2"/>
  <c r="D1933" i="2"/>
  <c r="D1848" i="2"/>
  <c r="D1767" i="2"/>
  <c r="D1618" i="2"/>
  <c r="D1557" i="2"/>
  <c r="D1496" i="2"/>
  <c r="D1374" i="2"/>
  <c r="D1289" i="2"/>
  <c r="D1109" i="2"/>
  <c r="D904" i="2"/>
  <c r="D1147" i="2"/>
  <c r="D2358" i="2"/>
  <c r="D2307" i="2"/>
  <c r="D2279" i="2"/>
  <c r="D2251" i="2"/>
  <c r="D2223" i="2"/>
  <c r="D2141" i="2"/>
  <c r="D2111" i="2"/>
  <c r="D2012" i="2"/>
  <c r="D1973" i="2"/>
  <c r="D1888" i="2"/>
  <c r="D1807" i="2"/>
  <c r="D1725" i="2"/>
  <c r="D1668" i="2"/>
  <c r="D1551" i="2"/>
  <c r="D1435" i="2"/>
  <c r="D1004" i="2"/>
  <c r="D587" i="2"/>
  <c r="D370" i="2"/>
  <c r="D2221" i="2"/>
  <c r="D2194" i="2"/>
  <c r="D2079" i="2"/>
  <c r="D2047" i="2"/>
  <c r="D1928" i="2"/>
  <c r="D1847" i="2"/>
  <c r="D1766" i="2"/>
  <c r="D1611" i="2"/>
  <c r="D1495" i="2"/>
  <c r="D1434" i="2"/>
  <c r="D1288" i="2"/>
  <c r="D1092" i="2"/>
  <c r="D760" i="2"/>
  <c r="D567" i="2"/>
  <c r="D120" i="2"/>
  <c r="D2329" i="2"/>
  <c r="D2278" i="2"/>
  <c r="D2249" i="2"/>
  <c r="D2164" i="2"/>
  <c r="D2139" i="2"/>
  <c r="D2109" i="2"/>
  <c r="D2011" i="2"/>
  <c r="D1968" i="2"/>
  <c r="D1887" i="2"/>
  <c r="D1806" i="2"/>
  <c r="D1715" i="2"/>
  <c r="D1659" i="2"/>
  <c r="D1549" i="2"/>
  <c r="D1427" i="2"/>
  <c r="D1360" i="2"/>
  <c r="D880" i="2"/>
  <c r="D560" i="2"/>
  <c r="D2352" i="2"/>
  <c r="D2219" i="2"/>
  <c r="D2104" i="2"/>
  <c r="D2041" i="2"/>
  <c r="D2005" i="2"/>
  <c r="D1925" i="2"/>
  <c r="D1842" i="2"/>
  <c r="D1761" i="2"/>
  <c r="D1278" i="2"/>
  <c r="D1189" i="2"/>
  <c r="D1090" i="2"/>
  <c r="D987" i="2"/>
  <c r="D730" i="2"/>
  <c r="D2301" i="2"/>
  <c r="D2248" i="2"/>
  <c r="D2189" i="2"/>
  <c r="D2162" i="2"/>
  <c r="D2103" i="2"/>
  <c r="D2003" i="2"/>
  <c r="D1922" i="2"/>
  <c r="D1841" i="2"/>
  <c r="D1658" i="2"/>
  <c r="D1542" i="2"/>
  <c r="D1487" i="2"/>
  <c r="D877" i="2"/>
  <c r="D2351" i="2"/>
  <c r="D2323" i="2"/>
  <c r="D2218" i="2"/>
  <c r="D2159" i="2"/>
  <c r="D2133" i="2"/>
  <c r="D2072" i="2"/>
  <c r="D1962" i="2"/>
  <c r="D1881" i="2"/>
  <c r="D1706" i="2"/>
  <c r="D1602" i="2"/>
  <c r="D1539" i="2"/>
  <c r="D1476" i="2"/>
  <c r="D1082" i="2"/>
  <c r="D102" i="2"/>
  <c r="D2272" i="2"/>
  <c r="D2243" i="2"/>
  <c r="D2188" i="2"/>
  <c r="D2101" i="2"/>
  <c r="D2036" i="2"/>
  <c r="D1835" i="2"/>
  <c r="D1751" i="2"/>
  <c r="D1653" i="2"/>
  <c r="D1475" i="2"/>
  <c r="D1416" i="2"/>
  <c r="D1265" i="2"/>
  <c r="D1172" i="2"/>
  <c r="D965" i="2"/>
  <c r="D874" i="2"/>
  <c r="D702" i="2"/>
  <c r="D537" i="2"/>
  <c r="D300" i="2"/>
  <c r="D2349" i="2"/>
  <c r="D2322" i="2"/>
  <c r="D2294" i="2"/>
  <c r="D2242" i="2"/>
  <c r="D2158" i="2"/>
  <c r="D2098" i="2"/>
  <c r="D2031" i="2"/>
  <c r="D1913" i="2"/>
  <c r="D1832" i="2"/>
  <c r="D1748" i="2"/>
  <c r="D1705" i="2"/>
  <c r="D1472" i="2"/>
  <c r="D1264" i="2"/>
  <c r="D1170" i="2"/>
  <c r="D700" i="2"/>
  <c r="D510" i="2"/>
  <c r="D67" i="2"/>
  <c r="D2128" i="2"/>
  <c r="D2030" i="2"/>
  <c r="D1993" i="2"/>
  <c r="D1953" i="2"/>
  <c r="D1872" i="2"/>
  <c r="D1791" i="2"/>
  <c r="D1594" i="2"/>
  <c r="D1527" i="2"/>
  <c r="D1415" i="2"/>
  <c r="D1340" i="2"/>
  <c r="D852" i="2"/>
  <c r="D279" i="2"/>
  <c r="D2321" i="2"/>
  <c r="D2293" i="2"/>
  <c r="D2239" i="2"/>
  <c r="D2184" i="2"/>
  <c r="D2064" i="2"/>
  <c r="D1912" i="2"/>
  <c r="D1831" i="2"/>
  <c r="D1788" i="2"/>
  <c r="D1747" i="2"/>
  <c r="D1583" i="2"/>
  <c r="D1471" i="2"/>
  <c r="D1405" i="2"/>
  <c r="D1054" i="2"/>
  <c r="D962" i="2"/>
  <c r="D840" i="2"/>
  <c r="D50" i="2"/>
  <c r="D2264" i="2"/>
  <c r="D2211" i="2"/>
  <c r="D2182" i="2"/>
  <c r="D2154" i="2"/>
  <c r="D2094" i="2"/>
  <c r="D1992" i="2"/>
  <c r="D1952" i="2"/>
  <c r="D1871" i="2"/>
  <c r="D1828" i="2"/>
  <c r="D1695" i="2"/>
  <c r="D1645" i="2"/>
  <c r="D1525" i="2"/>
  <c r="D1247" i="2"/>
  <c r="D1044" i="2"/>
  <c r="D838" i="2"/>
  <c r="D2078" i="2"/>
  <c r="D2046" i="2"/>
  <c r="D2007" i="2"/>
  <c r="D1948" i="2"/>
  <c r="D1867" i="2"/>
  <c r="D1765" i="2"/>
  <c r="D1652" i="2"/>
  <c r="D1548" i="2"/>
  <c r="D1277" i="2"/>
  <c r="D1162" i="2"/>
  <c r="D1080" i="2"/>
  <c r="D1002" i="2"/>
  <c r="D812" i="2"/>
  <c r="D611" i="2"/>
  <c r="D352" i="2"/>
  <c r="D277" i="2"/>
  <c r="D2362" i="2"/>
  <c r="D2348" i="2"/>
  <c r="D2333" i="2"/>
  <c r="D2319" i="2"/>
  <c r="D2304" i="2"/>
  <c r="D2291" i="2"/>
  <c r="D2277" i="2"/>
  <c r="D2231" i="2"/>
  <c r="D2214" i="2"/>
  <c r="D2169" i="2"/>
  <c r="D2153" i="2"/>
  <c r="D2108" i="2"/>
  <c r="D2092" i="2"/>
  <c r="D1988" i="2"/>
  <c r="D1967" i="2"/>
  <c r="D1907" i="2"/>
  <c r="D1886" i="2"/>
  <c r="D1826" i="2"/>
  <c r="D1805" i="2"/>
  <c r="D1782" i="2"/>
  <c r="D1722" i="2"/>
  <c r="D1676" i="2"/>
  <c r="D1601" i="2"/>
  <c r="D1575" i="2"/>
  <c r="D1522" i="2"/>
  <c r="D1463" i="2"/>
  <c r="D1409" i="2"/>
  <c r="D1347" i="2"/>
  <c r="D1312" i="2"/>
  <c r="D992" i="2"/>
  <c r="D909" i="2"/>
  <c r="D870" i="2"/>
  <c r="D752" i="2"/>
  <c r="D678" i="2"/>
  <c r="D451" i="2"/>
  <c r="D2027" i="2"/>
  <c r="D1742" i="2"/>
  <c r="D1439" i="2"/>
  <c r="D532" i="2"/>
  <c r="D2261" i="2"/>
  <c r="D2244" i="2"/>
  <c r="D2199" i="2"/>
  <c r="D2183" i="2"/>
  <c r="D2138" i="2"/>
  <c r="D2122" i="2"/>
  <c r="D2061" i="2"/>
  <c r="D2042" i="2"/>
  <c r="D2025" i="2"/>
  <c r="D2006" i="2"/>
  <c r="D1947" i="2"/>
  <c r="D1926" i="2"/>
  <c r="D1866" i="2"/>
  <c r="D1845" i="2"/>
  <c r="D1822" i="2"/>
  <c r="D1762" i="2"/>
  <c r="D1741" i="2"/>
  <c r="D1675" i="2"/>
  <c r="D1574" i="2"/>
  <c r="D1546" i="2"/>
  <c r="D1515" i="2"/>
  <c r="D1437" i="2"/>
  <c r="D1382" i="2"/>
  <c r="D1275" i="2"/>
  <c r="D1199" i="2"/>
  <c r="D1072" i="2"/>
  <c r="D1037" i="2"/>
  <c r="D989" i="2"/>
  <c r="D952" i="2"/>
  <c r="D908" i="2"/>
  <c r="D610" i="2"/>
  <c r="D531" i="2"/>
  <c r="D351" i="2"/>
  <c r="D2123" i="2"/>
  <c r="D2062" i="2"/>
  <c r="D1990" i="2"/>
  <c r="D1927" i="2"/>
  <c r="D1846" i="2"/>
  <c r="D1786" i="2"/>
  <c r="D1699" i="2"/>
  <c r="D1576" i="2"/>
  <c r="D1200" i="2"/>
  <c r="D1119" i="2"/>
  <c r="D1040" i="2"/>
  <c r="D680" i="2"/>
  <c r="D182" i="2"/>
  <c r="D2361" i="2"/>
  <c r="D2347" i="2"/>
  <c r="D2332" i="2"/>
  <c r="D2318" i="2"/>
  <c r="D2303" i="2"/>
  <c r="D2289" i="2"/>
  <c r="D2274" i="2"/>
  <c r="D2229" i="2"/>
  <c r="D2213" i="2"/>
  <c r="D2168" i="2"/>
  <c r="D2152" i="2"/>
  <c r="D2091" i="2"/>
  <c r="D2074" i="2"/>
  <c r="D2024" i="2"/>
  <c r="D1987" i="2"/>
  <c r="D1966" i="2"/>
  <c r="D1906" i="2"/>
  <c r="D1885" i="2"/>
  <c r="D1862" i="2"/>
  <c r="D1802" i="2"/>
  <c r="D1781" i="2"/>
  <c r="D1721" i="2"/>
  <c r="D1648" i="2"/>
  <c r="D1625" i="2"/>
  <c r="D1599" i="2"/>
  <c r="D1569" i="2"/>
  <c r="D1489" i="2"/>
  <c r="D1462" i="2"/>
  <c r="D1344" i="2"/>
  <c r="D1310" i="2"/>
  <c r="D1237" i="2"/>
  <c r="D747" i="2"/>
  <c r="D677" i="2"/>
  <c r="D69" i="2"/>
  <c r="D1192" i="2"/>
  <c r="D1150" i="2"/>
  <c r="D1112" i="2"/>
  <c r="D1070" i="2"/>
  <c r="D1032" i="2"/>
  <c r="D988" i="2"/>
  <c r="D907" i="2"/>
  <c r="D808" i="2"/>
  <c r="D597" i="2"/>
  <c r="D347" i="2"/>
  <c r="D2359" i="2"/>
  <c r="D2344" i="2"/>
  <c r="D2331" i="2"/>
  <c r="D2317" i="2"/>
  <c r="D2302" i="2"/>
  <c r="D2288" i="2"/>
  <c r="D2273" i="2"/>
  <c r="D2228" i="2"/>
  <c r="D2212" i="2"/>
  <c r="D2151" i="2"/>
  <c r="D2134" i="2"/>
  <c r="D2089" i="2"/>
  <c r="D2073" i="2"/>
  <c r="D2040" i="2"/>
  <c r="D2023" i="2"/>
  <c r="D1986" i="2"/>
  <c r="D1965" i="2"/>
  <c r="D1942" i="2"/>
  <c r="D1882" i="2"/>
  <c r="D1861" i="2"/>
  <c r="D1801" i="2"/>
  <c r="D1738" i="2"/>
  <c r="D1718" i="2"/>
  <c r="D1647" i="2"/>
  <c r="D1619" i="2"/>
  <c r="D1595" i="2"/>
  <c r="D1488" i="2"/>
  <c r="D1459" i="2"/>
  <c r="D1404" i="2"/>
  <c r="D1377" i="2"/>
  <c r="D1272" i="2"/>
  <c r="D1069" i="2"/>
  <c r="D949" i="2"/>
  <c r="D864" i="2"/>
  <c r="D427" i="2"/>
  <c r="D337" i="2"/>
  <c r="D160" i="2"/>
  <c r="D2241" i="2"/>
  <c r="D2224" i="2"/>
  <c r="D2179" i="2"/>
  <c r="D2163" i="2"/>
  <c r="D2118" i="2"/>
  <c r="D2102" i="2"/>
  <c r="D2054" i="2"/>
  <c r="D2038" i="2"/>
  <c r="D2018" i="2"/>
  <c r="D2001" i="2"/>
  <c r="D1981" i="2"/>
  <c r="D1921" i="2"/>
  <c r="D1858" i="2"/>
  <c r="D1777" i="2"/>
  <c r="D1755" i="2"/>
  <c r="D1713" i="2"/>
  <c r="D1692" i="2"/>
  <c r="D1666" i="2"/>
  <c r="D1564" i="2"/>
  <c r="D1538" i="2"/>
  <c r="D1512" i="2"/>
  <c r="D1337" i="2"/>
  <c r="D1188" i="2"/>
  <c r="D1145" i="2"/>
  <c r="D1064" i="2"/>
  <c r="D1019" i="2"/>
  <c r="D985" i="2"/>
  <c r="D850" i="2"/>
  <c r="D798" i="2"/>
  <c r="D660" i="2"/>
  <c r="D502" i="2"/>
  <c r="D411" i="2"/>
  <c r="D332" i="2"/>
  <c r="D237" i="2"/>
  <c r="D142" i="2"/>
  <c r="D2357" i="2"/>
  <c r="D2342" i="2"/>
  <c r="D2328" i="2"/>
  <c r="D2313" i="2"/>
  <c r="D2299" i="2"/>
  <c r="D2284" i="2"/>
  <c r="D2271" i="2"/>
  <c r="D2254" i="2"/>
  <c r="D2209" i="2"/>
  <c r="D2193" i="2"/>
  <c r="D2148" i="2"/>
  <c r="D2132" i="2"/>
  <c r="D2071" i="2"/>
  <c r="D2000" i="2"/>
  <c r="D1961" i="2"/>
  <c r="D1898" i="2"/>
  <c r="D1817" i="2"/>
  <c r="D1795" i="2"/>
  <c r="D1735" i="2"/>
  <c r="D1643" i="2"/>
  <c r="D1617" i="2"/>
  <c r="D1563" i="2"/>
  <c r="D1534" i="2"/>
  <c r="D1454" i="2"/>
  <c r="D1426" i="2"/>
  <c r="D1368" i="2"/>
  <c r="D1297" i="2"/>
  <c r="D1224" i="2"/>
  <c r="D979" i="2"/>
  <c r="D721" i="2"/>
  <c r="D659" i="2"/>
  <c r="D579" i="2"/>
  <c r="D232" i="2"/>
  <c r="D2354" i="2"/>
  <c r="D2341" i="2"/>
  <c r="D2327" i="2"/>
  <c r="D2312" i="2"/>
  <c r="D2298" i="2"/>
  <c r="D2283" i="2"/>
  <c r="D2269" i="2"/>
  <c r="D2253" i="2"/>
  <c r="D2208" i="2"/>
  <c r="D2192" i="2"/>
  <c r="D2131" i="2"/>
  <c r="D2114" i="2"/>
  <c r="D2069" i="2"/>
  <c r="D1978" i="2"/>
  <c r="D1897" i="2"/>
  <c r="D1875" i="2"/>
  <c r="D1815" i="2"/>
  <c r="D1793" i="2"/>
  <c r="D1733" i="2"/>
  <c r="D1664" i="2"/>
  <c r="D1614" i="2"/>
  <c r="D1586" i="2"/>
  <c r="D1561" i="2"/>
  <c r="D1533" i="2"/>
  <c r="D1452" i="2"/>
  <c r="D1425" i="2"/>
  <c r="D1367" i="2"/>
  <c r="D1294" i="2"/>
  <c r="D1137" i="2"/>
  <c r="D1058" i="2"/>
  <c r="D978" i="2"/>
  <c r="D848" i="2"/>
  <c r="D720" i="2"/>
  <c r="D577" i="2"/>
  <c r="D397" i="2"/>
  <c r="D227" i="2"/>
  <c r="D127" i="2"/>
  <c r="D1753" i="2"/>
  <c r="D1712" i="2"/>
  <c r="D1665" i="2"/>
  <c r="D1642" i="2"/>
  <c r="D1587" i="2"/>
  <c r="D1478" i="2"/>
  <c r="D1399" i="2"/>
  <c r="D1097" i="2"/>
  <c r="D934" i="2"/>
  <c r="D658" i="2"/>
  <c r="D410" i="2"/>
  <c r="D2238" i="2"/>
  <c r="D2222" i="2"/>
  <c r="D2161" i="2"/>
  <c r="D2144" i="2"/>
  <c r="D2099" i="2"/>
  <c r="D2083" i="2"/>
  <c r="D2052" i="2"/>
  <c r="D2035" i="2"/>
  <c r="D2016" i="2"/>
  <c r="D1998" i="2"/>
  <c r="D1937" i="2"/>
  <c r="D1915" i="2"/>
  <c r="D1855" i="2"/>
  <c r="D1833" i="2"/>
  <c r="D1773" i="2"/>
  <c r="D1752" i="2"/>
  <c r="D1711" i="2"/>
  <c r="D1636" i="2"/>
  <c r="D1585" i="2"/>
  <c r="D1477" i="2"/>
  <c r="D1397" i="2"/>
  <c r="D1174" i="2"/>
  <c r="D1095" i="2"/>
  <c r="D1015" i="2"/>
  <c r="D890" i="2"/>
  <c r="D719" i="2"/>
  <c r="D642" i="2"/>
  <c r="D570" i="2"/>
  <c r="D1689" i="2"/>
  <c r="D1615" i="2"/>
  <c r="D1507" i="2"/>
  <c r="D1453" i="2"/>
  <c r="D1144" i="2"/>
  <c r="D1017" i="2"/>
  <c r="D487" i="2"/>
  <c r="D2353" i="2"/>
  <c r="D2339" i="2"/>
  <c r="D2324" i="2"/>
  <c r="D2311" i="2"/>
  <c r="D2297" i="2"/>
  <c r="D2282" i="2"/>
  <c r="D2268" i="2"/>
  <c r="D2252" i="2"/>
  <c r="D2191" i="2"/>
  <c r="D2174" i="2"/>
  <c r="D2129" i="2"/>
  <c r="D2113" i="2"/>
  <c r="D2068" i="2"/>
  <c r="D2034" i="2"/>
  <c r="D1995" i="2"/>
  <c r="D1977" i="2"/>
  <c r="D1955" i="2"/>
  <c r="D1895" i="2"/>
  <c r="D1873" i="2"/>
  <c r="D1813" i="2"/>
  <c r="D1792" i="2"/>
  <c r="D1728" i="2"/>
  <c r="D1710" i="2"/>
  <c r="D1683" i="2"/>
  <c r="D1612" i="2"/>
  <c r="D1558" i="2"/>
  <c r="D1451" i="2"/>
  <c r="D1423" i="2"/>
  <c r="D1325" i="2"/>
  <c r="D1252" i="2"/>
  <c r="D1135" i="2"/>
  <c r="D1055" i="2"/>
  <c r="D844" i="2"/>
  <c r="D769" i="2"/>
  <c r="D482" i="2"/>
  <c r="D301" i="2"/>
  <c r="D37" i="2"/>
  <c r="D2026" i="2"/>
  <c r="D2014" i="2"/>
  <c r="D2002" i="2"/>
  <c r="D1963" i="2"/>
  <c r="D1923" i="2"/>
  <c r="D1883" i="2"/>
  <c r="D1843" i="2"/>
  <c r="D1803" i="2"/>
  <c r="D1763" i="2"/>
  <c r="D1723" i="2"/>
  <c r="D1708" i="2"/>
  <c r="D1662" i="2"/>
  <c r="D1631" i="2"/>
  <c r="D1598" i="2"/>
  <c r="D1562" i="2"/>
  <c r="D1545" i="2"/>
  <c r="D1526" i="2"/>
  <c r="D1509" i="2"/>
  <c r="D1491" i="2"/>
  <c r="D1474" i="2"/>
  <c r="D1438" i="2"/>
  <c r="D1422" i="2"/>
  <c r="D1169" i="2"/>
  <c r="D1139" i="2"/>
  <c r="D1115" i="2"/>
  <c r="D1009" i="2"/>
  <c r="D759" i="2"/>
  <c r="D711" i="2"/>
  <c r="D461" i="2"/>
  <c r="D350" i="2"/>
  <c r="D119" i="2"/>
  <c r="D2360" i="2"/>
  <c r="D2350" i="2"/>
  <c r="D2340" i="2"/>
  <c r="D2330" i="2"/>
  <c r="D2320" i="2"/>
  <c r="D2310" i="2"/>
  <c r="D2300" i="2"/>
  <c r="D2290" i="2"/>
  <c r="D2280" i="2"/>
  <c r="D2270" i="2"/>
  <c r="D2260" i="2"/>
  <c r="D2250" i="2"/>
  <c r="D2240" i="2"/>
  <c r="D2230" i="2"/>
  <c r="D2220" i="2"/>
  <c r="D2210" i="2"/>
  <c r="D2200" i="2"/>
  <c r="D2190" i="2"/>
  <c r="D2180" i="2"/>
  <c r="D2170" i="2"/>
  <c r="D2160" i="2"/>
  <c r="D2150" i="2"/>
  <c r="D2140" i="2"/>
  <c r="D2130" i="2"/>
  <c r="D2120" i="2"/>
  <c r="D2110" i="2"/>
  <c r="D2100" i="2"/>
  <c r="D2090" i="2"/>
  <c r="D2080" i="2"/>
  <c r="D2070" i="2"/>
  <c r="D2060" i="2"/>
  <c r="D2037" i="2"/>
  <c r="D1976" i="2"/>
  <c r="D1936" i="2"/>
  <c r="D1896" i="2"/>
  <c r="D1856" i="2"/>
  <c r="D1816" i="2"/>
  <c r="D1776" i="2"/>
  <c r="D1736" i="2"/>
  <c r="D1707" i="2"/>
  <c r="D1693" i="2"/>
  <c r="D1677" i="2"/>
  <c r="D1661" i="2"/>
  <c r="D1646" i="2"/>
  <c r="D1613" i="2"/>
  <c r="D1508" i="2"/>
  <c r="D1402" i="2"/>
  <c r="D1383" i="2"/>
  <c r="D1362" i="2"/>
  <c r="D1338" i="2"/>
  <c r="D1314" i="2"/>
  <c r="D1292" i="2"/>
  <c r="D1218" i="2"/>
  <c r="D1190" i="2"/>
  <c r="D1165" i="2"/>
  <c r="D1089" i="2"/>
  <c r="D1059" i="2"/>
  <c r="D1035" i="2"/>
  <c r="D982" i="2"/>
  <c r="D929" i="2"/>
  <c r="D900" i="2"/>
  <c r="D799" i="2"/>
  <c r="D710" i="2"/>
  <c r="D669" i="2"/>
  <c r="D627" i="2"/>
  <c r="D460" i="2"/>
  <c r="D169" i="2"/>
  <c r="D47" i="2"/>
  <c r="D2267" i="2"/>
  <c r="D2257" i="2"/>
  <c r="D2247" i="2"/>
  <c r="D2237" i="2"/>
  <c r="D2227" i="2"/>
  <c r="D2217" i="2"/>
  <c r="D2207" i="2"/>
  <c r="D2197" i="2"/>
  <c r="D2187" i="2"/>
  <c r="D2177" i="2"/>
  <c r="D2167" i="2"/>
  <c r="D2157" i="2"/>
  <c r="D2147" i="2"/>
  <c r="D2137" i="2"/>
  <c r="D2127" i="2"/>
  <c r="D2117" i="2"/>
  <c r="D2107" i="2"/>
  <c r="D2097" i="2"/>
  <c r="D2087" i="2"/>
  <c r="D2077" i="2"/>
  <c r="D2067" i="2"/>
  <c r="D2057" i="2"/>
  <c r="D2022" i="2"/>
  <c r="D2010" i="2"/>
  <c r="D1972" i="2"/>
  <c r="D1958" i="2"/>
  <c r="D1932" i="2"/>
  <c r="D1918" i="2"/>
  <c r="D1892" i="2"/>
  <c r="D1878" i="2"/>
  <c r="D1852" i="2"/>
  <c r="D1838" i="2"/>
  <c r="D1812" i="2"/>
  <c r="D1798" i="2"/>
  <c r="D1772" i="2"/>
  <c r="D1758" i="2"/>
  <c r="D1732" i="2"/>
  <c r="D1704" i="2"/>
  <c r="D1688" i="2"/>
  <c r="D1672" i="2"/>
  <c r="D1657" i="2"/>
  <c r="D1396" i="2"/>
  <c r="D1354" i="2"/>
  <c r="D1309" i="2"/>
  <c r="D1287" i="2"/>
  <c r="D1260" i="2"/>
  <c r="D1107" i="2"/>
  <c r="D1079" i="2"/>
  <c r="D972" i="2"/>
  <c r="D948" i="2"/>
  <c r="D828" i="2"/>
  <c r="D739" i="2"/>
  <c r="D699" i="2"/>
  <c r="D501" i="2"/>
  <c r="D447" i="2"/>
  <c r="D152" i="2"/>
  <c r="D29" i="2"/>
  <c r="D2045" i="2"/>
  <c r="D2033" i="2"/>
  <c r="D1997" i="2"/>
  <c r="D1985" i="2"/>
  <c r="D1945" i="2"/>
  <c r="D1905" i="2"/>
  <c r="D1865" i="2"/>
  <c r="D1825" i="2"/>
  <c r="D1785" i="2"/>
  <c r="D1745" i="2"/>
  <c r="D1717" i="2"/>
  <c r="D1641" i="2"/>
  <c r="D1624" i="2"/>
  <c r="D1607" i="2"/>
  <c r="D1589" i="2"/>
  <c r="D1573" i="2"/>
  <c r="D1537" i="2"/>
  <c r="D1521" i="2"/>
  <c r="D1502" i="2"/>
  <c r="D1484" i="2"/>
  <c r="D1466" i="2"/>
  <c r="D1449" i="2"/>
  <c r="D1431" i="2"/>
  <c r="D1414" i="2"/>
  <c r="D1395" i="2"/>
  <c r="D1376" i="2"/>
  <c r="D1329" i="2"/>
  <c r="D1209" i="2"/>
  <c r="D1184" i="2"/>
  <c r="D1157" i="2"/>
  <c r="D1104" i="2"/>
  <c r="D1052" i="2"/>
  <c r="D1025" i="2"/>
  <c r="D999" i="2"/>
  <c r="D917" i="2"/>
  <c r="D889" i="2"/>
  <c r="D827" i="2"/>
  <c r="D782" i="2"/>
  <c r="D738" i="2"/>
  <c r="D698" i="2"/>
  <c r="D382" i="2"/>
  <c r="D320" i="2"/>
  <c r="D270" i="2"/>
  <c r="D2366" i="2"/>
  <c r="D2356" i="2"/>
  <c r="D2346" i="2"/>
  <c r="D2336" i="2"/>
  <c r="D2326" i="2"/>
  <c r="D2316" i="2"/>
  <c r="D2306" i="2"/>
  <c r="D2296" i="2"/>
  <c r="D2286" i="2"/>
  <c r="D2276" i="2"/>
  <c r="D2266" i="2"/>
  <c r="D2256" i="2"/>
  <c r="D2246" i="2"/>
  <c r="D2236" i="2"/>
  <c r="D2226" i="2"/>
  <c r="D2216" i="2"/>
  <c r="D2206" i="2"/>
  <c r="D2196" i="2"/>
  <c r="D2186" i="2"/>
  <c r="D2176" i="2"/>
  <c r="D2166" i="2"/>
  <c r="D2156" i="2"/>
  <c r="D2146" i="2"/>
  <c r="D2136" i="2"/>
  <c r="D2126" i="2"/>
  <c r="D2116" i="2"/>
  <c r="D2106" i="2"/>
  <c r="D2096" i="2"/>
  <c r="D2086" i="2"/>
  <c r="D2076" i="2"/>
  <c r="D2066" i="2"/>
  <c r="D2056" i="2"/>
  <c r="D2044" i="2"/>
  <c r="D2021" i="2"/>
  <c r="D1971" i="2"/>
  <c r="D1957" i="2"/>
  <c r="D1931" i="2"/>
  <c r="D1917" i="2"/>
  <c r="D1891" i="2"/>
  <c r="D1877" i="2"/>
  <c r="D1851" i="2"/>
  <c r="D1837" i="2"/>
  <c r="D1811" i="2"/>
  <c r="D1797" i="2"/>
  <c r="D1771" i="2"/>
  <c r="D1757" i="2"/>
  <c r="D1731" i="2"/>
  <c r="D1702" i="2"/>
  <c r="D1687" i="2"/>
  <c r="D1671" i="2"/>
  <c r="D1655" i="2"/>
  <c r="D1553" i="2"/>
  <c r="D1519" i="2"/>
  <c r="D1328" i="2"/>
  <c r="D1305" i="2"/>
  <c r="D1259" i="2"/>
  <c r="D1235" i="2"/>
  <c r="D1155" i="2"/>
  <c r="D1129" i="2"/>
  <c r="D1102" i="2"/>
  <c r="D1078" i="2"/>
  <c r="D998" i="2"/>
  <c r="D970" i="2"/>
  <c r="D915" i="2"/>
  <c r="D822" i="2"/>
  <c r="D601" i="2"/>
  <c r="D552" i="2"/>
  <c r="D500" i="2"/>
  <c r="D432" i="2"/>
  <c r="D201" i="2"/>
  <c r="D150" i="2"/>
  <c r="D2032" i="2"/>
  <c r="D2020" i="2"/>
  <c r="D2008" i="2"/>
  <c r="D1996" i="2"/>
  <c r="D1983" i="2"/>
  <c r="D1943" i="2"/>
  <c r="D1903" i="2"/>
  <c r="D1863" i="2"/>
  <c r="D1823" i="2"/>
  <c r="D1783" i="2"/>
  <c r="D1743" i="2"/>
  <c r="D1716" i="2"/>
  <c r="D1685" i="2"/>
  <c r="D1638" i="2"/>
  <c r="D1623" i="2"/>
  <c r="D1606" i="2"/>
  <c r="D1588" i="2"/>
  <c r="D1571" i="2"/>
  <c r="D1552" i="2"/>
  <c r="D1536" i="2"/>
  <c r="D1501" i="2"/>
  <c r="D1483" i="2"/>
  <c r="D1465" i="2"/>
  <c r="D1447" i="2"/>
  <c r="D1428" i="2"/>
  <c r="D1413" i="2"/>
  <c r="D1375" i="2"/>
  <c r="D1352" i="2"/>
  <c r="D1327" i="2"/>
  <c r="D1279" i="2"/>
  <c r="D1077" i="2"/>
  <c r="D888" i="2"/>
  <c r="D781" i="2"/>
  <c r="D737" i="2"/>
  <c r="D647" i="2"/>
  <c r="D319" i="2"/>
  <c r="D260" i="2"/>
  <c r="D2365" i="2"/>
  <c r="D2355" i="2"/>
  <c r="D2345" i="2"/>
  <c r="D2335" i="2"/>
  <c r="D2325" i="2"/>
  <c r="D2315" i="2"/>
  <c r="D2305" i="2"/>
  <c r="D2295" i="2"/>
  <c r="D2285" i="2"/>
  <c r="D2275" i="2"/>
  <c r="D2265" i="2"/>
  <c r="D2255" i="2"/>
  <c r="D2245" i="2"/>
  <c r="D2235" i="2"/>
  <c r="D2225" i="2"/>
  <c r="D2215" i="2"/>
  <c r="D2205" i="2"/>
  <c r="D2195" i="2"/>
  <c r="D2185" i="2"/>
  <c r="D2175" i="2"/>
  <c r="D2165" i="2"/>
  <c r="D2155" i="2"/>
  <c r="D2145" i="2"/>
  <c r="D2135" i="2"/>
  <c r="D2125" i="2"/>
  <c r="D2115" i="2"/>
  <c r="D2105" i="2"/>
  <c r="D2095" i="2"/>
  <c r="D2085" i="2"/>
  <c r="D2075" i="2"/>
  <c r="D2065" i="2"/>
  <c r="D2055" i="2"/>
  <c r="D2043" i="2"/>
  <c r="D1956" i="2"/>
  <c r="D1916" i="2"/>
  <c r="D1876" i="2"/>
  <c r="D1836" i="2"/>
  <c r="D1796" i="2"/>
  <c r="D1756" i="2"/>
  <c r="D1701" i="2"/>
  <c r="D1684" i="2"/>
  <c r="D1669" i="2"/>
  <c r="D1654" i="2"/>
  <c r="D1637" i="2"/>
  <c r="D1464" i="2"/>
  <c r="D1304" i="2"/>
  <c r="D1205" i="2"/>
  <c r="D1182" i="2"/>
  <c r="D1152" i="2"/>
  <c r="D1098" i="2"/>
  <c r="D1045" i="2"/>
  <c r="D1022" i="2"/>
  <c r="D997" i="2"/>
  <c r="D969" i="2"/>
  <c r="D914" i="2"/>
  <c r="D821" i="2"/>
  <c r="D780" i="2"/>
  <c r="D691" i="2"/>
  <c r="D599" i="2"/>
  <c r="D429" i="2"/>
  <c r="D200" i="2"/>
  <c r="D79" i="2"/>
  <c r="D20" i="2"/>
  <c r="D1714" i="2"/>
  <c r="D1703" i="2"/>
  <c r="D1679" i="2"/>
  <c r="D1656" i="2"/>
  <c r="D1633" i="2"/>
  <c r="D1609" i="2"/>
  <c r="D1597" i="2"/>
  <c r="D1486" i="2"/>
  <c r="D1386" i="2"/>
  <c r="D1373" i="2"/>
  <c r="D1355" i="2"/>
  <c r="D1339" i="2"/>
  <c r="D1324" i="2"/>
  <c r="D1290" i="2"/>
  <c r="D1204" i="2"/>
  <c r="D1149" i="2"/>
  <c r="D1130" i="2"/>
  <c r="D1094" i="2"/>
  <c r="D1057" i="2"/>
  <c r="D984" i="2"/>
  <c r="D964" i="2"/>
  <c r="D947" i="2"/>
  <c r="D847" i="2"/>
  <c r="D820" i="2"/>
  <c r="D788" i="2"/>
  <c r="D668" i="2"/>
  <c r="D632" i="2"/>
  <c r="D600" i="2"/>
  <c r="D420" i="2"/>
  <c r="D302" i="2"/>
  <c r="D229" i="2"/>
  <c r="D192" i="2"/>
  <c r="D117" i="2"/>
  <c r="D77" i="2"/>
  <c r="D2004" i="2"/>
  <c r="D1994" i="2"/>
  <c r="D1984" i="2"/>
  <c r="D1974" i="2"/>
  <c r="D1964" i="2"/>
  <c r="D1954" i="2"/>
  <c r="D1944" i="2"/>
  <c r="D1934" i="2"/>
  <c r="D1924" i="2"/>
  <c r="D1914" i="2"/>
  <c r="D1904" i="2"/>
  <c r="D1894" i="2"/>
  <c r="D1884" i="2"/>
  <c r="D1874" i="2"/>
  <c r="D1864" i="2"/>
  <c r="D1854" i="2"/>
  <c r="D1844" i="2"/>
  <c r="D1834" i="2"/>
  <c r="D1824" i="2"/>
  <c r="D1814" i="2"/>
  <c r="D1804" i="2"/>
  <c r="D1794" i="2"/>
  <c r="D1784" i="2"/>
  <c r="D1774" i="2"/>
  <c r="D1764" i="2"/>
  <c r="D1754" i="2"/>
  <c r="D1744" i="2"/>
  <c r="D1734" i="2"/>
  <c r="D1724" i="2"/>
  <c r="D1691" i="2"/>
  <c r="D1667" i="2"/>
  <c r="D1644" i="2"/>
  <c r="D1621" i="2"/>
  <c r="D1608" i="2"/>
  <c r="D1596" i="2"/>
  <c r="D1584" i="2"/>
  <c r="D1572" i="2"/>
  <c r="D1559" i="2"/>
  <c r="D1547" i="2"/>
  <c r="D1535" i="2"/>
  <c r="D1523" i="2"/>
  <c r="D1511" i="2"/>
  <c r="D1498" i="2"/>
  <c r="D1485" i="2"/>
  <c r="D1473" i="2"/>
  <c r="D1461" i="2"/>
  <c r="D1448" i="2"/>
  <c r="D1436" i="2"/>
  <c r="D1424" i="2"/>
  <c r="D1412" i="2"/>
  <c r="D1398" i="2"/>
  <c r="D1372" i="2"/>
  <c r="D1274" i="2"/>
  <c r="D1238" i="2"/>
  <c r="D1222" i="2"/>
  <c r="D1185" i="2"/>
  <c r="D1148" i="2"/>
  <c r="D1110" i="2"/>
  <c r="D1075" i="2"/>
  <c r="D1018" i="2"/>
  <c r="D1000" i="2"/>
  <c r="D924" i="2"/>
  <c r="D905" i="2"/>
  <c r="D887" i="2"/>
  <c r="D865" i="2"/>
  <c r="D819" i="2"/>
  <c r="D758" i="2"/>
  <c r="D727" i="2"/>
  <c r="D697" i="2"/>
  <c r="D631" i="2"/>
  <c r="D529" i="2"/>
  <c r="D452" i="2"/>
  <c r="D379" i="2"/>
  <c r="D261" i="2"/>
  <c r="D151" i="2"/>
  <c r="D1628" i="2"/>
  <c r="D1605" i="2"/>
  <c r="D1593" i="2"/>
  <c r="D1581" i="2"/>
  <c r="D1568" i="2"/>
  <c r="D1556" i="2"/>
  <c r="D1544" i="2"/>
  <c r="D1532" i="2"/>
  <c r="D1518" i="2"/>
  <c r="D1506" i="2"/>
  <c r="D1494" i="2"/>
  <c r="D1482" i="2"/>
  <c r="D1469" i="2"/>
  <c r="D1457" i="2"/>
  <c r="D1445" i="2"/>
  <c r="D1433" i="2"/>
  <c r="D1421" i="2"/>
  <c r="D1394" i="2"/>
  <c r="D1350" i="2"/>
  <c r="D1335" i="2"/>
  <c r="D1302" i="2"/>
  <c r="D1267" i="2"/>
  <c r="D1250" i="2"/>
  <c r="D1160" i="2"/>
  <c r="D1124" i="2"/>
  <c r="D1068" i="2"/>
  <c r="D1050" i="2"/>
  <c r="D977" i="2"/>
  <c r="D958" i="2"/>
  <c r="D938" i="2"/>
  <c r="D919" i="2"/>
  <c r="D879" i="2"/>
  <c r="D836" i="2"/>
  <c r="D778" i="2"/>
  <c r="D717" i="2"/>
  <c r="D652" i="2"/>
  <c r="D517" i="2"/>
  <c r="D367" i="2"/>
  <c r="D292" i="2"/>
  <c r="D252" i="2"/>
  <c r="D179" i="2"/>
  <c r="D61" i="2"/>
  <c r="D1698" i="2"/>
  <c r="D1686" i="2"/>
  <c r="D1663" i="2"/>
  <c r="D1639" i="2"/>
  <c r="D1616" i="2"/>
  <c r="D1531" i="2"/>
  <c r="D1419" i="2"/>
  <c r="D1406" i="2"/>
  <c r="D1317" i="2"/>
  <c r="D1285" i="2"/>
  <c r="D1234" i="2"/>
  <c r="D1215" i="2"/>
  <c r="D1198" i="2"/>
  <c r="D1105" i="2"/>
  <c r="D1030" i="2"/>
  <c r="D995" i="2"/>
  <c r="D975" i="2"/>
  <c r="D899" i="2"/>
  <c r="D807" i="2"/>
  <c r="D777" i="2"/>
  <c r="D681" i="2"/>
  <c r="D329" i="2"/>
  <c r="D251" i="2"/>
  <c r="D97" i="2"/>
  <c r="D19" i="2"/>
  <c r="D1980" i="2"/>
  <c r="D1970" i="2"/>
  <c r="D1960" i="2"/>
  <c r="D1950" i="2"/>
  <c r="D1940" i="2"/>
  <c r="D1930" i="2"/>
  <c r="D1920" i="2"/>
  <c r="D1910" i="2"/>
  <c r="D1900" i="2"/>
  <c r="D1890" i="2"/>
  <c r="D1880" i="2"/>
  <c r="D1870" i="2"/>
  <c r="D1860" i="2"/>
  <c r="D1850" i="2"/>
  <c r="D1840" i="2"/>
  <c r="D1830" i="2"/>
  <c r="D1820" i="2"/>
  <c r="D1810" i="2"/>
  <c r="D1800" i="2"/>
  <c r="D1790" i="2"/>
  <c r="D1780" i="2"/>
  <c r="D1770" i="2"/>
  <c r="D1760" i="2"/>
  <c r="D1750" i="2"/>
  <c r="D1740" i="2"/>
  <c r="D1730" i="2"/>
  <c r="D1720" i="2"/>
  <c r="D1709" i="2"/>
  <c r="D1697" i="2"/>
  <c r="D1674" i="2"/>
  <c r="D1651" i="2"/>
  <c r="D1627" i="2"/>
  <c r="D1604" i="2"/>
  <c r="D1592" i="2"/>
  <c r="D1579" i="2"/>
  <c r="D1567" i="2"/>
  <c r="D1555" i="2"/>
  <c r="D1543" i="2"/>
  <c r="D1529" i="2"/>
  <c r="D1517" i="2"/>
  <c r="D1505" i="2"/>
  <c r="D1493" i="2"/>
  <c r="D1481" i="2"/>
  <c r="D1468" i="2"/>
  <c r="D1456" i="2"/>
  <c r="D1444" i="2"/>
  <c r="D1432" i="2"/>
  <c r="D1418" i="2"/>
  <c r="D1393" i="2"/>
  <c r="D1379" i="2"/>
  <c r="D1365" i="2"/>
  <c r="D1349" i="2"/>
  <c r="D1334" i="2"/>
  <c r="D1300" i="2"/>
  <c r="D1284" i="2"/>
  <c r="D1249" i="2"/>
  <c r="D1230" i="2"/>
  <c r="D1177" i="2"/>
  <c r="D1159" i="2"/>
  <c r="D1142" i="2"/>
  <c r="D1122" i="2"/>
  <c r="D1067" i="2"/>
  <c r="D1049" i="2"/>
  <c r="D1012" i="2"/>
  <c r="D974" i="2"/>
  <c r="D957" i="2"/>
  <c r="D937" i="2"/>
  <c r="D878" i="2"/>
  <c r="D858" i="2"/>
  <c r="D832" i="2"/>
  <c r="D742" i="2"/>
  <c r="D712" i="2"/>
  <c r="D651" i="2"/>
  <c r="D619" i="2"/>
  <c r="D582" i="2"/>
  <c r="D361" i="2"/>
  <c r="D327" i="2"/>
  <c r="D287" i="2"/>
  <c r="D250" i="2"/>
  <c r="D549" i="2"/>
  <c r="D511" i="2"/>
  <c r="D477" i="2"/>
  <c r="D437" i="2"/>
  <c r="D400" i="2"/>
  <c r="D210" i="2"/>
  <c r="D51" i="2"/>
  <c r="D2049" i="2"/>
  <c r="D2039" i="2"/>
  <c r="D2029" i="2"/>
  <c r="D2019" i="2"/>
  <c r="D2009" i="2"/>
  <c r="D1999" i="2"/>
  <c r="D1989" i="2"/>
  <c r="D1979" i="2"/>
  <c r="D1969" i="2"/>
  <c r="D1959" i="2"/>
  <c r="D1949" i="2"/>
  <c r="D1939" i="2"/>
  <c r="D1929" i="2"/>
  <c r="D1919" i="2"/>
  <c r="D1909" i="2"/>
  <c r="D1899" i="2"/>
  <c r="D1889" i="2"/>
  <c r="D1879" i="2"/>
  <c r="D1869" i="2"/>
  <c r="D1859" i="2"/>
  <c r="D1849" i="2"/>
  <c r="D1839" i="2"/>
  <c r="D1829" i="2"/>
  <c r="D1819" i="2"/>
  <c r="D1809" i="2"/>
  <c r="D1799" i="2"/>
  <c r="D1789" i="2"/>
  <c r="D1779" i="2"/>
  <c r="D1769" i="2"/>
  <c r="D1759" i="2"/>
  <c r="D1749" i="2"/>
  <c r="D1739" i="2"/>
  <c r="D1729" i="2"/>
  <c r="D1696" i="2"/>
  <c r="D1673" i="2"/>
  <c r="D1649" i="2"/>
  <c r="D1626" i="2"/>
  <c r="D1603" i="2"/>
  <c r="D1591" i="2"/>
  <c r="D1578" i="2"/>
  <c r="D1566" i="2"/>
  <c r="D1554" i="2"/>
  <c r="D1541" i="2"/>
  <c r="D1528" i="2"/>
  <c r="D1516" i="2"/>
  <c r="D1504" i="2"/>
  <c r="D1492" i="2"/>
  <c r="D1479" i="2"/>
  <c r="D1467" i="2"/>
  <c r="D1455" i="2"/>
  <c r="D1443" i="2"/>
  <c r="D1429" i="2"/>
  <c r="D1417" i="2"/>
  <c r="D1392" i="2"/>
  <c r="D1378" i="2"/>
  <c r="D1364" i="2"/>
  <c r="D1348" i="2"/>
  <c r="D1330" i="2"/>
  <c r="D1315" i="2"/>
  <c r="D1298" i="2"/>
  <c r="D1280" i="2"/>
  <c r="D1248" i="2"/>
  <c r="D1229" i="2"/>
  <c r="D1175" i="2"/>
  <c r="D1158" i="2"/>
  <c r="D1138" i="2"/>
  <c r="D1120" i="2"/>
  <c r="D1065" i="2"/>
  <c r="D1028" i="2"/>
  <c r="D1010" i="2"/>
  <c r="D990" i="2"/>
  <c r="D955" i="2"/>
  <c r="D935" i="2"/>
  <c r="D895" i="2"/>
  <c r="D875" i="2"/>
  <c r="D857" i="2"/>
  <c r="D830" i="2"/>
  <c r="D741" i="2"/>
  <c r="D650" i="2"/>
  <c r="D581" i="2"/>
  <c r="D547" i="2"/>
  <c r="D360" i="2"/>
  <c r="D247" i="2"/>
  <c r="D170" i="2"/>
  <c r="D132" i="2"/>
  <c r="D92" i="2"/>
  <c r="D17" i="2"/>
  <c r="D620" i="2"/>
  <c r="D479" i="2"/>
  <c r="D450" i="2"/>
  <c r="D387" i="2"/>
  <c r="D269" i="2"/>
  <c r="D147" i="2"/>
  <c r="D52" i="2"/>
  <c r="D27" i="2"/>
  <c r="D1262" i="2"/>
  <c r="D1217" i="2"/>
  <c r="D1202" i="2"/>
  <c r="D1187" i="2"/>
  <c r="D1108" i="2"/>
  <c r="D1062" i="2"/>
  <c r="D1029" i="2"/>
  <c r="D1014" i="2"/>
  <c r="D950" i="2"/>
  <c r="D918" i="2"/>
  <c r="D885" i="2"/>
  <c r="D867" i="2"/>
  <c r="D849" i="2"/>
  <c r="D802" i="2"/>
  <c r="D722" i="2"/>
  <c r="D649" i="2"/>
  <c r="D561" i="2"/>
  <c r="D417" i="2"/>
  <c r="D297" i="2"/>
  <c r="D202" i="2"/>
  <c r="D177" i="2"/>
  <c r="D82" i="2"/>
  <c r="D1719" i="2"/>
  <c r="D1408" i="2"/>
  <c r="D1385" i="2"/>
  <c r="D1359" i="2"/>
  <c r="D1255" i="2"/>
  <c r="D1240" i="2"/>
  <c r="D1212" i="2"/>
  <c r="D1197" i="2"/>
  <c r="D1179" i="2"/>
  <c r="D1164" i="2"/>
  <c r="D1118" i="2"/>
  <c r="D1085" i="2"/>
  <c r="D1039" i="2"/>
  <c r="D1024" i="2"/>
  <c r="D960" i="2"/>
  <c r="D945" i="2"/>
  <c r="D894" i="2"/>
  <c r="D860" i="2"/>
  <c r="D842" i="2"/>
  <c r="D790" i="2"/>
  <c r="D690" i="2"/>
  <c r="D551" i="2"/>
  <c r="D527" i="2"/>
  <c r="D492" i="2"/>
  <c r="D402" i="2"/>
  <c r="D377" i="2"/>
  <c r="D311" i="2"/>
  <c r="D282" i="2"/>
  <c r="D167" i="2"/>
  <c r="D101" i="2"/>
  <c r="D42" i="2"/>
  <c r="D70" i="2"/>
  <c r="D11" i="2"/>
  <c r="D1407" i="2"/>
  <c r="D1384" i="2"/>
  <c r="D1342" i="2"/>
  <c r="D1268" i="2"/>
  <c r="D1254" i="2"/>
  <c r="D1239" i="2"/>
  <c r="D1225" i="2"/>
  <c r="D1210" i="2"/>
  <c r="D1195" i="2"/>
  <c r="D1178" i="2"/>
  <c r="D1132" i="2"/>
  <c r="D1117" i="2"/>
  <c r="D1099" i="2"/>
  <c r="D1084" i="2"/>
  <c r="D1038" i="2"/>
  <c r="D1005" i="2"/>
  <c r="D959" i="2"/>
  <c r="D944" i="2"/>
  <c r="D859" i="2"/>
  <c r="D841" i="2"/>
  <c r="D789" i="2"/>
  <c r="D761" i="2"/>
  <c r="D602" i="2"/>
  <c r="D550" i="2"/>
  <c r="D401" i="2"/>
  <c r="D310" i="2"/>
  <c r="D220" i="2"/>
  <c r="D129" i="2"/>
  <c r="D100" i="2"/>
  <c r="D1411" i="2"/>
  <c r="D1401" i="2"/>
  <c r="D1391" i="2"/>
  <c r="D1381" i="2"/>
  <c r="D1370" i="2"/>
  <c r="D1358" i="2"/>
  <c r="D1320" i="2"/>
  <c r="D1308" i="2"/>
  <c r="D1270" i="2"/>
  <c r="D1258" i="2"/>
  <c r="D1220" i="2"/>
  <c r="D1208" i="2"/>
  <c r="D1168" i="2"/>
  <c r="D1128" i="2"/>
  <c r="D1088" i="2"/>
  <c r="D1048" i="2"/>
  <c r="D1008" i="2"/>
  <c r="D968" i="2"/>
  <c r="D940" i="2"/>
  <c r="D927" i="2"/>
  <c r="D898" i="2"/>
  <c r="D884" i="2"/>
  <c r="D869" i="2"/>
  <c r="D855" i="2"/>
  <c r="D797" i="2"/>
  <c r="D772" i="2"/>
  <c r="D751" i="2"/>
  <c r="D729" i="2"/>
  <c r="D708" i="2"/>
  <c r="D592" i="2"/>
  <c r="D569" i="2"/>
  <c r="D520" i="2"/>
  <c r="D497" i="2"/>
  <c r="D470" i="2"/>
  <c r="D369" i="2"/>
  <c r="D342" i="2"/>
  <c r="D217" i="2"/>
  <c r="D111" i="2"/>
  <c r="D87" i="2"/>
  <c r="D10" i="2"/>
  <c r="D1345" i="2"/>
  <c r="D1295" i="2"/>
  <c r="D1245" i="2"/>
  <c r="D1194" i="2"/>
  <c r="D1180" i="2"/>
  <c r="D1154" i="2"/>
  <c r="D1140" i="2"/>
  <c r="D1114" i="2"/>
  <c r="D1100" i="2"/>
  <c r="D1074" i="2"/>
  <c r="D1060" i="2"/>
  <c r="D1034" i="2"/>
  <c r="D1020" i="2"/>
  <c r="D994" i="2"/>
  <c r="D980" i="2"/>
  <c r="D954" i="2"/>
  <c r="D837" i="2"/>
  <c r="D817" i="2"/>
  <c r="D682" i="2"/>
  <c r="D661" i="2"/>
  <c r="D617" i="2"/>
  <c r="D419" i="2"/>
  <c r="D392" i="2"/>
  <c r="D267" i="2"/>
  <c r="D161" i="2"/>
  <c r="D137" i="2"/>
  <c r="D60" i="2"/>
  <c r="D1700" i="2"/>
  <c r="D1690" i="2"/>
  <c r="D1680" i="2"/>
  <c r="D1670" i="2"/>
  <c r="D1660" i="2"/>
  <c r="D1650" i="2"/>
  <c r="D1640" i="2"/>
  <c r="D1630" i="2"/>
  <c r="D1620" i="2"/>
  <c r="D1610" i="2"/>
  <c r="D1600" i="2"/>
  <c r="D1590" i="2"/>
  <c r="D1580" i="2"/>
  <c r="D1570" i="2"/>
  <c r="D1560" i="2"/>
  <c r="D1550" i="2"/>
  <c r="D1540" i="2"/>
  <c r="D1530" i="2"/>
  <c r="D1520" i="2"/>
  <c r="D1510" i="2"/>
  <c r="D1500" i="2"/>
  <c r="D1490" i="2"/>
  <c r="D1480" i="2"/>
  <c r="D1470" i="2"/>
  <c r="D1460" i="2"/>
  <c r="D1450" i="2"/>
  <c r="D1440" i="2"/>
  <c r="D1430" i="2"/>
  <c r="D1420" i="2"/>
  <c r="D1410" i="2"/>
  <c r="D1400" i="2"/>
  <c r="D1390" i="2"/>
  <c r="D1380" i="2"/>
  <c r="D1369" i="2"/>
  <c r="D1357" i="2"/>
  <c r="D1332" i="2"/>
  <c r="D1319" i="2"/>
  <c r="D1307" i="2"/>
  <c r="D1282" i="2"/>
  <c r="D1269" i="2"/>
  <c r="D1257" i="2"/>
  <c r="D1232" i="2"/>
  <c r="D1219" i="2"/>
  <c r="D1207" i="2"/>
  <c r="D1167" i="2"/>
  <c r="D1127" i="2"/>
  <c r="D1087" i="2"/>
  <c r="D1047" i="2"/>
  <c r="D1007" i="2"/>
  <c r="D967" i="2"/>
  <c r="D939" i="2"/>
  <c r="D925" i="2"/>
  <c r="D910" i="2"/>
  <c r="D897" i="2"/>
  <c r="D868" i="2"/>
  <c r="D854" i="2"/>
  <c r="D791" i="2"/>
  <c r="D771" i="2"/>
  <c r="D728" i="2"/>
  <c r="D707" i="2"/>
  <c r="D542" i="2"/>
  <c r="D519" i="2"/>
  <c r="D469" i="2"/>
  <c r="D442" i="2"/>
  <c r="D317" i="2"/>
  <c r="D211" i="2"/>
  <c r="D187" i="2"/>
  <c r="D110" i="2"/>
  <c r="D32" i="2"/>
  <c r="D499" i="2"/>
  <c r="D481" i="2"/>
  <c r="D449" i="2"/>
  <c r="D431" i="2"/>
  <c r="D399" i="2"/>
  <c r="D381" i="2"/>
  <c r="D349" i="2"/>
  <c r="D331" i="2"/>
  <c r="D299" i="2"/>
  <c r="D281" i="2"/>
  <c r="D249" i="2"/>
  <c r="D231" i="2"/>
  <c r="D199" i="2"/>
  <c r="D181" i="2"/>
  <c r="D149" i="2"/>
  <c r="D131" i="2"/>
  <c r="D99" i="2"/>
  <c r="D81" i="2"/>
  <c r="D49" i="2"/>
  <c r="D31" i="2"/>
  <c r="D846" i="2"/>
  <c r="D831" i="2"/>
  <c r="D818" i="2"/>
  <c r="D801" i="2"/>
  <c r="D757" i="2"/>
  <c r="D740" i="2"/>
  <c r="D679" i="2"/>
  <c r="D662" i="2"/>
  <c r="D1366" i="2"/>
  <c r="D1356" i="2"/>
  <c r="D1346" i="2"/>
  <c r="D1336" i="2"/>
  <c r="D1326" i="2"/>
  <c r="D1316" i="2"/>
  <c r="D1306" i="2"/>
  <c r="D1296" i="2"/>
  <c r="D1286" i="2"/>
  <c r="D1276" i="2"/>
  <c r="D1266" i="2"/>
  <c r="D1256" i="2"/>
  <c r="D1246" i="2"/>
  <c r="D1236" i="2"/>
  <c r="D1226" i="2"/>
  <c r="D1216" i="2"/>
  <c r="D1206" i="2"/>
  <c r="D1196" i="2"/>
  <c r="D1186" i="2"/>
  <c r="D1176" i="2"/>
  <c r="D1166" i="2"/>
  <c r="D1156" i="2"/>
  <c r="D1146" i="2"/>
  <c r="D1136" i="2"/>
  <c r="D1126" i="2"/>
  <c r="D1116" i="2"/>
  <c r="D1106" i="2"/>
  <c r="D1096" i="2"/>
  <c r="D1086" i="2"/>
  <c r="D1076" i="2"/>
  <c r="D1066" i="2"/>
  <c r="D1056" i="2"/>
  <c r="D1046" i="2"/>
  <c r="D1036" i="2"/>
  <c r="D1026" i="2"/>
  <c r="D1016" i="2"/>
  <c r="D1006" i="2"/>
  <c r="D996" i="2"/>
  <c r="D986" i="2"/>
  <c r="D976" i="2"/>
  <c r="D966" i="2"/>
  <c r="D956" i="2"/>
  <c r="D946" i="2"/>
  <c r="D936" i="2"/>
  <c r="D926" i="2"/>
  <c r="D916" i="2"/>
  <c r="D906" i="2"/>
  <c r="D896" i="2"/>
  <c r="D886" i="2"/>
  <c r="D876" i="2"/>
  <c r="D866" i="2"/>
  <c r="D856" i="2"/>
  <c r="D845" i="2"/>
  <c r="D787" i="2"/>
  <c r="D770" i="2"/>
  <c r="D709" i="2"/>
  <c r="D692" i="2"/>
  <c r="D630" i="2"/>
  <c r="D612" i="2"/>
  <c r="D580" i="2"/>
  <c r="D562" i="2"/>
  <c r="D530" i="2"/>
  <c r="D512" i="2"/>
  <c r="D480" i="2"/>
  <c r="D462" i="2"/>
  <c r="D430" i="2"/>
  <c r="D412" i="2"/>
  <c r="D380" i="2"/>
  <c r="D362" i="2"/>
  <c r="D330" i="2"/>
  <c r="D312" i="2"/>
  <c r="D280" i="2"/>
  <c r="D262" i="2"/>
  <c r="D230" i="2"/>
  <c r="D212" i="2"/>
  <c r="D180" i="2"/>
  <c r="D162" i="2"/>
  <c r="D130" i="2"/>
  <c r="D112" i="2"/>
  <c r="D80" i="2"/>
  <c r="D62" i="2"/>
  <c r="D30" i="2"/>
  <c r="D12" i="2"/>
  <c r="D1363" i="2"/>
  <c r="D1353" i="2"/>
  <c r="D1343" i="2"/>
  <c r="D1333" i="2"/>
  <c r="D1323" i="2"/>
  <c r="D1313" i="2"/>
  <c r="D1303" i="2"/>
  <c r="D1293" i="2"/>
  <c r="D1283" i="2"/>
  <c r="D1273" i="2"/>
  <c r="D1263" i="2"/>
  <c r="D1253" i="2"/>
  <c r="D1243" i="2"/>
  <c r="D1233" i="2"/>
  <c r="D1223" i="2"/>
  <c r="D1213" i="2"/>
  <c r="D1203" i="2"/>
  <c r="D1193" i="2"/>
  <c r="D1183" i="2"/>
  <c r="D1173" i="2"/>
  <c r="D1163" i="2"/>
  <c r="D1153" i="2"/>
  <c r="D1143" i="2"/>
  <c r="D1133" i="2"/>
  <c r="D1123" i="2"/>
  <c r="D1113" i="2"/>
  <c r="D1103" i="2"/>
  <c r="D1093" i="2"/>
  <c r="D1083" i="2"/>
  <c r="D1073" i="2"/>
  <c r="D1063" i="2"/>
  <c r="D1053" i="2"/>
  <c r="D1043" i="2"/>
  <c r="D1033" i="2"/>
  <c r="D1023" i="2"/>
  <c r="D1013" i="2"/>
  <c r="D1003" i="2"/>
  <c r="D993" i="2"/>
  <c r="D983" i="2"/>
  <c r="D973" i="2"/>
  <c r="D963" i="2"/>
  <c r="D953" i="2"/>
  <c r="D943" i="2"/>
  <c r="D933" i="2"/>
  <c r="D923" i="2"/>
  <c r="D913" i="2"/>
  <c r="D903" i="2"/>
  <c r="D893" i="2"/>
  <c r="D883" i="2"/>
  <c r="D873" i="2"/>
  <c r="D863" i="2"/>
  <c r="D811" i="2"/>
  <c r="D767" i="2"/>
  <c r="D750" i="2"/>
  <c r="D689" i="2"/>
  <c r="D672" i="2"/>
  <c r="D641" i="2"/>
  <c r="D609" i="2"/>
  <c r="D591" i="2"/>
  <c r="D559" i="2"/>
  <c r="D541" i="2"/>
  <c r="D509" i="2"/>
  <c r="D491" i="2"/>
  <c r="D459" i="2"/>
  <c r="D441" i="2"/>
  <c r="D409" i="2"/>
  <c r="D391" i="2"/>
  <c r="D359" i="2"/>
  <c r="D341" i="2"/>
  <c r="D309" i="2"/>
  <c r="D291" i="2"/>
  <c r="D259" i="2"/>
  <c r="D241" i="2"/>
  <c r="D209" i="2"/>
  <c r="D191" i="2"/>
  <c r="D159" i="2"/>
  <c r="D141" i="2"/>
  <c r="D109" i="2"/>
  <c r="D91" i="2"/>
  <c r="D59" i="2"/>
  <c r="D41" i="2"/>
  <c r="D9" i="2"/>
  <c r="D942" i="2"/>
  <c r="D932" i="2"/>
  <c r="D922" i="2"/>
  <c r="D912" i="2"/>
  <c r="D902" i="2"/>
  <c r="D892" i="2"/>
  <c r="D882" i="2"/>
  <c r="D872" i="2"/>
  <c r="D862" i="2"/>
  <c r="D810" i="2"/>
  <c r="D749" i="2"/>
  <c r="D732" i="2"/>
  <c r="D688" i="2"/>
  <c r="D671" i="2"/>
  <c r="D640" i="2"/>
  <c r="D622" i="2"/>
  <c r="D590" i="2"/>
  <c r="D572" i="2"/>
  <c r="D540" i="2"/>
  <c r="D522" i="2"/>
  <c r="D490" i="2"/>
  <c r="D472" i="2"/>
  <c r="D440" i="2"/>
  <c r="D422" i="2"/>
  <c r="D390" i="2"/>
  <c r="D372" i="2"/>
  <c r="D340" i="2"/>
  <c r="D322" i="2"/>
  <c r="D290" i="2"/>
  <c r="D272" i="2"/>
  <c r="D240" i="2"/>
  <c r="D222" i="2"/>
  <c r="D190" i="2"/>
  <c r="D172" i="2"/>
  <c r="D140" i="2"/>
  <c r="D122" i="2"/>
  <c r="D90" i="2"/>
  <c r="D72" i="2"/>
  <c r="D40" i="2"/>
  <c r="D22" i="2"/>
  <c r="D851" i="2"/>
  <c r="D839" i="2"/>
  <c r="D826" i="2"/>
  <c r="D779" i="2"/>
  <c r="D762" i="2"/>
  <c r="D718" i="2"/>
  <c r="D701" i="2"/>
  <c r="D657" i="2"/>
  <c r="D607" i="2"/>
  <c r="D557" i="2"/>
  <c r="D507" i="2"/>
  <c r="D457" i="2"/>
  <c r="D407" i="2"/>
  <c r="D357" i="2"/>
  <c r="D307" i="2"/>
  <c r="D257" i="2"/>
  <c r="D207" i="2"/>
  <c r="D157" i="2"/>
  <c r="D107" i="2"/>
  <c r="D57" i="2"/>
  <c r="D7" i="2"/>
  <c r="D1371" i="2"/>
  <c r="D1361" i="2"/>
  <c r="D1351" i="2"/>
  <c r="D1341" i="2"/>
  <c r="D1331" i="2"/>
  <c r="D1321" i="2"/>
  <c r="D1311" i="2"/>
  <c r="D1301" i="2"/>
  <c r="D1291" i="2"/>
  <c r="D1281" i="2"/>
  <c r="D1271" i="2"/>
  <c r="D1261" i="2"/>
  <c r="D1251" i="2"/>
  <c r="D1241" i="2"/>
  <c r="D1231" i="2"/>
  <c r="D1221" i="2"/>
  <c r="D1211" i="2"/>
  <c r="D1201" i="2"/>
  <c r="D1191" i="2"/>
  <c r="D1181" i="2"/>
  <c r="D1171" i="2"/>
  <c r="D1161" i="2"/>
  <c r="D1151" i="2"/>
  <c r="D1141" i="2"/>
  <c r="D1131" i="2"/>
  <c r="D1121" i="2"/>
  <c r="D1111" i="2"/>
  <c r="D1101" i="2"/>
  <c r="D1091" i="2"/>
  <c r="D1081" i="2"/>
  <c r="D1071" i="2"/>
  <c r="D1061" i="2"/>
  <c r="D1051" i="2"/>
  <c r="D1041" i="2"/>
  <c r="D1031" i="2"/>
  <c r="D1021" i="2"/>
  <c r="D1011" i="2"/>
  <c r="D1001" i="2"/>
  <c r="D991" i="2"/>
  <c r="D981" i="2"/>
  <c r="D971" i="2"/>
  <c r="D961" i="2"/>
  <c r="D951" i="2"/>
  <c r="D941" i="2"/>
  <c r="D931" i="2"/>
  <c r="D921" i="2"/>
  <c r="D911" i="2"/>
  <c r="D901" i="2"/>
  <c r="D891" i="2"/>
  <c r="D881" i="2"/>
  <c r="D871" i="2"/>
  <c r="D861" i="2"/>
  <c r="D809" i="2"/>
  <c r="D792" i="2"/>
  <c r="D748" i="2"/>
  <c r="D731" i="2"/>
  <c r="D687" i="2"/>
  <c r="D670" i="2"/>
  <c r="D639" i="2"/>
  <c r="D621" i="2"/>
  <c r="D589" i="2"/>
  <c r="D571" i="2"/>
  <c r="D539" i="2"/>
  <c r="D521" i="2"/>
  <c r="D489" i="2"/>
  <c r="D471" i="2"/>
  <c r="D439" i="2"/>
  <c r="D421" i="2"/>
  <c r="D389" i="2"/>
  <c r="D371" i="2"/>
  <c r="D339" i="2"/>
  <c r="D321" i="2"/>
  <c r="D289" i="2"/>
  <c r="D271" i="2"/>
  <c r="D239" i="2"/>
  <c r="D221" i="2"/>
  <c r="D189" i="2"/>
  <c r="D171" i="2"/>
  <c r="D139" i="2"/>
  <c r="D121" i="2"/>
  <c r="D89" i="2"/>
  <c r="D71" i="2"/>
  <c r="D39" i="2"/>
  <c r="D21" i="2"/>
  <c r="D648" i="2"/>
  <c r="D638" i="2"/>
  <c r="D628" i="2"/>
  <c r="D618" i="2"/>
  <c r="D608" i="2"/>
  <c r="D598" i="2"/>
  <c r="D588" i="2"/>
  <c r="D578" i="2"/>
  <c r="D568" i="2"/>
  <c r="D558" i="2"/>
  <c r="D548" i="2"/>
  <c r="D538" i="2"/>
  <c r="D528" i="2"/>
  <c r="D518" i="2"/>
  <c r="D508" i="2"/>
  <c r="D498" i="2"/>
  <c r="D488" i="2"/>
  <c r="D478" i="2"/>
  <c r="D468" i="2"/>
  <c r="D458" i="2"/>
  <c r="D448" i="2"/>
  <c r="D438" i="2"/>
  <c r="D428" i="2"/>
  <c r="D418" i="2"/>
  <c r="D408" i="2"/>
  <c r="D398" i="2"/>
  <c r="D388" i="2"/>
  <c r="D378" i="2"/>
  <c r="D368" i="2"/>
  <c r="D358" i="2"/>
  <c r="D348" i="2"/>
  <c r="D338" i="2"/>
  <c r="D328" i="2"/>
  <c r="D318" i="2"/>
  <c r="D308" i="2"/>
  <c r="D298" i="2"/>
  <c r="D288" i="2"/>
  <c r="D278" i="2"/>
  <c r="D268" i="2"/>
  <c r="D258" i="2"/>
  <c r="D248" i="2"/>
  <c r="D238" i="2"/>
  <c r="D228" i="2"/>
  <c r="D218" i="2"/>
  <c r="D208" i="2"/>
  <c r="D198" i="2"/>
  <c r="D188" i="2"/>
  <c r="D178" i="2"/>
  <c r="D168" i="2"/>
  <c r="D158" i="2"/>
  <c r="D148" i="2"/>
  <c r="D138" i="2"/>
  <c r="D128" i="2"/>
  <c r="D118" i="2"/>
  <c r="D108" i="2"/>
  <c r="D98" i="2"/>
  <c r="D88" i="2"/>
  <c r="D78" i="2"/>
  <c r="D68" i="2"/>
  <c r="D58" i="2"/>
  <c r="D48" i="2"/>
  <c r="D38" i="2"/>
  <c r="D28" i="2"/>
  <c r="D18" i="2"/>
  <c r="D8" i="2"/>
  <c r="D816" i="2"/>
  <c r="D806" i="2"/>
  <c r="D796" i="2"/>
  <c r="D786" i="2"/>
  <c r="D776" i="2"/>
  <c r="D766" i="2"/>
  <c r="D756" i="2"/>
  <c r="D746" i="2"/>
  <c r="D736" i="2"/>
  <c r="D726" i="2"/>
  <c r="D716" i="2"/>
  <c r="D706" i="2"/>
  <c r="D696" i="2"/>
  <c r="D686" i="2"/>
  <c r="D676" i="2"/>
  <c r="D666" i="2"/>
  <c r="D656" i="2"/>
  <c r="D646" i="2"/>
  <c r="D636" i="2"/>
  <c r="D626" i="2"/>
  <c r="D616" i="2"/>
  <c r="D606" i="2"/>
  <c r="D596" i="2"/>
  <c r="D586" i="2"/>
  <c r="D576" i="2"/>
  <c r="D566" i="2"/>
  <c r="D556" i="2"/>
  <c r="D546" i="2"/>
  <c r="D536" i="2"/>
  <c r="D526" i="2"/>
  <c r="D516" i="2"/>
  <c r="D506" i="2"/>
  <c r="D496" i="2"/>
  <c r="D486" i="2"/>
  <c r="D476" i="2"/>
  <c r="D466" i="2"/>
  <c r="D456" i="2"/>
  <c r="D446" i="2"/>
  <c r="D436" i="2"/>
  <c r="D426" i="2"/>
  <c r="D416" i="2"/>
  <c r="D406" i="2"/>
  <c r="D396" i="2"/>
  <c r="D386" i="2"/>
  <c r="D376" i="2"/>
  <c r="D366" i="2"/>
  <c r="D356" i="2"/>
  <c r="D346" i="2"/>
  <c r="D336" i="2"/>
  <c r="D326" i="2"/>
  <c r="D316" i="2"/>
  <c r="D306" i="2"/>
  <c r="D296" i="2"/>
  <c r="D286" i="2"/>
  <c r="D276" i="2"/>
  <c r="D266" i="2"/>
  <c r="D256" i="2"/>
  <c r="D246" i="2"/>
  <c r="D236" i="2"/>
  <c r="D226" i="2"/>
  <c r="D216" i="2"/>
  <c r="D206" i="2"/>
  <c r="D196" i="2"/>
  <c r="D186" i="2"/>
  <c r="D176" i="2"/>
  <c r="D166" i="2"/>
  <c r="D156" i="2"/>
  <c r="D146" i="2"/>
  <c r="D136" i="2"/>
  <c r="D126" i="2"/>
  <c r="D116" i="2"/>
  <c r="D106" i="2"/>
  <c r="D96" i="2"/>
  <c r="D86" i="2"/>
  <c r="D76" i="2"/>
  <c r="D66" i="2"/>
  <c r="D56" i="2"/>
  <c r="D46" i="2"/>
  <c r="D36" i="2"/>
  <c r="D26" i="2"/>
  <c r="D16" i="2"/>
  <c r="D6" i="2"/>
  <c r="D835" i="2"/>
  <c r="D825" i="2"/>
  <c r="D815" i="2"/>
  <c r="D805" i="2"/>
  <c r="D795" i="2"/>
  <c r="D785" i="2"/>
  <c r="D775" i="2"/>
  <c r="D765" i="2"/>
  <c r="D755" i="2"/>
  <c r="D745" i="2"/>
  <c r="D735" i="2"/>
  <c r="D725" i="2"/>
  <c r="D715" i="2"/>
  <c r="D705" i="2"/>
  <c r="D695" i="2"/>
  <c r="D685" i="2"/>
  <c r="D675" i="2"/>
  <c r="D665" i="2"/>
  <c r="D655" i="2"/>
  <c r="D645" i="2"/>
  <c r="D635" i="2"/>
  <c r="D625" i="2"/>
  <c r="D615" i="2"/>
  <c r="D605" i="2"/>
  <c r="D595" i="2"/>
  <c r="D585" i="2"/>
  <c r="D575" i="2"/>
  <c r="D565" i="2"/>
  <c r="D555" i="2"/>
  <c r="D545" i="2"/>
  <c r="D535" i="2"/>
  <c r="D525" i="2"/>
  <c r="D515" i="2"/>
  <c r="D505" i="2"/>
  <c r="D495" i="2"/>
  <c r="D485" i="2"/>
  <c r="D475" i="2"/>
  <c r="D465" i="2"/>
  <c r="D455" i="2"/>
  <c r="D445" i="2"/>
  <c r="D435" i="2"/>
  <c r="D425" i="2"/>
  <c r="D415" i="2"/>
  <c r="D405" i="2"/>
  <c r="D395" i="2"/>
  <c r="D385" i="2"/>
  <c r="D375" i="2"/>
  <c r="D365" i="2"/>
  <c r="D355" i="2"/>
  <c r="D345" i="2"/>
  <c r="D335" i="2"/>
  <c r="D325" i="2"/>
  <c r="D315" i="2"/>
  <c r="D305" i="2"/>
  <c r="D295" i="2"/>
  <c r="D285" i="2"/>
  <c r="D275" i="2"/>
  <c r="D265" i="2"/>
  <c r="D255" i="2"/>
  <c r="D245" i="2"/>
  <c r="D235" i="2"/>
  <c r="D225" i="2"/>
  <c r="D215" i="2"/>
  <c r="D205" i="2"/>
  <c r="D195" i="2"/>
  <c r="D185" i="2"/>
  <c r="D175" i="2"/>
  <c r="D165" i="2"/>
  <c r="D155" i="2"/>
  <c r="D145" i="2"/>
  <c r="D135" i="2"/>
  <c r="D125" i="2"/>
  <c r="D115" i="2"/>
  <c r="D105" i="2"/>
  <c r="D95" i="2"/>
  <c r="D85" i="2"/>
  <c r="D75" i="2"/>
  <c r="D65" i="2"/>
  <c r="D55" i="2"/>
  <c r="D45" i="2"/>
  <c r="D35" i="2"/>
  <c r="D25" i="2"/>
  <c r="D15" i="2"/>
  <c r="D5" i="2"/>
  <c r="D834" i="2"/>
  <c r="D824" i="2"/>
  <c r="D814" i="2"/>
  <c r="D804" i="2"/>
  <c r="D794" i="2"/>
  <c r="D784" i="2"/>
  <c r="D774" i="2"/>
  <c r="D764" i="2"/>
  <c r="D754" i="2"/>
  <c r="D744" i="2"/>
  <c r="D734" i="2"/>
  <c r="D724" i="2"/>
  <c r="D714" i="2"/>
  <c r="D704" i="2"/>
  <c r="D694" i="2"/>
  <c r="D684" i="2"/>
  <c r="D674" i="2"/>
  <c r="D664" i="2"/>
  <c r="D654" i="2"/>
  <c r="D644" i="2"/>
  <c r="D634" i="2"/>
  <c r="D624" i="2"/>
  <c r="D614" i="2"/>
  <c r="D604" i="2"/>
  <c r="D594" i="2"/>
  <c r="D584" i="2"/>
  <c r="D574" i="2"/>
  <c r="D564" i="2"/>
  <c r="D554" i="2"/>
  <c r="D544" i="2"/>
  <c r="D534" i="2"/>
  <c r="D524" i="2"/>
  <c r="D514" i="2"/>
  <c r="D504" i="2"/>
  <c r="D494" i="2"/>
  <c r="D484" i="2"/>
  <c r="D474" i="2"/>
  <c r="D464" i="2"/>
  <c r="D454" i="2"/>
  <c r="D444" i="2"/>
  <c r="D434" i="2"/>
  <c r="D424" i="2"/>
  <c r="D414" i="2"/>
  <c r="D404" i="2"/>
  <c r="D394" i="2"/>
  <c r="D384" i="2"/>
  <c r="D374" i="2"/>
  <c r="D364" i="2"/>
  <c r="D354" i="2"/>
  <c r="D344" i="2"/>
  <c r="D334" i="2"/>
  <c r="D324" i="2"/>
  <c r="D314" i="2"/>
  <c r="D304" i="2"/>
  <c r="D294" i="2"/>
  <c r="D284" i="2"/>
  <c r="D274" i="2"/>
  <c r="D264" i="2"/>
  <c r="D254" i="2"/>
  <c r="D244" i="2"/>
  <c r="D234" i="2"/>
  <c r="D224" i="2"/>
  <c r="D214" i="2"/>
  <c r="D204" i="2"/>
  <c r="D194" i="2"/>
  <c r="D184" i="2"/>
  <c r="D174" i="2"/>
  <c r="D164" i="2"/>
  <c r="D154" i="2"/>
  <c r="D144" i="2"/>
  <c r="D134" i="2"/>
  <c r="D124" i="2"/>
  <c r="D114" i="2"/>
  <c r="D104" i="2"/>
  <c r="D94" i="2"/>
  <c r="D84" i="2"/>
  <c r="D74" i="2"/>
  <c r="D64" i="2"/>
  <c r="D54" i="2"/>
  <c r="D44" i="2"/>
  <c r="D34" i="2"/>
  <c r="D24" i="2"/>
  <c r="D14" i="2"/>
  <c r="D4" i="2"/>
  <c r="D853" i="2"/>
  <c r="D843" i="2"/>
  <c r="D833" i="2"/>
  <c r="D823" i="2"/>
  <c r="D813" i="2"/>
  <c r="D803" i="2"/>
  <c r="D793" i="2"/>
  <c r="D783" i="2"/>
  <c r="D773" i="2"/>
  <c r="D763" i="2"/>
  <c r="D753" i="2"/>
  <c r="D743" i="2"/>
  <c r="D733" i="2"/>
  <c r="D723" i="2"/>
  <c r="D713" i="2"/>
  <c r="D703" i="2"/>
  <c r="D693" i="2"/>
  <c r="D683" i="2"/>
  <c r="D673" i="2"/>
  <c r="D663" i="2"/>
  <c r="D653" i="2"/>
  <c r="D643" i="2"/>
  <c r="D633" i="2"/>
  <c r="D623" i="2"/>
  <c r="D613" i="2"/>
  <c r="D603" i="2"/>
  <c r="D593" i="2"/>
  <c r="D583" i="2"/>
  <c r="D573" i="2"/>
  <c r="D563" i="2"/>
  <c r="D553" i="2"/>
  <c r="D543" i="2"/>
  <c r="D533" i="2"/>
  <c r="D523" i="2"/>
  <c r="D513" i="2"/>
  <c r="D503" i="2"/>
  <c r="D493" i="2"/>
  <c r="D483" i="2"/>
  <c r="D473" i="2"/>
  <c r="D463" i="2"/>
  <c r="D453" i="2"/>
  <c r="D443" i="2"/>
  <c r="D433" i="2"/>
  <c r="D423" i="2"/>
  <c r="D413" i="2"/>
  <c r="D403" i="2"/>
  <c r="D393" i="2"/>
  <c r="D383" i="2"/>
  <c r="D373" i="2"/>
  <c r="D363" i="2"/>
  <c r="D353" i="2"/>
  <c r="D343" i="2"/>
  <c r="D333" i="2"/>
  <c r="D323" i="2"/>
  <c r="D313" i="2"/>
  <c r="D303" i="2"/>
  <c r="D293" i="2"/>
  <c r="D283" i="2"/>
  <c r="D273" i="2"/>
  <c r="D263" i="2"/>
  <c r="D253" i="2"/>
  <c r="D243" i="2"/>
  <c r="D233" i="2"/>
  <c r="D223" i="2"/>
  <c r="D213" i="2"/>
  <c r="D203" i="2"/>
  <c r="D193" i="2"/>
  <c r="D183" i="2"/>
  <c r="D173" i="2"/>
  <c r="D163" i="2"/>
  <c r="D153" i="2"/>
  <c r="D143" i="2"/>
  <c r="D133" i="2"/>
  <c r="D123" i="2"/>
  <c r="D113" i="2"/>
  <c r="D103" i="2"/>
  <c r="D93" i="2"/>
  <c r="D83" i="2"/>
  <c r="D73" i="2"/>
  <c r="D63" i="2"/>
  <c r="D53" i="2"/>
  <c r="D43" i="2"/>
  <c r="D33" i="2"/>
  <c r="D23" i="2"/>
  <c r="D13" i="2"/>
  <c r="D3" i="2"/>
  <c r="D2" i="2"/>
  <c r="M2" i="5"/>
  <c r="N2" i="5"/>
  <c r="K2" i="5"/>
  <c r="G2" i="5" s="1"/>
  <c r="J2" i="5"/>
  <c r="I2" i="5"/>
  <c r="H2" i="5"/>
  <c r="E2" i="5"/>
  <c r="F2" i="5" s="1"/>
  <c r="D3" i="4"/>
  <c r="D2" i="4"/>
  <c r="D12" i="4"/>
  <c r="D10" i="4"/>
  <c r="D9" i="4"/>
  <c r="D16" i="4"/>
  <c r="D6" i="4"/>
  <c r="D8" i="4"/>
  <c r="D7" i="4"/>
  <c r="D15" i="4"/>
  <c r="D5" i="4"/>
  <c r="D11" i="4"/>
  <c r="D14" i="4"/>
  <c r="D4" i="4"/>
  <c r="D18" i="4"/>
  <c r="D17" i="4"/>
  <c r="D13" i="4"/>
  <c r="D352" i="4"/>
  <c r="D338" i="4"/>
  <c r="D488" i="4"/>
  <c r="D327" i="4"/>
  <c r="D152" i="4"/>
  <c r="D477" i="4"/>
  <c r="D302" i="4"/>
  <c r="D137" i="4"/>
  <c r="D427" i="4"/>
  <c r="D122" i="4"/>
  <c r="D92" i="4"/>
  <c r="D252" i="4"/>
  <c r="D577" i="4"/>
  <c r="D527" i="4"/>
  <c r="D188" i="4"/>
  <c r="D502" i="4"/>
  <c r="D177" i="4"/>
  <c r="D288" i="4"/>
  <c r="D277" i="4"/>
  <c r="D77" i="4"/>
  <c r="D402" i="4"/>
  <c r="D238" i="4"/>
  <c r="D58" i="4"/>
  <c r="D588" i="4"/>
  <c r="D552" i="4"/>
  <c r="D388" i="4"/>
  <c r="D227" i="4"/>
  <c r="D538" i="4"/>
  <c r="D377" i="4"/>
  <c r="D202" i="4"/>
  <c r="D28" i="4"/>
  <c r="D452" i="4"/>
  <c r="D438" i="4"/>
  <c r="D148" i="4"/>
  <c r="D548" i="4"/>
  <c r="D498" i="4"/>
  <c r="D448" i="4"/>
  <c r="D398" i="4"/>
  <c r="D348" i="4"/>
  <c r="D298" i="4"/>
  <c r="D248" i="4"/>
  <c r="D198" i="4"/>
  <c r="D118" i="4"/>
  <c r="D27" i="4"/>
  <c r="D572" i="4"/>
  <c r="D522" i="4"/>
  <c r="D472" i="4"/>
  <c r="D422" i="4"/>
  <c r="D372" i="4"/>
  <c r="D322" i="4"/>
  <c r="D272" i="4"/>
  <c r="D222" i="4"/>
  <c r="D172" i="4"/>
  <c r="D147" i="4"/>
  <c r="D547" i="4"/>
  <c r="D497" i="4"/>
  <c r="D447" i="4"/>
  <c r="D397" i="4"/>
  <c r="D347" i="4"/>
  <c r="D297" i="4"/>
  <c r="D247" i="4"/>
  <c r="D197" i="4"/>
  <c r="D117" i="4"/>
  <c r="D87" i="4"/>
  <c r="D22" i="4"/>
  <c r="D57" i="4"/>
  <c r="D52" i="4"/>
  <c r="D568" i="4"/>
  <c r="D518" i="4"/>
  <c r="D468" i="4"/>
  <c r="D418" i="4"/>
  <c r="D368" i="4"/>
  <c r="D318" i="4"/>
  <c r="D268" i="4"/>
  <c r="D218" i="4"/>
  <c r="D168" i="4"/>
  <c r="D142" i="4"/>
  <c r="D82" i="4"/>
  <c r="D48" i="4"/>
  <c r="D88" i="4"/>
  <c r="D592" i="4"/>
  <c r="D542" i="4"/>
  <c r="D492" i="4"/>
  <c r="D442" i="4"/>
  <c r="D392" i="4"/>
  <c r="D342" i="4"/>
  <c r="D292" i="4"/>
  <c r="D242" i="4"/>
  <c r="D192" i="4"/>
  <c r="D112" i="4"/>
  <c r="D567" i="4"/>
  <c r="D517" i="4"/>
  <c r="D467" i="4"/>
  <c r="D417" i="4"/>
  <c r="D367" i="4"/>
  <c r="D317" i="4"/>
  <c r="D267" i="4"/>
  <c r="D217" i="4"/>
  <c r="D167" i="4"/>
  <c r="D138" i="4"/>
  <c r="D78" i="4"/>
  <c r="D47" i="4"/>
  <c r="D108" i="4"/>
  <c r="D437" i="4"/>
  <c r="D337" i="4"/>
  <c r="D237" i="4"/>
  <c r="D38" i="4"/>
  <c r="D558" i="4"/>
  <c r="D508" i="4"/>
  <c r="D458" i="4"/>
  <c r="D408" i="4"/>
  <c r="D358" i="4"/>
  <c r="D308" i="4"/>
  <c r="D258" i="4"/>
  <c r="D208" i="4"/>
  <c r="D158" i="4"/>
  <c r="D102" i="4"/>
  <c r="D68" i="4"/>
  <c r="D107" i="4"/>
  <c r="D587" i="4"/>
  <c r="D487" i="4"/>
  <c r="D287" i="4"/>
  <c r="D132" i="4"/>
  <c r="D582" i="4"/>
  <c r="D532" i="4"/>
  <c r="D482" i="4"/>
  <c r="D432" i="4"/>
  <c r="D382" i="4"/>
  <c r="D332" i="4"/>
  <c r="D282" i="4"/>
  <c r="D232" i="4"/>
  <c r="D182" i="4"/>
  <c r="D128" i="4"/>
  <c r="D37" i="4"/>
  <c r="D562" i="4"/>
  <c r="D512" i="4"/>
  <c r="D462" i="4"/>
  <c r="D412" i="4"/>
  <c r="D362" i="4"/>
  <c r="D312" i="4"/>
  <c r="D262" i="4"/>
  <c r="D212" i="4"/>
  <c r="D162" i="4"/>
  <c r="D42" i="4"/>
  <c r="D537" i="4"/>
  <c r="D387" i="4"/>
  <c r="D187" i="4"/>
  <c r="D72" i="4"/>
  <c r="D557" i="4"/>
  <c r="D507" i="4"/>
  <c r="D457" i="4"/>
  <c r="D407" i="4"/>
  <c r="D357" i="4"/>
  <c r="D307" i="4"/>
  <c r="D257" i="4"/>
  <c r="D207" i="4"/>
  <c r="D157" i="4"/>
  <c r="D98" i="4"/>
  <c r="D67" i="4"/>
  <c r="D127" i="4"/>
  <c r="D578" i="4"/>
  <c r="D528" i="4"/>
  <c r="D478" i="4"/>
  <c r="D428" i="4"/>
  <c r="D378" i="4"/>
  <c r="D328" i="4"/>
  <c r="D278" i="4"/>
  <c r="D228" i="4"/>
  <c r="D178" i="4"/>
  <c r="D97" i="4"/>
  <c r="D62" i="4"/>
  <c r="D32" i="4"/>
  <c r="D571" i="4"/>
  <c r="D541" i="4"/>
  <c r="D511" i="4"/>
  <c r="D481" i="4"/>
  <c r="D451" i="4"/>
  <c r="D421" i="4"/>
  <c r="D391" i="4"/>
  <c r="D361" i="4"/>
  <c r="D331" i="4"/>
  <c r="D301" i="4"/>
  <c r="D271" i="4"/>
  <c r="D241" i="4"/>
  <c r="D211" i="4"/>
  <c r="D181" i="4"/>
  <c r="D141" i="4"/>
  <c r="D101" i="4"/>
  <c r="D590" i="4"/>
  <c r="D580" i="4"/>
  <c r="D570" i="4"/>
  <c r="D560" i="4"/>
  <c r="D550" i="4"/>
  <c r="D540" i="4"/>
  <c r="D530" i="4"/>
  <c r="D520" i="4"/>
  <c r="D510" i="4"/>
  <c r="D500" i="4"/>
  <c r="D490" i="4"/>
  <c r="D480" i="4"/>
  <c r="D470" i="4"/>
  <c r="D460" i="4"/>
  <c r="D450" i="4"/>
  <c r="D440" i="4"/>
  <c r="D430" i="4"/>
  <c r="D420" i="4"/>
  <c r="D410" i="4"/>
  <c r="D400" i="4"/>
  <c r="D390" i="4"/>
  <c r="D380" i="4"/>
  <c r="D370" i="4"/>
  <c r="D360" i="4"/>
  <c r="D350" i="4"/>
  <c r="D340" i="4"/>
  <c r="D330" i="4"/>
  <c r="D320" i="4"/>
  <c r="D310" i="4"/>
  <c r="D300" i="4"/>
  <c r="D290" i="4"/>
  <c r="D280" i="4"/>
  <c r="D270" i="4"/>
  <c r="D260" i="4"/>
  <c r="D250" i="4"/>
  <c r="D240" i="4"/>
  <c r="D230" i="4"/>
  <c r="D220" i="4"/>
  <c r="D210" i="4"/>
  <c r="D200" i="4"/>
  <c r="D190" i="4"/>
  <c r="D180" i="4"/>
  <c r="D170" i="4"/>
  <c r="D160" i="4"/>
  <c r="D150" i="4"/>
  <c r="D140" i="4"/>
  <c r="D130" i="4"/>
  <c r="D120" i="4"/>
  <c r="D110" i="4"/>
  <c r="D100" i="4"/>
  <c r="D90" i="4"/>
  <c r="D80" i="4"/>
  <c r="D70" i="4"/>
  <c r="D60" i="4"/>
  <c r="D50" i="4"/>
  <c r="D40" i="4"/>
  <c r="D30" i="4"/>
  <c r="D20" i="4"/>
  <c r="D581" i="4"/>
  <c r="D551" i="4"/>
  <c r="D521" i="4"/>
  <c r="D491" i="4"/>
  <c r="D461" i="4"/>
  <c r="D431" i="4"/>
  <c r="D401" i="4"/>
  <c r="D371" i="4"/>
  <c r="D341" i="4"/>
  <c r="D311" i="4"/>
  <c r="D281" i="4"/>
  <c r="D251" i="4"/>
  <c r="D221" i="4"/>
  <c r="D191" i="4"/>
  <c r="D161" i="4"/>
  <c r="D121" i="4"/>
  <c r="D21" i="4"/>
  <c r="D591" i="4"/>
  <c r="D561" i="4"/>
  <c r="D531" i="4"/>
  <c r="D501" i="4"/>
  <c r="D471" i="4"/>
  <c r="D441" i="4"/>
  <c r="D411" i="4"/>
  <c r="D381" i="4"/>
  <c r="D351" i="4"/>
  <c r="D321" i="4"/>
  <c r="D291" i="4"/>
  <c r="D261" i="4"/>
  <c r="D231" i="4"/>
  <c r="D201" i="4"/>
  <c r="D171" i="4"/>
  <c r="D151" i="4"/>
  <c r="D131" i="4"/>
  <c r="D111" i="4"/>
  <c r="D91" i="4"/>
  <c r="D81" i="4"/>
  <c r="D71" i="4"/>
  <c r="D61" i="4"/>
  <c r="D51" i="4"/>
  <c r="D41" i="4"/>
  <c r="D31" i="4"/>
  <c r="D589" i="4"/>
  <c r="D579" i="4"/>
  <c r="D569" i="4"/>
  <c r="D559" i="4"/>
  <c r="D549" i="4"/>
  <c r="D539" i="4"/>
  <c r="D529" i="4"/>
  <c r="D519" i="4"/>
  <c r="D509" i="4"/>
  <c r="D499" i="4"/>
  <c r="D489" i="4"/>
  <c r="D479" i="4"/>
  <c r="D469" i="4"/>
  <c r="D459" i="4"/>
  <c r="D449" i="4"/>
  <c r="D439" i="4"/>
  <c r="D429" i="4"/>
  <c r="D419" i="4"/>
  <c r="D409" i="4"/>
  <c r="D399" i="4"/>
  <c r="D389" i="4"/>
  <c r="D379" i="4"/>
  <c r="D369" i="4"/>
  <c r="D359" i="4"/>
  <c r="D349" i="4"/>
  <c r="D339" i="4"/>
  <c r="D329" i="4"/>
  <c r="D319" i="4"/>
  <c r="D309" i="4"/>
  <c r="D299" i="4"/>
  <c r="D289" i="4"/>
  <c r="D279" i="4"/>
  <c r="D269" i="4"/>
  <c r="D259" i="4"/>
  <c r="D249" i="4"/>
  <c r="D239" i="4"/>
  <c r="D229" i="4"/>
  <c r="D219" i="4"/>
  <c r="D209" i="4"/>
  <c r="D199" i="4"/>
  <c r="D189" i="4"/>
  <c r="D179" i="4"/>
  <c r="D169" i="4"/>
  <c r="D159" i="4"/>
  <c r="D149" i="4"/>
  <c r="D139" i="4"/>
  <c r="D129" i="4"/>
  <c r="D119" i="4"/>
  <c r="D109" i="4"/>
  <c r="D99" i="4"/>
  <c r="D89" i="4"/>
  <c r="D79" i="4"/>
  <c r="D69" i="4"/>
  <c r="D59" i="4"/>
  <c r="D49" i="4"/>
  <c r="D39" i="4"/>
  <c r="D29" i="4"/>
  <c r="D19" i="4"/>
  <c r="D586" i="4"/>
  <c r="D556" i="4"/>
  <c r="D526" i="4"/>
  <c r="D496" i="4"/>
  <c r="D466" i="4"/>
  <c r="D436" i="4"/>
  <c r="D406" i="4"/>
  <c r="D366" i="4"/>
  <c r="D336" i="4"/>
  <c r="D306" i="4"/>
  <c r="D266" i="4"/>
  <c r="D206" i="4"/>
  <c r="D585" i="4"/>
  <c r="D575" i="4"/>
  <c r="D565" i="4"/>
  <c r="D555" i="4"/>
  <c r="D545" i="4"/>
  <c r="D535" i="4"/>
  <c r="D525" i="4"/>
  <c r="D515" i="4"/>
  <c r="D505" i="4"/>
  <c r="D495" i="4"/>
  <c r="D485" i="4"/>
  <c r="D475" i="4"/>
  <c r="D465" i="4"/>
  <c r="D455" i="4"/>
  <c r="D445" i="4"/>
  <c r="D435" i="4"/>
  <c r="D425" i="4"/>
  <c r="D415" i="4"/>
  <c r="D405" i="4"/>
  <c r="D395" i="4"/>
  <c r="D385" i="4"/>
  <c r="D375" i="4"/>
  <c r="D365" i="4"/>
  <c r="D355" i="4"/>
  <c r="D345" i="4"/>
  <c r="D335" i="4"/>
  <c r="D325" i="4"/>
  <c r="D315" i="4"/>
  <c r="D305" i="4"/>
  <c r="D295" i="4"/>
  <c r="D285" i="4"/>
  <c r="D275" i="4"/>
  <c r="D265" i="4"/>
  <c r="D255" i="4"/>
  <c r="D245" i="4"/>
  <c r="D235" i="4"/>
  <c r="D225" i="4"/>
  <c r="D215" i="4"/>
  <c r="D205" i="4"/>
  <c r="D195" i="4"/>
  <c r="D185" i="4"/>
  <c r="D175" i="4"/>
  <c r="D165" i="4"/>
  <c r="D155" i="4"/>
  <c r="D145" i="4"/>
  <c r="D135" i="4"/>
  <c r="D125" i="4"/>
  <c r="D115" i="4"/>
  <c r="D105" i="4"/>
  <c r="D95" i="4"/>
  <c r="D85" i="4"/>
  <c r="D75" i="4"/>
  <c r="D65" i="4"/>
  <c r="D55" i="4"/>
  <c r="D45" i="4"/>
  <c r="D35" i="4"/>
  <c r="D25" i="4"/>
  <c r="D566" i="4"/>
  <c r="D536" i="4"/>
  <c r="D506" i="4"/>
  <c r="D476" i="4"/>
  <c r="D446" i="4"/>
  <c r="D416" i="4"/>
  <c r="D386" i="4"/>
  <c r="D346" i="4"/>
  <c r="D316" i="4"/>
  <c r="D276" i="4"/>
  <c r="D216" i="4"/>
  <c r="D26" i="4"/>
  <c r="D576" i="4"/>
  <c r="D546" i="4"/>
  <c r="D516" i="4"/>
  <c r="D486" i="4"/>
  <c r="D456" i="4"/>
  <c r="D426" i="4"/>
  <c r="D396" i="4"/>
  <c r="D376" i="4"/>
  <c r="D356" i="4"/>
  <c r="D326" i="4"/>
  <c r="D296" i="4"/>
  <c r="D286" i="4"/>
  <c r="D256" i="4"/>
  <c r="D246" i="4"/>
  <c r="D236" i="4"/>
  <c r="D226" i="4"/>
  <c r="D196" i="4"/>
  <c r="D186" i="4"/>
  <c r="D176" i="4"/>
  <c r="D166" i="4"/>
  <c r="D156" i="4"/>
  <c r="D146" i="4"/>
  <c r="D136" i="4"/>
  <c r="D126" i="4"/>
  <c r="D116" i="4"/>
  <c r="D106" i="4"/>
  <c r="D96" i="4"/>
  <c r="D86" i="4"/>
  <c r="D76" i="4"/>
  <c r="D66" i="4"/>
  <c r="D56" i="4"/>
  <c r="D36" i="4"/>
  <c r="D594" i="4"/>
  <c r="D584" i="4"/>
  <c r="D574" i="4"/>
  <c r="D564" i="4"/>
  <c r="D554" i="4"/>
  <c r="D544" i="4"/>
  <c r="D534" i="4"/>
  <c r="D524" i="4"/>
  <c r="D514" i="4"/>
  <c r="D504" i="4"/>
  <c r="D494" i="4"/>
  <c r="D484" i="4"/>
  <c r="D474" i="4"/>
  <c r="D464" i="4"/>
  <c r="D454" i="4"/>
  <c r="D444" i="4"/>
  <c r="D434" i="4"/>
  <c r="D424" i="4"/>
  <c r="D414" i="4"/>
  <c r="D404" i="4"/>
  <c r="D394" i="4"/>
  <c r="D384" i="4"/>
  <c r="D374" i="4"/>
  <c r="D364" i="4"/>
  <c r="D354" i="4"/>
  <c r="D344" i="4"/>
  <c r="D334" i="4"/>
  <c r="D324" i="4"/>
  <c r="D314" i="4"/>
  <c r="D304" i="4"/>
  <c r="D294" i="4"/>
  <c r="D284" i="4"/>
  <c r="D274" i="4"/>
  <c r="D264" i="4"/>
  <c r="D254" i="4"/>
  <c r="D244" i="4"/>
  <c r="D234" i="4"/>
  <c r="D224" i="4"/>
  <c r="D214" i="4"/>
  <c r="D204" i="4"/>
  <c r="D194" i="4"/>
  <c r="D184" i="4"/>
  <c r="D174" i="4"/>
  <c r="D164" i="4"/>
  <c r="D154" i="4"/>
  <c r="D144" i="4"/>
  <c r="D134" i="4"/>
  <c r="D124" i="4"/>
  <c r="D114" i="4"/>
  <c r="D104" i="4"/>
  <c r="D94" i="4"/>
  <c r="D84" i="4"/>
  <c r="D74" i="4"/>
  <c r="D64" i="4"/>
  <c r="D54" i="4"/>
  <c r="D44" i="4"/>
  <c r="D34" i="4"/>
  <c r="D24" i="4"/>
  <c r="D46" i="4"/>
  <c r="D593" i="4"/>
  <c r="D583" i="4"/>
  <c r="D573" i="4"/>
  <c r="D563" i="4"/>
  <c r="D553" i="4"/>
  <c r="D543" i="4"/>
  <c r="D533" i="4"/>
  <c r="D523" i="4"/>
  <c r="D513" i="4"/>
  <c r="D503" i="4"/>
  <c r="D493" i="4"/>
  <c r="D483" i="4"/>
  <c r="D473" i="4"/>
  <c r="D463" i="4"/>
  <c r="D453" i="4"/>
  <c r="D443" i="4"/>
  <c r="D433" i="4"/>
  <c r="D423" i="4"/>
  <c r="D413" i="4"/>
  <c r="D403" i="4"/>
  <c r="D393" i="4"/>
  <c r="D383" i="4"/>
  <c r="D373" i="4"/>
  <c r="D363" i="4"/>
  <c r="D353" i="4"/>
  <c r="D343" i="4"/>
  <c r="D333" i="4"/>
  <c r="D323" i="4"/>
  <c r="D313" i="4"/>
  <c r="D303" i="4"/>
  <c r="D293" i="4"/>
  <c r="D283" i="4"/>
  <c r="D273" i="4"/>
  <c r="D263" i="4"/>
  <c r="D253" i="4"/>
  <c r="D243" i="4"/>
  <c r="D233" i="4"/>
  <c r="D223" i="4"/>
  <c r="D213" i="4"/>
  <c r="D203" i="4"/>
  <c r="D193" i="4"/>
  <c r="D183" i="4"/>
  <c r="D173" i="4"/>
  <c r="D163" i="4"/>
  <c r="D153" i="4"/>
  <c r="D143" i="4"/>
  <c r="D133" i="4"/>
  <c r="D123" i="4"/>
  <c r="D113" i="4"/>
  <c r="D103" i="4"/>
  <c r="D93" i="4"/>
  <c r="D83" i="4"/>
  <c r="D73" i="4"/>
  <c r="D63" i="4"/>
  <c r="D53" i="4"/>
  <c r="D43" i="4"/>
  <c r="D33" i="4"/>
  <c r="D23" i="4"/>
  <c r="B2" i="4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C2060" i="4" a="1"/>
  <c r="C1676" i="4" a="1"/>
  <c r="C881" i="4" a="1"/>
  <c r="C156" i="4" a="1"/>
  <c r="C2002" i="4" a="1"/>
  <c r="C1420" i="4" a="1"/>
  <c r="C446" i="4" a="1"/>
  <c r="C14" i="4" a="1"/>
  <c r="C2185" i="4" a="1"/>
  <c r="C1239" i="4" a="1"/>
  <c r="C573" i="4" a="1"/>
  <c r="C520" i="4" a="1"/>
  <c r="C2072" i="4" a="1"/>
  <c r="C1490" i="4" a="1"/>
  <c r="C1223" i="4" a="1"/>
  <c r="C802" i="4" a="1"/>
  <c r="C2282" i="4" a="1"/>
  <c r="C1587" i="4" a="1"/>
  <c r="C1096" i="4" a="1"/>
  <c r="C575" i="4" a="1"/>
  <c r="C2104" i="4" a="1"/>
  <c r="C1737" i="4" a="1"/>
  <c r="C1404" i="4" a="1"/>
  <c r="C299" i="4" a="1"/>
  <c r="C1767" i="4" a="1"/>
  <c r="C1897" i="4" a="1"/>
  <c r="C1134" i="4" a="1"/>
  <c r="C873" i="4" a="1"/>
  <c r="C165" i="4" a="1"/>
  <c r="C1507" i="4" a="1"/>
  <c r="C956" i="4" a="1"/>
  <c r="C1155" i="4" a="1"/>
  <c r="C447" i="4" a="1"/>
  <c r="C2074" i="4" a="1"/>
  <c r="C675" i="4" a="1"/>
  <c r="C852" i="4" a="1"/>
  <c r="C226" i="4" a="1"/>
  <c r="C1584" i="4" a="1"/>
  <c r="C1616" i="4" a="1"/>
  <c r="C361" i="4" a="1"/>
  <c r="C96" i="4" a="1"/>
  <c r="C2327" i="4" a="1"/>
  <c r="C1533" i="4" a="1"/>
  <c r="C484" i="4" a="1"/>
  <c r="C187" i="4" a="1"/>
  <c r="C1970" i="4" a="1"/>
  <c r="C1588" i="4" a="1"/>
  <c r="C948" i="4" a="1"/>
  <c r="C352" i="4" a="1"/>
  <c r="C2214" i="4" a="1"/>
  <c r="C1389" i="4" a="1"/>
  <c r="C1086" i="4" a="1"/>
  <c r="C572" i="4" a="1"/>
  <c r="C2038" i="4" a="1"/>
  <c r="C1233" i="4" a="1"/>
  <c r="C901" i="4" a="1"/>
  <c r="C322" i="4" a="1"/>
  <c r="C2102" i="4" a="1"/>
  <c r="C1505" i="4" a="1"/>
  <c r="C1039" i="4" a="1"/>
  <c r="C506" i="4" a="1"/>
  <c r="C2251" i="4" a="1"/>
  <c r="C1566" i="4" a="1"/>
  <c r="C871" i="4" a="1"/>
  <c r="C586" i="4" a="1"/>
  <c r="C1893" i="4" a="1"/>
  <c r="C1834" i="4" a="1"/>
  <c r="C1289" i="4" a="1"/>
  <c r="C325" i="4" a="1"/>
  <c r="C2204" i="4" a="1"/>
  <c r="C2320" i="4" a="1"/>
  <c r="C1532" i="4" a="1"/>
  <c r="C837" i="4" a="1"/>
  <c r="C12" i="4" a="1"/>
  <c r="C2243" i="4" a="1"/>
  <c r="C1501" i="4" a="1"/>
  <c r="C443" i="4" a="1"/>
  <c r="C103" i="4" a="1"/>
  <c r="C1918" i="4" a="1"/>
  <c r="C1082" i="4" a="1"/>
  <c r="C967" i="4" a="1"/>
  <c r="C355" i="4" a="1"/>
  <c r="C2323" i="4" a="1"/>
  <c r="C1405" i="4" a="1"/>
  <c r="C857" i="4" a="1"/>
  <c r="C658" i="4" a="1"/>
  <c r="C2138" i="4" a="1"/>
  <c r="C1523" i="4" a="1"/>
  <c r="C1361" i="4" a="1"/>
  <c r="C377" i="4" a="1"/>
  <c r="C2057" i="4" a="1"/>
  <c r="C1968" i="4" a="1"/>
  <c r="C1260" i="4" a="1"/>
  <c r="C713" i="4" a="1"/>
  <c r="C2253" i="4" a="1"/>
  <c r="C1465" i="4" a="1"/>
  <c r="C1088" i="4" a="1"/>
  <c r="C491" i="4" a="1"/>
  <c r="C21" i="4" a="1"/>
  <c r="C1861" i="4" a="1"/>
  <c r="C1315" i="4" a="1"/>
  <c r="C1011" i="4" a="1"/>
  <c r="C303" i="4" a="1"/>
  <c r="C1602" i="4" a="1"/>
  <c r="C1298" i="4" a="1"/>
  <c r="C788" i="4" a="1"/>
  <c r="C82" i="4" a="1"/>
  <c r="C2260" i="4" a="1"/>
  <c r="C1306" i="4" a="1"/>
  <c r="C564" i="4" a="1"/>
  <c r="C215" i="4" a="1"/>
  <c r="C2183" i="4" a="1"/>
  <c r="C1221" i="4" a="1"/>
  <c r="C1103" i="4" a="1"/>
  <c r="C43" i="4" a="1"/>
  <c r="C2045" i="4" a="1"/>
  <c r="C1450" i="4" a="1"/>
  <c r="C862" i="4" a="1"/>
  <c r="C92" i="4" a="1"/>
  <c r="C1961" i="4" a="1"/>
  <c r="C1582" i="4" a="1"/>
  <c r="C942" i="4" a="1"/>
  <c r="C341" i="4" a="1"/>
  <c r="C2014" i="4" a="1"/>
  <c r="C1553" i="4" a="1"/>
  <c r="C840" i="4" a="1"/>
  <c r="C383" i="4" a="1"/>
  <c r="C2013" i="4" a="1"/>
  <c r="C1209" i="4" a="1"/>
  <c r="C895" i="4" a="1"/>
  <c r="C272" i="4" a="1"/>
  <c r="C2095" i="4" a="1"/>
  <c r="C1497" i="4" a="1"/>
  <c r="C1033" i="4" a="1"/>
  <c r="C478" i="4" a="1"/>
  <c r="C1733" i="4" a="1"/>
  <c r="C1777" i="4" a="1"/>
  <c r="C1104" i="4" a="1"/>
  <c r="C724" i="4" a="1"/>
  <c r="C1875" i="4" a="1"/>
  <c r="C1810" i="4" a="1"/>
  <c r="C1283" i="4" a="1"/>
  <c r="C254" i="4" a="1"/>
  <c r="C2198" i="4" a="1"/>
  <c r="C1491" i="4" a="1"/>
  <c r="C968" i="4" a="1"/>
  <c r="C450" i="4" a="1"/>
  <c r="C1876" i="4" a="1"/>
  <c r="C2028" i="4" a="1"/>
  <c r="C1320" i="4" a="1"/>
  <c r="C773" i="4" a="1"/>
  <c r="C2313" i="4" a="1"/>
  <c r="C1853" i="4" a="1"/>
  <c r="C1028" i="4" a="1"/>
  <c r="C283" i="4" a="1"/>
  <c r="C81" i="4" a="1"/>
  <c r="C1829" i="4" a="1"/>
  <c r="C868" i="4" a="1"/>
  <c r="C292" i="4" a="1"/>
  <c r="C1659" i="4" a="1"/>
  <c r="C1253" i="4" a="1"/>
  <c r="C2176" i="4" a="1"/>
  <c r="C1222" i="4" a="1"/>
  <c r="C476" i="4" a="1"/>
  <c r="C131" i="4" a="1"/>
  <c r="C2068" i="4" a="1"/>
  <c r="C1814" i="4" a="1"/>
  <c r="C1019" i="4" a="1"/>
  <c r="C294" i="4" a="1"/>
  <c r="C2086" i="4" a="1"/>
  <c r="C1152" i="4" a="1"/>
  <c r="C673" i="4" a="1"/>
  <c r="C415" i="4" a="1"/>
  <c r="C2179" i="4" a="1"/>
  <c r="C1215" i="4" a="1"/>
  <c r="C549" i="4" a="1"/>
  <c r="C514" i="4" a="1"/>
  <c r="C2048" i="4" a="1"/>
  <c r="C1455" i="4" a="1"/>
  <c r="C1217" i="4" a="1"/>
  <c r="C796" i="4" a="1"/>
  <c r="C2276" i="4" a="1"/>
  <c r="C1493" i="4" a="1"/>
  <c r="C827" i="4" a="1"/>
  <c r="C569" i="4" a="1"/>
  <c r="C2097" i="4" a="1"/>
  <c r="C1720" i="4" a="1"/>
  <c r="C1398" i="4" a="1"/>
  <c r="C259" i="4" a="1"/>
  <c r="C2041" i="4" a="1"/>
  <c r="C1891" i="4" a="1"/>
  <c r="C1046" i="4" a="1"/>
  <c r="C851" i="4" a="1"/>
  <c r="C159" i="4" a="1"/>
  <c r="C1437" i="4" a="1"/>
  <c r="C932" i="4" a="1"/>
  <c r="C1149" i="4" a="1"/>
  <c r="C441" i="4" a="1"/>
  <c r="C2113" i="4" a="1"/>
  <c r="C500" i="4" a="1"/>
  <c r="C1006" i="4" a="1"/>
  <c r="C71" i="4" a="1"/>
  <c r="C1906" i="4" a="1"/>
  <c r="C1754" i="4" a="1"/>
  <c r="C959" i="4" a="1"/>
  <c r="C234" i="4" a="1"/>
  <c r="C2321" i="4" a="1"/>
  <c r="C1341" i="4" a="1"/>
  <c r="C444" i="4" a="1"/>
  <c r="C181" i="4" a="1"/>
  <c r="C1960" i="4" a="1"/>
  <c r="C1432" i="4" a="1"/>
  <c r="C854" i="4" a="1"/>
  <c r="C86" i="4" a="1"/>
  <c r="C2208" i="4" a="1"/>
  <c r="C1329" i="4" a="1"/>
  <c r="C1080" i="4" a="1"/>
  <c r="C566" i="4" a="1"/>
  <c r="C1989" i="4" a="1"/>
  <c r="C1547" i="4" a="1"/>
  <c r="C817" i="4" a="1"/>
  <c r="C320" i="4" a="1"/>
  <c r="C2005" i="4" a="1"/>
  <c r="C1185" i="4" a="1"/>
  <c r="C889" i="4" a="1"/>
  <c r="C247" i="4" a="1"/>
  <c r="C2245" i="4" a="1"/>
  <c r="C1483" i="4" a="1"/>
  <c r="C826" i="4" a="1"/>
  <c r="C580" i="4" a="1"/>
  <c r="C1649" i="4" a="1"/>
  <c r="C1621" i="4" a="1"/>
  <c r="C1352" i="4" a="1"/>
  <c r="C648" i="4" a="1"/>
  <c r="C136" i="4" a="1"/>
  <c r="C2314" i="4" a="1"/>
  <c r="C1474" i="4" a="1"/>
  <c r="C815" i="4" a="1"/>
  <c r="C6" i="4" a="1"/>
  <c r="C2122" i="4" a="1"/>
  <c r="C1642" i="4" a="1"/>
  <c r="C1002" i="4" a="1"/>
  <c r="C414" i="4" a="1"/>
  <c r="C2062" i="4" a="1"/>
  <c r="C1078" i="4" a="1"/>
  <c r="C372" i="4" a="1"/>
  <c r="C404" i="4" a="1"/>
  <c r="C2173" i="4" a="1"/>
  <c r="C1191" i="4" a="1"/>
  <c r="C525" i="4" a="1"/>
  <c r="C497" i="4" a="1"/>
  <c r="C2031" i="4" a="1"/>
  <c r="C1407" i="4" a="1"/>
  <c r="C1211" i="4" a="1"/>
  <c r="C790" i="4" a="1"/>
  <c r="C2270" i="4" a="1"/>
  <c r="C1336" i="4" a="1"/>
  <c r="C709" i="4" a="1"/>
  <c r="C563" i="4" a="1"/>
  <c r="C2090" i="4" a="1"/>
  <c r="C1524" i="4" a="1"/>
  <c r="C1392" i="4" a="1"/>
  <c r="C490" i="4" a="1"/>
  <c r="C2024" i="4" a="1"/>
  <c r="C1885" i="4" a="1"/>
  <c r="C974" i="4" a="1"/>
  <c r="C828" i="4" a="1"/>
  <c r="C153" i="4" a="1"/>
  <c r="C1508" i="4" a="1"/>
  <c r="C1292" i="4" a="1"/>
  <c r="C780" i="4" a="1"/>
  <c r="C76" i="4" a="1"/>
  <c r="C2254" i="4" a="1"/>
  <c r="C1300" i="4" a="1"/>
  <c r="C540" i="4" a="1"/>
  <c r="C209" i="4" a="1"/>
  <c r="C1898" i="4" a="1"/>
  <c r="C1748" i="4" a="1"/>
  <c r="C953" i="4" a="1"/>
  <c r="C228" i="4" a="1"/>
  <c r="C2171" i="4" a="1"/>
  <c r="C1170" i="4" a="1"/>
  <c r="C1091" i="4" a="1"/>
  <c r="C31" i="4" a="1"/>
  <c r="C1943" i="4" a="1"/>
  <c r="C1399" i="4" a="1"/>
  <c r="C831" i="4" a="1"/>
  <c r="C80" i="4" a="1"/>
  <c r="C1917" i="4" a="1"/>
  <c r="C1570" i="4" a="1"/>
  <c r="C930" i="4" a="1"/>
  <c r="C305" i="4" a="1"/>
  <c r="C2196" i="4" a="1"/>
  <c r="C1111" i="4" a="1"/>
  <c r="C1068" i="4" a="1"/>
  <c r="C554" i="4" a="1"/>
  <c r="C1988" i="4" a="1"/>
  <c r="C884" i="4" a="1"/>
  <c r="C883" i="4" a="1"/>
  <c r="C505" i="4" a="1"/>
  <c r="C2079" i="4" a="1"/>
  <c r="C1798" i="4" a="1"/>
  <c r="C1208" i="4" a="1"/>
  <c r="C663" i="4" a="1"/>
  <c r="C495" i="4" a="1"/>
  <c r="C2170" i="4" a="1"/>
  <c r="C1216" i="4" a="1"/>
  <c r="C1060" i="4" a="1"/>
  <c r="C125" i="4" a="1"/>
  <c r="C1681" i="4" a="1"/>
  <c r="C1342" i="4" a="1"/>
  <c r="C800" i="4" a="1"/>
  <c r="C146" i="4" a="1"/>
  <c r="C2268" i="4" a="1"/>
  <c r="C1443" i="4" a="1"/>
  <c r="C870" i="4" a="1"/>
  <c r="C626" i="4" a="1"/>
  <c r="C1900" i="4" a="1"/>
  <c r="C1462" i="4" a="1"/>
  <c r="C955" i="4" a="1"/>
  <c r="C334" i="4" a="1"/>
  <c r="C2311" i="4" a="1"/>
  <c r="C1857" i="4" a="1"/>
  <c r="C385" i="4" a="1"/>
  <c r="C646" i="4" a="1"/>
  <c r="C2125" i="4" a="1"/>
  <c r="C1335" i="4" a="1"/>
  <c r="C1349" i="4" a="1"/>
  <c r="C278" i="4" a="1"/>
  <c r="C2032" i="4" a="1"/>
  <c r="C1956" i="4" a="1"/>
  <c r="C1248" i="4" a="1"/>
  <c r="C701" i="4" a="1"/>
  <c r="C2241" i="4" a="1"/>
  <c r="C1852" i="4" a="1"/>
  <c r="C531" i="4" a="1"/>
  <c r="C431" i="4" a="1"/>
  <c r="C9" i="4" a="1"/>
  <c r="C1369" i="4" a="1"/>
  <c r="C841" i="4" a="1"/>
  <c r="C1143" i="4" a="1"/>
  <c r="C435" i="4" a="1"/>
  <c r="C2098" i="4" a="1"/>
  <c r="C1128" i="4" a="1"/>
  <c r="C1000" i="4" a="1"/>
  <c r="C65" i="4" a="1"/>
  <c r="C2026" i="4" a="1"/>
  <c r="C1604" i="4" a="1"/>
  <c r="C830" i="4" a="1"/>
  <c r="C84" i="4" a="1"/>
  <c r="C1888" i="4" a="1"/>
  <c r="C1742" i="4" a="1"/>
  <c r="C947" i="4" a="1"/>
  <c r="C222" i="4" a="1"/>
  <c r="C2309" i="4" a="1"/>
  <c r="C962" i="4" a="1"/>
  <c r="C200" i="4" a="1"/>
  <c r="C169" i="4" a="1"/>
  <c r="C1925" i="4" a="1"/>
  <c r="C1387" i="4" a="1"/>
  <c r="C723" i="4" a="1"/>
  <c r="C74" i="4" a="1"/>
  <c r="C1899" i="4" a="1"/>
  <c r="C1564" i="4" a="1"/>
  <c r="C924" i="4" a="1"/>
  <c r="C289" i="4" a="1"/>
  <c r="C2334" i="4" a="1"/>
  <c r="C1535" i="4" a="1"/>
  <c r="C733" i="4" a="1"/>
  <c r="C269" i="4" a="1"/>
  <c r="C1979" i="4" a="1"/>
  <c r="C691" i="4" a="1"/>
  <c r="C877" i="4" a="1"/>
  <c r="C486" i="4" a="1"/>
  <c r="C2063" i="4" a="1"/>
  <c r="C1454" i="4" a="1"/>
  <c r="C1015" i="4" a="1"/>
  <c r="C376" i="4" a="1"/>
  <c r="C1954" i="4" a="1"/>
  <c r="C1743" i="4" a="1"/>
  <c r="C1180" i="4" a="1"/>
  <c r="C706" i="4" a="1"/>
  <c r="C2186" i="4" a="1"/>
  <c r="C1753" i="4" a="1"/>
  <c r="C858" i="4" a="1"/>
  <c r="C398" i="4" a="1"/>
  <c r="C1843" i="4" a="1"/>
  <c r="C1745" i="4" a="1"/>
  <c r="C1071" i="4" a="1"/>
  <c r="C219" i="4" a="1"/>
  <c r="C1471" i="4" a="1"/>
  <c r="C793" i="4" a="1"/>
  <c r="C1680" i="4" a="1"/>
  <c r="C1363" i="4" a="1"/>
  <c r="C1059" i="4" a="1"/>
  <c r="C351" i="4" a="1"/>
  <c r="C2083" i="4" a="1"/>
  <c r="C878" i="4" a="1"/>
  <c r="C916" i="4" a="1"/>
  <c r="C274" i="4" a="1"/>
  <c r="C1969" i="4" a="1"/>
  <c r="C1385" i="4" a="1"/>
  <c r="C861" i="4" a="1"/>
  <c r="C235" i="4" a="1"/>
  <c r="C2115" i="4" a="1"/>
  <c r="C1636" i="4" a="1"/>
  <c r="C996" i="4" a="1"/>
  <c r="C373" i="4" a="1"/>
  <c r="C2030" i="4" a="1"/>
  <c r="C1607" i="4" a="1"/>
  <c r="C855" i="4" a="1"/>
  <c r="C384" i="4" a="1"/>
  <c r="C2167" i="4" a="1"/>
  <c r="C1162" i="4" a="1"/>
  <c r="C496" i="4" a="1"/>
  <c r="C458" i="4" a="1"/>
  <c r="C2023" i="4" a="1"/>
  <c r="C1842" i="4" a="1"/>
  <c r="C1205" i="4" a="1"/>
  <c r="C784" i="4" a="1"/>
  <c r="C2264" i="4" a="1"/>
  <c r="C1803" i="4" a="1"/>
  <c r="C642" i="4" a="1"/>
  <c r="C557" i="4" a="1"/>
  <c r="C2066" i="4" a="1"/>
  <c r="C1463" i="4" a="1"/>
  <c r="C1386" i="4" a="1"/>
  <c r="C470" i="4" a="1"/>
  <c r="C1668" i="4" a="1"/>
  <c r="C1837" i="4" a="1"/>
  <c r="C1303" i="4" a="1"/>
  <c r="C999" i="4" a="1"/>
  <c r="C291" i="4" a="1"/>
  <c r="C2008" i="4" a="1"/>
  <c r="C1430" i="4" a="1"/>
  <c r="C729" i="4" a="1"/>
  <c r="C214" i="4" a="1"/>
  <c r="C2248" i="4" a="1"/>
  <c r="C1294" i="4" a="1"/>
  <c r="C516" i="4" a="1"/>
  <c r="C203" i="4" a="1"/>
  <c r="C2001" i="4" a="1"/>
  <c r="C1598" i="4" a="1"/>
  <c r="C747" i="4" a="1"/>
  <c r="C78" i="4" a="1"/>
  <c r="C2165" i="4" a="1"/>
  <c r="C1419" i="4" a="1"/>
  <c r="C1085" i="4" a="1"/>
  <c r="C25" i="4" a="1"/>
  <c r="C2303" i="4" a="1"/>
  <c r="C502" i="4" a="1"/>
  <c r="C869" i="4" a="1"/>
  <c r="C163" i="4" a="1"/>
  <c r="C1907" i="4" a="1"/>
  <c r="C1359" i="4" a="1"/>
  <c r="C715" i="4" a="1"/>
  <c r="C68" i="4" a="1"/>
  <c r="C2190" i="4" a="1"/>
  <c r="C678" i="4" a="1"/>
  <c r="C1062" i="4" a="1"/>
  <c r="C548" i="4" a="1"/>
  <c r="C2328" i="4" a="1"/>
  <c r="C1521" i="4" a="1"/>
  <c r="C716" i="4" a="1"/>
  <c r="C686" i="4" a="1"/>
  <c r="C1854" i="4" a="1"/>
  <c r="C1529" i="4" a="1"/>
  <c r="C856" i="4" a="1"/>
  <c r="C436" i="4" a="1"/>
  <c r="C2227" i="4" a="1"/>
  <c r="C938" i="4" a="1"/>
  <c r="C751" i="4" a="1"/>
  <c r="C562" i="4" a="1"/>
  <c r="C1692" i="4" a="1"/>
  <c r="C1685" i="4" a="1"/>
  <c r="C1265" i="4" a="1"/>
  <c r="C418" i="4" a="1"/>
  <c r="C2324" i="4" a="1"/>
  <c r="C1377" i="4" a="1"/>
  <c r="C927" i="4" a="1"/>
  <c r="C75" i="4" a="1"/>
  <c r="C1147" i="4" a="1"/>
  <c r="C619" i="4" a="1"/>
  <c r="C2295" i="4" a="1"/>
  <c r="C1780" i="4" a="1"/>
  <c r="C926" i="4" a="1"/>
  <c r="C452" i="4" a="1"/>
  <c r="C63" i="4" a="1"/>
  <c r="C1765" i="4" a="1"/>
  <c r="C1202" i="4" a="1"/>
  <c r="C645" i="4" a="1"/>
  <c r="C489" i="4" a="1"/>
  <c r="C2019" i="4" a="1"/>
  <c r="C1802" i="4" a="1"/>
  <c r="C1007" i="4" a="1"/>
  <c r="C282" i="4" a="1"/>
  <c r="C1952" i="4" a="1"/>
  <c r="C1324" i="4" a="1"/>
  <c r="C839" i="4" a="1"/>
  <c r="C229" i="4" a="1"/>
  <c r="C2108" i="4" a="1"/>
  <c r="C1630" i="4" a="1"/>
  <c r="C990" i="4" a="1"/>
  <c r="C362" i="4" a="1"/>
  <c r="C2021" i="4" a="1"/>
  <c r="C1601" i="4" a="1"/>
  <c r="C833" i="4" a="1"/>
  <c r="C343" i="4" a="1"/>
  <c r="C2161" i="4" a="1"/>
  <c r="C769" i="4" a="1"/>
  <c r="C457" i="4" a="1"/>
  <c r="C438" i="4" a="1"/>
  <c r="C2006" i="4" a="1"/>
  <c r="C1818" i="4" a="1"/>
  <c r="C1199" i="4" a="1"/>
  <c r="C778" i="4" a="1"/>
  <c r="C2258" i="4" a="1"/>
  <c r="C1795" i="4" a="1"/>
  <c r="C529" i="4" a="1"/>
  <c r="C551" i="4" a="1"/>
  <c r="C2235" i="4" a="1"/>
  <c r="C1828" i="4" a="1"/>
  <c r="C340" i="4" a="1"/>
  <c r="C370" i="4" a="1"/>
  <c r="C3" i="4" a="1"/>
  <c r="C1830" i="4" a="1"/>
  <c r="C576" i="4" a="1"/>
  <c r="C1137" i="4" a="1"/>
  <c r="C429" i="4" a="1"/>
  <c r="C1983" i="4" a="1"/>
  <c r="C1424" i="4" a="1"/>
  <c r="C721" i="4" a="1"/>
  <c r="C208" i="4" a="1"/>
  <c r="C2075" i="4" a="1"/>
  <c r="C1092" i="4" a="1"/>
  <c r="C988" i="4" a="1"/>
  <c r="C53" i="4" a="1"/>
  <c r="C1993" i="4" a="1"/>
  <c r="C1592" i="4" a="1"/>
  <c r="C739" i="4" a="1"/>
  <c r="C72" i="4" a="1"/>
  <c r="C1870" i="4" a="1"/>
  <c r="C1730" i="4" a="1"/>
  <c r="C935" i="4" a="1"/>
  <c r="C210" i="4" a="1"/>
  <c r="C2153" i="4" a="1"/>
  <c r="C1135" i="4" a="1"/>
  <c r="C1073" i="4" a="1"/>
  <c r="C13" i="4" a="1"/>
  <c r="C1889" i="4" a="1"/>
  <c r="C1108" i="4" a="1"/>
  <c r="C697" i="4" a="1"/>
  <c r="C62" i="4" a="1"/>
  <c r="C1863" i="4" a="1"/>
  <c r="C1552" i="4" a="1"/>
  <c r="C912" i="4" a="1"/>
  <c r="C206" i="4" a="1"/>
  <c r="C2178" i="4" a="1"/>
  <c r="C1503" i="4" a="1"/>
  <c r="C1050" i="4" a="1"/>
  <c r="C536" i="4" a="1"/>
  <c r="C1815" i="4" a="1"/>
  <c r="C1504" i="4" a="1"/>
  <c r="C848" i="4" a="1"/>
  <c r="C425" i="4" a="1"/>
  <c r="C2221" i="4" a="1"/>
  <c r="C1498" i="4" a="1"/>
  <c r="C734" i="4" a="1"/>
  <c r="C556" i="4" a="1"/>
  <c r="C1656" i="4" a="1"/>
  <c r="C1364" i="4" a="1"/>
  <c r="C230" i="4" a="1"/>
  <c r="C2029" i="4" a="1"/>
  <c r="C1460" i="4" a="1"/>
  <c r="C882" i="4" a="1"/>
  <c r="C2151" i="4" a="1"/>
  <c r="C1836" i="4" a="1"/>
  <c r="C1440" i="4" a="1"/>
  <c r="C440" i="4" a="1"/>
  <c r="C1378" i="4" a="1"/>
  <c r="C1671" i="4" a="1"/>
  <c r="C1357" i="4" a="1"/>
  <c r="C1053" i="4" a="1"/>
  <c r="C345" i="4" a="1"/>
  <c r="C1951" i="4" a="1"/>
  <c r="C1658" i="4" a="1"/>
  <c r="C705" i="4" a="1"/>
  <c r="C138" i="4" a="1"/>
  <c r="C2225" i="4" a="1"/>
  <c r="C1439" i="4" a="1"/>
  <c r="C1145" i="4" a="1"/>
  <c r="C85" i="4" a="1"/>
  <c r="C1955" i="4" a="1"/>
  <c r="C1293" i="4" a="1"/>
  <c r="C685" i="4" a="1"/>
  <c r="C134" i="4" a="1"/>
  <c r="C2256" i="4" a="1"/>
  <c r="C1528" i="4" a="1"/>
  <c r="C783" i="4" a="1"/>
  <c r="C614" i="4" a="1"/>
  <c r="C1882" i="4" a="1"/>
  <c r="C1154" i="4" a="1"/>
  <c r="C943" i="4" a="1"/>
  <c r="C467" i="4" a="1"/>
  <c r="C2299" i="4" a="1"/>
  <c r="C1833" i="4" a="1"/>
  <c r="C820" i="4" a="1"/>
  <c r="C634" i="4" a="1"/>
  <c r="C2103" i="4" a="1"/>
  <c r="C1811" i="4" a="1"/>
  <c r="C1337" i="4" a="1"/>
  <c r="C507" i="4" a="1"/>
  <c r="C2042" i="4" a="1"/>
  <c r="C2088" i="4" a="1"/>
  <c r="C1380" i="4" a="1"/>
  <c r="C430" i="4" a="1"/>
  <c r="C1650" i="4" a="1"/>
  <c r="C1821" i="4" a="1"/>
  <c r="C1297" i="4" a="1"/>
  <c r="C993" i="4" a="1"/>
  <c r="C285" i="4" a="1"/>
  <c r="C1383" i="4" a="1"/>
  <c r="C1280" i="4" a="1"/>
  <c r="C679" i="4" a="1"/>
  <c r="C64" i="4" a="1"/>
  <c r="C1975" i="4" a="1"/>
  <c r="C1418" i="4" a="1"/>
  <c r="C704" i="4" a="1"/>
  <c r="C202" i="4" a="1"/>
  <c r="C2236" i="4" a="1"/>
  <c r="C1282" i="4" a="1"/>
  <c r="C845" i="4" a="1"/>
  <c r="C191" i="4" a="1"/>
  <c r="C1976" i="4" a="1"/>
  <c r="C1586" i="4" a="1"/>
  <c r="C722" i="4" a="1"/>
  <c r="C66" i="4" a="1"/>
  <c r="C1716" i="4" a="1"/>
  <c r="C1724" i="4" a="1"/>
  <c r="C929" i="4" a="1"/>
  <c r="C204" i="4" a="1"/>
  <c r="C2291" i="4" a="1"/>
  <c r="C1475" i="4" a="1"/>
  <c r="C823" i="4" a="1"/>
  <c r="C151" i="4" a="1"/>
  <c r="C1871" i="4" a="1"/>
  <c r="C1620" i="4" a="1"/>
  <c r="C2004" i="4" a="1"/>
  <c r="C1296" i="4" a="1"/>
  <c r="C749" i="4" a="1"/>
  <c r="C1855" i="4" a="1"/>
  <c r="C1933" i="4" a="1"/>
  <c r="C1213" i="4" a="1"/>
  <c r="C909" i="4" a="1"/>
  <c r="C201" i="4" a="1"/>
  <c r="C2302" i="4" a="1"/>
  <c r="C1448" i="4" a="1"/>
  <c r="C781" i="4" a="1"/>
  <c r="C257" i="4" a="1"/>
  <c r="C2011" i="4" a="1"/>
  <c r="C1796" i="4" a="1"/>
  <c r="C1001" i="4" a="1"/>
  <c r="C276" i="4" a="1"/>
  <c r="C1862" i="4" a="1"/>
  <c r="C1171" i="4" a="1"/>
  <c r="C816" i="4" a="1"/>
  <c r="C223" i="4" a="1"/>
  <c r="C2101" i="4" a="1"/>
  <c r="C1624" i="4" a="1"/>
  <c r="C984" i="4" a="1"/>
  <c r="C342" i="4" a="1"/>
  <c r="C1554" i="4" a="1"/>
  <c r="C1595" i="4" a="1"/>
  <c r="C810" i="4" a="1"/>
  <c r="C308" i="4" a="1"/>
  <c r="C2155" i="4" a="1"/>
  <c r="C1530" i="4" a="1"/>
  <c r="C374" i="4" a="1"/>
  <c r="C397" i="4" a="1"/>
  <c r="C1997" i="4" a="1"/>
  <c r="C1794" i="4" a="1"/>
  <c r="C1193" i="4" a="1"/>
  <c r="C772" i="4" a="1"/>
  <c r="C1999" i="4" a="1"/>
  <c r="C1944" i="4" a="1"/>
  <c r="C1236" i="4" a="1"/>
  <c r="C689" i="4" a="1"/>
  <c r="C1477" i="4" a="1"/>
  <c r="C1873" i="4" a="1"/>
  <c r="C660" i="4" a="1"/>
  <c r="C745" i="4" a="1"/>
  <c r="C141" i="4" a="1"/>
  <c r="C1806" i="4" a="1"/>
  <c r="C1176" i="4" a="1"/>
  <c r="C1131" i="4" a="1"/>
  <c r="C423" i="4" a="1"/>
  <c r="C1129" i="4" a="1"/>
  <c r="C1274" i="4" a="1"/>
  <c r="C607" i="4" a="1"/>
  <c r="C58" i="4" a="1"/>
  <c r="C2067" i="4" a="1"/>
  <c r="C1081" i="4" a="1"/>
  <c r="C982" i="4" a="1"/>
  <c r="C47" i="4" a="1"/>
  <c r="C2230" i="4" a="1"/>
  <c r="C1276" i="4" a="1"/>
  <c r="C822" i="4" a="1"/>
  <c r="C185" i="4" a="1"/>
  <c r="C1967" i="4" a="1"/>
  <c r="C1580" i="4" a="1"/>
  <c r="C714" i="4" a="1"/>
  <c r="C60" i="4" a="1"/>
  <c r="C2147" i="4" a="1"/>
  <c r="C811" i="4" a="1"/>
  <c r="C1067" i="4" a="1"/>
  <c r="C7" i="4" a="1"/>
  <c r="C2285" i="4" a="1"/>
  <c r="C2312" i="4" a="1"/>
  <c r="C1779" i="4" a="1"/>
  <c r="C950" i="4" a="1"/>
  <c r="C605" i="4" a="1"/>
  <c r="C2289" i="4" a="1"/>
  <c r="C1687" i="4" a="1"/>
  <c r="C794" i="4" a="1"/>
  <c r="C432" i="4" a="1"/>
  <c r="C57" i="4" a="1"/>
  <c r="C2158" i="4" a="1"/>
  <c r="C1204" i="4" a="1"/>
  <c r="C1048" i="4" a="1"/>
  <c r="C113" i="4" a="1"/>
  <c r="C1827" i="4" a="1"/>
  <c r="C1652" i="4" a="1"/>
  <c r="C613" i="4" a="1"/>
  <c r="C132" i="4" a="1"/>
  <c r="C2219" i="4" a="1"/>
  <c r="C1396" i="4" a="1"/>
  <c r="C1139" i="4" a="1"/>
  <c r="C79" i="4" a="1"/>
  <c r="C2129" i="4" a="1"/>
  <c r="C1251" i="4" a="1"/>
  <c r="C618" i="4" a="1"/>
  <c r="C128" i="4" a="1"/>
  <c r="C2250" i="4" a="1"/>
  <c r="C1486" i="4" a="1"/>
  <c r="C775" i="4" a="1"/>
  <c r="C608" i="4" a="1"/>
  <c r="C1874" i="4" a="1"/>
  <c r="C727" i="4" a="1"/>
  <c r="C937" i="4" a="1"/>
  <c r="C406" i="4" a="1"/>
  <c r="C2293" i="4" a="1"/>
  <c r="C1825" i="4" a="1"/>
  <c r="C812" i="4" a="1"/>
  <c r="C628" i="4" a="1"/>
  <c r="C2252" i="4" a="1"/>
  <c r="C1711" i="4" a="1"/>
  <c r="C1123" i="4" a="1"/>
  <c r="C545" i="4" a="1"/>
  <c r="C2229" i="4" a="1"/>
  <c r="C1804" i="4" a="1"/>
  <c r="C1518" i="4" a="1"/>
  <c r="C359" i="4" a="1"/>
  <c r="C1520" i="4" a="1"/>
  <c r="C1813" i="4" a="1"/>
  <c r="C1291" i="4" a="1"/>
  <c r="C987" i="4" a="1"/>
  <c r="C279" i="4" a="1"/>
  <c r="C1782" i="4" a="1"/>
  <c r="C1168" i="4" a="1"/>
  <c r="C1125" i="4" a="1"/>
  <c r="C417" i="4" a="1"/>
  <c r="C1958" i="4" a="1"/>
  <c r="C1412" i="4" a="1"/>
  <c r="C666" i="4" a="1"/>
  <c r="C196" i="4" a="1"/>
  <c r="C2051" i="4" a="1"/>
  <c r="C1066" i="4" a="1"/>
  <c r="C976" i="4" a="1"/>
  <c r="C41" i="4" a="1"/>
  <c r="C2224" i="4" a="1"/>
  <c r="C1270" i="4" a="1"/>
  <c r="C806" i="4" a="1"/>
  <c r="C179" i="4" a="1"/>
  <c r="C1631" i="4" a="1"/>
  <c r="C1718" i="4" a="1"/>
  <c r="C923" i="4" a="1"/>
  <c r="C198" i="4" a="1"/>
  <c r="C2141" i="4" a="1"/>
  <c r="C2168" i="4" a="1"/>
  <c r="C1719" i="4" a="1"/>
  <c r="C702" i="4" a="1"/>
  <c r="C314" i="4" a="1"/>
  <c r="C2145" i="4" a="1"/>
  <c r="C1812" i="4" a="1"/>
  <c r="C1434" i="4" a="1"/>
  <c r="C420" i="4" a="1"/>
  <c r="C1481" i="4" a="1"/>
  <c r="C1966" i="4" a="1"/>
  <c r="C426" i="4" a="1"/>
  <c r="C904" i="4" a="1"/>
  <c r="C262" i="4" a="1"/>
  <c r="C2296" i="4" a="1"/>
  <c r="C1305" i="4" a="1"/>
  <c r="C764" i="4" a="1"/>
  <c r="C251" i="4" a="1"/>
  <c r="C1994" i="4" a="1"/>
  <c r="C1790" i="4" a="1"/>
  <c r="C995" i="4" a="1"/>
  <c r="C270" i="4" a="1"/>
  <c r="C1831" i="4" a="1"/>
  <c r="C1102" i="4" a="1"/>
  <c r="C765" i="4" a="1"/>
  <c r="C217" i="4" a="1"/>
  <c r="C2078" i="4" a="1"/>
  <c r="C1618" i="4" a="1"/>
  <c r="C978" i="4" a="1"/>
  <c r="C307" i="4" a="1"/>
  <c r="C1393" i="4" a="1"/>
  <c r="C1589" i="4" a="1"/>
  <c r="C687" i="4" a="1"/>
  <c r="C271" i="4" a="1"/>
  <c r="C2149" i="4" a="1"/>
  <c r="C1480" i="4" a="1"/>
  <c r="C1075" i="4" a="1"/>
  <c r="C386" i="4" a="1"/>
  <c r="C2096" i="4" a="1"/>
  <c r="C1787" i="4" a="1"/>
  <c r="C1331" i="4" a="1"/>
  <c r="C488" i="4" a="1"/>
  <c r="C2033" i="4" a="1"/>
  <c r="C2082" i="4" a="1"/>
  <c r="C1374" i="4" a="1"/>
  <c r="C419" i="4" a="1"/>
  <c r="C2025" i="4" a="1"/>
  <c r="C1867" i="4" a="1"/>
  <c r="C553" i="4" a="1"/>
  <c r="C728" i="4" a="1"/>
  <c r="C135" i="4" a="1"/>
  <c r="C1797" i="4" a="1"/>
  <c r="C1285" i="4" a="1"/>
  <c r="C981" i="4" a="1"/>
  <c r="C273" i="4" a="1"/>
  <c r="C1799" i="4" a="1"/>
  <c r="C1268" i="4" a="1"/>
  <c r="C583" i="4" a="1"/>
  <c r="C52" i="4" a="1"/>
  <c r="C1949" i="4" a="1"/>
  <c r="C1406" i="4" a="1"/>
  <c r="C392" i="4" a="1"/>
  <c r="C190" i="4" a="1"/>
  <c r="C2043" i="4" a="1"/>
  <c r="C980" i="4" a="1"/>
  <c r="C970" i="4" a="1"/>
  <c r="C35" i="4" a="1"/>
  <c r="C1848" i="4" a="1"/>
  <c r="C1574" i="4" a="1"/>
  <c r="C696" i="4" a="1"/>
  <c r="C54" i="4" a="1"/>
  <c r="C2036" i="4" a="1"/>
  <c r="C1712" i="4" a="1"/>
  <c r="C917" i="4" a="1"/>
  <c r="C192" i="4" a="1"/>
  <c r="C2135" i="4" a="1"/>
  <c r="C1850" i="4" a="1"/>
  <c r="C1055" i="4" a="1"/>
  <c r="C330" i="4" a="1"/>
  <c r="C1751" i="4" a="1"/>
  <c r="C1372" i="4" a="1"/>
  <c r="C615" i="4" a="1"/>
  <c r="C44" i="4" a="1"/>
  <c r="C2166" i="4" a="1"/>
  <c r="C1478" i="4" a="1"/>
  <c r="C1038" i="4" a="1"/>
  <c r="C524" i="4" a="1"/>
  <c r="C2160" i="4" a="1"/>
  <c r="C1010" i="4" a="1"/>
  <c r="C407" i="4" a="1"/>
  <c r="C2084" i="4" a="1"/>
  <c r="C1682" i="4" a="1"/>
  <c r="C928" i="4" a="1"/>
  <c r="C1447" i="4" a="1"/>
  <c r="C1641" i="4" a="1"/>
  <c r="C1247" i="4" a="1"/>
  <c r="C313" i="4" a="1"/>
  <c r="C1573" i="4" a="1"/>
  <c r="C1998" i="4" a="1"/>
  <c r="C1290" i="4" a="1"/>
  <c r="C743" i="4" a="1"/>
  <c r="C1691" i="4" a="1"/>
  <c r="C1334" i="4" a="1"/>
  <c r="C474" i="4" a="1"/>
  <c r="C118" i="4" a="1"/>
  <c r="C2152" i="4" a="1"/>
  <c r="C1198" i="4" a="1"/>
  <c r="C1042" i="4" a="1"/>
  <c r="C107" i="4" a="1"/>
  <c r="C1776" i="4" a="1"/>
  <c r="C1646" i="4" a="1"/>
  <c r="C589" i="4" a="1"/>
  <c r="C126" i="4" a="1"/>
  <c r="C2213" i="4" a="1"/>
  <c r="C1384" i="4" a="1"/>
  <c r="C1133" i="4" a="1"/>
  <c r="C73" i="4" a="1"/>
  <c r="C2100" i="4" a="1"/>
  <c r="C1227" i="4" a="1"/>
  <c r="C594" i="4" a="1"/>
  <c r="C122" i="4" a="1"/>
  <c r="C2244" i="4" a="1"/>
  <c r="C1469" i="4" a="1"/>
  <c r="C758" i="4" a="1"/>
  <c r="C602" i="4" a="1"/>
  <c r="C1864" i="4" a="1"/>
  <c r="C1425" i="4" a="1"/>
  <c r="C931" i="4" a="1"/>
  <c r="C395" i="4" a="1"/>
  <c r="C1937" i="4" a="1"/>
  <c r="C1735" i="4" a="1"/>
  <c r="C1187" i="4" a="1"/>
  <c r="C766" i="4" a="1"/>
  <c r="C1982" i="4" a="1"/>
  <c r="C1938" i="4" a="1"/>
  <c r="C1230" i="4" a="1"/>
  <c r="C683" i="4" a="1"/>
  <c r="C2223" i="4" a="1"/>
  <c r="C1729" i="4" a="1"/>
  <c r="C1512" i="4" a="1"/>
  <c r="C328" i="4" a="1"/>
  <c r="C2017" i="4" a="1"/>
  <c r="C1781" i="4" a="1"/>
  <c r="C1159" i="4" a="1"/>
  <c r="C720" i="4" a="1"/>
  <c r="C129" i="4" a="1"/>
  <c r="C1773" i="4" a="1"/>
  <c r="C1160" i="4" a="1"/>
  <c r="C1119" i="4" a="1"/>
  <c r="C411" i="4" a="1"/>
  <c r="C1723" i="4" a="1"/>
  <c r="C1262" i="4" a="1"/>
  <c r="C559" i="4" a="1"/>
  <c r="C46" i="4" a="1"/>
  <c r="C1931" i="4" a="1"/>
  <c r="C1400" i="4" a="1"/>
  <c r="C287" i="4" a="1"/>
  <c r="C184" i="4" a="1"/>
  <c r="C2218" i="4" a="1"/>
  <c r="C1264" i="4" a="1"/>
  <c r="C798" i="4" a="1"/>
  <c r="C173" i="4" a="1"/>
  <c r="C1603" i="4" a="1"/>
  <c r="C1614" i="4" a="1"/>
  <c r="C1022" i="4" a="1"/>
  <c r="C682" i="4" a="1"/>
  <c r="C2306" i="4" a="1"/>
  <c r="C1762" i="4" a="1"/>
  <c r="C787" i="4" a="1"/>
  <c r="C599" i="4" a="1"/>
  <c r="C1740" i="4" a="1"/>
  <c r="C1190" i="4" a="1"/>
  <c r="C349" i="4" a="1"/>
  <c r="C477" i="4" a="1"/>
  <c r="C1859" i="4" a="1"/>
  <c r="C1177" i="4" a="1"/>
  <c r="C898" i="4" a="1"/>
  <c r="C256" i="4" a="1"/>
  <c r="C2290" i="4" a="1"/>
  <c r="C1287" i="4" a="1"/>
  <c r="C756" i="4" a="1"/>
  <c r="C245" i="4" a="1"/>
  <c r="C1985" i="4" a="1"/>
  <c r="C1784" i="4" a="1"/>
  <c r="C989" i="4" a="1"/>
  <c r="C264" i="4" a="1"/>
  <c r="C1750" i="4" a="1"/>
  <c r="C600" i="4" a="1"/>
  <c r="C757" i="4" a="1"/>
  <c r="C211" i="4" a="1"/>
  <c r="C2054" i="4" a="1"/>
  <c r="C1612" i="4" a="1"/>
  <c r="C972" i="4" a="1"/>
  <c r="C242" i="4" a="1"/>
  <c r="C1563" i="4" a="1"/>
  <c r="C1583" i="4" a="1"/>
  <c r="C493" i="4" a="1"/>
  <c r="C512" i="4" a="1"/>
  <c r="C2287" i="4" a="1"/>
  <c r="C1809" i="4" a="1"/>
  <c r="C804" i="4" a="1"/>
  <c r="C622" i="4" a="1"/>
  <c r="C2246" i="4" a="1"/>
  <c r="C1703" i="4" a="1"/>
  <c r="C1105" i="4" a="1"/>
  <c r="C539" i="4" a="1"/>
  <c r="C1948" i="4" a="1"/>
  <c r="C2076" i="4" a="1"/>
  <c r="C1368" i="4" a="1"/>
  <c r="C358" i="4" a="1"/>
  <c r="C2217" i="4" a="1"/>
  <c r="C1721" i="4" a="1"/>
  <c r="C1506" i="4" a="1"/>
  <c r="C302" i="4" a="1"/>
  <c r="C1375" i="4" a="1"/>
  <c r="C1789" i="4" a="1"/>
  <c r="C1279" i="4" a="1"/>
  <c r="C975" i="4" a="1"/>
  <c r="C267" i="4" a="1"/>
  <c r="C1756" i="4" a="1"/>
  <c r="C1117" i="4" a="1"/>
  <c r="C1113" i="4" a="1"/>
  <c r="C405" i="4" a="1"/>
  <c r="C1715" i="4" a="1"/>
  <c r="C1256" i="4" a="1"/>
  <c r="C535" i="4" a="1"/>
  <c r="C40" i="4" a="1"/>
  <c r="C2035" i="4" a="1"/>
  <c r="C908" i="4" a="1"/>
  <c r="C964" i="4" a="1"/>
  <c r="C29" i="4" a="1"/>
  <c r="C2212" i="4" a="1"/>
  <c r="C1258" i="4" a="1"/>
  <c r="C681" i="4" a="1"/>
  <c r="C167" i="4" a="1"/>
  <c r="C1666" i="4" a="1"/>
  <c r="C1562" i="4" a="1"/>
  <c r="C482" i="4" a="1"/>
  <c r="C42" i="4" a="1"/>
  <c r="C2128" i="4" a="1"/>
  <c r="C1844" i="4" a="1"/>
  <c r="C1049" i="4" a="1"/>
  <c r="C324" i="4" a="1"/>
  <c r="C1638" i="4" a="1"/>
  <c r="C1519" i="4" a="1"/>
  <c r="C591" i="4" a="1"/>
  <c r="C38" i="4" a="1"/>
  <c r="C1964" i="4" a="1"/>
  <c r="C1158" i="4" a="1"/>
  <c r="C550" i="4" a="1"/>
  <c r="C2182" i="4" a="1"/>
  <c r="C1228" i="4" a="1"/>
  <c r="C306" i="4" a="1"/>
  <c r="C2203" i="4" a="1"/>
  <c r="C1366" i="4" a="1"/>
  <c r="C639" i="4" a="1"/>
  <c r="C538" i="4" a="1"/>
  <c r="C2162" i="4" a="1"/>
  <c r="C1702" i="4" a="1"/>
  <c r="C528" i="4" a="1"/>
  <c r="C479" i="4" a="1"/>
  <c r="C1479" i="4" a="1"/>
  <c r="C1627" i="4" a="1"/>
  <c r="C1345" i="4" a="1"/>
  <c r="C1041" i="4" a="1"/>
  <c r="C333" i="4" a="1"/>
  <c r="C1674" i="4" a="1"/>
  <c r="C1328" i="4" a="1"/>
  <c r="C350" i="4" a="1"/>
  <c r="C112" i="4" a="1"/>
  <c r="C2146" i="4" a="1"/>
  <c r="C1192" i="4" a="1"/>
  <c r="C1036" i="4" a="1"/>
  <c r="C101" i="4" a="1"/>
  <c r="C1749" i="4" a="1"/>
  <c r="C1640" i="4" a="1"/>
  <c r="C565" i="4" a="1"/>
  <c r="C120" i="4" a="1"/>
  <c r="C2207" i="4" a="1"/>
  <c r="C1371" i="4" a="1"/>
  <c r="C1127" i="4" a="1"/>
  <c r="C67" i="4" a="1"/>
  <c r="C2093" i="4" a="1"/>
  <c r="C1203" i="4" a="1"/>
  <c r="C570" i="4" a="1"/>
  <c r="C116" i="4" a="1"/>
  <c r="C2238" i="4" a="1"/>
  <c r="C1451" i="4" a="1"/>
  <c r="C750" i="4" a="1"/>
  <c r="C596" i="4" a="1"/>
  <c r="C2143" i="4" a="1"/>
  <c r="C1403" i="4" a="1"/>
  <c r="C1069" i="4" a="1"/>
  <c r="C366" i="4" a="1"/>
  <c r="C2080" i="4" a="1"/>
  <c r="C1770" i="4" a="1"/>
  <c r="C1325" i="4" a="1"/>
  <c r="C439" i="4" a="1"/>
  <c r="C1973" i="4" a="1"/>
  <c r="C1932" i="4" a="1"/>
  <c r="C1224" i="4" a="1"/>
  <c r="C677" i="4" a="1"/>
  <c r="C1940" i="4" a="1"/>
  <c r="C2070" i="4" a="1"/>
  <c r="C1362" i="4" a="1"/>
  <c r="C347" i="4" a="1"/>
  <c r="C2000" i="4" a="1"/>
  <c r="C1764" i="4" a="1"/>
  <c r="C1142" i="4" a="1"/>
  <c r="C606" i="4" a="1"/>
  <c r="C123" i="4" a="1"/>
  <c r="C1747" i="4" a="1"/>
  <c r="C1273" i="4" a="1"/>
  <c r="C969" i="4" a="1"/>
  <c r="C261" i="4" a="1"/>
  <c r="C1663" i="4" a="1"/>
  <c r="C1099" i="4" a="1"/>
  <c r="C1107" i="4" a="1"/>
  <c r="C399" i="4" a="1"/>
  <c r="C1913" i="4" a="1"/>
  <c r="C1394" i="4" a="1"/>
  <c r="C859" i="4" a="1"/>
  <c r="C178" i="4" a="1"/>
  <c r="C2018" i="4" a="1"/>
  <c r="C579" i="4" a="1"/>
  <c r="C958" i="4" a="1"/>
  <c r="C23" i="4" a="1"/>
  <c r="C2206" i="4" a="1"/>
  <c r="C1252" i="4" a="1"/>
  <c r="C609" i="4" a="1"/>
  <c r="C161" i="4" a="1"/>
  <c r="C1807" i="4" a="1"/>
  <c r="C1700" i="4" a="1"/>
  <c r="C905" i="4" a="1"/>
  <c r="C180" i="4" a="1"/>
  <c r="C2267" i="4" a="1"/>
  <c r="C1408" i="4" a="1"/>
  <c r="C774" i="4" a="1"/>
  <c r="C127" i="4" a="1"/>
  <c r="C2261" i="4" a="1"/>
  <c r="C786" i="4" a="1"/>
  <c r="C353" i="4" a="1"/>
  <c r="C1887" i="4" a="1"/>
  <c r="C1016" i="4" a="1"/>
  <c r="C1946" i="4" a="1"/>
  <c r="C1317" i="4" a="1"/>
  <c r="C985" i="4" a="1"/>
  <c r="C427" i="4" a="1"/>
  <c r="C1981" i="4" a="1"/>
  <c r="C1623" i="4" a="1"/>
  <c r="C1241" i="4" a="1"/>
  <c r="C277" i="4" a="1"/>
  <c r="C1990" i="4" a="1"/>
  <c r="C1921" i="4" a="1"/>
  <c r="C1201" i="4" a="1"/>
  <c r="C897" i="4" a="1"/>
  <c r="C189" i="4" a="1"/>
  <c r="C1731" i="4" a="1"/>
  <c r="C1184" i="4" a="1"/>
  <c r="C1179" i="4" a="1"/>
  <c r="C471" i="4" a="1"/>
  <c r="C1775" i="4" a="1"/>
  <c r="C1144" i="4" a="1"/>
  <c r="C892" i="4" a="1"/>
  <c r="C250" i="4" a="1"/>
  <c r="C2284" i="4" a="1"/>
  <c r="C1130" i="4" a="1"/>
  <c r="C649" i="4" a="1"/>
  <c r="C239" i="4" a="1"/>
  <c r="C1942" i="4" a="1"/>
  <c r="C1778" i="4" a="1"/>
  <c r="C983" i="4" a="1"/>
  <c r="C258" i="4" a="1"/>
  <c r="C1536" i="4" a="1"/>
  <c r="C1551" i="4" a="1"/>
  <c r="C740" i="4" a="1"/>
  <c r="C205" i="4" a="1"/>
  <c r="C2020" i="4" a="1"/>
  <c r="C1606" i="4" a="1"/>
  <c r="C966" i="4" a="1"/>
  <c r="C503" i="4" a="1"/>
  <c r="C1647" i="4" a="1"/>
  <c r="C1402" i="4" a="1"/>
  <c r="C925" i="4" a="1"/>
  <c r="C310" i="4" a="1"/>
  <c r="C1919" i="4" a="1"/>
  <c r="C1727" i="4" a="1"/>
  <c r="C1181" i="4" a="1"/>
  <c r="C760" i="4" a="1"/>
  <c r="C2240" i="4" a="1"/>
  <c r="C1686" i="4" a="1"/>
  <c r="C1087" i="4" a="1"/>
  <c r="C533" i="4" a="1"/>
  <c r="C1841" i="4" a="1"/>
  <c r="C1926" i="4" a="1"/>
  <c r="C1218" i="4" a="1"/>
  <c r="C671" i="4" a="1"/>
  <c r="C2211" i="4" a="1"/>
  <c r="C1704" i="4" a="1"/>
  <c r="C1500" i="4" a="1"/>
  <c r="C481" i="4" a="1"/>
  <c r="C1991" i="4" a="1"/>
  <c r="C1755" i="4" a="1"/>
  <c r="C1116" i="4" a="1"/>
  <c r="C582" i="4" a="1"/>
  <c r="C117" i="4" a="1"/>
  <c r="C1739" i="4" a="1"/>
  <c r="C1267" i="4" a="1"/>
  <c r="C963" i="4" a="1"/>
  <c r="C255" i="4" a="1"/>
  <c r="C1698" i="4" a="1"/>
  <c r="C1250" i="4" a="1"/>
  <c r="C473" i="4" a="1"/>
  <c r="C34" i="4" a="1"/>
  <c r="C1895" i="4" a="1"/>
  <c r="C1388" i="4" a="1"/>
  <c r="C814" i="4" a="1"/>
  <c r="C172" i="4" a="1"/>
  <c r="C2009" i="4" a="1"/>
  <c r="C462" i="4" a="1"/>
  <c r="C952" i="4" a="1"/>
  <c r="C17" i="4" a="1"/>
  <c r="C1163" i="4" a="1"/>
  <c r="C1556" i="4" a="1"/>
  <c r="C401" i="4" a="1"/>
  <c r="C36" i="4" a="1"/>
  <c r="C2121" i="4" a="1"/>
  <c r="C1838" i="4" a="1"/>
  <c r="C1043" i="4" a="1"/>
  <c r="C318" i="4" a="1"/>
  <c r="C2114" i="4" a="1"/>
  <c r="C1164" i="4" a="1"/>
  <c r="C662" i="4" a="1"/>
  <c r="C1774" i="4" a="1"/>
  <c r="C1358" i="4" a="1"/>
  <c r="C213" i="4" a="1"/>
  <c r="C2130" i="4" a="1"/>
  <c r="C1453" i="4" a="1"/>
  <c r="C776" i="4" a="1"/>
  <c r="C212" i="4" a="1"/>
  <c r="C2341" i="4" a="1"/>
  <c r="C1585" i="4" a="1"/>
  <c r="C1004" i="4" a="1"/>
  <c r="C676" i="4" a="1"/>
  <c r="C2277" i="4" a="1"/>
  <c r="C1662" i="4" a="1"/>
  <c r="C710" i="4" a="1"/>
  <c r="C380" i="4" a="1"/>
  <c r="C45" i="4" a="1"/>
  <c r="C1609" i="4" a="1"/>
  <c r="C1339" i="4" a="1"/>
  <c r="C1035" i="4" a="1"/>
  <c r="C327" i="4" a="1"/>
  <c r="C1665" i="4" a="1"/>
  <c r="C1322" i="4" a="1"/>
  <c r="C844" i="4" a="1"/>
  <c r="C106" i="4" a="1"/>
  <c r="C2140" i="4" a="1"/>
  <c r="C1186" i="4" a="1"/>
  <c r="C1030" i="4" a="1"/>
  <c r="C95" i="4" a="1"/>
  <c r="C1709" i="4" a="1"/>
  <c r="C1634" i="4" a="1"/>
  <c r="C541" i="4" a="1"/>
  <c r="C114" i="4" a="1"/>
  <c r="C2201" i="4" a="1"/>
  <c r="C1354" i="4" a="1"/>
  <c r="C1121" i="4" a="1"/>
  <c r="C61" i="4" a="1"/>
  <c r="C2085" i="4" a="1"/>
  <c r="C1178" i="4" a="1"/>
  <c r="C546" i="4" a="1"/>
  <c r="C110" i="4" a="1"/>
  <c r="C1978" i="4" a="1"/>
  <c r="C1577" i="4" a="1"/>
  <c r="C454" i="4" a="1"/>
  <c r="C494" i="4" a="1"/>
  <c r="C2281" i="4" a="1"/>
  <c r="C1801" i="4" a="1"/>
  <c r="C661" i="4" a="1"/>
  <c r="C616" i="4" a="1"/>
  <c r="C2056" i="4" a="1"/>
  <c r="C1761" i="4" a="1"/>
  <c r="C1319" i="4" a="1"/>
  <c r="C428" i="4" a="1"/>
  <c r="C2234" i="4" a="1"/>
  <c r="C1677" i="4" a="1"/>
  <c r="C1058" i="4" a="1"/>
  <c r="C527" i="4" a="1"/>
  <c r="C1930" i="4" a="1"/>
  <c r="C2064" i="4" a="1"/>
  <c r="C1356" i="4" a="1"/>
  <c r="C809" i="4" a="1"/>
  <c r="C2205" i="4" a="1"/>
  <c r="C1695" i="4" a="1"/>
  <c r="C1494" i="4" a="1"/>
  <c r="C461" i="4" a="1"/>
  <c r="C1847" i="4" a="1"/>
  <c r="C1738" i="4" a="1"/>
  <c r="C1098" i="4" a="1"/>
  <c r="C558" i="4" a="1"/>
  <c r="C111" i="4" a="1"/>
  <c r="C1655" i="4" a="1"/>
  <c r="C902" i="4" a="1"/>
  <c r="C1101" i="4" a="1"/>
  <c r="C393" i="4" a="1"/>
  <c r="C1689" i="4" a="1"/>
  <c r="C1244" i="4" a="1"/>
  <c r="C433" i="4" a="1"/>
  <c r="C28" i="4" a="1"/>
  <c r="C1877" i="4" a="1"/>
  <c r="C1382" i="4" a="1"/>
  <c r="C771" i="4" a="1"/>
  <c r="C166" i="4" a="1"/>
  <c r="C2200" i="4" a="1"/>
  <c r="C1246" i="4" a="1"/>
  <c r="C585" i="4" a="1"/>
  <c r="C155" i="4" a="1"/>
  <c r="C2106" i="4" a="1"/>
  <c r="C1694" i="4" a="1"/>
  <c r="C899" i="4" a="1"/>
  <c r="C174" i="4" a="1"/>
  <c r="C2099" i="4" a="1"/>
  <c r="C726" i="4" a="1"/>
  <c r="C518" i="4" a="1"/>
  <c r="C1822" i="4" a="1"/>
  <c r="C1214" i="4" a="1"/>
  <c r="C2154" i="4" a="1"/>
  <c r="C2292" i="4" a="1"/>
  <c r="C1112" i="4" a="1"/>
  <c r="C595" i="4" a="1"/>
  <c r="C650" i="4" a="1"/>
  <c r="C2197" i="4" a="1"/>
  <c r="C1318" i="4" a="1"/>
  <c r="C621" i="4" a="1"/>
  <c r="C532" i="4" a="1"/>
  <c r="C2133" i="4" a="1"/>
  <c r="C1771" i="4" a="1"/>
  <c r="C1422" i="4" a="1"/>
  <c r="C368" i="4" a="1"/>
  <c r="C2065" i="4" a="1"/>
  <c r="C1915" i="4" a="1"/>
  <c r="C1195" i="4" a="1"/>
  <c r="C891" i="4" a="1"/>
  <c r="C183" i="4" a="1"/>
  <c r="C1714" i="4" a="1"/>
  <c r="C1169" i="4" a="1"/>
  <c r="C1173" i="4" a="1"/>
  <c r="C465" i="4" a="1"/>
  <c r="C1707" i="4" a="1"/>
  <c r="C1118" i="4" a="1"/>
  <c r="C886" i="4" a="1"/>
  <c r="C244" i="4" a="1"/>
  <c r="C2278" i="4" a="1"/>
  <c r="C1094" i="4" a="1"/>
  <c r="C631" i="4" a="1"/>
  <c r="C233" i="4" a="1"/>
  <c r="C1934" i="4" a="1"/>
  <c r="C1772" i="4" a="1"/>
  <c r="C977" i="4" a="1"/>
  <c r="C252" i="4" a="1"/>
  <c r="C2339" i="4" a="1"/>
  <c r="C1545" i="4" a="1"/>
  <c r="C732" i="4" a="1"/>
  <c r="C199" i="4" a="1"/>
  <c r="C2232" i="4" a="1"/>
  <c r="C1433" i="4" a="1"/>
  <c r="C672" i="4" a="1"/>
  <c r="C590" i="4" a="1"/>
  <c r="C2137" i="4" a="1"/>
  <c r="C1391" i="4" a="1"/>
  <c r="C1063" i="4" a="1"/>
  <c r="C323" i="4" a="1"/>
  <c r="C1901" i="4" a="1"/>
  <c r="C1710" i="4" a="1"/>
  <c r="C1148" i="4" a="1"/>
  <c r="C754" i="4" a="1"/>
  <c r="C1972" i="4" a="1"/>
  <c r="C1744" i="4" a="1"/>
  <c r="C1313" i="4" a="1"/>
  <c r="C408" i="4" a="1"/>
  <c r="C1823" i="4" a="1"/>
  <c r="C1920" i="4" a="1"/>
  <c r="C1212" i="4" a="1"/>
  <c r="C665" i="4" a="1"/>
  <c r="C1922" i="4" a="1"/>
  <c r="C2058" i="4" a="1"/>
  <c r="C1350" i="4" a="1"/>
  <c r="C803" i="4" a="1"/>
  <c r="C2199" i="4" a="1"/>
  <c r="C1678" i="4" a="1"/>
  <c r="C1488" i="4" a="1"/>
  <c r="C400" i="4" a="1"/>
  <c r="C1526" i="4" a="1"/>
  <c r="C1722" i="4" a="1"/>
  <c r="C1261" i="4" a="1"/>
  <c r="C957" i="4" a="1"/>
  <c r="C249" i="4" a="1"/>
  <c r="C1637" i="4" a="1"/>
  <c r="C835" i="4" a="1"/>
  <c r="C1095" i="4" a="1"/>
  <c r="C387" i="4" a="1"/>
  <c r="C1672" i="4" a="1"/>
  <c r="C1238" i="4" a="1"/>
  <c r="C866" i="4" a="1"/>
  <c r="C22" i="4" a="1"/>
  <c r="C1941" i="4" a="1"/>
  <c r="C1153" i="4" a="1"/>
  <c r="C946" i="4" a="1"/>
  <c r="C11" i="4" a="1"/>
  <c r="C2338" i="4" a="1"/>
  <c r="C1550" i="4" a="1"/>
  <c r="C304" i="4" a="1"/>
  <c r="C30" i="4" a="1"/>
  <c r="C2332" i="4" a="1"/>
  <c r="C997" i="4" a="1"/>
  <c r="C176" i="4" a="1"/>
  <c r="C1697" i="4" a="1"/>
  <c r="C382" i="4" a="1"/>
  <c r="C513" i="4" a="1"/>
  <c r="C2148" i="4" a="1"/>
  <c r="C850" i="4" a="1"/>
  <c r="C1020" i="4" a="1"/>
  <c r="C475" i="4" a="1"/>
  <c r="C1936" i="4" a="1"/>
  <c r="C1299" i="4" a="1"/>
  <c r="C979" i="4" a="1"/>
  <c r="C416" i="4" a="1"/>
  <c r="C2111" i="4" a="1"/>
  <c r="C1986" i="4" a="1"/>
  <c r="C1278" i="4" a="1"/>
  <c r="C731" i="4" a="1"/>
  <c r="C2271" i="4" a="1"/>
  <c r="C1579" i="4" a="1"/>
  <c r="C552" i="4" a="1"/>
  <c r="C360" i="4" a="1"/>
  <c r="C39" i="4" a="1"/>
  <c r="C1599" i="4" a="1"/>
  <c r="C1333" i="4" a="1"/>
  <c r="C1029" i="4" a="1"/>
  <c r="C321" i="4" a="1"/>
  <c r="C1510" i="4" a="1"/>
  <c r="C1316" i="4" a="1"/>
  <c r="C836" i="4" a="1"/>
  <c r="C100" i="4" a="1"/>
  <c r="C2134" i="4" a="1"/>
  <c r="C1138" i="4" a="1"/>
  <c r="C1024" i="4" a="1"/>
  <c r="C89" i="4" a="1"/>
  <c r="C1673" i="4" a="1"/>
  <c r="C1628" i="4" a="1"/>
  <c r="C517" i="4" a="1"/>
  <c r="C108" i="4" a="1"/>
  <c r="C2195" i="4" a="1"/>
  <c r="C1269" i="4" a="1"/>
  <c r="C1115" i="4" a="1"/>
  <c r="C55" i="4" a="1"/>
  <c r="C1995" i="4" a="1"/>
  <c r="C1600" i="4" a="1"/>
  <c r="C960" i="4" a="1"/>
  <c r="C424" i="4" a="1"/>
  <c r="C1555" i="4" a="1"/>
  <c r="C1390" i="4" a="1"/>
  <c r="C919" i="4" a="1"/>
  <c r="C293" i="4" a="1"/>
  <c r="C2275" i="4" a="1"/>
  <c r="C1785" i="4" a="1"/>
  <c r="C643" i="4" a="1"/>
  <c r="C610" i="4" a="1"/>
  <c r="C1883" i="4" a="1"/>
  <c r="C1701" i="4" a="1"/>
  <c r="C890" i="4" a="1"/>
  <c r="C748" i="4" a="1"/>
  <c r="C2228" i="4" a="1"/>
  <c r="C1660" i="4" a="1"/>
  <c r="C864" i="4" a="1"/>
  <c r="C521" i="4" a="1"/>
  <c r="C1657" i="4" a="1"/>
  <c r="C1914" i="4" a="1"/>
  <c r="C1206" i="4" a="1"/>
  <c r="C659" i="4" a="1"/>
  <c r="C1912" i="4" a="1"/>
  <c r="C2052" i="4" a="1"/>
  <c r="C1344" i="4" a="1"/>
  <c r="C797" i="4" a="1"/>
  <c r="C2337" i="4" a="1"/>
  <c r="C1653" i="4" a="1"/>
  <c r="C1076" i="4" a="1"/>
  <c r="C534" i="4" a="1"/>
  <c r="C105" i="4" a="1"/>
  <c r="C2053" i="4" a="1"/>
  <c r="C1441" i="4" a="1"/>
  <c r="C519" i="4" a="1"/>
  <c r="C20" i="4" a="1"/>
  <c r="C2286" i="4" a="1"/>
  <c r="C1070" i="4" a="1"/>
  <c r="C571" i="4" a="1"/>
  <c r="C644" i="4" a="1"/>
  <c r="C2150" i="4" a="1"/>
  <c r="C1633" i="4" a="1"/>
  <c r="C1373" i="4" a="1"/>
  <c r="C449" i="4" a="1"/>
  <c r="C2081" i="4" a="1"/>
  <c r="C1980" i="4" a="1"/>
  <c r="C1272" i="4" a="1"/>
  <c r="C725" i="4" a="1"/>
  <c r="C2265" i="4" a="1"/>
  <c r="C1569" i="4" a="1"/>
  <c r="C1124" i="4" a="1"/>
  <c r="C284" i="4" a="1"/>
  <c r="C33" i="4" a="1"/>
  <c r="C1561" i="4" a="1"/>
  <c r="C1327" i="4" a="1"/>
  <c r="C1023" i="4" a="1"/>
  <c r="C315" i="4" a="1"/>
  <c r="C1445" i="4" a="1"/>
  <c r="C1310" i="4" a="1"/>
  <c r="C813" i="4" a="1"/>
  <c r="C94" i="4" a="1"/>
  <c r="C2127" i="4" a="1"/>
  <c r="C914" i="4" a="1"/>
  <c r="C1018" i="4" a="1"/>
  <c r="C83" i="4" a="1"/>
  <c r="C1629" i="4" a="1"/>
  <c r="C1622" i="4" a="1"/>
  <c r="C402" i="4" a="1"/>
  <c r="C102" i="4" a="1"/>
  <c r="C2333" i="4" a="1"/>
  <c r="C1539" i="4" a="1"/>
  <c r="C669" i="4" a="1"/>
  <c r="C193" i="4" a="1"/>
  <c r="C2226" i="4" a="1"/>
  <c r="C1423" i="4" a="1"/>
  <c r="C412" i="4" a="1"/>
  <c r="C584" i="4" a="1"/>
  <c r="C2071" i="4" a="1"/>
  <c r="C1330" i="4" a="1"/>
  <c r="C913" i="4" a="1"/>
  <c r="C248" i="4" a="1"/>
  <c r="C2116" i="4" a="1"/>
  <c r="C1120" i="4" a="1"/>
  <c r="C1051" i="4" a="1"/>
  <c r="C296" i="4" a="1"/>
  <c r="C1865" i="4" a="1"/>
  <c r="C1684" i="4" a="1"/>
  <c r="C265" i="4" a="1"/>
  <c r="C742" i="4" a="1"/>
  <c r="C1929" i="4" a="1"/>
  <c r="C1567" i="4" a="1"/>
  <c r="C1301" i="4" a="1"/>
  <c r="C356" i="4" a="1"/>
  <c r="C2216" i="4" a="1"/>
  <c r="C1625" i="4" a="1"/>
  <c r="C1165" i="4" a="1"/>
  <c r="C508" i="4" a="1"/>
  <c r="C1904" i="4" a="1"/>
  <c r="C2046" i="4" a="1"/>
  <c r="C1338" i="4" a="1"/>
  <c r="C791" i="4" a="1"/>
  <c r="C2187" i="4" a="1"/>
  <c r="C1626" i="4" a="1"/>
  <c r="C1476" i="4" a="1"/>
  <c r="C316" i="4" a="1"/>
  <c r="C2325" i="4" a="1"/>
  <c r="C1617" i="4" a="1"/>
  <c r="C1175" i="4" a="1"/>
  <c r="C472" i="4" a="1"/>
  <c r="C93" i="4" a="1"/>
  <c r="C1549" i="4" a="1"/>
  <c r="C421" i="4" a="1"/>
  <c r="C1083" i="4" a="1"/>
  <c r="C375" i="4" a="1"/>
  <c r="C1824" i="4" a="1"/>
  <c r="C1370" i="4" a="1"/>
  <c r="C746" i="4" a="1"/>
  <c r="C154" i="4" a="1"/>
  <c r="C1800" i="4" a="1"/>
  <c r="C888" i="4" a="1"/>
  <c r="C312" i="4" a="1"/>
  <c r="C1860" i="4" a="1"/>
  <c r="C1446" i="4" a="1"/>
  <c r="C2249" i="4" a="1"/>
  <c r="C1509" i="4" a="1"/>
  <c r="C633" i="4" a="1"/>
  <c r="C109" i="4" a="1"/>
  <c r="C2142" i="4" a="1"/>
  <c r="C1654" i="4" a="1"/>
  <c r="C1014" i="4" a="1"/>
  <c r="C445" i="4" a="1"/>
  <c r="C2117" i="4" a="1"/>
  <c r="C1542" i="4" a="1"/>
  <c r="C1229" i="4" a="1"/>
  <c r="C808" i="4" a="1"/>
  <c r="C2288" i="4" a="1"/>
  <c r="C1597" i="4" a="1"/>
  <c r="C1114" i="4" a="1"/>
  <c r="C581" i="4" a="1"/>
  <c r="C2119" i="4" a="1"/>
  <c r="C1746" i="4" a="1"/>
  <c r="C1410" i="4" a="1"/>
  <c r="C326" i="4" a="1"/>
  <c r="C1817" i="4" a="1"/>
  <c r="C1903" i="4" a="1"/>
  <c r="C1183" i="4" a="1"/>
  <c r="C879" i="4" a="1"/>
  <c r="C171" i="4" a="1"/>
  <c r="C1531" i="4" a="1"/>
  <c r="C1064" i="4" a="1"/>
  <c r="C1161" i="4" a="1"/>
  <c r="C453" i="4" a="1"/>
  <c r="C2105" i="4" a="1"/>
  <c r="C762" i="4" a="1"/>
  <c r="C874" i="4" a="1"/>
  <c r="C232" i="4" a="1"/>
  <c r="C2266" i="4" a="1"/>
  <c r="C1312" i="4" a="1"/>
  <c r="C588" i="4" a="1"/>
  <c r="C221" i="4" a="1"/>
  <c r="C2189" i="4" a="1"/>
  <c r="C1245" i="4" a="1"/>
  <c r="C1109" i="4" a="1"/>
  <c r="C49" i="4" a="1"/>
  <c r="C1987" i="4" a="1"/>
  <c r="C1594" i="4" a="1"/>
  <c r="C954" i="4" a="1"/>
  <c r="C413" i="4" a="1"/>
  <c r="C1851" i="4" a="1"/>
  <c r="C1565" i="4" a="1"/>
  <c r="C236" i="4" a="1"/>
  <c r="C455" i="4" a="1"/>
  <c r="C2047" i="4" a="1"/>
  <c r="C1257" i="4" a="1"/>
  <c r="C907" i="4" a="1"/>
  <c r="C354" i="4" a="1"/>
  <c r="C2263" i="4" a="1"/>
  <c r="C1675" i="4" a="1"/>
  <c r="C464" i="4" a="1"/>
  <c r="C598" i="4" a="1"/>
  <c r="C1839" i="4" a="1"/>
  <c r="C1516" i="4" a="1"/>
  <c r="C1156" i="4" a="1"/>
  <c r="C736" i="4" a="1"/>
  <c r="C1911" i="4" a="1"/>
  <c r="C1557" i="4" a="1"/>
  <c r="C1295" i="4" a="1"/>
  <c r="C335" i="4" a="1"/>
  <c r="C1840" i="4" a="1"/>
  <c r="C1902" i="4" a="1"/>
  <c r="C1194" i="4" a="1"/>
  <c r="C647" i="4" a="1"/>
  <c r="C1894" i="4" a="1"/>
  <c r="C2092" i="4" a="1"/>
  <c r="C1820" i="4" a="1"/>
  <c r="C1025" i="4" a="1"/>
  <c r="C300" i="4" a="1"/>
  <c r="C2003" i="4" a="1"/>
  <c r="C1421" i="4" a="1"/>
  <c r="C832" i="4" a="1"/>
  <c r="C158" i="4" a="1"/>
  <c r="C2329" i="4" a="1"/>
  <c r="C1485" i="4" a="1"/>
  <c r="C944" i="4" a="1"/>
  <c r="C664" i="4" a="1"/>
  <c r="C2144" i="4" a="1"/>
  <c r="C1615" i="4" a="1"/>
  <c r="C1367" i="4" a="1"/>
  <c r="C388" i="4" a="1"/>
  <c r="C2073" i="4" a="1"/>
  <c r="C1974" i="4" a="1"/>
  <c r="C1266" i="4" a="1"/>
  <c r="C719" i="4" a="1"/>
  <c r="C2259" i="4" a="1"/>
  <c r="C1527" i="4" a="1"/>
  <c r="C1106" i="4" a="1"/>
  <c r="C510" i="4" a="1"/>
  <c r="C27" i="4" a="1"/>
  <c r="C1090" i="4" a="1"/>
  <c r="C1321" i="4" a="1"/>
  <c r="C1017" i="4" a="1"/>
  <c r="C309" i="4" a="1"/>
  <c r="C1732" i="4" a="1"/>
  <c r="C1304" i="4" a="1"/>
  <c r="C805" i="4" a="1"/>
  <c r="C88" i="4" a="1"/>
  <c r="C2120" i="4" a="1"/>
  <c r="C603" i="4" a="1"/>
  <c r="C1012" i="4" a="1"/>
  <c r="C77" i="4" a="1"/>
  <c r="C1916" i="4" a="1"/>
  <c r="C1760" i="4" a="1"/>
  <c r="C965" i="4" a="1"/>
  <c r="C240" i="4" a="1"/>
  <c r="C2061" i="4" a="1"/>
  <c r="C1468" i="4" a="1"/>
  <c r="C410" i="4" a="1"/>
  <c r="C98" i="4" a="1"/>
  <c r="C2220" i="4" a="1"/>
  <c r="C1401" i="4" a="1"/>
  <c r="C319" i="4" a="1"/>
  <c r="C578" i="4" a="1"/>
  <c r="C1758" i="4" a="1"/>
  <c r="C1559" i="4" a="1"/>
  <c r="C863" i="4" a="1"/>
  <c r="C394" i="4" a="1"/>
  <c r="C2109" i="4" a="1"/>
  <c r="C1522" i="4" a="1"/>
  <c r="C1045" i="4" a="1"/>
  <c r="C275" i="4" a="1"/>
  <c r="C2257" i="4" a="1"/>
  <c r="C1667" i="4" a="1"/>
  <c r="C266" i="4" a="1"/>
  <c r="C592" i="4" a="1"/>
  <c r="C1816" i="4" a="1"/>
  <c r="C770" i="4" a="1"/>
  <c r="C1122" i="4" a="1"/>
  <c r="C730" i="4" a="1"/>
  <c r="C2210" i="4" a="1"/>
  <c r="C1578" i="4" a="1"/>
  <c r="C1140" i="4" a="1"/>
  <c r="C499" i="4" a="1"/>
  <c r="C1819" i="4" a="1"/>
  <c r="C1896" i="4" a="1"/>
  <c r="C1188" i="4" a="1"/>
  <c r="C641" i="4" a="1"/>
  <c r="C1886" i="4" a="1"/>
  <c r="C2034" i="4" a="1"/>
  <c r="C1326" i="4" a="1"/>
  <c r="C779" i="4" a="1"/>
  <c r="C2319" i="4" a="1"/>
  <c r="C1548" i="4" a="1"/>
  <c r="C1150" i="4" a="1"/>
  <c r="C390" i="4" a="1"/>
  <c r="C87" i="4" a="1"/>
  <c r="C1093" i="4" a="1"/>
  <c r="C872" i="4" a="1"/>
  <c r="C1077" i="4" a="1"/>
  <c r="C369" i="4" a="1"/>
  <c r="C1705" i="4" a="1"/>
  <c r="C1037" i="4" a="1"/>
  <c r="C24" i="4" a="1"/>
  <c r="C1866" i="4" a="1"/>
  <c r="C1141" i="4" a="1"/>
  <c r="C1670" i="4" a="1"/>
  <c r="C1461" i="4" a="1"/>
  <c r="C735" i="4" a="1"/>
  <c r="C1962" i="4" a="1"/>
  <c r="C1845" i="4" a="1"/>
  <c r="C1515" i="4" a="1"/>
  <c r="C2315" i="4" a="1"/>
  <c r="C2202" i="4" a="1"/>
  <c r="C2087" i="4" a="1"/>
  <c r="C1467" i="4" a="1"/>
  <c r="C145" i="4" a="1"/>
  <c r="C1409" i="4" a="1"/>
  <c r="C50" i="4" a="1"/>
  <c r="C1495" i="4" a="1"/>
  <c r="C530" i="4" a="1"/>
  <c r="C1487" i="4" a="1"/>
  <c r="C364" i="4" a="1"/>
  <c r="C795" i="4" a="1"/>
  <c r="C2255" i="4" a="1"/>
  <c r="C2301" i="4" a="1"/>
  <c r="C1259" i="4" a="1"/>
  <c r="C2318" i="4" a="1"/>
  <c r="C237" i="2" a="1"/>
  <c r="C1640" i="2" a="1"/>
  <c r="C750" i="2" a="1"/>
  <c r="C1647" i="2" a="1"/>
  <c r="C1312" i="2" a="1"/>
  <c r="C2227" i="2" a="1"/>
  <c r="C524" i="2" a="1"/>
  <c r="C756" i="2" a="1"/>
  <c r="C444" i="2" a="1"/>
  <c r="C2226" i="2" a="1"/>
  <c r="C431" i="2" a="1"/>
  <c r="C1266" i="2" a="1"/>
  <c r="C1487" i="2" a="1"/>
  <c r="C1289" i="2" a="1"/>
  <c r="C673" i="2" a="1"/>
  <c r="C1774" i="2" a="1"/>
  <c r="C1558" i="2" a="1"/>
  <c r="C508" i="2" a="1"/>
  <c r="C949" i="2" a="1"/>
  <c r="C1436" i="2" a="1"/>
  <c r="C1612" i="2" a="1"/>
  <c r="C1729" i="2" a="1"/>
  <c r="C940" i="2" a="1"/>
  <c r="C2082" i="2" a="1"/>
  <c r="C960" i="2" a="1"/>
  <c r="C1296" i="2" a="1"/>
  <c r="C1185" i="2" a="1"/>
  <c r="C1833" i="2" a="1"/>
  <c r="C1725" i="2" a="1"/>
  <c r="C903" i="2" a="1"/>
  <c r="C1380" i="2" a="1"/>
  <c r="C651" i="2" a="1"/>
  <c r="C2042" i="2" a="1"/>
  <c r="C123" i="2" a="1"/>
  <c r="C1426" i="2" a="1"/>
  <c r="C510" i="2" a="1"/>
  <c r="C1159" i="2" a="1"/>
  <c r="C156" i="2" a="1"/>
  <c r="C1055" i="2" a="1"/>
  <c r="C1991" i="2" a="1"/>
  <c r="C116" i="2" a="1"/>
  <c r="C900" i="2" a="1"/>
  <c r="C1336" i="2" a="1"/>
  <c r="C574" i="2" a="1"/>
  <c r="C618" i="2" a="1"/>
  <c r="C1614" i="2" a="1"/>
  <c r="C1501" i="2" a="1"/>
  <c r="C684" i="2" a="1"/>
  <c r="C194" i="2" a="1"/>
  <c r="C1728" i="2" a="1"/>
  <c r="C1785" i="2" a="1"/>
  <c r="C1752" i="2" a="1"/>
  <c r="C398" i="2" a="1"/>
  <c r="C2248" i="2" a="1"/>
  <c r="C1179" i="2" a="1"/>
  <c r="C1280" i="2" a="1"/>
  <c r="C1999" i="2" a="1"/>
  <c r="C1885" i="2" a="1"/>
  <c r="C1618" i="2" a="1"/>
  <c r="C944" i="2" a="1"/>
  <c r="C1756" i="2" a="1"/>
  <c r="C1142" i="2" a="1"/>
  <c r="C1884" i="2" a="1"/>
  <c r="C1804" i="2" a="1"/>
  <c r="C901" i="2" a="1"/>
  <c r="C1868" i="2" a="1"/>
  <c r="C1200" i="2" a="1"/>
  <c r="C779" i="2" a="1"/>
  <c r="C1496" i="2" a="1"/>
  <c r="C1777" i="2" a="1"/>
  <c r="C2238" i="2" a="1"/>
  <c r="C1258" i="2" a="1"/>
  <c r="C12" i="2" a="1"/>
  <c r="C2270" i="2" a="1"/>
  <c r="C2359" i="2" a="1"/>
  <c r="C2358" i="2" a="1"/>
  <c r="C2268" i="2" a="1"/>
  <c r="C2347" i="2" a="1"/>
  <c r="C2277" i="2" a="1"/>
  <c r="C1883" i="2" a="1"/>
  <c r="C1369" i="2" a="1"/>
  <c r="C177" i="2" a="1"/>
  <c r="C608" i="2" a="1"/>
  <c r="C842" i="2" a="1"/>
  <c r="C812" i="2" a="1"/>
  <c r="C802" i="2" a="1"/>
  <c r="C792" i="2" a="1"/>
  <c r="C782" i="2" a="1"/>
  <c r="C772" i="2" a="1"/>
  <c r="C762" i="2" a="1"/>
  <c r="C768" i="4" a="1"/>
  <c r="C1189" i="4" a="1"/>
  <c r="C1766" i="4" a="1"/>
  <c r="C1643" i="4" a="1"/>
  <c r="C48" i="4" a="1"/>
  <c r="C186" i="4" a="1"/>
  <c r="C133" i="4" a="1"/>
  <c r="C182" i="4" a="1"/>
  <c r="C2326" i="4" a="1"/>
  <c r="C860" i="4" a="1"/>
  <c r="C840" i="2" a="1"/>
  <c r="C884" i="2" a="1"/>
  <c r="C268" i="2" a="1"/>
  <c r="C2011" i="2" a="1"/>
  <c r="C1163" i="2" a="1"/>
  <c r="C1980" i="2" a="1"/>
  <c r="C2112" i="2" a="1"/>
  <c r="C160" i="2" a="1"/>
  <c r="C711" i="2" a="1"/>
  <c r="C1520" i="2" a="1"/>
  <c r="C588" i="2" a="1"/>
  <c r="C1602" i="2" a="1"/>
  <c r="C1346" i="4" a="1"/>
  <c r="C1457" i="4" a="1"/>
  <c r="C1360" i="4" a="1"/>
  <c r="C1849" i="4" a="1"/>
  <c r="C1950" i="4" a="1"/>
  <c r="C1438" i="4" a="1"/>
  <c r="C2242" i="4" a="1"/>
  <c r="C2159" i="4" a="1"/>
  <c r="C1881" i="4" a="1"/>
  <c r="C1856" i="4" a="1"/>
  <c r="C336" i="4" a="1"/>
  <c r="C1449" i="4" a="1"/>
  <c r="C139" i="4" a="1"/>
  <c r="C1540" i="4" a="1"/>
  <c r="C188" i="4" a="1"/>
  <c r="C1413" i="4" a="1"/>
  <c r="C668" i="4" a="1"/>
  <c r="C1231" i="4" a="1"/>
  <c r="C2107" i="4" a="1"/>
  <c r="C1690" i="4" a="1"/>
  <c r="C1452" i="4" a="1"/>
  <c r="C651" i="4" a="1"/>
  <c r="C1930" i="2" a="1"/>
  <c r="C986" i="2" a="1"/>
  <c r="C1366" i="2" a="1"/>
  <c r="C244" i="2" a="1"/>
  <c r="C1698" i="2" a="1"/>
  <c r="C1686" i="2" a="1"/>
  <c r="C719" i="2" a="1"/>
  <c r="C2039" i="2" a="1"/>
  <c r="C1467" i="2" a="1"/>
  <c r="C1708" i="2" a="1"/>
  <c r="C835" i="2" a="1"/>
  <c r="C1778" i="2" a="1"/>
  <c r="C1789" i="2" a="1"/>
  <c r="C546" i="2" a="1"/>
  <c r="C433" i="2" a="1"/>
  <c r="C1721" i="2" a="1"/>
  <c r="C855" i="2" a="1"/>
  <c r="C1310" i="2" a="1"/>
  <c r="C31" i="2" a="1"/>
  <c r="C586" i="2" a="1"/>
  <c r="C1251" i="2" a="1"/>
  <c r="C2160" i="2" a="1"/>
  <c r="C1985" i="2" a="1"/>
  <c r="C1842" i="2" a="1"/>
  <c r="C1634" i="2" a="1"/>
  <c r="C1639" i="2" a="1"/>
  <c r="C284" i="2" a="1"/>
  <c r="C2189" i="2" a="1"/>
  <c r="C798" i="2" a="1"/>
  <c r="C38" i="2" a="1"/>
  <c r="C2024" i="2" a="1"/>
  <c r="C1890" i="2" a="1"/>
  <c r="C1802" i="2" a="1"/>
  <c r="C1834" i="2" a="1"/>
  <c r="C1705" i="2" a="1"/>
  <c r="C1946" i="2" a="1"/>
  <c r="C507" i="2" a="1"/>
  <c r="C1879" i="2" a="1"/>
  <c r="C1051" i="2" a="1"/>
  <c r="C1456" i="2" a="1"/>
  <c r="C561" i="2" a="1"/>
  <c r="C1668" i="2" a="1"/>
  <c r="C220" i="2" a="1"/>
  <c r="C1990" i="2" a="1"/>
  <c r="C276" i="2" a="1"/>
  <c r="C1896" i="2" a="1"/>
  <c r="C364" i="2" a="1"/>
  <c r="C109" i="2" a="1"/>
  <c r="C803" i="2" a="1"/>
  <c r="C1427" i="2" a="1"/>
  <c r="C1220" i="2" a="1"/>
  <c r="C1512" i="2" a="1"/>
  <c r="C1439" i="2" a="1"/>
  <c r="C1429" i="2" a="1"/>
  <c r="C570" i="2" a="1"/>
  <c r="C1807" i="2" a="1"/>
  <c r="C2030" i="2" a="1"/>
  <c r="C1306" i="2" a="1"/>
  <c r="C1813" i="2" a="1"/>
  <c r="C2033" i="2" a="1"/>
  <c r="C1131" i="2" a="1"/>
  <c r="C1747" i="2" a="1"/>
  <c r="C521" i="2" a="1"/>
  <c r="C1262" i="2" a="1"/>
  <c r="C1783" i="2" a="1"/>
  <c r="C1771" i="2" a="1"/>
  <c r="C368" i="2" a="1"/>
  <c r="C1256" i="2" a="1"/>
  <c r="C721" i="2" a="1"/>
  <c r="C729" i="2" a="1"/>
  <c r="C1697" i="2" a="1"/>
  <c r="C1018" i="2" a="1"/>
  <c r="C2336" i="2" a="1"/>
  <c r="C2306" i="2" a="1"/>
  <c r="C2296" i="2" a="1"/>
  <c r="C2276" i="2" a="1"/>
  <c r="C2266" i="2" a="1"/>
  <c r="C2310" i="2" a="1"/>
  <c r="C2319" i="2" a="1"/>
  <c r="C770" i="2" a="1"/>
  <c r="C1818" i="2" a="1"/>
  <c r="C1745" i="2" a="1"/>
  <c r="C748" i="2" a="1"/>
  <c r="C602" i="2" a="1"/>
  <c r="C572" i="2" a="1"/>
  <c r="C562" i="2" a="1"/>
  <c r="C552" i="2" a="1"/>
  <c r="C542" i="2" a="1"/>
  <c r="C532" i="2" a="1"/>
  <c r="C522" i="2" a="1"/>
  <c r="C1132" i="4" a="1"/>
  <c r="C1100" i="4" a="1"/>
  <c r="C1571" i="4" a="1"/>
  <c r="C1768" i="4" a="1"/>
  <c r="C1644" i="4" a="1"/>
  <c r="C1568" i="4" a="1"/>
  <c r="C1706" i="4" a="1"/>
  <c r="C1534" i="4" a="1"/>
  <c r="C1308" i="4" a="1"/>
  <c r="C544" i="4" a="1"/>
  <c r="C887" i="4" a="1"/>
  <c r="C2205" i="2" a="1"/>
  <c r="C1739" i="2" a="1"/>
  <c r="C1149" i="2" a="1"/>
  <c r="C377" i="2" a="1"/>
  <c r="C1843" i="2" a="1"/>
  <c r="C595" i="2" a="1"/>
  <c r="C1037" i="2" a="1"/>
  <c r="C193" i="2" a="1"/>
  <c r="C2110" i="2" a="1"/>
  <c r="C1633" i="2" a="1"/>
  <c r="C469" i="2" a="1"/>
  <c r="C1424" i="2" a="1"/>
  <c r="C485" i="4" a="1"/>
  <c r="C587" i="4" a="1"/>
  <c r="C885" i="4" a="1"/>
  <c r="C880" i="4" a="1"/>
  <c r="C971" i="4" a="1"/>
  <c r="C371" i="4" a="1"/>
  <c r="C625" i="4" a="1"/>
  <c r="C329" i="4" a="1"/>
  <c r="C1482" i="4" a="1"/>
  <c r="C1332" i="4" a="1"/>
  <c r="C2181" i="4" a="1"/>
  <c r="C1470" i="4" a="1"/>
  <c r="C1544" i="4" a="1"/>
  <c r="C1243" i="4" a="1"/>
  <c r="C231" i="4" a="1"/>
  <c r="C1226" i="4" a="1"/>
  <c r="C10" i="4" a="1"/>
  <c r="C567" i="4" a="1"/>
  <c r="C2010" i="4" a="1"/>
  <c r="C1065" i="4" a="1"/>
  <c r="C1611" i="4" a="1"/>
  <c r="C1408" i="2" a="1"/>
  <c r="C1630" i="2" a="1"/>
  <c r="C40" i="2" a="1"/>
  <c r="C1197" i="2" a="1"/>
  <c r="C1491" i="2" a="1"/>
  <c r="C1795" i="2" a="1"/>
  <c r="C967" i="2" a="1"/>
  <c r="C789" i="2" a="1"/>
  <c r="C814" i="2" a="1"/>
  <c r="C1039" i="2" a="1"/>
  <c r="C310" i="2" a="1"/>
  <c r="C74" i="2" a="1"/>
  <c r="C380" i="2" a="1"/>
  <c r="C654" i="2" a="1"/>
  <c r="C1311" i="2" a="1"/>
  <c r="C567" i="2" a="1"/>
  <c r="C2134" i="2" a="1"/>
  <c r="C66" i="2" a="1"/>
  <c r="C1765" i="2" a="1"/>
  <c r="C1751" i="2" a="1"/>
  <c r="C1545" i="2" a="1"/>
  <c r="C1153" i="2" a="1"/>
  <c r="C1678" i="2" a="1"/>
  <c r="C741" i="2" a="1"/>
  <c r="C1288" i="2" a="1"/>
  <c r="C2164" i="2" a="1"/>
  <c r="C328" i="2" a="1"/>
  <c r="C1199" i="2" a="1"/>
  <c r="C2069" i="2" a="1"/>
  <c r="C1926" i="2" a="1"/>
  <c r="C1822" i="2" a="1"/>
  <c r="C1454" i="2" a="1"/>
  <c r="C556" i="2" a="1"/>
  <c r="C1184" i="2" a="1"/>
  <c r="C308" i="2" a="1"/>
  <c r="C30" i="2" a="1"/>
  <c r="C2004" i="2" a="1"/>
  <c r="C131" i="2" a="1"/>
  <c r="C1075" i="2" a="1"/>
  <c r="C1374" i="2" a="1"/>
  <c r="C621" i="2" a="1"/>
  <c r="C631" i="2" a="1"/>
  <c r="C1636" i="2" a="1"/>
  <c r="C1538" i="2" a="1"/>
  <c r="C739" i="2" a="1"/>
  <c r="C5" i="2" a="1"/>
  <c r="C1750" i="2" a="1"/>
  <c r="C1808" i="2" a="1"/>
  <c r="C1762" i="2" a="1"/>
  <c r="C1242" i="2" a="1"/>
  <c r="C1126" i="2" a="1"/>
  <c r="C1864" i="2" a="1"/>
  <c r="C396" i="2" a="1"/>
  <c r="C639" i="2" a="1"/>
  <c r="C100" i="2" a="1"/>
  <c r="C1972" i="2" a="1"/>
  <c r="C1713" i="2" a="1"/>
  <c r="C2157" i="2" a="1"/>
  <c r="C1400" i="2" a="1"/>
  <c r="C2056" i="2" a="1"/>
  <c r="C1250" i="2" a="1"/>
  <c r="C457" i="2" a="1"/>
  <c r="C500" i="2" a="1"/>
  <c r="C865" i="2" a="1"/>
  <c r="C249" i="2" a="1"/>
  <c r="C1550" i="2" a="1"/>
  <c r="C1829" i="2" a="1"/>
  <c r="C39" i="2" a="1"/>
  <c r="C1268" i="2" a="1"/>
  <c r="C2230" i="2" a="1"/>
  <c r="C1919" i="2" a="1"/>
  <c r="C1244" i="2" a="1"/>
  <c r="C635" i="2" a="1"/>
  <c r="C722" i="2" a="1"/>
  <c r="C856" i="2" a="1"/>
  <c r="C809" i="2" a="1"/>
  <c r="C758" i="2" a="1"/>
  <c r="C726" i="2" a="1"/>
  <c r="C691" i="2" a="1"/>
  <c r="C632" i="2" a="1"/>
  <c r="C499" i="2" a="1"/>
  <c r="C1876" i="2" a="1"/>
  <c r="C1050" i="2" a="1"/>
  <c r="C818" i="2" a="1"/>
  <c r="C2345" i="2" a="1"/>
  <c r="C2315" i="2" a="1"/>
  <c r="C2305" i="2" a="1"/>
  <c r="C2295" i="2" a="1"/>
  <c r="C2285" i="2" a="1"/>
  <c r="C2275" i="2" a="1"/>
  <c r="C2265" i="2" a="1"/>
  <c r="C1255" i="2" a="1"/>
  <c r="C2202" i="2" a="1"/>
  <c r="C516" i="2" a="1"/>
  <c r="C1277" i="2" a="1"/>
  <c r="C1938" i="2" a="1"/>
  <c r="C847" i="2" a="1"/>
  <c r="C1100" i="2" a="1"/>
  <c r="C242" i="2" a="1"/>
  <c r="C506" i="2" a="1"/>
  <c r="C477" i="2" a="1"/>
  <c r="C152" i="2" a="1"/>
  <c r="C1767" i="2" a="1"/>
  <c r="C2292" i="2" a="1"/>
  <c r="C2280" i="2" a="1"/>
  <c r="C2288" i="2" a="1"/>
  <c r="C2290" i="2" a="1"/>
  <c r="C150" i="4" a="1"/>
  <c r="C632" i="4" a="1"/>
  <c r="C652" i="4" a="1"/>
  <c r="C707" i="4" a="1"/>
  <c r="C1005" i="4" a="1"/>
  <c r="C838" i="4" a="1"/>
  <c r="C403" i="4" a="1"/>
  <c r="C1074" i="4" a="1"/>
  <c r="C1027" i="4" a="1"/>
  <c r="C1072" i="4" a="1"/>
  <c r="C1793" i="4" a="1"/>
  <c r="C1182" i="4" a="1"/>
  <c r="C2175" i="4" a="1"/>
  <c r="C1464" i="4" a="1"/>
  <c r="C2215" i="4" a="1"/>
  <c r="C1237" i="4" a="1"/>
  <c r="C225" i="4" a="1"/>
  <c r="C893" i="4" a="1"/>
  <c r="C1728" i="4" a="1"/>
  <c r="C921" i="4" a="1"/>
  <c r="C611" i="4" a="1"/>
  <c r="C1766" i="2" a="1"/>
  <c r="C1342" i="2" a="1"/>
  <c r="C2250" i="2" a="1"/>
  <c r="C557" i="2" a="1"/>
  <c r="C1141" i="2" a="1"/>
  <c r="C478" i="2" a="1"/>
  <c r="C2249" i="2" a="1"/>
  <c r="C447" i="2" a="1"/>
  <c r="C1301" i="2" a="1"/>
  <c r="C1539" i="2" a="1"/>
  <c r="C1300" i="2" a="1"/>
  <c r="C683" i="2" a="1"/>
  <c r="C1847" i="2" a="1"/>
  <c r="C1581" i="2" a="1"/>
  <c r="C581" i="2" a="1"/>
  <c r="C1471" i="2" a="1"/>
  <c r="C909" i="2" a="1"/>
  <c r="C2168" i="2" a="1"/>
  <c r="C136" i="2" a="1"/>
  <c r="C744" i="2" a="1"/>
  <c r="C954" i="2" a="1"/>
  <c r="C494" i="2" a="1"/>
  <c r="C2143" i="2" a="1"/>
  <c r="C2064" i="2" a="1"/>
  <c r="C656" i="2" a="1"/>
  <c r="C1403" i="2" a="1"/>
  <c r="C1470" i="2" a="1"/>
  <c r="C378" i="2" a="1"/>
  <c r="C279" i="2" a="1"/>
  <c r="C1396" i="2" a="1"/>
  <c r="C1582" i="2" a="1"/>
  <c r="C1780" i="2" a="1"/>
  <c r="C1969" i="2" a="1"/>
  <c r="C526" i="2" a="1"/>
  <c r="C2101" i="2" a="1"/>
  <c r="C1079" i="2" a="1"/>
  <c r="C1494" i="2" a="1"/>
  <c r="C577" i="2" a="1"/>
  <c r="C1787" i="2" a="1"/>
  <c r="C514" i="2" a="1"/>
  <c r="C2003" i="2" a="1"/>
  <c r="C289" i="2" a="1"/>
  <c r="C1917" i="2" a="1"/>
  <c r="C400" i="2" a="1"/>
  <c r="C130" i="2" a="1"/>
  <c r="C813" i="2" a="1"/>
  <c r="C1478" i="2" a="1"/>
  <c r="C1253" i="2" a="1"/>
  <c r="C1522" i="2" a="1"/>
  <c r="C1387" i="2" a="1"/>
  <c r="C849" i="2" a="1"/>
  <c r="C1350" i="2" a="1"/>
  <c r="C930" i="2" a="1"/>
  <c r="C1654" i="2" a="1"/>
  <c r="C1726" i="2" a="1"/>
  <c r="C1732" i="2" a="1"/>
  <c r="C2138" i="2" a="1"/>
  <c r="C2045" i="2" a="1"/>
  <c r="C860" i="2" a="1"/>
  <c r="C241" i="2" a="1"/>
  <c r="C2218" i="2" a="1"/>
  <c r="C1152" i="2" a="1"/>
  <c r="C1112" i="2" a="1"/>
  <c r="C1921" i="2" a="1"/>
  <c r="C1826" i="2" a="1"/>
  <c r="C861" i="2" a="1"/>
  <c r="C800" i="2" a="1"/>
  <c r="C1720" i="2" a="1"/>
  <c r="C1028" i="2" a="1"/>
  <c r="C1878" i="2" a="1"/>
  <c r="C1132" i="2" a="1"/>
  <c r="C316" i="2" a="1"/>
  <c r="C395" i="2" a="1"/>
  <c r="C482" i="2" a="1"/>
  <c r="C7" i="2" a="1"/>
  <c r="C834" i="2" a="1"/>
  <c r="C819" i="2" a="1"/>
  <c r="C806" i="2" a="1"/>
  <c r="C790" i="2" a="1"/>
  <c r="C392" i="2" a="1"/>
  <c r="C1688" i="2" a="1"/>
  <c r="C587" i="2" a="1"/>
  <c r="C119" i="2" a="1"/>
  <c r="C476" i="2" a="1"/>
  <c r="C2313" i="2" a="1"/>
  <c r="C2283" i="2" a="1"/>
  <c r="C2273" i="2" a="1"/>
  <c r="C2263" i="2" a="1"/>
  <c r="C2350" i="2" a="1"/>
  <c r="C2349" i="2" a="1"/>
  <c r="C2348" i="2" a="1"/>
  <c r="C170" i="2" a="1"/>
  <c r="C1330" i="2" a="1"/>
  <c r="C1372" i="2" a="1"/>
  <c r="C79" i="2" a="1"/>
  <c r="C629" i="2" a="1"/>
  <c r="C1099" i="2" a="1"/>
  <c r="C2233" i="2" a="1"/>
  <c r="C155" i="2" a="1"/>
  <c r="C519" i="2" a="1"/>
  <c r="C490" i="2" a="1"/>
  <c r="C461" i="2" a="1"/>
  <c r="C1816" i="2" a="1"/>
  <c r="C1693" i="2" a="1"/>
  <c r="C36" i="2" a="1"/>
  <c r="C2262" i="2" a="1"/>
  <c r="C2279" i="2" a="1"/>
  <c r="C2314" i="2" a="1"/>
  <c r="C1442" i="4" a="1"/>
  <c r="C1763" i="4" a="1"/>
  <c r="C1572" i="4" a="1"/>
  <c r="C2272" i="4" a="1"/>
  <c r="C2069" i="4" a="1"/>
  <c r="C2131" i="4" a="1"/>
  <c r="C1947" i="4" a="1"/>
  <c r="C2331" i="4" a="1"/>
  <c r="C1639" i="4" a="1"/>
  <c r="C2316" i="4" a="1"/>
  <c r="C1759" i="4" a="1"/>
  <c r="C1459" i="4" a="1"/>
  <c r="C346" i="4" a="1"/>
  <c r="C2237" i="2" a="1"/>
  <c r="C1000" i="2" a="1"/>
  <c r="C804" i="2" a="1"/>
  <c r="C1155" i="2" a="1"/>
  <c r="C84" i="2" a="1"/>
  <c r="C700" i="2" a="1"/>
  <c r="C820" i="2" a="1"/>
  <c r="C1115" i="2" a="1"/>
  <c r="C1727" i="2" a="1"/>
  <c r="C2074" i="2" a="1"/>
  <c r="C1425" i="2" a="1"/>
  <c r="C2021" i="2" a="1"/>
  <c r="C935" i="2" a="1"/>
  <c r="C1510" i="2" a="1"/>
  <c r="C1094" i="2" a="1"/>
  <c r="C979" i="2" a="1"/>
  <c r="C1901" i="2" a="1"/>
  <c r="C2026" i="2" a="1"/>
  <c r="C511" i="2" a="1"/>
  <c r="C823" i="2" a="1"/>
  <c r="C1285" i="2" a="1"/>
  <c r="C197" i="2" a="1"/>
  <c r="C1364" i="2" a="1"/>
  <c r="C1970" i="2" a="1"/>
  <c r="C2089" i="4" a="1"/>
  <c r="C130" i="4" a="1"/>
  <c r="C91" i="4" a="1"/>
  <c r="C620" i="4" a="1"/>
  <c r="C640" i="4" a="1"/>
  <c r="C695" i="4" a="1"/>
  <c r="C692" i="4" a="1"/>
  <c r="C867" i="4" a="1"/>
  <c r="C1079" i="4" a="1"/>
  <c r="C918" i="4" a="1"/>
  <c r="C1040" i="4" a="1"/>
  <c r="C1792" i="4" a="1"/>
  <c r="C1277" i="4" a="1"/>
  <c r="C2336" i="4" a="1"/>
  <c r="C1174" i="4" a="1"/>
  <c r="C2169" i="4" a="1"/>
  <c r="C1458" i="4" a="1"/>
  <c r="C1683" i="4" a="1"/>
  <c r="C537" i="4" a="1"/>
  <c r="C1632" i="4" a="1"/>
  <c r="C463" i="4" a="1"/>
  <c r="C2209" i="4" a="1"/>
  <c r="C359" i="2" a="1"/>
  <c r="C1796" i="2" a="1"/>
  <c r="C1709" i="2" a="1"/>
  <c r="C734" i="2" a="1"/>
  <c r="C267" i="2" a="1"/>
  <c r="C1523" i="2" a="1"/>
  <c r="C1731" i="2" a="1"/>
  <c r="C845" i="2" a="1"/>
  <c r="C1800" i="2" a="1"/>
  <c r="C1824" i="2" a="1"/>
  <c r="C566" i="2" a="1"/>
  <c r="C443" i="2" a="1"/>
  <c r="C1819" i="2" a="1"/>
  <c r="C905" i="2" a="1"/>
  <c r="C1333" i="2" a="1"/>
  <c r="C1696" i="2" a="1"/>
  <c r="C1476" i="2" a="1"/>
  <c r="C1627" i="2" a="1"/>
  <c r="C196" i="2" a="1"/>
  <c r="C2088" i="2" a="1"/>
  <c r="C1019" i="2" a="1"/>
  <c r="C1715" i="2" a="1"/>
  <c r="C1704" i="2" a="1"/>
  <c r="C1533" i="2" a="1"/>
  <c r="C1130" i="2" a="1"/>
  <c r="C1580" i="2" a="1"/>
  <c r="C670" i="2" a="1"/>
  <c r="C1263" i="2" a="1"/>
  <c r="C2098" i="2" a="1"/>
  <c r="C307" i="2" a="1"/>
  <c r="C1172" i="2" a="1"/>
  <c r="C1461" i="2" a="1"/>
  <c r="C1321" i="2" a="1"/>
  <c r="C1433" i="2" a="1"/>
  <c r="C1035" i="2" a="1"/>
  <c r="C866" i="2" a="1"/>
  <c r="C2095" i="2" a="1"/>
  <c r="C598" i="2" a="1"/>
  <c r="C234" i="2" a="1"/>
  <c r="C1689" i="2" a="1"/>
  <c r="C2187" i="2" a="1"/>
  <c r="C1493" i="2" a="1"/>
  <c r="C735" i="2" a="1"/>
  <c r="C287" i="2" a="1"/>
  <c r="C2170" i="2" a="1"/>
  <c r="C1042" i="2" a="1"/>
  <c r="C573" i="2" a="1"/>
  <c r="C1564" i="2" a="1"/>
  <c r="C51" i="2" a="1"/>
  <c r="C990" i="2" a="1"/>
  <c r="C931" i="2" a="1"/>
  <c r="C1977" i="2" a="1"/>
  <c r="C626" i="2" a="1"/>
  <c r="C298" i="2" a="1"/>
  <c r="C1080" i="2" a="1"/>
  <c r="C1123" i="2" a="1"/>
  <c r="C1137" i="2" a="1"/>
  <c r="C1492" i="2" a="1"/>
  <c r="C1060" i="2" a="1"/>
  <c r="C1236" i="2" a="1"/>
  <c r="C1984" i="2" a="1"/>
  <c r="C2093" i="2" a="1"/>
  <c r="C448" i="2" a="1"/>
  <c r="C2012" i="4" a="1"/>
  <c r="C2126" i="4" a="1"/>
  <c r="C177" i="4" a="1"/>
  <c r="C238" i="4" a="1"/>
  <c r="C246" i="4" a="1"/>
  <c r="C466" i="4" a="1"/>
  <c r="C604" i="4" a="1"/>
  <c r="C515" i="4" a="1"/>
  <c r="C389" i="4" a="1"/>
  <c r="C818" i="4" a="1"/>
  <c r="C2039" i="4" a="1"/>
  <c r="C819" i="4" a="1"/>
  <c r="C2192" i="4" a="1"/>
  <c r="C920" i="4" a="1"/>
  <c r="C1868" i="4" a="1"/>
  <c r="C1314" i="4" a="1"/>
  <c r="C2307" i="4" a="1"/>
  <c r="C934" i="4" a="1"/>
  <c r="C1473" i="4" a="1"/>
  <c r="C451" i="4" a="1"/>
  <c r="C286" i="4" a="1"/>
  <c r="C1925" i="2" a="1"/>
  <c r="C314" i="2" a="1"/>
  <c r="C1164" i="2" a="1"/>
  <c r="C390" i="2" a="1"/>
  <c r="C2066" i="2" a="1"/>
  <c r="C1873" i="2" a="1"/>
  <c r="C1180" i="2" a="1"/>
  <c r="C605" i="2" a="1"/>
  <c r="C2137" i="2" a="1"/>
  <c r="C1084" i="2" a="1"/>
  <c r="C2122" i="2" a="1"/>
  <c r="C203" i="2" a="1"/>
  <c r="C214" i="2" a="1"/>
  <c r="C2123" i="2" a="1"/>
  <c r="C768" i="2" a="1"/>
  <c r="C972" i="2" a="1"/>
  <c r="C107" i="2" a="1"/>
  <c r="C1001" i="2" a="1"/>
  <c r="C1397" i="2" a="1"/>
  <c r="C780" i="2" a="1"/>
  <c r="C2145" i="2" a="1"/>
  <c r="C1948" i="2" a="1"/>
  <c r="C637" i="2" a="1"/>
  <c r="C937" i="2" a="1"/>
  <c r="C441" i="2" a="1"/>
  <c r="C2071" i="2" a="1"/>
  <c r="C2051" i="2" a="1"/>
  <c r="C599" i="2" a="1"/>
  <c r="C1259" i="2" a="1"/>
  <c r="C1458" i="2" a="1"/>
  <c r="C339" i="2" a="1"/>
  <c r="C1598" i="2" a="1"/>
  <c r="C2225" i="2" a="1"/>
  <c r="C788" i="2" a="1"/>
  <c r="C291" i="2" a="1"/>
  <c r="C2193" i="2" a="1"/>
  <c r="C1274" i="2" a="1"/>
  <c r="C1933" i="2" a="1"/>
  <c r="C1128" i="2" a="1"/>
  <c r="C932" i="2" a="1"/>
  <c r="C1589" i="2" a="1"/>
  <c r="C759" i="2" a="1"/>
  <c r="C495" i="2" a="1"/>
  <c r="C1381" i="2" a="1"/>
  <c r="C1465" i="2" a="1"/>
  <c r="C2252" i="2" a="1"/>
  <c r="C333" i="2" a="1"/>
  <c r="C99" i="2" a="1"/>
  <c r="C1265" i="2" a="1"/>
  <c r="C188" i="2" a="1"/>
  <c r="C1006" i="2" a="1"/>
  <c r="C1719" i="2" a="1"/>
  <c r="C669" i="2" a="1"/>
  <c r="C1096" i="2" a="1"/>
  <c r="C1794" i="2" a="1"/>
  <c r="C936" i="2" a="1"/>
  <c r="C2247" i="2" a="1"/>
  <c r="C2244" i="2" a="1"/>
  <c r="C1962" i="2" a="1"/>
  <c r="C1684" i="2" a="1"/>
  <c r="C2094" i="2" a="1"/>
  <c r="C1389" i="2" a="1"/>
  <c r="C2035" i="2" a="1"/>
  <c r="C1203" i="2" a="1"/>
  <c r="C436" i="2" a="1"/>
  <c r="C2195" i="2" a="1"/>
  <c r="C698" i="2" a="1"/>
  <c r="C171" i="2" a="1"/>
  <c r="C504" i="2" a="1"/>
  <c r="C1072" i="2" a="1"/>
  <c r="C1314" i="2" a="1"/>
  <c r="C440" i="2" a="1"/>
  <c r="C114" i="2" a="1"/>
  <c r="C2" i="2" a="1"/>
  <c r="C159" i="2" a="1"/>
  <c r="C81" i="2" a="1"/>
  <c r="C37" i="2" a="1"/>
  <c r="C20" i="2" a="1"/>
  <c r="C1278" i="2" a="1"/>
  <c r="C2300" i="2" a="1"/>
  <c r="C2176" i="2" a="1"/>
  <c r="C1905" i="2" a="1"/>
  <c r="C1229" i="2" a="1"/>
  <c r="C625" i="2" a="1"/>
  <c r="C832" i="2" a="1"/>
  <c r="C1092" i="2" a="1"/>
  <c r="C1069" i="2" a="1"/>
  <c r="C1056" i="2" a="1"/>
  <c r="C1033" i="2" a="1"/>
  <c r="C1010" i="2" a="1"/>
  <c r="C1613" i="4" a="1"/>
  <c r="C698" i="4" a="1"/>
  <c r="C761" i="4" a="1"/>
  <c r="C170" i="4" a="1"/>
  <c r="C1810" i="2" a="1"/>
  <c r="C895" i="2" a="1"/>
  <c r="C367" i="2" a="1"/>
  <c r="C427" i="2" a="1"/>
  <c r="C1322" i="2" a="1"/>
  <c r="C2224" i="2" a="1"/>
  <c r="C1113" i="2" a="1"/>
  <c r="C902" i="2" a="1"/>
  <c r="C1488" i="2" a="1"/>
  <c r="C2258" i="2" a="1"/>
  <c r="C2106" i="2" a="1"/>
  <c r="C2213" i="2" a="1"/>
  <c r="C1483" i="2" a="1"/>
  <c r="C1217" i="2" a="1"/>
  <c r="C590" i="2" a="1"/>
  <c r="C658" i="2" a="1"/>
  <c r="C304" i="2" a="1"/>
  <c r="C150" i="2" a="1"/>
  <c r="C1529" i="2" a="1"/>
  <c r="C1532" i="2" a="1"/>
  <c r="C956" i="2" a="1"/>
  <c r="C953" i="2" a="1"/>
  <c r="C2130" i="2" a="1"/>
  <c r="C1869" i="4" a="1"/>
  <c r="C1910" i="4" a="1"/>
  <c r="C2132" i="4" a="1"/>
  <c r="C2247" i="4" a="1"/>
  <c r="C297" i="4" a="1"/>
  <c r="C90" i="4" a="1"/>
  <c r="C175" i="4" a="1"/>
  <c r="C560" i="4" a="1"/>
  <c r="C448" i="4" a="1"/>
  <c r="C1021" i="4" a="1"/>
  <c r="C2233" i="4" a="1"/>
  <c r="C759" i="4" a="1"/>
  <c r="C1734" i="4" a="1"/>
  <c r="C1271" i="4" a="1"/>
  <c r="C2330" i="4" a="1"/>
  <c r="C1166" i="4" a="1"/>
  <c r="C2163" i="4" a="1"/>
  <c r="C711" i="4" a="1"/>
  <c r="C1365" i="4" a="1"/>
  <c r="C755" i="4" a="1"/>
  <c r="C1031" i="4" a="1"/>
  <c r="C1284" i="2" a="1"/>
  <c r="C1711" i="2" a="1"/>
  <c r="C2179" i="2" a="1"/>
  <c r="C1238" i="2" a="1"/>
  <c r="C1736" i="2" a="1"/>
  <c r="C1013" i="2" a="1"/>
  <c r="C90" i="2" a="1"/>
  <c r="C365" i="2" a="1"/>
  <c r="C1192" i="2" a="1"/>
  <c r="C2067" i="2" a="1"/>
  <c r="C1882" i="2" a="1"/>
  <c r="C1547" i="2" a="1"/>
  <c r="C1915" i="2" a="1"/>
  <c r="C1605" i="2" a="1"/>
  <c r="C1189" i="2" a="1"/>
  <c r="C945" i="2" a="1"/>
  <c r="C1540" i="2" a="1"/>
  <c r="C2097" i="2" a="1"/>
  <c r="C1241" i="2" a="1"/>
  <c r="C1453" i="2" a="1"/>
  <c r="C1604" i="2" a="1"/>
  <c r="C2216" i="2" a="1"/>
  <c r="C2043" i="2" a="1"/>
  <c r="C970" i="2" a="1"/>
  <c r="C2010" i="2" a="1"/>
  <c r="C1610" i="2" a="1"/>
  <c r="C1495" i="2" a="1"/>
  <c r="C1117" i="2" a="1"/>
  <c r="C1553" i="2" a="1"/>
  <c r="C601" i="2" a="1"/>
  <c r="C1224" i="2" a="1"/>
  <c r="C1716" i="2" a="1"/>
  <c r="C1955" i="2" a="1"/>
  <c r="C854" i="2" a="1"/>
  <c r="C974" i="2" a="1"/>
  <c r="C896" i="2" a="1"/>
  <c r="C26" i="2" a="1"/>
  <c r="C1362" i="2" a="1"/>
  <c r="C888" i="2" a="1"/>
  <c r="C1206" i="2" a="1"/>
  <c r="C259" i="2" a="1"/>
  <c r="C1294" i="2" a="1"/>
  <c r="C255" i="2" a="1"/>
  <c r="C994" i="2" a="1"/>
  <c r="C329" i="2" a="1"/>
  <c r="C2012" i="2" a="1"/>
  <c r="C93" i="2" a="1"/>
  <c r="C1317" i="2" a="1"/>
  <c r="C346" i="2" a="1"/>
  <c r="C1106" i="2" a="1"/>
  <c r="C2243" i="2" a="1"/>
  <c r="C2153" i="2" a="1"/>
  <c r="C1909" i="2" a="1"/>
  <c r="C2178" i="2" a="1"/>
  <c r="C1201" i="2" a="1"/>
  <c r="C69" i="2" a="1"/>
  <c r="C1560" i="2" a="1"/>
  <c r="C1703" i="2" a="1"/>
  <c r="C1722" i="2" a="1"/>
  <c r="C2117" i="2" a="1"/>
  <c r="C2029" i="2" a="1"/>
  <c r="C844" i="2" a="1"/>
  <c r="C56" i="2" a="1"/>
  <c r="C2139" i="2" a="1"/>
  <c r="C1139" i="2" a="1"/>
  <c r="C710" i="2" a="1"/>
  <c r="C1875" i="2" a="1"/>
  <c r="C1803" i="2" a="1"/>
  <c r="C97" i="2" a="1"/>
  <c r="C1514" i="2" a="1"/>
  <c r="C1858" i="2" a="1"/>
  <c r="C1356" i="2" a="1"/>
  <c r="C723" i="2" a="1"/>
  <c r="C2326" i="2" a="1"/>
  <c r="C1088" i="2" a="1"/>
  <c r="C1068" i="2" a="1"/>
  <c r="C1058" i="2" a="1"/>
  <c r="C1048" i="2" a="1"/>
  <c r="C1038" i="2" a="1"/>
  <c r="C2328" i="2" a="1"/>
  <c r="C1854" i="2" a="1"/>
  <c r="C1110" i="2" a="1"/>
  <c r="C269" i="2" a="1"/>
  <c r="C385" i="2" a="1"/>
  <c r="C592" i="2" a="1"/>
  <c r="C407" i="2" a="1"/>
  <c r="C388" i="2" a="1"/>
  <c r="C356" i="2" a="1"/>
  <c r="C321" i="2" a="1"/>
  <c r="C270" i="2" a="1"/>
  <c r="C1996" i="4" a="1"/>
  <c r="C862" i="2" a="1"/>
  <c r="C1939" i="4" a="1"/>
  <c r="C1537" i="4" a="1"/>
  <c r="C1892" i="4" a="1"/>
  <c r="C2110" i="4" a="1"/>
  <c r="C2015" i="4" a="1"/>
  <c r="C70" i="4" a="1"/>
  <c r="C197" i="4" a="1"/>
  <c r="C19" i="4" a="1"/>
  <c r="C241" i="4" a="1"/>
  <c r="C1056" i="4" a="1"/>
  <c r="C2322" i="4" a="1"/>
  <c r="C708" i="4" a="1"/>
  <c r="C2055" i="4" a="1"/>
  <c r="C1009" i="4" a="1"/>
  <c r="C1791" i="4" a="1"/>
  <c r="C1172" i="4" a="1"/>
  <c r="C2180" i="4" a="1"/>
  <c r="C492" i="4" a="1"/>
  <c r="C1275" i="4" a="1"/>
  <c r="C337" i="4" a="1"/>
  <c r="C468" i="4" a="1"/>
  <c r="C2104" i="2" a="1"/>
  <c r="C627" i="2" a="1"/>
  <c r="C1661" i="2" a="1"/>
  <c r="C998" i="2" a="1"/>
  <c r="C2076" i="2" a="1"/>
  <c r="C1966" i="2" a="1"/>
  <c r="C1047" i="2" a="1"/>
  <c r="C125" i="2" a="1"/>
  <c r="C1221" i="2" a="1"/>
  <c r="C1524" i="2" a="1"/>
  <c r="C1642" i="2" a="1"/>
  <c r="C1881" i="2" a="1"/>
  <c r="C1124" i="2" a="1"/>
  <c r="C1101" i="2" a="1"/>
  <c r="C559" i="2" a="1"/>
  <c r="C520" i="2" a="1"/>
  <c r="C336" i="2" a="1"/>
  <c r="C1530" i="2" a="1"/>
  <c r="C1973" i="2" a="1"/>
  <c r="C71" i="2" a="1"/>
  <c r="C984" i="2" a="1"/>
  <c r="C1329" i="2" a="1"/>
  <c r="C736" i="2" a="1"/>
  <c r="C2109" i="2" a="1"/>
  <c r="C1836" i="2" a="1"/>
  <c r="C537" i="2" a="1"/>
  <c r="C921" i="2" a="1"/>
  <c r="C409" i="2" a="1"/>
  <c r="C1961" i="2" a="1"/>
  <c r="C2028" i="2" a="1"/>
  <c r="C564" i="2" a="1"/>
  <c r="C671" i="2" a="1"/>
  <c r="C86" i="2" a="1"/>
  <c r="C2027" i="2" a="1"/>
  <c r="C168" i="2" a="1"/>
  <c r="C1517" i="2" a="1"/>
  <c r="C1469" i="2" a="1"/>
  <c r="C668" i="2" a="1"/>
  <c r="C647" i="2" a="1"/>
  <c r="C1665" i="2" a="1"/>
  <c r="C1574" i="2" a="1"/>
  <c r="C778" i="2" a="1"/>
  <c r="C15" i="2" a="1"/>
  <c r="C1773" i="2" a="1"/>
  <c r="C1831" i="2" a="1"/>
  <c r="C1772" i="2" a="1"/>
  <c r="C568" i="2" a="1"/>
  <c r="C1460" i="2" a="1"/>
  <c r="C1887" i="2" a="1"/>
  <c r="C430" i="2" a="1"/>
  <c r="C1927" i="2" a="1"/>
  <c r="C907" i="2" a="1"/>
  <c r="C1391" i="2" a="1"/>
  <c r="C1190" i="2" a="1"/>
  <c r="C251" i="2" a="1"/>
  <c r="C1066" i="2" a="1"/>
  <c r="C1091" i="2" a="1"/>
  <c r="C1073" i="2" a="1"/>
  <c r="C1482" i="2" a="1"/>
  <c r="C995" i="2" a="1"/>
  <c r="C1313" i="2" a="1"/>
  <c r="C2192" i="2" a="1"/>
  <c r="C1140" i="2" a="1"/>
  <c r="C1353" i="2" a="1"/>
  <c r="C479" i="2" a="1"/>
  <c r="C2129" i="2" a="1"/>
  <c r="C1951" i="2" a="1"/>
  <c r="C1261" i="2" a="1"/>
  <c r="C645" i="2" a="1"/>
  <c r="C1981" i="2" a="1"/>
  <c r="C1950" i="2" a="1"/>
  <c r="C714" i="2" a="1"/>
  <c r="C483" i="2" a="1"/>
  <c r="C2344" i="2" a="1"/>
  <c r="C189" i="2" a="1"/>
  <c r="C111" i="2" a="1"/>
  <c r="C67" i="2" a="1"/>
  <c r="C50" i="2" a="1"/>
  <c r="C6" i="2" a="1"/>
  <c r="C2343" i="2" a="1"/>
  <c r="C2119" i="2" a="1"/>
  <c r="C2077" i="2" a="1"/>
  <c r="C1086" i="2" a="1"/>
  <c r="C145" i="2" a="1"/>
  <c r="C352" i="2" a="1"/>
  <c r="C677" i="2" a="1"/>
  <c r="C661" i="2" a="1"/>
  <c r="C648" i="2" a="1"/>
  <c r="C634" i="2" a="1"/>
  <c r="C619" i="2" a="1"/>
  <c r="C654" i="4" a="1"/>
  <c r="C120" i="2" a="1"/>
  <c r="C1506" i="2" a="1"/>
  <c r="C164" i="4" a="1"/>
  <c r="C348" i="4" a="1"/>
  <c r="C1167" i="4" a="1"/>
  <c r="C612" i="4" a="1"/>
  <c r="C522" i="4" a="1"/>
  <c r="C1057" i="4" a="1"/>
  <c r="C1307" i="4" a="1"/>
  <c r="C1200" i="4" a="1"/>
  <c r="C2040" i="4" a="1"/>
  <c r="C785" i="4" a="1"/>
  <c r="C1608" i="4" a="1"/>
  <c r="C301" i="4" a="1"/>
  <c r="C1590" i="4" a="1"/>
  <c r="C939" i="4" a="1"/>
  <c r="C1581" i="4" a="1"/>
  <c r="C821" i="4" a="1"/>
  <c r="C1846" i="4" a="1"/>
  <c r="C168" i="4" a="1"/>
  <c r="C1302" i="4" a="1"/>
  <c r="C137" i="4" a="1"/>
  <c r="C1688" i="4" a="1"/>
  <c r="C929" i="2" a="1"/>
  <c r="C1223" i="2" a="1"/>
  <c r="C401" i="2" a="1"/>
  <c r="C94" i="2" a="1"/>
  <c r="C486" i="2" a="1"/>
  <c r="C796" i="2" a="1"/>
  <c r="C1411" i="2" a="1"/>
  <c r="C926" i="2" a="1"/>
  <c r="C2245" i="2" a="1"/>
  <c r="C147" i="2" a="1"/>
  <c r="C1151" i="2" a="1"/>
  <c r="C1282" i="2" a="1"/>
  <c r="C1743" i="2" a="1"/>
  <c r="C934" i="2" a="1"/>
  <c r="C760" i="2" a="1"/>
  <c r="C707" i="2" a="1"/>
  <c r="C913" i="2" a="1"/>
  <c r="C254" i="2" a="1"/>
  <c r="C1566" i="2" a="1"/>
  <c r="C727" i="2" a="1"/>
  <c r="C1383" i="2" a="1"/>
  <c r="C2197" i="2" a="1"/>
  <c r="C1273" i="2" a="1"/>
  <c r="C1603" i="2" a="1"/>
  <c r="C466" i="2" a="1"/>
  <c r="C1609" i="2" a="1"/>
  <c r="C830" i="2" a="1"/>
  <c r="C78" i="2" a="1"/>
  <c r="C1415" i="2" a="1"/>
  <c r="C2015" i="2" a="1"/>
  <c r="C1143" i="2" a="1"/>
  <c r="C965" i="2" a="1"/>
  <c r="C1543" i="2" a="1"/>
  <c r="C755" i="2" a="1"/>
  <c r="C449" i="2" a="1"/>
  <c r="C2200" i="2" a="1"/>
  <c r="C1107" i="2" a="1"/>
  <c r="C593" i="2" a="1"/>
  <c r="C1730" i="2" a="1"/>
  <c r="C181" i="2" a="1"/>
  <c r="C1029" i="2" a="1"/>
  <c r="C1175" i="2" a="1"/>
  <c r="C2089" i="2" a="1"/>
  <c r="C697" i="2" a="1"/>
  <c r="C208" i="2" a="1"/>
  <c r="C1907" i="2" a="1"/>
  <c r="C1157" i="2" a="1"/>
  <c r="C1874" i="2" a="1"/>
  <c r="C1098" i="2" a="1"/>
  <c r="C47" i="2" a="1"/>
  <c r="C1503" i="2" a="1"/>
  <c r="C571" i="2" a="1"/>
  <c r="C2020" i="2" a="1"/>
  <c r="C1924" i="2" a="1"/>
  <c r="C317" i="2" a="1"/>
  <c r="C309" i="2" a="1"/>
  <c r="C1578" i="2" a="1"/>
  <c r="C411" i="2" a="1"/>
  <c r="C1167" i="2" a="1"/>
  <c r="C749" i="2" a="1"/>
  <c r="C1769" i="2" a="1"/>
  <c r="C227" i="2" a="1"/>
  <c r="C701" i="2" a="1"/>
  <c r="C1735" i="2" a="1"/>
  <c r="C872" i="2" a="1"/>
  <c r="C1914" i="2" a="1"/>
  <c r="C2185" i="2" a="1"/>
  <c r="C1932" i="2" a="1"/>
  <c r="C13" i="2" a="1"/>
  <c r="C910" i="2" a="1"/>
  <c r="C2251" i="2" a="1"/>
  <c r="C962" i="2" a="1"/>
  <c r="C2346" i="2" a="1"/>
  <c r="C2316" i="2" a="1"/>
  <c r="C793" i="2" a="1"/>
  <c r="C773" i="2" a="1"/>
  <c r="C763" i="2" a="1"/>
  <c r="C753" i="2" a="1"/>
  <c r="C743" i="2" a="1"/>
  <c r="C2365" i="2" a="1"/>
  <c r="C681" i="2" a="1"/>
  <c r="C893" i="2" a="1"/>
  <c r="C1432" i="2" a="1"/>
  <c r="C372" i="2" a="1"/>
  <c r="C582" i="2" a="1"/>
  <c r="C575" i="2" a="1"/>
  <c r="C565" i="2" a="1"/>
  <c r="C555" i="2" a="1"/>
  <c r="C545" i="2" a="1"/>
  <c r="C535" i="2" a="1"/>
  <c r="C1884" i="4" a="1"/>
  <c r="C2040" i="2" a="1"/>
  <c r="C992" i="2" a="1"/>
  <c r="C280" i="4" a="1"/>
  <c r="C344" i="4" a="1"/>
  <c r="C298" i="4" a="1"/>
  <c r="C442" i="4" a="1"/>
  <c r="C829" i="4" a="1"/>
  <c r="C1097" i="4" a="1"/>
  <c r="C936" i="4" a="1"/>
  <c r="C741" i="4" a="1"/>
  <c r="C1543" i="4" a="1"/>
  <c r="C480" i="4" a="1"/>
  <c r="C1890" i="4" a="1"/>
  <c r="C635" i="4" a="1"/>
  <c r="C1560" i="4" a="1"/>
  <c r="C281" i="4" a="1"/>
  <c r="C1499" i="4" a="1"/>
  <c r="C933" i="4" a="1"/>
  <c r="C1429" i="4" a="1"/>
  <c r="C143" i="4" a="1"/>
  <c r="C744" i="4" a="1"/>
  <c r="C357" i="4" a="1"/>
  <c r="C1234" i="4" a="1"/>
  <c r="C1384" i="2" a="1"/>
  <c r="C1658" i="2" a="1"/>
  <c r="C1334" i="2" a="1"/>
  <c r="C703" i="2" a="1"/>
  <c r="C2161" i="2" a="1"/>
  <c r="C1617" i="2" a="1"/>
  <c r="C730" i="2" a="1"/>
  <c r="C1596" i="2" a="1"/>
  <c r="C1219" i="2" a="1"/>
  <c r="C2204" i="2" a="1"/>
  <c r="C471" i="2" a="1"/>
  <c r="C1619" i="2" a="1"/>
  <c r="C370" i="2" a="1"/>
  <c r="C2203" i="2" a="1"/>
  <c r="C418" i="2" a="1"/>
  <c r="C1196" i="2" a="1"/>
  <c r="C1450" i="2" a="1"/>
  <c r="C1264" i="2" a="1"/>
  <c r="C1964" i="2" a="1"/>
  <c r="C1841" i="2" a="1"/>
  <c r="C982" i="2" a="1"/>
  <c r="C1420" i="2" a="1"/>
  <c r="C1759" i="2" a="1"/>
  <c r="C1032" i="2" a="1"/>
  <c r="C1423" i="2" a="1"/>
  <c r="C106" i="2" a="1"/>
  <c r="C2131" i="2" a="1"/>
  <c r="C1446" i="2" a="1"/>
  <c r="C187" i="2" a="1"/>
  <c r="C1430" i="2" a="1"/>
  <c r="C1105" i="2" a="1"/>
  <c r="C1641" i="2" a="1"/>
  <c r="C867" i="2" a="1"/>
  <c r="C515" i="2" a="1"/>
  <c r="C1437" i="2" a="1"/>
  <c r="C1554" i="2" a="1"/>
  <c r="C89" i="2" a="1"/>
  <c r="C353" i="2" a="1"/>
  <c r="C591" i="2" a="1"/>
  <c r="C1337" i="2" a="1"/>
  <c r="C246" i="2" a="1"/>
  <c r="C1473" i="2" a="1"/>
  <c r="C1770" i="2" a="1"/>
  <c r="C786" i="2" a="1"/>
  <c r="C892" i="2" a="1"/>
  <c r="C2256" i="2" a="1"/>
  <c r="C2188" i="2" a="1"/>
  <c r="C1293" i="2" a="1"/>
  <c r="C858" i="2" a="1"/>
  <c r="C607" i="2" a="1"/>
  <c r="C58" i="2" a="1"/>
  <c r="C1243" i="2" a="1"/>
  <c r="C1737" i="2" a="1"/>
  <c r="C1043" i="2" a="1"/>
  <c r="C1815" i="2" a="1"/>
  <c r="C1811" i="2" a="1"/>
  <c r="C1996" i="2" a="1"/>
  <c r="C1850" i="2" a="1"/>
  <c r="C996" i="2" a="1"/>
  <c r="C2116" i="2" a="1"/>
  <c r="C1247" i="2" a="1"/>
  <c r="C846" i="2" a="1"/>
  <c r="C2114" i="2" a="1"/>
  <c r="C1052" i="2" a="1"/>
  <c r="C1410" i="2" a="1"/>
  <c r="C1457" i="2" a="1"/>
  <c r="C1644" i="2" a="1"/>
  <c r="C1692" i="2" a="1"/>
  <c r="C2221" i="2" a="1"/>
  <c r="C286" i="2" a="1"/>
  <c r="C1710" i="2" a="1"/>
  <c r="C88" i="2" a="1"/>
  <c r="C2339" i="2" a="1"/>
  <c r="C2274" i="2" a="1"/>
  <c r="C553" i="2" a="1"/>
  <c r="C533" i="2" a="1"/>
  <c r="C523" i="2" a="1"/>
  <c r="C513" i="2" a="1"/>
  <c r="C503" i="2" a="1"/>
  <c r="C2333" i="2" a="1"/>
  <c r="C2025" i="2" a="1"/>
  <c r="C1653" i="2" a="1"/>
  <c r="C787" i="2" a="1"/>
  <c r="C132" i="2" a="1"/>
  <c r="C342" i="2" a="1"/>
  <c r="C335" i="2" a="1"/>
  <c r="C325" i="2" a="1"/>
  <c r="C315" i="2" a="1"/>
  <c r="C305" i="2" a="1"/>
  <c r="C295" i="2" a="1"/>
  <c r="C260" i="4" a="1"/>
  <c r="C2060" i="2" a="1"/>
  <c r="C207" i="4" a="1"/>
  <c r="C140" i="4" a="1"/>
  <c r="C295" i="4" a="1"/>
  <c r="C224" i="4" a="1"/>
  <c r="C753" i="4" a="1"/>
  <c r="C994" i="4" a="1"/>
  <c r="C941" i="4" a="1"/>
  <c r="C846" i="4" a="1"/>
  <c r="C1769" i="4" a="1"/>
  <c r="C718" i="4" a="1"/>
  <c r="C1786" i="4" a="1"/>
  <c r="C498" i="4" a="1"/>
  <c r="C629" i="4" a="1"/>
  <c r="C1525" i="4" a="1"/>
  <c r="C1426" i="4" a="1"/>
  <c r="C148" i="4" a="1"/>
  <c r="C1084" i="4" a="1"/>
  <c r="C1963" i="4" a="1"/>
  <c r="C1395" i="4" a="1"/>
  <c r="C1869" i="2" a="1"/>
  <c r="C1904" i="2" a="1"/>
  <c r="C620" i="2" a="1"/>
  <c r="C463" i="2" a="1"/>
  <c r="C1911" i="2" a="1"/>
  <c r="C971" i="2" a="1"/>
  <c r="C1355" i="2" a="1"/>
  <c r="C666" i="2" a="1"/>
  <c r="C1670" i="2" a="1"/>
  <c r="C1663" i="2" a="1"/>
  <c r="C706" i="2" a="1"/>
  <c r="C1814" i="2" a="1"/>
  <c r="C1434" i="2" a="1"/>
  <c r="C1685" i="2" a="1"/>
  <c r="C825" i="2" a="1"/>
  <c r="C1753" i="2" a="1"/>
  <c r="C1757" i="2" a="1"/>
  <c r="C488" i="2" a="1"/>
  <c r="C498" i="2" a="1"/>
  <c r="C890" i="2" a="1"/>
  <c r="C198" i="2" a="1"/>
  <c r="C1515" i="2" a="1"/>
  <c r="C687" i="2" a="1"/>
  <c r="C1360" i="2" a="1"/>
  <c r="C2037" i="2" a="1"/>
  <c r="C1226" i="2" a="1"/>
  <c r="C1590" i="2" a="1"/>
  <c r="C351" i="2" a="1"/>
  <c r="C1593" i="2" a="1"/>
  <c r="C784" i="2" a="1"/>
  <c r="C1302" i="2" a="1"/>
  <c r="C330" i="2" a="1"/>
  <c r="C1316" i="2" a="1"/>
  <c r="C275" i="2" a="1"/>
  <c r="C1231" i="2" a="1"/>
  <c r="C614" i="2" a="1"/>
  <c r="C2032" i="2" a="1"/>
  <c r="C113" i="2" a="1"/>
  <c r="C1401" i="2" a="1"/>
  <c r="C464" i="2" a="1"/>
  <c r="C1145" i="2" a="1"/>
  <c r="C1499" i="2" a="1"/>
  <c r="C2198" i="2" a="1"/>
  <c r="C1968" i="2" a="1"/>
  <c r="C96" i="2" a="1"/>
  <c r="C1205" i="2" a="1"/>
  <c r="C501" i="2" a="1"/>
  <c r="C604" i="2" a="1"/>
  <c r="C1541" i="2" a="1"/>
  <c r="C1485" i="2" a="1"/>
  <c r="C628" i="2" a="1"/>
  <c r="C2241" i="2" a="1"/>
  <c r="C1375" i="2" a="1"/>
  <c r="C256" i="2" a="1"/>
  <c r="C2079" i="2" a="1"/>
  <c r="C1195" i="2" a="1"/>
  <c r="C394" i="2" a="1"/>
  <c r="C679" i="2" a="1"/>
  <c r="C1320" i="2" a="1"/>
  <c r="C2118" i="2" a="1"/>
  <c r="C1820" i="2" a="1"/>
  <c r="C438" i="2" a="1"/>
  <c r="C9" i="2" a="1"/>
  <c r="C1023" i="2" a="1"/>
  <c r="C121" i="2" a="1"/>
  <c r="C1002" i="2" a="1"/>
  <c r="C781" i="2" a="1"/>
  <c r="C1452" i="2" a="1"/>
  <c r="C821" i="2" a="1"/>
  <c r="C1799" i="2" a="1"/>
  <c r="C1182" i="2" a="1"/>
  <c r="C728" i="2" a="1"/>
  <c r="C2340" i="2" a="1"/>
  <c r="C2354" i="2" a="1"/>
  <c r="C293" i="2" a="1"/>
  <c r="C283" i="2" a="1"/>
  <c r="C273" i="2" a="1"/>
  <c r="C2274" i="4" a="1"/>
  <c r="C2112" i="4" a="1"/>
  <c r="C1286" i="4" a="1"/>
  <c r="C2297" i="4" a="1"/>
  <c r="C951" i="4" a="1"/>
  <c r="C945" i="4" a="1"/>
  <c r="C409" i="4" a="1"/>
  <c r="C623" i="4" a="1"/>
  <c r="C2077" i="4" a="1"/>
  <c r="C684" i="4" a="1"/>
  <c r="C1643" i="2" a="1"/>
  <c r="C375" i="2" a="1"/>
  <c r="C2169" i="2" a="1"/>
  <c r="C1309" i="2" a="1"/>
  <c r="C1416" i="2" a="1"/>
  <c r="C946" i="2" a="1"/>
  <c r="C348" i="2" a="1"/>
  <c r="C1857" i="2" a="1"/>
  <c r="C1681" i="2" a="1"/>
  <c r="C1852" i="2" a="1"/>
  <c r="C1508" i="2" a="1"/>
  <c r="C327" i="2" a="1"/>
  <c r="C1592" i="2" a="1"/>
  <c r="C724" i="2" a="1"/>
  <c r="C955" i="2" a="1"/>
  <c r="C300" i="2" a="1"/>
  <c r="C1840" i="2" a="1"/>
  <c r="C951" i="2" a="1"/>
  <c r="C1227" i="2" a="1"/>
  <c r="C1118" i="2" a="1"/>
  <c r="C1557" i="2" a="1"/>
  <c r="C485" i="2" a="1"/>
  <c r="C1448" i="2" a="1"/>
  <c r="C323" i="2" a="1"/>
  <c r="C1249" i="2" a="1"/>
  <c r="C1853" i="2" a="1"/>
  <c r="C1204" i="2" a="1"/>
  <c r="C827" i="2" a="1"/>
  <c r="C1994" i="2" a="1"/>
  <c r="C1085" i="2" a="1"/>
  <c r="C1365" i="2" a="1"/>
  <c r="C296" i="2" a="1"/>
  <c r="C1798" i="2" a="1"/>
  <c r="C148" i="2" a="1"/>
  <c r="C1983" i="2" a="1"/>
  <c r="C124" i="2" a="1"/>
  <c r="C1202" i="2" a="1"/>
  <c r="C489" i="2" a="1"/>
  <c r="C222" i="2" a="1"/>
  <c r="C303" i="2" a="1"/>
  <c r="C435" i="2" a="1"/>
  <c r="C141" i="2" a="1"/>
  <c r="C1049" i="2" a="1"/>
  <c r="C2228" i="2" a="1"/>
  <c r="C233" i="2" a="1"/>
  <c r="C2317" i="2" a="1"/>
  <c r="C413" i="2" a="1"/>
  <c r="C785" i="2" a="1"/>
  <c r="C1208" i="2" a="1"/>
  <c r="C1591" i="2" a="1"/>
  <c r="C1717" i="2" a="1"/>
  <c r="C2111" i="2" a="1"/>
  <c r="C248" i="2" a="1"/>
  <c r="C2201" i="2" a="1"/>
  <c r="C745" i="2" a="1"/>
  <c r="C878" i="2" a="1"/>
  <c r="C139" i="2" a="1"/>
  <c r="C245" i="2" a="1"/>
  <c r="C257" i="2" a="1"/>
  <c r="C83" i="2" a="1"/>
  <c r="C324" i="2" a="1"/>
  <c r="C699" i="2" a="1"/>
  <c r="C609" i="2" a="1"/>
  <c r="C1063" i="2" a="1"/>
  <c r="C1475" i="2" a="1"/>
  <c r="C229" i="2" a="1"/>
  <c r="C2183" i="2" a="1"/>
  <c r="C1849" i="2" a="1"/>
  <c r="C1528" i="2" a="1"/>
  <c r="C811" i="2" a="1"/>
  <c r="C1246" i="2" a="1"/>
  <c r="C733" i="2" a="1"/>
  <c r="C2149" i="2" a="1"/>
  <c r="C80" i="2" a="1"/>
  <c r="C2320" i="2" a="1"/>
  <c r="C63" i="2" a="1"/>
  <c r="C195" i="2" a="1"/>
  <c r="C655" i="2" a="1"/>
  <c r="C1361" i="2" a="1"/>
  <c r="C852" i="2" a="1"/>
  <c r="C334" i="2" a="1"/>
  <c r="C173" i="2" a="1"/>
  <c r="C65" i="2" a="1"/>
  <c r="C68" i="2" a="1"/>
  <c r="C958" i="2" a="1"/>
  <c r="C633" i="2" a="1"/>
  <c r="C1447" i="2" a="1"/>
  <c r="C1742" i="2" a="1"/>
  <c r="C1669" i="2" a="1"/>
  <c r="C1712" i="2" a="1"/>
  <c r="C2057" i="2" a="1"/>
  <c r="C1660" i="2" a="1"/>
  <c r="C742" i="2" a="1"/>
  <c r="C662" i="2" a="1"/>
  <c r="C1463" i="2" a="1"/>
  <c r="C2355" i="2" a="1"/>
  <c r="C747" i="2" a="1"/>
  <c r="C393" i="2" a="1"/>
  <c r="C2196" i="2" a="1"/>
  <c r="C1472" i="2" a="1"/>
  <c r="C1046" i="2" a="1"/>
  <c r="C1020" i="2" a="1"/>
  <c r="C247" i="2" a="1"/>
  <c r="C422" i="2" a="1"/>
  <c r="C1960" i="2" a="1"/>
  <c r="C2323" i="2" a="1"/>
  <c r="C306" i="2" a="1"/>
  <c r="C1570" i="2" a="1"/>
  <c r="C262" i="2" a="1"/>
  <c r="C2304" i="2" a="1"/>
  <c r="C23" i="2" a="1"/>
  <c r="C1674" i="2" a="1"/>
  <c r="C815" i="2" a="1"/>
  <c r="C292" i="2" a="1"/>
  <c r="C1500" i="2" a="1"/>
  <c r="C652" i="2" a="1"/>
  <c r="C1382" i="2" a="1"/>
  <c r="C1572" i="2" a="1"/>
  <c r="C900" i="4" a="1"/>
  <c r="C1872" i="2" a="1"/>
  <c r="C2085" i="2" a="1"/>
  <c r="C2124" i="2" a="1"/>
  <c r="C640" i="2" a="1"/>
  <c r="C799" i="4" a="1"/>
  <c r="C1240" i="2" a="1"/>
  <c r="C791" i="2" a="1"/>
  <c r="C2147" i="2" a="1"/>
  <c r="C2351" i="2" a="1"/>
  <c r="C928" i="2" a="1"/>
  <c r="C1061" i="4" a="1"/>
  <c r="C1615" i="2" a="1"/>
  <c r="C1562" i="2" a="1"/>
  <c r="C1245" i="2" a="1"/>
  <c r="C215" i="2" a="1"/>
  <c r="C1169" i="2" a="1"/>
  <c r="C2231" i="4" a="1"/>
  <c r="C1254" i="4" a="1"/>
  <c r="C2177" i="4" a="1"/>
  <c r="C1908" i="4" a="1"/>
  <c r="C509" i="4" a="1"/>
  <c r="C712" i="4" a="1"/>
  <c r="C469" i="4" a="1"/>
  <c r="C700" i="4" a="1"/>
  <c r="C1945" i="4" a="1"/>
  <c r="C115" i="4" a="1"/>
  <c r="C1889" i="2" a="1"/>
  <c r="C135" i="2" a="1"/>
  <c r="C1651" i="2" a="1"/>
  <c r="C1359" i="2" a="1"/>
  <c r="C1034" i="2" a="1"/>
  <c r="C1648" i="2" a="1"/>
  <c r="C987" i="2" a="1"/>
  <c r="C1894" i="2" a="1"/>
  <c r="C1299" i="2" a="1"/>
  <c r="C680" i="2" a="1"/>
  <c r="C889" i="2" a="1"/>
  <c r="C2253" i="2" a="1"/>
  <c r="C1687" i="2" a="1"/>
  <c r="C2182" i="2" a="1"/>
  <c r="C1913" i="2" a="1"/>
  <c r="C2090" i="2" a="1"/>
  <c r="C2065" i="2" a="1"/>
  <c r="C1661" i="4" a="1"/>
  <c r="C865" i="4" a="1"/>
  <c r="C2091" i="4" a="1"/>
  <c r="C1541" i="4" a="1"/>
  <c r="C574" i="4" a="1"/>
  <c r="C568" i="4" a="1"/>
  <c r="C365" i="4" a="1"/>
  <c r="C218" i="4" a="1"/>
  <c r="C1805" i="4" a="1"/>
  <c r="C18" i="4" a="1"/>
  <c r="C1062" i="2" a="1"/>
  <c r="C223" i="2" a="1"/>
  <c r="C1134" i="2" a="1"/>
  <c r="C1714" i="2" a="1"/>
  <c r="C638" i="2" a="1"/>
  <c r="C27" i="2" a="1"/>
  <c r="C968" i="2" a="1"/>
  <c r="C2031" i="2" a="1"/>
  <c r="C2181" i="2" a="1"/>
  <c r="C694" i="2" a="1"/>
  <c r="C969" i="2" a="1"/>
  <c r="C1398" i="2" a="1"/>
  <c r="C1947" i="2" a="1"/>
  <c r="C904" i="2" a="1"/>
  <c r="C1297" i="2" a="1"/>
  <c r="C1138" i="2" a="1"/>
  <c r="C1624" i="2" a="1"/>
  <c r="C505" i="2" a="1"/>
  <c r="C2186" i="2" a="1"/>
  <c r="C583" i="2" a="1"/>
  <c r="C157" i="2" a="1"/>
  <c r="C1103" i="2" a="1"/>
  <c r="C649" i="2" a="1"/>
  <c r="C1855" i="2" a="1"/>
  <c r="C458" i="2" a="1"/>
  <c r="C1701" i="2" a="1"/>
  <c r="C49" i="2" a="1"/>
  <c r="C2078" i="2" a="1"/>
  <c r="C2217" i="2" a="1"/>
  <c r="C1805" i="2" a="1"/>
  <c r="C1531" i="2" a="1"/>
  <c r="C1292" i="2" a="1"/>
  <c r="C1845" i="2" a="1"/>
  <c r="C1269" i="2" a="1"/>
  <c r="C1699" i="2" a="1"/>
  <c r="C493" i="2" a="1"/>
  <c r="C1631" i="2" a="1"/>
  <c r="C243" i="2" a="1"/>
  <c r="C2334" i="2" a="1"/>
  <c r="C682" i="2" a="1"/>
  <c r="C154" i="2" a="1"/>
  <c r="C415" i="2" a="1"/>
  <c r="C76" i="2" a="1"/>
  <c r="C1166" i="2" a="1"/>
  <c r="C612" i="2" a="1"/>
  <c r="C1198" i="2" a="1"/>
  <c r="C312" i="2" a="1"/>
  <c r="C24" i="2" a="1"/>
  <c r="C2206" i="2" a="1"/>
  <c r="C60" i="2" a="1"/>
  <c r="C294" i="2" a="1"/>
  <c r="C265" i="2" a="1"/>
  <c r="C1519" i="2" a="1"/>
  <c r="C343" i="2" a="1"/>
  <c r="C1324" i="2" a="1"/>
  <c r="C1077" i="2" a="1"/>
  <c r="C717" i="2" a="1"/>
  <c r="C1987" i="2" a="1"/>
  <c r="C1861" i="2" a="1"/>
  <c r="C1370" i="2" a="1"/>
  <c r="C1982" i="2" a="1"/>
  <c r="C1971" i="2" a="1"/>
  <c r="C1281" i="2" a="1"/>
  <c r="C947" i="2" a="1"/>
  <c r="C1952" i="2" a="1"/>
  <c r="C839" i="2" a="1"/>
  <c r="C417" i="2" a="1"/>
  <c r="C1036" i="2" a="1"/>
  <c r="C253" i="2" a="1"/>
  <c r="C959" i="2" a="1"/>
  <c r="C3" i="2" a="1"/>
  <c r="C2341" i="2" a="1"/>
  <c r="C442" i="2" a="1"/>
  <c r="C43" i="2" a="1"/>
  <c r="C175" i="2" a="1"/>
  <c r="C999" i="2" a="1"/>
  <c r="C2278" i="2" a="1"/>
  <c r="C72" i="2" a="1"/>
  <c r="C1279" i="2" a="1"/>
  <c r="C1431" i="2" a="1"/>
  <c r="C484" i="2" a="1"/>
  <c r="C882" i="2" a="1"/>
  <c r="C2017" i="2" a="1"/>
  <c r="C41" i="2" a="1"/>
  <c r="C1676" i="2" a="1"/>
  <c r="C589" i="2" a="1"/>
  <c r="C134" i="2" a="1"/>
  <c r="C1181" i="2" a="1"/>
  <c r="C2297" i="2" a="1"/>
  <c r="C2" i="4" a="1"/>
  <c r="C2135" i="2" a="1"/>
  <c r="C2016" i="2" a="1"/>
  <c r="C1723" i="2" a="1"/>
  <c r="C502" i="2" a="1"/>
  <c r="C2338" i="2" a="1"/>
  <c r="C263" i="2" a="1"/>
  <c r="C2215" i="2" a="1"/>
  <c r="C404" i="2" a="1"/>
  <c r="C153" i="2" a="1"/>
  <c r="C250" i="2" a="1"/>
  <c r="C200" i="2" a="1"/>
  <c r="C705" i="2" a="1"/>
  <c r="C182" i="2" a="1"/>
  <c r="C337" i="2" a="1"/>
  <c r="C2302" i="2" a="1"/>
  <c r="C1178" i="2" a="1"/>
  <c r="C1758" i="2" a="1"/>
  <c r="C1210" i="2" a="1"/>
  <c r="C1161" i="2" a="1"/>
  <c r="C1903" i="2" a="1"/>
  <c r="C525" i="2" a="1"/>
  <c r="C272" i="2" a="1"/>
  <c r="C949" i="4" a="1"/>
  <c r="C636" i="2" a="1"/>
  <c r="C1064" i="2" a="1"/>
  <c r="C497" i="2" a="1"/>
  <c r="C1754" i="2" a="1"/>
  <c r="C424" i="2" a="1"/>
  <c r="C805" i="2" a="1"/>
  <c r="C807" i="4" a="1"/>
  <c r="C2133" i="2" a="1"/>
  <c r="C1555" i="2" a="1"/>
  <c r="C1108" i="2" a="1"/>
  <c r="C2234" i="2" a="1"/>
  <c r="C455" i="2" a="1"/>
  <c r="C85" i="2" a="1"/>
  <c r="C940" i="4" a="1"/>
  <c r="C1671" i="2" a="1"/>
  <c r="C915" i="2" a="1"/>
  <c r="C641" i="2" a="1"/>
  <c r="C2291" i="2" a="1"/>
  <c r="C2294" i="4" a="1"/>
  <c r="C2157" i="4" a="1"/>
  <c r="C1191" i="2" a="1"/>
  <c r="C17" i="2" a="1"/>
  <c r="C1490" i="2" a="1"/>
  <c r="C174" i="2" a="1"/>
  <c r="C1830" i="2" a="1"/>
  <c r="C1646" i="2" a="1"/>
  <c r="C708" i="2" a="1"/>
  <c r="C1144" i="2" a="1"/>
  <c r="C1489" i="2" a="1"/>
  <c r="C2229" i="2" a="1"/>
  <c r="C1193" i="2" a="1"/>
  <c r="C1325" i="2" a="1"/>
  <c r="C2199" i="2" a="1"/>
  <c r="C1030" i="2" a="1"/>
  <c r="C746" i="2" a="1"/>
  <c r="C1958" i="2" a="1"/>
  <c r="C1089" i="2" a="1"/>
  <c r="C2140" i="2" a="1"/>
  <c r="C2091" i="2" a="1"/>
  <c r="C1371" i="2" a="1"/>
  <c r="C1817" i="2" a="1"/>
  <c r="C1232" i="2" a="1"/>
  <c r="C1851" i="2" a="1"/>
  <c r="C1308" i="2" a="1"/>
  <c r="C530" i="2" a="1"/>
  <c r="C387" i="2" a="1"/>
  <c r="C1931" i="2" a="1"/>
  <c r="C899" i="2" a="1"/>
  <c r="C2222" i="2" a="1"/>
  <c r="C950" i="2" a="1"/>
  <c r="C108" i="2" a="1"/>
  <c r="C357" i="2" a="1"/>
  <c r="C917" i="2" a="1"/>
  <c r="C118" i="2" a="1"/>
  <c r="C841" i="2" a="1"/>
  <c r="C848" i="2" a="1"/>
  <c r="C98" i="2" a="1"/>
  <c r="C1078" i="2" a="1"/>
  <c r="C128" i="2" a="1"/>
  <c r="C783" i="2" a="1"/>
  <c r="C543" i="2" a="1"/>
  <c r="C2269" i="2" a="1"/>
  <c r="C2286" i="2" a="1"/>
  <c r="C523" i="4" a="1"/>
  <c r="C1353" i="4" a="1"/>
  <c r="C1348" i="4" a="1"/>
  <c r="C1492" i="4" a="1"/>
  <c r="C437" i="4" a="1"/>
  <c r="C680" i="4" a="1"/>
  <c r="C674" i="4" a="1"/>
  <c r="C149" i="4" a="1"/>
  <c r="C1517" i="4" a="1"/>
  <c r="C501" i="4" a="1"/>
  <c r="C1998" i="2" a="1"/>
  <c r="C311" i="2" a="1"/>
  <c r="C16" i="2" a="1"/>
  <c r="C2055" i="2" a="1"/>
  <c r="C1344" i="2" a="1"/>
  <c r="C1576" i="2" a="1"/>
  <c r="C585" i="2" a="1"/>
  <c r="C1474" i="2" a="1"/>
  <c r="C1700" i="2" a="1"/>
  <c r="C1801" i="2" a="1"/>
  <c r="C2061" i="2" a="1"/>
  <c r="C906" i="2" a="1"/>
  <c r="C2063" i="2" a="1"/>
  <c r="C898" i="2" a="1"/>
  <c r="C2046" i="2" a="1"/>
  <c r="C437" i="2" a="1"/>
  <c r="C459" i="4" a="1"/>
  <c r="C1953" i="4" a="1"/>
  <c r="C2305" i="4" a="1"/>
  <c r="C1537" i="2" a="1"/>
  <c r="C1151" i="4" a="1"/>
  <c r="C1835" i="4" a="1"/>
  <c r="C1197" i="4" a="1"/>
  <c r="C653" i="4" a="1"/>
  <c r="C542" i="4" a="1"/>
  <c r="C194" i="4" a="1"/>
  <c r="C160" i="4" a="1"/>
  <c r="C5" i="4" a="1"/>
  <c r="C1826" i="4" a="1"/>
  <c r="C738" i="4" a="1"/>
  <c r="C1129" i="2" a="1"/>
  <c r="C1171" i="2" a="1"/>
  <c r="C2156" i="2" a="1"/>
  <c r="C1935" i="2" a="1"/>
  <c r="C824" i="2" a="1"/>
  <c r="C371" i="2" a="1"/>
  <c r="C345" i="2" a="1"/>
  <c r="C630" i="2" a="1"/>
  <c r="C2255" i="2" a="1"/>
  <c r="C467" i="2" a="1"/>
  <c r="C1480" i="2" a="1"/>
  <c r="C1435" i="2" a="1"/>
  <c r="C1645" i="2" a="1"/>
  <c r="C1556" i="2" a="1"/>
  <c r="C1504" i="2" a="1"/>
  <c r="C660" i="2" a="1"/>
  <c r="C1607" i="2" a="1"/>
  <c r="C25" i="2" a="1"/>
  <c r="C580" i="2" a="1"/>
  <c r="C103" i="2" a="1"/>
  <c r="C391" i="2" a="1"/>
  <c r="C771" i="2" a="1"/>
  <c r="C1945" i="2" a="1"/>
  <c r="C1629" i="2" a="1"/>
  <c r="C202" i="2" a="1"/>
  <c r="C344" i="2" a="1"/>
  <c r="C101" i="2" a="1"/>
  <c r="C891" i="2" a="1"/>
  <c r="C1514" i="4" a="1"/>
  <c r="C777" i="4" a="1"/>
  <c r="C1110" i="4" a="1"/>
  <c r="C290" i="4" a="1"/>
  <c r="C56" i="4" a="1"/>
  <c r="C381" i="4" a="1"/>
  <c r="C16" i="4" a="1"/>
  <c r="C1971" i="4" a="1"/>
  <c r="C1538" i="4" a="1"/>
  <c r="C1741" i="4" a="1"/>
  <c r="C2103" i="2" a="1"/>
  <c r="C1009" i="2" a="1"/>
  <c r="C1638" i="2" a="1"/>
  <c r="C1866" i="2" a="1"/>
  <c r="C1212" i="2" a="1"/>
  <c r="C1825" i="2" a="1"/>
  <c r="C105" i="2" a="1"/>
  <c r="C1569" i="2" a="1"/>
  <c r="C301" i="2" a="1"/>
  <c r="C1989" i="2" a="1"/>
  <c r="C853" i="2" a="1"/>
  <c r="C230" i="2" a="1"/>
  <c r="C1438" i="2" a="1"/>
  <c r="C870" i="2" a="1"/>
  <c r="C767" i="2" a="1"/>
  <c r="C318" i="2" a="1"/>
  <c r="C541" i="2" a="1"/>
  <c r="C833" i="2" a="1"/>
  <c r="C1844" i="2" a="1"/>
  <c r="C2054" i="2" a="1"/>
  <c r="C1910" i="2" a="1"/>
  <c r="C2099" i="2" a="1"/>
  <c r="C1418" i="2" a="1"/>
  <c r="C1548" i="2" a="1"/>
  <c r="C410" i="2" a="1"/>
  <c r="C2113" i="2" a="1"/>
  <c r="C1502" i="2" a="1"/>
  <c r="C2219" i="2" a="1"/>
  <c r="C224" i="2" a="1"/>
  <c r="C1995" i="2" a="1"/>
  <c r="C1133" i="2" a="1"/>
  <c r="C2363" i="2" a="1"/>
  <c r="C2163" i="2" a="1"/>
  <c r="C451" i="2" a="1"/>
  <c r="C1462" i="2" a="1"/>
  <c r="C1311" i="4" a="1"/>
  <c r="C896" i="4" a="1"/>
  <c r="C311" i="4" a="1"/>
  <c r="C157" i="4" a="1"/>
  <c r="C243" i="4" a="1"/>
  <c r="C237" i="4" a="1"/>
  <c r="C1725" i="4" a="1"/>
  <c r="C2304" i="4" a="1"/>
  <c r="C1225" i="4" a="1"/>
  <c r="C801" i="4" a="1"/>
  <c r="C1585" i="2" a="1"/>
  <c r="C1209" i="2" a="1"/>
  <c r="C1323" i="2" a="1"/>
  <c r="C278" i="2" a="1"/>
  <c r="C578" i="2" a="1"/>
  <c r="C941" i="2" a="1"/>
  <c r="C64" i="2" a="1"/>
  <c r="C985" i="2" a="1"/>
  <c r="C1677" i="2" a="1"/>
  <c r="C720" i="2" a="1"/>
  <c r="C2144" i="2" a="1"/>
  <c r="C1707" i="2" a="1"/>
  <c r="C2073" i="2" a="1"/>
  <c r="C2108" i="2" a="1"/>
  <c r="C1657" i="2" a="1"/>
  <c r="C35" i="2" a="1"/>
  <c r="C1867" i="2" a="1"/>
  <c r="C667" i="2" a="1"/>
  <c r="C1298" i="2" a="1"/>
  <c r="C1005" i="2" a="1"/>
  <c r="C1392" i="2" a="1"/>
  <c r="C2194" i="2" a="1"/>
  <c r="C481" i="2" a="1"/>
  <c r="C973" i="2" a="1"/>
  <c r="C1944" i="2" a="1"/>
  <c r="C875" i="2" a="1"/>
  <c r="C2105" i="2" a="1"/>
  <c r="C2059" i="2" a="1"/>
  <c r="C664" i="2" a="1"/>
  <c r="C1779" i="2" a="1"/>
  <c r="C1053" i="2" a="1"/>
  <c r="C897" i="2" a="1"/>
  <c r="C2013" i="2" a="1"/>
  <c r="C874" i="2" a="1"/>
  <c r="C1327" i="2" a="1"/>
  <c r="C2155" i="2" a="1"/>
  <c r="C1827" i="2" a="1"/>
  <c r="C1702" i="2" a="1"/>
  <c r="C1832" i="2" a="1"/>
  <c r="C998" i="4" a="1"/>
  <c r="C1416" i="4" a="1"/>
  <c r="C1343" i="4" a="1"/>
  <c r="C37" i="4" a="1"/>
  <c r="C2193" i="4" a="1"/>
  <c r="C99" i="4" a="1"/>
  <c r="C2172" i="4" a="1"/>
  <c r="C2310" i="4" a="1"/>
  <c r="C2037" i="4" a="1"/>
  <c r="C992" i="4" a="1"/>
  <c r="C1034" i="4" a="1"/>
  <c r="C876" i="2" a="1"/>
  <c r="C1880" i="2" a="1"/>
  <c r="C600" i="2" a="1"/>
  <c r="C2006" i="2" a="1"/>
  <c r="C361" i="2" a="1"/>
  <c r="C1871" i="2" a="1"/>
  <c r="C1786" i="2" a="1"/>
  <c r="C2190" i="2" a="1"/>
  <c r="C186" i="2" a="1"/>
  <c r="C1549" i="2" a="1"/>
  <c r="C943" i="2" a="1"/>
  <c r="C616" i="2" a="1"/>
  <c r="C1870" i="2" a="1"/>
  <c r="C1567" i="2" a="1"/>
  <c r="C584" i="2" a="1"/>
  <c r="C843" i="2" a="1"/>
  <c r="C1340" i="2" a="1"/>
  <c r="C1525" i="2" a="1"/>
  <c r="C1923" i="2" a="1"/>
  <c r="C1637" i="2" a="1"/>
  <c r="C1444" i="2" a="1"/>
  <c r="C1613" i="2" a="1"/>
  <c r="C1967" i="2" a="1"/>
  <c r="C1877" i="2" a="1"/>
  <c r="C1417" i="2" a="1"/>
  <c r="C1954" i="2" a="1"/>
  <c r="C2175" i="2" a="1"/>
  <c r="C1352" i="2" a="1"/>
  <c r="C2080" i="2" a="1"/>
  <c r="C1147" i="2" a="1"/>
  <c r="C1551" i="2" a="1"/>
  <c r="C8" i="2" a="1"/>
  <c r="C1291" i="2" a="1"/>
  <c r="C1899" i="2" a="1"/>
  <c r="C1791" i="2" a="1"/>
  <c r="C1304" i="2" a="1"/>
  <c r="C226" i="2" a="1"/>
  <c r="C22" i="2" a="1"/>
  <c r="C465" i="2" a="1"/>
  <c r="C2321" i="2" a="1"/>
  <c r="C2264" i="2" a="1"/>
  <c r="C642" i="2" a="1"/>
  <c r="C1680" i="2" a="1"/>
  <c r="C421" i="2" a="1"/>
  <c r="C2260" i="2" a="1"/>
  <c r="C95" i="2" a="1"/>
  <c r="C938" i="2" a="1"/>
  <c r="C52" i="2" a="1"/>
  <c r="C1216" i="2" a="1"/>
  <c r="C1090" i="2" a="1"/>
  <c r="C1828" i="2" a="1"/>
  <c r="C350" i="2" a="1"/>
  <c r="C1929" i="2" a="1"/>
  <c r="C1027" i="2" a="1"/>
  <c r="C2257" i="2" a="1"/>
  <c r="C1230" i="2" a="1"/>
  <c r="C1768" i="2" a="1"/>
  <c r="C2308" i="2" a="1"/>
  <c r="C225" i="2" a="1"/>
  <c r="C2352" i="2" a="1"/>
  <c r="C402" i="2" a="1"/>
  <c r="C1345" i="2" a="1"/>
  <c r="C362" i="2" a="1"/>
  <c r="C718" i="2" a="1"/>
  <c r="C2267" i="2" a="1"/>
  <c r="C795" i="2" a="1"/>
  <c r="C179" i="2" a="1"/>
  <c r="C554" i="2" a="1"/>
  <c r="C2053" i="2" a="1"/>
  <c r="C445" i="2" a="1"/>
  <c r="C112" i="2" a="1"/>
  <c r="C1920" i="2" a="1"/>
  <c r="C879" i="2" a="1"/>
  <c r="C1953" i="2" a="1"/>
  <c r="C1821" i="2" a="1"/>
  <c r="C665" i="2" a="1"/>
  <c r="C2337" i="2" a="1"/>
  <c r="C1286" i="2" a="1"/>
  <c r="C416" i="2" a="1"/>
  <c r="C425" i="2" a="1"/>
  <c r="C347" i="2" a="1"/>
  <c r="C1041" i="2" a="1"/>
  <c r="C1922" i="2" a="1"/>
  <c r="C2271" i="2" a="1"/>
  <c r="C2307" i="2" a="1"/>
  <c r="C1690" i="2" a="1"/>
  <c r="C1682" i="2" a="1"/>
  <c r="C2282" i="2" a="1"/>
  <c r="C2023" i="2" a="1"/>
  <c r="C2361" i="2" a="1"/>
  <c r="C696" i="2" a="1"/>
  <c r="C2173" i="2" a="1"/>
  <c r="C2331" i="2" a="1"/>
  <c r="C623" i="2" a="1"/>
  <c r="C1979" i="2" a="1"/>
  <c r="C1148" i="2" a="1"/>
  <c r="C636" i="4" a="1"/>
  <c r="C2009" i="2" a="1"/>
  <c r="C1691" i="2" a="1"/>
  <c r="C206" i="2" a="1"/>
  <c r="C777" i="2" a="1"/>
  <c r="C1168" i="2" a="1"/>
  <c r="C69" i="4" a="1"/>
  <c r="C2210" i="2" a="1"/>
  <c r="C240" i="2" a="1"/>
  <c r="C338" i="2" a="1"/>
  <c r="C547" i="2" a="1"/>
  <c r="C42" i="2" a="1"/>
  <c r="C2049" i="4" a="1"/>
  <c r="C1620" i="2" a="1"/>
  <c r="C1413" i="2" a="1"/>
  <c r="C713" i="2" a="1"/>
  <c r="C767" i="4" a="1"/>
  <c r="C2041" i="2" a="1"/>
  <c r="C1219" i="4" a="1"/>
  <c r="C961" i="4" a="1"/>
  <c r="C227" i="4" a="1"/>
  <c r="C59" i="4" a="1"/>
  <c r="C1489" i="4" a="1"/>
  <c r="C1783" i="4" a="1"/>
  <c r="C1593" i="4" a="1"/>
  <c r="C1381" i="4" a="1"/>
  <c r="C2188" i="4" a="1"/>
  <c r="C657" i="4" a="1"/>
  <c r="C2298" i="4" a="1"/>
  <c r="C1664" i="2" a="1"/>
  <c r="C1326" i="2" a="1"/>
  <c r="C2132" i="2" a="1"/>
  <c r="C1222" i="2" a="1"/>
  <c r="C1218" i="2" a="1"/>
  <c r="C991" i="2" a="1"/>
  <c r="C2166" i="2" a="1"/>
  <c r="C1649" i="2" a="1"/>
  <c r="C1315" i="2" a="1"/>
  <c r="C1943" i="2" a="1"/>
  <c r="C138" i="2" a="1"/>
  <c r="C1740" i="2" a="1"/>
  <c r="C1275" i="2" a="1"/>
  <c r="C983" i="2" a="1"/>
  <c r="C942" i="2" a="1"/>
  <c r="C603" i="2" a="1"/>
  <c r="C236" i="2" a="1"/>
  <c r="C1339" i="2" a="1"/>
  <c r="C1406" i="2" a="1"/>
  <c r="C2240" i="2" a="1"/>
  <c r="C529" i="2" a="1"/>
  <c r="C1443" i="2" a="1"/>
  <c r="C117" i="2" a="1"/>
  <c r="C70" i="2" a="1"/>
  <c r="C454" i="2" a="1"/>
  <c r="C341" i="2" a="1"/>
  <c r="C2208" i="2" a="1"/>
  <c r="C2084" i="2" a="1"/>
  <c r="C560" i="2" a="1"/>
  <c r="C1318" i="2" a="1"/>
  <c r="C54" i="2" a="1"/>
  <c r="C1441" i="2" a="1"/>
  <c r="C1513" i="2" a="1"/>
  <c r="C883" i="2" a="1"/>
  <c r="C2058" i="2" a="1"/>
  <c r="C384" i="2" a="1"/>
  <c r="C73" i="2" a="1"/>
  <c r="C2254" i="2" a="1"/>
  <c r="C75" i="2" a="1"/>
  <c r="C456" i="2" a="1"/>
  <c r="C963" i="2" a="1"/>
  <c r="C1122" i="2" a="1"/>
  <c r="C1215" i="2" a="1"/>
  <c r="C2298" i="2" a="1"/>
  <c r="C1584" i="2" a="1"/>
  <c r="C689" i="2" a="1"/>
  <c r="C1363" i="2" a="1"/>
  <c r="C769" i="2" a="1"/>
  <c r="C2329" i="2" a="1"/>
  <c r="C2322" i="2" a="1"/>
  <c r="C2335" i="2" a="1"/>
  <c r="C1974" i="2" a="1"/>
  <c r="C297" i="2" a="1"/>
  <c r="C185" i="2" a="1"/>
  <c r="C403" i="2" a="1"/>
  <c r="C91" i="2" a="1"/>
  <c r="C386" i="2" a="1"/>
  <c r="C144" i="2" a="1"/>
  <c r="C28" i="2" a="1"/>
  <c r="C55" i="2" a="1"/>
  <c r="C1399" i="2" a="1"/>
  <c r="C2324" i="2" a="1"/>
  <c r="C822" i="2" a="1"/>
  <c r="C624" i="2" a="1"/>
  <c r="C1724" i="2" a="1"/>
  <c r="C1272" i="2" a="1"/>
  <c r="C169" i="2" a="1"/>
  <c r="C121" i="4" a="1"/>
  <c r="C1154" i="2" a="1"/>
  <c r="C675" i="2" a="1"/>
  <c r="C876" i="4" a="1"/>
  <c r="C792" i="4" a="1"/>
  <c r="C15" i="4" a="1"/>
  <c r="C2269" i="4" a="1"/>
  <c r="C1558" i="4" a="1"/>
  <c r="C2279" i="4" a="1"/>
  <c r="C2273" i="4" a="1"/>
  <c r="C2194" i="4" a="1"/>
  <c r="C1905" i="4" a="1"/>
  <c r="C991" i="4" a="1"/>
  <c r="C2174" i="4" a="1"/>
  <c r="C1150" i="2" a="1"/>
  <c r="C1848" i="2" a="1"/>
  <c r="C1892" i="2" a="1"/>
  <c r="C211" i="2" a="1"/>
  <c r="C978" i="2" a="1"/>
  <c r="C2044" i="2" a="1"/>
  <c r="C611" i="2" a="1"/>
  <c r="C1082" i="2" a="1"/>
  <c r="C1793" i="2" a="1"/>
  <c r="C288" i="2" a="1"/>
  <c r="C1225" i="2" a="1"/>
  <c r="C829" i="2" a="1"/>
  <c r="C1385" i="2" a="1"/>
  <c r="C1338" i="2" a="1"/>
  <c r="C1573" i="2" a="1"/>
  <c r="C363" i="2" a="1"/>
  <c r="C1351" i="2" a="1"/>
  <c r="C1527" i="2" a="1"/>
  <c r="C740" i="2" a="1"/>
  <c r="C2019" i="2" a="1"/>
  <c r="C1897" i="2" a="1"/>
  <c r="C201" i="2" a="1"/>
  <c r="C597" i="2" a="1"/>
  <c r="C1290" i="2" a="1"/>
  <c r="C924" i="2" a="1"/>
  <c r="C2158" i="2" a="1"/>
  <c r="C420" i="2" a="1"/>
  <c r="C1295" i="2" a="1"/>
  <c r="C1358" i="2" a="1"/>
  <c r="C480" i="2" a="1"/>
  <c r="C569" i="2" a="1"/>
  <c r="C2223" i="2" a="1"/>
  <c r="C1667" i="2" a="1"/>
  <c r="C1102" i="2" a="1"/>
  <c r="C340" i="2" a="1"/>
  <c r="C1860" i="2" a="1"/>
  <c r="C1214" i="2" a="1"/>
  <c r="C732" i="2" a="1"/>
  <c r="C184" i="2" a="1"/>
  <c r="C218" i="2" a="1"/>
  <c r="C2301" i="2" a="1"/>
  <c r="C162" i="2" a="1"/>
  <c r="C1957" i="2" a="1"/>
  <c r="C657" i="2" a="1"/>
  <c r="C122" i="2" a="1"/>
  <c r="C663" i="2" a="1"/>
  <c r="C376" i="2" a="1"/>
  <c r="C277" i="2" a="1"/>
  <c r="C2211" i="2" a="1"/>
  <c r="C313" i="2" a="1"/>
  <c r="C531" i="2" a="1"/>
  <c r="C2353" i="2" a="1"/>
  <c r="C2152" i="2" a="1"/>
  <c r="C423" i="2" a="1"/>
  <c r="C258" i="2" a="1"/>
  <c r="C1455" i="2" a="1"/>
  <c r="C914" i="2" a="1"/>
  <c r="C2159" i="2" a="1"/>
  <c r="C1746" i="2" a="1"/>
  <c r="C146" i="2" a="1"/>
  <c r="C158" i="2" a="1"/>
  <c r="C183" i="2" a="1"/>
  <c r="C1347" i="2" a="1"/>
  <c r="C1449" i="2" a="1"/>
  <c r="C1863" i="2" a="1"/>
  <c r="C2214" i="2" a="1"/>
  <c r="C1367" i="2" a="1"/>
  <c r="C205" i="2" a="1"/>
  <c r="C322" i="2" a="1"/>
  <c r="C1421" i="2" a="1"/>
  <c r="C2014" i="2" a="1"/>
  <c r="C2162" i="2" a="1"/>
  <c r="C1377" i="2" a="1"/>
  <c r="C366" i="2" a="1"/>
  <c r="C2068" i="2" a="1"/>
  <c r="C212" i="2" a="1"/>
  <c r="C2303" i="2" a="1"/>
  <c r="C1621" i="2" a="1"/>
  <c r="C2318" i="2" a="1"/>
  <c r="C1761" i="2" a="1"/>
  <c r="C1733" i="2" a="1"/>
  <c r="C33" i="2" a="1"/>
  <c r="C14" i="2" a="1"/>
  <c r="C966" i="2" a="1"/>
  <c r="C46" i="2" a="1"/>
  <c r="C2096" i="2" a="1"/>
  <c r="C807" i="2" a="1"/>
  <c r="C142" i="2" a="1"/>
  <c r="C62" i="2" a="1"/>
  <c r="C1675" i="2" a="1"/>
  <c r="C1393" i="2" a="1"/>
  <c r="C764" i="2" a="1"/>
  <c r="C2052" i="2" a="1"/>
  <c r="C133" i="2" a="1"/>
  <c r="C986" i="4" a="1"/>
  <c r="C504" i="4" a="1"/>
  <c r="C1965" i="2" a="1"/>
  <c r="C989" i="2" a="1"/>
  <c r="C1509" i="2" a="1"/>
  <c r="C1008" i="2" a="1"/>
  <c r="C147" i="4" a="1"/>
  <c r="C1109" i="2" a="1"/>
  <c r="C77" i="2" a="1"/>
  <c r="C2115" i="2" a="1"/>
  <c r="C1838" i="2" a="1"/>
  <c r="C761" i="2" a="1"/>
  <c r="C2272" i="2" a="1"/>
  <c r="C1479" i="2" a="1"/>
  <c r="C1655" i="2" a="1"/>
  <c r="C2220" i="2" a="1"/>
  <c r="C1307" i="2" a="1"/>
  <c r="C801" i="2" a="1"/>
  <c r="C922" i="4" a="1"/>
  <c r="C1957" i="4" a="1"/>
  <c r="C2007" i="4" a="1"/>
  <c r="C1052" i="4" a="1"/>
  <c r="C2239" i="4" a="1"/>
  <c r="C2027" i="4" a="1"/>
  <c r="C1858" i="4" a="1"/>
  <c r="C1923" i="4" a="1"/>
  <c r="C2016" i="4" a="1"/>
  <c r="C1026" i="4" a="1"/>
  <c r="C1076" i="2" a="1"/>
  <c r="C11" i="2" a="1"/>
  <c r="C110" i="2" a="1"/>
  <c r="C1652" i="2" a="1"/>
  <c r="C1659" i="2" a="1"/>
  <c r="C776" i="2" a="1"/>
  <c r="C1486" i="2" a="1"/>
  <c r="C1571" i="2" a="1"/>
  <c r="C1394" i="2" a="1"/>
  <c r="C1414" i="2" a="1"/>
  <c r="C1031" i="2" a="1"/>
  <c r="C397" i="2" a="1"/>
  <c r="C828" i="2" a="1"/>
  <c r="C927" i="2" a="1"/>
  <c r="C1160" i="2" a="1"/>
  <c r="C1354" i="2" a="1"/>
  <c r="C540" i="2" a="1"/>
  <c r="C1419" i="2" a="1"/>
  <c r="C751" i="2" a="1"/>
  <c r="C810" i="2" a="1"/>
  <c r="C399" i="2" a="1"/>
  <c r="C1335" i="2" a="1"/>
  <c r="C816" i="2" a="1"/>
  <c r="C1270" i="2" a="1"/>
  <c r="C794" i="2" a="1"/>
  <c r="C2232" i="2" a="1"/>
  <c r="C1466" i="2" a="1"/>
  <c r="C2036" i="2" a="1"/>
  <c r="C509" i="2" a="1"/>
  <c r="C925" i="2" a="1"/>
  <c r="C1165" i="2" a="1"/>
  <c r="C1859" i="2" a="1"/>
  <c r="C137" i="2" a="1"/>
  <c r="C1024" i="2" a="1"/>
  <c r="C1565" i="2" a="1"/>
  <c r="C1125" i="2" a="1"/>
  <c r="C1083" i="2" a="1"/>
  <c r="C492" i="2" a="1"/>
  <c r="C685" i="2" a="1"/>
  <c r="C877" i="2" a="1"/>
  <c r="C2357" i="2" a="1"/>
  <c r="C1158" i="2" a="1"/>
  <c r="C766" i="2" a="1"/>
  <c r="C1992" i="2" a="1"/>
  <c r="C993" i="2" a="1"/>
  <c r="C459" i="2" a="1"/>
  <c r="C252" i="2" a="1"/>
  <c r="C2332" i="2" a="1"/>
  <c r="C918" i="2" a="1"/>
  <c r="C688" i="2" a="1"/>
  <c r="C408" i="2" a="1"/>
  <c r="C911" i="2" a="1"/>
  <c r="C429" i="2" a="1"/>
  <c r="C692" i="2" a="1"/>
  <c r="C2281" i="2" a="1"/>
  <c r="C34" i="2" a="1"/>
  <c r="C18" i="2" a="1"/>
  <c r="C48" i="2" a="1"/>
  <c r="C1738" i="2" a="1"/>
  <c r="C1402" i="2" a="1"/>
  <c r="C452" i="2" a="1"/>
  <c r="C1679" i="2" a="1"/>
  <c r="C643" i="2" a="1"/>
  <c r="C2207" i="2" a="1"/>
  <c r="C2172" i="2" a="1"/>
  <c r="C2284" i="2" a="1"/>
  <c r="C374" i="2" a="1"/>
  <c r="C775" i="2" a="1"/>
  <c r="C981" i="2" a="1"/>
  <c r="C672" i="2" a="1"/>
  <c r="C622" i="2" a="1"/>
  <c r="C319" i="2" a="1"/>
  <c r="C496" i="2" a="1"/>
  <c r="C382" i="2" a="1"/>
  <c r="C1188" i="2" a="1"/>
  <c r="C1234" i="2" a="1"/>
  <c r="C712" i="2" a="1"/>
  <c r="C948" i="2" a="1"/>
  <c r="C1516" i="2" a="1"/>
  <c r="C1888" i="2" a="1"/>
  <c r="C2360" i="2" a="1"/>
  <c r="C460" i="2" a="1"/>
  <c r="C149" i="2" a="1"/>
  <c r="C1906" i="2" a="1"/>
  <c r="C2072" i="2" a="1"/>
  <c r="C915" i="4" a="1"/>
  <c r="C2317" i="4" a="1"/>
  <c r="C1924" i="4" a="1"/>
  <c r="C1288" i="4" a="1"/>
  <c r="C2184" i="4" a="1"/>
  <c r="C1619" i="4" a="1"/>
  <c r="C1591" i="4" a="1"/>
  <c r="C2022" i="4" a="1"/>
  <c r="C1872" i="4" a="1"/>
  <c r="C543" i="4" a="1"/>
  <c r="C709" i="2" a="1"/>
  <c r="C1744" i="2" a="1"/>
  <c r="C1561" i="2" a="1"/>
  <c r="C857" i="2" a="1"/>
  <c r="C446" i="2" a="1"/>
  <c r="C355" i="2" a="1"/>
  <c r="C2191" i="2" a="1"/>
  <c r="C1718" i="2" a="1"/>
  <c r="C1007" i="2" a="1"/>
  <c r="C1706" i="2" a="1"/>
  <c r="C1656" i="2" a="1"/>
  <c r="C1237" i="2" a="1"/>
  <c r="C1949" i="2" a="1"/>
  <c r="C1535" i="2" a="1"/>
  <c r="C228" i="2" a="1"/>
  <c r="C1546" i="2" a="1"/>
  <c r="C2081" i="2" a="1"/>
  <c r="C551" i="2" a="1"/>
  <c r="C1003" i="2" a="1"/>
  <c r="C536" i="2" a="1"/>
  <c r="C1912" i="2" a="1"/>
  <c r="C1790" i="2" a="1"/>
  <c r="C1672" i="2" a="1"/>
  <c r="C129" i="2" a="1"/>
  <c r="C539" i="2" a="1"/>
  <c r="C164" i="2" a="1"/>
  <c r="C82" i="2" a="1"/>
  <c r="C2231" i="2" a="1"/>
  <c r="C737" i="2" a="1"/>
  <c r="C53" i="2" a="1"/>
  <c r="C923" i="2" a="1"/>
  <c r="C281" i="2" a="1"/>
  <c r="C2309" i="2" a="1"/>
  <c r="C163" i="2" a="1"/>
  <c r="C1442" i="2" a="1"/>
  <c r="C659" i="2" a="1"/>
  <c r="C302" i="2" a="1"/>
  <c r="C2184" i="2" a="1"/>
  <c r="C1114" i="2" a="1"/>
  <c r="C192" i="2" a="1"/>
  <c r="C102" i="2" a="1"/>
  <c r="C1511" i="2" a="1"/>
  <c r="C216" i="2" a="1"/>
  <c r="C1507" i="2" a="1"/>
  <c r="C1254" i="2" a="1"/>
  <c r="C369" i="2" a="1"/>
  <c r="C686" i="2" a="1"/>
  <c r="C579" i="2" a="1"/>
  <c r="C919" i="2" a="1"/>
  <c r="C320" i="2" a="1"/>
  <c r="C373" i="2" a="1"/>
  <c r="C512" i="2" a="1"/>
  <c r="C834" i="4" a="1"/>
  <c r="C1065" i="2" a="1"/>
  <c r="C916" i="2" a="1"/>
  <c r="C1095" i="2" a="1"/>
  <c r="C1373" i="2" a="1"/>
  <c r="C695" i="2" a="1"/>
  <c r="C282" i="2" a="1"/>
  <c r="C561" i="4" a="1"/>
  <c r="C1239" i="2" a="1"/>
  <c r="C266" i="2" a="1"/>
  <c r="C1856" i="2" a="1"/>
  <c r="C2342" i="2" a="1"/>
  <c r="C911" i="4" a="1"/>
  <c r="C439" i="2" a="1"/>
  <c r="C1012" i="2" a="1"/>
  <c r="C1600" i="2" a="1"/>
  <c r="C419" i="2" a="1"/>
  <c r="C44" i="2" a="1"/>
  <c r="C667" i="4" a="1"/>
  <c r="C549" i="2" a="1"/>
  <c r="C690" i="2" a="1"/>
  <c r="C1623" i="2" a="1"/>
  <c r="C2171" i="2" a="1"/>
  <c r="C21" i="2" a="1"/>
  <c r="C199" i="2" a="1"/>
  <c r="C165" i="2" a="1"/>
  <c r="C518" i="2" a="1"/>
  <c r="C360" i="2" a="1"/>
  <c r="C2123" i="4" a="1"/>
  <c r="C2262" i="4" a="1"/>
  <c r="C1309" i="4" a="1"/>
  <c r="C1935" i="4" a="1"/>
  <c r="C1708" i="4" a="1"/>
  <c r="C1696" i="4" a="1"/>
  <c r="C1456" i="4" a="1"/>
  <c r="C1878" i="4" a="1"/>
  <c r="C1832" i="4" a="1"/>
  <c r="C142" i="4" a="1"/>
  <c r="C1440" i="2" a="1"/>
  <c r="C1213" i="2" a="1"/>
  <c r="C1257" i="2" a="1"/>
  <c r="C1235" i="2" a="1"/>
  <c r="C1760" i="2" a="1"/>
  <c r="C115" i="2" a="1"/>
  <c r="C1650" i="2" a="1"/>
  <c r="C1595" i="2" a="1"/>
  <c r="C2102" i="2" a="1"/>
  <c r="C961" i="2" a="1"/>
  <c r="C2209" i="2" a="1"/>
  <c r="C414" i="2" a="1"/>
  <c r="C1409" i="2" a="1"/>
  <c r="C1563" i="2" a="1"/>
  <c r="C2062" i="2" a="1"/>
  <c r="C1379" i="2" a="1"/>
  <c r="C1597" i="2" a="1"/>
  <c r="C836" i="2" a="1"/>
  <c r="C774" i="2" a="1"/>
  <c r="C2242" i="2" a="1"/>
  <c r="C1895" i="2" a="1"/>
  <c r="C912" i="2" a="1"/>
  <c r="C1260" i="2" a="1"/>
  <c r="C1940" i="2" a="1"/>
  <c r="C1984" i="4" a="1"/>
  <c r="C1909" i="4" a="1"/>
  <c r="C1242" i="4" a="1"/>
  <c r="C1880" i="4" a="1"/>
  <c r="C1713" i="4" a="1"/>
  <c r="C1752" i="4" a="1"/>
  <c r="C1693" i="4" a="1"/>
  <c r="C1726" i="4" a="1"/>
  <c r="C1220" i="4" a="1"/>
  <c r="C703" i="4" a="1"/>
  <c r="C1386" i="2" a="1"/>
  <c r="C221" i="2" a="1"/>
  <c r="C426" i="2" a="1"/>
  <c r="C610" i="2" a="1"/>
  <c r="C964" i="2" a="1"/>
  <c r="C1526" i="2" a="1"/>
  <c r="C1017" i="2" a="1"/>
  <c r="C1988" i="2" a="1"/>
  <c r="C1862" i="2" a="1"/>
  <c r="C2008" i="2" a="1"/>
  <c r="C1534" i="2" a="1"/>
  <c r="C1173" i="2" a="1"/>
  <c r="C2086" i="2" a="1"/>
  <c r="C381" i="2" a="1"/>
  <c r="C358" i="2" a="1"/>
  <c r="C1045" i="2" a="1"/>
  <c r="C646" i="2" a="1"/>
  <c r="C126" i="2" a="1"/>
  <c r="C1505" i="2" a="1"/>
  <c r="C1941" i="2" a="1"/>
  <c r="C1348" i="2" a="1"/>
  <c r="C1170" i="2" a="1"/>
  <c r="C1283" i="2" a="1"/>
  <c r="C881" i="2" a="1"/>
  <c r="C2002" i="2" a="1"/>
  <c r="C850" i="2" a="1"/>
  <c r="C1812" i="2" a="1"/>
  <c r="C491" i="2" a="1"/>
  <c r="C317" i="4" a="1"/>
  <c r="C363" i="4" a="1"/>
  <c r="C1089" i="4" a="1"/>
  <c r="C653" i="2" a="1"/>
  <c r="C1126" i="4" a="1"/>
  <c r="C624" i="4" a="1"/>
  <c r="C2050" i="4" a="1"/>
  <c r="C1605" i="4" a="1"/>
  <c r="C1635" i="4" a="1"/>
  <c r="C1417" i="4" a="1"/>
  <c r="C1436" i="4" a="1"/>
  <c r="C1414" i="4" a="1"/>
  <c r="C637" i="4" a="1"/>
  <c r="C688" i="4" a="1"/>
  <c r="C2128" i="2" a="1"/>
  <c r="C1061" i="2" a="1"/>
  <c r="C2070" i="2" a="1"/>
  <c r="C1174" i="2" a="1"/>
  <c r="C1936" i="2" a="1"/>
  <c r="C2151" i="2" a="1"/>
  <c r="C2120" i="2" a="1"/>
  <c r="C1939" i="2" a="1"/>
  <c r="C1622" i="2" a="1"/>
  <c r="C837" i="2" a="1"/>
  <c r="C2236" i="2" a="1"/>
  <c r="C1928" i="2" a="1"/>
  <c r="C1568" i="2" a="1"/>
  <c r="C1997" i="2" a="1"/>
  <c r="C2239" i="2" a="1"/>
  <c r="C1956" i="2" a="1"/>
  <c r="C1011" i="2" a="1"/>
  <c r="C808" i="2" a="1"/>
  <c r="C349" i="2" a="1"/>
  <c r="C1067" i="2" a="1"/>
  <c r="C1683" i="2" a="1"/>
  <c r="C1015" i="2" a="1"/>
  <c r="C2001" i="2" a="1"/>
  <c r="C190" i="2" a="1"/>
  <c r="C1136" i="2" a="1"/>
  <c r="C1093" i="2" a="1"/>
  <c r="C180" i="2" a="1"/>
  <c r="C1207" i="2" a="1"/>
  <c r="C474" i="2" a="1"/>
  <c r="C235" i="2" a="1"/>
  <c r="C1119" i="2" a="1"/>
  <c r="C1435" i="4" a="1"/>
  <c r="C847" i="4" a="1"/>
  <c r="C1879" i="4" a="1"/>
  <c r="C1576" i="4" a="1"/>
  <c r="C1427" i="4" a="1"/>
  <c r="C1513" i="4" a="1"/>
  <c r="C1496" i="4" a="1"/>
  <c r="C1240" i="4" a="1"/>
  <c r="C1032" i="4" a="1"/>
  <c r="C332" i="4" a="1"/>
  <c r="C1763" i="2" a="1"/>
  <c r="C2142" i="2" a="1"/>
  <c r="C1346" i="2" a="1"/>
  <c r="C1228" i="2" a="1"/>
  <c r="C1594" i="2" a="1"/>
  <c r="C1303" i="2" a="1"/>
  <c r="C1579" i="2" a="1"/>
  <c r="C922" i="2" a="1"/>
  <c r="C1276" i="2" a="1"/>
  <c r="C2087" i="2" a="1"/>
  <c r="C1451" i="2" a="1"/>
  <c r="C1497" i="2" a="1"/>
  <c r="C920" i="2" a="1"/>
  <c r="C470" i="2" a="1"/>
  <c r="C977" i="2" a="1"/>
  <c r="C1390" i="2" a="1"/>
  <c r="C1267" i="2" a="1"/>
  <c r="C1305" i="2" a="1"/>
  <c r="C1407" i="2" a="1"/>
  <c r="C29" i="2" a="1"/>
  <c r="C428" i="2" a="1"/>
  <c r="C209" i="2" a="1"/>
  <c r="C1748" i="2" a="1"/>
  <c r="C869" i="2" a="1"/>
  <c r="C2174" i="2" a="1"/>
  <c r="C678" i="2" a="1"/>
  <c r="C1749" i="2" a="1"/>
  <c r="C2121" i="2" a="1"/>
  <c r="C1908" i="2" a="1"/>
  <c r="C1846" i="2" a="1"/>
  <c r="C859" i="2" a="1"/>
  <c r="C1632" i="2" a="1"/>
  <c r="C1252" i="2" a="1"/>
  <c r="C1937" i="2" a="1"/>
  <c r="C875" i="4" a="1"/>
  <c r="C1415" i="4" a="1"/>
  <c r="C849" i="4" a="1"/>
  <c r="C1736" i="4" a="1"/>
  <c r="C1472" i="4" a="1"/>
  <c r="C1546" i="4" a="1"/>
  <c r="C1431" i="4" a="1"/>
  <c r="C1136" i="4" a="1"/>
  <c r="C617" i="4" a="1"/>
  <c r="C656" i="4" a="1"/>
  <c r="C2100" i="2" a="1"/>
  <c r="C1902" i="2" a="1"/>
  <c r="C1601" i="2" a="1"/>
  <c r="C988" i="2" a="1"/>
  <c r="C939" i="2" a="1"/>
  <c r="C1044" i="2" a="1"/>
  <c r="C1097" i="2" a="1"/>
  <c r="C1025" i="2" a="1"/>
  <c r="C1176" i="2" a="1"/>
  <c r="C1518" i="2" a="1"/>
  <c r="C264" i="2" a="1"/>
  <c r="C354" i="2" a="1"/>
  <c r="C2038" i="2" a="1"/>
  <c r="C1368" i="2" a="1"/>
  <c r="C1993" i="2" a="1"/>
  <c r="C716" i="2" a="1"/>
  <c r="C1755" i="2" a="1"/>
  <c r="C797" i="2" a="1"/>
  <c r="C1059" i="2" a="1"/>
  <c r="C2022" i="2" a="1"/>
  <c r="C1343" i="2" a="1"/>
  <c r="C1120" i="2" a="1"/>
  <c r="C2177" i="2" a="1"/>
  <c r="C59" i="2" a="1"/>
  <c r="C1111" i="2" a="1"/>
  <c r="C2148" i="2" a="1"/>
  <c r="C1187" i="2" a="1"/>
  <c r="C1734" i="2" a="1"/>
  <c r="C1319" i="2" a="1"/>
  <c r="C1891" i="2" a="1"/>
  <c r="C871" i="2" a="1"/>
  <c r="C1040" i="2" a="1"/>
  <c r="C1587" i="2" a="1"/>
  <c r="C432" i="2" a="1"/>
  <c r="C606" i="2" a="1"/>
  <c r="C1412" i="2" a="1"/>
  <c r="C617" i="2" a="1"/>
  <c r="C2165" i="2" a="1"/>
  <c r="C630" i="4" a="1"/>
  <c r="C1444" i="4" a="1"/>
  <c r="C577" i="4" a="1"/>
  <c r="C367" i="4" a="1"/>
  <c r="C1511" i="4" a="1"/>
  <c r="C555" i="4" a="1"/>
  <c r="C1376" i="4" a="1"/>
  <c r="C1003" i="4" a="1"/>
  <c r="C378" i="4" a="1"/>
  <c r="C26" i="4" a="1"/>
  <c r="C166" i="2" a="1"/>
  <c r="C1662" i="2" a="1"/>
  <c r="C1694" i="2" a="1"/>
  <c r="C693" i="2" a="1"/>
  <c r="C2146" i="2" a="1"/>
  <c r="C1764" i="2" a="1"/>
  <c r="C1405" i="2" a="1"/>
  <c r="C87" i="2" a="1"/>
  <c r="C527" i="2" a="1"/>
  <c r="C886" i="2" a="1"/>
  <c r="C1625" i="2" a="1"/>
  <c r="C1695" i="2" a="1"/>
  <c r="C1468" i="2" a="1"/>
  <c r="C2141" i="2" a="1"/>
  <c r="C1963" i="2" a="1"/>
  <c r="C2049" i="2" a="1"/>
  <c r="C2034" i="2" a="1"/>
  <c r="C191" i="2" a="1"/>
  <c r="C1893" i="2" a="1"/>
  <c r="C1782" i="2" a="1"/>
  <c r="C1586" i="2" a="1"/>
  <c r="C450" i="2" a="1"/>
  <c r="C980" i="2" a="1"/>
  <c r="C534" i="2" a="1"/>
  <c r="C528" i="2" a="1"/>
  <c r="C975" i="2" a="1"/>
  <c r="C1328" i="2" a="1"/>
  <c r="C1395" i="2" a="1"/>
  <c r="C219" i="2" a="1"/>
  <c r="C1397" i="4" a="1"/>
  <c r="C422" i="4" a="1"/>
  <c r="C717" i="4" a="1"/>
  <c r="C331" i="4" a="1"/>
  <c r="C601" i="4" a="1"/>
  <c r="C1249" i="4" a="1"/>
  <c r="C1232" i="4" a="1"/>
  <c r="C825" i="4" a="1"/>
  <c r="C694" i="4" a="1"/>
  <c r="C162" i="4" a="1"/>
  <c r="C1606" i="2" a="1"/>
  <c r="C1422" i="2" a="1"/>
  <c r="C517" i="2" a="1"/>
  <c r="C453" i="2" a="1"/>
  <c r="C1628" i="2" a="1"/>
  <c r="C1837" i="2" a="1"/>
  <c r="C1021" i="2" a="1"/>
  <c r="C1823" i="2" a="1"/>
  <c r="C2150" i="2" a="1"/>
  <c r="C2167" i="2" a="1"/>
  <c r="C140" i="2" a="1"/>
  <c r="C1341" i="2" a="1"/>
  <c r="C1016" i="2" a="1"/>
  <c r="C838" i="2" a="1"/>
  <c r="C1784" i="2" a="1"/>
  <c r="C851" i="2" a="1"/>
  <c r="C1934" i="2" a="1"/>
  <c r="C1792" i="2" a="1"/>
  <c r="C1583" i="2" a="1"/>
  <c r="C1542" i="2" a="1"/>
  <c r="C1026" i="2" a="1"/>
  <c r="C976" i="2" a="1"/>
  <c r="C1986" i="2" a="1"/>
  <c r="C176" i="2" a="1"/>
  <c r="C2125" i="2" a="1"/>
  <c r="C2083" i="2" a="1"/>
  <c r="C1886" i="2" a="1"/>
  <c r="C1162" i="2" a="1"/>
  <c r="C10" i="2" a="1"/>
  <c r="C2047" i="2" a="1"/>
  <c r="C167" i="2" a="1"/>
  <c r="C1070" i="2" a="1"/>
  <c r="C594" i="2" a="1"/>
  <c r="C1378" i="2" a="1"/>
  <c r="C1865" i="2" a="1"/>
  <c r="C127" i="2" a="1"/>
  <c r="C1477" i="2" a="1"/>
  <c r="C1388" i="2" a="1"/>
  <c r="C472" i="2" a="1"/>
  <c r="C576" i="2" a="1"/>
  <c r="C2364" i="2" a="1"/>
  <c r="C412" i="2" a="1"/>
  <c r="C2299" i="2" a="1"/>
  <c r="C1776" i="2" a="1"/>
  <c r="C406" i="2" a="1"/>
  <c r="C2327" i="2" a="1"/>
  <c r="C731" i="2" a="1"/>
  <c r="C2287" i="2" a="1"/>
  <c r="C383" i="2" a="1"/>
  <c r="C261" i="2" a="1"/>
  <c r="C894" i="4" a="1"/>
  <c r="C299" i="2" a="1"/>
  <c r="C2018" i="2" a="1"/>
  <c r="C2000" i="2" a="1"/>
  <c r="C1975" i="2" a="1"/>
  <c r="C2261" i="2" a="1"/>
  <c r="C782" i="4" a="1"/>
  <c r="C754" i="2" a="1"/>
  <c r="C1484" i="2" a="1"/>
  <c r="C475" i="2" a="1"/>
  <c r="C434" i="2" a="1"/>
  <c r="C2126" i="2" a="1"/>
  <c r="C789" i="4" a="1"/>
  <c r="C1502" i="4" a="1"/>
  <c r="C1809" i="2" a="1"/>
  <c r="C1806" i="2" a="1"/>
  <c r="C1797" i="2" a="1"/>
  <c r="C558" i="2" a="1"/>
  <c r="C596" i="2" a="1"/>
  <c r="C702" i="2" a="1"/>
  <c r="C332" i="2" a="1"/>
  <c r="C2366" i="2" a="1"/>
  <c r="C2340" i="4" a="1"/>
  <c r="C615" i="2" a="1"/>
  <c r="C2092" i="2" a="1"/>
  <c r="C1081" i="2" a="1"/>
  <c r="C2154" i="2" a="1"/>
  <c r="C1781" i="2" a="1"/>
  <c r="C831" i="2" a="1"/>
  <c r="C92" i="2" a="1"/>
  <c r="C1466" i="4" a="1"/>
  <c r="C1355" i="4" a="1"/>
  <c r="C104" i="4" a="1"/>
  <c r="C216" i="4" a="1"/>
  <c r="C1255" i="4" a="1"/>
  <c r="C906" i="4" a="1"/>
  <c r="C1044" i="4" a="1"/>
  <c r="C655" i="4" a="1"/>
  <c r="C32" i="4" a="1"/>
  <c r="C693" i="4" a="1"/>
  <c r="C1287" i="2" a="1"/>
  <c r="C1271" i="2" a="1"/>
  <c r="C1575" i="2" a="1"/>
  <c r="C213" i="2" a="1"/>
  <c r="C1116" i="2" a="1"/>
  <c r="C1616" i="2" a="1"/>
  <c r="C271" i="2" a="1"/>
  <c r="C880" i="2" a="1"/>
  <c r="C933" i="2" a="1"/>
  <c r="C1626" i="2" a="1"/>
  <c r="C1775" i="2" a="1"/>
  <c r="C1464" i="2" a="1"/>
  <c r="C1349" i="2" a="1"/>
  <c r="C1135" i="2" a="1"/>
  <c r="C2075" i="2" a="1"/>
  <c r="C210" i="2" a="1"/>
  <c r="C1428" i="2" a="1"/>
  <c r="C1552" i="2" a="1"/>
  <c r="C1611" i="2" a="1"/>
  <c r="C487" i="2" a="1"/>
  <c r="C1022" i="2" a="1"/>
  <c r="C548" i="2" a="1"/>
  <c r="C2235" i="2" a="1"/>
  <c r="C260" i="2" a="1"/>
  <c r="C57" i="2" a="1"/>
  <c r="C1788" i="2" a="1"/>
  <c r="C1376" i="2" a="1"/>
  <c r="C957" i="2" a="1"/>
  <c r="C885" i="2" a="1"/>
  <c r="C1014" i="2" a="1"/>
  <c r="C1498" i="2" a="1"/>
  <c r="C178" i="2" a="1"/>
  <c r="C1978" i="2" a="1"/>
  <c r="C826" i="2" a="1"/>
  <c r="C468" i="2" a="1"/>
  <c r="C674" i="2" a="1"/>
  <c r="C1839" i="2" a="1"/>
  <c r="C1233" i="2" a="1"/>
  <c r="C232" i="2" a="1"/>
  <c r="C231" i="2" a="1"/>
  <c r="C2362" i="2" a="1"/>
  <c r="C172" i="2" a="1"/>
  <c r="C2312" i="2" a="1"/>
  <c r="C1918" i="2" a="1"/>
  <c r="C1248" i="2" a="1"/>
  <c r="C2325" i="2" a="1"/>
  <c r="C389" i="2" a="1"/>
  <c r="C290" i="2" a="1"/>
  <c r="C143" i="2" a="1"/>
  <c r="C239" i="2" a="1"/>
  <c r="C2048" i="2" a="1"/>
  <c r="C2007" i="2" a="1"/>
  <c r="C2127" i="2" a="1"/>
  <c r="C1588" i="2" a="1"/>
  <c r="C280" i="2" a="1"/>
  <c r="C1544" i="2" a="1"/>
  <c r="C752" i="2" a="1"/>
  <c r="C220" i="4" a="1"/>
  <c r="C644" i="2" a="1"/>
  <c r="C863" i="2" a="1"/>
  <c r="C1121" i="2" a="1"/>
  <c r="C715" i="2" a="1"/>
  <c r="C1177" i="2" a="1"/>
  <c r="C2293" i="2" a="1"/>
  <c r="C4" i="4" a="1"/>
  <c r="C1332" i="2" a="1"/>
  <c r="C1183" i="2" a="1"/>
  <c r="C2107" i="2" a="1"/>
  <c r="C104" i="2" a="1"/>
  <c r="C763" i="4" a="1"/>
  <c r="C1057" i="2" a="1"/>
  <c r="C161" i="2" a="1"/>
  <c r="C217" i="2" a="1"/>
  <c r="C1331" i="2" a="1"/>
  <c r="C1608" i="2" a="1"/>
  <c r="C1610" i="4" a="1"/>
  <c r="C487" i="4" a="1"/>
  <c r="C952" i="2" a="1"/>
  <c r="C2136" i="2" a="1"/>
  <c r="C2180" i="2" a="1"/>
  <c r="C725" i="2" a="1"/>
  <c r="C550" i="2" a="1"/>
  <c r="C1959" i="2" a="1"/>
  <c r="C462" i="2" a="1"/>
  <c r="C1004" i="2" a="1"/>
  <c r="C32" i="2" a="1"/>
  <c r="C1965" i="4" a="1"/>
  <c r="C2283" i="4" a="1"/>
  <c r="C2139" i="4" a="1"/>
  <c r="C2118" i="4" a="1"/>
  <c r="C2300" i="4" a="1"/>
  <c r="C2156" i="4" a="1"/>
  <c r="C2124" i="4" a="1"/>
  <c r="C2335" i="4" a="1"/>
  <c r="C2191" i="4" a="1"/>
  <c r="C1928" i="4" a="1"/>
  <c r="C2094" i="4" a="1"/>
  <c r="C2280" i="4" a="1"/>
  <c r="C2136" i="4" a="1"/>
  <c r="C1717" i="4" a="1"/>
  <c r="C1977" i="4" a="1"/>
  <c r="C2237" i="4" a="1"/>
  <c r="C2044" i="4" a="1"/>
  <c r="C1959" i="4" a="1"/>
  <c r="C2308" i="4" a="1"/>
  <c r="C2164" i="4" a="1"/>
  <c r="C2059" i="4" a="1"/>
  <c r="C1699" i="4" a="1"/>
  <c r="C1757" i="4" a="1"/>
  <c r="C1645" i="4" a="1"/>
  <c r="C1927" i="4" a="1"/>
  <c r="C1679" i="4" a="1"/>
  <c r="C1788" i="4" a="1"/>
  <c r="C1992" i="4" a="1"/>
  <c r="C1669" i="4" a="1"/>
  <c r="C1651" i="4" a="1"/>
  <c r="C1596" i="4" a="1"/>
  <c r="C1575" i="4" a="1"/>
  <c r="C1263" i="4" a="1"/>
  <c r="C1281" i="4" a="1"/>
  <c r="C1347" i="4" a="1"/>
  <c r="C690" i="4" a="1"/>
  <c r="C1648" i="4" a="1"/>
  <c r="C1411" i="4" a="1"/>
  <c r="C1484" i="4" a="1"/>
  <c r="C1808" i="4" a="1"/>
  <c r="C1664" i="4" a="1"/>
  <c r="C1210" i="4" a="1"/>
  <c r="C842" i="4" a="1"/>
  <c r="C1340" i="4" a="1"/>
  <c r="C1196" i="4" a="1"/>
  <c r="C1351" i="4" a="1"/>
  <c r="C1207" i="4" a="1"/>
  <c r="C752" i="4" a="1"/>
  <c r="C1428" i="4" a="1"/>
  <c r="C1284" i="4" a="1"/>
  <c r="C338" i="4" a="1"/>
  <c r="C1379" i="4" a="1"/>
  <c r="C1235" i="4" a="1"/>
  <c r="C597" i="4" a="1"/>
  <c r="C973" i="4" a="1"/>
  <c r="C699" i="4" a="1"/>
  <c r="C547" i="4" a="1"/>
  <c r="C1008" i="4" a="1"/>
  <c r="C824" i="4" a="1"/>
  <c r="C1157" i="4" a="1"/>
  <c r="C1013" i="4" a="1"/>
  <c r="C853" i="4" a="1"/>
  <c r="C1054" i="4" a="1"/>
  <c r="C910" i="4" a="1"/>
  <c r="C511" i="4" a="1"/>
  <c r="C627" i="4" a="1"/>
  <c r="C1047" i="4" a="1"/>
  <c r="C903" i="4" a="1"/>
  <c r="C391" i="4" a="1"/>
  <c r="C379" i="4" a="1"/>
  <c r="C737" i="4" a="1"/>
  <c r="C593" i="4" a="1"/>
  <c r="C460" i="4" a="1"/>
  <c r="C253" i="4" a="1"/>
  <c r="C670" i="4" a="1"/>
  <c r="C526" i="4" a="1"/>
  <c r="C396" i="4" a="1"/>
  <c r="C456" i="4" a="1"/>
  <c r="C638" i="4" a="1"/>
  <c r="C434" i="4" a="1"/>
  <c r="C152" i="4" a="1"/>
  <c r="C8" i="4" a="1"/>
  <c r="C97" i="4" a="1"/>
  <c r="C288" i="4" a="1"/>
  <c r="C144" i="4" a="1"/>
  <c r="C263" i="4" a="1"/>
  <c r="C119" i="4" a="1"/>
  <c r="C268" i="4" a="1"/>
  <c r="C124" i="4" a="1"/>
  <c r="C483" i="4" a="1"/>
  <c r="C339" i="4" a="1"/>
  <c r="C195" i="4" a="1"/>
  <c r="C51" i="4" a="1"/>
  <c r="C1127" i="2" a="1"/>
  <c r="C1186" i="2" a="1"/>
  <c r="C1481" i="2" a="1"/>
  <c r="C1357" i="2" a="1"/>
  <c r="C1211" i="2" a="1"/>
  <c r="C285" i="2" a="1"/>
  <c r="C2222" i="4" a="1"/>
  <c r="C1104" i="2" a="1"/>
  <c r="C1898" i="2" a="1"/>
  <c r="C1054" i="2" a="1"/>
  <c r="C2212" i="2" a="1"/>
  <c r="C2311" i="2" a="1"/>
  <c r="C1146" i="4" a="1"/>
  <c r="C2259" i="2" a="1"/>
  <c r="C1635" i="2" a="1"/>
  <c r="C1521" i="2" a="1"/>
  <c r="C1942" i="2" a="1"/>
  <c r="C1577" i="2" a="1"/>
  <c r="C1323" i="4" a="1"/>
  <c r="C19" i="2" a="1"/>
  <c r="C1599" i="2" a="1"/>
  <c r="C864" i="2" a="1"/>
  <c r="C868" i="2" a="1"/>
  <c r="C894" i="2" a="1"/>
  <c r="C405" i="2" a="1"/>
  <c r="C204" i="2" a="1"/>
  <c r="C704" i="2" a="1"/>
  <c r="C843" i="4" a="1"/>
  <c r="C1536" i="2" a="1"/>
  <c r="C538" i="2" a="1"/>
  <c r="C274" i="2" a="1"/>
  <c r="C563" i="2" a="1"/>
  <c r="C1194" i="2" a="1"/>
  <c r="C1741" i="2" a="1"/>
  <c r="C473" i="2" a="1"/>
  <c r="C61" i="2" a="1"/>
  <c r="C1900" i="2" a="1"/>
  <c r="C1666" i="2" a="1"/>
  <c r="C1835" i="2" a="1"/>
  <c r="C817" i="2" a="1"/>
  <c r="C1074" i="2" a="1"/>
  <c r="C207" i="2" a="1"/>
  <c r="C650" i="2" a="1"/>
  <c r="C1916" i="2" a="1"/>
  <c r="C1459" i="2" a="1"/>
  <c r="C2246" i="2" a="1"/>
  <c r="C1976" i="2" a="1"/>
  <c r="C379" i="2" a="1"/>
  <c r="C151" i="2" a="1"/>
  <c r="C1559" i="2" a="1"/>
  <c r="C799" i="2" a="1"/>
  <c r="C1087" i="2" a="1"/>
  <c r="C1673" i="2" a="1"/>
  <c r="C757" i="2" a="1"/>
  <c r="C1156" i="2" a="1"/>
  <c r="C2005" i="2" a="1"/>
  <c r="C1445" i="2" a="1"/>
  <c r="C873" i="2" a="1"/>
  <c r="C887" i="2" a="1"/>
  <c r="C2050" i="2" a="1"/>
  <c r="C1404" i="2" a="1"/>
  <c r="C738" i="2" a="1"/>
  <c r="C1146" i="2" a="1"/>
  <c r="C544" i="2" a="1"/>
  <c r="C1071" i="2" a="1"/>
  <c r="C326" i="2" a="1"/>
  <c r="C997" i="2" a="1"/>
  <c r="C238" i="2" a="1"/>
  <c r="C908" i="2" a="1"/>
  <c r="C676" i="2" a="1"/>
  <c r="C331" i="2" a="1"/>
  <c r="C765" i="2" a="1"/>
  <c r="C45" i="2" a="1"/>
  <c r="C4" i="2" a="1"/>
  <c r="C613" i="2" a="1"/>
  <c r="C2356" i="2" a="1"/>
  <c r="C2330" i="2" a="1"/>
  <c r="C2294" i="2" a="1"/>
  <c r="C2289" i="2" a="1"/>
  <c r="P1199" i="5" l="1"/>
  <c r="P1536" i="5"/>
  <c r="P1679" i="5"/>
  <c r="P1763" i="5"/>
  <c r="P1774" i="5"/>
  <c r="P1335" i="5"/>
  <c r="P1924" i="5"/>
  <c r="P1992" i="5"/>
  <c r="P1070" i="5"/>
  <c r="P1936" i="5"/>
  <c r="P1986" i="5"/>
  <c r="P1383" i="5"/>
  <c r="P1370" i="5"/>
  <c r="P50" i="5"/>
  <c r="P1209" i="5"/>
  <c r="P1628" i="5"/>
  <c r="P1178" i="5"/>
  <c r="P659" i="5"/>
  <c r="P495" i="5"/>
  <c r="P1242" i="5"/>
  <c r="P1187" i="5"/>
  <c r="P448" i="5"/>
  <c r="P980" i="5"/>
  <c r="P15" i="5"/>
  <c r="P318" i="5"/>
  <c r="P720" i="5"/>
  <c r="P197" i="5"/>
  <c r="P290" i="5"/>
  <c r="P1690" i="5"/>
  <c r="P895" i="5"/>
  <c r="P1186" i="5"/>
  <c r="P1233" i="5"/>
  <c r="P1260" i="5"/>
  <c r="P1548" i="5"/>
  <c r="P1579" i="5"/>
  <c r="P884" i="5"/>
  <c r="P1198" i="5"/>
  <c r="P919" i="5"/>
  <c r="P981" i="5"/>
  <c r="P930" i="5"/>
  <c r="P1235" i="5"/>
  <c r="P1603" i="5"/>
  <c r="P1799" i="5"/>
  <c r="P1915" i="5"/>
  <c r="P306" i="5"/>
  <c r="P1247" i="5"/>
  <c r="P1944" i="5"/>
  <c r="P1271" i="5"/>
  <c r="P1888" i="5"/>
  <c r="P1029" i="5"/>
  <c r="P1283" i="5"/>
  <c r="P1258" i="5"/>
  <c r="P1322" i="5"/>
  <c r="P1568" i="5"/>
  <c r="P1651" i="5"/>
  <c r="P1334" i="5"/>
  <c r="P1604" i="5"/>
  <c r="P1593" i="5"/>
  <c r="P73" i="5"/>
  <c r="P1407" i="5"/>
  <c r="P1713" i="5"/>
  <c r="P532" i="5"/>
  <c r="P1419" i="5"/>
  <c r="P882" i="5"/>
  <c r="P1156" i="5"/>
  <c r="P1299" i="5"/>
  <c r="P1838" i="5"/>
  <c r="P1583" i="5"/>
  <c r="P62" i="5"/>
  <c r="P620" i="5"/>
  <c r="P734" i="5"/>
  <c r="P1607" i="5"/>
  <c r="P1105" i="5"/>
  <c r="P1511" i="5"/>
  <c r="P1678" i="5"/>
  <c r="P1935" i="5"/>
  <c r="P1097" i="5"/>
  <c r="P1727" i="5"/>
  <c r="P1512" i="5"/>
  <c r="P1266" i="5"/>
  <c r="P1524" i="5"/>
  <c r="P1667" i="5"/>
  <c r="P859" i="5"/>
  <c r="P732" i="5"/>
  <c r="P1005" i="5"/>
  <c r="P673" i="5"/>
  <c r="P846" i="5"/>
  <c r="P592" i="5"/>
  <c r="P770" i="5"/>
  <c r="P1069" i="5"/>
  <c r="P522" i="5"/>
  <c r="P1218" i="5"/>
  <c r="P668" i="5"/>
  <c r="P166" i="5"/>
  <c r="P284" i="5"/>
  <c r="P314" i="5"/>
  <c r="P317" i="5"/>
  <c r="P646" i="5"/>
  <c r="P1168" i="5"/>
  <c r="P1248" i="5"/>
  <c r="P1296" i="5"/>
  <c r="P1963" i="5"/>
  <c r="P332" i="5"/>
  <c r="P1008" i="5"/>
  <c r="P86" i="5"/>
  <c r="P209" i="5"/>
  <c r="P1042" i="5"/>
  <c r="P220" i="5"/>
  <c r="P1270" i="5"/>
  <c r="P49" i="5"/>
  <c r="P310" i="5"/>
  <c r="P757" i="5"/>
  <c r="B19" i="6"/>
  <c r="P305" i="5"/>
  <c r="P908" i="5"/>
  <c r="P995" i="5"/>
  <c r="P1987" i="5"/>
  <c r="P1181" i="5"/>
  <c r="P1726" i="5"/>
  <c r="P1718" i="5"/>
  <c r="P1655" i="5"/>
  <c r="P1801" i="5"/>
  <c r="P1879" i="5"/>
  <c r="P939" i="5"/>
  <c r="P1549" i="5"/>
  <c r="P1908" i="5"/>
  <c r="P993" i="5"/>
  <c r="P944" i="5"/>
  <c r="P1246" i="5"/>
  <c r="P1310" i="5"/>
  <c r="P1835" i="5"/>
  <c r="P697" i="5"/>
  <c r="P567" i="5"/>
  <c r="P709" i="5"/>
  <c r="P1058" i="5"/>
  <c r="P1282" i="5"/>
  <c r="P1396" i="5"/>
  <c r="P1675" i="5"/>
  <c r="P1868" i="5"/>
  <c r="P75" i="5"/>
  <c r="P98" i="5"/>
  <c r="P1185" i="5"/>
  <c r="P733" i="5"/>
  <c r="P870" i="5"/>
  <c r="P1082" i="5"/>
  <c r="P463" i="5"/>
  <c r="P745" i="5"/>
  <c r="P1433" i="5"/>
  <c r="P1802" i="5"/>
  <c r="P1106" i="5"/>
  <c r="P1394" i="5"/>
  <c r="P1408" i="5"/>
  <c r="P85" i="5"/>
  <c r="P1451" i="5"/>
  <c r="P1130" i="5"/>
  <c r="P1571" i="5"/>
  <c r="P1475" i="5"/>
  <c r="P485" i="5"/>
  <c r="P647" i="5"/>
  <c r="P1619" i="5"/>
  <c r="P1666" i="5"/>
  <c r="P299" i="5"/>
  <c r="P425" i="5"/>
  <c r="P483" i="5"/>
  <c r="P1269" i="5"/>
  <c r="P1500" i="5"/>
  <c r="P1643" i="5"/>
  <c r="P1590" i="5"/>
  <c r="P1911" i="5"/>
  <c r="P307" i="5"/>
  <c r="P657" i="5"/>
  <c r="P1687" i="5"/>
  <c r="P1814" i="5"/>
  <c r="P121" i="5"/>
  <c r="P320" i="5"/>
  <c r="P488" i="5"/>
  <c r="P636" i="5"/>
  <c r="P696" i="5"/>
  <c r="P648" i="5"/>
  <c r="P1920" i="5"/>
  <c r="P1811" i="5"/>
  <c r="P1385" i="5"/>
  <c r="P1939" i="5"/>
  <c r="P1900" i="5"/>
  <c r="P1859" i="5"/>
  <c r="P1348" i="5"/>
  <c r="P496" i="5"/>
  <c r="P1948" i="5"/>
  <c r="P26" i="5"/>
  <c r="P534" i="5"/>
  <c r="P1452" i="5"/>
  <c r="P1325" i="5"/>
  <c r="P1566" i="5"/>
  <c r="P1739" i="5"/>
  <c r="P543" i="5"/>
  <c r="P80" i="5"/>
  <c r="P294" i="5"/>
  <c r="P535" i="5"/>
  <c r="P726" i="5"/>
  <c r="P771" i="5"/>
  <c r="P710" i="5"/>
  <c r="P1279" i="5"/>
  <c r="P1686" i="5"/>
  <c r="P756" i="5"/>
  <c r="P1121" i="5"/>
  <c r="P807" i="5"/>
  <c r="P39" i="5"/>
  <c r="P1968" i="5"/>
  <c r="P13" i="5"/>
  <c r="P131" i="5"/>
  <c r="P1041" i="5"/>
  <c r="P1295" i="5"/>
  <c r="P1912" i="5"/>
  <c r="P143" i="5"/>
  <c r="P262" i="5"/>
  <c r="P744" i="5"/>
  <c r="P1359" i="5"/>
  <c r="P1321" i="5"/>
  <c r="P1371" i="5"/>
  <c r="P87" i="5"/>
  <c r="P167" i="5"/>
  <c r="P356" i="5"/>
  <c r="P1503" i="5"/>
  <c r="P99" i="5"/>
  <c r="P61" i="5"/>
  <c r="P175" i="5"/>
  <c r="P321" i="5"/>
  <c r="P487" i="5"/>
  <c r="P1395" i="5"/>
  <c r="P1606" i="5"/>
  <c r="P1738" i="5"/>
  <c r="P1463" i="5"/>
  <c r="P972" i="5"/>
  <c r="P1440" i="5"/>
  <c r="P1057" i="5"/>
  <c r="P1081" i="5"/>
  <c r="P34" i="5"/>
  <c r="P55" i="5"/>
  <c r="P18" i="5"/>
  <c r="P129" i="5"/>
  <c r="P353" i="5"/>
  <c r="P338" i="5"/>
  <c r="P434" i="5"/>
  <c r="P421" i="5"/>
  <c r="P1631" i="5"/>
  <c r="P1570" i="5"/>
  <c r="P437" i="5"/>
  <c r="P735" i="5"/>
  <c r="P896" i="5"/>
  <c r="P1653" i="5"/>
  <c r="P142" i="5"/>
  <c r="P1284" i="5"/>
  <c r="P1547" i="5"/>
  <c r="P1397" i="5"/>
  <c r="P1551" i="5"/>
  <c r="P154" i="5"/>
  <c r="P272" i="5"/>
  <c r="P1751" i="5"/>
  <c r="P1753" i="5"/>
  <c r="P1373" i="5"/>
  <c r="P1558" i="5"/>
  <c r="P472" i="5"/>
  <c r="P426" i="5"/>
  <c r="P1259" i="5"/>
  <c r="P1762" i="5"/>
  <c r="P910" i="5"/>
  <c r="P1580" i="5"/>
  <c r="P1663" i="5"/>
  <c r="P215" i="5"/>
  <c r="P1346" i="5"/>
  <c r="P1273" i="5"/>
  <c r="P1592" i="5"/>
  <c r="P1702" i="5"/>
  <c r="P37" i="5"/>
  <c r="P274" i="5"/>
  <c r="P1420" i="5"/>
  <c r="P1616" i="5"/>
  <c r="P508" i="5"/>
  <c r="P1094" i="5"/>
  <c r="P1979" i="5"/>
  <c r="P544" i="5"/>
  <c r="P885" i="5"/>
  <c r="P1085" i="5"/>
  <c r="P1418" i="5"/>
  <c r="P1688" i="5"/>
  <c r="P2000" i="5"/>
  <c r="P239" i="5"/>
  <c r="P236" i="5"/>
  <c r="P343" i="5"/>
  <c r="P491" i="5"/>
  <c r="P455" i="5"/>
  <c r="P627" i="5"/>
  <c r="P978" i="5"/>
  <c r="P1162" i="5"/>
  <c r="P1430" i="5"/>
  <c r="P1581" i="5"/>
  <c r="P1093" i="5"/>
  <c r="P632" i="5"/>
  <c r="P266" i="5"/>
  <c r="P379" i="5"/>
  <c r="P408" i="5"/>
  <c r="P381" i="5"/>
  <c r="P527" i="5"/>
  <c r="P644" i="5"/>
  <c r="P755" i="5"/>
  <c r="P674" i="5"/>
  <c r="P1003" i="5"/>
  <c r="P1014" i="5"/>
  <c r="P888" i="5"/>
  <c r="P1128" i="5"/>
  <c r="P918" i="5"/>
  <c r="P1076" i="5"/>
  <c r="P1063" i="5"/>
  <c r="P1161" i="5"/>
  <c r="P1183" i="5"/>
  <c r="P118" i="5"/>
  <c r="P104" i="5"/>
  <c r="P134" i="5"/>
  <c r="P41" i="5"/>
  <c r="P135" i="5"/>
  <c r="P189" i="5"/>
  <c r="P241" i="5"/>
  <c r="P278" i="5"/>
  <c r="P391" i="5"/>
  <c r="P420" i="5"/>
  <c r="P348" i="5"/>
  <c r="P384" i="5"/>
  <c r="P387" i="5"/>
  <c r="P539" i="5"/>
  <c r="P601" i="5"/>
  <c r="P451" i="5"/>
  <c r="P554" i="5"/>
  <c r="P651" i="5"/>
  <c r="P598" i="5"/>
  <c r="P747" i="5"/>
  <c r="P879" i="5"/>
  <c r="P823" i="5"/>
  <c r="P1015" i="5"/>
  <c r="P1026" i="5"/>
  <c r="P914" i="5"/>
  <c r="P826" i="5"/>
  <c r="P890" i="5"/>
  <c r="P1140" i="5"/>
  <c r="P934" i="5"/>
  <c r="P1075" i="5"/>
  <c r="P1192" i="5"/>
  <c r="P1133" i="5"/>
  <c r="P1226" i="5"/>
  <c r="P1110" i="5"/>
  <c r="P1096" i="5"/>
  <c r="P1153" i="5"/>
  <c r="P1368" i="5"/>
  <c r="P1391" i="5"/>
  <c r="P1366" i="5"/>
  <c r="P1315" i="5"/>
  <c r="P1462" i="5"/>
  <c r="P1473" i="5"/>
  <c r="P1472" i="5"/>
  <c r="P1454" i="5"/>
  <c r="P1540" i="5"/>
  <c r="P1409" i="5"/>
  <c r="P1538" i="5"/>
  <c r="P1436" i="5"/>
  <c r="P1445" i="5"/>
  <c r="P1659" i="5"/>
  <c r="P1504" i="5"/>
  <c r="P1479" i="5"/>
  <c r="P1746" i="5"/>
  <c r="P1605" i="5"/>
  <c r="P1839" i="5"/>
  <c r="P1756" i="5"/>
  <c r="P8" i="5"/>
  <c r="P130" i="5"/>
  <c r="P443" i="5"/>
  <c r="P847" i="5"/>
  <c r="P582" i="5"/>
  <c r="P1614" i="5"/>
  <c r="P97" i="5"/>
  <c r="P283" i="5"/>
  <c r="P257" i="5"/>
  <c r="P427" i="5"/>
  <c r="P1230" i="5"/>
  <c r="P450" i="5"/>
  <c r="P883" i="5"/>
  <c r="P922" i="5"/>
  <c r="P1211" i="5"/>
  <c r="P1849" i="5"/>
  <c r="P436" i="5"/>
  <c r="P1778" i="5"/>
  <c r="P1875" i="5"/>
  <c r="P3" i="5"/>
  <c r="P256" i="5"/>
  <c r="P207" i="5"/>
  <c r="P708" i="5"/>
  <c r="P1222" i="5"/>
  <c r="P1834" i="5"/>
  <c r="P1927" i="5"/>
  <c r="P57" i="5"/>
  <c r="P52" i="5"/>
  <c r="P145" i="5"/>
  <c r="P186" i="5"/>
  <c r="P435" i="5"/>
  <c r="P664" i="5"/>
  <c r="P610" i="5"/>
  <c r="P574" i="5"/>
  <c r="P706" i="5"/>
  <c r="P795" i="5"/>
  <c r="P767" i="5"/>
  <c r="P1139" i="5"/>
  <c r="P1184" i="5"/>
  <c r="P1627" i="5"/>
  <c r="P60" i="5"/>
  <c r="P119" i="5"/>
  <c r="P169" i="5"/>
  <c r="P173" i="5"/>
  <c r="P478" i="5"/>
  <c r="P691" i="5"/>
  <c r="P763" i="5"/>
  <c r="P869" i="5"/>
  <c r="P849" i="5"/>
  <c r="P989" i="5"/>
  <c r="P947" i="5"/>
  <c r="P1054" i="5"/>
  <c r="P1847" i="5"/>
  <c r="P1641" i="5"/>
  <c r="P1925" i="5"/>
  <c r="P51" i="5"/>
  <c r="P72" i="5"/>
  <c r="P93" i="5"/>
  <c r="P88" i="5"/>
  <c r="P473" i="5"/>
  <c r="P481" i="5"/>
  <c r="P514" i="5"/>
  <c r="P563" i="5"/>
  <c r="P509" i="5"/>
  <c r="P742" i="5"/>
  <c r="P831" i="5"/>
  <c r="P803" i="5"/>
  <c r="P688" i="5"/>
  <c r="P723" i="5"/>
  <c r="P736" i="5"/>
  <c r="P748" i="5"/>
  <c r="P1006" i="5"/>
  <c r="P1175" i="5"/>
  <c r="P1220" i="5"/>
  <c r="P1980" i="5"/>
  <c r="P63" i="5"/>
  <c r="P139" i="5"/>
  <c r="P438" i="5"/>
  <c r="P575" i="5"/>
  <c r="P815" i="5"/>
  <c r="P724" i="5"/>
  <c r="P893" i="5"/>
  <c r="P772" i="5"/>
  <c r="P1132" i="5"/>
  <c r="P1191" i="5"/>
  <c r="P1212" i="5"/>
  <c r="P1798" i="5"/>
  <c r="P1294" i="5"/>
  <c r="P200" i="5"/>
  <c r="P286" i="5"/>
  <c r="P302" i="5"/>
  <c r="P517" i="5"/>
  <c r="P591" i="5"/>
  <c r="P502" i="5"/>
  <c r="P599" i="5"/>
  <c r="P569" i="5"/>
  <c r="P545" i="5"/>
  <c r="P597" i="5"/>
  <c r="P660" i="5"/>
  <c r="P625" i="5"/>
  <c r="P693" i="5"/>
  <c r="P839" i="5"/>
  <c r="P848" i="5"/>
  <c r="P1256" i="5"/>
  <c r="P1215" i="5"/>
  <c r="P1765" i="5"/>
  <c r="P938" i="5"/>
  <c r="P1382" i="5"/>
  <c r="P1960" i="5"/>
  <c r="P14" i="5"/>
  <c r="P322" i="5"/>
  <c r="P1984" i="5"/>
  <c r="P1954" i="5"/>
  <c r="P1752" i="5"/>
  <c r="P1947" i="5"/>
  <c r="P1953" i="5"/>
  <c r="P568" i="5"/>
  <c r="P557" i="5"/>
  <c r="P1381" i="5"/>
  <c r="P1949" i="5"/>
  <c r="P1626" i="5"/>
  <c r="P1813" i="5"/>
  <c r="P1892" i="5"/>
  <c r="P1777" i="5"/>
  <c r="P162" i="5"/>
  <c r="P240" i="5"/>
  <c r="P281" i="5"/>
  <c r="P258" i="5"/>
  <c r="P355" i="5"/>
  <c r="P301" i="5"/>
  <c r="P398" i="5"/>
  <c r="P452" i="5"/>
  <c r="P414" i="5"/>
  <c r="P530" i="5"/>
  <c r="P843" i="5"/>
  <c r="P809" i="5"/>
  <c r="P990" i="5"/>
  <c r="P1287" i="5"/>
  <c r="P1355" i="5"/>
  <c r="P1330" i="5"/>
  <c r="P1333" i="5"/>
  <c r="P1477" i="5"/>
  <c r="P1654" i="5"/>
  <c r="P1904" i="5"/>
  <c r="P1609" i="5"/>
  <c r="P1934" i="5"/>
  <c r="P1998" i="5"/>
  <c r="P31" i="5"/>
  <c r="P277" i="5"/>
  <c r="P275" i="5"/>
  <c r="P329" i="5"/>
  <c r="P401" i="5"/>
  <c r="P743" i="5"/>
  <c r="P991" i="5"/>
  <c r="P902" i="5"/>
  <c r="P897" i="5"/>
  <c r="P1116" i="5"/>
  <c r="P1367" i="5"/>
  <c r="P1938" i="5"/>
  <c r="P22" i="5"/>
  <c r="P43" i="5"/>
  <c r="P6" i="5"/>
  <c r="P117" i="5"/>
  <c r="P40" i="5"/>
  <c r="P122" i="5"/>
  <c r="P206" i="5"/>
  <c r="P90" i="5"/>
  <c r="P123" i="5"/>
  <c r="P271" i="5"/>
  <c r="P247" i="5"/>
  <c r="P289" i="5"/>
  <c r="P287" i="5"/>
  <c r="P341" i="5"/>
  <c r="P326" i="5"/>
  <c r="P422" i="5"/>
  <c r="P409" i="5"/>
  <c r="P431" i="5"/>
  <c r="P373" i="5"/>
  <c r="P413" i="5"/>
  <c r="P415" i="5"/>
  <c r="P589" i="5"/>
  <c r="P497" i="5"/>
  <c r="P518" i="5"/>
  <c r="P596" i="5"/>
  <c r="P624" i="5"/>
  <c r="P669" i="5"/>
  <c r="P764" i="5"/>
  <c r="P867" i="5"/>
  <c r="P833" i="5"/>
  <c r="P992" i="5"/>
  <c r="P1047" i="5"/>
  <c r="P1214" i="5"/>
  <c r="P1356" i="5"/>
  <c r="P1379" i="5"/>
  <c r="P1241" i="5"/>
  <c r="P1354" i="5"/>
  <c r="P1303" i="5"/>
  <c r="P1476" i="5"/>
  <c r="P1450" i="5"/>
  <c r="P1461" i="5"/>
  <c r="P1460" i="5"/>
  <c r="P1405" i="5"/>
  <c r="P1495" i="5"/>
  <c r="P1647" i="5"/>
  <c r="P1441" i="5"/>
  <c r="P1467" i="5"/>
  <c r="P1734" i="5"/>
  <c r="P1745" i="5"/>
  <c r="P1827" i="5"/>
  <c r="P1821" i="5"/>
  <c r="P67" i="5"/>
  <c r="P141" i="5"/>
  <c r="P365" i="5"/>
  <c r="P350" i="5"/>
  <c r="P1027" i="5"/>
  <c r="P968" i="5"/>
  <c r="P1152" i="5"/>
  <c r="P1207" i="5"/>
  <c r="P1403" i="5"/>
  <c r="P1758" i="5"/>
  <c r="P1851" i="5"/>
  <c r="P42" i="5"/>
  <c r="P111" i="5"/>
  <c r="P260" i="5"/>
  <c r="P444" i="5"/>
  <c r="P404" i="5"/>
  <c r="P1050" i="5"/>
  <c r="P951" i="5"/>
  <c r="P1122" i="5"/>
  <c r="P1219" i="5"/>
  <c r="P1250" i="5"/>
  <c r="P389" i="5"/>
  <c r="P1699" i="5"/>
  <c r="C887" i="4"/>
  <c r="C651" i="4"/>
  <c r="C2318" i="4"/>
  <c r="C2174" i="4"/>
  <c r="C2298" i="4"/>
  <c r="C1034" i="4"/>
  <c r="C801" i="4"/>
  <c r="C1395" i="4"/>
  <c r="C1234" i="4"/>
  <c r="C1688" i="4"/>
  <c r="C1741" i="4"/>
  <c r="C738" i="4"/>
  <c r="C501" i="4"/>
  <c r="C18" i="4"/>
  <c r="C115" i="4"/>
  <c r="C170" i="4"/>
  <c r="C468" i="4"/>
  <c r="C1031" i="4"/>
  <c r="C286" i="4"/>
  <c r="C2209" i="4"/>
  <c r="C611" i="4"/>
  <c r="C1611" i="4"/>
  <c r="C684" i="4"/>
  <c r="C487" i="4"/>
  <c r="C860" i="4"/>
  <c r="C1452" i="4"/>
  <c r="C1259" i="4"/>
  <c r="C1502" i="4"/>
  <c r="C69" i="4"/>
  <c r="C504" i="4"/>
  <c r="C693" i="4"/>
  <c r="C1963" i="4"/>
  <c r="C357" i="4"/>
  <c r="C137" i="4"/>
  <c r="C162" i="4"/>
  <c r="C26" i="4"/>
  <c r="C656" i="4"/>
  <c r="C332" i="4"/>
  <c r="C688" i="4"/>
  <c r="C346" i="4"/>
  <c r="C337" i="4"/>
  <c r="C755" i="4"/>
  <c r="C451" i="4"/>
  <c r="C463" i="4"/>
  <c r="C921" i="4"/>
  <c r="C1065" i="4"/>
  <c r="C703" i="4"/>
  <c r="C513" i="4"/>
  <c r="C2154" i="4"/>
  <c r="C213" i="4"/>
  <c r="C142" i="4"/>
  <c r="C306" i="4"/>
  <c r="C544" i="4"/>
  <c r="C928" i="4"/>
  <c r="C1690" i="4"/>
  <c r="C2301" i="4"/>
  <c r="C543" i="4"/>
  <c r="C882" i="4"/>
  <c r="C1026" i="4"/>
  <c r="C619" i="4"/>
  <c r="C793" i="4"/>
  <c r="C991" i="4"/>
  <c r="C657" i="4"/>
  <c r="C1084" i="4"/>
  <c r="C1253" i="4"/>
  <c r="C744" i="4"/>
  <c r="C1141" i="4"/>
  <c r="C1302" i="4"/>
  <c r="C1446" i="4"/>
  <c r="C992" i="4"/>
  <c r="C1225" i="4"/>
  <c r="C382" i="4"/>
  <c r="C1214" i="4"/>
  <c r="C1358" i="4"/>
  <c r="C1016" i="4"/>
  <c r="C1228" i="4"/>
  <c r="C1538" i="4"/>
  <c r="C1682" i="4"/>
  <c r="C1826" i="4"/>
  <c r="C1517" i="4"/>
  <c r="C1459" i="4"/>
  <c r="C1460" i="4"/>
  <c r="C1275" i="4"/>
  <c r="C1147" i="4"/>
  <c r="C1471" i="4"/>
  <c r="C1365" i="4"/>
  <c r="C1473" i="4"/>
  <c r="C1632" i="4"/>
  <c r="C1659" i="4"/>
  <c r="C1728" i="4"/>
  <c r="C1866" i="4"/>
  <c r="C2010" i="4"/>
  <c r="C1860" i="4"/>
  <c r="C1805" i="4"/>
  <c r="C1945" i="4"/>
  <c r="C1697" i="4"/>
  <c r="C1822" i="4"/>
  <c r="C1774" i="4"/>
  <c r="C1887" i="4"/>
  <c r="C2182" i="4"/>
  <c r="C2326" i="4"/>
  <c r="C2084" i="4"/>
  <c r="C2107" i="4"/>
  <c r="C2255" i="4"/>
  <c r="C2077" i="4"/>
  <c r="C2029" i="4"/>
  <c r="C2157" i="4"/>
  <c r="C75" i="4"/>
  <c r="C219" i="4"/>
  <c r="C363" i="4"/>
  <c r="C4" i="4"/>
  <c r="C148" i="4"/>
  <c r="C292" i="4"/>
  <c r="C143" i="4"/>
  <c r="C24" i="4"/>
  <c r="C168" i="4"/>
  <c r="C312" i="4"/>
  <c r="C121" i="4"/>
  <c r="C32" i="4"/>
  <c r="C176" i="4"/>
  <c r="C518" i="4"/>
  <c r="C662" i="4"/>
  <c r="C353" i="4"/>
  <c r="C550" i="4"/>
  <c r="C694" i="4"/>
  <c r="C407" i="4"/>
  <c r="C378" i="4"/>
  <c r="C617" i="4"/>
  <c r="C761" i="4"/>
  <c r="C230" i="4"/>
  <c r="C492" i="4"/>
  <c r="C927" i="4"/>
  <c r="C1071" i="4"/>
  <c r="C711" i="4"/>
  <c r="C934" i="4"/>
  <c r="C537" i="4"/>
  <c r="C868" i="4"/>
  <c r="C893" i="4"/>
  <c r="C1037" i="4"/>
  <c r="C567" i="4"/>
  <c r="C888" i="4"/>
  <c r="C1032" i="4"/>
  <c r="C637" i="4"/>
  <c r="C997" i="4"/>
  <c r="C726" i="4"/>
  <c r="C1164" i="4"/>
  <c r="C786" i="4"/>
  <c r="C1158" i="4"/>
  <c r="C1308" i="4"/>
  <c r="C1010" i="4"/>
  <c r="C1231" i="4"/>
  <c r="C795" i="4"/>
  <c r="C1220" i="4"/>
  <c r="C1364" i="4"/>
  <c r="C1832" i="4"/>
  <c r="C1377" i="4"/>
  <c r="C1745" i="4"/>
  <c r="C1872" i="4"/>
  <c r="C2016" i="4"/>
  <c r="C1426" i="4"/>
  <c r="C1829" i="4"/>
  <c r="C1429" i="4"/>
  <c r="C1705" i="4"/>
  <c r="C1846" i="4"/>
  <c r="C1800" i="4"/>
  <c r="C1905" i="4"/>
  <c r="C2188" i="4"/>
  <c r="C2332" i="4"/>
  <c r="C2099" i="4"/>
  <c r="C2114" i="4"/>
  <c r="C2261" i="4"/>
  <c r="C1964" i="4"/>
  <c r="C2037" i="4"/>
  <c r="C2160" i="4"/>
  <c r="C2304" i="4"/>
  <c r="C1971" i="4"/>
  <c r="C1759" i="4"/>
  <c r="C1656" i="4"/>
  <c r="C2180" i="4"/>
  <c r="C2324" i="4"/>
  <c r="C1843" i="4"/>
  <c r="C2163" i="4"/>
  <c r="C2307" i="4"/>
  <c r="C1683" i="4"/>
  <c r="C81" i="4"/>
  <c r="C225" i="4"/>
  <c r="C369" i="4"/>
  <c r="C10" i="4"/>
  <c r="C154" i="4"/>
  <c r="C5" i="4"/>
  <c r="C149" i="4"/>
  <c r="C30" i="4"/>
  <c r="C174" i="4"/>
  <c r="C318" i="4"/>
  <c r="C127" i="4"/>
  <c r="C38" i="4"/>
  <c r="C182" i="4"/>
  <c r="C524" i="4"/>
  <c r="C668" i="4"/>
  <c r="C364" i="4"/>
  <c r="C218" i="4"/>
  <c r="C556" i="4"/>
  <c r="C700" i="4"/>
  <c r="C418" i="4"/>
  <c r="C398" i="4"/>
  <c r="C623" i="4"/>
  <c r="C767" i="4"/>
  <c r="C260" i="4"/>
  <c r="C283" i="4"/>
  <c r="C933" i="4"/>
  <c r="C1077" i="4"/>
  <c r="C821" i="4"/>
  <c r="C746" i="4"/>
  <c r="C940" i="4"/>
  <c r="C561" i="4"/>
  <c r="C304" i="4"/>
  <c r="C899" i="4"/>
  <c r="C1043" i="4"/>
  <c r="C774" i="4"/>
  <c r="C591" i="4"/>
  <c r="C894" i="4"/>
  <c r="C1038" i="4"/>
  <c r="C655" i="4"/>
  <c r="C825" i="4"/>
  <c r="C1003" i="4"/>
  <c r="C734" i="4"/>
  <c r="C1172" i="4"/>
  <c r="C1265" i="4"/>
  <c r="C858" i="4"/>
  <c r="C1166" i="4"/>
  <c r="C1314" i="4"/>
  <c r="C1458" i="4"/>
  <c r="C1028" i="4"/>
  <c r="C1237" i="4"/>
  <c r="C872" i="4"/>
  <c r="C1226" i="4"/>
  <c r="C1370" i="4"/>
  <c r="C1136" i="4"/>
  <c r="C1240" i="4"/>
  <c r="C1550" i="4"/>
  <c r="C1694" i="4"/>
  <c r="C1838" i="4"/>
  <c r="C1408" i="4"/>
  <c r="C1519" i="4"/>
  <c r="C1534" i="4"/>
  <c r="C1478" i="4"/>
  <c r="C1413" i="4"/>
  <c r="C1487" i="4"/>
  <c r="C1414" i="4"/>
  <c r="C1498" i="4"/>
  <c r="C1726" i="4"/>
  <c r="C1685" i="4"/>
  <c r="C1753" i="4"/>
  <c r="C1878" i="4"/>
  <c r="C2022" i="4"/>
  <c r="C1525" i="4"/>
  <c r="C1853" i="4"/>
  <c r="C1499" i="4"/>
  <c r="C1093" i="4"/>
  <c r="C1581" i="4"/>
  <c r="C1824" i="4"/>
  <c r="C1923" i="4"/>
  <c r="C2194" i="4"/>
  <c r="C2338" i="4"/>
  <c r="C2106" i="4"/>
  <c r="C2121" i="4"/>
  <c r="C2267" i="4"/>
  <c r="C1638" i="4"/>
  <c r="C1381" i="4"/>
  <c r="C2166" i="4"/>
  <c r="C2310" i="4"/>
  <c r="C1725" i="4"/>
  <c r="C1996" i="4"/>
  <c r="C2221" i="4"/>
  <c r="C1791" i="4"/>
  <c r="C1692" i="4"/>
  <c r="C2186" i="4"/>
  <c r="C2330" i="4"/>
  <c r="C1868" i="4"/>
  <c r="C2169" i="4"/>
  <c r="C2313" i="4"/>
  <c r="C2215" i="4"/>
  <c r="C87" i="4"/>
  <c r="C231" i="4"/>
  <c r="C375" i="4"/>
  <c r="C16" i="4"/>
  <c r="C160" i="4"/>
  <c r="C11" i="4"/>
  <c r="C155" i="4"/>
  <c r="C36" i="4"/>
  <c r="C180" i="4"/>
  <c r="C324" i="4"/>
  <c r="C133" i="4"/>
  <c r="C44" i="4"/>
  <c r="C188" i="4"/>
  <c r="C530" i="4"/>
  <c r="C674" i="4"/>
  <c r="C425" i="4"/>
  <c r="C365" i="4"/>
  <c r="C562" i="4"/>
  <c r="C706" i="4"/>
  <c r="C469" i="4"/>
  <c r="C409" i="4"/>
  <c r="C629" i="4"/>
  <c r="C773" i="4"/>
  <c r="C281" i="4"/>
  <c r="C390" i="4"/>
  <c r="C939" i="4"/>
  <c r="C1083" i="4"/>
  <c r="C843" i="4"/>
  <c r="C763" i="4"/>
  <c r="C946" i="4"/>
  <c r="C585" i="4"/>
  <c r="C401" i="4"/>
  <c r="C905" i="4"/>
  <c r="C1049" i="4"/>
  <c r="C782" i="4"/>
  <c r="C615" i="4"/>
  <c r="C900" i="4"/>
  <c r="C1044" i="4"/>
  <c r="C698" i="4"/>
  <c r="C848" i="4"/>
  <c r="C1009" i="4"/>
  <c r="C751" i="4"/>
  <c r="C1180" i="4"/>
  <c r="C1271" i="4"/>
  <c r="C920" i="4"/>
  <c r="C1174" i="4"/>
  <c r="C1320" i="4"/>
  <c r="C1464" i="4"/>
  <c r="C1150" i="4"/>
  <c r="C1243" i="4"/>
  <c r="C421" i="4"/>
  <c r="C1232" i="4"/>
  <c r="C1376" i="4"/>
  <c r="C1153" i="4"/>
  <c r="C1246" i="4"/>
  <c r="C1556" i="4"/>
  <c r="C1700" i="4"/>
  <c r="C1844" i="4"/>
  <c r="C1431" i="4"/>
  <c r="C1372" i="4"/>
  <c r="C1540" i="4"/>
  <c r="C1495" i="4"/>
  <c r="C1496" i="4"/>
  <c r="C1504" i="4"/>
  <c r="C1436" i="4"/>
  <c r="C938" i="4"/>
  <c r="C1743" i="4"/>
  <c r="C1693" i="4"/>
  <c r="C1456" i="4"/>
  <c r="C1884" i="4"/>
  <c r="C2028" i="4"/>
  <c r="C1560" i="4"/>
  <c r="C1548" i="4"/>
  <c r="C1590" i="4"/>
  <c r="C1549" i="4"/>
  <c r="C1591" i="4"/>
  <c r="C1858" i="4"/>
  <c r="C1941" i="4"/>
  <c r="C2200" i="4"/>
  <c r="C1163" i="4"/>
  <c r="C1807" i="4"/>
  <c r="C2128" i="4"/>
  <c r="C2273" i="4"/>
  <c r="C1751" i="4"/>
  <c r="C1593" i="4"/>
  <c r="C2172" i="4"/>
  <c r="C2316" i="4"/>
  <c r="C1815" i="4"/>
  <c r="C2055" i="4"/>
  <c r="C2227" i="4"/>
  <c r="C1954" i="4"/>
  <c r="C1734" i="4"/>
  <c r="C2192" i="4"/>
  <c r="C2336" i="4"/>
  <c r="C1876" i="4"/>
  <c r="C2175" i="4"/>
  <c r="C2319" i="4"/>
  <c r="C1544" i="4"/>
  <c r="C93" i="4"/>
  <c r="C237" i="4"/>
  <c r="C381" i="4"/>
  <c r="C22" i="4"/>
  <c r="C166" i="4"/>
  <c r="C17" i="4"/>
  <c r="C161" i="4"/>
  <c r="C42" i="4"/>
  <c r="C186" i="4"/>
  <c r="C330" i="4"/>
  <c r="C139" i="4"/>
  <c r="C50" i="4"/>
  <c r="C194" i="4"/>
  <c r="C536" i="4"/>
  <c r="C680" i="4"/>
  <c r="C436" i="4"/>
  <c r="C376" i="4"/>
  <c r="C568" i="4"/>
  <c r="C712" i="4"/>
  <c r="C498" i="4"/>
  <c r="C450" i="4"/>
  <c r="C635" i="4"/>
  <c r="C779" i="4"/>
  <c r="C301" i="4"/>
  <c r="C472" i="4"/>
  <c r="C945" i="4"/>
  <c r="C1089" i="4"/>
  <c r="C866" i="4"/>
  <c r="C771" i="4"/>
  <c r="C952" i="4"/>
  <c r="C609" i="4"/>
  <c r="C482" i="4"/>
  <c r="C911" i="4"/>
  <c r="C1055" i="4"/>
  <c r="C799" i="4"/>
  <c r="C636" i="4"/>
  <c r="C906" i="4"/>
  <c r="C1050" i="4"/>
  <c r="C708" i="4"/>
  <c r="C856" i="4"/>
  <c r="C1015" i="4"/>
  <c r="C759" i="4"/>
  <c r="C819" i="4"/>
  <c r="C1277" i="4"/>
  <c r="C968" i="4"/>
  <c r="C1182" i="4"/>
  <c r="C1326" i="4"/>
  <c r="C1470" i="4"/>
  <c r="C1175" i="4"/>
  <c r="C1249" i="4"/>
  <c r="C555" i="4"/>
  <c r="C1238" i="4"/>
  <c r="C1382" i="4"/>
  <c r="C462" i="4"/>
  <c r="C1252" i="4"/>
  <c r="C1562" i="4"/>
  <c r="C1706" i="4"/>
  <c r="C1850" i="4"/>
  <c r="C1449" i="4"/>
  <c r="C1409" i="4"/>
  <c r="C1546" i="4"/>
  <c r="C1503" i="4"/>
  <c r="C1513" i="4"/>
  <c r="C1529" i="4"/>
  <c r="C1454" i="4"/>
  <c r="C1417" i="4"/>
  <c r="C1752" i="4"/>
  <c r="C1786" i="4"/>
  <c r="C1491" i="4"/>
  <c r="C1890" i="4"/>
  <c r="C2034" i="4"/>
  <c r="C1608" i="4"/>
  <c r="C1617" i="4"/>
  <c r="C1696" i="4"/>
  <c r="C1619" i="4"/>
  <c r="C1672" i="4"/>
  <c r="C1877" i="4"/>
  <c r="C2009" i="4"/>
  <c r="C2206" i="4"/>
  <c r="C1666" i="4"/>
  <c r="C2027" i="4"/>
  <c r="C2135" i="4"/>
  <c r="C2279" i="4"/>
  <c r="C1783" i="4"/>
  <c r="C1639" i="4"/>
  <c r="C2178" i="4"/>
  <c r="C2322" i="4"/>
  <c r="C1854" i="4"/>
  <c r="C2063" i="4"/>
  <c r="C2233" i="4"/>
  <c r="C2039" i="4"/>
  <c r="C1792" i="4"/>
  <c r="C2198" i="4"/>
  <c r="C1793" i="4"/>
  <c r="C1886" i="4"/>
  <c r="C2181" i="4"/>
  <c r="C2325" i="4"/>
  <c r="C99" i="4"/>
  <c r="C243" i="4"/>
  <c r="C387" i="4"/>
  <c r="C28" i="4"/>
  <c r="C172" i="4"/>
  <c r="C23" i="4"/>
  <c r="C167" i="4"/>
  <c r="C48" i="4"/>
  <c r="C192" i="4"/>
  <c r="C336" i="4"/>
  <c r="C145" i="4"/>
  <c r="C56" i="4"/>
  <c r="C206" i="4"/>
  <c r="C542" i="4"/>
  <c r="C686" i="4"/>
  <c r="C486" i="4"/>
  <c r="C437" i="4"/>
  <c r="C574" i="4"/>
  <c r="C718" i="4"/>
  <c r="C254" i="4"/>
  <c r="C480" i="4"/>
  <c r="C641" i="4"/>
  <c r="C785" i="4"/>
  <c r="C316" i="4"/>
  <c r="C509" i="4"/>
  <c r="C951" i="4"/>
  <c r="C1095" i="4"/>
  <c r="C433" i="4"/>
  <c r="C814" i="4"/>
  <c r="C958" i="4"/>
  <c r="C681" i="4"/>
  <c r="C667" i="4"/>
  <c r="C917" i="4"/>
  <c r="C1061" i="4"/>
  <c r="C807" i="4"/>
  <c r="C654" i="4"/>
  <c r="C912" i="4"/>
  <c r="C1056" i="4"/>
  <c r="C716" i="4"/>
  <c r="C877" i="4"/>
  <c r="C1021" i="4"/>
  <c r="C818" i="4"/>
  <c r="C1040" i="4"/>
  <c r="C1283" i="4"/>
  <c r="C1072" i="4"/>
  <c r="C1188" i="4"/>
  <c r="C1332" i="4"/>
  <c r="C1476" i="4"/>
  <c r="C834" i="4"/>
  <c r="C1255" i="4"/>
  <c r="C835" i="4"/>
  <c r="C1244" i="4"/>
  <c r="C1388" i="4"/>
  <c r="C579" i="4"/>
  <c r="C1258" i="4"/>
  <c r="C1568" i="4"/>
  <c r="C1712" i="4"/>
  <c r="C1856" i="4"/>
  <c r="C1467" i="4"/>
  <c r="C601" i="4"/>
  <c r="C1552" i="4"/>
  <c r="C1511" i="4"/>
  <c r="C1521" i="4"/>
  <c r="C691" i="4"/>
  <c r="C1472" i="4"/>
  <c r="C1427" i="4"/>
  <c r="C1769" i="4"/>
  <c r="C1810" i="4"/>
  <c r="C1543" i="4"/>
  <c r="C1896" i="4"/>
  <c r="C2040" i="4"/>
  <c r="C1626" i="4"/>
  <c r="C1635" i="4"/>
  <c r="C1713" i="4"/>
  <c r="C1637" i="4"/>
  <c r="C1689" i="4"/>
  <c r="C1895" i="4"/>
  <c r="C2018" i="4"/>
  <c r="C2212" i="4"/>
  <c r="C1708" i="4"/>
  <c r="C2036" i="4"/>
  <c r="C2141" i="4"/>
  <c r="C2285" i="4"/>
  <c r="C1871" i="4"/>
  <c r="C1863" i="4"/>
  <c r="C2184" i="4"/>
  <c r="C2328" i="4"/>
  <c r="C1979" i="4"/>
  <c r="C2079" i="4"/>
  <c r="C2239" i="4"/>
  <c r="C1649" i="4"/>
  <c r="C1875" i="4"/>
  <c r="C2204" i="4"/>
  <c r="C1819" i="4"/>
  <c r="C1894" i="4"/>
  <c r="C2187" i="4"/>
  <c r="C2331" i="4"/>
  <c r="C105" i="4"/>
  <c r="C249" i="4"/>
  <c r="C393" i="4"/>
  <c r="C34" i="4"/>
  <c r="C178" i="4"/>
  <c r="C29" i="4"/>
  <c r="C173" i="4"/>
  <c r="C54" i="4"/>
  <c r="C198" i="4"/>
  <c r="C7" i="4"/>
  <c r="C151" i="4"/>
  <c r="C62" i="4"/>
  <c r="C241" i="4"/>
  <c r="C548" i="4"/>
  <c r="C269" i="4"/>
  <c r="C505" i="4"/>
  <c r="C448" i="4"/>
  <c r="C580" i="4"/>
  <c r="C724" i="4"/>
  <c r="C325" i="4"/>
  <c r="C499" i="4"/>
  <c r="C647" i="4"/>
  <c r="C791" i="4"/>
  <c r="C389" i="4"/>
  <c r="C534" i="4"/>
  <c r="C957" i="4"/>
  <c r="C1101" i="4"/>
  <c r="C473" i="4"/>
  <c r="C859" i="4"/>
  <c r="C964" i="4"/>
  <c r="C798" i="4"/>
  <c r="C696" i="4"/>
  <c r="C923" i="4"/>
  <c r="C1067" i="4"/>
  <c r="C823" i="4"/>
  <c r="C697" i="4"/>
  <c r="C918" i="4"/>
  <c r="C1062" i="4"/>
  <c r="C733" i="4"/>
  <c r="C883" i="4"/>
  <c r="C1027" i="4"/>
  <c r="C826" i="4"/>
  <c r="C1104" i="4"/>
  <c r="C1289" i="4"/>
  <c r="C1140" i="4"/>
  <c r="C1194" i="4"/>
  <c r="C1338" i="4"/>
  <c r="C1482" i="4"/>
  <c r="C1076" i="4"/>
  <c r="C1261" i="4"/>
  <c r="C902" i="4"/>
  <c r="C1250" i="4"/>
  <c r="C1394" i="4"/>
  <c r="C908" i="4"/>
  <c r="C1264" i="4"/>
  <c r="C1574" i="4"/>
  <c r="C1718" i="4"/>
  <c r="C811" i="4"/>
  <c r="C1475" i="4"/>
  <c r="C1108" i="4"/>
  <c r="C1558" i="4"/>
  <c r="C678" i="4"/>
  <c r="C1535" i="4"/>
  <c r="C884" i="4"/>
  <c r="C1489" i="4"/>
  <c r="C1483" i="4"/>
  <c r="C1777" i="4"/>
  <c r="C1834" i="4"/>
  <c r="C1578" i="4"/>
  <c r="C1902" i="4"/>
  <c r="C2046" i="4"/>
  <c r="C1644" i="4"/>
  <c r="C1653" i="4"/>
  <c r="C1722" i="4"/>
  <c r="C1655" i="4"/>
  <c r="C1698" i="4"/>
  <c r="C1913" i="4"/>
  <c r="C2035" i="4"/>
  <c r="C2218" i="4"/>
  <c r="C1848" i="4"/>
  <c r="C1631" i="4"/>
  <c r="C2147" i="4"/>
  <c r="C2291" i="4"/>
  <c r="C1889" i="4"/>
  <c r="C1881" i="4"/>
  <c r="C2190" i="4"/>
  <c r="C2334" i="4"/>
  <c r="C1988" i="4"/>
  <c r="C2087" i="4"/>
  <c r="C2245" i="4"/>
  <c r="C1733" i="4"/>
  <c r="C1893" i="4"/>
  <c r="C2210" i="4"/>
  <c r="C1840" i="4"/>
  <c r="C1904" i="4"/>
  <c r="C2193" i="4"/>
  <c r="C2337" i="4"/>
  <c r="C1526" i="4"/>
  <c r="C111" i="4"/>
  <c r="C255" i="4"/>
  <c r="C399" i="4"/>
  <c r="C40" i="4"/>
  <c r="C184" i="4"/>
  <c r="C35" i="4"/>
  <c r="C179" i="4"/>
  <c r="C60" i="4"/>
  <c r="C204" i="4"/>
  <c r="C13" i="4"/>
  <c r="C157" i="4"/>
  <c r="C68" i="4"/>
  <c r="C289" i="4"/>
  <c r="C554" i="4"/>
  <c r="C290" i="4"/>
  <c r="C247" i="4"/>
  <c r="C478" i="4"/>
  <c r="C586" i="4"/>
  <c r="C730" i="4"/>
  <c r="C335" i="4"/>
  <c r="C508" i="4"/>
  <c r="C653" i="4"/>
  <c r="C797" i="4"/>
  <c r="C400" i="4"/>
  <c r="C558" i="4"/>
  <c r="C963" i="4"/>
  <c r="C1107" i="4"/>
  <c r="C535" i="4"/>
  <c r="C287" i="4"/>
  <c r="C970" i="4"/>
  <c r="C806" i="4"/>
  <c r="C714" i="4"/>
  <c r="C929" i="4"/>
  <c r="C1073" i="4"/>
  <c r="C846" i="4"/>
  <c r="C715" i="4"/>
  <c r="C924" i="4"/>
  <c r="C1068" i="4"/>
  <c r="C741" i="4"/>
  <c r="C889" i="4"/>
  <c r="C1033" i="4"/>
  <c r="C871" i="4"/>
  <c r="C1122" i="4"/>
  <c r="C1295" i="4"/>
  <c r="C1165" i="4"/>
  <c r="C1200" i="4"/>
  <c r="C1344" i="4"/>
  <c r="C1488" i="4"/>
  <c r="C1098" i="4"/>
  <c r="C1267" i="4"/>
  <c r="C1099" i="4"/>
  <c r="C1256" i="4"/>
  <c r="C1400" i="4"/>
  <c r="C980" i="4"/>
  <c r="C1270" i="4"/>
  <c r="C1580" i="4"/>
  <c r="C1724" i="4"/>
  <c r="C1135" i="4"/>
  <c r="C1492" i="4"/>
  <c r="C1359" i="4"/>
  <c r="C1564" i="4"/>
  <c r="C1111" i="4"/>
  <c r="C1541" i="4"/>
  <c r="C1185" i="4"/>
  <c r="C1497" i="4"/>
  <c r="C1566" i="4"/>
  <c r="C770" i="4"/>
  <c r="C1557" i="4"/>
  <c r="C1625" i="4"/>
  <c r="C1908" i="4"/>
  <c r="C2052" i="4"/>
  <c r="C1678" i="4"/>
  <c r="C1738" i="4"/>
  <c r="C1739" i="4"/>
  <c r="C1663" i="4"/>
  <c r="C1715" i="4"/>
  <c r="C1931" i="4"/>
  <c r="C2043" i="4"/>
  <c r="C2224" i="4"/>
  <c r="C1967" i="4"/>
  <c r="C1716" i="4"/>
  <c r="C2153" i="4"/>
  <c r="C2297" i="4"/>
  <c r="C1907" i="4"/>
  <c r="C1899" i="4"/>
  <c r="C2196" i="4"/>
  <c r="C2340" i="4"/>
  <c r="C2005" i="4"/>
  <c r="C2095" i="4"/>
  <c r="C2251" i="4"/>
  <c r="C1816" i="4"/>
  <c r="C1911" i="4"/>
  <c r="C2216" i="4"/>
  <c r="C1613" i="4"/>
  <c r="C1912" i="4"/>
  <c r="C2199" i="4"/>
  <c r="C1847" i="4"/>
  <c r="C117" i="4"/>
  <c r="C261" i="4"/>
  <c r="C405" i="4"/>
  <c r="C46" i="4"/>
  <c r="C190" i="4"/>
  <c r="C41" i="4"/>
  <c r="C185" i="4"/>
  <c r="C66" i="4"/>
  <c r="C210" i="4"/>
  <c r="C19" i="4"/>
  <c r="C163" i="4"/>
  <c r="C74" i="4"/>
  <c r="C305" i="4"/>
  <c r="C560" i="4"/>
  <c r="C320" i="4"/>
  <c r="C272" i="4"/>
  <c r="C506" i="4"/>
  <c r="C592" i="4"/>
  <c r="C736" i="4"/>
  <c r="C356" i="4"/>
  <c r="C515" i="4"/>
  <c r="C659" i="4"/>
  <c r="C803" i="4"/>
  <c r="C461" i="4"/>
  <c r="C582" i="4"/>
  <c r="C969" i="4"/>
  <c r="C1113" i="4"/>
  <c r="C559" i="4"/>
  <c r="C392" i="4"/>
  <c r="C976" i="4"/>
  <c r="C822" i="4"/>
  <c r="C722" i="4"/>
  <c r="C935" i="4"/>
  <c r="C1079" i="4"/>
  <c r="C869" i="4"/>
  <c r="C723" i="4"/>
  <c r="C930" i="4"/>
  <c r="C1074" i="4"/>
  <c r="C817" i="4"/>
  <c r="C895" i="4"/>
  <c r="C1039" i="4"/>
  <c r="C266" i="4"/>
  <c r="C1156" i="4"/>
  <c r="C1301" i="4"/>
  <c r="C329" i="4"/>
  <c r="C1206" i="4"/>
  <c r="C1350" i="4"/>
  <c r="C1494" i="4"/>
  <c r="C1116" i="4"/>
  <c r="C1273" i="4"/>
  <c r="C1117" i="4"/>
  <c r="C1262" i="4"/>
  <c r="C1406" i="4"/>
  <c r="C1066" i="4"/>
  <c r="C1276" i="4"/>
  <c r="C1586" i="4"/>
  <c r="C1730" i="4"/>
  <c r="C1323" i="4"/>
  <c r="C502" i="4"/>
  <c r="C1387" i="4"/>
  <c r="C1570" i="4"/>
  <c r="C1146" i="4"/>
  <c r="C1547" i="4"/>
  <c r="C1209" i="4"/>
  <c r="C1505" i="4"/>
  <c r="C1667" i="4"/>
  <c r="C1516" i="4"/>
  <c r="C1567" i="4"/>
  <c r="C1643" i="4"/>
  <c r="C1914" i="4"/>
  <c r="C2058" i="4"/>
  <c r="C1695" i="4"/>
  <c r="C1755" i="4"/>
  <c r="C1747" i="4"/>
  <c r="C1756" i="4"/>
  <c r="C1723" i="4"/>
  <c r="C1949" i="4"/>
  <c r="C2051" i="4"/>
  <c r="C2230" i="4"/>
  <c r="C1976" i="4"/>
  <c r="C1870" i="4"/>
  <c r="C2159" i="4"/>
  <c r="C2303" i="4"/>
  <c r="C1925" i="4"/>
  <c r="C1917" i="4"/>
  <c r="C2202" i="4"/>
  <c r="C1989" i="4"/>
  <c r="C2013" i="4"/>
  <c r="C2102" i="4"/>
  <c r="C2257" i="4"/>
  <c r="C1839" i="4"/>
  <c r="C1929" i="4"/>
  <c r="C2222" i="4"/>
  <c r="C1657" i="4"/>
  <c r="C1922" i="4"/>
  <c r="C2205" i="4"/>
  <c r="C1991" i="4"/>
  <c r="C123" i="4"/>
  <c r="C267" i="4"/>
  <c r="C411" i="4"/>
  <c r="C52" i="4"/>
  <c r="C196" i="4"/>
  <c r="C47" i="4"/>
  <c r="C191" i="4"/>
  <c r="C72" i="4"/>
  <c r="C216" i="4"/>
  <c r="C25" i="4"/>
  <c r="C169" i="4"/>
  <c r="C80" i="4"/>
  <c r="C331" i="4"/>
  <c r="C566" i="4"/>
  <c r="C383" i="4"/>
  <c r="C322" i="4"/>
  <c r="C275" i="4"/>
  <c r="C598" i="4"/>
  <c r="C742" i="4"/>
  <c r="C367" i="4"/>
  <c r="C521" i="4"/>
  <c r="C665" i="4"/>
  <c r="C809" i="4"/>
  <c r="C481" i="4"/>
  <c r="C606" i="4"/>
  <c r="C975" i="4"/>
  <c r="C1119" i="4"/>
  <c r="C583" i="4"/>
  <c r="C666" i="4"/>
  <c r="C982" i="4"/>
  <c r="C845" i="4"/>
  <c r="C739" i="4"/>
  <c r="C941" i="4"/>
  <c r="C1085" i="4"/>
  <c r="C200" i="4"/>
  <c r="C831" i="4"/>
  <c r="C936" i="4"/>
  <c r="C1080" i="4"/>
  <c r="C840" i="4"/>
  <c r="C901" i="4"/>
  <c r="C1045" i="4"/>
  <c r="C464" i="4"/>
  <c r="C265" i="4"/>
  <c r="C1307" i="4"/>
  <c r="C864" i="4"/>
  <c r="C1212" i="4"/>
  <c r="C1356" i="4"/>
  <c r="C1500" i="4"/>
  <c r="C1142" i="4"/>
  <c r="C1279" i="4"/>
  <c r="C1160" i="4"/>
  <c r="C1268" i="4"/>
  <c r="C1412" i="4"/>
  <c r="C1081" i="4"/>
  <c r="C1282" i="4"/>
  <c r="C1592" i="4"/>
  <c r="C1736" i="4"/>
  <c r="C1419" i="4"/>
  <c r="C962" i="4"/>
  <c r="C1399" i="4"/>
  <c r="C1576" i="4"/>
  <c r="C1329" i="4"/>
  <c r="C1553" i="4"/>
  <c r="C1233" i="4"/>
  <c r="C1522" i="4"/>
  <c r="C1675" i="4"/>
  <c r="C1684" i="4"/>
  <c r="C1605" i="4"/>
  <c r="C1660" i="4"/>
  <c r="C1920" i="4"/>
  <c r="C2064" i="4"/>
  <c r="C1704" i="4"/>
  <c r="C1764" i="4"/>
  <c r="C1789" i="4"/>
  <c r="C1773" i="4"/>
  <c r="C1799" i="4"/>
  <c r="C1958" i="4"/>
  <c r="C2067" i="4"/>
  <c r="C2236" i="4"/>
  <c r="C1993" i="4"/>
  <c r="C1880" i="4"/>
  <c r="C2165" i="4"/>
  <c r="C2309" i="4"/>
  <c r="C1943" i="4"/>
  <c r="C1935" i="4"/>
  <c r="C2208" i="4"/>
  <c r="C2014" i="4"/>
  <c r="C2038" i="4"/>
  <c r="C2109" i="4"/>
  <c r="C2263" i="4"/>
  <c r="C1865" i="4"/>
  <c r="C1947" i="4"/>
  <c r="C2228" i="4"/>
  <c r="C1823" i="4"/>
  <c r="C1930" i="4"/>
  <c r="C2211" i="4"/>
  <c r="C2000" i="4"/>
  <c r="C1375" i="4"/>
  <c r="C129" i="4"/>
  <c r="C273" i="4"/>
  <c r="C417" i="4"/>
  <c r="C58" i="4"/>
  <c r="C202" i="4"/>
  <c r="C53" i="4"/>
  <c r="C197" i="4"/>
  <c r="C78" i="4"/>
  <c r="C222" i="4"/>
  <c r="C31" i="4"/>
  <c r="C175" i="4"/>
  <c r="C86" i="4"/>
  <c r="C341" i="4"/>
  <c r="C572" i="4"/>
  <c r="C394" i="4"/>
  <c r="C354" i="4"/>
  <c r="C296" i="4"/>
  <c r="C604" i="4"/>
  <c r="C748" i="4"/>
  <c r="C408" i="4"/>
  <c r="C527" i="4"/>
  <c r="C671" i="4"/>
  <c r="C347" i="4"/>
  <c r="C302" i="4"/>
  <c r="C720" i="4"/>
  <c r="C981" i="4"/>
  <c r="C1125" i="4"/>
  <c r="C607" i="4"/>
  <c r="C704" i="4"/>
  <c r="C988" i="4"/>
  <c r="C867" i="4"/>
  <c r="C747" i="4"/>
  <c r="C947" i="4"/>
  <c r="C1091" i="4"/>
  <c r="C403" i="4"/>
  <c r="C854" i="4"/>
  <c r="C942" i="4"/>
  <c r="C1086" i="4"/>
  <c r="C863" i="4"/>
  <c r="C907" i="4"/>
  <c r="C1051" i="4"/>
  <c r="C625" i="4"/>
  <c r="C890" i="4"/>
  <c r="C1313" i="4"/>
  <c r="C1058" i="4"/>
  <c r="C1218" i="4"/>
  <c r="C1362" i="4"/>
  <c r="C1506" i="4"/>
  <c r="C1159" i="4"/>
  <c r="C1285" i="4"/>
  <c r="C1168" i="4"/>
  <c r="C1274" i="4"/>
  <c r="C1418" i="4"/>
  <c r="C1092" i="4"/>
  <c r="C1288" i="4"/>
  <c r="C1598" i="4"/>
  <c r="C1742" i="4"/>
  <c r="C1170" i="4"/>
  <c r="C1052" i="4"/>
  <c r="C1432" i="4"/>
  <c r="C1582" i="4"/>
  <c r="C1389" i="4"/>
  <c r="C1559" i="4"/>
  <c r="C1257" i="4"/>
  <c r="C1120" i="4"/>
  <c r="C1768" i="4"/>
  <c r="C1701" i="4"/>
  <c r="C1744" i="4"/>
  <c r="C1677" i="4"/>
  <c r="C1926" i="4"/>
  <c r="C2070" i="4"/>
  <c r="C1721" i="4"/>
  <c r="C1781" i="4"/>
  <c r="C1797" i="4"/>
  <c r="C1782" i="4"/>
  <c r="C1129" i="4"/>
  <c r="C1975" i="4"/>
  <c r="C2075" i="4"/>
  <c r="C2242" i="4"/>
  <c r="C2001" i="4"/>
  <c r="C1888" i="4"/>
  <c r="C2171" i="4"/>
  <c r="C2315" i="4"/>
  <c r="C1960" i="4"/>
  <c r="C1961" i="4"/>
  <c r="C2214" i="4"/>
  <c r="C1758" i="4"/>
  <c r="C2047" i="4"/>
  <c r="C2116" i="4"/>
  <c r="C2269" i="4"/>
  <c r="C1883" i="4"/>
  <c r="C1972" i="4"/>
  <c r="C2234" i="4"/>
  <c r="C1841" i="4"/>
  <c r="C1940" i="4"/>
  <c r="C2217" i="4"/>
  <c r="C2017" i="4"/>
  <c r="C135" i="4"/>
  <c r="C279" i="4"/>
  <c r="C423" i="4"/>
  <c r="C64" i="4"/>
  <c r="C208" i="4"/>
  <c r="C59" i="4"/>
  <c r="C203" i="4"/>
  <c r="C84" i="4"/>
  <c r="C228" i="4"/>
  <c r="C37" i="4"/>
  <c r="C181" i="4"/>
  <c r="C92" i="4"/>
  <c r="C352" i="4"/>
  <c r="C578" i="4"/>
  <c r="C455" i="4"/>
  <c r="C248" i="4"/>
  <c r="C311" i="4"/>
  <c r="C610" i="4"/>
  <c r="C754" i="4"/>
  <c r="C428" i="4"/>
  <c r="C533" i="4"/>
  <c r="C677" i="4"/>
  <c r="C358" i="4"/>
  <c r="C328" i="4"/>
  <c r="C728" i="4"/>
  <c r="C987" i="4"/>
  <c r="C1131" i="4"/>
  <c r="C679" i="4"/>
  <c r="C721" i="4"/>
  <c r="C994" i="4"/>
  <c r="C516" i="4"/>
  <c r="C830" i="4"/>
  <c r="C953" i="4"/>
  <c r="C1097" i="4"/>
  <c r="C444" i="4"/>
  <c r="C862" i="4"/>
  <c r="C948" i="4"/>
  <c r="C319" i="4"/>
  <c r="C236" i="4"/>
  <c r="C913" i="4"/>
  <c r="C1057" i="4"/>
  <c r="C643" i="4"/>
  <c r="C1148" i="4"/>
  <c r="C1319" i="4"/>
  <c r="C1087" i="4"/>
  <c r="C1224" i="4"/>
  <c r="C1368" i="4"/>
  <c r="C1512" i="4"/>
  <c r="C553" i="4"/>
  <c r="C1291" i="4"/>
  <c r="C1176" i="4"/>
  <c r="C1280" i="4"/>
  <c r="C1424" i="4"/>
  <c r="C1110" i="4"/>
  <c r="C1294" i="4"/>
  <c r="C1604" i="4"/>
  <c r="C1748" i="4"/>
  <c r="C1197" i="4"/>
  <c r="C1341" i="4"/>
  <c r="C1450" i="4"/>
  <c r="C1588" i="4"/>
  <c r="C1401" i="4"/>
  <c r="C1565" i="4"/>
  <c r="C1330" i="4"/>
  <c r="C1348" i="4"/>
  <c r="C1785" i="4"/>
  <c r="C1710" i="4"/>
  <c r="C1761" i="4"/>
  <c r="C1686" i="4"/>
  <c r="C1932" i="4"/>
  <c r="C2076" i="4"/>
  <c r="C1729" i="4"/>
  <c r="C1867" i="4"/>
  <c r="C1813" i="4"/>
  <c r="C1806" i="4"/>
  <c r="C1383" i="4"/>
  <c r="C1983" i="4"/>
  <c r="C2091" i="4"/>
  <c r="C2248" i="4"/>
  <c r="C2026" i="4"/>
  <c r="C1898" i="4"/>
  <c r="C2177" i="4"/>
  <c r="C2321" i="4"/>
  <c r="C2045" i="4"/>
  <c r="C1970" i="4"/>
  <c r="C2220" i="4"/>
  <c r="C1851" i="4"/>
  <c r="C2071" i="4"/>
  <c r="C2131" i="4"/>
  <c r="C2275" i="4"/>
  <c r="C1901" i="4"/>
  <c r="C2056" i="4"/>
  <c r="C2240" i="4"/>
  <c r="C1973" i="4"/>
  <c r="C1948" i="4"/>
  <c r="C2223" i="4"/>
  <c r="C2025" i="4"/>
  <c r="C1520" i="4"/>
  <c r="C141" i="4"/>
  <c r="C285" i="4"/>
  <c r="C429" i="4"/>
  <c r="C70" i="4"/>
  <c r="C214" i="4"/>
  <c r="C65" i="4"/>
  <c r="C209" i="4"/>
  <c r="C90" i="4"/>
  <c r="C234" i="4"/>
  <c r="C43" i="4"/>
  <c r="C187" i="4"/>
  <c r="C98" i="4"/>
  <c r="C413" i="4"/>
  <c r="C584" i="4"/>
  <c r="C466" i="4"/>
  <c r="C293" i="4"/>
  <c r="C323" i="4"/>
  <c r="C616" i="4"/>
  <c r="C760" i="4"/>
  <c r="C439" i="4"/>
  <c r="C539" i="4"/>
  <c r="C683" i="4"/>
  <c r="C419" i="4"/>
  <c r="C359" i="4"/>
  <c r="C745" i="4"/>
  <c r="C993" i="4"/>
  <c r="C1137" i="4"/>
  <c r="C692" i="4"/>
  <c r="C729" i="4"/>
  <c r="C1000" i="4"/>
  <c r="C540" i="4"/>
  <c r="C838" i="4"/>
  <c r="C959" i="4"/>
  <c r="C1103" i="4"/>
  <c r="C484" i="4"/>
  <c r="C410" i="4"/>
  <c r="C954" i="4"/>
  <c r="C412" i="4"/>
  <c r="C371" i="4"/>
  <c r="C919" i="4"/>
  <c r="C1063" i="4"/>
  <c r="C661" i="4"/>
  <c r="C1181" i="4"/>
  <c r="C1325" i="4"/>
  <c r="C1105" i="4"/>
  <c r="C1230" i="4"/>
  <c r="C1374" i="4"/>
  <c r="C1518" i="4"/>
  <c r="C660" i="4"/>
  <c r="C1297" i="4"/>
  <c r="C576" i="4"/>
  <c r="C1286" i="4"/>
  <c r="C1430" i="4"/>
  <c r="C1128" i="4"/>
  <c r="C1300" i="4"/>
  <c r="C1610" i="4"/>
  <c r="C1754" i="4"/>
  <c r="C1221" i="4"/>
  <c r="C1533" i="4"/>
  <c r="C1468" i="4"/>
  <c r="C1594" i="4"/>
  <c r="C1423" i="4"/>
  <c r="C1571" i="4"/>
  <c r="C1390" i="4"/>
  <c r="C1391" i="4"/>
  <c r="C1801" i="4"/>
  <c r="C1727" i="4"/>
  <c r="C1770" i="4"/>
  <c r="C1703" i="4"/>
  <c r="C1938" i="4"/>
  <c r="C2082" i="4"/>
  <c r="C1804" i="4"/>
  <c r="C1873" i="4"/>
  <c r="C1821" i="4"/>
  <c r="C1830" i="4"/>
  <c r="C1438" i="4"/>
  <c r="C2008" i="4"/>
  <c r="C2098" i="4"/>
  <c r="C2254" i="4"/>
  <c r="C1515" i="4"/>
  <c r="C1906" i="4"/>
  <c r="C2183" i="4"/>
  <c r="C2327" i="4"/>
  <c r="C2061" i="4"/>
  <c r="C1987" i="4"/>
  <c r="C2226" i="4"/>
  <c r="C1953" i="4"/>
  <c r="C1555" i="4"/>
  <c r="C2137" i="4"/>
  <c r="C2281" i="4"/>
  <c r="C1919" i="4"/>
  <c r="C2080" i="4"/>
  <c r="C2246" i="4"/>
  <c r="C1982" i="4"/>
  <c r="C2033" i="4"/>
  <c r="C2229" i="4"/>
  <c r="C1477" i="4"/>
  <c r="C1650" i="4"/>
  <c r="C3" i="4"/>
  <c r="C147" i="4"/>
  <c r="C291" i="4"/>
  <c r="C435" i="4"/>
  <c r="C76" i="4"/>
  <c r="C220" i="4"/>
  <c r="C71" i="4"/>
  <c r="C215" i="4"/>
  <c r="C96" i="4"/>
  <c r="C240" i="4"/>
  <c r="C49" i="4"/>
  <c r="C193" i="4"/>
  <c r="C104" i="4"/>
  <c r="C424" i="4"/>
  <c r="C590" i="4"/>
  <c r="C494" i="4"/>
  <c r="C310" i="4"/>
  <c r="C366" i="4"/>
  <c r="C622" i="4"/>
  <c r="C766" i="4"/>
  <c r="C488" i="4"/>
  <c r="C545" i="4"/>
  <c r="C689" i="4"/>
  <c r="C430" i="4"/>
  <c r="C370" i="4"/>
  <c r="C753" i="4"/>
  <c r="C999" i="4"/>
  <c r="C1143" i="4"/>
  <c r="C780" i="4"/>
  <c r="C829" i="4"/>
  <c r="C1006" i="4"/>
  <c r="C564" i="4"/>
  <c r="C361" i="4"/>
  <c r="C965" i="4"/>
  <c r="C1109" i="4"/>
  <c r="C669" i="4"/>
  <c r="C522" i="4"/>
  <c r="C960" i="4"/>
  <c r="C672" i="4"/>
  <c r="C454" i="4"/>
  <c r="C925" i="4"/>
  <c r="C1069" i="4"/>
  <c r="C804" i="4"/>
  <c r="C1187" i="4"/>
  <c r="C1331" i="4"/>
  <c r="C1123" i="4"/>
  <c r="C1236" i="4"/>
  <c r="C1380" i="4"/>
  <c r="C340" i="4"/>
  <c r="C717" i="4"/>
  <c r="C1303" i="4"/>
  <c r="C841" i="4"/>
  <c r="C1292" i="4"/>
  <c r="C577" i="4"/>
  <c r="C500" i="4"/>
  <c r="C1306" i="4"/>
  <c r="C1616" i="4"/>
  <c r="C1760" i="4"/>
  <c r="C1245" i="4"/>
  <c r="C1539" i="4"/>
  <c r="C849" i="4"/>
  <c r="C1600" i="4"/>
  <c r="C1433" i="4"/>
  <c r="C1577" i="4"/>
  <c r="C1402" i="4"/>
  <c r="C1403" i="4"/>
  <c r="C1809" i="4"/>
  <c r="C1735" i="4"/>
  <c r="C1787" i="4"/>
  <c r="C1711" i="4"/>
  <c r="C1944" i="4"/>
  <c r="C2088" i="4"/>
  <c r="C1828" i="4"/>
  <c r="C1879" i="4"/>
  <c r="C1837" i="4"/>
  <c r="C1369" i="4"/>
  <c r="C1508" i="4"/>
  <c r="C2050" i="4"/>
  <c r="C2113" i="4"/>
  <c r="C2260" i="4"/>
  <c r="C1584" i="4"/>
  <c r="C1916" i="4"/>
  <c r="C2189" i="4"/>
  <c r="C2333" i="4"/>
  <c r="C2069" i="4"/>
  <c r="C1995" i="4"/>
  <c r="C2232" i="4"/>
  <c r="C1978" i="4"/>
  <c r="C1647" i="4"/>
  <c r="C2143" i="4"/>
  <c r="C2287" i="4"/>
  <c r="C1937" i="4"/>
  <c r="C2096" i="4"/>
  <c r="C2252" i="4"/>
  <c r="C1999" i="4"/>
  <c r="C2042" i="4"/>
  <c r="C2235" i="4"/>
  <c r="C2015" i="4"/>
  <c r="C1668" i="4"/>
  <c r="C9" i="4"/>
  <c r="C153" i="4"/>
  <c r="C297" i="4"/>
  <c r="C441" i="4"/>
  <c r="C82" i="4"/>
  <c r="C226" i="4"/>
  <c r="C77" i="4"/>
  <c r="C221" i="4"/>
  <c r="C102" i="4"/>
  <c r="C246" i="4"/>
  <c r="C55" i="4"/>
  <c r="C199" i="4"/>
  <c r="C110" i="4"/>
  <c r="C503" i="4"/>
  <c r="C596" i="4"/>
  <c r="C512" i="4"/>
  <c r="C395" i="4"/>
  <c r="C386" i="4"/>
  <c r="C628" i="4"/>
  <c r="C772" i="4"/>
  <c r="C507" i="4"/>
  <c r="C551" i="4"/>
  <c r="C695" i="4"/>
  <c r="C470" i="4"/>
  <c r="C431" i="4"/>
  <c r="C828" i="4"/>
  <c r="C1005" i="4"/>
  <c r="C1149" i="4"/>
  <c r="C788" i="4"/>
  <c r="C852" i="4"/>
  <c r="C1012" i="4"/>
  <c r="C588" i="4"/>
  <c r="C402" i="4"/>
  <c r="C971" i="4"/>
  <c r="C1115" i="4"/>
  <c r="C732" i="4"/>
  <c r="C546" i="4"/>
  <c r="C966" i="4"/>
  <c r="C750" i="4"/>
  <c r="C493" i="4"/>
  <c r="C931" i="4"/>
  <c r="C1075" i="4"/>
  <c r="C812" i="4"/>
  <c r="C1193" i="4"/>
  <c r="C1337" i="4"/>
  <c r="C529" i="4"/>
  <c r="C1242" i="4"/>
  <c r="C1386" i="4"/>
  <c r="C531" i="4"/>
  <c r="C974" i="4"/>
  <c r="C1309" i="4"/>
  <c r="C932" i="4"/>
  <c r="C1298" i="4"/>
  <c r="C675" i="4"/>
  <c r="C603" i="4"/>
  <c r="C1312" i="4"/>
  <c r="C1622" i="4"/>
  <c r="C1766" i="4"/>
  <c r="C1269" i="4"/>
  <c r="C1545" i="4"/>
  <c r="C1178" i="4"/>
  <c r="C1606" i="4"/>
  <c r="C1451" i="4"/>
  <c r="C1583" i="4"/>
  <c r="C1425" i="4"/>
  <c r="C1480" i="4"/>
  <c r="C1825" i="4"/>
  <c r="C1794" i="4"/>
  <c r="C1811" i="4"/>
  <c r="C1795" i="4"/>
  <c r="C1950" i="4"/>
  <c r="C1463" i="4"/>
  <c r="C1852" i="4"/>
  <c r="C1885" i="4"/>
  <c r="C1845" i="4"/>
  <c r="C1437" i="4"/>
  <c r="C1602" i="4"/>
  <c r="C2074" i="4"/>
  <c r="C2120" i="4"/>
  <c r="C2266" i="4"/>
  <c r="C1629" i="4"/>
  <c r="C1924" i="4"/>
  <c r="C2195" i="4"/>
  <c r="C2339" i="4"/>
  <c r="C2085" i="4"/>
  <c r="C2020" i="4"/>
  <c r="C2238" i="4"/>
  <c r="C1563" i="4"/>
  <c r="C1864" i="4"/>
  <c r="C2149" i="4"/>
  <c r="C2293" i="4"/>
  <c r="C1997" i="4"/>
  <c r="C2103" i="4"/>
  <c r="C2258" i="4"/>
  <c r="C2007" i="4"/>
  <c r="C2066" i="4"/>
  <c r="C2241" i="4"/>
  <c r="C2024" i="4"/>
  <c r="C15" i="4"/>
  <c r="C159" i="4"/>
  <c r="C303" i="4"/>
  <c r="C447" i="4"/>
  <c r="C88" i="4"/>
  <c r="C232" i="4"/>
  <c r="C83" i="4"/>
  <c r="C227" i="4"/>
  <c r="C108" i="4"/>
  <c r="C252" i="4"/>
  <c r="C61" i="4"/>
  <c r="C205" i="4"/>
  <c r="C116" i="4"/>
  <c r="C242" i="4"/>
  <c r="C602" i="4"/>
  <c r="C271" i="4"/>
  <c r="C406" i="4"/>
  <c r="C397" i="4"/>
  <c r="C634" i="4"/>
  <c r="C778" i="4"/>
  <c r="C224" i="4"/>
  <c r="C557" i="4"/>
  <c r="C701" i="4"/>
  <c r="C490" i="4"/>
  <c r="C442" i="4"/>
  <c r="C851" i="4"/>
  <c r="C1011" i="4"/>
  <c r="C1155" i="4"/>
  <c r="C805" i="4"/>
  <c r="C874" i="4"/>
  <c r="C1018" i="4"/>
  <c r="C612" i="4"/>
  <c r="C517" i="4"/>
  <c r="C977" i="4"/>
  <c r="C1121" i="4"/>
  <c r="C740" i="4"/>
  <c r="C570" i="4"/>
  <c r="C972" i="4"/>
  <c r="C758" i="4"/>
  <c r="C687" i="4"/>
  <c r="C937" i="4"/>
  <c r="C374" i="4"/>
  <c r="C820" i="4"/>
  <c r="C1199" i="4"/>
  <c r="C1343" i="4"/>
  <c r="C642" i="4"/>
  <c r="C1248" i="4"/>
  <c r="C1392" i="4"/>
  <c r="C896" i="4"/>
  <c r="C1046" i="4"/>
  <c r="C1315" i="4"/>
  <c r="C956" i="4"/>
  <c r="C1304" i="4"/>
  <c r="C762" i="4"/>
  <c r="C914" i="4"/>
  <c r="C777" i="4"/>
  <c r="C1628" i="4"/>
  <c r="C1772" i="4"/>
  <c r="C1354" i="4"/>
  <c r="C1551" i="4"/>
  <c r="C1203" i="4"/>
  <c r="C1612" i="4"/>
  <c r="C1469" i="4"/>
  <c r="C1589" i="4"/>
  <c r="C727" i="4"/>
  <c r="C1530" i="4"/>
  <c r="C1833" i="4"/>
  <c r="C1818" i="4"/>
  <c r="C1835" i="4"/>
  <c r="C1803" i="4"/>
  <c r="C1956" i="4"/>
  <c r="C1524" i="4"/>
  <c r="C1353" i="4"/>
  <c r="C1891" i="4"/>
  <c r="C1861" i="4"/>
  <c r="C1507" i="4"/>
  <c r="C1732" i="4"/>
  <c r="C2105" i="4"/>
  <c r="C2127" i="4"/>
  <c r="C2272" i="4"/>
  <c r="C1673" i="4"/>
  <c r="C1934" i="4"/>
  <c r="C2201" i="4"/>
  <c r="C1536" i="4"/>
  <c r="C2093" i="4"/>
  <c r="C2054" i="4"/>
  <c r="C2244" i="4"/>
  <c r="C1393" i="4"/>
  <c r="C1874" i="4"/>
  <c r="C2155" i="4"/>
  <c r="C2299" i="4"/>
  <c r="C2006" i="4"/>
  <c r="C2110" i="4"/>
  <c r="C2264" i="4"/>
  <c r="C2032" i="4"/>
  <c r="C2090" i="4"/>
  <c r="C2247" i="4"/>
  <c r="C2041" i="4"/>
  <c r="C21" i="4"/>
  <c r="C165" i="4"/>
  <c r="C309" i="4"/>
  <c r="C453" i="4"/>
  <c r="C94" i="4"/>
  <c r="C238" i="4"/>
  <c r="C89" i="4"/>
  <c r="C233" i="4"/>
  <c r="C114" i="4"/>
  <c r="C258" i="4"/>
  <c r="C67" i="4"/>
  <c r="C211" i="4"/>
  <c r="C122" i="4"/>
  <c r="C307" i="4"/>
  <c r="C608" i="4"/>
  <c r="C308" i="4"/>
  <c r="C467" i="4"/>
  <c r="C438" i="4"/>
  <c r="C640" i="4"/>
  <c r="C784" i="4"/>
  <c r="C278" i="4"/>
  <c r="C563" i="4"/>
  <c r="C707" i="4"/>
  <c r="C259" i="4"/>
  <c r="C491" i="4"/>
  <c r="C873" i="4"/>
  <c r="C1017" i="4"/>
  <c r="C1161" i="4"/>
  <c r="C813" i="4"/>
  <c r="C880" i="4"/>
  <c r="C1024" i="4"/>
  <c r="C631" i="4"/>
  <c r="C541" i="4"/>
  <c r="C983" i="4"/>
  <c r="C1127" i="4"/>
  <c r="C757" i="4"/>
  <c r="C594" i="4"/>
  <c r="C978" i="4"/>
  <c r="C775" i="4"/>
  <c r="C810" i="4"/>
  <c r="C943" i="4"/>
  <c r="C457" i="4"/>
  <c r="C865" i="4"/>
  <c r="C1205" i="4"/>
  <c r="C1349" i="4"/>
  <c r="C709" i="4"/>
  <c r="C1254" i="4"/>
  <c r="C1398" i="4"/>
  <c r="C1088" i="4"/>
  <c r="C1134" i="4"/>
  <c r="C1321" i="4"/>
  <c r="C1064" i="4"/>
  <c r="C1310" i="4"/>
  <c r="C1100" i="4"/>
  <c r="C1138" i="4"/>
  <c r="C1094" i="4"/>
  <c r="C1634" i="4"/>
  <c r="C1778" i="4"/>
  <c r="C1371" i="4"/>
  <c r="C600" i="4"/>
  <c r="C1227" i="4"/>
  <c r="C1618" i="4"/>
  <c r="C1486" i="4"/>
  <c r="C1595" i="4"/>
  <c r="C1154" i="4"/>
  <c r="C769" i="4"/>
  <c r="C1849" i="4"/>
  <c r="C1842" i="4"/>
  <c r="C1335" i="4"/>
  <c r="C1336" i="4"/>
  <c r="C1962" i="4"/>
  <c r="C1720" i="4"/>
  <c r="C1465" i="4"/>
  <c r="C1897" i="4"/>
  <c r="C1090" i="4"/>
  <c r="C1531" i="4"/>
  <c r="C1445" i="4"/>
  <c r="C2112" i="4"/>
  <c r="C2134" i="4"/>
  <c r="C2278" i="4"/>
  <c r="C1709" i="4"/>
  <c r="C1942" i="4"/>
  <c r="C2207" i="4"/>
  <c r="C1750" i="4"/>
  <c r="C2100" i="4"/>
  <c r="C2078" i="4"/>
  <c r="C2250" i="4"/>
  <c r="C1554" i="4"/>
  <c r="C1882" i="4"/>
  <c r="C2161" i="4"/>
  <c r="C2305" i="4"/>
  <c r="C2023" i="4"/>
  <c r="C2125" i="4"/>
  <c r="C2270" i="4"/>
  <c r="C2049" i="4"/>
  <c r="C2097" i="4"/>
  <c r="C2253" i="4"/>
  <c r="C1767" i="4"/>
  <c r="C27" i="4"/>
  <c r="C171" i="4"/>
  <c r="C315" i="4"/>
  <c r="C459" i="4"/>
  <c r="C100" i="4"/>
  <c r="C244" i="4"/>
  <c r="C95" i="4"/>
  <c r="C239" i="4"/>
  <c r="C120" i="4"/>
  <c r="C264" i="4"/>
  <c r="C73" i="4"/>
  <c r="C217" i="4"/>
  <c r="C128" i="4"/>
  <c r="C342" i="4"/>
  <c r="C614" i="4"/>
  <c r="C343" i="4"/>
  <c r="C295" i="4"/>
  <c r="C458" i="4"/>
  <c r="C646" i="4"/>
  <c r="C790" i="4"/>
  <c r="C298" i="4"/>
  <c r="C569" i="4"/>
  <c r="C713" i="4"/>
  <c r="C299" i="4"/>
  <c r="C510" i="4"/>
  <c r="C879" i="4"/>
  <c r="C1023" i="4"/>
  <c r="C1167" i="4"/>
  <c r="C836" i="4"/>
  <c r="C886" i="4"/>
  <c r="C1030" i="4"/>
  <c r="C649" i="4"/>
  <c r="C565" i="4"/>
  <c r="C989" i="4"/>
  <c r="C1133" i="4"/>
  <c r="C765" i="4"/>
  <c r="C618" i="4"/>
  <c r="C984" i="4"/>
  <c r="C783" i="4"/>
  <c r="C833" i="4"/>
  <c r="C949" i="4"/>
  <c r="C496" i="4"/>
  <c r="C385" i="4"/>
  <c r="C1211" i="4"/>
  <c r="C1355" i="4"/>
  <c r="C827" i="4"/>
  <c r="C1260" i="4"/>
  <c r="C1404" i="4"/>
  <c r="C1106" i="4"/>
  <c r="C1183" i="4"/>
  <c r="C1327" i="4"/>
  <c r="C422" i="4"/>
  <c r="C1316" i="4"/>
  <c r="C1118" i="4"/>
  <c r="C1186" i="4"/>
  <c r="C1130" i="4"/>
  <c r="C1640" i="4"/>
  <c r="C1784" i="4"/>
  <c r="C1384" i="4"/>
  <c r="C1102" i="4"/>
  <c r="C1251" i="4"/>
  <c r="C1624" i="4"/>
  <c r="C1528" i="4"/>
  <c r="C1601" i="4"/>
  <c r="C1444" i="4"/>
  <c r="C1162" i="4"/>
  <c r="C1857" i="4"/>
  <c r="C1407" i="4"/>
  <c r="C1415" i="4"/>
  <c r="C1493" i="4"/>
  <c r="C1968" i="4"/>
  <c r="C1737" i="4"/>
  <c r="C1527" i="4"/>
  <c r="C1903" i="4"/>
  <c r="C1561" i="4"/>
  <c r="C1572" i="4"/>
  <c r="C1510" i="4"/>
  <c r="C1707" i="4"/>
  <c r="C2140" i="4"/>
  <c r="C2284" i="4"/>
  <c r="C1749" i="4"/>
  <c r="C1985" i="4"/>
  <c r="C2213" i="4"/>
  <c r="C1831" i="4"/>
  <c r="C2129" i="4"/>
  <c r="C2101" i="4"/>
  <c r="C2256" i="4"/>
  <c r="C2021" i="4"/>
  <c r="C1892" i="4"/>
  <c r="C2167" i="4"/>
  <c r="C2311" i="4"/>
  <c r="C2031" i="4"/>
  <c r="C2132" i="4"/>
  <c r="C2276" i="4"/>
  <c r="C2057" i="4"/>
  <c r="C2104" i="4"/>
  <c r="C2259" i="4"/>
  <c r="C1817" i="4"/>
  <c r="C33" i="4"/>
  <c r="C177" i="4"/>
  <c r="C321" i="4"/>
  <c r="C465" i="4"/>
  <c r="C106" i="4"/>
  <c r="C250" i="4"/>
  <c r="C101" i="4"/>
  <c r="C245" i="4"/>
  <c r="C126" i="4"/>
  <c r="C270" i="4"/>
  <c r="C79" i="4"/>
  <c r="C223" i="4"/>
  <c r="C134" i="4"/>
  <c r="C362" i="4"/>
  <c r="C620" i="4"/>
  <c r="C384" i="4"/>
  <c r="C334" i="4"/>
  <c r="C497" i="4"/>
  <c r="C652" i="4"/>
  <c r="C796" i="4"/>
  <c r="C377" i="4"/>
  <c r="C575" i="4"/>
  <c r="C719" i="4"/>
  <c r="C326" i="4"/>
  <c r="C284" i="4"/>
  <c r="C885" i="4"/>
  <c r="C1029" i="4"/>
  <c r="C1173" i="4"/>
  <c r="C844" i="4"/>
  <c r="C892" i="4"/>
  <c r="C1036" i="4"/>
  <c r="C756" i="4"/>
  <c r="C589" i="4"/>
  <c r="C995" i="4"/>
  <c r="C1139" i="4"/>
  <c r="C816" i="4"/>
  <c r="C685" i="4"/>
  <c r="C990" i="4"/>
  <c r="C847" i="4"/>
  <c r="C855" i="4"/>
  <c r="C955" i="4"/>
  <c r="C525" i="4"/>
  <c r="C624" i="4"/>
  <c r="C1217" i="4"/>
  <c r="C1361" i="4"/>
  <c r="C1096" i="4"/>
  <c r="C1266" i="4"/>
  <c r="C1410" i="4"/>
  <c r="C1124" i="4"/>
  <c r="C1189" i="4"/>
  <c r="C1333" i="4"/>
  <c r="C1169" i="4"/>
  <c r="C1322" i="4"/>
  <c r="C1144" i="4"/>
  <c r="C1192" i="4"/>
  <c r="C1287" i="4"/>
  <c r="C1646" i="4"/>
  <c r="C1790" i="4"/>
  <c r="C1396" i="4"/>
  <c r="C1171" i="4"/>
  <c r="C1293" i="4"/>
  <c r="C1630" i="4"/>
  <c r="C1360" i="4"/>
  <c r="C1607" i="4"/>
  <c r="C1462" i="4"/>
  <c r="C1191" i="4"/>
  <c r="C735" i="4"/>
  <c r="C1455" i="4"/>
  <c r="C1523" i="4"/>
  <c r="C1587" i="4"/>
  <c r="C1974" i="4"/>
  <c r="C1746" i="4"/>
  <c r="C1569" i="4"/>
  <c r="C1909" i="4"/>
  <c r="C1599" i="4"/>
  <c r="C1714" i="4"/>
  <c r="C1665" i="4"/>
  <c r="C1775" i="4"/>
  <c r="C2146" i="4"/>
  <c r="C2290" i="4"/>
  <c r="C1776" i="4"/>
  <c r="C1994" i="4"/>
  <c r="C2219" i="4"/>
  <c r="C1862" i="4"/>
  <c r="C1955" i="4"/>
  <c r="C2108" i="4"/>
  <c r="C2262" i="4"/>
  <c r="C2030" i="4"/>
  <c r="C1900" i="4"/>
  <c r="C2173" i="4"/>
  <c r="C2317" i="4"/>
  <c r="C2048" i="4"/>
  <c r="C2138" i="4"/>
  <c r="C2282" i="4"/>
  <c r="C2073" i="4"/>
  <c r="C2119" i="4"/>
  <c r="C2265" i="4"/>
  <c r="C1957" i="4"/>
  <c r="C39" i="4"/>
  <c r="C183" i="4"/>
  <c r="C327" i="4"/>
  <c r="C471" i="4"/>
  <c r="C112" i="4"/>
  <c r="C256" i="4"/>
  <c r="C107" i="4"/>
  <c r="C251" i="4"/>
  <c r="C132" i="4"/>
  <c r="C276" i="4"/>
  <c r="C85" i="4"/>
  <c r="C229" i="4"/>
  <c r="C140" i="4"/>
  <c r="C373" i="4"/>
  <c r="C626" i="4"/>
  <c r="C404" i="4"/>
  <c r="C344" i="4"/>
  <c r="C514" i="4"/>
  <c r="C658" i="4"/>
  <c r="C802" i="4"/>
  <c r="C388" i="4"/>
  <c r="C581" i="4"/>
  <c r="C725" i="4"/>
  <c r="C348" i="4"/>
  <c r="C360" i="4"/>
  <c r="C891" i="4"/>
  <c r="C1035" i="4"/>
  <c r="C1179" i="4"/>
  <c r="C350" i="4"/>
  <c r="C898" i="4"/>
  <c r="C1042" i="4"/>
  <c r="C764" i="4"/>
  <c r="C613" i="4"/>
  <c r="C1001" i="4"/>
  <c r="C1145" i="4"/>
  <c r="C839" i="4"/>
  <c r="C792" i="4"/>
  <c r="C996" i="4"/>
  <c r="C870" i="4"/>
  <c r="C372" i="4"/>
  <c r="C961" i="4"/>
  <c r="C549" i="4"/>
  <c r="C857" i="4"/>
  <c r="C1223" i="4"/>
  <c r="C1367" i="4"/>
  <c r="C1114" i="4"/>
  <c r="C1272" i="4"/>
  <c r="C1416" i="4"/>
  <c r="C552" i="4"/>
  <c r="C1195" i="4"/>
  <c r="C1339" i="4"/>
  <c r="C1184" i="4"/>
  <c r="C1328" i="4"/>
  <c r="C1177" i="4"/>
  <c r="C1198" i="4"/>
  <c r="C1305" i="4"/>
  <c r="C1652" i="4"/>
  <c r="C1796" i="4"/>
  <c r="C1439" i="4"/>
  <c r="C1324" i="4"/>
  <c r="C1311" i="4"/>
  <c r="C1636" i="4"/>
  <c r="C1443" i="4"/>
  <c r="C1078" i="4"/>
  <c r="C1514" i="4"/>
  <c r="C1215" i="4"/>
  <c r="C1405" i="4"/>
  <c r="C1490" i="4"/>
  <c r="C1615" i="4"/>
  <c r="C1597" i="4"/>
  <c r="C1980" i="4"/>
  <c r="C1763" i="4"/>
  <c r="C1579" i="4"/>
  <c r="C1915" i="4"/>
  <c r="C1609" i="4"/>
  <c r="C1731" i="4"/>
  <c r="C1674" i="4"/>
  <c r="C1859" i="4"/>
  <c r="C2152" i="4"/>
  <c r="C2296" i="4"/>
  <c r="C1827" i="4"/>
  <c r="C2011" i="4"/>
  <c r="C2225" i="4"/>
  <c r="C1952" i="4"/>
  <c r="C1537" i="4"/>
  <c r="C2115" i="4"/>
  <c r="C2268" i="4"/>
  <c r="C2062" i="4"/>
  <c r="C1910" i="4"/>
  <c r="C2179" i="4"/>
  <c r="C2323" i="4"/>
  <c r="C2072" i="4"/>
  <c r="C2144" i="4"/>
  <c r="C2288" i="4"/>
  <c r="C2081" i="4"/>
  <c r="C2126" i="4"/>
  <c r="C2271" i="4"/>
  <c r="C2065" i="4"/>
  <c r="C45" i="4"/>
  <c r="C189" i="4"/>
  <c r="C333" i="4"/>
  <c r="C477" i="4"/>
  <c r="C118" i="4"/>
  <c r="C262" i="4"/>
  <c r="C113" i="4"/>
  <c r="C257" i="4"/>
  <c r="C138" i="4"/>
  <c r="C282" i="4"/>
  <c r="C91" i="4"/>
  <c r="C235" i="4"/>
  <c r="C146" i="4"/>
  <c r="C414" i="4"/>
  <c r="C632" i="4"/>
  <c r="C415" i="4"/>
  <c r="C355" i="4"/>
  <c r="C520" i="4"/>
  <c r="C664" i="4"/>
  <c r="C808" i="4"/>
  <c r="C449" i="4"/>
  <c r="C587" i="4"/>
  <c r="C731" i="4"/>
  <c r="C368" i="4"/>
  <c r="C380" i="4"/>
  <c r="C897" i="4"/>
  <c r="C1041" i="4"/>
  <c r="C349" i="4"/>
  <c r="C474" i="4"/>
  <c r="C904" i="4"/>
  <c r="C1048" i="4"/>
  <c r="C781" i="4"/>
  <c r="C705" i="4"/>
  <c r="C1007" i="4"/>
  <c r="C1151" i="4"/>
  <c r="C861" i="4"/>
  <c r="C800" i="4"/>
  <c r="C1002" i="4"/>
  <c r="C523" i="4"/>
  <c r="C673" i="4"/>
  <c r="C967" i="4"/>
  <c r="C573" i="4"/>
  <c r="C944" i="4"/>
  <c r="C1229" i="4"/>
  <c r="C1373" i="4"/>
  <c r="C1132" i="4"/>
  <c r="C1278" i="4"/>
  <c r="C1422" i="4"/>
  <c r="C710" i="4"/>
  <c r="C1201" i="4"/>
  <c r="C1345" i="4"/>
  <c r="C1190" i="4"/>
  <c r="C1334" i="4"/>
  <c r="C426" i="4"/>
  <c r="C1204" i="4"/>
  <c r="C1448" i="4"/>
  <c r="C1658" i="4"/>
  <c r="C1802" i="4"/>
  <c r="C1457" i="4"/>
  <c r="C1385" i="4"/>
  <c r="C1342" i="4"/>
  <c r="C1642" i="4"/>
  <c r="C1461" i="4"/>
  <c r="C1152" i="4"/>
  <c r="C1082" i="4"/>
  <c r="C1239" i="4"/>
  <c r="C1485" i="4"/>
  <c r="C1542" i="4"/>
  <c r="C1633" i="4"/>
  <c r="C1661" i="4"/>
  <c r="C1986" i="4"/>
  <c r="C1771" i="4"/>
  <c r="C1662" i="4"/>
  <c r="C1921" i="4"/>
  <c r="C1627" i="4"/>
  <c r="C1740" i="4"/>
  <c r="C1691" i="4"/>
  <c r="C1966" i="4"/>
  <c r="C2158" i="4"/>
  <c r="C2302" i="4"/>
  <c r="C1951" i="4"/>
  <c r="C2019" i="4"/>
  <c r="C2231" i="4"/>
  <c r="C1969" i="4"/>
  <c r="C1681" i="4"/>
  <c r="C2122" i="4"/>
  <c r="C2274" i="4"/>
  <c r="C2086" i="4"/>
  <c r="C1918" i="4"/>
  <c r="C2185" i="4"/>
  <c r="C2329" i="4"/>
  <c r="C2117" i="4"/>
  <c r="C2150" i="4"/>
  <c r="C2294" i="4"/>
  <c r="C2111" i="4"/>
  <c r="C2133" i="4"/>
  <c r="C2277" i="4"/>
  <c r="C1990" i="4"/>
  <c r="C1479" i="4"/>
  <c r="C51" i="4"/>
  <c r="C195" i="4"/>
  <c r="C339" i="4"/>
  <c r="C483" i="4"/>
  <c r="C124" i="4"/>
  <c r="C268" i="4"/>
  <c r="C119" i="4"/>
  <c r="C263" i="4"/>
  <c r="C144" i="4"/>
  <c r="C288" i="4"/>
  <c r="C97" i="4"/>
  <c r="C8" i="4"/>
  <c r="C152" i="4"/>
  <c r="C434" i="4"/>
  <c r="C638" i="4"/>
  <c r="C456" i="4"/>
  <c r="C396" i="4"/>
  <c r="C526" i="4"/>
  <c r="C670" i="4"/>
  <c r="C253" i="4"/>
  <c r="C460" i="4"/>
  <c r="C593" i="4"/>
  <c r="C737" i="4"/>
  <c r="C379" i="4"/>
  <c r="C391" i="4"/>
  <c r="C903" i="4"/>
  <c r="C1047" i="4"/>
  <c r="C627" i="4"/>
  <c r="C511" i="4"/>
  <c r="C910" i="4"/>
  <c r="C1054" i="4"/>
  <c r="C789" i="4"/>
  <c r="C853" i="4"/>
  <c r="C1013" i="4"/>
  <c r="C1157" i="4"/>
  <c r="C317" i="4"/>
  <c r="C824" i="4"/>
  <c r="C1008" i="4"/>
  <c r="C547" i="4"/>
  <c r="C699" i="4"/>
  <c r="C973" i="4"/>
  <c r="C597" i="4"/>
  <c r="C986" i="4"/>
  <c r="C1235" i="4"/>
  <c r="C1379" i="4"/>
  <c r="C338" i="4"/>
  <c r="C1284" i="4"/>
  <c r="C1428" i="4"/>
  <c r="C752" i="4"/>
  <c r="C1207" i="4"/>
  <c r="C1351" i="4"/>
  <c r="C1196" i="4"/>
  <c r="C1340" i="4"/>
  <c r="C842" i="4"/>
  <c r="C1210" i="4"/>
  <c r="C1466" i="4"/>
  <c r="C1664" i="4"/>
  <c r="C1808" i="4"/>
  <c r="C1484" i="4"/>
  <c r="C1397" i="4"/>
  <c r="C1411" i="4"/>
  <c r="C1648" i="4"/>
  <c r="C690" i="4"/>
  <c r="C1347" i="4"/>
  <c r="C1281" i="4"/>
  <c r="C1263" i="4"/>
  <c r="C1575" i="4"/>
  <c r="C1596" i="4"/>
  <c r="C1651" i="4"/>
  <c r="C1669" i="4"/>
  <c r="C1992" i="4"/>
  <c r="C1788" i="4"/>
  <c r="C1679" i="4"/>
  <c r="C1927" i="4"/>
  <c r="C1645" i="4"/>
  <c r="C1757" i="4"/>
  <c r="C1699" i="4"/>
  <c r="C2059" i="4"/>
  <c r="C2164" i="4"/>
  <c r="C2308" i="4"/>
  <c r="C1959" i="4"/>
  <c r="C2044" i="4"/>
  <c r="C2237" i="4"/>
  <c r="C1977" i="4"/>
  <c r="C1717" i="4"/>
  <c r="C2136" i="4"/>
  <c r="C2280" i="4"/>
  <c r="C2094" i="4"/>
  <c r="C1928" i="4"/>
  <c r="C2191" i="4"/>
  <c r="C2335" i="4"/>
  <c r="C2124" i="4"/>
  <c r="C2156" i="4"/>
  <c r="C2300" i="4"/>
  <c r="C2118" i="4"/>
  <c r="C2139" i="4"/>
  <c r="C2283" i="4"/>
  <c r="C1965" i="4"/>
  <c r="C1481" i="4"/>
  <c r="C57" i="4"/>
  <c r="C201" i="4"/>
  <c r="C345" i="4"/>
  <c r="C489" i="4"/>
  <c r="C130" i="4"/>
  <c r="C274" i="4"/>
  <c r="C125" i="4"/>
  <c r="C6" i="4"/>
  <c r="C150" i="4"/>
  <c r="C294" i="4"/>
  <c r="C103" i="4"/>
  <c r="C14" i="4"/>
  <c r="C158" i="4"/>
  <c r="C445" i="4"/>
  <c r="C644" i="4"/>
  <c r="C485" i="4"/>
  <c r="C416" i="4"/>
  <c r="C532" i="4"/>
  <c r="C676" i="4"/>
  <c r="C277" i="4"/>
  <c r="C479" i="4"/>
  <c r="C599" i="4"/>
  <c r="C743" i="4"/>
  <c r="C420" i="4"/>
  <c r="C432" i="4"/>
  <c r="C909" i="4"/>
  <c r="C1053" i="4"/>
  <c r="C645" i="4"/>
  <c r="C630" i="4"/>
  <c r="C916" i="4"/>
  <c r="C1060" i="4"/>
  <c r="C815" i="4"/>
  <c r="C875" i="4"/>
  <c r="C1019" i="4"/>
  <c r="C443" i="4"/>
  <c r="C446" i="4"/>
  <c r="C832" i="4"/>
  <c r="C1014" i="4"/>
  <c r="C571" i="4"/>
  <c r="C768" i="4"/>
  <c r="C979" i="4"/>
  <c r="C621" i="4"/>
  <c r="C1004" i="4"/>
  <c r="C1241" i="4"/>
  <c r="C528" i="4"/>
  <c r="C787" i="4"/>
  <c r="C1290" i="4"/>
  <c r="C1434" i="4"/>
  <c r="C794" i="4"/>
  <c r="C1213" i="4"/>
  <c r="C1357" i="4"/>
  <c r="C1202" i="4"/>
  <c r="C1346" i="4"/>
  <c r="C878" i="4"/>
  <c r="C1216" i="4"/>
  <c r="C1474" i="4"/>
  <c r="C1670" i="4"/>
  <c r="C1814" i="4"/>
  <c r="C1501" i="4"/>
  <c r="C1420" i="4"/>
  <c r="C1421" i="4"/>
  <c r="C1654" i="4"/>
  <c r="C1070" i="4"/>
  <c r="C1435" i="4"/>
  <c r="C1299" i="4"/>
  <c r="C1318" i="4"/>
  <c r="C1585" i="4"/>
  <c r="C1623" i="4"/>
  <c r="C1702" i="4"/>
  <c r="C1762" i="4"/>
  <c r="C1998" i="4"/>
  <c r="C1812" i="4"/>
  <c r="C1687" i="4"/>
  <c r="C1933" i="4"/>
  <c r="C1671" i="4"/>
  <c r="C1765" i="4"/>
  <c r="C1126" i="4"/>
  <c r="C2083" i="4"/>
  <c r="C2170" i="4"/>
  <c r="C2314" i="4"/>
  <c r="C1984" i="4"/>
  <c r="C2068" i="4"/>
  <c r="C2243" i="4"/>
  <c r="C2002" i="4"/>
  <c r="C2003" i="4"/>
  <c r="C2142" i="4"/>
  <c r="C2286" i="4"/>
  <c r="C2123" i="4"/>
  <c r="C1936" i="4"/>
  <c r="C2197" i="4"/>
  <c r="C2341" i="4"/>
  <c r="C1981" i="4"/>
  <c r="C2162" i="4"/>
  <c r="C2306" i="4"/>
  <c r="C1573" i="4"/>
  <c r="C2145" i="4"/>
  <c r="C2289" i="4"/>
  <c r="C1855" i="4"/>
  <c r="C1378" i="4"/>
  <c r="C63" i="4"/>
  <c r="C207" i="4"/>
  <c r="C351" i="4"/>
  <c r="C495" i="4"/>
  <c r="C136" i="4"/>
  <c r="C280" i="4"/>
  <c r="C131" i="4"/>
  <c r="C12" i="4"/>
  <c r="C156" i="4"/>
  <c r="C300" i="4"/>
  <c r="C109" i="4"/>
  <c r="C20" i="4"/>
  <c r="C164" i="4"/>
  <c r="C475" i="4"/>
  <c r="C650" i="4"/>
  <c r="C212" i="4"/>
  <c r="C427" i="4"/>
  <c r="C538" i="4"/>
  <c r="C682" i="4"/>
  <c r="C313" i="4"/>
  <c r="C314" i="4"/>
  <c r="C605" i="4"/>
  <c r="C749" i="4"/>
  <c r="C440" i="4"/>
  <c r="C452" i="4"/>
  <c r="C915" i="4"/>
  <c r="C1059" i="4"/>
  <c r="C663" i="4"/>
  <c r="C648" i="4"/>
  <c r="C922" i="4"/>
  <c r="C476" i="4"/>
  <c r="C837" i="4"/>
  <c r="C881" i="4"/>
  <c r="C1025" i="4"/>
  <c r="C633" i="4"/>
  <c r="C519" i="4"/>
  <c r="C876" i="4"/>
  <c r="C1020" i="4"/>
  <c r="C595" i="4"/>
  <c r="C776" i="4"/>
  <c r="C985" i="4"/>
  <c r="C639" i="4"/>
  <c r="C1022" i="4"/>
  <c r="C1247" i="4"/>
  <c r="C702" i="4"/>
  <c r="C950" i="4"/>
  <c r="C1296" i="4"/>
  <c r="C1440" i="4"/>
  <c r="C926" i="4"/>
  <c r="C1219" i="4"/>
  <c r="C1363" i="4"/>
  <c r="C1208" i="4"/>
  <c r="C1352" i="4"/>
  <c r="C998" i="4"/>
  <c r="C1222" i="4"/>
  <c r="C1532" i="4"/>
  <c r="C1676" i="4"/>
  <c r="C1820" i="4"/>
  <c r="C1509" i="4"/>
  <c r="C1441" i="4"/>
  <c r="C1442" i="4"/>
  <c r="C850" i="4"/>
  <c r="C1112" i="4"/>
  <c r="C1453" i="4"/>
  <c r="C1317" i="4"/>
  <c r="C1366" i="4"/>
  <c r="C1614" i="4"/>
  <c r="C1641" i="4"/>
  <c r="C1719" i="4"/>
  <c r="C1779" i="4"/>
  <c r="C2004" i="4"/>
  <c r="C1836" i="4"/>
  <c r="C1780" i="4"/>
  <c r="C1939" i="4"/>
  <c r="C1680" i="4"/>
  <c r="C1798" i="4"/>
  <c r="C1621" i="4"/>
  <c r="C1869" i="4"/>
  <c r="C2176" i="4"/>
  <c r="C2320" i="4"/>
  <c r="C2060" i="4"/>
  <c r="C2092" i="4"/>
  <c r="C2249" i="4"/>
  <c r="C2053" i="4"/>
  <c r="C2012" i="4"/>
  <c r="C2148" i="4"/>
  <c r="C2292" i="4"/>
  <c r="C2130" i="4"/>
  <c r="C1946" i="4"/>
  <c r="C2203" i="4"/>
  <c r="C1603" i="4"/>
  <c r="C1447" i="4"/>
  <c r="C2168" i="4"/>
  <c r="C2312" i="4"/>
  <c r="C1620" i="4"/>
  <c r="C2151" i="4"/>
  <c r="C2295" i="4"/>
  <c r="C2089" i="4"/>
  <c r="P656" i="5"/>
  <c r="P46" i="5"/>
  <c r="P30" i="5"/>
  <c r="P146" i="5"/>
  <c r="P201" i="5"/>
  <c r="P156" i="5"/>
  <c r="P229" i="5"/>
  <c r="P295" i="5"/>
  <c r="P446" i="5"/>
  <c r="P433" i="5"/>
  <c r="P432" i="5"/>
  <c r="P345" i="5"/>
  <c r="P613" i="5"/>
  <c r="P663" i="5"/>
  <c r="P752" i="5"/>
  <c r="P801" i="5"/>
  <c r="P891" i="5"/>
  <c r="P818" i="5"/>
  <c r="P1038" i="5"/>
  <c r="P863" i="5"/>
  <c r="P909" i="5"/>
  <c r="P1059" i="5"/>
  <c r="P1204" i="5"/>
  <c r="P1135" i="5"/>
  <c r="P1238" i="5"/>
  <c r="P1380" i="5"/>
  <c r="P1378" i="5"/>
  <c r="P1327" i="5"/>
  <c r="P1352" i="5"/>
  <c r="P1535" i="5"/>
  <c r="P1474" i="5"/>
  <c r="P1485" i="5"/>
  <c r="P1484" i="5"/>
  <c r="P1292" i="5"/>
  <c r="P1530" i="5"/>
  <c r="P1564" i="5"/>
  <c r="P1671" i="5"/>
  <c r="P1459" i="5"/>
  <c r="P1492" i="5"/>
  <c r="P1357" i="5"/>
  <c r="P1537" i="5"/>
  <c r="P1622" i="5"/>
  <c r="P1586" i="5"/>
  <c r="P1680" i="5"/>
  <c r="P1768" i="5"/>
  <c r="P1916" i="5"/>
  <c r="P1958" i="5"/>
  <c r="P1973" i="5"/>
  <c r="P1488" i="5"/>
  <c r="P1620" i="5"/>
  <c r="P1805" i="5"/>
  <c r="P58" i="5"/>
  <c r="P20" i="5"/>
  <c r="P79" i="5"/>
  <c r="P153" i="5"/>
  <c r="P112" i="5"/>
  <c r="P158" i="5"/>
  <c r="P150" i="5"/>
  <c r="P264" i="5"/>
  <c r="P377" i="5"/>
  <c r="P362" i="5"/>
  <c r="P458" i="5"/>
  <c r="P445" i="5"/>
  <c r="P394" i="5"/>
  <c r="P507" i="5"/>
  <c r="P490" i="5"/>
  <c r="P521" i="5"/>
  <c r="P548" i="5"/>
  <c r="P903" i="5"/>
  <c r="P836" i="5"/>
  <c r="P634" i="5"/>
  <c r="P850" i="5"/>
  <c r="P1039" i="5"/>
  <c r="P851" i="5"/>
  <c r="P1164" i="5"/>
  <c r="P1055" i="5"/>
  <c r="P784" i="5"/>
  <c r="P1043" i="5"/>
  <c r="P1177" i="5"/>
  <c r="P1099" i="5"/>
  <c r="P1254" i="5"/>
  <c r="P1071" i="5"/>
  <c r="P1392" i="5"/>
  <c r="P1415" i="5"/>
  <c r="P1390" i="5"/>
  <c r="P1339" i="5"/>
  <c r="P1486" i="5"/>
  <c r="P1497" i="5"/>
  <c r="P1360" i="5"/>
  <c r="P1496" i="5"/>
  <c r="P1337" i="5"/>
  <c r="P1542" i="5"/>
  <c r="P1576" i="5"/>
  <c r="P1340" i="5"/>
  <c r="P1650" i="5"/>
  <c r="P1617" i="5"/>
  <c r="P1736" i="5"/>
  <c r="P1644" i="5"/>
  <c r="P1770" i="5"/>
  <c r="P1525" i="5"/>
  <c r="P1863" i="5"/>
  <c r="P1682" i="5"/>
  <c r="P1764" i="5"/>
  <c r="P1928" i="5"/>
  <c r="P1886" i="5"/>
  <c r="P1750" i="5"/>
  <c r="P1962" i="5"/>
  <c r="P1906" i="5"/>
  <c r="P1918" i="5"/>
  <c r="P2001" i="5"/>
  <c r="P70" i="5"/>
  <c r="P32" i="5"/>
  <c r="P91" i="5"/>
  <c r="P54" i="5"/>
  <c r="P165" i="5"/>
  <c r="P124" i="5"/>
  <c r="P125" i="5"/>
  <c r="P196" i="5"/>
  <c r="P213" i="5"/>
  <c r="P261" i="5"/>
  <c r="P319" i="5"/>
  <c r="P276" i="5"/>
  <c r="P313" i="5"/>
  <c r="P374" i="5"/>
  <c r="P400" i="5"/>
  <c r="P470" i="5"/>
  <c r="P457" i="5"/>
  <c r="P456" i="5"/>
  <c r="P519" i="5"/>
  <c r="P440" i="5"/>
  <c r="P489" i="5"/>
  <c r="P584" i="5"/>
  <c r="P550" i="5"/>
  <c r="P678" i="5"/>
  <c r="P687" i="5"/>
  <c r="P594" i="5"/>
  <c r="P871" i="5"/>
  <c r="P799" i="5"/>
  <c r="P915" i="5"/>
  <c r="P825" i="5"/>
  <c r="P838" i="5"/>
  <c r="P862" i="5"/>
  <c r="P936" i="5"/>
  <c r="P920" i="5"/>
  <c r="P982" i="5"/>
  <c r="P1176" i="5"/>
  <c r="P1067" i="5"/>
  <c r="P959" i="5"/>
  <c r="P1028" i="5"/>
  <c r="P1083" i="5"/>
  <c r="P1231" i="5"/>
  <c r="P1169" i="5"/>
  <c r="P1262" i="5"/>
  <c r="P1404" i="5"/>
  <c r="P1427" i="5"/>
  <c r="P1402" i="5"/>
  <c r="P1351" i="5"/>
  <c r="P1498" i="5"/>
  <c r="P1509" i="5"/>
  <c r="P1508" i="5"/>
  <c r="P1514" i="5"/>
  <c r="P1553" i="5"/>
  <c r="P1588" i="5"/>
  <c r="P1480" i="5"/>
  <c r="P1683" i="5"/>
  <c r="P1569" i="5"/>
  <c r="P1656" i="5"/>
  <c r="P1610" i="5"/>
  <c r="P1748" i="5"/>
  <c r="P1782" i="5"/>
  <c r="P1685" i="5"/>
  <c r="P1769" i="5"/>
  <c r="P1940" i="5"/>
  <c r="P1890" i="5"/>
  <c r="P1828" i="5"/>
  <c r="P1985" i="5"/>
  <c r="P82" i="5"/>
  <c r="P44" i="5"/>
  <c r="P66" i="5"/>
  <c r="P136" i="5"/>
  <c r="P208" i="5"/>
  <c r="P183" i="5"/>
  <c r="P212" i="5"/>
  <c r="P288" i="5"/>
  <c r="P386" i="5"/>
  <c r="P300" i="5"/>
  <c r="P334" i="5"/>
  <c r="P412" i="5"/>
  <c r="P217" i="5"/>
  <c r="P469" i="5"/>
  <c r="P468" i="5"/>
  <c r="P531" i="5"/>
  <c r="P542" i="5"/>
  <c r="P586" i="5"/>
  <c r="P667" i="5"/>
  <c r="P690" i="5"/>
  <c r="P658" i="5"/>
  <c r="P712" i="5"/>
  <c r="P787" i="5"/>
  <c r="P844" i="5"/>
  <c r="P689" i="5"/>
  <c r="P927" i="5"/>
  <c r="P874" i="5"/>
  <c r="P945" i="5"/>
  <c r="P946" i="5"/>
  <c r="P894" i="5"/>
  <c r="P1079" i="5"/>
  <c r="P913" i="5"/>
  <c r="P1136" i="5"/>
  <c r="P1148" i="5"/>
  <c r="P1243" i="5"/>
  <c r="P1274" i="5"/>
  <c r="P1073" i="5"/>
  <c r="P1416" i="5"/>
  <c r="P1414" i="5"/>
  <c r="P1224" i="5"/>
  <c r="P1363" i="5"/>
  <c r="P1410" i="5"/>
  <c r="P1510" i="5"/>
  <c r="P1364" i="5"/>
  <c r="P1521" i="5"/>
  <c r="P1520" i="5"/>
  <c r="P1345" i="5"/>
  <c r="P1567" i="5"/>
  <c r="P1555" i="5"/>
  <c r="P1600" i="5"/>
  <c r="P1657" i="5"/>
  <c r="P1695" i="5"/>
  <c r="P1760" i="5"/>
  <c r="P1794" i="5"/>
  <c r="P1578" i="5"/>
  <c r="P1689" i="5"/>
  <c r="P1816" i="5"/>
  <c r="P1865" i="5"/>
  <c r="P1840" i="5"/>
  <c r="P1952" i="5"/>
  <c r="P1966" i="5"/>
  <c r="P1983" i="5"/>
  <c r="P94" i="5"/>
  <c r="P9" i="5"/>
  <c r="P56" i="5"/>
  <c r="P4" i="5"/>
  <c r="P148" i="5"/>
  <c r="P171" i="5"/>
  <c r="P177" i="5"/>
  <c r="P245" i="5"/>
  <c r="P285" i="5"/>
  <c r="P296" i="5"/>
  <c r="P270" i="5"/>
  <c r="P120" i="5"/>
  <c r="P248" i="5"/>
  <c r="P330" i="5"/>
  <c r="P346" i="5"/>
  <c r="P424" i="5"/>
  <c r="P361" i="5"/>
  <c r="P442" i="5"/>
  <c r="P494" i="5"/>
  <c r="P616" i="5"/>
  <c r="P581" i="5"/>
  <c r="P672" i="5"/>
  <c r="P680" i="5"/>
  <c r="P702" i="5"/>
  <c r="P675" i="5"/>
  <c r="P766" i="5"/>
  <c r="P856" i="5"/>
  <c r="P821" i="5"/>
  <c r="P886" i="5"/>
  <c r="P957" i="5"/>
  <c r="P812" i="5"/>
  <c r="P806" i="5"/>
  <c r="P906" i="5"/>
  <c r="P1091" i="5"/>
  <c r="P948" i="5"/>
  <c r="P1062" i="5"/>
  <c r="P1134" i="5"/>
  <c r="P1255" i="5"/>
  <c r="P1290" i="5"/>
  <c r="P1286" i="5"/>
  <c r="P1289" i="5"/>
  <c r="P1229" i="5"/>
  <c r="P1428" i="5"/>
  <c r="P1426" i="5"/>
  <c r="P1228" i="5"/>
  <c r="P1375" i="5"/>
  <c r="P1522" i="5"/>
  <c r="P1108" i="5"/>
  <c r="P1533" i="5"/>
  <c r="P1532" i="5"/>
  <c r="P1328" i="5"/>
  <c r="P1565" i="5"/>
  <c r="P1612" i="5"/>
  <c r="P1478" i="5"/>
  <c r="P1608" i="5"/>
  <c r="P1471" i="5"/>
  <c r="P1707" i="5"/>
  <c r="P1662" i="5"/>
  <c r="P1772" i="5"/>
  <c r="P1735" i="5"/>
  <c r="P1806" i="5"/>
  <c r="P1785" i="5"/>
  <c r="P1786" i="5"/>
  <c r="P1964" i="5"/>
  <c r="P1917" i="5"/>
  <c r="P1728" i="5"/>
  <c r="P1937" i="5"/>
  <c r="P106" i="5"/>
  <c r="P21" i="5"/>
  <c r="P68" i="5"/>
  <c r="P160" i="5"/>
  <c r="P101" i="5"/>
  <c r="P232" i="5"/>
  <c r="P187" i="5"/>
  <c r="P308" i="5"/>
  <c r="P282" i="5"/>
  <c r="P268" i="5"/>
  <c r="P255" i="5"/>
  <c r="P342" i="5"/>
  <c r="P316" i="5"/>
  <c r="P358" i="5"/>
  <c r="P399" i="5"/>
  <c r="P383" i="5"/>
  <c r="P500" i="5"/>
  <c r="P449" i="5"/>
  <c r="P525" i="5"/>
  <c r="P628" i="5"/>
  <c r="P684" i="5"/>
  <c r="P692" i="5"/>
  <c r="P714" i="5"/>
  <c r="P698" i="5"/>
  <c r="P722" i="5"/>
  <c r="P533" i="5"/>
  <c r="P907" i="5"/>
  <c r="P868" i="5"/>
  <c r="P834" i="5"/>
  <c r="P898" i="5"/>
  <c r="P925" i="5"/>
  <c r="P802" i="5"/>
  <c r="P1034" i="5"/>
  <c r="P1103" i="5"/>
  <c r="P923" i="5"/>
  <c r="P973" i="5"/>
  <c r="P1223" i="5"/>
  <c r="P1101" i="5"/>
  <c r="P1267" i="5"/>
  <c r="P1100" i="5"/>
  <c r="P1298" i="5"/>
  <c r="P1112" i="5"/>
  <c r="P1084" i="5"/>
  <c r="P1264" i="5"/>
  <c r="P1438" i="5"/>
  <c r="P1304" i="5"/>
  <c r="P1387" i="5"/>
  <c r="P1534" i="5"/>
  <c r="P1545" i="5"/>
  <c r="P1362" i="5"/>
  <c r="P1544" i="5"/>
  <c r="P1577" i="5"/>
  <c r="P1447" i="5"/>
  <c r="P1624" i="5"/>
  <c r="P1317" i="5"/>
  <c r="P1483" i="5"/>
  <c r="P1719" i="5"/>
  <c r="P1784" i="5"/>
  <c r="P1747" i="5"/>
  <c r="P1818" i="5"/>
  <c r="P1658" i="5"/>
  <c r="P1884" i="5"/>
  <c r="P1976" i="5"/>
  <c r="P1913" i="5"/>
  <c r="P1846" i="5"/>
  <c r="P1929" i="5"/>
  <c r="P1740" i="5"/>
  <c r="P1978" i="5"/>
  <c r="P1905" i="5"/>
  <c r="P12" i="5"/>
  <c r="P33" i="5"/>
  <c r="P172" i="5"/>
  <c r="P244" i="5"/>
  <c r="P195" i="5"/>
  <c r="P138" i="5"/>
  <c r="P174" i="5"/>
  <c r="P180" i="5"/>
  <c r="P199" i="5"/>
  <c r="P280" i="5"/>
  <c r="P354" i="5"/>
  <c r="P279" i="5"/>
  <c r="P370" i="5"/>
  <c r="P411" i="5"/>
  <c r="P323" i="5"/>
  <c r="P403" i="5"/>
  <c r="P467" i="5"/>
  <c r="P499" i="5"/>
  <c r="P640" i="5"/>
  <c r="P606" i="5"/>
  <c r="P570" i="5"/>
  <c r="P638" i="5"/>
  <c r="P682" i="5"/>
  <c r="P704" i="5"/>
  <c r="P677" i="5"/>
  <c r="P738" i="5"/>
  <c r="P880" i="5"/>
  <c r="P852" i="5"/>
  <c r="P912" i="5"/>
  <c r="P1115" i="5"/>
  <c r="P1036" i="5"/>
  <c r="P864" i="5"/>
  <c r="P1074" i="5"/>
  <c r="P1095" i="5"/>
  <c r="P1109" i="5"/>
  <c r="P1399" i="5"/>
  <c r="P1546" i="5"/>
  <c r="P1557" i="5"/>
  <c r="P1556" i="5"/>
  <c r="P1180" i="5"/>
  <c r="P1432" i="5"/>
  <c r="P1589" i="5"/>
  <c r="P1636" i="5"/>
  <c r="P1444" i="5"/>
  <c r="P1668" i="5"/>
  <c r="P1585" i="5"/>
  <c r="P1324" i="5"/>
  <c r="P1453" i="5"/>
  <c r="P1597" i="5"/>
  <c r="P1443" i="5"/>
  <c r="P1796" i="5"/>
  <c r="P1759" i="5"/>
  <c r="P1830" i="5"/>
  <c r="P1845" i="5"/>
  <c r="P1757" i="5"/>
  <c r="P1988" i="5"/>
  <c r="P1810" i="5"/>
  <c r="P1922" i="5"/>
  <c r="P24" i="5"/>
  <c r="P45" i="5"/>
  <c r="P92" i="5"/>
  <c r="P184" i="5"/>
  <c r="P133" i="5"/>
  <c r="P178" i="5"/>
  <c r="P225" i="5"/>
  <c r="P292" i="5"/>
  <c r="P219" i="5"/>
  <c r="P366" i="5"/>
  <c r="P328" i="5"/>
  <c r="P382" i="5"/>
  <c r="P460" i="5"/>
  <c r="P423" i="5"/>
  <c r="P392" i="5"/>
  <c r="P454" i="5"/>
  <c r="P466" i="5"/>
  <c r="P602" i="5"/>
  <c r="P566" i="5"/>
  <c r="P652" i="5"/>
  <c r="P608" i="5"/>
  <c r="P572" i="5"/>
  <c r="P694" i="5"/>
  <c r="P716" i="5"/>
  <c r="P783" i="5"/>
  <c r="P931" i="5"/>
  <c r="P892" i="5"/>
  <c r="P842" i="5"/>
  <c r="P841" i="5"/>
  <c r="P750" i="5"/>
  <c r="P860" i="5"/>
  <c r="P953" i="5"/>
  <c r="P932" i="5"/>
  <c r="P970" i="5"/>
  <c r="P1127" i="5"/>
  <c r="P975" i="5"/>
  <c r="P1157" i="5"/>
  <c r="P1291" i="5"/>
  <c r="P1111" i="5"/>
  <c r="P1009" i="5"/>
  <c r="P1411" i="5"/>
  <c r="P1377" i="5"/>
  <c r="P1329" i="5"/>
  <c r="P1393" i="5"/>
  <c r="P1314" i="5"/>
  <c r="P1456" i="5"/>
  <c r="P1489" i="5"/>
  <c r="P1601" i="5"/>
  <c r="P1648" i="5"/>
  <c r="P1388" i="5"/>
  <c r="P1240" i="5"/>
  <c r="P1572" i="5"/>
  <c r="P1642" i="5"/>
  <c r="P1665" i="5"/>
  <c r="P1704" i="5"/>
  <c r="P1808" i="5"/>
  <c r="P1584" i="5"/>
  <c r="P1771" i="5"/>
  <c r="P1842" i="5"/>
  <c r="P1629" i="5"/>
  <c r="P1674" i="5"/>
  <c r="P1729" i="5"/>
  <c r="P1809" i="5"/>
  <c r="P1853" i="5"/>
  <c r="P1817" i="5"/>
  <c r="P1891" i="5"/>
  <c r="P1996" i="5"/>
  <c r="P1926" i="5"/>
  <c r="P1990" i="5"/>
  <c r="P1889" i="5"/>
  <c r="P36" i="5"/>
  <c r="P108" i="5"/>
  <c r="P29" i="5"/>
  <c r="P102" i="5"/>
  <c r="P304" i="5"/>
  <c r="P222" i="5"/>
  <c r="P303" i="5"/>
  <c r="P378" i="5"/>
  <c r="P340" i="5"/>
  <c r="P325" i="5"/>
  <c r="P618" i="5"/>
  <c r="P728" i="5"/>
  <c r="P845" i="5"/>
  <c r="P904" i="5"/>
  <c r="P854" i="5"/>
  <c r="P853" i="5"/>
  <c r="P713" i="5"/>
  <c r="P965" i="5"/>
  <c r="P1030" i="5"/>
  <c r="P997" i="5"/>
  <c r="P1010" i="5"/>
  <c r="P901" i="5"/>
  <c r="P1046" i="5"/>
  <c r="P961" i="5"/>
  <c r="P971" i="5"/>
  <c r="P987" i="5"/>
  <c r="P926" i="5"/>
  <c r="P1171" i="5"/>
  <c r="P1423" i="5"/>
  <c r="P1613" i="5"/>
  <c r="P1660" i="5"/>
  <c r="P1261" i="5"/>
  <c r="P1543" i="5"/>
  <c r="P1621" i="5"/>
  <c r="P1706" i="5"/>
  <c r="P1820" i="5"/>
  <c r="P1783" i="5"/>
  <c r="P1854" i="5"/>
  <c r="P1618" i="5"/>
  <c r="P1789" i="5"/>
  <c r="P1903" i="5"/>
  <c r="P1946" i="5"/>
  <c r="P27" i="5"/>
  <c r="P48" i="5"/>
  <c r="P69" i="5"/>
  <c r="P103" i="5"/>
  <c r="P116" i="5"/>
  <c r="P157" i="5"/>
  <c r="P181" i="5"/>
  <c r="P109" i="5"/>
  <c r="P227" i="5"/>
  <c r="P333" i="5"/>
  <c r="P390" i="5"/>
  <c r="P352" i="5"/>
  <c r="P461" i="5"/>
  <c r="P510" i="5"/>
  <c r="P402" i="5"/>
  <c r="P630" i="5"/>
  <c r="P718" i="5"/>
  <c r="P679" i="5"/>
  <c r="P739" i="5"/>
  <c r="P779" i="5"/>
  <c r="P700" i="5"/>
  <c r="P760" i="5"/>
  <c r="P857" i="5"/>
  <c r="P830" i="5"/>
  <c r="P916" i="5"/>
  <c r="P583" i="5"/>
  <c r="P977" i="5"/>
  <c r="P877" i="5"/>
  <c r="P937" i="5"/>
  <c r="P999" i="5"/>
  <c r="P1151" i="5"/>
  <c r="P994" i="5"/>
  <c r="P949" i="5"/>
  <c r="P1089" i="5"/>
  <c r="P1170" i="5"/>
  <c r="P1196" i="5"/>
  <c r="P1113" i="5"/>
  <c r="P1123" i="5"/>
  <c r="P1173" i="5"/>
  <c r="P1323" i="5"/>
  <c r="P1098" i="5"/>
  <c r="P1435" i="5"/>
  <c r="P1401" i="5"/>
  <c r="P1349" i="5"/>
  <c r="P1507" i="5"/>
  <c r="P1625" i="5"/>
  <c r="P1466" i="5"/>
  <c r="P1672" i="5"/>
  <c r="P1400" i="5"/>
  <c r="P1541" i="5"/>
  <c r="P1518" i="5"/>
  <c r="P1645" i="5"/>
  <c r="P1574" i="5"/>
  <c r="P1633" i="5"/>
  <c r="P1832" i="5"/>
  <c r="P1795" i="5"/>
  <c r="P1866" i="5"/>
  <c r="P1638" i="5"/>
  <c r="P1780" i="5"/>
  <c r="P1804" i="5"/>
  <c r="P1766" i="5"/>
  <c r="P1833" i="5"/>
  <c r="P1950" i="5"/>
  <c r="P1941" i="5"/>
  <c r="P1893" i="5"/>
  <c r="P1961" i="5"/>
  <c r="P813" i="5"/>
  <c r="P1539" i="5"/>
  <c r="P81" i="5"/>
  <c r="P128" i="5"/>
  <c r="P115" i="5"/>
  <c r="P89" i="5"/>
  <c r="P64" i="5"/>
  <c r="P114" i="5"/>
  <c r="P267" i="5"/>
  <c r="P364" i="5"/>
  <c r="P363" i="5"/>
  <c r="P393" i="5"/>
  <c r="P498" i="5"/>
  <c r="P526" i="5"/>
  <c r="P551" i="5"/>
  <c r="P538" i="5"/>
  <c r="P642" i="5"/>
  <c r="P730" i="5"/>
  <c r="P819" i="5"/>
  <c r="P791" i="5"/>
  <c r="P928" i="5"/>
  <c r="P774" i="5"/>
  <c r="P950" i="5"/>
  <c r="P988" i="5"/>
  <c r="P986" i="5"/>
  <c r="P1163" i="5"/>
  <c r="P998" i="5"/>
  <c r="P1172" i="5"/>
  <c r="P1208" i="5"/>
  <c r="P1146" i="5"/>
  <c r="P1117" i="5"/>
  <c r="P1119" i="5"/>
  <c r="P1060" i="5"/>
  <c r="P1201" i="5"/>
  <c r="P1149" i="5"/>
  <c r="P1077" i="5"/>
  <c r="P1143" i="5"/>
  <c r="P1412" i="5"/>
  <c r="P1189" i="5"/>
  <c r="P1458" i="5"/>
  <c r="P1468" i="5"/>
  <c r="P1637" i="5"/>
  <c r="P1482" i="5"/>
  <c r="P1529" i="5"/>
  <c r="P1844" i="5"/>
  <c r="P1807" i="5"/>
  <c r="P1841" i="5"/>
  <c r="P1862" i="5"/>
  <c r="P1826" i="5"/>
  <c r="P1971" i="5"/>
  <c r="P1887" i="5"/>
  <c r="P1930" i="5"/>
  <c r="P385" i="5"/>
  <c r="P53" i="5"/>
  <c r="P140" i="5"/>
  <c r="P127" i="5"/>
  <c r="P190" i="5"/>
  <c r="P223" i="5"/>
  <c r="P376" i="5"/>
  <c r="P476" i="5"/>
  <c r="P654" i="5"/>
  <c r="P662" i="5"/>
  <c r="P619" i="5"/>
  <c r="P549" i="5"/>
  <c r="P703" i="5"/>
  <c r="P609" i="5"/>
  <c r="P605" i="5"/>
  <c r="P749" i="5"/>
  <c r="P881" i="5"/>
  <c r="P940" i="5"/>
  <c r="P794" i="5"/>
  <c r="P1001" i="5"/>
  <c r="P1022" i="5"/>
  <c r="P1066" i="5"/>
  <c r="P1000" i="5"/>
  <c r="P1107" i="5"/>
  <c r="P1252" i="5"/>
  <c r="P1249" i="5"/>
  <c r="P1145" i="5"/>
  <c r="P1389" i="5"/>
  <c r="P1353" i="5"/>
  <c r="P1413" i="5"/>
  <c r="P1470" i="5"/>
  <c r="P1649" i="5"/>
  <c r="P1527" i="5"/>
  <c r="P1384" i="5"/>
  <c r="P1200" i="5"/>
  <c r="P1684" i="5"/>
  <c r="P1669" i="5"/>
  <c r="P1856" i="5"/>
  <c r="P1819" i="5"/>
  <c r="P1812" i="5"/>
  <c r="P1730" i="5"/>
  <c r="P1873" i="5"/>
  <c r="P1956" i="5"/>
  <c r="P1871" i="5"/>
  <c r="P1982" i="5"/>
  <c r="P1781" i="5"/>
  <c r="P1877" i="5"/>
  <c r="P1910" i="5"/>
  <c r="P1761" i="5"/>
  <c r="P311" i="5"/>
  <c r="P1195" i="5"/>
  <c r="P1213" i="5"/>
  <c r="P25" i="5"/>
  <c r="P84" i="5"/>
  <c r="P105" i="5"/>
  <c r="P152" i="5"/>
  <c r="P202" i="5"/>
  <c r="P335" i="5"/>
  <c r="P324" i="5"/>
  <c r="P405" i="5"/>
  <c r="P493" i="5"/>
  <c r="P428" i="5"/>
  <c r="P552" i="5"/>
  <c r="P666" i="5"/>
  <c r="P593" i="5"/>
  <c r="P585" i="5"/>
  <c r="P754" i="5"/>
  <c r="P562" i="5"/>
  <c r="P715" i="5"/>
  <c r="P558" i="5"/>
  <c r="P768" i="5"/>
  <c r="P789" i="5"/>
  <c r="P701" i="5"/>
  <c r="P1013" i="5"/>
  <c r="P1078" i="5"/>
  <c r="P996" i="5"/>
  <c r="P1179" i="5"/>
  <c r="P1232" i="5"/>
  <c r="P976" i="5"/>
  <c r="P1277" i="5"/>
  <c r="P1253" i="5"/>
  <c r="P1236" i="5"/>
  <c r="P1374" i="5"/>
  <c r="P1442" i="5"/>
  <c r="P1336" i="5"/>
  <c r="P1661" i="5"/>
  <c r="P1517" i="5"/>
  <c r="P1338" i="5"/>
  <c r="P1513" i="5"/>
  <c r="P1515" i="5"/>
  <c r="P1560" i="5"/>
  <c r="P1696" i="5"/>
  <c r="P1831" i="5"/>
  <c r="P1681" i="5"/>
  <c r="P1598" i="5"/>
  <c r="P1692" i="5"/>
  <c r="P1705" i="5"/>
  <c r="P1717" i="5"/>
  <c r="P1596" i="5"/>
  <c r="P1754" i="5"/>
  <c r="P1749" i="5"/>
  <c r="P1885" i="5"/>
  <c r="P1883" i="5"/>
  <c r="P1824" i="5"/>
  <c r="P1951" i="5"/>
  <c r="P1788" i="5"/>
  <c r="P1914" i="5"/>
  <c r="P11" i="5"/>
  <c r="P155" i="5"/>
  <c r="P164" i="5"/>
  <c r="P151" i="5"/>
  <c r="P76" i="5"/>
  <c r="P16" i="5"/>
  <c r="P214" i="5"/>
  <c r="P188" i="5"/>
  <c r="P144" i="5"/>
  <c r="P242" i="5"/>
  <c r="P198" i="5"/>
  <c r="P243" i="5"/>
  <c r="P344" i="5"/>
  <c r="P360" i="5"/>
  <c r="P357" i="5"/>
  <c r="P406" i="5"/>
  <c r="P417" i="5"/>
  <c r="P484" i="5"/>
  <c r="P505" i="5"/>
  <c r="P579" i="5"/>
  <c r="P564" i="5"/>
  <c r="P587" i="5"/>
  <c r="P482" i="5"/>
  <c r="P595" i="5"/>
  <c r="P721" i="5"/>
  <c r="P547" i="5"/>
  <c r="P681" i="5"/>
  <c r="P727" i="5"/>
  <c r="P626" i="5"/>
  <c r="P737" i="5"/>
  <c r="P780" i="5"/>
  <c r="P827" i="5"/>
  <c r="P822" i="5"/>
  <c r="P858" i="5"/>
  <c r="P905" i="5"/>
  <c r="P778" i="5"/>
  <c r="P796" i="5"/>
  <c r="P933" i="5"/>
  <c r="P1025" i="5"/>
  <c r="P963" i="5"/>
  <c r="P1090" i="5"/>
  <c r="P985" i="5"/>
  <c r="P1124" i="5"/>
  <c r="P1244" i="5"/>
  <c r="P1137" i="5"/>
  <c r="P1088" i="5"/>
  <c r="P1203" i="5"/>
  <c r="P1141" i="5"/>
  <c r="P1221" i="5"/>
  <c r="P1281" i="5"/>
  <c r="P1302" i="5"/>
  <c r="P1526" i="5"/>
  <c r="P1673" i="5"/>
  <c r="P1550" i="5"/>
  <c r="P1708" i="5"/>
  <c r="P1691" i="5"/>
  <c r="P1716" i="5"/>
  <c r="P1843" i="5"/>
  <c r="P1694" i="5"/>
  <c r="P1850" i="5"/>
  <c r="P1897" i="5"/>
  <c r="P1895" i="5"/>
  <c r="P1822" i="5"/>
  <c r="P1790" i="5"/>
  <c r="P23" i="5"/>
  <c r="P176" i="5"/>
  <c r="P163" i="5"/>
  <c r="P126" i="5"/>
  <c r="P226" i="5"/>
  <c r="P147" i="5"/>
  <c r="P218" i="5"/>
  <c r="P246" i="5"/>
  <c r="P237" i="5"/>
  <c r="P371" i="5"/>
  <c r="P418" i="5"/>
  <c r="P429" i="5"/>
  <c r="P480" i="5"/>
  <c r="P576" i="5"/>
  <c r="P536" i="5"/>
  <c r="P617" i="5"/>
  <c r="P761" i="5"/>
  <c r="P751" i="5"/>
  <c r="P792" i="5"/>
  <c r="P740" i="5"/>
  <c r="P824" i="5"/>
  <c r="P917" i="5"/>
  <c r="P776" i="5"/>
  <c r="P782" i="5"/>
  <c r="P798" i="5"/>
  <c r="P1037" i="5"/>
  <c r="P911" i="5"/>
  <c r="P1044" i="5"/>
  <c r="P1102" i="5"/>
  <c r="P1011" i="5"/>
  <c r="P1040" i="5"/>
  <c r="P1197" i="5"/>
  <c r="P1125" i="5"/>
  <c r="P1033" i="5"/>
  <c r="P1216" i="5"/>
  <c r="P1188" i="5"/>
  <c r="P1257" i="5"/>
  <c r="P1285" i="5"/>
  <c r="P1265" i="5"/>
  <c r="P810" i="5"/>
  <c r="P1531" i="5"/>
  <c r="P1552" i="5"/>
  <c r="P1131" i="5"/>
  <c r="P1720" i="5"/>
  <c r="P1632" i="5"/>
  <c r="P1721" i="5"/>
  <c r="P1506" i="5"/>
  <c r="P1855" i="5"/>
  <c r="P1731" i="5"/>
  <c r="P1741" i="5"/>
  <c r="P1909" i="5"/>
  <c r="P1907" i="5"/>
  <c r="P1882" i="5"/>
  <c r="P1923" i="5"/>
  <c r="P1881" i="5"/>
  <c r="P1970" i="5"/>
  <c r="P35" i="5"/>
  <c r="P78" i="5"/>
  <c r="P100" i="5"/>
  <c r="P5" i="5"/>
  <c r="P149" i="5"/>
  <c r="P191" i="5"/>
  <c r="P238" i="5"/>
  <c r="P298" i="5"/>
  <c r="P210" i="5"/>
  <c r="P235" i="5"/>
  <c r="P368" i="5"/>
  <c r="P388" i="5"/>
  <c r="P430" i="5"/>
  <c r="P441" i="5"/>
  <c r="P475" i="5"/>
  <c r="P529" i="5"/>
  <c r="P492" i="5"/>
  <c r="P447" i="5"/>
  <c r="P603" i="5"/>
  <c r="P524" i="5"/>
  <c r="P588" i="5"/>
  <c r="P611" i="5"/>
  <c r="P501" i="5"/>
  <c r="P629" i="5"/>
  <c r="P559" i="5"/>
  <c r="P671" i="5"/>
  <c r="P705" i="5"/>
  <c r="P804" i="5"/>
  <c r="P775" i="5"/>
  <c r="P929" i="5"/>
  <c r="P811" i="5"/>
  <c r="P800" i="5"/>
  <c r="P900" i="5"/>
  <c r="P1049" i="5"/>
  <c r="P941" i="5"/>
  <c r="P899" i="5"/>
  <c r="P1114" i="5"/>
  <c r="P956" i="5"/>
  <c r="P1268" i="5"/>
  <c r="P1227" i="5"/>
  <c r="P1369" i="5"/>
  <c r="P1563" i="5"/>
  <c r="P1494" i="5"/>
  <c r="P1554" i="5"/>
  <c r="P1562" i="5"/>
  <c r="P1217" i="5"/>
  <c r="P1561" i="5"/>
  <c r="P1867" i="5"/>
  <c r="P1701" i="5"/>
  <c r="P1743" i="5"/>
  <c r="P1861" i="5"/>
  <c r="P1921" i="5"/>
  <c r="P1919" i="5"/>
  <c r="P1793" i="5"/>
  <c r="P1870" i="5"/>
  <c r="P1722" i="5"/>
  <c r="P1797" i="5"/>
  <c r="P1965" i="5"/>
  <c r="P1989" i="5"/>
  <c r="P1698" i="5"/>
  <c r="P1974" i="5"/>
  <c r="P47" i="5"/>
  <c r="P170" i="5"/>
  <c r="P137" i="5"/>
  <c r="P192" i="5"/>
  <c r="P250" i="5"/>
  <c r="P161" i="5"/>
  <c r="P159" i="5"/>
  <c r="P231" i="5"/>
  <c r="P253" i="5"/>
  <c r="P230" i="5"/>
  <c r="P380" i="5"/>
  <c r="P203" i="5"/>
  <c r="P336" i="5"/>
  <c r="P453" i="5"/>
  <c r="P520" i="5"/>
  <c r="P439" i="5"/>
  <c r="P541" i="5"/>
  <c r="P504" i="5"/>
  <c r="P615" i="5"/>
  <c r="P600" i="5"/>
  <c r="P416" i="5"/>
  <c r="P571" i="5"/>
  <c r="P641" i="5"/>
  <c r="P561" i="5"/>
  <c r="P683" i="5"/>
  <c r="P717" i="5"/>
  <c r="P670" i="5"/>
  <c r="P645" i="5"/>
  <c r="P769" i="5"/>
  <c r="P816" i="5"/>
  <c r="P621" i="5"/>
  <c r="P711" i="5"/>
  <c r="P746" i="5"/>
  <c r="P835" i="5"/>
  <c r="P814" i="5"/>
  <c r="P878" i="5"/>
  <c r="P942" i="5"/>
  <c r="P935" i="5"/>
  <c r="P777" i="5"/>
  <c r="P1056" i="5"/>
  <c r="P1126" i="5"/>
  <c r="P1045" i="5"/>
  <c r="P1120" i="5"/>
  <c r="P962" i="5"/>
  <c r="P1144" i="5"/>
  <c r="P958" i="5"/>
  <c r="P1086" i="5"/>
  <c r="P1239" i="5"/>
  <c r="P1307" i="5"/>
  <c r="P1245" i="5"/>
  <c r="P1422" i="5"/>
  <c r="P1372" i="5"/>
  <c r="P1640" i="5"/>
  <c r="P1386" i="5"/>
  <c r="P1575" i="5"/>
  <c r="P1481" i="5"/>
  <c r="P1434" i="5"/>
  <c r="P1732" i="5"/>
  <c r="P1755" i="5"/>
  <c r="P1677" i="5"/>
  <c r="P1933" i="5"/>
  <c r="P1931" i="5"/>
  <c r="P1792" i="5"/>
  <c r="P59" i="5"/>
  <c r="P77" i="5"/>
  <c r="P204" i="5"/>
  <c r="P221" i="5"/>
  <c r="P211" i="5"/>
  <c r="P251" i="5"/>
  <c r="P249" i="5"/>
  <c r="P309" i="5"/>
  <c r="P291" i="5"/>
  <c r="P375" i="5"/>
  <c r="P465" i="5"/>
  <c r="P516" i="5"/>
  <c r="P556" i="5"/>
  <c r="P612" i="5"/>
  <c r="P506" i="5"/>
  <c r="P573" i="5"/>
  <c r="P537" i="5"/>
  <c r="P653" i="5"/>
  <c r="P560" i="5"/>
  <c r="P695" i="5"/>
  <c r="P729" i="5"/>
  <c r="P686" i="5"/>
  <c r="P781" i="5"/>
  <c r="P828" i="5"/>
  <c r="P837" i="5"/>
  <c r="P773" i="5"/>
  <c r="P887" i="5"/>
  <c r="P872" i="5"/>
  <c r="P943" i="5"/>
  <c r="P954" i="5"/>
  <c r="P1032" i="5"/>
  <c r="P1068" i="5"/>
  <c r="P1024" i="5"/>
  <c r="P1138" i="5"/>
  <c r="P1007" i="5"/>
  <c r="P983" i="5"/>
  <c r="P1251" i="5"/>
  <c r="P1406" i="5"/>
  <c r="P1319" i="5"/>
  <c r="P1305" i="5"/>
  <c r="P1300" i="5"/>
  <c r="P1276" i="5"/>
  <c r="P1493" i="5"/>
  <c r="P1501" i="5"/>
  <c r="P1587" i="5"/>
  <c r="P1559" i="5"/>
  <c r="P1670" i="5"/>
  <c r="P1709" i="5"/>
  <c r="P1361" i="5"/>
  <c r="P1697" i="5"/>
  <c r="P1744" i="5"/>
  <c r="P1767" i="5"/>
  <c r="P1945" i="5"/>
  <c r="P1829" i="5"/>
  <c r="P1943" i="5"/>
  <c r="P1869" i="5"/>
  <c r="P1994" i="5"/>
  <c r="P1995" i="5"/>
  <c r="P1848" i="5"/>
  <c r="P71" i="5"/>
  <c r="P96" i="5"/>
  <c r="P193" i="5"/>
  <c r="P216" i="5"/>
  <c r="P168" i="5"/>
  <c r="P234" i="5"/>
  <c r="P259" i="5"/>
  <c r="P254" i="5"/>
  <c r="P331" i="5"/>
  <c r="P327" i="5"/>
  <c r="P312" i="5"/>
  <c r="P337" i="5"/>
  <c r="P359" i="5"/>
  <c r="P528" i="5"/>
  <c r="P479" i="5"/>
  <c r="P512" i="5"/>
  <c r="P546" i="5"/>
  <c r="P477" i="5"/>
  <c r="P665" i="5"/>
  <c r="P590" i="5"/>
  <c r="P523" i="5"/>
  <c r="P623" i="5"/>
  <c r="P707" i="5"/>
  <c r="P741" i="5"/>
  <c r="P650" i="5"/>
  <c r="P655" i="5"/>
  <c r="P759" i="5"/>
  <c r="P793" i="5"/>
  <c r="P840" i="5"/>
  <c r="P631" i="5"/>
  <c r="P758" i="5"/>
  <c r="P785" i="5"/>
  <c r="P786" i="5"/>
  <c r="P876" i="5"/>
  <c r="P955" i="5"/>
  <c r="P966" i="5"/>
  <c r="P873" i="5"/>
  <c r="P1080" i="5"/>
  <c r="P1150" i="5"/>
  <c r="P1019" i="5"/>
  <c r="P1031" i="5"/>
  <c r="P1035" i="5"/>
  <c r="P1193" i="5"/>
  <c r="P1158" i="5"/>
  <c r="P1263" i="5"/>
  <c r="P1431" i="5"/>
  <c r="P1147" i="5"/>
  <c r="P1308" i="5"/>
  <c r="P1331" i="5"/>
  <c r="P1306" i="5"/>
  <c r="P1437" i="5"/>
  <c r="P1424" i="5"/>
  <c r="P1599" i="5"/>
  <c r="P1465" i="5"/>
  <c r="P1693" i="5"/>
  <c r="P1573" i="5"/>
  <c r="P1779" i="5"/>
  <c r="P1957" i="5"/>
  <c r="P1955" i="5"/>
  <c r="P1646" i="5"/>
  <c r="P1837" i="5"/>
  <c r="P1993" i="5"/>
  <c r="P462" i="5"/>
  <c r="P1012" i="5"/>
  <c r="P83" i="5"/>
  <c r="P7" i="5"/>
  <c r="P205" i="5"/>
  <c r="P228" i="5"/>
  <c r="P269" i="5"/>
  <c r="P233" i="5"/>
  <c r="P339" i="5"/>
  <c r="P347" i="5"/>
  <c r="P395" i="5"/>
  <c r="P540" i="5"/>
  <c r="P553" i="5"/>
  <c r="P511" i="5"/>
  <c r="P486" i="5"/>
  <c r="P649" i="5"/>
  <c r="P719" i="5"/>
  <c r="P753" i="5"/>
  <c r="P643" i="5"/>
  <c r="P635" i="5"/>
  <c r="P661" i="5"/>
  <c r="P805" i="5"/>
  <c r="P637" i="5"/>
  <c r="P788" i="5"/>
  <c r="P967" i="5"/>
  <c r="P952" i="5"/>
  <c r="P875" i="5"/>
  <c r="P1142" i="5"/>
  <c r="P1092" i="5"/>
  <c r="P808" i="5"/>
  <c r="P1048" i="5"/>
  <c r="P866" i="5"/>
  <c r="P1016" i="5"/>
  <c r="P1087" i="5"/>
  <c r="P1205" i="5"/>
  <c r="P1160" i="5"/>
  <c r="P1275" i="5"/>
  <c r="P1182" i="5"/>
  <c r="P1004" i="5"/>
  <c r="P1320" i="5"/>
  <c r="P1343" i="5"/>
  <c r="P1318" i="5"/>
  <c r="P1676" i="5"/>
  <c r="P1365" i="5"/>
  <c r="P1272" i="5"/>
  <c r="P1519" i="5"/>
  <c r="P1611" i="5"/>
  <c r="P1421" i="5"/>
  <c r="P1446" i="5"/>
  <c r="P1301" i="5"/>
  <c r="P1516" i="5"/>
  <c r="P1490" i="5"/>
  <c r="P1594" i="5"/>
  <c r="P1715" i="5"/>
  <c r="P1703" i="5"/>
  <c r="P1791" i="5"/>
  <c r="P1852" i="5"/>
  <c r="P1725" i="5"/>
  <c r="P1776" i="5"/>
  <c r="P1969" i="5"/>
  <c r="P1742" i="5"/>
  <c r="P1800" i="5"/>
  <c r="P1967" i="5"/>
  <c r="P1857" i="5"/>
  <c r="P1942" i="5"/>
  <c r="P1894" i="5"/>
  <c r="P1898" i="5"/>
  <c r="P1959" i="5"/>
  <c r="P614" i="5"/>
  <c r="P832" i="5"/>
  <c r="P1523" i="5"/>
  <c r="P95" i="5"/>
  <c r="P19" i="5"/>
  <c r="P17" i="5"/>
  <c r="P28" i="5"/>
  <c r="P65" i="5"/>
  <c r="P132" i="5"/>
  <c r="P265" i="5"/>
  <c r="P263" i="5"/>
  <c r="P224" i="5"/>
  <c r="P351" i="5"/>
  <c r="P407" i="5"/>
  <c r="P349" i="5"/>
  <c r="P459" i="5"/>
  <c r="P503" i="5"/>
  <c r="P471" i="5"/>
  <c r="P565" i="5"/>
  <c r="P464" i="5"/>
  <c r="P578" i="5"/>
  <c r="P607" i="5"/>
  <c r="P731" i="5"/>
  <c r="P639" i="5"/>
  <c r="P817" i="5"/>
  <c r="P797" i="5"/>
  <c r="P979" i="5"/>
  <c r="P924" i="5"/>
  <c r="P974" i="5"/>
  <c r="P1104" i="5"/>
  <c r="P1174" i="5"/>
  <c r="P1053" i="5"/>
  <c r="P1052" i="5"/>
  <c r="P1021" i="5"/>
  <c r="P1194" i="5"/>
  <c r="P1190" i="5"/>
  <c r="P960" i="5"/>
  <c r="P1280" i="5"/>
  <c r="P1332" i="5"/>
  <c r="P1288" i="5"/>
  <c r="P1341" i="5"/>
  <c r="P1316" i="5"/>
  <c r="P1376" i="5"/>
  <c r="P1072" i="5"/>
  <c r="P1528" i="5"/>
  <c r="P1425" i="5"/>
  <c r="P1309" i="5"/>
  <c r="P1505" i="5"/>
  <c r="P1398" i="5"/>
  <c r="P1623" i="5"/>
  <c r="P1297" i="5"/>
  <c r="P1469" i="5"/>
  <c r="P1712" i="5"/>
  <c r="P1502" i="5"/>
  <c r="P1634" i="5"/>
  <c r="P1803" i="5"/>
  <c r="P1417" i="5"/>
  <c r="P1981" i="5"/>
  <c r="P1773" i="5"/>
  <c r="P1864" i="5"/>
  <c r="P1874" i="5"/>
  <c r="P1977" i="5"/>
  <c r="P1902" i="5"/>
  <c r="P1899" i="5"/>
  <c r="P1582" i="5"/>
  <c r="P74" i="5"/>
  <c r="P107" i="5"/>
  <c r="P10" i="5"/>
  <c r="P110" i="5"/>
  <c r="P194" i="5"/>
  <c r="P252" i="5"/>
  <c r="P113" i="5"/>
  <c r="P182" i="5"/>
  <c r="P293" i="5"/>
  <c r="P367" i="5"/>
  <c r="P315" i="5"/>
  <c r="P369" i="5"/>
  <c r="P410" i="5"/>
  <c r="P397" i="5"/>
  <c r="P396" i="5"/>
  <c r="P419" i="5"/>
  <c r="P372" i="5"/>
  <c r="P515" i="5"/>
  <c r="P577" i="5"/>
  <c r="P474" i="5"/>
  <c r="P513" i="5"/>
  <c r="P829" i="5"/>
  <c r="P699" i="5"/>
  <c r="P676" i="5"/>
  <c r="P765" i="5"/>
  <c r="P762" i="5"/>
  <c r="P820" i="5"/>
  <c r="P855" i="5"/>
  <c r="P790" i="5"/>
  <c r="P889" i="5"/>
  <c r="P1002" i="5"/>
  <c r="P865" i="5"/>
  <c r="P1166" i="5"/>
  <c r="P1065" i="5"/>
  <c r="P725" i="5"/>
  <c r="P1064" i="5"/>
  <c r="P1051" i="5"/>
  <c r="P1023" i="5"/>
  <c r="P1155" i="5"/>
  <c r="P921" i="5"/>
  <c r="P1159" i="5"/>
  <c r="P964" i="5"/>
  <c r="P1206" i="5"/>
  <c r="P1167" i="5"/>
  <c r="P1129" i="5"/>
  <c r="P1202" i="5"/>
  <c r="P1061" i="5"/>
  <c r="P1344" i="5"/>
  <c r="P1342" i="5"/>
  <c r="P1350" i="5"/>
  <c r="P1499" i="5"/>
  <c r="P1449" i="5"/>
  <c r="P1448" i="5"/>
  <c r="P1326" i="5"/>
  <c r="P1635" i="5"/>
  <c r="P1457" i="5"/>
  <c r="P1455" i="5"/>
  <c r="P1733" i="5"/>
  <c r="P1710" i="5"/>
  <c r="P1815" i="5"/>
  <c r="P1737" i="5"/>
  <c r="P1602" i="5"/>
  <c r="P1836" i="5"/>
  <c r="P1991" i="5"/>
  <c r="P1860" i="5"/>
  <c r="P1880" i="5"/>
  <c r="P1878" i="5"/>
  <c r="P1997" i="5"/>
  <c r="P1901" i="5"/>
  <c r="C2289" i="2"/>
  <c r="C2294" i="2"/>
  <c r="C2330" i="2"/>
  <c r="C2356" i="2"/>
  <c r="C32" i="2"/>
  <c r="C272" i="2"/>
  <c r="C512" i="2"/>
  <c r="C752" i="2"/>
  <c r="C2290" i="2"/>
  <c r="C2348" i="2"/>
  <c r="C2265" i="2"/>
  <c r="C2366" i="2"/>
  <c r="C42" i="2"/>
  <c r="C282" i="2"/>
  <c r="C522" i="2"/>
  <c r="C762" i="2"/>
  <c r="C143" i="2"/>
  <c r="C383" i="2"/>
  <c r="C623" i="2"/>
  <c r="C14" i="2"/>
  <c r="C55" i="2"/>
  <c r="C295" i="2"/>
  <c r="C535" i="2"/>
  <c r="C775" i="2"/>
  <c r="C347" i="2"/>
  <c r="C689" i="2"/>
  <c r="C918" i="2"/>
  <c r="C1158" i="2"/>
  <c r="C277" i="2"/>
  <c r="C619" i="2"/>
  <c r="C270" i="2"/>
  <c r="C1010" i="2"/>
  <c r="C2314" i="2"/>
  <c r="C2349" i="2"/>
  <c r="C2275" i="2"/>
  <c r="C2267" i="2"/>
  <c r="C52" i="2"/>
  <c r="C292" i="2"/>
  <c r="C532" i="2"/>
  <c r="C772" i="2"/>
  <c r="C153" i="2"/>
  <c r="C393" i="2"/>
  <c r="C633" i="2"/>
  <c r="C24" i="2"/>
  <c r="C65" i="2"/>
  <c r="C305" i="2"/>
  <c r="C545" i="2"/>
  <c r="C785" i="2"/>
  <c r="C360" i="2"/>
  <c r="C704" i="2"/>
  <c r="C928" i="2"/>
  <c r="C1168" i="2"/>
  <c r="C290" i="2"/>
  <c r="C634" i="2"/>
  <c r="C321" i="2"/>
  <c r="C1033" i="2"/>
  <c r="C2288" i="2"/>
  <c r="C2350" i="2"/>
  <c r="C2285" i="2"/>
  <c r="C2287" i="2"/>
  <c r="C62" i="2"/>
  <c r="C302" i="2"/>
  <c r="C542" i="2"/>
  <c r="C782" i="2"/>
  <c r="C163" i="2"/>
  <c r="C403" i="2"/>
  <c r="C643" i="2"/>
  <c r="C34" i="2"/>
  <c r="C75" i="2"/>
  <c r="C315" i="2"/>
  <c r="C555" i="2"/>
  <c r="C795" i="2"/>
  <c r="C376" i="2"/>
  <c r="C718" i="2"/>
  <c r="C938" i="2"/>
  <c r="C1178" i="2"/>
  <c r="C306" i="2"/>
  <c r="C648" i="2"/>
  <c r="C356" i="2"/>
  <c r="C1056" i="2"/>
  <c r="C2279" i="2"/>
  <c r="C2263" i="2"/>
  <c r="C2295" i="2"/>
  <c r="C2297" i="2"/>
  <c r="C72" i="2"/>
  <c r="C312" i="2"/>
  <c r="C552" i="2"/>
  <c r="C792" i="2"/>
  <c r="C173" i="2"/>
  <c r="C413" i="2"/>
  <c r="C653" i="2"/>
  <c r="C44" i="2"/>
  <c r="C85" i="2"/>
  <c r="C325" i="2"/>
  <c r="C565" i="2"/>
  <c r="C805" i="2"/>
  <c r="C389" i="2"/>
  <c r="C731" i="2"/>
  <c r="C948" i="2"/>
  <c r="C1188" i="2"/>
  <c r="C319" i="2"/>
  <c r="C661" i="2"/>
  <c r="C388" i="2"/>
  <c r="C1069" i="2"/>
  <c r="C2280" i="2"/>
  <c r="C2273" i="2"/>
  <c r="C2305" i="2"/>
  <c r="C2307" i="2"/>
  <c r="C82" i="2"/>
  <c r="C322" i="2"/>
  <c r="C562" i="2"/>
  <c r="C802" i="2"/>
  <c r="C183" i="2"/>
  <c r="C423" i="2"/>
  <c r="C663" i="2"/>
  <c r="C54" i="2"/>
  <c r="C95" i="2"/>
  <c r="C335" i="2"/>
  <c r="C575" i="2"/>
  <c r="C815" i="2"/>
  <c r="C404" i="2"/>
  <c r="C747" i="2"/>
  <c r="C958" i="2"/>
  <c r="C1198" i="2"/>
  <c r="C334" i="2"/>
  <c r="C677" i="2"/>
  <c r="C407" i="2"/>
  <c r="C1092" i="2"/>
  <c r="C2262" i="2"/>
  <c r="C2283" i="2"/>
  <c r="C2315" i="2"/>
  <c r="C2317" i="2"/>
  <c r="C92" i="2"/>
  <c r="C332" i="2"/>
  <c r="C572" i="2"/>
  <c r="C812" i="2"/>
  <c r="C2272" i="2"/>
  <c r="C2293" i="2"/>
  <c r="C2325" i="2"/>
  <c r="C2327" i="2"/>
  <c r="C102" i="2"/>
  <c r="C342" i="2"/>
  <c r="C582" i="2"/>
  <c r="C822" i="2"/>
  <c r="C2282" i="2"/>
  <c r="C2303" i="2"/>
  <c r="C2335" i="2"/>
  <c r="C2337" i="2"/>
  <c r="C112" i="2"/>
  <c r="C352" i="2"/>
  <c r="C592" i="2"/>
  <c r="C832" i="2"/>
  <c r="C2292" i="2"/>
  <c r="C2313" i="2"/>
  <c r="C2345" i="2"/>
  <c r="C2357" i="2"/>
  <c r="C122" i="2"/>
  <c r="C362" i="2"/>
  <c r="C602" i="2"/>
  <c r="C842" i="2"/>
  <c r="C2260" i="2"/>
  <c r="C2302" i="2"/>
  <c r="C2323" i="2"/>
  <c r="C2355" i="2"/>
  <c r="C2278" i="2"/>
  <c r="C132" i="2"/>
  <c r="C372" i="2"/>
  <c r="C612" i="2"/>
  <c r="C852" i="2"/>
  <c r="C233" i="2"/>
  <c r="C473" i="2"/>
  <c r="C713" i="2"/>
  <c r="C104" i="2"/>
  <c r="C145" i="2"/>
  <c r="C385" i="2"/>
  <c r="C625" i="2"/>
  <c r="C36" i="2"/>
  <c r="C476" i="2"/>
  <c r="C818" i="2"/>
  <c r="C1008" i="2"/>
  <c r="C1248" i="2"/>
  <c r="C406" i="2"/>
  <c r="C748" i="2"/>
  <c r="C608" i="2"/>
  <c r="C1210" i="2"/>
  <c r="C696" i="2"/>
  <c r="C28" i="2"/>
  <c r="C923" i="2"/>
  <c r="C1377" i="2"/>
  <c r="C787" i="2"/>
  <c r="C1432" i="2"/>
  <c r="C1672" i="2"/>
  <c r="C1912" i="2"/>
  <c r="C2152" i="2"/>
  <c r="C657" i="2"/>
  <c r="C1345" i="2"/>
  <c r="C421" i="2"/>
  <c r="C1086" i="2"/>
  <c r="C269" i="2"/>
  <c r="C1229" i="2"/>
  <c r="C1767" i="2"/>
  <c r="C119" i="2"/>
  <c r="C1050" i="2"/>
  <c r="C1674" i="2"/>
  <c r="C2215" i="2"/>
  <c r="C1181" i="2"/>
  <c r="C1745" i="2"/>
  <c r="C177" i="2"/>
  <c r="C68" i="2"/>
  <c r="C1166" i="2"/>
  <c r="C1687" i="2"/>
  <c r="C2228" i="2"/>
  <c r="C1004" i="2"/>
  <c r="C1653" i="2"/>
  <c r="C893" i="2"/>
  <c r="C1608" i="2"/>
  <c r="C2126" i="2"/>
  <c r="C1154" i="2"/>
  <c r="C1918" i="2"/>
  <c r="C1776" i="2"/>
  <c r="C1272" i="2"/>
  <c r="C2077" i="2"/>
  <c r="C1110" i="2"/>
  <c r="C1905" i="2"/>
  <c r="C1693" i="2"/>
  <c r="C587" i="2"/>
  <c r="C1876" i="2"/>
  <c r="C659" i="2"/>
  <c r="C1761" i="2"/>
  <c r="C374" i="2"/>
  <c r="C1818" i="2"/>
  <c r="C1369" i="2"/>
  <c r="C1679" i="2"/>
  <c r="C1584" i="2"/>
  <c r="C2254" i="2"/>
  <c r="C877" i="2"/>
  <c r="C1957" i="2"/>
  <c r="C2025" i="2"/>
  <c r="C681" i="2"/>
  <c r="C1318" i="2"/>
  <c r="C1680" i="2"/>
  <c r="C337" i="2"/>
  <c r="C1960" i="2"/>
  <c r="C1463" i="2"/>
  <c r="C999" i="2"/>
  <c r="C2119" i="2"/>
  <c r="C1854" i="2"/>
  <c r="C2176" i="2"/>
  <c r="C1816" i="2"/>
  <c r="C1688" i="2"/>
  <c r="C499" i="2"/>
  <c r="C76" i="2"/>
  <c r="C1361" i="2"/>
  <c r="C1049" i="2"/>
  <c r="C770" i="2"/>
  <c r="C1883" i="2"/>
  <c r="C1537" i="2"/>
  <c r="C801" i="2"/>
  <c r="C1577" i="2"/>
  <c r="C2261" i="2"/>
  <c r="C2312" i="2"/>
  <c r="C2333" i="2"/>
  <c r="C2365" i="2"/>
  <c r="C2299" i="2"/>
  <c r="C142" i="2"/>
  <c r="C382" i="2"/>
  <c r="C622" i="2"/>
  <c r="C2271" i="2"/>
  <c r="C2322" i="2"/>
  <c r="C2343" i="2"/>
  <c r="C2328" i="2"/>
  <c r="C2300" i="2"/>
  <c r="C152" i="2"/>
  <c r="C392" i="2"/>
  <c r="C632" i="2"/>
  <c r="C2281" i="2"/>
  <c r="C2332" i="2"/>
  <c r="C2353" i="2"/>
  <c r="C2319" i="2"/>
  <c r="C2277" i="2"/>
  <c r="C162" i="2"/>
  <c r="C402" i="2"/>
  <c r="C642" i="2"/>
  <c r="C23" i="2"/>
  <c r="C263" i="2"/>
  <c r="C503" i="2"/>
  <c r="C743" i="2"/>
  <c r="C134" i="2"/>
  <c r="C175" i="2"/>
  <c r="C415" i="2"/>
  <c r="C655" i="2"/>
  <c r="C141" i="2"/>
  <c r="C518" i="2"/>
  <c r="C6" i="2"/>
  <c r="C1038" i="2"/>
  <c r="C1278" i="2"/>
  <c r="C448" i="2"/>
  <c r="C790" i="2"/>
  <c r="C691" i="2"/>
  <c r="C2291" i="2"/>
  <c r="C2342" i="2"/>
  <c r="C2363" i="2"/>
  <c r="C2310" i="2"/>
  <c r="C2347" i="2"/>
  <c r="C172" i="2"/>
  <c r="C412" i="2"/>
  <c r="C652" i="2"/>
  <c r="C33" i="2"/>
  <c r="C273" i="2"/>
  <c r="C513" i="2"/>
  <c r="C753" i="2"/>
  <c r="C144" i="2"/>
  <c r="C185" i="2"/>
  <c r="C425" i="2"/>
  <c r="C665" i="2"/>
  <c r="C158" i="2"/>
  <c r="C531" i="2"/>
  <c r="C50" i="2"/>
  <c r="C1048" i="2"/>
  <c r="C20" i="2"/>
  <c r="C461" i="2"/>
  <c r="C806" i="2"/>
  <c r="C726" i="2"/>
  <c r="C2301" i="2"/>
  <c r="C2352" i="2"/>
  <c r="C2264" i="2"/>
  <c r="C2266" i="2"/>
  <c r="C2268" i="2"/>
  <c r="C182" i="2"/>
  <c r="C422" i="2"/>
  <c r="C662" i="2"/>
  <c r="C43" i="2"/>
  <c r="C283" i="2"/>
  <c r="C523" i="2"/>
  <c r="C763" i="2"/>
  <c r="C154" i="2"/>
  <c r="C195" i="2"/>
  <c r="C435" i="2"/>
  <c r="C675" i="2"/>
  <c r="C204" i="2"/>
  <c r="C547" i="2"/>
  <c r="C67" i="2"/>
  <c r="C1058" i="2"/>
  <c r="C37" i="2"/>
  <c r="C477" i="2"/>
  <c r="C819" i="2"/>
  <c r="C758" i="2"/>
  <c r="C2311" i="2"/>
  <c r="C2362" i="2"/>
  <c r="C2364" i="2"/>
  <c r="C2276" i="2"/>
  <c r="C2358" i="2"/>
  <c r="C192" i="2"/>
  <c r="C432" i="2"/>
  <c r="C672" i="2"/>
  <c r="C53" i="2"/>
  <c r="C293" i="2"/>
  <c r="C533" i="2"/>
  <c r="C773" i="2"/>
  <c r="C164" i="2"/>
  <c r="C205" i="2"/>
  <c r="C445" i="2"/>
  <c r="C685" i="2"/>
  <c r="C218" i="2"/>
  <c r="C560" i="2"/>
  <c r="C111" i="2"/>
  <c r="C1068" i="2"/>
  <c r="C81" i="2"/>
  <c r="C490" i="2"/>
  <c r="C834" i="2"/>
  <c r="C809" i="2"/>
  <c r="C2321" i="2"/>
  <c r="C2304" i="2"/>
  <c r="C2338" i="2"/>
  <c r="C2286" i="2"/>
  <c r="C2269" i="2"/>
  <c r="C202" i="2"/>
  <c r="C442" i="2"/>
  <c r="C682" i="2"/>
  <c r="C63" i="2"/>
  <c r="C303" i="2"/>
  <c r="C543" i="2"/>
  <c r="C783" i="2"/>
  <c r="C174" i="2"/>
  <c r="C215" i="2"/>
  <c r="C455" i="2"/>
  <c r="C695" i="2"/>
  <c r="C231" i="2"/>
  <c r="C576" i="2"/>
  <c r="C128" i="2"/>
  <c r="C1078" i="2"/>
  <c r="C98" i="2"/>
  <c r="C506" i="2"/>
  <c r="C848" i="2"/>
  <c r="C841" i="2"/>
  <c r="C2331" i="2"/>
  <c r="C2324" i="2"/>
  <c r="C2309" i="2"/>
  <c r="C2296" i="2"/>
  <c r="C2359" i="2"/>
  <c r="C212" i="2"/>
  <c r="C452" i="2"/>
  <c r="C692" i="2"/>
  <c r="C73" i="2"/>
  <c r="C313" i="2"/>
  <c r="C553" i="2"/>
  <c r="C793" i="2"/>
  <c r="C184" i="2"/>
  <c r="C225" i="2"/>
  <c r="C465" i="2"/>
  <c r="C705" i="2"/>
  <c r="C247" i="2"/>
  <c r="C589" i="2"/>
  <c r="C189" i="2"/>
  <c r="C1088" i="2"/>
  <c r="C159" i="2"/>
  <c r="C519" i="2"/>
  <c r="C7" i="2"/>
  <c r="C856" i="2"/>
  <c r="C2341" i="2"/>
  <c r="C2334" i="2"/>
  <c r="C2320" i="2"/>
  <c r="C2306" i="2"/>
  <c r="C2270" i="2"/>
  <c r="C222" i="2"/>
  <c r="C462" i="2"/>
  <c r="C702" i="2"/>
  <c r="C2351" i="2"/>
  <c r="C2354" i="2"/>
  <c r="C2274" i="2"/>
  <c r="C2316" i="2"/>
  <c r="C2360" i="2"/>
  <c r="C232" i="2"/>
  <c r="C472" i="2"/>
  <c r="C712" i="2"/>
  <c r="C2361" i="2"/>
  <c r="C2318" i="2"/>
  <c r="C2344" i="2"/>
  <c r="C2326" i="2"/>
  <c r="C2" i="2"/>
  <c r="C242" i="2"/>
  <c r="C482" i="2"/>
  <c r="C722" i="2"/>
  <c r="C2284" i="2"/>
  <c r="C2329" i="2"/>
  <c r="C2298" i="2"/>
  <c r="C2336" i="2"/>
  <c r="C12" i="2"/>
  <c r="C252" i="2"/>
  <c r="C492" i="2"/>
  <c r="C732" i="2"/>
  <c r="C2308" i="2"/>
  <c r="C2340" i="2"/>
  <c r="C2339" i="2"/>
  <c r="C2346" i="2"/>
  <c r="C22" i="2"/>
  <c r="C262" i="2"/>
  <c r="C502" i="2"/>
  <c r="C742" i="2"/>
  <c r="C3" i="2"/>
  <c r="C243" i="2"/>
  <c r="C483" i="2"/>
  <c r="C723" i="2"/>
  <c r="C114" i="2"/>
  <c r="C155" i="2"/>
  <c r="C395" i="2"/>
  <c r="C635" i="2"/>
  <c r="C80" i="2"/>
  <c r="C489" i="2"/>
  <c r="C831" i="2"/>
  <c r="C1018" i="2"/>
  <c r="C1258" i="2"/>
  <c r="C419" i="2"/>
  <c r="C761" i="2"/>
  <c r="C640" i="2"/>
  <c r="C1233" i="2"/>
  <c r="C728" i="2"/>
  <c r="C88" i="2"/>
  <c r="C962" i="2"/>
  <c r="C1388" i="2"/>
  <c r="C807" i="2"/>
  <c r="C1442" i="2"/>
  <c r="C1682" i="2"/>
  <c r="C1922" i="2"/>
  <c r="C2162" i="2"/>
  <c r="C714" i="2"/>
  <c r="C1356" i="2"/>
  <c r="C440" i="2"/>
  <c r="C1100" i="2"/>
  <c r="C316" i="2"/>
  <c r="C1244" i="2"/>
  <c r="C1790" i="2"/>
  <c r="C146" i="2"/>
  <c r="C1083" i="2"/>
  <c r="C1697" i="2"/>
  <c r="C2238" i="2"/>
  <c r="C1214" i="2"/>
  <c r="C1768" i="2"/>
  <c r="C226" i="2"/>
  <c r="C200" i="2"/>
  <c r="C1182" i="2"/>
  <c r="C1710" i="2"/>
  <c r="C2251" i="2"/>
  <c r="C1020" i="2"/>
  <c r="C1676" i="2"/>
  <c r="C959" i="2"/>
  <c r="C1631" i="2"/>
  <c r="C2149" i="2"/>
  <c r="C1202" i="2"/>
  <c r="C1950" i="2"/>
  <c r="C1858" i="2"/>
  <c r="C1314" i="2"/>
  <c r="C2093" i="2"/>
  <c r="C1132" i="2"/>
  <c r="C1919" i="2"/>
  <c r="C1741" i="2"/>
  <c r="C617" i="2"/>
  <c r="C1906" i="2"/>
  <c r="C729" i="2"/>
  <c r="C1777" i="2"/>
  <c r="C424" i="2"/>
  <c r="C1839" i="2"/>
  <c r="C1477" i="2"/>
  <c r="C1724" i="2"/>
  <c r="C1799" i="2"/>
  <c r="C286" i="2"/>
  <c r="C910" i="2"/>
  <c r="C2023" i="2"/>
  <c r="C386" i="2"/>
  <c r="C737" i="2"/>
  <c r="C1402" i="2"/>
  <c r="C1821" i="2"/>
  <c r="C384" i="2"/>
  <c r="C1981" i="2"/>
  <c r="C1514" i="2"/>
  <c r="C1072" i="2"/>
  <c r="C2233" i="2"/>
  <c r="C1878" i="2"/>
  <c r="C2230" i="2"/>
  <c r="C2211" i="2"/>
  <c r="C1860" i="2"/>
  <c r="C2084" i="2"/>
  <c r="C721" i="2"/>
  <c r="C1496" i="2"/>
  <c r="C1304" i="2"/>
  <c r="C874" i="2"/>
  <c r="C1995" i="2"/>
  <c r="C1660" i="2"/>
  <c r="C821" i="2"/>
  <c r="C2221" i="2"/>
  <c r="C13" i="2"/>
  <c r="C253" i="2"/>
  <c r="C493" i="2"/>
  <c r="C733" i="2"/>
  <c r="C124" i="2"/>
  <c r="C165" i="2"/>
  <c r="C405" i="2"/>
  <c r="C645" i="2"/>
  <c r="C97" i="2"/>
  <c r="C504" i="2"/>
  <c r="C847" i="2"/>
  <c r="C1028" i="2"/>
  <c r="C1268" i="2"/>
  <c r="C434" i="2"/>
  <c r="C777" i="2"/>
  <c r="C674" i="2"/>
  <c r="C1256" i="2"/>
  <c r="C779" i="2"/>
  <c r="C127" i="2"/>
  <c r="C975" i="2"/>
  <c r="C1399" i="2"/>
  <c r="C859" i="2"/>
  <c r="C1452" i="2"/>
  <c r="C1692" i="2"/>
  <c r="C1932" i="2"/>
  <c r="C2172" i="2"/>
  <c r="C769" i="2"/>
  <c r="C1367" i="2"/>
  <c r="C459" i="2"/>
  <c r="C1125" i="2"/>
  <c r="C340" i="2"/>
  <c r="C1261" i="2"/>
  <c r="C1803" i="2"/>
  <c r="C171" i="2"/>
  <c r="C1099" i="2"/>
  <c r="C1720" i="2"/>
  <c r="C39" i="2"/>
  <c r="C1230" i="2"/>
  <c r="C1791" i="2"/>
  <c r="C250" i="2"/>
  <c r="C368" i="2"/>
  <c r="C1200" i="2"/>
  <c r="C1723" i="2"/>
  <c r="C41" i="2"/>
  <c r="C1036" i="2"/>
  <c r="C1699" i="2"/>
  <c r="C992" i="2"/>
  <c r="C1644" i="2"/>
  <c r="C2185" i="2"/>
  <c r="C1246" i="2"/>
  <c r="C1983" i="2"/>
  <c r="C1937" i="2"/>
  <c r="C1331" i="2"/>
  <c r="C2107" i="2"/>
  <c r="C1177" i="2"/>
  <c r="C1951" i="2"/>
  <c r="C1875" i="2"/>
  <c r="C698" i="2"/>
  <c r="C1938" i="2"/>
  <c r="C800" i="2"/>
  <c r="C1829" i="2"/>
  <c r="C468" i="2"/>
  <c r="C1865" i="2"/>
  <c r="C1500" i="2"/>
  <c r="C1771" i="2"/>
  <c r="C1868" i="2"/>
  <c r="C496" i="2"/>
  <c r="C981" i="2"/>
  <c r="C2068" i="2"/>
  <c r="C539" i="2"/>
  <c r="C781" i="2"/>
  <c r="C1457" i="2"/>
  <c r="C1914" i="2"/>
  <c r="C429" i="2"/>
  <c r="C2053" i="2"/>
  <c r="C1565" i="2"/>
  <c r="C1102" i="2"/>
  <c r="C2257" i="2"/>
  <c r="C1899" i="2"/>
  <c r="C2129" i="2"/>
  <c r="C710" i="2"/>
  <c r="C2195" i="2"/>
  <c r="C629" i="2"/>
  <c r="C861" i="2"/>
  <c r="C1550" i="2"/>
  <c r="C1570" i="2"/>
  <c r="C1046" i="2"/>
  <c r="C2057" i="2"/>
  <c r="C1783" i="2"/>
  <c r="C901" i="2"/>
  <c r="C417" i="2"/>
  <c r="C1269" i="2"/>
  <c r="C811" i="2"/>
  <c r="C148" i="2"/>
  <c r="C1002" i="2"/>
  <c r="C1410" i="2"/>
  <c r="C872" i="2"/>
  <c r="C1462" i="2"/>
  <c r="C1702" i="2"/>
  <c r="C1942" i="2"/>
  <c r="C2182" i="2"/>
  <c r="C826" i="2"/>
  <c r="C1378" i="2"/>
  <c r="C479" i="2"/>
  <c r="C1139" i="2"/>
  <c r="C436" i="2"/>
  <c r="C1277" i="2"/>
  <c r="C1826" i="2"/>
  <c r="C249" i="2"/>
  <c r="C1114" i="2"/>
  <c r="C1733" i="2"/>
  <c r="C91" i="2"/>
  <c r="C1262" i="2"/>
  <c r="C1804" i="2"/>
  <c r="C297" i="2"/>
  <c r="C416" i="2"/>
  <c r="C1215" i="2"/>
  <c r="C1746" i="2"/>
  <c r="C121" i="2"/>
  <c r="C1052" i="2"/>
  <c r="C1735" i="2"/>
  <c r="C1024" i="2"/>
  <c r="C1667" i="2"/>
  <c r="C2208" i="2"/>
  <c r="C1291" i="2"/>
  <c r="C2013" i="2"/>
  <c r="C2016" i="2"/>
  <c r="C1353" i="2"/>
  <c r="C2139" i="2"/>
  <c r="C1203" i="2"/>
  <c r="C1984" i="2"/>
  <c r="C1921" i="2"/>
  <c r="C865" i="2"/>
  <c r="C2017" i="2"/>
  <c r="C839" i="2"/>
  <c r="C1845" i="2"/>
  <c r="C521" i="2"/>
  <c r="C1884" i="2"/>
  <c r="C1528" i="2"/>
  <c r="C1798" i="2"/>
  <c r="C1959" i="2"/>
  <c r="C596" i="2"/>
  <c r="C1023" i="2"/>
  <c r="C2114" i="2"/>
  <c r="C701" i="2"/>
  <c r="C912" i="2"/>
  <c r="C1509" i="2"/>
  <c r="C1978" i="2"/>
  <c r="C594" i="2"/>
  <c r="C2096" i="2"/>
  <c r="C1587" i="2"/>
  <c r="C1140" i="2"/>
  <c r="C56" i="2"/>
  <c r="C2035" i="2"/>
  <c r="C79" i="2"/>
  <c r="C1112" i="2"/>
  <c r="C500" i="2"/>
  <c r="C1621" i="2"/>
  <c r="C1207" i="2"/>
  <c r="C1738" i="2"/>
  <c r="C1747" i="2"/>
  <c r="C1142" i="2"/>
  <c r="C2214" i="2"/>
  <c r="C2058" i="2"/>
  <c r="C137" i="2"/>
  <c r="C2223" i="2"/>
  <c r="C9" i="2"/>
  <c r="C846" i="2"/>
  <c r="C227" i="2"/>
  <c r="C1027" i="2"/>
  <c r="C8" i="2"/>
  <c r="C897" i="2"/>
  <c r="C1472" i="2"/>
  <c r="C1712" i="2"/>
  <c r="C1952" i="2"/>
  <c r="C2192" i="2"/>
  <c r="C844" i="2"/>
  <c r="C1389" i="2"/>
  <c r="C516" i="2"/>
  <c r="C1152" i="2"/>
  <c r="C457" i="2"/>
  <c r="C1292" i="2"/>
  <c r="C1849" i="2"/>
  <c r="C296" i="2"/>
  <c r="C1131" i="2"/>
  <c r="C1756" i="2"/>
  <c r="C199" i="2"/>
  <c r="C1307" i="2"/>
  <c r="C1827" i="2"/>
  <c r="C344" i="2"/>
  <c r="C438" i="2"/>
  <c r="C1247" i="2"/>
  <c r="C1769" i="2"/>
  <c r="C178" i="2"/>
  <c r="C1070" i="2"/>
  <c r="C1758" i="2"/>
  <c r="C1040" i="2"/>
  <c r="C1690" i="2"/>
  <c r="C2231" i="2"/>
  <c r="C1313" i="2"/>
  <c r="C2029" i="2"/>
  <c r="C2094" i="2"/>
  <c r="C1372" i="2"/>
  <c r="C2218" i="2"/>
  <c r="C1250" i="2"/>
  <c r="C2014" i="2"/>
  <c r="C1953" i="2"/>
  <c r="C993" i="2"/>
  <c r="C2033" i="2"/>
  <c r="C944" i="2"/>
  <c r="C1859" i="2"/>
  <c r="C569" i="2"/>
  <c r="C1929" i="2"/>
  <c r="C1551" i="2"/>
  <c r="C1820" i="2"/>
  <c r="C2116" i="2"/>
  <c r="C749" i="2"/>
  <c r="C1053" i="2"/>
  <c r="C2135" i="2"/>
  <c r="C882" i="2"/>
  <c r="C947" i="2"/>
  <c r="C1531" i="2"/>
  <c r="C2183" i="2"/>
  <c r="C995" i="2"/>
  <c r="C2117" i="2"/>
  <c r="C1684" i="2"/>
  <c r="C1236" i="2"/>
  <c r="C241" i="2"/>
  <c r="C2056" i="2"/>
  <c r="C1365" i="2"/>
  <c r="C1194" i="2"/>
  <c r="C641" i="2"/>
  <c r="C1813" i="2"/>
  <c r="C1618" i="2"/>
  <c r="C1856" i="2"/>
  <c r="C1975" i="2"/>
  <c r="C1498" i="2"/>
  <c r="C167" i="2"/>
  <c r="C2118" i="2"/>
  <c r="C996" i="2"/>
  <c r="C1167" i="2"/>
  <c r="C46" i="2"/>
  <c r="C871" i="2"/>
  <c r="C281" i="2"/>
  <c r="C1041" i="2"/>
  <c r="C48" i="2"/>
  <c r="C911" i="2"/>
  <c r="C1482" i="2"/>
  <c r="C1722" i="2"/>
  <c r="C1962" i="2"/>
  <c r="C2202" i="2"/>
  <c r="C860" i="2"/>
  <c r="C1400" i="2"/>
  <c r="C536" i="2"/>
  <c r="C1165" i="2"/>
  <c r="C480" i="2"/>
  <c r="C1306" i="2"/>
  <c r="C1885" i="2"/>
  <c r="C341" i="2"/>
  <c r="C1147" i="2"/>
  <c r="C1779" i="2"/>
  <c r="C224" i="2"/>
  <c r="C1320" i="2"/>
  <c r="C1850" i="2"/>
  <c r="C411" i="2"/>
  <c r="C484" i="2"/>
  <c r="C1281" i="2"/>
  <c r="C1805" i="2"/>
  <c r="C229" i="2"/>
  <c r="C1085" i="2"/>
  <c r="C1781" i="2"/>
  <c r="C1073" i="2"/>
  <c r="C1703" i="2"/>
  <c r="C2244" i="2"/>
  <c r="C1330" i="2"/>
  <c r="C2045" i="2"/>
  <c r="C2157" i="2"/>
  <c r="C1413" i="2"/>
  <c r="C2234" i="2"/>
  <c r="C1373" i="2"/>
  <c r="C2030" i="2"/>
  <c r="C1999" i="2"/>
  <c r="C1014" i="2"/>
  <c r="C2047" i="2"/>
  <c r="C966" i="2"/>
  <c r="C1891" i="2"/>
  <c r="C679" i="2"/>
  <c r="C1996" i="2"/>
  <c r="C1578" i="2"/>
  <c r="C1846" i="2"/>
  <c r="C2207" i="2"/>
  <c r="C850" i="2"/>
  <c r="C1122" i="2"/>
  <c r="C2159" i="2"/>
  <c r="C925" i="2"/>
  <c r="C1091" i="2"/>
  <c r="C1560" i="2"/>
  <c r="C2247" i="2"/>
  <c r="C1060" i="2"/>
  <c r="C2138" i="2"/>
  <c r="C1713" i="2"/>
  <c r="C1358" i="2"/>
  <c r="C350" i="2"/>
  <c r="C2080" i="2"/>
  <c r="C1807" i="2"/>
  <c r="C1280" i="2"/>
  <c r="C664" i="2"/>
  <c r="C2196" i="2"/>
  <c r="C1669" i="2"/>
  <c r="C1971" i="2"/>
  <c r="C394" i="2"/>
  <c r="C1811" i="2"/>
  <c r="C309" i="2"/>
  <c r="C2217" i="2"/>
  <c r="C1475" i="2"/>
  <c r="C1994" i="2"/>
  <c r="C61" i="2"/>
  <c r="C894" i="2"/>
  <c r="C338" i="2"/>
  <c r="C1066" i="2"/>
  <c r="C69" i="2"/>
  <c r="C936" i="2"/>
  <c r="C1492" i="2"/>
  <c r="C1732" i="2"/>
  <c r="C1972" i="2"/>
  <c r="C2212" i="2"/>
  <c r="C885" i="2"/>
  <c r="C10" i="2"/>
  <c r="C570" i="2"/>
  <c r="C1179" i="2"/>
  <c r="C528" i="2"/>
  <c r="C1319" i="2"/>
  <c r="C1908" i="2"/>
  <c r="C366" i="2"/>
  <c r="C1195" i="2"/>
  <c r="C1815" i="2"/>
  <c r="C317" i="2"/>
  <c r="C1363" i="2"/>
  <c r="C1863" i="2"/>
  <c r="C554" i="2"/>
  <c r="C509" i="2"/>
  <c r="C1295" i="2"/>
  <c r="C1828" i="2"/>
  <c r="C251" i="2"/>
  <c r="C1201" i="2"/>
  <c r="C1794" i="2"/>
  <c r="C1137" i="2"/>
  <c r="C1726" i="2"/>
  <c r="C100" i="2"/>
  <c r="C1352" i="2"/>
  <c r="C2059" i="2"/>
  <c r="C2219" i="2"/>
  <c r="C1429" i="2"/>
  <c r="C2248" i="2"/>
  <c r="C1431" i="2"/>
  <c r="C2046" i="2"/>
  <c r="C2078" i="2"/>
  <c r="C1063" i="2"/>
  <c r="C2079" i="2"/>
  <c r="C1043" i="2"/>
  <c r="C1924" i="2"/>
  <c r="C827" i="2"/>
  <c r="C2041" i="2"/>
  <c r="C1600" i="2"/>
  <c r="C1913" i="2"/>
  <c r="C491" i="2"/>
  <c r="C957" i="2"/>
  <c r="C1190" i="2"/>
  <c r="C2178" i="2"/>
  <c r="C1096" i="2"/>
  <c r="C1123" i="2"/>
  <c r="C1654" i="2"/>
  <c r="C639" i="2"/>
  <c r="C1162" i="2"/>
  <c r="C2184" i="2"/>
  <c r="C1734" i="2"/>
  <c r="C1439" i="2"/>
  <c r="C398" i="2"/>
  <c r="C2121" i="2"/>
  <c r="C1974" i="2"/>
  <c r="C1421" i="2"/>
  <c r="C408" i="2"/>
  <c r="C256" i="2"/>
  <c r="C1737" i="2"/>
  <c r="C2020" i="2"/>
  <c r="C883" i="2"/>
  <c r="C2036" i="2"/>
  <c r="C420" i="2"/>
  <c r="C454" i="2"/>
  <c r="C2175" i="2"/>
  <c r="C2105" i="2"/>
  <c r="C118" i="2"/>
  <c r="C917" i="2"/>
  <c r="C357" i="2"/>
  <c r="C1080" i="2"/>
  <c r="C108" i="2"/>
  <c r="C950" i="2"/>
  <c r="C1502" i="2"/>
  <c r="C1742" i="2"/>
  <c r="C1982" i="2"/>
  <c r="C2222" i="2"/>
  <c r="C899" i="2"/>
  <c r="C49" i="2"/>
  <c r="C609" i="2"/>
  <c r="C1204" i="2"/>
  <c r="C550" i="2"/>
  <c r="C1375" i="2"/>
  <c r="C1931" i="2"/>
  <c r="C387" i="2"/>
  <c r="C1245" i="2"/>
  <c r="C1838" i="2"/>
  <c r="C437" i="2"/>
  <c r="C1376" i="2"/>
  <c r="C1886" i="2"/>
  <c r="C624" i="2"/>
  <c r="C530" i="2"/>
  <c r="C1308" i="2"/>
  <c r="C1851" i="2"/>
  <c r="C298" i="2"/>
  <c r="C1232" i="2"/>
  <c r="C1817" i="2"/>
  <c r="C1187" i="2"/>
  <c r="C1749" i="2"/>
  <c r="C180" i="2"/>
  <c r="C1371" i="2"/>
  <c r="C2091" i="2"/>
  <c r="C18" i="2"/>
  <c r="C1449" i="2"/>
  <c r="C914" i="2"/>
  <c r="C1466" i="2"/>
  <c r="C2060" i="2"/>
  <c r="C2140" i="2"/>
  <c r="C1089" i="2"/>
  <c r="C2158" i="2"/>
  <c r="C1090" i="2"/>
  <c r="C1954" i="2"/>
  <c r="C875" i="2"/>
  <c r="C2113" i="2"/>
  <c r="C1629" i="2"/>
  <c r="C1958" i="2"/>
  <c r="C746" i="2"/>
  <c r="C1030" i="2"/>
  <c r="C1255" i="2"/>
  <c r="C2199" i="2"/>
  <c r="C1325" i="2"/>
  <c r="C1370" i="2"/>
  <c r="C1701" i="2"/>
  <c r="C699" i="2"/>
  <c r="C1193" i="2"/>
  <c r="C2229" i="2"/>
  <c r="C1853" i="2"/>
  <c r="C1490" i="2"/>
  <c r="C558" i="2"/>
  <c r="C2147" i="2"/>
  <c r="C2241" i="2"/>
  <c r="C1489" i="2"/>
  <c r="C1144" i="2"/>
  <c r="C1754" i="2"/>
  <c r="C1788" i="2"/>
  <c r="C2083" i="2"/>
  <c r="C1234" i="2"/>
  <c r="C2148" i="2"/>
  <c r="C678" i="2"/>
  <c r="C708" i="2"/>
  <c r="C1646" i="2"/>
  <c r="C1830" i="2"/>
  <c r="C170" i="2"/>
  <c r="C930" i="2"/>
  <c r="C396" i="2"/>
  <c r="C1093" i="2"/>
  <c r="C129" i="2"/>
  <c r="C963" i="2"/>
  <c r="C1512" i="2"/>
  <c r="C1752" i="2"/>
  <c r="C1992" i="2"/>
  <c r="C2232" i="2"/>
  <c r="C924" i="2"/>
  <c r="C70" i="2"/>
  <c r="C628" i="2"/>
  <c r="C1243" i="2"/>
  <c r="C571" i="2"/>
  <c r="C1417" i="2"/>
  <c r="C1944" i="2"/>
  <c r="C410" i="2"/>
  <c r="C1279" i="2"/>
  <c r="C1861" i="2"/>
  <c r="C458" i="2"/>
  <c r="C1391" i="2"/>
  <c r="C1909" i="2"/>
  <c r="C669" i="2"/>
  <c r="C626" i="2"/>
  <c r="C1350" i="2"/>
  <c r="C1864" i="2"/>
  <c r="C324" i="2"/>
  <c r="C1249" i="2"/>
  <c r="C21" i="2"/>
  <c r="C1220" i="2"/>
  <c r="C1785" i="2"/>
  <c r="C217" i="2"/>
  <c r="C1412" i="2"/>
  <c r="C2124" i="2"/>
  <c r="C57" i="2"/>
  <c r="C1485" i="2"/>
  <c r="C58" i="2"/>
  <c r="C1503" i="2"/>
  <c r="C2125" i="2"/>
  <c r="C2173" i="2"/>
  <c r="C1111" i="2"/>
  <c r="C2174" i="2"/>
  <c r="C1136" i="2"/>
  <c r="C1970" i="2"/>
  <c r="C907" i="2"/>
  <c r="C2153" i="2"/>
  <c r="C1719" i="2"/>
  <c r="C1977" i="2"/>
  <c r="C849" i="2"/>
  <c r="C1126" i="2"/>
  <c r="C1286" i="2"/>
  <c r="C879" i="2"/>
  <c r="C1513" i="2"/>
  <c r="C1427" i="2"/>
  <c r="C1728" i="2"/>
  <c r="C794" i="2"/>
  <c r="C1290" i="2"/>
  <c r="C117" i="2"/>
  <c r="C1877" i="2"/>
  <c r="C1541" i="2"/>
  <c r="C607" i="2"/>
  <c r="C47" i="2"/>
  <c r="C973" i="2"/>
  <c r="C1548" i="2"/>
  <c r="C1447" i="2"/>
  <c r="C1987" i="2"/>
  <c r="C1855" i="2"/>
  <c r="C2130" i="2"/>
  <c r="C1927" i="2"/>
  <c r="C2243" i="2"/>
  <c r="C1006" i="2"/>
  <c r="C931" i="2"/>
  <c r="C1387" i="2"/>
  <c r="C1242" i="2"/>
  <c r="C83" i="2"/>
  <c r="C323" i="2"/>
  <c r="C563" i="2"/>
  <c r="C803" i="2"/>
  <c r="C194" i="2"/>
  <c r="C235" i="2"/>
  <c r="C475" i="2"/>
  <c r="C715" i="2"/>
  <c r="C260" i="2"/>
  <c r="C604" i="2"/>
  <c r="C858" i="2"/>
  <c r="C1098" i="2"/>
  <c r="C176" i="2"/>
  <c r="C534" i="2"/>
  <c r="C59" i="2"/>
  <c r="C869" i="2"/>
  <c r="C190" i="2"/>
  <c r="C953" i="2"/>
  <c r="C430" i="2"/>
  <c r="C1106" i="2"/>
  <c r="C188" i="2"/>
  <c r="C990" i="2"/>
  <c r="C1522" i="2"/>
  <c r="C1762" i="2"/>
  <c r="C2002" i="2"/>
  <c r="C2242" i="2"/>
  <c r="C1003" i="2"/>
  <c r="C109" i="2"/>
  <c r="C684" i="2"/>
  <c r="C1270" i="2"/>
  <c r="C597" i="2"/>
  <c r="C1443" i="2"/>
  <c r="C1967" i="2"/>
  <c r="C501" i="2"/>
  <c r="C1293" i="2"/>
  <c r="C1874" i="2"/>
  <c r="C481" i="2"/>
  <c r="C1418" i="2"/>
  <c r="C1945" i="2"/>
  <c r="C717" i="2"/>
  <c r="C649" i="2"/>
  <c r="C1364" i="2"/>
  <c r="C1887" i="2"/>
  <c r="C346" i="2"/>
  <c r="C1265" i="2"/>
  <c r="C51" i="2"/>
  <c r="C1253" i="2"/>
  <c r="C1808" i="2"/>
  <c r="C257" i="2"/>
  <c r="C1448" i="2"/>
  <c r="C2154" i="2"/>
  <c r="C364" i="2"/>
  <c r="C1501" i="2"/>
  <c r="C101" i="2"/>
  <c r="C1521" i="2"/>
  <c r="C2155" i="2"/>
  <c r="C2235" i="2"/>
  <c r="C1205" i="2"/>
  <c r="C2188" i="2"/>
  <c r="C1157" i="2"/>
  <c r="C1986" i="2"/>
  <c r="C980" i="2"/>
  <c r="C2177" i="2"/>
  <c r="C1748" i="2"/>
  <c r="C2001" i="2"/>
  <c r="C956" i="2"/>
  <c r="C1460" i="2"/>
  <c r="C1317" i="2"/>
  <c r="C99" i="2"/>
  <c r="C1564" i="2"/>
  <c r="C1478" i="2"/>
  <c r="C1750" i="2"/>
  <c r="C881" i="2"/>
  <c r="C1347" i="2"/>
  <c r="C179" i="2"/>
  <c r="C1896" i="2"/>
  <c r="C1614" i="2"/>
  <c r="C816" i="2"/>
  <c r="C201" i="2"/>
  <c r="C1216" i="2"/>
  <c r="C1613" i="2"/>
  <c r="C2040" i="2"/>
  <c r="C2256" i="2"/>
  <c r="C1907" i="2"/>
  <c r="C2194" i="2"/>
  <c r="C2099" i="2"/>
  <c r="C771" i="2"/>
  <c r="C1077" i="2"/>
  <c r="C1103" i="2"/>
  <c r="C197" i="2"/>
  <c r="C568" i="2"/>
  <c r="C93" i="2"/>
  <c r="C333" i="2"/>
  <c r="C573" i="2"/>
  <c r="C813" i="2"/>
  <c r="C5" i="2"/>
  <c r="C245" i="2"/>
  <c r="C485" i="2"/>
  <c r="C725" i="2"/>
  <c r="C276" i="2"/>
  <c r="C618" i="2"/>
  <c r="C868" i="2"/>
  <c r="C1108" i="2"/>
  <c r="C206" i="2"/>
  <c r="C548" i="2"/>
  <c r="C96" i="2"/>
  <c r="C892" i="2"/>
  <c r="C208" i="2"/>
  <c r="C976" i="2"/>
  <c r="C450" i="2"/>
  <c r="C1120" i="2"/>
  <c r="C209" i="2"/>
  <c r="C1015" i="2"/>
  <c r="C1532" i="2"/>
  <c r="C1772" i="2"/>
  <c r="C2012" i="2"/>
  <c r="C2252" i="2"/>
  <c r="C1042" i="2"/>
  <c r="C130" i="2"/>
  <c r="C739" i="2"/>
  <c r="C1283" i="2"/>
  <c r="C688" i="2"/>
  <c r="C1455" i="2"/>
  <c r="C1990" i="2"/>
  <c r="C574" i="2"/>
  <c r="C1335" i="2"/>
  <c r="C1897" i="2"/>
  <c r="C529" i="2"/>
  <c r="C1444" i="2"/>
  <c r="C1968" i="2"/>
  <c r="C786" i="2"/>
  <c r="C697" i="2"/>
  <c r="C1392" i="2"/>
  <c r="C1910" i="2"/>
  <c r="C391" i="2"/>
  <c r="C1324" i="2"/>
  <c r="C157" i="2"/>
  <c r="C1285" i="2"/>
  <c r="C1831" i="2"/>
  <c r="C329" i="2"/>
  <c r="C1465" i="2"/>
  <c r="C2170" i="2"/>
  <c r="C400" i="2"/>
  <c r="C1538" i="2"/>
  <c r="C139" i="2"/>
  <c r="C1557" i="2"/>
  <c r="C2171" i="2"/>
  <c r="C220" i="2"/>
  <c r="C1336" i="2"/>
  <c r="C2220" i="2"/>
  <c r="C1183" i="2"/>
  <c r="C2000" i="2"/>
  <c r="C1022" i="2"/>
  <c r="C2198" i="2"/>
  <c r="C1770" i="2"/>
  <c r="C2089" i="2"/>
  <c r="C1026" i="2"/>
  <c r="C1586" i="2"/>
  <c r="C1343" i="2"/>
  <c r="C428" i="2"/>
  <c r="C1683" i="2"/>
  <c r="C1529" i="2"/>
  <c r="C1773" i="2"/>
  <c r="C994" i="2"/>
  <c r="C1381" i="2"/>
  <c r="C287" i="2"/>
  <c r="C1917" i="2"/>
  <c r="C1636" i="2"/>
  <c r="C1170" i="2"/>
  <c r="C456" i="2"/>
  <c r="C1441" i="2"/>
  <c r="C1668" i="2"/>
  <c r="C900" i="2"/>
  <c r="C399" i="2"/>
  <c r="C2019" i="2"/>
  <c r="C2240" i="2"/>
  <c r="C1637" i="2"/>
  <c r="C1499" i="2"/>
  <c r="C1473" i="2"/>
  <c r="C1175" i="2"/>
  <c r="C1005" i="2"/>
  <c r="C2054" i="2"/>
  <c r="C103" i="2"/>
  <c r="C343" i="2"/>
  <c r="C583" i="2"/>
  <c r="C823" i="2"/>
  <c r="C15" i="2"/>
  <c r="C255" i="2"/>
  <c r="C495" i="2"/>
  <c r="C735" i="2"/>
  <c r="C289" i="2"/>
  <c r="C631" i="2"/>
  <c r="C878" i="2"/>
  <c r="C1118" i="2"/>
  <c r="C219" i="2"/>
  <c r="C561" i="2"/>
  <c r="C116" i="2"/>
  <c r="C915" i="2"/>
  <c r="C240" i="2"/>
  <c r="C989" i="2"/>
  <c r="C487" i="2"/>
  <c r="C1145" i="2"/>
  <c r="C246" i="2"/>
  <c r="C1029" i="2"/>
  <c r="C1542" i="2"/>
  <c r="C1782" i="2"/>
  <c r="C2022" i="2"/>
  <c r="C29" i="2"/>
  <c r="C1067" i="2"/>
  <c r="C150" i="2"/>
  <c r="C778" i="2"/>
  <c r="C1294" i="2"/>
  <c r="C759" i="2"/>
  <c r="C1493" i="2"/>
  <c r="C2003" i="2"/>
  <c r="C621" i="2"/>
  <c r="C1348" i="2"/>
  <c r="C1920" i="2"/>
  <c r="C551" i="2"/>
  <c r="C1456" i="2"/>
  <c r="C1991" i="2"/>
  <c r="C810" i="2"/>
  <c r="C740" i="2"/>
  <c r="C1406" i="2"/>
  <c r="C1923" i="2"/>
  <c r="C464" i="2"/>
  <c r="C1337" i="2"/>
  <c r="C181" i="2"/>
  <c r="C1298" i="2"/>
  <c r="C1844" i="2"/>
  <c r="C580" i="2"/>
  <c r="C1519" i="2"/>
  <c r="C2186" i="2"/>
  <c r="C511" i="2"/>
  <c r="C1574" i="2"/>
  <c r="C259" i="2"/>
  <c r="C1589" i="2"/>
  <c r="C2187" i="2"/>
  <c r="C514" i="2"/>
  <c r="C1374" i="2"/>
  <c r="C2253" i="2"/>
  <c r="C1227" i="2"/>
  <c r="C2065" i="2"/>
  <c r="C1051" i="2"/>
  <c r="C1055" i="2"/>
  <c r="C1797" i="2"/>
  <c r="C2115" i="2"/>
  <c r="C1095" i="2"/>
  <c r="C1611" i="2"/>
  <c r="C1401" i="2"/>
  <c r="C591" i="2"/>
  <c r="C1730" i="2"/>
  <c r="C1583" i="2"/>
  <c r="C1893" i="2"/>
  <c r="C1059" i="2"/>
  <c r="C1407" i="2"/>
  <c r="C349" i="2"/>
  <c r="C1941" i="2"/>
  <c r="C1665" i="2"/>
  <c r="C1206" i="2"/>
  <c r="C932" i="2"/>
  <c r="C1689" i="2"/>
  <c r="C1787" i="2"/>
  <c r="C1075" i="2"/>
  <c r="C774" i="2"/>
  <c r="C2081" i="2"/>
  <c r="C751" i="2"/>
  <c r="C1879" i="2"/>
  <c r="C156" i="2"/>
  <c r="C1527" i="2"/>
  <c r="C1339" i="2"/>
  <c r="C1525" i="2"/>
  <c r="C667" i="2"/>
  <c r="C113" i="2"/>
  <c r="C353" i="2"/>
  <c r="C593" i="2"/>
  <c r="C833" i="2"/>
  <c r="C25" i="2"/>
  <c r="C265" i="2"/>
  <c r="C505" i="2"/>
  <c r="C745" i="2"/>
  <c r="C304" i="2"/>
  <c r="C647" i="2"/>
  <c r="C888" i="2"/>
  <c r="C1128" i="2"/>
  <c r="C234" i="2"/>
  <c r="C577" i="2"/>
  <c r="C131" i="2"/>
  <c r="C951" i="2"/>
  <c r="C274" i="2"/>
  <c r="C1012" i="2"/>
  <c r="C507" i="2"/>
  <c r="C1159" i="2"/>
  <c r="C266" i="2"/>
  <c r="C1054" i="2"/>
  <c r="C1552" i="2"/>
  <c r="C1792" i="2"/>
  <c r="C2032" i="2"/>
  <c r="C89" i="2"/>
  <c r="C1107" i="2"/>
  <c r="C191" i="2"/>
  <c r="C797" i="2"/>
  <c r="C1305" i="2"/>
  <c r="C808" i="2"/>
  <c r="C1505" i="2"/>
  <c r="C2026" i="2"/>
  <c r="C668" i="2"/>
  <c r="C1362" i="2"/>
  <c r="C1933" i="2"/>
  <c r="C598" i="2"/>
  <c r="C1494" i="2"/>
  <c r="C2004" i="2"/>
  <c r="C836" i="2"/>
  <c r="C766" i="2"/>
  <c r="C1419" i="2"/>
  <c r="C1946" i="2"/>
  <c r="C510" i="2"/>
  <c r="C1351" i="2"/>
  <c r="C236" i="2"/>
  <c r="C1340" i="2"/>
  <c r="C1867" i="2"/>
  <c r="C614" i="2"/>
  <c r="C1554" i="2"/>
  <c r="C2200" i="2"/>
  <c r="C541" i="2"/>
  <c r="C1607" i="2"/>
  <c r="C294" i="2"/>
  <c r="C1624" i="2"/>
  <c r="C2201" i="2"/>
  <c r="C658" i="2"/>
  <c r="C1469" i="2"/>
  <c r="C26" i="2"/>
  <c r="C1274" i="2"/>
  <c r="C2095" i="2"/>
  <c r="C1079" i="2"/>
  <c r="C30" i="2"/>
  <c r="C1840" i="2"/>
  <c r="C2180" i="2"/>
  <c r="C1260" i="2"/>
  <c r="C1705" i="2"/>
  <c r="C1426" i="2"/>
  <c r="C791" i="2"/>
  <c r="C1895" i="2"/>
  <c r="C1428" i="2"/>
  <c r="C1934" i="2"/>
  <c r="C1231" i="2"/>
  <c r="C1437" i="2"/>
  <c r="C449" i="2"/>
  <c r="C2034" i="2"/>
  <c r="C1755" i="2"/>
  <c r="C1267" i="2"/>
  <c r="C1011" i="2"/>
  <c r="C126" i="2"/>
  <c r="C1901" i="2"/>
  <c r="C1517" i="2"/>
  <c r="C896" i="2"/>
  <c r="C2193" i="2"/>
  <c r="C866" i="2"/>
  <c r="C2101" i="2"/>
  <c r="C308" i="2"/>
  <c r="C1597" i="2"/>
  <c r="C1546" i="2"/>
  <c r="C540" i="2"/>
  <c r="C1834" i="2"/>
  <c r="C123" i="2"/>
  <c r="C363" i="2"/>
  <c r="C603" i="2"/>
  <c r="C843" i="2"/>
  <c r="C35" i="2"/>
  <c r="C275" i="2"/>
  <c r="C515" i="2"/>
  <c r="C755" i="2"/>
  <c r="C318" i="2"/>
  <c r="C660" i="2"/>
  <c r="C898" i="2"/>
  <c r="C1138" i="2"/>
  <c r="C248" i="2"/>
  <c r="C590" i="2"/>
  <c r="C168" i="2"/>
  <c r="C974" i="2"/>
  <c r="C291" i="2"/>
  <c r="C1035" i="2"/>
  <c r="C526" i="2"/>
  <c r="C1184" i="2"/>
  <c r="C300" i="2"/>
  <c r="C1081" i="2"/>
  <c r="C1562" i="2"/>
  <c r="C1802" i="2"/>
  <c r="C2042" i="2"/>
  <c r="C149" i="2"/>
  <c r="C1121" i="2"/>
  <c r="C210" i="2"/>
  <c r="C851" i="2"/>
  <c r="C1316" i="2"/>
  <c r="C867" i="2"/>
  <c r="C1543" i="2"/>
  <c r="C2049" i="2"/>
  <c r="C716" i="2"/>
  <c r="C1390" i="2"/>
  <c r="C1956" i="2"/>
  <c r="C646" i="2"/>
  <c r="C1506" i="2"/>
  <c r="C2027" i="2"/>
  <c r="C854" i="2"/>
  <c r="C788" i="2"/>
  <c r="C1433" i="2"/>
  <c r="C1969" i="2"/>
  <c r="C556" i="2"/>
  <c r="C1379" i="2"/>
  <c r="C258" i="2"/>
  <c r="C1354" i="2"/>
  <c r="C1890" i="2"/>
  <c r="C651" i="2"/>
  <c r="C1573" i="2"/>
  <c r="C942" i="2"/>
  <c r="C584" i="2"/>
  <c r="C1657" i="2"/>
  <c r="C330" i="2"/>
  <c r="C1641" i="2"/>
  <c r="C965" i="2"/>
  <c r="C767" i="2"/>
  <c r="C1504" i="2"/>
  <c r="C60" i="2"/>
  <c r="C1297" i="2"/>
  <c r="C2111" i="2"/>
  <c r="C1217" i="2"/>
  <c r="C86" i="2"/>
  <c r="C1955" i="2"/>
  <c r="C2225" i="2"/>
  <c r="C1321" i="2"/>
  <c r="C1780" i="2"/>
  <c r="C1454" i="2"/>
  <c r="C955" i="2"/>
  <c r="C1940" i="2"/>
  <c r="C161" i="2"/>
  <c r="C2024" i="2"/>
  <c r="C1380" i="2"/>
  <c r="C1484" i="2"/>
  <c r="C497" i="2"/>
  <c r="C2075" i="2"/>
  <c r="C1784" i="2"/>
  <c r="C1302" i="2"/>
  <c r="C1105" i="2"/>
  <c r="C1143" i="2"/>
  <c r="C1963" i="2"/>
  <c r="C1993" i="2"/>
  <c r="C977" i="2"/>
  <c r="C2239" i="2"/>
  <c r="C1045" i="2"/>
  <c r="C979" i="2"/>
  <c r="C671" i="2"/>
  <c r="C1716" i="2"/>
  <c r="C1598" i="2"/>
  <c r="C1461" i="2"/>
  <c r="C133" i="2"/>
  <c r="C373" i="2"/>
  <c r="C613" i="2"/>
  <c r="C4" i="2"/>
  <c r="C45" i="2"/>
  <c r="C285" i="2"/>
  <c r="C525" i="2"/>
  <c r="C765" i="2"/>
  <c r="C331" i="2"/>
  <c r="C676" i="2"/>
  <c r="C908" i="2"/>
  <c r="C1148" i="2"/>
  <c r="C261" i="2"/>
  <c r="C606" i="2"/>
  <c r="C238" i="2"/>
  <c r="C997" i="2"/>
  <c r="C326" i="2"/>
  <c r="C1071" i="2"/>
  <c r="C544" i="2"/>
  <c r="C1211" i="2"/>
  <c r="C320" i="2"/>
  <c r="C1133" i="2"/>
  <c r="C1572" i="2"/>
  <c r="C1812" i="2"/>
  <c r="C2052" i="2"/>
  <c r="C169" i="2"/>
  <c r="C1146" i="2"/>
  <c r="C17" i="2"/>
  <c r="C864" i="2"/>
  <c r="C1327" i="2"/>
  <c r="C919" i="2"/>
  <c r="C1555" i="2"/>
  <c r="C2085" i="2"/>
  <c r="C738" i="2"/>
  <c r="C1404" i="2"/>
  <c r="C1979" i="2"/>
  <c r="C764" i="2"/>
  <c r="C1544" i="2"/>
  <c r="C2050" i="2"/>
  <c r="C887" i="2"/>
  <c r="C873" i="2"/>
  <c r="C1445" i="2"/>
  <c r="C2005" i="2"/>
  <c r="C579" i="2"/>
  <c r="C1393" i="2"/>
  <c r="C280" i="2"/>
  <c r="C1382" i="2"/>
  <c r="C1903" i="2"/>
  <c r="C686" i="2"/>
  <c r="C1588" i="2"/>
  <c r="C1156" i="2"/>
  <c r="C757" i="2"/>
  <c r="C1673" i="2"/>
  <c r="C369" i="2"/>
  <c r="C1675" i="2"/>
  <c r="C1087" i="2"/>
  <c r="C799" i="2"/>
  <c r="C1559" i="2"/>
  <c r="C151" i="2"/>
  <c r="C1357" i="2"/>
  <c r="C2127" i="2"/>
  <c r="C1254" i="2"/>
  <c r="C379" i="2"/>
  <c r="C1976" i="2"/>
  <c r="C2246" i="2"/>
  <c r="C1459" i="2"/>
  <c r="C1916" i="2"/>
  <c r="C1507" i="2"/>
  <c r="C1161" i="2"/>
  <c r="C2007" i="2"/>
  <c r="C216" i="2"/>
  <c r="C2048" i="2"/>
  <c r="C1481" i="2"/>
  <c r="C1511" i="2"/>
  <c r="C650" i="2"/>
  <c r="C2165" i="2"/>
  <c r="C1806" i="2"/>
  <c r="C1328" i="2"/>
  <c r="C1186" i="2"/>
  <c r="C1635" i="2"/>
  <c r="C2018" i="2"/>
  <c r="C207" i="2"/>
  <c r="C1074" i="2"/>
  <c r="C239" i="2"/>
  <c r="C1127" i="2"/>
  <c r="C1516" i="2"/>
  <c r="C817" i="2"/>
  <c r="C1835" i="2"/>
  <c r="C1666" i="2"/>
  <c r="C1900" i="2"/>
  <c r="C358" i="2"/>
  <c r="C1094" i="2"/>
  <c r="C564" i="2"/>
  <c r="C1224" i="2"/>
  <c r="C339" i="2"/>
  <c r="C1172" i="2"/>
  <c r="C1582" i="2"/>
  <c r="C1822" i="2"/>
  <c r="C2062" i="2"/>
  <c r="C228" i="2"/>
  <c r="C1160" i="2"/>
  <c r="C38" i="2"/>
  <c r="C903" i="2"/>
  <c r="C1338" i="2"/>
  <c r="C983" i="2"/>
  <c r="C1567" i="2"/>
  <c r="C2108" i="2"/>
  <c r="C784" i="2"/>
  <c r="C1430" i="2"/>
  <c r="C2015" i="2"/>
  <c r="C870" i="2"/>
  <c r="C1556" i="2"/>
  <c r="C2063" i="2"/>
  <c r="C904" i="2"/>
  <c r="C889" i="2"/>
  <c r="C1483" i="2"/>
  <c r="C2028" i="2"/>
  <c r="C601" i="2"/>
  <c r="C1458" i="2"/>
  <c r="C307" i="2"/>
  <c r="C1396" i="2"/>
  <c r="C1926" i="2"/>
  <c r="C724" i="2"/>
  <c r="C1623" i="2"/>
  <c r="C1252" i="2"/>
  <c r="C798" i="2"/>
  <c r="C1725" i="2"/>
  <c r="C474" i="2"/>
  <c r="C1691" i="2"/>
  <c r="C1135" i="2"/>
  <c r="C838" i="2"/>
  <c r="C1593" i="2"/>
  <c r="C187" i="2"/>
  <c r="C1415" i="2"/>
  <c r="C2141" i="2"/>
  <c r="C1368" i="2"/>
  <c r="C470" i="2"/>
  <c r="C1997" i="2"/>
  <c r="C381" i="2"/>
  <c r="C1510" i="2"/>
  <c r="C1961" i="2"/>
  <c r="C1553" i="2"/>
  <c r="C1259" i="2"/>
  <c r="C2098" i="2"/>
  <c r="C279" i="2"/>
  <c r="C2069" i="2"/>
  <c r="C1563" i="2"/>
  <c r="C1535" i="2"/>
  <c r="C927" i="2"/>
  <c r="C2189" i="2"/>
  <c r="C1833" i="2"/>
  <c r="C1385" i="2"/>
  <c r="C1275" i="2"/>
  <c r="C1870" i="2"/>
  <c r="C2073" i="2"/>
  <c r="C351" i="2"/>
  <c r="C1446" i="2"/>
  <c r="C78" i="2"/>
  <c r="C1438" i="2"/>
  <c r="C1645" i="2"/>
  <c r="C906" i="2"/>
  <c r="C1947" i="2"/>
  <c r="C1717" i="2"/>
  <c r="C2213" i="2"/>
  <c r="C409" i="2"/>
  <c r="C1117" i="2"/>
  <c r="C599" i="2"/>
  <c r="C1263" i="2"/>
  <c r="C378" i="2"/>
  <c r="C1199" i="2"/>
  <c r="C1592" i="2"/>
  <c r="C1832" i="2"/>
  <c r="C2072" i="2"/>
  <c r="C284" i="2"/>
  <c r="C1185" i="2"/>
  <c r="C77" i="2"/>
  <c r="C916" i="2"/>
  <c r="C1349" i="2"/>
  <c r="C1016" i="2"/>
  <c r="C1590" i="2"/>
  <c r="C2131" i="2"/>
  <c r="C830" i="2"/>
  <c r="C1468" i="2"/>
  <c r="C2038" i="2"/>
  <c r="C920" i="2"/>
  <c r="C1568" i="2"/>
  <c r="C2086" i="2"/>
  <c r="C935" i="2"/>
  <c r="C921" i="2"/>
  <c r="C1495" i="2"/>
  <c r="C2051" i="2"/>
  <c r="C670" i="2"/>
  <c r="C1470" i="2"/>
  <c r="C328" i="2"/>
  <c r="C1409" i="2"/>
  <c r="C1949" i="2"/>
  <c r="C828" i="2"/>
  <c r="C1639" i="2"/>
  <c r="C1296" i="2"/>
  <c r="C829" i="2"/>
  <c r="C1740" i="2"/>
  <c r="C616" i="2"/>
  <c r="C1707" i="2"/>
  <c r="C1226" i="2"/>
  <c r="C106" i="2"/>
  <c r="C1609" i="2"/>
  <c r="C230" i="2"/>
  <c r="C1435" i="2"/>
  <c r="C2206" i="2"/>
  <c r="C1398" i="2"/>
  <c r="C680" i="2"/>
  <c r="C2021" i="2"/>
  <c r="C537" i="2"/>
  <c r="C1610" i="2"/>
  <c r="C2071" i="2"/>
  <c r="C1580" i="2"/>
  <c r="C1403" i="2"/>
  <c r="C2164" i="2"/>
  <c r="C327" i="2"/>
  <c r="C2136" i="2"/>
  <c r="C1655" i="2"/>
  <c r="C1634" i="2"/>
  <c r="C960" i="2"/>
  <c r="C2210" i="2"/>
  <c r="C1898" i="2"/>
  <c r="C1464" i="2"/>
  <c r="C1341" i="2"/>
  <c r="C2037" i="2"/>
  <c r="C1423" i="2"/>
  <c r="C466" i="2"/>
  <c r="C1695" i="2"/>
  <c r="C354" i="2"/>
  <c r="C1497" i="2"/>
  <c r="C1928" i="2"/>
  <c r="C1173" i="2"/>
  <c r="C2106" i="2"/>
  <c r="C1836" i="2"/>
  <c r="C2010" i="2"/>
  <c r="C441" i="2"/>
  <c r="C1130" i="2"/>
  <c r="C656" i="2"/>
  <c r="C1288" i="2"/>
  <c r="C414" i="2"/>
  <c r="C1237" i="2"/>
  <c r="C1602" i="2"/>
  <c r="C1842" i="2"/>
  <c r="C2082" i="2"/>
  <c r="C397" i="2"/>
  <c r="C1225" i="2"/>
  <c r="C138" i="2"/>
  <c r="C943" i="2"/>
  <c r="C1360" i="2"/>
  <c r="C1032" i="2"/>
  <c r="C1603" i="2"/>
  <c r="C2144" i="2"/>
  <c r="C853" i="2"/>
  <c r="C1480" i="2"/>
  <c r="C2061" i="2"/>
  <c r="C969" i="2"/>
  <c r="C1591" i="2"/>
  <c r="C2109" i="2"/>
  <c r="C970" i="2"/>
  <c r="C937" i="2"/>
  <c r="C1533" i="2"/>
  <c r="C2064" i="2"/>
  <c r="C741" i="2"/>
  <c r="C1508" i="2"/>
  <c r="C538" i="2"/>
  <c r="C1424" i="2"/>
  <c r="C1985" i="2"/>
  <c r="C940" i="2"/>
  <c r="C1671" i="2"/>
  <c r="C1332" i="2"/>
  <c r="C863" i="2"/>
  <c r="C1775" i="2"/>
  <c r="C687" i="2"/>
  <c r="C1759" i="2"/>
  <c r="C1273" i="2"/>
  <c r="C140" i="2"/>
  <c r="C1625" i="2"/>
  <c r="C264" i="2"/>
  <c r="C1451" i="2"/>
  <c r="C2236" i="2"/>
  <c r="C1425" i="2"/>
  <c r="C736" i="2"/>
  <c r="C2043" i="2"/>
  <c r="C637" i="2"/>
  <c r="C1704" i="2"/>
  <c r="C2143" i="2"/>
  <c r="C1678" i="2"/>
  <c r="C1534" i="2"/>
  <c r="C2209" i="2"/>
  <c r="C588" i="2"/>
  <c r="C2160" i="2"/>
  <c r="C1729" i="2"/>
  <c r="C1656" i="2"/>
  <c r="C1031" i="2"/>
  <c r="C288" i="2"/>
  <c r="C1943" i="2"/>
  <c r="C1515" i="2"/>
  <c r="C1420" i="2"/>
  <c r="C2197" i="2"/>
  <c r="C1549" i="2"/>
  <c r="C720" i="2"/>
  <c r="C1989" i="2"/>
  <c r="C467" i="2"/>
  <c r="C1801" i="2"/>
  <c r="C2258" i="2"/>
  <c r="C1329" i="2"/>
  <c r="C2216" i="2"/>
  <c r="C1948" i="2"/>
  <c r="C1715" i="2"/>
  <c r="C494" i="2"/>
  <c r="C1153" i="2"/>
  <c r="C694" i="2"/>
  <c r="C1299" i="2"/>
  <c r="C469" i="2"/>
  <c r="C1251" i="2"/>
  <c r="C1612" i="2"/>
  <c r="C1852" i="2"/>
  <c r="C2092" i="2"/>
  <c r="C451" i="2"/>
  <c r="C1239" i="2"/>
  <c r="C198" i="2"/>
  <c r="C982" i="2"/>
  <c r="C1383" i="2"/>
  <c r="C1064" i="2"/>
  <c r="C1626" i="2"/>
  <c r="C2167" i="2"/>
  <c r="C886" i="2"/>
  <c r="C1518" i="2"/>
  <c r="C2074" i="2"/>
  <c r="C984" i="2"/>
  <c r="C1604" i="2"/>
  <c r="C2145" i="2"/>
  <c r="C1019" i="2"/>
  <c r="C954" i="2"/>
  <c r="C1545" i="2"/>
  <c r="C2087" i="2"/>
  <c r="C837" i="2"/>
  <c r="C1520" i="2"/>
  <c r="C586" i="2"/>
  <c r="C1436" i="2"/>
  <c r="C2008" i="2"/>
  <c r="C961" i="2"/>
  <c r="C1706" i="2"/>
  <c r="C1414" i="2"/>
  <c r="C890" i="2"/>
  <c r="C1841" i="2"/>
  <c r="C727" i="2"/>
  <c r="C1793" i="2"/>
  <c r="C1315" i="2"/>
  <c r="C186" i="2"/>
  <c r="C1677" i="2"/>
  <c r="C301" i="2"/>
  <c r="C1488" i="2"/>
  <c r="C71" i="2"/>
  <c r="C1453" i="2"/>
  <c r="C780" i="2"/>
  <c r="C2088" i="2"/>
  <c r="C744" i="2"/>
  <c r="C1751" i="2"/>
  <c r="C2255" i="2"/>
  <c r="C1700" i="2"/>
  <c r="C1633" i="2"/>
  <c r="C31" i="2"/>
  <c r="C949" i="2"/>
  <c r="C2181" i="2"/>
  <c r="C1894" i="2"/>
  <c r="C1681" i="2"/>
  <c r="C1169" i="2"/>
  <c r="C498" i="2"/>
  <c r="C1964" i="2"/>
  <c r="C1566" i="2"/>
  <c r="C1599" i="2"/>
  <c r="C1240" i="2"/>
  <c r="C1965" i="2"/>
  <c r="C933" i="2"/>
  <c r="C2150" i="2"/>
  <c r="C862" i="2"/>
  <c r="C1973" i="2"/>
  <c r="C1241" i="2"/>
  <c r="C1397" i="2"/>
  <c r="C196" i="2"/>
  <c r="C136" i="2"/>
  <c r="C1765" i="2"/>
  <c r="C527" i="2"/>
  <c r="C1176" i="2"/>
  <c r="C711" i="2"/>
  <c r="C1310" i="2"/>
  <c r="C508" i="2"/>
  <c r="C1276" i="2"/>
  <c r="C1622" i="2"/>
  <c r="C1862" i="2"/>
  <c r="C2102" i="2"/>
  <c r="C488" i="2"/>
  <c r="C1264" i="2"/>
  <c r="C254" i="2"/>
  <c r="C1007" i="2"/>
  <c r="C1394" i="2"/>
  <c r="C1082" i="2"/>
  <c r="C1649" i="2"/>
  <c r="C2190" i="2"/>
  <c r="C902" i="2"/>
  <c r="C1530" i="2"/>
  <c r="C2097" i="2"/>
  <c r="C1001" i="2"/>
  <c r="C1627" i="2"/>
  <c r="C2168" i="2"/>
  <c r="C66" i="2"/>
  <c r="C985" i="2"/>
  <c r="C1569" i="2"/>
  <c r="C2110" i="2"/>
  <c r="C855" i="2"/>
  <c r="C1558" i="2"/>
  <c r="C630" i="2"/>
  <c r="C1474" i="2"/>
  <c r="C2031" i="2"/>
  <c r="C987" i="2"/>
  <c r="C1757" i="2"/>
  <c r="C1450" i="2"/>
  <c r="C913" i="2"/>
  <c r="C1857" i="2"/>
  <c r="C891" i="2"/>
  <c r="C1809" i="2"/>
  <c r="C1395" i="2"/>
  <c r="C299" i="2"/>
  <c r="C1727" i="2"/>
  <c r="C336" i="2"/>
  <c r="C1540" i="2"/>
  <c r="C107" i="2"/>
  <c r="C1476" i="2"/>
  <c r="C909" i="2"/>
  <c r="C2134" i="2"/>
  <c r="C880" i="2"/>
  <c r="C1823" i="2"/>
  <c r="C160" i="2"/>
  <c r="C1721" i="2"/>
  <c r="C1774" i="2"/>
  <c r="C87" i="2"/>
  <c r="C1025" i="2"/>
  <c r="C922" i="2"/>
  <c r="C1939" i="2"/>
  <c r="C1753" i="2"/>
  <c r="C1196" i="2"/>
  <c r="C707" i="2"/>
  <c r="C1988" i="2"/>
  <c r="C1595" i="2"/>
  <c r="C1718" i="2"/>
  <c r="C1571" i="2"/>
  <c r="C611" i="2"/>
  <c r="C1113" i="2"/>
  <c r="C520" i="2"/>
  <c r="C945" i="2"/>
  <c r="C972" i="2"/>
  <c r="C1696" i="2"/>
  <c r="C1471" i="2"/>
  <c r="C567" i="2"/>
  <c r="C2166" i="2"/>
  <c r="C1786" i="2"/>
  <c r="C193" i="2"/>
  <c r="C433" i="2"/>
  <c r="C673" i="2"/>
  <c r="C64" i="2"/>
  <c r="C105" i="2"/>
  <c r="C345" i="2"/>
  <c r="C585" i="2"/>
  <c r="C825" i="2"/>
  <c r="C418" i="2"/>
  <c r="C760" i="2"/>
  <c r="C968" i="2"/>
  <c r="C1208" i="2"/>
  <c r="C348" i="2"/>
  <c r="C690" i="2"/>
  <c r="C439" i="2"/>
  <c r="C1115" i="2"/>
  <c r="C559" i="2"/>
  <c r="C1189" i="2"/>
  <c r="C768" i="2"/>
  <c r="C1333" i="2"/>
  <c r="C581" i="2"/>
  <c r="C1311" i="2"/>
  <c r="C1632" i="2"/>
  <c r="C1872" i="2"/>
  <c r="C2112" i="2"/>
  <c r="C546" i="2"/>
  <c r="C1289" i="2"/>
  <c r="C271" i="2"/>
  <c r="C1021" i="2"/>
  <c r="C1405" i="2"/>
  <c r="C1097" i="2"/>
  <c r="C1685" i="2"/>
  <c r="C2203" i="2"/>
  <c r="C934" i="2"/>
  <c r="C1579" i="2"/>
  <c r="C2120" i="2"/>
  <c r="C1017" i="2"/>
  <c r="C1650" i="2"/>
  <c r="C2191" i="2"/>
  <c r="C120" i="2"/>
  <c r="C1101" i="2"/>
  <c r="C1605" i="2"/>
  <c r="C2123" i="2"/>
  <c r="C905" i="2"/>
  <c r="C1581" i="2"/>
  <c r="C654" i="2"/>
  <c r="C1486" i="2"/>
  <c r="C2044" i="2"/>
  <c r="C1037" i="2"/>
  <c r="C1789" i="2"/>
  <c r="C1487" i="2"/>
  <c r="C991" i="2"/>
  <c r="C1871" i="2"/>
  <c r="C941" i="2"/>
  <c r="C1825" i="2"/>
  <c r="C1434" i="2"/>
  <c r="C370" i="2"/>
  <c r="C1743" i="2"/>
  <c r="C371" i="2"/>
  <c r="C1576" i="2"/>
  <c r="C27" i="2"/>
  <c r="C1648" i="2"/>
  <c r="C946" i="2"/>
  <c r="C2224" i="2"/>
  <c r="C1124" i="2"/>
  <c r="C1915" i="2"/>
  <c r="C214" i="2"/>
  <c r="C1819" i="2"/>
  <c r="C1847" i="2"/>
  <c r="C380" i="2"/>
  <c r="C1191" i="2"/>
  <c r="C1057" i="2"/>
  <c r="C1980" i="2"/>
  <c r="C1778" i="2"/>
  <c r="C1266" i="2"/>
  <c r="C754" i="2"/>
  <c r="C2009" i="2"/>
  <c r="C1616" i="2"/>
  <c r="C1837" i="2"/>
  <c r="C1814" i="2"/>
  <c r="C1619" i="2"/>
  <c r="C1282" i="2"/>
  <c r="C1764" i="2"/>
  <c r="C1044" i="2"/>
  <c r="C1303" i="2"/>
  <c r="C2151" i="2"/>
  <c r="C1526" i="2"/>
  <c r="C820" i="2"/>
  <c r="C1881" i="2"/>
  <c r="C1547" i="2"/>
  <c r="C203" i="2"/>
  <c r="C443" i="2"/>
  <c r="C683" i="2"/>
  <c r="C74" i="2"/>
  <c r="C115" i="2"/>
  <c r="C355" i="2"/>
  <c r="C595" i="2"/>
  <c r="C835" i="2"/>
  <c r="C431" i="2"/>
  <c r="C776" i="2"/>
  <c r="C978" i="2"/>
  <c r="C1218" i="2"/>
  <c r="C361" i="2"/>
  <c r="C706" i="2"/>
  <c r="C471" i="2"/>
  <c r="C1151" i="2"/>
  <c r="C578" i="2"/>
  <c r="C1212" i="2"/>
  <c r="C824" i="2"/>
  <c r="C1344" i="2"/>
  <c r="C638" i="2"/>
  <c r="C1322" i="2"/>
  <c r="C1642" i="2"/>
  <c r="C1882" i="2"/>
  <c r="C2122" i="2"/>
  <c r="C566" i="2"/>
  <c r="C1300" i="2"/>
  <c r="C310" i="2"/>
  <c r="C1034" i="2"/>
  <c r="C1416" i="2"/>
  <c r="C1163" i="2"/>
  <c r="C1708" i="2"/>
  <c r="C2226" i="2"/>
  <c r="C952" i="2"/>
  <c r="C1615" i="2"/>
  <c r="C2133" i="2"/>
  <c r="C1065" i="2"/>
  <c r="C1663" i="2"/>
  <c r="C2204" i="2"/>
  <c r="C147" i="2"/>
  <c r="C1116" i="2"/>
  <c r="C1628" i="2"/>
  <c r="C2146" i="2"/>
  <c r="C939" i="2"/>
  <c r="C1594" i="2"/>
  <c r="C700" i="2"/>
  <c r="C1524" i="2"/>
  <c r="C2067" i="2"/>
  <c r="C1084" i="2"/>
  <c r="C1824" i="2"/>
  <c r="C1539" i="2"/>
  <c r="C1039" i="2"/>
  <c r="C1936" i="2"/>
  <c r="C964" i="2"/>
  <c r="C1843" i="2"/>
  <c r="C1467" i="2"/>
  <c r="C444" i="2"/>
  <c r="C1760" i="2"/>
  <c r="C446" i="2"/>
  <c r="C1659" i="2"/>
  <c r="C211" i="2"/>
  <c r="C1670" i="2"/>
  <c r="C1219" i="2"/>
  <c r="C2245" i="2"/>
  <c r="C1222" i="2"/>
  <c r="C2006" i="2"/>
  <c r="C278" i="2"/>
  <c r="C1866" i="2"/>
  <c r="C1935" i="2"/>
  <c r="C427" i="2"/>
  <c r="C1221" i="2"/>
  <c r="C1192" i="2"/>
  <c r="C2137" i="2"/>
  <c r="C1800" i="2"/>
  <c r="C1301" i="2"/>
  <c r="C814" i="2"/>
  <c r="C2055" i="2"/>
  <c r="C1714" i="2"/>
  <c r="C2011" i="2"/>
  <c r="C2039" i="2"/>
  <c r="C756" i="2"/>
  <c r="C1359" i="2"/>
  <c r="C1309" i="2"/>
  <c r="C1119" i="2"/>
  <c r="C1620" i="2"/>
  <c r="C666" i="2"/>
  <c r="C1596" i="2"/>
  <c r="C926" i="2"/>
  <c r="C2259" i="2"/>
  <c r="C1104" i="2"/>
  <c r="C213" i="2"/>
  <c r="C453" i="2"/>
  <c r="C693" i="2"/>
  <c r="C84" i="2"/>
  <c r="C125" i="2"/>
  <c r="C365" i="2"/>
  <c r="C605" i="2"/>
  <c r="C845" i="2"/>
  <c r="C447" i="2"/>
  <c r="C789" i="2"/>
  <c r="C988" i="2"/>
  <c r="C1228" i="2"/>
  <c r="C377" i="2"/>
  <c r="C719" i="2"/>
  <c r="C524" i="2"/>
  <c r="C1174" i="2"/>
  <c r="C610" i="2"/>
  <c r="C1235" i="2"/>
  <c r="C857" i="2"/>
  <c r="C1355" i="2"/>
  <c r="C730" i="2"/>
  <c r="C1411" i="2"/>
  <c r="C1652" i="2"/>
  <c r="C1892" i="2"/>
  <c r="C2132" i="2"/>
  <c r="C600" i="2"/>
  <c r="C1323" i="2"/>
  <c r="C367" i="2"/>
  <c r="C1047" i="2"/>
  <c r="C90" i="2"/>
  <c r="C1180" i="2"/>
  <c r="C1731" i="2"/>
  <c r="C2249" i="2"/>
  <c r="C967" i="2"/>
  <c r="C1638" i="2"/>
  <c r="C2156" i="2"/>
  <c r="C1149" i="2"/>
  <c r="C1686" i="2"/>
  <c r="C2227" i="2"/>
  <c r="C16" i="2"/>
  <c r="C1134" i="2"/>
  <c r="C1651" i="2"/>
  <c r="C2169" i="2"/>
  <c r="C971" i="2"/>
  <c r="C1617" i="2"/>
  <c r="C796" i="2"/>
  <c r="C1536" i="2"/>
  <c r="C2090" i="2"/>
  <c r="C1109" i="2"/>
  <c r="C1888" i="2"/>
  <c r="C1575" i="2"/>
  <c r="C1155" i="2"/>
  <c r="C1966" i="2"/>
  <c r="C1013" i="2"/>
  <c r="C1873" i="2"/>
  <c r="C1523" i="2"/>
  <c r="C478" i="2"/>
  <c r="C1795" i="2"/>
  <c r="C517" i="2"/>
  <c r="C1694" i="2"/>
  <c r="C268" i="2"/>
  <c r="C1698" i="2"/>
  <c r="C1312" i="2"/>
  <c r="C1601" i="2"/>
  <c r="C1346" i="2"/>
  <c r="C2070" i="2"/>
  <c r="C426" i="2"/>
  <c r="C1911" i="2"/>
  <c r="C2161" i="2"/>
  <c r="C486" i="2"/>
  <c r="C1257" i="2"/>
  <c r="C1561" i="2"/>
  <c r="C110" i="2"/>
  <c r="C1848" i="2"/>
  <c r="C1326" i="2"/>
  <c r="C895" i="2"/>
  <c r="C2076" i="2"/>
  <c r="C1736" i="2"/>
  <c r="C2066" i="2"/>
  <c r="C267" i="2"/>
  <c r="C1141" i="2"/>
  <c r="C1491" i="2"/>
  <c r="C1880" i="2"/>
  <c r="C1209" i="2"/>
  <c r="C1739" i="2"/>
  <c r="C244" i="2"/>
  <c r="C1647" i="2"/>
  <c r="C1009" i="2"/>
  <c r="C1171" i="2"/>
  <c r="C311" i="2"/>
  <c r="C223" i="2"/>
  <c r="C463" i="2"/>
  <c r="C703" i="2"/>
  <c r="C94" i="2"/>
  <c r="C135" i="2"/>
  <c r="C375" i="2"/>
  <c r="C615" i="2"/>
  <c r="C19" i="2"/>
  <c r="C460" i="2"/>
  <c r="C804" i="2"/>
  <c r="C998" i="2"/>
  <c r="C1238" i="2"/>
  <c r="C390" i="2"/>
  <c r="C734" i="2"/>
  <c r="C557" i="2"/>
  <c r="C1197" i="2"/>
  <c r="C644" i="2"/>
  <c r="C1271" i="2"/>
  <c r="C884" i="2"/>
  <c r="C1366" i="2"/>
  <c r="C750" i="2"/>
  <c r="C1422" i="2"/>
  <c r="C1662" i="2"/>
  <c r="C1902" i="2"/>
  <c r="C2142" i="2"/>
  <c r="C620" i="2"/>
  <c r="C1334" i="2"/>
  <c r="C401" i="2"/>
  <c r="C1061" i="2"/>
  <c r="C221" i="2"/>
  <c r="C1213" i="2"/>
  <c r="C1744" i="2"/>
  <c r="C11" i="2"/>
  <c r="C1000" i="2"/>
  <c r="C1661" i="2"/>
  <c r="C2179" i="2"/>
  <c r="C1164" i="2"/>
  <c r="C1709" i="2"/>
  <c r="C2250" i="2"/>
  <c r="C40" i="2"/>
  <c r="C1150" i="2"/>
  <c r="C1664" i="2"/>
  <c r="C2205" i="2"/>
  <c r="C986" i="2"/>
  <c r="C1640" i="2"/>
  <c r="C876" i="2"/>
  <c r="C1585" i="2"/>
  <c r="C2103" i="2"/>
  <c r="C1129" i="2"/>
  <c r="C1904" i="2"/>
  <c r="C1658" i="2"/>
  <c r="C1223" i="2"/>
  <c r="C1998" i="2"/>
  <c r="C1062" i="2"/>
  <c r="C1889" i="2"/>
  <c r="C1643" i="2"/>
  <c r="C549" i="2"/>
  <c r="C1810" i="2"/>
  <c r="C627" i="2"/>
  <c r="C1711" i="2"/>
  <c r="C314" i="2"/>
  <c r="C1796" i="2"/>
  <c r="C1342" i="2"/>
  <c r="C1630" i="2"/>
  <c r="C1479" i="2"/>
  <c r="C2163" i="2"/>
  <c r="C840" i="2"/>
  <c r="C1930" i="2"/>
  <c r="C237" i="2"/>
  <c r="C636" i="2"/>
  <c r="C1287" i="2"/>
  <c r="C1606" i="2"/>
  <c r="C166" i="2"/>
  <c r="C1869" i="2"/>
  <c r="C1384" i="2"/>
  <c r="C929" i="2"/>
  <c r="C2100" i="2"/>
  <c r="C1763" i="2"/>
  <c r="C2128" i="2"/>
  <c r="C1386" i="2"/>
  <c r="C1440" i="2"/>
  <c r="C2237" i="2"/>
  <c r="C2104" i="2"/>
  <c r="C1284" i="2"/>
  <c r="C1925" i="2"/>
  <c r="C359" i="2"/>
  <c r="C1766" i="2"/>
  <c r="C1408" i="2"/>
  <c r="C709" i="2"/>
  <c r="C1076" i="2"/>
  <c r="C2" i="4"/>
  <c r="P2" i="5"/>
  <c r="C6" i="7"/>
  <c r="A8" i="7"/>
  <c r="C5" i="7"/>
  <c r="A7" i="7"/>
  <c r="A9" i="7" l="1"/>
  <c r="C7" i="7"/>
  <c r="A10" i="7"/>
  <c r="C8" i="7"/>
  <c r="C10" i="7" l="1"/>
  <c r="A12" i="7"/>
  <c r="C9" i="7"/>
  <c r="A11" i="7"/>
  <c r="C11" i="7" l="1"/>
  <c r="A13" i="7"/>
  <c r="A14" i="7"/>
  <c r="C12" i="7"/>
  <c r="C14" i="7" l="1"/>
  <c r="A16" i="7"/>
  <c r="A15" i="7"/>
  <c r="C13" i="7"/>
  <c r="C15" i="7" l="1"/>
  <c r="A17" i="7"/>
  <c r="A18" i="7"/>
  <c r="C16" i="7"/>
  <c r="A20" i="7" l="1"/>
  <c r="C18" i="7"/>
  <c r="A19" i="7"/>
  <c r="C17" i="7"/>
  <c r="A21" i="7" l="1"/>
  <c r="C19" i="7"/>
  <c r="A22" i="7"/>
  <c r="C20" i="7"/>
  <c r="A24" i="7" l="1"/>
  <c r="C22" i="7"/>
  <c r="A23" i="7"/>
  <c r="C21" i="7"/>
  <c r="A25" i="7" l="1"/>
  <c r="C23" i="7"/>
  <c r="A26" i="7"/>
  <c r="C24" i="7"/>
  <c r="A28" i="7" l="1"/>
  <c r="C26" i="7"/>
  <c r="A27" i="7"/>
  <c r="C25" i="7"/>
  <c r="A29" i="7" l="1"/>
  <c r="C27" i="7"/>
  <c r="A30" i="7"/>
  <c r="C28" i="7"/>
  <c r="A32" i="7" l="1"/>
  <c r="C30" i="7"/>
  <c r="A31" i="7"/>
  <c r="C29" i="7"/>
  <c r="A33" i="7" l="1"/>
  <c r="C31" i="7"/>
  <c r="A34" i="7"/>
  <c r="C32" i="7"/>
  <c r="A36" i="7" l="1"/>
  <c r="C34" i="7"/>
  <c r="A35" i="7"/>
  <c r="C33" i="7"/>
  <c r="A37" i="7" l="1"/>
  <c r="C35" i="7"/>
  <c r="A38" i="7"/>
  <c r="C36" i="7"/>
  <c r="A40" i="7" l="1"/>
  <c r="C38" i="7"/>
  <c r="A39" i="7"/>
  <c r="C37" i="7"/>
  <c r="A41" i="7" l="1"/>
  <c r="C39" i="7"/>
  <c r="A42" i="7"/>
  <c r="C40" i="7"/>
  <c r="A44" i="7" l="1"/>
  <c r="C42" i="7"/>
  <c r="A43" i="7"/>
  <c r="C41" i="7"/>
  <c r="A45" i="7" l="1"/>
  <c r="C43" i="7"/>
  <c r="A46" i="7"/>
  <c r="C44" i="7"/>
  <c r="A48" i="7" l="1"/>
  <c r="C46" i="7"/>
  <c r="A47" i="7"/>
  <c r="C45" i="7"/>
  <c r="A49" i="7" l="1"/>
  <c r="C47" i="7"/>
  <c r="A50" i="7"/>
  <c r="C48" i="7"/>
  <c r="A52" i="7" l="1"/>
  <c r="C50" i="7"/>
  <c r="A51" i="7"/>
  <c r="C49" i="7"/>
  <c r="A53" i="7" l="1"/>
  <c r="C51" i="7"/>
  <c r="A54" i="7"/>
  <c r="C52" i="7"/>
  <c r="A56" i="7" l="1"/>
  <c r="C54" i="7"/>
  <c r="A55" i="7"/>
  <c r="C53" i="7"/>
  <c r="A57" i="7" l="1"/>
  <c r="C55" i="7"/>
  <c r="A58" i="7"/>
  <c r="C56" i="7"/>
  <c r="A60" i="7" l="1"/>
  <c r="C58" i="7"/>
  <c r="A59" i="7"/>
  <c r="C57" i="7"/>
  <c r="A61" i="7" l="1"/>
  <c r="C59" i="7"/>
  <c r="A62" i="7"/>
  <c r="C60" i="7"/>
  <c r="C62" i="7" l="1"/>
  <c r="A64" i="7"/>
  <c r="A63" i="7"/>
  <c r="C61" i="7"/>
  <c r="A65" i="7" l="1"/>
  <c r="C63" i="7"/>
  <c r="A66" i="7"/>
  <c r="C64" i="7"/>
  <c r="A68" i="7" l="1"/>
  <c r="C66" i="7"/>
  <c r="A67" i="7"/>
  <c r="C65" i="7"/>
  <c r="A69" i="7" l="1"/>
  <c r="C67" i="7"/>
  <c r="A70" i="7"/>
  <c r="C68" i="7"/>
  <c r="A72" i="7" l="1"/>
  <c r="C70" i="7"/>
  <c r="A71" i="7"/>
  <c r="C69" i="7"/>
  <c r="A73" i="7" l="1"/>
  <c r="C71" i="7"/>
  <c r="A74" i="7"/>
  <c r="C72" i="7"/>
  <c r="A76" i="7" l="1"/>
  <c r="C74" i="7"/>
  <c r="A75" i="7"/>
  <c r="C73" i="7"/>
  <c r="A77" i="7" l="1"/>
  <c r="C75" i="7"/>
  <c r="A78" i="7"/>
  <c r="C76" i="7"/>
  <c r="A80" i="7" l="1"/>
  <c r="C78" i="7"/>
  <c r="A79" i="7"/>
  <c r="C77" i="7"/>
  <c r="A81" i="7" l="1"/>
  <c r="C79" i="7"/>
  <c r="A82" i="7"/>
  <c r="C80" i="7"/>
  <c r="A84" i="7" l="1"/>
  <c r="C82" i="7"/>
  <c r="A83" i="7"/>
  <c r="C81" i="7"/>
  <c r="A85" i="7" l="1"/>
  <c r="C83" i="7"/>
  <c r="A86" i="7"/>
  <c r="C84" i="7"/>
  <c r="A88" i="7" l="1"/>
  <c r="C86" i="7"/>
  <c r="A87" i="7"/>
  <c r="C85" i="7"/>
  <c r="A89" i="7" l="1"/>
  <c r="C87" i="7"/>
  <c r="A90" i="7"/>
  <c r="C88" i="7"/>
  <c r="A92" i="7" l="1"/>
  <c r="C90" i="7"/>
  <c r="A91" i="7"/>
  <c r="C89" i="7"/>
  <c r="A93" i="7" l="1"/>
  <c r="C91" i="7"/>
  <c r="A94" i="7"/>
  <c r="C92" i="7"/>
  <c r="A96" i="7" l="1"/>
  <c r="C94" i="7"/>
  <c r="A95" i="7"/>
  <c r="C93" i="7"/>
  <c r="A97" i="7" l="1"/>
  <c r="C95" i="7"/>
  <c r="A98" i="7"/>
  <c r="C96" i="7"/>
  <c r="A100" i="7" l="1"/>
  <c r="C98" i="7"/>
  <c r="A99" i="7"/>
  <c r="C97" i="7"/>
  <c r="A101" i="7" l="1"/>
  <c r="C99" i="7"/>
  <c r="A102" i="7"/>
  <c r="C100" i="7"/>
  <c r="A104" i="7" l="1"/>
  <c r="C102" i="7"/>
  <c r="A103" i="7"/>
  <c r="C101" i="7"/>
  <c r="A105" i="7" l="1"/>
  <c r="C103" i="7"/>
  <c r="C104" i="7"/>
  <c r="C105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<sst xmlns="http://schemas.openxmlformats.org/spreadsheetml/2006/main" count="2752" uniqueCount="2354">
  <si>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</si>
  <si>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</si>
  <si>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</si>
  <si>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</si>
  <si>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</si>
  <si>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</si>
  <si>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</si>
  <si>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</si>
  <si>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</si>
  <si>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</si>
  <si>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</si>
  <si>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</si>
  <si>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</si>
  <si>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</si>
  <si>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</si>
  <si>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</si>
  <si>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</si>
  <si>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</si>
  <si>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</si>
  <si>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</si>
  <si>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</si>
  <si>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</si>
  <si>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</si>
  <si>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</si>
  <si>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</si>
  <si>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</si>
  <si>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</si>
  <si>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</si>
  <si>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</si>
  <si>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</si>
  <si>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</si>
  <si>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</si>
  <si>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</si>
  <si>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</si>
  <si>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</si>
  <si>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</si>
  <si>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</si>
  <si>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</si>
  <si>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</si>
  <si>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</si>
  <si>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</si>
  <si>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</si>
  <si>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</si>
  <si>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</si>
  <si>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</si>
  <si>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</si>
  <si>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</si>
  <si>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</si>
  <si>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</si>
  <si>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</si>
  <si>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</si>
  <si>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</si>
  <si>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</si>
  <si>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</si>
  <si>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</si>
  <si>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</si>
  <si>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</si>
  <si>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</si>
  <si>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</si>
  <si>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</si>
  <si>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</si>
  <si>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</si>
  <si>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</si>
  <si>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</si>
  <si>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</si>
  <si>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</si>
  <si>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</si>
  <si>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</si>
  <si>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</si>
  <si>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</si>
  <si>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</si>
  <si>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</si>
  <si>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</si>
  <si>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</si>
  <si>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</si>
  <si>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</si>
  <si>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</si>
  <si>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</si>
  <si>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</si>
  <si>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</si>
  <si>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</si>
  <si>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</si>
  <si>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</si>
  <si>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</si>
  <si>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</si>
  <si>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</si>
  <si>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</si>
  <si>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</si>
  <si>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</si>
  <si>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</si>
  <si>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</si>
  <si>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</si>
  <si>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</si>
  <si>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</si>
  <si>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</si>
  <si>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</si>
  <si>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</si>
  <si>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</si>
  <si>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</si>
  <si>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</si>
  <si>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</si>
  <si>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</si>
  <si>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</si>
  <si>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</si>
  <si>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</si>
  <si>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</si>
  <si>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</si>
  <si>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</si>
  <si>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</si>
  <si>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</si>
  <si>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</si>
  <si>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</si>
  <si>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</si>
  <si>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</si>
  <si>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</si>
  <si>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</si>
  <si>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</si>
  <si>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</si>
  <si>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</si>
  <si>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</si>
  <si>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</si>
  <si>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</si>
  <si>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</si>
  <si>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</si>
  <si>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</si>
  <si>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</si>
  <si>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</si>
  <si>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</si>
  <si>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</si>
  <si>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</si>
  <si>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</si>
  <si>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</si>
  <si>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</si>
  <si>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</si>
  <si>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</si>
  <si>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</si>
  <si>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</si>
  <si>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</si>
  <si>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</si>
  <si>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</si>
  <si>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</si>
  <si>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</si>
  <si>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</si>
  <si>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</si>
  <si>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</si>
  <si>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</si>
  <si>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</si>
  <si>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</si>
  <si>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</si>
  <si>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</si>
  <si>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</si>
  <si>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</si>
  <si>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</si>
  <si>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</si>
  <si>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</si>
  <si>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</si>
  <si>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</si>
  <si>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</si>
  <si>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</si>
  <si>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</si>
  <si>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</si>
  <si>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</si>
  <si>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</si>
  <si>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</si>
  <si>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</si>
  <si>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</si>
  <si>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</si>
  <si>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</si>
  <si>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</si>
  <si>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</si>
  <si>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</si>
  <si>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</si>
  <si>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</si>
  <si>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</si>
  <si>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</si>
  <si>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</si>
  <si>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</si>
  <si>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</si>
  <si>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</si>
  <si>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</si>
  <si>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</si>
  <si>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</si>
  <si>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</si>
  <si>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</si>
  <si>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</si>
  <si>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</si>
  <si>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</si>
  <si>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</si>
  <si>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</si>
  <si>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</si>
  <si>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</si>
  <si>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</si>
  <si>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</si>
  <si>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</si>
  <si>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</si>
  <si>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</si>
  <si>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</si>
  <si>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</si>
  <si>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</si>
  <si>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</si>
  <si>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</si>
  <si>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</si>
  <si>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</si>
  <si>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</si>
  <si>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</si>
  <si>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</si>
  <si>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</si>
  <si>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</si>
  <si>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</si>
  <si>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</si>
  <si>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</si>
  <si>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</si>
  <si>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</si>
  <si>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</si>
  <si>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</si>
  <si>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</si>
  <si>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</si>
  <si>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</si>
  <si>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</si>
  <si>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</si>
  <si>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</si>
  <si>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</si>
  <si>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</si>
  <si>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</si>
  <si>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</si>
  <si>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</si>
  <si>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</si>
  <si>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</si>
  <si>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</si>
  <si>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</si>
  <si>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</si>
  <si>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</si>
  <si>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</si>
  <si>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</si>
  <si>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</si>
  <si>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</si>
  <si>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</si>
  <si>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</si>
  <si>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</si>
  <si>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</si>
  <si>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</si>
  <si>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</si>
  <si>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</si>
  <si>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</si>
  <si>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</si>
  <si>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</si>
  <si>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</si>
  <si>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</si>
  <si>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</si>
  <si>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</si>
  <si>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</si>
  <si>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</si>
  <si>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</si>
  <si>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</si>
  <si>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</si>
  <si>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</si>
  <si>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</si>
  <si>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</si>
  <si>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</si>
  <si>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</si>
  <si>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</si>
  <si>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</si>
  <si>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</si>
  <si>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</si>
  <si>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</si>
  <si>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</si>
  <si>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</si>
  <si>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</si>
  <si>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</si>
  <si>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</si>
  <si>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</si>
  <si>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</si>
  <si>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</si>
  <si>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</si>
  <si>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</si>
  <si>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</si>
  <si>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</si>
  <si>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</si>
  <si>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</si>
  <si>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</si>
  <si>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</si>
  <si>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</si>
  <si>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</si>
  <si>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</si>
  <si>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</si>
  <si>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</si>
  <si>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</si>
  <si>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</si>
  <si>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</si>
  <si>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</si>
  <si>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</si>
  <si>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</si>
  <si>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</si>
  <si>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</si>
  <si>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</si>
  <si>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</si>
  <si>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</si>
  <si>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</si>
  <si>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</si>
  <si>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</si>
  <si>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</si>
  <si>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</si>
  <si>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</si>
  <si>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</si>
  <si>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</si>
  <si>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</si>
  <si>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</si>
  <si>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</si>
  <si>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</si>
  <si>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</si>
  <si>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</si>
  <si>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</si>
  <si>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Prof45</t>
  </si>
  <si>
    <t>Prof46</t>
  </si>
  <si>
    <t>Prof47</t>
  </si>
  <si>
    <t>Prof48</t>
  </si>
  <si>
    <t>Prof49</t>
  </si>
  <si>
    <t>Prof50</t>
  </si>
  <si>
    <t>Prof51</t>
  </si>
  <si>
    <t>Prof52</t>
  </si>
  <si>
    <t>Prof53</t>
  </si>
  <si>
    <t>Prof54</t>
  </si>
  <si>
    <t>Prof55</t>
  </si>
  <si>
    <t>Exclure</t>
  </si>
  <si>
    <t>Generateur aleatoire</t>
  </si>
  <si>
    <t>null</t>
  </si>
  <si>
    <t>Annee</t>
  </si>
  <si>
    <t>L1</t>
  </si>
  <si>
    <t>L2</t>
  </si>
  <si>
    <t>L3</t>
  </si>
  <si>
    <t>M1</t>
  </si>
  <si>
    <t>M2</t>
  </si>
  <si>
    <t>Salles pour les contraintes</t>
  </si>
  <si>
    <t>oui</t>
  </si>
  <si>
    <t>Salle51</t>
  </si>
  <si>
    <t>Salle52</t>
  </si>
  <si>
    <t>Salle53</t>
  </si>
  <si>
    <t>Salle54</t>
  </si>
  <si>
    <t>Salle55</t>
  </si>
  <si>
    <t>Salle56</t>
  </si>
  <si>
    <t>Salle57</t>
  </si>
  <si>
    <t>Salle58</t>
  </si>
  <si>
    <t>Salle59</t>
  </si>
  <si>
    <t>Salle60</t>
  </si>
  <si>
    <t>Salle61</t>
  </si>
  <si>
    <t>Salle62</t>
  </si>
  <si>
    <t>Salle63</t>
  </si>
  <si>
    <t>Salle64</t>
  </si>
  <si>
    <t>Salle65</t>
  </si>
  <si>
    <t>Salle66</t>
  </si>
  <si>
    <t>Salle67</t>
  </si>
  <si>
    <t>Salle68</t>
  </si>
  <si>
    <t>Salle69</t>
  </si>
  <si>
    <t>Salle70</t>
  </si>
  <si>
    <t>Somme des durees de cours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</si>
  <si>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</si>
  <si>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</si>
  <si>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</si>
  <si>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</si>
  <si>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</si>
  <si>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</si>
  <si>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</si>
  <si>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</si>
  <si>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</si>
  <si>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</si>
  <si>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</si>
  <si>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</si>
  <si>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</si>
  <si>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</si>
  <si>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</si>
  <si>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</si>
  <si>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</si>
  <si>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</si>
  <si>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</si>
  <si>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</si>
  <si>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</si>
  <si>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</si>
  <si>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</si>
  <si>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</si>
  <si>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</si>
  <si>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</si>
  <si>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</si>
  <si>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</si>
  <si>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</si>
  <si>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</si>
  <si>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</si>
  <si>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</si>
  <si>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</si>
  <si>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</si>
  <si>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</si>
  <si>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</si>
  <si>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</si>
  <si>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</si>
  <si>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</si>
  <si>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</si>
  <si>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</si>
  <si>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</si>
  <si>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</si>
  <si>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</si>
  <si>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</si>
  <si>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</si>
  <si>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</si>
  <si>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</si>
  <si>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</si>
  <si>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</si>
  <si>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</si>
  <si>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</si>
  <si>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</si>
  <si>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</si>
  <si>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</si>
  <si>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</si>
  <si>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</si>
  <si>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</si>
  <si>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</si>
  <si>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</si>
  <si>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</si>
  <si>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</si>
  <si>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</si>
  <si>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</si>
  <si>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</si>
  <si>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</si>
  <si>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</si>
  <si>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</si>
  <si>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</si>
  <si>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</si>
  <si>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</si>
  <si>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</si>
  <si>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</si>
  <si>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</si>
  <si>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</si>
  <si>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</si>
  <si>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</si>
  <si>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</si>
  <si>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</si>
  <si>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</si>
  <si>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</si>
  <si>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</si>
  <si>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</si>
  <si>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</si>
  <si>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</si>
  <si>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</si>
  <si>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</si>
  <si>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</si>
  <si>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</si>
  <si>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</si>
  <si>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</si>
  <si>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</si>
  <si>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</si>
  <si>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</si>
  <si>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</si>
  <si>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</si>
  <si>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</si>
  <si>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</si>
  <si>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</si>
  <si>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</si>
  <si>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</si>
  <si>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</si>
  <si>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</si>
  <si>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</si>
  <si>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</si>
  <si>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</si>
  <si>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</si>
  <si>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</si>
  <si>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</si>
  <si>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</si>
  <si>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</si>
  <si>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</si>
  <si>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</si>
  <si>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</si>
  <si>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</si>
  <si>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</si>
  <si>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</si>
  <si>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</si>
  <si>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</si>
  <si>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</si>
  <si>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</si>
  <si>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</si>
  <si>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</si>
  <si>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</si>
  <si>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</si>
  <si>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</si>
  <si>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</si>
  <si>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</si>
  <si>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</si>
  <si>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</si>
  <si>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</si>
  <si>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</si>
  <si>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</si>
  <si>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</si>
  <si>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</si>
  <si>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</si>
  <si>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</si>
  <si>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</si>
  <si>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</si>
  <si>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</si>
  <si>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</si>
  <si>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</si>
  <si>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</si>
  <si>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</si>
  <si>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</si>
  <si>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</si>
  <si>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</si>
  <si>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</si>
  <si>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</si>
  <si>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</si>
  <si>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</si>
  <si>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</si>
  <si>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</si>
  <si>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</si>
  <si>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</si>
  <si>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</si>
  <si>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</si>
  <si>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</si>
  <si>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</si>
  <si>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</si>
  <si>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</si>
  <si>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</si>
  <si>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</si>
  <si>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</si>
  <si>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</si>
  <si>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</si>
  <si>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</si>
  <si>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</si>
  <si>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</si>
  <si>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</si>
  <si>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</si>
  <si>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</si>
  <si>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</si>
  <si>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</si>
  <si>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</si>
  <si>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</si>
  <si>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</si>
  <si>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</si>
  <si>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</si>
  <si>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</si>
  <si>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</si>
  <si>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</si>
  <si>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</si>
  <si>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</si>
  <si>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</si>
  <si>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</si>
  <si>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</si>
  <si>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</si>
  <si>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</si>
  <si>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</si>
  <si>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</si>
  <si>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</si>
  <si>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</si>
  <si>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</si>
  <si>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</si>
  <si>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</si>
  <si>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</si>
  <si>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</si>
  <si>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</si>
  <si>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</si>
  <si>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</si>
  <si>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</si>
  <si>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</si>
  <si>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</si>
  <si>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</si>
  <si>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</si>
  <si>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</si>
  <si>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</si>
  <si>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</si>
  <si>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</si>
  <si>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</si>
  <si>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</si>
  <si>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</si>
  <si>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</si>
  <si>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</si>
  <si>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</si>
  <si>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</si>
  <si>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</si>
  <si>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</si>
  <si>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</si>
  <si>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</si>
  <si>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</si>
  <si>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</si>
  <si>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</si>
  <si>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</si>
  <si>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</si>
  <si>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</si>
  <si>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</si>
  <si>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</si>
  <si>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</si>
  <si>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</si>
  <si>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</si>
  <si>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</si>
  <si>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</si>
  <si>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</si>
  <si>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</si>
  <si>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</si>
  <si>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</si>
  <si>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</si>
  <si>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</si>
  <si>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</si>
  <si>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</si>
  <si>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</si>
  <si>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</si>
  <si>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</si>
  <si>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</si>
  <si>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</si>
  <si>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</si>
  <si>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</si>
  <si>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</si>
  <si>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</si>
  <si>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</si>
  <si>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</si>
  <si>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</si>
  <si>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</si>
  <si>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</si>
  <si>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</si>
  <si>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</si>
  <si>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</si>
  <si>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</si>
  <si>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</si>
  <si>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</si>
  <si>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</si>
  <si>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</si>
  <si>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</si>
  <si>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</si>
  <si>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</si>
  <si>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</si>
  <si>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</si>
  <si>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</si>
  <si>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</si>
  <si>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</si>
  <si>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</si>
  <si>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</si>
  <si>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</si>
  <si>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</si>
  <si>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</si>
  <si>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</si>
  <si>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</si>
  <si>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</si>
  <si>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</si>
  <si>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</si>
  <si>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</si>
  <si>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</si>
  <si>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</si>
  <si>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</si>
  <si>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</si>
  <si>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</si>
  <si>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</si>
  <si>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</si>
  <si>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</si>
  <si>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</si>
  <si>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</si>
  <si>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</si>
  <si>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</si>
  <si>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</si>
  <si>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</si>
  <si>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</si>
  <si>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</si>
  <si>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</si>
  <si>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</si>
  <si>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</si>
  <si>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</si>
  <si>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</si>
  <si>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</si>
  <si>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</si>
  <si>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</si>
  <si>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</si>
  <si>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</si>
  <si>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</si>
  <si>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</si>
  <si>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</si>
  <si>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</si>
  <si>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</si>
  <si>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</si>
  <si>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</si>
  <si>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</si>
  <si>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</si>
  <si>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</si>
  <si>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</si>
  <si>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</si>
  <si>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</si>
  <si>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</si>
  <si>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</si>
  <si>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</si>
  <si>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</si>
  <si>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</si>
  <si>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</si>
  <si>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</si>
  <si>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</si>
  <si>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</si>
  <si>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</si>
  <si>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</si>
  <si>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</si>
  <si>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</si>
  <si>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</si>
  <si>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</si>
  <si>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</si>
  <si>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</si>
  <si>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</si>
  <si>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</si>
  <si>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</si>
  <si>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</si>
  <si>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</si>
  <si>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</si>
  <si>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</si>
  <si>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</si>
  <si>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</si>
  <si>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</si>
  <si>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</si>
  <si>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</si>
  <si>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</si>
  <si>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</si>
  <si>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</si>
  <si>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</si>
  <si>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</si>
  <si>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</si>
  <si>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</si>
  <si>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</si>
  <si>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</si>
  <si>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</si>
  <si>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</si>
  <si>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</si>
  <si>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</si>
  <si>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</si>
  <si>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</si>
  <si>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</si>
  <si>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</si>
  <si>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</si>
  <si>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</si>
  <si>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</si>
  <si>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</si>
  <si>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</si>
  <si>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</si>
  <si>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</si>
  <si>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</si>
  <si>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</si>
  <si>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</si>
  <si>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</si>
  <si>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</si>
  <si>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</si>
  <si>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</si>
  <si>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</si>
  <si>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</si>
  <si>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</si>
  <si>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</si>
  <si>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</si>
  <si>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</si>
  <si>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</si>
  <si>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</si>
  <si>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</si>
  <si>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</si>
  <si>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</si>
  <si>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</si>
  <si>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</si>
  <si>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</si>
  <si>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</si>
  <si>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</si>
  <si>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</si>
  <si>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</si>
  <si>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</si>
  <si>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</si>
  <si>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</si>
  <si>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</si>
  <si>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</si>
  <si>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</si>
  <si>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</si>
  <si>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</si>
  <si>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</si>
  <si>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</si>
  <si>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</si>
  <si>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</si>
  <si>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</si>
  <si>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</si>
  <si>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</si>
  <si>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</si>
  <si>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</si>
  <si>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</si>
  <si>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</si>
  <si>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</si>
  <si>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</si>
  <si>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</si>
  <si>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</si>
  <si>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</si>
  <si>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</si>
  <si>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</si>
  <si>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</si>
  <si>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</si>
  <si>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</si>
  <si>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</si>
  <si>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</si>
  <si>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</si>
  <si>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</si>
  <si>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</si>
  <si>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</si>
  <si>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</si>
  <si>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</si>
  <si>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</si>
  <si>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</si>
  <si>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</si>
  <si>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</si>
  <si>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</si>
  <si>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</si>
  <si>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</si>
  <si>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</si>
  <si>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</si>
  <si>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</si>
  <si>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</si>
  <si>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</si>
  <si>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</si>
  <si>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</si>
  <si>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</si>
  <si>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</si>
  <si>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</si>
  <si>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</si>
  <si>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</si>
  <si>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</si>
  <si>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</si>
  <si>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</si>
  <si>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</si>
  <si>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</si>
  <si>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</si>
  <si>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</si>
  <si>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</si>
  <si>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</si>
  <si>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</si>
  <si>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</si>
  <si>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</si>
  <si>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</si>
  <si>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</si>
  <si>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</si>
  <si>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</si>
  <si>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</si>
  <si>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</si>
  <si>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</si>
  <si>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</si>
  <si>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</si>
  <si>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</si>
  <si>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</si>
  <si>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</si>
  <si>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</si>
  <si>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</si>
  <si>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</si>
  <si>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</si>
  <si>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</si>
  <si>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</si>
  <si>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</si>
  <si>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</si>
  <si>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</si>
  <si>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</si>
  <si>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</si>
  <si>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</si>
  <si>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</si>
  <si>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</si>
  <si>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</si>
  <si>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</si>
  <si>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</si>
  <si>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</si>
  <si>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</si>
  <si>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</si>
  <si>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</si>
  <si>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</si>
  <si>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</si>
  <si>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</si>
  <si>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</si>
  <si>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</si>
  <si>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</si>
  <si>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</si>
  <si>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</si>
  <si>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</si>
  <si>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</si>
  <si>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</si>
  <si>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</si>
  <si>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</si>
  <si>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</si>
  <si>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</si>
  <si>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</si>
  <si>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</si>
  <si>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</si>
  <si>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</si>
  <si>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</si>
  <si>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</si>
  <si>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</si>
  <si>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</si>
  <si>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</si>
  <si>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</si>
  <si>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</si>
  <si>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</si>
  <si>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</si>
  <si>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</si>
  <si>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</si>
  <si>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</si>
  <si>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</si>
  <si>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</si>
  <si>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</si>
  <si>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</si>
  <si>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</si>
  <si>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</si>
  <si>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</si>
  <si>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</si>
  <si>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</si>
  <si>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</si>
  <si>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</si>
  <si>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</si>
  <si>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</si>
  <si>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</si>
  <si>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</si>
  <si>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</si>
  <si>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</si>
  <si>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</si>
  <si>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</si>
  <si>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</si>
  <si>
    <t>Cours554</t>
  </si>
  <si>
    <t>Cours555</t>
  </si>
  <si>
    <t>Cours556</t>
  </si>
  <si>
    <t>Cours557</t>
  </si>
  <si>
    <t>Cours558</t>
  </si>
  <si>
    <t>Cours559</t>
  </si>
  <si>
    <t>Cours560</t>
  </si>
  <si>
    <t>Cours561</t>
  </si>
  <si>
    <t>Cours562</t>
  </si>
  <si>
    <t>Cours563</t>
  </si>
  <si>
    <t>Cours564</t>
  </si>
  <si>
    <t>Cours565</t>
  </si>
  <si>
    <t>Cours566</t>
  </si>
  <si>
    <t>Cours567</t>
  </si>
  <si>
    <t>Cours568</t>
  </si>
  <si>
    <t>Cours569</t>
  </si>
  <si>
    <t>Cours570</t>
  </si>
  <si>
    <t>Cours571</t>
  </si>
  <si>
    <t>Cours572</t>
  </si>
  <si>
    <t>Cours573</t>
  </si>
  <si>
    <t>Cours574</t>
  </si>
  <si>
    <t>Cours575</t>
  </si>
  <si>
    <t>Cours576</t>
  </si>
  <si>
    <t>Cours577</t>
  </si>
  <si>
    <t>Cours578</t>
  </si>
  <si>
    <t>Cours579</t>
  </si>
  <si>
    <t>Cours580</t>
  </si>
  <si>
    <t>Cours581</t>
  </si>
  <si>
    <t>Cours582</t>
  </si>
  <si>
    <t>Cours583</t>
  </si>
  <si>
    <t>Cours584</t>
  </si>
  <si>
    <t>Cours585</t>
  </si>
  <si>
    <t>Cours586</t>
  </si>
  <si>
    <t>Cours587</t>
  </si>
  <si>
    <t>Cours588</t>
  </si>
  <si>
    <t>Cours589</t>
  </si>
  <si>
    <t>Cours590</t>
  </si>
  <si>
    <t>Cours591</t>
  </si>
  <si>
    <t>Cours592</t>
  </si>
  <si>
    <t>Cours593</t>
  </si>
  <si>
    <t>Cours594</t>
  </si>
  <si>
    <t>Cours595</t>
  </si>
  <si>
    <t>Cours596</t>
  </si>
  <si>
    <t>Cours597</t>
  </si>
  <si>
    <t>Cours598</t>
  </si>
  <si>
    <t>Cours599</t>
  </si>
  <si>
    <t>Cours600</t>
  </si>
  <si>
    <t>Cours601</t>
  </si>
  <si>
    <t>Cours602</t>
  </si>
  <si>
    <t>Cours603</t>
  </si>
  <si>
    <t>Cours604</t>
  </si>
  <si>
    <t>Cours605</t>
  </si>
  <si>
    <t>Cours606</t>
  </si>
  <si>
    <t>Cours607</t>
  </si>
  <si>
    <t>Cours608</t>
  </si>
  <si>
    <t>Cours609</t>
  </si>
  <si>
    <t>Cours610</t>
  </si>
  <si>
    <t>Cours611</t>
  </si>
  <si>
    <t>Cours612</t>
  </si>
  <si>
    <t>Cours613</t>
  </si>
  <si>
    <t>Cours614</t>
  </si>
  <si>
    <t>Cours615</t>
  </si>
  <si>
    <t>Cours616</t>
  </si>
  <si>
    <t>Cours617</t>
  </si>
  <si>
    <t>Cours618</t>
  </si>
  <si>
    <t>Cours619</t>
  </si>
  <si>
    <t>Cours620</t>
  </si>
  <si>
    <t>Cours621</t>
  </si>
  <si>
    <t>Cours622</t>
  </si>
  <si>
    <t>Cours623</t>
  </si>
  <si>
    <t>Cours624</t>
  </si>
  <si>
    <t>Cours625</t>
  </si>
  <si>
    <t>Cours626</t>
  </si>
  <si>
    <t>Cours627</t>
  </si>
  <si>
    <t>Cours628</t>
  </si>
  <si>
    <t>Cours629</t>
  </si>
  <si>
    <t>Cours630</t>
  </si>
  <si>
    <t>Cours631</t>
  </si>
  <si>
    <t>Cours632</t>
  </si>
  <si>
    <t>Cours633</t>
  </si>
  <si>
    <t>Cours634</t>
  </si>
  <si>
    <t>Cours635</t>
  </si>
  <si>
    <t>Cours636</t>
  </si>
  <si>
    <t>Cours637</t>
  </si>
  <si>
    <t>Cours638</t>
  </si>
  <si>
    <t>Cours639</t>
  </si>
  <si>
    <t>Cours640</t>
  </si>
  <si>
    <t>Cours641</t>
  </si>
  <si>
    <t>Cours642</t>
  </si>
  <si>
    <t>Cours643</t>
  </si>
  <si>
    <t>Cours644</t>
  </si>
  <si>
    <t>Cours645</t>
  </si>
  <si>
    <t>Cours646</t>
  </si>
  <si>
    <t>Cours647</t>
  </si>
  <si>
    <t>Cours648</t>
  </si>
  <si>
    <t>Cours649</t>
  </si>
  <si>
    <t>Cours650</t>
  </si>
  <si>
    <t>Cours651</t>
  </si>
  <si>
    <t>Cours652</t>
  </si>
  <si>
    <t>Cours653</t>
  </si>
  <si>
    <t>Cours654</t>
  </si>
  <si>
    <t>Cours655</t>
  </si>
  <si>
    <t>Cours656</t>
  </si>
  <si>
    <t>Cours657</t>
  </si>
  <si>
    <t>Cours658</t>
  </si>
  <si>
    <t>Cours659</t>
  </si>
  <si>
    <t>Cours660</t>
  </si>
  <si>
    <t>Cours661</t>
  </si>
  <si>
    <t>Cours662</t>
  </si>
  <si>
    <t>Cours663</t>
  </si>
  <si>
    <t>Cours664</t>
  </si>
  <si>
    <t>Cours665</t>
  </si>
  <si>
    <t>Cours666</t>
  </si>
  <si>
    <t>Cours667</t>
  </si>
  <si>
    <t>Cours668</t>
  </si>
  <si>
    <t>Cours669</t>
  </si>
  <si>
    <t>Cours670</t>
  </si>
  <si>
    <t>Cours671</t>
  </si>
  <si>
    <t>Cours672</t>
  </si>
  <si>
    <t>Cours673</t>
  </si>
  <si>
    <t>Cours674</t>
  </si>
  <si>
    <t>Cours675</t>
  </si>
  <si>
    <t>Cours676</t>
  </si>
  <si>
    <t>Cours677</t>
  </si>
  <si>
    <t>Cours678</t>
  </si>
  <si>
    <t>Cours679</t>
  </si>
  <si>
    <t>Cours680</t>
  </si>
  <si>
    <t>Cours681</t>
  </si>
  <si>
    <t>Cours682</t>
  </si>
  <si>
    <t>Cours683</t>
  </si>
  <si>
    <t>Cours684</t>
  </si>
  <si>
    <t>Cours685</t>
  </si>
  <si>
    <t>Cours686</t>
  </si>
  <si>
    <t>Cours687</t>
  </si>
  <si>
    <t>Cours688</t>
  </si>
  <si>
    <t>Cours689</t>
  </si>
  <si>
    <t>Cours690</t>
  </si>
  <si>
    <t>Cours691</t>
  </si>
  <si>
    <t>Cours692</t>
  </si>
  <si>
    <t>Cours693</t>
  </si>
  <si>
    <t>Cours694</t>
  </si>
  <si>
    <t>Cours695</t>
  </si>
  <si>
    <t>Cours696</t>
  </si>
  <si>
    <t>Cours697</t>
  </si>
  <si>
    <t>Cours698</t>
  </si>
  <si>
    <t>Cours699</t>
  </si>
  <si>
    <t>Cours700</t>
  </si>
  <si>
    <t>Cours701</t>
  </si>
  <si>
    <t>Cours702</t>
  </si>
  <si>
    <t>Cours703</t>
  </si>
  <si>
    <t>Cours704</t>
  </si>
  <si>
    <t>Cours705</t>
  </si>
  <si>
    <t>Cours706</t>
  </si>
  <si>
    <t>Cours707</t>
  </si>
  <si>
    <t>Cours708</t>
  </si>
  <si>
    <t>Cours709</t>
  </si>
  <si>
    <t>Cours710</t>
  </si>
  <si>
    <t>Cours711</t>
  </si>
  <si>
    <t>Cours712</t>
  </si>
  <si>
    <t>Cours713</t>
  </si>
  <si>
    <t>Cours714</t>
  </si>
  <si>
    <t>Cours715</t>
  </si>
  <si>
    <t>Cours716</t>
  </si>
  <si>
    <t>Cours717</t>
  </si>
  <si>
    <t>Cours718</t>
  </si>
  <si>
    <t>Cours719</t>
  </si>
  <si>
    <t>Cours720</t>
  </si>
  <si>
    <t>Cours721</t>
  </si>
  <si>
    <t>Cours722</t>
  </si>
  <si>
    <t>Cours723</t>
  </si>
  <si>
    <t>Cours724</t>
  </si>
  <si>
    <t>Cours725</t>
  </si>
  <si>
    <t>Cours726</t>
  </si>
  <si>
    <t>Cours727</t>
  </si>
  <si>
    <t>Cours728</t>
  </si>
  <si>
    <t>Cours729</t>
  </si>
  <si>
    <t>Cours730</t>
  </si>
  <si>
    <t>Cours731</t>
  </si>
  <si>
    <t>Cours732</t>
  </si>
  <si>
    <t>Cours733</t>
  </si>
  <si>
    <t>Cours734</t>
  </si>
  <si>
    <t>Cours735</t>
  </si>
  <si>
    <t>Cours736</t>
  </si>
  <si>
    <t>Cours737</t>
  </si>
  <si>
    <t>Cours738</t>
  </si>
  <si>
    <t>Cours739</t>
  </si>
  <si>
    <t>Cours740</t>
  </si>
  <si>
    <t>Cours741</t>
  </si>
  <si>
    <t>Cours742</t>
  </si>
  <si>
    <t>Cours743</t>
  </si>
  <si>
    <t>Cours744</t>
  </si>
  <si>
    <t>Cours745</t>
  </si>
  <si>
    <t>Cours746</t>
  </si>
  <si>
    <t>Cours747</t>
  </si>
  <si>
    <t>Cours748</t>
  </si>
  <si>
    <t>Cours749</t>
  </si>
  <si>
    <t>Cours750</t>
  </si>
  <si>
    <t>Cours751</t>
  </si>
  <si>
    <t>Cours752</t>
  </si>
  <si>
    <t>Cours753</t>
  </si>
  <si>
    <t>Cours754</t>
  </si>
  <si>
    <t>Cours755</t>
  </si>
  <si>
    <t>Cours756</t>
  </si>
  <si>
    <t>Cours757</t>
  </si>
  <si>
    <t>Cours758</t>
  </si>
  <si>
    <t>Cours759</t>
  </si>
  <si>
    <t>Cours760</t>
  </si>
  <si>
    <t>Cours761</t>
  </si>
  <si>
    <t>Cours762</t>
  </si>
  <si>
    <t>Cours763</t>
  </si>
  <si>
    <t>Cours764</t>
  </si>
  <si>
    <t>Cours765</t>
  </si>
  <si>
    <t>Cours766</t>
  </si>
  <si>
    <t>Cours767</t>
  </si>
  <si>
    <t>Cours768</t>
  </si>
  <si>
    <t>Cours769</t>
  </si>
  <si>
    <t>Cours770</t>
  </si>
  <si>
    <t>Cours771</t>
  </si>
  <si>
    <t>Cours772</t>
  </si>
  <si>
    <t>Cours773</t>
  </si>
  <si>
    <t>Cours774</t>
  </si>
  <si>
    <t>Cours775</t>
  </si>
  <si>
    <t>Cours776</t>
  </si>
  <si>
    <t>Cours777</t>
  </si>
  <si>
    <t>Cours778</t>
  </si>
  <si>
    <t>Cours779</t>
  </si>
  <si>
    <t>Cours780</t>
  </si>
  <si>
    <t>Cours781</t>
  </si>
  <si>
    <t>Cours782</t>
  </si>
  <si>
    <t>Cours783</t>
  </si>
  <si>
    <t>Cours784</t>
  </si>
  <si>
    <t>Cours785</t>
  </si>
  <si>
    <t>Cours786</t>
  </si>
  <si>
    <t>Cours787</t>
  </si>
  <si>
    <t>Cours788</t>
  </si>
  <si>
    <t>Cours789</t>
  </si>
  <si>
    <t>Cours790</t>
  </si>
  <si>
    <t>Cours791</t>
  </si>
  <si>
    <t>Cours792</t>
  </si>
  <si>
    <t>Cours793</t>
  </si>
  <si>
    <t>Cours794</t>
  </si>
  <si>
    <t>Cours795</t>
  </si>
  <si>
    <t>Cours796</t>
  </si>
  <si>
    <t>Cours797</t>
  </si>
  <si>
    <t>Cours798</t>
  </si>
  <si>
    <t>Cours799</t>
  </si>
  <si>
    <t>Cours800</t>
  </si>
  <si>
    <t>Cours801</t>
  </si>
  <si>
    <t>Cours802</t>
  </si>
  <si>
    <t>Cours803</t>
  </si>
  <si>
    <t>Cours804</t>
  </si>
  <si>
    <t>Cours805</t>
  </si>
  <si>
    <t>Cours806</t>
  </si>
  <si>
    <t>Cours807</t>
  </si>
  <si>
    <t>Cours808</t>
  </si>
  <si>
    <t>Cours809</t>
  </si>
  <si>
    <t>Cours810</t>
  </si>
  <si>
    <t>Cours811</t>
  </si>
  <si>
    <t>Cours812</t>
  </si>
  <si>
    <t>Cours813</t>
  </si>
  <si>
    <t>Cours814</t>
  </si>
  <si>
    <t>Cours815</t>
  </si>
  <si>
    <t>Cours816</t>
  </si>
  <si>
    <t>Cours817</t>
  </si>
  <si>
    <t>Cours818</t>
  </si>
  <si>
    <t>Cours819</t>
  </si>
  <si>
    <t>Cours820</t>
  </si>
  <si>
    <t>Cours821</t>
  </si>
  <si>
    <t>Cours822</t>
  </si>
  <si>
    <t>Cours823</t>
  </si>
  <si>
    <t>Cours824</t>
  </si>
  <si>
    <t>Cours825</t>
  </si>
  <si>
    <t>Cours826</t>
  </si>
  <si>
    <t>Cours827</t>
  </si>
  <si>
    <t>Cours828</t>
  </si>
  <si>
    <t>Cours829</t>
  </si>
  <si>
    <t>Cours830</t>
  </si>
  <si>
    <t>Cours831</t>
  </si>
  <si>
    <t>Cours832</t>
  </si>
  <si>
    <t>Cours833</t>
  </si>
  <si>
    <t>Cours834</t>
  </si>
  <si>
    <t>Cours835</t>
  </si>
  <si>
    <t>Cours836</t>
  </si>
  <si>
    <t>Cours837</t>
  </si>
  <si>
    <t>Cours838</t>
  </si>
  <si>
    <t>Cours839</t>
  </si>
  <si>
    <t>Cours840</t>
  </si>
  <si>
    <t>Cours841</t>
  </si>
  <si>
    <t>Cours842</t>
  </si>
  <si>
    <t>Cours843</t>
  </si>
  <si>
    <t>Cours844</t>
  </si>
  <si>
    <t>Cours845</t>
  </si>
  <si>
    <t>Cours846</t>
  </si>
  <si>
    <t>Cours847</t>
  </si>
  <si>
    <t>Cours848</t>
  </si>
  <si>
    <t>Cours849</t>
  </si>
  <si>
    <t>Cours850</t>
  </si>
  <si>
    <t>Cours851</t>
  </si>
  <si>
    <t>Cours852</t>
  </si>
  <si>
    <t>Cours853</t>
  </si>
  <si>
    <t>Cours854</t>
  </si>
  <si>
    <t>Cours855</t>
  </si>
  <si>
    <t>Cours856</t>
  </si>
  <si>
    <t>Cours857</t>
  </si>
  <si>
    <t>Cours858</t>
  </si>
  <si>
    <t>Cours859</t>
  </si>
  <si>
    <t>Cours860</t>
  </si>
  <si>
    <t>Cours861</t>
  </si>
  <si>
    <t>Cours862</t>
  </si>
  <si>
    <t>Cours863</t>
  </si>
  <si>
    <t>Cours864</t>
  </si>
  <si>
    <t>Cours865</t>
  </si>
  <si>
    <t>Cours866</t>
  </si>
  <si>
    <t>Cours867</t>
  </si>
  <si>
    <t>Cours868</t>
  </si>
  <si>
    <t>Cours869</t>
  </si>
  <si>
    <t>Cours870</t>
  </si>
  <si>
    <t>Cours871</t>
  </si>
  <si>
    <t>Cours872</t>
  </si>
  <si>
    <t>Cours873</t>
  </si>
  <si>
    <t>Cours874</t>
  </si>
  <si>
    <t>Cours875</t>
  </si>
  <si>
    <t>Cours876</t>
  </si>
  <si>
    <t>Cours877</t>
  </si>
  <si>
    <t>Cours878</t>
  </si>
  <si>
    <t>Cours879</t>
  </si>
  <si>
    <t>Cours880</t>
  </si>
  <si>
    <t>Cours881</t>
  </si>
  <si>
    <t>Cours882</t>
  </si>
  <si>
    <t>Cours883</t>
  </si>
  <si>
    <t>Cours884</t>
  </si>
  <si>
    <t>Cours885</t>
  </si>
  <si>
    <t>Cours886</t>
  </si>
  <si>
    <t>Cours887</t>
  </si>
  <si>
    <t>Cours888</t>
  </si>
  <si>
    <t>Cours889</t>
  </si>
  <si>
    <t>Cours890</t>
  </si>
  <si>
    <t>Cours891</t>
  </si>
  <si>
    <t>Cours892</t>
  </si>
  <si>
    <t>Cours893</t>
  </si>
  <si>
    <t>Cours894</t>
  </si>
  <si>
    <t>Cours895</t>
  </si>
  <si>
    <t>Cours896</t>
  </si>
  <si>
    <t>Cours897</t>
  </si>
  <si>
    <t>Cours898</t>
  </si>
  <si>
    <t>Cours899</t>
  </si>
  <si>
    <t>Cours900</t>
  </si>
  <si>
    <t>Cours901</t>
  </si>
  <si>
    <t>Cours902</t>
  </si>
  <si>
    <t>Cours903</t>
  </si>
  <si>
    <t>Cours904</t>
  </si>
  <si>
    <t>Cours905</t>
  </si>
  <si>
    <t>Cours906</t>
  </si>
  <si>
    <t>Cours907</t>
  </si>
  <si>
    <t>Cours908</t>
  </si>
  <si>
    <t>Cours909</t>
  </si>
  <si>
    <t>Cours910</t>
  </si>
  <si>
    <t>Cours911</t>
  </si>
  <si>
    <t>Cours912</t>
  </si>
  <si>
    <t>Cours913</t>
  </si>
  <si>
    <t>Cours914</t>
  </si>
  <si>
    <t>Cours915</t>
  </si>
  <si>
    <t>Cours916</t>
  </si>
  <si>
    <t>Cours917</t>
  </si>
  <si>
    <t>Cours918</t>
  </si>
  <si>
    <t>Cours919</t>
  </si>
  <si>
    <t>Cours920</t>
  </si>
  <si>
    <t>Cours921</t>
  </si>
  <si>
    <t>Cours922</t>
  </si>
  <si>
    <t>Cours923</t>
  </si>
  <si>
    <t>Cours924</t>
  </si>
  <si>
    <t>Cours925</t>
  </si>
  <si>
    <t>Cours926</t>
  </si>
  <si>
    <t>Cours927</t>
  </si>
  <si>
    <t>Cours928</t>
  </si>
  <si>
    <t>Cours929</t>
  </si>
  <si>
    <t>Cours930</t>
  </si>
  <si>
    <t>Cours931</t>
  </si>
  <si>
    <t>Cours932</t>
  </si>
  <si>
    <t>Cours933</t>
  </si>
  <si>
    <t>Cours934</t>
  </si>
  <si>
    <t>Cours935</t>
  </si>
  <si>
    <t>Cours936</t>
  </si>
  <si>
    <t>Cours937</t>
  </si>
  <si>
    <t>Cours938</t>
  </si>
  <si>
    <t>Cours939</t>
  </si>
  <si>
    <t>Cours940</t>
  </si>
  <si>
    <t>Cours941</t>
  </si>
  <si>
    <t>Cours942</t>
  </si>
  <si>
    <t>Cours943</t>
  </si>
  <si>
    <t>Cours944</t>
  </si>
  <si>
    <t>Cours945</t>
  </si>
  <si>
    <t>Cours946</t>
  </si>
  <si>
    <t>Cours947</t>
  </si>
  <si>
    <t>Cours948</t>
  </si>
  <si>
    <t>Cours949</t>
  </si>
  <si>
    <t>Cours950</t>
  </si>
  <si>
    <t>Cours951</t>
  </si>
  <si>
    <t>Cours952</t>
  </si>
  <si>
    <t>Cours953</t>
  </si>
  <si>
    <t>Cours954</t>
  </si>
  <si>
    <t>Cours955</t>
  </si>
  <si>
    <t>Cours956</t>
  </si>
  <si>
    <t>Cours957</t>
  </si>
  <si>
    <t>Cours958</t>
  </si>
  <si>
    <t>Cours959</t>
  </si>
  <si>
    <t>Cours960</t>
  </si>
  <si>
    <t>Cours961</t>
  </si>
  <si>
    <t>Cours962</t>
  </si>
  <si>
    <t>Cours963</t>
  </si>
  <si>
    <t>Cours964</t>
  </si>
  <si>
    <t>Cours965</t>
  </si>
  <si>
    <t>Cours966</t>
  </si>
  <si>
    <t>Cours967</t>
  </si>
  <si>
    <t>Cours968</t>
  </si>
  <si>
    <t>Cours969</t>
  </si>
  <si>
    <t>Cours970</t>
  </si>
  <si>
    <t>Cours971</t>
  </si>
  <si>
    <t>Cours972</t>
  </si>
  <si>
    <t>Cours973</t>
  </si>
  <si>
    <t>Cours974</t>
  </si>
  <si>
    <t>Cours975</t>
  </si>
  <si>
    <t>Cours976</t>
  </si>
  <si>
    <t>Cours977</t>
  </si>
  <si>
    <t>Cours978</t>
  </si>
  <si>
    <t>Cours979</t>
  </si>
  <si>
    <t>Cours980</t>
  </si>
  <si>
    <t>Cours981</t>
  </si>
  <si>
    <t>Cours982</t>
  </si>
  <si>
    <t>Cours983</t>
  </si>
  <si>
    <t>Cours984</t>
  </si>
  <si>
    <t>Cours985</t>
  </si>
  <si>
    <t>Cours986</t>
  </si>
  <si>
    <t>Cours987</t>
  </si>
  <si>
    <t>Cours988</t>
  </si>
  <si>
    <t>Cours989</t>
  </si>
  <si>
    <t>Cours990</t>
  </si>
  <si>
    <t>Cours991</t>
  </si>
  <si>
    <t>Cours992</t>
  </si>
  <si>
    <t>Cours993</t>
  </si>
  <si>
    <t>Cours994</t>
  </si>
  <si>
    <t>Cours995</t>
  </si>
  <si>
    <t>Cours996</t>
  </si>
  <si>
    <t>Cours997</t>
  </si>
  <si>
    <t>Cours998</t>
  </si>
  <si>
    <t>Cours999</t>
  </si>
  <si>
    <t>Cours1000</t>
  </si>
  <si>
    <t>Cours1001</t>
  </si>
  <si>
    <t>Cours1002</t>
  </si>
  <si>
    <t>Cours1003</t>
  </si>
  <si>
    <t>Cours1004</t>
  </si>
  <si>
    <t>Cours1005</t>
  </si>
  <si>
    <t>Cours1006</t>
  </si>
  <si>
    <t>Cours1007</t>
  </si>
  <si>
    <t>Cours1008</t>
  </si>
  <si>
    <t>Cours1009</t>
  </si>
  <si>
    <t>Cours1010</t>
  </si>
  <si>
    <t>Cours1011</t>
  </si>
  <si>
    <t>Cours1012</t>
  </si>
  <si>
    <t>Cours1013</t>
  </si>
  <si>
    <t>Cours1014</t>
  </si>
  <si>
    <t>Cours1015</t>
  </si>
  <si>
    <t>Cours1016</t>
  </si>
  <si>
    <t>Cours1017</t>
  </si>
  <si>
    <t>Cours1018</t>
  </si>
  <si>
    <t>Cours1019</t>
  </si>
  <si>
    <t>Cours1020</t>
  </si>
  <si>
    <t>Cours1021</t>
  </si>
  <si>
    <t>Cours1022</t>
  </si>
  <si>
    <t>Cours1023</t>
  </si>
  <si>
    <t>Cours1024</t>
  </si>
  <si>
    <t>Cours1025</t>
  </si>
  <si>
    <t>Cours1026</t>
  </si>
  <si>
    <t>Cours1027</t>
  </si>
  <si>
    <t>Cours1028</t>
  </si>
  <si>
    <t>Cours1029</t>
  </si>
  <si>
    <t>Cours1030</t>
  </si>
  <si>
    <t>Cours1031</t>
  </si>
  <si>
    <t>Cours1032</t>
  </si>
  <si>
    <t>Cours1033</t>
  </si>
  <si>
    <t>Cours1034</t>
  </si>
  <si>
    <t>Cours1035</t>
  </si>
  <si>
    <t>Cours1036</t>
  </si>
  <si>
    <t>Cours1037</t>
  </si>
  <si>
    <t>Cours1038</t>
  </si>
  <si>
    <t>Cours1039</t>
  </si>
  <si>
    <t>Cours1040</t>
  </si>
  <si>
    <t>Cours1041</t>
  </si>
  <si>
    <t>Cours1042</t>
  </si>
  <si>
    <t>Cours1043</t>
  </si>
  <si>
    <t>Cours1044</t>
  </si>
  <si>
    <t>Cours1045</t>
  </si>
  <si>
    <t>Cours1046</t>
  </si>
  <si>
    <t>Cours1047</t>
  </si>
  <si>
    <t>Cours1048</t>
  </si>
  <si>
    <t>Cours1049</t>
  </si>
  <si>
    <t>Cours1050</t>
  </si>
  <si>
    <t>Cours1051</t>
  </si>
  <si>
    <t>Cours1052</t>
  </si>
  <si>
    <t>Cours1053</t>
  </si>
  <si>
    <t>Cours1054</t>
  </si>
  <si>
    <t>Cours1055</t>
  </si>
  <si>
    <t>Cours1056</t>
  </si>
  <si>
    <t>Cours1057</t>
  </si>
  <si>
    <t>Cours1058</t>
  </si>
  <si>
    <t>Cours1059</t>
  </si>
  <si>
    <t>Cours1060</t>
  </si>
  <si>
    <t>Cours1061</t>
  </si>
  <si>
    <t>Cours1062</t>
  </si>
  <si>
    <t>Cours1063</t>
  </si>
  <si>
    <t>Cours1064</t>
  </si>
  <si>
    <t>Cours1065</t>
  </si>
  <si>
    <t>Cours1066</t>
  </si>
  <si>
    <t>Cours1067</t>
  </si>
  <si>
    <t>Cours1068</t>
  </si>
  <si>
    <t>Cours1069</t>
  </si>
  <si>
    <t>Cours1070</t>
  </si>
  <si>
    <t>Cours1071</t>
  </si>
  <si>
    <t>Cours1072</t>
  </si>
  <si>
    <t>Cours1073</t>
  </si>
  <si>
    <t>Cours1074</t>
  </si>
  <si>
    <t>Cours1075</t>
  </si>
  <si>
    <t>Cours1076</t>
  </si>
  <si>
    <t>Cours1077</t>
  </si>
  <si>
    <t>Cours1078</t>
  </si>
  <si>
    <t>Cours1079</t>
  </si>
  <si>
    <t>Cours1080</t>
  </si>
  <si>
    <t>Cours1081</t>
  </si>
  <si>
    <t>Cours1082</t>
  </si>
  <si>
    <t>Cours1083</t>
  </si>
  <si>
    <t>Cours1084</t>
  </si>
  <si>
    <t>Cours1085</t>
  </si>
  <si>
    <t>Cours1086</t>
  </si>
  <si>
    <t>Cours1087</t>
  </si>
  <si>
    <t>Cours1088</t>
  </si>
  <si>
    <t>Cours1089</t>
  </si>
  <si>
    <t>Cours1090</t>
  </si>
  <si>
    <t>Cours1091</t>
  </si>
  <si>
    <t>Cours1092</t>
  </si>
  <si>
    <t>Cours1093</t>
  </si>
  <si>
    <t>Cours1094</t>
  </si>
  <si>
    <t>Cours1095</t>
  </si>
  <si>
    <t>Cours1096</t>
  </si>
  <si>
    <t>Cours1097</t>
  </si>
  <si>
    <t>Cours1098</t>
  </si>
  <si>
    <t>Cours1099</t>
  </si>
  <si>
    <t>Cours1100</t>
  </si>
  <si>
    <t>Cours1101</t>
  </si>
  <si>
    <t>Cours1102</t>
  </si>
  <si>
    <t>Cours1103</t>
  </si>
  <si>
    <t>Cours1104</t>
  </si>
  <si>
    <t>Cours1105</t>
  </si>
  <si>
    <t>Cours1106</t>
  </si>
  <si>
    <t>Cours1107</t>
  </si>
  <si>
    <t>Cours1108</t>
  </si>
  <si>
    <t>Cours1109</t>
  </si>
  <si>
    <t>Cours1110</t>
  </si>
  <si>
    <t>Cours1111</t>
  </si>
  <si>
    <t>Cours1112</t>
  </si>
  <si>
    <t>Cours1113</t>
  </si>
  <si>
    <t>Cours1114</t>
  </si>
  <si>
    <t>Cours1115</t>
  </si>
  <si>
    <t>Cours1116</t>
  </si>
  <si>
    <t>Cours1117</t>
  </si>
  <si>
    <t>Cours1118</t>
  </si>
  <si>
    <t>Cours1119</t>
  </si>
  <si>
    <t>Cours1120</t>
  </si>
  <si>
    <t>Cours1121</t>
  </si>
  <si>
    <t>Cours1122</t>
  </si>
  <si>
    <t>Cours1123</t>
  </si>
  <si>
    <t>Cours1124</t>
  </si>
  <si>
    <t>Cours1125</t>
  </si>
  <si>
    <t>Cours1126</t>
  </si>
  <si>
    <t>Cours1127</t>
  </si>
  <si>
    <t>Cours1128</t>
  </si>
  <si>
    <t>Cours1129</t>
  </si>
  <si>
    <t>Cours1130</t>
  </si>
  <si>
    <t>Cours1131</t>
  </si>
  <si>
    <t>Cours1132</t>
  </si>
  <si>
    <t>Cours1133</t>
  </si>
  <si>
    <t>Cours1134</t>
  </si>
  <si>
    <t>Cours1135</t>
  </si>
  <si>
    <t>Cours1136</t>
  </si>
  <si>
    <t>Cours1137</t>
  </si>
  <si>
    <t>Cours1138</t>
  </si>
  <si>
    <t>Cours1139</t>
  </si>
  <si>
    <t>Cours1140</t>
  </si>
  <si>
    <t>Cours1141</t>
  </si>
  <si>
    <t>Cours1142</t>
  </si>
  <si>
    <t>Cours1143</t>
  </si>
  <si>
    <t>Cours1144</t>
  </si>
  <si>
    <t>Cours1145</t>
  </si>
  <si>
    <t>Cours1146</t>
  </si>
  <si>
    <t>Cours1147</t>
  </si>
  <si>
    <t>Cours1148</t>
  </si>
  <si>
    <t>Cours1149</t>
  </si>
  <si>
    <t>Cours1150</t>
  </si>
  <si>
    <t>Cours1151</t>
  </si>
  <si>
    <t>Cours1152</t>
  </si>
  <si>
    <t>Cours1153</t>
  </si>
  <si>
    <t>Cours1154</t>
  </si>
  <si>
    <t>Cours1155</t>
  </si>
  <si>
    <t>Cours1156</t>
  </si>
  <si>
    <t>Cours1157</t>
  </si>
  <si>
    <t>Cours1158</t>
  </si>
  <si>
    <t>Cours1159</t>
  </si>
  <si>
    <t>Cours1160</t>
  </si>
  <si>
    <t>Cours1161</t>
  </si>
  <si>
    <t>Cours1162</t>
  </si>
  <si>
    <t>Cours1163</t>
  </si>
  <si>
    <t>Cours1164</t>
  </si>
  <si>
    <t>Cours1165</t>
  </si>
  <si>
    <t>Cours1166</t>
  </si>
  <si>
    <t>Cours1167</t>
  </si>
  <si>
    <t>Cours1168</t>
  </si>
  <si>
    <t>Cours1169</t>
  </si>
  <si>
    <t>Cours1170</t>
  </si>
  <si>
    <t>Cours1171</t>
  </si>
  <si>
    <t>Cours1172</t>
  </si>
  <si>
    <t>Cours1173</t>
  </si>
  <si>
    <t>Cours1174</t>
  </si>
  <si>
    <t>Cours1175</t>
  </si>
  <si>
    <t>Cours1176</t>
  </si>
  <si>
    <t>Cours1177</t>
  </si>
  <si>
    <t>Cours1178</t>
  </si>
  <si>
    <t>Cours1179</t>
  </si>
  <si>
    <t>Cours1180</t>
  </si>
  <si>
    <t>Cours1181</t>
  </si>
  <si>
    <t>Cours1182</t>
  </si>
  <si>
    <t>Cours1183</t>
  </si>
  <si>
    <t>Cours1184</t>
  </si>
  <si>
    <t>Cours1185</t>
  </si>
  <si>
    <t>Cours1186</t>
  </si>
  <si>
    <t>Cours1187</t>
  </si>
  <si>
    <t>Cours1188</t>
  </si>
  <si>
    <t>Cours1189</t>
  </si>
  <si>
    <t>Cours1190</t>
  </si>
  <si>
    <t>Cours1191</t>
  </si>
  <si>
    <t>Cours1192</t>
  </si>
  <si>
    <t>Cours1193</t>
  </si>
  <si>
    <t>Cours1194</t>
  </si>
  <si>
    <t>Cours1195</t>
  </si>
  <si>
    <t>Cours1196</t>
  </si>
  <si>
    <t>Cours1197</t>
  </si>
  <si>
    <t>Cours1198</t>
  </si>
  <si>
    <t>Cours1199</t>
  </si>
  <si>
    <t>Cours1200</t>
  </si>
  <si>
    <t>Cours1201</t>
  </si>
  <si>
    <t>Cours1202</t>
  </si>
  <si>
    <t>Cours1203</t>
  </si>
  <si>
    <t>Cours1204</t>
  </si>
  <si>
    <t>Cours1205</t>
  </si>
  <si>
    <t>Cours1206</t>
  </si>
  <si>
    <t>Cours1207</t>
  </si>
  <si>
    <t>Cours1208</t>
  </si>
  <si>
    <t>Cours1209</t>
  </si>
  <si>
    <t>Cours1210</t>
  </si>
  <si>
    <t>Cours1211</t>
  </si>
  <si>
    <t>Cours1212</t>
  </si>
  <si>
    <t>Cours1213</t>
  </si>
  <si>
    <t>Cours1214</t>
  </si>
  <si>
    <t>Cours1215</t>
  </si>
  <si>
    <t>Cours1216</t>
  </si>
  <si>
    <t>Cours1217</t>
  </si>
  <si>
    <t>Cours1218</t>
  </si>
  <si>
    <t>Cours1219</t>
  </si>
  <si>
    <t>Cours1220</t>
  </si>
  <si>
    <t>Cours1221</t>
  </si>
  <si>
    <t>Cours1222</t>
  </si>
  <si>
    <t>Cours1223</t>
  </si>
  <si>
    <t>Cours1224</t>
  </si>
  <si>
    <t>Cours1225</t>
  </si>
  <si>
    <t>Cours1226</t>
  </si>
  <si>
    <t>Cours1227</t>
  </si>
  <si>
    <t>Cours1228</t>
  </si>
  <si>
    <t>Cours1229</t>
  </si>
  <si>
    <t>Cours1230</t>
  </si>
  <si>
    <t>Cours1231</t>
  </si>
  <si>
    <t>Cours1232</t>
  </si>
  <si>
    <t>Cours1233</t>
  </si>
  <si>
    <t>Cours1234</t>
  </si>
  <si>
    <t>Cours1235</t>
  </si>
  <si>
    <t>Cours1236</t>
  </si>
  <si>
    <t>Cours1237</t>
  </si>
  <si>
    <t>Cours1238</t>
  </si>
  <si>
    <t>Cours1239</t>
  </si>
  <si>
    <t>Cours1240</t>
  </si>
  <si>
    <t>Cours1241</t>
  </si>
  <si>
    <t>Cours1242</t>
  </si>
  <si>
    <t>Cours1243</t>
  </si>
  <si>
    <t>Cours1244</t>
  </si>
  <si>
    <t>Cours1245</t>
  </si>
  <si>
    <t>Cours1246</t>
  </si>
  <si>
    <t>Cours1247</t>
  </si>
  <si>
    <t>Cours1248</t>
  </si>
  <si>
    <t>Cours1249</t>
  </si>
  <si>
    <t>Cours1250</t>
  </si>
  <si>
    <t>Cours1251</t>
  </si>
  <si>
    <t>Cours1252</t>
  </si>
  <si>
    <t>Cours1253</t>
  </si>
  <si>
    <t>Cours1254</t>
  </si>
  <si>
    <t>Cours1255</t>
  </si>
  <si>
    <t>Cours1256</t>
  </si>
  <si>
    <t>Cours1257</t>
  </si>
  <si>
    <t>Cours1258</t>
  </si>
  <si>
    <t>Cours1259</t>
  </si>
  <si>
    <t>Cours1260</t>
  </si>
  <si>
    <t>Cours1261</t>
  </si>
  <si>
    <t>Cours1262</t>
  </si>
  <si>
    <t>Cours1263</t>
  </si>
  <si>
    <t>Cours1264</t>
  </si>
  <si>
    <t>Cours1265</t>
  </si>
  <si>
    <t>Cours1266</t>
  </si>
  <si>
    <t>Cours1267</t>
  </si>
  <si>
    <t>Cours1268</t>
  </si>
  <si>
    <t>Cours1269</t>
  </si>
  <si>
    <t>Cours1270</t>
  </si>
  <si>
    <t>Cours1271</t>
  </si>
  <si>
    <t>Cours1272</t>
  </si>
  <si>
    <t>Cours1273</t>
  </si>
  <si>
    <t>Cours1274</t>
  </si>
  <si>
    <t>Cours1275</t>
  </si>
  <si>
    <t>Cours1276</t>
  </si>
  <si>
    <t>Cours1277</t>
  </si>
  <si>
    <t>Cours1278</t>
  </si>
  <si>
    <t>Cours1279</t>
  </si>
  <si>
    <t>Cours1280</t>
  </si>
  <si>
    <t>Cours1281</t>
  </si>
  <si>
    <t>Cours1282</t>
  </si>
  <si>
    <t>Cours1283</t>
  </si>
  <si>
    <t>Cours1284</t>
  </si>
  <si>
    <t>Cours1285</t>
  </si>
  <si>
    <t>Cours1286</t>
  </si>
  <si>
    <t>Cours1287</t>
  </si>
  <si>
    <t>Cours1288</t>
  </si>
  <si>
    <t>Cours1289</t>
  </si>
  <si>
    <t>Cours1290</t>
  </si>
  <si>
    <t>Cours1291</t>
  </si>
  <si>
    <t>Cours1292</t>
  </si>
  <si>
    <t>Cours1293</t>
  </si>
  <si>
    <t>Cours1294</t>
  </si>
  <si>
    <t>Cours1295</t>
  </si>
  <si>
    <t>Cours1296</t>
  </si>
  <si>
    <t>Cours1297</t>
  </si>
  <si>
    <t>Cours1298</t>
  </si>
  <si>
    <t>Cours1299</t>
  </si>
  <si>
    <t>Cours1300</t>
  </si>
  <si>
    <t>Cours1301</t>
  </si>
  <si>
    <t>Cours1302</t>
  </si>
  <si>
    <t>Cours1303</t>
  </si>
  <si>
    <t>Cours1304</t>
  </si>
  <si>
    <t>Cours1305</t>
  </si>
  <si>
    <t>Cours1306</t>
  </si>
  <si>
    <t>Cours1307</t>
  </si>
  <si>
    <t>Cours1308</t>
  </si>
  <si>
    <t>Cours1309</t>
  </si>
  <si>
    <t>Cours1310</t>
  </si>
  <si>
    <t>Cours1311</t>
  </si>
  <si>
    <t>Cours1312</t>
  </si>
  <si>
    <t>Cours1313</t>
  </si>
  <si>
    <t>Cours1314</t>
  </si>
  <si>
    <t>Cours1315</t>
  </si>
  <si>
    <t>Cours1316</t>
  </si>
  <si>
    <t>Cours1317</t>
  </si>
  <si>
    <t>Cours1318</t>
  </si>
  <si>
    <t>Cours1319</t>
  </si>
  <si>
    <t>Cours1320</t>
  </si>
  <si>
    <t>Cours1321</t>
  </si>
  <si>
    <t>Cours1322</t>
  </si>
  <si>
    <t>Cours1323</t>
  </si>
  <si>
    <t>Cours1324</t>
  </si>
  <si>
    <t>Cours1325</t>
  </si>
  <si>
    <t>Cours1326</t>
  </si>
  <si>
    <t>Cours1327</t>
  </si>
  <si>
    <t>Cours1328</t>
  </si>
  <si>
    <t>Cours1329</t>
  </si>
  <si>
    <t>Cours1330</t>
  </si>
  <si>
    <t>Cours1331</t>
  </si>
  <si>
    <t>Cours1332</t>
  </si>
  <si>
    <t>Cours1333</t>
  </si>
  <si>
    <t>Cours1334</t>
  </si>
  <si>
    <t>Cours1335</t>
  </si>
  <si>
    <t>Cours1336</t>
  </si>
  <si>
    <t>Cours1337</t>
  </si>
  <si>
    <t>Cours1338</t>
  </si>
  <si>
    <t>Cours1339</t>
  </si>
  <si>
    <t>Cours1340</t>
  </si>
  <si>
    <t>Cours1341</t>
  </si>
  <si>
    <t>Cours1342</t>
  </si>
  <si>
    <t>Cours1343</t>
  </si>
  <si>
    <t>Cours1344</t>
  </si>
  <si>
    <t>Cours1345</t>
  </si>
  <si>
    <t>Cours1346</t>
  </si>
  <si>
    <t>Cours1347</t>
  </si>
  <si>
    <t>Cours1348</t>
  </si>
  <si>
    <t>Cours1349</t>
  </si>
  <si>
    <t>Cours1350</t>
  </si>
  <si>
    <t>Cours1351</t>
  </si>
  <si>
    <t>Cours1352</t>
  </si>
  <si>
    <t>Cours1353</t>
  </si>
  <si>
    <t>Cours1354</t>
  </si>
  <si>
    <t>Cours1355</t>
  </si>
  <si>
    <t>Cours1356</t>
  </si>
  <si>
    <t>Cours1357</t>
  </si>
  <si>
    <t>Cours1358</t>
  </si>
  <si>
    <t>Cours1359</t>
  </si>
  <si>
    <t>Cours1360</t>
  </si>
  <si>
    <t>Cours1361</t>
  </si>
  <si>
    <t>Cours1362</t>
  </si>
  <si>
    <t>Cours1363</t>
  </si>
  <si>
    <t>Cours1364</t>
  </si>
  <si>
    <t>Cours1365</t>
  </si>
  <si>
    <t>Cours1366</t>
  </si>
  <si>
    <t>Cours1367</t>
  </si>
  <si>
    <t>Cours1368</t>
  </si>
  <si>
    <t>Cours1369</t>
  </si>
  <si>
    <t>Cours1370</t>
  </si>
  <si>
    <t>Cours1371</t>
  </si>
  <si>
    <t>Cours1372</t>
  </si>
  <si>
    <t>Cours1373</t>
  </si>
  <si>
    <t>Cours1374</t>
  </si>
  <si>
    <t>Cours1375</t>
  </si>
  <si>
    <t>Cours1376</t>
  </si>
  <si>
    <t>Cours1377</t>
  </si>
  <si>
    <t>Cours1378</t>
  </si>
  <si>
    <t>Cours1379</t>
  </si>
  <si>
    <t>Cours1380</t>
  </si>
  <si>
    <t>Cours1381</t>
  </si>
  <si>
    <t>Cours1382</t>
  </si>
  <si>
    <t>Cours1383</t>
  </si>
  <si>
    <t>Cours1384</t>
  </si>
  <si>
    <t>Cours1385</t>
  </si>
  <si>
    <t>Cours1386</t>
  </si>
  <si>
    <t>Cours1387</t>
  </si>
  <si>
    <t>Cours1388</t>
  </si>
  <si>
    <t>Cours1389</t>
  </si>
  <si>
    <t>Cours1390</t>
  </si>
  <si>
    <t>Cours1391</t>
  </si>
  <si>
    <t>Cours1392</t>
  </si>
  <si>
    <t>Cours1393</t>
  </si>
  <si>
    <t>Cours1394</t>
  </si>
  <si>
    <t>Cours1395</t>
  </si>
  <si>
    <t>Cours1396</t>
  </si>
  <si>
    <t>Cours1397</t>
  </si>
  <si>
    <t>Cours1398</t>
  </si>
  <si>
    <t>Cours1399</t>
  </si>
  <si>
    <t>Cours1400</t>
  </si>
  <si>
    <t>Cours1401</t>
  </si>
  <si>
    <t>Cours1402</t>
  </si>
  <si>
    <t>Cours1403</t>
  </si>
  <si>
    <t>Cours1404</t>
  </si>
  <si>
    <t>Cours1405</t>
  </si>
  <si>
    <t>Cours1406</t>
  </si>
  <si>
    <t>Cours1407</t>
  </si>
  <si>
    <t>Cours1408</t>
  </si>
  <si>
    <t>Cours1409</t>
  </si>
  <si>
    <t>Cours1410</t>
  </si>
  <si>
    <t>Cours1411</t>
  </si>
  <si>
    <t>Cours1412</t>
  </si>
  <si>
    <t>Cours1413</t>
  </si>
  <si>
    <t>Cours1414</t>
  </si>
  <si>
    <t>Cours1415</t>
  </si>
  <si>
    <t>Cours1416</t>
  </si>
  <si>
    <t>Cours1417</t>
  </si>
  <si>
    <t>Cours1418</t>
  </si>
  <si>
    <t>Cours1419</t>
  </si>
  <si>
    <t>Cours1420</t>
  </si>
  <si>
    <t>Cours1421</t>
  </si>
  <si>
    <t>Cours1422</t>
  </si>
  <si>
    <t>Cours1423</t>
  </si>
  <si>
    <t>Cours1424</t>
  </si>
  <si>
    <t>Cours1425</t>
  </si>
  <si>
    <t>Cours1426</t>
  </si>
  <si>
    <t>Cours1427</t>
  </si>
  <si>
    <t>Cours1428</t>
  </si>
  <si>
    <t>Cours1429</t>
  </si>
  <si>
    <t>Cours1430</t>
  </si>
  <si>
    <t>Cours1431</t>
  </si>
  <si>
    <t>Cours1432</t>
  </si>
  <si>
    <t>Cours1433</t>
  </si>
  <si>
    <t>Cours1434</t>
  </si>
  <si>
    <t>Cours1435</t>
  </si>
  <si>
    <t>Cours1436</t>
  </si>
  <si>
    <t>Cours1437</t>
  </si>
  <si>
    <t>Cours1438</t>
  </si>
  <si>
    <t>Cours1439</t>
  </si>
  <si>
    <t>Cours1440</t>
  </si>
  <si>
    <t>Cours1441</t>
  </si>
  <si>
    <t>Cours1442</t>
  </si>
  <si>
    <t>Cours1443</t>
  </si>
  <si>
    <t>Cours1444</t>
  </si>
  <si>
    <t>Cours1445</t>
  </si>
  <si>
    <t>Cours1446</t>
  </si>
  <si>
    <t>Cours1447</t>
  </si>
  <si>
    <t>Cours1448</t>
  </si>
  <si>
    <t>Cours1449</t>
  </si>
  <si>
    <t>Cours1450</t>
  </si>
  <si>
    <t>Cours1451</t>
  </si>
  <si>
    <t>Cours1452</t>
  </si>
  <si>
    <t>Cours1453</t>
  </si>
  <si>
    <t>Cours1454</t>
  </si>
  <si>
    <t>Cours1455</t>
  </si>
  <si>
    <t>Cours1456</t>
  </si>
  <si>
    <t>Cours1457</t>
  </si>
  <si>
    <t>Cours1458</t>
  </si>
  <si>
    <t>Cours1459</t>
  </si>
  <si>
    <t>Cours1460</t>
  </si>
  <si>
    <t>Cours1461</t>
  </si>
  <si>
    <t>Cours1462</t>
  </si>
  <si>
    <t>Cours1463</t>
  </si>
  <si>
    <t>Cours1464</t>
  </si>
  <si>
    <t>Cours1465</t>
  </si>
  <si>
    <t>Cours1466</t>
  </si>
  <si>
    <t>Cours1467</t>
  </si>
  <si>
    <t>Cours1468</t>
  </si>
  <si>
    <t>Cours1469</t>
  </si>
  <si>
    <t>Cours1470</t>
  </si>
  <si>
    <t>Cours1471</t>
  </si>
  <si>
    <t>Cours1472</t>
  </si>
  <si>
    <t>Cours1473</t>
  </si>
  <si>
    <t>Cours1474</t>
  </si>
  <si>
    <t>Cours1475</t>
  </si>
  <si>
    <t>Cours1476</t>
  </si>
  <si>
    <t>Cours1477</t>
  </si>
  <si>
    <t>Cours1478</t>
  </si>
  <si>
    <t>Cours1479</t>
  </si>
  <si>
    <t>Cours1480</t>
  </si>
  <si>
    <t>Cours1481</t>
  </si>
  <si>
    <t>Cours1482</t>
  </si>
  <si>
    <t>Cours1483</t>
  </si>
  <si>
    <t>Cours1484</t>
  </si>
  <si>
    <t>Cours1485</t>
  </si>
  <si>
    <t>Cours1486</t>
  </si>
  <si>
    <t>Cours1487</t>
  </si>
  <si>
    <t>Cours1488</t>
  </si>
  <si>
    <t>Cours1489</t>
  </si>
  <si>
    <t>Cours1490</t>
  </si>
  <si>
    <t>Cours1491</t>
  </si>
  <si>
    <t>Cours1492</t>
  </si>
  <si>
    <t>Cours1493</t>
  </si>
  <si>
    <t>Cours1494</t>
  </si>
  <si>
    <t>Cours1495</t>
  </si>
  <si>
    <t>Cours1496</t>
  </si>
  <si>
    <t>Cours1497</t>
  </si>
  <si>
    <t>Cours1498</t>
  </si>
  <si>
    <t>Cours1499</t>
  </si>
  <si>
    <t>Cours1500</t>
  </si>
  <si>
    <t>Cours1501</t>
  </si>
  <si>
    <t>Cours1502</t>
  </si>
  <si>
    <t>Cours1503</t>
  </si>
  <si>
    <t>Cours1504</t>
  </si>
  <si>
    <t>Cours1505</t>
  </si>
  <si>
    <t>Cours1506</t>
  </si>
  <si>
    <t>Cours1507</t>
  </si>
  <si>
    <t>Cours1508</t>
  </si>
  <si>
    <t>Cours1509</t>
  </si>
  <si>
    <t>Cours1510</t>
  </si>
  <si>
    <t>Cours1511</t>
  </si>
  <si>
    <t>Cours1512</t>
  </si>
  <si>
    <t>Cours1513</t>
  </si>
  <si>
    <t>Cours1514</t>
  </si>
  <si>
    <t>Cours1515</t>
  </si>
  <si>
    <t>Cours1516</t>
  </si>
  <si>
    <t>Cours1517</t>
  </si>
  <si>
    <t>Cours1518</t>
  </si>
  <si>
    <t>Cours1519</t>
  </si>
  <si>
    <t>Cours1520</t>
  </si>
  <si>
    <t>Cours1521</t>
  </si>
  <si>
    <t>Cours1522</t>
  </si>
  <si>
    <t>Cours1523</t>
  </si>
  <si>
    <t>Cours1524</t>
  </si>
  <si>
    <t>Cours1525</t>
  </si>
  <si>
    <t>Cours1526</t>
  </si>
  <si>
    <t>Cours1527</t>
  </si>
  <si>
    <t>Cours1528</t>
  </si>
  <si>
    <t>Cours1529</t>
  </si>
  <si>
    <t>Cours1530</t>
  </si>
  <si>
    <t>Cours1531</t>
  </si>
  <si>
    <t>Cours1532</t>
  </si>
  <si>
    <t>Cours1533</t>
  </si>
  <si>
    <t>Cours1534</t>
  </si>
  <si>
    <t>Cours1535</t>
  </si>
  <si>
    <t>Cours1536</t>
  </si>
  <si>
    <t>Cours1537</t>
  </si>
  <si>
    <t>Cours1538</t>
  </si>
  <si>
    <t>Cours1539</t>
  </si>
  <si>
    <t>Cours1540</t>
  </si>
  <si>
    <t>Cours1541</t>
  </si>
  <si>
    <t>Cours1542</t>
  </si>
  <si>
    <t>Cours1543</t>
  </si>
  <si>
    <t>Cours1544</t>
  </si>
  <si>
    <t>Cours1545</t>
  </si>
  <si>
    <t>Cours1546</t>
  </si>
  <si>
    <t>Cours1547</t>
  </si>
  <si>
    <t>Cours1548</t>
  </si>
  <si>
    <t>Cours1549</t>
  </si>
  <si>
    <t>Cours1550</t>
  </si>
  <si>
    <t>Cours1551</t>
  </si>
  <si>
    <t>Cours1552</t>
  </si>
  <si>
    <t>Cours1553</t>
  </si>
  <si>
    <t>Cours1554</t>
  </si>
  <si>
    <t>Cours1555</t>
  </si>
  <si>
    <t>Cours1556</t>
  </si>
  <si>
    <t>Cours1557</t>
  </si>
  <si>
    <t>Cours1558</t>
  </si>
  <si>
    <t>Cours1559</t>
  </si>
  <si>
    <t>Cours1560</t>
  </si>
  <si>
    <t>Cours1561</t>
  </si>
  <si>
    <t>Cours1562</t>
  </si>
  <si>
    <t>Cours1563</t>
  </si>
  <si>
    <t>Cours1564</t>
  </si>
  <si>
    <t>Cours1565</t>
  </si>
  <si>
    <t>Cours1566</t>
  </si>
  <si>
    <t>Cours1567</t>
  </si>
  <si>
    <t>Cours1568</t>
  </si>
  <si>
    <t>Cours1569</t>
  </si>
  <si>
    <t>Cours1570</t>
  </si>
  <si>
    <t>Cours1571</t>
  </si>
  <si>
    <t>Cours1572</t>
  </si>
  <si>
    <t>Cours1573</t>
  </si>
  <si>
    <t>Cours1574</t>
  </si>
  <si>
    <t>Cours1575</t>
  </si>
  <si>
    <t>Cours1576</t>
  </si>
  <si>
    <t>Cours1577</t>
  </si>
  <si>
    <t>Cours1578</t>
  </si>
  <si>
    <t>Cours1579</t>
  </si>
  <si>
    <t>Cours1580</t>
  </si>
  <si>
    <t>Cours1581</t>
  </si>
  <si>
    <t>Cours1582</t>
  </si>
  <si>
    <t>Cours1583</t>
  </si>
  <si>
    <t>Cours1584</t>
  </si>
  <si>
    <t>Cours1585</t>
  </si>
  <si>
    <t>Cours1586</t>
  </si>
  <si>
    <t>Cours1587</t>
  </si>
  <si>
    <t>Cours1588</t>
  </si>
  <si>
    <t>Cours1589</t>
  </si>
  <si>
    <t>Cours1590</t>
  </si>
  <si>
    <t>Cours1591</t>
  </si>
  <si>
    <t>Cours1592</t>
  </si>
  <si>
    <t>Cours1593</t>
  </si>
  <si>
    <t>Cours1594</t>
  </si>
  <si>
    <t>Cours1595</t>
  </si>
  <si>
    <t>Cours1596</t>
  </si>
  <si>
    <t>Cours1597</t>
  </si>
  <si>
    <t>Cours1598</t>
  </si>
  <si>
    <t>Cours1599</t>
  </si>
  <si>
    <t>Cours1600</t>
  </si>
  <si>
    <t>Cours1601</t>
  </si>
  <si>
    <t>Cours1602</t>
  </si>
  <si>
    <t>Cours1603</t>
  </si>
  <si>
    <t>Cours1604</t>
  </si>
  <si>
    <t>Cours1605</t>
  </si>
  <si>
    <t>Cours1606</t>
  </si>
  <si>
    <t>Cours1607</t>
  </si>
  <si>
    <t>Cours1608</t>
  </si>
  <si>
    <t>Cours1609</t>
  </si>
  <si>
    <t>Cours1610</t>
  </si>
  <si>
    <t>Cours1611</t>
  </si>
  <si>
    <t>Cours1612</t>
  </si>
  <si>
    <t>Cours1613</t>
  </si>
  <si>
    <t>Cours1614</t>
  </si>
  <si>
    <t>Cours1615</t>
  </si>
  <si>
    <t>Cours1616</t>
  </si>
  <si>
    <t>Cours1617</t>
  </si>
  <si>
    <t>Cours1618</t>
  </si>
  <si>
    <t>Cours1619</t>
  </si>
  <si>
    <t>Cours1620</t>
  </si>
  <si>
    <t>Cours1621</t>
  </si>
  <si>
    <t>Cours1622</t>
  </si>
  <si>
    <t>Cours1623</t>
  </si>
  <si>
    <t>Cours1624</t>
  </si>
  <si>
    <t>Cours1625</t>
  </si>
  <si>
    <t>Cours1626</t>
  </si>
  <si>
    <t>Cours1627</t>
  </si>
  <si>
    <t>Cours1628</t>
  </si>
  <si>
    <t>Cours1629</t>
  </si>
  <si>
    <t>Cours1630</t>
  </si>
  <si>
    <t>Cours1631</t>
  </si>
  <si>
    <t>Cours1632</t>
  </si>
  <si>
    <t>Cours1633</t>
  </si>
  <si>
    <t>Cours1634</t>
  </si>
  <si>
    <t>Cours1635</t>
  </si>
  <si>
    <t>Cours1636</t>
  </si>
  <si>
    <t>Cours1637</t>
  </si>
  <si>
    <t>Cours1638</t>
  </si>
  <si>
    <t>Cours1639</t>
  </si>
  <si>
    <t>Cours1640</t>
  </si>
  <si>
    <t>Cours1641</t>
  </si>
  <si>
    <t>Cours1642</t>
  </si>
  <si>
    <t>Cours1643</t>
  </si>
  <si>
    <t>Cours1644</t>
  </si>
  <si>
    <t>Cours1645</t>
  </si>
  <si>
    <t>Cours1646</t>
  </si>
  <si>
    <t>Cours1647</t>
  </si>
  <si>
    <t>Cours1648</t>
  </si>
  <si>
    <t>Cours1649</t>
  </si>
  <si>
    <t>Cours1650</t>
  </si>
  <si>
    <t>Cours1651</t>
  </si>
  <si>
    <t>Cours1652</t>
  </si>
  <si>
    <t>Cours1653</t>
  </si>
  <si>
    <t>Cours1654</t>
  </si>
  <si>
    <t>Cours1655</t>
  </si>
  <si>
    <t>Cours1656</t>
  </si>
  <si>
    <t>Cours1657</t>
  </si>
  <si>
    <t>Cours1658</t>
  </si>
  <si>
    <t>Cours1659</t>
  </si>
  <si>
    <t>Cours1660</t>
  </si>
  <si>
    <t>Cours1661</t>
  </si>
  <si>
    <t>Cours1662</t>
  </si>
  <si>
    <t>Cours1663</t>
  </si>
  <si>
    <t>Cours1664</t>
  </si>
  <si>
    <t>Cours1665</t>
  </si>
  <si>
    <t>Cours1666</t>
  </si>
  <si>
    <t>Cours1667</t>
  </si>
  <si>
    <t>Cours1668</t>
  </si>
  <si>
    <t>Cours1669</t>
  </si>
  <si>
    <t>Cours1670</t>
  </si>
  <si>
    <t>Cours1671</t>
  </si>
  <si>
    <t>Cours1672</t>
  </si>
  <si>
    <t>Cours1673</t>
  </si>
  <si>
    <t>Cours1674</t>
  </si>
  <si>
    <t>Cours1675</t>
  </si>
  <si>
    <t>Cours1676</t>
  </si>
  <si>
    <t>Cours1677</t>
  </si>
  <si>
    <t>Cours1678</t>
  </si>
  <si>
    <t>Cours1679</t>
  </si>
  <si>
    <t>Cours1680</t>
  </si>
  <si>
    <t>Cours1681</t>
  </si>
  <si>
    <t>Cours1682</t>
  </si>
  <si>
    <t>Cours1683</t>
  </si>
  <si>
    <t>Cours1684</t>
  </si>
  <si>
    <t>Cours1685</t>
  </si>
  <si>
    <t>Cours1686</t>
  </si>
  <si>
    <t>Cours1687</t>
  </si>
  <si>
    <t>Cours1688</t>
  </si>
  <si>
    <t>Cours1689</t>
  </si>
  <si>
    <t>Cours1690</t>
  </si>
  <si>
    <t>Cours1691</t>
  </si>
  <si>
    <t>Cours1692</t>
  </si>
  <si>
    <t>Cours1693</t>
  </si>
  <si>
    <t>Cours1694</t>
  </si>
  <si>
    <t>Cours1695</t>
  </si>
  <si>
    <t>Cours1696</t>
  </si>
  <si>
    <t>Cours1697</t>
  </si>
  <si>
    <t>Cours1698</t>
  </si>
  <si>
    <t>Cours1699</t>
  </si>
  <si>
    <t>Cours1700</t>
  </si>
  <si>
    <t>Cours1701</t>
  </si>
  <si>
    <t>Cours1702</t>
  </si>
  <si>
    <t>Cours1703</t>
  </si>
  <si>
    <t>Cours1704</t>
  </si>
  <si>
    <t>Cours1705</t>
  </si>
  <si>
    <t>Cours1706</t>
  </si>
  <si>
    <t>Cours1707</t>
  </si>
  <si>
    <t>Cours1708</t>
  </si>
  <si>
    <t>Cours1709</t>
  </si>
  <si>
    <t>Cours1710</t>
  </si>
  <si>
    <t>Cours1711</t>
  </si>
  <si>
    <t>Cours1712</t>
  </si>
  <si>
    <t>Cours1713</t>
  </si>
  <si>
    <t>Cours1714</t>
  </si>
  <si>
    <t>Cours1715</t>
  </si>
  <si>
    <t>Cours1716</t>
  </si>
  <si>
    <t>Cours1717</t>
  </si>
  <si>
    <t>Cours1718</t>
  </si>
  <si>
    <t>Cours1719</t>
  </si>
  <si>
    <t>Cours1720</t>
  </si>
  <si>
    <t>Cours1721</t>
  </si>
  <si>
    <t>Cours1722</t>
  </si>
  <si>
    <t>Cours1723</t>
  </si>
  <si>
    <t>Cours1724</t>
  </si>
  <si>
    <t>Cours1725</t>
  </si>
  <si>
    <t>Cours1726</t>
  </si>
  <si>
    <t>Cours1727</t>
  </si>
  <si>
    <t>Cours1728</t>
  </si>
  <si>
    <t>Cours1729</t>
  </si>
  <si>
    <t>Cours1730</t>
  </si>
  <si>
    <t>Cours1731</t>
  </si>
  <si>
    <t>Cours1732</t>
  </si>
  <si>
    <t>Cours1733</t>
  </si>
  <si>
    <t>Cours1734</t>
  </si>
  <si>
    <t>Cours1735</t>
  </si>
  <si>
    <t>Cours1736</t>
  </si>
  <si>
    <t>Cours1737</t>
  </si>
  <si>
    <t>Cours1738</t>
  </si>
  <si>
    <t>Cours1739</t>
  </si>
  <si>
    <t>Cours1740</t>
  </si>
  <si>
    <t>Cours1741</t>
  </si>
  <si>
    <t>Cours1742</t>
  </si>
  <si>
    <t>Cours1743</t>
  </si>
  <si>
    <t>Cours1744</t>
  </si>
  <si>
    <t>Cours1745</t>
  </si>
  <si>
    <t>Cours1746</t>
  </si>
  <si>
    <t>Cours1747</t>
  </si>
  <si>
    <t>Cours1748</t>
  </si>
  <si>
    <t>Cours1749</t>
  </si>
  <si>
    <t>Cours1750</t>
  </si>
  <si>
    <t>Cours1751</t>
  </si>
  <si>
    <t>Cours1752</t>
  </si>
  <si>
    <t>Cours1753</t>
  </si>
  <si>
    <t>Cours1754</t>
  </si>
  <si>
    <t>Cours1755</t>
  </si>
  <si>
    <t>Cours1756</t>
  </si>
  <si>
    <t>Cours1757</t>
  </si>
  <si>
    <t>Cours1758</t>
  </si>
  <si>
    <t>Cours1759</t>
  </si>
  <si>
    <t>Cours1760</t>
  </si>
  <si>
    <t>Cours1761</t>
  </si>
  <si>
    <t>Cours1762</t>
  </si>
  <si>
    <t>Cours1763</t>
  </si>
  <si>
    <t>Cours1764</t>
  </si>
  <si>
    <t>Cours1765</t>
  </si>
  <si>
    <t>Cours1766</t>
  </si>
  <si>
    <t>Cours1767</t>
  </si>
  <si>
    <t>Cours1768</t>
  </si>
  <si>
    <t>Cours1769</t>
  </si>
  <si>
    <t>Cours1770</t>
  </si>
  <si>
    <t>Cours1771</t>
  </si>
  <si>
    <t>Cours1772</t>
  </si>
  <si>
    <t>Cours1773</t>
  </si>
  <si>
    <t>Cours1774</t>
  </si>
  <si>
    <t>Cours1775</t>
  </si>
  <si>
    <t>Cours1776</t>
  </si>
  <si>
    <t>Cours1777</t>
  </si>
  <si>
    <t>Cours1778</t>
  </si>
  <si>
    <t>Cours1779</t>
  </si>
  <si>
    <t>Cours1780</t>
  </si>
  <si>
    <t>Cours1781</t>
  </si>
  <si>
    <t>Cours1782</t>
  </si>
  <si>
    <t>Cours1783</t>
  </si>
  <si>
    <t>Cours1784</t>
  </si>
  <si>
    <t>Cours1785</t>
  </si>
  <si>
    <t>Cours1786</t>
  </si>
  <si>
    <t>Cours1787</t>
  </si>
  <si>
    <t>Cours1788</t>
  </si>
  <si>
    <t>Cours1789</t>
  </si>
  <si>
    <t>Cours1790</t>
  </si>
  <si>
    <t>Cours1791</t>
  </si>
  <si>
    <t>Cours1792</t>
  </si>
  <si>
    <t>Cours1793</t>
  </si>
  <si>
    <t>Cours1794</t>
  </si>
  <si>
    <t>Cours1795</t>
  </si>
  <si>
    <t>Cours1796</t>
  </si>
  <si>
    <t>Cours1797</t>
  </si>
  <si>
    <t>Cours1798</t>
  </si>
  <si>
    <t>Cours1799</t>
  </si>
  <si>
    <t>Cours1800</t>
  </si>
  <si>
    <t>Cours1801</t>
  </si>
  <si>
    <t>Cours1802</t>
  </si>
  <si>
    <t>Cours1803</t>
  </si>
  <si>
    <t>Cours1804</t>
  </si>
  <si>
    <t>Cours1805</t>
  </si>
  <si>
    <t>Cours1806</t>
  </si>
  <si>
    <t>Cours1807</t>
  </si>
  <si>
    <t>Cours1808</t>
  </si>
  <si>
    <t>Cours1809</t>
  </si>
  <si>
    <t>Cours1810</t>
  </si>
  <si>
    <t>Cours1811</t>
  </si>
  <si>
    <t>Cours1812</t>
  </si>
  <si>
    <t>Cours1813</t>
  </si>
  <si>
    <t>Cours1814</t>
  </si>
  <si>
    <t>Cours1815</t>
  </si>
  <si>
    <t>Cours1816</t>
  </si>
  <si>
    <t>Cours1817</t>
  </si>
  <si>
    <t>Cours1818</t>
  </si>
  <si>
    <t>Cours1819</t>
  </si>
  <si>
    <t>Cours1820</t>
  </si>
  <si>
    <t>Cours1821</t>
  </si>
  <si>
    <t>Cours1822</t>
  </si>
  <si>
    <t>Cours1823</t>
  </si>
  <si>
    <t>Cours1824</t>
  </si>
  <si>
    <t>Cours1825</t>
  </si>
  <si>
    <t>Cours1826</t>
  </si>
  <si>
    <t>Cours1827</t>
  </si>
  <si>
    <t>Cours1828</t>
  </si>
  <si>
    <t>Cours1829</t>
  </si>
  <si>
    <t>Cours1830</t>
  </si>
  <si>
    <t>Cours1831</t>
  </si>
  <si>
    <t>Cours1832</t>
  </si>
  <si>
    <t>Cours1833</t>
  </si>
  <si>
    <t>Cours1834</t>
  </si>
  <si>
    <t>Cours1835</t>
  </si>
  <si>
    <t>Cours1836</t>
  </si>
  <si>
    <t>Cours1837</t>
  </si>
  <si>
    <t>Cours1838</t>
  </si>
  <si>
    <t>Cours1839</t>
  </si>
  <si>
    <t>Cours1840</t>
  </si>
  <si>
    <t>Cours1841</t>
  </si>
  <si>
    <t>Cours1842</t>
  </si>
  <si>
    <t>Cours1843</t>
  </si>
  <si>
    <t>Cours1844</t>
  </si>
  <si>
    <t>Cours1845</t>
  </si>
  <si>
    <t>Cours1846</t>
  </si>
  <si>
    <t>Cours1847</t>
  </si>
  <si>
    <t>Cours1848</t>
  </si>
  <si>
    <t>Cours1849</t>
  </si>
  <si>
    <t>Cours1850</t>
  </si>
  <si>
    <t>Cours1851</t>
  </si>
  <si>
    <t>Cours1852</t>
  </si>
  <si>
    <t>Cours1853</t>
  </si>
  <si>
    <t>Cours1854</t>
  </si>
  <si>
    <t>Cours1855</t>
  </si>
  <si>
    <t>Cours1856</t>
  </si>
  <si>
    <t>Cours1857</t>
  </si>
  <si>
    <t>Cours1858</t>
  </si>
  <si>
    <t>Cours1859</t>
  </si>
  <si>
    <t>Cours1860</t>
  </si>
  <si>
    <t>Cours1861</t>
  </si>
  <si>
    <t>Cours1862</t>
  </si>
  <si>
    <t>Cours1863</t>
  </si>
  <si>
    <t>Cours1864</t>
  </si>
  <si>
    <t>Cours1865</t>
  </si>
  <si>
    <t>Cours1866</t>
  </si>
  <si>
    <t>Cours1867</t>
  </si>
  <si>
    <t>Cours1868</t>
  </si>
  <si>
    <t>Cours1869</t>
  </si>
  <si>
    <t>Cours1870</t>
  </si>
  <si>
    <t>Cours1871</t>
  </si>
  <si>
    <t>Cours1872</t>
  </si>
  <si>
    <t>Cours1873</t>
  </si>
  <si>
    <t>Cours1874</t>
  </si>
  <si>
    <t>Cours1875</t>
  </si>
  <si>
    <t>Cours1876</t>
  </si>
  <si>
    <t>Cours1877</t>
  </si>
  <si>
    <t>Cours1878</t>
  </si>
  <si>
    <t>Cours1879</t>
  </si>
  <si>
    <t>Cours1880</t>
  </si>
  <si>
    <t>Cours1881</t>
  </si>
  <si>
    <t>Cours1882</t>
  </si>
  <si>
    <t>Cours1883</t>
  </si>
  <si>
    <t>Cours1884</t>
  </si>
  <si>
    <t>Cours1885</t>
  </si>
  <si>
    <t>Cours1886</t>
  </si>
  <si>
    <t>Cours1887</t>
  </si>
  <si>
    <t>Cours1888</t>
  </si>
  <si>
    <t>Cours1889</t>
  </si>
  <si>
    <t>Cours1890</t>
  </si>
  <si>
    <t>Cours1891</t>
  </si>
  <si>
    <t>Cours1892</t>
  </si>
  <si>
    <t>Cours1893</t>
  </si>
  <si>
    <t>Cours1894</t>
  </si>
  <si>
    <t>Cours1895</t>
  </si>
  <si>
    <t>Cours1896</t>
  </si>
  <si>
    <t>Cours1897</t>
  </si>
  <si>
    <t>Cours1898</t>
  </si>
  <si>
    <t>Cours1899</t>
  </si>
  <si>
    <t>Cours1900</t>
  </si>
  <si>
    <t>Cours1901</t>
  </si>
  <si>
    <t>Cours1902</t>
  </si>
  <si>
    <t>Cours1903</t>
  </si>
  <si>
    <t>Cours1904</t>
  </si>
  <si>
    <t>Cours1905</t>
  </si>
  <si>
    <t>Cours1906</t>
  </si>
  <si>
    <t>Cours1907</t>
  </si>
  <si>
    <t>Cours1908</t>
  </si>
  <si>
    <t>Cours1909</t>
  </si>
  <si>
    <t>Cours1910</t>
  </si>
  <si>
    <t>Cours1911</t>
  </si>
  <si>
    <t>Cours1912</t>
  </si>
  <si>
    <t>Cours1913</t>
  </si>
  <si>
    <t>Cours1914</t>
  </si>
  <si>
    <t>Cours1915</t>
  </si>
  <si>
    <t>Cours1916</t>
  </si>
  <si>
    <t>Cours1917</t>
  </si>
  <si>
    <t>Cours1918</t>
  </si>
  <si>
    <t>Cours1919</t>
  </si>
  <si>
    <t>Cours1920</t>
  </si>
  <si>
    <t>Cours1921</t>
  </si>
  <si>
    <t>Cours1922</t>
  </si>
  <si>
    <t>Cours1923</t>
  </si>
  <si>
    <t>Cours1924</t>
  </si>
  <si>
    <t>Cours1925</t>
  </si>
  <si>
    <t>Cours1926</t>
  </si>
  <si>
    <t>Cours1927</t>
  </si>
  <si>
    <t>Cours1928</t>
  </si>
  <si>
    <t>Cours1929</t>
  </si>
  <si>
    <t>Cours1930</t>
  </si>
  <si>
    <t>Cours1931</t>
  </si>
  <si>
    <t>Cours1932</t>
  </si>
  <si>
    <t>Cours1933</t>
  </si>
  <si>
    <t>Cours1934</t>
  </si>
  <si>
    <t>Cours1935</t>
  </si>
  <si>
    <t>Cours1936</t>
  </si>
  <si>
    <t>Cours1937</t>
  </si>
  <si>
    <t>Cours1938</t>
  </si>
  <si>
    <t>Cours1939</t>
  </si>
  <si>
    <t>Cours1940</t>
  </si>
  <si>
    <t>Cours1941</t>
  </si>
  <si>
    <t>Cours1942</t>
  </si>
  <si>
    <t>Cours1943</t>
  </si>
  <si>
    <t>Cours1944</t>
  </si>
  <si>
    <t>Cours1945</t>
  </si>
  <si>
    <t>Cours1946</t>
  </si>
  <si>
    <t>Cours1947</t>
  </si>
  <si>
    <t>Cours1948</t>
  </si>
  <si>
    <t>Cours1949</t>
  </si>
  <si>
    <t>Cours1950</t>
  </si>
  <si>
    <t>Cours1951</t>
  </si>
  <si>
    <t>Cours1952</t>
  </si>
  <si>
    <t>Cours1953</t>
  </si>
  <si>
    <t>Cours1954</t>
  </si>
  <si>
    <t>Cours1955</t>
  </si>
  <si>
    <t>Cours1956</t>
  </si>
  <si>
    <t>Cours1957</t>
  </si>
  <si>
    <t>Cours1958</t>
  </si>
  <si>
    <t>Cours1959</t>
  </si>
  <si>
    <t>Cours1960</t>
  </si>
  <si>
    <t>Cours1961</t>
  </si>
  <si>
    <t>Cours1962</t>
  </si>
  <si>
    <t>Cours1963</t>
  </si>
  <si>
    <t>Cours1964</t>
  </si>
  <si>
    <t>Cours1965</t>
  </si>
  <si>
    <t>Cours1966</t>
  </si>
  <si>
    <t>Cours1967</t>
  </si>
  <si>
    <t>Cours1968</t>
  </si>
  <si>
    <t>Cours1969</t>
  </si>
  <si>
    <t>Cours1970</t>
  </si>
  <si>
    <t>Cours1971</t>
  </si>
  <si>
    <t>Cours1972</t>
  </si>
  <si>
    <t>Cours1973</t>
  </si>
  <si>
    <t>Cours1974</t>
  </si>
  <si>
    <t>Cours1975</t>
  </si>
  <si>
    <t>Cours1976</t>
  </si>
  <si>
    <t>Cours1977</t>
  </si>
  <si>
    <t>Cours1978</t>
  </si>
  <si>
    <t>Cours1979</t>
  </si>
  <si>
    <t>Cours1980</t>
  </si>
  <si>
    <t>Cours1981</t>
  </si>
  <si>
    <t>Cours1982</t>
  </si>
  <si>
    <t>Cours1983</t>
  </si>
  <si>
    <t>Cours1984</t>
  </si>
  <si>
    <t>Cours1985</t>
  </si>
  <si>
    <t>Cours1986</t>
  </si>
  <si>
    <t>Cours1987</t>
  </si>
  <si>
    <t>Cours1988</t>
  </si>
  <si>
    <t>Cours1989</t>
  </si>
  <si>
    <t>Cours1990</t>
  </si>
  <si>
    <t>Cours1991</t>
  </si>
  <si>
    <t>Cours1992</t>
  </si>
  <si>
    <t>Cours1993</t>
  </si>
  <si>
    <t>Cours1994</t>
  </si>
  <si>
    <t>Cours1995</t>
  </si>
  <si>
    <t>Cours1996</t>
  </si>
  <si>
    <t>Cours1997</t>
  </si>
  <si>
    <t>Cours1998</t>
  </si>
  <si>
    <t>Cours1999</t>
  </si>
  <si>
    <t>Cours2000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</si>
</sst>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\ hh:mm"/>
    <numFmt numFmtId="165" formatCode="[$-F800]dddd\,\ mmmm\ dd\,\ yyyy"/>
    <numFmt numFmtId="166" formatCode="d/m/yy\ h:mm;@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0" fontId="5" fillId="6" borderId="0" xfId="2"/>
    <xf numFmtId="166" fontId="1" fillId="0" borderId="0" xfId="0" applyNumberFormat="1" applyFont="1"/>
    <xf numFmtId="164" fontId="1" fillId="2" borderId="0" xfId="0" applyNumberFormat="1" applyFont="1" applyFill="1"/>
    <xf numFmtId="164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472440</xdr:colOff>
          <xdr:row>38</xdr:row>
          <xdr:rowOff>60960</xdr:rowOff>
        </xdr:from>
        <xdr:to>
          <xdr:col>8</xdr:col>
          <xdr:colOff>655320</xdr:colOff>
          <xdr:row>40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Y75"/>
  <sheetViews>
    <sheetView topLeftCell="A35" zoomScale="115" zoomScaleNormal="115" workbookViewId="0">
      <selection activeCell="G41" sqref="G41"/>
    </sheetView>
  </sheetViews>
  <sheetFormatPr baseColWidth="10" defaultColWidth="12.6640625" defaultRowHeight="15.75" customHeight="1" x14ac:dyDescent="0.25"/>
  <cols>
    <col min="2" max="2" width="9.88671875" customWidth="1"/>
    <col min="3" max="3" width="23.109375" customWidth="1"/>
  </cols>
  <sheetData>
    <row r="1" spans="1:25" ht="15.75" customHeight="1" x14ac:dyDescent="0.25">
      <c r="A1" s="1" t="s">
        <v>6</v>
      </c>
      <c r="B1" s="1" t="s">
        <v>7</v>
      </c>
      <c r="C1" s="1" t="s">
        <v>64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5.75" customHeight="1" x14ac:dyDescent="0.25">
      <c r="A2" s="2" t="s">
        <v>8</v>
      </c>
      <c r="B2" s="2" cm="1">
        <f t="array" ref="B2">alea_int(100,6,Settings!$B$16)</f>
        <v>54</v>
      </c>
      <c r="C2" t="str" cm="1">
        <f t="array" ref="C2">choice(Referentiel!F:F,5,Settings!$B$16)</f>
        <v>tablette,pupitre,ordinateur,fenetre,tablette</v>
      </c>
    </row>
    <row r="3" spans="1:25" ht="15.75" customHeight="1" x14ac:dyDescent="0.25">
      <c r="A3" s="2" t="s">
        <v>9</v>
      </c>
      <c r="B3" s="2" cm="1">
        <f t="array" ref="B3">alea_int(100,6,Settings!$B$16)</f>
        <v>88</v>
      </c>
      <c r="C3" t="str" cm="1">
        <f t="array" ref="C3">choice(Referentiel!F:F,5,Settings!$B$16)</f>
        <v>projecteur,fenetre,tablette,ordinateur,pupitre</v>
      </c>
    </row>
    <row r="4" spans="1:25" ht="15.75" customHeight="1" x14ac:dyDescent="0.25">
      <c r="A4" s="2" t="s">
        <v>10</v>
      </c>
      <c r="B4" s="2" cm="1">
        <f t="array" ref="B4">alea_int(100,6,Settings!$B$16)</f>
        <v>48</v>
      </c>
      <c r="C4" t="str" cm="1">
        <f t="array" ref="C4">choice(Referentiel!F:F,5,Settings!$B$16)</f>
        <v>tablette,pupitre,fenetre,fenetre,projecteur</v>
      </c>
    </row>
    <row r="5" spans="1:25" ht="15.75" customHeight="1" x14ac:dyDescent="0.25">
      <c r="A5" s="2" t="s">
        <v>11</v>
      </c>
      <c r="B5" s="2" cm="1">
        <f t="array" ref="B5">alea_int(100,6,Settings!$B$16)</f>
        <v>92</v>
      </c>
      <c r="C5" t="str" cm="1">
        <f t="array" ref="C5">choice(Referentiel!F:F,5,Settings!$B$16)</f>
        <v>fenetre,tablette,projecteur,fenetre,fenetre</v>
      </c>
    </row>
    <row r="6" spans="1:25" ht="15.75" customHeight="1" x14ac:dyDescent="0.25">
      <c r="A6" s="2" t="s">
        <v>12</v>
      </c>
      <c r="B6" s="2" cm="1">
        <f t="array" ref="B6">alea_int(100,6,Settings!$B$16)</f>
        <v>74</v>
      </c>
      <c r="C6" t="str" cm="1">
        <f t="array" ref="C6">choice(Referentiel!F:F,5,Settings!$B$16)</f>
        <v>ordinateur,ordinateur,pupitre,fenetre,pupitre</v>
      </c>
    </row>
    <row r="7" spans="1:25" ht="15.75" customHeight="1" x14ac:dyDescent="0.25">
      <c r="A7" s="2" t="s">
        <v>13</v>
      </c>
      <c r="B7" s="2" cm="1">
        <f t="array" ref="B7">alea_int(100,6,Settings!$B$16)</f>
        <v>55</v>
      </c>
      <c r="C7" t="str" cm="1">
        <f t="array" ref="C7">choice(Referentiel!F:F,5,Settings!$B$16)</f>
        <v>pupitre,projecteur,pupitre,projecteur,pupitre</v>
      </c>
    </row>
    <row r="8" spans="1:25" ht="15.75" customHeight="1" x14ac:dyDescent="0.25">
      <c r="A8" s="2" t="s">
        <v>14</v>
      </c>
      <c r="B8" s="2" cm="1">
        <f t="array" ref="B8">alea_int(100,6,Settings!$B$16)</f>
        <v>91</v>
      </c>
      <c r="C8" t="str" cm="1">
        <f t="array" ref="C8">choice(Referentiel!F:F,5,Settings!$B$16)</f>
        <v>ordinateur,tablette,ordinateur,fenetre,tablette</v>
      </c>
    </row>
    <row r="9" spans="1:25" ht="15.75" customHeight="1" x14ac:dyDescent="0.25">
      <c r="A9" s="2" t="s">
        <v>15</v>
      </c>
      <c r="B9" s="2" cm="1">
        <f t="array" ref="B9">alea_int(100,6,Settings!$B$16)</f>
        <v>59</v>
      </c>
      <c r="C9" t="str" cm="1">
        <f t="array" ref="C9">choice(Referentiel!F:F,5,Settings!$B$16)</f>
        <v>pupitre,projecteur,projecteur,fenetre,fenetre</v>
      </c>
    </row>
    <row r="10" spans="1:25" ht="15.75" customHeight="1" x14ac:dyDescent="0.25">
      <c r="A10" s="2" t="s">
        <v>16</v>
      </c>
      <c r="B10" s="2" cm="1">
        <f t="array" ref="B10">alea_int(100,6,Settings!$B$16)</f>
        <v>49</v>
      </c>
      <c r="C10" t="str" cm="1">
        <f t="array" ref="C10">choice(Referentiel!F:F,5,Settings!$B$16)</f>
        <v>fenetre,ordinateur,projecteur,ordinateur,fenetre</v>
      </c>
    </row>
    <row r="11" spans="1:25" ht="15.75" customHeight="1" x14ac:dyDescent="0.25">
      <c r="A11" s="2" t="s">
        <v>27</v>
      </c>
      <c r="B11" s="2" cm="1">
        <f t="array" ref="B11">alea_int(100,6,Settings!$B$16)</f>
        <v>64</v>
      </c>
      <c r="C11" t="str" cm="1">
        <f t="array" ref="C11">choice(Referentiel!F:F,5,Settings!$B$16)</f>
        <v>ordinateur,tablette,ordinateur,tablette,tablette</v>
      </c>
    </row>
    <row r="12" spans="1:25" ht="15.75" customHeight="1" x14ac:dyDescent="0.25">
      <c r="A12" s="2" t="s">
        <v>28</v>
      </c>
      <c r="B12" s="2" cm="1">
        <f t="array" ref="B12">alea_int(100,6,Settings!$B$16)</f>
        <v>103</v>
      </c>
      <c r="C12" t="str" cm="1">
        <f t="array" ref="C12">choice(Referentiel!F:F,5,Settings!$B$16)</f>
        <v>tablette,tablette,projecteur,pupitre,pupitre</v>
      </c>
    </row>
    <row r="13" spans="1:25" ht="15.75" customHeight="1" x14ac:dyDescent="0.25">
      <c r="A13" s="2" t="s">
        <v>29</v>
      </c>
      <c r="B13" s="2" cm="1">
        <f t="array" ref="B13">alea_int(100,6,Settings!$B$16)</f>
        <v>72</v>
      </c>
      <c r="C13" t="str" cm="1">
        <f t="array" ref="C13">choice(Referentiel!F:F,5,Settings!$B$16)</f>
        <v>projecteur,tablette,pupitre,tablette,pupitre</v>
      </c>
    </row>
    <row r="14" spans="1:25" ht="15.75" customHeight="1" x14ac:dyDescent="0.25">
      <c r="A14" s="2" t="s">
        <v>30</v>
      </c>
      <c r="B14" s="2" cm="1">
        <f t="array" ref="B14">alea_int(100,6,Settings!$B$16)</f>
        <v>33</v>
      </c>
      <c r="C14" t="str" cm="1">
        <f t="array" ref="C14">choice(Referentiel!F:F,5,Settings!$B$16)</f>
        <v>projecteur,fenetre,ordinateur,tablette,pupitre</v>
      </c>
    </row>
    <row r="15" spans="1:25" ht="15.75" customHeight="1" x14ac:dyDescent="0.25">
      <c r="A15" s="2" t="s">
        <v>31</v>
      </c>
      <c r="B15" s="2" cm="1">
        <f t="array" ref="B15">alea_int(100,6,Settings!$B$16)</f>
        <v>78</v>
      </c>
      <c r="C15" t="str" cm="1">
        <f t="array" ref="C15">choice(Referentiel!F:F,5,Settings!$B$16)</f>
        <v>ordinateur,tablette,fenetre,projecteur,pupitre</v>
      </c>
    </row>
    <row r="16" spans="1:25" ht="15.75" customHeight="1" x14ac:dyDescent="0.25">
      <c r="A16" s="2" t="s">
        <v>32</v>
      </c>
      <c r="B16" s="2" cm="1">
        <f t="array" ref="B16">alea_int(100,6,Settings!$B$16)</f>
        <v>101</v>
      </c>
      <c r="C16" t="str" cm="1">
        <f t="array" ref="C16">choice(Referentiel!F:F,5,Settings!$B$16)</f>
        <v>pupitre,fenetre,projecteur,projecteur,ordinateur</v>
      </c>
    </row>
    <row r="17" spans="1:3" ht="15.75" customHeight="1" x14ac:dyDescent="0.25">
      <c r="A17" s="2" t="s">
        <v>33</v>
      </c>
      <c r="B17" s="2" cm="1">
        <f t="array" ref="B17">alea_int(100,6,Settings!$B$16)</f>
        <v>90</v>
      </c>
      <c r="C17" t="str" cm="1">
        <f t="array" ref="C17">choice(Referentiel!F:F,5,Settings!$B$16)</f>
        <v>pupitre,tablette,ordinateur,tablette,ordinateur</v>
      </c>
    </row>
    <row r="18" spans="1:3" ht="15.75" customHeight="1" x14ac:dyDescent="0.25">
      <c r="A18" s="2" t="s">
        <v>34</v>
      </c>
      <c r="B18" s="2" cm="1">
        <f t="array" ref="B18">alea_int(100,6,Settings!$B$16)</f>
        <v>69</v>
      </c>
      <c r="C18" t="str" cm="1">
        <f t="array" ref="C18">choice(Referentiel!F:F,5,Settings!$B$16)</f>
        <v>pupitre,projecteur,tablette,pupitre,tablette</v>
      </c>
    </row>
    <row r="19" spans="1:3" ht="15.75" customHeight="1" x14ac:dyDescent="0.25">
      <c r="A19" s="2" t="s">
        <v>35</v>
      </c>
      <c r="B19" s="2" cm="1">
        <f t="array" ref="B19">alea_int(100,6,Settings!$B$16)</f>
        <v>48</v>
      </c>
      <c r="C19" t="str" cm="1">
        <f t="array" ref="C19">choice(Referentiel!F:F,5,Settings!$B$16)</f>
        <v>projecteur,projecteur,projecteur,fenetre,projecteur</v>
      </c>
    </row>
    <row r="20" spans="1:3" ht="15.75" customHeight="1" x14ac:dyDescent="0.25">
      <c r="A20" s="2" t="s">
        <v>36</v>
      </c>
      <c r="B20" s="2" cm="1">
        <f t="array" ref="B20">alea_int(100,6,Settings!$B$16)</f>
        <v>28</v>
      </c>
      <c r="C20" t="str" cm="1">
        <f t="array" ref="C20">choice(Referentiel!F:F,5,Settings!$B$16)</f>
        <v>pupitre,pupitre,tablette,pupitre,tablette</v>
      </c>
    </row>
    <row r="21" spans="1:3" ht="15.75" customHeight="1" x14ac:dyDescent="0.25">
      <c r="A21" s="2" t="s">
        <v>37</v>
      </c>
      <c r="B21" s="2" cm="1">
        <f t="array" ref="B21">alea_int(100,6,Settings!$B$16)</f>
        <v>93</v>
      </c>
      <c r="C21" t="str" cm="1">
        <f t="array" ref="C21">choice(Referentiel!F:F,5,Settings!$B$16)</f>
        <v>projecteur,tablette,projecteur,pupitre,tablette</v>
      </c>
    </row>
    <row r="22" spans="1:3" ht="15.75" customHeight="1" x14ac:dyDescent="0.25">
      <c r="A22" s="2" t="s">
        <v>38</v>
      </c>
      <c r="B22" s="2" cm="1">
        <f t="array" ref="B22">alea_int(100,6,Settings!$B$16)</f>
        <v>26</v>
      </c>
      <c r="C22" t="str" cm="1">
        <f t="array" ref="C22">choice(Referentiel!F:F,5,Settings!$B$16)</f>
        <v>fenetre,ordinateur,projecteur,fenetre,fenetre</v>
      </c>
    </row>
    <row r="23" spans="1:3" ht="15.75" customHeight="1" x14ac:dyDescent="0.25">
      <c r="A23" s="2" t="s">
        <v>39</v>
      </c>
      <c r="B23" s="2" cm="1">
        <f t="array" ref="B23">alea_int(100,6,Settings!$B$16)</f>
        <v>48</v>
      </c>
      <c r="C23" t="str" cm="1">
        <f t="array" ref="C23">choice(Referentiel!F:F,5,Settings!$B$16)</f>
        <v>fenetre,fenetre,ordinateur,projecteur,tablette</v>
      </c>
    </row>
    <row r="24" spans="1:3" ht="15.75" customHeight="1" x14ac:dyDescent="0.25">
      <c r="A24" s="2" t="s">
        <v>40</v>
      </c>
      <c r="B24" s="2" cm="1">
        <f t="array" ref="B24">alea_int(100,6,Settings!$B$16)</f>
        <v>83</v>
      </c>
      <c r="C24" t="str" cm="1">
        <f t="array" ref="C24">choice(Referentiel!F:F,5,Settings!$B$16)</f>
        <v>tablette,tablette,ordinateur,projecteur,ordinateur</v>
      </c>
    </row>
    <row r="25" spans="1:3" ht="15.75" customHeight="1" x14ac:dyDescent="0.25">
      <c r="A25" s="2" t="s">
        <v>41</v>
      </c>
      <c r="B25" s="2" cm="1">
        <f t="array" ref="B25">alea_int(100,6,Settings!$B$16)</f>
        <v>88</v>
      </c>
      <c r="C25" t="str" cm="1">
        <f t="array" ref="C25">choice(Referentiel!F:F,5,Settings!$B$16)</f>
        <v>fenetre,projecteur,pupitre,fenetre,tablette</v>
      </c>
    </row>
    <row r="26" spans="1:3" ht="15.75" customHeight="1" x14ac:dyDescent="0.25">
      <c r="A26" s="2" t="s">
        <v>42</v>
      </c>
      <c r="B26" s="2" cm="1">
        <f t="array" ref="B26">alea_int(100,6,Settings!$B$16)</f>
        <v>79</v>
      </c>
      <c r="C26" t="str" cm="1">
        <f t="array" ref="C26">choice(Referentiel!F:F,5,Settings!$B$16)</f>
        <v>fenetre,tablette,pupitre,tablette,ordinateur</v>
      </c>
    </row>
    <row r="27" spans="1:3" ht="15.75" customHeight="1" x14ac:dyDescent="0.25">
      <c r="A27" s="2" t="s">
        <v>43</v>
      </c>
      <c r="B27" s="2" cm="1">
        <f t="array" ref="B27">alea_int(100,6,Settings!$B$16)</f>
        <v>57</v>
      </c>
      <c r="C27" t="str" cm="1">
        <f t="array" ref="C27">choice(Referentiel!F:F,5,Settings!$B$16)</f>
        <v>tablette,fenetre,fenetre,ordinateur,ordinateur</v>
      </c>
    </row>
    <row r="28" spans="1:3" ht="15.75" customHeight="1" x14ac:dyDescent="0.25">
      <c r="A28" s="2" t="s">
        <v>44</v>
      </c>
      <c r="B28" s="2" cm="1">
        <f t="array" ref="B28">alea_int(100,6,Settings!$B$16)</f>
        <v>14</v>
      </c>
      <c r="C28" t="str" cm="1">
        <f t="array" ref="C28">choice(Referentiel!F:F,5,Settings!$B$16)</f>
        <v>projecteur,pupitre,pupitre,pupitre,projecteur</v>
      </c>
    </row>
    <row r="29" spans="1:3" ht="15.75" customHeight="1" x14ac:dyDescent="0.25">
      <c r="A29" s="2" t="s">
        <v>45</v>
      </c>
      <c r="B29" s="2" cm="1">
        <f t="array" ref="B29">alea_int(100,6,Settings!$B$16)</f>
        <v>24</v>
      </c>
      <c r="C29" t="str" cm="1">
        <f t="array" ref="C29">choice(Referentiel!F:F,5,Settings!$B$16)</f>
        <v>pupitre,fenetre,fenetre,tablette,fenetre</v>
      </c>
    </row>
    <row r="30" spans="1:3" ht="15.75" customHeight="1" x14ac:dyDescent="0.25">
      <c r="A30" s="2" t="s">
        <v>46</v>
      </c>
      <c r="B30" s="2" cm="1">
        <f t="array" ref="B30">alea_int(100,6,Settings!$B$16)</f>
        <v>58</v>
      </c>
      <c r="C30" t="str" cm="1">
        <f t="array" ref="C30">choice(Referentiel!F:F,5,Settings!$B$16)</f>
        <v>pupitre,ordinateur,pupitre,fenetre,pupitre</v>
      </c>
    </row>
    <row r="31" spans="1:3" ht="15.75" customHeight="1" x14ac:dyDescent="0.25">
      <c r="A31" s="2" t="s">
        <v>47</v>
      </c>
      <c r="B31" s="2" cm="1">
        <f t="array" ref="B31">alea_int(100,6,Settings!$B$16)</f>
        <v>104</v>
      </c>
      <c r="C31" t="str" cm="1">
        <f t="array" ref="C31">choice(Referentiel!F:F,5,Settings!$B$16)</f>
        <v>projecteur,ordinateur,pupitre,tablette,tablette</v>
      </c>
    </row>
    <row r="32" spans="1:3" ht="15.75" customHeight="1" x14ac:dyDescent="0.25">
      <c r="A32" s="2" t="s">
        <v>103</v>
      </c>
      <c r="B32" s="2" cm="1">
        <f t="array" ref="B32">alea_int(100,6,Settings!$B$16)</f>
        <v>53</v>
      </c>
      <c r="C32" t="str" cm="1">
        <f t="array" ref="C32">choice(Referentiel!F:F,5,Settings!$B$16)</f>
        <v>tablette,ordinateur,tablette,projecteur,projecteur</v>
      </c>
    </row>
    <row r="33" spans="1:3" ht="15.75" customHeight="1" x14ac:dyDescent="0.25">
      <c r="A33" s="2" t="s">
        <v>104</v>
      </c>
      <c r="B33" s="2" cm="1">
        <f t="array" ref="B33">alea_int(100,6,Settings!$B$16)</f>
        <v>81</v>
      </c>
      <c r="C33" t="str" cm="1">
        <f t="array" ref="C33">choice(Referentiel!F:F,5,Settings!$B$16)</f>
        <v>fenetre,ordinateur,tablette,fenetre,fenetre</v>
      </c>
    </row>
    <row r="34" spans="1:3" ht="15.75" customHeight="1" x14ac:dyDescent="0.25">
      <c r="A34" s="2" t="s">
        <v>105</v>
      </c>
      <c r="B34" s="2" cm="1">
        <f t="array" ref="B34">alea_int(100,6,Settings!$B$16)</f>
        <v>102</v>
      </c>
      <c r="C34" t="str" cm="1">
        <f t="array" ref="C34">choice(Referentiel!F:F,5,Settings!$B$16)</f>
        <v>pupitre,projecteur,pupitre,projecteur,tablette</v>
      </c>
    </row>
    <row r="35" spans="1:3" ht="15.75" customHeight="1" x14ac:dyDescent="0.25">
      <c r="A35" s="2" t="s">
        <v>106</v>
      </c>
      <c r="B35" s="2" cm="1">
        <f t="array" ref="B35">alea_int(100,6,Settings!$B$16)</f>
        <v>14</v>
      </c>
      <c r="C35" t="str" cm="1">
        <f t="array" ref="C35">choice(Referentiel!F:F,5,Settings!$B$16)</f>
        <v>pupitre,fenetre,projecteur,pupitre,tablette</v>
      </c>
    </row>
    <row r="36" spans="1:3" ht="15.75" customHeight="1" x14ac:dyDescent="0.25">
      <c r="A36" s="2" t="s">
        <v>107</v>
      </c>
      <c r="B36" s="2" cm="1">
        <f t="array" ref="B36">alea_int(100,6,Settings!$B$16)</f>
        <v>45</v>
      </c>
      <c r="C36" t="str" cm="1">
        <f t="array" ref="C36">choice(Referentiel!F:F,5,Settings!$B$16)</f>
        <v>ordinateur,ordinateur,projecteur,pupitre,pupitre</v>
      </c>
    </row>
    <row r="37" spans="1:3" ht="15.75" customHeight="1" x14ac:dyDescent="0.25">
      <c r="A37" s="2" t="s">
        <v>108</v>
      </c>
      <c r="B37" s="2" cm="1">
        <f t="array" ref="B37">alea_int(100,6,Settings!$B$16)</f>
        <v>23</v>
      </c>
      <c r="C37" t="str" cm="1">
        <f t="array" ref="C37">choice(Referentiel!F:F,5,Settings!$B$16)</f>
        <v>ordinateur,projecteur,fenetre,fenetre,fenetre</v>
      </c>
    </row>
    <row r="38" spans="1:3" ht="15.75" customHeight="1" x14ac:dyDescent="0.25">
      <c r="A38" s="2" t="s">
        <v>109</v>
      </c>
      <c r="B38" s="2" cm="1">
        <f t="array" ref="B38">alea_int(100,6,Settings!$B$16)</f>
        <v>61</v>
      </c>
      <c r="C38" t="str" cm="1">
        <f t="array" ref="C38">choice(Referentiel!F:F,5,Settings!$B$16)</f>
        <v>pupitre,pupitre,tablette,tablette,fenetre</v>
      </c>
    </row>
    <row r="39" spans="1:3" ht="15.75" customHeight="1" x14ac:dyDescent="0.25">
      <c r="A39" s="2" t="s">
        <v>110</v>
      </c>
      <c r="B39" s="2" cm="1">
        <f t="array" ref="B39">alea_int(100,6,Settings!$B$16)</f>
        <v>20</v>
      </c>
      <c r="C39" t="str" cm="1">
        <f t="array" ref="C39">choice(Referentiel!F:F,5,Settings!$B$16)</f>
        <v>fenetre,tablette,projecteur,ordinateur,projecteur</v>
      </c>
    </row>
    <row r="40" spans="1:3" ht="15.75" customHeight="1" x14ac:dyDescent="0.25">
      <c r="A40" s="2" t="s">
        <v>111</v>
      </c>
      <c r="B40" s="2" cm="1">
        <f t="array" ref="B40">alea_int(100,6,Settings!$B$16)</f>
        <v>88</v>
      </c>
      <c r="C40" t="str" cm="1">
        <f t="array" ref="C40">choice(Referentiel!F:F,5,Settings!$B$16)</f>
        <v>tablette,projecteur,projecteur,pupitre,projecteur</v>
      </c>
    </row>
    <row r="41" spans="1:3" ht="15.75" customHeight="1" x14ac:dyDescent="0.25">
      <c r="A41" s="2" t="s">
        <v>112</v>
      </c>
      <c r="B41" s="2" cm="1">
        <f t="array" ref="B41">alea_int(100,6,Settings!$B$16)</f>
        <v>77</v>
      </c>
      <c r="C41" t="str" cm="1">
        <f t="array" ref="C41">choice(Referentiel!F:F,5,Settings!$B$16)</f>
        <v>projecteur,tablette,projecteur,projecteur,ordinateur</v>
      </c>
    </row>
    <row r="42" spans="1:3" ht="15.75" customHeight="1" x14ac:dyDescent="0.25">
      <c r="A42" s="2" t="s">
        <v>114</v>
      </c>
      <c r="B42" s="2" cm="1">
        <f t="array" ref="B42">alea_int(100,6,Settings!$B$16)</f>
        <v>8</v>
      </c>
      <c r="C42" t="str" cm="1">
        <f t="array" ref="C42">choice(Referentiel!F:F,5,Settings!$B$16)</f>
        <v>projecteur,tablette,pupitre,pupitre,tablette</v>
      </c>
    </row>
    <row r="43" spans="1:3" ht="15.75" customHeight="1" x14ac:dyDescent="0.25">
      <c r="A43" s="2" t="s">
        <v>115</v>
      </c>
      <c r="B43" s="2" cm="1">
        <f t="array" ref="B43">alea_int(100,6,Settings!$B$16)</f>
        <v>84</v>
      </c>
      <c r="C43" t="str" cm="1">
        <f t="array" ref="C43">choice(Referentiel!F:F,5,Settings!$B$16)</f>
        <v>ordinateur,projecteur,ordinateur,projecteur,fenetre</v>
      </c>
    </row>
    <row r="44" spans="1:3" ht="15.75" customHeight="1" x14ac:dyDescent="0.25">
      <c r="A44" s="2" t="s">
        <v>116</v>
      </c>
      <c r="B44" s="2" cm="1">
        <f t="array" ref="B44">alea_int(100,6,Settings!$B$16)</f>
        <v>8</v>
      </c>
      <c r="C44" t="str" cm="1">
        <f t="array" ref="C44">choice(Referentiel!F:F,5,Settings!$B$16)</f>
        <v>projecteur,ordinateur,fenetre,ordinateur,tablette</v>
      </c>
    </row>
    <row r="45" spans="1:3" ht="15.75" customHeight="1" x14ac:dyDescent="0.25">
      <c r="A45" s="2" t="s">
        <v>117</v>
      </c>
      <c r="B45" s="2" cm="1">
        <f t="array" ref="B45">alea_int(100,6,Settings!$B$16)</f>
        <v>22</v>
      </c>
      <c r="C45" t="str" cm="1">
        <f t="array" ref="C45">choice(Referentiel!F:F,5,Settings!$B$16)</f>
        <v>pupitre,tablette,fenetre,pupitre,ordinateur</v>
      </c>
    </row>
    <row r="46" spans="1:3" ht="15.75" customHeight="1" x14ac:dyDescent="0.25">
      <c r="A46" s="2" t="s">
        <v>118</v>
      </c>
      <c r="B46" s="2" cm="1">
        <f t="array" ref="B46">alea_int(100,6,Settings!$B$16)</f>
        <v>47</v>
      </c>
      <c r="C46" t="str" cm="1">
        <f t="array" ref="C46">choice(Referentiel!F:F,5,Settings!$B$16)</f>
        <v>pupitre,pupitre,tablette,projecteur,pupitre</v>
      </c>
    </row>
    <row r="47" spans="1:3" ht="15.75" customHeight="1" x14ac:dyDescent="0.25">
      <c r="A47" s="2" t="s">
        <v>119</v>
      </c>
      <c r="B47" s="2" cm="1">
        <f t="array" ref="B47">alea_int(100,6,Settings!$B$16)</f>
        <v>49</v>
      </c>
      <c r="C47" t="str" cm="1">
        <f t="array" ref="C47">choice(Referentiel!F:F,5,Settings!$B$16)</f>
        <v>ordinateur,fenetre,fenetre,pupitre,pupitre</v>
      </c>
    </row>
    <row r="48" spans="1:3" ht="15.75" customHeight="1" x14ac:dyDescent="0.25">
      <c r="A48" s="2" t="s">
        <v>120</v>
      </c>
      <c r="B48" s="2" cm="1">
        <f t="array" ref="B48">alea_int(100,6,Settings!$B$16)</f>
        <v>74</v>
      </c>
      <c r="C48" t="str" cm="1">
        <f t="array" ref="C48">choice(Referentiel!F:F,5,Settings!$B$16)</f>
        <v>fenetre,tablette,fenetre,tablette,tablette</v>
      </c>
    </row>
    <row r="49" spans="1:3" ht="15.75" customHeight="1" x14ac:dyDescent="0.25">
      <c r="A49" s="2" t="s">
        <v>121</v>
      </c>
      <c r="B49" s="2" cm="1">
        <f t="array" ref="B49">alea_int(100,6,Settings!$B$16)</f>
        <v>48</v>
      </c>
      <c r="C49" t="str" cm="1">
        <f t="array" ref="C49">choice(Referentiel!F:F,5,Settings!$B$16)</f>
        <v>tablette,projecteur,projecteur,projecteur,tablette</v>
      </c>
    </row>
    <row r="50" spans="1:3" ht="15.75" customHeight="1" x14ac:dyDescent="0.25">
      <c r="A50" s="2" t="s">
        <v>122</v>
      </c>
      <c r="B50" s="2" cm="1">
        <f t="array" ref="B50">alea_int(100,6,Settings!$B$16)</f>
        <v>70</v>
      </c>
      <c r="C50" t="str" cm="1">
        <f t="array" ref="C50">choice(Referentiel!F:F,5,Settings!$B$16)</f>
        <v>tablette,tablette,ordinateur,pupitre,projecteur</v>
      </c>
    </row>
    <row r="51" spans="1:3" ht="15.75" customHeight="1" x14ac:dyDescent="0.25">
      <c r="A51" s="2" t="s">
        <v>123</v>
      </c>
      <c r="B51" s="2" cm="1">
        <f t="array" ref="B51">alea_int(100,6,Settings!$B$16)</f>
        <v>44</v>
      </c>
      <c r="C51" t="str" cm="1">
        <f t="array" ref="C51">choice(Referentiel!F:F,5,Settings!$B$16)</f>
        <v>pupitre,pupitre,tablette,pupitre,pupitre</v>
      </c>
    </row>
    <row r="52" spans="1:3" ht="15.75" customHeight="1" x14ac:dyDescent="0.25">
      <c r="A52" s="2" t="s">
        <v>334</v>
      </c>
      <c r="B52" s="2" cm="1">
        <f t="array" ref="B52">alea_int(100,6,Settings!$B$16)</f>
        <v>81</v>
      </c>
      <c r="C52" t="str" cm="1">
        <f t="array" ref="C52">choice(Referentiel!F:F,5,Settings!$B$16)</f>
        <v>ordinateur,ordinateur,tablette,fenetre,projecteur</v>
      </c>
    </row>
    <row r="53" spans="1:3" ht="15.75" customHeight="1" x14ac:dyDescent="0.25">
      <c r="A53" s="2" t="s">
        <v>335</v>
      </c>
      <c r="B53" s="2" cm="1">
        <f t="array" ref="B53">alea_int(100,6,Settings!$B$16)</f>
        <v>16</v>
      </c>
      <c r="C53" t="str" cm="1">
        <f t="array" ref="C53">choice(Referentiel!F:F,5,Settings!$B$16)</f>
        <v>pupitre,pupitre,ordinateur,pupitre,tablette</v>
      </c>
    </row>
    <row r="54" spans="1:3" ht="15.75" customHeight="1" x14ac:dyDescent="0.25">
      <c r="A54" s="2" t="s">
        <v>336</v>
      </c>
      <c r="B54" s="2" cm="1">
        <f t="array" ref="B54">alea_int(100,6,Settings!$B$16)</f>
        <v>96</v>
      </c>
      <c r="C54" t="str" cm="1">
        <f t="array" ref="C54">choice(Referentiel!F:F,5,Settings!$B$16)</f>
        <v>ordinateur,ordinateur,projecteur,ordinateur,fenetre</v>
      </c>
    </row>
    <row r="55" spans="1:3" ht="15.75" customHeight="1" x14ac:dyDescent="0.25">
      <c r="A55" s="2" t="s">
        <v>337</v>
      </c>
      <c r="B55" s="2" cm="1">
        <f t="array" ref="B55">alea_int(100,6,Settings!$B$16)</f>
        <v>44</v>
      </c>
      <c r="C55" t="str" cm="1">
        <f t="array" ref="C55">choice(Referentiel!F:F,5,Settings!$B$16)</f>
        <v>projecteur,fenetre,projecteur,projecteur,tablette</v>
      </c>
    </row>
    <row r="56" spans="1:3" ht="15.75" customHeight="1" x14ac:dyDescent="0.25">
      <c r="A56" s="2" t="s">
        <v>338</v>
      </c>
      <c r="B56" s="2" cm="1">
        <f t="array" ref="B56">alea_int(100,6,Settings!$B$16)</f>
        <v>105</v>
      </c>
      <c r="C56" t="str" cm="1">
        <f t="array" ref="C56">choice(Referentiel!F:F,5,Settings!$B$16)</f>
        <v>pupitre,fenetre,fenetre,ordinateur,projecteur</v>
      </c>
    </row>
    <row r="57" spans="1:3" ht="15.75" customHeight="1" x14ac:dyDescent="0.25">
      <c r="A57" s="2" t="s">
        <v>339</v>
      </c>
      <c r="B57" s="2" cm="1">
        <f t="array" ref="B57">alea_int(100,6,Settings!$B$16)</f>
        <v>101</v>
      </c>
      <c r="C57" t="str" cm="1">
        <f t="array" ref="C57">choice(Referentiel!F:F,5,Settings!$B$16)</f>
        <v>fenetre,projecteur,projecteur,fenetre,projecteur</v>
      </c>
    </row>
    <row r="58" spans="1:3" ht="15.75" customHeight="1" x14ac:dyDescent="0.25">
      <c r="A58" s="2" t="s">
        <v>340</v>
      </c>
      <c r="B58" s="2" cm="1">
        <f t="array" ref="B58">alea_int(100,6,Settings!$B$16)</f>
        <v>90</v>
      </c>
      <c r="C58" t="str" cm="1">
        <f t="array" ref="C58">choice(Referentiel!F:F,5,Settings!$B$16)</f>
        <v>pupitre,ordinateur,pupitre,pupitre,pupitre</v>
      </c>
    </row>
    <row r="59" spans="1:3" ht="15.75" customHeight="1" x14ac:dyDescent="0.25">
      <c r="A59" s="2" t="s">
        <v>341</v>
      </c>
      <c r="B59" s="2" cm="1">
        <f t="array" ref="B59">alea_int(100,6,Settings!$B$16)</f>
        <v>89</v>
      </c>
      <c r="C59" t="str" cm="1">
        <f t="array" ref="C59">choice(Referentiel!F:F,5,Settings!$B$16)</f>
        <v>pupitre,tablette,ordinateur,fenetre,ordinateur</v>
      </c>
    </row>
    <row r="60" spans="1:3" ht="15.75" customHeight="1" x14ac:dyDescent="0.25">
      <c r="A60" s="2" t="s">
        <v>342</v>
      </c>
      <c r="B60" s="2" cm="1">
        <f t="array" ref="B60">alea_int(100,6,Settings!$B$16)</f>
        <v>78</v>
      </c>
      <c r="C60" t="str" cm="1">
        <f t="array" ref="C60">choice(Referentiel!F:F,5,Settings!$B$16)</f>
        <v>ordinateur,fenetre,pupitre,pupitre,ordinateur</v>
      </c>
    </row>
    <row r="61" spans="1:3" ht="15.75" customHeight="1" x14ac:dyDescent="0.25">
      <c r="A61" s="2" t="s">
        <v>343</v>
      </c>
      <c r="B61" s="2" cm="1">
        <f t="array" ref="B61">alea_int(100,6,Settings!$B$16)</f>
        <v>31</v>
      </c>
      <c r="C61" t="str" cm="1">
        <f t="array" ref="C61">choice(Referentiel!F:F,5,Settings!$B$16)</f>
        <v>ordinateur,pupitre,pupitre,ordinateur,pupitre</v>
      </c>
    </row>
    <row r="62" spans="1:3" ht="15.75" customHeight="1" x14ac:dyDescent="0.25">
      <c r="A62" s="2" t="s">
        <v>344</v>
      </c>
      <c r="B62" s="2" cm="1">
        <f t="array" ref="B62">alea_int(100,6,Settings!$B$16)</f>
        <v>88</v>
      </c>
      <c r="C62" t="str" cm="1">
        <f t="array" ref="C62">choice(Referentiel!F:F,5,Settings!$B$16)</f>
        <v>ordinateur,tablette,pupitre,pupitre,fenetre</v>
      </c>
    </row>
    <row r="63" spans="1:3" ht="15.75" customHeight="1" x14ac:dyDescent="0.25">
      <c r="A63" s="2" t="s">
        <v>345</v>
      </c>
      <c r="B63" s="2" cm="1">
        <f t="array" ref="B63">alea_int(100,6,Settings!$B$16)</f>
        <v>89</v>
      </c>
      <c r="C63" t="str" cm="1">
        <f t="array" ref="C63">choice(Referentiel!F:F,5,Settings!$B$16)</f>
        <v>pupitre,fenetre,pupitre,fenetre,pupitre</v>
      </c>
    </row>
    <row r="64" spans="1:3" ht="15.75" customHeight="1" x14ac:dyDescent="0.25">
      <c r="A64" s="2" t="s">
        <v>346</v>
      </c>
      <c r="B64" s="2" cm="1">
        <f t="array" ref="B64">alea_int(100,6,Settings!$B$16)</f>
        <v>15</v>
      </c>
      <c r="C64" t="str" cm="1">
        <f t="array" ref="C64">choice(Referentiel!F:F,5,Settings!$B$16)</f>
        <v>pupitre,pupitre,ordinateur,fenetre,ordinateur</v>
      </c>
    </row>
    <row r="65" spans="1:3" ht="15.75" customHeight="1" x14ac:dyDescent="0.25">
      <c r="A65" s="2" t="s">
        <v>347</v>
      </c>
      <c r="B65" s="2" cm="1">
        <f t="array" ref="B65">alea_int(100,6,Settings!$B$16)</f>
        <v>57</v>
      </c>
      <c r="C65" t="str" cm="1">
        <f t="array" ref="C65">choice(Referentiel!F:F,5,Settings!$B$16)</f>
        <v>projecteur,pupitre,ordinateur,projecteur,projecteur</v>
      </c>
    </row>
    <row r="66" spans="1:3" ht="15.75" customHeight="1" x14ac:dyDescent="0.25">
      <c r="A66" s="2" t="s">
        <v>348</v>
      </c>
      <c r="B66" s="2" cm="1">
        <f t="array" ref="B66">alea_int(100,6,Settings!$B$16)</f>
        <v>93</v>
      </c>
      <c r="C66" t="str" cm="1">
        <f t="array" ref="C66">choice(Referentiel!F:F,5,Settings!$B$16)</f>
        <v>tablette,tablette,tablette,projecteur,tablette</v>
      </c>
    </row>
    <row r="67" spans="1:3" ht="15.75" customHeight="1" x14ac:dyDescent="0.25">
      <c r="A67" s="2" t="s">
        <v>349</v>
      </c>
      <c r="B67" s="2" cm="1">
        <f t="array" ref="B67">alea_int(100,6,Settings!$B$16)</f>
        <v>49</v>
      </c>
      <c r="C67" t="str" cm="1">
        <f t="array" ref="C67">choice(Referentiel!F:F,5,Settings!$B$16)</f>
        <v>fenetre,ordinateur,projecteur,pupitre,projecteur</v>
      </c>
    </row>
    <row r="68" spans="1:3" ht="15.75" customHeight="1" x14ac:dyDescent="0.25">
      <c r="A68" s="2" t="s">
        <v>350</v>
      </c>
      <c r="B68" s="2" cm="1">
        <f t="array" ref="B68">alea_int(100,6,Settings!$B$16)</f>
        <v>75</v>
      </c>
      <c r="C68" t="str" cm="1">
        <f t="array" ref="C68">choice(Referentiel!F:F,5,Settings!$B$16)</f>
        <v>pupitre,ordinateur,projecteur,pupitre,pupitre</v>
      </c>
    </row>
    <row r="69" spans="1:3" ht="15.75" customHeight="1" x14ac:dyDescent="0.25">
      <c r="A69" s="2" t="s">
        <v>351</v>
      </c>
      <c r="B69" s="2" cm="1">
        <f t="array" ref="B69">alea_int(100,6,Settings!$B$16)</f>
        <v>41</v>
      </c>
      <c r="C69" t="str" cm="1">
        <f t="array" ref="C69">choice(Referentiel!F:F,5,Settings!$B$16)</f>
        <v>fenetre,pupitre,fenetre,projecteur,pupitre</v>
      </c>
    </row>
    <row r="70" spans="1:3" ht="15.75" customHeight="1" x14ac:dyDescent="0.25">
      <c r="A70" s="2" t="s">
        <v>352</v>
      </c>
      <c r="B70" s="2" cm="1">
        <f t="array" ref="B70">alea_int(100,6,Settings!$B$16)</f>
        <v>57</v>
      </c>
      <c r="C70" t="str" cm="1">
        <f t="array" ref="C70">choice(Referentiel!F:F,5,Settings!$B$16)</f>
        <v>fenetre,tablette,ordinateur,ordinateur,tablette</v>
      </c>
    </row>
    <row r="71" spans="1:3" ht="15.75" customHeight="1" x14ac:dyDescent="0.25">
      <c r="A71" s="2" t="s">
        <v>353</v>
      </c>
      <c r="B71" s="2" cm="1">
        <f t="array" ref="B71">alea_int(100,6,Settings!$B$16)</f>
        <v>33</v>
      </c>
      <c r="C71" t="str" cm="1">
        <f t="array" ref="C71">choice(Referentiel!F:F,5,Settings!$B$16)</f>
        <v>ordinateur,ordinateur,projecteur,tablette,projecteur</v>
      </c>
    </row>
    <row r="72" spans="1:3" ht="15.75" customHeight="1" x14ac:dyDescent="0.25">
      <c r="A72" s="2"/>
      <c r="B72" s="2"/>
    </row>
    <row r="73" spans="1:3" ht="15.75" customHeight="1" x14ac:dyDescent="0.25">
      <c r="A73" s="2"/>
      <c r="B73" s="2"/>
    </row>
    <row r="74" spans="1:3" ht="15.75" customHeight="1" x14ac:dyDescent="0.25">
      <c r="A74" s="2"/>
      <c r="B74" s="2"/>
    </row>
    <row r="75" spans="1:3" ht="15.75" customHeight="1" x14ac:dyDescent="0.25">
      <c r="A75" s="2"/>
      <c r="B75" s="2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6</xdr:col>
                    <xdr:colOff>472440</xdr:colOff>
                    <xdr:row>38</xdr:row>
                    <xdr:rowOff>60960</xdr:rowOff>
                  </from>
                  <to>
                    <xdr:col>8</xdr:col>
                    <xdr:colOff>655320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5" zoomScale="145" zoomScaleNormal="145" workbookViewId="0">
      <selection activeCell="A56" sqref="A56:B56"/>
    </sheetView>
  </sheetViews>
  <sheetFormatPr baseColWidth="10" defaultColWidth="12.6640625" defaultRowHeight="15.75" customHeight="1" x14ac:dyDescent="0.25"/>
  <sheetData>
    <row r="1" spans="1:26" ht="15.75" customHeight="1" x14ac:dyDescent="0.2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>
        <f t="shared" ref="A2:A3" si="0">B2</f>
        <v>Prof1</v>
      </c>
      <c r="B2" s="2" t="s">
        <v>2</v>
      </c>
    </row>
    <row r="3" spans="1:26" ht="15.75" customHeight="1" x14ac:dyDescent="0.25">
      <c r="A3" s="2" t="str">
        <f t="shared" si="0"/>
        <v>Prof2</v>
      </c>
      <c r="B3" s="2" t="s">
        <v>3</v>
      </c>
    </row>
    <row r="4" spans="1:26" ht="15.75" customHeight="1" x14ac:dyDescent="0.25">
      <c r="A4" s="2" t="str">
        <f t="shared" ref="A4:A5" si="1">B4</f>
        <v>Prof3</v>
      </c>
      <c r="B4" s="2" t="s">
        <v>19</v>
      </c>
    </row>
    <row r="5" spans="1:26" ht="15.75" customHeight="1" x14ac:dyDescent="0.25">
      <c r="A5" s="2" t="str">
        <f t="shared" si="1"/>
        <v>Prof4</v>
      </c>
      <c r="B5" s="2" t="s">
        <v>20</v>
      </c>
    </row>
    <row r="6" spans="1:26" ht="15.75" customHeight="1" x14ac:dyDescent="0.25">
      <c r="A6" s="2" t="str">
        <f t="shared" ref="A6:A9" si="2">B6</f>
        <v>Prof5</v>
      </c>
      <c r="B6" s="2" t="s">
        <v>21</v>
      </c>
    </row>
    <row r="7" spans="1:26" ht="15.75" customHeight="1" x14ac:dyDescent="0.25">
      <c r="A7" s="2" t="str">
        <f t="shared" si="2"/>
        <v>Prof6</v>
      </c>
      <c r="B7" s="2" t="s">
        <v>22</v>
      </c>
    </row>
    <row r="8" spans="1:26" ht="15.75" customHeight="1" x14ac:dyDescent="0.25">
      <c r="A8" s="2" t="str">
        <f t="shared" si="2"/>
        <v>Prof7</v>
      </c>
      <c r="B8" s="2" t="s">
        <v>23</v>
      </c>
    </row>
    <row r="9" spans="1:26" ht="15.75" customHeight="1" x14ac:dyDescent="0.25">
      <c r="A9" s="2" t="str">
        <f t="shared" si="2"/>
        <v>Prof8</v>
      </c>
      <c r="B9" s="2" t="s">
        <v>24</v>
      </c>
    </row>
    <row r="10" spans="1:26" ht="15.75" customHeight="1" x14ac:dyDescent="0.25">
      <c r="A10" s="2" t="str">
        <f t="shared" ref="A10" si="3">B10</f>
        <v>Prof9</v>
      </c>
      <c r="B10" s="2" t="s">
        <v>25</v>
      </c>
    </row>
    <row r="11" spans="1:26" ht="15.75" customHeight="1" x14ac:dyDescent="0.25">
      <c r="A11" s="2" t="str">
        <f t="shared" ref="A11" si="4">B11</f>
        <v>Prof10</v>
      </c>
      <c r="B11" s="2" t="s">
        <v>26</v>
      </c>
    </row>
    <row r="12" spans="1:26" ht="15.75" customHeight="1" x14ac:dyDescent="0.25">
      <c r="A12" s="2" t="str">
        <f t="shared" ref="A12:A21" si="5">B12</f>
        <v>Prof11</v>
      </c>
      <c r="B12" s="2" t="s">
        <v>48</v>
      </c>
    </row>
    <row r="13" spans="1:26" ht="15.75" customHeight="1" x14ac:dyDescent="0.25">
      <c r="A13" s="2" t="str">
        <f t="shared" si="5"/>
        <v>Prof12</v>
      </c>
      <c r="B13" s="2" t="s">
        <v>49</v>
      </c>
    </row>
    <row r="14" spans="1:26" ht="15.75" customHeight="1" x14ac:dyDescent="0.25">
      <c r="A14" s="2" t="str">
        <f t="shared" si="5"/>
        <v>Prof13</v>
      </c>
      <c r="B14" s="2" t="s">
        <v>50</v>
      </c>
    </row>
    <row r="15" spans="1:26" ht="15.75" customHeight="1" x14ac:dyDescent="0.25">
      <c r="A15" s="2" t="str">
        <f t="shared" si="5"/>
        <v>Prof14</v>
      </c>
      <c r="B15" s="2" t="s">
        <v>51</v>
      </c>
    </row>
    <row r="16" spans="1:26" ht="15.75" customHeight="1" x14ac:dyDescent="0.25">
      <c r="A16" s="2" t="str">
        <f t="shared" si="5"/>
        <v>Prof15</v>
      </c>
      <c r="B16" s="2" t="s">
        <v>52</v>
      </c>
    </row>
    <row r="17" spans="1:2" ht="15.75" customHeight="1" x14ac:dyDescent="0.25">
      <c r="A17" s="2" t="str">
        <f t="shared" si="5"/>
        <v>Prof16</v>
      </c>
      <c r="B17" s="2" t="s">
        <v>53</v>
      </c>
    </row>
    <row r="18" spans="1:2" ht="15.75" customHeight="1" x14ac:dyDescent="0.25">
      <c r="A18" s="2" t="str">
        <f t="shared" si="5"/>
        <v>Prof17</v>
      </c>
      <c r="B18" s="2" t="s">
        <v>54</v>
      </c>
    </row>
    <row r="19" spans="1:2" ht="15.75" customHeight="1" x14ac:dyDescent="0.25">
      <c r="A19" s="2" t="str">
        <f t="shared" si="5"/>
        <v>Prof18</v>
      </c>
      <c r="B19" s="2" t="s">
        <v>55</v>
      </c>
    </row>
    <row r="20" spans="1:2" ht="15.75" customHeight="1" x14ac:dyDescent="0.25">
      <c r="A20" s="2" t="str">
        <f t="shared" si="5"/>
        <v>Prof19</v>
      </c>
      <c r="B20" s="2" t="s">
        <v>56</v>
      </c>
    </row>
    <row r="21" spans="1:2" ht="15.75" customHeight="1" x14ac:dyDescent="0.25">
      <c r="A21" s="2" t="str">
        <f t="shared" si="5"/>
        <v>Prof20</v>
      </c>
      <c r="B21" s="2" t="s">
        <v>57</v>
      </c>
    </row>
    <row r="22" spans="1:2" ht="15.75" customHeight="1" x14ac:dyDescent="0.25">
      <c r="A22" s="2" t="str">
        <f t="shared" ref="A22:A41" si="6">B22</f>
        <v>Prof21</v>
      </c>
      <c r="B22" s="2" t="s">
        <v>266</v>
      </c>
    </row>
    <row r="23" spans="1:2" ht="15.75" customHeight="1" x14ac:dyDescent="0.25">
      <c r="A23" s="2" t="str">
        <f t="shared" si="6"/>
        <v>Prof22</v>
      </c>
      <c r="B23" s="2" t="s">
        <v>267</v>
      </c>
    </row>
    <row r="24" spans="1:2" ht="15.75" customHeight="1" x14ac:dyDescent="0.25">
      <c r="A24" s="2" t="str">
        <f t="shared" si="6"/>
        <v>Prof23</v>
      </c>
      <c r="B24" s="2" t="s">
        <v>268</v>
      </c>
    </row>
    <row r="25" spans="1:2" ht="15.75" customHeight="1" x14ac:dyDescent="0.25">
      <c r="A25" s="2" t="str">
        <f t="shared" si="6"/>
        <v>Prof24</v>
      </c>
      <c r="B25" s="2" t="s">
        <v>269</v>
      </c>
    </row>
    <row r="26" spans="1:2" ht="15.75" customHeight="1" x14ac:dyDescent="0.25">
      <c r="A26" s="2" t="str">
        <f t="shared" si="6"/>
        <v>Prof25</v>
      </c>
      <c r="B26" s="2" t="s">
        <v>270</v>
      </c>
    </row>
    <row r="27" spans="1:2" ht="15.75" customHeight="1" x14ac:dyDescent="0.25">
      <c r="A27" s="2" t="str">
        <f t="shared" si="6"/>
        <v>Prof26</v>
      </c>
      <c r="B27" s="2" t="s">
        <v>271</v>
      </c>
    </row>
    <row r="28" spans="1:2" ht="15.75" customHeight="1" x14ac:dyDescent="0.25">
      <c r="A28" s="2" t="str">
        <f t="shared" si="6"/>
        <v>Prof27</v>
      </c>
      <c r="B28" s="2" t="s">
        <v>272</v>
      </c>
    </row>
    <row r="29" spans="1:2" ht="15.75" customHeight="1" x14ac:dyDescent="0.25">
      <c r="A29" s="2" t="str">
        <f t="shared" si="6"/>
        <v>Prof28</v>
      </c>
      <c r="B29" s="2" t="s">
        <v>273</v>
      </c>
    </row>
    <row r="30" spans="1:2" ht="15.75" customHeight="1" x14ac:dyDescent="0.25">
      <c r="A30" s="2" t="str">
        <f t="shared" si="6"/>
        <v>Prof29</v>
      </c>
      <c r="B30" s="2" t="s">
        <v>274</v>
      </c>
    </row>
    <row r="31" spans="1:2" ht="15.75" customHeight="1" x14ac:dyDescent="0.25">
      <c r="A31" s="2" t="str">
        <f t="shared" si="6"/>
        <v>Prof30</v>
      </c>
      <c r="B31" s="2" t="s">
        <v>275</v>
      </c>
    </row>
    <row r="32" spans="1:2" ht="15.75" customHeight="1" x14ac:dyDescent="0.25">
      <c r="A32" s="2" t="str">
        <f t="shared" si="6"/>
        <v>Prof31</v>
      </c>
      <c r="B32" s="2" t="s">
        <v>276</v>
      </c>
    </row>
    <row r="33" spans="1:2" ht="15.75" customHeight="1" x14ac:dyDescent="0.25">
      <c r="A33" s="2" t="str">
        <f t="shared" si="6"/>
        <v>Prof32</v>
      </c>
      <c r="B33" s="2" t="s">
        <v>277</v>
      </c>
    </row>
    <row r="34" spans="1:2" ht="15.75" customHeight="1" x14ac:dyDescent="0.25">
      <c r="A34" s="2" t="str">
        <f t="shared" si="6"/>
        <v>Prof33</v>
      </c>
      <c r="B34" s="2" t="s">
        <v>278</v>
      </c>
    </row>
    <row r="35" spans="1:2" ht="15.75" customHeight="1" x14ac:dyDescent="0.25">
      <c r="A35" s="2" t="str">
        <f t="shared" si="6"/>
        <v>Prof34</v>
      </c>
      <c r="B35" s="2" t="s">
        <v>279</v>
      </c>
    </row>
    <row r="36" spans="1:2" ht="15.75" customHeight="1" x14ac:dyDescent="0.25">
      <c r="A36" s="2" t="str">
        <f t="shared" si="6"/>
        <v>Prof35</v>
      </c>
      <c r="B36" s="2" t="s">
        <v>280</v>
      </c>
    </row>
    <row r="37" spans="1:2" ht="15.75" customHeight="1" x14ac:dyDescent="0.25">
      <c r="A37" s="2" t="str">
        <f t="shared" si="6"/>
        <v>Prof36</v>
      </c>
      <c r="B37" s="2" t="s">
        <v>281</v>
      </c>
    </row>
    <row r="38" spans="1:2" ht="15.75" customHeight="1" x14ac:dyDescent="0.25">
      <c r="A38" s="2" t="str">
        <f t="shared" si="6"/>
        <v>Prof37</v>
      </c>
      <c r="B38" s="2" t="s">
        <v>282</v>
      </c>
    </row>
    <row r="39" spans="1:2" ht="15.75" customHeight="1" x14ac:dyDescent="0.25">
      <c r="A39" s="2" t="str">
        <f t="shared" si="6"/>
        <v>Prof38</v>
      </c>
      <c r="B39" s="2" t="s">
        <v>283</v>
      </c>
    </row>
    <row r="40" spans="1:2" ht="15.75" customHeight="1" x14ac:dyDescent="0.25">
      <c r="A40" s="2" t="str">
        <f t="shared" si="6"/>
        <v>Prof39</v>
      </c>
      <c r="B40" s="2" t="s">
        <v>284</v>
      </c>
    </row>
    <row r="41" spans="1:2" ht="15.75" customHeight="1" x14ac:dyDescent="0.25">
      <c r="A41" s="2" t="str">
        <f t="shared" si="6"/>
        <v>Prof40</v>
      </c>
      <c r="B41" s="2" t="s">
        <v>285</v>
      </c>
    </row>
    <row r="42" spans="1:2" ht="15.75" customHeight="1" x14ac:dyDescent="0.25">
      <c r="A42" s="2" t="str">
        <f t="shared" ref="A42:A45" si="7">B42</f>
        <v>Prof41</v>
      </c>
      <c r="B42" s="2" t="s">
        <v>286</v>
      </c>
    </row>
    <row r="43" spans="1:2" ht="15.75" customHeight="1" x14ac:dyDescent="0.25">
      <c r="A43" s="2" t="str">
        <f t="shared" si="7"/>
        <v>Prof42</v>
      </c>
      <c r="B43" s="2" t="s">
        <v>287</v>
      </c>
    </row>
    <row r="44" spans="1:2" ht="15.75" customHeight="1" x14ac:dyDescent="0.25">
      <c r="A44" s="2" t="str">
        <f t="shared" si="7"/>
        <v>Prof43</v>
      </c>
      <c r="B44" s="2" t="s">
        <v>288</v>
      </c>
    </row>
    <row r="45" spans="1:2" ht="15.75" customHeight="1" x14ac:dyDescent="0.25">
      <c r="A45" s="2" t="str">
        <f t="shared" si="7"/>
        <v>Prof44</v>
      </c>
      <c r="B45" s="2" t="s">
        <v>289</v>
      </c>
    </row>
    <row r="46" spans="1:2" ht="15.75" customHeight="1" x14ac:dyDescent="0.25">
      <c r="A46" s="2" t="str">
        <f t="shared" ref="A46:A56" si="8">B46</f>
        <v>Prof45</v>
      </c>
      <c r="B46" s="2" t="s">
        <v>312</v>
      </c>
    </row>
    <row r="47" spans="1:2" ht="15.75" customHeight="1" x14ac:dyDescent="0.25">
      <c r="A47" s="2" t="str">
        <f t="shared" si="8"/>
        <v>Prof46</v>
      </c>
      <c r="B47" s="2" t="s">
        <v>313</v>
      </c>
    </row>
    <row r="48" spans="1:2" ht="15.75" customHeight="1" x14ac:dyDescent="0.25">
      <c r="A48" s="2" t="str">
        <f t="shared" si="8"/>
        <v>Prof47</v>
      </c>
      <c r="B48" s="2" t="s">
        <v>314</v>
      </c>
    </row>
    <row r="49" spans="1:2" ht="15.75" customHeight="1" x14ac:dyDescent="0.25">
      <c r="A49" s="2" t="str">
        <f t="shared" si="8"/>
        <v>Prof48</v>
      </c>
      <c r="B49" s="2" t="s">
        <v>315</v>
      </c>
    </row>
    <row r="50" spans="1:2" ht="15.75" customHeight="1" x14ac:dyDescent="0.25">
      <c r="A50" s="2" t="str">
        <f t="shared" si="8"/>
        <v>Prof49</v>
      </c>
      <c r="B50" s="2" t="s">
        <v>316</v>
      </c>
    </row>
    <row r="51" spans="1:2" ht="15.75" customHeight="1" x14ac:dyDescent="0.25">
      <c r="A51" s="2" t="str">
        <f t="shared" si="8"/>
        <v>Prof50</v>
      </c>
      <c r="B51" s="2" t="s">
        <v>317</v>
      </c>
    </row>
    <row r="52" spans="1:2" ht="15.75" customHeight="1" x14ac:dyDescent="0.25">
      <c r="A52" s="2" t="str">
        <f t="shared" si="8"/>
        <v>Prof51</v>
      </c>
      <c r="B52" s="2" t="s">
        <v>318</v>
      </c>
    </row>
    <row r="53" spans="1:2" ht="15.75" customHeight="1" x14ac:dyDescent="0.25">
      <c r="A53" s="2" t="str">
        <f t="shared" si="8"/>
        <v>Prof52</v>
      </c>
      <c r="B53" s="2" t="s">
        <v>319</v>
      </c>
    </row>
    <row r="54" spans="1:2" ht="15.75" customHeight="1" x14ac:dyDescent="0.25">
      <c r="A54" s="2" t="str">
        <f t="shared" si="8"/>
        <v>Prof53</v>
      </c>
      <c r="B54" s="2" t="s">
        <v>320</v>
      </c>
    </row>
    <row r="55" spans="1:2" ht="15.75" customHeight="1" x14ac:dyDescent="0.25">
      <c r="A55" s="2" t="str">
        <f t="shared" si="8"/>
        <v>Prof54</v>
      </c>
      <c r="B55" s="2" t="s">
        <v>321</v>
      </c>
    </row>
    <row r="56" spans="1:2" ht="15.75" customHeight="1" x14ac:dyDescent="0.25">
      <c r="A56" s="2" t="str">
        <f t="shared" si="8"/>
        <v>Prof55</v>
      </c>
      <c r="B56" s="2" t="s">
        <v>322</v>
      </c>
    </row>
    <row r="57" spans="1:2" ht="15.75" customHeight="1" x14ac:dyDescent="0.25">
      <c r="A57" s="2"/>
      <c r="B57" s="2"/>
    </row>
    <row r="58" spans="1:2" ht="15.75" customHeight="1" x14ac:dyDescent="0.25">
      <c r="A58" s="2"/>
      <c r="B58" s="2"/>
    </row>
    <row r="59" spans="1:2" ht="15.75" customHeight="1" x14ac:dyDescent="0.25">
      <c r="A59" s="2"/>
      <c r="B59" s="2"/>
    </row>
    <row r="60" spans="1:2" ht="15.75" customHeight="1" x14ac:dyDescent="0.25">
      <c r="A60" s="2"/>
      <c r="B60" s="2"/>
    </row>
    <row r="61" spans="1:2" ht="15.75" customHeight="1" x14ac:dyDescent="0.25">
      <c r="A61" s="2"/>
      <c r="B61" s="2"/>
    </row>
    <row r="62" spans="1:2" ht="15.75" customHeight="1" x14ac:dyDescent="0.25">
      <c r="A62" s="2"/>
      <c r="B62" s="2"/>
    </row>
    <row r="63" spans="1:2" ht="15.75" customHeight="1" x14ac:dyDescent="0.25">
      <c r="A63" s="2"/>
      <c r="B63" s="2"/>
    </row>
    <row r="64" spans="1:2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  <row r="76" spans="1:2" ht="15.75" customHeight="1" x14ac:dyDescent="0.25">
      <c r="A76" s="2"/>
      <c r="B76" s="2"/>
    </row>
    <row r="77" spans="1:2" ht="15.75" customHeight="1" x14ac:dyDescent="0.25">
      <c r="A77" s="2"/>
      <c r="B77" s="2"/>
    </row>
    <row r="78" spans="1:2" ht="15.75" customHeight="1" x14ac:dyDescent="0.25">
      <c r="A78" s="2"/>
      <c r="B78" s="2"/>
    </row>
    <row r="79" spans="1:2" ht="15.75" customHeight="1" x14ac:dyDescent="0.25">
      <c r="A79" s="2"/>
      <c r="B79" s="2"/>
    </row>
    <row r="80" spans="1:2" ht="15.75" customHeight="1" x14ac:dyDescent="0.25">
      <c r="A80" s="2"/>
      <c r="B80" s="2"/>
    </row>
    <row r="81" spans="1:2" ht="15.75" customHeight="1" x14ac:dyDescent="0.25">
      <c r="A81" s="2"/>
      <c r="B81" s="2"/>
    </row>
    <row r="82" spans="1:2" ht="15.75" customHeight="1" x14ac:dyDescent="0.25">
      <c r="A82" s="2"/>
      <c r="B82" s="2"/>
    </row>
    <row r="83" spans="1:2" ht="15.75" customHeight="1" x14ac:dyDescent="0.25">
      <c r="A83" s="2"/>
      <c r="B83" s="2"/>
    </row>
    <row r="84" spans="1:2" ht="15.75" customHeight="1" x14ac:dyDescent="0.25">
      <c r="A84" s="2"/>
      <c r="B84" s="2"/>
    </row>
    <row r="85" spans="1:2" ht="15.75" customHeight="1" x14ac:dyDescent="0.25">
      <c r="A85" s="2"/>
      <c r="B85" s="2"/>
    </row>
    <row r="86" spans="1:2" ht="15.75" customHeight="1" x14ac:dyDescent="0.25">
      <c r="A86" s="2"/>
      <c r="B86" s="2"/>
    </row>
    <row r="87" spans="1:2" ht="15.75" customHeight="1" x14ac:dyDescent="0.25">
      <c r="A87" s="2"/>
      <c r="B87" s="2"/>
    </row>
    <row r="88" spans="1:2" ht="15.75" customHeight="1" x14ac:dyDescent="0.25">
      <c r="A88" s="2"/>
      <c r="B88" s="2"/>
    </row>
    <row r="89" spans="1:2" ht="15.75" customHeight="1" x14ac:dyDescent="0.25">
      <c r="A89" s="2"/>
      <c r="B89" s="2"/>
    </row>
    <row r="90" spans="1:2" ht="15.75" customHeight="1" x14ac:dyDescent="0.25">
      <c r="A90" s="2"/>
      <c r="B90" s="2"/>
    </row>
    <row r="91" spans="1:2" ht="15.75" customHeight="1" x14ac:dyDescent="0.25">
      <c r="A91" s="2"/>
      <c r="B91" s="2"/>
    </row>
    <row r="92" spans="1:2" ht="15.75" customHeight="1" x14ac:dyDescent="0.25">
      <c r="A92" s="2"/>
      <c r="B92" s="2"/>
    </row>
    <row r="93" spans="1:2" ht="15.75" customHeight="1" x14ac:dyDescent="0.25">
      <c r="A93" s="2"/>
      <c r="B93" s="2"/>
    </row>
    <row r="94" spans="1:2" ht="15.75" customHeight="1" x14ac:dyDescent="0.25">
      <c r="A94" s="2"/>
      <c r="B94" s="2"/>
    </row>
    <row r="95" spans="1:2" ht="15.75" customHeight="1" x14ac:dyDescent="0.25">
      <c r="A95" s="2"/>
      <c r="B95" s="2"/>
    </row>
    <row r="96" spans="1:2" ht="15.75" customHeight="1" x14ac:dyDescent="0.25">
      <c r="A96" s="2"/>
      <c r="B96" s="2"/>
    </row>
    <row r="97" spans="1:2" ht="15.75" customHeight="1" x14ac:dyDescent="0.25">
      <c r="A97" s="2"/>
      <c r="B97" s="2"/>
    </row>
    <row r="98" spans="1:2" ht="15.75" customHeight="1" x14ac:dyDescent="0.25">
      <c r="A98" s="2"/>
      <c r="B98" s="2"/>
    </row>
    <row r="99" spans="1:2" ht="15.75" customHeight="1" x14ac:dyDescent="0.25">
      <c r="A99" s="2"/>
      <c r="B99" s="2"/>
    </row>
    <row r="100" spans="1:2" ht="15.75" customHeight="1" x14ac:dyDescent="0.25">
      <c r="A100" s="2"/>
      <c r="B100" s="2"/>
    </row>
    <row r="101" spans="1:2" ht="15.75" customHeight="1" x14ac:dyDescent="0.25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opLeftCell="A2287" zoomScale="130" zoomScaleNormal="130" workbookViewId="0">
      <selection activeCell="A2287" sqref="A2287"/>
    </sheetView>
  </sheetViews>
  <sheetFormatPr baseColWidth="10" defaultColWidth="12.6640625" defaultRowHeight="13.2" x14ac:dyDescent="0.25"/>
  <cols>
    <col min="1" max="1" width="10.33203125" customWidth="1"/>
    <col min="2" max="3" width="25.77734375" style="22" customWidth="1"/>
    <col min="4" max="4" width="15.21875" customWidth="1"/>
  </cols>
  <sheetData>
    <row r="1" spans="1:26" x14ac:dyDescent="0.25">
      <c r="A1" s="1" t="s">
        <v>0</v>
      </c>
      <c r="B1" s="21" t="s">
        <v>4</v>
      </c>
      <c r="C1" s="21" t="s">
        <v>5</v>
      </c>
      <c r="D1" s="1" t="s">
        <v>254</v>
      </c>
      <c r="E1" s="1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 t="str" cm="1">
        <f t="array" ref="A2">choice(Professeurs!A:A,1,Settings!$B$16)</f>
        <v>Prof3</v>
      </c>
      <c r="B2" s="3" cm="1">
        <f t="array" ref="B2">alea_date(Settings!$B$11,360,Settings!$B$8+alea_int(4,0,Settings!$B$16),Settings!$B$16)</f>
        <v>46249.416666666664</v>
      </c>
      <c r="C2" s="3" cm="1">
        <f t="array" ref="C2">B2+TIME(alea_int(5,1,Settings!$B$16),0,0)</f>
        <v>46249.625</v>
      </c>
      <c r="D2" s="3" t="str" cm="1">
        <f t="array" ref="D2">choice(Settings!K:K,1,Settings!$B$16)</f>
        <v/>
      </c>
      <c r="E2" s="23"/>
    </row>
    <row r="3" spans="1:26" x14ac:dyDescent="0.25">
      <c r="A3" s="2" t="str" cm="1">
        <f t="array" ref="A3">choice(Professeurs!A:A,1,Settings!$B$16)</f>
        <v>Prof10</v>
      </c>
      <c r="B3" s="3" cm="1">
        <f t="array" ref="B3">alea_date(Settings!$B$11,360,Settings!$B$8+alea_int(4,0,Settings!$B$16),Settings!$B$16)</f>
        <v>46025.375</v>
      </c>
      <c r="C3" s="3" cm="1">
        <f t="array" ref="C3">B3+TIME(alea_int(5,1,Settings!$B$16),0,0)</f>
        <v>46025.5</v>
      </c>
      <c r="D3" s="3" t="str" cm="1">
        <f t="array" ref="D3">choice(Settings!K:K,1,Settings!$B$16)</f>
        <v/>
      </c>
    </row>
    <row r="4" spans="1:26" x14ac:dyDescent="0.25">
      <c r="A4" s="2" t="str" cm="1">
        <f t="array" ref="A4">choice(Professeurs!A:A,1,Settings!$B$16)</f>
        <v>Prof18</v>
      </c>
      <c r="B4" s="3" cm="1">
        <f t="array" ref="B4">alea_date(Settings!$B$11,360,Settings!$B$8+alea_int(4,0,Settings!$B$16),Settings!$B$16)</f>
        <v>46062.333333333336</v>
      </c>
      <c r="C4" s="3" cm="1">
        <f t="array" ref="C4">B4+TIME(alea_int(5,1,Settings!$B$16),0,0)</f>
        <v>46062.416666666672</v>
      </c>
      <c r="D4" s="3" t="str" cm="1">
        <f t="array" ref="D4">choice(Settings!K:K,1,Settings!$B$16)</f>
        <v/>
      </c>
    </row>
    <row r="5" spans="1:26" x14ac:dyDescent="0.25">
      <c r="A5" s="2" t="str" cm="1">
        <f t="array" ref="A5">choice(Professeurs!A:A,1,Settings!$B$16)</f>
        <v>Prof27</v>
      </c>
      <c r="B5" s="3" cm="1">
        <f t="array" ref="B5">alea_date(Settings!$B$11,360,Settings!$B$8+alea_int(4,0,Settings!$B$16),Settings!$B$16)</f>
        <v>46376.416666666664</v>
      </c>
      <c r="C5" s="3" cm="1">
        <f t="array" ref="C5">B5+TIME(alea_int(5,1,Settings!$B$16),0,0)</f>
        <v>46376.583333333328</v>
      </c>
      <c r="D5" s="3" t="str" cm="1">
        <f t="array" ref="D5">choice(Settings!K:K,1,Settings!$B$16)</f>
        <v>mercredi pm</v>
      </c>
    </row>
    <row r="6" spans="1:26" x14ac:dyDescent="0.25">
      <c r="A6" s="2" t="str" cm="1">
        <f t="array" ref="A6">choice(Professeurs!A:A,1,Settings!$B$16)</f>
        <v>Prof39</v>
      </c>
      <c r="B6" s="3" cm="1">
        <f t="array" ref="B6">alea_date(Settings!$B$11,360,Settings!$B$8+alea_int(4,0,Settings!$B$16),Settings!$B$16)</f>
        <v>46347.416666666664</v>
      </c>
      <c r="C6" s="3" cm="1">
        <f t="array" ref="C6">B6+TIME(alea_int(5,1,Settings!$B$16),0,0)</f>
        <v>46347.583333333328</v>
      </c>
      <c r="D6" s="3" t="str" cm="1">
        <f t="array" ref="D6">choice(Settings!K:K,1,Settings!$B$16)</f>
        <v>jeudi am</v>
      </c>
    </row>
    <row r="7" spans="1:26" x14ac:dyDescent="0.25">
      <c r="A7" s="2" t="str" cm="1">
        <f t="array" ref="A7">choice(Professeurs!A:A,1,Settings!$B$16)</f>
        <v>Prof36</v>
      </c>
      <c r="B7" s="3" cm="1">
        <f t="array" ref="B7">alea_date(Settings!$B$11,360,Settings!$B$8+alea_int(4,0,Settings!$B$16),Settings!$B$16)</f>
        <v>46155.416666666664</v>
      </c>
      <c r="C7" s="3" cm="1">
        <f t="array" ref="C7">B7+TIME(alea_int(5,1,Settings!$B$16),0,0)</f>
        <v>46155.583333333328</v>
      </c>
      <c r="D7" s="3" t="str" cm="1">
        <f t="array" ref="D7">choice(Settings!K:K,1,Settings!$B$16)</f>
        <v>semaine</v>
      </c>
    </row>
    <row r="8" spans="1:26" x14ac:dyDescent="0.25">
      <c r="A8" s="2" t="str" cm="1">
        <f t="array" ref="A8">choice(Professeurs!A:A,1,Settings!$B$16)</f>
        <v>Prof51</v>
      </c>
      <c r="B8" s="3" cm="1">
        <f t="array" ref="B8">alea_date(Settings!$B$11,360,Settings!$B$8+alea_int(4,0,Settings!$B$16),Settings!$B$16)</f>
        <v>46266.416666666664</v>
      </c>
      <c r="C8" s="3" cm="1">
        <f t="array" ref="C8">B8+TIME(alea_int(5,1,Settings!$B$16),0,0)</f>
        <v>46266.583333333328</v>
      </c>
      <c r="D8" s="3" t="str" cm="1">
        <f t="array" ref="D8">choice(Settings!K:K,1,Settings!$B$16)</f>
        <v>mercredi pm</v>
      </c>
    </row>
    <row r="9" spans="1:26" x14ac:dyDescent="0.25">
      <c r="A9" s="2" t="str" cm="1">
        <f t="array" ref="A9">choice(Professeurs!A:A,1,Settings!$B$16)</f>
        <v>Prof17</v>
      </c>
      <c r="B9" s="3" cm="1">
        <f t="array" ref="B9">alea_date(Settings!$B$11,360,Settings!$B$8+alea_int(4,0,Settings!$B$16),Settings!$B$16)</f>
        <v>46256.458333333336</v>
      </c>
      <c r="C9" s="3" cm="1">
        <f t="array" ref="C9">B9+TIME(alea_int(5,1,Settings!$B$16),0,0)</f>
        <v>46256.541666666672</v>
      </c>
      <c r="D9" s="3" t="str" cm="1">
        <f t="array" ref="D9">choice(Settings!K:K,1,Settings!$B$16)</f>
        <v>mardi am</v>
      </c>
    </row>
    <row r="10" spans="1:26" x14ac:dyDescent="0.25">
      <c r="A10" s="2" t="str" cm="1">
        <f t="array" ref="A10">choice(Professeurs!A:A,1,Settings!$B$16)</f>
        <v>Prof18</v>
      </c>
      <c r="B10" s="3" cm="1">
        <f t="array" ref="B10">alea_date(Settings!$B$11,360,Settings!$B$8+alea_int(4,0,Settings!$B$16),Settings!$B$16)</f>
        <v>46348.375</v>
      </c>
      <c r="C10" s="3" cm="1">
        <f t="array" ref="C10">B10+TIME(alea_int(5,1,Settings!$B$16),0,0)</f>
        <v>46348.416666666664</v>
      </c>
      <c r="D10" s="3" t="str" cm="1">
        <f t="array" ref="D10">choice(Settings!K:K,1,Settings!$B$16)</f>
        <v/>
      </c>
    </row>
    <row r="11" spans="1:26" x14ac:dyDescent="0.25">
      <c r="A11" s="2" t="str" cm="1">
        <f t="array" ref="A11">choice(Professeurs!A:A,1,Settings!$B$16)</f>
        <v>Prof25</v>
      </c>
      <c r="B11" s="3" cm="1">
        <f t="array" ref="B11">alea_date(Settings!$B$11,360,Settings!$B$8+alea_int(4,0,Settings!$B$16),Settings!$B$16)</f>
        <v>46179.333333333336</v>
      </c>
      <c r="C11" s="3" cm="1">
        <f t="array" ref="C11">B11+TIME(alea_int(5,1,Settings!$B$16),0,0)</f>
        <v>46179.375</v>
      </c>
      <c r="D11" s="3" t="str" cm="1">
        <f t="array" ref="D11">choice(Settings!K:K,1,Settings!$B$16)</f>
        <v/>
      </c>
    </row>
    <row r="12" spans="1:26" x14ac:dyDescent="0.25">
      <c r="A12" s="2" t="str" cm="1">
        <f t="array" ref="A12">choice(Professeurs!A:A,1,Settings!$B$16)</f>
        <v>Prof29</v>
      </c>
      <c r="B12" s="3" cm="1">
        <f t="array" ref="B12">alea_date(Settings!$B$11,360,Settings!$B$8+alea_int(4,0,Settings!$B$16),Settings!$B$16)</f>
        <v>46186.333333333336</v>
      </c>
      <c r="C12" s="3" cm="1">
        <f t="array" ref="C12">B12+TIME(alea_int(5,1,Settings!$B$16),0,0)</f>
        <v>46186.458333333336</v>
      </c>
      <c r="D12" s="3" t="str" cm="1">
        <f t="array" ref="D12">choice(Settings!K:K,1,Settings!$B$16)</f>
        <v/>
      </c>
    </row>
    <row r="13" spans="1:26" x14ac:dyDescent="0.25">
      <c r="A13" s="2" t="str" cm="1">
        <f t="array" ref="A13">choice(Professeurs!A:A,1,Settings!$B$16)</f>
        <v>Prof10</v>
      </c>
      <c r="B13" s="3" cm="1">
        <f t="array" ref="B13">alea_date(Settings!$B$11,360,Settings!$B$8+alea_int(4,0,Settings!$B$16),Settings!$B$16)</f>
        <v>46276.333333333336</v>
      </c>
      <c r="C13" s="3" cm="1">
        <f t="array" ref="C13">B13+TIME(alea_int(5,1,Settings!$B$16),0,0)</f>
        <v>46276.458333333336</v>
      </c>
      <c r="D13" s="3" t="str" cm="1">
        <f t="array" ref="D13">choice(Settings!K:K,1,Settings!$B$16)</f>
        <v/>
      </c>
    </row>
    <row r="14" spans="1:26" x14ac:dyDescent="0.25">
      <c r="A14" s="2" t="str" cm="1">
        <f t="array" ref="A14">choice(Professeurs!A:A,1,Settings!$B$16)</f>
        <v>Prof50</v>
      </c>
      <c r="B14" s="3" cm="1">
        <f t="array" ref="B14">alea_date(Settings!$B$11,360,Settings!$B$8+alea_int(4,0,Settings!$B$16),Settings!$B$16)</f>
        <v>46057.375</v>
      </c>
      <c r="C14" s="3" cm="1">
        <f t="array" ref="C14">B14+TIME(alea_int(5,1,Settings!$B$16),0,0)</f>
        <v>46057.541666666664</v>
      </c>
      <c r="D14" s="3" t="str" cm="1">
        <f t="array" ref="D14">choice(Settings!K:K,1,Settings!$B$16)</f>
        <v/>
      </c>
    </row>
    <row r="15" spans="1:26" x14ac:dyDescent="0.25">
      <c r="A15" s="2" t="str" cm="1">
        <f t="array" ref="A15">choice(Professeurs!A:A,1,Settings!$B$16)</f>
        <v>Prof7</v>
      </c>
      <c r="B15" s="3" cm="1">
        <f t="array" ref="B15">alea_date(Settings!$B$11,360,Settings!$B$8+alea_int(4,0,Settings!$B$16),Settings!$B$16)</f>
        <v>46179.458333333336</v>
      </c>
      <c r="C15" s="3" cm="1">
        <f t="array" ref="C15">B15+TIME(alea_int(5,1,Settings!$B$16),0,0)</f>
        <v>46179.625</v>
      </c>
      <c r="D15" s="3" t="str" cm="1">
        <f t="array" ref="D15">choice(Settings!K:K,1,Settings!$B$16)</f>
        <v/>
      </c>
    </row>
    <row r="16" spans="1:26" x14ac:dyDescent="0.25">
      <c r="A16" s="2" t="str" cm="1">
        <f t="array" ref="A16">choice(Professeurs!A:A,1,Settings!$B$16)</f>
        <v>Prof5</v>
      </c>
      <c r="B16" s="3" cm="1">
        <f t="array" ref="B16">alea_date(Settings!$B$11,360,Settings!$B$8+alea_int(4,0,Settings!$B$16),Settings!$B$16)</f>
        <v>46269.416666666664</v>
      </c>
      <c r="C16" s="3" cm="1">
        <f t="array" ref="C16">B16+TIME(alea_int(5,1,Settings!$B$16),0,0)</f>
        <v>46269.625</v>
      </c>
      <c r="D16" s="3" t="str" cm="1">
        <f t="array" ref="D16">choice(Settings!K:K,1,Settings!$B$16)</f>
        <v>jeudi am</v>
      </c>
    </row>
    <row r="17" spans="1:4" x14ac:dyDescent="0.25">
      <c r="A17" s="2" t="str" cm="1">
        <f t="array" ref="A17">choice(Professeurs!A:A,1,Settings!$B$16)</f>
        <v>Prof36</v>
      </c>
      <c r="B17" s="3" cm="1">
        <f t="array" ref="B17">alea_date(Settings!$B$11,360,Settings!$B$8+alea_int(4,0,Settings!$B$16),Settings!$B$16)</f>
        <v>46037.333333333336</v>
      </c>
      <c r="C17" s="3" cm="1">
        <f t="array" ref="C17">B17+TIME(alea_int(5,1,Settings!$B$16),0,0)</f>
        <v>46037.541666666672</v>
      </c>
      <c r="D17" s="3" t="str" cm="1">
        <f t="array" ref="D17">choice(Settings!K:K,1,Settings!$B$16)</f>
        <v/>
      </c>
    </row>
    <row r="18" spans="1:4" x14ac:dyDescent="0.25">
      <c r="A18" s="2" t="str" cm="1">
        <f t="array" ref="A18">choice(Professeurs!A:A,1,Settings!$B$16)</f>
        <v>Prof44</v>
      </c>
      <c r="B18" s="3" cm="1">
        <f t="array" ref="B18">alea_date(Settings!$B$11,360,Settings!$B$8+alea_int(4,0,Settings!$B$16),Settings!$B$16)</f>
        <v>46029.375</v>
      </c>
      <c r="C18" s="3" cm="1">
        <f t="array" ref="C18">B18+TIME(alea_int(5,1,Settings!$B$16),0,0)</f>
        <v>46029.583333333336</v>
      </c>
      <c r="D18" s="3" t="str" cm="1">
        <f t="array" ref="D18">choice(Settings!K:K,1,Settings!$B$16)</f>
        <v/>
      </c>
    </row>
    <row r="19" spans="1:4" x14ac:dyDescent="0.25">
      <c r="A19" s="2" t="str" cm="1">
        <f t="array" ref="A19">choice(Professeurs!A:A,1,Settings!$B$16)</f>
        <v>Prof54</v>
      </c>
      <c r="B19" s="3" cm="1">
        <f t="array" ref="B19">alea_date(Settings!$B$11,360,Settings!$B$8+alea_int(4,0,Settings!$B$16),Settings!$B$16)</f>
        <v>46108.375</v>
      </c>
      <c r="C19" s="3" cm="1">
        <f t="array" ref="C19">B19+TIME(alea_int(5,1,Settings!$B$16),0,0)</f>
        <v>46108.583333333336</v>
      </c>
      <c r="D19" s="3" t="str" cm="1">
        <f t="array" ref="D19">choice(Settings!K:K,1,Settings!$B$16)</f>
        <v>semaine</v>
      </c>
    </row>
    <row r="20" spans="1:4" x14ac:dyDescent="0.25">
      <c r="A20" s="2" t="str" cm="1">
        <f t="array" ref="A20">choice(Professeurs!A:A,1,Settings!$B$16)</f>
        <v>Prof40</v>
      </c>
      <c r="B20" s="3" cm="1">
        <f t="array" ref="B20">alea_date(Settings!$B$11,360,Settings!$B$8+alea_int(4,0,Settings!$B$16),Settings!$B$16)</f>
        <v>46136.458333333336</v>
      </c>
      <c r="C20" s="3" cm="1">
        <f t="array" ref="C20">B20+TIME(alea_int(5,1,Settings!$B$16),0,0)</f>
        <v>46136.541666666672</v>
      </c>
      <c r="D20" s="3" t="str" cm="1">
        <f t="array" ref="D20">choice(Settings!K:K,1,Settings!$B$16)</f>
        <v>mardi am</v>
      </c>
    </row>
    <row r="21" spans="1:4" x14ac:dyDescent="0.25">
      <c r="A21" s="2" t="str" cm="1">
        <f t="array" ref="A21">choice(Professeurs!A:A,1,Settings!$B$16)</f>
        <v>Prof9</v>
      </c>
      <c r="B21" s="3" cm="1">
        <f t="array" ref="B21">alea_date(Settings!$B$11,360,Settings!$B$8+alea_int(4,0,Settings!$B$16),Settings!$B$16)</f>
        <v>46144.333333333336</v>
      </c>
      <c r="C21" s="3" cm="1">
        <f t="array" ref="C21">B21+TIME(alea_int(5,1,Settings!$B$16),0,0)</f>
        <v>46144.541666666672</v>
      </c>
      <c r="D21" s="3" t="str" cm="1">
        <f t="array" ref="D21">choice(Settings!K:K,1,Settings!$B$16)</f>
        <v/>
      </c>
    </row>
    <row r="22" spans="1:4" x14ac:dyDescent="0.25">
      <c r="A22" s="2" t="str" cm="1">
        <f t="array" ref="A22">choice(Professeurs!A:A,1,Settings!$B$16)</f>
        <v>Prof13</v>
      </c>
      <c r="B22" s="3" cm="1">
        <f t="array" ref="B22">alea_date(Settings!$B$11,360,Settings!$B$8+alea_int(4,0,Settings!$B$16),Settings!$B$16)</f>
        <v>46283.333333333336</v>
      </c>
      <c r="C22" s="3" cm="1">
        <f t="array" ref="C22">B22+TIME(alea_int(5,1,Settings!$B$16),0,0)</f>
        <v>46283.416666666672</v>
      </c>
      <c r="D22" s="3" t="str" cm="1">
        <f t="array" ref="D22">choice(Settings!K:K,1,Settings!$B$16)</f>
        <v/>
      </c>
    </row>
    <row r="23" spans="1:4" x14ac:dyDescent="0.25">
      <c r="A23" s="2" t="str" cm="1">
        <f t="array" ref="A23">choice(Professeurs!A:A,1,Settings!$B$16)</f>
        <v>Prof32</v>
      </c>
      <c r="B23" s="3" cm="1">
        <f t="array" ref="B23">alea_date(Settings!$B$11,360,Settings!$B$8+alea_int(4,0,Settings!$B$16),Settings!$B$16)</f>
        <v>46045.333333333336</v>
      </c>
      <c r="C23" s="3" cm="1">
        <f t="array" ref="C23">B23+TIME(alea_int(5,1,Settings!$B$16),0,0)</f>
        <v>46045.375</v>
      </c>
      <c r="D23" s="3" t="str" cm="1">
        <f t="array" ref="D23">choice(Settings!K:K,1,Settings!$B$16)</f>
        <v/>
      </c>
    </row>
    <row r="24" spans="1:4" x14ac:dyDescent="0.25">
      <c r="A24" s="2" t="str" cm="1">
        <f t="array" ref="A24">choice(Professeurs!A:A,1,Settings!$B$16)</f>
        <v>Prof13</v>
      </c>
      <c r="B24" s="3" cm="1">
        <f t="array" ref="B24">alea_date(Settings!$B$11,360,Settings!$B$8+alea_int(4,0,Settings!$B$16),Settings!$B$16)</f>
        <v>46310.416666666664</v>
      </c>
      <c r="C24" s="3" cm="1">
        <f t="array" ref="C24">B24+TIME(alea_int(5,1,Settings!$B$16),0,0)</f>
        <v>46310.5</v>
      </c>
      <c r="D24" s="3" t="str" cm="1">
        <f t="array" ref="D24">choice(Settings!K:K,1,Settings!$B$16)</f>
        <v/>
      </c>
    </row>
    <row r="25" spans="1:4" x14ac:dyDescent="0.25">
      <c r="A25" s="2" t="str" cm="1">
        <f t="array" ref="A25">choice(Professeurs!A:A,1,Settings!$B$16)</f>
        <v>Prof26</v>
      </c>
      <c r="B25" s="3" cm="1">
        <f t="array" ref="B25">alea_date(Settings!$B$11,360,Settings!$B$8+alea_int(4,0,Settings!$B$16),Settings!$B$16)</f>
        <v>46195.375</v>
      </c>
      <c r="C25" s="3" cm="1">
        <f t="array" ref="C25">B25+TIME(alea_int(5,1,Settings!$B$16),0,0)</f>
        <v>46195.541666666664</v>
      </c>
      <c r="D25" s="3" t="str" cm="1">
        <f t="array" ref="D25">choice(Settings!K:K,1,Settings!$B$16)</f>
        <v>mercredi pm</v>
      </c>
    </row>
    <row r="26" spans="1:4" x14ac:dyDescent="0.25">
      <c r="A26" s="2" t="str" cm="1">
        <f t="array" ref="A26">choice(Professeurs!A:A,1,Settings!$B$16)</f>
        <v>Prof49</v>
      </c>
      <c r="B26" s="3" cm="1">
        <f t="array" ref="B26">alea_date(Settings!$B$11,360,Settings!$B$8+alea_int(4,0,Settings!$B$16),Settings!$B$16)</f>
        <v>46291.333333333336</v>
      </c>
      <c r="C26" s="3" cm="1">
        <f t="array" ref="C26">B26+TIME(alea_int(5,1,Settings!$B$16),0,0)</f>
        <v>46291.458333333336</v>
      </c>
      <c r="D26" s="3" t="str" cm="1">
        <f t="array" ref="D26">choice(Settings!K:K,1,Settings!$B$16)</f>
        <v/>
      </c>
    </row>
    <row r="27" spans="1:4" x14ac:dyDescent="0.25">
      <c r="A27" s="2" t="str" cm="1">
        <f t="array" ref="A27">choice(Professeurs!A:A,1,Settings!$B$16)</f>
        <v>Prof42</v>
      </c>
      <c r="B27" s="3" cm="1">
        <f t="array" ref="B27">alea_date(Settings!$B$11,360,Settings!$B$8+alea_int(4,0,Settings!$B$16),Settings!$B$16)</f>
        <v>46294.375</v>
      </c>
      <c r="C27" s="3" cm="1">
        <f t="array" ref="C27">B27+TIME(alea_int(5,1,Settings!$B$16),0,0)</f>
        <v>46294.583333333336</v>
      </c>
      <c r="D27" s="3" t="str" cm="1">
        <f t="array" ref="D27">choice(Settings!K:K,1,Settings!$B$16)</f>
        <v/>
      </c>
    </row>
    <row r="28" spans="1:4" x14ac:dyDescent="0.25">
      <c r="A28" s="2" t="str" cm="1">
        <f t="array" ref="A28">choice(Professeurs!A:A,1,Settings!$B$16)</f>
        <v>Prof52</v>
      </c>
      <c r="B28" s="3" cm="1">
        <f t="array" ref="B28">alea_date(Settings!$B$11,360,Settings!$B$8+alea_int(4,0,Settings!$B$16),Settings!$B$16)</f>
        <v>46288.416666666664</v>
      </c>
      <c r="C28" s="3" cm="1">
        <f t="array" ref="C28">B28+TIME(alea_int(5,1,Settings!$B$16),0,0)</f>
        <v>46288.458333333328</v>
      </c>
      <c r="D28" s="3" t="str" cm="1">
        <f t="array" ref="D28">choice(Settings!K:K,1,Settings!$B$16)</f>
        <v>vendredi am</v>
      </c>
    </row>
    <row r="29" spans="1:4" x14ac:dyDescent="0.25">
      <c r="A29" s="2" t="str" cm="1">
        <f t="array" ref="A29">choice(Professeurs!A:A,1,Settings!$B$16)</f>
        <v>Prof25</v>
      </c>
      <c r="B29" s="3" cm="1">
        <f t="array" ref="B29">alea_date(Settings!$B$11,360,Settings!$B$8+alea_int(4,0,Settings!$B$16),Settings!$B$16)</f>
        <v>46378.416666666664</v>
      </c>
      <c r="C29" s="3" cm="1">
        <f t="array" ref="C29">B29+TIME(alea_int(5,1,Settings!$B$16),0,0)</f>
        <v>46378.541666666664</v>
      </c>
      <c r="D29" s="3" t="str" cm="1">
        <f t="array" ref="D29">choice(Settings!K:K,1,Settings!$B$16)</f>
        <v/>
      </c>
    </row>
    <row r="30" spans="1:4" x14ac:dyDescent="0.25">
      <c r="A30" s="2" t="str" cm="1">
        <f t="array" ref="A30">choice(Professeurs!A:A,1,Settings!$B$16)</f>
        <v>Prof3</v>
      </c>
      <c r="B30" s="3" cm="1">
        <f t="array" ref="B30">alea_date(Settings!$B$11,360,Settings!$B$8+alea_int(4,0,Settings!$B$16),Settings!$B$16)</f>
        <v>46219.333333333336</v>
      </c>
      <c r="C30" s="3" cm="1">
        <f t="array" ref="C30">B30+TIME(alea_int(5,1,Settings!$B$16),0,0)</f>
        <v>46219.416666666672</v>
      </c>
      <c r="D30" s="3" t="str" cm="1">
        <f t="array" ref="D30">choice(Settings!K:K,1,Settings!$B$16)</f>
        <v/>
      </c>
    </row>
    <row r="31" spans="1:4" x14ac:dyDescent="0.25">
      <c r="A31" s="2" t="str" cm="1">
        <f t="array" ref="A31">choice(Professeurs!A:A,1,Settings!$B$16)</f>
        <v>Prof44</v>
      </c>
      <c r="B31" s="3" cm="1">
        <f t="array" ref="B31">alea_date(Settings!$B$11,360,Settings!$B$8+alea_int(4,0,Settings!$B$16),Settings!$B$16)</f>
        <v>46328.333333333336</v>
      </c>
      <c r="C31" s="3" cm="1">
        <f t="array" ref="C31">B31+TIME(alea_int(5,1,Settings!$B$16),0,0)</f>
        <v>46328.458333333336</v>
      </c>
      <c r="D31" s="3" t="str" cm="1">
        <f t="array" ref="D31">choice(Settings!K:K,1,Settings!$B$16)</f>
        <v/>
      </c>
    </row>
    <row r="32" spans="1:4" x14ac:dyDescent="0.25">
      <c r="A32" s="2" t="str" cm="1">
        <f t="array" ref="A32">choice(Professeurs!A:A,1,Settings!$B$16)</f>
        <v>Prof42</v>
      </c>
      <c r="B32" s="3" cm="1">
        <f t="array" ref="B32">alea_date(Settings!$B$11,360,Settings!$B$8+alea_int(4,0,Settings!$B$16),Settings!$B$16)</f>
        <v>46376.375</v>
      </c>
      <c r="C32" s="3" cm="1">
        <f t="array" ref="C32">B32+TIME(alea_int(5,1,Settings!$B$16),0,0)</f>
        <v>46376.416666666664</v>
      </c>
      <c r="D32" s="3" t="str" cm="1">
        <f t="array" ref="D32">choice(Settings!K:K,1,Settings!$B$16)</f>
        <v>jeudi pm</v>
      </c>
    </row>
    <row r="33" spans="1:4" x14ac:dyDescent="0.25">
      <c r="A33" s="2" t="str" cm="1">
        <f t="array" ref="A33">choice(Professeurs!A:A,1,Settings!$B$16)</f>
        <v>Prof17</v>
      </c>
      <c r="B33" s="3" cm="1">
        <f t="array" ref="B33">alea_date(Settings!$B$11,360,Settings!$B$8+alea_int(4,0,Settings!$B$16),Settings!$B$16)</f>
        <v>46357.416666666664</v>
      </c>
      <c r="C33" s="3" cm="1">
        <f t="array" ref="C33">B33+TIME(alea_int(5,1,Settings!$B$16),0,0)</f>
        <v>46357.5</v>
      </c>
      <c r="D33" s="3" t="str" cm="1">
        <f t="array" ref="D33">choice(Settings!K:K,1,Settings!$B$16)</f>
        <v>mardi am</v>
      </c>
    </row>
    <row r="34" spans="1:4" x14ac:dyDescent="0.25">
      <c r="A34" s="2" t="str" cm="1">
        <f t="array" ref="A34">choice(Professeurs!A:A,1,Settings!$B$16)</f>
        <v>Prof30</v>
      </c>
      <c r="B34" s="3" cm="1">
        <f t="array" ref="B34">alea_date(Settings!$B$11,360,Settings!$B$8+alea_int(4,0,Settings!$B$16),Settings!$B$16)</f>
        <v>46062.416666666664</v>
      </c>
      <c r="C34" s="3" cm="1">
        <f t="array" ref="C34">B34+TIME(alea_int(5,1,Settings!$B$16),0,0)</f>
        <v>46062.458333333328</v>
      </c>
      <c r="D34" s="3" t="str" cm="1">
        <f t="array" ref="D34">choice(Settings!K:K,1,Settings!$B$16)</f>
        <v/>
      </c>
    </row>
    <row r="35" spans="1:4" x14ac:dyDescent="0.25">
      <c r="A35" s="2" t="str" cm="1">
        <f t="array" ref="A35">choice(Professeurs!A:A,1,Settings!$B$16)</f>
        <v>Prof48</v>
      </c>
      <c r="B35" s="3" cm="1">
        <f t="array" ref="B35">alea_date(Settings!$B$11,360,Settings!$B$8+alea_int(4,0,Settings!$B$16),Settings!$B$16)</f>
        <v>46089.375</v>
      </c>
      <c r="C35" s="3" cm="1">
        <f t="array" ref="C35">B35+TIME(alea_int(5,1,Settings!$B$16),0,0)</f>
        <v>46089.416666666664</v>
      </c>
      <c r="D35" s="3" t="str" cm="1">
        <f t="array" ref="D35">choice(Settings!K:K,1,Settings!$B$16)</f>
        <v/>
      </c>
    </row>
    <row r="36" spans="1:4" x14ac:dyDescent="0.25">
      <c r="A36" s="2" t="str" cm="1">
        <f t="array" ref="A36">choice(Professeurs!A:A,1,Settings!$B$16)</f>
        <v>Prof21</v>
      </c>
      <c r="B36" s="3" cm="1">
        <f t="array" ref="B36">alea_date(Settings!$B$11,360,Settings!$B$8+alea_int(4,0,Settings!$B$16),Settings!$B$16)</f>
        <v>46090.416666666664</v>
      </c>
      <c r="C36" s="3" cm="1">
        <f t="array" ref="C36">B36+TIME(alea_int(5,1,Settings!$B$16),0,0)</f>
        <v>46090.625</v>
      </c>
      <c r="D36" s="3" t="str" cm="1">
        <f t="array" ref="D36">choice(Settings!K:K,1,Settings!$B$16)</f>
        <v/>
      </c>
    </row>
    <row r="37" spans="1:4" x14ac:dyDescent="0.25">
      <c r="A37" s="2" t="str" cm="1">
        <f t="array" ref="A37">choice(Professeurs!A:A,1,Settings!$B$16)</f>
        <v>Prof50</v>
      </c>
      <c r="B37" s="3" cm="1">
        <f t="array" ref="B37">alea_date(Settings!$B$11,360,Settings!$B$8+alea_int(4,0,Settings!$B$16),Settings!$B$16)</f>
        <v>46345.458333333336</v>
      </c>
      <c r="C37" s="3" cm="1">
        <f t="array" ref="C37">B37+TIME(alea_int(5,1,Settings!$B$16),0,0)</f>
        <v>46345.666666666672</v>
      </c>
      <c r="D37" s="3" t="str" cm="1">
        <f t="array" ref="D37">choice(Settings!K:K,1,Settings!$B$16)</f>
        <v>jeudi pm</v>
      </c>
    </row>
    <row r="38" spans="1:4" x14ac:dyDescent="0.25">
      <c r="A38" s="2" t="str" cm="1">
        <f t="array" ref="A38">choice(Professeurs!A:A,1,Settings!$B$16)</f>
        <v>Prof52</v>
      </c>
      <c r="B38" s="3" cm="1">
        <f t="array" ref="B38">alea_date(Settings!$B$11,360,Settings!$B$8+alea_int(4,0,Settings!$B$16),Settings!$B$16)</f>
        <v>46110.375</v>
      </c>
      <c r="C38" s="3" cm="1">
        <f t="array" ref="C38">B38+TIME(alea_int(5,1,Settings!$B$16),0,0)</f>
        <v>46110.458333333336</v>
      </c>
      <c r="D38" s="3" t="str" cm="1">
        <f t="array" ref="D38">choice(Settings!K:K,1,Settings!$B$16)</f>
        <v/>
      </c>
    </row>
    <row r="39" spans="1:4" x14ac:dyDescent="0.25">
      <c r="A39" s="2" t="str" cm="1">
        <f t="array" ref="A39">choice(Professeurs!A:A,1,Settings!$B$16)</f>
        <v>Prof44</v>
      </c>
      <c r="B39" s="3" cm="1">
        <f t="array" ref="B39">alea_date(Settings!$B$11,360,Settings!$B$8+alea_int(4,0,Settings!$B$16),Settings!$B$16)</f>
        <v>46233.416666666664</v>
      </c>
      <c r="C39" s="3" cm="1">
        <f t="array" ref="C39">B39+TIME(alea_int(5,1,Settings!$B$16),0,0)</f>
        <v>46233.541666666664</v>
      </c>
      <c r="D39" s="3" t="str" cm="1">
        <f t="array" ref="D39">choice(Settings!K:K,1,Settings!$B$16)</f>
        <v/>
      </c>
    </row>
    <row r="40" spans="1:4" x14ac:dyDescent="0.25">
      <c r="A40" s="2" t="str" cm="1">
        <f t="array" ref="A40">choice(Professeurs!A:A,1,Settings!$B$16)</f>
        <v>Prof38</v>
      </c>
      <c r="B40" s="3" cm="1">
        <f t="array" ref="B40">alea_date(Settings!$B$11,360,Settings!$B$8+alea_int(4,0,Settings!$B$16),Settings!$B$16)</f>
        <v>46217.375</v>
      </c>
      <c r="C40" s="3" cm="1">
        <f t="array" ref="C40">B40+TIME(alea_int(5,1,Settings!$B$16),0,0)</f>
        <v>46217.5</v>
      </c>
      <c r="D40" s="3" t="str" cm="1">
        <f t="array" ref="D40">choice(Settings!K:K,1,Settings!$B$16)</f>
        <v>lundi am</v>
      </c>
    </row>
    <row r="41" spans="1:4" x14ac:dyDescent="0.25">
      <c r="A41" s="2" t="str" cm="1">
        <f t="array" ref="A41">choice(Professeurs!A:A,1,Settings!$B$16)</f>
        <v>Prof42</v>
      </c>
      <c r="B41" s="3" cm="1">
        <f t="array" ref="B41">alea_date(Settings!$B$11,360,Settings!$B$8+alea_int(4,0,Settings!$B$16),Settings!$B$16)</f>
        <v>46342.375</v>
      </c>
      <c r="C41" s="3" cm="1">
        <f t="array" ref="C41">B41+TIME(alea_int(5,1,Settings!$B$16),0,0)</f>
        <v>46342.5</v>
      </c>
      <c r="D41" s="3" t="str" cm="1">
        <f t="array" ref="D41">choice(Settings!K:K,1,Settings!$B$16)</f>
        <v/>
      </c>
    </row>
    <row r="42" spans="1:4" x14ac:dyDescent="0.25">
      <c r="A42" s="2" t="str" cm="1">
        <f t="array" ref="A42">choice(Professeurs!A:A,1,Settings!$B$16)</f>
        <v>Prof20</v>
      </c>
      <c r="B42" s="3" cm="1">
        <f t="array" ref="B42">alea_date(Settings!$B$11,360,Settings!$B$8+alea_int(4,0,Settings!$B$16),Settings!$B$16)</f>
        <v>46105.458333333336</v>
      </c>
      <c r="C42" s="3" cm="1">
        <f t="array" ref="C42">B42+TIME(alea_int(5,1,Settings!$B$16),0,0)</f>
        <v>46105.541666666672</v>
      </c>
      <c r="D42" s="3" t="str" cm="1">
        <f t="array" ref="D42">choice(Settings!K:K,1,Settings!$B$16)</f>
        <v>semaine</v>
      </c>
    </row>
    <row r="43" spans="1:4" x14ac:dyDescent="0.25">
      <c r="A43" s="2" t="str" cm="1">
        <f t="array" ref="A43">choice(Professeurs!A:A,1,Settings!$B$16)</f>
        <v>Prof15</v>
      </c>
      <c r="B43" s="3" cm="1">
        <f t="array" ref="B43">alea_date(Settings!$B$11,360,Settings!$B$8+alea_int(4,0,Settings!$B$16),Settings!$B$16)</f>
        <v>46242.416666666664</v>
      </c>
      <c r="C43" s="3" cm="1">
        <f t="array" ref="C43">B43+TIME(alea_int(5,1,Settings!$B$16),0,0)</f>
        <v>46242.458333333328</v>
      </c>
      <c r="D43" s="3" t="str" cm="1">
        <f t="array" ref="D43">choice(Settings!K:K,1,Settings!$B$16)</f>
        <v/>
      </c>
    </row>
    <row r="44" spans="1:4" x14ac:dyDescent="0.25">
      <c r="A44" s="2" t="str" cm="1">
        <f t="array" ref="A44">choice(Professeurs!A:A,1,Settings!$B$16)</f>
        <v>Prof26</v>
      </c>
      <c r="B44" s="3" cm="1">
        <f t="array" ref="B44">alea_date(Settings!$B$11,360,Settings!$B$8+alea_int(4,0,Settings!$B$16),Settings!$B$16)</f>
        <v>46366.458333333336</v>
      </c>
      <c r="C44" s="3" cm="1">
        <f t="array" ref="C44">B44+TIME(alea_int(5,1,Settings!$B$16),0,0)</f>
        <v>46366.583333333336</v>
      </c>
      <c r="D44" s="3" t="str" cm="1">
        <f t="array" ref="D44">choice(Settings!K:K,1,Settings!$B$16)</f>
        <v/>
      </c>
    </row>
    <row r="45" spans="1:4" x14ac:dyDescent="0.25">
      <c r="A45" s="2" t="str" cm="1">
        <f t="array" ref="A45">choice(Professeurs!A:A,1,Settings!$B$16)</f>
        <v>Prof9</v>
      </c>
      <c r="B45" s="3" cm="1">
        <f t="array" ref="B45">alea_date(Settings!$B$11,360,Settings!$B$8+alea_int(4,0,Settings!$B$16),Settings!$B$16)</f>
        <v>46317.375</v>
      </c>
      <c r="C45" s="3" cm="1">
        <f t="array" ref="C45">B45+TIME(alea_int(5,1,Settings!$B$16),0,0)</f>
        <v>46317.583333333336</v>
      </c>
      <c r="D45" s="3" t="str" cm="1">
        <f t="array" ref="D45">choice(Settings!K:K,1,Settings!$B$16)</f>
        <v/>
      </c>
    </row>
    <row r="46" spans="1:4" x14ac:dyDescent="0.25">
      <c r="A46" s="2" t="str" cm="1">
        <f t="array" ref="A46">choice(Professeurs!A:A,1,Settings!$B$16)</f>
        <v>Prof18</v>
      </c>
      <c r="B46" s="3" cm="1">
        <f t="array" ref="B46">alea_date(Settings!$B$11,360,Settings!$B$8+alea_int(4,0,Settings!$B$16),Settings!$B$16)</f>
        <v>46177.375</v>
      </c>
      <c r="C46" s="3" cm="1">
        <f t="array" ref="C46">B46+TIME(alea_int(5,1,Settings!$B$16),0,0)</f>
        <v>46177.541666666664</v>
      </c>
      <c r="D46" s="3" t="str" cm="1">
        <f t="array" ref="D46">choice(Settings!K:K,1,Settings!$B$16)</f>
        <v/>
      </c>
    </row>
    <row r="47" spans="1:4" x14ac:dyDescent="0.25">
      <c r="A47" s="2" t="str" cm="1">
        <f t="array" ref="A47">choice(Professeurs!A:A,1,Settings!$B$16)</f>
        <v>Prof49</v>
      </c>
      <c r="B47" s="3" cm="1">
        <f t="array" ref="B47">alea_date(Settings!$B$11,360,Settings!$B$8+alea_int(4,0,Settings!$B$16),Settings!$B$16)</f>
        <v>46027.375</v>
      </c>
      <c r="C47" s="3" cm="1">
        <f t="array" ref="C47">B47+TIME(alea_int(5,1,Settings!$B$16),0,0)</f>
        <v>46027.458333333336</v>
      </c>
      <c r="D47" s="3" t="str" cm="1">
        <f t="array" ref="D47">choice(Settings!K:K,1,Settings!$B$16)</f>
        <v/>
      </c>
    </row>
    <row r="48" spans="1:4" x14ac:dyDescent="0.25">
      <c r="A48" s="2" t="str" cm="1">
        <f t="array" ref="A48">choice(Professeurs!A:A,1,Settings!$B$16)</f>
        <v>Prof16</v>
      </c>
      <c r="B48" s="3" cm="1">
        <f t="array" ref="B48">alea_date(Settings!$B$11,360,Settings!$B$8+alea_int(4,0,Settings!$B$16),Settings!$B$16)</f>
        <v>46075.458333333336</v>
      </c>
      <c r="C48" s="3" cm="1">
        <f t="array" ref="C48">B48+TIME(alea_int(5,1,Settings!$B$16),0,0)</f>
        <v>46075.541666666672</v>
      </c>
      <c r="D48" s="3" t="str" cm="1">
        <f t="array" ref="D48">choice(Settings!K:K,1,Settings!$B$16)</f>
        <v/>
      </c>
    </row>
    <row r="49" spans="1:4" x14ac:dyDescent="0.25">
      <c r="A49" s="2" t="str" cm="1">
        <f t="array" ref="A49">choice(Professeurs!A:A,1,Settings!$B$16)</f>
        <v>Prof35</v>
      </c>
      <c r="B49" s="3" cm="1">
        <f t="array" ref="B49">alea_date(Settings!$B$11,360,Settings!$B$8+alea_int(4,0,Settings!$B$16),Settings!$B$16)</f>
        <v>46369.416666666664</v>
      </c>
      <c r="C49" s="3" cm="1">
        <f t="array" ref="C49">B49+TIME(alea_int(5,1,Settings!$B$16),0,0)</f>
        <v>46369.458333333328</v>
      </c>
      <c r="D49" s="3" t="str" cm="1">
        <f t="array" ref="D49">choice(Settings!K:K,1,Settings!$B$16)</f>
        <v>lundi am</v>
      </c>
    </row>
    <row r="50" spans="1:4" x14ac:dyDescent="0.25">
      <c r="A50" s="2" t="str" cm="1">
        <f t="array" ref="A50">choice(Professeurs!A:A,1,Settings!$B$16)</f>
        <v>Prof2</v>
      </c>
      <c r="B50" s="3" cm="1">
        <f t="array" ref="B50">alea_date(Settings!$B$11,360,Settings!$B$8+alea_int(4,0,Settings!$B$16),Settings!$B$16)</f>
        <v>46187.416666666664</v>
      </c>
      <c r="C50" s="3" cm="1">
        <f t="array" ref="C50">B50+TIME(alea_int(5,1,Settings!$B$16),0,0)</f>
        <v>46187.583333333328</v>
      </c>
      <c r="D50" s="3" t="str" cm="1">
        <f t="array" ref="D50">choice(Settings!K:K,1,Settings!$B$16)</f>
        <v/>
      </c>
    </row>
    <row r="51" spans="1:4" x14ac:dyDescent="0.25">
      <c r="A51" s="2" t="str" cm="1">
        <f t="array" ref="A51">choice(Professeurs!A:A,1,Settings!$B$16)</f>
        <v>Prof54</v>
      </c>
      <c r="B51" s="3" cm="1">
        <f t="array" ref="B51">alea_date(Settings!$B$11,360,Settings!$B$8+alea_int(4,0,Settings!$B$16),Settings!$B$16)</f>
        <v>46198.333333333336</v>
      </c>
      <c r="C51" s="3" cm="1">
        <f t="array" ref="C51">B51+TIME(alea_int(5,1,Settings!$B$16),0,0)</f>
        <v>46198.458333333336</v>
      </c>
      <c r="D51" s="3" t="str" cm="1">
        <f t="array" ref="D51">choice(Settings!K:K,1,Settings!$B$16)</f>
        <v>lundi am</v>
      </c>
    </row>
    <row r="52" spans="1:4" x14ac:dyDescent="0.25">
      <c r="A52" s="2" t="str" cm="1">
        <f t="array" ref="A52">choice(Professeurs!A:A,1,Settings!$B$16)</f>
        <v>Prof49</v>
      </c>
      <c r="B52" s="3" cm="1">
        <f t="array" ref="B52">alea_date(Settings!$B$11,360,Settings!$B$8+alea_int(4,0,Settings!$B$16),Settings!$B$16)</f>
        <v>46228.333333333336</v>
      </c>
      <c r="C52" s="3" cm="1">
        <f t="array" ref="C52">B52+TIME(alea_int(5,1,Settings!$B$16),0,0)</f>
        <v>46228.416666666672</v>
      </c>
      <c r="D52" s="3" t="str" cm="1">
        <f t="array" ref="D52">choice(Settings!K:K,1,Settings!$B$16)</f>
        <v>jeudi am</v>
      </c>
    </row>
    <row r="53" spans="1:4" x14ac:dyDescent="0.25">
      <c r="A53" s="2" t="str" cm="1">
        <f t="array" ref="A53">choice(Professeurs!A:A,1,Settings!$B$16)</f>
        <v>Prof24</v>
      </c>
      <c r="B53" s="3" cm="1">
        <f t="array" ref="B53">alea_date(Settings!$B$11,360,Settings!$B$8+alea_int(4,0,Settings!$B$16),Settings!$B$16)</f>
        <v>46383.416666666664</v>
      </c>
      <c r="C53" s="3" cm="1">
        <f t="array" ref="C53">B53+TIME(alea_int(5,1,Settings!$B$16),0,0)</f>
        <v>46383.583333333328</v>
      </c>
      <c r="D53" s="3" t="str" cm="1">
        <f t="array" ref="D53">choice(Settings!K:K,1,Settings!$B$16)</f>
        <v/>
      </c>
    </row>
    <row r="54" spans="1:4" x14ac:dyDescent="0.25">
      <c r="A54" s="2" t="str" cm="1">
        <f t="array" ref="A54">choice(Professeurs!A:A,1,Settings!$B$16)</f>
        <v>Prof3</v>
      </c>
      <c r="B54" s="3" cm="1">
        <f t="array" ref="B54">alea_date(Settings!$B$11,360,Settings!$B$8+alea_int(4,0,Settings!$B$16),Settings!$B$16)</f>
        <v>46184.333333333336</v>
      </c>
      <c r="C54" s="3" cm="1">
        <f t="array" ref="C54">B54+TIME(alea_int(5,1,Settings!$B$16),0,0)</f>
        <v>46184.375</v>
      </c>
      <c r="D54" s="3" t="str" cm="1">
        <f t="array" ref="D54">choice(Settings!K:K,1,Settings!$B$16)</f>
        <v/>
      </c>
    </row>
    <row r="55" spans="1:4" x14ac:dyDescent="0.25">
      <c r="A55" s="2" t="str" cm="1">
        <f t="array" ref="A55">choice(Professeurs!A:A,1,Settings!$B$16)</f>
        <v>Prof11</v>
      </c>
      <c r="B55" s="3" cm="1">
        <f t="array" ref="B55">alea_date(Settings!$B$11,360,Settings!$B$8+alea_int(4,0,Settings!$B$16),Settings!$B$16)</f>
        <v>46082.375</v>
      </c>
      <c r="C55" s="3" cm="1">
        <f t="array" ref="C55">B55+TIME(alea_int(5,1,Settings!$B$16),0,0)</f>
        <v>46082.583333333336</v>
      </c>
      <c r="D55" s="3" t="str" cm="1">
        <f t="array" ref="D55">choice(Settings!K:K,1,Settings!$B$16)</f>
        <v>lundi am</v>
      </c>
    </row>
    <row r="56" spans="1:4" x14ac:dyDescent="0.25">
      <c r="A56" s="2" t="str" cm="1">
        <f t="array" ref="A56">choice(Professeurs!A:A,1,Settings!$B$16)</f>
        <v>Prof20</v>
      </c>
      <c r="B56" s="3" cm="1">
        <f t="array" ref="B56">alea_date(Settings!$B$11,360,Settings!$B$8+alea_int(4,0,Settings!$B$16),Settings!$B$16)</f>
        <v>46335.333333333336</v>
      </c>
      <c r="C56" s="3" cm="1">
        <f t="array" ref="C56">B56+TIME(alea_int(5,1,Settings!$B$16),0,0)</f>
        <v>46335.375</v>
      </c>
      <c r="D56" s="3" t="str" cm="1">
        <f t="array" ref="D56">choice(Settings!K:K,1,Settings!$B$16)</f>
        <v>jeudi am</v>
      </c>
    </row>
    <row r="57" spans="1:4" x14ac:dyDescent="0.25">
      <c r="A57" s="2" t="str" cm="1">
        <f t="array" ref="A57">choice(Professeurs!A:A,1,Settings!$B$16)</f>
        <v>Prof20</v>
      </c>
      <c r="B57" s="3" cm="1">
        <f t="array" ref="B57">alea_date(Settings!$B$11,360,Settings!$B$8+alea_int(4,0,Settings!$B$16),Settings!$B$16)</f>
        <v>46083.333333333336</v>
      </c>
      <c r="C57" s="3" cm="1">
        <f t="array" ref="C57">B57+TIME(alea_int(5,1,Settings!$B$16),0,0)</f>
        <v>46083.458333333336</v>
      </c>
      <c r="D57" s="3" t="str" cm="1">
        <f t="array" ref="D57">choice(Settings!K:K,1,Settings!$B$16)</f>
        <v/>
      </c>
    </row>
    <row r="58" spans="1:4" x14ac:dyDescent="0.25">
      <c r="A58" s="2" t="str" cm="1">
        <f t="array" ref="A58">choice(Professeurs!A:A,1,Settings!$B$16)</f>
        <v>Prof44</v>
      </c>
      <c r="B58" s="3" cm="1">
        <f t="array" ref="B58">alea_date(Settings!$B$11,360,Settings!$B$8+alea_int(4,0,Settings!$B$16),Settings!$B$16)</f>
        <v>46170.375</v>
      </c>
      <c r="C58" s="3" cm="1">
        <f t="array" ref="C58">B58+TIME(alea_int(5,1,Settings!$B$16),0,0)</f>
        <v>46170.5</v>
      </c>
      <c r="D58" s="3" t="str" cm="1">
        <f t="array" ref="D58">choice(Settings!K:K,1,Settings!$B$16)</f>
        <v/>
      </c>
    </row>
    <row r="59" spans="1:4" x14ac:dyDescent="0.25">
      <c r="A59" s="2" t="str" cm="1">
        <f t="array" ref="A59">choice(Professeurs!A:A,1,Settings!$B$16)</f>
        <v>Prof39</v>
      </c>
      <c r="B59" s="3" cm="1">
        <f t="array" ref="B59">alea_date(Settings!$B$11,360,Settings!$B$8+alea_int(4,0,Settings!$B$16),Settings!$B$16)</f>
        <v>46073.416666666664</v>
      </c>
      <c r="C59" s="3" cm="1">
        <f t="array" ref="C59">B59+TIME(alea_int(5,1,Settings!$B$16),0,0)</f>
        <v>46073.541666666664</v>
      </c>
      <c r="D59" s="3" t="str" cm="1">
        <f t="array" ref="D59">choice(Settings!K:K,1,Settings!$B$16)</f>
        <v/>
      </c>
    </row>
    <row r="60" spans="1:4" x14ac:dyDescent="0.25">
      <c r="A60" s="2" t="str" cm="1">
        <f t="array" ref="A60">choice(Professeurs!A:A,1,Settings!$B$16)</f>
        <v>Prof22</v>
      </c>
      <c r="B60" s="3" cm="1">
        <f t="array" ref="B60">alea_date(Settings!$B$11,360,Settings!$B$8+alea_int(4,0,Settings!$B$16),Settings!$B$16)</f>
        <v>46383.416666666664</v>
      </c>
      <c r="C60" s="3" cm="1">
        <f t="array" ref="C60">B60+TIME(alea_int(5,1,Settings!$B$16),0,0)</f>
        <v>46383.625</v>
      </c>
      <c r="D60" s="3" t="str" cm="1">
        <f t="array" ref="D60">choice(Settings!K:K,1,Settings!$B$16)</f>
        <v/>
      </c>
    </row>
    <row r="61" spans="1:4" x14ac:dyDescent="0.25">
      <c r="A61" s="2" t="str" cm="1">
        <f t="array" ref="A61">choice(Professeurs!A:A,1,Settings!$B$16)</f>
        <v>Prof46</v>
      </c>
      <c r="B61" s="3" cm="1">
        <f t="array" ref="B61">alea_date(Settings!$B$11,360,Settings!$B$8+alea_int(4,0,Settings!$B$16),Settings!$B$16)</f>
        <v>46139.375</v>
      </c>
      <c r="C61" s="3" cm="1">
        <f t="array" ref="C61">B61+TIME(alea_int(5,1,Settings!$B$16),0,0)</f>
        <v>46139.583333333336</v>
      </c>
      <c r="D61" s="3" t="str" cm="1">
        <f t="array" ref="D61">choice(Settings!K:K,1,Settings!$B$16)</f>
        <v>jeudi pm</v>
      </c>
    </row>
    <row r="62" spans="1:4" x14ac:dyDescent="0.25">
      <c r="A62" s="2" t="str" cm="1">
        <f t="array" ref="A62">choice(Professeurs!A:A,1,Settings!$B$16)</f>
        <v>Prof17</v>
      </c>
      <c r="B62" s="3" cm="1">
        <f t="array" ref="B62">alea_date(Settings!$B$11,360,Settings!$B$8+alea_int(4,0,Settings!$B$16),Settings!$B$16)</f>
        <v>46338.458333333336</v>
      </c>
      <c r="C62" s="3" cm="1">
        <f t="array" ref="C62">B62+TIME(alea_int(5,1,Settings!$B$16),0,0)</f>
        <v>46338.5</v>
      </c>
      <c r="D62" s="3" t="str" cm="1">
        <f t="array" ref="D62">choice(Settings!K:K,1,Settings!$B$16)</f>
        <v/>
      </c>
    </row>
    <row r="63" spans="1:4" x14ac:dyDescent="0.25">
      <c r="A63" s="2" t="str" cm="1">
        <f t="array" ref="A63">choice(Professeurs!A:A,1,Settings!$B$16)</f>
        <v>Prof3</v>
      </c>
      <c r="B63" s="3" cm="1">
        <f t="array" ref="B63">alea_date(Settings!$B$11,360,Settings!$B$8+alea_int(4,0,Settings!$B$16),Settings!$B$16)</f>
        <v>46048.416666666664</v>
      </c>
      <c r="C63" s="3" cm="1">
        <f t="array" ref="C63">B63+TIME(alea_int(5,1,Settings!$B$16),0,0)</f>
        <v>46048.458333333328</v>
      </c>
      <c r="D63" s="3" t="str" cm="1">
        <f t="array" ref="D63">choice(Settings!K:K,1,Settings!$B$16)</f>
        <v>semaine</v>
      </c>
    </row>
    <row r="64" spans="1:4" x14ac:dyDescent="0.25">
      <c r="A64" s="2" t="str" cm="1">
        <f t="array" ref="A64">choice(Professeurs!A:A,1,Settings!$B$16)</f>
        <v>Prof27</v>
      </c>
      <c r="B64" s="3" cm="1">
        <f t="array" ref="B64">alea_date(Settings!$B$11,360,Settings!$B$8+alea_int(4,0,Settings!$B$16),Settings!$B$16)</f>
        <v>46252.458333333336</v>
      </c>
      <c r="C64" s="3" cm="1">
        <f t="array" ref="C64">B64+TIME(alea_int(5,1,Settings!$B$16),0,0)</f>
        <v>46252.5</v>
      </c>
      <c r="D64" s="3" t="str" cm="1">
        <f t="array" ref="D64">choice(Settings!K:K,1,Settings!$B$16)</f>
        <v/>
      </c>
    </row>
    <row r="65" spans="1:4" x14ac:dyDescent="0.25">
      <c r="A65" s="2" t="str" cm="1">
        <f t="array" ref="A65">choice(Professeurs!A:A,1,Settings!$B$16)</f>
        <v>Prof9</v>
      </c>
      <c r="B65" s="3" cm="1">
        <f t="array" ref="B65">alea_date(Settings!$B$11,360,Settings!$B$8+alea_int(4,0,Settings!$B$16),Settings!$B$16)</f>
        <v>46057.375</v>
      </c>
      <c r="C65" s="3" cm="1">
        <f t="array" ref="C65">B65+TIME(alea_int(5,1,Settings!$B$16),0,0)</f>
        <v>46057.458333333336</v>
      </c>
      <c r="D65" s="3" t="str" cm="1">
        <f t="array" ref="D65">choice(Settings!K:K,1,Settings!$B$16)</f>
        <v>vendredi pm</v>
      </c>
    </row>
    <row r="66" spans="1:4" x14ac:dyDescent="0.25">
      <c r="A66" s="2" t="str" cm="1">
        <f t="array" ref="A66">choice(Professeurs!A:A,1,Settings!$B$16)</f>
        <v>Prof41</v>
      </c>
      <c r="B66" s="3" cm="1">
        <f t="array" ref="B66">alea_date(Settings!$B$11,360,Settings!$B$8+alea_int(4,0,Settings!$B$16),Settings!$B$16)</f>
        <v>46284.375</v>
      </c>
      <c r="C66" s="3" cm="1">
        <f t="array" ref="C66">B66+TIME(alea_int(5,1,Settings!$B$16),0,0)</f>
        <v>46284.416666666664</v>
      </c>
      <c r="D66" s="3" t="str" cm="1">
        <f t="array" ref="D66">choice(Settings!K:K,1,Settings!$B$16)</f>
        <v>mercredi ap</v>
      </c>
    </row>
    <row r="67" spans="1:4" x14ac:dyDescent="0.25">
      <c r="A67" s="2" t="str" cm="1">
        <f t="array" ref="A67">choice(Professeurs!A:A,1,Settings!$B$16)</f>
        <v>Prof25</v>
      </c>
      <c r="B67" s="3" cm="1">
        <f t="array" ref="B67">alea_date(Settings!$B$11,360,Settings!$B$8+alea_int(4,0,Settings!$B$16),Settings!$B$16)</f>
        <v>46143.458333333336</v>
      </c>
      <c r="C67" s="3" cm="1">
        <f t="array" ref="C67">B67+TIME(alea_int(5,1,Settings!$B$16),0,0)</f>
        <v>46143.625</v>
      </c>
      <c r="D67" s="3" t="str" cm="1">
        <f t="array" ref="D67">choice(Settings!K:K,1,Settings!$B$16)</f>
        <v/>
      </c>
    </row>
    <row r="68" spans="1:4" x14ac:dyDescent="0.25">
      <c r="A68" s="2" t="str" cm="1">
        <f t="array" ref="A68">choice(Professeurs!A:A,1,Settings!$B$16)</f>
        <v>Prof4</v>
      </c>
      <c r="B68" s="3" cm="1">
        <f t="array" ref="B68">alea_date(Settings!$B$11,360,Settings!$B$8+alea_int(4,0,Settings!$B$16),Settings!$B$16)</f>
        <v>46347.333333333336</v>
      </c>
      <c r="C68" s="3" cm="1">
        <f t="array" ref="C68">B68+TIME(alea_int(5,1,Settings!$B$16),0,0)</f>
        <v>46347.416666666672</v>
      </c>
      <c r="D68" s="3" t="str" cm="1">
        <f t="array" ref="D68">choice(Settings!K:K,1,Settings!$B$16)</f>
        <v/>
      </c>
    </row>
    <row r="69" spans="1:4" x14ac:dyDescent="0.25">
      <c r="A69" s="2" t="str" cm="1">
        <f t="array" ref="A69">choice(Professeurs!A:A,1,Settings!$B$16)</f>
        <v>Prof17</v>
      </c>
      <c r="B69" s="3" cm="1">
        <f t="array" ref="B69">alea_date(Settings!$B$11,360,Settings!$B$8+alea_int(4,0,Settings!$B$16),Settings!$B$16)</f>
        <v>46138.333333333336</v>
      </c>
      <c r="C69" s="3" cm="1">
        <f t="array" ref="C69">B69+TIME(alea_int(5,1,Settings!$B$16),0,0)</f>
        <v>46138.375</v>
      </c>
      <c r="D69" s="3" t="str" cm="1">
        <f t="array" ref="D69">choice(Settings!K:K,1,Settings!$B$16)</f>
        <v>mercredi pm</v>
      </c>
    </row>
    <row r="70" spans="1:4" x14ac:dyDescent="0.25">
      <c r="A70" s="2" t="str" cm="1">
        <f t="array" ref="A70">choice(Professeurs!A:A,1,Settings!$B$16)</f>
        <v>Prof13</v>
      </c>
      <c r="B70" s="3" cm="1">
        <f t="array" ref="B70">alea_date(Settings!$B$11,360,Settings!$B$8+alea_int(4,0,Settings!$B$16),Settings!$B$16)</f>
        <v>46292.333333333336</v>
      </c>
      <c r="C70" s="3" cm="1">
        <f t="array" ref="C70">B70+TIME(alea_int(5,1,Settings!$B$16),0,0)</f>
        <v>46292.416666666672</v>
      </c>
      <c r="D70" s="3" t="str" cm="1">
        <f t="array" ref="D70">choice(Settings!K:K,1,Settings!$B$16)</f>
        <v/>
      </c>
    </row>
    <row r="71" spans="1:4" x14ac:dyDescent="0.25">
      <c r="A71" s="2" t="str" cm="1">
        <f t="array" ref="A71">choice(Professeurs!A:A,1,Settings!$B$16)</f>
        <v>Prof42</v>
      </c>
      <c r="B71" s="3" cm="1">
        <f t="array" ref="B71">alea_date(Settings!$B$11,360,Settings!$B$8+alea_int(4,0,Settings!$B$16),Settings!$B$16)</f>
        <v>46077.375</v>
      </c>
      <c r="C71" s="3" cm="1">
        <f t="array" ref="C71">B71+TIME(alea_int(5,1,Settings!$B$16),0,0)</f>
        <v>46077.5</v>
      </c>
      <c r="D71" s="3" t="str" cm="1">
        <f t="array" ref="D71">choice(Settings!K:K,1,Settings!$B$16)</f>
        <v>jeudi pm</v>
      </c>
    </row>
    <row r="72" spans="1:4" x14ac:dyDescent="0.25">
      <c r="A72" s="2" t="str" cm="1">
        <f t="array" ref="A72">choice(Professeurs!A:A,1,Settings!$B$16)</f>
        <v>Prof44</v>
      </c>
      <c r="B72" s="3" cm="1">
        <f t="array" ref="B72">alea_date(Settings!$B$11,360,Settings!$B$8+alea_int(4,0,Settings!$B$16),Settings!$B$16)</f>
        <v>46284.333333333336</v>
      </c>
      <c r="C72" s="3" cm="1">
        <f t="array" ref="C72">B72+TIME(alea_int(5,1,Settings!$B$16),0,0)</f>
        <v>46284.458333333336</v>
      </c>
      <c r="D72" s="3" t="str" cm="1">
        <f t="array" ref="D72">choice(Settings!K:K,1,Settings!$B$16)</f>
        <v>mardi pm</v>
      </c>
    </row>
    <row r="73" spans="1:4" x14ac:dyDescent="0.25">
      <c r="A73" s="2" t="str" cm="1">
        <f t="array" ref="A73">choice(Professeurs!A:A,1,Settings!$B$16)</f>
        <v>Prof15</v>
      </c>
      <c r="B73" s="3" cm="1">
        <f t="array" ref="B73">alea_date(Settings!$B$11,360,Settings!$B$8+alea_int(4,0,Settings!$B$16),Settings!$B$16)</f>
        <v>46093.375</v>
      </c>
      <c r="C73" s="3" cm="1">
        <f t="array" ref="C73">B73+TIME(alea_int(5,1,Settings!$B$16),0,0)</f>
        <v>46093.416666666664</v>
      </c>
      <c r="D73" s="3" t="str" cm="1">
        <f t="array" ref="D73">choice(Settings!K:K,1,Settings!$B$16)</f>
        <v/>
      </c>
    </row>
    <row r="74" spans="1:4" x14ac:dyDescent="0.25">
      <c r="A74" s="2" t="str" cm="1">
        <f t="array" ref="A74">choice(Professeurs!A:A,1,Settings!$B$16)</f>
        <v>Prof44</v>
      </c>
      <c r="B74" s="3" cm="1">
        <f t="array" ref="B74">alea_date(Settings!$B$11,360,Settings!$B$8+alea_int(4,0,Settings!$B$16),Settings!$B$16)</f>
        <v>46102.458333333336</v>
      </c>
      <c r="C74" s="3" cm="1">
        <f t="array" ref="C74">B74+TIME(alea_int(5,1,Settings!$B$16),0,0)</f>
        <v>46102.541666666672</v>
      </c>
      <c r="D74" s="3" t="str" cm="1">
        <f t="array" ref="D74">choice(Settings!K:K,1,Settings!$B$16)</f>
        <v>vendredi am</v>
      </c>
    </row>
    <row r="75" spans="1:4" x14ac:dyDescent="0.25">
      <c r="A75" s="2" t="str" cm="1">
        <f t="array" ref="A75">choice(Professeurs!A:A,1,Settings!$B$16)</f>
        <v>Prof49</v>
      </c>
      <c r="B75" s="3" cm="1">
        <f t="array" ref="B75">alea_date(Settings!$B$11,360,Settings!$B$8+alea_int(4,0,Settings!$B$16),Settings!$B$16)</f>
        <v>46329.416666666664</v>
      </c>
      <c r="C75" s="3" cm="1">
        <f t="array" ref="C75">B75+TIME(alea_int(5,1,Settings!$B$16),0,0)</f>
        <v>46329.583333333328</v>
      </c>
      <c r="D75" s="3" t="str" cm="1">
        <f t="array" ref="D75">choice(Settings!K:K,1,Settings!$B$16)</f>
        <v/>
      </c>
    </row>
    <row r="76" spans="1:4" x14ac:dyDescent="0.25">
      <c r="A76" s="2" t="str" cm="1">
        <f t="array" ref="A76">choice(Professeurs!A:A,1,Settings!$B$16)</f>
        <v>Prof10</v>
      </c>
      <c r="B76" s="3" cm="1">
        <f t="array" ref="B76">alea_date(Settings!$B$11,360,Settings!$B$8+alea_int(4,0,Settings!$B$16),Settings!$B$16)</f>
        <v>46258.333333333336</v>
      </c>
      <c r="C76" s="3" cm="1">
        <f t="array" ref="C76">B76+TIME(alea_int(5,1,Settings!$B$16),0,0)</f>
        <v>46258.458333333336</v>
      </c>
      <c r="D76" s="3" t="str" cm="1">
        <f t="array" ref="D76">choice(Settings!K:K,1,Settings!$B$16)</f>
        <v/>
      </c>
    </row>
    <row r="77" spans="1:4" x14ac:dyDescent="0.25">
      <c r="A77" s="2" t="str" cm="1">
        <f t="array" ref="A77">choice(Professeurs!A:A,1,Settings!$B$16)</f>
        <v>Prof17</v>
      </c>
      <c r="B77" s="3" cm="1">
        <f t="array" ref="B77">alea_date(Settings!$B$11,360,Settings!$B$8+alea_int(4,0,Settings!$B$16),Settings!$B$16)</f>
        <v>46101.333333333336</v>
      </c>
      <c r="C77" s="3" cm="1">
        <f t="array" ref="C77">B77+TIME(alea_int(5,1,Settings!$B$16),0,0)</f>
        <v>46101.5</v>
      </c>
      <c r="D77" s="3" t="str" cm="1">
        <f t="array" ref="D77">choice(Settings!K:K,1,Settings!$B$16)</f>
        <v>vendredi pm</v>
      </c>
    </row>
    <row r="78" spans="1:4" x14ac:dyDescent="0.25">
      <c r="A78" s="2" t="str" cm="1">
        <f t="array" ref="A78">choice(Professeurs!A:A,1,Settings!$B$16)</f>
        <v>Prof18</v>
      </c>
      <c r="B78" s="3" cm="1">
        <f t="array" ref="B78">alea_date(Settings!$B$11,360,Settings!$B$8+alea_int(4,0,Settings!$B$16),Settings!$B$16)</f>
        <v>46253.333333333336</v>
      </c>
      <c r="C78" s="3" cm="1">
        <f t="array" ref="C78">B78+TIME(alea_int(5,1,Settings!$B$16),0,0)</f>
        <v>46253.375</v>
      </c>
      <c r="D78" s="3" t="str" cm="1">
        <f t="array" ref="D78">choice(Settings!K:K,1,Settings!$B$16)</f>
        <v>vendredi pm</v>
      </c>
    </row>
    <row r="79" spans="1:4" x14ac:dyDescent="0.25">
      <c r="A79" s="2" t="str" cm="1">
        <f t="array" ref="A79">choice(Professeurs!A:A,1,Settings!$B$16)</f>
        <v>Prof25</v>
      </c>
      <c r="B79" s="3" cm="1">
        <f t="array" ref="B79">alea_date(Settings!$B$11,360,Settings!$B$8+alea_int(4,0,Settings!$B$16),Settings!$B$16)</f>
        <v>46186.375</v>
      </c>
      <c r="C79" s="3" cm="1">
        <f t="array" ref="C79">B79+TIME(alea_int(5,1,Settings!$B$16),0,0)</f>
        <v>46186.541666666664</v>
      </c>
      <c r="D79" s="3" t="str" cm="1">
        <f t="array" ref="D79">choice(Settings!K:K,1,Settings!$B$16)</f>
        <v/>
      </c>
    </row>
    <row r="80" spans="1:4" x14ac:dyDescent="0.25">
      <c r="A80" s="2" t="str" cm="1">
        <f t="array" ref="A80">choice(Professeurs!A:A,1,Settings!$B$16)</f>
        <v>Prof18</v>
      </c>
      <c r="B80" s="3" cm="1">
        <f t="array" ref="B80">alea_date(Settings!$B$11,360,Settings!$B$8+alea_int(4,0,Settings!$B$16),Settings!$B$16)</f>
        <v>46080.333333333336</v>
      </c>
      <c r="C80" s="3" cm="1">
        <f t="array" ref="C80">B80+TIME(alea_int(5,1,Settings!$B$16),0,0)</f>
        <v>46080.375</v>
      </c>
      <c r="D80" s="3" t="str" cm="1">
        <f t="array" ref="D80">choice(Settings!K:K,1,Settings!$B$16)</f>
        <v/>
      </c>
    </row>
    <row r="81" spans="1:4" x14ac:dyDescent="0.25">
      <c r="A81" s="2" t="str" cm="1">
        <f t="array" ref="A81">choice(Professeurs!A:A,1,Settings!$B$16)</f>
        <v>Prof55</v>
      </c>
      <c r="B81" s="3" cm="1">
        <f t="array" ref="B81">alea_date(Settings!$B$11,360,Settings!$B$8+alea_int(4,0,Settings!$B$16),Settings!$B$16)</f>
        <v>46039.458333333336</v>
      </c>
      <c r="C81" s="3" cm="1">
        <f t="array" ref="C81">B81+TIME(alea_int(5,1,Settings!$B$16),0,0)</f>
        <v>46039.625</v>
      </c>
      <c r="D81" s="3" t="str" cm="1">
        <f t="array" ref="D81">choice(Settings!K:K,1,Settings!$B$16)</f>
        <v/>
      </c>
    </row>
    <row r="82" spans="1:4" x14ac:dyDescent="0.25">
      <c r="A82" s="2" t="str" cm="1">
        <f t="array" ref="A82">choice(Professeurs!A:A,1,Settings!$B$16)</f>
        <v>Prof18</v>
      </c>
      <c r="B82" s="3" cm="1">
        <f t="array" ref="B82">alea_date(Settings!$B$11,360,Settings!$B$8+alea_int(4,0,Settings!$B$16),Settings!$B$16)</f>
        <v>46042.375</v>
      </c>
      <c r="C82" s="3" cm="1">
        <f t="array" ref="C82">B82+TIME(alea_int(5,1,Settings!$B$16),0,0)</f>
        <v>46042.416666666664</v>
      </c>
      <c r="D82" s="3" t="str" cm="1">
        <f t="array" ref="D82">choice(Settings!K:K,1,Settings!$B$16)</f>
        <v/>
      </c>
    </row>
    <row r="83" spans="1:4" x14ac:dyDescent="0.25">
      <c r="A83" s="2" t="str" cm="1">
        <f t="array" ref="A83">choice(Professeurs!A:A,1,Settings!$B$16)</f>
        <v>Prof32</v>
      </c>
      <c r="B83" s="3" cm="1">
        <f t="array" ref="B83">alea_date(Settings!$B$11,360,Settings!$B$8+alea_int(4,0,Settings!$B$16),Settings!$B$16)</f>
        <v>46352.375</v>
      </c>
      <c r="C83" s="3" cm="1">
        <f t="array" ref="C83">B83+TIME(alea_int(5,1,Settings!$B$16),0,0)</f>
        <v>46352.583333333336</v>
      </c>
      <c r="D83" s="3" t="str" cm="1">
        <f t="array" ref="D83">choice(Settings!K:K,1,Settings!$B$16)</f>
        <v/>
      </c>
    </row>
    <row r="84" spans="1:4" x14ac:dyDescent="0.25">
      <c r="A84" s="2" t="str" cm="1">
        <f t="array" ref="A84">choice(Professeurs!A:A,1,Settings!$B$16)</f>
        <v>Prof39</v>
      </c>
      <c r="B84" s="3" cm="1">
        <f t="array" ref="B84">alea_date(Settings!$B$11,360,Settings!$B$8+alea_int(4,0,Settings!$B$16),Settings!$B$16)</f>
        <v>46158.416666666664</v>
      </c>
      <c r="C84" s="3" cm="1">
        <f t="array" ref="C84">B84+TIME(alea_int(5,1,Settings!$B$16),0,0)</f>
        <v>46158.541666666664</v>
      </c>
      <c r="D84" s="3" t="str" cm="1">
        <f t="array" ref="D84">choice(Settings!K:K,1,Settings!$B$16)</f>
        <v/>
      </c>
    </row>
    <row r="85" spans="1:4" x14ac:dyDescent="0.25">
      <c r="A85" s="2" t="str" cm="1">
        <f t="array" ref="A85">choice(Professeurs!A:A,1,Settings!$B$16)</f>
        <v>Prof48</v>
      </c>
      <c r="B85" s="3" cm="1">
        <f t="array" ref="B85">alea_date(Settings!$B$11,360,Settings!$B$8+alea_int(4,0,Settings!$B$16),Settings!$B$16)</f>
        <v>46212.375</v>
      </c>
      <c r="C85" s="3" cm="1">
        <f t="array" ref="C85">B85+TIME(alea_int(5,1,Settings!$B$16),0,0)</f>
        <v>46212.5</v>
      </c>
      <c r="D85" s="3" t="str" cm="1">
        <f t="array" ref="D85">choice(Settings!K:K,1,Settings!$B$16)</f>
        <v/>
      </c>
    </row>
    <row r="86" spans="1:4" x14ac:dyDescent="0.25">
      <c r="A86" s="2" t="str" cm="1">
        <f t="array" ref="A86">choice(Professeurs!A:A,1,Settings!$B$16)</f>
        <v>Prof47</v>
      </c>
      <c r="B86" s="3" cm="1">
        <f t="array" ref="B86">alea_date(Settings!$B$11,360,Settings!$B$8+alea_int(4,0,Settings!$B$16),Settings!$B$16)</f>
        <v>46073.333333333336</v>
      </c>
      <c r="C86" s="3" cm="1">
        <f t="array" ref="C86">B86+TIME(alea_int(5,1,Settings!$B$16),0,0)</f>
        <v>46073.541666666672</v>
      </c>
      <c r="D86" s="3" t="str" cm="1">
        <f t="array" ref="D86">choice(Settings!K:K,1,Settings!$B$16)</f>
        <v>jeudi am</v>
      </c>
    </row>
    <row r="87" spans="1:4" x14ac:dyDescent="0.25">
      <c r="A87" s="2" t="str" cm="1">
        <f t="array" ref="A87">choice(Professeurs!A:A,1,Settings!$B$16)</f>
        <v>Prof27</v>
      </c>
      <c r="B87" s="3" cm="1">
        <f t="array" ref="B87">alea_date(Settings!$B$11,360,Settings!$B$8+alea_int(4,0,Settings!$B$16),Settings!$B$16)</f>
        <v>46062.375</v>
      </c>
      <c r="C87" s="3" cm="1">
        <f t="array" ref="C87">B87+TIME(alea_int(5,1,Settings!$B$16),0,0)</f>
        <v>46062.541666666664</v>
      </c>
      <c r="D87" s="3" t="str" cm="1">
        <f t="array" ref="D87">choice(Settings!K:K,1,Settings!$B$16)</f>
        <v/>
      </c>
    </row>
    <row r="88" spans="1:4" x14ac:dyDescent="0.25">
      <c r="A88" s="2" t="str" cm="1">
        <f t="array" ref="A88">choice(Professeurs!A:A,1,Settings!$B$16)</f>
        <v>Prof13</v>
      </c>
      <c r="B88" s="3" cm="1">
        <f t="array" ref="B88">alea_date(Settings!$B$11,360,Settings!$B$8+alea_int(4,0,Settings!$B$16),Settings!$B$16)</f>
        <v>46192.333333333336</v>
      </c>
      <c r="C88" s="3" cm="1">
        <f t="array" ref="C88">B88+TIME(alea_int(5,1,Settings!$B$16),0,0)</f>
        <v>46192.416666666672</v>
      </c>
      <c r="D88" s="3" t="str" cm="1">
        <f t="array" ref="D88">choice(Settings!K:K,1,Settings!$B$16)</f>
        <v/>
      </c>
    </row>
    <row r="89" spans="1:4" x14ac:dyDescent="0.25">
      <c r="A89" s="2" t="str" cm="1">
        <f t="array" ref="A89">choice(Professeurs!A:A,1,Settings!$B$16)</f>
        <v>Prof43</v>
      </c>
      <c r="B89" s="3" cm="1">
        <f t="array" ref="B89">alea_date(Settings!$B$11,360,Settings!$B$8+alea_int(4,0,Settings!$B$16),Settings!$B$16)</f>
        <v>46377.333333333336</v>
      </c>
      <c r="C89" s="3" cm="1">
        <f t="array" ref="C89">B89+TIME(alea_int(5,1,Settings!$B$16),0,0)</f>
        <v>46377.5</v>
      </c>
      <c r="D89" s="3" t="str" cm="1">
        <f t="array" ref="D89">choice(Settings!K:K,1,Settings!$B$16)</f>
        <v/>
      </c>
    </row>
    <row r="90" spans="1:4" x14ac:dyDescent="0.25">
      <c r="A90" s="2" t="str" cm="1">
        <f t="array" ref="A90">choice(Professeurs!A:A,1,Settings!$B$16)</f>
        <v>Prof36</v>
      </c>
      <c r="B90" s="3" cm="1">
        <f t="array" ref="B90">alea_date(Settings!$B$11,360,Settings!$B$8+alea_int(4,0,Settings!$B$16),Settings!$B$16)</f>
        <v>46269.375</v>
      </c>
      <c r="C90" s="3" cm="1">
        <f t="array" ref="C90">B90+TIME(alea_int(5,1,Settings!$B$16),0,0)</f>
        <v>46269.583333333336</v>
      </c>
      <c r="D90" s="3" t="str" cm="1">
        <f t="array" ref="D90">choice(Settings!K:K,1,Settings!$B$16)</f>
        <v>vendredi pm</v>
      </c>
    </row>
    <row r="91" spans="1:4" x14ac:dyDescent="0.25">
      <c r="A91" s="2" t="str" cm="1">
        <f t="array" ref="A91">choice(Professeurs!A:A,1,Settings!$B$16)</f>
        <v>Prof16</v>
      </c>
      <c r="B91" s="3" cm="1">
        <f t="array" ref="B91">alea_date(Settings!$B$11,360,Settings!$B$8+alea_int(4,0,Settings!$B$16),Settings!$B$16)</f>
        <v>46279.416666666664</v>
      </c>
      <c r="C91" s="3" cm="1">
        <f t="array" ref="C91">B91+TIME(alea_int(5,1,Settings!$B$16),0,0)</f>
        <v>46279.625</v>
      </c>
      <c r="D91" s="3" t="str" cm="1">
        <f t="array" ref="D91">choice(Settings!K:K,1,Settings!$B$16)</f>
        <v/>
      </c>
    </row>
    <row r="92" spans="1:4" x14ac:dyDescent="0.25">
      <c r="A92" s="2" t="str" cm="1">
        <f t="array" ref="A92">choice(Professeurs!A:A,1,Settings!$B$16)</f>
        <v>Prof1</v>
      </c>
      <c r="B92" s="3" cm="1">
        <f t="array" ref="B92">alea_date(Settings!$B$11,360,Settings!$B$8+alea_int(4,0,Settings!$B$16),Settings!$B$16)</f>
        <v>46092.416666666664</v>
      </c>
      <c r="C92" s="3" cm="1">
        <f t="array" ref="C92">B92+TIME(alea_int(5,1,Settings!$B$16),0,0)</f>
        <v>46092.625</v>
      </c>
      <c r="D92" s="3" t="str" cm="1">
        <f t="array" ref="D92">choice(Settings!K:K,1,Settings!$B$16)</f>
        <v>vendredi am</v>
      </c>
    </row>
    <row r="93" spans="1:4" x14ac:dyDescent="0.25">
      <c r="A93" s="2" t="str" cm="1">
        <f t="array" ref="A93">choice(Professeurs!A:A,1,Settings!$B$16)</f>
        <v>Prof11</v>
      </c>
      <c r="B93" s="3" cm="1">
        <f t="array" ref="B93">alea_date(Settings!$B$11,360,Settings!$B$8+alea_int(4,0,Settings!$B$16),Settings!$B$16)</f>
        <v>46188.375</v>
      </c>
      <c r="C93" s="3" cm="1">
        <f t="array" ref="C93">B93+TIME(alea_int(5,1,Settings!$B$16),0,0)</f>
        <v>46188.416666666664</v>
      </c>
      <c r="D93" s="3" t="str" cm="1">
        <f t="array" ref="D93">choice(Settings!K:K,1,Settings!$B$16)</f>
        <v/>
      </c>
    </row>
    <row r="94" spans="1:4" x14ac:dyDescent="0.25">
      <c r="A94" s="2" t="str" cm="1">
        <f t="array" ref="A94">choice(Professeurs!A:A,1,Settings!$B$16)</f>
        <v>Prof43</v>
      </c>
      <c r="B94" s="3" cm="1">
        <f t="array" ref="B94">alea_date(Settings!$B$11,360,Settings!$B$8+alea_int(4,0,Settings!$B$16),Settings!$B$16)</f>
        <v>46163.416666666664</v>
      </c>
      <c r="C94" s="3" cm="1">
        <f t="array" ref="C94">B94+TIME(alea_int(5,1,Settings!$B$16),0,0)</f>
        <v>46163.458333333328</v>
      </c>
      <c r="D94" s="3" t="str" cm="1">
        <f t="array" ref="D94">choice(Settings!K:K,1,Settings!$B$16)</f>
        <v/>
      </c>
    </row>
    <row r="95" spans="1:4" x14ac:dyDescent="0.25">
      <c r="A95" s="2" t="str" cm="1">
        <f t="array" ref="A95">choice(Professeurs!A:A,1,Settings!$B$16)</f>
        <v>Prof42</v>
      </c>
      <c r="B95" s="3" cm="1">
        <f t="array" ref="B95">alea_date(Settings!$B$11,360,Settings!$B$8+alea_int(4,0,Settings!$B$16),Settings!$B$16)</f>
        <v>46039.333333333336</v>
      </c>
      <c r="C95" s="3" cm="1">
        <f t="array" ref="C95">B95+TIME(alea_int(5,1,Settings!$B$16),0,0)</f>
        <v>46039.458333333336</v>
      </c>
      <c r="D95" s="3" t="str" cm="1">
        <f t="array" ref="D95">choice(Settings!K:K,1,Settings!$B$16)</f>
        <v/>
      </c>
    </row>
    <row r="96" spans="1:4" x14ac:dyDescent="0.25">
      <c r="A96" s="2" t="str" cm="1">
        <f t="array" ref="A96">choice(Professeurs!A:A,1,Settings!$B$16)</f>
        <v>Prof45</v>
      </c>
      <c r="B96" s="3" cm="1">
        <f t="array" ref="B96">alea_date(Settings!$B$11,360,Settings!$B$8+alea_int(4,0,Settings!$B$16),Settings!$B$16)</f>
        <v>46059.416666666664</v>
      </c>
      <c r="C96" s="3" cm="1">
        <f t="array" ref="C96">B96+TIME(alea_int(5,1,Settings!$B$16),0,0)</f>
        <v>46059.5</v>
      </c>
      <c r="D96" s="3" t="str" cm="1">
        <f t="array" ref="D96">choice(Settings!K:K,1,Settings!$B$16)</f>
        <v>vendredi am</v>
      </c>
    </row>
    <row r="97" spans="1:4" x14ac:dyDescent="0.25">
      <c r="A97" s="2" t="str" cm="1">
        <f t="array" ref="A97">choice(Professeurs!A:A,1,Settings!$B$16)</f>
        <v>Prof6</v>
      </c>
      <c r="B97" s="3" cm="1">
        <f t="array" ref="B97">alea_date(Settings!$B$11,360,Settings!$B$8+alea_int(4,0,Settings!$B$16),Settings!$B$16)</f>
        <v>46188.333333333336</v>
      </c>
      <c r="C97" s="3" cm="1">
        <f t="array" ref="C97">B97+TIME(alea_int(5,1,Settings!$B$16),0,0)</f>
        <v>46188.5</v>
      </c>
      <c r="D97" s="3" t="str" cm="1">
        <f t="array" ref="D97">choice(Settings!K:K,1,Settings!$B$16)</f>
        <v/>
      </c>
    </row>
    <row r="98" spans="1:4" x14ac:dyDescent="0.25">
      <c r="A98" s="2" t="str" cm="1">
        <f t="array" ref="A98">choice(Professeurs!A:A,1,Settings!$B$16)</f>
        <v>Prof45</v>
      </c>
      <c r="B98" s="3" cm="1">
        <f t="array" ref="B98">alea_date(Settings!$B$11,360,Settings!$B$8+alea_int(4,0,Settings!$B$16),Settings!$B$16)</f>
        <v>46090.416666666664</v>
      </c>
      <c r="C98" s="3" cm="1">
        <f t="array" ref="C98">B98+TIME(alea_int(5,1,Settings!$B$16),0,0)</f>
        <v>46090.583333333328</v>
      </c>
      <c r="D98" s="3" t="str" cm="1">
        <f t="array" ref="D98">choice(Settings!K:K,1,Settings!$B$16)</f>
        <v>lundi pm</v>
      </c>
    </row>
    <row r="99" spans="1:4" x14ac:dyDescent="0.25">
      <c r="A99" s="2" t="str" cm="1">
        <f t="array" ref="A99">choice(Professeurs!A:A,1,Settings!$B$16)</f>
        <v>Prof52</v>
      </c>
      <c r="B99" s="3" cm="1">
        <f t="array" ref="B99">alea_date(Settings!$B$11,360,Settings!$B$8+alea_int(4,0,Settings!$B$16),Settings!$B$16)</f>
        <v>46276.333333333336</v>
      </c>
      <c r="C99" s="3" cm="1">
        <f t="array" ref="C99">B99+TIME(alea_int(5,1,Settings!$B$16),0,0)</f>
        <v>46276.5</v>
      </c>
      <c r="D99" s="3" t="str" cm="1">
        <f t="array" ref="D99">choice(Settings!K:K,1,Settings!$B$16)</f>
        <v/>
      </c>
    </row>
    <row r="100" spans="1:4" x14ac:dyDescent="0.25">
      <c r="A100" s="2" t="str" cm="1">
        <f t="array" ref="A100">choice(Professeurs!A:A,1,Settings!$B$16)</f>
        <v>Prof29</v>
      </c>
      <c r="B100" s="3" cm="1">
        <f t="array" ref="B100">alea_date(Settings!$B$11,360,Settings!$B$8+alea_int(4,0,Settings!$B$16),Settings!$B$16)</f>
        <v>46027.333333333336</v>
      </c>
      <c r="C100" s="3" cm="1">
        <f t="array" ref="C100">B100+TIME(alea_int(5,1,Settings!$B$16),0,0)</f>
        <v>46027.416666666672</v>
      </c>
      <c r="D100" s="3" t="str" cm="1">
        <f t="array" ref="D100">choice(Settings!K:K,1,Settings!$B$16)</f>
        <v>mardi pm</v>
      </c>
    </row>
    <row r="101" spans="1:4" x14ac:dyDescent="0.25">
      <c r="A101" s="2" t="str" cm="1">
        <f t="array" ref="A101">choice(Professeurs!A:A,1,Settings!$B$16)</f>
        <v>Prof5</v>
      </c>
      <c r="B101" s="3" cm="1">
        <f t="array" ref="B101">alea_date(Settings!$B$11,360,Settings!$B$8+alea_int(4,0,Settings!$B$16),Settings!$B$16)</f>
        <v>46130.333333333336</v>
      </c>
      <c r="C101" s="3" cm="1">
        <f t="array" ref="C101">B101+TIME(alea_int(5,1,Settings!$B$16),0,0)</f>
        <v>46130.5</v>
      </c>
      <c r="D101" s="3" t="str" cm="1">
        <f t="array" ref="D101">choice(Settings!K:K,1,Settings!$B$16)</f>
        <v/>
      </c>
    </row>
    <row r="102" spans="1:4" x14ac:dyDescent="0.25">
      <c r="A102" s="2" t="str" cm="1">
        <f t="array" ref="A102">choice(Professeurs!A:A,1,Settings!$B$16)</f>
        <v>Prof17</v>
      </c>
      <c r="B102" s="3" cm="1">
        <f t="array" ref="B102">alea_date(Settings!$B$11,360,Settings!$B$8+alea_int(4,0,Settings!$B$16),Settings!$B$16)</f>
        <v>46294.333333333336</v>
      </c>
      <c r="C102" s="3" cm="1">
        <f t="array" ref="C102">B102+TIME(alea_int(5,1,Settings!$B$16),0,0)</f>
        <v>46294.5</v>
      </c>
      <c r="D102" s="3" t="str" cm="1">
        <f t="array" ref="D102">choice(Settings!K:K,1,Settings!$B$16)</f>
        <v>lundi am</v>
      </c>
    </row>
    <row r="103" spans="1:4" x14ac:dyDescent="0.25">
      <c r="A103" s="2" t="str" cm="1">
        <f t="array" ref="A103">choice(Professeurs!A:A,1,Settings!$B$16)</f>
        <v>Prof11</v>
      </c>
      <c r="B103" s="3" cm="1">
        <f t="array" ref="B103">alea_date(Settings!$B$11,360,Settings!$B$8+alea_int(4,0,Settings!$B$16),Settings!$B$16)</f>
        <v>46128.333333333336</v>
      </c>
      <c r="C103" s="3" cm="1">
        <f t="array" ref="C103">B103+TIME(alea_int(5,1,Settings!$B$16),0,0)</f>
        <v>46128.416666666672</v>
      </c>
      <c r="D103" s="3" t="str" cm="1">
        <f t="array" ref="D103">choice(Settings!K:K,1,Settings!$B$16)</f>
        <v>jeudi pm</v>
      </c>
    </row>
    <row r="104" spans="1:4" x14ac:dyDescent="0.25">
      <c r="A104" s="2" t="str" cm="1">
        <f t="array" ref="A104">choice(Professeurs!A:A,1,Settings!$B$16)</f>
        <v>Prof1</v>
      </c>
      <c r="B104" s="3" cm="1">
        <f t="array" ref="B104">alea_date(Settings!$B$11,360,Settings!$B$8+alea_int(4,0,Settings!$B$16),Settings!$B$16)</f>
        <v>46228.416666666664</v>
      </c>
      <c r="C104" s="3" cm="1">
        <f t="array" ref="C104">B104+TIME(alea_int(5,1,Settings!$B$16),0,0)</f>
        <v>46228.625</v>
      </c>
      <c r="D104" s="3" t="str" cm="1">
        <f t="array" ref="D104">choice(Settings!K:K,1,Settings!$B$16)</f>
        <v>mardi am</v>
      </c>
    </row>
    <row r="105" spans="1:4" x14ac:dyDescent="0.25">
      <c r="A105" s="2" t="str" cm="1">
        <f t="array" ref="A105">choice(Professeurs!A:A,1,Settings!$B$16)</f>
        <v>Prof51</v>
      </c>
      <c r="B105" s="3" cm="1">
        <f t="array" ref="B105">alea_date(Settings!$B$11,360,Settings!$B$8+alea_int(4,0,Settings!$B$16),Settings!$B$16)</f>
        <v>46064.416666666664</v>
      </c>
      <c r="C105" s="3" cm="1">
        <f t="array" ref="C105">B105+TIME(alea_int(5,1,Settings!$B$16),0,0)</f>
        <v>46064.5</v>
      </c>
      <c r="D105" s="3" t="str" cm="1">
        <f t="array" ref="D105">choice(Settings!K:K,1,Settings!$B$16)</f>
        <v/>
      </c>
    </row>
    <row r="106" spans="1:4" x14ac:dyDescent="0.25">
      <c r="A106" s="2" t="str" cm="1">
        <f t="array" ref="A106">choice(Professeurs!A:A,1,Settings!$B$16)</f>
        <v>Prof38</v>
      </c>
      <c r="B106" s="3" cm="1">
        <f t="array" ref="B106">alea_date(Settings!$B$11,360,Settings!$B$8+alea_int(4,0,Settings!$B$16),Settings!$B$16)</f>
        <v>46221.458333333336</v>
      </c>
      <c r="C106" s="3" cm="1">
        <f t="array" ref="C106">B106+TIME(alea_int(5,1,Settings!$B$16),0,0)</f>
        <v>46221.541666666672</v>
      </c>
      <c r="D106" s="3" t="str" cm="1">
        <f t="array" ref="D106">choice(Settings!K:K,1,Settings!$B$16)</f>
        <v>lundi am</v>
      </c>
    </row>
    <row r="107" spans="1:4" x14ac:dyDescent="0.25">
      <c r="A107" s="2" t="str" cm="1">
        <f t="array" ref="A107">choice(Professeurs!A:A,1,Settings!$B$16)</f>
        <v>Prof6</v>
      </c>
      <c r="B107" s="3" cm="1">
        <f t="array" ref="B107">alea_date(Settings!$B$11,360,Settings!$B$8+alea_int(4,0,Settings!$B$16),Settings!$B$16)</f>
        <v>46066.458333333336</v>
      </c>
      <c r="C107" s="3" cm="1">
        <f t="array" ref="C107">B107+TIME(alea_int(5,1,Settings!$B$16),0,0)</f>
        <v>46066.5</v>
      </c>
      <c r="D107" s="3" t="str" cm="1">
        <f t="array" ref="D107">choice(Settings!K:K,1,Settings!$B$16)</f>
        <v>lundi am</v>
      </c>
    </row>
    <row r="108" spans="1:4" x14ac:dyDescent="0.25">
      <c r="A108" s="2" t="str" cm="1">
        <f t="array" ref="A108">choice(Professeurs!A:A,1,Settings!$B$16)</f>
        <v>Prof49</v>
      </c>
      <c r="B108" s="3" cm="1">
        <f t="array" ref="B108">alea_date(Settings!$B$11,360,Settings!$B$8+alea_int(4,0,Settings!$B$16),Settings!$B$16)</f>
        <v>46345.416666666664</v>
      </c>
      <c r="C108" s="3" cm="1">
        <f t="array" ref="C108">B108+TIME(alea_int(5,1,Settings!$B$16),0,0)</f>
        <v>46345.5</v>
      </c>
      <c r="D108" s="3" t="str" cm="1">
        <f t="array" ref="D108">choice(Settings!K:K,1,Settings!$B$16)</f>
        <v/>
      </c>
    </row>
    <row r="109" spans="1:4" x14ac:dyDescent="0.25">
      <c r="A109" s="2" t="str" cm="1">
        <f t="array" ref="A109">choice(Professeurs!A:A,1,Settings!$B$16)</f>
        <v>Prof20</v>
      </c>
      <c r="B109" s="3" cm="1">
        <f t="array" ref="B109">alea_date(Settings!$B$11,360,Settings!$B$8+alea_int(4,0,Settings!$B$16),Settings!$B$16)</f>
        <v>46343.416666666664</v>
      </c>
      <c r="C109" s="3" cm="1">
        <f t="array" ref="C109">B109+TIME(alea_int(5,1,Settings!$B$16),0,0)</f>
        <v>46343.458333333328</v>
      </c>
      <c r="D109" s="3" t="str" cm="1">
        <f t="array" ref="D109">choice(Settings!K:K,1,Settings!$B$16)</f>
        <v/>
      </c>
    </row>
    <row r="110" spans="1:4" x14ac:dyDescent="0.25">
      <c r="A110" s="2" t="str" cm="1">
        <f t="array" ref="A110">choice(Professeurs!A:A,1,Settings!$B$16)</f>
        <v>Prof37</v>
      </c>
      <c r="B110" s="3" cm="1">
        <f t="array" ref="B110">alea_date(Settings!$B$11,360,Settings!$B$8+alea_int(4,0,Settings!$B$16),Settings!$B$16)</f>
        <v>46364.375</v>
      </c>
      <c r="C110" s="3" cm="1">
        <f t="array" ref="C110">B110+TIME(alea_int(5,1,Settings!$B$16),0,0)</f>
        <v>46364.416666666664</v>
      </c>
      <c r="D110" s="3" t="str" cm="1">
        <f t="array" ref="D110">choice(Settings!K:K,1,Settings!$B$16)</f>
        <v/>
      </c>
    </row>
    <row r="111" spans="1:4" x14ac:dyDescent="0.25">
      <c r="A111" s="2" t="str" cm="1">
        <f t="array" ref="A111">choice(Professeurs!A:A,1,Settings!$B$16)</f>
        <v>Prof11</v>
      </c>
      <c r="B111" s="3" cm="1">
        <f t="array" ref="B111">alea_date(Settings!$B$11,360,Settings!$B$8+alea_int(4,0,Settings!$B$16),Settings!$B$16)</f>
        <v>46371.333333333336</v>
      </c>
      <c r="C111" s="3" cm="1">
        <f t="array" ref="C111">B111+TIME(alea_int(5,1,Settings!$B$16),0,0)</f>
        <v>46371.5</v>
      </c>
      <c r="D111" s="3" t="str" cm="1">
        <f t="array" ref="D111">choice(Settings!K:K,1,Settings!$B$16)</f>
        <v/>
      </c>
    </row>
    <row r="112" spans="1:4" x14ac:dyDescent="0.25">
      <c r="A112" s="2" t="str" cm="1">
        <f t="array" ref="A112">choice(Professeurs!A:A,1,Settings!$B$16)</f>
        <v>Prof39</v>
      </c>
      <c r="B112" s="3" cm="1">
        <f t="array" ref="B112">alea_date(Settings!$B$11,360,Settings!$B$8+alea_int(4,0,Settings!$B$16),Settings!$B$16)</f>
        <v>46290.375</v>
      </c>
      <c r="C112" s="3" cm="1">
        <f t="array" ref="C112">B112+TIME(alea_int(5,1,Settings!$B$16),0,0)</f>
        <v>46290.5</v>
      </c>
      <c r="D112" s="3" t="str" cm="1">
        <f t="array" ref="D112">choice(Settings!K:K,1,Settings!$B$16)</f>
        <v/>
      </c>
    </row>
    <row r="113" spans="1:4" x14ac:dyDescent="0.25">
      <c r="A113" s="2" t="str" cm="1">
        <f t="array" ref="A113">choice(Professeurs!A:A,1,Settings!$B$16)</f>
        <v>Prof30</v>
      </c>
      <c r="B113" s="3" cm="1">
        <f t="array" ref="B113">alea_date(Settings!$B$11,360,Settings!$B$8+alea_int(4,0,Settings!$B$16),Settings!$B$16)</f>
        <v>46119.458333333336</v>
      </c>
      <c r="C113" s="3" cm="1">
        <f t="array" ref="C113">B113+TIME(alea_int(5,1,Settings!$B$16),0,0)</f>
        <v>46119.5</v>
      </c>
      <c r="D113" s="3" t="str" cm="1">
        <f t="array" ref="D113">choice(Settings!K:K,1,Settings!$B$16)</f>
        <v/>
      </c>
    </row>
    <row r="114" spans="1:4" x14ac:dyDescent="0.25">
      <c r="A114" s="2" t="str" cm="1">
        <f t="array" ref="A114">choice(Professeurs!A:A,1,Settings!$B$16)</f>
        <v>Prof18</v>
      </c>
      <c r="B114" s="3" cm="1">
        <f t="array" ref="B114">alea_date(Settings!$B$11,360,Settings!$B$8+alea_int(4,0,Settings!$B$16),Settings!$B$16)</f>
        <v>46250.333333333336</v>
      </c>
      <c r="C114" s="3" cm="1">
        <f t="array" ref="C114">B114+TIME(alea_int(5,1,Settings!$B$16),0,0)</f>
        <v>46250.5</v>
      </c>
      <c r="D114" s="3" t="str" cm="1">
        <f t="array" ref="D114">choice(Settings!K:K,1,Settings!$B$16)</f>
        <v/>
      </c>
    </row>
    <row r="115" spans="1:4" x14ac:dyDescent="0.25">
      <c r="A115" s="2" t="str" cm="1">
        <f t="array" ref="A115">choice(Professeurs!A:A,1,Settings!$B$16)</f>
        <v>Prof19</v>
      </c>
      <c r="B115" s="3" cm="1">
        <f t="array" ref="B115">alea_date(Settings!$B$11,360,Settings!$B$8+alea_int(4,0,Settings!$B$16),Settings!$B$16)</f>
        <v>46057.333333333336</v>
      </c>
      <c r="C115" s="3" cm="1">
        <f t="array" ref="C115">B115+TIME(alea_int(5,1,Settings!$B$16),0,0)</f>
        <v>46057.5</v>
      </c>
      <c r="D115" s="3" t="str" cm="1">
        <f t="array" ref="D115">choice(Settings!K:K,1,Settings!$B$16)</f>
        <v>vendredi pm</v>
      </c>
    </row>
    <row r="116" spans="1:4" x14ac:dyDescent="0.25">
      <c r="A116" s="2" t="str" cm="1">
        <f t="array" ref="A116">choice(Professeurs!A:A,1,Settings!$B$16)</f>
        <v>Prof52</v>
      </c>
      <c r="B116" s="3" cm="1">
        <f t="array" ref="B116">alea_date(Settings!$B$11,360,Settings!$B$8+alea_int(4,0,Settings!$B$16),Settings!$B$16)</f>
        <v>46325.458333333336</v>
      </c>
      <c r="C116" s="3" cm="1">
        <f t="array" ref="C116">B116+TIME(alea_int(5,1,Settings!$B$16),0,0)</f>
        <v>46325.583333333336</v>
      </c>
      <c r="D116" s="3" t="str" cm="1">
        <f t="array" ref="D116">choice(Settings!K:K,1,Settings!$B$16)</f>
        <v/>
      </c>
    </row>
    <row r="117" spans="1:4" x14ac:dyDescent="0.25">
      <c r="A117" s="2" t="str" cm="1">
        <f t="array" ref="A117">choice(Professeurs!A:A,1,Settings!$B$16)</f>
        <v>Prof32</v>
      </c>
      <c r="B117" s="3" cm="1">
        <f t="array" ref="B117">alea_date(Settings!$B$11,360,Settings!$B$8+alea_int(4,0,Settings!$B$16),Settings!$B$16)</f>
        <v>46188.416666666664</v>
      </c>
      <c r="C117" s="3" cm="1">
        <f t="array" ref="C117">B117+TIME(alea_int(5,1,Settings!$B$16),0,0)</f>
        <v>46188.458333333328</v>
      </c>
      <c r="D117" s="3" t="str" cm="1">
        <f t="array" ref="D117">choice(Settings!K:K,1,Settings!$B$16)</f>
        <v/>
      </c>
    </row>
    <row r="118" spans="1:4" x14ac:dyDescent="0.25">
      <c r="A118" s="2" t="str" cm="1">
        <f t="array" ref="A118">choice(Professeurs!A:A,1,Settings!$B$16)</f>
        <v>Prof20</v>
      </c>
      <c r="B118" s="3" cm="1">
        <f t="array" ref="B118">alea_date(Settings!$B$11,360,Settings!$B$8+alea_int(4,0,Settings!$B$16),Settings!$B$16)</f>
        <v>46172.375</v>
      </c>
      <c r="C118" s="3" cm="1">
        <f t="array" ref="C118">B118+TIME(alea_int(5,1,Settings!$B$16),0,0)</f>
        <v>46172.5</v>
      </c>
      <c r="D118" s="3" t="str" cm="1">
        <f t="array" ref="D118">choice(Settings!K:K,1,Settings!$B$16)</f>
        <v>lundi am</v>
      </c>
    </row>
    <row r="119" spans="1:4" x14ac:dyDescent="0.25">
      <c r="A119" s="2" t="str" cm="1">
        <f t="array" ref="A119">choice(Professeurs!A:A,1,Settings!$B$16)</f>
        <v>Prof31</v>
      </c>
      <c r="B119" s="3" cm="1">
        <f t="array" ref="B119">alea_date(Settings!$B$11,360,Settings!$B$8+alea_int(4,0,Settings!$B$16),Settings!$B$16)</f>
        <v>46087.458333333336</v>
      </c>
      <c r="C119" s="3" cm="1">
        <f t="array" ref="C119">B119+TIME(alea_int(5,1,Settings!$B$16),0,0)</f>
        <v>46087.666666666672</v>
      </c>
      <c r="D119" s="3" t="str" cm="1">
        <f t="array" ref="D119">choice(Settings!K:K,1,Settings!$B$16)</f>
        <v/>
      </c>
    </row>
    <row r="120" spans="1:4" x14ac:dyDescent="0.25">
      <c r="A120" s="2" t="str" cm="1">
        <f t="array" ref="A120">choice(Professeurs!A:A,1,Settings!$B$16)</f>
        <v>Prof21</v>
      </c>
      <c r="B120" s="3" cm="1">
        <f t="array" ref="B120">alea_date(Settings!$B$11,360,Settings!$B$8+alea_int(4,0,Settings!$B$16),Settings!$B$16)</f>
        <v>46059.375</v>
      </c>
      <c r="C120" s="3" cm="1">
        <f t="array" ref="C120">B120+TIME(alea_int(5,1,Settings!$B$16),0,0)</f>
        <v>46059.583333333336</v>
      </c>
      <c r="D120" s="3" t="str" cm="1">
        <f t="array" ref="D120">choice(Settings!K:K,1,Settings!$B$16)</f>
        <v/>
      </c>
    </row>
    <row r="121" spans="1:4" x14ac:dyDescent="0.25">
      <c r="A121" s="2" t="str" cm="1">
        <f t="array" ref="A121">choice(Professeurs!A:A,1,Settings!$B$16)</f>
        <v>Prof5</v>
      </c>
      <c r="B121" s="3" cm="1">
        <f t="array" ref="B121">alea_date(Settings!$B$11,360,Settings!$B$8+alea_int(4,0,Settings!$B$16),Settings!$B$16)</f>
        <v>46109.333333333336</v>
      </c>
      <c r="C121" s="3" cm="1">
        <f t="array" ref="C121">B121+TIME(alea_int(5,1,Settings!$B$16),0,0)</f>
        <v>46109.375</v>
      </c>
      <c r="D121" s="3" t="str" cm="1">
        <f t="array" ref="D121">choice(Settings!K:K,1,Settings!$B$16)</f>
        <v/>
      </c>
    </row>
    <row r="122" spans="1:4" x14ac:dyDescent="0.25">
      <c r="A122" s="2" t="str" cm="1">
        <f t="array" ref="A122">choice(Professeurs!A:A,1,Settings!$B$16)</f>
        <v>Prof49</v>
      </c>
      <c r="B122" s="3" cm="1">
        <f t="array" ref="B122">alea_date(Settings!$B$11,360,Settings!$B$8+alea_int(4,0,Settings!$B$16),Settings!$B$16)</f>
        <v>46065.375</v>
      </c>
      <c r="C122" s="3" cm="1">
        <f t="array" ref="C122">B122+TIME(alea_int(5,1,Settings!$B$16),0,0)</f>
        <v>46065.458333333336</v>
      </c>
      <c r="D122" s="3" t="str" cm="1">
        <f t="array" ref="D122">choice(Settings!K:K,1,Settings!$B$16)</f>
        <v/>
      </c>
    </row>
    <row r="123" spans="1:4" x14ac:dyDescent="0.25">
      <c r="A123" s="2" t="str" cm="1">
        <f t="array" ref="A123">choice(Professeurs!A:A,1,Settings!$B$16)</f>
        <v>Prof39</v>
      </c>
      <c r="B123" s="3" cm="1">
        <f t="array" ref="B123">alea_date(Settings!$B$11,360,Settings!$B$8+alea_int(4,0,Settings!$B$16),Settings!$B$16)</f>
        <v>46106.416666666664</v>
      </c>
      <c r="C123" s="3" cm="1">
        <f t="array" ref="C123">B123+TIME(alea_int(5,1,Settings!$B$16),0,0)</f>
        <v>46106.625</v>
      </c>
      <c r="D123" s="3" t="str" cm="1">
        <f t="array" ref="D123">choice(Settings!K:K,1,Settings!$B$16)</f>
        <v/>
      </c>
    </row>
    <row r="124" spans="1:4" x14ac:dyDescent="0.25">
      <c r="A124" s="2" t="str" cm="1">
        <f t="array" ref="A124">choice(Professeurs!A:A,1,Settings!$B$16)</f>
        <v>Prof13</v>
      </c>
      <c r="B124" s="3" cm="1">
        <f t="array" ref="B124">alea_date(Settings!$B$11,360,Settings!$B$8+alea_int(4,0,Settings!$B$16),Settings!$B$16)</f>
        <v>46043.375</v>
      </c>
      <c r="C124" s="3" cm="1">
        <f t="array" ref="C124">B124+TIME(alea_int(5,1,Settings!$B$16),0,0)</f>
        <v>46043.5</v>
      </c>
      <c r="D124" s="3" t="str" cm="1">
        <f t="array" ref="D124">choice(Settings!K:K,1,Settings!$B$16)</f>
        <v>mardi pm</v>
      </c>
    </row>
    <row r="125" spans="1:4" x14ac:dyDescent="0.25">
      <c r="A125" s="2" t="str" cm="1">
        <f t="array" ref="A125">choice(Professeurs!A:A,1,Settings!$B$16)</f>
        <v>Prof4</v>
      </c>
      <c r="B125" s="3" cm="1">
        <f t="array" ref="B125">alea_date(Settings!$B$11,360,Settings!$B$8+alea_int(4,0,Settings!$B$16),Settings!$B$16)</f>
        <v>46134.375</v>
      </c>
      <c r="C125" s="3" cm="1">
        <f t="array" ref="C125">B125+TIME(alea_int(5,1,Settings!$B$16),0,0)</f>
        <v>46134.416666666664</v>
      </c>
      <c r="D125" s="3" t="str" cm="1">
        <f t="array" ref="D125">choice(Settings!K:K,1,Settings!$B$16)</f>
        <v/>
      </c>
    </row>
    <row r="126" spans="1:4" x14ac:dyDescent="0.25">
      <c r="A126" s="2" t="str" cm="1">
        <f t="array" ref="A126">choice(Professeurs!A:A,1,Settings!$B$16)</f>
        <v>Prof52</v>
      </c>
      <c r="B126" s="3" cm="1">
        <f t="array" ref="B126">alea_date(Settings!$B$11,360,Settings!$B$8+alea_int(4,0,Settings!$B$16),Settings!$B$16)</f>
        <v>46245.458333333336</v>
      </c>
      <c r="C126" s="3" cm="1">
        <f t="array" ref="C126">B126+TIME(alea_int(5,1,Settings!$B$16),0,0)</f>
        <v>46245.583333333336</v>
      </c>
      <c r="D126" s="3" t="str" cm="1">
        <f t="array" ref="D126">choice(Settings!K:K,1,Settings!$B$16)</f>
        <v/>
      </c>
    </row>
    <row r="127" spans="1:4" x14ac:dyDescent="0.25">
      <c r="A127" s="2" t="str" cm="1">
        <f t="array" ref="A127">choice(Professeurs!A:A,1,Settings!$B$16)</f>
        <v>Prof35</v>
      </c>
      <c r="B127" s="3" cm="1">
        <f t="array" ref="B127">alea_date(Settings!$B$11,360,Settings!$B$8+alea_int(4,0,Settings!$B$16),Settings!$B$16)</f>
        <v>46232.375</v>
      </c>
      <c r="C127" s="3" cm="1">
        <f t="array" ref="C127">B127+TIME(alea_int(5,1,Settings!$B$16),0,0)</f>
        <v>46232.458333333336</v>
      </c>
      <c r="D127" s="3" t="str" cm="1">
        <f t="array" ref="D127">choice(Settings!K:K,1,Settings!$B$16)</f>
        <v>mercredi pm</v>
      </c>
    </row>
    <row r="128" spans="1:4" x14ac:dyDescent="0.25">
      <c r="A128" s="2" t="str" cm="1">
        <f t="array" ref="A128">choice(Professeurs!A:A,1,Settings!$B$16)</f>
        <v>Prof26</v>
      </c>
      <c r="B128" s="3" cm="1">
        <f t="array" ref="B128">alea_date(Settings!$B$11,360,Settings!$B$8+alea_int(4,0,Settings!$B$16),Settings!$B$16)</f>
        <v>46338.375</v>
      </c>
      <c r="C128" s="3" cm="1">
        <f t="array" ref="C128">B128+TIME(alea_int(5,1,Settings!$B$16),0,0)</f>
        <v>46338.458333333336</v>
      </c>
      <c r="D128" s="3" t="str" cm="1">
        <f t="array" ref="D128">choice(Settings!K:K,1,Settings!$B$16)</f>
        <v>mercredi pm</v>
      </c>
    </row>
    <row r="129" spans="1:4" x14ac:dyDescent="0.25">
      <c r="A129" s="2" t="str" cm="1">
        <f t="array" ref="A129">choice(Professeurs!A:A,1,Settings!$B$16)</f>
        <v>Prof22</v>
      </c>
      <c r="B129" s="3" cm="1">
        <f t="array" ref="B129">alea_date(Settings!$B$11,360,Settings!$B$8+alea_int(4,0,Settings!$B$16),Settings!$B$16)</f>
        <v>46318.458333333336</v>
      </c>
      <c r="C129" s="3" cm="1">
        <f t="array" ref="C129">B129+TIME(alea_int(5,1,Settings!$B$16),0,0)</f>
        <v>46318.625</v>
      </c>
      <c r="D129" s="3" t="str" cm="1">
        <f t="array" ref="D129">choice(Settings!K:K,1,Settings!$B$16)</f>
        <v/>
      </c>
    </row>
    <row r="130" spans="1:4" x14ac:dyDescent="0.25">
      <c r="A130" s="2" t="str" cm="1">
        <f t="array" ref="A130">choice(Professeurs!A:A,1,Settings!$B$16)</f>
        <v>Prof27</v>
      </c>
      <c r="B130" s="3" cm="1">
        <f t="array" ref="B130">alea_date(Settings!$B$11,360,Settings!$B$8+alea_int(4,0,Settings!$B$16),Settings!$B$16)</f>
        <v>46119.375</v>
      </c>
      <c r="C130" s="3" cm="1">
        <f t="array" ref="C130">B130+TIME(alea_int(5,1,Settings!$B$16),0,0)</f>
        <v>46119.541666666664</v>
      </c>
      <c r="D130" s="3" t="str" cm="1">
        <f t="array" ref="D130">choice(Settings!K:K,1,Settings!$B$16)</f>
        <v>jeudi pm</v>
      </c>
    </row>
    <row r="131" spans="1:4" x14ac:dyDescent="0.25">
      <c r="A131" s="2" t="str" cm="1">
        <f t="array" ref="A131">choice(Professeurs!A:A,1,Settings!$B$16)</f>
        <v>Prof46</v>
      </c>
      <c r="B131" s="3" cm="1">
        <f t="array" ref="B131">alea_date(Settings!$B$11,360,Settings!$B$8+alea_int(4,0,Settings!$B$16),Settings!$B$16)</f>
        <v>46056.333333333336</v>
      </c>
      <c r="C131" s="3" cm="1">
        <f t="array" ref="C131">B131+TIME(alea_int(5,1,Settings!$B$16),0,0)</f>
        <v>46056.458333333336</v>
      </c>
      <c r="D131" s="3" t="str" cm="1">
        <f t="array" ref="D131">choice(Settings!K:K,1,Settings!$B$16)</f>
        <v>lundi pm</v>
      </c>
    </row>
    <row r="132" spans="1:4" x14ac:dyDescent="0.25">
      <c r="A132" s="2" t="str" cm="1">
        <f t="array" ref="A132">choice(Professeurs!A:A,1,Settings!$B$16)</f>
        <v>Prof21</v>
      </c>
      <c r="B132" s="3" cm="1">
        <f t="array" ref="B132">alea_date(Settings!$B$11,360,Settings!$B$8+alea_int(4,0,Settings!$B$16),Settings!$B$16)</f>
        <v>46143.458333333336</v>
      </c>
      <c r="C132" s="3" cm="1">
        <f t="array" ref="C132">B132+TIME(alea_int(5,1,Settings!$B$16),0,0)</f>
        <v>46143.625</v>
      </c>
      <c r="D132" s="3" t="str" cm="1">
        <f t="array" ref="D132">choice(Settings!K:K,1,Settings!$B$16)</f>
        <v/>
      </c>
    </row>
    <row r="133" spans="1:4" x14ac:dyDescent="0.25">
      <c r="A133" s="2" t="str" cm="1">
        <f t="array" ref="A133">choice(Professeurs!A:A,1,Settings!$B$16)</f>
        <v>Prof37</v>
      </c>
      <c r="B133" s="3" cm="1">
        <f t="array" ref="B133">alea_date(Settings!$B$11,360,Settings!$B$8+alea_int(4,0,Settings!$B$16),Settings!$B$16)</f>
        <v>46312.458333333336</v>
      </c>
      <c r="C133" s="3" cm="1">
        <f t="array" ref="C133">B133+TIME(alea_int(5,1,Settings!$B$16),0,0)</f>
        <v>46312.666666666672</v>
      </c>
      <c r="D133" s="3" t="str" cm="1">
        <f t="array" ref="D133">choice(Settings!K:K,1,Settings!$B$16)</f>
        <v/>
      </c>
    </row>
    <row r="134" spans="1:4" x14ac:dyDescent="0.25">
      <c r="A134" s="2" t="str" cm="1">
        <f t="array" ref="A134">choice(Professeurs!A:A,1,Settings!$B$16)</f>
        <v>Prof22</v>
      </c>
      <c r="B134" s="3" cm="1">
        <f t="array" ref="B134">alea_date(Settings!$B$11,360,Settings!$B$8+alea_int(4,0,Settings!$B$16),Settings!$B$16)</f>
        <v>46281.333333333336</v>
      </c>
      <c r="C134" s="3" cm="1">
        <f t="array" ref="C134">B134+TIME(alea_int(5,1,Settings!$B$16),0,0)</f>
        <v>46281.5</v>
      </c>
      <c r="D134" s="3" t="str" cm="1">
        <f t="array" ref="D134">choice(Settings!K:K,1,Settings!$B$16)</f>
        <v>vendredi am</v>
      </c>
    </row>
    <row r="135" spans="1:4" x14ac:dyDescent="0.25">
      <c r="A135" s="2" t="str" cm="1">
        <f t="array" ref="A135">choice(Professeurs!A:A,1,Settings!$B$16)</f>
        <v>Prof16</v>
      </c>
      <c r="B135" s="3" cm="1">
        <f t="array" ref="B135">alea_date(Settings!$B$11,360,Settings!$B$8+alea_int(4,0,Settings!$B$16),Settings!$B$16)</f>
        <v>46197.375</v>
      </c>
      <c r="C135" s="3" cm="1">
        <f t="array" ref="C135">B135+TIME(alea_int(5,1,Settings!$B$16),0,0)</f>
        <v>46197.416666666664</v>
      </c>
      <c r="D135" s="3" t="str" cm="1">
        <f t="array" ref="D135">choice(Settings!K:K,1,Settings!$B$16)</f>
        <v>jeudi pm</v>
      </c>
    </row>
    <row r="136" spans="1:4" x14ac:dyDescent="0.25">
      <c r="A136" s="2" t="str" cm="1">
        <f t="array" ref="A136">choice(Professeurs!A:A,1,Settings!$B$16)</f>
        <v>Prof55</v>
      </c>
      <c r="B136" s="3" cm="1">
        <f t="array" ref="B136">alea_date(Settings!$B$11,360,Settings!$B$8+alea_int(4,0,Settings!$B$16),Settings!$B$16)</f>
        <v>46203.375</v>
      </c>
      <c r="C136" s="3" cm="1">
        <f t="array" ref="C136">B136+TIME(alea_int(5,1,Settings!$B$16),0,0)</f>
        <v>46203.583333333336</v>
      </c>
      <c r="D136" s="3" t="str" cm="1">
        <f t="array" ref="D136">choice(Settings!K:K,1,Settings!$B$16)</f>
        <v/>
      </c>
    </row>
    <row r="137" spans="1:4" x14ac:dyDescent="0.25">
      <c r="A137" s="2" t="str" cm="1">
        <f t="array" ref="A137">choice(Professeurs!A:A,1,Settings!$B$16)</f>
        <v>Prof41</v>
      </c>
      <c r="B137" s="3" cm="1">
        <f t="array" ref="B137">alea_date(Settings!$B$11,360,Settings!$B$8+alea_int(4,0,Settings!$B$16),Settings!$B$16)</f>
        <v>46091.416666666664</v>
      </c>
      <c r="C137" s="3" cm="1">
        <f t="array" ref="C137">B137+TIME(alea_int(5,1,Settings!$B$16),0,0)</f>
        <v>46091.541666666664</v>
      </c>
      <c r="D137" s="3" t="str" cm="1">
        <f t="array" ref="D137">choice(Settings!K:K,1,Settings!$B$16)</f>
        <v/>
      </c>
    </row>
    <row r="138" spans="1:4" x14ac:dyDescent="0.25">
      <c r="A138" s="2" t="str" cm="1">
        <f t="array" ref="A138">choice(Professeurs!A:A,1,Settings!$B$16)</f>
        <v>Prof32</v>
      </c>
      <c r="B138" s="3" cm="1">
        <f t="array" ref="B138">alea_date(Settings!$B$11,360,Settings!$B$8+alea_int(4,0,Settings!$B$16),Settings!$B$16)</f>
        <v>46269.333333333336</v>
      </c>
      <c r="C138" s="3" cm="1">
        <f t="array" ref="C138">B138+TIME(alea_int(5,1,Settings!$B$16),0,0)</f>
        <v>46269.375</v>
      </c>
      <c r="D138" s="3" t="str" cm="1">
        <f t="array" ref="D138">choice(Settings!K:K,1,Settings!$B$16)</f>
        <v/>
      </c>
    </row>
    <row r="139" spans="1:4" x14ac:dyDescent="0.25">
      <c r="A139" s="2" t="str" cm="1">
        <f t="array" ref="A139">choice(Professeurs!A:A,1,Settings!$B$16)</f>
        <v>Prof15</v>
      </c>
      <c r="B139" s="3" cm="1">
        <f t="array" ref="B139">alea_date(Settings!$B$11,360,Settings!$B$8+alea_int(4,0,Settings!$B$16),Settings!$B$16)</f>
        <v>46348.333333333336</v>
      </c>
      <c r="C139" s="3" cm="1">
        <f t="array" ref="C139">B139+TIME(alea_int(5,1,Settings!$B$16),0,0)</f>
        <v>46348.458333333336</v>
      </c>
      <c r="D139" s="3" t="str" cm="1">
        <f t="array" ref="D139">choice(Settings!K:K,1,Settings!$B$16)</f>
        <v/>
      </c>
    </row>
    <row r="140" spans="1:4" x14ac:dyDescent="0.25">
      <c r="A140" s="2" t="str" cm="1">
        <f t="array" ref="A140">choice(Professeurs!A:A,1,Settings!$B$16)</f>
        <v>Prof48</v>
      </c>
      <c r="B140" s="3" cm="1">
        <f t="array" ref="B140">alea_date(Settings!$B$11,360,Settings!$B$8+alea_int(4,0,Settings!$B$16),Settings!$B$16)</f>
        <v>46130.458333333336</v>
      </c>
      <c r="C140" s="3" cm="1">
        <f t="array" ref="C140">B140+TIME(alea_int(5,1,Settings!$B$16),0,0)</f>
        <v>46130.541666666672</v>
      </c>
      <c r="D140" s="3" t="str" cm="1">
        <f t="array" ref="D140">choice(Settings!K:K,1,Settings!$B$16)</f>
        <v/>
      </c>
    </row>
    <row r="141" spans="1:4" x14ac:dyDescent="0.25">
      <c r="A141" s="2" t="str" cm="1">
        <f t="array" ref="A141">choice(Professeurs!A:A,1,Settings!$B$16)</f>
        <v>Prof1</v>
      </c>
      <c r="B141" s="3" cm="1">
        <f t="array" ref="B141">alea_date(Settings!$B$11,360,Settings!$B$8+alea_int(4,0,Settings!$B$16),Settings!$B$16)</f>
        <v>46055.333333333336</v>
      </c>
      <c r="C141" s="3" cm="1">
        <f t="array" ref="C141">B141+TIME(alea_int(5,1,Settings!$B$16),0,0)</f>
        <v>46055.416666666672</v>
      </c>
      <c r="D141" s="3" t="str" cm="1">
        <f t="array" ref="D141">choice(Settings!K:K,1,Settings!$B$16)</f>
        <v/>
      </c>
    </row>
    <row r="142" spans="1:4" x14ac:dyDescent="0.25">
      <c r="A142" s="2" t="str" cm="1">
        <f t="array" ref="A142">choice(Professeurs!A:A,1,Settings!$B$16)</f>
        <v>Prof20</v>
      </c>
      <c r="B142" s="3" cm="1">
        <f t="array" ref="B142">alea_date(Settings!$B$11,360,Settings!$B$8+alea_int(4,0,Settings!$B$16),Settings!$B$16)</f>
        <v>46352.333333333336</v>
      </c>
      <c r="C142" s="3" cm="1">
        <f t="array" ref="C142">B142+TIME(alea_int(5,1,Settings!$B$16),0,0)</f>
        <v>46352.375</v>
      </c>
      <c r="D142" s="3" t="str" cm="1">
        <f t="array" ref="D142">choice(Settings!K:K,1,Settings!$B$16)</f>
        <v/>
      </c>
    </row>
    <row r="143" spans="1:4" x14ac:dyDescent="0.25">
      <c r="A143" s="2" t="str" cm="1">
        <f t="array" ref="A143">choice(Professeurs!A:A,1,Settings!$B$16)</f>
        <v>Prof28</v>
      </c>
      <c r="B143" s="3" cm="1">
        <f t="array" ref="B143">alea_date(Settings!$B$11,360,Settings!$B$8+alea_int(4,0,Settings!$B$16),Settings!$B$16)</f>
        <v>46106.458333333336</v>
      </c>
      <c r="C143" s="3" cm="1">
        <f t="array" ref="C143">B143+TIME(alea_int(5,1,Settings!$B$16),0,0)</f>
        <v>46106.5</v>
      </c>
      <c r="D143" s="3" t="str" cm="1">
        <f t="array" ref="D143">choice(Settings!K:K,1,Settings!$B$16)</f>
        <v/>
      </c>
    </row>
    <row r="144" spans="1:4" x14ac:dyDescent="0.25">
      <c r="A144" s="2" t="str" cm="1">
        <f t="array" ref="A144">choice(Professeurs!A:A,1,Settings!$B$16)</f>
        <v>Prof4</v>
      </c>
      <c r="B144" s="3" cm="1">
        <f t="array" ref="B144">alea_date(Settings!$B$11,360,Settings!$B$8+alea_int(4,0,Settings!$B$16),Settings!$B$16)</f>
        <v>46127.416666666664</v>
      </c>
      <c r="C144" s="3" cm="1">
        <f t="array" ref="C144">B144+TIME(alea_int(5,1,Settings!$B$16),0,0)</f>
        <v>46127.541666666664</v>
      </c>
      <c r="D144" s="3" t="str" cm="1">
        <f t="array" ref="D144">choice(Settings!K:K,1,Settings!$B$16)</f>
        <v/>
      </c>
    </row>
    <row r="145" spans="1:4" x14ac:dyDescent="0.25">
      <c r="A145" s="2" t="str" cm="1">
        <f t="array" ref="A145">choice(Professeurs!A:A,1,Settings!$B$16)</f>
        <v>Prof31</v>
      </c>
      <c r="B145" s="3" cm="1">
        <f t="array" ref="B145">alea_date(Settings!$B$11,360,Settings!$B$8+alea_int(4,0,Settings!$B$16),Settings!$B$16)</f>
        <v>46237.458333333336</v>
      </c>
      <c r="C145" s="3" cm="1">
        <f t="array" ref="C145">B145+TIME(alea_int(5,1,Settings!$B$16),0,0)</f>
        <v>46237.541666666672</v>
      </c>
      <c r="D145" s="3" t="str" cm="1">
        <f t="array" ref="D145">choice(Settings!K:K,1,Settings!$B$16)</f>
        <v/>
      </c>
    </row>
    <row r="146" spans="1:4" x14ac:dyDescent="0.25">
      <c r="A146" s="2" t="str" cm="1">
        <f t="array" ref="A146">choice(Professeurs!A:A,1,Settings!$B$16)</f>
        <v>Prof36</v>
      </c>
      <c r="B146" s="3" cm="1">
        <f t="array" ref="B146">alea_date(Settings!$B$11,360,Settings!$B$8+alea_int(4,0,Settings!$B$16),Settings!$B$16)</f>
        <v>46046.333333333336</v>
      </c>
      <c r="C146" s="3" cm="1">
        <f t="array" ref="C146">B146+TIME(alea_int(5,1,Settings!$B$16),0,0)</f>
        <v>46046.375</v>
      </c>
      <c r="D146" s="3" t="str" cm="1">
        <f t="array" ref="D146">choice(Settings!K:K,1,Settings!$B$16)</f>
        <v/>
      </c>
    </row>
    <row r="147" spans="1:4" x14ac:dyDescent="0.25">
      <c r="A147" s="2" t="str" cm="1">
        <f t="array" ref="A147">choice(Professeurs!A:A,1,Settings!$B$16)</f>
        <v>Prof26</v>
      </c>
      <c r="B147" s="3" cm="1">
        <f t="array" ref="B147">alea_date(Settings!$B$11,360,Settings!$B$8+alea_int(4,0,Settings!$B$16),Settings!$B$16)</f>
        <v>46210.416666666664</v>
      </c>
      <c r="C147" s="3" cm="1">
        <f t="array" ref="C147">B147+TIME(alea_int(5,1,Settings!$B$16),0,0)</f>
        <v>46210.583333333328</v>
      </c>
      <c r="D147" s="3" t="str" cm="1">
        <f t="array" ref="D147">choice(Settings!K:K,1,Settings!$B$16)</f>
        <v/>
      </c>
    </row>
    <row r="148" spans="1:4" x14ac:dyDescent="0.25">
      <c r="A148" s="2" t="str" cm="1">
        <f t="array" ref="A148">choice(Professeurs!A:A,1,Settings!$B$16)</f>
        <v>Prof36</v>
      </c>
      <c r="B148" s="3" cm="1">
        <f t="array" ref="B148">alea_date(Settings!$B$11,360,Settings!$B$8+alea_int(4,0,Settings!$B$16),Settings!$B$16)</f>
        <v>46100.416666666664</v>
      </c>
      <c r="C148" s="3" cm="1">
        <f t="array" ref="C148">B148+TIME(alea_int(5,1,Settings!$B$16),0,0)</f>
        <v>46100.5</v>
      </c>
      <c r="D148" s="3" t="str" cm="1">
        <f t="array" ref="D148">choice(Settings!K:K,1,Settings!$B$16)</f>
        <v>vendredi am</v>
      </c>
    </row>
    <row r="149" spans="1:4" x14ac:dyDescent="0.25">
      <c r="A149" s="2" t="str" cm="1">
        <f t="array" ref="A149">choice(Professeurs!A:A,1,Settings!$B$16)</f>
        <v>Prof7</v>
      </c>
      <c r="B149" s="3" cm="1">
        <f t="array" ref="B149">alea_date(Settings!$B$11,360,Settings!$B$8+alea_int(4,0,Settings!$B$16),Settings!$B$16)</f>
        <v>46304.416666666664</v>
      </c>
      <c r="C149" s="3" cm="1">
        <f t="array" ref="C149">B149+TIME(alea_int(5,1,Settings!$B$16),0,0)</f>
        <v>46304.583333333328</v>
      </c>
      <c r="D149" s="3" t="str" cm="1">
        <f t="array" ref="D149">choice(Settings!K:K,1,Settings!$B$16)</f>
        <v/>
      </c>
    </row>
    <row r="150" spans="1:4" x14ac:dyDescent="0.25">
      <c r="A150" s="2" t="str" cm="1">
        <f t="array" ref="A150">choice(Professeurs!A:A,1,Settings!$B$16)</f>
        <v>Prof42</v>
      </c>
      <c r="B150" s="3" cm="1">
        <f t="array" ref="B150">alea_date(Settings!$B$11,360,Settings!$B$8+alea_int(4,0,Settings!$B$16),Settings!$B$16)</f>
        <v>46265.458333333336</v>
      </c>
      <c r="C150" s="3" cm="1">
        <f t="array" ref="C150">B150+TIME(alea_int(5,1,Settings!$B$16),0,0)</f>
        <v>46265.541666666672</v>
      </c>
      <c r="D150" s="3" t="str" cm="1">
        <f t="array" ref="D150">choice(Settings!K:K,1,Settings!$B$16)</f>
        <v>jeudi pm</v>
      </c>
    </row>
    <row r="151" spans="1:4" x14ac:dyDescent="0.25">
      <c r="A151" s="2" t="str" cm="1">
        <f t="array" ref="A151">choice(Professeurs!A:A,1,Settings!$B$16)</f>
        <v>Prof34</v>
      </c>
      <c r="B151" s="3" cm="1">
        <f t="array" ref="B151">alea_date(Settings!$B$11,360,Settings!$B$8+alea_int(4,0,Settings!$B$16),Settings!$B$16)</f>
        <v>46233.333333333336</v>
      </c>
      <c r="C151" s="3" cm="1">
        <f t="array" ref="C151">B151+TIME(alea_int(5,1,Settings!$B$16),0,0)</f>
        <v>46233.5</v>
      </c>
      <c r="D151" s="3" t="str" cm="1">
        <f t="array" ref="D151">choice(Settings!K:K,1,Settings!$B$16)</f>
        <v>jeudi am</v>
      </c>
    </row>
    <row r="152" spans="1:4" x14ac:dyDescent="0.25">
      <c r="A152" s="2" t="str" cm="1">
        <f t="array" ref="A152">choice(Professeurs!A:A,1,Settings!$B$16)</f>
        <v>Prof52</v>
      </c>
      <c r="B152" s="3" cm="1">
        <f t="array" ref="B152">alea_date(Settings!$B$11,360,Settings!$B$8+alea_int(4,0,Settings!$B$16),Settings!$B$16)</f>
        <v>46174.333333333336</v>
      </c>
      <c r="C152" s="3" cm="1">
        <f t="array" ref="C152">B152+TIME(alea_int(5,1,Settings!$B$16),0,0)</f>
        <v>46174.416666666672</v>
      </c>
      <c r="D152" s="3" t="str" cm="1">
        <f t="array" ref="D152">choice(Settings!K:K,1,Settings!$B$16)</f>
        <v/>
      </c>
    </row>
    <row r="153" spans="1:4" x14ac:dyDescent="0.25">
      <c r="A153" s="2" t="str" cm="1">
        <f t="array" ref="A153">choice(Professeurs!A:A,1,Settings!$B$16)</f>
        <v>Prof5</v>
      </c>
      <c r="B153" s="3" cm="1">
        <f t="array" ref="B153">alea_date(Settings!$B$11,360,Settings!$B$8+alea_int(4,0,Settings!$B$16),Settings!$B$16)</f>
        <v>46258.333333333336</v>
      </c>
      <c r="C153" s="3" cm="1">
        <f t="array" ref="C153">B153+TIME(alea_int(5,1,Settings!$B$16),0,0)</f>
        <v>46258.375</v>
      </c>
      <c r="D153" s="3" t="str" cm="1">
        <f t="array" ref="D153">choice(Settings!K:K,1,Settings!$B$16)</f>
        <v/>
      </c>
    </row>
    <row r="154" spans="1:4" x14ac:dyDescent="0.25">
      <c r="A154" s="2" t="str" cm="1">
        <f t="array" ref="A154">choice(Professeurs!A:A,1,Settings!$B$16)</f>
        <v>Prof14</v>
      </c>
      <c r="B154" s="3" cm="1">
        <f t="array" ref="B154">alea_date(Settings!$B$11,360,Settings!$B$8+alea_int(4,0,Settings!$B$16),Settings!$B$16)</f>
        <v>46285.333333333336</v>
      </c>
      <c r="C154" s="3" cm="1">
        <f t="array" ref="C154">B154+TIME(alea_int(5,1,Settings!$B$16),0,0)</f>
        <v>46285.375</v>
      </c>
      <c r="D154" s="3" t="str" cm="1">
        <f t="array" ref="D154">choice(Settings!K:K,1,Settings!$B$16)</f>
        <v/>
      </c>
    </row>
    <row r="155" spans="1:4" x14ac:dyDescent="0.25">
      <c r="A155" s="2" t="str" cm="1">
        <f t="array" ref="A155">choice(Professeurs!A:A,1,Settings!$B$16)</f>
        <v>Prof36</v>
      </c>
      <c r="B155" s="3" cm="1">
        <f t="array" ref="B155">alea_date(Settings!$B$11,360,Settings!$B$8+alea_int(4,0,Settings!$B$16),Settings!$B$16)</f>
        <v>46336.333333333336</v>
      </c>
      <c r="C155" s="3" cm="1">
        <f t="array" ref="C155">B155+TIME(alea_int(5,1,Settings!$B$16),0,0)</f>
        <v>46336.458333333336</v>
      </c>
      <c r="D155" s="3" t="str" cm="1">
        <f t="array" ref="D155">choice(Settings!K:K,1,Settings!$B$16)</f>
        <v/>
      </c>
    </row>
    <row r="156" spans="1:4" x14ac:dyDescent="0.25">
      <c r="A156" s="2" t="str" cm="1">
        <f t="array" ref="A156">choice(Professeurs!A:A,1,Settings!$B$16)</f>
        <v>Prof23</v>
      </c>
      <c r="B156" s="3" cm="1">
        <f t="array" ref="B156">alea_date(Settings!$B$11,360,Settings!$B$8+alea_int(4,0,Settings!$B$16),Settings!$B$16)</f>
        <v>46176.458333333336</v>
      </c>
      <c r="C156" s="3" cm="1">
        <f t="array" ref="C156">B156+TIME(alea_int(5,1,Settings!$B$16),0,0)</f>
        <v>46176.666666666672</v>
      </c>
      <c r="D156" s="3" t="str" cm="1">
        <f t="array" ref="D156">choice(Settings!K:K,1,Settings!$B$16)</f>
        <v>mardi pm</v>
      </c>
    </row>
    <row r="157" spans="1:4" x14ac:dyDescent="0.25">
      <c r="A157" s="2" t="str" cm="1">
        <f t="array" ref="A157">choice(Professeurs!A:A,1,Settings!$B$16)</f>
        <v>Prof3</v>
      </c>
      <c r="B157" s="3" cm="1">
        <f t="array" ref="B157">alea_date(Settings!$B$11,360,Settings!$B$8+alea_int(4,0,Settings!$B$16),Settings!$B$16)</f>
        <v>46261.416666666664</v>
      </c>
      <c r="C157" s="3" cm="1">
        <f t="array" ref="C157">B157+TIME(alea_int(5,1,Settings!$B$16),0,0)</f>
        <v>46261.583333333328</v>
      </c>
      <c r="D157" s="3" t="str" cm="1">
        <f t="array" ref="D157">choice(Settings!K:K,1,Settings!$B$16)</f>
        <v/>
      </c>
    </row>
    <row r="158" spans="1:4" x14ac:dyDescent="0.25">
      <c r="A158" s="2" t="str" cm="1">
        <f t="array" ref="A158">choice(Professeurs!A:A,1,Settings!$B$16)</f>
        <v>Prof21</v>
      </c>
      <c r="B158" s="3" cm="1">
        <f t="array" ref="B158">alea_date(Settings!$B$11,360,Settings!$B$8+alea_int(4,0,Settings!$B$16),Settings!$B$16)</f>
        <v>46376.375</v>
      </c>
      <c r="C158" s="3" cm="1">
        <f t="array" ref="C158">B158+TIME(alea_int(5,1,Settings!$B$16),0,0)</f>
        <v>46376.541666666664</v>
      </c>
      <c r="D158" s="3" t="str" cm="1">
        <f t="array" ref="D158">choice(Settings!K:K,1,Settings!$B$16)</f>
        <v/>
      </c>
    </row>
    <row r="159" spans="1:4" x14ac:dyDescent="0.25">
      <c r="A159" s="2" t="str" cm="1">
        <f t="array" ref="A159">choice(Professeurs!A:A,1,Settings!$B$16)</f>
        <v>Prof11</v>
      </c>
      <c r="B159" s="3" cm="1">
        <f t="array" ref="B159">alea_date(Settings!$B$11,360,Settings!$B$8+alea_int(4,0,Settings!$B$16),Settings!$B$16)</f>
        <v>46326.375</v>
      </c>
      <c r="C159" s="3" cm="1">
        <f t="array" ref="C159">B159+TIME(alea_int(5,1,Settings!$B$16),0,0)</f>
        <v>46326.5</v>
      </c>
      <c r="D159" s="3" t="str" cm="1">
        <f t="array" ref="D159">choice(Settings!K:K,1,Settings!$B$16)</f>
        <v/>
      </c>
    </row>
    <row r="160" spans="1:4" x14ac:dyDescent="0.25">
      <c r="A160" s="2" t="str" cm="1">
        <f t="array" ref="A160">choice(Professeurs!A:A,1,Settings!$B$16)</f>
        <v>Prof24</v>
      </c>
      <c r="B160" s="3" cm="1">
        <f t="array" ref="B160">alea_date(Settings!$B$11,360,Settings!$B$8+alea_int(4,0,Settings!$B$16),Settings!$B$16)</f>
        <v>46208.333333333336</v>
      </c>
      <c r="C160" s="3" cm="1">
        <f t="array" ref="C160">B160+TIME(alea_int(5,1,Settings!$B$16),0,0)</f>
        <v>46208.416666666672</v>
      </c>
      <c r="D160" s="3" t="str" cm="1">
        <f t="array" ref="D160">choice(Settings!K:K,1,Settings!$B$16)</f>
        <v/>
      </c>
    </row>
    <row r="161" spans="1:4" x14ac:dyDescent="0.25">
      <c r="A161" s="2" t="str" cm="1">
        <f t="array" ref="A161">choice(Professeurs!A:A,1,Settings!$B$16)</f>
        <v>Prof34</v>
      </c>
      <c r="B161" s="3" cm="1">
        <f t="array" ref="B161">alea_date(Settings!$B$11,360,Settings!$B$8+alea_int(4,0,Settings!$B$16),Settings!$B$16)</f>
        <v>46222.416666666664</v>
      </c>
      <c r="C161" s="3" cm="1">
        <f t="array" ref="C161">B161+TIME(alea_int(5,1,Settings!$B$16),0,0)</f>
        <v>46222.458333333328</v>
      </c>
      <c r="D161" s="3" t="str" cm="1">
        <f t="array" ref="D161">choice(Settings!K:K,1,Settings!$B$16)</f>
        <v/>
      </c>
    </row>
    <row r="162" spans="1:4" x14ac:dyDescent="0.25">
      <c r="A162" s="2" t="str" cm="1">
        <f t="array" ref="A162">choice(Professeurs!A:A,1,Settings!$B$16)</f>
        <v>Prof5</v>
      </c>
      <c r="B162" s="3" cm="1">
        <f t="array" ref="B162">alea_date(Settings!$B$11,360,Settings!$B$8+alea_int(4,0,Settings!$B$16),Settings!$B$16)</f>
        <v>46236.333333333336</v>
      </c>
      <c r="C162" s="3" cm="1">
        <f t="array" ref="C162">B162+TIME(alea_int(5,1,Settings!$B$16),0,0)</f>
        <v>46236.416666666672</v>
      </c>
      <c r="D162" s="3" t="str" cm="1">
        <f t="array" ref="D162">choice(Settings!K:K,1,Settings!$B$16)</f>
        <v/>
      </c>
    </row>
    <row r="163" spans="1:4" x14ac:dyDescent="0.25">
      <c r="A163" s="2" t="str" cm="1">
        <f t="array" ref="A163">choice(Professeurs!A:A,1,Settings!$B$16)</f>
        <v>Prof53</v>
      </c>
      <c r="B163" s="3" cm="1">
        <f t="array" ref="B163">alea_date(Settings!$B$11,360,Settings!$B$8+alea_int(4,0,Settings!$B$16),Settings!$B$16)</f>
        <v>46198.375</v>
      </c>
      <c r="C163" s="3" cm="1">
        <f t="array" ref="C163">B163+TIME(alea_int(5,1,Settings!$B$16),0,0)</f>
        <v>46198.458333333336</v>
      </c>
      <c r="D163" s="3" t="str" cm="1">
        <f t="array" ref="D163">choice(Settings!K:K,1,Settings!$B$16)</f>
        <v/>
      </c>
    </row>
    <row r="164" spans="1:4" x14ac:dyDescent="0.25">
      <c r="A164" s="2" t="str" cm="1">
        <f t="array" ref="A164">choice(Professeurs!A:A,1,Settings!$B$16)</f>
        <v>Prof7</v>
      </c>
      <c r="B164" s="3" cm="1">
        <f t="array" ref="B164">alea_date(Settings!$B$11,360,Settings!$B$8+alea_int(4,0,Settings!$B$16),Settings!$B$16)</f>
        <v>46252.333333333336</v>
      </c>
      <c r="C164" s="3" cm="1">
        <f t="array" ref="C164">B164+TIME(alea_int(5,1,Settings!$B$16),0,0)</f>
        <v>46252.458333333336</v>
      </c>
      <c r="D164" s="3" t="str" cm="1">
        <f t="array" ref="D164">choice(Settings!K:K,1,Settings!$B$16)</f>
        <v/>
      </c>
    </row>
    <row r="165" spans="1:4" x14ac:dyDescent="0.25">
      <c r="A165" s="2" t="str" cm="1">
        <f t="array" ref="A165">choice(Professeurs!A:A,1,Settings!$B$16)</f>
        <v>Prof19</v>
      </c>
      <c r="B165" s="3" cm="1">
        <f t="array" ref="B165">alea_date(Settings!$B$11,360,Settings!$B$8+alea_int(4,0,Settings!$B$16),Settings!$B$16)</f>
        <v>46257.375</v>
      </c>
      <c r="C165" s="3" cm="1">
        <f t="array" ref="C165">B165+TIME(alea_int(5,1,Settings!$B$16),0,0)</f>
        <v>46257.583333333336</v>
      </c>
      <c r="D165" s="3" t="str" cm="1">
        <f t="array" ref="D165">choice(Settings!K:K,1,Settings!$B$16)</f>
        <v/>
      </c>
    </row>
    <row r="166" spans="1:4" x14ac:dyDescent="0.25">
      <c r="A166" s="2" t="str" cm="1">
        <f t="array" ref="A166">choice(Professeurs!A:A,1,Settings!$B$16)</f>
        <v>Prof1</v>
      </c>
      <c r="B166" s="3" cm="1">
        <f t="array" ref="B166">alea_date(Settings!$B$11,360,Settings!$B$8+alea_int(4,0,Settings!$B$16),Settings!$B$16)</f>
        <v>46165.333333333336</v>
      </c>
      <c r="C166" s="3" cm="1">
        <f t="array" ref="C166">B166+TIME(alea_int(5,1,Settings!$B$16),0,0)</f>
        <v>46165.458333333336</v>
      </c>
      <c r="D166" s="3" t="str" cm="1">
        <f t="array" ref="D166">choice(Settings!K:K,1,Settings!$B$16)</f>
        <v>mardi am</v>
      </c>
    </row>
    <row r="167" spans="1:4" x14ac:dyDescent="0.25">
      <c r="A167" s="2" t="str" cm="1">
        <f t="array" ref="A167">choice(Professeurs!A:A,1,Settings!$B$16)</f>
        <v>Prof27</v>
      </c>
      <c r="B167" s="3" cm="1">
        <f t="array" ref="B167">alea_date(Settings!$B$11,360,Settings!$B$8+alea_int(4,0,Settings!$B$16),Settings!$B$16)</f>
        <v>46347.416666666664</v>
      </c>
      <c r="C167" s="3" cm="1">
        <f t="array" ref="C167">B167+TIME(alea_int(5,1,Settings!$B$16),0,0)</f>
        <v>46347.458333333328</v>
      </c>
      <c r="D167" s="3" t="str" cm="1">
        <f t="array" ref="D167">choice(Settings!K:K,1,Settings!$B$16)</f>
        <v>mercredi ap</v>
      </c>
    </row>
    <row r="168" spans="1:4" x14ac:dyDescent="0.25">
      <c r="A168" s="2" t="str" cm="1">
        <f t="array" ref="A168">choice(Professeurs!A:A,1,Settings!$B$16)</f>
        <v>Prof13</v>
      </c>
      <c r="B168" s="3" cm="1">
        <f t="array" ref="B168">alea_date(Settings!$B$11,360,Settings!$B$8+alea_int(4,0,Settings!$B$16),Settings!$B$16)</f>
        <v>46065.416666666664</v>
      </c>
      <c r="C168" s="3" cm="1">
        <f t="array" ref="C168">B168+TIME(alea_int(5,1,Settings!$B$16),0,0)</f>
        <v>46065.541666666664</v>
      </c>
      <c r="D168" s="3" t="str" cm="1">
        <f t="array" ref="D168">choice(Settings!K:K,1,Settings!$B$16)</f>
        <v>lundi pm</v>
      </c>
    </row>
    <row r="169" spans="1:4" x14ac:dyDescent="0.25">
      <c r="A169" s="2" t="str" cm="1">
        <f t="array" ref="A169">choice(Professeurs!A:A,1,Settings!$B$16)</f>
        <v>Prof30</v>
      </c>
      <c r="B169" s="3" cm="1">
        <f t="array" ref="B169">alea_date(Settings!$B$11,360,Settings!$B$8+alea_int(4,0,Settings!$B$16),Settings!$B$16)</f>
        <v>46056.458333333336</v>
      </c>
      <c r="C169" s="3" cm="1">
        <f t="array" ref="C169">B169+TIME(alea_int(5,1,Settings!$B$16),0,0)</f>
        <v>46056.583333333336</v>
      </c>
      <c r="D169" s="3" t="str" cm="1">
        <f t="array" ref="D169">choice(Settings!K:K,1,Settings!$B$16)</f>
        <v/>
      </c>
    </row>
    <row r="170" spans="1:4" x14ac:dyDescent="0.25">
      <c r="A170" s="2" t="str" cm="1">
        <f t="array" ref="A170">choice(Professeurs!A:A,1,Settings!$B$16)</f>
        <v>Prof48</v>
      </c>
      <c r="B170" s="3" cm="1">
        <f t="array" ref="B170">alea_date(Settings!$B$11,360,Settings!$B$8+alea_int(4,0,Settings!$B$16),Settings!$B$16)</f>
        <v>46073.375</v>
      </c>
      <c r="C170" s="3" cm="1">
        <f t="array" ref="C170">B170+TIME(alea_int(5,1,Settings!$B$16),0,0)</f>
        <v>46073.5</v>
      </c>
      <c r="D170" s="3" t="str" cm="1">
        <f t="array" ref="D170">choice(Settings!K:K,1,Settings!$B$16)</f>
        <v>mardi pm</v>
      </c>
    </row>
    <row r="171" spans="1:4" x14ac:dyDescent="0.25">
      <c r="A171" s="2" t="str" cm="1">
        <f t="array" ref="A171">choice(Professeurs!A:A,1,Settings!$B$16)</f>
        <v>Prof2</v>
      </c>
      <c r="B171" s="3" cm="1">
        <f t="array" ref="B171">alea_date(Settings!$B$11,360,Settings!$B$8+alea_int(4,0,Settings!$B$16),Settings!$B$16)</f>
        <v>46186.375</v>
      </c>
      <c r="C171" s="3" cm="1">
        <f t="array" ref="C171">B171+TIME(alea_int(5,1,Settings!$B$16),0,0)</f>
        <v>46186.458333333336</v>
      </c>
      <c r="D171" s="3" t="str" cm="1">
        <f t="array" ref="D171">choice(Settings!K:K,1,Settings!$B$16)</f>
        <v>vendredi pm</v>
      </c>
    </row>
    <row r="172" spans="1:4" x14ac:dyDescent="0.25">
      <c r="A172" s="2" t="str" cm="1">
        <f t="array" ref="A172">choice(Professeurs!A:A,1,Settings!$B$16)</f>
        <v>Prof40</v>
      </c>
      <c r="B172" s="3" cm="1">
        <f t="array" ref="B172">alea_date(Settings!$B$11,360,Settings!$B$8+alea_int(4,0,Settings!$B$16),Settings!$B$16)</f>
        <v>46356.333333333336</v>
      </c>
      <c r="C172" s="3" cm="1">
        <f t="array" ref="C172">B172+TIME(alea_int(5,1,Settings!$B$16),0,0)</f>
        <v>46356.5</v>
      </c>
      <c r="D172" s="3" t="str" cm="1">
        <f t="array" ref="D172">choice(Settings!K:K,1,Settings!$B$16)</f>
        <v>mercredi ap</v>
      </c>
    </row>
    <row r="173" spans="1:4" x14ac:dyDescent="0.25">
      <c r="A173" s="2" t="str" cm="1">
        <f t="array" ref="A173">choice(Professeurs!A:A,1,Settings!$B$16)</f>
        <v>Prof16</v>
      </c>
      <c r="B173" s="3" cm="1">
        <f t="array" ref="B173">alea_date(Settings!$B$11,360,Settings!$B$8+alea_int(4,0,Settings!$B$16),Settings!$B$16)</f>
        <v>46227.416666666664</v>
      </c>
      <c r="C173" s="3" cm="1">
        <f t="array" ref="C173">B173+TIME(alea_int(5,1,Settings!$B$16),0,0)</f>
        <v>46227.625</v>
      </c>
      <c r="D173" s="3" t="str" cm="1">
        <f t="array" ref="D173">choice(Settings!K:K,1,Settings!$B$16)</f>
        <v/>
      </c>
    </row>
    <row r="174" spans="1:4" x14ac:dyDescent="0.25">
      <c r="A174" s="2" t="str" cm="1">
        <f t="array" ref="A174">choice(Professeurs!A:A,1,Settings!$B$16)</f>
        <v>Prof41</v>
      </c>
      <c r="B174" s="3" cm="1">
        <f t="array" ref="B174">alea_date(Settings!$B$11,360,Settings!$B$8+alea_int(4,0,Settings!$B$16),Settings!$B$16)</f>
        <v>46136.333333333336</v>
      </c>
      <c r="C174" s="3" cm="1">
        <f t="array" ref="C174">B174+TIME(alea_int(5,1,Settings!$B$16),0,0)</f>
        <v>46136.541666666672</v>
      </c>
      <c r="D174" s="3" t="str" cm="1">
        <f t="array" ref="D174">choice(Settings!K:K,1,Settings!$B$16)</f>
        <v>lundi pm</v>
      </c>
    </row>
    <row r="175" spans="1:4" x14ac:dyDescent="0.25">
      <c r="A175" s="2" t="str" cm="1">
        <f t="array" ref="A175">choice(Professeurs!A:A,1,Settings!$B$16)</f>
        <v>Prof54</v>
      </c>
      <c r="B175" s="3" cm="1">
        <f t="array" ref="B175">alea_date(Settings!$B$11,360,Settings!$B$8+alea_int(4,0,Settings!$B$16),Settings!$B$16)</f>
        <v>46195.416666666664</v>
      </c>
      <c r="C175" s="3" cm="1">
        <f t="array" ref="C175">B175+TIME(alea_int(5,1,Settings!$B$16),0,0)</f>
        <v>46195.541666666664</v>
      </c>
      <c r="D175" s="3" t="str" cm="1">
        <f t="array" ref="D175">choice(Settings!K:K,1,Settings!$B$16)</f>
        <v/>
      </c>
    </row>
    <row r="176" spans="1:4" x14ac:dyDescent="0.25">
      <c r="A176" s="2" t="str" cm="1">
        <f t="array" ref="A176">choice(Professeurs!A:A,1,Settings!$B$16)</f>
        <v>Prof12</v>
      </c>
      <c r="B176" s="3" cm="1">
        <f t="array" ref="B176">alea_date(Settings!$B$11,360,Settings!$B$8+alea_int(4,0,Settings!$B$16),Settings!$B$16)</f>
        <v>46228.458333333336</v>
      </c>
      <c r="C176" s="3" cm="1">
        <f t="array" ref="C176">B176+TIME(alea_int(5,1,Settings!$B$16),0,0)</f>
        <v>46228.541666666672</v>
      </c>
      <c r="D176" s="3" t="str" cm="1">
        <f t="array" ref="D176">choice(Settings!K:K,1,Settings!$B$16)</f>
        <v/>
      </c>
    </row>
    <row r="177" spans="1:4" x14ac:dyDescent="0.25">
      <c r="A177" s="2" t="str" cm="1">
        <f t="array" ref="A177">choice(Professeurs!A:A,1,Settings!$B$16)</f>
        <v>Prof55</v>
      </c>
      <c r="B177" s="3" cm="1">
        <f t="array" ref="B177">alea_date(Settings!$B$11,360,Settings!$B$8+alea_int(4,0,Settings!$B$16),Settings!$B$16)</f>
        <v>46317.333333333336</v>
      </c>
      <c r="C177" s="3" cm="1">
        <f t="array" ref="C177">B177+TIME(alea_int(5,1,Settings!$B$16),0,0)</f>
        <v>46317.416666666672</v>
      </c>
      <c r="D177" s="3" t="str" cm="1">
        <f t="array" ref="D177">choice(Settings!K:K,1,Settings!$B$16)</f>
        <v/>
      </c>
    </row>
    <row r="178" spans="1:4" x14ac:dyDescent="0.25">
      <c r="A178" s="2" t="str" cm="1">
        <f t="array" ref="A178">choice(Professeurs!A:A,1,Settings!$B$16)</f>
        <v>Prof11</v>
      </c>
      <c r="B178" s="3" cm="1">
        <f t="array" ref="B178">alea_date(Settings!$B$11,360,Settings!$B$8+alea_int(4,0,Settings!$B$16),Settings!$B$16)</f>
        <v>46086.458333333336</v>
      </c>
      <c r="C178" s="3" cm="1">
        <f t="array" ref="C178">B178+TIME(alea_int(5,1,Settings!$B$16),0,0)</f>
        <v>46086.5</v>
      </c>
      <c r="D178" s="3" t="str" cm="1">
        <f t="array" ref="D178">choice(Settings!K:K,1,Settings!$B$16)</f>
        <v>vendredi pm</v>
      </c>
    </row>
    <row r="179" spans="1:4" x14ac:dyDescent="0.25">
      <c r="A179" s="2" t="str" cm="1">
        <f t="array" ref="A179">choice(Professeurs!A:A,1,Settings!$B$16)</f>
        <v>Prof50</v>
      </c>
      <c r="B179" s="3" cm="1">
        <f t="array" ref="B179">alea_date(Settings!$B$11,360,Settings!$B$8+alea_int(4,0,Settings!$B$16),Settings!$B$16)</f>
        <v>46189.333333333336</v>
      </c>
      <c r="C179" s="3" cm="1">
        <f t="array" ref="C179">B179+TIME(alea_int(5,1,Settings!$B$16),0,0)</f>
        <v>46189.541666666672</v>
      </c>
      <c r="D179" s="3" t="str" cm="1">
        <f t="array" ref="D179">choice(Settings!K:K,1,Settings!$B$16)</f>
        <v>lundi pm</v>
      </c>
    </row>
    <row r="180" spans="1:4" x14ac:dyDescent="0.25">
      <c r="A180" s="2" t="str" cm="1">
        <f t="array" ref="A180">choice(Professeurs!A:A,1,Settings!$B$16)</f>
        <v>Prof18</v>
      </c>
      <c r="B180" s="3" cm="1">
        <f t="array" ref="B180">alea_date(Settings!$B$11,360,Settings!$B$8+alea_int(4,0,Settings!$B$16),Settings!$B$16)</f>
        <v>46369.333333333336</v>
      </c>
      <c r="C180" s="3" cm="1">
        <f t="array" ref="C180">B180+TIME(alea_int(5,1,Settings!$B$16),0,0)</f>
        <v>46369.375</v>
      </c>
      <c r="D180" s="3" t="str" cm="1">
        <f t="array" ref="D180">choice(Settings!K:K,1,Settings!$B$16)</f>
        <v>mardi pm</v>
      </c>
    </row>
    <row r="181" spans="1:4" x14ac:dyDescent="0.25">
      <c r="A181" s="2" t="str" cm="1">
        <f t="array" ref="A181">choice(Professeurs!A:A,1,Settings!$B$16)</f>
        <v>Prof16</v>
      </c>
      <c r="B181" s="3" cm="1">
        <f t="array" ref="B181">alea_date(Settings!$B$11,360,Settings!$B$8+alea_int(4,0,Settings!$B$16),Settings!$B$16)</f>
        <v>46121.375</v>
      </c>
      <c r="C181" s="3" cm="1">
        <f t="array" ref="C181">B181+TIME(alea_int(5,1,Settings!$B$16),0,0)</f>
        <v>46121.5</v>
      </c>
      <c r="D181" s="3" t="str" cm="1">
        <f t="array" ref="D181">choice(Settings!K:K,1,Settings!$B$16)</f>
        <v/>
      </c>
    </row>
    <row r="182" spans="1:4" x14ac:dyDescent="0.25">
      <c r="A182" s="2" t="str" cm="1">
        <f t="array" ref="A182">choice(Professeurs!A:A,1,Settings!$B$16)</f>
        <v>Prof9</v>
      </c>
      <c r="B182" s="3" cm="1">
        <f t="array" ref="B182">alea_date(Settings!$B$11,360,Settings!$B$8+alea_int(4,0,Settings!$B$16),Settings!$B$16)</f>
        <v>46023.458333333336</v>
      </c>
      <c r="C182" s="3" cm="1">
        <f t="array" ref="C182">B182+TIME(alea_int(5,1,Settings!$B$16),0,0)</f>
        <v>46023.5</v>
      </c>
      <c r="D182" s="3" t="str" cm="1">
        <f t="array" ref="D182">choice(Settings!K:K,1,Settings!$B$16)</f>
        <v/>
      </c>
    </row>
    <row r="183" spans="1:4" x14ac:dyDescent="0.25">
      <c r="A183" s="2" t="str" cm="1">
        <f t="array" ref="A183">choice(Professeurs!A:A,1,Settings!$B$16)</f>
        <v>Prof41</v>
      </c>
      <c r="B183" s="3" cm="1">
        <f t="array" ref="B183">alea_date(Settings!$B$11,360,Settings!$B$8+alea_int(4,0,Settings!$B$16),Settings!$B$16)</f>
        <v>46150.458333333336</v>
      </c>
      <c r="C183" s="3" cm="1">
        <f t="array" ref="C183">B183+TIME(alea_int(5,1,Settings!$B$16),0,0)</f>
        <v>46150.625</v>
      </c>
      <c r="D183" s="3" t="str" cm="1">
        <f t="array" ref="D183">choice(Settings!K:K,1,Settings!$B$16)</f>
        <v/>
      </c>
    </row>
    <row r="184" spans="1:4" x14ac:dyDescent="0.25">
      <c r="A184" s="2" t="str" cm="1">
        <f t="array" ref="A184">choice(Professeurs!A:A,1,Settings!$B$16)</f>
        <v>Prof14</v>
      </c>
      <c r="B184" s="3" cm="1">
        <f t="array" ref="B184">alea_date(Settings!$B$11,360,Settings!$B$8+alea_int(4,0,Settings!$B$16),Settings!$B$16)</f>
        <v>46347.416666666664</v>
      </c>
      <c r="C184" s="3" cm="1">
        <f t="array" ref="C184">B184+TIME(alea_int(5,1,Settings!$B$16),0,0)</f>
        <v>46347.5</v>
      </c>
      <c r="D184" s="3" t="str" cm="1">
        <f t="array" ref="D184">choice(Settings!K:K,1,Settings!$B$16)</f>
        <v>mercredi pm</v>
      </c>
    </row>
    <row r="185" spans="1:4" x14ac:dyDescent="0.25">
      <c r="A185" s="2" t="str" cm="1">
        <f t="array" ref="A185">choice(Professeurs!A:A,1,Settings!$B$16)</f>
        <v>Prof42</v>
      </c>
      <c r="B185" s="3" cm="1">
        <f t="array" ref="B185">alea_date(Settings!$B$11,360,Settings!$B$8+alea_int(4,0,Settings!$B$16),Settings!$B$16)</f>
        <v>46080.416666666664</v>
      </c>
      <c r="C185" s="3" cm="1">
        <f t="array" ref="C185">B185+TIME(alea_int(5,1,Settings!$B$16),0,0)</f>
        <v>46080.5</v>
      </c>
      <c r="D185" s="3" t="str" cm="1">
        <f t="array" ref="D185">choice(Settings!K:K,1,Settings!$B$16)</f>
        <v/>
      </c>
    </row>
    <row r="186" spans="1:4" x14ac:dyDescent="0.25">
      <c r="A186" s="2" t="str" cm="1">
        <f t="array" ref="A186">choice(Professeurs!A:A,1,Settings!$B$16)</f>
        <v>Prof51</v>
      </c>
      <c r="B186" s="3" cm="1">
        <f t="array" ref="B186">alea_date(Settings!$B$11,360,Settings!$B$8+alea_int(4,0,Settings!$B$16),Settings!$B$16)</f>
        <v>46112.333333333336</v>
      </c>
      <c r="C186" s="3" cm="1">
        <f t="array" ref="C186">B186+TIME(alea_int(5,1,Settings!$B$16),0,0)</f>
        <v>46112.458333333336</v>
      </c>
      <c r="D186" s="3" t="str" cm="1">
        <f t="array" ref="D186">choice(Settings!K:K,1,Settings!$B$16)</f>
        <v/>
      </c>
    </row>
    <row r="187" spans="1:4" x14ac:dyDescent="0.25">
      <c r="A187" s="2" t="str" cm="1">
        <f t="array" ref="A187">choice(Professeurs!A:A,1,Settings!$B$16)</f>
        <v>Prof35</v>
      </c>
      <c r="B187" s="3" cm="1">
        <f t="array" ref="B187">alea_date(Settings!$B$11,360,Settings!$B$8+alea_int(4,0,Settings!$B$16),Settings!$B$16)</f>
        <v>46305.416666666664</v>
      </c>
      <c r="C187" s="3" cm="1">
        <f t="array" ref="C187">B187+TIME(alea_int(5,1,Settings!$B$16),0,0)</f>
        <v>46305.5</v>
      </c>
      <c r="D187" s="3" t="str" cm="1">
        <f t="array" ref="D187">choice(Settings!K:K,1,Settings!$B$16)</f>
        <v/>
      </c>
    </row>
    <row r="188" spans="1:4" x14ac:dyDescent="0.25">
      <c r="A188" s="2" t="str" cm="1">
        <f t="array" ref="A188">choice(Professeurs!A:A,1,Settings!$B$16)</f>
        <v>Prof18</v>
      </c>
      <c r="B188" s="3" cm="1">
        <f t="array" ref="B188">alea_date(Settings!$B$11,360,Settings!$B$8+alea_int(4,0,Settings!$B$16),Settings!$B$16)</f>
        <v>46259.458333333336</v>
      </c>
      <c r="C188" s="3" cm="1">
        <f t="array" ref="C188">B188+TIME(alea_int(5,1,Settings!$B$16),0,0)</f>
        <v>46259.666666666672</v>
      </c>
      <c r="D188" s="3" t="str" cm="1">
        <f t="array" ref="D188">choice(Settings!K:K,1,Settings!$B$16)</f>
        <v/>
      </c>
    </row>
    <row r="189" spans="1:4" x14ac:dyDescent="0.25">
      <c r="A189" s="2" t="str" cm="1">
        <f t="array" ref="A189">choice(Professeurs!A:A,1,Settings!$B$16)</f>
        <v>Prof34</v>
      </c>
      <c r="B189" s="3" cm="1">
        <f t="array" ref="B189">alea_date(Settings!$B$11,360,Settings!$B$8+alea_int(4,0,Settings!$B$16),Settings!$B$16)</f>
        <v>46077.416666666664</v>
      </c>
      <c r="C189" s="3" cm="1">
        <f t="array" ref="C189">B189+TIME(alea_int(5,1,Settings!$B$16),0,0)</f>
        <v>46077.583333333328</v>
      </c>
      <c r="D189" s="3" t="str" cm="1">
        <f t="array" ref="D189">choice(Settings!K:K,1,Settings!$B$16)</f>
        <v/>
      </c>
    </row>
    <row r="190" spans="1:4" x14ac:dyDescent="0.25">
      <c r="A190" s="2" t="str" cm="1">
        <f t="array" ref="A190">choice(Professeurs!A:A,1,Settings!$B$16)</f>
        <v>Prof36</v>
      </c>
      <c r="B190" s="3" cm="1">
        <f t="array" ref="B190">alea_date(Settings!$B$11,360,Settings!$B$8+alea_int(4,0,Settings!$B$16),Settings!$B$16)</f>
        <v>46313.375</v>
      </c>
      <c r="C190" s="3" cm="1">
        <f t="array" ref="C190">B190+TIME(alea_int(5,1,Settings!$B$16),0,0)</f>
        <v>46313.583333333336</v>
      </c>
      <c r="D190" s="3" t="str" cm="1">
        <f t="array" ref="D190">choice(Settings!K:K,1,Settings!$B$16)</f>
        <v>lundi am</v>
      </c>
    </row>
    <row r="191" spans="1:4" x14ac:dyDescent="0.25">
      <c r="A191" s="2" t="str" cm="1">
        <f t="array" ref="A191">choice(Professeurs!A:A,1,Settings!$B$16)</f>
        <v>Prof55</v>
      </c>
      <c r="B191" s="3" cm="1">
        <f t="array" ref="B191">alea_date(Settings!$B$11,360,Settings!$B$8+alea_int(4,0,Settings!$B$16),Settings!$B$16)</f>
        <v>46334.416666666664</v>
      </c>
      <c r="C191" s="3" cm="1">
        <f t="array" ref="C191">B191+TIME(alea_int(5,1,Settings!$B$16),0,0)</f>
        <v>46334.5</v>
      </c>
      <c r="D191" s="3" t="str" cm="1">
        <f t="array" ref="D191">choice(Settings!K:K,1,Settings!$B$16)</f>
        <v/>
      </c>
    </row>
    <row r="192" spans="1:4" x14ac:dyDescent="0.25">
      <c r="A192" s="2" t="str" cm="1">
        <f t="array" ref="A192">choice(Professeurs!A:A,1,Settings!$B$16)</f>
        <v>Prof33</v>
      </c>
      <c r="B192" s="3" cm="1">
        <f t="array" ref="B192">alea_date(Settings!$B$11,360,Settings!$B$8+alea_int(4,0,Settings!$B$16),Settings!$B$16)</f>
        <v>46343.416666666664</v>
      </c>
      <c r="C192" s="3" cm="1">
        <f t="array" ref="C192">B192+TIME(alea_int(5,1,Settings!$B$16),0,0)</f>
        <v>46343.5</v>
      </c>
      <c r="D192" s="3" t="str" cm="1">
        <f t="array" ref="D192">choice(Settings!K:K,1,Settings!$B$16)</f>
        <v>vendredi pm</v>
      </c>
    </row>
    <row r="193" spans="1:4" x14ac:dyDescent="0.25">
      <c r="A193" s="2" t="str" cm="1">
        <f t="array" ref="A193">choice(Professeurs!A:A,1,Settings!$B$16)</f>
        <v>Prof23</v>
      </c>
      <c r="B193" s="3" cm="1">
        <f t="array" ref="B193">alea_date(Settings!$B$11,360,Settings!$B$8+alea_int(4,0,Settings!$B$16),Settings!$B$16)</f>
        <v>46044.416666666664</v>
      </c>
      <c r="C193" s="3" cm="1">
        <f t="array" ref="C193">B193+TIME(alea_int(5,1,Settings!$B$16),0,0)</f>
        <v>46044.5</v>
      </c>
      <c r="D193" s="3" t="str" cm="1">
        <f t="array" ref="D193">choice(Settings!K:K,1,Settings!$B$16)</f>
        <v/>
      </c>
    </row>
    <row r="194" spans="1:4" x14ac:dyDescent="0.25">
      <c r="A194" s="2" t="str" cm="1">
        <f t="array" ref="A194">choice(Professeurs!A:A,1,Settings!$B$16)</f>
        <v>Prof10</v>
      </c>
      <c r="B194" s="3" cm="1">
        <f t="array" ref="B194">alea_date(Settings!$B$11,360,Settings!$B$8+alea_int(4,0,Settings!$B$16),Settings!$B$16)</f>
        <v>46197.416666666664</v>
      </c>
      <c r="C194" s="3" cm="1">
        <f t="array" ref="C194">B194+TIME(alea_int(5,1,Settings!$B$16),0,0)</f>
        <v>46197.5</v>
      </c>
      <c r="D194" s="3" t="str" cm="1">
        <f t="array" ref="D194">choice(Settings!K:K,1,Settings!$B$16)</f>
        <v>lundi pm</v>
      </c>
    </row>
    <row r="195" spans="1:4" x14ac:dyDescent="0.25">
      <c r="A195" s="2" t="str" cm="1">
        <f t="array" ref="A195">choice(Professeurs!A:A,1,Settings!$B$16)</f>
        <v>Prof43</v>
      </c>
      <c r="B195" s="3" cm="1">
        <f t="array" ref="B195">alea_date(Settings!$B$11,360,Settings!$B$8+alea_int(4,0,Settings!$B$16),Settings!$B$16)</f>
        <v>46226.333333333336</v>
      </c>
      <c r="C195" s="3" cm="1">
        <f t="array" ref="C195">B195+TIME(alea_int(5,1,Settings!$B$16),0,0)</f>
        <v>46226.5</v>
      </c>
      <c r="D195" s="3" t="str" cm="1">
        <f t="array" ref="D195">choice(Settings!K:K,1,Settings!$B$16)</f>
        <v/>
      </c>
    </row>
    <row r="196" spans="1:4" x14ac:dyDescent="0.25">
      <c r="A196" s="2" t="str" cm="1">
        <f t="array" ref="A196">choice(Professeurs!A:A,1,Settings!$B$16)</f>
        <v>Prof41</v>
      </c>
      <c r="B196" s="3" cm="1">
        <f t="array" ref="B196">alea_date(Settings!$B$11,360,Settings!$B$8+alea_int(4,0,Settings!$B$16),Settings!$B$16)</f>
        <v>46097.416666666664</v>
      </c>
      <c r="C196" s="3" cm="1">
        <f t="array" ref="C196">B196+TIME(alea_int(5,1,Settings!$B$16),0,0)</f>
        <v>46097.541666666664</v>
      </c>
      <c r="D196" s="3" t="str" cm="1">
        <f t="array" ref="D196">choice(Settings!K:K,1,Settings!$B$16)</f>
        <v/>
      </c>
    </row>
    <row r="197" spans="1:4" x14ac:dyDescent="0.25">
      <c r="A197" s="2" t="str" cm="1">
        <f t="array" ref="A197">choice(Professeurs!A:A,1,Settings!$B$16)</f>
        <v>Prof50</v>
      </c>
      <c r="B197" s="3" cm="1">
        <f t="array" ref="B197">alea_date(Settings!$B$11,360,Settings!$B$8+alea_int(4,0,Settings!$B$16),Settings!$B$16)</f>
        <v>46161.458333333336</v>
      </c>
      <c r="C197" s="3" cm="1">
        <f t="array" ref="C197">B197+TIME(alea_int(5,1,Settings!$B$16),0,0)</f>
        <v>46161.625</v>
      </c>
      <c r="D197" s="3" t="str" cm="1">
        <f t="array" ref="D197">choice(Settings!K:K,1,Settings!$B$16)</f>
        <v>lundi am</v>
      </c>
    </row>
    <row r="198" spans="1:4" x14ac:dyDescent="0.25">
      <c r="A198" s="2" t="str" cm="1">
        <f t="array" ref="A198">choice(Professeurs!A:A,1,Settings!$B$16)</f>
        <v>Prof22</v>
      </c>
      <c r="B198" s="3" cm="1">
        <f t="array" ref="B198">alea_date(Settings!$B$11,360,Settings!$B$8+alea_int(4,0,Settings!$B$16),Settings!$B$16)</f>
        <v>46375.416666666664</v>
      </c>
      <c r="C198" s="3" cm="1">
        <f t="array" ref="C198">B198+TIME(alea_int(5,1,Settings!$B$16),0,0)</f>
        <v>46375.458333333328</v>
      </c>
      <c r="D198" s="3" t="str" cm="1">
        <f t="array" ref="D198">choice(Settings!K:K,1,Settings!$B$16)</f>
        <v>mardi pm</v>
      </c>
    </row>
    <row r="199" spans="1:4" x14ac:dyDescent="0.25">
      <c r="A199" s="2" t="str" cm="1">
        <f t="array" ref="A199">choice(Professeurs!A:A,1,Settings!$B$16)</f>
        <v>Prof24</v>
      </c>
      <c r="B199" s="3" cm="1">
        <f t="array" ref="B199">alea_date(Settings!$B$11,360,Settings!$B$8+alea_int(4,0,Settings!$B$16),Settings!$B$16)</f>
        <v>46242.458333333336</v>
      </c>
      <c r="C199" s="3" cm="1">
        <f t="array" ref="C199">B199+TIME(alea_int(5,1,Settings!$B$16),0,0)</f>
        <v>46242.541666666672</v>
      </c>
      <c r="D199" s="3" t="str" cm="1">
        <f t="array" ref="D199">choice(Settings!K:K,1,Settings!$B$16)</f>
        <v>lundi pm</v>
      </c>
    </row>
    <row r="200" spans="1:4" x14ac:dyDescent="0.25">
      <c r="A200" s="2" t="str" cm="1">
        <f t="array" ref="A200">choice(Professeurs!A:A,1,Settings!$B$16)</f>
        <v>Prof40</v>
      </c>
      <c r="B200" s="3" cm="1">
        <f t="array" ref="B200">alea_date(Settings!$B$11,360,Settings!$B$8+alea_int(4,0,Settings!$B$16),Settings!$B$16)</f>
        <v>46042.416666666664</v>
      </c>
      <c r="C200" s="3" cm="1">
        <f t="array" ref="C200">B200+TIME(alea_int(5,1,Settings!$B$16),0,0)</f>
        <v>46042.583333333328</v>
      </c>
      <c r="D200" s="3" t="str" cm="1">
        <f t="array" ref="D200">choice(Settings!K:K,1,Settings!$B$16)</f>
        <v/>
      </c>
    </row>
    <row r="201" spans="1:4" x14ac:dyDescent="0.25">
      <c r="A201" s="2" t="str" cm="1">
        <f t="array" ref="A201">choice(Professeurs!A:A,1,Settings!$B$16)</f>
        <v>Prof14</v>
      </c>
      <c r="B201" s="3" cm="1">
        <f t="array" ref="B201">alea_date(Settings!$B$11,360,Settings!$B$8+alea_int(4,0,Settings!$B$16),Settings!$B$16)</f>
        <v>46051.458333333336</v>
      </c>
      <c r="C201" s="3" cm="1">
        <f t="array" ref="C201">B201+TIME(alea_int(5,1,Settings!$B$16),0,0)</f>
        <v>46051.625</v>
      </c>
      <c r="D201" s="3" t="str" cm="1">
        <f t="array" ref="D201">choice(Settings!K:K,1,Settings!$B$16)</f>
        <v/>
      </c>
    </row>
    <row r="202" spans="1:4" x14ac:dyDescent="0.25">
      <c r="A202" s="2" t="str" cm="1">
        <f t="array" ref="A202">choice(Professeurs!A:A,1,Settings!$B$16)</f>
        <v>Prof8</v>
      </c>
      <c r="B202" s="3" cm="1">
        <f t="array" ref="B202">alea_date(Settings!$B$11,360,Settings!$B$8+alea_int(4,0,Settings!$B$16),Settings!$B$16)</f>
        <v>46182.458333333336</v>
      </c>
      <c r="C202" s="3" cm="1">
        <f t="array" ref="C202">B202+TIME(alea_int(5,1,Settings!$B$16),0,0)</f>
        <v>46182.583333333336</v>
      </c>
      <c r="D202" s="3" t="str" cm="1">
        <f t="array" ref="D202">choice(Settings!K:K,1,Settings!$B$16)</f>
        <v>mardi pm</v>
      </c>
    </row>
    <row r="203" spans="1:4" x14ac:dyDescent="0.25">
      <c r="A203" s="2" t="str" cm="1">
        <f t="array" ref="A203">choice(Professeurs!A:A,1,Settings!$B$16)</f>
        <v>Prof22</v>
      </c>
      <c r="B203" s="3" cm="1">
        <f t="array" ref="B203">alea_date(Settings!$B$11,360,Settings!$B$8+alea_int(4,0,Settings!$B$16),Settings!$B$16)</f>
        <v>46126.416666666664</v>
      </c>
      <c r="C203" s="3" cm="1">
        <f t="array" ref="C203">B203+TIME(alea_int(5,1,Settings!$B$16),0,0)</f>
        <v>46126.458333333328</v>
      </c>
      <c r="D203" s="3" t="str" cm="1">
        <f t="array" ref="D203">choice(Settings!K:K,1,Settings!$B$16)</f>
        <v/>
      </c>
    </row>
    <row r="204" spans="1:4" x14ac:dyDescent="0.25">
      <c r="A204" s="2" t="str" cm="1">
        <f t="array" ref="A204">choice(Professeurs!A:A,1,Settings!$B$16)</f>
        <v>Prof54</v>
      </c>
      <c r="B204" s="3" cm="1">
        <f t="array" ref="B204">alea_date(Settings!$B$11,360,Settings!$B$8+alea_int(4,0,Settings!$B$16),Settings!$B$16)</f>
        <v>46328.458333333336</v>
      </c>
      <c r="C204" s="3" cm="1">
        <f t="array" ref="C204">B204+TIME(alea_int(5,1,Settings!$B$16),0,0)</f>
        <v>46328.583333333336</v>
      </c>
      <c r="D204" s="3" t="str" cm="1">
        <f t="array" ref="D204">choice(Settings!K:K,1,Settings!$B$16)</f>
        <v>vendredi pm</v>
      </c>
    </row>
    <row r="205" spans="1:4" x14ac:dyDescent="0.25">
      <c r="A205" s="2" t="str" cm="1">
        <f t="array" ref="A205">choice(Professeurs!A:A,1,Settings!$B$16)</f>
        <v>Prof36</v>
      </c>
      <c r="B205" s="3" cm="1">
        <f t="array" ref="B205">alea_date(Settings!$B$11,360,Settings!$B$8+alea_int(4,0,Settings!$B$16),Settings!$B$16)</f>
        <v>46190.458333333336</v>
      </c>
      <c r="C205" s="3" cm="1">
        <f t="array" ref="C205">B205+TIME(alea_int(5,1,Settings!$B$16),0,0)</f>
        <v>46190.625</v>
      </c>
      <c r="D205" s="3" t="str" cm="1">
        <f t="array" ref="D205">choice(Settings!K:K,1,Settings!$B$16)</f>
        <v/>
      </c>
    </row>
    <row r="206" spans="1:4" x14ac:dyDescent="0.25">
      <c r="A206" s="2" t="str" cm="1">
        <f t="array" ref="A206">choice(Professeurs!A:A,1,Settings!$B$16)</f>
        <v>Prof12</v>
      </c>
      <c r="B206" s="3" cm="1">
        <f t="array" ref="B206">alea_date(Settings!$B$11,360,Settings!$B$8+alea_int(4,0,Settings!$B$16),Settings!$B$16)</f>
        <v>46334.375</v>
      </c>
      <c r="C206" s="3" cm="1">
        <f t="array" ref="C206">B206+TIME(alea_int(5,1,Settings!$B$16),0,0)</f>
        <v>46334.541666666664</v>
      </c>
      <c r="D206" s="3" t="str" cm="1">
        <f t="array" ref="D206">choice(Settings!K:K,1,Settings!$B$16)</f>
        <v/>
      </c>
    </row>
    <row r="207" spans="1:4" x14ac:dyDescent="0.25">
      <c r="A207" s="2" t="str" cm="1">
        <f t="array" ref="A207">choice(Professeurs!A:A,1,Settings!$B$16)</f>
        <v>Prof40</v>
      </c>
      <c r="B207" s="3" cm="1">
        <f t="array" ref="B207">alea_date(Settings!$B$11,360,Settings!$B$8+alea_int(4,0,Settings!$B$16),Settings!$B$16)</f>
        <v>46337.375</v>
      </c>
      <c r="C207" s="3" cm="1">
        <f t="array" ref="C207">B207+TIME(alea_int(5,1,Settings!$B$16),0,0)</f>
        <v>46337.458333333336</v>
      </c>
      <c r="D207" s="3" t="str" cm="1">
        <f t="array" ref="D207">choice(Settings!K:K,1,Settings!$B$16)</f>
        <v>mercredi pm</v>
      </c>
    </row>
    <row r="208" spans="1:4" x14ac:dyDescent="0.25">
      <c r="A208" s="2" t="str" cm="1">
        <f t="array" ref="A208">choice(Professeurs!A:A,1,Settings!$B$16)</f>
        <v>Prof27</v>
      </c>
      <c r="B208" s="3" cm="1">
        <f t="array" ref="B208">alea_date(Settings!$B$11,360,Settings!$B$8+alea_int(4,0,Settings!$B$16),Settings!$B$16)</f>
        <v>46114.458333333336</v>
      </c>
      <c r="C208" s="3" cm="1">
        <f t="array" ref="C208">B208+TIME(alea_int(5,1,Settings!$B$16),0,0)</f>
        <v>46114.541666666672</v>
      </c>
      <c r="D208" s="3" t="str" cm="1">
        <f t="array" ref="D208">choice(Settings!K:K,1,Settings!$B$16)</f>
        <v/>
      </c>
    </row>
    <row r="209" spans="1:4" x14ac:dyDescent="0.25">
      <c r="A209" s="2" t="str" cm="1">
        <f t="array" ref="A209">choice(Professeurs!A:A,1,Settings!$B$16)</f>
        <v>Prof18</v>
      </c>
      <c r="B209" s="3" cm="1">
        <f t="array" ref="B209">alea_date(Settings!$B$11,360,Settings!$B$8+alea_int(4,0,Settings!$B$16),Settings!$B$16)</f>
        <v>46199.375</v>
      </c>
      <c r="C209" s="3" cm="1">
        <f t="array" ref="C209">B209+TIME(alea_int(5,1,Settings!$B$16),0,0)</f>
        <v>46199.541666666664</v>
      </c>
      <c r="D209" s="3" t="str" cm="1">
        <f t="array" ref="D209">choice(Settings!K:K,1,Settings!$B$16)</f>
        <v>vendredi pm</v>
      </c>
    </row>
    <row r="210" spans="1:4" x14ac:dyDescent="0.25">
      <c r="A210" s="2" t="str" cm="1">
        <f t="array" ref="A210">choice(Professeurs!A:A,1,Settings!$B$16)</f>
        <v>Prof36</v>
      </c>
      <c r="B210" s="3" cm="1">
        <f t="array" ref="B210">alea_date(Settings!$B$11,360,Settings!$B$8+alea_int(4,0,Settings!$B$16),Settings!$B$16)</f>
        <v>46072.375</v>
      </c>
      <c r="C210" s="3" cm="1">
        <f t="array" ref="C210">B210+TIME(alea_int(5,1,Settings!$B$16),0,0)</f>
        <v>46072.416666666664</v>
      </c>
      <c r="D210" s="3" t="str" cm="1">
        <f t="array" ref="D210">choice(Settings!K:K,1,Settings!$B$16)</f>
        <v/>
      </c>
    </row>
    <row r="211" spans="1:4" x14ac:dyDescent="0.25">
      <c r="A211" s="2" t="str" cm="1">
        <f t="array" ref="A211">choice(Professeurs!A:A,1,Settings!$B$16)</f>
        <v>Prof48</v>
      </c>
      <c r="B211" s="3" cm="1">
        <f t="array" ref="B211">alea_date(Settings!$B$11,360,Settings!$B$8+alea_int(4,0,Settings!$B$16),Settings!$B$16)</f>
        <v>46095.416666666664</v>
      </c>
      <c r="C211" s="3" cm="1">
        <f t="array" ref="C211">B211+TIME(alea_int(5,1,Settings!$B$16),0,0)</f>
        <v>46095.458333333328</v>
      </c>
      <c r="D211" s="3" t="str" cm="1">
        <f t="array" ref="D211">choice(Settings!K:K,1,Settings!$B$16)</f>
        <v>jeudi pm</v>
      </c>
    </row>
    <row r="212" spans="1:4" x14ac:dyDescent="0.25">
      <c r="A212" s="2" t="str" cm="1">
        <f t="array" ref="A212">choice(Professeurs!A:A,1,Settings!$B$16)</f>
        <v>Prof20</v>
      </c>
      <c r="B212" s="3" cm="1">
        <f t="array" ref="B212">alea_date(Settings!$B$11,360,Settings!$B$8+alea_int(4,0,Settings!$B$16),Settings!$B$16)</f>
        <v>46326.333333333336</v>
      </c>
      <c r="C212" s="3" cm="1">
        <f t="array" ref="C212">B212+TIME(alea_int(5,1,Settings!$B$16),0,0)</f>
        <v>46326.5</v>
      </c>
      <c r="D212" s="3" t="str" cm="1">
        <f t="array" ref="D212">choice(Settings!K:K,1,Settings!$B$16)</f>
        <v>jeudi am</v>
      </c>
    </row>
    <row r="213" spans="1:4" x14ac:dyDescent="0.25">
      <c r="A213" s="2" t="str" cm="1">
        <f t="array" ref="A213">choice(Professeurs!A:A,1,Settings!$B$16)</f>
        <v>Prof11</v>
      </c>
      <c r="B213" s="3" cm="1">
        <f t="array" ref="B213">alea_date(Settings!$B$11,360,Settings!$B$8+alea_int(4,0,Settings!$B$16),Settings!$B$16)</f>
        <v>46221.416666666664</v>
      </c>
      <c r="C213" s="3" cm="1">
        <f t="array" ref="C213">B213+TIME(alea_int(5,1,Settings!$B$16),0,0)</f>
        <v>46221.5</v>
      </c>
      <c r="D213" s="3" t="str" cm="1">
        <f t="array" ref="D213">choice(Settings!K:K,1,Settings!$B$16)</f>
        <v/>
      </c>
    </row>
    <row r="214" spans="1:4" x14ac:dyDescent="0.25">
      <c r="A214" s="2" t="str" cm="1">
        <f t="array" ref="A214">choice(Professeurs!A:A,1,Settings!$B$16)</f>
        <v>Prof4</v>
      </c>
      <c r="B214" s="3" cm="1">
        <f t="array" ref="B214">alea_date(Settings!$B$11,360,Settings!$B$8+alea_int(4,0,Settings!$B$16),Settings!$B$16)</f>
        <v>46320.416666666664</v>
      </c>
      <c r="C214" s="3" cm="1">
        <f t="array" ref="C214">B214+TIME(alea_int(5,1,Settings!$B$16),0,0)</f>
        <v>46320.5</v>
      </c>
      <c r="D214" s="3" t="str" cm="1">
        <f t="array" ref="D214">choice(Settings!K:K,1,Settings!$B$16)</f>
        <v/>
      </c>
    </row>
    <row r="215" spans="1:4" x14ac:dyDescent="0.25">
      <c r="A215" s="2" t="str" cm="1">
        <f t="array" ref="A215">choice(Professeurs!A:A,1,Settings!$B$16)</f>
        <v>Prof21</v>
      </c>
      <c r="B215" s="3" cm="1">
        <f t="array" ref="B215">alea_date(Settings!$B$11,360,Settings!$B$8+alea_int(4,0,Settings!$B$16),Settings!$B$16)</f>
        <v>46352.458333333336</v>
      </c>
      <c r="C215" s="3" cm="1">
        <f t="array" ref="C215">B215+TIME(alea_int(5,1,Settings!$B$16),0,0)</f>
        <v>46352.541666666672</v>
      </c>
      <c r="D215" s="3" t="str" cm="1">
        <f t="array" ref="D215">choice(Settings!K:K,1,Settings!$B$16)</f>
        <v/>
      </c>
    </row>
    <row r="216" spans="1:4" x14ac:dyDescent="0.25">
      <c r="A216" s="2" t="str" cm="1">
        <f t="array" ref="A216">choice(Professeurs!A:A,1,Settings!$B$16)</f>
        <v>Prof3</v>
      </c>
      <c r="B216" s="3" cm="1">
        <f t="array" ref="B216">alea_date(Settings!$B$11,360,Settings!$B$8+alea_int(4,0,Settings!$B$16),Settings!$B$16)</f>
        <v>46131.333333333336</v>
      </c>
      <c r="C216" s="3" cm="1">
        <f t="array" ref="C216">B216+TIME(alea_int(5,1,Settings!$B$16),0,0)</f>
        <v>46131.541666666672</v>
      </c>
      <c r="D216" s="3" t="str" cm="1">
        <f t="array" ref="D216">choice(Settings!K:K,1,Settings!$B$16)</f>
        <v/>
      </c>
    </row>
    <row r="217" spans="1:4" x14ac:dyDescent="0.25">
      <c r="A217" s="2" t="str" cm="1">
        <f t="array" ref="A217">choice(Professeurs!A:A,1,Settings!$B$16)</f>
        <v>Prof37</v>
      </c>
      <c r="B217" s="3" cm="1">
        <f t="array" ref="B217">alea_date(Settings!$B$11,360,Settings!$B$8+alea_int(4,0,Settings!$B$16),Settings!$B$16)</f>
        <v>46089.458333333336</v>
      </c>
      <c r="C217" s="3" cm="1">
        <f t="array" ref="C217">B217+TIME(alea_int(5,1,Settings!$B$16),0,0)</f>
        <v>46089.541666666672</v>
      </c>
      <c r="D217" s="3" t="str" cm="1">
        <f t="array" ref="D217">choice(Settings!K:K,1,Settings!$B$16)</f>
        <v/>
      </c>
    </row>
    <row r="218" spans="1:4" x14ac:dyDescent="0.25">
      <c r="A218" s="2" t="str" cm="1">
        <f t="array" ref="A218">choice(Professeurs!A:A,1,Settings!$B$16)</f>
        <v>Prof21</v>
      </c>
      <c r="B218" s="3" cm="1">
        <f t="array" ref="B218">alea_date(Settings!$B$11,360,Settings!$B$8+alea_int(4,0,Settings!$B$16),Settings!$B$16)</f>
        <v>46158.416666666664</v>
      </c>
      <c r="C218" s="3" cm="1">
        <f t="array" ref="C218">B218+TIME(alea_int(5,1,Settings!$B$16),0,0)</f>
        <v>46158.5</v>
      </c>
      <c r="D218" s="3" t="str" cm="1">
        <f t="array" ref="D218">choice(Settings!K:K,1,Settings!$B$16)</f>
        <v/>
      </c>
    </row>
    <row r="219" spans="1:4" x14ac:dyDescent="0.25">
      <c r="A219" s="2" t="str" cm="1">
        <f t="array" ref="A219">choice(Professeurs!A:A,1,Settings!$B$16)</f>
        <v>Prof33</v>
      </c>
      <c r="B219" s="3" cm="1">
        <f t="array" ref="B219">alea_date(Settings!$B$11,360,Settings!$B$8+alea_int(4,0,Settings!$B$16),Settings!$B$16)</f>
        <v>46188.458333333336</v>
      </c>
      <c r="C219" s="3" cm="1">
        <f t="array" ref="C219">B219+TIME(alea_int(5,1,Settings!$B$16),0,0)</f>
        <v>46188.666666666672</v>
      </c>
      <c r="D219" s="3" t="str" cm="1">
        <f t="array" ref="D219">choice(Settings!K:K,1,Settings!$B$16)</f>
        <v/>
      </c>
    </row>
    <row r="220" spans="1:4" x14ac:dyDescent="0.25">
      <c r="A220" s="2" t="str" cm="1">
        <f t="array" ref="A220">choice(Professeurs!A:A,1,Settings!$B$16)</f>
        <v>Prof15</v>
      </c>
      <c r="B220" s="3" cm="1">
        <f t="array" ref="B220">alea_date(Settings!$B$11,360,Settings!$B$8+alea_int(4,0,Settings!$B$16),Settings!$B$16)</f>
        <v>46181.458333333336</v>
      </c>
      <c r="C220" s="3" cm="1">
        <f t="array" ref="C220">B220+TIME(alea_int(5,1,Settings!$B$16),0,0)</f>
        <v>46181.625</v>
      </c>
      <c r="D220" s="3" t="str" cm="1">
        <f t="array" ref="D220">choice(Settings!K:K,1,Settings!$B$16)</f>
        <v/>
      </c>
    </row>
    <row r="221" spans="1:4" x14ac:dyDescent="0.25">
      <c r="A221" s="2" t="str" cm="1">
        <f t="array" ref="A221">choice(Professeurs!A:A,1,Settings!$B$16)</f>
        <v>Prof44</v>
      </c>
      <c r="B221" s="3" cm="1">
        <f t="array" ref="B221">alea_date(Settings!$B$11,360,Settings!$B$8+alea_int(4,0,Settings!$B$16),Settings!$B$16)</f>
        <v>46136.416666666664</v>
      </c>
      <c r="C221" s="3" cm="1">
        <f t="array" ref="C221">B221+TIME(alea_int(5,1,Settings!$B$16),0,0)</f>
        <v>46136.458333333328</v>
      </c>
      <c r="D221" s="3" t="str" cm="1">
        <f t="array" ref="D221">choice(Settings!K:K,1,Settings!$B$16)</f>
        <v>mercredi pm</v>
      </c>
    </row>
    <row r="222" spans="1:4" x14ac:dyDescent="0.25">
      <c r="A222" s="2" t="str" cm="1">
        <f t="array" ref="A222">choice(Professeurs!A:A,1,Settings!$B$16)</f>
        <v>Prof16</v>
      </c>
      <c r="B222" s="3" cm="1">
        <f t="array" ref="B222">alea_date(Settings!$B$11,360,Settings!$B$8+alea_int(4,0,Settings!$B$16),Settings!$B$16)</f>
        <v>46263.333333333336</v>
      </c>
      <c r="C222" s="3" cm="1">
        <f t="array" ref="C222">B222+TIME(alea_int(5,1,Settings!$B$16),0,0)</f>
        <v>46263.375</v>
      </c>
      <c r="D222" s="3" t="str" cm="1">
        <f t="array" ref="D222">choice(Settings!K:K,1,Settings!$B$16)</f>
        <v>vendredi am</v>
      </c>
    </row>
    <row r="223" spans="1:4" x14ac:dyDescent="0.25">
      <c r="A223" s="2" t="str" cm="1">
        <f t="array" ref="A223">choice(Professeurs!A:A,1,Settings!$B$16)</f>
        <v>Prof52</v>
      </c>
      <c r="B223" s="3" cm="1">
        <f t="array" ref="B223">alea_date(Settings!$B$11,360,Settings!$B$8+alea_int(4,0,Settings!$B$16),Settings!$B$16)</f>
        <v>46165.333333333336</v>
      </c>
      <c r="C223" s="3" cm="1">
        <f t="array" ref="C223">B223+TIME(alea_int(5,1,Settings!$B$16),0,0)</f>
        <v>46165.416666666672</v>
      </c>
      <c r="D223" s="3" t="str" cm="1">
        <f t="array" ref="D223">choice(Settings!K:K,1,Settings!$B$16)</f>
        <v>vendredi pm</v>
      </c>
    </row>
    <row r="224" spans="1:4" x14ac:dyDescent="0.25">
      <c r="A224" s="2" t="str" cm="1">
        <f t="array" ref="A224">choice(Professeurs!A:A,1,Settings!$B$16)</f>
        <v>Prof15</v>
      </c>
      <c r="B224" s="3" cm="1">
        <f t="array" ref="B224">alea_date(Settings!$B$11,360,Settings!$B$8+alea_int(4,0,Settings!$B$16),Settings!$B$16)</f>
        <v>46310.416666666664</v>
      </c>
      <c r="C224" s="3" cm="1">
        <f t="array" ref="C224">B224+TIME(alea_int(5,1,Settings!$B$16),0,0)</f>
        <v>46310.5</v>
      </c>
      <c r="D224" s="3" t="str" cm="1">
        <f t="array" ref="D224">choice(Settings!K:K,1,Settings!$B$16)</f>
        <v>semaine</v>
      </c>
    </row>
    <row r="225" spans="1:4" x14ac:dyDescent="0.25">
      <c r="A225" s="2" t="str" cm="1">
        <f t="array" ref="A225">choice(Professeurs!A:A,1,Settings!$B$16)</f>
        <v>Prof1</v>
      </c>
      <c r="B225" s="3" cm="1">
        <f t="array" ref="B225">alea_date(Settings!$B$11,360,Settings!$B$8+alea_int(4,0,Settings!$B$16),Settings!$B$16)</f>
        <v>46249.416666666664</v>
      </c>
      <c r="C225" s="3" cm="1">
        <f t="array" ref="C225">B225+TIME(alea_int(5,1,Settings!$B$16),0,0)</f>
        <v>46249.625</v>
      </c>
      <c r="D225" s="3" t="str" cm="1">
        <f t="array" ref="D225">choice(Settings!K:K,1,Settings!$B$16)</f>
        <v/>
      </c>
    </row>
    <row r="226" spans="1:4" x14ac:dyDescent="0.25">
      <c r="A226" s="2" t="str" cm="1">
        <f t="array" ref="A226">choice(Professeurs!A:A,1,Settings!$B$16)</f>
        <v>Prof45</v>
      </c>
      <c r="B226" s="3" cm="1">
        <f t="array" ref="B226">alea_date(Settings!$B$11,360,Settings!$B$8+alea_int(4,0,Settings!$B$16),Settings!$B$16)</f>
        <v>46116.416666666664</v>
      </c>
      <c r="C226" s="3" cm="1">
        <f t="array" ref="C226">B226+TIME(alea_int(5,1,Settings!$B$16),0,0)</f>
        <v>46116.625</v>
      </c>
      <c r="D226" s="3" t="str" cm="1">
        <f t="array" ref="D226">choice(Settings!K:K,1,Settings!$B$16)</f>
        <v>mardi am</v>
      </c>
    </row>
    <row r="227" spans="1:4" x14ac:dyDescent="0.25">
      <c r="A227" s="2" t="str" cm="1">
        <f t="array" ref="A227">choice(Professeurs!A:A,1,Settings!$B$16)</f>
        <v>Prof40</v>
      </c>
      <c r="B227" s="3" cm="1">
        <f t="array" ref="B227">alea_date(Settings!$B$11,360,Settings!$B$8+alea_int(4,0,Settings!$B$16),Settings!$B$16)</f>
        <v>46270.416666666664</v>
      </c>
      <c r="C227" s="3" cm="1">
        <f t="array" ref="C227">B227+TIME(alea_int(5,1,Settings!$B$16),0,0)</f>
        <v>46270.541666666664</v>
      </c>
      <c r="D227" s="3" t="str" cm="1">
        <f t="array" ref="D227">choice(Settings!K:K,1,Settings!$B$16)</f>
        <v/>
      </c>
    </row>
    <row r="228" spans="1:4" x14ac:dyDescent="0.25">
      <c r="A228" s="2" t="str" cm="1">
        <f t="array" ref="A228">choice(Professeurs!A:A,1,Settings!$B$16)</f>
        <v>Prof32</v>
      </c>
      <c r="B228" s="3" cm="1">
        <f t="array" ref="B228">alea_date(Settings!$B$11,360,Settings!$B$8+alea_int(4,0,Settings!$B$16),Settings!$B$16)</f>
        <v>46335.375</v>
      </c>
      <c r="C228" s="3" cm="1">
        <f t="array" ref="C228">B228+TIME(alea_int(5,1,Settings!$B$16),0,0)</f>
        <v>46335.458333333336</v>
      </c>
      <c r="D228" s="3" t="str" cm="1">
        <f t="array" ref="D228">choice(Settings!K:K,1,Settings!$B$16)</f>
        <v/>
      </c>
    </row>
    <row r="229" spans="1:4" x14ac:dyDescent="0.25">
      <c r="A229" s="2" t="str" cm="1">
        <f t="array" ref="A229">choice(Professeurs!A:A,1,Settings!$B$16)</f>
        <v>Prof45</v>
      </c>
      <c r="B229" s="3" cm="1">
        <f t="array" ref="B229">alea_date(Settings!$B$11,360,Settings!$B$8+alea_int(4,0,Settings!$B$16),Settings!$B$16)</f>
        <v>46301.458333333336</v>
      </c>
      <c r="C229" s="3" cm="1">
        <f t="array" ref="C229">B229+TIME(alea_int(5,1,Settings!$B$16),0,0)</f>
        <v>46301.583333333336</v>
      </c>
      <c r="D229" s="3" t="str" cm="1">
        <f t="array" ref="D229">choice(Settings!K:K,1,Settings!$B$16)</f>
        <v/>
      </c>
    </row>
    <row r="230" spans="1:4" x14ac:dyDescent="0.25">
      <c r="A230" s="2" t="str" cm="1">
        <f t="array" ref="A230">choice(Professeurs!A:A,1,Settings!$B$16)</f>
        <v>Prof49</v>
      </c>
      <c r="B230" s="3" cm="1">
        <f t="array" ref="B230">alea_date(Settings!$B$11,360,Settings!$B$8+alea_int(4,0,Settings!$B$16),Settings!$B$16)</f>
        <v>46032.416666666664</v>
      </c>
      <c r="C230" s="3" cm="1">
        <f t="array" ref="C230">B230+TIME(alea_int(5,1,Settings!$B$16),0,0)</f>
        <v>46032.5</v>
      </c>
      <c r="D230" s="3" t="str" cm="1">
        <f t="array" ref="D230">choice(Settings!K:K,1,Settings!$B$16)</f>
        <v>semaine</v>
      </c>
    </row>
    <row r="231" spans="1:4" x14ac:dyDescent="0.25">
      <c r="A231" s="2" t="str" cm="1">
        <f t="array" ref="A231">choice(Professeurs!A:A,1,Settings!$B$16)</f>
        <v>Prof29</v>
      </c>
      <c r="B231" s="3" cm="1">
        <f t="array" ref="B231">alea_date(Settings!$B$11,360,Settings!$B$8+alea_int(4,0,Settings!$B$16),Settings!$B$16)</f>
        <v>46083.458333333336</v>
      </c>
      <c r="C231" s="3" cm="1">
        <f t="array" ref="C231">B231+TIME(alea_int(5,1,Settings!$B$16),0,0)</f>
        <v>46083.666666666672</v>
      </c>
      <c r="D231" s="3" t="str" cm="1">
        <f t="array" ref="D231">choice(Settings!K:K,1,Settings!$B$16)</f>
        <v/>
      </c>
    </row>
    <row r="232" spans="1:4" x14ac:dyDescent="0.25">
      <c r="A232" s="2" t="str" cm="1">
        <f t="array" ref="A232">choice(Professeurs!A:A,1,Settings!$B$16)</f>
        <v>Prof23</v>
      </c>
      <c r="B232" s="3" cm="1">
        <f t="array" ref="B232">alea_date(Settings!$B$11,360,Settings!$B$8+alea_int(4,0,Settings!$B$16),Settings!$B$16)</f>
        <v>46093.375</v>
      </c>
      <c r="C232" s="3" cm="1">
        <f t="array" ref="C232">B232+TIME(alea_int(5,1,Settings!$B$16),0,0)</f>
        <v>46093.416666666664</v>
      </c>
      <c r="D232" s="3" t="str" cm="1">
        <f t="array" ref="D232">choice(Settings!K:K,1,Settings!$B$16)</f>
        <v>lundi am</v>
      </c>
    </row>
    <row r="233" spans="1:4" x14ac:dyDescent="0.25">
      <c r="A233" s="2" t="str" cm="1">
        <f t="array" ref="A233">choice(Professeurs!A:A,1,Settings!$B$16)</f>
        <v>Prof11</v>
      </c>
      <c r="B233" s="3" cm="1">
        <f t="array" ref="B233">alea_date(Settings!$B$11,360,Settings!$B$8+alea_int(4,0,Settings!$B$16),Settings!$B$16)</f>
        <v>46062.416666666664</v>
      </c>
      <c r="C233" s="3" cm="1">
        <f t="array" ref="C233">B233+TIME(alea_int(5,1,Settings!$B$16),0,0)</f>
        <v>46062.5</v>
      </c>
      <c r="D233" s="3" t="str" cm="1">
        <f t="array" ref="D233">choice(Settings!K:K,1,Settings!$B$16)</f>
        <v>vendredi am</v>
      </c>
    </row>
    <row r="234" spans="1:4" x14ac:dyDescent="0.25">
      <c r="A234" s="2" t="str" cm="1">
        <f t="array" ref="A234">choice(Professeurs!A:A,1,Settings!$B$16)</f>
        <v>Prof48</v>
      </c>
      <c r="B234" s="3" cm="1">
        <f t="array" ref="B234">alea_date(Settings!$B$11,360,Settings!$B$8+alea_int(4,0,Settings!$B$16),Settings!$B$16)</f>
        <v>46210.458333333336</v>
      </c>
      <c r="C234" s="3" cm="1">
        <f t="array" ref="C234">B234+TIME(alea_int(5,1,Settings!$B$16),0,0)</f>
        <v>46210.666666666672</v>
      </c>
      <c r="D234" s="3" t="str" cm="1">
        <f t="array" ref="D234">choice(Settings!K:K,1,Settings!$B$16)</f>
        <v>mardi pm</v>
      </c>
    </row>
    <row r="235" spans="1:4" x14ac:dyDescent="0.25">
      <c r="A235" s="2" t="str" cm="1">
        <f t="array" ref="A235">choice(Professeurs!A:A,1,Settings!$B$16)</f>
        <v>Prof49</v>
      </c>
      <c r="B235" s="3" cm="1">
        <f t="array" ref="B235">alea_date(Settings!$B$11,360,Settings!$B$8+alea_int(4,0,Settings!$B$16),Settings!$B$16)</f>
        <v>46057.375</v>
      </c>
      <c r="C235" s="3" cm="1">
        <f t="array" ref="C235">B235+TIME(alea_int(5,1,Settings!$B$16),0,0)</f>
        <v>46057.458333333336</v>
      </c>
      <c r="D235" s="3" t="str" cm="1">
        <f t="array" ref="D235">choice(Settings!K:K,1,Settings!$B$16)</f>
        <v/>
      </c>
    </row>
    <row r="236" spans="1:4" x14ac:dyDescent="0.25">
      <c r="A236" s="2" t="str" cm="1">
        <f t="array" ref="A236">choice(Professeurs!A:A,1,Settings!$B$16)</f>
        <v>Prof52</v>
      </c>
      <c r="B236" s="3" cm="1">
        <f t="array" ref="B236">alea_date(Settings!$B$11,360,Settings!$B$8+alea_int(4,0,Settings!$B$16),Settings!$B$16)</f>
        <v>46361.333333333336</v>
      </c>
      <c r="C236" s="3" cm="1">
        <f t="array" ref="C236">B236+TIME(alea_int(5,1,Settings!$B$16),0,0)</f>
        <v>46361.375</v>
      </c>
      <c r="D236" s="3" t="str" cm="1">
        <f t="array" ref="D236">choice(Settings!K:K,1,Settings!$B$16)</f>
        <v>semaine</v>
      </c>
    </row>
    <row r="237" spans="1:4" x14ac:dyDescent="0.25">
      <c r="A237" s="2" t="str" cm="1">
        <f t="array" ref="A237">choice(Professeurs!A:A,1,Settings!$B$16)</f>
        <v>Prof30</v>
      </c>
      <c r="B237" s="3" cm="1">
        <f t="array" ref="B237">alea_date(Settings!$B$11,360,Settings!$B$8+alea_int(4,0,Settings!$B$16),Settings!$B$16)</f>
        <v>46146.375</v>
      </c>
      <c r="C237" s="3" cm="1">
        <f t="array" ref="C237">B237+TIME(alea_int(5,1,Settings!$B$16),0,0)</f>
        <v>46146.458333333336</v>
      </c>
      <c r="D237" s="3" t="str" cm="1">
        <f t="array" ref="D237">choice(Settings!K:K,1,Settings!$B$16)</f>
        <v/>
      </c>
    </row>
    <row r="238" spans="1:4" x14ac:dyDescent="0.25">
      <c r="A238" s="2" t="str" cm="1">
        <f t="array" ref="A238">choice(Professeurs!A:A,1,Settings!$B$16)</f>
        <v>Prof12</v>
      </c>
      <c r="B238" s="3" cm="1">
        <f t="array" ref="B238">alea_date(Settings!$B$11,360,Settings!$B$8+alea_int(4,0,Settings!$B$16),Settings!$B$16)</f>
        <v>46076.458333333336</v>
      </c>
      <c r="C238" s="3" cm="1">
        <f t="array" ref="C238">B238+TIME(alea_int(5,1,Settings!$B$16),0,0)</f>
        <v>46076.5</v>
      </c>
      <c r="D238" s="3" t="str" cm="1">
        <f t="array" ref="D238">choice(Settings!K:K,1,Settings!$B$16)</f>
        <v/>
      </c>
    </row>
    <row r="239" spans="1:4" x14ac:dyDescent="0.25">
      <c r="A239" s="2" t="str" cm="1">
        <f t="array" ref="A239">choice(Professeurs!A:A,1,Settings!$B$16)</f>
        <v>Prof49</v>
      </c>
      <c r="B239" s="3" cm="1">
        <f t="array" ref="B239">alea_date(Settings!$B$11,360,Settings!$B$8+alea_int(4,0,Settings!$B$16),Settings!$B$16)</f>
        <v>46102.416666666664</v>
      </c>
      <c r="C239" s="3" cm="1">
        <f t="array" ref="C239">B239+TIME(alea_int(5,1,Settings!$B$16),0,0)</f>
        <v>46102.458333333328</v>
      </c>
      <c r="D239" s="3" t="str" cm="1">
        <f t="array" ref="D239">choice(Settings!K:K,1,Settings!$B$16)</f>
        <v>vendredi am</v>
      </c>
    </row>
    <row r="240" spans="1:4" x14ac:dyDescent="0.25">
      <c r="A240" s="2" t="str" cm="1">
        <f t="array" ref="A240">choice(Professeurs!A:A,1,Settings!$B$16)</f>
        <v>Prof26</v>
      </c>
      <c r="B240" s="3" cm="1">
        <f t="array" ref="B240">alea_date(Settings!$B$11,360,Settings!$B$8+alea_int(4,0,Settings!$B$16),Settings!$B$16)</f>
        <v>46320.458333333336</v>
      </c>
      <c r="C240" s="3" cm="1">
        <f t="array" ref="C240">B240+TIME(alea_int(5,1,Settings!$B$16),0,0)</f>
        <v>46320.541666666672</v>
      </c>
      <c r="D240" s="3" t="str" cm="1">
        <f t="array" ref="D240">choice(Settings!K:K,1,Settings!$B$16)</f>
        <v>vendredi pm</v>
      </c>
    </row>
    <row r="241" spans="1:4" x14ac:dyDescent="0.25">
      <c r="A241" s="2" t="str" cm="1">
        <f t="array" ref="A241">choice(Professeurs!A:A,1,Settings!$B$16)</f>
        <v>Prof49</v>
      </c>
      <c r="B241" s="3" cm="1">
        <f t="array" ref="B241">alea_date(Settings!$B$11,360,Settings!$B$8+alea_int(4,0,Settings!$B$16),Settings!$B$16)</f>
        <v>46368.375</v>
      </c>
      <c r="C241" s="3" cm="1">
        <f t="array" ref="C241">B241+TIME(alea_int(5,1,Settings!$B$16),0,0)</f>
        <v>46368.416666666664</v>
      </c>
      <c r="D241" s="3" t="str" cm="1">
        <f t="array" ref="D241">choice(Settings!K:K,1,Settings!$B$16)</f>
        <v>mercredi ap</v>
      </c>
    </row>
    <row r="242" spans="1:4" x14ac:dyDescent="0.25">
      <c r="A242" s="2" t="str" cm="1">
        <f t="array" ref="A242">choice(Professeurs!A:A,1,Settings!$B$16)</f>
        <v>Prof54</v>
      </c>
      <c r="B242" s="3" cm="1">
        <f t="array" ref="B242">alea_date(Settings!$B$11,360,Settings!$B$8+alea_int(4,0,Settings!$B$16),Settings!$B$16)</f>
        <v>46167.375</v>
      </c>
      <c r="C242" s="3" cm="1">
        <f t="array" ref="C242">B242+TIME(alea_int(5,1,Settings!$B$16),0,0)</f>
        <v>46167.5</v>
      </c>
      <c r="D242" s="3" t="str" cm="1">
        <f t="array" ref="D242">choice(Settings!K:K,1,Settings!$B$16)</f>
        <v>mercredi ap</v>
      </c>
    </row>
    <row r="243" spans="1:4" x14ac:dyDescent="0.25">
      <c r="A243" s="2" t="str" cm="1">
        <f t="array" ref="A243">choice(Professeurs!A:A,1,Settings!$B$16)</f>
        <v>Prof32</v>
      </c>
      <c r="B243" s="3" cm="1">
        <f t="array" ref="B243">alea_date(Settings!$B$11,360,Settings!$B$8+alea_int(4,0,Settings!$B$16),Settings!$B$16)</f>
        <v>46236.458333333336</v>
      </c>
      <c r="C243" s="3" cm="1">
        <f t="array" ref="C243">B243+TIME(alea_int(5,1,Settings!$B$16),0,0)</f>
        <v>46236.541666666672</v>
      </c>
      <c r="D243" s="3" t="str" cm="1">
        <f t="array" ref="D243">choice(Settings!K:K,1,Settings!$B$16)</f>
        <v/>
      </c>
    </row>
    <row r="244" spans="1:4" x14ac:dyDescent="0.25">
      <c r="A244" s="2" t="str" cm="1">
        <f t="array" ref="A244">choice(Professeurs!A:A,1,Settings!$B$16)</f>
        <v>Prof40</v>
      </c>
      <c r="B244" s="3" cm="1">
        <f t="array" ref="B244">alea_date(Settings!$B$11,360,Settings!$B$8+alea_int(4,0,Settings!$B$16),Settings!$B$16)</f>
        <v>46042.333333333336</v>
      </c>
      <c r="C244" s="3" cm="1">
        <f t="array" ref="C244">B244+TIME(alea_int(5,1,Settings!$B$16),0,0)</f>
        <v>46042.541666666672</v>
      </c>
      <c r="D244" s="3" t="str" cm="1">
        <f t="array" ref="D244">choice(Settings!K:K,1,Settings!$B$16)</f>
        <v/>
      </c>
    </row>
    <row r="245" spans="1:4" x14ac:dyDescent="0.25">
      <c r="A245" s="2" t="str" cm="1">
        <f t="array" ref="A245">choice(Professeurs!A:A,1,Settings!$B$16)</f>
        <v>Prof3</v>
      </c>
      <c r="B245" s="3" cm="1">
        <f t="array" ref="B245">alea_date(Settings!$B$11,360,Settings!$B$8+alea_int(4,0,Settings!$B$16),Settings!$B$16)</f>
        <v>46110.458333333336</v>
      </c>
      <c r="C245" s="3" cm="1">
        <f t="array" ref="C245">B245+TIME(alea_int(5,1,Settings!$B$16),0,0)</f>
        <v>46110.541666666672</v>
      </c>
      <c r="D245" s="3" t="str" cm="1">
        <f t="array" ref="D245">choice(Settings!K:K,1,Settings!$B$16)</f>
        <v>mercredi pm</v>
      </c>
    </row>
    <row r="246" spans="1:4" x14ac:dyDescent="0.25">
      <c r="A246" s="2" t="str" cm="1">
        <f t="array" ref="A246">choice(Professeurs!A:A,1,Settings!$B$16)</f>
        <v>Prof23</v>
      </c>
      <c r="B246" s="3" cm="1">
        <f t="array" ref="B246">alea_date(Settings!$B$11,360,Settings!$B$8+alea_int(4,0,Settings!$B$16),Settings!$B$16)</f>
        <v>46221.458333333336</v>
      </c>
      <c r="C246" s="3" cm="1">
        <f t="array" ref="C246">B246+TIME(alea_int(5,1,Settings!$B$16),0,0)</f>
        <v>46221.583333333336</v>
      </c>
      <c r="D246" s="3" t="str" cm="1">
        <f t="array" ref="D246">choice(Settings!K:K,1,Settings!$B$16)</f>
        <v>mercredi ap</v>
      </c>
    </row>
    <row r="247" spans="1:4" x14ac:dyDescent="0.25">
      <c r="A247" s="2" t="str" cm="1">
        <f t="array" ref="A247">choice(Professeurs!A:A,1,Settings!$B$16)</f>
        <v>Prof36</v>
      </c>
      <c r="B247" s="3" cm="1">
        <f t="array" ref="B247">alea_date(Settings!$B$11,360,Settings!$B$8+alea_int(4,0,Settings!$B$16),Settings!$B$16)</f>
        <v>46119.458333333336</v>
      </c>
      <c r="C247" s="3" cm="1">
        <f t="array" ref="C247">B247+TIME(alea_int(5,1,Settings!$B$16),0,0)</f>
        <v>46119.666666666672</v>
      </c>
      <c r="D247" s="3" t="str" cm="1">
        <f t="array" ref="D247">choice(Settings!K:K,1,Settings!$B$16)</f>
        <v/>
      </c>
    </row>
    <row r="248" spans="1:4" x14ac:dyDescent="0.25">
      <c r="A248" s="2" t="str" cm="1">
        <f t="array" ref="A248">choice(Professeurs!A:A,1,Settings!$B$16)</f>
        <v>Prof32</v>
      </c>
      <c r="B248" s="3" cm="1">
        <f t="array" ref="B248">alea_date(Settings!$B$11,360,Settings!$B$8+alea_int(4,0,Settings!$B$16),Settings!$B$16)</f>
        <v>46246.458333333336</v>
      </c>
      <c r="C248" s="3" cm="1">
        <f t="array" ref="C248">B248+TIME(alea_int(5,1,Settings!$B$16),0,0)</f>
        <v>46246.541666666672</v>
      </c>
      <c r="D248" s="3" t="str" cm="1">
        <f t="array" ref="D248">choice(Settings!K:K,1,Settings!$B$16)</f>
        <v/>
      </c>
    </row>
    <row r="249" spans="1:4" x14ac:dyDescent="0.25">
      <c r="A249" s="2" t="str" cm="1">
        <f t="array" ref="A249">choice(Professeurs!A:A,1,Settings!$B$16)</f>
        <v>Prof31</v>
      </c>
      <c r="B249" s="3" cm="1">
        <f t="array" ref="B249">alea_date(Settings!$B$11,360,Settings!$B$8+alea_int(4,0,Settings!$B$16),Settings!$B$16)</f>
        <v>46115.416666666664</v>
      </c>
      <c r="C249" s="3" cm="1">
        <f t="array" ref="C249">B249+TIME(alea_int(5,1,Settings!$B$16),0,0)</f>
        <v>46115.458333333328</v>
      </c>
      <c r="D249" s="3" t="str" cm="1">
        <f t="array" ref="D249">choice(Settings!K:K,1,Settings!$B$16)</f>
        <v/>
      </c>
    </row>
    <row r="250" spans="1:4" x14ac:dyDescent="0.25">
      <c r="A250" s="2" t="str" cm="1">
        <f t="array" ref="A250">choice(Professeurs!A:A,1,Settings!$B$16)</f>
        <v>Prof28</v>
      </c>
      <c r="B250" s="3" cm="1">
        <f t="array" ref="B250">alea_date(Settings!$B$11,360,Settings!$B$8+alea_int(4,0,Settings!$B$16),Settings!$B$16)</f>
        <v>46239.375</v>
      </c>
      <c r="C250" s="3" cm="1">
        <f t="array" ref="C250">B250+TIME(alea_int(5,1,Settings!$B$16),0,0)</f>
        <v>46239.458333333336</v>
      </c>
      <c r="D250" s="3" t="str" cm="1">
        <f t="array" ref="D250">choice(Settings!K:K,1,Settings!$B$16)</f>
        <v/>
      </c>
    </row>
    <row r="251" spans="1:4" x14ac:dyDescent="0.25">
      <c r="A251" s="2" t="str" cm="1">
        <f t="array" ref="A251">choice(Professeurs!A:A,1,Settings!$B$16)</f>
        <v>Prof36</v>
      </c>
      <c r="B251" s="3" cm="1">
        <f t="array" ref="B251">alea_date(Settings!$B$11,360,Settings!$B$8+alea_int(4,0,Settings!$B$16),Settings!$B$16)</f>
        <v>46368.458333333336</v>
      </c>
      <c r="C251" s="3" cm="1">
        <f t="array" ref="C251">B251+TIME(alea_int(5,1,Settings!$B$16),0,0)</f>
        <v>46368.625</v>
      </c>
      <c r="D251" s="3" t="str" cm="1">
        <f t="array" ref="D251">choice(Settings!K:K,1,Settings!$B$16)</f>
        <v/>
      </c>
    </row>
    <row r="252" spans="1:4" x14ac:dyDescent="0.25">
      <c r="A252" s="2" t="str" cm="1">
        <f t="array" ref="A252">choice(Professeurs!A:A,1,Settings!$B$16)</f>
        <v>Prof11</v>
      </c>
      <c r="B252" s="3" cm="1">
        <f t="array" ref="B252">alea_date(Settings!$B$11,360,Settings!$B$8+alea_int(4,0,Settings!$B$16),Settings!$B$16)</f>
        <v>46224.458333333336</v>
      </c>
      <c r="C252" s="3" cm="1">
        <f t="array" ref="C252">B252+TIME(alea_int(5,1,Settings!$B$16),0,0)</f>
        <v>46224.5</v>
      </c>
      <c r="D252" s="3" t="str" cm="1">
        <f t="array" ref="D252">choice(Settings!K:K,1,Settings!$B$16)</f>
        <v/>
      </c>
    </row>
    <row r="253" spans="1:4" x14ac:dyDescent="0.25">
      <c r="A253" s="2" t="str" cm="1">
        <f t="array" ref="A253">choice(Professeurs!A:A,1,Settings!$B$16)</f>
        <v>Prof23</v>
      </c>
      <c r="B253" s="3" cm="1">
        <f t="array" ref="B253">alea_date(Settings!$B$11,360,Settings!$B$8+alea_int(4,0,Settings!$B$16),Settings!$B$16)</f>
        <v>46050.375</v>
      </c>
      <c r="C253" s="3" cm="1">
        <f t="array" ref="C253">B253+TIME(alea_int(5,1,Settings!$B$16),0,0)</f>
        <v>46050.583333333336</v>
      </c>
      <c r="D253" s="3" t="str" cm="1">
        <f t="array" ref="D253">choice(Settings!K:K,1,Settings!$B$16)</f>
        <v/>
      </c>
    </row>
    <row r="254" spans="1:4" x14ac:dyDescent="0.25">
      <c r="A254" s="2" t="str" cm="1">
        <f t="array" ref="A254">choice(Professeurs!A:A,1,Settings!$B$16)</f>
        <v>Prof23</v>
      </c>
      <c r="B254" s="3" cm="1">
        <f t="array" ref="B254">alea_date(Settings!$B$11,360,Settings!$B$8+alea_int(4,0,Settings!$B$16),Settings!$B$16)</f>
        <v>46332.375</v>
      </c>
      <c r="C254" s="3" cm="1">
        <f t="array" ref="C254">B254+TIME(alea_int(5,1,Settings!$B$16),0,0)</f>
        <v>46332.583333333336</v>
      </c>
      <c r="D254" s="3" t="str" cm="1">
        <f t="array" ref="D254">choice(Settings!K:K,1,Settings!$B$16)</f>
        <v>jeudi pm</v>
      </c>
    </row>
    <row r="255" spans="1:4" x14ac:dyDescent="0.25">
      <c r="A255" s="2" t="str" cm="1">
        <f t="array" ref="A255">choice(Professeurs!A:A,1,Settings!$B$16)</f>
        <v>Prof8</v>
      </c>
      <c r="B255" s="3" cm="1">
        <f t="array" ref="B255">alea_date(Settings!$B$11,360,Settings!$B$8+alea_int(4,0,Settings!$B$16),Settings!$B$16)</f>
        <v>46327.458333333336</v>
      </c>
      <c r="C255" s="3" cm="1">
        <f t="array" ref="C255">B255+TIME(alea_int(5,1,Settings!$B$16),0,0)</f>
        <v>46327.666666666672</v>
      </c>
      <c r="D255" s="3" t="str" cm="1">
        <f t="array" ref="D255">choice(Settings!K:K,1,Settings!$B$16)</f>
        <v>mardi pm</v>
      </c>
    </row>
    <row r="256" spans="1:4" x14ac:dyDescent="0.25">
      <c r="A256" s="2" t="str" cm="1">
        <f t="array" ref="A256">choice(Professeurs!A:A,1,Settings!$B$16)</f>
        <v>Prof17</v>
      </c>
      <c r="B256" s="3" cm="1">
        <f t="array" ref="B256">alea_date(Settings!$B$11,360,Settings!$B$8+alea_int(4,0,Settings!$B$16),Settings!$B$16)</f>
        <v>46317.375</v>
      </c>
      <c r="C256" s="3" cm="1">
        <f t="array" ref="C256">B256+TIME(alea_int(5,1,Settings!$B$16),0,0)</f>
        <v>46317.583333333336</v>
      </c>
      <c r="D256" s="3" t="str" cm="1">
        <f t="array" ref="D256">choice(Settings!K:K,1,Settings!$B$16)</f>
        <v/>
      </c>
    </row>
    <row r="257" spans="1:4" x14ac:dyDescent="0.25">
      <c r="A257" s="2" t="str" cm="1">
        <f t="array" ref="A257">choice(Professeurs!A:A,1,Settings!$B$16)</f>
        <v>Prof13</v>
      </c>
      <c r="B257" s="3" cm="1">
        <f t="array" ref="B257">alea_date(Settings!$B$11,360,Settings!$B$8+alea_int(4,0,Settings!$B$16),Settings!$B$16)</f>
        <v>46251.458333333336</v>
      </c>
      <c r="C257" s="3" cm="1">
        <f t="array" ref="C257">B257+TIME(alea_int(5,1,Settings!$B$16),0,0)</f>
        <v>46251.541666666672</v>
      </c>
      <c r="D257" s="3" t="str" cm="1">
        <f t="array" ref="D257">choice(Settings!K:K,1,Settings!$B$16)</f>
        <v/>
      </c>
    </row>
    <row r="258" spans="1:4" x14ac:dyDescent="0.25">
      <c r="A258" s="2" t="str" cm="1">
        <f t="array" ref="A258">choice(Professeurs!A:A,1,Settings!$B$16)</f>
        <v>Prof46</v>
      </c>
      <c r="B258" s="3" cm="1">
        <f t="array" ref="B258">alea_date(Settings!$B$11,360,Settings!$B$8+alea_int(4,0,Settings!$B$16),Settings!$B$16)</f>
        <v>46189.458333333336</v>
      </c>
      <c r="C258" s="3" cm="1">
        <f t="array" ref="C258">B258+TIME(alea_int(5,1,Settings!$B$16),0,0)</f>
        <v>46189.541666666672</v>
      </c>
      <c r="D258" s="3" t="str" cm="1">
        <f t="array" ref="D258">choice(Settings!K:K,1,Settings!$B$16)</f>
        <v>lundi pm</v>
      </c>
    </row>
    <row r="259" spans="1:4" x14ac:dyDescent="0.25">
      <c r="A259" s="2" t="str" cm="1">
        <f t="array" ref="A259">choice(Professeurs!A:A,1,Settings!$B$16)</f>
        <v>Prof52</v>
      </c>
      <c r="B259" s="3" cm="1">
        <f t="array" ref="B259">alea_date(Settings!$B$11,360,Settings!$B$8+alea_int(4,0,Settings!$B$16),Settings!$B$16)</f>
        <v>46153.375</v>
      </c>
      <c r="C259" s="3" cm="1">
        <f t="array" ref="C259">B259+TIME(alea_int(5,1,Settings!$B$16),0,0)</f>
        <v>46153.583333333336</v>
      </c>
      <c r="D259" s="3" t="str" cm="1">
        <f t="array" ref="D259">choice(Settings!K:K,1,Settings!$B$16)</f>
        <v/>
      </c>
    </row>
    <row r="260" spans="1:4" x14ac:dyDescent="0.25">
      <c r="A260" s="2" t="str" cm="1">
        <f t="array" ref="A260">choice(Professeurs!A:A,1,Settings!$B$16)</f>
        <v>Prof34</v>
      </c>
      <c r="B260" s="3" cm="1">
        <f t="array" ref="B260">alea_date(Settings!$B$11,360,Settings!$B$8+alea_int(4,0,Settings!$B$16),Settings!$B$16)</f>
        <v>46277.375</v>
      </c>
      <c r="C260" s="3" cm="1">
        <f t="array" ref="C260">B260+TIME(alea_int(5,1,Settings!$B$16),0,0)</f>
        <v>46277.541666666664</v>
      </c>
      <c r="D260" s="3" t="str" cm="1">
        <f t="array" ref="D260">choice(Settings!K:K,1,Settings!$B$16)</f>
        <v/>
      </c>
    </row>
    <row r="261" spans="1:4" x14ac:dyDescent="0.25">
      <c r="A261" s="2" t="str" cm="1">
        <f t="array" ref="A261">choice(Professeurs!A:A,1,Settings!$B$16)</f>
        <v>Prof4</v>
      </c>
      <c r="B261" s="3" cm="1">
        <f t="array" ref="B261">alea_date(Settings!$B$11,360,Settings!$B$8+alea_int(4,0,Settings!$B$16),Settings!$B$16)</f>
        <v>46219.333333333336</v>
      </c>
      <c r="C261" s="3" cm="1">
        <f t="array" ref="C261">B261+TIME(alea_int(5,1,Settings!$B$16),0,0)</f>
        <v>46219.458333333336</v>
      </c>
      <c r="D261" s="3" t="str" cm="1">
        <f t="array" ref="D261">choice(Settings!K:K,1,Settings!$B$16)</f>
        <v/>
      </c>
    </row>
    <row r="262" spans="1:4" x14ac:dyDescent="0.25">
      <c r="A262" s="2" t="str" cm="1">
        <f t="array" ref="A262">choice(Professeurs!A:A,1,Settings!$B$16)</f>
        <v>Prof18</v>
      </c>
      <c r="B262" s="3" cm="1">
        <f t="array" ref="B262">alea_date(Settings!$B$11,360,Settings!$B$8+alea_int(4,0,Settings!$B$16),Settings!$B$16)</f>
        <v>46103.333333333336</v>
      </c>
      <c r="C262" s="3" cm="1">
        <f t="array" ref="C262">B262+TIME(alea_int(5,1,Settings!$B$16),0,0)</f>
        <v>46103.458333333336</v>
      </c>
      <c r="D262" s="3" t="str" cm="1">
        <f t="array" ref="D262">choice(Settings!K:K,1,Settings!$B$16)</f>
        <v/>
      </c>
    </row>
    <row r="263" spans="1:4" x14ac:dyDescent="0.25">
      <c r="A263" s="2" t="str" cm="1">
        <f t="array" ref="A263">choice(Professeurs!A:A,1,Settings!$B$16)</f>
        <v>Prof8</v>
      </c>
      <c r="B263" s="3" cm="1">
        <f t="array" ref="B263">alea_date(Settings!$B$11,360,Settings!$B$8+alea_int(4,0,Settings!$B$16),Settings!$B$16)</f>
        <v>46063.416666666664</v>
      </c>
      <c r="C263" s="3" cm="1">
        <f t="array" ref="C263">B263+TIME(alea_int(5,1,Settings!$B$16),0,0)</f>
        <v>46063.5</v>
      </c>
      <c r="D263" s="3" t="str" cm="1">
        <f t="array" ref="D263">choice(Settings!K:K,1,Settings!$B$16)</f>
        <v>vendredi am</v>
      </c>
    </row>
    <row r="264" spans="1:4" x14ac:dyDescent="0.25">
      <c r="A264" s="2" t="str" cm="1">
        <f t="array" ref="A264">choice(Professeurs!A:A,1,Settings!$B$16)</f>
        <v>Prof21</v>
      </c>
      <c r="B264" s="3" cm="1">
        <f t="array" ref="B264">alea_date(Settings!$B$11,360,Settings!$B$8+alea_int(4,0,Settings!$B$16),Settings!$B$16)</f>
        <v>46130.375</v>
      </c>
      <c r="C264" s="3" cm="1">
        <f t="array" ref="C264">B264+TIME(alea_int(5,1,Settings!$B$16),0,0)</f>
        <v>46130.416666666664</v>
      </c>
      <c r="D264" s="3" t="str" cm="1">
        <f t="array" ref="D264">choice(Settings!K:K,1,Settings!$B$16)</f>
        <v/>
      </c>
    </row>
    <row r="265" spans="1:4" x14ac:dyDescent="0.25">
      <c r="A265" s="2" t="str" cm="1">
        <f t="array" ref="A265">choice(Professeurs!A:A,1,Settings!$B$16)</f>
        <v>Prof26</v>
      </c>
      <c r="B265" s="3" cm="1">
        <f t="array" ref="B265">alea_date(Settings!$B$11,360,Settings!$B$8+alea_int(4,0,Settings!$B$16),Settings!$B$16)</f>
        <v>46234.375</v>
      </c>
      <c r="C265" s="3" cm="1">
        <f t="array" ref="C265">B265+TIME(alea_int(5,1,Settings!$B$16),0,0)</f>
        <v>46234.541666666664</v>
      </c>
      <c r="D265" s="3" t="str" cm="1">
        <f t="array" ref="D265">choice(Settings!K:K,1,Settings!$B$16)</f>
        <v/>
      </c>
    </row>
    <row r="266" spans="1:4" x14ac:dyDescent="0.25">
      <c r="A266" s="2" t="str" cm="1">
        <f t="array" ref="A266">choice(Professeurs!A:A,1,Settings!$B$16)</f>
        <v>Prof26</v>
      </c>
      <c r="B266" s="3" cm="1">
        <f t="array" ref="B266">alea_date(Settings!$B$11,360,Settings!$B$8+alea_int(4,0,Settings!$B$16),Settings!$B$16)</f>
        <v>46193.333333333336</v>
      </c>
      <c r="C266" s="3" cm="1">
        <f t="array" ref="C266">B266+TIME(alea_int(5,1,Settings!$B$16),0,0)</f>
        <v>46193.416666666672</v>
      </c>
      <c r="D266" s="3" t="str" cm="1">
        <f t="array" ref="D266">choice(Settings!K:K,1,Settings!$B$16)</f>
        <v/>
      </c>
    </row>
    <row r="267" spans="1:4" x14ac:dyDescent="0.25">
      <c r="A267" s="2" t="str" cm="1">
        <f t="array" ref="A267">choice(Professeurs!A:A,1,Settings!$B$16)</f>
        <v>Prof36</v>
      </c>
      <c r="B267" s="3" cm="1">
        <f t="array" ref="B267">alea_date(Settings!$B$11,360,Settings!$B$8+alea_int(4,0,Settings!$B$16),Settings!$B$16)</f>
        <v>46127.416666666664</v>
      </c>
      <c r="C267" s="3" cm="1">
        <f t="array" ref="C267">B267+TIME(alea_int(5,1,Settings!$B$16),0,0)</f>
        <v>46127.583333333328</v>
      </c>
      <c r="D267" s="3" t="str" cm="1">
        <f t="array" ref="D267">choice(Settings!K:K,1,Settings!$B$16)</f>
        <v/>
      </c>
    </row>
    <row r="268" spans="1:4" x14ac:dyDescent="0.25">
      <c r="A268" s="2" t="str" cm="1">
        <f t="array" ref="A268">choice(Professeurs!A:A,1,Settings!$B$16)</f>
        <v>Prof48</v>
      </c>
      <c r="B268" s="3" cm="1">
        <f t="array" ref="B268">alea_date(Settings!$B$11,360,Settings!$B$8+alea_int(4,0,Settings!$B$16),Settings!$B$16)</f>
        <v>46195.416666666664</v>
      </c>
      <c r="C268" s="3" cm="1">
        <f t="array" ref="C268">B268+TIME(alea_int(5,1,Settings!$B$16),0,0)</f>
        <v>46195.5</v>
      </c>
      <c r="D268" s="3" t="str" cm="1">
        <f t="array" ref="D268">choice(Settings!K:K,1,Settings!$B$16)</f>
        <v/>
      </c>
    </row>
    <row r="269" spans="1:4" x14ac:dyDescent="0.25">
      <c r="A269" s="2" t="str" cm="1">
        <f t="array" ref="A269">choice(Professeurs!A:A,1,Settings!$B$16)</f>
        <v>Prof24</v>
      </c>
      <c r="B269" s="3" cm="1">
        <f t="array" ref="B269">alea_date(Settings!$B$11,360,Settings!$B$8+alea_int(4,0,Settings!$B$16),Settings!$B$16)</f>
        <v>46352.458333333336</v>
      </c>
      <c r="C269" s="3" cm="1">
        <f t="array" ref="C269">B269+TIME(alea_int(5,1,Settings!$B$16),0,0)</f>
        <v>46352.625</v>
      </c>
      <c r="D269" s="3" t="str" cm="1">
        <f t="array" ref="D269">choice(Settings!K:K,1,Settings!$B$16)</f>
        <v/>
      </c>
    </row>
    <row r="270" spans="1:4" x14ac:dyDescent="0.25">
      <c r="A270" s="2" t="str" cm="1">
        <f t="array" ref="A270">choice(Professeurs!A:A,1,Settings!$B$16)</f>
        <v>Prof1</v>
      </c>
      <c r="B270" s="3" cm="1">
        <f t="array" ref="B270">alea_date(Settings!$B$11,360,Settings!$B$8+alea_int(4,0,Settings!$B$16),Settings!$B$16)</f>
        <v>46124.458333333336</v>
      </c>
      <c r="C270" s="3" cm="1">
        <f t="array" ref="C270">B270+TIME(alea_int(5,1,Settings!$B$16),0,0)</f>
        <v>46124.5</v>
      </c>
      <c r="D270" s="3" t="str" cm="1">
        <f t="array" ref="D270">choice(Settings!K:K,1,Settings!$B$16)</f>
        <v/>
      </c>
    </row>
    <row r="271" spans="1:4" x14ac:dyDescent="0.25">
      <c r="A271" s="2" t="str" cm="1">
        <f t="array" ref="A271">choice(Professeurs!A:A,1,Settings!$B$16)</f>
        <v>Prof14</v>
      </c>
      <c r="B271" s="3" cm="1">
        <f t="array" ref="B271">alea_date(Settings!$B$11,360,Settings!$B$8+alea_int(4,0,Settings!$B$16),Settings!$B$16)</f>
        <v>46204.458333333336</v>
      </c>
      <c r="C271" s="3" cm="1">
        <f t="array" ref="C271">B271+TIME(alea_int(5,1,Settings!$B$16),0,0)</f>
        <v>46204.625</v>
      </c>
      <c r="D271" s="3" t="str" cm="1">
        <f t="array" ref="D271">choice(Settings!K:K,1,Settings!$B$16)</f>
        <v/>
      </c>
    </row>
    <row r="272" spans="1:4" x14ac:dyDescent="0.25">
      <c r="A272" s="2" t="str" cm="1">
        <f t="array" ref="A272">choice(Professeurs!A:A,1,Settings!$B$16)</f>
        <v>Prof27</v>
      </c>
      <c r="B272" s="3" cm="1">
        <f t="array" ref="B272">alea_date(Settings!$B$11,360,Settings!$B$8+alea_int(4,0,Settings!$B$16),Settings!$B$16)</f>
        <v>46257.333333333336</v>
      </c>
      <c r="C272" s="3" cm="1">
        <f t="array" ref="C272">B272+TIME(alea_int(5,1,Settings!$B$16),0,0)</f>
        <v>46257.416666666672</v>
      </c>
      <c r="D272" s="3" t="str" cm="1">
        <f t="array" ref="D272">choice(Settings!K:K,1,Settings!$B$16)</f>
        <v/>
      </c>
    </row>
    <row r="273" spans="1:4" x14ac:dyDescent="0.25">
      <c r="A273" s="2" t="str" cm="1">
        <f t="array" ref="A273">choice(Professeurs!A:A,1,Settings!$B$16)</f>
        <v>Prof28</v>
      </c>
      <c r="B273" s="3" cm="1">
        <f t="array" ref="B273">alea_date(Settings!$B$11,360,Settings!$B$8+alea_int(4,0,Settings!$B$16),Settings!$B$16)</f>
        <v>46063.458333333336</v>
      </c>
      <c r="C273" s="3" cm="1">
        <f t="array" ref="C273">B273+TIME(alea_int(5,1,Settings!$B$16),0,0)</f>
        <v>46063.5</v>
      </c>
      <c r="D273" s="3" t="str" cm="1">
        <f t="array" ref="D273">choice(Settings!K:K,1,Settings!$B$16)</f>
        <v/>
      </c>
    </row>
    <row r="274" spans="1:4" x14ac:dyDescent="0.25">
      <c r="A274" s="2" t="str" cm="1">
        <f t="array" ref="A274">choice(Professeurs!A:A,1,Settings!$B$16)</f>
        <v>Prof43</v>
      </c>
      <c r="B274" s="3" cm="1">
        <f t="array" ref="B274">alea_date(Settings!$B$11,360,Settings!$B$8+alea_int(4,0,Settings!$B$16),Settings!$B$16)</f>
        <v>46117.416666666664</v>
      </c>
      <c r="C274" s="3" cm="1">
        <f t="array" ref="C274">B274+TIME(alea_int(5,1,Settings!$B$16),0,0)</f>
        <v>46117.625</v>
      </c>
      <c r="D274" s="3" t="str" cm="1">
        <f t="array" ref="D274">choice(Settings!K:K,1,Settings!$B$16)</f>
        <v>mercredi ap</v>
      </c>
    </row>
    <row r="275" spans="1:4" x14ac:dyDescent="0.25">
      <c r="A275" s="2" t="str" cm="1">
        <f t="array" ref="A275">choice(Professeurs!A:A,1,Settings!$B$16)</f>
        <v>Prof53</v>
      </c>
      <c r="B275" s="3" cm="1">
        <f t="array" ref="B275">alea_date(Settings!$B$11,360,Settings!$B$8+alea_int(4,0,Settings!$B$16),Settings!$B$16)</f>
        <v>46147.333333333336</v>
      </c>
      <c r="C275" s="3" cm="1">
        <f t="array" ref="C275">B275+TIME(alea_int(5,1,Settings!$B$16),0,0)</f>
        <v>46147.458333333336</v>
      </c>
      <c r="D275" s="3" t="str" cm="1">
        <f t="array" ref="D275">choice(Settings!K:K,1,Settings!$B$16)</f>
        <v/>
      </c>
    </row>
    <row r="276" spans="1:4" x14ac:dyDescent="0.25">
      <c r="A276" s="2" t="str" cm="1">
        <f t="array" ref="A276">choice(Professeurs!A:A,1,Settings!$B$16)</f>
        <v>Prof14</v>
      </c>
      <c r="B276" s="3" cm="1">
        <f t="array" ref="B276">alea_date(Settings!$B$11,360,Settings!$B$8+alea_int(4,0,Settings!$B$16),Settings!$B$16)</f>
        <v>46150.375</v>
      </c>
      <c r="C276" s="3" cm="1">
        <f t="array" ref="C276">B276+TIME(alea_int(5,1,Settings!$B$16),0,0)</f>
        <v>46150.5</v>
      </c>
      <c r="D276" s="3" t="str" cm="1">
        <f t="array" ref="D276">choice(Settings!K:K,1,Settings!$B$16)</f>
        <v/>
      </c>
    </row>
    <row r="277" spans="1:4" x14ac:dyDescent="0.25">
      <c r="A277" s="2" t="str" cm="1">
        <f t="array" ref="A277">choice(Professeurs!A:A,1,Settings!$B$16)</f>
        <v>Prof52</v>
      </c>
      <c r="B277" s="3" cm="1">
        <f t="array" ref="B277">alea_date(Settings!$B$11,360,Settings!$B$8+alea_int(4,0,Settings!$B$16),Settings!$B$16)</f>
        <v>46159.333333333336</v>
      </c>
      <c r="C277" s="3" cm="1">
        <f t="array" ref="C277">B277+TIME(alea_int(5,1,Settings!$B$16),0,0)</f>
        <v>46159.375</v>
      </c>
      <c r="D277" s="3" t="str" cm="1">
        <f t="array" ref="D277">choice(Settings!K:K,1,Settings!$B$16)</f>
        <v/>
      </c>
    </row>
    <row r="278" spans="1:4" x14ac:dyDescent="0.25">
      <c r="A278" s="2" t="str" cm="1">
        <f t="array" ref="A278">choice(Professeurs!A:A,1,Settings!$B$16)</f>
        <v>Prof30</v>
      </c>
      <c r="B278" s="3" cm="1">
        <f t="array" ref="B278">alea_date(Settings!$B$11,360,Settings!$B$8+alea_int(4,0,Settings!$B$16),Settings!$B$16)</f>
        <v>46259.333333333336</v>
      </c>
      <c r="C278" s="3" cm="1">
        <f t="array" ref="C278">B278+TIME(alea_int(5,1,Settings!$B$16),0,0)</f>
        <v>46259.375</v>
      </c>
      <c r="D278" s="3" t="str" cm="1">
        <f t="array" ref="D278">choice(Settings!K:K,1,Settings!$B$16)</f>
        <v/>
      </c>
    </row>
    <row r="279" spans="1:4" x14ac:dyDescent="0.25">
      <c r="A279" s="2" t="str" cm="1">
        <f t="array" ref="A279">choice(Professeurs!A:A,1,Settings!$B$16)</f>
        <v>Prof18</v>
      </c>
      <c r="B279" s="3" cm="1">
        <f t="array" ref="B279">alea_date(Settings!$B$11,360,Settings!$B$8+alea_int(4,0,Settings!$B$16),Settings!$B$16)</f>
        <v>46337.333333333336</v>
      </c>
      <c r="C279" s="3" cm="1">
        <f t="array" ref="C279">B279+TIME(alea_int(5,1,Settings!$B$16),0,0)</f>
        <v>46337.416666666672</v>
      </c>
      <c r="D279" s="3" t="str" cm="1">
        <f t="array" ref="D279">choice(Settings!K:K,1,Settings!$B$16)</f>
        <v>lundi pm</v>
      </c>
    </row>
    <row r="280" spans="1:4" x14ac:dyDescent="0.25">
      <c r="A280" s="2" t="str" cm="1">
        <f t="array" ref="A280">choice(Professeurs!A:A,1,Settings!$B$16)</f>
        <v>Prof41</v>
      </c>
      <c r="B280" s="3" cm="1">
        <f t="array" ref="B280">alea_date(Settings!$B$11,360,Settings!$B$8+alea_int(4,0,Settings!$B$16),Settings!$B$16)</f>
        <v>46026.458333333336</v>
      </c>
      <c r="C280" s="3" cm="1">
        <f t="array" ref="C280">B280+TIME(alea_int(5,1,Settings!$B$16),0,0)</f>
        <v>46026.541666666672</v>
      </c>
      <c r="D280" s="3" t="str" cm="1">
        <f t="array" ref="D280">choice(Settings!K:K,1,Settings!$B$16)</f>
        <v/>
      </c>
    </row>
    <row r="281" spans="1:4" x14ac:dyDescent="0.25">
      <c r="A281" s="2" t="str" cm="1">
        <f t="array" ref="A281">choice(Professeurs!A:A,1,Settings!$B$16)</f>
        <v>Prof28</v>
      </c>
      <c r="B281" s="3" cm="1">
        <f t="array" ref="B281">alea_date(Settings!$B$11,360,Settings!$B$8+alea_int(4,0,Settings!$B$16),Settings!$B$16)</f>
        <v>46381.416666666664</v>
      </c>
      <c r="C281" s="3" cm="1">
        <f t="array" ref="C281">B281+TIME(alea_int(5,1,Settings!$B$16),0,0)</f>
        <v>46381.458333333328</v>
      </c>
      <c r="D281" s="3" t="str" cm="1">
        <f t="array" ref="D281">choice(Settings!K:K,1,Settings!$B$16)</f>
        <v>vendredi pm</v>
      </c>
    </row>
    <row r="282" spans="1:4" x14ac:dyDescent="0.25">
      <c r="A282" s="2" t="str" cm="1">
        <f t="array" ref="A282">choice(Professeurs!A:A,1,Settings!$B$16)</f>
        <v>Prof4</v>
      </c>
      <c r="B282" s="3" cm="1">
        <f t="array" ref="B282">alea_date(Settings!$B$11,360,Settings!$B$8+alea_int(4,0,Settings!$B$16),Settings!$B$16)</f>
        <v>46192.375</v>
      </c>
      <c r="C282" s="3" cm="1">
        <f t="array" ref="C282">B282+TIME(alea_int(5,1,Settings!$B$16),0,0)</f>
        <v>46192.5</v>
      </c>
      <c r="D282" s="3" t="str" cm="1">
        <f t="array" ref="D282">choice(Settings!K:K,1,Settings!$B$16)</f>
        <v/>
      </c>
    </row>
    <row r="283" spans="1:4" x14ac:dyDescent="0.25">
      <c r="A283" s="2" t="str" cm="1">
        <f t="array" ref="A283">choice(Professeurs!A:A,1,Settings!$B$16)</f>
        <v>Prof53</v>
      </c>
      <c r="B283" s="3" cm="1">
        <f t="array" ref="B283">alea_date(Settings!$B$11,360,Settings!$B$8+alea_int(4,0,Settings!$B$16),Settings!$B$16)</f>
        <v>46037.375</v>
      </c>
      <c r="C283" s="3" cm="1">
        <f t="array" ref="C283">B283+TIME(alea_int(5,1,Settings!$B$16),0,0)</f>
        <v>46037.583333333336</v>
      </c>
      <c r="D283" s="3" t="str" cm="1">
        <f t="array" ref="D283">choice(Settings!K:K,1,Settings!$B$16)</f>
        <v>mercredi pm</v>
      </c>
    </row>
    <row r="284" spans="1:4" x14ac:dyDescent="0.25">
      <c r="A284" s="2" t="str" cm="1">
        <f t="array" ref="A284">choice(Professeurs!A:A,1,Settings!$B$16)</f>
        <v>Prof5</v>
      </c>
      <c r="B284" s="3" cm="1">
        <f t="array" ref="B284">alea_date(Settings!$B$11,360,Settings!$B$8+alea_int(4,0,Settings!$B$16),Settings!$B$16)</f>
        <v>46060.333333333336</v>
      </c>
      <c r="C284" s="3" cm="1">
        <f t="array" ref="C284">B284+TIME(alea_int(5,1,Settings!$B$16),0,0)</f>
        <v>46060.375</v>
      </c>
      <c r="D284" s="3" t="str" cm="1">
        <f t="array" ref="D284">choice(Settings!K:K,1,Settings!$B$16)</f>
        <v/>
      </c>
    </row>
    <row r="285" spans="1:4" x14ac:dyDescent="0.25">
      <c r="A285" s="2" t="str" cm="1">
        <f t="array" ref="A285">choice(Professeurs!A:A,1,Settings!$B$16)</f>
        <v>Prof23</v>
      </c>
      <c r="B285" s="3" cm="1">
        <f t="array" ref="B285">alea_date(Settings!$B$11,360,Settings!$B$8+alea_int(4,0,Settings!$B$16),Settings!$B$16)</f>
        <v>46139.375</v>
      </c>
      <c r="C285" s="3" cm="1">
        <f t="array" ref="C285">B285+TIME(alea_int(5,1,Settings!$B$16),0,0)</f>
        <v>46139.583333333336</v>
      </c>
      <c r="D285" s="3" t="str" cm="1">
        <f t="array" ref="D285">choice(Settings!K:K,1,Settings!$B$16)</f>
        <v>mardi am</v>
      </c>
    </row>
    <row r="286" spans="1:4" x14ac:dyDescent="0.25">
      <c r="A286" s="2" t="str" cm="1">
        <f t="array" ref="A286">choice(Professeurs!A:A,1,Settings!$B$16)</f>
        <v>Prof29</v>
      </c>
      <c r="B286" s="3" cm="1">
        <f t="array" ref="B286">alea_date(Settings!$B$11,360,Settings!$B$8+alea_int(4,0,Settings!$B$16),Settings!$B$16)</f>
        <v>46353.416666666664</v>
      </c>
      <c r="C286" s="3" cm="1">
        <f t="array" ref="C286">B286+TIME(alea_int(5,1,Settings!$B$16),0,0)</f>
        <v>46353.458333333328</v>
      </c>
      <c r="D286" s="3" t="str" cm="1">
        <f t="array" ref="D286">choice(Settings!K:K,1,Settings!$B$16)</f>
        <v>mercredi ap</v>
      </c>
    </row>
    <row r="287" spans="1:4" x14ac:dyDescent="0.25">
      <c r="A287" s="2" t="str" cm="1">
        <f t="array" ref="A287">choice(Professeurs!A:A,1,Settings!$B$16)</f>
        <v>Prof3</v>
      </c>
      <c r="B287" s="3" cm="1">
        <f t="array" ref="B287">alea_date(Settings!$B$11,360,Settings!$B$8+alea_int(4,0,Settings!$B$16),Settings!$B$16)</f>
        <v>46071.458333333336</v>
      </c>
      <c r="C287" s="3" cm="1">
        <f t="array" ref="C287">B287+TIME(alea_int(5,1,Settings!$B$16),0,0)</f>
        <v>46071.625</v>
      </c>
      <c r="D287" s="3" t="str" cm="1">
        <f t="array" ref="D287">choice(Settings!K:K,1,Settings!$B$16)</f>
        <v/>
      </c>
    </row>
    <row r="288" spans="1:4" x14ac:dyDescent="0.25">
      <c r="A288" s="2" t="str" cm="1">
        <f t="array" ref="A288">choice(Professeurs!A:A,1,Settings!$B$16)</f>
        <v>Prof21</v>
      </c>
      <c r="B288" s="3" cm="1">
        <f t="array" ref="B288">alea_date(Settings!$B$11,360,Settings!$B$8+alea_int(4,0,Settings!$B$16),Settings!$B$16)</f>
        <v>46297.416666666664</v>
      </c>
      <c r="C288" s="3" cm="1">
        <f t="array" ref="C288">B288+TIME(alea_int(5,1,Settings!$B$16),0,0)</f>
        <v>46297.583333333328</v>
      </c>
      <c r="D288" s="3" t="str" cm="1">
        <f t="array" ref="D288">choice(Settings!K:K,1,Settings!$B$16)</f>
        <v/>
      </c>
    </row>
    <row r="289" spans="1:4" x14ac:dyDescent="0.25">
      <c r="A289" s="2" t="str" cm="1">
        <f t="array" ref="A289">choice(Professeurs!A:A,1,Settings!$B$16)</f>
        <v>Prof5</v>
      </c>
      <c r="B289" s="3" cm="1">
        <f t="array" ref="B289">alea_date(Settings!$B$11,360,Settings!$B$8+alea_int(4,0,Settings!$B$16),Settings!$B$16)</f>
        <v>46299.333333333336</v>
      </c>
      <c r="C289" s="3" cm="1">
        <f t="array" ref="C289">B289+TIME(alea_int(5,1,Settings!$B$16),0,0)</f>
        <v>46299.416666666672</v>
      </c>
      <c r="D289" s="3" t="str" cm="1">
        <f t="array" ref="D289">choice(Settings!K:K,1,Settings!$B$16)</f>
        <v/>
      </c>
    </row>
    <row r="290" spans="1:4" x14ac:dyDescent="0.25">
      <c r="A290" s="2" t="str" cm="1">
        <f t="array" ref="A290">choice(Professeurs!A:A,1,Settings!$B$16)</f>
        <v>Prof27</v>
      </c>
      <c r="B290" s="3" cm="1">
        <f t="array" ref="B290">alea_date(Settings!$B$11,360,Settings!$B$8+alea_int(4,0,Settings!$B$16),Settings!$B$16)</f>
        <v>46273.333333333336</v>
      </c>
      <c r="C290" s="3" cm="1">
        <f t="array" ref="C290">B290+TIME(alea_int(5,1,Settings!$B$16),0,0)</f>
        <v>46273.416666666672</v>
      </c>
      <c r="D290" s="3" t="str" cm="1">
        <f t="array" ref="D290">choice(Settings!K:K,1,Settings!$B$16)</f>
        <v/>
      </c>
    </row>
    <row r="291" spans="1:4" x14ac:dyDescent="0.25">
      <c r="A291" s="2" t="str" cm="1">
        <f t="array" ref="A291">choice(Professeurs!A:A,1,Settings!$B$16)</f>
        <v>Prof45</v>
      </c>
      <c r="B291" s="3" cm="1">
        <f t="array" ref="B291">alea_date(Settings!$B$11,360,Settings!$B$8+alea_int(4,0,Settings!$B$16),Settings!$B$16)</f>
        <v>46100.458333333336</v>
      </c>
      <c r="C291" s="3" cm="1">
        <f t="array" ref="C291">B291+TIME(alea_int(5,1,Settings!$B$16),0,0)</f>
        <v>46100.5</v>
      </c>
      <c r="D291" s="3" t="str" cm="1">
        <f t="array" ref="D291">choice(Settings!K:K,1,Settings!$B$16)</f>
        <v>mardi pm</v>
      </c>
    </row>
    <row r="292" spans="1:4" x14ac:dyDescent="0.25">
      <c r="A292" s="2" t="str" cm="1">
        <f t="array" ref="A292">choice(Professeurs!A:A,1,Settings!$B$16)</f>
        <v>Prof3</v>
      </c>
      <c r="B292" s="3" cm="1">
        <f t="array" ref="B292">alea_date(Settings!$B$11,360,Settings!$B$8+alea_int(4,0,Settings!$B$16),Settings!$B$16)</f>
        <v>46128.416666666664</v>
      </c>
      <c r="C292" s="3" cm="1">
        <f t="array" ref="C292">B292+TIME(alea_int(5,1,Settings!$B$16),0,0)</f>
        <v>46128.5</v>
      </c>
      <c r="D292" s="3" t="str" cm="1">
        <f t="array" ref="D292">choice(Settings!K:K,1,Settings!$B$16)</f>
        <v/>
      </c>
    </row>
    <row r="293" spans="1:4" x14ac:dyDescent="0.25">
      <c r="A293" s="2" t="str" cm="1">
        <f t="array" ref="A293">choice(Professeurs!A:A,1,Settings!$B$16)</f>
        <v>Prof21</v>
      </c>
      <c r="B293" s="3" cm="1">
        <f t="array" ref="B293">alea_date(Settings!$B$11,360,Settings!$B$8+alea_int(4,0,Settings!$B$16),Settings!$B$16)</f>
        <v>46062.333333333336</v>
      </c>
      <c r="C293" s="3" cm="1">
        <f t="array" ref="C293">B293+TIME(alea_int(5,1,Settings!$B$16),0,0)</f>
        <v>46062.541666666672</v>
      </c>
      <c r="D293" s="3" t="str" cm="1">
        <f t="array" ref="D293">choice(Settings!K:K,1,Settings!$B$16)</f>
        <v/>
      </c>
    </row>
    <row r="294" spans="1:4" x14ac:dyDescent="0.25">
      <c r="A294" s="2" t="str" cm="1">
        <f t="array" ref="A294">choice(Professeurs!A:A,1,Settings!$B$16)</f>
        <v>Prof55</v>
      </c>
      <c r="B294" s="3" cm="1">
        <f t="array" ref="B294">alea_date(Settings!$B$11,360,Settings!$B$8+alea_int(4,0,Settings!$B$16),Settings!$B$16)</f>
        <v>46177.375</v>
      </c>
      <c r="C294" s="3" cm="1">
        <f t="array" ref="C294">B294+TIME(alea_int(5,1,Settings!$B$16),0,0)</f>
        <v>46177.458333333336</v>
      </c>
      <c r="D294" s="3" t="str" cm="1">
        <f t="array" ref="D294">choice(Settings!K:K,1,Settings!$B$16)</f>
        <v/>
      </c>
    </row>
    <row r="295" spans="1:4" x14ac:dyDescent="0.25">
      <c r="A295" s="2" t="str" cm="1">
        <f t="array" ref="A295">choice(Professeurs!A:A,1,Settings!$B$16)</f>
        <v>Prof12</v>
      </c>
      <c r="B295" s="3" cm="1">
        <f t="array" ref="B295">alea_date(Settings!$B$11,360,Settings!$B$8+alea_int(4,0,Settings!$B$16),Settings!$B$16)</f>
        <v>46116.416666666664</v>
      </c>
      <c r="C295" s="3" cm="1">
        <f t="array" ref="C295">B295+TIME(alea_int(5,1,Settings!$B$16),0,0)</f>
        <v>46116.458333333328</v>
      </c>
      <c r="D295" s="3" t="str" cm="1">
        <f t="array" ref="D295">choice(Settings!K:K,1,Settings!$B$16)</f>
        <v/>
      </c>
    </row>
    <row r="296" spans="1:4" x14ac:dyDescent="0.25">
      <c r="A296" s="2" t="str" cm="1">
        <f t="array" ref="A296">choice(Professeurs!A:A,1,Settings!$B$16)</f>
        <v>Prof45</v>
      </c>
      <c r="B296" s="3" cm="1">
        <f t="array" ref="B296">alea_date(Settings!$B$11,360,Settings!$B$8+alea_int(4,0,Settings!$B$16),Settings!$B$16)</f>
        <v>46151.333333333336</v>
      </c>
      <c r="C296" s="3" cm="1">
        <f t="array" ref="C296">B296+TIME(alea_int(5,1,Settings!$B$16),0,0)</f>
        <v>46151.541666666672</v>
      </c>
      <c r="D296" s="3" t="str" cm="1">
        <f t="array" ref="D296">choice(Settings!K:K,1,Settings!$B$16)</f>
        <v>mardi am</v>
      </c>
    </row>
    <row r="297" spans="1:4" x14ac:dyDescent="0.25">
      <c r="A297" s="2" t="str" cm="1">
        <f t="array" ref="A297">choice(Professeurs!A:A,1,Settings!$B$16)</f>
        <v>Prof11</v>
      </c>
      <c r="B297" s="3" cm="1">
        <f t="array" ref="B297">alea_date(Settings!$B$11,360,Settings!$B$8+alea_int(4,0,Settings!$B$16),Settings!$B$16)</f>
        <v>46178.333333333336</v>
      </c>
      <c r="C297" s="3" cm="1">
        <f t="array" ref="C297">B297+TIME(alea_int(5,1,Settings!$B$16),0,0)</f>
        <v>46178.458333333336</v>
      </c>
      <c r="D297" s="3" t="str" cm="1">
        <f t="array" ref="D297">choice(Settings!K:K,1,Settings!$B$16)</f>
        <v/>
      </c>
    </row>
    <row r="298" spans="1:4" x14ac:dyDescent="0.25">
      <c r="A298" s="2" t="str" cm="1">
        <f t="array" ref="A298">choice(Professeurs!A:A,1,Settings!$B$16)</f>
        <v>Prof44</v>
      </c>
      <c r="B298" s="3" cm="1">
        <f t="array" ref="B298">alea_date(Settings!$B$11,360,Settings!$B$8+alea_int(4,0,Settings!$B$16),Settings!$B$16)</f>
        <v>46033.375</v>
      </c>
      <c r="C298" s="3" cm="1">
        <f t="array" ref="C298">B298+TIME(alea_int(5,1,Settings!$B$16),0,0)</f>
        <v>46033.5</v>
      </c>
      <c r="D298" s="3" t="str" cm="1">
        <f t="array" ref="D298">choice(Settings!K:K,1,Settings!$B$16)</f>
        <v/>
      </c>
    </row>
    <row r="299" spans="1:4" x14ac:dyDescent="0.25">
      <c r="A299" s="2" t="str" cm="1">
        <f t="array" ref="A299">choice(Professeurs!A:A,1,Settings!$B$16)</f>
        <v>Prof23</v>
      </c>
      <c r="B299" s="3" cm="1">
        <f t="array" ref="B299">alea_date(Settings!$B$11,360,Settings!$B$8+alea_int(4,0,Settings!$B$16),Settings!$B$16)</f>
        <v>46353.375</v>
      </c>
      <c r="C299" s="3" cm="1">
        <f t="array" ref="C299">B299+TIME(alea_int(5,1,Settings!$B$16),0,0)</f>
        <v>46353.416666666664</v>
      </c>
      <c r="D299" s="3" t="str" cm="1">
        <f t="array" ref="D299">choice(Settings!K:K,1,Settings!$B$16)</f>
        <v/>
      </c>
    </row>
    <row r="300" spans="1:4" x14ac:dyDescent="0.25">
      <c r="A300" s="2" t="str" cm="1">
        <f t="array" ref="A300">choice(Professeurs!A:A,1,Settings!$B$16)</f>
        <v>Prof16</v>
      </c>
      <c r="B300" s="3" cm="1">
        <f t="array" ref="B300">alea_date(Settings!$B$11,360,Settings!$B$8+alea_int(4,0,Settings!$B$16),Settings!$B$16)</f>
        <v>46151.333333333336</v>
      </c>
      <c r="C300" s="3" cm="1">
        <f t="array" ref="C300">B300+TIME(alea_int(5,1,Settings!$B$16),0,0)</f>
        <v>46151.458333333336</v>
      </c>
      <c r="D300" s="3" t="str" cm="1">
        <f t="array" ref="D300">choice(Settings!K:K,1,Settings!$B$16)</f>
        <v/>
      </c>
    </row>
    <row r="301" spans="1:4" x14ac:dyDescent="0.25">
      <c r="A301" s="2" t="str" cm="1">
        <f t="array" ref="A301">choice(Professeurs!A:A,1,Settings!$B$16)</f>
        <v>Prof2</v>
      </c>
      <c r="B301" s="3" cm="1">
        <f t="array" ref="B301">alea_date(Settings!$B$11,360,Settings!$B$8+alea_int(4,0,Settings!$B$16),Settings!$B$16)</f>
        <v>46073.416666666664</v>
      </c>
      <c r="C301" s="3" cm="1">
        <f t="array" ref="C301">B301+TIME(alea_int(5,1,Settings!$B$16),0,0)</f>
        <v>46073.625</v>
      </c>
      <c r="D301" s="3" t="str" cm="1">
        <f t="array" ref="D301">choice(Settings!K:K,1,Settings!$B$16)</f>
        <v/>
      </c>
    </row>
    <row r="302" spans="1:4" x14ac:dyDescent="0.25">
      <c r="A302" s="2" t="str" cm="1">
        <f t="array" ref="A302">choice(Professeurs!A:A,1,Settings!$B$16)</f>
        <v>Prof23</v>
      </c>
      <c r="B302" s="3" cm="1">
        <f t="array" ref="B302">alea_date(Settings!$B$11,360,Settings!$B$8+alea_int(4,0,Settings!$B$16),Settings!$B$16)</f>
        <v>46037.416666666664</v>
      </c>
      <c r="C302" s="3" cm="1">
        <f t="array" ref="C302">B302+TIME(alea_int(5,1,Settings!$B$16),0,0)</f>
        <v>46037.5</v>
      </c>
      <c r="D302" s="3" t="str" cm="1">
        <f t="array" ref="D302">choice(Settings!K:K,1,Settings!$B$16)</f>
        <v>vendredi pm</v>
      </c>
    </row>
    <row r="303" spans="1:4" x14ac:dyDescent="0.25">
      <c r="A303" s="2" t="str" cm="1">
        <f t="array" ref="A303">choice(Professeurs!A:A,1,Settings!$B$16)</f>
        <v>Prof50</v>
      </c>
      <c r="B303" s="3" cm="1">
        <f t="array" ref="B303">alea_date(Settings!$B$11,360,Settings!$B$8+alea_int(4,0,Settings!$B$16),Settings!$B$16)</f>
        <v>46260.333333333336</v>
      </c>
      <c r="C303" s="3" cm="1">
        <f t="array" ref="C303">B303+TIME(alea_int(5,1,Settings!$B$16),0,0)</f>
        <v>46260.5</v>
      </c>
      <c r="D303" s="3" t="str" cm="1">
        <f t="array" ref="D303">choice(Settings!K:K,1,Settings!$B$16)</f>
        <v/>
      </c>
    </row>
    <row r="304" spans="1:4" x14ac:dyDescent="0.25">
      <c r="A304" s="2" t="str" cm="1">
        <f t="array" ref="A304">choice(Professeurs!A:A,1,Settings!$B$16)</f>
        <v>Prof16</v>
      </c>
      <c r="B304" s="3" cm="1">
        <f t="array" ref="B304">alea_date(Settings!$B$11,360,Settings!$B$8+alea_int(4,0,Settings!$B$16),Settings!$B$16)</f>
        <v>46140.458333333336</v>
      </c>
      <c r="C304" s="3" cm="1">
        <f t="array" ref="C304">B304+TIME(alea_int(5,1,Settings!$B$16),0,0)</f>
        <v>46140.625</v>
      </c>
      <c r="D304" s="3" t="str" cm="1">
        <f t="array" ref="D304">choice(Settings!K:K,1,Settings!$B$16)</f>
        <v>mardi am</v>
      </c>
    </row>
    <row r="305" spans="1:4" x14ac:dyDescent="0.25">
      <c r="A305" s="2" t="str" cm="1">
        <f t="array" ref="A305">choice(Professeurs!A:A,1,Settings!$B$16)</f>
        <v>Prof5</v>
      </c>
      <c r="B305" s="3" cm="1">
        <f t="array" ref="B305">alea_date(Settings!$B$11,360,Settings!$B$8+alea_int(4,0,Settings!$B$16),Settings!$B$16)</f>
        <v>46134.416666666664</v>
      </c>
      <c r="C305" s="3" cm="1">
        <f t="array" ref="C305">B305+TIME(alea_int(5,1,Settings!$B$16),0,0)</f>
        <v>46134.458333333328</v>
      </c>
      <c r="D305" s="3" t="str" cm="1">
        <f t="array" ref="D305">choice(Settings!K:K,1,Settings!$B$16)</f>
        <v>mercredi ap</v>
      </c>
    </row>
    <row r="306" spans="1:4" x14ac:dyDescent="0.25">
      <c r="A306" s="2" t="str" cm="1">
        <f t="array" ref="A306">choice(Professeurs!A:A,1,Settings!$B$16)</f>
        <v>Prof32</v>
      </c>
      <c r="B306" s="3" cm="1">
        <f t="array" ref="B306">alea_date(Settings!$B$11,360,Settings!$B$8+alea_int(4,0,Settings!$B$16),Settings!$B$16)</f>
        <v>46334.333333333336</v>
      </c>
      <c r="C306" s="3" cm="1">
        <f t="array" ref="C306">B306+TIME(alea_int(5,1,Settings!$B$16),0,0)</f>
        <v>46334.541666666672</v>
      </c>
      <c r="D306" s="3" t="str" cm="1">
        <f t="array" ref="D306">choice(Settings!K:K,1,Settings!$B$16)</f>
        <v/>
      </c>
    </row>
    <row r="307" spans="1:4" x14ac:dyDescent="0.25">
      <c r="A307" s="2" t="str" cm="1">
        <f t="array" ref="A307">choice(Professeurs!A:A,1,Settings!$B$16)</f>
        <v>Prof41</v>
      </c>
      <c r="B307" s="3" cm="1">
        <f t="array" ref="B307">alea_date(Settings!$B$11,360,Settings!$B$8+alea_int(4,0,Settings!$B$16),Settings!$B$16)</f>
        <v>46044.333333333336</v>
      </c>
      <c r="C307" s="3" cm="1">
        <f t="array" ref="C307">B307+TIME(alea_int(5,1,Settings!$B$16),0,0)</f>
        <v>46044.458333333336</v>
      </c>
      <c r="D307" s="3" t="str" cm="1">
        <f t="array" ref="D307">choice(Settings!K:K,1,Settings!$B$16)</f>
        <v>vendredi pm</v>
      </c>
    </row>
    <row r="308" spans="1:4" x14ac:dyDescent="0.25">
      <c r="A308" s="2" t="str" cm="1">
        <f t="array" ref="A308">choice(Professeurs!A:A,1,Settings!$B$16)</f>
        <v>Prof21</v>
      </c>
      <c r="B308" s="3" cm="1">
        <f t="array" ref="B308">alea_date(Settings!$B$11,360,Settings!$B$8+alea_int(4,0,Settings!$B$16),Settings!$B$16)</f>
        <v>46291.458333333336</v>
      </c>
      <c r="C308" s="3" cm="1">
        <f t="array" ref="C308">B308+TIME(alea_int(5,1,Settings!$B$16),0,0)</f>
        <v>46291.5</v>
      </c>
      <c r="D308" s="3" t="str" cm="1">
        <f t="array" ref="D308">choice(Settings!K:K,1,Settings!$B$16)</f>
        <v>lundi am</v>
      </c>
    </row>
    <row r="309" spans="1:4" x14ac:dyDescent="0.25">
      <c r="A309" s="2" t="str" cm="1">
        <f t="array" ref="A309">choice(Professeurs!A:A,1,Settings!$B$16)</f>
        <v>Prof6</v>
      </c>
      <c r="B309" s="3" cm="1">
        <f t="array" ref="B309">alea_date(Settings!$B$11,360,Settings!$B$8+alea_int(4,0,Settings!$B$16),Settings!$B$16)</f>
        <v>46260.375</v>
      </c>
      <c r="C309" s="3" cm="1">
        <f t="array" ref="C309">B309+TIME(alea_int(5,1,Settings!$B$16),0,0)</f>
        <v>46260.583333333336</v>
      </c>
      <c r="D309" s="3" t="str" cm="1">
        <f t="array" ref="D309">choice(Settings!K:K,1,Settings!$B$16)</f>
        <v/>
      </c>
    </row>
    <row r="310" spans="1:4" x14ac:dyDescent="0.25">
      <c r="A310" s="2" t="str" cm="1">
        <f t="array" ref="A310">choice(Professeurs!A:A,1,Settings!$B$16)</f>
        <v>Prof6</v>
      </c>
      <c r="B310" s="3" cm="1">
        <f t="array" ref="B310">alea_date(Settings!$B$11,360,Settings!$B$8+alea_int(4,0,Settings!$B$16),Settings!$B$16)</f>
        <v>46135.333333333336</v>
      </c>
      <c r="C310" s="3" cm="1">
        <f t="array" ref="C310">B310+TIME(alea_int(5,1,Settings!$B$16),0,0)</f>
        <v>46135.5</v>
      </c>
      <c r="D310" s="3" t="str" cm="1">
        <f t="array" ref="D310">choice(Settings!K:K,1,Settings!$B$16)</f>
        <v>jeudi am</v>
      </c>
    </row>
    <row r="311" spans="1:4" x14ac:dyDescent="0.25">
      <c r="A311" s="2" t="str" cm="1">
        <f t="array" ref="A311">choice(Professeurs!A:A,1,Settings!$B$16)</f>
        <v>Prof47</v>
      </c>
      <c r="B311" s="3" cm="1">
        <f t="array" ref="B311">alea_date(Settings!$B$11,360,Settings!$B$8+alea_int(4,0,Settings!$B$16),Settings!$B$16)</f>
        <v>46307.458333333336</v>
      </c>
      <c r="C311" s="3" cm="1">
        <f t="array" ref="C311">B311+TIME(alea_int(5,1,Settings!$B$16),0,0)</f>
        <v>46307.625</v>
      </c>
      <c r="D311" s="3" t="str" cm="1">
        <f t="array" ref="D311">choice(Settings!K:K,1,Settings!$B$16)</f>
        <v/>
      </c>
    </row>
    <row r="312" spans="1:4" x14ac:dyDescent="0.25">
      <c r="A312" s="2" t="str" cm="1">
        <f t="array" ref="A312">choice(Professeurs!A:A,1,Settings!$B$16)</f>
        <v>Prof19</v>
      </c>
      <c r="B312" s="3" cm="1">
        <f t="array" ref="B312">alea_date(Settings!$B$11,360,Settings!$B$8+alea_int(4,0,Settings!$B$16),Settings!$B$16)</f>
        <v>46321.458333333336</v>
      </c>
      <c r="C312" s="3" cm="1">
        <f t="array" ref="C312">B312+TIME(alea_int(5,1,Settings!$B$16),0,0)</f>
        <v>46321.583333333336</v>
      </c>
      <c r="D312" s="3" t="str" cm="1">
        <f t="array" ref="D312">choice(Settings!K:K,1,Settings!$B$16)</f>
        <v>jeudi pm</v>
      </c>
    </row>
    <row r="313" spans="1:4" x14ac:dyDescent="0.25">
      <c r="A313" s="2" t="str" cm="1">
        <f t="array" ref="A313">choice(Professeurs!A:A,1,Settings!$B$16)</f>
        <v>Prof48</v>
      </c>
      <c r="B313" s="3" cm="1">
        <f t="array" ref="B313">alea_date(Settings!$B$11,360,Settings!$B$8+alea_int(4,0,Settings!$B$16),Settings!$B$16)</f>
        <v>46356.375</v>
      </c>
      <c r="C313" s="3" cm="1">
        <f t="array" ref="C313">B313+TIME(alea_int(5,1,Settings!$B$16),0,0)</f>
        <v>46356.541666666664</v>
      </c>
      <c r="D313" s="3" t="str" cm="1">
        <f t="array" ref="D313">choice(Settings!K:K,1,Settings!$B$16)</f>
        <v/>
      </c>
    </row>
    <row r="314" spans="1:4" x14ac:dyDescent="0.25">
      <c r="A314" s="2" t="str" cm="1">
        <f t="array" ref="A314">choice(Professeurs!A:A,1,Settings!$B$16)</f>
        <v>Prof31</v>
      </c>
      <c r="B314" s="3" cm="1">
        <f t="array" ref="B314">alea_date(Settings!$B$11,360,Settings!$B$8+alea_int(4,0,Settings!$B$16),Settings!$B$16)</f>
        <v>46206.416666666664</v>
      </c>
      <c r="C314" s="3" cm="1">
        <f t="array" ref="C314">B314+TIME(alea_int(5,1,Settings!$B$16),0,0)</f>
        <v>46206.583333333328</v>
      </c>
      <c r="D314" s="3" t="str" cm="1">
        <f t="array" ref="D314">choice(Settings!K:K,1,Settings!$B$16)</f>
        <v>jeudi pm</v>
      </c>
    </row>
    <row r="315" spans="1:4" x14ac:dyDescent="0.25">
      <c r="A315" s="2" t="str" cm="1">
        <f t="array" ref="A315">choice(Professeurs!A:A,1,Settings!$B$16)</f>
        <v>Prof6</v>
      </c>
      <c r="B315" s="3" cm="1">
        <f t="array" ref="B315">alea_date(Settings!$B$11,360,Settings!$B$8+alea_int(4,0,Settings!$B$16),Settings!$B$16)</f>
        <v>46383.458333333336</v>
      </c>
      <c r="C315" s="3" cm="1">
        <f t="array" ref="C315">B315+TIME(alea_int(5,1,Settings!$B$16),0,0)</f>
        <v>46383.625</v>
      </c>
      <c r="D315" s="3" t="str" cm="1">
        <f t="array" ref="D315">choice(Settings!K:K,1,Settings!$B$16)</f>
        <v/>
      </c>
    </row>
    <row r="316" spans="1:4" x14ac:dyDescent="0.25">
      <c r="A316" s="2" t="str" cm="1">
        <f t="array" ref="A316">choice(Professeurs!A:A,1,Settings!$B$16)</f>
        <v>Prof35</v>
      </c>
      <c r="B316" s="3" cm="1">
        <f t="array" ref="B316">alea_date(Settings!$B$11,360,Settings!$B$8+alea_int(4,0,Settings!$B$16),Settings!$B$16)</f>
        <v>46162.458333333336</v>
      </c>
      <c r="C316" s="3" cm="1">
        <f t="array" ref="C316">B316+TIME(alea_int(5,1,Settings!$B$16),0,0)</f>
        <v>46162.666666666672</v>
      </c>
      <c r="D316" s="3" t="str" cm="1">
        <f t="array" ref="D316">choice(Settings!K:K,1,Settings!$B$16)</f>
        <v/>
      </c>
    </row>
    <row r="317" spans="1:4" x14ac:dyDescent="0.25">
      <c r="A317" s="2" t="str" cm="1">
        <f t="array" ref="A317">choice(Professeurs!A:A,1,Settings!$B$16)</f>
        <v>Prof44</v>
      </c>
      <c r="B317" s="3" cm="1">
        <f t="array" ref="B317">alea_date(Settings!$B$11,360,Settings!$B$8+alea_int(4,0,Settings!$B$16),Settings!$B$16)</f>
        <v>46131.416666666664</v>
      </c>
      <c r="C317" s="3" cm="1">
        <f t="array" ref="C317">B317+TIME(alea_int(5,1,Settings!$B$16),0,0)</f>
        <v>46131.458333333328</v>
      </c>
      <c r="D317" s="3" t="str" cm="1">
        <f t="array" ref="D317">choice(Settings!K:K,1,Settings!$B$16)</f>
        <v>lundi am</v>
      </c>
    </row>
    <row r="318" spans="1:4" x14ac:dyDescent="0.25">
      <c r="A318" s="2" t="str" cm="1">
        <f t="array" ref="A318">choice(Professeurs!A:A,1,Settings!$B$16)</f>
        <v>Prof55</v>
      </c>
      <c r="B318" s="3" cm="1">
        <f t="array" ref="B318">alea_date(Settings!$B$11,360,Settings!$B$8+alea_int(4,0,Settings!$B$16),Settings!$B$16)</f>
        <v>46059.375</v>
      </c>
      <c r="C318" s="3" cm="1">
        <f t="array" ref="C318">B318+TIME(alea_int(5,1,Settings!$B$16),0,0)</f>
        <v>46059.458333333336</v>
      </c>
      <c r="D318" s="3" t="str" cm="1">
        <f t="array" ref="D318">choice(Settings!K:K,1,Settings!$B$16)</f>
        <v>lundi am</v>
      </c>
    </row>
    <row r="319" spans="1:4" x14ac:dyDescent="0.25">
      <c r="A319" s="2" t="str" cm="1">
        <f t="array" ref="A319">choice(Professeurs!A:A,1,Settings!$B$16)</f>
        <v>Prof42</v>
      </c>
      <c r="B319" s="3" cm="1">
        <f t="array" ref="B319">alea_date(Settings!$B$11,360,Settings!$B$8+alea_int(4,0,Settings!$B$16),Settings!$B$16)</f>
        <v>46232.458333333336</v>
      </c>
      <c r="C319" s="3" cm="1">
        <f t="array" ref="C319">B319+TIME(alea_int(5,1,Settings!$B$16),0,0)</f>
        <v>46232.666666666672</v>
      </c>
      <c r="D319" s="3" t="str" cm="1">
        <f t="array" ref="D319">choice(Settings!K:K,1,Settings!$B$16)</f>
        <v/>
      </c>
    </row>
    <row r="320" spans="1:4" x14ac:dyDescent="0.25">
      <c r="A320" s="2" t="str" cm="1">
        <f t="array" ref="A320">choice(Professeurs!A:A,1,Settings!$B$16)</f>
        <v>Prof45</v>
      </c>
      <c r="B320" s="3" cm="1">
        <f t="array" ref="B320">alea_date(Settings!$B$11,360,Settings!$B$8+alea_int(4,0,Settings!$B$16),Settings!$B$16)</f>
        <v>46133.375</v>
      </c>
      <c r="C320" s="3" cm="1">
        <f t="array" ref="C320">B320+TIME(alea_int(5,1,Settings!$B$16),0,0)</f>
        <v>46133.458333333336</v>
      </c>
      <c r="D320" s="3" t="str" cm="1">
        <f t="array" ref="D320">choice(Settings!K:K,1,Settings!$B$16)</f>
        <v/>
      </c>
    </row>
    <row r="321" spans="1:4" x14ac:dyDescent="0.25">
      <c r="A321" s="2" t="str" cm="1">
        <f t="array" ref="A321">choice(Professeurs!A:A,1,Settings!$B$16)</f>
        <v>Prof28</v>
      </c>
      <c r="B321" s="3" cm="1">
        <f t="array" ref="B321">alea_date(Settings!$B$11,360,Settings!$B$8+alea_int(4,0,Settings!$B$16),Settings!$B$16)</f>
        <v>46222.375</v>
      </c>
      <c r="C321" s="3" cm="1">
        <f t="array" ref="C321">B321+TIME(alea_int(5,1,Settings!$B$16),0,0)</f>
        <v>46222.583333333336</v>
      </c>
      <c r="D321" s="3" t="str" cm="1">
        <f t="array" ref="D321">choice(Settings!K:K,1,Settings!$B$16)</f>
        <v/>
      </c>
    </row>
    <row r="322" spans="1:4" x14ac:dyDescent="0.25">
      <c r="A322" s="2" t="str" cm="1">
        <f t="array" ref="A322">choice(Professeurs!A:A,1,Settings!$B$16)</f>
        <v>Prof35</v>
      </c>
      <c r="B322" s="3" cm="1">
        <f t="array" ref="B322">alea_date(Settings!$B$11,360,Settings!$B$8+alea_int(4,0,Settings!$B$16),Settings!$B$16)</f>
        <v>46338.375</v>
      </c>
      <c r="C322" s="3" cm="1">
        <f t="array" ref="C322">B322+TIME(alea_int(5,1,Settings!$B$16),0,0)</f>
        <v>46338.583333333336</v>
      </c>
      <c r="D322" s="3" t="str" cm="1">
        <f t="array" ref="D322">choice(Settings!K:K,1,Settings!$B$16)</f>
        <v/>
      </c>
    </row>
    <row r="323" spans="1:4" x14ac:dyDescent="0.25">
      <c r="A323" s="2" t="str" cm="1">
        <f t="array" ref="A323">choice(Professeurs!A:A,1,Settings!$B$16)</f>
        <v>Prof9</v>
      </c>
      <c r="B323" s="3" cm="1">
        <f t="array" ref="B323">alea_date(Settings!$B$11,360,Settings!$B$8+alea_int(4,0,Settings!$B$16),Settings!$B$16)</f>
        <v>46040.375</v>
      </c>
      <c r="C323" s="3" cm="1">
        <f t="array" ref="C323">B323+TIME(alea_int(5,1,Settings!$B$16),0,0)</f>
        <v>46040.583333333336</v>
      </c>
      <c r="D323" s="3" t="str" cm="1">
        <f t="array" ref="D323">choice(Settings!K:K,1,Settings!$B$16)</f>
        <v>lundi pm</v>
      </c>
    </row>
    <row r="324" spans="1:4" x14ac:dyDescent="0.25">
      <c r="A324" s="2" t="str" cm="1">
        <f t="array" ref="A324">choice(Professeurs!A:A,1,Settings!$B$16)</f>
        <v>Prof10</v>
      </c>
      <c r="B324" s="3" cm="1">
        <f t="array" ref="B324">alea_date(Settings!$B$11,360,Settings!$B$8+alea_int(4,0,Settings!$B$16),Settings!$B$16)</f>
        <v>46256.333333333336</v>
      </c>
      <c r="C324" s="3" cm="1">
        <f t="array" ref="C324">B324+TIME(alea_int(5,1,Settings!$B$16),0,0)</f>
        <v>46256.375</v>
      </c>
      <c r="D324" s="3" t="str" cm="1">
        <f t="array" ref="D324">choice(Settings!K:K,1,Settings!$B$16)</f>
        <v/>
      </c>
    </row>
    <row r="325" spans="1:4" x14ac:dyDescent="0.25">
      <c r="A325" s="2" t="str" cm="1">
        <f t="array" ref="A325">choice(Professeurs!A:A,1,Settings!$B$16)</f>
        <v>Prof11</v>
      </c>
      <c r="B325" s="3" cm="1">
        <f t="array" ref="B325">alea_date(Settings!$B$11,360,Settings!$B$8+alea_int(4,0,Settings!$B$16),Settings!$B$16)</f>
        <v>46125.458333333336</v>
      </c>
      <c r="C325" s="3" cm="1">
        <f t="array" ref="C325">B325+TIME(alea_int(5,1,Settings!$B$16),0,0)</f>
        <v>46125.5</v>
      </c>
      <c r="D325" s="3" t="str" cm="1">
        <f t="array" ref="D325">choice(Settings!K:K,1,Settings!$B$16)</f>
        <v>vendredi pm</v>
      </c>
    </row>
    <row r="326" spans="1:4" x14ac:dyDescent="0.25">
      <c r="A326" s="2" t="str" cm="1">
        <f t="array" ref="A326">choice(Professeurs!A:A,1,Settings!$B$16)</f>
        <v>Prof35</v>
      </c>
      <c r="B326" s="3" cm="1">
        <f t="array" ref="B326">alea_date(Settings!$B$11,360,Settings!$B$8+alea_int(4,0,Settings!$B$16),Settings!$B$16)</f>
        <v>46380.375</v>
      </c>
      <c r="C326" s="3" cm="1">
        <f t="array" ref="C326">B326+TIME(alea_int(5,1,Settings!$B$16),0,0)</f>
        <v>46380.541666666664</v>
      </c>
      <c r="D326" s="3" t="str" cm="1">
        <f t="array" ref="D326">choice(Settings!K:K,1,Settings!$B$16)</f>
        <v>jeudi am</v>
      </c>
    </row>
    <row r="327" spans="1:4" x14ac:dyDescent="0.25">
      <c r="A327" s="2" t="str" cm="1">
        <f t="array" ref="A327">choice(Professeurs!A:A,1,Settings!$B$16)</f>
        <v>Prof53</v>
      </c>
      <c r="B327" s="3" cm="1">
        <f t="array" ref="B327">alea_date(Settings!$B$11,360,Settings!$B$8+alea_int(4,0,Settings!$B$16),Settings!$B$16)</f>
        <v>46313.333333333336</v>
      </c>
      <c r="C327" s="3" cm="1">
        <f t="array" ref="C327">B327+TIME(alea_int(5,1,Settings!$B$16),0,0)</f>
        <v>46313.5</v>
      </c>
      <c r="D327" s="3" t="str" cm="1">
        <f t="array" ref="D327">choice(Settings!K:K,1,Settings!$B$16)</f>
        <v>semaine</v>
      </c>
    </row>
    <row r="328" spans="1:4" x14ac:dyDescent="0.25">
      <c r="A328" s="2" t="str" cm="1">
        <f t="array" ref="A328">choice(Professeurs!A:A,1,Settings!$B$16)</f>
        <v>Prof14</v>
      </c>
      <c r="B328" s="3" cm="1">
        <f t="array" ref="B328">alea_date(Settings!$B$11,360,Settings!$B$8+alea_int(4,0,Settings!$B$16),Settings!$B$16)</f>
        <v>46334.416666666664</v>
      </c>
      <c r="C328" s="3" cm="1">
        <f t="array" ref="C328">B328+TIME(alea_int(5,1,Settings!$B$16),0,0)</f>
        <v>46334.541666666664</v>
      </c>
      <c r="D328" s="3" t="str" cm="1">
        <f t="array" ref="D328">choice(Settings!K:K,1,Settings!$B$16)</f>
        <v/>
      </c>
    </row>
    <row r="329" spans="1:4" x14ac:dyDescent="0.25">
      <c r="A329" s="2" t="str" cm="1">
        <f t="array" ref="A329">choice(Professeurs!A:A,1,Settings!$B$16)</f>
        <v>Prof17</v>
      </c>
      <c r="B329" s="3" cm="1">
        <f t="array" ref="B329">alea_date(Settings!$B$11,360,Settings!$B$8+alea_int(4,0,Settings!$B$16),Settings!$B$16)</f>
        <v>46203.375</v>
      </c>
      <c r="C329" s="3" cm="1">
        <f t="array" ref="C329">B329+TIME(alea_int(5,1,Settings!$B$16),0,0)</f>
        <v>46203.416666666664</v>
      </c>
      <c r="D329" s="3" t="str" cm="1">
        <f t="array" ref="D329">choice(Settings!K:K,1,Settings!$B$16)</f>
        <v/>
      </c>
    </row>
    <row r="330" spans="1:4" x14ac:dyDescent="0.25">
      <c r="A330" s="2" t="str" cm="1">
        <f t="array" ref="A330">choice(Professeurs!A:A,1,Settings!$B$16)</f>
        <v>Prof2</v>
      </c>
      <c r="B330" s="3" cm="1">
        <f t="array" ref="B330">alea_date(Settings!$B$11,360,Settings!$B$8+alea_int(4,0,Settings!$B$16),Settings!$B$16)</f>
        <v>46327.458333333336</v>
      </c>
      <c r="C330" s="3" cm="1">
        <f t="array" ref="C330">B330+TIME(alea_int(5,1,Settings!$B$16),0,0)</f>
        <v>46327.625</v>
      </c>
      <c r="D330" s="3" t="str" cm="1">
        <f t="array" ref="D330">choice(Settings!K:K,1,Settings!$B$16)</f>
        <v/>
      </c>
    </row>
    <row r="331" spans="1:4" x14ac:dyDescent="0.25">
      <c r="A331" s="2" t="str" cm="1">
        <f t="array" ref="A331">choice(Professeurs!A:A,1,Settings!$B$16)</f>
        <v>Prof24</v>
      </c>
      <c r="B331" s="3" cm="1">
        <f t="array" ref="B331">alea_date(Settings!$B$11,360,Settings!$B$8+alea_int(4,0,Settings!$B$16),Settings!$B$16)</f>
        <v>46096.333333333336</v>
      </c>
      <c r="C331" s="3" cm="1">
        <f t="array" ref="C331">B331+TIME(alea_int(5,1,Settings!$B$16),0,0)</f>
        <v>46096.458333333336</v>
      </c>
      <c r="D331" s="3" t="str" cm="1">
        <f t="array" ref="D331">choice(Settings!K:K,1,Settings!$B$16)</f>
        <v/>
      </c>
    </row>
    <row r="332" spans="1:4" x14ac:dyDescent="0.25">
      <c r="A332" s="2" t="str" cm="1">
        <f t="array" ref="A332">choice(Professeurs!A:A,1,Settings!$B$16)</f>
        <v>Prof17</v>
      </c>
      <c r="B332" s="3" cm="1">
        <f t="array" ref="B332">alea_date(Settings!$B$11,360,Settings!$B$8+alea_int(4,0,Settings!$B$16),Settings!$B$16)</f>
        <v>46293.458333333336</v>
      </c>
      <c r="C332" s="3" cm="1">
        <f t="array" ref="C332">B332+TIME(alea_int(5,1,Settings!$B$16),0,0)</f>
        <v>46293.5</v>
      </c>
      <c r="D332" s="3" t="str" cm="1">
        <f t="array" ref="D332">choice(Settings!K:K,1,Settings!$B$16)</f>
        <v>vendredi am</v>
      </c>
    </row>
    <row r="333" spans="1:4" x14ac:dyDescent="0.25">
      <c r="A333" s="2" t="str" cm="1">
        <f t="array" ref="A333">choice(Professeurs!A:A,1,Settings!$B$16)</f>
        <v>Prof23</v>
      </c>
      <c r="B333" s="3" cm="1">
        <f t="array" ref="B333">alea_date(Settings!$B$11,360,Settings!$B$8+alea_int(4,0,Settings!$B$16),Settings!$B$16)</f>
        <v>46038.333333333336</v>
      </c>
      <c r="C333" s="3" cm="1">
        <f t="array" ref="C333">B333+TIME(alea_int(5,1,Settings!$B$16),0,0)</f>
        <v>46038.541666666672</v>
      </c>
      <c r="D333" s="3" t="str" cm="1">
        <f t="array" ref="D333">choice(Settings!K:K,1,Settings!$B$16)</f>
        <v/>
      </c>
    </row>
    <row r="334" spans="1:4" x14ac:dyDescent="0.25">
      <c r="A334" s="2" t="str" cm="1">
        <f t="array" ref="A334">choice(Professeurs!A:A,1,Settings!$B$16)</f>
        <v>Prof40</v>
      </c>
      <c r="B334" s="3" cm="1">
        <f t="array" ref="B334">alea_date(Settings!$B$11,360,Settings!$B$8+alea_int(4,0,Settings!$B$16),Settings!$B$16)</f>
        <v>46283.333333333336</v>
      </c>
      <c r="C334" s="3" cm="1">
        <f t="array" ref="C334">B334+TIME(alea_int(5,1,Settings!$B$16),0,0)</f>
        <v>46283.5</v>
      </c>
      <c r="D334" s="3" t="str" cm="1">
        <f t="array" ref="D334">choice(Settings!K:K,1,Settings!$B$16)</f>
        <v/>
      </c>
    </row>
    <row r="335" spans="1:4" x14ac:dyDescent="0.25">
      <c r="A335" s="2" t="str" cm="1">
        <f t="array" ref="A335">choice(Professeurs!A:A,1,Settings!$B$16)</f>
        <v>Prof53</v>
      </c>
      <c r="B335" s="3" cm="1">
        <f t="array" ref="B335">alea_date(Settings!$B$11,360,Settings!$B$8+alea_int(4,0,Settings!$B$16),Settings!$B$16)</f>
        <v>46324.375</v>
      </c>
      <c r="C335" s="3" cm="1">
        <f t="array" ref="C335">B335+TIME(alea_int(5,1,Settings!$B$16),0,0)</f>
        <v>46324.541666666664</v>
      </c>
      <c r="D335" s="3" t="str" cm="1">
        <f t="array" ref="D335">choice(Settings!K:K,1,Settings!$B$16)</f>
        <v/>
      </c>
    </row>
    <row r="336" spans="1:4" x14ac:dyDescent="0.25">
      <c r="A336" s="2" t="str" cm="1">
        <f t="array" ref="A336">choice(Professeurs!A:A,1,Settings!$B$16)</f>
        <v>Prof42</v>
      </c>
      <c r="B336" s="3" cm="1">
        <f t="array" ref="B336">alea_date(Settings!$B$11,360,Settings!$B$8+alea_int(4,0,Settings!$B$16),Settings!$B$16)</f>
        <v>46084.375</v>
      </c>
      <c r="C336" s="3" cm="1">
        <f t="array" ref="C336">B336+TIME(alea_int(5,1,Settings!$B$16),0,0)</f>
        <v>46084.541666666664</v>
      </c>
      <c r="D336" s="3" t="str" cm="1">
        <f t="array" ref="D336">choice(Settings!K:K,1,Settings!$B$16)</f>
        <v/>
      </c>
    </row>
    <row r="337" spans="1:4" x14ac:dyDescent="0.25">
      <c r="A337" s="2" t="str" cm="1">
        <f t="array" ref="A337">choice(Professeurs!A:A,1,Settings!$B$16)</f>
        <v>Prof54</v>
      </c>
      <c r="B337" s="3" cm="1">
        <f t="array" ref="B337">alea_date(Settings!$B$11,360,Settings!$B$8+alea_int(4,0,Settings!$B$16),Settings!$B$16)</f>
        <v>46303.333333333336</v>
      </c>
      <c r="C337" s="3" cm="1">
        <f t="array" ref="C337">B337+TIME(alea_int(5,1,Settings!$B$16),0,0)</f>
        <v>46303.458333333336</v>
      </c>
      <c r="D337" s="3" t="str" cm="1">
        <f t="array" ref="D337">choice(Settings!K:K,1,Settings!$B$16)</f>
        <v/>
      </c>
    </row>
    <row r="338" spans="1:4" x14ac:dyDescent="0.25">
      <c r="A338" s="2" t="str" cm="1">
        <f t="array" ref="A338">choice(Professeurs!A:A,1,Settings!$B$16)</f>
        <v>Prof52</v>
      </c>
      <c r="B338" s="3" cm="1">
        <f t="array" ref="B338">alea_date(Settings!$B$11,360,Settings!$B$8+alea_int(4,0,Settings!$B$16),Settings!$B$16)</f>
        <v>46094.333333333336</v>
      </c>
      <c r="C338" s="3" cm="1">
        <f t="array" ref="C338">B338+TIME(alea_int(5,1,Settings!$B$16),0,0)</f>
        <v>46094.458333333336</v>
      </c>
      <c r="D338" s="3" t="str" cm="1">
        <f t="array" ref="D338">choice(Settings!K:K,1,Settings!$B$16)</f>
        <v/>
      </c>
    </row>
    <row r="339" spans="1:4" x14ac:dyDescent="0.25">
      <c r="A339" s="2" t="str" cm="1">
        <f t="array" ref="A339">choice(Professeurs!A:A,1,Settings!$B$16)</f>
        <v>Prof35</v>
      </c>
      <c r="B339" s="3" cm="1">
        <f t="array" ref="B339">alea_date(Settings!$B$11,360,Settings!$B$8+alea_int(4,0,Settings!$B$16),Settings!$B$16)</f>
        <v>46149.333333333336</v>
      </c>
      <c r="C339" s="3" cm="1">
        <f t="array" ref="C339">B339+TIME(alea_int(5,1,Settings!$B$16),0,0)</f>
        <v>46149.375</v>
      </c>
      <c r="D339" s="3" t="str" cm="1">
        <f t="array" ref="D339">choice(Settings!K:K,1,Settings!$B$16)</f>
        <v/>
      </c>
    </row>
    <row r="340" spans="1:4" x14ac:dyDescent="0.25">
      <c r="A340" s="2" t="str" cm="1">
        <f t="array" ref="A340">choice(Professeurs!A:A,1,Settings!$B$16)</f>
        <v>Prof36</v>
      </c>
      <c r="B340" s="3" cm="1">
        <f t="array" ref="B340">alea_date(Settings!$B$11,360,Settings!$B$8+alea_int(4,0,Settings!$B$16),Settings!$B$16)</f>
        <v>46210.333333333336</v>
      </c>
      <c r="C340" s="3" cm="1">
        <f t="array" ref="C340">B340+TIME(alea_int(5,1,Settings!$B$16),0,0)</f>
        <v>46210.375</v>
      </c>
      <c r="D340" s="3" t="str" cm="1">
        <f t="array" ref="D340">choice(Settings!K:K,1,Settings!$B$16)</f>
        <v>jeudi pm</v>
      </c>
    </row>
    <row r="341" spans="1:4" x14ac:dyDescent="0.25">
      <c r="A341" s="2" t="str" cm="1">
        <f t="array" ref="A341">choice(Professeurs!A:A,1,Settings!$B$16)</f>
        <v>Prof33</v>
      </c>
      <c r="B341" s="3" cm="1">
        <f t="array" ref="B341">alea_date(Settings!$B$11,360,Settings!$B$8+alea_int(4,0,Settings!$B$16),Settings!$B$16)</f>
        <v>46365.333333333336</v>
      </c>
      <c r="C341" s="3" cm="1">
        <f t="array" ref="C341">B341+TIME(alea_int(5,1,Settings!$B$16),0,0)</f>
        <v>46365.541666666672</v>
      </c>
      <c r="D341" s="3" t="str" cm="1">
        <f t="array" ref="D341">choice(Settings!K:K,1,Settings!$B$16)</f>
        <v>lundi am</v>
      </c>
    </row>
    <row r="342" spans="1:4" x14ac:dyDescent="0.25">
      <c r="A342" s="2" t="str" cm="1">
        <f t="array" ref="A342">choice(Professeurs!A:A,1,Settings!$B$16)</f>
        <v>Prof42</v>
      </c>
      <c r="B342" s="3" cm="1">
        <f t="array" ref="B342">alea_date(Settings!$B$11,360,Settings!$B$8+alea_int(4,0,Settings!$B$16),Settings!$B$16)</f>
        <v>46232.416666666664</v>
      </c>
      <c r="C342" s="3" cm="1">
        <f t="array" ref="C342">B342+TIME(alea_int(5,1,Settings!$B$16),0,0)</f>
        <v>46232.541666666664</v>
      </c>
      <c r="D342" s="3" t="str" cm="1">
        <f t="array" ref="D342">choice(Settings!K:K,1,Settings!$B$16)</f>
        <v/>
      </c>
    </row>
    <row r="343" spans="1:4" x14ac:dyDescent="0.25">
      <c r="A343" s="2" t="str" cm="1">
        <f t="array" ref="A343">choice(Professeurs!A:A,1,Settings!$B$16)</f>
        <v>Prof15</v>
      </c>
      <c r="B343" s="3" cm="1">
        <f t="array" ref="B343">alea_date(Settings!$B$11,360,Settings!$B$8+alea_int(4,0,Settings!$B$16),Settings!$B$16)</f>
        <v>46076.458333333336</v>
      </c>
      <c r="C343" s="3" cm="1">
        <f t="array" ref="C343">B343+TIME(alea_int(5,1,Settings!$B$16),0,0)</f>
        <v>46076.541666666672</v>
      </c>
      <c r="D343" s="3" t="str" cm="1">
        <f t="array" ref="D343">choice(Settings!K:K,1,Settings!$B$16)</f>
        <v/>
      </c>
    </row>
    <row r="344" spans="1:4" x14ac:dyDescent="0.25">
      <c r="A344" s="2" t="str" cm="1">
        <f t="array" ref="A344">choice(Professeurs!A:A,1,Settings!$B$16)</f>
        <v>Prof50</v>
      </c>
      <c r="B344" s="3" cm="1">
        <f t="array" ref="B344">alea_date(Settings!$B$11,360,Settings!$B$8+alea_int(4,0,Settings!$B$16),Settings!$B$16)</f>
        <v>46154.458333333336</v>
      </c>
      <c r="C344" s="3" cm="1">
        <f t="array" ref="C344">B344+TIME(alea_int(5,1,Settings!$B$16),0,0)</f>
        <v>46154.5</v>
      </c>
      <c r="D344" s="3" t="str" cm="1">
        <f t="array" ref="D344">choice(Settings!K:K,1,Settings!$B$16)</f>
        <v/>
      </c>
    </row>
    <row r="345" spans="1:4" x14ac:dyDescent="0.25">
      <c r="A345" s="2" t="str" cm="1">
        <f t="array" ref="A345">choice(Professeurs!A:A,1,Settings!$B$16)</f>
        <v>Prof38</v>
      </c>
      <c r="B345" s="3" cm="1">
        <f t="array" ref="B345">alea_date(Settings!$B$11,360,Settings!$B$8+alea_int(4,0,Settings!$B$16),Settings!$B$16)</f>
        <v>46360.333333333336</v>
      </c>
      <c r="C345" s="3" cm="1">
        <f t="array" ref="C345">B345+TIME(alea_int(5,1,Settings!$B$16),0,0)</f>
        <v>46360.458333333336</v>
      </c>
      <c r="D345" s="3" t="str" cm="1">
        <f t="array" ref="D345">choice(Settings!K:K,1,Settings!$B$16)</f>
        <v/>
      </c>
    </row>
    <row r="346" spans="1:4" x14ac:dyDescent="0.25">
      <c r="A346" s="2" t="str" cm="1">
        <f t="array" ref="A346">choice(Professeurs!A:A,1,Settings!$B$16)</f>
        <v>Prof1</v>
      </c>
      <c r="B346" s="3" cm="1">
        <f t="array" ref="B346">alea_date(Settings!$B$11,360,Settings!$B$8+alea_int(4,0,Settings!$B$16),Settings!$B$16)</f>
        <v>46117.458333333336</v>
      </c>
      <c r="C346" s="3" cm="1">
        <f t="array" ref="C346">B346+TIME(alea_int(5,1,Settings!$B$16),0,0)</f>
        <v>46117.625</v>
      </c>
      <c r="D346" s="3" t="str" cm="1">
        <f t="array" ref="D346">choice(Settings!K:K,1,Settings!$B$16)</f>
        <v/>
      </c>
    </row>
    <row r="347" spans="1:4" x14ac:dyDescent="0.25">
      <c r="A347" s="2" t="str" cm="1">
        <f t="array" ref="A347">choice(Professeurs!A:A,1,Settings!$B$16)</f>
        <v>Prof17</v>
      </c>
      <c r="B347" s="3" cm="1">
        <f t="array" ref="B347">alea_date(Settings!$B$11,360,Settings!$B$8+alea_int(4,0,Settings!$B$16),Settings!$B$16)</f>
        <v>46086.333333333336</v>
      </c>
      <c r="C347" s="3" cm="1">
        <f t="array" ref="C347">B347+TIME(alea_int(5,1,Settings!$B$16),0,0)</f>
        <v>46086.416666666672</v>
      </c>
      <c r="D347" s="3" t="str" cm="1">
        <f t="array" ref="D347">choice(Settings!K:K,1,Settings!$B$16)</f>
        <v>mardi am</v>
      </c>
    </row>
    <row r="348" spans="1:4" x14ac:dyDescent="0.25">
      <c r="A348" s="2" t="str" cm="1">
        <f t="array" ref="A348">choice(Professeurs!A:A,1,Settings!$B$16)</f>
        <v>Prof9</v>
      </c>
      <c r="B348" s="3" cm="1">
        <f t="array" ref="B348">alea_date(Settings!$B$11,360,Settings!$B$8+alea_int(4,0,Settings!$B$16),Settings!$B$16)</f>
        <v>46064.458333333336</v>
      </c>
      <c r="C348" s="3" cm="1">
        <f t="array" ref="C348">B348+TIME(alea_int(5,1,Settings!$B$16),0,0)</f>
        <v>46064.5</v>
      </c>
      <c r="D348" s="3" t="str" cm="1">
        <f t="array" ref="D348">choice(Settings!K:K,1,Settings!$B$16)</f>
        <v/>
      </c>
    </row>
    <row r="349" spans="1:4" x14ac:dyDescent="0.25">
      <c r="A349" s="2" t="str" cm="1">
        <f t="array" ref="A349">choice(Professeurs!A:A,1,Settings!$B$16)</f>
        <v>Prof45</v>
      </c>
      <c r="B349" s="3" cm="1">
        <f t="array" ref="B349">alea_date(Settings!$B$11,360,Settings!$B$8+alea_int(4,0,Settings!$B$16),Settings!$B$16)</f>
        <v>46236.416666666664</v>
      </c>
      <c r="C349" s="3" cm="1">
        <f t="array" ref="C349">B349+TIME(alea_int(5,1,Settings!$B$16),0,0)</f>
        <v>46236.458333333328</v>
      </c>
      <c r="D349" s="3" t="str" cm="1">
        <f t="array" ref="D349">choice(Settings!K:K,1,Settings!$B$16)</f>
        <v/>
      </c>
    </row>
    <row r="350" spans="1:4" x14ac:dyDescent="0.25">
      <c r="A350" s="2" t="str" cm="1">
        <f t="array" ref="A350">choice(Professeurs!A:A,1,Settings!$B$16)</f>
        <v>Prof52</v>
      </c>
      <c r="B350" s="3" cm="1">
        <f t="array" ref="B350">alea_date(Settings!$B$11,360,Settings!$B$8+alea_int(4,0,Settings!$B$16),Settings!$B$16)</f>
        <v>46236.333333333336</v>
      </c>
      <c r="C350" s="3" cm="1">
        <f t="array" ref="C350">B350+TIME(alea_int(5,1,Settings!$B$16),0,0)</f>
        <v>46236.541666666672</v>
      </c>
      <c r="D350" s="3" t="str" cm="1">
        <f t="array" ref="D350">choice(Settings!K:K,1,Settings!$B$16)</f>
        <v/>
      </c>
    </row>
    <row r="351" spans="1:4" x14ac:dyDescent="0.25">
      <c r="A351" s="2" t="str" cm="1">
        <f t="array" ref="A351">choice(Professeurs!A:A,1,Settings!$B$16)</f>
        <v>Prof7</v>
      </c>
      <c r="B351" s="3" cm="1">
        <f t="array" ref="B351">alea_date(Settings!$B$11,360,Settings!$B$8+alea_int(4,0,Settings!$B$16),Settings!$B$16)</f>
        <v>46082.416666666664</v>
      </c>
      <c r="C351" s="3" cm="1">
        <f t="array" ref="C351">B351+TIME(alea_int(5,1,Settings!$B$16),0,0)</f>
        <v>46082.625</v>
      </c>
      <c r="D351" s="3" t="str" cm="1">
        <f t="array" ref="D351">choice(Settings!K:K,1,Settings!$B$16)</f>
        <v>semaine</v>
      </c>
    </row>
    <row r="352" spans="1:4" x14ac:dyDescent="0.25">
      <c r="A352" s="2" t="str" cm="1">
        <f t="array" ref="A352">choice(Professeurs!A:A,1,Settings!$B$16)</f>
        <v>Prof37</v>
      </c>
      <c r="B352" s="3" cm="1">
        <f t="array" ref="B352">alea_date(Settings!$B$11,360,Settings!$B$8+alea_int(4,0,Settings!$B$16),Settings!$B$16)</f>
        <v>46151.458333333336</v>
      </c>
      <c r="C352" s="3" cm="1">
        <f t="array" ref="C352">B352+TIME(alea_int(5,1,Settings!$B$16),0,0)</f>
        <v>46151.583333333336</v>
      </c>
      <c r="D352" s="3" t="str" cm="1">
        <f t="array" ref="D352">choice(Settings!K:K,1,Settings!$B$16)</f>
        <v/>
      </c>
    </row>
    <row r="353" spans="1:4" x14ac:dyDescent="0.25">
      <c r="A353" s="2" t="str" cm="1">
        <f t="array" ref="A353">choice(Professeurs!A:A,1,Settings!$B$16)</f>
        <v>Prof10</v>
      </c>
      <c r="B353" s="3" cm="1">
        <f t="array" ref="B353">alea_date(Settings!$B$11,360,Settings!$B$8+alea_int(4,0,Settings!$B$16),Settings!$B$16)</f>
        <v>46046.416666666664</v>
      </c>
      <c r="C353" s="3" cm="1">
        <f t="array" ref="C353">B353+TIME(alea_int(5,1,Settings!$B$16),0,0)</f>
        <v>46046.541666666664</v>
      </c>
      <c r="D353" s="3" t="str" cm="1">
        <f t="array" ref="D353">choice(Settings!K:K,1,Settings!$B$16)</f>
        <v/>
      </c>
    </row>
    <row r="354" spans="1:4" x14ac:dyDescent="0.25">
      <c r="A354" s="2" t="str" cm="1">
        <f t="array" ref="A354">choice(Professeurs!A:A,1,Settings!$B$16)</f>
        <v>Prof23</v>
      </c>
      <c r="B354" s="3" cm="1">
        <f t="array" ref="B354">alea_date(Settings!$B$11,360,Settings!$B$8+alea_int(4,0,Settings!$B$16),Settings!$B$16)</f>
        <v>46333.375</v>
      </c>
      <c r="C354" s="3" cm="1">
        <f t="array" ref="C354">B354+TIME(alea_int(5,1,Settings!$B$16),0,0)</f>
        <v>46333.583333333336</v>
      </c>
      <c r="D354" s="3" t="str" cm="1">
        <f t="array" ref="D354">choice(Settings!K:K,1,Settings!$B$16)</f>
        <v/>
      </c>
    </row>
    <row r="355" spans="1:4" x14ac:dyDescent="0.25">
      <c r="A355" s="2" t="str" cm="1">
        <f t="array" ref="A355">choice(Professeurs!A:A,1,Settings!$B$16)</f>
        <v>Prof6</v>
      </c>
      <c r="B355" s="3" cm="1">
        <f t="array" ref="B355">alea_date(Settings!$B$11,360,Settings!$B$8+alea_int(4,0,Settings!$B$16),Settings!$B$16)</f>
        <v>46378.416666666664</v>
      </c>
      <c r="C355" s="3" cm="1">
        <f t="array" ref="C355">B355+TIME(alea_int(5,1,Settings!$B$16),0,0)</f>
        <v>46378.458333333328</v>
      </c>
      <c r="D355" s="3" t="str" cm="1">
        <f t="array" ref="D355">choice(Settings!K:K,1,Settings!$B$16)</f>
        <v/>
      </c>
    </row>
    <row r="356" spans="1:4" x14ac:dyDescent="0.25">
      <c r="A356" s="2" t="str" cm="1">
        <f t="array" ref="A356">choice(Professeurs!A:A,1,Settings!$B$16)</f>
        <v>Prof46</v>
      </c>
      <c r="B356" s="3" cm="1">
        <f t="array" ref="B356">alea_date(Settings!$B$11,360,Settings!$B$8+alea_int(4,0,Settings!$B$16),Settings!$B$16)</f>
        <v>46287.416666666664</v>
      </c>
      <c r="C356" s="3" cm="1">
        <f t="array" ref="C356">B356+TIME(alea_int(5,1,Settings!$B$16),0,0)</f>
        <v>46287.625</v>
      </c>
      <c r="D356" s="3" t="str" cm="1">
        <f t="array" ref="D356">choice(Settings!K:K,1,Settings!$B$16)</f>
        <v/>
      </c>
    </row>
    <row r="357" spans="1:4" x14ac:dyDescent="0.25">
      <c r="A357" s="2" t="str" cm="1">
        <f t="array" ref="A357">choice(Professeurs!A:A,1,Settings!$B$16)</f>
        <v>Prof38</v>
      </c>
      <c r="B357" s="3" cm="1">
        <f t="array" ref="B357">alea_date(Settings!$B$11,360,Settings!$B$8+alea_int(4,0,Settings!$B$16),Settings!$B$16)</f>
        <v>46244.333333333336</v>
      </c>
      <c r="C357" s="3" cm="1">
        <f t="array" ref="C357">B357+TIME(alea_int(5,1,Settings!$B$16),0,0)</f>
        <v>46244.375</v>
      </c>
      <c r="D357" s="3" t="str" cm="1">
        <f t="array" ref="D357">choice(Settings!K:K,1,Settings!$B$16)</f>
        <v/>
      </c>
    </row>
    <row r="358" spans="1:4" x14ac:dyDescent="0.25">
      <c r="A358" s="2" t="str" cm="1">
        <f t="array" ref="A358">choice(Professeurs!A:A,1,Settings!$B$16)</f>
        <v>Prof48</v>
      </c>
      <c r="B358" s="3" cm="1">
        <f t="array" ref="B358">alea_date(Settings!$B$11,360,Settings!$B$8+alea_int(4,0,Settings!$B$16),Settings!$B$16)</f>
        <v>46292.458333333336</v>
      </c>
      <c r="C358" s="3" cm="1">
        <f t="array" ref="C358">B358+TIME(alea_int(5,1,Settings!$B$16),0,0)</f>
        <v>46292.583333333336</v>
      </c>
      <c r="D358" s="3" t="str" cm="1">
        <f t="array" ref="D358">choice(Settings!K:K,1,Settings!$B$16)</f>
        <v>vendredi am</v>
      </c>
    </row>
    <row r="359" spans="1:4" x14ac:dyDescent="0.25">
      <c r="A359" s="2" t="str" cm="1">
        <f t="array" ref="A359">choice(Professeurs!A:A,1,Settings!$B$16)</f>
        <v>Prof51</v>
      </c>
      <c r="B359" s="3" cm="1">
        <f t="array" ref="B359">alea_date(Settings!$B$11,360,Settings!$B$8+alea_int(4,0,Settings!$B$16),Settings!$B$16)</f>
        <v>46159.375</v>
      </c>
      <c r="C359" s="3" cm="1">
        <f t="array" ref="C359">B359+TIME(alea_int(5,1,Settings!$B$16),0,0)</f>
        <v>46159.458333333336</v>
      </c>
      <c r="D359" s="3" t="str" cm="1">
        <f t="array" ref="D359">choice(Settings!K:K,1,Settings!$B$16)</f>
        <v/>
      </c>
    </row>
    <row r="360" spans="1:4" x14ac:dyDescent="0.25">
      <c r="A360" s="2" t="str" cm="1">
        <f t="array" ref="A360">choice(Professeurs!A:A,1,Settings!$B$16)</f>
        <v>Prof14</v>
      </c>
      <c r="B360" s="3" cm="1">
        <f t="array" ref="B360">alea_date(Settings!$B$11,360,Settings!$B$8+alea_int(4,0,Settings!$B$16),Settings!$B$16)</f>
        <v>46313.416666666664</v>
      </c>
      <c r="C360" s="3" cm="1">
        <f t="array" ref="C360">B360+TIME(alea_int(5,1,Settings!$B$16),0,0)</f>
        <v>46313.625</v>
      </c>
      <c r="D360" s="3" t="str" cm="1">
        <f t="array" ref="D360">choice(Settings!K:K,1,Settings!$B$16)</f>
        <v/>
      </c>
    </row>
    <row r="361" spans="1:4" x14ac:dyDescent="0.25">
      <c r="A361" s="2" t="str" cm="1">
        <f t="array" ref="A361">choice(Professeurs!A:A,1,Settings!$B$16)</f>
        <v>Prof27</v>
      </c>
      <c r="B361" s="3" cm="1">
        <f t="array" ref="B361">alea_date(Settings!$B$11,360,Settings!$B$8+alea_int(4,0,Settings!$B$16),Settings!$B$16)</f>
        <v>46311.416666666664</v>
      </c>
      <c r="C361" s="3" cm="1">
        <f t="array" ref="C361">B361+TIME(alea_int(5,1,Settings!$B$16),0,0)</f>
        <v>46311.5</v>
      </c>
      <c r="D361" s="3" t="str" cm="1">
        <f t="array" ref="D361">choice(Settings!K:K,1,Settings!$B$16)</f>
        <v>lundi pm</v>
      </c>
    </row>
    <row r="362" spans="1:4" x14ac:dyDescent="0.25">
      <c r="A362" s="2" t="str" cm="1">
        <f t="array" ref="A362">choice(Professeurs!A:A,1,Settings!$B$16)</f>
        <v>Prof8</v>
      </c>
      <c r="B362" s="3" cm="1">
        <f t="array" ref="B362">alea_date(Settings!$B$11,360,Settings!$B$8+alea_int(4,0,Settings!$B$16),Settings!$B$16)</f>
        <v>46147.458333333336</v>
      </c>
      <c r="C362" s="3" cm="1">
        <f t="array" ref="C362">B362+TIME(alea_int(5,1,Settings!$B$16),0,0)</f>
        <v>46147.583333333336</v>
      </c>
      <c r="D362" s="3" t="str" cm="1">
        <f t="array" ref="D362">choice(Settings!K:K,1,Settings!$B$16)</f>
        <v/>
      </c>
    </row>
    <row r="363" spans="1:4" x14ac:dyDescent="0.25">
      <c r="A363" s="2" t="str" cm="1">
        <f t="array" ref="A363">choice(Professeurs!A:A,1,Settings!$B$16)</f>
        <v>Prof1</v>
      </c>
      <c r="B363" s="3" cm="1">
        <f t="array" ref="B363">alea_date(Settings!$B$11,360,Settings!$B$8+alea_int(4,0,Settings!$B$16),Settings!$B$16)</f>
        <v>46042.333333333336</v>
      </c>
      <c r="C363" s="3" cm="1">
        <f t="array" ref="C363">B363+TIME(alea_int(5,1,Settings!$B$16),0,0)</f>
        <v>46042.5</v>
      </c>
      <c r="D363" s="3" t="str" cm="1">
        <f t="array" ref="D363">choice(Settings!K:K,1,Settings!$B$16)</f>
        <v/>
      </c>
    </row>
    <row r="364" spans="1:4" x14ac:dyDescent="0.25">
      <c r="A364" s="2" t="str" cm="1">
        <f t="array" ref="A364">choice(Professeurs!A:A,1,Settings!$B$16)</f>
        <v>Prof24</v>
      </c>
      <c r="B364" s="3" cm="1">
        <f t="array" ref="B364">alea_date(Settings!$B$11,360,Settings!$B$8+alea_int(4,0,Settings!$B$16),Settings!$B$16)</f>
        <v>46347.458333333336</v>
      </c>
      <c r="C364" s="3" cm="1">
        <f t="array" ref="C364">B364+TIME(alea_int(5,1,Settings!$B$16),0,0)</f>
        <v>46347.541666666672</v>
      </c>
      <c r="D364" s="3" t="str" cm="1">
        <f t="array" ref="D364">choice(Settings!K:K,1,Settings!$B$16)</f>
        <v/>
      </c>
    </row>
    <row r="365" spans="1:4" x14ac:dyDescent="0.25">
      <c r="A365" s="2" t="str" cm="1">
        <f t="array" ref="A365">choice(Professeurs!A:A,1,Settings!$B$16)</f>
        <v>Prof15</v>
      </c>
      <c r="B365" s="3" cm="1">
        <f t="array" ref="B365">alea_date(Settings!$B$11,360,Settings!$B$8+alea_int(4,0,Settings!$B$16),Settings!$B$16)</f>
        <v>46049.333333333336</v>
      </c>
      <c r="C365" s="3" cm="1">
        <f t="array" ref="C365">B365+TIME(alea_int(5,1,Settings!$B$16),0,0)</f>
        <v>46049.5</v>
      </c>
      <c r="D365" s="3" t="str" cm="1">
        <f t="array" ref="D365">choice(Settings!K:K,1,Settings!$B$16)</f>
        <v/>
      </c>
    </row>
    <row r="366" spans="1:4" x14ac:dyDescent="0.25">
      <c r="A366" s="2" t="str" cm="1">
        <f t="array" ref="A366">choice(Professeurs!A:A,1,Settings!$B$16)</f>
        <v>Prof31</v>
      </c>
      <c r="B366" s="3" cm="1">
        <f t="array" ref="B366">alea_date(Settings!$B$11,360,Settings!$B$8+alea_int(4,0,Settings!$B$16),Settings!$B$16)</f>
        <v>46373.416666666664</v>
      </c>
      <c r="C366" s="3" cm="1">
        <f t="array" ref="C366">B366+TIME(alea_int(5,1,Settings!$B$16),0,0)</f>
        <v>46373.458333333328</v>
      </c>
      <c r="D366" s="3" t="str" cm="1">
        <f t="array" ref="D366">choice(Settings!K:K,1,Settings!$B$16)</f>
        <v/>
      </c>
    </row>
    <row r="367" spans="1:4" x14ac:dyDescent="0.25">
      <c r="A367" s="2" t="str" cm="1">
        <f t="array" ref="A367">choice(Professeurs!A:A,1,Settings!$B$16)</f>
        <v>Prof12</v>
      </c>
      <c r="B367" s="3" cm="1">
        <f t="array" ref="B367">alea_date(Settings!$B$11,360,Settings!$B$8+alea_int(4,0,Settings!$B$16),Settings!$B$16)</f>
        <v>46319.458333333336</v>
      </c>
      <c r="C367" s="3" cm="1">
        <f t="array" ref="C367">B367+TIME(alea_int(5,1,Settings!$B$16),0,0)</f>
        <v>46319.541666666672</v>
      </c>
      <c r="D367" s="3" t="str" cm="1">
        <f t="array" ref="D367">choice(Settings!K:K,1,Settings!$B$16)</f>
        <v>jeudi am</v>
      </c>
    </row>
    <row r="368" spans="1:4" x14ac:dyDescent="0.25">
      <c r="A368" s="2" t="str" cm="1">
        <f t="array" ref="A368">choice(Professeurs!A:A,1,Settings!$B$16)</f>
        <v>Prof4</v>
      </c>
      <c r="B368" s="3" cm="1">
        <f t="array" ref="B368">alea_date(Settings!$B$11,360,Settings!$B$8+alea_int(4,0,Settings!$B$16),Settings!$B$16)</f>
        <v>46134.333333333336</v>
      </c>
      <c r="C368" s="3" cm="1">
        <f t="array" ref="C368">B368+TIME(alea_int(5,1,Settings!$B$16),0,0)</f>
        <v>46134.541666666672</v>
      </c>
      <c r="D368" s="3" t="str" cm="1">
        <f t="array" ref="D368">choice(Settings!K:K,1,Settings!$B$16)</f>
        <v/>
      </c>
    </row>
    <row r="369" spans="1:4" x14ac:dyDescent="0.25">
      <c r="A369" s="2" t="str" cm="1">
        <f t="array" ref="A369">choice(Professeurs!A:A,1,Settings!$B$16)</f>
        <v>Prof20</v>
      </c>
      <c r="B369" s="3" cm="1">
        <f t="array" ref="B369">alea_date(Settings!$B$11,360,Settings!$B$8+alea_int(4,0,Settings!$B$16),Settings!$B$16)</f>
        <v>46155.416666666664</v>
      </c>
      <c r="C369" s="3" cm="1">
        <f t="array" ref="C369">B369+TIME(alea_int(5,1,Settings!$B$16),0,0)</f>
        <v>46155.625</v>
      </c>
      <c r="D369" s="3" t="str" cm="1">
        <f t="array" ref="D369">choice(Settings!K:K,1,Settings!$B$16)</f>
        <v/>
      </c>
    </row>
    <row r="370" spans="1:4" x14ac:dyDescent="0.25">
      <c r="A370" s="2" t="str" cm="1">
        <f t="array" ref="A370">choice(Professeurs!A:A,1,Settings!$B$16)</f>
        <v>Prof38</v>
      </c>
      <c r="B370" s="3" cm="1">
        <f t="array" ref="B370">alea_date(Settings!$B$11,360,Settings!$B$8+alea_int(4,0,Settings!$B$16),Settings!$B$16)</f>
        <v>46277.333333333336</v>
      </c>
      <c r="C370" s="3" cm="1">
        <f t="array" ref="C370">B370+TIME(alea_int(5,1,Settings!$B$16),0,0)</f>
        <v>46277.541666666672</v>
      </c>
      <c r="D370" s="3" t="str" cm="1">
        <f t="array" ref="D370">choice(Settings!K:K,1,Settings!$B$16)</f>
        <v/>
      </c>
    </row>
    <row r="371" spans="1:4" x14ac:dyDescent="0.25">
      <c r="A371" s="2" t="str" cm="1">
        <f t="array" ref="A371">choice(Professeurs!A:A,1,Settings!$B$16)</f>
        <v>Prof29</v>
      </c>
      <c r="B371" s="3" cm="1">
        <f t="array" ref="B371">alea_date(Settings!$B$11,360,Settings!$B$8+alea_int(4,0,Settings!$B$16),Settings!$B$16)</f>
        <v>46028.375</v>
      </c>
      <c r="C371" s="3" cm="1">
        <f t="array" ref="C371">B371+TIME(alea_int(5,1,Settings!$B$16),0,0)</f>
        <v>46028.458333333336</v>
      </c>
      <c r="D371" s="3" t="str" cm="1">
        <f t="array" ref="D371">choice(Settings!K:K,1,Settings!$B$16)</f>
        <v/>
      </c>
    </row>
    <row r="372" spans="1:4" x14ac:dyDescent="0.25">
      <c r="A372" s="2" t="str" cm="1">
        <f t="array" ref="A372">choice(Professeurs!A:A,1,Settings!$B$16)</f>
        <v>Prof34</v>
      </c>
      <c r="B372" s="3" cm="1">
        <f t="array" ref="B372">alea_date(Settings!$B$11,360,Settings!$B$8+alea_int(4,0,Settings!$B$16),Settings!$B$16)</f>
        <v>46079.375</v>
      </c>
      <c r="C372" s="3" cm="1">
        <f t="array" ref="C372">B372+TIME(alea_int(5,1,Settings!$B$16),0,0)</f>
        <v>46079.583333333336</v>
      </c>
      <c r="D372" s="3" t="str" cm="1">
        <f t="array" ref="D372">choice(Settings!K:K,1,Settings!$B$16)</f>
        <v/>
      </c>
    </row>
    <row r="373" spans="1:4" x14ac:dyDescent="0.25">
      <c r="A373" s="2" t="str" cm="1">
        <f t="array" ref="A373">choice(Professeurs!A:A,1,Settings!$B$16)</f>
        <v>Prof26</v>
      </c>
      <c r="B373" s="3" cm="1">
        <f t="array" ref="B373">alea_date(Settings!$B$11,360,Settings!$B$8+alea_int(4,0,Settings!$B$16),Settings!$B$16)</f>
        <v>46191.333333333336</v>
      </c>
      <c r="C373" s="3" cm="1">
        <f t="array" ref="C373">B373+TIME(alea_int(5,1,Settings!$B$16),0,0)</f>
        <v>46191.416666666672</v>
      </c>
      <c r="D373" s="3" t="str" cm="1">
        <f t="array" ref="D373">choice(Settings!K:K,1,Settings!$B$16)</f>
        <v/>
      </c>
    </row>
    <row r="374" spans="1:4" x14ac:dyDescent="0.25">
      <c r="A374" s="2" t="str" cm="1">
        <f t="array" ref="A374">choice(Professeurs!A:A,1,Settings!$B$16)</f>
        <v>Prof13</v>
      </c>
      <c r="B374" s="3" cm="1">
        <f t="array" ref="B374">alea_date(Settings!$B$11,360,Settings!$B$8+alea_int(4,0,Settings!$B$16),Settings!$B$16)</f>
        <v>46047.333333333336</v>
      </c>
      <c r="C374" s="3" cm="1">
        <f t="array" ref="C374">B374+TIME(alea_int(5,1,Settings!$B$16),0,0)</f>
        <v>46047.375</v>
      </c>
      <c r="D374" s="3" t="str" cm="1">
        <f t="array" ref="D374">choice(Settings!K:K,1,Settings!$B$16)</f>
        <v/>
      </c>
    </row>
    <row r="375" spans="1:4" x14ac:dyDescent="0.25">
      <c r="A375" s="2" t="str" cm="1">
        <f t="array" ref="A375">choice(Professeurs!A:A,1,Settings!$B$16)</f>
        <v>Prof15</v>
      </c>
      <c r="B375" s="3" cm="1">
        <f t="array" ref="B375">alea_date(Settings!$B$11,360,Settings!$B$8+alea_int(4,0,Settings!$B$16),Settings!$B$16)</f>
        <v>46269.375</v>
      </c>
      <c r="C375" s="3" cm="1">
        <f t="array" ref="C375">B375+TIME(alea_int(5,1,Settings!$B$16),0,0)</f>
        <v>46269.416666666664</v>
      </c>
      <c r="D375" s="3" t="str" cm="1">
        <f t="array" ref="D375">choice(Settings!K:K,1,Settings!$B$16)</f>
        <v/>
      </c>
    </row>
    <row r="376" spans="1:4" x14ac:dyDescent="0.25">
      <c r="A376" s="2" t="str" cm="1">
        <f t="array" ref="A376">choice(Professeurs!A:A,1,Settings!$B$16)</f>
        <v>Prof20</v>
      </c>
      <c r="B376" s="3" cm="1">
        <f t="array" ref="B376">alea_date(Settings!$B$11,360,Settings!$B$8+alea_int(4,0,Settings!$B$16),Settings!$B$16)</f>
        <v>46092.458333333336</v>
      </c>
      <c r="C376" s="3" cm="1">
        <f t="array" ref="C376">B376+TIME(alea_int(5,1,Settings!$B$16),0,0)</f>
        <v>46092.5</v>
      </c>
      <c r="D376" s="3" t="str" cm="1">
        <f t="array" ref="D376">choice(Settings!K:K,1,Settings!$B$16)</f>
        <v>semaine</v>
      </c>
    </row>
    <row r="377" spans="1:4" x14ac:dyDescent="0.25">
      <c r="A377" s="2" t="str" cm="1">
        <f t="array" ref="A377">choice(Professeurs!A:A,1,Settings!$B$16)</f>
        <v>Prof31</v>
      </c>
      <c r="B377" s="3" cm="1">
        <f t="array" ref="B377">alea_date(Settings!$B$11,360,Settings!$B$8+alea_int(4,0,Settings!$B$16),Settings!$B$16)</f>
        <v>46192.458333333336</v>
      </c>
      <c r="C377" s="3" cm="1">
        <f t="array" ref="C377">B377+TIME(alea_int(5,1,Settings!$B$16),0,0)</f>
        <v>46192.625</v>
      </c>
      <c r="D377" s="3" t="str" cm="1">
        <f t="array" ref="D377">choice(Settings!K:K,1,Settings!$B$16)</f>
        <v/>
      </c>
    </row>
    <row r="378" spans="1:4" x14ac:dyDescent="0.25">
      <c r="A378" s="2" t="str" cm="1">
        <f t="array" ref="A378">choice(Professeurs!A:A,1,Settings!$B$16)</f>
        <v>Prof25</v>
      </c>
      <c r="B378" s="3" cm="1">
        <f t="array" ref="B378">alea_date(Settings!$B$11,360,Settings!$B$8+alea_int(4,0,Settings!$B$16),Settings!$B$16)</f>
        <v>46269.333333333336</v>
      </c>
      <c r="C378" s="3" cm="1">
        <f t="array" ref="C378">B378+TIME(alea_int(5,1,Settings!$B$16),0,0)</f>
        <v>46269.5</v>
      </c>
      <c r="D378" s="3" t="str" cm="1">
        <f t="array" ref="D378">choice(Settings!K:K,1,Settings!$B$16)</f>
        <v/>
      </c>
    </row>
    <row r="379" spans="1:4" x14ac:dyDescent="0.25">
      <c r="A379" s="2" t="str" cm="1">
        <f t="array" ref="A379">choice(Professeurs!A:A,1,Settings!$B$16)</f>
        <v>Prof9</v>
      </c>
      <c r="B379" s="3" cm="1">
        <f t="array" ref="B379">alea_date(Settings!$B$11,360,Settings!$B$8+alea_int(4,0,Settings!$B$16),Settings!$B$16)</f>
        <v>46166.416666666664</v>
      </c>
      <c r="C379" s="3" cm="1">
        <f t="array" ref="C379">B379+TIME(alea_int(5,1,Settings!$B$16),0,0)</f>
        <v>46166.583333333328</v>
      </c>
      <c r="D379" s="3" t="str" cm="1">
        <f t="array" ref="D379">choice(Settings!K:K,1,Settings!$B$16)</f>
        <v>lundi pm</v>
      </c>
    </row>
    <row r="380" spans="1:4" x14ac:dyDescent="0.25">
      <c r="A380" s="2" t="str" cm="1">
        <f t="array" ref="A380">choice(Professeurs!A:A,1,Settings!$B$16)</f>
        <v>Prof25</v>
      </c>
      <c r="B380" s="3" cm="1">
        <f t="array" ref="B380">alea_date(Settings!$B$11,360,Settings!$B$8+alea_int(4,0,Settings!$B$16),Settings!$B$16)</f>
        <v>46121.416666666664</v>
      </c>
      <c r="C380" s="3" cm="1">
        <f t="array" ref="C380">B380+TIME(alea_int(5,1,Settings!$B$16),0,0)</f>
        <v>46121.625</v>
      </c>
      <c r="D380" s="3" t="str" cm="1">
        <f t="array" ref="D380">choice(Settings!K:K,1,Settings!$B$16)</f>
        <v/>
      </c>
    </row>
    <row r="381" spans="1:4" x14ac:dyDescent="0.25">
      <c r="A381" s="2" t="str" cm="1">
        <f t="array" ref="A381">choice(Professeurs!A:A,1,Settings!$B$16)</f>
        <v>Prof55</v>
      </c>
      <c r="B381" s="3" cm="1">
        <f t="array" ref="B381">alea_date(Settings!$B$11,360,Settings!$B$8+alea_int(4,0,Settings!$B$16),Settings!$B$16)</f>
        <v>46263.416666666664</v>
      </c>
      <c r="C381" s="3" cm="1">
        <f t="array" ref="C381">B381+TIME(alea_int(5,1,Settings!$B$16),0,0)</f>
        <v>46263.458333333328</v>
      </c>
      <c r="D381" s="3" t="str" cm="1">
        <f t="array" ref="D381">choice(Settings!K:K,1,Settings!$B$16)</f>
        <v/>
      </c>
    </row>
    <row r="382" spans="1:4" x14ac:dyDescent="0.25">
      <c r="A382" s="2" t="str" cm="1">
        <f t="array" ref="A382">choice(Professeurs!A:A,1,Settings!$B$16)</f>
        <v>Prof2</v>
      </c>
      <c r="B382" s="3" cm="1">
        <f t="array" ref="B382">alea_date(Settings!$B$11,360,Settings!$B$8+alea_int(4,0,Settings!$B$16),Settings!$B$16)</f>
        <v>46260.333333333336</v>
      </c>
      <c r="C382" s="3" cm="1">
        <f t="array" ref="C382">B382+TIME(alea_int(5,1,Settings!$B$16),0,0)</f>
        <v>46260.541666666672</v>
      </c>
      <c r="D382" s="3" t="str" cm="1">
        <f t="array" ref="D382">choice(Settings!K:K,1,Settings!$B$16)</f>
        <v/>
      </c>
    </row>
    <row r="383" spans="1:4" x14ac:dyDescent="0.25">
      <c r="A383" s="2" t="str" cm="1">
        <f t="array" ref="A383">choice(Professeurs!A:A,1,Settings!$B$16)</f>
        <v>Prof50</v>
      </c>
      <c r="B383" s="3" cm="1">
        <f t="array" ref="B383">alea_date(Settings!$B$11,360,Settings!$B$8+alea_int(4,0,Settings!$B$16),Settings!$B$16)</f>
        <v>46096.416666666664</v>
      </c>
      <c r="C383" s="3" cm="1">
        <f t="array" ref="C383">B383+TIME(alea_int(5,1,Settings!$B$16),0,0)</f>
        <v>46096.5</v>
      </c>
      <c r="D383" s="3" t="str" cm="1">
        <f t="array" ref="D383">choice(Settings!K:K,1,Settings!$B$16)</f>
        <v/>
      </c>
    </row>
    <row r="384" spans="1:4" x14ac:dyDescent="0.25">
      <c r="A384" s="2" t="str" cm="1">
        <f t="array" ref="A384">choice(Professeurs!A:A,1,Settings!$B$16)</f>
        <v>Prof47</v>
      </c>
      <c r="B384" s="3" cm="1">
        <f t="array" ref="B384">alea_date(Settings!$B$11,360,Settings!$B$8+alea_int(4,0,Settings!$B$16),Settings!$B$16)</f>
        <v>46219.375</v>
      </c>
      <c r="C384" s="3" cm="1">
        <f t="array" ref="C384">B384+TIME(alea_int(5,1,Settings!$B$16),0,0)</f>
        <v>46219.416666666664</v>
      </c>
      <c r="D384" s="3" t="str" cm="1">
        <f t="array" ref="D384">choice(Settings!K:K,1,Settings!$B$16)</f>
        <v>jeudi pm</v>
      </c>
    </row>
    <row r="385" spans="1:4" x14ac:dyDescent="0.25">
      <c r="A385" s="2" t="str" cm="1">
        <f t="array" ref="A385">choice(Professeurs!A:A,1,Settings!$B$16)</f>
        <v>Prof48</v>
      </c>
      <c r="B385" s="3" cm="1">
        <f t="array" ref="B385">alea_date(Settings!$B$11,360,Settings!$B$8+alea_int(4,0,Settings!$B$16),Settings!$B$16)</f>
        <v>46289.375</v>
      </c>
      <c r="C385" s="3" cm="1">
        <f t="array" ref="C385">B385+TIME(alea_int(5,1,Settings!$B$16),0,0)</f>
        <v>46289.5</v>
      </c>
      <c r="D385" s="3" t="str" cm="1">
        <f t="array" ref="D385">choice(Settings!K:K,1,Settings!$B$16)</f>
        <v/>
      </c>
    </row>
    <row r="386" spans="1:4" x14ac:dyDescent="0.25">
      <c r="A386" s="2" t="str" cm="1">
        <f t="array" ref="A386">choice(Professeurs!A:A,1,Settings!$B$16)</f>
        <v>Prof12</v>
      </c>
      <c r="B386" s="3" cm="1">
        <f t="array" ref="B386">alea_date(Settings!$B$11,360,Settings!$B$8+alea_int(4,0,Settings!$B$16),Settings!$B$16)</f>
        <v>46348.416666666664</v>
      </c>
      <c r="C386" s="3" cm="1">
        <f t="array" ref="C386">B386+TIME(alea_int(5,1,Settings!$B$16),0,0)</f>
        <v>46348.541666666664</v>
      </c>
      <c r="D386" s="3" t="str" cm="1">
        <f t="array" ref="D386">choice(Settings!K:K,1,Settings!$B$16)</f>
        <v/>
      </c>
    </row>
    <row r="387" spans="1:4" x14ac:dyDescent="0.25">
      <c r="A387" s="2" t="str" cm="1">
        <f t="array" ref="A387">choice(Professeurs!A:A,1,Settings!$B$16)</f>
        <v>Prof24</v>
      </c>
      <c r="B387" s="3" cm="1">
        <f t="array" ref="B387">alea_date(Settings!$B$11,360,Settings!$B$8+alea_int(4,0,Settings!$B$16),Settings!$B$16)</f>
        <v>46184.458333333336</v>
      </c>
      <c r="C387" s="3" cm="1">
        <f t="array" ref="C387">B387+TIME(alea_int(5,1,Settings!$B$16),0,0)</f>
        <v>46184.583333333336</v>
      </c>
      <c r="D387" s="3" t="str" cm="1">
        <f t="array" ref="D387">choice(Settings!K:K,1,Settings!$B$16)</f>
        <v/>
      </c>
    </row>
    <row r="388" spans="1:4" x14ac:dyDescent="0.25">
      <c r="A388" s="2" t="str" cm="1">
        <f t="array" ref="A388">choice(Professeurs!A:A,1,Settings!$B$16)</f>
        <v>Prof31</v>
      </c>
      <c r="B388" s="3" cm="1">
        <f t="array" ref="B388">alea_date(Settings!$B$11,360,Settings!$B$8+alea_int(4,0,Settings!$B$16),Settings!$B$16)</f>
        <v>46067.333333333336</v>
      </c>
      <c r="C388" s="3" cm="1">
        <f t="array" ref="C388">B388+TIME(alea_int(5,1,Settings!$B$16),0,0)</f>
        <v>46067.375</v>
      </c>
      <c r="D388" s="3" t="str" cm="1">
        <f t="array" ref="D388">choice(Settings!K:K,1,Settings!$B$16)</f>
        <v/>
      </c>
    </row>
    <row r="389" spans="1:4" x14ac:dyDescent="0.25">
      <c r="A389" s="2" t="str" cm="1">
        <f t="array" ref="A389">choice(Professeurs!A:A,1,Settings!$B$16)</f>
        <v>Prof10</v>
      </c>
      <c r="B389" s="3" cm="1">
        <f t="array" ref="B389">alea_date(Settings!$B$11,360,Settings!$B$8+alea_int(4,0,Settings!$B$16),Settings!$B$16)</f>
        <v>46064.375</v>
      </c>
      <c r="C389" s="3" cm="1">
        <f t="array" ref="C389">B389+TIME(alea_int(5,1,Settings!$B$16),0,0)</f>
        <v>46064.5</v>
      </c>
      <c r="D389" s="3" t="str" cm="1">
        <f t="array" ref="D389">choice(Settings!K:K,1,Settings!$B$16)</f>
        <v/>
      </c>
    </row>
    <row r="390" spans="1:4" x14ac:dyDescent="0.25">
      <c r="A390" s="2" t="str" cm="1">
        <f t="array" ref="A390">choice(Professeurs!A:A,1,Settings!$B$16)</f>
        <v>Prof45</v>
      </c>
      <c r="B390" s="3" cm="1">
        <f t="array" ref="B390">alea_date(Settings!$B$11,360,Settings!$B$8+alea_int(4,0,Settings!$B$16),Settings!$B$16)</f>
        <v>46116.416666666664</v>
      </c>
      <c r="C390" s="3" cm="1">
        <f t="array" ref="C390">B390+TIME(alea_int(5,1,Settings!$B$16),0,0)</f>
        <v>46116.541666666664</v>
      </c>
      <c r="D390" s="3" t="str" cm="1">
        <f t="array" ref="D390">choice(Settings!K:K,1,Settings!$B$16)</f>
        <v/>
      </c>
    </row>
    <row r="391" spans="1:4" x14ac:dyDescent="0.25">
      <c r="A391" s="2" t="str" cm="1">
        <f t="array" ref="A391">choice(Professeurs!A:A,1,Settings!$B$16)</f>
        <v>Prof26</v>
      </c>
      <c r="B391" s="3" cm="1">
        <f t="array" ref="B391">alea_date(Settings!$B$11,360,Settings!$B$8+alea_int(4,0,Settings!$B$16),Settings!$B$16)</f>
        <v>46088.458333333336</v>
      </c>
      <c r="C391" s="3" cm="1">
        <f t="array" ref="C391">B391+TIME(alea_int(5,1,Settings!$B$16),0,0)</f>
        <v>46088.625</v>
      </c>
      <c r="D391" s="3" t="str" cm="1">
        <f t="array" ref="D391">choice(Settings!K:K,1,Settings!$B$16)</f>
        <v/>
      </c>
    </row>
    <row r="392" spans="1:4" x14ac:dyDescent="0.25">
      <c r="A392" s="2" t="str" cm="1">
        <f t="array" ref="A392">choice(Professeurs!A:A,1,Settings!$B$16)</f>
        <v>Prof52</v>
      </c>
      <c r="B392" s="3" cm="1">
        <f t="array" ref="B392">alea_date(Settings!$B$11,360,Settings!$B$8+alea_int(4,0,Settings!$B$16),Settings!$B$16)</f>
        <v>46371.458333333336</v>
      </c>
      <c r="C392" s="3" cm="1">
        <f t="array" ref="C392">B392+TIME(alea_int(5,1,Settings!$B$16),0,0)</f>
        <v>46371.541666666672</v>
      </c>
      <c r="D392" s="3" t="str" cm="1">
        <f t="array" ref="D392">choice(Settings!K:K,1,Settings!$B$16)</f>
        <v/>
      </c>
    </row>
    <row r="393" spans="1:4" x14ac:dyDescent="0.25">
      <c r="A393" s="2" t="str" cm="1">
        <f t="array" ref="A393">choice(Professeurs!A:A,1,Settings!$B$16)</f>
        <v>Prof38</v>
      </c>
      <c r="B393" s="3" cm="1">
        <f t="array" ref="B393">alea_date(Settings!$B$11,360,Settings!$B$8+alea_int(4,0,Settings!$B$16),Settings!$B$16)</f>
        <v>46092.375</v>
      </c>
      <c r="C393" s="3" cm="1">
        <f t="array" ref="C393">B393+TIME(alea_int(5,1,Settings!$B$16),0,0)</f>
        <v>46092.5</v>
      </c>
      <c r="D393" s="3" t="str" cm="1">
        <f t="array" ref="D393">choice(Settings!K:K,1,Settings!$B$16)</f>
        <v/>
      </c>
    </row>
    <row r="394" spans="1:4" x14ac:dyDescent="0.25">
      <c r="A394" s="2" t="str" cm="1">
        <f t="array" ref="A394">choice(Professeurs!A:A,1,Settings!$B$16)</f>
        <v>Prof4</v>
      </c>
      <c r="B394" s="3" cm="1">
        <f t="array" ref="B394">alea_date(Settings!$B$11,360,Settings!$B$8+alea_int(4,0,Settings!$B$16),Settings!$B$16)</f>
        <v>46331.416666666664</v>
      </c>
      <c r="C394" s="3" cm="1">
        <f t="array" ref="C394">B394+TIME(alea_int(5,1,Settings!$B$16),0,0)</f>
        <v>46331.541666666664</v>
      </c>
      <c r="D394" s="3" t="str" cm="1">
        <f t="array" ref="D394">choice(Settings!K:K,1,Settings!$B$16)</f>
        <v>vendredi am</v>
      </c>
    </row>
    <row r="395" spans="1:4" x14ac:dyDescent="0.25">
      <c r="A395" s="2" t="str" cm="1">
        <f t="array" ref="A395">choice(Professeurs!A:A,1,Settings!$B$16)</f>
        <v>Prof44</v>
      </c>
      <c r="B395" s="3" cm="1">
        <f t="array" ref="B395">alea_date(Settings!$B$11,360,Settings!$B$8+alea_int(4,0,Settings!$B$16),Settings!$B$16)</f>
        <v>46254.458333333336</v>
      </c>
      <c r="C395" s="3" cm="1">
        <f t="array" ref="C395">B395+TIME(alea_int(5,1,Settings!$B$16),0,0)</f>
        <v>46254.666666666672</v>
      </c>
      <c r="D395" s="3" t="str" cm="1">
        <f t="array" ref="D395">choice(Settings!K:K,1,Settings!$B$16)</f>
        <v/>
      </c>
    </row>
    <row r="396" spans="1:4" x14ac:dyDescent="0.25">
      <c r="A396" s="2" t="str" cm="1">
        <f t="array" ref="A396">choice(Professeurs!A:A,1,Settings!$B$16)</f>
        <v>Prof11</v>
      </c>
      <c r="B396" s="3" cm="1">
        <f t="array" ref="B396">alea_date(Settings!$B$11,360,Settings!$B$8+alea_int(4,0,Settings!$B$16),Settings!$B$16)</f>
        <v>46125.333333333336</v>
      </c>
      <c r="C396" s="3" cm="1">
        <f t="array" ref="C396">B396+TIME(alea_int(5,1,Settings!$B$16),0,0)</f>
        <v>46125.541666666672</v>
      </c>
      <c r="D396" s="3" t="str" cm="1">
        <f t="array" ref="D396">choice(Settings!K:K,1,Settings!$B$16)</f>
        <v>mardi pm</v>
      </c>
    </row>
    <row r="397" spans="1:4" x14ac:dyDescent="0.25">
      <c r="A397" s="2" t="str" cm="1">
        <f t="array" ref="A397">choice(Professeurs!A:A,1,Settings!$B$16)</f>
        <v>Prof25</v>
      </c>
      <c r="B397" s="3" cm="1">
        <f t="array" ref="B397">alea_date(Settings!$B$11,360,Settings!$B$8+alea_int(4,0,Settings!$B$16),Settings!$B$16)</f>
        <v>46353.416666666664</v>
      </c>
      <c r="C397" s="3" cm="1">
        <f t="array" ref="C397">B397+TIME(alea_int(5,1,Settings!$B$16),0,0)</f>
        <v>46353.5</v>
      </c>
      <c r="D397" s="3" t="str" cm="1">
        <f t="array" ref="D397">choice(Settings!K:K,1,Settings!$B$16)</f>
        <v>vendredi am</v>
      </c>
    </row>
    <row r="398" spans="1:4" x14ac:dyDescent="0.25">
      <c r="A398" s="2" t="str" cm="1">
        <f t="array" ref="A398">choice(Professeurs!A:A,1,Settings!$B$16)</f>
        <v>Prof52</v>
      </c>
      <c r="B398" s="3" cm="1">
        <f t="array" ref="B398">alea_date(Settings!$B$11,360,Settings!$B$8+alea_int(4,0,Settings!$B$16),Settings!$B$16)</f>
        <v>46371.416666666664</v>
      </c>
      <c r="C398" s="3" cm="1">
        <f t="array" ref="C398">B398+TIME(alea_int(5,1,Settings!$B$16),0,0)</f>
        <v>46371.583333333328</v>
      </c>
      <c r="D398" s="3" t="str" cm="1">
        <f t="array" ref="D398">choice(Settings!K:K,1,Settings!$B$16)</f>
        <v/>
      </c>
    </row>
    <row r="399" spans="1:4" x14ac:dyDescent="0.25">
      <c r="A399" s="2" t="str" cm="1">
        <f t="array" ref="A399">choice(Professeurs!A:A,1,Settings!$B$16)</f>
        <v>Prof42</v>
      </c>
      <c r="B399" s="3" cm="1">
        <f t="array" ref="B399">alea_date(Settings!$B$11,360,Settings!$B$8+alea_int(4,0,Settings!$B$16),Settings!$B$16)</f>
        <v>46120.416666666664</v>
      </c>
      <c r="C399" s="3" cm="1">
        <f t="array" ref="C399">B399+TIME(alea_int(5,1,Settings!$B$16),0,0)</f>
        <v>46120.541666666664</v>
      </c>
      <c r="D399" s="3" t="str" cm="1">
        <f t="array" ref="D399">choice(Settings!K:K,1,Settings!$B$16)</f>
        <v/>
      </c>
    </row>
    <row r="400" spans="1:4" x14ac:dyDescent="0.25">
      <c r="A400" s="2" t="str" cm="1">
        <f t="array" ref="A400">choice(Professeurs!A:A,1,Settings!$B$16)</f>
        <v>Prof13</v>
      </c>
      <c r="B400" s="3" cm="1">
        <f t="array" ref="B400">alea_date(Settings!$B$11,360,Settings!$B$8+alea_int(4,0,Settings!$B$16),Settings!$B$16)</f>
        <v>46141.333333333336</v>
      </c>
      <c r="C400" s="3" cm="1">
        <f t="array" ref="C400">B400+TIME(alea_int(5,1,Settings!$B$16),0,0)</f>
        <v>46141.375</v>
      </c>
      <c r="D400" s="3" t="str" cm="1">
        <f t="array" ref="D400">choice(Settings!K:K,1,Settings!$B$16)</f>
        <v>mercredi ap</v>
      </c>
    </row>
    <row r="401" spans="1:4" x14ac:dyDescent="0.25">
      <c r="A401" s="2" t="str" cm="1">
        <f t="array" ref="A401">choice(Professeurs!A:A,1,Settings!$B$16)</f>
        <v>Prof14</v>
      </c>
      <c r="B401" s="3" cm="1">
        <f t="array" ref="B401">alea_date(Settings!$B$11,360,Settings!$B$8+alea_int(4,0,Settings!$B$16),Settings!$B$16)</f>
        <v>46273.416666666664</v>
      </c>
      <c r="C401" s="3" cm="1">
        <f t="array" ref="C401">B401+TIME(alea_int(5,1,Settings!$B$16),0,0)</f>
        <v>46273.625</v>
      </c>
      <c r="D401" s="3" t="str" cm="1">
        <f t="array" ref="D401">choice(Settings!K:K,1,Settings!$B$16)</f>
        <v/>
      </c>
    </row>
    <row r="402" spans="1:4" x14ac:dyDescent="0.25">
      <c r="A402" s="2" t="str" cm="1">
        <f t="array" ref="A402">choice(Professeurs!A:A,1,Settings!$B$16)</f>
        <v>Prof1</v>
      </c>
      <c r="B402" s="3" cm="1">
        <f t="array" ref="B402">alea_date(Settings!$B$11,360,Settings!$B$8+alea_int(4,0,Settings!$B$16),Settings!$B$16)</f>
        <v>46026.333333333336</v>
      </c>
      <c r="C402" s="3" cm="1">
        <f t="array" ref="C402">B402+TIME(alea_int(5,1,Settings!$B$16),0,0)</f>
        <v>46026.541666666672</v>
      </c>
      <c r="D402" s="3" t="str" cm="1">
        <f t="array" ref="D402">choice(Settings!K:K,1,Settings!$B$16)</f>
        <v/>
      </c>
    </row>
    <row r="403" spans="1:4" x14ac:dyDescent="0.25">
      <c r="A403" s="2" t="str" cm="1">
        <f t="array" ref="A403">choice(Professeurs!A:A,1,Settings!$B$16)</f>
        <v>Prof21</v>
      </c>
      <c r="B403" s="3" cm="1">
        <f t="array" ref="B403">alea_date(Settings!$B$11,360,Settings!$B$8+alea_int(4,0,Settings!$B$16),Settings!$B$16)</f>
        <v>46315.333333333336</v>
      </c>
      <c r="C403" s="3" cm="1">
        <f t="array" ref="C403">B403+TIME(alea_int(5,1,Settings!$B$16),0,0)</f>
        <v>46315.5</v>
      </c>
      <c r="D403" s="3" t="str" cm="1">
        <f t="array" ref="D403">choice(Settings!K:K,1,Settings!$B$16)</f>
        <v>lundi pm</v>
      </c>
    </row>
    <row r="404" spans="1:4" x14ac:dyDescent="0.25">
      <c r="A404" s="2" t="str" cm="1">
        <f t="array" ref="A404">choice(Professeurs!A:A,1,Settings!$B$16)</f>
        <v>Prof46</v>
      </c>
      <c r="B404" s="3" cm="1">
        <f t="array" ref="B404">alea_date(Settings!$B$11,360,Settings!$B$8+alea_int(4,0,Settings!$B$16),Settings!$B$16)</f>
        <v>46154.458333333336</v>
      </c>
      <c r="C404" s="3" cm="1">
        <f t="array" ref="C404">B404+TIME(alea_int(5,1,Settings!$B$16),0,0)</f>
        <v>46154.5</v>
      </c>
      <c r="D404" s="3" t="str" cm="1">
        <f t="array" ref="D404">choice(Settings!K:K,1,Settings!$B$16)</f>
        <v/>
      </c>
    </row>
    <row r="405" spans="1:4" x14ac:dyDescent="0.25">
      <c r="A405" s="2" t="str" cm="1">
        <f t="array" ref="A405">choice(Professeurs!A:A,1,Settings!$B$16)</f>
        <v>Prof44</v>
      </c>
      <c r="B405" s="3" cm="1">
        <f t="array" ref="B405">alea_date(Settings!$B$11,360,Settings!$B$8+alea_int(4,0,Settings!$B$16),Settings!$B$16)</f>
        <v>46291.333333333336</v>
      </c>
      <c r="C405" s="3" cm="1">
        <f t="array" ref="C405">B405+TIME(alea_int(5,1,Settings!$B$16),0,0)</f>
        <v>46291.541666666672</v>
      </c>
      <c r="D405" s="3" t="str" cm="1">
        <f t="array" ref="D405">choice(Settings!K:K,1,Settings!$B$16)</f>
        <v>lundi pm</v>
      </c>
    </row>
    <row r="406" spans="1:4" x14ac:dyDescent="0.25">
      <c r="A406" s="2" t="str" cm="1">
        <f t="array" ref="A406">choice(Professeurs!A:A,1,Settings!$B$16)</f>
        <v>Prof33</v>
      </c>
      <c r="B406" s="3" cm="1">
        <f t="array" ref="B406">alea_date(Settings!$B$11,360,Settings!$B$8+alea_int(4,0,Settings!$B$16),Settings!$B$16)</f>
        <v>46296.333333333336</v>
      </c>
      <c r="C406" s="3" cm="1">
        <f t="array" ref="C406">B406+TIME(alea_int(5,1,Settings!$B$16),0,0)</f>
        <v>46296.375</v>
      </c>
      <c r="D406" s="3" t="str" cm="1">
        <f t="array" ref="D406">choice(Settings!K:K,1,Settings!$B$16)</f>
        <v/>
      </c>
    </row>
    <row r="407" spans="1:4" x14ac:dyDescent="0.25">
      <c r="A407" s="2" t="str" cm="1">
        <f t="array" ref="A407">choice(Professeurs!A:A,1,Settings!$B$16)</f>
        <v>Prof27</v>
      </c>
      <c r="B407" s="3" cm="1">
        <f t="array" ref="B407">alea_date(Settings!$B$11,360,Settings!$B$8+alea_int(4,0,Settings!$B$16),Settings!$B$16)</f>
        <v>46205.416666666664</v>
      </c>
      <c r="C407" s="3" cm="1">
        <f t="array" ref="C407">B407+TIME(alea_int(5,1,Settings!$B$16),0,0)</f>
        <v>46205.583333333328</v>
      </c>
      <c r="D407" s="3" t="str" cm="1">
        <f t="array" ref="D407">choice(Settings!K:K,1,Settings!$B$16)</f>
        <v/>
      </c>
    </row>
    <row r="408" spans="1:4" x14ac:dyDescent="0.25">
      <c r="A408" s="2" t="str" cm="1">
        <f t="array" ref="A408">choice(Professeurs!A:A,1,Settings!$B$16)</f>
        <v>Prof40</v>
      </c>
      <c r="B408" s="3" cm="1">
        <f t="array" ref="B408">alea_date(Settings!$B$11,360,Settings!$B$8+alea_int(4,0,Settings!$B$16),Settings!$B$16)</f>
        <v>46064.333333333336</v>
      </c>
      <c r="C408" s="3" cm="1">
        <f t="array" ref="C408">B408+TIME(alea_int(5,1,Settings!$B$16),0,0)</f>
        <v>46064.458333333336</v>
      </c>
      <c r="D408" s="3" t="str" cm="1">
        <f t="array" ref="D408">choice(Settings!K:K,1,Settings!$B$16)</f>
        <v/>
      </c>
    </row>
    <row r="409" spans="1:4" x14ac:dyDescent="0.25">
      <c r="A409" s="2" t="str" cm="1">
        <f t="array" ref="A409">choice(Professeurs!A:A,1,Settings!$B$16)</f>
        <v>Prof44</v>
      </c>
      <c r="B409" s="3" cm="1">
        <f t="array" ref="B409">alea_date(Settings!$B$11,360,Settings!$B$8+alea_int(4,0,Settings!$B$16),Settings!$B$16)</f>
        <v>46232.333333333336</v>
      </c>
      <c r="C409" s="3" cm="1">
        <f t="array" ref="C409">B409+TIME(alea_int(5,1,Settings!$B$16),0,0)</f>
        <v>46232.5</v>
      </c>
      <c r="D409" s="3" t="str" cm="1">
        <f t="array" ref="D409">choice(Settings!K:K,1,Settings!$B$16)</f>
        <v/>
      </c>
    </row>
    <row r="410" spans="1:4" x14ac:dyDescent="0.25">
      <c r="A410" s="2" t="str" cm="1">
        <f t="array" ref="A410">choice(Professeurs!A:A,1,Settings!$B$16)</f>
        <v>Prof44</v>
      </c>
      <c r="B410" s="3" cm="1">
        <f t="array" ref="B410">alea_date(Settings!$B$11,360,Settings!$B$8+alea_int(4,0,Settings!$B$16),Settings!$B$16)</f>
        <v>46129.416666666664</v>
      </c>
      <c r="C410" s="3" cm="1">
        <f t="array" ref="C410">B410+TIME(alea_int(5,1,Settings!$B$16),0,0)</f>
        <v>46129.583333333328</v>
      </c>
      <c r="D410" s="3" t="str" cm="1">
        <f t="array" ref="D410">choice(Settings!K:K,1,Settings!$B$16)</f>
        <v/>
      </c>
    </row>
    <row r="411" spans="1:4" x14ac:dyDescent="0.25">
      <c r="A411" s="2" t="str" cm="1">
        <f t="array" ref="A411">choice(Professeurs!A:A,1,Settings!$B$16)</f>
        <v>Prof1</v>
      </c>
      <c r="B411" s="3" cm="1">
        <f t="array" ref="B411">alea_date(Settings!$B$11,360,Settings!$B$8+alea_int(4,0,Settings!$B$16),Settings!$B$16)</f>
        <v>46260.375</v>
      </c>
      <c r="C411" s="3" cm="1">
        <f t="array" ref="C411">B411+TIME(alea_int(5,1,Settings!$B$16),0,0)</f>
        <v>46260.583333333336</v>
      </c>
      <c r="D411" s="3" t="str" cm="1">
        <f t="array" ref="D411">choice(Settings!K:K,1,Settings!$B$16)</f>
        <v>lundi pm</v>
      </c>
    </row>
    <row r="412" spans="1:4" x14ac:dyDescent="0.25">
      <c r="A412" s="2" t="str" cm="1">
        <f t="array" ref="A412">choice(Professeurs!A:A,1,Settings!$B$16)</f>
        <v>Prof48</v>
      </c>
      <c r="B412" s="3" cm="1">
        <f t="array" ref="B412">alea_date(Settings!$B$11,360,Settings!$B$8+alea_int(4,0,Settings!$B$16),Settings!$B$16)</f>
        <v>46129.458333333336</v>
      </c>
      <c r="C412" s="3" cm="1">
        <f t="array" ref="C412">B412+TIME(alea_int(5,1,Settings!$B$16),0,0)</f>
        <v>46129.666666666672</v>
      </c>
      <c r="D412" s="3" t="str" cm="1">
        <f t="array" ref="D412">choice(Settings!K:K,1,Settings!$B$16)</f>
        <v/>
      </c>
    </row>
    <row r="413" spans="1:4" x14ac:dyDescent="0.25">
      <c r="A413" s="2" t="str" cm="1">
        <f t="array" ref="A413">choice(Professeurs!A:A,1,Settings!$B$16)</f>
        <v>Prof2</v>
      </c>
      <c r="B413" s="3" cm="1">
        <f t="array" ref="B413">alea_date(Settings!$B$11,360,Settings!$B$8+alea_int(4,0,Settings!$B$16),Settings!$B$16)</f>
        <v>46301.375</v>
      </c>
      <c r="C413" s="3" cm="1">
        <f t="array" ref="C413">B413+TIME(alea_int(5,1,Settings!$B$16),0,0)</f>
        <v>46301.458333333336</v>
      </c>
      <c r="D413" s="3" t="str" cm="1">
        <f t="array" ref="D413">choice(Settings!K:K,1,Settings!$B$16)</f>
        <v/>
      </c>
    </row>
    <row r="414" spans="1:4" x14ac:dyDescent="0.25">
      <c r="A414" s="2" t="str" cm="1">
        <f t="array" ref="A414">choice(Professeurs!A:A,1,Settings!$B$16)</f>
        <v>Prof35</v>
      </c>
      <c r="B414" s="3" cm="1">
        <f t="array" ref="B414">alea_date(Settings!$B$11,360,Settings!$B$8+alea_int(4,0,Settings!$B$16),Settings!$B$16)</f>
        <v>46120.458333333336</v>
      </c>
      <c r="C414" s="3" cm="1">
        <f t="array" ref="C414">B414+TIME(alea_int(5,1,Settings!$B$16),0,0)</f>
        <v>46120.666666666672</v>
      </c>
      <c r="D414" s="3" t="str" cm="1">
        <f t="array" ref="D414">choice(Settings!K:K,1,Settings!$B$16)</f>
        <v/>
      </c>
    </row>
    <row r="415" spans="1:4" x14ac:dyDescent="0.25">
      <c r="A415" s="2" t="str" cm="1">
        <f t="array" ref="A415">choice(Professeurs!A:A,1,Settings!$B$16)</f>
        <v>Prof14</v>
      </c>
      <c r="B415" s="3" cm="1">
        <f t="array" ref="B415">alea_date(Settings!$B$11,360,Settings!$B$8+alea_int(4,0,Settings!$B$16),Settings!$B$16)</f>
        <v>46227.375</v>
      </c>
      <c r="C415" s="3" cm="1">
        <f t="array" ref="C415">B415+TIME(alea_int(5,1,Settings!$B$16),0,0)</f>
        <v>46227.583333333336</v>
      </c>
      <c r="D415" s="3" t="str" cm="1">
        <f t="array" ref="D415">choice(Settings!K:K,1,Settings!$B$16)</f>
        <v>mardi am</v>
      </c>
    </row>
    <row r="416" spans="1:4" x14ac:dyDescent="0.25">
      <c r="A416" s="2" t="str" cm="1">
        <f t="array" ref="A416">choice(Professeurs!A:A,1,Settings!$B$16)</f>
        <v>Prof33</v>
      </c>
      <c r="B416" s="3" cm="1">
        <f t="array" ref="B416">alea_date(Settings!$B$11,360,Settings!$B$8+alea_int(4,0,Settings!$B$16),Settings!$B$16)</f>
        <v>46303.416666666664</v>
      </c>
      <c r="C416" s="3" cm="1">
        <f t="array" ref="C416">B416+TIME(alea_int(5,1,Settings!$B$16),0,0)</f>
        <v>46303.458333333328</v>
      </c>
      <c r="D416" s="3" t="str" cm="1">
        <f t="array" ref="D416">choice(Settings!K:K,1,Settings!$B$16)</f>
        <v/>
      </c>
    </row>
    <row r="417" spans="1:4" x14ac:dyDescent="0.25">
      <c r="A417" s="2" t="str" cm="1">
        <f t="array" ref="A417">choice(Professeurs!A:A,1,Settings!$B$16)</f>
        <v>Prof36</v>
      </c>
      <c r="B417" s="3" cm="1">
        <f t="array" ref="B417">alea_date(Settings!$B$11,360,Settings!$B$8+alea_int(4,0,Settings!$B$16),Settings!$B$16)</f>
        <v>46107.416666666664</v>
      </c>
      <c r="C417" s="3" cm="1">
        <f t="array" ref="C417">B417+TIME(alea_int(5,1,Settings!$B$16),0,0)</f>
        <v>46107.541666666664</v>
      </c>
      <c r="D417" s="3" t="str" cm="1">
        <f t="array" ref="D417">choice(Settings!K:K,1,Settings!$B$16)</f>
        <v>mardi pm</v>
      </c>
    </row>
    <row r="418" spans="1:4" x14ac:dyDescent="0.25">
      <c r="A418" s="2" t="str" cm="1">
        <f t="array" ref="A418">choice(Professeurs!A:A,1,Settings!$B$16)</f>
        <v>Prof7</v>
      </c>
      <c r="B418" s="3" cm="1">
        <f t="array" ref="B418">alea_date(Settings!$B$11,360,Settings!$B$8+alea_int(4,0,Settings!$B$16),Settings!$B$16)</f>
        <v>46206.375</v>
      </c>
      <c r="C418" s="3" cm="1">
        <f t="array" ref="C418">B418+TIME(alea_int(5,1,Settings!$B$16),0,0)</f>
        <v>46206.541666666664</v>
      </c>
      <c r="D418" s="3" t="str" cm="1">
        <f t="array" ref="D418">choice(Settings!K:K,1,Settings!$B$16)</f>
        <v>vendredi am</v>
      </c>
    </row>
    <row r="419" spans="1:4" x14ac:dyDescent="0.25">
      <c r="A419" s="2" t="str" cm="1">
        <f t="array" ref="A419">choice(Professeurs!A:A,1,Settings!$B$16)</f>
        <v>Prof14</v>
      </c>
      <c r="B419" s="3" cm="1">
        <f t="array" ref="B419">alea_date(Settings!$B$11,360,Settings!$B$8+alea_int(4,0,Settings!$B$16),Settings!$B$16)</f>
        <v>46125.375</v>
      </c>
      <c r="C419" s="3" cm="1">
        <f t="array" ref="C419">B419+TIME(alea_int(5,1,Settings!$B$16),0,0)</f>
        <v>46125.5</v>
      </c>
      <c r="D419" s="3" t="str" cm="1">
        <f t="array" ref="D419">choice(Settings!K:K,1,Settings!$B$16)</f>
        <v/>
      </c>
    </row>
    <row r="420" spans="1:4" x14ac:dyDescent="0.25">
      <c r="A420" s="2" t="str" cm="1">
        <f t="array" ref="A420">choice(Professeurs!A:A,1,Settings!$B$16)</f>
        <v>Prof40</v>
      </c>
      <c r="B420" s="3" cm="1">
        <f t="array" ref="B420">alea_date(Settings!$B$11,360,Settings!$B$8+alea_int(4,0,Settings!$B$16),Settings!$B$16)</f>
        <v>46053.333333333336</v>
      </c>
      <c r="C420" s="3" cm="1">
        <f t="array" ref="C420">B420+TIME(alea_int(5,1,Settings!$B$16),0,0)</f>
        <v>46053.5</v>
      </c>
      <c r="D420" s="3" t="str" cm="1">
        <f t="array" ref="D420">choice(Settings!K:K,1,Settings!$B$16)</f>
        <v/>
      </c>
    </row>
    <row r="421" spans="1:4" x14ac:dyDescent="0.25">
      <c r="A421" s="2" t="str" cm="1">
        <f t="array" ref="A421">choice(Professeurs!A:A,1,Settings!$B$16)</f>
        <v>Prof13</v>
      </c>
      <c r="B421" s="3" cm="1">
        <f t="array" ref="B421">alea_date(Settings!$B$11,360,Settings!$B$8+alea_int(4,0,Settings!$B$16),Settings!$B$16)</f>
        <v>46082.416666666664</v>
      </c>
      <c r="C421" s="3" cm="1">
        <f t="array" ref="C421">B421+TIME(alea_int(5,1,Settings!$B$16),0,0)</f>
        <v>46082.583333333328</v>
      </c>
      <c r="D421" s="3" t="str" cm="1">
        <f t="array" ref="D421">choice(Settings!K:K,1,Settings!$B$16)</f>
        <v/>
      </c>
    </row>
    <row r="422" spans="1:4" x14ac:dyDescent="0.25">
      <c r="A422" s="2" t="str" cm="1">
        <f t="array" ref="A422">choice(Professeurs!A:A,1,Settings!$B$16)</f>
        <v>Prof28</v>
      </c>
      <c r="B422" s="3" cm="1">
        <f t="array" ref="B422">alea_date(Settings!$B$11,360,Settings!$B$8+alea_int(4,0,Settings!$B$16),Settings!$B$16)</f>
        <v>46271.458333333336</v>
      </c>
      <c r="C422" s="3" cm="1">
        <f t="array" ref="C422">B422+TIME(alea_int(5,1,Settings!$B$16),0,0)</f>
        <v>46271.625</v>
      </c>
      <c r="D422" s="3" t="str" cm="1">
        <f t="array" ref="D422">choice(Settings!K:K,1,Settings!$B$16)</f>
        <v/>
      </c>
    </row>
    <row r="423" spans="1:4" x14ac:dyDescent="0.25">
      <c r="A423" s="2" t="str" cm="1">
        <f t="array" ref="A423">choice(Professeurs!A:A,1,Settings!$B$16)</f>
        <v>Prof41</v>
      </c>
      <c r="B423" s="3" cm="1">
        <f t="array" ref="B423">alea_date(Settings!$B$11,360,Settings!$B$8+alea_int(4,0,Settings!$B$16),Settings!$B$16)</f>
        <v>46133.333333333336</v>
      </c>
      <c r="C423" s="3" cm="1">
        <f t="array" ref="C423">B423+TIME(alea_int(5,1,Settings!$B$16),0,0)</f>
        <v>46133.416666666672</v>
      </c>
      <c r="D423" s="3" t="str" cm="1">
        <f t="array" ref="D423">choice(Settings!K:K,1,Settings!$B$16)</f>
        <v>mardi am</v>
      </c>
    </row>
    <row r="424" spans="1:4" x14ac:dyDescent="0.25">
      <c r="A424" s="2" t="str" cm="1">
        <f t="array" ref="A424">choice(Professeurs!A:A,1,Settings!$B$16)</f>
        <v>Prof16</v>
      </c>
      <c r="B424" s="3" cm="1">
        <f t="array" ref="B424">alea_date(Settings!$B$11,360,Settings!$B$8+alea_int(4,0,Settings!$B$16),Settings!$B$16)</f>
        <v>46226.416666666664</v>
      </c>
      <c r="C424" s="3" cm="1">
        <f t="array" ref="C424">B424+TIME(alea_int(5,1,Settings!$B$16),0,0)</f>
        <v>46226.583333333328</v>
      </c>
      <c r="D424" s="3" t="str" cm="1">
        <f t="array" ref="D424">choice(Settings!K:K,1,Settings!$B$16)</f>
        <v/>
      </c>
    </row>
    <row r="425" spans="1:4" x14ac:dyDescent="0.25">
      <c r="A425" s="2" t="str" cm="1">
        <f t="array" ref="A425">choice(Professeurs!A:A,1,Settings!$B$16)</f>
        <v>Prof39</v>
      </c>
      <c r="B425" s="3" cm="1">
        <f t="array" ref="B425">alea_date(Settings!$B$11,360,Settings!$B$8+alea_int(4,0,Settings!$B$16),Settings!$B$16)</f>
        <v>46120.375</v>
      </c>
      <c r="C425" s="3" cm="1">
        <f t="array" ref="C425">B425+TIME(alea_int(5,1,Settings!$B$16),0,0)</f>
        <v>46120.416666666664</v>
      </c>
      <c r="D425" s="3" t="str" cm="1">
        <f t="array" ref="D425">choice(Settings!K:K,1,Settings!$B$16)</f>
        <v>vendredi am</v>
      </c>
    </row>
    <row r="426" spans="1:4" x14ac:dyDescent="0.25">
      <c r="A426" s="2" t="str" cm="1">
        <f t="array" ref="A426">choice(Professeurs!A:A,1,Settings!$B$16)</f>
        <v>Prof25</v>
      </c>
      <c r="B426" s="3" cm="1">
        <f t="array" ref="B426">alea_date(Settings!$B$11,360,Settings!$B$8+alea_int(4,0,Settings!$B$16),Settings!$B$16)</f>
        <v>46365.375</v>
      </c>
      <c r="C426" s="3" cm="1">
        <f t="array" ref="C426">B426+TIME(alea_int(5,1,Settings!$B$16),0,0)</f>
        <v>46365.5</v>
      </c>
      <c r="D426" s="3" t="str" cm="1">
        <f t="array" ref="D426">choice(Settings!K:K,1,Settings!$B$16)</f>
        <v>vendredi pm</v>
      </c>
    </row>
    <row r="427" spans="1:4" x14ac:dyDescent="0.25">
      <c r="A427" s="2" t="str" cm="1">
        <f t="array" ref="A427">choice(Professeurs!A:A,1,Settings!$B$16)</f>
        <v>Prof26</v>
      </c>
      <c r="B427" s="3" cm="1">
        <f t="array" ref="B427">alea_date(Settings!$B$11,360,Settings!$B$8+alea_int(4,0,Settings!$B$16),Settings!$B$16)</f>
        <v>46103.416666666664</v>
      </c>
      <c r="C427" s="3" cm="1">
        <f t="array" ref="C427">B427+TIME(alea_int(5,1,Settings!$B$16),0,0)</f>
        <v>46103.625</v>
      </c>
      <c r="D427" s="3" t="str" cm="1">
        <f t="array" ref="D427">choice(Settings!K:K,1,Settings!$B$16)</f>
        <v>jeudi am</v>
      </c>
    </row>
    <row r="428" spans="1:4" x14ac:dyDescent="0.25">
      <c r="A428" s="2" t="str" cm="1">
        <f t="array" ref="A428">choice(Professeurs!A:A,1,Settings!$B$16)</f>
        <v>Prof12</v>
      </c>
      <c r="B428" s="3" cm="1">
        <f t="array" ref="B428">alea_date(Settings!$B$11,360,Settings!$B$8+alea_int(4,0,Settings!$B$16),Settings!$B$16)</f>
        <v>46140.458333333336</v>
      </c>
      <c r="C428" s="3" cm="1">
        <f t="array" ref="C428">B428+TIME(alea_int(5,1,Settings!$B$16),0,0)</f>
        <v>46140.625</v>
      </c>
      <c r="D428" s="3" t="str" cm="1">
        <f t="array" ref="D428">choice(Settings!K:K,1,Settings!$B$16)</f>
        <v/>
      </c>
    </row>
    <row r="429" spans="1:4" x14ac:dyDescent="0.25">
      <c r="A429" s="2" t="str" cm="1">
        <f t="array" ref="A429">choice(Professeurs!A:A,1,Settings!$B$16)</f>
        <v>Prof37</v>
      </c>
      <c r="B429" s="3" cm="1">
        <f t="array" ref="B429">alea_date(Settings!$B$11,360,Settings!$B$8+alea_int(4,0,Settings!$B$16),Settings!$B$16)</f>
        <v>46227.333333333336</v>
      </c>
      <c r="C429" s="3" cm="1">
        <f t="array" ref="C429">B429+TIME(alea_int(5,1,Settings!$B$16),0,0)</f>
        <v>46227.375</v>
      </c>
      <c r="D429" s="3" t="str" cm="1">
        <f t="array" ref="D429">choice(Settings!K:K,1,Settings!$B$16)</f>
        <v/>
      </c>
    </row>
    <row r="430" spans="1:4" x14ac:dyDescent="0.25">
      <c r="A430" s="2" t="str" cm="1">
        <f t="array" ref="A430">choice(Professeurs!A:A,1,Settings!$B$16)</f>
        <v>Prof23</v>
      </c>
      <c r="B430" s="3" cm="1">
        <f t="array" ref="B430">alea_date(Settings!$B$11,360,Settings!$B$8+alea_int(4,0,Settings!$B$16),Settings!$B$16)</f>
        <v>46150.375</v>
      </c>
      <c r="C430" s="3" cm="1">
        <f t="array" ref="C430">B430+TIME(alea_int(5,1,Settings!$B$16),0,0)</f>
        <v>46150.416666666664</v>
      </c>
      <c r="D430" s="3" t="str" cm="1">
        <f t="array" ref="D430">choice(Settings!K:K,1,Settings!$B$16)</f>
        <v/>
      </c>
    </row>
    <row r="431" spans="1:4" x14ac:dyDescent="0.25">
      <c r="A431" s="2" t="str" cm="1">
        <f t="array" ref="A431">choice(Professeurs!A:A,1,Settings!$B$16)</f>
        <v>Prof3</v>
      </c>
      <c r="B431" s="3" cm="1">
        <f t="array" ref="B431">alea_date(Settings!$B$11,360,Settings!$B$8+alea_int(4,0,Settings!$B$16),Settings!$B$16)</f>
        <v>46217.333333333336</v>
      </c>
      <c r="C431" s="3" cm="1">
        <f t="array" ref="C431">B431+TIME(alea_int(5,1,Settings!$B$16),0,0)</f>
        <v>46217.375</v>
      </c>
      <c r="D431" s="3" t="str" cm="1">
        <f t="array" ref="D431">choice(Settings!K:K,1,Settings!$B$16)</f>
        <v>vendredi am</v>
      </c>
    </row>
    <row r="432" spans="1:4" x14ac:dyDescent="0.25">
      <c r="A432" s="2" t="str" cm="1">
        <f t="array" ref="A432">choice(Professeurs!A:A,1,Settings!$B$16)</f>
        <v>Prof6</v>
      </c>
      <c r="B432" s="3" cm="1">
        <f t="array" ref="B432">alea_date(Settings!$B$11,360,Settings!$B$8+alea_int(4,0,Settings!$B$16),Settings!$B$16)</f>
        <v>46204.375</v>
      </c>
      <c r="C432" s="3" cm="1">
        <f t="array" ref="C432">B432+TIME(alea_int(5,1,Settings!$B$16),0,0)</f>
        <v>46204.5</v>
      </c>
      <c r="D432" s="3" t="str" cm="1">
        <f t="array" ref="D432">choice(Settings!K:K,1,Settings!$B$16)</f>
        <v/>
      </c>
    </row>
    <row r="433" spans="1:4" x14ac:dyDescent="0.25">
      <c r="A433" s="2" t="str" cm="1">
        <f t="array" ref="A433">choice(Professeurs!A:A,1,Settings!$B$16)</f>
        <v>Prof28</v>
      </c>
      <c r="B433" s="3" cm="1">
        <f t="array" ref="B433">alea_date(Settings!$B$11,360,Settings!$B$8+alea_int(4,0,Settings!$B$16),Settings!$B$16)</f>
        <v>46311.416666666664</v>
      </c>
      <c r="C433" s="3" cm="1">
        <f t="array" ref="C433">B433+TIME(alea_int(5,1,Settings!$B$16),0,0)</f>
        <v>46311.625</v>
      </c>
      <c r="D433" s="3" t="str" cm="1">
        <f t="array" ref="D433">choice(Settings!K:K,1,Settings!$B$16)</f>
        <v/>
      </c>
    </row>
    <row r="434" spans="1:4" x14ac:dyDescent="0.25">
      <c r="A434" s="2" t="str" cm="1">
        <f t="array" ref="A434">choice(Professeurs!A:A,1,Settings!$B$16)</f>
        <v>Prof50</v>
      </c>
      <c r="B434" s="3" cm="1">
        <f t="array" ref="B434">alea_date(Settings!$B$11,360,Settings!$B$8+alea_int(4,0,Settings!$B$16),Settings!$B$16)</f>
        <v>46117.333333333336</v>
      </c>
      <c r="C434" s="3" cm="1">
        <f t="array" ref="C434">B434+TIME(alea_int(5,1,Settings!$B$16),0,0)</f>
        <v>46117.5</v>
      </c>
      <c r="D434" s="3" t="str" cm="1">
        <f t="array" ref="D434">choice(Settings!K:K,1,Settings!$B$16)</f>
        <v/>
      </c>
    </row>
    <row r="435" spans="1:4" x14ac:dyDescent="0.25">
      <c r="A435" s="2" t="str" cm="1">
        <f t="array" ref="A435">choice(Professeurs!A:A,1,Settings!$B$16)</f>
        <v>Prof30</v>
      </c>
      <c r="B435" s="3" cm="1">
        <f t="array" ref="B435">alea_date(Settings!$B$11,360,Settings!$B$8+alea_int(4,0,Settings!$B$16),Settings!$B$16)</f>
        <v>46292.333333333336</v>
      </c>
      <c r="C435" s="3" cm="1">
        <f t="array" ref="C435">B435+TIME(alea_int(5,1,Settings!$B$16),0,0)</f>
        <v>46292.458333333336</v>
      </c>
      <c r="D435" s="3" t="str" cm="1">
        <f t="array" ref="D435">choice(Settings!K:K,1,Settings!$B$16)</f>
        <v>lundi am</v>
      </c>
    </row>
    <row r="436" spans="1:4" x14ac:dyDescent="0.25">
      <c r="A436" s="2" t="str" cm="1">
        <f t="array" ref="A436">choice(Professeurs!A:A,1,Settings!$B$16)</f>
        <v>Prof44</v>
      </c>
      <c r="B436" s="3" cm="1">
        <f t="array" ref="B436">alea_date(Settings!$B$11,360,Settings!$B$8+alea_int(4,0,Settings!$B$16),Settings!$B$16)</f>
        <v>46100.458333333336</v>
      </c>
      <c r="C436" s="3" cm="1">
        <f t="array" ref="C436">B436+TIME(alea_int(5,1,Settings!$B$16),0,0)</f>
        <v>46100.583333333336</v>
      </c>
      <c r="D436" s="3" t="str" cm="1">
        <f t="array" ref="D436">choice(Settings!K:K,1,Settings!$B$16)</f>
        <v>lundi pm</v>
      </c>
    </row>
    <row r="437" spans="1:4" x14ac:dyDescent="0.25">
      <c r="A437" s="2" t="str" cm="1">
        <f t="array" ref="A437">choice(Professeurs!A:A,1,Settings!$B$16)</f>
        <v>Prof41</v>
      </c>
      <c r="B437" s="3" cm="1">
        <f t="array" ref="B437">alea_date(Settings!$B$11,360,Settings!$B$8+alea_int(4,0,Settings!$B$16),Settings!$B$16)</f>
        <v>46265.375</v>
      </c>
      <c r="C437" s="3" cm="1">
        <f t="array" ref="C437">B437+TIME(alea_int(5,1,Settings!$B$16),0,0)</f>
        <v>46265.541666666664</v>
      </c>
      <c r="D437" s="3" t="str" cm="1">
        <f t="array" ref="D437">choice(Settings!K:K,1,Settings!$B$16)</f>
        <v/>
      </c>
    </row>
    <row r="438" spans="1:4" x14ac:dyDescent="0.25">
      <c r="A438" s="2" t="str" cm="1">
        <f t="array" ref="A438">choice(Professeurs!A:A,1,Settings!$B$16)</f>
        <v>Prof37</v>
      </c>
      <c r="B438" s="3" cm="1">
        <f t="array" ref="B438">alea_date(Settings!$B$11,360,Settings!$B$8+alea_int(4,0,Settings!$B$16),Settings!$B$16)</f>
        <v>46142.416666666664</v>
      </c>
      <c r="C438" s="3" cm="1">
        <f t="array" ref="C438">B438+TIME(alea_int(5,1,Settings!$B$16),0,0)</f>
        <v>46142.5</v>
      </c>
      <c r="D438" s="3" t="str" cm="1">
        <f t="array" ref="D438">choice(Settings!K:K,1,Settings!$B$16)</f>
        <v>lundi am</v>
      </c>
    </row>
    <row r="439" spans="1:4" x14ac:dyDescent="0.25">
      <c r="A439" s="2" t="str" cm="1">
        <f t="array" ref="A439">choice(Professeurs!A:A,1,Settings!$B$16)</f>
        <v>Prof45</v>
      </c>
      <c r="B439" s="3" cm="1">
        <f t="array" ref="B439">alea_date(Settings!$B$11,360,Settings!$B$8+alea_int(4,0,Settings!$B$16),Settings!$B$16)</f>
        <v>46310.416666666664</v>
      </c>
      <c r="C439" s="3" cm="1">
        <f t="array" ref="C439">B439+TIME(alea_int(5,1,Settings!$B$16),0,0)</f>
        <v>46310.583333333328</v>
      </c>
      <c r="D439" s="3" t="str" cm="1">
        <f t="array" ref="D439">choice(Settings!K:K,1,Settings!$B$16)</f>
        <v>mercredi ap</v>
      </c>
    </row>
    <row r="440" spans="1:4" x14ac:dyDescent="0.25">
      <c r="A440" s="2" t="str" cm="1">
        <f t="array" ref="A440">choice(Professeurs!A:A,1,Settings!$B$16)</f>
        <v>Prof53</v>
      </c>
      <c r="B440" s="3" cm="1">
        <f t="array" ref="B440">alea_date(Settings!$B$11,360,Settings!$B$8+alea_int(4,0,Settings!$B$16),Settings!$B$16)</f>
        <v>46073.458333333336</v>
      </c>
      <c r="C440" s="3" cm="1">
        <f t="array" ref="C440">B440+TIME(alea_int(5,1,Settings!$B$16),0,0)</f>
        <v>46073.541666666672</v>
      </c>
      <c r="D440" s="3" t="str" cm="1">
        <f t="array" ref="D440">choice(Settings!K:K,1,Settings!$B$16)</f>
        <v/>
      </c>
    </row>
    <row r="441" spans="1:4" x14ac:dyDescent="0.25">
      <c r="A441" s="2" t="str" cm="1">
        <f t="array" ref="A441">choice(Professeurs!A:A,1,Settings!$B$16)</f>
        <v>Prof33</v>
      </c>
      <c r="B441" s="3" cm="1">
        <f t="array" ref="B441">alea_date(Settings!$B$11,360,Settings!$B$8+alea_int(4,0,Settings!$B$16),Settings!$B$16)</f>
        <v>46109.458333333336</v>
      </c>
      <c r="C441" s="3" cm="1">
        <f t="array" ref="C441">B441+TIME(alea_int(5,1,Settings!$B$16),0,0)</f>
        <v>46109.666666666672</v>
      </c>
      <c r="D441" s="3" t="str" cm="1">
        <f t="array" ref="D441">choice(Settings!K:K,1,Settings!$B$16)</f>
        <v/>
      </c>
    </row>
    <row r="442" spans="1:4" x14ac:dyDescent="0.25">
      <c r="A442" s="2" t="str" cm="1">
        <f t="array" ref="A442">choice(Professeurs!A:A,1,Settings!$B$16)</f>
        <v>Prof11</v>
      </c>
      <c r="B442" s="3" cm="1">
        <f t="array" ref="B442">alea_date(Settings!$B$11,360,Settings!$B$8+alea_int(4,0,Settings!$B$16),Settings!$B$16)</f>
        <v>46137.333333333336</v>
      </c>
      <c r="C442" s="3" cm="1">
        <f t="array" ref="C442">B442+TIME(alea_int(5,1,Settings!$B$16),0,0)</f>
        <v>46137.541666666672</v>
      </c>
      <c r="D442" s="3" t="str" cm="1">
        <f t="array" ref="D442">choice(Settings!K:K,1,Settings!$B$16)</f>
        <v/>
      </c>
    </row>
    <row r="443" spans="1:4" x14ac:dyDescent="0.25">
      <c r="A443" s="2" t="str" cm="1">
        <f t="array" ref="A443">choice(Professeurs!A:A,1,Settings!$B$16)</f>
        <v>Prof8</v>
      </c>
      <c r="B443" s="3" cm="1">
        <f t="array" ref="B443">alea_date(Settings!$B$11,360,Settings!$B$8+alea_int(4,0,Settings!$B$16),Settings!$B$16)</f>
        <v>46140.458333333336</v>
      </c>
      <c r="C443" s="3" cm="1">
        <f t="array" ref="C443">B443+TIME(alea_int(5,1,Settings!$B$16),0,0)</f>
        <v>46140.625</v>
      </c>
      <c r="D443" s="3" t="str" cm="1">
        <f t="array" ref="D443">choice(Settings!K:K,1,Settings!$B$16)</f>
        <v>vendredi am</v>
      </c>
    </row>
    <row r="444" spans="1:4" x14ac:dyDescent="0.25">
      <c r="A444" s="2" t="str" cm="1">
        <f t="array" ref="A444">choice(Professeurs!A:A,1,Settings!$B$16)</f>
        <v>Prof53</v>
      </c>
      <c r="B444" s="3" cm="1">
        <f t="array" ref="B444">alea_date(Settings!$B$11,360,Settings!$B$8+alea_int(4,0,Settings!$B$16),Settings!$B$16)</f>
        <v>46376.458333333336</v>
      </c>
      <c r="C444" s="3" cm="1">
        <f t="array" ref="C444">B444+TIME(alea_int(5,1,Settings!$B$16),0,0)</f>
        <v>46376.625</v>
      </c>
      <c r="D444" s="3" t="str" cm="1">
        <f t="array" ref="D444">choice(Settings!K:K,1,Settings!$B$16)</f>
        <v/>
      </c>
    </row>
    <row r="445" spans="1:4" x14ac:dyDescent="0.25">
      <c r="A445" s="2" t="str" cm="1">
        <f t="array" ref="A445">choice(Professeurs!A:A,1,Settings!$B$16)</f>
        <v>Prof17</v>
      </c>
      <c r="B445" s="3" cm="1">
        <f t="array" ref="B445">alea_date(Settings!$B$11,360,Settings!$B$8+alea_int(4,0,Settings!$B$16),Settings!$B$16)</f>
        <v>46342.416666666664</v>
      </c>
      <c r="C445" s="3" cm="1">
        <f t="array" ref="C445">B445+TIME(alea_int(5,1,Settings!$B$16),0,0)</f>
        <v>46342.458333333328</v>
      </c>
      <c r="D445" s="3" t="str" cm="1">
        <f t="array" ref="D445">choice(Settings!K:K,1,Settings!$B$16)</f>
        <v>lundi pm</v>
      </c>
    </row>
    <row r="446" spans="1:4" x14ac:dyDescent="0.25">
      <c r="A446" s="2" t="str" cm="1">
        <f t="array" ref="A446">choice(Professeurs!A:A,1,Settings!$B$16)</f>
        <v>Prof20</v>
      </c>
      <c r="B446" s="3" cm="1">
        <f t="array" ref="B446">alea_date(Settings!$B$11,360,Settings!$B$8+alea_int(4,0,Settings!$B$16),Settings!$B$16)</f>
        <v>46085.458333333336</v>
      </c>
      <c r="C446" s="3" cm="1">
        <f t="array" ref="C446">B446+TIME(alea_int(5,1,Settings!$B$16),0,0)</f>
        <v>46085.541666666672</v>
      </c>
      <c r="D446" s="3" t="str" cm="1">
        <f t="array" ref="D446">choice(Settings!K:K,1,Settings!$B$16)</f>
        <v/>
      </c>
    </row>
    <row r="447" spans="1:4" x14ac:dyDescent="0.25">
      <c r="A447" s="2" t="str" cm="1">
        <f t="array" ref="A447">choice(Professeurs!A:A,1,Settings!$B$16)</f>
        <v>Prof44</v>
      </c>
      <c r="B447" s="3" cm="1">
        <f t="array" ref="B447">alea_date(Settings!$B$11,360,Settings!$B$8+alea_int(4,0,Settings!$B$16),Settings!$B$16)</f>
        <v>46161.458333333336</v>
      </c>
      <c r="C447" s="3" cm="1">
        <f t="array" ref="C447">B447+TIME(alea_int(5,1,Settings!$B$16),0,0)</f>
        <v>46161.583333333336</v>
      </c>
      <c r="D447" s="3" t="str" cm="1">
        <f t="array" ref="D447">choice(Settings!K:K,1,Settings!$B$16)</f>
        <v/>
      </c>
    </row>
    <row r="448" spans="1:4" x14ac:dyDescent="0.25">
      <c r="A448" s="2" t="str" cm="1">
        <f t="array" ref="A448">choice(Professeurs!A:A,1,Settings!$B$16)</f>
        <v>Prof45</v>
      </c>
      <c r="B448" s="3" cm="1">
        <f t="array" ref="B448">alea_date(Settings!$B$11,360,Settings!$B$8+alea_int(4,0,Settings!$B$16),Settings!$B$16)</f>
        <v>46046.458333333336</v>
      </c>
      <c r="C448" s="3" cm="1">
        <f t="array" ref="C448">B448+TIME(alea_int(5,1,Settings!$B$16),0,0)</f>
        <v>46046.625</v>
      </c>
      <c r="D448" s="3" t="str" cm="1">
        <f t="array" ref="D448">choice(Settings!K:K,1,Settings!$B$16)</f>
        <v/>
      </c>
    </row>
    <row r="449" spans="1:4" x14ac:dyDescent="0.25">
      <c r="A449" s="2" t="str" cm="1">
        <f t="array" ref="A449">choice(Professeurs!A:A,1,Settings!$B$16)</f>
        <v>Prof25</v>
      </c>
      <c r="B449" s="3" cm="1">
        <f t="array" ref="B449">alea_date(Settings!$B$11,360,Settings!$B$8+alea_int(4,0,Settings!$B$16),Settings!$B$16)</f>
        <v>46157.458333333336</v>
      </c>
      <c r="C449" s="3" cm="1">
        <f t="array" ref="C449">B449+TIME(alea_int(5,1,Settings!$B$16),0,0)</f>
        <v>46157.666666666672</v>
      </c>
      <c r="D449" s="3" t="str" cm="1">
        <f t="array" ref="D449">choice(Settings!K:K,1,Settings!$B$16)</f>
        <v/>
      </c>
    </row>
    <row r="450" spans="1:4" x14ac:dyDescent="0.25">
      <c r="A450" s="2" t="str" cm="1">
        <f t="array" ref="A450">choice(Professeurs!A:A,1,Settings!$B$16)</f>
        <v>Prof34</v>
      </c>
      <c r="B450" s="3" cm="1">
        <f t="array" ref="B450">alea_date(Settings!$B$11,360,Settings!$B$8+alea_int(4,0,Settings!$B$16),Settings!$B$16)</f>
        <v>46186.375</v>
      </c>
      <c r="C450" s="3" cm="1">
        <f t="array" ref="C450">B450+TIME(alea_int(5,1,Settings!$B$16),0,0)</f>
        <v>46186.416666666664</v>
      </c>
      <c r="D450" s="3" t="str" cm="1">
        <f t="array" ref="D450">choice(Settings!K:K,1,Settings!$B$16)</f>
        <v/>
      </c>
    </row>
    <row r="451" spans="1:4" x14ac:dyDescent="0.25">
      <c r="A451" s="2" t="str" cm="1">
        <f t="array" ref="A451">choice(Professeurs!A:A,1,Settings!$B$16)</f>
        <v>Prof36</v>
      </c>
      <c r="B451" s="3" cm="1">
        <f t="array" ref="B451">alea_date(Settings!$B$11,360,Settings!$B$8+alea_int(4,0,Settings!$B$16),Settings!$B$16)</f>
        <v>46055.458333333336</v>
      </c>
      <c r="C451" s="3" cm="1">
        <f t="array" ref="C451">B451+TIME(alea_int(5,1,Settings!$B$16),0,0)</f>
        <v>46055.5</v>
      </c>
      <c r="D451" s="3" t="str" cm="1">
        <f t="array" ref="D451">choice(Settings!K:K,1,Settings!$B$16)</f>
        <v/>
      </c>
    </row>
    <row r="452" spans="1:4" x14ac:dyDescent="0.25">
      <c r="A452" s="2" t="str" cm="1">
        <f t="array" ref="A452">choice(Professeurs!A:A,1,Settings!$B$16)</f>
        <v>Prof28</v>
      </c>
      <c r="B452" s="3" cm="1">
        <f t="array" ref="B452">alea_date(Settings!$B$11,360,Settings!$B$8+alea_int(4,0,Settings!$B$16),Settings!$B$16)</f>
        <v>46373.458333333336</v>
      </c>
      <c r="C452" s="3" cm="1">
        <f t="array" ref="C452">B452+TIME(alea_int(5,1,Settings!$B$16),0,0)</f>
        <v>46373.541666666672</v>
      </c>
      <c r="D452" s="3" t="str" cm="1">
        <f t="array" ref="D452">choice(Settings!K:K,1,Settings!$B$16)</f>
        <v>lundi pm</v>
      </c>
    </row>
    <row r="453" spans="1:4" x14ac:dyDescent="0.25">
      <c r="A453" s="2" t="str" cm="1">
        <f t="array" ref="A453">choice(Professeurs!A:A,1,Settings!$B$16)</f>
        <v>Prof51</v>
      </c>
      <c r="B453" s="3" cm="1">
        <f t="array" ref="B453">alea_date(Settings!$B$11,360,Settings!$B$8+alea_int(4,0,Settings!$B$16),Settings!$B$16)</f>
        <v>46047.416666666664</v>
      </c>
      <c r="C453" s="3" cm="1">
        <f t="array" ref="C453">B453+TIME(alea_int(5,1,Settings!$B$16),0,0)</f>
        <v>46047.5</v>
      </c>
      <c r="D453" s="3" t="str" cm="1">
        <f t="array" ref="D453">choice(Settings!K:K,1,Settings!$B$16)</f>
        <v/>
      </c>
    </row>
    <row r="454" spans="1:4" x14ac:dyDescent="0.25">
      <c r="A454" s="2" t="str" cm="1">
        <f t="array" ref="A454">choice(Professeurs!A:A,1,Settings!$B$16)</f>
        <v>Prof45</v>
      </c>
      <c r="B454" s="3" cm="1">
        <f t="array" ref="B454">alea_date(Settings!$B$11,360,Settings!$B$8+alea_int(4,0,Settings!$B$16),Settings!$B$16)</f>
        <v>46280.458333333336</v>
      </c>
      <c r="C454" s="3" cm="1">
        <f t="array" ref="C454">B454+TIME(alea_int(5,1,Settings!$B$16),0,0)</f>
        <v>46280.666666666672</v>
      </c>
      <c r="D454" s="3" t="str" cm="1">
        <f t="array" ref="D454">choice(Settings!K:K,1,Settings!$B$16)</f>
        <v>vendredi am</v>
      </c>
    </row>
    <row r="455" spans="1:4" x14ac:dyDescent="0.25">
      <c r="A455" s="2" t="str" cm="1">
        <f t="array" ref="A455">choice(Professeurs!A:A,1,Settings!$B$16)</f>
        <v>Prof30</v>
      </c>
      <c r="B455" s="3" cm="1">
        <f t="array" ref="B455">alea_date(Settings!$B$11,360,Settings!$B$8+alea_int(4,0,Settings!$B$16),Settings!$B$16)</f>
        <v>46195.416666666664</v>
      </c>
      <c r="C455" s="3" cm="1">
        <f t="array" ref="C455">B455+TIME(alea_int(5,1,Settings!$B$16),0,0)</f>
        <v>46195.5</v>
      </c>
      <c r="D455" s="3" t="str" cm="1">
        <f t="array" ref="D455">choice(Settings!K:K,1,Settings!$B$16)</f>
        <v/>
      </c>
    </row>
    <row r="456" spans="1:4" x14ac:dyDescent="0.25">
      <c r="A456" s="2" t="str" cm="1">
        <f t="array" ref="A456">choice(Professeurs!A:A,1,Settings!$B$16)</f>
        <v>Prof9</v>
      </c>
      <c r="B456" s="3" cm="1">
        <f t="array" ref="B456">alea_date(Settings!$B$11,360,Settings!$B$8+alea_int(4,0,Settings!$B$16),Settings!$B$16)</f>
        <v>46099.333333333336</v>
      </c>
      <c r="C456" s="3" cm="1">
        <f t="array" ref="C456">B456+TIME(alea_int(5,1,Settings!$B$16),0,0)</f>
        <v>46099.541666666672</v>
      </c>
      <c r="D456" s="3" t="str" cm="1">
        <f t="array" ref="D456">choice(Settings!K:K,1,Settings!$B$16)</f>
        <v/>
      </c>
    </row>
    <row r="457" spans="1:4" x14ac:dyDescent="0.25">
      <c r="A457" s="2" t="str" cm="1">
        <f t="array" ref="A457">choice(Professeurs!A:A,1,Settings!$B$16)</f>
        <v>Prof1</v>
      </c>
      <c r="B457" s="3" cm="1">
        <f t="array" ref="B457">alea_date(Settings!$B$11,360,Settings!$B$8+alea_int(4,0,Settings!$B$16),Settings!$B$16)</f>
        <v>46142.458333333336</v>
      </c>
      <c r="C457" s="3" cm="1">
        <f t="array" ref="C457">B457+TIME(alea_int(5,1,Settings!$B$16),0,0)</f>
        <v>46142.5</v>
      </c>
      <c r="D457" s="3" t="str" cm="1">
        <f t="array" ref="D457">choice(Settings!K:K,1,Settings!$B$16)</f>
        <v>mercredi ap</v>
      </c>
    </row>
    <row r="458" spans="1:4" x14ac:dyDescent="0.25">
      <c r="A458" s="2" t="str" cm="1">
        <f t="array" ref="A458">choice(Professeurs!A:A,1,Settings!$B$16)</f>
        <v>Prof3</v>
      </c>
      <c r="B458" s="3" cm="1">
        <f t="array" ref="B458">alea_date(Settings!$B$11,360,Settings!$B$8+alea_int(4,0,Settings!$B$16),Settings!$B$16)</f>
        <v>46061.375</v>
      </c>
      <c r="C458" s="3" cm="1">
        <f t="array" ref="C458">B458+TIME(alea_int(5,1,Settings!$B$16),0,0)</f>
        <v>46061.458333333336</v>
      </c>
      <c r="D458" s="3" t="str" cm="1">
        <f t="array" ref="D458">choice(Settings!K:K,1,Settings!$B$16)</f>
        <v/>
      </c>
    </row>
    <row r="459" spans="1:4" x14ac:dyDescent="0.25">
      <c r="A459" s="2" t="str" cm="1">
        <f t="array" ref="A459">choice(Professeurs!A:A,1,Settings!$B$16)</f>
        <v>Prof51</v>
      </c>
      <c r="B459" s="3" cm="1">
        <f t="array" ref="B459">alea_date(Settings!$B$11,360,Settings!$B$8+alea_int(4,0,Settings!$B$16),Settings!$B$16)</f>
        <v>46057.416666666664</v>
      </c>
      <c r="C459" s="3" cm="1">
        <f t="array" ref="C459">B459+TIME(alea_int(5,1,Settings!$B$16),0,0)</f>
        <v>46057.5</v>
      </c>
      <c r="D459" s="3" t="str" cm="1">
        <f t="array" ref="D459">choice(Settings!K:K,1,Settings!$B$16)</f>
        <v/>
      </c>
    </row>
    <row r="460" spans="1:4" x14ac:dyDescent="0.25">
      <c r="A460" s="2" t="str" cm="1">
        <f t="array" ref="A460">choice(Professeurs!A:A,1,Settings!$B$16)</f>
        <v>Prof26</v>
      </c>
      <c r="B460" s="3" cm="1">
        <f t="array" ref="B460">alea_date(Settings!$B$11,360,Settings!$B$8+alea_int(4,0,Settings!$B$16),Settings!$B$16)</f>
        <v>46286.375</v>
      </c>
      <c r="C460" s="3" cm="1">
        <f t="array" ref="C460">B460+TIME(alea_int(5,1,Settings!$B$16),0,0)</f>
        <v>46286.541666666664</v>
      </c>
      <c r="D460" s="3" t="str" cm="1">
        <f t="array" ref="D460">choice(Settings!K:K,1,Settings!$B$16)</f>
        <v/>
      </c>
    </row>
    <row r="461" spans="1:4" x14ac:dyDescent="0.25">
      <c r="A461" s="2" t="str" cm="1">
        <f t="array" ref="A461">choice(Professeurs!A:A,1,Settings!$B$16)</f>
        <v>Prof29</v>
      </c>
      <c r="B461" s="3" cm="1">
        <f t="array" ref="B461">alea_date(Settings!$B$11,360,Settings!$B$8+alea_int(4,0,Settings!$B$16),Settings!$B$16)</f>
        <v>46344.416666666664</v>
      </c>
      <c r="C461" s="3" cm="1">
        <f t="array" ref="C461">B461+TIME(alea_int(5,1,Settings!$B$16),0,0)</f>
        <v>46344.583333333328</v>
      </c>
      <c r="D461" s="3" t="str" cm="1">
        <f t="array" ref="D461">choice(Settings!K:K,1,Settings!$B$16)</f>
        <v/>
      </c>
    </row>
    <row r="462" spans="1:4" x14ac:dyDescent="0.25">
      <c r="A462" s="2" t="str" cm="1">
        <f t="array" ref="A462">choice(Professeurs!A:A,1,Settings!$B$16)</f>
        <v>Prof20</v>
      </c>
      <c r="B462" s="3" cm="1">
        <f t="array" ref="B462">alea_date(Settings!$B$11,360,Settings!$B$8+alea_int(4,0,Settings!$B$16),Settings!$B$16)</f>
        <v>46232.458333333336</v>
      </c>
      <c r="C462" s="3" cm="1">
        <f t="array" ref="C462">B462+TIME(alea_int(5,1,Settings!$B$16),0,0)</f>
        <v>46232.583333333336</v>
      </c>
      <c r="D462" s="3" t="str" cm="1">
        <f t="array" ref="D462">choice(Settings!K:K,1,Settings!$B$16)</f>
        <v/>
      </c>
    </row>
    <row r="463" spans="1:4" x14ac:dyDescent="0.25">
      <c r="A463" s="2" t="str" cm="1">
        <f t="array" ref="A463">choice(Professeurs!A:A,1,Settings!$B$16)</f>
        <v>Prof4</v>
      </c>
      <c r="B463" s="3" cm="1">
        <f t="array" ref="B463">alea_date(Settings!$B$11,360,Settings!$B$8+alea_int(4,0,Settings!$B$16),Settings!$B$16)</f>
        <v>46023.333333333336</v>
      </c>
      <c r="C463" s="3" cm="1">
        <f t="array" ref="C463">B463+TIME(alea_int(5,1,Settings!$B$16),0,0)</f>
        <v>46023.458333333336</v>
      </c>
      <c r="D463" s="3" t="str" cm="1">
        <f t="array" ref="D463">choice(Settings!K:K,1,Settings!$B$16)</f>
        <v/>
      </c>
    </row>
    <row r="464" spans="1:4" x14ac:dyDescent="0.25">
      <c r="A464" s="2" t="str" cm="1">
        <f t="array" ref="A464">choice(Professeurs!A:A,1,Settings!$B$16)</f>
        <v>Prof19</v>
      </c>
      <c r="B464" s="3" cm="1">
        <f t="array" ref="B464">alea_date(Settings!$B$11,360,Settings!$B$8+alea_int(4,0,Settings!$B$16),Settings!$B$16)</f>
        <v>46312.375</v>
      </c>
      <c r="C464" s="3" cm="1">
        <f t="array" ref="C464">B464+TIME(alea_int(5,1,Settings!$B$16),0,0)</f>
        <v>46312.416666666664</v>
      </c>
      <c r="D464" s="3" t="str" cm="1">
        <f t="array" ref="D464">choice(Settings!K:K,1,Settings!$B$16)</f>
        <v/>
      </c>
    </row>
    <row r="465" spans="1:4" x14ac:dyDescent="0.25">
      <c r="A465" s="2" t="str" cm="1">
        <f t="array" ref="A465">choice(Professeurs!A:A,1,Settings!$B$16)</f>
        <v>Prof2</v>
      </c>
      <c r="B465" s="3" cm="1">
        <f t="array" ref="B465">alea_date(Settings!$B$11,360,Settings!$B$8+alea_int(4,0,Settings!$B$16),Settings!$B$16)</f>
        <v>46343.458333333336</v>
      </c>
      <c r="C465" s="3" cm="1">
        <f t="array" ref="C465">B465+TIME(alea_int(5,1,Settings!$B$16),0,0)</f>
        <v>46343.666666666672</v>
      </c>
      <c r="D465" s="3" t="str" cm="1">
        <f t="array" ref="D465">choice(Settings!K:K,1,Settings!$B$16)</f>
        <v/>
      </c>
    </row>
    <row r="466" spans="1:4" x14ac:dyDescent="0.25">
      <c r="A466" s="2" t="str" cm="1">
        <f t="array" ref="A466">choice(Professeurs!A:A,1,Settings!$B$16)</f>
        <v>Prof55</v>
      </c>
      <c r="B466" s="3" cm="1">
        <f t="array" ref="B466">alea_date(Settings!$B$11,360,Settings!$B$8+alea_int(4,0,Settings!$B$16),Settings!$B$16)</f>
        <v>46323.375</v>
      </c>
      <c r="C466" s="3" cm="1">
        <f t="array" ref="C466">B466+TIME(alea_int(5,1,Settings!$B$16),0,0)</f>
        <v>46323.416666666664</v>
      </c>
      <c r="D466" s="3" t="str" cm="1">
        <f t="array" ref="D466">choice(Settings!K:K,1,Settings!$B$16)</f>
        <v>mercredi pm</v>
      </c>
    </row>
    <row r="467" spans="1:4" x14ac:dyDescent="0.25">
      <c r="A467" s="2" t="str" cm="1">
        <f t="array" ref="A467">choice(Professeurs!A:A,1,Settings!$B$16)</f>
        <v>Prof33</v>
      </c>
      <c r="B467" s="3" cm="1">
        <f t="array" ref="B467">alea_date(Settings!$B$11,360,Settings!$B$8+alea_int(4,0,Settings!$B$16),Settings!$B$16)</f>
        <v>46119.416666666664</v>
      </c>
      <c r="C467" s="3" cm="1">
        <f t="array" ref="C467">B467+TIME(alea_int(5,1,Settings!$B$16),0,0)</f>
        <v>46119.5</v>
      </c>
      <c r="D467" s="3" t="str" cm="1">
        <f t="array" ref="D467">choice(Settings!K:K,1,Settings!$B$16)</f>
        <v>mardi am</v>
      </c>
    </row>
    <row r="468" spans="1:4" x14ac:dyDescent="0.25">
      <c r="A468" s="2" t="str" cm="1">
        <f t="array" ref="A468">choice(Professeurs!A:A,1,Settings!$B$16)</f>
        <v>Prof54</v>
      </c>
      <c r="B468" s="3" cm="1">
        <f t="array" ref="B468">alea_date(Settings!$B$11,360,Settings!$B$8+alea_int(4,0,Settings!$B$16),Settings!$B$16)</f>
        <v>46029.416666666664</v>
      </c>
      <c r="C468" s="3" cm="1">
        <f t="array" ref="C468">B468+TIME(alea_int(5,1,Settings!$B$16),0,0)</f>
        <v>46029.5</v>
      </c>
      <c r="D468" s="3" t="str" cm="1">
        <f t="array" ref="D468">choice(Settings!K:K,1,Settings!$B$16)</f>
        <v/>
      </c>
    </row>
    <row r="469" spans="1:4" x14ac:dyDescent="0.25">
      <c r="A469" s="2" t="str" cm="1">
        <f t="array" ref="A469">choice(Professeurs!A:A,1,Settings!$B$16)</f>
        <v>Prof48</v>
      </c>
      <c r="B469" s="3" cm="1">
        <f t="array" ref="B469">alea_date(Settings!$B$11,360,Settings!$B$8+alea_int(4,0,Settings!$B$16),Settings!$B$16)</f>
        <v>46142.333333333336</v>
      </c>
      <c r="C469" s="3" cm="1">
        <f t="array" ref="C469">B469+TIME(alea_int(5,1,Settings!$B$16),0,0)</f>
        <v>46142.5</v>
      </c>
      <c r="D469" s="3" t="str" cm="1">
        <f t="array" ref="D469">choice(Settings!K:K,1,Settings!$B$16)</f>
        <v/>
      </c>
    </row>
    <row r="470" spans="1:4" x14ac:dyDescent="0.25">
      <c r="A470" s="2" t="str" cm="1">
        <f t="array" ref="A470">choice(Professeurs!A:A,1,Settings!$B$16)</f>
        <v>Prof34</v>
      </c>
      <c r="B470" s="3" cm="1">
        <f t="array" ref="B470">alea_date(Settings!$B$11,360,Settings!$B$8+alea_int(4,0,Settings!$B$16),Settings!$B$16)</f>
        <v>46161.458333333336</v>
      </c>
      <c r="C470" s="3" cm="1">
        <f t="array" ref="C470">B470+TIME(alea_int(5,1,Settings!$B$16),0,0)</f>
        <v>46161.541666666672</v>
      </c>
      <c r="D470" s="3" t="str" cm="1">
        <f t="array" ref="D470">choice(Settings!K:K,1,Settings!$B$16)</f>
        <v/>
      </c>
    </row>
    <row r="471" spans="1:4" x14ac:dyDescent="0.25">
      <c r="A471" s="2" t="str" cm="1">
        <f t="array" ref="A471">choice(Professeurs!A:A,1,Settings!$B$16)</f>
        <v>Prof26</v>
      </c>
      <c r="B471" s="3" cm="1">
        <f t="array" ref="B471">alea_date(Settings!$B$11,360,Settings!$B$8+alea_int(4,0,Settings!$B$16),Settings!$B$16)</f>
        <v>46236.416666666664</v>
      </c>
      <c r="C471" s="3" cm="1">
        <f t="array" ref="C471">B471+TIME(alea_int(5,1,Settings!$B$16),0,0)</f>
        <v>46236.583333333328</v>
      </c>
      <c r="D471" s="3" t="str" cm="1">
        <f t="array" ref="D471">choice(Settings!K:K,1,Settings!$B$16)</f>
        <v/>
      </c>
    </row>
    <row r="472" spans="1:4" x14ac:dyDescent="0.25">
      <c r="A472" s="2" t="str" cm="1">
        <f t="array" ref="A472">choice(Professeurs!A:A,1,Settings!$B$16)</f>
        <v>Prof13</v>
      </c>
      <c r="B472" s="3" cm="1">
        <f t="array" ref="B472">alea_date(Settings!$B$11,360,Settings!$B$8+alea_int(4,0,Settings!$B$16),Settings!$B$16)</f>
        <v>46296.416666666664</v>
      </c>
      <c r="C472" s="3" cm="1">
        <f t="array" ref="C472">B472+TIME(alea_int(5,1,Settings!$B$16),0,0)</f>
        <v>46296.5</v>
      </c>
      <c r="D472" s="3" t="str" cm="1">
        <f t="array" ref="D472">choice(Settings!K:K,1,Settings!$B$16)</f>
        <v/>
      </c>
    </row>
    <row r="473" spans="1:4" x14ac:dyDescent="0.25">
      <c r="A473" s="2" t="str" cm="1">
        <f t="array" ref="A473">choice(Professeurs!A:A,1,Settings!$B$16)</f>
        <v>Prof14</v>
      </c>
      <c r="B473" s="3" cm="1">
        <f t="array" ref="B473">alea_date(Settings!$B$11,360,Settings!$B$8+alea_int(4,0,Settings!$B$16),Settings!$B$16)</f>
        <v>46214.375</v>
      </c>
      <c r="C473" s="3" cm="1">
        <f t="array" ref="C473">B473+TIME(alea_int(5,1,Settings!$B$16),0,0)</f>
        <v>46214.541666666664</v>
      </c>
      <c r="D473" s="3" t="str" cm="1">
        <f t="array" ref="D473">choice(Settings!K:K,1,Settings!$B$16)</f>
        <v/>
      </c>
    </row>
    <row r="474" spans="1:4" x14ac:dyDescent="0.25">
      <c r="A474" s="2" t="str" cm="1">
        <f t="array" ref="A474">choice(Professeurs!A:A,1,Settings!$B$16)</f>
        <v>Prof13</v>
      </c>
      <c r="B474" s="3" cm="1">
        <f t="array" ref="B474">alea_date(Settings!$B$11,360,Settings!$B$8+alea_int(4,0,Settings!$B$16),Settings!$B$16)</f>
        <v>46155.333333333336</v>
      </c>
      <c r="C474" s="3" cm="1">
        <f t="array" ref="C474">B474+TIME(alea_int(5,1,Settings!$B$16),0,0)</f>
        <v>46155.375</v>
      </c>
      <c r="D474" s="3" t="str" cm="1">
        <f t="array" ref="D474">choice(Settings!K:K,1,Settings!$B$16)</f>
        <v/>
      </c>
    </row>
    <row r="475" spans="1:4" x14ac:dyDescent="0.25">
      <c r="A475" s="2" t="str" cm="1">
        <f t="array" ref="A475">choice(Professeurs!A:A,1,Settings!$B$16)</f>
        <v>Prof13</v>
      </c>
      <c r="B475" s="3" cm="1">
        <f t="array" ref="B475">alea_date(Settings!$B$11,360,Settings!$B$8+alea_int(4,0,Settings!$B$16),Settings!$B$16)</f>
        <v>46319.458333333336</v>
      </c>
      <c r="C475" s="3" cm="1">
        <f t="array" ref="C475">B475+TIME(alea_int(5,1,Settings!$B$16),0,0)</f>
        <v>46319.541666666672</v>
      </c>
      <c r="D475" s="3" t="str" cm="1">
        <f t="array" ref="D475">choice(Settings!K:K,1,Settings!$B$16)</f>
        <v>mardi pm</v>
      </c>
    </row>
    <row r="476" spans="1:4" x14ac:dyDescent="0.25">
      <c r="A476" s="2" t="str" cm="1">
        <f t="array" ref="A476">choice(Professeurs!A:A,1,Settings!$B$16)</f>
        <v>Prof14</v>
      </c>
      <c r="B476" s="3" cm="1">
        <f t="array" ref="B476">alea_date(Settings!$B$11,360,Settings!$B$8+alea_int(4,0,Settings!$B$16),Settings!$B$16)</f>
        <v>46374.333333333336</v>
      </c>
      <c r="C476" s="3" cm="1">
        <f t="array" ref="C476">B476+TIME(alea_int(5,1,Settings!$B$16),0,0)</f>
        <v>46374.5</v>
      </c>
      <c r="D476" s="3" t="str" cm="1">
        <f t="array" ref="D476">choice(Settings!K:K,1,Settings!$B$16)</f>
        <v/>
      </c>
    </row>
    <row r="477" spans="1:4" x14ac:dyDescent="0.25">
      <c r="A477" s="2" t="str" cm="1">
        <f t="array" ref="A477">choice(Professeurs!A:A,1,Settings!$B$16)</f>
        <v>Prof21</v>
      </c>
      <c r="B477" s="3" cm="1">
        <f t="array" ref="B477">alea_date(Settings!$B$11,360,Settings!$B$8+alea_int(4,0,Settings!$B$16),Settings!$B$16)</f>
        <v>46125.375</v>
      </c>
      <c r="C477" s="3" cm="1">
        <f t="array" ref="C477">B477+TIME(alea_int(5,1,Settings!$B$16),0,0)</f>
        <v>46125.583333333336</v>
      </c>
      <c r="D477" s="3" t="str" cm="1">
        <f t="array" ref="D477">choice(Settings!K:K,1,Settings!$B$16)</f>
        <v/>
      </c>
    </row>
    <row r="478" spans="1:4" x14ac:dyDescent="0.25">
      <c r="A478" s="2" t="str" cm="1">
        <f t="array" ref="A478">choice(Professeurs!A:A,1,Settings!$B$16)</f>
        <v>Prof44</v>
      </c>
      <c r="B478" s="3" cm="1">
        <f t="array" ref="B478">alea_date(Settings!$B$11,360,Settings!$B$8+alea_int(4,0,Settings!$B$16),Settings!$B$16)</f>
        <v>46259.375</v>
      </c>
      <c r="C478" s="3" cm="1">
        <f t="array" ref="C478">B478+TIME(alea_int(5,1,Settings!$B$16),0,0)</f>
        <v>46259.458333333336</v>
      </c>
      <c r="D478" s="3" t="str" cm="1">
        <f t="array" ref="D478">choice(Settings!K:K,1,Settings!$B$16)</f>
        <v/>
      </c>
    </row>
    <row r="479" spans="1:4" x14ac:dyDescent="0.25">
      <c r="A479" s="2" t="str" cm="1">
        <f t="array" ref="A479">choice(Professeurs!A:A,1,Settings!$B$16)</f>
        <v>Prof13</v>
      </c>
      <c r="B479" s="3" cm="1">
        <f t="array" ref="B479">alea_date(Settings!$B$11,360,Settings!$B$8+alea_int(4,0,Settings!$B$16),Settings!$B$16)</f>
        <v>46364.458333333336</v>
      </c>
      <c r="C479" s="3" cm="1">
        <f t="array" ref="C479">B479+TIME(alea_int(5,1,Settings!$B$16),0,0)</f>
        <v>46364.625</v>
      </c>
      <c r="D479" s="3" t="str" cm="1">
        <f t="array" ref="D479">choice(Settings!K:K,1,Settings!$B$16)</f>
        <v/>
      </c>
    </row>
    <row r="480" spans="1:4" x14ac:dyDescent="0.25">
      <c r="A480" s="2" t="str" cm="1">
        <f t="array" ref="A480">choice(Professeurs!A:A,1,Settings!$B$16)</f>
        <v>Prof14</v>
      </c>
      <c r="B480" s="3" cm="1">
        <f t="array" ref="B480">alea_date(Settings!$B$11,360,Settings!$B$8+alea_int(4,0,Settings!$B$16),Settings!$B$16)</f>
        <v>46201.375</v>
      </c>
      <c r="C480" s="3" cm="1">
        <f t="array" ref="C480">B480+TIME(alea_int(5,1,Settings!$B$16),0,0)</f>
        <v>46201.416666666664</v>
      </c>
      <c r="D480" s="3" t="str" cm="1">
        <f t="array" ref="D480">choice(Settings!K:K,1,Settings!$B$16)</f>
        <v/>
      </c>
    </row>
    <row r="481" spans="1:4" x14ac:dyDescent="0.25">
      <c r="A481" s="2" t="str" cm="1">
        <f t="array" ref="A481">choice(Professeurs!A:A,1,Settings!$B$16)</f>
        <v>Prof45</v>
      </c>
      <c r="B481" s="3" cm="1">
        <f t="array" ref="B481">alea_date(Settings!$B$11,360,Settings!$B$8+alea_int(4,0,Settings!$B$16),Settings!$B$16)</f>
        <v>46243.458333333336</v>
      </c>
      <c r="C481" s="3" cm="1">
        <f t="array" ref="C481">B481+TIME(alea_int(5,1,Settings!$B$16),0,0)</f>
        <v>46243.5</v>
      </c>
      <c r="D481" s="3" t="str" cm="1">
        <f t="array" ref="D481">choice(Settings!K:K,1,Settings!$B$16)</f>
        <v/>
      </c>
    </row>
    <row r="482" spans="1:4" x14ac:dyDescent="0.25">
      <c r="A482" s="2" t="str" cm="1">
        <f t="array" ref="A482">choice(Professeurs!A:A,1,Settings!$B$16)</f>
        <v>Prof52</v>
      </c>
      <c r="B482" s="3" cm="1">
        <f t="array" ref="B482">alea_date(Settings!$B$11,360,Settings!$B$8+alea_int(4,0,Settings!$B$16),Settings!$B$16)</f>
        <v>46242.333333333336</v>
      </c>
      <c r="C482" s="3" cm="1">
        <f t="array" ref="C482">B482+TIME(alea_int(5,1,Settings!$B$16),0,0)</f>
        <v>46242.541666666672</v>
      </c>
      <c r="D482" s="3" t="str" cm="1">
        <f t="array" ref="D482">choice(Settings!K:K,1,Settings!$B$16)</f>
        <v>jeudi pm</v>
      </c>
    </row>
    <row r="483" spans="1:4" x14ac:dyDescent="0.25">
      <c r="A483" s="2" t="str" cm="1">
        <f t="array" ref="A483">choice(Professeurs!A:A,1,Settings!$B$16)</f>
        <v>Prof42</v>
      </c>
      <c r="B483" s="3" cm="1">
        <f t="array" ref="B483">alea_date(Settings!$B$11,360,Settings!$B$8+alea_int(4,0,Settings!$B$16),Settings!$B$16)</f>
        <v>46184.375</v>
      </c>
      <c r="C483" s="3" cm="1">
        <f t="array" ref="C483">B483+TIME(alea_int(5,1,Settings!$B$16),0,0)</f>
        <v>46184.416666666664</v>
      </c>
      <c r="D483" s="3" t="str" cm="1">
        <f t="array" ref="D483">choice(Settings!K:K,1,Settings!$B$16)</f>
        <v/>
      </c>
    </row>
    <row r="484" spans="1:4" x14ac:dyDescent="0.25">
      <c r="A484" s="2" t="str" cm="1">
        <f t="array" ref="A484">choice(Professeurs!A:A,1,Settings!$B$16)</f>
        <v>Prof44</v>
      </c>
      <c r="B484" s="3" cm="1">
        <f t="array" ref="B484">alea_date(Settings!$B$11,360,Settings!$B$8+alea_int(4,0,Settings!$B$16),Settings!$B$16)</f>
        <v>46151.333333333336</v>
      </c>
      <c r="C484" s="3" cm="1">
        <f t="array" ref="C484">B484+TIME(alea_int(5,1,Settings!$B$16),0,0)</f>
        <v>46151.375</v>
      </c>
      <c r="D484" s="3" t="str" cm="1">
        <f t="array" ref="D484">choice(Settings!K:K,1,Settings!$B$16)</f>
        <v>mardi am</v>
      </c>
    </row>
    <row r="485" spans="1:4" x14ac:dyDescent="0.25">
      <c r="A485" s="2" t="str" cm="1">
        <f t="array" ref="A485">choice(Professeurs!A:A,1,Settings!$B$16)</f>
        <v>Prof32</v>
      </c>
      <c r="B485" s="3" cm="1">
        <f t="array" ref="B485">alea_date(Settings!$B$11,360,Settings!$B$8+alea_int(4,0,Settings!$B$16),Settings!$B$16)</f>
        <v>46052.375</v>
      </c>
      <c r="C485" s="3" cm="1">
        <f t="array" ref="C485">B485+TIME(alea_int(5,1,Settings!$B$16),0,0)</f>
        <v>46052.583333333336</v>
      </c>
      <c r="D485" s="3" t="str" cm="1">
        <f t="array" ref="D485">choice(Settings!K:K,1,Settings!$B$16)</f>
        <v/>
      </c>
    </row>
    <row r="486" spans="1:4" x14ac:dyDescent="0.25">
      <c r="A486" s="2" t="str" cm="1">
        <f t="array" ref="A486">choice(Professeurs!A:A,1,Settings!$B$16)</f>
        <v>Prof33</v>
      </c>
      <c r="B486" s="3" cm="1">
        <f t="array" ref="B486">alea_date(Settings!$B$11,360,Settings!$B$8+alea_int(4,0,Settings!$B$16),Settings!$B$16)</f>
        <v>46266.416666666664</v>
      </c>
      <c r="C486" s="3" cm="1">
        <f t="array" ref="C486">B486+TIME(alea_int(5,1,Settings!$B$16),0,0)</f>
        <v>46266.583333333328</v>
      </c>
      <c r="D486" s="3" t="str" cm="1">
        <f t="array" ref="D486">choice(Settings!K:K,1,Settings!$B$16)</f>
        <v/>
      </c>
    </row>
    <row r="487" spans="1:4" x14ac:dyDescent="0.25">
      <c r="A487" s="2" t="str" cm="1">
        <f t="array" ref="A487">choice(Professeurs!A:A,1,Settings!$B$16)</f>
        <v>Prof42</v>
      </c>
      <c r="B487" s="3" cm="1">
        <f t="array" ref="B487">alea_date(Settings!$B$11,360,Settings!$B$8+alea_int(4,0,Settings!$B$16),Settings!$B$16)</f>
        <v>46366.375</v>
      </c>
      <c r="C487" s="3" cm="1">
        <f t="array" ref="C487">B487+TIME(alea_int(5,1,Settings!$B$16),0,0)</f>
        <v>46366.583333333336</v>
      </c>
      <c r="D487" s="3" t="str" cm="1">
        <f t="array" ref="D487">choice(Settings!K:K,1,Settings!$B$16)</f>
        <v>mardi pm</v>
      </c>
    </row>
    <row r="488" spans="1:4" x14ac:dyDescent="0.25">
      <c r="A488" s="2" t="str" cm="1">
        <f t="array" ref="A488">choice(Professeurs!A:A,1,Settings!$B$16)</f>
        <v>Prof33</v>
      </c>
      <c r="B488" s="3" cm="1">
        <f t="array" ref="B488">alea_date(Settings!$B$11,360,Settings!$B$8+alea_int(4,0,Settings!$B$16),Settings!$B$16)</f>
        <v>46255.333333333336</v>
      </c>
      <c r="C488" s="3" cm="1">
        <f t="array" ref="C488">B488+TIME(alea_int(5,1,Settings!$B$16),0,0)</f>
        <v>46255.458333333336</v>
      </c>
      <c r="D488" s="3" t="str" cm="1">
        <f t="array" ref="D488">choice(Settings!K:K,1,Settings!$B$16)</f>
        <v/>
      </c>
    </row>
    <row r="489" spans="1:4" x14ac:dyDescent="0.25">
      <c r="A489" s="2" t="str" cm="1">
        <f t="array" ref="A489">choice(Professeurs!A:A,1,Settings!$B$16)</f>
        <v>Prof41</v>
      </c>
      <c r="B489" s="3" cm="1">
        <f t="array" ref="B489">alea_date(Settings!$B$11,360,Settings!$B$8+alea_int(4,0,Settings!$B$16),Settings!$B$16)</f>
        <v>46042.458333333336</v>
      </c>
      <c r="C489" s="3" cm="1">
        <f t="array" ref="C489">B489+TIME(alea_int(5,1,Settings!$B$16),0,0)</f>
        <v>46042.666666666672</v>
      </c>
      <c r="D489" s="3" t="str" cm="1">
        <f t="array" ref="D489">choice(Settings!K:K,1,Settings!$B$16)</f>
        <v/>
      </c>
    </row>
    <row r="490" spans="1:4" x14ac:dyDescent="0.25">
      <c r="A490" s="2" t="str" cm="1">
        <f t="array" ref="A490">choice(Professeurs!A:A,1,Settings!$B$16)</f>
        <v>Prof53</v>
      </c>
      <c r="B490" s="3" cm="1">
        <f t="array" ref="B490">alea_date(Settings!$B$11,360,Settings!$B$8+alea_int(4,0,Settings!$B$16),Settings!$B$16)</f>
        <v>46108.416666666664</v>
      </c>
      <c r="C490" s="3" cm="1">
        <f t="array" ref="C490">B490+TIME(alea_int(5,1,Settings!$B$16),0,0)</f>
        <v>46108.458333333328</v>
      </c>
      <c r="D490" s="3" t="str" cm="1">
        <f t="array" ref="D490">choice(Settings!K:K,1,Settings!$B$16)</f>
        <v>jeudi pm</v>
      </c>
    </row>
    <row r="491" spans="1:4" x14ac:dyDescent="0.25">
      <c r="A491" s="2" t="str" cm="1">
        <f t="array" ref="A491">choice(Professeurs!A:A,1,Settings!$B$16)</f>
        <v>Prof43</v>
      </c>
      <c r="B491" s="3" cm="1">
        <f t="array" ref="B491">alea_date(Settings!$B$11,360,Settings!$B$8+alea_int(4,0,Settings!$B$16),Settings!$B$16)</f>
        <v>46326.458333333336</v>
      </c>
      <c r="C491" s="3" cm="1">
        <f t="array" ref="C491">B491+TIME(alea_int(5,1,Settings!$B$16),0,0)</f>
        <v>46326.583333333336</v>
      </c>
      <c r="D491" s="3" t="str" cm="1">
        <f t="array" ref="D491">choice(Settings!K:K,1,Settings!$B$16)</f>
        <v/>
      </c>
    </row>
    <row r="492" spans="1:4" x14ac:dyDescent="0.25">
      <c r="A492" s="2" t="str" cm="1">
        <f t="array" ref="A492">choice(Professeurs!A:A,1,Settings!$B$16)</f>
        <v>Prof11</v>
      </c>
      <c r="B492" s="3" cm="1">
        <f t="array" ref="B492">alea_date(Settings!$B$11,360,Settings!$B$8+alea_int(4,0,Settings!$B$16),Settings!$B$16)</f>
        <v>46057.416666666664</v>
      </c>
      <c r="C492" s="3" cm="1">
        <f t="array" ref="C492">B492+TIME(alea_int(5,1,Settings!$B$16),0,0)</f>
        <v>46057.625</v>
      </c>
      <c r="D492" s="3" t="str" cm="1">
        <f t="array" ref="D492">choice(Settings!K:K,1,Settings!$B$16)</f>
        <v/>
      </c>
    </row>
    <row r="493" spans="1:4" x14ac:dyDescent="0.25">
      <c r="A493" s="2" t="str" cm="1">
        <f t="array" ref="A493">choice(Professeurs!A:A,1,Settings!$B$16)</f>
        <v>Prof10</v>
      </c>
      <c r="B493" s="3" cm="1">
        <f t="array" ref="B493">alea_date(Settings!$B$11,360,Settings!$B$8+alea_int(4,0,Settings!$B$16),Settings!$B$16)</f>
        <v>46383.416666666664</v>
      </c>
      <c r="C493" s="3" cm="1">
        <f t="array" ref="C493">B493+TIME(alea_int(5,1,Settings!$B$16),0,0)</f>
        <v>46383.541666666664</v>
      </c>
      <c r="D493" s="3" t="str" cm="1">
        <f t="array" ref="D493">choice(Settings!K:K,1,Settings!$B$16)</f>
        <v>mercredi pm</v>
      </c>
    </row>
    <row r="494" spans="1:4" x14ac:dyDescent="0.25">
      <c r="A494" s="2" t="str" cm="1">
        <f t="array" ref="A494">choice(Professeurs!A:A,1,Settings!$B$16)</f>
        <v>Prof30</v>
      </c>
      <c r="B494" s="3" cm="1">
        <f t="array" ref="B494">alea_date(Settings!$B$11,360,Settings!$B$8+alea_int(4,0,Settings!$B$16),Settings!$B$16)</f>
        <v>46158.375</v>
      </c>
      <c r="C494" s="3" cm="1">
        <f t="array" ref="C494">B494+TIME(alea_int(5,1,Settings!$B$16),0,0)</f>
        <v>46158.541666666664</v>
      </c>
      <c r="D494" s="3" t="str" cm="1">
        <f t="array" ref="D494">choice(Settings!K:K,1,Settings!$B$16)</f>
        <v/>
      </c>
    </row>
    <row r="495" spans="1:4" x14ac:dyDescent="0.25">
      <c r="A495" s="2" t="str" cm="1">
        <f t="array" ref="A495">choice(Professeurs!A:A,1,Settings!$B$16)</f>
        <v>Prof34</v>
      </c>
      <c r="B495" s="3" cm="1">
        <f t="array" ref="B495">alea_date(Settings!$B$11,360,Settings!$B$8+alea_int(4,0,Settings!$B$16),Settings!$B$16)</f>
        <v>46188.458333333336</v>
      </c>
      <c r="C495" s="3" cm="1">
        <f t="array" ref="C495">B495+TIME(alea_int(5,1,Settings!$B$16),0,0)</f>
        <v>46188.666666666672</v>
      </c>
      <c r="D495" s="3" t="str" cm="1">
        <f t="array" ref="D495">choice(Settings!K:K,1,Settings!$B$16)</f>
        <v/>
      </c>
    </row>
    <row r="496" spans="1:4" x14ac:dyDescent="0.25">
      <c r="A496" s="2" t="str" cm="1">
        <f t="array" ref="A496">choice(Professeurs!A:A,1,Settings!$B$16)</f>
        <v>Prof5</v>
      </c>
      <c r="B496" s="3" cm="1">
        <f t="array" ref="B496">alea_date(Settings!$B$11,360,Settings!$B$8+alea_int(4,0,Settings!$B$16),Settings!$B$16)</f>
        <v>46041.333333333336</v>
      </c>
      <c r="C496" s="3" cm="1">
        <f t="array" ref="C496">B496+TIME(alea_int(5,1,Settings!$B$16),0,0)</f>
        <v>46041.5</v>
      </c>
      <c r="D496" s="3" t="str" cm="1">
        <f t="array" ref="D496">choice(Settings!K:K,1,Settings!$B$16)</f>
        <v>lundi pm</v>
      </c>
    </row>
    <row r="497" spans="1:4" x14ac:dyDescent="0.25">
      <c r="A497" s="2" t="str" cm="1">
        <f t="array" ref="A497">choice(Professeurs!A:A,1,Settings!$B$16)</f>
        <v>Prof35</v>
      </c>
      <c r="B497" s="3" cm="1">
        <f t="array" ref="B497">alea_date(Settings!$B$11,360,Settings!$B$8+alea_int(4,0,Settings!$B$16),Settings!$B$16)</f>
        <v>46111.333333333336</v>
      </c>
      <c r="C497" s="3" cm="1">
        <f t="array" ref="C497">B497+TIME(alea_int(5,1,Settings!$B$16),0,0)</f>
        <v>46111.458333333336</v>
      </c>
      <c r="D497" s="3" t="str" cm="1">
        <f t="array" ref="D497">choice(Settings!K:K,1,Settings!$B$16)</f>
        <v>lundi pm</v>
      </c>
    </row>
    <row r="498" spans="1:4" x14ac:dyDescent="0.25">
      <c r="A498" s="2" t="str" cm="1">
        <f t="array" ref="A498">choice(Professeurs!A:A,1,Settings!$B$16)</f>
        <v>Prof6</v>
      </c>
      <c r="B498" s="3" cm="1">
        <f t="array" ref="B498">alea_date(Settings!$B$11,360,Settings!$B$8+alea_int(4,0,Settings!$B$16),Settings!$B$16)</f>
        <v>46288.458333333336</v>
      </c>
      <c r="C498" s="3" cm="1">
        <f t="array" ref="C498">B498+TIME(alea_int(5,1,Settings!$B$16),0,0)</f>
        <v>46288.583333333336</v>
      </c>
      <c r="D498" s="3" t="str" cm="1">
        <f t="array" ref="D498">choice(Settings!K:K,1,Settings!$B$16)</f>
        <v>jeudi pm</v>
      </c>
    </row>
    <row r="499" spans="1:4" x14ac:dyDescent="0.25">
      <c r="A499" s="2" t="str" cm="1">
        <f t="array" ref="A499">choice(Professeurs!A:A,1,Settings!$B$16)</f>
        <v>Prof2</v>
      </c>
      <c r="B499" s="3" cm="1">
        <f t="array" ref="B499">alea_date(Settings!$B$11,360,Settings!$B$8+alea_int(4,0,Settings!$B$16),Settings!$B$16)</f>
        <v>46110.375</v>
      </c>
      <c r="C499" s="3" cm="1">
        <f t="array" ref="C499">B499+TIME(alea_int(5,1,Settings!$B$16),0,0)</f>
        <v>46110.416666666664</v>
      </c>
      <c r="D499" s="3" t="str" cm="1">
        <f t="array" ref="D499">choice(Settings!K:K,1,Settings!$B$16)</f>
        <v/>
      </c>
    </row>
    <row r="500" spans="1:4" x14ac:dyDescent="0.25">
      <c r="A500" s="2" t="str" cm="1">
        <f t="array" ref="A500">choice(Professeurs!A:A,1,Settings!$B$16)</f>
        <v>Prof44</v>
      </c>
      <c r="B500" s="3" cm="1">
        <f t="array" ref="B500">alea_date(Settings!$B$11,360,Settings!$B$8+alea_int(4,0,Settings!$B$16),Settings!$B$16)</f>
        <v>46145.416666666664</v>
      </c>
      <c r="C500" s="3" cm="1">
        <f t="array" ref="C500">B500+TIME(alea_int(5,1,Settings!$B$16),0,0)</f>
        <v>46145.541666666664</v>
      </c>
      <c r="D500" s="3" t="str" cm="1">
        <f t="array" ref="D500">choice(Settings!K:K,1,Settings!$B$16)</f>
        <v>jeudi am</v>
      </c>
    </row>
    <row r="501" spans="1:4" x14ac:dyDescent="0.25">
      <c r="A501" s="2" t="str" cm="1">
        <f t="array" ref="A501">choice(Professeurs!A:A,1,Settings!$B$16)</f>
        <v>Prof45</v>
      </c>
      <c r="B501" s="3" cm="1">
        <f t="array" ref="B501">alea_date(Settings!$B$11,360,Settings!$B$8+alea_int(4,0,Settings!$B$16),Settings!$B$16)</f>
        <v>46295.333333333336</v>
      </c>
      <c r="C501" s="3" cm="1">
        <f t="array" ref="C501">B501+TIME(alea_int(5,1,Settings!$B$16),0,0)</f>
        <v>46295.541666666672</v>
      </c>
      <c r="D501" s="3" t="str" cm="1">
        <f t="array" ref="D501">choice(Settings!K:K,1,Settings!$B$16)</f>
        <v/>
      </c>
    </row>
    <row r="502" spans="1:4" x14ac:dyDescent="0.25">
      <c r="A502" s="2" t="str" cm="1">
        <f t="array" ref="A502">choice(Professeurs!A:A,1,Settings!$B$16)</f>
        <v>Prof23</v>
      </c>
      <c r="B502" s="3" cm="1">
        <f t="array" ref="B502">alea_date(Settings!$B$11,360,Settings!$B$8+alea_int(4,0,Settings!$B$16),Settings!$B$16)</f>
        <v>46254.375</v>
      </c>
      <c r="C502" s="3" cm="1">
        <f t="array" ref="C502">B502+TIME(alea_int(5,1,Settings!$B$16),0,0)</f>
        <v>46254.5</v>
      </c>
      <c r="D502" s="3" t="str" cm="1">
        <f t="array" ref="D502">choice(Settings!K:K,1,Settings!$B$16)</f>
        <v/>
      </c>
    </row>
    <row r="503" spans="1:4" x14ac:dyDescent="0.25">
      <c r="A503" s="2" t="str" cm="1">
        <f t="array" ref="A503">choice(Professeurs!A:A,1,Settings!$B$16)</f>
        <v>Prof7</v>
      </c>
      <c r="B503" s="3" cm="1">
        <f t="array" ref="B503">alea_date(Settings!$B$11,360,Settings!$B$8+alea_int(4,0,Settings!$B$16),Settings!$B$16)</f>
        <v>46109.458333333336</v>
      </c>
      <c r="C503" s="3" cm="1">
        <f t="array" ref="C503">B503+TIME(alea_int(5,1,Settings!$B$16),0,0)</f>
        <v>46109.583333333336</v>
      </c>
      <c r="D503" s="3" t="str" cm="1">
        <f t="array" ref="D503">choice(Settings!K:K,1,Settings!$B$16)</f>
        <v/>
      </c>
    </row>
    <row r="504" spans="1:4" x14ac:dyDescent="0.25">
      <c r="A504" s="2" t="str" cm="1">
        <f t="array" ref="A504">choice(Professeurs!A:A,1,Settings!$B$16)</f>
        <v>Prof17</v>
      </c>
      <c r="B504" s="3" cm="1">
        <f t="array" ref="B504">alea_date(Settings!$B$11,360,Settings!$B$8+alea_int(4,0,Settings!$B$16),Settings!$B$16)</f>
        <v>46202.458333333336</v>
      </c>
      <c r="C504" s="3" cm="1">
        <f t="array" ref="C504">B504+TIME(alea_int(5,1,Settings!$B$16),0,0)</f>
        <v>46202.666666666672</v>
      </c>
      <c r="D504" s="3" t="str" cm="1">
        <f t="array" ref="D504">choice(Settings!K:K,1,Settings!$B$16)</f>
        <v>jeudi pm</v>
      </c>
    </row>
    <row r="505" spans="1:4" x14ac:dyDescent="0.25">
      <c r="A505" s="2" t="str" cm="1">
        <f t="array" ref="A505">choice(Professeurs!A:A,1,Settings!$B$16)</f>
        <v>Prof25</v>
      </c>
      <c r="B505" s="3" cm="1">
        <f t="array" ref="B505">alea_date(Settings!$B$11,360,Settings!$B$8+alea_int(4,0,Settings!$B$16),Settings!$B$16)</f>
        <v>46220.458333333336</v>
      </c>
      <c r="C505" s="3" cm="1">
        <f t="array" ref="C505">B505+TIME(alea_int(5,1,Settings!$B$16),0,0)</f>
        <v>46220.666666666672</v>
      </c>
      <c r="D505" s="3" t="str" cm="1">
        <f t="array" ref="D505">choice(Settings!K:K,1,Settings!$B$16)</f>
        <v/>
      </c>
    </row>
    <row r="506" spans="1:4" x14ac:dyDescent="0.25">
      <c r="A506" s="2" t="str" cm="1">
        <f t="array" ref="A506">choice(Professeurs!A:A,1,Settings!$B$16)</f>
        <v>Prof38</v>
      </c>
      <c r="B506" s="3" cm="1">
        <f t="array" ref="B506">alea_date(Settings!$B$11,360,Settings!$B$8+alea_int(4,0,Settings!$B$16),Settings!$B$16)</f>
        <v>46339.416666666664</v>
      </c>
      <c r="C506" s="3" cm="1">
        <f t="array" ref="C506">B506+TIME(alea_int(5,1,Settings!$B$16),0,0)</f>
        <v>46339.583333333328</v>
      </c>
      <c r="D506" s="3" t="str" cm="1">
        <f t="array" ref="D506">choice(Settings!K:K,1,Settings!$B$16)</f>
        <v>jeudi am</v>
      </c>
    </row>
    <row r="507" spans="1:4" x14ac:dyDescent="0.25">
      <c r="A507" s="2" t="str" cm="1">
        <f t="array" ref="A507">choice(Professeurs!A:A,1,Settings!$B$16)</f>
        <v>Prof41</v>
      </c>
      <c r="B507" s="3" cm="1">
        <f t="array" ref="B507">alea_date(Settings!$B$11,360,Settings!$B$8+alea_int(4,0,Settings!$B$16),Settings!$B$16)</f>
        <v>46283.416666666664</v>
      </c>
      <c r="C507" s="3" cm="1">
        <f t="array" ref="C507">B507+TIME(alea_int(5,1,Settings!$B$16),0,0)</f>
        <v>46283.625</v>
      </c>
      <c r="D507" s="3" t="str" cm="1">
        <f t="array" ref="D507">choice(Settings!K:K,1,Settings!$B$16)</f>
        <v/>
      </c>
    </row>
    <row r="508" spans="1:4" x14ac:dyDescent="0.25">
      <c r="A508" s="2" t="str" cm="1">
        <f t="array" ref="A508">choice(Professeurs!A:A,1,Settings!$B$16)</f>
        <v>Prof34</v>
      </c>
      <c r="B508" s="3" cm="1">
        <f t="array" ref="B508">alea_date(Settings!$B$11,360,Settings!$B$8+alea_int(4,0,Settings!$B$16),Settings!$B$16)</f>
        <v>46368.375</v>
      </c>
      <c r="C508" s="3" cm="1">
        <f t="array" ref="C508">B508+TIME(alea_int(5,1,Settings!$B$16),0,0)</f>
        <v>46368.416666666664</v>
      </c>
      <c r="D508" s="3" t="str" cm="1">
        <f t="array" ref="D508">choice(Settings!K:K,1,Settings!$B$16)</f>
        <v>lundi am</v>
      </c>
    </row>
    <row r="509" spans="1:4" x14ac:dyDescent="0.25">
      <c r="A509" s="2" t="str" cm="1">
        <f t="array" ref="A509">choice(Professeurs!A:A,1,Settings!$B$16)</f>
        <v>Prof8</v>
      </c>
      <c r="B509" s="3" cm="1">
        <f t="array" ref="B509">alea_date(Settings!$B$11,360,Settings!$B$8+alea_int(4,0,Settings!$B$16),Settings!$B$16)</f>
        <v>46069.375</v>
      </c>
      <c r="C509" s="3" cm="1">
        <f t="array" ref="C509">B509+TIME(alea_int(5,1,Settings!$B$16),0,0)</f>
        <v>46069.458333333336</v>
      </c>
      <c r="D509" s="3" t="str" cm="1">
        <f t="array" ref="D509">choice(Settings!K:K,1,Settings!$B$16)</f>
        <v/>
      </c>
    </row>
    <row r="510" spans="1:4" x14ac:dyDescent="0.25">
      <c r="A510" s="2" t="str" cm="1">
        <f t="array" ref="A510">choice(Professeurs!A:A,1,Settings!$B$16)</f>
        <v>Prof50</v>
      </c>
      <c r="B510" s="3" cm="1">
        <f t="array" ref="B510">alea_date(Settings!$B$11,360,Settings!$B$8+alea_int(4,0,Settings!$B$16),Settings!$B$16)</f>
        <v>46328.375</v>
      </c>
      <c r="C510" s="3" cm="1">
        <f t="array" ref="C510">B510+TIME(alea_int(5,1,Settings!$B$16),0,0)</f>
        <v>46328.458333333336</v>
      </c>
      <c r="D510" s="3" t="str" cm="1">
        <f t="array" ref="D510">choice(Settings!K:K,1,Settings!$B$16)</f>
        <v>vendredi am</v>
      </c>
    </row>
    <row r="511" spans="1:4" x14ac:dyDescent="0.25">
      <c r="A511" s="2" t="str" cm="1">
        <f t="array" ref="A511">choice(Professeurs!A:A,1,Settings!$B$16)</f>
        <v>Prof38</v>
      </c>
      <c r="B511" s="3" cm="1">
        <f t="array" ref="B511">alea_date(Settings!$B$11,360,Settings!$B$8+alea_int(4,0,Settings!$B$16),Settings!$B$16)</f>
        <v>46111.333333333336</v>
      </c>
      <c r="C511" s="3" cm="1">
        <f t="array" ref="C511">B511+TIME(alea_int(5,1,Settings!$B$16),0,0)</f>
        <v>46111.375</v>
      </c>
      <c r="D511" s="3" t="str" cm="1">
        <f t="array" ref="D511">choice(Settings!K:K,1,Settings!$B$16)</f>
        <v/>
      </c>
    </row>
    <row r="512" spans="1:4" x14ac:dyDescent="0.25">
      <c r="A512" s="2" t="str" cm="1">
        <f t="array" ref="A512">choice(Professeurs!A:A,1,Settings!$B$16)</f>
        <v>Prof39</v>
      </c>
      <c r="B512" s="3" cm="1">
        <f t="array" ref="B512">alea_date(Settings!$B$11,360,Settings!$B$8+alea_int(4,0,Settings!$B$16),Settings!$B$16)</f>
        <v>46243.333333333336</v>
      </c>
      <c r="C512" s="3" cm="1">
        <f t="array" ref="C512">B512+TIME(alea_int(5,1,Settings!$B$16),0,0)</f>
        <v>46243.416666666672</v>
      </c>
      <c r="D512" s="3" t="str" cm="1">
        <f t="array" ref="D512">choice(Settings!K:K,1,Settings!$B$16)</f>
        <v/>
      </c>
    </row>
    <row r="513" spans="1:4" x14ac:dyDescent="0.25">
      <c r="A513" s="2" t="str" cm="1">
        <f t="array" ref="A513">choice(Professeurs!A:A,1,Settings!$B$16)</f>
        <v>Prof49</v>
      </c>
      <c r="B513" s="3" cm="1">
        <f t="array" ref="B513">alea_date(Settings!$B$11,360,Settings!$B$8+alea_int(4,0,Settings!$B$16),Settings!$B$16)</f>
        <v>46259.333333333336</v>
      </c>
      <c r="C513" s="3" cm="1">
        <f t="array" ref="C513">B513+TIME(alea_int(5,1,Settings!$B$16),0,0)</f>
        <v>46259.458333333336</v>
      </c>
      <c r="D513" s="3" t="str" cm="1">
        <f t="array" ref="D513">choice(Settings!K:K,1,Settings!$B$16)</f>
        <v/>
      </c>
    </row>
    <row r="514" spans="1:4" x14ac:dyDescent="0.25">
      <c r="A514" s="2" t="str" cm="1">
        <f t="array" ref="A514">choice(Professeurs!A:A,1,Settings!$B$16)</f>
        <v>Prof19</v>
      </c>
      <c r="B514" s="3" cm="1">
        <f t="array" ref="B514">alea_date(Settings!$B$11,360,Settings!$B$8+alea_int(4,0,Settings!$B$16),Settings!$B$16)</f>
        <v>46274.416666666664</v>
      </c>
      <c r="C514" s="3" cm="1">
        <f t="array" ref="C514">B514+TIME(alea_int(5,1,Settings!$B$16),0,0)</f>
        <v>46274.458333333328</v>
      </c>
      <c r="D514" s="3" t="str" cm="1">
        <f t="array" ref="D514">choice(Settings!K:K,1,Settings!$B$16)</f>
        <v>semaine</v>
      </c>
    </row>
    <row r="515" spans="1:4" x14ac:dyDescent="0.25">
      <c r="A515" s="2" t="str" cm="1">
        <f t="array" ref="A515">choice(Professeurs!A:A,1,Settings!$B$16)</f>
        <v>Prof4</v>
      </c>
      <c r="B515" s="3" cm="1">
        <f t="array" ref="B515">alea_date(Settings!$B$11,360,Settings!$B$8+alea_int(4,0,Settings!$B$16),Settings!$B$16)</f>
        <v>46200.458333333336</v>
      </c>
      <c r="C515" s="3" cm="1">
        <f t="array" ref="C515">B515+TIME(alea_int(5,1,Settings!$B$16),0,0)</f>
        <v>46200.666666666672</v>
      </c>
      <c r="D515" s="3" t="str" cm="1">
        <f t="array" ref="D515">choice(Settings!K:K,1,Settings!$B$16)</f>
        <v/>
      </c>
    </row>
    <row r="516" spans="1:4" x14ac:dyDescent="0.25">
      <c r="A516" s="2" t="str" cm="1">
        <f t="array" ref="A516">choice(Professeurs!A:A,1,Settings!$B$16)</f>
        <v>Prof30</v>
      </c>
      <c r="B516" s="3" cm="1">
        <f t="array" ref="B516">alea_date(Settings!$B$11,360,Settings!$B$8+alea_int(4,0,Settings!$B$16),Settings!$B$16)</f>
        <v>46253.458333333336</v>
      </c>
      <c r="C516" s="3" cm="1">
        <f t="array" ref="C516">B516+TIME(alea_int(5,1,Settings!$B$16),0,0)</f>
        <v>46253.666666666672</v>
      </c>
      <c r="D516" s="3" t="str" cm="1">
        <f t="array" ref="D516">choice(Settings!K:K,1,Settings!$B$16)</f>
        <v/>
      </c>
    </row>
    <row r="517" spans="1:4" x14ac:dyDescent="0.25">
      <c r="A517" s="2" t="str" cm="1">
        <f t="array" ref="A517">choice(Professeurs!A:A,1,Settings!$B$16)</f>
        <v>Prof10</v>
      </c>
      <c r="B517" s="3" cm="1">
        <f t="array" ref="B517">alea_date(Settings!$B$11,360,Settings!$B$8+alea_int(4,0,Settings!$B$16),Settings!$B$16)</f>
        <v>46142.375</v>
      </c>
      <c r="C517" s="3" cm="1">
        <f t="array" ref="C517">B517+TIME(alea_int(5,1,Settings!$B$16),0,0)</f>
        <v>46142.541666666664</v>
      </c>
      <c r="D517" s="3" t="str" cm="1">
        <f t="array" ref="D517">choice(Settings!K:K,1,Settings!$B$16)</f>
        <v>mardi am</v>
      </c>
    </row>
    <row r="518" spans="1:4" x14ac:dyDescent="0.25">
      <c r="A518" s="2" t="str" cm="1">
        <f t="array" ref="A518">choice(Professeurs!A:A,1,Settings!$B$16)</f>
        <v>Prof16</v>
      </c>
      <c r="B518" s="3" cm="1">
        <f t="array" ref="B518">alea_date(Settings!$B$11,360,Settings!$B$8+alea_int(4,0,Settings!$B$16),Settings!$B$16)</f>
        <v>46086.458333333336</v>
      </c>
      <c r="C518" s="3" cm="1">
        <f t="array" ref="C518">B518+TIME(alea_int(5,1,Settings!$B$16),0,0)</f>
        <v>46086.541666666672</v>
      </c>
      <c r="D518" s="3" t="str" cm="1">
        <f t="array" ref="D518">choice(Settings!K:K,1,Settings!$B$16)</f>
        <v/>
      </c>
    </row>
    <row r="519" spans="1:4" x14ac:dyDescent="0.25">
      <c r="A519" s="2" t="str" cm="1">
        <f t="array" ref="A519">choice(Professeurs!A:A,1,Settings!$B$16)</f>
        <v>Prof49</v>
      </c>
      <c r="B519" s="3" cm="1">
        <f t="array" ref="B519">alea_date(Settings!$B$11,360,Settings!$B$8+alea_int(4,0,Settings!$B$16),Settings!$B$16)</f>
        <v>46028.416666666664</v>
      </c>
      <c r="C519" s="3" cm="1">
        <f t="array" ref="C519">B519+TIME(alea_int(5,1,Settings!$B$16),0,0)</f>
        <v>46028.541666666664</v>
      </c>
      <c r="D519" s="3" t="str" cm="1">
        <f t="array" ref="D519">choice(Settings!K:K,1,Settings!$B$16)</f>
        <v>mardi am</v>
      </c>
    </row>
    <row r="520" spans="1:4" x14ac:dyDescent="0.25">
      <c r="A520" s="2" t="str" cm="1">
        <f t="array" ref="A520">choice(Professeurs!A:A,1,Settings!$B$16)</f>
        <v>Prof45</v>
      </c>
      <c r="B520" s="3" cm="1">
        <f t="array" ref="B520">alea_date(Settings!$B$11,360,Settings!$B$8+alea_int(4,0,Settings!$B$16),Settings!$B$16)</f>
        <v>46357.375</v>
      </c>
      <c r="C520" s="3" cm="1">
        <f t="array" ref="C520">B520+TIME(alea_int(5,1,Settings!$B$16),0,0)</f>
        <v>46357.458333333336</v>
      </c>
      <c r="D520" s="3" t="str" cm="1">
        <f t="array" ref="D520">choice(Settings!K:K,1,Settings!$B$16)</f>
        <v/>
      </c>
    </row>
    <row r="521" spans="1:4" x14ac:dyDescent="0.25">
      <c r="A521" s="2" t="str" cm="1">
        <f t="array" ref="A521">choice(Professeurs!A:A,1,Settings!$B$16)</f>
        <v>Prof48</v>
      </c>
      <c r="B521" s="3" cm="1">
        <f t="array" ref="B521">alea_date(Settings!$B$11,360,Settings!$B$8+alea_int(4,0,Settings!$B$16),Settings!$B$16)</f>
        <v>46266.333333333336</v>
      </c>
      <c r="C521" s="3" cm="1">
        <f t="array" ref="C521">B521+TIME(alea_int(5,1,Settings!$B$16),0,0)</f>
        <v>46266.458333333336</v>
      </c>
      <c r="D521" s="3" t="str" cm="1">
        <f t="array" ref="D521">choice(Settings!K:K,1,Settings!$B$16)</f>
        <v/>
      </c>
    </row>
    <row r="522" spans="1:4" x14ac:dyDescent="0.25">
      <c r="A522" s="2" t="str" cm="1">
        <f t="array" ref="A522">choice(Professeurs!A:A,1,Settings!$B$16)</f>
        <v>Prof43</v>
      </c>
      <c r="B522" s="3" cm="1">
        <f t="array" ref="B522">alea_date(Settings!$B$11,360,Settings!$B$8+alea_int(4,0,Settings!$B$16),Settings!$B$16)</f>
        <v>46250.333333333336</v>
      </c>
      <c r="C522" s="3" cm="1">
        <f t="array" ref="C522">B522+TIME(alea_int(5,1,Settings!$B$16),0,0)</f>
        <v>46250.458333333336</v>
      </c>
      <c r="D522" s="3" t="str" cm="1">
        <f t="array" ref="D522">choice(Settings!K:K,1,Settings!$B$16)</f>
        <v>jeudi am</v>
      </c>
    </row>
    <row r="523" spans="1:4" x14ac:dyDescent="0.25">
      <c r="A523" s="2" t="str" cm="1">
        <f t="array" ref="A523">choice(Professeurs!A:A,1,Settings!$B$16)</f>
        <v>Prof53</v>
      </c>
      <c r="B523" s="3" cm="1">
        <f t="array" ref="B523">alea_date(Settings!$B$11,360,Settings!$B$8+alea_int(4,0,Settings!$B$16),Settings!$B$16)</f>
        <v>46376.416666666664</v>
      </c>
      <c r="C523" s="3" cm="1">
        <f t="array" ref="C523">B523+TIME(alea_int(5,1,Settings!$B$16),0,0)</f>
        <v>46376.458333333328</v>
      </c>
      <c r="D523" s="3" t="str" cm="1">
        <f t="array" ref="D523">choice(Settings!K:K,1,Settings!$B$16)</f>
        <v/>
      </c>
    </row>
    <row r="524" spans="1:4" x14ac:dyDescent="0.25">
      <c r="A524" s="2" t="str" cm="1">
        <f t="array" ref="A524">choice(Professeurs!A:A,1,Settings!$B$16)</f>
        <v>Prof20</v>
      </c>
      <c r="B524" s="3" cm="1">
        <f t="array" ref="B524">alea_date(Settings!$B$11,360,Settings!$B$8+alea_int(4,0,Settings!$B$16),Settings!$B$16)</f>
        <v>46147.333333333336</v>
      </c>
      <c r="C524" s="3" cm="1">
        <f t="array" ref="C524">B524+TIME(alea_int(5,1,Settings!$B$16),0,0)</f>
        <v>46147.5</v>
      </c>
      <c r="D524" s="3" t="str" cm="1">
        <f t="array" ref="D524">choice(Settings!K:K,1,Settings!$B$16)</f>
        <v>vendredi pm</v>
      </c>
    </row>
    <row r="525" spans="1:4" x14ac:dyDescent="0.25">
      <c r="A525" s="2" t="str" cm="1">
        <f t="array" ref="A525">choice(Professeurs!A:A,1,Settings!$B$16)</f>
        <v>Prof48</v>
      </c>
      <c r="B525" s="3" cm="1">
        <f t="array" ref="B525">alea_date(Settings!$B$11,360,Settings!$B$8+alea_int(4,0,Settings!$B$16),Settings!$B$16)</f>
        <v>46316.416666666664</v>
      </c>
      <c r="C525" s="3" cm="1">
        <f t="array" ref="C525">B525+TIME(alea_int(5,1,Settings!$B$16),0,0)</f>
        <v>46316.541666666664</v>
      </c>
      <c r="D525" s="3" t="str" cm="1">
        <f t="array" ref="D525">choice(Settings!K:K,1,Settings!$B$16)</f>
        <v/>
      </c>
    </row>
    <row r="526" spans="1:4" x14ac:dyDescent="0.25">
      <c r="A526" s="2" t="str" cm="1">
        <f t="array" ref="A526">choice(Professeurs!A:A,1,Settings!$B$16)</f>
        <v>Prof50</v>
      </c>
      <c r="B526" s="3" cm="1">
        <f t="array" ref="B526">alea_date(Settings!$B$11,360,Settings!$B$8+alea_int(4,0,Settings!$B$16),Settings!$B$16)</f>
        <v>46282.416666666664</v>
      </c>
      <c r="C526" s="3" cm="1">
        <f t="array" ref="C526">B526+TIME(alea_int(5,1,Settings!$B$16),0,0)</f>
        <v>46282.458333333328</v>
      </c>
      <c r="D526" s="3" t="str" cm="1">
        <f t="array" ref="D526">choice(Settings!K:K,1,Settings!$B$16)</f>
        <v/>
      </c>
    </row>
    <row r="527" spans="1:4" x14ac:dyDescent="0.25">
      <c r="A527" s="2" t="str" cm="1">
        <f t="array" ref="A527">choice(Professeurs!A:A,1,Settings!$B$16)</f>
        <v>Prof17</v>
      </c>
      <c r="B527" s="3" cm="1">
        <f t="array" ref="B527">alea_date(Settings!$B$11,360,Settings!$B$8+alea_int(4,0,Settings!$B$16),Settings!$B$16)</f>
        <v>46252.416666666664</v>
      </c>
      <c r="C527" s="3" cm="1">
        <f t="array" ref="C527">B527+TIME(alea_int(5,1,Settings!$B$16),0,0)</f>
        <v>46252.583333333328</v>
      </c>
      <c r="D527" s="3" t="str" cm="1">
        <f t="array" ref="D527">choice(Settings!K:K,1,Settings!$B$16)</f>
        <v>vendredi am</v>
      </c>
    </row>
    <row r="528" spans="1:4" x14ac:dyDescent="0.25">
      <c r="A528" s="2" t="str" cm="1">
        <f t="array" ref="A528">choice(Professeurs!A:A,1,Settings!$B$16)</f>
        <v>Prof25</v>
      </c>
      <c r="B528" s="3" cm="1">
        <f t="array" ref="B528">alea_date(Settings!$B$11,360,Settings!$B$8+alea_int(4,0,Settings!$B$16),Settings!$B$16)</f>
        <v>46364.375</v>
      </c>
      <c r="C528" s="3" cm="1">
        <f t="array" ref="C528">B528+TIME(alea_int(5,1,Settings!$B$16),0,0)</f>
        <v>46364.458333333336</v>
      </c>
      <c r="D528" s="3" t="str" cm="1">
        <f t="array" ref="D528">choice(Settings!K:K,1,Settings!$B$16)</f>
        <v/>
      </c>
    </row>
    <row r="529" spans="1:4" x14ac:dyDescent="0.25">
      <c r="A529" s="2" t="str" cm="1">
        <f t="array" ref="A529">choice(Professeurs!A:A,1,Settings!$B$16)</f>
        <v>Prof31</v>
      </c>
      <c r="B529" s="3" cm="1">
        <f t="array" ref="B529">alea_date(Settings!$B$11,360,Settings!$B$8+alea_int(4,0,Settings!$B$16),Settings!$B$16)</f>
        <v>46162.416666666664</v>
      </c>
      <c r="C529" s="3" cm="1">
        <f t="array" ref="C529">B529+TIME(alea_int(5,1,Settings!$B$16),0,0)</f>
        <v>46162.5</v>
      </c>
      <c r="D529" s="3" t="str" cm="1">
        <f t="array" ref="D529">choice(Settings!K:K,1,Settings!$B$16)</f>
        <v>lundi am</v>
      </c>
    </row>
    <row r="530" spans="1:4" x14ac:dyDescent="0.25">
      <c r="A530" s="2" t="str" cm="1">
        <f t="array" ref="A530">choice(Professeurs!A:A,1,Settings!$B$16)</f>
        <v>Prof12</v>
      </c>
      <c r="B530" s="3" cm="1">
        <f t="array" ref="B530">alea_date(Settings!$B$11,360,Settings!$B$8+alea_int(4,0,Settings!$B$16),Settings!$B$16)</f>
        <v>46277.458333333336</v>
      </c>
      <c r="C530" s="3" cm="1">
        <f t="array" ref="C530">B530+TIME(alea_int(5,1,Settings!$B$16),0,0)</f>
        <v>46277.625</v>
      </c>
      <c r="D530" s="3" t="str" cm="1">
        <f t="array" ref="D530">choice(Settings!K:K,1,Settings!$B$16)</f>
        <v/>
      </c>
    </row>
    <row r="531" spans="1:4" x14ac:dyDescent="0.25">
      <c r="A531" s="2" t="str" cm="1">
        <f t="array" ref="A531">choice(Professeurs!A:A,1,Settings!$B$16)</f>
        <v>Prof25</v>
      </c>
      <c r="B531" s="3" cm="1">
        <f t="array" ref="B531">alea_date(Settings!$B$11,360,Settings!$B$8+alea_int(4,0,Settings!$B$16),Settings!$B$16)</f>
        <v>46137.333333333336</v>
      </c>
      <c r="C531" s="3" cm="1">
        <f t="array" ref="C531">B531+TIME(alea_int(5,1,Settings!$B$16),0,0)</f>
        <v>46137.458333333336</v>
      </c>
      <c r="D531" s="3" t="str" cm="1">
        <f t="array" ref="D531">choice(Settings!K:K,1,Settings!$B$16)</f>
        <v/>
      </c>
    </row>
    <row r="532" spans="1:4" x14ac:dyDescent="0.25">
      <c r="A532" s="2" t="str" cm="1">
        <f t="array" ref="A532">choice(Professeurs!A:A,1,Settings!$B$16)</f>
        <v>Prof17</v>
      </c>
      <c r="B532" s="3" cm="1">
        <f t="array" ref="B532">alea_date(Settings!$B$11,360,Settings!$B$8+alea_int(4,0,Settings!$B$16),Settings!$B$16)</f>
        <v>46234.416666666664</v>
      </c>
      <c r="C532" s="3" cm="1">
        <f t="array" ref="C532">B532+TIME(alea_int(5,1,Settings!$B$16),0,0)</f>
        <v>46234.625</v>
      </c>
      <c r="D532" s="3" t="str" cm="1">
        <f t="array" ref="D532">choice(Settings!K:K,1,Settings!$B$16)</f>
        <v/>
      </c>
    </row>
    <row r="533" spans="1:4" x14ac:dyDescent="0.25">
      <c r="A533" s="2" t="str" cm="1">
        <f t="array" ref="A533">choice(Professeurs!A:A,1,Settings!$B$16)</f>
        <v>Prof51</v>
      </c>
      <c r="B533" s="3" cm="1">
        <f t="array" ref="B533">alea_date(Settings!$B$11,360,Settings!$B$8+alea_int(4,0,Settings!$B$16),Settings!$B$16)</f>
        <v>46130.375</v>
      </c>
      <c r="C533" s="3" cm="1">
        <f t="array" ref="C533">B533+TIME(alea_int(5,1,Settings!$B$16),0,0)</f>
        <v>46130.541666666664</v>
      </c>
      <c r="D533" s="3" t="str" cm="1">
        <f t="array" ref="D533">choice(Settings!K:K,1,Settings!$B$16)</f>
        <v/>
      </c>
    </row>
    <row r="534" spans="1:4" x14ac:dyDescent="0.25">
      <c r="A534" s="2" t="str" cm="1">
        <f t="array" ref="A534">choice(Professeurs!A:A,1,Settings!$B$16)</f>
        <v>Prof37</v>
      </c>
      <c r="B534" s="3" cm="1">
        <f t="array" ref="B534">alea_date(Settings!$B$11,360,Settings!$B$8+alea_int(4,0,Settings!$B$16),Settings!$B$16)</f>
        <v>46288.375</v>
      </c>
      <c r="C534" s="3" cm="1">
        <f t="array" ref="C534">B534+TIME(alea_int(5,1,Settings!$B$16),0,0)</f>
        <v>46288.458333333336</v>
      </c>
      <c r="D534" s="3" t="str" cm="1">
        <f t="array" ref="D534">choice(Settings!K:K,1,Settings!$B$16)</f>
        <v/>
      </c>
    </row>
    <row r="535" spans="1:4" x14ac:dyDescent="0.25">
      <c r="A535" s="2" t="str" cm="1">
        <f t="array" ref="A535">choice(Professeurs!A:A,1,Settings!$B$16)</f>
        <v>Prof54</v>
      </c>
      <c r="B535" s="3" cm="1">
        <f t="array" ref="B535">alea_date(Settings!$B$11,360,Settings!$B$8+alea_int(4,0,Settings!$B$16),Settings!$B$16)</f>
        <v>46340.416666666664</v>
      </c>
      <c r="C535" s="3" cm="1">
        <f t="array" ref="C535">B535+TIME(alea_int(5,1,Settings!$B$16),0,0)</f>
        <v>46340.5</v>
      </c>
      <c r="D535" s="3" t="str" cm="1">
        <f t="array" ref="D535">choice(Settings!K:K,1,Settings!$B$16)</f>
        <v>mercredi ap</v>
      </c>
    </row>
    <row r="536" spans="1:4" x14ac:dyDescent="0.25">
      <c r="A536" s="2" t="str" cm="1">
        <f t="array" ref="A536">choice(Professeurs!A:A,1,Settings!$B$16)</f>
        <v>Prof37</v>
      </c>
      <c r="B536" s="3" cm="1">
        <f t="array" ref="B536">alea_date(Settings!$B$11,360,Settings!$B$8+alea_int(4,0,Settings!$B$16),Settings!$B$16)</f>
        <v>46049.458333333336</v>
      </c>
      <c r="C536" s="3" cm="1">
        <f t="array" ref="C536">B536+TIME(alea_int(5,1,Settings!$B$16),0,0)</f>
        <v>46049.5</v>
      </c>
      <c r="D536" s="3" t="str" cm="1">
        <f t="array" ref="D536">choice(Settings!K:K,1,Settings!$B$16)</f>
        <v/>
      </c>
    </row>
    <row r="537" spans="1:4" x14ac:dyDescent="0.25">
      <c r="A537" s="2" t="str" cm="1">
        <f t="array" ref="A537">choice(Professeurs!A:A,1,Settings!$B$16)</f>
        <v>Prof21</v>
      </c>
      <c r="B537" s="3" cm="1">
        <f t="array" ref="B537">alea_date(Settings!$B$11,360,Settings!$B$8+alea_int(4,0,Settings!$B$16),Settings!$B$16)</f>
        <v>46154.416666666664</v>
      </c>
      <c r="C537" s="3" cm="1">
        <f t="array" ref="C537">B537+TIME(alea_int(5,1,Settings!$B$16),0,0)</f>
        <v>46154.541666666664</v>
      </c>
      <c r="D537" s="3" t="str" cm="1">
        <f t="array" ref="D537">choice(Settings!K:K,1,Settings!$B$16)</f>
        <v>lundi pm</v>
      </c>
    </row>
    <row r="538" spans="1:4" x14ac:dyDescent="0.25">
      <c r="A538" s="2" t="str" cm="1">
        <f t="array" ref="A538">choice(Professeurs!A:A,1,Settings!$B$16)</f>
        <v>Prof46</v>
      </c>
      <c r="B538" s="3" cm="1">
        <f t="array" ref="B538">alea_date(Settings!$B$11,360,Settings!$B$8+alea_int(4,0,Settings!$B$16),Settings!$B$16)</f>
        <v>46265.416666666664</v>
      </c>
      <c r="C538" s="3" cm="1">
        <f t="array" ref="C538">B538+TIME(alea_int(5,1,Settings!$B$16),0,0)</f>
        <v>46265.458333333328</v>
      </c>
      <c r="D538" s="3" t="str" cm="1">
        <f t="array" ref="D538">choice(Settings!K:K,1,Settings!$B$16)</f>
        <v/>
      </c>
    </row>
    <row r="539" spans="1:4" x14ac:dyDescent="0.25">
      <c r="A539" s="2" t="str" cm="1">
        <f t="array" ref="A539">choice(Professeurs!A:A,1,Settings!$B$16)</f>
        <v>Prof13</v>
      </c>
      <c r="B539" s="3" cm="1">
        <f t="array" ref="B539">alea_date(Settings!$B$11,360,Settings!$B$8+alea_int(4,0,Settings!$B$16),Settings!$B$16)</f>
        <v>46068.416666666664</v>
      </c>
      <c r="C539" s="3" cm="1">
        <f t="array" ref="C539">B539+TIME(alea_int(5,1,Settings!$B$16),0,0)</f>
        <v>46068.583333333328</v>
      </c>
      <c r="D539" s="3" t="str" cm="1">
        <f t="array" ref="D539">choice(Settings!K:K,1,Settings!$B$16)</f>
        <v/>
      </c>
    </row>
    <row r="540" spans="1:4" x14ac:dyDescent="0.25">
      <c r="A540" s="2" t="str" cm="1">
        <f t="array" ref="A540">choice(Professeurs!A:A,1,Settings!$B$16)</f>
        <v>Prof37</v>
      </c>
      <c r="B540" s="3" cm="1">
        <f t="array" ref="B540">alea_date(Settings!$B$11,360,Settings!$B$8+alea_int(4,0,Settings!$B$16),Settings!$B$16)</f>
        <v>46295.416666666664</v>
      </c>
      <c r="C540" s="3" cm="1">
        <f t="array" ref="C540">B540+TIME(alea_int(5,1,Settings!$B$16),0,0)</f>
        <v>46295.5</v>
      </c>
      <c r="D540" s="3" t="str" cm="1">
        <f t="array" ref="D540">choice(Settings!K:K,1,Settings!$B$16)</f>
        <v/>
      </c>
    </row>
    <row r="541" spans="1:4" x14ac:dyDescent="0.25">
      <c r="A541" s="2" t="str" cm="1">
        <f t="array" ref="A541">choice(Professeurs!A:A,1,Settings!$B$16)</f>
        <v>Prof35</v>
      </c>
      <c r="B541" s="3" cm="1">
        <f t="array" ref="B541">alea_date(Settings!$B$11,360,Settings!$B$8+alea_int(4,0,Settings!$B$16),Settings!$B$16)</f>
        <v>46281.458333333336</v>
      </c>
      <c r="C541" s="3" cm="1">
        <f t="array" ref="C541">B541+TIME(alea_int(5,1,Settings!$B$16),0,0)</f>
        <v>46281.541666666672</v>
      </c>
      <c r="D541" s="3" t="str" cm="1">
        <f t="array" ref="D541">choice(Settings!K:K,1,Settings!$B$16)</f>
        <v/>
      </c>
    </row>
    <row r="542" spans="1:4" x14ac:dyDescent="0.25">
      <c r="A542" s="2" t="str" cm="1">
        <f t="array" ref="A542">choice(Professeurs!A:A,1,Settings!$B$16)</f>
        <v>Prof30</v>
      </c>
      <c r="B542" s="3" cm="1">
        <f t="array" ref="B542">alea_date(Settings!$B$11,360,Settings!$B$8+alea_int(4,0,Settings!$B$16),Settings!$B$16)</f>
        <v>46184.458333333336</v>
      </c>
      <c r="C542" s="3" cm="1">
        <f t="array" ref="C542">B542+TIME(alea_int(5,1,Settings!$B$16),0,0)</f>
        <v>46184.541666666672</v>
      </c>
      <c r="D542" s="3" t="str" cm="1">
        <f t="array" ref="D542">choice(Settings!K:K,1,Settings!$B$16)</f>
        <v/>
      </c>
    </row>
    <row r="543" spans="1:4" x14ac:dyDescent="0.25">
      <c r="A543" s="2" t="str" cm="1">
        <f t="array" ref="A543">choice(Professeurs!A:A,1,Settings!$B$16)</f>
        <v>Prof53</v>
      </c>
      <c r="B543" s="3" cm="1">
        <f t="array" ref="B543">alea_date(Settings!$B$11,360,Settings!$B$8+alea_int(4,0,Settings!$B$16),Settings!$B$16)</f>
        <v>46284.333333333336</v>
      </c>
      <c r="C543" s="3" cm="1">
        <f t="array" ref="C543">B543+TIME(alea_int(5,1,Settings!$B$16),0,0)</f>
        <v>46284.541666666672</v>
      </c>
      <c r="D543" s="3" t="str" cm="1">
        <f t="array" ref="D543">choice(Settings!K:K,1,Settings!$B$16)</f>
        <v/>
      </c>
    </row>
    <row r="544" spans="1:4" x14ac:dyDescent="0.25">
      <c r="A544" s="2" t="str" cm="1">
        <f t="array" ref="A544">choice(Professeurs!A:A,1,Settings!$B$16)</f>
        <v>Prof28</v>
      </c>
      <c r="B544" s="3" cm="1">
        <f t="array" ref="B544">alea_date(Settings!$B$11,360,Settings!$B$8+alea_int(4,0,Settings!$B$16),Settings!$B$16)</f>
        <v>46095.458333333336</v>
      </c>
      <c r="C544" s="3" cm="1">
        <f t="array" ref="C544">B544+TIME(alea_int(5,1,Settings!$B$16),0,0)</f>
        <v>46095.583333333336</v>
      </c>
      <c r="D544" s="3" t="str" cm="1">
        <f t="array" ref="D544">choice(Settings!K:K,1,Settings!$B$16)</f>
        <v/>
      </c>
    </row>
    <row r="545" spans="1:4" x14ac:dyDescent="0.25">
      <c r="A545" s="2" t="str" cm="1">
        <f t="array" ref="A545">choice(Professeurs!A:A,1,Settings!$B$16)</f>
        <v>Prof11</v>
      </c>
      <c r="B545" s="3" cm="1">
        <f t="array" ref="B545">alea_date(Settings!$B$11,360,Settings!$B$8+alea_int(4,0,Settings!$B$16),Settings!$B$16)</f>
        <v>46263.416666666664</v>
      </c>
      <c r="C545" s="3" cm="1">
        <f t="array" ref="C545">B545+TIME(alea_int(5,1,Settings!$B$16),0,0)</f>
        <v>46263.541666666664</v>
      </c>
      <c r="D545" s="3" t="str" cm="1">
        <f t="array" ref="D545">choice(Settings!K:K,1,Settings!$B$16)</f>
        <v>mardi pm</v>
      </c>
    </row>
    <row r="546" spans="1:4" x14ac:dyDescent="0.25">
      <c r="A546" s="2" t="str" cm="1">
        <f t="array" ref="A546">choice(Professeurs!A:A,1,Settings!$B$16)</f>
        <v>Prof6</v>
      </c>
      <c r="B546" s="3" cm="1">
        <f t="array" ref="B546">alea_date(Settings!$B$11,360,Settings!$B$8+alea_int(4,0,Settings!$B$16),Settings!$B$16)</f>
        <v>46370.333333333336</v>
      </c>
      <c r="C546" s="3" cm="1">
        <f t="array" ref="C546">B546+TIME(alea_int(5,1,Settings!$B$16),0,0)</f>
        <v>46370.375</v>
      </c>
      <c r="D546" s="3" t="str" cm="1">
        <f t="array" ref="D546">choice(Settings!K:K,1,Settings!$B$16)</f>
        <v/>
      </c>
    </row>
    <row r="547" spans="1:4" x14ac:dyDescent="0.25">
      <c r="A547" s="2" t="str" cm="1">
        <f t="array" ref="A547">choice(Professeurs!A:A,1,Settings!$B$16)</f>
        <v>Prof26</v>
      </c>
      <c r="B547" s="3" cm="1">
        <f t="array" ref="B547">alea_date(Settings!$B$11,360,Settings!$B$8+alea_int(4,0,Settings!$B$16),Settings!$B$16)</f>
        <v>46058.458333333336</v>
      </c>
      <c r="C547" s="3" cm="1">
        <f t="array" ref="C547">B547+TIME(alea_int(5,1,Settings!$B$16),0,0)</f>
        <v>46058.666666666672</v>
      </c>
      <c r="D547" s="3" t="str" cm="1">
        <f t="array" ref="D547">choice(Settings!K:K,1,Settings!$B$16)</f>
        <v>jeudi pm</v>
      </c>
    </row>
    <row r="548" spans="1:4" x14ac:dyDescent="0.25">
      <c r="A548" s="2" t="str" cm="1">
        <f t="array" ref="A548">choice(Professeurs!A:A,1,Settings!$B$16)</f>
        <v>Prof5</v>
      </c>
      <c r="B548" s="3" cm="1">
        <f t="array" ref="B548">alea_date(Settings!$B$11,360,Settings!$B$8+alea_int(4,0,Settings!$B$16),Settings!$B$16)</f>
        <v>46218.416666666664</v>
      </c>
      <c r="C548" s="3" cm="1">
        <f t="array" ref="C548">B548+TIME(alea_int(5,1,Settings!$B$16),0,0)</f>
        <v>46218.541666666664</v>
      </c>
      <c r="D548" s="3" t="str" cm="1">
        <f t="array" ref="D548">choice(Settings!K:K,1,Settings!$B$16)</f>
        <v/>
      </c>
    </row>
    <row r="549" spans="1:4" x14ac:dyDescent="0.25">
      <c r="A549" s="2" t="str" cm="1">
        <f t="array" ref="A549">choice(Professeurs!A:A,1,Settings!$B$16)</f>
        <v>Prof5</v>
      </c>
      <c r="B549" s="3" cm="1">
        <f t="array" ref="B549">alea_date(Settings!$B$11,360,Settings!$B$8+alea_int(4,0,Settings!$B$16),Settings!$B$16)</f>
        <v>46110.458333333336</v>
      </c>
      <c r="C549" s="3" cm="1">
        <f t="array" ref="C549">B549+TIME(alea_int(5,1,Settings!$B$16),0,0)</f>
        <v>46110.583333333336</v>
      </c>
      <c r="D549" s="3" t="str" cm="1">
        <f t="array" ref="D549">choice(Settings!K:K,1,Settings!$B$16)</f>
        <v>mercredi ap</v>
      </c>
    </row>
    <row r="550" spans="1:4" x14ac:dyDescent="0.25">
      <c r="A550" s="2" t="str" cm="1">
        <f t="array" ref="A550">choice(Professeurs!A:A,1,Settings!$B$16)</f>
        <v>Prof29</v>
      </c>
      <c r="B550" s="3" cm="1">
        <f t="array" ref="B550">alea_date(Settings!$B$11,360,Settings!$B$8+alea_int(4,0,Settings!$B$16),Settings!$B$16)</f>
        <v>46079.333333333336</v>
      </c>
      <c r="C550" s="3" cm="1">
        <f t="array" ref="C550">B550+TIME(alea_int(5,1,Settings!$B$16),0,0)</f>
        <v>46079.458333333336</v>
      </c>
      <c r="D550" s="3" t="str" cm="1">
        <f t="array" ref="D550">choice(Settings!K:K,1,Settings!$B$16)</f>
        <v/>
      </c>
    </row>
    <row r="551" spans="1:4" x14ac:dyDescent="0.25">
      <c r="A551" s="2" t="str" cm="1">
        <f t="array" ref="A551">choice(Professeurs!A:A,1,Settings!$B$16)</f>
        <v>Prof51</v>
      </c>
      <c r="B551" s="3" cm="1">
        <f t="array" ref="B551">alea_date(Settings!$B$11,360,Settings!$B$8+alea_int(4,0,Settings!$B$16),Settings!$B$16)</f>
        <v>46252.375</v>
      </c>
      <c r="C551" s="3" cm="1">
        <f t="array" ref="C551">B551+TIME(alea_int(5,1,Settings!$B$16),0,0)</f>
        <v>46252.541666666664</v>
      </c>
      <c r="D551" s="3" t="str" cm="1">
        <f t="array" ref="D551">choice(Settings!K:K,1,Settings!$B$16)</f>
        <v>mardi am</v>
      </c>
    </row>
    <row r="552" spans="1:4" x14ac:dyDescent="0.25">
      <c r="A552" s="2" t="str" cm="1">
        <f t="array" ref="A552">choice(Professeurs!A:A,1,Settings!$B$16)</f>
        <v>Prof9</v>
      </c>
      <c r="B552" s="3" cm="1">
        <f t="array" ref="B552">alea_date(Settings!$B$11,360,Settings!$B$8+alea_int(4,0,Settings!$B$16),Settings!$B$16)</f>
        <v>46117.375</v>
      </c>
      <c r="C552" s="3" cm="1">
        <f t="array" ref="C552">B552+TIME(alea_int(5,1,Settings!$B$16),0,0)</f>
        <v>46117.5</v>
      </c>
      <c r="D552" s="3" t="str" cm="1">
        <f t="array" ref="D552">choice(Settings!K:K,1,Settings!$B$16)</f>
        <v>mardi am</v>
      </c>
    </row>
    <row r="553" spans="1:4" x14ac:dyDescent="0.25">
      <c r="A553" s="2" t="str" cm="1">
        <f t="array" ref="A553">choice(Professeurs!A:A,1,Settings!$B$16)</f>
        <v>Prof18</v>
      </c>
      <c r="B553" s="3" cm="1">
        <f t="array" ref="B553">alea_date(Settings!$B$11,360,Settings!$B$8+alea_int(4,0,Settings!$B$16),Settings!$B$16)</f>
        <v>46259.458333333336</v>
      </c>
      <c r="C553" s="3" cm="1">
        <f t="array" ref="C553">B553+TIME(alea_int(5,1,Settings!$B$16),0,0)</f>
        <v>46259.5</v>
      </c>
      <c r="D553" s="3" t="str" cm="1">
        <f t="array" ref="D553">choice(Settings!K:K,1,Settings!$B$16)</f>
        <v/>
      </c>
    </row>
    <row r="554" spans="1:4" x14ac:dyDescent="0.25">
      <c r="A554" s="2" t="str" cm="1">
        <f t="array" ref="A554">choice(Professeurs!A:A,1,Settings!$B$16)</f>
        <v>Prof7</v>
      </c>
      <c r="B554" s="3" cm="1">
        <f t="array" ref="B554">alea_date(Settings!$B$11,360,Settings!$B$8+alea_int(4,0,Settings!$B$16),Settings!$B$16)</f>
        <v>46198.416666666664</v>
      </c>
      <c r="C554" s="3" cm="1">
        <f t="array" ref="C554">B554+TIME(alea_int(5,1,Settings!$B$16),0,0)</f>
        <v>46198.625</v>
      </c>
      <c r="D554" s="3" t="str" cm="1">
        <f t="array" ref="D554">choice(Settings!K:K,1,Settings!$B$16)</f>
        <v/>
      </c>
    </row>
    <row r="555" spans="1:4" x14ac:dyDescent="0.25">
      <c r="A555" s="2" t="str" cm="1">
        <f t="array" ref="A555">choice(Professeurs!A:A,1,Settings!$B$16)</f>
        <v>Prof44</v>
      </c>
      <c r="B555" s="3" cm="1">
        <f t="array" ref="B555">alea_date(Settings!$B$11,360,Settings!$B$8+alea_int(4,0,Settings!$B$16),Settings!$B$16)</f>
        <v>46241.416666666664</v>
      </c>
      <c r="C555" s="3" cm="1">
        <f t="array" ref="C555">B555+TIME(alea_int(5,1,Settings!$B$16),0,0)</f>
        <v>46241.5</v>
      </c>
      <c r="D555" s="3" t="str" cm="1">
        <f t="array" ref="D555">choice(Settings!K:K,1,Settings!$B$16)</f>
        <v>semaine</v>
      </c>
    </row>
    <row r="556" spans="1:4" x14ac:dyDescent="0.25">
      <c r="A556" s="2" t="str" cm="1">
        <f t="array" ref="A556">choice(Professeurs!A:A,1,Settings!$B$16)</f>
        <v>Prof30</v>
      </c>
      <c r="B556" s="3" cm="1">
        <f t="array" ref="B556">alea_date(Settings!$B$11,360,Settings!$B$8+alea_int(4,0,Settings!$B$16),Settings!$B$16)</f>
        <v>46061.333333333336</v>
      </c>
      <c r="C556" s="3" cm="1">
        <f t="array" ref="C556">B556+TIME(alea_int(5,1,Settings!$B$16),0,0)</f>
        <v>46061.541666666672</v>
      </c>
      <c r="D556" s="3" t="str" cm="1">
        <f t="array" ref="D556">choice(Settings!K:K,1,Settings!$B$16)</f>
        <v/>
      </c>
    </row>
    <row r="557" spans="1:4" x14ac:dyDescent="0.25">
      <c r="A557" s="2" t="str" cm="1">
        <f t="array" ref="A557">choice(Professeurs!A:A,1,Settings!$B$16)</f>
        <v>Prof53</v>
      </c>
      <c r="B557" s="3" cm="1">
        <f t="array" ref="B557">alea_date(Settings!$B$11,360,Settings!$B$8+alea_int(4,0,Settings!$B$16),Settings!$B$16)</f>
        <v>46326.458333333336</v>
      </c>
      <c r="C557" s="3" cm="1">
        <f t="array" ref="C557">B557+TIME(alea_int(5,1,Settings!$B$16),0,0)</f>
        <v>46326.666666666672</v>
      </c>
      <c r="D557" s="3" t="str" cm="1">
        <f t="array" ref="D557">choice(Settings!K:K,1,Settings!$B$16)</f>
        <v/>
      </c>
    </row>
    <row r="558" spans="1:4" x14ac:dyDescent="0.25">
      <c r="A558" s="2" t="str" cm="1">
        <f t="array" ref="A558">choice(Professeurs!A:A,1,Settings!$B$16)</f>
        <v>Prof27</v>
      </c>
      <c r="B558" s="3" cm="1">
        <f t="array" ref="B558">alea_date(Settings!$B$11,360,Settings!$B$8+alea_int(4,0,Settings!$B$16),Settings!$B$16)</f>
        <v>46221.458333333336</v>
      </c>
      <c r="C558" s="3" cm="1">
        <f t="array" ref="C558">B558+TIME(alea_int(5,1,Settings!$B$16),0,0)</f>
        <v>46221.625</v>
      </c>
      <c r="D558" s="3" t="str" cm="1">
        <f t="array" ref="D558">choice(Settings!K:K,1,Settings!$B$16)</f>
        <v/>
      </c>
    </row>
    <row r="559" spans="1:4" x14ac:dyDescent="0.25">
      <c r="A559" s="2" t="str" cm="1">
        <f t="array" ref="A559">choice(Professeurs!A:A,1,Settings!$B$16)</f>
        <v>Prof15</v>
      </c>
      <c r="B559" s="3" cm="1">
        <f t="array" ref="B559">alea_date(Settings!$B$11,360,Settings!$B$8+alea_int(4,0,Settings!$B$16),Settings!$B$16)</f>
        <v>46070.333333333336</v>
      </c>
      <c r="C559" s="3" cm="1">
        <f t="array" ref="C559">B559+TIME(alea_int(5,1,Settings!$B$16),0,0)</f>
        <v>46070.541666666672</v>
      </c>
      <c r="D559" s="3" t="str" cm="1">
        <f t="array" ref="D559">choice(Settings!K:K,1,Settings!$B$16)</f>
        <v/>
      </c>
    </row>
    <row r="560" spans="1:4" x14ac:dyDescent="0.25">
      <c r="A560" s="2" t="str" cm="1">
        <f t="array" ref="A560">choice(Professeurs!A:A,1,Settings!$B$16)</f>
        <v>Prof55</v>
      </c>
      <c r="B560" s="3" cm="1">
        <f t="array" ref="B560">alea_date(Settings!$B$11,360,Settings!$B$8+alea_int(4,0,Settings!$B$16),Settings!$B$16)</f>
        <v>46357.333333333336</v>
      </c>
      <c r="C560" s="3" cm="1">
        <f t="array" ref="C560">B560+TIME(alea_int(5,1,Settings!$B$16),0,0)</f>
        <v>46357.458333333336</v>
      </c>
      <c r="D560" s="3" t="str" cm="1">
        <f t="array" ref="D560">choice(Settings!K:K,1,Settings!$B$16)</f>
        <v/>
      </c>
    </row>
    <row r="561" spans="1:4" x14ac:dyDescent="0.25">
      <c r="A561" s="2" t="str" cm="1">
        <f t="array" ref="A561">choice(Professeurs!A:A,1,Settings!$B$16)</f>
        <v>Prof8</v>
      </c>
      <c r="B561" s="3" cm="1">
        <f t="array" ref="B561">alea_date(Settings!$B$11,360,Settings!$B$8+alea_int(4,0,Settings!$B$16),Settings!$B$16)</f>
        <v>46167.333333333336</v>
      </c>
      <c r="C561" s="3" cm="1">
        <f t="array" ref="C561">B561+TIME(alea_int(5,1,Settings!$B$16),0,0)</f>
        <v>46167.416666666672</v>
      </c>
      <c r="D561" s="3" t="str" cm="1">
        <f t="array" ref="D561">choice(Settings!K:K,1,Settings!$B$16)</f>
        <v/>
      </c>
    </row>
    <row r="562" spans="1:4" x14ac:dyDescent="0.25">
      <c r="A562" s="2" t="str" cm="1">
        <f t="array" ref="A562">choice(Professeurs!A:A,1,Settings!$B$16)</f>
        <v>Prof33</v>
      </c>
      <c r="B562" s="3" cm="1">
        <f t="array" ref="B562">alea_date(Settings!$B$11,360,Settings!$B$8+alea_int(4,0,Settings!$B$16),Settings!$B$16)</f>
        <v>46229.375</v>
      </c>
      <c r="C562" s="3" cm="1">
        <f t="array" ref="C562">B562+TIME(alea_int(5,1,Settings!$B$16),0,0)</f>
        <v>46229.5</v>
      </c>
      <c r="D562" s="3" t="str" cm="1">
        <f t="array" ref="D562">choice(Settings!K:K,1,Settings!$B$16)</f>
        <v/>
      </c>
    </row>
    <row r="563" spans="1:4" x14ac:dyDescent="0.25">
      <c r="A563" s="2" t="str" cm="1">
        <f t="array" ref="A563">choice(Professeurs!A:A,1,Settings!$B$16)</f>
        <v>Prof8</v>
      </c>
      <c r="B563" s="3" cm="1">
        <f t="array" ref="B563">alea_date(Settings!$B$11,360,Settings!$B$8+alea_int(4,0,Settings!$B$16),Settings!$B$16)</f>
        <v>46028.375</v>
      </c>
      <c r="C563" s="3" cm="1">
        <f t="array" ref="C563">B563+TIME(alea_int(5,1,Settings!$B$16),0,0)</f>
        <v>46028.583333333336</v>
      </c>
      <c r="D563" s="3" t="str" cm="1">
        <f t="array" ref="D563">choice(Settings!K:K,1,Settings!$B$16)</f>
        <v>semaine</v>
      </c>
    </row>
    <row r="564" spans="1:4" x14ac:dyDescent="0.25">
      <c r="A564" s="2" t="str" cm="1">
        <f t="array" ref="A564">choice(Professeurs!A:A,1,Settings!$B$16)</f>
        <v>Prof32</v>
      </c>
      <c r="B564" s="3" cm="1">
        <f t="array" ref="B564">alea_date(Settings!$B$11,360,Settings!$B$8+alea_int(4,0,Settings!$B$16),Settings!$B$16)</f>
        <v>46256.416666666664</v>
      </c>
      <c r="C564" s="3" cm="1">
        <f t="array" ref="C564">B564+TIME(alea_int(5,1,Settings!$B$16),0,0)</f>
        <v>46256.625</v>
      </c>
      <c r="D564" s="3" t="str" cm="1">
        <f t="array" ref="D564">choice(Settings!K:K,1,Settings!$B$16)</f>
        <v/>
      </c>
    </row>
    <row r="565" spans="1:4" x14ac:dyDescent="0.25">
      <c r="A565" s="2" t="str" cm="1">
        <f t="array" ref="A565">choice(Professeurs!A:A,1,Settings!$B$16)</f>
        <v>Prof21</v>
      </c>
      <c r="B565" s="3" cm="1">
        <f t="array" ref="B565">alea_date(Settings!$B$11,360,Settings!$B$8+alea_int(4,0,Settings!$B$16),Settings!$B$16)</f>
        <v>46235.458333333336</v>
      </c>
      <c r="C565" s="3" cm="1">
        <f t="array" ref="C565">B565+TIME(alea_int(5,1,Settings!$B$16),0,0)</f>
        <v>46235.5</v>
      </c>
      <c r="D565" s="3" t="str" cm="1">
        <f t="array" ref="D565">choice(Settings!K:K,1,Settings!$B$16)</f>
        <v/>
      </c>
    </row>
    <row r="566" spans="1:4" x14ac:dyDescent="0.25">
      <c r="A566" s="2" t="str" cm="1">
        <f t="array" ref="A566">choice(Professeurs!A:A,1,Settings!$B$16)</f>
        <v>Prof41</v>
      </c>
      <c r="B566" s="3" cm="1">
        <f t="array" ref="B566">alea_date(Settings!$B$11,360,Settings!$B$8+alea_int(4,0,Settings!$B$16),Settings!$B$16)</f>
        <v>46106.333333333336</v>
      </c>
      <c r="C566" s="3" cm="1">
        <f t="array" ref="C566">B566+TIME(alea_int(5,1,Settings!$B$16),0,0)</f>
        <v>46106.541666666672</v>
      </c>
      <c r="D566" s="3" t="str" cm="1">
        <f t="array" ref="D566">choice(Settings!K:K,1,Settings!$B$16)</f>
        <v/>
      </c>
    </row>
    <row r="567" spans="1:4" x14ac:dyDescent="0.25">
      <c r="A567" s="2" t="str" cm="1">
        <f t="array" ref="A567">choice(Professeurs!A:A,1,Settings!$B$16)</f>
        <v>Prof7</v>
      </c>
      <c r="B567" s="3" cm="1">
        <f t="array" ref="B567">alea_date(Settings!$B$11,360,Settings!$B$8+alea_int(4,0,Settings!$B$16),Settings!$B$16)</f>
        <v>46340.458333333336</v>
      </c>
      <c r="C567" s="3" cm="1">
        <f t="array" ref="C567">B567+TIME(alea_int(5,1,Settings!$B$16),0,0)</f>
        <v>46340.666666666672</v>
      </c>
      <c r="D567" s="3" t="str" cm="1">
        <f t="array" ref="D567">choice(Settings!K:K,1,Settings!$B$16)</f>
        <v/>
      </c>
    </row>
    <row r="568" spans="1:4" x14ac:dyDescent="0.25">
      <c r="A568" s="2" t="str" cm="1">
        <f t="array" ref="A568">choice(Professeurs!A:A,1,Settings!$B$16)</f>
        <v>Prof7</v>
      </c>
      <c r="B568" s="3" cm="1">
        <f t="array" ref="B568">alea_date(Settings!$B$11,360,Settings!$B$8+alea_int(4,0,Settings!$B$16),Settings!$B$16)</f>
        <v>46332.333333333336</v>
      </c>
      <c r="C568" s="3" cm="1">
        <f t="array" ref="C568">B568+TIME(alea_int(5,1,Settings!$B$16),0,0)</f>
        <v>46332.541666666672</v>
      </c>
      <c r="D568" s="3" t="str" cm="1">
        <f t="array" ref="D568">choice(Settings!K:K,1,Settings!$B$16)</f>
        <v>vendredi pm</v>
      </c>
    </row>
    <row r="569" spans="1:4" x14ac:dyDescent="0.25">
      <c r="A569" s="2" t="str" cm="1">
        <f t="array" ref="A569">choice(Professeurs!A:A,1,Settings!$B$16)</f>
        <v>Prof4</v>
      </c>
      <c r="B569" s="3" cm="1">
        <f t="array" ref="B569">alea_date(Settings!$B$11,360,Settings!$B$8+alea_int(4,0,Settings!$B$16),Settings!$B$16)</f>
        <v>46378.333333333336</v>
      </c>
      <c r="C569" s="3" cm="1">
        <f t="array" ref="C569">B569+TIME(alea_int(5,1,Settings!$B$16),0,0)</f>
        <v>46378.416666666672</v>
      </c>
      <c r="D569" s="3" t="str" cm="1">
        <f t="array" ref="D569">choice(Settings!K:K,1,Settings!$B$16)</f>
        <v/>
      </c>
    </row>
    <row r="570" spans="1:4" x14ac:dyDescent="0.25">
      <c r="A570" s="2" t="str" cm="1">
        <f t="array" ref="A570">choice(Professeurs!A:A,1,Settings!$B$16)</f>
        <v>Prof20</v>
      </c>
      <c r="B570" s="3" cm="1">
        <f t="array" ref="B570">alea_date(Settings!$B$11,360,Settings!$B$8+alea_int(4,0,Settings!$B$16),Settings!$B$16)</f>
        <v>46060.416666666664</v>
      </c>
      <c r="C570" s="3" cm="1">
        <f t="array" ref="C570">B570+TIME(alea_int(5,1,Settings!$B$16),0,0)</f>
        <v>46060.583333333328</v>
      </c>
      <c r="D570" s="3" t="str" cm="1">
        <f t="array" ref="D570">choice(Settings!K:K,1,Settings!$B$16)</f>
        <v>jeudi pm</v>
      </c>
    </row>
    <row r="571" spans="1:4" x14ac:dyDescent="0.25">
      <c r="A571" s="2" t="str" cm="1">
        <f t="array" ref="A571">choice(Professeurs!A:A,1,Settings!$B$16)</f>
        <v>Prof54</v>
      </c>
      <c r="B571" s="3" cm="1">
        <f t="array" ref="B571">alea_date(Settings!$B$11,360,Settings!$B$8+alea_int(4,0,Settings!$B$16),Settings!$B$16)</f>
        <v>46188.375</v>
      </c>
      <c r="C571" s="3" cm="1">
        <f t="array" ref="C571">B571+TIME(alea_int(5,1,Settings!$B$16),0,0)</f>
        <v>46188.541666666664</v>
      </c>
      <c r="D571" s="3" t="str" cm="1">
        <f t="array" ref="D571">choice(Settings!K:K,1,Settings!$B$16)</f>
        <v/>
      </c>
    </row>
    <row r="572" spans="1:4" x14ac:dyDescent="0.25">
      <c r="A572" s="2" t="str" cm="1">
        <f t="array" ref="A572">choice(Professeurs!A:A,1,Settings!$B$16)</f>
        <v>Prof12</v>
      </c>
      <c r="B572" s="3" cm="1">
        <f t="array" ref="B572">alea_date(Settings!$B$11,360,Settings!$B$8+alea_int(4,0,Settings!$B$16),Settings!$B$16)</f>
        <v>46215.333333333336</v>
      </c>
      <c r="C572" s="3" cm="1">
        <f t="array" ref="C572">B572+TIME(alea_int(5,1,Settings!$B$16),0,0)</f>
        <v>46215.416666666672</v>
      </c>
      <c r="D572" s="3" t="str" cm="1">
        <f t="array" ref="D572">choice(Settings!K:K,1,Settings!$B$16)</f>
        <v/>
      </c>
    </row>
    <row r="573" spans="1:4" x14ac:dyDescent="0.25">
      <c r="A573" s="2" t="str" cm="1">
        <f t="array" ref="A573">choice(Professeurs!A:A,1,Settings!$B$16)</f>
        <v>Prof18</v>
      </c>
      <c r="B573" s="3" cm="1">
        <f t="array" ref="B573">alea_date(Settings!$B$11,360,Settings!$B$8+alea_int(4,0,Settings!$B$16),Settings!$B$16)</f>
        <v>46163.458333333336</v>
      </c>
      <c r="C573" s="3" cm="1">
        <f t="array" ref="C573">B573+TIME(alea_int(5,1,Settings!$B$16),0,0)</f>
        <v>46163.625</v>
      </c>
      <c r="D573" s="3" t="str" cm="1">
        <f t="array" ref="D573">choice(Settings!K:K,1,Settings!$B$16)</f>
        <v/>
      </c>
    </row>
    <row r="574" spans="1:4" x14ac:dyDescent="0.25">
      <c r="A574" s="2" t="str" cm="1">
        <f t="array" ref="A574">choice(Professeurs!A:A,1,Settings!$B$16)</f>
        <v>Prof55</v>
      </c>
      <c r="B574" s="3" cm="1">
        <f t="array" ref="B574">alea_date(Settings!$B$11,360,Settings!$B$8+alea_int(4,0,Settings!$B$16),Settings!$B$16)</f>
        <v>46299.333333333336</v>
      </c>
      <c r="C574" s="3" cm="1">
        <f t="array" ref="C574">B574+TIME(alea_int(5,1,Settings!$B$16),0,0)</f>
        <v>46299.375</v>
      </c>
      <c r="D574" s="3" t="str" cm="1">
        <f t="array" ref="D574">choice(Settings!K:K,1,Settings!$B$16)</f>
        <v>mercredi pm</v>
      </c>
    </row>
    <row r="575" spans="1:4" x14ac:dyDescent="0.25">
      <c r="A575" s="2" t="str" cm="1">
        <f t="array" ref="A575">choice(Professeurs!A:A,1,Settings!$B$16)</f>
        <v>Prof31</v>
      </c>
      <c r="B575" s="3" cm="1">
        <f t="array" ref="B575">alea_date(Settings!$B$11,360,Settings!$B$8+alea_int(4,0,Settings!$B$16),Settings!$B$16)</f>
        <v>46155.458333333336</v>
      </c>
      <c r="C575" s="3" cm="1">
        <f t="array" ref="C575">B575+TIME(alea_int(5,1,Settings!$B$16),0,0)</f>
        <v>46155.625</v>
      </c>
      <c r="D575" s="3" t="str" cm="1">
        <f t="array" ref="D575">choice(Settings!K:K,1,Settings!$B$16)</f>
        <v>vendredi pm</v>
      </c>
    </row>
    <row r="576" spans="1:4" x14ac:dyDescent="0.25">
      <c r="A576" s="2" t="str" cm="1">
        <f t="array" ref="A576">choice(Professeurs!A:A,1,Settings!$B$16)</f>
        <v>Prof14</v>
      </c>
      <c r="B576" s="3" cm="1">
        <f t="array" ref="B576">alea_date(Settings!$B$11,360,Settings!$B$8+alea_int(4,0,Settings!$B$16),Settings!$B$16)</f>
        <v>46286.375</v>
      </c>
      <c r="C576" s="3" cm="1">
        <f t="array" ref="C576">B576+TIME(alea_int(5,1,Settings!$B$16),0,0)</f>
        <v>46286.5</v>
      </c>
      <c r="D576" s="3" t="str" cm="1">
        <f t="array" ref="D576">choice(Settings!K:K,1,Settings!$B$16)</f>
        <v/>
      </c>
    </row>
    <row r="577" spans="1:4" x14ac:dyDescent="0.25">
      <c r="A577" s="2" t="str" cm="1">
        <f t="array" ref="A577">choice(Professeurs!A:A,1,Settings!$B$16)</f>
        <v>Prof36</v>
      </c>
      <c r="B577" s="3" cm="1">
        <f t="array" ref="B577">alea_date(Settings!$B$11,360,Settings!$B$8+alea_int(4,0,Settings!$B$16),Settings!$B$16)</f>
        <v>46141.458333333336</v>
      </c>
      <c r="C577" s="3" cm="1">
        <f t="array" ref="C577">B577+TIME(alea_int(5,1,Settings!$B$16),0,0)</f>
        <v>46141.583333333336</v>
      </c>
      <c r="D577" s="3" t="str" cm="1">
        <f t="array" ref="D577">choice(Settings!K:K,1,Settings!$B$16)</f>
        <v/>
      </c>
    </row>
    <row r="578" spans="1:4" x14ac:dyDescent="0.25">
      <c r="A578" s="2" t="str" cm="1">
        <f t="array" ref="A578">choice(Professeurs!A:A,1,Settings!$B$16)</f>
        <v>Prof27</v>
      </c>
      <c r="B578" s="3" cm="1">
        <f t="array" ref="B578">alea_date(Settings!$B$11,360,Settings!$B$8+alea_int(4,0,Settings!$B$16),Settings!$B$16)</f>
        <v>46290.458333333336</v>
      </c>
      <c r="C578" s="3" cm="1">
        <f t="array" ref="C578">B578+TIME(alea_int(5,1,Settings!$B$16),0,0)</f>
        <v>46290.666666666672</v>
      </c>
      <c r="D578" s="3" t="str" cm="1">
        <f t="array" ref="D578">choice(Settings!K:K,1,Settings!$B$16)</f>
        <v/>
      </c>
    </row>
    <row r="579" spans="1:4" x14ac:dyDescent="0.25">
      <c r="A579" s="2" t="str" cm="1">
        <f t="array" ref="A579">choice(Professeurs!A:A,1,Settings!$B$16)</f>
        <v>Prof49</v>
      </c>
      <c r="B579" s="3" cm="1">
        <f t="array" ref="B579">alea_date(Settings!$B$11,360,Settings!$B$8+alea_int(4,0,Settings!$B$16),Settings!$B$16)</f>
        <v>46227.416666666664</v>
      </c>
      <c r="C579" s="3" cm="1">
        <f t="array" ref="C579">B579+TIME(alea_int(5,1,Settings!$B$16),0,0)</f>
        <v>46227.458333333328</v>
      </c>
      <c r="D579" s="3" t="str" cm="1">
        <f t="array" ref="D579">choice(Settings!K:K,1,Settings!$B$16)</f>
        <v/>
      </c>
    </row>
    <row r="580" spans="1:4" x14ac:dyDescent="0.25">
      <c r="A580" s="2" t="str" cm="1">
        <f t="array" ref="A580">choice(Professeurs!A:A,1,Settings!$B$16)</f>
        <v>Prof18</v>
      </c>
      <c r="B580" s="3" cm="1">
        <f t="array" ref="B580">alea_date(Settings!$B$11,360,Settings!$B$8+alea_int(4,0,Settings!$B$16),Settings!$B$16)</f>
        <v>46078.416666666664</v>
      </c>
      <c r="C580" s="3" cm="1">
        <f t="array" ref="C580">B580+TIME(alea_int(5,1,Settings!$B$16),0,0)</f>
        <v>46078.541666666664</v>
      </c>
      <c r="D580" s="3" t="str" cm="1">
        <f t="array" ref="D580">choice(Settings!K:K,1,Settings!$B$16)</f>
        <v/>
      </c>
    </row>
    <row r="581" spans="1:4" x14ac:dyDescent="0.25">
      <c r="A581" s="2" t="str" cm="1">
        <f t="array" ref="A581">choice(Professeurs!A:A,1,Settings!$B$16)</f>
        <v>Prof55</v>
      </c>
      <c r="B581" s="3" cm="1">
        <f t="array" ref="B581">alea_date(Settings!$B$11,360,Settings!$B$8+alea_int(4,0,Settings!$B$16),Settings!$B$16)</f>
        <v>46155.333333333336</v>
      </c>
      <c r="C581" s="3" cm="1">
        <f t="array" ref="C581">B581+TIME(alea_int(5,1,Settings!$B$16),0,0)</f>
        <v>46155.541666666672</v>
      </c>
      <c r="D581" s="3" t="str" cm="1">
        <f t="array" ref="D581">choice(Settings!K:K,1,Settings!$B$16)</f>
        <v/>
      </c>
    </row>
    <row r="582" spans="1:4" x14ac:dyDescent="0.25">
      <c r="A582" s="2" t="str" cm="1">
        <f t="array" ref="A582">choice(Professeurs!A:A,1,Settings!$B$16)</f>
        <v>Prof15</v>
      </c>
      <c r="B582" s="3" cm="1">
        <f t="array" ref="B582">alea_date(Settings!$B$11,360,Settings!$B$8+alea_int(4,0,Settings!$B$16),Settings!$B$16)</f>
        <v>46358.458333333336</v>
      </c>
      <c r="C582" s="3" cm="1">
        <f t="array" ref="C582">B582+TIME(alea_int(5,1,Settings!$B$16),0,0)</f>
        <v>46358.666666666672</v>
      </c>
      <c r="D582" s="3" t="str" cm="1">
        <f t="array" ref="D582">choice(Settings!K:K,1,Settings!$B$16)</f>
        <v/>
      </c>
    </row>
    <row r="583" spans="1:4" x14ac:dyDescent="0.25">
      <c r="A583" s="2" t="str" cm="1">
        <f t="array" ref="A583">choice(Professeurs!A:A,1,Settings!$B$16)</f>
        <v>Prof35</v>
      </c>
      <c r="B583" s="3" cm="1">
        <f t="array" ref="B583">alea_date(Settings!$B$11,360,Settings!$B$8+alea_int(4,0,Settings!$B$16),Settings!$B$16)</f>
        <v>46301.375</v>
      </c>
      <c r="C583" s="3" cm="1">
        <f t="array" ref="C583">B583+TIME(alea_int(5,1,Settings!$B$16),0,0)</f>
        <v>46301.583333333336</v>
      </c>
      <c r="D583" s="3" t="str" cm="1">
        <f t="array" ref="D583">choice(Settings!K:K,1,Settings!$B$16)</f>
        <v/>
      </c>
    </row>
    <row r="584" spans="1:4" x14ac:dyDescent="0.25">
      <c r="A584" s="2" t="str" cm="1">
        <f t="array" ref="A584">choice(Professeurs!A:A,1,Settings!$B$16)</f>
        <v>Prof43</v>
      </c>
      <c r="B584" s="3" cm="1">
        <f t="array" ref="B584">alea_date(Settings!$B$11,360,Settings!$B$8+alea_int(4,0,Settings!$B$16),Settings!$B$16)</f>
        <v>46381.375</v>
      </c>
      <c r="C584" s="3" cm="1">
        <f t="array" ref="C584">B584+TIME(alea_int(5,1,Settings!$B$16),0,0)</f>
        <v>46381.5</v>
      </c>
      <c r="D584" s="3" t="str" cm="1">
        <f t="array" ref="D584">choice(Settings!K:K,1,Settings!$B$16)</f>
        <v/>
      </c>
    </row>
    <row r="585" spans="1:4" x14ac:dyDescent="0.25">
      <c r="A585" s="2" t="str" cm="1">
        <f t="array" ref="A585">choice(Professeurs!A:A,1,Settings!$B$16)</f>
        <v>Prof48</v>
      </c>
      <c r="B585" s="3" cm="1">
        <f t="array" ref="B585">alea_date(Settings!$B$11,360,Settings!$B$8+alea_int(4,0,Settings!$B$16),Settings!$B$16)</f>
        <v>46245.375</v>
      </c>
      <c r="C585" s="3" cm="1">
        <f t="array" ref="C585">B585+TIME(alea_int(5,1,Settings!$B$16),0,0)</f>
        <v>46245.458333333336</v>
      </c>
      <c r="D585" s="3" t="str" cm="1">
        <f t="array" ref="D585">choice(Settings!K:K,1,Settings!$B$16)</f>
        <v/>
      </c>
    </row>
    <row r="586" spans="1:4" x14ac:dyDescent="0.25">
      <c r="A586" s="2" t="str" cm="1">
        <f t="array" ref="A586">choice(Professeurs!A:A,1,Settings!$B$16)</f>
        <v>Prof32</v>
      </c>
      <c r="B586" s="3" cm="1">
        <f t="array" ref="B586">alea_date(Settings!$B$11,360,Settings!$B$8+alea_int(4,0,Settings!$B$16),Settings!$B$16)</f>
        <v>46310.375</v>
      </c>
      <c r="C586" s="3" cm="1">
        <f t="array" ref="C586">B586+TIME(alea_int(5,1,Settings!$B$16),0,0)</f>
        <v>46310.416666666664</v>
      </c>
      <c r="D586" s="3" t="str" cm="1">
        <f t="array" ref="D586">choice(Settings!K:K,1,Settings!$B$16)</f>
        <v/>
      </c>
    </row>
    <row r="587" spans="1:4" x14ac:dyDescent="0.25">
      <c r="A587" s="2" t="str" cm="1">
        <f t="array" ref="A587">choice(Professeurs!A:A,1,Settings!$B$16)</f>
        <v>Prof17</v>
      </c>
      <c r="B587" s="3" cm="1">
        <f t="array" ref="B587">alea_date(Settings!$B$11,360,Settings!$B$8+alea_int(4,0,Settings!$B$16),Settings!$B$16)</f>
        <v>46154.375</v>
      </c>
      <c r="C587" s="3" cm="1">
        <f t="array" ref="C587">B587+TIME(alea_int(5,1,Settings!$B$16),0,0)</f>
        <v>46154.458333333336</v>
      </c>
      <c r="D587" s="3" t="str" cm="1">
        <f t="array" ref="D587">choice(Settings!K:K,1,Settings!$B$16)</f>
        <v/>
      </c>
    </row>
    <row r="588" spans="1:4" x14ac:dyDescent="0.25">
      <c r="A588" s="2" t="str" cm="1">
        <f t="array" ref="A588">choice(Professeurs!A:A,1,Settings!$B$16)</f>
        <v>Prof11</v>
      </c>
      <c r="B588" s="3" cm="1">
        <f t="array" ref="B588">alea_date(Settings!$B$11,360,Settings!$B$8+alea_int(4,0,Settings!$B$16),Settings!$B$16)</f>
        <v>46035.458333333336</v>
      </c>
      <c r="C588" s="3" cm="1">
        <f t="array" ref="C588">B588+TIME(alea_int(5,1,Settings!$B$16),0,0)</f>
        <v>46035.541666666672</v>
      </c>
      <c r="D588" s="3" t="str" cm="1">
        <f t="array" ref="D588">choice(Settings!K:K,1,Settings!$B$16)</f>
        <v/>
      </c>
    </row>
    <row r="589" spans="1:4" x14ac:dyDescent="0.25">
      <c r="A589" s="2" t="str" cm="1">
        <f t="array" ref="A589">choice(Professeurs!A:A,1,Settings!$B$16)</f>
        <v>Prof24</v>
      </c>
      <c r="B589" s="3" cm="1">
        <f t="array" ref="B589">alea_date(Settings!$B$11,360,Settings!$B$8+alea_int(4,0,Settings!$B$16),Settings!$B$16)</f>
        <v>46303.416666666664</v>
      </c>
      <c r="C589" s="3" cm="1">
        <f t="array" ref="C589">B589+TIME(alea_int(5,1,Settings!$B$16),0,0)</f>
        <v>46303.541666666664</v>
      </c>
      <c r="D589" s="3" t="str" cm="1">
        <f t="array" ref="D589">choice(Settings!K:K,1,Settings!$B$16)</f>
        <v/>
      </c>
    </row>
    <row r="590" spans="1:4" x14ac:dyDescent="0.25">
      <c r="A590" s="2" t="str" cm="1">
        <f t="array" ref="A590">choice(Professeurs!A:A,1,Settings!$B$16)</f>
        <v>Prof14</v>
      </c>
      <c r="B590" s="3" cm="1">
        <f t="array" ref="B590">alea_date(Settings!$B$11,360,Settings!$B$8+alea_int(4,0,Settings!$B$16),Settings!$B$16)</f>
        <v>46291.375</v>
      </c>
      <c r="C590" s="3" cm="1">
        <f t="array" ref="C590">B590+TIME(alea_int(5,1,Settings!$B$16),0,0)</f>
        <v>46291.541666666664</v>
      </c>
      <c r="D590" s="3" t="str" cm="1">
        <f t="array" ref="D590">choice(Settings!K:K,1,Settings!$B$16)</f>
        <v/>
      </c>
    </row>
    <row r="591" spans="1:4" x14ac:dyDescent="0.25">
      <c r="A591" s="2" t="str" cm="1">
        <f t="array" ref="A591">choice(Professeurs!A:A,1,Settings!$B$16)</f>
        <v>Prof54</v>
      </c>
      <c r="B591" s="3" cm="1">
        <f t="array" ref="B591">alea_date(Settings!$B$11,360,Settings!$B$8+alea_int(4,0,Settings!$B$16),Settings!$B$16)</f>
        <v>46076.375</v>
      </c>
      <c r="C591" s="3" cm="1">
        <f t="array" ref="C591">B591+TIME(alea_int(5,1,Settings!$B$16),0,0)</f>
        <v>46076.458333333336</v>
      </c>
      <c r="D591" s="3" t="str" cm="1">
        <f t="array" ref="D591">choice(Settings!K:K,1,Settings!$B$16)</f>
        <v/>
      </c>
    </row>
    <row r="592" spans="1:4" x14ac:dyDescent="0.25">
      <c r="A592" s="2" t="str" cm="1">
        <f t="array" ref="A592">choice(Professeurs!A:A,1,Settings!$B$16)</f>
        <v>Prof50</v>
      </c>
      <c r="B592" s="3" cm="1">
        <f t="array" ref="B592">alea_date(Settings!$B$11,360,Settings!$B$8+alea_int(4,0,Settings!$B$16),Settings!$B$16)</f>
        <v>46047.458333333336</v>
      </c>
      <c r="C592" s="3" cm="1">
        <f t="array" ref="C592">B592+TIME(alea_int(5,1,Settings!$B$16),0,0)</f>
        <v>46047.625</v>
      </c>
      <c r="D592" s="3" t="str" cm="1">
        <f t="array" ref="D592">choice(Settings!K:K,1,Settings!$B$16)</f>
        <v>vendredi pm</v>
      </c>
    </row>
    <row r="593" spans="1:4" x14ac:dyDescent="0.25">
      <c r="A593" s="2" t="str" cm="1">
        <f t="array" ref="A593">choice(Professeurs!A:A,1,Settings!$B$16)</f>
        <v>Prof24</v>
      </c>
      <c r="B593" s="3" cm="1">
        <f t="array" ref="B593">alea_date(Settings!$B$11,360,Settings!$B$8+alea_int(4,0,Settings!$B$16),Settings!$B$16)</f>
        <v>46283.416666666664</v>
      </c>
      <c r="C593" s="3" cm="1">
        <f t="array" ref="C593">B593+TIME(alea_int(5,1,Settings!$B$16),0,0)</f>
        <v>46283.5</v>
      </c>
      <c r="D593" s="3" t="str" cm="1">
        <f t="array" ref="D593">choice(Settings!K:K,1,Settings!$B$16)</f>
        <v/>
      </c>
    </row>
    <row r="594" spans="1:4" x14ac:dyDescent="0.25">
      <c r="A594" s="2" t="str" cm="1">
        <f t="array" ref="A594">choice(Professeurs!A:A,1,Settings!$B$16)</f>
        <v>Prof44</v>
      </c>
      <c r="B594" s="3" cm="1">
        <f t="array" ref="B594">alea_date(Settings!$B$11,360,Settings!$B$8+alea_int(4,0,Settings!$B$16),Settings!$B$16)</f>
        <v>46365.375</v>
      </c>
      <c r="C594" s="3" cm="1">
        <f t="array" ref="C594">B594+TIME(alea_int(5,1,Settings!$B$16),0,0)</f>
        <v>46365.5</v>
      </c>
      <c r="D594" s="3" t="str" cm="1">
        <f t="array" ref="D594">choice(Settings!K:K,1,Settings!$B$16)</f>
        <v/>
      </c>
    </row>
    <row r="595" spans="1:4" x14ac:dyDescent="0.25">
      <c r="A595" s="2" t="str" cm="1">
        <f t="array" ref="A595">choice(Professeurs!A:A,1,Settings!$B$16)</f>
        <v>Prof14</v>
      </c>
      <c r="B595" s="3" cm="1">
        <f t="array" ref="B595">alea_date(Settings!$B$11,360,Settings!$B$8+alea_int(4,0,Settings!$B$16),Settings!$B$16)</f>
        <v>46344.375</v>
      </c>
      <c r="C595" s="3" cm="1">
        <f t="array" ref="C595">B595+TIME(alea_int(5,1,Settings!$B$16),0,0)</f>
        <v>46344.5</v>
      </c>
      <c r="D595" s="3" t="str" cm="1">
        <f t="array" ref="D595">choice(Settings!K:K,1,Settings!$B$16)</f>
        <v/>
      </c>
    </row>
    <row r="596" spans="1:4" x14ac:dyDescent="0.25">
      <c r="A596" s="2" t="str" cm="1">
        <f t="array" ref="A596">choice(Professeurs!A:A,1,Settings!$B$16)</f>
        <v>Prof3</v>
      </c>
      <c r="B596" s="3" cm="1">
        <f t="array" ref="B596">alea_date(Settings!$B$11,360,Settings!$B$8+alea_int(4,0,Settings!$B$16),Settings!$B$16)</f>
        <v>46242.375</v>
      </c>
      <c r="C596" s="3" cm="1">
        <f t="array" ref="C596">B596+TIME(alea_int(5,1,Settings!$B$16),0,0)</f>
        <v>46242.458333333336</v>
      </c>
      <c r="D596" s="3" t="str" cm="1">
        <f t="array" ref="D596">choice(Settings!K:K,1,Settings!$B$16)</f>
        <v/>
      </c>
    </row>
    <row r="597" spans="1:4" x14ac:dyDescent="0.25">
      <c r="A597" s="2" t="str" cm="1">
        <f t="array" ref="A597">choice(Professeurs!A:A,1,Settings!$B$16)</f>
        <v>Prof11</v>
      </c>
      <c r="B597" s="3" cm="1">
        <f t="array" ref="B597">alea_date(Settings!$B$11,360,Settings!$B$8+alea_int(4,0,Settings!$B$16),Settings!$B$16)</f>
        <v>46254.416666666664</v>
      </c>
      <c r="C597" s="3" cm="1">
        <f t="array" ref="C597">B597+TIME(alea_int(5,1,Settings!$B$16),0,0)</f>
        <v>46254.583333333328</v>
      </c>
      <c r="D597" s="3" t="str" cm="1">
        <f t="array" ref="D597">choice(Settings!K:K,1,Settings!$B$16)</f>
        <v/>
      </c>
    </row>
    <row r="598" spans="1:4" x14ac:dyDescent="0.25">
      <c r="A598" s="2" t="str" cm="1">
        <f t="array" ref="A598">choice(Professeurs!A:A,1,Settings!$B$16)</f>
        <v>Prof13</v>
      </c>
      <c r="B598" s="3" cm="1">
        <f t="array" ref="B598">alea_date(Settings!$B$11,360,Settings!$B$8+alea_int(4,0,Settings!$B$16),Settings!$B$16)</f>
        <v>46123.333333333336</v>
      </c>
      <c r="C598" s="3" cm="1">
        <f t="array" ref="C598">B598+TIME(alea_int(5,1,Settings!$B$16),0,0)</f>
        <v>46123.416666666672</v>
      </c>
      <c r="D598" s="3" t="str" cm="1">
        <f t="array" ref="D598">choice(Settings!K:K,1,Settings!$B$16)</f>
        <v>mercredi ap</v>
      </c>
    </row>
    <row r="599" spans="1:4" x14ac:dyDescent="0.25">
      <c r="A599" s="2" t="str" cm="1">
        <f t="array" ref="A599">choice(Professeurs!A:A,1,Settings!$B$16)</f>
        <v>Prof46</v>
      </c>
      <c r="B599" s="3" cm="1">
        <f t="array" ref="B599">alea_date(Settings!$B$11,360,Settings!$B$8+alea_int(4,0,Settings!$B$16),Settings!$B$16)</f>
        <v>46357.416666666664</v>
      </c>
      <c r="C599" s="3" cm="1">
        <f t="array" ref="C599">B599+TIME(alea_int(5,1,Settings!$B$16),0,0)</f>
        <v>46357.541666666664</v>
      </c>
      <c r="D599" s="3" t="str" cm="1">
        <f t="array" ref="D599">choice(Settings!K:K,1,Settings!$B$16)</f>
        <v>mardi pm</v>
      </c>
    </row>
    <row r="600" spans="1:4" x14ac:dyDescent="0.25">
      <c r="A600" s="2" t="str" cm="1">
        <f t="array" ref="A600">choice(Professeurs!A:A,1,Settings!$B$16)</f>
        <v>Prof43</v>
      </c>
      <c r="B600" s="3" cm="1">
        <f t="array" ref="B600">alea_date(Settings!$B$11,360,Settings!$B$8+alea_int(4,0,Settings!$B$16),Settings!$B$16)</f>
        <v>46299.333333333336</v>
      </c>
      <c r="C600" s="3" cm="1">
        <f t="array" ref="C600">B600+TIME(alea_int(5,1,Settings!$B$16),0,0)</f>
        <v>46299.5</v>
      </c>
      <c r="D600" s="3" t="str" cm="1">
        <f t="array" ref="D600">choice(Settings!K:K,1,Settings!$B$16)</f>
        <v>mardi am</v>
      </c>
    </row>
    <row r="601" spans="1:4" x14ac:dyDescent="0.25">
      <c r="A601" s="2" t="str" cm="1">
        <f t="array" ref="A601">choice(Professeurs!A:A,1,Settings!$B$16)</f>
        <v>Prof43</v>
      </c>
      <c r="B601" s="3" cm="1">
        <f t="array" ref="B601">alea_date(Settings!$B$11,360,Settings!$B$8+alea_int(4,0,Settings!$B$16),Settings!$B$16)</f>
        <v>46150.458333333336</v>
      </c>
      <c r="C601" s="3" cm="1">
        <f t="array" ref="C601">B601+TIME(alea_int(5,1,Settings!$B$16),0,0)</f>
        <v>46150.5</v>
      </c>
      <c r="D601" s="3" t="str" cm="1">
        <f t="array" ref="D601">choice(Settings!K:K,1,Settings!$B$16)</f>
        <v/>
      </c>
    </row>
    <row r="602" spans="1:4" x14ac:dyDescent="0.25">
      <c r="A602" s="2" t="str" cm="1">
        <f t="array" ref="A602">choice(Professeurs!A:A,1,Settings!$B$16)</f>
        <v>Prof17</v>
      </c>
      <c r="B602" s="3" cm="1">
        <f t="array" ref="B602">alea_date(Settings!$B$11,360,Settings!$B$8+alea_int(4,0,Settings!$B$16),Settings!$B$16)</f>
        <v>46305.375</v>
      </c>
      <c r="C602" s="3" cm="1">
        <f t="array" ref="C602">B602+TIME(alea_int(5,1,Settings!$B$16),0,0)</f>
        <v>46305.5</v>
      </c>
      <c r="D602" s="3" t="str" cm="1">
        <f t="array" ref="D602">choice(Settings!K:K,1,Settings!$B$16)</f>
        <v/>
      </c>
    </row>
    <row r="603" spans="1:4" x14ac:dyDescent="0.25">
      <c r="A603" s="2" t="str" cm="1">
        <f t="array" ref="A603">choice(Professeurs!A:A,1,Settings!$B$16)</f>
        <v>Prof18</v>
      </c>
      <c r="B603" s="3" cm="1">
        <f t="array" ref="B603">alea_date(Settings!$B$11,360,Settings!$B$8+alea_int(4,0,Settings!$B$16),Settings!$B$16)</f>
        <v>46354.333333333336</v>
      </c>
      <c r="C603" s="3" cm="1">
        <f t="array" ref="C603">B603+TIME(alea_int(5,1,Settings!$B$16),0,0)</f>
        <v>46354.375</v>
      </c>
      <c r="D603" s="3" t="str" cm="1">
        <f t="array" ref="D603">choice(Settings!K:K,1,Settings!$B$16)</f>
        <v/>
      </c>
    </row>
    <row r="604" spans="1:4" x14ac:dyDescent="0.25">
      <c r="A604" s="2" t="str" cm="1">
        <f t="array" ref="A604">choice(Professeurs!A:A,1,Settings!$B$16)</f>
        <v>Prof34</v>
      </c>
      <c r="B604" s="3" cm="1">
        <f t="array" ref="B604">alea_date(Settings!$B$11,360,Settings!$B$8+alea_int(4,0,Settings!$B$16),Settings!$B$16)</f>
        <v>46079.333333333336</v>
      </c>
      <c r="C604" s="3" cm="1">
        <f t="array" ref="C604">B604+TIME(alea_int(5,1,Settings!$B$16),0,0)</f>
        <v>46079.541666666672</v>
      </c>
      <c r="D604" s="3" t="str" cm="1">
        <f t="array" ref="D604">choice(Settings!K:K,1,Settings!$B$16)</f>
        <v/>
      </c>
    </row>
    <row r="605" spans="1:4" x14ac:dyDescent="0.25">
      <c r="A605" s="2" t="str" cm="1">
        <f t="array" ref="A605">choice(Professeurs!A:A,1,Settings!$B$16)</f>
        <v>Prof47</v>
      </c>
      <c r="B605" s="3" cm="1">
        <f t="array" ref="B605">alea_date(Settings!$B$11,360,Settings!$B$8+alea_int(4,0,Settings!$B$16),Settings!$B$16)</f>
        <v>46139.416666666664</v>
      </c>
      <c r="C605" s="3" cm="1">
        <f t="array" ref="C605">B605+TIME(alea_int(5,1,Settings!$B$16),0,0)</f>
        <v>46139.625</v>
      </c>
      <c r="D605" s="3" t="str" cm="1">
        <f t="array" ref="D605">choice(Settings!K:K,1,Settings!$B$16)</f>
        <v>lundi am</v>
      </c>
    </row>
    <row r="606" spans="1:4" x14ac:dyDescent="0.25">
      <c r="A606" s="2" t="str" cm="1">
        <f t="array" ref="A606">choice(Professeurs!A:A,1,Settings!$B$16)</f>
        <v>Prof45</v>
      </c>
      <c r="B606" s="3" cm="1">
        <f t="array" ref="B606">alea_date(Settings!$B$11,360,Settings!$B$8+alea_int(4,0,Settings!$B$16),Settings!$B$16)</f>
        <v>46264.458333333336</v>
      </c>
      <c r="C606" s="3" cm="1">
        <f t="array" ref="C606">B606+TIME(alea_int(5,1,Settings!$B$16),0,0)</f>
        <v>46264.5</v>
      </c>
      <c r="D606" s="3" t="str" cm="1">
        <f t="array" ref="D606">choice(Settings!K:K,1,Settings!$B$16)</f>
        <v/>
      </c>
    </row>
    <row r="607" spans="1:4" x14ac:dyDescent="0.25">
      <c r="A607" s="2" t="str" cm="1">
        <f t="array" ref="A607">choice(Professeurs!A:A,1,Settings!$B$16)</f>
        <v>Prof10</v>
      </c>
      <c r="B607" s="3" cm="1">
        <f t="array" ref="B607">alea_date(Settings!$B$11,360,Settings!$B$8+alea_int(4,0,Settings!$B$16),Settings!$B$16)</f>
        <v>46291.375</v>
      </c>
      <c r="C607" s="3" cm="1">
        <f t="array" ref="C607">B607+TIME(alea_int(5,1,Settings!$B$16),0,0)</f>
        <v>46291.583333333336</v>
      </c>
      <c r="D607" s="3" t="str" cm="1">
        <f t="array" ref="D607">choice(Settings!K:K,1,Settings!$B$16)</f>
        <v/>
      </c>
    </row>
    <row r="608" spans="1:4" x14ac:dyDescent="0.25">
      <c r="A608" s="2" t="str" cm="1">
        <f t="array" ref="A608">choice(Professeurs!A:A,1,Settings!$B$16)</f>
        <v>Prof26</v>
      </c>
      <c r="B608" s="3" cm="1">
        <f t="array" ref="B608">alea_date(Settings!$B$11,360,Settings!$B$8+alea_int(4,0,Settings!$B$16),Settings!$B$16)</f>
        <v>46334.416666666664</v>
      </c>
      <c r="C608" s="3" cm="1">
        <f t="array" ref="C608">B608+TIME(alea_int(5,1,Settings!$B$16),0,0)</f>
        <v>46334.583333333328</v>
      </c>
      <c r="D608" s="3" t="str" cm="1">
        <f t="array" ref="D608">choice(Settings!K:K,1,Settings!$B$16)</f>
        <v/>
      </c>
    </row>
    <row r="609" spans="1:4" x14ac:dyDescent="0.25">
      <c r="A609" s="2" t="str" cm="1">
        <f t="array" ref="A609">choice(Professeurs!A:A,1,Settings!$B$16)</f>
        <v>Prof6</v>
      </c>
      <c r="B609" s="3" cm="1">
        <f t="array" ref="B609">alea_date(Settings!$B$11,360,Settings!$B$8+alea_int(4,0,Settings!$B$16),Settings!$B$16)</f>
        <v>46159.458333333336</v>
      </c>
      <c r="C609" s="3" cm="1">
        <f t="array" ref="C609">B609+TIME(alea_int(5,1,Settings!$B$16),0,0)</f>
        <v>46159.5</v>
      </c>
      <c r="D609" s="3" t="str" cm="1">
        <f t="array" ref="D609">choice(Settings!K:K,1,Settings!$B$16)</f>
        <v>mercredi pm</v>
      </c>
    </row>
    <row r="610" spans="1:4" x14ac:dyDescent="0.25">
      <c r="A610" s="2" t="str" cm="1">
        <f t="array" ref="A610">choice(Professeurs!A:A,1,Settings!$B$16)</f>
        <v>Prof26</v>
      </c>
      <c r="B610" s="3" cm="1">
        <f t="array" ref="B610">alea_date(Settings!$B$11,360,Settings!$B$8+alea_int(4,0,Settings!$B$16),Settings!$B$16)</f>
        <v>46125.375</v>
      </c>
      <c r="C610" s="3" cm="1">
        <f t="array" ref="C610">B610+TIME(alea_int(5,1,Settings!$B$16),0,0)</f>
        <v>46125.5</v>
      </c>
      <c r="D610" s="3" t="str" cm="1">
        <f t="array" ref="D610">choice(Settings!K:K,1,Settings!$B$16)</f>
        <v>vendredi pm</v>
      </c>
    </row>
    <row r="611" spans="1:4" x14ac:dyDescent="0.25">
      <c r="A611" s="2" t="str" cm="1">
        <f t="array" ref="A611">choice(Professeurs!A:A,1,Settings!$B$16)</f>
        <v>Prof8</v>
      </c>
      <c r="B611" s="3" cm="1">
        <f t="array" ref="B611">alea_date(Settings!$B$11,360,Settings!$B$8+alea_int(4,0,Settings!$B$16),Settings!$B$16)</f>
        <v>46032.333333333336</v>
      </c>
      <c r="C611" s="3" cm="1">
        <f t="array" ref="C611">B611+TIME(alea_int(5,1,Settings!$B$16),0,0)</f>
        <v>46032.375</v>
      </c>
      <c r="D611" s="3" t="str" cm="1">
        <f t="array" ref="D611">choice(Settings!K:K,1,Settings!$B$16)</f>
        <v>jeudi pm</v>
      </c>
    </row>
    <row r="612" spans="1:4" x14ac:dyDescent="0.25">
      <c r="A612" s="2" t="str" cm="1">
        <f t="array" ref="A612">choice(Professeurs!A:A,1,Settings!$B$16)</f>
        <v>Prof45</v>
      </c>
      <c r="B612" s="3" cm="1">
        <f t="array" ref="B612">alea_date(Settings!$B$11,360,Settings!$B$8+alea_int(4,0,Settings!$B$16),Settings!$B$16)</f>
        <v>46342.375</v>
      </c>
      <c r="C612" s="3" cm="1">
        <f t="array" ref="C612">B612+TIME(alea_int(5,1,Settings!$B$16),0,0)</f>
        <v>46342.416666666664</v>
      </c>
      <c r="D612" s="3" t="str" cm="1">
        <f t="array" ref="D612">choice(Settings!K:K,1,Settings!$B$16)</f>
        <v/>
      </c>
    </row>
    <row r="613" spans="1:4" x14ac:dyDescent="0.25">
      <c r="A613" s="2" t="str" cm="1">
        <f t="array" ref="A613">choice(Professeurs!A:A,1,Settings!$B$16)</f>
        <v>Prof21</v>
      </c>
      <c r="B613" s="3" cm="1">
        <f t="array" ref="B613">alea_date(Settings!$B$11,360,Settings!$B$8+alea_int(4,0,Settings!$B$16),Settings!$B$16)</f>
        <v>46254.416666666664</v>
      </c>
      <c r="C613" s="3" cm="1">
        <f t="array" ref="C613">B613+TIME(alea_int(5,1,Settings!$B$16),0,0)</f>
        <v>46254.583333333328</v>
      </c>
      <c r="D613" s="3" t="str" cm="1">
        <f t="array" ref="D613">choice(Settings!K:K,1,Settings!$B$16)</f>
        <v>vendredi am</v>
      </c>
    </row>
    <row r="614" spans="1:4" x14ac:dyDescent="0.25">
      <c r="A614" s="2" t="str" cm="1">
        <f t="array" ref="A614">choice(Professeurs!A:A,1,Settings!$B$16)</f>
        <v>Prof3</v>
      </c>
      <c r="B614" s="3" cm="1">
        <f t="array" ref="B614">alea_date(Settings!$B$11,360,Settings!$B$8+alea_int(4,0,Settings!$B$16),Settings!$B$16)</f>
        <v>46285.375</v>
      </c>
      <c r="C614" s="3" cm="1">
        <f t="array" ref="C614">B614+TIME(alea_int(5,1,Settings!$B$16),0,0)</f>
        <v>46285.458333333336</v>
      </c>
      <c r="D614" s="3" t="str" cm="1">
        <f t="array" ref="D614">choice(Settings!K:K,1,Settings!$B$16)</f>
        <v>semaine</v>
      </c>
    </row>
    <row r="615" spans="1:4" x14ac:dyDescent="0.25">
      <c r="A615" s="2" t="str" cm="1">
        <f t="array" ref="A615">choice(Professeurs!A:A,1,Settings!$B$16)</f>
        <v>Prof29</v>
      </c>
      <c r="B615" s="3" cm="1">
        <f t="array" ref="B615">alea_date(Settings!$B$11,360,Settings!$B$8+alea_int(4,0,Settings!$B$16),Settings!$B$16)</f>
        <v>46292.375</v>
      </c>
      <c r="C615" s="3" cm="1">
        <f t="array" ref="C615">B615+TIME(alea_int(5,1,Settings!$B$16),0,0)</f>
        <v>46292.5</v>
      </c>
      <c r="D615" s="3" t="str" cm="1">
        <f t="array" ref="D615">choice(Settings!K:K,1,Settings!$B$16)</f>
        <v/>
      </c>
    </row>
    <row r="616" spans="1:4" x14ac:dyDescent="0.25">
      <c r="A616" s="2" t="str" cm="1">
        <f t="array" ref="A616">choice(Professeurs!A:A,1,Settings!$B$16)</f>
        <v>Prof3</v>
      </c>
      <c r="B616" s="3" cm="1">
        <f t="array" ref="B616">alea_date(Settings!$B$11,360,Settings!$B$8+alea_int(4,0,Settings!$B$16),Settings!$B$16)</f>
        <v>46302.416666666664</v>
      </c>
      <c r="C616" s="3" cm="1">
        <f t="array" ref="C616">B616+TIME(alea_int(5,1,Settings!$B$16),0,0)</f>
        <v>46302.583333333328</v>
      </c>
      <c r="D616" s="3" t="str" cm="1">
        <f t="array" ref="D616">choice(Settings!K:K,1,Settings!$B$16)</f>
        <v/>
      </c>
    </row>
    <row r="617" spans="1:4" x14ac:dyDescent="0.25">
      <c r="A617" s="2" t="str" cm="1">
        <f t="array" ref="A617">choice(Professeurs!A:A,1,Settings!$B$16)</f>
        <v>Prof14</v>
      </c>
      <c r="B617" s="3" cm="1">
        <f t="array" ref="B617">alea_date(Settings!$B$11,360,Settings!$B$8+alea_int(4,0,Settings!$B$16),Settings!$B$16)</f>
        <v>46113.375</v>
      </c>
      <c r="C617" s="3" cm="1">
        <f t="array" ref="C617">B617+TIME(alea_int(5,1,Settings!$B$16),0,0)</f>
        <v>46113.541666666664</v>
      </c>
      <c r="D617" s="3" t="str" cm="1">
        <f t="array" ref="D617">choice(Settings!K:K,1,Settings!$B$16)</f>
        <v>lundi am</v>
      </c>
    </row>
    <row r="618" spans="1:4" x14ac:dyDescent="0.25">
      <c r="A618" s="2" t="str" cm="1">
        <f t="array" ref="A618">choice(Professeurs!A:A,1,Settings!$B$16)</f>
        <v>Prof26</v>
      </c>
      <c r="B618" s="3" cm="1">
        <f t="array" ref="B618">alea_date(Settings!$B$11,360,Settings!$B$8+alea_int(4,0,Settings!$B$16),Settings!$B$16)</f>
        <v>46219.416666666664</v>
      </c>
      <c r="C618" s="3" cm="1">
        <f t="array" ref="C618">B618+TIME(alea_int(5,1,Settings!$B$16),0,0)</f>
        <v>46219.5</v>
      </c>
      <c r="D618" s="3" t="str" cm="1">
        <f t="array" ref="D618">choice(Settings!K:K,1,Settings!$B$16)</f>
        <v/>
      </c>
    </row>
    <row r="619" spans="1:4" x14ac:dyDescent="0.25">
      <c r="A619" s="2" t="str" cm="1">
        <f t="array" ref="A619">choice(Professeurs!A:A,1,Settings!$B$16)</f>
        <v>Prof10</v>
      </c>
      <c r="B619" s="3" cm="1">
        <f t="array" ref="B619">alea_date(Settings!$B$11,360,Settings!$B$8+alea_int(4,0,Settings!$B$16),Settings!$B$16)</f>
        <v>46273.416666666664</v>
      </c>
      <c r="C619" s="3" cm="1">
        <f t="array" ref="C619">B619+TIME(alea_int(5,1,Settings!$B$16),0,0)</f>
        <v>46273.583333333328</v>
      </c>
      <c r="D619" s="3" t="str" cm="1">
        <f t="array" ref="D619">choice(Settings!K:K,1,Settings!$B$16)</f>
        <v/>
      </c>
    </row>
    <row r="620" spans="1:4" x14ac:dyDescent="0.25">
      <c r="A620" s="2" t="str" cm="1">
        <f t="array" ref="A620">choice(Professeurs!A:A,1,Settings!$B$16)</f>
        <v>Prof47</v>
      </c>
      <c r="B620" s="3" cm="1">
        <f t="array" ref="B620">alea_date(Settings!$B$11,360,Settings!$B$8+alea_int(4,0,Settings!$B$16),Settings!$B$16)</f>
        <v>46339.416666666664</v>
      </c>
      <c r="C620" s="3" cm="1">
        <f t="array" ref="C620">B620+TIME(alea_int(5,1,Settings!$B$16),0,0)</f>
        <v>46339.625</v>
      </c>
      <c r="D620" s="3" t="str" cm="1">
        <f t="array" ref="D620">choice(Settings!K:K,1,Settings!$B$16)</f>
        <v/>
      </c>
    </row>
    <row r="621" spans="1:4" x14ac:dyDescent="0.25">
      <c r="A621" s="2" t="str" cm="1">
        <f t="array" ref="A621">choice(Professeurs!A:A,1,Settings!$B$16)</f>
        <v>Prof3</v>
      </c>
      <c r="B621" s="3" cm="1">
        <f t="array" ref="B621">alea_date(Settings!$B$11,360,Settings!$B$8+alea_int(4,0,Settings!$B$16),Settings!$B$16)</f>
        <v>46109.416666666664</v>
      </c>
      <c r="C621" s="3" cm="1">
        <f t="array" ref="C621">B621+TIME(alea_int(5,1,Settings!$B$16),0,0)</f>
        <v>46109.5</v>
      </c>
      <c r="D621" s="3" t="str" cm="1">
        <f t="array" ref="D621">choice(Settings!K:K,1,Settings!$B$16)</f>
        <v/>
      </c>
    </row>
    <row r="622" spans="1:4" x14ac:dyDescent="0.25">
      <c r="A622" s="2" t="str" cm="1">
        <f t="array" ref="A622">choice(Professeurs!A:A,1,Settings!$B$16)</f>
        <v>Prof55</v>
      </c>
      <c r="B622" s="3" cm="1">
        <f t="array" ref="B622">alea_date(Settings!$B$11,360,Settings!$B$8+alea_int(4,0,Settings!$B$16),Settings!$B$16)</f>
        <v>46158.416666666664</v>
      </c>
      <c r="C622" s="3" cm="1">
        <f t="array" ref="C622">B622+TIME(alea_int(5,1,Settings!$B$16),0,0)</f>
        <v>46158.5</v>
      </c>
      <c r="D622" s="3" t="str" cm="1">
        <f t="array" ref="D622">choice(Settings!K:K,1,Settings!$B$16)</f>
        <v>jeudi am</v>
      </c>
    </row>
    <row r="623" spans="1:4" x14ac:dyDescent="0.25">
      <c r="A623" s="2" t="str" cm="1">
        <f t="array" ref="A623">choice(Professeurs!A:A,1,Settings!$B$16)</f>
        <v>Prof30</v>
      </c>
      <c r="B623" s="3" cm="1">
        <f t="array" ref="B623">alea_date(Settings!$B$11,360,Settings!$B$8+alea_int(4,0,Settings!$B$16),Settings!$B$16)</f>
        <v>46083.375</v>
      </c>
      <c r="C623" s="3" cm="1">
        <f t="array" ref="C623">B623+TIME(alea_int(5,1,Settings!$B$16),0,0)</f>
        <v>46083.541666666664</v>
      </c>
      <c r="D623" s="3" t="str" cm="1">
        <f t="array" ref="D623">choice(Settings!K:K,1,Settings!$B$16)</f>
        <v/>
      </c>
    </row>
    <row r="624" spans="1:4" x14ac:dyDescent="0.25">
      <c r="A624" s="2" t="str" cm="1">
        <f t="array" ref="A624">choice(Professeurs!A:A,1,Settings!$B$16)</f>
        <v>Prof29</v>
      </c>
      <c r="B624" s="3" cm="1">
        <f t="array" ref="B624">alea_date(Settings!$B$11,360,Settings!$B$8+alea_int(4,0,Settings!$B$16),Settings!$B$16)</f>
        <v>46356.458333333336</v>
      </c>
      <c r="C624" s="3" cm="1">
        <f t="array" ref="C624">B624+TIME(alea_int(5,1,Settings!$B$16),0,0)</f>
        <v>46356.625</v>
      </c>
      <c r="D624" s="3" t="str" cm="1">
        <f t="array" ref="D624">choice(Settings!K:K,1,Settings!$B$16)</f>
        <v/>
      </c>
    </row>
    <row r="625" spans="1:4" x14ac:dyDescent="0.25">
      <c r="A625" s="2" t="str" cm="1">
        <f t="array" ref="A625">choice(Professeurs!A:A,1,Settings!$B$16)</f>
        <v>Prof55</v>
      </c>
      <c r="B625" s="3" cm="1">
        <f t="array" ref="B625">alea_date(Settings!$B$11,360,Settings!$B$8+alea_int(4,0,Settings!$B$16),Settings!$B$16)</f>
        <v>46211.458333333336</v>
      </c>
      <c r="C625" s="3" cm="1">
        <f t="array" ref="C625">B625+TIME(alea_int(5,1,Settings!$B$16),0,0)</f>
        <v>46211.541666666672</v>
      </c>
      <c r="D625" s="3" t="str" cm="1">
        <f t="array" ref="D625">choice(Settings!K:K,1,Settings!$B$16)</f>
        <v>mercredi pm</v>
      </c>
    </row>
    <row r="626" spans="1:4" x14ac:dyDescent="0.25">
      <c r="A626" s="2" t="str" cm="1">
        <f t="array" ref="A626">choice(Professeurs!A:A,1,Settings!$B$16)</f>
        <v>Prof44</v>
      </c>
      <c r="B626" s="3" cm="1">
        <f t="array" ref="B626">alea_date(Settings!$B$11,360,Settings!$B$8+alea_int(4,0,Settings!$B$16),Settings!$B$16)</f>
        <v>46241.458333333336</v>
      </c>
      <c r="C626" s="3" cm="1">
        <f t="array" ref="C626">B626+TIME(alea_int(5,1,Settings!$B$16),0,0)</f>
        <v>46241.666666666672</v>
      </c>
      <c r="D626" s="3" t="str" cm="1">
        <f t="array" ref="D626">choice(Settings!K:K,1,Settings!$B$16)</f>
        <v/>
      </c>
    </row>
    <row r="627" spans="1:4" x14ac:dyDescent="0.25">
      <c r="A627" s="2" t="str" cm="1">
        <f t="array" ref="A627">choice(Professeurs!A:A,1,Settings!$B$16)</f>
        <v>Prof22</v>
      </c>
      <c r="B627" s="3" cm="1">
        <f t="array" ref="B627">alea_date(Settings!$B$11,360,Settings!$B$8+alea_int(4,0,Settings!$B$16),Settings!$B$16)</f>
        <v>46200.458333333336</v>
      </c>
      <c r="C627" s="3" cm="1">
        <f t="array" ref="C627">B627+TIME(alea_int(5,1,Settings!$B$16),0,0)</f>
        <v>46200.625</v>
      </c>
      <c r="D627" s="3" t="str" cm="1">
        <f t="array" ref="D627">choice(Settings!K:K,1,Settings!$B$16)</f>
        <v>vendredi pm</v>
      </c>
    </row>
    <row r="628" spans="1:4" x14ac:dyDescent="0.25">
      <c r="A628" s="2" t="str" cm="1">
        <f t="array" ref="A628">choice(Professeurs!A:A,1,Settings!$B$16)</f>
        <v>Prof37</v>
      </c>
      <c r="B628" s="3" cm="1">
        <f t="array" ref="B628">alea_date(Settings!$B$11,360,Settings!$B$8+alea_int(4,0,Settings!$B$16),Settings!$B$16)</f>
        <v>46305.333333333336</v>
      </c>
      <c r="C628" s="3" cm="1">
        <f t="array" ref="C628">B628+TIME(alea_int(5,1,Settings!$B$16),0,0)</f>
        <v>46305.416666666672</v>
      </c>
      <c r="D628" s="3" t="str" cm="1">
        <f t="array" ref="D628">choice(Settings!K:K,1,Settings!$B$16)</f>
        <v/>
      </c>
    </row>
    <row r="629" spans="1:4" x14ac:dyDescent="0.25">
      <c r="A629" s="2" t="str" cm="1">
        <f t="array" ref="A629">choice(Professeurs!A:A,1,Settings!$B$16)</f>
        <v>Prof48</v>
      </c>
      <c r="B629" s="3" cm="1">
        <f t="array" ref="B629">alea_date(Settings!$B$11,360,Settings!$B$8+alea_int(4,0,Settings!$B$16),Settings!$B$16)</f>
        <v>46217.458333333336</v>
      </c>
      <c r="C629" s="3" cm="1">
        <f t="array" ref="C629">B629+TIME(alea_int(5,1,Settings!$B$16),0,0)</f>
        <v>46217.5</v>
      </c>
      <c r="D629" s="3" t="str" cm="1">
        <f t="array" ref="D629">choice(Settings!K:K,1,Settings!$B$16)</f>
        <v/>
      </c>
    </row>
    <row r="630" spans="1:4" x14ac:dyDescent="0.25">
      <c r="A630" s="2" t="str" cm="1">
        <f t="array" ref="A630">choice(Professeurs!A:A,1,Settings!$B$16)</f>
        <v>Prof14</v>
      </c>
      <c r="B630" s="3" cm="1">
        <f t="array" ref="B630">alea_date(Settings!$B$11,360,Settings!$B$8+alea_int(4,0,Settings!$B$16),Settings!$B$16)</f>
        <v>46199.458333333336</v>
      </c>
      <c r="C630" s="3" cm="1">
        <f t="array" ref="C630">B630+TIME(alea_int(5,1,Settings!$B$16),0,0)</f>
        <v>46199.666666666672</v>
      </c>
      <c r="D630" s="3" t="str" cm="1">
        <f t="array" ref="D630">choice(Settings!K:K,1,Settings!$B$16)</f>
        <v/>
      </c>
    </row>
    <row r="631" spans="1:4" x14ac:dyDescent="0.25">
      <c r="A631" s="2" t="str" cm="1">
        <f t="array" ref="A631">choice(Professeurs!A:A,1,Settings!$B$16)</f>
        <v>Prof31</v>
      </c>
      <c r="B631" s="3" cm="1">
        <f t="array" ref="B631">alea_date(Settings!$B$11,360,Settings!$B$8+alea_int(4,0,Settings!$B$16),Settings!$B$16)</f>
        <v>46205.333333333336</v>
      </c>
      <c r="C631" s="3" cm="1">
        <f t="array" ref="C631">B631+TIME(alea_int(5,1,Settings!$B$16),0,0)</f>
        <v>46205.375</v>
      </c>
      <c r="D631" s="3" t="str" cm="1">
        <f t="array" ref="D631">choice(Settings!K:K,1,Settings!$B$16)</f>
        <v/>
      </c>
    </row>
    <row r="632" spans="1:4" x14ac:dyDescent="0.25">
      <c r="A632" s="2" t="str" cm="1">
        <f t="array" ref="A632">choice(Professeurs!A:A,1,Settings!$B$16)</f>
        <v>Prof1</v>
      </c>
      <c r="B632" s="3" cm="1">
        <f t="array" ref="B632">alea_date(Settings!$B$11,360,Settings!$B$8+alea_int(4,0,Settings!$B$16),Settings!$B$16)</f>
        <v>46054.333333333336</v>
      </c>
      <c r="C632" s="3" cm="1">
        <f t="array" ref="C632">B632+TIME(alea_int(5,1,Settings!$B$16),0,0)</f>
        <v>46054.416666666672</v>
      </c>
      <c r="D632" s="3" t="str" cm="1">
        <f t="array" ref="D632">choice(Settings!K:K,1,Settings!$B$16)</f>
        <v/>
      </c>
    </row>
    <row r="633" spans="1:4" x14ac:dyDescent="0.25">
      <c r="A633" s="2" t="str" cm="1">
        <f t="array" ref="A633">choice(Professeurs!A:A,1,Settings!$B$16)</f>
        <v>Prof9</v>
      </c>
      <c r="B633" s="3" cm="1">
        <f t="array" ref="B633">alea_date(Settings!$B$11,360,Settings!$B$8+alea_int(4,0,Settings!$B$16),Settings!$B$16)</f>
        <v>46167.416666666664</v>
      </c>
      <c r="C633" s="3" cm="1">
        <f t="array" ref="C633">B633+TIME(alea_int(5,1,Settings!$B$16),0,0)</f>
        <v>46167.625</v>
      </c>
      <c r="D633" s="3" t="str" cm="1">
        <f t="array" ref="D633">choice(Settings!K:K,1,Settings!$B$16)</f>
        <v>lundi am</v>
      </c>
    </row>
    <row r="634" spans="1:4" x14ac:dyDescent="0.25">
      <c r="A634" s="2" t="str" cm="1">
        <f t="array" ref="A634">choice(Professeurs!A:A,1,Settings!$B$16)</f>
        <v>Prof40</v>
      </c>
      <c r="B634" s="3" cm="1">
        <f t="array" ref="B634">alea_date(Settings!$B$11,360,Settings!$B$8+alea_int(4,0,Settings!$B$16),Settings!$B$16)</f>
        <v>46182.416666666664</v>
      </c>
      <c r="C634" s="3" cm="1">
        <f t="array" ref="C634">B634+TIME(alea_int(5,1,Settings!$B$16),0,0)</f>
        <v>46182.583333333328</v>
      </c>
      <c r="D634" s="3" t="str" cm="1">
        <f t="array" ref="D634">choice(Settings!K:K,1,Settings!$B$16)</f>
        <v/>
      </c>
    </row>
    <row r="635" spans="1:4" x14ac:dyDescent="0.25">
      <c r="A635" s="2" t="str" cm="1">
        <f t="array" ref="A635">choice(Professeurs!A:A,1,Settings!$B$16)</f>
        <v>Prof12</v>
      </c>
      <c r="B635" s="3" cm="1">
        <f t="array" ref="B635">alea_date(Settings!$B$11,360,Settings!$B$8+alea_int(4,0,Settings!$B$16),Settings!$B$16)</f>
        <v>46049.333333333336</v>
      </c>
      <c r="C635" s="3" cm="1">
        <f t="array" ref="C635">B635+TIME(alea_int(5,1,Settings!$B$16),0,0)</f>
        <v>46049.458333333336</v>
      </c>
      <c r="D635" s="3" t="str" cm="1">
        <f t="array" ref="D635">choice(Settings!K:K,1,Settings!$B$16)</f>
        <v/>
      </c>
    </row>
    <row r="636" spans="1:4" x14ac:dyDescent="0.25">
      <c r="A636" s="2" t="str" cm="1">
        <f t="array" ref="A636">choice(Professeurs!A:A,1,Settings!$B$16)</f>
        <v>Prof40</v>
      </c>
      <c r="B636" s="3" cm="1">
        <f t="array" ref="B636">alea_date(Settings!$B$11,360,Settings!$B$8+alea_int(4,0,Settings!$B$16),Settings!$B$16)</f>
        <v>46333.375</v>
      </c>
      <c r="C636" s="3" cm="1">
        <f t="array" ref="C636">B636+TIME(alea_int(5,1,Settings!$B$16),0,0)</f>
        <v>46333.541666666664</v>
      </c>
      <c r="D636" s="3" t="str" cm="1">
        <f t="array" ref="D636">choice(Settings!K:K,1,Settings!$B$16)</f>
        <v/>
      </c>
    </row>
    <row r="637" spans="1:4" x14ac:dyDescent="0.25">
      <c r="A637" s="2" t="str" cm="1">
        <f t="array" ref="A637">choice(Professeurs!A:A,1,Settings!$B$16)</f>
        <v>Prof35</v>
      </c>
      <c r="B637" s="3" cm="1">
        <f t="array" ref="B637">alea_date(Settings!$B$11,360,Settings!$B$8+alea_int(4,0,Settings!$B$16),Settings!$B$16)</f>
        <v>46193.416666666664</v>
      </c>
      <c r="C637" s="3" cm="1">
        <f t="array" ref="C637">B637+TIME(alea_int(5,1,Settings!$B$16),0,0)</f>
        <v>46193.458333333328</v>
      </c>
      <c r="D637" s="3" t="str" cm="1">
        <f t="array" ref="D637">choice(Settings!K:K,1,Settings!$B$16)</f>
        <v/>
      </c>
    </row>
    <row r="638" spans="1:4" x14ac:dyDescent="0.25">
      <c r="A638" s="2" t="str" cm="1">
        <f t="array" ref="A638">choice(Professeurs!A:A,1,Settings!$B$16)</f>
        <v>Prof7</v>
      </c>
      <c r="B638" s="3" cm="1">
        <f t="array" ref="B638">alea_date(Settings!$B$11,360,Settings!$B$8+alea_int(4,0,Settings!$B$16),Settings!$B$16)</f>
        <v>46298.375</v>
      </c>
      <c r="C638" s="3" cm="1">
        <f t="array" ref="C638">B638+TIME(alea_int(5,1,Settings!$B$16),0,0)</f>
        <v>46298.416666666664</v>
      </c>
      <c r="D638" s="3" t="str" cm="1">
        <f t="array" ref="D638">choice(Settings!K:K,1,Settings!$B$16)</f>
        <v>mardi am</v>
      </c>
    </row>
    <row r="639" spans="1:4" x14ac:dyDescent="0.25">
      <c r="A639" s="2" t="str" cm="1">
        <f t="array" ref="A639">choice(Professeurs!A:A,1,Settings!$B$16)</f>
        <v>Prof34</v>
      </c>
      <c r="B639" s="3" cm="1">
        <f t="array" ref="B639">alea_date(Settings!$B$11,360,Settings!$B$8+alea_int(4,0,Settings!$B$16),Settings!$B$16)</f>
        <v>46193.333333333336</v>
      </c>
      <c r="C639" s="3" cm="1">
        <f t="array" ref="C639">B639+TIME(alea_int(5,1,Settings!$B$16),0,0)</f>
        <v>46193.541666666672</v>
      </c>
      <c r="D639" s="3" t="str" cm="1">
        <f t="array" ref="D639">choice(Settings!K:K,1,Settings!$B$16)</f>
        <v/>
      </c>
    </row>
    <row r="640" spans="1:4" x14ac:dyDescent="0.25">
      <c r="A640" s="2" t="str" cm="1">
        <f t="array" ref="A640">choice(Professeurs!A:A,1,Settings!$B$16)</f>
        <v>Prof4</v>
      </c>
      <c r="B640" s="3" cm="1">
        <f t="array" ref="B640">alea_date(Settings!$B$11,360,Settings!$B$8+alea_int(4,0,Settings!$B$16),Settings!$B$16)</f>
        <v>46136.375</v>
      </c>
      <c r="C640" s="3" cm="1">
        <f t="array" ref="C640">B640+TIME(alea_int(5,1,Settings!$B$16),0,0)</f>
        <v>46136.5</v>
      </c>
      <c r="D640" s="3" t="str" cm="1">
        <f t="array" ref="D640">choice(Settings!K:K,1,Settings!$B$16)</f>
        <v/>
      </c>
    </row>
    <row r="641" spans="1:4" x14ac:dyDescent="0.25">
      <c r="A641" s="2" t="str" cm="1">
        <f t="array" ref="A641">choice(Professeurs!A:A,1,Settings!$B$16)</f>
        <v>Prof40</v>
      </c>
      <c r="B641" s="3" cm="1">
        <f t="array" ref="B641">alea_date(Settings!$B$11,360,Settings!$B$8+alea_int(4,0,Settings!$B$16),Settings!$B$16)</f>
        <v>46023.333333333336</v>
      </c>
      <c r="C641" s="3" cm="1">
        <f t="array" ref="C641">B641+TIME(alea_int(5,1,Settings!$B$16),0,0)</f>
        <v>46023.375</v>
      </c>
      <c r="D641" s="3" t="str" cm="1">
        <f t="array" ref="D641">choice(Settings!K:K,1,Settings!$B$16)</f>
        <v/>
      </c>
    </row>
    <row r="642" spans="1:4" x14ac:dyDescent="0.25">
      <c r="A642" s="2" t="str" cm="1">
        <f t="array" ref="A642">choice(Professeurs!A:A,1,Settings!$B$16)</f>
        <v>Prof53</v>
      </c>
      <c r="B642" s="3" cm="1">
        <f t="array" ref="B642">alea_date(Settings!$B$11,360,Settings!$B$8+alea_int(4,0,Settings!$B$16),Settings!$B$16)</f>
        <v>46252.333333333336</v>
      </c>
      <c r="C642" s="3" cm="1">
        <f t="array" ref="C642">B642+TIME(alea_int(5,1,Settings!$B$16),0,0)</f>
        <v>46252.375</v>
      </c>
      <c r="D642" s="3" t="str" cm="1">
        <f t="array" ref="D642">choice(Settings!K:K,1,Settings!$B$16)</f>
        <v/>
      </c>
    </row>
    <row r="643" spans="1:4" x14ac:dyDescent="0.25">
      <c r="A643" s="2" t="str" cm="1">
        <f t="array" ref="A643">choice(Professeurs!A:A,1,Settings!$B$16)</f>
        <v>Prof1</v>
      </c>
      <c r="B643" s="3" cm="1">
        <f t="array" ref="B643">alea_date(Settings!$B$11,360,Settings!$B$8+alea_int(4,0,Settings!$B$16),Settings!$B$16)</f>
        <v>46364.458333333336</v>
      </c>
      <c r="C643" s="3" cm="1">
        <f t="array" ref="C643">B643+TIME(alea_int(5,1,Settings!$B$16),0,0)</f>
        <v>46364.666666666672</v>
      </c>
      <c r="D643" s="3" t="str" cm="1">
        <f t="array" ref="D643">choice(Settings!K:K,1,Settings!$B$16)</f>
        <v/>
      </c>
    </row>
    <row r="644" spans="1:4" x14ac:dyDescent="0.25">
      <c r="A644" s="2" t="str" cm="1">
        <f t="array" ref="A644">choice(Professeurs!A:A,1,Settings!$B$16)</f>
        <v>Prof41</v>
      </c>
      <c r="B644" s="3" cm="1">
        <f t="array" ref="B644">alea_date(Settings!$B$11,360,Settings!$B$8+alea_int(4,0,Settings!$B$16),Settings!$B$16)</f>
        <v>46098.333333333336</v>
      </c>
      <c r="C644" s="3" cm="1">
        <f t="array" ref="C644">B644+TIME(alea_int(5,1,Settings!$B$16),0,0)</f>
        <v>46098.375</v>
      </c>
      <c r="D644" s="3" t="str" cm="1">
        <f t="array" ref="D644">choice(Settings!K:K,1,Settings!$B$16)</f>
        <v/>
      </c>
    </row>
    <row r="645" spans="1:4" x14ac:dyDescent="0.25">
      <c r="A645" s="2" t="str" cm="1">
        <f t="array" ref="A645">choice(Professeurs!A:A,1,Settings!$B$16)</f>
        <v>Prof55</v>
      </c>
      <c r="B645" s="3" cm="1">
        <f t="array" ref="B645">alea_date(Settings!$B$11,360,Settings!$B$8+alea_int(4,0,Settings!$B$16),Settings!$B$16)</f>
        <v>46169.333333333336</v>
      </c>
      <c r="C645" s="3" cm="1">
        <f t="array" ref="C645">B645+TIME(alea_int(5,1,Settings!$B$16),0,0)</f>
        <v>46169.458333333336</v>
      </c>
      <c r="D645" s="3" t="str" cm="1">
        <f t="array" ref="D645">choice(Settings!K:K,1,Settings!$B$16)</f>
        <v>lundi am</v>
      </c>
    </row>
    <row r="646" spans="1:4" x14ac:dyDescent="0.25">
      <c r="A646" s="2" t="str" cm="1">
        <f t="array" ref="A646">choice(Professeurs!A:A,1,Settings!$B$16)</f>
        <v>Prof23</v>
      </c>
      <c r="B646" s="3" cm="1">
        <f t="array" ref="B646">alea_date(Settings!$B$11,360,Settings!$B$8+alea_int(4,0,Settings!$B$16),Settings!$B$16)</f>
        <v>46239.416666666664</v>
      </c>
      <c r="C646" s="3" cm="1">
        <f t="array" ref="C646">B646+TIME(alea_int(5,1,Settings!$B$16),0,0)</f>
        <v>46239.583333333328</v>
      </c>
      <c r="D646" s="3" t="str" cm="1">
        <f t="array" ref="D646">choice(Settings!K:K,1,Settings!$B$16)</f>
        <v/>
      </c>
    </row>
    <row r="647" spans="1:4" x14ac:dyDescent="0.25">
      <c r="A647" s="2" t="str" cm="1">
        <f t="array" ref="A647">choice(Professeurs!A:A,1,Settings!$B$16)</f>
        <v>Prof12</v>
      </c>
      <c r="B647" s="3" cm="1">
        <f t="array" ref="B647">alea_date(Settings!$B$11,360,Settings!$B$8+alea_int(4,0,Settings!$B$16),Settings!$B$16)</f>
        <v>46289.416666666664</v>
      </c>
      <c r="C647" s="3" cm="1">
        <f t="array" ref="C647">B647+TIME(alea_int(5,1,Settings!$B$16),0,0)</f>
        <v>46289.541666666664</v>
      </c>
      <c r="D647" s="3" t="str" cm="1">
        <f t="array" ref="D647">choice(Settings!K:K,1,Settings!$B$16)</f>
        <v/>
      </c>
    </row>
    <row r="648" spans="1:4" x14ac:dyDescent="0.25">
      <c r="A648" s="2" t="str" cm="1">
        <f t="array" ref="A648">choice(Professeurs!A:A,1,Settings!$B$16)</f>
        <v>Prof42</v>
      </c>
      <c r="B648" s="3" cm="1">
        <f t="array" ref="B648">alea_date(Settings!$B$11,360,Settings!$B$8+alea_int(4,0,Settings!$B$16),Settings!$B$16)</f>
        <v>46073.375</v>
      </c>
      <c r="C648" s="3" cm="1">
        <f t="array" ref="C648">B648+TIME(alea_int(5,1,Settings!$B$16),0,0)</f>
        <v>46073.458333333336</v>
      </c>
      <c r="D648" s="3" t="str" cm="1">
        <f t="array" ref="D648">choice(Settings!K:K,1,Settings!$B$16)</f>
        <v/>
      </c>
    </row>
    <row r="649" spans="1:4" x14ac:dyDescent="0.25">
      <c r="A649" s="2" t="str" cm="1">
        <f t="array" ref="A649">choice(Professeurs!A:A,1,Settings!$B$16)</f>
        <v>Prof8</v>
      </c>
      <c r="B649" s="3" cm="1">
        <f t="array" ref="B649">alea_date(Settings!$B$11,360,Settings!$B$8+alea_int(4,0,Settings!$B$16),Settings!$B$16)</f>
        <v>46099.333333333336</v>
      </c>
      <c r="C649" s="3" cm="1">
        <f t="array" ref="C649">B649+TIME(alea_int(5,1,Settings!$B$16),0,0)</f>
        <v>46099.541666666672</v>
      </c>
      <c r="D649" s="3" t="str" cm="1">
        <f t="array" ref="D649">choice(Settings!K:K,1,Settings!$B$16)</f>
        <v>mercredi pm</v>
      </c>
    </row>
    <row r="650" spans="1:4" x14ac:dyDescent="0.25">
      <c r="A650" s="2" t="str" cm="1">
        <f t="array" ref="A650">choice(Professeurs!A:A,1,Settings!$B$16)</f>
        <v>Prof30</v>
      </c>
      <c r="B650" s="3" cm="1">
        <f t="array" ref="B650">alea_date(Settings!$B$11,360,Settings!$B$8+alea_int(4,0,Settings!$B$16),Settings!$B$16)</f>
        <v>46356.416666666664</v>
      </c>
      <c r="C650" s="3" cm="1">
        <f t="array" ref="C650">B650+TIME(alea_int(5,1,Settings!$B$16),0,0)</f>
        <v>46356.541666666664</v>
      </c>
      <c r="D650" s="3" t="str" cm="1">
        <f t="array" ref="D650">choice(Settings!K:K,1,Settings!$B$16)</f>
        <v>vendredi am</v>
      </c>
    </row>
    <row r="651" spans="1:4" x14ac:dyDescent="0.25">
      <c r="A651" s="2" t="str" cm="1">
        <f t="array" ref="A651">choice(Professeurs!A:A,1,Settings!$B$16)</f>
        <v>Prof23</v>
      </c>
      <c r="B651" s="3" cm="1">
        <f t="array" ref="B651">alea_date(Settings!$B$11,360,Settings!$B$8+alea_int(4,0,Settings!$B$16),Settings!$B$16)</f>
        <v>46285.416666666664</v>
      </c>
      <c r="C651" s="3" cm="1">
        <f t="array" ref="C651">B651+TIME(alea_int(5,1,Settings!$B$16),0,0)</f>
        <v>46285.5</v>
      </c>
      <c r="D651" s="3" t="str" cm="1">
        <f t="array" ref="D651">choice(Settings!K:K,1,Settings!$B$16)</f>
        <v/>
      </c>
    </row>
    <row r="652" spans="1:4" x14ac:dyDescent="0.25">
      <c r="A652" s="2" t="str" cm="1">
        <f t="array" ref="A652">choice(Professeurs!A:A,1,Settings!$B$16)</f>
        <v>Prof18</v>
      </c>
      <c r="B652" s="3" cm="1">
        <f t="array" ref="B652">alea_date(Settings!$B$11,360,Settings!$B$8+alea_int(4,0,Settings!$B$16),Settings!$B$16)</f>
        <v>46095.458333333336</v>
      </c>
      <c r="C652" s="3" cm="1">
        <f t="array" ref="C652">B652+TIME(alea_int(5,1,Settings!$B$16),0,0)</f>
        <v>46095.625</v>
      </c>
      <c r="D652" s="3" t="str" cm="1">
        <f t="array" ref="D652">choice(Settings!K:K,1,Settings!$B$16)</f>
        <v>lundi pm</v>
      </c>
    </row>
    <row r="653" spans="1:4" x14ac:dyDescent="0.25">
      <c r="A653" s="2" t="str" cm="1">
        <f t="array" ref="A653">choice(Professeurs!A:A,1,Settings!$B$16)</f>
        <v>Prof13</v>
      </c>
      <c r="B653" s="3" cm="1">
        <f t="array" ref="B653">alea_date(Settings!$B$11,360,Settings!$B$8+alea_int(4,0,Settings!$B$16),Settings!$B$16)</f>
        <v>46379.375</v>
      </c>
      <c r="C653" s="3" cm="1">
        <f t="array" ref="C653">B653+TIME(alea_int(5,1,Settings!$B$16),0,0)</f>
        <v>46379.583333333336</v>
      </c>
      <c r="D653" s="3" t="str" cm="1">
        <f t="array" ref="D653">choice(Settings!K:K,1,Settings!$B$16)</f>
        <v>mardi pm</v>
      </c>
    </row>
    <row r="654" spans="1:4" x14ac:dyDescent="0.25">
      <c r="A654" s="2" t="str" cm="1">
        <f t="array" ref="A654">choice(Professeurs!A:A,1,Settings!$B$16)</f>
        <v>Prof20</v>
      </c>
      <c r="B654" s="3" cm="1">
        <f t="array" ref="B654">alea_date(Settings!$B$11,360,Settings!$B$8+alea_int(4,0,Settings!$B$16),Settings!$B$16)</f>
        <v>46170.416666666664</v>
      </c>
      <c r="C654" s="3" cm="1">
        <f t="array" ref="C654">B654+TIME(alea_int(5,1,Settings!$B$16),0,0)</f>
        <v>46170.583333333328</v>
      </c>
      <c r="D654" s="3" t="str" cm="1">
        <f t="array" ref="D654">choice(Settings!K:K,1,Settings!$B$16)</f>
        <v/>
      </c>
    </row>
    <row r="655" spans="1:4" x14ac:dyDescent="0.25">
      <c r="A655" s="2" t="str" cm="1">
        <f t="array" ref="A655">choice(Professeurs!A:A,1,Settings!$B$16)</f>
        <v>Prof46</v>
      </c>
      <c r="B655" s="3" cm="1">
        <f t="array" ref="B655">alea_date(Settings!$B$11,360,Settings!$B$8+alea_int(4,0,Settings!$B$16),Settings!$B$16)</f>
        <v>46360.458333333336</v>
      </c>
      <c r="C655" s="3" cm="1">
        <f t="array" ref="C655">B655+TIME(alea_int(5,1,Settings!$B$16),0,0)</f>
        <v>46360.5</v>
      </c>
      <c r="D655" s="3" t="str" cm="1">
        <f t="array" ref="D655">choice(Settings!K:K,1,Settings!$B$16)</f>
        <v/>
      </c>
    </row>
    <row r="656" spans="1:4" x14ac:dyDescent="0.25">
      <c r="A656" s="2" t="str" cm="1">
        <f t="array" ref="A656">choice(Professeurs!A:A,1,Settings!$B$16)</f>
        <v>Prof45</v>
      </c>
      <c r="B656" s="3" cm="1">
        <f t="array" ref="B656">alea_date(Settings!$B$11,360,Settings!$B$8+alea_int(4,0,Settings!$B$16),Settings!$B$16)</f>
        <v>46342.333333333336</v>
      </c>
      <c r="C656" s="3" cm="1">
        <f t="array" ref="C656">B656+TIME(alea_int(5,1,Settings!$B$16),0,0)</f>
        <v>46342.458333333336</v>
      </c>
      <c r="D656" s="3" t="str" cm="1">
        <f t="array" ref="D656">choice(Settings!K:K,1,Settings!$B$16)</f>
        <v/>
      </c>
    </row>
    <row r="657" spans="1:4" x14ac:dyDescent="0.25">
      <c r="A657" s="2" t="str" cm="1">
        <f t="array" ref="A657">choice(Professeurs!A:A,1,Settings!$B$16)</f>
        <v>Prof48</v>
      </c>
      <c r="B657" s="3" cm="1">
        <f t="array" ref="B657">alea_date(Settings!$B$11,360,Settings!$B$8+alea_int(4,0,Settings!$B$16),Settings!$B$16)</f>
        <v>46196.416666666664</v>
      </c>
      <c r="C657" s="3" cm="1">
        <f t="array" ref="C657">B657+TIME(alea_int(5,1,Settings!$B$16),0,0)</f>
        <v>46196.541666666664</v>
      </c>
      <c r="D657" s="3" t="str" cm="1">
        <f t="array" ref="D657">choice(Settings!K:K,1,Settings!$B$16)</f>
        <v/>
      </c>
    </row>
    <row r="658" spans="1:4" x14ac:dyDescent="0.25">
      <c r="A658" s="2" t="str" cm="1">
        <f t="array" ref="A658">choice(Professeurs!A:A,1,Settings!$B$16)</f>
        <v>Prof44</v>
      </c>
      <c r="B658" s="3" cm="1">
        <f t="array" ref="B658">alea_date(Settings!$B$11,360,Settings!$B$8+alea_int(4,0,Settings!$B$16),Settings!$B$16)</f>
        <v>46198.458333333336</v>
      </c>
      <c r="C658" s="3" cm="1">
        <f t="array" ref="C658">B658+TIME(alea_int(5,1,Settings!$B$16),0,0)</f>
        <v>46198.583333333336</v>
      </c>
      <c r="D658" s="3" t="str" cm="1">
        <f t="array" ref="D658">choice(Settings!K:K,1,Settings!$B$16)</f>
        <v>jeudi am</v>
      </c>
    </row>
    <row r="659" spans="1:4" x14ac:dyDescent="0.25">
      <c r="A659" s="2" t="str" cm="1">
        <f t="array" ref="A659">choice(Professeurs!A:A,1,Settings!$B$16)</f>
        <v>Prof48</v>
      </c>
      <c r="B659" s="3" cm="1">
        <f t="array" ref="B659">alea_date(Settings!$B$11,360,Settings!$B$8+alea_int(4,0,Settings!$B$16),Settings!$B$16)</f>
        <v>46209.375</v>
      </c>
      <c r="C659" s="3" cm="1">
        <f t="array" ref="C659">B659+TIME(alea_int(5,1,Settings!$B$16),0,0)</f>
        <v>46209.416666666664</v>
      </c>
      <c r="D659" s="3" t="str" cm="1">
        <f t="array" ref="D659">choice(Settings!K:K,1,Settings!$B$16)</f>
        <v/>
      </c>
    </row>
    <row r="660" spans="1:4" x14ac:dyDescent="0.25">
      <c r="A660" s="2" t="str" cm="1">
        <f t="array" ref="A660">choice(Professeurs!A:A,1,Settings!$B$16)</f>
        <v>Prof34</v>
      </c>
      <c r="B660" s="3" cm="1">
        <f t="array" ref="B660">alea_date(Settings!$B$11,360,Settings!$B$8+alea_int(4,0,Settings!$B$16),Settings!$B$16)</f>
        <v>46250.458333333336</v>
      </c>
      <c r="C660" s="3" cm="1">
        <f t="array" ref="C660">B660+TIME(alea_int(5,1,Settings!$B$16),0,0)</f>
        <v>46250.583333333336</v>
      </c>
      <c r="D660" s="3" t="str" cm="1">
        <f t="array" ref="D660">choice(Settings!K:K,1,Settings!$B$16)</f>
        <v>vendredi am</v>
      </c>
    </row>
    <row r="661" spans="1:4" x14ac:dyDescent="0.25">
      <c r="A661" s="2" t="str" cm="1">
        <f t="array" ref="A661">choice(Professeurs!A:A,1,Settings!$B$16)</f>
        <v>Prof1</v>
      </c>
      <c r="B661" s="3" cm="1">
        <f t="array" ref="B661">alea_date(Settings!$B$11,360,Settings!$B$8+alea_int(4,0,Settings!$B$16),Settings!$B$16)</f>
        <v>46074.416666666664</v>
      </c>
      <c r="C661" s="3" cm="1">
        <f t="array" ref="C661">B661+TIME(alea_int(5,1,Settings!$B$16),0,0)</f>
        <v>46074.541666666664</v>
      </c>
      <c r="D661" s="3" t="str" cm="1">
        <f t="array" ref="D661">choice(Settings!K:K,1,Settings!$B$16)</f>
        <v>mercredi ap</v>
      </c>
    </row>
    <row r="662" spans="1:4" x14ac:dyDescent="0.25">
      <c r="A662" s="2" t="str" cm="1">
        <f t="array" ref="A662">choice(Professeurs!A:A,1,Settings!$B$16)</f>
        <v>Prof14</v>
      </c>
      <c r="B662" s="3" cm="1">
        <f t="array" ref="B662">alea_date(Settings!$B$11,360,Settings!$B$8+alea_int(4,0,Settings!$B$16),Settings!$B$16)</f>
        <v>46030.458333333336</v>
      </c>
      <c r="C662" s="3" cm="1">
        <f t="array" ref="C662">B662+TIME(alea_int(5,1,Settings!$B$16),0,0)</f>
        <v>46030.625</v>
      </c>
      <c r="D662" s="3" t="str" cm="1">
        <f t="array" ref="D662">choice(Settings!K:K,1,Settings!$B$16)</f>
        <v>mercredi pm</v>
      </c>
    </row>
    <row r="663" spans="1:4" x14ac:dyDescent="0.25">
      <c r="A663" s="2" t="str" cm="1">
        <f t="array" ref="A663">choice(Professeurs!A:A,1,Settings!$B$16)</f>
        <v>Prof24</v>
      </c>
      <c r="B663" s="3" cm="1">
        <f t="array" ref="B663">alea_date(Settings!$B$11,360,Settings!$B$8+alea_int(4,0,Settings!$B$16),Settings!$B$16)</f>
        <v>46316.375</v>
      </c>
      <c r="C663" s="3" cm="1">
        <f t="array" ref="C663">B663+TIME(alea_int(5,1,Settings!$B$16),0,0)</f>
        <v>46316.5</v>
      </c>
      <c r="D663" s="3" t="str" cm="1">
        <f t="array" ref="D663">choice(Settings!K:K,1,Settings!$B$16)</f>
        <v>lundi am</v>
      </c>
    </row>
    <row r="664" spans="1:4" x14ac:dyDescent="0.25">
      <c r="A664" s="2" t="str" cm="1">
        <f t="array" ref="A664">choice(Professeurs!A:A,1,Settings!$B$16)</f>
        <v>Prof49</v>
      </c>
      <c r="B664" s="3" cm="1">
        <f t="array" ref="B664">alea_date(Settings!$B$11,360,Settings!$B$8+alea_int(4,0,Settings!$B$16),Settings!$B$16)</f>
        <v>46062.333333333336</v>
      </c>
      <c r="C664" s="3" cm="1">
        <f t="array" ref="C664">B664+TIME(alea_int(5,1,Settings!$B$16),0,0)</f>
        <v>46062.541666666672</v>
      </c>
      <c r="D664" s="3" t="str" cm="1">
        <f t="array" ref="D664">choice(Settings!K:K,1,Settings!$B$16)</f>
        <v/>
      </c>
    </row>
    <row r="665" spans="1:4" x14ac:dyDescent="0.25">
      <c r="A665" s="2" t="str" cm="1">
        <f t="array" ref="A665">choice(Professeurs!A:A,1,Settings!$B$16)</f>
        <v>Prof20</v>
      </c>
      <c r="B665" s="3" cm="1">
        <f t="array" ref="B665">alea_date(Settings!$B$11,360,Settings!$B$8+alea_int(4,0,Settings!$B$16),Settings!$B$16)</f>
        <v>46236.375</v>
      </c>
      <c r="C665" s="3" cm="1">
        <f t="array" ref="C665">B665+TIME(alea_int(5,1,Settings!$B$16),0,0)</f>
        <v>46236.416666666664</v>
      </c>
      <c r="D665" s="3" t="str" cm="1">
        <f t="array" ref="D665">choice(Settings!K:K,1,Settings!$B$16)</f>
        <v/>
      </c>
    </row>
    <row r="666" spans="1:4" x14ac:dyDescent="0.25">
      <c r="A666" s="2" t="str" cm="1">
        <f t="array" ref="A666">choice(Professeurs!A:A,1,Settings!$B$16)</f>
        <v>Prof16</v>
      </c>
      <c r="B666" s="3" cm="1">
        <f t="array" ref="B666">alea_date(Settings!$B$11,360,Settings!$B$8+alea_int(4,0,Settings!$B$16),Settings!$B$16)</f>
        <v>46267.333333333336</v>
      </c>
      <c r="C666" s="3" cm="1">
        <f t="array" ref="C666">B666+TIME(alea_int(5,1,Settings!$B$16),0,0)</f>
        <v>46267.541666666672</v>
      </c>
      <c r="D666" s="3" t="str" cm="1">
        <f t="array" ref="D666">choice(Settings!K:K,1,Settings!$B$16)</f>
        <v/>
      </c>
    </row>
    <row r="667" spans="1:4" x14ac:dyDescent="0.25">
      <c r="A667" s="2" t="str" cm="1">
        <f t="array" ref="A667">choice(Professeurs!A:A,1,Settings!$B$16)</f>
        <v>Prof15</v>
      </c>
      <c r="B667" s="3" cm="1">
        <f t="array" ref="B667">alea_date(Settings!$B$11,360,Settings!$B$8+alea_int(4,0,Settings!$B$16),Settings!$B$16)</f>
        <v>46301.333333333336</v>
      </c>
      <c r="C667" s="3" cm="1">
        <f t="array" ref="C667">B667+TIME(alea_int(5,1,Settings!$B$16),0,0)</f>
        <v>46301.416666666672</v>
      </c>
      <c r="D667" s="3" t="str" cm="1">
        <f t="array" ref="D667">choice(Settings!K:K,1,Settings!$B$16)</f>
        <v/>
      </c>
    </row>
    <row r="668" spans="1:4" x14ac:dyDescent="0.25">
      <c r="A668" s="2" t="str" cm="1">
        <f t="array" ref="A668">choice(Professeurs!A:A,1,Settings!$B$16)</f>
        <v>Prof53</v>
      </c>
      <c r="B668" s="3" cm="1">
        <f t="array" ref="B668">alea_date(Settings!$B$11,360,Settings!$B$8+alea_int(4,0,Settings!$B$16),Settings!$B$16)</f>
        <v>46174.375</v>
      </c>
      <c r="C668" s="3" cm="1">
        <f t="array" ref="C668">B668+TIME(alea_int(5,1,Settings!$B$16),0,0)</f>
        <v>46174.583333333336</v>
      </c>
      <c r="D668" s="3" t="str" cm="1">
        <f t="array" ref="D668">choice(Settings!K:K,1,Settings!$B$16)</f>
        <v>mercredi ap</v>
      </c>
    </row>
    <row r="669" spans="1:4" x14ac:dyDescent="0.25">
      <c r="A669" s="2" t="str" cm="1">
        <f t="array" ref="A669">choice(Professeurs!A:A,1,Settings!$B$16)</f>
        <v>Prof2</v>
      </c>
      <c r="B669" s="3" cm="1">
        <f t="array" ref="B669">alea_date(Settings!$B$11,360,Settings!$B$8+alea_int(4,0,Settings!$B$16),Settings!$B$16)</f>
        <v>46199.375</v>
      </c>
      <c r="C669" s="3" cm="1">
        <f t="array" ref="C669">B669+TIME(alea_int(5,1,Settings!$B$16),0,0)</f>
        <v>46199.416666666664</v>
      </c>
      <c r="D669" s="3" t="str" cm="1">
        <f t="array" ref="D669">choice(Settings!K:K,1,Settings!$B$16)</f>
        <v/>
      </c>
    </row>
    <row r="670" spans="1:4" x14ac:dyDescent="0.25">
      <c r="A670" s="2" t="str" cm="1">
        <f t="array" ref="A670">choice(Professeurs!A:A,1,Settings!$B$16)</f>
        <v>Prof51</v>
      </c>
      <c r="B670" s="3" cm="1">
        <f t="array" ref="B670">alea_date(Settings!$B$11,360,Settings!$B$8+alea_int(4,0,Settings!$B$16),Settings!$B$16)</f>
        <v>46130.458333333336</v>
      </c>
      <c r="C670" s="3" cm="1">
        <f t="array" ref="C670">B670+TIME(alea_int(5,1,Settings!$B$16),0,0)</f>
        <v>46130.583333333336</v>
      </c>
      <c r="D670" s="3" t="str" cm="1">
        <f t="array" ref="D670">choice(Settings!K:K,1,Settings!$B$16)</f>
        <v/>
      </c>
    </row>
    <row r="671" spans="1:4" x14ac:dyDescent="0.25">
      <c r="A671" s="2" t="str" cm="1">
        <f t="array" ref="A671">choice(Professeurs!A:A,1,Settings!$B$16)</f>
        <v>Prof43</v>
      </c>
      <c r="B671" s="3" cm="1">
        <f t="array" ref="B671">alea_date(Settings!$B$11,360,Settings!$B$8+alea_int(4,0,Settings!$B$16),Settings!$B$16)</f>
        <v>46148.333333333336</v>
      </c>
      <c r="C671" s="3" cm="1">
        <f t="array" ref="C671">B671+TIME(alea_int(5,1,Settings!$B$16),0,0)</f>
        <v>46148.416666666672</v>
      </c>
      <c r="D671" s="3" t="str" cm="1">
        <f t="array" ref="D671">choice(Settings!K:K,1,Settings!$B$16)</f>
        <v/>
      </c>
    </row>
    <row r="672" spans="1:4" x14ac:dyDescent="0.25">
      <c r="A672" s="2" t="str" cm="1">
        <f t="array" ref="A672">choice(Professeurs!A:A,1,Settings!$B$16)</f>
        <v>Prof6</v>
      </c>
      <c r="B672" s="3" cm="1">
        <f t="array" ref="B672">alea_date(Settings!$B$11,360,Settings!$B$8+alea_int(4,0,Settings!$B$16),Settings!$B$16)</f>
        <v>46353.416666666664</v>
      </c>
      <c r="C672" s="3" cm="1">
        <f t="array" ref="C672">B672+TIME(alea_int(5,1,Settings!$B$16),0,0)</f>
        <v>46353.583333333328</v>
      </c>
      <c r="D672" s="3" t="str" cm="1">
        <f t="array" ref="D672">choice(Settings!K:K,1,Settings!$B$16)</f>
        <v/>
      </c>
    </row>
    <row r="673" spans="1:4" x14ac:dyDescent="0.25">
      <c r="A673" s="2" t="str" cm="1">
        <f t="array" ref="A673">choice(Professeurs!A:A,1,Settings!$B$16)</f>
        <v>Prof14</v>
      </c>
      <c r="B673" s="3" cm="1">
        <f t="array" ref="B673">alea_date(Settings!$B$11,360,Settings!$B$8+alea_int(4,0,Settings!$B$16),Settings!$B$16)</f>
        <v>46153.458333333336</v>
      </c>
      <c r="C673" s="3" cm="1">
        <f t="array" ref="C673">B673+TIME(alea_int(5,1,Settings!$B$16),0,0)</f>
        <v>46153.541666666672</v>
      </c>
      <c r="D673" s="3" t="str" cm="1">
        <f t="array" ref="D673">choice(Settings!K:K,1,Settings!$B$16)</f>
        <v/>
      </c>
    </row>
    <row r="674" spans="1:4" x14ac:dyDescent="0.25">
      <c r="A674" s="2" t="str" cm="1">
        <f t="array" ref="A674">choice(Professeurs!A:A,1,Settings!$B$16)</f>
        <v>Prof16</v>
      </c>
      <c r="B674" s="3" cm="1">
        <f t="array" ref="B674">alea_date(Settings!$B$11,360,Settings!$B$8+alea_int(4,0,Settings!$B$16),Settings!$B$16)</f>
        <v>46230.416666666664</v>
      </c>
      <c r="C674" s="3" cm="1">
        <f t="array" ref="C674">B674+TIME(alea_int(5,1,Settings!$B$16),0,0)</f>
        <v>46230.625</v>
      </c>
      <c r="D674" s="3" t="str" cm="1">
        <f t="array" ref="D674">choice(Settings!K:K,1,Settings!$B$16)</f>
        <v/>
      </c>
    </row>
    <row r="675" spans="1:4" x14ac:dyDescent="0.25">
      <c r="A675" s="2" t="str" cm="1">
        <f t="array" ref="A675">choice(Professeurs!A:A,1,Settings!$B$16)</f>
        <v>Prof55</v>
      </c>
      <c r="B675" s="3" cm="1">
        <f t="array" ref="B675">alea_date(Settings!$B$11,360,Settings!$B$8+alea_int(4,0,Settings!$B$16),Settings!$B$16)</f>
        <v>46292.458333333336</v>
      </c>
      <c r="C675" s="3" cm="1">
        <f t="array" ref="C675">B675+TIME(alea_int(5,1,Settings!$B$16),0,0)</f>
        <v>46292.541666666672</v>
      </c>
      <c r="D675" s="3" t="str" cm="1">
        <f t="array" ref="D675">choice(Settings!K:K,1,Settings!$B$16)</f>
        <v/>
      </c>
    </row>
    <row r="676" spans="1:4" x14ac:dyDescent="0.25">
      <c r="A676" s="2" t="str" cm="1">
        <f t="array" ref="A676">choice(Professeurs!A:A,1,Settings!$B$16)</f>
        <v>Prof18</v>
      </c>
      <c r="B676" s="3" cm="1">
        <f t="array" ref="B676">alea_date(Settings!$B$11,360,Settings!$B$8+alea_int(4,0,Settings!$B$16),Settings!$B$16)</f>
        <v>46129.458333333336</v>
      </c>
      <c r="C676" s="3" cm="1">
        <f t="array" ref="C676">B676+TIME(alea_int(5,1,Settings!$B$16),0,0)</f>
        <v>46129.583333333336</v>
      </c>
      <c r="D676" s="3" t="str" cm="1">
        <f t="array" ref="D676">choice(Settings!K:K,1,Settings!$B$16)</f>
        <v>vendredi pm</v>
      </c>
    </row>
    <row r="677" spans="1:4" x14ac:dyDescent="0.25">
      <c r="A677" s="2" t="str" cm="1">
        <f t="array" ref="A677">choice(Professeurs!A:A,1,Settings!$B$16)</f>
        <v>Prof23</v>
      </c>
      <c r="B677" s="3" cm="1">
        <f t="array" ref="B677">alea_date(Settings!$B$11,360,Settings!$B$8+alea_int(4,0,Settings!$B$16),Settings!$B$16)</f>
        <v>46181.375</v>
      </c>
      <c r="C677" s="3" cm="1">
        <f t="array" ref="C677">B677+TIME(alea_int(5,1,Settings!$B$16),0,0)</f>
        <v>46181.416666666664</v>
      </c>
      <c r="D677" s="3" t="str" cm="1">
        <f t="array" ref="D677">choice(Settings!K:K,1,Settings!$B$16)</f>
        <v>mercredi pm</v>
      </c>
    </row>
    <row r="678" spans="1:4" x14ac:dyDescent="0.25">
      <c r="A678" s="2" t="str" cm="1">
        <f t="array" ref="A678">choice(Professeurs!A:A,1,Settings!$B$16)</f>
        <v>Prof20</v>
      </c>
      <c r="B678" s="3" cm="1">
        <f t="array" ref="B678">alea_date(Settings!$B$11,360,Settings!$B$8+alea_int(4,0,Settings!$B$16),Settings!$B$16)</f>
        <v>46151.458333333336</v>
      </c>
      <c r="C678" s="3" cm="1">
        <f t="array" ref="C678">B678+TIME(alea_int(5,1,Settings!$B$16),0,0)</f>
        <v>46151.583333333336</v>
      </c>
      <c r="D678" s="3" t="str" cm="1">
        <f t="array" ref="D678">choice(Settings!K:K,1,Settings!$B$16)</f>
        <v>mardi am</v>
      </c>
    </row>
    <row r="679" spans="1:4" x14ac:dyDescent="0.25">
      <c r="A679" s="2" t="str" cm="1">
        <f t="array" ref="A679">choice(Professeurs!A:A,1,Settings!$B$16)</f>
        <v>Prof20</v>
      </c>
      <c r="B679" s="3" cm="1">
        <f t="array" ref="B679">alea_date(Settings!$B$11,360,Settings!$B$8+alea_int(4,0,Settings!$B$16),Settings!$B$16)</f>
        <v>46075.416666666664</v>
      </c>
      <c r="C679" s="3" cm="1">
        <f t="array" ref="C679">B679+TIME(alea_int(5,1,Settings!$B$16),0,0)</f>
        <v>46075.583333333328</v>
      </c>
      <c r="D679" s="3" t="str" cm="1">
        <f t="array" ref="D679">choice(Settings!K:K,1,Settings!$B$16)</f>
        <v/>
      </c>
    </row>
    <row r="680" spans="1:4" x14ac:dyDescent="0.25">
      <c r="A680" s="2" t="str" cm="1">
        <f t="array" ref="A680">choice(Professeurs!A:A,1,Settings!$B$16)</f>
        <v>Prof49</v>
      </c>
      <c r="B680" s="3" cm="1">
        <f t="array" ref="B680">alea_date(Settings!$B$11,360,Settings!$B$8+alea_int(4,0,Settings!$B$16),Settings!$B$16)</f>
        <v>46346.333333333336</v>
      </c>
      <c r="C680" s="3" cm="1">
        <f t="array" ref="C680">B680+TIME(alea_int(5,1,Settings!$B$16),0,0)</f>
        <v>46346.416666666672</v>
      </c>
      <c r="D680" s="3" t="str" cm="1">
        <f t="array" ref="D680">choice(Settings!K:K,1,Settings!$B$16)</f>
        <v/>
      </c>
    </row>
    <row r="681" spans="1:4" x14ac:dyDescent="0.25">
      <c r="A681" s="2" t="str" cm="1">
        <f t="array" ref="A681">choice(Professeurs!A:A,1,Settings!$B$16)</f>
        <v>Prof45</v>
      </c>
      <c r="B681" s="3" cm="1">
        <f t="array" ref="B681">alea_date(Settings!$B$11,360,Settings!$B$8+alea_int(4,0,Settings!$B$16),Settings!$B$16)</f>
        <v>46154.458333333336</v>
      </c>
      <c r="C681" s="3" cm="1">
        <f t="array" ref="C681">B681+TIME(alea_int(5,1,Settings!$B$16),0,0)</f>
        <v>46154.541666666672</v>
      </c>
      <c r="D681" s="3" t="str" cm="1">
        <f t="array" ref="D681">choice(Settings!K:K,1,Settings!$B$16)</f>
        <v>vendredi pm</v>
      </c>
    </row>
    <row r="682" spans="1:4" x14ac:dyDescent="0.25">
      <c r="A682" s="2" t="str" cm="1">
        <f t="array" ref="A682">choice(Professeurs!A:A,1,Settings!$B$16)</f>
        <v>Prof25</v>
      </c>
      <c r="B682" s="3" cm="1">
        <f t="array" ref="B682">alea_date(Settings!$B$11,360,Settings!$B$8+alea_int(4,0,Settings!$B$16),Settings!$B$16)</f>
        <v>46238.333333333336</v>
      </c>
      <c r="C682" s="3" cm="1">
        <f t="array" ref="C682">B682+TIME(alea_int(5,1,Settings!$B$16),0,0)</f>
        <v>46238.541666666672</v>
      </c>
      <c r="D682" s="3" t="str" cm="1">
        <f t="array" ref="D682">choice(Settings!K:K,1,Settings!$B$16)</f>
        <v>mardi pm</v>
      </c>
    </row>
    <row r="683" spans="1:4" x14ac:dyDescent="0.25">
      <c r="A683" s="2" t="str" cm="1">
        <f t="array" ref="A683">choice(Professeurs!A:A,1,Settings!$B$16)</f>
        <v>Prof54</v>
      </c>
      <c r="B683" s="3" cm="1">
        <f t="array" ref="B683">alea_date(Settings!$B$11,360,Settings!$B$8+alea_int(4,0,Settings!$B$16),Settings!$B$16)</f>
        <v>46124.416666666664</v>
      </c>
      <c r="C683" s="3" cm="1">
        <f t="array" ref="C683">B683+TIME(alea_int(5,1,Settings!$B$16),0,0)</f>
        <v>46124.5</v>
      </c>
      <c r="D683" s="3" t="str" cm="1">
        <f t="array" ref="D683">choice(Settings!K:K,1,Settings!$B$16)</f>
        <v/>
      </c>
    </row>
    <row r="684" spans="1:4" x14ac:dyDescent="0.25">
      <c r="A684" s="2" t="str" cm="1">
        <f t="array" ref="A684">choice(Professeurs!A:A,1,Settings!$B$16)</f>
        <v>Prof14</v>
      </c>
      <c r="B684" s="3" cm="1">
        <f t="array" ref="B684">alea_date(Settings!$B$11,360,Settings!$B$8+alea_int(4,0,Settings!$B$16),Settings!$B$16)</f>
        <v>46168.375</v>
      </c>
      <c r="C684" s="3" cm="1">
        <f t="array" ref="C684">B684+TIME(alea_int(5,1,Settings!$B$16),0,0)</f>
        <v>46168.5</v>
      </c>
      <c r="D684" s="3" t="str" cm="1">
        <f t="array" ref="D684">choice(Settings!K:K,1,Settings!$B$16)</f>
        <v>mardi am</v>
      </c>
    </row>
    <row r="685" spans="1:4" x14ac:dyDescent="0.25">
      <c r="A685" s="2" t="str" cm="1">
        <f t="array" ref="A685">choice(Professeurs!A:A,1,Settings!$B$16)</f>
        <v>Prof31</v>
      </c>
      <c r="B685" s="3" cm="1">
        <f t="array" ref="B685">alea_date(Settings!$B$11,360,Settings!$B$8+alea_int(4,0,Settings!$B$16),Settings!$B$16)</f>
        <v>46105.375</v>
      </c>
      <c r="C685" s="3" cm="1">
        <f t="array" ref="C685">B685+TIME(alea_int(5,1,Settings!$B$16),0,0)</f>
        <v>46105.5</v>
      </c>
      <c r="D685" s="3" t="str" cm="1">
        <f t="array" ref="D685">choice(Settings!K:K,1,Settings!$B$16)</f>
        <v/>
      </c>
    </row>
    <row r="686" spans="1:4" x14ac:dyDescent="0.25">
      <c r="A686" s="2" t="str" cm="1">
        <f t="array" ref="A686">choice(Professeurs!A:A,1,Settings!$B$16)</f>
        <v>Prof17</v>
      </c>
      <c r="B686" s="3" cm="1">
        <f t="array" ref="B686">alea_date(Settings!$B$11,360,Settings!$B$8+alea_int(4,0,Settings!$B$16),Settings!$B$16)</f>
        <v>46245.375</v>
      </c>
      <c r="C686" s="3" cm="1">
        <f t="array" ref="C686">B686+TIME(alea_int(5,1,Settings!$B$16),0,0)</f>
        <v>46245.458333333336</v>
      </c>
      <c r="D686" s="3" t="str" cm="1">
        <f t="array" ref="D686">choice(Settings!K:K,1,Settings!$B$16)</f>
        <v>vendredi pm</v>
      </c>
    </row>
    <row r="687" spans="1:4" x14ac:dyDescent="0.25">
      <c r="A687" s="2" t="str" cm="1">
        <f t="array" ref="A687">choice(Professeurs!A:A,1,Settings!$B$16)</f>
        <v>Prof3</v>
      </c>
      <c r="B687" s="3" cm="1">
        <f t="array" ref="B687">alea_date(Settings!$B$11,360,Settings!$B$8+alea_int(4,0,Settings!$B$16),Settings!$B$16)</f>
        <v>46129.458333333336</v>
      </c>
      <c r="C687" s="3" cm="1">
        <f t="array" ref="C687">B687+TIME(alea_int(5,1,Settings!$B$16),0,0)</f>
        <v>46129.541666666672</v>
      </c>
      <c r="D687" s="3" t="str" cm="1">
        <f t="array" ref="D687">choice(Settings!K:K,1,Settings!$B$16)</f>
        <v>vendredi pm</v>
      </c>
    </row>
    <row r="688" spans="1:4" x14ac:dyDescent="0.25">
      <c r="A688" s="2" t="str" cm="1">
        <f t="array" ref="A688">choice(Professeurs!A:A,1,Settings!$B$16)</f>
        <v>Prof51</v>
      </c>
      <c r="B688" s="3" cm="1">
        <f t="array" ref="B688">alea_date(Settings!$B$11,360,Settings!$B$8+alea_int(4,0,Settings!$B$16),Settings!$B$16)</f>
        <v>46174.458333333336</v>
      </c>
      <c r="C688" s="3" cm="1">
        <f t="array" ref="C688">B688+TIME(alea_int(5,1,Settings!$B$16),0,0)</f>
        <v>46174.541666666672</v>
      </c>
      <c r="D688" s="3" t="str" cm="1">
        <f t="array" ref="D688">choice(Settings!K:K,1,Settings!$B$16)</f>
        <v>mercredi pm</v>
      </c>
    </row>
    <row r="689" spans="1:4" x14ac:dyDescent="0.25">
      <c r="A689" s="2" t="str" cm="1">
        <f t="array" ref="A689">choice(Professeurs!A:A,1,Settings!$B$16)</f>
        <v>Prof8</v>
      </c>
      <c r="B689" s="3" cm="1">
        <f t="array" ref="B689">alea_date(Settings!$B$11,360,Settings!$B$8+alea_int(4,0,Settings!$B$16),Settings!$B$16)</f>
        <v>46025.458333333336</v>
      </c>
      <c r="C689" s="3" cm="1">
        <f t="array" ref="C689">B689+TIME(alea_int(5,1,Settings!$B$16),0,0)</f>
        <v>46025.583333333336</v>
      </c>
      <c r="D689" s="3" t="str" cm="1">
        <f t="array" ref="D689">choice(Settings!K:K,1,Settings!$B$16)</f>
        <v>lundi am</v>
      </c>
    </row>
    <row r="690" spans="1:4" x14ac:dyDescent="0.25">
      <c r="A690" s="2" t="str" cm="1">
        <f t="array" ref="A690">choice(Professeurs!A:A,1,Settings!$B$16)</f>
        <v>Prof34</v>
      </c>
      <c r="B690" s="3" cm="1">
        <f t="array" ref="B690">alea_date(Settings!$B$11,360,Settings!$B$8+alea_int(4,0,Settings!$B$16),Settings!$B$16)</f>
        <v>46235.375</v>
      </c>
      <c r="C690" s="3" cm="1">
        <f t="array" ref="C690">B690+TIME(alea_int(5,1,Settings!$B$16),0,0)</f>
        <v>46235.458333333336</v>
      </c>
      <c r="D690" s="3" t="str" cm="1">
        <f t="array" ref="D690">choice(Settings!K:K,1,Settings!$B$16)</f>
        <v/>
      </c>
    </row>
    <row r="691" spans="1:4" x14ac:dyDescent="0.25">
      <c r="A691" s="2" t="str" cm="1">
        <f t="array" ref="A691">choice(Professeurs!A:A,1,Settings!$B$16)</f>
        <v>Prof11</v>
      </c>
      <c r="B691" s="3" cm="1">
        <f t="array" ref="B691">alea_date(Settings!$B$11,360,Settings!$B$8+alea_int(4,0,Settings!$B$16),Settings!$B$16)</f>
        <v>46067.458333333336</v>
      </c>
      <c r="C691" s="3" cm="1">
        <f t="array" ref="C691">B691+TIME(alea_int(5,1,Settings!$B$16),0,0)</f>
        <v>46067.583333333336</v>
      </c>
      <c r="D691" s="3" t="str" cm="1">
        <f t="array" ref="D691">choice(Settings!K:K,1,Settings!$B$16)</f>
        <v>vendredi pm</v>
      </c>
    </row>
    <row r="692" spans="1:4" x14ac:dyDescent="0.25">
      <c r="A692" s="2" t="str" cm="1">
        <f t="array" ref="A692">choice(Professeurs!A:A,1,Settings!$B$16)</f>
        <v>Prof40</v>
      </c>
      <c r="B692" s="3" cm="1">
        <f t="array" ref="B692">alea_date(Settings!$B$11,360,Settings!$B$8+alea_int(4,0,Settings!$B$16),Settings!$B$16)</f>
        <v>46341.375</v>
      </c>
      <c r="C692" s="3" cm="1">
        <f t="array" ref="C692">B692+TIME(alea_int(5,1,Settings!$B$16),0,0)</f>
        <v>46341.541666666664</v>
      </c>
      <c r="D692" s="3" t="str" cm="1">
        <f t="array" ref="D692">choice(Settings!K:K,1,Settings!$B$16)</f>
        <v>vendredi pm</v>
      </c>
    </row>
    <row r="693" spans="1:4" x14ac:dyDescent="0.25">
      <c r="A693" s="2" t="str" cm="1">
        <f t="array" ref="A693">choice(Professeurs!A:A,1,Settings!$B$16)</f>
        <v>Prof27</v>
      </c>
      <c r="B693" s="3" cm="1">
        <f t="array" ref="B693">alea_date(Settings!$B$11,360,Settings!$B$8+alea_int(4,0,Settings!$B$16),Settings!$B$16)</f>
        <v>46380.458333333336</v>
      </c>
      <c r="C693" s="3" cm="1">
        <f t="array" ref="C693">B693+TIME(alea_int(5,1,Settings!$B$16),0,0)</f>
        <v>46380.666666666672</v>
      </c>
      <c r="D693" s="3" t="str" cm="1">
        <f t="array" ref="D693">choice(Settings!K:K,1,Settings!$B$16)</f>
        <v/>
      </c>
    </row>
    <row r="694" spans="1:4" x14ac:dyDescent="0.25">
      <c r="A694" s="2" t="str" cm="1">
        <f t="array" ref="A694">choice(Professeurs!A:A,1,Settings!$B$16)</f>
        <v>Prof9</v>
      </c>
      <c r="B694" s="3" cm="1">
        <f t="array" ref="B694">alea_date(Settings!$B$11,360,Settings!$B$8+alea_int(4,0,Settings!$B$16),Settings!$B$16)</f>
        <v>46082.458333333336</v>
      </c>
      <c r="C694" s="3" cm="1">
        <f t="array" ref="C694">B694+TIME(alea_int(5,1,Settings!$B$16),0,0)</f>
        <v>46082.583333333336</v>
      </c>
      <c r="D694" s="3" t="str" cm="1">
        <f t="array" ref="D694">choice(Settings!K:K,1,Settings!$B$16)</f>
        <v/>
      </c>
    </row>
    <row r="695" spans="1:4" x14ac:dyDescent="0.25">
      <c r="A695" s="2" t="str" cm="1">
        <f t="array" ref="A695">choice(Professeurs!A:A,1,Settings!$B$16)</f>
        <v>Prof22</v>
      </c>
      <c r="B695" s="3" cm="1">
        <f t="array" ref="B695">alea_date(Settings!$B$11,360,Settings!$B$8+alea_int(4,0,Settings!$B$16),Settings!$B$16)</f>
        <v>46204.416666666664</v>
      </c>
      <c r="C695" s="3" cm="1">
        <f t="array" ref="C695">B695+TIME(alea_int(5,1,Settings!$B$16),0,0)</f>
        <v>46204.458333333328</v>
      </c>
      <c r="D695" s="3" t="str" cm="1">
        <f t="array" ref="D695">choice(Settings!K:K,1,Settings!$B$16)</f>
        <v/>
      </c>
    </row>
    <row r="696" spans="1:4" x14ac:dyDescent="0.25">
      <c r="A696" s="2" t="str" cm="1">
        <f t="array" ref="A696">choice(Professeurs!A:A,1,Settings!$B$16)</f>
        <v>Prof20</v>
      </c>
      <c r="B696" s="3" cm="1">
        <f t="array" ref="B696">alea_date(Settings!$B$11,360,Settings!$B$8+alea_int(4,0,Settings!$B$16),Settings!$B$16)</f>
        <v>46302.458333333336</v>
      </c>
      <c r="C696" s="3" cm="1">
        <f t="array" ref="C696">B696+TIME(alea_int(5,1,Settings!$B$16),0,0)</f>
        <v>46302.583333333336</v>
      </c>
      <c r="D696" s="3" t="str" cm="1">
        <f t="array" ref="D696">choice(Settings!K:K,1,Settings!$B$16)</f>
        <v>jeudi pm</v>
      </c>
    </row>
    <row r="697" spans="1:4" x14ac:dyDescent="0.25">
      <c r="A697" s="2" t="str" cm="1">
        <f t="array" ref="A697">choice(Professeurs!A:A,1,Settings!$B$16)</f>
        <v>Prof4</v>
      </c>
      <c r="B697" s="3" cm="1">
        <f t="array" ref="B697">alea_date(Settings!$B$11,360,Settings!$B$8+alea_int(4,0,Settings!$B$16),Settings!$B$16)</f>
        <v>46261.458333333336</v>
      </c>
      <c r="C697" s="3" cm="1">
        <f t="array" ref="C697">B697+TIME(alea_int(5,1,Settings!$B$16),0,0)</f>
        <v>46261.666666666672</v>
      </c>
      <c r="D697" s="3" t="str" cm="1">
        <f t="array" ref="D697">choice(Settings!K:K,1,Settings!$B$16)</f>
        <v/>
      </c>
    </row>
    <row r="698" spans="1:4" x14ac:dyDescent="0.25">
      <c r="A698" s="2" t="str" cm="1">
        <f t="array" ref="A698">choice(Professeurs!A:A,1,Settings!$B$16)</f>
        <v>Prof40</v>
      </c>
      <c r="B698" s="3" cm="1">
        <f t="array" ref="B698">alea_date(Settings!$B$11,360,Settings!$B$8+alea_int(4,0,Settings!$B$16),Settings!$B$16)</f>
        <v>46327.375</v>
      </c>
      <c r="C698" s="3" cm="1">
        <f t="array" ref="C698">B698+TIME(alea_int(5,1,Settings!$B$16),0,0)</f>
        <v>46327.583333333336</v>
      </c>
      <c r="D698" s="3" t="str" cm="1">
        <f t="array" ref="D698">choice(Settings!K:K,1,Settings!$B$16)</f>
        <v>vendredi pm</v>
      </c>
    </row>
    <row r="699" spans="1:4" x14ac:dyDescent="0.25">
      <c r="A699" s="2" t="str" cm="1">
        <f t="array" ref="A699">choice(Professeurs!A:A,1,Settings!$B$16)</f>
        <v>Prof15</v>
      </c>
      <c r="B699" s="3" cm="1">
        <f t="array" ref="B699">alea_date(Settings!$B$11,360,Settings!$B$8+alea_int(4,0,Settings!$B$16),Settings!$B$16)</f>
        <v>46222.416666666664</v>
      </c>
      <c r="C699" s="3" cm="1">
        <f t="array" ref="C699">B699+TIME(alea_int(5,1,Settings!$B$16),0,0)</f>
        <v>46222.541666666664</v>
      </c>
      <c r="D699" s="3" t="str" cm="1">
        <f t="array" ref="D699">choice(Settings!K:K,1,Settings!$B$16)</f>
        <v/>
      </c>
    </row>
    <row r="700" spans="1:4" x14ac:dyDescent="0.25">
      <c r="A700" s="2" t="str" cm="1">
        <f t="array" ref="A700">choice(Professeurs!A:A,1,Settings!$B$16)</f>
        <v>Prof19</v>
      </c>
      <c r="B700" s="3" cm="1">
        <f t="array" ref="B700">alea_date(Settings!$B$11,360,Settings!$B$8+alea_int(4,0,Settings!$B$16),Settings!$B$16)</f>
        <v>46195.458333333336</v>
      </c>
      <c r="C700" s="3" cm="1">
        <f t="array" ref="C700">B700+TIME(alea_int(5,1,Settings!$B$16),0,0)</f>
        <v>46195.666666666672</v>
      </c>
      <c r="D700" s="3" t="str" cm="1">
        <f t="array" ref="D700">choice(Settings!K:K,1,Settings!$B$16)</f>
        <v>jeudi am</v>
      </c>
    </row>
    <row r="701" spans="1:4" x14ac:dyDescent="0.25">
      <c r="A701" s="2" t="str" cm="1">
        <f t="array" ref="A701">choice(Professeurs!A:A,1,Settings!$B$16)</f>
        <v>Prof21</v>
      </c>
      <c r="B701" s="3" cm="1">
        <f t="array" ref="B701">alea_date(Settings!$B$11,360,Settings!$B$8+alea_int(4,0,Settings!$B$16),Settings!$B$16)</f>
        <v>46288.416666666664</v>
      </c>
      <c r="C701" s="3" cm="1">
        <f t="array" ref="C701">B701+TIME(alea_int(5,1,Settings!$B$16),0,0)</f>
        <v>46288.625</v>
      </c>
      <c r="D701" s="3" t="str" cm="1">
        <f t="array" ref="D701">choice(Settings!K:K,1,Settings!$B$16)</f>
        <v/>
      </c>
    </row>
    <row r="702" spans="1:4" x14ac:dyDescent="0.25">
      <c r="A702" s="2" t="str" cm="1">
        <f t="array" ref="A702">choice(Professeurs!A:A,1,Settings!$B$16)</f>
        <v>Prof15</v>
      </c>
      <c r="B702" s="3" cm="1">
        <f t="array" ref="B702">alea_date(Settings!$B$11,360,Settings!$B$8+alea_int(4,0,Settings!$B$16),Settings!$B$16)</f>
        <v>46248.416666666664</v>
      </c>
      <c r="C702" s="3" cm="1">
        <f t="array" ref="C702">B702+TIME(alea_int(5,1,Settings!$B$16),0,0)</f>
        <v>46248.458333333328</v>
      </c>
      <c r="D702" s="3" t="str" cm="1">
        <f t="array" ref="D702">choice(Settings!K:K,1,Settings!$B$16)</f>
        <v>jeudi am</v>
      </c>
    </row>
    <row r="703" spans="1:4" x14ac:dyDescent="0.25">
      <c r="A703" s="2" t="str" cm="1">
        <f t="array" ref="A703">choice(Professeurs!A:A,1,Settings!$B$16)</f>
        <v>Prof45</v>
      </c>
      <c r="B703" s="3" cm="1">
        <f t="array" ref="B703">alea_date(Settings!$B$11,360,Settings!$B$8+alea_int(4,0,Settings!$B$16),Settings!$B$16)</f>
        <v>46149.458333333336</v>
      </c>
      <c r="C703" s="3" cm="1">
        <f t="array" ref="C703">B703+TIME(alea_int(5,1,Settings!$B$16),0,0)</f>
        <v>46149.541666666672</v>
      </c>
      <c r="D703" s="3" t="str" cm="1">
        <f t="array" ref="D703">choice(Settings!K:K,1,Settings!$B$16)</f>
        <v/>
      </c>
    </row>
    <row r="704" spans="1:4" x14ac:dyDescent="0.25">
      <c r="A704" s="2" t="str" cm="1">
        <f t="array" ref="A704">choice(Professeurs!A:A,1,Settings!$B$16)</f>
        <v>Prof38</v>
      </c>
      <c r="B704" s="3" cm="1">
        <f t="array" ref="B704">alea_date(Settings!$B$11,360,Settings!$B$8+alea_int(4,0,Settings!$B$16),Settings!$B$16)</f>
        <v>46129.458333333336</v>
      </c>
      <c r="C704" s="3" cm="1">
        <f t="array" ref="C704">B704+TIME(alea_int(5,1,Settings!$B$16),0,0)</f>
        <v>46129.666666666672</v>
      </c>
      <c r="D704" s="3" t="str" cm="1">
        <f t="array" ref="D704">choice(Settings!K:K,1,Settings!$B$16)</f>
        <v/>
      </c>
    </row>
    <row r="705" spans="1:4" x14ac:dyDescent="0.25">
      <c r="A705" s="2" t="str" cm="1">
        <f t="array" ref="A705">choice(Professeurs!A:A,1,Settings!$B$16)</f>
        <v>Prof4</v>
      </c>
      <c r="B705" s="3" cm="1">
        <f t="array" ref="B705">alea_date(Settings!$B$11,360,Settings!$B$8+alea_int(4,0,Settings!$B$16),Settings!$B$16)</f>
        <v>46042.333333333336</v>
      </c>
      <c r="C705" s="3" cm="1">
        <f t="array" ref="C705">B705+TIME(alea_int(5,1,Settings!$B$16),0,0)</f>
        <v>46042.5</v>
      </c>
      <c r="D705" s="3" t="str" cm="1">
        <f t="array" ref="D705">choice(Settings!K:K,1,Settings!$B$16)</f>
        <v/>
      </c>
    </row>
    <row r="706" spans="1:4" x14ac:dyDescent="0.25">
      <c r="A706" s="2" t="str" cm="1">
        <f t="array" ref="A706">choice(Professeurs!A:A,1,Settings!$B$16)</f>
        <v>Prof9</v>
      </c>
      <c r="B706" s="3" cm="1">
        <f t="array" ref="B706">alea_date(Settings!$B$11,360,Settings!$B$8+alea_int(4,0,Settings!$B$16),Settings!$B$16)</f>
        <v>46292.375</v>
      </c>
      <c r="C706" s="3" cm="1">
        <f t="array" ref="C706">B706+TIME(alea_int(5,1,Settings!$B$16),0,0)</f>
        <v>46292.583333333336</v>
      </c>
      <c r="D706" s="3" t="str" cm="1">
        <f t="array" ref="D706">choice(Settings!K:K,1,Settings!$B$16)</f>
        <v/>
      </c>
    </row>
    <row r="707" spans="1:4" x14ac:dyDescent="0.25">
      <c r="A707" s="2" t="str" cm="1">
        <f t="array" ref="A707">choice(Professeurs!A:A,1,Settings!$B$16)</f>
        <v>Prof25</v>
      </c>
      <c r="B707" s="3" cm="1">
        <f t="array" ref="B707">alea_date(Settings!$B$11,360,Settings!$B$8+alea_int(4,0,Settings!$B$16),Settings!$B$16)</f>
        <v>46337.375</v>
      </c>
      <c r="C707" s="3" cm="1">
        <f t="array" ref="C707">B707+TIME(alea_int(5,1,Settings!$B$16),0,0)</f>
        <v>46337.541666666664</v>
      </c>
      <c r="D707" s="3" t="str" cm="1">
        <f t="array" ref="D707">choice(Settings!K:K,1,Settings!$B$16)</f>
        <v/>
      </c>
    </row>
    <row r="708" spans="1:4" x14ac:dyDescent="0.25">
      <c r="A708" s="2" t="str" cm="1">
        <f t="array" ref="A708">choice(Professeurs!A:A,1,Settings!$B$16)</f>
        <v>Prof51</v>
      </c>
      <c r="B708" s="3" cm="1">
        <f t="array" ref="B708">alea_date(Settings!$B$11,360,Settings!$B$8+alea_int(4,0,Settings!$B$16),Settings!$B$16)</f>
        <v>46183.333333333336</v>
      </c>
      <c r="C708" s="3" cm="1">
        <f t="array" ref="C708">B708+TIME(alea_int(5,1,Settings!$B$16),0,0)</f>
        <v>46183.458333333336</v>
      </c>
      <c r="D708" s="3" t="str" cm="1">
        <f t="array" ref="D708">choice(Settings!K:K,1,Settings!$B$16)</f>
        <v>mardi pm</v>
      </c>
    </row>
    <row r="709" spans="1:4" x14ac:dyDescent="0.25">
      <c r="A709" s="2" t="str" cm="1">
        <f t="array" ref="A709">choice(Professeurs!A:A,1,Settings!$B$16)</f>
        <v>Prof42</v>
      </c>
      <c r="B709" s="3" cm="1">
        <f t="array" ref="B709">alea_date(Settings!$B$11,360,Settings!$B$8+alea_int(4,0,Settings!$B$16),Settings!$B$16)</f>
        <v>46161.333333333336</v>
      </c>
      <c r="C709" s="3" cm="1">
        <f t="array" ref="C709">B709+TIME(alea_int(5,1,Settings!$B$16),0,0)</f>
        <v>46161.458333333336</v>
      </c>
      <c r="D709" s="3" t="str" cm="1">
        <f t="array" ref="D709">choice(Settings!K:K,1,Settings!$B$16)</f>
        <v/>
      </c>
    </row>
    <row r="710" spans="1:4" x14ac:dyDescent="0.25">
      <c r="A710" s="2" t="str" cm="1">
        <f t="array" ref="A710">choice(Professeurs!A:A,1,Settings!$B$16)</f>
        <v>Prof42</v>
      </c>
      <c r="B710" s="3" cm="1">
        <f t="array" ref="B710">alea_date(Settings!$B$11,360,Settings!$B$8+alea_int(4,0,Settings!$B$16),Settings!$B$16)</f>
        <v>46071.333333333336</v>
      </c>
      <c r="C710" s="3" cm="1">
        <f t="array" ref="C710">B710+TIME(alea_int(5,1,Settings!$B$16),0,0)</f>
        <v>46071.458333333336</v>
      </c>
      <c r="D710" s="3" t="str" cm="1">
        <f t="array" ref="D710">choice(Settings!K:K,1,Settings!$B$16)</f>
        <v/>
      </c>
    </row>
    <row r="711" spans="1:4" x14ac:dyDescent="0.25">
      <c r="A711" s="2" t="str" cm="1">
        <f t="array" ref="A711">choice(Professeurs!A:A,1,Settings!$B$16)</f>
        <v>Prof41</v>
      </c>
      <c r="B711" s="3" cm="1">
        <f t="array" ref="B711">alea_date(Settings!$B$11,360,Settings!$B$8+alea_int(4,0,Settings!$B$16),Settings!$B$16)</f>
        <v>46249.416666666664</v>
      </c>
      <c r="C711" s="3" cm="1">
        <f t="array" ref="C711">B711+TIME(alea_int(5,1,Settings!$B$16),0,0)</f>
        <v>46249.583333333328</v>
      </c>
      <c r="D711" s="3" t="str" cm="1">
        <f t="array" ref="D711">choice(Settings!K:K,1,Settings!$B$16)</f>
        <v/>
      </c>
    </row>
    <row r="712" spans="1:4" x14ac:dyDescent="0.25">
      <c r="A712" s="2" t="str" cm="1">
        <f t="array" ref="A712">choice(Professeurs!A:A,1,Settings!$B$16)</f>
        <v>Prof37</v>
      </c>
      <c r="B712" s="3" cm="1">
        <f t="array" ref="B712">alea_date(Settings!$B$11,360,Settings!$B$8+alea_int(4,0,Settings!$B$16),Settings!$B$16)</f>
        <v>46132.458333333336</v>
      </c>
      <c r="C712" s="3" cm="1">
        <f t="array" ref="C712">B712+TIME(alea_int(5,1,Settings!$B$16),0,0)</f>
        <v>46132.583333333336</v>
      </c>
      <c r="D712" s="3" t="str" cm="1">
        <f t="array" ref="D712">choice(Settings!K:K,1,Settings!$B$16)</f>
        <v/>
      </c>
    </row>
    <row r="713" spans="1:4" x14ac:dyDescent="0.25">
      <c r="A713" s="2" t="str" cm="1">
        <f t="array" ref="A713">choice(Professeurs!A:A,1,Settings!$B$16)</f>
        <v>Prof4</v>
      </c>
      <c r="B713" s="3" cm="1">
        <f t="array" ref="B713">alea_date(Settings!$B$11,360,Settings!$B$8+alea_int(4,0,Settings!$B$16),Settings!$B$16)</f>
        <v>46257.375</v>
      </c>
      <c r="C713" s="3" cm="1">
        <f t="array" ref="C713">B713+TIME(alea_int(5,1,Settings!$B$16),0,0)</f>
        <v>46257.541666666664</v>
      </c>
      <c r="D713" s="3" t="str" cm="1">
        <f t="array" ref="D713">choice(Settings!K:K,1,Settings!$B$16)</f>
        <v>jeudi pm</v>
      </c>
    </row>
    <row r="714" spans="1:4" x14ac:dyDescent="0.25">
      <c r="A714" s="2" t="str" cm="1">
        <f t="array" ref="A714">choice(Professeurs!A:A,1,Settings!$B$16)</f>
        <v>Prof52</v>
      </c>
      <c r="B714" s="3" cm="1">
        <f t="array" ref="B714">alea_date(Settings!$B$11,360,Settings!$B$8+alea_int(4,0,Settings!$B$16),Settings!$B$16)</f>
        <v>46059.333333333336</v>
      </c>
      <c r="C714" s="3" cm="1">
        <f t="array" ref="C714">B714+TIME(alea_int(5,1,Settings!$B$16),0,0)</f>
        <v>46059.5</v>
      </c>
      <c r="D714" s="3" t="str" cm="1">
        <f t="array" ref="D714">choice(Settings!K:K,1,Settings!$B$16)</f>
        <v>semaine</v>
      </c>
    </row>
    <row r="715" spans="1:4" x14ac:dyDescent="0.25">
      <c r="A715" s="2" t="str" cm="1">
        <f t="array" ref="A715">choice(Professeurs!A:A,1,Settings!$B$16)</f>
        <v>Prof13</v>
      </c>
      <c r="B715" s="3" cm="1">
        <f t="array" ref="B715">alea_date(Settings!$B$11,360,Settings!$B$8+alea_int(4,0,Settings!$B$16),Settings!$B$16)</f>
        <v>46332.416666666664</v>
      </c>
      <c r="C715" s="3" cm="1">
        <f t="array" ref="C715">B715+TIME(alea_int(5,1,Settings!$B$16),0,0)</f>
        <v>46332.583333333328</v>
      </c>
      <c r="D715" s="3" t="str" cm="1">
        <f t="array" ref="D715">choice(Settings!K:K,1,Settings!$B$16)</f>
        <v>lundi pm</v>
      </c>
    </row>
    <row r="716" spans="1:4" x14ac:dyDescent="0.25">
      <c r="A716" s="2" t="str" cm="1">
        <f t="array" ref="A716">choice(Professeurs!A:A,1,Settings!$B$16)</f>
        <v>Prof45</v>
      </c>
      <c r="B716" s="3" cm="1">
        <f t="array" ref="B716">alea_date(Settings!$B$11,360,Settings!$B$8+alea_int(4,0,Settings!$B$16),Settings!$B$16)</f>
        <v>46337.375</v>
      </c>
      <c r="C716" s="3" cm="1">
        <f t="array" ref="C716">B716+TIME(alea_int(5,1,Settings!$B$16),0,0)</f>
        <v>46337.541666666664</v>
      </c>
      <c r="D716" s="3" t="str" cm="1">
        <f t="array" ref="D716">choice(Settings!K:K,1,Settings!$B$16)</f>
        <v/>
      </c>
    </row>
    <row r="717" spans="1:4" x14ac:dyDescent="0.25">
      <c r="A717" s="2" t="str" cm="1">
        <f t="array" ref="A717">choice(Professeurs!A:A,1,Settings!$B$16)</f>
        <v>Prof25</v>
      </c>
      <c r="B717" s="3" cm="1">
        <f t="array" ref="B717">alea_date(Settings!$B$11,360,Settings!$B$8+alea_int(4,0,Settings!$B$16),Settings!$B$16)</f>
        <v>46099.416666666664</v>
      </c>
      <c r="C717" s="3" cm="1">
        <f t="array" ref="C717">B717+TIME(alea_int(5,1,Settings!$B$16),0,0)</f>
        <v>46099.541666666664</v>
      </c>
      <c r="D717" s="3" t="str" cm="1">
        <f t="array" ref="D717">choice(Settings!K:K,1,Settings!$B$16)</f>
        <v>semaine</v>
      </c>
    </row>
    <row r="718" spans="1:4" x14ac:dyDescent="0.25">
      <c r="A718" s="2" t="str" cm="1">
        <f t="array" ref="A718">choice(Professeurs!A:A,1,Settings!$B$16)</f>
        <v>Prof44</v>
      </c>
      <c r="B718" s="3" cm="1">
        <f t="array" ref="B718">alea_date(Settings!$B$11,360,Settings!$B$8+alea_int(4,0,Settings!$B$16),Settings!$B$16)</f>
        <v>46271.458333333336</v>
      </c>
      <c r="C718" s="3" cm="1">
        <f t="array" ref="C718">B718+TIME(alea_int(5,1,Settings!$B$16),0,0)</f>
        <v>46271.666666666672</v>
      </c>
      <c r="D718" s="3" t="str" cm="1">
        <f t="array" ref="D718">choice(Settings!K:K,1,Settings!$B$16)</f>
        <v>vendredi pm</v>
      </c>
    </row>
    <row r="719" spans="1:4" x14ac:dyDescent="0.25">
      <c r="A719" s="2" t="str" cm="1">
        <f t="array" ref="A719">choice(Professeurs!A:A,1,Settings!$B$16)</f>
        <v>Prof13</v>
      </c>
      <c r="B719" s="3" cm="1">
        <f t="array" ref="B719">alea_date(Settings!$B$11,360,Settings!$B$8+alea_int(4,0,Settings!$B$16),Settings!$B$16)</f>
        <v>46134.333333333336</v>
      </c>
      <c r="C719" s="3" cm="1">
        <f t="array" ref="C719">B719+TIME(alea_int(5,1,Settings!$B$16),0,0)</f>
        <v>46134.541666666672</v>
      </c>
      <c r="D719" s="3" t="str" cm="1">
        <f t="array" ref="D719">choice(Settings!K:K,1,Settings!$B$16)</f>
        <v>mercredi ap</v>
      </c>
    </row>
    <row r="720" spans="1:4" x14ac:dyDescent="0.25">
      <c r="A720" s="2" t="str" cm="1">
        <f t="array" ref="A720">choice(Professeurs!A:A,1,Settings!$B$16)</f>
        <v>Prof11</v>
      </c>
      <c r="B720" s="3" cm="1">
        <f t="array" ref="B720">alea_date(Settings!$B$11,360,Settings!$B$8+alea_int(4,0,Settings!$B$16),Settings!$B$16)</f>
        <v>46069.416666666664</v>
      </c>
      <c r="C720" s="3" cm="1">
        <f t="array" ref="C720">B720+TIME(alea_int(5,1,Settings!$B$16),0,0)</f>
        <v>46069.583333333328</v>
      </c>
      <c r="D720" s="3" t="str" cm="1">
        <f t="array" ref="D720">choice(Settings!K:K,1,Settings!$B$16)</f>
        <v/>
      </c>
    </row>
    <row r="721" spans="1:4" x14ac:dyDescent="0.25">
      <c r="A721" s="2" t="str" cm="1">
        <f t="array" ref="A721">choice(Professeurs!A:A,1,Settings!$B$16)</f>
        <v>Prof50</v>
      </c>
      <c r="B721" s="3" cm="1">
        <f t="array" ref="B721">alea_date(Settings!$B$11,360,Settings!$B$8+alea_int(4,0,Settings!$B$16),Settings!$B$16)</f>
        <v>46368.416666666664</v>
      </c>
      <c r="C721" s="3" cm="1">
        <f t="array" ref="C721">B721+TIME(alea_int(5,1,Settings!$B$16),0,0)</f>
        <v>46368.541666666664</v>
      </c>
      <c r="D721" s="3" t="str" cm="1">
        <f t="array" ref="D721">choice(Settings!K:K,1,Settings!$B$16)</f>
        <v/>
      </c>
    </row>
    <row r="722" spans="1:4" x14ac:dyDescent="0.25">
      <c r="A722" s="2" t="str" cm="1">
        <f t="array" ref="A722">choice(Professeurs!A:A,1,Settings!$B$16)</f>
        <v>Prof5</v>
      </c>
      <c r="B722" s="3" cm="1">
        <f t="array" ref="B722">alea_date(Settings!$B$11,360,Settings!$B$8+alea_int(4,0,Settings!$B$16),Settings!$B$16)</f>
        <v>46296.458333333336</v>
      </c>
      <c r="C722" s="3" cm="1">
        <f t="array" ref="C722">B722+TIME(alea_int(5,1,Settings!$B$16),0,0)</f>
        <v>46296.666666666672</v>
      </c>
      <c r="D722" s="3" t="str" cm="1">
        <f t="array" ref="D722">choice(Settings!K:K,1,Settings!$B$16)</f>
        <v/>
      </c>
    </row>
    <row r="723" spans="1:4" x14ac:dyDescent="0.25">
      <c r="A723" s="2" t="str" cm="1">
        <f t="array" ref="A723">choice(Professeurs!A:A,1,Settings!$B$16)</f>
        <v>Prof28</v>
      </c>
      <c r="B723" s="3" cm="1">
        <f t="array" ref="B723">alea_date(Settings!$B$11,360,Settings!$B$8+alea_int(4,0,Settings!$B$16),Settings!$B$16)</f>
        <v>46145.416666666664</v>
      </c>
      <c r="C723" s="3" cm="1">
        <f t="array" ref="C723">B723+TIME(alea_int(5,1,Settings!$B$16),0,0)</f>
        <v>46145.458333333328</v>
      </c>
      <c r="D723" s="3" t="str" cm="1">
        <f t="array" ref="D723">choice(Settings!K:K,1,Settings!$B$16)</f>
        <v/>
      </c>
    </row>
    <row r="724" spans="1:4" x14ac:dyDescent="0.25">
      <c r="A724" s="2" t="str" cm="1">
        <f t="array" ref="A724">choice(Professeurs!A:A,1,Settings!$B$16)</f>
        <v>Prof33</v>
      </c>
      <c r="B724" s="3" cm="1">
        <f t="array" ref="B724">alea_date(Settings!$B$11,360,Settings!$B$8+alea_int(4,0,Settings!$B$16),Settings!$B$16)</f>
        <v>46375.416666666664</v>
      </c>
      <c r="C724" s="3" cm="1">
        <f t="array" ref="C724">B724+TIME(alea_int(5,1,Settings!$B$16),0,0)</f>
        <v>46375.625</v>
      </c>
      <c r="D724" s="3" t="str" cm="1">
        <f t="array" ref="D724">choice(Settings!K:K,1,Settings!$B$16)</f>
        <v>lundi am</v>
      </c>
    </row>
    <row r="725" spans="1:4" x14ac:dyDescent="0.25">
      <c r="A725" s="2" t="str" cm="1">
        <f t="array" ref="A725">choice(Professeurs!A:A,1,Settings!$B$16)</f>
        <v>Prof53</v>
      </c>
      <c r="B725" s="3" cm="1">
        <f t="array" ref="B725">alea_date(Settings!$B$11,360,Settings!$B$8+alea_int(4,0,Settings!$B$16),Settings!$B$16)</f>
        <v>46079.458333333336</v>
      </c>
      <c r="C725" s="3" cm="1">
        <f t="array" ref="C725">B725+TIME(alea_int(5,1,Settings!$B$16),0,0)</f>
        <v>46079.541666666672</v>
      </c>
      <c r="D725" s="3" t="str" cm="1">
        <f t="array" ref="D725">choice(Settings!K:K,1,Settings!$B$16)</f>
        <v/>
      </c>
    </row>
    <row r="726" spans="1:4" x14ac:dyDescent="0.25">
      <c r="A726" s="2" t="str" cm="1">
        <f t="array" ref="A726">choice(Professeurs!A:A,1,Settings!$B$16)</f>
        <v>Prof11</v>
      </c>
      <c r="B726" s="3" cm="1">
        <f t="array" ref="B726">alea_date(Settings!$B$11,360,Settings!$B$8+alea_int(4,0,Settings!$B$16),Settings!$B$16)</f>
        <v>46381.375</v>
      </c>
      <c r="C726" s="3" cm="1">
        <f t="array" ref="C726">B726+TIME(alea_int(5,1,Settings!$B$16),0,0)</f>
        <v>46381.5</v>
      </c>
      <c r="D726" s="3" t="str" cm="1">
        <f t="array" ref="D726">choice(Settings!K:K,1,Settings!$B$16)</f>
        <v>jeudi pm</v>
      </c>
    </row>
    <row r="727" spans="1:4" x14ac:dyDescent="0.25">
      <c r="A727" s="2" t="str" cm="1">
        <f t="array" ref="A727">choice(Professeurs!A:A,1,Settings!$B$16)</f>
        <v>Prof47</v>
      </c>
      <c r="B727" s="3" cm="1">
        <f t="array" ref="B727">alea_date(Settings!$B$11,360,Settings!$B$8+alea_int(4,0,Settings!$B$16),Settings!$B$16)</f>
        <v>46150.333333333336</v>
      </c>
      <c r="C727" s="3" cm="1">
        <f t="array" ref="C727">B727+TIME(alea_int(5,1,Settings!$B$16),0,0)</f>
        <v>46150.416666666672</v>
      </c>
      <c r="D727" s="3" t="str" cm="1">
        <f t="array" ref="D727">choice(Settings!K:K,1,Settings!$B$16)</f>
        <v/>
      </c>
    </row>
    <row r="728" spans="1:4" x14ac:dyDescent="0.25">
      <c r="A728" s="2" t="str" cm="1">
        <f t="array" ref="A728">choice(Professeurs!A:A,1,Settings!$B$16)</f>
        <v>Prof41</v>
      </c>
      <c r="B728" s="3" cm="1">
        <f t="array" ref="B728">alea_date(Settings!$B$11,360,Settings!$B$8+alea_int(4,0,Settings!$B$16),Settings!$B$16)</f>
        <v>46245.333333333336</v>
      </c>
      <c r="C728" s="3" cm="1">
        <f t="array" ref="C728">B728+TIME(alea_int(5,1,Settings!$B$16),0,0)</f>
        <v>46245.541666666672</v>
      </c>
      <c r="D728" s="3" t="str" cm="1">
        <f t="array" ref="D728">choice(Settings!K:K,1,Settings!$B$16)</f>
        <v/>
      </c>
    </row>
    <row r="729" spans="1:4" x14ac:dyDescent="0.25">
      <c r="A729" s="2" t="str" cm="1">
        <f t="array" ref="A729">choice(Professeurs!A:A,1,Settings!$B$16)</f>
        <v>Prof50</v>
      </c>
      <c r="B729" s="3" cm="1">
        <f t="array" ref="B729">alea_date(Settings!$B$11,360,Settings!$B$8+alea_int(4,0,Settings!$B$16),Settings!$B$16)</f>
        <v>46157.375</v>
      </c>
      <c r="C729" s="3" cm="1">
        <f t="array" ref="C729">B729+TIME(alea_int(5,1,Settings!$B$16),0,0)</f>
        <v>46157.541666666664</v>
      </c>
      <c r="D729" s="3" t="str" cm="1">
        <f t="array" ref="D729">choice(Settings!K:K,1,Settings!$B$16)</f>
        <v>lundi am</v>
      </c>
    </row>
    <row r="730" spans="1:4" x14ac:dyDescent="0.25">
      <c r="A730" s="2" t="str" cm="1">
        <f t="array" ref="A730">choice(Professeurs!A:A,1,Settings!$B$16)</f>
        <v>Prof20</v>
      </c>
      <c r="B730" s="3" cm="1">
        <f t="array" ref="B730">alea_date(Settings!$B$11,360,Settings!$B$8+alea_int(4,0,Settings!$B$16),Settings!$B$16)</f>
        <v>46164.458333333336</v>
      </c>
      <c r="C730" s="3" cm="1">
        <f t="array" ref="C730">B730+TIME(alea_int(5,1,Settings!$B$16),0,0)</f>
        <v>46164.583333333336</v>
      </c>
      <c r="D730" s="3" t="str" cm="1">
        <f t="array" ref="D730">choice(Settings!K:K,1,Settings!$B$16)</f>
        <v>mercredi pm</v>
      </c>
    </row>
    <row r="731" spans="1:4" x14ac:dyDescent="0.25">
      <c r="A731" s="2" t="str" cm="1">
        <f t="array" ref="A731">choice(Professeurs!A:A,1,Settings!$B$16)</f>
        <v>Prof4</v>
      </c>
      <c r="B731" s="3" cm="1">
        <f t="array" ref="B731">alea_date(Settings!$B$11,360,Settings!$B$8+alea_int(4,0,Settings!$B$16),Settings!$B$16)</f>
        <v>46372.458333333336</v>
      </c>
      <c r="C731" s="3" cm="1">
        <f t="array" ref="C731">B731+TIME(alea_int(5,1,Settings!$B$16),0,0)</f>
        <v>46372.541666666672</v>
      </c>
      <c r="D731" s="3" t="str" cm="1">
        <f t="array" ref="D731">choice(Settings!K:K,1,Settings!$B$16)</f>
        <v/>
      </c>
    </row>
    <row r="732" spans="1:4" x14ac:dyDescent="0.25">
      <c r="A732" s="2" t="str" cm="1">
        <f t="array" ref="A732">choice(Professeurs!A:A,1,Settings!$B$16)</f>
        <v>Prof31</v>
      </c>
      <c r="B732" s="3" cm="1">
        <f t="array" ref="B732">alea_date(Settings!$B$11,360,Settings!$B$8+alea_int(4,0,Settings!$B$16),Settings!$B$16)</f>
        <v>46364.458333333336</v>
      </c>
      <c r="C732" s="3" cm="1">
        <f t="array" ref="C732">B732+TIME(alea_int(5,1,Settings!$B$16),0,0)</f>
        <v>46364.583333333336</v>
      </c>
      <c r="D732" s="3" t="str" cm="1">
        <f t="array" ref="D732">choice(Settings!K:K,1,Settings!$B$16)</f>
        <v>vendredi pm</v>
      </c>
    </row>
    <row r="733" spans="1:4" x14ac:dyDescent="0.25">
      <c r="A733" s="2" t="str" cm="1">
        <f t="array" ref="A733">choice(Professeurs!A:A,1,Settings!$B$16)</f>
        <v>Prof48</v>
      </c>
      <c r="B733" s="3" cm="1">
        <f t="array" ref="B733">alea_date(Settings!$B$11,360,Settings!$B$8+alea_int(4,0,Settings!$B$16),Settings!$B$16)</f>
        <v>46051.333333333336</v>
      </c>
      <c r="C733" s="3" cm="1">
        <f t="array" ref="C733">B733+TIME(alea_int(5,1,Settings!$B$16),0,0)</f>
        <v>46051.5</v>
      </c>
      <c r="D733" s="3" t="str" cm="1">
        <f t="array" ref="D733">choice(Settings!K:K,1,Settings!$B$16)</f>
        <v/>
      </c>
    </row>
    <row r="734" spans="1:4" x14ac:dyDescent="0.25">
      <c r="A734" s="2" t="str" cm="1">
        <f t="array" ref="A734">choice(Professeurs!A:A,1,Settings!$B$16)</f>
        <v>Prof23</v>
      </c>
      <c r="B734" s="3" cm="1">
        <f t="array" ref="B734">alea_date(Settings!$B$11,360,Settings!$B$8+alea_int(4,0,Settings!$B$16),Settings!$B$16)</f>
        <v>46218.416666666664</v>
      </c>
      <c r="C734" s="3" cm="1">
        <f t="array" ref="C734">B734+TIME(alea_int(5,1,Settings!$B$16),0,0)</f>
        <v>46218.458333333328</v>
      </c>
      <c r="D734" s="3" t="str" cm="1">
        <f t="array" ref="D734">choice(Settings!K:K,1,Settings!$B$16)</f>
        <v/>
      </c>
    </row>
    <row r="735" spans="1:4" x14ac:dyDescent="0.25">
      <c r="A735" s="2" t="str" cm="1">
        <f t="array" ref="A735">choice(Professeurs!A:A,1,Settings!$B$16)</f>
        <v>Prof17</v>
      </c>
      <c r="B735" s="3" cm="1">
        <f t="array" ref="B735">alea_date(Settings!$B$11,360,Settings!$B$8+alea_int(4,0,Settings!$B$16),Settings!$B$16)</f>
        <v>46277.375</v>
      </c>
      <c r="C735" s="3" cm="1">
        <f t="array" ref="C735">B735+TIME(alea_int(5,1,Settings!$B$16),0,0)</f>
        <v>46277.541666666664</v>
      </c>
      <c r="D735" s="3" t="str" cm="1">
        <f t="array" ref="D735">choice(Settings!K:K,1,Settings!$B$16)</f>
        <v/>
      </c>
    </row>
    <row r="736" spans="1:4" x14ac:dyDescent="0.25">
      <c r="A736" s="2" t="str" cm="1">
        <f t="array" ref="A736">choice(Professeurs!A:A,1,Settings!$B$16)</f>
        <v>Prof39</v>
      </c>
      <c r="B736" s="3" cm="1">
        <f t="array" ref="B736">alea_date(Settings!$B$11,360,Settings!$B$8+alea_int(4,0,Settings!$B$16),Settings!$B$16)</f>
        <v>46104.375</v>
      </c>
      <c r="C736" s="3" cm="1">
        <f t="array" ref="C736">B736+TIME(alea_int(5,1,Settings!$B$16),0,0)</f>
        <v>46104.416666666664</v>
      </c>
      <c r="D736" s="3" t="str" cm="1">
        <f t="array" ref="D736">choice(Settings!K:K,1,Settings!$B$16)</f>
        <v>lundi pm</v>
      </c>
    </row>
    <row r="737" spans="1:4" x14ac:dyDescent="0.25">
      <c r="A737" s="2" t="str" cm="1">
        <f t="array" ref="A737">choice(Professeurs!A:A,1,Settings!$B$16)</f>
        <v>Prof30</v>
      </c>
      <c r="B737" s="3" cm="1">
        <f t="array" ref="B737">alea_date(Settings!$B$11,360,Settings!$B$8+alea_int(4,0,Settings!$B$16),Settings!$B$16)</f>
        <v>46250.375</v>
      </c>
      <c r="C737" s="3" cm="1">
        <f t="array" ref="C737">B737+TIME(alea_int(5,1,Settings!$B$16),0,0)</f>
        <v>46250.416666666664</v>
      </c>
      <c r="D737" s="3" t="str" cm="1">
        <f t="array" ref="D737">choice(Settings!K:K,1,Settings!$B$16)</f>
        <v>lundi pm</v>
      </c>
    </row>
    <row r="738" spans="1:4" x14ac:dyDescent="0.25">
      <c r="A738" s="2" t="str" cm="1">
        <f t="array" ref="A738">choice(Professeurs!A:A,1,Settings!$B$16)</f>
        <v>Prof55</v>
      </c>
      <c r="B738" s="3" cm="1">
        <f t="array" ref="B738">alea_date(Settings!$B$11,360,Settings!$B$8+alea_int(4,0,Settings!$B$16),Settings!$B$16)</f>
        <v>46262.375</v>
      </c>
      <c r="C738" s="3" cm="1">
        <f t="array" ref="C738">B738+TIME(alea_int(5,1,Settings!$B$16),0,0)</f>
        <v>46262.541666666664</v>
      </c>
      <c r="D738" s="3" t="str" cm="1">
        <f t="array" ref="D738">choice(Settings!K:K,1,Settings!$B$16)</f>
        <v>jeudi am</v>
      </c>
    </row>
    <row r="739" spans="1:4" x14ac:dyDescent="0.25">
      <c r="A739" s="2" t="str" cm="1">
        <f t="array" ref="A739">choice(Professeurs!A:A,1,Settings!$B$16)</f>
        <v>Prof24</v>
      </c>
      <c r="B739" s="3" cm="1">
        <f t="array" ref="B739">alea_date(Settings!$B$11,360,Settings!$B$8+alea_int(4,0,Settings!$B$16),Settings!$B$16)</f>
        <v>46161.333333333336</v>
      </c>
      <c r="C739" s="3" cm="1">
        <f t="array" ref="C739">B739+TIME(alea_int(5,1,Settings!$B$16),0,0)</f>
        <v>46161.375</v>
      </c>
      <c r="D739" s="3" t="str" cm="1">
        <f t="array" ref="D739">choice(Settings!K:K,1,Settings!$B$16)</f>
        <v/>
      </c>
    </row>
    <row r="740" spans="1:4" x14ac:dyDescent="0.25">
      <c r="A740" s="2" t="str" cm="1">
        <f t="array" ref="A740">choice(Professeurs!A:A,1,Settings!$B$16)</f>
        <v>Prof32</v>
      </c>
      <c r="B740" s="3" cm="1">
        <f t="array" ref="B740">alea_date(Settings!$B$11,360,Settings!$B$8+alea_int(4,0,Settings!$B$16),Settings!$B$16)</f>
        <v>46357.375</v>
      </c>
      <c r="C740" s="3" cm="1">
        <f t="array" ref="C740">B740+TIME(alea_int(5,1,Settings!$B$16),0,0)</f>
        <v>46357.416666666664</v>
      </c>
      <c r="D740" s="3" t="str" cm="1">
        <f t="array" ref="D740">choice(Settings!K:K,1,Settings!$B$16)</f>
        <v/>
      </c>
    </row>
    <row r="741" spans="1:4" x14ac:dyDescent="0.25">
      <c r="A741" s="2" t="str" cm="1">
        <f t="array" ref="A741">choice(Professeurs!A:A,1,Settings!$B$16)</f>
        <v>Prof18</v>
      </c>
      <c r="B741" s="3" cm="1">
        <f t="array" ref="B741">alea_date(Settings!$B$11,360,Settings!$B$8+alea_int(4,0,Settings!$B$16),Settings!$B$16)</f>
        <v>46209.333333333336</v>
      </c>
      <c r="C741" s="3" cm="1">
        <f t="array" ref="C741">B741+TIME(alea_int(5,1,Settings!$B$16),0,0)</f>
        <v>46209.375</v>
      </c>
      <c r="D741" s="3" t="str" cm="1">
        <f t="array" ref="D741">choice(Settings!K:K,1,Settings!$B$16)</f>
        <v/>
      </c>
    </row>
    <row r="742" spans="1:4" x14ac:dyDescent="0.25">
      <c r="A742" s="2" t="str" cm="1">
        <f t="array" ref="A742">choice(Professeurs!A:A,1,Settings!$B$16)</f>
        <v>Prof54</v>
      </c>
      <c r="B742" s="3" cm="1">
        <f t="array" ref="B742">alea_date(Settings!$B$11,360,Settings!$B$8+alea_int(4,0,Settings!$B$16),Settings!$B$16)</f>
        <v>46131.416666666664</v>
      </c>
      <c r="C742" s="3" cm="1">
        <f t="array" ref="C742">B742+TIME(alea_int(5,1,Settings!$B$16),0,0)</f>
        <v>46131.625</v>
      </c>
      <c r="D742" s="3" t="str" cm="1">
        <f t="array" ref="D742">choice(Settings!K:K,1,Settings!$B$16)</f>
        <v>lundi am</v>
      </c>
    </row>
    <row r="743" spans="1:4" x14ac:dyDescent="0.25">
      <c r="A743" s="2" t="str" cm="1">
        <f t="array" ref="A743">choice(Professeurs!A:A,1,Settings!$B$16)</f>
        <v>Prof49</v>
      </c>
      <c r="B743" s="3" cm="1">
        <f t="array" ref="B743">alea_date(Settings!$B$11,360,Settings!$B$8+alea_int(4,0,Settings!$B$16),Settings!$B$16)</f>
        <v>46126.416666666664</v>
      </c>
      <c r="C743" s="3" cm="1">
        <f t="array" ref="C743">B743+TIME(alea_int(5,1,Settings!$B$16),0,0)</f>
        <v>46126.458333333328</v>
      </c>
      <c r="D743" s="3" t="str" cm="1">
        <f t="array" ref="D743">choice(Settings!K:K,1,Settings!$B$16)</f>
        <v/>
      </c>
    </row>
    <row r="744" spans="1:4" x14ac:dyDescent="0.25">
      <c r="A744" s="2" t="str" cm="1">
        <f t="array" ref="A744">choice(Professeurs!A:A,1,Settings!$B$16)</f>
        <v>Prof17</v>
      </c>
      <c r="B744" s="3" cm="1">
        <f t="array" ref="B744">alea_date(Settings!$B$11,360,Settings!$B$8+alea_int(4,0,Settings!$B$16),Settings!$B$16)</f>
        <v>46238.375</v>
      </c>
      <c r="C744" s="3" cm="1">
        <f t="array" ref="C744">B744+TIME(alea_int(5,1,Settings!$B$16),0,0)</f>
        <v>46238.5</v>
      </c>
      <c r="D744" s="3" t="str" cm="1">
        <f t="array" ref="D744">choice(Settings!K:K,1,Settings!$B$16)</f>
        <v/>
      </c>
    </row>
    <row r="745" spans="1:4" x14ac:dyDescent="0.25">
      <c r="A745" s="2" t="str" cm="1">
        <f t="array" ref="A745">choice(Professeurs!A:A,1,Settings!$B$16)</f>
        <v>Prof50</v>
      </c>
      <c r="B745" s="3" cm="1">
        <f t="array" ref="B745">alea_date(Settings!$B$11,360,Settings!$B$8+alea_int(4,0,Settings!$B$16),Settings!$B$16)</f>
        <v>46211.375</v>
      </c>
      <c r="C745" s="3" cm="1">
        <f t="array" ref="C745">B745+TIME(alea_int(5,1,Settings!$B$16),0,0)</f>
        <v>46211.5</v>
      </c>
      <c r="D745" s="3" t="str" cm="1">
        <f t="array" ref="D745">choice(Settings!K:K,1,Settings!$B$16)</f>
        <v>mercredi pm</v>
      </c>
    </row>
    <row r="746" spans="1:4" x14ac:dyDescent="0.25">
      <c r="A746" s="2" t="str" cm="1">
        <f t="array" ref="A746">choice(Professeurs!A:A,1,Settings!$B$16)</f>
        <v>Prof2</v>
      </c>
      <c r="B746" s="3" cm="1">
        <f t="array" ref="B746">alea_date(Settings!$B$11,360,Settings!$B$8+alea_int(4,0,Settings!$B$16),Settings!$B$16)</f>
        <v>46290.458333333336</v>
      </c>
      <c r="C746" s="3" cm="1">
        <f t="array" ref="C746">B746+TIME(alea_int(5,1,Settings!$B$16),0,0)</f>
        <v>46290.625</v>
      </c>
      <c r="D746" s="3" t="str" cm="1">
        <f t="array" ref="D746">choice(Settings!K:K,1,Settings!$B$16)</f>
        <v/>
      </c>
    </row>
    <row r="747" spans="1:4" x14ac:dyDescent="0.25">
      <c r="A747" s="2" t="str" cm="1">
        <f t="array" ref="A747">choice(Professeurs!A:A,1,Settings!$B$16)</f>
        <v>Prof37</v>
      </c>
      <c r="B747" s="3" cm="1">
        <f t="array" ref="B747">alea_date(Settings!$B$11,360,Settings!$B$8+alea_int(4,0,Settings!$B$16),Settings!$B$16)</f>
        <v>46235.416666666664</v>
      </c>
      <c r="C747" s="3" cm="1">
        <f t="array" ref="C747">B747+TIME(alea_int(5,1,Settings!$B$16),0,0)</f>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cm="1">
        <f t="array" ref="A748">choice(Professeurs!A:A,1,Settings!$B$16)</f>
        <v>Prof24</v>
      </c>
      <c r="B748" s="3" cm="1">
        <f t="array" ref="B748">alea_date(Settings!$B$11,360,Settings!$B$8+alea_int(4,0,Settings!$B$16),Settings!$B$16)</f>
        <v>46321.375</v>
      </c>
      <c r="C748" s="3" cm="1">
        <f t="array" ref="C748">B748+TIME(alea_int(5,1,Settings!$B$16),0,0)</f>
        <v>46321.583333333336</v>
      </c>
      <c r="D748" s="3" t="str" cm="1">
        <f t="array" ref="D748">choice(Settings!K:K,1,Settings!$B$16)</f>
        <v/>
      </c>
    </row>
    <row r="749" spans="1:4" x14ac:dyDescent="0.25">
      <c r="A749" s="2" t="str" cm="1">
        <f t="array" ref="A749">choice(Professeurs!A:A,1,Settings!$B$16)</f>
        <v>Prof14</v>
      </c>
      <c r="B749" s="3" cm="1">
        <f t="array" ref="B749">alea_date(Settings!$B$11,360,Settings!$B$8+alea_int(4,0,Settings!$B$16),Settings!$B$16)</f>
        <v>46252.333333333336</v>
      </c>
      <c r="C749" s="3" cm="1">
        <f t="array" ref="C749">B749+TIME(alea_int(5,1,Settings!$B$16),0,0)</f>
        <v>46252.416666666672</v>
      </c>
      <c r="D749" s="3" t="str" cm="1">
        <f t="array" ref="D749">choice(Settings!K:K,1,Settings!$B$16)</f>
        <v/>
      </c>
    </row>
    <row r="750" spans="1:4" x14ac:dyDescent="0.25">
      <c r="A750" s="2" t="str" cm="1">
        <f t="array" ref="A750">choice(Professeurs!A:A,1,Settings!$B$16)</f>
        <v>Prof6</v>
      </c>
      <c r="B750" s="3" cm="1">
        <f t="array" ref="B750">alea_date(Settings!$B$11,360,Settings!$B$8+alea_int(4,0,Settings!$B$16),Settings!$B$16)</f>
        <v>46263.458333333336</v>
      </c>
      <c r="C750" s="3" cm="1">
        <f t="array" ref="C750">B750+TIME(alea_int(5,1,Settings!$B$16),0,0)</f>
        <v>46263.666666666672</v>
      </c>
      <c r="D750" s="3" t="str" cm="1">
        <f t="array" ref="D750">choice(Settings!K:K,1,Settings!$B$16)</f>
        <v>lundi am</v>
      </c>
    </row>
    <row r="751" spans="1:4" x14ac:dyDescent="0.25">
      <c r="A751" s="2" t="str" cm="1">
        <f t="array" ref="A751">choice(Professeurs!A:A,1,Settings!$B$16)</f>
        <v>Prof54</v>
      </c>
      <c r="B751" s="3" cm="1">
        <f t="array" ref="B751">alea_date(Settings!$B$11,360,Settings!$B$8+alea_int(4,0,Settings!$B$16),Settings!$B$16)</f>
        <v>46250.375</v>
      </c>
      <c r="C751" s="3" cm="1">
        <f t="array" ref="C751">B751+TIME(alea_int(5,1,Settings!$B$16),0,0)</f>
        <v>46250.583333333336</v>
      </c>
      <c r="D751" s="3" t="str" cm="1">
        <f t="array" ref="D751">choice(Settings!K:K,1,Settings!$B$16)</f>
        <v/>
      </c>
    </row>
    <row r="752" spans="1:4" x14ac:dyDescent="0.25">
      <c r="A752" s="2" t="str" cm="1">
        <f t="array" ref="A752">choice(Professeurs!A:A,1,Settings!$B$16)</f>
        <v>Prof27</v>
      </c>
      <c r="B752" s="3" cm="1">
        <f t="array" ref="B752">alea_date(Settings!$B$11,360,Settings!$B$8+alea_int(4,0,Settings!$B$16),Settings!$B$16)</f>
        <v>46251.416666666664</v>
      </c>
      <c r="C752" s="3" cm="1">
        <f t="array" ref="C752">B752+TIME(alea_int(5,1,Settings!$B$16),0,0)</f>
        <v>46251.583333333328</v>
      </c>
      <c r="D752" s="3" t="str" cm="1">
        <f t="array" ref="D752">choice(Settings!K:K,1,Settings!$B$16)</f>
        <v/>
      </c>
    </row>
    <row r="753" spans="1:4" x14ac:dyDescent="0.25">
      <c r="A753" s="2" t="str" cm="1">
        <f t="array" ref="A753">choice(Professeurs!A:A,1,Settings!$B$16)</f>
        <v>Prof9</v>
      </c>
      <c r="B753" s="3" cm="1">
        <f t="array" ref="B753">alea_date(Settings!$B$11,360,Settings!$B$8+alea_int(4,0,Settings!$B$16),Settings!$B$16)</f>
        <v>46177.458333333336</v>
      </c>
      <c r="C753" s="3" cm="1">
        <f t="array" ref="C753">B753+TIME(alea_int(5,1,Settings!$B$16),0,0)</f>
        <v>46177.583333333336</v>
      </c>
      <c r="D753" s="3" t="str" cm="1">
        <f t="array" ref="D753">choice(Settings!K:K,1,Settings!$B$16)</f>
        <v/>
      </c>
    </row>
    <row r="754" spans="1:4" x14ac:dyDescent="0.25">
      <c r="A754" s="2" t="str" cm="1">
        <f t="array" ref="A754">choice(Professeurs!A:A,1,Settings!$B$16)</f>
        <v>Prof26</v>
      </c>
      <c r="B754" s="3" cm="1">
        <f t="array" ref="B754">alea_date(Settings!$B$11,360,Settings!$B$8+alea_int(4,0,Settings!$B$16),Settings!$B$16)</f>
        <v>46212.416666666664</v>
      </c>
      <c r="C754" s="3" cm="1">
        <f t="array" ref="C754">B754+TIME(alea_int(5,1,Settings!$B$16),0,0)</f>
        <v>46212.541666666664</v>
      </c>
      <c r="D754" s="3" t="str" cm="1">
        <f t="array" ref="D754">choice(Settings!K:K,1,Settings!$B$16)</f>
        <v/>
      </c>
    </row>
    <row r="755" spans="1:4" x14ac:dyDescent="0.25">
      <c r="A755" s="2" t="str" cm="1">
        <f t="array" ref="A755">choice(Professeurs!A:A,1,Settings!$B$16)</f>
        <v>Prof5</v>
      </c>
      <c r="B755" s="3" cm="1">
        <f t="array" ref="B755">alea_date(Settings!$B$11,360,Settings!$B$8+alea_int(4,0,Settings!$B$16),Settings!$B$16)</f>
        <v>46246.333333333336</v>
      </c>
      <c r="C755" s="3" cm="1">
        <f t="array" ref="C755">B755+TIME(alea_int(5,1,Settings!$B$16),0,0)</f>
        <v>46246.5</v>
      </c>
      <c r="D755" s="3" t="str" cm="1">
        <f t="array" ref="D755">choice(Settings!K:K,1,Settings!$B$16)</f>
        <v/>
      </c>
    </row>
    <row r="756" spans="1:4" x14ac:dyDescent="0.25">
      <c r="A756" s="2" t="str" cm="1">
        <f t="array" ref="A756">choice(Professeurs!A:A,1,Settings!$B$16)</f>
        <v>Prof49</v>
      </c>
      <c r="B756" s="3" cm="1">
        <f t="array" ref="B756">alea_date(Settings!$B$11,360,Settings!$B$8+alea_int(4,0,Settings!$B$16),Settings!$B$16)</f>
        <v>46089.375</v>
      </c>
      <c r="C756" s="3" cm="1">
        <f t="array" ref="C756">B756+TIME(alea_int(5,1,Settings!$B$16),0,0)</f>
        <v>46089.458333333336</v>
      </c>
      <c r="D756" s="3" t="str" cm="1">
        <f t="array" ref="D756">choice(Settings!K:K,1,Settings!$B$16)</f>
        <v>mercredi pm</v>
      </c>
    </row>
    <row r="757" spans="1:4" x14ac:dyDescent="0.25">
      <c r="A757" s="2" t="str" cm="1">
        <f t="array" ref="A757">choice(Professeurs!A:A,1,Settings!$B$16)</f>
        <v>Prof19</v>
      </c>
      <c r="B757" s="3" cm="1">
        <f t="array" ref="B757">alea_date(Settings!$B$11,360,Settings!$B$8+alea_int(4,0,Settings!$B$16),Settings!$B$16)</f>
        <v>46060.375</v>
      </c>
      <c r="C757" s="3" cm="1">
        <f t="array" ref="C757">B757+TIME(alea_int(5,1,Settings!$B$16),0,0)</f>
        <v>46060.583333333336</v>
      </c>
      <c r="D757" s="3" t="str" cm="1">
        <f t="array" ref="D757">choice(Settings!K:K,1,Settings!$B$16)</f>
        <v>lundi pm</v>
      </c>
    </row>
    <row r="758" spans="1:4" x14ac:dyDescent="0.25">
      <c r="A758" s="2" t="str" cm="1">
        <f t="array" ref="A758">choice(Professeurs!A:A,1,Settings!$B$16)</f>
        <v>Prof19</v>
      </c>
      <c r="B758" s="3" cm="1">
        <f t="array" ref="B758">alea_date(Settings!$B$11,360,Settings!$B$8+alea_int(4,0,Settings!$B$16),Settings!$B$16)</f>
        <v>46175.333333333336</v>
      </c>
      <c r="C758" s="3" cm="1">
        <f t="array" ref="C758">B758+TIME(alea_int(5,1,Settings!$B$16),0,0)</f>
        <v>46175.375</v>
      </c>
      <c r="D758" s="3" t="str" cm="1">
        <f t="array" ref="D758">choice(Settings!K:K,1,Settings!$B$16)</f>
        <v/>
      </c>
    </row>
    <row r="759" spans="1:4" x14ac:dyDescent="0.25">
      <c r="A759" s="2" t="str" cm="1">
        <f t="array" ref="A759">choice(Professeurs!A:A,1,Settings!$B$16)</f>
        <v>Prof33</v>
      </c>
      <c r="B759" s="3" cm="1">
        <f t="array" ref="B759">alea_date(Settings!$B$11,360,Settings!$B$8+alea_int(4,0,Settings!$B$16),Settings!$B$16)</f>
        <v>46207.375</v>
      </c>
      <c r="C759" s="3" cm="1">
        <f t="array" ref="C759">B759+TIME(alea_int(5,1,Settings!$B$16),0,0)</f>
        <v>46207.416666666664</v>
      </c>
      <c r="D759" s="3" t="str" cm="1">
        <f t="array" ref="D759">choice(Settings!K:K,1,Settings!$B$16)</f>
        <v/>
      </c>
    </row>
    <row r="760" spans="1:4" x14ac:dyDescent="0.25">
      <c r="A760" s="2" t="str" cm="1">
        <f t="array" ref="A760">choice(Professeurs!A:A,1,Settings!$B$16)</f>
        <v>Prof17</v>
      </c>
      <c r="B760" s="3" cm="1">
        <f t="array" ref="B760">alea_date(Settings!$B$11,360,Settings!$B$8+alea_int(4,0,Settings!$B$16),Settings!$B$16)</f>
        <v>46319.458333333336</v>
      </c>
      <c r="C760" s="3" cm="1">
        <f t="array" ref="C760">B760+TIME(alea_int(5,1,Settings!$B$16),0,0)</f>
        <v>46319.666666666672</v>
      </c>
      <c r="D760" s="3" t="str" cm="1">
        <f t="array" ref="D760">choice(Settings!K:K,1,Settings!$B$16)</f>
        <v>mercredi pm</v>
      </c>
    </row>
    <row r="761" spans="1:4" x14ac:dyDescent="0.25">
      <c r="A761" s="2" t="str" cm="1">
        <f t="array" ref="A761">choice(Professeurs!A:A,1,Settings!$B$16)</f>
        <v>Prof25</v>
      </c>
      <c r="B761" s="3" cm="1">
        <f t="array" ref="B761">alea_date(Settings!$B$11,360,Settings!$B$8+alea_int(4,0,Settings!$B$16),Settings!$B$16)</f>
        <v>46123.375</v>
      </c>
      <c r="C761" s="3" cm="1">
        <f t="array" ref="C761">B761+TIME(alea_int(5,1,Settings!$B$16),0,0)</f>
        <v>46123.5</v>
      </c>
      <c r="D761" s="3" t="str" cm="1">
        <f t="array" ref="D761">choice(Settings!K:K,1,Settings!$B$16)</f>
        <v>vendredi pm</v>
      </c>
    </row>
    <row r="762" spans="1:4" x14ac:dyDescent="0.25">
      <c r="A762" s="2" t="str" cm="1">
        <f t="array" ref="A762">choice(Professeurs!A:A,1,Settings!$B$16)</f>
        <v>Prof23</v>
      </c>
      <c r="B762" s="3" cm="1">
        <f t="array" ref="B762">alea_date(Settings!$B$11,360,Settings!$B$8+alea_int(4,0,Settings!$B$16),Settings!$B$16)</f>
        <v>46374.416666666664</v>
      </c>
      <c r="C762" s="3" cm="1">
        <f t="array" ref="C762">B762+TIME(alea_int(5,1,Settings!$B$16),0,0)</f>
        <v>46374.458333333328</v>
      </c>
      <c r="D762" s="3" t="str" cm="1">
        <f t="array" ref="D762">choice(Settings!K:K,1,Settings!$B$16)</f>
        <v/>
      </c>
    </row>
    <row r="763" spans="1:4" x14ac:dyDescent="0.25">
      <c r="A763" s="2" t="str" cm="1">
        <f t="array" ref="A763">choice(Professeurs!A:A,1,Settings!$B$16)</f>
        <v>Prof25</v>
      </c>
      <c r="B763" s="3" cm="1">
        <f t="array" ref="B763">alea_date(Settings!$B$11,360,Settings!$B$8+alea_int(4,0,Settings!$B$16),Settings!$B$16)</f>
        <v>46292.333333333336</v>
      </c>
      <c r="C763" s="3" cm="1">
        <f t="array" ref="C763">B763+TIME(alea_int(5,1,Settings!$B$16),0,0)</f>
        <v>46292.541666666672</v>
      </c>
      <c r="D763" s="3" t="str" cm="1">
        <f t="array" ref="D763">choice(Settings!K:K,1,Settings!$B$16)</f>
        <v/>
      </c>
    </row>
    <row r="764" spans="1:4" x14ac:dyDescent="0.25">
      <c r="A764" s="2" t="str" cm="1">
        <f t="array" ref="A764">choice(Professeurs!A:A,1,Settings!$B$16)</f>
        <v>Prof17</v>
      </c>
      <c r="B764" s="3" cm="1">
        <f t="array" ref="B764">alea_date(Settings!$B$11,360,Settings!$B$8+alea_int(4,0,Settings!$B$16),Settings!$B$16)</f>
        <v>46272.375</v>
      </c>
      <c r="C764" s="3" cm="1">
        <f t="array" ref="C764">B764+TIME(alea_int(5,1,Settings!$B$16),0,0)</f>
        <v>46272.583333333336</v>
      </c>
      <c r="D764" s="3" t="str" cm="1">
        <f t="array" ref="D764">choice(Settings!K:K,1,Settings!$B$16)</f>
        <v/>
      </c>
    </row>
    <row r="765" spans="1:4" x14ac:dyDescent="0.25">
      <c r="A765" s="2" t="str" cm="1">
        <f t="array" ref="A765">choice(Professeurs!A:A,1,Settings!$B$16)</f>
        <v>Prof2</v>
      </c>
      <c r="B765" s="3" cm="1">
        <f t="array" ref="B765">alea_date(Settings!$B$11,360,Settings!$B$8+alea_int(4,0,Settings!$B$16),Settings!$B$16)</f>
        <v>46310.333333333336</v>
      </c>
      <c r="C765" s="3" cm="1">
        <f t="array" ref="C765">B765+TIME(alea_int(5,1,Settings!$B$16),0,0)</f>
        <v>46310.458333333336</v>
      </c>
      <c r="D765" s="3" t="str" cm="1">
        <f t="array" ref="D765">choice(Settings!K:K,1,Settings!$B$16)</f>
        <v/>
      </c>
    </row>
    <row r="766" spans="1:4" x14ac:dyDescent="0.25">
      <c r="A766" s="2" t="str" cm="1">
        <f t="array" ref="A766">choice(Professeurs!A:A,1,Settings!$B$16)</f>
        <v>Prof27</v>
      </c>
      <c r="B766" s="3" cm="1">
        <f t="array" ref="B766">alea_date(Settings!$B$11,360,Settings!$B$8+alea_int(4,0,Settings!$B$16),Settings!$B$16)</f>
        <v>46089.458333333336</v>
      </c>
      <c r="C766" s="3" cm="1">
        <f t="array" ref="C766">B766+TIME(alea_int(5,1,Settings!$B$16),0,0)</f>
        <v>46089.541666666672</v>
      </c>
      <c r="D766" s="3" t="str" cm="1">
        <f t="array" ref="D766">choice(Settings!K:K,1,Settings!$B$16)</f>
        <v/>
      </c>
    </row>
    <row r="767" spans="1:4" x14ac:dyDescent="0.25">
      <c r="A767" s="2" t="str" cm="1">
        <f t="array" ref="A767">choice(Professeurs!A:A,1,Settings!$B$16)</f>
        <v>Prof26</v>
      </c>
      <c r="B767" s="3" cm="1">
        <f t="array" ref="B767">alea_date(Settings!$B$11,360,Settings!$B$8+alea_int(4,0,Settings!$B$16),Settings!$B$16)</f>
        <v>46339.416666666664</v>
      </c>
      <c r="C767" s="3" cm="1">
        <f t="array" ref="C767">B767+TIME(alea_int(5,1,Settings!$B$16),0,0)</f>
        <v>46339.458333333328</v>
      </c>
      <c r="D767" s="3" t="str" cm="1">
        <f t="array" ref="D767">choice(Settings!K:K,1,Settings!$B$16)</f>
        <v/>
      </c>
    </row>
    <row r="768" spans="1:4" x14ac:dyDescent="0.25">
      <c r="A768" s="2" t="str" cm="1">
        <f t="array" ref="A768">choice(Professeurs!A:A,1,Settings!$B$16)</f>
        <v>Prof14</v>
      </c>
      <c r="B768" s="3" cm="1">
        <f t="array" ref="B768">alea_date(Settings!$B$11,360,Settings!$B$8+alea_int(4,0,Settings!$B$16),Settings!$B$16)</f>
        <v>46226.416666666664</v>
      </c>
      <c r="C768" s="3" cm="1">
        <f t="array" ref="C768">B768+TIME(alea_int(5,1,Settings!$B$16),0,0)</f>
        <v>46226.458333333328</v>
      </c>
      <c r="D768" s="3" t="str" cm="1">
        <f t="array" ref="D768">choice(Settings!K:K,1,Settings!$B$16)</f>
        <v/>
      </c>
    </row>
    <row r="769" spans="1:4" x14ac:dyDescent="0.25">
      <c r="A769" s="2" t="str" cm="1">
        <f t="array" ref="A769">choice(Professeurs!A:A,1,Settings!$B$16)</f>
        <v>Prof43</v>
      </c>
      <c r="B769" s="3" cm="1">
        <f t="array" ref="B769">alea_date(Settings!$B$11,360,Settings!$B$8+alea_int(4,0,Settings!$B$16),Settings!$B$16)</f>
        <v>46209.375</v>
      </c>
      <c r="C769" s="3" cm="1">
        <f t="array" ref="C769">B769+TIME(alea_int(5,1,Settings!$B$16),0,0)</f>
        <v>46209.5</v>
      </c>
      <c r="D769" s="3" t="str" cm="1">
        <f t="array" ref="D769">choice(Settings!K:K,1,Settings!$B$16)</f>
        <v/>
      </c>
    </row>
    <row r="770" spans="1:4" x14ac:dyDescent="0.25">
      <c r="A770" s="2" t="str" cm="1">
        <f t="array" ref="A770">choice(Professeurs!A:A,1,Settings!$B$16)</f>
        <v>Prof10</v>
      </c>
      <c r="B770" s="3" cm="1">
        <f t="array" ref="B770">alea_date(Settings!$B$11,360,Settings!$B$8+alea_int(4,0,Settings!$B$16),Settings!$B$16)</f>
        <v>46110.458333333336</v>
      </c>
      <c r="C770" s="3" cm="1">
        <f t="array" ref="C770">B770+TIME(alea_int(5,1,Settings!$B$16),0,0)</f>
        <v>46110.583333333336</v>
      </c>
      <c r="D770" s="3" t="str" cm="1">
        <f t="array" ref="D770">choice(Settings!K:K,1,Settings!$B$16)</f>
        <v>mardi am</v>
      </c>
    </row>
    <row r="771" spans="1:4" x14ac:dyDescent="0.25">
      <c r="A771" s="2" t="str" cm="1">
        <f t="array" ref="A771">choice(Professeurs!A:A,1,Settings!$B$16)</f>
        <v>Prof48</v>
      </c>
      <c r="B771" s="3" cm="1">
        <f t="array" ref="B771">alea_date(Settings!$B$11,360,Settings!$B$8+alea_int(4,0,Settings!$B$16),Settings!$B$16)</f>
        <v>46178.333333333336</v>
      </c>
      <c r="C771" s="3" cm="1">
        <f t="array" ref="C771">B771+TIME(alea_int(5,1,Settings!$B$16),0,0)</f>
        <v>46178.416666666672</v>
      </c>
      <c r="D771" s="3" t="str" cm="1">
        <f t="array" ref="D771">choice(Settings!K:K,1,Settings!$B$16)</f>
        <v>vendredi am</v>
      </c>
    </row>
    <row r="772" spans="1:4" x14ac:dyDescent="0.25">
      <c r="A772" s="2" t="str" cm="1">
        <f t="array" ref="A772">choice(Professeurs!A:A,1,Settings!$B$16)</f>
        <v>Prof2</v>
      </c>
      <c r="B772" s="3" cm="1">
        <f t="array" ref="B772">alea_date(Settings!$B$11,360,Settings!$B$8+alea_int(4,0,Settings!$B$16),Settings!$B$16)</f>
        <v>46363.375</v>
      </c>
      <c r="C772" s="3" cm="1">
        <f t="array" ref="C772">B772+TIME(alea_int(5,1,Settings!$B$16),0,0)</f>
        <v>46363.541666666664</v>
      </c>
      <c r="D772" s="3" t="str" cm="1">
        <f t="array" ref="D772">choice(Settings!K:K,1,Settings!$B$16)</f>
        <v/>
      </c>
    </row>
    <row r="773" spans="1:4" x14ac:dyDescent="0.25">
      <c r="A773" s="2" t="str" cm="1">
        <f t="array" ref="A773">choice(Professeurs!A:A,1,Settings!$B$16)</f>
        <v>Prof33</v>
      </c>
      <c r="B773" s="3" cm="1">
        <f t="array" ref="B773">alea_date(Settings!$B$11,360,Settings!$B$8+alea_int(4,0,Settings!$B$16),Settings!$B$16)</f>
        <v>46130.375</v>
      </c>
      <c r="C773" s="3" cm="1">
        <f t="array" ref="C773">B773+TIME(alea_int(5,1,Settings!$B$16),0,0)</f>
        <v>46130.458333333336</v>
      </c>
      <c r="D773" s="3" t="str" cm="1">
        <f t="array" ref="D773">choice(Settings!K:K,1,Settings!$B$16)</f>
        <v/>
      </c>
    </row>
    <row r="774" spans="1:4" x14ac:dyDescent="0.25">
      <c r="A774" s="2" t="str" cm="1">
        <f t="array" ref="A774">choice(Professeurs!A:A,1,Settings!$B$16)</f>
        <v>Prof37</v>
      </c>
      <c r="B774" s="3" cm="1">
        <f t="array" ref="B774">alea_date(Settings!$B$11,360,Settings!$B$8+alea_int(4,0,Settings!$B$16),Settings!$B$16)</f>
        <v>46359.375</v>
      </c>
      <c r="C774" s="3" cm="1">
        <f t="array" ref="C774">B774+TIME(alea_int(5,1,Settings!$B$16),0,0)</f>
        <v>46359.5</v>
      </c>
      <c r="D774" s="3" t="str" cm="1">
        <f t="array" ref="D774">choice(Settings!K:K,1,Settings!$B$16)</f>
        <v>semaine</v>
      </c>
    </row>
    <row r="775" spans="1:4" x14ac:dyDescent="0.25">
      <c r="A775" s="2" t="str" cm="1">
        <f t="array" ref="A775">choice(Professeurs!A:A,1,Settings!$B$16)</f>
        <v>Prof15</v>
      </c>
      <c r="B775" s="3" cm="1">
        <f t="array" ref="B775">alea_date(Settings!$B$11,360,Settings!$B$8+alea_int(4,0,Settings!$B$16),Settings!$B$16)</f>
        <v>46106.416666666664</v>
      </c>
      <c r="C775" s="3" cm="1">
        <f t="array" ref="C775">B775+TIME(alea_int(5,1,Settings!$B$16),0,0)</f>
        <v>46106.625</v>
      </c>
      <c r="D775" s="3" t="str" cm="1">
        <f t="array" ref="D775">choice(Settings!K:K,1,Settings!$B$16)</f>
        <v/>
      </c>
    </row>
    <row r="776" spans="1:4" x14ac:dyDescent="0.25">
      <c r="A776" s="2" t="str" cm="1">
        <f t="array" ref="A776">choice(Professeurs!A:A,1,Settings!$B$16)</f>
        <v>Prof5</v>
      </c>
      <c r="B776" s="3" cm="1">
        <f t="array" ref="B776">alea_date(Settings!$B$11,360,Settings!$B$8+alea_int(4,0,Settings!$B$16),Settings!$B$16)</f>
        <v>46131.458333333336</v>
      </c>
      <c r="C776" s="3" cm="1">
        <f t="array" ref="C776">B776+TIME(alea_int(5,1,Settings!$B$16),0,0)</f>
        <v>46131.541666666672</v>
      </c>
      <c r="D776" s="3" t="str" cm="1">
        <f t="array" ref="D776">choice(Settings!K:K,1,Settings!$B$16)</f>
        <v/>
      </c>
    </row>
    <row r="777" spans="1:4" x14ac:dyDescent="0.25">
      <c r="A777" s="2" t="str" cm="1">
        <f t="array" ref="A777">choice(Professeurs!A:A,1,Settings!$B$16)</f>
        <v>Prof54</v>
      </c>
      <c r="B777" s="3" cm="1">
        <f t="array" ref="B777">alea_date(Settings!$B$11,360,Settings!$B$8+alea_int(4,0,Settings!$B$16),Settings!$B$16)</f>
        <v>46332.333333333336</v>
      </c>
      <c r="C777" s="3" cm="1">
        <f t="array" ref="C777">B777+TIME(alea_int(5,1,Settings!$B$16),0,0)</f>
        <v>46332.5</v>
      </c>
      <c r="D777" s="3" t="str" cm="1">
        <f t="array" ref="D777">choice(Settings!K:K,1,Settings!$B$16)</f>
        <v>vendredi pm</v>
      </c>
    </row>
    <row r="778" spans="1:4" x14ac:dyDescent="0.25">
      <c r="A778" s="2" t="str" cm="1">
        <f t="array" ref="A778">choice(Professeurs!A:A,1,Settings!$B$16)</f>
        <v>Prof15</v>
      </c>
      <c r="B778" s="3" cm="1">
        <f t="array" ref="B778">alea_date(Settings!$B$11,360,Settings!$B$8+alea_int(4,0,Settings!$B$16),Settings!$B$16)</f>
        <v>46143.375</v>
      </c>
      <c r="C778" s="3" cm="1">
        <f t="array" ref="C778">B778+TIME(alea_int(5,1,Settings!$B$16),0,0)</f>
        <v>46143.458333333336</v>
      </c>
      <c r="D778" s="3" t="str" cm="1">
        <f t="array" ref="D778">choice(Settings!K:K,1,Settings!$B$16)</f>
        <v>jeudi am</v>
      </c>
    </row>
    <row r="779" spans="1:4" x14ac:dyDescent="0.25">
      <c r="A779" s="2" t="str" cm="1">
        <f t="array" ref="A779">choice(Professeurs!A:A,1,Settings!$B$16)</f>
        <v>Prof4</v>
      </c>
      <c r="B779" s="3" cm="1">
        <f t="array" ref="B779">alea_date(Settings!$B$11,360,Settings!$B$8+alea_int(4,0,Settings!$B$16),Settings!$B$16)</f>
        <v>46247.416666666664</v>
      </c>
      <c r="C779" s="3" cm="1">
        <f t="array" ref="C779">B779+TIME(alea_int(5,1,Settings!$B$16),0,0)</f>
        <v>46247.5</v>
      </c>
      <c r="D779" s="3" t="str" cm="1">
        <f t="array" ref="D779">choice(Settings!K:K,1,Settings!$B$16)</f>
        <v>jeudi am</v>
      </c>
    </row>
    <row r="780" spans="1:4" x14ac:dyDescent="0.25">
      <c r="A780" s="2" t="str" cm="1">
        <f t="array" ref="A780">choice(Professeurs!A:A,1,Settings!$B$16)</f>
        <v>Prof41</v>
      </c>
      <c r="B780" s="3" cm="1">
        <f t="array" ref="B780">alea_date(Settings!$B$11,360,Settings!$B$8+alea_int(4,0,Settings!$B$16),Settings!$B$16)</f>
        <v>46082.333333333336</v>
      </c>
      <c r="C780" s="3" cm="1">
        <f t="array" ref="C780">B780+TIME(alea_int(5,1,Settings!$B$16),0,0)</f>
        <v>46082.541666666672</v>
      </c>
      <c r="D780" s="3" t="str" cm="1">
        <f t="array" ref="D780">choice(Settings!K:K,1,Settings!$B$16)</f>
        <v/>
      </c>
    </row>
    <row r="781" spans="1:4" x14ac:dyDescent="0.25">
      <c r="A781" s="2" t="str" cm="1">
        <f t="array" ref="A781">choice(Professeurs!A:A,1,Settings!$B$16)</f>
        <v>Prof22</v>
      </c>
      <c r="B781" s="3" cm="1">
        <f t="array" ref="B781">alea_date(Settings!$B$11,360,Settings!$B$8+alea_int(4,0,Settings!$B$16),Settings!$B$16)</f>
        <v>46194.458333333336</v>
      </c>
      <c r="C781" s="3" cm="1">
        <f t="array" ref="C781">B781+TIME(alea_int(5,1,Settings!$B$16),0,0)</f>
        <v>46194.583333333336</v>
      </c>
      <c r="D781" s="3" t="str" cm="1">
        <f t="array" ref="D781">choice(Settings!K:K,1,Settings!$B$16)</f>
        <v>jeudi pm</v>
      </c>
    </row>
    <row r="782" spans="1:4" x14ac:dyDescent="0.25">
      <c r="A782" s="2" t="str" cm="1">
        <f t="array" ref="A782">choice(Professeurs!A:A,1,Settings!$B$16)</f>
        <v>Prof12</v>
      </c>
      <c r="B782" s="3" cm="1">
        <f t="array" ref="B782">alea_date(Settings!$B$11,360,Settings!$B$8+alea_int(4,0,Settings!$B$16),Settings!$B$16)</f>
        <v>46042.458333333336</v>
      </c>
      <c r="C782" s="3" cm="1">
        <f t="array" ref="C782">B782+TIME(alea_int(5,1,Settings!$B$16),0,0)</f>
        <v>46042.583333333336</v>
      </c>
      <c r="D782" s="3" t="str" cm="1">
        <f t="array" ref="D782">choice(Settings!K:K,1,Settings!$B$16)</f>
        <v/>
      </c>
    </row>
    <row r="783" spans="1:4" x14ac:dyDescent="0.25">
      <c r="A783" s="2" t="str" cm="1">
        <f t="array" ref="A783">choice(Professeurs!A:A,1,Settings!$B$16)</f>
        <v>Prof45</v>
      </c>
      <c r="B783" s="3" cm="1">
        <f t="array" ref="B783">alea_date(Settings!$B$11,360,Settings!$B$8+alea_int(4,0,Settings!$B$16),Settings!$B$16)</f>
        <v>46381.375</v>
      </c>
      <c r="C783" s="3" cm="1">
        <f t="array" ref="C783">B783+TIME(alea_int(5,1,Settings!$B$16),0,0)</f>
        <v>46381.541666666664</v>
      </c>
      <c r="D783" s="3" t="str" cm="1">
        <f t="array" ref="D783">choice(Settings!K:K,1,Settings!$B$16)</f>
        <v>vendredi pm</v>
      </c>
    </row>
    <row r="784" spans="1:4" x14ac:dyDescent="0.25">
      <c r="A784" s="2" t="str" cm="1">
        <f t="array" ref="A784">choice(Professeurs!A:A,1,Settings!$B$16)</f>
        <v>Prof23</v>
      </c>
      <c r="B784" s="3" cm="1">
        <f t="array" ref="B784">alea_date(Settings!$B$11,360,Settings!$B$8+alea_int(4,0,Settings!$B$16),Settings!$B$16)</f>
        <v>46376.416666666664</v>
      </c>
      <c r="C784" s="3" cm="1">
        <f t="array" ref="C784">B784+TIME(alea_int(5,1,Settings!$B$16),0,0)</f>
        <v>46376.583333333328</v>
      </c>
      <c r="D784" s="3" t="str" cm="1">
        <f t="array" ref="D784">choice(Settings!K:K,1,Settings!$B$16)</f>
        <v/>
      </c>
    </row>
    <row r="785" spans="1:4" x14ac:dyDescent="0.25">
      <c r="A785" s="2" t="str" cm="1">
        <f t="array" ref="A785">choice(Professeurs!A:A,1,Settings!$B$16)</f>
        <v>Prof7</v>
      </c>
      <c r="B785" s="3" cm="1">
        <f t="array" ref="B785">alea_date(Settings!$B$11,360,Settings!$B$8+alea_int(4,0,Settings!$B$16),Settings!$B$16)</f>
        <v>46147.375</v>
      </c>
      <c r="C785" s="3" cm="1">
        <f t="array" ref="C785">B785+TIME(alea_int(5,1,Settings!$B$16),0,0)</f>
        <v>46147.458333333336</v>
      </c>
      <c r="D785" s="3" t="str" cm="1">
        <f t="array" ref="D785">choice(Settings!K:K,1,Settings!$B$16)</f>
        <v/>
      </c>
    </row>
    <row r="786" spans="1:4" x14ac:dyDescent="0.25">
      <c r="A786" s="2" t="str" cm="1">
        <f t="array" ref="A786">choice(Professeurs!A:A,1,Settings!$B$16)</f>
        <v>Prof22</v>
      </c>
      <c r="B786" s="3" cm="1">
        <f t="array" ref="B786">alea_date(Settings!$B$11,360,Settings!$B$8+alea_int(4,0,Settings!$B$16),Settings!$B$16)</f>
        <v>46358.458333333336</v>
      </c>
      <c r="C786" s="3" cm="1">
        <f t="array" ref="C786">B786+TIME(alea_int(5,1,Settings!$B$16),0,0)</f>
        <v>46358.541666666672</v>
      </c>
      <c r="D786" s="3" t="str" cm="1">
        <f t="array" ref="D786">choice(Settings!K:K,1,Settings!$B$16)</f>
        <v/>
      </c>
    </row>
    <row r="787" spans="1:4" x14ac:dyDescent="0.25">
      <c r="A787" s="2" t="str" cm="1">
        <f t="array" ref="A787">choice(Professeurs!A:A,1,Settings!$B$16)</f>
        <v>Prof36</v>
      </c>
      <c r="B787" s="3" cm="1">
        <f t="array" ref="B787">alea_date(Settings!$B$11,360,Settings!$B$8+alea_int(4,0,Settings!$B$16),Settings!$B$16)</f>
        <v>46180.375</v>
      </c>
      <c r="C787" s="3" cm="1">
        <f t="array" ref="C787">B787+TIME(alea_int(5,1,Settings!$B$16),0,0)</f>
        <v>46180.416666666664</v>
      </c>
      <c r="D787" s="3" t="str" cm="1">
        <f t="array" ref="D787">choice(Settings!K:K,1,Settings!$B$16)</f>
        <v/>
      </c>
    </row>
    <row r="788" spans="1:4" x14ac:dyDescent="0.25">
      <c r="A788" s="2" t="str" cm="1">
        <f t="array" ref="A788">choice(Professeurs!A:A,1,Settings!$B$16)</f>
        <v>Prof45</v>
      </c>
      <c r="B788" s="3" cm="1">
        <f t="array" ref="B788">alea_date(Settings!$B$11,360,Settings!$B$8+alea_int(4,0,Settings!$B$16),Settings!$B$16)</f>
        <v>46343.458333333336</v>
      </c>
      <c r="C788" s="3" cm="1">
        <f t="array" ref="C788">B788+TIME(alea_int(5,1,Settings!$B$16),0,0)</f>
        <v>46343.5</v>
      </c>
      <c r="D788" s="3" t="str" cm="1">
        <f t="array" ref="D788">choice(Settings!K:K,1,Settings!$B$16)</f>
        <v/>
      </c>
    </row>
    <row r="789" spans="1:4" x14ac:dyDescent="0.25">
      <c r="A789" s="2" t="str" cm="1">
        <f t="array" ref="A789">choice(Professeurs!A:A,1,Settings!$B$16)</f>
        <v>Prof2</v>
      </c>
      <c r="B789" s="3" cm="1">
        <f t="array" ref="B789">alea_date(Settings!$B$11,360,Settings!$B$8+alea_int(4,0,Settings!$B$16),Settings!$B$16)</f>
        <v>46277.375</v>
      </c>
      <c r="C789" s="3" cm="1">
        <f t="array" ref="C789">B789+TIME(alea_int(5,1,Settings!$B$16),0,0)</f>
        <v>46277.416666666664</v>
      </c>
      <c r="D789" s="3" t="str" cm="1">
        <f t="array" ref="D789">choice(Settings!K:K,1,Settings!$B$16)</f>
        <v/>
      </c>
    </row>
    <row r="790" spans="1:4" x14ac:dyDescent="0.25">
      <c r="A790" s="2" t="str" cm="1">
        <f t="array" ref="A790">choice(Professeurs!A:A,1,Settings!$B$16)</f>
        <v>Prof46</v>
      </c>
      <c r="B790" s="3" cm="1">
        <f t="array" ref="B790">alea_date(Settings!$B$11,360,Settings!$B$8+alea_int(4,0,Settings!$B$16),Settings!$B$16)</f>
        <v>46171.333333333336</v>
      </c>
      <c r="C790" s="3" cm="1">
        <f t="array" ref="C790">B790+TIME(alea_int(5,1,Settings!$B$16),0,0)</f>
        <v>46171.375</v>
      </c>
      <c r="D790" s="3" t="str" cm="1">
        <f t="array" ref="D790">choice(Settings!K:K,1,Settings!$B$16)</f>
        <v>mardi pm</v>
      </c>
    </row>
    <row r="791" spans="1:4" x14ac:dyDescent="0.25">
      <c r="A791" s="2" t="str" cm="1">
        <f t="array" ref="A791">choice(Professeurs!A:A,1,Settings!$B$16)</f>
        <v>Prof49</v>
      </c>
      <c r="B791" s="3" cm="1">
        <f t="array" ref="B791">alea_date(Settings!$B$11,360,Settings!$B$8+alea_int(4,0,Settings!$B$16),Settings!$B$16)</f>
        <v>46061.333333333336</v>
      </c>
      <c r="C791" s="3" cm="1">
        <f t="array" ref="C791">B791+TIME(alea_int(5,1,Settings!$B$16),0,0)</f>
        <v>46061.541666666672</v>
      </c>
      <c r="D791" s="3" t="str" cm="1">
        <f t="array" ref="D791">choice(Settings!K:K,1,Settings!$B$16)</f>
        <v>vendredi am</v>
      </c>
    </row>
    <row r="792" spans="1:4" x14ac:dyDescent="0.25">
      <c r="A792" s="2" t="str" cm="1">
        <f t="array" ref="A792">choice(Professeurs!A:A,1,Settings!$B$16)</f>
        <v>Prof46</v>
      </c>
      <c r="B792" s="3" cm="1">
        <f t="array" ref="B792">alea_date(Settings!$B$11,360,Settings!$B$8+alea_int(4,0,Settings!$B$16),Settings!$B$16)</f>
        <v>46281.375</v>
      </c>
      <c r="C792" s="3" cm="1">
        <f t="array" ref="C792">B792+TIME(alea_int(5,1,Settings!$B$16),0,0)</f>
        <v>46281.583333333336</v>
      </c>
      <c r="D792" s="3" t="str" cm="1">
        <f t="array" ref="D792">choice(Settings!K:K,1,Settings!$B$16)</f>
        <v/>
      </c>
    </row>
    <row r="793" spans="1:4" x14ac:dyDescent="0.25">
      <c r="A793" s="2" t="str" cm="1">
        <f t="array" ref="A793">choice(Professeurs!A:A,1,Settings!$B$16)</f>
        <v>Prof24</v>
      </c>
      <c r="B793" s="3" cm="1">
        <f t="array" ref="B793">alea_date(Settings!$B$11,360,Settings!$B$8+alea_int(4,0,Settings!$B$16),Settings!$B$16)</f>
        <v>46256.375</v>
      </c>
      <c r="C793" s="3" cm="1">
        <f t="array" ref="C793">B793+TIME(alea_int(5,1,Settings!$B$16),0,0)</f>
        <v>46256.416666666664</v>
      </c>
      <c r="D793" s="3" t="str" cm="1">
        <f t="array" ref="D793">choice(Settings!K:K,1,Settings!$B$16)</f>
        <v/>
      </c>
    </row>
    <row r="794" spans="1:4" x14ac:dyDescent="0.25">
      <c r="A794" s="2" t="str" cm="1">
        <f t="array" ref="A794">choice(Professeurs!A:A,1,Settings!$B$16)</f>
        <v>Prof51</v>
      </c>
      <c r="B794" s="3" cm="1">
        <f t="array" ref="B794">alea_date(Settings!$B$11,360,Settings!$B$8+alea_int(4,0,Settings!$B$16),Settings!$B$16)</f>
        <v>46159.416666666664</v>
      </c>
      <c r="C794" s="3" cm="1">
        <f t="array" ref="C794">B794+TIME(alea_int(5,1,Settings!$B$16),0,0)</f>
        <v>46159.5</v>
      </c>
      <c r="D794" s="3" t="str" cm="1">
        <f t="array" ref="D794">choice(Settings!K:K,1,Settings!$B$16)</f>
        <v>mardi pm</v>
      </c>
    </row>
    <row r="795" spans="1:4" x14ac:dyDescent="0.25">
      <c r="A795" s="2" t="str" cm="1">
        <f t="array" ref="A795">choice(Professeurs!A:A,1,Settings!$B$16)</f>
        <v>Prof41</v>
      </c>
      <c r="B795" s="3" cm="1">
        <f t="array" ref="B795">alea_date(Settings!$B$11,360,Settings!$B$8+alea_int(4,0,Settings!$B$16),Settings!$B$16)</f>
        <v>46235.333333333336</v>
      </c>
      <c r="C795" s="3" cm="1">
        <f t="array" ref="C795">B795+TIME(alea_int(5,1,Settings!$B$16),0,0)</f>
        <v>46235.416666666672</v>
      </c>
      <c r="D795" s="3" t="str" cm="1">
        <f t="array" ref="D795">choice(Settings!K:K,1,Settings!$B$16)</f>
        <v/>
      </c>
    </row>
    <row r="796" spans="1:4" x14ac:dyDescent="0.25">
      <c r="A796" s="2" t="str" cm="1">
        <f t="array" ref="A796">choice(Professeurs!A:A,1,Settings!$B$16)</f>
        <v>Prof15</v>
      </c>
      <c r="B796" s="3" cm="1">
        <f t="array" ref="B796">alea_date(Settings!$B$11,360,Settings!$B$8+alea_int(4,0,Settings!$B$16),Settings!$B$16)</f>
        <v>46219.416666666664</v>
      </c>
      <c r="C796" s="3" cm="1">
        <f t="array" ref="C796">B796+TIME(alea_int(5,1,Settings!$B$16),0,0)</f>
        <v>46219.5</v>
      </c>
      <c r="D796" s="3" t="str" cm="1">
        <f t="array" ref="D796">choice(Settings!K:K,1,Settings!$B$16)</f>
        <v>mardi am</v>
      </c>
    </row>
    <row r="797" spans="1:4" x14ac:dyDescent="0.25">
      <c r="A797" s="2" t="str" cm="1">
        <f t="array" ref="A797">choice(Professeurs!A:A,1,Settings!$B$16)</f>
        <v>Prof53</v>
      </c>
      <c r="B797" s="3" cm="1">
        <f t="array" ref="B797">alea_date(Settings!$B$11,360,Settings!$B$8+alea_int(4,0,Settings!$B$16),Settings!$B$16)</f>
        <v>46256.375</v>
      </c>
      <c r="C797" s="3" cm="1">
        <f t="array" ref="C797">B797+TIME(alea_int(5,1,Settings!$B$16),0,0)</f>
        <v>46256.458333333336</v>
      </c>
      <c r="D797" s="3" t="str" cm="1">
        <f t="array" ref="D797">choice(Settings!K:K,1,Settings!$B$16)</f>
        <v/>
      </c>
    </row>
    <row r="798" spans="1:4" x14ac:dyDescent="0.25">
      <c r="A798" s="2" t="str" cm="1">
        <f t="array" ref="A798">choice(Professeurs!A:A,1,Settings!$B$16)</f>
        <v>Prof29</v>
      </c>
      <c r="B798" s="3" cm="1">
        <f t="array" ref="B798">alea_date(Settings!$B$11,360,Settings!$B$8+alea_int(4,0,Settings!$B$16),Settings!$B$16)</f>
        <v>46149.375</v>
      </c>
      <c r="C798" s="3" cm="1">
        <f t="array" ref="C798">B798+TIME(alea_int(5,1,Settings!$B$16),0,0)</f>
        <v>46149.458333333336</v>
      </c>
      <c r="D798" s="3" t="str" cm="1">
        <f t="array" ref="D798">choice(Settings!K:K,1,Settings!$B$16)</f>
        <v/>
      </c>
    </row>
    <row r="799" spans="1:4" x14ac:dyDescent="0.25">
      <c r="A799" s="2" t="str" cm="1">
        <f t="array" ref="A799">choice(Professeurs!A:A,1,Settings!$B$16)</f>
        <v>Prof20</v>
      </c>
      <c r="B799" s="3" cm="1">
        <f t="array" ref="B799">alea_date(Settings!$B$11,360,Settings!$B$8+alea_int(4,0,Settings!$B$16),Settings!$B$16)</f>
        <v>46336.333333333336</v>
      </c>
      <c r="C799" s="3" cm="1">
        <f t="array" ref="C799">B799+TIME(alea_int(5,1,Settings!$B$16),0,0)</f>
        <v>46336.541666666672</v>
      </c>
      <c r="D799" s="3" t="str" cm="1">
        <f t="array" ref="D799">choice(Settings!K:K,1,Settings!$B$16)</f>
        <v/>
      </c>
    </row>
    <row r="800" spans="1:4" x14ac:dyDescent="0.25">
      <c r="A800" s="2" t="str" cm="1">
        <f t="array" ref="A800">choice(Professeurs!A:A,1,Settings!$B$16)</f>
        <v>Prof8</v>
      </c>
      <c r="B800" s="3" cm="1">
        <f t="array" ref="B800">alea_date(Settings!$B$11,360,Settings!$B$8+alea_int(4,0,Settings!$B$16),Settings!$B$16)</f>
        <v>46235.375</v>
      </c>
      <c r="C800" s="3" cm="1">
        <f t="array" ref="C800">B800+TIME(alea_int(5,1,Settings!$B$16),0,0)</f>
        <v>46235.5</v>
      </c>
      <c r="D800" s="3" t="str" cm="1">
        <f t="array" ref="D800">choice(Settings!K:K,1,Settings!$B$16)</f>
        <v>jeudi am</v>
      </c>
    </row>
    <row r="801" spans="1:4" x14ac:dyDescent="0.25">
      <c r="A801" s="2" t="str" cm="1">
        <f t="array" ref="A801">choice(Professeurs!A:A,1,Settings!$B$16)</f>
        <v>Prof55</v>
      </c>
      <c r="B801" s="3" cm="1">
        <f t="array" ref="B801">alea_date(Settings!$B$11,360,Settings!$B$8+alea_int(4,0,Settings!$B$16),Settings!$B$16)</f>
        <v>46076.375</v>
      </c>
      <c r="C801" s="3" cm="1">
        <f t="array" ref="C801">B801+TIME(alea_int(5,1,Settings!$B$16),0,0)</f>
        <v>46076.583333333336</v>
      </c>
      <c r="D801" s="3" t="str" cm="1">
        <f t="array" ref="D801">choice(Settings!K:K,1,Settings!$B$16)</f>
        <v>mercredi pm</v>
      </c>
    </row>
    <row r="802" spans="1:4" x14ac:dyDescent="0.25">
      <c r="A802" s="2" t="str" cm="1">
        <f t="array" ref="A802">choice(Professeurs!A:A,1,Settings!$B$16)</f>
        <v>Prof10</v>
      </c>
      <c r="B802" s="3" cm="1">
        <f t="array" ref="B802">alea_date(Settings!$B$11,360,Settings!$B$8+alea_int(4,0,Settings!$B$16),Settings!$B$16)</f>
        <v>46376.416666666664</v>
      </c>
      <c r="C802" s="3" cm="1">
        <f t="array" ref="C802">B802+TIME(alea_int(5,1,Settings!$B$16),0,0)</f>
        <v>46376.625</v>
      </c>
      <c r="D802" s="3" t="str" cm="1">
        <f t="array" ref="D802">choice(Settings!K:K,1,Settings!$B$16)</f>
        <v>vendredi am</v>
      </c>
    </row>
    <row r="803" spans="1:4" x14ac:dyDescent="0.25">
      <c r="A803" s="2" t="str" cm="1">
        <f t="array" ref="A803">choice(Professeurs!A:A,1,Settings!$B$16)</f>
        <v>Prof32</v>
      </c>
      <c r="B803" s="3" cm="1">
        <f t="array" ref="B803">alea_date(Settings!$B$11,360,Settings!$B$8+alea_int(4,0,Settings!$B$16),Settings!$B$16)</f>
        <v>46055.375</v>
      </c>
      <c r="C803" s="3" cm="1">
        <f t="array" ref="C803">B803+TIME(alea_int(5,1,Settings!$B$16),0,0)</f>
        <v>46055.541666666664</v>
      </c>
      <c r="D803" s="3" t="str" cm="1">
        <f t="array" ref="D803">choice(Settings!K:K,1,Settings!$B$16)</f>
        <v>mercredi pm</v>
      </c>
    </row>
    <row r="804" spans="1:4" x14ac:dyDescent="0.25">
      <c r="A804" s="2" t="str" cm="1">
        <f t="array" ref="A804">choice(Professeurs!A:A,1,Settings!$B$16)</f>
        <v>Prof22</v>
      </c>
      <c r="B804" s="3" cm="1">
        <f t="array" ref="B804">alea_date(Settings!$B$11,360,Settings!$B$8+alea_int(4,0,Settings!$B$16),Settings!$B$16)</f>
        <v>46208.458333333336</v>
      </c>
      <c r="C804" s="3" cm="1">
        <f t="array" ref="C804">B804+TIME(alea_int(5,1,Settings!$B$16),0,0)</f>
        <v>46208.541666666672</v>
      </c>
      <c r="D804" s="3" t="str" cm="1">
        <f t="array" ref="D804">choice(Settings!K:K,1,Settings!$B$16)</f>
        <v>mardi am</v>
      </c>
    </row>
    <row r="805" spans="1:4" x14ac:dyDescent="0.25">
      <c r="A805" s="2" t="str" cm="1">
        <f t="array" ref="A805">choice(Professeurs!A:A,1,Settings!$B$16)</f>
        <v>Prof25</v>
      </c>
      <c r="B805" s="3" cm="1">
        <f t="array" ref="B805">alea_date(Settings!$B$11,360,Settings!$B$8+alea_int(4,0,Settings!$B$16),Settings!$B$16)</f>
        <v>46180.458333333336</v>
      </c>
      <c r="C805" s="3" cm="1">
        <f t="array" ref="C805">B805+TIME(alea_int(5,1,Settings!$B$16),0,0)</f>
        <v>46180.5</v>
      </c>
      <c r="D805" s="3" t="str" cm="1">
        <f t="array" ref="D805">choice(Settings!K:K,1,Settings!$B$16)</f>
        <v/>
      </c>
    </row>
    <row r="806" spans="1:4" x14ac:dyDescent="0.25">
      <c r="A806" s="2" t="str" cm="1">
        <f t="array" ref="A806">choice(Professeurs!A:A,1,Settings!$B$16)</f>
        <v>Prof54</v>
      </c>
      <c r="B806" s="3" cm="1">
        <f t="array" ref="B806">alea_date(Settings!$B$11,360,Settings!$B$8+alea_int(4,0,Settings!$B$16),Settings!$B$16)</f>
        <v>46195.416666666664</v>
      </c>
      <c r="C806" s="3" cm="1">
        <f t="array" ref="C806">B806+TIME(alea_int(5,1,Settings!$B$16),0,0)</f>
        <v>46195.625</v>
      </c>
      <c r="D806" s="3" t="str" cm="1">
        <f t="array" ref="D806">choice(Settings!K:K,1,Settings!$B$16)</f>
        <v>mercredi pm</v>
      </c>
    </row>
    <row r="807" spans="1:4" x14ac:dyDescent="0.25">
      <c r="A807" s="2" t="str" cm="1">
        <f t="array" ref="A807">choice(Professeurs!A:A,1,Settings!$B$16)</f>
        <v>Prof8</v>
      </c>
      <c r="B807" s="3" cm="1">
        <f t="array" ref="B807">alea_date(Settings!$B$11,360,Settings!$B$8+alea_int(4,0,Settings!$B$16),Settings!$B$16)</f>
        <v>46342.375</v>
      </c>
      <c r="C807" s="3" cm="1">
        <f t="array" ref="C807">B807+TIME(alea_int(5,1,Settings!$B$16),0,0)</f>
        <v>46342.5</v>
      </c>
      <c r="D807" s="3" t="str" cm="1">
        <f t="array" ref="D807">choice(Settings!K:K,1,Settings!$B$16)</f>
        <v/>
      </c>
    </row>
    <row r="808" spans="1:4" x14ac:dyDescent="0.25">
      <c r="A808" s="2" t="str" cm="1">
        <f t="array" ref="A808">choice(Professeurs!A:A,1,Settings!$B$16)</f>
        <v>Prof20</v>
      </c>
      <c r="B808" s="3" cm="1">
        <f t="array" ref="B808">alea_date(Settings!$B$11,360,Settings!$B$8+alea_int(4,0,Settings!$B$16),Settings!$B$16)</f>
        <v>46066.333333333336</v>
      </c>
      <c r="C808" s="3" cm="1">
        <f t="array" ref="C808">B808+TIME(alea_int(5,1,Settings!$B$16),0,0)</f>
        <v>46066.416666666672</v>
      </c>
      <c r="D808" s="3" t="str" cm="1">
        <f t="array" ref="D808">choice(Settings!K:K,1,Settings!$B$16)</f>
        <v>mercredi ap</v>
      </c>
    </row>
    <row r="809" spans="1:4" x14ac:dyDescent="0.25">
      <c r="A809" s="2" t="str" cm="1">
        <f t="array" ref="A809">choice(Professeurs!A:A,1,Settings!$B$16)</f>
        <v>Prof54</v>
      </c>
      <c r="B809" s="3" cm="1">
        <f t="array" ref="B809">alea_date(Settings!$B$11,360,Settings!$B$8+alea_int(4,0,Settings!$B$16),Settings!$B$16)</f>
        <v>46332.333333333336</v>
      </c>
      <c r="C809" s="3" cm="1">
        <f t="array" ref="C809">B809+TIME(alea_int(5,1,Settings!$B$16),0,0)</f>
        <v>46332.375</v>
      </c>
      <c r="D809" s="3" t="str" cm="1">
        <f t="array" ref="D809">choice(Settings!K:K,1,Settings!$B$16)</f>
        <v/>
      </c>
    </row>
    <row r="810" spans="1:4" x14ac:dyDescent="0.25">
      <c r="A810" s="2" t="str" cm="1">
        <f t="array" ref="A810">choice(Professeurs!A:A,1,Settings!$B$16)</f>
        <v>Prof33</v>
      </c>
      <c r="B810" s="3" cm="1">
        <f t="array" ref="B810">alea_date(Settings!$B$11,360,Settings!$B$8+alea_int(4,0,Settings!$B$16),Settings!$B$16)</f>
        <v>46258.375</v>
      </c>
      <c r="C810" s="3" cm="1">
        <f t="array" ref="C810">B810+TIME(alea_int(5,1,Settings!$B$16),0,0)</f>
        <v>46258.458333333336</v>
      </c>
      <c r="D810" s="3" t="str" cm="1">
        <f t="array" ref="D810">choice(Settings!K:K,1,Settings!$B$16)</f>
        <v/>
      </c>
    </row>
    <row r="811" spans="1:4" x14ac:dyDescent="0.25">
      <c r="A811" s="2" t="str" cm="1">
        <f t="array" ref="A811">choice(Professeurs!A:A,1,Settings!$B$16)</f>
        <v>Prof4</v>
      </c>
      <c r="B811" s="3" cm="1">
        <f t="array" ref="B811">alea_date(Settings!$B$11,360,Settings!$B$8+alea_int(4,0,Settings!$B$16),Settings!$B$16)</f>
        <v>46204.375</v>
      </c>
      <c r="C811" s="3" cm="1">
        <f t="array" ref="C811">B811+TIME(alea_int(5,1,Settings!$B$16),0,0)</f>
        <v>46204.5</v>
      </c>
      <c r="D811" s="3" t="str" cm="1">
        <f t="array" ref="D811">choice(Settings!K:K,1,Settings!$B$16)</f>
        <v/>
      </c>
    </row>
    <row r="812" spans="1:4" x14ac:dyDescent="0.25">
      <c r="A812" s="2" t="str" cm="1">
        <f t="array" ref="A812">choice(Professeurs!A:A,1,Settings!$B$16)</f>
        <v>Prof43</v>
      </c>
      <c r="B812" s="3" cm="1">
        <f t="array" ref="B812">alea_date(Settings!$B$11,360,Settings!$B$8+alea_int(4,0,Settings!$B$16),Settings!$B$16)</f>
        <v>46369.375</v>
      </c>
      <c r="C812" s="3" cm="1">
        <f t="array" ref="C812">B812+TIME(alea_int(5,1,Settings!$B$16),0,0)</f>
        <v>46369.583333333336</v>
      </c>
      <c r="D812" s="3" t="str" cm="1">
        <f t="array" ref="D812">choice(Settings!K:K,1,Settings!$B$16)</f>
        <v/>
      </c>
    </row>
    <row r="813" spans="1:4" x14ac:dyDescent="0.25">
      <c r="A813" s="2" t="str" cm="1">
        <f t="array" ref="A813">choice(Professeurs!A:A,1,Settings!$B$16)</f>
        <v>Prof53</v>
      </c>
      <c r="B813" s="3" cm="1">
        <f t="array" ref="B813">alea_date(Settings!$B$11,360,Settings!$B$8+alea_int(4,0,Settings!$B$16),Settings!$B$16)</f>
        <v>46115.375</v>
      </c>
      <c r="C813" s="3" cm="1">
        <f t="array" ref="C813">B813+TIME(alea_int(5,1,Settings!$B$16),0,0)</f>
        <v>46115.416666666664</v>
      </c>
      <c r="D813" s="3" t="str" cm="1">
        <f t="array" ref="D813">choice(Settings!K:K,1,Settings!$B$16)</f>
        <v/>
      </c>
    </row>
    <row r="814" spans="1:4" x14ac:dyDescent="0.25">
      <c r="A814" s="2" t="str" cm="1">
        <f t="array" ref="A814">choice(Professeurs!A:A,1,Settings!$B$16)</f>
        <v>Prof11</v>
      </c>
      <c r="B814" s="3" cm="1">
        <f t="array" ref="B814">alea_date(Settings!$B$11,360,Settings!$B$8+alea_int(4,0,Settings!$B$16),Settings!$B$16)</f>
        <v>46220.375</v>
      </c>
      <c r="C814" s="3" cm="1">
        <f t="array" ref="C814">B814+TIME(alea_int(5,1,Settings!$B$16),0,0)</f>
        <v>46220.583333333336</v>
      </c>
      <c r="D814" s="3" t="str" cm="1">
        <f t="array" ref="D814">choice(Settings!K:K,1,Settings!$B$16)</f>
        <v/>
      </c>
    </row>
    <row r="815" spans="1:4" x14ac:dyDescent="0.25">
      <c r="A815" s="2" t="str" cm="1">
        <f t="array" ref="A815">choice(Professeurs!A:A,1,Settings!$B$16)</f>
        <v>Prof52</v>
      </c>
      <c r="B815" s="3" cm="1">
        <f t="array" ref="B815">alea_date(Settings!$B$11,360,Settings!$B$8+alea_int(4,0,Settings!$B$16),Settings!$B$16)</f>
        <v>46268.416666666664</v>
      </c>
      <c r="C815" s="3" cm="1">
        <f t="array" ref="C815">B815+TIME(alea_int(5,1,Settings!$B$16),0,0)</f>
        <v>46268.583333333328</v>
      </c>
      <c r="D815" s="3" t="str" cm="1">
        <f t="array" ref="D815">choice(Settings!K:K,1,Settings!$B$16)</f>
        <v>mardi pm</v>
      </c>
    </row>
    <row r="816" spans="1:4" x14ac:dyDescent="0.25">
      <c r="A816" s="2" t="str" cm="1">
        <f t="array" ref="A816">choice(Professeurs!A:A,1,Settings!$B$16)</f>
        <v>Prof11</v>
      </c>
      <c r="B816" s="3" cm="1">
        <f t="array" ref="B816">alea_date(Settings!$B$11,360,Settings!$B$8+alea_int(4,0,Settings!$B$16),Settings!$B$16)</f>
        <v>46248.375</v>
      </c>
      <c r="C816" s="3" cm="1">
        <f t="array" ref="C816">B816+TIME(alea_int(5,1,Settings!$B$16),0,0)</f>
        <v>46248.583333333336</v>
      </c>
      <c r="D816" s="3" t="str" cm="1">
        <f t="array" ref="D816">choice(Settings!K:K,1,Settings!$B$16)</f>
        <v>jeudi pm</v>
      </c>
    </row>
    <row r="817" spans="1:4" x14ac:dyDescent="0.25">
      <c r="A817" s="2" t="str" cm="1">
        <f t="array" ref="A817">choice(Professeurs!A:A,1,Settings!$B$16)</f>
        <v>Prof23</v>
      </c>
      <c r="B817" s="3" cm="1">
        <f t="array" ref="B817">alea_date(Settings!$B$11,360,Settings!$B$8+alea_int(4,0,Settings!$B$16),Settings!$B$16)</f>
        <v>46082.333333333336</v>
      </c>
      <c r="C817" s="3" cm="1">
        <f t="array" ref="C817">B817+TIME(alea_int(5,1,Settings!$B$16),0,0)</f>
        <v>46082.458333333336</v>
      </c>
      <c r="D817" s="3" t="str" cm="1">
        <f t="array" ref="D817">choice(Settings!K:K,1,Settings!$B$16)</f>
        <v>vendredi pm</v>
      </c>
    </row>
    <row r="818" spans="1:4" x14ac:dyDescent="0.25">
      <c r="A818" s="2" t="str" cm="1">
        <f t="array" ref="A818">choice(Professeurs!A:A,1,Settings!$B$16)</f>
        <v>Prof13</v>
      </c>
      <c r="B818" s="3" cm="1">
        <f t="array" ref="B818">alea_date(Settings!$B$11,360,Settings!$B$8+alea_int(4,0,Settings!$B$16),Settings!$B$16)</f>
        <v>46254.416666666664</v>
      </c>
      <c r="C818" s="3" cm="1">
        <f t="array" ref="C818">B818+TIME(alea_int(5,1,Settings!$B$16),0,0)</f>
        <v>46254.625</v>
      </c>
      <c r="D818" s="3" t="str" cm="1">
        <f t="array" ref="D818">choice(Settings!K:K,1,Settings!$B$16)</f>
        <v/>
      </c>
    </row>
    <row r="819" spans="1:4" x14ac:dyDescent="0.25">
      <c r="A819" s="2" t="str" cm="1">
        <f t="array" ref="A819">choice(Professeurs!A:A,1,Settings!$B$16)</f>
        <v>Prof19</v>
      </c>
      <c r="B819" s="3" cm="1">
        <f t="array" ref="B819">alea_date(Settings!$B$11,360,Settings!$B$8+alea_int(4,0,Settings!$B$16),Settings!$B$16)</f>
        <v>46143.416666666664</v>
      </c>
      <c r="C819" s="3" cm="1">
        <f t="array" ref="C819">B819+TIME(alea_int(5,1,Settings!$B$16),0,0)</f>
        <v>46143.583333333328</v>
      </c>
      <c r="D819" s="3" t="str" cm="1">
        <f t="array" ref="D819">choice(Settings!K:K,1,Settings!$B$16)</f>
        <v/>
      </c>
    </row>
    <row r="820" spans="1:4" x14ac:dyDescent="0.25">
      <c r="A820" s="2" t="str" cm="1">
        <f t="array" ref="A820">choice(Professeurs!A:A,1,Settings!$B$16)</f>
        <v>Prof25</v>
      </c>
      <c r="B820" s="3" cm="1">
        <f t="array" ref="B820">alea_date(Settings!$B$11,360,Settings!$B$8+alea_int(4,0,Settings!$B$16),Settings!$B$16)</f>
        <v>46307.416666666664</v>
      </c>
      <c r="C820" s="3" cm="1">
        <f t="array" ref="C820">B820+TIME(alea_int(5,1,Settings!$B$16),0,0)</f>
        <v>46307.458333333328</v>
      </c>
      <c r="D820" s="3" t="str" cm="1">
        <f t="array" ref="D820">choice(Settings!K:K,1,Settings!$B$16)</f>
        <v/>
      </c>
    </row>
    <row r="821" spans="1:4" x14ac:dyDescent="0.25">
      <c r="A821" s="2" t="str" cm="1">
        <f t="array" ref="A821">choice(Professeurs!A:A,1,Settings!$B$16)</f>
        <v>Prof15</v>
      </c>
      <c r="B821" s="3" cm="1">
        <f t="array" ref="B821">alea_date(Settings!$B$11,360,Settings!$B$8+alea_int(4,0,Settings!$B$16),Settings!$B$16)</f>
        <v>46357.333333333336</v>
      </c>
      <c r="C821" s="3" cm="1">
        <f t="array" ref="C821">B821+TIME(alea_int(5,1,Settings!$B$16),0,0)</f>
        <v>46357.416666666672</v>
      </c>
      <c r="D821" s="3" t="str" cm="1">
        <f t="array" ref="D821">choice(Settings!K:K,1,Settings!$B$16)</f>
        <v>lundi am</v>
      </c>
    </row>
    <row r="822" spans="1:4" x14ac:dyDescent="0.25">
      <c r="A822" s="2" t="str" cm="1">
        <f t="array" ref="A822">choice(Professeurs!A:A,1,Settings!$B$16)</f>
        <v>Prof46</v>
      </c>
      <c r="B822" s="3" cm="1">
        <f t="array" ref="B822">alea_date(Settings!$B$11,360,Settings!$B$8+alea_int(4,0,Settings!$B$16),Settings!$B$16)</f>
        <v>46028.458333333336</v>
      </c>
      <c r="C822" s="3" cm="1">
        <f t="array" ref="C822">B822+TIME(alea_int(5,1,Settings!$B$16),0,0)</f>
        <v>46028.625</v>
      </c>
      <c r="D822" s="3" t="str" cm="1">
        <f t="array" ref="D822">choice(Settings!K:K,1,Settings!$B$16)</f>
        <v>vendredi pm</v>
      </c>
    </row>
    <row r="823" spans="1:4" x14ac:dyDescent="0.25">
      <c r="A823" s="2" t="str" cm="1">
        <f t="array" ref="A823">choice(Professeurs!A:A,1,Settings!$B$16)</f>
        <v>Prof27</v>
      </c>
      <c r="B823" s="3" cm="1">
        <f t="array" ref="B823">alea_date(Settings!$B$11,360,Settings!$B$8+alea_int(4,0,Settings!$B$16),Settings!$B$16)</f>
        <v>46188.333333333336</v>
      </c>
      <c r="C823" s="3" cm="1">
        <f t="array" ref="C823">B823+TIME(alea_int(5,1,Settings!$B$16),0,0)</f>
        <v>46188.458333333336</v>
      </c>
      <c r="D823" s="3" t="str" cm="1">
        <f t="array" ref="D823">choice(Settings!K:K,1,Settings!$B$16)</f>
        <v/>
      </c>
    </row>
    <row r="824" spans="1:4" x14ac:dyDescent="0.25">
      <c r="A824" s="2" t="str" cm="1">
        <f t="array" ref="A824">choice(Professeurs!A:A,1,Settings!$B$16)</f>
        <v>Prof29</v>
      </c>
      <c r="B824" s="3" cm="1">
        <f t="array" ref="B824">alea_date(Settings!$B$11,360,Settings!$B$8+alea_int(4,0,Settings!$B$16),Settings!$B$16)</f>
        <v>46356.416666666664</v>
      </c>
      <c r="C824" s="3" cm="1">
        <f t="array" ref="C824">B824+TIME(alea_int(5,1,Settings!$B$16),0,0)</f>
        <v>46356.5</v>
      </c>
      <c r="D824" s="3" t="str" cm="1">
        <f t="array" ref="D824">choice(Settings!K:K,1,Settings!$B$16)</f>
        <v>vendredi am</v>
      </c>
    </row>
    <row r="825" spans="1:4" x14ac:dyDescent="0.25">
      <c r="A825" s="2" t="str" cm="1">
        <f t="array" ref="A825">choice(Professeurs!A:A,1,Settings!$B$16)</f>
        <v>Prof2</v>
      </c>
      <c r="B825" s="3" cm="1">
        <f t="array" ref="B825">alea_date(Settings!$B$11,360,Settings!$B$8+alea_int(4,0,Settings!$B$16),Settings!$B$16)</f>
        <v>46198.333333333336</v>
      </c>
      <c r="C825" s="3" cm="1">
        <f t="array" ref="C825">B825+TIME(alea_int(5,1,Settings!$B$16),0,0)</f>
        <v>46198.5</v>
      </c>
      <c r="D825" s="3" t="str" cm="1">
        <f t="array" ref="D825">choice(Settings!K:K,1,Settings!$B$16)</f>
        <v/>
      </c>
    </row>
    <row r="826" spans="1:4" x14ac:dyDescent="0.25">
      <c r="A826" s="2" t="str" cm="1">
        <f t="array" ref="A826">choice(Professeurs!A:A,1,Settings!$B$16)</f>
        <v>Prof30</v>
      </c>
      <c r="B826" s="3" cm="1">
        <f t="array" ref="B826">alea_date(Settings!$B$11,360,Settings!$B$8+alea_int(4,0,Settings!$B$16),Settings!$B$16)</f>
        <v>46178.375</v>
      </c>
      <c r="C826" s="3" cm="1">
        <f t="array" ref="C826">B826+TIME(alea_int(5,1,Settings!$B$16),0,0)</f>
        <v>46178.541666666664</v>
      </c>
      <c r="D826" s="3" t="str" cm="1">
        <f t="array" ref="D826">choice(Settings!K:K,1,Settings!$B$16)</f>
        <v/>
      </c>
    </row>
    <row r="827" spans="1:4" x14ac:dyDescent="0.25">
      <c r="A827" s="2" t="str" cm="1">
        <f t="array" ref="A827">choice(Professeurs!A:A,1,Settings!$B$16)</f>
        <v>Prof7</v>
      </c>
      <c r="B827" s="3" cm="1">
        <f t="array" ref="B827">alea_date(Settings!$B$11,360,Settings!$B$8+alea_int(4,0,Settings!$B$16),Settings!$B$16)</f>
        <v>46282.458333333336</v>
      </c>
      <c r="C827" s="3" cm="1">
        <f t="array" ref="C827">B827+TIME(alea_int(5,1,Settings!$B$16),0,0)</f>
        <v>46282.541666666672</v>
      </c>
      <c r="D827" s="3" t="str" cm="1">
        <f t="array" ref="D827">choice(Settings!K:K,1,Settings!$B$16)</f>
        <v/>
      </c>
    </row>
    <row r="828" spans="1:4" x14ac:dyDescent="0.25">
      <c r="A828" s="2" t="str" cm="1">
        <f t="array" ref="A828">choice(Professeurs!A:A,1,Settings!$B$16)</f>
        <v>Prof13</v>
      </c>
      <c r="B828" s="3" cm="1">
        <f t="array" ref="B828">alea_date(Settings!$B$11,360,Settings!$B$8+alea_int(4,0,Settings!$B$16),Settings!$B$16)</f>
        <v>46378.375</v>
      </c>
      <c r="C828" s="3" cm="1">
        <f t="array" ref="C828">B828+TIME(alea_int(5,1,Settings!$B$16),0,0)</f>
        <v>46378.458333333336</v>
      </c>
      <c r="D828" s="3" t="str" cm="1">
        <f t="array" ref="D828">choice(Settings!K:K,1,Settings!$B$16)</f>
        <v/>
      </c>
    </row>
    <row r="829" spans="1:4" x14ac:dyDescent="0.25">
      <c r="A829" s="2" t="str" cm="1">
        <f t="array" ref="A829">choice(Professeurs!A:A,1,Settings!$B$16)</f>
        <v>Prof22</v>
      </c>
      <c r="B829" s="3" cm="1">
        <f t="array" ref="B829">alea_date(Settings!$B$11,360,Settings!$B$8+alea_int(4,0,Settings!$B$16),Settings!$B$16)</f>
        <v>46285.375</v>
      </c>
      <c r="C829" s="3" cm="1">
        <f t="array" ref="C829">B829+TIME(alea_int(5,1,Settings!$B$16),0,0)</f>
        <v>46285.5</v>
      </c>
      <c r="D829" s="3" t="str" cm="1">
        <f t="array" ref="D829">choice(Settings!K:K,1,Settings!$B$16)</f>
        <v>lundi am</v>
      </c>
    </row>
    <row r="830" spans="1:4" x14ac:dyDescent="0.25">
      <c r="A830" s="2" t="str" cm="1">
        <f t="array" ref="A830">choice(Professeurs!A:A,1,Settings!$B$16)</f>
        <v>Prof12</v>
      </c>
      <c r="B830" s="3" cm="1">
        <f t="array" ref="B830">alea_date(Settings!$B$11,360,Settings!$B$8+alea_int(4,0,Settings!$B$16),Settings!$B$16)</f>
        <v>46037.375</v>
      </c>
      <c r="C830" s="3" cm="1">
        <f t="array" ref="C830">B830+TIME(alea_int(5,1,Settings!$B$16),0,0)</f>
        <v>46037.458333333336</v>
      </c>
      <c r="D830" s="3" t="str" cm="1">
        <f t="array" ref="D830">choice(Settings!K:K,1,Settings!$B$16)</f>
        <v/>
      </c>
    </row>
    <row r="831" spans="1:4" x14ac:dyDescent="0.25">
      <c r="A831" s="2" t="str" cm="1">
        <f t="array" ref="A831">choice(Professeurs!A:A,1,Settings!$B$16)</f>
        <v>Prof40</v>
      </c>
      <c r="B831" s="3" cm="1">
        <f t="array" ref="B831">alea_date(Settings!$B$11,360,Settings!$B$8+alea_int(4,0,Settings!$B$16),Settings!$B$16)</f>
        <v>46147.416666666664</v>
      </c>
      <c r="C831" s="3" cm="1">
        <f t="array" ref="C831">B831+TIME(alea_int(5,1,Settings!$B$16),0,0)</f>
        <v>46147.541666666664</v>
      </c>
      <c r="D831" s="3" t="str" cm="1">
        <f t="array" ref="D831">choice(Settings!K:K,1,Settings!$B$16)</f>
        <v/>
      </c>
    </row>
    <row r="832" spans="1:4" x14ac:dyDescent="0.25">
      <c r="A832" s="2" t="str" cm="1">
        <f t="array" ref="A832">choice(Professeurs!A:A,1,Settings!$B$16)</f>
        <v>Prof20</v>
      </c>
      <c r="B832" s="3" cm="1">
        <f t="array" ref="B832">alea_date(Settings!$B$11,360,Settings!$B$8+alea_int(4,0,Settings!$B$16),Settings!$B$16)</f>
        <v>46335.458333333336</v>
      </c>
      <c r="C832" s="3" cm="1">
        <f t="array" ref="C832">B832+TIME(alea_int(5,1,Settings!$B$16),0,0)</f>
        <v>46335.666666666672</v>
      </c>
      <c r="D832" s="3" t="str" cm="1">
        <f t="array" ref="D832">choice(Settings!K:K,1,Settings!$B$16)</f>
        <v>mardi pm</v>
      </c>
    </row>
    <row r="833" spans="1:4" x14ac:dyDescent="0.25">
      <c r="A833" s="2" t="str" cm="1">
        <f t="array" ref="A833">choice(Professeurs!A:A,1,Settings!$B$16)</f>
        <v>Prof43</v>
      </c>
      <c r="B833" s="3" cm="1">
        <f t="array" ref="B833">alea_date(Settings!$B$11,360,Settings!$B$8+alea_int(4,0,Settings!$B$16),Settings!$B$16)</f>
        <v>46275.416666666664</v>
      </c>
      <c r="C833" s="3" cm="1">
        <f t="array" ref="C833">B833+TIME(alea_int(5,1,Settings!$B$16),0,0)</f>
        <v>46275.583333333328</v>
      </c>
      <c r="D833" s="3" t="str" cm="1">
        <f t="array" ref="D833">choice(Settings!K:K,1,Settings!$B$16)</f>
        <v>mardi am</v>
      </c>
    </row>
    <row r="834" spans="1:4" x14ac:dyDescent="0.25">
      <c r="A834" s="2" t="str" cm="1">
        <f t="array" ref="A834">choice(Professeurs!A:A,1,Settings!$B$16)</f>
        <v>Prof50</v>
      </c>
      <c r="B834" s="3" cm="1">
        <f t="array" ref="B834">alea_date(Settings!$B$11,360,Settings!$B$8+alea_int(4,0,Settings!$B$16),Settings!$B$16)</f>
        <v>46041.333333333336</v>
      </c>
      <c r="C834" s="3" cm="1">
        <f t="array" ref="C834">B834+TIME(alea_int(5,1,Settings!$B$16),0,0)</f>
        <v>46041.541666666672</v>
      </c>
      <c r="D834" s="3" t="str" cm="1">
        <f t="array" ref="D834">choice(Settings!K:K,1,Settings!$B$16)</f>
        <v/>
      </c>
    </row>
    <row r="835" spans="1:4" x14ac:dyDescent="0.25">
      <c r="A835" s="2" t="str" cm="1">
        <f t="array" ref="A835">choice(Professeurs!A:A,1,Settings!$B$16)</f>
        <v>Prof43</v>
      </c>
      <c r="B835" s="3" cm="1">
        <f t="array" ref="B835">alea_date(Settings!$B$11,360,Settings!$B$8+alea_int(4,0,Settings!$B$16),Settings!$B$16)</f>
        <v>46238.458333333336</v>
      </c>
      <c r="C835" s="3" cm="1">
        <f t="array" ref="C835">B835+TIME(alea_int(5,1,Settings!$B$16),0,0)</f>
        <v>46238.625</v>
      </c>
      <c r="D835" s="3" t="str" cm="1">
        <f t="array" ref="D835">choice(Settings!K:K,1,Settings!$B$16)</f>
        <v/>
      </c>
    </row>
    <row r="836" spans="1:4" x14ac:dyDescent="0.25">
      <c r="A836" s="2" t="str" cm="1">
        <f t="array" ref="A836">choice(Professeurs!A:A,1,Settings!$B$16)</f>
        <v>Prof36</v>
      </c>
      <c r="B836" s="3" cm="1">
        <f t="array" ref="B836">alea_date(Settings!$B$11,360,Settings!$B$8+alea_int(4,0,Settings!$B$16),Settings!$B$16)</f>
        <v>46209.333333333336</v>
      </c>
      <c r="C836" s="3" cm="1">
        <f t="array" ref="C836">B836+TIME(alea_int(5,1,Settings!$B$16),0,0)</f>
        <v>46209.416666666672</v>
      </c>
      <c r="D836" s="3" t="str" cm="1">
        <f t="array" ref="D836">choice(Settings!K:K,1,Settings!$B$16)</f>
        <v/>
      </c>
    </row>
    <row r="837" spans="1:4" x14ac:dyDescent="0.25">
      <c r="A837" s="2" t="str" cm="1">
        <f t="array" ref="A837">choice(Professeurs!A:A,1,Settings!$B$16)</f>
        <v>Prof42</v>
      </c>
      <c r="B837" s="3" cm="1">
        <f t="array" ref="B837">alea_date(Settings!$B$11,360,Settings!$B$8+alea_int(4,0,Settings!$B$16),Settings!$B$16)</f>
        <v>46301.333333333336</v>
      </c>
      <c r="C837" s="3" cm="1">
        <f t="array" ref="C837">B837+TIME(alea_int(5,1,Settings!$B$16),0,0)</f>
        <v>46301.375</v>
      </c>
      <c r="D837" s="3" t="str" cm="1">
        <f t="array" ref="D837">choice(Settings!K:K,1,Settings!$B$16)</f>
        <v/>
      </c>
    </row>
    <row r="838" spans="1:4" x14ac:dyDescent="0.25">
      <c r="A838" s="2" t="str" cm="1">
        <f t="array" ref="A838">choice(Professeurs!A:A,1,Settings!$B$16)</f>
        <v>Prof53</v>
      </c>
      <c r="B838" s="3" cm="1">
        <f t="array" ref="B838">alea_date(Settings!$B$11,360,Settings!$B$8+alea_int(4,0,Settings!$B$16),Settings!$B$16)</f>
        <v>46085.375</v>
      </c>
      <c r="C838" s="3" cm="1">
        <f t="array" ref="C838">B838+TIME(alea_int(5,1,Settings!$B$16),0,0)</f>
        <v>46085.5</v>
      </c>
      <c r="D838" s="3" t="str" cm="1">
        <f t="array" ref="D838">choice(Settings!K:K,1,Settings!$B$16)</f>
        <v>mercredi pm</v>
      </c>
    </row>
    <row r="839" spans="1:4" x14ac:dyDescent="0.25">
      <c r="A839" s="2" t="str" cm="1">
        <f t="array" ref="A839">choice(Professeurs!A:A,1,Settings!$B$16)</f>
        <v>Prof29</v>
      </c>
      <c r="B839" s="3" cm="1">
        <f t="array" ref="B839">alea_date(Settings!$B$11,360,Settings!$B$8+alea_int(4,0,Settings!$B$16),Settings!$B$16)</f>
        <v>46234.333333333336</v>
      </c>
      <c r="C839" s="3" cm="1">
        <f t="array" ref="C839">B839+TIME(alea_int(5,1,Settings!$B$16),0,0)</f>
        <v>46234.416666666672</v>
      </c>
      <c r="D839" s="3" t="str" cm="1">
        <f t="array" ref="D839">choice(Settings!K:K,1,Settings!$B$16)</f>
        <v>semaine</v>
      </c>
    </row>
    <row r="840" spans="1:4" x14ac:dyDescent="0.25">
      <c r="A840" s="2" t="str" cm="1">
        <f t="array" ref="A840">choice(Professeurs!A:A,1,Settings!$B$16)</f>
        <v>Prof33</v>
      </c>
      <c r="B840" s="3" cm="1">
        <f t="array" ref="B840">alea_date(Settings!$B$11,360,Settings!$B$8+alea_int(4,0,Settings!$B$16),Settings!$B$16)</f>
        <v>46239.458333333336</v>
      </c>
      <c r="C840" s="3" cm="1">
        <f t="array" ref="C840">B840+TIME(alea_int(5,1,Settings!$B$16),0,0)</f>
        <v>46239.666666666672</v>
      </c>
      <c r="D840" s="3" t="str" cm="1">
        <f t="array" ref="D840">choice(Settings!K:K,1,Settings!$B$16)</f>
        <v/>
      </c>
    </row>
    <row r="841" spans="1:4" x14ac:dyDescent="0.25">
      <c r="A841" s="2" t="str" cm="1">
        <f t="array" ref="A841">choice(Professeurs!A:A,1,Settings!$B$16)</f>
        <v>Prof9</v>
      </c>
      <c r="B841" s="3" cm="1">
        <f t="array" ref="B841">alea_date(Settings!$B$11,360,Settings!$B$8+alea_int(4,0,Settings!$B$16),Settings!$B$16)</f>
        <v>46289.416666666664</v>
      </c>
      <c r="C841" s="3" cm="1">
        <f t="array" ref="C841">B841+TIME(alea_int(5,1,Settings!$B$16),0,0)</f>
        <v>46289.583333333328</v>
      </c>
      <c r="D841" s="3" t="str" cm="1">
        <f t="array" ref="D841">choice(Settings!K:K,1,Settings!$B$16)</f>
        <v>lundi am</v>
      </c>
    </row>
    <row r="842" spans="1:4" x14ac:dyDescent="0.25">
      <c r="A842" s="2" t="str" cm="1">
        <f t="array" ref="A842">choice(Professeurs!A:A,1,Settings!$B$16)</f>
        <v>Prof31</v>
      </c>
      <c r="B842" s="3" cm="1">
        <f t="array" ref="B842">alea_date(Settings!$B$11,360,Settings!$B$8+alea_int(4,0,Settings!$B$16),Settings!$B$16)</f>
        <v>46038.458333333336</v>
      </c>
      <c r="C842" s="3" cm="1">
        <f t="array" ref="C842">B842+TIME(alea_int(5,1,Settings!$B$16),0,0)</f>
        <v>46038.625</v>
      </c>
      <c r="D842" s="3" t="str" cm="1">
        <f t="array" ref="D842">choice(Settings!K:K,1,Settings!$B$16)</f>
        <v/>
      </c>
    </row>
    <row r="843" spans="1:4" x14ac:dyDescent="0.25">
      <c r="A843" s="2" t="str" cm="1">
        <f t="array" ref="A843">choice(Professeurs!A:A,1,Settings!$B$16)</f>
        <v>Prof46</v>
      </c>
      <c r="B843" s="3" cm="1">
        <f t="array" ref="B843">alea_date(Settings!$B$11,360,Settings!$B$8+alea_int(4,0,Settings!$B$16),Settings!$B$16)</f>
        <v>46152.333333333336</v>
      </c>
      <c r="C843" s="3" cm="1">
        <f t="array" ref="C843">B843+TIME(alea_int(5,1,Settings!$B$16),0,0)</f>
        <v>46152.416666666672</v>
      </c>
      <c r="D843" s="3" t="str" cm="1">
        <f t="array" ref="D843">choice(Settings!K:K,1,Settings!$B$16)</f>
        <v>mercredi pm</v>
      </c>
    </row>
    <row r="844" spans="1:4" x14ac:dyDescent="0.25">
      <c r="A844" s="2" t="str" cm="1">
        <f t="array" ref="A844">choice(Professeurs!A:A,1,Settings!$B$16)</f>
        <v>Prof54</v>
      </c>
      <c r="B844" s="3" cm="1">
        <f t="array" ref="B844">alea_date(Settings!$B$11,360,Settings!$B$8+alea_int(4,0,Settings!$B$16),Settings!$B$16)</f>
        <v>46216.416666666664</v>
      </c>
      <c r="C844" s="3" cm="1">
        <f t="array" ref="C844">B844+TIME(alea_int(5,1,Settings!$B$16),0,0)</f>
        <v>46216.541666666664</v>
      </c>
      <c r="D844" s="3" t="str" cm="1">
        <f t="array" ref="D844">choice(Settings!K:K,1,Settings!$B$16)</f>
        <v/>
      </c>
    </row>
    <row r="845" spans="1:4" x14ac:dyDescent="0.25">
      <c r="A845" s="2" t="str" cm="1">
        <f t="array" ref="A845">choice(Professeurs!A:A,1,Settings!$B$16)</f>
        <v>Prof12</v>
      </c>
      <c r="B845" s="3" cm="1">
        <f t="array" ref="B845">alea_date(Settings!$B$11,360,Settings!$B$8+alea_int(4,0,Settings!$B$16),Settings!$B$16)</f>
        <v>46355.416666666664</v>
      </c>
      <c r="C845" s="3" cm="1">
        <f t="array" ref="C845">B845+TIME(alea_int(5,1,Settings!$B$16),0,0)</f>
        <v>46355.541666666664</v>
      </c>
      <c r="D845" s="3" t="str" cm="1">
        <f t="array" ref="D845">choice(Settings!K:K,1,Settings!$B$16)</f>
        <v/>
      </c>
    </row>
    <row r="846" spans="1:4" x14ac:dyDescent="0.25">
      <c r="A846" s="2" t="str" cm="1">
        <f t="array" ref="A846">choice(Professeurs!A:A,1,Settings!$B$16)</f>
        <v>Prof13</v>
      </c>
      <c r="B846" s="3" cm="1">
        <f t="array" ref="B846">alea_date(Settings!$B$11,360,Settings!$B$8+alea_int(4,0,Settings!$B$16),Settings!$B$16)</f>
        <v>46312.333333333336</v>
      </c>
      <c r="C846" s="3" cm="1">
        <f t="array" ref="C846">B846+TIME(alea_int(5,1,Settings!$B$16),0,0)</f>
        <v>46312.5</v>
      </c>
      <c r="D846" s="3" t="str" cm="1">
        <f t="array" ref="D846">choice(Settings!K:K,1,Settings!$B$16)</f>
        <v/>
      </c>
    </row>
    <row r="847" spans="1:4" x14ac:dyDescent="0.25">
      <c r="A847" s="2" t="str" cm="1">
        <f t="array" ref="A847">choice(Professeurs!A:A,1,Settings!$B$16)</f>
        <v>Prof43</v>
      </c>
      <c r="B847" s="3" cm="1">
        <f t="array" ref="B847">alea_date(Settings!$B$11,360,Settings!$B$8+alea_int(4,0,Settings!$B$16),Settings!$B$16)</f>
        <v>46210.458333333336</v>
      </c>
      <c r="C847" s="3" cm="1">
        <f t="array" ref="C847">B847+TIME(alea_int(5,1,Settings!$B$16),0,0)</f>
        <v>46210.5</v>
      </c>
      <c r="D847" s="3" t="str" cm="1">
        <f t="array" ref="D847">choice(Settings!K:K,1,Settings!$B$16)</f>
        <v/>
      </c>
    </row>
    <row r="848" spans="1:4" x14ac:dyDescent="0.25">
      <c r="A848" s="2" t="str" cm="1">
        <f t="array" ref="A848">choice(Professeurs!A:A,1,Settings!$B$16)</f>
        <v>Prof38</v>
      </c>
      <c r="B848" s="3" cm="1">
        <f t="array" ref="B848">alea_date(Settings!$B$11,360,Settings!$B$8+alea_int(4,0,Settings!$B$16),Settings!$B$16)</f>
        <v>46074.416666666664</v>
      </c>
      <c r="C848" s="3" cm="1">
        <f t="array" ref="C848">B848+TIME(alea_int(5,1,Settings!$B$16),0,0)</f>
        <v>46074.625</v>
      </c>
      <c r="D848" s="3" t="str" cm="1">
        <f t="array" ref="D848">choice(Settings!K:K,1,Settings!$B$16)</f>
        <v/>
      </c>
    </row>
    <row r="849" spans="1:4" x14ac:dyDescent="0.25">
      <c r="A849" s="2" t="str" cm="1">
        <f t="array" ref="A849">choice(Professeurs!A:A,1,Settings!$B$16)</f>
        <v>Prof47</v>
      </c>
      <c r="B849" s="3" cm="1">
        <f t="array" ref="B849">alea_date(Settings!$B$11,360,Settings!$B$8+alea_int(4,0,Settings!$B$16),Settings!$B$16)</f>
        <v>46188.375</v>
      </c>
      <c r="C849" s="3" cm="1">
        <f t="array" ref="C849">B849+TIME(alea_int(5,1,Settings!$B$16),0,0)</f>
        <v>46188.583333333336</v>
      </c>
      <c r="D849" s="3" t="str" cm="1">
        <f t="array" ref="D849">choice(Settings!K:K,1,Settings!$B$16)</f>
        <v/>
      </c>
    </row>
    <row r="850" spans="1:4" x14ac:dyDescent="0.25">
      <c r="A850" s="2" t="str" cm="1">
        <f t="array" ref="A850">choice(Professeurs!A:A,1,Settings!$B$16)</f>
        <v>Prof9</v>
      </c>
      <c r="B850" s="3" cm="1">
        <f t="array" ref="B850">alea_date(Settings!$B$11,360,Settings!$B$8+alea_int(4,0,Settings!$B$16),Settings!$B$16)</f>
        <v>46034.458333333336</v>
      </c>
      <c r="C850" s="3" cm="1">
        <f t="array" ref="C850">B850+TIME(alea_int(5,1,Settings!$B$16),0,0)</f>
        <v>46034.5</v>
      </c>
      <c r="D850" s="3" t="str" cm="1">
        <f t="array" ref="D850">choice(Settings!K:K,1,Settings!$B$16)</f>
        <v>mercredi ap</v>
      </c>
    </row>
    <row r="851" spans="1:4" x14ac:dyDescent="0.25">
      <c r="A851" s="2" t="str" cm="1">
        <f t="array" ref="A851">choice(Professeurs!A:A,1,Settings!$B$16)</f>
        <v>Prof5</v>
      </c>
      <c r="B851" s="3" cm="1">
        <f t="array" ref="B851">alea_date(Settings!$B$11,360,Settings!$B$8+alea_int(4,0,Settings!$B$16),Settings!$B$16)</f>
        <v>46285.333333333336</v>
      </c>
      <c r="C851" s="3" cm="1">
        <f t="array" ref="C851">B851+TIME(alea_int(5,1,Settings!$B$16),0,0)</f>
        <v>46285.5</v>
      </c>
      <c r="D851" s="3" t="str" cm="1">
        <f t="array" ref="D851">choice(Settings!K:K,1,Settings!$B$16)</f>
        <v/>
      </c>
    </row>
    <row r="852" spans="1:4" x14ac:dyDescent="0.25">
      <c r="A852" s="2" t="str" cm="1">
        <f t="array" ref="A852">choice(Professeurs!A:A,1,Settings!$B$16)</f>
        <v>Prof16</v>
      </c>
      <c r="B852" s="3" cm="1">
        <f t="array" ref="B852">alea_date(Settings!$B$11,360,Settings!$B$8+alea_int(4,0,Settings!$B$16),Settings!$B$16)</f>
        <v>46182.333333333336</v>
      </c>
      <c r="C852" s="3" cm="1">
        <f t="array" ref="C852">B852+TIME(alea_int(5,1,Settings!$B$16),0,0)</f>
        <v>46182.416666666672</v>
      </c>
      <c r="D852" s="3" t="str" cm="1">
        <f t="array" ref="D852">choice(Settings!K:K,1,Settings!$B$16)</f>
        <v>mardi am</v>
      </c>
    </row>
    <row r="853" spans="1:4" x14ac:dyDescent="0.25">
      <c r="A853" s="2" t="str" cm="1">
        <f t="array" ref="A853">choice(Professeurs!A:A,1,Settings!$B$16)</f>
        <v>Prof8</v>
      </c>
      <c r="B853" s="3" cm="1">
        <f t="array" ref="B853">alea_date(Settings!$B$11,360,Settings!$B$8+alea_int(4,0,Settings!$B$16),Settings!$B$16)</f>
        <v>46365.416666666664</v>
      </c>
      <c r="C853" s="3" cm="1">
        <f t="array" ref="C853">B853+TIME(alea_int(5,1,Settings!$B$16),0,0)</f>
        <v>46365.5</v>
      </c>
      <c r="D853" s="3" t="str" cm="1">
        <f t="array" ref="D853">choice(Settings!K:K,1,Settings!$B$16)</f>
        <v>jeudi am</v>
      </c>
    </row>
    <row r="854" spans="1:4" x14ac:dyDescent="0.25">
      <c r="A854" s="2" t="str" cm="1">
        <f t="array" ref="A854">choice(Professeurs!A:A,1,Settings!$B$16)</f>
        <v>Prof22</v>
      </c>
      <c r="B854" s="3" cm="1">
        <f t="array" ref="B854">alea_date(Settings!$B$11,360,Settings!$B$8+alea_int(4,0,Settings!$B$16),Settings!$B$16)</f>
        <v>46100.375</v>
      </c>
      <c r="C854" s="3" cm="1">
        <f t="array" ref="C854">B854+TIME(alea_int(5,1,Settings!$B$16),0,0)</f>
        <v>46100.541666666664</v>
      </c>
      <c r="D854" s="3" t="str" cm="1">
        <f t="array" ref="D854">choice(Settings!K:K,1,Settings!$B$16)</f>
        <v/>
      </c>
    </row>
    <row r="855" spans="1:4" x14ac:dyDescent="0.25">
      <c r="A855" s="2" t="str" cm="1">
        <f t="array" ref="A855">choice(Professeurs!A:A,1,Settings!$B$16)</f>
        <v>Prof19</v>
      </c>
      <c r="B855" s="3" cm="1">
        <f t="array" ref="B855">alea_date(Settings!$B$11,360,Settings!$B$8+alea_int(4,0,Settings!$B$16),Settings!$B$16)</f>
        <v>46077.333333333336</v>
      </c>
      <c r="C855" s="3" cm="1">
        <f t="array" ref="C855">B855+TIME(alea_int(5,1,Settings!$B$16),0,0)</f>
        <v>46077.5</v>
      </c>
      <c r="D855" s="3" t="str" cm="1">
        <f t="array" ref="D855">choice(Settings!K:K,1,Settings!$B$16)</f>
        <v>mardi pm</v>
      </c>
    </row>
    <row r="856" spans="1:4" x14ac:dyDescent="0.25">
      <c r="A856" s="2" t="str" cm="1">
        <f t="array" ref="A856">choice(Professeurs!A:A,1,Settings!$B$16)</f>
        <v>Prof2</v>
      </c>
      <c r="B856" s="3" cm="1">
        <f t="array" ref="B856">alea_date(Settings!$B$11,360,Settings!$B$8+alea_int(4,0,Settings!$B$16),Settings!$B$16)</f>
        <v>46121.375</v>
      </c>
      <c r="C856" s="3" cm="1">
        <f t="array" ref="C856">B856+TIME(alea_int(5,1,Settings!$B$16),0,0)</f>
        <v>46121.541666666664</v>
      </c>
      <c r="D856" s="3" t="str" cm="1">
        <f t="array" ref="D856">choice(Settings!K:K,1,Settings!$B$16)</f>
        <v>vendredi pm</v>
      </c>
    </row>
    <row r="857" spans="1:4" x14ac:dyDescent="0.25">
      <c r="A857" s="2" t="str" cm="1">
        <f t="array" ref="A857">choice(Professeurs!A:A,1,Settings!$B$16)</f>
        <v>Prof2</v>
      </c>
      <c r="B857" s="3" cm="1">
        <f t="array" ref="B857">alea_date(Settings!$B$11,360,Settings!$B$8+alea_int(4,0,Settings!$B$16),Settings!$B$16)</f>
        <v>46157.458333333336</v>
      </c>
      <c r="C857" s="3" cm="1">
        <f t="array" ref="C857">B857+TIME(alea_int(5,1,Settings!$B$16),0,0)</f>
        <v>46157.583333333336</v>
      </c>
      <c r="D857" s="3" t="str" cm="1">
        <f t="array" ref="D857">choice(Settings!K:K,1,Settings!$B$16)</f>
        <v/>
      </c>
    </row>
    <row r="858" spans="1:4" x14ac:dyDescent="0.25">
      <c r="A858" s="2" t="str" cm="1">
        <f t="array" ref="A858">choice(Professeurs!A:A,1,Settings!$B$16)</f>
        <v>Prof45</v>
      </c>
      <c r="B858" s="3" cm="1">
        <f t="array" ref="B858">alea_date(Settings!$B$11,360,Settings!$B$8+alea_int(4,0,Settings!$B$16),Settings!$B$16)</f>
        <v>46347.416666666664</v>
      </c>
      <c r="C858" s="3" cm="1">
        <f t="array" ref="C858">B858+TIME(alea_int(5,1,Settings!$B$16),0,0)</f>
        <v>46347.5</v>
      </c>
      <c r="D858" s="3" t="str" cm="1">
        <f t="array" ref="D858">choice(Settings!K:K,1,Settings!$B$16)</f>
        <v/>
      </c>
    </row>
    <row r="859" spans="1:4" x14ac:dyDescent="0.25">
      <c r="A859" s="2" t="str" cm="1">
        <f t="array" ref="A859">choice(Professeurs!A:A,1,Settings!$B$16)</f>
        <v>Prof45</v>
      </c>
      <c r="B859" s="3" cm="1">
        <f t="array" ref="B859">alea_date(Settings!$B$11,360,Settings!$B$8+alea_int(4,0,Settings!$B$16),Settings!$B$16)</f>
        <v>46087.375</v>
      </c>
      <c r="C859" s="3" cm="1">
        <f t="array" ref="C859">B859+TIME(alea_int(5,1,Settings!$B$16),0,0)</f>
        <v>46087.5</v>
      </c>
      <c r="D859" s="3" t="str" cm="1">
        <f t="array" ref="D859">choice(Settings!K:K,1,Settings!$B$16)</f>
        <v>lundi am</v>
      </c>
    </row>
    <row r="860" spans="1:4" x14ac:dyDescent="0.25">
      <c r="A860" s="2" t="str" cm="1">
        <f t="array" ref="A860">choice(Professeurs!A:A,1,Settings!$B$16)</f>
        <v>Prof40</v>
      </c>
      <c r="B860" s="3" cm="1">
        <f t="array" ref="B860">alea_date(Settings!$B$11,360,Settings!$B$8+alea_int(4,0,Settings!$B$16),Settings!$B$16)</f>
        <v>46290.333333333336</v>
      </c>
      <c r="C860" s="3" cm="1">
        <f t="array" ref="C860">B860+TIME(alea_int(5,1,Settings!$B$16),0,0)</f>
        <v>46290.375</v>
      </c>
      <c r="D860" s="3" t="str" cm="1">
        <f t="array" ref="D860">choice(Settings!K:K,1,Settings!$B$16)</f>
        <v/>
      </c>
    </row>
    <row r="861" spans="1:4" x14ac:dyDescent="0.25">
      <c r="A861" s="2" t="str" cm="1">
        <f t="array" ref="A861">choice(Professeurs!A:A,1,Settings!$B$16)</f>
        <v>Prof3</v>
      </c>
      <c r="B861" s="3" cm="1">
        <f t="array" ref="B861">alea_date(Settings!$B$11,360,Settings!$B$8+alea_int(4,0,Settings!$B$16),Settings!$B$16)</f>
        <v>46199.416666666664</v>
      </c>
      <c r="C861" s="3" cm="1">
        <f t="array" ref="C861">B861+TIME(alea_int(5,1,Settings!$B$16),0,0)</f>
        <v>46199.458333333328</v>
      </c>
      <c r="D861" s="3" t="str" cm="1">
        <f t="array" ref="D861">choice(Settings!K:K,1,Settings!$B$16)</f>
        <v/>
      </c>
    </row>
    <row r="862" spans="1:4" x14ac:dyDescent="0.25">
      <c r="A862" s="2" t="str" cm="1">
        <f t="array" ref="A862">choice(Professeurs!A:A,1,Settings!$B$16)</f>
        <v>Prof11</v>
      </c>
      <c r="B862" s="3" cm="1">
        <f t="array" ref="B862">alea_date(Settings!$B$11,360,Settings!$B$8+alea_int(4,0,Settings!$B$16),Settings!$B$16)</f>
        <v>46313.458333333336</v>
      </c>
      <c r="C862" s="3" cm="1">
        <f t="array" ref="C862">B862+TIME(alea_int(5,1,Settings!$B$16),0,0)</f>
        <v>46313.5</v>
      </c>
      <c r="D862" s="3" t="str" cm="1">
        <f t="array" ref="D862">choice(Settings!K:K,1,Settings!$B$16)</f>
        <v/>
      </c>
    </row>
    <row r="863" spans="1:4" x14ac:dyDescent="0.25">
      <c r="A863" s="2" t="str" cm="1">
        <f t="array" ref="A863">choice(Professeurs!A:A,1,Settings!$B$16)</f>
        <v>Prof24</v>
      </c>
      <c r="B863" s="3" cm="1">
        <f t="array" ref="B863">alea_date(Settings!$B$11,360,Settings!$B$8+alea_int(4,0,Settings!$B$16),Settings!$B$16)</f>
        <v>46078.375</v>
      </c>
      <c r="C863" s="3" cm="1">
        <f t="array" ref="C863">B863+TIME(alea_int(5,1,Settings!$B$16),0,0)</f>
        <v>46078.5</v>
      </c>
      <c r="D863" s="3" t="str" cm="1">
        <f t="array" ref="D863">choice(Settings!K:K,1,Settings!$B$16)</f>
        <v/>
      </c>
    </row>
    <row r="864" spans="1:4" x14ac:dyDescent="0.25">
      <c r="A864" s="2" t="str" cm="1">
        <f t="array" ref="A864">choice(Professeurs!A:A,1,Settings!$B$16)</f>
        <v>Prof44</v>
      </c>
      <c r="B864" s="3" cm="1">
        <f t="array" ref="B864">alea_date(Settings!$B$11,360,Settings!$B$8+alea_int(4,0,Settings!$B$16),Settings!$B$16)</f>
        <v>46142.458333333336</v>
      </c>
      <c r="C864" s="3" cm="1">
        <f t="array" ref="C864">B864+TIME(alea_int(5,1,Settings!$B$16),0,0)</f>
        <v>46142.583333333336</v>
      </c>
      <c r="D864" s="3" t="str" cm="1">
        <f t="array" ref="D864">choice(Settings!K:K,1,Settings!$B$16)</f>
        <v/>
      </c>
    </row>
    <row r="865" spans="1:4" x14ac:dyDescent="0.25">
      <c r="A865" s="2" t="str" cm="1">
        <f t="array" ref="A865">choice(Professeurs!A:A,1,Settings!$B$16)</f>
        <v>Prof51</v>
      </c>
      <c r="B865" s="3" cm="1">
        <f t="array" ref="B865">alea_date(Settings!$B$11,360,Settings!$B$8+alea_int(4,0,Settings!$B$16),Settings!$B$16)</f>
        <v>46303.333333333336</v>
      </c>
      <c r="C865" s="3" cm="1">
        <f t="array" ref="C865">B865+TIME(alea_int(5,1,Settings!$B$16),0,0)</f>
        <v>46303.458333333336</v>
      </c>
      <c r="D865" s="3" t="str" cm="1">
        <f t="array" ref="D865">choice(Settings!K:K,1,Settings!$B$16)</f>
        <v>mercredi ap</v>
      </c>
    </row>
    <row r="866" spans="1:4" x14ac:dyDescent="0.25">
      <c r="A866" s="2" t="str" cm="1">
        <f t="array" ref="A866">choice(Professeurs!A:A,1,Settings!$B$16)</f>
        <v>Prof18</v>
      </c>
      <c r="B866" s="3" cm="1">
        <f t="array" ref="B866">alea_date(Settings!$B$11,360,Settings!$B$8+alea_int(4,0,Settings!$B$16),Settings!$B$16)</f>
        <v>46274.333333333336</v>
      </c>
      <c r="C866" s="3" cm="1">
        <f t="array" ref="C866">B866+TIME(alea_int(5,1,Settings!$B$16),0,0)</f>
        <v>46274.458333333336</v>
      </c>
      <c r="D866" s="3" t="str" cm="1">
        <f t="array" ref="D866">choice(Settings!K:K,1,Settings!$B$16)</f>
        <v>lundi am</v>
      </c>
    </row>
    <row r="867" spans="1:4" x14ac:dyDescent="0.25">
      <c r="A867" s="2" t="str" cm="1">
        <f t="array" ref="A867">choice(Professeurs!A:A,1,Settings!$B$16)</f>
        <v>Prof12</v>
      </c>
      <c r="B867" s="3" cm="1">
        <f t="array" ref="B867">alea_date(Settings!$B$11,360,Settings!$B$8+alea_int(4,0,Settings!$B$16),Settings!$B$16)</f>
        <v>46125.333333333336</v>
      </c>
      <c r="C867" s="3" cm="1">
        <f t="array" ref="C867">B867+TIME(alea_int(5,1,Settings!$B$16),0,0)</f>
        <v>46125.5</v>
      </c>
      <c r="D867" s="3" t="str" cm="1">
        <f t="array" ref="D867">choice(Settings!K:K,1,Settings!$B$16)</f>
        <v>mardi pm</v>
      </c>
    </row>
    <row r="868" spans="1:4" x14ac:dyDescent="0.25">
      <c r="A868" s="2" t="str" cm="1">
        <f t="array" ref="A868">choice(Professeurs!A:A,1,Settings!$B$16)</f>
        <v>Prof54</v>
      </c>
      <c r="B868" s="3" cm="1">
        <f t="array" ref="B868">alea_date(Settings!$B$11,360,Settings!$B$8+alea_int(4,0,Settings!$B$16),Settings!$B$16)</f>
        <v>46329.375</v>
      </c>
      <c r="C868" s="3" cm="1">
        <f t="array" ref="C868">B868+TIME(alea_int(5,1,Settings!$B$16),0,0)</f>
        <v>46329.541666666664</v>
      </c>
      <c r="D868" s="3" t="str" cm="1">
        <f t="array" ref="D868">choice(Settings!K:K,1,Settings!$B$16)</f>
        <v/>
      </c>
    </row>
    <row r="869" spans="1:4" x14ac:dyDescent="0.25">
      <c r="A869" s="2" t="str" cm="1">
        <f t="array" ref="A869">choice(Professeurs!A:A,1,Settings!$B$16)</f>
        <v>Prof31</v>
      </c>
      <c r="B869" s="3" cm="1">
        <f t="array" ref="B869">alea_date(Settings!$B$11,360,Settings!$B$8+alea_int(4,0,Settings!$B$16),Settings!$B$16)</f>
        <v>46233.333333333336</v>
      </c>
      <c r="C869" s="3" cm="1">
        <f t="array" ref="C869">B869+TIME(alea_int(5,1,Settings!$B$16),0,0)</f>
        <v>46233.541666666672</v>
      </c>
      <c r="D869" s="3" t="str" cm="1">
        <f t="array" ref="D869">choice(Settings!K:K,1,Settings!$B$16)</f>
        <v>jeudi am</v>
      </c>
    </row>
    <row r="870" spans="1:4" x14ac:dyDescent="0.25">
      <c r="A870" s="2" t="str" cm="1">
        <f t="array" ref="A870">choice(Professeurs!A:A,1,Settings!$B$16)</f>
        <v>Prof26</v>
      </c>
      <c r="B870" s="3" cm="1">
        <f t="array" ref="B870">alea_date(Settings!$B$11,360,Settings!$B$8+alea_int(4,0,Settings!$B$16),Settings!$B$16)</f>
        <v>46238.333333333336</v>
      </c>
      <c r="C870" s="3" cm="1">
        <f t="array" ref="C870">B870+TIME(alea_int(5,1,Settings!$B$16),0,0)</f>
        <v>46238.416666666672</v>
      </c>
      <c r="D870" s="3" t="str" cm="1">
        <f t="array" ref="D870">choice(Settings!K:K,1,Settings!$B$16)</f>
        <v/>
      </c>
    </row>
    <row r="871" spans="1:4" x14ac:dyDescent="0.25">
      <c r="A871" s="2" t="str" cm="1">
        <f t="array" ref="A871">choice(Professeurs!A:A,1,Settings!$B$16)</f>
        <v>Prof46</v>
      </c>
      <c r="B871" s="3" cm="1">
        <f t="array" ref="B871">alea_date(Settings!$B$11,360,Settings!$B$8+alea_int(4,0,Settings!$B$16),Settings!$B$16)</f>
        <v>46039.416666666664</v>
      </c>
      <c r="C871" s="3" cm="1">
        <f t="array" ref="C871">B871+TIME(alea_int(5,1,Settings!$B$16),0,0)</f>
        <v>46039.541666666664</v>
      </c>
      <c r="D871" s="3" t="str" cm="1">
        <f t="array" ref="D871">choice(Settings!K:K,1,Settings!$B$16)</f>
        <v/>
      </c>
    </row>
    <row r="872" spans="1:4" x14ac:dyDescent="0.25">
      <c r="A872" s="2" t="str" cm="1">
        <f t="array" ref="A872">choice(Professeurs!A:A,1,Settings!$B$16)</f>
        <v>Prof3</v>
      </c>
      <c r="B872" s="3" cm="1">
        <f t="array" ref="B872">alea_date(Settings!$B$11,360,Settings!$B$8+alea_int(4,0,Settings!$B$16),Settings!$B$16)</f>
        <v>46068.458333333336</v>
      </c>
      <c r="C872" s="3" cm="1">
        <f t="array" ref="C872">B872+TIME(alea_int(5,1,Settings!$B$16),0,0)</f>
        <v>46068.5</v>
      </c>
      <c r="D872" s="3" t="str" cm="1">
        <f t="array" ref="D872">choice(Settings!K:K,1,Settings!$B$16)</f>
        <v>vendredi am</v>
      </c>
    </row>
    <row r="873" spans="1:4" x14ac:dyDescent="0.25">
      <c r="A873" s="2" t="str" cm="1">
        <f t="array" ref="A873">choice(Professeurs!A:A,1,Settings!$B$16)</f>
        <v>Prof4</v>
      </c>
      <c r="B873" s="3" cm="1">
        <f t="array" ref="B873">alea_date(Settings!$B$11,360,Settings!$B$8+alea_int(4,0,Settings!$B$16),Settings!$B$16)</f>
        <v>46349.458333333336</v>
      </c>
      <c r="C873" s="3" cm="1">
        <f t="array" ref="C873">B873+TIME(alea_int(5,1,Settings!$B$16),0,0)</f>
        <v>46349.541666666672</v>
      </c>
      <c r="D873" s="3" t="str" cm="1">
        <f t="array" ref="D873">choice(Settings!K:K,1,Settings!$B$16)</f>
        <v>lundi pm</v>
      </c>
    </row>
    <row r="874" spans="1:4" x14ac:dyDescent="0.25">
      <c r="A874" s="2" t="str" cm="1">
        <f t="array" ref="A874">choice(Professeurs!A:A,1,Settings!$B$16)</f>
        <v>Prof11</v>
      </c>
      <c r="B874" s="3" cm="1">
        <f t="array" ref="B874">alea_date(Settings!$B$11,360,Settings!$B$8+alea_int(4,0,Settings!$B$16),Settings!$B$16)</f>
        <v>46027.375</v>
      </c>
      <c r="C874" s="3" cm="1">
        <f t="array" ref="C874">B874+TIME(alea_int(5,1,Settings!$B$16),0,0)</f>
        <v>46027.5</v>
      </c>
      <c r="D874" s="3" t="str" cm="1">
        <f t="array" ref="D874">choice(Settings!K:K,1,Settings!$B$16)</f>
        <v>semaine</v>
      </c>
    </row>
    <row r="875" spans="1:4" x14ac:dyDescent="0.25">
      <c r="A875" s="2" t="str" cm="1">
        <f t="array" ref="A875">choice(Professeurs!A:A,1,Settings!$B$16)</f>
        <v>Prof38</v>
      </c>
      <c r="B875" s="3" cm="1">
        <f t="array" ref="B875">alea_date(Settings!$B$11,360,Settings!$B$8+alea_int(4,0,Settings!$B$16),Settings!$B$16)</f>
        <v>46277.458333333336</v>
      </c>
      <c r="C875" s="3" cm="1">
        <f t="array" ref="C875">B875+TIME(alea_int(5,1,Settings!$B$16),0,0)</f>
        <v>46277.625</v>
      </c>
      <c r="D875" s="3" t="str" cm="1">
        <f t="array" ref="D875">choice(Settings!K:K,1,Settings!$B$16)</f>
        <v>vendredi pm</v>
      </c>
    </row>
    <row r="876" spans="1:4" x14ac:dyDescent="0.25">
      <c r="A876" s="2" t="str" cm="1">
        <f t="array" ref="A876">choice(Professeurs!A:A,1,Settings!$B$16)</f>
        <v>Prof32</v>
      </c>
      <c r="B876" s="3" cm="1">
        <f t="array" ref="B876">alea_date(Settings!$B$11,360,Settings!$B$8+alea_int(4,0,Settings!$B$16),Settings!$B$16)</f>
        <v>46042.375</v>
      </c>
      <c r="C876" s="3" cm="1">
        <f t="array" ref="C876">B876+TIME(alea_int(5,1,Settings!$B$16),0,0)</f>
        <v>46042.458333333336</v>
      </c>
      <c r="D876" s="3" t="str" cm="1">
        <f t="array" ref="D876">choice(Settings!K:K,1,Settings!$B$16)</f>
        <v>mercredi ap</v>
      </c>
    </row>
    <row r="877" spans="1:4" x14ac:dyDescent="0.25">
      <c r="A877" s="2" t="str" cm="1">
        <f t="array" ref="A877">choice(Professeurs!A:A,1,Settings!$B$16)</f>
        <v>Prof15</v>
      </c>
      <c r="B877" s="3" cm="1">
        <f t="array" ref="B877">alea_date(Settings!$B$11,360,Settings!$B$8+alea_int(4,0,Settings!$B$16),Settings!$B$16)</f>
        <v>46356.333333333336</v>
      </c>
      <c r="C877" s="3" cm="1">
        <f t="array" ref="C877">B877+TIME(alea_int(5,1,Settings!$B$16),0,0)</f>
        <v>46356.375</v>
      </c>
      <c r="D877" s="3" t="str" cm="1">
        <f t="array" ref="D877">choice(Settings!K:K,1,Settings!$B$16)</f>
        <v>jeudi pm</v>
      </c>
    </row>
    <row r="878" spans="1:4" x14ac:dyDescent="0.25">
      <c r="A878" s="2" t="str" cm="1">
        <f t="array" ref="A878">choice(Professeurs!A:A,1,Settings!$B$16)</f>
        <v>Prof4</v>
      </c>
      <c r="B878" s="3" cm="1">
        <f t="array" ref="B878">alea_date(Settings!$B$11,360,Settings!$B$8+alea_int(4,0,Settings!$B$16),Settings!$B$16)</f>
        <v>46029.333333333336</v>
      </c>
      <c r="C878" s="3" cm="1">
        <f t="array" ref="C878">B878+TIME(alea_int(5,1,Settings!$B$16),0,0)</f>
        <v>46029.5</v>
      </c>
      <c r="D878" s="3" t="str" cm="1">
        <f t="array" ref="D878">choice(Settings!K:K,1,Settings!$B$16)</f>
        <v/>
      </c>
    </row>
    <row r="879" spans="1:4" x14ac:dyDescent="0.25">
      <c r="A879" s="2" t="str" cm="1">
        <f t="array" ref="A879">choice(Professeurs!A:A,1,Settings!$B$16)</f>
        <v>Prof1</v>
      </c>
      <c r="B879" s="3" cm="1">
        <f t="array" ref="B879">alea_date(Settings!$B$11,360,Settings!$B$8+alea_int(4,0,Settings!$B$16),Settings!$B$16)</f>
        <v>46023.458333333336</v>
      </c>
      <c r="C879" s="3" cm="1">
        <f t="array" ref="C879">B879+TIME(alea_int(5,1,Settings!$B$16),0,0)</f>
        <v>46023.666666666672</v>
      </c>
      <c r="D879" s="3" t="str" cm="1">
        <f t="array" ref="D879">choice(Settings!K:K,1,Settings!$B$16)</f>
        <v/>
      </c>
    </row>
    <row r="880" spans="1:4" x14ac:dyDescent="0.25">
      <c r="A880" s="2" t="str" cm="1">
        <f t="array" ref="A880">choice(Professeurs!A:A,1,Settings!$B$16)</f>
        <v>Prof46</v>
      </c>
      <c r="B880" s="3" cm="1">
        <f t="array" ref="B880">alea_date(Settings!$B$11,360,Settings!$B$8+alea_int(4,0,Settings!$B$16),Settings!$B$16)</f>
        <v>46216.416666666664</v>
      </c>
      <c r="C880" s="3" cm="1">
        <f t="array" ref="C880">B880+TIME(alea_int(5,1,Settings!$B$16),0,0)</f>
        <v>46216.625</v>
      </c>
      <c r="D880" s="3" t="str" cm="1">
        <f t="array" ref="D880">choice(Settings!K:K,1,Settings!$B$16)</f>
        <v>jeudi am</v>
      </c>
    </row>
    <row r="881" spans="1:4" x14ac:dyDescent="0.25">
      <c r="A881" s="2" t="str" cm="1">
        <f t="array" ref="A881">choice(Professeurs!A:A,1,Settings!$B$16)</f>
        <v>Prof47</v>
      </c>
      <c r="B881" s="3" cm="1">
        <f t="array" ref="B881">alea_date(Settings!$B$11,360,Settings!$B$8+alea_int(4,0,Settings!$B$16),Settings!$B$16)</f>
        <v>46076.333333333336</v>
      </c>
      <c r="C881" s="3" cm="1">
        <f t="array" ref="C881">B881+TIME(alea_int(5,1,Settings!$B$16),0,0)</f>
        <v>46076.375</v>
      </c>
      <c r="D881" s="3" t="str" cm="1">
        <f t="array" ref="D881">choice(Settings!K:K,1,Settings!$B$16)</f>
        <v/>
      </c>
    </row>
    <row r="882" spans="1:4" x14ac:dyDescent="0.25">
      <c r="A882" s="2" t="str" cm="1">
        <f t="array" ref="A882">choice(Professeurs!A:A,1,Settings!$B$16)</f>
        <v>Prof43</v>
      </c>
      <c r="B882" s="3" cm="1">
        <f t="array" ref="B882">alea_date(Settings!$B$11,360,Settings!$B$8+alea_int(4,0,Settings!$B$16),Settings!$B$16)</f>
        <v>46342.333333333336</v>
      </c>
      <c r="C882" s="3" cm="1">
        <f t="array" ref="C882">B882+TIME(alea_int(5,1,Settings!$B$16),0,0)</f>
        <v>46342.5</v>
      </c>
      <c r="D882" s="3" t="str" cm="1">
        <f t="array" ref="D882">choice(Settings!K:K,1,Settings!$B$16)</f>
        <v/>
      </c>
    </row>
    <row r="883" spans="1:4" x14ac:dyDescent="0.25">
      <c r="A883" s="2" t="str" cm="1">
        <f t="array" ref="A883">choice(Professeurs!A:A,1,Settings!$B$16)</f>
        <v>Prof49</v>
      </c>
      <c r="B883" s="3" cm="1">
        <f t="array" ref="B883">alea_date(Settings!$B$11,360,Settings!$B$8+alea_int(4,0,Settings!$B$16),Settings!$B$16)</f>
        <v>46221.333333333336</v>
      </c>
      <c r="C883" s="3" cm="1">
        <f t="array" ref="C883">B883+TIME(alea_int(5,1,Settings!$B$16),0,0)</f>
        <v>46221.416666666672</v>
      </c>
      <c r="D883" s="3" t="str" cm="1">
        <f t="array" ref="D883">choice(Settings!K:K,1,Settings!$B$16)</f>
        <v/>
      </c>
    </row>
    <row r="884" spans="1:4" x14ac:dyDescent="0.25">
      <c r="A884" s="2" t="str" cm="1">
        <f t="array" ref="A884">choice(Professeurs!A:A,1,Settings!$B$16)</f>
        <v>Prof52</v>
      </c>
      <c r="B884" s="3" cm="1">
        <f t="array" ref="B884">alea_date(Settings!$B$11,360,Settings!$B$8+alea_int(4,0,Settings!$B$16),Settings!$B$16)</f>
        <v>46055.458333333336</v>
      </c>
      <c r="C884" s="3" cm="1">
        <f t="array" ref="C884">B884+TIME(alea_int(5,1,Settings!$B$16),0,0)</f>
        <v>46055.5</v>
      </c>
      <c r="D884" s="3" t="str" cm="1">
        <f t="array" ref="D884">choice(Settings!K:K,1,Settings!$B$16)</f>
        <v/>
      </c>
    </row>
    <row r="885" spans="1:4" x14ac:dyDescent="0.25">
      <c r="A885" s="2" t="str" cm="1">
        <f t="array" ref="A885">choice(Professeurs!A:A,1,Settings!$B$16)</f>
        <v>Prof48</v>
      </c>
      <c r="B885" s="3" cm="1">
        <f t="array" ref="B885">alea_date(Settings!$B$11,360,Settings!$B$8+alea_int(4,0,Settings!$B$16),Settings!$B$16)</f>
        <v>46117.375</v>
      </c>
      <c r="C885" s="3" cm="1">
        <f t="array" ref="C885">B885+TIME(alea_int(5,1,Settings!$B$16),0,0)</f>
        <v>46117.458333333336</v>
      </c>
      <c r="D885" s="3" t="str" cm="1">
        <f t="array" ref="D885">choice(Settings!K:K,1,Settings!$B$16)</f>
        <v>vendredi am</v>
      </c>
    </row>
    <row r="886" spans="1:4" x14ac:dyDescent="0.25">
      <c r="A886" s="2" t="str" cm="1">
        <f t="array" ref="A886">choice(Professeurs!A:A,1,Settings!$B$16)</f>
        <v>Prof30</v>
      </c>
      <c r="B886" s="3" cm="1">
        <f t="array" ref="B886">alea_date(Settings!$B$11,360,Settings!$B$8+alea_int(4,0,Settings!$B$16),Settings!$B$16)</f>
        <v>46080.458333333336</v>
      </c>
      <c r="C886" s="3" cm="1">
        <f t="array" ref="C886">B886+TIME(alea_int(5,1,Settings!$B$16),0,0)</f>
        <v>46080.625</v>
      </c>
      <c r="D886" s="3" t="str" cm="1">
        <f t="array" ref="D886">choice(Settings!K:K,1,Settings!$B$16)</f>
        <v/>
      </c>
    </row>
    <row r="887" spans="1:4" x14ac:dyDescent="0.25">
      <c r="A887" s="2" t="str" cm="1">
        <f t="array" ref="A887">choice(Professeurs!A:A,1,Settings!$B$16)</f>
        <v>Prof45</v>
      </c>
      <c r="B887" s="3" cm="1">
        <f t="array" ref="B887">alea_date(Settings!$B$11,360,Settings!$B$8+alea_int(4,0,Settings!$B$16),Settings!$B$16)</f>
        <v>46290.375</v>
      </c>
      <c r="C887" s="3" cm="1">
        <f t="array" ref="C887">B887+TIME(alea_int(5,1,Settings!$B$16),0,0)</f>
        <v>46290.5</v>
      </c>
      <c r="D887" s="3" t="str" cm="1">
        <f t="array" ref="D887">choice(Settings!K:K,1,Settings!$B$16)</f>
        <v/>
      </c>
    </row>
    <row r="888" spans="1:4" x14ac:dyDescent="0.25">
      <c r="A888" s="2" t="str" cm="1">
        <f t="array" ref="A888">choice(Professeurs!A:A,1,Settings!$B$16)</f>
        <v>Prof53</v>
      </c>
      <c r="B888" s="3" cm="1">
        <f t="array" ref="B888">alea_date(Settings!$B$11,360,Settings!$B$8+alea_int(4,0,Settings!$B$16),Settings!$B$16)</f>
        <v>46329.458333333336</v>
      </c>
      <c r="C888" s="3" cm="1">
        <f t="array" ref="C888">B888+TIME(alea_int(5,1,Settings!$B$16),0,0)</f>
        <v>46329.666666666672</v>
      </c>
      <c r="D888" s="3" t="str" cm="1">
        <f t="array" ref="D888">choice(Settings!K:K,1,Settings!$B$16)</f>
        <v>mardi am</v>
      </c>
    </row>
    <row r="889" spans="1:4" x14ac:dyDescent="0.25">
      <c r="A889" s="2" t="str" cm="1">
        <f t="array" ref="A889">choice(Professeurs!A:A,1,Settings!$B$16)</f>
        <v>Prof46</v>
      </c>
      <c r="B889" s="3" cm="1">
        <f t="array" ref="B889">alea_date(Settings!$B$11,360,Settings!$B$8+alea_int(4,0,Settings!$B$16),Settings!$B$16)</f>
        <v>46077.458333333336</v>
      </c>
      <c r="C889" s="3" cm="1">
        <f t="array" ref="C889">B889+TIME(alea_int(5,1,Settings!$B$16),0,0)</f>
        <v>46077.583333333336</v>
      </c>
      <c r="D889" s="3" t="str" cm="1">
        <f t="array" ref="D889">choice(Settings!K:K,1,Settings!$B$16)</f>
        <v>vendredi pm</v>
      </c>
    </row>
    <row r="890" spans="1:4" x14ac:dyDescent="0.25">
      <c r="A890" s="2" t="str" cm="1">
        <f t="array" ref="A890">choice(Professeurs!A:A,1,Settings!$B$16)</f>
        <v>Prof51</v>
      </c>
      <c r="B890" s="3" cm="1">
        <f t="array" ref="B890">alea_date(Settings!$B$11,360,Settings!$B$8+alea_int(4,0,Settings!$B$16),Settings!$B$16)</f>
        <v>46327.375</v>
      </c>
      <c r="C890" s="3" cm="1">
        <f t="array" ref="C890">B890+TIME(alea_int(5,1,Settings!$B$16),0,0)</f>
        <v>46327.458333333336</v>
      </c>
      <c r="D890" s="3" t="str" cm="1">
        <f t="array" ref="D890">choice(Settings!K:K,1,Settings!$B$16)</f>
        <v/>
      </c>
    </row>
    <row r="891" spans="1:4" x14ac:dyDescent="0.25">
      <c r="A891" s="2" t="str" cm="1">
        <f t="array" ref="A891">choice(Professeurs!A:A,1,Settings!$B$16)</f>
        <v>Prof47</v>
      </c>
      <c r="B891" s="3" cm="1">
        <f t="array" ref="B891">alea_date(Settings!$B$11,360,Settings!$B$8+alea_int(4,0,Settings!$B$16),Settings!$B$16)</f>
        <v>46358.375</v>
      </c>
      <c r="C891" s="3" cm="1">
        <f t="array" ref="C891">B891+TIME(alea_int(5,1,Settings!$B$16),0,0)</f>
        <v>46358.458333333336</v>
      </c>
      <c r="D891" s="3" t="str" cm="1">
        <f t="array" ref="D891">choice(Settings!K:K,1,Settings!$B$16)</f>
        <v/>
      </c>
    </row>
    <row r="892" spans="1:4" x14ac:dyDescent="0.25">
      <c r="A892" s="2" t="str" cm="1">
        <f t="array" ref="A892">choice(Professeurs!A:A,1,Settings!$B$16)</f>
        <v>Prof40</v>
      </c>
      <c r="B892" s="3" cm="1">
        <f t="array" ref="B892">alea_date(Settings!$B$11,360,Settings!$B$8+alea_int(4,0,Settings!$B$16),Settings!$B$16)</f>
        <v>46116.375</v>
      </c>
      <c r="C892" s="3" cm="1">
        <f t="array" ref="C892">B892+TIME(alea_int(5,1,Settings!$B$16),0,0)</f>
        <v>46116.583333333336</v>
      </c>
      <c r="D892" s="3" t="str" cm="1">
        <f t="array" ref="D892">choice(Settings!K:K,1,Settings!$B$16)</f>
        <v/>
      </c>
    </row>
    <row r="893" spans="1:4" x14ac:dyDescent="0.25">
      <c r="A893" s="2" t="str" cm="1">
        <f t="array" ref="A893">choice(Professeurs!A:A,1,Settings!$B$16)</f>
        <v>Prof10</v>
      </c>
      <c r="B893" s="3" cm="1">
        <f t="array" ref="B893">alea_date(Settings!$B$11,360,Settings!$B$8+alea_int(4,0,Settings!$B$16),Settings!$B$16)</f>
        <v>46229.375</v>
      </c>
      <c r="C893" s="3" cm="1">
        <f t="array" ref="C893">B893+TIME(alea_int(5,1,Settings!$B$16),0,0)</f>
        <v>46229.416666666664</v>
      </c>
      <c r="D893" s="3" t="str" cm="1">
        <f t="array" ref="D893">choice(Settings!K:K,1,Settings!$B$16)</f>
        <v/>
      </c>
    </row>
    <row r="894" spans="1:4" x14ac:dyDescent="0.25">
      <c r="A894" s="2" t="str" cm="1">
        <f t="array" ref="A894">choice(Professeurs!A:A,1,Settings!$B$16)</f>
        <v>Prof6</v>
      </c>
      <c r="B894" s="3" cm="1">
        <f t="array" ref="B894">alea_date(Settings!$B$11,360,Settings!$B$8+alea_int(4,0,Settings!$B$16),Settings!$B$16)</f>
        <v>46242.333333333336</v>
      </c>
      <c r="C894" s="3" cm="1">
        <f t="array" ref="C894">B894+TIME(alea_int(5,1,Settings!$B$16),0,0)</f>
        <v>46242.416666666672</v>
      </c>
      <c r="D894" s="3" t="str" cm="1">
        <f t="array" ref="D894">choice(Settings!K:K,1,Settings!$B$16)</f>
        <v/>
      </c>
    </row>
    <row r="895" spans="1:4" x14ac:dyDescent="0.25">
      <c r="A895" s="2" t="str" cm="1">
        <f t="array" ref="A895">choice(Professeurs!A:A,1,Settings!$B$16)</f>
        <v>Prof23</v>
      </c>
      <c r="B895" s="3" cm="1">
        <f t="array" ref="B895">alea_date(Settings!$B$11,360,Settings!$B$8+alea_int(4,0,Settings!$B$16),Settings!$B$16)</f>
        <v>46093.333333333336</v>
      </c>
      <c r="C895" s="3" cm="1">
        <f t="array" ref="C895">B895+TIME(alea_int(5,1,Settings!$B$16),0,0)</f>
        <v>46093.541666666672</v>
      </c>
      <c r="D895" s="3" t="str" cm="1">
        <f t="array" ref="D895">choice(Settings!K:K,1,Settings!$B$16)</f>
        <v/>
      </c>
    </row>
    <row r="896" spans="1:4" x14ac:dyDescent="0.25">
      <c r="A896" s="2" t="str" cm="1">
        <f t="array" ref="A896">choice(Professeurs!A:A,1,Settings!$B$16)</f>
        <v>Prof30</v>
      </c>
      <c r="B896" s="3" cm="1">
        <f t="array" ref="B896">alea_date(Settings!$B$11,360,Settings!$B$8+alea_int(4,0,Settings!$B$16),Settings!$B$16)</f>
        <v>46192.333333333336</v>
      </c>
      <c r="C896" s="3" cm="1">
        <f t="array" ref="C896">B896+TIME(alea_int(5,1,Settings!$B$16),0,0)</f>
        <v>46192.375</v>
      </c>
      <c r="D896" s="3" t="str" cm="1">
        <f t="array" ref="D896">choice(Settings!K:K,1,Settings!$B$16)</f>
        <v/>
      </c>
    </row>
    <row r="897" spans="1:4" x14ac:dyDescent="0.25">
      <c r="A897" s="2" t="str" cm="1">
        <f t="array" ref="A897">choice(Professeurs!A:A,1,Settings!$B$16)</f>
        <v>Prof53</v>
      </c>
      <c r="B897" s="3" cm="1">
        <f t="array" ref="B897">alea_date(Settings!$B$11,360,Settings!$B$8+alea_int(4,0,Settings!$B$16),Settings!$B$16)</f>
        <v>46069.416666666664</v>
      </c>
      <c r="C897" s="3" cm="1">
        <f t="array" ref="C897">B897+TIME(alea_int(5,1,Settings!$B$16),0,0)</f>
        <v>46069.583333333328</v>
      </c>
      <c r="D897" s="3" t="str" cm="1">
        <f t="array" ref="D897">choice(Settings!K:K,1,Settings!$B$16)</f>
        <v/>
      </c>
    </row>
    <row r="898" spans="1:4" x14ac:dyDescent="0.25">
      <c r="A898" s="2" t="str" cm="1">
        <f t="array" ref="A898">choice(Professeurs!A:A,1,Settings!$B$16)</f>
        <v>Prof53</v>
      </c>
      <c r="B898" s="3" cm="1">
        <f t="array" ref="B898">alea_date(Settings!$B$11,360,Settings!$B$8+alea_int(4,0,Settings!$B$16),Settings!$B$16)</f>
        <v>46107.375</v>
      </c>
      <c r="C898" s="3" cm="1">
        <f t="array" ref="C898">B898+TIME(alea_int(5,1,Settings!$B$16),0,0)</f>
        <v>46107.458333333336</v>
      </c>
      <c r="D898" s="3" t="str" cm="1">
        <f t="array" ref="D898">choice(Settings!K:K,1,Settings!$B$16)</f>
        <v/>
      </c>
    </row>
    <row r="899" spans="1:4" x14ac:dyDescent="0.25">
      <c r="A899" s="2" t="str" cm="1">
        <f t="array" ref="A899">choice(Professeurs!A:A,1,Settings!$B$16)</f>
        <v>Prof34</v>
      </c>
      <c r="B899" s="3" cm="1">
        <f t="array" ref="B899">alea_date(Settings!$B$11,360,Settings!$B$8+alea_int(4,0,Settings!$B$16),Settings!$B$16)</f>
        <v>46177.375</v>
      </c>
      <c r="C899" s="3" cm="1">
        <f t="array" ref="C899">B899+TIME(alea_int(5,1,Settings!$B$16),0,0)</f>
        <v>46177.5</v>
      </c>
      <c r="D899" s="3" t="str" cm="1">
        <f t="array" ref="D899">choice(Settings!K:K,1,Settings!$B$16)</f>
        <v/>
      </c>
    </row>
    <row r="900" spans="1:4" x14ac:dyDescent="0.25">
      <c r="A900" s="2" t="str" cm="1">
        <f t="array" ref="A900">choice(Professeurs!A:A,1,Settings!$B$16)</f>
        <v>Prof40</v>
      </c>
      <c r="B900" s="3" cm="1">
        <f t="array" ref="B900">alea_date(Settings!$B$11,360,Settings!$B$8+alea_int(4,0,Settings!$B$16),Settings!$B$16)</f>
        <v>46296.375</v>
      </c>
      <c r="C900" s="3" cm="1">
        <f t="array" ref="C900">B900+TIME(alea_int(5,1,Settings!$B$16),0,0)</f>
        <v>46296.5</v>
      </c>
      <c r="D900" s="3" t="str" cm="1">
        <f t="array" ref="D900">choice(Settings!K:K,1,Settings!$B$16)</f>
        <v/>
      </c>
    </row>
    <row r="901" spans="1:4" x14ac:dyDescent="0.25">
      <c r="A901" s="2" t="str" cm="1">
        <f t="array" ref="A901">choice(Professeurs!A:A,1,Settings!$B$16)</f>
        <v>Prof7</v>
      </c>
      <c r="B901" s="3" cm="1">
        <f t="array" ref="B901">alea_date(Settings!$B$11,360,Settings!$B$8+alea_int(4,0,Settings!$B$16),Settings!$B$16)</f>
        <v>46114.375</v>
      </c>
      <c r="C901" s="3" cm="1">
        <f t="array" ref="C901">B901+TIME(alea_int(5,1,Settings!$B$16),0,0)</f>
        <v>46114.458333333336</v>
      </c>
      <c r="D901" s="3" t="str" cm="1">
        <f t="array" ref="D901">choice(Settings!K:K,1,Settings!$B$16)</f>
        <v/>
      </c>
    </row>
    <row r="902" spans="1:4" x14ac:dyDescent="0.25">
      <c r="A902" s="2" t="str" cm="1">
        <f t="array" ref="A902">choice(Professeurs!A:A,1,Settings!$B$16)</f>
        <v>Prof1</v>
      </c>
      <c r="B902" s="3" cm="1">
        <f t="array" ref="B902">alea_date(Settings!$B$11,360,Settings!$B$8+alea_int(4,0,Settings!$B$16),Settings!$B$16)</f>
        <v>46180.458333333336</v>
      </c>
      <c r="C902" s="3" cm="1">
        <f t="array" ref="C902">B902+TIME(alea_int(5,1,Settings!$B$16),0,0)</f>
        <v>46180.625</v>
      </c>
      <c r="D902" s="3" t="str" cm="1">
        <f t="array" ref="D902">choice(Settings!K:K,1,Settings!$B$16)</f>
        <v>vendredi am</v>
      </c>
    </row>
    <row r="903" spans="1:4" x14ac:dyDescent="0.25">
      <c r="A903" s="2" t="str" cm="1">
        <f t="array" ref="A903">choice(Professeurs!A:A,1,Settings!$B$16)</f>
        <v>Prof35</v>
      </c>
      <c r="B903" s="3" cm="1">
        <f t="array" ref="B903">alea_date(Settings!$B$11,360,Settings!$B$8+alea_int(4,0,Settings!$B$16),Settings!$B$16)</f>
        <v>46235.458333333336</v>
      </c>
      <c r="C903" s="3" cm="1">
        <f t="array" ref="C903">B903+TIME(alea_int(5,1,Settings!$B$16),0,0)</f>
        <v>46235.541666666672</v>
      </c>
      <c r="D903" s="3" t="str" cm="1">
        <f t="array" ref="D903">choice(Settings!K:K,1,Settings!$B$16)</f>
        <v>mercredi pm</v>
      </c>
    </row>
    <row r="904" spans="1:4" x14ac:dyDescent="0.25">
      <c r="A904" s="2" t="str" cm="1">
        <f t="array" ref="A904">choice(Professeurs!A:A,1,Settings!$B$16)</f>
        <v>Prof33</v>
      </c>
      <c r="B904" s="3" cm="1">
        <f t="array" ref="B904">alea_date(Settings!$B$11,360,Settings!$B$8+alea_int(4,0,Settings!$B$16),Settings!$B$16)</f>
        <v>46140.416666666664</v>
      </c>
      <c r="C904" s="3" cm="1">
        <f t="array" ref="C904">B904+TIME(alea_int(5,1,Settings!$B$16),0,0)</f>
        <v>46140.583333333328</v>
      </c>
      <c r="D904" s="3" t="str" cm="1">
        <f t="array" ref="D904">choice(Settings!K:K,1,Settings!$B$16)</f>
        <v/>
      </c>
    </row>
    <row r="905" spans="1:4" x14ac:dyDescent="0.25">
      <c r="A905" s="2" t="str" cm="1">
        <f t="array" ref="A905">choice(Professeurs!A:A,1,Settings!$B$16)</f>
        <v>Prof11</v>
      </c>
      <c r="B905" s="3" cm="1">
        <f t="array" ref="B905">alea_date(Settings!$B$11,360,Settings!$B$8+alea_int(4,0,Settings!$B$16),Settings!$B$16)</f>
        <v>46027.375</v>
      </c>
      <c r="C905" s="3" cm="1">
        <f t="array" ref="C905">B905+TIME(alea_int(5,1,Settings!$B$16),0,0)</f>
        <v>46027.541666666664</v>
      </c>
      <c r="D905" s="3" t="str" cm="1">
        <f t="array" ref="D905">choice(Settings!K:K,1,Settings!$B$16)</f>
        <v/>
      </c>
    </row>
    <row r="906" spans="1:4" x14ac:dyDescent="0.25">
      <c r="A906" s="2" t="str" cm="1">
        <f t="array" ref="A906">choice(Professeurs!A:A,1,Settings!$B$16)</f>
        <v>Prof10</v>
      </c>
      <c r="B906" s="3" cm="1">
        <f t="array" ref="B906">alea_date(Settings!$B$11,360,Settings!$B$8+alea_int(4,0,Settings!$B$16),Settings!$B$16)</f>
        <v>46357.333333333336</v>
      </c>
      <c r="C906" s="3" cm="1">
        <f t="array" ref="C906">B906+TIME(alea_int(5,1,Settings!$B$16),0,0)</f>
        <v>46357.416666666672</v>
      </c>
      <c r="D906" s="3" t="str" cm="1">
        <f t="array" ref="D906">choice(Settings!K:K,1,Settings!$B$16)</f>
        <v/>
      </c>
    </row>
    <row r="907" spans="1:4" x14ac:dyDescent="0.25">
      <c r="A907" s="2" t="str" cm="1">
        <f t="array" ref="A907">choice(Professeurs!A:A,1,Settings!$B$16)</f>
        <v>Prof13</v>
      </c>
      <c r="B907" s="3" cm="1">
        <f t="array" ref="B907">alea_date(Settings!$B$11,360,Settings!$B$8+alea_int(4,0,Settings!$B$16),Settings!$B$16)</f>
        <v>46148.416666666664</v>
      </c>
      <c r="C907" s="3" cm="1">
        <f t="array" ref="C907">B907+TIME(alea_int(5,1,Settings!$B$16),0,0)</f>
        <v>46148.5</v>
      </c>
      <c r="D907" s="3" t="str" cm="1">
        <f t="array" ref="D907">choice(Settings!K:K,1,Settings!$B$16)</f>
        <v/>
      </c>
    </row>
    <row r="908" spans="1:4" x14ac:dyDescent="0.25">
      <c r="A908" s="2" t="str" cm="1">
        <f t="array" ref="A908">choice(Professeurs!A:A,1,Settings!$B$16)</f>
        <v>Prof35</v>
      </c>
      <c r="B908" s="3" cm="1">
        <f t="array" ref="B908">alea_date(Settings!$B$11,360,Settings!$B$8+alea_int(4,0,Settings!$B$16),Settings!$B$16)</f>
        <v>46270.375</v>
      </c>
      <c r="C908" s="3" cm="1">
        <f t="array" ref="C908">B908+TIME(alea_int(5,1,Settings!$B$16),0,0)</f>
        <v>46270.416666666664</v>
      </c>
      <c r="D908" s="3" t="str" cm="1">
        <f t="array" ref="D908">choice(Settings!K:K,1,Settings!$B$16)</f>
        <v>lundi pm</v>
      </c>
    </row>
    <row r="909" spans="1:4" x14ac:dyDescent="0.25">
      <c r="A909" s="2" t="str" cm="1">
        <f t="array" ref="A909">choice(Professeurs!A:A,1,Settings!$B$16)</f>
        <v>Prof23</v>
      </c>
      <c r="B909" s="3" cm="1">
        <f t="array" ref="B909">alea_date(Settings!$B$11,360,Settings!$B$8+alea_int(4,0,Settings!$B$16),Settings!$B$16)</f>
        <v>46183.416666666664</v>
      </c>
      <c r="C909" s="3" cm="1">
        <f t="array" ref="C909">B909+TIME(alea_int(5,1,Settings!$B$16),0,0)</f>
        <v>46183.541666666664</v>
      </c>
      <c r="D909" s="3" t="str" cm="1">
        <f t="array" ref="D909">choice(Settings!K:K,1,Settings!$B$16)</f>
        <v/>
      </c>
    </row>
    <row r="910" spans="1:4" x14ac:dyDescent="0.25">
      <c r="A910" s="2" t="str" cm="1">
        <f t="array" ref="A910">choice(Professeurs!A:A,1,Settings!$B$16)</f>
        <v>Prof42</v>
      </c>
      <c r="B910" s="3" cm="1">
        <f t="array" ref="B910">alea_date(Settings!$B$11,360,Settings!$B$8+alea_int(4,0,Settings!$B$16),Settings!$B$16)</f>
        <v>46244.458333333336</v>
      </c>
      <c r="C910" s="3" cm="1">
        <f t="array" ref="C910">B910+TIME(alea_int(5,1,Settings!$B$16),0,0)</f>
        <v>46244.583333333336</v>
      </c>
      <c r="D910" s="3" t="str" cm="1">
        <f t="array" ref="D910">choice(Settings!K:K,1,Settings!$B$16)</f>
        <v>mercredi pm</v>
      </c>
    </row>
    <row r="911" spans="1:4" x14ac:dyDescent="0.25">
      <c r="A911" s="2" t="str" cm="1">
        <f t="array" ref="A911">choice(Professeurs!A:A,1,Settings!$B$16)</f>
        <v>Prof45</v>
      </c>
      <c r="B911" s="3" cm="1">
        <f t="array" ref="B911">alea_date(Settings!$B$11,360,Settings!$B$8+alea_int(4,0,Settings!$B$16),Settings!$B$16)</f>
        <v>46369.458333333336</v>
      </c>
      <c r="C911" s="3" cm="1">
        <f t="array" ref="C911">B911+TIME(alea_int(5,1,Settings!$B$16),0,0)</f>
        <v>46369.625</v>
      </c>
      <c r="D911" s="3" t="str" cm="1">
        <f t="array" ref="D911">choice(Settings!K:K,1,Settings!$B$16)</f>
        <v/>
      </c>
    </row>
    <row r="912" spans="1:4" x14ac:dyDescent="0.25">
      <c r="A912" s="2" t="str" cm="1">
        <f t="array" ref="A912">choice(Professeurs!A:A,1,Settings!$B$16)</f>
        <v>Prof33</v>
      </c>
      <c r="B912" s="3" cm="1">
        <f t="array" ref="B912">alea_date(Settings!$B$11,360,Settings!$B$8+alea_int(4,0,Settings!$B$16),Settings!$B$16)</f>
        <v>46312.458333333336</v>
      </c>
      <c r="C912" s="3" cm="1">
        <f t="array" ref="C912">B912+TIME(alea_int(5,1,Settings!$B$16),0,0)</f>
        <v>46312.583333333336</v>
      </c>
      <c r="D912" s="3" t="str" cm="1">
        <f t="array" ref="D912">choice(Settings!K:K,1,Settings!$B$16)</f>
        <v>mardi pm</v>
      </c>
    </row>
    <row r="913" spans="1:4" x14ac:dyDescent="0.25">
      <c r="A913" s="2" t="str" cm="1">
        <f t="array" ref="A913">choice(Professeurs!A:A,1,Settings!$B$16)</f>
        <v>Prof29</v>
      </c>
      <c r="B913" s="3" cm="1">
        <f t="array" ref="B913">alea_date(Settings!$B$11,360,Settings!$B$8+alea_int(4,0,Settings!$B$16),Settings!$B$16)</f>
        <v>46327.416666666664</v>
      </c>
      <c r="C913" s="3" cm="1">
        <f t="array" ref="C913">B913+TIME(alea_int(5,1,Settings!$B$16),0,0)</f>
        <v>46327.458333333328</v>
      </c>
      <c r="D913" s="3" t="str" cm="1">
        <f t="array" ref="D913">choice(Settings!K:K,1,Settings!$B$16)</f>
        <v>mardi am</v>
      </c>
    </row>
    <row r="914" spans="1:4" x14ac:dyDescent="0.25">
      <c r="A914" s="2" t="str" cm="1">
        <f t="array" ref="A914">choice(Professeurs!A:A,1,Settings!$B$16)</f>
        <v>Prof4</v>
      </c>
      <c r="B914" s="3" cm="1">
        <f t="array" ref="B914">alea_date(Settings!$B$11,360,Settings!$B$8+alea_int(4,0,Settings!$B$16),Settings!$B$16)</f>
        <v>46119.458333333336</v>
      </c>
      <c r="C914" s="3" cm="1">
        <f t="array" ref="C914">B914+TIME(alea_int(5,1,Settings!$B$16),0,0)</f>
        <v>46119.666666666672</v>
      </c>
      <c r="D914" s="3" t="str" cm="1">
        <f t="array" ref="D914">choice(Settings!K:K,1,Settings!$B$16)</f>
        <v/>
      </c>
    </row>
    <row r="915" spans="1:4" x14ac:dyDescent="0.25">
      <c r="A915" s="2" t="str" cm="1">
        <f t="array" ref="A915">choice(Professeurs!A:A,1,Settings!$B$16)</f>
        <v>Prof17</v>
      </c>
      <c r="B915" s="3" cm="1">
        <f t="array" ref="B915">alea_date(Settings!$B$11,360,Settings!$B$8+alea_int(4,0,Settings!$B$16),Settings!$B$16)</f>
        <v>46376.375</v>
      </c>
      <c r="C915" s="3" cm="1">
        <f t="array" ref="C915">B915+TIME(alea_int(5,1,Settings!$B$16),0,0)</f>
        <v>46376.458333333336</v>
      </c>
      <c r="D915" s="3" t="str" cm="1">
        <f t="array" ref="D915">choice(Settings!K:K,1,Settings!$B$16)</f>
        <v/>
      </c>
    </row>
    <row r="916" spans="1:4" x14ac:dyDescent="0.25">
      <c r="A916" s="2" t="str" cm="1">
        <f t="array" ref="A916">choice(Professeurs!A:A,1,Settings!$B$16)</f>
        <v>Prof51</v>
      </c>
      <c r="B916" s="3" cm="1">
        <f t="array" ref="B916">alea_date(Settings!$B$11,360,Settings!$B$8+alea_int(4,0,Settings!$B$16),Settings!$B$16)</f>
        <v>46047.333333333336</v>
      </c>
      <c r="C916" s="3" cm="1">
        <f t="array" ref="C916">B916+TIME(alea_int(5,1,Settings!$B$16),0,0)</f>
        <v>46047.416666666672</v>
      </c>
      <c r="D916" s="3" t="str" cm="1">
        <f t="array" ref="D916">choice(Settings!K:K,1,Settings!$B$16)</f>
        <v/>
      </c>
    </row>
    <row r="917" spans="1:4" x14ac:dyDescent="0.25">
      <c r="A917" s="2" t="str" cm="1">
        <f t="array" ref="A917">choice(Professeurs!A:A,1,Settings!$B$16)</f>
        <v>Prof10</v>
      </c>
      <c r="B917" s="3" cm="1">
        <f t="array" ref="B917">alea_date(Settings!$B$11,360,Settings!$B$8+alea_int(4,0,Settings!$B$16),Settings!$B$16)</f>
        <v>46269.375</v>
      </c>
      <c r="C917" s="3" cm="1">
        <f t="array" ref="C917">B917+TIME(alea_int(5,1,Settings!$B$16),0,0)</f>
        <v>46269.541666666664</v>
      </c>
      <c r="D917" s="3" t="str" cm="1">
        <f t="array" ref="D917">choice(Settings!K:K,1,Settings!$B$16)</f>
        <v>semaine</v>
      </c>
    </row>
    <row r="918" spans="1:4" x14ac:dyDescent="0.25">
      <c r="A918" s="2" t="str" cm="1">
        <f t="array" ref="A918">choice(Professeurs!A:A,1,Settings!$B$16)</f>
        <v>Prof55</v>
      </c>
      <c r="B918" s="3" cm="1">
        <f t="array" ref="B918">alea_date(Settings!$B$11,360,Settings!$B$8+alea_int(4,0,Settings!$B$16),Settings!$B$16)</f>
        <v>46340.375</v>
      </c>
      <c r="C918" s="3" cm="1">
        <f t="array" ref="C918">B918+TIME(alea_int(5,1,Settings!$B$16),0,0)</f>
        <v>46340.458333333336</v>
      </c>
      <c r="D918" s="3" t="str" cm="1">
        <f t="array" ref="D918">choice(Settings!K:K,1,Settings!$B$16)</f>
        <v/>
      </c>
    </row>
    <row r="919" spans="1:4" x14ac:dyDescent="0.25">
      <c r="A919" s="2" t="str" cm="1">
        <f t="array" ref="A919">choice(Professeurs!A:A,1,Settings!$B$16)</f>
        <v>Prof44</v>
      </c>
      <c r="B919" s="3" cm="1">
        <f t="array" ref="B919">alea_date(Settings!$B$11,360,Settings!$B$8+alea_int(4,0,Settings!$B$16),Settings!$B$16)</f>
        <v>46145.458333333336</v>
      </c>
      <c r="C919" s="3" cm="1">
        <f t="array" ref="C919">B919+TIME(alea_int(5,1,Settings!$B$16),0,0)</f>
        <v>46145.625</v>
      </c>
      <c r="D919" s="3" t="str" cm="1">
        <f t="array" ref="D919">choice(Settings!K:K,1,Settings!$B$16)</f>
        <v/>
      </c>
    </row>
    <row r="920" spans="1:4" x14ac:dyDescent="0.25">
      <c r="A920" s="2" t="str" cm="1">
        <f t="array" ref="A920">choice(Professeurs!A:A,1,Settings!$B$16)</f>
        <v>Prof42</v>
      </c>
      <c r="B920" s="3" cm="1">
        <f t="array" ref="B920">alea_date(Settings!$B$11,360,Settings!$B$8+alea_int(4,0,Settings!$B$16),Settings!$B$16)</f>
        <v>46080.333333333336</v>
      </c>
      <c r="C920" s="3" cm="1">
        <f t="array" ref="C920">B920+TIME(alea_int(5,1,Settings!$B$16),0,0)</f>
        <v>46080.541666666672</v>
      </c>
      <c r="D920" s="3" t="str" cm="1">
        <f t="array" ref="D920">choice(Settings!K:K,1,Settings!$B$16)</f>
        <v/>
      </c>
    </row>
    <row r="921" spans="1:4" x14ac:dyDescent="0.25">
      <c r="A921" s="2" t="str" cm="1">
        <f t="array" ref="A921">choice(Professeurs!A:A,1,Settings!$B$16)</f>
        <v>Prof48</v>
      </c>
      <c r="B921" s="3" cm="1">
        <f t="array" ref="B921">alea_date(Settings!$B$11,360,Settings!$B$8+alea_int(4,0,Settings!$B$16),Settings!$B$16)</f>
        <v>46262.416666666664</v>
      </c>
      <c r="C921" s="3" cm="1">
        <f t="array" ref="C921">B921+TIME(alea_int(5,1,Settings!$B$16),0,0)</f>
        <v>46262.583333333328</v>
      </c>
      <c r="D921" s="3" t="str" cm="1">
        <f t="array" ref="D921">choice(Settings!K:K,1,Settings!$B$16)</f>
        <v/>
      </c>
    </row>
    <row r="922" spans="1:4" x14ac:dyDescent="0.25">
      <c r="A922" s="2" t="str" cm="1">
        <f t="array" ref="A922">choice(Professeurs!A:A,1,Settings!$B$16)</f>
        <v>Prof42</v>
      </c>
      <c r="B922" s="3" cm="1">
        <f t="array" ref="B922">alea_date(Settings!$B$11,360,Settings!$B$8+alea_int(4,0,Settings!$B$16),Settings!$B$16)</f>
        <v>46113.416666666664</v>
      </c>
      <c r="C922" s="3" cm="1">
        <f t="array" ref="C922">B922+TIME(alea_int(5,1,Settings!$B$16),0,0)</f>
        <v>46113.458333333328</v>
      </c>
      <c r="D922" s="3" t="str" cm="1">
        <f t="array" ref="D922">choice(Settings!K:K,1,Settings!$B$16)</f>
        <v/>
      </c>
    </row>
    <row r="923" spans="1:4" x14ac:dyDescent="0.25">
      <c r="A923" s="2" t="str" cm="1">
        <f t="array" ref="A923">choice(Professeurs!A:A,1,Settings!$B$16)</f>
        <v>Prof38</v>
      </c>
      <c r="B923" s="3" cm="1">
        <f t="array" ref="B923">alea_date(Settings!$B$11,360,Settings!$B$8+alea_int(4,0,Settings!$B$16),Settings!$B$16)</f>
        <v>46058.333333333336</v>
      </c>
      <c r="C923" s="3" cm="1">
        <f t="array" ref="C923">B923+TIME(alea_int(5,1,Settings!$B$16),0,0)</f>
        <v>46058.416666666672</v>
      </c>
      <c r="D923" s="3" t="str" cm="1">
        <f t="array" ref="D923">choice(Settings!K:K,1,Settings!$B$16)</f>
        <v>mardi am</v>
      </c>
    </row>
    <row r="924" spans="1:4" x14ac:dyDescent="0.25">
      <c r="A924" s="2" t="str" cm="1">
        <f t="array" ref="A924">choice(Professeurs!A:A,1,Settings!$B$16)</f>
        <v>Prof30</v>
      </c>
      <c r="B924" s="3" cm="1">
        <f t="array" ref="B924">alea_date(Settings!$B$11,360,Settings!$B$8+alea_int(4,0,Settings!$B$16),Settings!$B$16)</f>
        <v>46133.458333333336</v>
      </c>
      <c r="C924" s="3" cm="1">
        <f t="array" ref="C924">B924+TIME(alea_int(5,1,Settings!$B$16),0,0)</f>
        <v>46133.625</v>
      </c>
      <c r="D924" s="3" t="str" cm="1">
        <f t="array" ref="D924">choice(Settings!K:K,1,Settings!$B$16)</f>
        <v/>
      </c>
    </row>
    <row r="925" spans="1:4" x14ac:dyDescent="0.25">
      <c r="A925" s="2" t="str" cm="1">
        <f t="array" ref="A925">choice(Professeurs!A:A,1,Settings!$B$16)</f>
        <v>Prof10</v>
      </c>
      <c r="B925" s="3" cm="1">
        <f t="array" ref="B925">alea_date(Settings!$B$11,360,Settings!$B$8+alea_int(4,0,Settings!$B$16),Settings!$B$16)</f>
        <v>46234.375</v>
      </c>
      <c r="C925" s="3" cm="1">
        <f t="array" ref="C925">B925+TIME(alea_int(5,1,Settings!$B$16),0,0)</f>
        <v>46234.416666666664</v>
      </c>
      <c r="D925" s="3" t="str" cm="1">
        <f t="array" ref="D925">choice(Settings!K:K,1,Settings!$B$16)</f>
        <v/>
      </c>
    </row>
    <row r="926" spans="1:4" x14ac:dyDescent="0.25">
      <c r="A926" s="2" t="str" cm="1">
        <f t="array" ref="A926">choice(Professeurs!A:A,1,Settings!$B$16)</f>
        <v>Prof12</v>
      </c>
      <c r="B926" s="3" cm="1">
        <f t="array" ref="B926">alea_date(Settings!$B$11,360,Settings!$B$8+alea_int(4,0,Settings!$B$16),Settings!$B$16)</f>
        <v>46047.416666666664</v>
      </c>
      <c r="C926" s="3" cm="1">
        <f t="array" ref="C926">B926+TIME(alea_int(5,1,Settings!$B$16),0,0)</f>
        <v>46047.541666666664</v>
      </c>
      <c r="D926" s="3" t="str" cm="1">
        <f t="array" ref="D926">choice(Settings!K:K,1,Settings!$B$16)</f>
        <v>semaine</v>
      </c>
    </row>
    <row r="927" spans="1:4" x14ac:dyDescent="0.25">
      <c r="A927" s="2" t="str" cm="1">
        <f t="array" ref="A927">choice(Professeurs!A:A,1,Settings!$B$16)</f>
        <v>Prof44</v>
      </c>
      <c r="B927" s="3" cm="1">
        <f t="array" ref="B927">alea_date(Settings!$B$11,360,Settings!$B$8+alea_int(4,0,Settings!$B$16),Settings!$B$16)</f>
        <v>46305.375</v>
      </c>
      <c r="C927" s="3" cm="1">
        <f t="array" ref="C927">B927+TIME(alea_int(5,1,Settings!$B$16),0,0)</f>
        <v>46305.5</v>
      </c>
      <c r="D927" s="3" t="str" cm="1">
        <f t="array" ref="D927">choice(Settings!K:K,1,Settings!$B$16)</f>
        <v/>
      </c>
    </row>
    <row r="928" spans="1:4" x14ac:dyDescent="0.25">
      <c r="A928" s="2" t="str" cm="1">
        <f t="array" ref="A928">choice(Professeurs!A:A,1,Settings!$B$16)</f>
        <v>Prof32</v>
      </c>
      <c r="B928" s="3" cm="1">
        <f t="array" ref="B928">alea_date(Settings!$B$11,360,Settings!$B$8+alea_int(4,0,Settings!$B$16),Settings!$B$16)</f>
        <v>46049.458333333336</v>
      </c>
      <c r="C928" s="3" cm="1">
        <f t="array" ref="C928">B928+TIME(alea_int(5,1,Settings!$B$16),0,0)</f>
        <v>46049.583333333336</v>
      </c>
      <c r="D928" s="3" t="str" cm="1">
        <f t="array" ref="D928">choice(Settings!K:K,1,Settings!$B$16)</f>
        <v/>
      </c>
    </row>
    <row r="929" spans="1:4" x14ac:dyDescent="0.25">
      <c r="A929" s="2" t="str" cm="1">
        <f t="array" ref="A929">choice(Professeurs!A:A,1,Settings!$B$16)</f>
        <v>Prof42</v>
      </c>
      <c r="B929" s="3" cm="1">
        <f t="array" ref="B929">alea_date(Settings!$B$11,360,Settings!$B$8+alea_int(4,0,Settings!$B$16),Settings!$B$16)</f>
        <v>46035.333333333336</v>
      </c>
      <c r="C929" s="3" cm="1">
        <f t="array" ref="C929">B929+TIME(alea_int(5,1,Settings!$B$16),0,0)</f>
        <v>46035.416666666672</v>
      </c>
      <c r="D929" s="3" t="str" cm="1">
        <f t="array" ref="D929">choice(Settings!K:K,1,Settings!$B$16)</f>
        <v/>
      </c>
    </row>
    <row r="930" spans="1:4" x14ac:dyDescent="0.25">
      <c r="A930" s="2" t="str" cm="1">
        <f t="array" ref="A930">choice(Professeurs!A:A,1,Settings!$B$16)</f>
        <v>Prof45</v>
      </c>
      <c r="B930" s="3" cm="1">
        <f t="array" ref="B930">alea_date(Settings!$B$11,360,Settings!$B$8+alea_int(4,0,Settings!$B$16),Settings!$B$16)</f>
        <v>46302.416666666664</v>
      </c>
      <c r="C930" s="3" cm="1">
        <f t="array" ref="C930">B930+TIME(alea_int(5,1,Settings!$B$16),0,0)</f>
        <v>46302.625</v>
      </c>
      <c r="D930" s="3" t="str" cm="1">
        <f t="array" ref="D930">choice(Settings!K:K,1,Settings!$B$16)</f>
        <v/>
      </c>
    </row>
    <row r="931" spans="1:4" x14ac:dyDescent="0.25">
      <c r="A931" s="2" t="str" cm="1">
        <f t="array" ref="A931">choice(Professeurs!A:A,1,Settings!$B$16)</f>
        <v>Prof45</v>
      </c>
      <c r="B931" s="3" cm="1">
        <f t="array" ref="B931">alea_date(Settings!$B$11,360,Settings!$B$8+alea_int(4,0,Settings!$B$16),Settings!$B$16)</f>
        <v>46350.333333333336</v>
      </c>
      <c r="C931" s="3" cm="1">
        <f t="array" ref="C931">B931+TIME(alea_int(5,1,Settings!$B$16),0,0)</f>
        <v>46350.541666666672</v>
      </c>
      <c r="D931" s="3" t="str" cm="1">
        <f t="array" ref="D931">choice(Settings!K:K,1,Settings!$B$16)</f>
        <v>semaine</v>
      </c>
    </row>
    <row r="932" spans="1:4" x14ac:dyDescent="0.25">
      <c r="A932" s="2" t="str" cm="1">
        <f t="array" ref="A932">choice(Professeurs!A:A,1,Settings!$B$16)</f>
        <v>Prof18</v>
      </c>
      <c r="B932" s="3" cm="1">
        <f t="array" ref="B932">alea_date(Settings!$B$11,360,Settings!$B$8+alea_int(4,0,Settings!$B$16),Settings!$B$16)</f>
        <v>46088.333333333336</v>
      </c>
      <c r="C932" s="3" cm="1">
        <f t="array" ref="C932">B932+TIME(alea_int(5,1,Settings!$B$16),0,0)</f>
        <v>46088.5</v>
      </c>
      <c r="D932" s="3" t="str" cm="1">
        <f t="array" ref="D932">choice(Settings!K:K,1,Settings!$B$16)</f>
        <v>mercredi ap</v>
      </c>
    </row>
    <row r="933" spans="1:4" x14ac:dyDescent="0.25">
      <c r="A933" s="2" t="str" cm="1">
        <f t="array" ref="A933">choice(Professeurs!A:A,1,Settings!$B$16)</f>
        <v>Prof46</v>
      </c>
      <c r="B933" s="3" cm="1">
        <f t="array" ref="B933">alea_date(Settings!$B$11,360,Settings!$B$8+alea_int(4,0,Settings!$B$16),Settings!$B$16)</f>
        <v>46178.333333333336</v>
      </c>
      <c r="C933" s="3" cm="1">
        <f t="array" ref="C933">B933+TIME(alea_int(5,1,Settings!$B$16),0,0)</f>
        <v>46178.458333333336</v>
      </c>
      <c r="D933" s="3" t="str" cm="1">
        <f t="array" ref="D933">choice(Settings!K:K,1,Settings!$B$16)</f>
        <v>jeudi pm</v>
      </c>
    </row>
    <row r="934" spans="1:4" x14ac:dyDescent="0.25">
      <c r="A934" s="2" t="str" cm="1">
        <f t="array" ref="A934">choice(Professeurs!A:A,1,Settings!$B$16)</f>
        <v>Prof33</v>
      </c>
      <c r="B934" s="3" cm="1">
        <f t="array" ref="B934">alea_date(Settings!$B$11,360,Settings!$B$8+alea_int(4,0,Settings!$B$16),Settings!$B$16)</f>
        <v>46125.375</v>
      </c>
      <c r="C934" s="3" cm="1">
        <f t="array" ref="C934">B934+TIME(alea_int(5,1,Settings!$B$16),0,0)</f>
        <v>46125.416666666664</v>
      </c>
      <c r="D934" s="3" t="str" cm="1">
        <f t="array" ref="D934">choice(Settings!K:K,1,Settings!$B$16)</f>
        <v/>
      </c>
    </row>
    <row r="935" spans="1:4" x14ac:dyDescent="0.25">
      <c r="A935" s="2" t="str" cm="1">
        <f t="array" ref="A935">choice(Professeurs!A:A,1,Settings!$B$16)</f>
        <v>Prof44</v>
      </c>
      <c r="B935" s="3" cm="1">
        <f t="array" ref="B935">alea_date(Settings!$B$11,360,Settings!$B$8+alea_int(4,0,Settings!$B$16),Settings!$B$16)</f>
        <v>46335.458333333336</v>
      </c>
      <c r="C935" s="3" cm="1">
        <f t="array" ref="C935">B935+TIME(alea_int(5,1,Settings!$B$16),0,0)</f>
        <v>46335.666666666672</v>
      </c>
      <c r="D935" s="3" t="str" cm="1">
        <f t="array" ref="D935">choice(Settings!K:K,1,Settings!$B$16)</f>
        <v>lundi am</v>
      </c>
    </row>
    <row r="936" spans="1:4" x14ac:dyDescent="0.25">
      <c r="A936" s="2" t="str" cm="1">
        <f t="array" ref="A936">choice(Professeurs!A:A,1,Settings!$B$16)</f>
        <v>Prof22</v>
      </c>
      <c r="B936" s="3" cm="1">
        <f t="array" ref="B936">alea_date(Settings!$B$11,360,Settings!$B$8+alea_int(4,0,Settings!$B$16),Settings!$B$16)</f>
        <v>46215.375</v>
      </c>
      <c r="C936" s="3" cm="1">
        <f t="array" ref="C936">B936+TIME(alea_int(5,1,Settings!$B$16),0,0)</f>
        <v>46215.416666666664</v>
      </c>
      <c r="D936" s="3" t="str" cm="1">
        <f t="array" ref="D936">choice(Settings!K:K,1,Settings!$B$16)</f>
        <v/>
      </c>
    </row>
    <row r="937" spans="1:4" x14ac:dyDescent="0.25">
      <c r="A937" s="2" t="str" cm="1">
        <f t="array" ref="A937">choice(Professeurs!A:A,1,Settings!$B$16)</f>
        <v>Prof28</v>
      </c>
      <c r="B937" s="3" cm="1">
        <f t="array" ref="B937">alea_date(Settings!$B$11,360,Settings!$B$8+alea_int(4,0,Settings!$B$16),Settings!$B$16)</f>
        <v>46104.333333333336</v>
      </c>
      <c r="C937" s="3" cm="1">
        <f t="array" ref="C937">B937+TIME(alea_int(5,1,Settings!$B$16),0,0)</f>
        <v>46104.541666666672</v>
      </c>
      <c r="D937" s="3" t="str" cm="1">
        <f t="array" ref="D937">choice(Settings!K:K,1,Settings!$B$16)</f>
        <v/>
      </c>
    </row>
    <row r="938" spans="1:4" x14ac:dyDescent="0.25">
      <c r="A938" s="2" t="str" cm="1">
        <f t="array" ref="A938">choice(Professeurs!A:A,1,Settings!$B$16)</f>
        <v>Prof43</v>
      </c>
      <c r="B938" s="3" cm="1">
        <f t="array" ref="B938">alea_date(Settings!$B$11,360,Settings!$B$8+alea_int(4,0,Settings!$B$16),Settings!$B$16)</f>
        <v>46314.375</v>
      </c>
      <c r="C938" s="3" cm="1">
        <f t="array" ref="C938">B938+TIME(alea_int(5,1,Settings!$B$16),0,0)</f>
        <v>46314.583333333336</v>
      </c>
      <c r="D938" s="3" t="str" cm="1">
        <f t="array" ref="D938">choice(Settings!K:K,1,Settings!$B$16)</f>
        <v>lundi am</v>
      </c>
    </row>
    <row r="939" spans="1:4" x14ac:dyDescent="0.25">
      <c r="A939" s="2" t="str" cm="1">
        <f t="array" ref="A939">choice(Professeurs!A:A,1,Settings!$B$16)</f>
        <v>Prof4</v>
      </c>
      <c r="B939" s="3" cm="1">
        <f t="array" ref="B939">alea_date(Settings!$B$11,360,Settings!$B$8+alea_int(4,0,Settings!$B$16),Settings!$B$16)</f>
        <v>46129.416666666664</v>
      </c>
      <c r="C939" s="3" cm="1">
        <f t="array" ref="C939">B939+TIME(alea_int(5,1,Settings!$B$16),0,0)</f>
        <v>46129.541666666664</v>
      </c>
      <c r="D939" s="3" t="str" cm="1">
        <f t="array" ref="D939">choice(Settings!K:K,1,Settings!$B$16)</f>
        <v>vendredi am</v>
      </c>
    </row>
    <row r="940" spans="1:4" x14ac:dyDescent="0.25">
      <c r="A940" s="2" t="str" cm="1">
        <f t="array" ref="A940">choice(Professeurs!A:A,1,Settings!$B$16)</f>
        <v>Prof27</v>
      </c>
      <c r="B940" s="3" cm="1">
        <f t="array" ref="B940">alea_date(Settings!$B$11,360,Settings!$B$8+alea_int(4,0,Settings!$B$16),Settings!$B$16)</f>
        <v>46035.375</v>
      </c>
      <c r="C940" s="3" cm="1">
        <f t="array" ref="C940">B940+TIME(alea_int(5,1,Settings!$B$16),0,0)</f>
        <v>46035.5</v>
      </c>
      <c r="D940" s="3" t="str" cm="1">
        <f t="array" ref="D940">choice(Settings!K:K,1,Settings!$B$16)</f>
        <v/>
      </c>
    </row>
    <row r="941" spans="1:4" x14ac:dyDescent="0.25">
      <c r="A941" s="2" t="str" cm="1">
        <f t="array" ref="A941">choice(Professeurs!A:A,1,Settings!$B$16)</f>
        <v>Prof10</v>
      </c>
      <c r="B941" s="3" cm="1">
        <f t="array" ref="B941">alea_date(Settings!$B$11,360,Settings!$B$8+alea_int(4,0,Settings!$B$16),Settings!$B$16)</f>
        <v>46045.416666666664</v>
      </c>
      <c r="C941" s="3" cm="1">
        <f t="array" ref="C941">B941+TIME(alea_int(5,1,Settings!$B$16),0,0)</f>
        <v>46045.625</v>
      </c>
      <c r="D941" s="3" t="str" cm="1">
        <f t="array" ref="D941">choice(Settings!K:K,1,Settings!$B$16)</f>
        <v/>
      </c>
    </row>
    <row r="942" spans="1:4" x14ac:dyDescent="0.25">
      <c r="A942" s="2" t="str" cm="1">
        <f t="array" ref="A942">choice(Professeurs!A:A,1,Settings!$B$16)</f>
        <v>Prof13</v>
      </c>
      <c r="B942" s="3" cm="1">
        <f t="array" ref="B942">alea_date(Settings!$B$11,360,Settings!$B$8+alea_int(4,0,Settings!$B$16),Settings!$B$16)</f>
        <v>46265.375</v>
      </c>
      <c r="C942" s="3" cm="1">
        <f t="array" ref="C942">B942+TIME(alea_int(5,1,Settings!$B$16),0,0)</f>
        <v>46265.458333333336</v>
      </c>
      <c r="D942" s="3" t="str" cm="1">
        <f t="array" ref="D942">choice(Settings!K:K,1,Settings!$B$16)</f>
        <v/>
      </c>
    </row>
    <row r="943" spans="1:4" x14ac:dyDescent="0.25">
      <c r="A943" s="2" t="str" cm="1">
        <f t="array" ref="A943">choice(Professeurs!A:A,1,Settings!$B$16)</f>
        <v>Prof33</v>
      </c>
      <c r="B943" s="3" cm="1">
        <f t="array" ref="B943">alea_date(Settings!$B$11,360,Settings!$B$8+alea_int(4,0,Settings!$B$16),Settings!$B$16)</f>
        <v>46299.333333333336</v>
      </c>
      <c r="C943" s="3" cm="1">
        <f t="array" ref="C943">B943+TIME(alea_int(5,1,Settings!$B$16),0,0)</f>
        <v>46299.458333333336</v>
      </c>
      <c r="D943" s="3" t="str" cm="1">
        <f t="array" ref="D943">choice(Settings!K:K,1,Settings!$B$16)</f>
        <v/>
      </c>
    </row>
    <row r="944" spans="1:4" x14ac:dyDescent="0.25">
      <c r="A944" s="2" t="str" cm="1">
        <f t="array" ref="A944">choice(Professeurs!A:A,1,Settings!$B$16)</f>
        <v>Prof34</v>
      </c>
      <c r="B944" s="3" cm="1">
        <f t="array" ref="B944">alea_date(Settings!$B$11,360,Settings!$B$8+alea_int(4,0,Settings!$B$16),Settings!$B$16)</f>
        <v>46347.416666666664</v>
      </c>
      <c r="C944" s="3" cm="1">
        <f t="array" ref="C944">B944+TIME(alea_int(5,1,Settings!$B$16),0,0)</f>
        <v>46347.583333333328</v>
      </c>
      <c r="D944" s="3" t="str" cm="1">
        <f t="array" ref="D944">choice(Settings!K:K,1,Settings!$B$16)</f>
        <v>lundi pm</v>
      </c>
    </row>
    <row r="945" spans="1:4" x14ac:dyDescent="0.25">
      <c r="A945" s="2" t="str" cm="1">
        <f t="array" ref="A945">choice(Professeurs!A:A,1,Settings!$B$16)</f>
        <v>Prof21</v>
      </c>
      <c r="B945" s="3" cm="1">
        <f t="array" ref="B945">alea_date(Settings!$B$11,360,Settings!$B$8+alea_int(4,0,Settings!$B$16),Settings!$B$16)</f>
        <v>46185.375</v>
      </c>
      <c r="C945" s="3" cm="1">
        <f t="array" ref="C945">B945+TIME(alea_int(5,1,Settings!$B$16),0,0)</f>
        <v>46185.583333333336</v>
      </c>
      <c r="D945" s="3" t="str" cm="1">
        <f t="array" ref="D945">choice(Settings!K:K,1,Settings!$B$16)</f>
        <v>semaine</v>
      </c>
    </row>
    <row r="946" spans="1:4" x14ac:dyDescent="0.25">
      <c r="A946" s="2" t="str" cm="1">
        <f t="array" ref="A946">choice(Professeurs!A:A,1,Settings!$B$16)</f>
        <v>Prof28</v>
      </c>
      <c r="B946" s="3" cm="1">
        <f t="array" ref="B946">alea_date(Settings!$B$11,360,Settings!$B$8+alea_int(4,0,Settings!$B$16),Settings!$B$16)</f>
        <v>46188.458333333336</v>
      </c>
      <c r="C946" s="3" cm="1">
        <f t="array" ref="C946">B946+TIME(alea_int(5,1,Settings!$B$16),0,0)</f>
        <v>46188.541666666672</v>
      </c>
      <c r="D946" s="3" t="str" cm="1">
        <f t="array" ref="D946">choice(Settings!K:K,1,Settings!$B$16)</f>
        <v/>
      </c>
    </row>
    <row r="947" spans="1:4" x14ac:dyDescent="0.25">
      <c r="A947" s="2" t="str" cm="1">
        <f t="array" ref="A947">choice(Professeurs!A:A,1,Settings!$B$16)</f>
        <v>Prof39</v>
      </c>
      <c r="B947" s="3" cm="1">
        <f t="array" ref="B947">alea_date(Settings!$B$11,360,Settings!$B$8+alea_int(4,0,Settings!$B$16),Settings!$B$16)</f>
        <v>46147.375</v>
      </c>
      <c r="C947" s="3" cm="1">
        <f t="array" ref="C947">B947+TIME(alea_int(5,1,Settings!$B$16),0,0)</f>
        <v>46147.5</v>
      </c>
      <c r="D947" s="3" t="str" cm="1">
        <f t="array" ref="D947">choice(Settings!K:K,1,Settings!$B$16)</f>
        <v/>
      </c>
    </row>
    <row r="948" spans="1:4" x14ac:dyDescent="0.25">
      <c r="A948" s="2" t="str" cm="1">
        <f t="array" ref="A948">choice(Professeurs!A:A,1,Settings!$B$16)</f>
        <v>Prof18</v>
      </c>
      <c r="B948" s="3" cm="1">
        <f t="array" ref="B948">alea_date(Settings!$B$11,360,Settings!$B$8+alea_int(4,0,Settings!$B$16),Settings!$B$16)</f>
        <v>46224.458333333336</v>
      </c>
      <c r="C948" s="3" cm="1">
        <f t="array" ref="C948">B948+TIME(alea_int(5,1,Settings!$B$16),0,0)</f>
        <v>46224.541666666672</v>
      </c>
      <c r="D948" s="3" t="str" cm="1">
        <f t="array" ref="D948">choice(Settings!K:K,1,Settings!$B$16)</f>
        <v/>
      </c>
    </row>
    <row r="949" spans="1:4" x14ac:dyDescent="0.25">
      <c r="A949" s="2" t="str" cm="1">
        <f t="array" ref="A949">choice(Professeurs!A:A,1,Settings!$B$16)</f>
        <v>Prof41</v>
      </c>
      <c r="B949" s="3" cm="1">
        <f t="array" ref="B949">alea_date(Settings!$B$11,360,Settings!$B$8+alea_int(4,0,Settings!$B$16),Settings!$B$16)</f>
        <v>46219.333333333336</v>
      </c>
      <c r="C949" s="3" cm="1">
        <f t="array" ref="C949">B949+TIME(alea_int(5,1,Settings!$B$16),0,0)</f>
        <v>46219.458333333336</v>
      </c>
      <c r="D949" s="3" t="str" cm="1">
        <f t="array" ref="D949">choice(Settings!K:K,1,Settings!$B$16)</f>
        <v>mercredi pm</v>
      </c>
    </row>
    <row r="950" spans="1:4" x14ac:dyDescent="0.25">
      <c r="A950" s="2" t="str" cm="1">
        <f t="array" ref="A950">choice(Professeurs!A:A,1,Settings!$B$16)</f>
        <v>Prof11</v>
      </c>
      <c r="B950" s="3" cm="1">
        <f t="array" ref="B950">alea_date(Settings!$B$11,360,Settings!$B$8+alea_int(4,0,Settings!$B$16),Settings!$B$16)</f>
        <v>46321.416666666664</v>
      </c>
      <c r="C950" s="3" cm="1">
        <f t="array" ref="C950">B950+TIME(alea_int(5,1,Settings!$B$16),0,0)</f>
        <v>46321.458333333328</v>
      </c>
      <c r="D950" s="3" t="str" cm="1">
        <f t="array" ref="D950">choice(Settings!K:K,1,Settings!$B$16)</f>
        <v/>
      </c>
    </row>
    <row r="951" spans="1:4" x14ac:dyDescent="0.25">
      <c r="A951" s="2" t="str" cm="1">
        <f t="array" ref="A951">choice(Professeurs!A:A,1,Settings!$B$16)</f>
        <v>Prof18</v>
      </c>
      <c r="B951" s="3" cm="1">
        <f t="array" ref="B951">alea_date(Settings!$B$11,360,Settings!$B$8+alea_int(4,0,Settings!$B$16),Settings!$B$16)</f>
        <v>46133.416666666664</v>
      </c>
      <c r="C951" s="3" cm="1">
        <f t="array" ref="C951">B951+TIME(alea_int(5,1,Settings!$B$16),0,0)</f>
        <v>46133.625</v>
      </c>
      <c r="D951" s="3" t="str" cm="1">
        <f t="array" ref="D951">choice(Settings!K:K,1,Settings!$B$16)</f>
        <v/>
      </c>
    </row>
    <row r="952" spans="1:4" x14ac:dyDescent="0.25">
      <c r="A952" s="2" t="str" cm="1">
        <f t="array" ref="A952">choice(Professeurs!A:A,1,Settings!$B$16)</f>
        <v>Prof30</v>
      </c>
      <c r="B952" s="3" cm="1">
        <f t="array" ref="B952">alea_date(Settings!$B$11,360,Settings!$B$8+alea_int(4,0,Settings!$B$16),Settings!$B$16)</f>
        <v>46119.458333333336</v>
      </c>
      <c r="C952" s="3" cm="1">
        <f t="array" ref="C952">B952+TIME(alea_int(5,1,Settings!$B$16),0,0)</f>
        <v>46119.583333333336</v>
      </c>
      <c r="D952" s="3" t="str" cm="1">
        <f t="array" ref="D952">choice(Settings!K:K,1,Settings!$B$16)</f>
        <v/>
      </c>
    </row>
    <row r="953" spans="1:4" x14ac:dyDescent="0.25">
      <c r="A953" s="2" t="str" cm="1">
        <f t="array" ref="A953">choice(Professeurs!A:A,1,Settings!$B$16)</f>
        <v>Prof45</v>
      </c>
      <c r="B953" s="3" cm="1">
        <f t="array" ref="B953">alea_date(Settings!$B$11,360,Settings!$B$8+alea_int(4,0,Settings!$B$16),Settings!$B$16)</f>
        <v>46034.458333333336</v>
      </c>
      <c r="C953" s="3" cm="1">
        <f t="array" ref="C953">B953+TIME(alea_int(5,1,Settings!$B$16),0,0)</f>
        <v>46034.5</v>
      </c>
      <c r="D953" s="3" t="str" cm="1">
        <f t="array" ref="D953">choice(Settings!K:K,1,Settings!$B$16)</f>
        <v/>
      </c>
    </row>
    <row r="954" spans="1:4" x14ac:dyDescent="0.25">
      <c r="A954" s="2" t="str" cm="1">
        <f t="array" ref="A954">choice(Professeurs!A:A,1,Settings!$B$16)</f>
        <v>Prof26</v>
      </c>
      <c r="B954" s="3" cm="1">
        <f t="array" ref="B954">alea_date(Settings!$B$11,360,Settings!$B$8+alea_int(4,0,Settings!$B$16),Settings!$B$16)</f>
        <v>46110.375</v>
      </c>
      <c r="C954" s="3" cm="1">
        <f t="array" ref="C954">B954+TIME(alea_int(5,1,Settings!$B$16),0,0)</f>
        <v>46110.5</v>
      </c>
      <c r="D954" s="3" t="str" cm="1">
        <f t="array" ref="D954">choice(Settings!K:K,1,Settings!$B$16)</f>
        <v/>
      </c>
    </row>
    <row r="955" spans="1:4" x14ac:dyDescent="0.25">
      <c r="A955" s="2" t="str" cm="1">
        <f t="array" ref="A955">choice(Professeurs!A:A,1,Settings!$B$16)</f>
        <v>Prof14</v>
      </c>
      <c r="B955" s="3" cm="1">
        <f t="array" ref="B955">alea_date(Settings!$B$11,360,Settings!$B$8+alea_int(4,0,Settings!$B$16),Settings!$B$16)</f>
        <v>46194.375</v>
      </c>
      <c r="C955" s="3" cm="1">
        <f t="array" ref="C955">B955+TIME(alea_int(5,1,Settings!$B$16),0,0)</f>
        <v>46194.583333333336</v>
      </c>
      <c r="D955" s="3" t="str" cm="1">
        <f t="array" ref="D955">choice(Settings!K:K,1,Settings!$B$16)</f>
        <v>jeudi am</v>
      </c>
    </row>
    <row r="956" spans="1:4" x14ac:dyDescent="0.25">
      <c r="A956" s="2" t="str" cm="1">
        <f t="array" ref="A956">choice(Professeurs!A:A,1,Settings!$B$16)</f>
        <v>Prof37</v>
      </c>
      <c r="B956" s="3" cm="1">
        <f t="array" ref="B956">alea_date(Settings!$B$11,360,Settings!$B$8+alea_int(4,0,Settings!$B$16),Settings!$B$16)</f>
        <v>46359.333333333336</v>
      </c>
      <c r="C956" s="3" cm="1">
        <f t="array" ref="C956">B956+TIME(alea_int(5,1,Settings!$B$16),0,0)</f>
        <v>46359.375</v>
      </c>
      <c r="D956" s="3" t="str" cm="1">
        <f t="array" ref="D956">choice(Settings!K:K,1,Settings!$B$16)</f>
        <v/>
      </c>
    </row>
    <row r="957" spans="1:4" x14ac:dyDescent="0.25">
      <c r="A957" s="2" t="str" cm="1">
        <f t="array" ref="A957">choice(Professeurs!A:A,1,Settings!$B$16)</f>
        <v>Prof49</v>
      </c>
      <c r="B957" s="3" cm="1">
        <f t="array" ref="B957">alea_date(Settings!$B$11,360,Settings!$B$8+alea_int(4,0,Settings!$B$16),Settings!$B$16)</f>
        <v>46371.416666666664</v>
      </c>
      <c r="C957" s="3" cm="1">
        <f t="array" ref="C957">B957+TIME(alea_int(5,1,Settings!$B$16),0,0)</f>
        <v>46371.541666666664</v>
      </c>
      <c r="D957" s="3" t="str" cm="1">
        <f t="array" ref="D957">choice(Settings!K:K,1,Settings!$B$16)</f>
        <v/>
      </c>
    </row>
    <row r="958" spans="1:4" x14ac:dyDescent="0.25">
      <c r="A958" s="2" t="str" cm="1">
        <f t="array" ref="A958">choice(Professeurs!A:A,1,Settings!$B$16)</f>
        <v>Prof22</v>
      </c>
      <c r="B958" s="3" cm="1">
        <f t="array" ref="B958">alea_date(Settings!$B$11,360,Settings!$B$8+alea_int(4,0,Settings!$B$16),Settings!$B$16)</f>
        <v>46212.416666666664</v>
      </c>
      <c r="C958" s="3" cm="1">
        <f t="array" ref="C958">B958+TIME(alea_int(5,1,Settings!$B$16),0,0)</f>
        <v>46212.458333333328</v>
      </c>
      <c r="D958" s="3" t="str" cm="1">
        <f t="array" ref="D958">choice(Settings!K:K,1,Settings!$B$16)</f>
        <v/>
      </c>
    </row>
    <row r="959" spans="1:4" x14ac:dyDescent="0.25">
      <c r="A959" s="2" t="str" cm="1">
        <f t="array" ref="A959">choice(Professeurs!A:A,1,Settings!$B$16)</f>
        <v>Prof44</v>
      </c>
      <c r="B959" s="3" cm="1">
        <f t="array" ref="B959">alea_date(Settings!$B$11,360,Settings!$B$8+alea_int(4,0,Settings!$B$16),Settings!$B$16)</f>
        <v>46208.333333333336</v>
      </c>
      <c r="C959" s="3" cm="1">
        <f t="array" ref="C959">B959+TIME(alea_int(5,1,Settings!$B$16),0,0)</f>
        <v>46208.458333333336</v>
      </c>
      <c r="D959" s="3" t="str" cm="1">
        <f t="array" ref="D959">choice(Settings!K:K,1,Settings!$B$16)</f>
        <v>mercredi pm</v>
      </c>
    </row>
    <row r="960" spans="1:4" x14ac:dyDescent="0.25">
      <c r="A960" s="2" t="str" cm="1">
        <f t="array" ref="A960">choice(Professeurs!A:A,1,Settings!$B$16)</f>
        <v>Prof34</v>
      </c>
      <c r="B960" s="3" cm="1">
        <f t="array" ref="B960">alea_date(Settings!$B$11,360,Settings!$B$8+alea_int(4,0,Settings!$B$16),Settings!$B$16)</f>
        <v>46163.333333333336</v>
      </c>
      <c r="C960" s="3" cm="1">
        <f t="array" ref="C960">B960+TIME(alea_int(5,1,Settings!$B$16),0,0)</f>
        <v>46163.375</v>
      </c>
      <c r="D960" s="3" t="str" cm="1">
        <f t="array" ref="D960">choice(Settings!K:K,1,Settings!$B$16)</f>
        <v/>
      </c>
    </row>
    <row r="961" spans="1:4" x14ac:dyDescent="0.25">
      <c r="A961" s="2" t="str" cm="1">
        <f t="array" ref="A961">choice(Professeurs!A:A,1,Settings!$B$16)</f>
        <v>Prof3</v>
      </c>
      <c r="B961" s="3" cm="1">
        <f t="array" ref="B961">alea_date(Settings!$B$11,360,Settings!$B$8+alea_int(4,0,Settings!$B$16),Settings!$B$16)</f>
        <v>46030.458333333336</v>
      </c>
      <c r="C961" s="3" cm="1">
        <f t="array" ref="C961">B961+TIME(alea_int(5,1,Settings!$B$16),0,0)</f>
        <v>46030.541666666672</v>
      </c>
      <c r="D961" s="3" t="str" cm="1">
        <f t="array" ref="D961">choice(Settings!K:K,1,Settings!$B$16)</f>
        <v/>
      </c>
    </row>
    <row r="962" spans="1:4" x14ac:dyDescent="0.25">
      <c r="A962" s="2" t="str" cm="1">
        <f t="array" ref="A962">choice(Professeurs!A:A,1,Settings!$B$16)</f>
        <v>Prof35</v>
      </c>
      <c r="B962" s="3" cm="1">
        <f t="array" ref="B962">alea_date(Settings!$B$11,360,Settings!$B$8+alea_int(4,0,Settings!$B$16),Settings!$B$16)</f>
        <v>46060.333333333336</v>
      </c>
      <c r="C962" s="3" cm="1">
        <f t="array" ref="C962">B962+TIME(alea_int(5,1,Settings!$B$16),0,0)</f>
        <v>46060.5</v>
      </c>
      <c r="D962" s="3" t="str" cm="1">
        <f t="array" ref="D962">choice(Settings!K:K,1,Settings!$B$16)</f>
        <v>semaine</v>
      </c>
    </row>
    <row r="963" spans="1:4" x14ac:dyDescent="0.25">
      <c r="A963" s="2" t="str" cm="1">
        <f t="array" ref="A963">choice(Professeurs!A:A,1,Settings!$B$16)</f>
        <v>Prof34</v>
      </c>
      <c r="B963" s="3" cm="1">
        <f t="array" ref="B963">alea_date(Settings!$B$11,360,Settings!$B$8+alea_int(4,0,Settings!$B$16),Settings!$B$16)</f>
        <v>46323.375</v>
      </c>
      <c r="C963" s="3" cm="1">
        <f t="array" ref="C963">B963+TIME(alea_int(5,1,Settings!$B$16),0,0)</f>
        <v>46323.583333333336</v>
      </c>
      <c r="D963" s="3" t="str" cm="1">
        <f t="array" ref="D963">choice(Settings!K:K,1,Settings!$B$16)</f>
        <v>mardi pm</v>
      </c>
    </row>
    <row r="964" spans="1:4" x14ac:dyDescent="0.25">
      <c r="A964" s="2" t="str" cm="1">
        <f t="array" ref="A964">choice(Professeurs!A:A,1,Settings!$B$16)</f>
        <v>Prof44</v>
      </c>
      <c r="B964" s="3" cm="1">
        <f t="array" ref="B964">alea_date(Settings!$B$11,360,Settings!$B$8+alea_int(4,0,Settings!$B$16),Settings!$B$16)</f>
        <v>46288.333333333336</v>
      </c>
      <c r="C964" s="3" cm="1">
        <f t="array" ref="C964">B964+TIME(alea_int(5,1,Settings!$B$16),0,0)</f>
        <v>46288.541666666672</v>
      </c>
      <c r="D964" s="3" t="str" cm="1">
        <f t="array" ref="D964">choice(Settings!K:K,1,Settings!$B$16)</f>
        <v>vendredi am</v>
      </c>
    </row>
    <row r="965" spans="1:4" x14ac:dyDescent="0.25">
      <c r="A965" s="2" t="str" cm="1">
        <f t="array" ref="A965">choice(Professeurs!A:A,1,Settings!$B$16)</f>
        <v>Prof12</v>
      </c>
      <c r="B965" s="3" cm="1">
        <f t="array" ref="B965">alea_date(Settings!$B$11,360,Settings!$B$8+alea_int(4,0,Settings!$B$16),Settings!$B$16)</f>
        <v>46191.333333333336</v>
      </c>
      <c r="C965" s="3" cm="1">
        <f t="array" ref="C965">B965+TIME(alea_int(5,1,Settings!$B$16),0,0)</f>
        <v>46191.416666666672</v>
      </c>
      <c r="D965" s="3" t="str" cm="1">
        <f t="array" ref="D965">choice(Settings!K:K,1,Settings!$B$16)</f>
        <v>vendredi am</v>
      </c>
    </row>
    <row r="966" spans="1:4" x14ac:dyDescent="0.25">
      <c r="A966" s="2" t="str" cm="1">
        <f t="array" ref="A966">choice(Professeurs!A:A,1,Settings!$B$16)</f>
        <v>Prof16</v>
      </c>
      <c r="B966" s="3" cm="1">
        <f t="array" ref="B966">alea_date(Settings!$B$11,360,Settings!$B$8+alea_int(4,0,Settings!$B$16),Settings!$B$16)</f>
        <v>46157.458333333336</v>
      </c>
      <c r="C966" s="3" cm="1">
        <f t="array" ref="C966">B966+TIME(alea_int(5,1,Settings!$B$16),0,0)</f>
        <v>46157.541666666672</v>
      </c>
      <c r="D966" s="3" t="str" cm="1">
        <f t="array" ref="D966">choice(Settings!K:K,1,Settings!$B$16)</f>
        <v/>
      </c>
    </row>
    <row r="967" spans="1:4" x14ac:dyDescent="0.25">
      <c r="A967" s="2" t="str" cm="1">
        <f t="array" ref="A967">choice(Professeurs!A:A,1,Settings!$B$16)</f>
        <v>Prof14</v>
      </c>
      <c r="B967" s="3" cm="1">
        <f t="array" ref="B967">alea_date(Settings!$B$11,360,Settings!$B$8+alea_int(4,0,Settings!$B$16),Settings!$B$16)</f>
        <v>46250.375</v>
      </c>
      <c r="C967" s="3" cm="1">
        <f t="array" ref="C967">B967+TIME(alea_int(5,1,Settings!$B$16),0,0)</f>
        <v>46250.5</v>
      </c>
      <c r="D967" s="3" t="str" cm="1">
        <f t="array" ref="D967">choice(Settings!K:K,1,Settings!$B$16)</f>
        <v/>
      </c>
    </row>
    <row r="968" spans="1:4" x14ac:dyDescent="0.25">
      <c r="A968" s="2" t="str" cm="1">
        <f t="array" ref="A968">choice(Professeurs!A:A,1,Settings!$B$16)</f>
        <v>Prof19</v>
      </c>
      <c r="B968" s="3" cm="1">
        <f t="array" ref="B968">alea_date(Settings!$B$11,360,Settings!$B$8+alea_int(4,0,Settings!$B$16),Settings!$B$16)</f>
        <v>46047.333333333336</v>
      </c>
      <c r="C968" s="3" cm="1">
        <f t="array" ref="C968">B968+TIME(alea_int(5,1,Settings!$B$16),0,0)</f>
        <v>46047.541666666672</v>
      </c>
      <c r="D968" s="3" t="str" cm="1">
        <f t="array" ref="D968">choice(Settings!K:K,1,Settings!$B$16)</f>
        <v/>
      </c>
    </row>
    <row r="969" spans="1:4" x14ac:dyDescent="0.25">
      <c r="A969" s="2" t="str" cm="1">
        <f t="array" ref="A969">choice(Professeurs!A:A,1,Settings!$B$16)</f>
        <v>Prof11</v>
      </c>
      <c r="B969" s="3" cm="1">
        <f t="array" ref="B969">alea_date(Settings!$B$11,360,Settings!$B$8+alea_int(4,0,Settings!$B$16),Settings!$B$16)</f>
        <v>46051.416666666664</v>
      </c>
      <c r="C969" s="3" cm="1">
        <f t="array" ref="C969">B969+TIME(alea_int(5,1,Settings!$B$16),0,0)</f>
        <v>46051.625</v>
      </c>
      <c r="D969" s="3" t="str" cm="1">
        <f t="array" ref="D969">choice(Settings!K:K,1,Settings!$B$16)</f>
        <v/>
      </c>
    </row>
    <row r="970" spans="1:4" x14ac:dyDescent="0.25">
      <c r="A970" s="2" t="str" cm="1">
        <f t="array" ref="A970">choice(Professeurs!A:A,1,Settings!$B$16)</f>
        <v>Prof34</v>
      </c>
      <c r="B970" s="3" cm="1">
        <f t="array" ref="B970">alea_date(Settings!$B$11,360,Settings!$B$8+alea_int(4,0,Settings!$B$16),Settings!$B$16)</f>
        <v>46181.375</v>
      </c>
      <c r="C970" s="3" cm="1">
        <f t="array" ref="C970">B970+TIME(alea_int(5,1,Settings!$B$16),0,0)</f>
        <v>46181.416666666664</v>
      </c>
      <c r="D970" s="3" t="str" cm="1">
        <f t="array" ref="D970">choice(Settings!K:K,1,Settings!$B$16)</f>
        <v/>
      </c>
    </row>
    <row r="971" spans="1:4" x14ac:dyDescent="0.25">
      <c r="A971" s="2" t="str" cm="1">
        <f t="array" ref="A971">choice(Professeurs!A:A,1,Settings!$B$16)</f>
        <v>Prof36</v>
      </c>
      <c r="B971" s="3" cm="1">
        <f t="array" ref="B971">alea_date(Settings!$B$11,360,Settings!$B$8+alea_int(4,0,Settings!$B$16),Settings!$B$16)</f>
        <v>46223.333333333336</v>
      </c>
      <c r="C971" s="3" cm="1">
        <f t="array" ref="C971">B971+TIME(alea_int(5,1,Settings!$B$16),0,0)</f>
        <v>46223.458333333336</v>
      </c>
      <c r="D971" s="3" t="str" cm="1">
        <f t="array" ref="D971">choice(Settings!K:K,1,Settings!$B$16)</f>
        <v/>
      </c>
    </row>
    <row r="972" spans="1:4" x14ac:dyDescent="0.25">
      <c r="A972" s="2" t="str" cm="1">
        <f t="array" ref="A972">choice(Professeurs!A:A,1,Settings!$B$16)</f>
        <v>Prof3</v>
      </c>
      <c r="B972" s="3" cm="1">
        <f t="array" ref="B972">alea_date(Settings!$B$11,360,Settings!$B$8+alea_int(4,0,Settings!$B$16),Settings!$B$16)</f>
        <v>46142.458333333336</v>
      </c>
      <c r="C972" s="3" cm="1">
        <f t="array" ref="C972">B972+TIME(alea_int(5,1,Settings!$B$16),0,0)</f>
        <v>46142.541666666672</v>
      </c>
      <c r="D972" s="3" t="str" cm="1">
        <f t="array" ref="D972">choice(Settings!K:K,1,Settings!$B$16)</f>
        <v>jeudi pm</v>
      </c>
    </row>
    <row r="973" spans="1:4" x14ac:dyDescent="0.25">
      <c r="A973" s="2" t="str" cm="1">
        <f t="array" ref="A973">choice(Professeurs!A:A,1,Settings!$B$16)</f>
        <v>Prof37</v>
      </c>
      <c r="B973" s="3" cm="1">
        <f t="array" ref="B973">alea_date(Settings!$B$11,360,Settings!$B$8+alea_int(4,0,Settings!$B$16),Settings!$B$16)</f>
        <v>46031.458333333336</v>
      </c>
      <c r="C973" s="3" cm="1">
        <f t="array" ref="C973">B973+TIME(alea_int(5,1,Settings!$B$16),0,0)</f>
        <v>46031.666666666672</v>
      </c>
      <c r="D973" s="3" t="str" cm="1">
        <f t="array" ref="D973">choice(Settings!K:K,1,Settings!$B$16)</f>
        <v/>
      </c>
    </row>
    <row r="974" spans="1:4" x14ac:dyDescent="0.25">
      <c r="A974" s="2" t="str" cm="1">
        <f t="array" ref="A974">choice(Professeurs!A:A,1,Settings!$B$16)</f>
        <v>Prof34</v>
      </c>
      <c r="B974" s="3" cm="1">
        <f t="array" ref="B974">alea_date(Settings!$B$11,360,Settings!$B$8+alea_int(4,0,Settings!$B$16),Settings!$B$16)</f>
        <v>46033.458333333336</v>
      </c>
      <c r="C974" s="3" cm="1">
        <f t="array" ref="C974">B974+TIME(alea_int(5,1,Settings!$B$16),0,0)</f>
        <v>46033.625</v>
      </c>
      <c r="D974" s="3" t="str" cm="1">
        <f t="array" ref="D974">choice(Settings!K:K,1,Settings!$B$16)</f>
        <v/>
      </c>
    </row>
    <row r="975" spans="1:4" x14ac:dyDescent="0.25">
      <c r="A975" s="2" t="str" cm="1">
        <f t="array" ref="A975">choice(Professeurs!A:A,1,Settings!$B$16)</f>
        <v>Prof22</v>
      </c>
      <c r="B975" s="3" cm="1">
        <f t="array" ref="B975">alea_date(Settings!$B$11,360,Settings!$B$8+alea_int(4,0,Settings!$B$16),Settings!$B$16)</f>
        <v>46189.458333333336</v>
      </c>
      <c r="C975" s="3" cm="1">
        <f t="array" ref="C975">B975+TIME(alea_int(5,1,Settings!$B$16),0,0)</f>
        <v>46189.5</v>
      </c>
      <c r="D975" s="3" t="str" cm="1">
        <f t="array" ref="D975">choice(Settings!K:K,1,Settings!$B$16)</f>
        <v/>
      </c>
    </row>
    <row r="976" spans="1:4" x14ac:dyDescent="0.25">
      <c r="A976" s="2" t="str" cm="1">
        <f t="array" ref="A976">choice(Professeurs!A:A,1,Settings!$B$16)</f>
        <v>Prof53</v>
      </c>
      <c r="B976" s="3" cm="1">
        <f t="array" ref="B976">alea_date(Settings!$B$11,360,Settings!$B$8+alea_int(4,0,Settings!$B$16),Settings!$B$16)</f>
        <v>46045.333333333336</v>
      </c>
      <c r="C976" s="3" cm="1">
        <f t="array" ref="C976">B976+TIME(alea_int(5,1,Settings!$B$16),0,0)</f>
        <v>46045.458333333336</v>
      </c>
      <c r="D976" s="3" t="str" cm="1">
        <f t="array" ref="D976">choice(Settings!K:K,1,Settings!$B$16)</f>
        <v/>
      </c>
    </row>
    <row r="977" spans="1:4" x14ac:dyDescent="0.25">
      <c r="A977" s="2" t="str" cm="1">
        <f t="array" ref="A977">choice(Professeurs!A:A,1,Settings!$B$16)</f>
        <v>Prof40</v>
      </c>
      <c r="B977" s="3" cm="1">
        <f t="array" ref="B977">alea_date(Settings!$B$11,360,Settings!$B$8+alea_int(4,0,Settings!$B$16),Settings!$B$16)</f>
        <v>46130.458333333336</v>
      </c>
      <c r="C977" s="3" cm="1">
        <f t="array" ref="C977">B977+TIME(alea_int(5,1,Settings!$B$16),0,0)</f>
        <v>46130.541666666672</v>
      </c>
      <c r="D977" s="3" t="str" cm="1">
        <f t="array" ref="D977">choice(Settings!K:K,1,Settings!$B$16)</f>
        <v>vendredi am</v>
      </c>
    </row>
    <row r="978" spans="1:4" x14ac:dyDescent="0.25">
      <c r="A978" s="2" t="str" cm="1">
        <f t="array" ref="A978">choice(Professeurs!A:A,1,Settings!$B$16)</f>
        <v>Prof41</v>
      </c>
      <c r="B978" s="3" cm="1">
        <f t="array" ref="B978">alea_date(Settings!$B$11,360,Settings!$B$8+alea_int(4,0,Settings!$B$16),Settings!$B$16)</f>
        <v>46028.416666666664</v>
      </c>
      <c r="C978" s="3" cm="1">
        <f t="array" ref="C978">B978+TIME(alea_int(5,1,Settings!$B$16),0,0)</f>
        <v>46028.541666666664</v>
      </c>
      <c r="D978" s="3" t="str" cm="1">
        <f t="array" ref="D978">choice(Settings!K:K,1,Settings!$B$16)</f>
        <v/>
      </c>
    </row>
    <row r="979" spans="1:4" x14ac:dyDescent="0.25">
      <c r="A979" s="2" t="str" cm="1">
        <f t="array" ref="A979">choice(Professeurs!A:A,1,Settings!$B$16)</f>
        <v>Prof19</v>
      </c>
      <c r="B979" s="3" cm="1">
        <f t="array" ref="B979">alea_date(Settings!$B$11,360,Settings!$B$8+alea_int(4,0,Settings!$B$16),Settings!$B$16)</f>
        <v>46373.458333333336</v>
      </c>
      <c r="C979" s="3" cm="1">
        <f t="array" ref="C979">B979+TIME(alea_int(5,1,Settings!$B$16),0,0)</f>
        <v>46373.541666666672</v>
      </c>
      <c r="D979" s="3" t="str" cm="1">
        <f t="array" ref="D979">choice(Settings!K:K,1,Settings!$B$16)</f>
        <v/>
      </c>
    </row>
    <row r="980" spans="1:4" x14ac:dyDescent="0.25">
      <c r="A980" s="2" t="str" cm="1">
        <f t="array" ref="A980">choice(Professeurs!A:A,1,Settings!$B$16)</f>
        <v>Prof6</v>
      </c>
      <c r="B980" s="3" cm="1">
        <f t="array" ref="B980">alea_date(Settings!$B$11,360,Settings!$B$8+alea_int(4,0,Settings!$B$16),Settings!$B$16)</f>
        <v>46206.333333333336</v>
      </c>
      <c r="C980" s="3" cm="1">
        <f t="array" ref="C980">B980+TIME(alea_int(5,1,Settings!$B$16),0,0)</f>
        <v>46206.458333333336</v>
      </c>
      <c r="D980" s="3" t="str" cm="1">
        <f t="array" ref="D980">choice(Settings!K:K,1,Settings!$B$16)</f>
        <v/>
      </c>
    </row>
    <row r="981" spans="1:4" x14ac:dyDescent="0.25">
      <c r="A981" s="2" t="str" cm="1">
        <f t="array" ref="A981">choice(Professeurs!A:A,1,Settings!$B$16)</f>
        <v>Prof41</v>
      </c>
      <c r="B981" s="3" cm="1">
        <f t="array" ref="B981">alea_date(Settings!$B$11,360,Settings!$B$8+alea_int(4,0,Settings!$B$16),Settings!$B$16)</f>
        <v>46082.416666666664</v>
      </c>
      <c r="C981" s="3" cm="1">
        <f t="array" ref="C981">B981+TIME(alea_int(5,1,Settings!$B$16),0,0)</f>
        <v>46082.583333333328</v>
      </c>
      <c r="D981" s="3" t="str" cm="1">
        <f t="array" ref="D981">choice(Settings!K:K,1,Settings!$B$16)</f>
        <v/>
      </c>
    </row>
    <row r="982" spans="1:4" x14ac:dyDescent="0.25">
      <c r="A982" s="2" t="str" cm="1">
        <f t="array" ref="A982">choice(Professeurs!A:A,1,Settings!$B$16)</f>
        <v>Prof45</v>
      </c>
      <c r="B982" s="3" cm="1">
        <f t="array" ref="B982">alea_date(Settings!$B$11,360,Settings!$B$8+alea_int(4,0,Settings!$B$16),Settings!$B$16)</f>
        <v>46036.375</v>
      </c>
      <c r="C982" s="3" cm="1">
        <f t="array" ref="C982">B982+TIME(alea_int(5,1,Settings!$B$16),0,0)</f>
        <v>46036.583333333336</v>
      </c>
      <c r="D982" s="3" t="str" cm="1">
        <f t="array" ref="D982">choice(Settings!K:K,1,Settings!$B$16)</f>
        <v>vendredi pm</v>
      </c>
    </row>
    <row r="983" spans="1:4" x14ac:dyDescent="0.25">
      <c r="A983" s="2" t="str" cm="1">
        <f t="array" ref="A983">choice(Professeurs!A:A,1,Settings!$B$16)</f>
        <v>Prof20</v>
      </c>
      <c r="B983" s="3" cm="1">
        <f t="array" ref="B983">alea_date(Settings!$B$11,360,Settings!$B$8+alea_int(4,0,Settings!$B$16),Settings!$B$16)</f>
        <v>46207.375</v>
      </c>
      <c r="C983" s="3" cm="1">
        <f t="array" ref="C983">B983+TIME(alea_int(5,1,Settings!$B$16),0,0)</f>
        <v>46207.541666666664</v>
      </c>
      <c r="D983" s="3" t="str" cm="1">
        <f t="array" ref="D983">choice(Settings!K:K,1,Settings!$B$16)</f>
        <v/>
      </c>
    </row>
    <row r="984" spans="1:4" x14ac:dyDescent="0.25">
      <c r="A984" s="2" t="str" cm="1">
        <f t="array" ref="A984">choice(Professeurs!A:A,1,Settings!$B$16)</f>
        <v>Prof41</v>
      </c>
      <c r="B984" s="3" cm="1">
        <f t="array" ref="B984">alea_date(Settings!$B$11,360,Settings!$B$8+alea_int(4,0,Settings!$B$16),Settings!$B$16)</f>
        <v>46252.375</v>
      </c>
      <c r="C984" s="3" cm="1">
        <f t="array" ref="C984">B984+TIME(alea_int(5,1,Settings!$B$16),0,0)</f>
        <v>46252.541666666664</v>
      </c>
      <c r="D984" s="3" t="str" cm="1">
        <f t="array" ref="D984">choice(Settings!K:K,1,Settings!$B$16)</f>
        <v/>
      </c>
    </row>
    <row r="985" spans="1:4" x14ac:dyDescent="0.25">
      <c r="A985" s="2" t="str" cm="1">
        <f t="array" ref="A985">choice(Professeurs!A:A,1,Settings!$B$16)</f>
        <v>Prof15</v>
      </c>
      <c r="B985" s="3" cm="1">
        <f t="array" ref="B985">alea_date(Settings!$B$11,360,Settings!$B$8+alea_int(4,0,Settings!$B$16),Settings!$B$16)</f>
        <v>46257.375</v>
      </c>
      <c r="C985" s="3" cm="1">
        <f t="array" ref="C985">B985+TIME(alea_int(5,1,Settings!$B$16),0,0)</f>
        <v>46257.583333333336</v>
      </c>
      <c r="D985" s="3" t="str" cm="1">
        <f t="array" ref="D985">choice(Settings!K:K,1,Settings!$B$16)</f>
        <v/>
      </c>
    </row>
    <row r="986" spans="1:4" x14ac:dyDescent="0.25">
      <c r="A986" s="2" t="str" cm="1">
        <f t="array" ref="A986">choice(Professeurs!A:A,1,Settings!$B$16)</f>
        <v>Prof14</v>
      </c>
      <c r="B986" s="3" cm="1">
        <f t="array" ref="B986">alea_date(Settings!$B$11,360,Settings!$B$8+alea_int(4,0,Settings!$B$16),Settings!$B$16)</f>
        <v>46023.416666666664</v>
      </c>
      <c r="C986" s="3" cm="1">
        <f t="array" ref="C986">B986+TIME(alea_int(5,1,Settings!$B$16),0,0)</f>
        <v>46023.541666666664</v>
      </c>
      <c r="D986" s="3" t="str" cm="1">
        <f t="array" ref="D986">choice(Settings!K:K,1,Settings!$B$16)</f>
        <v/>
      </c>
    </row>
    <row r="987" spans="1:4" x14ac:dyDescent="0.25">
      <c r="A987" s="2" t="str" cm="1">
        <f t="array" ref="A987">choice(Professeurs!A:A,1,Settings!$B$16)</f>
        <v>Prof12</v>
      </c>
      <c r="B987" s="3" cm="1">
        <f t="array" ref="B987">alea_date(Settings!$B$11,360,Settings!$B$8+alea_int(4,0,Settings!$B$16),Settings!$B$16)</f>
        <v>46050.375</v>
      </c>
      <c r="C987" s="3" cm="1">
        <f t="array" ref="C987">B987+TIME(alea_int(5,1,Settings!$B$16),0,0)</f>
        <v>46050.416666666664</v>
      </c>
      <c r="D987" s="3" t="str" cm="1">
        <f t="array" ref="D987">choice(Settings!K:K,1,Settings!$B$16)</f>
        <v/>
      </c>
    </row>
    <row r="988" spans="1:4" x14ac:dyDescent="0.25">
      <c r="A988" s="2" t="str" cm="1">
        <f t="array" ref="A988">choice(Professeurs!A:A,1,Settings!$B$16)</f>
        <v>Prof16</v>
      </c>
      <c r="B988" s="3" cm="1">
        <f t="array" ref="B988">alea_date(Settings!$B$11,360,Settings!$B$8+alea_int(4,0,Settings!$B$16),Settings!$B$16)</f>
        <v>46284.375</v>
      </c>
      <c r="C988" s="3" cm="1">
        <f t="array" ref="C988">B988+TIME(alea_int(5,1,Settings!$B$16),0,0)</f>
        <v>46284.5</v>
      </c>
      <c r="D988" s="3" t="str" cm="1">
        <f t="array" ref="D988">choice(Settings!K:K,1,Settings!$B$16)</f>
        <v/>
      </c>
    </row>
    <row r="989" spans="1:4" x14ac:dyDescent="0.25">
      <c r="A989" s="2" t="str" cm="1">
        <f t="array" ref="A989">choice(Professeurs!A:A,1,Settings!$B$16)</f>
        <v>Prof39</v>
      </c>
      <c r="B989" s="3" cm="1">
        <f t="array" ref="B989">alea_date(Settings!$B$11,360,Settings!$B$8+alea_int(4,0,Settings!$B$16),Settings!$B$16)</f>
        <v>46166.416666666664</v>
      </c>
      <c r="C989" s="3" cm="1">
        <f t="array" ref="C989">B989+TIME(alea_int(5,1,Settings!$B$16),0,0)</f>
        <v>46166.625</v>
      </c>
      <c r="D989" s="3" t="str" cm="1">
        <f t="array" ref="D989">choice(Settings!K:K,1,Settings!$B$16)</f>
        <v/>
      </c>
    </row>
    <row r="990" spans="1:4" x14ac:dyDescent="0.25">
      <c r="A990" s="2" t="str" cm="1">
        <f t="array" ref="A990">choice(Professeurs!A:A,1,Settings!$B$16)</f>
        <v>Prof11</v>
      </c>
      <c r="B990" s="3" cm="1">
        <f t="array" ref="B990">alea_date(Settings!$B$11,360,Settings!$B$8+alea_int(4,0,Settings!$B$16),Settings!$B$16)</f>
        <v>46182.333333333336</v>
      </c>
      <c r="C990" s="3" cm="1">
        <f t="array" ref="C990">B990+TIME(alea_int(5,1,Settings!$B$16),0,0)</f>
        <v>46182.416666666672</v>
      </c>
      <c r="D990" s="3" t="str" cm="1">
        <f t="array" ref="D990">choice(Settings!K:K,1,Settings!$B$16)</f>
        <v/>
      </c>
    </row>
    <row r="991" spans="1:4" x14ac:dyDescent="0.25">
      <c r="A991" s="2" t="str" cm="1">
        <f t="array" ref="A991">choice(Professeurs!A:A,1,Settings!$B$16)</f>
        <v>Prof8</v>
      </c>
      <c r="B991" s="3" cm="1">
        <f t="array" ref="B991">alea_date(Settings!$B$11,360,Settings!$B$8+alea_int(4,0,Settings!$B$16),Settings!$B$16)</f>
        <v>46094.375</v>
      </c>
      <c r="C991" s="3" cm="1">
        <f t="array" ref="C991">B991+TIME(alea_int(5,1,Settings!$B$16),0,0)</f>
        <v>46094.416666666664</v>
      </c>
      <c r="D991" s="3" t="str" cm="1">
        <f t="array" ref="D991">choice(Settings!K:K,1,Settings!$B$16)</f>
        <v/>
      </c>
    </row>
    <row r="992" spans="1:4" x14ac:dyDescent="0.25">
      <c r="A992" s="2" t="str" cm="1">
        <f t="array" ref="A992">choice(Professeurs!A:A,1,Settings!$B$16)</f>
        <v>Prof23</v>
      </c>
      <c r="B992" s="3" cm="1">
        <f t="array" ref="B992">alea_date(Settings!$B$11,360,Settings!$B$8+alea_int(4,0,Settings!$B$16),Settings!$B$16)</f>
        <v>46110.333333333336</v>
      </c>
      <c r="C992" s="3" cm="1">
        <f t="array" ref="C992">B992+TIME(alea_int(5,1,Settings!$B$16),0,0)</f>
        <v>46110.375</v>
      </c>
      <c r="D992" s="3" t="str" cm="1">
        <f t="array" ref="D992">choice(Settings!K:K,1,Settings!$B$16)</f>
        <v/>
      </c>
    </row>
    <row r="993" spans="1:4" x14ac:dyDescent="0.25">
      <c r="A993" s="2" t="str" cm="1">
        <f t="array" ref="A993">choice(Professeurs!A:A,1,Settings!$B$16)</f>
        <v>Prof21</v>
      </c>
      <c r="B993" s="3" cm="1">
        <f t="array" ref="B993">alea_date(Settings!$B$11,360,Settings!$B$8+alea_int(4,0,Settings!$B$16),Settings!$B$16)</f>
        <v>46104.333333333336</v>
      </c>
      <c r="C993" s="3" cm="1">
        <f t="array" ref="C993">B993+TIME(alea_int(5,1,Settings!$B$16),0,0)</f>
        <v>46104.5</v>
      </c>
      <c r="D993" s="3" t="str" cm="1">
        <f t="array" ref="D993">choice(Settings!K:K,1,Settings!$B$16)</f>
        <v/>
      </c>
    </row>
    <row r="994" spans="1:4" x14ac:dyDescent="0.25">
      <c r="A994" s="2" t="str" cm="1">
        <f t="array" ref="A994">choice(Professeurs!A:A,1,Settings!$B$16)</f>
        <v>Prof45</v>
      </c>
      <c r="B994" s="3" cm="1">
        <f t="array" ref="B994">alea_date(Settings!$B$11,360,Settings!$B$8+alea_int(4,0,Settings!$B$16),Settings!$B$16)</f>
        <v>46334.458333333336</v>
      </c>
      <c r="C994" s="3" cm="1">
        <f t="array" ref="C994">B994+TIME(alea_int(5,1,Settings!$B$16),0,0)</f>
        <v>46334.666666666672</v>
      </c>
      <c r="D994" s="3" t="str" cm="1">
        <f t="array" ref="D994">choice(Settings!K:K,1,Settings!$B$16)</f>
        <v>mercredi pm</v>
      </c>
    </row>
    <row r="995" spans="1:4" x14ac:dyDescent="0.25">
      <c r="A995" s="2" t="str" cm="1">
        <f t="array" ref="A995">choice(Professeurs!A:A,1,Settings!$B$16)</f>
        <v>Prof3</v>
      </c>
      <c r="B995" s="3" cm="1">
        <f t="array" ref="B995">alea_date(Settings!$B$11,360,Settings!$B$8+alea_int(4,0,Settings!$B$16),Settings!$B$16)</f>
        <v>46061.333333333336</v>
      </c>
      <c r="C995" s="3" cm="1">
        <f t="array" ref="C995">B995+TIME(alea_int(5,1,Settings!$B$16),0,0)</f>
        <v>46061.541666666672</v>
      </c>
      <c r="D995" s="3" t="str" cm="1">
        <f t="array" ref="D995">choice(Settings!K:K,1,Settings!$B$16)</f>
        <v>vendredi am</v>
      </c>
    </row>
    <row r="996" spans="1:4" x14ac:dyDescent="0.25">
      <c r="A996" s="2" t="str" cm="1">
        <f t="array" ref="A996">choice(Professeurs!A:A,1,Settings!$B$16)</f>
        <v>Prof17</v>
      </c>
      <c r="B996" s="3" cm="1">
        <f t="array" ref="B996">alea_date(Settings!$B$11,360,Settings!$B$8+alea_int(4,0,Settings!$B$16),Settings!$B$16)</f>
        <v>46262.458333333336</v>
      </c>
      <c r="C996" s="3" cm="1">
        <f t="array" ref="C996">B996+TIME(alea_int(5,1,Settings!$B$16),0,0)</f>
        <v>46262.5</v>
      </c>
      <c r="D996" s="3" t="str" cm="1">
        <f t="array" ref="D996">choice(Settings!K:K,1,Settings!$B$16)</f>
        <v/>
      </c>
    </row>
    <row r="997" spans="1:4" x14ac:dyDescent="0.25">
      <c r="A997" s="2" t="str" cm="1">
        <f t="array" ref="A997">choice(Professeurs!A:A,1,Settings!$B$16)</f>
        <v>Prof11</v>
      </c>
      <c r="B997" s="3" cm="1">
        <f t="array" ref="B997">alea_date(Settings!$B$11,360,Settings!$B$8+alea_int(4,0,Settings!$B$16),Settings!$B$16)</f>
        <v>46201.333333333336</v>
      </c>
      <c r="C997" s="3" cm="1">
        <f t="array" ref="C997">B997+TIME(alea_int(5,1,Settings!$B$16),0,0)</f>
        <v>46201.5</v>
      </c>
      <c r="D997" s="3" t="str" cm="1">
        <f t="array" ref="D997">choice(Settings!K:K,1,Settings!$B$16)</f>
        <v>mardi pm</v>
      </c>
    </row>
    <row r="998" spans="1:4" x14ac:dyDescent="0.25">
      <c r="A998" s="2" t="str" cm="1">
        <f t="array" ref="A998">choice(Professeurs!A:A,1,Settings!$B$16)</f>
        <v>Prof54</v>
      </c>
      <c r="B998" s="3" cm="1">
        <f t="array" ref="B998">alea_date(Settings!$B$11,360,Settings!$B$8+alea_int(4,0,Settings!$B$16),Settings!$B$16)</f>
        <v>46328.458333333336</v>
      </c>
      <c r="C998" s="3" cm="1">
        <f t="array" ref="C998">B998+TIME(alea_int(5,1,Settings!$B$16),0,0)</f>
        <v>46328.541666666672</v>
      </c>
      <c r="D998" s="3" t="str" cm="1">
        <f t="array" ref="D998">choice(Settings!K:K,1,Settings!$B$16)</f>
        <v/>
      </c>
    </row>
    <row r="999" spans="1:4" x14ac:dyDescent="0.25">
      <c r="A999" s="2" t="str" cm="1">
        <f t="array" ref="A999">choice(Professeurs!A:A,1,Settings!$B$16)</f>
        <v>Prof22</v>
      </c>
      <c r="B999" s="3" cm="1">
        <f t="array" ref="B999">alea_date(Settings!$B$11,360,Settings!$B$8+alea_int(4,0,Settings!$B$16),Settings!$B$16)</f>
        <v>46317.375</v>
      </c>
      <c r="C999" s="3" cm="1">
        <f t="array" ref="C999">B999+TIME(alea_int(5,1,Settings!$B$16),0,0)</f>
        <v>46317.416666666664</v>
      </c>
      <c r="D999" s="3" t="str" cm="1">
        <f t="array" ref="D999">choice(Settings!K:K,1,Settings!$B$16)</f>
        <v/>
      </c>
    </row>
    <row r="1000" spans="1:4" x14ac:dyDescent="0.25">
      <c r="A1000" s="2" t="str" cm="1">
        <f t="array" ref="A1000">choice(Professeurs!A:A,1,Settings!$B$16)</f>
        <v>Prof50</v>
      </c>
      <c r="B1000" s="3" cm="1">
        <f t="array" ref="B1000">alea_date(Settings!$B$11,360,Settings!$B$8+alea_int(4,0,Settings!$B$16),Settings!$B$16)</f>
        <v>46184.333333333336</v>
      </c>
      <c r="C1000" s="3" cm="1">
        <f t="array" ref="C1000">B1000+TIME(alea_int(5,1,Settings!$B$16),0,0)</f>
        <v>46184.416666666672</v>
      </c>
      <c r="D1000" s="3" t="str" cm="1">
        <f t="array" ref="D1000">choice(Settings!K:K,1,Settings!$B$16)</f>
        <v/>
      </c>
    </row>
    <row r="1001" spans="1:4" x14ac:dyDescent="0.25">
      <c r="A1001" s="2" t="str" cm="1">
        <f t="array" ref="A1001">choice(Professeurs!A:A,1,Settings!$B$16)</f>
        <v>Prof34</v>
      </c>
      <c r="B1001" s="3" cm="1">
        <f t="array" ref="B1001">alea_date(Settings!$B$11,360,Settings!$B$8+alea_int(4,0,Settings!$B$16),Settings!$B$16)</f>
        <v>46131.333333333336</v>
      </c>
      <c r="C1001" s="3" cm="1">
        <f t="array" ref="C1001">B1001+TIME(alea_int(5,1,Settings!$B$16),0,0)</f>
        <v>46131.458333333336</v>
      </c>
      <c r="D1001" s="3" t="str" cm="1">
        <f t="array" ref="D1001">choice(Settings!K:K,1,Settings!$B$16)</f>
        <v>mardi pm</v>
      </c>
    </row>
    <row r="1002" spans="1:4" x14ac:dyDescent="0.25">
      <c r="A1002" s="2" t="str" cm="1">
        <f t="array" ref="A1002">choice(Professeurs!A:A,1,Settings!$B$16)</f>
        <v>Prof46</v>
      </c>
      <c r="B1002" s="3" cm="1">
        <f t="array" ref="B1002">alea_date(Settings!$B$11,360,Settings!$B$8+alea_int(4,0,Settings!$B$16),Settings!$B$16)</f>
        <v>46346.375</v>
      </c>
      <c r="C1002" s="3" cm="1">
        <f t="array" ref="C1002">B1002+TIME(alea_int(5,1,Settings!$B$16),0,0)</f>
        <v>46346.5</v>
      </c>
      <c r="D1002" s="3" t="str" cm="1">
        <f t="array" ref="D1002">choice(Settings!K:K,1,Settings!$B$16)</f>
        <v>jeudi pm</v>
      </c>
    </row>
    <row r="1003" spans="1:4" x14ac:dyDescent="0.25">
      <c r="A1003" s="2" t="str" cm="1">
        <f t="array" ref="A1003">choice(Professeurs!A:A,1,Settings!$B$16)</f>
        <v>Prof42</v>
      </c>
      <c r="B1003" s="3" cm="1">
        <f t="array" ref="B1003">alea_date(Settings!$B$11,360,Settings!$B$8+alea_int(4,0,Settings!$B$16),Settings!$B$16)</f>
        <v>46063.458333333336</v>
      </c>
      <c r="C1003" s="3" cm="1">
        <f t="array" ref="C1003">B1003+TIME(alea_int(5,1,Settings!$B$16),0,0)</f>
        <v>46063.666666666672</v>
      </c>
      <c r="D1003" s="3" t="str" cm="1">
        <f t="array" ref="D1003">choice(Settings!K:K,1,Settings!$B$16)</f>
        <v>jeudi am</v>
      </c>
    </row>
    <row r="1004" spans="1:4" x14ac:dyDescent="0.25">
      <c r="A1004" s="2" t="str" cm="1">
        <f t="array" ref="A1004">choice(Professeurs!A:A,1,Settings!$B$16)</f>
        <v>Prof20</v>
      </c>
      <c r="B1004" s="3" cm="1">
        <f t="array" ref="B1004">alea_date(Settings!$B$11,360,Settings!$B$8+alea_int(4,0,Settings!$B$16),Settings!$B$16)</f>
        <v>46291.375</v>
      </c>
      <c r="C1004" s="3" cm="1">
        <f t="array" ref="C1004">B1004+TIME(alea_int(5,1,Settings!$B$16),0,0)</f>
        <v>46291.5</v>
      </c>
      <c r="D1004" s="3" t="str" cm="1">
        <f t="array" ref="D1004">choice(Settings!K:K,1,Settings!$B$16)</f>
        <v>jeudi am</v>
      </c>
    </row>
    <row r="1005" spans="1:4" x14ac:dyDescent="0.25">
      <c r="A1005" s="2" t="str" cm="1">
        <f t="array" ref="A1005">choice(Professeurs!A:A,1,Settings!$B$16)</f>
        <v>Prof47</v>
      </c>
      <c r="B1005" s="3" cm="1">
        <f t="array" ref="B1005">alea_date(Settings!$B$11,360,Settings!$B$8+alea_int(4,0,Settings!$B$16),Settings!$B$16)</f>
        <v>46043.458333333336</v>
      </c>
      <c r="C1005" s="3" cm="1">
        <f t="array" ref="C1005">B1005+TIME(alea_int(5,1,Settings!$B$16),0,0)</f>
        <v>46043.666666666672</v>
      </c>
      <c r="D1005" s="3" t="str" cm="1">
        <f t="array" ref="D1005">choice(Settings!K:K,1,Settings!$B$16)</f>
        <v>mardi am</v>
      </c>
    </row>
    <row r="1006" spans="1:4" x14ac:dyDescent="0.25">
      <c r="A1006" s="2" t="str" cm="1">
        <f t="array" ref="A1006">choice(Professeurs!A:A,1,Settings!$B$16)</f>
        <v>Prof41</v>
      </c>
      <c r="B1006" s="3" cm="1">
        <f t="array" ref="B1006">alea_date(Settings!$B$11,360,Settings!$B$8+alea_int(4,0,Settings!$B$16),Settings!$B$16)</f>
        <v>46271.458333333336</v>
      </c>
      <c r="C1006" s="3" cm="1">
        <f t="array" ref="C1006">B1006+TIME(alea_int(5,1,Settings!$B$16),0,0)</f>
        <v>46271.625</v>
      </c>
      <c r="D1006" s="3" t="str" cm="1">
        <f t="array" ref="D1006">choice(Settings!K:K,1,Settings!$B$16)</f>
        <v/>
      </c>
    </row>
    <row r="1007" spans="1:4" x14ac:dyDescent="0.25">
      <c r="A1007" s="2" t="str" cm="1">
        <f t="array" ref="A1007">choice(Professeurs!A:A,1,Settings!$B$16)</f>
        <v>Prof42</v>
      </c>
      <c r="B1007" s="3" cm="1">
        <f t="array" ref="B1007">alea_date(Settings!$B$11,360,Settings!$B$8+alea_int(4,0,Settings!$B$16),Settings!$B$16)</f>
        <v>46207.333333333336</v>
      </c>
      <c r="C1007" s="3" cm="1">
        <f t="array" ref="C1007">B1007+TIME(alea_int(5,1,Settings!$B$16),0,0)</f>
        <v>46207.416666666672</v>
      </c>
      <c r="D1007" s="3" t="str" cm="1">
        <f t="array" ref="D1007">choice(Settings!K:K,1,Settings!$B$16)</f>
        <v/>
      </c>
    </row>
    <row r="1008" spans="1:4" x14ac:dyDescent="0.25">
      <c r="A1008" s="2" t="str" cm="1">
        <f t="array" ref="A1008">choice(Professeurs!A:A,1,Settings!$B$16)</f>
        <v>Prof38</v>
      </c>
      <c r="B1008" s="3" cm="1">
        <f t="array" ref="B1008">alea_date(Settings!$B$11,360,Settings!$B$8+alea_int(4,0,Settings!$B$16),Settings!$B$16)</f>
        <v>46118.333333333336</v>
      </c>
      <c r="C1008" s="3" cm="1">
        <f t="array" ref="C1008">B1008+TIME(alea_int(5,1,Settings!$B$16),0,0)</f>
        <v>46118.541666666672</v>
      </c>
      <c r="D1008" s="3" t="str" cm="1">
        <f t="array" ref="D1008">choice(Settings!K:K,1,Settings!$B$16)</f>
        <v/>
      </c>
    </row>
    <row r="1009" spans="1:4" x14ac:dyDescent="0.25">
      <c r="A1009" s="2" t="str" cm="1">
        <f t="array" ref="A1009">choice(Professeurs!A:A,1,Settings!$B$16)</f>
        <v>Prof1</v>
      </c>
      <c r="B1009" s="3" cm="1">
        <f t="array" ref="B1009">alea_date(Settings!$B$11,360,Settings!$B$8+alea_int(4,0,Settings!$B$16),Settings!$B$16)</f>
        <v>46183.458333333336</v>
      </c>
      <c r="C1009" s="3" cm="1">
        <f t="array" ref="C1009">B1009+TIME(alea_int(5,1,Settings!$B$16),0,0)</f>
        <v>46183.625</v>
      </c>
      <c r="D1009" s="3" t="str" cm="1">
        <f t="array" ref="D1009">choice(Settings!K:K,1,Settings!$B$16)</f>
        <v/>
      </c>
    </row>
    <row r="1010" spans="1:4" x14ac:dyDescent="0.25">
      <c r="A1010" s="2" t="str" cm="1">
        <f t="array" ref="A1010">choice(Professeurs!A:A,1,Settings!$B$16)</f>
        <v>Prof3</v>
      </c>
      <c r="B1010" s="3" cm="1">
        <f t="array" ref="B1010">alea_date(Settings!$B$11,360,Settings!$B$8+alea_int(4,0,Settings!$B$16),Settings!$B$16)</f>
        <v>46088.375</v>
      </c>
      <c r="C1010" s="3" cm="1">
        <f t="array" ref="C1010">B1010+TIME(alea_int(5,1,Settings!$B$16),0,0)</f>
        <v>46088.5</v>
      </c>
      <c r="D1010" s="3" t="str" cm="1">
        <f t="array" ref="D1010">choice(Settings!K:K,1,Settings!$B$16)</f>
        <v/>
      </c>
    </row>
    <row r="1011" spans="1:4" x14ac:dyDescent="0.25">
      <c r="A1011" s="2" t="str" cm="1">
        <f t="array" ref="A1011">choice(Professeurs!A:A,1,Settings!$B$16)</f>
        <v>Prof36</v>
      </c>
      <c r="B1011" s="3" cm="1">
        <f t="array" ref="B1011">alea_date(Settings!$B$11,360,Settings!$B$8+alea_int(4,0,Settings!$B$16),Settings!$B$16)</f>
        <v>46101.333333333336</v>
      </c>
      <c r="C1011" s="3" cm="1">
        <f t="array" ref="C1011">B1011+TIME(alea_int(5,1,Settings!$B$16),0,0)</f>
        <v>46101.5</v>
      </c>
      <c r="D1011" s="3" t="str" cm="1">
        <f t="array" ref="D1011">choice(Settings!K:K,1,Settings!$B$16)</f>
        <v/>
      </c>
    </row>
    <row r="1012" spans="1:4" x14ac:dyDescent="0.25">
      <c r="A1012" s="2" t="str" cm="1">
        <f t="array" ref="A1012">choice(Professeurs!A:A,1,Settings!$B$16)</f>
        <v>Prof1</v>
      </c>
      <c r="B1012" s="3" cm="1">
        <f t="array" ref="B1012">alea_date(Settings!$B$11,360,Settings!$B$8+alea_int(4,0,Settings!$B$16),Settings!$B$16)</f>
        <v>46070.375</v>
      </c>
      <c r="C1012" s="3" cm="1">
        <f t="array" ref="C1012">B1012+TIME(alea_int(5,1,Settings!$B$16),0,0)</f>
        <v>46070.583333333336</v>
      </c>
      <c r="D1012" s="3" t="str" cm="1">
        <f t="array" ref="D1012">choice(Settings!K:K,1,Settings!$B$16)</f>
        <v/>
      </c>
    </row>
    <row r="1013" spans="1:4" x14ac:dyDescent="0.25">
      <c r="A1013" s="2" t="str" cm="1">
        <f t="array" ref="A1013">choice(Professeurs!A:A,1,Settings!$B$16)</f>
        <v>Prof35</v>
      </c>
      <c r="B1013" s="3" cm="1">
        <f t="array" ref="B1013">alea_date(Settings!$B$11,360,Settings!$B$8+alea_int(4,0,Settings!$B$16),Settings!$B$16)</f>
        <v>46059.375</v>
      </c>
      <c r="C1013" s="3" cm="1">
        <f t="array" ref="C1013">B1013+TIME(alea_int(5,1,Settings!$B$16),0,0)</f>
        <v>46059.5</v>
      </c>
      <c r="D1013" s="3" t="str" cm="1">
        <f t="array" ref="D1013">choice(Settings!K:K,1,Settings!$B$16)</f>
        <v>mardi pm</v>
      </c>
    </row>
    <row r="1014" spans="1:4" x14ac:dyDescent="0.25">
      <c r="A1014" s="2" t="str" cm="1">
        <f t="array" ref="A1014">choice(Professeurs!A:A,1,Settings!$B$16)</f>
        <v>Prof12</v>
      </c>
      <c r="B1014" s="3" cm="1">
        <f t="array" ref="B1014">alea_date(Settings!$B$11,360,Settings!$B$8+alea_int(4,0,Settings!$B$16),Settings!$B$16)</f>
        <v>46072.416666666664</v>
      </c>
      <c r="C1014" s="3" cm="1">
        <f t="array" ref="C1014">B1014+TIME(alea_int(5,1,Settings!$B$16),0,0)</f>
        <v>46072.458333333328</v>
      </c>
      <c r="D1014" s="3" t="str" cm="1">
        <f t="array" ref="D1014">choice(Settings!K:K,1,Settings!$B$16)</f>
        <v>mercredi pm</v>
      </c>
    </row>
    <row r="1015" spans="1:4" x14ac:dyDescent="0.25">
      <c r="A1015" s="2" t="str" cm="1">
        <f t="array" ref="A1015">choice(Professeurs!A:A,1,Settings!$B$16)</f>
        <v>Prof35</v>
      </c>
      <c r="B1015" s="3" cm="1">
        <f t="array" ref="B1015">alea_date(Settings!$B$11,360,Settings!$B$8+alea_int(4,0,Settings!$B$16),Settings!$B$16)</f>
        <v>46153.375</v>
      </c>
      <c r="C1015" s="3" cm="1">
        <f t="array" ref="C1015">B1015+TIME(alea_int(5,1,Settings!$B$16),0,0)</f>
        <v>46153.416666666664</v>
      </c>
      <c r="D1015" s="3" t="str" cm="1">
        <f t="array" ref="D1015">choice(Settings!K:K,1,Settings!$B$16)</f>
        <v/>
      </c>
    </row>
    <row r="1016" spans="1:4" x14ac:dyDescent="0.25">
      <c r="A1016" s="2" t="str" cm="1">
        <f t="array" ref="A1016">choice(Professeurs!A:A,1,Settings!$B$16)</f>
        <v>Prof9</v>
      </c>
      <c r="B1016" s="3" cm="1">
        <f t="array" ref="B1016">alea_date(Settings!$B$11,360,Settings!$B$8+alea_int(4,0,Settings!$B$16),Settings!$B$16)</f>
        <v>46179.333333333336</v>
      </c>
      <c r="C1016" s="3" cm="1">
        <f t="array" ref="C1016">B1016+TIME(alea_int(5,1,Settings!$B$16),0,0)</f>
        <v>46179.541666666672</v>
      </c>
      <c r="D1016" s="3" t="str" cm="1">
        <f t="array" ref="D1016">choice(Settings!K:K,1,Settings!$B$16)</f>
        <v/>
      </c>
    </row>
    <row r="1017" spans="1:4" x14ac:dyDescent="0.25">
      <c r="A1017" s="2" t="str" cm="1">
        <f t="array" ref="A1017">choice(Professeurs!A:A,1,Settings!$B$16)</f>
        <v>Prof41</v>
      </c>
      <c r="B1017" s="3" cm="1">
        <f t="array" ref="B1017">alea_date(Settings!$B$11,360,Settings!$B$8+alea_int(4,0,Settings!$B$16),Settings!$B$16)</f>
        <v>46048.333333333336</v>
      </c>
      <c r="C1017" s="3" cm="1">
        <f t="array" ref="C1017">B1017+TIME(alea_int(5,1,Settings!$B$16),0,0)</f>
        <v>46048.416666666672</v>
      </c>
      <c r="D1017" s="3" t="str" cm="1">
        <f t="array" ref="D1017">choice(Settings!K:K,1,Settings!$B$16)</f>
        <v/>
      </c>
    </row>
    <row r="1018" spans="1:4" x14ac:dyDescent="0.25">
      <c r="A1018" s="2" t="str" cm="1">
        <f t="array" ref="A1018">choice(Professeurs!A:A,1,Settings!$B$16)</f>
        <v>Prof14</v>
      </c>
      <c r="B1018" s="3" cm="1">
        <f t="array" ref="B1018">alea_date(Settings!$B$11,360,Settings!$B$8+alea_int(4,0,Settings!$B$16),Settings!$B$16)</f>
        <v>46222.458333333336</v>
      </c>
      <c r="C1018" s="3" cm="1">
        <f t="array" ref="C1018">B1018+TIME(alea_int(5,1,Settings!$B$16),0,0)</f>
        <v>46222.583333333336</v>
      </c>
      <c r="D1018" s="3" t="str" cm="1">
        <f t="array" ref="D1018">choice(Settings!K:K,1,Settings!$B$16)</f>
        <v/>
      </c>
    </row>
    <row r="1019" spans="1:4" x14ac:dyDescent="0.25">
      <c r="A1019" s="2" t="str" cm="1">
        <f t="array" ref="A1019">choice(Professeurs!A:A,1,Settings!$B$16)</f>
        <v>Prof39</v>
      </c>
      <c r="B1019" s="3" cm="1">
        <f t="array" ref="B1019">alea_date(Settings!$B$11,360,Settings!$B$8+alea_int(4,0,Settings!$B$16),Settings!$B$16)</f>
        <v>46283.375</v>
      </c>
      <c r="C1019" s="3" cm="1">
        <f t="array" ref="C1019">B1019+TIME(alea_int(5,1,Settings!$B$16),0,0)</f>
        <v>46283.5</v>
      </c>
      <c r="D1019" s="3" t="str" cm="1">
        <f t="array" ref="D1019">choice(Settings!K:K,1,Settings!$B$16)</f>
        <v>vendredi am</v>
      </c>
    </row>
    <row r="1020" spans="1:4" x14ac:dyDescent="0.25">
      <c r="A1020" s="2" t="str" cm="1">
        <f t="array" ref="A1020">choice(Professeurs!A:A,1,Settings!$B$16)</f>
        <v>Prof7</v>
      </c>
      <c r="B1020" s="3" cm="1">
        <f t="array" ref="B1020">alea_date(Settings!$B$11,360,Settings!$B$8+alea_int(4,0,Settings!$B$16),Settings!$B$16)</f>
        <v>46088.458333333336</v>
      </c>
      <c r="C1020" s="3" cm="1">
        <f t="array" ref="C1020">B1020+TIME(alea_int(5,1,Settings!$B$16),0,0)</f>
        <v>46088.625</v>
      </c>
      <c r="D1020" s="3" t="str" cm="1">
        <f t="array" ref="D1020">choice(Settings!K:K,1,Settings!$B$16)</f>
        <v/>
      </c>
    </row>
    <row r="1021" spans="1:4" x14ac:dyDescent="0.25">
      <c r="A1021" s="2" t="str" cm="1">
        <f t="array" ref="A1021">choice(Professeurs!A:A,1,Settings!$B$16)</f>
        <v>Prof54</v>
      </c>
      <c r="B1021" s="3" cm="1">
        <f t="array" ref="B1021">alea_date(Settings!$B$11,360,Settings!$B$8+alea_int(4,0,Settings!$B$16),Settings!$B$16)</f>
        <v>46077.375</v>
      </c>
      <c r="C1021" s="3" cm="1">
        <f t="array" ref="C1021">B1021+TIME(alea_int(5,1,Settings!$B$16),0,0)</f>
        <v>46077.541666666664</v>
      </c>
      <c r="D1021" s="3" t="str" cm="1">
        <f t="array" ref="D1021">choice(Settings!K:K,1,Settings!$B$16)</f>
        <v/>
      </c>
    </row>
    <row r="1022" spans="1:4" x14ac:dyDescent="0.25">
      <c r="A1022" s="2" t="str" cm="1">
        <f t="array" ref="A1022">choice(Professeurs!A:A,1,Settings!$B$16)</f>
        <v>Prof48</v>
      </c>
      <c r="B1022" s="3" cm="1">
        <f t="array" ref="B1022">alea_date(Settings!$B$11,360,Settings!$B$8+alea_int(4,0,Settings!$B$16),Settings!$B$16)</f>
        <v>46044.375</v>
      </c>
      <c r="C1022" s="3" cm="1">
        <f t="array" ref="C1022">B1022+TIME(alea_int(5,1,Settings!$B$16),0,0)</f>
        <v>46044.5</v>
      </c>
      <c r="D1022" s="3" t="str" cm="1">
        <f t="array" ref="D1022">choice(Settings!K:K,1,Settings!$B$16)</f>
        <v>jeudi am</v>
      </c>
    </row>
    <row r="1023" spans="1:4" x14ac:dyDescent="0.25">
      <c r="A1023" s="2" t="str" cm="1">
        <f t="array" ref="A1023">choice(Professeurs!A:A,1,Settings!$B$16)</f>
        <v>Prof7</v>
      </c>
      <c r="B1023" s="3" cm="1">
        <f t="array" ref="B1023">alea_date(Settings!$B$11,360,Settings!$B$8+alea_int(4,0,Settings!$B$16),Settings!$B$16)</f>
        <v>46342.333333333336</v>
      </c>
      <c r="C1023" s="3" cm="1">
        <f t="array" ref="C1023">B1023+TIME(alea_int(5,1,Settings!$B$16),0,0)</f>
        <v>46342.458333333336</v>
      </c>
      <c r="D1023" s="3" t="str" cm="1">
        <f t="array" ref="D1023">choice(Settings!K:K,1,Settings!$B$16)</f>
        <v/>
      </c>
    </row>
    <row r="1024" spans="1:4" x14ac:dyDescent="0.25">
      <c r="A1024" s="2" t="str" cm="1">
        <f t="array" ref="A1024">choice(Professeurs!A:A,1,Settings!$B$16)</f>
        <v>Prof3</v>
      </c>
      <c r="B1024" s="3" cm="1">
        <f t="array" ref="B1024">alea_date(Settings!$B$11,360,Settings!$B$8+alea_int(4,0,Settings!$B$16),Settings!$B$16)</f>
        <v>46125.333333333336</v>
      </c>
      <c r="C1024" s="3" cm="1">
        <f t="array" ref="C1024">B1024+TIME(alea_int(5,1,Settings!$B$16),0,0)</f>
        <v>46125.541666666672</v>
      </c>
      <c r="D1024" s="3" t="str" cm="1">
        <f t="array" ref="D1024">choice(Settings!K:K,1,Settings!$B$16)</f>
        <v/>
      </c>
    </row>
    <row r="1025" spans="1:4" x14ac:dyDescent="0.25">
      <c r="A1025" s="2" t="str" cm="1">
        <f t="array" ref="A1025">choice(Professeurs!A:A,1,Settings!$B$16)</f>
        <v>Prof20</v>
      </c>
      <c r="B1025" s="3" cm="1">
        <f t="array" ref="B1025">alea_date(Settings!$B$11,360,Settings!$B$8+alea_int(4,0,Settings!$B$16),Settings!$B$16)</f>
        <v>46103.375</v>
      </c>
      <c r="C1025" s="3" cm="1">
        <f t="array" ref="C1025">B1025+TIME(alea_int(5,1,Settings!$B$16),0,0)</f>
        <v>46103.458333333336</v>
      </c>
      <c r="D1025" s="3" t="str" cm="1">
        <f t="array" ref="D1025">choice(Settings!K:K,1,Settings!$B$16)</f>
        <v/>
      </c>
    </row>
    <row r="1026" spans="1:4" x14ac:dyDescent="0.25">
      <c r="A1026" s="2" t="str" cm="1">
        <f t="array" ref="A1026">choice(Professeurs!A:A,1,Settings!$B$16)</f>
        <v>Prof19</v>
      </c>
      <c r="B1026" s="3" cm="1">
        <f t="array" ref="B1026">alea_date(Settings!$B$11,360,Settings!$B$8+alea_int(4,0,Settings!$B$16),Settings!$B$16)</f>
        <v>46033.416666666664</v>
      </c>
      <c r="C1026" s="3" cm="1">
        <f t="array" ref="C1026">B1026+TIME(alea_int(5,1,Settings!$B$16),0,0)</f>
        <v>46033.625</v>
      </c>
      <c r="D1026" s="3" t="str" cm="1">
        <f t="array" ref="D1026">choice(Settings!K:K,1,Settings!$B$16)</f>
        <v/>
      </c>
    </row>
    <row r="1027" spans="1:4" x14ac:dyDescent="0.25">
      <c r="A1027" s="2" t="str" cm="1">
        <f t="array" ref="A1027">choice(Professeurs!A:A,1,Settings!$B$16)</f>
        <v>Prof31</v>
      </c>
      <c r="B1027" s="3" cm="1">
        <f t="array" ref="B1027">alea_date(Settings!$B$11,360,Settings!$B$8+alea_int(4,0,Settings!$B$16),Settings!$B$16)</f>
        <v>46214.458333333336</v>
      </c>
      <c r="C1027" s="3" cm="1">
        <f t="array" ref="C1027">B1027+TIME(alea_int(5,1,Settings!$B$16),0,0)</f>
        <v>46214.541666666672</v>
      </c>
      <c r="D1027" s="3" t="str" cm="1">
        <f t="array" ref="D1027">choice(Settings!K:K,1,Settings!$B$16)</f>
        <v/>
      </c>
    </row>
    <row r="1028" spans="1:4" x14ac:dyDescent="0.25">
      <c r="A1028" s="2" t="str" cm="1">
        <f t="array" ref="A1028">choice(Professeurs!A:A,1,Settings!$B$16)</f>
        <v>Prof18</v>
      </c>
      <c r="B1028" s="3" cm="1">
        <f t="array" ref="B1028">alea_date(Settings!$B$11,360,Settings!$B$8+alea_int(4,0,Settings!$B$16),Settings!$B$16)</f>
        <v>46079.458333333336</v>
      </c>
      <c r="C1028" s="3" cm="1">
        <f t="array" ref="C1028">B1028+TIME(alea_int(5,1,Settings!$B$16),0,0)</f>
        <v>46079.541666666672</v>
      </c>
      <c r="D1028" s="3" t="str" cm="1">
        <f t="array" ref="D1028">choice(Settings!K:K,1,Settings!$B$16)</f>
        <v/>
      </c>
    </row>
    <row r="1029" spans="1:4" x14ac:dyDescent="0.25">
      <c r="A1029" s="2" t="str" cm="1">
        <f t="array" ref="A1029">choice(Professeurs!A:A,1,Settings!$B$16)</f>
        <v>Prof53</v>
      </c>
      <c r="B1029" s="3" cm="1">
        <f t="array" ref="B1029">alea_date(Settings!$B$11,360,Settings!$B$8+alea_int(4,0,Settings!$B$16),Settings!$B$16)</f>
        <v>46381.416666666664</v>
      </c>
      <c r="C1029" s="3" cm="1">
        <f t="array" ref="C1029">B1029+TIME(alea_int(5,1,Settings!$B$16),0,0)</f>
        <v>46381.625</v>
      </c>
      <c r="D1029" s="3" t="str" cm="1">
        <f t="array" ref="D1029">choice(Settings!K:K,1,Settings!$B$16)</f>
        <v/>
      </c>
    </row>
    <row r="1030" spans="1:4" x14ac:dyDescent="0.25">
      <c r="A1030" s="2" t="str" cm="1">
        <f t="array" ref="A1030">choice(Professeurs!A:A,1,Settings!$B$16)</f>
        <v>Prof33</v>
      </c>
      <c r="B1030" s="3" cm="1">
        <f t="array" ref="B1030">alea_date(Settings!$B$11,360,Settings!$B$8+alea_int(4,0,Settings!$B$16),Settings!$B$16)</f>
        <v>46355.458333333336</v>
      </c>
      <c r="C1030" s="3" cm="1">
        <f t="array" ref="C1030">B1030+TIME(alea_int(5,1,Settings!$B$16),0,0)</f>
        <v>46355.583333333336</v>
      </c>
      <c r="D1030" s="3" t="str" cm="1">
        <f t="array" ref="D1030">choice(Settings!K:K,1,Settings!$B$16)</f>
        <v/>
      </c>
    </row>
    <row r="1031" spans="1:4" x14ac:dyDescent="0.25">
      <c r="A1031" s="2" t="str" cm="1">
        <f t="array" ref="A1031">choice(Professeurs!A:A,1,Settings!$B$16)</f>
        <v>Prof8</v>
      </c>
      <c r="B1031" s="3" cm="1">
        <f t="array" ref="B1031">alea_date(Settings!$B$11,360,Settings!$B$8+alea_int(4,0,Settings!$B$16),Settings!$B$16)</f>
        <v>46099.458333333336</v>
      </c>
      <c r="C1031" s="3" cm="1">
        <f t="array" ref="C1031">B1031+TIME(alea_int(5,1,Settings!$B$16),0,0)</f>
        <v>46099.625</v>
      </c>
      <c r="D1031" s="3" t="str" cm="1">
        <f t="array" ref="D1031">choice(Settings!K:K,1,Settings!$B$16)</f>
        <v/>
      </c>
    </row>
    <row r="1032" spans="1:4" x14ac:dyDescent="0.25">
      <c r="A1032" s="2" t="str" cm="1">
        <f t="array" ref="A1032">choice(Professeurs!A:A,1,Settings!$B$16)</f>
        <v>Prof33</v>
      </c>
      <c r="B1032" s="3" cm="1">
        <f t="array" ref="B1032">alea_date(Settings!$B$11,360,Settings!$B$8+alea_int(4,0,Settings!$B$16),Settings!$B$16)</f>
        <v>46028.375</v>
      </c>
      <c r="C1032" s="3" cm="1">
        <f t="array" ref="C1032">B1032+TIME(alea_int(5,1,Settings!$B$16),0,0)</f>
        <v>46028.416666666664</v>
      </c>
      <c r="D1032" s="3" t="str" cm="1">
        <f t="array" ref="D1032">choice(Settings!K:K,1,Settings!$B$16)</f>
        <v/>
      </c>
    </row>
    <row r="1033" spans="1:4" x14ac:dyDescent="0.25">
      <c r="A1033" s="2" t="str" cm="1">
        <f t="array" ref="A1033">choice(Professeurs!A:A,1,Settings!$B$16)</f>
        <v>Prof48</v>
      </c>
      <c r="B1033" s="3" cm="1">
        <f t="array" ref="B1033">alea_date(Settings!$B$11,360,Settings!$B$8+alea_int(4,0,Settings!$B$16),Settings!$B$16)</f>
        <v>46379.333333333336</v>
      </c>
      <c r="C1033" s="3" cm="1">
        <f t="array" ref="C1033">B1033+TIME(alea_int(5,1,Settings!$B$16),0,0)</f>
        <v>46379.375</v>
      </c>
      <c r="D1033" s="3" t="str" cm="1">
        <f t="array" ref="D1033">choice(Settings!K:K,1,Settings!$B$16)</f>
        <v/>
      </c>
    </row>
    <row r="1034" spans="1:4" x14ac:dyDescent="0.25">
      <c r="A1034" s="2" t="str" cm="1">
        <f t="array" ref="A1034">choice(Professeurs!A:A,1,Settings!$B$16)</f>
        <v>Prof18</v>
      </c>
      <c r="B1034" s="3" cm="1">
        <f t="array" ref="B1034">alea_date(Settings!$B$11,360,Settings!$B$8+alea_int(4,0,Settings!$B$16),Settings!$B$16)</f>
        <v>46232.416666666664</v>
      </c>
      <c r="C1034" s="3" cm="1">
        <f t="array" ref="C1034">B1034+TIME(alea_int(5,1,Settings!$B$16),0,0)</f>
        <v>46232.625</v>
      </c>
      <c r="D1034" s="3" t="str" cm="1">
        <f t="array" ref="D1034">choice(Settings!K:K,1,Settings!$B$16)</f>
        <v>vendredi am</v>
      </c>
    </row>
    <row r="1035" spans="1:4" x14ac:dyDescent="0.25">
      <c r="A1035" s="2" t="str" cm="1">
        <f t="array" ref="A1035">choice(Professeurs!A:A,1,Settings!$B$16)</f>
        <v>Prof6</v>
      </c>
      <c r="B1035" s="3" cm="1">
        <f t="array" ref="B1035">alea_date(Settings!$B$11,360,Settings!$B$8+alea_int(4,0,Settings!$B$16),Settings!$B$16)</f>
        <v>46316.375</v>
      </c>
      <c r="C1035" s="3" cm="1">
        <f t="array" ref="C1035">B1035+TIME(alea_int(5,1,Settings!$B$16),0,0)</f>
        <v>46316.5</v>
      </c>
      <c r="D1035" s="3" t="str" cm="1">
        <f t="array" ref="D1035">choice(Settings!K:K,1,Settings!$B$16)</f>
        <v/>
      </c>
    </row>
    <row r="1036" spans="1:4" x14ac:dyDescent="0.25">
      <c r="A1036" s="2" t="str" cm="1">
        <f t="array" ref="A1036">choice(Professeurs!A:A,1,Settings!$B$16)</f>
        <v>Prof18</v>
      </c>
      <c r="B1036" s="3" cm="1">
        <f t="array" ref="B1036">alea_date(Settings!$B$11,360,Settings!$B$8+alea_int(4,0,Settings!$B$16),Settings!$B$16)</f>
        <v>46263.458333333336</v>
      </c>
      <c r="C1036" s="3" cm="1">
        <f t="array" ref="C1036">B1036+TIME(alea_int(5,1,Settings!$B$16),0,0)</f>
        <v>46263.583333333336</v>
      </c>
      <c r="D1036" s="3" t="str" cm="1">
        <f t="array" ref="D1036">choice(Settings!K:K,1,Settings!$B$16)</f>
        <v/>
      </c>
    </row>
    <row r="1037" spans="1:4" x14ac:dyDescent="0.25">
      <c r="A1037" s="2" t="str" cm="1">
        <f t="array" ref="A1037">choice(Professeurs!A:A,1,Settings!$B$16)</f>
        <v>Prof51</v>
      </c>
      <c r="B1037" s="3" cm="1">
        <f t="array" ref="B1037">alea_date(Settings!$B$11,360,Settings!$B$8+alea_int(4,0,Settings!$B$16),Settings!$B$16)</f>
        <v>46246.333333333336</v>
      </c>
      <c r="C1037" s="3" cm="1">
        <f t="array" ref="C1037">B1037+TIME(alea_int(5,1,Settings!$B$16),0,0)</f>
        <v>46246.375</v>
      </c>
      <c r="D1037" s="3" t="str" cm="1">
        <f t="array" ref="D1037">choice(Settings!K:K,1,Settings!$B$16)</f>
        <v/>
      </c>
    </row>
    <row r="1038" spans="1:4" x14ac:dyDescent="0.25">
      <c r="A1038" s="2" t="str" cm="1">
        <f t="array" ref="A1038">choice(Professeurs!A:A,1,Settings!$B$16)</f>
        <v>Prof22</v>
      </c>
      <c r="B1038" s="3" cm="1">
        <f t="array" ref="B1038">alea_date(Settings!$B$11,360,Settings!$B$8+alea_int(4,0,Settings!$B$16),Settings!$B$16)</f>
        <v>46344.333333333336</v>
      </c>
      <c r="C1038" s="3" cm="1">
        <f t="array" ref="C1038">B1038+TIME(alea_int(5,1,Settings!$B$16),0,0)</f>
        <v>46344.5</v>
      </c>
      <c r="D1038" s="3" t="str" cm="1">
        <f t="array" ref="D1038">choice(Settings!K:K,1,Settings!$B$16)</f>
        <v/>
      </c>
    </row>
    <row r="1039" spans="1:4" x14ac:dyDescent="0.25">
      <c r="A1039" s="2" t="str" cm="1">
        <f t="array" ref="A1039">choice(Professeurs!A:A,1,Settings!$B$16)</f>
        <v>Prof28</v>
      </c>
      <c r="B1039" s="3" cm="1">
        <f t="array" ref="B1039">alea_date(Settings!$B$11,360,Settings!$B$8+alea_int(4,0,Settings!$B$16),Settings!$B$16)</f>
        <v>46170.375</v>
      </c>
      <c r="C1039" s="3" cm="1">
        <f t="array" ref="C1039">B1039+TIME(alea_int(5,1,Settings!$B$16),0,0)</f>
        <v>46170.458333333336</v>
      </c>
      <c r="D1039" s="3" t="str" cm="1">
        <f t="array" ref="D1039">choice(Settings!K:K,1,Settings!$B$16)</f>
        <v/>
      </c>
    </row>
    <row r="1040" spans="1:4" x14ac:dyDescent="0.25">
      <c r="A1040" s="2" t="str" cm="1">
        <f t="array" ref="A1040">choice(Professeurs!A:A,1,Settings!$B$16)</f>
        <v>Prof30</v>
      </c>
      <c r="B1040" s="3" cm="1">
        <f t="array" ref="B1040">alea_date(Settings!$B$11,360,Settings!$B$8+alea_int(4,0,Settings!$B$16),Settings!$B$16)</f>
        <v>46129.458333333336</v>
      </c>
      <c r="C1040" s="3" cm="1">
        <f t="array" ref="C1040">B1040+TIME(alea_int(5,1,Settings!$B$16),0,0)</f>
        <v>46129.5</v>
      </c>
      <c r="D1040" s="3" t="str" cm="1">
        <f t="array" ref="D1040">choice(Settings!K:K,1,Settings!$B$16)</f>
        <v/>
      </c>
    </row>
    <row r="1041" spans="1:4" x14ac:dyDescent="0.25">
      <c r="A1041" s="2" t="str" cm="1">
        <f t="array" ref="A1041">choice(Professeurs!A:A,1,Settings!$B$16)</f>
        <v>Prof41</v>
      </c>
      <c r="B1041" s="3" cm="1">
        <f t="array" ref="B1041">alea_date(Settings!$B$11,360,Settings!$B$8+alea_int(4,0,Settings!$B$16),Settings!$B$16)</f>
        <v>46188.375</v>
      </c>
      <c r="C1041" s="3" cm="1">
        <f t="array" ref="C1041">B1041+TIME(alea_int(5,1,Settings!$B$16),0,0)</f>
        <v>46188.458333333336</v>
      </c>
      <c r="D1041" s="3" t="str" cm="1">
        <f t="array" ref="D1041">choice(Settings!K:K,1,Settings!$B$16)</f>
        <v/>
      </c>
    </row>
    <row r="1042" spans="1:4" x14ac:dyDescent="0.25">
      <c r="A1042" s="2" t="str" cm="1">
        <f t="array" ref="A1042">choice(Professeurs!A:A,1,Settings!$B$16)</f>
        <v>Prof36</v>
      </c>
      <c r="B1042" s="3" cm="1">
        <f t="array" ref="B1042">alea_date(Settings!$B$11,360,Settings!$B$8+alea_int(4,0,Settings!$B$16),Settings!$B$16)</f>
        <v>46057.458333333336</v>
      </c>
      <c r="C1042" s="3" cm="1">
        <f t="array" ref="C1042">B1042+TIME(alea_int(5,1,Settings!$B$16),0,0)</f>
        <v>46057.625</v>
      </c>
      <c r="D1042" s="3" t="str" cm="1">
        <f t="array" ref="D1042">choice(Settings!K:K,1,Settings!$B$16)</f>
        <v/>
      </c>
    </row>
    <row r="1043" spans="1:4" x14ac:dyDescent="0.25">
      <c r="A1043" s="2" t="str" cm="1">
        <f t="array" ref="A1043">choice(Professeurs!A:A,1,Settings!$B$16)</f>
        <v>Prof11</v>
      </c>
      <c r="B1043" s="3" cm="1">
        <f t="array" ref="B1043">alea_date(Settings!$B$11,360,Settings!$B$8+alea_int(4,0,Settings!$B$16),Settings!$B$16)</f>
        <v>46136.333333333336</v>
      </c>
      <c r="C1043" s="3" cm="1">
        <f t="array" ref="C1043">B1043+TIME(alea_int(5,1,Settings!$B$16),0,0)</f>
        <v>46136.458333333336</v>
      </c>
      <c r="D1043" s="3" t="str" cm="1">
        <f t="array" ref="D1043">choice(Settings!K:K,1,Settings!$B$16)</f>
        <v/>
      </c>
    </row>
    <row r="1044" spans="1:4" x14ac:dyDescent="0.25">
      <c r="A1044" s="2" t="str" cm="1">
        <f t="array" ref="A1044">choice(Professeurs!A:A,1,Settings!$B$16)</f>
        <v>Prof48</v>
      </c>
      <c r="B1044" s="3" cm="1">
        <f t="array" ref="B1044">alea_date(Settings!$B$11,360,Settings!$B$8+alea_int(4,0,Settings!$B$16),Settings!$B$16)</f>
        <v>46206.333333333336</v>
      </c>
      <c r="C1044" s="3" cm="1">
        <f t="array" ref="C1044">B1044+TIME(alea_int(5,1,Settings!$B$16),0,0)</f>
        <v>46206.458333333336</v>
      </c>
      <c r="D1044" s="3" t="str" cm="1">
        <f t="array" ref="D1044">choice(Settings!K:K,1,Settings!$B$16)</f>
        <v/>
      </c>
    </row>
    <row r="1045" spans="1:4" x14ac:dyDescent="0.25">
      <c r="A1045" s="2" t="str" cm="1">
        <f t="array" ref="A1045">choice(Professeurs!A:A,1,Settings!$B$16)</f>
        <v>Prof10</v>
      </c>
      <c r="B1045" s="3" cm="1">
        <f t="array" ref="B1045">alea_date(Settings!$B$11,360,Settings!$B$8+alea_int(4,0,Settings!$B$16),Settings!$B$16)</f>
        <v>46215.375</v>
      </c>
      <c r="C1045" s="3" cm="1">
        <f t="array" ref="C1045">B1045+TIME(alea_int(5,1,Settings!$B$16),0,0)</f>
        <v>46215.583333333336</v>
      </c>
      <c r="D1045" s="3" t="str" cm="1">
        <f t="array" ref="D1045">choice(Settings!K:K,1,Settings!$B$16)</f>
        <v/>
      </c>
    </row>
    <row r="1046" spans="1:4" x14ac:dyDescent="0.25">
      <c r="A1046" s="2" t="str" cm="1">
        <f t="array" ref="A1046">choice(Professeurs!A:A,1,Settings!$B$16)</f>
        <v>Prof43</v>
      </c>
      <c r="B1046" s="3" cm="1">
        <f t="array" ref="B1046">alea_date(Settings!$B$11,360,Settings!$B$8+alea_int(4,0,Settings!$B$16),Settings!$B$16)</f>
        <v>46092.375</v>
      </c>
      <c r="C1046" s="3" cm="1">
        <f t="array" ref="C1046">B1046+TIME(alea_int(5,1,Settings!$B$16),0,0)</f>
        <v>46092.416666666664</v>
      </c>
      <c r="D1046" s="3" t="str" cm="1">
        <f t="array" ref="D1046">choice(Settings!K:K,1,Settings!$B$16)</f>
        <v>mercredi pm</v>
      </c>
    </row>
    <row r="1047" spans="1:4" x14ac:dyDescent="0.25">
      <c r="A1047" s="2" t="str" cm="1">
        <f t="array" ref="A1047">choice(Professeurs!A:A,1,Settings!$B$16)</f>
        <v>Prof44</v>
      </c>
      <c r="B1047" s="3" cm="1">
        <f t="array" ref="B1047">alea_date(Settings!$B$11,360,Settings!$B$8+alea_int(4,0,Settings!$B$16),Settings!$B$16)</f>
        <v>46367.416666666664</v>
      </c>
      <c r="C1047" s="3" cm="1">
        <f t="array" ref="C1047">B1047+TIME(alea_int(5,1,Settings!$B$16),0,0)</f>
        <v>46367.458333333328</v>
      </c>
      <c r="D1047" s="3" t="str" cm="1">
        <f t="array" ref="D1047">choice(Settings!K:K,1,Settings!$B$16)</f>
        <v/>
      </c>
    </row>
    <row r="1048" spans="1:4" x14ac:dyDescent="0.25">
      <c r="A1048" s="2" t="str" cm="1">
        <f t="array" ref="A1048">choice(Professeurs!A:A,1,Settings!$B$16)</f>
        <v>Prof51</v>
      </c>
      <c r="B1048" s="3" cm="1">
        <f t="array" ref="B1048">alea_date(Settings!$B$11,360,Settings!$B$8+alea_int(4,0,Settings!$B$16),Settings!$B$16)</f>
        <v>46360.458333333336</v>
      </c>
      <c r="C1048" s="3" cm="1">
        <f t="array" ref="C1048">B1048+TIME(alea_int(5,1,Settings!$B$16),0,0)</f>
        <v>46360.625</v>
      </c>
      <c r="D1048" s="3" t="str" cm="1">
        <f t="array" ref="D1048">choice(Settings!K:K,1,Settings!$B$16)</f>
        <v/>
      </c>
    </row>
    <row r="1049" spans="1:4" x14ac:dyDescent="0.25">
      <c r="A1049" s="2" t="str" cm="1">
        <f t="array" ref="A1049">choice(Professeurs!A:A,1,Settings!$B$16)</f>
        <v>Prof20</v>
      </c>
      <c r="B1049" s="3" cm="1">
        <f t="array" ref="B1049">alea_date(Settings!$B$11,360,Settings!$B$8+alea_int(4,0,Settings!$B$16),Settings!$B$16)</f>
        <v>46348.458333333336</v>
      </c>
      <c r="C1049" s="3" cm="1">
        <f t="array" ref="C1049">B1049+TIME(alea_int(5,1,Settings!$B$16),0,0)</f>
        <v>46348.583333333336</v>
      </c>
      <c r="D1049" s="3" t="str" cm="1">
        <f t="array" ref="D1049">choice(Settings!K:K,1,Settings!$B$16)</f>
        <v>mercredi ap</v>
      </c>
    </row>
    <row r="1050" spans="1:4" x14ac:dyDescent="0.25">
      <c r="A1050" s="2" t="str" cm="1">
        <f t="array" ref="A1050">choice(Professeurs!A:A,1,Settings!$B$16)</f>
        <v>Prof28</v>
      </c>
      <c r="B1050" s="3" cm="1">
        <f t="array" ref="B1050">alea_date(Settings!$B$11,360,Settings!$B$8+alea_int(4,0,Settings!$B$16),Settings!$B$16)</f>
        <v>46108.458333333336</v>
      </c>
      <c r="C1050" s="3" cm="1">
        <f t="array" ref="C1050">B1050+TIME(alea_int(5,1,Settings!$B$16),0,0)</f>
        <v>46108.541666666672</v>
      </c>
      <c r="D1050" s="3" t="str" cm="1">
        <f t="array" ref="D1050">choice(Settings!K:K,1,Settings!$B$16)</f>
        <v/>
      </c>
    </row>
    <row r="1051" spans="1:4" x14ac:dyDescent="0.25">
      <c r="A1051" s="2" t="str" cm="1">
        <f t="array" ref="A1051">choice(Professeurs!A:A,1,Settings!$B$16)</f>
        <v>Prof15</v>
      </c>
      <c r="B1051" s="3" cm="1">
        <f t="array" ref="B1051">alea_date(Settings!$B$11,360,Settings!$B$8+alea_int(4,0,Settings!$B$16),Settings!$B$16)</f>
        <v>46302.458333333336</v>
      </c>
      <c r="C1051" s="3" cm="1">
        <f t="array" ref="C1051">B1051+TIME(alea_int(5,1,Settings!$B$16),0,0)</f>
        <v>46302.541666666672</v>
      </c>
      <c r="D1051" s="3" t="str" cm="1">
        <f t="array" ref="D1051">choice(Settings!K:K,1,Settings!$B$16)</f>
        <v/>
      </c>
    </row>
    <row r="1052" spans="1:4" x14ac:dyDescent="0.25">
      <c r="A1052" s="2" t="str" cm="1">
        <f t="array" ref="A1052">choice(Professeurs!A:A,1,Settings!$B$16)</f>
        <v>Prof47</v>
      </c>
      <c r="B1052" s="3" cm="1">
        <f t="array" ref="B1052">alea_date(Settings!$B$11,360,Settings!$B$8+alea_int(4,0,Settings!$B$16),Settings!$B$16)</f>
        <v>46051.458333333336</v>
      </c>
      <c r="C1052" s="3" cm="1">
        <f t="array" ref="C1052">B1052+TIME(alea_int(5,1,Settings!$B$16),0,0)</f>
        <v>46051.541666666672</v>
      </c>
      <c r="D1052" s="3" t="str" cm="1">
        <f t="array" ref="D1052">choice(Settings!K:K,1,Settings!$B$16)</f>
        <v/>
      </c>
    </row>
    <row r="1053" spans="1:4" x14ac:dyDescent="0.25">
      <c r="A1053" s="2" t="str" cm="1">
        <f t="array" ref="A1053">choice(Professeurs!A:A,1,Settings!$B$16)</f>
        <v>Prof15</v>
      </c>
      <c r="B1053" s="3" cm="1">
        <f t="array" ref="B1053">alea_date(Settings!$B$11,360,Settings!$B$8+alea_int(4,0,Settings!$B$16),Settings!$B$16)</f>
        <v>46233.416666666664</v>
      </c>
      <c r="C1053" s="3" cm="1">
        <f t="array" ref="C1053">B1053+TIME(alea_int(5,1,Settings!$B$16),0,0)</f>
        <v>46233.541666666664</v>
      </c>
      <c r="D1053" s="3" t="str" cm="1">
        <f t="array" ref="D1053">choice(Settings!K:K,1,Settings!$B$16)</f>
        <v>vendredi pm</v>
      </c>
    </row>
    <row r="1054" spans="1:4" x14ac:dyDescent="0.25">
      <c r="A1054" s="2" t="str" cm="1">
        <f t="array" ref="A1054">choice(Professeurs!A:A,1,Settings!$B$16)</f>
        <v>Prof45</v>
      </c>
      <c r="B1054" s="3" cm="1">
        <f t="array" ref="B1054">alea_date(Settings!$B$11,360,Settings!$B$8+alea_int(4,0,Settings!$B$16),Settings!$B$16)</f>
        <v>46133.458333333336</v>
      </c>
      <c r="C1054" s="3" cm="1">
        <f t="array" ref="C1054">B1054+TIME(alea_int(5,1,Settings!$B$16),0,0)</f>
        <v>46133.5</v>
      </c>
      <c r="D1054" s="3" t="str" cm="1">
        <f t="array" ref="D1054">choice(Settings!K:K,1,Settings!$B$16)</f>
        <v/>
      </c>
    </row>
    <row r="1055" spans="1:4" x14ac:dyDescent="0.25">
      <c r="A1055" s="2" t="str" cm="1">
        <f t="array" ref="A1055">choice(Professeurs!A:A,1,Settings!$B$16)</f>
        <v>Prof49</v>
      </c>
      <c r="B1055" s="3" cm="1">
        <f t="array" ref="B1055">alea_date(Settings!$B$11,360,Settings!$B$8+alea_int(4,0,Settings!$B$16),Settings!$B$16)</f>
        <v>46168.458333333336</v>
      </c>
      <c r="C1055" s="3" cm="1">
        <f t="array" ref="C1055">B1055+TIME(alea_int(5,1,Settings!$B$16),0,0)</f>
        <v>46168.5</v>
      </c>
      <c r="D1055" s="3" t="str" cm="1">
        <f t="array" ref="D1055">choice(Settings!K:K,1,Settings!$B$16)</f>
        <v/>
      </c>
    </row>
    <row r="1056" spans="1:4" x14ac:dyDescent="0.25">
      <c r="A1056" s="2" t="str" cm="1">
        <f t="array" ref="A1056">choice(Professeurs!A:A,1,Settings!$B$16)</f>
        <v>Prof55</v>
      </c>
      <c r="B1056" s="3" cm="1">
        <f t="array" ref="B1056">alea_date(Settings!$B$11,360,Settings!$B$8+alea_int(4,0,Settings!$B$16),Settings!$B$16)</f>
        <v>46028.416666666664</v>
      </c>
      <c r="C1056" s="3" cm="1">
        <f t="array" ref="C1056">B1056+TIME(alea_int(5,1,Settings!$B$16),0,0)</f>
        <v>46028.541666666664</v>
      </c>
      <c r="D1056" s="3" t="str" cm="1">
        <f t="array" ref="D1056">choice(Settings!K:K,1,Settings!$B$16)</f>
        <v/>
      </c>
    </row>
    <row r="1057" spans="1:4" x14ac:dyDescent="0.25">
      <c r="A1057" s="2" t="str" cm="1">
        <f t="array" ref="A1057">choice(Professeurs!A:A,1,Settings!$B$16)</f>
        <v>Prof22</v>
      </c>
      <c r="B1057" s="3" cm="1">
        <f t="array" ref="B1057">alea_date(Settings!$B$11,360,Settings!$B$8+alea_int(4,0,Settings!$B$16),Settings!$B$16)</f>
        <v>46289.458333333336</v>
      </c>
      <c r="C1057" s="3" cm="1">
        <f t="array" ref="C1057">B1057+TIME(alea_int(5,1,Settings!$B$16),0,0)</f>
        <v>46289.541666666672</v>
      </c>
      <c r="D1057" s="3" t="str" cm="1">
        <f t="array" ref="D1057">choice(Settings!K:K,1,Settings!$B$16)</f>
        <v/>
      </c>
    </row>
    <row r="1058" spans="1:4" x14ac:dyDescent="0.25">
      <c r="A1058" s="2" t="str" cm="1">
        <f t="array" ref="A1058">choice(Professeurs!A:A,1,Settings!$B$16)</f>
        <v>Prof21</v>
      </c>
      <c r="B1058" s="3" cm="1">
        <f t="array" ref="B1058">alea_date(Settings!$B$11,360,Settings!$B$8+alea_int(4,0,Settings!$B$16),Settings!$B$16)</f>
        <v>46264.416666666664</v>
      </c>
      <c r="C1058" s="3" cm="1">
        <f t="array" ref="C1058">B1058+TIME(alea_int(5,1,Settings!$B$16),0,0)</f>
        <v>46264.541666666664</v>
      </c>
      <c r="D1058" s="3" t="str" cm="1">
        <f t="array" ref="D1058">choice(Settings!K:K,1,Settings!$B$16)</f>
        <v/>
      </c>
    </row>
    <row r="1059" spans="1:4" x14ac:dyDescent="0.25">
      <c r="A1059" s="2" t="str" cm="1">
        <f t="array" ref="A1059">choice(Professeurs!A:A,1,Settings!$B$16)</f>
        <v>Prof4</v>
      </c>
      <c r="B1059" s="3" cm="1">
        <f t="array" ref="B1059">alea_date(Settings!$B$11,360,Settings!$B$8+alea_int(4,0,Settings!$B$16),Settings!$B$16)</f>
        <v>46171.333333333336</v>
      </c>
      <c r="C1059" s="3" cm="1">
        <f t="array" ref="C1059">B1059+TIME(alea_int(5,1,Settings!$B$16),0,0)</f>
        <v>46171.5</v>
      </c>
      <c r="D1059" s="3" t="str" cm="1">
        <f t="array" ref="D1059">choice(Settings!K:K,1,Settings!$B$16)</f>
        <v/>
      </c>
    </row>
    <row r="1060" spans="1:4" x14ac:dyDescent="0.25">
      <c r="A1060" s="2" t="str" cm="1">
        <f t="array" ref="A1060">choice(Professeurs!A:A,1,Settings!$B$16)</f>
        <v>Prof19</v>
      </c>
      <c r="B1060" s="3" cm="1">
        <f t="array" ref="B1060">alea_date(Settings!$B$11,360,Settings!$B$8+alea_int(4,0,Settings!$B$16),Settings!$B$16)</f>
        <v>46277.375</v>
      </c>
      <c r="C1060" s="3" cm="1">
        <f t="array" ref="C1060">B1060+TIME(alea_int(5,1,Settings!$B$16),0,0)</f>
        <v>46277.416666666664</v>
      </c>
      <c r="D1060" s="3" t="str" cm="1">
        <f t="array" ref="D1060">choice(Settings!K:K,1,Settings!$B$16)</f>
        <v/>
      </c>
    </row>
    <row r="1061" spans="1:4" x14ac:dyDescent="0.25">
      <c r="A1061" s="2" t="str" cm="1">
        <f t="array" ref="A1061">choice(Professeurs!A:A,1,Settings!$B$16)</f>
        <v>Prof14</v>
      </c>
      <c r="B1061" s="3" cm="1">
        <f t="array" ref="B1061">alea_date(Settings!$B$11,360,Settings!$B$8+alea_int(4,0,Settings!$B$16),Settings!$B$16)</f>
        <v>46078.416666666664</v>
      </c>
      <c r="C1061" s="3" cm="1">
        <f t="array" ref="C1061">B1061+TIME(alea_int(5,1,Settings!$B$16),0,0)</f>
        <v>46078.541666666664</v>
      </c>
      <c r="D1061" s="3" t="str" cm="1">
        <f t="array" ref="D1061">choice(Settings!K:K,1,Settings!$B$16)</f>
        <v>mardi am</v>
      </c>
    </row>
    <row r="1062" spans="1:4" x14ac:dyDescent="0.25">
      <c r="A1062" s="2" t="str" cm="1">
        <f t="array" ref="A1062">choice(Professeurs!A:A,1,Settings!$B$16)</f>
        <v>Prof19</v>
      </c>
      <c r="B1062" s="3" cm="1">
        <f t="array" ref="B1062">alea_date(Settings!$B$11,360,Settings!$B$8+alea_int(4,0,Settings!$B$16),Settings!$B$16)</f>
        <v>46167.458333333336</v>
      </c>
      <c r="C1062" s="3" cm="1">
        <f t="array" ref="C1062">B1062+TIME(alea_int(5,1,Settings!$B$16),0,0)</f>
        <v>46167.541666666672</v>
      </c>
      <c r="D1062" s="3" t="str" cm="1">
        <f t="array" ref="D1062">choice(Settings!K:K,1,Settings!$B$16)</f>
        <v>mardi am</v>
      </c>
    </row>
    <row r="1063" spans="1:4" x14ac:dyDescent="0.25">
      <c r="A1063" s="2" t="str" cm="1">
        <f t="array" ref="A1063">choice(Professeurs!A:A,1,Settings!$B$16)</f>
        <v>Prof27</v>
      </c>
      <c r="B1063" s="3" cm="1">
        <f t="array" ref="B1063">alea_date(Settings!$B$11,360,Settings!$B$8+alea_int(4,0,Settings!$B$16),Settings!$B$16)</f>
        <v>46131.458333333336</v>
      </c>
      <c r="C1063" s="3" cm="1">
        <f t="array" ref="C1063">B1063+TIME(alea_int(5,1,Settings!$B$16),0,0)</f>
        <v>46131.666666666672</v>
      </c>
      <c r="D1063" s="3" t="str" cm="1">
        <f t="array" ref="D1063">choice(Settings!K:K,1,Settings!$B$16)</f>
        <v/>
      </c>
    </row>
    <row r="1064" spans="1:4" x14ac:dyDescent="0.25">
      <c r="A1064" s="2" t="str" cm="1">
        <f t="array" ref="A1064">choice(Professeurs!A:A,1,Settings!$B$16)</f>
        <v>Prof53</v>
      </c>
      <c r="B1064" s="3" cm="1">
        <f t="array" ref="B1064">alea_date(Settings!$B$11,360,Settings!$B$8+alea_int(4,0,Settings!$B$16),Settings!$B$16)</f>
        <v>46206.458333333336</v>
      </c>
      <c r="C1064" s="3" cm="1">
        <f t="array" ref="C1064">B1064+TIME(alea_int(5,1,Settings!$B$16),0,0)</f>
        <v>46206.5</v>
      </c>
      <c r="D1064" s="3" t="str" cm="1">
        <f t="array" ref="D1064">choice(Settings!K:K,1,Settings!$B$16)</f>
        <v/>
      </c>
    </row>
    <row r="1065" spans="1:4" x14ac:dyDescent="0.25">
      <c r="A1065" s="2" t="str" cm="1">
        <f t="array" ref="A1065">choice(Professeurs!A:A,1,Settings!$B$16)</f>
        <v>Prof14</v>
      </c>
      <c r="B1065" s="3" cm="1">
        <f t="array" ref="B1065">alea_date(Settings!$B$11,360,Settings!$B$8+alea_int(4,0,Settings!$B$16),Settings!$B$16)</f>
        <v>46281.333333333336</v>
      </c>
      <c r="C1065" s="3" cm="1">
        <f t="array" ref="C1065">B1065+TIME(alea_int(5,1,Settings!$B$16),0,0)</f>
        <v>46281.375</v>
      </c>
      <c r="D1065" s="3" t="str" cm="1">
        <f t="array" ref="D1065">choice(Settings!K:K,1,Settings!$B$16)</f>
        <v/>
      </c>
    </row>
    <row r="1066" spans="1:4" x14ac:dyDescent="0.25">
      <c r="A1066" s="2" t="str" cm="1">
        <f t="array" ref="A1066">choice(Professeurs!A:A,1,Settings!$B$16)</f>
        <v>Prof8</v>
      </c>
      <c r="B1066" s="3" cm="1">
        <f t="array" ref="B1066">alea_date(Settings!$B$11,360,Settings!$B$8+alea_int(4,0,Settings!$B$16),Settings!$B$16)</f>
        <v>46266.458333333336</v>
      </c>
      <c r="C1066" s="3" cm="1">
        <f t="array" ref="C1066">B1066+TIME(alea_int(5,1,Settings!$B$16),0,0)</f>
        <v>46266.541666666672</v>
      </c>
      <c r="D1066" s="3" t="str" cm="1">
        <f t="array" ref="D1066">choice(Settings!K:K,1,Settings!$B$16)</f>
        <v>lundi am</v>
      </c>
    </row>
    <row r="1067" spans="1:4" x14ac:dyDescent="0.25">
      <c r="A1067" s="2" t="str" cm="1">
        <f t="array" ref="A1067">choice(Professeurs!A:A,1,Settings!$B$16)</f>
        <v>Prof16</v>
      </c>
      <c r="B1067" s="3" cm="1">
        <f t="array" ref="B1067">alea_date(Settings!$B$11,360,Settings!$B$8+alea_int(4,0,Settings!$B$16),Settings!$B$16)</f>
        <v>46234.375</v>
      </c>
      <c r="C1067" s="3" cm="1">
        <f t="array" ref="C1067">B1067+TIME(alea_int(5,1,Settings!$B$16),0,0)</f>
        <v>46234.5</v>
      </c>
      <c r="D1067" s="3" t="str" cm="1">
        <f t="array" ref="D1067">choice(Settings!K:K,1,Settings!$B$16)</f>
        <v>lundi am</v>
      </c>
    </row>
    <row r="1068" spans="1:4" x14ac:dyDescent="0.25">
      <c r="A1068" s="2" t="str" cm="1">
        <f t="array" ref="A1068">choice(Professeurs!A:A,1,Settings!$B$16)</f>
        <v>Prof24</v>
      </c>
      <c r="B1068" s="3" cm="1">
        <f t="array" ref="B1068">alea_date(Settings!$B$11,360,Settings!$B$8+alea_int(4,0,Settings!$B$16),Settings!$B$16)</f>
        <v>46328.458333333336</v>
      </c>
      <c r="C1068" s="3" cm="1">
        <f t="array" ref="C1068">B1068+TIME(alea_int(5,1,Settings!$B$16),0,0)</f>
        <v>46328.666666666672</v>
      </c>
      <c r="D1068" s="3" t="str" cm="1">
        <f t="array" ref="D1068">choice(Settings!K:K,1,Settings!$B$16)</f>
        <v/>
      </c>
    </row>
    <row r="1069" spans="1:4" x14ac:dyDescent="0.25">
      <c r="A1069" s="2" t="str" cm="1">
        <f t="array" ref="A1069">choice(Professeurs!A:A,1,Settings!$B$16)</f>
        <v>Prof48</v>
      </c>
      <c r="B1069" s="3" cm="1">
        <f t="array" ref="B1069">alea_date(Settings!$B$11,360,Settings!$B$8+alea_int(4,0,Settings!$B$16),Settings!$B$16)</f>
        <v>46187.375</v>
      </c>
      <c r="C1069" s="3" cm="1">
        <f t="array" ref="C1069">B1069+TIME(alea_int(5,1,Settings!$B$16),0,0)</f>
        <v>46187.5</v>
      </c>
      <c r="D1069" s="3" t="str" cm="1">
        <f t="array" ref="D1069">choice(Settings!K:K,1,Settings!$B$16)</f>
        <v>lundi am</v>
      </c>
    </row>
    <row r="1070" spans="1:4" x14ac:dyDescent="0.25">
      <c r="A1070" s="2" t="str" cm="1">
        <f t="array" ref="A1070">choice(Professeurs!A:A,1,Settings!$B$16)</f>
        <v>Prof14</v>
      </c>
      <c r="B1070" s="3" cm="1">
        <f t="array" ref="B1070">alea_date(Settings!$B$11,360,Settings!$B$8+alea_int(4,0,Settings!$B$16),Settings!$B$16)</f>
        <v>46062.375</v>
      </c>
      <c r="C1070" s="3" cm="1">
        <f t="array" ref="C1070">B1070+TIME(alea_int(5,1,Settings!$B$16),0,0)</f>
        <v>46062.416666666664</v>
      </c>
      <c r="D1070" s="3" t="str" cm="1">
        <f t="array" ref="D1070">choice(Settings!K:K,1,Settings!$B$16)</f>
        <v/>
      </c>
    </row>
    <row r="1071" spans="1:4" x14ac:dyDescent="0.25">
      <c r="A1071" s="2" t="str" cm="1">
        <f t="array" ref="A1071">choice(Professeurs!A:A,1,Settings!$B$16)</f>
        <v>Prof15</v>
      </c>
      <c r="B1071" s="3" cm="1">
        <f t="array" ref="B1071">alea_date(Settings!$B$11,360,Settings!$B$8+alea_int(4,0,Settings!$B$16),Settings!$B$16)</f>
        <v>46334.416666666664</v>
      </c>
      <c r="C1071" s="3" cm="1">
        <f t="array" ref="C1071">B1071+TIME(alea_int(5,1,Settings!$B$16),0,0)</f>
        <v>46334.625</v>
      </c>
      <c r="D1071" s="3" t="str" cm="1">
        <f t="array" ref="D1071">choice(Settings!K:K,1,Settings!$B$16)</f>
        <v/>
      </c>
    </row>
    <row r="1072" spans="1:4" x14ac:dyDescent="0.25">
      <c r="A1072" s="2" t="str" cm="1">
        <f t="array" ref="A1072">choice(Professeurs!A:A,1,Settings!$B$16)</f>
        <v>Prof43</v>
      </c>
      <c r="B1072" s="3" cm="1">
        <f t="array" ref="B1072">alea_date(Settings!$B$11,360,Settings!$B$8+alea_int(4,0,Settings!$B$16),Settings!$B$16)</f>
        <v>46080.333333333336</v>
      </c>
      <c r="C1072" s="3" cm="1">
        <f t="array" ref="C1072">B1072+TIME(alea_int(5,1,Settings!$B$16),0,0)</f>
        <v>46080.541666666672</v>
      </c>
      <c r="D1072" s="3" t="str" cm="1">
        <f t="array" ref="D1072">choice(Settings!K:K,1,Settings!$B$16)</f>
        <v>mercredi pm</v>
      </c>
    </row>
    <row r="1073" spans="1:4" x14ac:dyDescent="0.25">
      <c r="A1073" s="2" t="str" cm="1">
        <f t="array" ref="A1073">choice(Professeurs!A:A,1,Settings!$B$16)</f>
        <v>Prof8</v>
      </c>
      <c r="B1073" s="3" cm="1">
        <f t="array" ref="B1073">alea_date(Settings!$B$11,360,Settings!$B$8+alea_int(4,0,Settings!$B$16),Settings!$B$16)</f>
        <v>46168.375</v>
      </c>
      <c r="C1073" s="3" cm="1">
        <f t="array" ref="C1073">B1073+TIME(alea_int(5,1,Settings!$B$16),0,0)</f>
        <v>46168.458333333336</v>
      </c>
      <c r="D1073" s="3" t="str" cm="1">
        <f t="array" ref="D1073">choice(Settings!K:K,1,Settings!$B$16)</f>
        <v/>
      </c>
    </row>
    <row r="1074" spans="1:4" x14ac:dyDescent="0.25">
      <c r="A1074" s="2" t="str" cm="1">
        <f t="array" ref="A1074">choice(Professeurs!A:A,1,Settings!$B$16)</f>
        <v>Prof36</v>
      </c>
      <c r="B1074" s="3" cm="1">
        <f t="array" ref="B1074">alea_date(Settings!$B$11,360,Settings!$B$8+alea_int(4,0,Settings!$B$16),Settings!$B$16)</f>
        <v>46046.416666666664</v>
      </c>
      <c r="C1074" s="3" cm="1">
        <f t="array" ref="C1074">B1074+TIME(alea_int(5,1,Settings!$B$16),0,0)</f>
        <v>46046.5</v>
      </c>
      <c r="D1074" s="3" t="str" cm="1">
        <f t="array" ref="D1074">choice(Settings!K:K,1,Settings!$B$16)</f>
        <v/>
      </c>
    </row>
    <row r="1075" spans="1:4" x14ac:dyDescent="0.25">
      <c r="A1075" s="2" t="str" cm="1">
        <f t="array" ref="A1075">choice(Professeurs!A:A,1,Settings!$B$16)</f>
        <v>Prof10</v>
      </c>
      <c r="B1075" s="3" cm="1">
        <f t="array" ref="B1075">alea_date(Settings!$B$11,360,Settings!$B$8+alea_int(4,0,Settings!$B$16),Settings!$B$16)</f>
        <v>46234.458333333336</v>
      </c>
      <c r="C1075" s="3" cm="1">
        <f t="array" ref="C1075">B1075+TIME(alea_int(5,1,Settings!$B$16),0,0)</f>
        <v>46234.666666666672</v>
      </c>
      <c r="D1075" s="3" t="str" cm="1">
        <f t="array" ref="D1075">choice(Settings!K:K,1,Settings!$B$16)</f>
        <v>vendredi pm</v>
      </c>
    </row>
    <row r="1076" spans="1:4" x14ac:dyDescent="0.25">
      <c r="A1076" s="2" t="str" cm="1">
        <f t="array" ref="A1076">choice(Professeurs!A:A,1,Settings!$B$16)</f>
        <v>Prof30</v>
      </c>
      <c r="B1076" s="3" cm="1">
        <f t="array" ref="B1076">alea_date(Settings!$B$11,360,Settings!$B$8+alea_int(4,0,Settings!$B$16),Settings!$B$16)</f>
        <v>46028.333333333336</v>
      </c>
      <c r="C1076" s="3" cm="1">
        <f t="array" ref="C1076">B1076+TIME(alea_int(5,1,Settings!$B$16),0,0)</f>
        <v>46028.375</v>
      </c>
      <c r="D1076" s="3" t="str" cm="1">
        <f t="array" ref="D1076">choice(Settings!K:K,1,Settings!$B$16)</f>
        <v/>
      </c>
    </row>
    <row r="1077" spans="1:4" x14ac:dyDescent="0.25">
      <c r="A1077" s="2" t="str" cm="1">
        <f t="array" ref="A1077">choice(Professeurs!A:A,1,Settings!$B$16)</f>
        <v>Prof47</v>
      </c>
      <c r="B1077" s="3" cm="1">
        <f t="array" ref="B1077">alea_date(Settings!$B$11,360,Settings!$B$8+alea_int(4,0,Settings!$B$16),Settings!$B$16)</f>
        <v>46116.333333333336</v>
      </c>
      <c r="C1077" s="3" cm="1">
        <f t="array" ref="C1077">B1077+TIME(alea_int(5,1,Settings!$B$16),0,0)</f>
        <v>46116.458333333336</v>
      </c>
      <c r="D1077" s="3" t="str" cm="1">
        <f t="array" ref="D1077">choice(Settings!K:K,1,Settings!$B$16)</f>
        <v/>
      </c>
    </row>
    <row r="1078" spans="1:4" x14ac:dyDescent="0.25">
      <c r="A1078" s="2" t="str" cm="1">
        <f t="array" ref="A1078">choice(Professeurs!A:A,1,Settings!$B$16)</f>
        <v>Prof43</v>
      </c>
      <c r="B1078" s="3" cm="1">
        <f t="array" ref="B1078">alea_date(Settings!$B$11,360,Settings!$B$8+alea_int(4,0,Settings!$B$16),Settings!$B$16)</f>
        <v>46155.375</v>
      </c>
      <c r="C1078" s="3" cm="1">
        <f t="array" ref="C1078">B1078+TIME(alea_int(5,1,Settings!$B$16),0,0)</f>
        <v>46155.541666666664</v>
      </c>
      <c r="D1078" s="3" t="str" cm="1">
        <f t="array" ref="D1078">choice(Settings!K:K,1,Settings!$B$16)</f>
        <v/>
      </c>
    </row>
    <row r="1079" spans="1:4" x14ac:dyDescent="0.25">
      <c r="A1079" s="2" t="str" cm="1">
        <f t="array" ref="A1079">choice(Professeurs!A:A,1,Settings!$B$16)</f>
        <v>Prof20</v>
      </c>
      <c r="B1079" s="3" cm="1">
        <f t="array" ref="B1079">alea_date(Settings!$B$11,360,Settings!$B$8+alea_int(4,0,Settings!$B$16),Settings!$B$16)</f>
        <v>46255.375</v>
      </c>
      <c r="C1079" s="3" cm="1">
        <f t="array" ref="C1079">B1079+TIME(alea_int(5,1,Settings!$B$16),0,0)</f>
        <v>46255.583333333336</v>
      </c>
      <c r="D1079" s="3" t="str" cm="1">
        <f t="array" ref="D1079">choice(Settings!K:K,1,Settings!$B$16)</f>
        <v/>
      </c>
    </row>
    <row r="1080" spans="1:4" x14ac:dyDescent="0.25">
      <c r="A1080" s="2" t="str" cm="1">
        <f t="array" ref="A1080">choice(Professeurs!A:A,1,Settings!$B$16)</f>
        <v>Prof19</v>
      </c>
      <c r="B1080" s="3" cm="1">
        <f t="array" ref="B1080">alea_date(Settings!$B$11,360,Settings!$B$8+alea_int(4,0,Settings!$B$16),Settings!$B$16)</f>
        <v>46115.375</v>
      </c>
      <c r="C1080" s="3" cm="1">
        <f t="array" ref="C1080">B1080+TIME(alea_int(5,1,Settings!$B$16),0,0)</f>
        <v>46115.5</v>
      </c>
      <c r="D1080" s="3" t="str" cm="1">
        <f t="array" ref="D1080">choice(Settings!K:K,1,Settings!$B$16)</f>
        <v/>
      </c>
    </row>
    <row r="1081" spans="1:4" x14ac:dyDescent="0.25">
      <c r="A1081" s="2" t="str" cm="1">
        <f t="array" ref="A1081">choice(Professeurs!A:A,1,Settings!$B$16)</f>
        <v>Prof7</v>
      </c>
      <c r="B1081" s="3" cm="1">
        <f t="array" ref="B1081">alea_date(Settings!$B$11,360,Settings!$B$8+alea_int(4,0,Settings!$B$16),Settings!$B$16)</f>
        <v>46077.416666666664</v>
      </c>
      <c r="C1081" s="3" cm="1">
        <f t="array" ref="C1081">B1081+TIME(alea_int(5,1,Settings!$B$16),0,0)</f>
        <v>46077.583333333328</v>
      </c>
      <c r="D1081" s="3" t="str" cm="1">
        <f t="array" ref="D1081">choice(Settings!K:K,1,Settings!$B$16)</f>
        <v>mardi pm</v>
      </c>
    </row>
    <row r="1082" spans="1:4" x14ac:dyDescent="0.25">
      <c r="A1082" s="2" t="str" cm="1">
        <f t="array" ref="A1082">choice(Professeurs!A:A,1,Settings!$B$16)</f>
        <v>Prof25</v>
      </c>
      <c r="B1082" s="3" cm="1">
        <f t="array" ref="B1082">alea_date(Settings!$B$11,360,Settings!$B$8+alea_int(4,0,Settings!$B$16),Settings!$B$16)</f>
        <v>46299.375</v>
      </c>
      <c r="C1082" s="3" cm="1">
        <f t="array" ref="C1082">B1082+TIME(alea_int(5,1,Settings!$B$16),0,0)</f>
        <v>46299.583333333336</v>
      </c>
      <c r="D1082" s="3" t="str" cm="1">
        <f t="array" ref="D1082">choice(Settings!K:K,1,Settings!$B$16)</f>
        <v/>
      </c>
    </row>
    <row r="1083" spans="1:4" x14ac:dyDescent="0.25">
      <c r="A1083" s="2" t="str" cm="1">
        <f t="array" ref="A1083">choice(Professeurs!A:A,1,Settings!$B$16)</f>
        <v>Prof17</v>
      </c>
      <c r="B1083" s="3" cm="1">
        <f t="array" ref="B1083">alea_date(Settings!$B$11,360,Settings!$B$8+alea_int(4,0,Settings!$B$16),Settings!$B$16)</f>
        <v>46178.458333333336</v>
      </c>
      <c r="C1083" s="3" cm="1">
        <f t="array" ref="C1083">B1083+TIME(alea_int(5,1,Settings!$B$16),0,0)</f>
        <v>46178.541666666672</v>
      </c>
      <c r="D1083" s="3" t="str" cm="1">
        <f t="array" ref="D1083">choice(Settings!K:K,1,Settings!$B$16)</f>
        <v>mercredi ap</v>
      </c>
    </row>
    <row r="1084" spans="1:4" x14ac:dyDescent="0.25">
      <c r="A1084" s="2" t="str" cm="1">
        <f t="array" ref="A1084">choice(Professeurs!A:A,1,Settings!$B$16)</f>
        <v>Prof35</v>
      </c>
      <c r="B1084" s="3" cm="1">
        <f t="array" ref="B1084">alea_date(Settings!$B$11,360,Settings!$B$8+alea_int(4,0,Settings!$B$16),Settings!$B$16)</f>
        <v>46333.375</v>
      </c>
      <c r="C1084" s="3" cm="1">
        <f t="array" ref="C1084">B1084+TIME(alea_int(5,1,Settings!$B$16),0,0)</f>
        <v>46333.5</v>
      </c>
      <c r="D1084" s="3" t="str" cm="1">
        <f t="array" ref="D1084">choice(Settings!K:K,1,Settings!$B$16)</f>
        <v/>
      </c>
    </row>
    <row r="1085" spans="1:4" x14ac:dyDescent="0.25">
      <c r="A1085" s="2" t="str" cm="1">
        <f t="array" ref="A1085">choice(Professeurs!A:A,1,Settings!$B$16)</f>
        <v>Prof33</v>
      </c>
      <c r="B1085" s="3" cm="1">
        <f t="array" ref="B1085">alea_date(Settings!$B$11,360,Settings!$B$8+alea_int(4,0,Settings!$B$16),Settings!$B$16)</f>
        <v>46170.333333333336</v>
      </c>
      <c r="C1085" s="3" cm="1">
        <f t="array" ref="C1085">B1085+TIME(alea_int(5,1,Settings!$B$16),0,0)</f>
        <v>46170.541666666672</v>
      </c>
      <c r="D1085" s="3" t="str" cm="1">
        <f t="array" ref="D1085">choice(Settings!K:K,1,Settings!$B$16)</f>
        <v>lundi am</v>
      </c>
    </row>
    <row r="1086" spans="1:4" x14ac:dyDescent="0.25">
      <c r="A1086" s="2" t="str" cm="1">
        <f t="array" ref="A1086">choice(Professeurs!A:A,1,Settings!$B$16)</f>
        <v>Prof21</v>
      </c>
      <c r="B1086" s="3" cm="1">
        <f t="array" ref="B1086">alea_date(Settings!$B$11,360,Settings!$B$8+alea_int(4,0,Settings!$B$16),Settings!$B$16)</f>
        <v>46211.416666666664</v>
      </c>
      <c r="C1086" s="3" cm="1">
        <f t="array" ref="C1086">B1086+TIME(alea_int(5,1,Settings!$B$16),0,0)</f>
        <v>46211.625</v>
      </c>
      <c r="D1086" s="3" t="str" cm="1">
        <f t="array" ref="D1086">choice(Settings!K:K,1,Settings!$B$16)</f>
        <v/>
      </c>
    </row>
    <row r="1087" spans="1:4" x14ac:dyDescent="0.25">
      <c r="A1087" s="2" t="str" cm="1">
        <f t="array" ref="A1087">choice(Professeurs!A:A,1,Settings!$B$16)</f>
        <v>Prof47</v>
      </c>
      <c r="B1087" s="3" cm="1">
        <f t="array" ref="B1087">alea_date(Settings!$B$11,360,Settings!$B$8+alea_int(4,0,Settings!$B$16),Settings!$B$16)</f>
        <v>46299.375</v>
      </c>
      <c r="C1087" s="3" cm="1">
        <f t="array" ref="C1087">B1087+TIME(alea_int(5,1,Settings!$B$16),0,0)</f>
        <v>46299.416666666664</v>
      </c>
      <c r="D1087" s="3" t="str" cm="1">
        <f t="array" ref="D1087">choice(Settings!K:K,1,Settings!$B$16)</f>
        <v/>
      </c>
    </row>
    <row r="1088" spans="1:4" x14ac:dyDescent="0.25">
      <c r="A1088" s="2" t="str" cm="1">
        <f t="array" ref="A1088">choice(Professeurs!A:A,1,Settings!$B$16)</f>
        <v>Prof53</v>
      </c>
      <c r="B1088" s="3" cm="1">
        <f t="array" ref="B1088">alea_date(Settings!$B$11,360,Settings!$B$8+alea_int(4,0,Settings!$B$16),Settings!$B$16)</f>
        <v>46176.333333333336</v>
      </c>
      <c r="C1088" s="3" cm="1">
        <f t="array" ref="C1088">B1088+TIME(alea_int(5,1,Settings!$B$16),0,0)</f>
        <v>46176.5</v>
      </c>
      <c r="D1088" s="3" t="str" cm="1">
        <f t="array" ref="D1088">choice(Settings!K:K,1,Settings!$B$16)</f>
        <v/>
      </c>
    </row>
    <row r="1089" spans="1:4" x14ac:dyDescent="0.25">
      <c r="A1089" s="2" t="str" cm="1">
        <f t="array" ref="A1089">choice(Professeurs!A:A,1,Settings!$B$16)</f>
        <v>Prof4</v>
      </c>
      <c r="B1089" s="3" cm="1">
        <f t="array" ref="B1089">alea_date(Settings!$B$11,360,Settings!$B$8+alea_int(4,0,Settings!$B$16),Settings!$B$16)</f>
        <v>46048.416666666664</v>
      </c>
      <c r="C1089" s="3" cm="1">
        <f t="array" ref="C1089">B1089+TIME(alea_int(5,1,Settings!$B$16),0,0)</f>
        <v>46048.625</v>
      </c>
      <c r="D1089" s="3" t="str" cm="1">
        <f t="array" ref="D1089">choice(Settings!K:K,1,Settings!$B$16)</f>
        <v/>
      </c>
    </row>
    <row r="1090" spans="1:4" x14ac:dyDescent="0.25">
      <c r="A1090" s="2" t="str" cm="1">
        <f t="array" ref="A1090">choice(Professeurs!A:A,1,Settings!$B$16)</f>
        <v>Prof8</v>
      </c>
      <c r="B1090" s="3" cm="1">
        <f t="array" ref="B1090">alea_date(Settings!$B$11,360,Settings!$B$8+alea_int(4,0,Settings!$B$16),Settings!$B$16)</f>
        <v>46337.333333333336</v>
      </c>
      <c r="C1090" s="3" cm="1">
        <f t="array" ref="C1090">B1090+TIME(alea_int(5,1,Settings!$B$16),0,0)</f>
        <v>46337.416666666672</v>
      </c>
      <c r="D1090" s="3" t="str" cm="1">
        <f t="array" ref="D1090">choice(Settings!K:K,1,Settings!$B$16)</f>
        <v/>
      </c>
    </row>
    <row r="1091" spans="1:4" x14ac:dyDescent="0.25">
      <c r="A1091" s="2" t="str" cm="1">
        <f t="array" ref="A1091">choice(Professeurs!A:A,1,Settings!$B$16)</f>
        <v>Prof32</v>
      </c>
      <c r="B1091" s="3" cm="1">
        <f t="array" ref="B1091">alea_date(Settings!$B$11,360,Settings!$B$8+alea_int(4,0,Settings!$B$16),Settings!$B$16)</f>
        <v>46376.333333333336</v>
      </c>
      <c r="C1091" s="3" cm="1">
        <f t="array" ref="C1091">B1091+TIME(alea_int(5,1,Settings!$B$16),0,0)</f>
        <v>46376.541666666672</v>
      </c>
      <c r="D1091" s="3" t="str" cm="1">
        <f t="array" ref="D1091">choice(Settings!K:K,1,Settings!$B$16)</f>
        <v>vendredi am</v>
      </c>
    </row>
    <row r="1092" spans="1:4" x14ac:dyDescent="0.25">
      <c r="A1092" s="2" t="str" cm="1">
        <f t="array" ref="A1092">choice(Professeurs!A:A,1,Settings!$B$16)</f>
        <v>Prof1</v>
      </c>
      <c r="B1092" s="3" cm="1">
        <f t="array" ref="B1092">alea_date(Settings!$B$11,360,Settings!$B$8+alea_int(4,0,Settings!$B$16),Settings!$B$16)</f>
        <v>46051.458333333336</v>
      </c>
      <c r="C1092" s="3" cm="1">
        <f t="array" ref="C1092">B1092+TIME(alea_int(5,1,Settings!$B$16),0,0)</f>
        <v>46051.541666666672</v>
      </c>
      <c r="D1092" s="3" t="str" cm="1">
        <f t="array" ref="D1092">choice(Settings!K:K,1,Settings!$B$16)</f>
        <v>vendredi pm</v>
      </c>
    </row>
    <row r="1093" spans="1:4" x14ac:dyDescent="0.25">
      <c r="A1093" s="2" t="str" cm="1">
        <f t="array" ref="A1093">choice(Professeurs!A:A,1,Settings!$B$16)</f>
        <v>Prof36</v>
      </c>
      <c r="B1093" s="3" cm="1">
        <f t="array" ref="B1093">alea_date(Settings!$B$11,360,Settings!$B$8+alea_int(4,0,Settings!$B$16),Settings!$B$16)</f>
        <v>46321.333333333336</v>
      </c>
      <c r="C1093" s="3" cm="1">
        <f t="array" ref="C1093">B1093+TIME(alea_int(5,1,Settings!$B$16),0,0)</f>
        <v>46321.541666666672</v>
      </c>
      <c r="D1093" s="3" t="str" cm="1">
        <f t="array" ref="D1093">choice(Settings!K:K,1,Settings!$B$16)</f>
        <v/>
      </c>
    </row>
    <row r="1094" spans="1:4" x14ac:dyDescent="0.25">
      <c r="A1094" s="2" t="str" cm="1">
        <f t="array" ref="A1094">choice(Professeurs!A:A,1,Settings!$B$16)</f>
        <v>Prof7</v>
      </c>
      <c r="B1094" s="3" cm="1">
        <f t="array" ref="B1094">alea_date(Settings!$B$11,360,Settings!$B$8+alea_int(4,0,Settings!$B$16),Settings!$B$16)</f>
        <v>46226.375</v>
      </c>
      <c r="C1094" s="3" cm="1">
        <f t="array" ref="C1094">B1094+TIME(alea_int(5,1,Settings!$B$16),0,0)</f>
        <v>46226.5</v>
      </c>
      <c r="D1094" s="3" t="str" cm="1">
        <f t="array" ref="D1094">choice(Settings!K:K,1,Settings!$B$16)</f>
        <v/>
      </c>
    </row>
    <row r="1095" spans="1:4" x14ac:dyDescent="0.25">
      <c r="A1095" s="2" t="str" cm="1">
        <f t="array" ref="A1095">choice(Professeurs!A:A,1,Settings!$B$16)</f>
        <v>Prof51</v>
      </c>
      <c r="B1095" s="3" cm="1">
        <f t="array" ref="B1095">alea_date(Settings!$B$11,360,Settings!$B$8+alea_int(4,0,Settings!$B$16),Settings!$B$16)</f>
        <v>46292.416666666664</v>
      </c>
      <c r="C1095" s="3" cm="1">
        <f t="array" ref="C1095">B1095+TIME(alea_int(5,1,Settings!$B$16),0,0)</f>
        <v>46292.625</v>
      </c>
      <c r="D1095" s="3" t="str" cm="1">
        <f t="array" ref="D1095">choice(Settings!K:K,1,Settings!$B$16)</f>
        <v/>
      </c>
    </row>
    <row r="1096" spans="1:4" x14ac:dyDescent="0.25">
      <c r="A1096" s="2" t="str" cm="1">
        <f t="array" ref="A1096">choice(Professeurs!A:A,1,Settings!$B$16)</f>
        <v>Prof46</v>
      </c>
      <c r="B1096" s="3" cm="1">
        <f t="array" ref="B1096">alea_date(Settings!$B$11,360,Settings!$B$8+alea_int(4,0,Settings!$B$16),Settings!$B$16)</f>
        <v>46301.333333333336</v>
      </c>
      <c r="C1096" s="3" cm="1">
        <f t="array" ref="C1096">B1096+TIME(alea_int(5,1,Settings!$B$16),0,0)</f>
        <v>46301.458333333336</v>
      </c>
      <c r="D1096" s="3" t="str" cm="1">
        <f t="array" ref="D1096">choice(Settings!K:K,1,Settings!$B$16)</f>
        <v/>
      </c>
    </row>
    <row r="1097" spans="1:4" x14ac:dyDescent="0.25">
      <c r="A1097" s="2" t="str" cm="1">
        <f t="array" ref="A1097">choice(Professeurs!A:A,1,Settings!$B$16)</f>
        <v>Prof16</v>
      </c>
      <c r="B1097" s="3" cm="1">
        <f t="array" ref="B1097">alea_date(Settings!$B$11,360,Settings!$B$8+alea_int(4,0,Settings!$B$16),Settings!$B$16)</f>
        <v>46065.458333333336</v>
      </c>
      <c r="C1097" s="3" cm="1">
        <f t="array" ref="C1097">B1097+TIME(alea_int(5,1,Settings!$B$16),0,0)</f>
        <v>46065.625</v>
      </c>
      <c r="D1097" s="3" t="str" cm="1">
        <f t="array" ref="D1097">choice(Settings!K:K,1,Settings!$B$16)</f>
        <v/>
      </c>
    </row>
    <row r="1098" spans="1:4" x14ac:dyDescent="0.25">
      <c r="A1098" s="2" t="str" cm="1">
        <f t="array" ref="A1098">choice(Professeurs!A:A,1,Settings!$B$16)</f>
        <v>Prof2</v>
      </c>
      <c r="B1098" s="3" cm="1">
        <f t="array" ref="B1098">alea_date(Settings!$B$11,360,Settings!$B$8+alea_int(4,0,Settings!$B$16),Settings!$B$16)</f>
        <v>46050.375</v>
      </c>
      <c r="C1098" s="3" cm="1">
        <f t="array" ref="C1098">B1098+TIME(alea_int(5,1,Settings!$B$16),0,0)</f>
        <v>46050.416666666664</v>
      </c>
      <c r="D1098" s="3" t="str" cm="1">
        <f t="array" ref="D1098">choice(Settings!K:K,1,Settings!$B$16)</f>
        <v>mercredi ap</v>
      </c>
    </row>
    <row r="1099" spans="1:4" x14ac:dyDescent="0.25">
      <c r="A1099" s="2" t="str" cm="1">
        <f t="array" ref="A1099">choice(Professeurs!A:A,1,Settings!$B$16)</f>
        <v>Prof44</v>
      </c>
      <c r="B1099" s="3" cm="1">
        <f t="array" ref="B1099">alea_date(Settings!$B$11,360,Settings!$B$8+alea_int(4,0,Settings!$B$16),Settings!$B$16)</f>
        <v>46317.375</v>
      </c>
      <c r="C1099" s="3" cm="1">
        <f t="array" ref="C1099">B1099+TIME(alea_int(5,1,Settings!$B$16),0,0)</f>
        <v>46317.416666666664</v>
      </c>
      <c r="D1099" s="3" t="str" cm="1">
        <f t="array" ref="D1099">choice(Settings!K:K,1,Settings!$B$16)</f>
        <v/>
      </c>
    </row>
    <row r="1100" spans="1:4" x14ac:dyDescent="0.25">
      <c r="A1100" s="2" t="str" cm="1">
        <f t="array" ref="A1100">choice(Professeurs!A:A,1,Settings!$B$16)</f>
        <v>Prof44</v>
      </c>
      <c r="B1100" s="3" cm="1">
        <f t="array" ref="B1100">alea_date(Settings!$B$11,360,Settings!$B$8+alea_int(4,0,Settings!$B$16),Settings!$B$16)</f>
        <v>46371.458333333336</v>
      </c>
      <c r="C1100" s="3" cm="1">
        <f t="array" ref="C1100">B1100+TIME(alea_int(5,1,Settings!$B$16),0,0)</f>
        <v>46371.5</v>
      </c>
      <c r="D1100" s="3" t="str" cm="1">
        <f t="array" ref="D1100">choice(Settings!K:K,1,Settings!$B$16)</f>
        <v>mercredi pm</v>
      </c>
    </row>
    <row r="1101" spans="1:4" x14ac:dyDescent="0.25">
      <c r="A1101" s="2" t="str" cm="1">
        <f t="array" ref="A1101">choice(Professeurs!A:A,1,Settings!$B$16)</f>
        <v>Prof41</v>
      </c>
      <c r="B1101" s="3" cm="1">
        <f t="array" ref="B1101">alea_date(Settings!$B$11,360,Settings!$B$8+alea_int(4,0,Settings!$B$16),Settings!$B$16)</f>
        <v>46188.333333333336</v>
      </c>
      <c r="C1101" s="3" cm="1">
        <f t="array" ref="C1101">B1101+TIME(alea_int(5,1,Settings!$B$16),0,0)</f>
        <v>46188.375</v>
      </c>
      <c r="D1101" s="3" t="str" cm="1">
        <f t="array" ref="D1101">choice(Settings!K:K,1,Settings!$B$16)</f>
        <v/>
      </c>
    </row>
    <row r="1102" spans="1:4" x14ac:dyDescent="0.25">
      <c r="A1102" s="2" t="str" cm="1">
        <f t="array" ref="A1102">choice(Professeurs!A:A,1,Settings!$B$16)</f>
        <v>Prof50</v>
      </c>
      <c r="B1102" s="3" cm="1">
        <f t="array" ref="B1102">alea_date(Settings!$B$11,360,Settings!$B$8+alea_int(4,0,Settings!$B$16),Settings!$B$16)</f>
        <v>46143.458333333336</v>
      </c>
      <c r="C1102" s="3" cm="1">
        <f t="array" ref="C1102">B1102+TIME(alea_int(5,1,Settings!$B$16),0,0)</f>
        <v>46143.541666666672</v>
      </c>
      <c r="D1102" s="3" t="str" cm="1">
        <f t="array" ref="D1102">choice(Settings!K:K,1,Settings!$B$16)</f>
        <v>lundi am</v>
      </c>
    </row>
    <row r="1103" spans="1:4" x14ac:dyDescent="0.25">
      <c r="A1103" s="2" t="str" cm="1">
        <f t="array" ref="A1103">choice(Professeurs!A:A,1,Settings!$B$16)</f>
        <v>Prof45</v>
      </c>
      <c r="B1103" s="3" cm="1">
        <f t="array" ref="B1103">alea_date(Settings!$B$11,360,Settings!$B$8+alea_int(4,0,Settings!$B$16),Settings!$B$16)</f>
        <v>46205.375</v>
      </c>
      <c r="C1103" s="3" cm="1">
        <f t="array" ref="C1103">B1103+TIME(alea_int(5,1,Settings!$B$16),0,0)</f>
        <v>46205.583333333336</v>
      </c>
      <c r="D1103" s="3" t="str" cm="1">
        <f t="array" ref="D1103">choice(Settings!K:K,1,Settings!$B$16)</f>
        <v/>
      </c>
    </row>
    <row r="1104" spans="1:4" x14ac:dyDescent="0.25">
      <c r="A1104" s="2" t="str" cm="1">
        <f t="array" ref="A1104">choice(Professeurs!A:A,1,Settings!$B$16)</f>
        <v>Prof11</v>
      </c>
      <c r="B1104" s="3" cm="1">
        <f t="array" ref="B1104">alea_date(Settings!$B$11,360,Settings!$B$8+alea_int(4,0,Settings!$B$16),Settings!$B$16)</f>
        <v>46055.333333333336</v>
      </c>
      <c r="C1104" s="3" cm="1">
        <f t="array" ref="C1104">B1104+TIME(alea_int(5,1,Settings!$B$16),0,0)</f>
        <v>46055.416666666672</v>
      </c>
      <c r="D1104" s="3" t="str" cm="1">
        <f t="array" ref="D1104">choice(Settings!K:K,1,Settings!$B$16)</f>
        <v/>
      </c>
    </row>
    <row r="1105" spans="1:4" x14ac:dyDescent="0.25">
      <c r="A1105" s="2" t="str" cm="1">
        <f t="array" ref="A1105">choice(Professeurs!A:A,1,Settings!$B$16)</f>
        <v>Prof4</v>
      </c>
      <c r="B1105" s="3" cm="1">
        <f t="array" ref="B1105">alea_date(Settings!$B$11,360,Settings!$B$8+alea_int(4,0,Settings!$B$16),Settings!$B$16)</f>
        <v>46166.416666666664</v>
      </c>
      <c r="C1105" s="3" cm="1">
        <f t="array" ref="C1105">B1105+TIME(alea_int(5,1,Settings!$B$16),0,0)</f>
        <v>46166.458333333328</v>
      </c>
      <c r="D1105" s="3" t="str" cm="1">
        <f t="array" ref="D1105">choice(Settings!K:K,1,Settings!$B$16)</f>
        <v/>
      </c>
    </row>
    <row r="1106" spans="1:4" x14ac:dyDescent="0.25">
      <c r="A1106" s="2" t="str" cm="1">
        <f t="array" ref="A1106">choice(Professeurs!A:A,1,Settings!$B$16)</f>
        <v>Prof23</v>
      </c>
      <c r="B1106" s="3" cm="1">
        <f t="array" ref="B1106">alea_date(Settings!$B$11,360,Settings!$B$8+alea_int(4,0,Settings!$B$16),Settings!$B$16)</f>
        <v>46221.416666666664</v>
      </c>
      <c r="C1106" s="3" cm="1">
        <f t="array" ref="C1106">B1106+TIME(alea_int(5,1,Settings!$B$16),0,0)</f>
        <v>46221.5</v>
      </c>
      <c r="D1106" s="3" t="str" cm="1">
        <f t="array" ref="D1106">choice(Settings!K:K,1,Settings!$B$16)</f>
        <v>jeudi pm</v>
      </c>
    </row>
    <row r="1107" spans="1:4" x14ac:dyDescent="0.25">
      <c r="A1107" s="2" t="str" cm="1">
        <f t="array" ref="A1107">choice(Professeurs!A:A,1,Settings!$B$16)</f>
        <v>Prof33</v>
      </c>
      <c r="B1107" s="3" cm="1">
        <f t="array" ref="B1107">alea_date(Settings!$B$11,360,Settings!$B$8+alea_int(4,0,Settings!$B$16),Settings!$B$16)</f>
        <v>46261.375</v>
      </c>
      <c r="C1107" s="3" cm="1">
        <f t="array" ref="C1107">B1107+TIME(alea_int(5,1,Settings!$B$16),0,0)</f>
        <v>46261.541666666664</v>
      </c>
      <c r="D1107" s="3" t="str" cm="1">
        <f t="array" ref="D1107">choice(Settings!K:K,1,Settings!$B$16)</f>
        <v>mardi pm</v>
      </c>
    </row>
    <row r="1108" spans="1:4" x14ac:dyDescent="0.25">
      <c r="A1108" s="2" t="str" cm="1">
        <f t="array" ref="A1108">choice(Professeurs!A:A,1,Settings!$B$16)</f>
        <v>Prof54</v>
      </c>
      <c r="B1108" s="3" cm="1">
        <f t="array" ref="B1108">alea_date(Settings!$B$11,360,Settings!$B$8+alea_int(4,0,Settings!$B$16),Settings!$B$16)</f>
        <v>46051.333333333336</v>
      </c>
      <c r="C1108" s="3" cm="1">
        <f t="array" ref="C1108">B1108+TIME(alea_int(5,1,Settings!$B$16),0,0)</f>
        <v>46051.375</v>
      </c>
      <c r="D1108" s="3" t="str" cm="1">
        <f t="array" ref="D1108">choice(Settings!K:K,1,Settings!$B$16)</f>
        <v/>
      </c>
    </row>
    <row r="1109" spans="1:4" x14ac:dyDescent="0.25">
      <c r="A1109" s="2" t="str" cm="1">
        <f t="array" ref="A1109">choice(Professeurs!A:A,1,Settings!$B$16)</f>
        <v>Prof46</v>
      </c>
      <c r="B1109" s="3" cm="1">
        <f t="array" ref="B1109">alea_date(Settings!$B$11,360,Settings!$B$8+alea_int(4,0,Settings!$B$16),Settings!$B$16)</f>
        <v>46354.375</v>
      </c>
      <c r="C1109" s="3" cm="1">
        <f t="array" ref="C1109">B1109+TIME(alea_int(5,1,Settings!$B$16),0,0)</f>
        <v>46354.416666666664</v>
      </c>
      <c r="D1109" s="3" t="str" cm="1">
        <f t="array" ref="D1109">choice(Settings!K:K,1,Settings!$B$16)</f>
        <v>jeudi pm</v>
      </c>
    </row>
    <row r="1110" spans="1:4" x14ac:dyDescent="0.25">
      <c r="A1110" s="2" t="str" cm="1">
        <f t="array" ref="A1110">choice(Professeurs!A:A,1,Settings!$B$16)</f>
        <v>Prof12</v>
      </c>
      <c r="B1110" s="3" cm="1">
        <f t="array" ref="B1110">alea_date(Settings!$B$11,360,Settings!$B$8+alea_int(4,0,Settings!$B$16),Settings!$B$16)</f>
        <v>46154.416666666664</v>
      </c>
      <c r="C1110" s="3" cm="1">
        <f t="array" ref="C1110">B1110+TIME(alea_int(5,1,Settings!$B$16),0,0)</f>
        <v>46154.583333333328</v>
      </c>
      <c r="D1110" s="3" t="str" cm="1">
        <f t="array" ref="D1110">choice(Settings!K:K,1,Settings!$B$16)</f>
        <v>mardi am</v>
      </c>
    </row>
    <row r="1111" spans="1:4" x14ac:dyDescent="0.25">
      <c r="A1111" s="2" t="str" cm="1">
        <f t="array" ref="A1111">choice(Professeurs!A:A,1,Settings!$B$16)</f>
        <v>Prof54</v>
      </c>
      <c r="B1111" s="3" cm="1">
        <f t="array" ref="B1111">alea_date(Settings!$B$11,360,Settings!$B$8+alea_int(4,0,Settings!$B$16),Settings!$B$16)</f>
        <v>46150.416666666664</v>
      </c>
      <c r="C1111" s="3" cm="1">
        <f t="array" ref="C1111">B1111+TIME(alea_int(5,1,Settings!$B$16),0,0)</f>
        <v>46150.458333333328</v>
      </c>
      <c r="D1111" s="3" t="str" cm="1">
        <f t="array" ref="D1111">choice(Settings!K:K,1,Settings!$B$16)</f>
        <v/>
      </c>
    </row>
    <row r="1112" spans="1:4" x14ac:dyDescent="0.25">
      <c r="A1112" s="2" t="str" cm="1">
        <f t="array" ref="A1112">choice(Professeurs!A:A,1,Settings!$B$16)</f>
        <v>Prof4</v>
      </c>
      <c r="B1112" s="3" cm="1">
        <f t="array" ref="B1112">alea_date(Settings!$B$11,360,Settings!$B$8+alea_int(4,0,Settings!$B$16),Settings!$B$16)</f>
        <v>46107.458333333336</v>
      </c>
      <c r="C1112" s="3" cm="1">
        <f t="array" ref="C1112">B1112+TIME(alea_int(5,1,Settings!$B$16),0,0)</f>
        <v>46107.625</v>
      </c>
      <c r="D1112" s="3" t="str" cm="1">
        <f t="array" ref="D1112">choice(Settings!K:K,1,Settings!$B$16)</f>
        <v>mercredi pm</v>
      </c>
    </row>
    <row r="1113" spans="1:4" x14ac:dyDescent="0.25">
      <c r="A1113" s="2" t="str" cm="1">
        <f t="array" ref="A1113">choice(Professeurs!A:A,1,Settings!$B$16)</f>
        <v>Prof33</v>
      </c>
      <c r="B1113" s="3" cm="1">
        <f t="array" ref="B1113">alea_date(Settings!$B$11,360,Settings!$B$8+alea_int(4,0,Settings!$B$16),Settings!$B$16)</f>
        <v>46165.458333333336</v>
      </c>
      <c r="C1113" s="3" cm="1">
        <f t="array" ref="C1113">B1113+TIME(alea_int(5,1,Settings!$B$16),0,0)</f>
        <v>46165.625</v>
      </c>
      <c r="D1113" s="3" t="str" cm="1">
        <f t="array" ref="D1113">choice(Settings!K:K,1,Settings!$B$16)</f>
        <v>lundi pm</v>
      </c>
    </row>
    <row r="1114" spans="1:4" x14ac:dyDescent="0.25">
      <c r="A1114" s="2" t="str" cm="1">
        <f t="array" ref="A1114">choice(Professeurs!A:A,1,Settings!$B$16)</f>
        <v>Prof4</v>
      </c>
      <c r="B1114" s="3" cm="1">
        <f t="array" ref="B1114">alea_date(Settings!$B$11,360,Settings!$B$8+alea_int(4,0,Settings!$B$16),Settings!$B$16)</f>
        <v>46160.333333333336</v>
      </c>
      <c r="C1114" s="3" cm="1">
        <f t="array" ref="C1114">B1114+TIME(alea_int(5,1,Settings!$B$16),0,0)</f>
        <v>46160.458333333336</v>
      </c>
      <c r="D1114" s="3" t="str" cm="1">
        <f t="array" ref="D1114">choice(Settings!K:K,1,Settings!$B$16)</f>
        <v/>
      </c>
    </row>
    <row r="1115" spans="1:4" x14ac:dyDescent="0.25">
      <c r="A1115" s="2" t="str" cm="1">
        <f t="array" ref="A1115">choice(Professeurs!A:A,1,Settings!$B$16)</f>
        <v>Prof52</v>
      </c>
      <c r="B1115" s="3" cm="1">
        <f t="array" ref="B1115">alea_date(Settings!$B$11,360,Settings!$B$8+alea_int(4,0,Settings!$B$16),Settings!$B$16)</f>
        <v>46112.375</v>
      </c>
      <c r="C1115" s="3" cm="1">
        <f t="array" ref="C1115">B1115+TIME(alea_int(5,1,Settings!$B$16),0,0)</f>
        <v>46112.5</v>
      </c>
      <c r="D1115" s="3" t="str" cm="1">
        <f t="array" ref="D1115">choice(Settings!K:K,1,Settings!$B$16)</f>
        <v/>
      </c>
    </row>
    <row r="1116" spans="1:4" x14ac:dyDescent="0.25">
      <c r="A1116" s="2" t="str" cm="1">
        <f t="array" ref="A1116">choice(Professeurs!A:A,1,Settings!$B$16)</f>
        <v>Prof34</v>
      </c>
      <c r="B1116" s="3" cm="1">
        <f t="array" ref="B1116">alea_date(Settings!$B$11,360,Settings!$B$8+alea_int(4,0,Settings!$B$16),Settings!$B$16)</f>
        <v>46361.375</v>
      </c>
      <c r="C1116" s="3" cm="1">
        <f t="array" ref="C1116">B1116+TIME(alea_int(5,1,Settings!$B$16),0,0)</f>
        <v>46361.541666666664</v>
      </c>
      <c r="D1116" s="3" t="str" cm="1">
        <f t="array" ref="D1116">choice(Settings!K:K,1,Settings!$B$16)</f>
        <v>mercredi pm</v>
      </c>
    </row>
    <row r="1117" spans="1:4" x14ac:dyDescent="0.25">
      <c r="A1117" s="2" t="str" cm="1">
        <f t="array" ref="A1117">choice(Professeurs!A:A,1,Settings!$B$16)</f>
        <v>Prof46</v>
      </c>
      <c r="B1117" s="3" cm="1">
        <f t="array" ref="B1117">alea_date(Settings!$B$11,360,Settings!$B$8+alea_int(4,0,Settings!$B$16),Settings!$B$16)</f>
        <v>46214.458333333336</v>
      </c>
      <c r="C1117" s="3" cm="1">
        <f t="array" ref="C1117">B1117+TIME(alea_int(5,1,Settings!$B$16),0,0)</f>
        <v>46214.666666666672</v>
      </c>
      <c r="D1117" s="3" t="str" cm="1">
        <f t="array" ref="D1117">choice(Settings!K:K,1,Settings!$B$16)</f>
        <v/>
      </c>
    </row>
    <row r="1118" spans="1:4" x14ac:dyDescent="0.25">
      <c r="A1118" s="2" t="str" cm="1">
        <f t="array" ref="A1118">choice(Professeurs!A:A,1,Settings!$B$16)</f>
        <v>Prof44</v>
      </c>
      <c r="B1118" s="3" cm="1">
        <f t="array" ref="B1118">alea_date(Settings!$B$11,360,Settings!$B$8+alea_int(4,0,Settings!$B$16),Settings!$B$16)</f>
        <v>46191.458333333336</v>
      </c>
      <c r="C1118" s="3" cm="1">
        <f t="array" ref="C1118">B1118+TIME(alea_int(5,1,Settings!$B$16),0,0)</f>
        <v>46191.625</v>
      </c>
      <c r="D1118" s="3" t="str" cm="1">
        <f t="array" ref="D1118">choice(Settings!K:K,1,Settings!$B$16)</f>
        <v>jeudi pm</v>
      </c>
    </row>
    <row r="1119" spans="1:4" x14ac:dyDescent="0.25">
      <c r="A1119" s="2" t="str" cm="1">
        <f t="array" ref="A1119">choice(Professeurs!A:A,1,Settings!$B$16)</f>
        <v>Prof28</v>
      </c>
      <c r="B1119" s="3" cm="1">
        <f t="array" ref="B1119">alea_date(Settings!$B$11,360,Settings!$B$8+alea_int(4,0,Settings!$B$16),Settings!$B$16)</f>
        <v>46373.375</v>
      </c>
      <c r="C1119" s="3" cm="1">
        <f t="array" ref="C1119">B1119+TIME(alea_int(5,1,Settings!$B$16),0,0)</f>
        <v>46373.458333333336</v>
      </c>
      <c r="D1119" s="3" t="str" cm="1">
        <f t="array" ref="D1119">choice(Settings!K:K,1,Settings!$B$16)</f>
        <v/>
      </c>
    </row>
    <row r="1120" spans="1:4" x14ac:dyDescent="0.25">
      <c r="A1120" s="2" t="str" cm="1">
        <f t="array" ref="A1120">choice(Professeurs!A:A,1,Settings!$B$16)</f>
        <v>Prof1</v>
      </c>
      <c r="B1120" s="3" cm="1">
        <f t="array" ref="B1120">alea_date(Settings!$B$11,360,Settings!$B$8+alea_int(4,0,Settings!$B$16),Settings!$B$16)</f>
        <v>46045.375</v>
      </c>
      <c r="C1120" s="3" cm="1">
        <f t="array" ref="C1120">B1120+TIME(alea_int(5,1,Settings!$B$16),0,0)</f>
        <v>46045.5</v>
      </c>
      <c r="D1120" s="3" t="str" cm="1">
        <f t="array" ref="D1120">choice(Settings!K:K,1,Settings!$B$16)</f>
        <v>jeudi am</v>
      </c>
    </row>
    <row r="1121" spans="1:4" x14ac:dyDescent="0.25">
      <c r="A1121" s="2" t="str" cm="1">
        <f t="array" ref="A1121">choice(Professeurs!A:A,1,Settings!$B$16)</f>
        <v>Prof15</v>
      </c>
      <c r="B1121" s="3" cm="1">
        <f t="array" ref="B1121">alea_date(Settings!$B$11,360,Settings!$B$8+alea_int(4,0,Settings!$B$16),Settings!$B$16)</f>
        <v>46250.333333333336</v>
      </c>
      <c r="C1121" s="3" cm="1">
        <f t="array" ref="C1121">B1121+TIME(alea_int(5,1,Settings!$B$16),0,0)</f>
        <v>46250.5</v>
      </c>
      <c r="D1121" s="3" t="str" cm="1">
        <f t="array" ref="D1121">choice(Settings!K:K,1,Settings!$B$16)</f>
        <v>vendredi pm</v>
      </c>
    </row>
    <row r="1122" spans="1:4" x14ac:dyDescent="0.25">
      <c r="A1122" s="2" t="str" cm="1">
        <f t="array" ref="A1122">choice(Professeurs!A:A,1,Settings!$B$16)</f>
        <v>Prof21</v>
      </c>
      <c r="B1122" s="3" cm="1">
        <f t="array" ref="B1122">alea_date(Settings!$B$11,360,Settings!$B$8+alea_int(4,0,Settings!$B$16),Settings!$B$16)</f>
        <v>46315.458333333336</v>
      </c>
      <c r="C1122" s="3" cm="1">
        <f t="array" ref="C1122">B1122+TIME(alea_int(5,1,Settings!$B$16),0,0)</f>
        <v>46315.666666666672</v>
      </c>
      <c r="D1122" s="3" t="str" cm="1">
        <f t="array" ref="D1122">choice(Settings!K:K,1,Settings!$B$16)</f>
        <v/>
      </c>
    </row>
    <row r="1123" spans="1:4" x14ac:dyDescent="0.25">
      <c r="A1123" s="2" t="str" cm="1">
        <f t="array" ref="A1123">choice(Professeurs!A:A,1,Settings!$B$16)</f>
        <v>Prof11</v>
      </c>
      <c r="B1123" s="3" cm="1">
        <f t="array" ref="B1123">alea_date(Settings!$B$11,360,Settings!$B$8+alea_int(4,0,Settings!$B$16),Settings!$B$16)</f>
        <v>46102.375</v>
      </c>
      <c r="C1123" s="3" cm="1">
        <f t="array" ref="C1123">B1123+TIME(alea_int(5,1,Settings!$B$16),0,0)</f>
        <v>46102.541666666664</v>
      </c>
      <c r="D1123" s="3" t="str" cm="1">
        <f t="array" ref="D1123">choice(Settings!K:K,1,Settings!$B$16)</f>
        <v>jeudi am</v>
      </c>
    </row>
    <row r="1124" spans="1:4" x14ac:dyDescent="0.25">
      <c r="A1124" s="2" t="str" cm="1">
        <f t="array" ref="A1124">choice(Professeurs!A:A,1,Settings!$B$16)</f>
        <v>Prof44</v>
      </c>
      <c r="B1124" s="3" cm="1">
        <f t="array" ref="B1124">alea_date(Settings!$B$11,360,Settings!$B$8+alea_int(4,0,Settings!$B$16),Settings!$B$16)</f>
        <v>46116.333333333336</v>
      </c>
      <c r="C1124" s="3" cm="1">
        <f t="array" ref="C1124">B1124+TIME(alea_int(5,1,Settings!$B$16),0,0)</f>
        <v>46116.541666666672</v>
      </c>
      <c r="D1124" s="3" t="str" cm="1">
        <f t="array" ref="D1124">choice(Settings!K:K,1,Settings!$B$16)</f>
        <v>mardi pm</v>
      </c>
    </row>
    <row r="1125" spans="1:4" x14ac:dyDescent="0.25">
      <c r="A1125" s="2" t="str" cm="1">
        <f t="array" ref="A1125">choice(Professeurs!A:A,1,Settings!$B$16)</f>
        <v>Prof33</v>
      </c>
      <c r="B1125" s="3" cm="1">
        <f t="array" ref="B1125">alea_date(Settings!$B$11,360,Settings!$B$8+alea_int(4,0,Settings!$B$16),Settings!$B$16)</f>
        <v>46329.458333333336</v>
      </c>
      <c r="C1125" s="3" cm="1">
        <f t="array" ref="C1125">B1125+TIME(alea_int(5,1,Settings!$B$16),0,0)</f>
        <v>46329.5</v>
      </c>
      <c r="D1125" s="3" t="str" cm="1">
        <f t="array" ref="D1125">choice(Settings!K:K,1,Settings!$B$16)</f>
        <v/>
      </c>
    </row>
    <row r="1126" spans="1:4" x14ac:dyDescent="0.25">
      <c r="A1126" s="2" t="str" cm="1">
        <f t="array" ref="A1126">choice(Professeurs!A:A,1,Settings!$B$16)</f>
        <v>Prof51</v>
      </c>
      <c r="B1126" s="3" cm="1">
        <f t="array" ref="B1126">alea_date(Settings!$B$11,360,Settings!$B$8+alea_int(4,0,Settings!$B$16),Settings!$B$16)</f>
        <v>46159.458333333336</v>
      </c>
      <c r="C1126" s="3" cm="1">
        <f t="array" ref="C1126">B1126+TIME(alea_int(5,1,Settings!$B$16),0,0)</f>
        <v>46159.625</v>
      </c>
      <c r="D1126" s="3" t="str" cm="1">
        <f t="array" ref="D1126">choice(Settings!K:K,1,Settings!$B$16)</f>
        <v/>
      </c>
    </row>
    <row r="1127" spans="1:4" x14ac:dyDescent="0.25">
      <c r="A1127" s="2" t="str" cm="1">
        <f t="array" ref="A1127">choice(Professeurs!A:A,1,Settings!$B$16)</f>
        <v>Prof50</v>
      </c>
      <c r="B1127" s="3" cm="1">
        <f t="array" ref="B1127">alea_date(Settings!$B$11,360,Settings!$B$8+alea_int(4,0,Settings!$B$16),Settings!$B$16)</f>
        <v>46033.375</v>
      </c>
      <c r="C1127" s="3" cm="1">
        <f t="array" ref="C1127">B1127+TIME(alea_int(5,1,Settings!$B$16),0,0)</f>
        <v>46033.458333333336</v>
      </c>
      <c r="D1127" s="3" t="str" cm="1">
        <f t="array" ref="D1127">choice(Settings!K:K,1,Settings!$B$16)</f>
        <v/>
      </c>
    </row>
    <row r="1128" spans="1:4" x14ac:dyDescent="0.25">
      <c r="A1128" s="2" t="str" cm="1">
        <f t="array" ref="A1128">choice(Professeurs!A:A,1,Settings!$B$16)</f>
        <v>Prof4</v>
      </c>
      <c r="B1128" s="3" cm="1">
        <f t="array" ref="B1128">alea_date(Settings!$B$11,360,Settings!$B$8+alea_int(4,0,Settings!$B$16),Settings!$B$16)</f>
        <v>46377.458333333336</v>
      </c>
      <c r="C1128" s="3" cm="1">
        <f t="array" ref="C1128">B1128+TIME(alea_int(5,1,Settings!$B$16),0,0)</f>
        <v>46377.5</v>
      </c>
      <c r="D1128" s="3" t="str" cm="1">
        <f t="array" ref="D1128">choice(Settings!K:K,1,Settings!$B$16)</f>
        <v/>
      </c>
    </row>
    <row r="1129" spans="1:4" x14ac:dyDescent="0.25">
      <c r="A1129" s="2" t="str" cm="1">
        <f t="array" ref="A1129">choice(Professeurs!A:A,1,Settings!$B$16)</f>
        <v>Prof43</v>
      </c>
      <c r="B1129" s="3" cm="1">
        <f t="array" ref="B1129">alea_date(Settings!$B$11,360,Settings!$B$8+alea_int(4,0,Settings!$B$16),Settings!$B$16)</f>
        <v>46299.416666666664</v>
      </c>
      <c r="C1129" s="3" cm="1">
        <f t="array" ref="C1129">B1129+TIME(alea_int(5,1,Settings!$B$16),0,0)</f>
        <v>46299.625</v>
      </c>
      <c r="D1129" s="3" t="str" cm="1">
        <f t="array" ref="D1129">choice(Settings!K:K,1,Settings!$B$16)</f>
        <v/>
      </c>
    </row>
    <row r="1130" spans="1:4" x14ac:dyDescent="0.25">
      <c r="A1130" s="2" t="str" cm="1">
        <f t="array" ref="A1130">choice(Professeurs!A:A,1,Settings!$B$16)</f>
        <v>Prof44</v>
      </c>
      <c r="B1130" s="3" cm="1">
        <f t="array" ref="B1130">alea_date(Settings!$B$11,360,Settings!$B$8+alea_int(4,0,Settings!$B$16),Settings!$B$16)</f>
        <v>46326.416666666664</v>
      </c>
      <c r="C1130" s="3" cm="1">
        <f t="array" ref="C1130">B1130+TIME(alea_int(5,1,Settings!$B$16),0,0)</f>
        <v>46326.458333333328</v>
      </c>
      <c r="D1130" s="3" t="str" cm="1">
        <f t="array" ref="D1130">choice(Settings!K:K,1,Settings!$B$16)</f>
        <v/>
      </c>
    </row>
    <row r="1131" spans="1:4" x14ac:dyDescent="0.25">
      <c r="A1131" s="2" t="str" cm="1">
        <f t="array" ref="A1131">choice(Professeurs!A:A,1,Settings!$B$16)</f>
        <v>Prof40</v>
      </c>
      <c r="B1131" s="3" cm="1">
        <f t="array" ref="B1131">alea_date(Settings!$B$11,360,Settings!$B$8+alea_int(4,0,Settings!$B$16),Settings!$B$16)</f>
        <v>46380.458333333336</v>
      </c>
      <c r="C1131" s="3" cm="1">
        <f t="array" ref="C1131">B1131+TIME(alea_int(5,1,Settings!$B$16),0,0)</f>
        <v>46380.5</v>
      </c>
      <c r="D1131" s="3" t="str" cm="1">
        <f t="array" ref="D1131">choice(Settings!K:K,1,Settings!$B$16)</f>
        <v/>
      </c>
    </row>
    <row r="1132" spans="1:4" x14ac:dyDescent="0.25">
      <c r="A1132" s="2" t="str" cm="1">
        <f t="array" ref="A1132">choice(Professeurs!A:A,1,Settings!$B$16)</f>
        <v>Prof20</v>
      </c>
      <c r="B1132" s="3" cm="1">
        <f t="array" ref="B1132">alea_date(Settings!$B$11,360,Settings!$B$8+alea_int(4,0,Settings!$B$16),Settings!$B$16)</f>
        <v>46214.416666666664</v>
      </c>
      <c r="C1132" s="3" cm="1">
        <f t="array" ref="C1132">B1132+TIME(alea_int(5,1,Settings!$B$16),0,0)</f>
        <v>46214.458333333328</v>
      </c>
      <c r="D1132" s="3" t="str" cm="1">
        <f t="array" ref="D1132">choice(Settings!K:K,1,Settings!$B$16)</f>
        <v/>
      </c>
    </row>
    <row r="1133" spans="1:4" x14ac:dyDescent="0.25">
      <c r="A1133" s="2" t="str" cm="1">
        <f t="array" ref="A1133">choice(Professeurs!A:A,1,Settings!$B$16)</f>
        <v>Prof55</v>
      </c>
      <c r="B1133" s="3" cm="1">
        <f t="array" ref="B1133">alea_date(Settings!$B$11,360,Settings!$B$8+alea_int(4,0,Settings!$B$16),Settings!$B$16)</f>
        <v>46283.375</v>
      </c>
      <c r="C1133" s="3" cm="1">
        <f t="array" ref="C1133">B1133+TIME(alea_int(5,1,Settings!$B$16),0,0)</f>
        <v>46283.583333333336</v>
      </c>
      <c r="D1133" s="3" t="str" cm="1">
        <f t="array" ref="D1133">choice(Settings!K:K,1,Settings!$B$16)</f>
        <v/>
      </c>
    </row>
    <row r="1134" spans="1:4" x14ac:dyDescent="0.25">
      <c r="A1134" s="2" t="str" cm="1">
        <f t="array" ref="A1134">choice(Professeurs!A:A,1,Settings!$B$16)</f>
        <v>Prof33</v>
      </c>
      <c r="B1134" s="3" cm="1">
        <f t="array" ref="B1134">alea_date(Settings!$B$11,360,Settings!$B$8+alea_int(4,0,Settings!$B$16),Settings!$B$16)</f>
        <v>46357.375</v>
      </c>
      <c r="C1134" s="3" cm="1">
        <f t="array" ref="C1134">B1134+TIME(alea_int(5,1,Settings!$B$16),0,0)</f>
        <v>46357.541666666664</v>
      </c>
      <c r="D1134" s="3" t="str" cm="1">
        <f t="array" ref="D1134">choice(Settings!K:K,1,Settings!$B$16)</f>
        <v>mardi pm</v>
      </c>
    </row>
    <row r="1135" spans="1:4" x14ac:dyDescent="0.25">
      <c r="A1135" s="2" t="str" cm="1">
        <f t="array" ref="A1135">choice(Professeurs!A:A,1,Settings!$B$16)</f>
        <v>Prof54</v>
      </c>
      <c r="B1135" s="3" cm="1">
        <f t="array" ref="B1135">alea_date(Settings!$B$11,360,Settings!$B$8+alea_int(4,0,Settings!$B$16),Settings!$B$16)</f>
        <v>46072.333333333336</v>
      </c>
      <c r="C1135" s="3" cm="1">
        <f t="array" ref="C1135">B1135+TIME(alea_int(5,1,Settings!$B$16),0,0)</f>
        <v>46072.416666666672</v>
      </c>
      <c r="D1135" s="3" t="str" cm="1">
        <f t="array" ref="D1135">choice(Settings!K:K,1,Settings!$B$16)</f>
        <v/>
      </c>
    </row>
    <row r="1136" spans="1:4" x14ac:dyDescent="0.25">
      <c r="A1136" s="2" t="str" cm="1">
        <f t="array" ref="A1136">choice(Professeurs!A:A,1,Settings!$B$16)</f>
        <v>Prof43</v>
      </c>
      <c r="B1136" s="3" cm="1">
        <f t="array" ref="B1136">alea_date(Settings!$B$11,360,Settings!$B$8+alea_int(4,0,Settings!$B$16),Settings!$B$16)</f>
        <v>46196.458333333336</v>
      </c>
      <c r="C1136" s="3" cm="1">
        <f t="array" ref="C1136">B1136+TIME(alea_int(5,1,Settings!$B$16),0,0)</f>
        <v>46196.583333333336</v>
      </c>
      <c r="D1136" s="3" t="str" cm="1">
        <f t="array" ref="D1136">choice(Settings!K:K,1,Settings!$B$16)</f>
        <v/>
      </c>
    </row>
    <row r="1137" spans="1:4" x14ac:dyDescent="0.25">
      <c r="A1137" s="2" t="str" cm="1">
        <f t="array" ref="A1137">choice(Professeurs!A:A,1,Settings!$B$16)</f>
        <v>Prof34</v>
      </c>
      <c r="B1137" s="3" cm="1">
        <f t="array" ref="B1137">alea_date(Settings!$B$11,360,Settings!$B$8+alea_int(4,0,Settings!$B$16),Settings!$B$16)</f>
        <v>46190.458333333336</v>
      </c>
      <c r="C1137" s="3" cm="1">
        <f t="array" ref="C1137">B1137+TIME(alea_int(5,1,Settings!$B$16),0,0)</f>
        <v>46190.625</v>
      </c>
      <c r="D1137" s="3" t="str" cm="1">
        <f t="array" ref="D1137">choice(Settings!K:K,1,Settings!$B$16)</f>
        <v/>
      </c>
    </row>
    <row r="1138" spans="1:4" x14ac:dyDescent="0.25">
      <c r="A1138" s="2" t="str" cm="1">
        <f t="array" ref="A1138">choice(Professeurs!A:A,1,Settings!$B$16)</f>
        <v>Prof27</v>
      </c>
      <c r="B1138" s="3" cm="1">
        <f t="array" ref="B1138">alea_date(Settings!$B$11,360,Settings!$B$8+alea_int(4,0,Settings!$B$16),Settings!$B$16)</f>
        <v>46219.333333333336</v>
      </c>
      <c r="C1138" s="3" cm="1">
        <f t="array" ref="C1138">B1138+TIME(alea_int(5,1,Settings!$B$16),0,0)</f>
        <v>46219.5</v>
      </c>
      <c r="D1138" s="3" t="str" cm="1">
        <f t="array" ref="D1138">choice(Settings!K:K,1,Settings!$B$16)</f>
        <v>vendredi pm</v>
      </c>
    </row>
    <row r="1139" spans="1:4" x14ac:dyDescent="0.25">
      <c r="A1139" s="2" t="str" cm="1">
        <f t="array" ref="A1139">choice(Professeurs!A:A,1,Settings!$B$16)</f>
        <v>Prof52</v>
      </c>
      <c r="B1139" s="3" cm="1">
        <f t="array" ref="B1139">alea_date(Settings!$B$11,360,Settings!$B$8+alea_int(4,0,Settings!$B$16),Settings!$B$16)</f>
        <v>46297.416666666664</v>
      </c>
      <c r="C1139" s="3" cm="1">
        <f t="array" ref="C1139">B1139+TIME(alea_int(5,1,Settings!$B$16),0,0)</f>
        <v>46297.458333333328</v>
      </c>
      <c r="D1139" s="3" t="str" cm="1">
        <f t="array" ref="D1139">choice(Settings!K:K,1,Settings!$B$16)</f>
        <v/>
      </c>
    </row>
    <row r="1140" spans="1:4" x14ac:dyDescent="0.25">
      <c r="A1140" s="2" t="str" cm="1">
        <f t="array" ref="A1140">choice(Professeurs!A:A,1,Settings!$B$16)</f>
        <v>Prof22</v>
      </c>
      <c r="B1140" s="3" cm="1">
        <f t="array" ref="B1140">alea_date(Settings!$B$11,360,Settings!$B$8+alea_int(4,0,Settings!$B$16),Settings!$B$16)</f>
        <v>46109.333333333336</v>
      </c>
      <c r="C1140" s="3" cm="1">
        <f t="array" ref="C1140">B1140+TIME(alea_int(5,1,Settings!$B$16),0,0)</f>
        <v>46109.541666666672</v>
      </c>
      <c r="D1140" s="3" t="str" cm="1">
        <f t="array" ref="D1140">choice(Settings!K:K,1,Settings!$B$16)</f>
        <v/>
      </c>
    </row>
    <row r="1141" spans="1:4" x14ac:dyDescent="0.25">
      <c r="A1141" s="2" t="str" cm="1">
        <f t="array" ref="A1141">choice(Professeurs!A:A,1,Settings!$B$16)</f>
        <v>Prof41</v>
      </c>
      <c r="B1141" s="3" cm="1">
        <f t="array" ref="B1141">alea_date(Settings!$B$11,360,Settings!$B$8+alea_int(4,0,Settings!$B$16),Settings!$B$16)</f>
        <v>46306.375</v>
      </c>
      <c r="C1141" s="3" cm="1">
        <f t="array" ref="C1141">B1141+TIME(alea_int(5,1,Settings!$B$16),0,0)</f>
        <v>46306.5</v>
      </c>
      <c r="D1141" s="3" t="str" cm="1">
        <f t="array" ref="D1141">choice(Settings!K:K,1,Settings!$B$16)</f>
        <v/>
      </c>
    </row>
    <row r="1142" spans="1:4" x14ac:dyDescent="0.25">
      <c r="A1142" s="2" t="str" cm="1">
        <f t="array" ref="A1142">choice(Professeurs!A:A,1,Settings!$B$16)</f>
        <v>Prof29</v>
      </c>
      <c r="B1142" s="3" cm="1">
        <f t="array" ref="B1142">alea_date(Settings!$B$11,360,Settings!$B$8+alea_int(4,0,Settings!$B$16),Settings!$B$16)</f>
        <v>46262.458333333336</v>
      </c>
      <c r="C1142" s="3" cm="1">
        <f t="array" ref="C1142">B1142+TIME(alea_int(5,1,Settings!$B$16),0,0)</f>
        <v>46262.625</v>
      </c>
      <c r="D1142" s="3" t="str" cm="1">
        <f t="array" ref="D1142">choice(Settings!K:K,1,Settings!$B$16)</f>
        <v/>
      </c>
    </row>
    <row r="1143" spans="1:4" x14ac:dyDescent="0.25">
      <c r="A1143" s="2" t="str" cm="1">
        <f t="array" ref="A1143">choice(Professeurs!A:A,1,Settings!$B$16)</f>
        <v>Prof32</v>
      </c>
      <c r="B1143" s="3" cm="1">
        <f t="array" ref="B1143">alea_date(Settings!$B$11,360,Settings!$B$8+alea_int(4,0,Settings!$B$16),Settings!$B$16)</f>
        <v>46205.333333333336</v>
      </c>
      <c r="C1143" s="3" cm="1">
        <f t="array" ref="C1143">B1143+TIME(alea_int(5,1,Settings!$B$16),0,0)</f>
        <v>46205.375</v>
      </c>
      <c r="D1143" s="3" t="str" cm="1">
        <f t="array" ref="D1143">choice(Settings!K:K,1,Settings!$B$16)</f>
        <v/>
      </c>
    </row>
    <row r="1144" spans="1:4" x14ac:dyDescent="0.25">
      <c r="A1144" s="2" t="str" cm="1">
        <f t="array" ref="A1144">choice(Professeurs!A:A,1,Settings!$B$16)</f>
        <v>Prof28</v>
      </c>
      <c r="B1144" s="3" cm="1">
        <f t="array" ref="B1144">alea_date(Settings!$B$11,360,Settings!$B$8+alea_int(4,0,Settings!$B$16),Settings!$B$16)</f>
        <v>46274.416666666664</v>
      </c>
      <c r="C1144" s="3" cm="1">
        <f t="array" ref="C1144">B1144+TIME(alea_int(5,1,Settings!$B$16),0,0)</f>
        <v>46274.458333333328</v>
      </c>
      <c r="D1144" s="3" t="str" cm="1">
        <f t="array" ref="D1144">choice(Settings!K:K,1,Settings!$B$16)</f>
        <v/>
      </c>
    </row>
    <row r="1145" spans="1:4" x14ac:dyDescent="0.25">
      <c r="A1145" s="2" t="str" cm="1">
        <f t="array" ref="A1145">choice(Professeurs!A:A,1,Settings!$B$16)</f>
        <v>Prof7</v>
      </c>
      <c r="B1145" s="3" cm="1">
        <f t="array" ref="B1145">alea_date(Settings!$B$11,360,Settings!$B$8+alea_int(4,0,Settings!$B$16),Settings!$B$16)</f>
        <v>46092.416666666664</v>
      </c>
      <c r="C1145" s="3" cm="1">
        <f t="array" ref="C1145">B1145+TIME(alea_int(5,1,Settings!$B$16),0,0)</f>
        <v>46092.458333333328</v>
      </c>
      <c r="D1145" s="3" t="str" cm="1">
        <f t="array" ref="D1145">choice(Settings!K:K,1,Settings!$B$16)</f>
        <v>mardi am</v>
      </c>
    </row>
    <row r="1146" spans="1:4" x14ac:dyDescent="0.25">
      <c r="A1146" s="2" t="str" cm="1">
        <f t="array" ref="A1146">choice(Professeurs!A:A,1,Settings!$B$16)</f>
        <v>Prof44</v>
      </c>
      <c r="B1146" s="3" cm="1">
        <f t="array" ref="B1146">alea_date(Settings!$B$11,360,Settings!$B$8+alea_int(4,0,Settings!$B$16),Settings!$B$16)</f>
        <v>46165.458333333336</v>
      </c>
      <c r="C1146" s="3" cm="1">
        <f t="array" ref="C1146">B1146+TIME(alea_int(5,1,Settings!$B$16),0,0)</f>
        <v>46165.666666666672</v>
      </c>
      <c r="D1146" s="3" t="str" cm="1">
        <f t="array" ref="D1146">choice(Settings!K:K,1,Settings!$B$16)</f>
        <v>vendredi am</v>
      </c>
    </row>
    <row r="1147" spans="1:4" x14ac:dyDescent="0.25">
      <c r="A1147" s="2" t="str" cm="1">
        <f t="array" ref="A1147">choice(Professeurs!A:A,1,Settings!$B$16)</f>
        <v>Prof17</v>
      </c>
      <c r="B1147" s="3" cm="1">
        <f t="array" ref="B1147">alea_date(Settings!$B$11,360,Settings!$B$8+alea_int(4,0,Settings!$B$16),Settings!$B$16)</f>
        <v>46035.416666666664</v>
      </c>
      <c r="C1147" s="3" cm="1">
        <f t="array" ref="C1147">B1147+TIME(alea_int(5,1,Settings!$B$16),0,0)</f>
        <v>46035.625</v>
      </c>
      <c r="D1147" s="3" t="str" cm="1">
        <f t="array" ref="D1147">choice(Settings!K:K,1,Settings!$B$16)</f>
        <v/>
      </c>
    </row>
    <row r="1148" spans="1:4" x14ac:dyDescent="0.25">
      <c r="A1148" s="2" t="str" cm="1">
        <f t="array" ref="A1148">choice(Professeurs!A:A,1,Settings!$B$16)</f>
        <v>Prof8</v>
      </c>
      <c r="B1148" s="3" cm="1">
        <f t="array" ref="B1148">alea_date(Settings!$B$11,360,Settings!$B$8+alea_int(4,0,Settings!$B$16),Settings!$B$16)</f>
        <v>46167.416666666664</v>
      </c>
      <c r="C1148" s="3" cm="1">
        <f t="array" ref="C1148">B1148+TIME(alea_int(5,1,Settings!$B$16),0,0)</f>
        <v>46167.625</v>
      </c>
      <c r="D1148" s="3" t="str" cm="1">
        <f t="array" ref="D1148">choice(Settings!K:K,1,Settings!$B$16)</f>
        <v/>
      </c>
    </row>
    <row r="1149" spans="1:4" x14ac:dyDescent="0.25">
      <c r="A1149" s="2" t="str" cm="1">
        <f t="array" ref="A1149">choice(Professeurs!A:A,1,Settings!$B$16)</f>
        <v>Prof9</v>
      </c>
      <c r="B1149" s="3" cm="1">
        <f t="array" ref="B1149">alea_date(Settings!$B$11,360,Settings!$B$8+alea_int(4,0,Settings!$B$16),Settings!$B$16)</f>
        <v>46143.458333333336</v>
      </c>
      <c r="C1149" s="3" cm="1">
        <f t="array" ref="C1149">B1149+TIME(alea_int(5,1,Settings!$B$16),0,0)</f>
        <v>46143.583333333336</v>
      </c>
      <c r="D1149" s="3" t="str" cm="1">
        <f t="array" ref="D1149">choice(Settings!K:K,1,Settings!$B$16)</f>
        <v>mercredi pm</v>
      </c>
    </row>
    <row r="1150" spans="1:4" x14ac:dyDescent="0.25">
      <c r="A1150" s="2" t="str" cm="1">
        <f t="array" ref="A1150">choice(Professeurs!A:A,1,Settings!$B$16)</f>
        <v>Prof36</v>
      </c>
      <c r="B1150" s="3" cm="1">
        <f t="array" ref="B1150">alea_date(Settings!$B$11,360,Settings!$B$8+alea_int(4,0,Settings!$B$16),Settings!$B$16)</f>
        <v>46123.375</v>
      </c>
      <c r="C1150" s="3" cm="1">
        <f t="array" ref="C1150">B1150+TIME(alea_int(5,1,Settings!$B$16),0,0)</f>
        <v>46123.458333333336</v>
      </c>
      <c r="D1150" s="3" t="str" cm="1">
        <f t="array" ref="D1150">choice(Settings!K:K,1,Settings!$B$16)</f>
        <v>mercredi pm</v>
      </c>
    </row>
    <row r="1151" spans="1:4" x14ac:dyDescent="0.25">
      <c r="A1151" s="2" t="str" cm="1">
        <f t="array" ref="A1151">choice(Professeurs!A:A,1,Settings!$B$16)</f>
        <v>Prof42</v>
      </c>
      <c r="B1151" s="3" cm="1">
        <f t="array" ref="B1151">alea_date(Settings!$B$11,360,Settings!$B$8+alea_int(4,0,Settings!$B$16),Settings!$B$16)</f>
        <v>46185.375</v>
      </c>
      <c r="C1151" s="3" cm="1">
        <f t="array" ref="C1151">B1151+TIME(alea_int(5,1,Settings!$B$16),0,0)</f>
        <v>46185.416666666664</v>
      </c>
      <c r="D1151" s="3" t="str" cm="1">
        <f t="array" ref="D1151">choice(Settings!K:K,1,Settings!$B$16)</f>
        <v>mercredi pm</v>
      </c>
    </row>
    <row r="1152" spans="1:4" x14ac:dyDescent="0.25">
      <c r="A1152" s="2" t="str" cm="1">
        <f t="array" ref="A1152">choice(Professeurs!A:A,1,Settings!$B$16)</f>
        <v>Prof41</v>
      </c>
      <c r="B1152" s="3" cm="1">
        <f t="array" ref="B1152">alea_date(Settings!$B$11,360,Settings!$B$8+alea_int(4,0,Settings!$B$16),Settings!$B$16)</f>
        <v>46103.375</v>
      </c>
      <c r="C1152" s="3" cm="1">
        <f t="array" ref="C1152">B1152+TIME(alea_int(5,1,Settings!$B$16),0,0)</f>
        <v>46103.416666666664</v>
      </c>
      <c r="D1152" s="3" t="str" cm="1">
        <f t="array" ref="D1152">choice(Settings!K:K,1,Settings!$B$16)</f>
        <v/>
      </c>
    </row>
    <row r="1153" spans="1:4" x14ac:dyDescent="0.25">
      <c r="A1153" s="2" t="str" cm="1">
        <f t="array" ref="A1153">choice(Professeurs!A:A,1,Settings!$B$16)</f>
        <v>Prof19</v>
      </c>
      <c r="B1153" s="3" cm="1">
        <f t="array" ref="B1153">alea_date(Settings!$B$11,360,Settings!$B$8+alea_int(4,0,Settings!$B$16),Settings!$B$16)</f>
        <v>46164.375</v>
      </c>
      <c r="C1153" s="3" cm="1">
        <f t="array" ref="C1153">B1153+TIME(alea_int(5,1,Settings!$B$16),0,0)</f>
        <v>46164.583333333336</v>
      </c>
      <c r="D1153" s="3" t="str" cm="1">
        <f t="array" ref="D1153">choice(Settings!K:K,1,Settings!$B$16)</f>
        <v>mardi pm</v>
      </c>
    </row>
    <row r="1154" spans="1:4" x14ac:dyDescent="0.25">
      <c r="A1154" s="2" t="str" cm="1">
        <f t="array" ref="A1154">choice(Professeurs!A:A,1,Settings!$B$16)</f>
        <v>Prof41</v>
      </c>
      <c r="B1154" s="3" cm="1">
        <f t="array" ref="B1154">alea_date(Settings!$B$11,360,Settings!$B$8+alea_int(4,0,Settings!$B$16),Settings!$B$16)</f>
        <v>46207.333333333336</v>
      </c>
      <c r="C1154" s="3" cm="1">
        <f t="array" ref="C1154">B1154+TIME(alea_int(5,1,Settings!$B$16),0,0)</f>
        <v>46207.375</v>
      </c>
      <c r="D1154" s="3" t="str" cm="1">
        <f t="array" ref="D1154">choice(Settings!K:K,1,Settings!$B$16)</f>
        <v/>
      </c>
    </row>
    <row r="1155" spans="1:4" x14ac:dyDescent="0.25">
      <c r="A1155" s="2" t="str" cm="1">
        <f t="array" ref="A1155">choice(Professeurs!A:A,1,Settings!$B$16)</f>
        <v>Prof12</v>
      </c>
      <c r="B1155" s="3" cm="1">
        <f t="array" ref="B1155">alea_date(Settings!$B$11,360,Settings!$B$8+alea_int(4,0,Settings!$B$16),Settings!$B$16)</f>
        <v>46076.375</v>
      </c>
      <c r="C1155" s="3" cm="1">
        <f t="array" ref="C1155">B1155+TIME(alea_int(5,1,Settings!$B$16),0,0)</f>
        <v>46076.5</v>
      </c>
      <c r="D1155" s="3" t="str" cm="1">
        <f t="array" ref="D1155">choice(Settings!K:K,1,Settings!$B$16)</f>
        <v/>
      </c>
    </row>
    <row r="1156" spans="1:4" x14ac:dyDescent="0.25">
      <c r="A1156" s="2" t="str" cm="1">
        <f t="array" ref="A1156">choice(Professeurs!A:A,1,Settings!$B$16)</f>
        <v>Prof53</v>
      </c>
      <c r="B1156" s="3" cm="1">
        <f t="array" ref="B1156">alea_date(Settings!$B$11,360,Settings!$B$8+alea_int(4,0,Settings!$B$16),Settings!$B$16)</f>
        <v>46111.333333333336</v>
      </c>
      <c r="C1156" s="3" cm="1">
        <f t="array" ref="C1156">B1156+TIME(alea_int(5,1,Settings!$B$16),0,0)</f>
        <v>46111.5</v>
      </c>
      <c r="D1156" s="3" t="str" cm="1">
        <f t="array" ref="D1156">choice(Settings!K:K,1,Settings!$B$16)</f>
        <v/>
      </c>
    </row>
    <row r="1157" spans="1:4" x14ac:dyDescent="0.25">
      <c r="A1157" s="2" t="str" cm="1">
        <f t="array" ref="A1157">choice(Professeurs!A:A,1,Settings!$B$16)</f>
        <v>Prof48</v>
      </c>
      <c r="B1157" s="3" cm="1">
        <f t="array" ref="B1157">alea_date(Settings!$B$11,360,Settings!$B$8+alea_int(4,0,Settings!$B$16),Settings!$B$16)</f>
        <v>46277.458333333336</v>
      </c>
      <c r="C1157" s="3" cm="1">
        <f t="array" ref="C1157">B1157+TIME(alea_int(5,1,Settings!$B$16),0,0)</f>
        <v>46277.583333333336</v>
      </c>
      <c r="D1157" s="3" t="str" cm="1">
        <f t="array" ref="D1157">choice(Settings!K:K,1,Settings!$B$16)</f>
        <v/>
      </c>
    </row>
    <row r="1158" spans="1:4" x14ac:dyDescent="0.25">
      <c r="A1158" s="2" t="str" cm="1">
        <f t="array" ref="A1158">choice(Professeurs!A:A,1,Settings!$B$16)</f>
        <v>Prof22</v>
      </c>
      <c r="B1158" s="3" cm="1">
        <f t="array" ref="B1158">alea_date(Settings!$B$11,360,Settings!$B$8+alea_int(4,0,Settings!$B$16),Settings!$B$16)</f>
        <v>46100.458333333336</v>
      </c>
      <c r="C1158" s="3" cm="1">
        <f t="array" ref="C1158">B1158+TIME(alea_int(5,1,Settings!$B$16),0,0)</f>
        <v>46100.583333333336</v>
      </c>
      <c r="D1158" s="3" t="str" cm="1">
        <f t="array" ref="D1158">choice(Settings!K:K,1,Settings!$B$16)</f>
        <v/>
      </c>
    </row>
    <row r="1159" spans="1:4" x14ac:dyDescent="0.25">
      <c r="A1159" s="2" t="str" cm="1">
        <f t="array" ref="A1159">choice(Professeurs!A:A,1,Settings!$B$16)</f>
        <v>Prof27</v>
      </c>
      <c r="B1159" s="3" cm="1">
        <f t="array" ref="B1159">alea_date(Settings!$B$11,360,Settings!$B$8+alea_int(4,0,Settings!$B$16),Settings!$B$16)</f>
        <v>46296.458333333336</v>
      </c>
      <c r="C1159" s="3" cm="1">
        <f t="array" ref="C1159">B1159+TIME(alea_int(5,1,Settings!$B$16),0,0)</f>
        <v>46296.541666666672</v>
      </c>
      <c r="D1159" s="3" t="str" cm="1">
        <f t="array" ref="D1159">choice(Settings!K:K,1,Settings!$B$16)</f>
        <v/>
      </c>
    </row>
    <row r="1160" spans="1:4" x14ac:dyDescent="0.25">
      <c r="A1160" s="2" t="str" cm="1">
        <f t="array" ref="A1160">choice(Professeurs!A:A,1,Settings!$B$16)</f>
        <v>Prof43</v>
      </c>
      <c r="B1160" s="3" cm="1">
        <f t="array" ref="B1160">alea_date(Settings!$B$11,360,Settings!$B$8+alea_int(4,0,Settings!$B$16),Settings!$B$16)</f>
        <v>46101.333333333336</v>
      </c>
      <c r="C1160" s="3" cm="1">
        <f t="array" ref="C1160">B1160+TIME(alea_int(5,1,Settings!$B$16),0,0)</f>
        <v>46101.375</v>
      </c>
      <c r="D1160" s="3" t="str" cm="1">
        <f t="array" ref="D1160">choice(Settings!K:K,1,Settings!$B$16)</f>
        <v>jeudi pm</v>
      </c>
    </row>
    <row r="1161" spans="1:4" x14ac:dyDescent="0.25">
      <c r="A1161" s="2" t="str" cm="1">
        <f t="array" ref="A1161">choice(Professeurs!A:A,1,Settings!$B$16)</f>
        <v>Prof9</v>
      </c>
      <c r="B1161" s="3" cm="1">
        <f t="array" ref="B1161">alea_date(Settings!$B$11,360,Settings!$B$8+alea_int(4,0,Settings!$B$16),Settings!$B$16)</f>
        <v>46134.375</v>
      </c>
      <c r="C1161" s="3" cm="1">
        <f t="array" ref="C1161">B1161+TIME(alea_int(5,1,Settings!$B$16),0,0)</f>
        <v>46134.416666666664</v>
      </c>
      <c r="D1161" s="3" t="str" cm="1">
        <f t="array" ref="D1161">choice(Settings!K:K,1,Settings!$B$16)</f>
        <v>lundi am</v>
      </c>
    </row>
    <row r="1162" spans="1:4" x14ac:dyDescent="0.25">
      <c r="A1162" s="2" t="str" cm="1">
        <f t="array" ref="A1162">choice(Professeurs!A:A,1,Settings!$B$16)</f>
        <v>Prof22</v>
      </c>
      <c r="B1162" s="3" cm="1">
        <f t="array" ref="B1162">alea_date(Settings!$B$11,360,Settings!$B$8+alea_int(4,0,Settings!$B$16),Settings!$B$16)</f>
        <v>46290.458333333336</v>
      </c>
      <c r="C1162" s="3" cm="1">
        <f t="array" ref="C1162">B1162+TIME(alea_int(5,1,Settings!$B$16),0,0)</f>
        <v>46290.541666666672</v>
      </c>
      <c r="D1162" s="3" t="str" cm="1">
        <f t="array" ref="D1162">choice(Settings!K:K,1,Settings!$B$16)</f>
        <v>vendredi am</v>
      </c>
    </row>
    <row r="1163" spans="1:4" x14ac:dyDescent="0.25">
      <c r="A1163" s="2" t="str" cm="1">
        <f t="array" ref="A1163">choice(Professeurs!A:A,1,Settings!$B$16)</f>
        <v>Prof30</v>
      </c>
      <c r="B1163" s="3" cm="1">
        <f t="array" ref="B1163">alea_date(Settings!$B$11,360,Settings!$B$8+alea_int(4,0,Settings!$B$16),Settings!$B$16)</f>
        <v>46051.458333333336</v>
      </c>
      <c r="C1163" s="3" cm="1">
        <f t="array" ref="C1163">B1163+TIME(alea_int(5,1,Settings!$B$16),0,0)</f>
        <v>46051.583333333336</v>
      </c>
      <c r="D1163" s="3" t="str" cm="1">
        <f t="array" ref="D1163">choice(Settings!K:K,1,Settings!$B$16)</f>
        <v>mercredi pm</v>
      </c>
    </row>
    <row r="1164" spans="1:4" x14ac:dyDescent="0.25">
      <c r="A1164" s="2" t="str" cm="1">
        <f t="array" ref="A1164">choice(Professeurs!A:A,1,Settings!$B$16)</f>
        <v>Prof16</v>
      </c>
      <c r="B1164" s="3" cm="1">
        <f t="array" ref="B1164">alea_date(Settings!$B$11,360,Settings!$B$8+alea_int(4,0,Settings!$B$16),Settings!$B$16)</f>
        <v>46142.375</v>
      </c>
      <c r="C1164" s="3" cm="1">
        <f t="array" ref="C1164">B1164+TIME(alea_int(5,1,Settings!$B$16),0,0)</f>
        <v>46142.416666666664</v>
      </c>
      <c r="D1164" s="3" t="str" cm="1">
        <f t="array" ref="D1164">choice(Settings!K:K,1,Settings!$B$16)</f>
        <v>lundi am</v>
      </c>
    </row>
    <row r="1165" spans="1:4" x14ac:dyDescent="0.25">
      <c r="A1165" s="2" t="str" cm="1">
        <f t="array" ref="A1165">choice(Professeurs!A:A,1,Settings!$B$16)</f>
        <v>Prof17</v>
      </c>
      <c r="B1165" s="3" cm="1">
        <f t="array" ref="B1165">alea_date(Settings!$B$11,360,Settings!$B$8+alea_int(4,0,Settings!$B$16),Settings!$B$16)</f>
        <v>46372.458333333336</v>
      </c>
      <c r="C1165" s="3" cm="1">
        <f t="array" ref="C1165">B1165+TIME(alea_int(5,1,Settings!$B$16),0,0)</f>
        <v>46372.625</v>
      </c>
      <c r="D1165" s="3" t="str" cm="1">
        <f t="array" ref="D1165">choice(Settings!K:K,1,Settings!$B$16)</f>
        <v/>
      </c>
    </row>
    <row r="1166" spans="1:4" x14ac:dyDescent="0.25">
      <c r="A1166" s="2" t="str" cm="1">
        <f t="array" ref="A1166">choice(Professeurs!A:A,1,Settings!$B$16)</f>
        <v>Prof48</v>
      </c>
      <c r="B1166" s="3" cm="1">
        <f t="array" ref="B1166">alea_date(Settings!$B$11,360,Settings!$B$8+alea_int(4,0,Settings!$B$16),Settings!$B$16)</f>
        <v>46317.375</v>
      </c>
      <c r="C1166" s="3" cm="1">
        <f t="array" ref="C1166">B1166+TIME(alea_int(5,1,Settings!$B$16),0,0)</f>
        <v>46317.5</v>
      </c>
      <c r="D1166" s="3" t="str" cm="1">
        <f t="array" ref="D1166">choice(Settings!K:K,1,Settings!$B$16)</f>
        <v>lundi am</v>
      </c>
    </row>
    <row r="1167" spans="1:4" x14ac:dyDescent="0.25">
      <c r="A1167" s="2" t="str" cm="1">
        <f t="array" ref="A1167">choice(Professeurs!A:A,1,Settings!$B$16)</f>
        <v>Prof19</v>
      </c>
      <c r="B1167" s="3" cm="1">
        <f t="array" ref="B1167">alea_date(Settings!$B$11,360,Settings!$B$8+alea_int(4,0,Settings!$B$16),Settings!$B$16)</f>
        <v>46240.416666666664</v>
      </c>
      <c r="C1167" s="3" cm="1">
        <f t="array" ref="C1167">B1167+TIME(alea_int(5,1,Settings!$B$16),0,0)</f>
        <v>46240.458333333328</v>
      </c>
      <c r="D1167" s="3" t="str" cm="1">
        <f t="array" ref="D1167">choice(Settings!K:K,1,Settings!$B$16)</f>
        <v>mardi am</v>
      </c>
    </row>
    <row r="1168" spans="1:4" x14ac:dyDescent="0.25">
      <c r="A1168" s="2" t="str" cm="1">
        <f t="array" ref="A1168">choice(Professeurs!A:A,1,Settings!$B$16)</f>
        <v>Prof5</v>
      </c>
      <c r="B1168" s="3" cm="1">
        <f t="array" ref="B1168">alea_date(Settings!$B$11,360,Settings!$B$8+alea_int(4,0,Settings!$B$16),Settings!$B$16)</f>
        <v>46358.375</v>
      </c>
      <c r="C1168" s="3" cm="1">
        <f t="array" ref="C1168">B1168+TIME(alea_int(5,1,Settings!$B$16),0,0)</f>
        <v>46358.416666666664</v>
      </c>
      <c r="D1168" s="3" t="str" cm="1">
        <f t="array" ref="D1168">choice(Settings!K:K,1,Settings!$B$16)</f>
        <v/>
      </c>
    </row>
    <row r="1169" spans="1:4" x14ac:dyDescent="0.25">
      <c r="A1169" s="2" t="str" cm="1">
        <f t="array" ref="A1169">choice(Professeurs!A:A,1,Settings!$B$16)</f>
        <v>Prof10</v>
      </c>
      <c r="B1169" s="3" cm="1">
        <f t="array" ref="B1169">alea_date(Settings!$B$11,360,Settings!$B$8+alea_int(4,0,Settings!$B$16),Settings!$B$16)</f>
        <v>46235.333333333336</v>
      </c>
      <c r="C1169" s="3" cm="1">
        <f t="array" ref="C1169">B1169+TIME(alea_int(5,1,Settings!$B$16),0,0)</f>
        <v>46235.541666666672</v>
      </c>
      <c r="D1169" s="3" t="str" cm="1">
        <f t="array" ref="D1169">choice(Settings!K:K,1,Settings!$B$16)</f>
        <v/>
      </c>
    </row>
    <row r="1170" spans="1:4" x14ac:dyDescent="0.25">
      <c r="A1170" s="2" t="str" cm="1">
        <f t="array" ref="A1170">choice(Professeurs!A:A,1,Settings!$B$16)</f>
        <v>Prof30</v>
      </c>
      <c r="B1170" s="3" cm="1">
        <f t="array" ref="B1170">alea_date(Settings!$B$11,360,Settings!$B$8+alea_int(4,0,Settings!$B$16),Settings!$B$16)</f>
        <v>46181.416666666664</v>
      </c>
      <c r="C1170" s="3" cm="1">
        <f t="array" ref="C1170">B1170+TIME(alea_int(5,1,Settings!$B$16),0,0)</f>
        <v>46181.625</v>
      </c>
      <c r="D1170" s="3" t="str" cm="1">
        <f t="array" ref="D1170">choice(Settings!K:K,1,Settings!$B$16)</f>
        <v/>
      </c>
    </row>
    <row r="1171" spans="1:4" x14ac:dyDescent="0.25">
      <c r="A1171" s="2" t="str" cm="1">
        <f t="array" ref="A1171">choice(Professeurs!A:A,1,Settings!$B$16)</f>
        <v>Prof46</v>
      </c>
      <c r="B1171" s="3" cm="1">
        <f t="array" ref="B1171">alea_date(Settings!$B$11,360,Settings!$B$8+alea_int(4,0,Settings!$B$16),Settings!$B$16)</f>
        <v>46297.375</v>
      </c>
      <c r="C1171" s="3" cm="1">
        <f t="array" ref="C1171">B1171+TIME(alea_int(5,1,Settings!$B$16),0,0)</f>
        <v>46297.416666666664</v>
      </c>
      <c r="D1171" s="3" t="str" cm="1">
        <f t="array" ref="D1171">choice(Settings!K:K,1,Settings!$B$16)</f>
        <v/>
      </c>
    </row>
    <row r="1172" spans="1:4" x14ac:dyDescent="0.25">
      <c r="A1172" s="2" t="str" cm="1">
        <f t="array" ref="A1172">choice(Professeurs!A:A,1,Settings!$B$16)</f>
        <v>Prof7</v>
      </c>
      <c r="B1172" s="3" cm="1">
        <f t="array" ref="B1172">alea_date(Settings!$B$11,360,Settings!$B$8+alea_int(4,0,Settings!$B$16),Settings!$B$16)</f>
        <v>46292.416666666664</v>
      </c>
      <c r="C1172" s="3" cm="1">
        <f t="array" ref="C1172">B1172+TIME(alea_int(5,1,Settings!$B$16),0,0)</f>
        <v>46292.583333333328</v>
      </c>
      <c r="D1172" s="3" t="str" cm="1">
        <f t="array" ref="D1172">choice(Settings!K:K,1,Settings!$B$16)</f>
        <v/>
      </c>
    </row>
    <row r="1173" spans="1:4" x14ac:dyDescent="0.25">
      <c r="A1173" s="2" t="str" cm="1">
        <f t="array" ref="A1173">choice(Professeurs!A:A,1,Settings!$B$16)</f>
        <v>Prof5</v>
      </c>
      <c r="B1173" s="3" cm="1">
        <f t="array" ref="B1173">alea_date(Settings!$B$11,360,Settings!$B$8+alea_int(4,0,Settings!$B$16),Settings!$B$16)</f>
        <v>46380.375</v>
      </c>
      <c r="C1173" s="3" cm="1">
        <f t="array" ref="C1173">B1173+TIME(alea_int(5,1,Settings!$B$16),0,0)</f>
        <v>46380.416666666664</v>
      </c>
      <c r="D1173" s="3" t="str" cm="1">
        <f t="array" ref="D1173">choice(Settings!K:K,1,Settings!$B$16)</f>
        <v/>
      </c>
    </row>
    <row r="1174" spans="1:4" x14ac:dyDescent="0.25">
      <c r="A1174" s="2" t="str" cm="1">
        <f t="array" ref="A1174">choice(Professeurs!A:A,1,Settings!$B$16)</f>
        <v>Prof54</v>
      </c>
      <c r="B1174" s="3" cm="1">
        <f t="array" ref="B1174">alea_date(Settings!$B$11,360,Settings!$B$8+alea_int(4,0,Settings!$B$16),Settings!$B$16)</f>
        <v>46154.416666666664</v>
      </c>
      <c r="C1174" s="3" cm="1">
        <f t="array" ref="C1174">B1174+TIME(alea_int(5,1,Settings!$B$16),0,0)</f>
        <v>46154.5</v>
      </c>
      <c r="D1174" s="3" t="str" cm="1">
        <f t="array" ref="D1174">choice(Settings!K:K,1,Settings!$B$16)</f>
        <v/>
      </c>
    </row>
    <row r="1175" spans="1:4" x14ac:dyDescent="0.25">
      <c r="A1175" s="2" t="str" cm="1">
        <f t="array" ref="A1175">choice(Professeurs!A:A,1,Settings!$B$16)</f>
        <v>Prof23</v>
      </c>
      <c r="B1175" s="3" cm="1">
        <f t="array" ref="B1175">alea_date(Settings!$B$11,360,Settings!$B$8+alea_int(4,0,Settings!$B$16),Settings!$B$16)</f>
        <v>46096.416666666664</v>
      </c>
      <c r="C1175" s="3" cm="1">
        <f t="array" ref="C1175">B1175+TIME(alea_int(5,1,Settings!$B$16),0,0)</f>
        <v>46096.625</v>
      </c>
      <c r="D1175" s="3" t="str" cm="1">
        <f t="array" ref="D1175">choice(Settings!K:K,1,Settings!$B$16)</f>
        <v/>
      </c>
    </row>
    <row r="1176" spans="1:4" x14ac:dyDescent="0.25">
      <c r="A1176" s="2" t="str" cm="1">
        <f t="array" ref="A1176">choice(Professeurs!A:A,1,Settings!$B$16)</f>
        <v>Prof12</v>
      </c>
      <c r="B1176" s="3" cm="1">
        <f t="array" ref="B1176">alea_date(Settings!$B$11,360,Settings!$B$8+alea_int(4,0,Settings!$B$16),Settings!$B$16)</f>
        <v>46142.333333333336</v>
      </c>
      <c r="C1176" s="3" cm="1">
        <f t="array" ref="C1176">B1176+TIME(alea_int(5,1,Settings!$B$16),0,0)</f>
        <v>46142.541666666672</v>
      </c>
      <c r="D1176" s="3" t="str" cm="1">
        <f t="array" ref="D1176">choice(Settings!K:K,1,Settings!$B$16)</f>
        <v/>
      </c>
    </row>
    <row r="1177" spans="1:4" x14ac:dyDescent="0.25">
      <c r="A1177" s="2" t="str" cm="1">
        <f t="array" ref="A1177">choice(Professeurs!A:A,1,Settings!$B$16)</f>
        <v>Prof29</v>
      </c>
      <c r="B1177" s="3" cm="1">
        <f t="array" ref="B1177">alea_date(Settings!$B$11,360,Settings!$B$8+alea_int(4,0,Settings!$B$16),Settings!$B$16)</f>
        <v>46320.458333333336</v>
      </c>
      <c r="C1177" s="3" cm="1">
        <f t="array" ref="C1177">B1177+TIME(alea_int(5,1,Settings!$B$16),0,0)</f>
        <v>46320.541666666672</v>
      </c>
      <c r="D1177" s="3" t="str" cm="1">
        <f t="array" ref="D1177">choice(Settings!K:K,1,Settings!$B$16)</f>
        <v>mardi am</v>
      </c>
    </row>
    <row r="1178" spans="1:4" x14ac:dyDescent="0.25">
      <c r="A1178" s="2" t="str" cm="1">
        <f t="array" ref="A1178">choice(Professeurs!A:A,1,Settings!$B$16)</f>
        <v>Prof5</v>
      </c>
      <c r="B1178" s="3" cm="1">
        <f t="array" ref="B1178">alea_date(Settings!$B$11,360,Settings!$B$8+alea_int(4,0,Settings!$B$16),Settings!$B$16)</f>
        <v>46336.458333333336</v>
      </c>
      <c r="C1178" s="3" cm="1">
        <f t="array" ref="C1178">B1178+TIME(alea_int(5,1,Settings!$B$16),0,0)</f>
        <v>46336.583333333336</v>
      </c>
      <c r="D1178" s="3" t="str" cm="1">
        <f t="array" ref="D1178">choice(Settings!K:K,1,Settings!$B$16)</f>
        <v/>
      </c>
    </row>
    <row r="1179" spans="1:4" x14ac:dyDescent="0.25">
      <c r="A1179" s="2" t="str" cm="1">
        <f t="array" ref="A1179">choice(Professeurs!A:A,1,Settings!$B$16)</f>
        <v>Prof5</v>
      </c>
      <c r="B1179" s="3" cm="1">
        <f t="array" ref="B1179">alea_date(Settings!$B$11,360,Settings!$B$8+alea_int(4,0,Settings!$B$16),Settings!$B$16)</f>
        <v>46136.333333333336</v>
      </c>
      <c r="C1179" s="3" cm="1">
        <f t="array" ref="C1179">B1179+TIME(alea_int(5,1,Settings!$B$16),0,0)</f>
        <v>46136.416666666672</v>
      </c>
      <c r="D1179" s="3" t="str" cm="1">
        <f t="array" ref="D1179">choice(Settings!K:K,1,Settings!$B$16)</f>
        <v/>
      </c>
    </row>
    <row r="1180" spans="1:4" x14ac:dyDescent="0.25">
      <c r="A1180" s="2" t="str" cm="1">
        <f t="array" ref="A1180">choice(Professeurs!A:A,1,Settings!$B$16)</f>
        <v>Prof25</v>
      </c>
      <c r="B1180" s="3" cm="1">
        <f t="array" ref="B1180">alea_date(Settings!$B$11,360,Settings!$B$8+alea_int(4,0,Settings!$B$16),Settings!$B$16)</f>
        <v>46083.416666666664</v>
      </c>
      <c r="C1180" s="3" cm="1">
        <f t="array" ref="C1180">B1180+TIME(alea_int(5,1,Settings!$B$16),0,0)</f>
        <v>46083.625</v>
      </c>
      <c r="D1180" s="3" t="str" cm="1">
        <f t="array" ref="D1180">choice(Settings!K:K,1,Settings!$B$16)</f>
        <v/>
      </c>
    </row>
    <row r="1181" spans="1:4" x14ac:dyDescent="0.25">
      <c r="A1181" s="2" t="str" cm="1">
        <f t="array" ref="A1181">choice(Professeurs!A:A,1,Settings!$B$16)</f>
        <v>Prof29</v>
      </c>
      <c r="B1181" s="3" cm="1">
        <f t="array" ref="B1181">alea_date(Settings!$B$11,360,Settings!$B$8+alea_int(4,0,Settings!$B$16),Settings!$B$16)</f>
        <v>46381.458333333336</v>
      </c>
      <c r="C1181" s="3" cm="1">
        <f t="array" ref="C1181">B1181+TIME(alea_int(5,1,Settings!$B$16),0,0)</f>
        <v>46381.541666666672</v>
      </c>
      <c r="D1181" s="3" t="str" cm="1">
        <f t="array" ref="D1181">choice(Settings!K:K,1,Settings!$B$16)</f>
        <v/>
      </c>
    </row>
    <row r="1182" spans="1:4" x14ac:dyDescent="0.25">
      <c r="A1182" s="2" t="str" cm="1">
        <f t="array" ref="A1182">choice(Professeurs!A:A,1,Settings!$B$16)</f>
        <v>Prof17</v>
      </c>
      <c r="B1182" s="3" cm="1">
        <f t="array" ref="B1182">alea_date(Settings!$B$11,360,Settings!$B$8+alea_int(4,0,Settings!$B$16),Settings!$B$16)</f>
        <v>46107.375</v>
      </c>
      <c r="C1182" s="3" cm="1">
        <f t="array" ref="C1182">B1182+TIME(alea_int(5,1,Settings!$B$16),0,0)</f>
        <v>46107.583333333336</v>
      </c>
      <c r="D1182" s="3" t="str" cm="1">
        <f t="array" ref="D1182">choice(Settings!K:K,1,Settings!$B$16)</f>
        <v/>
      </c>
    </row>
    <row r="1183" spans="1:4" x14ac:dyDescent="0.25">
      <c r="A1183" s="2" t="str" cm="1">
        <f t="array" ref="A1183">choice(Professeurs!A:A,1,Settings!$B$16)</f>
        <v>Prof18</v>
      </c>
      <c r="B1183" s="3" cm="1">
        <f t="array" ref="B1183">alea_date(Settings!$B$11,360,Settings!$B$8+alea_int(4,0,Settings!$B$16),Settings!$B$16)</f>
        <v>46373.416666666664</v>
      </c>
      <c r="C1183" s="3" cm="1">
        <f t="array" ref="C1183">B1183+TIME(alea_int(5,1,Settings!$B$16),0,0)</f>
        <v>46373.5</v>
      </c>
      <c r="D1183" s="3" t="str" cm="1">
        <f t="array" ref="D1183">choice(Settings!K:K,1,Settings!$B$16)</f>
        <v/>
      </c>
    </row>
    <row r="1184" spans="1:4" x14ac:dyDescent="0.25">
      <c r="A1184" s="2" t="str" cm="1">
        <f t="array" ref="A1184">choice(Professeurs!A:A,1,Settings!$B$16)</f>
        <v>Prof7</v>
      </c>
      <c r="B1184" s="3" cm="1">
        <f t="array" ref="B1184">alea_date(Settings!$B$11,360,Settings!$B$8+alea_int(4,0,Settings!$B$16),Settings!$B$16)</f>
        <v>46231.333333333336</v>
      </c>
      <c r="C1184" s="3" cm="1">
        <f t="array" ref="C1184">B1184+TIME(alea_int(5,1,Settings!$B$16),0,0)</f>
        <v>46231.375</v>
      </c>
      <c r="D1184" s="3" t="str" cm="1">
        <f t="array" ref="D1184">choice(Settings!K:K,1,Settings!$B$16)</f>
        <v/>
      </c>
    </row>
    <row r="1185" spans="1:4" x14ac:dyDescent="0.25">
      <c r="A1185" s="2" t="str" cm="1">
        <f t="array" ref="A1185">choice(Professeurs!A:A,1,Settings!$B$16)</f>
        <v>Prof24</v>
      </c>
      <c r="B1185" s="3" cm="1">
        <f t="array" ref="B1185">alea_date(Settings!$B$11,360,Settings!$B$8+alea_int(4,0,Settings!$B$16),Settings!$B$16)</f>
        <v>46163.458333333336</v>
      </c>
      <c r="C1185" s="3" cm="1">
        <f t="array" ref="C1185">B1185+TIME(alea_int(5,1,Settings!$B$16),0,0)</f>
        <v>46163.5</v>
      </c>
      <c r="D1185" s="3" t="str" cm="1">
        <f t="array" ref="D1185">choice(Settings!K:K,1,Settings!$B$16)</f>
        <v/>
      </c>
    </row>
    <row r="1186" spans="1:4" x14ac:dyDescent="0.25">
      <c r="A1186" s="2" t="str" cm="1">
        <f t="array" ref="A1186">choice(Professeurs!A:A,1,Settings!$B$16)</f>
        <v>Prof18</v>
      </c>
      <c r="B1186" s="3" cm="1">
        <f t="array" ref="B1186">alea_date(Settings!$B$11,360,Settings!$B$8+alea_int(4,0,Settings!$B$16),Settings!$B$16)</f>
        <v>46331.458333333336</v>
      </c>
      <c r="C1186" s="3" cm="1">
        <f t="array" ref="C1186">B1186+TIME(alea_int(5,1,Settings!$B$16),0,0)</f>
        <v>46331.5</v>
      </c>
      <c r="D1186" s="3" t="str" cm="1">
        <f t="array" ref="D1186">choice(Settings!K:K,1,Settings!$B$16)</f>
        <v>vendredi am</v>
      </c>
    </row>
    <row r="1187" spans="1:4" x14ac:dyDescent="0.25">
      <c r="A1187" s="2" t="str" cm="1">
        <f t="array" ref="A1187">choice(Professeurs!A:A,1,Settings!$B$16)</f>
        <v>Prof15</v>
      </c>
      <c r="B1187" s="3" cm="1">
        <f t="array" ref="B1187">alea_date(Settings!$B$11,360,Settings!$B$8+alea_int(4,0,Settings!$B$16),Settings!$B$16)</f>
        <v>46059.416666666664</v>
      </c>
      <c r="C1187" s="3" cm="1">
        <f t="array" ref="C1187">B1187+TIME(alea_int(5,1,Settings!$B$16),0,0)</f>
        <v>46059.458333333328</v>
      </c>
      <c r="D1187" s="3" t="str" cm="1">
        <f t="array" ref="D1187">choice(Settings!K:K,1,Settings!$B$16)</f>
        <v/>
      </c>
    </row>
    <row r="1188" spans="1:4" x14ac:dyDescent="0.25">
      <c r="A1188" s="2" t="str" cm="1">
        <f t="array" ref="A1188">choice(Professeurs!A:A,1,Settings!$B$16)</f>
        <v>Prof48</v>
      </c>
      <c r="B1188" s="3" cm="1">
        <f t="array" ref="B1188">alea_date(Settings!$B$11,360,Settings!$B$8+alea_int(4,0,Settings!$B$16),Settings!$B$16)</f>
        <v>46085.458333333336</v>
      </c>
      <c r="C1188" s="3" cm="1">
        <f t="array" ref="C1188">B1188+TIME(alea_int(5,1,Settings!$B$16),0,0)</f>
        <v>46085.5</v>
      </c>
      <c r="D1188" s="3" t="str" cm="1">
        <f t="array" ref="D1188">choice(Settings!K:K,1,Settings!$B$16)</f>
        <v>mardi pm</v>
      </c>
    </row>
    <row r="1189" spans="1:4" x14ac:dyDescent="0.25">
      <c r="A1189" s="2" t="str" cm="1">
        <f t="array" ref="A1189">choice(Professeurs!A:A,1,Settings!$B$16)</f>
        <v>Prof38</v>
      </c>
      <c r="B1189" s="3" cm="1">
        <f t="array" ref="B1189">alea_date(Settings!$B$11,360,Settings!$B$8+alea_int(4,0,Settings!$B$16),Settings!$B$16)</f>
        <v>46131.416666666664</v>
      </c>
      <c r="C1189" s="3" cm="1">
        <f t="array" ref="C1189">B1189+TIME(alea_int(5,1,Settings!$B$16),0,0)</f>
        <v>46131.458333333328</v>
      </c>
      <c r="D1189" s="3" t="str" cm="1">
        <f t="array" ref="D1189">choice(Settings!K:K,1,Settings!$B$16)</f>
        <v/>
      </c>
    </row>
    <row r="1190" spans="1:4" x14ac:dyDescent="0.25">
      <c r="A1190" s="2" t="str" cm="1">
        <f t="array" ref="A1190">choice(Professeurs!A:A,1,Settings!$B$16)</f>
        <v>Prof55</v>
      </c>
      <c r="B1190" s="3" cm="1">
        <f t="array" ref="B1190">alea_date(Settings!$B$11,360,Settings!$B$8+alea_int(4,0,Settings!$B$16),Settings!$B$16)</f>
        <v>46354.458333333336</v>
      </c>
      <c r="C1190" s="3" cm="1">
        <f t="array" ref="C1190">B1190+TIME(alea_int(5,1,Settings!$B$16),0,0)</f>
        <v>46354.625</v>
      </c>
      <c r="D1190" s="3" t="str" cm="1">
        <f t="array" ref="D1190">choice(Settings!K:K,1,Settings!$B$16)</f>
        <v/>
      </c>
    </row>
    <row r="1191" spans="1:4" x14ac:dyDescent="0.25">
      <c r="A1191" s="2" t="str" cm="1">
        <f t="array" ref="A1191">choice(Professeurs!A:A,1,Settings!$B$16)</f>
        <v>Prof1</v>
      </c>
      <c r="B1191" s="3" cm="1">
        <f t="array" ref="B1191">alea_date(Settings!$B$11,360,Settings!$B$8+alea_int(4,0,Settings!$B$16),Settings!$B$16)</f>
        <v>46372.333333333336</v>
      </c>
      <c r="C1191" s="3" cm="1">
        <f t="array" ref="C1191">B1191+TIME(alea_int(5,1,Settings!$B$16),0,0)</f>
        <v>46372.5</v>
      </c>
      <c r="D1191" s="3" t="str" cm="1">
        <f t="array" ref="D1191">choice(Settings!K:K,1,Settings!$B$16)</f>
        <v>semaine</v>
      </c>
    </row>
    <row r="1192" spans="1:4" x14ac:dyDescent="0.25">
      <c r="A1192" s="2" t="str" cm="1">
        <f t="array" ref="A1192">choice(Professeurs!A:A,1,Settings!$B$16)</f>
        <v>Prof37</v>
      </c>
      <c r="B1192" s="3" cm="1">
        <f t="array" ref="B1192">alea_date(Settings!$B$11,360,Settings!$B$8+alea_int(4,0,Settings!$B$16),Settings!$B$16)</f>
        <v>46163.458333333336</v>
      </c>
      <c r="C1192" s="3" cm="1">
        <f t="array" ref="C1192">B1192+TIME(alea_int(5,1,Settings!$B$16),0,0)</f>
        <v>46163.541666666672</v>
      </c>
      <c r="D1192" s="3" t="str" cm="1">
        <f t="array" ref="D1192">choice(Settings!K:K,1,Settings!$B$16)</f>
        <v/>
      </c>
    </row>
    <row r="1193" spans="1:4" x14ac:dyDescent="0.25">
      <c r="A1193" s="2" t="str" cm="1">
        <f t="array" ref="A1193">choice(Professeurs!A:A,1,Settings!$B$16)</f>
        <v>Prof42</v>
      </c>
      <c r="B1193" s="3" cm="1">
        <f t="array" ref="B1193">alea_date(Settings!$B$11,360,Settings!$B$8+alea_int(4,0,Settings!$B$16),Settings!$B$16)</f>
        <v>46359.458333333336</v>
      </c>
      <c r="C1193" s="3" cm="1">
        <f t="array" ref="C1193">B1193+TIME(alea_int(5,1,Settings!$B$16),0,0)</f>
        <v>46359.583333333336</v>
      </c>
      <c r="D1193" s="3" t="str" cm="1">
        <f t="array" ref="D1193">choice(Settings!K:K,1,Settings!$B$16)</f>
        <v/>
      </c>
    </row>
    <row r="1194" spans="1:4" x14ac:dyDescent="0.25">
      <c r="A1194" s="2" t="str" cm="1">
        <f t="array" ref="A1194">choice(Professeurs!A:A,1,Settings!$B$16)</f>
        <v>Prof32</v>
      </c>
      <c r="B1194" s="3" cm="1">
        <f t="array" ref="B1194">alea_date(Settings!$B$11,360,Settings!$B$8+alea_int(4,0,Settings!$B$16),Settings!$B$16)</f>
        <v>46316.375</v>
      </c>
      <c r="C1194" s="3" cm="1">
        <f t="array" ref="C1194">B1194+TIME(alea_int(5,1,Settings!$B$16),0,0)</f>
        <v>46316.458333333336</v>
      </c>
      <c r="D1194" s="3" t="str" cm="1">
        <f t="array" ref="D1194">choice(Settings!K:K,1,Settings!$B$16)</f>
        <v/>
      </c>
    </row>
    <row r="1195" spans="1:4" x14ac:dyDescent="0.25">
      <c r="A1195" s="2" t="str" cm="1">
        <f t="array" ref="A1195">choice(Professeurs!A:A,1,Settings!$B$16)</f>
        <v>Prof23</v>
      </c>
      <c r="B1195" s="3" cm="1">
        <f t="array" ref="B1195">alea_date(Settings!$B$11,360,Settings!$B$8+alea_int(4,0,Settings!$B$16),Settings!$B$16)</f>
        <v>46086.458333333336</v>
      </c>
      <c r="C1195" s="3" cm="1">
        <f t="array" ref="C1195">B1195+TIME(alea_int(5,1,Settings!$B$16),0,0)</f>
        <v>46086.541666666672</v>
      </c>
      <c r="D1195" s="3" t="str" cm="1">
        <f t="array" ref="D1195">choice(Settings!K:K,1,Settings!$B$16)</f>
        <v/>
      </c>
    </row>
    <row r="1196" spans="1:4" x14ac:dyDescent="0.25">
      <c r="A1196" s="2" t="str" cm="1">
        <f t="array" ref="A1196">choice(Professeurs!A:A,1,Settings!$B$16)</f>
        <v>Prof8</v>
      </c>
      <c r="B1196" s="3" cm="1">
        <f t="array" ref="B1196">alea_date(Settings!$B$11,360,Settings!$B$8+alea_int(4,0,Settings!$B$16),Settings!$B$16)</f>
        <v>46341.375</v>
      </c>
      <c r="C1196" s="3" cm="1">
        <f t="array" ref="C1196">B1196+TIME(alea_int(5,1,Settings!$B$16),0,0)</f>
        <v>46341.416666666664</v>
      </c>
      <c r="D1196" s="3" t="str" cm="1">
        <f t="array" ref="D1196">choice(Settings!K:K,1,Settings!$B$16)</f>
        <v>lundi am</v>
      </c>
    </row>
    <row r="1197" spans="1:4" x14ac:dyDescent="0.25">
      <c r="A1197" s="2" t="str" cm="1">
        <f t="array" ref="A1197">choice(Professeurs!A:A,1,Settings!$B$16)</f>
        <v>Prof14</v>
      </c>
      <c r="B1197" s="3" cm="1">
        <f t="array" ref="B1197">alea_date(Settings!$B$11,360,Settings!$B$8+alea_int(4,0,Settings!$B$16),Settings!$B$16)</f>
        <v>46061.416666666664</v>
      </c>
      <c r="C1197" s="3" cm="1">
        <f t="array" ref="C1197">B1197+TIME(alea_int(5,1,Settings!$B$16),0,0)</f>
        <v>46061.541666666664</v>
      </c>
      <c r="D1197" s="3" t="str" cm="1">
        <f t="array" ref="D1197">choice(Settings!K:K,1,Settings!$B$16)</f>
        <v>mercredi ap</v>
      </c>
    </row>
    <row r="1198" spans="1:4" x14ac:dyDescent="0.25">
      <c r="A1198" s="2" t="str" cm="1">
        <f t="array" ref="A1198">choice(Professeurs!A:A,1,Settings!$B$16)</f>
        <v>Prof19</v>
      </c>
      <c r="B1198" s="3" cm="1">
        <f t="array" ref="B1198">alea_date(Settings!$B$11,360,Settings!$B$8+alea_int(4,0,Settings!$B$16),Settings!$B$16)</f>
        <v>46279.458333333336</v>
      </c>
      <c r="C1198" s="3" cm="1">
        <f t="array" ref="C1198">B1198+TIME(alea_int(5,1,Settings!$B$16),0,0)</f>
        <v>46279.541666666672</v>
      </c>
      <c r="D1198" s="3" t="str" cm="1">
        <f t="array" ref="D1198">choice(Settings!K:K,1,Settings!$B$16)</f>
        <v/>
      </c>
    </row>
    <row r="1199" spans="1:4" x14ac:dyDescent="0.25">
      <c r="A1199" s="2" t="str" cm="1">
        <f t="array" ref="A1199">choice(Professeurs!A:A,1,Settings!$B$16)</f>
        <v>Prof27</v>
      </c>
      <c r="B1199" s="3" cm="1">
        <f t="array" ref="B1199">alea_date(Settings!$B$11,360,Settings!$B$8+alea_int(4,0,Settings!$B$16),Settings!$B$16)</f>
        <v>46207.416666666664</v>
      </c>
      <c r="C1199" s="3" cm="1">
        <f t="array" ref="C1199">B1199+TIME(alea_int(5,1,Settings!$B$16),0,0)</f>
        <v>46207.625</v>
      </c>
      <c r="D1199" s="3" t="str" cm="1">
        <f t="array" ref="D1199">choice(Settings!K:K,1,Settings!$B$16)</f>
        <v/>
      </c>
    </row>
    <row r="1200" spans="1:4" x14ac:dyDescent="0.25">
      <c r="A1200" s="2" t="str" cm="1">
        <f t="array" ref="A1200">choice(Professeurs!A:A,1,Settings!$B$16)</f>
        <v>Prof52</v>
      </c>
      <c r="B1200" s="3" cm="1">
        <f t="array" ref="B1200">alea_date(Settings!$B$11,360,Settings!$B$8+alea_int(4,0,Settings!$B$16),Settings!$B$16)</f>
        <v>46319.416666666664</v>
      </c>
      <c r="C1200" s="3" cm="1">
        <f t="array" ref="C1200">B1200+TIME(alea_int(5,1,Settings!$B$16),0,0)</f>
        <v>46319.458333333328</v>
      </c>
      <c r="D1200" s="3" t="str" cm="1">
        <f t="array" ref="D1200">choice(Settings!K:K,1,Settings!$B$16)</f>
        <v/>
      </c>
    </row>
    <row r="1201" spans="1:4" x14ac:dyDescent="0.25">
      <c r="A1201" s="2" t="str" cm="1">
        <f t="array" ref="A1201">choice(Professeurs!A:A,1,Settings!$B$16)</f>
        <v>Prof38</v>
      </c>
      <c r="B1201" s="3" cm="1">
        <f t="array" ref="B1201">alea_date(Settings!$B$11,360,Settings!$B$8+alea_int(4,0,Settings!$B$16),Settings!$B$16)</f>
        <v>46062.375</v>
      </c>
      <c r="C1201" s="3" cm="1">
        <f t="array" ref="C1201">B1201+TIME(alea_int(5,1,Settings!$B$16),0,0)</f>
        <v>46062.458333333336</v>
      </c>
      <c r="D1201" s="3" t="str" cm="1">
        <f t="array" ref="D1201">choice(Settings!K:K,1,Settings!$B$16)</f>
        <v/>
      </c>
    </row>
    <row r="1202" spans="1:4" x14ac:dyDescent="0.25">
      <c r="A1202" s="2" t="str" cm="1">
        <f t="array" ref="A1202">choice(Professeurs!A:A,1,Settings!$B$16)</f>
        <v>Prof35</v>
      </c>
      <c r="B1202" s="3" cm="1">
        <f t="array" ref="B1202">alea_date(Settings!$B$11,360,Settings!$B$8+alea_int(4,0,Settings!$B$16),Settings!$B$16)</f>
        <v>46291.375</v>
      </c>
      <c r="C1202" s="3" cm="1">
        <f t="array" ref="C1202">B1202+TIME(alea_int(5,1,Settings!$B$16),0,0)</f>
        <v>46291.458333333336</v>
      </c>
      <c r="D1202" s="3" t="str" cm="1">
        <f t="array" ref="D1202">choice(Settings!K:K,1,Settings!$B$16)</f>
        <v/>
      </c>
    </row>
    <row r="1203" spans="1:4" x14ac:dyDescent="0.25">
      <c r="A1203" s="2" t="str" cm="1">
        <f t="array" ref="A1203">choice(Professeurs!A:A,1,Settings!$B$16)</f>
        <v>Prof26</v>
      </c>
      <c r="B1203" s="3" cm="1">
        <f t="array" ref="B1203">alea_date(Settings!$B$11,360,Settings!$B$8+alea_int(4,0,Settings!$B$16),Settings!$B$16)</f>
        <v>46283.375</v>
      </c>
      <c r="C1203" s="3" cm="1">
        <f t="array" ref="C1203">B1203+TIME(alea_int(5,1,Settings!$B$16),0,0)</f>
        <v>46283.458333333336</v>
      </c>
      <c r="D1203" s="3" t="str" cm="1">
        <f t="array" ref="D1203">choice(Settings!K:K,1,Settings!$B$16)</f>
        <v>mardi am</v>
      </c>
    </row>
    <row r="1204" spans="1:4" x14ac:dyDescent="0.25">
      <c r="A1204" s="2" t="str" cm="1">
        <f t="array" ref="A1204">choice(Professeurs!A:A,1,Settings!$B$16)</f>
        <v>Prof12</v>
      </c>
      <c r="B1204" s="3" cm="1">
        <f t="array" ref="B1204">alea_date(Settings!$B$11,360,Settings!$B$8+alea_int(4,0,Settings!$B$16),Settings!$B$16)</f>
        <v>46234.333333333336</v>
      </c>
      <c r="C1204" s="3" cm="1">
        <f t="array" ref="C1204">B1204+TIME(alea_int(5,1,Settings!$B$16),0,0)</f>
        <v>46234.5</v>
      </c>
      <c r="D1204" s="3" t="str" cm="1">
        <f t="array" ref="D1204">choice(Settings!K:K,1,Settings!$B$16)</f>
        <v>mercredi ap</v>
      </c>
    </row>
    <row r="1205" spans="1:4" x14ac:dyDescent="0.25">
      <c r="A1205" s="2" t="str" cm="1">
        <f t="array" ref="A1205">choice(Professeurs!A:A,1,Settings!$B$16)</f>
        <v>Prof3</v>
      </c>
      <c r="B1205" s="3" cm="1">
        <f t="array" ref="B1205">alea_date(Settings!$B$11,360,Settings!$B$8+alea_int(4,0,Settings!$B$16),Settings!$B$16)</f>
        <v>46289.416666666664</v>
      </c>
      <c r="C1205" s="3" cm="1">
        <f t="array" ref="C1205">B1205+TIME(alea_int(5,1,Settings!$B$16),0,0)</f>
        <v>46289.625</v>
      </c>
      <c r="D1205" s="3" t="str" cm="1">
        <f t="array" ref="D1205">choice(Settings!K:K,1,Settings!$B$16)</f>
        <v>mardi am</v>
      </c>
    </row>
    <row r="1206" spans="1:4" x14ac:dyDescent="0.25">
      <c r="A1206" s="2" t="str" cm="1">
        <f t="array" ref="A1206">choice(Professeurs!A:A,1,Settings!$B$16)</f>
        <v>Prof15</v>
      </c>
      <c r="B1206" s="3" cm="1">
        <f t="array" ref="B1206">alea_date(Settings!$B$11,360,Settings!$B$8+alea_int(4,0,Settings!$B$16),Settings!$B$16)</f>
        <v>46101.458333333336</v>
      </c>
      <c r="C1206" s="3" cm="1">
        <f t="array" ref="C1206">B1206+TIME(alea_int(5,1,Settings!$B$16),0,0)</f>
        <v>46101.583333333336</v>
      </c>
      <c r="D1206" s="3" t="str" cm="1">
        <f t="array" ref="D1206">choice(Settings!K:K,1,Settings!$B$16)</f>
        <v/>
      </c>
    </row>
    <row r="1207" spans="1:4" x14ac:dyDescent="0.25">
      <c r="A1207" s="2" t="str" cm="1">
        <f t="array" ref="A1207">choice(Professeurs!A:A,1,Settings!$B$16)</f>
        <v>Prof10</v>
      </c>
      <c r="B1207" s="3" cm="1">
        <f t="array" ref="B1207">alea_date(Settings!$B$11,360,Settings!$B$8+alea_int(4,0,Settings!$B$16),Settings!$B$16)</f>
        <v>46302.375</v>
      </c>
      <c r="C1207" s="3" cm="1">
        <f t="array" ref="C1207">B1207+TIME(alea_int(5,1,Settings!$B$16),0,0)</f>
        <v>46302.583333333336</v>
      </c>
      <c r="D1207" s="3" t="str" cm="1">
        <f t="array" ref="D1207">choice(Settings!K:K,1,Settings!$B$16)</f>
        <v/>
      </c>
    </row>
    <row r="1208" spans="1:4" x14ac:dyDescent="0.25">
      <c r="A1208" s="2" t="str" cm="1">
        <f t="array" ref="A1208">choice(Professeurs!A:A,1,Settings!$B$16)</f>
        <v>Prof27</v>
      </c>
      <c r="B1208" s="3" cm="1">
        <f t="array" ref="B1208">alea_date(Settings!$B$11,360,Settings!$B$8+alea_int(4,0,Settings!$B$16),Settings!$B$16)</f>
        <v>46366.333333333336</v>
      </c>
      <c r="C1208" s="3" cm="1">
        <f t="array" ref="C1208">B1208+TIME(alea_int(5,1,Settings!$B$16),0,0)</f>
        <v>46366.416666666672</v>
      </c>
      <c r="D1208" s="3" t="str" cm="1">
        <f t="array" ref="D1208">choice(Settings!K:K,1,Settings!$B$16)</f>
        <v/>
      </c>
    </row>
    <row r="1209" spans="1:4" x14ac:dyDescent="0.25">
      <c r="A1209" s="2" t="str" cm="1">
        <f t="array" ref="A1209">choice(Professeurs!A:A,1,Settings!$B$16)</f>
        <v>Prof29</v>
      </c>
      <c r="B1209" s="3" cm="1">
        <f t="array" ref="B1209">alea_date(Settings!$B$11,360,Settings!$B$8+alea_int(4,0,Settings!$B$16),Settings!$B$16)</f>
        <v>46127.375</v>
      </c>
      <c r="C1209" s="3" cm="1">
        <f t="array" ref="C1209">B1209+TIME(alea_int(5,1,Settings!$B$16),0,0)</f>
        <v>46127.583333333336</v>
      </c>
      <c r="D1209" s="3" t="str" cm="1">
        <f t="array" ref="D1209">choice(Settings!K:K,1,Settings!$B$16)</f>
        <v/>
      </c>
    </row>
    <row r="1210" spans="1:4" x14ac:dyDescent="0.25">
      <c r="A1210" s="2" t="str" cm="1">
        <f t="array" ref="A1210">choice(Professeurs!A:A,1,Settings!$B$16)</f>
        <v>Prof2</v>
      </c>
      <c r="B1210" s="3" cm="1">
        <f t="array" ref="B1210">alea_date(Settings!$B$11,360,Settings!$B$8+alea_int(4,0,Settings!$B$16),Settings!$B$16)</f>
        <v>46203.458333333336</v>
      </c>
      <c r="C1210" s="3" cm="1">
        <f t="array" ref="C1210">B1210+TIME(alea_int(5,1,Settings!$B$16),0,0)</f>
        <v>46203.583333333336</v>
      </c>
      <c r="D1210" s="3" t="str" cm="1">
        <f t="array" ref="D1210">choice(Settings!K:K,1,Settings!$B$16)</f>
        <v>vendredi am</v>
      </c>
    </row>
    <row r="1211" spans="1:4" x14ac:dyDescent="0.25">
      <c r="A1211" s="2" t="str" cm="1">
        <f t="array" ref="A1211">choice(Professeurs!A:A,1,Settings!$B$16)</f>
        <v>Prof13</v>
      </c>
      <c r="B1211" s="3" cm="1">
        <f t="array" ref="B1211">alea_date(Settings!$B$11,360,Settings!$B$8+alea_int(4,0,Settings!$B$16),Settings!$B$16)</f>
        <v>46316.458333333336</v>
      </c>
      <c r="C1211" s="3" cm="1">
        <f t="array" ref="C1211">B1211+TIME(alea_int(5,1,Settings!$B$16),0,0)</f>
        <v>46316.5</v>
      </c>
      <c r="D1211" s="3" t="str" cm="1">
        <f t="array" ref="D1211">choice(Settings!K:K,1,Settings!$B$16)</f>
        <v/>
      </c>
    </row>
    <row r="1212" spans="1:4" x14ac:dyDescent="0.25">
      <c r="A1212" s="2" t="str" cm="1">
        <f t="array" ref="A1212">choice(Professeurs!A:A,1,Settings!$B$16)</f>
        <v>Prof39</v>
      </c>
      <c r="B1212" s="3" cm="1">
        <f t="array" ref="B1212">alea_date(Settings!$B$11,360,Settings!$B$8+alea_int(4,0,Settings!$B$16),Settings!$B$16)</f>
        <v>46057.416666666664</v>
      </c>
      <c r="C1212" s="3" cm="1">
        <f t="array" ref="C1212">B1212+TIME(alea_int(5,1,Settings!$B$16),0,0)</f>
        <v>46057.458333333328</v>
      </c>
      <c r="D1212" s="3" t="str" cm="1">
        <f t="array" ref="D1212">choice(Settings!K:K,1,Settings!$B$16)</f>
        <v/>
      </c>
    </row>
    <row r="1213" spans="1:4" x14ac:dyDescent="0.25">
      <c r="A1213" s="2" t="str" cm="1">
        <f t="array" ref="A1213">choice(Professeurs!A:A,1,Settings!$B$16)</f>
        <v>Prof49</v>
      </c>
      <c r="B1213" s="3" cm="1">
        <f t="array" ref="B1213">alea_date(Settings!$B$11,360,Settings!$B$8+alea_int(4,0,Settings!$B$16),Settings!$B$16)</f>
        <v>46175.375</v>
      </c>
      <c r="C1213" s="3" cm="1">
        <f t="array" ref="C1213">B1213+TIME(alea_int(5,1,Settings!$B$16),0,0)</f>
        <v>46175.541666666664</v>
      </c>
      <c r="D1213" s="3" t="str" cm="1">
        <f t="array" ref="D1213">choice(Settings!K:K,1,Settings!$B$16)</f>
        <v/>
      </c>
    </row>
    <row r="1214" spans="1:4" x14ac:dyDescent="0.25">
      <c r="A1214" s="2" t="str" cm="1">
        <f t="array" ref="A1214">choice(Professeurs!A:A,1,Settings!$B$16)</f>
        <v>Prof36</v>
      </c>
      <c r="B1214" s="3" cm="1">
        <f t="array" ref="B1214">alea_date(Settings!$B$11,360,Settings!$B$8+alea_int(4,0,Settings!$B$16),Settings!$B$16)</f>
        <v>46055.416666666664</v>
      </c>
      <c r="C1214" s="3" cm="1">
        <f t="array" ref="C1214">B1214+TIME(alea_int(5,1,Settings!$B$16),0,0)</f>
        <v>46055.583333333328</v>
      </c>
      <c r="D1214" s="3" t="str" cm="1">
        <f t="array" ref="D1214">choice(Settings!K:K,1,Settings!$B$16)</f>
        <v/>
      </c>
    </row>
    <row r="1215" spans="1:4" x14ac:dyDescent="0.25">
      <c r="A1215" s="2" t="str" cm="1">
        <f t="array" ref="A1215">choice(Professeurs!A:A,1,Settings!$B$16)</f>
        <v>Prof11</v>
      </c>
      <c r="B1215" s="3" cm="1">
        <f t="array" ref="B1215">alea_date(Settings!$B$11,360,Settings!$B$8+alea_int(4,0,Settings!$B$16),Settings!$B$16)</f>
        <v>46360.458333333336</v>
      </c>
      <c r="C1215" s="3" cm="1">
        <f t="array" ref="C1215">B1215+TIME(alea_int(5,1,Settings!$B$16),0,0)</f>
        <v>46360.583333333336</v>
      </c>
      <c r="D1215" s="3" t="str" cm="1">
        <f t="array" ref="D1215">choice(Settings!K:K,1,Settings!$B$16)</f>
        <v/>
      </c>
    </row>
    <row r="1216" spans="1:4" x14ac:dyDescent="0.25">
      <c r="A1216" s="2" t="str" cm="1">
        <f t="array" ref="A1216">choice(Professeurs!A:A,1,Settings!$B$16)</f>
        <v>Prof51</v>
      </c>
      <c r="B1216" s="3" cm="1">
        <f t="array" ref="B1216">alea_date(Settings!$B$11,360,Settings!$B$8+alea_int(4,0,Settings!$B$16),Settings!$B$16)</f>
        <v>46255.416666666664</v>
      </c>
      <c r="C1216" s="3" cm="1">
        <f t="array" ref="C1216">B1216+TIME(alea_int(5,1,Settings!$B$16),0,0)</f>
        <v>46255.541666666664</v>
      </c>
      <c r="D1216" s="3" t="str" cm="1">
        <f t="array" ref="D1216">choice(Settings!K:K,1,Settings!$B$16)</f>
        <v/>
      </c>
    </row>
    <row r="1217" spans="1:4" x14ac:dyDescent="0.25">
      <c r="A1217" s="2" t="str" cm="1">
        <f t="array" ref="A1217">choice(Professeurs!A:A,1,Settings!$B$16)</f>
        <v>Prof48</v>
      </c>
      <c r="B1217" s="3" cm="1">
        <f t="array" ref="B1217">alea_date(Settings!$B$11,360,Settings!$B$8+alea_int(4,0,Settings!$B$16),Settings!$B$16)</f>
        <v>46252.375</v>
      </c>
      <c r="C1217" s="3" cm="1">
        <f t="array" ref="C1217">B1217+TIME(alea_int(5,1,Settings!$B$16),0,0)</f>
        <v>46252.458333333336</v>
      </c>
      <c r="D1217" s="3" t="str" cm="1">
        <f t="array" ref="D1217">choice(Settings!K:K,1,Settings!$B$16)</f>
        <v/>
      </c>
    </row>
    <row r="1218" spans="1:4" x14ac:dyDescent="0.25">
      <c r="A1218" s="2" t="str" cm="1">
        <f t="array" ref="A1218">choice(Professeurs!A:A,1,Settings!$B$16)</f>
        <v>Prof46</v>
      </c>
      <c r="B1218" s="3" cm="1">
        <f t="array" ref="B1218">alea_date(Settings!$B$11,360,Settings!$B$8+alea_int(4,0,Settings!$B$16),Settings!$B$16)</f>
        <v>46302.458333333336</v>
      </c>
      <c r="C1218" s="3" cm="1">
        <f t="array" ref="C1218">B1218+TIME(alea_int(5,1,Settings!$B$16),0,0)</f>
        <v>46302.541666666672</v>
      </c>
      <c r="D1218" s="3" t="str" cm="1">
        <f t="array" ref="D1218">choice(Settings!K:K,1,Settings!$B$16)</f>
        <v/>
      </c>
    </row>
    <row r="1219" spans="1:4" x14ac:dyDescent="0.25">
      <c r="A1219" s="2" t="str" cm="1">
        <f t="array" ref="A1219">choice(Professeurs!A:A,1,Settings!$B$16)</f>
        <v>Prof33</v>
      </c>
      <c r="B1219" s="3" cm="1">
        <f t="array" ref="B1219">alea_date(Settings!$B$11,360,Settings!$B$8+alea_int(4,0,Settings!$B$16),Settings!$B$16)</f>
        <v>46309.458333333336</v>
      </c>
      <c r="C1219" s="3" cm="1">
        <f t="array" ref="C1219">B1219+TIME(alea_int(5,1,Settings!$B$16),0,0)</f>
        <v>46309.5</v>
      </c>
      <c r="D1219" s="3" t="str" cm="1">
        <f t="array" ref="D1219">choice(Settings!K:K,1,Settings!$B$16)</f>
        <v/>
      </c>
    </row>
    <row r="1220" spans="1:4" x14ac:dyDescent="0.25">
      <c r="A1220" s="2" t="str" cm="1">
        <f t="array" ref="A1220">choice(Professeurs!A:A,1,Settings!$B$16)</f>
        <v>Prof23</v>
      </c>
      <c r="B1220" s="3" cm="1">
        <f t="array" ref="B1220">alea_date(Settings!$B$11,360,Settings!$B$8+alea_int(4,0,Settings!$B$16),Settings!$B$16)</f>
        <v>46297.375</v>
      </c>
      <c r="C1220" s="3" cm="1">
        <f t="array" ref="C1220">B1220+TIME(alea_int(5,1,Settings!$B$16),0,0)</f>
        <v>46297.458333333336</v>
      </c>
      <c r="D1220" s="3" t="str" cm="1">
        <f t="array" ref="D1220">choice(Settings!K:K,1,Settings!$B$16)</f>
        <v>mardi am</v>
      </c>
    </row>
    <row r="1221" spans="1:4" x14ac:dyDescent="0.25">
      <c r="A1221" s="2" t="str" cm="1">
        <f t="array" ref="A1221">choice(Professeurs!A:A,1,Settings!$B$16)</f>
        <v>Prof41</v>
      </c>
      <c r="B1221" s="3" cm="1">
        <f t="array" ref="B1221">alea_date(Settings!$B$11,360,Settings!$B$8+alea_int(4,0,Settings!$B$16),Settings!$B$16)</f>
        <v>46319.416666666664</v>
      </c>
      <c r="C1221" s="3" cm="1">
        <f t="array" ref="C1221">B1221+TIME(alea_int(5,1,Settings!$B$16),0,0)</f>
        <v>46319.541666666664</v>
      </c>
      <c r="D1221" s="3" t="str" cm="1">
        <f t="array" ref="D1221">choice(Settings!K:K,1,Settings!$B$16)</f>
        <v/>
      </c>
    </row>
    <row r="1222" spans="1:4" x14ac:dyDescent="0.25">
      <c r="A1222" s="2" t="str" cm="1">
        <f t="array" ref="A1222">choice(Professeurs!A:A,1,Settings!$B$16)</f>
        <v>Prof53</v>
      </c>
      <c r="B1222" s="3" cm="1">
        <f t="array" ref="B1222">alea_date(Settings!$B$11,360,Settings!$B$8+alea_int(4,0,Settings!$B$16),Settings!$B$16)</f>
        <v>46071.458333333336</v>
      </c>
      <c r="C1222" s="3" cm="1">
        <f t="array" ref="C1222">B1222+TIME(alea_int(5,1,Settings!$B$16),0,0)</f>
        <v>46071.541666666672</v>
      </c>
      <c r="D1222" s="3" t="str" cm="1">
        <f t="array" ref="D1222">choice(Settings!K:K,1,Settings!$B$16)</f>
        <v/>
      </c>
    </row>
    <row r="1223" spans="1:4" x14ac:dyDescent="0.25">
      <c r="A1223" s="2" t="str" cm="1">
        <f t="array" ref="A1223">choice(Professeurs!A:A,1,Settings!$B$16)</f>
        <v>Prof22</v>
      </c>
      <c r="B1223" s="3" cm="1">
        <f t="array" ref="B1223">alea_date(Settings!$B$11,360,Settings!$B$8+alea_int(4,0,Settings!$B$16),Settings!$B$16)</f>
        <v>46292.333333333336</v>
      </c>
      <c r="C1223" s="3" cm="1">
        <f t="array" ref="C1223">B1223+TIME(alea_int(5,1,Settings!$B$16),0,0)</f>
        <v>46292.5</v>
      </c>
      <c r="D1223" s="3" t="str" cm="1">
        <f t="array" ref="D1223">choice(Settings!K:K,1,Settings!$B$16)</f>
        <v>mardi am</v>
      </c>
    </row>
    <row r="1224" spans="1:4" x14ac:dyDescent="0.25">
      <c r="A1224" s="2" t="str" cm="1">
        <f t="array" ref="A1224">choice(Professeurs!A:A,1,Settings!$B$16)</f>
        <v>Prof44</v>
      </c>
      <c r="B1224" s="3" cm="1">
        <f t="array" ref="B1224">alea_date(Settings!$B$11,360,Settings!$B$8+alea_int(4,0,Settings!$B$16),Settings!$B$16)</f>
        <v>46288.458333333336</v>
      </c>
      <c r="C1224" s="3" cm="1">
        <f t="array" ref="C1224">B1224+TIME(alea_int(5,1,Settings!$B$16),0,0)</f>
        <v>46288.625</v>
      </c>
      <c r="D1224" s="3" t="str" cm="1">
        <f t="array" ref="D1224">choice(Settings!K:K,1,Settings!$B$16)</f>
        <v>lundi am</v>
      </c>
    </row>
    <row r="1225" spans="1:4" x14ac:dyDescent="0.25">
      <c r="A1225" s="2" t="str" cm="1">
        <f t="array" ref="A1225">choice(Professeurs!A:A,1,Settings!$B$16)</f>
        <v>Prof7</v>
      </c>
      <c r="B1225" s="3" cm="1">
        <f t="array" ref="B1225">alea_date(Settings!$B$11,360,Settings!$B$8+alea_int(4,0,Settings!$B$16),Settings!$B$16)</f>
        <v>46256.458333333336</v>
      </c>
      <c r="C1225" s="3" cm="1">
        <f t="array" ref="C1225">B1225+TIME(alea_int(5,1,Settings!$B$16),0,0)</f>
        <v>46256.5</v>
      </c>
      <c r="D1225" s="3" t="str" cm="1">
        <f t="array" ref="D1225">choice(Settings!K:K,1,Settings!$B$16)</f>
        <v>vendredi pm</v>
      </c>
    </row>
    <row r="1226" spans="1:4" x14ac:dyDescent="0.25">
      <c r="A1226" s="2" t="str" cm="1">
        <f t="array" ref="A1226">choice(Professeurs!A:A,1,Settings!$B$16)</f>
        <v>Prof9</v>
      </c>
      <c r="B1226" s="3" cm="1">
        <f t="array" ref="B1226">alea_date(Settings!$B$11,360,Settings!$B$8+alea_int(4,0,Settings!$B$16),Settings!$B$16)</f>
        <v>46042.416666666664</v>
      </c>
      <c r="C1226" s="3" cm="1">
        <f t="array" ref="C1226">B1226+TIME(alea_int(5,1,Settings!$B$16),0,0)</f>
        <v>46042.583333333328</v>
      </c>
      <c r="D1226" s="3" t="str" cm="1">
        <f t="array" ref="D1226">choice(Settings!K:K,1,Settings!$B$16)</f>
        <v/>
      </c>
    </row>
    <row r="1227" spans="1:4" x14ac:dyDescent="0.25">
      <c r="A1227" s="2" t="str" cm="1">
        <f t="array" ref="A1227">choice(Professeurs!A:A,1,Settings!$B$16)</f>
        <v>Prof13</v>
      </c>
      <c r="B1227" s="3" cm="1">
        <f t="array" ref="B1227">alea_date(Settings!$B$11,360,Settings!$B$8+alea_int(4,0,Settings!$B$16),Settings!$B$16)</f>
        <v>46153.458333333336</v>
      </c>
      <c r="C1227" s="3" cm="1">
        <f t="array" ref="C1227">B1227+TIME(alea_int(5,1,Settings!$B$16),0,0)</f>
        <v>46153.625</v>
      </c>
      <c r="D1227" s="3" t="str" cm="1">
        <f t="array" ref="D1227">choice(Settings!K:K,1,Settings!$B$16)</f>
        <v>mercredi pm</v>
      </c>
    </row>
    <row r="1228" spans="1:4" x14ac:dyDescent="0.25">
      <c r="A1228" s="2" t="str" cm="1">
        <f t="array" ref="A1228">choice(Professeurs!A:A,1,Settings!$B$16)</f>
        <v>Prof37</v>
      </c>
      <c r="B1228" s="3" cm="1">
        <f t="array" ref="B1228">alea_date(Settings!$B$11,360,Settings!$B$8+alea_int(4,0,Settings!$B$16),Settings!$B$16)</f>
        <v>46107.375</v>
      </c>
      <c r="C1228" s="3" cm="1">
        <f t="array" ref="C1228">B1228+TIME(alea_int(5,1,Settings!$B$16),0,0)</f>
        <v>46107.583333333336</v>
      </c>
      <c r="D1228" s="3" t="str" cm="1">
        <f t="array" ref="D1228">choice(Settings!K:K,1,Settings!$B$16)</f>
        <v/>
      </c>
    </row>
    <row r="1229" spans="1:4" x14ac:dyDescent="0.25">
      <c r="A1229" s="2" t="str" cm="1">
        <f t="array" ref="A1229">choice(Professeurs!A:A,1,Settings!$B$16)</f>
        <v>Prof49</v>
      </c>
      <c r="B1229" s="3" cm="1">
        <f t="array" ref="B1229">alea_date(Settings!$B$11,360,Settings!$B$8+alea_int(4,0,Settings!$B$16),Settings!$B$16)</f>
        <v>46223.375</v>
      </c>
      <c r="C1229" s="3" cm="1">
        <f t="array" ref="C1229">B1229+TIME(alea_int(5,1,Settings!$B$16),0,0)</f>
        <v>46223.458333333336</v>
      </c>
      <c r="D1229" s="3" t="str" cm="1">
        <f t="array" ref="D1229">choice(Settings!K:K,1,Settings!$B$16)</f>
        <v/>
      </c>
    </row>
    <row r="1230" spans="1:4" x14ac:dyDescent="0.25">
      <c r="A1230" s="2" t="str" cm="1">
        <f t="array" ref="A1230">choice(Professeurs!A:A,1,Settings!$B$16)</f>
        <v>Prof13</v>
      </c>
      <c r="B1230" s="3" cm="1">
        <f t="array" ref="B1230">alea_date(Settings!$B$11,360,Settings!$B$8+alea_int(4,0,Settings!$B$16),Settings!$B$16)</f>
        <v>46247.375</v>
      </c>
      <c r="C1230" s="3" cm="1">
        <f t="array" ref="C1230">B1230+TIME(alea_int(5,1,Settings!$B$16),0,0)</f>
        <v>46247.458333333336</v>
      </c>
      <c r="D1230" s="3" t="str" cm="1">
        <f t="array" ref="D1230">choice(Settings!K:K,1,Settings!$B$16)</f>
        <v>jeudi pm</v>
      </c>
    </row>
    <row r="1231" spans="1:4" x14ac:dyDescent="0.25">
      <c r="A1231" s="2" t="str" cm="1">
        <f t="array" ref="A1231">choice(Professeurs!A:A,1,Settings!$B$16)</f>
        <v>Prof6</v>
      </c>
      <c r="B1231" s="3" cm="1">
        <f t="array" ref="B1231">alea_date(Settings!$B$11,360,Settings!$B$8+alea_int(4,0,Settings!$B$16),Settings!$B$16)</f>
        <v>46211.458333333336</v>
      </c>
      <c r="C1231" s="3" cm="1">
        <f t="array" ref="C1231">B1231+TIME(alea_int(5,1,Settings!$B$16),0,0)</f>
        <v>46211.5</v>
      </c>
      <c r="D1231" s="3" t="str" cm="1">
        <f t="array" ref="D1231">choice(Settings!K:K,1,Settings!$B$16)</f>
        <v/>
      </c>
    </row>
    <row r="1232" spans="1:4" x14ac:dyDescent="0.25">
      <c r="A1232" s="2" t="str" cm="1">
        <f t="array" ref="A1232">choice(Professeurs!A:A,1,Settings!$B$16)</f>
        <v>Prof3</v>
      </c>
      <c r="B1232" s="3" cm="1">
        <f t="array" ref="B1232">alea_date(Settings!$B$11,360,Settings!$B$8+alea_int(4,0,Settings!$B$16),Settings!$B$16)</f>
        <v>46153.458333333336</v>
      </c>
      <c r="C1232" s="3" cm="1">
        <f t="array" ref="C1232">B1232+TIME(alea_int(5,1,Settings!$B$16),0,0)</f>
        <v>46153.625</v>
      </c>
      <c r="D1232" s="3" t="str" cm="1">
        <f t="array" ref="D1232">choice(Settings!K:K,1,Settings!$B$16)</f>
        <v>semaine</v>
      </c>
    </row>
    <row r="1233" spans="1:4" x14ac:dyDescent="0.25">
      <c r="A1233" s="2" t="str" cm="1">
        <f t="array" ref="A1233">choice(Professeurs!A:A,1,Settings!$B$16)</f>
        <v>Prof15</v>
      </c>
      <c r="B1233" s="3" cm="1">
        <f t="array" ref="B1233">alea_date(Settings!$B$11,360,Settings!$B$8+alea_int(4,0,Settings!$B$16),Settings!$B$16)</f>
        <v>46103.416666666664</v>
      </c>
      <c r="C1233" s="3" cm="1">
        <f t="array" ref="C1233">B1233+TIME(alea_int(5,1,Settings!$B$16),0,0)</f>
        <v>46103.458333333328</v>
      </c>
      <c r="D1233" s="3" t="str" cm="1">
        <f t="array" ref="D1233">choice(Settings!K:K,1,Settings!$B$16)</f>
        <v/>
      </c>
    </row>
    <row r="1234" spans="1:4" x14ac:dyDescent="0.25">
      <c r="A1234" s="2" t="str" cm="1">
        <f t="array" ref="A1234">choice(Professeurs!A:A,1,Settings!$B$16)</f>
        <v>Prof30</v>
      </c>
      <c r="B1234" s="3" cm="1">
        <f t="array" ref="B1234">alea_date(Settings!$B$11,360,Settings!$B$8+alea_int(4,0,Settings!$B$16),Settings!$B$16)</f>
        <v>46269.458333333336</v>
      </c>
      <c r="C1234" s="3" cm="1">
        <f t="array" ref="C1234">B1234+TIME(alea_int(5,1,Settings!$B$16),0,0)</f>
        <v>46269.583333333336</v>
      </c>
      <c r="D1234" s="3" t="str" cm="1">
        <f t="array" ref="D1234">choice(Settings!K:K,1,Settings!$B$16)</f>
        <v/>
      </c>
    </row>
    <row r="1235" spans="1:4" x14ac:dyDescent="0.25">
      <c r="A1235" s="2" t="str" cm="1">
        <f t="array" ref="A1235">choice(Professeurs!A:A,1,Settings!$B$16)</f>
        <v>Prof46</v>
      </c>
      <c r="B1235" s="3" cm="1">
        <f t="array" ref="B1235">alea_date(Settings!$B$11,360,Settings!$B$8+alea_int(4,0,Settings!$B$16),Settings!$B$16)</f>
        <v>46136.416666666664</v>
      </c>
      <c r="C1235" s="3" cm="1">
        <f t="array" ref="C1235">B1235+TIME(alea_int(5,1,Settings!$B$16),0,0)</f>
        <v>46136.5</v>
      </c>
      <c r="D1235" s="3" t="str" cm="1">
        <f t="array" ref="D1235">choice(Settings!K:K,1,Settings!$B$16)</f>
        <v/>
      </c>
    </row>
    <row r="1236" spans="1:4" x14ac:dyDescent="0.25">
      <c r="A1236" s="2" t="str" cm="1">
        <f t="array" ref="A1236">choice(Professeurs!A:A,1,Settings!$B$16)</f>
        <v>Prof19</v>
      </c>
      <c r="B1236" s="3" cm="1">
        <f t="array" ref="B1236">alea_date(Settings!$B$11,360,Settings!$B$8+alea_int(4,0,Settings!$B$16),Settings!$B$16)</f>
        <v>46360.333333333336</v>
      </c>
      <c r="C1236" s="3" cm="1">
        <f t="array" ref="C1236">B1236+TIME(alea_int(5,1,Settings!$B$16),0,0)</f>
        <v>46360.375</v>
      </c>
      <c r="D1236" s="3" t="str" cm="1">
        <f t="array" ref="D1236">choice(Settings!K:K,1,Settings!$B$16)</f>
        <v/>
      </c>
    </row>
    <row r="1237" spans="1:4" x14ac:dyDescent="0.25">
      <c r="A1237" s="2" t="str" cm="1">
        <f t="array" ref="A1237">choice(Professeurs!A:A,1,Settings!$B$16)</f>
        <v>Prof46</v>
      </c>
      <c r="B1237" s="3" cm="1">
        <f t="array" ref="B1237">alea_date(Settings!$B$11,360,Settings!$B$8+alea_int(4,0,Settings!$B$16),Settings!$B$16)</f>
        <v>46062.458333333336</v>
      </c>
      <c r="C1237" s="3" cm="1">
        <f t="array" ref="C1237">B1237+TIME(alea_int(5,1,Settings!$B$16),0,0)</f>
        <v>46062.666666666672</v>
      </c>
      <c r="D1237" s="3" t="str" cm="1">
        <f t="array" ref="D1237">choice(Settings!K:K,1,Settings!$B$16)</f>
        <v/>
      </c>
    </row>
    <row r="1238" spans="1:4" x14ac:dyDescent="0.25">
      <c r="A1238" s="2" t="str" cm="1">
        <f t="array" ref="A1238">choice(Professeurs!A:A,1,Settings!$B$16)</f>
        <v>Prof10</v>
      </c>
      <c r="B1238" s="3" cm="1">
        <f t="array" ref="B1238">alea_date(Settings!$B$11,360,Settings!$B$8+alea_int(4,0,Settings!$B$16),Settings!$B$16)</f>
        <v>46031.416666666664</v>
      </c>
      <c r="C1238" s="3" cm="1">
        <f t="array" ref="C1238">B1238+TIME(alea_int(5,1,Settings!$B$16),0,0)</f>
        <v>46031.5</v>
      </c>
      <c r="D1238" s="3" t="str" cm="1">
        <f t="array" ref="D1238">choice(Settings!K:K,1,Settings!$B$16)</f>
        <v>jeudi pm</v>
      </c>
    </row>
    <row r="1239" spans="1:4" x14ac:dyDescent="0.25">
      <c r="A1239" s="2" t="str" cm="1">
        <f t="array" ref="A1239">choice(Professeurs!A:A,1,Settings!$B$16)</f>
        <v>Prof18</v>
      </c>
      <c r="B1239" s="3" cm="1">
        <f t="array" ref="B1239">alea_date(Settings!$B$11,360,Settings!$B$8+alea_int(4,0,Settings!$B$16),Settings!$B$16)</f>
        <v>46024.375</v>
      </c>
      <c r="C1239" s="3" cm="1">
        <f t="array" ref="C1239">B1239+TIME(alea_int(5,1,Settings!$B$16),0,0)</f>
        <v>46024.416666666664</v>
      </c>
      <c r="D1239" s="3" t="str" cm="1">
        <f t="array" ref="D1239">choice(Settings!K:K,1,Settings!$B$16)</f>
        <v/>
      </c>
    </row>
    <row r="1240" spans="1:4" x14ac:dyDescent="0.25">
      <c r="A1240" s="2" t="str" cm="1">
        <f t="array" ref="A1240">choice(Professeurs!A:A,1,Settings!$B$16)</f>
        <v>Prof19</v>
      </c>
      <c r="B1240" s="3" cm="1">
        <f t="array" ref="B1240">alea_date(Settings!$B$11,360,Settings!$B$8+alea_int(4,0,Settings!$B$16),Settings!$B$16)</f>
        <v>46051.416666666664</v>
      </c>
      <c r="C1240" s="3" cm="1">
        <f t="array" ref="C1240">B1240+TIME(alea_int(5,1,Settings!$B$16),0,0)</f>
        <v>46051.541666666664</v>
      </c>
      <c r="D1240" s="3" t="str" cm="1">
        <f t="array" ref="D1240">choice(Settings!K:K,1,Settings!$B$16)</f>
        <v/>
      </c>
    </row>
    <row r="1241" spans="1:4" x14ac:dyDescent="0.25">
      <c r="A1241" s="2" t="str" cm="1">
        <f t="array" ref="A1241">choice(Professeurs!A:A,1,Settings!$B$16)</f>
        <v>Prof37</v>
      </c>
      <c r="B1241" s="3" cm="1">
        <f t="array" ref="B1241">alea_date(Settings!$B$11,360,Settings!$B$8+alea_int(4,0,Settings!$B$16),Settings!$B$16)</f>
        <v>46120.333333333336</v>
      </c>
      <c r="C1241" s="3" cm="1">
        <f t="array" ref="C1241">B1241+TIME(alea_int(5,1,Settings!$B$16),0,0)</f>
        <v>46120.416666666672</v>
      </c>
      <c r="D1241" s="3" t="str" cm="1">
        <f t="array" ref="D1241">choice(Settings!K:K,1,Settings!$B$16)</f>
        <v>lundi am</v>
      </c>
    </row>
    <row r="1242" spans="1:4" x14ac:dyDescent="0.25">
      <c r="A1242" s="2" t="str" cm="1">
        <f t="array" ref="A1242">choice(Professeurs!A:A,1,Settings!$B$16)</f>
        <v>Prof39</v>
      </c>
      <c r="B1242" s="3" cm="1">
        <f t="array" ref="B1242">alea_date(Settings!$B$11,360,Settings!$B$8+alea_int(4,0,Settings!$B$16),Settings!$B$16)</f>
        <v>46079.458333333336</v>
      </c>
      <c r="C1242" s="3" cm="1">
        <f t="array" ref="C1242">B1242+TIME(alea_int(5,1,Settings!$B$16),0,0)</f>
        <v>46079.625</v>
      </c>
      <c r="D1242" s="3" t="str" cm="1">
        <f t="array" ref="D1242">choice(Settings!K:K,1,Settings!$B$16)</f>
        <v>lundi am</v>
      </c>
    </row>
    <row r="1243" spans="1:4" x14ac:dyDescent="0.25">
      <c r="A1243" s="2" t="str" cm="1">
        <f t="array" ref="A1243">choice(Professeurs!A:A,1,Settings!$B$16)</f>
        <v>Prof1</v>
      </c>
      <c r="B1243" s="3" cm="1">
        <f t="array" ref="B1243">alea_date(Settings!$B$11,360,Settings!$B$8+alea_int(4,0,Settings!$B$16),Settings!$B$16)</f>
        <v>46198.375</v>
      </c>
      <c r="C1243" s="3" cm="1">
        <f t="array" ref="C1243">B1243+TIME(alea_int(5,1,Settings!$B$16),0,0)</f>
        <v>46198.416666666664</v>
      </c>
      <c r="D1243" s="3" t="str" cm="1">
        <f t="array" ref="D1243">choice(Settings!K:K,1,Settings!$B$16)</f>
        <v>jeudi pm</v>
      </c>
    </row>
    <row r="1244" spans="1:4" x14ac:dyDescent="0.25">
      <c r="A1244" s="2" t="str" cm="1">
        <f t="array" ref="A1244">choice(Professeurs!A:A,1,Settings!$B$16)</f>
        <v>Prof1</v>
      </c>
      <c r="B1244" s="3" cm="1">
        <f t="array" ref="B1244">alea_date(Settings!$B$11,360,Settings!$B$8+alea_int(4,0,Settings!$B$16),Settings!$B$16)</f>
        <v>46341.333333333336</v>
      </c>
      <c r="C1244" s="3" cm="1">
        <f t="array" ref="C1244">B1244+TIME(alea_int(5,1,Settings!$B$16),0,0)</f>
        <v>46341.541666666672</v>
      </c>
      <c r="D1244" s="3" t="str" cm="1">
        <f t="array" ref="D1244">choice(Settings!K:K,1,Settings!$B$16)</f>
        <v/>
      </c>
    </row>
    <row r="1245" spans="1:4" x14ac:dyDescent="0.25">
      <c r="A1245" s="2" t="str" cm="1">
        <f t="array" ref="A1245">choice(Professeurs!A:A,1,Settings!$B$16)</f>
        <v>Prof11</v>
      </c>
      <c r="B1245" s="3" cm="1">
        <f t="array" ref="B1245">alea_date(Settings!$B$11,360,Settings!$B$8+alea_int(4,0,Settings!$B$16),Settings!$B$16)</f>
        <v>46259.333333333336</v>
      </c>
      <c r="C1245" s="3" cm="1">
        <f t="array" ref="C1245">B1245+TIME(alea_int(5,1,Settings!$B$16),0,0)</f>
        <v>46259.458333333336</v>
      </c>
      <c r="D1245" s="3" t="str" cm="1">
        <f t="array" ref="D1245">choice(Settings!K:K,1,Settings!$B$16)</f>
        <v>lundi pm</v>
      </c>
    </row>
    <row r="1246" spans="1:4" x14ac:dyDescent="0.25">
      <c r="A1246" s="2" t="str" cm="1">
        <f t="array" ref="A1246">choice(Professeurs!A:A,1,Settings!$B$16)</f>
        <v>Prof3</v>
      </c>
      <c r="B1246" s="3" cm="1">
        <f t="array" ref="B1246">alea_date(Settings!$B$11,360,Settings!$B$8+alea_int(4,0,Settings!$B$16),Settings!$B$16)</f>
        <v>46185.333333333336</v>
      </c>
      <c r="C1246" s="3" cm="1">
        <f t="array" ref="C1246">B1246+TIME(alea_int(5,1,Settings!$B$16),0,0)</f>
        <v>46185.416666666672</v>
      </c>
      <c r="D1246" s="3" t="str" cm="1">
        <f t="array" ref="D1246">choice(Settings!K:K,1,Settings!$B$16)</f>
        <v/>
      </c>
    </row>
    <row r="1247" spans="1:4" x14ac:dyDescent="0.25">
      <c r="A1247" s="2" t="str" cm="1">
        <f t="array" ref="A1247">choice(Professeurs!A:A,1,Settings!$B$16)</f>
        <v>Prof55</v>
      </c>
      <c r="B1247" s="3" cm="1">
        <f t="array" ref="B1247">alea_date(Settings!$B$11,360,Settings!$B$8+alea_int(4,0,Settings!$B$16),Settings!$B$16)</f>
        <v>46361.333333333336</v>
      </c>
      <c r="C1247" s="3" cm="1">
        <f t="array" ref="C1247">B1247+TIME(alea_int(5,1,Settings!$B$16),0,0)</f>
        <v>46361.541666666672</v>
      </c>
      <c r="D1247" s="3" t="str" cm="1">
        <f t="array" ref="D1247">choice(Settings!K:K,1,Settings!$B$16)</f>
        <v>vendredi pm</v>
      </c>
    </row>
    <row r="1248" spans="1:4" x14ac:dyDescent="0.25">
      <c r="A1248" s="2" t="str" cm="1">
        <f t="array" ref="A1248">choice(Professeurs!A:A,1,Settings!$B$16)</f>
        <v>Prof35</v>
      </c>
      <c r="B1248" s="3" cm="1">
        <f t="array" ref="B1248">alea_date(Settings!$B$11,360,Settings!$B$8+alea_int(4,0,Settings!$B$16),Settings!$B$16)</f>
        <v>46169.416666666664</v>
      </c>
      <c r="C1248" s="3" cm="1">
        <f t="array" ref="C1248">B1248+TIME(alea_int(5,1,Settings!$B$16),0,0)</f>
        <v>46169.541666666664</v>
      </c>
      <c r="D1248" s="3" t="str" cm="1">
        <f t="array" ref="D1248">choice(Settings!K:K,1,Settings!$B$16)</f>
        <v>vendredi am</v>
      </c>
    </row>
    <row r="1249" spans="1:4" x14ac:dyDescent="0.25">
      <c r="A1249" s="2" t="str" cm="1">
        <f t="array" ref="A1249">choice(Professeurs!A:A,1,Settings!$B$16)</f>
        <v>Prof41</v>
      </c>
      <c r="B1249" s="3" cm="1">
        <f t="array" ref="B1249">alea_date(Settings!$B$11,360,Settings!$B$8+alea_int(4,0,Settings!$B$16),Settings!$B$16)</f>
        <v>46343.375</v>
      </c>
      <c r="C1249" s="3" cm="1">
        <f t="array" ref="C1249">B1249+TIME(alea_int(5,1,Settings!$B$16),0,0)</f>
        <v>46343.5</v>
      </c>
      <c r="D1249" s="3" t="str" cm="1">
        <f t="array" ref="D1249">choice(Settings!K:K,1,Settings!$B$16)</f>
        <v/>
      </c>
    </row>
    <row r="1250" spans="1:4" x14ac:dyDescent="0.25">
      <c r="A1250" s="2" t="str" cm="1">
        <f t="array" ref="A1250">choice(Professeurs!A:A,1,Settings!$B$16)</f>
        <v>Prof40</v>
      </c>
      <c r="B1250" s="3" cm="1">
        <f t="array" ref="B1250">alea_date(Settings!$B$11,360,Settings!$B$8+alea_int(4,0,Settings!$B$16),Settings!$B$16)</f>
        <v>46133.333333333336</v>
      </c>
      <c r="C1250" s="3" cm="1">
        <f t="array" ref="C1250">B1250+TIME(alea_int(5,1,Settings!$B$16),0,0)</f>
        <v>46133.375</v>
      </c>
      <c r="D1250" s="3" t="str" cm="1">
        <f t="array" ref="D1250">choice(Settings!K:K,1,Settings!$B$16)</f>
        <v>semaine</v>
      </c>
    </row>
    <row r="1251" spans="1:4" x14ac:dyDescent="0.25">
      <c r="A1251" s="2" t="str" cm="1">
        <f t="array" ref="A1251">choice(Professeurs!A:A,1,Settings!$B$16)</f>
        <v>Prof9</v>
      </c>
      <c r="B1251" s="3" cm="1">
        <f t="array" ref="B1251">alea_date(Settings!$B$11,360,Settings!$B$8+alea_int(4,0,Settings!$B$16),Settings!$B$16)</f>
        <v>46224.333333333336</v>
      </c>
      <c r="C1251" s="3" cm="1">
        <f t="array" ref="C1251">B1251+TIME(alea_int(5,1,Settings!$B$16),0,0)</f>
        <v>46224.375</v>
      </c>
      <c r="D1251" s="3" t="str" cm="1">
        <f t="array" ref="D1251">choice(Settings!K:K,1,Settings!$B$16)</f>
        <v>lundi pm</v>
      </c>
    </row>
    <row r="1252" spans="1:4" x14ac:dyDescent="0.25">
      <c r="A1252" s="2" t="str" cm="1">
        <f t="array" ref="A1252">choice(Professeurs!A:A,1,Settings!$B$16)</f>
        <v>Prof2</v>
      </c>
      <c r="B1252" s="3" cm="1">
        <f t="array" ref="B1252">alea_date(Settings!$B$11,360,Settings!$B$8+alea_int(4,0,Settings!$B$16),Settings!$B$16)</f>
        <v>46180.333333333336</v>
      </c>
      <c r="C1252" s="3" cm="1">
        <f t="array" ref="C1252">B1252+TIME(alea_int(5,1,Settings!$B$16),0,0)</f>
        <v>46180.416666666672</v>
      </c>
      <c r="D1252" s="3" t="str" cm="1">
        <f t="array" ref="D1252">choice(Settings!K:K,1,Settings!$B$16)</f>
        <v>mercredi ap</v>
      </c>
    </row>
    <row r="1253" spans="1:4" x14ac:dyDescent="0.25">
      <c r="A1253" s="2" t="str" cm="1">
        <f t="array" ref="A1253">choice(Professeurs!A:A,1,Settings!$B$16)</f>
        <v>Prof46</v>
      </c>
      <c r="B1253" s="3" cm="1">
        <f t="array" ref="B1253">alea_date(Settings!$B$11,360,Settings!$B$8+alea_int(4,0,Settings!$B$16),Settings!$B$16)</f>
        <v>46124.458333333336</v>
      </c>
      <c r="C1253" s="3" cm="1">
        <f t="array" ref="C1253">B1253+TIME(alea_int(5,1,Settings!$B$16),0,0)</f>
        <v>46124.666666666672</v>
      </c>
      <c r="D1253" s="3" t="str" cm="1">
        <f t="array" ref="D1253">choice(Settings!K:K,1,Settings!$B$16)</f>
        <v/>
      </c>
    </row>
    <row r="1254" spans="1:4" x14ac:dyDescent="0.25">
      <c r="A1254" s="2" t="str" cm="1">
        <f t="array" ref="A1254">choice(Professeurs!A:A,1,Settings!$B$16)</f>
        <v>Prof25</v>
      </c>
      <c r="B1254" s="3" cm="1">
        <f t="array" ref="B1254">alea_date(Settings!$B$11,360,Settings!$B$8+alea_int(4,0,Settings!$B$16),Settings!$B$16)</f>
        <v>46276.375</v>
      </c>
      <c r="C1254" s="3" cm="1">
        <f t="array" ref="C1254">B1254+TIME(alea_int(5,1,Settings!$B$16),0,0)</f>
        <v>46276.541666666664</v>
      </c>
      <c r="D1254" s="3" t="str" cm="1">
        <f t="array" ref="D1254">choice(Settings!K:K,1,Settings!$B$16)</f>
        <v/>
      </c>
    </row>
    <row r="1255" spans="1:4" x14ac:dyDescent="0.25">
      <c r="A1255" s="2" t="str" cm="1">
        <f t="array" ref="A1255">choice(Professeurs!A:A,1,Settings!$B$16)</f>
        <v>Prof21</v>
      </c>
      <c r="B1255" s="3" cm="1">
        <f t="array" ref="B1255">alea_date(Settings!$B$11,360,Settings!$B$8+alea_int(4,0,Settings!$B$16),Settings!$B$16)</f>
        <v>46026.416666666664</v>
      </c>
      <c r="C1255" s="3" cm="1">
        <f t="array" ref="C1255">B1255+TIME(alea_int(5,1,Settings!$B$16),0,0)</f>
        <v>46026.5</v>
      </c>
      <c r="D1255" s="3" t="str" cm="1">
        <f t="array" ref="D1255">choice(Settings!K:K,1,Settings!$B$16)</f>
        <v>mardi am</v>
      </c>
    </row>
    <row r="1256" spans="1:4" x14ac:dyDescent="0.25">
      <c r="A1256" s="2" t="str" cm="1">
        <f t="array" ref="A1256">choice(Professeurs!A:A,1,Settings!$B$16)</f>
        <v>Prof35</v>
      </c>
      <c r="B1256" s="3" cm="1">
        <f t="array" ref="B1256">alea_date(Settings!$B$11,360,Settings!$B$8+alea_int(4,0,Settings!$B$16),Settings!$B$16)</f>
        <v>46058.416666666664</v>
      </c>
      <c r="C1256" s="3" cm="1">
        <f t="array" ref="C1256">B1256+TIME(alea_int(5,1,Settings!$B$16),0,0)</f>
        <v>46058.458333333328</v>
      </c>
      <c r="D1256" s="3" t="str" cm="1">
        <f t="array" ref="D1256">choice(Settings!K:K,1,Settings!$B$16)</f>
        <v/>
      </c>
    </row>
    <row r="1257" spans="1:4" x14ac:dyDescent="0.25">
      <c r="A1257" s="2" t="str" cm="1">
        <f t="array" ref="A1257">choice(Professeurs!A:A,1,Settings!$B$16)</f>
        <v>Prof53</v>
      </c>
      <c r="B1257" s="3" cm="1">
        <f t="array" ref="B1257">alea_date(Settings!$B$11,360,Settings!$B$8+alea_int(4,0,Settings!$B$16),Settings!$B$16)</f>
        <v>46121.416666666664</v>
      </c>
      <c r="C1257" s="3" cm="1">
        <f t="array" ref="C1257">B1257+TIME(alea_int(5,1,Settings!$B$16),0,0)</f>
        <v>46121.625</v>
      </c>
      <c r="D1257" s="3" t="str" cm="1">
        <f t="array" ref="D1257">choice(Settings!K:K,1,Settings!$B$16)</f>
        <v/>
      </c>
    </row>
    <row r="1258" spans="1:4" x14ac:dyDescent="0.25">
      <c r="A1258" s="2" t="str" cm="1">
        <f t="array" ref="A1258">choice(Professeurs!A:A,1,Settings!$B$16)</f>
        <v>Prof20</v>
      </c>
      <c r="B1258" s="3" cm="1">
        <f t="array" ref="B1258">alea_date(Settings!$B$11,360,Settings!$B$8+alea_int(4,0,Settings!$B$16),Settings!$B$16)</f>
        <v>46253.375</v>
      </c>
      <c r="C1258" s="3" cm="1">
        <f t="array" ref="C1258">B1258+TIME(alea_int(5,1,Settings!$B$16),0,0)</f>
        <v>46253.458333333336</v>
      </c>
      <c r="D1258" s="3" t="str" cm="1">
        <f t="array" ref="D1258">choice(Settings!K:K,1,Settings!$B$16)</f>
        <v/>
      </c>
    </row>
    <row r="1259" spans="1:4" x14ac:dyDescent="0.25">
      <c r="A1259" s="2" t="str" cm="1">
        <f t="array" ref="A1259">choice(Professeurs!A:A,1,Settings!$B$16)</f>
        <v>Prof50</v>
      </c>
      <c r="B1259" s="3" cm="1">
        <f t="array" ref="B1259">alea_date(Settings!$B$11,360,Settings!$B$8+alea_int(4,0,Settings!$B$16),Settings!$B$16)</f>
        <v>46366.416666666664</v>
      </c>
      <c r="C1259" s="3" cm="1">
        <f t="array" ref="C1259">B1259+TIME(alea_int(5,1,Settings!$B$16),0,0)</f>
        <v>46366.625</v>
      </c>
      <c r="D1259" s="3" t="str" cm="1">
        <f t="array" ref="D1259">choice(Settings!K:K,1,Settings!$B$16)</f>
        <v/>
      </c>
    </row>
    <row r="1260" spans="1:4" x14ac:dyDescent="0.25">
      <c r="A1260" s="2" t="str" cm="1">
        <f t="array" ref="A1260">choice(Professeurs!A:A,1,Settings!$B$16)</f>
        <v>Prof48</v>
      </c>
      <c r="B1260" s="3" cm="1">
        <f t="array" ref="B1260">alea_date(Settings!$B$11,360,Settings!$B$8+alea_int(4,0,Settings!$B$16),Settings!$B$16)</f>
        <v>46196.375</v>
      </c>
      <c r="C1260" s="3" cm="1">
        <f t="array" ref="C1260">B1260+TIME(alea_int(5,1,Settings!$B$16),0,0)</f>
        <v>46196.541666666664</v>
      </c>
      <c r="D1260" s="3" t="str" cm="1">
        <f t="array" ref="D1260">choice(Settings!K:K,1,Settings!$B$16)</f>
        <v/>
      </c>
    </row>
    <row r="1261" spans="1:4" x14ac:dyDescent="0.25">
      <c r="A1261" s="2" t="str" cm="1">
        <f t="array" ref="A1261">choice(Professeurs!A:A,1,Settings!$B$16)</f>
        <v>Prof17</v>
      </c>
      <c r="B1261" s="3" cm="1">
        <f t="array" ref="B1261">alea_date(Settings!$B$11,360,Settings!$B$8+alea_int(4,0,Settings!$B$16),Settings!$B$16)</f>
        <v>46228.375</v>
      </c>
      <c r="C1261" s="3" cm="1">
        <f t="array" ref="C1261">B1261+TIME(alea_int(5,1,Settings!$B$16),0,0)</f>
        <v>46228.416666666664</v>
      </c>
      <c r="D1261" s="3" t="str" cm="1">
        <f t="array" ref="D1261">choice(Settings!K:K,1,Settings!$B$16)</f>
        <v>jeudi am</v>
      </c>
    </row>
    <row r="1262" spans="1:4" x14ac:dyDescent="0.25">
      <c r="A1262" s="2" t="str" cm="1">
        <f t="array" ref="A1262">choice(Professeurs!A:A,1,Settings!$B$16)</f>
        <v>Prof22</v>
      </c>
      <c r="B1262" s="3" cm="1">
        <f t="array" ref="B1262">alea_date(Settings!$B$11,360,Settings!$B$8+alea_int(4,0,Settings!$B$16),Settings!$B$16)</f>
        <v>46092.333333333336</v>
      </c>
      <c r="C1262" s="3" cm="1">
        <f t="array" ref="C1262">B1262+TIME(alea_int(5,1,Settings!$B$16),0,0)</f>
        <v>46092.458333333336</v>
      </c>
      <c r="D1262" s="3" t="str" cm="1">
        <f t="array" ref="D1262">choice(Settings!K:K,1,Settings!$B$16)</f>
        <v/>
      </c>
    </row>
    <row r="1263" spans="1:4" x14ac:dyDescent="0.25">
      <c r="A1263" s="2" t="str" cm="1">
        <f t="array" ref="A1263">choice(Professeurs!A:A,1,Settings!$B$16)</f>
        <v>Prof24</v>
      </c>
      <c r="B1263" s="3" cm="1">
        <f t="array" ref="B1263">alea_date(Settings!$B$11,360,Settings!$B$8+alea_int(4,0,Settings!$B$16),Settings!$B$16)</f>
        <v>46119.458333333336</v>
      </c>
      <c r="C1263" s="3" cm="1">
        <f t="array" ref="C1263">B1263+TIME(alea_int(5,1,Settings!$B$16),0,0)</f>
        <v>46119.666666666672</v>
      </c>
      <c r="D1263" s="3" t="str" cm="1">
        <f t="array" ref="D1263">choice(Settings!K:K,1,Settings!$B$16)</f>
        <v>vendredi pm</v>
      </c>
    </row>
    <row r="1264" spans="1:4" x14ac:dyDescent="0.25">
      <c r="A1264" s="2" t="str" cm="1">
        <f t="array" ref="A1264">choice(Professeurs!A:A,1,Settings!$B$16)</f>
        <v>Prof42</v>
      </c>
      <c r="B1264" s="3" cm="1">
        <f t="array" ref="B1264">alea_date(Settings!$B$11,360,Settings!$B$8+alea_int(4,0,Settings!$B$16),Settings!$B$16)</f>
        <v>46217.333333333336</v>
      </c>
      <c r="C1264" s="3" cm="1">
        <f t="array" ref="C1264">B1264+TIME(alea_int(5,1,Settings!$B$16),0,0)</f>
        <v>46217.416666666672</v>
      </c>
      <c r="D1264" s="3" t="str" cm="1">
        <f t="array" ref="D1264">choice(Settings!K:K,1,Settings!$B$16)</f>
        <v>jeudi am</v>
      </c>
    </row>
    <row r="1265" spans="1:4" x14ac:dyDescent="0.25">
      <c r="A1265" s="2" t="str" cm="1">
        <f t="array" ref="A1265">choice(Professeurs!A:A,1,Settings!$B$16)</f>
        <v>Prof32</v>
      </c>
      <c r="B1265" s="3" cm="1">
        <f t="array" ref="B1265">alea_date(Settings!$B$11,360,Settings!$B$8+alea_int(4,0,Settings!$B$16),Settings!$B$16)</f>
        <v>46267.416666666664</v>
      </c>
      <c r="C1265" s="3" cm="1">
        <f t="array" ref="C1265">B1265+TIME(alea_int(5,1,Settings!$B$16),0,0)</f>
        <v>46267.541666666664</v>
      </c>
      <c r="D1265" s="3" t="str" cm="1">
        <f t="array" ref="D1265">choice(Settings!K:K,1,Settings!$B$16)</f>
        <v>mercredi pm</v>
      </c>
    </row>
    <row r="1266" spans="1:4" x14ac:dyDescent="0.25">
      <c r="A1266" s="2" t="str" cm="1">
        <f t="array" ref="A1266">choice(Professeurs!A:A,1,Settings!$B$16)</f>
        <v>Prof36</v>
      </c>
      <c r="B1266" s="3" cm="1">
        <f t="array" ref="B1266">alea_date(Settings!$B$11,360,Settings!$B$8+alea_int(4,0,Settings!$B$16),Settings!$B$16)</f>
        <v>46268.375</v>
      </c>
      <c r="C1266" s="3" cm="1">
        <f t="array" ref="C1266">B1266+TIME(alea_int(5,1,Settings!$B$16),0,0)</f>
        <v>46268.416666666664</v>
      </c>
      <c r="D1266" s="3" t="str" cm="1">
        <f t="array" ref="D1266">choice(Settings!K:K,1,Settings!$B$16)</f>
        <v/>
      </c>
    </row>
    <row r="1267" spans="1:4" x14ac:dyDescent="0.25">
      <c r="A1267" s="2" t="str" cm="1">
        <f t="array" ref="A1267">choice(Professeurs!A:A,1,Settings!$B$16)</f>
        <v>Prof52</v>
      </c>
      <c r="B1267" s="3" cm="1">
        <f t="array" ref="B1267">alea_date(Settings!$B$11,360,Settings!$B$8+alea_int(4,0,Settings!$B$16),Settings!$B$16)</f>
        <v>46280.416666666664</v>
      </c>
      <c r="C1267" s="3" cm="1">
        <f t="array" ref="C1267">B1267+TIME(alea_int(5,1,Settings!$B$16),0,0)</f>
        <v>46280.5</v>
      </c>
      <c r="D1267" s="3" t="str" cm="1">
        <f t="array" ref="D1267">choice(Settings!K:K,1,Settings!$B$16)</f>
        <v/>
      </c>
    </row>
    <row r="1268" spans="1:4" x14ac:dyDescent="0.25">
      <c r="A1268" s="2" t="str" cm="1">
        <f t="array" ref="A1268">choice(Professeurs!A:A,1,Settings!$B$16)</f>
        <v>Prof41</v>
      </c>
      <c r="B1268" s="3" cm="1">
        <f t="array" ref="B1268">alea_date(Settings!$B$11,360,Settings!$B$8+alea_int(4,0,Settings!$B$16),Settings!$B$16)</f>
        <v>46143.375</v>
      </c>
      <c r="C1268" s="3" cm="1">
        <f t="array" ref="C1268">B1268+TIME(alea_int(5,1,Settings!$B$16),0,0)</f>
        <v>46143.416666666664</v>
      </c>
      <c r="D1268" s="3" t="str" cm="1">
        <f t="array" ref="D1268">choice(Settings!K:K,1,Settings!$B$16)</f>
        <v>lundi pm</v>
      </c>
    </row>
    <row r="1269" spans="1:4" x14ac:dyDescent="0.25">
      <c r="A1269" s="2" t="str" cm="1">
        <f t="array" ref="A1269">choice(Professeurs!A:A,1,Settings!$B$16)</f>
        <v>Prof55</v>
      </c>
      <c r="B1269" s="3" cm="1">
        <f t="array" ref="B1269">alea_date(Settings!$B$11,360,Settings!$B$8+alea_int(4,0,Settings!$B$16),Settings!$B$16)</f>
        <v>46075.333333333336</v>
      </c>
      <c r="C1269" s="3" cm="1">
        <f t="array" ref="C1269">B1269+TIME(alea_int(5,1,Settings!$B$16),0,0)</f>
        <v>46075.541666666672</v>
      </c>
      <c r="D1269" s="3" t="str" cm="1">
        <f t="array" ref="D1269">choice(Settings!K:K,1,Settings!$B$16)</f>
        <v/>
      </c>
    </row>
    <row r="1270" spans="1:4" x14ac:dyDescent="0.25">
      <c r="A1270" s="2" t="str" cm="1">
        <f t="array" ref="A1270">choice(Professeurs!A:A,1,Settings!$B$16)</f>
        <v>Prof49</v>
      </c>
      <c r="B1270" s="3" cm="1">
        <f t="array" ref="B1270">alea_date(Settings!$B$11,360,Settings!$B$8+alea_int(4,0,Settings!$B$16),Settings!$B$16)</f>
        <v>46366.333333333336</v>
      </c>
      <c r="C1270" s="3" cm="1">
        <f t="array" ref="C1270">B1270+TIME(alea_int(5,1,Settings!$B$16),0,0)</f>
        <v>46366.416666666672</v>
      </c>
      <c r="D1270" s="3" t="str" cm="1">
        <f t="array" ref="D1270">choice(Settings!K:K,1,Settings!$B$16)</f>
        <v/>
      </c>
    </row>
    <row r="1271" spans="1:4" x14ac:dyDescent="0.25">
      <c r="A1271" s="2" t="str" cm="1">
        <f t="array" ref="A1271">choice(Professeurs!A:A,1,Settings!$B$16)</f>
        <v>Prof39</v>
      </c>
      <c r="B1271" s="3" cm="1">
        <f t="array" ref="B1271">alea_date(Settings!$B$11,360,Settings!$B$8+alea_int(4,0,Settings!$B$16),Settings!$B$16)</f>
        <v>46122.333333333336</v>
      </c>
      <c r="C1271" s="3" cm="1">
        <f t="array" ref="C1271">B1271+TIME(alea_int(5,1,Settings!$B$16),0,0)</f>
        <v>46122.541666666672</v>
      </c>
      <c r="D1271" s="3" t="str" cm="1">
        <f t="array" ref="D1271">choice(Settings!K:K,1,Settings!$B$16)</f>
        <v>lundi pm</v>
      </c>
    </row>
    <row r="1272" spans="1:4" x14ac:dyDescent="0.25">
      <c r="A1272" s="2" t="str" cm="1">
        <f t="array" ref="A1272">choice(Professeurs!A:A,1,Settings!$B$16)</f>
        <v>Prof53</v>
      </c>
      <c r="B1272" s="3" cm="1">
        <f t="array" ref="B1272">alea_date(Settings!$B$11,360,Settings!$B$8+alea_int(4,0,Settings!$B$16),Settings!$B$16)</f>
        <v>46028.458333333336</v>
      </c>
      <c r="C1272" s="3" cm="1">
        <f t="array" ref="C1272">B1272+TIME(alea_int(5,1,Settings!$B$16),0,0)</f>
        <v>46028.625</v>
      </c>
      <c r="D1272" s="3" t="str" cm="1">
        <f t="array" ref="D1272">choice(Settings!K:K,1,Settings!$B$16)</f>
        <v>vendredi am</v>
      </c>
    </row>
    <row r="1273" spans="1:4" x14ac:dyDescent="0.25">
      <c r="A1273" s="2" t="str" cm="1">
        <f t="array" ref="A1273">choice(Professeurs!A:A,1,Settings!$B$16)</f>
        <v>Prof9</v>
      </c>
      <c r="B1273" s="3" cm="1">
        <f t="array" ref="B1273">alea_date(Settings!$B$11,360,Settings!$B$8+alea_int(4,0,Settings!$B$16),Settings!$B$16)</f>
        <v>46036.458333333336</v>
      </c>
      <c r="C1273" s="3" cm="1">
        <f t="array" ref="C1273">B1273+TIME(alea_int(5,1,Settings!$B$16),0,0)</f>
        <v>46036.666666666672</v>
      </c>
      <c r="D1273" s="3" t="str" cm="1">
        <f t="array" ref="D1273">choice(Settings!K:K,1,Settings!$B$16)</f>
        <v/>
      </c>
    </row>
    <row r="1274" spans="1:4" x14ac:dyDescent="0.25">
      <c r="A1274" s="2" t="str" cm="1">
        <f t="array" ref="A1274">choice(Professeurs!A:A,1,Settings!$B$16)</f>
        <v>Prof34</v>
      </c>
      <c r="B1274" s="3" cm="1">
        <f t="array" ref="B1274">alea_date(Settings!$B$11,360,Settings!$B$8+alea_int(4,0,Settings!$B$16),Settings!$B$16)</f>
        <v>46259.375</v>
      </c>
      <c r="C1274" s="3" cm="1">
        <f t="array" ref="C1274">B1274+TIME(alea_int(5,1,Settings!$B$16),0,0)</f>
        <v>46259.541666666664</v>
      </c>
      <c r="D1274" s="3" t="str" cm="1">
        <f t="array" ref="D1274">choice(Settings!K:K,1,Settings!$B$16)</f>
        <v/>
      </c>
    </row>
    <row r="1275" spans="1:4" x14ac:dyDescent="0.25">
      <c r="A1275" s="2" t="str" cm="1">
        <f t="array" ref="A1275">choice(Professeurs!A:A,1,Settings!$B$16)</f>
        <v>Prof55</v>
      </c>
      <c r="B1275" s="3" cm="1">
        <f t="array" ref="B1275">alea_date(Settings!$B$11,360,Settings!$B$8+alea_int(4,0,Settings!$B$16),Settings!$B$16)</f>
        <v>46305.375</v>
      </c>
      <c r="C1275" s="3" cm="1">
        <f t="array" ref="C1275">B1275+TIME(alea_int(5,1,Settings!$B$16),0,0)</f>
        <v>46305.541666666664</v>
      </c>
      <c r="D1275" s="3" t="str" cm="1">
        <f t="array" ref="D1275">choice(Settings!K:K,1,Settings!$B$16)</f>
        <v/>
      </c>
    </row>
    <row r="1276" spans="1:4" x14ac:dyDescent="0.25">
      <c r="A1276" s="2" t="str" cm="1">
        <f t="array" ref="A1276">choice(Professeurs!A:A,1,Settings!$B$16)</f>
        <v>Prof2</v>
      </c>
      <c r="B1276" s="3" cm="1">
        <f t="array" ref="B1276">alea_date(Settings!$B$11,360,Settings!$B$8+alea_int(4,0,Settings!$B$16),Settings!$B$16)</f>
        <v>46265.375</v>
      </c>
      <c r="C1276" s="3" cm="1">
        <f t="array" ref="C1276">B1276+TIME(alea_int(5,1,Settings!$B$16),0,0)</f>
        <v>46265.5</v>
      </c>
      <c r="D1276" s="3" t="str" cm="1">
        <f t="array" ref="D1276">choice(Settings!K:K,1,Settings!$B$16)</f>
        <v/>
      </c>
    </row>
    <row r="1277" spans="1:4" x14ac:dyDescent="0.25">
      <c r="A1277" s="2" t="str" cm="1">
        <f t="array" ref="A1277">choice(Professeurs!A:A,1,Settings!$B$16)</f>
        <v>Prof32</v>
      </c>
      <c r="B1277" s="3" cm="1">
        <f t="array" ref="B1277">alea_date(Settings!$B$11,360,Settings!$B$8+alea_int(4,0,Settings!$B$16),Settings!$B$16)</f>
        <v>46232.375</v>
      </c>
      <c r="C1277" s="3" cm="1">
        <f t="array" ref="C1277">B1277+TIME(alea_int(5,1,Settings!$B$16),0,0)</f>
        <v>46232.5</v>
      </c>
      <c r="D1277" s="3" t="str" cm="1">
        <f t="array" ref="D1277">choice(Settings!K:K,1,Settings!$B$16)</f>
        <v>jeudi am</v>
      </c>
    </row>
    <row r="1278" spans="1:4" x14ac:dyDescent="0.25">
      <c r="A1278" s="2" t="str" cm="1">
        <f t="array" ref="A1278">choice(Professeurs!A:A,1,Settings!$B$16)</f>
        <v>Prof54</v>
      </c>
      <c r="B1278" s="3" cm="1">
        <f t="array" ref="B1278">alea_date(Settings!$B$11,360,Settings!$B$8+alea_int(4,0,Settings!$B$16),Settings!$B$16)</f>
        <v>46289.416666666664</v>
      </c>
      <c r="C1278" s="3" cm="1">
        <f t="array" ref="C1278">B1278+TIME(alea_int(5,1,Settings!$B$16),0,0)</f>
        <v>46289.625</v>
      </c>
      <c r="D1278" s="3" t="str" cm="1">
        <f t="array" ref="D1278">choice(Settings!K:K,1,Settings!$B$16)</f>
        <v/>
      </c>
    </row>
    <row r="1279" spans="1:4" x14ac:dyDescent="0.25">
      <c r="A1279" s="2" t="str" cm="1">
        <f t="array" ref="A1279">choice(Professeurs!A:A,1,Settings!$B$16)</f>
        <v>Prof11</v>
      </c>
      <c r="B1279" s="3" cm="1">
        <f t="array" ref="B1279">alea_date(Settings!$B$11,360,Settings!$B$8+alea_int(4,0,Settings!$B$16),Settings!$B$16)</f>
        <v>46074.458333333336</v>
      </c>
      <c r="C1279" s="3" cm="1">
        <f t="array" ref="C1279">B1279+TIME(alea_int(5,1,Settings!$B$16),0,0)</f>
        <v>46074.5</v>
      </c>
      <c r="D1279" s="3" t="str" cm="1">
        <f t="array" ref="D1279">choice(Settings!K:K,1,Settings!$B$16)</f>
        <v/>
      </c>
    </row>
    <row r="1280" spans="1:4" x14ac:dyDescent="0.25">
      <c r="A1280" s="2" t="str" cm="1">
        <f t="array" ref="A1280">choice(Professeurs!A:A,1,Settings!$B$16)</f>
        <v>Prof43</v>
      </c>
      <c r="B1280" s="3" cm="1">
        <f t="array" ref="B1280">alea_date(Settings!$B$11,360,Settings!$B$8+alea_int(4,0,Settings!$B$16),Settings!$B$16)</f>
        <v>46175.333333333336</v>
      </c>
      <c r="C1280" s="3" cm="1">
        <f t="array" ref="C1280">B1280+TIME(alea_int(5,1,Settings!$B$16),0,0)</f>
        <v>46175.416666666672</v>
      </c>
      <c r="D1280" s="3" t="str" cm="1">
        <f t="array" ref="D1280">choice(Settings!K:K,1,Settings!$B$16)</f>
        <v>vendredi am</v>
      </c>
    </row>
    <row r="1281" spans="1:4" x14ac:dyDescent="0.25">
      <c r="A1281" s="2" t="str" cm="1">
        <f t="array" ref="A1281">choice(Professeurs!A:A,1,Settings!$B$16)</f>
        <v>Prof8</v>
      </c>
      <c r="B1281" s="3" cm="1">
        <f t="array" ref="B1281">alea_date(Settings!$B$11,360,Settings!$B$8+alea_int(4,0,Settings!$B$16),Settings!$B$16)</f>
        <v>46343.416666666664</v>
      </c>
      <c r="C1281" s="3" cm="1">
        <f t="array" ref="C1281">B1281+TIME(alea_int(5,1,Settings!$B$16),0,0)</f>
        <v>46343.458333333328</v>
      </c>
      <c r="D1281" s="3" t="str" cm="1">
        <f t="array" ref="D1281">choice(Settings!K:K,1,Settings!$B$16)</f>
        <v/>
      </c>
    </row>
    <row r="1282" spans="1:4" x14ac:dyDescent="0.25">
      <c r="A1282" s="2" t="str" cm="1">
        <f t="array" ref="A1282">choice(Professeurs!A:A,1,Settings!$B$16)</f>
        <v>Prof26</v>
      </c>
      <c r="B1282" s="3" cm="1">
        <f t="array" ref="B1282">alea_date(Settings!$B$11,360,Settings!$B$8+alea_int(4,0,Settings!$B$16),Settings!$B$16)</f>
        <v>46254.333333333336</v>
      </c>
      <c r="C1282" s="3" cm="1">
        <f t="array" ref="C1282">B1282+TIME(alea_int(5,1,Settings!$B$16),0,0)</f>
        <v>46254.541666666672</v>
      </c>
      <c r="D1282" s="3" t="str" cm="1">
        <f t="array" ref="D1282">choice(Settings!K:K,1,Settings!$B$16)</f>
        <v/>
      </c>
    </row>
    <row r="1283" spans="1:4" x14ac:dyDescent="0.25">
      <c r="A1283" s="2" t="str" cm="1">
        <f t="array" ref="A1283">choice(Professeurs!A:A,1,Settings!$B$16)</f>
        <v>Prof9</v>
      </c>
      <c r="B1283" s="3" cm="1">
        <f t="array" ref="B1283">alea_date(Settings!$B$11,360,Settings!$B$8+alea_int(4,0,Settings!$B$16),Settings!$B$16)</f>
        <v>46383.375</v>
      </c>
      <c r="C1283" s="3" cm="1">
        <f t="array" ref="C1283">B1283+TIME(alea_int(5,1,Settings!$B$16),0,0)</f>
        <v>46383.583333333336</v>
      </c>
      <c r="D1283" s="3" t="str" cm="1">
        <f t="array" ref="D1283">choice(Settings!K:K,1,Settings!$B$16)</f>
        <v/>
      </c>
    </row>
    <row r="1284" spans="1:4" x14ac:dyDescent="0.25">
      <c r="A1284" s="2" t="str" cm="1">
        <f t="array" ref="A1284">choice(Professeurs!A:A,1,Settings!$B$16)</f>
        <v>Prof39</v>
      </c>
      <c r="B1284" s="3" cm="1">
        <f t="array" ref="B1284">alea_date(Settings!$B$11,360,Settings!$B$8+alea_int(4,0,Settings!$B$16),Settings!$B$16)</f>
        <v>46040.375</v>
      </c>
      <c r="C1284" s="3" cm="1">
        <f t="array" ref="C1284">B1284+TIME(alea_int(5,1,Settings!$B$16),0,0)</f>
        <v>46040.583333333336</v>
      </c>
      <c r="D1284" s="3" t="str" cm="1">
        <f t="array" ref="D1284">choice(Settings!K:K,1,Settings!$B$16)</f>
        <v>lundi am</v>
      </c>
    </row>
    <row r="1285" spans="1:4" x14ac:dyDescent="0.25">
      <c r="A1285" s="2" t="str" cm="1">
        <f t="array" ref="A1285">choice(Professeurs!A:A,1,Settings!$B$16)</f>
        <v>Prof55</v>
      </c>
      <c r="B1285" s="3" cm="1">
        <f t="array" ref="B1285">alea_date(Settings!$B$11,360,Settings!$B$8+alea_int(4,0,Settings!$B$16),Settings!$B$16)</f>
        <v>46293.333333333336</v>
      </c>
      <c r="C1285" s="3" cm="1">
        <f t="array" ref="C1285">B1285+TIME(alea_int(5,1,Settings!$B$16),0,0)</f>
        <v>46293.541666666672</v>
      </c>
      <c r="D1285" s="3" t="str" cm="1">
        <f t="array" ref="D1285">choice(Settings!K:K,1,Settings!$B$16)</f>
        <v/>
      </c>
    </row>
    <row r="1286" spans="1:4" x14ac:dyDescent="0.25">
      <c r="A1286" s="2" t="str" cm="1">
        <f t="array" ref="A1286">choice(Professeurs!A:A,1,Settings!$B$16)</f>
        <v>Prof43</v>
      </c>
      <c r="B1286" s="3" cm="1">
        <f t="array" ref="B1286">alea_date(Settings!$B$11,360,Settings!$B$8+alea_int(4,0,Settings!$B$16),Settings!$B$16)</f>
        <v>46216.458333333336</v>
      </c>
      <c r="C1286" s="3" cm="1">
        <f t="array" ref="C1286">B1286+TIME(alea_int(5,1,Settings!$B$16),0,0)</f>
        <v>46216.583333333336</v>
      </c>
      <c r="D1286" s="3" t="str" cm="1">
        <f t="array" ref="D1286">choice(Settings!K:K,1,Settings!$B$16)</f>
        <v>vendredi pm</v>
      </c>
    </row>
    <row r="1287" spans="1:4" x14ac:dyDescent="0.25">
      <c r="A1287" s="2" t="str" cm="1">
        <f t="array" ref="A1287">choice(Professeurs!A:A,1,Settings!$B$16)</f>
        <v>Prof14</v>
      </c>
      <c r="B1287" s="3" cm="1">
        <f t="array" ref="B1287">alea_date(Settings!$B$11,360,Settings!$B$8+alea_int(4,0,Settings!$B$16),Settings!$B$16)</f>
        <v>46188.458333333336</v>
      </c>
      <c r="C1287" s="3" cm="1">
        <f t="array" ref="C1287">B1287+TIME(alea_int(5,1,Settings!$B$16),0,0)</f>
        <v>46188.541666666672</v>
      </c>
      <c r="D1287" s="3" t="str" cm="1">
        <f t="array" ref="D1287">choice(Settings!K:K,1,Settings!$B$16)</f>
        <v/>
      </c>
    </row>
    <row r="1288" spans="1:4" x14ac:dyDescent="0.25">
      <c r="A1288" s="2" t="str" cm="1">
        <f t="array" ref="A1288">choice(Professeurs!A:A,1,Settings!$B$16)</f>
        <v>Prof24</v>
      </c>
      <c r="B1288" s="3" cm="1">
        <f t="array" ref="B1288">alea_date(Settings!$B$11,360,Settings!$B$8+alea_int(4,0,Settings!$B$16),Settings!$B$16)</f>
        <v>46218.375</v>
      </c>
      <c r="C1288" s="3" cm="1">
        <f t="array" ref="C1288">B1288+TIME(alea_int(5,1,Settings!$B$16),0,0)</f>
        <v>46218.541666666664</v>
      </c>
      <c r="D1288" s="3" t="str" cm="1">
        <f t="array" ref="D1288">choice(Settings!K:K,1,Settings!$B$16)</f>
        <v/>
      </c>
    </row>
    <row r="1289" spans="1:4" x14ac:dyDescent="0.25">
      <c r="A1289" s="2" t="str" cm="1">
        <f t="array" ref="A1289">choice(Professeurs!A:A,1,Settings!$B$16)</f>
        <v>Prof14</v>
      </c>
      <c r="B1289" s="3" cm="1">
        <f t="array" ref="B1289">alea_date(Settings!$B$11,360,Settings!$B$8+alea_int(4,0,Settings!$B$16),Settings!$B$16)</f>
        <v>46087.416666666664</v>
      </c>
      <c r="C1289" s="3" cm="1">
        <f t="array" ref="C1289">B1289+TIME(alea_int(5,1,Settings!$B$16),0,0)</f>
        <v>46087.458333333328</v>
      </c>
      <c r="D1289" s="3" t="str" cm="1">
        <f t="array" ref="D1289">choice(Settings!K:K,1,Settings!$B$16)</f>
        <v/>
      </c>
    </row>
    <row r="1290" spans="1:4" x14ac:dyDescent="0.25">
      <c r="A1290" s="2" t="str" cm="1">
        <f t="array" ref="A1290">choice(Professeurs!A:A,1,Settings!$B$16)</f>
        <v>Prof44</v>
      </c>
      <c r="B1290" s="3" cm="1">
        <f t="array" ref="B1290">alea_date(Settings!$B$11,360,Settings!$B$8+alea_int(4,0,Settings!$B$16),Settings!$B$16)</f>
        <v>46369.333333333336</v>
      </c>
      <c r="C1290" s="3" cm="1">
        <f t="array" ref="C1290">B1290+TIME(alea_int(5,1,Settings!$B$16),0,0)</f>
        <v>46369.541666666672</v>
      </c>
      <c r="D1290" s="3" t="str" cm="1">
        <f t="array" ref="D1290">choice(Settings!K:K,1,Settings!$B$16)</f>
        <v/>
      </c>
    </row>
    <row r="1291" spans="1:4" x14ac:dyDescent="0.25">
      <c r="A1291" s="2" t="str" cm="1">
        <f t="array" ref="A1291">choice(Professeurs!A:A,1,Settings!$B$16)</f>
        <v>Prof1</v>
      </c>
      <c r="B1291" s="3" cm="1">
        <f t="array" ref="B1291">alea_date(Settings!$B$11,360,Settings!$B$8+alea_int(4,0,Settings!$B$16),Settings!$B$16)</f>
        <v>46120.416666666664</v>
      </c>
      <c r="C1291" s="3" cm="1">
        <f t="array" ref="C1291">B1291+TIME(alea_int(5,1,Settings!$B$16),0,0)</f>
        <v>46120.5</v>
      </c>
      <c r="D1291" s="3" t="str" cm="1">
        <f t="array" ref="D1291">choice(Settings!K:K,1,Settings!$B$16)</f>
        <v/>
      </c>
    </row>
    <row r="1292" spans="1:4" x14ac:dyDescent="0.25">
      <c r="A1292" s="2" t="str" cm="1">
        <f t="array" ref="A1292">choice(Professeurs!A:A,1,Settings!$B$16)</f>
        <v>Prof35</v>
      </c>
      <c r="B1292" s="3" cm="1">
        <f t="array" ref="B1292">alea_date(Settings!$B$11,360,Settings!$B$8+alea_int(4,0,Settings!$B$16),Settings!$B$16)</f>
        <v>46041.416666666664</v>
      </c>
      <c r="C1292" s="3" cm="1">
        <f t="array" ref="C1292">B1292+TIME(alea_int(5,1,Settings!$B$16),0,0)</f>
        <v>46041.583333333328</v>
      </c>
      <c r="D1292" s="3" t="str" cm="1">
        <f t="array" ref="D1292">choice(Settings!K:K,1,Settings!$B$16)</f>
        <v>vendredi pm</v>
      </c>
    </row>
    <row r="1293" spans="1:4" x14ac:dyDescent="0.25">
      <c r="A1293" s="2" t="str" cm="1">
        <f t="array" ref="A1293">choice(Professeurs!A:A,1,Settings!$B$16)</f>
        <v>Prof28</v>
      </c>
      <c r="B1293" s="3" cm="1">
        <f t="array" ref="B1293">alea_date(Settings!$B$11,360,Settings!$B$8+alea_int(4,0,Settings!$B$16),Settings!$B$16)</f>
        <v>46239.375</v>
      </c>
      <c r="C1293" s="3" cm="1">
        <f t="array" ref="C1293">B1293+TIME(alea_int(5,1,Settings!$B$16),0,0)</f>
        <v>46239.5</v>
      </c>
      <c r="D1293" s="3" t="str" cm="1">
        <f t="array" ref="D1293">choice(Settings!K:K,1,Settings!$B$16)</f>
        <v/>
      </c>
    </row>
    <row r="1294" spans="1:4" x14ac:dyDescent="0.25">
      <c r="A1294" s="2" t="str" cm="1">
        <f t="array" ref="A1294">choice(Professeurs!A:A,1,Settings!$B$16)</f>
        <v>Prof10</v>
      </c>
      <c r="B1294" s="3" cm="1">
        <f t="array" ref="B1294">alea_date(Settings!$B$11,360,Settings!$B$8+alea_int(4,0,Settings!$B$16),Settings!$B$16)</f>
        <v>46200.416666666664</v>
      </c>
      <c r="C1294" s="3" cm="1">
        <f t="array" ref="C1294">B1294+TIME(alea_int(5,1,Settings!$B$16),0,0)</f>
        <v>46200.583333333328</v>
      </c>
      <c r="D1294" s="3" t="str" cm="1">
        <f t="array" ref="D1294">choice(Settings!K:K,1,Settings!$B$16)</f>
        <v>lundi pm</v>
      </c>
    </row>
    <row r="1295" spans="1:4" x14ac:dyDescent="0.25">
      <c r="A1295" s="2" t="str" cm="1">
        <f t="array" ref="A1295">choice(Professeurs!A:A,1,Settings!$B$16)</f>
        <v>Prof16</v>
      </c>
      <c r="B1295" s="3" cm="1">
        <f t="array" ref="B1295">alea_date(Settings!$B$11,360,Settings!$B$8+alea_int(4,0,Settings!$B$16),Settings!$B$16)</f>
        <v>46052.416666666664</v>
      </c>
      <c r="C1295" s="3" cm="1">
        <f t="array" ref="C1295">B1295+TIME(alea_int(5,1,Settings!$B$16),0,0)</f>
        <v>46052.458333333328</v>
      </c>
      <c r="D1295" s="3" t="str" cm="1">
        <f t="array" ref="D1295">choice(Settings!K:K,1,Settings!$B$16)</f>
        <v>mardi pm</v>
      </c>
    </row>
    <row r="1296" spans="1:4" x14ac:dyDescent="0.25">
      <c r="A1296" s="2" t="str" cm="1">
        <f t="array" ref="A1296">choice(Professeurs!A:A,1,Settings!$B$16)</f>
        <v>Prof25</v>
      </c>
      <c r="B1296" s="3" cm="1">
        <f t="array" ref="B1296">alea_date(Settings!$B$11,360,Settings!$B$8+alea_int(4,0,Settings!$B$16),Settings!$B$16)</f>
        <v>46207.416666666664</v>
      </c>
      <c r="C1296" s="3" cm="1">
        <f t="array" ref="C1296">B1296+TIME(alea_int(5,1,Settings!$B$16),0,0)</f>
        <v>46207.458333333328</v>
      </c>
      <c r="D1296" s="3" t="str" cm="1">
        <f t="array" ref="D1296">choice(Settings!K:K,1,Settings!$B$16)</f>
        <v/>
      </c>
    </row>
    <row r="1297" spans="1:4" x14ac:dyDescent="0.25">
      <c r="A1297" s="2" t="str" cm="1">
        <f t="array" ref="A1297">choice(Professeurs!A:A,1,Settings!$B$16)</f>
        <v>Prof1</v>
      </c>
      <c r="B1297" s="3" cm="1">
        <f t="array" ref="B1297">alea_date(Settings!$B$11,360,Settings!$B$8+alea_int(4,0,Settings!$B$16),Settings!$B$16)</f>
        <v>46096.333333333336</v>
      </c>
      <c r="C1297" s="3" cm="1">
        <f t="array" ref="C1297">B1297+TIME(alea_int(5,1,Settings!$B$16),0,0)</f>
        <v>46096.416666666672</v>
      </c>
      <c r="D1297" s="3" t="str" cm="1">
        <f t="array" ref="D1297">choice(Settings!K:K,1,Settings!$B$16)</f>
        <v/>
      </c>
    </row>
    <row r="1298" spans="1:4" x14ac:dyDescent="0.25">
      <c r="A1298" s="2" t="str" cm="1">
        <f t="array" ref="A1298">choice(Professeurs!A:A,1,Settings!$B$16)</f>
        <v>Prof51</v>
      </c>
      <c r="B1298" s="3" cm="1">
        <f t="array" ref="B1298">alea_date(Settings!$B$11,360,Settings!$B$8+alea_int(4,0,Settings!$B$16),Settings!$B$16)</f>
        <v>46031.333333333336</v>
      </c>
      <c r="C1298" s="3" cm="1">
        <f t="array" ref="C1298">B1298+TIME(alea_int(5,1,Settings!$B$16),0,0)</f>
        <v>46031.5</v>
      </c>
      <c r="D1298" s="3" t="str" cm="1">
        <f t="array" ref="D1298">choice(Settings!K:K,1,Settings!$B$16)</f>
        <v>semaine</v>
      </c>
    </row>
    <row r="1299" spans="1:4" x14ac:dyDescent="0.25">
      <c r="A1299" s="2" t="str" cm="1">
        <f t="array" ref="A1299">choice(Professeurs!A:A,1,Settings!$B$16)</f>
        <v>Prof2</v>
      </c>
      <c r="B1299" s="3" cm="1">
        <f t="array" ref="B1299">alea_date(Settings!$B$11,360,Settings!$B$8+alea_int(4,0,Settings!$B$16),Settings!$B$16)</f>
        <v>46373.458333333336</v>
      </c>
      <c r="C1299" s="3" cm="1">
        <f t="array" ref="C1299">B1299+TIME(alea_int(5,1,Settings!$B$16),0,0)</f>
        <v>46373.625</v>
      </c>
      <c r="D1299" s="3" t="str" cm="1">
        <f t="array" ref="D1299">choice(Settings!K:K,1,Settings!$B$16)</f>
        <v/>
      </c>
    </row>
    <row r="1300" spans="1:4" x14ac:dyDescent="0.25">
      <c r="A1300" s="2" t="str" cm="1">
        <f t="array" ref="A1300">choice(Professeurs!A:A,1,Settings!$B$16)</f>
        <v>Prof17</v>
      </c>
      <c r="B1300" s="3" cm="1">
        <f t="array" ref="B1300">alea_date(Settings!$B$11,360,Settings!$B$8+alea_int(4,0,Settings!$B$16),Settings!$B$16)</f>
        <v>46103.375</v>
      </c>
      <c r="C1300" s="3" cm="1">
        <f t="array" ref="C1300">B1300+TIME(alea_int(5,1,Settings!$B$16),0,0)</f>
        <v>46103.583333333336</v>
      </c>
      <c r="D1300" s="3" t="str" cm="1">
        <f t="array" ref="D1300">choice(Settings!K:K,1,Settings!$B$16)</f>
        <v/>
      </c>
    </row>
    <row r="1301" spans="1:4" x14ac:dyDescent="0.25">
      <c r="A1301" s="2" t="str" cm="1">
        <f t="array" ref="A1301">choice(Professeurs!A:A,1,Settings!$B$16)</f>
        <v>Prof22</v>
      </c>
      <c r="B1301" s="3" cm="1">
        <f t="array" ref="B1301">alea_date(Settings!$B$11,360,Settings!$B$8+alea_int(4,0,Settings!$B$16),Settings!$B$16)</f>
        <v>46289.375</v>
      </c>
      <c r="C1301" s="3" cm="1">
        <f t="array" ref="C1301">B1301+TIME(alea_int(5,1,Settings!$B$16),0,0)</f>
        <v>46289.416666666664</v>
      </c>
      <c r="D1301" s="3" t="str" cm="1">
        <f t="array" ref="D1301">choice(Settings!K:K,1,Settings!$B$16)</f>
        <v/>
      </c>
    </row>
    <row r="1302" spans="1:4" x14ac:dyDescent="0.25">
      <c r="A1302" s="2" t="str" cm="1">
        <f t="array" ref="A1302">choice(Professeurs!A:A,1,Settings!$B$16)</f>
        <v>Prof41</v>
      </c>
      <c r="B1302" s="3" cm="1">
        <f t="array" ref="B1302">alea_date(Settings!$B$11,360,Settings!$B$8+alea_int(4,0,Settings!$B$16),Settings!$B$16)</f>
        <v>46078.375</v>
      </c>
      <c r="C1302" s="3" cm="1">
        <f t="array" ref="C1302">B1302+TIME(alea_int(5,1,Settings!$B$16),0,0)</f>
        <v>46078.583333333336</v>
      </c>
      <c r="D1302" s="3" t="str" cm="1">
        <f t="array" ref="D1302">choice(Settings!K:K,1,Settings!$B$16)</f>
        <v>mercredi ap</v>
      </c>
    </row>
    <row r="1303" spans="1:4" x14ac:dyDescent="0.25">
      <c r="A1303" s="2" t="str" cm="1">
        <f t="array" ref="A1303">choice(Professeurs!A:A,1,Settings!$B$16)</f>
        <v>Prof53</v>
      </c>
      <c r="B1303" s="3" cm="1">
        <f t="array" ref="B1303">alea_date(Settings!$B$11,360,Settings!$B$8+alea_int(4,0,Settings!$B$16),Settings!$B$16)</f>
        <v>46258.458333333336</v>
      </c>
      <c r="C1303" s="3" cm="1">
        <f t="array" ref="C1303">B1303+TIME(alea_int(5,1,Settings!$B$16),0,0)</f>
        <v>46258.666666666672</v>
      </c>
      <c r="D1303" s="3" t="str" cm="1">
        <f t="array" ref="D1303">choice(Settings!K:K,1,Settings!$B$16)</f>
        <v/>
      </c>
    </row>
    <row r="1304" spans="1:4" x14ac:dyDescent="0.25">
      <c r="A1304" s="2" t="str" cm="1">
        <f t="array" ref="A1304">choice(Professeurs!A:A,1,Settings!$B$16)</f>
        <v>Prof45</v>
      </c>
      <c r="B1304" s="3" cm="1">
        <f t="array" ref="B1304">alea_date(Settings!$B$11,360,Settings!$B$8+alea_int(4,0,Settings!$B$16),Settings!$B$16)</f>
        <v>46153.375</v>
      </c>
      <c r="C1304" s="3" cm="1">
        <f t="array" ref="C1304">B1304+TIME(alea_int(5,1,Settings!$B$16),0,0)</f>
        <v>46153.416666666664</v>
      </c>
      <c r="D1304" s="3" t="str" cm="1">
        <f t="array" ref="D1304">choice(Settings!K:K,1,Settings!$B$16)</f>
        <v>mercredi ap</v>
      </c>
    </row>
    <row r="1305" spans="1:4" x14ac:dyDescent="0.25">
      <c r="A1305" s="2" t="str" cm="1">
        <f t="array" ref="A1305">choice(Professeurs!A:A,1,Settings!$B$16)</f>
        <v>Prof31</v>
      </c>
      <c r="B1305" s="3" cm="1">
        <f t="array" ref="B1305">alea_date(Settings!$B$11,360,Settings!$B$8+alea_int(4,0,Settings!$B$16),Settings!$B$16)</f>
        <v>46055.333333333336</v>
      </c>
      <c r="C1305" s="3" cm="1">
        <f t="array" ref="C1305">B1305+TIME(alea_int(5,1,Settings!$B$16),0,0)</f>
        <v>46055.416666666672</v>
      </c>
      <c r="D1305" s="3" t="str" cm="1">
        <f t="array" ref="D1305">choice(Settings!K:K,1,Settings!$B$16)</f>
        <v/>
      </c>
    </row>
    <row r="1306" spans="1:4" x14ac:dyDescent="0.25">
      <c r="A1306" s="2" t="str" cm="1">
        <f t="array" ref="A1306">choice(Professeurs!A:A,1,Settings!$B$16)</f>
        <v>Prof47</v>
      </c>
      <c r="B1306" s="3" cm="1">
        <f t="array" ref="B1306">alea_date(Settings!$B$11,360,Settings!$B$8+alea_int(4,0,Settings!$B$16),Settings!$B$16)</f>
        <v>46043.416666666664</v>
      </c>
      <c r="C1306" s="3" cm="1">
        <f t="array" ref="C1306">B1306+TIME(alea_int(5,1,Settings!$B$16),0,0)</f>
        <v>46043.5</v>
      </c>
      <c r="D1306" s="3" t="str" cm="1">
        <f t="array" ref="D1306">choice(Settings!K:K,1,Settings!$B$16)</f>
        <v/>
      </c>
    </row>
    <row r="1307" spans="1:4" x14ac:dyDescent="0.25">
      <c r="A1307" s="2" t="str" cm="1">
        <f t="array" ref="A1307">choice(Professeurs!A:A,1,Settings!$B$16)</f>
        <v>Prof13</v>
      </c>
      <c r="B1307" s="3" cm="1">
        <f t="array" ref="B1307">alea_date(Settings!$B$11,360,Settings!$B$8+alea_int(4,0,Settings!$B$16),Settings!$B$16)</f>
        <v>46133.458333333336</v>
      </c>
      <c r="C1307" s="3" cm="1">
        <f t="array" ref="C1307">B1307+TIME(alea_int(5,1,Settings!$B$16),0,0)</f>
        <v>46133.666666666672</v>
      </c>
      <c r="D1307" s="3" t="str" cm="1">
        <f t="array" ref="D1307">choice(Settings!K:K,1,Settings!$B$16)</f>
        <v/>
      </c>
    </row>
    <row r="1308" spans="1:4" x14ac:dyDescent="0.25">
      <c r="A1308" s="2" t="str" cm="1">
        <f t="array" ref="A1308">choice(Professeurs!A:A,1,Settings!$B$16)</f>
        <v>Prof1</v>
      </c>
      <c r="B1308" s="3" cm="1">
        <f t="array" ref="B1308">alea_date(Settings!$B$11,360,Settings!$B$8+alea_int(4,0,Settings!$B$16),Settings!$B$16)</f>
        <v>46134.458333333336</v>
      </c>
      <c r="C1308" s="3" cm="1">
        <f t="array" ref="C1308">B1308+TIME(alea_int(5,1,Settings!$B$16),0,0)</f>
        <v>46134.541666666672</v>
      </c>
      <c r="D1308" s="3" t="str" cm="1">
        <f t="array" ref="D1308">choice(Settings!K:K,1,Settings!$B$16)</f>
        <v/>
      </c>
    </row>
    <row r="1309" spans="1:4" x14ac:dyDescent="0.25">
      <c r="A1309" s="2" t="str" cm="1">
        <f t="array" ref="A1309">choice(Professeurs!A:A,1,Settings!$B$16)</f>
        <v>Prof51</v>
      </c>
      <c r="B1309" s="3" cm="1">
        <f t="array" ref="B1309">alea_date(Settings!$B$11,360,Settings!$B$8+alea_int(4,0,Settings!$B$16),Settings!$B$16)</f>
        <v>46084.416666666664</v>
      </c>
      <c r="C1309" s="3" cm="1">
        <f t="array" ref="C1309">B1309+TIME(alea_int(5,1,Settings!$B$16),0,0)</f>
        <v>46084.458333333328</v>
      </c>
      <c r="D1309" s="3" t="str" cm="1">
        <f t="array" ref="D1309">choice(Settings!K:K,1,Settings!$B$16)</f>
        <v/>
      </c>
    </row>
    <row r="1310" spans="1:4" x14ac:dyDescent="0.25">
      <c r="A1310" s="2" t="str" cm="1">
        <f t="array" ref="A1310">choice(Professeurs!A:A,1,Settings!$B$16)</f>
        <v>Prof42</v>
      </c>
      <c r="B1310" s="3" cm="1">
        <f t="array" ref="B1310">alea_date(Settings!$B$11,360,Settings!$B$8+alea_int(4,0,Settings!$B$16),Settings!$B$16)</f>
        <v>46310.458333333336</v>
      </c>
      <c r="C1310" s="3" cm="1">
        <f t="array" ref="C1310">B1310+TIME(alea_int(5,1,Settings!$B$16),0,0)</f>
        <v>46310.5</v>
      </c>
      <c r="D1310" s="3" t="str" cm="1">
        <f t="array" ref="D1310">choice(Settings!K:K,1,Settings!$B$16)</f>
        <v/>
      </c>
    </row>
    <row r="1311" spans="1:4" x14ac:dyDescent="0.25">
      <c r="A1311" s="2" t="str" cm="1">
        <f t="array" ref="A1311">choice(Professeurs!A:A,1,Settings!$B$16)</f>
        <v>Prof44</v>
      </c>
      <c r="B1311" s="3" cm="1">
        <f t="array" ref="B1311">alea_date(Settings!$B$11,360,Settings!$B$8+alea_int(4,0,Settings!$B$16),Settings!$B$16)</f>
        <v>46355.333333333336</v>
      </c>
      <c r="C1311" s="3" cm="1">
        <f t="array" ref="C1311">B1311+TIME(alea_int(5,1,Settings!$B$16),0,0)</f>
        <v>46355.5</v>
      </c>
      <c r="D1311" s="3" t="str" cm="1">
        <f t="array" ref="D1311">choice(Settings!K:K,1,Settings!$B$16)</f>
        <v/>
      </c>
    </row>
    <row r="1312" spans="1:4" x14ac:dyDescent="0.25">
      <c r="A1312" s="2" t="str" cm="1">
        <f t="array" ref="A1312">choice(Professeurs!A:A,1,Settings!$B$16)</f>
        <v>Prof28</v>
      </c>
      <c r="B1312" s="3" cm="1">
        <f t="array" ref="B1312">alea_date(Settings!$B$11,360,Settings!$B$8+alea_int(4,0,Settings!$B$16),Settings!$B$16)</f>
        <v>46223.333333333336</v>
      </c>
      <c r="C1312" s="3" cm="1">
        <f t="array" ref="C1312">B1312+TIME(alea_int(5,1,Settings!$B$16),0,0)</f>
        <v>46223.458333333336</v>
      </c>
      <c r="D1312" s="3" t="str" cm="1">
        <f t="array" ref="D1312">choice(Settings!K:K,1,Settings!$B$16)</f>
        <v/>
      </c>
    </row>
    <row r="1313" spans="1:4" x14ac:dyDescent="0.25">
      <c r="A1313" s="2" t="str" cm="1">
        <f t="array" ref="A1313">choice(Professeurs!A:A,1,Settings!$B$16)</f>
        <v>Prof3</v>
      </c>
      <c r="B1313" s="3" cm="1">
        <f t="array" ref="B1313">alea_date(Settings!$B$11,360,Settings!$B$8+alea_int(4,0,Settings!$B$16),Settings!$B$16)</f>
        <v>46112.333333333336</v>
      </c>
      <c r="C1313" s="3" cm="1">
        <f t="array" ref="C1313">B1313+TIME(alea_int(5,1,Settings!$B$16),0,0)</f>
        <v>46112.5</v>
      </c>
      <c r="D1313" s="3" t="str" cm="1">
        <f t="array" ref="D1313">choice(Settings!K:K,1,Settings!$B$16)</f>
        <v/>
      </c>
    </row>
    <row r="1314" spans="1:4" x14ac:dyDescent="0.25">
      <c r="A1314" s="2" t="str" cm="1">
        <f t="array" ref="A1314">choice(Professeurs!A:A,1,Settings!$B$16)</f>
        <v>Prof36</v>
      </c>
      <c r="B1314" s="3" cm="1">
        <f t="array" ref="B1314">alea_date(Settings!$B$11,360,Settings!$B$8+alea_int(4,0,Settings!$B$16),Settings!$B$16)</f>
        <v>46090.416666666664</v>
      </c>
      <c r="C1314" s="3" cm="1">
        <f t="array" ref="C1314">B1314+TIME(alea_int(5,1,Settings!$B$16),0,0)</f>
        <v>46090.625</v>
      </c>
      <c r="D1314" s="3" t="str" cm="1">
        <f t="array" ref="D1314">choice(Settings!K:K,1,Settings!$B$16)</f>
        <v/>
      </c>
    </row>
    <row r="1315" spans="1:4" x14ac:dyDescent="0.25">
      <c r="A1315" s="2" t="str" cm="1">
        <f t="array" ref="A1315">choice(Professeurs!A:A,1,Settings!$B$16)</f>
        <v>Prof19</v>
      </c>
      <c r="B1315" s="3" cm="1">
        <f t="array" ref="B1315">alea_date(Settings!$B$11,360,Settings!$B$8+alea_int(4,0,Settings!$B$16),Settings!$B$16)</f>
        <v>46345.333333333336</v>
      </c>
      <c r="C1315" s="3" cm="1">
        <f t="array" ref="C1315">B1315+TIME(alea_int(5,1,Settings!$B$16),0,0)</f>
        <v>46345.416666666672</v>
      </c>
      <c r="D1315" s="3" t="str" cm="1">
        <f t="array" ref="D1315">choice(Settings!K:K,1,Settings!$B$16)</f>
        <v/>
      </c>
    </row>
    <row r="1316" spans="1:4" x14ac:dyDescent="0.25">
      <c r="A1316" s="2" t="str" cm="1">
        <f t="array" ref="A1316">choice(Professeurs!A:A,1,Settings!$B$16)</f>
        <v>Prof55</v>
      </c>
      <c r="B1316" s="3" cm="1">
        <f t="array" ref="B1316">alea_date(Settings!$B$11,360,Settings!$B$8+alea_int(4,0,Settings!$B$16),Settings!$B$16)</f>
        <v>46111.458333333336</v>
      </c>
      <c r="C1316" s="3" cm="1">
        <f t="array" ref="C1316">B1316+TIME(alea_int(5,1,Settings!$B$16),0,0)</f>
        <v>46111.583333333336</v>
      </c>
      <c r="D1316" s="3" t="str" cm="1">
        <f t="array" ref="D1316">choice(Settings!K:K,1,Settings!$B$16)</f>
        <v/>
      </c>
    </row>
    <row r="1317" spans="1:4" x14ac:dyDescent="0.25">
      <c r="A1317" s="2" t="str" cm="1">
        <f t="array" ref="A1317">choice(Professeurs!A:A,1,Settings!$B$16)</f>
        <v>Prof51</v>
      </c>
      <c r="B1317" s="3" cm="1">
        <f t="array" ref="B1317">alea_date(Settings!$B$11,360,Settings!$B$8+alea_int(4,0,Settings!$B$16),Settings!$B$16)</f>
        <v>46143.416666666664</v>
      </c>
      <c r="C1317" s="3" cm="1">
        <f t="array" ref="C1317">B1317+TIME(alea_int(5,1,Settings!$B$16),0,0)</f>
        <v>46143.583333333328</v>
      </c>
      <c r="D1317" s="3" t="str" cm="1">
        <f t="array" ref="D1317">choice(Settings!K:K,1,Settings!$B$16)</f>
        <v/>
      </c>
    </row>
    <row r="1318" spans="1:4" x14ac:dyDescent="0.25">
      <c r="A1318" s="2" t="str" cm="1">
        <f t="array" ref="A1318">choice(Professeurs!A:A,1,Settings!$B$16)</f>
        <v>Prof5</v>
      </c>
      <c r="B1318" s="3" cm="1">
        <f t="array" ref="B1318">alea_date(Settings!$B$11,360,Settings!$B$8+alea_int(4,0,Settings!$B$16),Settings!$B$16)</f>
        <v>46218.458333333336</v>
      </c>
      <c r="C1318" s="3" cm="1">
        <f t="array" ref="C1318">B1318+TIME(alea_int(5,1,Settings!$B$16),0,0)</f>
        <v>46218.541666666672</v>
      </c>
      <c r="D1318" s="3" t="str" cm="1">
        <f t="array" ref="D1318">choice(Settings!K:K,1,Settings!$B$16)</f>
        <v/>
      </c>
    </row>
    <row r="1319" spans="1:4" x14ac:dyDescent="0.25">
      <c r="A1319" s="2" t="str" cm="1">
        <f t="array" ref="A1319">choice(Professeurs!A:A,1,Settings!$B$16)</f>
        <v>Prof34</v>
      </c>
      <c r="B1319" s="3" cm="1">
        <f t="array" ref="B1319">alea_date(Settings!$B$11,360,Settings!$B$8+alea_int(4,0,Settings!$B$16),Settings!$B$16)</f>
        <v>46332.333333333336</v>
      </c>
      <c r="C1319" s="3" cm="1">
        <f t="array" ref="C1319">B1319+TIME(alea_int(5,1,Settings!$B$16),0,0)</f>
        <v>46332.416666666672</v>
      </c>
      <c r="D1319" s="3" t="str" cm="1">
        <f t="array" ref="D1319">choice(Settings!K:K,1,Settings!$B$16)</f>
        <v/>
      </c>
    </row>
    <row r="1320" spans="1:4" x14ac:dyDescent="0.25">
      <c r="A1320" s="2" t="str" cm="1">
        <f t="array" ref="A1320">choice(Professeurs!A:A,1,Settings!$B$16)</f>
        <v>Prof43</v>
      </c>
      <c r="B1320" s="3" cm="1">
        <f t="array" ref="B1320">alea_date(Settings!$B$11,360,Settings!$B$8+alea_int(4,0,Settings!$B$16),Settings!$B$16)</f>
        <v>46369.458333333336</v>
      </c>
      <c r="C1320" s="3" cm="1">
        <f t="array" ref="C1320">B1320+TIME(alea_int(5,1,Settings!$B$16),0,0)</f>
        <v>46369.541666666672</v>
      </c>
      <c r="D1320" s="3" t="str" cm="1">
        <f t="array" ref="D1320">choice(Settings!K:K,1,Settings!$B$16)</f>
        <v>semaine</v>
      </c>
    </row>
    <row r="1321" spans="1:4" x14ac:dyDescent="0.25">
      <c r="A1321" s="2" t="str" cm="1">
        <f t="array" ref="A1321">choice(Professeurs!A:A,1,Settings!$B$16)</f>
        <v>Prof19</v>
      </c>
      <c r="B1321" s="3" cm="1">
        <f t="array" ref="B1321">alea_date(Settings!$B$11,360,Settings!$B$8+alea_int(4,0,Settings!$B$16),Settings!$B$16)</f>
        <v>46132.458333333336</v>
      </c>
      <c r="C1321" s="3" cm="1">
        <f t="array" ref="C1321">B1321+TIME(alea_int(5,1,Settings!$B$16),0,0)</f>
        <v>46132.625</v>
      </c>
      <c r="D1321" s="3" t="str" cm="1">
        <f t="array" ref="D1321">choice(Settings!K:K,1,Settings!$B$16)</f>
        <v/>
      </c>
    </row>
    <row r="1322" spans="1:4" x14ac:dyDescent="0.25">
      <c r="A1322" s="2" t="str" cm="1">
        <f t="array" ref="A1322">choice(Professeurs!A:A,1,Settings!$B$16)</f>
        <v>Prof28</v>
      </c>
      <c r="B1322" s="3" cm="1">
        <f t="array" ref="B1322">alea_date(Settings!$B$11,360,Settings!$B$8+alea_int(4,0,Settings!$B$16),Settings!$B$16)</f>
        <v>46056.333333333336</v>
      </c>
      <c r="C1322" s="3" cm="1">
        <f t="array" ref="C1322">B1322+TIME(alea_int(5,1,Settings!$B$16),0,0)</f>
        <v>46056.416666666672</v>
      </c>
      <c r="D1322" s="3" t="str" cm="1">
        <f t="array" ref="D1322">choice(Settings!K:K,1,Settings!$B$16)</f>
        <v/>
      </c>
    </row>
    <row r="1323" spans="1:4" x14ac:dyDescent="0.25">
      <c r="A1323" s="2" t="str" cm="1">
        <f t="array" ref="A1323">choice(Professeurs!A:A,1,Settings!$B$16)</f>
        <v>Prof19</v>
      </c>
      <c r="B1323" s="3" cm="1">
        <f t="array" ref="B1323">alea_date(Settings!$B$11,360,Settings!$B$8+alea_int(4,0,Settings!$B$16),Settings!$B$16)</f>
        <v>46296.458333333336</v>
      </c>
      <c r="C1323" s="3" cm="1">
        <f t="array" ref="C1323">B1323+TIME(alea_int(5,1,Settings!$B$16),0,0)</f>
        <v>46296.666666666672</v>
      </c>
      <c r="D1323" s="3" t="str" cm="1">
        <f t="array" ref="D1323">choice(Settings!K:K,1,Settings!$B$16)</f>
        <v/>
      </c>
    </row>
    <row r="1324" spans="1:4" x14ac:dyDescent="0.25">
      <c r="A1324" s="2" t="str" cm="1">
        <f t="array" ref="A1324">choice(Professeurs!A:A,1,Settings!$B$16)</f>
        <v>Prof52</v>
      </c>
      <c r="B1324" s="3" cm="1">
        <f t="array" ref="B1324">alea_date(Settings!$B$11,360,Settings!$B$8+alea_int(4,0,Settings!$B$16),Settings!$B$16)</f>
        <v>46146.333333333336</v>
      </c>
      <c r="C1324" s="3" cm="1">
        <f t="array" ref="C1324">B1324+TIME(alea_int(5,1,Settings!$B$16),0,0)</f>
        <v>46146.5</v>
      </c>
      <c r="D1324" s="3" t="str" cm="1">
        <f t="array" ref="D1324">choice(Settings!K:K,1,Settings!$B$16)</f>
        <v>vendredi pm</v>
      </c>
    </row>
    <row r="1325" spans="1:4" x14ac:dyDescent="0.25">
      <c r="A1325" s="2" t="str" cm="1">
        <f t="array" ref="A1325">choice(Professeurs!A:A,1,Settings!$B$16)</f>
        <v>Prof26</v>
      </c>
      <c r="B1325" s="3" cm="1">
        <f t="array" ref="B1325">alea_date(Settings!$B$11,360,Settings!$B$8+alea_int(4,0,Settings!$B$16),Settings!$B$16)</f>
        <v>46264.333333333336</v>
      </c>
      <c r="C1325" s="3" cm="1">
        <f t="array" ref="C1325">B1325+TIME(alea_int(5,1,Settings!$B$16),0,0)</f>
        <v>46264.5</v>
      </c>
      <c r="D1325" s="3" t="str" cm="1">
        <f t="array" ref="D1325">choice(Settings!K:K,1,Settings!$B$16)</f>
        <v>lundi am</v>
      </c>
    </row>
    <row r="1326" spans="1:4" x14ac:dyDescent="0.25">
      <c r="A1326" s="2" t="str" cm="1">
        <f t="array" ref="A1326">choice(Professeurs!A:A,1,Settings!$B$16)</f>
        <v>Prof21</v>
      </c>
      <c r="B1326" s="3" cm="1">
        <f t="array" ref="B1326">alea_date(Settings!$B$11,360,Settings!$B$8+alea_int(4,0,Settings!$B$16),Settings!$B$16)</f>
        <v>46140.416666666664</v>
      </c>
      <c r="C1326" s="3" cm="1">
        <f t="array" ref="C1326">B1326+TIME(alea_int(5,1,Settings!$B$16),0,0)</f>
        <v>46140.5</v>
      </c>
      <c r="D1326" s="3" t="str" cm="1">
        <f t="array" ref="D1326">choice(Settings!K:K,1,Settings!$B$16)</f>
        <v/>
      </c>
    </row>
    <row r="1327" spans="1:4" x14ac:dyDescent="0.25">
      <c r="A1327" s="2" t="str" cm="1">
        <f t="array" ref="A1327">choice(Professeurs!A:A,1,Settings!$B$16)</f>
        <v>Prof44</v>
      </c>
      <c r="B1327" s="3" cm="1">
        <f t="array" ref="B1327">alea_date(Settings!$B$11,360,Settings!$B$8+alea_int(4,0,Settings!$B$16),Settings!$B$16)</f>
        <v>46319.416666666664</v>
      </c>
      <c r="C1327" s="3" cm="1">
        <f t="array" ref="C1327">B1327+TIME(alea_int(5,1,Settings!$B$16),0,0)</f>
        <v>46319.5</v>
      </c>
      <c r="D1327" s="3" t="str" cm="1">
        <f t="array" ref="D1327">choice(Settings!K:K,1,Settings!$B$16)</f>
        <v/>
      </c>
    </row>
    <row r="1328" spans="1:4" x14ac:dyDescent="0.25">
      <c r="A1328" s="2" t="str" cm="1">
        <f t="array" ref="A1328">choice(Professeurs!A:A,1,Settings!$B$16)</f>
        <v>Prof36</v>
      </c>
      <c r="B1328" s="3" cm="1">
        <f t="array" ref="B1328">alea_date(Settings!$B$11,360,Settings!$B$8+alea_int(4,0,Settings!$B$16),Settings!$B$16)</f>
        <v>46114.333333333336</v>
      </c>
      <c r="C1328" s="3" cm="1">
        <f t="array" ref="C1328">B1328+TIME(alea_int(5,1,Settings!$B$16),0,0)</f>
        <v>46114.375</v>
      </c>
      <c r="D1328" s="3" t="str" cm="1">
        <f t="array" ref="D1328">choice(Settings!K:K,1,Settings!$B$16)</f>
        <v>lundi pm</v>
      </c>
    </row>
    <row r="1329" spans="1:4" x14ac:dyDescent="0.25">
      <c r="A1329" s="2" t="str" cm="1">
        <f t="array" ref="A1329">choice(Professeurs!A:A,1,Settings!$B$16)</f>
        <v>Prof11</v>
      </c>
      <c r="B1329" s="3" cm="1">
        <f t="array" ref="B1329">alea_date(Settings!$B$11,360,Settings!$B$8+alea_int(4,0,Settings!$B$16),Settings!$B$16)</f>
        <v>46225.375</v>
      </c>
      <c r="C1329" s="3" cm="1">
        <f t="array" ref="C1329">B1329+TIME(alea_int(5,1,Settings!$B$16),0,0)</f>
        <v>46225.541666666664</v>
      </c>
      <c r="D1329" s="3" t="str" cm="1">
        <f t="array" ref="D1329">choice(Settings!K:K,1,Settings!$B$16)</f>
        <v/>
      </c>
    </row>
    <row r="1330" spans="1:4" x14ac:dyDescent="0.25">
      <c r="A1330" s="2" t="str" cm="1">
        <f t="array" ref="A1330">choice(Professeurs!A:A,1,Settings!$B$16)</f>
        <v>Prof34</v>
      </c>
      <c r="B1330" s="3" cm="1">
        <f t="array" ref="B1330">alea_date(Settings!$B$11,360,Settings!$B$8+alea_int(4,0,Settings!$B$16),Settings!$B$16)</f>
        <v>46295.375</v>
      </c>
      <c r="C1330" s="3" cm="1">
        <f t="array" ref="C1330">B1330+TIME(alea_int(5,1,Settings!$B$16),0,0)</f>
        <v>46295.458333333336</v>
      </c>
      <c r="D1330" s="3" t="str" cm="1">
        <f t="array" ref="D1330">choice(Settings!K:K,1,Settings!$B$16)</f>
        <v>jeudi am</v>
      </c>
    </row>
    <row r="1331" spans="1:4" x14ac:dyDescent="0.25">
      <c r="A1331" s="2" t="str" cm="1">
        <f t="array" ref="A1331">choice(Professeurs!A:A,1,Settings!$B$16)</f>
        <v>Prof30</v>
      </c>
      <c r="B1331" s="3" cm="1">
        <f t="array" ref="B1331">alea_date(Settings!$B$11,360,Settings!$B$8+alea_int(4,0,Settings!$B$16),Settings!$B$16)</f>
        <v>46273.333333333336</v>
      </c>
      <c r="C1331" s="3" cm="1">
        <f t="array" ref="C1331">B1331+TIME(alea_int(5,1,Settings!$B$16),0,0)</f>
        <v>46273.5</v>
      </c>
      <c r="D1331" s="3" t="str" cm="1">
        <f t="array" ref="D1331">choice(Settings!K:K,1,Settings!$B$16)</f>
        <v>jeudi pm</v>
      </c>
    </row>
    <row r="1332" spans="1:4" x14ac:dyDescent="0.25">
      <c r="A1332" s="2" t="str" cm="1">
        <f t="array" ref="A1332">choice(Professeurs!A:A,1,Settings!$B$16)</f>
        <v>Prof35</v>
      </c>
      <c r="B1332" s="3" cm="1">
        <f t="array" ref="B1332">alea_date(Settings!$B$11,360,Settings!$B$8+alea_int(4,0,Settings!$B$16),Settings!$B$16)</f>
        <v>46134.416666666664</v>
      </c>
      <c r="C1332" s="3" cm="1">
        <f t="array" ref="C1332">B1332+TIME(alea_int(5,1,Settings!$B$16),0,0)</f>
        <v>46134.541666666664</v>
      </c>
      <c r="D1332" s="3" t="str" cm="1">
        <f t="array" ref="D1332">choice(Settings!K:K,1,Settings!$B$16)</f>
        <v>mardi pm</v>
      </c>
    </row>
    <row r="1333" spans="1:4" x14ac:dyDescent="0.25">
      <c r="A1333" s="2" t="str" cm="1">
        <f t="array" ref="A1333">choice(Professeurs!A:A,1,Settings!$B$16)</f>
        <v>Prof38</v>
      </c>
      <c r="B1333" s="3" cm="1">
        <f t="array" ref="B1333">alea_date(Settings!$B$11,360,Settings!$B$8+alea_int(4,0,Settings!$B$16),Settings!$B$16)</f>
        <v>46264.416666666664</v>
      </c>
      <c r="C1333" s="3" cm="1">
        <f t="array" ref="C1333">B1333+TIME(alea_int(5,1,Settings!$B$16),0,0)</f>
        <v>46264.458333333328</v>
      </c>
      <c r="D1333" s="3" t="str" cm="1">
        <f t="array" ref="D1333">choice(Settings!K:K,1,Settings!$B$16)</f>
        <v/>
      </c>
    </row>
    <row r="1334" spans="1:4" x14ac:dyDescent="0.25">
      <c r="A1334" s="2" t="str" cm="1">
        <f t="array" ref="A1334">choice(Professeurs!A:A,1,Settings!$B$16)</f>
        <v>Prof46</v>
      </c>
      <c r="B1334" s="3" cm="1">
        <f t="array" ref="B1334">alea_date(Settings!$B$11,360,Settings!$B$8+alea_int(4,0,Settings!$B$16),Settings!$B$16)</f>
        <v>46318.333333333336</v>
      </c>
      <c r="C1334" s="3" cm="1">
        <f t="array" ref="C1334">B1334+TIME(alea_int(5,1,Settings!$B$16),0,0)</f>
        <v>46318.375</v>
      </c>
      <c r="D1334" s="3" t="str" cm="1">
        <f t="array" ref="D1334">choice(Settings!K:K,1,Settings!$B$16)</f>
        <v/>
      </c>
    </row>
    <row r="1335" spans="1:4" x14ac:dyDescent="0.25">
      <c r="A1335" s="2" t="str" cm="1">
        <f t="array" ref="A1335">choice(Professeurs!A:A,1,Settings!$B$16)</f>
        <v>Prof35</v>
      </c>
      <c r="B1335" s="3" cm="1">
        <f t="array" ref="B1335">alea_date(Settings!$B$11,360,Settings!$B$8+alea_int(4,0,Settings!$B$16),Settings!$B$16)</f>
        <v>46081.458333333336</v>
      </c>
      <c r="C1335" s="3" cm="1">
        <f t="array" ref="C1335">B1335+TIME(alea_int(5,1,Settings!$B$16),0,0)</f>
        <v>46081.541666666672</v>
      </c>
      <c r="D1335" s="3" t="str" cm="1">
        <f t="array" ref="D1335">choice(Settings!K:K,1,Settings!$B$16)</f>
        <v>mercredi pm</v>
      </c>
    </row>
    <row r="1336" spans="1:4" x14ac:dyDescent="0.25">
      <c r="A1336" s="2" t="str" cm="1">
        <f t="array" ref="A1336">choice(Professeurs!A:A,1,Settings!$B$16)</f>
        <v>Prof3</v>
      </c>
      <c r="B1336" s="3" cm="1">
        <f t="array" ref="B1336">alea_date(Settings!$B$11,360,Settings!$B$8+alea_int(4,0,Settings!$B$16),Settings!$B$16)</f>
        <v>46115.458333333336</v>
      </c>
      <c r="C1336" s="3" cm="1">
        <f t="array" ref="C1336">B1336+TIME(alea_int(5,1,Settings!$B$16),0,0)</f>
        <v>46115.5</v>
      </c>
      <c r="D1336" s="3" t="str" cm="1">
        <f t="array" ref="D1336">choice(Settings!K:K,1,Settings!$B$16)</f>
        <v/>
      </c>
    </row>
    <row r="1337" spans="1:4" x14ac:dyDescent="0.25">
      <c r="A1337" s="2" t="str" cm="1">
        <f t="array" ref="A1337">choice(Professeurs!A:A,1,Settings!$B$16)</f>
        <v>Prof52</v>
      </c>
      <c r="B1337" s="3" cm="1">
        <f t="array" ref="B1337">alea_date(Settings!$B$11,360,Settings!$B$8+alea_int(4,0,Settings!$B$16),Settings!$B$16)</f>
        <v>46257.375</v>
      </c>
      <c r="C1337" s="3" cm="1">
        <f t="array" ref="C1337">B1337+TIME(alea_int(5,1,Settings!$B$16),0,0)</f>
        <v>46257.541666666664</v>
      </c>
      <c r="D1337" s="3" t="str" cm="1">
        <f t="array" ref="D1337">choice(Settings!K:K,1,Settings!$B$16)</f>
        <v/>
      </c>
    </row>
    <row r="1338" spans="1:4" x14ac:dyDescent="0.25">
      <c r="A1338" s="2" t="str" cm="1">
        <f t="array" ref="A1338">choice(Professeurs!A:A,1,Settings!$B$16)</f>
        <v>Prof15</v>
      </c>
      <c r="B1338" s="3" cm="1">
        <f t="array" ref="B1338">alea_date(Settings!$B$11,360,Settings!$B$8+alea_int(4,0,Settings!$B$16),Settings!$B$16)</f>
        <v>46190.375</v>
      </c>
      <c r="C1338" s="3" cm="1">
        <f t="array" ref="C1338">B1338+TIME(alea_int(5,1,Settings!$B$16),0,0)</f>
        <v>46190.541666666664</v>
      </c>
      <c r="D1338" s="3" t="str" cm="1">
        <f t="array" ref="D1338">choice(Settings!K:K,1,Settings!$B$16)</f>
        <v/>
      </c>
    </row>
    <row r="1339" spans="1:4" x14ac:dyDescent="0.25">
      <c r="A1339" s="2" t="str" cm="1">
        <f t="array" ref="A1339">choice(Professeurs!A:A,1,Settings!$B$16)</f>
        <v>Prof34</v>
      </c>
      <c r="B1339" s="3" cm="1">
        <f t="array" ref="B1339">alea_date(Settings!$B$11,360,Settings!$B$8+alea_int(4,0,Settings!$B$16),Settings!$B$16)</f>
        <v>46146.416666666664</v>
      </c>
      <c r="C1339" s="3" cm="1">
        <f t="array" ref="C1339">B1339+TIME(alea_int(5,1,Settings!$B$16),0,0)</f>
        <v>46146.458333333328</v>
      </c>
      <c r="D1339" s="3" t="str" cm="1">
        <f t="array" ref="D1339">choice(Settings!K:K,1,Settings!$B$16)</f>
        <v/>
      </c>
    </row>
    <row r="1340" spans="1:4" x14ac:dyDescent="0.25">
      <c r="A1340" s="2" t="str" cm="1">
        <f t="array" ref="A1340">choice(Professeurs!A:A,1,Settings!$B$16)</f>
        <v>Prof51</v>
      </c>
      <c r="B1340" s="3" cm="1">
        <f t="array" ref="B1340">alea_date(Settings!$B$11,360,Settings!$B$8+alea_int(4,0,Settings!$B$16),Settings!$B$16)</f>
        <v>46200.416666666664</v>
      </c>
      <c r="C1340" s="3" cm="1">
        <f t="array" ref="C1340">B1340+TIME(alea_int(5,1,Settings!$B$16),0,0)</f>
        <v>46200.625</v>
      </c>
      <c r="D1340" s="3" t="str" cm="1">
        <f t="array" ref="D1340">choice(Settings!K:K,1,Settings!$B$16)</f>
        <v/>
      </c>
    </row>
    <row r="1341" spans="1:4" x14ac:dyDescent="0.25">
      <c r="A1341" s="2" t="str" cm="1">
        <f t="array" ref="A1341">choice(Professeurs!A:A,1,Settings!$B$16)</f>
        <v>Prof19</v>
      </c>
      <c r="B1341" s="3" cm="1">
        <f t="array" ref="B1341">alea_date(Settings!$B$11,360,Settings!$B$8+alea_int(4,0,Settings!$B$16),Settings!$B$16)</f>
        <v>46046.333333333336</v>
      </c>
      <c r="C1341" s="3" cm="1">
        <f t="array" ref="C1341">B1341+TIME(alea_int(5,1,Settings!$B$16),0,0)</f>
        <v>46046.375</v>
      </c>
      <c r="D1341" s="3" t="str" cm="1">
        <f t="array" ref="D1341">choice(Settings!K:K,1,Settings!$B$16)</f>
        <v/>
      </c>
    </row>
    <row r="1342" spans="1:4" x14ac:dyDescent="0.25">
      <c r="A1342" s="2" t="str" cm="1">
        <f t="array" ref="A1342">choice(Professeurs!A:A,1,Settings!$B$16)</f>
        <v>Prof48</v>
      </c>
      <c r="B1342" s="3" cm="1">
        <f t="array" ref="B1342">alea_date(Settings!$B$11,360,Settings!$B$8+alea_int(4,0,Settings!$B$16),Settings!$B$16)</f>
        <v>46286.333333333336</v>
      </c>
      <c r="C1342" s="3" cm="1">
        <f t="array" ref="C1342">B1342+TIME(alea_int(5,1,Settings!$B$16),0,0)</f>
        <v>46286.5</v>
      </c>
      <c r="D1342" s="3" t="str" cm="1">
        <f t="array" ref="D1342">choice(Settings!K:K,1,Settings!$B$16)</f>
        <v/>
      </c>
    </row>
    <row r="1343" spans="1:4" x14ac:dyDescent="0.25">
      <c r="A1343" s="2" t="str" cm="1">
        <f t="array" ref="A1343">choice(Professeurs!A:A,1,Settings!$B$16)</f>
        <v>Prof35</v>
      </c>
      <c r="B1343" s="3" cm="1">
        <f t="array" ref="B1343">alea_date(Settings!$B$11,360,Settings!$B$8+alea_int(4,0,Settings!$B$16),Settings!$B$16)</f>
        <v>46140.416666666664</v>
      </c>
      <c r="C1343" s="3" cm="1">
        <f t="array" ref="C1343">B1343+TIME(alea_int(5,1,Settings!$B$16),0,0)</f>
        <v>46140.458333333328</v>
      </c>
      <c r="D1343" s="3" t="str" cm="1">
        <f t="array" ref="D1343">choice(Settings!K:K,1,Settings!$B$16)</f>
        <v/>
      </c>
    </row>
    <row r="1344" spans="1:4" x14ac:dyDescent="0.25">
      <c r="A1344" s="2" t="str" cm="1">
        <f t="array" ref="A1344">choice(Professeurs!A:A,1,Settings!$B$16)</f>
        <v>Prof27</v>
      </c>
      <c r="B1344" s="3" cm="1">
        <f t="array" ref="B1344">alea_date(Settings!$B$11,360,Settings!$B$8+alea_int(4,0,Settings!$B$16),Settings!$B$16)</f>
        <v>46044.375</v>
      </c>
      <c r="C1344" s="3" cm="1">
        <f t="array" ref="C1344">B1344+TIME(alea_int(5,1,Settings!$B$16),0,0)</f>
        <v>46044.5</v>
      </c>
      <c r="D1344" s="3" t="str" cm="1">
        <f t="array" ref="D1344">choice(Settings!K:K,1,Settings!$B$16)</f>
        <v/>
      </c>
    </row>
    <row r="1345" spans="1:4" x14ac:dyDescent="0.25">
      <c r="A1345" s="2" t="str" cm="1">
        <f t="array" ref="A1345">choice(Professeurs!A:A,1,Settings!$B$16)</f>
        <v>Prof7</v>
      </c>
      <c r="B1345" s="3" cm="1">
        <f t="array" ref="B1345">alea_date(Settings!$B$11,360,Settings!$B$8+alea_int(4,0,Settings!$B$16),Settings!$B$16)</f>
        <v>46108.416666666664</v>
      </c>
      <c r="C1345" s="3" cm="1">
        <f t="array" ref="C1345">B1345+TIME(alea_int(5,1,Settings!$B$16),0,0)</f>
        <v>46108.625</v>
      </c>
      <c r="D1345" s="3" t="str" cm="1">
        <f t="array" ref="D1345">choice(Settings!K:K,1,Settings!$B$16)</f>
        <v/>
      </c>
    </row>
    <row r="1346" spans="1:4" x14ac:dyDescent="0.25">
      <c r="A1346" s="2" t="str" cm="1">
        <f t="array" ref="A1346">choice(Professeurs!A:A,1,Settings!$B$16)</f>
        <v>Prof16</v>
      </c>
      <c r="B1346" s="3" cm="1">
        <f t="array" ref="B1346">alea_date(Settings!$B$11,360,Settings!$B$8+alea_int(4,0,Settings!$B$16),Settings!$B$16)</f>
        <v>46114.416666666664</v>
      </c>
      <c r="C1346" s="3" cm="1">
        <f t="array" ref="C1346">B1346+TIME(alea_int(5,1,Settings!$B$16),0,0)</f>
        <v>46114.458333333328</v>
      </c>
      <c r="D1346" s="3" t="str" cm="1">
        <f t="array" ref="D1346">choice(Settings!K:K,1,Settings!$B$16)</f>
        <v/>
      </c>
    </row>
    <row r="1347" spans="1:4" x14ac:dyDescent="0.25">
      <c r="A1347" s="2" t="str" cm="1">
        <f t="array" ref="A1347">choice(Professeurs!A:A,1,Settings!$B$16)</f>
        <v>Prof14</v>
      </c>
      <c r="B1347" s="3" cm="1">
        <f t="array" ref="B1347">alea_date(Settings!$B$11,360,Settings!$B$8+alea_int(4,0,Settings!$B$16),Settings!$B$16)</f>
        <v>46032.458333333336</v>
      </c>
      <c r="C1347" s="3" cm="1">
        <f t="array" ref="C1347">B1347+TIME(alea_int(5,1,Settings!$B$16),0,0)</f>
        <v>46032.5</v>
      </c>
      <c r="D1347" s="3" t="str" cm="1">
        <f t="array" ref="D1347">choice(Settings!K:K,1,Settings!$B$16)</f>
        <v/>
      </c>
    </row>
    <row r="1348" spans="1:4" x14ac:dyDescent="0.25">
      <c r="A1348" s="2" t="str" cm="1">
        <f t="array" ref="A1348">choice(Professeurs!A:A,1,Settings!$B$16)</f>
        <v>Prof8</v>
      </c>
      <c r="B1348" s="3" cm="1">
        <f t="array" ref="B1348">alea_date(Settings!$B$11,360,Settings!$B$8+alea_int(4,0,Settings!$B$16),Settings!$B$16)</f>
        <v>46099.416666666664</v>
      </c>
      <c r="C1348" s="3" cm="1">
        <f t="array" ref="C1348">B1348+TIME(alea_int(5,1,Settings!$B$16),0,0)</f>
        <v>46099.583333333328</v>
      </c>
      <c r="D1348" s="3" t="str" cm="1">
        <f t="array" ref="D1348">choice(Settings!K:K,1,Settings!$B$16)</f>
        <v/>
      </c>
    </row>
    <row r="1349" spans="1:4" x14ac:dyDescent="0.25">
      <c r="A1349" s="2" t="str" cm="1">
        <f t="array" ref="A1349">choice(Professeurs!A:A,1,Settings!$B$16)</f>
        <v>Prof55</v>
      </c>
      <c r="B1349" s="3" cm="1">
        <f t="array" ref="B1349">alea_date(Settings!$B$11,360,Settings!$B$8+alea_int(4,0,Settings!$B$16),Settings!$B$16)</f>
        <v>46106.458333333336</v>
      </c>
      <c r="C1349" s="3" cm="1">
        <f t="array" ref="C1349">B1349+TIME(alea_int(5,1,Settings!$B$16),0,0)</f>
        <v>46106.541666666672</v>
      </c>
      <c r="D1349" s="3" t="str" cm="1">
        <f t="array" ref="D1349">choice(Settings!K:K,1,Settings!$B$16)</f>
        <v/>
      </c>
    </row>
    <row r="1350" spans="1:4" x14ac:dyDescent="0.25">
      <c r="A1350" s="2" t="str" cm="1">
        <f t="array" ref="A1350">choice(Professeurs!A:A,1,Settings!$B$16)</f>
        <v>Prof8</v>
      </c>
      <c r="B1350" s="3" cm="1">
        <f t="array" ref="B1350">alea_date(Settings!$B$11,360,Settings!$B$8+alea_int(4,0,Settings!$B$16),Settings!$B$16)</f>
        <v>46066.333333333336</v>
      </c>
      <c r="C1350" s="3" cm="1">
        <f t="array" ref="C1350">B1350+TIME(alea_int(5,1,Settings!$B$16),0,0)</f>
        <v>46066.5</v>
      </c>
      <c r="D1350" s="3" t="str" cm="1">
        <f t="array" ref="D1350">choice(Settings!K:K,1,Settings!$B$16)</f>
        <v/>
      </c>
    </row>
    <row r="1351" spans="1:4" x14ac:dyDescent="0.25">
      <c r="A1351" s="2" t="str" cm="1">
        <f t="array" ref="A1351">choice(Professeurs!A:A,1,Settings!$B$16)</f>
        <v>Prof55</v>
      </c>
      <c r="B1351" s="3" cm="1">
        <f t="array" ref="B1351">alea_date(Settings!$B$11,360,Settings!$B$8+alea_int(4,0,Settings!$B$16),Settings!$B$16)</f>
        <v>46188.333333333336</v>
      </c>
      <c r="C1351" s="3" cm="1">
        <f t="array" ref="C1351">B1351+TIME(alea_int(5,1,Settings!$B$16),0,0)</f>
        <v>46188.5</v>
      </c>
      <c r="D1351" s="3" t="str" cm="1">
        <f t="array" ref="D1351">choice(Settings!K:K,1,Settings!$B$16)</f>
        <v/>
      </c>
    </row>
    <row r="1352" spans="1:4" x14ac:dyDescent="0.25">
      <c r="A1352" s="2" t="str" cm="1">
        <f t="array" ref="A1352">choice(Professeurs!A:A,1,Settings!$B$16)</f>
        <v>Prof19</v>
      </c>
      <c r="B1352" s="3" cm="1">
        <f t="array" ref="B1352">alea_date(Settings!$B$11,360,Settings!$B$8+alea_int(4,0,Settings!$B$16),Settings!$B$16)</f>
        <v>46229.416666666664</v>
      </c>
      <c r="C1352" s="3" cm="1">
        <f t="array" ref="C1352">B1352+TIME(alea_int(5,1,Settings!$B$16),0,0)</f>
        <v>46229.5</v>
      </c>
      <c r="D1352" s="3" t="str" cm="1">
        <f t="array" ref="D1352">choice(Settings!K:K,1,Settings!$B$16)</f>
        <v/>
      </c>
    </row>
    <row r="1353" spans="1:4" x14ac:dyDescent="0.25">
      <c r="A1353" s="2" t="str" cm="1">
        <f t="array" ref="A1353">choice(Professeurs!A:A,1,Settings!$B$16)</f>
        <v>Prof50</v>
      </c>
      <c r="B1353" s="3" cm="1">
        <f t="array" ref="B1353">alea_date(Settings!$B$11,360,Settings!$B$8+alea_int(4,0,Settings!$B$16),Settings!$B$16)</f>
        <v>46333.375</v>
      </c>
      <c r="C1353" s="3" cm="1">
        <f t="array" ref="C1353">B1353+TIME(alea_int(5,1,Settings!$B$16),0,0)</f>
        <v>46333.458333333336</v>
      </c>
      <c r="D1353" s="3" t="str" cm="1">
        <f t="array" ref="D1353">choice(Settings!K:K,1,Settings!$B$16)</f>
        <v>jeudi am</v>
      </c>
    </row>
    <row r="1354" spans="1:4" x14ac:dyDescent="0.25">
      <c r="A1354" s="2" t="str" cm="1">
        <f t="array" ref="A1354">choice(Professeurs!A:A,1,Settings!$B$16)</f>
        <v>Prof19</v>
      </c>
      <c r="B1354" s="3" cm="1">
        <f t="array" ref="B1354">alea_date(Settings!$B$11,360,Settings!$B$8+alea_int(4,0,Settings!$B$16),Settings!$B$16)</f>
        <v>46340.416666666664</v>
      </c>
      <c r="C1354" s="3" cm="1">
        <f t="array" ref="C1354">B1354+TIME(alea_int(5,1,Settings!$B$16),0,0)</f>
        <v>46340.583333333328</v>
      </c>
      <c r="D1354" s="3" t="str" cm="1">
        <f t="array" ref="D1354">choice(Settings!K:K,1,Settings!$B$16)</f>
        <v/>
      </c>
    </row>
    <row r="1355" spans="1:4" x14ac:dyDescent="0.25">
      <c r="A1355" s="2" t="str" cm="1">
        <f t="array" ref="A1355">choice(Professeurs!A:A,1,Settings!$B$16)</f>
        <v>Prof15</v>
      </c>
      <c r="B1355" s="3" cm="1">
        <f t="array" ref="B1355">alea_date(Settings!$B$11,360,Settings!$B$8+alea_int(4,0,Settings!$B$16),Settings!$B$16)</f>
        <v>46146.375</v>
      </c>
      <c r="C1355" s="3" cm="1">
        <f t="array" ref="C1355">B1355+TIME(alea_int(5,1,Settings!$B$16),0,0)</f>
        <v>46146.5</v>
      </c>
      <c r="D1355" s="3" t="str" cm="1">
        <f t="array" ref="D1355">choice(Settings!K:K,1,Settings!$B$16)</f>
        <v/>
      </c>
    </row>
    <row r="1356" spans="1:4" x14ac:dyDescent="0.25">
      <c r="A1356" s="2" t="str" cm="1">
        <f t="array" ref="A1356">choice(Professeurs!A:A,1,Settings!$B$16)</f>
        <v>Prof1</v>
      </c>
      <c r="B1356" s="3" cm="1">
        <f t="array" ref="B1356">alea_date(Settings!$B$11,360,Settings!$B$8+alea_int(4,0,Settings!$B$16),Settings!$B$16)</f>
        <v>46347.458333333336</v>
      </c>
      <c r="C1356" s="3" cm="1">
        <f t="array" ref="C1356">B1356+TIME(alea_int(5,1,Settings!$B$16),0,0)</f>
        <v>46347.541666666672</v>
      </c>
      <c r="D1356" s="3" t="str" cm="1">
        <f t="array" ref="D1356">choice(Settings!K:K,1,Settings!$B$16)</f>
        <v/>
      </c>
    </row>
    <row r="1357" spans="1:4" x14ac:dyDescent="0.25">
      <c r="A1357" s="2" t="str" cm="1">
        <f t="array" ref="A1357">choice(Professeurs!A:A,1,Settings!$B$16)</f>
        <v>Prof29</v>
      </c>
      <c r="B1357" s="3" cm="1">
        <f t="array" ref="B1357">alea_date(Settings!$B$11,360,Settings!$B$8+alea_int(4,0,Settings!$B$16),Settings!$B$16)</f>
        <v>46289.333333333336</v>
      </c>
      <c r="C1357" s="3" cm="1">
        <f t="array" ref="C1357">B1357+TIME(alea_int(5,1,Settings!$B$16),0,0)</f>
        <v>46289.5</v>
      </c>
      <c r="D1357" s="3" t="str" cm="1">
        <f t="array" ref="D1357">choice(Settings!K:K,1,Settings!$B$16)</f>
        <v/>
      </c>
    </row>
    <row r="1358" spans="1:4" x14ac:dyDescent="0.25">
      <c r="A1358" s="2" t="str" cm="1">
        <f t="array" ref="A1358">choice(Professeurs!A:A,1,Settings!$B$16)</f>
        <v>Prof31</v>
      </c>
      <c r="B1358" s="3" cm="1">
        <f t="array" ref="B1358">alea_date(Settings!$B$11,360,Settings!$B$8+alea_int(4,0,Settings!$B$16),Settings!$B$16)</f>
        <v>46224.416666666664</v>
      </c>
      <c r="C1358" s="3" cm="1">
        <f t="array" ref="C1358">B1358+TIME(alea_int(5,1,Settings!$B$16),0,0)</f>
        <v>46224.583333333328</v>
      </c>
      <c r="D1358" s="3" t="str" cm="1">
        <f t="array" ref="D1358">choice(Settings!K:K,1,Settings!$B$16)</f>
        <v>jeudi pm</v>
      </c>
    </row>
    <row r="1359" spans="1:4" x14ac:dyDescent="0.25">
      <c r="A1359" s="2" t="str" cm="1">
        <f t="array" ref="A1359">choice(Professeurs!A:A,1,Settings!$B$16)</f>
        <v>Prof16</v>
      </c>
      <c r="B1359" s="3" cm="1">
        <f t="array" ref="B1359">alea_date(Settings!$B$11,360,Settings!$B$8+alea_int(4,0,Settings!$B$16),Settings!$B$16)</f>
        <v>46186.416666666664</v>
      </c>
      <c r="C1359" s="3" cm="1">
        <f t="array" ref="C1359">B1359+TIME(alea_int(5,1,Settings!$B$16),0,0)</f>
        <v>46186.583333333328</v>
      </c>
      <c r="D1359" s="3" t="str" cm="1">
        <f t="array" ref="D1359">choice(Settings!K:K,1,Settings!$B$16)</f>
        <v>mercredi ap</v>
      </c>
    </row>
    <row r="1360" spans="1:4" x14ac:dyDescent="0.25">
      <c r="A1360" s="2" t="str" cm="1">
        <f t="array" ref="A1360">choice(Professeurs!A:A,1,Settings!$B$16)</f>
        <v>Prof41</v>
      </c>
      <c r="B1360" s="3" cm="1">
        <f t="array" ref="B1360">alea_date(Settings!$B$11,360,Settings!$B$8+alea_int(4,0,Settings!$B$16),Settings!$B$16)</f>
        <v>46081.375</v>
      </c>
      <c r="C1360" s="3" cm="1">
        <f t="array" ref="C1360">B1360+TIME(alea_int(5,1,Settings!$B$16),0,0)</f>
        <v>46081.458333333336</v>
      </c>
      <c r="D1360" s="3" t="str" cm="1">
        <f t="array" ref="D1360">choice(Settings!K:K,1,Settings!$B$16)</f>
        <v/>
      </c>
    </row>
    <row r="1361" spans="1:4" x14ac:dyDescent="0.25">
      <c r="A1361" s="2" t="str" cm="1">
        <f t="array" ref="A1361">choice(Professeurs!A:A,1,Settings!$B$16)</f>
        <v>Prof46</v>
      </c>
      <c r="B1361" s="3" cm="1">
        <f t="array" ref="B1361">alea_date(Settings!$B$11,360,Settings!$B$8+alea_int(4,0,Settings!$B$16),Settings!$B$16)</f>
        <v>46105.458333333336</v>
      </c>
      <c r="C1361" s="3" cm="1">
        <f t="array" ref="C1361">B1361+TIME(alea_int(5,1,Settings!$B$16),0,0)</f>
        <v>46105.541666666672</v>
      </c>
      <c r="D1361" s="3" t="str" cm="1">
        <f t="array" ref="D1361">choice(Settings!K:K,1,Settings!$B$16)</f>
        <v/>
      </c>
    </row>
    <row r="1362" spans="1:4" x14ac:dyDescent="0.25">
      <c r="A1362" s="2" t="str" cm="1">
        <f t="array" ref="A1362">choice(Professeurs!A:A,1,Settings!$B$16)</f>
        <v>Prof11</v>
      </c>
      <c r="B1362" s="3" cm="1">
        <f t="array" ref="B1362">alea_date(Settings!$B$11,360,Settings!$B$8+alea_int(4,0,Settings!$B$16),Settings!$B$16)</f>
        <v>46365.458333333336</v>
      </c>
      <c r="C1362" s="3" cm="1">
        <f t="array" ref="C1362">B1362+TIME(alea_int(5,1,Settings!$B$16),0,0)</f>
        <v>46365.625</v>
      </c>
      <c r="D1362" s="3" t="str" cm="1">
        <f t="array" ref="D1362">choice(Settings!K:K,1,Settings!$B$16)</f>
        <v/>
      </c>
    </row>
    <row r="1363" spans="1:4" x14ac:dyDescent="0.25">
      <c r="A1363" s="2" t="str" cm="1">
        <f t="array" ref="A1363">choice(Professeurs!A:A,1,Settings!$B$16)</f>
        <v>Prof29</v>
      </c>
      <c r="B1363" s="3" cm="1">
        <f t="array" ref="B1363">alea_date(Settings!$B$11,360,Settings!$B$8+alea_int(4,0,Settings!$B$16),Settings!$B$16)</f>
        <v>46042.333333333336</v>
      </c>
      <c r="C1363" s="3" cm="1">
        <f t="array" ref="C1363">B1363+TIME(alea_int(5,1,Settings!$B$16),0,0)</f>
        <v>46042.5</v>
      </c>
      <c r="D1363" s="3" t="str" cm="1">
        <f t="array" ref="D1363">choice(Settings!K:K,1,Settings!$B$16)</f>
        <v>lundi pm</v>
      </c>
    </row>
    <row r="1364" spans="1:4" x14ac:dyDescent="0.25">
      <c r="A1364" s="2" t="str" cm="1">
        <f t="array" ref="A1364">choice(Professeurs!A:A,1,Settings!$B$16)</f>
        <v>Prof30</v>
      </c>
      <c r="B1364" s="3" cm="1">
        <f t="array" ref="B1364">alea_date(Settings!$B$11,360,Settings!$B$8+alea_int(4,0,Settings!$B$16),Settings!$B$16)</f>
        <v>46308.375</v>
      </c>
      <c r="C1364" s="3" cm="1">
        <f t="array" ref="C1364">B1364+TIME(alea_int(5,1,Settings!$B$16),0,0)</f>
        <v>46308.5</v>
      </c>
      <c r="D1364" s="3" t="str" cm="1">
        <f t="array" ref="D1364">choice(Settings!K:K,1,Settings!$B$16)</f>
        <v/>
      </c>
    </row>
    <row r="1365" spans="1:4" x14ac:dyDescent="0.25">
      <c r="A1365" s="2" t="str" cm="1">
        <f t="array" ref="A1365">choice(Professeurs!A:A,1,Settings!$B$16)</f>
        <v>Prof28</v>
      </c>
      <c r="B1365" s="3" cm="1">
        <f t="array" ref="B1365">alea_date(Settings!$B$11,360,Settings!$B$8+alea_int(4,0,Settings!$B$16),Settings!$B$16)</f>
        <v>46379.375</v>
      </c>
      <c r="C1365" s="3" cm="1">
        <f t="array" ref="C1365">B1365+TIME(alea_int(5,1,Settings!$B$16),0,0)</f>
        <v>46379.583333333336</v>
      </c>
      <c r="D1365" s="3" t="str" cm="1">
        <f t="array" ref="D1365">choice(Settings!K:K,1,Settings!$B$16)</f>
        <v>lundi am</v>
      </c>
    </row>
    <row r="1366" spans="1:4" x14ac:dyDescent="0.25">
      <c r="A1366" s="2" t="str" cm="1">
        <f t="array" ref="A1366">choice(Professeurs!A:A,1,Settings!$B$16)</f>
        <v>Prof51</v>
      </c>
      <c r="B1366" s="3" cm="1">
        <f t="array" ref="B1366">alea_date(Settings!$B$11,360,Settings!$B$8+alea_int(4,0,Settings!$B$16),Settings!$B$16)</f>
        <v>46098.375</v>
      </c>
      <c r="C1366" s="3" cm="1">
        <f t="array" ref="C1366">B1366+TIME(alea_int(5,1,Settings!$B$16),0,0)</f>
        <v>46098.416666666664</v>
      </c>
      <c r="D1366" s="3" t="str" cm="1">
        <f t="array" ref="D1366">choice(Settings!K:K,1,Settings!$B$16)</f>
        <v>mardi pm</v>
      </c>
    </row>
    <row r="1367" spans="1:4" x14ac:dyDescent="0.25">
      <c r="A1367" s="2" t="str" cm="1">
        <f t="array" ref="A1367">choice(Professeurs!A:A,1,Settings!$B$16)</f>
        <v>Prof4</v>
      </c>
      <c r="B1367" s="3" cm="1">
        <f t="array" ref="B1367">alea_date(Settings!$B$11,360,Settings!$B$8+alea_int(4,0,Settings!$B$16),Settings!$B$16)</f>
        <v>46141.458333333336</v>
      </c>
      <c r="C1367" s="3" cm="1">
        <f t="array" ref="C1367">B1367+TIME(alea_int(5,1,Settings!$B$16),0,0)</f>
        <v>46141.5</v>
      </c>
      <c r="D1367" s="3" t="str" cm="1">
        <f t="array" ref="D1367">choice(Settings!K:K,1,Settings!$B$16)</f>
        <v/>
      </c>
    </row>
    <row r="1368" spans="1:4" x14ac:dyDescent="0.25">
      <c r="A1368" s="2" t="str" cm="1">
        <f t="array" ref="A1368">choice(Professeurs!A:A,1,Settings!$B$16)</f>
        <v>Prof21</v>
      </c>
      <c r="B1368" s="3" cm="1">
        <f t="array" ref="B1368">alea_date(Settings!$B$11,360,Settings!$B$8+alea_int(4,0,Settings!$B$16),Settings!$B$16)</f>
        <v>46362.333333333336</v>
      </c>
      <c r="C1368" s="3" cm="1">
        <f t="array" ref="C1368">B1368+TIME(alea_int(5,1,Settings!$B$16),0,0)</f>
        <v>46362.541666666672</v>
      </c>
      <c r="D1368" s="3" t="str" cm="1">
        <f t="array" ref="D1368">choice(Settings!K:K,1,Settings!$B$16)</f>
        <v/>
      </c>
    </row>
    <row r="1369" spans="1:4" x14ac:dyDescent="0.25">
      <c r="A1369" s="2" t="str" cm="1">
        <f t="array" ref="A1369">choice(Professeurs!A:A,1,Settings!$B$16)</f>
        <v>Prof55</v>
      </c>
      <c r="B1369" s="3" cm="1">
        <f t="array" ref="B1369">alea_date(Settings!$B$11,360,Settings!$B$8+alea_int(4,0,Settings!$B$16),Settings!$B$16)</f>
        <v>46109.375</v>
      </c>
      <c r="C1369" s="3" cm="1">
        <f t="array" ref="C1369">B1369+TIME(alea_int(5,1,Settings!$B$16),0,0)</f>
        <v>46109.541666666664</v>
      </c>
      <c r="D1369" s="3" t="str" cm="1">
        <f t="array" ref="D1369">choice(Settings!K:K,1,Settings!$B$16)</f>
        <v>jeudi am</v>
      </c>
    </row>
    <row r="1370" spans="1:4" x14ac:dyDescent="0.25">
      <c r="A1370" s="2" t="str" cm="1">
        <f t="array" ref="A1370">choice(Professeurs!A:A,1,Settings!$B$16)</f>
        <v>Prof11</v>
      </c>
      <c r="B1370" s="3" cm="1">
        <f t="array" ref="B1370">alea_date(Settings!$B$11,360,Settings!$B$8+alea_int(4,0,Settings!$B$16),Settings!$B$16)</f>
        <v>46063.333333333336</v>
      </c>
      <c r="C1370" s="3" cm="1">
        <f t="array" ref="C1370">B1370+TIME(alea_int(5,1,Settings!$B$16),0,0)</f>
        <v>46063.541666666672</v>
      </c>
      <c r="D1370" s="3" t="str" cm="1">
        <f t="array" ref="D1370">choice(Settings!K:K,1,Settings!$B$16)</f>
        <v/>
      </c>
    </row>
    <row r="1371" spans="1:4" x14ac:dyDescent="0.25">
      <c r="A1371" s="2" t="str" cm="1">
        <f t="array" ref="A1371">choice(Professeurs!A:A,1,Settings!$B$16)</f>
        <v>Prof33</v>
      </c>
      <c r="B1371" s="3" cm="1">
        <f t="array" ref="B1371">alea_date(Settings!$B$11,360,Settings!$B$8+alea_int(4,0,Settings!$B$16),Settings!$B$16)</f>
        <v>46080.416666666664</v>
      </c>
      <c r="C1371" s="3" cm="1">
        <f t="array" ref="C1371">B1371+TIME(alea_int(5,1,Settings!$B$16),0,0)</f>
        <v>46080.541666666664</v>
      </c>
      <c r="D1371" s="3" t="str" cm="1">
        <f t="array" ref="D1371">choice(Settings!K:K,1,Settings!$B$16)</f>
        <v/>
      </c>
    </row>
    <row r="1372" spans="1:4" x14ac:dyDescent="0.25">
      <c r="A1372" s="2" t="str" cm="1">
        <f t="array" ref="A1372">choice(Professeurs!A:A,1,Settings!$B$16)</f>
        <v>Prof7</v>
      </c>
      <c r="B1372" s="3" cm="1">
        <f t="array" ref="B1372">alea_date(Settings!$B$11,360,Settings!$B$8+alea_int(4,0,Settings!$B$16),Settings!$B$16)</f>
        <v>46143.333333333336</v>
      </c>
      <c r="C1372" s="3" cm="1">
        <f t="array" ref="C1372">B1372+TIME(alea_int(5,1,Settings!$B$16),0,0)</f>
        <v>46143.416666666672</v>
      </c>
      <c r="D1372" s="3" t="str" cm="1">
        <f t="array" ref="D1372">choice(Settings!K:K,1,Settings!$B$16)</f>
        <v>vendredi pm</v>
      </c>
    </row>
    <row r="1373" spans="1:4" x14ac:dyDescent="0.25">
      <c r="A1373" s="2" t="str" cm="1">
        <f t="array" ref="A1373">choice(Professeurs!A:A,1,Settings!$B$16)</f>
        <v>Prof25</v>
      </c>
      <c r="B1373" s="3" cm="1">
        <f t="array" ref="B1373">alea_date(Settings!$B$11,360,Settings!$B$8+alea_int(4,0,Settings!$B$16),Settings!$B$16)</f>
        <v>46312.458333333336</v>
      </c>
      <c r="C1373" s="3" cm="1">
        <f t="array" ref="C1373">B1373+TIME(alea_int(5,1,Settings!$B$16),0,0)</f>
        <v>46312.5</v>
      </c>
      <c r="D1373" s="3" t="str" cm="1">
        <f t="array" ref="D1373">choice(Settings!K:K,1,Settings!$B$16)</f>
        <v/>
      </c>
    </row>
    <row r="1374" spans="1:4" x14ac:dyDescent="0.25">
      <c r="A1374" s="2" t="str" cm="1">
        <f t="array" ref="A1374">choice(Professeurs!A:A,1,Settings!$B$16)</f>
        <v>Prof42</v>
      </c>
      <c r="B1374" s="3" cm="1">
        <f t="array" ref="B1374">alea_date(Settings!$B$11,360,Settings!$B$8+alea_int(4,0,Settings!$B$16),Settings!$B$16)</f>
        <v>46270.375</v>
      </c>
      <c r="C1374" s="3" cm="1">
        <f t="array" ref="C1374">B1374+TIME(alea_int(5,1,Settings!$B$16),0,0)</f>
        <v>46270.458333333336</v>
      </c>
      <c r="D1374" s="3" t="str" cm="1">
        <f t="array" ref="D1374">choice(Settings!K:K,1,Settings!$B$16)</f>
        <v/>
      </c>
    </row>
    <row r="1375" spans="1:4" x14ac:dyDescent="0.25">
      <c r="A1375" s="2" t="str" cm="1">
        <f t="array" ref="A1375">choice(Professeurs!A:A,1,Settings!$B$16)</f>
        <v>Prof27</v>
      </c>
      <c r="B1375" s="3" cm="1">
        <f t="array" ref="B1375">alea_date(Settings!$B$11,360,Settings!$B$8+alea_int(4,0,Settings!$B$16),Settings!$B$16)</f>
        <v>46328.416666666664</v>
      </c>
      <c r="C1375" s="3" cm="1">
        <f t="array" ref="C1375">B1375+TIME(alea_int(5,1,Settings!$B$16),0,0)</f>
        <v>46328.583333333328</v>
      </c>
      <c r="D1375" s="3" t="str" cm="1">
        <f t="array" ref="D1375">choice(Settings!K:K,1,Settings!$B$16)</f>
        <v/>
      </c>
    </row>
    <row r="1376" spans="1:4" x14ac:dyDescent="0.25">
      <c r="A1376" s="2" t="str" cm="1">
        <f t="array" ref="A1376">choice(Professeurs!A:A,1,Settings!$B$16)</f>
        <v>Prof1</v>
      </c>
      <c r="B1376" s="3" cm="1">
        <f t="array" ref="B1376">alea_date(Settings!$B$11,360,Settings!$B$8+alea_int(4,0,Settings!$B$16),Settings!$B$16)</f>
        <v>46181.458333333336</v>
      </c>
      <c r="C1376" s="3" cm="1">
        <f t="array" ref="C1376">B1376+TIME(alea_int(5,1,Settings!$B$16),0,0)</f>
        <v>46181.541666666672</v>
      </c>
      <c r="D1376" s="3" t="str" cm="1">
        <f t="array" ref="D1376">choice(Settings!K:K,1,Settings!$B$16)</f>
        <v/>
      </c>
    </row>
    <row r="1377" spans="1:4" x14ac:dyDescent="0.25">
      <c r="A1377" s="2" t="str" cm="1">
        <f t="array" ref="A1377">choice(Professeurs!A:A,1,Settings!$B$16)</f>
        <v>Prof47</v>
      </c>
      <c r="B1377" s="3" cm="1">
        <f t="array" ref="B1377">alea_date(Settings!$B$11,360,Settings!$B$8+alea_int(4,0,Settings!$B$16),Settings!$B$16)</f>
        <v>46053.333333333336</v>
      </c>
      <c r="C1377" s="3" cm="1">
        <f t="array" ref="C1377">B1377+TIME(alea_int(5,1,Settings!$B$16),0,0)</f>
        <v>46053.541666666672</v>
      </c>
      <c r="D1377" s="3" t="str" cm="1">
        <f t="array" ref="D1377">choice(Settings!K:K,1,Settings!$B$16)</f>
        <v/>
      </c>
    </row>
    <row r="1378" spans="1:4" x14ac:dyDescent="0.25">
      <c r="A1378" s="2" t="str" cm="1">
        <f t="array" ref="A1378">choice(Professeurs!A:A,1,Settings!$B$16)</f>
        <v>Prof40</v>
      </c>
      <c r="B1378" s="3" cm="1">
        <f t="array" ref="B1378">alea_date(Settings!$B$11,360,Settings!$B$8+alea_int(4,0,Settings!$B$16),Settings!$B$16)</f>
        <v>46151.333333333336</v>
      </c>
      <c r="C1378" s="3" cm="1">
        <f t="array" ref="C1378">B1378+TIME(alea_int(5,1,Settings!$B$16),0,0)</f>
        <v>46151.375</v>
      </c>
      <c r="D1378" s="3" t="str" cm="1">
        <f t="array" ref="D1378">choice(Settings!K:K,1,Settings!$B$16)</f>
        <v>vendredi pm</v>
      </c>
    </row>
    <row r="1379" spans="1:4" x14ac:dyDescent="0.25">
      <c r="A1379" s="2" t="str" cm="1">
        <f t="array" ref="A1379">choice(Professeurs!A:A,1,Settings!$B$16)</f>
        <v>Prof1</v>
      </c>
      <c r="B1379" s="3" cm="1">
        <f t="array" ref="B1379">alea_date(Settings!$B$11,360,Settings!$B$8+alea_int(4,0,Settings!$B$16),Settings!$B$16)</f>
        <v>46188.458333333336</v>
      </c>
      <c r="C1379" s="3" cm="1">
        <f t="array" ref="C1379">B1379+TIME(alea_int(5,1,Settings!$B$16),0,0)</f>
        <v>46188.666666666672</v>
      </c>
      <c r="D1379" s="3" t="str" cm="1">
        <f t="array" ref="D1379">choice(Settings!K:K,1,Settings!$B$16)</f>
        <v>semaine</v>
      </c>
    </row>
    <row r="1380" spans="1:4" x14ac:dyDescent="0.25">
      <c r="A1380" s="2" t="str" cm="1">
        <f t="array" ref="A1380">choice(Professeurs!A:A,1,Settings!$B$16)</f>
        <v>Prof44</v>
      </c>
      <c r="B1380" s="3" cm="1">
        <f t="array" ref="B1380">alea_date(Settings!$B$11,360,Settings!$B$8+alea_int(4,0,Settings!$B$16),Settings!$B$16)</f>
        <v>46069.333333333336</v>
      </c>
      <c r="C1380" s="3" cm="1">
        <f t="array" ref="C1380">B1380+TIME(alea_int(5,1,Settings!$B$16),0,0)</f>
        <v>46069.541666666672</v>
      </c>
      <c r="D1380" s="3" t="str" cm="1">
        <f t="array" ref="D1380">choice(Settings!K:K,1,Settings!$B$16)</f>
        <v/>
      </c>
    </row>
    <row r="1381" spans="1:4" x14ac:dyDescent="0.25">
      <c r="A1381" s="2" t="str" cm="1">
        <f t="array" ref="A1381">choice(Professeurs!A:A,1,Settings!$B$16)</f>
        <v>Prof28</v>
      </c>
      <c r="B1381" s="3" cm="1">
        <f t="array" ref="B1381">alea_date(Settings!$B$11,360,Settings!$B$8+alea_int(4,0,Settings!$B$16),Settings!$B$16)</f>
        <v>46361.416666666664</v>
      </c>
      <c r="C1381" s="3" cm="1">
        <f t="array" ref="C1381">B1381+TIME(alea_int(5,1,Settings!$B$16),0,0)</f>
        <v>46361.541666666664</v>
      </c>
      <c r="D1381" s="3" t="str" cm="1">
        <f t="array" ref="D1381">choice(Settings!K:K,1,Settings!$B$16)</f>
        <v>mercredi ap</v>
      </c>
    </row>
    <row r="1382" spans="1:4" x14ac:dyDescent="0.25">
      <c r="A1382" s="2" t="str" cm="1">
        <f t="array" ref="A1382">choice(Professeurs!A:A,1,Settings!$B$16)</f>
        <v>Prof37</v>
      </c>
      <c r="B1382" s="3" cm="1">
        <f t="array" ref="B1382">alea_date(Settings!$B$11,360,Settings!$B$8+alea_int(4,0,Settings!$B$16),Settings!$B$16)</f>
        <v>46212.375</v>
      </c>
      <c r="C1382" s="3" cm="1">
        <f t="array" ref="C1382">B1382+TIME(alea_int(5,1,Settings!$B$16),0,0)</f>
        <v>46212.458333333336</v>
      </c>
      <c r="D1382" s="3" t="str" cm="1">
        <f t="array" ref="D1382">choice(Settings!K:K,1,Settings!$B$16)</f>
        <v>mardi am</v>
      </c>
    </row>
    <row r="1383" spans="1:4" x14ac:dyDescent="0.25">
      <c r="A1383" s="2" t="str" cm="1">
        <f t="array" ref="A1383">choice(Professeurs!A:A,1,Settings!$B$16)</f>
        <v>Prof43</v>
      </c>
      <c r="B1383" s="3" cm="1">
        <f t="array" ref="B1383">alea_date(Settings!$B$11,360,Settings!$B$8+alea_int(4,0,Settings!$B$16),Settings!$B$16)</f>
        <v>46147.333333333336</v>
      </c>
      <c r="C1383" s="3" cm="1">
        <f t="array" ref="C1383">B1383+TIME(alea_int(5,1,Settings!$B$16),0,0)</f>
        <v>46147.375</v>
      </c>
      <c r="D1383" s="3" t="str" cm="1">
        <f t="array" ref="D1383">choice(Settings!K:K,1,Settings!$B$16)</f>
        <v>mercredi ap</v>
      </c>
    </row>
    <row r="1384" spans="1:4" x14ac:dyDescent="0.25">
      <c r="A1384" s="2" t="str" cm="1">
        <f t="array" ref="A1384">choice(Professeurs!A:A,1,Settings!$B$16)</f>
        <v>Prof53</v>
      </c>
      <c r="B1384" s="3" cm="1">
        <f t="array" ref="B1384">alea_date(Settings!$B$11,360,Settings!$B$8+alea_int(4,0,Settings!$B$16),Settings!$B$16)</f>
        <v>46069.375</v>
      </c>
      <c r="C1384" s="3" cm="1">
        <f t="array" ref="C1384">B1384+TIME(alea_int(5,1,Settings!$B$16),0,0)</f>
        <v>46069.583333333336</v>
      </c>
      <c r="D1384" s="3" t="str" cm="1">
        <f t="array" ref="D1384">choice(Settings!K:K,1,Settings!$B$16)</f>
        <v/>
      </c>
    </row>
    <row r="1385" spans="1:4" x14ac:dyDescent="0.25">
      <c r="A1385" s="2" t="str" cm="1">
        <f t="array" ref="A1385">choice(Professeurs!A:A,1,Settings!$B$16)</f>
        <v>Prof51</v>
      </c>
      <c r="B1385" s="3" cm="1">
        <f t="array" ref="B1385">alea_date(Settings!$B$11,360,Settings!$B$8+alea_int(4,0,Settings!$B$16),Settings!$B$16)</f>
        <v>46096.375</v>
      </c>
      <c r="C1385" s="3" cm="1">
        <f t="array" ref="C1385">B1385+TIME(alea_int(5,1,Settings!$B$16),0,0)</f>
        <v>46096.416666666664</v>
      </c>
      <c r="D1385" s="3" t="str" cm="1">
        <f t="array" ref="D1385">choice(Settings!K:K,1,Settings!$B$16)</f>
        <v>mercredi pm</v>
      </c>
    </row>
    <row r="1386" spans="1:4" x14ac:dyDescent="0.25">
      <c r="A1386" s="2" t="str" cm="1">
        <f t="array" ref="A1386">choice(Professeurs!A:A,1,Settings!$B$16)</f>
        <v>Prof18</v>
      </c>
      <c r="B1386" s="3" cm="1">
        <f t="array" ref="B1386">alea_date(Settings!$B$11,360,Settings!$B$8+alea_int(4,0,Settings!$B$16),Settings!$B$16)</f>
        <v>46083.416666666664</v>
      </c>
      <c r="C1386" s="3" cm="1">
        <f t="array" ref="C1386">B1386+TIME(alea_int(5,1,Settings!$B$16),0,0)</f>
        <v>46083.583333333328</v>
      </c>
      <c r="D1386" s="3" t="str" cm="1">
        <f t="array" ref="D1386">choice(Settings!K:K,1,Settings!$B$16)</f>
        <v/>
      </c>
    </row>
    <row r="1387" spans="1:4" x14ac:dyDescent="0.25">
      <c r="A1387" s="2" t="str" cm="1">
        <f t="array" ref="A1387">choice(Professeurs!A:A,1,Settings!$B$16)</f>
        <v>Prof17</v>
      </c>
      <c r="B1387" s="3" cm="1">
        <f t="array" ref="B1387">alea_date(Settings!$B$11,360,Settings!$B$8+alea_int(4,0,Settings!$B$16),Settings!$B$16)</f>
        <v>46293.333333333336</v>
      </c>
      <c r="C1387" s="3" cm="1">
        <f t="array" ref="C1387">B1387+TIME(alea_int(5,1,Settings!$B$16),0,0)</f>
        <v>46293.416666666672</v>
      </c>
      <c r="D1387" s="3" t="str" cm="1">
        <f t="array" ref="D1387">choice(Settings!K:K,1,Settings!$B$16)</f>
        <v/>
      </c>
    </row>
    <row r="1388" spans="1:4" x14ac:dyDescent="0.25">
      <c r="A1388" s="2" t="str" cm="1">
        <f t="array" ref="A1388">choice(Professeurs!A:A,1,Settings!$B$16)</f>
        <v>Prof42</v>
      </c>
      <c r="B1388" s="3" cm="1">
        <f t="array" ref="B1388">alea_date(Settings!$B$11,360,Settings!$B$8+alea_int(4,0,Settings!$B$16),Settings!$B$16)</f>
        <v>46150.458333333336</v>
      </c>
      <c r="C1388" s="3" cm="1">
        <f t="array" ref="C1388">B1388+TIME(alea_int(5,1,Settings!$B$16),0,0)</f>
        <v>46150.583333333336</v>
      </c>
      <c r="D1388" s="3" t="str" cm="1">
        <f t="array" ref="D1388">choice(Settings!K:K,1,Settings!$B$16)</f>
        <v/>
      </c>
    </row>
    <row r="1389" spans="1:4" x14ac:dyDescent="0.25">
      <c r="A1389" s="2" t="str" cm="1">
        <f t="array" ref="A1389">choice(Professeurs!A:A,1,Settings!$B$16)</f>
        <v>Prof32</v>
      </c>
      <c r="B1389" s="3" cm="1">
        <f t="array" ref="B1389">alea_date(Settings!$B$11,360,Settings!$B$8+alea_int(4,0,Settings!$B$16),Settings!$B$16)</f>
        <v>46087.375</v>
      </c>
      <c r="C1389" s="3" cm="1">
        <f t="array" ref="C1389">B1389+TIME(alea_int(5,1,Settings!$B$16),0,0)</f>
        <v>46087.416666666664</v>
      </c>
      <c r="D1389" s="3" t="str" cm="1">
        <f t="array" ref="D1389">choice(Settings!K:K,1,Settings!$B$16)</f>
        <v/>
      </c>
    </row>
    <row r="1390" spans="1:4" x14ac:dyDescent="0.25">
      <c r="A1390" s="2" t="str" cm="1">
        <f t="array" ref="A1390">choice(Professeurs!A:A,1,Settings!$B$16)</f>
        <v>Prof44</v>
      </c>
      <c r="B1390" s="3" cm="1">
        <f t="array" ref="B1390">alea_date(Settings!$B$11,360,Settings!$B$8+alea_int(4,0,Settings!$B$16),Settings!$B$16)</f>
        <v>46125.416666666664</v>
      </c>
      <c r="C1390" s="3" cm="1">
        <f t="array" ref="C1390">B1390+TIME(alea_int(5,1,Settings!$B$16),0,0)</f>
        <v>46125.541666666664</v>
      </c>
      <c r="D1390" s="3" t="str" cm="1">
        <f t="array" ref="D1390">choice(Settings!K:K,1,Settings!$B$16)</f>
        <v>mardi pm</v>
      </c>
    </row>
    <row r="1391" spans="1:4" x14ac:dyDescent="0.25">
      <c r="A1391" s="2" t="str" cm="1">
        <f t="array" ref="A1391">choice(Professeurs!A:A,1,Settings!$B$16)</f>
        <v>Prof47</v>
      </c>
      <c r="B1391" s="3" cm="1">
        <f t="array" ref="B1391">alea_date(Settings!$B$11,360,Settings!$B$8+alea_int(4,0,Settings!$B$16),Settings!$B$16)</f>
        <v>46219.333333333336</v>
      </c>
      <c r="C1391" s="3" cm="1">
        <f t="array" ref="C1391">B1391+TIME(alea_int(5,1,Settings!$B$16),0,0)</f>
        <v>46219.416666666672</v>
      </c>
      <c r="D1391" s="3" t="str" cm="1">
        <f t="array" ref="D1391">choice(Settings!K:K,1,Settings!$B$16)</f>
        <v/>
      </c>
    </row>
    <row r="1392" spans="1:4" x14ac:dyDescent="0.25">
      <c r="A1392" s="2" t="str" cm="1">
        <f t="array" ref="A1392">choice(Professeurs!A:A,1,Settings!$B$16)</f>
        <v>Prof49</v>
      </c>
      <c r="B1392" s="3" cm="1">
        <f t="array" ref="B1392">alea_date(Settings!$B$11,360,Settings!$B$8+alea_int(4,0,Settings!$B$16),Settings!$B$16)</f>
        <v>46226.416666666664</v>
      </c>
      <c r="C1392" s="3" cm="1">
        <f t="array" ref="C1392">B1392+TIME(alea_int(5,1,Settings!$B$16),0,0)</f>
        <v>46226.5</v>
      </c>
      <c r="D1392" s="3" t="str" cm="1">
        <f t="array" ref="D1392">choice(Settings!K:K,1,Settings!$B$16)</f>
        <v/>
      </c>
    </row>
    <row r="1393" spans="1:4" x14ac:dyDescent="0.25">
      <c r="A1393" s="2" t="str" cm="1">
        <f t="array" ref="A1393">choice(Professeurs!A:A,1,Settings!$B$16)</f>
        <v>Prof5</v>
      </c>
      <c r="B1393" s="3" cm="1">
        <f t="array" ref="B1393">alea_date(Settings!$B$11,360,Settings!$B$8+alea_int(4,0,Settings!$B$16),Settings!$B$16)</f>
        <v>46208.333333333336</v>
      </c>
      <c r="C1393" s="3" cm="1">
        <f t="array" ref="C1393">B1393+TIME(alea_int(5,1,Settings!$B$16),0,0)</f>
        <v>46208.416666666672</v>
      </c>
      <c r="D1393" s="3" t="str" cm="1">
        <f t="array" ref="D1393">choice(Settings!K:K,1,Settings!$B$16)</f>
        <v/>
      </c>
    </row>
    <row r="1394" spans="1:4" x14ac:dyDescent="0.25">
      <c r="A1394" s="2" t="str" cm="1">
        <f t="array" ref="A1394">choice(Professeurs!A:A,1,Settings!$B$16)</f>
        <v>Prof48</v>
      </c>
      <c r="B1394" s="3" cm="1">
        <f t="array" ref="B1394">alea_date(Settings!$B$11,360,Settings!$B$8+alea_int(4,0,Settings!$B$16),Settings!$B$16)</f>
        <v>46235.458333333336</v>
      </c>
      <c r="C1394" s="3" cm="1">
        <f t="array" ref="C1394">B1394+TIME(alea_int(5,1,Settings!$B$16),0,0)</f>
        <v>46235.583333333336</v>
      </c>
      <c r="D1394" s="3" t="str" cm="1">
        <f t="array" ref="D1394">choice(Settings!K:K,1,Settings!$B$16)</f>
        <v/>
      </c>
    </row>
    <row r="1395" spans="1:4" x14ac:dyDescent="0.25">
      <c r="A1395" s="2" t="str" cm="1">
        <f t="array" ref="A1395">choice(Professeurs!A:A,1,Settings!$B$16)</f>
        <v>Prof11</v>
      </c>
      <c r="B1395" s="3" cm="1">
        <f t="array" ref="B1395">alea_date(Settings!$B$11,360,Settings!$B$8+alea_int(4,0,Settings!$B$16),Settings!$B$16)</f>
        <v>46315.375</v>
      </c>
      <c r="C1395" s="3" cm="1">
        <f t="array" ref="C1395">B1395+TIME(alea_int(5,1,Settings!$B$16),0,0)</f>
        <v>46315.5</v>
      </c>
      <c r="D1395" s="3" t="str" cm="1">
        <f t="array" ref="D1395">choice(Settings!K:K,1,Settings!$B$16)</f>
        <v/>
      </c>
    </row>
    <row r="1396" spans="1:4" x14ac:dyDescent="0.25">
      <c r="A1396" s="2" t="str" cm="1">
        <f t="array" ref="A1396">choice(Professeurs!A:A,1,Settings!$B$16)</f>
        <v>Prof14</v>
      </c>
      <c r="B1396" s="3" cm="1">
        <f t="array" ref="B1396">alea_date(Settings!$B$11,360,Settings!$B$8+alea_int(4,0,Settings!$B$16),Settings!$B$16)</f>
        <v>46255.416666666664</v>
      </c>
      <c r="C1396" s="3" cm="1">
        <f t="array" ref="C1396">B1396+TIME(alea_int(5,1,Settings!$B$16),0,0)</f>
        <v>46255.5</v>
      </c>
      <c r="D1396" s="3" t="str" cm="1">
        <f t="array" ref="D1396">choice(Settings!K:K,1,Settings!$B$16)</f>
        <v>mercredi pm</v>
      </c>
    </row>
    <row r="1397" spans="1:4" x14ac:dyDescent="0.25">
      <c r="A1397" s="2" t="str" cm="1">
        <f t="array" ref="A1397">choice(Professeurs!A:A,1,Settings!$B$16)</f>
        <v>Prof30</v>
      </c>
      <c r="B1397" s="3" cm="1">
        <f t="array" ref="B1397">alea_date(Settings!$B$11,360,Settings!$B$8+alea_int(4,0,Settings!$B$16),Settings!$B$16)</f>
        <v>46288.416666666664</v>
      </c>
      <c r="C1397" s="3" cm="1">
        <f t="array" ref="C1397">B1397+TIME(alea_int(5,1,Settings!$B$16),0,0)</f>
        <v>46288.625</v>
      </c>
      <c r="D1397" s="3" t="str" cm="1">
        <f t="array" ref="D1397">choice(Settings!K:K,1,Settings!$B$16)</f>
        <v/>
      </c>
    </row>
    <row r="1398" spans="1:4" x14ac:dyDescent="0.25">
      <c r="A1398" s="2" t="str" cm="1">
        <f t="array" ref="A1398">choice(Professeurs!A:A,1,Settings!$B$16)</f>
        <v>Prof54</v>
      </c>
      <c r="B1398" s="3" cm="1">
        <f t="array" ref="B1398">alea_date(Settings!$B$11,360,Settings!$B$8+alea_int(4,0,Settings!$B$16),Settings!$B$16)</f>
        <v>46046.416666666664</v>
      </c>
      <c r="C1398" s="3" cm="1">
        <f t="array" ref="C1398">B1398+TIME(alea_int(5,1,Settings!$B$16),0,0)</f>
        <v>46046.583333333328</v>
      </c>
      <c r="D1398" s="3" t="str" cm="1">
        <f t="array" ref="D1398">choice(Settings!K:K,1,Settings!$B$16)</f>
        <v>mercredi pm</v>
      </c>
    </row>
    <row r="1399" spans="1:4" x14ac:dyDescent="0.25">
      <c r="A1399" s="2" t="str" cm="1">
        <f t="array" ref="A1399">choice(Professeurs!A:A,1,Settings!$B$16)</f>
        <v>Prof37</v>
      </c>
      <c r="B1399" s="3" cm="1">
        <f t="array" ref="B1399">alea_date(Settings!$B$11,360,Settings!$B$8+alea_int(4,0,Settings!$B$16),Settings!$B$16)</f>
        <v>46375.416666666664</v>
      </c>
      <c r="C1399" s="3" cm="1">
        <f t="array" ref="C1399">B1399+TIME(alea_int(5,1,Settings!$B$16),0,0)</f>
        <v>46375.625</v>
      </c>
      <c r="D1399" s="3" t="str" cm="1">
        <f t="array" ref="D1399">choice(Settings!K:K,1,Settings!$B$16)</f>
        <v/>
      </c>
    </row>
    <row r="1400" spans="1:4" x14ac:dyDescent="0.25">
      <c r="A1400" s="2" t="str" cm="1">
        <f t="array" ref="A1400">choice(Professeurs!A:A,1,Settings!$B$16)</f>
        <v>Prof54</v>
      </c>
      <c r="B1400" s="3" cm="1">
        <f t="array" ref="B1400">alea_date(Settings!$B$11,360,Settings!$B$8+alea_int(4,0,Settings!$B$16),Settings!$B$16)</f>
        <v>46165.333333333336</v>
      </c>
      <c r="C1400" s="3" cm="1">
        <f t="array" ref="C1400">B1400+TIME(alea_int(5,1,Settings!$B$16),0,0)</f>
        <v>46165.5</v>
      </c>
      <c r="D1400" s="3" t="str" cm="1">
        <f t="array" ref="D1400">choice(Settings!K:K,1,Settings!$B$16)</f>
        <v/>
      </c>
    </row>
    <row r="1401" spans="1:4" x14ac:dyDescent="0.25">
      <c r="A1401" s="2" t="str" cm="1">
        <f t="array" ref="A1401">choice(Professeurs!A:A,1,Settings!$B$16)</f>
        <v>Prof2</v>
      </c>
      <c r="B1401" s="3" cm="1">
        <f t="array" ref="B1401">alea_date(Settings!$B$11,360,Settings!$B$8+alea_int(4,0,Settings!$B$16),Settings!$B$16)</f>
        <v>46115.416666666664</v>
      </c>
      <c r="C1401" s="3" cm="1">
        <f t="array" ref="C1401">B1401+TIME(alea_int(5,1,Settings!$B$16),0,0)</f>
        <v>46115.625</v>
      </c>
      <c r="D1401" s="3" t="str" cm="1">
        <f t="array" ref="D1401">choice(Settings!K:K,1,Settings!$B$16)</f>
        <v>semaine</v>
      </c>
    </row>
    <row r="1402" spans="1:4" x14ac:dyDescent="0.25">
      <c r="A1402" s="2" t="str" cm="1">
        <f t="array" ref="A1402">choice(Professeurs!A:A,1,Settings!$B$16)</f>
        <v>Prof28</v>
      </c>
      <c r="B1402" s="3" cm="1">
        <f t="array" ref="B1402">alea_date(Settings!$B$11,360,Settings!$B$8+alea_int(4,0,Settings!$B$16),Settings!$B$16)</f>
        <v>46354.333333333336</v>
      </c>
      <c r="C1402" s="3" cm="1">
        <f t="array" ref="C1402">B1402+TIME(alea_int(5,1,Settings!$B$16),0,0)</f>
        <v>46354.416666666672</v>
      </c>
      <c r="D1402" s="3" t="str" cm="1">
        <f t="array" ref="D1402">choice(Settings!K:K,1,Settings!$B$16)</f>
        <v/>
      </c>
    </row>
    <row r="1403" spans="1:4" x14ac:dyDescent="0.25">
      <c r="A1403" s="2" t="str" cm="1">
        <f t="array" ref="A1403">choice(Professeurs!A:A,1,Settings!$B$16)</f>
        <v>Prof7</v>
      </c>
      <c r="B1403" s="3" cm="1">
        <f t="array" ref="B1403">alea_date(Settings!$B$11,360,Settings!$B$8+alea_int(4,0,Settings!$B$16),Settings!$B$16)</f>
        <v>46195.375</v>
      </c>
      <c r="C1403" s="3" cm="1">
        <f t="array" ref="C1403">B1403+TIME(alea_int(5,1,Settings!$B$16),0,0)</f>
        <v>46195.5</v>
      </c>
      <c r="D1403" s="3" t="str" cm="1">
        <f t="array" ref="D1403">choice(Settings!K:K,1,Settings!$B$16)</f>
        <v/>
      </c>
    </row>
    <row r="1404" spans="1:4" x14ac:dyDescent="0.25">
      <c r="A1404" s="2" t="str" cm="1">
        <f t="array" ref="A1404">choice(Professeurs!A:A,1,Settings!$B$16)</f>
        <v>Prof35</v>
      </c>
      <c r="B1404" s="3" cm="1">
        <f t="array" ref="B1404">alea_date(Settings!$B$11,360,Settings!$B$8+alea_int(4,0,Settings!$B$16),Settings!$B$16)</f>
        <v>46249.333333333336</v>
      </c>
      <c r="C1404" s="3" cm="1">
        <f t="array" ref="C1404">B1404+TIME(alea_int(5,1,Settings!$B$16),0,0)</f>
        <v>46249.5</v>
      </c>
      <c r="D1404" s="3" t="str" cm="1">
        <f t="array" ref="D1404">choice(Settings!K:K,1,Settings!$B$16)</f>
        <v/>
      </c>
    </row>
    <row r="1405" spans="1:4" x14ac:dyDescent="0.25">
      <c r="A1405" s="2" t="str" cm="1">
        <f t="array" ref="A1405">choice(Professeurs!A:A,1,Settings!$B$16)</f>
        <v>Prof51</v>
      </c>
      <c r="B1405" s="3" cm="1">
        <f t="array" ref="B1405">alea_date(Settings!$B$11,360,Settings!$B$8+alea_int(4,0,Settings!$B$16),Settings!$B$16)</f>
        <v>46358.458333333336</v>
      </c>
      <c r="C1405" s="3" cm="1">
        <f t="array" ref="C1405">B1405+TIME(alea_int(5,1,Settings!$B$16),0,0)</f>
        <v>46358.625</v>
      </c>
      <c r="D1405" s="3" t="str" cm="1">
        <f t="array" ref="D1405">choice(Settings!K:K,1,Settings!$B$16)</f>
        <v>mardi am</v>
      </c>
    </row>
    <row r="1406" spans="1:4" x14ac:dyDescent="0.25">
      <c r="A1406" s="2" t="str" cm="1">
        <f t="array" ref="A1406">choice(Professeurs!A:A,1,Settings!$B$16)</f>
        <v>Prof25</v>
      </c>
      <c r="B1406" s="3" cm="1">
        <f t="array" ref="B1406">alea_date(Settings!$B$11,360,Settings!$B$8+alea_int(4,0,Settings!$B$16),Settings!$B$16)</f>
        <v>46190.416666666664</v>
      </c>
      <c r="C1406" s="3" cm="1">
        <f t="array" ref="C1406">B1406+TIME(alea_int(5,1,Settings!$B$16),0,0)</f>
        <v>46190.541666666664</v>
      </c>
      <c r="D1406" s="3" t="str" cm="1">
        <f t="array" ref="D1406">choice(Settings!K:K,1,Settings!$B$16)</f>
        <v/>
      </c>
    </row>
    <row r="1407" spans="1:4" x14ac:dyDescent="0.25">
      <c r="A1407" s="2" t="str" cm="1">
        <f t="array" ref="A1407">choice(Professeurs!A:A,1,Settings!$B$16)</f>
        <v>Prof41</v>
      </c>
      <c r="B1407" s="3" cm="1">
        <f t="array" ref="B1407">alea_date(Settings!$B$11,360,Settings!$B$8+alea_int(4,0,Settings!$B$16),Settings!$B$16)</f>
        <v>46193.333333333336</v>
      </c>
      <c r="C1407" s="3" cm="1">
        <f t="array" ref="C1407">B1407+TIME(alea_int(5,1,Settings!$B$16),0,0)</f>
        <v>46193.5</v>
      </c>
      <c r="D1407" s="3" t="str" cm="1">
        <f t="array" ref="D1407">choice(Settings!K:K,1,Settings!$B$16)</f>
        <v/>
      </c>
    </row>
    <row r="1408" spans="1:4" x14ac:dyDescent="0.25">
      <c r="A1408" s="2" t="str" cm="1">
        <f t="array" ref="A1408">choice(Professeurs!A:A,1,Settings!$B$16)</f>
        <v>Prof11</v>
      </c>
      <c r="B1408" s="3" cm="1">
        <f t="array" ref="B1408">alea_date(Settings!$B$11,360,Settings!$B$8+alea_int(4,0,Settings!$B$16),Settings!$B$16)</f>
        <v>46333.416666666664</v>
      </c>
      <c r="C1408" s="3" cm="1">
        <f t="array" ref="C1408">B1408+TIME(alea_int(5,1,Settings!$B$16),0,0)</f>
        <v>46333.458333333328</v>
      </c>
      <c r="D1408" s="3" t="str" cm="1">
        <f t="array" ref="D1408">choice(Settings!K:K,1,Settings!$B$16)</f>
        <v>semaine</v>
      </c>
    </row>
    <row r="1409" spans="1:4" x14ac:dyDescent="0.25">
      <c r="A1409" s="2" t="str" cm="1">
        <f t="array" ref="A1409">choice(Professeurs!A:A,1,Settings!$B$16)</f>
        <v>Prof11</v>
      </c>
      <c r="B1409" s="3" cm="1">
        <f t="array" ref="B1409">alea_date(Settings!$B$11,360,Settings!$B$8+alea_int(4,0,Settings!$B$16),Settings!$B$16)</f>
        <v>46106.333333333336</v>
      </c>
      <c r="C1409" s="3" cm="1">
        <f t="array" ref="C1409">B1409+TIME(alea_int(5,1,Settings!$B$16),0,0)</f>
        <v>46106.375</v>
      </c>
      <c r="D1409" s="3" t="str" cm="1">
        <f t="array" ref="D1409">choice(Settings!K:K,1,Settings!$B$16)</f>
        <v/>
      </c>
    </row>
    <row r="1410" spans="1:4" x14ac:dyDescent="0.25">
      <c r="A1410" s="2" t="str" cm="1">
        <f t="array" ref="A1410">choice(Professeurs!A:A,1,Settings!$B$16)</f>
        <v>Prof33</v>
      </c>
      <c r="B1410" s="3" cm="1">
        <f t="array" ref="B1410">alea_date(Settings!$B$11,360,Settings!$B$8+alea_int(4,0,Settings!$B$16),Settings!$B$16)</f>
        <v>46176.458333333336</v>
      </c>
      <c r="C1410" s="3" cm="1">
        <f t="array" ref="C1410">B1410+TIME(alea_int(5,1,Settings!$B$16),0,0)</f>
        <v>46176.583333333336</v>
      </c>
      <c r="D1410" s="3" t="str" cm="1">
        <f t="array" ref="D1410">choice(Settings!K:K,1,Settings!$B$16)</f>
        <v>jeudi pm</v>
      </c>
    </row>
    <row r="1411" spans="1:4" x14ac:dyDescent="0.25">
      <c r="A1411" s="2" t="str" cm="1">
        <f t="array" ref="A1411">choice(Professeurs!A:A,1,Settings!$B$16)</f>
        <v>Prof19</v>
      </c>
      <c r="B1411" s="3" cm="1">
        <f t="array" ref="B1411">alea_date(Settings!$B$11,360,Settings!$B$8+alea_int(4,0,Settings!$B$16),Settings!$B$16)</f>
        <v>46061.375</v>
      </c>
      <c r="C1411" s="3" cm="1">
        <f t="array" ref="C1411">B1411+TIME(alea_int(5,1,Settings!$B$16),0,0)</f>
        <v>46061.583333333336</v>
      </c>
      <c r="D1411" s="3" t="str" cm="1">
        <f t="array" ref="D1411">choice(Settings!K:K,1,Settings!$B$16)</f>
        <v>mercredi pm</v>
      </c>
    </row>
    <row r="1412" spans="1:4" x14ac:dyDescent="0.25">
      <c r="A1412" s="2" t="str" cm="1">
        <f t="array" ref="A1412">choice(Professeurs!A:A,1,Settings!$B$16)</f>
        <v>Prof25</v>
      </c>
      <c r="B1412" s="3" cm="1">
        <f t="array" ref="B1412">alea_date(Settings!$B$11,360,Settings!$B$8+alea_int(4,0,Settings!$B$16),Settings!$B$16)</f>
        <v>46284.333333333336</v>
      </c>
      <c r="C1412" s="3" cm="1">
        <f t="array" ref="C1412">B1412+TIME(alea_int(5,1,Settings!$B$16),0,0)</f>
        <v>46284.375</v>
      </c>
      <c r="D1412" s="3" t="str" cm="1">
        <f t="array" ref="D1412">choice(Settings!K:K,1,Settings!$B$16)</f>
        <v/>
      </c>
    </row>
    <row r="1413" spans="1:4" x14ac:dyDescent="0.25">
      <c r="A1413" s="2" t="str" cm="1">
        <f t="array" ref="A1413">choice(Professeurs!A:A,1,Settings!$B$16)</f>
        <v>Prof14</v>
      </c>
      <c r="B1413" s="3" cm="1">
        <f t="array" ref="B1413">alea_date(Settings!$B$11,360,Settings!$B$8+alea_int(4,0,Settings!$B$16),Settings!$B$16)</f>
        <v>46067.375</v>
      </c>
      <c r="C1413" s="3" cm="1">
        <f t="array" ref="C1413">B1413+TIME(alea_int(5,1,Settings!$B$16),0,0)</f>
        <v>46067.458333333336</v>
      </c>
      <c r="D1413" s="3" t="str" cm="1">
        <f t="array" ref="D1413">choice(Settings!K:K,1,Settings!$B$16)</f>
        <v>mardi pm</v>
      </c>
    </row>
    <row r="1414" spans="1:4" x14ac:dyDescent="0.25">
      <c r="A1414" s="2" t="str" cm="1">
        <f t="array" ref="A1414">choice(Professeurs!A:A,1,Settings!$B$16)</f>
        <v>Prof50</v>
      </c>
      <c r="B1414" s="3" cm="1">
        <f t="array" ref="B1414">alea_date(Settings!$B$11,360,Settings!$B$8+alea_int(4,0,Settings!$B$16),Settings!$B$16)</f>
        <v>46300.375</v>
      </c>
      <c r="C1414" s="3" cm="1">
        <f t="array" ref="C1414">B1414+TIME(alea_int(5,1,Settings!$B$16),0,0)</f>
        <v>46300.5</v>
      </c>
      <c r="D1414" s="3" t="str" cm="1">
        <f t="array" ref="D1414">choice(Settings!K:K,1,Settings!$B$16)</f>
        <v/>
      </c>
    </row>
    <row r="1415" spans="1:4" x14ac:dyDescent="0.25">
      <c r="A1415" s="2" t="str" cm="1">
        <f t="array" ref="A1415">choice(Professeurs!A:A,1,Settings!$B$16)</f>
        <v>Prof21</v>
      </c>
      <c r="B1415" s="3" cm="1">
        <f t="array" ref="B1415">alea_date(Settings!$B$11,360,Settings!$B$8+alea_int(4,0,Settings!$B$16),Settings!$B$16)</f>
        <v>46054.333333333336</v>
      </c>
      <c r="C1415" s="3" cm="1">
        <f t="array" ref="C1415">B1415+TIME(alea_int(5,1,Settings!$B$16),0,0)</f>
        <v>46054.375</v>
      </c>
      <c r="D1415" s="3" t="str" cm="1">
        <f t="array" ref="D1415">choice(Settings!K:K,1,Settings!$B$16)</f>
        <v/>
      </c>
    </row>
    <row r="1416" spans="1:4" x14ac:dyDescent="0.25">
      <c r="A1416" s="2" t="str" cm="1">
        <f t="array" ref="A1416">choice(Professeurs!A:A,1,Settings!$B$16)</f>
        <v>Prof44</v>
      </c>
      <c r="B1416" s="3" cm="1">
        <f t="array" ref="B1416">alea_date(Settings!$B$11,360,Settings!$B$8+alea_int(4,0,Settings!$B$16),Settings!$B$16)</f>
        <v>46379.458333333336</v>
      </c>
      <c r="C1416" s="3" cm="1">
        <f t="array" ref="C1416">B1416+TIME(alea_int(5,1,Settings!$B$16),0,0)</f>
        <v>46379.583333333336</v>
      </c>
      <c r="D1416" s="3" t="str" cm="1">
        <f t="array" ref="D1416">choice(Settings!K:K,1,Settings!$B$16)</f>
        <v>mercredi ap</v>
      </c>
    </row>
    <row r="1417" spans="1:4" x14ac:dyDescent="0.25">
      <c r="A1417" s="2" t="str" cm="1">
        <f t="array" ref="A1417">choice(Professeurs!A:A,1,Settings!$B$16)</f>
        <v>Prof12</v>
      </c>
      <c r="B1417" s="3" cm="1">
        <f t="array" ref="B1417">alea_date(Settings!$B$11,360,Settings!$B$8+alea_int(4,0,Settings!$B$16),Settings!$B$16)</f>
        <v>46195.333333333336</v>
      </c>
      <c r="C1417" s="3" cm="1">
        <f t="array" ref="C1417">B1417+TIME(alea_int(5,1,Settings!$B$16),0,0)</f>
        <v>46195.375</v>
      </c>
      <c r="D1417" s="3" t="str" cm="1">
        <f t="array" ref="D1417">choice(Settings!K:K,1,Settings!$B$16)</f>
        <v/>
      </c>
    </row>
    <row r="1418" spans="1:4" x14ac:dyDescent="0.25">
      <c r="A1418" s="2" t="str" cm="1">
        <f t="array" ref="A1418">choice(Professeurs!A:A,1,Settings!$B$16)</f>
        <v>Prof36</v>
      </c>
      <c r="B1418" s="3" cm="1">
        <f t="array" ref="B1418">alea_date(Settings!$B$11,360,Settings!$B$8+alea_int(4,0,Settings!$B$16),Settings!$B$16)</f>
        <v>46117.416666666664</v>
      </c>
      <c r="C1418" s="3" cm="1">
        <f t="array" ref="C1418">B1418+TIME(alea_int(5,1,Settings!$B$16),0,0)</f>
        <v>46117.625</v>
      </c>
      <c r="D1418" s="3" t="str" cm="1">
        <f t="array" ref="D1418">choice(Settings!K:K,1,Settings!$B$16)</f>
        <v/>
      </c>
    </row>
    <row r="1419" spans="1:4" x14ac:dyDescent="0.25">
      <c r="A1419" s="2" t="str" cm="1">
        <f t="array" ref="A1419">choice(Professeurs!A:A,1,Settings!$B$16)</f>
        <v>Prof26</v>
      </c>
      <c r="B1419" s="3" cm="1">
        <f t="array" ref="B1419">alea_date(Settings!$B$11,360,Settings!$B$8+alea_int(4,0,Settings!$B$16),Settings!$B$16)</f>
        <v>46209.375</v>
      </c>
      <c r="C1419" s="3" cm="1">
        <f t="array" ref="C1419">B1419+TIME(alea_int(5,1,Settings!$B$16),0,0)</f>
        <v>46209.583333333336</v>
      </c>
      <c r="D1419" s="3" t="str" cm="1">
        <f t="array" ref="D1419">choice(Settings!K:K,1,Settings!$B$16)</f>
        <v/>
      </c>
    </row>
    <row r="1420" spans="1:4" x14ac:dyDescent="0.25">
      <c r="A1420" s="2" t="str" cm="1">
        <f t="array" ref="A1420">choice(Professeurs!A:A,1,Settings!$B$16)</f>
        <v>Prof3</v>
      </c>
      <c r="B1420" s="3" cm="1">
        <f t="array" ref="B1420">alea_date(Settings!$B$11,360,Settings!$B$8+alea_int(4,0,Settings!$B$16),Settings!$B$16)</f>
        <v>46296.458333333336</v>
      </c>
      <c r="C1420" s="3" cm="1">
        <f t="array" ref="C1420">B1420+TIME(alea_int(5,1,Settings!$B$16),0,0)</f>
        <v>46296.541666666672</v>
      </c>
      <c r="D1420" s="3" t="str" cm="1">
        <f t="array" ref="D1420">choice(Settings!K:K,1,Settings!$B$16)</f>
        <v/>
      </c>
    </row>
    <row r="1421" spans="1:4" x14ac:dyDescent="0.25">
      <c r="A1421" s="2" t="str" cm="1">
        <f t="array" ref="A1421">choice(Professeurs!A:A,1,Settings!$B$16)</f>
        <v>Prof21</v>
      </c>
      <c r="B1421" s="3" cm="1">
        <f t="array" ref="B1421">alea_date(Settings!$B$11,360,Settings!$B$8+alea_int(4,0,Settings!$B$16),Settings!$B$16)</f>
        <v>46326.416666666664</v>
      </c>
      <c r="C1421" s="3" cm="1">
        <f t="array" ref="C1421">B1421+TIME(alea_int(5,1,Settings!$B$16),0,0)</f>
        <v>46326.5</v>
      </c>
      <c r="D1421" s="3" t="str" cm="1">
        <f t="array" ref="D1421">choice(Settings!K:K,1,Settings!$B$16)</f>
        <v/>
      </c>
    </row>
    <row r="1422" spans="1:4" x14ac:dyDescent="0.25">
      <c r="A1422" s="2" t="str" cm="1">
        <f t="array" ref="A1422">choice(Professeurs!A:A,1,Settings!$B$16)</f>
        <v>Prof19</v>
      </c>
      <c r="B1422" s="3" cm="1">
        <f t="array" ref="B1422">alea_date(Settings!$B$11,360,Settings!$B$8+alea_int(4,0,Settings!$B$16),Settings!$B$16)</f>
        <v>46112.416666666664</v>
      </c>
      <c r="C1422" s="3" cm="1">
        <f t="array" ref="C1422">B1422+TIME(alea_int(5,1,Settings!$B$16),0,0)</f>
        <v>46112.541666666664</v>
      </c>
      <c r="D1422" s="3" t="str" cm="1">
        <f t="array" ref="D1422">choice(Settings!K:K,1,Settings!$B$16)</f>
        <v/>
      </c>
    </row>
    <row r="1423" spans="1:4" x14ac:dyDescent="0.25">
      <c r="A1423" s="2" t="str" cm="1">
        <f t="array" ref="A1423">choice(Professeurs!A:A,1,Settings!$B$16)</f>
        <v>Prof4</v>
      </c>
      <c r="B1423" s="3" cm="1">
        <f t="array" ref="B1423">alea_date(Settings!$B$11,360,Settings!$B$8+alea_int(4,0,Settings!$B$16),Settings!$B$16)</f>
        <v>46279.458333333336</v>
      </c>
      <c r="C1423" s="3" cm="1">
        <f t="array" ref="C1423">B1423+TIME(alea_int(5,1,Settings!$B$16),0,0)</f>
        <v>46279.583333333336</v>
      </c>
      <c r="D1423" s="3" t="str" cm="1">
        <f t="array" ref="D1423">choice(Settings!K:K,1,Settings!$B$16)</f>
        <v/>
      </c>
    </row>
    <row r="1424" spans="1:4" x14ac:dyDescent="0.25">
      <c r="A1424" s="2" t="str" cm="1">
        <f t="array" ref="A1424">choice(Professeurs!A:A,1,Settings!$B$16)</f>
        <v>Prof54</v>
      </c>
      <c r="B1424" s="3" cm="1">
        <f t="array" ref="B1424">alea_date(Settings!$B$11,360,Settings!$B$8+alea_int(4,0,Settings!$B$16),Settings!$B$16)</f>
        <v>46228.416666666664</v>
      </c>
      <c r="C1424" s="3" cm="1">
        <f t="array" ref="C1424">B1424+TIME(alea_int(5,1,Settings!$B$16),0,0)</f>
        <v>46228.5</v>
      </c>
      <c r="D1424" s="3" t="str" cm="1">
        <f t="array" ref="D1424">choice(Settings!K:K,1,Settings!$B$16)</f>
        <v>jeudi am</v>
      </c>
    </row>
    <row r="1425" spans="1:4" x14ac:dyDescent="0.25">
      <c r="A1425" s="2" t="str" cm="1">
        <f t="array" ref="A1425">choice(Professeurs!A:A,1,Settings!$B$16)</f>
        <v>Prof38</v>
      </c>
      <c r="B1425" s="3" cm="1">
        <f t="array" ref="B1425">alea_date(Settings!$B$11,360,Settings!$B$8+alea_int(4,0,Settings!$B$16),Settings!$B$16)</f>
        <v>46118.458333333336</v>
      </c>
      <c r="C1425" s="3" cm="1">
        <f t="array" ref="C1425">B1425+TIME(alea_int(5,1,Settings!$B$16),0,0)</f>
        <v>46118.625</v>
      </c>
      <c r="D1425" s="3" t="str" cm="1">
        <f t="array" ref="D1425">choice(Settings!K:K,1,Settings!$B$16)</f>
        <v/>
      </c>
    </row>
    <row r="1426" spans="1:4" x14ac:dyDescent="0.25">
      <c r="A1426" s="2" t="str" cm="1">
        <f t="array" ref="A1426">choice(Professeurs!A:A,1,Settings!$B$16)</f>
        <v>Prof43</v>
      </c>
      <c r="B1426" s="3" cm="1">
        <f t="array" ref="B1426">alea_date(Settings!$B$11,360,Settings!$B$8+alea_int(4,0,Settings!$B$16),Settings!$B$16)</f>
        <v>46309.458333333336</v>
      </c>
      <c r="C1426" s="3" cm="1">
        <f t="array" ref="C1426">B1426+TIME(alea_int(5,1,Settings!$B$16),0,0)</f>
        <v>46309.583333333336</v>
      </c>
      <c r="D1426" s="3" t="str" cm="1">
        <f t="array" ref="D1426">choice(Settings!K:K,1,Settings!$B$16)</f>
        <v/>
      </c>
    </row>
    <row r="1427" spans="1:4" x14ac:dyDescent="0.25">
      <c r="A1427" s="2" t="str" cm="1">
        <f t="array" ref="A1427">choice(Professeurs!A:A,1,Settings!$B$16)</f>
        <v>Prof41</v>
      </c>
      <c r="B1427" s="3" cm="1">
        <f t="array" ref="B1427">alea_date(Settings!$B$11,360,Settings!$B$8+alea_int(4,0,Settings!$B$16),Settings!$B$16)</f>
        <v>46289.333333333336</v>
      </c>
      <c r="C1427" s="3" cm="1">
        <f t="array" ref="C1427">B1427+TIME(alea_int(5,1,Settings!$B$16),0,0)</f>
        <v>46289.458333333336</v>
      </c>
      <c r="D1427" s="3" t="str" cm="1">
        <f t="array" ref="D1427">choice(Settings!K:K,1,Settings!$B$16)</f>
        <v/>
      </c>
    </row>
    <row r="1428" spans="1:4" x14ac:dyDescent="0.25">
      <c r="A1428" s="2" t="str" cm="1">
        <f t="array" ref="A1428">choice(Professeurs!A:A,1,Settings!$B$16)</f>
        <v>Prof39</v>
      </c>
      <c r="B1428" s="3" cm="1">
        <f t="array" ref="B1428">alea_date(Settings!$B$11,360,Settings!$B$8+alea_int(4,0,Settings!$B$16),Settings!$B$16)</f>
        <v>46268.333333333336</v>
      </c>
      <c r="C1428" s="3" cm="1">
        <f t="array" ref="C1428">B1428+TIME(alea_int(5,1,Settings!$B$16),0,0)</f>
        <v>46268.375</v>
      </c>
      <c r="D1428" s="3" t="str" cm="1">
        <f t="array" ref="D1428">choice(Settings!K:K,1,Settings!$B$16)</f>
        <v/>
      </c>
    </row>
    <row r="1429" spans="1:4" x14ac:dyDescent="0.25">
      <c r="A1429" s="2" t="str" cm="1">
        <f t="array" ref="A1429">choice(Professeurs!A:A,1,Settings!$B$16)</f>
        <v>Prof37</v>
      </c>
      <c r="B1429" s="3" cm="1">
        <f t="array" ref="B1429">alea_date(Settings!$B$11,360,Settings!$B$8+alea_int(4,0,Settings!$B$16),Settings!$B$16)</f>
        <v>46323.375</v>
      </c>
      <c r="C1429" s="3" cm="1">
        <f t="array" ref="C1429">B1429+TIME(alea_int(5,1,Settings!$B$16),0,0)</f>
        <v>46323.541666666664</v>
      </c>
      <c r="D1429" s="3" t="str" cm="1">
        <f t="array" ref="D1429">choice(Settings!K:K,1,Settings!$B$16)</f>
        <v>jeudi pm</v>
      </c>
    </row>
    <row r="1430" spans="1:4" x14ac:dyDescent="0.25">
      <c r="A1430" s="2" t="str" cm="1">
        <f t="array" ref="A1430">choice(Professeurs!A:A,1,Settings!$B$16)</f>
        <v>Prof16</v>
      </c>
      <c r="B1430" s="3" cm="1">
        <f t="array" ref="B1430">alea_date(Settings!$B$11,360,Settings!$B$8+alea_int(4,0,Settings!$B$16),Settings!$B$16)</f>
        <v>46043.458333333336</v>
      </c>
      <c r="C1430" s="3" cm="1">
        <f t="array" ref="C1430">B1430+TIME(alea_int(5,1,Settings!$B$16),0,0)</f>
        <v>46043.5</v>
      </c>
      <c r="D1430" s="3" t="str" cm="1">
        <f t="array" ref="D1430">choice(Settings!K:K,1,Settings!$B$16)</f>
        <v/>
      </c>
    </row>
    <row r="1431" spans="1:4" x14ac:dyDescent="0.25">
      <c r="A1431" s="2" t="str" cm="1">
        <f t="array" ref="A1431">choice(Professeurs!A:A,1,Settings!$B$16)</f>
        <v>Prof27</v>
      </c>
      <c r="B1431" s="3" cm="1">
        <f t="array" ref="B1431">alea_date(Settings!$B$11,360,Settings!$B$8+alea_int(4,0,Settings!$B$16),Settings!$B$16)</f>
        <v>46241.333333333336</v>
      </c>
      <c r="C1431" s="3" cm="1">
        <f t="array" ref="C1431">B1431+TIME(alea_int(5,1,Settings!$B$16),0,0)</f>
        <v>46241.5</v>
      </c>
      <c r="D1431" s="3" t="str" cm="1">
        <f t="array" ref="D1431">choice(Settings!K:K,1,Settings!$B$16)</f>
        <v/>
      </c>
    </row>
    <row r="1432" spans="1:4" x14ac:dyDescent="0.25">
      <c r="A1432" s="2" t="str" cm="1">
        <f t="array" ref="A1432">choice(Professeurs!A:A,1,Settings!$B$16)</f>
        <v>Prof31</v>
      </c>
      <c r="B1432" s="3" cm="1">
        <f t="array" ref="B1432">alea_date(Settings!$B$11,360,Settings!$B$8+alea_int(4,0,Settings!$B$16),Settings!$B$16)</f>
        <v>46304.416666666664</v>
      </c>
      <c r="C1432" s="3" cm="1">
        <f t="array" ref="C1432">B1432+TIME(alea_int(5,1,Settings!$B$16),0,0)</f>
        <v>46304.625</v>
      </c>
      <c r="D1432" s="3" t="str" cm="1">
        <f t="array" ref="D1432">choice(Settings!K:K,1,Settings!$B$16)</f>
        <v>mercredi pm</v>
      </c>
    </row>
    <row r="1433" spans="1:4" x14ac:dyDescent="0.25">
      <c r="A1433" s="2" t="str" cm="1">
        <f t="array" ref="A1433">choice(Professeurs!A:A,1,Settings!$B$16)</f>
        <v>Prof14</v>
      </c>
      <c r="B1433" s="3" cm="1">
        <f t="array" ref="B1433">alea_date(Settings!$B$11,360,Settings!$B$8+alea_int(4,0,Settings!$B$16),Settings!$B$16)</f>
        <v>46062.375</v>
      </c>
      <c r="C1433" s="3" cm="1">
        <f t="array" ref="C1433">B1433+TIME(alea_int(5,1,Settings!$B$16),0,0)</f>
        <v>46062.5</v>
      </c>
      <c r="D1433" s="3" t="str" cm="1">
        <f t="array" ref="D1433">choice(Settings!K:K,1,Settings!$B$16)</f>
        <v/>
      </c>
    </row>
    <row r="1434" spans="1:4" x14ac:dyDescent="0.25">
      <c r="A1434" s="2" t="str" cm="1">
        <f t="array" ref="A1434">choice(Professeurs!A:A,1,Settings!$B$16)</f>
        <v>Prof14</v>
      </c>
      <c r="B1434" s="3" cm="1">
        <f t="array" ref="B1434">alea_date(Settings!$B$11,360,Settings!$B$8+alea_int(4,0,Settings!$B$16),Settings!$B$16)</f>
        <v>46071.375</v>
      </c>
      <c r="C1434" s="3" cm="1">
        <f t="array" ref="C1434">B1434+TIME(alea_int(5,1,Settings!$B$16),0,0)</f>
        <v>46071.416666666664</v>
      </c>
      <c r="D1434" s="3" t="str" cm="1">
        <f t="array" ref="D1434">choice(Settings!K:K,1,Settings!$B$16)</f>
        <v/>
      </c>
    </row>
    <row r="1435" spans="1:4" x14ac:dyDescent="0.25">
      <c r="A1435" s="2" t="str" cm="1">
        <f t="array" ref="A1435">choice(Professeurs!A:A,1,Settings!$B$16)</f>
        <v>Prof16</v>
      </c>
      <c r="B1435" s="3" cm="1">
        <f t="array" ref="B1435">alea_date(Settings!$B$11,360,Settings!$B$8+alea_int(4,0,Settings!$B$16),Settings!$B$16)</f>
        <v>46257.416666666664</v>
      </c>
      <c r="C1435" s="3" cm="1">
        <f t="array" ref="C1435">B1435+TIME(alea_int(5,1,Settings!$B$16),0,0)</f>
        <v>46257.5</v>
      </c>
      <c r="D1435" s="3" t="str" cm="1">
        <f t="array" ref="D1435">choice(Settings!K:K,1,Settings!$B$16)</f>
        <v>vendredi pm</v>
      </c>
    </row>
    <row r="1436" spans="1:4" x14ac:dyDescent="0.25">
      <c r="A1436" s="2" t="str" cm="1">
        <f t="array" ref="A1436">choice(Professeurs!A:A,1,Settings!$B$16)</f>
        <v>Prof36</v>
      </c>
      <c r="B1436" s="3" cm="1">
        <f t="array" ref="B1436">alea_date(Settings!$B$11,360,Settings!$B$8+alea_int(4,0,Settings!$B$16),Settings!$B$16)</f>
        <v>46240.458333333336</v>
      </c>
      <c r="C1436" s="3" cm="1">
        <f t="array" ref="C1436">B1436+TIME(alea_int(5,1,Settings!$B$16),0,0)</f>
        <v>46240.666666666672</v>
      </c>
      <c r="D1436" s="3" t="str" cm="1">
        <f t="array" ref="D1436">choice(Settings!K:K,1,Settings!$B$16)</f>
        <v>lundi am</v>
      </c>
    </row>
    <row r="1437" spans="1:4" x14ac:dyDescent="0.25">
      <c r="A1437" s="2" t="str" cm="1">
        <f t="array" ref="A1437">choice(Professeurs!A:A,1,Settings!$B$16)</f>
        <v>Prof1</v>
      </c>
      <c r="B1437" s="3" cm="1">
        <f t="array" ref="B1437">alea_date(Settings!$B$11,360,Settings!$B$8+alea_int(4,0,Settings!$B$16),Settings!$B$16)</f>
        <v>46382.416666666664</v>
      </c>
      <c r="C1437" s="3" cm="1">
        <f t="array" ref="C1437">B1437+TIME(alea_int(5,1,Settings!$B$16),0,0)</f>
        <v>46382.458333333328</v>
      </c>
      <c r="D1437" s="3" t="str" cm="1">
        <f t="array" ref="D1437">choice(Settings!K:K,1,Settings!$B$16)</f>
        <v/>
      </c>
    </row>
    <row r="1438" spans="1:4" x14ac:dyDescent="0.25">
      <c r="A1438" s="2" t="str" cm="1">
        <f t="array" ref="A1438">choice(Professeurs!A:A,1,Settings!$B$16)</f>
        <v>Prof34</v>
      </c>
      <c r="B1438" s="3" cm="1">
        <f t="array" ref="B1438">alea_date(Settings!$B$11,360,Settings!$B$8+alea_int(4,0,Settings!$B$16),Settings!$B$16)</f>
        <v>46327.458333333336</v>
      </c>
      <c r="C1438" s="3" cm="1">
        <f t="array" ref="C1438">B1438+TIME(alea_int(5,1,Settings!$B$16),0,0)</f>
        <v>46327.666666666672</v>
      </c>
      <c r="D1438" s="3" t="str" cm="1">
        <f t="array" ref="D1438">choice(Settings!K:K,1,Settings!$B$16)</f>
        <v/>
      </c>
    </row>
    <row r="1439" spans="1:4" x14ac:dyDescent="0.25">
      <c r="A1439" s="2" t="str" cm="1">
        <f t="array" ref="A1439">choice(Professeurs!A:A,1,Settings!$B$16)</f>
        <v>Prof9</v>
      </c>
      <c r="B1439" s="3" cm="1">
        <f t="array" ref="B1439">alea_date(Settings!$B$11,360,Settings!$B$8+alea_int(4,0,Settings!$B$16),Settings!$B$16)</f>
        <v>46348.375</v>
      </c>
      <c r="C1439" s="3" cm="1">
        <f t="array" ref="C1439">B1439+TIME(alea_int(5,1,Settings!$B$16),0,0)</f>
        <v>46348.416666666664</v>
      </c>
      <c r="D1439" s="3" t="str" cm="1">
        <f t="array" ref="D1439">choice(Settings!K:K,1,Settings!$B$16)</f>
        <v/>
      </c>
    </row>
    <row r="1440" spans="1:4" x14ac:dyDescent="0.25">
      <c r="A1440" s="2" t="str" cm="1">
        <f t="array" ref="A1440">choice(Professeurs!A:A,1,Settings!$B$16)</f>
        <v>Prof54</v>
      </c>
      <c r="B1440" s="3" cm="1">
        <f t="array" ref="B1440">alea_date(Settings!$B$11,360,Settings!$B$8+alea_int(4,0,Settings!$B$16),Settings!$B$16)</f>
        <v>46121.416666666664</v>
      </c>
      <c r="C1440" s="3" cm="1">
        <f t="array" ref="C1440">B1440+TIME(alea_int(5,1,Settings!$B$16),0,0)</f>
        <v>46121.541666666664</v>
      </c>
      <c r="D1440" s="3" t="str" cm="1">
        <f t="array" ref="D1440">choice(Settings!K:K,1,Settings!$B$16)</f>
        <v/>
      </c>
    </row>
    <row r="1441" spans="1:4" x14ac:dyDescent="0.25">
      <c r="A1441" s="2" t="str" cm="1">
        <f t="array" ref="A1441">choice(Professeurs!A:A,1,Settings!$B$16)</f>
        <v>Prof26</v>
      </c>
      <c r="B1441" s="3" cm="1">
        <f t="array" ref="B1441">alea_date(Settings!$B$11,360,Settings!$B$8+alea_int(4,0,Settings!$B$16),Settings!$B$16)</f>
        <v>46352.333333333336</v>
      </c>
      <c r="C1441" s="3" cm="1">
        <f t="array" ref="C1441">B1441+TIME(alea_int(5,1,Settings!$B$16),0,0)</f>
        <v>46352.458333333336</v>
      </c>
      <c r="D1441" s="3" t="str" cm="1">
        <f t="array" ref="D1441">choice(Settings!K:K,1,Settings!$B$16)</f>
        <v/>
      </c>
    </row>
    <row r="1442" spans="1:4" x14ac:dyDescent="0.25">
      <c r="A1442" s="2" t="str" cm="1">
        <f t="array" ref="A1442">choice(Professeurs!A:A,1,Settings!$B$16)</f>
        <v>Prof31</v>
      </c>
      <c r="B1442" s="3" cm="1">
        <f t="array" ref="B1442">alea_date(Settings!$B$11,360,Settings!$B$8+alea_int(4,0,Settings!$B$16),Settings!$B$16)</f>
        <v>46219.375</v>
      </c>
      <c r="C1442" s="3" cm="1">
        <f t="array" ref="C1442">B1442+TIME(alea_int(5,1,Settings!$B$16),0,0)</f>
        <v>46219.458333333336</v>
      </c>
      <c r="D1442" s="3" t="str" cm="1">
        <f t="array" ref="D1442">choice(Settings!K:K,1,Settings!$B$16)</f>
        <v>semaine</v>
      </c>
    </row>
    <row r="1443" spans="1:4" x14ac:dyDescent="0.25">
      <c r="A1443" s="2" t="str" cm="1">
        <f t="array" ref="A1443">choice(Professeurs!A:A,1,Settings!$B$16)</f>
        <v>Prof19</v>
      </c>
      <c r="B1443" s="3" cm="1">
        <f t="array" ref="B1443">alea_date(Settings!$B$11,360,Settings!$B$8+alea_int(4,0,Settings!$B$16),Settings!$B$16)</f>
        <v>46225.416666666664</v>
      </c>
      <c r="C1443" s="3" cm="1">
        <f t="array" ref="C1443">B1443+TIME(alea_int(5,1,Settings!$B$16),0,0)</f>
        <v>46225.458333333328</v>
      </c>
      <c r="D1443" s="3" t="str" cm="1">
        <f t="array" ref="D1443">choice(Settings!K:K,1,Settings!$B$16)</f>
        <v/>
      </c>
    </row>
    <row r="1444" spans="1:4" x14ac:dyDescent="0.25">
      <c r="A1444" s="2" t="str" cm="1">
        <f t="array" ref="A1444">choice(Professeurs!A:A,1,Settings!$B$16)</f>
        <v>Prof25</v>
      </c>
      <c r="B1444" s="3" cm="1">
        <f t="array" ref="B1444">alea_date(Settings!$B$11,360,Settings!$B$8+alea_int(4,0,Settings!$B$16),Settings!$B$16)</f>
        <v>46062.375</v>
      </c>
      <c r="C1444" s="3" cm="1">
        <f t="array" ref="C1444">B1444+TIME(alea_int(5,1,Settings!$B$16),0,0)</f>
        <v>46062.5</v>
      </c>
      <c r="D1444" s="3" t="str" cm="1">
        <f t="array" ref="D1444">choice(Settings!K:K,1,Settings!$B$16)</f>
        <v/>
      </c>
    </row>
    <row r="1445" spans="1:4" x14ac:dyDescent="0.25">
      <c r="A1445" s="2" t="str" cm="1">
        <f t="array" ref="A1445">choice(Professeurs!A:A,1,Settings!$B$16)</f>
        <v>Prof7</v>
      </c>
      <c r="B1445" s="3" cm="1">
        <f t="array" ref="B1445">alea_date(Settings!$B$11,360,Settings!$B$8+alea_int(4,0,Settings!$B$16),Settings!$B$16)</f>
        <v>46312.458333333336</v>
      </c>
      <c r="C1445" s="3" cm="1">
        <f t="array" ref="C1445">B1445+TIME(alea_int(5,1,Settings!$B$16),0,0)</f>
        <v>46312.583333333336</v>
      </c>
      <c r="D1445" s="3" t="str" cm="1">
        <f t="array" ref="D1445">choice(Settings!K:K,1,Settings!$B$16)</f>
        <v>mercredi pm</v>
      </c>
    </row>
    <row r="1446" spans="1:4" x14ac:dyDescent="0.25">
      <c r="A1446" s="2" t="str" cm="1">
        <f t="array" ref="A1446">choice(Professeurs!A:A,1,Settings!$B$16)</f>
        <v>Prof4</v>
      </c>
      <c r="B1446" s="3" cm="1">
        <f t="array" ref="B1446">alea_date(Settings!$B$11,360,Settings!$B$8+alea_int(4,0,Settings!$B$16),Settings!$B$16)</f>
        <v>46045.375</v>
      </c>
      <c r="C1446" s="3" cm="1">
        <f t="array" ref="C1446">B1446+TIME(alea_int(5,1,Settings!$B$16),0,0)</f>
        <v>46045.5</v>
      </c>
      <c r="D1446" s="3" t="str" cm="1">
        <f t="array" ref="D1446">choice(Settings!K:K,1,Settings!$B$16)</f>
        <v>lundi am</v>
      </c>
    </row>
    <row r="1447" spans="1:4" x14ac:dyDescent="0.25">
      <c r="A1447" s="2" t="str" cm="1">
        <f t="array" ref="A1447">choice(Professeurs!A:A,1,Settings!$B$16)</f>
        <v>Prof29</v>
      </c>
      <c r="B1447" s="3" cm="1">
        <f t="array" ref="B1447">alea_date(Settings!$B$11,360,Settings!$B$8+alea_int(4,0,Settings!$B$16),Settings!$B$16)</f>
        <v>46067.333333333336</v>
      </c>
      <c r="C1447" s="3" cm="1">
        <f t="array" ref="C1447">B1447+TIME(alea_int(5,1,Settings!$B$16),0,0)</f>
        <v>46067.458333333336</v>
      </c>
      <c r="D1447" s="3" t="str" cm="1">
        <f t="array" ref="D1447">choice(Settings!K:K,1,Settings!$B$16)</f>
        <v/>
      </c>
    </row>
    <row r="1448" spans="1:4" x14ac:dyDescent="0.25">
      <c r="A1448" s="2" t="str" cm="1">
        <f t="array" ref="A1448">choice(Professeurs!A:A,1,Settings!$B$16)</f>
        <v>Prof33</v>
      </c>
      <c r="B1448" s="3" cm="1">
        <f t="array" ref="B1448">alea_date(Settings!$B$11,360,Settings!$B$8+alea_int(4,0,Settings!$B$16),Settings!$B$16)</f>
        <v>46338.458333333336</v>
      </c>
      <c r="C1448" s="3" cm="1">
        <f t="array" ref="C1448">B1448+TIME(alea_int(5,1,Settings!$B$16),0,0)</f>
        <v>46338.625</v>
      </c>
      <c r="D1448" s="3" t="str" cm="1">
        <f t="array" ref="D1448">choice(Settings!K:K,1,Settings!$B$16)</f>
        <v/>
      </c>
    </row>
    <row r="1449" spans="1:4" x14ac:dyDescent="0.25">
      <c r="A1449" s="2" t="str" cm="1">
        <f t="array" ref="A1449">choice(Professeurs!A:A,1,Settings!$B$16)</f>
        <v>Prof21</v>
      </c>
      <c r="B1449" s="3" cm="1">
        <f t="array" ref="B1449">alea_date(Settings!$B$11,360,Settings!$B$8+alea_int(4,0,Settings!$B$16),Settings!$B$16)</f>
        <v>46148.458333333336</v>
      </c>
      <c r="C1449" s="3" cm="1">
        <f t="array" ref="C1449">B1449+TIME(alea_int(5,1,Settings!$B$16),0,0)</f>
        <v>46148.541666666672</v>
      </c>
      <c r="D1449" s="3" t="str" cm="1">
        <f t="array" ref="D1449">choice(Settings!K:K,1,Settings!$B$16)</f>
        <v/>
      </c>
    </row>
    <row r="1450" spans="1:4" x14ac:dyDescent="0.25">
      <c r="A1450" s="2" t="str" cm="1">
        <f t="array" ref="A1450">choice(Professeurs!A:A,1,Settings!$B$16)</f>
        <v>Prof47</v>
      </c>
      <c r="B1450" s="3" cm="1">
        <f t="array" ref="B1450">alea_date(Settings!$B$11,360,Settings!$B$8+alea_int(4,0,Settings!$B$16),Settings!$B$16)</f>
        <v>46111.458333333336</v>
      </c>
      <c r="C1450" s="3" cm="1">
        <f t="array" ref="C1450">B1450+TIME(alea_int(5,1,Settings!$B$16),0,0)</f>
        <v>46111.666666666672</v>
      </c>
      <c r="D1450" s="3" t="str" cm="1">
        <f t="array" ref="D1450">choice(Settings!K:K,1,Settings!$B$16)</f>
        <v/>
      </c>
    </row>
    <row r="1451" spans="1:4" x14ac:dyDescent="0.25">
      <c r="A1451" s="2" t="str" cm="1">
        <f t="array" ref="A1451">choice(Professeurs!A:A,1,Settings!$B$16)</f>
        <v>Prof24</v>
      </c>
      <c r="B1451" s="3" cm="1">
        <f t="array" ref="B1451">alea_date(Settings!$B$11,360,Settings!$B$8+alea_int(4,0,Settings!$B$16),Settings!$B$16)</f>
        <v>46312.416666666664</v>
      </c>
      <c r="C1451" s="3" cm="1">
        <f t="array" ref="C1451">B1451+TIME(alea_int(5,1,Settings!$B$16),0,0)</f>
        <v>46312.458333333328</v>
      </c>
      <c r="D1451" s="3" t="str" cm="1">
        <f t="array" ref="D1451">choice(Settings!K:K,1,Settings!$B$16)</f>
        <v>lundi am</v>
      </c>
    </row>
    <row r="1452" spans="1:4" x14ac:dyDescent="0.25">
      <c r="A1452" s="2" t="str" cm="1">
        <f t="array" ref="A1452">choice(Professeurs!A:A,1,Settings!$B$16)</f>
        <v>Prof28</v>
      </c>
      <c r="B1452" s="3" cm="1">
        <f t="array" ref="B1452">alea_date(Settings!$B$11,360,Settings!$B$8+alea_int(4,0,Settings!$B$16),Settings!$B$16)</f>
        <v>46285.375</v>
      </c>
      <c r="C1452" s="3" cm="1">
        <f t="array" ref="C1452">B1452+TIME(alea_int(5,1,Settings!$B$16),0,0)</f>
        <v>46285.458333333336</v>
      </c>
      <c r="D1452" s="3" t="str" cm="1">
        <f t="array" ref="D1452">choice(Settings!K:K,1,Settings!$B$16)</f>
        <v/>
      </c>
    </row>
    <row r="1453" spans="1:4" x14ac:dyDescent="0.25">
      <c r="A1453" s="2" t="str" cm="1">
        <f t="array" ref="A1453">choice(Professeurs!A:A,1,Settings!$B$16)</f>
        <v>Prof2</v>
      </c>
      <c r="B1453" s="3" cm="1">
        <f t="array" ref="B1453">alea_date(Settings!$B$11,360,Settings!$B$8+alea_int(4,0,Settings!$B$16),Settings!$B$16)</f>
        <v>46294.416666666664</v>
      </c>
      <c r="C1453" s="3" cm="1">
        <f t="array" ref="C1453">B1453+TIME(alea_int(5,1,Settings!$B$16),0,0)</f>
        <v>46294.458333333328</v>
      </c>
      <c r="D1453" s="3" t="str" cm="1">
        <f t="array" ref="D1453">choice(Settings!K:K,1,Settings!$B$16)</f>
        <v/>
      </c>
    </row>
    <row r="1454" spans="1:4" x14ac:dyDescent="0.25">
      <c r="A1454" s="2" t="str" cm="1">
        <f t="array" ref="A1454">choice(Professeurs!A:A,1,Settings!$B$16)</f>
        <v>Prof46</v>
      </c>
      <c r="B1454" s="3" cm="1">
        <f t="array" ref="B1454">alea_date(Settings!$B$11,360,Settings!$B$8+alea_int(4,0,Settings!$B$16),Settings!$B$16)</f>
        <v>46351.458333333336</v>
      </c>
      <c r="C1454" s="3" cm="1">
        <f t="array" ref="C1454">B1454+TIME(alea_int(5,1,Settings!$B$16),0,0)</f>
        <v>46351.666666666672</v>
      </c>
      <c r="D1454" s="3" t="str" cm="1">
        <f t="array" ref="D1454">choice(Settings!K:K,1,Settings!$B$16)</f>
        <v/>
      </c>
    </row>
    <row r="1455" spans="1:4" x14ac:dyDescent="0.25">
      <c r="A1455" s="2" t="str" cm="1">
        <f t="array" ref="A1455">choice(Professeurs!A:A,1,Settings!$B$16)</f>
        <v>Prof36</v>
      </c>
      <c r="B1455" s="3" cm="1">
        <f t="array" ref="B1455">alea_date(Settings!$B$11,360,Settings!$B$8+alea_int(4,0,Settings!$B$16),Settings!$B$16)</f>
        <v>46069.416666666664</v>
      </c>
      <c r="C1455" s="3" cm="1">
        <f t="array" ref="C1455">B1455+TIME(alea_int(5,1,Settings!$B$16),0,0)</f>
        <v>46069.5</v>
      </c>
      <c r="D1455" s="3" t="str" cm="1">
        <f t="array" ref="D1455">choice(Settings!K:K,1,Settings!$B$16)</f>
        <v>vendredi pm</v>
      </c>
    </row>
    <row r="1456" spans="1:4" x14ac:dyDescent="0.25">
      <c r="A1456" s="2" t="str" cm="1">
        <f t="array" ref="A1456">choice(Professeurs!A:A,1,Settings!$B$16)</f>
        <v>Prof15</v>
      </c>
      <c r="B1456" s="3" cm="1">
        <f t="array" ref="B1456">alea_date(Settings!$B$11,360,Settings!$B$8+alea_int(4,0,Settings!$B$16),Settings!$B$16)</f>
        <v>46282.375</v>
      </c>
      <c r="C1456" s="3" cm="1">
        <f t="array" ref="C1456">B1456+TIME(alea_int(5,1,Settings!$B$16),0,0)</f>
        <v>46282.5</v>
      </c>
      <c r="D1456" s="3" t="str" cm="1">
        <f t="array" ref="D1456">choice(Settings!K:K,1,Settings!$B$16)</f>
        <v/>
      </c>
    </row>
    <row r="1457" spans="1:4" x14ac:dyDescent="0.25">
      <c r="A1457" s="2" t="str" cm="1">
        <f t="array" ref="A1457">choice(Professeurs!A:A,1,Settings!$B$16)</f>
        <v>Prof6</v>
      </c>
      <c r="B1457" s="3" cm="1">
        <f t="array" ref="B1457">alea_date(Settings!$B$11,360,Settings!$B$8+alea_int(4,0,Settings!$B$16),Settings!$B$16)</f>
        <v>46244.458333333336</v>
      </c>
      <c r="C1457" s="3" cm="1">
        <f t="array" ref="C1457">B1457+TIME(alea_int(5,1,Settings!$B$16),0,0)</f>
        <v>46244.625</v>
      </c>
      <c r="D1457" s="3" t="str" cm="1">
        <f t="array" ref="D1457">choice(Settings!K:K,1,Settings!$B$16)</f>
        <v/>
      </c>
    </row>
    <row r="1458" spans="1:4" x14ac:dyDescent="0.25">
      <c r="A1458" s="2" t="str" cm="1">
        <f t="array" ref="A1458">choice(Professeurs!A:A,1,Settings!$B$16)</f>
        <v>Prof23</v>
      </c>
      <c r="B1458" s="3" cm="1">
        <f t="array" ref="B1458">alea_date(Settings!$B$11,360,Settings!$B$8+alea_int(4,0,Settings!$B$16),Settings!$B$16)</f>
        <v>46125.458333333336</v>
      </c>
      <c r="C1458" s="3" cm="1">
        <f t="array" ref="C1458">B1458+TIME(alea_int(5,1,Settings!$B$16),0,0)</f>
        <v>46125.541666666672</v>
      </c>
      <c r="D1458" s="3" t="str" cm="1">
        <f t="array" ref="D1458">choice(Settings!K:K,1,Settings!$B$16)</f>
        <v/>
      </c>
    </row>
    <row r="1459" spans="1:4" x14ac:dyDescent="0.25">
      <c r="A1459" s="2" t="str" cm="1">
        <f t="array" ref="A1459">choice(Professeurs!A:A,1,Settings!$B$16)</f>
        <v>Prof30</v>
      </c>
      <c r="B1459" s="3" cm="1">
        <f t="array" ref="B1459">alea_date(Settings!$B$11,360,Settings!$B$8+alea_int(4,0,Settings!$B$16),Settings!$B$16)</f>
        <v>46119.458333333336</v>
      </c>
      <c r="C1459" s="3" cm="1">
        <f t="array" ref="C1459">B1459+TIME(alea_int(5,1,Settings!$B$16),0,0)</f>
        <v>46119.666666666672</v>
      </c>
      <c r="D1459" s="3" t="str" cm="1">
        <f t="array" ref="D1459">choice(Settings!K:K,1,Settings!$B$16)</f>
        <v>jeudi am</v>
      </c>
    </row>
    <row r="1460" spans="1:4" x14ac:dyDescent="0.25">
      <c r="A1460" s="2" t="str" cm="1">
        <f t="array" ref="A1460">choice(Professeurs!A:A,1,Settings!$B$16)</f>
        <v>Prof11</v>
      </c>
      <c r="B1460" s="3" cm="1">
        <f t="array" ref="B1460">alea_date(Settings!$B$11,360,Settings!$B$8+alea_int(4,0,Settings!$B$16),Settings!$B$16)</f>
        <v>46268.375</v>
      </c>
      <c r="C1460" s="3" cm="1">
        <f t="array" ref="C1460">B1460+TIME(alea_int(5,1,Settings!$B$16),0,0)</f>
        <v>46268.541666666664</v>
      </c>
      <c r="D1460" s="3" t="str" cm="1">
        <f t="array" ref="D1460">choice(Settings!K:K,1,Settings!$B$16)</f>
        <v/>
      </c>
    </row>
    <row r="1461" spans="1:4" x14ac:dyDescent="0.25">
      <c r="A1461" s="2" t="str" cm="1">
        <f t="array" ref="A1461">choice(Professeurs!A:A,1,Settings!$B$16)</f>
        <v>Prof47</v>
      </c>
      <c r="B1461" s="3" cm="1">
        <f t="array" ref="B1461">alea_date(Settings!$B$11,360,Settings!$B$8+alea_int(4,0,Settings!$B$16),Settings!$B$16)</f>
        <v>46071.333333333336</v>
      </c>
      <c r="C1461" s="3" cm="1">
        <f t="array" ref="C1461">B1461+TIME(alea_int(5,1,Settings!$B$16),0,0)</f>
        <v>46071.375</v>
      </c>
      <c r="D1461" s="3" t="str" cm="1">
        <f t="array" ref="D1461">choice(Settings!K:K,1,Settings!$B$16)</f>
        <v/>
      </c>
    </row>
    <row r="1462" spans="1:4" x14ac:dyDescent="0.25">
      <c r="A1462" s="2" t="str" cm="1">
        <f t="array" ref="A1462">choice(Professeurs!A:A,1,Settings!$B$16)</f>
        <v>Prof8</v>
      </c>
      <c r="B1462" s="3" cm="1">
        <f t="array" ref="B1462">alea_date(Settings!$B$11,360,Settings!$B$8+alea_int(4,0,Settings!$B$16),Settings!$B$16)</f>
        <v>46351.333333333336</v>
      </c>
      <c r="C1462" s="3" cm="1">
        <f t="array" ref="C1462">B1462+TIME(alea_int(5,1,Settings!$B$16),0,0)</f>
        <v>46351.541666666672</v>
      </c>
      <c r="D1462" s="3" t="str" cm="1">
        <f t="array" ref="D1462">choice(Settings!K:K,1,Settings!$B$16)</f>
        <v>semaine</v>
      </c>
    </row>
    <row r="1463" spans="1:4" x14ac:dyDescent="0.25">
      <c r="A1463" s="2" t="str" cm="1">
        <f t="array" ref="A1463">choice(Professeurs!A:A,1,Settings!$B$16)</f>
        <v>Prof28</v>
      </c>
      <c r="B1463" s="3" cm="1">
        <f t="array" ref="B1463">alea_date(Settings!$B$11,360,Settings!$B$8+alea_int(4,0,Settings!$B$16),Settings!$B$16)</f>
        <v>46111.333333333336</v>
      </c>
      <c r="C1463" s="3" cm="1">
        <f t="array" ref="C1463">B1463+TIME(alea_int(5,1,Settings!$B$16),0,0)</f>
        <v>46111.458333333336</v>
      </c>
      <c r="D1463" s="3" t="str" cm="1">
        <f t="array" ref="D1463">choice(Settings!K:K,1,Settings!$B$16)</f>
        <v>lundi pm</v>
      </c>
    </row>
    <row r="1464" spans="1:4" x14ac:dyDescent="0.25">
      <c r="A1464" s="2" t="str" cm="1">
        <f t="array" ref="A1464">choice(Professeurs!A:A,1,Settings!$B$16)</f>
        <v>Prof11</v>
      </c>
      <c r="B1464" s="3" cm="1">
        <f t="array" ref="B1464">alea_date(Settings!$B$11,360,Settings!$B$8+alea_int(4,0,Settings!$B$16),Settings!$B$16)</f>
        <v>46372.375</v>
      </c>
      <c r="C1464" s="3" cm="1">
        <f t="array" ref="C1464">B1464+TIME(alea_int(5,1,Settings!$B$16),0,0)</f>
        <v>46372.458333333336</v>
      </c>
      <c r="D1464" s="3" t="str" cm="1">
        <f t="array" ref="D1464">choice(Settings!K:K,1,Settings!$B$16)</f>
        <v/>
      </c>
    </row>
    <row r="1465" spans="1:4" x14ac:dyDescent="0.25">
      <c r="A1465" s="2" t="str" cm="1">
        <f t="array" ref="A1465">choice(Professeurs!A:A,1,Settings!$B$16)</f>
        <v>Prof25</v>
      </c>
      <c r="B1465" s="3" cm="1">
        <f t="array" ref="B1465">alea_date(Settings!$B$11,360,Settings!$B$8+alea_int(4,0,Settings!$B$16),Settings!$B$16)</f>
        <v>46085.333333333336</v>
      </c>
      <c r="C1465" s="3" cm="1">
        <f t="array" ref="C1465">B1465+TIME(alea_int(5,1,Settings!$B$16),0,0)</f>
        <v>46085.416666666672</v>
      </c>
      <c r="D1465" s="3" t="str" cm="1">
        <f t="array" ref="D1465">choice(Settings!K:K,1,Settings!$B$16)</f>
        <v/>
      </c>
    </row>
    <row r="1466" spans="1:4" x14ac:dyDescent="0.25">
      <c r="A1466" s="2" t="str" cm="1">
        <f t="array" ref="A1466">choice(Professeurs!A:A,1,Settings!$B$16)</f>
        <v>Prof10</v>
      </c>
      <c r="B1466" s="3" cm="1">
        <f t="array" ref="B1466">alea_date(Settings!$B$11,360,Settings!$B$8+alea_int(4,0,Settings!$B$16),Settings!$B$16)</f>
        <v>46290.333333333336</v>
      </c>
      <c r="C1466" s="3" cm="1">
        <f t="array" ref="C1466">B1466+TIME(alea_int(5,1,Settings!$B$16),0,0)</f>
        <v>46290.541666666672</v>
      </c>
      <c r="D1466" s="3" t="str" cm="1">
        <f t="array" ref="D1466">choice(Settings!K:K,1,Settings!$B$16)</f>
        <v/>
      </c>
    </row>
    <row r="1467" spans="1:4" x14ac:dyDescent="0.25">
      <c r="A1467" s="2" t="str" cm="1">
        <f t="array" ref="A1467">choice(Professeurs!A:A,1,Settings!$B$16)</f>
        <v>Prof31</v>
      </c>
      <c r="B1467" s="3" cm="1">
        <f t="array" ref="B1467">alea_date(Settings!$B$11,360,Settings!$B$8+alea_int(4,0,Settings!$B$16),Settings!$B$16)</f>
        <v>46045.416666666664</v>
      </c>
      <c r="C1467" s="3" cm="1">
        <f t="array" ref="C1467">B1467+TIME(alea_int(5,1,Settings!$B$16),0,0)</f>
        <v>46045.541666666664</v>
      </c>
      <c r="D1467" s="3" t="str" cm="1">
        <f t="array" ref="D1467">choice(Settings!K:K,1,Settings!$B$16)</f>
        <v/>
      </c>
    </row>
    <row r="1468" spans="1:4" x14ac:dyDescent="0.25">
      <c r="A1468" s="2" t="str" cm="1">
        <f t="array" ref="A1468">choice(Professeurs!A:A,1,Settings!$B$16)</f>
        <v>Prof34</v>
      </c>
      <c r="B1468" s="3" cm="1">
        <f t="array" ref="B1468">alea_date(Settings!$B$11,360,Settings!$B$8+alea_int(4,0,Settings!$B$16),Settings!$B$16)</f>
        <v>46185.375</v>
      </c>
      <c r="C1468" s="3" cm="1">
        <f t="array" ref="C1468">B1468+TIME(alea_int(5,1,Settings!$B$16),0,0)</f>
        <v>46185.5</v>
      </c>
      <c r="D1468" s="3" t="str" cm="1">
        <f t="array" ref="D1468">choice(Settings!K:K,1,Settings!$B$16)</f>
        <v>vendredi am</v>
      </c>
    </row>
    <row r="1469" spans="1:4" x14ac:dyDescent="0.25">
      <c r="A1469" s="2" t="str" cm="1">
        <f t="array" ref="A1469">choice(Professeurs!A:A,1,Settings!$B$16)</f>
        <v>Prof22</v>
      </c>
      <c r="B1469" s="3" cm="1">
        <f t="array" ref="B1469">alea_date(Settings!$B$11,360,Settings!$B$8+alea_int(4,0,Settings!$B$16),Settings!$B$16)</f>
        <v>46047.375</v>
      </c>
      <c r="C1469" s="3" cm="1">
        <f t="array" ref="C1469">B1469+TIME(alea_int(5,1,Settings!$B$16),0,0)</f>
        <v>46047.458333333336</v>
      </c>
      <c r="D1469" s="3" t="str" cm="1">
        <f t="array" ref="D1469">choice(Settings!K:K,1,Settings!$B$16)</f>
        <v/>
      </c>
    </row>
    <row r="1470" spans="1:4" x14ac:dyDescent="0.25">
      <c r="A1470" s="2" t="str" cm="1">
        <f t="array" ref="A1470">choice(Professeurs!A:A,1,Settings!$B$16)</f>
        <v>Prof26</v>
      </c>
      <c r="B1470" s="3" cm="1">
        <f t="array" ref="B1470">alea_date(Settings!$B$11,360,Settings!$B$8+alea_int(4,0,Settings!$B$16),Settings!$B$16)</f>
        <v>46210.416666666664</v>
      </c>
      <c r="C1470" s="3" cm="1">
        <f t="array" ref="C1470">B1470+TIME(alea_int(5,1,Settings!$B$16),0,0)</f>
        <v>46210.541666666664</v>
      </c>
      <c r="D1470" s="3" t="str" cm="1">
        <f t="array" ref="D1470">choice(Settings!K:K,1,Settings!$B$16)</f>
        <v/>
      </c>
    </row>
    <row r="1471" spans="1:4" x14ac:dyDescent="0.25">
      <c r="A1471" s="2" t="str" cm="1">
        <f t="array" ref="A1471">choice(Professeurs!A:A,1,Settings!$B$16)</f>
        <v>Prof20</v>
      </c>
      <c r="B1471" s="3" cm="1">
        <f t="array" ref="B1471">alea_date(Settings!$B$11,360,Settings!$B$8+alea_int(4,0,Settings!$B$16),Settings!$B$16)</f>
        <v>46033.333333333336</v>
      </c>
      <c r="C1471" s="3" cm="1">
        <f t="array" ref="C1471">B1471+TIME(alea_int(5,1,Settings!$B$16),0,0)</f>
        <v>46033.458333333336</v>
      </c>
      <c r="D1471" s="3" t="str" cm="1">
        <f t="array" ref="D1471">choice(Settings!K:K,1,Settings!$B$16)</f>
        <v/>
      </c>
    </row>
    <row r="1472" spans="1:4" x14ac:dyDescent="0.25">
      <c r="A1472" s="2" t="str" cm="1">
        <f t="array" ref="A1472">choice(Professeurs!A:A,1,Settings!$B$16)</f>
        <v>Prof6</v>
      </c>
      <c r="B1472" s="3" cm="1">
        <f t="array" ref="B1472">alea_date(Settings!$B$11,360,Settings!$B$8+alea_int(4,0,Settings!$B$16),Settings!$B$16)</f>
        <v>46201.416666666664</v>
      </c>
      <c r="C1472" s="3" cm="1">
        <f t="array" ref="C1472">B1472+TIME(alea_int(5,1,Settings!$B$16),0,0)</f>
        <v>46201.5</v>
      </c>
      <c r="D1472" s="3" t="str" cm="1">
        <f t="array" ref="D1472">choice(Settings!K:K,1,Settings!$B$16)</f>
        <v/>
      </c>
    </row>
    <row r="1473" spans="1:4" x14ac:dyDescent="0.25">
      <c r="A1473" s="2" t="str" cm="1">
        <f t="array" ref="A1473">choice(Professeurs!A:A,1,Settings!$B$16)</f>
        <v>Prof2</v>
      </c>
      <c r="B1473" s="3" cm="1">
        <f t="array" ref="B1473">alea_date(Settings!$B$11,360,Settings!$B$8+alea_int(4,0,Settings!$B$16),Settings!$B$16)</f>
        <v>46055.375</v>
      </c>
      <c r="C1473" s="3" cm="1">
        <f t="array" ref="C1473">B1473+TIME(alea_int(5,1,Settings!$B$16),0,0)</f>
        <v>46055.5</v>
      </c>
      <c r="D1473" s="3" t="str" cm="1">
        <f t="array" ref="D1473">choice(Settings!K:K,1,Settings!$B$16)</f>
        <v/>
      </c>
    </row>
    <row r="1474" spans="1:4" x14ac:dyDescent="0.25">
      <c r="A1474" s="2" t="str" cm="1">
        <f t="array" ref="A1474">choice(Professeurs!A:A,1,Settings!$B$16)</f>
        <v>Prof17</v>
      </c>
      <c r="B1474" s="3" cm="1">
        <f t="array" ref="B1474">alea_date(Settings!$B$11,360,Settings!$B$8+alea_int(4,0,Settings!$B$16),Settings!$B$16)</f>
        <v>46279.375</v>
      </c>
      <c r="C1474" s="3" cm="1">
        <f t="array" ref="C1474">B1474+TIME(alea_int(5,1,Settings!$B$16),0,0)</f>
        <v>46279.583333333336</v>
      </c>
      <c r="D1474" s="3" t="str" cm="1">
        <f t="array" ref="D1474">choice(Settings!K:K,1,Settings!$B$16)</f>
        <v/>
      </c>
    </row>
    <row r="1475" spans="1:4" x14ac:dyDescent="0.25">
      <c r="A1475" s="2" t="str" cm="1">
        <f t="array" ref="A1475">choice(Professeurs!A:A,1,Settings!$B$16)</f>
        <v>Prof50</v>
      </c>
      <c r="B1475" s="3" cm="1">
        <f t="array" ref="B1475">alea_date(Settings!$B$11,360,Settings!$B$8+alea_int(4,0,Settings!$B$16),Settings!$B$16)</f>
        <v>46104.375</v>
      </c>
      <c r="C1475" s="3" cm="1">
        <f t="array" ref="C1475">B1475+TIME(alea_int(5,1,Settings!$B$16),0,0)</f>
        <v>46104.583333333336</v>
      </c>
      <c r="D1475" s="3" t="str" cm="1">
        <f t="array" ref="D1475">choice(Settings!K:K,1,Settings!$B$16)</f>
        <v>vendredi am</v>
      </c>
    </row>
    <row r="1476" spans="1:4" x14ac:dyDescent="0.25">
      <c r="A1476" s="2" t="str" cm="1">
        <f t="array" ref="A1476">choice(Professeurs!A:A,1,Settings!$B$16)</f>
        <v>Prof27</v>
      </c>
      <c r="B1476" s="3" cm="1">
        <f t="array" ref="B1476">alea_date(Settings!$B$11,360,Settings!$B$8+alea_int(4,0,Settings!$B$16),Settings!$B$16)</f>
        <v>46088.416666666664</v>
      </c>
      <c r="C1476" s="3" cm="1">
        <f t="array" ref="C1476">B1476+TIME(alea_int(5,1,Settings!$B$16),0,0)</f>
        <v>46088.541666666664</v>
      </c>
      <c r="D1476" s="3" t="str" cm="1">
        <f t="array" ref="D1476">choice(Settings!K:K,1,Settings!$B$16)</f>
        <v/>
      </c>
    </row>
    <row r="1477" spans="1:4" x14ac:dyDescent="0.25">
      <c r="A1477" s="2" t="str" cm="1">
        <f t="array" ref="A1477">choice(Professeurs!A:A,1,Settings!$B$16)</f>
        <v>Prof8</v>
      </c>
      <c r="B1477" s="3" cm="1">
        <f t="array" ref="B1477">alea_date(Settings!$B$11,360,Settings!$B$8+alea_int(4,0,Settings!$B$16),Settings!$B$16)</f>
        <v>46144.458333333336</v>
      </c>
      <c r="C1477" s="3" cm="1">
        <f t="array" ref="C1477">B1477+TIME(alea_int(5,1,Settings!$B$16),0,0)</f>
        <v>46144.5</v>
      </c>
      <c r="D1477" s="3" t="str" cm="1">
        <f t="array" ref="D1477">choice(Settings!K:K,1,Settings!$B$16)</f>
        <v/>
      </c>
    </row>
    <row r="1478" spans="1:4" x14ac:dyDescent="0.25">
      <c r="A1478" s="2" t="str" cm="1">
        <f t="array" ref="A1478">choice(Professeurs!A:A,1,Settings!$B$16)</f>
        <v>Prof51</v>
      </c>
      <c r="B1478" s="3" cm="1">
        <f t="array" ref="B1478">alea_date(Settings!$B$11,360,Settings!$B$8+alea_int(4,0,Settings!$B$16),Settings!$B$16)</f>
        <v>46080.458333333336</v>
      </c>
      <c r="C1478" s="3" cm="1">
        <f t="array" ref="C1478">B1478+TIME(alea_int(5,1,Settings!$B$16),0,0)</f>
        <v>46080.625</v>
      </c>
      <c r="D1478" s="3" t="str" cm="1">
        <f t="array" ref="D1478">choice(Settings!K:K,1,Settings!$B$16)</f>
        <v>mardi pm</v>
      </c>
    </row>
    <row r="1479" spans="1:4" x14ac:dyDescent="0.25">
      <c r="A1479" s="2" t="str" cm="1">
        <f t="array" ref="A1479">choice(Professeurs!A:A,1,Settings!$B$16)</f>
        <v>Prof45</v>
      </c>
      <c r="B1479" s="3" cm="1">
        <f t="array" ref="B1479">alea_date(Settings!$B$11,360,Settings!$B$8+alea_int(4,0,Settings!$B$16),Settings!$B$16)</f>
        <v>46065.375</v>
      </c>
      <c r="C1479" s="3" cm="1">
        <f t="array" ref="C1479">B1479+TIME(alea_int(5,1,Settings!$B$16),0,0)</f>
        <v>46065.458333333336</v>
      </c>
      <c r="D1479" s="3" t="str" cm="1">
        <f t="array" ref="D1479">choice(Settings!K:K,1,Settings!$B$16)</f>
        <v>jeudi am</v>
      </c>
    </row>
    <row r="1480" spans="1:4" x14ac:dyDescent="0.25">
      <c r="A1480" s="2" t="str" cm="1">
        <f t="array" ref="A1480">choice(Professeurs!A:A,1,Settings!$B$16)</f>
        <v>Prof15</v>
      </c>
      <c r="B1480" s="3" cm="1">
        <f t="array" ref="B1480">alea_date(Settings!$B$11,360,Settings!$B$8+alea_int(4,0,Settings!$B$16),Settings!$B$16)</f>
        <v>46308.333333333336</v>
      </c>
      <c r="C1480" s="3" cm="1">
        <f t="array" ref="C1480">B1480+TIME(alea_int(5,1,Settings!$B$16),0,0)</f>
        <v>46308.5</v>
      </c>
      <c r="D1480" s="3" t="str" cm="1">
        <f t="array" ref="D1480">choice(Settings!K:K,1,Settings!$B$16)</f>
        <v/>
      </c>
    </row>
    <row r="1481" spans="1:4" x14ac:dyDescent="0.25">
      <c r="A1481" s="2" t="str" cm="1">
        <f t="array" ref="A1481">choice(Professeurs!A:A,1,Settings!$B$16)</f>
        <v>Prof23</v>
      </c>
      <c r="B1481" s="3" cm="1">
        <f t="array" ref="B1481">alea_date(Settings!$B$11,360,Settings!$B$8+alea_int(4,0,Settings!$B$16),Settings!$B$16)</f>
        <v>46231.416666666664</v>
      </c>
      <c r="C1481" s="3" cm="1">
        <f t="array" ref="C1481">B1481+TIME(alea_int(5,1,Settings!$B$16),0,0)</f>
        <v>46231.458333333328</v>
      </c>
      <c r="D1481" s="3" t="str" cm="1">
        <f t="array" ref="D1481">choice(Settings!K:K,1,Settings!$B$16)</f>
        <v/>
      </c>
    </row>
    <row r="1482" spans="1:4" x14ac:dyDescent="0.25">
      <c r="A1482" s="2" t="str" cm="1">
        <f t="array" ref="A1482">choice(Professeurs!A:A,1,Settings!$B$16)</f>
        <v>Prof52</v>
      </c>
      <c r="B1482" s="3" cm="1">
        <f t="array" ref="B1482">alea_date(Settings!$B$11,360,Settings!$B$8+alea_int(4,0,Settings!$B$16),Settings!$B$16)</f>
        <v>46087.333333333336</v>
      </c>
      <c r="C1482" s="3" cm="1">
        <f t="array" ref="C1482">B1482+TIME(alea_int(5,1,Settings!$B$16),0,0)</f>
        <v>46087.416666666672</v>
      </c>
      <c r="D1482" s="3" t="str" cm="1">
        <f t="array" ref="D1482">choice(Settings!K:K,1,Settings!$B$16)</f>
        <v>lundi pm</v>
      </c>
    </row>
    <row r="1483" spans="1:4" x14ac:dyDescent="0.25">
      <c r="A1483" s="2" t="str" cm="1">
        <f t="array" ref="A1483">choice(Professeurs!A:A,1,Settings!$B$16)</f>
        <v>Prof52</v>
      </c>
      <c r="B1483" s="3" cm="1">
        <f t="array" ref="B1483">alea_date(Settings!$B$11,360,Settings!$B$8+alea_int(4,0,Settings!$B$16),Settings!$B$16)</f>
        <v>46110.375</v>
      </c>
      <c r="C1483" s="3" cm="1">
        <f t="array" ref="C1483">B1483+TIME(alea_int(5,1,Settings!$B$16),0,0)</f>
        <v>46110.583333333336</v>
      </c>
      <c r="D1483" s="3" t="str" cm="1">
        <f t="array" ref="D1483">choice(Settings!K:K,1,Settings!$B$16)</f>
        <v>vendredi am</v>
      </c>
    </row>
    <row r="1484" spans="1:4" x14ac:dyDescent="0.25">
      <c r="A1484" s="2" t="str" cm="1">
        <f t="array" ref="A1484">choice(Professeurs!A:A,1,Settings!$B$16)</f>
        <v>Prof28</v>
      </c>
      <c r="B1484" s="3" cm="1">
        <f t="array" ref="B1484">alea_date(Settings!$B$11,360,Settings!$B$8+alea_int(4,0,Settings!$B$16),Settings!$B$16)</f>
        <v>46252.416666666664</v>
      </c>
      <c r="C1484" s="3" cm="1">
        <f t="array" ref="C1484">B1484+TIME(alea_int(5,1,Settings!$B$16),0,0)</f>
        <v>46252.458333333328</v>
      </c>
      <c r="D1484" s="3" t="str" cm="1">
        <f t="array" ref="D1484">choice(Settings!K:K,1,Settings!$B$16)</f>
        <v/>
      </c>
    </row>
    <row r="1485" spans="1:4" x14ac:dyDescent="0.25">
      <c r="A1485" s="2" t="str" cm="1">
        <f t="array" ref="A1485">choice(Professeurs!A:A,1,Settings!$B$16)</f>
        <v>Prof46</v>
      </c>
      <c r="B1485" s="3" cm="1">
        <f t="array" ref="B1485">alea_date(Settings!$B$11,360,Settings!$B$8+alea_int(4,0,Settings!$B$16),Settings!$B$16)</f>
        <v>46303.333333333336</v>
      </c>
      <c r="C1485" s="3" cm="1">
        <f t="array" ref="C1485">B1485+TIME(alea_int(5,1,Settings!$B$16),0,0)</f>
        <v>46303.5</v>
      </c>
      <c r="D1485" s="3" t="str" cm="1">
        <f t="array" ref="D1485">choice(Settings!K:K,1,Settings!$B$16)</f>
        <v/>
      </c>
    </row>
    <row r="1486" spans="1:4" x14ac:dyDescent="0.25">
      <c r="A1486" s="2" t="str" cm="1">
        <f t="array" ref="A1486">choice(Professeurs!A:A,1,Settings!$B$16)</f>
        <v>Prof40</v>
      </c>
      <c r="B1486" s="3" cm="1">
        <f t="array" ref="B1486">alea_date(Settings!$B$11,360,Settings!$B$8+alea_int(4,0,Settings!$B$16),Settings!$B$16)</f>
        <v>46351.333333333336</v>
      </c>
      <c r="C1486" s="3" cm="1">
        <f t="array" ref="C1486">B1486+TIME(alea_int(5,1,Settings!$B$16),0,0)</f>
        <v>46351.458333333336</v>
      </c>
      <c r="D1486" s="3" t="str" cm="1">
        <f t="array" ref="D1486">choice(Settings!K:K,1,Settings!$B$16)</f>
        <v/>
      </c>
    </row>
    <row r="1487" spans="1:4" x14ac:dyDescent="0.25">
      <c r="A1487" s="2" t="str" cm="1">
        <f t="array" ref="A1487">choice(Professeurs!A:A,1,Settings!$B$16)</f>
        <v>Prof18</v>
      </c>
      <c r="B1487" s="3" cm="1">
        <f t="array" ref="B1487">alea_date(Settings!$B$11,360,Settings!$B$8+alea_int(4,0,Settings!$B$16),Settings!$B$16)</f>
        <v>46357.333333333336</v>
      </c>
      <c r="C1487" s="3" cm="1">
        <f t="array" ref="C1487">B1487+TIME(alea_int(5,1,Settings!$B$16),0,0)</f>
        <v>46357.5</v>
      </c>
      <c r="D1487" s="3" t="str" cm="1">
        <f t="array" ref="D1487">choice(Settings!K:K,1,Settings!$B$16)</f>
        <v/>
      </c>
    </row>
    <row r="1488" spans="1:4" x14ac:dyDescent="0.25">
      <c r="A1488" s="2" t="str" cm="1">
        <f t="array" ref="A1488">choice(Professeurs!A:A,1,Settings!$B$16)</f>
        <v>Prof24</v>
      </c>
      <c r="B1488" s="3" cm="1">
        <f t="array" ref="B1488">alea_date(Settings!$B$11,360,Settings!$B$8+alea_int(4,0,Settings!$B$16),Settings!$B$16)</f>
        <v>46176.416666666664</v>
      </c>
      <c r="C1488" s="3" cm="1">
        <f t="array" ref="C1488">B1488+TIME(alea_int(5,1,Settings!$B$16),0,0)</f>
        <v>46176.5</v>
      </c>
      <c r="D1488" s="3" t="str" cm="1">
        <f t="array" ref="D1488">choice(Settings!K:K,1,Settings!$B$16)</f>
        <v/>
      </c>
    </row>
    <row r="1489" spans="1:4" x14ac:dyDescent="0.25">
      <c r="A1489" s="2" t="str" cm="1">
        <f t="array" ref="A1489">choice(Professeurs!A:A,1,Settings!$B$16)</f>
        <v>Prof31</v>
      </c>
      <c r="B1489" s="3" cm="1">
        <f t="array" ref="B1489">alea_date(Settings!$B$11,360,Settings!$B$8+alea_int(4,0,Settings!$B$16),Settings!$B$16)</f>
        <v>46157.375</v>
      </c>
      <c r="C1489" s="3" cm="1">
        <f t="array" ref="C1489">B1489+TIME(alea_int(5,1,Settings!$B$16),0,0)</f>
        <v>46157.416666666664</v>
      </c>
      <c r="D1489" s="3" t="str" cm="1">
        <f t="array" ref="D1489">choice(Settings!K:K,1,Settings!$B$16)</f>
        <v>mercredi ap</v>
      </c>
    </row>
    <row r="1490" spans="1:4" x14ac:dyDescent="0.25">
      <c r="A1490" s="2" t="str" cm="1">
        <f t="array" ref="A1490">choice(Professeurs!A:A,1,Settings!$B$16)</f>
        <v>Prof50</v>
      </c>
      <c r="B1490" s="3" cm="1">
        <f t="array" ref="B1490">alea_date(Settings!$B$11,360,Settings!$B$8+alea_int(4,0,Settings!$B$16),Settings!$B$16)</f>
        <v>46254.375</v>
      </c>
      <c r="C1490" s="3" cm="1">
        <f t="array" ref="C1490">B1490+TIME(alea_int(5,1,Settings!$B$16),0,0)</f>
        <v>46254.416666666664</v>
      </c>
      <c r="D1490" s="3" t="str" cm="1">
        <f t="array" ref="D1490">choice(Settings!K:K,1,Settings!$B$16)</f>
        <v/>
      </c>
    </row>
    <row r="1491" spans="1:4" x14ac:dyDescent="0.25">
      <c r="A1491" s="2" t="str" cm="1">
        <f t="array" ref="A1491">choice(Professeurs!A:A,1,Settings!$B$16)</f>
        <v>Prof43</v>
      </c>
      <c r="B1491" s="3" cm="1">
        <f t="array" ref="B1491">alea_date(Settings!$B$11,360,Settings!$B$8+alea_int(4,0,Settings!$B$16),Settings!$B$16)</f>
        <v>46273.416666666664</v>
      </c>
      <c r="C1491" s="3" cm="1">
        <f t="array" ref="C1491">B1491+TIME(alea_int(5,1,Settings!$B$16),0,0)</f>
        <v>46273.541666666664</v>
      </c>
      <c r="D1491" s="3" t="str" cm="1">
        <f t="array" ref="D1491">choice(Settings!K:K,1,Settings!$B$16)</f>
        <v>mardi am</v>
      </c>
    </row>
    <row r="1492" spans="1:4" x14ac:dyDescent="0.25">
      <c r="A1492" s="2" t="str" cm="1">
        <f t="array" ref="A1492">choice(Professeurs!A:A,1,Settings!$B$16)</f>
        <v>Prof29</v>
      </c>
      <c r="B1492" s="3" cm="1">
        <f t="array" ref="B1492">alea_date(Settings!$B$11,360,Settings!$B$8+alea_int(4,0,Settings!$B$16),Settings!$B$16)</f>
        <v>46315.416666666664</v>
      </c>
      <c r="C1492" s="3" cm="1">
        <f t="array" ref="C1492">B1492+TIME(alea_int(5,1,Settings!$B$16),0,0)</f>
        <v>46315.583333333328</v>
      </c>
      <c r="D1492" s="3" t="str" cm="1">
        <f t="array" ref="D1492">choice(Settings!K:K,1,Settings!$B$16)</f>
        <v/>
      </c>
    </row>
    <row r="1493" spans="1:4" x14ac:dyDescent="0.25">
      <c r="A1493" s="2" t="str" cm="1">
        <f t="array" ref="A1493">choice(Professeurs!A:A,1,Settings!$B$16)</f>
        <v>Prof28</v>
      </c>
      <c r="B1493" s="3" cm="1">
        <f t="array" ref="B1493">alea_date(Settings!$B$11,360,Settings!$B$8+alea_int(4,0,Settings!$B$16),Settings!$B$16)</f>
        <v>46047.416666666664</v>
      </c>
      <c r="C1493" s="3" cm="1">
        <f t="array" ref="C1493">B1493+TIME(alea_int(5,1,Settings!$B$16),0,0)</f>
        <v>46047.458333333328</v>
      </c>
      <c r="D1493" s="3" t="str" cm="1">
        <f t="array" ref="D1493">choice(Settings!K:K,1,Settings!$B$16)</f>
        <v>jeudi pm</v>
      </c>
    </row>
    <row r="1494" spans="1:4" x14ac:dyDescent="0.25">
      <c r="A1494" s="2" t="str" cm="1">
        <f t="array" ref="A1494">choice(Professeurs!A:A,1,Settings!$B$16)</f>
        <v>Prof55</v>
      </c>
      <c r="B1494" s="3" cm="1">
        <f t="array" ref="B1494">alea_date(Settings!$B$11,360,Settings!$B$8+alea_int(4,0,Settings!$B$16),Settings!$B$16)</f>
        <v>46282.375</v>
      </c>
      <c r="C1494" s="3" cm="1">
        <f t="array" ref="C1494">B1494+TIME(alea_int(5,1,Settings!$B$16),0,0)</f>
        <v>46282.458333333336</v>
      </c>
      <c r="D1494" s="3" t="str" cm="1">
        <f t="array" ref="D1494">choice(Settings!K:K,1,Settings!$B$16)</f>
        <v>mercredi pm</v>
      </c>
    </row>
    <row r="1495" spans="1:4" x14ac:dyDescent="0.25">
      <c r="A1495" s="2" t="str" cm="1">
        <f t="array" ref="A1495">choice(Professeurs!A:A,1,Settings!$B$16)</f>
        <v>Prof45</v>
      </c>
      <c r="B1495" s="3" cm="1">
        <f t="array" ref="B1495">alea_date(Settings!$B$11,360,Settings!$B$8+alea_int(4,0,Settings!$B$16),Settings!$B$16)</f>
        <v>46271.458333333336</v>
      </c>
      <c r="C1495" s="3" cm="1">
        <f t="array" ref="C1495">B1495+TIME(alea_int(5,1,Settings!$B$16),0,0)</f>
        <v>46271.541666666672</v>
      </c>
      <c r="D1495" s="3" t="str" cm="1">
        <f t="array" ref="D1495">choice(Settings!K:K,1,Settings!$B$16)</f>
        <v/>
      </c>
    </row>
    <row r="1496" spans="1:4" x14ac:dyDescent="0.25">
      <c r="A1496" s="2" t="str" cm="1">
        <f t="array" ref="A1496">choice(Professeurs!A:A,1,Settings!$B$16)</f>
        <v>Prof21</v>
      </c>
      <c r="B1496" s="3" cm="1">
        <f t="array" ref="B1496">alea_date(Settings!$B$11,360,Settings!$B$8+alea_int(4,0,Settings!$B$16),Settings!$B$16)</f>
        <v>46262.458333333336</v>
      </c>
      <c r="C1496" s="3" cm="1">
        <f t="array" ref="C1496">B1496+TIME(alea_int(5,1,Settings!$B$16),0,0)</f>
        <v>46262.541666666672</v>
      </c>
      <c r="D1496" s="3" t="str" cm="1">
        <f t="array" ref="D1496">choice(Settings!K:K,1,Settings!$B$16)</f>
        <v/>
      </c>
    </row>
    <row r="1497" spans="1:4" x14ac:dyDescent="0.25">
      <c r="A1497" s="2" t="str" cm="1">
        <f t="array" ref="A1497">choice(Professeurs!A:A,1,Settings!$B$16)</f>
        <v>Prof54</v>
      </c>
      <c r="B1497" s="3" cm="1">
        <f t="array" ref="B1497">alea_date(Settings!$B$11,360,Settings!$B$8+alea_int(4,0,Settings!$B$16),Settings!$B$16)</f>
        <v>46215.458333333336</v>
      </c>
      <c r="C1497" s="3" cm="1">
        <f t="array" ref="C1497">B1497+TIME(alea_int(5,1,Settings!$B$16),0,0)</f>
        <v>46215.541666666672</v>
      </c>
      <c r="D1497" s="3" t="str" cm="1">
        <f t="array" ref="D1497">choice(Settings!K:K,1,Settings!$B$16)</f>
        <v/>
      </c>
    </row>
    <row r="1498" spans="1:4" x14ac:dyDescent="0.25">
      <c r="A1498" s="2" t="str" cm="1">
        <f t="array" ref="A1498">choice(Professeurs!A:A,1,Settings!$B$16)</f>
        <v>Prof11</v>
      </c>
      <c r="B1498" s="3" cm="1">
        <f t="array" ref="B1498">alea_date(Settings!$B$11,360,Settings!$B$8+alea_int(4,0,Settings!$B$16),Settings!$B$16)</f>
        <v>46117.375</v>
      </c>
      <c r="C1498" s="3" cm="1">
        <f t="array" ref="C1498">B1498+TIME(alea_int(5,1,Settings!$B$16),0,0)</f>
        <v>46117.458333333336</v>
      </c>
      <c r="D1498" s="3" t="str" cm="1">
        <f t="array" ref="D1498">choice(Settings!K:K,1,Settings!$B$16)</f>
        <v/>
      </c>
    </row>
    <row r="1499" spans="1:4" x14ac:dyDescent="0.25">
      <c r="A1499" s="2" t="str" cm="1">
        <f t="array" ref="A1499">choice(Professeurs!A:A,1,Settings!$B$16)</f>
        <v>Prof33</v>
      </c>
      <c r="B1499" s="3" cm="1">
        <f t="array" ref="B1499">alea_date(Settings!$B$11,360,Settings!$B$8+alea_int(4,0,Settings!$B$16),Settings!$B$16)</f>
        <v>46258.458333333336</v>
      </c>
      <c r="C1499" s="3" cm="1">
        <f t="array" ref="C1499">B1499+TIME(alea_int(5,1,Settings!$B$16),0,0)</f>
        <v>46258.583333333336</v>
      </c>
      <c r="D1499" s="3" t="str" cm="1">
        <f t="array" ref="D1499">choice(Settings!K:K,1,Settings!$B$16)</f>
        <v/>
      </c>
    </row>
    <row r="1500" spans="1:4" x14ac:dyDescent="0.25">
      <c r="A1500" s="2" t="str" cm="1">
        <f t="array" ref="A1500">choice(Professeurs!A:A,1,Settings!$B$16)</f>
        <v>Prof53</v>
      </c>
      <c r="B1500" s="3" cm="1">
        <f t="array" ref="B1500">alea_date(Settings!$B$11,360,Settings!$B$8+alea_int(4,0,Settings!$B$16),Settings!$B$16)</f>
        <v>46158.458333333336</v>
      </c>
      <c r="C1500" s="3" cm="1">
        <f t="array" ref="C1500">B1500+TIME(alea_int(5,1,Settings!$B$16),0,0)</f>
        <v>46158.541666666672</v>
      </c>
      <c r="D1500" s="3" t="str" cm="1">
        <f t="array" ref="D1500">choice(Settings!K:K,1,Settings!$B$16)</f>
        <v/>
      </c>
    </row>
    <row r="1501" spans="1:4" x14ac:dyDescent="0.25">
      <c r="A1501" s="2" t="str" cm="1">
        <f t="array" ref="A1501">choice(Professeurs!A:A,1,Settings!$B$16)</f>
        <v>Prof45</v>
      </c>
      <c r="B1501" s="3" cm="1">
        <f t="array" ref="B1501">alea_date(Settings!$B$11,360,Settings!$B$8+alea_int(4,0,Settings!$B$16),Settings!$B$16)</f>
        <v>46170.333333333336</v>
      </c>
      <c r="C1501" s="3" cm="1">
        <f t="array" ref="C1501">B1501+TIME(alea_int(5,1,Settings!$B$16),0,0)</f>
        <v>46170.541666666672</v>
      </c>
      <c r="D1501" s="3" t="str" cm="1">
        <f t="array" ref="D1501">choice(Settings!K:K,1,Settings!$B$16)</f>
        <v/>
      </c>
    </row>
    <row r="1502" spans="1:4" x14ac:dyDescent="0.25">
      <c r="A1502" s="2" t="str" cm="1">
        <f t="array" ref="A1502">choice(Professeurs!A:A,1,Settings!$B$16)</f>
        <v>Prof15</v>
      </c>
      <c r="B1502" s="3" cm="1">
        <f t="array" ref="B1502">alea_date(Settings!$B$11,360,Settings!$B$8+alea_int(4,0,Settings!$B$16),Settings!$B$16)</f>
        <v>46237.458333333336</v>
      </c>
      <c r="C1502" s="3" cm="1">
        <f t="array" ref="C1502">B1502+TIME(alea_int(5,1,Settings!$B$16),0,0)</f>
        <v>46237.666666666672</v>
      </c>
      <c r="D1502" s="3" t="str" cm="1">
        <f t="array" ref="D1502">choice(Settings!K:K,1,Settings!$B$16)</f>
        <v/>
      </c>
    </row>
    <row r="1503" spans="1:4" x14ac:dyDescent="0.25">
      <c r="A1503" s="2" t="str" cm="1">
        <f t="array" ref="A1503">choice(Professeurs!A:A,1,Settings!$B$16)</f>
        <v>Prof5</v>
      </c>
      <c r="B1503" s="3" cm="1">
        <f t="array" ref="B1503">alea_date(Settings!$B$11,360,Settings!$B$8+alea_int(4,0,Settings!$B$16),Settings!$B$16)</f>
        <v>46095.458333333336</v>
      </c>
      <c r="C1503" s="3" cm="1">
        <f t="array" ref="C1503">B1503+TIME(alea_int(5,1,Settings!$B$16),0,0)</f>
        <v>46095.625</v>
      </c>
      <c r="D1503" s="3" t="str" cm="1">
        <f t="array" ref="D1503">choice(Settings!K:K,1,Settings!$B$16)</f>
        <v/>
      </c>
    </row>
    <row r="1504" spans="1:4" x14ac:dyDescent="0.25">
      <c r="A1504" s="2" t="str" cm="1">
        <f t="array" ref="A1504">choice(Professeurs!A:A,1,Settings!$B$16)</f>
        <v>Prof35</v>
      </c>
      <c r="B1504" s="3" cm="1">
        <f t="array" ref="B1504">alea_date(Settings!$B$11,360,Settings!$B$8+alea_int(4,0,Settings!$B$16),Settings!$B$16)</f>
        <v>46145.416666666664</v>
      </c>
      <c r="C1504" s="3" cm="1">
        <f t="array" ref="C1504">B1504+TIME(alea_int(5,1,Settings!$B$16),0,0)</f>
        <v>46145.541666666664</v>
      </c>
      <c r="D1504" s="3" t="str" cm="1">
        <f t="array" ref="D1504">choice(Settings!K:K,1,Settings!$B$16)</f>
        <v>jeudi am</v>
      </c>
    </row>
    <row r="1505" spans="1:4" x14ac:dyDescent="0.25">
      <c r="A1505" s="2" t="str" cm="1">
        <f t="array" ref="A1505">choice(Professeurs!A:A,1,Settings!$B$16)</f>
        <v>Prof53</v>
      </c>
      <c r="B1505" s="3" cm="1">
        <f t="array" ref="B1505">alea_date(Settings!$B$11,360,Settings!$B$8+alea_int(4,0,Settings!$B$16),Settings!$B$16)</f>
        <v>46292.416666666664</v>
      </c>
      <c r="C1505" s="3" cm="1">
        <f t="array" ref="C1505">B1505+TIME(alea_int(5,1,Settings!$B$16),0,0)</f>
        <v>46292.625</v>
      </c>
      <c r="D1505" s="3" t="str" cm="1">
        <f t="array" ref="D1505">choice(Settings!K:K,1,Settings!$B$16)</f>
        <v/>
      </c>
    </row>
    <row r="1506" spans="1:4" x14ac:dyDescent="0.25">
      <c r="A1506" s="2" t="str" cm="1">
        <f t="array" ref="A1506">choice(Professeurs!A:A,1,Settings!$B$16)</f>
        <v>Prof54</v>
      </c>
      <c r="B1506" s="3" cm="1">
        <f t="array" ref="B1506">alea_date(Settings!$B$11,360,Settings!$B$8+alea_int(4,0,Settings!$B$16),Settings!$B$16)</f>
        <v>46195.333333333336</v>
      </c>
      <c r="C1506" s="3" cm="1">
        <f t="array" ref="C1506">B1506+TIME(alea_int(5,1,Settings!$B$16),0,0)</f>
        <v>46195.541666666672</v>
      </c>
      <c r="D1506" s="3" t="str" cm="1">
        <f t="array" ref="D1506">choice(Settings!K:K,1,Settings!$B$16)</f>
        <v/>
      </c>
    </row>
    <row r="1507" spans="1:4" x14ac:dyDescent="0.25">
      <c r="A1507" s="2" t="str" cm="1">
        <f t="array" ref="A1507">choice(Professeurs!A:A,1,Settings!$B$16)</f>
        <v>Prof51</v>
      </c>
      <c r="B1507" s="3" cm="1">
        <f t="array" ref="B1507">alea_date(Settings!$B$11,360,Settings!$B$8+alea_int(4,0,Settings!$B$16),Settings!$B$16)</f>
        <v>46037.333333333336</v>
      </c>
      <c r="C1507" s="3" cm="1">
        <f t="array" ref="C1507">B1507+TIME(alea_int(5,1,Settings!$B$16),0,0)</f>
        <v>46037.5</v>
      </c>
      <c r="D1507" s="3" t="str" cm="1">
        <f t="array" ref="D1507">choice(Settings!K:K,1,Settings!$B$16)</f>
        <v/>
      </c>
    </row>
    <row r="1508" spans="1:4" x14ac:dyDescent="0.25">
      <c r="A1508" s="2" t="str" cm="1">
        <f t="array" ref="A1508">choice(Professeurs!A:A,1,Settings!$B$16)</f>
        <v>Prof8</v>
      </c>
      <c r="B1508" s="3" cm="1">
        <f t="array" ref="B1508">alea_date(Settings!$B$11,360,Settings!$B$8+alea_int(4,0,Settings!$B$16),Settings!$B$16)</f>
        <v>46362.375</v>
      </c>
      <c r="C1508" s="3" cm="1">
        <f t="array" ref="C1508">B1508+TIME(alea_int(5,1,Settings!$B$16),0,0)</f>
        <v>46362.416666666664</v>
      </c>
      <c r="D1508" s="3" t="str" cm="1">
        <f t="array" ref="D1508">choice(Settings!K:K,1,Settings!$B$16)</f>
        <v/>
      </c>
    </row>
    <row r="1509" spans="1:4" x14ac:dyDescent="0.25">
      <c r="A1509" s="2" t="str" cm="1">
        <f t="array" ref="A1509">choice(Professeurs!A:A,1,Settings!$B$16)</f>
        <v>Prof3</v>
      </c>
      <c r="B1509" s="3" cm="1">
        <f t="array" ref="B1509">alea_date(Settings!$B$11,360,Settings!$B$8+alea_int(4,0,Settings!$B$16),Settings!$B$16)</f>
        <v>46088.416666666664</v>
      </c>
      <c r="C1509" s="3" cm="1">
        <f t="array" ref="C1509">B1509+TIME(alea_int(5,1,Settings!$B$16),0,0)</f>
        <v>46088.541666666664</v>
      </c>
      <c r="D1509" s="3" t="str" cm="1">
        <f t="array" ref="D1509">choice(Settings!K:K,1,Settings!$B$16)</f>
        <v/>
      </c>
    </row>
    <row r="1510" spans="1:4" x14ac:dyDescent="0.25">
      <c r="A1510" s="2" t="str" cm="1">
        <f t="array" ref="A1510">choice(Professeurs!A:A,1,Settings!$B$16)</f>
        <v>Prof28</v>
      </c>
      <c r="B1510" s="3" cm="1">
        <f t="array" ref="B1510">alea_date(Settings!$B$11,360,Settings!$B$8+alea_int(4,0,Settings!$B$16),Settings!$B$16)</f>
        <v>46155.458333333336</v>
      </c>
      <c r="C1510" s="3" cm="1">
        <f t="array" ref="C1510">B1510+TIME(alea_int(5,1,Settings!$B$16),0,0)</f>
        <v>46155.5</v>
      </c>
      <c r="D1510" s="3" t="str" cm="1">
        <f t="array" ref="D1510">choice(Settings!K:K,1,Settings!$B$16)</f>
        <v/>
      </c>
    </row>
    <row r="1511" spans="1:4" x14ac:dyDescent="0.25">
      <c r="A1511" s="2" t="str" cm="1">
        <f t="array" ref="A1511">choice(Professeurs!A:A,1,Settings!$B$16)</f>
        <v>Prof31</v>
      </c>
      <c r="B1511" s="3" cm="1">
        <f t="array" ref="B1511">alea_date(Settings!$B$11,360,Settings!$B$8+alea_int(4,0,Settings!$B$16),Settings!$B$16)</f>
        <v>46197.333333333336</v>
      </c>
      <c r="C1511" s="3" cm="1">
        <f t="array" ref="C1511">B1511+TIME(alea_int(5,1,Settings!$B$16),0,0)</f>
        <v>46197.375</v>
      </c>
      <c r="D1511" s="3" t="str" cm="1">
        <f t="array" ref="D1511">choice(Settings!K:K,1,Settings!$B$16)</f>
        <v/>
      </c>
    </row>
    <row r="1512" spans="1:4" x14ac:dyDescent="0.25">
      <c r="A1512" s="2" t="str" cm="1">
        <f t="array" ref="A1512">choice(Professeurs!A:A,1,Settings!$B$16)</f>
        <v>Prof30</v>
      </c>
      <c r="B1512" s="3" cm="1">
        <f t="array" ref="B1512">alea_date(Settings!$B$11,360,Settings!$B$8+alea_int(4,0,Settings!$B$16),Settings!$B$16)</f>
        <v>46259.375</v>
      </c>
      <c r="C1512" s="3" cm="1">
        <f t="array" ref="C1512">B1512+TIME(alea_int(5,1,Settings!$B$16),0,0)</f>
        <v>46259.458333333336</v>
      </c>
      <c r="D1512" s="3" t="str" cm="1">
        <f t="array" ref="D1512">choice(Settings!K:K,1,Settings!$B$16)</f>
        <v/>
      </c>
    </row>
    <row r="1513" spans="1:4" x14ac:dyDescent="0.25">
      <c r="A1513" s="2" t="str" cm="1">
        <f t="array" ref="A1513">choice(Professeurs!A:A,1,Settings!$B$16)</f>
        <v>Prof31</v>
      </c>
      <c r="B1513" s="3" cm="1">
        <f t="array" ref="B1513">alea_date(Settings!$B$11,360,Settings!$B$8+alea_int(4,0,Settings!$B$16),Settings!$B$16)</f>
        <v>46261.375</v>
      </c>
      <c r="C1513" s="3" cm="1">
        <f t="array" ref="C1513">B1513+TIME(alea_int(5,1,Settings!$B$16),0,0)</f>
        <v>46261.583333333336</v>
      </c>
      <c r="D1513" s="3" t="str" cm="1">
        <f t="array" ref="D1513">choice(Settings!K:K,1,Settings!$B$16)</f>
        <v/>
      </c>
    </row>
    <row r="1514" spans="1:4" x14ac:dyDescent="0.25">
      <c r="A1514" s="2" t="str" cm="1">
        <f t="array" ref="A1514">choice(Professeurs!A:A,1,Settings!$B$16)</f>
        <v>Prof54</v>
      </c>
      <c r="B1514" s="3" cm="1">
        <f t="array" ref="B1514">alea_date(Settings!$B$11,360,Settings!$B$8+alea_int(4,0,Settings!$B$16),Settings!$B$16)</f>
        <v>46144.458333333336</v>
      </c>
      <c r="C1514" s="3" cm="1">
        <f t="array" ref="C1514">B1514+TIME(alea_int(5,1,Settings!$B$16),0,0)</f>
        <v>46144.583333333336</v>
      </c>
      <c r="D1514" s="3" t="str" cm="1">
        <f t="array" ref="D1514">choice(Settings!K:K,1,Settings!$B$16)</f>
        <v>semaine</v>
      </c>
    </row>
    <row r="1515" spans="1:4" x14ac:dyDescent="0.25">
      <c r="A1515" s="2" t="str" cm="1">
        <f t="array" ref="A1515">choice(Professeurs!A:A,1,Settings!$B$16)</f>
        <v>Prof8</v>
      </c>
      <c r="B1515" s="3" cm="1">
        <f t="array" ref="B1515">alea_date(Settings!$B$11,360,Settings!$B$8+alea_int(4,0,Settings!$B$16),Settings!$B$16)</f>
        <v>46358.416666666664</v>
      </c>
      <c r="C1515" s="3" cm="1">
        <f t="array" ref="C1515">B1515+TIME(alea_int(5,1,Settings!$B$16),0,0)</f>
        <v>46358.458333333328</v>
      </c>
      <c r="D1515" s="3" t="str" cm="1">
        <f t="array" ref="D1515">choice(Settings!K:K,1,Settings!$B$16)</f>
        <v/>
      </c>
    </row>
    <row r="1516" spans="1:4" x14ac:dyDescent="0.25">
      <c r="A1516" s="2" t="str" cm="1">
        <f t="array" ref="A1516">choice(Professeurs!A:A,1,Settings!$B$16)</f>
        <v>Prof14</v>
      </c>
      <c r="B1516" s="3" cm="1">
        <f t="array" ref="B1516">alea_date(Settings!$B$11,360,Settings!$B$8+alea_int(4,0,Settings!$B$16),Settings!$B$16)</f>
        <v>46185.375</v>
      </c>
      <c r="C1516" s="3" cm="1">
        <f t="array" ref="C1516">B1516+TIME(alea_int(5,1,Settings!$B$16),0,0)</f>
        <v>46185.541666666664</v>
      </c>
      <c r="D1516" s="3" t="str" cm="1">
        <f t="array" ref="D1516">choice(Settings!K:K,1,Settings!$B$16)</f>
        <v/>
      </c>
    </row>
    <row r="1517" spans="1:4" x14ac:dyDescent="0.25">
      <c r="A1517" s="2" t="str" cm="1">
        <f t="array" ref="A1517">choice(Professeurs!A:A,1,Settings!$B$16)</f>
        <v>Prof41</v>
      </c>
      <c r="B1517" s="3" cm="1">
        <f t="array" ref="B1517">alea_date(Settings!$B$11,360,Settings!$B$8+alea_int(4,0,Settings!$B$16),Settings!$B$16)</f>
        <v>46363.375</v>
      </c>
      <c r="C1517" s="3" cm="1">
        <f t="array" ref="C1517">B1517+TIME(alea_int(5,1,Settings!$B$16),0,0)</f>
        <v>46363.458333333336</v>
      </c>
      <c r="D1517" s="3" t="str" cm="1">
        <f t="array" ref="D1517">choice(Settings!K:K,1,Settings!$B$16)</f>
        <v/>
      </c>
    </row>
    <row r="1518" spans="1:4" x14ac:dyDescent="0.25">
      <c r="A1518" s="2" t="str" cm="1">
        <f t="array" ref="A1518">choice(Professeurs!A:A,1,Settings!$B$16)</f>
        <v>Prof24</v>
      </c>
      <c r="B1518" s="3" cm="1">
        <f t="array" ref="B1518">alea_date(Settings!$B$11,360,Settings!$B$8+alea_int(4,0,Settings!$B$16),Settings!$B$16)</f>
        <v>46257.333333333336</v>
      </c>
      <c r="C1518" s="3" cm="1">
        <f t="array" ref="C1518">B1518+TIME(alea_int(5,1,Settings!$B$16),0,0)</f>
        <v>46257.375</v>
      </c>
      <c r="D1518" s="3" t="str" cm="1">
        <f t="array" ref="D1518">choice(Settings!K:K,1,Settings!$B$16)</f>
        <v>vendredi pm</v>
      </c>
    </row>
    <row r="1519" spans="1:4" x14ac:dyDescent="0.25">
      <c r="A1519" s="2" t="str" cm="1">
        <f t="array" ref="A1519">choice(Professeurs!A:A,1,Settings!$B$16)</f>
        <v>Prof1</v>
      </c>
      <c r="B1519" s="3" cm="1">
        <f t="array" ref="B1519">alea_date(Settings!$B$11,360,Settings!$B$8+alea_int(4,0,Settings!$B$16),Settings!$B$16)</f>
        <v>46037.416666666664</v>
      </c>
      <c r="C1519" s="3" cm="1">
        <f t="array" ref="C1519">B1519+TIME(alea_int(5,1,Settings!$B$16),0,0)</f>
        <v>46037.541666666664</v>
      </c>
      <c r="D1519" s="3" t="str" cm="1">
        <f t="array" ref="D1519">choice(Settings!K:K,1,Settings!$B$16)</f>
        <v>vendredi pm</v>
      </c>
    </row>
    <row r="1520" spans="1:4" x14ac:dyDescent="0.25">
      <c r="A1520" s="2" t="str" cm="1">
        <f t="array" ref="A1520">choice(Professeurs!A:A,1,Settings!$B$16)</f>
        <v>Prof11</v>
      </c>
      <c r="B1520" s="3" cm="1">
        <f t="array" ref="B1520">alea_date(Settings!$B$11,360,Settings!$B$8+alea_int(4,0,Settings!$B$16),Settings!$B$16)</f>
        <v>46244.458333333336</v>
      </c>
      <c r="C1520" s="3" cm="1">
        <f t="array" ref="C1520">B1520+TIME(alea_int(5,1,Settings!$B$16),0,0)</f>
        <v>46244.583333333336</v>
      </c>
      <c r="D1520" s="3" t="str" cm="1">
        <f t="array" ref="D1520">choice(Settings!K:K,1,Settings!$B$16)</f>
        <v>jeudi am</v>
      </c>
    </row>
    <row r="1521" spans="1:4" x14ac:dyDescent="0.25">
      <c r="A1521" s="2" t="str" cm="1">
        <f t="array" ref="A1521">choice(Professeurs!A:A,1,Settings!$B$16)</f>
        <v>Prof32</v>
      </c>
      <c r="B1521" s="3" cm="1">
        <f t="array" ref="B1521">alea_date(Settings!$B$11,360,Settings!$B$8+alea_int(4,0,Settings!$B$16),Settings!$B$16)</f>
        <v>46029.458333333336</v>
      </c>
      <c r="C1521" s="3" cm="1">
        <f t="array" ref="C1521">B1521+TIME(alea_int(5,1,Settings!$B$16),0,0)</f>
        <v>46029.666666666672</v>
      </c>
      <c r="D1521" s="3" t="str" cm="1">
        <f t="array" ref="D1521">choice(Settings!K:K,1,Settings!$B$16)</f>
        <v/>
      </c>
    </row>
    <row r="1522" spans="1:4" x14ac:dyDescent="0.25">
      <c r="A1522" s="2" t="str" cm="1">
        <f t="array" ref="A1522">choice(Professeurs!A:A,1,Settings!$B$16)</f>
        <v>Prof4</v>
      </c>
      <c r="B1522" s="3" cm="1">
        <f t="array" ref="B1522">alea_date(Settings!$B$11,360,Settings!$B$8+alea_int(4,0,Settings!$B$16),Settings!$B$16)</f>
        <v>46122.333333333336</v>
      </c>
      <c r="C1522" s="3" cm="1">
        <f t="array" ref="C1522">B1522+TIME(alea_int(5,1,Settings!$B$16),0,0)</f>
        <v>46122.458333333336</v>
      </c>
      <c r="D1522" s="3" t="str" cm="1">
        <f t="array" ref="D1522">choice(Settings!K:K,1,Settings!$B$16)</f>
        <v/>
      </c>
    </row>
    <row r="1523" spans="1:4" x14ac:dyDescent="0.25">
      <c r="A1523" s="2" t="str" cm="1">
        <f t="array" ref="A1523">choice(Professeurs!A:A,1,Settings!$B$16)</f>
        <v>Prof36</v>
      </c>
      <c r="B1523" s="3" cm="1">
        <f t="array" ref="B1523">alea_date(Settings!$B$11,360,Settings!$B$8+alea_int(4,0,Settings!$B$16),Settings!$B$16)</f>
        <v>46369.416666666664</v>
      </c>
      <c r="C1523" s="3" cm="1">
        <f t="array" ref="C1523">B1523+TIME(alea_int(5,1,Settings!$B$16),0,0)</f>
        <v>46369.625</v>
      </c>
      <c r="D1523" s="3" t="str" cm="1">
        <f t="array" ref="D1523">choice(Settings!K:K,1,Settings!$B$16)</f>
        <v/>
      </c>
    </row>
    <row r="1524" spans="1:4" x14ac:dyDescent="0.25">
      <c r="A1524" s="2" t="str" cm="1">
        <f t="array" ref="A1524">choice(Professeurs!A:A,1,Settings!$B$16)</f>
        <v>Prof55</v>
      </c>
      <c r="B1524" s="3" cm="1">
        <f t="array" ref="B1524">alea_date(Settings!$B$11,360,Settings!$B$8+alea_int(4,0,Settings!$B$16),Settings!$B$16)</f>
        <v>46028.375</v>
      </c>
      <c r="C1524" s="3" cm="1">
        <f t="array" ref="C1524">B1524+TIME(alea_int(5,1,Settings!$B$16),0,0)</f>
        <v>46028.458333333336</v>
      </c>
      <c r="D1524" s="3" t="str" cm="1">
        <f t="array" ref="D1524">choice(Settings!K:K,1,Settings!$B$16)</f>
        <v/>
      </c>
    </row>
    <row r="1525" spans="1:4" x14ac:dyDescent="0.25">
      <c r="A1525" s="2" t="str" cm="1">
        <f t="array" ref="A1525">choice(Professeurs!A:A,1,Settings!$B$16)</f>
        <v>Prof10</v>
      </c>
      <c r="B1525" s="3" cm="1">
        <f t="array" ref="B1525">alea_date(Settings!$B$11,360,Settings!$B$8+alea_int(4,0,Settings!$B$16),Settings!$B$16)</f>
        <v>46289.458333333336</v>
      </c>
      <c r="C1525" s="3" cm="1">
        <f t="array" ref="C1525">B1525+TIME(alea_int(5,1,Settings!$B$16),0,0)</f>
        <v>46289.625</v>
      </c>
      <c r="D1525" s="3" t="str" cm="1">
        <f t="array" ref="D1525">choice(Settings!K:K,1,Settings!$B$16)</f>
        <v/>
      </c>
    </row>
    <row r="1526" spans="1:4" x14ac:dyDescent="0.25">
      <c r="A1526" s="2" t="str" cm="1">
        <f t="array" ref="A1526">choice(Professeurs!A:A,1,Settings!$B$16)</f>
        <v>Prof23</v>
      </c>
      <c r="B1526" s="3" cm="1">
        <f t="array" ref="B1526">alea_date(Settings!$B$11,360,Settings!$B$8+alea_int(4,0,Settings!$B$16),Settings!$B$16)</f>
        <v>46159.333333333336</v>
      </c>
      <c r="C1526" s="3" cm="1">
        <f t="array" ref="C1526">B1526+TIME(alea_int(5,1,Settings!$B$16),0,0)</f>
        <v>46159.541666666672</v>
      </c>
      <c r="D1526" s="3" t="str" cm="1">
        <f t="array" ref="D1526">choice(Settings!K:K,1,Settings!$B$16)</f>
        <v/>
      </c>
    </row>
    <row r="1527" spans="1:4" x14ac:dyDescent="0.25">
      <c r="A1527" s="2" t="str" cm="1">
        <f t="array" ref="A1527">choice(Professeurs!A:A,1,Settings!$B$16)</f>
        <v>Prof14</v>
      </c>
      <c r="B1527" s="3" cm="1">
        <f t="array" ref="B1527">alea_date(Settings!$B$11,360,Settings!$B$8+alea_int(4,0,Settings!$B$16),Settings!$B$16)</f>
        <v>46190.416666666664</v>
      </c>
      <c r="C1527" s="3" cm="1">
        <f t="array" ref="C1527">B1527+TIME(alea_int(5,1,Settings!$B$16),0,0)</f>
        <v>46190.541666666664</v>
      </c>
      <c r="D1527" s="3" t="str" cm="1">
        <f t="array" ref="D1527">choice(Settings!K:K,1,Settings!$B$16)</f>
        <v/>
      </c>
    </row>
    <row r="1528" spans="1:4" x14ac:dyDescent="0.25">
      <c r="A1528" s="2" t="str" cm="1">
        <f t="array" ref="A1528">choice(Professeurs!A:A,1,Settings!$B$16)</f>
        <v>Prof34</v>
      </c>
      <c r="B1528" s="3" cm="1">
        <f t="array" ref="B1528">alea_date(Settings!$B$11,360,Settings!$B$8+alea_int(4,0,Settings!$B$16),Settings!$B$16)</f>
        <v>46334.458333333336</v>
      </c>
      <c r="C1528" s="3" cm="1">
        <f t="array" ref="C1528">B1528+TIME(alea_int(5,1,Settings!$B$16),0,0)</f>
        <v>46334.666666666672</v>
      </c>
      <c r="D1528" s="3" t="str" cm="1">
        <f t="array" ref="D1528">choice(Settings!K:K,1,Settings!$B$16)</f>
        <v/>
      </c>
    </row>
    <row r="1529" spans="1:4" x14ac:dyDescent="0.25">
      <c r="A1529" s="2" t="str" cm="1">
        <f t="array" ref="A1529">choice(Professeurs!A:A,1,Settings!$B$16)</f>
        <v>Prof46</v>
      </c>
      <c r="B1529" s="3" cm="1">
        <f t="array" ref="B1529">alea_date(Settings!$B$11,360,Settings!$B$8+alea_int(4,0,Settings!$B$16),Settings!$B$16)</f>
        <v>46243.333333333336</v>
      </c>
      <c r="C1529" s="3" cm="1">
        <f t="array" ref="C1529">B1529+TIME(alea_int(5,1,Settings!$B$16),0,0)</f>
        <v>46243.375</v>
      </c>
      <c r="D1529" s="3" t="str" cm="1">
        <f t="array" ref="D1529">choice(Settings!K:K,1,Settings!$B$16)</f>
        <v>lundi pm</v>
      </c>
    </row>
    <row r="1530" spans="1:4" x14ac:dyDescent="0.25">
      <c r="A1530" s="2" t="str" cm="1">
        <f t="array" ref="A1530">choice(Professeurs!A:A,1,Settings!$B$16)</f>
        <v>Prof39</v>
      </c>
      <c r="B1530" s="3" cm="1">
        <f t="array" ref="B1530">alea_date(Settings!$B$11,360,Settings!$B$8+alea_int(4,0,Settings!$B$16),Settings!$B$16)</f>
        <v>46050.333333333336</v>
      </c>
      <c r="C1530" s="3" cm="1">
        <f t="array" ref="C1530">B1530+TIME(alea_int(5,1,Settings!$B$16),0,0)</f>
        <v>46050.5</v>
      </c>
      <c r="D1530" s="3" t="str" cm="1">
        <f t="array" ref="D1530">choice(Settings!K:K,1,Settings!$B$16)</f>
        <v/>
      </c>
    </row>
    <row r="1531" spans="1:4" x14ac:dyDescent="0.25">
      <c r="A1531" s="2" t="str" cm="1">
        <f t="array" ref="A1531">choice(Professeurs!A:A,1,Settings!$B$16)</f>
        <v>Prof4</v>
      </c>
      <c r="B1531" s="3" cm="1">
        <f t="array" ref="B1531">alea_date(Settings!$B$11,360,Settings!$B$8+alea_int(4,0,Settings!$B$16),Settings!$B$16)</f>
        <v>46287.458333333336</v>
      </c>
      <c r="C1531" s="3" cm="1">
        <f t="array" ref="C1531">B1531+TIME(alea_int(5,1,Settings!$B$16),0,0)</f>
        <v>46287.541666666672</v>
      </c>
      <c r="D1531" s="3" t="str" cm="1">
        <f t="array" ref="D1531">choice(Settings!K:K,1,Settings!$B$16)</f>
        <v/>
      </c>
    </row>
    <row r="1532" spans="1:4" x14ac:dyDescent="0.25">
      <c r="A1532" s="2" t="str" cm="1">
        <f t="array" ref="A1532">choice(Professeurs!A:A,1,Settings!$B$16)</f>
        <v>Prof31</v>
      </c>
      <c r="B1532" s="3" cm="1">
        <f t="array" ref="B1532">alea_date(Settings!$B$11,360,Settings!$B$8+alea_int(4,0,Settings!$B$16),Settings!$B$16)</f>
        <v>46240.458333333336</v>
      </c>
      <c r="C1532" s="3" cm="1">
        <f t="array" ref="C1532">B1532+TIME(alea_int(5,1,Settings!$B$16),0,0)</f>
        <v>46240.625</v>
      </c>
      <c r="D1532" s="3" t="str" cm="1">
        <f t="array" ref="D1532">choice(Settings!K:K,1,Settings!$B$16)</f>
        <v>vendredi am</v>
      </c>
    </row>
    <row r="1533" spans="1:4" x14ac:dyDescent="0.25">
      <c r="A1533" s="2" t="str" cm="1">
        <f t="array" ref="A1533">choice(Professeurs!A:A,1,Settings!$B$16)</f>
        <v>Prof18</v>
      </c>
      <c r="B1533" s="3" cm="1">
        <f t="array" ref="B1533">alea_date(Settings!$B$11,360,Settings!$B$8+alea_int(4,0,Settings!$B$16),Settings!$B$16)</f>
        <v>46177.333333333336</v>
      </c>
      <c r="C1533" s="3" cm="1">
        <f t="array" ref="C1533">B1533+TIME(alea_int(5,1,Settings!$B$16),0,0)</f>
        <v>46177.416666666672</v>
      </c>
      <c r="D1533" s="3" t="str" cm="1">
        <f t="array" ref="D1533">choice(Settings!K:K,1,Settings!$B$16)</f>
        <v>jeudi am</v>
      </c>
    </row>
    <row r="1534" spans="1:4" x14ac:dyDescent="0.25">
      <c r="A1534" s="2" t="str" cm="1">
        <f t="array" ref="A1534">choice(Professeurs!A:A,1,Settings!$B$16)</f>
        <v>Prof4</v>
      </c>
      <c r="B1534" s="3" cm="1">
        <f t="array" ref="B1534">alea_date(Settings!$B$11,360,Settings!$B$8+alea_int(4,0,Settings!$B$16),Settings!$B$16)</f>
        <v>46163.333333333336</v>
      </c>
      <c r="C1534" s="3" cm="1">
        <f t="array" ref="C1534">B1534+TIME(alea_int(5,1,Settings!$B$16),0,0)</f>
        <v>46163.541666666672</v>
      </c>
      <c r="D1534" s="3" t="str" cm="1">
        <f t="array" ref="D1534">choice(Settings!K:K,1,Settings!$B$16)</f>
        <v/>
      </c>
    </row>
    <row r="1535" spans="1:4" x14ac:dyDescent="0.25">
      <c r="A1535" s="2" t="str" cm="1">
        <f t="array" ref="A1535">choice(Professeurs!A:A,1,Settings!$B$16)</f>
        <v>Prof47</v>
      </c>
      <c r="B1535" s="3" cm="1">
        <f t="array" ref="B1535">alea_date(Settings!$B$11,360,Settings!$B$8+alea_int(4,0,Settings!$B$16),Settings!$B$16)</f>
        <v>46278.416666666664</v>
      </c>
      <c r="C1535" s="3" cm="1">
        <f t="array" ref="C1535">B1535+TIME(alea_int(5,1,Settings!$B$16),0,0)</f>
        <v>46278.5</v>
      </c>
      <c r="D1535" s="3" t="str" cm="1">
        <f t="array" ref="D1535">choice(Settings!K:K,1,Settings!$B$16)</f>
        <v/>
      </c>
    </row>
    <row r="1536" spans="1:4" x14ac:dyDescent="0.25">
      <c r="A1536" s="2" t="str" cm="1">
        <f t="array" ref="A1536">choice(Professeurs!A:A,1,Settings!$B$16)</f>
        <v>Prof8</v>
      </c>
      <c r="B1536" s="3" cm="1">
        <f t="array" ref="B1536">alea_date(Settings!$B$11,360,Settings!$B$8+alea_int(4,0,Settings!$B$16),Settings!$B$16)</f>
        <v>46245.416666666664</v>
      </c>
      <c r="C1536" s="3" cm="1">
        <f t="array" ref="C1536">B1536+TIME(alea_int(5,1,Settings!$B$16),0,0)</f>
        <v>46245.5</v>
      </c>
      <c r="D1536" s="3" t="str" cm="1">
        <f t="array" ref="D1536">choice(Settings!K:K,1,Settings!$B$16)</f>
        <v/>
      </c>
    </row>
    <row r="1537" spans="1:4" x14ac:dyDescent="0.25">
      <c r="A1537" s="2" t="str" cm="1">
        <f t="array" ref="A1537">choice(Professeurs!A:A,1,Settings!$B$16)</f>
        <v>Prof7</v>
      </c>
      <c r="B1537" s="3" cm="1">
        <f t="array" ref="B1537">alea_date(Settings!$B$11,360,Settings!$B$8+alea_int(4,0,Settings!$B$16),Settings!$B$16)</f>
        <v>46356.458333333336</v>
      </c>
      <c r="C1537" s="3" cm="1">
        <f t="array" ref="C1537">B1537+TIME(alea_int(5,1,Settings!$B$16),0,0)</f>
        <v>46356.666666666672</v>
      </c>
      <c r="D1537" s="3" t="str" cm="1">
        <f t="array" ref="D1537">choice(Settings!K:K,1,Settings!$B$16)</f>
        <v>mardi am</v>
      </c>
    </row>
    <row r="1538" spans="1:4" x14ac:dyDescent="0.25">
      <c r="A1538" s="2" t="str" cm="1">
        <f t="array" ref="A1538">choice(Professeurs!A:A,1,Settings!$B$16)</f>
        <v>Prof40</v>
      </c>
      <c r="B1538" s="3" cm="1">
        <f t="array" ref="B1538">alea_date(Settings!$B$11,360,Settings!$B$8+alea_int(4,0,Settings!$B$16),Settings!$B$16)</f>
        <v>46287.458333333336</v>
      </c>
      <c r="C1538" s="3" cm="1">
        <f t="array" ref="C1538">B1538+TIME(alea_int(5,1,Settings!$B$16),0,0)</f>
        <v>46287.5</v>
      </c>
      <c r="D1538" s="3" t="str" cm="1">
        <f t="array" ref="D1538">choice(Settings!K:K,1,Settings!$B$16)</f>
        <v/>
      </c>
    </row>
    <row r="1539" spans="1:4" x14ac:dyDescent="0.25">
      <c r="A1539" s="2" t="str" cm="1">
        <f t="array" ref="A1539">choice(Professeurs!A:A,1,Settings!$B$16)</f>
        <v>Prof43</v>
      </c>
      <c r="B1539" s="3" cm="1">
        <f t="array" ref="B1539">alea_date(Settings!$B$11,360,Settings!$B$8+alea_int(4,0,Settings!$B$16),Settings!$B$16)</f>
        <v>46100.375</v>
      </c>
      <c r="C1539" s="3" cm="1">
        <f t="array" ref="C1539">B1539+TIME(alea_int(5,1,Settings!$B$16),0,0)</f>
        <v>46100.458333333336</v>
      </c>
      <c r="D1539" s="3" t="str" cm="1">
        <f t="array" ref="D1539">choice(Settings!K:K,1,Settings!$B$16)</f>
        <v>semaine</v>
      </c>
    </row>
    <row r="1540" spans="1:4" x14ac:dyDescent="0.25">
      <c r="A1540" s="2" t="str" cm="1">
        <f t="array" ref="A1540">choice(Professeurs!A:A,1,Settings!$B$16)</f>
        <v>Prof16</v>
      </c>
      <c r="B1540" s="3" cm="1">
        <f t="array" ref="B1540">alea_date(Settings!$B$11,360,Settings!$B$8+alea_int(4,0,Settings!$B$16),Settings!$B$16)</f>
        <v>46091.458333333336</v>
      </c>
      <c r="C1540" s="3" cm="1">
        <f t="array" ref="C1540">B1540+TIME(alea_int(5,1,Settings!$B$16),0,0)</f>
        <v>46091.541666666672</v>
      </c>
      <c r="D1540" s="3" t="str" cm="1">
        <f t="array" ref="D1540">choice(Settings!K:K,1,Settings!$B$16)</f>
        <v/>
      </c>
    </row>
    <row r="1541" spans="1:4" x14ac:dyDescent="0.25">
      <c r="A1541" s="2" t="str" cm="1">
        <f t="array" ref="A1541">choice(Professeurs!A:A,1,Settings!$B$16)</f>
        <v>Prof18</v>
      </c>
      <c r="B1541" s="3" cm="1">
        <f t="array" ref="B1541">alea_date(Settings!$B$11,360,Settings!$B$8+alea_int(4,0,Settings!$B$16),Settings!$B$16)</f>
        <v>46334.333333333336</v>
      </c>
      <c r="C1541" s="3" cm="1">
        <f t="array" ref="C1541">B1541+TIME(alea_int(5,1,Settings!$B$16),0,0)</f>
        <v>46334.416666666672</v>
      </c>
      <c r="D1541" s="3" t="str" cm="1">
        <f t="array" ref="D1541">choice(Settings!K:K,1,Settings!$B$16)</f>
        <v/>
      </c>
    </row>
    <row r="1542" spans="1:4" x14ac:dyDescent="0.25">
      <c r="A1542" s="2" t="str" cm="1">
        <f t="array" ref="A1542">choice(Professeurs!A:A,1,Settings!$B$16)</f>
        <v>Prof12</v>
      </c>
      <c r="B1542" s="3" cm="1">
        <f t="array" ref="B1542">alea_date(Settings!$B$11,360,Settings!$B$8+alea_int(4,0,Settings!$B$16),Settings!$B$16)</f>
        <v>46023.375</v>
      </c>
      <c r="C1542" s="3" cm="1">
        <f t="array" ref="C1542">B1542+TIME(alea_int(5,1,Settings!$B$16),0,0)</f>
        <v>46023.416666666664</v>
      </c>
      <c r="D1542" s="3" t="str" cm="1">
        <f t="array" ref="D1542">choice(Settings!K:K,1,Settings!$B$16)</f>
        <v>mardi am</v>
      </c>
    </row>
    <row r="1543" spans="1:4" x14ac:dyDescent="0.25">
      <c r="A1543" s="2" t="str" cm="1">
        <f t="array" ref="A1543">choice(Professeurs!A:A,1,Settings!$B$16)</f>
        <v>Prof36</v>
      </c>
      <c r="B1543" s="3" cm="1">
        <f t="array" ref="B1543">alea_date(Settings!$B$11,360,Settings!$B$8+alea_int(4,0,Settings!$B$16),Settings!$B$16)</f>
        <v>46288.416666666664</v>
      </c>
      <c r="C1543" s="3" cm="1">
        <f t="array" ref="C1543">B1543+TIME(alea_int(5,1,Settings!$B$16),0,0)</f>
        <v>46288.583333333328</v>
      </c>
      <c r="D1543" s="3" t="str" cm="1">
        <f t="array" ref="D1543">choice(Settings!K:K,1,Settings!$B$16)</f>
        <v>vendredi am</v>
      </c>
    </row>
    <row r="1544" spans="1:4" x14ac:dyDescent="0.25">
      <c r="A1544" s="2" t="str" cm="1">
        <f t="array" ref="A1544">choice(Professeurs!A:A,1,Settings!$B$16)</f>
        <v>Prof15</v>
      </c>
      <c r="B1544" s="3" cm="1">
        <f t="array" ref="B1544">alea_date(Settings!$B$11,360,Settings!$B$8+alea_int(4,0,Settings!$B$16),Settings!$B$16)</f>
        <v>46156.375</v>
      </c>
      <c r="C1544" s="3" cm="1">
        <f t="array" ref="C1544">B1544+TIME(alea_int(5,1,Settings!$B$16),0,0)</f>
        <v>46156.541666666664</v>
      </c>
      <c r="D1544" s="3" t="str" cm="1">
        <f t="array" ref="D1544">choice(Settings!K:K,1,Settings!$B$16)</f>
        <v>jeudi am</v>
      </c>
    </row>
    <row r="1545" spans="1:4" x14ac:dyDescent="0.25">
      <c r="A1545" s="2" t="str" cm="1">
        <f t="array" ref="A1545">choice(Professeurs!A:A,1,Settings!$B$16)</f>
        <v>Prof49</v>
      </c>
      <c r="B1545" s="3" cm="1">
        <f t="array" ref="B1545">alea_date(Settings!$B$11,360,Settings!$B$8+alea_int(4,0,Settings!$B$16),Settings!$B$16)</f>
        <v>46274.458333333336</v>
      </c>
      <c r="C1545" s="3" cm="1">
        <f t="array" ref="C1545">B1545+TIME(alea_int(5,1,Settings!$B$16),0,0)</f>
        <v>46274.625</v>
      </c>
      <c r="D1545" s="3" t="str" cm="1">
        <f t="array" ref="D1545">choice(Settings!K:K,1,Settings!$B$16)</f>
        <v/>
      </c>
    </row>
    <row r="1546" spans="1:4" x14ac:dyDescent="0.25">
      <c r="A1546" s="2" t="str" cm="1">
        <f t="array" ref="A1546">choice(Professeurs!A:A,1,Settings!$B$16)</f>
        <v>Prof9</v>
      </c>
      <c r="B1546" s="3" cm="1">
        <f t="array" ref="B1546">alea_date(Settings!$B$11,360,Settings!$B$8+alea_int(4,0,Settings!$B$16),Settings!$B$16)</f>
        <v>46105.333333333336</v>
      </c>
      <c r="C1546" s="3" cm="1">
        <f t="array" ref="C1546">B1546+TIME(alea_int(5,1,Settings!$B$16),0,0)</f>
        <v>46105.416666666672</v>
      </c>
      <c r="D1546" s="3" t="str" cm="1">
        <f t="array" ref="D1546">choice(Settings!K:K,1,Settings!$B$16)</f>
        <v/>
      </c>
    </row>
    <row r="1547" spans="1:4" x14ac:dyDescent="0.25">
      <c r="A1547" s="2" t="str" cm="1">
        <f t="array" ref="A1547">choice(Professeurs!A:A,1,Settings!$B$16)</f>
        <v>Prof50</v>
      </c>
      <c r="B1547" s="3" cm="1">
        <f t="array" ref="B1547">alea_date(Settings!$B$11,360,Settings!$B$8+alea_int(4,0,Settings!$B$16),Settings!$B$16)</f>
        <v>46034.375</v>
      </c>
      <c r="C1547" s="3" cm="1">
        <f t="array" ref="C1547">B1547+TIME(alea_int(5,1,Settings!$B$16),0,0)</f>
        <v>46034.583333333336</v>
      </c>
      <c r="D1547" s="3" t="str" cm="1">
        <f t="array" ref="D1547">choice(Settings!K:K,1,Settings!$B$16)</f>
        <v/>
      </c>
    </row>
    <row r="1548" spans="1:4" x14ac:dyDescent="0.25">
      <c r="A1548" s="2" t="str" cm="1">
        <f t="array" ref="A1548">choice(Professeurs!A:A,1,Settings!$B$16)</f>
        <v>Prof2</v>
      </c>
      <c r="B1548" s="3" cm="1">
        <f t="array" ref="B1548">alea_date(Settings!$B$11,360,Settings!$B$8+alea_int(4,0,Settings!$B$16),Settings!$B$16)</f>
        <v>46061.458333333336</v>
      </c>
      <c r="C1548" s="3" cm="1">
        <f t="array" ref="C1548">B1548+TIME(alea_int(5,1,Settings!$B$16),0,0)</f>
        <v>46061.541666666672</v>
      </c>
      <c r="D1548" s="3" t="str" cm="1">
        <f t="array" ref="D1548">choice(Settings!K:K,1,Settings!$B$16)</f>
        <v/>
      </c>
    </row>
    <row r="1549" spans="1:4" x14ac:dyDescent="0.25">
      <c r="A1549" s="2" t="str" cm="1">
        <f t="array" ref="A1549">choice(Professeurs!A:A,1,Settings!$B$16)</f>
        <v>Prof18</v>
      </c>
      <c r="B1549" s="3" cm="1">
        <f t="array" ref="B1549">alea_date(Settings!$B$11,360,Settings!$B$8+alea_int(4,0,Settings!$B$16),Settings!$B$16)</f>
        <v>46145.375</v>
      </c>
      <c r="C1549" s="3" cm="1">
        <f t="array" ref="C1549">B1549+TIME(alea_int(5,1,Settings!$B$16),0,0)</f>
        <v>46145.541666666664</v>
      </c>
      <c r="D1549" s="3" t="str" cm="1">
        <f t="array" ref="D1549">choice(Settings!K:K,1,Settings!$B$16)</f>
        <v/>
      </c>
    </row>
    <row r="1550" spans="1:4" x14ac:dyDescent="0.25">
      <c r="A1550" s="2" t="str" cm="1">
        <f t="array" ref="A1550">choice(Professeurs!A:A,1,Settings!$B$16)</f>
        <v>Prof20</v>
      </c>
      <c r="B1550" s="3" cm="1">
        <f t="array" ref="B1550">alea_date(Settings!$B$11,360,Settings!$B$8+alea_int(4,0,Settings!$B$16),Settings!$B$16)</f>
        <v>46298.375</v>
      </c>
      <c r="C1550" s="3" cm="1">
        <f t="array" ref="C1550">B1550+TIME(alea_int(5,1,Settings!$B$16),0,0)</f>
        <v>46298.541666666664</v>
      </c>
      <c r="D1550" s="3" t="str" cm="1">
        <f t="array" ref="D1550">choice(Settings!K:K,1,Settings!$B$16)</f>
        <v>vendredi am</v>
      </c>
    </row>
    <row r="1551" spans="1:4" x14ac:dyDescent="0.25">
      <c r="A1551" s="2" t="str" cm="1">
        <f t="array" ref="A1551">choice(Professeurs!A:A,1,Settings!$B$16)</f>
        <v>Prof14</v>
      </c>
      <c r="B1551" s="3" cm="1">
        <f t="array" ref="B1551">alea_date(Settings!$B$11,360,Settings!$B$8+alea_int(4,0,Settings!$B$16),Settings!$B$16)</f>
        <v>46066.375</v>
      </c>
      <c r="C1551" s="3" cm="1">
        <f t="array" ref="C1551">B1551+TIME(alea_int(5,1,Settings!$B$16),0,0)</f>
        <v>46066.541666666664</v>
      </c>
      <c r="D1551" s="3" t="str" cm="1">
        <f t="array" ref="D1551">choice(Settings!K:K,1,Settings!$B$16)</f>
        <v>lundi pm</v>
      </c>
    </row>
    <row r="1552" spans="1:4" x14ac:dyDescent="0.25">
      <c r="A1552" s="2" t="str" cm="1">
        <f t="array" ref="A1552">choice(Professeurs!A:A,1,Settings!$B$16)</f>
        <v>Prof55</v>
      </c>
      <c r="B1552" s="3" cm="1">
        <f t="array" ref="B1552">alea_date(Settings!$B$11,360,Settings!$B$8+alea_int(4,0,Settings!$B$16),Settings!$B$16)</f>
        <v>46119.458333333336</v>
      </c>
      <c r="C1552" s="3" cm="1">
        <f t="array" ref="C1552">B1552+TIME(alea_int(5,1,Settings!$B$16),0,0)</f>
        <v>46119.541666666672</v>
      </c>
      <c r="D1552" s="3" t="str" cm="1">
        <f t="array" ref="D1552">choice(Settings!K:K,1,Settings!$B$16)</f>
        <v/>
      </c>
    </row>
    <row r="1553" spans="1:4" x14ac:dyDescent="0.25">
      <c r="A1553" s="2" t="str" cm="1">
        <f t="array" ref="A1553">choice(Professeurs!A:A,1,Settings!$B$16)</f>
        <v>Prof2</v>
      </c>
      <c r="B1553" s="3" cm="1">
        <f t="array" ref="B1553">alea_date(Settings!$B$11,360,Settings!$B$8+alea_int(4,0,Settings!$B$16),Settings!$B$16)</f>
        <v>46148.333333333336</v>
      </c>
      <c r="C1553" s="3" cm="1">
        <f t="array" ref="C1553">B1553+TIME(alea_int(5,1,Settings!$B$16),0,0)</f>
        <v>46148.541666666672</v>
      </c>
      <c r="D1553" s="3" t="str" cm="1">
        <f t="array" ref="D1553">choice(Settings!K:K,1,Settings!$B$16)</f>
        <v/>
      </c>
    </row>
    <row r="1554" spans="1:4" x14ac:dyDescent="0.25">
      <c r="A1554" s="2" t="str" cm="1">
        <f t="array" ref="A1554">choice(Professeurs!A:A,1,Settings!$B$16)</f>
        <v>Prof51</v>
      </c>
      <c r="B1554" s="3" cm="1">
        <f t="array" ref="B1554">alea_date(Settings!$B$11,360,Settings!$B$8+alea_int(4,0,Settings!$B$16),Settings!$B$16)</f>
        <v>46308.333333333336</v>
      </c>
      <c r="C1554" s="3" cm="1">
        <f t="array" ref="C1554">B1554+TIME(alea_int(5,1,Settings!$B$16),0,0)</f>
        <v>46308.541666666672</v>
      </c>
      <c r="D1554" s="3" t="str" cm="1">
        <f t="array" ref="D1554">choice(Settings!K:K,1,Settings!$B$16)</f>
        <v>semaine</v>
      </c>
    </row>
    <row r="1555" spans="1:4" x14ac:dyDescent="0.25">
      <c r="A1555" s="2" t="str" cm="1">
        <f t="array" ref="A1555">choice(Professeurs!A:A,1,Settings!$B$16)</f>
        <v>Prof22</v>
      </c>
      <c r="B1555" s="3" cm="1">
        <f t="array" ref="B1555">alea_date(Settings!$B$11,360,Settings!$B$8+alea_int(4,0,Settings!$B$16),Settings!$B$16)</f>
        <v>46198.333333333336</v>
      </c>
      <c r="C1555" s="3" cm="1">
        <f t="array" ref="C1555">B1555+TIME(alea_int(5,1,Settings!$B$16),0,0)</f>
        <v>46198.458333333336</v>
      </c>
      <c r="D1555" s="3" t="str" cm="1">
        <f t="array" ref="D1555">choice(Settings!K:K,1,Settings!$B$16)</f>
        <v>vendredi am</v>
      </c>
    </row>
    <row r="1556" spans="1:4" x14ac:dyDescent="0.25">
      <c r="A1556" s="2" t="str" cm="1">
        <f t="array" ref="A1556">choice(Professeurs!A:A,1,Settings!$B$16)</f>
        <v>Prof29</v>
      </c>
      <c r="B1556" s="3" cm="1">
        <f t="array" ref="B1556">alea_date(Settings!$B$11,360,Settings!$B$8+alea_int(4,0,Settings!$B$16),Settings!$B$16)</f>
        <v>46179.333333333336</v>
      </c>
      <c r="C1556" s="3" cm="1">
        <f t="array" ref="C1556">B1556+TIME(alea_int(5,1,Settings!$B$16),0,0)</f>
        <v>46179.375</v>
      </c>
      <c r="D1556" s="3" t="str" cm="1">
        <f t="array" ref="D1556">choice(Settings!K:K,1,Settings!$B$16)</f>
        <v>jeudi pm</v>
      </c>
    </row>
    <row r="1557" spans="1:4" x14ac:dyDescent="0.25">
      <c r="A1557" s="2" t="str" cm="1">
        <f t="array" ref="A1557">choice(Professeurs!A:A,1,Settings!$B$16)</f>
        <v>Prof4</v>
      </c>
      <c r="B1557" s="3" cm="1">
        <f t="array" ref="B1557">alea_date(Settings!$B$11,360,Settings!$B$8+alea_int(4,0,Settings!$B$16),Settings!$B$16)</f>
        <v>46110.333333333336</v>
      </c>
      <c r="C1557" s="3" cm="1">
        <f t="array" ref="C1557">B1557+TIME(alea_int(5,1,Settings!$B$16),0,0)</f>
        <v>46110.416666666672</v>
      </c>
      <c r="D1557" s="3" t="str" cm="1">
        <f t="array" ref="D1557">choice(Settings!K:K,1,Settings!$B$16)</f>
        <v/>
      </c>
    </row>
    <row r="1558" spans="1:4" x14ac:dyDescent="0.25">
      <c r="A1558" s="2" t="str" cm="1">
        <f t="array" ref="A1558">choice(Professeurs!A:A,1,Settings!$B$16)</f>
        <v>Prof29</v>
      </c>
      <c r="B1558" s="3" cm="1">
        <f t="array" ref="B1558">alea_date(Settings!$B$11,360,Settings!$B$8+alea_int(4,0,Settings!$B$16),Settings!$B$16)</f>
        <v>46286.458333333336</v>
      </c>
      <c r="C1558" s="3" cm="1">
        <f t="array" ref="C1558">B1558+TIME(alea_int(5,1,Settings!$B$16),0,0)</f>
        <v>46286.625</v>
      </c>
      <c r="D1558" s="3" t="str" cm="1">
        <f t="array" ref="D1558">choice(Settings!K:K,1,Settings!$B$16)</f>
        <v/>
      </c>
    </row>
    <row r="1559" spans="1:4" x14ac:dyDescent="0.25">
      <c r="A1559" s="2" t="str" cm="1">
        <f t="array" ref="A1559">choice(Professeurs!A:A,1,Settings!$B$16)</f>
        <v>Prof7</v>
      </c>
      <c r="B1559" s="3" cm="1">
        <f t="array" ref="B1559">alea_date(Settings!$B$11,360,Settings!$B$8+alea_int(4,0,Settings!$B$16),Settings!$B$16)</f>
        <v>46118.375</v>
      </c>
      <c r="C1559" s="3" cm="1">
        <f t="array" ref="C1559">B1559+TIME(alea_int(5,1,Settings!$B$16),0,0)</f>
        <v>46118.583333333336</v>
      </c>
      <c r="D1559" s="3" t="str" cm="1">
        <f t="array" ref="D1559">choice(Settings!K:K,1,Settings!$B$16)</f>
        <v/>
      </c>
    </row>
    <row r="1560" spans="1:4" x14ac:dyDescent="0.25">
      <c r="A1560" s="2" t="str" cm="1">
        <f t="array" ref="A1560">choice(Professeurs!A:A,1,Settings!$B$16)</f>
        <v>Prof1</v>
      </c>
      <c r="B1560" s="3" cm="1">
        <f t="array" ref="B1560">alea_date(Settings!$B$11,360,Settings!$B$8+alea_int(4,0,Settings!$B$16),Settings!$B$16)</f>
        <v>46145.458333333336</v>
      </c>
      <c r="C1560" s="3" cm="1">
        <f t="array" ref="C1560">B1560+TIME(alea_int(5,1,Settings!$B$16),0,0)</f>
        <v>46145.625</v>
      </c>
      <c r="D1560" s="3" t="str" cm="1">
        <f t="array" ref="D1560">choice(Settings!K:K,1,Settings!$B$16)</f>
        <v/>
      </c>
    </row>
    <row r="1561" spans="1:4" x14ac:dyDescent="0.25">
      <c r="A1561" s="2" t="str" cm="1">
        <f t="array" ref="A1561">choice(Professeurs!A:A,1,Settings!$B$16)</f>
        <v>Prof32</v>
      </c>
      <c r="B1561" s="3" cm="1">
        <f t="array" ref="B1561">alea_date(Settings!$B$11,360,Settings!$B$8+alea_int(4,0,Settings!$B$16),Settings!$B$16)</f>
        <v>46245.375</v>
      </c>
      <c r="C1561" s="3" cm="1">
        <f t="array" ref="C1561">B1561+TIME(alea_int(5,1,Settings!$B$16),0,0)</f>
        <v>46245.5</v>
      </c>
      <c r="D1561" s="3" t="str" cm="1">
        <f t="array" ref="D1561">choice(Settings!K:K,1,Settings!$B$16)</f>
        <v/>
      </c>
    </row>
    <row r="1562" spans="1:4" x14ac:dyDescent="0.25">
      <c r="A1562" s="2" t="str" cm="1">
        <f t="array" ref="A1562">choice(Professeurs!A:A,1,Settings!$B$16)</f>
        <v>Prof13</v>
      </c>
      <c r="B1562" s="3" cm="1">
        <f t="array" ref="B1562">alea_date(Settings!$B$11,360,Settings!$B$8+alea_int(4,0,Settings!$B$16),Settings!$B$16)</f>
        <v>46338.375</v>
      </c>
      <c r="C1562" s="3" cm="1">
        <f t="array" ref="C1562">B1562+TIME(alea_int(5,1,Settings!$B$16),0,0)</f>
        <v>46338.458333333336</v>
      </c>
      <c r="D1562" s="3" t="str" cm="1">
        <f t="array" ref="D1562">choice(Settings!K:K,1,Settings!$B$16)</f>
        <v>mardi pm</v>
      </c>
    </row>
    <row r="1563" spans="1:4" x14ac:dyDescent="0.25">
      <c r="A1563" s="2" t="str" cm="1">
        <f t="array" ref="A1563">choice(Professeurs!A:A,1,Settings!$B$16)</f>
        <v>Prof30</v>
      </c>
      <c r="B1563" s="3" cm="1">
        <f t="array" ref="B1563">alea_date(Settings!$B$11,360,Settings!$B$8+alea_int(4,0,Settings!$B$16),Settings!$B$16)</f>
        <v>46049.375</v>
      </c>
      <c r="C1563" s="3" cm="1">
        <f t="array" ref="C1563">B1563+TIME(alea_int(5,1,Settings!$B$16),0,0)</f>
        <v>46049.416666666664</v>
      </c>
      <c r="D1563" s="3" t="str" cm="1">
        <f t="array" ref="D1563">choice(Settings!K:K,1,Settings!$B$16)</f>
        <v/>
      </c>
    </row>
    <row r="1564" spans="1:4" x14ac:dyDescent="0.25">
      <c r="A1564" s="2" t="str" cm="1">
        <f t="array" ref="A1564">choice(Professeurs!A:A,1,Settings!$B$16)</f>
        <v>Prof20</v>
      </c>
      <c r="B1564" s="3" cm="1">
        <f t="array" ref="B1564">alea_date(Settings!$B$11,360,Settings!$B$8+alea_int(4,0,Settings!$B$16),Settings!$B$16)</f>
        <v>46381.333333333336</v>
      </c>
      <c r="C1564" s="3" cm="1">
        <f t="array" ref="C1564">B1564+TIME(alea_int(5,1,Settings!$B$16),0,0)</f>
        <v>46381.458333333336</v>
      </c>
      <c r="D1564" s="3" t="str" cm="1">
        <f t="array" ref="D1564">choice(Settings!K:K,1,Settings!$B$16)</f>
        <v>lundi am</v>
      </c>
    </row>
    <row r="1565" spans="1:4" x14ac:dyDescent="0.25">
      <c r="A1565" s="2" t="str" cm="1">
        <f t="array" ref="A1565">choice(Professeurs!A:A,1,Settings!$B$16)</f>
        <v>Prof6</v>
      </c>
      <c r="B1565" s="3" cm="1">
        <f t="array" ref="B1565">alea_date(Settings!$B$11,360,Settings!$B$8+alea_int(4,0,Settings!$B$16),Settings!$B$16)</f>
        <v>46035.333333333336</v>
      </c>
      <c r="C1565" s="3" cm="1">
        <f t="array" ref="C1565">B1565+TIME(alea_int(5,1,Settings!$B$16),0,0)</f>
        <v>46035.541666666672</v>
      </c>
      <c r="D1565" s="3" t="str" cm="1">
        <f t="array" ref="D1565">choice(Settings!K:K,1,Settings!$B$16)</f>
        <v>mardi am</v>
      </c>
    </row>
    <row r="1566" spans="1:4" x14ac:dyDescent="0.25">
      <c r="A1566" s="2" t="str" cm="1">
        <f t="array" ref="A1566">choice(Professeurs!A:A,1,Settings!$B$16)</f>
        <v>Prof7</v>
      </c>
      <c r="B1566" s="3" cm="1">
        <f t="array" ref="B1566">alea_date(Settings!$B$11,360,Settings!$B$8+alea_int(4,0,Settings!$B$16),Settings!$B$16)</f>
        <v>46069.375</v>
      </c>
      <c r="C1566" s="3" cm="1">
        <f t="array" ref="C1566">B1566+TIME(alea_int(5,1,Settings!$B$16),0,0)</f>
        <v>46069.458333333336</v>
      </c>
      <c r="D1566" s="3" t="str" cm="1">
        <f t="array" ref="D1566">choice(Settings!K:K,1,Settings!$B$16)</f>
        <v/>
      </c>
    </row>
    <row r="1567" spans="1:4" x14ac:dyDescent="0.25">
      <c r="A1567" s="2" t="str" cm="1">
        <f t="array" ref="A1567">choice(Professeurs!A:A,1,Settings!$B$16)</f>
        <v>Prof55</v>
      </c>
      <c r="B1567" s="3" cm="1">
        <f t="array" ref="B1567">alea_date(Settings!$B$11,360,Settings!$B$8+alea_int(4,0,Settings!$B$16),Settings!$B$16)</f>
        <v>46194.375</v>
      </c>
      <c r="C1567" s="3" cm="1">
        <f t="array" ref="C1567">B1567+TIME(alea_int(5,1,Settings!$B$16),0,0)</f>
        <v>46194.458333333336</v>
      </c>
      <c r="D1567" s="3" t="str" cm="1">
        <f t="array" ref="D1567">choice(Settings!K:K,1,Settings!$B$16)</f>
        <v>lundi am</v>
      </c>
    </row>
    <row r="1568" spans="1:4" x14ac:dyDescent="0.25">
      <c r="A1568" s="2" t="str" cm="1">
        <f t="array" ref="A1568">choice(Professeurs!A:A,1,Settings!$B$16)</f>
        <v>Prof28</v>
      </c>
      <c r="B1568" s="3" cm="1">
        <f t="array" ref="B1568">alea_date(Settings!$B$11,360,Settings!$B$8+alea_int(4,0,Settings!$B$16),Settings!$B$16)</f>
        <v>46248.333333333336</v>
      </c>
      <c r="C1568" s="3" cm="1">
        <f t="array" ref="C1568">B1568+TIME(alea_int(5,1,Settings!$B$16),0,0)</f>
        <v>46248.458333333336</v>
      </c>
      <c r="D1568" s="3" t="str" cm="1">
        <f t="array" ref="D1568">choice(Settings!K:K,1,Settings!$B$16)</f>
        <v>lundi am</v>
      </c>
    </row>
    <row r="1569" spans="1:4" x14ac:dyDescent="0.25">
      <c r="A1569" s="2" t="str" cm="1">
        <f t="array" ref="A1569">choice(Professeurs!A:A,1,Settings!$B$16)</f>
        <v>Prof34</v>
      </c>
      <c r="B1569" s="3" cm="1">
        <f t="array" ref="B1569">alea_date(Settings!$B$11,360,Settings!$B$8+alea_int(4,0,Settings!$B$16),Settings!$B$16)</f>
        <v>46123.416666666664</v>
      </c>
      <c r="C1569" s="3" cm="1">
        <f t="array" ref="C1569">B1569+TIME(alea_int(5,1,Settings!$B$16),0,0)</f>
        <v>46123.583333333328</v>
      </c>
      <c r="D1569" s="3" t="str" cm="1">
        <f t="array" ref="D1569">choice(Settings!K:K,1,Settings!$B$16)</f>
        <v/>
      </c>
    </row>
    <row r="1570" spans="1:4" x14ac:dyDescent="0.25">
      <c r="A1570" s="2" t="str" cm="1">
        <f t="array" ref="A1570">choice(Professeurs!A:A,1,Settings!$B$16)</f>
        <v>Prof21</v>
      </c>
      <c r="B1570" s="3" cm="1">
        <f t="array" ref="B1570">alea_date(Settings!$B$11,360,Settings!$B$8+alea_int(4,0,Settings!$B$16),Settings!$B$16)</f>
        <v>46340.375</v>
      </c>
      <c r="C1570" s="3" cm="1">
        <f t="array" ref="C1570">B1570+TIME(alea_int(5,1,Settings!$B$16),0,0)</f>
        <v>46340.416666666664</v>
      </c>
      <c r="D1570" s="3" t="str" cm="1">
        <f t="array" ref="D1570">choice(Settings!K:K,1,Settings!$B$16)</f>
        <v/>
      </c>
    </row>
    <row r="1571" spans="1:4" x14ac:dyDescent="0.25">
      <c r="A1571" s="2" t="str" cm="1">
        <f t="array" ref="A1571">choice(Professeurs!A:A,1,Settings!$B$16)</f>
        <v>Prof55</v>
      </c>
      <c r="B1571" s="3" cm="1">
        <f t="array" ref="B1571">alea_date(Settings!$B$11,360,Settings!$B$8+alea_int(4,0,Settings!$B$16),Settings!$B$16)</f>
        <v>46260.333333333336</v>
      </c>
      <c r="C1571" s="3" cm="1">
        <f t="array" ref="C1571">B1571+TIME(alea_int(5,1,Settings!$B$16),0,0)</f>
        <v>46260.541666666672</v>
      </c>
      <c r="D1571" s="3" t="str" cm="1">
        <f t="array" ref="D1571">choice(Settings!K:K,1,Settings!$B$16)</f>
        <v/>
      </c>
    </row>
    <row r="1572" spans="1:4" x14ac:dyDescent="0.25">
      <c r="A1572" s="2" t="str" cm="1">
        <f t="array" ref="A1572">choice(Professeurs!A:A,1,Settings!$B$16)</f>
        <v>Prof23</v>
      </c>
      <c r="B1572" s="3" cm="1">
        <f t="array" ref="B1572">alea_date(Settings!$B$11,360,Settings!$B$8+alea_int(4,0,Settings!$B$16),Settings!$B$16)</f>
        <v>46341.333333333336</v>
      </c>
      <c r="C1572" s="3" cm="1">
        <f t="array" ref="C1572">B1572+TIME(alea_int(5,1,Settings!$B$16),0,0)</f>
        <v>46341.458333333336</v>
      </c>
      <c r="D1572" s="3" t="str" cm="1">
        <f t="array" ref="D1572">choice(Settings!K:K,1,Settings!$B$16)</f>
        <v>vendredi am</v>
      </c>
    </row>
    <row r="1573" spans="1:4" x14ac:dyDescent="0.25">
      <c r="A1573" s="2" t="str" cm="1">
        <f t="array" ref="A1573">choice(Professeurs!A:A,1,Settings!$B$16)</f>
        <v>Prof4</v>
      </c>
      <c r="B1573" s="3" cm="1">
        <f t="array" ref="B1573">alea_date(Settings!$B$11,360,Settings!$B$8+alea_int(4,0,Settings!$B$16),Settings!$B$16)</f>
        <v>46363.458333333336</v>
      </c>
      <c r="C1573" s="3" cm="1">
        <f t="array" ref="C1573">B1573+TIME(alea_int(5,1,Settings!$B$16),0,0)</f>
        <v>46363.625</v>
      </c>
      <c r="D1573" s="3" t="str" cm="1">
        <f t="array" ref="D1573">choice(Settings!K:K,1,Settings!$B$16)</f>
        <v/>
      </c>
    </row>
    <row r="1574" spans="1:4" x14ac:dyDescent="0.25">
      <c r="A1574" s="2" t="str" cm="1">
        <f t="array" ref="A1574">choice(Professeurs!A:A,1,Settings!$B$16)</f>
        <v>Prof7</v>
      </c>
      <c r="B1574" s="3" cm="1">
        <f t="array" ref="B1574">alea_date(Settings!$B$11,360,Settings!$B$8+alea_int(4,0,Settings!$B$16),Settings!$B$16)</f>
        <v>46025.416666666664</v>
      </c>
      <c r="C1574" s="3" cm="1">
        <f t="array" ref="C1574">B1574+TIME(alea_int(5,1,Settings!$B$16),0,0)</f>
        <v>46025.541666666664</v>
      </c>
      <c r="D1574" s="3" t="str" cm="1">
        <f t="array" ref="D1574">choice(Settings!K:K,1,Settings!$B$16)</f>
        <v/>
      </c>
    </row>
    <row r="1575" spans="1:4" x14ac:dyDescent="0.25">
      <c r="A1575" s="2" t="str" cm="1">
        <f t="array" ref="A1575">choice(Professeurs!A:A,1,Settings!$B$16)</f>
        <v>Prof36</v>
      </c>
      <c r="B1575" s="3" cm="1">
        <f t="array" ref="B1575">alea_date(Settings!$B$11,360,Settings!$B$8+alea_int(4,0,Settings!$B$16),Settings!$B$16)</f>
        <v>46320.333333333336</v>
      </c>
      <c r="C1575" s="3" cm="1">
        <f t="array" ref="C1575">B1575+TIME(alea_int(5,1,Settings!$B$16),0,0)</f>
        <v>46320.5</v>
      </c>
      <c r="D1575" s="3" t="str" cm="1">
        <f t="array" ref="D1575">choice(Settings!K:K,1,Settings!$B$16)</f>
        <v/>
      </c>
    </row>
    <row r="1576" spans="1:4" x14ac:dyDescent="0.25">
      <c r="A1576" s="2" t="str" cm="1">
        <f t="array" ref="A1576">choice(Professeurs!A:A,1,Settings!$B$16)</f>
        <v>Prof41</v>
      </c>
      <c r="B1576" s="3" cm="1">
        <f t="array" ref="B1576">alea_date(Settings!$B$11,360,Settings!$B$8+alea_int(4,0,Settings!$B$16),Settings!$B$16)</f>
        <v>46334.416666666664</v>
      </c>
      <c r="C1576" s="3" cm="1">
        <f t="array" ref="C1576">B1576+TIME(alea_int(5,1,Settings!$B$16),0,0)</f>
        <v>46334.625</v>
      </c>
      <c r="D1576" s="3" t="str" cm="1">
        <f t="array" ref="D1576">choice(Settings!K:K,1,Settings!$B$16)</f>
        <v>lundi am</v>
      </c>
    </row>
    <row r="1577" spans="1:4" x14ac:dyDescent="0.25">
      <c r="A1577" s="2" t="str" cm="1">
        <f t="array" ref="A1577">choice(Professeurs!A:A,1,Settings!$B$16)</f>
        <v>Prof8</v>
      </c>
      <c r="B1577" s="3" cm="1">
        <f t="array" ref="B1577">alea_date(Settings!$B$11,360,Settings!$B$8+alea_int(4,0,Settings!$B$16),Settings!$B$16)</f>
        <v>46283.375</v>
      </c>
      <c r="C1577" s="3" cm="1">
        <f t="array" ref="C1577">B1577+TIME(alea_int(5,1,Settings!$B$16),0,0)</f>
        <v>46283.5</v>
      </c>
      <c r="D1577" s="3" t="str" cm="1">
        <f t="array" ref="D1577">choice(Settings!K:K,1,Settings!$B$16)</f>
        <v/>
      </c>
    </row>
    <row r="1578" spans="1:4" x14ac:dyDescent="0.25">
      <c r="A1578" s="2" t="str" cm="1">
        <f t="array" ref="A1578">choice(Professeurs!A:A,1,Settings!$B$16)</f>
        <v>Prof33</v>
      </c>
      <c r="B1578" s="3" cm="1">
        <f t="array" ref="B1578">alea_date(Settings!$B$11,360,Settings!$B$8+alea_int(4,0,Settings!$B$16),Settings!$B$16)</f>
        <v>46087.458333333336</v>
      </c>
      <c r="C1578" s="3" cm="1">
        <f t="array" ref="C1578">B1578+TIME(alea_int(5,1,Settings!$B$16),0,0)</f>
        <v>46087.5</v>
      </c>
      <c r="D1578" s="3" t="str" cm="1">
        <f t="array" ref="D1578">choice(Settings!K:K,1,Settings!$B$16)</f>
        <v/>
      </c>
    </row>
    <row r="1579" spans="1:4" x14ac:dyDescent="0.25">
      <c r="A1579" s="2" t="str" cm="1">
        <f t="array" ref="A1579">choice(Professeurs!A:A,1,Settings!$B$16)</f>
        <v>Prof32</v>
      </c>
      <c r="B1579" s="3" cm="1">
        <f t="array" ref="B1579">alea_date(Settings!$B$11,360,Settings!$B$8+alea_int(4,0,Settings!$B$16),Settings!$B$16)</f>
        <v>46141.333333333336</v>
      </c>
      <c r="C1579" s="3" cm="1">
        <f t="array" ref="C1579">B1579+TIME(alea_int(5,1,Settings!$B$16),0,0)</f>
        <v>46141.375</v>
      </c>
      <c r="D1579" s="3" t="str" cm="1">
        <f t="array" ref="D1579">choice(Settings!K:K,1,Settings!$B$16)</f>
        <v>vendredi pm</v>
      </c>
    </row>
    <row r="1580" spans="1:4" x14ac:dyDescent="0.25">
      <c r="A1580" s="2" t="str" cm="1">
        <f t="array" ref="A1580">choice(Professeurs!A:A,1,Settings!$B$16)</f>
        <v>Prof42</v>
      </c>
      <c r="B1580" s="3" cm="1">
        <f t="array" ref="B1580">alea_date(Settings!$B$11,360,Settings!$B$8+alea_int(4,0,Settings!$B$16),Settings!$B$16)</f>
        <v>46204.416666666664</v>
      </c>
      <c r="C1580" s="3" cm="1">
        <f t="array" ref="C1580">B1580+TIME(alea_int(5,1,Settings!$B$16),0,0)</f>
        <v>46204.625</v>
      </c>
      <c r="D1580" s="3" t="str" cm="1">
        <f t="array" ref="D1580">choice(Settings!K:K,1,Settings!$B$16)</f>
        <v/>
      </c>
    </row>
    <row r="1581" spans="1:4" x14ac:dyDescent="0.25">
      <c r="A1581" s="2" t="str" cm="1">
        <f t="array" ref="A1581">choice(Professeurs!A:A,1,Settings!$B$16)</f>
        <v>Prof19</v>
      </c>
      <c r="B1581" s="3" cm="1">
        <f t="array" ref="B1581">alea_date(Settings!$B$11,360,Settings!$B$8+alea_int(4,0,Settings!$B$16),Settings!$B$16)</f>
        <v>46049.416666666664</v>
      </c>
      <c r="C1581" s="3" cm="1">
        <f t="array" ref="C1581">B1581+TIME(alea_int(5,1,Settings!$B$16),0,0)</f>
        <v>46049.541666666664</v>
      </c>
      <c r="D1581" s="3" t="str" cm="1">
        <f t="array" ref="D1581">choice(Settings!K:K,1,Settings!$B$16)</f>
        <v/>
      </c>
    </row>
    <row r="1582" spans="1:4" x14ac:dyDescent="0.25">
      <c r="A1582" s="2" t="str" cm="1">
        <f t="array" ref="A1582">choice(Professeurs!A:A,1,Settings!$B$16)</f>
        <v>Prof23</v>
      </c>
      <c r="B1582" s="3" cm="1">
        <f t="array" ref="B1582">alea_date(Settings!$B$11,360,Settings!$B$8+alea_int(4,0,Settings!$B$16),Settings!$B$16)</f>
        <v>46053.458333333336</v>
      </c>
      <c r="C1582" s="3" cm="1">
        <f t="array" ref="C1582">B1582+TIME(alea_int(5,1,Settings!$B$16),0,0)</f>
        <v>46053.5</v>
      </c>
      <c r="D1582" s="3" t="str" cm="1">
        <f t="array" ref="D1582">choice(Settings!K:K,1,Settings!$B$16)</f>
        <v>mardi am</v>
      </c>
    </row>
    <row r="1583" spans="1:4" x14ac:dyDescent="0.25">
      <c r="A1583" s="2" t="str" cm="1">
        <f t="array" ref="A1583">choice(Professeurs!A:A,1,Settings!$B$16)</f>
        <v>Prof13</v>
      </c>
      <c r="B1583" s="3" cm="1">
        <f t="array" ref="B1583">alea_date(Settings!$B$11,360,Settings!$B$8+alea_int(4,0,Settings!$B$16),Settings!$B$16)</f>
        <v>46023.416666666664</v>
      </c>
      <c r="C1583" s="3" cm="1">
        <f t="array" ref="C1583">B1583+TIME(alea_int(5,1,Settings!$B$16),0,0)</f>
        <v>46023.5</v>
      </c>
      <c r="D1583" s="3" t="str" cm="1">
        <f t="array" ref="D1583">choice(Settings!K:K,1,Settings!$B$16)</f>
        <v>vendredi am</v>
      </c>
    </row>
    <row r="1584" spans="1:4" x14ac:dyDescent="0.25">
      <c r="A1584" s="2" t="str" cm="1">
        <f t="array" ref="A1584">choice(Professeurs!A:A,1,Settings!$B$16)</f>
        <v>Prof5</v>
      </c>
      <c r="B1584" s="3" cm="1">
        <f t="array" ref="B1584">alea_date(Settings!$B$11,360,Settings!$B$8+alea_int(4,0,Settings!$B$16),Settings!$B$16)</f>
        <v>46196.375</v>
      </c>
      <c r="C1584" s="3" cm="1">
        <f t="array" ref="C1584">B1584+TIME(alea_int(5,1,Settings!$B$16),0,0)</f>
        <v>46196.5</v>
      </c>
      <c r="D1584" s="3" t="str" cm="1">
        <f t="array" ref="D1584">choice(Settings!K:K,1,Settings!$B$16)</f>
        <v/>
      </c>
    </row>
    <row r="1585" spans="1:4" x14ac:dyDescent="0.25">
      <c r="A1585" s="2" t="str" cm="1">
        <f t="array" ref="A1585">choice(Professeurs!A:A,1,Settings!$B$16)</f>
        <v>Prof33</v>
      </c>
      <c r="B1585" s="3" cm="1">
        <f t="array" ref="B1585">alea_date(Settings!$B$11,360,Settings!$B$8+alea_int(4,0,Settings!$B$16),Settings!$B$16)</f>
        <v>46156.416666666664</v>
      </c>
      <c r="C1585" s="3" cm="1">
        <f t="array" ref="C1585">B1585+TIME(alea_int(5,1,Settings!$B$16),0,0)</f>
        <v>46156.541666666664</v>
      </c>
      <c r="D1585" s="3" t="str" cm="1">
        <f t="array" ref="D1585">choice(Settings!K:K,1,Settings!$B$16)</f>
        <v/>
      </c>
    </row>
    <row r="1586" spans="1:4" x14ac:dyDescent="0.25">
      <c r="A1586" s="2" t="str" cm="1">
        <f t="array" ref="A1586">choice(Professeurs!A:A,1,Settings!$B$16)</f>
        <v>Prof3</v>
      </c>
      <c r="B1586" s="3" cm="1">
        <f t="array" ref="B1586">alea_date(Settings!$B$11,360,Settings!$B$8+alea_int(4,0,Settings!$B$16),Settings!$B$16)</f>
        <v>46093.458333333336</v>
      </c>
      <c r="C1586" s="3" cm="1">
        <f t="array" ref="C1586">B1586+TIME(alea_int(5,1,Settings!$B$16),0,0)</f>
        <v>46093.666666666672</v>
      </c>
      <c r="D1586" s="3" t="str" cm="1">
        <f t="array" ref="D1586">choice(Settings!K:K,1,Settings!$B$16)</f>
        <v/>
      </c>
    </row>
    <row r="1587" spans="1:4" x14ac:dyDescent="0.25">
      <c r="A1587" s="2" t="str" cm="1">
        <f t="array" ref="A1587">choice(Professeurs!A:A,1,Settings!$B$16)</f>
        <v>Prof10</v>
      </c>
      <c r="B1587" s="3" cm="1">
        <f t="array" ref="B1587">alea_date(Settings!$B$11,360,Settings!$B$8+alea_int(4,0,Settings!$B$16),Settings!$B$16)</f>
        <v>46294.458333333336</v>
      </c>
      <c r="C1587" s="3" cm="1">
        <f t="array" ref="C1587">B1587+TIME(alea_int(5,1,Settings!$B$16),0,0)</f>
        <v>46294.666666666672</v>
      </c>
      <c r="D1587" s="3" t="str" cm="1">
        <f t="array" ref="D1587">choice(Settings!K:K,1,Settings!$B$16)</f>
        <v/>
      </c>
    </row>
    <row r="1588" spans="1:4" x14ac:dyDescent="0.25">
      <c r="A1588" s="2" t="str" cm="1">
        <f t="array" ref="A1588">choice(Professeurs!A:A,1,Settings!$B$16)</f>
        <v>Prof36</v>
      </c>
      <c r="B1588" s="3" cm="1">
        <f t="array" ref="B1588">alea_date(Settings!$B$11,360,Settings!$B$8+alea_int(4,0,Settings!$B$16),Settings!$B$16)</f>
        <v>46256.458333333336</v>
      </c>
      <c r="C1588" s="3" cm="1">
        <f t="array" ref="C1588">B1588+TIME(alea_int(5,1,Settings!$B$16),0,0)</f>
        <v>46256.583333333336</v>
      </c>
      <c r="D1588" s="3" t="str" cm="1">
        <f t="array" ref="D1588">choice(Settings!K:K,1,Settings!$B$16)</f>
        <v/>
      </c>
    </row>
    <row r="1589" spans="1:4" x14ac:dyDescent="0.25">
      <c r="A1589" s="2" t="str" cm="1">
        <f t="array" ref="A1589">choice(Professeurs!A:A,1,Settings!$B$16)</f>
        <v>Prof21</v>
      </c>
      <c r="B1589" s="3" cm="1">
        <f t="array" ref="B1589">alea_date(Settings!$B$11,360,Settings!$B$8+alea_int(4,0,Settings!$B$16),Settings!$B$16)</f>
        <v>46082.458333333336</v>
      </c>
      <c r="C1589" s="3" cm="1">
        <f t="array" ref="C1589">B1589+TIME(alea_int(5,1,Settings!$B$16),0,0)</f>
        <v>46082.625</v>
      </c>
      <c r="D1589" s="3" t="str" cm="1">
        <f t="array" ref="D1589">choice(Settings!K:K,1,Settings!$B$16)</f>
        <v/>
      </c>
    </row>
    <row r="1590" spans="1:4" x14ac:dyDescent="0.25">
      <c r="A1590" s="2" t="str" cm="1">
        <f t="array" ref="A1590">choice(Professeurs!A:A,1,Settings!$B$16)</f>
        <v>Prof4</v>
      </c>
      <c r="B1590" s="3" cm="1">
        <f t="array" ref="B1590">alea_date(Settings!$B$11,360,Settings!$B$8+alea_int(4,0,Settings!$B$16),Settings!$B$16)</f>
        <v>46036.416666666664</v>
      </c>
      <c r="C1590" s="3" cm="1">
        <f t="array" ref="C1590">B1590+TIME(alea_int(5,1,Settings!$B$16),0,0)</f>
        <v>46036.5</v>
      </c>
      <c r="D1590" s="3" t="str" cm="1">
        <f t="array" ref="D1590">choice(Settings!K:K,1,Settings!$B$16)</f>
        <v>jeudi am</v>
      </c>
    </row>
    <row r="1591" spans="1:4" x14ac:dyDescent="0.25">
      <c r="A1591" s="2" t="str" cm="1">
        <f t="array" ref="A1591">choice(Professeurs!A:A,1,Settings!$B$16)</f>
        <v>Prof40</v>
      </c>
      <c r="B1591" s="3" cm="1">
        <f t="array" ref="B1591">alea_date(Settings!$B$11,360,Settings!$B$8+alea_int(4,0,Settings!$B$16),Settings!$B$16)</f>
        <v>46206.458333333336</v>
      </c>
      <c r="C1591" s="3" cm="1">
        <f t="array" ref="C1591">B1591+TIME(alea_int(5,1,Settings!$B$16),0,0)</f>
        <v>46206.583333333336</v>
      </c>
      <c r="D1591" s="3" t="str" cm="1">
        <f t="array" ref="D1591">choice(Settings!K:K,1,Settings!$B$16)</f>
        <v/>
      </c>
    </row>
    <row r="1592" spans="1:4" x14ac:dyDescent="0.25">
      <c r="A1592" s="2" t="str" cm="1">
        <f t="array" ref="A1592">choice(Professeurs!A:A,1,Settings!$B$16)</f>
        <v>Prof50</v>
      </c>
      <c r="B1592" s="3" cm="1">
        <f t="array" ref="B1592">alea_date(Settings!$B$11,360,Settings!$B$8+alea_int(4,0,Settings!$B$16),Settings!$B$16)</f>
        <v>46168.375</v>
      </c>
      <c r="C1592" s="3" cm="1">
        <f t="array" ref="C1592">B1592+TIME(alea_int(5,1,Settings!$B$16),0,0)</f>
        <v>46168.5</v>
      </c>
      <c r="D1592" s="3" t="str" cm="1">
        <f t="array" ref="D1592">choice(Settings!K:K,1,Settings!$B$16)</f>
        <v>lundi am</v>
      </c>
    </row>
    <row r="1593" spans="1:4" x14ac:dyDescent="0.25">
      <c r="A1593" s="2" t="str" cm="1">
        <f t="array" ref="A1593">choice(Professeurs!A:A,1,Settings!$B$16)</f>
        <v>Prof43</v>
      </c>
      <c r="B1593" s="3" cm="1">
        <f t="array" ref="B1593">alea_date(Settings!$B$11,360,Settings!$B$8+alea_int(4,0,Settings!$B$16),Settings!$B$16)</f>
        <v>46306.416666666664</v>
      </c>
      <c r="C1593" s="3" cm="1">
        <f t="array" ref="C1593">B1593+TIME(alea_int(5,1,Settings!$B$16),0,0)</f>
        <v>46306.541666666664</v>
      </c>
      <c r="D1593" s="3" t="str" cm="1">
        <f t="array" ref="D1593">choice(Settings!K:K,1,Settings!$B$16)</f>
        <v>mardi pm</v>
      </c>
    </row>
    <row r="1594" spans="1:4" x14ac:dyDescent="0.25">
      <c r="A1594" s="2" t="str" cm="1">
        <f t="array" ref="A1594">choice(Professeurs!A:A,1,Settings!$B$16)</f>
        <v>Prof16</v>
      </c>
      <c r="B1594" s="3" cm="1">
        <f t="array" ref="B1594">alea_date(Settings!$B$11,360,Settings!$B$8+alea_int(4,0,Settings!$B$16),Settings!$B$16)</f>
        <v>46335.458333333336</v>
      </c>
      <c r="C1594" s="3" cm="1">
        <f t="array" ref="C1594">B1594+TIME(alea_int(5,1,Settings!$B$16),0,0)</f>
        <v>46335.666666666672</v>
      </c>
      <c r="D1594" s="3" t="str" cm="1">
        <f t="array" ref="D1594">choice(Settings!K:K,1,Settings!$B$16)</f>
        <v>vendredi am</v>
      </c>
    </row>
    <row r="1595" spans="1:4" x14ac:dyDescent="0.25">
      <c r="A1595" s="2" t="str" cm="1">
        <f t="array" ref="A1595">choice(Professeurs!A:A,1,Settings!$B$16)</f>
        <v>Prof36</v>
      </c>
      <c r="B1595" s="3" cm="1">
        <f t="array" ref="B1595">alea_date(Settings!$B$11,360,Settings!$B$8+alea_int(4,0,Settings!$B$16),Settings!$B$16)</f>
        <v>46234.333333333336</v>
      </c>
      <c r="C1595" s="3" cm="1">
        <f t="array" ref="C1595">B1595+TIME(alea_int(5,1,Settings!$B$16),0,0)</f>
        <v>46234.458333333336</v>
      </c>
      <c r="D1595" s="3" t="str" cm="1">
        <f t="array" ref="D1595">choice(Settings!K:K,1,Settings!$B$16)</f>
        <v/>
      </c>
    </row>
    <row r="1596" spans="1:4" x14ac:dyDescent="0.25">
      <c r="A1596" s="2" t="str" cm="1">
        <f t="array" ref="A1596">choice(Professeurs!A:A,1,Settings!$B$16)</f>
        <v>Prof17</v>
      </c>
      <c r="B1596" s="3" cm="1">
        <f t="array" ref="B1596">alea_date(Settings!$B$11,360,Settings!$B$8+alea_int(4,0,Settings!$B$16),Settings!$B$16)</f>
        <v>46253.333333333336</v>
      </c>
      <c r="C1596" s="3" cm="1">
        <f t="array" ref="C1596">B1596+TIME(alea_int(5,1,Settings!$B$16),0,0)</f>
        <v>46253.375</v>
      </c>
      <c r="D1596" s="3" t="str" cm="1">
        <f t="array" ref="D1596">choice(Settings!K:K,1,Settings!$B$16)</f>
        <v>mercredi ap</v>
      </c>
    </row>
    <row r="1597" spans="1:4" x14ac:dyDescent="0.25">
      <c r="A1597" s="2" t="str" cm="1">
        <f t="array" ref="A1597">choice(Professeurs!A:A,1,Settings!$B$16)</f>
        <v>Prof33</v>
      </c>
      <c r="B1597" s="3" cm="1">
        <f t="array" ref="B1597">alea_date(Settings!$B$11,360,Settings!$B$8+alea_int(4,0,Settings!$B$16),Settings!$B$16)</f>
        <v>46365.416666666664</v>
      </c>
      <c r="C1597" s="3" cm="1">
        <f t="array" ref="C1597">B1597+TIME(alea_int(5,1,Settings!$B$16),0,0)</f>
        <v>46365.625</v>
      </c>
      <c r="D1597" s="3" t="str" cm="1">
        <f t="array" ref="D1597">choice(Settings!K:K,1,Settings!$B$16)</f>
        <v/>
      </c>
    </row>
    <row r="1598" spans="1:4" x14ac:dyDescent="0.25">
      <c r="A1598" s="2" t="str" cm="1">
        <f t="array" ref="A1598">choice(Professeurs!A:A,1,Settings!$B$16)</f>
        <v>Prof41</v>
      </c>
      <c r="B1598" s="3" cm="1">
        <f t="array" ref="B1598">alea_date(Settings!$B$11,360,Settings!$B$8+alea_int(4,0,Settings!$B$16),Settings!$B$16)</f>
        <v>46225.375</v>
      </c>
      <c r="C1598" s="3" cm="1">
        <f t="array" ref="C1598">B1598+TIME(alea_int(5,1,Settings!$B$16),0,0)</f>
        <v>46225.458333333336</v>
      </c>
      <c r="D1598" s="3" t="str" cm="1">
        <f t="array" ref="D1598">choice(Settings!K:K,1,Settings!$B$16)</f>
        <v>semaine</v>
      </c>
    </row>
    <row r="1599" spans="1:4" x14ac:dyDescent="0.25">
      <c r="A1599" s="2" t="str" cm="1">
        <f t="array" ref="A1599">choice(Professeurs!A:A,1,Settings!$B$16)</f>
        <v>Prof52</v>
      </c>
      <c r="B1599" s="3" cm="1">
        <f t="array" ref="B1599">alea_date(Settings!$B$11,360,Settings!$B$8+alea_int(4,0,Settings!$B$16),Settings!$B$16)</f>
        <v>46129.375</v>
      </c>
      <c r="C1599" s="3" cm="1">
        <f t="array" ref="C1599">B1599+TIME(alea_int(5,1,Settings!$B$16),0,0)</f>
        <v>46129.5</v>
      </c>
      <c r="D1599" s="3" t="str" cm="1">
        <f t="array" ref="D1599">choice(Settings!K:K,1,Settings!$B$16)</f>
        <v/>
      </c>
    </row>
    <row r="1600" spans="1:4" x14ac:dyDescent="0.25">
      <c r="A1600" s="2" t="str" cm="1">
        <f t="array" ref="A1600">choice(Professeurs!A:A,1,Settings!$B$16)</f>
        <v>Prof42</v>
      </c>
      <c r="B1600" s="3" cm="1">
        <f t="array" ref="B1600">alea_date(Settings!$B$11,360,Settings!$B$8+alea_int(4,0,Settings!$B$16),Settings!$B$16)</f>
        <v>46264.333333333336</v>
      </c>
      <c r="C1600" s="3" cm="1">
        <f t="array" ref="C1600">B1600+TIME(alea_int(5,1,Settings!$B$16),0,0)</f>
        <v>46264.541666666672</v>
      </c>
      <c r="D1600" s="3" t="str" cm="1">
        <f t="array" ref="D1600">choice(Settings!K:K,1,Settings!$B$16)</f>
        <v>lundi am</v>
      </c>
    </row>
    <row r="1601" spans="1:4" x14ac:dyDescent="0.25">
      <c r="A1601" s="2" t="str" cm="1">
        <f t="array" ref="A1601">choice(Professeurs!A:A,1,Settings!$B$16)</f>
        <v>Prof47</v>
      </c>
      <c r="B1601" s="3" cm="1">
        <f t="array" ref="B1601">alea_date(Settings!$B$11,360,Settings!$B$8+alea_int(4,0,Settings!$B$16),Settings!$B$16)</f>
        <v>46213.458333333336</v>
      </c>
      <c r="C1601" s="3" cm="1">
        <f t="array" ref="C1601">B1601+TIME(alea_int(5,1,Settings!$B$16),0,0)</f>
        <v>46213.5</v>
      </c>
      <c r="D1601" s="3" t="str" cm="1">
        <f t="array" ref="D1601">choice(Settings!K:K,1,Settings!$B$16)</f>
        <v/>
      </c>
    </row>
    <row r="1602" spans="1:4" x14ac:dyDescent="0.25">
      <c r="A1602" s="2" t="str" cm="1">
        <f t="array" ref="A1602">choice(Professeurs!A:A,1,Settings!$B$16)</f>
        <v>Prof7</v>
      </c>
      <c r="B1602" s="3" cm="1">
        <f t="array" ref="B1602">alea_date(Settings!$B$11,360,Settings!$B$8+alea_int(4,0,Settings!$B$16),Settings!$B$16)</f>
        <v>46195.375</v>
      </c>
      <c r="C1602" s="3" cm="1">
        <f t="array" ref="C1602">B1602+TIME(alea_int(5,1,Settings!$B$16),0,0)</f>
        <v>46195.5</v>
      </c>
      <c r="D1602" s="3" t="str" cm="1">
        <f t="array" ref="D1602">choice(Settings!K:K,1,Settings!$B$16)</f>
        <v>lundi am</v>
      </c>
    </row>
    <row r="1603" spans="1:4" x14ac:dyDescent="0.25">
      <c r="A1603" s="2" t="str" cm="1">
        <f t="array" ref="A1603">choice(Professeurs!A:A,1,Settings!$B$16)</f>
        <v>Prof45</v>
      </c>
      <c r="B1603" s="3" cm="1">
        <f t="array" ref="B1603">alea_date(Settings!$B$11,360,Settings!$B$8+alea_int(4,0,Settings!$B$16),Settings!$B$16)</f>
        <v>46103.375</v>
      </c>
      <c r="C1603" s="3" cm="1">
        <f t="array" ref="C1603">B1603+TIME(alea_int(5,1,Settings!$B$16),0,0)</f>
        <v>46103.458333333336</v>
      </c>
      <c r="D1603" s="3" t="str" cm="1">
        <f t="array" ref="D1603">choice(Settings!K:K,1,Settings!$B$16)</f>
        <v>mardi pm</v>
      </c>
    </row>
    <row r="1604" spans="1:4" x14ac:dyDescent="0.25">
      <c r="A1604" s="2" t="str" cm="1">
        <f t="array" ref="A1604">choice(Professeurs!A:A,1,Settings!$B$16)</f>
        <v>Prof48</v>
      </c>
      <c r="B1604" s="3" cm="1">
        <f t="array" ref="B1604">alea_date(Settings!$B$11,360,Settings!$B$8+alea_int(4,0,Settings!$B$16),Settings!$B$16)</f>
        <v>46042.375</v>
      </c>
      <c r="C1604" s="3" cm="1">
        <f t="array" ref="C1604">B1604+TIME(alea_int(5,1,Settings!$B$16),0,0)</f>
        <v>46042.458333333336</v>
      </c>
      <c r="D1604" s="3" t="str" cm="1">
        <f t="array" ref="D1604">choice(Settings!K:K,1,Settings!$B$16)</f>
        <v/>
      </c>
    </row>
    <row r="1605" spans="1:4" x14ac:dyDescent="0.25">
      <c r="A1605" s="2" t="str" cm="1">
        <f t="array" ref="A1605">choice(Professeurs!A:A,1,Settings!$B$16)</f>
        <v>Prof36</v>
      </c>
      <c r="B1605" s="3" cm="1">
        <f t="array" ref="B1605">alea_date(Settings!$B$11,360,Settings!$B$8+alea_int(4,0,Settings!$B$16),Settings!$B$16)</f>
        <v>46041.458333333336</v>
      </c>
      <c r="C1605" s="3" cm="1">
        <f t="array" ref="C1605">B1605+TIME(alea_int(5,1,Settings!$B$16),0,0)</f>
        <v>46041.5</v>
      </c>
      <c r="D1605" s="3" t="str" cm="1">
        <f t="array" ref="D1605">choice(Settings!K:K,1,Settings!$B$16)</f>
        <v>mardi pm</v>
      </c>
    </row>
    <row r="1606" spans="1:4" x14ac:dyDescent="0.25">
      <c r="A1606" s="2" t="str" cm="1">
        <f t="array" ref="A1606">choice(Professeurs!A:A,1,Settings!$B$16)</f>
        <v>Prof51</v>
      </c>
      <c r="B1606" s="3" cm="1">
        <f t="array" ref="B1606">alea_date(Settings!$B$11,360,Settings!$B$8+alea_int(4,0,Settings!$B$16),Settings!$B$16)</f>
        <v>46310.375</v>
      </c>
      <c r="C1606" s="3" cm="1">
        <f t="array" ref="C1606">B1606+TIME(alea_int(5,1,Settings!$B$16),0,0)</f>
        <v>46310.583333333336</v>
      </c>
      <c r="D1606" s="3" t="str" cm="1">
        <f t="array" ref="D1606">choice(Settings!K:K,1,Settings!$B$16)</f>
        <v/>
      </c>
    </row>
    <row r="1607" spans="1:4" x14ac:dyDescent="0.25">
      <c r="A1607" s="2" t="str" cm="1">
        <f t="array" ref="A1607">choice(Professeurs!A:A,1,Settings!$B$16)</f>
        <v>Prof55</v>
      </c>
      <c r="B1607" s="3" cm="1">
        <f t="array" ref="B1607">alea_date(Settings!$B$11,360,Settings!$B$8+alea_int(4,0,Settings!$B$16),Settings!$B$16)</f>
        <v>46052.333333333336</v>
      </c>
      <c r="C1607" s="3" cm="1">
        <f t="array" ref="C1607">B1607+TIME(alea_int(5,1,Settings!$B$16),0,0)</f>
        <v>46052.541666666672</v>
      </c>
      <c r="D1607" s="3" t="str" cm="1">
        <f t="array" ref="D1607">choice(Settings!K:K,1,Settings!$B$16)</f>
        <v/>
      </c>
    </row>
    <row r="1608" spans="1:4" x14ac:dyDescent="0.25">
      <c r="A1608" s="2" t="str" cm="1">
        <f t="array" ref="A1608">choice(Professeurs!A:A,1,Settings!$B$16)</f>
        <v>Prof36</v>
      </c>
      <c r="B1608" s="3" cm="1">
        <f t="array" ref="B1608">alea_date(Settings!$B$11,360,Settings!$B$8+alea_int(4,0,Settings!$B$16),Settings!$B$16)</f>
        <v>46061.458333333336</v>
      </c>
      <c r="C1608" s="3" cm="1">
        <f t="array" ref="C1608">B1608+TIME(alea_int(5,1,Settings!$B$16),0,0)</f>
        <v>46061.666666666672</v>
      </c>
      <c r="D1608" s="3" t="str" cm="1">
        <f t="array" ref="D1608">choice(Settings!K:K,1,Settings!$B$16)</f>
        <v/>
      </c>
    </row>
    <row r="1609" spans="1:4" x14ac:dyDescent="0.25">
      <c r="A1609" s="2" t="str" cm="1">
        <f t="array" ref="A1609">choice(Professeurs!A:A,1,Settings!$B$16)</f>
        <v>Prof4</v>
      </c>
      <c r="B1609" s="3" cm="1">
        <f t="array" ref="B1609">alea_date(Settings!$B$11,360,Settings!$B$8+alea_int(4,0,Settings!$B$16),Settings!$B$16)</f>
        <v>46286.375</v>
      </c>
      <c r="C1609" s="3" cm="1">
        <f t="array" ref="C1609">B1609+TIME(alea_int(5,1,Settings!$B$16),0,0)</f>
        <v>46286.583333333336</v>
      </c>
      <c r="D1609" s="3" t="str" cm="1">
        <f t="array" ref="D1609">choice(Settings!K:K,1,Settings!$B$16)</f>
        <v/>
      </c>
    </row>
    <row r="1610" spans="1:4" x14ac:dyDescent="0.25">
      <c r="A1610" s="2" t="str" cm="1">
        <f t="array" ref="A1610">choice(Professeurs!A:A,1,Settings!$B$16)</f>
        <v>Prof19</v>
      </c>
      <c r="B1610" s="3" cm="1">
        <f t="array" ref="B1610">alea_date(Settings!$B$11,360,Settings!$B$8+alea_int(4,0,Settings!$B$16),Settings!$B$16)</f>
        <v>46136.458333333336</v>
      </c>
      <c r="C1610" s="3" cm="1">
        <f t="array" ref="C1610">B1610+TIME(alea_int(5,1,Settings!$B$16),0,0)</f>
        <v>46136.625</v>
      </c>
      <c r="D1610" s="3" t="str" cm="1">
        <f t="array" ref="D1610">choice(Settings!K:K,1,Settings!$B$16)</f>
        <v/>
      </c>
    </row>
    <row r="1611" spans="1:4" x14ac:dyDescent="0.25">
      <c r="A1611" s="2" t="str" cm="1">
        <f t="array" ref="A1611">choice(Professeurs!A:A,1,Settings!$B$16)</f>
        <v>Prof34</v>
      </c>
      <c r="B1611" s="3" cm="1">
        <f t="array" ref="B1611">alea_date(Settings!$B$11,360,Settings!$B$8+alea_int(4,0,Settings!$B$16),Settings!$B$16)</f>
        <v>46341.375</v>
      </c>
      <c r="C1611" s="3" cm="1">
        <f t="array" ref="C1611">B1611+TIME(alea_int(5,1,Settings!$B$16),0,0)</f>
        <v>46341.416666666664</v>
      </c>
      <c r="D1611" s="3" t="str" cm="1">
        <f t="array" ref="D1611">choice(Settings!K:K,1,Settings!$B$16)</f>
        <v/>
      </c>
    </row>
    <row r="1612" spans="1:4" x14ac:dyDescent="0.25">
      <c r="A1612" s="2" t="str" cm="1">
        <f t="array" ref="A1612">choice(Professeurs!A:A,1,Settings!$B$16)</f>
        <v>Prof4</v>
      </c>
      <c r="B1612" s="3" cm="1">
        <f t="array" ref="B1612">alea_date(Settings!$B$11,360,Settings!$B$8+alea_int(4,0,Settings!$B$16),Settings!$B$16)</f>
        <v>46379.375</v>
      </c>
      <c r="C1612" s="3" cm="1">
        <f t="array" ref="C1612">B1612+TIME(alea_int(5,1,Settings!$B$16),0,0)</f>
        <v>46379.583333333336</v>
      </c>
      <c r="D1612" s="3" t="str" cm="1">
        <f t="array" ref="D1612">choice(Settings!K:K,1,Settings!$B$16)</f>
        <v/>
      </c>
    </row>
    <row r="1613" spans="1:4" x14ac:dyDescent="0.25">
      <c r="A1613" s="2" t="str" cm="1">
        <f t="array" ref="A1613">choice(Professeurs!A:A,1,Settings!$B$16)</f>
        <v>Prof1</v>
      </c>
      <c r="B1613" s="3" cm="1">
        <f t="array" ref="B1613">alea_date(Settings!$B$11,360,Settings!$B$8+alea_int(4,0,Settings!$B$16),Settings!$B$16)</f>
        <v>46024.416666666664</v>
      </c>
      <c r="C1613" s="3" cm="1">
        <f t="array" ref="C1613">B1613+TIME(alea_int(5,1,Settings!$B$16),0,0)</f>
        <v>46024.541666666664</v>
      </c>
      <c r="D1613" s="3" t="str" cm="1">
        <f t="array" ref="D1613">choice(Settings!K:K,1,Settings!$B$16)</f>
        <v>lundi pm</v>
      </c>
    </row>
    <row r="1614" spans="1:4" x14ac:dyDescent="0.25">
      <c r="A1614" s="2" t="str" cm="1">
        <f t="array" ref="A1614">choice(Professeurs!A:A,1,Settings!$B$16)</f>
        <v>Prof36</v>
      </c>
      <c r="B1614" s="3" cm="1">
        <f t="array" ref="B1614">alea_date(Settings!$B$11,360,Settings!$B$8+alea_int(4,0,Settings!$B$16),Settings!$B$16)</f>
        <v>46352.333333333336</v>
      </c>
      <c r="C1614" s="3" cm="1">
        <f t="array" ref="C1614">B1614+TIME(alea_int(5,1,Settings!$B$16),0,0)</f>
        <v>46352.416666666672</v>
      </c>
      <c r="D1614" s="3" t="str" cm="1">
        <f t="array" ref="D1614">choice(Settings!K:K,1,Settings!$B$16)</f>
        <v>vendredi pm</v>
      </c>
    </row>
    <row r="1615" spans="1:4" x14ac:dyDescent="0.25">
      <c r="A1615" s="2" t="str" cm="1">
        <f t="array" ref="A1615">choice(Professeurs!A:A,1,Settings!$B$16)</f>
        <v>Prof42</v>
      </c>
      <c r="B1615" s="3" cm="1">
        <f t="array" ref="B1615">alea_date(Settings!$B$11,360,Settings!$B$8+alea_int(4,0,Settings!$B$16),Settings!$B$16)</f>
        <v>46144.375</v>
      </c>
      <c r="C1615" s="3" cm="1">
        <f t="array" ref="C1615">B1615+TIME(alea_int(5,1,Settings!$B$16),0,0)</f>
        <v>46144.583333333336</v>
      </c>
      <c r="D1615" s="3" t="str" cm="1">
        <f t="array" ref="D1615">choice(Settings!K:K,1,Settings!$B$16)</f>
        <v>mardi pm</v>
      </c>
    </row>
    <row r="1616" spans="1:4" x14ac:dyDescent="0.25">
      <c r="A1616" s="2" t="str" cm="1">
        <f t="array" ref="A1616">choice(Professeurs!A:A,1,Settings!$B$16)</f>
        <v>Prof35</v>
      </c>
      <c r="B1616" s="3" cm="1">
        <f t="array" ref="B1616">alea_date(Settings!$B$11,360,Settings!$B$8+alea_int(4,0,Settings!$B$16),Settings!$B$16)</f>
        <v>46301.375</v>
      </c>
      <c r="C1616" s="3" cm="1">
        <f t="array" ref="C1616">B1616+TIME(alea_int(5,1,Settings!$B$16),0,0)</f>
        <v>46301.583333333336</v>
      </c>
      <c r="D1616" s="3" t="str" cm="1">
        <f t="array" ref="D1616">choice(Settings!K:K,1,Settings!$B$16)</f>
        <v/>
      </c>
    </row>
    <row r="1617" spans="1:4" x14ac:dyDescent="0.25">
      <c r="A1617" s="2" t="str" cm="1">
        <f t="array" ref="A1617">choice(Professeurs!A:A,1,Settings!$B$16)</f>
        <v>Prof34</v>
      </c>
      <c r="B1617" s="3" cm="1">
        <f t="array" ref="B1617">alea_date(Settings!$B$11,360,Settings!$B$8+alea_int(4,0,Settings!$B$16),Settings!$B$16)</f>
        <v>46375.458333333336</v>
      </c>
      <c r="C1617" s="3" cm="1">
        <f t="array" ref="C1617">B1617+TIME(alea_int(5,1,Settings!$B$16),0,0)</f>
        <v>46375.5</v>
      </c>
      <c r="D1617" s="3" t="str" cm="1">
        <f t="array" ref="D1617">choice(Settings!K:K,1,Settings!$B$16)</f>
        <v/>
      </c>
    </row>
    <row r="1618" spans="1:4" x14ac:dyDescent="0.25">
      <c r="A1618" s="2" t="str" cm="1">
        <f t="array" ref="A1618">choice(Professeurs!A:A,1,Settings!$B$16)</f>
        <v>Prof31</v>
      </c>
      <c r="B1618" s="3" cm="1">
        <f t="array" ref="B1618">alea_date(Settings!$B$11,360,Settings!$B$8+alea_int(4,0,Settings!$B$16),Settings!$B$16)</f>
        <v>46176.458333333336</v>
      </c>
      <c r="C1618" s="3" cm="1">
        <f t="array" ref="C1618">B1618+TIME(alea_int(5,1,Settings!$B$16),0,0)</f>
        <v>46176.541666666672</v>
      </c>
      <c r="D1618" s="3" t="str" cm="1">
        <f t="array" ref="D1618">choice(Settings!K:K,1,Settings!$B$16)</f>
        <v/>
      </c>
    </row>
    <row r="1619" spans="1:4" x14ac:dyDescent="0.25">
      <c r="A1619" s="2" t="str" cm="1">
        <f t="array" ref="A1619">choice(Professeurs!A:A,1,Settings!$B$16)</f>
        <v>Prof18</v>
      </c>
      <c r="B1619" s="3" cm="1">
        <f t="array" ref="B1619">alea_date(Settings!$B$11,360,Settings!$B$8+alea_int(4,0,Settings!$B$16),Settings!$B$16)</f>
        <v>46263.416666666664</v>
      </c>
      <c r="C1619" s="3" cm="1">
        <f t="array" ref="C1619">B1619+TIME(alea_int(5,1,Settings!$B$16),0,0)</f>
        <v>46263.625</v>
      </c>
      <c r="D1619" s="3" t="str" cm="1">
        <f t="array" ref="D1619">choice(Settings!K:K,1,Settings!$B$16)</f>
        <v/>
      </c>
    </row>
    <row r="1620" spans="1:4" x14ac:dyDescent="0.25">
      <c r="A1620" s="2" t="str" cm="1">
        <f t="array" ref="A1620">choice(Professeurs!A:A,1,Settings!$B$16)</f>
        <v>Prof7</v>
      </c>
      <c r="B1620" s="3" cm="1">
        <f t="array" ref="B1620">alea_date(Settings!$B$11,360,Settings!$B$8+alea_int(4,0,Settings!$B$16),Settings!$B$16)</f>
        <v>46246.375</v>
      </c>
      <c r="C1620" s="3" cm="1">
        <f t="array" ref="C1620">B1620+TIME(alea_int(5,1,Settings!$B$16),0,0)</f>
        <v>46246.5</v>
      </c>
      <c r="D1620" s="3" t="str" cm="1">
        <f t="array" ref="D1620">choice(Settings!K:K,1,Settings!$B$16)</f>
        <v/>
      </c>
    </row>
    <row r="1621" spans="1:4" x14ac:dyDescent="0.25">
      <c r="A1621" s="2" t="str" cm="1">
        <f t="array" ref="A1621">choice(Professeurs!A:A,1,Settings!$B$16)</f>
        <v>Prof11</v>
      </c>
      <c r="B1621" s="3" cm="1">
        <f t="array" ref="B1621">alea_date(Settings!$B$11,360,Settings!$B$8+alea_int(4,0,Settings!$B$16),Settings!$B$16)</f>
        <v>46135.333333333336</v>
      </c>
      <c r="C1621" s="3" cm="1">
        <f t="array" ref="C1621">B1621+TIME(alea_int(5,1,Settings!$B$16),0,0)</f>
        <v>46135.541666666672</v>
      </c>
      <c r="D1621" s="3" t="str" cm="1">
        <f t="array" ref="D1621">choice(Settings!K:K,1,Settings!$B$16)</f>
        <v>mardi pm</v>
      </c>
    </row>
    <row r="1622" spans="1:4" x14ac:dyDescent="0.25">
      <c r="A1622" s="2" t="str" cm="1">
        <f t="array" ref="A1622">choice(Professeurs!A:A,1,Settings!$B$16)</f>
        <v>Prof30</v>
      </c>
      <c r="B1622" s="3" cm="1">
        <f t="array" ref="B1622">alea_date(Settings!$B$11,360,Settings!$B$8+alea_int(4,0,Settings!$B$16),Settings!$B$16)</f>
        <v>46168.375</v>
      </c>
      <c r="C1622" s="3" cm="1">
        <f t="array" ref="C1622">B1622+TIME(alea_int(5,1,Settings!$B$16),0,0)</f>
        <v>46168.5</v>
      </c>
      <c r="D1622" s="3" t="str" cm="1">
        <f t="array" ref="D1622">choice(Settings!K:K,1,Settings!$B$16)</f>
        <v>mardi pm</v>
      </c>
    </row>
    <row r="1623" spans="1:4" x14ac:dyDescent="0.25">
      <c r="A1623" s="2" t="str" cm="1">
        <f t="array" ref="A1623">choice(Professeurs!A:A,1,Settings!$B$16)</f>
        <v>Prof45</v>
      </c>
      <c r="B1623" s="3" cm="1">
        <f t="array" ref="B1623">alea_date(Settings!$B$11,360,Settings!$B$8+alea_int(4,0,Settings!$B$16),Settings!$B$16)</f>
        <v>46347.458333333336</v>
      </c>
      <c r="C1623" s="3" cm="1">
        <f t="array" ref="C1623">B1623+TIME(alea_int(5,1,Settings!$B$16),0,0)</f>
        <v>46347.541666666672</v>
      </c>
      <c r="D1623" s="3" t="str" cm="1">
        <f t="array" ref="D1623">choice(Settings!K:K,1,Settings!$B$16)</f>
        <v>mardi pm</v>
      </c>
    </row>
    <row r="1624" spans="1:4" x14ac:dyDescent="0.25">
      <c r="A1624" s="2" t="str" cm="1">
        <f t="array" ref="A1624">choice(Professeurs!A:A,1,Settings!$B$16)</f>
        <v>Prof32</v>
      </c>
      <c r="B1624" s="3" cm="1">
        <f t="array" ref="B1624">alea_date(Settings!$B$11,360,Settings!$B$8+alea_int(4,0,Settings!$B$16),Settings!$B$16)</f>
        <v>46087.458333333336</v>
      </c>
      <c r="C1624" s="3" cm="1">
        <f t="array" ref="C1624">B1624+TIME(alea_int(5,1,Settings!$B$16),0,0)</f>
        <v>46087.5</v>
      </c>
      <c r="D1624" s="3" t="str" cm="1">
        <f t="array" ref="D1624">choice(Settings!K:K,1,Settings!$B$16)</f>
        <v/>
      </c>
    </row>
    <row r="1625" spans="1:4" x14ac:dyDescent="0.25">
      <c r="A1625" s="2" t="str" cm="1">
        <f t="array" ref="A1625">choice(Professeurs!A:A,1,Settings!$B$16)</f>
        <v>Prof21</v>
      </c>
      <c r="B1625" s="3" cm="1">
        <f t="array" ref="B1625">alea_date(Settings!$B$11,360,Settings!$B$8+alea_int(4,0,Settings!$B$16),Settings!$B$16)</f>
        <v>46285.333333333336</v>
      </c>
      <c r="C1625" s="3" cm="1">
        <f t="array" ref="C1625">B1625+TIME(alea_int(5,1,Settings!$B$16),0,0)</f>
        <v>46285.5</v>
      </c>
      <c r="D1625" s="3" t="str" cm="1">
        <f t="array" ref="D1625">choice(Settings!K:K,1,Settings!$B$16)</f>
        <v>lundi am</v>
      </c>
    </row>
    <row r="1626" spans="1:4" x14ac:dyDescent="0.25">
      <c r="A1626" s="2" t="str" cm="1">
        <f t="array" ref="A1626">choice(Professeurs!A:A,1,Settings!$B$16)</f>
        <v>Prof20</v>
      </c>
      <c r="B1626" s="3" cm="1">
        <f t="array" ref="B1626">alea_date(Settings!$B$11,360,Settings!$B$8+alea_int(4,0,Settings!$B$16),Settings!$B$16)</f>
        <v>46139.416666666664</v>
      </c>
      <c r="C1626" s="3" cm="1">
        <f t="array" ref="C1626">B1626+TIME(alea_int(5,1,Settings!$B$16),0,0)</f>
        <v>46139.625</v>
      </c>
      <c r="D1626" s="3" t="str" cm="1">
        <f t="array" ref="D1626">choice(Settings!K:K,1,Settings!$B$16)</f>
        <v/>
      </c>
    </row>
    <row r="1627" spans="1:4" x14ac:dyDescent="0.25">
      <c r="A1627" s="2" t="str" cm="1">
        <f t="array" ref="A1627">choice(Professeurs!A:A,1,Settings!$B$16)</f>
        <v>Prof31</v>
      </c>
      <c r="B1627" s="3" cm="1">
        <f t="array" ref="B1627">alea_date(Settings!$B$11,360,Settings!$B$8+alea_int(4,0,Settings!$B$16),Settings!$B$16)</f>
        <v>46382.416666666664</v>
      </c>
      <c r="C1627" s="3" cm="1">
        <f t="array" ref="C1627">B1627+TIME(alea_int(5,1,Settings!$B$16),0,0)</f>
        <v>46382.541666666664</v>
      </c>
      <c r="D1627" s="3" t="str" cm="1">
        <f t="array" ref="D1627">choice(Settings!K:K,1,Settings!$B$16)</f>
        <v/>
      </c>
    </row>
    <row r="1628" spans="1:4" x14ac:dyDescent="0.25">
      <c r="A1628" s="2" t="str" cm="1">
        <f t="array" ref="A1628">choice(Professeurs!A:A,1,Settings!$B$16)</f>
        <v>Prof9</v>
      </c>
      <c r="B1628" s="3" cm="1">
        <f t="array" ref="B1628">alea_date(Settings!$B$11,360,Settings!$B$8+alea_int(4,0,Settings!$B$16),Settings!$B$16)</f>
        <v>46190.375</v>
      </c>
      <c r="C1628" s="3" cm="1">
        <f t="array" ref="C1628">B1628+TIME(alea_int(5,1,Settings!$B$16),0,0)</f>
        <v>46190.541666666664</v>
      </c>
      <c r="D1628" s="3" t="str" cm="1">
        <f t="array" ref="D1628">choice(Settings!K:K,1,Settings!$B$16)</f>
        <v>mercredi pm</v>
      </c>
    </row>
    <row r="1629" spans="1:4" x14ac:dyDescent="0.25">
      <c r="A1629" s="2" t="str" cm="1">
        <f t="array" ref="A1629">choice(Professeurs!A:A,1,Settings!$B$16)</f>
        <v>Prof33</v>
      </c>
      <c r="B1629" s="3" cm="1">
        <f t="array" ref="B1629">alea_date(Settings!$B$11,360,Settings!$B$8+alea_int(4,0,Settings!$B$16),Settings!$B$16)</f>
        <v>46333.333333333336</v>
      </c>
      <c r="C1629" s="3" cm="1">
        <f t="array" ref="C1629">B1629+TIME(alea_int(5,1,Settings!$B$16),0,0)</f>
        <v>46333.541666666672</v>
      </c>
      <c r="D1629" s="3" t="str" cm="1">
        <f t="array" ref="D1629">choice(Settings!K:K,1,Settings!$B$16)</f>
        <v>mercredi ap</v>
      </c>
    </row>
    <row r="1630" spans="1:4" x14ac:dyDescent="0.25">
      <c r="A1630" s="2" t="str" cm="1">
        <f t="array" ref="A1630">choice(Professeurs!A:A,1,Settings!$B$16)</f>
        <v>Prof55</v>
      </c>
      <c r="B1630" s="3" cm="1">
        <f t="array" ref="B1630">alea_date(Settings!$B$11,360,Settings!$B$8+alea_int(4,0,Settings!$B$16),Settings!$B$16)</f>
        <v>46170.375</v>
      </c>
      <c r="C1630" s="3" cm="1">
        <f t="array" ref="C1630">B1630+TIME(alea_int(5,1,Settings!$B$16),0,0)</f>
        <v>46170.416666666664</v>
      </c>
      <c r="D1630" s="3" t="str" cm="1">
        <f t="array" ref="D1630">choice(Settings!K:K,1,Settings!$B$16)</f>
        <v>lundi pm</v>
      </c>
    </row>
    <row r="1631" spans="1:4" x14ac:dyDescent="0.25">
      <c r="A1631" s="2" t="str" cm="1">
        <f t="array" ref="A1631">choice(Professeurs!A:A,1,Settings!$B$16)</f>
        <v>Prof31</v>
      </c>
      <c r="B1631" s="3" cm="1">
        <f t="array" ref="B1631">alea_date(Settings!$B$11,360,Settings!$B$8+alea_int(4,0,Settings!$B$16),Settings!$B$16)</f>
        <v>46166.333333333336</v>
      </c>
      <c r="C1631" s="3" cm="1">
        <f t="array" ref="C1631">B1631+TIME(alea_int(5,1,Settings!$B$16),0,0)</f>
        <v>46166.375</v>
      </c>
      <c r="D1631" s="3" t="str" cm="1">
        <f t="array" ref="D1631">choice(Settings!K:K,1,Settings!$B$16)</f>
        <v/>
      </c>
    </row>
    <row r="1632" spans="1:4" x14ac:dyDescent="0.25">
      <c r="A1632" s="2" t="str" cm="1">
        <f t="array" ref="A1632">choice(Professeurs!A:A,1,Settings!$B$16)</f>
        <v>Prof25</v>
      </c>
      <c r="B1632" s="3" cm="1">
        <f t="array" ref="B1632">alea_date(Settings!$B$11,360,Settings!$B$8+alea_int(4,0,Settings!$B$16),Settings!$B$16)</f>
        <v>46364.458333333336</v>
      </c>
      <c r="C1632" s="3" cm="1">
        <f t="array" ref="C1632">B1632+TIME(alea_int(5,1,Settings!$B$16),0,0)</f>
        <v>46364.5</v>
      </c>
      <c r="D1632" s="3" t="str" cm="1">
        <f t="array" ref="D1632">choice(Settings!K:K,1,Settings!$B$16)</f>
        <v/>
      </c>
    </row>
    <row r="1633" spans="1:4" x14ac:dyDescent="0.25">
      <c r="A1633" s="2" t="str" cm="1">
        <f t="array" ref="A1633">choice(Professeurs!A:A,1,Settings!$B$16)</f>
        <v>Prof29</v>
      </c>
      <c r="B1633" s="3" cm="1">
        <f t="array" ref="B1633">alea_date(Settings!$B$11,360,Settings!$B$8+alea_int(4,0,Settings!$B$16),Settings!$B$16)</f>
        <v>46312.375</v>
      </c>
      <c r="C1633" s="3" cm="1">
        <f t="array" ref="C1633">B1633+TIME(alea_int(5,1,Settings!$B$16),0,0)</f>
        <v>46312.583333333336</v>
      </c>
      <c r="D1633" s="3" t="str" cm="1">
        <f t="array" ref="D1633">choice(Settings!K:K,1,Settings!$B$16)</f>
        <v>jeudi pm</v>
      </c>
    </row>
    <row r="1634" spans="1:4" x14ac:dyDescent="0.25">
      <c r="A1634" s="2" t="str" cm="1">
        <f t="array" ref="A1634">choice(Professeurs!A:A,1,Settings!$B$16)</f>
        <v>Prof16</v>
      </c>
      <c r="B1634" s="3" cm="1">
        <f t="array" ref="B1634">alea_date(Settings!$B$11,360,Settings!$B$8+alea_int(4,0,Settings!$B$16),Settings!$B$16)</f>
        <v>46238.375</v>
      </c>
      <c r="C1634" s="3" cm="1">
        <f t="array" ref="C1634">B1634+TIME(alea_int(5,1,Settings!$B$16),0,0)</f>
        <v>46238.5</v>
      </c>
      <c r="D1634" s="3" t="str" cm="1">
        <f t="array" ref="D1634">choice(Settings!K:K,1,Settings!$B$16)</f>
        <v/>
      </c>
    </row>
    <row r="1635" spans="1:4" x14ac:dyDescent="0.25">
      <c r="A1635" s="2" t="str" cm="1">
        <f t="array" ref="A1635">choice(Professeurs!A:A,1,Settings!$B$16)</f>
        <v>Prof55</v>
      </c>
      <c r="B1635" s="3" cm="1">
        <f t="array" ref="B1635">alea_date(Settings!$B$11,360,Settings!$B$8+alea_int(4,0,Settings!$B$16),Settings!$B$16)</f>
        <v>46158.375</v>
      </c>
      <c r="C1635" s="3" cm="1">
        <f t="array" ref="C1635">B1635+TIME(alea_int(5,1,Settings!$B$16),0,0)</f>
        <v>46158.541666666664</v>
      </c>
      <c r="D1635" s="3" t="str" cm="1">
        <f t="array" ref="D1635">choice(Settings!K:K,1,Settings!$B$16)</f>
        <v/>
      </c>
    </row>
    <row r="1636" spans="1:4" x14ac:dyDescent="0.25">
      <c r="A1636" s="2" t="str" cm="1">
        <f t="array" ref="A1636">choice(Professeurs!A:A,1,Settings!$B$16)</f>
        <v>Prof13</v>
      </c>
      <c r="B1636" s="3" cm="1">
        <f t="array" ref="B1636">alea_date(Settings!$B$11,360,Settings!$B$8+alea_int(4,0,Settings!$B$16),Settings!$B$16)</f>
        <v>46088.416666666664</v>
      </c>
      <c r="C1636" s="3" cm="1">
        <f t="array" ref="C1636">B1636+TIME(alea_int(5,1,Settings!$B$16),0,0)</f>
        <v>46088.583333333328</v>
      </c>
      <c r="D1636" s="3" t="str" cm="1">
        <f t="array" ref="D1636">choice(Settings!K:K,1,Settings!$B$16)</f>
        <v/>
      </c>
    </row>
    <row r="1637" spans="1:4" x14ac:dyDescent="0.25">
      <c r="A1637" s="2" t="str" cm="1">
        <f t="array" ref="A1637">choice(Professeurs!A:A,1,Settings!$B$16)</f>
        <v>Prof37</v>
      </c>
      <c r="B1637" s="3" cm="1">
        <f t="array" ref="B1637">alea_date(Settings!$B$11,360,Settings!$B$8+alea_int(4,0,Settings!$B$16),Settings!$B$16)</f>
        <v>46266.375</v>
      </c>
      <c r="C1637" s="3" cm="1">
        <f t="array" ref="C1637">B1637+TIME(alea_int(5,1,Settings!$B$16),0,0)</f>
        <v>46266.583333333336</v>
      </c>
      <c r="D1637" s="3" t="str" cm="1">
        <f t="array" ref="D1637">choice(Settings!K:K,1,Settings!$B$16)</f>
        <v/>
      </c>
    </row>
    <row r="1638" spans="1:4" x14ac:dyDescent="0.25">
      <c r="A1638" s="2" t="str" cm="1">
        <f t="array" ref="A1638">choice(Professeurs!A:A,1,Settings!$B$16)</f>
        <v>Prof35</v>
      </c>
      <c r="B1638" s="3" cm="1">
        <f t="array" ref="B1638">alea_date(Settings!$B$11,360,Settings!$B$8+alea_int(4,0,Settings!$B$16),Settings!$B$16)</f>
        <v>46321.333333333336</v>
      </c>
      <c r="C1638" s="3" cm="1">
        <f t="array" ref="C1638">B1638+TIME(alea_int(5,1,Settings!$B$16),0,0)</f>
        <v>46321.5</v>
      </c>
      <c r="D1638" s="3" t="str" cm="1">
        <f t="array" ref="D1638">choice(Settings!K:K,1,Settings!$B$16)</f>
        <v>vendredi pm</v>
      </c>
    </row>
    <row r="1639" spans="1:4" x14ac:dyDescent="0.25">
      <c r="A1639" s="2" t="str" cm="1">
        <f t="array" ref="A1639">choice(Professeurs!A:A,1,Settings!$B$16)</f>
        <v>Prof15</v>
      </c>
      <c r="B1639" s="3" cm="1">
        <f t="array" ref="B1639">alea_date(Settings!$B$11,360,Settings!$B$8+alea_int(4,0,Settings!$B$16),Settings!$B$16)</f>
        <v>46248.375</v>
      </c>
      <c r="C1639" s="3" cm="1">
        <f t="array" ref="C1639">B1639+TIME(alea_int(5,1,Settings!$B$16),0,0)</f>
        <v>46248.5</v>
      </c>
      <c r="D1639" s="3" t="str" cm="1">
        <f t="array" ref="D1639">choice(Settings!K:K,1,Settings!$B$16)</f>
        <v/>
      </c>
    </row>
    <row r="1640" spans="1:4" x14ac:dyDescent="0.25">
      <c r="A1640" s="2" t="str" cm="1">
        <f t="array" ref="A1640">choice(Professeurs!A:A,1,Settings!$B$16)</f>
        <v>Prof53</v>
      </c>
      <c r="B1640" s="3" cm="1">
        <f t="array" ref="B1640">alea_date(Settings!$B$11,360,Settings!$B$8+alea_int(4,0,Settings!$B$16),Settings!$B$16)</f>
        <v>46180.333333333336</v>
      </c>
      <c r="C1640" s="3" cm="1">
        <f t="array" ref="C1640">B1640+TIME(alea_int(5,1,Settings!$B$16),0,0)</f>
        <v>46180.416666666672</v>
      </c>
      <c r="D1640" s="3" t="str" cm="1">
        <f t="array" ref="D1640">choice(Settings!K:K,1,Settings!$B$16)</f>
        <v/>
      </c>
    </row>
    <row r="1641" spans="1:4" x14ac:dyDescent="0.25">
      <c r="A1641" s="2" t="str" cm="1">
        <f t="array" ref="A1641">choice(Professeurs!A:A,1,Settings!$B$16)</f>
        <v>Prof20</v>
      </c>
      <c r="B1641" s="3" cm="1">
        <f t="array" ref="B1641">alea_date(Settings!$B$11,360,Settings!$B$8+alea_int(4,0,Settings!$B$16),Settings!$B$16)</f>
        <v>46161.458333333336</v>
      </c>
      <c r="C1641" s="3" cm="1">
        <f t="array" ref="C1641">B1641+TIME(alea_int(5,1,Settings!$B$16),0,0)</f>
        <v>46161.666666666672</v>
      </c>
      <c r="D1641" s="3" t="str" cm="1">
        <f t="array" ref="D1641">choice(Settings!K:K,1,Settings!$B$16)</f>
        <v>vendredi pm</v>
      </c>
    </row>
    <row r="1642" spans="1:4" x14ac:dyDescent="0.25">
      <c r="A1642" s="2" t="str" cm="1">
        <f t="array" ref="A1642">choice(Professeurs!A:A,1,Settings!$B$16)</f>
        <v>Prof36</v>
      </c>
      <c r="B1642" s="3" cm="1">
        <f t="array" ref="B1642">alea_date(Settings!$B$11,360,Settings!$B$8+alea_int(4,0,Settings!$B$16),Settings!$B$16)</f>
        <v>46339.416666666664</v>
      </c>
      <c r="C1642" s="3" cm="1">
        <f t="array" ref="C1642">B1642+TIME(alea_int(5,1,Settings!$B$16),0,0)</f>
        <v>46339.625</v>
      </c>
      <c r="D1642" s="3" t="str" cm="1">
        <f t="array" ref="D1642">choice(Settings!K:K,1,Settings!$B$16)</f>
        <v/>
      </c>
    </row>
    <row r="1643" spans="1:4" x14ac:dyDescent="0.25">
      <c r="A1643" s="2" t="str" cm="1">
        <f t="array" ref="A1643">choice(Professeurs!A:A,1,Settings!$B$16)</f>
        <v>Prof28</v>
      </c>
      <c r="B1643" s="3" cm="1">
        <f t="array" ref="B1643">alea_date(Settings!$B$11,360,Settings!$B$8+alea_int(4,0,Settings!$B$16),Settings!$B$16)</f>
        <v>46145.375</v>
      </c>
      <c r="C1643" s="3" cm="1">
        <f t="array" ref="C1643">B1643+TIME(alea_int(5,1,Settings!$B$16),0,0)</f>
        <v>46145.5</v>
      </c>
      <c r="D1643" s="3" t="str" cm="1">
        <f t="array" ref="D1643">choice(Settings!K:K,1,Settings!$B$16)</f>
        <v/>
      </c>
    </row>
    <row r="1644" spans="1:4" x14ac:dyDescent="0.25">
      <c r="A1644" s="2" t="str" cm="1">
        <f t="array" ref="A1644">choice(Professeurs!A:A,1,Settings!$B$16)</f>
        <v>Prof29</v>
      </c>
      <c r="B1644" s="3" cm="1">
        <f t="array" ref="B1644">alea_date(Settings!$B$11,360,Settings!$B$8+alea_int(4,0,Settings!$B$16),Settings!$B$16)</f>
        <v>46280.458333333336</v>
      </c>
      <c r="C1644" s="3" cm="1">
        <f t="array" ref="C1644">B1644+TIME(alea_int(5,1,Settings!$B$16),0,0)</f>
        <v>46280.625</v>
      </c>
      <c r="D1644" s="3" t="str" cm="1">
        <f t="array" ref="D1644">choice(Settings!K:K,1,Settings!$B$16)</f>
        <v/>
      </c>
    </row>
    <row r="1645" spans="1:4" x14ac:dyDescent="0.25">
      <c r="A1645" s="2" t="str" cm="1">
        <f t="array" ref="A1645">choice(Professeurs!A:A,1,Settings!$B$16)</f>
        <v>Prof44</v>
      </c>
      <c r="B1645" s="3" cm="1">
        <f t="array" ref="B1645">alea_date(Settings!$B$11,360,Settings!$B$8+alea_int(4,0,Settings!$B$16),Settings!$B$16)</f>
        <v>46109.333333333336</v>
      </c>
      <c r="C1645" s="3" cm="1">
        <f t="array" ref="C1645">B1645+TIME(alea_int(5,1,Settings!$B$16),0,0)</f>
        <v>46109.458333333336</v>
      </c>
      <c r="D1645" s="3" t="str" cm="1">
        <f t="array" ref="D1645">choice(Settings!K:K,1,Settings!$B$16)</f>
        <v/>
      </c>
    </row>
    <row r="1646" spans="1:4" x14ac:dyDescent="0.25">
      <c r="A1646" s="2" t="str" cm="1">
        <f t="array" ref="A1646">choice(Professeurs!A:A,1,Settings!$B$16)</f>
        <v>Prof41</v>
      </c>
      <c r="B1646" s="3" cm="1">
        <f t="array" ref="B1646">alea_date(Settings!$B$11,360,Settings!$B$8+alea_int(4,0,Settings!$B$16),Settings!$B$16)</f>
        <v>46195.458333333336</v>
      </c>
      <c r="C1646" s="3" cm="1">
        <f t="array" ref="C1646">B1646+TIME(alea_int(5,1,Settings!$B$16),0,0)</f>
        <v>46195.5</v>
      </c>
      <c r="D1646" s="3" t="str" cm="1">
        <f t="array" ref="D1646">choice(Settings!K:K,1,Settings!$B$16)</f>
        <v>semaine</v>
      </c>
    </row>
    <row r="1647" spans="1:4" x14ac:dyDescent="0.25">
      <c r="A1647" s="2" t="str" cm="1">
        <f t="array" ref="A1647">choice(Professeurs!A:A,1,Settings!$B$16)</f>
        <v>Prof34</v>
      </c>
      <c r="B1647" s="3" cm="1">
        <f t="array" ref="B1647">alea_date(Settings!$B$11,360,Settings!$B$8+alea_int(4,0,Settings!$B$16),Settings!$B$16)</f>
        <v>46089.375</v>
      </c>
      <c r="C1647" s="3" cm="1">
        <f t="array" ref="C1647">B1647+TIME(alea_int(5,1,Settings!$B$16),0,0)</f>
        <v>46089.5</v>
      </c>
      <c r="D1647" s="3" t="str" cm="1">
        <f t="array" ref="D1647">choice(Settings!K:K,1,Settings!$B$16)</f>
        <v/>
      </c>
    </row>
    <row r="1648" spans="1:4" x14ac:dyDescent="0.25">
      <c r="A1648" s="2" t="str" cm="1">
        <f t="array" ref="A1648">choice(Professeurs!A:A,1,Settings!$B$16)</f>
        <v>Prof26</v>
      </c>
      <c r="B1648" s="3" cm="1">
        <f t="array" ref="B1648">alea_date(Settings!$B$11,360,Settings!$B$8+alea_int(4,0,Settings!$B$16),Settings!$B$16)</f>
        <v>46310.416666666664</v>
      </c>
      <c r="C1648" s="3" cm="1">
        <f t="array" ref="C1648">B1648+TIME(alea_int(5,1,Settings!$B$16),0,0)</f>
        <v>46310.583333333328</v>
      </c>
      <c r="D1648" s="3" t="str" cm="1">
        <f t="array" ref="D1648">choice(Settings!K:K,1,Settings!$B$16)</f>
        <v>jeudi am</v>
      </c>
    </row>
    <row r="1649" spans="1:4" x14ac:dyDescent="0.25">
      <c r="A1649" s="2" t="str" cm="1">
        <f t="array" ref="A1649">choice(Professeurs!A:A,1,Settings!$B$16)</f>
        <v>Prof49</v>
      </c>
      <c r="B1649" s="3" cm="1">
        <f t="array" ref="B1649">alea_date(Settings!$B$11,360,Settings!$B$8+alea_int(4,0,Settings!$B$16),Settings!$B$16)</f>
        <v>46263.375</v>
      </c>
      <c r="C1649" s="3" cm="1">
        <f t="array" ref="C1649">B1649+TIME(alea_int(5,1,Settings!$B$16),0,0)</f>
        <v>46263.458333333336</v>
      </c>
      <c r="D1649" s="3" t="str" cm="1">
        <f t="array" ref="D1649">choice(Settings!K:K,1,Settings!$B$16)</f>
        <v>lundi pm</v>
      </c>
    </row>
    <row r="1650" spans="1:4" x14ac:dyDescent="0.25">
      <c r="A1650" s="2" t="str" cm="1">
        <f t="array" ref="A1650">choice(Professeurs!A:A,1,Settings!$B$16)</f>
        <v>Prof5</v>
      </c>
      <c r="B1650" s="3" cm="1">
        <f t="array" ref="B1650">alea_date(Settings!$B$11,360,Settings!$B$8+alea_int(4,0,Settings!$B$16),Settings!$B$16)</f>
        <v>46379.416666666664</v>
      </c>
      <c r="C1650" s="3" cm="1">
        <f t="array" ref="C1650">B1650+TIME(alea_int(5,1,Settings!$B$16),0,0)</f>
        <v>46379.458333333328</v>
      </c>
      <c r="D1650" s="3" t="str" cm="1">
        <f t="array" ref="D1650">choice(Settings!K:K,1,Settings!$B$16)</f>
        <v/>
      </c>
    </row>
    <row r="1651" spans="1:4" x14ac:dyDescent="0.25">
      <c r="A1651" s="2" t="str" cm="1">
        <f t="array" ref="A1651">choice(Professeurs!A:A,1,Settings!$B$16)</f>
        <v>Prof44</v>
      </c>
      <c r="B1651" s="3" cm="1">
        <f t="array" ref="B1651">alea_date(Settings!$B$11,360,Settings!$B$8+alea_int(4,0,Settings!$B$16),Settings!$B$16)</f>
        <v>46177.458333333336</v>
      </c>
      <c r="C1651" s="3" cm="1">
        <f t="array" ref="C1651">B1651+TIME(alea_int(5,1,Settings!$B$16),0,0)</f>
        <v>46177.625</v>
      </c>
      <c r="D1651" s="3" t="str" cm="1">
        <f t="array" ref="D1651">choice(Settings!K:K,1,Settings!$B$16)</f>
        <v>lundi am</v>
      </c>
    </row>
    <row r="1652" spans="1:4" x14ac:dyDescent="0.25">
      <c r="A1652" s="2" t="str" cm="1">
        <f t="array" ref="A1652">choice(Professeurs!A:A,1,Settings!$B$16)</f>
        <v>Prof5</v>
      </c>
      <c r="B1652" s="3" cm="1">
        <f t="array" ref="B1652">alea_date(Settings!$B$11,360,Settings!$B$8+alea_int(4,0,Settings!$B$16),Settings!$B$16)</f>
        <v>46119.458333333336</v>
      </c>
      <c r="C1652" s="3" cm="1">
        <f t="array" ref="C1652">B1652+TIME(alea_int(5,1,Settings!$B$16),0,0)</f>
        <v>46119.583333333336</v>
      </c>
      <c r="D1652" s="3" t="str" cm="1">
        <f t="array" ref="D1652">choice(Settings!K:K,1,Settings!$B$16)</f>
        <v/>
      </c>
    </row>
    <row r="1653" spans="1:4" x14ac:dyDescent="0.25">
      <c r="A1653" s="2" t="str" cm="1">
        <f t="array" ref="A1653">choice(Professeurs!A:A,1,Settings!$B$16)</f>
        <v>Prof9</v>
      </c>
      <c r="B1653" s="3" cm="1">
        <f t="array" ref="B1653">alea_date(Settings!$B$11,360,Settings!$B$8+alea_int(4,0,Settings!$B$16),Settings!$B$16)</f>
        <v>46291.333333333336</v>
      </c>
      <c r="C1653" s="3" cm="1">
        <f t="array" ref="C1653">B1653+TIME(alea_int(5,1,Settings!$B$16),0,0)</f>
        <v>46291.5</v>
      </c>
      <c r="D1653" s="3" t="str" cm="1">
        <f t="array" ref="D1653">choice(Settings!K:K,1,Settings!$B$16)</f>
        <v>lundi am</v>
      </c>
    </row>
    <row r="1654" spans="1:4" x14ac:dyDescent="0.25">
      <c r="A1654" s="2" t="str" cm="1">
        <f t="array" ref="A1654">choice(Professeurs!A:A,1,Settings!$B$16)</f>
        <v>Prof40</v>
      </c>
      <c r="B1654" s="3" cm="1">
        <f t="array" ref="B1654">alea_date(Settings!$B$11,360,Settings!$B$8+alea_int(4,0,Settings!$B$16),Settings!$B$16)</f>
        <v>46029.416666666664</v>
      </c>
      <c r="C1654" s="3" cm="1">
        <f t="array" ref="C1654">B1654+TIME(alea_int(5,1,Settings!$B$16),0,0)</f>
        <v>46029.5</v>
      </c>
      <c r="D1654" s="3" t="str" cm="1">
        <f t="array" ref="D1654">choice(Settings!K:K,1,Settings!$B$16)</f>
        <v>jeudi pm</v>
      </c>
    </row>
    <row r="1655" spans="1:4" x14ac:dyDescent="0.25">
      <c r="A1655" s="2" t="str" cm="1">
        <f t="array" ref="A1655">choice(Professeurs!A:A,1,Settings!$B$16)</f>
        <v>Prof51</v>
      </c>
      <c r="B1655" s="3" cm="1">
        <f t="array" ref="B1655">alea_date(Settings!$B$11,360,Settings!$B$8+alea_int(4,0,Settings!$B$16),Settings!$B$16)</f>
        <v>46104.416666666664</v>
      </c>
      <c r="C1655" s="3" cm="1">
        <f t="array" ref="C1655">B1655+TIME(alea_int(5,1,Settings!$B$16),0,0)</f>
        <v>46104.625</v>
      </c>
      <c r="D1655" s="3" t="str" cm="1">
        <f t="array" ref="D1655">choice(Settings!K:K,1,Settings!$B$16)</f>
        <v>mardi am</v>
      </c>
    </row>
    <row r="1656" spans="1:4" x14ac:dyDescent="0.25">
      <c r="A1656" s="2" t="str" cm="1">
        <f t="array" ref="A1656">choice(Professeurs!A:A,1,Settings!$B$16)</f>
        <v>Prof1</v>
      </c>
      <c r="B1656" s="3" cm="1">
        <f t="array" ref="B1656">alea_date(Settings!$B$11,360,Settings!$B$8+alea_int(4,0,Settings!$B$16),Settings!$B$16)</f>
        <v>46381.416666666664</v>
      </c>
      <c r="C1656" s="3" cm="1">
        <f t="array" ref="C1656">B1656+TIME(alea_int(5,1,Settings!$B$16),0,0)</f>
        <v>46381.541666666664</v>
      </c>
      <c r="D1656" s="3" t="str" cm="1">
        <f t="array" ref="D1656">choice(Settings!K:K,1,Settings!$B$16)</f>
        <v/>
      </c>
    </row>
    <row r="1657" spans="1:4" x14ac:dyDescent="0.25">
      <c r="A1657" s="2" t="str" cm="1">
        <f t="array" ref="A1657">choice(Professeurs!A:A,1,Settings!$B$16)</f>
        <v>Prof3</v>
      </c>
      <c r="B1657" s="3" cm="1">
        <f t="array" ref="B1657">alea_date(Settings!$B$11,360,Settings!$B$8+alea_int(4,0,Settings!$B$16),Settings!$B$16)</f>
        <v>46301.375</v>
      </c>
      <c r="C1657" s="3" cm="1">
        <f t="array" ref="C1657">B1657+TIME(alea_int(5,1,Settings!$B$16),0,0)</f>
        <v>46301.541666666664</v>
      </c>
      <c r="D1657" s="3" t="str" cm="1">
        <f t="array" ref="D1657">choice(Settings!K:K,1,Settings!$B$16)</f>
        <v/>
      </c>
    </row>
    <row r="1658" spans="1:4" x14ac:dyDescent="0.25">
      <c r="A1658" s="2" t="str" cm="1">
        <f t="array" ref="A1658">choice(Professeurs!A:A,1,Settings!$B$16)</f>
        <v>Prof21</v>
      </c>
      <c r="B1658" s="3" cm="1">
        <f t="array" ref="B1658">alea_date(Settings!$B$11,360,Settings!$B$8+alea_int(4,0,Settings!$B$16),Settings!$B$16)</f>
        <v>46321.416666666664</v>
      </c>
      <c r="C1658" s="3" cm="1">
        <f t="array" ref="C1658">B1658+TIME(alea_int(5,1,Settings!$B$16),0,0)</f>
        <v>46321.458333333328</v>
      </c>
      <c r="D1658" s="3" t="str" cm="1">
        <f t="array" ref="D1658">choice(Settings!K:K,1,Settings!$B$16)</f>
        <v/>
      </c>
    </row>
    <row r="1659" spans="1:4" x14ac:dyDescent="0.25">
      <c r="A1659" s="2" t="str" cm="1">
        <f t="array" ref="A1659">choice(Professeurs!A:A,1,Settings!$B$16)</f>
        <v>Prof29</v>
      </c>
      <c r="B1659" s="3" cm="1">
        <f t="array" ref="B1659">alea_date(Settings!$B$11,360,Settings!$B$8+alea_int(4,0,Settings!$B$16),Settings!$B$16)</f>
        <v>46173.333333333336</v>
      </c>
      <c r="C1659" s="3" cm="1">
        <f t="array" ref="C1659">B1659+TIME(alea_int(5,1,Settings!$B$16),0,0)</f>
        <v>46173.458333333336</v>
      </c>
      <c r="D1659" s="3" t="str" cm="1">
        <f t="array" ref="D1659">choice(Settings!K:K,1,Settings!$B$16)</f>
        <v>mardi am</v>
      </c>
    </row>
    <row r="1660" spans="1:4" x14ac:dyDescent="0.25">
      <c r="A1660" s="2" t="str" cm="1">
        <f t="array" ref="A1660">choice(Professeurs!A:A,1,Settings!$B$16)</f>
        <v>Prof37</v>
      </c>
      <c r="B1660" s="3" cm="1">
        <f t="array" ref="B1660">alea_date(Settings!$B$11,360,Settings!$B$8+alea_int(4,0,Settings!$B$16),Settings!$B$16)</f>
        <v>46055.375</v>
      </c>
      <c r="C1660" s="3" cm="1">
        <f t="array" ref="C1660">B1660+TIME(alea_int(5,1,Settings!$B$16),0,0)</f>
        <v>46055.5</v>
      </c>
      <c r="D1660" s="3" t="str" cm="1">
        <f t="array" ref="D1660">choice(Settings!K:K,1,Settings!$B$16)</f>
        <v/>
      </c>
    </row>
    <row r="1661" spans="1:4" x14ac:dyDescent="0.25">
      <c r="A1661" s="2" t="str" cm="1">
        <f t="array" ref="A1661">choice(Professeurs!A:A,1,Settings!$B$16)</f>
        <v>Prof33</v>
      </c>
      <c r="B1661" s="3" cm="1">
        <f t="array" ref="B1661">alea_date(Settings!$B$11,360,Settings!$B$8+alea_int(4,0,Settings!$B$16),Settings!$B$16)</f>
        <v>46024.458333333336</v>
      </c>
      <c r="C1661" s="3" cm="1">
        <f t="array" ref="C1661">B1661+TIME(alea_int(5,1,Settings!$B$16),0,0)</f>
        <v>46024.5</v>
      </c>
      <c r="D1661" s="3" t="str" cm="1">
        <f t="array" ref="D1661">choice(Settings!K:K,1,Settings!$B$16)</f>
        <v/>
      </c>
    </row>
    <row r="1662" spans="1:4" x14ac:dyDescent="0.25">
      <c r="A1662" s="2" t="str" cm="1">
        <f t="array" ref="A1662">choice(Professeurs!A:A,1,Settings!$B$16)</f>
        <v>Prof39</v>
      </c>
      <c r="B1662" s="3" cm="1">
        <f t="array" ref="B1662">alea_date(Settings!$B$11,360,Settings!$B$8+alea_int(4,0,Settings!$B$16),Settings!$B$16)</f>
        <v>46064.416666666664</v>
      </c>
      <c r="C1662" s="3" cm="1">
        <f t="array" ref="C1662">B1662+TIME(alea_int(5,1,Settings!$B$16),0,0)</f>
        <v>46064.458333333328</v>
      </c>
      <c r="D1662" s="3" t="str" cm="1">
        <f t="array" ref="D1662">choice(Settings!K:K,1,Settings!$B$16)</f>
        <v>vendredi am</v>
      </c>
    </row>
    <row r="1663" spans="1:4" x14ac:dyDescent="0.25">
      <c r="A1663" s="2" t="str" cm="1">
        <f t="array" ref="A1663">choice(Professeurs!A:A,1,Settings!$B$16)</f>
        <v>Prof33</v>
      </c>
      <c r="B1663" s="3" cm="1">
        <f t="array" ref="B1663">alea_date(Settings!$B$11,360,Settings!$B$8+alea_int(4,0,Settings!$B$16),Settings!$B$16)</f>
        <v>46128.333333333336</v>
      </c>
      <c r="C1663" s="3" cm="1">
        <f t="array" ref="C1663">B1663+TIME(alea_int(5,1,Settings!$B$16),0,0)</f>
        <v>46128.5</v>
      </c>
      <c r="D1663" s="3" t="str" cm="1">
        <f t="array" ref="D1663">choice(Settings!K:K,1,Settings!$B$16)</f>
        <v/>
      </c>
    </row>
    <row r="1664" spans="1:4" x14ac:dyDescent="0.25">
      <c r="A1664" s="2" t="str" cm="1">
        <f t="array" ref="A1664">choice(Professeurs!A:A,1,Settings!$B$16)</f>
        <v>Prof5</v>
      </c>
      <c r="B1664" s="3" cm="1">
        <f t="array" ref="B1664">alea_date(Settings!$B$11,360,Settings!$B$8+alea_int(4,0,Settings!$B$16),Settings!$B$16)</f>
        <v>46109.375</v>
      </c>
      <c r="C1664" s="3" cm="1">
        <f t="array" ref="C1664">B1664+TIME(alea_int(5,1,Settings!$B$16),0,0)</f>
        <v>46109.458333333336</v>
      </c>
      <c r="D1664" s="3" t="str" cm="1">
        <f t="array" ref="D1664">choice(Settings!K:K,1,Settings!$B$16)</f>
        <v/>
      </c>
    </row>
    <row r="1665" spans="1:4" x14ac:dyDescent="0.25">
      <c r="A1665" s="2" t="str" cm="1">
        <f t="array" ref="A1665">choice(Professeurs!A:A,1,Settings!$B$16)</f>
        <v>Prof28</v>
      </c>
      <c r="B1665" s="3" cm="1">
        <f t="array" ref="B1665">alea_date(Settings!$B$11,360,Settings!$B$8+alea_int(4,0,Settings!$B$16),Settings!$B$16)</f>
        <v>46250.333333333336</v>
      </c>
      <c r="C1665" s="3" cm="1">
        <f t="array" ref="C1665">B1665+TIME(alea_int(5,1,Settings!$B$16),0,0)</f>
        <v>46250.5</v>
      </c>
      <c r="D1665" s="3" t="str" cm="1">
        <f t="array" ref="D1665">choice(Settings!K:K,1,Settings!$B$16)</f>
        <v/>
      </c>
    </row>
    <row r="1666" spans="1:4" x14ac:dyDescent="0.25">
      <c r="A1666" s="2" t="str" cm="1">
        <f t="array" ref="A1666">choice(Professeurs!A:A,1,Settings!$B$16)</f>
        <v>Prof3</v>
      </c>
      <c r="B1666" s="3" cm="1">
        <f t="array" ref="B1666">alea_date(Settings!$B$11,360,Settings!$B$8+alea_int(4,0,Settings!$B$16),Settings!$B$16)</f>
        <v>46045.458333333336</v>
      </c>
      <c r="C1666" s="3" cm="1">
        <f t="array" ref="C1666">B1666+TIME(alea_int(5,1,Settings!$B$16),0,0)</f>
        <v>46045.5</v>
      </c>
      <c r="D1666" s="3" t="str" cm="1">
        <f t="array" ref="D1666">choice(Settings!K:K,1,Settings!$B$16)</f>
        <v>jeudi am</v>
      </c>
    </row>
    <row r="1667" spans="1:4" x14ac:dyDescent="0.25">
      <c r="A1667" s="2" t="str" cm="1">
        <f t="array" ref="A1667">choice(Professeurs!A:A,1,Settings!$B$16)</f>
        <v>Prof20</v>
      </c>
      <c r="B1667" s="3" cm="1">
        <f t="array" ref="B1667">alea_date(Settings!$B$11,360,Settings!$B$8+alea_int(4,0,Settings!$B$16),Settings!$B$16)</f>
        <v>46046.333333333336</v>
      </c>
      <c r="C1667" s="3" cm="1">
        <f t="array" ref="C1667">B1667+TIME(alea_int(5,1,Settings!$B$16),0,0)</f>
        <v>46046.458333333336</v>
      </c>
      <c r="D1667" s="3" t="str" cm="1">
        <f t="array" ref="D1667">choice(Settings!K:K,1,Settings!$B$16)</f>
        <v/>
      </c>
    </row>
    <row r="1668" spans="1:4" x14ac:dyDescent="0.25">
      <c r="A1668" s="2" t="str" cm="1">
        <f t="array" ref="A1668">choice(Professeurs!A:A,1,Settings!$B$16)</f>
        <v>Prof54</v>
      </c>
      <c r="B1668" s="3" cm="1">
        <f t="array" ref="B1668">alea_date(Settings!$B$11,360,Settings!$B$8+alea_int(4,0,Settings!$B$16),Settings!$B$16)</f>
        <v>46365.333333333336</v>
      </c>
      <c r="C1668" s="3" cm="1">
        <f t="array" ref="C1668">B1668+TIME(alea_int(5,1,Settings!$B$16),0,0)</f>
        <v>46365.458333333336</v>
      </c>
      <c r="D1668" s="3" t="str" cm="1">
        <f t="array" ref="D1668">choice(Settings!K:K,1,Settings!$B$16)</f>
        <v>lundi am</v>
      </c>
    </row>
    <row r="1669" spans="1:4" x14ac:dyDescent="0.25">
      <c r="A1669" s="2" t="str" cm="1">
        <f t="array" ref="A1669">choice(Professeurs!A:A,1,Settings!$B$16)</f>
        <v>Prof41</v>
      </c>
      <c r="B1669" s="3" cm="1">
        <f t="array" ref="B1669">alea_date(Settings!$B$11,360,Settings!$B$8+alea_int(4,0,Settings!$B$16),Settings!$B$16)</f>
        <v>46250.333333333336</v>
      </c>
      <c r="C1669" s="3" cm="1">
        <f t="array" ref="C1669">B1669+TIME(alea_int(5,1,Settings!$B$16),0,0)</f>
        <v>46250.5</v>
      </c>
      <c r="D1669" s="3" t="str" cm="1">
        <f t="array" ref="D1669">choice(Settings!K:K,1,Settings!$B$16)</f>
        <v/>
      </c>
    </row>
    <row r="1670" spans="1:4" x14ac:dyDescent="0.25">
      <c r="A1670" s="2" t="str" cm="1">
        <f t="array" ref="A1670">choice(Professeurs!A:A,1,Settings!$B$16)</f>
        <v>Prof4</v>
      </c>
      <c r="B1670" s="3" cm="1">
        <f t="array" ref="B1670">alea_date(Settings!$B$11,360,Settings!$B$8+alea_int(4,0,Settings!$B$16),Settings!$B$16)</f>
        <v>46248.458333333336</v>
      </c>
      <c r="C1670" s="3" cm="1">
        <f t="array" ref="C1670">B1670+TIME(alea_int(5,1,Settings!$B$16),0,0)</f>
        <v>46248.541666666672</v>
      </c>
      <c r="D1670" s="3" t="str" cm="1">
        <f t="array" ref="D1670">choice(Settings!K:K,1,Settings!$B$16)</f>
        <v/>
      </c>
    </row>
    <row r="1671" spans="1:4" x14ac:dyDescent="0.25">
      <c r="A1671" s="2" t="str" cm="1">
        <f t="array" ref="A1671">choice(Professeurs!A:A,1,Settings!$B$16)</f>
        <v>Prof28</v>
      </c>
      <c r="B1671" s="3" cm="1">
        <f t="array" ref="B1671">alea_date(Settings!$B$11,360,Settings!$B$8+alea_int(4,0,Settings!$B$16),Settings!$B$16)</f>
        <v>46092.375</v>
      </c>
      <c r="C1671" s="3" cm="1">
        <f t="array" ref="C1671">B1671+TIME(alea_int(5,1,Settings!$B$16),0,0)</f>
        <v>46092.541666666664</v>
      </c>
      <c r="D1671" s="3" t="str" cm="1">
        <f t="array" ref="D1671">choice(Settings!K:K,1,Settings!$B$16)</f>
        <v/>
      </c>
    </row>
    <row r="1672" spans="1:4" x14ac:dyDescent="0.25">
      <c r="A1672" s="2" t="str" cm="1">
        <f t="array" ref="A1672">choice(Professeurs!A:A,1,Settings!$B$16)</f>
        <v>Prof11</v>
      </c>
      <c r="B1672" s="3" cm="1">
        <f t="array" ref="B1672">alea_date(Settings!$B$11,360,Settings!$B$8+alea_int(4,0,Settings!$B$16),Settings!$B$16)</f>
        <v>46160.333333333336</v>
      </c>
      <c r="C1672" s="3" cm="1">
        <f t="array" ref="C1672">B1672+TIME(alea_int(5,1,Settings!$B$16),0,0)</f>
        <v>46160.416666666672</v>
      </c>
      <c r="D1672" s="3" t="str" cm="1">
        <f t="array" ref="D1672">choice(Settings!K:K,1,Settings!$B$16)</f>
        <v/>
      </c>
    </row>
    <row r="1673" spans="1:4" x14ac:dyDescent="0.25">
      <c r="A1673" s="2" t="str" cm="1">
        <f t="array" ref="A1673">choice(Professeurs!A:A,1,Settings!$B$16)</f>
        <v>Prof3</v>
      </c>
      <c r="B1673" s="3" cm="1">
        <f t="array" ref="B1673">alea_date(Settings!$B$11,360,Settings!$B$8+alea_int(4,0,Settings!$B$16),Settings!$B$16)</f>
        <v>46127.333333333336</v>
      </c>
      <c r="C1673" s="3" cm="1">
        <f t="array" ref="C1673">B1673+TIME(alea_int(5,1,Settings!$B$16),0,0)</f>
        <v>46127.458333333336</v>
      </c>
      <c r="D1673" s="3" t="str" cm="1">
        <f t="array" ref="D1673">choice(Settings!K:K,1,Settings!$B$16)</f>
        <v/>
      </c>
    </row>
    <row r="1674" spans="1:4" x14ac:dyDescent="0.25">
      <c r="A1674" s="2" t="str" cm="1">
        <f t="array" ref="A1674">choice(Professeurs!A:A,1,Settings!$B$16)</f>
        <v>Prof5</v>
      </c>
      <c r="B1674" s="3" cm="1">
        <f t="array" ref="B1674">alea_date(Settings!$B$11,360,Settings!$B$8+alea_int(4,0,Settings!$B$16),Settings!$B$16)</f>
        <v>46374.458333333336</v>
      </c>
      <c r="C1674" s="3" cm="1">
        <f t="array" ref="C1674">B1674+TIME(alea_int(5,1,Settings!$B$16),0,0)</f>
        <v>46374.583333333336</v>
      </c>
      <c r="D1674" s="3" t="str" cm="1">
        <f t="array" ref="D1674">choice(Settings!K:K,1,Settings!$B$16)</f>
        <v/>
      </c>
    </row>
    <row r="1675" spans="1:4" x14ac:dyDescent="0.25">
      <c r="A1675" s="2" t="str" cm="1">
        <f t="array" ref="A1675">choice(Professeurs!A:A,1,Settings!$B$16)</f>
        <v>Prof30</v>
      </c>
      <c r="B1675" s="3" cm="1">
        <f t="array" ref="B1675">alea_date(Settings!$B$11,360,Settings!$B$8+alea_int(4,0,Settings!$B$16),Settings!$B$16)</f>
        <v>46161.333333333336</v>
      </c>
      <c r="C1675" s="3" cm="1">
        <f t="array" ref="C1675">B1675+TIME(alea_int(5,1,Settings!$B$16),0,0)</f>
        <v>46161.416666666672</v>
      </c>
      <c r="D1675" s="3" t="str" cm="1">
        <f t="array" ref="D1675">choice(Settings!K:K,1,Settings!$B$16)</f>
        <v>jeudi pm</v>
      </c>
    </row>
    <row r="1676" spans="1:4" x14ac:dyDescent="0.25">
      <c r="A1676" s="2" t="str" cm="1">
        <f t="array" ref="A1676">choice(Professeurs!A:A,1,Settings!$B$16)</f>
        <v>Prof10</v>
      </c>
      <c r="B1676" s="3" cm="1">
        <f t="array" ref="B1676">alea_date(Settings!$B$11,360,Settings!$B$8+alea_int(4,0,Settings!$B$16),Settings!$B$16)</f>
        <v>46171.375</v>
      </c>
      <c r="C1676" s="3" cm="1">
        <f t="array" ref="C1676">B1676+TIME(alea_int(5,1,Settings!$B$16),0,0)</f>
        <v>46171.583333333336</v>
      </c>
      <c r="D1676" s="3" t="str" cm="1">
        <f t="array" ref="D1676">choice(Settings!K:K,1,Settings!$B$16)</f>
        <v/>
      </c>
    </row>
    <row r="1677" spans="1:4" x14ac:dyDescent="0.25">
      <c r="A1677" s="2" t="str" cm="1">
        <f t="array" ref="A1677">choice(Professeurs!A:A,1,Settings!$B$16)</f>
        <v>Prof19</v>
      </c>
      <c r="B1677" s="3" cm="1">
        <f t="array" ref="B1677">alea_date(Settings!$B$11,360,Settings!$B$8+alea_int(4,0,Settings!$B$16),Settings!$B$16)</f>
        <v>46361.375</v>
      </c>
      <c r="C1677" s="3" cm="1">
        <f t="array" ref="C1677">B1677+TIME(alea_int(5,1,Settings!$B$16),0,0)</f>
        <v>46361.541666666664</v>
      </c>
      <c r="D1677" s="3" t="str" cm="1">
        <f t="array" ref="D1677">choice(Settings!K:K,1,Settings!$B$16)</f>
        <v/>
      </c>
    </row>
    <row r="1678" spans="1:4" x14ac:dyDescent="0.25">
      <c r="A1678" s="2" t="str" cm="1">
        <f t="array" ref="A1678">choice(Professeurs!A:A,1,Settings!$B$16)</f>
        <v>Prof14</v>
      </c>
      <c r="B1678" s="3" cm="1">
        <f t="array" ref="B1678">alea_date(Settings!$B$11,360,Settings!$B$8+alea_int(4,0,Settings!$B$16),Settings!$B$16)</f>
        <v>46356.333333333336</v>
      </c>
      <c r="C1678" s="3" cm="1">
        <f t="array" ref="C1678">B1678+TIME(alea_int(5,1,Settings!$B$16),0,0)</f>
        <v>46356.5</v>
      </c>
      <c r="D1678" s="3" t="str" cm="1">
        <f t="array" ref="D1678">choice(Settings!K:K,1,Settings!$B$16)</f>
        <v/>
      </c>
    </row>
    <row r="1679" spans="1:4" x14ac:dyDescent="0.25">
      <c r="A1679" s="2" t="str" cm="1">
        <f t="array" ref="A1679">choice(Professeurs!A:A,1,Settings!$B$16)</f>
        <v>Prof42</v>
      </c>
      <c r="B1679" s="3" cm="1">
        <f t="array" ref="B1679">alea_date(Settings!$B$11,360,Settings!$B$8+alea_int(4,0,Settings!$B$16),Settings!$B$16)</f>
        <v>46311.333333333336</v>
      </c>
      <c r="C1679" s="3" cm="1">
        <f t="array" ref="C1679">B1679+TIME(alea_int(5,1,Settings!$B$16),0,0)</f>
        <v>46311.416666666672</v>
      </c>
      <c r="D1679" s="3" t="str" cm="1">
        <f t="array" ref="D1679">choice(Settings!K:K,1,Settings!$B$16)</f>
        <v>mercredi ap</v>
      </c>
    </row>
    <row r="1680" spans="1:4" x14ac:dyDescent="0.25">
      <c r="A1680" s="2" t="str" cm="1">
        <f t="array" ref="A1680">choice(Professeurs!A:A,1,Settings!$B$16)</f>
        <v>Prof33</v>
      </c>
      <c r="B1680" s="3" cm="1">
        <f t="array" ref="B1680">alea_date(Settings!$B$11,360,Settings!$B$8+alea_int(4,0,Settings!$B$16),Settings!$B$16)</f>
        <v>46044.375</v>
      </c>
      <c r="C1680" s="3" cm="1">
        <f t="array" ref="C1680">B1680+TIME(alea_int(5,1,Settings!$B$16),0,0)</f>
        <v>46044.583333333336</v>
      </c>
      <c r="D1680" s="3" t="str" cm="1">
        <f t="array" ref="D1680">choice(Settings!K:K,1,Settings!$B$16)</f>
        <v>lundi am</v>
      </c>
    </row>
    <row r="1681" spans="1:4" x14ac:dyDescent="0.25">
      <c r="A1681" s="2" t="str" cm="1">
        <f t="array" ref="A1681">choice(Professeurs!A:A,1,Settings!$B$16)</f>
        <v>Prof34</v>
      </c>
      <c r="B1681" s="3" cm="1">
        <f t="array" ref="B1681">alea_date(Settings!$B$11,360,Settings!$B$8+alea_int(4,0,Settings!$B$16),Settings!$B$16)</f>
        <v>46032.416666666664</v>
      </c>
      <c r="C1681" s="3" cm="1">
        <f t="array" ref="C1681">B1681+TIME(alea_int(5,1,Settings!$B$16),0,0)</f>
        <v>46032.541666666664</v>
      </c>
      <c r="D1681" s="3" t="str" cm="1">
        <f t="array" ref="D1681">choice(Settings!K:K,1,Settings!$B$16)</f>
        <v/>
      </c>
    </row>
    <row r="1682" spans="1:4" x14ac:dyDescent="0.25">
      <c r="A1682" s="2" t="str" cm="1">
        <f t="array" ref="A1682">choice(Professeurs!A:A,1,Settings!$B$16)</f>
        <v>Prof3</v>
      </c>
      <c r="B1682" s="3" cm="1">
        <f t="array" ref="B1682">alea_date(Settings!$B$11,360,Settings!$B$8+alea_int(4,0,Settings!$B$16),Settings!$B$16)</f>
        <v>46298.333333333336</v>
      </c>
      <c r="C1682" s="3" cm="1">
        <f t="array" ref="C1682">B1682+TIME(alea_int(5,1,Settings!$B$16),0,0)</f>
        <v>46298.541666666672</v>
      </c>
      <c r="D1682" s="3" t="str" cm="1">
        <f t="array" ref="D1682">choice(Settings!K:K,1,Settings!$B$16)</f>
        <v>mardi pm</v>
      </c>
    </row>
    <row r="1683" spans="1:4" x14ac:dyDescent="0.25">
      <c r="A1683" s="2" t="str" cm="1">
        <f t="array" ref="A1683">choice(Professeurs!A:A,1,Settings!$B$16)</f>
        <v>Prof24</v>
      </c>
      <c r="B1683" s="3" cm="1">
        <f t="array" ref="B1683">alea_date(Settings!$B$11,360,Settings!$B$8+alea_int(4,0,Settings!$B$16),Settings!$B$16)</f>
        <v>46062.375</v>
      </c>
      <c r="C1683" s="3" cm="1">
        <f t="array" ref="C1683">B1683+TIME(alea_int(5,1,Settings!$B$16),0,0)</f>
        <v>46062.416666666664</v>
      </c>
      <c r="D1683" s="3" t="str" cm="1">
        <f t="array" ref="D1683">choice(Settings!K:K,1,Settings!$B$16)</f>
        <v>mercredi ap</v>
      </c>
    </row>
    <row r="1684" spans="1:4" x14ac:dyDescent="0.25">
      <c r="A1684" s="2" t="str" cm="1">
        <f t="array" ref="A1684">choice(Professeurs!A:A,1,Settings!$B$16)</f>
        <v>Prof48</v>
      </c>
      <c r="B1684" s="3" cm="1">
        <f t="array" ref="B1684">alea_date(Settings!$B$11,360,Settings!$B$8+alea_int(4,0,Settings!$B$16),Settings!$B$16)</f>
        <v>46187.375</v>
      </c>
      <c r="C1684" s="3" cm="1">
        <f t="array" ref="C1684">B1684+TIME(alea_int(5,1,Settings!$B$16),0,0)</f>
        <v>46187.458333333336</v>
      </c>
      <c r="D1684" s="3" t="str" cm="1">
        <f t="array" ref="D1684">choice(Settings!K:K,1,Settings!$B$16)</f>
        <v/>
      </c>
    </row>
    <row r="1685" spans="1:4" x14ac:dyDescent="0.25">
      <c r="A1685" s="2" t="str" cm="1">
        <f t="array" ref="A1685">choice(Professeurs!A:A,1,Settings!$B$16)</f>
        <v>Prof9</v>
      </c>
      <c r="B1685" s="3" cm="1">
        <f t="array" ref="B1685">alea_date(Settings!$B$11,360,Settings!$B$8+alea_int(4,0,Settings!$B$16),Settings!$B$16)</f>
        <v>46079.333333333336</v>
      </c>
      <c r="C1685" s="3" cm="1">
        <f t="array" ref="C1685">B1685+TIME(alea_int(5,1,Settings!$B$16),0,0)</f>
        <v>46079.5</v>
      </c>
      <c r="D1685" s="3" t="str" cm="1">
        <f t="array" ref="D1685">choice(Settings!K:K,1,Settings!$B$16)</f>
        <v/>
      </c>
    </row>
    <row r="1686" spans="1:4" x14ac:dyDescent="0.25">
      <c r="A1686" s="2" t="str" cm="1">
        <f t="array" ref="A1686">choice(Professeurs!A:A,1,Settings!$B$16)</f>
        <v>Prof43</v>
      </c>
      <c r="B1686" s="3" cm="1">
        <f t="array" ref="B1686">alea_date(Settings!$B$11,360,Settings!$B$8+alea_int(4,0,Settings!$B$16),Settings!$B$16)</f>
        <v>46352.375</v>
      </c>
      <c r="C1686" s="3" cm="1">
        <f t="array" ref="C1686">B1686+TIME(alea_int(5,1,Settings!$B$16),0,0)</f>
        <v>46352.416666666664</v>
      </c>
      <c r="D1686" s="3" t="str" cm="1">
        <f t="array" ref="D1686">choice(Settings!K:K,1,Settings!$B$16)</f>
        <v/>
      </c>
    </row>
    <row r="1687" spans="1:4" x14ac:dyDescent="0.25">
      <c r="A1687" s="2" t="str" cm="1">
        <f t="array" ref="A1687">choice(Professeurs!A:A,1,Settings!$B$16)</f>
        <v>Prof2</v>
      </c>
      <c r="B1687" s="3" cm="1">
        <f t="array" ref="B1687">alea_date(Settings!$B$11,360,Settings!$B$8+alea_int(4,0,Settings!$B$16),Settings!$B$16)</f>
        <v>46324.458333333336</v>
      </c>
      <c r="C1687" s="3" cm="1">
        <f t="array" ref="C1687">B1687+TIME(alea_int(5,1,Settings!$B$16),0,0)</f>
        <v>46324.625</v>
      </c>
      <c r="D1687" s="3" t="str" cm="1">
        <f t="array" ref="D1687">choice(Settings!K:K,1,Settings!$B$16)</f>
        <v/>
      </c>
    </row>
    <row r="1688" spans="1:4" x14ac:dyDescent="0.25">
      <c r="A1688" s="2" t="str" cm="1">
        <f t="array" ref="A1688">choice(Professeurs!A:A,1,Settings!$B$16)</f>
        <v>Prof39</v>
      </c>
      <c r="B1688" s="3" cm="1">
        <f t="array" ref="B1688">alea_date(Settings!$B$11,360,Settings!$B$8+alea_int(4,0,Settings!$B$16),Settings!$B$16)</f>
        <v>46287.416666666664</v>
      </c>
      <c r="C1688" s="3" cm="1">
        <f t="array" ref="C1688">B1688+TIME(alea_int(5,1,Settings!$B$16),0,0)</f>
        <v>46287.625</v>
      </c>
      <c r="D1688" s="3" t="str" cm="1">
        <f t="array" ref="D1688">choice(Settings!K:K,1,Settings!$B$16)</f>
        <v/>
      </c>
    </row>
    <row r="1689" spans="1:4" x14ac:dyDescent="0.25">
      <c r="A1689" s="2" t="str" cm="1">
        <f t="array" ref="A1689">choice(Professeurs!A:A,1,Settings!$B$16)</f>
        <v>Prof3</v>
      </c>
      <c r="B1689" s="3" cm="1">
        <f t="array" ref="B1689">alea_date(Settings!$B$11,360,Settings!$B$8+alea_int(4,0,Settings!$B$16),Settings!$B$16)</f>
        <v>46139.416666666664</v>
      </c>
      <c r="C1689" s="3" cm="1">
        <f t="array" ref="C1689">B1689+TIME(alea_int(5,1,Settings!$B$16),0,0)</f>
        <v>46139.541666666664</v>
      </c>
      <c r="D1689" s="3" t="str" cm="1">
        <f t="array" ref="D1689">choice(Settings!K:K,1,Settings!$B$16)</f>
        <v>lundi pm</v>
      </c>
    </row>
    <row r="1690" spans="1:4" x14ac:dyDescent="0.25">
      <c r="A1690" s="2" t="str" cm="1">
        <f t="array" ref="A1690">choice(Professeurs!A:A,1,Settings!$B$16)</f>
        <v>Prof27</v>
      </c>
      <c r="B1690" s="3" cm="1">
        <f t="array" ref="B1690">alea_date(Settings!$B$11,360,Settings!$B$8+alea_int(4,0,Settings!$B$16),Settings!$B$16)</f>
        <v>46228.416666666664</v>
      </c>
      <c r="C1690" s="3" cm="1">
        <f t="array" ref="C1690">B1690+TIME(alea_int(5,1,Settings!$B$16),0,0)</f>
        <v>46228.583333333328</v>
      </c>
      <c r="D1690" s="3" t="str" cm="1">
        <f t="array" ref="D1690">choice(Settings!K:K,1,Settings!$B$16)</f>
        <v/>
      </c>
    </row>
    <row r="1691" spans="1:4" x14ac:dyDescent="0.25">
      <c r="A1691" s="2" t="str" cm="1">
        <f t="array" ref="A1691">choice(Professeurs!A:A,1,Settings!$B$16)</f>
        <v>Prof11</v>
      </c>
      <c r="B1691" s="3" cm="1">
        <f t="array" ref="B1691">alea_date(Settings!$B$11,360,Settings!$B$8+alea_int(4,0,Settings!$B$16),Settings!$B$16)</f>
        <v>46193.375</v>
      </c>
      <c r="C1691" s="3" cm="1">
        <f t="array" ref="C1691">B1691+TIME(alea_int(5,1,Settings!$B$16),0,0)</f>
        <v>46193.5</v>
      </c>
      <c r="D1691" s="3" t="str" cm="1">
        <f t="array" ref="D1691">choice(Settings!K:K,1,Settings!$B$16)</f>
        <v/>
      </c>
    </row>
    <row r="1692" spans="1:4" x14ac:dyDescent="0.25">
      <c r="A1692" s="2" t="str" cm="1">
        <f t="array" ref="A1692">choice(Professeurs!A:A,1,Settings!$B$16)</f>
        <v>Prof17</v>
      </c>
      <c r="B1692" s="3" cm="1">
        <f t="array" ref="B1692">alea_date(Settings!$B$11,360,Settings!$B$8+alea_int(4,0,Settings!$B$16),Settings!$B$16)</f>
        <v>46284.416666666664</v>
      </c>
      <c r="C1692" s="3" cm="1">
        <f t="array" ref="C1692">B1692+TIME(alea_int(5,1,Settings!$B$16),0,0)</f>
        <v>46284.5</v>
      </c>
      <c r="D1692" s="3" t="str" cm="1">
        <f t="array" ref="D1692">choice(Settings!K:K,1,Settings!$B$16)</f>
        <v>lundi am</v>
      </c>
    </row>
    <row r="1693" spans="1:4" x14ac:dyDescent="0.25">
      <c r="A1693" s="2" t="str" cm="1">
        <f t="array" ref="A1693">choice(Professeurs!A:A,1,Settings!$B$16)</f>
        <v>Prof32</v>
      </c>
      <c r="B1693" s="3" cm="1">
        <f t="array" ref="B1693">alea_date(Settings!$B$11,360,Settings!$B$8+alea_int(4,0,Settings!$B$16),Settings!$B$16)</f>
        <v>46071.458333333336</v>
      </c>
      <c r="C1693" s="3" cm="1">
        <f t="array" ref="C1693">B1693+TIME(alea_int(5,1,Settings!$B$16),0,0)</f>
        <v>46071.625</v>
      </c>
      <c r="D1693" s="3" t="str" cm="1">
        <f t="array" ref="D1693">choice(Settings!K:K,1,Settings!$B$16)</f>
        <v/>
      </c>
    </row>
    <row r="1694" spans="1:4" x14ac:dyDescent="0.25">
      <c r="A1694" s="2" t="str" cm="1">
        <f t="array" ref="A1694">choice(Professeurs!A:A,1,Settings!$B$16)</f>
        <v>Prof16</v>
      </c>
      <c r="B1694" s="3" cm="1">
        <f t="array" ref="B1694">alea_date(Settings!$B$11,360,Settings!$B$8+alea_int(4,0,Settings!$B$16),Settings!$B$16)</f>
        <v>46374.375</v>
      </c>
      <c r="C1694" s="3" cm="1">
        <f t="array" ref="C1694">B1694+TIME(alea_int(5,1,Settings!$B$16),0,0)</f>
        <v>46374.541666666664</v>
      </c>
      <c r="D1694" s="3" t="str" cm="1">
        <f t="array" ref="D1694">choice(Settings!K:K,1,Settings!$B$16)</f>
        <v/>
      </c>
    </row>
    <row r="1695" spans="1:4" x14ac:dyDescent="0.25">
      <c r="A1695" s="2" t="str" cm="1">
        <f t="array" ref="A1695">choice(Professeurs!A:A,1,Settings!$B$16)</f>
        <v>Prof37</v>
      </c>
      <c r="B1695" s="3" cm="1">
        <f t="array" ref="B1695">alea_date(Settings!$B$11,360,Settings!$B$8+alea_int(4,0,Settings!$B$16),Settings!$B$16)</f>
        <v>46180.333333333336</v>
      </c>
      <c r="C1695" s="3" cm="1">
        <f t="array" ref="C1695">B1695+TIME(alea_int(5,1,Settings!$B$16),0,0)</f>
        <v>46180.458333333336</v>
      </c>
      <c r="D1695" s="3" t="str" cm="1">
        <f t="array" ref="D1695">choice(Settings!K:K,1,Settings!$B$16)</f>
        <v/>
      </c>
    </row>
    <row r="1696" spans="1:4" x14ac:dyDescent="0.25">
      <c r="A1696" s="2" t="str" cm="1">
        <f t="array" ref="A1696">choice(Professeurs!A:A,1,Settings!$B$16)</f>
        <v>Prof27</v>
      </c>
      <c r="B1696" s="3" cm="1">
        <f t="array" ref="B1696">alea_date(Settings!$B$11,360,Settings!$B$8+alea_int(4,0,Settings!$B$16),Settings!$B$16)</f>
        <v>46128.416666666664</v>
      </c>
      <c r="C1696" s="3" cm="1">
        <f t="array" ref="C1696">B1696+TIME(alea_int(5,1,Settings!$B$16),0,0)</f>
        <v>46128.541666666664</v>
      </c>
      <c r="D1696" s="3" t="str" cm="1">
        <f t="array" ref="D1696">choice(Settings!K:K,1,Settings!$B$16)</f>
        <v/>
      </c>
    </row>
    <row r="1697" spans="1:4" x14ac:dyDescent="0.25">
      <c r="A1697" s="2" t="str" cm="1">
        <f t="array" ref="A1697">choice(Professeurs!A:A,1,Settings!$B$16)</f>
        <v>Prof12</v>
      </c>
      <c r="B1697" s="3" cm="1">
        <f t="array" ref="B1697">alea_date(Settings!$B$11,360,Settings!$B$8+alea_int(4,0,Settings!$B$16),Settings!$B$16)</f>
        <v>46093.416666666664</v>
      </c>
      <c r="C1697" s="3" cm="1">
        <f t="array" ref="C1697">B1697+TIME(alea_int(5,1,Settings!$B$16),0,0)</f>
        <v>46093.458333333328</v>
      </c>
      <c r="D1697" s="3" t="str" cm="1">
        <f t="array" ref="D1697">choice(Settings!K:K,1,Settings!$B$16)</f>
        <v>lundi am</v>
      </c>
    </row>
    <row r="1698" spans="1:4" x14ac:dyDescent="0.25">
      <c r="A1698" s="2" t="str" cm="1">
        <f t="array" ref="A1698">choice(Professeurs!A:A,1,Settings!$B$16)</f>
        <v>Prof22</v>
      </c>
      <c r="B1698" s="3" cm="1">
        <f t="array" ref="B1698">alea_date(Settings!$B$11,360,Settings!$B$8+alea_int(4,0,Settings!$B$16),Settings!$B$16)</f>
        <v>46311.458333333336</v>
      </c>
      <c r="C1698" s="3" cm="1">
        <f t="array" ref="C1698">B1698+TIME(alea_int(5,1,Settings!$B$16),0,0)</f>
        <v>46311.541666666672</v>
      </c>
      <c r="D1698" s="3" t="str" cm="1">
        <f t="array" ref="D1698">choice(Settings!K:K,1,Settings!$B$16)</f>
        <v/>
      </c>
    </row>
    <row r="1699" spans="1:4" x14ac:dyDescent="0.25">
      <c r="A1699" s="2" t="str" cm="1">
        <f t="array" ref="A1699">choice(Professeurs!A:A,1,Settings!$B$16)</f>
        <v>Prof42</v>
      </c>
      <c r="B1699" s="3" cm="1">
        <f t="array" ref="B1699">alea_date(Settings!$B$11,360,Settings!$B$8+alea_int(4,0,Settings!$B$16),Settings!$B$16)</f>
        <v>46228.333333333336</v>
      </c>
      <c r="C1699" s="3" cm="1">
        <f t="array" ref="C1699">B1699+TIME(alea_int(5,1,Settings!$B$16),0,0)</f>
        <v>46228.5</v>
      </c>
      <c r="D1699" s="3" t="str" cm="1">
        <f t="array" ref="D1699">choice(Settings!K:K,1,Settings!$B$16)</f>
        <v/>
      </c>
    </row>
    <row r="1700" spans="1:4" x14ac:dyDescent="0.25">
      <c r="A1700" s="2" t="str" cm="1">
        <f t="array" ref="A1700">choice(Professeurs!A:A,1,Settings!$B$16)</f>
        <v>Prof18</v>
      </c>
      <c r="B1700" s="3" cm="1">
        <f t="array" ref="B1700">alea_date(Settings!$B$11,360,Settings!$B$8+alea_int(4,0,Settings!$B$16),Settings!$B$16)</f>
        <v>46351.416666666664</v>
      </c>
      <c r="C1700" s="3" cm="1">
        <f t="array" ref="C1700">B1700+TIME(alea_int(5,1,Settings!$B$16),0,0)</f>
        <v>46351.541666666664</v>
      </c>
      <c r="D1700" s="3" t="str" cm="1">
        <f t="array" ref="D1700">choice(Settings!K:K,1,Settings!$B$16)</f>
        <v>mercredi pm</v>
      </c>
    </row>
    <row r="1701" spans="1:4" x14ac:dyDescent="0.25">
      <c r="A1701" s="2" t="str" cm="1">
        <f t="array" ref="A1701">choice(Professeurs!A:A,1,Settings!$B$16)</f>
        <v>Prof30</v>
      </c>
      <c r="B1701" s="3" cm="1">
        <f t="array" ref="B1701">alea_date(Settings!$B$11,360,Settings!$B$8+alea_int(4,0,Settings!$B$16),Settings!$B$16)</f>
        <v>46153.458333333336</v>
      </c>
      <c r="C1701" s="3" cm="1">
        <f t="array" ref="C1701">B1701+TIME(alea_int(5,1,Settings!$B$16),0,0)</f>
        <v>46153.666666666672</v>
      </c>
      <c r="D1701" s="3" t="str" cm="1">
        <f t="array" ref="D1701">choice(Settings!K:K,1,Settings!$B$16)</f>
        <v/>
      </c>
    </row>
    <row r="1702" spans="1:4" x14ac:dyDescent="0.25">
      <c r="A1702" s="2" t="str" cm="1">
        <f t="array" ref="A1702">choice(Professeurs!A:A,1,Settings!$B$16)</f>
        <v>Prof50</v>
      </c>
      <c r="B1702" s="3" cm="1">
        <f t="array" ref="B1702">alea_date(Settings!$B$11,360,Settings!$B$8+alea_int(4,0,Settings!$B$16),Settings!$B$16)</f>
        <v>46063.375</v>
      </c>
      <c r="C1702" s="3" cm="1">
        <f t="array" ref="C1702">B1702+TIME(alea_int(5,1,Settings!$B$16),0,0)</f>
        <v>46063.5</v>
      </c>
      <c r="D1702" s="3" t="str" cm="1">
        <f t="array" ref="D1702">choice(Settings!K:K,1,Settings!$B$16)</f>
        <v/>
      </c>
    </row>
    <row r="1703" spans="1:4" x14ac:dyDescent="0.25">
      <c r="A1703" s="2" t="str" cm="1">
        <f t="array" ref="A1703">choice(Professeurs!A:A,1,Settings!$B$16)</f>
        <v>Prof36</v>
      </c>
      <c r="B1703" s="3" cm="1">
        <f t="array" ref="B1703">alea_date(Settings!$B$11,360,Settings!$B$8+alea_int(4,0,Settings!$B$16),Settings!$B$16)</f>
        <v>46239.416666666664</v>
      </c>
      <c r="C1703" s="3" cm="1">
        <f t="array" ref="C1703">B1703+TIME(alea_int(5,1,Settings!$B$16),0,0)</f>
        <v>46239.541666666664</v>
      </c>
      <c r="D1703" s="3" t="str" cm="1">
        <f t="array" ref="D1703">choice(Settings!K:K,1,Settings!$B$16)</f>
        <v/>
      </c>
    </row>
    <row r="1704" spans="1:4" x14ac:dyDescent="0.25">
      <c r="A1704" s="2" t="str" cm="1">
        <f t="array" ref="A1704">choice(Professeurs!A:A,1,Settings!$B$16)</f>
        <v>Prof15</v>
      </c>
      <c r="B1704" s="3" cm="1">
        <f t="array" ref="B1704">alea_date(Settings!$B$11,360,Settings!$B$8+alea_int(4,0,Settings!$B$16),Settings!$B$16)</f>
        <v>46097.416666666664</v>
      </c>
      <c r="C1704" s="3" cm="1">
        <f t="array" ref="C1704">B1704+TIME(alea_int(5,1,Settings!$B$16),0,0)</f>
        <v>46097.5</v>
      </c>
      <c r="D1704" s="3" t="str" cm="1">
        <f t="array" ref="D1704">choice(Settings!K:K,1,Settings!$B$16)</f>
        <v>mercredi ap</v>
      </c>
    </row>
    <row r="1705" spans="1:4" x14ac:dyDescent="0.25">
      <c r="A1705" s="2" t="str" cm="1">
        <f t="array" ref="A1705">choice(Professeurs!A:A,1,Settings!$B$16)</f>
        <v>Prof13</v>
      </c>
      <c r="B1705" s="3" cm="1">
        <f t="array" ref="B1705">alea_date(Settings!$B$11,360,Settings!$B$8+alea_int(4,0,Settings!$B$16),Settings!$B$16)</f>
        <v>46304.375</v>
      </c>
      <c r="C1705" s="3" cm="1">
        <f t="array" ref="C1705">B1705+TIME(alea_int(5,1,Settings!$B$16),0,0)</f>
        <v>46304.458333333336</v>
      </c>
      <c r="D1705" s="3" t="str" cm="1">
        <f t="array" ref="D1705">choice(Settings!K:K,1,Settings!$B$16)</f>
        <v>vendredi am</v>
      </c>
    </row>
    <row r="1706" spans="1:4" x14ac:dyDescent="0.25">
      <c r="A1706" s="2" t="str" cm="1">
        <f t="array" ref="A1706">choice(Professeurs!A:A,1,Settings!$B$16)</f>
        <v>Prof4</v>
      </c>
      <c r="B1706" s="3" cm="1">
        <f t="array" ref="B1706">alea_date(Settings!$B$11,360,Settings!$B$8+alea_int(4,0,Settings!$B$16),Settings!$B$16)</f>
        <v>46095.375</v>
      </c>
      <c r="C1706" s="3" cm="1">
        <f t="array" ref="C1706">B1706+TIME(alea_int(5,1,Settings!$B$16),0,0)</f>
        <v>46095.458333333336</v>
      </c>
      <c r="D1706" s="3" t="str" cm="1">
        <f t="array" ref="D1706">choice(Settings!K:K,1,Settings!$B$16)</f>
        <v/>
      </c>
    </row>
    <row r="1707" spans="1:4" x14ac:dyDescent="0.25">
      <c r="A1707" s="2" t="str" cm="1">
        <f t="array" ref="A1707">choice(Professeurs!A:A,1,Settings!$B$16)</f>
        <v>Prof23</v>
      </c>
      <c r="B1707" s="3" cm="1">
        <f t="array" ref="B1707">alea_date(Settings!$B$11,360,Settings!$B$8+alea_int(4,0,Settings!$B$16),Settings!$B$16)</f>
        <v>46295.416666666664</v>
      </c>
      <c r="C1707" s="3" cm="1">
        <f t="array" ref="C1707">B1707+TIME(alea_int(5,1,Settings!$B$16),0,0)</f>
        <v>46295.5</v>
      </c>
      <c r="D1707" s="3" t="str" cm="1">
        <f t="array" ref="D1707">choice(Settings!K:K,1,Settings!$B$16)</f>
        <v/>
      </c>
    </row>
    <row r="1708" spans="1:4" x14ac:dyDescent="0.25">
      <c r="A1708" s="2" t="str" cm="1">
        <f t="array" ref="A1708">choice(Professeurs!A:A,1,Settings!$B$16)</f>
        <v>Prof55</v>
      </c>
      <c r="B1708" s="3" cm="1">
        <f t="array" ref="B1708">alea_date(Settings!$B$11,360,Settings!$B$8+alea_int(4,0,Settings!$B$16),Settings!$B$16)</f>
        <v>46182.333333333336</v>
      </c>
      <c r="C1708" s="3" cm="1">
        <f t="array" ref="C1708">B1708+TIME(alea_int(5,1,Settings!$B$16),0,0)</f>
        <v>46182.416666666672</v>
      </c>
      <c r="D1708" s="3" t="str" cm="1">
        <f t="array" ref="D1708">choice(Settings!K:K,1,Settings!$B$16)</f>
        <v/>
      </c>
    </row>
    <row r="1709" spans="1:4" x14ac:dyDescent="0.25">
      <c r="A1709" s="2" t="str" cm="1">
        <f t="array" ref="A1709">choice(Professeurs!A:A,1,Settings!$B$16)</f>
        <v>Prof34</v>
      </c>
      <c r="B1709" s="3" cm="1">
        <f t="array" ref="B1709">alea_date(Settings!$B$11,360,Settings!$B$8+alea_int(4,0,Settings!$B$16),Settings!$B$16)</f>
        <v>46245.375</v>
      </c>
      <c r="C1709" s="3" cm="1">
        <f t="array" ref="C1709">B1709+TIME(alea_int(5,1,Settings!$B$16),0,0)</f>
        <v>46245.5</v>
      </c>
      <c r="D1709" s="3" t="str" cm="1">
        <f t="array" ref="D1709">choice(Settings!K:K,1,Settings!$B$16)</f>
        <v>semaine</v>
      </c>
    </row>
    <row r="1710" spans="1:4" x14ac:dyDescent="0.25">
      <c r="A1710" s="2" t="str" cm="1">
        <f t="array" ref="A1710">choice(Professeurs!A:A,1,Settings!$B$16)</f>
        <v>Prof18</v>
      </c>
      <c r="B1710" s="3" cm="1">
        <f t="array" ref="B1710">alea_date(Settings!$B$11,360,Settings!$B$8+alea_int(4,0,Settings!$B$16),Settings!$B$16)</f>
        <v>46048.333333333336</v>
      </c>
      <c r="C1710" s="3" cm="1">
        <f t="array" ref="C1710">B1710+TIME(alea_int(5,1,Settings!$B$16),0,0)</f>
        <v>46048.375</v>
      </c>
      <c r="D1710" s="3" t="str" cm="1">
        <f t="array" ref="D1710">choice(Settings!K:K,1,Settings!$B$16)</f>
        <v/>
      </c>
    </row>
    <row r="1711" spans="1:4" x14ac:dyDescent="0.25">
      <c r="A1711" s="2" t="str" cm="1">
        <f t="array" ref="A1711">choice(Professeurs!A:A,1,Settings!$B$16)</f>
        <v>Prof54</v>
      </c>
      <c r="B1711" s="3" cm="1">
        <f t="array" ref="B1711">alea_date(Settings!$B$11,360,Settings!$B$8+alea_int(4,0,Settings!$B$16),Settings!$B$16)</f>
        <v>46295.375</v>
      </c>
      <c r="C1711" s="3" cm="1">
        <f t="array" ref="C1711">B1711+TIME(alea_int(5,1,Settings!$B$16),0,0)</f>
        <v>46295.541666666664</v>
      </c>
      <c r="D1711" s="3" t="str" cm="1">
        <f t="array" ref="D1711">choice(Settings!K:K,1,Settings!$B$16)</f>
        <v/>
      </c>
    </row>
    <row r="1712" spans="1:4" x14ac:dyDescent="0.25">
      <c r="A1712" s="2" t="str" cm="1">
        <f t="array" ref="A1712">choice(Professeurs!A:A,1,Settings!$B$16)</f>
        <v>Prof5</v>
      </c>
      <c r="B1712" s="3" cm="1">
        <f t="array" ref="B1712">alea_date(Settings!$B$11,360,Settings!$B$8+alea_int(4,0,Settings!$B$16),Settings!$B$16)</f>
        <v>46317.333333333336</v>
      </c>
      <c r="C1712" s="3" cm="1">
        <f t="array" ref="C1712">B1712+TIME(alea_int(5,1,Settings!$B$16),0,0)</f>
        <v>46317.375</v>
      </c>
      <c r="D1712" s="3" t="str" cm="1">
        <f t="array" ref="D1712">choice(Settings!K:K,1,Settings!$B$16)</f>
        <v/>
      </c>
    </row>
    <row r="1713" spans="1:4" x14ac:dyDescent="0.25">
      <c r="A1713" s="2" t="str" cm="1">
        <f t="array" ref="A1713">choice(Professeurs!A:A,1,Settings!$B$16)</f>
        <v>Prof15</v>
      </c>
      <c r="B1713" s="3" cm="1">
        <f t="array" ref="B1713">alea_date(Settings!$B$11,360,Settings!$B$8+alea_int(4,0,Settings!$B$16),Settings!$B$16)</f>
        <v>46377.416666666664</v>
      </c>
      <c r="C1713" s="3" cm="1">
        <f t="array" ref="C1713">B1713+TIME(alea_int(5,1,Settings!$B$16),0,0)</f>
        <v>46377.583333333328</v>
      </c>
      <c r="D1713" s="3" t="str" cm="1">
        <f t="array" ref="D1713">choice(Settings!K:K,1,Settings!$B$16)</f>
        <v/>
      </c>
    </row>
    <row r="1714" spans="1:4" x14ac:dyDescent="0.25">
      <c r="A1714" s="2" t="str" cm="1">
        <f t="array" ref="A1714">choice(Professeurs!A:A,1,Settings!$B$16)</f>
        <v>Prof30</v>
      </c>
      <c r="B1714" s="3" cm="1">
        <f t="array" ref="B1714">alea_date(Settings!$B$11,360,Settings!$B$8+alea_int(4,0,Settings!$B$16),Settings!$B$16)</f>
        <v>46139.458333333336</v>
      </c>
      <c r="C1714" s="3" cm="1">
        <f t="array" ref="C1714">B1714+TIME(alea_int(5,1,Settings!$B$16),0,0)</f>
        <v>46139.541666666672</v>
      </c>
      <c r="D1714" s="3" t="str" cm="1">
        <f t="array" ref="D1714">choice(Settings!K:K,1,Settings!$B$16)</f>
        <v/>
      </c>
    </row>
    <row r="1715" spans="1:4" x14ac:dyDescent="0.25">
      <c r="A1715" s="2" t="str" cm="1">
        <f t="array" ref="A1715">choice(Professeurs!A:A,1,Settings!$B$16)</f>
        <v>Prof39</v>
      </c>
      <c r="B1715" s="3" cm="1">
        <f t="array" ref="B1715">alea_date(Settings!$B$11,360,Settings!$B$8+alea_int(4,0,Settings!$B$16),Settings!$B$16)</f>
        <v>46155.458333333336</v>
      </c>
      <c r="C1715" s="3" cm="1">
        <f t="array" ref="C1715">B1715+TIME(alea_int(5,1,Settings!$B$16),0,0)</f>
        <v>46155.541666666672</v>
      </c>
      <c r="D1715" s="3" t="str" cm="1">
        <f t="array" ref="D1715">choice(Settings!K:K,1,Settings!$B$16)</f>
        <v>mercredi pm</v>
      </c>
    </row>
    <row r="1716" spans="1:4" x14ac:dyDescent="0.25">
      <c r="A1716" s="2" t="str" cm="1">
        <f t="array" ref="A1716">choice(Professeurs!A:A,1,Settings!$B$16)</f>
        <v>Prof24</v>
      </c>
      <c r="B1716" s="3" cm="1">
        <f t="array" ref="B1716">alea_date(Settings!$B$11,360,Settings!$B$8+alea_int(4,0,Settings!$B$16),Settings!$B$16)</f>
        <v>46132.416666666664</v>
      </c>
      <c r="C1716" s="3" cm="1">
        <f t="array" ref="C1716">B1716+TIME(alea_int(5,1,Settings!$B$16),0,0)</f>
        <v>46132.5</v>
      </c>
      <c r="D1716" s="3" t="str" cm="1">
        <f t="array" ref="D1716">choice(Settings!K:K,1,Settings!$B$16)</f>
        <v>jeudi am</v>
      </c>
    </row>
    <row r="1717" spans="1:4" x14ac:dyDescent="0.25">
      <c r="A1717" s="2" t="str" cm="1">
        <f t="array" ref="A1717">choice(Professeurs!A:A,1,Settings!$B$16)</f>
        <v>Prof8</v>
      </c>
      <c r="B1717" s="3" cm="1">
        <f t="array" ref="B1717">alea_date(Settings!$B$11,360,Settings!$B$8+alea_int(4,0,Settings!$B$16),Settings!$B$16)</f>
        <v>46064.375</v>
      </c>
      <c r="C1717" s="3" cm="1">
        <f t="array" ref="C1717">B1717+TIME(alea_int(5,1,Settings!$B$16),0,0)</f>
        <v>46064.458333333336</v>
      </c>
      <c r="D1717" s="3" t="str" cm="1">
        <f t="array" ref="D1717">choice(Settings!K:K,1,Settings!$B$16)</f>
        <v/>
      </c>
    </row>
    <row r="1718" spans="1:4" x14ac:dyDescent="0.25">
      <c r="A1718" s="2" t="str" cm="1">
        <f t="array" ref="A1718">choice(Professeurs!A:A,1,Settings!$B$16)</f>
        <v>Prof44</v>
      </c>
      <c r="B1718" s="3" cm="1">
        <f t="array" ref="B1718">alea_date(Settings!$B$11,360,Settings!$B$8+alea_int(4,0,Settings!$B$16),Settings!$B$16)</f>
        <v>46073.416666666664</v>
      </c>
      <c r="C1718" s="3" cm="1">
        <f t="array" ref="C1718">B1718+TIME(alea_int(5,1,Settings!$B$16),0,0)</f>
        <v>46073.625</v>
      </c>
      <c r="D1718" s="3" t="str" cm="1">
        <f t="array" ref="D1718">choice(Settings!K:K,1,Settings!$B$16)</f>
        <v/>
      </c>
    </row>
    <row r="1719" spans="1:4" x14ac:dyDescent="0.25">
      <c r="A1719" s="2" t="str" cm="1">
        <f t="array" ref="A1719">choice(Professeurs!A:A,1,Settings!$B$16)</f>
        <v>Prof33</v>
      </c>
      <c r="B1719" s="3" cm="1">
        <f t="array" ref="B1719">alea_date(Settings!$B$11,360,Settings!$B$8+alea_int(4,0,Settings!$B$16),Settings!$B$16)</f>
        <v>46159.333333333336</v>
      </c>
      <c r="C1719" s="3" cm="1">
        <f t="array" ref="C1719">B1719+TIME(alea_int(5,1,Settings!$B$16),0,0)</f>
        <v>46159.5</v>
      </c>
      <c r="D1719" s="3" t="str" cm="1">
        <f t="array" ref="D1719">choice(Settings!K:K,1,Settings!$B$16)</f>
        <v/>
      </c>
    </row>
    <row r="1720" spans="1:4" x14ac:dyDescent="0.25">
      <c r="A1720" s="2" t="str" cm="1">
        <f t="array" ref="A1720">choice(Professeurs!A:A,1,Settings!$B$16)</f>
        <v>Prof28</v>
      </c>
      <c r="B1720" s="3" cm="1">
        <f t="array" ref="B1720">alea_date(Settings!$B$11,360,Settings!$B$8+alea_int(4,0,Settings!$B$16),Settings!$B$16)</f>
        <v>46075.416666666664</v>
      </c>
      <c r="C1720" s="3" cm="1">
        <f t="array" ref="C1720">B1720+TIME(alea_int(5,1,Settings!$B$16),0,0)</f>
        <v>46075.625</v>
      </c>
      <c r="D1720" s="3" t="str" cm="1">
        <f t="array" ref="D1720">choice(Settings!K:K,1,Settings!$B$16)</f>
        <v/>
      </c>
    </row>
    <row r="1721" spans="1:4" x14ac:dyDescent="0.25">
      <c r="A1721" s="2" t="str" cm="1">
        <f t="array" ref="A1721">choice(Professeurs!A:A,1,Settings!$B$16)</f>
        <v>Prof36</v>
      </c>
      <c r="B1721" s="3" cm="1">
        <f t="array" ref="B1721">alea_date(Settings!$B$11,360,Settings!$B$8+alea_int(4,0,Settings!$B$16),Settings!$B$16)</f>
        <v>46083.333333333336</v>
      </c>
      <c r="C1721" s="3" cm="1">
        <f t="array" ref="C1721">B1721+TIME(alea_int(5,1,Settings!$B$16),0,0)</f>
        <v>46083.375</v>
      </c>
      <c r="D1721" s="3" t="str" cm="1">
        <f t="array" ref="D1721">choice(Settings!K:K,1,Settings!$B$16)</f>
        <v>lundi pm</v>
      </c>
    </row>
    <row r="1722" spans="1:4" x14ac:dyDescent="0.25">
      <c r="A1722" s="2" t="str" cm="1">
        <f t="array" ref="A1722">choice(Professeurs!A:A,1,Settings!$B$16)</f>
        <v>Prof50</v>
      </c>
      <c r="B1722" s="3" cm="1">
        <f t="array" ref="B1722">alea_date(Settings!$B$11,360,Settings!$B$8+alea_int(4,0,Settings!$B$16),Settings!$B$16)</f>
        <v>46203.375</v>
      </c>
      <c r="C1722" s="3" cm="1">
        <f t="array" ref="C1722">B1722+TIME(alea_int(5,1,Settings!$B$16),0,0)</f>
        <v>46203.541666666664</v>
      </c>
      <c r="D1722" s="3" t="str" cm="1">
        <f t="array" ref="D1722">choice(Settings!K:K,1,Settings!$B$16)</f>
        <v>mercredi ap</v>
      </c>
    </row>
    <row r="1723" spans="1:4" x14ac:dyDescent="0.25">
      <c r="A1723" s="2" t="str" cm="1">
        <f t="array" ref="A1723">choice(Professeurs!A:A,1,Settings!$B$16)</f>
        <v>Prof41</v>
      </c>
      <c r="B1723" s="3" cm="1">
        <f t="array" ref="B1723">alea_date(Settings!$B$11,360,Settings!$B$8+alea_int(4,0,Settings!$B$16),Settings!$B$16)</f>
        <v>46033.375</v>
      </c>
      <c r="C1723" s="3" cm="1">
        <f t="array" ref="C1723">B1723+TIME(alea_int(5,1,Settings!$B$16),0,0)</f>
        <v>46033.5</v>
      </c>
      <c r="D1723" s="3" t="str" cm="1">
        <f t="array" ref="D1723">choice(Settings!K:K,1,Settings!$B$16)</f>
        <v/>
      </c>
    </row>
    <row r="1724" spans="1:4" x14ac:dyDescent="0.25">
      <c r="A1724" s="2" t="str" cm="1">
        <f t="array" ref="A1724">choice(Professeurs!A:A,1,Settings!$B$16)</f>
        <v>Prof6</v>
      </c>
      <c r="B1724" s="3" cm="1">
        <f t="array" ref="B1724">alea_date(Settings!$B$11,360,Settings!$B$8+alea_int(4,0,Settings!$B$16),Settings!$B$16)</f>
        <v>46041.333333333336</v>
      </c>
      <c r="C1724" s="3" cm="1">
        <f t="array" ref="C1724">B1724+TIME(alea_int(5,1,Settings!$B$16),0,0)</f>
        <v>46041.416666666672</v>
      </c>
      <c r="D1724" s="3" t="str" cm="1">
        <f t="array" ref="D1724">choice(Settings!K:K,1,Settings!$B$16)</f>
        <v/>
      </c>
    </row>
    <row r="1725" spans="1:4" x14ac:dyDescent="0.25">
      <c r="A1725" s="2" t="str" cm="1">
        <f t="array" ref="A1725">choice(Professeurs!A:A,1,Settings!$B$16)</f>
        <v>Prof16</v>
      </c>
      <c r="B1725" s="3" cm="1">
        <f t="array" ref="B1725">alea_date(Settings!$B$11,360,Settings!$B$8+alea_int(4,0,Settings!$B$16),Settings!$B$16)</f>
        <v>46202.333333333336</v>
      </c>
      <c r="C1725" s="3" cm="1">
        <f t="array" ref="C1725">B1725+TIME(alea_int(5,1,Settings!$B$16),0,0)</f>
        <v>46202.416666666672</v>
      </c>
      <c r="D1725" s="3" t="str" cm="1">
        <f t="array" ref="D1725">choice(Settings!K:K,1,Settings!$B$16)</f>
        <v>semaine</v>
      </c>
    </row>
    <row r="1726" spans="1:4" x14ac:dyDescent="0.25">
      <c r="A1726" s="2" t="str" cm="1">
        <f t="array" ref="A1726">choice(Professeurs!A:A,1,Settings!$B$16)</f>
        <v>Prof17</v>
      </c>
      <c r="B1726" s="3" cm="1">
        <f t="array" ref="B1726">alea_date(Settings!$B$11,360,Settings!$B$8+alea_int(4,0,Settings!$B$16),Settings!$B$16)</f>
        <v>46156.333333333336</v>
      </c>
      <c r="C1726" s="3" cm="1">
        <f t="array" ref="C1726">B1726+TIME(alea_int(5,1,Settings!$B$16),0,0)</f>
        <v>46156.541666666672</v>
      </c>
      <c r="D1726" s="3" t="str" cm="1">
        <f t="array" ref="D1726">choice(Settings!K:K,1,Settings!$B$16)</f>
        <v/>
      </c>
    </row>
    <row r="1727" spans="1:4" x14ac:dyDescent="0.25">
      <c r="A1727" s="2" t="str" cm="1">
        <f t="array" ref="A1727">choice(Professeurs!A:A,1,Settings!$B$16)</f>
        <v>Prof17</v>
      </c>
      <c r="B1727" s="3" cm="1">
        <f t="array" ref="B1727">alea_date(Settings!$B$11,360,Settings!$B$8+alea_int(4,0,Settings!$B$16),Settings!$B$16)</f>
        <v>46314.333333333336</v>
      </c>
      <c r="C1727" s="3" cm="1">
        <f t="array" ref="C1727">B1727+TIME(alea_int(5,1,Settings!$B$16),0,0)</f>
        <v>46314.416666666672</v>
      </c>
      <c r="D1727" s="3" t="str" cm="1">
        <f t="array" ref="D1727">choice(Settings!K:K,1,Settings!$B$16)</f>
        <v>jeudi am</v>
      </c>
    </row>
    <row r="1728" spans="1:4" x14ac:dyDescent="0.25">
      <c r="A1728" s="2" t="str" cm="1">
        <f t="array" ref="A1728">choice(Professeurs!A:A,1,Settings!$B$16)</f>
        <v>Prof50</v>
      </c>
      <c r="B1728" s="3" cm="1">
        <f t="array" ref="B1728">alea_date(Settings!$B$11,360,Settings!$B$8+alea_int(4,0,Settings!$B$16),Settings!$B$16)</f>
        <v>46253.333333333336</v>
      </c>
      <c r="C1728" s="3" cm="1">
        <f t="array" ref="C1728">B1728+TIME(alea_int(5,1,Settings!$B$16),0,0)</f>
        <v>46253.416666666672</v>
      </c>
      <c r="D1728" s="3" t="str" cm="1">
        <f t="array" ref="D1728">choice(Settings!K:K,1,Settings!$B$16)</f>
        <v>jeudi am</v>
      </c>
    </row>
    <row r="1729" spans="1:4" x14ac:dyDescent="0.25">
      <c r="A1729" s="2" t="str" cm="1">
        <f t="array" ref="A1729">choice(Professeurs!A:A,1,Settings!$B$16)</f>
        <v>Prof21</v>
      </c>
      <c r="B1729" s="3" cm="1">
        <f t="array" ref="B1729">alea_date(Settings!$B$11,360,Settings!$B$8+alea_int(4,0,Settings!$B$16),Settings!$B$16)</f>
        <v>46135.375</v>
      </c>
      <c r="C1729" s="3" cm="1">
        <f t="array" ref="C1729">B1729+TIME(alea_int(5,1,Settings!$B$16),0,0)</f>
        <v>46135.5</v>
      </c>
      <c r="D1729" s="3" t="str" cm="1">
        <f t="array" ref="D1729">choice(Settings!K:K,1,Settings!$B$16)</f>
        <v/>
      </c>
    </row>
    <row r="1730" spans="1:4" x14ac:dyDescent="0.25">
      <c r="A1730" s="2" t="str" cm="1">
        <f t="array" ref="A1730">choice(Professeurs!A:A,1,Settings!$B$16)</f>
        <v>Prof12</v>
      </c>
      <c r="B1730" s="3" cm="1">
        <f t="array" ref="B1730">alea_date(Settings!$B$11,360,Settings!$B$8+alea_int(4,0,Settings!$B$16),Settings!$B$16)</f>
        <v>46327.416666666664</v>
      </c>
      <c r="C1730" s="3" cm="1">
        <f t="array" ref="C1730">B1730+TIME(alea_int(5,1,Settings!$B$16),0,0)</f>
        <v>46327.5</v>
      </c>
      <c r="D1730" s="3" t="str" cm="1">
        <f t="array" ref="D1730">choice(Settings!K:K,1,Settings!$B$16)</f>
        <v/>
      </c>
    </row>
    <row r="1731" spans="1:4" x14ac:dyDescent="0.25">
      <c r="A1731" s="2" t="str" cm="1">
        <f t="array" ref="A1731">choice(Professeurs!A:A,1,Settings!$B$16)</f>
        <v>Prof51</v>
      </c>
      <c r="B1731" s="3" cm="1">
        <f t="array" ref="B1731">alea_date(Settings!$B$11,360,Settings!$B$8+alea_int(4,0,Settings!$B$16),Settings!$B$16)</f>
        <v>46149.458333333336</v>
      </c>
      <c r="C1731" s="3" cm="1">
        <f t="array" ref="C1731">B1731+TIME(alea_int(5,1,Settings!$B$16),0,0)</f>
        <v>46149.541666666672</v>
      </c>
      <c r="D1731" s="3" t="str" cm="1">
        <f t="array" ref="D1731">choice(Settings!K:K,1,Settings!$B$16)</f>
        <v/>
      </c>
    </row>
    <row r="1732" spans="1:4" x14ac:dyDescent="0.25">
      <c r="A1732" s="2" t="str" cm="1">
        <f t="array" ref="A1732">choice(Professeurs!A:A,1,Settings!$B$16)</f>
        <v>Prof41</v>
      </c>
      <c r="B1732" s="3" cm="1">
        <f t="array" ref="B1732">alea_date(Settings!$B$11,360,Settings!$B$8+alea_int(4,0,Settings!$B$16),Settings!$B$16)</f>
        <v>46167.333333333336</v>
      </c>
      <c r="C1732" s="3" cm="1">
        <f t="array" ref="C1732">B1732+TIME(alea_int(5,1,Settings!$B$16),0,0)</f>
        <v>46167.375</v>
      </c>
      <c r="D1732" s="3" t="str" cm="1">
        <f t="array" ref="D1732">choice(Settings!K:K,1,Settings!$B$16)</f>
        <v/>
      </c>
    </row>
    <row r="1733" spans="1:4" x14ac:dyDescent="0.25">
      <c r="A1733" s="2" t="str" cm="1">
        <f t="array" ref="A1733">choice(Professeurs!A:A,1,Settings!$B$16)</f>
        <v>Prof45</v>
      </c>
      <c r="B1733" s="3" cm="1">
        <f t="array" ref="B1733">alea_date(Settings!$B$11,360,Settings!$B$8+alea_int(4,0,Settings!$B$16),Settings!$B$16)</f>
        <v>46154.375</v>
      </c>
      <c r="C1733" s="3" cm="1">
        <f t="array" ref="C1733">B1733+TIME(alea_int(5,1,Settings!$B$16),0,0)</f>
        <v>46154.5</v>
      </c>
      <c r="D1733" s="3" t="str" cm="1">
        <f t="array" ref="D1733">choice(Settings!K:K,1,Settings!$B$16)</f>
        <v/>
      </c>
    </row>
    <row r="1734" spans="1:4" x14ac:dyDescent="0.25">
      <c r="A1734" s="2" t="str" cm="1">
        <f t="array" ref="A1734">choice(Professeurs!A:A,1,Settings!$B$16)</f>
        <v>Prof8</v>
      </c>
      <c r="B1734" s="3" cm="1">
        <f t="array" ref="B1734">alea_date(Settings!$B$11,360,Settings!$B$8+alea_int(4,0,Settings!$B$16),Settings!$B$16)</f>
        <v>46174.375</v>
      </c>
      <c r="C1734" s="3" cm="1">
        <f t="array" ref="C1734">B1734+TIME(alea_int(5,1,Settings!$B$16),0,0)</f>
        <v>46174.583333333336</v>
      </c>
      <c r="D1734" s="3" t="str" cm="1">
        <f t="array" ref="D1734">choice(Settings!K:K,1,Settings!$B$16)</f>
        <v>mercredi ap</v>
      </c>
    </row>
    <row r="1735" spans="1:4" x14ac:dyDescent="0.25">
      <c r="A1735" s="2" t="str" cm="1">
        <f t="array" ref="A1735">choice(Professeurs!A:A,1,Settings!$B$16)</f>
        <v>Prof27</v>
      </c>
      <c r="B1735" s="3" cm="1">
        <f t="array" ref="B1735">alea_date(Settings!$B$11,360,Settings!$B$8+alea_int(4,0,Settings!$B$16),Settings!$B$16)</f>
        <v>46364.416666666664</v>
      </c>
      <c r="C1735" s="3" cm="1">
        <f t="array" ref="C1735">B1735+TIME(alea_int(5,1,Settings!$B$16),0,0)</f>
        <v>46364.583333333328</v>
      </c>
      <c r="D1735" s="3" t="str" cm="1">
        <f t="array" ref="D1735">choice(Settings!K:K,1,Settings!$B$16)</f>
        <v>mercredi pm</v>
      </c>
    </row>
    <row r="1736" spans="1:4" x14ac:dyDescent="0.25">
      <c r="A1736" s="2" t="str" cm="1">
        <f t="array" ref="A1736">choice(Professeurs!A:A,1,Settings!$B$16)</f>
        <v>Prof18</v>
      </c>
      <c r="B1736" s="3" cm="1">
        <f t="array" ref="B1736">alea_date(Settings!$B$11,360,Settings!$B$8+alea_int(4,0,Settings!$B$16),Settings!$B$16)</f>
        <v>46209.375</v>
      </c>
      <c r="C1736" s="3" cm="1">
        <f t="array" ref="C1736">B1736+TIME(alea_int(5,1,Settings!$B$16),0,0)</f>
        <v>46209.583333333336</v>
      </c>
      <c r="D1736" s="3" t="str" cm="1">
        <f t="array" ref="D1736">choice(Settings!K:K,1,Settings!$B$16)</f>
        <v/>
      </c>
    </row>
    <row r="1737" spans="1:4" x14ac:dyDescent="0.25">
      <c r="A1737" s="2" t="str" cm="1">
        <f t="array" ref="A1737">choice(Professeurs!A:A,1,Settings!$B$16)</f>
        <v>Prof43</v>
      </c>
      <c r="B1737" s="3" cm="1">
        <f t="array" ref="B1737">alea_date(Settings!$B$11,360,Settings!$B$8+alea_int(4,0,Settings!$B$16),Settings!$B$16)</f>
        <v>46233.333333333336</v>
      </c>
      <c r="C1737" s="3" cm="1">
        <f t="array" ref="C1737">B1737+TIME(alea_int(5,1,Settings!$B$16),0,0)</f>
        <v>46233.375</v>
      </c>
      <c r="D1737" s="3" t="str" cm="1">
        <f t="array" ref="D1737">choice(Settings!K:K,1,Settings!$B$16)</f>
        <v>vendredi am</v>
      </c>
    </row>
    <row r="1738" spans="1:4" x14ac:dyDescent="0.25">
      <c r="A1738" s="2" t="str" cm="1">
        <f t="array" ref="A1738">choice(Professeurs!A:A,1,Settings!$B$16)</f>
        <v>Prof35</v>
      </c>
      <c r="B1738" s="3" cm="1">
        <f t="array" ref="B1738">alea_date(Settings!$B$11,360,Settings!$B$8+alea_int(4,0,Settings!$B$16),Settings!$B$16)</f>
        <v>46222.333333333336</v>
      </c>
      <c r="C1738" s="3" cm="1">
        <f t="array" ref="C1738">B1738+TIME(alea_int(5,1,Settings!$B$16),0,0)</f>
        <v>46222.375</v>
      </c>
      <c r="D1738" s="3" t="str" cm="1">
        <f t="array" ref="D1738">choice(Settings!K:K,1,Settings!$B$16)</f>
        <v>vendredi am</v>
      </c>
    </row>
    <row r="1739" spans="1:4" x14ac:dyDescent="0.25">
      <c r="A1739" s="2" t="str" cm="1">
        <f t="array" ref="A1739">choice(Professeurs!A:A,1,Settings!$B$16)</f>
        <v>Prof23</v>
      </c>
      <c r="B1739" s="3" cm="1">
        <f t="array" ref="B1739">alea_date(Settings!$B$11,360,Settings!$B$8+alea_int(4,0,Settings!$B$16),Settings!$B$16)</f>
        <v>46219.416666666664</v>
      </c>
      <c r="C1739" s="3" cm="1">
        <f t="array" ref="C1739">B1739+TIME(alea_int(5,1,Settings!$B$16),0,0)</f>
        <v>46219.583333333328</v>
      </c>
      <c r="D1739" s="3" t="str" cm="1">
        <f t="array" ref="D1739">choice(Settings!K:K,1,Settings!$B$16)</f>
        <v/>
      </c>
    </row>
    <row r="1740" spans="1:4" x14ac:dyDescent="0.25">
      <c r="A1740" s="2" t="str" cm="1">
        <f t="array" ref="A1740">choice(Professeurs!A:A,1,Settings!$B$16)</f>
        <v>Prof28</v>
      </c>
      <c r="B1740" s="3" cm="1">
        <f t="array" ref="B1740">alea_date(Settings!$B$11,360,Settings!$B$8+alea_int(4,0,Settings!$B$16),Settings!$B$16)</f>
        <v>46340.375</v>
      </c>
      <c r="C1740" s="3" cm="1">
        <f t="array" ref="C1740">B1740+TIME(alea_int(5,1,Settings!$B$16),0,0)</f>
        <v>46340.5</v>
      </c>
      <c r="D1740" s="3" t="str" cm="1">
        <f t="array" ref="D1740">choice(Settings!K:K,1,Settings!$B$16)</f>
        <v>vendredi pm</v>
      </c>
    </row>
    <row r="1741" spans="1:4" x14ac:dyDescent="0.25">
      <c r="A1741" s="2" t="str" cm="1">
        <f t="array" ref="A1741">choice(Professeurs!A:A,1,Settings!$B$16)</f>
        <v>Prof9</v>
      </c>
      <c r="B1741" s="3" cm="1">
        <f t="array" ref="B1741">alea_date(Settings!$B$11,360,Settings!$B$8+alea_int(4,0,Settings!$B$16),Settings!$B$16)</f>
        <v>46115.333333333336</v>
      </c>
      <c r="C1741" s="3" cm="1">
        <f t="array" ref="C1741">B1741+TIME(alea_int(5,1,Settings!$B$16),0,0)</f>
        <v>46115.541666666672</v>
      </c>
      <c r="D1741" s="3" t="str" cm="1">
        <f t="array" ref="D1741">choice(Settings!K:K,1,Settings!$B$16)</f>
        <v>lundi pm</v>
      </c>
    </row>
    <row r="1742" spans="1:4" x14ac:dyDescent="0.25">
      <c r="A1742" s="2" t="str" cm="1">
        <f t="array" ref="A1742">choice(Professeurs!A:A,1,Settings!$B$16)</f>
        <v>Prof46</v>
      </c>
      <c r="B1742" s="3" cm="1">
        <f t="array" ref="B1742">alea_date(Settings!$B$11,360,Settings!$B$8+alea_int(4,0,Settings!$B$16),Settings!$B$16)</f>
        <v>46077.458333333336</v>
      </c>
      <c r="C1742" s="3" cm="1">
        <f t="array" ref="C1742">B1742+TIME(alea_int(5,1,Settings!$B$16),0,0)</f>
        <v>46077.666666666672</v>
      </c>
      <c r="D1742" s="3" t="str" cm="1">
        <f t="array" ref="D1742">choice(Settings!K:K,1,Settings!$B$16)</f>
        <v>lundi am</v>
      </c>
    </row>
    <row r="1743" spans="1:4" x14ac:dyDescent="0.25">
      <c r="A1743" s="2" t="str" cm="1">
        <f t="array" ref="A1743">choice(Professeurs!A:A,1,Settings!$B$16)</f>
        <v>Prof3</v>
      </c>
      <c r="B1743" s="3" cm="1">
        <f t="array" ref="B1743">alea_date(Settings!$B$11,360,Settings!$B$8+alea_int(4,0,Settings!$B$16),Settings!$B$16)</f>
        <v>46332.333333333336</v>
      </c>
      <c r="C1743" s="3" cm="1">
        <f t="array" ref="C1743">B1743+TIME(alea_int(5,1,Settings!$B$16),0,0)</f>
        <v>46332.5</v>
      </c>
      <c r="D1743" s="3" t="str" cm="1">
        <f t="array" ref="D1743">choice(Settings!K:K,1,Settings!$B$16)</f>
        <v/>
      </c>
    </row>
    <row r="1744" spans="1:4" x14ac:dyDescent="0.25">
      <c r="A1744" s="2" t="str" cm="1">
        <f t="array" ref="A1744">choice(Professeurs!A:A,1,Settings!$B$16)</f>
        <v>Prof8</v>
      </c>
      <c r="B1744" s="3" cm="1">
        <f t="array" ref="B1744">alea_date(Settings!$B$11,360,Settings!$B$8+alea_int(4,0,Settings!$B$16),Settings!$B$16)</f>
        <v>46354.458333333336</v>
      </c>
      <c r="C1744" s="3" cm="1">
        <f t="array" ref="C1744">B1744+TIME(alea_int(5,1,Settings!$B$16),0,0)</f>
        <v>46354.583333333336</v>
      </c>
      <c r="D1744" s="3" t="str" cm="1">
        <f t="array" ref="D1744">choice(Settings!K:K,1,Settings!$B$16)</f>
        <v>lundi am</v>
      </c>
    </row>
    <row r="1745" spans="1:4" x14ac:dyDescent="0.25">
      <c r="A1745" s="2" t="str" cm="1">
        <f t="array" ref="A1745">choice(Professeurs!A:A,1,Settings!$B$16)</f>
        <v>Prof10</v>
      </c>
      <c r="B1745" s="3" cm="1">
        <f t="array" ref="B1745">alea_date(Settings!$B$11,360,Settings!$B$8+alea_int(4,0,Settings!$B$16),Settings!$B$16)</f>
        <v>46290.458333333336</v>
      </c>
      <c r="C1745" s="3" cm="1">
        <f t="array" ref="C1745">B1745+TIME(alea_int(5,1,Settings!$B$16),0,0)</f>
        <v>46290.541666666672</v>
      </c>
      <c r="D1745" s="3" t="str" cm="1">
        <f t="array" ref="D1745">choice(Settings!K:K,1,Settings!$B$16)</f>
        <v>mercredi pm</v>
      </c>
    </row>
    <row r="1746" spans="1:4" x14ac:dyDescent="0.25">
      <c r="A1746" s="2" t="str" cm="1">
        <f t="array" ref="A1746">choice(Professeurs!A:A,1,Settings!$B$16)</f>
        <v>Prof38</v>
      </c>
      <c r="B1746" s="3" cm="1">
        <f t="array" ref="B1746">alea_date(Settings!$B$11,360,Settings!$B$8+alea_int(4,0,Settings!$B$16),Settings!$B$16)</f>
        <v>46189.458333333336</v>
      </c>
      <c r="C1746" s="3" cm="1">
        <f t="array" ref="C1746">B1746+TIME(alea_int(5,1,Settings!$B$16),0,0)</f>
        <v>46189.541666666672</v>
      </c>
      <c r="D1746" s="3" t="str" cm="1">
        <f t="array" ref="D1746">choice(Settings!K:K,1,Settings!$B$16)</f>
        <v/>
      </c>
    </row>
    <row r="1747" spans="1:4" x14ac:dyDescent="0.25">
      <c r="A1747" s="2" t="str" cm="1">
        <f t="array" ref="A1747">choice(Professeurs!A:A,1,Settings!$B$16)</f>
        <v>Prof32</v>
      </c>
      <c r="B1747" s="3" cm="1">
        <f t="array" ref="B1747">alea_date(Settings!$B$11,360,Settings!$B$8+alea_int(4,0,Settings!$B$16),Settings!$B$16)</f>
        <v>46224.458333333336</v>
      </c>
      <c r="C1747" s="3" cm="1">
        <f t="array" ref="C1747">B1747+TIME(alea_int(5,1,Settings!$B$16),0,0)</f>
        <v>46224.583333333336</v>
      </c>
      <c r="D1747" s="3" t="str" cm="1">
        <f t="array" ref="D1747">choice(Settings!K:K,1,Settings!$B$16)</f>
        <v>jeudi am</v>
      </c>
    </row>
    <row r="1748" spans="1:4" x14ac:dyDescent="0.25">
      <c r="A1748" s="2" t="str" cm="1">
        <f t="array" ref="A1748">choice(Professeurs!A:A,1,Settings!$B$16)</f>
        <v>Prof22</v>
      </c>
      <c r="B1748" s="3" cm="1">
        <f t="array" ref="B1748">alea_date(Settings!$B$11,360,Settings!$B$8+alea_int(4,0,Settings!$B$16),Settings!$B$16)</f>
        <v>46101.458333333336</v>
      </c>
      <c r="C1748" s="3" cm="1">
        <f t="array" ref="C1748">B1748+TIME(alea_int(5,1,Settings!$B$16),0,0)</f>
        <v>46101.625</v>
      </c>
      <c r="D1748" s="3" t="str" cm="1">
        <f t="array" ref="D1748">choice(Settings!K:K,1,Settings!$B$16)</f>
        <v/>
      </c>
    </row>
    <row r="1749" spans="1:4" x14ac:dyDescent="0.25">
      <c r="A1749" s="2" t="str" cm="1">
        <f t="array" ref="A1749">choice(Professeurs!A:A,1,Settings!$B$16)</f>
        <v>Prof43</v>
      </c>
      <c r="B1749" s="3" cm="1">
        <f t="array" ref="B1749">alea_date(Settings!$B$11,360,Settings!$B$8+alea_int(4,0,Settings!$B$16),Settings!$B$16)</f>
        <v>46119.458333333336</v>
      </c>
      <c r="C1749" s="3" cm="1">
        <f t="array" ref="C1749">B1749+TIME(alea_int(5,1,Settings!$B$16),0,0)</f>
        <v>46119.583333333336</v>
      </c>
      <c r="D1749" s="3" t="str" cm="1">
        <f t="array" ref="D1749">choice(Settings!K:K,1,Settings!$B$16)</f>
        <v/>
      </c>
    </row>
    <row r="1750" spans="1:4" x14ac:dyDescent="0.25">
      <c r="A1750" s="2" t="str" cm="1">
        <f t="array" ref="A1750">choice(Professeurs!A:A,1,Settings!$B$16)</f>
        <v>Prof2</v>
      </c>
      <c r="B1750" s="3" cm="1">
        <f t="array" ref="B1750">alea_date(Settings!$B$11,360,Settings!$B$8+alea_int(4,0,Settings!$B$16),Settings!$B$16)</f>
        <v>46032.333333333336</v>
      </c>
      <c r="C1750" s="3" cm="1">
        <f t="array" ref="C1750">B1750+TIME(alea_int(5,1,Settings!$B$16),0,0)</f>
        <v>46032.5</v>
      </c>
      <c r="D1750" s="3" t="str" cm="1">
        <f t="array" ref="D1750">choice(Settings!K:K,1,Settings!$B$16)</f>
        <v/>
      </c>
    </row>
    <row r="1751" spans="1:4" x14ac:dyDescent="0.25">
      <c r="A1751" s="2" t="str" cm="1">
        <f t="array" ref="A1751">choice(Professeurs!A:A,1,Settings!$B$16)</f>
        <v>Prof36</v>
      </c>
      <c r="B1751" s="3" cm="1">
        <f t="array" ref="B1751">alea_date(Settings!$B$11,360,Settings!$B$8+alea_int(4,0,Settings!$B$16),Settings!$B$16)</f>
        <v>46271.375</v>
      </c>
      <c r="C1751" s="3" cm="1">
        <f t="array" ref="C1751">B1751+TIME(alea_int(5,1,Settings!$B$16),0,0)</f>
        <v>46271.458333333336</v>
      </c>
      <c r="D1751" s="3" t="str" cm="1">
        <f t="array" ref="D1751">choice(Settings!K:K,1,Settings!$B$16)</f>
        <v/>
      </c>
    </row>
    <row r="1752" spans="1:4" x14ac:dyDescent="0.25">
      <c r="A1752" s="2" t="str" cm="1">
        <f t="array" ref="A1752">choice(Professeurs!A:A,1,Settings!$B$16)</f>
        <v>Prof11</v>
      </c>
      <c r="B1752" s="3" cm="1">
        <f t="array" ref="B1752">alea_date(Settings!$B$11,360,Settings!$B$8+alea_int(4,0,Settings!$B$16),Settings!$B$16)</f>
        <v>46315.416666666664</v>
      </c>
      <c r="C1752" s="3" cm="1">
        <f t="array" ref="C1752">B1752+TIME(alea_int(5,1,Settings!$B$16),0,0)</f>
        <v>46315.583333333328</v>
      </c>
      <c r="D1752" s="3" t="str" cm="1">
        <f t="array" ref="D1752">choice(Settings!K:K,1,Settings!$B$16)</f>
        <v/>
      </c>
    </row>
    <row r="1753" spans="1:4" x14ac:dyDescent="0.25">
      <c r="A1753" s="2" t="str" cm="1">
        <f t="array" ref="A1753">choice(Professeurs!A:A,1,Settings!$B$16)</f>
        <v>Prof22</v>
      </c>
      <c r="B1753" s="3" cm="1">
        <f t="array" ref="B1753">alea_date(Settings!$B$11,360,Settings!$B$8+alea_int(4,0,Settings!$B$16),Settings!$B$16)</f>
        <v>46275.458333333336</v>
      </c>
      <c r="C1753" s="3" cm="1">
        <f t="array" ref="C1753">B1753+TIME(alea_int(5,1,Settings!$B$16),0,0)</f>
        <v>46275.625</v>
      </c>
      <c r="D1753" s="3" t="str" cm="1">
        <f t="array" ref="D1753">choice(Settings!K:K,1,Settings!$B$16)</f>
        <v/>
      </c>
    </row>
    <row r="1754" spans="1:4" x14ac:dyDescent="0.25">
      <c r="A1754" s="2" t="str" cm="1">
        <f t="array" ref="A1754">choice(Professeurs!A:A,1,Settings!$B$16)</f>
        <v>Prof39</v>
      </c>
      <c r="B1754" s="3" cm="1">
        <f t="array" ref="B1754">alea_date(Settings!$B$11,360,Settings!$B$8+alea_int(4,0,Settings!$B$16),Settings!$B$16)</f>
        <v>46162.416666666664</v>
      </c>
      <c r="C1754" s="3" cm="1">
        <f t="array" ref="C1754">B1754+TIME(alea_int(5,1,Settings!$B$16),0,0)</f>
        <v>46162.625</v>
      </c>
      <c r="D1754" s="3" t="str" cm="1">
        <f t="array" ref="D1754">choice(Settings!K:K,1,Settings!$B$16)</f>
        <v/>
      </c>
    </row>
    <row r="1755" spans="1:4" x14ac:dyDescent="0.25">
      <c r="A1755" s="2" t="str" cm="1">
        <f t="array" ref="A1755">choice(Professeurs!A:A,1,Settings!$B$16)</f>
        <v>Prof31</v>
      </c>
      <c r="B1755" s="3" cm="1">
        <f t="array" ref="B1755">alea_date(Settings!$B$11,360,Settings!$B$8+alea_int(4,0,Settings!$B$16),Settings!$B$16)</f>
        <v>46151.416666666664</v>
      </c>
      <c r="C1755" s="3" cm="1">
        <f t="array" ref="C1755">B1755+TIME(alea_int(5,1,Settings!$B$16),0,0)</f>
        <v>46151.458333333328</v>
      </c>
      <c r="D1755" s="3" t="str" cm="1">
        <f t="array" ref="D1755">choice(Settings!K:K,1,Settings!$B$16)</f>
        <v>vendredi am</v>
      </c>
    </row>
    <row r="1756" spans="1:4" x14ac:dyDescent="0.25">
      <c r="A1756" s="2" t="str" cm="1">
        <f t="array" ref="A1756">choice(Professeurs!A:A,1,Settings!$B$16)</f>
        <v>Prof5</v>
      </c>
      <c r="B1756" s="3" cm="1">
        <f t="array" ref="B1756">alea_date(Settings!$B$11,360,Settings!$B$8+alea_int(4,0,Settings!$B$16),Settings!$B$16)</f>
        <v>46198.375</v>
      </c>
      <c r="C1756" s="3" cm="1">
        <f t="array" ref="C1756">B1756+TIME(alea_int(5,1,Settings!$B$16),0,0)</f>
        <v>46198.583333333336</v>
      </c>
      <c r="D1756" s="3" t="str" cm="1">
        <f t="array" ref="D1756">choice(Settings!K:K,1,Settings!$B$16)</f>
        <v/>
      </c>
    </row>
    <row r="1757" spans="1:4" x14ac:dyDescent="0.25">
      <c r="A1757" s="2" t="str" cm="1">
        <f t="array" ref="A1757">choice(Professeurs!A:A,1,Settings!$B$16)</f>
        <v>Prof38</v>
      </c>
      <c r="B1757" s="3" cm="1">
        <f t="array" ref="B1757">alea_date(Settings!$B$11,360,Settings!$B$8+alea_int(4,0,Settings!$B$16),Settings!$B$16)</f>
        <v>46214.416666666664</v>
      </c>
      <c r="C1757" s="3" cm="1">
        <f t="array" ref="C1757">B1757+TIME(alea_int(5,1,Settings!$B$16),0,0)</f>
        <v>46214.625</v>
      </c>
      <c r="D1757" s="3" t="str" cm="1">
        <f t="array" ref="D1757">choice(Settings!K:K,1,Settings!$B$16)</f>
        <v/>
      </c>
    </row>
    <row r="1758" spans="1:4" x14ac:dyDescent="0.25">
      <c r="A1758" s="2" t="str" cm="1">
        <f t="array" ref="A1758">choice(Professeurs!A:A,1,Settings!$B$16)</f>
        <v>Prof24</v>
      </c>
      <c r="B1758" s="3" cm="1">
        <f t="array" ref="B1758">alea_date(Settings!$B$11,360,Settings!$B$8+alea_int(4,0,Settings!$B$16),Settings!$B$16)</f>
        <v>46285.333333333336</v>
      </c>
      <c r="C1758" s="3" cm="1">
        <f t="array" ref="C1758">B1758+TIME(alea_int(5,1,Settings!$B$16),0,0)</f>
        <v>46285.375</v>
      </c>
      <c r="D1758" s="3" t="str" cm="1">
        <f t="array" ref="D1758">choice(Settings!K:K,1,Settings!$B$16)</f>
        <v/>
      </c>
    </row>
    <row r="1759" spans="1:4" x14ac:dyDescent="0.25">
      <c r="A1759" s="2" t="str" cm="1">
        <f t="array" ref="A1759">choice(Professeurs!A:A,1,Settings!$B$16)</f>
        <v>Prof3</v>
      </c>
      <c r="B1759" s="3" cm="1">
        <f t="array" ref="B1759">alea_date(Settings!$B$11,360,Settings!$B$8+alea_int(4,0,Settings!$B$16),Settings!$B$16)</f>
        <v>46083.458333333336</v>
      </c>
      <c r="C1759" s="3" cm="1">
        <f t="array" ref="C1759">B1759+TIME(alea_int(5,1,Settings!$B$16),0,0)</f>
        <v>46083.541666666672</v>
      </c>
      <c r="D1759" s="3" t="str" cm="1">
        <f t="array" ref="D1759">choice(Settings!K:K,1,Settings!$B$16)</f>
        <v>mercredi ap</v>
      </c>
    </row>
    <row r="1760" spans="1:4" x14ac:dyDescent="0.25">
      <c r="A1760" s="2" t="str" cm="1">
        <f t="array" ref="A1760">choice(Professeurs!A:A,1,Settings!$B$16)</f>
        <v>Prof4</v>
      </c>
      <c r="B1760" s="3" cm="1">
        <f t="array" ref="B1760">alea_date(Settings!$B$11,360,Settings!$B$8+alea_int(4,0,Settings!$B$16),Settings!$B$16)</f>
        <v>46066.458333333336</v>
      </c>
      <c r="C1760" s="3" cm="1">
        <f t="array" ref="C1760">B1760+TIME(alea_int(5,1,Settings!$B$16),0,0)</f>
        <v>46066.541666666672</v>
      </c>
      <c r="D1760" s="3" t="str" cm="1">
        <f t="array" ref="D1760">choice(Settings!K:K,1,Settings!$B$16)</f>
        <v>mercredi pm</v>
      </c>
    </row>
    <row r="1761" spans="1:4" x14ac:dyDescent="0.25">
      <c r="A1761" s="2" t="str" cm="1">
        <f t="array" ref="A1761">choice(Professeurs!A:A,1,Settings!$B$16)</f>
        <v>Prof13</v>
      </c>
      <c r="B1761" s="3" cm="1">
        <f t="array" ref="B1761">alea_date(Settings!$B$11,360,Settings!$B$8+alea_int(4,0,Settings!$B$16),Settings!$B$16)</f>
        <v>46130.333333333336</v>
      </c>
      <c r="C1761" s="3" cm="1">
        <f t="array" ref="C1761">B1761+TIME(alea_int(5,1,Settings!$B$16),0,0)</f>
        <v>46130.458333333336</v>
      </c>
      <c r="D1761" s="3" t="str" cm="1">
        <f t="array" ref="D1761">choice(Settings!K:K,1,Settings!$B$16)</f>
        <v/>
      </c>
    </row>
    <row r="1762" spans="1:4" x14ac:dyDescent="0.25">
      <c r="A1762" s="2" t="str" cm="1">
        <f t="array" ref="A1762">choice(Professeurs!A:A,1,Settings!$B$16)</f>
        <v>Prof3</v>
      </c>
      <c r="B1762" s="3" cm="1">
        <f t="array" ref="B1762">alea_date(Settings!$B$11,360,Settings!$B$8+alea_int(4,0,Settings!$B$16),Settings!$B$16)</f>
        <v>46119.333333333336</v>
      </c>
      <c r="C1762" s="3" cm="1">
        <f t="array" ref="C1762">B1762+TIME(alea_int(5,1,Settings!$B$16),0,0)</f>
        <v>46119.416666666672</v>
      </c>
      <c r="D1762" s="3" t="str" cm="1">
        <f t="array" ref="D1762">choice(Settings!K:K,1,Settings!$B$16)</f>
        <v/>
      </c>
    </row>
    <row r="1763" spans="1:4" x14ac:dyDescent="0.25">
      <c r="A1763" s="2" t="str" cm="1">
        <f t="array" ref="A1763">choice(Professeurs!A:A,1,Settings!$B$16)</f>
        <v>Prof3</v>
      </c>
      <c r="B1763" s="3" cm="1">
        <f t="array" ref="B1763">alea_date(Settings!$B$11,360,Settings!$B$8+alea_int(4,0,Settings!$B$16),Settings!$B$16)</f>
        <v>46286.333333333336</v>
      </c>
      <c r="C1763" s="3" cm="1">
        <f t="array" ref="C1763">B1763+TIME(alea_int(5,1,Settings!$B$16),0,0)</f>
        <v>46286.375</v>
      </c>
      <c r="D1763" s="3" t="str" cm="1">
        <f t="array" ref="D1763">choice(Settings!K:K,1,Settings!$B$16)</f>
        <v>mardi am</v>
      </c>
    </row>
    <row r="1764" spans="1:4" x14ac:dyDescent="0.25">
      <c r="A1764" s="2" t="str" cm="1">
        <f t="array" ref="A1764">choice(Professeurs!A:A,1,Settings!$B$16)</f>
        <v>Prof38</v>
      </c>
      <c r="B1764" s="3" cm="1">
        <f t="array" ref="B1764">alea_date(Settings!$B$11,360,Settings!$B$8+alea_int(4,0,Settings!$B$16),Settings!$B$16)</f>
        <v>46273.416666666664</v>
      </c>
      <c r="C1764" s="3" cm="1">
        <f t="array" ref="C1764">B1764+TIME(alea_int(5,1,Settings!$B$16),0,0)</f>
        <v>46273.583333333328</v>
      </c>
      <c r="D1764" s="3" t="str" cm="1">
        <f t="array" ref="D1764">choice(Settings!K:K,1,Settings!$B$16)</f>
        <v/>
      </c>
    </row>
    <row r="1765" spans="1:4" x14ac:dyDescent="0.25">
      <c r="A1765" s="2" t="str" cm="1">
        <f t="array" ref="A1765">choice(Professeurs!A:A,1,Settings!$B$16)</f>
        <v>Prof36</v>
      </c>
      <c r="B1765" s="3" cm="1">
        <f t="array" ref="B1765">alea_date(Settings!$B$11,360,Settings!$B$8+alea_int(4,0,Settings!$B$16),Settings!$B$16)</f>
        <v>46130.458333333336</v>
      </c>
      <c r="C1765" s="3" cm="1">
        <f t="array" ref="C1765">B1765+TIME(alea_int(5,1,Settings!$B$16),0,0)</f>
        <v>46130.5</v>
      </c>
      <c r="D1765" s="3" t="str" cm="1">
        <f t="array" ref="D1765">choice(Settings!K:K,1,Settings!$B$16)</f>
        <v>lundi am</v>
      </c>
    </row>
    <row r="1766" spans="1:4" x14ac:dyDescent="0.25">
      <c r="A1766" s="2" t="str" cm="1">
        <f t="array" ref="A1766">choice(Professeurs!A:A,1,Settings!$B$16)</f>
        <v>Prof49</v>
      </c>
      <c r="B1766" s="3" cm="1">
        <f t="array" ref="B1766">alea_date(Settings!$B$11,360,Settings!$B$8+alea_int(4,0,Settings!$B$16),Settings!$B$16)</f>
        <v>46140.458333333336</v>
      </c>
      <c r="C1766" s="3" cm="1">
        <f t="array" ref="C1766">B1766+TIME(alea_int(5,1,Settings!$B$16),0,0)</f>
        <v>46140.541666666672</v>
      </c>
      <c r="D1766" s="3" t="str" cm="1">
        <f t="array" ref="D1766">choice(Settings!K:K,1,Settings!$B$16)</f>
        <v/>
      </c>
    </row>
    <row r="1767" spans="1:4" x14ac:dyDescent="0.25">
      <c r="A1767" s="2" t="str" cm="1">
        <f t="array" ref="A1767">choice(Professeurs!A:A,1,Settings!$B$16)</f>
        <v>Prof45</v>
      </c>
      <c r="B1767" s="3" cm="1">
        <f t="array" ref="B1767">alea_date(Settings!$B$11,360,Settings!$B$8+alea_int(4,0,Settings!$B$16),Settings!$B$16)</f>
        <v>46337.416666666664</v>
      </c>
      <c r="C1767" s="3" cm="1">
        <f t="array" ref="C1767">B1767+TIME(alea_int(5,1,Settings!$B$16),0,0)</f>
        <v>46337.5</v>
      </c>
      <c r="D1767" s="3" t="str" cm="1">
        <f t="array" ref="D1767">choice(Settings!K:K,1,Settings!$B$16)</f>
        <v/>
      </c>
    </row>
    <row r="1768" spans="1:4" x14ac:dyDescent="0.25">
      <c r="A1768" s="2" t="str" cm="1">
        <f t="array" ref="A1768">choice(Professeurs!A:A,1,Settings!$B$16)</f>
        <v>Prof4</v>
      </c>
      <c r="B1768" s="3" cm="1">
        <f t="array" ref="B1768">alea_date(Settings!$B$11,360,Settings!$B$8+alea_int(4,0,Settings!$B$16),Settings!$B$16)</f>
        <v>46156.375</v>
      </c>
      <c r="C1768" s="3" cm="1">
        <f t="array" ref="C1768">B1768+TIME(alea_int(5,1,Settings!$B$16),0,0)</f>
        <v>46156.458333333336</v>
      </c>
      <c r="D1768" s="3" t="str" cm="1">
        <f t="array" ref="D1768">choice(Settings!K:K,1,Settings!$B$16)</f>
        <v>vendredi pm</v>
      </c>
    </row>
    <row r="1769" spans="1:4" x14ac:dyDescent="0.25">
      <c r="A1769" s="2" t="str" cm="1">
        <f t="array" ref="A1769">choice(Professeurs!A:A,1,Settings!$B$16)</f>
        <v>Prof3</v>
      </c>
      <c r="B1769" s="3" cm="1">
        <f t="array" ref="B1769">alea_date(Settings!$B$11,360,Settings!$B$8+alea_int(4,0,Settings!$B$16),Settings!$B$16)</f>
        <v>46295.333333333336</v>
      </c>
      <c r="C1769" s="3" cm="1">
        <f t="array" ref="C1769">B1769+TIME(alea_int(5,1,Settings!$B$16),0,0)</f>
        <v>46295.416666666672</v>
      </c>
      <c r="D1769" s="3" t="str" cm="1">
        <f t="array" ref="D1769">choice(Settings!K:K,1,Settings!$B$16)</f>
        <v/>
      </c>
    </row>
    <row r="1770" spans="1:4" x14ac:dyDescent="0.25">
      <c r="A1770" s="2" t="str" cm="1">
        <f t="array" ref="A1770">choice(Professeurs!A:A,1,Settings!$B$16)</f>
        <v>Prof40</v>
      </c>
      <c r="B1770" s="3" cm="1">
        <f t="array" ref="B1770">alea_date(Settings!$B$11,360,Settings!$B$8+alea_int(4,0,Settings!$B$16),Settings!$B$16)</f>
        <v>46040.333333333336</v>
      </c>
      <c r="C1770" s="3" cm="1">
        <f t="array" ref="C1770">B1770+TIME(alea_int(5,1,Settings!$B$16),0,0)</f>
        <v>46040.416666666672</v>
      </c>
      <c r="D1770" s="3" t="str" cm="1">
        <f t="array" ref="D1770">choice(Settings!K:K,1,Settings!$B$16)</f>
        <v/>
      </c>
    </row>
    <row r="1771" spans="1:4" x14ac:dyDescent="0.25">
      <c r="A1771" s="2" t="str" cm="1">
        <f t="array" ref="A1771">choice(Professeurs!A:A,1,Settings!$B$16)</f>
        <v>Prof41</v>
      </c>
      <c r="B1771" s="3" cm="1">
        <f t="array" ref="B1771">alea_date(Settings!$B$11,360,Settings!$B$8+alea_int(4,0,Settings!$B$16),Settings!$B$16)</f>
        <v>46158.458333333336</v>
      </c>
      <c r="C1771" s="3" cm="1">
        <f t="array" ref="C1771">B1771+TIME(alea_int(5,1,Settings!$B$16),0,0)</f>
        <v>46158.583333333336</v>
      </c>
      <c r="D1771" s="3" t="str" cm="1">
        <f t="array" ref="D1771">choice(Settings!K:K,1,Settings!$B$16)</f>
        <v>jeudi am</v>
      </c>
    </row>
    <row r="1772" spans="1:4" x14ac:dyDescent="0.25">
      <c r="A1772" s="2" t="str" cm="1">
        <f t="array" ref="A1772">choice(Professeurs!A:A,1,Settings!$B$16)</f>
        <v>Prof30</v>
      </c>
      <c r="B1772" s="3" cm="1">
        <f t="array" ref="B1772">alea_date(Settings!$B$11,360,Settings!$B$8+alea_int(4,0,Settings!$B$16),Settings!$B$16)</f>
        <v>46093.416666666664</v>
      </c>
      <c r="C1772" s="3" cm="1">
        <f t="array" ref="C1772">B1772+TIME(alea_int(5,1,Settings!$B$16),0,0)</f>
        <v>46093.583333333328</v>
      </c>
      <c r="D1772" s="3" t="str" cm="1">
        <f t="array" ref="D1772">choice(Settings!K:K,1,Settings!$B$16)</f>
        <v>vendredi am</v>
      </c>
    </row>
    <row r="1773" spans="1:4" x14ac:dyDescent="0.25">
      <c r="A1773" s="2" t="str" cm="1">
        <f t="array" ref="A1773">choice(Professeurs!A:A,1,Settings!$B$16)</f>
        <v>Prof2</v>
      </c>
      <c r="B1773" s="3" cm="1">
        <f t="array" ref="B1773">alea_date(Settings!$B$11,360,Settings!$B$8+alea_int(4,0,Settings!$B$16),Settings!$B$16)</f>
        <v>46233.458333333336</v>
      </c>
      <c r="C1773" s="3" cm="1">
        <f t="array" ref="C1773">B1773+TIME(alea_int(5,1,Settings!$B$16),0,0)</f>
        <v>46233.5</v>
      </c>
      <c r="D1773" s="3" t="str" cm="1">
        <f t="array" ref="D1773">choice(Settings!K:K,1,Settings!$B$16)</f>
        <v>jeudi pm</v>
      </c>
    </row>
    <row r="1774" spans="1:4" x14ac:dyDescent="0.25">
      <c r="A1774" s="2" t="str" cm="1">
        <f t="array" ref="A1774">choice(Professeurs!A:A,1,Settings!$B$16)</f>
        <v>Prof40</v>
      </c>
      <c r="B1774" s="3" cm="1">
        <f t="array" ref="B1774">alea_date(Settings!$B$11,360,Settings!$B$8+alea_int(4,0,Settings!$B$16),Settings!$B$16)</f>
        <v>46298.333333333336</v>
      </c>
      <c r="C1774" s="3" cm="1">
        <f t="array" ref="C1774">B1774+TIME(alea_int(5,1,Settings!$B$16),0,0)</f>
        <v>46298.458333333336</v>
      </c>
      <c r="D1774" s="3" t="str" cm="1">
        <f t="array" ref="D1774">choice(Settings!K:K,1,Settings!$B$16)</f>
        <v/>
      </c>
    </row>
    <row r="1775" spans="1:4" x14ac:dyDescent="0.25">
      <c r="A1775" s="2" t="str" cm="1">
        <f t="array" ref="A1775">choice(Professeurs!A:A,1,Settings!$B$16)</f>
        <v>Prof15</v>
      </c>
      <c r="B1775" s="3" cm="1">
        <f t="array" ref="B1775">alea_date(Settings!$B$11,360,Settings!$B$8+alea_int(4,0,Settings!$B$16),Settings!$B$16)</f>
        <v>46299.333333333336</v>
      </c>
      <c r="C1775" s="3" cm="1">
        <f t="array" ref="C1775">B1775+TIME(alea_int(5,1,Settings!$B$16),0,0)</f>
        <v>46299.541666666672</v>
      </c>
      <c r="D1775" s="3" t="str" cm="1">
        <f t="array" ref="D1775">choice(Settings!K:K,1,Settings!$B$16)</f>
        <v>lundi pm</v>
      </c>
    </row>
    <row r="1776" spans="1:4" x14ac:dyDescent="0.25">
      <c r="A1776" s="2" t="str" cm="1">
        <f t="array" ref="A1776">choice(Professeurs!A:A,1,Settings!$B$16)</f>
        <v>Prof32</v>
      </c>
      <c r="B1776" s="3" cm="1">
        <f t="array" ref="B1776">alea_date(Settings!$B$11,360,Settings!$B$8+alea_int(4,0,Settings!$B$16),Settings!$B$16)</f>
        <v>46051.416666666664</v>
      </c>
      <c r="C1776" s="3" cm="1">
        <f t="array" ref="C1776">B1776+TIME(alea_int(5,1,Settings!$B$16),0,0)</f>
        <v>46051.541666666664</v>
      </c>
      <c r="D1776" s="3" t="str" cm="1">
        <f t="array" ref="D1776">choice(Settings!K:K,1,Settings!$B$16)</f>
        <v>lundi pm</v>
      </c>
    </row>
    <row r="1777" spans="1:4" x14ac:dyDescent="0.25">
      <c r="A1777" s="2" t="str" cm="1">
        <f t="array" ref="A1777">choice(Professeurs!A:A,1,Settings!$B$16)</f>
        <v>Prof5</v>
      </c>
      <c r="B1777" s="3" cm="1">
        <f t="array" ref="B1777">alea_date(Settings!$B$11,360,Settings!$B$8+alea_int(4,0,Settings!$B$16),Settings!$B$16)</f>
        <v>46331.333333333336</v>
      </c>
      <c r="C1777" s="3" cm="1">
        <f t="array" ref="C1777">B1777+TIME(alea_int(5,1,Settings!$B$16),0,0)</f>
        <v>46331.416666666672</v>
      </c>
      <c r="D1777" s="3" t="str" cm="1">
        <f t="array" ref="D1777">choice(Settings!K:K,1,Settings!$B$16)</f>
        <v/>
      </c>
    </row>
    <row r="1778" spans="1:4" x14ac:dyDescent="0.25">
      <c r="A1778" s="2" t="str" cm="1">
        <f t="array" ref="A1778">choice(Professeurs!A:A,1,Settings!$B$16)</f>
        <v>Prof49</v>
      </c>
      <c r="B1778" s="3" cm="1">
        <f t="array" ref="B1778">alea_date(Settings!$B$11,360,Settings!$B$8+alea_int(4,0,Settings!$B$16),Settings!$B$16)</f>
        <v>46318.416666666664</v>
      </c>
      <c r="C1778" s="3" cm="1">
        <f t="array" ref="C1778">B1778+TIME(alea_int(5,1,Settings!$B$16),0,0)</f>
        <v>46318.5</v>
      </c>
      <c r="D1778" s="3" t="str" cm="1">
        <f t="array" ref="D1778">choice(Settings!K:K,1,Settings!$B$16)</f>
        <v/>
      </c>
    </row>
    <row r="1779" spans="1:4" x14ac:dyDescent="0.25">
      <c r="A1779" s="2" t="str" cm="1">
        <f t="array" ref="A1779">choice(Professeurs!A:A,1,Settings!$B$16)</f>
        <v>Prof27</v>
      </c>
      <c r="B1779" s="3" cm="1">
        <f t="array" ref="B1779">alea_date(Settings!$B$11,360,Settings!$B$8+alea_int(4,0,Settings!$B$16),Settings!$B$16)</f>
        <v>46159.416666666664</v>
      </c>
      <c r="C1779" s="3" cm="1">
        <f t="array" ref="C1779">B1779+TIME(alea_int(5,1,Settings!$B$16),0,0)</f>
        <v>46159.625</v>
      </c>
      <c r="D1779" s="3" t="str" cm="1">
        <f t="array" ref="D1779">choice(Settings!K:K,1,Settings!$B$16)</f>
        <v/>
      </c>
    </row>
    <row r="1780" spans="1:4" x14ac:dyDescent="0.25">
      <c r="A1780" s="2" t="str" cm="1">
        <f t="array" ref="A1780">choice(Professeurs!A:A,1,Settings!$B$16)</f>
        <v>Prof26</v>
      </c>
      <c r="B1780" s="3" cm="1">
        <f t="array" ref="B1780">alea_date(Settings!$B$11,360,Settings!$B$8+alea_int(4,0,Settings!$B$16),Settings!$B$16)</f>
        <v>46074.375</v>
      </c>
      <c r="C1780" s="3" cm="1">
        <f t="array" ref="C1780">B1780+TIME(alea_int(5,1,Settings!$B$16),0,0)</f>
        <v>46074.583333333336</v>
      </c>
      <c r="D1780" s="3" t="str" cm="1">
        <f t="array" ref="D1780">choice(Settings!K:K,1,Settings!$B$16)</f>
        <v/>
      </c>
    </row>
    <row r="1781" spans="1:4" x14ac:dyDescent="0.25">
      <c r="A1781" s="2" t="str" cm="1">
        <f t="array" ref="A1781">choice(Professeurs!A:A,1,Settings!$B$16)</f>
        <v>Prof43</v>
      </c>
      <c r="B1781" s="3" cm="1">
        <f t="array" ref="B1781">alea_date(Settings!$B$11,360,Settings!$B$8+alea_int(4,0,Settings!$B$16),Settings!$B$16)</f>
        <v>46293.375</v>
      </c>
      <c r="C1781" s="3" cm="1">
        <f t="array" ref="C1781">B1781+TIME(alea_int(5,1,Settings!$B$16),0,0)</f>
        <v>46293.541666666664</v>
      </c>
      <c r="D1781" s="3" t="str" cm="1">
        <f t="array" ref="D1781">choice(Settings!K:K,1,Settings!$B$16)</f>
        <v>mardi pm</v>
      </c>
    </row>
    <row r="1782" spans="1:4" x14ac:dyDescent="0.25">
      <c r="A1782" s="2" t="str" cm="1">
        <f t="array" ref="A1782">choice(Professeurs!A:A,1,Settings!$B$16)</f>
        <v>Prof19</v>
      </c>
      <c r="B1782" s="3" cm="1">
        <f t="array" ref="B1782">alea_date(Settings!$B$11,360,Settings!$B$8+alea_int(4,0,Settings!$B$16),Settings!$B$16)</f>
        <v>46233.333333333336</v>
      </c>
      <c r="C1782" s="3" cm="1">
        <f t="array" ref="C1782">B1782+TIME(alea_int(5,1,Settings!$B$16),0,0)</f>
        <v>46233.458333333336</v>
      </c>
      <c r="D1782" s="3" t="str" cm="1">
        <f t="array" ref="D1782">choice(Settings!K:K,1,Settings!$B$16)</f>
        <v/>
      </c>
    </row>
    <row r="1783" spans="1:4" x14ac:dyDescent="0.25">
      <c r="A1783" s="2" t="str" cm="1">
        <f t="array" ref="A1783">choice(Professeurs!A:A,1,Settings!$B$16)</f>
        <v>Prof5</v>
      </c>
      <c r="B1783" s="3" cm="1">
        <f t="array" ref="B1783">alea_date(Settings!$B$11,360,Settings!$B$8+alea_int(4,0,Settings!$B$16),Settings!$B$16)</f>
        <v>46076.333333333336</v>
      </c>
      <c r="C1783" s="3" cm="1">
        <f t="array" ref="C1783">B1783+TIME(alea_int(5,1,Settings!$B$16),0,0)</f>
        <v>46076.375</v>
      </c>
      <c r="D1783" s="3" t="str" cm="1">
        <f t="array" ref="D1783">choice(Settings!K:K,1,Settings!$B$16)</f>
        <v/>
      </c>
    </row>
    <row r="1784" spans="1:4" x14ac:dyDescent="0.25">
      <c r="A1784" s="2" t="str" cm="1">
        <f t="array" ref="A1784">choice(Professeurs!A:A,1,Settings!$B$16)</f>
        <v>Prof41</v>
      </c>
      <c r="B1784" s="3" cm="1">
        <f t="array" ref="B1784">alea_date(Settings!$B$11,360,Settings!$B$8+alea_int(4,0,Settings!$B$16),Settings!$B$16)</f>
        <v>46353.375</v>
      </c>
      <c r="C1784" s="3" cm="1">
        <f t="array" ref="C1784">B1784+TIME(alea_int(5,1,Settings!$B$16),0,0)</f>
        <v>46353.416666666664</v>
      </c>
      <c r="D1784" s="3" t="str" cm="1">
        <f t="array" ref="D1784">choice(Settings!K:K,1,Settings!$B$16)</f>
        <v/>
      </c>
    </row>
    <row r="1785" spans="1:4" x14ac:dyDescent="0.25">
      <c r="A1785" s="2" t="str" cm="1">
        <f t="array" ref="A1785">choice(Professeurs!A:A,1,Settings!$B$16)</f>
        <v>Prof30</v>
      </c>
      <c r="B1785" s="3" cm="1">
        <f t="array" ref="B1785">alea_date(Settings!$B$11,360,Settings!$B$8+alea_int(4,0,Settings!$B$16),Settings!$B$16)</f>
        <v>46218.333333333336</v>
      </c>
      <c r="C1785" s="3" cm="1">
        <f t="array" ref="C1785">B1785+TIME(alea_int(5,1,Settings!$B$16),0,0)</f>
        <v>46218.375</v>
      </c>
      <c r="D1785" s="3" t="str" cm="1">
        <f t="array" ref="D1785">choice(Settings!K:K,1,Settings!$B$16)</f>
        <v/>
      </c>
    </row>
    <row r="1786" spans="1:4" x14ac:dyDescent="0.25">
      <c r="A1786" s="2" t="str" cm="1">
        <f t="array" ref="A1786">choice(Professeurs!A:A,1,Settings!$B$16)</f>
        <v>Prof52</v>
      </c>
      <c r="B1786" s="3" cm="1">
        <f t="array" ref="B1786">alea_date(Settings!$B$11,360,Settings!$B$8+alea_int(4,0,Settings!$B$16),Settings!$B$16)</f>
        <v>46139.375</v>
      </c>
      <c r="C1786" s="3" cm="1">
        <f t="array" ref="C1786">B1786+TIME(alea_int(5,1,Settings!$B$16),0,0)</f>
        <v>46139.416666666664</v>
      </c>
      <c r="D1786" s="3" t="str" cm="1">
        <f t="array" ref="D1786">choice(Settings!K:K,1,Settings!$B$16)</f>
        <v/>
      </c>
    </row>
    <row r="1787" spans="1:4" x14ac:dyDescent="0.25">
      <c r="A1787" s="2" t="str" cm="1">
        <f t="array" ref="A1787">choice(Professeurs!A:A,1,Settings!$B$16)</f>
        <v>Prof13</v>
      </c>
      <c r="B1787" s="3" cm="1">
        <f t="array" ref="B1787">alea_date(Settings!$B$11,360,Settings!$B$8+alea_int(4,0,Settings!$B$16),Settings!$B$16)</f>
        <v>46035.375</v>
      </c>
      <c r="C1787" s="3" cm="1">
        <f t="array" ref="C1787">B1787+TIME(alea_int(5,1,Settings!$B$16),0,0)</f>
        <v>46035.416666666664</v>
      </c>
      <c r="D1787" s="3" t="str" cm="1">
        <f t="array" ref="D1787">choice(Settings!K:K,1,Settings!$B$16)</f>
        <v/>
      </c>
    </row>
    <row r="1788" spans="1:4" x14ac:dyDescent="0.25">
      <c r="A1788" s="2" t="str" cm="1">
        <f t="array" ref="A1788">choice(Professeurs!A:A,1,Settings!$B$16)</f>
        <v>Prof32</v>
      </c>
      <c r="B1788" s="3" cm="1">
        <f t="array" ref="B1788">alea_date(Settings!$B$11,360,Settings!$B$8+alea_int(4,0,Settings!$B$16),Settings!$B$16)</f>
        <v>46081.416666666664</v>
      </c>
      <c r="C1788" s="3" cm="1">
        <f t="array" ref="C1788">B1788+TIME(alea_int(5,1,Settings!$B$16),0,0)</f>
        <v>46081.541666666664</v>
      </c>
      <c r="D1788" s="3" t="str" cm="1">
        <f t="array" ref="D1788">choice(Settings!K:K,1,Settings!$B$16)</f>
        <v>lundi am</v>
      </c>
    </row>
    <row r="1789" spans="1:4" x14ac:dyDescent="0.25">
      <c r="A1789" s="2" t="str" cm="1">
        <f t="array" ref="A1789">choice(Professeurs!A:A,1,Settings!$B$16)</f>
        <v>Prof5</v>
      </c>
      <c r="B1789" s="3" cm="1">
        <f t="array" ref="B1789">alea_date(Settings!$B$11,360,Settings!$B$8+alea_int(4,0,Settings!$B$16),Settings!$B$16)</f>
        <v>46346.416666666664</v>
      </c>
      <c r="C1789" s="3" cm="1">
        <f t="array" ref="C1789">B1789+TIME(alea_int(5,1,Settings!$B$16),0,0)</f>
        <v>46346.583333333328</v>
      </c>
      <c r="D1789" s="3" t="str" cm="1">
        <f t="array" ref="D1789">choice(Settings!K:K,1,Settings!$B$16)</f>
        <v/>
      </c>
    </row>
    <row r="1790" spans="1:4" x14ac:dyDescent="0.25">
      <c r="A1790" s="2" t="str" cm="1">
        <f t="array" ref="A1790">choice(Professeurs!A:A,1,Settings!$B$16)</f>
        <v>Prof10</v>
      </c>
      <c r="B1790" s="3" cm="1">
        <f t="array" ref="B1790">alea_date(Settings!$B$11,360,Settings!$B$8+alea_int(4,0,Settings!$B$16),Settings!$B$16)</f>
        <v>46130.333333333336</v>
      </c>
      <c r="C1790" s="3" cm="1">
        <f t="array" ref="C1790">B1790+TIME(alea_int(5,1,Settings!$B$16),0,0)</f>
        <v>46130.416666666672</v>
      </c>
      <c r="D1790" s="3" t="str" cm="1">
        <f t="array" ref="D1790">choice(Settings!K:K,1,Settings!$B$16)</f>
        <v/>
      </c>
    </row>
    <row r="1791" spans="1:4" x14ac:dyDescent="0.25">
      <c r="A1791" s="2" t="str" cm="1">
        <f t="array" ref="A1791">choice(Professeurs!A:A,1,Settings!$B$16)</f>
        <v>Prof48</v>
      </c>
      <c r="B1791" s="3" cm="1">
        <f t="array" ref="B1791">alea_date(Settings!$B$11,360,Settings!$B$8+alea_int(4,0,Settings!$B$16),Settings!$B$16)</f>
        <v>46116.375</v>
      </c>
      <c r="C1791" s="3" cm="1">
        <f t="array" ref="C1791">B1791+TIME(alea_int(5,1,Settings!$B$16),0,0)</f>
        <v>46116.583333333336</v>
      </c>
      <c r="D1791" s="3" t="str" cm="1">
        <f t="array" ref="D1791">choice(Settings!K:K,1,Settings!$B$16)</f>
        <v/>
      </c>
    </row>
    <row r="1792" spans="1:4" x14ac:dyDescent="0.25">
      <c r="A1792" s="2" t="str" cm="1">
        <f t="array" ref="A1792">choice(Professeurs!A:A,1,Settings!$B$16)</f>
        <v>Prof16</v>
      </c>
      <c r="B1792" s="3" cm="1">
        <f t="array" ref="B1792">alea_date(Settings!$B$11,360,Settings!$B$8+alea_int(4,0,Settings!$B$16),Settings!$B$16)</f>
        <v>46187.333333333336</v>
      </c>
      <c r="C1792" s="3" cm="1">
        <f t="array" ref="C1792">B1792+TIME(alea_int(5,1,Settings!$B$16),0,0)</f>
        <v>46187.375</v>
      </c>
      <c r="D1792" s="3" t="str" cm="1">
        <f t="array" ref="D1792">choice(Settings!K:K,1,Settings!$B$16)</f>
        <v/>
      </c>
    </row>
    <row r="1793" spans="1:4" x14ac:dyDescent="0.25">
      <c r="A1793" s="2" t="str" cm="1">
        <f t="array" ref="A1793">choice(Professeurs!A:A,1,Settings!$B$16)</f>
        <v>Prof32</v>
      </c>
      <c r="B1793" s="3" cm="1">
        <f t="array" ref="B1793">alea_date(Settings!$B$11,360,Settings!$B$8+alea_int(4,0,Settings!$B$16),Settings!$B$16)</f>
        <v>46349.333333333336</v>
      </c>
      <c r="C1793" s="3" cm="1">
        <f t="array" ref="C1793">B1793+TIME(alea_int(5,1,Settings!$B$16),0,0)</f>
        <v>46349.541666666672</v>
      </c>
      <c r="D1793" s="3" t="str" cm="1">
        <f t="array" ref="D1793">choice(Settings!K:K,1,Settings!$B$16)</f>
        <v/>
      </c>
    </row>
    <row r="1794" spans="1:4" x14ac:dyDescent="0.25">
      <c r="A1794" s="2" t="str" cm="1">
        <f t="array" ref="A1794">choice(Professeurs!A:A,1,Settings!$B$16)</f>
        <v>Prof42</v>
      </c>
      <c r="B1794" s="3" cm="1">
        <f t="array" ref="B1794">alea_date(Settings!$B$11,360,Settings!$B$8+alea_int(4,0,Settings!$B$16),Settings!$B$16)</f>
        <v>46130.333333333336</v>
      </c>
      <c r="C1794" s="3" cm="1">
        <f t="array" ref="C1794">B1794+TIME(alea_int(5,1,Settings!$B$16),0,0)</f>
        <v>46130.375</v>
      </c>
      <c r="D1794" s="3" t="str" cm="1">
        <f t="array" ref="D1794">choice(Settings!K:K,1,Settings!$B$16)</f>
        <v/>
      </c>
    </row>
    <row r="1795" spans="1:4" x14ac:dyDescent="0.25">
      <c r="A1795" s="2" t="str" cm="1">
        <f t="array" ref="A1795">choice(Professeurs!A:A,1,Settings!$B$16)</f>
        <v>Prof8</v>
      </c>
      <c r="B1795" s="3" cm="1">
        <f t="array" ref="B1795">alea_date(Settings!$B$11,360,Settings!$B$8+alea_int(4,0,Settings!$B$16),Settings!$B$16)</f>
        <v>46026.375</v>
      </c>
      <c r="C1795" s="3" cm="1">
        <f t="array" ref="C1795">B1795+TIME(alea_int(5,1,Settings!$B$16),0,0)</f>
        <v>46026.458333333336</v>
      </c>
      <c r="D1795" s="3" t="str" cm="1">
        <f t="array" ref="D1795">choice(Settings!K:K,1,Settings!$B$16)</f>
        <v/>
      </c>
    </row>
    <row r="1796" spans="1:4" x14ac:dyDescent="0.25">
      <c r="A1796" s="2" t="str" cm="1">
        <f t="array" ref="A1796">choice(Professeurs!A:A,1,Settings!$B$16)</f>
        <v>Prof18</v>
      </c>
      <c r="B1796" s="3" cm="1">
        <f t="array" ref="B1796">alea_date(Settings!$B$11,360,Settings!$B$8+alea_int(4,0,Settings!$B$16),Settings!$B$16)</f>
        <v>46054.375</v>
      </c>
      <c r="C1796" s="3" cm="1">
        <f t="array" ref="C1796">B1796+TIME(alea_int(5,1,Settings!$B$16),0,0)</f>
        <v>46054.5</v>
      </c>
      <c r="D1796" s="3" t="str" cm="1">
        <f t="array" ref="D1796">choice(Settings!K:K,1,Settings!$B$16)</f>
        <v/>
      </c>
    </row>
    <row r="1797" spans="1:4" x14ac:dyDescent="0.25">
      <c r="A1797" s="2" t="str" cm="1">
        <f t="array" ref="A1797">choice(Professeurs!A:A,1,Settings!$B$16)</f>
        <v>Prof49</v>
      </c>
      <c r="B1797" s="3" cm="1">
        <f t="array" ref="B1797">alea_date(Settings!$B$11,360,Settings!$B$8+alea_int(4,0,Settings!$B$16),Settings!$B$16)</f>
        <v>46049.458333333336</v>
      </c>
      <c r="C1797" s="3" cm="1">
        <f t="array" ref="C1797">B1797+TIME(alea_int(5,1,Settings!$B$16),0,0)</f>
        <v>46049.541666666672</v>
      </c>
      <c r="D1797" s="3" t="str" cm="1">
        <f t="array" ref="D1797">choice(Settings!K:K,1,Settings!$B$16)</f>
        <v/>
      </c>
    </row>
    <row r="1798" spans="1:4" x14ac:dyDescent="0.25">
      <c r="A1798" s="2" t="str" cm="1">
        <f t="array" ref="A1798">choice(Professeurs!A:A,1,Settings!$B$16)</f>
        <v>Prof44</v>
      </c>
      <c r="B1798" s="3" cm="1">
        <f t="array" ref="B1798">alea_date(Settings!$B$11,360,Settings!$B$8+alea_int(4,0,Settings!$B$16),Settings!$B$16)</f>
        <v>46279.458333333336</v>
      </c>
      <c r="C1798" s="3" cm="1">
        <f t="array" ref="C1798">B1798+TIME(alea_int(5,1,Settings!$B$16),0,0)</f>
        <v>46279.541666666672</v>
      </c>
      <c r="D1798" s="3" t="str" cm="1">
        <f t="array" ref="D1798">choice(Settings!K:K,1,Settings!$B$16)</f>
        <v/>
      </c>
    </row>
    <row r="1799" spans="1:4" x14ac:dyDescent="0.25">
      <c r="A1799" s="2" t="str" cm="1">
        <f t="array" ref="A1799">choice(Professeurs!A:A,1,Settings!$B$16)</f>
        <v>Prof44</v>
      </c>
      <c r="B1799" s="3" cm="1">
        <f t="array" ref="B1799">alea_date(Settings!$B$11,360,Settings!$B$8+alea_int(4,0,Settings!$B$16),Settings!$B$16)</f>
        <v>46174.375</v>
      </c>
      <c r="C1799" s="3" cm="1">
        <f t="array" ref="C1799">B1799+TIME(alea_int(5,1,Settings!$B$16),0,0)</f>
        <v>46174.458333333336</v>
      </c>
      <c r="D1799" s="3" t="str" cm="1">
        <f t="array" ref="D1799">choice(Settings!K:K,1,Settings!$B$16)</f>
        <v>mardi pm</v>
      </c>
    </row>
    <row r="1800" spans="1:4" x14ac:dyDescent="0.25">
      <c r="A1800" s="2" t="str" cm="1">
        <f t="array" ref="A1800">choice(Professeurs!A:A,1,Settings!$B$16)</f>
        <v>Prof14</v>
      </c>
      <c r="B1800" s="3" cm="1">
        <f t="array" ref="B1800">alea_date(Settings!$B$11,360,Settings!$B$8+alea_int(4,0,Settings!$B$16),Settings!$B$16)</f>
        <v>46288.333333333336</v>
      </c>
      <c r="C1800" s="3" cm="1">
        <f t="array" ref="C1800">B1800+TIME(alea_int(5,1,Settings!$B$16),0,0)</f>
        <v>46288.375</v>
      </c>
      <c r="D1800" s="3" t="str" cm="1">
        <f t="array" ref="D1800">choice(Settings!K:K,1,Settings!$B$16)</f>
        <v/>
      </c>
    </row>
    <row r="1801" spans="1:4" x14ac:dyDescent="0.25">
      <c r="A1801" s="2" t="str" cm="1">
        <f t="array" ref="A1801">choice(Professeurs!A:A,1,Settings!$B$16)</f>
        <v>Prof26</v>
      </c>
      <c r="B1801" s="3" cm="1">
        <f t="array" ref="B1801">alea_date(Settings!$B$11,360,Settings!$B$8+alea_int(4,0,Settings!$B$16),Settings!$B$16)</f>
        <v>46172.375</v>
      </c>
      <c r="C1801" s="3" cm="1">
        <f t="array" ref="C1801">B1801+TIME(alea_int(5,1,Settings!$B$16),0,0)</f>
        <v>46172.541666666664</v>
      </c>
      <c r="D1801" s="3" t="str" cm="1">
        <f t="array" ref="D1801">choice(Settings!K:K,1,Settings!$B$16)</f>
        <v>jeudi am</v>
      </c>
    </row>
    <row r="1802" spans="1:4" x14ac:dyDescent="0.25">
      <c r="A1802" s="2" t="str" cm="1">
        <f t="array" ref="A1802">choice(Professeurs!A:A,1,Settings!$B$16)</f>
        <v>Prof28</v>
      </c>
      <c r="B1802" s="3" cm="1">
        <f t="array" ref="B1802">alea_date(Settings!$B$11,360,Settings!$B$8+alea_int(4,0,Settings!$B$16),Settings!$B$16)</f>
        <v>46324.375</v>
      </c>
      <c r="C1802" s="3" cm="1">
        <f t="array" ref="C1802">B1802+TIME(alea_int(5,1,Settings!$B$16),0,0)</f>
        <v>46324.541666666664</v>
      </c>
      <c r="D1802" s="3" t="str" cm="1">
        <f t="array" ref="D1802">choice(Settings!K:K,1,Settings!$B$16)</f>
        <v/>
      </c>
    </row>
    <row r="1803" spans="1:4" x14ac:dyDescent="0.25">
      <c r="A1803" s="2" t="str" cm="1">
        <f t="array" ref="A1803">choice(Professeurs!A:A,1,Settings!$B$16)</f>
        <v>Prof15</v>
      </c>
      <c r="B1803" s="3" cm="1">
        <f t="array" ref="B1803">alea_date(Settings!$B$11,360,Settings!$B$8+alea_int(4,0,Settings!$B$16),Settings!$B$16)</f>
        <v>46362.333333333336</v>
      </c>
      <c r="C1803" s="3" cm="1">
        <f t="array" ref="C1803">B1803+TIME(alea_int(5,1,Settings!$B$16),0,0)</f>
        <v>46362.375</v>
      </c>
      <c r="D1803" s="3" t="str" cm="1">
        <f t="array" ref="D1803">choice(Settings!K:K,1,Settings!$B$16)</f>
        <v/>
      </c>
    </row>
    <row r="1804" spans="1:4" x14ac:dyDescent="0.25">
      <c r="A1804" s="2" t="str" cm="1">
        <f t="array" ref="A1804">choice(Professeurs!A:A,1,Settings!$B$16)</f>
        <v>Prof9</v>
      </c>
      <c r="B1804" s="3" cm="1">
        <f t="array" ref="B1804">alea_date(Settings!$B$11,360,Settings!$B$8+alea_int(4,0,Settings!$B$16),Settings!$B$16)</f>
        <v>46134.416666666664</v>
      </c>
      <c r="C1804" s="3" cm="1">
        <f t="array" ref="C1804">B1804+TIME(alea_int(5,1,Settings!$B$16),0,0)</f>
        <v>46134.458333333328</v>
      </c>
      <c r="D1804" s="3" t="str" cm="1">
        <f t="array" ref="D1804">choice(Settings!K:K,1,Settings!$B$16)</f>
        <v/>
      </c>
    </row>
    <row r="1805" spans="1:4" x14ac:dyDescent="0.25">
      <c r="A1805" s="2" t="str" cm="1">
        <f t="array" ref="A1805">choice(Professeurs!A:A,1,Settings!$B$16)</f>
        <v>Prof19</v>
      </c>
      <c r="B1805" s="3" cm="1">
        <f t="array" ref="B1805">alea_date(Settings!$B$11,360,Settings!$B$8+alea_int(4,0,Settings!$B$16),Settings!$B$16)</f>
        <v>46255.458333333336</v>
      </c>
      <c r="C1805" s="3" cm="1">
        <f t="array" ref="C1805">B1805+TIME(alea_int(5,1,Settings!$B$16),0,0)</f>
        <v>46255.625</v>
      </c>
      <c r="D1805" s="3" t="str" cm="1">
        <f t="array" ref="D1805">choice(Settings!K:K,1,Settings!$B$16)</f>
        <v/>
      </c>
    </row>
    <row r="1806" spans="1:4" x14ac:dyDescent="0.25">
      <c r="A1806" s="2" t="str" cm="1">
        <f t="array" ref="A1806">choice(Professeurs!A:A,1,Settings!$B$16)</f>
        <v>Prof16</v>
      </c>
      <c r="B1806" s="3" cm="1">
        <f t="array" ref="B1806">alea_date(Settings!$B$11,360,Settings!$B$8+alea_int(4,0,Settings!$B$16),Settings!$B$16)</f>
        <v>46210.416666666664</v>
      </c>
      <c r="C1806" s="3" cm="1">
        <f t="array" ref="C1806">B1806+TIME(alea_int(5,1,Settings!$B$16),0,0)</f>
        <v>46210.583333333328</v>
      </c>
      <c r="D1806" s="3" t="str" cm="1">
        <f t="array" ref="D1806">choice(Settings!K:K,1,Settings!$B$16)</f>
        <v>mercredi pm</v>
      </c>
    </row>
    <row r="1807" spans="1:4" x14ac:dyDescent="0.25">
      <c r="A1807" s="2" t="str" cm="1">
        <f t="array" ref="A1807">choice(Professeurs!A:A,1,Settings!$B$16)</f>
        <v>Prof51</v>
      </c>
      <c r="B1807" s="3" cm="1">
        <f t="array" ref="B1807">alea_date(Settings!$B$11,360,Settings!$B$8+alea_int(4,0,Settings!$B$16),Settings!$B$16)</f>
        <v>46080.416666666664</v>
      </c>
      <c r="C1807" s="3" cm="1">
        <f t="array" ref="C1807">B1807+TIME(alea_int(5,1,Settings!$B$16),0,0)</f>
        <v>46080.625</v>
      </c>
      <c r="D1807" s="3" t="str" cm="1">
        <f t="array" ref="D1807">choice(Settings!K:K,1,Settings!$B$16)</f>
        <v>vendredi am</v>
      </c>
    </row>
    <row r="1808" spans="1:4" x14ac:dyDescent="0.25">
      <c r="A1808" s="2" t="str" cm="1">
        <f t="array" ref="A1808">choice(Professeurs!A:A,1,Settings!$B$16)</f>
        <v>Prof52</v>
      </c>
      <c r="B1808" s="3" cm="1">
        <f t="array" ref="B1808">alea_date(Settings!$B$11,360,Settings!$B$8+alea_int(4,0,Settings!$B$16),Settings!$B$16)</f>
        <v>46075.375</v>
      </c>
      <c r="C1808" s="3" cm="1">
        <f t="array" ref="C1808">B1808+TIME(alea_int(5,1,Settings!$B$16),0,0)</f>
        <v>46075.458333333336</v>
      </c>
      <c r="D1808" s="3" t="str" cm="1">
        <f t="array" ref="D1808">choice(Settings!K:K,1,Settings!$B$16)</f>
        <v/>
      </c>
    </row>
    <row r="1809" spans="1:4" x14ac:dyDescent="0.25">
      <c r="A1809" s="2" t="str" cm="1">
        <f t="array" ref="A1809">choice(Professeurs!A:A,1,Settings!$B$16)</f>
        <v>Prof45</v>
      </c>
      <c r="B1809" s="3" cm="1">
        <f t="array" ref="B1809">alea_date(Settings!$B$11,360,Settings!$B$8+alea_int(4,0,Settings!$B$16),Settings!$B$16)</f>
        <v>46359.416666666664</v>
      </c>
      <c r="C1809" s="3" cm="1">
        <f t="array" ref="C1809">B1809+TIME(alea_int(5,1,Settings!$B$16),0,0)</f>
        <v>46359.5</v>
      </c>
      <c r="D1809" s="3" t="str" cm="1">
        <f t="array" ref="D1809">choice(Settings!K:K,1,Settings!$B$16)</f>
        <v/>
      </c>
    </row>
    <row r="1810" spans="1:4" x14ac:dyDescent="0.25">
      <c r="A1810" s="2" t="str" cm="1">
        <f t="array" ref="A1810">choice(Professeurs!A:A,1,Settings!$B$16)</f>
        <v>Prof43</v>
      </c>
      <c r="B1810" s="3" cm="1">
        <f t="array" ref="B1810">alea_date(Settings!$B$11,360,Settings!$B$8+alea_int(4,0,Settings!$B$16),Settings!$B$16)</f>
        <v>46169.333333333336</v>
      </c>
      <c r="C1810" s="3" cm="1">
        <f t="array" ref="C1810">B1810+TIME(alea_int(5,1,Settings!$B$16),0,0)</f>
        <v>46169.541666666672</v>
      </c>
      <c r="D1810" s="3" t="str" cm="1">
        <f t="array" ref="D1810">choice(Settings!K:K,1,Settings!$B$16)</f>
        <v>vendredi pm</v>
      </c>
    </row>
    <row r="1811" spans="1:4" x14ac:dyDescent="0.25">
      <c r="A1811" s="2" t="str" cm="1">
        <f t="array" ref="A1811">choice(Professeurs!A:A,1,Settings!$B$16)</f>
        <v>Prof52</v>
      </c>
      <c r="B1811" s="3" cm="1">
        <f t="array" ref="B1811">alea_date(Settings!$B$11,360,Settings!$B$8+alea_int(4,0,Settings!$B$16),Settings!$B$16)</f>
        <v>46207.375</v>
      </c>
      <c r="C1811" s="3" cm="1">
        <f t="array" ref="C1811">B1811+TIME(alea_int(5,1,Settings!$B$16),0,0)</f>
        <v>46207.5</v>
      </c>
      <c r="D1811" s="3" t="str" cm="1">
        <f t="array" ref="D1811">choice(Settings!K:K,1,Settings!$B$16)</f>
        <v>vendredi am</v>
      </c>
    </row>
    <row r="1812" spans="1:4" x14ac:dyDescent="0.25">
      <c r="A1812" s="2" t="str" cm="1">
        <f t="array" ref="A1812">choice(Professeurs!A:A,1,Settings!$B$16)</f>
        <v>Prof13</v>
      </c>
      <c r="B1812" s="3" cm="1">
        <f t="array" ref="B1812">alea_date(Settings!$B$11,360,Settings!$B$8+alea_int(4,0,Settings!$B$16),Settings!$B$16)</f>
        <v>46228.458333333336</v>
      </c>
      <c r="C1812" s="3" cm="1">
        <f t="array" ref="C1812">B1812+TIME(alea_int(5,1,Settings!$B$16),0,0)</f>
        <v>46228.625</v>
      </c>
      <c r="D1812" s="3" t="str" cm="1">
        <f t="array" ref="D1812">choice(Settings!K:K,1,Settings!$B$16)</f>
        <v/>
      </c>
    </row>
    <row r="1813" spans="1:4" x14ac:dyDescent="0.25">
      <c r="A1813" s="2" t="str" cm="1">
        <f t="array" ref="A1813">choice(Professeurs!A:A,1,Settings!$B$16)</f>
        <v>Prof16</v>
      </c>
      <c r="B1813" s="3" cm="1">
        <f t="array" ref="B1813">alea_date(Settings!$B$11,360,Settings!$B$8+alea_int(4,0,Settings!$B$16),Settings!$B$16)</f>
        <v>46309.375</v>
      </c>
      <c r="C1813" s="3" cm="1">
        <f t="array" ref="C1813">B1813+TIME(alea_int(5,1,Settings!$B$16),0,0)</f>
        <v>46309.541666666664</v>
      </c>
      <c r="D1813" s="3" t="str" cm="1">
        <f t="array" ref="D1813">choice(Settings!K:K,1,Settings!$B$16)</f>
        <v/>
      </c>
    </row>
    <row r="1814" spans="1:4" x14ac:dyDescent="0.25">
      <c r="A1814" s="2" t="str" cm="1">
        <f t="array" ref="A1814">choice(Professeurs!A:A,1,Settings!$B$16)</f>
        <v>Prof50</v>
      </c>
      <c r="B1814" s="3" cm="1">
        <f t="array" ref="B1814">alea_date(Settings!$B$11,360,Settings!$B$8+alea_int(4,0,Settings!$B$16),Settings!$B$16)</f>
        <v>46358.416666666664</v>
      </c>
      <c r="C1814" s="3" cm="1">
        <f t="array" ref="C1814">B1814+TIME(alea_int(5,1,Settings!$B$16),0,0)</f>
        <v>46358.625</v>
      </c>
      <c r="D1814" s="3" t="str" cm="1">
        <f t="array" ref="D1814">choice(Settings!K:K,1,Settings!$B$16)</f>
        <v>vendredi am</v>
      </c>
    </row>
    <row r="1815" spans="1:4" x14ac:dyDescent="0.25">
      <c r="A1815" s="2" t="str" cm="1">
        <f t="array" ref="A1815">choice(Professeurs!A:A,1,Settings!$B$16)</f>
        <v>Prof20</v>
      </c>
      <c r="B1815" s="3" cm="1">
        <f t="array" ref="B1815">alea_date(Settings!$B$11,360,Settings!$B$8+alea_int(4,0,Settings!$B$16),Settings!$B$16)</f>
        <v>46142.333333333336</v>
      </c>
      <c r="C1815" s="3" cm="1">
        <f t="array" ref="C1815">B1815+TIME(alea_int(5,1,Settings!$B$16),0,0)</f>
        <v>46142.416666666672</v>
      </c>
      <c r="D1815" s="3" t="str" cm="1">
        <f t="array" ref="D1815">choice(Settings!K:K,1,Settings!$B$16)</f>
        <v>lundi am</v>
      </c>
    </row>
    <row r="1816" spans="1:4" x14ac:dyDescent="0.25">
      <c r="A1816" s="2" t="str" cm="1">
        <f t="array" ref="A1816">choice(Professeurs!A:A,1,Settings!$B$16)</f>
        <v>Prof37</v>
      </c>
      <c r="B1816" s="3" cm="1">
        <f t="array" ref="B1816">alea_date(Settings!$B$11,360,Settings!$B$8+alea_int(4,0,Settings!$B$16),Settings!$B$16)</f>
        <v>46201.416666666664</v>
      </c>
      <c r="C1816" s="3" cm="1">
        <f t="array" ref="C1816">B1816+TIME(alea_int(5,1,Settings!$B$16),0,0)</f>
        <v>46201.5</v>
      </c>
      <c r="D1816" s="3" t="str" cm="1">
        <f t="array" ref="D1816">choice(Settings!K:K,1,Settings!$B$16)</f>
        <v/>
      </c>
    </row>
    <row r="1817" spans="1:4" x14ac:dyDescent="0.25">
      <c r="A1817" s="2" t="str" cm="1">
        <f t="array" ref="A1817">choice(Professeurs!A:A,1,Settings!$B$16)</f>
        <v>Prof18</v>
      </c>
      <c r="B1817" s="3" cm="1">
        <f t="array" ref="B1817">alea_date(Settings!$B$11,360,Settings!$B$8+alea_int(4,0,Settings!$B$16),Settings!$B$16)</f>
        <v>46360.458333333336</v>
      </c>
      <c r="C1817" s="3" cm="1">
        <f t="array" ref="C1817">B1817+TIME(alea_int(5,1,Settings!$B$16),0,0)</f>
        <v>46360.583333333336</v>
      </c>
      <c r="D1817" s="3" t="str" cm="1">
        <f t="array" ref="D1817">choice(Settings!K:K,1,Settings!$B$16)</f>
        <v/>
      </c>
    </row>
    <row r="1818" spans="1:4" x14ac:dyDescent="0.25">
      <c r="A1818" s="2" t="str" cm="1">
        <f t="array" ref="A1818">choice(Professeurs!A:A,1,Settings!$B$16)</f>
        <v>Prof36</v>
      </c>
      <c r="B1818" s="3" cm="1">
        <f t="array" ref="B1818">alea_date(Settings!$B$11,360,Settings!$B$8+alea_int(4,0,Settings!$B$16),Settings!$B$16)</f>
        <v>46260.333333333336</v>
      </c>
      <c r="C1818" s="3" cm="1">
        <f t="array" ref="C1818">B1818+TIME(alea_int(5,1,Settings!$B$16),0,0)</f>
        <v>46260.541666666672</v>
      </c>
      <c r="D1818" s="3" t="str" cm="1">
        <f t="array" ref="D1818">choice(Settings!K:K,1,Settings!$B$16)</f>
        <v/>
      </c>
    </row>
    <row r="1819" spans="1:4" x14ac:dyDescent="0.25">
      <c r="A1819" s="2" t="str" cm="1">
        <f t="array" ref="A1819">choice(Professeurs!A:A,1,Settings!$B$16)</f>
        <v>Prof23</v>
      </c>
      <c r="B1819" s="3" cm="1">
        <f t="array" ref="B1819">alea_date(Settings!$B$11,360,Settings!$B$8+alea_int(4,0,Settings!$B$16),Settings!$B$16)</f>
        <v>46041.458333333336</v>
      </c>
      <c r="C1819" s="3" cm="1">
        <f t="array" ref="C1819">B1819+TIME(alea_int(5,1,Settings!$B$16),0,0)</f>
        <v>46041.5</v>
      </c>
      <c r="D1819" s="3" t="str" cm="1">
        <f t="array" ref="D1819">choice(Settings!K:K,1,Settings!$B$16)</f>
        <v/>
      </c>
    </row>
    <row r="1820" spans="1:4" x14ac:dyDescent="0.25">
      <c r="A1820" s="2" t="str" cm="1">
        <f t="array" ref="A1820">choice(Professeurs!A:A,1,Settings!$B$16)</f>
        <v>Prof37</v>
      </c>
      <c r="B1820" s="3" cm="1">
        <f t="array" ref="B1820">alea_date(Settings!$B$11,360,Settings!$B$8+alea_int(4,0,Settings!$B$16),Settings!$B$16)</f>
        <v>46171.458333333336</v>
      </c>
      <c r="C1820" s="3" cm="1">
        <f t="array" ref="C1820">B1820+TIME(alea_int(5,1,Settings!$B$16),0,0)</f>
        <v>46171.5</v>
      </c>
      <c r="D1820" s="3" t="str" cm="1">
        <f t="array" ref="D1820">choice(Settings!K:K,1,Settings!$B$16)</f>
        <v/>
      </c>
    </row>
    <row r="1821" spans="1:4" x14ac:dyDescent="0.25">
      <c r="A1821" s="2" t="str" cm="1">
        <f t="array" ref="A1821">choice(Professeurs!A:A,1,Settings!$B$16)</f>
        <v>Prof26</v>
      </c>
      <c r="B1821" s="3" cm="1">
        <f t="array" ref="B1821">alea_date(Settings!$B$11,360,Settings!$B$8+alea_int(4,0,Settings!$B$16),Settings!$B$16)</f>
        <v>46104.333333333336</v>
      </c>
      <c r="C1821" s="3" cm="1">
        <f t="array" ref="C1821">B1821+TIME(alea_int(5,1,Settings!$B$16),0,0)</f>
        <v>46104.375</v>
      </c>
      <c r="D1821" s="3" t="str" cm="1">
        <f t="array" ref="D1821">choice(Settings!K:K,1,Settings!$B$16)</f>
        <v>mardi am</v>
      </c>
    </row>
    <row r="1822" spans="1:4" x14ac:dyDescent="0.25">
      <c r="A1822" s="2" t="str" cm="1">
        <f t="array" ref="A1822">choice(Professeurs!A:A,1,Settings!$B$16)</f>
        <v>Prof49</v>
      </c>
      <c r="B1822" s="3" cm="1">
        <f t="array" ref="B1822">alea_date(Settings!$B$11,360,Settings!$B$8+alea_int(4,0,Settings!$B$16),Settings!$B$16)</f>
        <v>46161.416666666664</v>
      </c>
      <c r="C1822" s="3" cm="1">
        <f t="array" ref="C1822">B1822+TIME(alea_int(5,1,Settings!$B$16),0,0)</f>
        <v>46161.583333333328</v>
      </c>
      <c r="D1822" s="3" t="str" cm="1">
        <f t="array" ref="D1822">choice(Settings!K:K,1,Settings!$B$16)</f>
        <v/>
      </c>
    </row>
    <row r="1823" spans="1:4" x14ac:dyDescent="0.25">
      <c r="A1823" s="2" t="str" cm="1">
        <f t="array" ref="A1823">choice(Professeurs!A:A,1,Settings!$B$16)</f>
        <v>Prof46</v>
      </c>
      <c r="B1823" s="3" cm="1">
        <f t="array" ref="B1823">alea_date(Settings!$B$11,360,Settings!$B$8+alea_int(4,0,Settings!$B$16),Settings!$B$16)</f>
        <v>46095.333333333336</v>
      </c>
      <c r="C1823" s="3" cm="1">
        <f t="array" ref="C1823">B1823+TIME(alea_int(5,1,Settings!$B$16),0,0)</f>
        <v>46095.541666666672</v>
      </c>
      <c r="D1823" s="3" t="str" cm="1">
        <f t="array" ref="D1823">choice(Settings!K:K,1,Settings!$B$16)</f>
        <v/>
      </c>
    </row>
    <row r="1824" spans="1:4" x14ac:dyDescent="0.25">
      <c r="A1824" s="2" t="str" cm="1">
        <f t="array" ref="A1824">choice(Professeurs!A:A,1,Settings!$B$16)</f>
        <v>Prof39</v>
      </c>
      <c r="B1824" s="3" cm="1">
        <f t="array" ref="B1824">alea_date(Settings!$B$11,360,Settings!$B$8+alea_int(4,0,Settings!$B$16),Settings!$B$16)</f>
        <v>46282.333333333336</v>
      </c>
      <c r="C1824" s="3" cm="1">
        <f t="array" ref="C1824">B1824+TIME(alea_int(5,1,Settings!$B$16),0,0)</f>
        <v>46282.5</v>
      </c>
      <c r="D1824" s="3" t="str" cm="1">
        <f t="array" ref="D1824">choice(Settings!K:K,1,Settings!$B$16)</f>
        <v>mardi am</v>
      </c>
    </row>
    <row r="1825" spans="1:4" x14ac:dyDescent="0.25">
      <c r="A1825" s="2" t="str" cm="1">
        <f t="array" ref="A1825">choice(Professeurs!A:A,1,Settings!$B$16)</f>
        <v>Prof22</v>
      </c>
      <c r="B1825" s="3" cm="1">
        <f t="array" ref="B1825">alea_date(Settings!$B$11,360,Settings!$B$8+alea_int(4,0,Settings!$B$16),Settings!$B$16)</f>
        <v>46027.458333333336</v>
      </c>
      <c r="C1825" s="3" cm="1">
        <f t="array" ref="C1825">B1825+TIME(alea_int(5,1,Settings!$B$16),0,0)</f>
        <v>46027.5</v>
      </c>
      <c r="D1825" s="3" t="str" cm="1">
        <f t="array" ref="D1825">choice(Settings!K:K,1,Settings!$B$16)</f>
        <v/>
      </c>
    </row>
    <row r="1826" spans="1:4" x14ac:dyDescent="0.25">
      <c r="A1826" s="2" t="str" cm="1">
        <f t="array" ref="A1826">choice(Professeurs!A:A,1,Settings!$B$16)</f>
        <v>Prof49</v>
      </c>
      <c r="B1826" s="3" cm="1">
        <f t="array" ref="B1826">alea_date(Settings!$B$11,360,Settings!$B$8+alea_int(4,0,Settings!$B$16),Settings!$B$16)</f>
        <v>46243.458333333336</v>
      </c>
      <c r="C1826" s="3" cm="1">
        <f t="array" ref="C1826">B1826+TIME(alea_int(5,1,Settings!$B$16),0,0)</f>
        <v>46243.5</v>
      </c>
      <c r="D1826" s="3" t="str" cm="1">
        <f t="array" ref="D1826">choice(Settings!K:K,1,Settings!$B$16)</f>
        <v>mercredi pm</v>
      </c>
    </row>
    <row r="1827" spans="1:4" x14ac:dyDescent="0.25">
      <c r="A1827" s="2" t="str" cm="1">
        <f t="array" ref="A1827">choice(Professeurs!A:A,1,Settings!$B$16)</f>
        <v>Prof49</v>
      </c>
      <c r="B1827" s="3" cm="1">
        <f t="array" ref="B1827">alea_date(Settings!$B$11,360,Settings!$B$8+alea_int(4,0,Settings!$B$16),Settings!$B$16)</f>
        <v>46194.375</v>
      </c>
      <c r="C1827" s="3" cm="1">
        <f t="array" ref="C1827">B1827+TIME(alea_int(5,1,Settings!$B$16),0,0)</f>
        <v>46194.458333333336</v>
      </c>
      <c r="D1827" s="3" t="str" cm="1">
        <f t="array" ref="D1827">choice(Settings!K:K,1,Settings!$B$16)</f>
        <v/>
      </c>
    </row>
    <row r="1828" spans="1:4" x14ac:dyDescent="0.25">
      <c r="A1828" s="2" t="str" cm="1">
        <f t="array" ref="A1828">choice(Professeurs!A:A,1,Settings!$B$16)</f>
        <v>Prof49</v>
      </c>
      <c r="B1828" s="3" cm="1">
        <f t="array" ref="B1828">alea_date(Settings!$B$11,360,Settings!$B$8+alea_int(4,0,Settings!$B$16),Settings!$B$16)</f>
        <v>46032.375</v>
      </c>
      <c r="C1828" s="3" cm="1">
        <f t="array" ref="C1828">B1828+TIME(alea_int(5,1,Settings!$B$16),0,0)</f>
        <v>46032.583333333336</v>
      </c>
      <c r="D1828" s="3" t="str" cm="1">
        <f t="array" ref="D1828">choice(Settings!K:K,1,Settings!$B$16)</f>
        <v/>
      </c>
    </row>
    <row r="1829" spans="1:4" x14ac:dyDescent="0.25">
      <c r="A1829" s="2" t="str" cm="1">
        <f t="array" ref="A1829">choice(Professeurs!A:A,1,Settings!$B$16)</f>
        <v>Prof14</v>
      </c>
      <c r="B1829" s="3" cm="1">
        <f t="array" ref="B1829">alea_date(Settings!$B$11,360,Settings!$B$8+alea_int(4,0,Settings!$B$16),Settings!$B$16)</f>
        <v>46033.375</v>
      </c>
      <c r="C1829" s="3" cm="1">
        <f t="array" ref="C1829">B1829+TIME(alea_int(5,1,Settings!$B$16),0,0)</f>
        <v>46033.583333333336</v>
      </c>
      <c r="D1829" s="3" t="str" cm="1">
        <f t="array" ref="D1829">choice(Settings!K:K,1,Settings!$B$16)</f>
        <v/>
      </c>
    </row>
    <row r="1830" spans="1:4" x14ac:dyDescent="0.25">
      <c r="A1830" s="2" t="str" cm="1">
        <f t="array" ref="A1830">choice(Professeurs!A:A,1,Settings!$B$16)</f>
        <v>Prof29</v>
      </c>
      <c r="B1830" s="3" cm="1">
        <f t="array" ref="B1830">alea_date(Settings!$B$11,360,Settings!$B$8+alea_int(4,0,Settings!$B$16),Settings!$B$16)</f>
        <v>46189.333333333336</v>
      </c>
      <c r="C1830" s="3" cm="1">
        <f t="array" ref="C1830">B1830+TIME(alea_int(5,1,Settings!$B$16),0,0)</f>
        <v>46189.541666666672</v>
      </c>
      <c r="D1830" s="3" t="str" cm="1">
        <f t="array" ref="D1830">choice(Settings!K:K,1,Settings!$B$16)</f>
        <v>jeudi am</v>
      </c>
    </row>
    <row r="1831" spans="1:4" x14ac:dyDescent="0.25">
      <c r="A1831" s="2" t="str" cm="1">
        <f t="array" ref="A1831">choice(Professeurs!A:A,1,Settings!$B$16)</f>
        <v>Prof50</v>
      </c>
      <c r="B1831" s="3" cm="1">
        <f t="array" ref="B1831">alea_date(Settings!$B$11,360,Settings!$B$8+alea_int(4,0,Settings!$B$16),Settings!$B$16)</f>
        <v>46339.375</v>
      </c>
      <c r="C1831" s="3" cm="1">
        <f t="array" ref="C1831">B1831+TIME(alea_int(5,1,Settings!$B$16),0,0)</f>
        <v>46339.583333333336</v>
      </c>
      <c r="D1831" s="3" t="str" cm="1">
        <f t="array" ref="D1831">choice(Settings!K:K,1,Settings!$B$16)</f>
        <v/>
      </c>
    </row>
    <row r="1832" spans="1:4" x14ac:dyDescent="0.25">
      <c r="A1832" s="2" t="str" cm="1">
        <f t="array" ref="A1832">choice(Professeurs!A:A,1,Settings!$B$16)</f>
        <v>Prof37</v>
      </c>
      <c r="B1832" s="3" cm="1">
        <f t="array" ref="B1832">alea_date(Settings!$B$11,360,Settings!$B$8+alea_int(4,0,Settings!$B$16),Settings!$B$16)</f>
        <v>46333.458333333336</v>
      </c>
      <c r="C1832" s="3" cm="1">
        <f t="array" ref="C1832">B1832+TIME(alea_int(5,1,Settings!$B$16),0,0)</f>
        <v>46333.583333333336</v>
      </c>
      <c r="D1832" s="3" t="str" cm="1">
        <f t="array" ref="D1832">choice(Settings!K:K,1,Settings!$B$16)</f>
        <v/>
      </c>
    </row>
    <row r="1833" spans="1:4" x14ac:dyDescent="0.25">
      <c r="A1833" s="2" t="str" cm="1">
        <f t="array" ref="A1833">choice(Professeurs!A:A,1,Settings!$B$16)</f>
        <v>Prof17</v>
      </c>
      <c r="B1833" s="3" cm="1">
        <f t="array" ref="B1833">alea_date(Settings!$B$11,360,Settings!$B$8+alea_int(4,0,Settings!$B$16),Settings!$B$16)</f>
        <v>46259.333333333336</v>
      </c>
      <c r="C1833" s="3" cm="1">
        <f t="array" ref="C1833">B1833+TIME(alea_int(5,1,Settings!$B$16),0,0)</f>
        <v>46259.458333333336</v>
      </c>
      <c r="D1833" s="3" t="str" cm="1">
        <f t="array" ref="D1833">choice(Settings!K:K,1,Settings!$B$16)</f>
        <v/>
      </c>
    </row>
    <row r="1834" spans="1:4" x14ac:dyDescent="0.25">
      <c r="A1834" s="2" t="str" cm="1">
        <f t="array" ref="A1834">choice(Professeurs!A:A,1,Settings!$B$16)</f>
        <v>Prof21</v>
      </c>
      <c r="B1834" s="3" cm="1">
        <f t="array" ref="B1834">alea_date(Settings!$B$11,360,Settings!$B$8+alea_int(4,0,Settings!$B$16),Settings!$B$16)</f>
        <v>46199.375</v>
      </c>
      <c r="C1834" s="3" cm="1">
        <f t="array" ref="C1834">B1834+TIME(alea_int(5,1,Settings!$B$16),0,0)</f>
        <v>46199.458333333336</v>
      </c>
      <c r="D1834" s="3" t="str" cm="1">
        <f t="array" ref="D1834">choice(Settings!K:K,1,Settings!$B$16)</f>
        <v>vendredi pm</v>
      </c>
    </row>
    <row r="1835" spans="1:4" x14ac:dyDescent="0.25">
      <c r="A1835" s="2" t="str" cm="1">
        <f t="array" ref="A1835">choice(Professeurs!A:A,1,Settings!$B$16)</f>
        <v>Prof24</v>
      </c>
      <c r="B1835" s="3" cm="1">
        <f t="array" ref="B1835">alea_date(Settings!$B$11,360,Settings!$B$8+alea_int(4,0,Settings!$B$16),Settings!$B$16)</f>
        <v>46243.375</v>
      </c>
      <c r="C1835" s="3" cm="1">
        <f t="array" ref="C1835">B1835+TIME(alea_int(5,1,Settings!$B$16),0,0)</f>
        <v>46243.541666666664</v>
      </c>
      <c r="D1835" s="3" t="str" cm="1">
        <f t="array" ref="D1835">choice(Settings!K:K,1,Settings!$B$16)</f>
        <v/>
      </c>
    </row>
    <row r="1836" spans="1:4" x14ac:dyDescent="0.25">
      <c r="A1836" s="2" t="str" cm="1">
        <f t="array" ref="A1836">choice(Professeurs!A:A,1,Settings!$B$16)</f>
        <v>Prof44</v>
      </c>
      <c r="B1836" s="3" cm="1">
        <f t="array" ref="B1836">alea_date(Settings!$B$11,360,Settings!$B$8+alea_int(4,0,Settings!$B$16),Settings!$B$16)</f>
        <v>46312.458333333336</v>
      </c>
      <c r="C1836" s="3" cm="1">
        <f t="array" ref="C1836">B1836+TIME(alea_int(5,1,Settings!$B$16),0,0)</f>
        <v>46312.541666666672</v>
      </c>
      <c r="D1836" s="3" t="str" cm="1">
        <f t="array" ref="D1836">choice(Settings!K:K,1,Settings!$B$16)</f>
        <v/>
      </c>
    </row>
    <row r="1837" spans="1:4" x14ac:dyDescent="0.25">
      <c r="A1837" s="2" t="str" cm="1">
        <f t="array" ref="A1837">choice(Professeurs!A:A,1,Settings!$B$16)</f>
        <v>Prof8</v>
      </c>
      <c r="B1837" s="3" cm="1">
        <f t="array" ref="B1837">alea_date(Settings!$B$11,360,Settings!$B$8+alea_int(4,0,Settings!$B$16),Settings!$B$16)</f>
        <v>46321.416666666664</v>
      </c>
      <c r="C1837" s="3" cm="1">
        <f t="array" ref="C1837">B1837+TIME(alea_int(5,1,Settings!$B$16),0,0)</f>
        <v>46321.583333333328</v>
      </c>
      <c r="D1837" s="3" t="str" cm="1">
        <f t="array" ref="D1837">choice(Settings!K:K,1,Settings!$B$16)</f>
        <v/>
      </c>
    </row>
    <row r="1838" spans="1:4" x14ac:dyDescent="0.25">
      <c r="A1838" s="2" t="str" cm="1">
        <f t="array" ref="A1838">choice(Professeurs!A:A,1,Settings!$B$16)</f>
        <v>Prof1</v>
      </c>
      <c r="B1838" s="3" cm="1">
        <f t="array" ref="B1838">alea_date(Settings!$B$11,360,Settings!$B$8+alea_int(4,0,Settings!$B$16),Settings!$B$16)</f>
        <v>46142.375</v>
      </c>
      <c r="C1838" s="3" cm="1">
        <f t="array" ref="C1838">B1838+TIME(alea_int(5,1,Settings!$B$16),0,0)</f>
        <v>46142.416666666664</v>
      </c>
      <c r="D1838" s="3" t="str" cm="1">
        <f t="array" ref="D1838">choice(Settings!K:K,1,Settings!$B$16)</f>
        <v/>
      </c>
    </row>
    <row r="1839" spans="1:4" x14ac:dyDescent="0.25">
      <c r="A1839" s="2" t="str" cm="1">
        <f t="array" ref="A1839">choice(Professeurs!A:A,1,Settings!$B$16)</f>
        <v>Prof17</v>
      </c>
      <c r="B1839" s="3" cm="1">
        <f t="array" ref="B1839">alea_date(Settings!$B$11,360,Settings!$B$8+alea_int(4,0,Settings!$B$16),Settings!$B$16)</f>
        <v>46039.333333333336</v>
      </c>
      <c r="C1839" s="3" cm="1">
        <f t="array" ref="C1839">B1839+TIME(alea_int(5,1,Settings!$B$16),0,0)</f>
        <v>46039.416666666672</v>
      </c>
      <c r="D1839" s="3" t="str" cm="1">
        <f t="array" ref="D1839">choice(Settings!K:K,1,Settings!$B$16)</f>
        <v/>
      </c>
    </row>
    <row r="1840" spans="1:4" x14ac:dyDescent="0.25">
      <c r="A1840" s="2" t="str" cm="1">
        <f t="array" ref="A1840">choice(Professeurs!A:A,1,Settings!$B$16)</f>
        <v>Prof41</v>
      </c>
      <c r="B1840" s="3" cm="1">
        <f t="array" ref="B1840">alea_date(Settings!$B$11,360,Settings!$B$8+alea_int(4,0,Settings!$B$16),Settings!$B$16)</f>
        <v>46195.333333333336</v>
      </c>
      <c r="C1840" s="3" cm="1">
        <f t="array" ref="C1840">B1840+TIME(alea_int(5,1,Settings!$B$16),0,0)</f>
        <v>46195.458333333336</v>
      </c>
      <c r="D1840" s="3" t="str" cm="1">
        <f t="array" ref="D1840">choice(Settings!K:K,1,Settings!$B$16)</f>
        <v>vendredi am</v>
      </c>
    </row>
    <row r="1841" spans="1:4" x14ac:dyDescent="0.25">
      <c r="A1841" s="2" t="str" cm="1">
        <f t="array" ref="A1841">choice(Professeurs!A:A,1,Settings!$B$16)</f>
        <v>Prof51</v>
      </c>
      <c r="B1841" s="3" cm="1">
        <f t="array" ref="B1841">alea_date(Settings!$B$11,360,Settings!$B$8+alea_int(4,0,Settings!$B$16),Settings!$B$16)</f>
        <v>46237.375</v>
      </c>
      <c r="C1841" s="3" cm="1">
        <f t="array" ref="C1841">B1841+TIME(alea_int(5,1,Settings!$B$16),0,0)</f>
        <v>46237.416666666664</v>
      </c>
      <c r="D1841" s="3" t="str" cm="1">
        <f t="array" ref="D1841">choice(Settings!K:K,1,Settings!$B$16)</f>
        <v/>
      </c>
    </row>
    <row r="1842" spans="1:4" x14ac:dyDescent="0.25">
      <c r="A1842" s="2" t="str" cm="1">
        <f t="array" ref="A1842">choice(Professeurs!A:A,1,Settings!$B$16)</f>
        <v>Prof52</v>
      </c>
      <c r="B1842" s="3" cm="1">
        <f t="array" ref="B1842">alea_date(Settings!$B$11,360,Settings!$B$8+alea_int(4,0,Settings!$B$16),Settings!$B$16)</f>
        <v>46198.458333333336</v>
      </c>
      <c r="C1842" s="3" cm="1">
        <f t="array" ref="C1842">B1842+TIME(alea_int(5,1,Settings!$B$16),0,0)</f>
        <v>46198.583333333336</v>
      </c>
      <c r="D1842" s="3" t="str" cm="1">
        <f t="array" ref="D1842">choice(Settings!K:K,1,Settings!$B$16)</f>
        <v>mardi pm</v>
      </c>
    </row>
    <row r="1843" spans="1:4" x14ac:dyDescent="0.25">
      <c r="A1843" s="2" t="str" cm="1">
        <f t="array" ref="A1843">choice(Professeurs!A:A,1,Settings!$B$16)</f>
        <v>Prof50</v>
      </c>
      <c r="B1843" s="3" cm="1">
        <f t="array" ref="B1843">alea_date(Settings!$B$11,360,Settings!$B$8+alea_int(4,0,Settings!$B$16),Settings!$B$16)</f>
        <v>46025.375</v>
      </c>
      <c r="C1843" s="3" cm="1">
        <f t="array" ref="C1843">B1843+TIME(alea_int(5,1,Settings!$B$16),0,0)</f>
        <v>46025.541666666664</v>
      </c>
      <c r="D1843" s="3" t="str" cm="1">
        <f t="array" ref="D1843">choice(Settings!K:K,1,Settings!$B$16)</f>
        <v/>
      </c>
    </row>
    <row r="1844" spans="1:4" x14ac:dyDescent="0.25">
      <c r="A1844" s="2" t="str" cm="1">
        <f t="array" ref="A1844">choice(Professeurs!A:A,1,Settings!$B$16)</f>
        <v>Prof5</v>
      </c>
      <c r="B1844" s="3" cm="1">
        <f t="array" ref="B1844">alea_date(Settings!$B$11,360,Settings!$B$8+alea_int(4,0,Settings!$B$16),Settings!$B$16)</f>
        <v>46044.458333333336</v>
      </c>
      <c r="C1844" s="3" cm="1">
        <f t="array" ref="C1844">B1844+TIME(alea_int(5,1,Settings!$B$16),0,0)</f>
        <v>46044.625</v>
      </c>
      <c r="D1844" s="3" t="str" cm="1">
        <f t="array" ref="D1844">choice(Settings!K:K,1,Settings!$B$16)</f>
        <v>semaine</v>
      </c>
    </row>
    <row r="1845" spans="1:4" x14ac:dyDescent="0.25">
      <c r="A1845" s="2" t="str" cm="1">
        <f t="array" ref="A1845">choice(Professeurs!A:A,1,Settings!$B$16)</f>
        <v>Prof39</v>
      </c>
      <c r="B1845" s="3" cm="1">
        <f t="array" ref="B1845">alea_date(Settings!$B$11,360,Settings!$B$8+alea_int(4,0,Settings!$B$16),Settings!$B$16)</f>
        <v>46199.375</v>
      </c>
      <c r="C1845" s="3" cm="1">
        <f t="array" ref="C1845">B1845+TIME(alea_int(5,1,Settings!$B$16),0,0)</f>
        <v>46199.541666666664</v>
      </c>
      <c r="D1845" s="3" t="str" cm="1">
        <f t="array" ref="D1845">choice(Settings!K:K,1,Settings!$B$16)</f>
        <v/>
      </c>
    </row>
    <row r="1846" spans="1:4" x14ac:dyDescent="0.25">
      <c r="A1846" s="2" t="str" cm="1">
        <f t="array" ref="A1846">choice(Professeurs!A:A,1,Settings!$B$16)</f>
        <v>Prof6</v>
      </c>
      <c r="B1846" s="3" cm="1">
        <f t="array" ref="B1846">alea_date(Settings!$B$11,360,Settings!$B$8+alea_int(4,0,Settings!$B$16),Settings!$B$16)</f>
        <v>46070.333333333336</v>
      </c>
      <c r="C1846" s="3" cm="1">
        <f t="array" ref="C1846">B1846+TIME(alea_int(5,1,Settings!$B$16),0,0)</f>
        <v>46070.458333333336</v>
      </c>
      <c r="D1846" s="3" t="str" cm="1">
        <f t="array" ref="D1846">choice(Settings!K:K,1,Settings!$B$16)</f>
        <v/>
      </c>
    </row>
    <row r="1847" spans="1:4" x14ac:dyDescent="0.25">
      <c r="A1847" s="2" t="str" cm="1">
        <f t="array" ref="A1847">choice(Professeurs!A:A,1,Settings!$B$16)</f>
        <v>Prof8</v>
      </c>
      <c r="B1847" s="3" cm="1">
        <f t="array" ref="B1847">alea_date(Settings!$B$11,360,Settings!$B$8+alea_int(4,0,Settings!$B$16),Settings!$B$16)</f>
        <v>46155.333333333336</v>
      </c>
      <c r="C1847" s="3" cm="1">
        <f t="array" ref="C1847">B1847+TIME(alea_int(5,1,Settings!$B$16),0,0)</f>
        <v>46155.5</v>
      </c>
      <c r="D1847" s="3" t="str" cm="1">
        <f t="array" ref="D1847">choice(Settings!K:K,1,Settings!$B$16)</f>
        <v/>
      </c>
    </row>
    <row r="1848" spans="1:4" x14ac:dyDescent="0.25">
      <c r="A1848" s="2" t="str" cm="1">
        <f t="array" ref="A1848">choice(Professeurs!A:A,1,Settings!$B$16)</f>
        <v>Prof37</v>
      </c>
      <c r="B1848" s="3" cm="1">
        <f t="array" ref="B1848">alea_date(Settings!$B$11,360,Settings!$B$8+alea_int(4,0,Settings!$B$16),Settings!$B$16)</f>
        <v>46112.458333333336</v>
      </c>
      <c r="C1848" s="3" cm="1">
        <f t="array" ref="C1848">B1848+TIME(alea_int(5,1,Settings!$B$16),0,0)</f>
        <v>46112.5</v>
      </c>
      <c r="D1848" s="3" t="str" cm="1">
        <f t="array" ref="D1848">choice(Settings!K:K,1,Settings!$B$16)</f>
        <v/>
      </c>
    </row>
    <row r="1849" spans="1:4" x14ac:dyDescent="0.25">
      <c r="A1849" s="2" t="str" cm="1">
        <f t="array" ref="A1849">choice(Professeurs!A:A,1,Settings!$B$16)</f>
        <v>Prof11</v>
      </c>
      <c r="B1849" s="3" cm="1">
        <f t="array" ref="B1849">alea_date(Settings!$B$11,360,Settings!$B$8+alea_int(4,0,Settings!$B$16),Settings!$B$16)</f>
        <v>46097.375</v>
      </c>
      <c r="C1849" s="3" cm="1">
        <f t="array" ref="C1849">B1849+TIME(alea_int(5,1,Settings!$B$16),0,0)</f>
        <v>46097.541666666664</v>
      </c>
      <c r="D1849" s="3" t="str" cm="1">
        <f t="array" ref="D1849">choice(Settings!K:K,1,Settings!$B$16)</f>
        <v>mardi am</v>
      </c>
    </row>
    <row r="1850" spans="1:4" x14ac:dyDescent="0.25">
      <c r="A1850" s="2" t="str" cm="1">
        <f t="array" ref="A1850">choice(Professeurs!A:A,1,Settings!$B$16)</f>
        <v>Prof50</v>
      </c>
      <c r="B1850" s="3" cm="1">
        <f t="array" ref="B1850">alea_date(Settings!$B$11,360,Settings!$B$8+alea_int(4,0,Settings!$B$16),Settings!$B$16)</f>
        <v>46337.416666666664</v>
      </c>
      <c r="C1850" s="3" cm="1">
        <f t="array" ref="C1850">B1850+TIME(alea_int(5,1,Settings!$B$16),0,0)</f>
        <v>46337.541666666664</v>
      </c>
      <c r="D1850" s="3" t="str" cm="1">
        <f t="array" ref="D1850">choice(Settings!K:K,1,Settings!$B$16)</f>
        <v>mercredi pm</v>
      </c>
    </row>
    <row r="1851" spans="1:4" x14ac:dyDescent="0.25">
      <c r="A1851" s="2" t="str" cm="1">
        <f t="array" ref="A1851">choice(Professeurs!A:A,1,Settings!$B$16)</f>
        <v>Prof40</v>
      </c>
      <c r="B1851" s="3" cm="1">
        <f t="array" ref="B1851">alea_date(Settings!$B$11,360,Settings!$B$8+alea_int(4,0,Settings!$B$16),Settings!$B$16)</f>
        <v>46111.458333333336</v>
      </c>
      <c r="C1851" s="3" cm="1">
        <f t="array" ref="C1851">B1851+TIME(alea_int(5,1,Settings!$B$16),0,0)</f>
        <v>46111.541666666672</v>
      </c>
      <c r="D1851" s="3" t="str" cm="1">
        <f t="array" ref="D1851">choice(Settings!K:K,1,Settings!$B$16)</f>
        <v/>
      </c>
    </row>
    <row r="1852" spans="1:4" x14ac:dyDescent="0.25">
      <c r="A1852" s="2" t="str" cm="1">
        <f t="array" ref="A1852">choice(Professeurs!A:A,1,Settings!$B$16)</f>
        <v>Prof34</v>
      </c>
      <c r="B1852" s="3" cm="1">
        <f t="array" ref="B1852">alea_date(Settings!$B$11,360,Settings!$B$8+alea_int(4,0,Settings!$B$16),Settings!$B$16)</f>
        <v>46125.416666666664</v>
      </c>
      <c r="C1852" s="3" cm="1">
        <f t="array" ref="C1852">B1852+TIME(alea_int(5,1,Settings!$B$16),0,0)</f>
        <v>46125.583333333328</v>
      </c>
      <c r="D1852" s="3" t="str" cm="1">
        <f t="array" ref="D1852">choice(Settings!K:K,1,Settings!$B$16)</f>
        <v>mercredi pm</v>
      </c>
    </row>
    <row r="1853" spans="1:4" x14ac:dyDescent="0.25">
      <c r="A1853" s="2" t="str" cm="1">
        <f t="array" ref="A1853">choice(Professeurs!A:A,1,Settings!$B$16)</f>
        <v>Prof27</v>
      </c>
      <c r="B1853" s="3" cm="1">
        <f t="array" ref="B1853">alea_date(Settings!$B$11,360,Settings!$B$8+alea_int(4,0,Settings!$B$16),Settings!$B$16)</f>
        <v>46233.416666666664</v>
      </c>
      <c r="C1853" s="3" cm="1">
        <f t="array" ref="C1853">B1853+TIME(alea_int(5,1,Settings!$B$16),0,0)</f>
        <v>46233.5</v>
      </c>
      <c r="D1853" s="3" t="str" cm="1">
        <f t="array" ref="D1853">choice(Settings!K:K,1,Settings!$B$16)</f>
        <v/>
      </c>
    </row>
    <row r="1854" spans="1:4" x14ac:dyDescent="0.25">
      <c r="A1854" s="2" t="str" cm="1">
        <f t="array" ref="A1854">choice(Professeurs!A:A,1,Settings!$B$16)</f>
        <v>Prof15</v>
      </c>
      <c r="B1854" s="3" cm="1">
        <f t="array" ref="B1854">alea_date(Settings!$B$11,360,Settings!$B$8+alea_int(4,0,Settings!$B$16),Settings!$B$16)</f>
        <v>46089.375</v>
      </c>
      <c r="C1854" s="3" cm="1">
        <f t="array" ref="C1854">B1854+TIME(alea_int(5,1,Settings!$B$16),0,0)</f>
        <v>46089.416666666664</v>
      </c>
      <c r="D1854" s="3" t="str" cm="1">
        <f t="array" ref="D1854">choice(Settings!K:K,1,Settings!$B$16)</f>
        <v/>
      </c>
    </row>
    <row r="1855" spans="1:4" x14ac:dyDescent="0.25">
      <c r="A1855" s="2" t="str" cm="1">
        <f t="array" ref="A1855">choice(Professeurs!A:A,1,Settings!$B$16)</f>
        <v>Prof25</v>
      </c>
      <c r="B1855" s="3" cm="1">
        <f t="array" ref="B1855">alea_date(Settings!$B$11,360,Settings!$B$8+alea_int(4,0,Settings!$B$16),Settings!$B$16)</f>
        <v>46336.458333333336</v>
      </c>
      <c r="C1855" s="3" cm="1">
        <f t="array" ref="C1855">B1855+TIME(alea_int(5,1,Settings!$B$16),0,0)</f>
        <v>46336.5</v>
      </c>
      <c r="D1855" s="3" t="str" cm="1">
        <f t="array" ref="D1855">choice(Settings!K:K,1,Settings!$B$16)</f>
        <v/>
      </c>
    </row>
    <row r="1856" spans="1:4" x14ac:dyDescent="0.25">
      <c r="A1856" s="2" t="str" cm="1">
        <f t="array" ref="A1856">choice(Professeurs!A:A,1,Settings!$B$16)</f>
        <v>Prof8</v>
      </c>
      <c r="B1856" s="3" cm="1">
        <f t="array" ref="B1856">alea_date(Settings!$B$11,360,Settings!$B$8+alea_int(4,0,Settings!$B$16),Settings!$B$16)</f>
        <v>46071.375</v>
      </c>
      <c r="C1856" s="3" cm="1">
        <f t="array" ref="C1856">B1856+TIME(alea_int(5,1,Settings!$B$16),0,0)</f>
        <v>46071.416666666664</v>
      </c>
      <c r="D1856" s="3" t="str" cm="1">
        <f t="array" ref="D1856">choice(Settings!K:K,1,Settings!$B$16)</f>
        <v/>
      </c>
    </row>
    <row r="1857" spans="1:4" x14ac:dyDescent="0.25">
      <c r="A1857" s="2" t="str" cm="1">
        <f t="array" ref="A1857">choice(Professeurs!A:A,1,Settings!$B$16)</f>
        <v>Prof40</v>
      </c>
      <c r="B1857" s="3" cm="1">
        <f t="array" ref="B1857">alea_date(Settings!$B$11,360,Settings!$B$8+alea_int(4,0,Settings!$B$16),Settings!$B$16)</f>
        <v>46102.458333333336</v>
      </c>
      <c r="C1857" s="3" cm="1">
        <f t="array" ref="C1857">B1857+TIME(alea_int(5,1,Settings!$B$16),0,0)</f>
        <v>46102.541666666672</v>
      </c>
      <c r="D1857" s="3" t="str" cm="1">
        <f t="array" ref="D1857">choice(Settings!K:K,1,Settings!$B$16)</f>
        <v/>
      </c>
    </row>
    <row r="1858" spans="1:4" x14ac:dyDescent="0.25">
      <c r="A1858" s="2" t="str" cm="1">
        <f t="array" ref="A1858">choice(Professeurs!A:A,1,Settings!$B$16)</f>
        <v>Prof17</v>
      </c>
      <c r="B1858" s="3" cm="1">
        <f t="array" ref="B1858">alea_date(Settings!$B$11,360,Settings!$B$8+alea_int(4,0,Settings!$B$16),Settings!$B$16)</f>
        <v>46143.333333333336</v>
      </c>
      <c r="C1858" s="3" cm="1">
        <f t="array" ref="C1858">B1858+TIME(alea_int(5,1,Settings!$B$16),0,0)</f>
        <v>46143.5</v>
      </c>
      <c r="D1858" s="3" t="str" cm="1">
        <f t="array" ref="D1858">choice(Settings!K:K,1,Settings!$B$16)</f>
        <v>lundi pm</v>
      </c>
    </row>
    <row r="1859" spans="1:4" x14ac:dyDescent="0.25">
      <c r="A1859" s="2" t="str" cm="1">
        <f t="array" ref="A1859">choice(Professeurs!A:A,1,Settings!$B$16)</f>
        <v>Prof50</v>
      </c>
      <c r="B1859" s="3" cm="1">
        <f t="array" ref="B1859">alea_date(Settings!$B$11,360,Settings!$B$8+alea_int(4,0,Settings!$B$16),Settings!$B$16)</f>
        <v>46297.458333333336</v>
      </c>
      <c r="C1859" s="3" cm="1">
        <f t="array" ref="C1859">B1859+TIME(alea_int(5,1,Settings!$B$16),0,0)</f>
        <v>46297.666666666672</v>
      </c>
      <c r="D1859" s="3" t="str" cm="1">
        <f t="array" ref="D1859">choice(Settings!K:K,1,Settings!$B$16)</f>
        <v/>
      </c>
    </row>
    <row r="1860" spans="1:4" x14ac:dyDescent="0.25">
      <c r="A1860" s="2" t="str" cm="1">
        <f t="array" ref="A1860">choice(Professeurs!A:A,1,Settings!$B$16)</f>
        <v>Prof51</v>
      </c>
      <c r="B1860" s="3" cm="1">
        <f t="array" ref="B1860">alea_date(Settings!$B$11,360,Settings!$B$8+alea_int(4,0,Settings!$B$16),Settings!$B$16)</f>
        <v>46069.416666666664</v>
      </c>
      <c r="C1860" s="3" cm="1">
        <f t="array" ref="C1860">B1860+TIME(alea_int(5,1,Settings!$B$16),0,0)</f>
        <v>46069.541666666664</v>
      </c>
      <c r="D1860" s="3" t="str" cm="1">
        <f t="array" ref="D1860">choice(Settings!K:K,1,Settings!$B$16)</f>
        <v/>
      </c>
    </row>
    <row r="1861" spans="1:4" x14ac:dyDescent="0.25">
      <c r="A1861" s="2" t="str" cm="1">
        <f t="array" ref="A1861">choice(Professeurs!A:A,1,Settings!$B$16)</f>
        <v>Prof6</v>
      </c>
      <c r="B1861" s="3" cm="1">
        <f t="array" ref="B1861">alea_date(Settings!$B$11,360,Settings!$B$8+alea_int(4,0,Settings!$B$16),Settings!$B$16)</f>
        <v>46067.375</v>
      </c>
      <c r="C1861" s="3" cm="1">
        <f t="array" ref="C1861">B1861+TIME(alea_int(5,1,Settings!$B$16),0,0)</f>
        <v>46067.458333333336</v>
      </c>
      <c r="D1861" s="3" t="str" cm="1">
        <f t="array" ref="D1861">choice(Settings!K:K,1,Settings!$B$16)</f>
        <v/>
      </c>
    </row>
    <row r="1862" spans="1:4" x14ac:dyDescent="0.25">
      <c r="A1862" s="2" t="str" cm="1">
        <f t="array" ref="A1862">choice(Professeurs!A:A,1,Settings!$B$16)</f>
        <v>Prof21</v>
      </c>
      <c r="B1862" s="3" cm="1">
        <f t="array" ref="B1862">alea_date(Settings!$B$11,360,Settings!$B$8+alea_int(4,0,Settings!$B$16),Settings!$B$16)</f>
        <v>46319.416666666664</v>
      </c>
      <c r="C1862" s="3" cm="1">
        <f t="array" ref="C1862">B1862+TIME(alea_int(5,1,Settings!$B$16),0,0)</f>
        <v>46319.458333333328</v>
      </c>
      <c r="D1862" s="3" t="str" cm="1">
        <f t="array" ref="D1862">choice(Settings!K:K,1,Settings!$B$16)</f>
        <v>mardi pm</v>
      </c>
    </row>
    <row r="1863" spans="1:4" x14ac:dyDescent="0.25">
      <c r="A1863" s="2" t="str" cm="1">
        <f t="array" ref="A1863">choice(Professeurs!A:A,1,Settings!$B$16)</f>
        <v>Prof31</v>
      </c>
      <c r="B1863" s="3" cm="1">
        <f t="array" ref="B1863">alea_date(Settings!$B$11,360,Settings!$B$8+alea_int(4,0,Settings!$B$16),Settings!$B$16)</f>
        <v>46346.333333333336</v>
      </c>
      <c r="C1863" s="3" cm="1">
        <f t="array" ref="C1863">B1863+TIME(alea_int(5,1,Settings!$B$16),0,0)</f>
        <v>46346.541666666672</v>
      </c>
      <c r="D1863" s="3" t="str" cm="1">
        <f t="array" ref="D1863">choice(Settings!K:K,1,Settings!$B$16)</f>
        <v>vendredi pm</v>
      </c>
    </row>
    <row r="1864" spans="1:4" x14ac:dyDescent="0.25">
      <c r="A1864" s="2" t="str" cm="1">
        <f t="array" ref="A1864">choice(Professeurs!A:A,1,Settings!$B$16)</f>
        <v>Prof20</v>
      </c>
      <c r="B1864" s="3" cm="1">
        <f t="array" ref="B1864">alea_date(Settings!$B$11,360,Settings!$B$8+alea_int(4,0,Settings!$B$16),Settings!$B$16)</f>
        <v>46146.333333333336</v>
      </c>
      <c r="C1864" s="3" cm="1">
        <f t="array" ref="C1864">B1864+TIME(alea_int(5,1,Settings!$B$16),0,0)</f>
        <v>46146.458333333336</v>
      </c>
      <c r="D1864" s="3" t="str" cm="1">
        <f t="array" ref="D1864">choice(Settings!K:K,1,Settings!$B$16)</f>
        <v/>
      </c>
    </row>
    <row r="1865" spans="1:4" x14ac:dyDescent="0.25">
      <c r="A1865" s="2" t="str" cm="1">
        <f t="array" ref="A1865">choice(Professeurs!A:A,1,Settings!$B$16)</f>
        <v>Prof26</v>
      </c>
      <c r="B1865" s="3" cm="1">
        <f t="array" ref="B1865">alea_date(Settings!$B$11,360,Settings!$B$8+alea_int(4,0,Settings!$B$16),Settings!$B$16)</f>
        <v>46339.416666666664</v>
      </c>
      <c r="C1865" s="3" cm="1">
        <f t="array" ref="C1865">B1865+TIME(alea_int(5,1,Settings!$B$16),0,0)</f>
        <v>46339.458333333328</v>
      </c>
      <c r="D1865" s="3" t="str" cm="1">
        <f t="array" ref="D1865">choice(Settings!K:K,1,Settings!$B$16)</f>
        <v/>
      </c>
    </row>
    <row r="1866" spans="1:4" x14ac:dyDescent="0.25">
      <c r="A1866" s="2" t="str" cm="1">
        <f t="array" ref="A1866">choice(Professeurs!A:A,1,Settings!$B$16)</f>
        <v>Prof46</v>
      </c>
      <c r="B1866" s="3" cm="1">
        <f t="array" ref="B1866">alea_date(Settings!$B$11,360,Settings!$B$8+alea_int(4,0,Settings!$B$16),Settings!$B$16)</f>
        <v>46275.333333333336</v>
      </c>
      <c r="C1866" s="3" cm="1">
        <f t="array" ref="C1866">B1866+TIME(alea_int(5,1,Settings!$B$16),0,0)</f>
        <v>46275.416666666672</v>
      </c>
      <c r="D1866" s="3" t="str" cm="1">
        <f t="array" ref="D1866">choice(Settings!K:K,1,Settings!$B$16)</f>
        <v/>
      </c>
    </row>
    <row r="1867" spans="1:4" x14ac:dyDescent="0.25">
      <c r="A1867" s="2" t="str" cm="1">
        <f t="array" ref="A1867">choice(Professeurs!A:A,1,Settings!$B$16)</f>
        <v>Prof24</v>
      </c>
      <c r="B1867" s="3" cm="1">
        <f t="array" ref="B1867">alea_date(Settings!$B$11,360,Settings!$B$8+alea_int(4,0,Settings!$B$16),Settings!$B$16)</f>
        <v>46039.458333333336</v>
      </c>
      <c r="C1867" s="3" cm="1">
        <f t="array" ref="C1867">B1867+TIME(alea_int(5,1,Settings!$B$16),0,0)</f>
        <v>46039.5</v>
      </c>
      <c r="D1867" s="3" t="str" cm="1">
        <f t="array" ref="D1867">choice(Settings!K:K,1,Settings!$B$16)</f>
        <v/>
      </c>
    </row>
    <row r="1868" spans="1:4" x14ac:dyDescent="0.25">
      <c r="A1868" s="2" t="str" cm="1">
        <f t="array" ref="A1868">choice(Professeurs!A:A,1,Settings!$B$16)</f>
        <v>Prof39</v>
      </c>
      <c r="B1868" s="3" cm="1">
        <f t="array" ref="B1868">alea_date(Settings!$B$11,360,Settings!$B$8+alea_int(4,0,Settings!$B$16),Settings!$B$16)</f>
        <v>46037.375</v>
      </c>
      <c r="C1868" s="3" cm="1">
        <f t="array" ref="C1868">B1868+TIME(alea_int(5,1,Settings!$B$16),0,0)</f>
        <v>46037.458333333336</v>
      </c>
      <c r="D1868" s="3" t="str" cm="1">
        <f t="array" ref="D1868">choice(Settings!K:K,1,Settings!$B$16)</f>
        <v/>
      </c>
    </row>
    <row r="1869" spans="1:4" x14ac:dyDescent="0.25">
      <c r="A1869" s="2" t="str" cm="1">
        <f t="array" ref="A1869">choice(Professeurs!A:A,1,Settings!$B$16)</f>
        <v>Prof47</v>
      </c>
      <c r="B1869" s="3" cm="1">
        <f t="array" ref="B1869">alea_date(Settings!$B$11,360,Settings!$B$8+alea_int(4,0,Settings!$B$16),Settings!$B$16)</f>
        <v>46145.375</v>
      </c>
      <c r="C1869" s="3" cm="1">
        <f t="array" ref="C1869">B1869+TIME(alea_int(5,1,Settings!$B$16),0,0)</f>
        <v>46145.541666666664</v>
      </c>
      <c r="D1869" s="3" t="str" cm="1">
        <f t="array" ref="D1869">choice(Settings!K:K,1,Settings!$B$16)</f>
        <v>mardi am</v>
      </c>
    </row>
    <row r="1870" spans="1:4" x14ac:dyDescent="0.25">
      <c r="A1870" s="2" t="str" cm="1">
        <f t="array" ref="A1870">choice(Professeurs!A:A,1,Settings!$B$16)</f>
        <v>Prof24</v>
      </c>
      <c r="B1870" s="3" cm="1">
        <f t="array" ref="B1870">alea_date(Settings!$B$11,360,Settings!$B$8+alea_int(4,0,Settings!$B$16),Settings!$B$16)</f>
        <v>46120.333333333336</v>
      </c>
      <c r="C1870" s="3" cm="1">
        <f t="array" ref="C1870">B1870+TIME(alea_int(5,1,Settings!$B$16),0,0)</f>
        <v>46120.458333333336</v>
      </c>
      <c r="D1870" s="3" t="str" cm="1">
        <f t="array" ref="D1870">choice(Settings!K:K,1,Settings!$B$16)</f>
        <v>jeudi am</v>
      </c>
    </row>
    <row r="1871" spans="1:4" x14ac:dyDescent="0.25">
      <c r="A1871" s="2" t="str" cm="1">
        <f t="array" ref="A1871">choice(Professeurs!A:A,1,Settings!$B$16)</f>
        <v>Prof23</v>
      </c>
      <c r="B1871" s="3" cm="1">
        <f t="array" ref="B1871">alea_date(Settings!$B$11,360,Settings!$B$8+alea_int(4,0,Settings!$B$16),Settings!$B$16)</f>
        <v>46125.458333333336</v>
      </c>
      <c r="C1871" s="3" cm="1">
        <f t="array" ref="C1871">B1871+TIME(alea_int(5,1,Settings!$B$16),0,0)</f>
        <v>46125.583333333336</v>
      </c>
      <c r="D1871" s="3" t="str" cm="1">
        <f t="array" ref="D1871">choice(Settings!K:K,1,Settings!$B$16)</f>
        <v/>
      </c>
    </row>
    <row r="1872" spans="1:4" x14ac:dyDescent="0.25">
      <c r="A1872" s="2" t="str" cm="1">
        <f t="array" ref="A1872">choice(Professeurs!A:A,1,Settings!$B$16)</f>
        <v>Prof55</v>
      </c>
      <c r="B1872" s="3" cm="1">
        <f t="array" ref="B1872">alea_date(Settings!$B$11,360,Settings!$B$8+alea_int(4,0,Settings!$B$16),Settings!$B$16)</f>
        <v>46149.458333333336</v>
      </c>
      <c r="C1872" s="3" cm="1">
        <f t="array" ref="C1872">B1872+TIME(alea_int(5,1,Settings!$B$16),0,0)</f>
        <v>46149.541666666672</v>
      </c>
      <c r="D1872" s="3" t="str" cm="1">
        <f t="array" ref="D1872">choice(Settings!K:K,1,Settings!$B$16)</f>
        <v>mercredi ap</v>
      </c>
    </row>
    <row r="1873" spans="1:4" x14ac:dyDescent="0.25">
      <c r="A1873" s="2" t="str" cm="1">
        <f t="array" ref="A1873">choice(Professeurs!A:A,1,Settings!$B$16)</f>
        <v>Prof17</v>
      </c>
      <c r="B1873" s="3" cm="1">
        <f t="array" ref="B1873">alea_date(Settings!$B$11,360,Settings!$B$8+alea_int(4,0,Settings!$B$16),Settings!$B$16)</f>
        <v>46244.416666666664</v>
      </c>
      <c r="C1873" s="3" cm="1">
        <f t="array" ref="C1873">B1873+TIME(alea_int(5,1,Settings!$B$16),0,0)</f>
        <v>46244.583333333328</v>
      </c>
      <c r="D1873" s="3" t="str" cm="1">
        <f t="array" ref="D1873">choice(Settings!K:K,1,Settings!$B$16)</f>
        <v/>
      </c>
    </row>
    <row r="1874" spans="1:4" x14ac:dyDescent="0.25">
      <c r="A1874" s="2" t="str" cm="1">
        <f t="array" ref="A1874">choice(Professeurs!A:A,1,Settings!$B$16)</f>
        <v>Prof23</v>
      </c>
      <c r="B1874" s="3" cm="1">
        <f t="array" ref="B1874">alea_date(Settings!$B$11,360,Settings!$B$8+alea_int(4,0,Settings!$B$16),Settings!$B$16)</f>
        <v>46158.416666666664</v>
      </c>
      <c r="C1874" s="3" cm="1">
        <f t="array" ref="C1874">B1874+TIME(alea_int(5,1,Settings!$B$16),0,0)</f>
        <v>46158.583333333328</v>
      </c>
      <c r="D1874" s="3" t="str" cm="1">
        <f t="array" ref="D1874">choice(Settings!K:K,1,Settings!$B$16)</f>
        <v/>
      </c>
    </row>
    <row r="1875" spans="1:4" x14ac:dyDescent="0.25">
      <c r="A1875" s="2" t="str" cm="1">
        <f t="array" ref="A1875">choice(Professeurs!A:A,1,Settings!$B$16)</f>
        <v>Prof37</v>
      </c>
      <c r="B1875" s="3" cm="1">
        <f t="array" ref="B1875">alea_date(Settings!$B$11,360,Settings!$B$8+alea_int(4,0,Settings!$B$16),Settings!$B$16)</f>
        <v>46151.333333333336</v>
      </c>
      <c r="C1875" s="3" cm="1">
        <f t="array" ref="C1875">B1875+TIME(alea_int(5,1,Settings!$B$16),0,0)</f>
        <v>46151.5</v>
      </c>
      <c r="D1875" s="3" t="str" cm="1">
        <f t="array" ref="D1875">choice(Settings!K:K,1,Settings!$B$16)</f>
        <v>jeudi pm</v>
      </c>
    </row>
    <row r="1876" spans="1:4" x14ac:dyDescent="0.25">
      <c r="A1876" s="2" t="str" cm="1">
        <f t="array" ref="A1876">choice(Professeurs!A:A,1,Settings!$B$16)</f>
        <v>Prof48</v>
      </c>
      <c r="B1876" s="3" cm="1">
        <f t="array" ref="B1876">alea_date(Settings!$B$11,360,Settings!$B$8+alea_int(4,0,Settings!$B$16),Settings!$B$16)</f>
        <v>46048.458333333336</v>
      </c>
      <c r="C1876" s="3" cm="1">
        <f t="array" ref="C1876">B1876+TIME(alea_int(5,1,Settings!$B$16),0,0)</f>
        <v>46048.5</v>
      </c>
      <c r="D1876" s="3" t="str" cm="1">
        <f t="array" ref="D1876">choice(Settings!K:K,1,Settings!$B$16)</f>
        <v/>
      </c>
    </row>
    <row r="1877" spans="1:4" x14ac:dyDescent="0.25">
      <c r="A1877" s="2" t="str" cm="1">
        <f t="array" ref="A1877">choice(Professeurs!A:A,1,Settings!$B$16)</f>
        <v>Prof11</v>
      </c>
      <c r="B1877" s="3" cm="1">
        <f t="array" ref="B1877">alea_date(Settings!$B$11,360,Settings!$B$8+alea_int(4,0,Settings!$B$16),Settings!$B$16)</f>
        <v>46040.375</v>
      </c>
      <c r="C1877" s="3" cm="1">
        <f t="array" ref="C1877">B1877+TIME(alea_int(5,1,Settings!$B$16),0,0)</f>
        <v>46040.5</v>
      </c>
      <c r="D1877" s="3" t="str" cm="1">
        <f t="array" ref="D1877">choice(Settings!K:K,1,Settings!$B$16)</f>
        <v>jeudi am</v>
      </c>
    </row>
    <row r="1878" spans="1:4" x14ac:dyDescent="0.25">
      <c r="A1878" s="2" t="str" cm="1">
        <f t="array" ref="A1878">choice(Professeurs!A:A,1,Settings!$B$16)</f>
        <v>Prof12</v>
      </c>
      <c r="B1878" s="3" cm="1">
        <f t="array" ref="B1878">alea_date(Settings!$B$11,360,Settings!$B$8+alea_int(4,0,Settings!$B$16),Settings!$B$16)</f>
        <v>46317.416666666664</v>
      </c>
      <c r="C1878" s="3" cm="1">
        <f t="array" ref="C1878">B1878+TIME(alea_int(5,1,Settings!$B$16),0,0)</f>
        <v>46317.625</v>
      </c>
      <c r="D1878" s="3" t="str" cm="1">
        <f t="array" ref="D1878">choice(Settings!K:K,1,Settings!$B$16)</f>
        <v/>
      </c>
    </row>
    <row r="1879" spans="1:4" x14ac:dyDescent="0.25">
      <c r="A1879" s="2" t="str" cm="1">
        <f t="array" ref="A1879">choice(Professeurs!A:A,1,Settings!$B$16)</f>
        <v>Prof47</v>
      </c>
      <c r="B1879" s="3" cm="1">
        <f t="array" ref="B1879">alea_date(Settings!$B$11,360,Settings!$B$8+alea_int(4,0,Settings!$B$16),Settings!$B$16)</f>
        <v>46192.333333333336</v>
      </c>
      <c r="C1879" s="3" cm="1">
        <f t="array" ref="C1879">B1879+TIME(alea_int(5,1,Settings!$B$16),0,0)</f>
        <v>46192.416666666672</v>
      </c>
      <c r="D1879" s="3" t="str" cm="1">
        <f t="array" ref="D1879">choice(Settings!K:K,1,Settings!$B$16)</f>
        <v/>
      </c>
    </row>
    <row r="1880" spans="1:4" x14ac:dyDescent="0.25">
      <c r="A1880" s="2" t="str" cm="1">
        <f t="array" ref="A1880">choice(Professeurs!A:A,1,Settings!$B$16)</f>
        <v>Prof11</v>
      </c>
      <c r="B1880" s="3" cm="1">
        <f t="array" ref="B1880">alea_date(Settings!$B$11,360,Settings!$B$8+alea_int(4,0,Settings!$B$16),Settings!$B$16)</f>
        <v>46247.458333333336</v>
      </c>
      <c r="C1880" s="3" cm="1">
        <f t="array" ref="C1880">B1880+TIME(alea_int(5,1,Settings!$B$16),0,0)</f>
        <v>46247.625</v>
      </c>
      <c r="D1880" s="3" t="str" cm="1">
        <f t="array" ref="D1880">choice(Settings!K:K,1,Settings!$B$16)</f>
        <v/>
      </c>
    </row>
    <row r="1881" spans="1:4" x14ac:dyDescent="0.25">
      <c r="A1881" s="2" t="str" cm="1">
        <f t="array" ref="A1881">choice(Professeurs!A:A,1,Settings!$B$16)</f>
        <v>Prof20</v>
      </c>
      <c r="B1881" s="3" cm="1">
        <f t="array" ref="B1881">alea_date(Settings!$B$11,360,Settings!$B$8+alea_int(4,0,Settings!$B$16),Settings!$B$16)</f>
        <v>46217.333333333336</v>
      </c>
      <c r="C1881" s="3" cm="1">
        <f t="array" ref="C1881">B1881+TIME(alea_int(5,1,Settings!$B$16),0,0)</f>
        <v>46217.416666666672</v>
      </c>
      <c r="D1881" s="3" t="str" cm="1">
        <f t="array" ref="D1881">choice(Settings!K:K,1,Settings!$B$16)</f>
        <v/>
      </c>
    </row>
    <row r="1882" spans="1:4" x14ac:dyDescent="0.25">
      <c r="A1882" s="2" t="str" cm="1">
        <f t="array" ref="A1882">choice(Professeurs!A:A,1,Settings!$B$16)</f>
        <v>Prof30</v>
      </c>
      <c r="B1882" s="3" cm="1">
        <f t="array" ref="B1882">alea_date(Settings!$B$11,360,Settings!$B$8+alea_int(4,0,Settings!$B$16),Settings!$B$16)</f>
        <v>46251.416666666664</v>
      </c>
      <c r="C1882" s="3" cm="1">
        <f t="array" ref="C1882">B1882+TIME(alea_int(5,1,Settings!$B$16),0,0)</f>
        <v>46251.625</v>
      </c>
      <c r="D1882" s="3" t="str" cm="1">
        <f t="array" ref="D1882">choice(Settings!K:K,1,Settings!$B$16)</f>
        <v>mercredi pm</v>
      </c>
    </row>
    <row r="1883" spans="1:4" x14ac:dyDescent="0.25">
      <c r="A1883" s="2" t="str" cm="1">
        <f t="array" ref="A1883">choice(Professeurs!A:A,1,Settings!$B$16)</f>
        <v>Prof46</v>
      </c>
      <c r="B1883" s="3" cm="1">
        <f t="array" ref="B1883">alea_date(Settings!$B$11,360,Settings!$B$8+alea_int(4,0,Settings!$B$16),Settings!$B$16)</f>
        <v>46254.375</v>
      </c>
      <c r="C1883" s="3" cm="1">
        <f t="array" ref="C1883">B1883+TIME(alea_int(5,1,Settings!$B$16),0,0)</f>
        <v>46254.541666666664</v>
      </c>
      <c r="D1883" s="3" t="str" cm="1">
        <f t="array" ref="D1883">choice(Settings!K:K,1,Settings!$B$16)</f>
        <v/>
      </c>
    </row>
    <row r="1884" spans="1:4" x14ac:dyDescent="0.25">
      <c r="A1884" s="2" t="str" cm="1">
        <f t="array" ref="A1884">choice(Professeurs!A:A,1,Settings!$B$16)</f>
        <v>Prof40</v>
      </c>
      <c r="B1884" s="3" cm="1">
        <f t="array" ref="B1884">alea_date(Settings!$B$11,360,Settings!$B$8+alea_int(4,0,Settings!$B$16),Settings!$B$16)</f>
        <v>46120.333333333336</v>
      </c>
      <c r="C1884" s="3" cm="1">
        <f t="array" ref="C1884">B1884+TIME(alea_int(5,1,Settings!$B$16),0,0)</f>
        <v>46120.416666666672</v>
      </c>
      <c r="D1884" s="3" t="str" cm="1">
        <f t="array" ref="D1884">choice(Settings!K:K,1,Settings!$B$16)</f>
        <v/>
      </c>
    </row>
    <row r="1885" spans="1:4" x14ac:dyDescent="0.25">
      <c r="A1885" s="2" t="str" cm="1">
        <f t="array" ref="A1885">choice(Professeurs!A:A,1,Settings!$B$16)</f>
        <v>Prof20</v>
      </c>
      <c r="B1885" s="3" cm="1">
        <f t="array" ref="B1885">alea_date(Settings!$B$11,360,Settings!$B$8+alea_int(4,0,Settings!$B$16),Settings!$B$16)</f>
        <v>46344.458333333336</v>
      </c>
      <c r="C1885" s="3" cm="1">
        <f t="array" ref="C1885">B1885+TIME(alea_int(5,1,Settings!$B$16),0,0)</f>
        <v>46344.666666666672</v>
      </c>
      <c r="D1885" s="3" t="str" cm="1">
        <f t="array" ref="D1885">choice(Settings!K:K,1,Settings!$B$16)</f>
        <v/>
      </c>
    </row>
    <row r="1886" spans="1:4" x14ac:dyDescent="0.25">
      <c r="A1886" s="2" t="str" cm="1">
        <f t="array" ref="A1886">choice(Professeurs!A:A,1,Settings!$B$16)</f>
        <v>Prof51</v>
      </c>
      <c r="B1886" s="3" cm="1">
        <f t="array" ref="B1886">alea_date(Settings!$B$11,360,Settings!$B$8+alea_int(4,0,Settings!$B$16),Settings!$B$16)</f>
        <v>46122.375</v>
      </c>
      <c r="C1886" s="3" cm="1">
        <f t="array" ref="C1886">B1886+TIME(alea_int(5,1,Settings!$B$16),0,0)</f>
        <v>46122.458333333336</v>
      </c>
      <c r="D1886" s="3" t="str" cm="1">
        <f t="array" ref="D1886">choice(Settings!K:K,1,Settings!$B$16)</f>
        <v>jeudi am</v>
      </c>
    </row>
    <row r="1887" spans="1:4" x14ac:dyDescent="0.25">
      <c r="A1887" s="2" t="str" cm="1">
        <f t="array" ref="A1887">choice(Professeurs!A:A,1,Settings!$B$16)</f>
        <v>Prof53</v>
      </c>
      <c r="B1887" s="3" cm="1">
        <f t="array" ref="B1887">alea_date(Settings!$B$11,360,Settings!$B$8+alea_int(4,0,Settings!$B$16),Settings!$B$16)</f>
        <v>46314.333333333336</v>
      </c>
      <c r="C1887" s="3" cm="1">
        <f t="array" ref="C1887">B1887+TIME(alea_int(5,1,Settings!$B$16),0,0)</f>
        <v>46314.541666666672</v>
      </c>
      <c r="D1887" s="3" t="str" cm="1">
        <f t="array" ref="D1887">choice(Settings!K:K,1,Settings!$B$16)</f>
        <v>semaine</v>
      </c>
    </row>
    <row r="1888" spans="1:4" x14ac:dyDescent="0.25">
      <c r="A1888" s="2" t="str" cm="1">
        <f t="array" ref="A1888">choice(Professeurs!A:A,1,Settings!$B$16)</f>
        <v>Prof14</v>
      </c>
      <c r="B1888" s="3" cm="1">
        <f t="array" ref="B1888">alea_date(Settings!$B$11,360,Settings!$B$8+alea_int(4,0,Settings!$B$16),Settings!$B$16)</f>
        <v>46343.458333333336</v>
      </c>
      <c r="C1888" s="3" cm="1">
        <f t="array" ref="C1888">B1888+TIME(alea_int(5,1,Settings!$B$16),0,0)</f>
        <v>46343.666666666672</v>
      </c>
      <c r="D1888" s="3" t="str" cm="1">
        <f t="array" ref="D1888">choice(Settings!K:K,1,Settings!$B$16)</f>
        <v>lundi pm</v>
      </c>
    </row>
    <row r="1889" spans="1:4" x14ac:dyDescent="0.25">
      <c r="A1889" s="2" t="str" cm="1">
        <f t="array" ref="A1889">choice(Professeurs!A:A,1,Settings!$B$16)</f>
        <v>Prof37</v>
      </c>
      <c r="B1889" s="3" cm="1">
        <f t="array" ref="B1889">alea_date(Settings!$B$11,360,Settings!$B$8+alea_int(4,0,Settings!$B$16),Settings!$B$16)</f>
        <v>46271.416666666664</v>
      </c>
      <c r="C1889" s="3" cm="1">
        <f t="array" ref="C1889">B1889+TIME(alea_int(5,1,Settings!$B$16),0,0)</f>
        <v>46271.625</v>
      </c>
      <c r="D1889" s="3" t="str" cm="1">
        <f t="array" ref="D1889">choice(Settings!K:K,1,Settings!$B$16)</f>
        <v/>
      </c>
    </row>
    <row r="1890" spans="1:4" x14ac:dyDescent="0.25">
      <c r="A1890" s="2" t="str" cm="1">
        <f t="array" ref="A1890">choice(Professeurs!A:A,1,Settings!$B$16)</f>
        <v>Prof48</v>
      </c>
      <c r="B1890" s="3" cm="1">
        <f t="array" ref="B1890">alea_date(Settings!$B$11,360,Settings!$B$8+alea_int(4,0,Settings!$B$16),Settings!$B$16)</f>
        <v>46067.416666666664</v>
      </c>
      <c r="C1890" s="3" cm="1">
        <f t="array" ref="C1890">B1890+TIME(alea_int(5,1,Settings!$B$16),0,0)</f>
        <v>46067.541666666664</v>
      </c>
      <c r="D1890" s="3" t="str" cm="1">
        <f t="array" ref="D1890">choice(Settings!K:K,1,Settings!$B$16)</f>
        <v>mercredi pm</v>
      </c>
    </row>
    <row r="1891" spans="1:4" x14ac:dyDescent="0.25">
      <c r="A1891" s="2" t="str" cm="1">
        <f t="array" ref="A1891">choice(Professeurs!A:A,1,Settings!$B$16)</f>
        <v>Prof9</v>
      </c>
      <c r="B1891" s="3" cm="1">
        <f t="array" ref="B1891">alea_date(Settings!$B$11,360,Settings!$B$8+alea_int(4,0,Settings!$B$16),Settings!$B$16)</f>
        <v>46118.416666666664</v>
      </c>
      <c r="C1891" s="3" cm="1">
        <f t="array" ref="C1891">B1891+TIME(alea_int(5,1,Settings!$B$16),0,0)</f>
        <v>46118.5</v>
      </c>
      <c r="D1891" s="3" t="str" cm="1">
        <f t="array" ref="D1891">choice(Settings!K:K,1,Settings!$B$16)</f>
        <v/>
      </c>
    </row>
    <row r="1892" spans="1:4" x14ac:dyDescent="0.25">
      <c r="A1892" s="2" t="str" cm="1">
        <f t="array" ref="A1892">choice(Professeurs!A:A,1,Settings!$B$16)</f>
        <v>Prof26</v>
      </c>
      <c r="B1892" s="3" cm="1">
        <f t="array" ref="B1892">alea_date(Settings!$B$11,360,Settings!$B$8+alea_int(4,0,Settings!$B$16),Settings!$B$16)</f>
        <v>46359.458333333336</v>
      </c>
      <c r="C1892" s="3" cm="1">
        <f t="array" ref="C1892">B1892+TIME(alea_int(5,1,Settings!$B$16),0,0)</f>
        <v>46359.541666666672</v>
      </c>
      <c r="D1892" s="3" t="str" cm="1">
        <f t="array" ref="D1892">choice(Settings!K:K,1,Settings!$B$16)</f>
        <v/>
      </c>
    </row>
    <row r="1893" spans="1:4" x14ac:dyDescent="0.25">
      <c r="A1893" s="2" t="str" cm="1">
        <f t="array" ref="A1893">choice(Professeurs!A:A,1,Settings!$B$16)</f>
        <v>Prof12</v>
      </c>
      <c r="B1893" s="3" cm="1">
        <f t="array" ref="B1893">alea_date(Settings!$B$11,360,Settings!$B$8+alea_int(4,0,Settings!$B$16),Settings!$B$16)</f>
        <v>46311.375</v>
      </c>
      <c r="C1893" s="3" cm="1">
        <f t="array" ref="C1893">B1893+TIME(alea_int(5,1,Settings!$B$16),0,0)</f>
        <v>46311.583333333336</v>
      </c>
      <c r="D1893" s="3" t="str" cm="1">
        <f t="array" ref="D1893">choice(Settings!K:K,1,Settings!$B$16)</f>
        <v/>
      </c>
    </row>
    <row r="1894" spans="1:4" x14ac:dyDescent="0.25">
      <c r="A1894" s="2" t="str" cm="1">
        <f t="array" ref="A1894">choice(Professeurs!A:A,1,Settings!$B$16)</f>
        <v>Prof47</v>
      </c>
      <c r="B1894" s="3" cm="1">
        <f t="array" ref="B1894">alea_date(Settings!$B$11,360,Settings!$B$8+alea_int(4,0,Settings!$B$16),Settings!$B$16)</f>
        <v>46236.375</v>
      </c>
      <c r="C1894" s="3" cm="1">
        <f t="array" ref="C1894">B1894+TIME(alea_int(5,1,Settings!$B$16),0,0)</f>
        <v>46236.5</v>
      </c>
      <c r="D1894" s="3" t="str" cm="1">
        <f t="array" ref="D1894">choice(Settings!K:K,1,Settings!$B$16)</f>
        <v/>
      </c>
    </row>
    <row r="1895" spans="1:4" x14ac:dyDescent="0.25">
      <c r="A1895" s="2" t="str" cm="1">
        <f t="array" ref="A1895">choice(Professeurs!A:A,1,Settings!$B$16)</f>
        <v>Prof39</v>
      </c>
      <c r="B1895" s="3" cm="1">
        <f t="array" ref="B1895">alea_date(Settings!$B$11,360,Settings!$B$8+alea_int(4,0,Settings!$B$16),Settings!$B$16)</f>
        <v>46364.416666666664</v>
      </c>
      <c r="C1895" s="3" cm="1">
        <f t="array" ref="C1895">B1895+TIME(alea_int(5,1,Settings!$B$16),0,0)</f>
        <v>46364.541666666664</v>
      </c>
      <c r="D1895" s="3" t="str" cm="1">
        <f t="array" ref="D1895">choice(Settings!K:K,1,Settings!$B$16)</f>
        <v/>
      </c>
    </row>
    <row r="1896" spans="1:4" x14ac:dyDescent="0.25">
      <c r="A1896" s="2" t="str" cm="1">
        <f t="array" ref="A1896">choice(Professeurs!A:A,1,Settings!$B$16)</f>
        <v>Prof27</v>
      </c>
      <c r="B1896" s="3" cm="1">
        <f t="array" ref="B1896">alea_date(Settings!$B$11,360,Settings!$B$8+alea_int(4,0,Settings!$B$16),Settings!$B$16)</f>
        <v>46156.375</v>
      </c>
      <c r="C1896" s="3" cm="1">
        <f t="array" ref="C1896">B1896+TIME(alea_int(5,1,Settings!$B$16),0,0)</f>
        <v>46156.5</v>
      </c>
      <c r="D1896" s="3" t="str" cm="1">
        <f t="array" ref="D1896">choice(Settings!K:K,1,Settings!$B$16)</f>
        <v>mardi pm</v>
      </c>
    </row>
    <row r="1897" spans="1:4" x14ac:dyDescent="0.25">
      <c r="A1897" s="2" t="str" cm="1">
        <f t="array" ref="A1897">choice(Professeurs!A:A,1,Settings!$B$16)</f>
        <v>Prof36</v>
      </c>
      <c r="B1897" s="3" cm="1">
        <f t="array" ref="B1897">alea_date(Settings!$B$11,360,Settings!$B$8+alea_int(4,0,Settings!$B$16),Settings!$B$16)</f>
        <v>46311.458333333336</v>
      </c>
      <c r="C1897" s="3" cm="1">
        <f t="array" ref="C1897">B1897+TIME(alea_int(5,1,Settings!$B$16),0,0)</f>
        <v>46311.625</v>
      </c>
      <c r="D1897" s="3" t="str" cm="1">
        <f t="array" ref="D1897">choice(Settings!K:K,1,Settings!$B$16)</f>
        <v/>
      </c>
    </row>
    <row r="1898" spans="1:4" x14ac:dyDescent="0.25">
      <c r="A1898" s="2" t="str" cm="1">
        <f t="array" ref="A1898">choice(Professeurs!A:A,1,Settings!$B$16)</f>
        <v>Prof36</v>
      </c>
      <c r="B1898" s="3" cm="1">
        <f t="array" ref="B1898">alea_date(Settings!$B$11,360,Settings!$B$8+alea_int(4,0,Settings!$B$16),Settings!$B$16)</f>
        <v>46220.333333333336</v>
      </c>
      <c r="C1898" s="3" cm="1">
        <f t="array" ref="C1898">B1898+TIME(alea_int(5,1,Settings!$B$16),0,0)</f>
        <v>46220.5</v>
      </c>
      <c r="D1898" s="3" t="str" cm="1">
        <f t="array" ref="D1898">choice(Settings!K:K,1,Settings!$B$16)</f>
        <v/>
      </c>
    </row>
    <row r="1899" spans="1:4" x14ac:dyDescent="0.25">
      <c r="A1899" s="2" t="str" cm="1">
        <f t="array" ref="A1899">choice(Professeurs!A:A,1,Settings!$B$16)</f>
        <v>Prof52</v>
      </c>
      <c r="B1899" s="3" cm="1">
        <f t="array" ref="B1899">alea_date(Settings!$B$11,360,Settings!$B$8+alea_int(4,0,Settings!$B$16),Settings!$B$16)</f>
        <v>46316.333333333336</v>
      </c>
      <c r="C1899" s="3" cm="1">
        <f t="array" ref="C1899">B1899+TIME(alea_int(5,1,Settings!$B$16),0,0)</f>
        <v>46316.541666666672</v>
      </c>
      <c r="D1899" s="3" t="str" cm="1">
        <f t="array" ref="D1899">choice(Settings!K:K,1,Settings!$B$16)</f>
        <v/>
      </c>
    </row>
    <row r="1900" spans="1:4" x14ac:dyDescent="0.25">
      <c r="A1900" s="2" t="str" cm="1">
        <f t="array" ref="A1900">choice(Professeurs!A:A,1,Settings!$B$16)</f>
        <v>Prof12</v>
      </c>
      <c r="B1900" s="3" cm="1">
        <f t="array" ref="B1900">alea_date(Settings!$B$11,360,Settings!$B$8+alea_int(4,0,Settings!$B$16),Settings!$B$16)</f>
        <v>46032.416666666664</v>
      </c>
      <c r="C1900" s="3" cm="1">
        <f t="array" ref="C1900">B1900+TIME(alea_int(5,1,Settings!$B$16),0,0)</f>
        <v>46032.458333333328</v>
      </c>
      <c r="D1900" s="3" t="str" cm="1">
        <f t="array" ref="D1900">choice(Settings!K:K,1,Settings!$B$16)</f>
        <v/>
      </c>
    </row>
    <row r="1901" spans="1:4" x14ac:dyDescent="0.25">
      <c r="A1901" s="2" t="str" cm="1">
        <f t="array" ref="A1901">choice(Professeurs!A:A,1,Settings!$B$16)</f>
        <v>Prof36</v>
      </c>
      <c r="B1901" s="3" cm="1">
        <f t="array" ref="B1901">alea_date(Settings!$B$11,360,Settings!$B$8+alea_int(4,0,Settings!$B$16),Settings!$B$16)</f>
        <v>46208.416666666664</v>
      </c>
      <c r="C1901" s="3" cm="1">
        <f t="array" ref="C1901">B1901+TIME(alea_int(5,1,Settings!$B$16),0,0)</f>
        <v>46208.625</v>
      </c>
      <c r="D1901" s="3" t="str" cm="1">
        <f t="array" ref="D1901">choice(Settings!K:K,1,Settings!$B$16)</f>
        <v/>
      </c>
    </row>
    <row r="1902" spans="1:4" x14ac:dyDescent="0.25">
      <c r="A1902" s="2" t="str" cm="1">
        <f t="array" ref="A1902">choice(Professeurs!A:A,1,Settings!$B$16)</f>
        <v>Prof29</v>
      </c>
      <c r="B1902" s="3" cm="1">
        <f t="array" ref="B1902">alea_date(Settings!$B$11,360,Settings!$B$8+alea_int(4,0,Settings!$B$16),Settings!$B$16)</f>
        <v>46215.333333333336</v>
      </c>
      <c r="C1902" s="3" cm="1">
        <f t="array" ref="C1902">B1902+TIME(alea_int(5,1,Settings!$B$16),0,0)</f>
        <v>46215.375</v>
      </c>
      <c r="D1902" s="3" t="str" cm="1">
        <f t="array" ref="D1902">choice(Settings!K:K,1,Settings!$B$16)</f>
        <v>mardi pm</v>
      </c>
    </row>
    <row r="1903" spans="1:4" x14ac:dyDescent="0.25">
      <c r="A1903" s="2" t="str" cm="1">
        <f t="array" ref="A1903">choice(Professeurs!A:A,1,Settings!$B$16)</f>
        <v>Prof13</v>
      </c>
      <c r="B1903" s="3" cm="1">
        <f t="array" ref="B1903">alea_date(Settings!$B$11,360,Settings!$B$8+alea_int(4,0,Settings!$B$16),Settings!$B$16)</f>
        <v>46162.333333333336</v>
      </c>
      <c r="C1903" s="3" cm="1">
        <f t="array" ref="C1903">B1903+TIME(alea_int(5,1,Settings!$B$16),0,0)</f>
        <v>46162.416666666672</v>
      </c>
      <c r="D1903" s="3" t="str" cm="1">
        <f t="array" ref="D1903">choice(Settings!K:K,1,Settings!$B$16)</f>
        <v/>
      </c>
    </row>
    <row r="1904" spans="1:4" x14ac:dyDescent="0.25">
      <c r="A1904" s="2" t="str" cm="1">
        <f t="array" ref="A1904">choice(Professeurs!A:A,1,Settings!$B$16)</f>
        <v>Prof45</v>
      </c>
      <c r="B1904" s="3" cm="1">
        <f t="array" ref="B1904">alea_date(Settings!$B$11,360,Settings!$B$8+alea_int(4,0,Settings!$B$16),Settings!$B$16)</f>
        <v>46206.333333333336</v>
      </c>
      <c r="C1904" s="3" cm="1">
        <f t="array" ref="C1904">B1904+TIME(alea_int(5,1,Settings!$B$16),0,0)</f>
        <v>46206.458333333336</v>
      </c>
      <c r="D1904" s="3" t="str" cm="1">
        <f t="array" ref="D1904">choice(Settings!K:K,1,Settings!$B$16)</f>
        <v/>
      </c>
    </row>
    <row r="1905" spans="1:4" x14ac:dyDescent="0.25">
      <c r="A1905" s="2" t="str" cm="1">
        <f t="array" ref="A1905">choice(Professeurs!A:A,1,Settings!$B$16)</f>
        <v>Prof14</v>
      </c>
      <c r="B1905" s="3" cm="1">
        <f t="array" ref="B1905">alea_date(Settings!$B$11,360,Settings!$B$8+alea_int(4,0,Settings!$B$16),Settings!$B$16)</f>
        <v>46328.375</v>
      </c>
      <c r="C1905" s="3" cm="1">
        <f t="array" ref="C1905">B1905+TIME(alea_int(5,1,Settings!$B$16),0,0)</f>
        <v>46328.458333333336</v>
      </c>
      <c r="D1905" s="3" t="str" cm="1">
        <f t="array" ref="D1905">choice(Settings!K:K,1,Settings!$B$16)</f>
        <v/>
      </c>
    </row>
    <row r="1906" spans="1:4" x14ac:dyDescent="0.25">
      <c r="A1906" s="2" t="str" cm="1">
        <f t="array" ref="A1906">choice(Professeurs!A:A,1,Settings!$B$16)</f>
        <v>Prof34</v>
      </c>
      <c r="B1906" s="3" cm="1">
        <f t="array" ref="B1906">alea_date(Settings!$B$11,360,Settings!$B$8+alea_int(4,0,Settings!$B$16),Settings!$B$16)</f>
        <v>46207.333333333336</v>
      </c>
      <c r="C1906" s="3" cm="1">
        <f t="array" ref="C1906">B1906+TIME(alea_int(5,1,Settings!$B$16),0,0)</f>
        <v>46207.541666666672</v>
      </c>
      <c r="D1906" s="3" t="str" cm="1">
        <f t="array" ref="D1906">choice(Settings!K:K,1,Settings!$B$16)</f>
        <v>mardi am</v>
      </c>
    </row>
    <row r="1907" spans="1:4" x14ac:dyDescent="0.25">
      <c r="A1907" s="2" t="str" cm="1">
        <f t="array" ref="A1907">choice(Professeurs!A:A,1,Settings!$B$16)</f>
        <v>Prof32</v>
      </c>
      <c r="B1907" s="3" cm="1">
        <f t="array" ref="B1907">alea_date(Settings!$B$11,360,Settings!$B$8+alea_int(4,0,Settings!$B$16),Settings!$B$16)</f>
        <v>46269.416666666664</v>
      </c>
      <c r="C1907" s="3" cm="1">
        <f t="array" ref="C1907">B1907+TIME(alea_int(5,1,Settings!$B$16),0,0)</f>
        <v>46269.541666666664</v>
      </c>
      <c r="D1907" s="3" t="str" cm="1">
        <f t="array" ref="D1907">choice(Settings!K:K,1,Settings!$B$16)</f>
        <v>lundi pm</v>
      </c>
    </row>
    <row r="1908" spans="1:4" x14ac:dyDescent="0.25">
      <c r="A1908" s="2" t="str" cm="1">
        <f t="array" ref="A1908">choice(Professeurs!A:A,1,Settings!$B$16)</f>
        <v>Prof41</v>
      </c>
      <c r="B1908" s="3" cm="1">
        <f t="array" ref="B1908">alea_date(Settings!$B$11,360,Settings!$B$8+alea_int(4,0,Settings!$B$16),Settings!$B$16)</f>
        <v>46106.333333333336</v>
      </c>
      <c r="C1908" s="3" cm="1">
        <f t="array" ref="C1908">B1908+TIME(alea_int(5,1,Settings!$B$16),0,0)</f>
        <v>46106.541666666672</v>
      </c>
      <c r="D1908" s="3" t="str" cm="1">
        <f t="array" ref="D1908">choice(Settings!K:K,1,Settings!$B$16)</f>
        <v/>
      </c>
    </row>
    <row r="1909" spans="1:4" x14ac:dyDescent="0.25">
      <c r="A1909" s="2" t="str" cm="1">
        <f t="array" ref="A1909">choice(Professeurs!A:A,1,Settings!$B$16)</f>
        <v>Prof25</v>
      </c>
      <c r="B1909" s="3" cm="1">
        <f t="array" ref="B1909">alea_date(Settings!$B$11,360,Settings!$B$8+alea_int(4,0,Settings!$B$16),Settings!$B$16)</f>
        <v>46173.416666666664</v>
      </c>
      <c r="C1909" s="3" cm="1">
        <f t="array" ref="C1909">B1909+TIME(alea_int(5,1,Settings!$B$16),0,0)</f>
        <v>46173.541666666664</v>
      </c>
      <c r="D1909" s="3" t="str" cm="1">
        <f t="array" ref="D1909">choice(Settings!K:K,1,Settings!$B$16)</f>
        <v/>
      </c>
    </row>
    <row r="1910" spans="1:4" x14ac:dyDescent="0.25">
      <c r="A1910" s="2" t="str" cm="1">
        <f t="array" ref="A1910">choice(Professeurs!A:A,1,Settings!$B$16)</f>
        <v>Prof52</v>
      </c>
      <c r="B1910" s="3" cm="1">
        <f t="array" ref="B1910">alea_date(Settings!$B$11,360,Settings!$B$8+alea_int(4,0,Settings!$B$16),Settings!$B$16)</f>
        <v>46128.333333333336</v>
      </c>
      <c r="C1910" s="3" cm="1">
        <f t="array" ref="C1910">B1910+TIME(alea_int(5,1,Settings!$B$16),0,0)</f>
        <v>46128.375</v>
      </c>
      <c r="D1910" s="3" t="str" cm="1">
        <f t="array" ref="D1910">choice(Settings!K:K,1,Settings!$B$16)</f>
        <v>mercredi ap</v>
      </c>
    </row>
    <row r="1911" spans="1:4" x14ac:dyDescent="0.25">
      <c r="A1911" s="2" t="str" cm="1">
        <f t="array" ref="A1911">choice(Professeurs!A:A,1,Settings!$B$16)</f>
        <v>Prof26</v>
      </c>
      <c r="B1911" s="3" cm="1">
        <f t="array" ref="B1911">alea_date(Settings!$B$11,360,Settings!$B$8+alea_int(4,0,Settings!$B$16),Settings!$B$16)</f>
        <v>46148.458333333336</v>
      </c>
      <c r="C1911" s="3" cm="1">
        <f t="array" ref="C1911">B1911+TIME(alea_int(5,1,Settings!$B$16),0,0)</f>
        <v>46148.583333333336</v>
      </c>
      <c r="D1911" s="3" t="str" cm="1">
        <f t="array" ref="D1911">choice(Settings!K:K,1,Settings!$B$16)</f>
        <v/>
      </c>
    </row>
    <row r="1912" spans="1:4" x14ac:dyDescent="0.25">
      <c r="A1912" s="2" t="str" cm="1">
        <f t="array" ref="A1912">choice(Professeurs!A:A,1,Settings!$B$16)</f>
        <v>Prof22</v>
      </c>
      <c r="B1912" s="3" cm="1">
        <f t="array" ref="B1912">alea_date(Settings!$B$11,360,Settings!$B$8+alea_int(4,0,Settings!$B$16),Settings!$B$16)</f>
        <v>46048.375</v>
      </c>
      <c r="C1912" s="3" cm="1">
        <f t="array" ref="C1912">B1912+TIME(alea_int(5,1,Settings!$B$16),0,0)</f>
        <v>46048.541666666664</v>
      </c>
      <c r="D1912" s="3" t="str" cm="1">
        <f t="array" ref="D1912">choice(Settings!K:K,1,Settings!$B$16)</f>
        <v/>
      </c>
    </row>
    <row r="1913" spans="1:4" x14ac:dyDescent="0.25">
      <c r="A1913" s="2" t="str" cm="1">
        <f t="array" ref="A1913">choice(Professeurs!A:A,1,Settings!$B$16)</f>
        <v>Prof7</v>
      </c>
      <c r="B1913" s="3" cm="1">
        <f t="array" ref="B1913">alea_date(Settings!$B$11,360,Settings!$B$8+alea_int(4,0,Settings!$B$16),Settings!$B$16)</f>
        <v>46121.458333333336</v>
      </c>
      <c r="C1913" s="3" cm="1">
        <f t="array" ref="C1913">B1913+TIME(alea_int(5,1,Settings!$B$16),0,0)</f>
        <v>46121.625</v>
      </c>
      <c r="D1913" s="3" t="str" cm="1">
        <f t="array" ref="D1913">choice(Settings!K:K,1,Settings!$B$16)</f>
        <v/>
      </c>
    </row>
    <row r="1914" spans="1:4" x14ac:dyDescent="0.25">
      <c r="A1914" s="2" t="str" cm="1">
        <f t="array" ref="A1914">choice(Professeurs!A:A,1,Settings!$B$16)</f>
        <v>Prof19</v>
      </c>
      <c r="B1914" s="3" cm="1">
        <f t="array" ref="B1914">alea_date(Settings!$B$11,360,Settings!$B$8+alea_int(4,0,Settings!$B$16),Settings!$B$16)</f>
        <v>46273.375</v>
      </c>
      <c r="C1914" s="3" cm="1">
        <f t="array" ref="C1914">B1914+TIME(alea_int(5,1,Settings!$B$16),0,0)</f>
        <v>46273.458333333336</v>
      </c>
      <c r="D1914" s="3" t="str" cm="1">
        <f t="array" ref="D1914">choice(Settings!K:K,1,Settings!$B$16)</f>
        <v/>
      </c>
    </row>
    <row r="1915" spans="1:4" x14ac:dyDescent="0.25">
      <c r="A1915" s="2" t="str" cm="1">
        <f t="array" ref="A1915">choice(Professeurs!A:A,1,Settings!$B$16)</f>
        <v>Prof51</v>
      </c>
      <c r="B1915" s="3" cm="1">
        <f t="array" ref="B1915">alea_date(Settings!$B$11,360,Settings!$B$8+alea_int(4,0,Settings!$B$16),Settings!$B$16)</f>
        <v>46178.416666666664</v>
      </c>
      <c r="C1915" s="3" cm="1">
        <f t="array" ref="C1915">B1915+TIME(alea_int(5,1,Settings!$B$16),0,0)</f>
        <v>46178.625</v>
      </c>
      <c r="D1915" s="3" t="str" cm="1">
        <f t="array" ref="D1915">choice(Settings!K:K,1,Settings!$B$16)</f>
        <v/>
      </c>
    </row>
    <row r="1916" spans="1:4" x14ac:dyDescent="0.25">
      <c r="A1916" s="2" t="str" cm="1">
        <f t="array" ref="A1916">choice(Professeurs!A:A,1,Settings!$B$16)</f>
        <v>Prof45</v>
      </c>
      <c r="B1916" s="3" cm="1">
        <f t="array" ref="B1916">alea_date(Settings!$B$11,360,Settings!$B$8+alea_int(4,0,Settings!$B$16),Settings!$B$16)</f>
        <v>46355.333333333336</v>
      </c>
      <c r="C1916" s="3" cm="1">
        <f t="array" ref="C1916">B1916+TIME(alea_int(5,1,Settings!$B$16),0,0)</f>
        <v>46355.375</v>
      </c>
      <c r="D1916" s="3" t="str" cm="1">
        <f t="array" ref="D1916">choice(Settings!K:K,1,Settings!$B$16)</f>
        <v/>
      </c>
    </row>
    <row r="1917" spans="1:4" x14ac:dyDescent="0.25">
      <c r="A1917" s="2" t="str" cm="1">
        <f t="array" ref="A1917">choice(Professeurs!A:A,1,Settings!$B$16)</f>
        <v>Prof30</v>
      </c>
      <c r="B1917" s="3" cm="1">
        <f t="array" ref="B1917">alea_date(Settings!$B$11,360,Settings!$B$8+alea_int(4,0,Settings!$B$16),Settings!$B$16)</f>
        <v>46151.416666666664</v>
      </c>
      <c r="C1917" s="3" cm="1">
        <f t="array" ref="C1917">B1917+TIME(alea_int(5,1,Settings!$B$16),0,0)</f>
        <v>46151.5</v>
      </c>
      <c r="D1917" s="3" t="str" cm="1">
        <f t="array" ref="D1917">choice(Settings!K:K,1,Settings!$B$16)</f>
        <v/>
      </c>
    </row>
    <row r="1918" spans="1:4" x14ac:dyDescent="0.25">
      <c r="A1918" s="2" t="str" cm="1">
        <f t="array" ref="A1918">choice(Professeurs!A:A,1,Settings!$B$16)</f>
        <v>Prof9</v>
      </c>
      <c r="B1918" s="3" cm="1">
        <f t="array" ref="B1918">alea_date(Settings!$B$11,360,Settings!$B$8+alea_int(4,0,Settings!$B$16),Settings!$B$16)</f>
        <v>46139.458333333336</v>
      </c>
      <c r="C1918" s="3" cm="1">
        <f t="array" ref="C1918">B1918+TIME(alea_int(5,1,Settings!$B$16),0,0)</f>
        <v>46139.666666666672</v>
      </c>
      <c r="D1918" s="3" t="str" cm="1">
        <f t="array" ref="D1918">choice(Settings!K:K,1,Settings!$B$16)</f>
        <v/>
      </c>
    </row>
    <row r="1919" spans="1:4" x14ac:dyDescent="0.25">
      <c r="A1919" s="2" t="str" cm="1">
        <f t="array" ref="A1919">choice(Professeurs!A:A,1,Settings!$B$16)</f>
        <v>Prof21</v>
      </c>
      <c r="B1919" s="3" cm="1">
        <f t="array" ref="B1919">alea_date(Settings!$B$11,360,Settings!$B$8+alea_int(4,0,Settings!$B$16),Settings!$B$16)</f>
        <v>46358.416666666664</v>
      </c>
      <c r="C1919" s="3" cm="1">
        <f t="array" ref="C1919">B1919+TIME(alea_int(5,1,Settings!$B$16),0,0)</f>
        <v>46358.541666666664</v>
      </c>
      <c r="D1919" s="3" t="str" cm="1">
        <f t="array" ref="D1919">choice(Settings!K:K,1,Settings!$B$16)</f>
        <v/>
      </c>
    </row>
    <row r="1920" spans="1:4" x14ac:dyDescent="0.25">
      <c r="A1920" s="2" t="str" cm="1">
        <f t="array" ref="A1920">choice(Professeurs!A:A,1,Settings!$B$16)</f>
        <v>Prof51</v>
      </c>
      <c r="B1920" s="3" cm="1">
        <f t="array" ref="B1920">alea_date(Settings!$B$11,360,Settings!$B$8+alea_int(4,0,Settings!$B$16),Settings!$B$16)</f>
        <v>46213.375</v>
      </c>
      <c r="C1920" s="3" cm="1">
        <f t="array" ref="C1920">B1920+TIME(alea_int(5,1,Settings!$B$16),0,0)</f>
        <v>46213.5</v>
      </c>
      <c r="D1920" s="3" t="str" cm="1">
        <f t="array" ref="D1920">choice(Settings!K:K,1,Settings!$B$16)</f>
        <v/>
      </c>
    </row>
    <row r="1921" spans="1:4" x14ac:dyDescent="0.25">
      <c r="A1921" s="2" t="str" cm="1">
        <f t="array" ref="A1921">choice(Professeurs!A:A,1,Settings!$B$16)</f>
        <v>Prof23</v>
      </c>
      <c r="B1921" s="3" cm="1">
        <f t="array" ref="B1921">alea_date(Settings!$B$11,360,Settings!$B$8+alea_int(4,0,Settings!$B$16),Settings!$B$16)</f>
        <v>46218.333333333336</v>
      </c>
      <c r="C1921" s="3" cm="1">
        <f t="array" ref="C1921">B1921+TIME(alea_int(5,1,Settings!$B$16),0,0)</f>
        <v>46218.416666666672</v>
      </c>
      <c r="D1921" s="3" t="str" cm="1">
        <f t="array" ref="D1921">choice(Settings!K:K,1,Settings!$B$16)</f>
        <v/>
      </c>
    </row>
    <row r="1922" spans="1:4" x14ac:dyDescent="0.25">
      <c r="A1922" s="2" t="str" cm="1">
        <f t="array" ref="A1922">choice(Professeurs!A:A,1,Settings!$B$16)</f>
        <v>Prof23</v>
      </c>
      <c r="B1922" s="3" cm="1">
        <f t="array" ref="B1922">alea_date(Settings!$B$11,360,Settings!$B$8+alea_int(4,0,Settings!$B$16),Settings!$B$16)</f>
        <v>46166.333333333336</v>
      </c>
      <c r="C1922" s="3" cm="1">
        <f t="array" ref="C1922">B1922+TIME(alea_int(5,1,Settings!$B$16),0,0)</f>
        <v>46166.541666666672</v>
      </c>
      <c r="D1922" s="3" t="str" cm="1">
        <f t="array" ref="D1922">choice(Settings!K:K,1,Settings!$B$16)</f>
        <v>mercredi ap</v>
      </c>
    </row>
    <row r="1923" spans="1:4" x14ac:dyDescent="0.25">
      <c r="A1923" s="2" t="str" cm="1">
        <f t="array" ref="A1923">choice(Professeurs!A:A,1,Settings!$B$16)</f>
        <v>Prof3</v>
      </c>
      <c r="B1923" s="3" cm="1">
        <f t="array" ref="B1923">alea_date(Settings!$B$11,360,Settings!$B$8+alea_int(4,0,Settings!$B$16),Settings!$B$16)</f>
        <v>46244.333333333336</v>
      </c>
      <c r="C1923" s="3" cm="1">
        <f t="array" ref="C1923">B1923+TIME(alea_int(5,1,Settings!$B$16),0,0)</f>
        <v>46244.375</v>
      </c>
      <c r="D1923" s="3" t="str" cm="1">
        <f t="array" ref="D1923">choice(Settings!K:K,1,Settings!$B$16)</f>
        <v/>
      </c>
    </row>
    <row r="1924" spans="1:4" x14ac:dyDescent="0.25">
      <c r="A1924" s="2" t="str" cm="1">
        <f t="array" ref="A1924">choice(Professeurs!A:A,1,Settings!$B$16)</f>
        <v>Prof3</v>
      </c>
      <c r="B1924" s="3" cm="1">
        <f t="array" ref="B1924">alea_date(Settings!$B$11,360,Settings!$B$8+alea_int(4,0,Settings!$B$16),Settings!$B$16)</f>
        <v>46184.458333333336</v>
      </c>
      <c r="C1924" s="3" cm="1">
        <f t="array" ref="C1924">B1924+TIME(alea_int(5,1,Settings!$B$16),0,0)</f>
        <v>46184.625</v>
      </c>
      <c r="D1924" s="3" t="str" cm="1">
        <f t="array" ref="D1924">choice(Settings!K:K,1,Settings!$B$16)</f>
        <v>vendredi pm</v>
      </c>
    </row>
    <row r="1925" spans="1:4" x14ac:dyDescent="0.25">
      <c r="A1925" s="2" t="str" cm="1">
        <f t="array" ref="A1925">choice(Professeurs!A:A,1,Settings!$B$16)</f>
        <v>Prof13</v>
      </c>
      <c r="B1925" s="3" cm="1">
        <f t="array" ref="B1925">alea_date(Settings!$B$11,360,Settings!$B$8+alea_int(4,0,Settings!$B$16),Settings!$B$16)</f>
        <v>46057.375</v>
      </c>
      <c r="C1925" s="3" cm="1">
        <f t="array" ref="C1925">B1925+TIME(alea_int(5,1,Settings!$B$16),0,0)</f>
        <v>46057.458333333336</v>
      </c>
      <c r="D1925" s="3" t="str" cm="1">
        <f t="array" ref="D1925">choice(Settings!K:K,1,Settings!$B$16)</f>
        <v>vendredi pm</v>
      </c>
    </row>
    <row r="1926" spans="1:4" x14ac:dyDescent="0.25">
      <c r="A1926" s="2" t="str" cm="1">
        <f t="array" ref="A1926">choice(Professeurs!A:A,1,Settings!$B$16)</f>
        <v>Prof50</v>
      </c>
      <c r="B1926" s="3" cm="1">
        <f t="array" ref="B1926">alea_date(Settings!$B$11,360,Settings!$B$8+alea_int(4,0,Settings!$B$16),Settings!$B$16)</f>
        <v>46266.375</v>
      </c>
      <c r="C1926" s="3" cm="1">
        <f t="array" ref="C1926">B1926+TIME(alea_int(5,1,Settings!$B$16),0,0)</f>
        <v>46266.583333333336</v>
      </c>
      <c r="D1926" s="3" t="str" cm="1">
        <f t="array" ref="D1926">choice(Settings!K:K,1,Settings!$B$16)</f>
        <v>lundi pm</v>
      </c>
    </row>
    <row r="1927" spans="1:4" x14ac:dyDescent="0.25">
      <c r="A1927" s="2" t="str" cm="1">
        <f t="array" ref="A1927">choice(Professeurs!A:A,1,Settings!$B$16)</f>
        <v>Prof6</v>
      </c>
      <c r="B1927" s="3" cm="1">
        <f t="array" ref="B1927">alea_date(Settings!$B$11,360,Settings!$B$8+alea_int(4,0,Settings!$B$16),Settings!$B$16)</f>
        <v>46285.333333333336</v>
      </c>
      <c r="C1927" s="3" cm="1">
        <f t="array" ref="C1927">B1927+TIME(alea_int(5,1,Settings!$B$16),0,0)</f>
        <v>46285.416666666672</v>
      </c>
      <c r="D1927" s="3" t="str" cm="1">
        <f t="array" ref="D1927">choice(Settings!K:K,1,Settings!$B$16)</f>
        <v>vendredi pm</v>
      </c>
    </row>
    <row r="1928" spans="1:4" x14ac:dyDescent="0.25">
      <c r="A1928" s="2" t="str" cm="1">
        <f t="array" ref="A1928">choice(Professeurs!A:A,1,Settings!$B$16)</f>
        <v>Prof3</v>
      </c>
      <c r="B1928" s="3" cm="1">
        <f t="array" ref="B1928">alea_date(Settings!$B$11,360,Settings!$B$8+alea_int(4,0,Settings!$B$16),Settings!$B$16)</f>
        <v>46034.375</v>
      </c>
      <c r="C1928" s="3" cm="1">
        <f t="array" ref="C1928">B1928+TIME(alea_int(5,1,Settings!$B$16),0,0)</f>
        <v>46034.5</v>
      </c>
      <c r="D1928" s="3" t="str" cm="1">
        <f t="array" ref="D1928">choice(Settings!K:K,1,Settings!$B$16)</f>
        <v/>
      </c>
    </row>
    <row r="1929" spans="1:4" x14ac:dyDescent="0.25">
      <c r="A1929" s="2" t="str" cm="1">
        <f t="array" ref="A1929">choice(Professeurs!A:A,1,Settings!$B$16)</f>
        <v>Prof53</v>
      </c>
      <c r="B1929" s="3" cm="1">
        <f t="array" ref="B1929">alea_date(Settings!$B$11,360,Settings!$B$8+alea_int(4,0,Settings!$B$16),Settings!$B$16)</f>
        <v>46323.416666666664</v>
      </c>
      <c r="C1929" s="3" cm="1">
        <f t="array" ref="C1929">B1929+TIME(alea_int(5,1,Settings!$B$16),0,0)</f>
        <v>46323.625</v>
      </c>
      <c r="D1929" s="3" t="str" cm="1">
        <f t="array" ref="D1929">choice(Settings!K:K,1,Settings!$B$16)</f>
        <v>mardi pm</v>
      </c>
    </row>
    <row r="1930" spans="1:4" x14ac:dyDescent="0.25">
      <c r="A1930" s="2" t="str" cm="1">
        <f t="array" ref="A1930">choice(Professeurs!A:A,1,Settings!$B$16)</f>
        <v>Prof7</v>
      </c>
      <c r="B1930" s="3" cm="1">
        <f t="array" ref="B1930">alea_date(Settings!$B$11,360,Settings!$B$8+alea_int(4,0,Settings!$B$16),Settings!$B$16)</f>
        <v>46352.416666666664</v>
      </c>
      <c r="C1930" s="3" cm="1">
        <f t="array" ref="C1930">B1930+TIME(alea_int(5,1,Settings!$B$16),0,0)</f>
        <v>46352.625</v>
      </c>
      <c r="D1930" s="3" t="str" cm="1">
        <f t="array" ref="D1930">choice(Settings!K:K,1,Settings!$B$16)</f>
        <v>mercredi pm</v>
      </c>
    </row>
    <row r="1931" spans="1:4" x14ac:dyDescent="0.25">
      <c r="A1931" s="2" t="str" cm="1">
        <f t="array" ref="A1931">choice(Professeurs!A:A,1,Settings!$B$16)</f>
        <v>Prof35</v>
      </c>
      <c r="B1931" s="3" cm="1">
        <f t="array" ref="B1931">alea_date(Settings!$B$11,360,Settings!$B$8+alea_int(4,0,Settings!$B$16),Settings!$B$16)</f>
        <v>46103.333333333336</v>
      </c>
      <c r="C1931" s="3" cm="1">
        <f t="array" ref="C1931">B1931+TIME(alea_int(5,1,Settings!$B$16),0,0)</f>
        <v>46103.5</v>
      </c>
      <c r="D1931" s="3" t="str" cm="1">
        <f t="array" ref="D1931">choice(Settings!K:K,1,Settings!$B$16)</f>
        <v>mercredi pm</v>
      </c>
    </row>
    <row r="1932" spans="1:4" x14ac:dyDescent="0.25">
      <c r="A1932" s="2" t="str" cm="1">
        <f t="array" ref="A1932">choice(Professeurs!A:A,1,Settings!$B$16)</f>
        <v>Prof9</v>
      </c>
      <c r="B1932" s="3" cm="1">
        <f t="array" ref="B1932">alea_date(Settings!$B$11,360,Settings!$B$8+alea_int(4,0,Settings!$B$16),Settings!$B$16)</f>
        <v>46139.375</v>
      </c>
      <c r="C1932" s="3" cm="1">
        <f t="array" ref="C1932">B1932+TIME(alea_int(5,1,Settings!$B$16),0,0)</f>
        <v>46139.583333333336</v>
      </c>
      <c r="D1932" s="3" t="str" cm="1">
        <f t="array" ref="D1932">choice(Settings!K:K,1,Settings!$B$16)</f>
        <v>jeudi am</v>
      </c>
    </row>
    <row r="1933" spans="1:4" x14ac:dyDescent="0.25">
      <c r="A1933" s="2" t="str" cm="1">
        <f t="array" ref="A1933">choice(Professeurs!A:A,1,Settings!$B$16)</f>
        <v>Prof39</v>
      </c>
      <c r="B1933" s="3" cm="1">
        <f t="array" ref="B1933">alea_date(Settings!$B$11,360,Settings!$B$8+alea_int(4,0,Settings!$B$16),Settings!$B$16)</f>
        <v>46272.416666666664</v>
      </c>
      <c r="C1933" s="3" cm="1">
        <f t="array" ref="C1933">B1933+TIME(alea_int(5,1,Settings!$B$16),0,0)</f>
        <v>46272.5</v>
      </c>
      <c r="D1933" s="3" t="str" cm="1">
        <f t="array" ref="D1933">choice(Settings!K:K,1,Settings!$B$16)</f>
        <v/>
      </c>
    </row>
    <row r="1934" spans="1:4" x14ac:dyDescent="0.25">
      <c r="A1934" s="2" t="str" cm="1">
        <f t="array" ref="A1934">choice(Professeurs!A:A,1,Settings!$B$16)</f>
        <v>Prof35</v>
      </c>
      <c r="B1934" s="3" cm="1">
        <f t="array" ref="B1934">alea_date(Settings!$B$11,360,Settings!$B$8+alea_int(4,0,Settings!$B$16),Settings!$B$16)</f>
        <v>46286.416666666664</v>
      </c>
      <c r="C1934" s="3" cm="1">
        <f t="array" ref="C1934">B1934+TIME(alea_int(5,1,Settings!$B$16),0,0)</f>
        <v>46286.583333333328</v>
      </c>
      <c r="D1934" s="3" t="str" cm="1">
        <f t="array" ref="D1934">choice(Settings!K:K,1,Settings!$B$16)</f>
        <v/>
      </c>
    </row>
    <row r="1935" spans="1:4" x14ac:dyDescent="0.25">
      <c r="A1935" s="2" t="str" cm="1">
        <f t="array" ref="A1935">choice(Professeurs!A:A,1,Settings!$B$16)</f>
        <v>Prof7</v>
      </c>
      <c r="B1935" s="3" cm="1">
        <f t="array" ref="B1935">alea_date(Settings!$B$11,360,Settings!$B$8+alea_int(4,0,Settings!$B$16),Settings!$B$16)</f>
        <v>46052.458333333336</v>
      </c>
      <c r="C1935" s="3" cm="1">
        <f t="array" ref="C1935">B1935+TIME(alea_int(5,1,Settings!$B$16),0,0)</f>
        <v>46052.583333333336</v>
      </c>
      <c r="D1935" s="3" t="str" cm="1">
        <f t="array" ref="D1935">choice(Settings!K:K,1,Settings!$B$16)</f>
        <v/>
      </c>
    </row>
    <row r="1936" spans="1:4" x14ac:dyDescent="0.25">
      <c r="A1936" s="2" t="str" cm="1">
        <f t="array" ref="A1936">choice(Professeurs!A:A,1,Settings!$B$16)</f>
        <v>Prof43</v>
      </c>
      <c r="B1936" s="3" cm="1">
        <f t="array" ref="B1936">alea_date(Settings!$B$11,360,Settings!$B$8+alea_int(4,0,Settings!$B$16),Settings!$B$16)</f>
        <v>46127.333333333336</v>
      </c>
      <c r="C1936" s="3" cm="1">
        <f t="array" ref="C1936">B1936+TIME(alea_int(5,1,Settings!$B$16),0,0)</f>
        <v>46127.375</v>
      </c>
      <c r="D1936" s="3" t="str" cm="1">
        <f t="array" ref="D1936">choice(Settings!K:K,1,Settings!$B$16)</f>
        <v/>
      </c>
    </row>
    <row r="1937" spans="1:4" x14ac:dyDescent="0.25">
      <c r="A1937" s="2" t="str" cm="1">
        <f t="array" ref="A1937">choice(Professeurs!A:A,1,Settings!$B$16)</f>
        <v>Prof10</v>
      </c>
      <c r="B1937" s="3" cm="1">
        <f t="array" ref="B1937">alea_date(Settings!$B$11,360,Settings!$B$8+alea_int(4,0,Settings!$B$16),Settings!$B$16)</f>
        <v>46083.458333333336</v>
      </c>
      <c r="C1937" s="3" cm="1">
        <f t="array" ref="C1937">B1937+TIME(alea_int(5,1,Settings!$B$16),0,0)</f>
        <v>46083.583333333336</v>
      </c>
      <c r="D1937" s="3" t="str" cm="1">
        <f t="array" ref="D1937">choice(Settings!K:K,1,Settings!$B$16)</f>
        <v/>
      </c>
    </row>
    <row r="1938" spans="1:4" x14ac:dyDescent="0.25">
      <c r="A1938" s="2" t="str" cm="1">
        <f t="array" ref="A1938">choice(Professeurs!A:A,1,Settings!$B$16)</f>
        <v>Prof23</v>
      </c>
      <c r="B1938" s="3" cm="1">
        <f t="array" ref="B1938">alea_date(Settings!$B$11,360,Settings!$B$8+alea_int(4,0,Settings!$B$16),Settings!$B$16)</f>
        <v>46370.375</v>
      </c>
      <c r="C1938" s="3" cm="1">
        <f t="array" ref="C1938">B1938+TIME(alea_int(5,1,Settings!$B$16),0,0)</f>
        <v>46370.583333333336</v>
      </c>
      <c r="D1938" s="3" t="str" cm="1">
        <f t="array" ref="D1938">choice(Settings!K:K,1,Settings!$B$16)</f>
        <v>jeudi am</v>
      </c>
    </row>
    <row r="1939" spans="1:4" x14ac:dyDescent="0.25">
      <c r="A1939" s="2" t="str" cm="1">
        <f t="array" ref="A1939">choice(Professeurs!A:A,1,Settings!$B$16)</f>
        <v>Prof1</v>
      </c>
      <c r="B1939" s="3" cm="1">
        <f t="array" ref="B1939">alea_date(Settings!$B$11,360,Settings!$B$8+alea_int(4,0,Settings!$B$16),Settings!$B$16)</f>
        <v>46365.333333333336</v>
      </c>
      <c r="C1939" s="3" cm="1">
        <f t="array" ref="C1939">B1939+TIME(alea_int(5,1,Settings!$B$16),0,0)</f>
        <v>46365.5</v>
      </c>
      <c r="D1939" s="3" t="str" cm="1">
        <f t="array" ref="D1939">choice(Settings!K:K,1,Settings!$B$16)</f>
        <v>vendredi pm</v>
      </c>
    </row>
    <row r="1940" spans="1:4" x14ac:dyDescent="0.25">
      <c r="A1940" s="2" t="str" cm="1">
        <f t="array" ref="A1940">choice(Professeurs!A:A,1,Settings!$B$16)</f>
        <v>Prof28</v>
      </c>
      <c r="B1940" s="3" cm="1">
        <f t="array" ref="B1940">alea_date(Settings!$B$11,360,Settings!$B$8+alea_int(4,0,Settings!$B$16),Settings!$B$16)</f>
        <v>46140.375</v>
      </c>
      <c r="C1940" s="3" cm="1">
        <f t="array" ref="C1940">B1940+TIME(alea_int(5,1,Settings!$B$16),0,0)</f>
        <v>46140.458333333336</v>
      </c>
      <c r="D1940" s="3" t="str" cm="1">
        <f t="array" ref="D1940">choice(Settings!K:K,1,Settings!$B$16)</f>
        <v>jeudi pm</v>
      </c>
    </row>
    <row r="1941" spans="1:4" x14ac:dyDescent="0.25">
      <c r="A1941" s="2" t="str" cm="1">
        <f t="array" ref="A1941">choice(Professeurs!A:A,1,Settings!$B$16)</f>
        <v>Prof29</v>
      </c>
      <c r="B1941" s="3" cm="1">
        <f t="array" ref="B1941">alea_date(Settings!$B$11,360,Settings!$B$8+alea_int(4,0,Settings!$B$16),Settings!$B$16)</f>
        <v>46272.416666666664</v>
      </c>
      <c r="C1941" s="3" cm="1">
        <f t="array" ref="C1941">B1941+TIME(alea_int(5,1,Settings!$B$16),0,0)</f>
        <v>46272.625</v>
      </c>
      <c r="D1941" s="3" t="str" cm="1">
        <f t="array" ref="D1941">choice(Settings!K:K,1,Settings!$B$16)</f>
        <v/>
      </c>
    </row>
    <row r="1942" spans="1:4" x14ac:dyDescent="0.25">
      <c r="A1942" s="2" t="str" cm="1">
        <f t="array" ref="A1942">choice(Professeurs!A:A,1,Settings!$B$16)</f>
        <v>Prof9</v>
      </c>
      <c r="B1942" s="3" cm="1">
        <f t="array" ref="B1942">alea_date(Settings!$B$11,360,Settings!$B$8+alea_int(4,0,Settings!$B$16),Settings!$B$16)</f>
        <v>46205.333333333336</v>
      </c>
      <c r="C1942" s="3" cm="1">
        <f t="array" ref="C1942">B1942+TIME(alea_int(5,1,Settings!$B$16),0,0)</f>
        <v>46205.541666666672</v>
      </c>
      <c r="D1942" s="3" t="str" cm="1">
        <f t="array" ref="D1942">choice(Settings!K:K,1,Settings!$B$16)</f>
        <v/>
      </c>
    </row>
    <row r="1943" spans="1:4" x14ac:dyDescent="0.25">
      <c r="A1943" s="2" t="str" cm="1">
        <f t="array" ref="A1943">choice(Professeurs!A:A,1,Settings!$B$16)</f>
        <v>Prof10</v>
      </c>
      <c r="B1943" s="3" cm="1">
        <f t="array" ref="B1943">alea_date(Settings!$B$11,360,Settings!$B$8+alea_int(4,0,Settings!$B$16),Settings!$B$16)</f>
        <v>46122.375</v>
      </c>
      <c r="C1943" s="3" cm="1">
        <f t="array" ref="C1943">B1943+TIME(alea_int(5,1,Settings!$B$16),0,0)</f>
        <v>46122.5</v>
      </c>
      <c r="D1943" s="3" t="str" cm="1">
        <f t="array" ref="D1943">choice(Settings!K:K,1,Settings!$B$16)</f>
        <v/>
      </c>
    </row>
    <row r="1944" spans="1:4" x14ac:dyDescent="0.25">
      <c r="A1944" s="2" t="str" cm="1">
        <f t="array" ref="A1944">choice(Professeurs!A:A,1,Settings!$B$16)</f>
        <v>Prof29</v>
      </c>
      <c r="B1944" s="3" cm="1">
        <f t="array" ref="B1944">alea_date(Settings!$B$11,360,Settings!$B$8+alea_int(4,0,Settings!$B$16),Settings!$B$16)</f>
        <v>46139.416666666664</v>
      </c>
      <c r="C1944" s="3" cm="1">
        <f t="array" ref="C1944">B1944+TIME(alea_int(5,1,Settings!$B$16),0,0)</f>
        <v>46139.458333333328</v>
      </c>
      <c r="D1944" s="3" t="str" cm="1">
        <f t="array" ref="D1944">choice(Settings!K:K,1,Settings!$B$16)</f>
        <v>mercredi ap</v>
      </c>
    </row>
    <row r="1945" spans="1:4" x14ac:dyDescent="0.25">
      <c r="A1945" s="2" t="str" cm="1">
        <f t="array" ref="A1945">choice(Professeurs!A:A,1,Settings!$B$16)</f>
        <v>Prof3</v>
      </c>
      <c r="B1945" s="3" cm="1">
        <f t="array" ref="B1945">alea_date(Settings!$B$11,360,Settings!$B$8+alea_int(4,0,Settings!$B$16),Settings!$B$16)</f>
        <v>46215.333333333336</v>
      </c>
      <c r="C1945" s="3" cm="1">
        <f t="array" ref="C1945">B1945+TIME(alea_int(5,1,Settings!$B$16),0,0)</f>
        <v>46215.5</v>
      </c>
      <c r="D1945" s="3" t="str" cm="1">
        <f t="array" ref="D1945">choice(Settings!K:K,1,Settings!$B$16)</f>
        <v/>
      </c>
    </row>
    <row r="1946" spans="1:4" x14ac:dyDescent="0.25">
      <c r="A1946" s="2" t="str" cm="1">
        <f t="array" ref="A1946">choice(Professeurs!A:A,1,Settings!$B$16)</f>
        <v>Prof52</v>
      </c>
      <c r="B1946" s="3" cm="1">
        <f t="array" ref="B1946">alea_date(Settings!$B$11,360,Settings!$B$8+alea_int(4,0,Settings!$B$16),Settings!$B$16)</f>
        <v>46040.416666666664</v>
      </c>
      <c r="C1946" s="3" cm="1">
        <f t="array" ref="C1946">B1946+TIME(alea_int(5,1,Settings!$B$16),0,0)</f>
        <v>46040.5</v>
      </c>
      <c r="D1946" s="3" t="str" cm="1">
        <f t="array" ref="D1946">choice(Settings!K:K,1,Settings!$B$16)</f>
        <v>vendredi am</v>
      </c>
    </row>
    <row r="1947" spans="1:4" x14ac:dyDescent="0.25">
      <c r="A1947" s="2" t="str" cm="1">
        <f t="array" ref="A1947">choice(Professeurs!A:A,1,Settings!$B$16)</f>
        <v>Prof42</v>
      </c>
      <c r="B1947" s="3" cm="1">
        <f t="array" ref="B1947">alea_date(Settings!$B$11,360,Settings!$B$8+alea_int(4,0,Settings!$B$16),Settings!$B$16)</f>
        <v>46069.416666666664</v>
      </c>
      <c r="C1947" s="3" cm="1">
        <f t="array" ref="C1947">B1947+TIME(alea_int(5,1,Settings!$B$16),0,0)</f>
        <v>46069.583333333328</v>
      </c>
      <c r="D1947" s="3" t="str" cm="1">
        <f t="array" ref="D1947">choice(Settings!K:K,1,Settings!$B$16)</f>
        <v>vendredi pm</v>
      </c>
    </row>
    <row r="1948" spans="1:4" x14ac:dyDescent="0.25">
      <c r="A1948" s="2" t="str" cm="1">
        <f t="array" ref="A1948">choice(Professeurs!A:A,1,Settings!$B$16)</f>
        <v>Prof50</v>
      </c>
      <c r="B1948" s="3" cm="1">
        <f t="array" ref="B1948">alea_date(Settings!$B$11,360,Settings!$B$8+alea_int(4,0,Settings!$B$16),Settings!$B$16)</f>
        <v>46363.333333333336</v>
      </c>
      <c r="C1948" s="3" cm="1">
        <f t="array" ref="C1948">B1948+TIME(alea_int(5,1,Settings!$B$16),0,0)</f>
        <v>46363.375</v>
      </c>
      <c r="D1948" s="3" t="str" cm="1">
        <f t="array" ref="D1948">choice(Settings!K:K,1,Settings!$B$16)</f>
        <v/>
      </c>
    </row>
    <row r="1949" spans="1:4" x14ac:dyDescent="0.25">
      <c r="A1949" s="2" t="str" cm="1">
        <f t="array" ref="A1949">choice(Professeurs!A:A,1,Settings!$B$16)</f>
        <v>Prof41</v>
      </c>
      <c r="B1949" s="3" cm="1">
        <f t="array" ref="B1949">alea_date(Settings!$B$11,360,Settings!$B$8+alea_int(4,0,Settings!$B$16),Settings!$B$16)</f>
        <v>46172.416666666664</v>
      </c>
      <c r="C1949" s="3" cm="1">
        <f t="array" ref="C1949">B1949+TIME(alea_int(5,1,Settings!$B$16),0,0)</f>
        <v>46172.583333333328</v>
      </c>
      <c r="D1949" s="3" t="str" cm="1">
        <f t="array" ref="D1949">choice(Settings!K:K,1,Settings!$B$16)</f>
        <v>mardi pm</v>
      </c>
    </row>
    <row r="1950" spans="1:4" x14ac:dyDescent="0.25">
      <c r="A1950" s="2" t="str" cm="1">
        <f t="array" ref="A1950">choice(Professeurs!A:A,1,Settings!$B$16)</f>
        <v>Prof42</v>
      </c>
      <c r="B1950" s="3" cm="1">
        <f t="array" ref="B1950">alea_date(Settings!$B$11,360,Settings!$B$8+alea_int(4,0,Settings!$B$16),Settings!$B$16)</f>
        <v>46127.416666666664</v>
      </c>
      <c r="C1950" s="3" cm="1">
        <f t="array" ref="C1950">B1950+TIME(alea_int(5,1,Settings!$B$16),0,0)</f>
        <v>46127.458333333328</v>
      </c>
      <c r="D1950" s="3" t="str" cm="1">
        <f t="array" ref="D1950">choice(Settings!K:K,1,Settings!$B$16)</f>
        <v/>
      </c>
    </row>
    <row r="1951" spans="1:4" x14ac:dyDescent="0.25">
      <c r="A1951" s="2" t="str" cm="1">
        <f t="array" ref="A1951">choice(Professeurs!A:A,1,Settings!$B$16)</f>
        <v>Prof9</v>
      </c>
      <c r="B1951" s="3" cm="1">
        <f t="array" ref="B1951">alea_date(Settings!$B$11,360,Settings!$B$8+alea_int(4,0,Settings!$B$16),Settings!$B$16)</f>
        <v>46137.458333333336</v>
      </c>
      <c r="C1951" s="3" cm="1">
        <f t="array" ref="C1951">B1951+TIME(alea_int(5,1,Settings!$B$16),0,0)</f>
        <v>46137.5</v>
      </c>
      <c r="D1951" s="3" t="str" cm="1">
        <f t="array" ref="D1951">choice(Settings!K:K,1,Settings!$B$16)</f>
        <v>vendredi pm</v>
      </c>
    </row>
    <row r="1952" spans="1:4" x14ac:dyDescent="0.25">
      <c r="A1952" s="2" t="str" cm="1">
        <f t="array" ref="A1952">choice(Professeurs!A:A,1,Settings!$B$16)</f>
        <v>Prof8</v>
      </c>
      <c r="B1952" s="3" cm="1">
        <f t="array" ref="B1952">alea_date(Settings!$B$11,360,Settings!$B$8+alea_int(4,0,Settings!$B$16),Settings!$B$16)</f>
        <v>46280.333333333336</v>
      </c>
      <c r="C1952" s="3" cm="1">
        <f t="array" ref="C1952">B1952+TIME(alea_int(5,1,Settings!$B$16),0,0)</f>
        <v>46280.5</v>
      </c>
      <c r="D1952" s="3" t="str" cm="1">
        <f t="array" ref="D1952">choice(Settings!K:K,1,Settings!$B$16)</f>
        <v/>
      </c>
    </row>
    <row r="1953" spans="1:4" x14ac:dyDescent="0.25">
      <c r="A1953" s="2" t="str" cm="1">
        <f t="array" ref="A1953">choice(Professeurs!A:A,1,Settings!$B$16)</f>
        <v>Prof3</v>
      </c>
      <c r="B1953" s="3" cm="1">
        <f t="array" ref="B1953">alea_date(Settings!$B$11,360,Settings!$B$8+alea_int(4,0,Settings!$B$16),Settings!$B$16)</f>
        <v>46130.375</v>
      </c>
      <c r="C1953" s="3" cm="1">
        <f t="array" ref="C1953">B1953+TIME(alea_int(5,1,Settings!$B$16),0,0)</f>
        <v>46130.5</v>
      </c>
      <c r="D1953" s="3" t="str" cm="1">
        <f t="array" ref="D1953">choice(Settings!K:K,1,Settings!$B$16)</f>
        <v/>
      </c>
    </row>
    <row r="1954" spans="1:4" x14ac:dyDescent="0.25">
      <c r="A1954" s="2" t="str" cm="1">
        <f t="array" ref="A1954">choice(Professeurs!A:A,1,Settings!$B$16)</f>
        <v>Prof7</v>
      </c>
      <c r="B1954" s="3" cm="1">
        <f t="array" ref="B1954">alea_date(Settings!$B$11,360,Settings!$B$8+alea_int(4,0,Settings!$B$16),Settings!$B$16)</f>
        <v>46051.458333333336</v>
      </c>
      <c r="C1954" s="3" cm="1">
        <f t="array" ref="C1954">B1954+TIME(alea_int(5,1,Settings!$B$16),0,0)</f>
        <v>46051.5</v>
      </c>
      <c r="D1954" s="3" t="str" cm="1">
        <f t="array" ref="D1954">choice(Settings!K:K,1,Settings!$B$16)</f>
        <v/>
      </c>
    </row>
    <row r="1955" spans="1:4" x14ac:dyDescent="0.25">
      <c r="A1955" s="2" t="str" cm="1">
        <f t="array" ref="A1955">choice(Professeurs!A:A,1,Settings!$B$16)</f>
        <v>Prof25</v>
      </c>
      <c r="B1955" s="3" cm="1">
        <f t="array" ref="B1955">alea_date(Settings!$B$11,360,Settings!$B$8+alea_int(4,0,Settings!$B$16),Settings!$B$16)</f>
        <v>46214.333333333336</v>
      </c>
      <c r="C1955" s="3" cm="1">
        <f t="array" ref="C1955">B1955+TIME(alea_int(5,1,Settings!$B$16),0,0)</f>
        <v>46214.375</v>
      </c>
      <c r="D1955" s="3" t="str" cm="1">
        <f t="array" ref="D1955">choice(Settings!K:K,1,Settings!$B$16)</f>
        <v/>
      </c>
    </row>
    <row r="1956" spans="1:4" x14ac:dyDescent="0.25">
      <c r="A1956" s="2" t="str" cm="1">
        <f t="array" ref="A1956">choice(Professeurs!A:A,1,Settings!$B$16)</f>
        <v>Prof49</v>
      </c>
      <c r="B1956" s="3" cm="1">
        <f t="array" ref="B1956">alea_date(Settings!$B$11,360,Settings!$B$8+alea_int(4,0,Settings!$B$16),Settings!$B$16)</f>
        <v>46154.416666666664</v>
      </c>
      <c r="C1956" s="3" cm="1">
        <f t="array" ref="C1956">B1956+TIME(alea_int(5,1,Settings!$B$16),0,0)</f>
        <v>46154.541666666664</v>
      </c>
      <c r="D1956" s="3" t="str" cm="1">
        <f t="array" ref="D1956">choice(Settings!K:K,1,Settings!$B$16)</f>
        <v/>
      </c>
    </row>
    <row r="1957" spans="1:4" x14ac:dyDescent="0.25">
      <c r="A1957" s="2" t="str" cm="1">
        <f t="array" ref="A1957">choice(Professeurs!A:A,1,Settings!$B$16)</f>
        <v>Prof53</v>
      </c>
      <c r="B1957" s="3" cm="1">
        <f t="array" ref="B1957">alea_date(Settings!$B$11,360,Settings!$B$8+alea_int(4,0,Settings!$B$16),Settings!$B$16)</f>
        <v>46257.375</v>
      </c>
      <c r="C1957" s="3" cm="1">
        <f t="array" ref="C1957">B1957+TIME(alea_int(5,1,Settings!$B$16),0,0)</f>
        <v>46257.541666666664</v>
      </c>
      <c r="D1957" s="3" t="str" cm="1">
        <f t="array" ref="D1957">choice(Settings!K:K,1,Settings!$B$16)</f>
        <v>mercredi ap</v>
      </c>
    </row>
    <row r="1958" spans="1:4" x14ac:dyDescent="0.25">
      <c r="A1958" s="2" t="str" cm="1">
        <f t="array" ref="A1958">choice(Professeurs!A:A,1,Settings!$B$16)</f>
        <v>Prof8</v>
      </c>
      <c r="B1958" s="3" cm="1">
        <f t="array" ref="B1958">alea_date(Settings!$B$11,360,Settings!$B$8+alea_int(4,0,Settings!$B$16),Settings!$B$16)</f>
        <v>46094.375</v>
      </c>
      <c r="C1958" s="3" cm="1">
        <f t="array" ref="C1958">B1958+TIME(alea_int(5,1,Settings!$B$16),0,0)</f>
        <v>46094.416666666664</v>
      </c>
      <c r="D1958" s="3" t="str" cm="1">
        <f t="array" ref="D1958">choice(Settings!K:K,1,Settings!$B$16)</f>
        <v/>
      </c>
    </row>
    <row r="1959" spans="1:4" x14ac:dyDescent="0.25">
      <c r="A1959" s="2" t="str" cm="1">
        <f t="array" ref="A1959">choice(Professeurs!A:A,1,Settings!$B$16)</f>
        <v>Prof7</v>
      </c>
      <c r="B1959" s="3" cm="1">
        <f t="array" ref="B1959">alea_date(Settings!$B$11,360,Settings!$B$8+alea_int(4,0,Settings!$B$16),Settings!$B$16)</f>
        <v>46068.416666666664</v>
      </c>
      <c r="C1959" s="3" cm="1">
        <f t="array" ref="C1959">B1959+TIME(alea_int(5,1,Settings!$B$16),0,0)</f>
        <v>46068.458333333328</v>
      </c>
      <c r="D1959" s="3" t="str" cm="1">
        <f t="array" ref="D1959">choice(Settings!K:K,1,Settings!$B$16)</f>
        <v/>
      </c>
    </row>
    <row r="1960" spans="1:4" x14ac:dyDescent="0.25">
      <c r="A1960" s="2" t="str" cm="1">
        <f t="array" ref="A1960">choice(Professeurs!A:A,1,Settings!$B$16)</f>
        <v>Prof22</v>
      </c>
      <c r="B1960" s="3" cm="1">
        <f t="array" ref="B1960">alea_date(Settings!$B$11,360,Settings!$B$8+alea_int(4,0,Settings!$B$16),Settings!$B$16)</f>
        <v>46089.375</v>
      </c>
      <c r="C1960" s="3" cm="1">
        <f t="array" ref="C1960">B1960+TIME(alea_int(5,1,Settings!$B$16),0,0)</f>
        <v>46089.5</v>
      </c>
      <c r="D1960" s="3" t="str" cm="1">
        <f t="array" ref="D1960">choice(Settings!K:K,1,Settings!$B$16)</f>
        <v>jeudi am</v>
      </c>
    </row>
    <row r="1961" spans="1:4" x14ac:dyDescent="0.25">
      <c r="A1961" s="2" t="str" cm="1">
        <f t="array" ref="A1961">choice(Professeurs!A:A,1,Settings!$B$16)</f>
        <v>Prof10</v>
      </c>
      <c r="B1961" s="3" cm="1">
        <f t="array" ref="B1961">alea_date(Settings!$B$11,360,Settings!$B$8+alea_int(4,0,Settings!$B$16),Settings!$B$16)</f>
        <v>46201.375</v>
      </c>
      <c r="C1961" s="3" cm="1">
        <f t="array" ref="C1961">B1961+TIME(alea_int(5,1,Settings!$B$16),0,0)</f>
        <v>46201.5</v>
      </c>
      <c r="D1961" s="3" t="str" cm="1">
        <f t="array" ref="D1961">choice(Settings!K:K,1,Settings!$B$16)</f>
        <v/>
      </c>
    </row>
    <row r="1962" spans="1:4" x14ac:dyDescent="0.25">
      <c r="A1962" s="2" t="str" cm="1">
        <f t="array" ref="A1962">choice(Professeurs!A:A,1,Settings!$B$16)</f>
        <v>Prof11</v>
      </c>
      <c r="B1962" s="3" cm="1">
        <f t="array" ref="B1962">alea_date(Settings!$B$11,360,Settings!$B$8+alea_int(4,0,Settings!$B$16),Settings!$B$16)</f>
        <v>46339.416666666664</v>
      </c>
      <c r="C1962" s="3" cm="1">
        <f t="array" ref="C1962">B1962+TIME(alea_int(5,1,Settings!$B$16),0,0)</f>
        <v>46339.541666666664</v>
      </c>
      <c r="D1962" s="3" t="str" cm="1">
        <f t="array" ref="D1962">choice(Settings!K:K,1,Settings!$B$16)</f>
        <v/>
      </c>
    </row>
    <row r="1963" spans="1:4" x14ac:dyDescent="0.25">
      <c r="A1963" s="2" t="str" cm="1">
        <f t="array" ref="A1963">choice(Professeurs!A:A,1,Settings!$B$16)</f>
        <v>Prof36</v>
      </c>
      <c r="B1963" s="3" cm="1">
        <f t="array" ref="B1963">alea_date(Settings!$B$11,360,Settings!$B$8+alea_int(4,0,Settings!$B$16),Settings!$B$16)</f>
        <v>46312.458333333336</v>
      </c>
      <c r="C1963" s="3" cm="1">
        <f t="array" ref="C1963">B1963+TIME(alea_int(5,1,Settings!$B$16),0,0)</f>
        <v>46312.625</v>
      </c>
      <c r="D1963" s="3" t="str" cm="1">
        <f t="array" ref="D1963">choice(Settings!K:K,1,Settings!$B$16)</f>
        <v/>
      </c>
    </row>
    <row r="1964" spans="1:4" x14ac:dyDescent="0.25">
      <c r="A1964" s="2" t="str" cm="1">
        <f t="array" ref="A1964">choice(Professeurs!A:A,1,Settings!$B$16)</f>
        <v>Prof21</v>
      </c>
      <c r="B1964" s="3" cm="1">
        <f t="array" ref="B1964">alea_date(Settings!$B$11,360,Settings!$B$8+alea_int(4,0,Settings!$B$16),Settings!$B$16)</f>
        <v>46176.375</v>
      </c>
      <c r="C1964" s="3" cm="1">
        <f t="array" ref="C1964">B1964+TIME(alea_int(5,1,Settings!$B$16),0,0)</f>
        <v>46176.541666666664</v>
      </c>
      <c r="D1964" s="3" t="str" cm="1">
        <f t="array" ref="D1964">choice(Settings!K:K,1,Settings!$B$16)</f>
        <v/>
      </c>
    </row>
    <row r="1965" spans="1:4" x14ac:dyDescent="0.25">
      <c r="A1965" s="2" t="str" cm="1">
        <f t="array" ref="A1965">choice(Professeurs!A:A,1,Settings!$B$16)</f>
        <v>Prof48</v>
      </c>
      <c r="B1965" s="3" cm="1">
        <f t="array" ref="B1965">alea_date(Settings!$B$11,360,Settings!$B$8+alea_int(4,0,Settings!$B$16),Settings!$B$16)</f>
        <v>46222.416666666664</v>
      </c>
      <c r="C1965" s="3" cm="1">
        <f t="array" ref="C1965">B1965+TIME(alea_int(5,1,Settings!$B$16),0,0)</f>
        <v>46222.583333333328</v>
      </c>
      <c r="D1965" s="3" t="str" cm="1">
        <f t="array" ref="D1965">choice(Settings!K:K,1,Settings!$B$16)</f>
        <v/>
      </c>
    </row>
    <row r="1966" spans="1:4" x14ac:dyDescent="0.25">
      <c r="A1966" s="2" t="str" cm="1">
        <f t="array" ref="A1966">choice(Professeurs!A:A,1,Settings!$B$16)</f>
        <v>Prof44</v>
      </c>
      <c r="B1966" s="3" cm="1">
        <f t="array" ref="B1966">alea_date(Settings!$B$11,360,Settings!$B$8+alea_int(4,0,Settings!$B$16),Settings!$B$16)</f>
        <v>46224.333333333336</v>
      </c>
      <c r="C1966" s="3" cm="1">
        <f t="array" ref="C1966">B1966+TIME(alea_int(5,1,Settings!$B$16),0,0)</f>
        <v>46224.416666666672</v>
      </c>
      <c r="D1966" s="3" t="str" cm="1">
        <f t="array" ref="D1966">choice(Settings!K:K,1,Settings!$B$16)</f>
        <v>mardi pm</v>
      </c>
    </row>
    <row r="1967" spans="1:4" x14ac:dyDescent="0.25">
      <c r="A1967" s="2" t="str" cm="1">
        <f t="array" ref="A1967">choice(Professeurs!A:A,1,Settings!$B$16)</f>
        <v>Prof38</v>
      </c>
      <c r="B1967" s="3" cm="1">
        <f t="array" ref="B1967">alea_date(Settings!$B$11,360,Settings!$B$8+alea_int(4,0,Settings!$B$16),Settings!$B$16)</f>
        <v>46320.333333333336</v>
      </c>
      <c r="C1967" s="3" cm="1">
        <f t="array" ref="C1967">B1967+TIME(alea_int(5,1,Settings!$B$16),0,0)</f>
        <v>46320.375</v>
      </c>
      <c r="D1967" s="3" t="str" cm="1">
        <f t="array" ref="D1967">choice(Settings!K:K,1,Settings!$B$16)</f>
        <v/>
      </c>
    </row>
    <row r="1968" spans="1:4" x14ac:dyDescent="0.25">
      <c r="A1968" s="2" t="str" cm="1">
        <f t="array" ref="A1968">choice(Professeurs!A:A,1,Settings!$B$16)</f>
        <v>Prof8</v>
      </c>
      <c r="B1968" s="3" cm="1">
        <f t="array" ref="B1968">alea_date(Settings!$B$11,360,Settings!$B$8+alea_int(4,0,Settings!$B$16),Settings!$B$16)</f>
        <v>46119.333333333336</v>
      </c>
      <c r="C1968" s="3" cm="1">
        <f t="array" ref="C1968">B1968+TIME(alea_int(5,1,Settings!$B$16),0,0)</f>
        <v>46119.541666666672</v>
      </c>
      <c r="D1968" s="3" t="str" cm="1">
        <f t="array" ref="D1968">choice(Settings!K:K,1,Settings!$B$16)</f>
        <v>jeudi am</v>
      </c>
    </row>
    <row r="1969" spans="1:4" x14ac:dyDescent="0.25">
      <c r="A1969" s="2" t="str" cm="1">
        <f t="array" ref="A1969">choice(Professeurs!A:A,1,Settings!$B$16)</f>
        <v>Prof8</v>
      </c>
      <c r="B1969" s="3" cm="1">
        <f t="array" ref="B1969">alea_date(Settings!$B$11,360,Settings!$B$8+alea_int(4,0,Settings!$B$16),Settings!$B$16)</f>
        <v>46339.333333333336</v>
      </c>
      <c r="C1969" s="3" cm="1">
        <f t="array" ref="C1969">B1969+TIME(alea_int(5,1,Settings!$B$16),0,0)</f>
        <v>46339.541666666672</v>
      </c>
      <c r="D1969" s="3" t="str" cm="1">
        <f t="array" ref="D1969">choice(Settings!K:K,1,Settings!$B$16)</f>
        <v/>
      </c>
    </row>
    <row r="1970" spans="1:4" x14ac:dyDescent="0.25">
      <c r="A1970" s="2" t="str" cm="1">
        <f t="array" ref="A1970">choice(Professeurs!A:A,1,Settings!$B$16)</f>
        <v>Prof25</v>
      </c>
      <c r="B1970" s="3" cm="1">
        <f t="array" ref="B1970">alea_date(Settings!$B$11,360,Settings!$B$8+alea_int(4,0,Settings!$B$16),Settings!$B$16)</f>
        <v>46220.375</v>
      </c>
      <c r="C1970" s="3" cm="1">
        <f t="array" ref="C1970">B1970+TIME(alea_int(5,1,Settings!$B$16),0,0)</f>
        <v>46220.541666666664</v>
      </c>
      <c r="D1970" s="3" t="str" cm="1">
        <f t="array" ref="D1970">choice(Settings!K:K,1,Settings!$B$16)</f>
        <v/>
      </c>
    </row>
    <row r="1971" spans="1:4" x14ac:dyDescent="0.25">
      <c r="A1971" s="2" t="str" cm="1">
        <f t="array" ref="A1971">choice(Professeurs!A:A,1,Settings!$B$16)</f>
        <v>Prof14</v>
      </c>
      <c r="B1971" s="3" cm="1">
        <f t="array" ref="B1971">alea_date(Settings!$B$11,360,Settings!$B$8+alea_int(4,0,Settings!$B$16),Settings!$B$16)</f>
        <v>46183.333333333336</v>
      </c>
      <c r="C1971" s="3" cm="1">
        <f t="array" ref="C1971">B1971+TIME(alea_int(5,1,Settings!$B$16),0,0)</f>
        <v>46183.375</v>
      </c>
      <c r="D1971" s="3" t="str" cm="1">
        <f t="array" ref="D1971">choice(Settings!K:K,1,Settings!$B$16)</f>
        <v/>
      </c>
    </row>
    <row r="1972" spans="1:4" x14ac:dyDescent="0.25">
      <c r="A1972" s="2" t="str" cm="1">
        <f t="array" ref="A1972">choice(Professeurs!A:A,1,Settings!$B$16)</f>
        <v>Prof39</v>
      </c>
      <c r="B1972" s="3" cm="1">
        <f t="array" ref="B1972">alea_date(Settings!$B$11,360,Settings!$B$8+alea_int(4,0,Settings!$B$16),Settings!$B$16)</f>
        <v>46160.416666666664</v>
      </c>
      <c r="C1972" s="3" cm="1">
        <f t="array" ref="C1972">B1972+TIME(alea_int(5,1,Settings!$B$16),0,0)</f>
        <v>46160.458333333328</v>
      </c>
      <c r="D1972" s="3" t="str" cm="1">
        <f t="array" ref="D1972">choice(Settings!K:K,1,Settings!$B$16)</f>
        <v>lundi am</v>
      </c>
    </row>
    <row r="1973" spans="1:4" x14ac:dyDescent="0.25">
      <c r="A1973" s="2" t="str" cm="1">
        <f t="array" ref="A1973">choice(Professeurs!A:A,1,Settings!$B$16)</f>
        <v>Prof7</v>
      </c>
      <c r="B1973" s="3" cm="1">
        <f t="array" ref="B1973">alea_date(Settings!$B$11,360,Settings!$B$8+alea_int(4,0,Settings!$B$16),Settings!$B$16)</f>
        <v>46335.416666666664</v>
      </c>
      <c r="C1973" s="3" cm="1">
        <f t="array" ref="C1973">B1973+TIME(alea_int(5,1,Settings!$B$16),0,0)</f>
        <v>46335.625</v>
      </c>
      <c r="D1973" s="3" t="str" cm="1">
        <f t="array" ref="D1973">choice(Settings!K:K,1,Settings!$B$16)</f>
        <v>vendredi am</v>
      </c>
    </row>
    <row r="1974" spans="1:4" x14ac:dyDescent="0.25">
      <c r="A1974" s="2" t="str" cm="1">
        <f t="array" ref="A1974">choice(Professeurs!A:A,1,Settings!$B$16)</f>
        <v>Prof16</v>
      </c>
      <c r="B1974" s="3" cm="1">
        <f t="array" ref="B1974">alea_date(Settings!$B$11,360,Settings!$B$8+alea_int(4,0,Settings!$B$16),Settings!$B$16)</f>
        <v>46329.375</v>
      </c>
      <c r="C1974" s="3" cm="1">
        <f t="array" ref="C1974">B1974+TIME(alea_int(5,1,Settings!$B$16),0,0)</f>
        <v>46329.5</v>
      </c>
      <c r="D1974" s="3" t="str" cm="1">
        <f t="array" ref="D1974">choice(Settings!K:K,1,Settings!$B$16)</f>
        <v/>
      </c>
    </row>
    <row r="1975" spans="1:4" x14ac:dyDescent="0.25">
      <c r="A1975" s="2" t="str" cm="1">
        <f t="array" ref="A1975">choice(Professeurs!A:A,1,Settings!$B$16)</f>
        <v>Prof17</v>
      </c>
      <c r="B1975" s="3" cm="1">
        <f t="array" ref="B1975">alea_date(Settings!$B$11,360,Settings!$B$8+alea_int(4,0,Settings!$B$16),Settings!$B$16)</f>
        <v>46161.375</v>
      </c>
      <c r="C1975" s="3" cm="1">
        <f t="array" ref="C1975">B1975+TIME(alea_int(5,1,Settings!$B$16),0,0)</f>
        <v>46161.458333333336</v>
      </c>
      <c r="D1975" s="3" t="str" cm="1">
        <f t="array" ref="D1975">choice(Settings!K:K,1,Settings!$B$16)</f>
        <v/>
      </c>
    </row>
    <row r="1976" spans="1:4" x14ac:dyDescent="0.25">
      <c r="A1976" s="2" t="str" cm="1">
        <f t="array" ref="A1976">choice(Professeurs!A:A,1,Settings!$B$16)</f>
        <v>Prof52</v>
      </c>
      <c r="B1976" s="3" cm="1">
        <f t="array" ref="B1976">alea_date(Settings!$B$11,360,Settings!$B$8+alea_int(4,0,Settings!$B$16),Settings!$B$16)</f>
        <v>46269.458333333336</v>
      </c>
      <c r="C1976" s="3" cm="1">
        <f t="array" ref="C1976">B1976+TIME(alea_int(5,1,Settings!$B$16),0,0)</f>
        <v>46269.666666666672</v>
      </c>
      <c r="D1976" s="3" t="str" cm="1">
        <f t="array" ref="D1976">choice(Settings!K:K,1,Settings!$B$16)</f>
        <v/>
      </c>
    </row>
    <row r="1977" spans="1:4" x14ac:dyDescent="0.25">
      <c r="A1977" s="2" t="str" cm="1">
        <f t="array" ref="A1977">choice(Professeurs!A:A,1,Settings!$B$16)</f>
        <v>Prof16</v>
      </c>
      <c r="B1977" s="3" cm="1">
        <f t="array" ref="B1977">alea_date(Settings!$B$11,360,Settings!$B$8+alea_int(4,0,Settings!$B$16),Settings!$B$16)</f>
        <v>46232.416666666664</v>
      </c>
      <c r="C1977" s="3" cm="1">
        <f t="array" ref="C1977">B1977+TIME(alea_int(5,1,Settings!$B$16),0,0)</f>
        <v>46232.541666666664</v>
      </c>
      <c r="D1977" s="3" t="str" cm="1">
        <f t="array" ref="D1977">choice(Settings!K:K,1,Settings!$B$16)</f>
        <v>mercredi ap</v>
      </c>
    </row>
    <row r="1978" spans="1:4" x14ac:dyDescent="0.25">
      <c r="A1978" s="2" t="str" cm="1">
        <f t="array" ref="A1978">choice(Professeurs!A:A,1,Settings!$B$16)</f>
        <v>Prof14</v>
      </c>
      <c r="B1978" s="3" cm="1">
        <f t="array" ref="B1978">alea_date(Settings!$B$11,360,Settings!$B$8+alea_int(4,0,Settings!$B$16),Settings!$B$16)</f>
        <v>46210.416666666664</v>
      </c>
      <c r="C1978" s="3" cm="1">
        <f t="array" ref="C1978">B1978+TIME(alea_int(5,1,Settings!$B$16),0,0)</f>
        <v>46210.5</v>
      </c>
      <c r="D1978" s="3" t="str" cm="1">
        <f t="array" ref="D1978">choice(Settings!K:K,1,Settings!$B$16)</f>
        <v/>
      </c>
    </row>
    <row r="1979" spans="1:4" x14ac:dyDescent="0.25">
      <c r="A1979" s="2" t="str" cm="1">
        <f t="array" ref="A1979">choice(Professeurs!A:A,1,Settings!$B$16)</f>
        <v>Prof55</v>
      </c>
      <c r="B1979" s="3" cm="1">
        <f t="array" ref="B1979">alea_date(Settings!$B$11,360,Settings!$B$8+alea_int(4,0,Settings!$B$16),Settings!$B$16)</f>
        <v>46237.333333333336</v>
      </c>
      <c r="C1979" s="3" cm="1">
        <f t="array" ref="C1979">B1979+TIME(alea_int(5,1,Settings!$B$16),0,0)</f>
        <v>46237.375</v>
      </c>
      <c r="D1979" s="3" t="str" cm="1">
        <f t="array" ref="D1979">choice(Settings!K:K,1,Settings!$B$16)</f>
        <v>lundi pm</v>
      </c>
    </row>
    <row r="1980" spans="1:4" x14ac:dyDescent="0.25">
      <c r="A1980" s="2" t="str" cm="1">
        <f t="array" ref="A1980">choice(Professeurs!A:A,1,Settings!$B$16)</f>
        <v>Prof32</v>
      </c>
      <c r="B1980" s="3" cm="1">
        <f t="array" ref="B1980">alea_date(Settings!$B$11,360,Settings!$B$8+alea_int(4,0,Settings!$B$16),Settings!$B$16)</f>
        <v>46344.333333333336</v>
      </c>
      <c r="C1980" s="3" cm="1">
        <f t="array" ref="C1980">B1980+TIME(alea_int(5,1,Settings!$B$16),0,0)</f>
        <v>46344.375</v>
      </c>
      <c r="D1980" s="3" t="str" cm="1">
        <f t="array" ref="D1980">choice(Settings!K:K,1,Settings!$B$16)</f>
        <v/>
      </c>
    </row>
    <row r="1981" spans="1:4" x14ac:dyDescent="0.25">
      <c r="A1981" s="2" t="str" cm="1">
        <f t="array" ref="A1981">choice(Professeurs!A:A,1,Settings!$B$16)</f>
        <v>Prof6</v>
      </c>
      <c r="B1981" s="3" cm="1">
        <f t="array" ref="B1981">alea_date(Settings!$B$11,360,Settings!$B$8+alea_int(4,0,Settings!$B$16),Settings!$B$16)</f>
        <v>46372.375</v>
      </c>
      <c r="C1981" s="3" cm="1">
        <f t="array" ref="C1981">B1981+TIME(alea_int(5,1,Settings!$B$16),0,0)</f>
        <v>46372.541666666664</v>
      </c>
      <c r="D1981" s="3" t="str" cm="1">
        <f t="array" ref="D1981">choice(Settings!K:K,1,Settings!$B$16)</f>
        <v/>
      </c>
    </row>
    <row r="1982" spans="1:4" x14ac:dyDescent="0.25">
      <c r="A1982" s="2" t="str" cm="1">
        <f t="array" ref="A1982">choice(Professeurs!A:A,1,Settings!$B$16)</f>
        <v>Prof43</v>
      </c>
      <c r="B1982" s="3" cm="1">
        <f t="array" ref="B1982">alea_date(Settings!$B$11,360,Settings!$B$8+alea_int(4,0,Settings!$B$16),Settings!$B$16)</f>
        <v>46093.416666666664</v>
      </c>
      <c r="C1982" s="3" cm="1">
        <f t="array" ref="C1982">B1982+TIME(alea_int(5,1,Settings!$B$16),0,0)</f>
        <v>46093.583333333328</v>
      </c>
      <c r="D1982" s="3" t="str" cm="1">
        <f t="array" ref="D1982">choice(Settings!K:K,1,Settings!$B$16)</f>
        <v/>
      </c>
    </row>
    <row r="1983" spans="1:4" x14ac:dyDescent="0.25">
      <c r="A1983" s="2" t="str" cm="1">
        <f t="array" ref="A1983">choice(Professeurs!A:A,1,Settings!$B$16)</f>
        <v>Prof48</v>
      </c>
      <c r="B1983" s="3" cm="1">
        <f t="array" ref="B1983">alea_date(Settings!$B$11,360,Settings!$B$8+alea_int(4,0,Settings!$B$16),Settings!$B$16)</f>
        <v>46249.458333333336</v>
      </c>
      <c r="C1983" s="3" cm="1">
        <f t="array" ref="C1983">B1983+TIME(alea_int(5,1,Settings!$B$16),0,0)</f>
        <v>46249.625</v>
      </c>
      <c r="D1983" s="3" t="str" cm="1">
        <f t="array" ref="D1983">choice(Settings!K:K,1,Settings!$B$16)</f>
        <v/>
      </c>
    </row>
    <row r="1984" spans="1:4" x14ac:dyDescent="0.25">
      <c r="A1984" s="2" t="str" cm="1">
        <f t="array" ref="A1984">choice(Professeurs!A:A,1,Settings!$B$16)</f>
        <v>Prof39</v>
      </c>
      <c r="B1984" s="3" cm="1">
        <f t="array" ref="B1984">alea_date(Settings!$B$11,360,Settings!$B$8+alea_int(4,0,Settings!$B$16),Settings!$B$16)</f>
        <v>46205.375</v>
      </c>
      <c r="C1984" s="3" cm="1">
        <f t="array" ref="C1984">B1984+TIME(alea_int(5,1,Settings!$B$16),0,0)</f>
        <v>46205.416666666664</v>
      </c>
      <c r="D1984" s="3" t="str" cm="1">
        <f t="array" ref="D1984">choice(Settings!K:K,1,Settings!$B$16)</f>
        <v/>
      </c>
    </row>
    <row r="1985" spans="1:4" x14ac:dyDescent="0.25">
      <c r="A1985" s="2" t="str" cm="1">
        <f t="array" ref="A1985">choice(Professeurs!A:A,1,Settings!$B$16)</f>
        <v>Prof29</v>
      </c>
      <c r="B1985" s="3" cm="1">
        <f t="array" ref="B1985">alea_date(Settings!$B$11,360,Settings!$B$8+alea_int(4,0,Settings!$B$16),Settings!$B$16)</f>
        <v>46241.458333333336</v>
      </c>
      <c r="C1985" s="3" cm="1">
        <f t="array" ref="C1985">B1985+TIME(alea_int(5,1,Settings!$B$16),0,0)</f>
        <v>46241.666666666672</v>
      </c>
      <c r="D1985" s="3" t="str" cm="1">
        <f t="array" ref="D1985">choice(Settings!K:K,1,Settings!$B$16)</f>
        <v/>
      </c>
    </row>
    <row r="1986" spans="1:4" x14ac:dyDescent="0.25">
      <c r="A1986" s="2" t="str" cm="1">
        <f t="array" ref="A1986">choice(Professeurs!A:A,1,Settings!$B$16)</f>
        <v>Prof53</v>
      </c>
      <c r="B1986" s="3" cm="1">
        <f t="array" ref="B1986">alea_date(Settings!$B$11,360,Settings!$B$8+alea_int(4,0,Settings!$B$16),Settings!$B$16)</f>
        <v>46329.416666666664</v>
      </c>
      <c r="C1986" s="3" cm="1">
        <f t="array" ref="C1986">B1986+TIME(alea_int(5,1,Settings!$B$16),0,0)</f>
        <v>46329.458333333328</v>
      </c>
      <c r="D1986" s="3" t="str" cm="1">
        <f t="array" ref="D1986">choice(Settings!K:K,1,Settings!$B$16)</f>
        <v/>
      </c>
    </row>
    <row r="1987" spans="1:4" x14ac:dyDescent="0.25">
      <c r="A1987" s="2" t="str" cm="1">
        <f t="array" ref="A1987">choice(Professeurs!A:A,1,Settings!$B$16)</f>
        <v>Prof27</v>
      </c>
      <c r="B1987" s="3" cm="1">
        <f t="array" ref="B1987">alea_date(Settings!$B$11,360,Settings!$B$8+alea_int(4,0,Settings!$B$16),Settings!$B$16)</f>
        <v>46341.416666666664</v>
      </c>
      <c r="C1987" s="3" cm="1">
        <f t="array" ref="C1987">B1987+TIME(alea_int(5,1,Settings!$B$16),0,0)</f>
        <v>46341.5</v>
      </c>
      <c r="D1987" s="3" t="str" cm="1">
        <f t="array" ref="D1987">choice(Settings!K:K,1,Settings!$B$16)</f>
        <v/>
      </c>
    </row>
    <row r="1988" spans="1:4" x14ac:dyDescent="0.25">
      <c r="A1988" s="2" t="str" cm="1">
        <f t="array" ref="A1988">choice(Professeurs!A:A,1,Settings!$B$16)</f>
        <v>Prof15</v>
      </c>
      <c r="B1988" s="3" cm="1">
        <f t="array" ref="B1988">alea_date(Settings!$B$11,360,Settings!$B$8+alea_int(4,0,Settings!$B$16),Settings!$B$16)</f>
        <v>46062.458333333336</v>
      </c>
      <c r="C1988" s="3" cm="1">
        <f t="array" ref="C1988">B1988+TIME(alea_int(5,1,Settings!$B$16),0,0)</f>
        <v>46062.666666666672</v>
      </c>
      <c r="D1988" s="3" t="str" cm="1">
        <f t="array" ref="D1988">choice(Settings!K:K,1,Settings!$B$16)</f>
        <v>jeudi am</v>
      </c>
    </row>
    <row r="1989" spans="1:4" x14ac:dyDescent="0.25">
      <c r="A1989" s="2" t="str" cm="1">
        <f t="array" ref="A1989">choice(Professeurs!A:A,1,Settings!$B$16)</f>
        <v>Prof27</v>
      </c>
      <c r="B1989" s="3" cm="1">
        <f t="array" ref="B1989">alea_date(Settings!$B$11,360,Settings!$B$8+alea_int(4,0,Settings!$B$16),Settings!$B$16)</f>
        <v>46268.333333333336</v>
      </c>
      <c r="C1989" s="3" cm="1">
        <f t="array" ref="C1989">B1989+TIME(alea_int(5,1,Settings!$B$16),0,0)</f>
        <v>46268.5</v>
      </c>
      <c r="D1989" s="3" t="str" cm="1">
        <f t="array" ref="D1989">choice(Settings!K:K,1,Settings!$B$16)</f>
        <v>mardi pm</v>
      </c>
    </row>
    <row r="1990" spans="1:4" x14ac:dyDescent="0.25">
      <c r="A1990" s="2" t="str" cm="1">
        <f t="array" ref="A1990">choice(Professeurs!A:A,1,Settings!$B$16)</f>
        <v>Prof51</v>
      </c>
      <c r="B1990" s="3" cm="1">
        <f t="array" ref="B1990">alea_date(Settings!$B$11,360,Settings!$B$8+alea_int(4,0,Settings!$B$16),Settings!$B$16)</f>
        <v>46245.416666666664</v>
      </c>
      <c r="C1990" s="3" cm="1">
        <f t="array" ref="C1990">B1990+TIME(alea_int(5,1,Settings!$B$16),0,0)</f>
        <v>46245.583333333328</v>
      </c>
      <c r="D1990" s="3" t="str" cm="1">
        <f t="array" ref="D1990">choice(Settings!K:K,1,Settings!$B$16)</f>
        <v/>
      </c>
    </row>
    <row r="1991" spans="1:4" x14ac:dyDescent="0.25">
      <c r="A1991" s="2" t="str" cm="1">
        <f t="array" ref="A1991">choice(Professeurs!A:A,1,Settings!$B$16)</f>
        <v>Prof35</v>
      </c>
      <c r="B1991" s="3" cm="1">
        <f t="array" ref="B1991">alea_date(Settings!$B$11,360,Settings!$B$8+alea_int(4,0,Settings!$B$16),Settings!$B$16)</f>
        <v>46263.333333333336</v>
      </c>
      <c r="C1991" s="3" cm="1">
        <f t="array" ref="C1991">B1991+TIME(alea_int(5,1,Settings!$B$16),0,0)</f>
        <v>46263.541666666672</v>
      </c>
      <c r="D1991" s="3" t="str" cm="1">
        <f t="array" ref="D1991">choice(Settings!K:K,1,Settings!$B$16)</f>
        <v/>
      </c>
    </row>
    <row r="1992" spans="1:4" x14ac:dyDescent="0.25">
      <c r="A1992" s="2" t="str" cm="1">
        <f t="array" ref="A1992">choice(Professeurs!A:A,1,Settings!$B$16)</f>
        <v>Prof36</v>
      </c>
      <c r="B1992" s="3" cm="1">
        <f t="array" ref="B1992">alea_date(Settings!$B$11,360,Settings!$B$8+alea_int(4,0,Settings!$B$16),Settings!$B$16)</f>
        <v>46267.416666666664</v>
      </c>
      <c r="C1992" s="3" cm="1">
        <f t="array" ref="C1992">B1992+TIME(alea_int(5,1,Settings!$B$16),0,0)</f>
        <v>46267.5</v>
      </c>
      <c r="D1992" s="3" t="str" cm="1">
        <f t="array" ref="D1992">choice(Settings!K:K,1,Settings!$B$16)</f>
        <v/>
      </c>
    </row>
    <row r="1993" spans="1:4" x14ac:dyDescent="0.25">
      <c r="A1993" s="2" t="str" cm="1">
        <f t="array" ref="A1993">choice(Professeurs!A:A,1,Settings!$B$16)</f>
        <v>Prof35</v>
      </c>
      <c r="B1993" s="3" cm="1">
        <f t="array" ref="B1993">alea_date(Settings!$B$11,360,Settings!$B$8+alea_int(4,0,Settings!$B$16),Settings!$B$16)</f>
        <v>46294.375</v>
      </c>
      <c r="C1993" s="3" cm="1">
        <f t="array" ref="C1993">B1993+TIME(alea_int(5,1,Settings!$B$16),0,0)</f>
        <v>46294.583333333336</v>
      </c>
      <c r="D1993" s="3" t="str" cm="1">
        <f t="array" ref="D1993">choice(Settings!K:K,1,Settings!$B$16)</f>
        <v/>
      </c>
    </row>
    <row r="1994" spans="1:4" x14ac:dyDescent="0.25">
      <c r="A1994" s="2" t="str" cm="1">
        <f t="array" ref="A1994">choice(Professeurs!A:A,1,Settings!$B$16)</f>
        <v>Prof35</v>
      </c>
      <c r="B1994" s="3" cm="1">
        <f t="array" ref="B1994">alea_date(Settings!$B$11,360,Settings!$B$8+alea_int(4,0,Settings!$B$16),Settings!$B$16)</f>
        <v>46350.375</v>
      </c>
      <c r="C1994" s="3" cm="1">
        <f t="array" ref="C1994">B1994+TIME(alea_int(5,1,Settings!$B$16),0,0)</f>
        <v>46350.416666666664</v>
      </c>
      <c r="D1994" s="3" t="str" cm="1">
        <f t="array" ref="D1994">choice(Settings!K:K,1,Settings!$B$16)</f>
        <v/>
      </c>
    </row>
    <row r="1995" spans="1:4" x14ac:dyDescent="0.25">
      <c r="A1995" s="2" t="str" cm="1">
        <f t="array" ref="A1995">choice(Professeurs!A:A,1,Settings!$B$16)</f>
        <v>Prof38</v>
      </c>
      <c r="B1995" s="3" cm="1">
        <f t="array" ref="B1995">alea_date(Settings!$B$11,360,Settings!$B$8+alea_int(4,0,Settings!$B$16),Settings!$B$16)</f>
        <v>46141.458333333336</v>
      </c>
      <c r="C1995" s="3" cm="1">
        <f t="array" ref="C1995">B1995+TIME(alea_int(5,1,Settings!$B$16),0,0)</f>
        <v>46141.541666666672</v>
      </c>
      <c r="D1995" s="3" t="str" cm="1">
        <f t="array" ref="D1995">choice(Settings!K:K,1,Settings!$B$16)</f>
        <v>jeudi am</v>
      </c>
    </row>
    <row r="1996" spans="1:4" x14ac:dyDescent="0.25">
      <c r="A1996" s="2" t="str" cm="1">
        <f t="array" ref="A1996">choice(Professeurs!A:A,1,Settings!$B$16)</f>
        <v>Prof12</v>
      </c>
      <c r="B1996" s="3" cm="1">
        <f t="array" ref="B1996">alea_date(Settings!$B$11,360,Settings!$B$8+alea_int(4,0,Settings!$B$16),Settings!$B$16)</f>
        <v>46151.375</v>
      </c>
      <c r="C1996" s="3" cm="1">
        <f t="array" ref="C1996">B1996+TIME(alea_int(5,1,Settings!$B$16),0,0)</f>
        <v>46151.5</v>
      </c>
      <c r="D1996" s="3" t="str" cm="1">
        <f t="array" ref="D1996">choice(Settings!K:K,1,Settings!$B$16)</f>
        <v/>
      </c>
    </row>
    <row r="1997" spans="1:4" x14ac:dyDescent="0.25">
      <c r="A1997" s="2" t="str" cm="1">
        <f t="array" ref="A1997">choice(Professeurs!A:A,1,Settings!$B$16)</f>
        <v>Prof46</v>
      </c>
      <c r="B1997" s="3" cm="1">
        <f t="array" ref="B1997">alea_date(Settings!$B$11,360,Settings!$B$8+alea_int(4,0,Settings!$B$16),Settings!$B$16)</f>
        <v>46073.416666666664</v>
      </c>
      <c r="C1997" s="3" cm="1">
        <f t="array" ref="C1997">B1997+TIME(alea_int(5,1,Settings!$B$16),0,0)</f>
        <v>46073.583333333328</v>
      </c>
      <c r="D1997" s="3" t="str" cm="1">
        <f t="array" ref="D1997">choice(Settings!K:K,1,Settings!$B$16)</f>
        <v/>
      </c>
    </row>
    <row r="1998" spans="1:4" x14ac:dyDescent="0.25">
      <c r="A1998" s="2" t="str" cm="1">
        <f t="array" ref="A1998">choice(Professeurs!A:A,1,Settings!$B$16)</f>
        <v>Prof53</v>
      </c>
      <c r="B1998" s="3" cm="1">
        <f t="array" ref="B1998">alea_date(Settings!$B$11,360,Settings!$B$8+alea_int(4,0,Settings!$B$16),Settings!$B$16)</f>
        <v>46152.416666666664</v>
      </c>
      <c r="C1998" s="3" cm="1">
        <f t="array" ref="C1998">B1998+TIME(alea_int(5,1,Settings!$B$16),0,0)</f>
        <v>46152.625</v>
      </c>
      <c r="D1998" s="3" t="str" cm="1">
        <f t="array" ref="D1998">choice(Settings!K:K,1,Settings!$B$16)</f>
        <v/>
      </c>
    </row>
    <row r="1999" spans="1:4" x14ac:dyDescent="0.25">
      <c r="A1999" s="2" t="str" cm="1">
        <f t="array" ref="A1999">choice(Professeurs!A:A,1,Settings!$B$16)</f>
        <v>Prof34</v>
      </c>
      <c r="B1999" s="3" cm="1">
        <f t="array" ref="B1999">alea_date(Settings!$B$11,360,Settings!$B$8+alea_int(4,0,Settings!$B$16),Settings!$B$16)</f>
        <v>46273.375</v>
      </c>
      <c r="C1999" s="3" cm="1">
        <f t="array" ref="C1999">B1999+TIME(alea_int(5,1,Settings!$B$16),0,0)</f>
        <v>46273.416666666664</v>
      </c>
      <c r="D1999" s="3" t="str" cm="1">
        <f t="array" ref="D1999">choice(Settings!K:K,1,Settings!$B$16)</f>
        <v>lundi pm</v>
      </c>
    </row>
    <row r="2000" spans="1:4" x14ac:dyDescent="0.25">
      <c r="A2000" s="2" t="str" cm="1">
        <f t="array" ref="A2000">choice(Professeurs!A:A,1,Settings!$B$16)</f>
        <v>Prof24</v>
      </c>
      <c r="B2000" s="3" cm="1">
        <f t="array" ref="B2000">alea_date(Settings!$B$11,360,Settings!$B$8+alea_int(4,0,Settings!$B$16),Settings!$B$16)</f>
        <v>46252.416666666664</v>
      </c>
      <c r="C2000" s="3" cm="1">
        <f t="array" ref="C2000">B2000+TIME(alea_int(5,1,Settings!$B$16),0,0)</f>
        <v>46252.625</v>
      </c>
      <c r="D2000" s="3" t="str" cm="1">
        <f t="array" ref="D2000">choice(Settings!K:K,1,Settings!$B$16)</f>
        <v>jeudi am</v>
      </c>
    </row>
    <row r="2001" spans="1:4" x14ac:dyDescent="0.25">
      <c r="A2001" s="2" t="str" cm="1">
        <f t="array" ref="A2001">choice(Professeurs!A:A,1,Settings!$B$16)</f>
        <v>Prof1</v>
      </c>
      <c r="B2001" s="3" cm="1">
        <f t="array" ref="B2001">alea_date(Settings!$B$11,360,Settings!$B$8+alea_int(4,0,Settings!$B$16),Settings!$B$16)</f>
        <v>46072.333333333336</v>
      </c>
      <c r="C2001" s="3" cm="1">
        <f t="array" ref="C2001">B2001+TIME(alea_int(5,1,Settings!$B$16),0,0)</f>
        <v>46072.458333333336</v>
      </c>
      <c r="D2001" s="3" t="str" cm="1">
        <f t="array" ref="D2001">choice(Settings!K:K,1,Settings!$B$16)</f>
        <v>jeudi pm</v>
      </c>
    </row>
    <row r="2002" spans="1:4" x14ac:dyDescent="0.25">
      <c r="A2002" s="2" t="str" cm="1">
        <f t="array" ref="A2002">choice(Professeurs!A:A,1,Settings!$B$16)</f>
        <v>Prof36</v>
      </c>
      <c r="B2002" s="3" cm="1">
        <f t="array" ref="B2002">alea_date(Settings!$B$11,360,Settings!$B$8+alea_int(4,0,Settings!$B$16),Settings!$B$16)</f>
        <v>46270.416666666664</v>
      </c>
      <c r="C2002" s="3" cm="1">
        <f t="array" ref="C2002">B2002+TIME(alea_int(5,1,Settings!$B$16),0,0)</f>
        <v>46270.458333333328</v>
      </c>
      <c r="D2002" s="3" t="str" cm="1">
        <f t="array" ref="D2002">choice(Settings!K:K,1,Settings!$B$16)</f>
        <v/>
      </c>
    </row>
    <row r="2003" spans="1:4" x14ac:dyDescent="0.25">
      <c r="A2003" s="2" t="str" cm="1">
        <f t="array" ref="A2003">choice(Professeurs!A:A,1,Settings!$B$16)</f>
        <v>Prof17</v>
      </c>
      <c r="B2003" s="3" cm="1">
        <f t="array" ref="B2003">alea_date(Settings!$B$11,360,Settings!$B$8+alea_int(4,0,Settings!$B$16),Settings!$B$16)</f>
        <v>46360.458333333336</v>
      </c>
      <c r="C2003" s="3" cm="1">
        <f t="array" ref="C2003">B2003+TIME(alea_int(5,1,Settings!$B$16),0,0)</f>
        <v>46360.5</v>
      </c>
      <c r="D2003" s="3" t="str" cm="1">
        <f t="array" ref="D2003">choice(Settings!K:K,1,Settings!$B$16)</f>
        <v/>
      </c>
    </row>
    <row r="2004" spans="1:4" x14ac:dyDescent="0.25">
      <c r="A2004" s="2" t="str" cm="1">
        <f t="array" ref="A2004">choice(Professeurs!A:A,1,Settings!$B$16)</f>
        <v>Prof1</v>
      </c>
      <c r="B2004" s="3" cm="1">
        <f t="array" ref="B2004">alea_date(Settings!$B$11,360,Settings!$B$8+alea_int(4,0,Settings!$B$16),Settings!$B$16)</f>
        <v>46273.416666666664</v>
      </c>
      <c r="C2004" s="3" cm="1">
        <f t="array" ref="C2004">B2004+TIME(alea_int(5,1,Settings!$B$16),0,0)</f>
        <v>46273.583333333328</v>
      </c>
      <c r="D2004" s="3" t="str" cm="1">
        <f t="array" ref="D2004">choice(Settings!K:K,1,Settings!$B$16)</f>
        <v/>
      </c>
    </row>
    <row r="2005" spans="1:4" x14ac:dyDescent="0.25">
      <c r="A2005" s="2" t="str" cm="1">
        <f t="array" ref="A2005">choice(Professeurs!A:A,1,Settings!$B$16)</f>
        <v>Prof26</v>
      </c>
      <c r="B2005" s="3" cm="1">
        <f t="array" ref="B2005">alea_date(Settings!$B$11,360,Settings!$B$8+alea_int(4,0,Settings!$B$16),Settings!$B$16)</f>
        <v>46311.375</v>
      </c>
      <c r="C2005" s="3" cm="1">
        <f t="array" ref="C2005">B2005+TIME(alea_int(5,1,Settings!$B$16),0,0)</f>
        <v>46311.541666666664</v>
      </c>
      <c r="D2005" s="3" t="str" cm="1">
        <f t="array" ref="D2005">choice(Settings!K:K,1,Settings!$B$16)</f>
        <v>vendredi pm</v>
      </c>
    </row>
    <row r="2006" spans="1:4" x14ac:dyDescent="0.25">
      <c r="A2006" s="2" t="str" cm="1">
        <f t="array" ref="A2006">choice(Professeurs!A:A,1,Settings!$B$16)</f>
        <v>Prof10</v>
      </c>
      <c r="B2006" s="3" cm="1">
        <f t="array" ref="B2006">alea_date(Settings!$B$11,360,Settings!$B$8+alea_int(4,0,Settings!$B$16),Settings!$B$16)</f>
        <v>46297.333333333336</v>
      </c>
      <c r="C2006" s="3" cm="1">
        <f t="array" ref="C2006">B2006+TIME(alea_int(5,1,Settings!$B$16),0,0)</f>
        <v>46297.416666666672</v>
      </c>
      <c r="D2006" s="3" t="str" cm="1">
        <f t="array" ref="D2006">choice(Settings!K:K,1,Settings!$B$16)</f>
        <v>vendredi pm</v>
      </c>
    </row>
    <row r="2007" spans="1:4" x14ac:dyDescent="0.25">
      <c r="A2007" s="2" t="str" cm="1">
        <f t="array" ref="A2007">choice(Professeurs!A:A,1,Settings!$B$16)</f>
        <v>Prof37</v>
      </c>
      <c r="B2007" s="3" cm="1">
        <f t="array" ref="B2007">alea_date(Settings!$B$11,360,Settings!$B$8+alea_int(4,0,Settings!$B$16),Settings!$B$16)</f>
        <v>46165.333333333336</v>
      </c>
      <c r="C2007" s="3" cm="1">
        <f t="array" ref="C2007">B2007+TIME(alea_int(5,1,Settings!$B$16),0,0)</f>
        <v>46165.458333333336</v>
      </c>
      <c r="D2007" s="3" t="str" cm="1">
        <f t="array" ref="D2007">choice(Settings!K:K,1,Settings!$B$16)</f>
        <v/>
      </c>
    </row>
    <row r="2008" spans="1:4" x14ac:dyDescent="0.25">
      <c r="A2008" s="2" t="str" cm="1">
        <f t="array" ref="A2008">choice(Professeurs!A:A,1,Settings!$B$16)</f>
        <v>Prof21</v>
      </c>
      <c r="B2008" s="3" cm="1">
        <f t="array" ref="B2008">alea_date(Settings!$B$11,360,Settings!$B$8+alea_int(4,0,Settings!$B$16),Settings!$B$16)</f>
        <v>46368.458333333336</v>
      </c>
      <c r="C2008" s="3" cm="1">
        <f t="array" ref="C2008">B2008+TIME(alea_int(5,1,Settings!$B$16),0,0)</f>
        <v>46368.666666666672</v>
      </c>
      <c r="D2008" s="3" t="str" cm="1">
        <f t="array" ref="D2008">choice(Settings!K:K,1,Settings!$B$16)</f>
        <v/>
      </c>
    </row>
    <row r="2009" spans="1:4" x14ac:dyDescent="0.25">
      <c r="A2009" s="2" t="str" cm="1">
        <f t="array" ref="A2009">choice(Professeurs!A:A,1,Settings!$B$16)</f>
        <v>Prof39</v>
      </c>
      <c r="B2009" s="3" cm="1">
        <f t="array" ref="B2009">alea_date(Settings!$B$11,360,Settings!$B$8+alea_int(4,0,Settings!$B$16),Settings!$B$16)</f>
        <v>46221.375</v>
      </c>
      <c r="C2009" s="3" cm="1">
        <f t="array" ref="C2009">B2009+TIME(alea_int(5,1,Settings!$B$16),0,0)</f>
        <v>46221.458333333336</v>
      </c>
      <c r="D2009" s="3" t="str" cm="1">
        <f t="array" ref="D2009">choice(Settings!K:K,1,Settings!$B$16)</f>
        <v>mardi pm</v>
      </c>
    </row>
    <row r="2010" spans="1:4" x14ac:dyDescent="0.25">
      <c r="A2010" s="2" t="str" cm="1">
        <f t="array" ref="A2010">choice(Professeurs!A:A,1,Settings!$B$16)</f>
        <v>Prof49</v>
      </c>
      <c r="B2010" s="3" cm="1">
        <f t="array" ref="B2010">alea_date(Settings!$B$11,360,Settings!$B$8+alea_int(4,0,Settings!$B$16),Settings!$B$16)</f>
        <v>46108.458333333336</v>
      </c>
      <c r="C2010" s="3" cm="1">
        <f t="array" ref="C2010">B2010+TIME(alea_int(5,1,Settings!$B$16),0,0)</f>
        <v>46108.583333333336</v>
      </c>
      <c r="D2010" s="3" t="str" cm="1">
        <f t="array" ref="D2010">choice(Settings!K:K,1,Settings!$B$16)</f>
        <v/>
      </c>
    </row>
    <row r="2011" spans="1:4" x14ac:dyDescent="0.25">
      <c r="A2011" s="2" t="str" cm="1">
        <f t="array" ref="A2011">choice(Professeurs!A:A,1,Settings!$B$16)</f>
        <v>Prof38</v>
      </c>
      <c r="B2011" s="3" cm="1">
        <f t="array" ref="B2011">alea_date(Settings!$B$11,360,Settings!$B$8+alea_int(4,0,Settings!$B$16),Settings!$B$16)</f>
        <v>46147.333333333336</v>
      </c>
      <c r="C2011" s="3" cm="1">
        <f t="array" ref="C2011">B2011+TIME(alea_int(5,1,Settings!$B$16),0,0)</f>
        <v>46147.5</v>
      </c>
      <c r="D2011" s="3" t="str" cm="1">
        <f t="array" ref="D2011">choice(Settings!K:K,1,Settings!$B$16)</f>
        <v>mercredi ap</v>
      </c>
    </row>
    <row r="2012" spans="1:4" x14ac:dyDescent="0.25">
      <c r="A2012" s="2" t="str" cm="1">
        <f t="array" ref="A2012">choice(Professeurs!A:A,1,Settings!$B$16)</f>
        <v>Prof32</v>
      </c>
      <c r="B2012" s="3" cm="1">
        <f t="array" ref="B2012">alea_date(Settings!$B$11,360,Settings!$B$8+alea_int(4,0,Settings!$B$16),Settings!$B$16)</f>
        <v>46180.458333333336</v>
      </c>
      <c r="C2012" s="3" cm="1">
        <f t="array" ref="C2012">B2012+TIME(alea_int(5,1,Settings!$B$16),0,0)</f>
        <v>46180.5</v>
      </c>
      <c r="D2012" s="3" t="str" cm="1">
        <f t="array" ref="D2012">choice(Settings!K:K,1,Settings!$B$16)</f>
        <v/>
      </c>
    </row>
    <row r="2013" spans="1:4" x14ac:dyDescent="0.25">
      <c r="A2013" s="2" t="str" cm="1">
        <f t="array" ref="A2013">choice(Professeurs!A:A,1,Settings!$B$16)</f>
        <v>Prof22</v>
      </c>
      <c r="B2013" s="3" cm="1">
        <f t="array" ref="B2013">alea_date(Settings!$B$11,360,Settings!$B$8+alea_int(4,0,Settings!$B$16),Settings!$B$16)</f>
        <v>46140.333333333336</v>
      </c>
      <c r="C2013" s="3" cm="1">
        <f t="array" ref="C2013">B2013+TIME(alea_int(5,1,Settings!$B$16),0,0)</f>
        <v>46140.541666666672</v>
      </c>
      <c r="D2013" s="3" t="str" cm="1">
        <f t="array" ref="D2013">choice(Settings!K:K,1,Settings!$B$16)</f>
        <v/>
      </c>
    </row>
    <row r="2014" spans="1:4" x14ac:dyDescent="0.25">
      <c r="A2014" s="2" t="str" cm="1">
        <f t="array" ref="A2014">choice(Professeurs!A:A,1,Settings!$B$16)</f>
        <v>Prof7</v>
      </c>
      <c r="B2014" s="3" cm="1">
        <f t="array" ref="B2014">alea_date(Settings!$B$11,360,Settings!$B$8+alea_int(4,0,Settings!$B$16),Settings!$B$16)</f>
        <v>46096.416666666664</v>
      </c>
      <c r="C2014" s="3" cm="1">
        <f t="array" ref="C2014">B2014+TIME(alea_int(5,1,Settings!$B$16),0,0)</f>
        <v>46096.5</v>
      </c>
      <c r="D2014" s="3" t="str" cm="1">
        <f t="array" ref="D2014">choice(Settings!K:K,1,Settings!$B$16)</f>
        <v/>
      </c>
    </row>
    <row r="2015" spans="1:4" x14ac:dyDescent="0.25">
      <c r="A2015" s="2" t="str" cm="1">
        <f t="array" ref="A2015">choice(Professeurs!A:A,1,Settings!$B$16)</f>
        <v>Prof45</v>
      </c>
      <c r="B2015" s="3" cm="1">
        <f t="array" ref="B2015">alea_date(Settings!$B$11,360,Settings!$B$8+alea_int(4,0,Settings!$B$16),Settings!$B$16)</f>
        <v>46076.333333333336</v>
      </c>
      <c r="C2015" s="3" cm="1">
        <f t="array" ref="C2015">B2015+TIME(alea_int(5,1,Settings!$B$16),0,0)</f>
        <v>46076.416666666672</v>
      </c>
      <c r="D2015" s="3" t="str" cm="1">
        <f t="array" ref="D2015">choice(Settings!K:K,1,Settings!$B$16)</f>
        <v/>
      </c>
    </row>
    <row r="2016" spans="1:4" x14ac:dyDescent="0.25">
      <c r="A2016" s="2" t="str" cm="1">
        <f t="array" ref="A2016">choice(Professeurs!A:A,1,Settings!$B$16)</f>
        <v>Prof21</v>
      </c>
      <c r="B2016" s="3" cm="1">
        <f t="array" ref="B2016">alea_date(Settings!$B$11,360,Settings!$B$8+alea_int(4,0,Settings!$B$16),Settings!$B$16)</f>
        <v>46065.416666666664</v>
      </c>
      <c r="C2016" s="3" cm="1">
        <f t="array" ref="C2016">B2016+TIME(alea_int(5,1,Settings!$B$16),0,0)</f>
        <v>46065.5</v>
      </c>
      <c r="D2016" s="3" t="str" cm="1">
        <f t="array" ref="D2016">choice(Settings!K:K,1,Settings!$B$16)</f>
        <v/>
      </c>
    </row>
    <row r="2017" spans="1:4" x14ac:dyDescent="0.25">
      <c r="A2017" s="2" t="str" cm="1">
        <f t="array" ref="A2017">choice(Professeurs!A:A,1,Settings!$B$16)</f>
        <v>Prof49</v>
      </c>
      <c r="B2017" s="3" cm="1">
        <f t="array" ref="B2017">alea_date(Settings!$B$11,360,Settings!$B$8+alea_int(4,0,Settings!$B$16),Settings!$B$16)</f>
        <v>46153.458333333336</v>
      </c>
      <c r="C2017" s="3" cm="1">
        <f t="array" ref="C2017">B2017+TIME(alea_int(5,1,Settings!$B$16),0,0)</f>
        <v>46153.666666666672</v>
      </c>
      <c r="D2017" s="3" t="str" cm="1">
        <f t="array" ref="D2017">choice(Settings!K:K,1,Settings!$B$16)</f>
        <v/>
      </c>
    </row>
    <row r="2018" spans="1:4" x14ac:dyDescent="0.25">
      <c r="A2018" s="2" t="str" cm="1">
        <f t="array" ref="A2018">choice(Professeurs!A:A,1,Settings!$B$16)</f>
        <v>Prof52</v>
      </c>
      <c r="B2018" s="3" cm="1">
        <f t="array" ref="B2018">alea_date(Settings!$B$11,360,Settings!$B$8+alea_int(4,0,Settings!$B$16),Settings!$B$16)</f>
        <v>46230.375</v>
      </c>
      <c r="C2018" s="3" cm="1">
        <f t="array" ref="C2018">B2018+TIME(alea_int(5,1,Settings!$B$16),0,0)</f>
        <v>46230.541666666664</v>
      </c>
      <c r="D2018" s="3" t="str" cm="1">
        <f t="array" ref="D2018">choice(Settings!K:K,1,Settings!$B$16)</f>
        <v>lundi pm</v>
      </c>
    </row>
    <row r="2019" spans="1:4" x14ac:dyDescent="0.25">
      <c r="A2019" s="2" t="str" cm="1">
        <f t="array" ref="A2019">choice(Professeurs!A:A,1,Settings!$B$16)</f>
        <v>Prof13</v>
      </c>
      <c r="B2019" s="3" cm="1">
        <f t="array" ref="B2019">alea_date(Settings!$B$11,360,Settings!$B$8+alea_int(4,0,Settings!$B$16),Settings!$B$16)</f>
        <v>46116.375</v>
      </c>
      <c r="C2019" s="3" cm="1">
        <f t="array" ref="C2019">B2019+TIME(alea_int(5,1,Settings!$B$16),0,0)</f>
        <v>46116.541666666664</v>
      </c>
      <c r="D2019" s="3" t="str" cm="1">
        <f t="array" ref="D2019">choice(Settings!K:K,1,Settings!$B$16)</f>
        <v/>
      </c>
    </row>
    <row r="2020" spans="1:4" x14ac:dyDescent="0.25">
      <c r="A2020" s="2" t="str" cm="1">
        <f t="array" ref="A2020">choice(Professeurs!A:A,1,Settings!$B$16)</f>
        <v>Prof2</v>
      </c>
      <c r="B2020" s="3" cm="1">
        <f t="array" ref="B2020">alea_date(Settings!$B$11,360,Settings!$B$8+alea_int(4,0,Settings!$B$16),Settings!$B$16)</f>
        <v>46067.375</v>
      </c>
      <c r="C2020" s="3" cm="1">
        <f t="array" ref="C2020">B2020+TIME(alea_int(5,1,Settings!$B$16),0,0)</f>
        <v>46067.5</v>
      </c>
      <c r="D2020" s="3" t="str" cm="1">
        <f t="array" ref="D2020">choice(Settings!K:K,1,Settings!$B$16)</f>
        <v/>
      </c>
    </row>
    <row r="2021" spans="1:4" x14ac:dyDescent="0.25">
      <c r="A2021" s="2" t="str" cm="1">
        <f t="array" ref="A2021">choice(Professeurs!A:A,1,Settings!$B$16)</f>
        <v>Prof52</v>
      </c>
      <c r="B2021" s="3" cm="1">
        <f t="array" ref="B2021">alea_date(Settings!$B$11,360,Settings!$B$8+alea_int(4,0,Settings!$B$16),Settings!$B$16)</f>
        <v>46096.333333333336</v>
      </c>
      <c r="C2021" s="3" cm="1">
        <f t="array" ref="C2021">B2021+TIME(alea_int(5,1,Settings!$B$16),0,0)</f>
        <v>46096.458333333336</v>
      </c>
      <c r="D2021" s="3" t="str" cm="1">
        <f t="array" ref="D2021">choice(Settings!K:K,1,Settings!$B$16)</f>
        <v/>
      </c>
    </row>
    <row r="2022" spans="1:4" x14ac:dyDescent="0.25">
      <c r="A2022" s="2" t="str" cm="1">
        <f t="array" ref="A2022">choice(Professeurs!A:A,1,Settings!$B$16)</f>
        <v>Prof28</v>
      </c>
      <c r="B2022" s="3" cm="1">
        <f t="array" ref="B2022">alea_date(Settings!$B$11,360,Settings!$B$8+alea_int(4,0,Settings!$B$16),Settings!$B$16)</f>
        <v>46367.416666666664</v>
      </c>
      <c r="C2022" s="3" cm="1">
        <f t="array" ref="C2022">B2022+TIME(alea_int(5,1,Settings!$B$16),0,0)</f>
        <v>46367.5</v>
      </c>
      <c r="D2022" s="3" t="str" cm="1">
        <f t="array" ref="D2022">choice(Settings!K:K,1,Settings!$B$16)</f>
        <v/>
      </c>
    </row>
    <row r="2023" spans="1:4" x14ac:dyDescent="0.25">
      <c r="A2023" s="2" t="str" cm="1">
        <f t="array" ref="A2023">choice(Professeurs!A:A,1,Settings!$B$16)</f>
        <v>Prof36</v>
      </c>
      <c r="B2023" s="3" cm="1">
        <f t="array" ref="B2023">alea_date(Settings!$B$11,360,Settings!$B$8+alea_int(4,0,Settings!$B$16),Settings!$B$16)</f>
        <v>46209.375</v>
      </c>
      <c r="C2023" s="3" cm="1">
        <f t="array" ref="C2023">B2023+TIME(alea_int(5,1,Settings!$B$16),0,0)</f>
        <v>46209.416666666664</v>
      </c>
      <c r="D2023" s="3" t="str" cm="1">
        <f t="array" ref="D2023">choice(Settings!K:K,1,Settings!$B$16)</f>
        <v/>
      </c>
    </row>
    <row r="2024" spans="1:4" x14ac:dyDescent="0.25">
      <c r="A2024" s="2" t="str" cm="1">
        <f t="array" ref="A2024">choice(Professeurs!A:A,1,Settings!$B$16)</f>
        <v>Prof7</v>
      </c>
      <c r="B2024" s="3" cm="1">
        <f t="array" ref="B2024">alea_date(Settings!$B$11,360,Settings!$B$8+alea_int(4,0,Settings!$B$16),Settings!$B$16)</f>
        <v>46267.458333333336</v>
      </c>
      <c r="C2024" s="3" cm="1">
        <f t="array" ref="C2024">B2024+TIME(alea_int(5,1,Settings!$B$16),0,0)</f>
        <v>46267.541666666672</v>
      </c>
      <c r="D2024" s="3" t="str" cm="1">
        <f t="array" ref="D2024">choice(Settings!K:K,1,Settings!$B$16)</f>
        <v>mercredi pm</v>
      </c>
    </row>
    <row r="2025" spans="1:4" x14ac:dyDescent="0.25">
      <c r="A2025" s="2" t="str" cm="1">
        <f t="array" ref="A2025">choice(Professeurs!A:A,1,Settings!$B$16)</f>
        <v>Prof27</v>
      </c>
      <c r="B2025" s="3" cm="1">
        <f t="array" ref="B2025">alea_date(Settings!$B$11,360,Settings!$B$8+alea_int(4,0,Settings!$B$16),Settings!$B$16)</f>
        <v>46246.458333333336</v>
      </c>
      <c r="C2025" s="3" cm="1">
        <f t="array" ref="C2025">B2025+TIME(alea_int(5,1,Settings!$B$16),0,0)</f>
        <v>46246.666666666672</v>
      </c>
      <c r="D2025" s="3" t="str" cm="1">
        <f t="array" ref="D2025">choice(Settings!K:K,1,Settings!$B$16)</f>
        <v>jeudi am</v>
      </c>
    </row>
    <row r="2026" spans="1:4" x14ac:dyDescent="0.25">
      <c r="A2026" s="2" t="str" cm="1">
        <f t="array" ref="A2026">choice(Professeurs!A:A,1,Settings!$B$16)</f>
        <v>Prof9</v>
      </c>
      <c r="B2026" s="3" cm="1">
        <f t="array" ref="B2026">alea_date(Settings!$B$11,360,Settings!$B$8+alea_int(4,0,Settings!$B$16),Settings!$B$16)</f>
        <v>46076.375</v>
      </c>
      <c r="C2026" s="3" cm="1">
        <f t="array" ref="C2026">B2026+TIME(alea_int(5,1,Settings!$B$16),0,0)</f>
        <v>46076.416666666664</v>
      </c>
      <c r="D2026" s="3" t="str" cm="1">
        <f t="array" ref="D2026">choice(Settings!K:K,1,Settings!$B$16)</f>
        <v>mardi pm</v>
      </c>
    </row>
    <row r="2027" spans="1:4" x14ac:dyDescent="0.25">
      <c r="A2027" s="2" t="str" cm="1">
        <f t="array" ref="A2027">choice(Professeurs!A:A,1,Settings!$B$16)</f>
        <v>Prof35</v>
      </c>
      <c r="B2027" s="3" cm="1">
        <f t="array" ref="B2027">alea_date(Settings!$B$11,360,Settings!$B$8+alea_int(4,0,Settings!$B$16),Settings!$B$16)</f>
        <v>46313.458333333336</v>
      </c>
      <c r="C2027" s="3" cm="1">
        <f t="array" ref="C2027">B2027+TIME(alea_int(5,1,Settings!$B$16),0,0)</f>
        <v>46313.583333333336</v>
      </c>
      <c r="D2027" s="3" t="str" cm="1">
        <f t="array" ref="D2027">choice(Settings!K:K,1,Settings!$B$16)</f>
        <v>mercredi ap</v>
      </c>
    </row>
    <row r="2028" spans="1:4" x14ac:dyDescent="0.25">
      <c r="A2028" s="2" t="str" cm="1">
        <f t="array" ref="A2028">choice(Professeurs!A:A,1,Settings!$B$16)</f>
        <v>Prof30</v>
      </c>
      <c r="B2028" s="3" cm="1">
        <f t="array" ref="B2028">alea_date(Settings!$B$11,360,Settings!$B$8+alea_int(4,0,Settings!$B$16),Settings!$B$16)</f>
        <v>46081.333333333336</v>
      </c>
      <c r="C2028" s="3" cm="1">
        <f t="array" ref="C2028">B2028+TIME(alea_int(5,1,Settings!$B$16),0,0)</f>
        <v>46081.5</v>
      </c>
      <c r="D2028" s="3" t="str" cm="1">
        <f t="array" ref="D2028">choice(Settings!K:K,1,Settings!$B$16)</f>
        <v/>
      </c>
    </row>
    <row r="2029" spans="1:4" x14ac:dyDescent="0.25">
      <c r="A2029" s="2" t="str" cm="1">
        <f t="array" ref="A2029">choice(Professeurs!A:A,1,Settings!$B$16)</f>
        <v>Prof22</v>
      </c>
      <c r="B2029" s="3" cm="1">
        <f t="array" ref="B2029">alea_date(Settings!$B$11,360,Settings!$B$8+alea_int(4,0,Settings!$B$16),Settings!$B$16)</f>
        <v>46268.333333333336</v>
      </c>
      <c r="C2029" s="3" cm="1">
        <f t="array" ref="C2029">B2029+TIME(alea_int(5,1,Settings!$B$16),0,0)</f>
        <v>46268.416666666672</v>
      </c>
      <c r="D2029" s="3" t="str" cm="1">
        <f t="array" ref="D2029">choice(Settings!K:K,1,Settings!$B$16)</f>
        <v/>
      </c>
    </row>
    <row r="2030" spans="1:4" x14ac:dyDescent="0.25">
      <c r="A2030" s="2" t="str" cm="1">
        <f t="array" ref="A2030">choice(Professeurs!A:A,1,Settings!$B$16)</f>
        <v>Prof45</v>
      </c>
      <c r="B2030" s="3" cm="1">
        <f t="array" ref="B2030">alea_date(Settings!$B$11,360,Settings!$B$8+alea_int(4,0,Settings!$B$16),Settings!$B$16)</f>
        <v>46082.333333333336</v>
      </c>
      <c r="C2030" s="3" cm="1">
        <f t="array" ref="C2030">B2030+TIME(alea_int(5,1,Settings!$B$16),0,0)</f>
        <v>46082.416666666672</v>
      </c>
      <c r="D2030" s="3" t="str" cm="1">
        <f t="array" ref="D2030">choice(Settings!K:K,1,Settings!$B$16)</f>
        <v>mercredi ap</v>
      </c>
    </row>
    <row r="2031" spans="1:4" x14ac:dyDescent="0.25">
      <c r="A2031" s="2" t="str" cm="1">
        <f t="array" ref="A2031">choice(Professeurs!A:A,1,Settings!$B$16)</f>
        <v>Prof19</v>
      </c>
      <c r="B2031" s="3" cm="1">
        <f t="array" ref="B2031">alea_date(Settings!$B$11,360,Settings!$B$8+alea_int(4,0,Settings!$B$16),Settings!$B$16)</f>
        <v>46369.458333333336</v>
      </c>
      <c r="C2031" s="3" cm="1">
        <f t="array" ref="C2031">B2031+TIME(alea_int(5,1,Settings!$B$16),0,0)</f>
        <v>46369.5</v>
      </c>
      <c r="D2031" s="3" t="str" cm="1">
        <f t="array" ref="D2031">choice(Settings!K:K,1,Settings!$B$16)</f>
        <v/>
      </c>
    </row>
    <row r="2032" spans="1:4" x14ac:dyDescent="0.25">
      <c r="A2032" s="2" t="str" cm="1">
        <f t="array" ref="A2032">choice(Professeurs!A:A,1,Settings!$B$16)</f>
        <v>Prof46</v>
      </c>
      <c r="B2032" s="3" cm="1">
        <f t="array" ref="B2032">alea_date(Settings!$B$11,360,Settings!$B$8+alea_int(4,0,Settings!$B$16),Settings!$B$16)</f>
        <v>46230.375</v>
      </c>
      <c r="C2032" s="3" cm="1">
        <f t="array" ref="C2032">B2032+TIME(alea_int(5,1,Settings!$B$16),0,0)</f>
        <v>46230.416666666664</v>
      </c>
      <c r="D2032" s="3" t="str" cm="1">
        <f t="array" ref="D2032">choice(Settings!K:K,1,Settings!$B$16)</f>
        <v/>
      </c>
    </row>
    <row r="2033" spans="1:4" x14ac:dyDescent="0.25">
      <c r="A2033" s="2" t="str" cm="1">
        <f t="array" ref="A2033">choice(Professeurs!A:A,1,Settings!$B$16)</f>
        <v>Prof12</v>
      </c>
      <c r="B2033" s="3" cm="1">
        <f t="array" ref="B2033">alea_date(Settings!$B$11,360,Settings!$B$8+alea_int(4,0,Settings!$B$16),Settings!$B$16)</f>
        <v>46328.375</v>
      </c>
      <c r="C2033" s="3" cm="1">
        <f t="array" ref="C2033">B2033+TIME(alea_int(5,1,Settings!$B$16),0,0)</f>
        <v>46328.458333333336</v>
      </c>
      <c r="D2033" s="3" t="str" cm="1">
        <f t="array" ref="D2033">choice(Settings!K:K,1,Settings!$B$16)</f>
        <v/>
      </c>
    </row>
    <row r="2034" spans="1:4" x14ac:dyDescent="0.25">
      <c r="A2034" s="2" t="str" cm="1">
        <f t="array" ref="A2034">choice(Professeurs!A:A,1,Settings!$B$16)</f>
        <v>Prof9</v>
      </c>
      <c r="B2034" s="3" cm="1">
        <f t="array" ref="B2034">alea_date(Settings!$B$11,360,Settings!$B$8+alea_int(4,0,Settings!$B$16),Settings!$B$16)</f>
        <v>46159.375</v>
      </c>
      <c r="C2034" s="3" cm="1">
        <f t="array" ref="C2034">B2034+TIME(alea_int(5,1,Settings!$B$16),0,0)</f>
        <v>46159.416666666664</v>
      </c>
      <c r="D2034" s="3" t="str" cm="1">
        <f t="array" ref="D2034">choice(Settings!K:K,1,Settings!$B$16)</f>
        <v>lundi am</v>
      </c>
    </row>
    <row r="2035" spans="1:4" x14ac:dyDescent="0.25">
      <c r="A2035" s="2" t="str" cm="1">
        <f t="array" ref="A2035">choice(Professeurs!A:A,1,Settings!$B$16)</f>
        <v>Prof43</v>
      </c>
      <c r="B2035" s="3" cm="1">
        <f t="array" ref="B2035">alea_date(Settings!$B$11,360,Settings!$B$8+alea_int(4,0,Settings!$B$16),Settings!$B$16)</f>
        <v>46118.375</v>
      </c>
      <c r="C2035" s="3" cm="1">
        <f t="array" ref="C2035">B2035+TIME(alea_int(5,1,Settings!$B$16),0,0)</f>
        <v>46118.458333333336</v>
      </c>
      <c r="D2035" s="3" t="str" cm="1">
        <f t="array" ref="D2035">choice(Settings!K:K,1,Settings!$B$16)</f>
        <v/>
      </c>
    </row>
    <row r="2036" spans="1:4" x14ac:dyDescent="0.25">
      <c r="A2036" s="2" t="str" cm="1">
        <f t="array" ref="A2036">choice(Professeurs!A:A,1,Settings!$B$16)</f>
        <v>Prof41</v>
      </c>
      <c r="B2036" s="3" cm="1">
        <f t="array" ref="B2036">alea_date(Settings!$B$11,360,Settings!$B$8+alea_int(4,0,Settings!$B$16),Settings!$B$16)</f>
        <v>46079.416666666664</v>
      </c>
      <c r="C2036" s="3" cm="1">
        <f t="array" ref="C2036">B2036+TIME(alea_int(5,1,Settings!$B$16),0,0)</f>
        <v>46079.583333333328</v>
      </c>
      <c r="D2036" s="3" t="str" cm="1">
        <f t="array" ref="D2036">choice(Settings!K:K,1,Settings!$B$16)</f>
        <v>mardi pm</v>
      </c>
    </row>
    <row r="2037" spans="1:4" x14ac:dyDescent="0.25">
      <c r="A2037" s="2" t="str" cm="1">
        <f t="array" ref="A2037">choice(Professeurs!A:A,1,Settings!$B$16)</f>
        <v>Prof41</v>
      </c>
      <c r="B2037" s="3" cm="1">
        <f t="array" ref="B2037">alea_date(Settings!$B$11,360,Settings!$B$8+alea_int(4,0,Settings!$B$16),Settings!$B$16)</f>
        <v>46365.458333333336</v>
      </c>
      <c r="C2037" s="3" cm="1">
        <f t="array" ref="C2037">B2037+TIME(alea_int(5,1,Settings!$B$16),0,0)</f>
        <v>46365.583333333336</v>
      </c>
      <c r="D2037" s="3" t="str" cm="1">
        <f t="array" ref="D2037">choice(Settings!K:K,1,Settings!$B$16)</f>
        <v>lundi pm</v>
      </c>
    </row>
    <row r="2038" spans="1:4" x14ac:dyDescent="0.25">
      <c r="A2038" s="2" t="str" cm="1">
        <f t="array" ref="A2038">choice(Professeurs!A:A,1,Settings!$B$16)</f>
        <v>Prof31</v>
      </c>
      <c r="B2038" s="3" cm="1">
        <f t="array" ref="B2038">alea_date(Settings!$B$11,360,Settings!$B$8+alea_int(4,0,Settings!$B$16),Settings!$B$16)</f>
        <v>46316.416666666664</v>
      </c>
      <c r="C2038" s="3" cm="1">
        <f t="array" ref="C2038">B2038+TIME(alea_int(5,1,Settings!$B$16),0,0)</f>
        <v>46316.458333333328</v>
      </c>
      <c r="D2038" s="3" t="str" cm="1">
        <f t="array" ref="D2038">choice(Settings!K:K,1,Settings!$B$16)</f>
        <v/>
      </c>
    </row>
    <row r="2039" spans="1:4" x14ac:dyDescent="0.25">
      <c r="A2039" s="2" t="str" cm="1">
        <f t="array" ref="A2039">choice(Professeurs!A:A,1,Settings!$B$16)</f>
        <v>Prof6</v>
      </c>
      <c r="B2039" s="3" cm="1">
        <f t="array" ref="B2039">alea_date(Settings!$B$11,360,Settings!$B$8+alea_int(4,0,Settings!$B$16),Settings!$B$16)</f>
        <v>46246.375</v>
      </c>
      <c r="C2039" s="3" cm="1">
        <f t="array" ref="C2039">B2039+TIME(alea_int(5,1,Settings!$B$16),0,0)</f>
        <v>46246.5</v>
      </c>
      <c r="D2039" s="3" t="str" cm="1">
        <f t="array" ref="D2039">choice(Settings!K:K,1,Settings!$B$16)</f>
        <v/>
      </c>
    </row>
    <row r="2040" spans="1:4" x14ac:dyDescent="0.25">
      <c r="A2040" s="2" t="str" cm="1">
        <f t="array" ref="A2040">choice(Professeurs!A:A,1,Settings!$B$16)</f>
        <v>Prof52</v>
      </c>
      <c r="B2040" s="3" cm="1">
        <f t="array" ref="B2040">alea_date(Settings!$B$11,360,Settings!$B$8+alea_int(4,0,Settings!$B$16),Settings!$B$16)</f>
        <v>46178.333333333336</v>
      </c>
      <c r="C2040" s="3" cm="1">
        <f t="array" ref="C2040">B2040+TIME(alea_int(5,1,Settings!$B$16),0,0)</f>
        <v>46178.5</v>
      </c>
      <c r="D2040" s="3" t="str" cm="1">
        <f t="array" ref="D2040">choice(Settings!K:K,1,Settings!$B$16)</f>
        <v/>
      </c>
    </row>
    <row r="2041" spans="1:4" x14ac:dyDescent="0.25">
      <c r="A2041" s="2" t="str" cm="1">
        <f t="array" ref="A2041">choice(Professeurs!A:A,1,Settings!$B$16)</f>
        <v>Prof24</v>
      </c>
      <c r="B2041" s="3" cm="1">
        <f t="array" ref="B2041">alea_date(Settings!$B$11,360,Settings!$B$8+alea_int(4,0,Settings!$B$16),Settings!$B$16)</f>
        <v>46056.416666666664</v>
      </c>
      <c r="C2041" s="3" cm="1">
        <f t="array" ref="C2041">B2041+TIME(alea_int(5,1,Settings!$B$16),0,0)</f>
        <v>46056.458333333328</v>
      </c>
      <c r="D2041" s="3" t="str" cm="1">
        <f t="array" ref="D2041">choice(Settings!K:K,1,Settings!$B$16)</f>
        <v/>
      </c>
    </row>
    <row r="2042" spans="1:4" x14ac:dyDescent="0.25">
      <c r="A2042" s="2" t="str" cm="1">
        <f t="array" ref="A2042">choice(Professeurs!A:A,1,Settings!$B$16)</f>
        <v>Prof49</v>
      </c>
      <c r="B2042" s="3" cm="1">
        <f t="array" ref="B2042">alea_date(Settings!$B$11,360,Settings!$B$8+alea_int(4,0,Settings!$B$16),Settings!$B$16)</f>
        <v>46335.416666666664</v>
      </c>
      <c r="C2042" s="3" cm="1">
        <f t="array" ref="C2042">B2042+TIME(alea_int(5,1,Settings!$B$16),0,0)</f>
        <v>46335.625</v>
      </c>
      <c r="D2042" s="3" t="str" cm="1">
        <f t="array" ref="D2042">choice(Settings!K:K,1,Settings!$B$16)</f>
        <v>lundi pm</v>
      </c>
    </row>
    <row r="2043" spans="1:4" x14ac:dyDescent="0.25">
      <c r="A2043" s="2" t="str" cm="1">
        <f t="array" ref="A2043">choice(Professeurs!A:A,1,Settings!$B$16)</f>
        <v>Prof23</v>
      </c>
      <c r="B2043" s="3" cm="1">
        <f t="array" ref="B2043">alea_date(Settings!$B$11,360,Settings!$B$8+alea_int(4,0,Settings!$B$16),Settings!$B$16)</f>
        <v>46266.375</v>
      </c>
      <c r="C2043" s="3" cm="1">
        <f t="array" ref="C2043">B2043+TIME(alea_int(5,1,Settings!$B$16),0,0)</f>
        <v>46266.458333333336</v>
      </c>
      <c r="D2043" s="3" t="str" cm="1">
        <f t="array" ref="D2043">choice(Settings!K:K,1,Settings!$B$16)</f>
        <v/>
      </c>
    </row>
    <row r="2044" spans="1:4" x14ac:dyDescent="0.25">
      <c r="A2044" s="2" t="str" cm="1">
        <f t="array" ref="A2044">choice(Professeurs!A:A,1,Settings!$B$16)</f>
        <v>Prof30</v>
      </c>
      <c r="B2044" s="3" cm="1">
        <f t="array" ref="B2044">alea_date(Settings!$B$11,360,Settings!$B$8+alea_int(4,0,Settings!$B$16),Settings!$B$16)</f>
        <v>46164.375</v>
      </c>
      <c r="C2044" s="3" cm="1">
        <f t="array" ref="C2044">B2044+TIME(alea_int(5,1,Settings!$B$16),0,0)</f>
        <v>46164.583333333336</v>
      </c>
      <c r="D2044" s="3" t="str" cm="1">
        <f t="array" ref="D2044">choice(Settings!K:K,1,Settings!$B$16)</f>
        <v/>
      </c>
    </row>
    <row r="2045" spans="1:4" x14ac:dyDescent="0.25">
      <c r="A2045" s="2" t="str" cm="1">
        <f t="array" ref="A2045">choice(Professeurs!A:A,1,Settings!$B$16)</f>
        <v>Prof3</v>
      </c>
      <c r="B2045" s="3" cm="1">
        <f t="array" ref="B2045">alea_date(Settings!$B$11,360,Settings!$B$8+alea_int(4,0,Settings!$B$16),Settings!$B$16)</f>
        <v>46302.416666666664</v>
      </c>
      <c r="C2045" s="3" cm="1">
        <f t="array" ref="C2045">B2045+TIME(alea_int(5,1,Settings!$B$16),0,0)</f>
        <v>46302.458333333328</v>
      </c>
      <c r="D2045" s="3" t="str" cm="1">
        <f t="array" ref="D2045">choice(Settings!K:K,1,Settings!$B$16)</f>
        <v>vendredi pm</v>
      </c>
    </row>
    <row r="2046" spans="1:4" x14ac:dyDescent="0.25">
      <c r="A2046" s="2" t="str" cm="1">
        <f t="array" ref="A2046">choice(Professeurs!A:A,1,Settings!$B$16)</f>
        <v>Prof16</v>
      </c>
      <c r="B2046" s="3" cm="1">
        <f t="array" ref="B2046">alea_date(Settings!$B$11,360,Settings!$B$8+alea_int(4,0,Settings!$B$16),Settings!$B$16)</f>
        <v>46224.458333333336</v>
      </c>
      <c r="C2046" s="3" cm="1">
        <f t="array" ref="C2046">B2046+TIME(alea_int(5,1,Settings!$B$16),0,0)</f>
        <v>46224.625</v>
      </c>
      <c r="D2046" s="3" t="str" cm="1">
        <f t="array" ref="D2046">choice(Settings!K:K,1,Settings!$B$16)</f>
        <v/>
      </c>
    </row>
    <row r="2047" spans="1:4" x14ac:dyDescent="0.25">
      <c r="A2047" s="2" t="str" cm="1">
        <f t="array" ref="A2047">choice(Professeurs!A:A,1,Settings!$B$16)</f>
        <v>Prof1</v>
      </c>
      <c r="B2047" s="3" cm="1">
        <f t="array" ref="B2047">alea_date(Settings!$B$11,360,Settings!$B$8+alea_int(4,0,Settings!$B$16),Settings!$B$16)</f>
        <v>46189.458333333336</v>
      </c>
      <c r="C2047" s="3" cm="1">
        <f t="array" ref="C2047">B2047+TIME(alea_int(5,1,Settings!$B$16),0,0)</f>
        <v>46189.541666666672</v>
      </c>
      <c r="D2047" s="3" t="str" cm="1">
        <f t="array" ref="D2047">choice(Settings!K:K,1,Settings!$B$16)</f>
        <v/>
      </c>
    </row>
    <row r="2048" spans="1:4" x14ac:dyDescent="0.25">
      <c r="A2048" s="2" t="str" cm="1">
        <f t="array" ref="A2048">choice(Professeurs!A:A,1,Settings!$B$16)</f>
        <v>Prof33</v>
      </c>
      <c r="B2048" s="3" cm="1">
        <f t="array" ref="B2048">alea_date(Settings!$B$11,360,Settings!$B$8+alea_int(4,0,Settings!$B$16),Settings!$B$16)</f>
        <v>46342.375</v>
      </c>
      <c r="C2048" s="3" cm="1">
        <f t="array" ref="C2048">B2048+TIME(alea_int(5,1,Settings!$B$16),0,0)</f>
        <v>46342.416666666664</v>
      </c>
      <c r="D2048" s="3" t="str" cm="1">
        <f t="array" ref="D2048">choice(Settings!K:K,1,Settings!$B$16)</f>
        <v/>
      </c>
    </row>
    <row r="2049" spans="1:4" x14ac:dyDescent="0.25">
      <c r="A2049" s="2" t="str" cm="1">
        <f t="array" ref="A2049">choice(Professeurs!A:A,1,Settings!$B$16)</f>
        <v>Prof5</v>
      </c>
      <c r="B2049" s="3" cm="1">
        <f t="array" ref="B2049">alea_date(Settings!$B$11,360,Settings!$B$8+alea_int(4,0,Settings!$B$16),Settings!$B$16)</f>
        <v>46214.458333333336</v>
      </c>
      <c r="C2049" s="3" cm="1">
        <f t="array" ref="C2049">B2049+TIME(alea_int(5,1,Settings!$B$16),0,0)</f>
        <v>46214.583333333336</v>
      </c>
      <c r="D2049" s="3" t="str" cm="1">
        <f t="array" ref="D2049">choice(Settings!K:K,1,Settings!$B$16)</f>
        <v/>
      </c>
    </row>
    <row r="2050" spans="1:4" x14ac:dyDescent="0.25">
      <c r="A2050" s="2" t="str" cm="1">
        <f t="array" ref="A2050">choice(Professeurs!A:A,1,Settings!$B$16)</f>
        <v>Prof29</v>
      </c>
      <c r="B2050" s="3" cm="1">
        <f t="array" ref="B2050">alea_date(Settings!$B$11,360,Settings!$B$8+alea_int(4,0,Settings!$B$16),Settings!$B$16)</f>
        <v>46370.333333333336</v>
      </c>
      <c r="C2050" s="3" cm="1">
        <f t="array" ref="C2050">B2050+TIME(alea_int(5,1,Settings!$B$16),0,0)</f>
        <v>46370.458333333336</v>
      </c>
      <c r="D2050" s="3" t="str" cm="1">
        <f t="array" ref="D2050">choice(Settings!K:K,1,Settings!$B$16)</f>
        <v/>
      </c>
    </row>
    <row r="2051" spans="1:4" x14ac:dyDescent="0.25">
      <c r="A2051" s="2" t="str" cm="1">
        <f t="array" ref="A2051">choice(Professeurs!A:A,1,Settings!$B$16)</f>
        <v>Prof9</v>
      </c>
      <c r="B2051" s="3" cm="1">
        <f t="array" ref="B2051">alea_date(Settings!$B$11,360,Settings!$B$8+alea_int(4,0,Settings!$B$16),Settings!$B$16)</f>
        <v>46276.458333333336</v>
      </c>
      <c r="C2051" s="3" cm="1">
        <f t="array" ref="C2051">B2051+TIME(alea_int(5,1,Settings!$B$16),0,0)</f>
        <v>46276.541666666672</v>
      </c>
      <c r="D2051" s="3" t="str" cm="1">
        <f t="array" ref="D2051">choice(Settings!K:K,1,Settings!$B$16)</f>
        <v>vendredi pm</v>
      </c>
    </row>
    <row r="2052" spans="1:4" x14ac:dyDescent="0.25">
      <c r="A2052" s="2" t="str" cm="1">
        <f t="array" ref="A2052">choice(Professeurs!A:A,1,Settings!$B$16)</f>
        <v>Prof26</v>
      </c>
      <c r="B2052" s="3" cm="1">
        <f t="array" ref="B2052">alea_date(Settings!$B$11,360,Settings!$B$8+alea_int(4,0,Settings!$B$16),Settings!$B$16)</f>
        <v>46057.333333333336</v>
      </c>
      <c r="C2052" s="3" cm="1">
        <f t="array" ref="C2052">B2052+TIME(alea_int(5,1,Settings!$B$16),0,0)</f>
        <v>46057.5</v>
      </c>
      <c r="D2052" s="3" t="str" cm="1">
        <f t="array" ref="D2052">choice(Settings!K:K,1,Settings!$B$16)</f>
        <v>jeudi am</v>
      </c>
    </row>
    <row r="2053" spans="1:4" x14ac:dyDescent="0.25">
      <c r="A2053" s="2" t="str" cm="1">
        <f t="array" ref="A2053">choice(Professeurs!A:A,1,Settings!$B$16)</f>
        <v>Prof41</v>
      </c>
      <c r="B2053" s="3" cm="1">
        <f t="array" ref="B2053">alea_date(Settings!$B$11,360,Settings!$B$8+alea_int(4,0,Settings!$B$16),Settings!$B$16)</f>
        <v>46132.458333333336</v>
      </c>
      <c r="C2053" s="3" cm="1">
        <f t="array" ref="C2053">B2053+TIME(alea_int(5,1,Settings!$B$16),0,0)</f>
        <v>46132.583333333336</v>
      </c>
      <c r="D2053" s="3" t="str" cm="1">
        <f t="array" ref="D2053">choice(Settings!K:K,1,Settings!$B$16)</f>
        <v>mercredi pm</v>
      </c>
    </row>
    <row r="2054" spans="1:4" x14ac:dyDescent="0.25">
      <c r="A2054" s="2" t="str" cm="1">
        <f t="array" ref="A2054">choice(Professeurs!A:A,1,Settings!$B$16)</f>
        <v>Prof40</v>
      </c>
      <c r="B2054" s="3" cm="1">
        <f t="array" ref="B2054">alea_date(Settings!$B$11,360,Settings!$B$8+alea_int(4,0,Settings!$B$16),Settings!$B$16)</f>
        <v>46199.333333333336</v>
      </c>
      <c r="C2054" s="3" cm="1">
        <f t="array" ref="C2054">B2054+TIME(alea_int(5,1,Settings!$B$16),0,0)</f>
        <v>46199.458333333336</v>
      </c>
      <c r="D2054" s="3" t="str" cm="1">
        <f t="array" ref="D2054">choice(Settings!K:K,1,Settings!$B$16)</f>
        <v/>
      </c>
    </row>
    <row r="2055" spans="1:4" x14ac:dyDescent="0.25">
      <c r="A2055" s="2" t="str" cm="1">
        <f t="array" ref="A2055">choice(Professeurs!A:A,1,Settings!$B$16)</f>
        <v>Prof1</v>
      </c>
      <c r="B2055" s="3" cm="1">
        <f t="array" ref="B2055">alea_date(Settings!$B$11,360,Settings!$B$8+alea_int(4,0,Settings!$B$16),Settings!$B$16)</f>
        <v>46099.458333333336</v>
      </c>
      <c r="C2055" s="3" cm="1">
        <f t="array" ref="C2055">B2055+TIME(alea_int(5,1,Settings!$B$16),0,0)</f>
        <v>46099.625</v>
      </c>
      <c r="D2055" s="3" t="str" cm="1">
        <f t="array" ref="D2055">choice(Settings!K:K,1,Settings!$B$16)</f>
        <v/>
      </c>
    </row>
    <row r="2056" spans="1:4" x14ac:dyDescent="0.25">
      <c r="A2056" s="2" t="str" cm="1">
        <f t="array" ref="A2056">choice(Professeurs!A:A,1,Settings!$B$16)</f>
        <v>Prof42</v>
      </c>
      <c r="B2056" s="3" cm="1">
        <f t="array" ref="B2056">alea_date(Settings!$B$11,360,Settings!$B$8+alea_int(4,0,Settings!$B$16),Settings!$B$16)</f>
        <v>46325.458333333336</v>
      </c>
      <c r="C2056" s="3" cm="1">
        <f t="array" ref="C2056">B2056+TIME(alea_int(5,1,Settings!$B$16),0,0)</f>
        <v>46325.583333333336</v>
      </c>
      <c r="D2056" s="3" t="str" cm="1">
        <f t="array" ref="D2056">choice(Settings!K:K,1,Settings!$B$16)</f>
        <v/>
      </c>
    </row>
    <row r="2057" spans="1:4" x14ac:dyDescent="0.25">
      <c r="A2057" s="2" t="str" cm="1">
        <f t="array" ref="A2057">choice(Professeurs!A:A,1,Settings!$B$16)</f>
        <v>Prof1</v>
      </c>
      <c r="B2057" s="3" cm="1">
        <f t="array" ref="B2057">alea_date(Settings!$B$11,360,Settings!$B$8+alea_int(4,0,Settings!$B$16),Settings!$B$16)</f>
        <v>46107.333333333336</v>
      </c>
      <c r="C2057" s="3" cm="1">
        <f t="array" ref="C2057">B2057+TIME(alea_int(5,1,Settings!$B$16),0,0)</f>
        <v>46107.5</v>
      </c>
      <c r="D2057" s="3" t="str" cm="1">
        <f t="array" ref="D2057">choice(Settings!K:K,1,Settings!$B$16)</f>
        <v/>
      </c>
    </row>
    <row r="2058" spans="1:4" x14ac:dyDescent="0.25">
      <c r="A2058" s="2" t="str" cm="1">
        <f t="array" ref="A2058">choice(Professeurs!A:A,1,Settings!$B$16)</f>
        <v>Prof49</v>
      </c>
      <c r="B2058" s="3" cm="1">
        <f t="array" ref="B2058">alea_date(Settings!$B$11,360,Settings!$B$8+alea_int(4,0,Settings!$B$16),Settings!$B$16)</f>
        <v>46179.416666666664</v>
      </c>
      <c r="C2058" s="3" cm="1">
        <f t="array" ref="C2058">B2058+TIME(alea_int(5,1,Settings!$B$16),0,0)</f>
        <v>46179.541666666664</v>
      </c>
      <c r="D2058" s="3" t="str" cm="1">
        <f t="array" ref="D2058">choice(Settings!K:K,1,Settings!$B$16)</f>
        <v/>
      </c>
    </row>
    <row r="2059" spans="1:4" x14ac:dyDescent="0.25">
      <c r="A2059" s="2" t="str" cm="1">
        <f t="array" ref="A2059">choice(Professeurs!A:A,1,Settings!$B$16)</f>
        <v>Prof23</v>
      </c>
      <c r="B2059" s="3" cm="1">
        <f t="array" ref="B2059">alea_date(Settings!$B$11,360,Settings!$B$8+alea_int(4,0,Settings!$B$16),Settings!$B$16)</f>
        <v>46184.458333333336</v>
      </c>
      <c r="C2059" s="3" cm="1">
        <f t="array" ref="C2059">B2059+TIME(alea_int(5,1,Settings!$B$16),0,0)</f>
        <v>46184.5</v>
      </c>
      <c r="D2059" s="3" t="str" cm="1">
        <f t="array" ref="D2059">choice(Settings!K:K,1,Settings!$B$16)</f>
        <v/>
      </c>
    </row>
    <row r="2060" spans="1:4" x14ac:dyDescent="0.25">
      <c r="A2060" s="2" t="str" cm="1">
        <f t="array" ref="A2060">choice(Professeurs!A:A,1,Settings!$B$16)</f>
        <v>Prof23</v>
      </c>
      <c r="B2060" s="3" cm="1">
        <f t="array" ref="B2060">alea_date(Settings!$B$11,360,Settings!$B$8+alea_int(4,0,Settings!$B$16),Settings!$B$16)</f>
        <v>46123.375</v>
      </c>
      <c r="C2060" s="3" cm="1">
        <f t="array" ref="C2060">B2060+TIME(alea_int(5,1,Settings!$B$16),0,0)</f>
        <v>46123.458333333336</v>
      </c>
      <c r="D2060" s="3" t="str" cm="1">
        <f t="array" ref="D2060">choice(Settings!K:K,1,Settings!$B$16)</f>
        <v/>
      </c>
    </row>
    <row r="2061" spans="1:4" x14ac:dyDescent="0.25">
      <c r="A2061" s="2" t="str" cm="1">
        <f t="array" ref="A2061">choice(Professeurs!A:A,1,Settings!$B$16)</f>
        <v>Prof51</v>
      </c>
      <c r="B2061" s="3" cm="1">
        <f t="array" ref="B2061">alea_date(Settings!$B$11,360,Settings!$B$8+alea_int(4,0,Settings!$B$16),Settings!$B$16)</f>
        <v>46108.458333333336</v>
      </c>
      <c r="C2061" s="3" cm="1">
        <f t="array" ref="C2061">B2061+TIME(alea_int(5,1,Settings!$B$16),0,0)</f>
        <v>46108.5</v>
      </c>
      <c r="D2061" s="3" t="str" cm="1">
        <f t="array" ref="D2061">choice(Settings!K:K,1,Settings!$B$16)</f>
        <v/>
      </c>
    </row>
    <row r="2062" spans="1:4" x14ac:dyDescent="0.25">
      <c r="A2062" s="2" t="str" cm="1">
        <f t="array" ref="A2062">choice(Professeurs!A:A,1,Settings!$B$16)</f>
        <v>Prof10</v>
      </c>
      <c r="B2062" s="3" cm="1">
        <f t="array" ref="B2062">alea_date(Settings!$B$11,360,Settings!$B$8+alea_int(4,0,Settings!$B$16),Settings!$B$16)</f>
        <v>46249.333333333336</v>
      </c>
      <c r="C2062" s="3" cm="1">
        <f t="array" ref="C2062">B2062+TIME(alea_int(5,1,Settings!$B$16),0,0)</f>
        <v>46249.5</v>
      </c>
      <c r="D2062" s="3" t="str" cm="1">
        <f t="array" ref="D2062">choice(Settings!K:K,1,Settings!$B$16)</f>
        <v/>
      </c>
    </row>
    <row r="2063" spans="1:4" x14ac:dyDescent="0.25">
      <c r="A2063" s="2" t="str" cm="1">
        <f t="array" ref="A2063">choice(Professeurs!A:A,1,Settings!$B$16)</f>
        <v>Prof26</v>
      </c>
      <c r="B2063" s="3" cm="1">
        <f t="array" ref="B2063">alea_date(Settings!$B$11,360,Settings!$B$8+alea_int(4,0,Settings!$B$16),Settings!$B$16)</f>
        <v>46156.375</v>
      </c>
      <c r="C2063" s="3" cm="1">
        <f t="array" ref="C2063">B2063+TIME(alea_int(5,1,Settings!$B$16),0,0)</f>
        <v>46156.541666666664</v>
      </c>
      <c r="D2063" s="3" t="str" cm="1">
        <f t="array" ref="D2063">choice(Settings!K:K,1,Settings!$B$16)</f>
        <v/>
      </c>
    </row>
    <row r="2064" spans="1:4" x14ac:dyDescent="0.25">
      <c r="A2064" s="2" t="str" cm="1">
        <f t="array" ref="A2064">choice(Professeurs!A:A,1,Settings!$B$16)</f>
        <v>Prof25</v>
      </c>
      <c r="B2064" s="3" cm="1">
        <f t="array" ref="B2064">alea_date(Settings!$B$11,360,Settings!$B$8+alea_int(4,0,Settings!$B$16),Settings!$B$16)</f>
        <v>46143.333333333336</v>
      </c>
      <c r="C2064" s="3" cm="1">
        <f t="array" ref="C2064">B2064+TIME(alea_int(5,1,Settings!$B$16),0,0)</f>
        <v>46143.541666666672</v>
      </c>
      <c r="D2064" s="3" t="str" cm="1">
        <f t="array" ref="D2064">choice(Settings!K:K,1,Settings!$B$16)</f>
        <v>mercredi ap</v>
      </c>
    </row>
    <row r="2065" spans="1:4" x14ac:dyDescent="0.25">
      <c r="A2065" s="2" t="str" cm="1">
        <f t="array" ref="A2065">choice(Professeurs!A:A,1,Settings!$B$16)</f>
        <v>Prof11</v>
      </c>
      <c r="B2065" s="3" cm="1">
        <f t="array" ref="B2065">alea_date(Settings!$B$11,360,Settings!$B$8+alea_int(4,0,Settings!$B$16),Settings!$B$16)</f>
        <v>46303.375</v>
      </c>
      <c r="C2065" s="3" cm="1">
        <f t="array" ref="C2065">B2065+TIME(alea_int(5,1,Settings!$B$16),0,0)</f>
        <v>46303.583333333336</v>
      </c>
      <c r="D2065" s="3" t="str" cm="1">
        <f t="array" ref="D2065">choice(Settings!K:K,1,Settings!$B$16)</f>
        <v>vendredi pm</v>
      </c>
    </row>
    <row r="2066" spans="1:4" x14ac:dyDescent="0.25">
      <c r="A2066" s="2" t="str" cm="1">
        <f t="array" ref="A2066">choice(Professeurs!A:A,1,Settings!$B$16)</f>
        <v>Prof12</v>
      </c>
      <c r="B2066" s="3" cm="1">
        <f t="array" ref="B2066">alea_date(Settings!$B$11,360,Settings!$B$8+alea_int(4,0,Settings!$B$16),Settings!$B$16)</f>
        <v>46315.333333333336</v>
      </c>
      <c r="C2066" s="3" cm="1">
        <f t="array" ref="C2066">B2066+TIME(alea_int(5,1,Settings!$B$16),0,0)</f>
        <v>46315.416666666672</v>
      </c>
      <c r="D2066" s="3" t="str" cm="1">
        <f t="array" ref="D2066">choice(Settings!K:K,1,Settings!$B$16)</f>
        <v>mardi pm</v>
      </c>
    </row>
    <row r="2067" spans="1:4" x14ac:dyDescent="0.25">
      <c r="A2067" s="2" t="str" cm="1">
        <f t="array" ref="A2067">choice(Professeurs!A:A,1,Settings!$B$16)</f>
        <v>Prof15</v>
      </c>
      <c r="B2067" s="3" cm="1">
        <f t="array" ref="B2067">alea_date(Settings!$B$11,360,Settings!$B$8+alea_int(4,0,Settings!$B$16),Settings!$B$16)</f>
        <v>46075.375</v>
      </c>
      <c r="C2067" s="3" cm="1">
        <f t="array" ref="C2067">B2067+TIME(alea_int(5,1,Settings!$B$16),0,0)</f>
        <v>46075.583333333336</v>
      </c>
      <c r="D2067" s="3" t="str" cm="1">
        <f t="array" ref="D2067">choice(Settings!K:K,1,Settings!$B$16)</f>
        <v/>
      </c>
    </row>
    <row r="2068" spans="1:4" x14ac:dyDescent="0.25">
      <c r="A2068" s="2" t="str" cm="1">
        <f t="array" ref="A2068">choice(Professeurs!A:A,1,Settings!$B$16)</f>
        <v>Prof40</v>
      </c>
      <c r="B2068" s="3" cm="1">
        <f t="array" ref="B2068">alea_date(Settings!$B$11,360,Settings!$B$8+alea_int(4,0,Settings!$B$16),Settings!$B$16)</f>
        <v>46099.333333333336</v>
      </c>
      <c r="C2068" s="3" cm="1">
        <f t="array" ref="C2068">B2068+TIME(alea_int(5,1,Settings!$B$16),0,0)</f>
        <v>46099.458333333336</v>
      </c>
      <c r="D2068" s="3" t="str" cm="1">
        <f t="array" ref="D2068">choice(Settings!K:K,1,Settings!$B$16)</f>
        <v>jeudi am</v>
      </c>
    </row>
    <row r="2069" spans="1:4" x14ac:dyDescent="0.25">
      <c r="A2069" s="2" t="str" cm="1">
        <f t="array" ref="A2069">choice(Professeurs!A:A,1,Settings!$B$16)</f>
        <v>Prof24</v>
      </c>
      <c r="B2069" s="3" cm="1">
        <f t="array" ref="B2069">alea_date(Settings!$B$11,360,Settings!$B$8+alea_int(4,0,Settings!$B$16),Settings!$B$16)</f>
        <v>46044.375</v>
      </c>
      <c r="C2069" s="3" cm="1">
        <f t="array" ref="C2069">B2069+TIME(alea_int(5,1,Settings!$B$16),0,0)</f>
        <v>46044.541666666664</v>
      </c>
      <c r="D2069" s="3" t="str" cm="1">
        <f t="array" ref="D2069">choice(Settings!K:K,1,Settings!$B$16)</f>
        <v>jeudi pm</v>
      </c>
    </row>
    <row r="2070" spans="1:4" x14ac:dyDescent="0.25">
      <c r="A2070" s="2" t="str" cm="1">
        <f t="array" ref="A2070">choice(Professeurs!A:A,1,Settings!$B$16)</f>
        <v>Prof2</v>
      </c>
      <c r="B2070" s="3" cm="1">
        <f t="array" ref="B2070">alea_date(Settings!$B$11,360,Settings!$B$8+alea_int(4,0,Settings!$B$16),Settings!$B$16)</f>
        <v>46365.458333333336</v>
      </c>
      <c r="C2070" s="3" cm="1">
        <f t="array" ref="C2070">B2070+TIME(alea_int(5,1,Settings!$B$16),0,0)</f>
        <v>46365.541666666672</v>
      </c>
      <c r="D2070" s="3" t="str" cm="1">
        <f t="array" ref="D2070">choice(Settings!K:K,1,Settings!$B$16)</f>
        <v>mardi am</v>
      </c>
    </row>
    <row r="2071" spans="1:4" x14ac:dyDescent="0.25">
      <c r="A2071" s="2" t="str" cm="1">
        <f t="array" ref="A2071">choice(Professeurs!A:A,1,Settings!$B$16)</f>
        <v>Prof38</v>
      </c>
      <c r="B2071" s="3" cm="1">
        <f t="array" ref="B2071">alea_date(Settings!$B$11,360,Settings!$B$8+alea_int(4,0,Settings!$B$16),Settings!$B$16)</f>
        <v>46282.375</v>
      </c>
      <c r="C2071" s="3" cm="1">
        <f t="array" ref="C2071">B2071+TIME(alea_int(5,1,Settings!$B$16),0,0)</f>
        <v>46282.416666666664</v>
      </c>
      <c r="D2071" s="3" t="str" cm="1">
        <f t="array" ref="D2071">choice(Settings!K:K,1,Settings!$B$16)</f>
        <v/>
      </c>
    </row>
    <row r="2072" spans="1:4" x14ac:dyDescent="0.25">
      <c r="A2072" s="2" t="str" cm="1">
        <f t="array" ref="A2072">choice(Professeurs!A:A,1,Settings!$B$16)</f>
        <v>Prof9</v>
      </c>
      <c r="B2072" s="3" cm="1">
        <f t="array" ref="B2072">alea_date(Settings!$B$11,360,Settings!$B$8+alea_int(4,0,Settings!$B$16),Settings!$B$16)</f>
        <v>46259.375</v>
      </c>
      <c r="C2072" s="3" cm="1">
        <f t="array" ref="C2072">B2072+TIME(alea_int(5,1,Settings!$B$16),0,0)</f>
        <v>46259.5</v>
      </c>
      <c r="D2072" s="3" t="str" cm="1">
        <f t="array" ref="D2072">choice(Settings!K:K,1,Settings!$B$16)</f>
        <v>lundi am</v>
      </c>
    </row>
    <row r="2073" spans="1:4" x14ac:dyDescent="0.25">
      <c r="A2073" s="2" t="str" cm="1">
        <f t="array" ref="A2073">choice(Professeurs!A:A,1,Settings!$B$16)</f>
        <v>Prof28</v>
      </c>
      <c r="B2073" s="3" cm="1">
        <f t="array" ref="B2073">alea_date(Settings!$B$11,360,Settings!$B$8+alea_int(4,0,Settings!$B$16),Settings!$B$16)</f>
        <v>46289.375</v>
      </c>
      <c r="C2073" s="3" cm="1">
        <f t="array" ref="C2073">B2073+TIME(alea_int(5,1,Settings!$B$16),0,0)</f>
        <v>46289.416666666664</v>
      </c>
      <c r="D2073" s="3" t="str" cm="1">
        <f t="array" ref="D2073">choice(Settings!K:K,1,Settings!$B$16)</f>
        <v/>
      </c>
    </row>
    <row r="2074" spans="1:4" x14ac:dyDescent="0.25">
      <c r="A2074" s="2" t="str" cm="1">
        <f t="array" ref="A2074">choice(Professeurs!A:A,1,Settings!$B$16)</f>
        <v>Prof42</v>
      </c>
      <c r="B2074" s="3" cm="1">
        <f t="array" ref="B2074">alea_date(Settings!$B$11,360,Settings!$B$8+alea_int(4,0,Settings!$B$16),Settings!$B$16)</f>
        <v>46380.416666666664</v>
      </c>
      <c r="C2074" s="3" cm="1">
        <f t="array" ref="C2074">B2074+TIME(alea_int(5,1,Settings!$B$16),0,0)</f>
        <v>46380.458333333328</v>
      </c>
      <c r="D2074" s="3" t="str" cm="1">
        <f t="array" ref="D2074">choice(Settings!K:K,1,Settings!$B$16)</f>
        <v/>
      </c>
    </row>
    <row r="2075" spans="1:4" x14ac:dyDescent="0.25">
      <c r="A2075" s="2" t="str" cm="1">
        <f t="array" ref="A2075">choice(Professeurs!A:A,1,Settings!$B$16)</f>
        <v>Prof55</v>
      </c>
      <c r="B2075" s="3" cm="1">
        <f t="array" ref="B2075">alea_date(Settings!$B$11,360,Settings!$B$8+alea_int(4,0,Settings!$B$16),Settings!$B$16)</f>
        <v>46288.416666666664</v>
      </c>
      <c r="C2075" s="3" cm="1">
        <f t="array" ref="C2075">B2075+TIME(alea_int(5,1,Settings!$B$16),0,0)</f>
        <v>46288.625</v>
      </c>
      <c r="D2075" s="3" t="str" cm="1">
        <f t="array" ref="D2075">choice(Settings!K:K,1,Settings!$B$16)</f>
        <v/>
      </c>
    </row>
    <row r="2076" spans="1:4" x14ac:dyDescent="0.25">
      <c r="A2076" s="2" t="str" cm="1">
        <f t="array" ref="A2076">choice(Professeurs!A:A,1,Settings!$B$16)</f>
        <v>Prof20</v>
      </c>
      <c r="B2076" s="3" cm="1">
        <f t="array" ref="B2076">alea_date(Settings!$B$11,360,Settings!$B$8+alea_int(4,0,Settings!$B$16),Settings!$B$16)</f>
        <v>46338.416666666664</v>
      </c>
      <c r="C2076" s="3" cm="1">
        <f t="array" ref="C2076">B2076+TIME(alea_int(5,1,Settings!$B$16),0,0)</f>
        <v>46338.541666666664</v>
      </c>
      <c r="D2076" s="3" t="str" cm="1">
        <f t="array" ref="D2076">choice(Settings!K:K,1,Settings!$B$16)</f>
        <v/>
      </c>
    </row>
    <row r="2077" spans="1:4" x14ac:dyDescent="0.25">
      <c r="A2077" s="2" t="str" cm="1">
        <f t="array" ref="A2077">choice(Professeurs!A:A,1,Settings!$B$16)</f>
        <v>Prof54</v>
      </c>
      <c r="B2077" s="3" cm="1">
        <f t="array" ref="B2077">alea_date(Settings!$B$11,360,Settings!$B$8+alea_int(4,0,Settings!$B$16),Settings!$B$16)</f>
        <v>46248.333333333336</v>
      </c>
      <c r="C2077" s="3" cm="1">
        <f t="array" ref="C2077">B2077+TIME(alea_int(5,1,Settings!$B$16),0,0)</f>
        <v>46248.416666666672</v>
      </c>
      <c r="D2077" s="3" t="str" cm="1">
        <f t="array" ref="D2077">choice(Settings!K:K,1,Settings!$B$16)</f>
        <v/>
      </c>
    </row>
    <row r="2078" spans="1:4" x14ac:dyDescent="0.25">
      <c r="A2078" s="2" t="str" cm="1">
        <f t="array" ref="A2078">choice(Professeurs!A:A,1,Settings!$B$16)</f>
        <v>Prof11</v>
      </c>
      <c r="B2078" s="3" cm="1">
        <f t="array" ref="B2078">alea_date(Settings!$B$11,360,Settings!$B$8+alea_int(4,0,Settings!$B$16),Settings!$B$16)</f>
        <v>46216.416666666664</v>
      </c>
      <c r="C2078" s="3" cm="1">
        <f t="array" ref="C2078">B2078+TIME(alea_int(5,1,Settings!$B$16),0,0)</f>
        <v>46216.5</v>
      </c>
      <c r="D2078" s="3" t="str" cm="1">
        <f t="array" ref="D2078">choice(Settings!K:K,1,Settings!$B$16)</f>
        <v>lundi pm</v>
      </c>
    </row>
    <row r="2079" spans="1:4" x14ac:dyDescent="0.25">
      <c r="A2079" s="2" t="str" cm="1">
        <f t="array" ref="A2079">choice(Professeurs!A:A,1,Settings!$B$16)</f>
        <v>Prof8</v>
      </c>
      <c r="B2079" s="3" cm="1">
        <f t="array" ref="B2079">alea_date(Settings!$B$11,360,Settings!$B$8+alea_int(4,0,Settings!$B$16),Settings!$B$16)</f>
        <v>46329.375</v>
      </c>
      <c r="C2079" s="3" cm="1">
        <f t="array" ref="C2079">B2079+TIME(alea_int(5,1,Settings!$B$16),0,0)</f>
        <v>46329.5</v>
      </c>
      <c r="D2079" s="3" t="str" cm="1">
        <f t="array" ref="D2079">choice(Settings!K:K,1,Settings!$B$16)</f>
        <v/>
      </c>
    </row>
    <row r="2080" spans="1:4" x14ac:dyDescent="0.25">
      <c r="A2080" s="2" t="str" cm="1">
        <f t="array" ref="A2080">choice(Professeurs!A:A,1,Settings!$B$16)</f>
        <v>Prof35</v>
      </c>
      <c r="B2080" s="3" cm="1">
        <f t="array" ref="B2080">alea_date(Settings!$B$11,360,Settings!$B$8+alea_int(4,0,Settings!$B$16),Settings!$B$16)</f>
        <v>46290.458333333336</v>
      </c>
      <c r="C2080" s="3" cm="1">
        <f t="array" ref="C2080">B2080+TIME(alea_int(5,1,Settings!$B$16),0,0)</f>
        <v>46290.541666666672</v>
      </c>
      <c r="D2080" s="3" t="str" cm="1">
        <f t="array" ref="D2080">choice(Settings!K:K,1,Settings!$B$16)</f>
        <v/>
      </c>
    </row>
    <row r="2081" spans="1:4" x14ac:dyDescent="0.25">
      <c r="A2081" s="2" t="str" cm="1">
        <f t="array" ref="A2081">choice(Professeurs!A:A,1,Settings!$B$16)</f>
        <v>Prof54</v>
      </c>
      <c r="B2081" s="3" cm="1">
        <f t="array" ref="B2081">alea_date(Settings!$B$11,360,Settings!$B$8+alea_int(4,0,Settings!$B$16),Settings!$B$16)</f>
        <v>46130.458333333336</v>
      </c>
      <c r="C2081" s="3" cm="1">
        <f t="array" ref="C2081">B2081+TIME(alea_int(5,1,Settings!$B$16),0,0)</f>
        <v>46130.541666666672</v>
      </c>
      <c r="D2081" s="3" t="str" cm="1">
        <f t="array" ref="D2081">choice(Settings!K:K,1,Settings!$B$16)</f>
        <v/>
      </c>
    </row>
    <row r="2082" spans="1:4" x14ac:dyDescent="0.25">
      <c r="A2082" s="2" t="str" cm="1">
        <f t="array" ref="A2082">choice(Professeurs!A:A,1,Settings!$B$16)</f>
        <v>Prof54</v>
      </c>
      <c r="B2082" s="3" cm="1">
        <f t="array" ref="B2082">alea_date(Settings!$B$11,360,Settings!$B$8+alea_int(4,0,Settings!$B$16),Settings!$B$16)</f>
        <v>46263.375</v>
      </c>
      <c r="C2082" s="3" cm="1">
        <f t="array" ref="C2082">B2082+TIME(alea_int(5,1,Settings!$B$16),0,0)</f>
        <v>46263.416666666664</v>
      </c>
      <c r="D2082" s="3" t="str" cm="1">
        <f t="array" ref="D2082">choice(Settings!K:K,1,Settings!$B$16)</f>
        <v/>
      </c>
    </row>
    <row r="2083" spans="1:4" x14ac:dyDescent="0.25">
      <c r="A2083" s="2" t="str" cm="1">
        <f t="array" ref="A2083">choice(Professeurs!A:A,1,Settings!$B$16)</f>
        <v>Prof19</v>
      </c>
      <c r="B2083" s="3" cm="1">
        <f t="array" ref="B2083">alea_date(Settings!$B$11,360,Settings!$B$8+alea_int(4,0,Settings!$B$16),Settings!$B$16)</f>
        <v>46125.458333333336</v>
      </c>
      <c r="C2083" s="3" cm="1">
        <f t="array" ref="C2083">B2083+TIME(alea_int(5,1,Settings!$B$16),0,0)</f>
        <v>46125.541666666672</v>
      </c>
      <c r="D2083" s="3" t="str" cm="1">
        <f t="array" ref="D2083">choice(Settings!K:K,1,Settings!$B$16)</f>
        <v/>
      </c>
    </row>
    <row r="2084" spans="1:4" x14ac:dyDescent="0.25">
      <c r="A2084" s="2" t="str" cm="1">
        <f t="array" ref="A2084">choice(Professeurs!A:A,1,Settings!$B$16)</f>
        <v>Prof27</v>
      </c>
      <c r="B2084" s="3" cm="1">
        <f t="array" ref="B2084">alea_date(Settings!$B$11,360,Settings!$B$8+alea_int(4,0,Settings!$B$16),Settings!$B$16)</f>
        <v>46234.375</v>
      </c>
      <c r="C2084" s="3" cm="1">
        <f t="array" ref="C2084">B2084+TIME(alea_int(5,1,Settings!$B$16),0,0)</f>
        <v>46234.541666666664</v>
      </c>
      <c r="D2084" s="3" t="str" cm="1">
        <f t="array" ref="D2084">choice(Settings!K:K,1,Settings!$B$16)</f>
        <v/>
      </c>
    </row>
    <row r="2085" spans="1:4" x14ac:dyDescent="0.25">
      <c r="A2085" s="2" t="str" cm="1">
        <f t="array" ref="A2085">choice(Professeurs!A:A,1,Settings!$B$16)</f>
        <v>Prof4</v>
      </c>
      <c r="B2085" s="3" cm="1">
        <f t="array" ref="B2085">alea_date(Settings!$B$11,360,Settings!$B$8+alea_int(4,0,Settings!$B$16),Settings!$B$16)</f>
        <v>46216.458333333336</v>
      </c>
      <c r="C2085" s="3" cm="1">
        <f t="array" ref="C2085">B2085+TIME(alea_int(5,1,Settings!$B$16),0,0)</f>
        <v>46216.5</v>
      </c>
      <c r="D2085" s="3" t="str" cm="1">
        <f t="array" ref="D2085">choice(Settings!K:K,1,Settings!$B$16)</f>
        <v>lundi pm</v>
      </c>
    </row>
    <row r="2086" spans="1:4" x14ac:dyDescent="0.25">
      <c r="A2086" s="2" t="str" cm="1">
        <f t="array" ref="A2086">choice(Professeurs!A:A,1,Settings!$B$16)</f>
        <v>Prof28</v>
      </c>
      <c r="B2086" s="3" cm="1">
        <f t="array" ref="B2086">alea_date(Settings!$B$11,360,Settings!$B$8+alea_int(4,0,Settings!$B$16),Settings!$B$16)</f>
        <v>46028.416666666664</v>
      </c>
      <c r="C2086" s="3" cm="1">
        <f t="array" ref="C2086">B2086+TIME(alea_int(5,1,Settings!$B$16),0,0)</f>
        <v>46028.625</v>
      </c>
      <c r="D2086" s="3" t="str" cm="1">
        <f t="array" ref="D2086">choice(Settings!K:K,1,Settings!$B$16)</f>
        <v/>
      </c>
    </row>
    <row r="2087" spans="1:4" x14ac:dyDescent="0.25">
      <c r="A2087" s="2" t="str" cm="1">
        <f t="array" ref="A2087">choice(Professeurs!A:A,1,Settings!$B$16)</f>
        <v>Prof26</v>
      </c>
      <c r="B2087" s="3" cm="1">
        <f t="array" ref="B2087">alea_date(Settings!$B$11,360,Settings!$B$8+alea_int(4,0,Settings!$B$16),Settings!$B$16)</f>
        <v>46214.375</v>
      </c>
      <c r="C2087" s="3" cm="1">
        <f t="array" ref="C2087">B2087+TIME(alea_int(5,1,Settings!$B$16),0,0)</f>
        <v>46214.5</v>
      </c>
      <c r="D2087" s="3" t="str" cm="1">
        <f t="array" ref="D2087">choice(Settings!K:K,1,Settings!$B$16)</f>
        <v>lundi am</v>
      </c>
    </row>
    <row r="2088" spans="1:4" x14ac:dyDescent="0.25">
      <c r="A2088" s="2" t="str" cm="1">
        <f t="array" ref="A2088">choice(Professeurs!A:A,1,Settings!$B$16)</f>
        <v>Prof50</v>
      </c>
      <c r="B2088" s="3" cm="1">
        <f t="array" ref="B2088">alea_date(Settings!$B$11,360,Settings!$B$8+alea_int(4,0,Settings!$B$16),Settings!$B$16)</f>
        <v>46150.375</v>
      </c>
      <c r="C2088" s="3" cm="1">
        <f t="array" ref="C2088">B2088+TIME(alea_int(5,1,Settings!$B$16),0,0)</f>
        <v>46150.458333333336</v>
      </c>
      <c r="D2088" s="3" t="str" cm="1">
        <f t="array" ref="D2088">choice(Settings!K:K,1,Settings!$B$16)</f>
        <v>mardi am</v>
      </c>
    </row>
    <row r="2089" spans="1:4" x14ac:dyDescent="0.25">
      <c r="A2089" s="2" t="str" cm="1">
        <f t="array" ref="A2089">choice(Professeurs!A:A,1,Settings!$B$16)</f>
        <v>Prof24</v>
      </c>
      <c r="B2089" s="3" cm="1">
        <f t="array" ref="B2089">alea_date(Settings!$B$11,360,Settings!$B$8+alea_int(4,0,Settings!$B$16),Settings!$B$16)</f>
        <v>46128.333333333336</v>
      </c>
      <c r="C2089" s="3" cm="1">
        <f t="array" ref="C2089">B2089+TIME(alea_int(5,1,Settings!$B$16),0,0)</f>
        <v>46128.541666666672</v>
      </c>
      <c r="D2089" s="3" t="str" cm="1">
        <f t="array" ref="D2089">choice(Settings!K:K,1,Settings!$B$16)</f>
        <v/>
      </c>
    </row>
    <row r="2090" spans="1:4" x14ac:dyDescent="0.25">
      <c r="A2090" s="2" t="str" cm="1">
        <f t="array" ref="A2090">choice(Professeurs!A:A,1,Settings!$B$16)</f>
        <v>Prof11</v>
      </c>
      <c r="B2090" s="3" cm="1">
        <f t="array" ref="B2090">alea_date(Settings!$B$11,360,Settings!$B$8+alea_int(4,0,Settings!$B$16),Settings!$B$16)</f>
        <v>46365.333333333336</v>
      </c>
      <c r="C2090" s="3" cm="1">
        <f t="array" ref="C2090">B2090+TIME(alea_int(5,1,Settings!$B$16),0,0)</f>
        <v>46365.375</v>
      </c>
      <c r="D2090" s="3" t="str" cm="1">
        <f t="array" ref="D2090">choice(Settings!K:K,1,Settings!$B$16)</f>
        <v>mercredi ap</v>
      </c>
    </row>
    <row r="2091" spans="1:4" x14ac:dyDescent="0.25">
      <c r="A2091" s="2" t="str" cm="1">
        <f t="array" ref="A2091">choice(Professeurs!A:A,1,Settings!$B$16)</f>
        <v>Prof9</v>
      </c>
      <c r="B2091" s="3" cm="1">
        <f t="array" ref="B2091">alea_date(Settings!$B$11,360,Settings!$B$8+alea_int(4,0,Settings!$B$16),Settings!$B$16)</f>
        <v>46143.416666666664</v>
      </c>
      <c r="C2091" s="3" cm="1">
        <f t="array" ref="C2091">B2091+TIME(alea_int(5,1,Settings!$B$16),0,0)</f>
        <v>46143.5</v>
      </c>
      <c r="D2091" s="3" t="str" cm="1">
        <f t="array" ref="D2091">choice(Settings!K:K,1,Settings!$B$16)</f>
        <v>mardi pm</v>
      </c>
    </row>
    <row r="2092" spans="1:4" x14ac:dyDescent="0.25">
      <c r="A2092" s="2" t="str" cm="1">
        <f t="array" ref="A2092">choice(Professeurs!A:A,1,Settings!$B$16)</f>
        <v>Prof41</v>
      </c>
      <c r="B2092" s="3" cm="1">
        <f t="array" ref="B2092">alea_date(Settings!$B$11,360,Settings!$B$8+alea_int(4,0,Settings!$B$16),Settings!$B$16)</f>
        <v>46220.375</v>
      </c>
      <c r="C2092" s="3" cm="1">
        <f t="array" ref="C2092">B2092+TIME(alea_int(5,1,Settings!$B$16),0,0)</f>
        <v>46220.5</v>
      </c>
      <c r="D2092" s="3" t="str" cm="1">
        <f t="array" ref="D2092">choice(Settings!K:K,1,Settings!$B$16)</f>
        <v/>
      </c>
    </row>
    <row r="2093" spans="1:4" x14ac:dyDescent="0.25">
      <c r="A2093" s="2" t="str" cm="1">
        <f t="array" ref="A2093">choice(Professeurs!A:A,1,Settings!$B$16)</f>
        <v>Prof3</v>
      </c>
      <c r="B2093" s="3" cm="1">
        <f t="array" ref="B2093">alea_date(Settings!$B$11,360,Settings!$B$8+alea_int(4,0,Settings!$B$16),Settings!$B$16)</f>
        <v>46376.333333333336</v>
      </c>
      <c r="C2093" s="3" cm="1">
        <f t="array" ref="C2093">B2093+TIME(alea_int(5,1,Settings!$B$16),0,0)</f>
        <v>46376.5</v>
      </c>
      <c r="D2093" s="3" t="str" cm="1">
        <f t="array" ref="D2093">choice(Settings!K:K,1,Settings!$B$16)</f>
        <v/>
      </c>
    </row>
    <row r="2094" spans="1:4" x14ac:dyDescent="0.25">
      <c r="A2094" s="2" t="str" cm="1">
        <f t="array" ref="A2094">choice(Professeurs!A:A,1,Settings!$B$16)</f>
        <v>Prof13</v>
      </c>
      <c r="B2094" s="3" cm="1">
        <f t="array" ref="B2094">alea_date(Settings!$B$11,360,Settings!$B$8+alea_int(4,0,Settings!$B$16),Settings!$B$16)</f>
        <v>46086.458333333336</v>
      </c>
      <c r="C2094" s="3" cm="1">
        <f t="array" ref="C2094">B2094+TIME(alea_int(5,1,Settings!$B$16),0,0)</f>
        <v>46086.541666666672</v>
      </c>
      <c r="D2094" s="3" t="str" cm="1">
        <f t="array" ref="D2094">choice(Settings!K:K,1,Settings!$B$16)</f>
        <v/>
      </c>
    </row>
    <row r="2095" spans="1:4" x14ac:dyDescent="0.25">
      <c r="A2095" s="2" t="str" cm="1">
        <f t="array" ref="A2095">choice(Professeurs!A:A,1,Settings!$B$16)</f>
        <v>Prof19</v>
      </c>
      <c r="B2095" s="3" cm="1">
        <f t="array" ref="B2095">alea_date(Settings!$B$11,360,Settings!$B$8+alea_int(4,0,Settings!$B$16),Settings!$B$16)</f>
        <v>46360.375</v>
      </c>
      <c r="C2095" s="3" cm="1">
        <f t="array" ref="C2095">B2095+TIME(alea_int(5,1,Settings!$B$16),0,0)</f>
        <v>46360.5</v>
      </c>
      <c r="D2095" s="3" t="str" cm="1">
        <f t="array" ref="D2095">choice(Settings!K:K,1,Settings!$B$16)</f>
        <v/>
      </c>
    </row>
    <row r="2096" spans="1:4" x14ac:dyDescent="0.25">
      <c r="A2096" s="2" t="str" cm="1">
        <f t="array" ref="A2096">choice(Professeurs!A:A,1,Settings!$B$16)</f>
        <v>Prof34</v>
      </c>
      <c r="B2096" s="3" cm="1">
        <f t="array" ref="B2096">alea_date(Settings!$B$11,360,Settings!$B$8+alea_int(4,0,Settings!$B$16),Settings!$B$16)</f>
        <v>46235.416666666664</v>
      </c>
      <c r="C2096" s="3" cm="1">
        <f t="array" ref="C2096">B2096+TIME(alea_int(5,1,Settings!$B$16),0,0)</f>
        <v>46235.541666666664</v>
      </c>
      <c r="D2096" s="3" t="str" cm="1">
        <f t="array" ref="D2096">choice(Settings!K:K,1,Settings!$B$16)</f>
        <v/>
      </c>
    </row>
    <row r="2097" spans="1:4" x14ac:dyDescent="0.25">
      <c r="A2097" s="2" t="str" cm="1">
        <f t="array" ref="A2097">choice(Professeurs!A:A,1,Settings!$B$16)</f>
        <v>Prof18</v>
      </c>
      <c r="B2097" s="3" cm="1">
        <f t="array" ref="B2097">alea_date(Settings!$B$11,360,Settings!$B$8+alea_int(4,0,Settings!$B$16),Settings!$B$16)</f>
        <v>46142.458333333336</v>
      </c>
      <c r="C2097" s="3" cm="1">
        <f t="array" ref="C2097">B2097+TIME(alea_int(5,1,Settings!$B$16),0,0)</f>
        <v>46142.625</v>
      </c>
      <c r="D2097" s="3" t="str" cm="1">
        <f t="array" ref="D2097">choice(Settings!K:K,1,Settings!$B$16)</f>
        <v>mercredi pm</v>
      </c>
    </row>
    <row r="2098" spans="1:4" x14ac:dyDescent="0.25">
      <c r="A2098" s="2" t="str" cm="1">
        <f t="array" ref="A2098">choice(Professeurs!A:A,1,Settings!$B$16)</f>
        <v>Prof15</v>
      </c>
      <c r="B2098" s="3" cm="1">
        <f t="array" ref="B2098">alea_date(Settings!$B$11,360,Settings!$B$8+alea_int(4,0,Settings!$B$16),Settings!$B$16)</f>
        <v>46252.416666666664</v>
      </c>
      <c r="C2098" s="3" cm="1">
        <f t="array" ref="C2098">B2098+TIME(alea_int(5,1,Settings!$B$16),0,0)</f>
        <v>46252.583333333328</v>
      </c>
      <c r="D2098" s="3" t="str" cm="1">
        <f t="array" ref="D2098">choice(Settings!K:K,1,Settings!$B$16)</f>
        <v/>
      </c>
    </row>
    <row r="2099" spans="1:4" x14ac:dyDescent="0.25">
      <c r="A2099" s="2" t="str" cm="1">
        <f t="array" ref="A2099">choice(Professeurs!A:A,1,Settings!$B$16)</f>
        <v>Prof6</v>
      </c>
      <c r="B2099" s="3" cm="1">
        <f t="array" ref="B2099">alea_date(Settings!$B$11,360,Settings!$B$8+alea_int(4,0,Settings!$B$16),Settings!$B$16)</f>
        <v>46144.416666666664</v>
      </c>
      <c r="C2099" s="3" cm="1">
        <f t="array" ref="C2099">B2099+TIME(alea_int(5,1,Settings!$B$16),0,0)</f>
        <v>46144.583333333328</v>
      </c>
      <c r="D2099" s="3" t="str" cm="1">
        <f t="array" ref="D2099">choice(Settings!K:K,1,Settings!$B$16)</f>
        <v/>
      </c>
    </row>
    <row r="2100" spans="1:4" x14ac:dyDescent="0.25">
      <c r="A2100" s="2" t="str" cm="1">
        <f t="array" ref="A2100">choice(Professeurs!A:A,1,Settings!$B$16)</f>
        <v>Prof27</v>
      </c>
      <c r="B2100" s="3" cm="1">
        <f t="array" ref="B2100">alea_date(Settings!$B$11,360,Settings!$B$8+alea_int(4,0,Settings!$B$16),Settings!$B$16)</f>
        <v>46372.416666666664</v>
      </c>
      <c r="C2100" s="3" cm="1">
        <f t="array" ref="C2100">B2100+TIME(alea_int(5,1,Settings!$B$16),0,0)</f>
        <v>46372.5</v>
      </c>
      <c r="D2100" s="3" t="str" cm="1">
        <f t="array" ref="D2100">choice(Settings!K:K,1,Settings!$B$16)</f>
        <v>vendredi pm</v>
      </c>
    </row>
    <row r="2101" spans="1:4" x14ac:dyDescent="0.25">
      <c r="A2101" s="2" t="str" cm="1">
        <f t="array" ref="A2101">choice(Professeurs!A:A,1,Settings!$B$16)</f>
        <v>Prof1</v>
      </c>
      <c r="B2101" s="3" cm="1">
        <f t="array" ref="B2101">alea_date(Settings!$B$11,360,Settings!$B$8+alea_int(4,0,Settings!$B$16),Settings!$B$16)</f>
        <v>46254.416666666664</v>
      </c>
      <c r="C2101" s="3" cm="1">
        <f t="array" ref="C2101">B2101+TIME(alea_int(5,1,Settings!$B$16),0,0)</f>
        <v>46254.5</v>
      </c>
      <c r="D2101" s="3" t="str" cm="1">
        <f t="array" ref="D2101">choice(Settings!K:K,1,Settings!$B$16)</f>
        <v/>
      </c>
    </row>
    <row r="2102" spans="1:4" x14ac:dyDescent="0.25">
      <c r="A2102" s="2" t="str" cm="1">
        <f t="array" ref="A2102">choice(Professeurs!A:A,1,Settings!$B$16)</f>
        <v>Prof53</v>
      </c>
      <c r="B2102" s="3" cm="1">
        <f t="array" ref="B2102">alea_date(Settings!$B$11,360,Settings!$B$8+alea_int(4,0,Settings!$B$16),Settings!$B$16)</f>
        <v>46315.458333333336</v>
      </c>
      <c r="C2102" s="3" cm="1">
        <f t="array" ref="C2102">B2102+TIME(alea_int(5,1,Settings!$B$16),0,0)</f>
        <v>46315.5</v>
      </c>
      <c r="D2102" s="3" t="str" cm="1">
        <f t="array" ref="D2102">choice(Settings!K:K,1,Settings!$B$16)</f>
        <v/>
      </c>
    </row>
    <row r="2103" spans="1:4" x14ac:dyDescent="0.25">
      <c r="A2103" s="2" t="str" cm="1">
        <f t="array" ref="A2103">choice(Professeurs!A:A,1,Settings!$B$16)</f>
        <v>Prof25</v>
      </c>
      <c r="B2103" s="3" cm="1">
        <f t="array" ref="B2103">alea_date(Settings!$B$11,360,Settings!$B$8+alea_int(4,0,Settings!$B$16),Settings!$B$16)</f>
        <v>46357.458333333336</v>
      </c>
      <c r="C2103" s="3" cm="1">
        <f t="array" ref="C2103">B2103+TIME(alea_int(5,1,Settings!$B$16),0,0)</f>
        <v>46357.666666666672</v>
      </c>
      <c r="D2103" s="3" t="str" cm="1">
        <f t="array" ref="D2103">choice(Settings!K:K,1,Settings!$B$16)</f>
        <v>lundi am</v>
      </c>
    </row>
    <row r="2104" spans="1:4" x14ac:dyDescent="0.25">
      <c r="A2104" s="2" t="str" cm="1">
        <f t="array" ref="A2104">choice(Professeurs!A:A,1,Settings!$B$16)</f>
        <v>Prof40</v>
      </c>
      <c r="B2104" s="3" cm="1">
        <f t="array" ref="B2104">alea_date(Settings!$B$11,360,Settings!$B$8+alea_int(4,0,Settings!$B$16),Settings!$B$16)</f>
        <v>46074.333333333336</v>
      </c>
      <c r="C2104" s="3" cm="1">
        <f t="array" ref="C2104">B2104+TIME(alea_int(5,1,Settings!$B$16),0,0)</f>
        <v>46074.541666666672</v>
      </c>
      <c r="D2104" s="3" t="str" cm="1">
        <f t="array" ref="D2104">choice(Settings!K:K,1,Settings!$B$16)</f>
        <v>mardi pm</v>
      </c>
    </row>
    <row r="2105" spans="1:4" x14ac:dyDescent="0.25">
      <c r="A2105" s="2" t="str" cm="1">
        <f t="array" ref="A2105">choice(Professeurs!A:A,1,Settings!$B$16)</f>
        <v>Prof53</v>
      </c>
      <c r="B2105" s="3" cm="1">
        <f t="array" ref="B2105">alea_date(Settings!$B$11,360,Settings!$B$8+alea_int(4,0,Settings!$B$16),Settings!$B$16)</f>
        <v>46265.416666666664</v>
      </c>
      <c r="C2105" s="3" cm="1">
        <f t="array" ref="C2105">B2105+TIME(alea_int(5,1,Settings!$B$16),0,0)</f>
        <v>46265.458333333328</v>
      </c>
      <c r="D2105" s="3" t="str" cm="1">
        <f t="array" ref="D2105">choice(Settings!K:K,1,Settings!$B$16)</f>
        <v/>
      </c>
    </row>
    <row r="2106" spans="1:4" x14ac:dyDescent="0.25">
      <c r="A2106" s="2" t="str" cm="1">
        <f t="array" ref="A2106">choice(Professeurs!A:A,1,Settings!$B$16)</f>
        <v>Prof50</v>
      </c>
      <c r="B2106" s="3" cm="1">
        <f t="array" ref="B2106">alea_date(Settings!$B$11,360,Settings!$B$8+alea_int(4,0,Settings!$B$16),Settings!$B$16)</f>
        <v>46270.416666666664</v>
      </c>
      <c r="C2106" s="3" cm="1">
        <f t="array" ref="C2106">B2106+TIME(alea_int(5,1,Settings!$B$16),0,0)</f>
        <v>46270.541666666664</v>
      </c>
      <c r="D2106" s="3" t="str" cm="1">
        <f t="array" ref="D2106">choice(Settings!K:K,1,Settings!$B$16)</f>
        <v>mercredi ap</v>
      </c>
    </row>
    <row r="2107" spans="1:4" x14ac:dyDescent="0.25">
      <c r="A2107" s="2" t="str" cm="1">
        <f t="array" ref="A2107">choice(Professeurs!A:A,1,Settings!$B$16)</f>
        <v>Prof23</v>
      </c>
      <c r="B2107" s="3" cm="1">
        <f t="array" ref="B2107">alea_date(Settings!$B$11,360,Settings!$B$8+alea_int(4,0,Settings!$B$16),Settings!$B$16)</f>
        <v>46263.375</v>
      </c>
      <c r="C2107" s="3" cm="1">
        <f t="array" ref="C2107">B2107+TIME(alea_int(5,1,Settings!$B$16),0,0)</f>
        <v>46263.416666666664</v>
      </c>
      <c r="D2107" s="3" t="str" cm="1">
        <f t="array" ref="D2107">choice(Settings!K:K,1,Settings!$B$16)</f>
        <v>jeudi pm</v>
      </c>
    </row>
    <row r="2108" spans="1:4" x14ac:dyDescent="0.25">
      <c r="A2108" s="2" t="str" cm="1">
        <f t="array" ref="A2108">choice(Professeurs!A:A,1,Settings!$B$16)</f>
        <v>Prof37</v>
      </c>
      <c r="B2108" s="3" cm="1">
        <f t="array" ref="B2108">alea_date(Settings!$B$11,360,Settings!$B$8+alea_int(4,0,Settings!$B$16),Settings!$B$16)</f>
        <v>46258.416666666664</v>
      </c>
      <c r="C2108" s="3" cm="1">
        <f t="array" ref="C2108">B2108+TIME(alea_int(5,1,Settings!$B$16),0,0)</f>
        <v>46258.541666666664</v>
      </c>
      <c r="D2108" s="3" t="str" cm="1">
        <f t="array" ref="D2108">choice(Settings!K:K,1,Settings!$B$16)</f>
        <v>vendredi am</v>
      </c>
    </row>
    <row r="2109" spans="1:4" x14ac:dyDescent="0.25">
      <c r="A2109" s="2" t="str" cm="1">
        <f t="array" ref="A2109">choice(Professeurs!A:A,1,Settings!$B$16)</f>
        <v>Prof13</v>
      </c>
      <c r="B2109" s="3" cm="1">
        <f t="array" ref="B2109">alea_date(Settings!$B$11,360,Settings!$B$8+alea_int(4,0,Settings!$B$16),Settings!$B$16)</f>
        <v>46358.458333333336</v>
      </c>
      <c r="C2109" s="3" cm="1">
        <f t="array" ref="C2109">B2109+TIME(alea_int(5,1,Settings!$B$16),0,0)</f>
        <v>46358.5</v>
      </c>
      <c r="D2109" s="3" t="str" cm="1">
        <f t="array" ref="D2109">choice(Settings!K:K,1,Settings!$B$16)</f>
        <v/>
      </c>
    </row>
    <row r="2110" spans="1:4" x14ac:dyDescent="0.25">
      <c r="A2110" s="2" t="str" cm="1">
        <f t="array" ref="A2110">choice(Professeurs!A:A,1,Settings!$B$16)</f>
        <v>Prof34</v>
      </c>
      <c r="B2110" s="3" cm="1">
        <f t="array" ref="B2110">alea_date(Settings!$B$11,360,Settings!$B$8+alea_int(4,0,Settings!$B$16),Settings!$B$16)</f>
        <v>46142.458333333336</v>
      </c>
      <c r="C2110" s="3" cm="1">
        <f t="array" ref="C2110">B2110+TIME(alea_int(5,1,Settings!$B$16),0,0)</f>
        <v>46142.583333333336</v>
      </c>
      <c r="D2110" s="3" t="str" cm="1">
        <f t="array" ref="D2110">choice(Settings!K:K,1,Settings!$B$16)</f>
        <v/>
      </c>
    </row>
    <row r="2111" spans="1:4" x14ac:dyDescent="0.25">
      <c r="A2111" s="2" t="str" cm="1">
        <f t="array" ref="A2111">choice(Professeurs!A:A,1,Settings!$B$16)</f>
        <v>Prof6</v>
      </c>
      <c r="B2111" s="3" cm="1">
        <f t="array" ref="B2111">alea_date(Settings!$B$11,360,Settings!$B$8+alea_int(4,0,Settings!$B$16),Settings!$B$16)</f>
        <v>46148.375</v>
      </c>
      <c r="C2111" s="3" cm="1">
        <f t="array" ref="C2111">B2111+TIME(alea_int(5,1,Settings!$B$16),0,0)</f>
        <v>46148.541666666664</v>
      </c>
      <c r="D2111" s="3" t="str" cm="1">
        <f t="array" ref="D2111">choice(Settings!K:K,1,Settings!$B$16)</f>
        <v>jeudi pm</v>
      </c>
    </row>
    <row r="2112" spans="1:4" x14ac:dyDescent="0.25">
      <c r="A2112" s="2" t="str" cm="1">
        <f t="array" ref="A2112">choice(Professeurs!A:A,1,Settings!$B$16)</f>
        <v>Prof52</v>
      </c>
      <c r="B2112" s="3" cm="1">
        <f t="array" ref="B2112">alea_date(Settings!$B$11,360,Settings!$B$8+alea_int(4,0,Settings!$B$16),Settings!$B$16)</f>
        <v>46041.375</v>
      </c>
      <c r="C2112" s="3" cm="1">
        <f t="array" ref="C2112">B2112+TIME(alea_int(5,1,Settings!$B$16),0,0)</f>
        <v>46041.541666666664</v>
      </c>
      <c r="D2112" s="3" t="str" cm="1">
        <f t="array" ref="D2112">choice(Settings!K:K,1,Settings!$B$16)</f>
        <v>mardi pm</v>
      </c>
    </row>
    <row r="2113" spans="1:4" x14ac:dyDescent="0.25">
      <c r="A2113" s="2" t="str" cm="1">
        <f t="array" ref="A2113">choice(Professeurs!A:A,1,Settings!$B$16)</f>
        <v>Prof46</v>
      </c>
      <c r="B2113" s="3" cm="1">
        <f t="array" ref="B2113">alea_date(Settings!$B$11,360,Settings!$B$8+alea_int(4,0,Settings!$B$16),Settings!$B$16)</f>
        <v>46284.375</v>
      </c>
      <c r="C2113" s="3" cm="1">
        <f t="array" ref="C2113">B2113+TIME(alea_int(5,1,Settings!$B$16),0,0)</f>
        <v>46284.416666666664</v>
      </c>
      <c r="D2113" s="3" t="str" cm="1">
        <f t="array" ref="D2113">choice(Settings!K:K,1,Settings!$B$16)</f>
        <v/>
      </c>
    </row>
    <row r="2114" spans="1:4" x14ac:dyDescent="0.25">
      <c r="A2114" s="2" t="str" cm="1">
        <f t="array" ref="A2114">choice(Professeurs!A:A,1,Settings!$B$16)</f>
        <v>Prof46</v>
      </c>
      <c r="B2114" s="3" cm="1">
        <f t="array" ref="B2114">alea_date(Settings!$B$11,360,Settings!$B$8+alea_int(4,0,Settings!$B$16),Settings!$B$16)</f>
        <v>46293.416666666664</v>
      </c>
      <c r="C2114" s="3" cm="1">
        <f t="array" ref="C2114">B2114+TIME(alea_int(5,1,Settings!$B$16),0,0)</f>
        <v>46293.458333333328</v>
      </c>
      <c r="D2114" s="3" t="str" cm="1">
        <f t="array" ref="D2114">choice(Settings!K:K,1,Settings!$B$16)</f>
        <v>jeudi pm</v>
      </c>
    </row>
    <row r="2115" spans="1:4" x14ac:dyDescent="0.25">
      <c r="A2115" s="2" t="str" cm="1">
        <f t="array" ref="A2115">choice(Professeurs!A:A,1,Settings!$B$16)</f>
        <v>Prof26</v>
      </c>
      <c r="B2115" s="3" cm="1">
        <f t="array" ref="B2115">alea_date(Settings!$B$11,360,Settings!$B$8+alea_int(4,0,Settings!$B$16),Settings!$B$16)</f>
        <v>46103.333333333336</v>
      </c>
      <c r="C2115" s="3" cm="1">
        <f t="array" ref="C2115">B2115+TIME(alea_int(5,1,Settings!$B$16),0,0)</f>
        <v>46103.458333333336</v>
      </c>
      <c r="D2115" s="3" t="str" cm="1">
        <f t="array" ref="D2115">choice(Settings!K:K,1,Settings!$B$16)</f>
        <v/>
      </c>
    </row>
    <row r="2116" spans="1:4" x14ac:dyDescent="0.25">
      <c r="A2116" s="2" t="str" cm="1">
        <f t="array" ref="A2116">choice(Professeurs!A:A,1,Settings!$B$16)</f>
        <v>Prof37</v>
      </c>
      <c r="B2116" s="3" cm="1">
        <f t="array" ref="B2116">alea_date(Settings!$B$11,360,Settings!$B$8+alea_int(4,0,Settings!$B$16),Settings!$B$16)</f>
        <v>46098.458333333336</v>
      </c>
      <c r="C2116" s="3" cm="1">
        <f t="array" ref="C2116">B2116+TIME(alea_int(5,1,Settings!$B$16),0,0)</f>
        <v>46098.625</v>
      </c>
      <c r="D2116" s="3" t="str" cm="1">
        <f t="array" ref="D2116">choice(Settings!K:K,1,Settings!$B$16)</f>
        <v/>
      </c>
    </row>
    <row r="2117" spans="1:4" x14ac:dyDescent="0.25">
      <c r="A2117" s="2" t="str" cm="1">
        <f t="array" ref="A2117">choice(Professeurs!A:A,1,Settings!$B$16)</f>
        <v>Prof27</v>
      </c>
      <c r="B2117" s="3" cm="1">
        <f t="array" ref="B2117">alea_date(Settings!$B$11,360,Settings!$B$8+alea_int(4,0,Settings!$B$16),Settings!$B$16)</f>
        <v>46132.333333333336</v>
      </c>
      <c r="C2117" s="3" cm="1">
        <f t="array" ref="C2117">B2117+TIME(alea_int(5,1,Settings!$B$16),0,0)</f>
        <v>46132.5</v>
      </c>
      <c r="D2117" s="3" t="str" cm="1">
        <f t="array" ref="D2117">choice(Settings!K:K,1,Settings!$B$16)</f>
        <v/>
      </c>
    </row>
    <row r="2118" spans="1:4" x14ac:dyDescent="0.25">
      <c r="A2118" s="2" t="str" cm="1">
        <f t="array" ref="A2118">choice(Professeurs!A:A,1,Settings!$B$16)</f>
        <v>Prof49</v>
      </c>
      <c r="B2118" s="3" cm="1">
        <f t="array" ref="B2118">alea_date(Settings!$B$11,360,Settings!$B$8+alea_int(4,0,Settings!$B$16),Settings!$B$16)</f>
        <v>46253.458333333336</v>
      </c>
      <c r="C2118" s="3" cm="1">
        <f t="array" ref="C2118">B2118+TIME(alea_int(5,1,Settings!$B$16),0,0)</f>
        <v>46253.625</v>
      </c>
      <c r="D2118" s="3" t="str" cm="1">
        <f t="array" ref="D2118">choice(Settings!K:K,1,Settings!$B$16)</f>
        <v/>
      </c>
    </row>
    <row r="2119" spans="1:4" x14ac:dyDescent="0.25">
      <c r="A2119" s="2" t="str" cm="1">
        <f t="array" ref="A2119">choice(Professeurs!A:A,1,Settings!$B$16)</f>
        <v>Prof26</v>
      </c>
      <c r="B2119" s="3" cm="1">
        <f t="array" ref="B2119">alea_date(Settings!$B$11,360,Settings!$B$8+alea_int(4,0,Settings!$B$16),Settings!$B$16)</f>
        <v>46294.416666666664</v>
      </c>
      <c r="C2119" s="3" cm="1">
        <f t="array" ref="C2119">B2119+TIME(alea_int(5,1,Settings!$B$16),0,0)</f>
        <v>46294.458333333328</v>
      </c>
      <c r="D2119" s="3" t="str" cm="1">
        <f t="array" ref="D2119">choice(Settings!K:K,1,Settings!$B$16)</f>
        <v>mardi pm</v>
      </c>
    </row>
    <row r="2120" spans="1:4" x14ac:dyDescent="0.25">
      <c r="A2120" s="2" t="str" cm="1">
        <f t="array" ref="A2120">choice(Professeurs!A:A,1,Settings!$B$16)</f>
        <v>Prof28</v>
      </c>
      <c r="B2120" s="3" cm="1">
        <f t="array" ref="B2120">alea_date(Settings!$B$11,360,Settings!$B$8+alea_int(4,0,Settings!$B$16),Settings!$B$16)</f>
        <v>46072.416666666664</v>
      </c>
      <c r="C2120" s="3" cm="1">
        <f t="array" ref="C2120">B2120+TIME(alea_int(5,1,Settings!$B$16),0,0)</f>
        <v>46072.625</v>
      </c>
      <c r="D2120" s="3" t="str" cm="1">
        <f t="array" ref="D2120">choice(Settings!K:K,1,Settings!$B$16)</f>
        <v/>
      </c>
    </row>
    <row r="2121" spans="1:4" x14ac:dyDescent="0.25">
      <c r="A2121" s="2" t="str" cm="1">
        <f t="array" ref="A2121">choice(Professeurs!A:A,1,Settings!$B$16)</f>
        <v>Prof26</v>
      </c>
      <c r="B2121" s="3" cm="1">
        <f t="array" ref="B2121">alea_date(Settings!$B$11,360,Settings!$B$8+alea_int(4,0,Settings!$B$16),Settings!$B$16)</f>
        <v>46078.333333333336</v>
      </c>
      <c r="C2121" s="3" cm="1">
        <f t="array" ref="C2121">B2121+TIME(alea_int(5,1,Settings!$B$16),0,0)</f>
        <v>46078.458333333336</v>
      </c>
      <c r="D2121" s="3" t="str" cm="1">
        <f t="array" ref="D2121">choice(Settings!K:K,1,Settings!$B$16)</f>
        <v>mercredi pm</v>
      </c>
    </row>
    <row r="2122" spans="1:4" x14ac:dyDescent="0.25">
      <c r="A2122" s="2" t="str" cm="1">
        <f t="array" ref="A2122">choice(Professeurs!A:A,1,Settings!$B$16)</f>
        <v>Prof23</v>
      </c>
      <c r="B2122" s="3" cm="1">
        <f t="array" ref="B2122">alea_date(Settings!$B$11,360,Settings!$B$8+alea_int(4,0,Settings!$B$16),Settings!$B$16)</f>
        <v>46104.333333333336</v>
      </c>
      <c r="C2122" s="3" cm="1">
        <f t="array" ref="C2122">B2122+TIME(alea_int(5,1,Settings!$B$16),0,0)</f>
        <v>46104.458333333336</v>
      </c>
      <c r="D2122" s="3" t="str" cm="1">
        <f t="array" ref="D2122">choice(Settings!K:K,1,Settings!$B$16)</f>
        <v/>
      </c>
    </row>
    <row r="2123" spans="1:4" x14ac:dyDescent="0.25">
      <c r="A2123" s="2" t="str" cm="1">
        <f t="array" ref="A2123">choice(Professeurs!A:A,1,Settings!$B$16)</f>
        <v>Prof47</v>
      </c>
      <c r="B2123" s="3" cm="1">
        <f t="array" ref="B2123">alea_date(Settings!$B$11,360,Settings!$B$8+alea_int(4,0,Settings!$B$16),Settings!$B$16)</f>
        <v>46307.416666666664</v>
      </c>
      <c r="C2123" s="3" cm="1">
        <f t="array" ref="C2123">B2123+TIME(alea_int(5,1,Settings!$B$16),0,0)</f>
        <v>46307.583333333328</v>
      </c>
      <c r="D2123" s="3" t="str" cm="1">
        <f t="array" ref="D2123">choice(Settings!K:K,1,Settings!$B$16)</f>
        <v>jeudi pm</v>
      </c>
    </row>
    <row r="2124" spans="1:4" x14ac:dyDescent="0.25">
      <c r="A2124" s="2" t="str" cm="1">
        <f t="array" ref="A2124">choice(Professeurs!A:A,1,Settings!$B$16)</f>
        <v>Prof5</v>
      </c>
      <c r="B2124" s="3" cm="1">
        <f t="array" ref="B2124">alea_date(Settings!$B$11,360,Settings!$B$8+alea_int(4,0,Settings!$B$16),Settings!$B$16)</f>
        <v>46265.416666666664</v>
      </c>
      <c r="C2124" s="3" cm="1">
        <f t="array" ref="C2124">B2124+TIME(alea_int(5,1,Settings!$B$16),0,0)</f>
        <v>46265.583333333328</v>
      </c>
      <c r="D2124" s="3" t="str" cm="1">
        <f t="array" ref="D2124">choice(Settings!K:K,1,Settings!$B$16)</f>
        <v/>
      </c>
    </row>
    <row r="2125" spans="1:4" x14ac:dyDescent="0.25">
      <c r="A2125" s="2" t="str" cm="1">
        <f t="array" ref="A2125">choice(Professeurs!A:A,1,Settings!$B$16)</f>
        <v>Prof24</v>
      </c>
      <c r="B2125" s="3" cm="1">
        <f t="array" ref="B2125">alea_date(Settings!$B$11,360,Settings!$B$8+alea_int(4,0,Settings!$B$16),Settings!$B$16)</f>
        <v>46095.458333333336</v>
      </c>
      <c r="C2125" s="3" cm="1">
        <f t="array" ref="C2125">B2125+TIME(alea_int(5,1,Settings!$B$16),0,0)</f>
        <v>46095.5</v>
      </c>
      <c r="D2125" s="3" t="str" cm="1">
        <f t="array" ref="D2125">choice(Settings!K:K,1,Settings!$B$16)</f>
        <v>semaine</v>
      </c>
    </row>
    <row r="2126" spans="1:4" x14ac:dyDescent="0.25">
      <c r="A2126" s="2" t="str" cm="1">
        <f t="array" ref="A2126">choice(Professeurs!A:A,1,Settings!$B$16)</f>
        <v>Prof44</v>
      </c>
      <c r="B2126" s="3" cm="1">
        <f t="array" ref="B2126">alea_date(Settings!$B$11,360,Settings!$B$8+alea_int(4,0,Settings!$B$16),Settings!$B$16)</f>
        <v>46092.333333333336</v>
      </c>
      <c r="C2126" s="3" cm="1">
        <f t="array" ref="C2126">B2126+TIME(alea_int(5,1,Settings!$B$16),0,0)</f>
        <v>46092.541666666672</v>
      </c>
      <c r="D2126" s="3" t="str" cm="1">
        <f t="array" ref="D2126">choice(Settings!K:K,1,Settings!$B$16)</f>
        <v/>
      </c>
    </row>
    <row r="2127" spans="1:4" x14ac:dyDescent="0.25">
      <c r="A2127" s="2" t="str" cm="1">
        <f t="array" ref="A2127">choice(Professeurs!A:A,1,Settings!$B$16)</f>
        <v>Prof19</v>
      </c>
      <c r="B2127" s="3" cm="1">
        <f t="array" ref="B2127">alea_date(Settings!$B$11,360,Settings!$B$8+alea_int(4,0,Settings!$B$16),Settings!$B$16)</f>
        <v>46327.416666666664</v>
      </c>
      <c r="C2127" s="3" cm="1">
        <f t="array" ref="C2127">B2127+TIME(alea_int(5,1,Settings!$B$16),0,0)</f>
        <v>46327.583333333328</v>
      </c>
      <c r="D2127" s="3" t="str" cm="1">
        <f t="array" ref="D2127">choice(Settings!K:K,1,Settings!$B$16)</f>
        <v/>
      </c>
    </row>
    <row r="2128" spans="1:4" x14ac:dyDescent="0.25">
      <c r="A2128" s="2" t="str" cm="1">
        <f t="array" ref="A2128">choice(Professeurs!A:A,1,Settings!$B$16)</f>
        <v>Prof26</v>
      </c>
      <c r="B2128" s="3" cm="1">
        <f t="array" ref="B2128">alea_date(Settings!$B$11,360,Settings!$B$8+alea_int(4,0,Settings!$B$16),Settings!$B$16)</f>
        <v>46066.416666666664</v>
      </c>
      <c r="C2128" s="3" cm="1">
        <f t="array" ref="C2128">B2128+TIME(alea_int(5,1,Settings!$B$16),0,0)</f>
        <v>46066.625</v>
      </c>
      <c r="D2128" s="3" t="str" cm="1">
        <f t="array" ref="D2128">choice(Settings!K:K,1,Settings!$B$16)</f>
        <v>lundi am</v>
      </c>
    </row>
    <row r="2129" spans="1:4" x14ac:dyDescent="0.25">
      <c r="A2129" s="2" t="str" cm="1">
        <f t="array" ref="A2129">choice(Professeurs!A:A,1,Settings!$B$16)</f>
        <v>Prof48</v>
      </c>
      <c r="B2129" s="3" cm="1">
        <f t="array" ref="B2129">alea_date(Settings!$B$11,360,Settings!$B$8+alea_int(4,0,Settings!$B$16),Settings!$B$16)</f>
        <v>46037.333333333336</v>
      </c>
      <c r="C2129" s="3" cm="1">
        <f t="array" ref="C2129">B2129+TIME(alea_int(5,1,Settings!$B$16),0,0)</f>
        <v>46037.375</v>
      </c>
      <c r="D2129" s="3" t="str" cm="1">
        <f t="array" ref="D2129">choice(Settings!K:K,1,Settings!$B$16)</f>
        <v/>
      </c>
    </row>
    <row r="2130" spans="1:4" x14ac:dyDescent="0.25">
      <c r="A2130" s="2" t="str" cm="1">
        <f t="array" ref="A2130">choice(Professeurs!A:A,1,Settings!$B$16)</f>
        <v>Prof12</v>
      </c>
      <c r="B2130" s="3" cm="1">
        <f t="array" ref="B2130">alea_date(Settings!$B$11,360,Settings!$B$8+alea_int(4,0,Settings!$B$16),Settings!$B$16)</f>
        <v>46281.416666666664</v>
      </c>
      <c r="C2130" s="3" cm="1">
        <f t="array" ref="C2130">B2130+TIME(alea_int(5,1,Settings!$B$16),0,0)</f>
        <v>46281.625</v>
      </c>
      <c r="D2130" s="3" t="str" cm="1">
        <f t="array" ref="D2130">choice(Settings!K:K,1,Settings!$B$16)</f>
        <v/>
      </c>
    </row>
    <row r="2131" spans="1:4" x14ac:dyDescent="0.25">
      <c r="A2131" s="2" t="str" cm="1">
        <f t="array" ref="A2131">choice(Professeurs!A:A,1,Settings!$B$16)</f>
        <v>Prof42</v>
      </c>
      <c r="B2131" s="3" cm="1">
        <f t="array" ref="B2131">alea_date(Settings!$B$11,360,Settings!$B$8+alea_int(4,0,Settings!$B$16),Settings!$B$16)</f>
        <v>46265.333333333336</v>
      </c>
      <c r="C2131" s="3" cm="1">
        <f t="array" ref="C2131">B2131+TIME(alea_int(5,1,Settings!$B$16),0,0)</f>
        <v>46265.416666666672</v>
      </c>
      <c r="D2131" s="3" t="str" cm="1">
        <f t="array" ref="D2131">choice(Settings!K:K,1,Settings!$B$16)</f>
        <v/>
      </c>
    </row>
    <row r="2132" spans="1:4" x14ac:dyDescent="0.25">
      <c r="A2132" s="2" t="str" cm="1">
        <f t="array" ref="A2132">choice(Professeurs!A:A,1,Settings!$B$16)</f>
        <v>Prof29</v>
      </c>
      <c r="B2132" s="3" cm="1">
        <f t="array" ref="B2132">alea_date(Settings!$B$11,360,Settings!$B$8+alea_int(4,0,Settings!$B$16),Settings!$B$16)</f>
        <v>46260.375</v>
      </c>
      <c r="C2132" s="3" cm="1">
        <f t="array" ref="C2132">B2132+TIME(alea_int(5,1,Settings!$B$16),0,0)</f>
        <v>46260.583333333336</v>
      </c>
      <c r="D2132" s="3" t="str" cm="1">
        <f t="array" ref="D2132">choice(Settings!K:K,1,Settings!$B$16)</f>
        <v/>
      </c>
    </row>
    <row r="2133" spans="1:4" x14ac:dyDescent="0.25">
      <c r="A2133" s="2" t="str" cm="1">
        <f t="array" ref="A2133">choice(Professeurs!A:A,1,Settings!$B$16)</f>
        <v>Prof2</v>
      </c>
      <c r="B2133" s="3" cm="1">
        <f t="array" ref="B2133">alea_date(Settings!$B$11,360,Settings!$B$8+alea_int(4,0,Settings!$B$16),Settings!$B$16)</f>
        <v>46289.333333333336</v>
      </c>
      <c r="C2133" s="3" cm="1">
        <f t="array" ref="C2133">B2133+TIME(alea_int(5,1,Settings!$B$16),0,0)</f>
        <v>46289.5</v>
      </c>
      <c r="D2133" s="3" t="str" cm="1">
        <f t="array" ref="D2133">choice(Settings!K:K,1,Settings!$B$16)</f>
        <v>vendredi am</v>
      </c>
    </row>
    <row r="2134" spans="1:4" x14ac:dyDescent="0.25">
      <c r="A2134" s="2" t="str" cm="1">
        <f t="array" ref="A2134">choice(Professeurs!A:A,1,Settings!$B$16)</f>
        <v>Prof54</v>
      </c>
      <c r="B2134" s="3" cm="1">
        <f t="array" ref="B2134">alea_date(Settings!$B$11,360,Settings!$B$8+alea_int(4,0,Settings!$B$16),Settings!$B$16)</f>
        <v>46211.416666666664</v>
      </c>
      <c r="C2134" s="3" cm="1">
        <f t="array" ref="C2134">B2134+TIME(alea_int(5,1,Settings!$B$16),0,0)</f>
        <v>46211.541666666664</v>
      </c>
      <c r="D2134" s="3" t="str" cm="1">
        <f t="array" ref="D2134">choice(Settings!K:K,1,Settings!$B$16)</f>
        <v/>
      </c>
    </row>
    <row r="2135" spans="1:4" x14ac:dyDescent="0.25">
      <c r="A2135" s="2" t="str" cm="1">
        <f t="array" ref="A2135">choice(Professeurs!A:A,1,Settings!$B$16)</f>
        <v>Prof17</v>
      </c>
      <c r="B2135" s="3" cm="1">
        <f t="array" ref="B2135">alea_date(Settings!$B$11,360,Settings!$B$8+alea_int(4,0,Settings!$B$16),Settings!$B$16)</f>
        <v>46221.416666666664</v>
      </c>
      <c r="C2135" s="3" cm="1">
        <f t="array" ref="C2135">B2135+TIME(alea_int(5,1,Settings!$B$16),0,0)</f>
        <v>46221.625</v>
      </c>
      <c r="D2135" s="3" t="str" cm="1">
        <f t="array" ref="D2135">choice(Settings!K:K,1,Settings!$B$16)</f>
        <v/>
      </c>
    </row>
    <row r="2136" spans="1:4" x14ac:dyDescent="0.25">
      <c r="A2136" s="2" t="str" cm="1">
        <f t="array" ref="A2136">choice(Professeurs!A:A,1,Settings!$B$16)</f>
        <v>Prof1</v>
      </c>
      <c r="B2136" s="3" cm="1">
        <f t="array" ref="B2136">alea_date(Settings!$B$11,360,Settings!$B$8+alea_int(4,0,Settings!$B$16),Settings!$B$16)</f>
        <v>46095.458333333336</v>
      </c>
      <c r="C2136" s="3" cm="1">
        <f t="array" ref="C2136">B2136+TIME(alea_int(5,1,Settings!$B$16),0,0)</f>
        <v>46095.541666666672</v>
      </c>
      <c r="D2136" s="3" t="str" cm="1">
        <f t="array" ref="D2136">choice(Settings!K:K,1,Settings!$B$16)</f>
        <v/>
      </c>
    </row>
    <row r="2137" spans="1:4" x14ac:dyDescent="0.25">
      <c r="A2137" s="2" t="str" cm="1">
        <f t="array" ref="A2137">choice(Professeurs!A:A,1,Settings!$B$16)</f>
        <v>Prof9</v>
      </c>
      <c r="B2137" s="3" cm="1">
        <f t="array" ref="B2137">alea_date(Settings!$B$11,360,Settings!$B$8+alea_int(4,0,Settings!$B$16),Settings!$B$16)</f>
        <v>46214.416666666664</v>
      </c>
      <c r="C2137" s="3" cm="1">
        <f t="array" ref="C2137">B2137+TIME(alea_int(5,1,Settings!$B$16),0,0)</f>
        <v>46214.625</v>
      </c>
      <c r="D2137" s="3" t="str" cm="1">
        <f t="array" ref="D2137">choice(Settings!K:K,1,Settings!$B$16)</f>
        <v>lundi pm</v>
      </c>
    </row>
    <row r="2138" spans="1:4" x14ac:dyDescent="0.25">
      <c r="A2138" s="2" t="str" cm="1">
        <f t="array" ref="A2138">choice(Professeurs!A:A,1,Settings!$B$16)</f>
        <v>Prof24</v>
      </c>
      <c r="B2138" s="3" cm="1">
        <f t="array" ref="B2138">alea_date(Settings!$B$11,360,Settings!$B$8+alea_int(4,0,Settings!$B$16),Settings!$B$16)</f>
        <v>46276.458333333336</v>
      </c>
      <c r="C2138" s="3" cm="1">
        <f t="array" ref="C2138">B2138+TIME(alea_int(5,1,Settings!$B$16),0,0)</f>
        <v>46276.583333333336</v>
      </c>
      <c r="D2138" s="3" t="str" cm="1">
        <f t="array" ref="D2138">choice(Settings!K:K,1,Settings!$B$16)</f>
        <v/>
      </c>
    </row>
    <row r="2139" spans="1:4" x14ac:dyDescent="0.25">
      <c r="A2139" s="2" t="str" cm="1">
        <f t="array" ref="A2139">choice(Professeurs!A:A,1,Settings!$B$16)</f>
        <v>Prof30</v>
      </c>
      <c r="B2139" s="3" cm="1">
        <f t="array" ref="B2139">alea_date(Settings!$B$11,360,Settings!$B$8+alea_int(4,0,Settings!$B$16),Settings!$B$16)</f>
        <v>46151.375</v>
      </c>
      <c r="C2139" s="3" cm="1">
        <f t="array" ref="C2139">B2139+TIME(alea_int(5,1,Settings!$B$16),0,0)</f>
        <v>46151.458333333336</v>
      </c>
      <c r="D2139" s="3" t="str" cm="1">
        <f t="array" ref="D2139">choice(Settings!K:K,1,Settings!$B$16)</f>
        <v>jeudi am</v>
      </c>
    </row>
    <row r="2140" spans="1:4" x14ac:dyDescent="0.25">
      <c r="A2140" s="2" t="str" cm="1">
        <f t="array" ref="A2140">choice(Professeurs!A:A,1,Settings!$B$16)</f>
        <v>Prof42</v>
      </c>
      <c r="B2140" s="3" cm="1">
        <f t="array" ref="B2140">alea_date(Settings!$B$11,360,Settings!$B$8+alea_int(4,0,Settings!$B$16),Settings!$B$16)</f>
        <v>46055.375</v>
      </c>
      <c r="C2140" s="3" cm="1">
        <f t="array" ref="C2140">B2140+TIME(alea_int(5,1,Settings!$B$16),0,0)</f>
        <v>46055.5</v>
      </c>
      <c r="D2140" s="3" t="str" cm="1">
        <f t="array" ref="D2140">choice(Settings!K:K,1,Settings!$B$16)</f>
        <v/>
      </c>
    </row>
    <row r="2141" spans="1:4" x14ac:dyDescent="0.25">
      <c r="A2141" s="2" t="str" cm="1">
        <f t="array" ref="A2141">choice(Professeurs!A:A,1,Settings!$B$16)</f>
        <v>Prof19</v>
      </c>
      <c r="B2141" s="3" cm="1">
        <f t="array" ref="B2141">alea_date(Settings!$B$11,360,Settings!$B$8+alea_int(4,0,Settings!$B$16),Settings!$B$16)</f>
        <v>46118.375</v>
      </c>
      <c r="C2141" s="3" cm="1">
        <f t="array" ref="C2141">B2141+TIME(alea_int(5,1,Settings!$B$16),0,0)</f>
        <v>46118.416666666664</v>
      </c>
      <c r="D2141" s="3" t="str" cm="1">
        <f t="array" ref="D2141">choice(Settings!K:K,1,Settings!$B$16)</f>
        <v/>
      </c>
    </row>
    <row r="2142" spans="1:4" x14ac:dyDescent="0.25">
      <c r="A2142" s="2" t="str" cm="1">
        <f t="array" ref="A2142">choice(Professeurs!A:A,1,Settings!$B$16)</f>
        <v>Prof39</v>
      </c>
      <c r="B2142" s="3" cm="1">
        <f t="array" ref="B2142">alea_date(Settings!$B$11,360,Settings!$B$8+alea_int(4,0,Settings!$B$16),Settings!$B$16)</f>
        <v>46058.416666666664</v>
      </c>
      <c r="C2142" s="3" cm="1">
        <f t="array" ref="C2142">B2142+TIME(alea_int(5,1,Settings!$B$16),0,0)</f>
        <v>46058.5</v>
      </c>
      <c r="D2142" s="3" t="str" cm="1">
        <f t="array" ref="D2142">choice(Settings!K:K,1,Settings!$B$16)</f>
        <v/>
      </c>
    </row>
    <row r="2143" spans="1:4" x14ac:dyDescent="0.25">
      <c r="A2143" s="2" t="str" cm="1">
        <f t="array" ref="A2143">choice(Professeurs!A:A,1,Settings!$B$16)</f>
        <v>Prof13</v>
      </c>
      <c r="B2143" s="3" cm="1">
        <f t="array" ref="B2143">alea_date(Settings!$B$11,360,Settings!$B$8+alea_int(4,0,Settings!$B$16),Settings!$B$16)</f>
        <v>46116.458333333336</v>
      </c>
      <c r="C2143" s="3" cm="1">
        <f t="array" ref="C2143">B2143+TIME(alea_int(5,1,Settings!$B$16),0,0)</f>
        <v>46116.666666666672</v>
      </c>
      <c r="D2143" s="3" t="str" cm="1">
        <f t="array" ref="D2143">choice(Settings!K:K,1,Settings!$B$16)</f>
        <v/>
      </c>
    </row>
    <row r="2144" spans="1:4" x14ac:dyDescent="0.25">
      <c r="A2144" s="2" t="str" cm="1">
        <f t="array" ref="A2144">choice(Professeurs!A:A,1,Settings!$B$16)</f>
        <v>Prof16</v>
      </c>
      <c r="B2144" s="3" cm="1">
        <f t="array" ref="B2144">alea_date(Settings!$B$11,360,Settings!$B$8+alea_int(4,0,Settings!$B$16),Settings!$B$16)</f>
        <v>46320.333333333336</v>
      </c>
      <c r="C2144" s="3" cm="1">
        <f t="array" ref="C2144">B2144+TIME(alea_int(5,1,Settings!$B$16),0,0)</f>
        <v>46320.375</v>
      </c>
      <c r="D2144" s="3" t="str" cm="1">
        <f t="array" ref="D2144">choice(Settings!K:K,1,Settings!$B$16)</f>
        <v>mercredi ap</v>
      </c>
    </row>
    <row r="2145" spans="1:4" x14ac:dyDescent="0.25">
      <c r="A2145" s="2" t="str" cm="1">
        <f t="array" ref="A2145">choice(Professeurs!A:A,1,Settings!$B$16)</f>
        <v>Prof6</v>
      </c>
      <c r="B2145" s="3" cm="1">
        <f t="array" ref="B2145">alea_date(Settings!$B$11,360,Settings!$B$8+alea_int(4,0,Settings!$B$16),Settings!$B$16)</f>
        <v>46240.333333333336</v>
      </c>
      <c r="C2145" s="3" cm="1">
        <f t="array" ref="C2145">B2145+TIME(alea_int(5,1,Settings!$B$16),0,0)</f>
        <v>46240.458333333336</v>
      </c>
      <c r="D2145" s="3" t="str" cm="1">
        <f t="array" ref="D2145">choice(Settings!K:K,1,Settings!$B$16)</f>
        <v/>
      </c>
    </row>
    <row r="2146" spans="1:4" x14ac:dyDescent="0.25">
      <c r="A2146" s="2" t="str" cm="1">
        <f t="array" ref="A2146">choice(Professeurs!A:A,1,Settings!$B$16)</f>
        <v>Prof8</v>
      </c>
      <c r="B2146" s="3" cm="1">
        <f t="array" ref="B2146">alea_date(Settings!$B$11,360,Settings!$B$8+alea_int(4,0,Settings!$B$16),Settings!$B$16)</f>
        <v>46076.458333333336</v>
      </c>
      <c r="C2146" s="3" cm="1">
        <f t="array" ref="C2146">B2146+TIME(alea_int(5,1,Settings!$B$16),0,0)</f>
        <v>46076.541666666672</v>
      </c>
      <c r="D2146" s="3" t="str" cm="1">
        <f t="array" ref="D2146">choice(Settings!K:K,1,Settings!$B$16)</f>
        <v/>
      </c>
    </row>
    <row r="2147" spans="1:4" x14ac:dyDescent="0.25">
      <c r="A2147" s="2" t="str" cm="1">
        <f t="array" ref="A2147">choice(Professeurs!A:A,1,Settings!$B$16)</f>
        <v>Prof5</v>
      </c>
      <c r="B2147" s="3" cm="1">
        <f t="array" ref="B2147">alea_date(Settings!$B$11,360,Settings!$B$8+alea_int(4,0,Settings!$B$16),Settings!$B$16)</f>
        <v>46350.333333333336</v>
      </c>
      <c r="C2147" s="3" cm="1">
        <f t="array" ref="C2147">B2147+TIME(alea_int(5,1,Settings!$B$16),0,0)</f>
        <v>46350.375</v>
      </c>
      <c r="D2147" s="3" t="str" cm="1">
        <f t="array" ref="D2147">choice(Settings!K:K,1,Settings!$B$16)</f>
        <v/>
      </c>
    </row>
    <row r="2148" spans="1:4" x14ac:dyDescent="0.25">
      <c r="A2148" s="2" t="str" cm="1">
        <f t="array" ref="A2148">choice(Professeurs!A:A,1,Settings!$B$16)</f>
        <v>Prof22</v>
      </c>
      <c r="B2148" s="3" cm="1">
        <f t="array" ref="B2148">alea_date(Settings!$B$11,360,Settings!$B$8+alea_int(4,0,Settings!$B$16),Settings!$B$16)</f>
        <v>46286.416666666664</v>
      </c>
      <c r="C2148" s="3" cm="1">
        <f t="array" ref="C2148">B2148+TIME(alea_int(5,1,Settings!$B$16),0,0)</f>
        <v>46286.625</v>
      </c>
      <c r="D2148" s="3" t="str" cm="1">
        <f t="array" ref="D2148">choice(Settings!K:K,1,Settings!$B$16)</f>
        <v>vendredi am</v>
      </c>
    </row>
    <row r="2149" spans="1:4" x14ac:dyDescent="0.25">
      <c r="A2149" s="2" t="str" cm="1">
        <f t="array" ref="A2149">choice(Professeurs!A:A,1,Settings!$B$16)</f>
        <v>Prof42</v>
      </c>
      <c r="B2149" s="3" cm="1">
        <f t="array" ref="B2149">alea_date(Settings!$B$11,360,Settings!$B$8+alea_int(4,0,Settings!$B$16),Settings!$B$16)</f>
        <v>46032.416666666664</v>
      </c>
      <c r="C2149" s="3" cm="1">
        <f t="array" ref="C2149">B2149+TIME(alea_int(5,1,Settings!$B$16),0,0)</f>
        <v>46032.5</v>
      </c>
      <c r="D2149" s="3" t="str" cm="1">
        <f t="array" ref="D2149">choice(Settings!K:K,1,Settings!$B$16)</f>
        <v/>
      </c>
    </row>
    <row r="2150" spans="1:4" x14ac:dyDescent="0.25">
      <c r="A2150" s="2" t="str" cm="1">
        <f t="array" ref="A2150">choice(Professeurs!A:A,1,Settings!$B$16)</f>
        <v>Prof52</v>
      </c>
      <c r="B2150" s="3" cm="1">
        <f t="array" ref="B2150">alea_date(Settings!$B$11,360,Settings!$B$8+alea_int(4,0,Settings!$B$16),Settings!$B$16)</f>
        <v>46204.375</v>
      </c>
      <c r="C2150" s="3" cm="1">
        <f t="array" ref="C2150">B2150+TIME(alea_int(5,1,Settings!$B$16),0,0)</f>
        <v>46204.541666666664</v>
      </c>
      <c r="D2150" s="3" t="str" cm="1">
        <f t="array" ref="D2150">choice(Settings!K:K,1,Settings!$B$16)</f>
        <v/>
      </c>
    </row>
    <row r="2151" spans="1:4" x14ac:dyDescent="0.25">
      <c r="A2151" s="2" t="str" cm="1">
        <f t="array" ref="A2151">choice(Professeurs!A:A,1,Settings!$B$16)</f>
        <v>Prof27</v>
      </c>
      <c r="B2151" s="3" cm="1">
        <f t="array" ref="B2151">alea_date(Settings!$B$11,360,Settings!$B$8+alea_int(4,0,Settings!$B$16),Settings!$B$16)</f>
        <v>46088.333333333336</v>
      </c>
      <c r="C2151" s="3" cm="1">
        <f t="array" ref="C2151">B2151+TIME(alea_int(5,1,Settings!$B$16),0,0)</f>
        <v>46088.416666666672</v>
      </c>
      <c r="D2151" s="3" t="str" cm="1">
        <f t="array" ref="D2151">choice(Settings!K:K,1,Settings!$B$16)</f>
        <v/>
      </c>
    </row>
    <row r="2152" spans="1:4" x14ac:dyDescent="0.25">
      <c r="A2152" s="2" t="str" cm="1">
        <f t="array" ref="A2152">choice(Professeurs!A:A,1,Settings!$B$16)</f>
        <v>Prof52</v>
      </c>
      <c r="B2152" s="3" cm="1">
        <f t="array" ref="B2152">alea_date(Settings!$B$11,360,Settings!$B$8+alea_int(4,0,Settings!$B$16),Settings!$B$16)</f>
        <v>46221.375</v>
      </c>
      <c r="C2152" s="3" cm="1">
        <f t="array" ref="C2152">B2152+TIME(alea_int(5,1,Settings!$B$16),0,0)</f>
        <v>46221.583333333336</v>
      </c>
      <c r="D2152" s="3" t="str" cm="1">
        <f t="array" ref="D2152">choice(Settings!K:K,1,Settings!$B$16)</f>
        <v/>
      </c>
    </row>
    <row r="2153" spans="1:4" x14ac:dyDescent="0.25">
      <c r="A2153" s="2" t="str" cm="1">
        <f t="array" ref="A2153">choice(Professeurs!A:A,1,Settings!$B$16)</f>
        <v>Prof54</v>
      </c>
      <c r="B2153" s="3" cm="1">
        <f t="array" ref="B2153">alea_date(Settings!$B$11,360,Settings!$B$8+alea_int(4,0,Settings!$B$16),Settings!$B$16)</f>
        <v>46308.416666666664</v>
      </c>
      <c r="C2153" s="3" cm="1">
        <f t="array" ref="C2153">B2153+TIME(alea_int(5,1,Settings!$B$16),0,0)</f>
        <v>46308.583333333328</v>
      </c>
      <c r="D2153" s="3" t="str" cm="1">
        <f t="array" ref="D2153">choice(Settings!K:K,1,Settings!$B$16)</f>
        <v/>
      </c>
    </row>
    <row r="2154" spans="1:4" x14ac:dyDescent="0.25">
      <c r="A2154" s="2" t="str" cm="1">
        <f t="array" ref="A2154">choice(Professeurs!A:A,1,Settings!$B$16)</f>
        <v>Prof52</v>
      </c>
      <c r="B2154" s="3" cm="1">
        <f t="array" ref="B2154">alea_date(Settings!$B$11,360,Settings!$B$8+alea_int(4,0,Settings!$B$16),Settings!$B$16)</f>
        <v>46034.333333333336</v>
      </c>
      <c r="C2154" s="3" cm="1">
        <f t="array" ref="C2154">B2154+TIME(alea_int(5,1,Settings!$B$16),0,0)</f>
        <v>46034.375</v>
      </c>
      <c r="D2154" s="3" t="str" cm="1">
        <f t="array" ref="D2154">choice(Settings!K:K,1,Settings!$B$16)</f>
        <v/>
      </c>
    </row>
    <row r="2155" spans="1:4" x14ac:dyDescent="0.25">
      <c r="A2155" s="2" t="str" cm="1">
        <f t="array" ref="A2155">choice(Professeurs!A:A,1,Settings!$B$16)</f>
        <v>Prof51</v>
      </c>
      <c r="B2155" s="3" cm="1">
        <f t="array" ref="B2155">alea_date(Settings!$B$11,360,Settings!$B$8+alea_int(4,0,Settings!$B$16),Settings!$B$16)</f>
        <v>46060.375</v>
      </c>
      <c r="C2155" s="3" cm="1">
        <f t="array" ref="C2155">B2155+TIME(alea_int(5,1,Settings!$B$16),0,0)</f>
        <v>46060.541666666664</v>
      </c>
      <c r="D2155" s="3" t="str" cm="1">
        <f t="array" ref="D2155">choice(Settings!K:K,1,Settings!$B$16)</f>
        <v/>
      </c>
    </row>
    <row r="2156" spans="1:4" x14ac:dyDescent="0.25">
      <c r="A2156" s="2" t="str" cm="1">
        <f t="array" ref="A2156">choice(Professeurs!A:A,1,Settings!$B$16)</f>
        <v>Prof43</v>
      </c>
      <c r="B2156" s="3" cm="1">
        <f t="array" ref="B2156">alea_date(Settings!$B$11,360,Settings!$B$8+alea_int(4,0,Settings!$B$16),Settings!$B$16)</f>
        <v>46088.333333333336</v>
      </c>
      <c r="C2156" s="3" cm="1">
        <f t="array" ref="C2156">B2156+TIME(alea_int(5,1,Settings!$B$16),0,0)</f>
        <v>46088.5</v>
      </c>
      <c r="D2156" s="3" t="str" cm="1">
        <f t="array" ref="D2156">choice(Settings!K:K,1,Settings!$B$16)</f>
        <v/>
      </c>
    </row>
    <row r="2157" spans="1:4" x14ac:dyDescent="0.25">
      <c r="A2157" s="2" t="str" cm="1">
        <f t="array" ref="A2157">choice(Professeurs!A:A,1,Settings!$B$16)</f>
        <v>Prof30</v>
      </c>
      <c r="B2157" s="3" cm="1">
        <f t="array" ref="B2157">alea_date(Settings!$B$11,360,Settings!$B$8+alea_int(4,0,Settings!$B$16),Settings!$B$16)</f>
        <v>46131.375</v>
      </c>
      <c r="C2157" s="3" cm="1">
        <f t="array" ref="C2157">B2157+TIME(alea_int(5,1,Settings!$B$16),0,0)</f>
        <v>46131.416666666664</v>
      </c>
      <c r="D2157" s="3" t="str" cm="1">
        <f t="array" ref="D2157">choice(Settings!K:K,1,Settings!$B$16)</f>
        <v/>
      </c>
    </row>
    <row r="2158" spans="1:4" x14ac:dyDescent="0.25">
      <c r="A2158" s="2" t="str" cm="1">
        <f t="array" ref="A2158">choice(Professeurs!A:A,1,Settings!$B$16)</f>
        <v>Prof14</v>
      </c>
      <c r="B2158" s="3" cm="1">
        <f t="array" ref="B2158">alea_date(Settings!$B$11,360,Settings!$B$8+alea_int(4,0,Settings!$B$16),Settings!$B$16)</f>
        <v>46052.333333333336</v>
      </c>
      <c r="C2158" s="3" cm="1">
        <f t="array" ref="C2158">B2158+TIME(alea_int(5,1,Settings!$B$16),0,0)</f>
        <v>46052.458333333336</v>
      </c>
      <c r="D2158" s="3" t="str" cm="1">
        <f t="array" ref="D2158">choice(Settings!K:K,1,Settings!$B$16)</f>
        <v/>
      </c>
    </row>
    <row r="2159" spans="1:4" x14ac:dyDescent="0.25">
      <c r="A2159" s="2" t="str" cm="1">
        <f t="array" ref="A2159">choice(Professeurs!A:A,1,Settings!$B$16)</f>
        <v>Prof44</v>
      </c>
      <c r="B2159" s="3" cm="1">
        <f t="array" ref="B2159">alea_date(Settings!$B$11,360,Settings!$B$8+alea_int(4,0,Settings!$B$16),Settings!$B$16)</f>
        <v>46042.333333333336</v>
      </c>
      <c r="C2159" s="3" cm="1">
        <f t="array" ref="C2159">B2159+TIME(alea_int(5,1,Settings!$B$16),0,0)</f>
        <v>46042.375</v>
      </c>
      <c r="D2159" s="3" t="str" cm="1">
        <f t="array" ref="D2159">choice(Settings!K:K,1,Settings!$B$16)</f>
        <v>semaine</v>
      </c>
    </row>
    <row r="2160" spans="1:4" x14ac:dyDescent="0.25">
      <c r="A2160" s="2" t="str" cm="1">
        <f t="array" ref="A2160">choice(Professeurs!A:A,1,Settings!$B$16)</f>
        <v>Prof45</v>
      </c>
      <c r="B2160" s="3" cm="1">
        <f t="array" ref="B2160">alea_date(Settings!$B$11,360,Settings!$B$8+alea_int(4,0,Settings!$B$16),Settings!$B$16)</f>
        <v>46364.375</v>
      </c>
      <c r="C2160" s="3" cm="1">
        <f t="array" ref="C2160">B2160+TIME(alea_int(5,1,Settings!$B$16),0,0)</f>
        <v>46364.5</v>
      </c>
      <c r="D2160" s="3" t="str" cm="1">
        <f t="array" ref="D2160">choice(Settings!K:K,1,Settings!$B$16)</f>
        <v/>
      </c>
    </row>
    <row r="2161" spans="1:4" x14ac:dyDescent="0.25">
      <c r="A2161" s="2" t="str" cm="1">
        <f t="array" ref="A2161">choice(Professeurs!A:A,1,Settings!$B$16)</f>
        <v>Prof30</v>
      </c>
      <c r="B2161" s="3" cm="1">
        <f t="array" ref="B2161">alea_date(Settings!$B$11,360,Settings!$B$8+alea_int(4,0,Settings!$B$16),Settings!$B$16)</f>
        <v>46206.375</v>
      </c>
      <c r="C2161" s="3" cm="1">
        <f t="array" ref="C2161">B2161+TIME(alea_int(5,1,Settings!$B$16),0,0)</f>
        <v>46206.583333333336</v>
      </c>
      <c r="D2161" s="3" t="str" cm="1">
        <f t="array" ref="D2161">choice(Settings!K:K,1,Settings!$B$16)</f>
        <v/>
      </c>
    </row>
    <row r="2162" spans="1:4" x14ac:dyDescent="0.25">
      <c r="A2162" s="2" t="str" cm="1">
        <f t="array" ref="A2162">choice(Professeurs!A:A,1,Settings!$B$16)</f>
        <v>Prof2</v>
      </c>
      <c r="B2162" s="3" cm="1">
        <f t="array" ref="B2162">alea_date(Settings!$B$11,360,Settings!$B$8+alea_int(4,0,Settings!$B$16),Settings!$B$16)</f>
        <v>46113.375</v>
      </c>
      <c r="C2162" s="3" cm="1">
        <f t="array" ref="C2162">B2162+TIME(alea_int(5,1,Settings!$B$16),0,0)</f>
        <v>46113.458333333336</v>
      </c>
      <c r="D2162" s="3" t="str" cm="1">
        <f t="array" ref="D2162">choice(Settings!K:K,1,Settings!$B$16)</f>
        <v/>
      </c>
    </row>
    <row r="2163" spans="1:4" x14ac:dyDescent="0.25">
      <c r="A2163" s="2" t="str" cm="1">
        <f t="array" ref="A2163">choice(Professeurs!A:A,1,Settings!$B$16)</f>
        <v>Prof8</v>
      </c>
      <c r="B2163" s="3" cm="1">
        <f t="array" ref="B2163">alea_date(Settings!$B$11,360,Settings!$B$8+alea_int(4,0,Settings!$B$16),Settings!$B$16)</f>
        <v>46340.416666666664</v>
      </c>
      <c r="C2163" s="3" cm="1">
        <f t="array" ref="C2163">B2163+TIME(alea_int(5,1,Settings!$B$16),0,0)</f>
        <v>46340.458333333328</v>
      </c>
      <c r="D2163" s="3" t="str" cm="1">
        <f t="array" ref="D2163">choice(Settings!K:K,1,Settings!$B$16)</f>
        <v>mercredi pm</v>
      </c>
    </row>
    <row r="2164" spans="1:4" x14ac:dyDescent="0.25">
      <c r="A2164" s="2" t="str" cm="1">
        <f t="array" ref="A2164">choice(Professeurs!A:A,1,Settings!$B$16)</f>
        <v>Prof26</v>
      </c>
      <c r="B2164" s="3" cm="1">
        <f t="array" ref="B2164">alea_date(Settings!$B$11,360,Settings!$B$8+alea_int(4,0,Settings!$B$16),Settings!$B$16)</f>
        <v>46313.333333333336</v>
      </c>
      <c r="C2164" s="3" cm="1">
        <f t="array" ref="C2164">B2164+TIME(alea_int(5,1,Settings!$B$16),0,0)</f>
        <v>46313.375</v>
      </c>
      <c r="D2164" s="3" t="str" cm="1">
        <f t="array" ref="D2164">choice(Settings!K:K,1,Settings!$B$16)</f>
        <v>jeudi am</v>
      </c>
    </row>
    <row r="2165" spans="1:4" x14ac:dyDescent="0.25">
      <c r="A2165" s="2" t="str" cm="1">
        <f t="array" ref="A2165">choice(Professeurs!A:A,1,Settings!$B$16)</f>
        <v>Prof28</v>
      </c>
      <c r="B2165" s="3" cm="1">
        <f t="array" ref="B2165">alea_date(Settings!$B$11,360,Settings!$B$8+alea_int(4,0,Settings!$B$16),Settings!$B$16)</f>
        <v>46190.375</v>
      </c>
      <c r="C2165" s="3" cm="1">
        <f t="array" ref="C2165">B2165+TIME(alea_int(5,1,Settings!$B$16),0,0)</f>
        <v>46190.5</v>
      </c>
      <c r="D2165" s="3" t="str" cm="1">
        <f t="array" ref="D2165">choice(Settings!K:K,1,Settings!$B$16)</f>
        <v>semaine</v>
      </c>
    </row>
    <row r="2166" spans="1:4" x14ac:dyDescent="0.25">
      <c r="A2166" s="2" t="str" cm="1">
        <f t="array" ref="A2166">choice(Professeurs!A:A,1,Settings!$B$16)</f>
        <v>Prof32</v>
      </c>
      <c r="B2166" s="3" cm="1">
        <f t="array" ref="B2166">alea_date(Settings!$B$11,360,Settings!$B$8+alea_int(4,0,Settings!$B$16),Settings!$B$16)</f>
        <v>46368.333333333336</v>
      </c>
      <c r="C2166" s="3" cm="1">
        <f t="array" ref="C2166">B2166+TIME(alea_int(5,1,Settings!$B$16),0,0)</f>
        <v>46368.541666666672</v>
      </c>
      <c r="D2166" s="3" t="str" cm="1">
        <f t="array" ref="D2166">choice(Settings!K:K,1,Settings!$B$16)</f>
        <v/>
      </c>
    </row>
    <row r="2167" spans="1:4" x14ac:dyDescent="0.25">
      <c r="A2167" s="2" t="str" cm="1">
        <f t="array" ref="A2167">choice(Professeurs!A:A,1,Settings!$B$16)</f>
        <v>Prof11</v>
      </c>
      <c r="B2167" s="3" cm="1">
        <f t="array" ref="B2167">alea_date(Settings!$B$11,360,Settings!$B$8+alea_int(4,0,Settings!$B$16),Settings!$B$16)</f>
        <v>46270.333333333336</v>
      </c>
      <c r="C2167" s="3" cm="1">
        <f t="array" ref="C2167">B2167+TIME(alea_int(5,1,Settings!$B$16),0,0)</f>
        <v>46270.416666666672</v>
      </c>
      <c r="D2167" s="3" t="str" cm="1">
        <f t="array" ref="D2167">choice(Settings!K:K,1,Settings!$B$16)</f>
        <v>mercredi ap</v>
      </c>
    </row>
    <row r="2168" spans="1:4" x14ac:dyDescent="0.25">
      <c r="A2168" s="2" t="str" cm="1">
        <f t="array" ref="A2168">choice(Professeurs!A:A,1,Settings!$B$16)</f>
        <v>Prof40</v>
      </c>
      <c r="B2168" s="3" cm="1">
        <f t="array" ref="B2168">alea_date(Settings!$B$11,360,Settings!$B$8+alea_int(4,0,Settings!$B$16),Settings!$B$16)</f>
        <v>46342.333333333336</v>
      </c>
      <c r="C2168" s="3" cm="1">
        <f t="array" ref="C2168">B2168+TIME(alea_int(5,1,Settings!$B$16),0,0)</f>
        <v>46342.5</v>
      </c>
      <c r="D2168" s="3" t="str" cm="1">
        <f t="array" ref="D2168">choice(Settings!K:K,1,Settings!$B$16)</f>
        <v>vendredi pm</v>
      </c>
    </row>
    <row r="2169" spans="1:4" x14ac:dyDescent="0.25">
      <c r="A2169" s="2" t="str" cm="1">
        <f t="array" ref="A2169">choice(Professeurs!A:A,1,Settings!$B$16)</f>
        <v>Prof33</v>
      </c>
      <c r="B2169" s="3" cm="1">
        <f t="array" ref="B2169">alea_date(Settings!$B$11,360,Settings!$B$8+alea_int(4,0,Settings!$B$16),Settings!$B$16)</f>
        <v>46304.416666666664</v>
      </c>
      <c r="C2169" s="3" cm="1">
        <f t="array" ref="C2169">B2169+TIME(alea_int(5,1,Settings!$B$16),0,0)</f>
        <v>46304.541666666664</v>
      </c>
      <c r="D2169" s="3" t="str" cm="1">
        <f t="array" ref="D2169">choice(Settings!K:K,1,Settings!$B$16)</f>
        <v/>
      </c>
    </row>
    <row r="2170" spans="1:4" x14ac:dyDescent="0.25">
      <c r="A2170" s="2" t="str" cm="1">
        <f t="array" ref="A2170">choice(Professeurs!A:A,1,Settings!$B$16)</f>
        <v>Prof8</v>
      </c>
      <c r="B2170" s="3" cm="1">
        <f t="array" ref="B2170">alea_date(Settings!$B$11,360,Settings!$B$8+alea_int(4,0,Settings!$B$16),Settings!$B$16)</f>
        <v>46215.458333333336</v>
      </c>
      <c r="C2170" s="3" cm="1">
        <f t="array" ref="C2170">B2170+TIME(alea_int(5,1,Settings!$B$16),0,0)</f>
        <v>46215.5</v>
      </c>
      <c r="D2170" s="3" t="str" cm="1">
        <f t="array" ref="D2170">choice(Settings!K:K,1,Settings!$B$16)</f>
        <v>mardi pm</v>
      </c>
    </row>
    <row r="2171" spans="1:4" x14ac:dyDescent="0.25">
      <c r="A2171" s="2" t="str" cm="1">
        <f t="array" ref="A2171">choice(Professeurs!A:A,1,Settings!$B$16)</f>
        <v>Prof19</v>
      </c>
      <c r="B2171" s="3" cm="1">
        <f t="array" ref="B2171">alea_date(Settings!$B$11,360,Settings!$B$8+alea_int(4,0,Settings!$B$16),Settings!$B$16)</f>
        <v>46158.416666666664</v>
      </c>
      <c r="C2171" s="3" cm="1">
        <f t="array" ref="C2171">B2171+TIME(alea_int(5,1,Settings!$B$16),0,0)</f>
        <v>46158.541666666664</v>
      </c>
      <c r="D2171" s="3" t="str" cm="1">
        <f t="array" ref="D2171">choice(Settings!K:K,1,Settings!$B$16)</f>
        <v/>
      </c>
    </row>
    <row r="2172" spans="1:4" x14ac:dyDescent="0.25">
      <c r="A2172" s="2" t="str" cm="1">
        <f t="array" ref="A2172">choice(Professeurs!A:A,1,Settings!$B$16)</f>
        <v>Prof36</v>
      </c>
      <c r="B2172" s="3" cm="1">
        <f t="array" ref="B2172">alea_date(Settings!$B$11,360,Settings!$B$8+alea_int(4,0,Settings!$B$16),Settings!$B$16)</f>
        <v>46186.375</v>
      </c>
      <c r="C2172" s="3" cm="1">
        <f t="array" ref="C2172">B2172+TIME(alea_int(5,1,Settings!$B$16),0,0)</f>
        <v>46186.416666666664</v>
      </c>
      <c r="D2172" s="3" t="str" cm="1">
        <f t="array" ref="D2172">choice(Settings!K:K,1,Settings!$B$16)</f>
        <v/>
      </c>
    </row>
    <row r="2173" spans="1:4" x14ac:dyDescent="0.25">
      <c r="A2173" s="2" t="str" cm="1">
        <f t="array" ref="A2173">choice(Professeurs!A:A,1,Settings!$B$16)</f>
        <v>Prof36</v>
      </c>
      <c r="B2173" s="3" cm="1">
        <f t="array" ref="B2173">alea_date(Settings!$B$11,360,Settings!$B$8+alea_int(4,0,Settings!$B$16),Settings!$B$16)</f>
        <v>46055.333333333336</v>
      </c>
      <c r="C2173" s="3" cm="1">
        <f t="array" ref="C2173">B2173+TIME(alea_int(5,1,Settings!$B$16),0,0)</f>
        <v>46055.375</v>
      </c>
      <c r="D2173" s="3" t="str" cm="1">
        <f t="array" ref="D2173">choice(Settings!K:K,1,Settings!$B$16)</f>
        <v/>
      </c>
    </row>
    <row r="2174" spans="1:4" x14ac:dyDescent="0.25">
      <c r="A2174" s="2" t="str" cm="1">
        <f t="array" ref="A2174">choice(Professeurs!A:A,1,Settings!$B$16)</f>
        <v>Prof14</v>
      </c>
      <c r="B2174" s="3" cm="1">
        <f t="array" ref="B2174">alea_date(Settings!$B$11,360,Settings!$B$8+alea_int(4,0,Settings!$B$16),Settings!$B$16)</f>
        <v>46068.416666666664</v>
      </c>
      <c r="C2174" s="3" cm="1">
        <f t="array" ref="C2174">B2174+TIME(alea_int(5,1,Settings!$B$16),0,0)</f>
        <v>46068.458333333328</v>
      </c>
      <c r="D2174" s="3" t="str" cm="1">
        <f t="array" ref="D2174">choice(Settings!K:K,1,Settings!$B$16)</f>
        <v/>
      </c>
    </row>
    <row r="2175" spans="1:4" x14ac:dyDescent="0.25">
      <c r="A2175" s="2" t="str" cm="1">
        <f t="array" ref="A2175">choice(Professeurs!A:A,1,Settings!$B$16)</f>
        <v>Prof32</v>
      </c>
      <c r="B2175" s="3" cm="1">
        <f t="array" ref="B2175">alea_date(Settings!$B$11,360,Settings!$B$8+alea_int(4,0,Settings!$B$16),Settings!$B$16)</f>
        <v>46287.458333333336</v>
      </c>
      <c r="C2175" s="3" cm="1">
        <f t="array" ref="C2175">B2175+TIME(alea_int(5,1,Settings!$B$16),0,0)</f>
        <v>46287.5</v>
      </c>
      <c r="D2175" s="3" t="str" cm="1">
        <f t="array" ref="D2175">choice(Settings!K:K,1,Settings!$B$16)</f>
        <v/>
      </c>
    </row>
    <row r="2176" spans="1:4" x14ac:dyDescent="0.25">
      <c r="A2176" s="2" t="str" cm="1">
        <f t="array" ref="A2176">choice(Professeurs!A:A,1,Settings!$B$16)</f>
        <v>Prof5</v>
      </c>
      <c r="B2176" s="3" cm="1">
        <f t="array" ref="B2176">alea_date(Settings!$B$11,360,Settings!$B$8+alea_int(4,0,Settings!$B$16),Settings!$B$16)</f>
        <v>46188.333333333336</v>
      </c>
      <c r="C2176" s="3" cm="1">
        <f t="array" ref="C2176">B2176+TIME(alea_int(5,1,Settings!$B$16),0,0)</f>
        <v>46188.375</v>
      </c>
      <c r="D2176" s="3" t="str" cm="1">
        <f t="array" ref="D2176">choice(Settings!K:K,1,Settings!$B$16)</f>
        <v/>
      </c>
    </row>
    <row r="2177" spans="1:4" x14ac:dyDescent="0.25">
      <c r="A2177" s="2" t="str" cm="1">
        <f t="array" ref="A2177">choice(Professeurs!A:A,1,Settings!$B$16)</f>
        <v>Prof39</v>
      </c>
      <c r="B2177" s="3" cm="1">
        <f t="array" ref="B2177">alea_date(Settings!$B$11,360,Settings!$B$8+alea_int(4,0,Settings!$B$16),Settings!$B$16)</f>
        <v>46356.416666666664</v>
      </c>
      <c r="C2177" s="3" cm="1">
        <f t="array" ref="C2177">B2177+TIME(alea_int(5,1,Settings!$B$16),0,0)</f>
        <v>46356.583333333328</v>
      </c>
      <c r="D2177" s="3" t="str" cm="1">
        <f t="array" ref="D2177">choice(Settings!K:K,1,Settings!$B$16)</f>
        <v/>
      </c>
    </row>
    <row r="2178" spans="1:4" x14ac:dyDescent="0.25">
      <c r="A2178" s="2" t="str" cm="1">
        <f t="array" ref="A2178">choice(Professeurs!A:A,1,Settings!$B$16)</f>
        <v>Prof34</v>
      </c>
      <c r="B2178" s="3" cm="1">
        <f t="array" ref="B2178">alea_date(Settings!$B$11,360,Settings!$B$8+alea_int(4,0,Settings!$B$16),Settings!$B$16)</f>
        <v>46191.416666666664</v>
      </c>
      <c r="C2178" s="3" cm="1">
        <f t="array" ref="C2178">B2178+TIME(alea_int(5,1,Settings!$B$16),0,0)</f>
        <v>46191.458333333328</v>
      </c>
      <c r="D2178" s="3" t="str" cm="1">
        <f t="array" ref="D2178">choice(Settings!K:K,1,Settings!$B$16)</f>
        <v>mercredi ap</v>
      </c>
    </row>
    <row r="2179" spans="1:4" x14ac:dyDescent="0.25">
      <c r="A2179" s="2" t="str" cm="1">
        <f t="array" ref="A2179">choice(Professeurs!A:A,1,Settings!$B$16)</f>
        <v>Prof20</v>
      </c>
      <c r="B2179" s="3" cm="1">
        <f t="array" ref="B2179">alea_date(Settings!$B$11,360,Settings!$B$8+alea_int(4,0,Settings!$B$16),Settings!$B$16)</f>
        <v>46074.333333333336</v>
      </c>
      <c r="C2179" s="3" cm="1">
        <f t="array" ref="C2179">B2179+TIME(alea_int(5,1,Settings!$B$16),0,0)</f>
        <v>46074.5</v>
      </c>
      <c r="D2179" s="3" t="str" cm="1">
        <f t="array" ref="D2179">choice(Settings!K:K,1,Settings!$B$16)</f>
        <v/>
      </c>
    </row>
    <row r="2180" spans="1:4" x14ac:dyDescent="0.25">
      <c r="A2180" s="2" t="str" cm="1">
        <f t="array" ref="A2180">choice(Professeurs!A:A,1,Settings!$B$16)</f>
        <v>Prof49</v>
      </c>
      <c r="B2180" s="3" cm="1">
        <f t="array" ref="B2180">alea_date(Settings!$B$11,360,Settings!$B$8+alea_int(4,0,Settings!$B$16),Settings!$B$16)</f>
        <v>46150.416666666664</v>
      </c>
      <c r="C2180" s="3" cm="1">
        <f t="array" ref="C2180">B2180+TIME(alea_int(5,1,Settings!$B$16),0,0)</f>
        <v>46150.583333333328</v>
      </c>
      <c r="D2180" s="3" t="str" cm="1">
        <f t="array" ref="D2180">choice(Settings!K:K,1,Settings!$B$16)</f>
        <v>mardi pm</v>
      </c>
    </row>
    <row r="2181" spans="1:4" x14ac:dyDescent="0.25">
      <c r="A2181" s="2" t="str" cm="1">
        <f t="array" ref="A2181">choice(Professeurs!A:A,1,Settings!$B$16)</f>
        <v>Prof8</v>
      </c>
      <c r="B2181" s="3" cm="1">
        <f t="array" ref="B2181">alea_date(Settings!$B$11,360,Settings!$B$8+alea_int(4,0,Settings!$B$16),Settings!$B$16)</f>
        <v>46295.333333333336</v>
      </c>
      <c r="C2181" s="3" cm="1">
        <f t="array" ref="C2181">B2181+TIME(alea_int(5,1,Settings!$B$16),0,0)</f>
        <v>46295.541666666672</v>
      </c>
      <c r="D2181" s="3" t="str" cm="1">
        <f t="array" ref="D2181">choice(Settings!K:K,1,Settings!$B$16)</f>
        <v/>
      </c>
    </row>
    <row r="2182" spans="1:4" x14ac:dyDescent="0.25">
      <c r="A2182" s="2" t="str" cm="1">
        <f t="array" ref="A2182">choice(Professeurs!A:A,1,Settings!$B$16)</f>
        <v>Prof54</v>
      </c>
      <c r="B2182" s="3" cm="1">
        <f t="array" ref="B2182">alea_date(Settings!$B$11,360,Settings!$B$8+alea_int(4,0,Settings!$B$16),Settings!$B$16)</f>
        <v>46131.333333333336</v>
      </c>
      <c r="C2182" s="3" cm="1">
        <f t="array" ref="C2182">B2182+TIME(alea_int(5,1,Settings!$B$16),0,0)</f>
        <v>46131.541666666672</v>
      </c>
      <c r="D2182" s="3" t="str" cm="1">
        <f t="array" ref="D2182">choice(Settings!K:K,1,Settings!$B$16)</f>
        <v/>
      </c>
    </row>
    <row r="2183" spans="1:4" x14ac:dyDescent="0.25">
      <c r="A2183" s="2" t="str" cm="1">
        <f t="array" ref="A2183">choice(Professeurs!A:A,1,Settings!$B$16)</f>
        <v>Prof48</v>
      </c>
      <c r="B2183" s="3" cm="1">
        <f t="array" ref="B2183">alea_date(Settings!$B$11,360,Settings!$B$8+alea_int(4,0,Settings!$B$16),Settings!$B$16)</f>
        <v>46381.333333333336</v>
      </c>
      <c r="C2183" s="3" cm="1">
        <f t="array" ref="C2183">B2183+TIME(alea_int(5,1,Settings!$B$16),0,0)</f>
        <v>46381.458333333336</v>
      </c>
      <c r="D2183" s="3" t="str" cm="1">
        <f t="array" ref="D2183">choice(Settings!K:K,1,Settings!$B$16)</f>
        <v/>
      </c>
    </row>
    <row r="2184" spans="1:4" x14ac:dyDescent="0.25">
      <c r="A2184" s="2" t="str" cm="1">
        <f t="array" ref="A2184">choice(Professeurs!A:A,1,Settings!$B$16)</f>
        <v>Prof5</v>
      </c>
      <c r="B2184" s="3" cm="1">
        <f t="array" ref="B2184">alea_date(Settings!$B$11,360,Settings!$B$8+alea_int(4,0,Settings!$B$16),Settings!$B$16)</f>
        <v>46162.458333333336</v>
      </c>
      <c r="C2184" s="3" cm="1">
        <f t="array" ref="C2184">B2184+TIME(alea_int(5,1,Settings!$B$16),0,0)</f>
        <v>46162.5</v>
      </c>
      <c r="D2184" s="3" t="str" cm="1">
        <f t="array" ref="D2184">choice(Settings!K:K,1,Settings!$B$16)</f>
        <v/>
      </c>
    </row>
    <row r="2185" spans="1:4" x14ac:dyDescent="0.25">
      <c r="A2185" s="2" t="str" cm="1">
        <f t="array" ref="A2185">choice(Professeurs!A:A,1,Settings!$B$16)</f>
        <v>Prof6</v>
      </c>
      <c r="B2185" s="3" cm="1">
        <f t="array" ref="B2185">alea_date(Settings!$B$11,360,Settings!$B$8+alea_int(4,0,Settings!$B$16),Settings!$B$16)</f>
        <v>46061.458333333336</v>
      </c>
      <c r="C2185" s="3" cm="1">
        <f t="array" ref="C2185">B2185+TIME(alea_int(5,1,Settings!$B$16),0,0)</f>
        <v>46061.541666666672</v>
      </c>
      <c r="D2185" s="3" t="str" cm="1">
        <f t="array" ref="D2185">choice(Settings!K:K,1,Settings!$B$16)</f>
        <v>jeudi am</v>
      </c>
    </row>
    <row r="2186" spans="1:4" x14ac:dyDescent="0.25">
      <c r="A2186" s="2" t="str" cm="1">
        <f t="array" ref="A2186">choice(Professeurs!A:A,1,Settings!$B$16)</f>
        <v>Prof19</v>
      </c>
      <c r="B2186" s="3" cm="1">
        <f t="array" ref="B2186">alea_date(Settings!$B$11,360,Settings!$B$8+alea_int(4,0,Settings!$B$16),Settings!$B$16)</f>
        <v>46222.333333333336</v>
      </c>
      <c r="C2186" s="3" cm="1">
        <f t="array" ref="C2186">B2186+TIME(alea_int(5,1,Settings!$B$16),0,0)</f>
        <v>46222.541666666672</v>
      </c>
      <c r="D2186" s="3" t="str" cm="1">
        <f t="array" ref="D2186">choice(Settings!K:K,1,Settings!$B$16)</f>
        <v/>
      </c>
    </row>
    <row r="2187" spans="1:4" x14ac:dyDescent="0.25">
      <c r="A2187" s="2" t="str" cm="1">
        <f t="array" ref="A2187">choice(Professeurs!A:A,1,Settings!$B$16)</f>
        <v>Prof32</v>
      </c>
      <c r="B2187" s="3" cm="1">
        <f t="array" ref="B2187">alea_date(Settings!$B$11,360,Settings!$B$8+alea_int(4,0,Settings!$B$16),Settings!$B$16)</f>
        <v>46315.333333333336</v>
      </c>
      <c r="C2187" s="3" cm="1">
        <f t="array" ref="C2187">B2187+TIME(alea_int(5,1,Settings!$B$16),0,0)</f>
        <v>46315.458333333336</v>
      </c>
      <c r="D2187" s="3" t="str" cm="1">
        <f t="array" ref="D2187">choice(Settings!K:K,1,Settings!$B$16)</f>
        <v/>
      </c>
    </row>
    <row r="2188" spans="1:4" x14ac:dyDescent="0.25">
      <c r="A2188" s="2" t="str" cm="1">
        <f t="array" ref="A2188">choice(Professeurs!A:A,1,Settings!$B$16)</f>
        <v>Prof36</v>
      </c>
      <c r="B2188" s="3" cm="1">
        <f t="array" ref="B2188">alea_date(Settings!$B$11,360,Settings!$B$8+alea_int(4,0,Settings!$B$16),Settings!$B$16)</f>
        <v>46356.416666666664</v>
      </c>
      <c r="C2188" s="3" cm="1">
        <f t="array" ref="C2188">B2188+TIME(alea_int(5,1,Settings!$B$16),0,0)</f>
        <v>46356.541666666664</v>
      </c>
      <c r="D2188" s="3" t="str" cm="1">
        <f t="array" ref="D2188">choice(Settings!K:K,1,Settings!$B$16)</f>
        <v/>
      </c>
    </row>
    <row r="2189" spans="1:4" x14ac:dyDescent="0.25">
      <c r="A2189" s="2" t="str" cm="1">
        <f t="array" ref="A2189">choice(Professeurs!A:A,1,Settings!$B$16)</f>
        <v>Prof39</v>
      </c>
      <c r="B2189" s="3" cm="1">
        <f t="array" ref="B2189">alea_date(Settings!$B$11,360,Settings!$B$8+alea_int(4,0,Settings!$B$16),Settings!$B$16)</f>
        <v>46170.458333333336</v>
      </c>
      <c r="C2189" s="3" cm="1">
        <f t="array" ref="C2189">B2189+TIME(alea_int(5,1,Settings!$B$16),0,0)</f>
        <v>46170.541666666672</v>
      </c>
      <c r="D2189" s="3" t="str" cm="1">
        <f t="array" ref="D2189">choice(Settings!K:K,1,Settings!$B$16)</f>
        <v>semaine</v>
      </c>
    </row>
    <row r="2190" spans="1:4" x14ac:dyDescent="0.25">
      <c r="A2190" s="2" t="str" cm="1">
        <f t="array" ref="A2190">choice(Professeurs!A:A,1,Settings!$B$16)</f>
        <v>Prof42</v>
      </c>
      <c r="B2190" s="3" cm="1">
        <f t="array" ref="B2190">alea_date(Settings!$B$11,360,Settings!$B$8+alea_int(4,0,Settings!$B$16),Settings!$B$16)</f>
        <v>46299.333333333336</v>
      </c>
      <c r="C2190" s="3" cm="1">
        <f t="array" ref="C2190">B2190+TIME(alea_int(5,1,Settings!$B$16),0,0)</f>
        <v>46299.541666666672</v>
      </c>
      <c r="D2190" s="3" t="str" cm="1">
        <f t="array" ref="D2190">choice(Settings!K:K,1,Settings!$B$16)</f>
        <v/>
      </c>
    </row>
    <row r="2191" spans="1:4" x14ac:dyDescent="0.25">
      <c r="A2191" s="2" t="str" cm="1">
        <f t="array" ref="A2191">choice(Professeurs!A:A,1,Settings!$B$16)</f>
        <v>Prof50</v>
      </c>
      <c r="B2191" s="3" cm="1">
        <f t="array" ref="B2191">alea_date(Settings!$B$11,360,Settings!$B$8+alea_int(4,0,Settings!$B$16),Settings!$B$16)</f>
        <v>46170.375</v>
      </c>
      <c r="C2191" s="3" cm="1">
        <f t="array" ref="C2191">B2191+TIME(alea_int(5,1,Settings!$B$16),0,0)</f>
        <v>46170.5</v>
      </c>
      <c r="D2191" s="3" t="str" cm="1">
        <f t="array" ref="D2191">choice(Settings!K:K,1,Settings!$B$16)</f>
        <v/>
      </c>
    </row>
    <row r="2192" spans="1:4" x14ac:dyDescent="0.25">
      <c r="A2192" s="2" t="str" cm="1">
        <f t="array" ref="A2192">choice(Professeurs!A:A,1,Settings!$B$16)</f>
        <v>Prof33</v>
      </c>
      <c r="B2192" s="3" cm="1">
        <f t="array" ref="B2192">alea_date(Settings!$B$11,360,Settings!$B$8+alea_int(4,0,Settings!$B$16),Settings!$B$16)</f>
        <v>46294.333333333336</v>
      </c>
      <c r="C2192" s="3" cm="1">
        <f t="array" ref="C2192">B2192+TIME(alea_int(5,1,Settings!$B$16),0,0)</f>
        <v>46294.5</v>
      </c>
      <c r="D2192" s="3" t="str" cm="1">
        <f t="array" ref="D2192">choice(Settings!K:K,1,Settings!$B$16)</f>
        <v/>
      </c>
    </row>
    <row r="2193" spans="1:4" x14ac:dyDescent="0.25">
      <c r="A2193" s="2" t="str" cm="1">
        <f t="array" ref="A2193">choice(Professeurs!A:A,1,Settings!$B$16)</f>
        <v>Prof23</v>
      </c>
      <c r="B2193" s="3" cm="1">
        <f t="array" ref="B2193">alea_date(Settings!$B$11,360,Settings!$B$8+alea_int(4,0,Settings!$B$16),Settings!$B$16)</f>
        <v>46382.458333333336</v>
      </c>
      <c r="C2193" s="3" cm="1">
        <f t="array" ref="C2193">B2193+TIME(alea_int(5,1,Settings!$B$16),0,0)</f>
        <v>46382.625</v>
      </c>
      <c r="D2193" s="3" t="str" cm="1">
        <f t="array" ref="D2193">choice(Settings!K:K,1,Settings!$B$16)</f>
        <v/>
      </c>
    </row>
    <row r="2194" spans="1:4" x14ac:dyDescent="0.25">
      <c r="A2194" s="2" t="str" cm="1">
        <f t="array" ref="A2194">choice(Professeurs!A:A,1,Settings!$B$16)</f>
        <v>Prof51</v>
      </c>
      <c r="B2194" s="3" cm="1">
        <f t="array" ref="B2194">alea_date(Settings!$B$11,360,Settings!$B$8+alea_int(4,0,Settings!$B$16),Settings!$B$16)</f>
        <v>46045.458333333336</v>
      </c>
      <c r="C2194" s="3" cm="1">
        <f t="array" ref="C2194">B2194+TIME(alea_int(5,1,Settings!$B$16),0,0)</f>
        <v>46045.666666666672</v>
      </c>
      <c r="D2194" s="3" t="str" cm="1">
        <f t="array" ref="D2194">choice(Settings!K:K,1,Settings!$B$16)</f>
        <v>vendredi pm</v>
      </c>
    </row>
    <row r="2195" spans="1:4" x14ac:dyDescent="0.25">
      <c r="A2195" s="2" t="str" cm="1">
        <f t="array" ref="A2195">choice(Professeurs!A:A,1,Settings!$B$16)</f>
        <v>Prof17</v>
      </c>
      <c r="B2195" s="3" cm="1">
        <f t="array" ref="B2195">alea_date(Settings!$B$11,360,Settings!$B$8+alea_int(4,0,Settings!$B$16),Settings!$B$16)</f>
        <v>46039.375</v>
      </c>
      <c r="C2195" s="3" cm="1">
        <f t="array" ref="C2195">B2195+TIME(alea_int(5,1,Settings!$B$16),0,0)</f>
        <v>46039.458333333336</v>
      </c>
      <c r="D2195" s="3" t="str" cm="1">
        <f t="array" ref="D2195">choice(Settings!K:K,1,Settings!$B$16)</f>
        <v/>
      </c>
    </row>
    <row r="2196" spans="1:4" x14ac:dyDescent="0.25">
      <c r="A2196" s="2" t="str" cm="1">
        <f t="array" ref="A2196">choice(Professeurs!A:A,1,Settings!$B$16)</f>
        <v>Prof35</v>
      </c>
      <c r="B2196" s="3" cm="1">
        <f t="array" ref="B2196">alea_date(Settings!$B$11,360,Settings!$B$8+alea_int(4,0,Settings!$B$16),Settings!$B$16)</f>
        <v>46049.458333333336</v>
      </c>
      <c r="C2196" s="3" cm="1">
        <f t="array" ref="C2196">B2196+TIME(alea_int(5,1,Settings!$B$16),0,0)</f>
        <v>46049.666666666672</v>
      </c>
      <c r="D2196" s="3" t="str" cm="1">
        <f t="array" ref="D2196">choice(Settings!K:K,1,Settings!$B$16)</f>
        <v/>
      </c>
    </row>
    <row r="2197" spans="1:4" x14ac:dyDescent="0.25">
      <c r="A2197" s="2" t="str" cm="1">
        <f t="array" ref="A2197">choice(Professeurs!A:A,1,Settings!$B$16)</f>
        <v>Prof5</v>
      </c>
      <c r="B2197" s="3" cm="1">
        <f t="array" ref="B2197">alea_date(Settings!$B$11,360,Settings!$B$8+alea_int(4,0,Settings!$B$16),Settings!$B$16)</f>
        <v>46299.458333333336</v>
      </c>
      <c r="C2197" s="3" cm="1">
        <f t="array" ref="C2197">B2197+TIME(alea_int(5,1,Settings!$B$16),0,0)</f>
        <v>46299.583333333336</v>
      </c>
      <c r="D2197" s="3" t="str" cm="1">
        <f t="array" ref="D2197">choice(Settings!K:K,1,Settings!$B$16)</f>
        <v/>
      </c>
    </row>
    <row r="2198" spans="1:4" x14ac:dyDescent="0.25">
      <c r="A2198" s="2" t="str" cm="1">
        <f t="array" ref="A2198">choice(Professeurs!A:A,1,Settings!$B$16)</f>
        <v>Prof43</v>
      </c>
      <c r="B2198" s="3" cm="1">
        <f t="array" ref="B2198">alea_date(Settings!$B$11,360,Settings!$B$8+alea_int(4,0,Settings!$B$16),Settings!$B$16)</f>
        <v>46250.458333333336</v>
      </c>
      <c r="C2198" s="3" cm="1">
        <f t="array" ref="C2198">B2198+TIME(alea_int(5,1,Settings!$B$16),0,0)</f>
        <v>46250.625</v>
      </c>
      <c r="D2198" s="3" t="str" cm="1">
        <f t="array" ref="D2198">choice(Settings!K:K,1,Settings!$B$16)</f>
        <v>vendredi pm</v>
      </c>
    </row>
    <row r="2199" spans="1:4" x14ac:dyDescent="0.25">
      <c r="A2199" s="2" t="str" cm="1">
        <f t="array" ref="A2199">choice(Professeurs!A:A,1,Settings!$B$16)</f>
        <v>Prof19</v>
      </c>
      <c r="B2199" s="3" cm="1">
        <f t="array" ref="B2199">alea_date(Settings!$B$11,360,Settings!$B$8+alea_int(4,0,Settings!$B$16),Settings!$B$16)</f>
        <v>46233.416666666664</v>
      </c>
      <c r="C2199" s="3" cm="1">
        <f t="array" ref="C2199">B2199+TIME(alea_int(5,1,Settings!$B$16),0,0)</f>
        <v>46233.583333333328</v>
      </c>
      <c r="D2199" s="3" t="str" cm="1">
        <f t="array" ref="D2199">choice(Settings!K:K,1,Settings!$B$16)</f>
        <v>vendredi pm</v>
      </c>
    </row>
    <row r="2200" spans="1:4" x14ac:dyDescent="0.25">
      <c r="A2200" s="2" t="str" cm="1">
        <f t="array" ref="A2200">choice(Professeurs!A:A,1,Settings!$B$16)</f>
        <v>Prof18</v>
      </c>
      <c r="B2200" s="3" cm="1">
        <f t="array" ref="B2200">alea_date(Settings!$B$11,360,Settings!$B$8+alea_int(4,0,Settings!$B$16),Settings!$B$16)</f>
        <v>46077.458333333336</v>
      </c>
      <c r="C2200" s="3" cm="1">
        <f t="array" ref="C2200">B2200+TIME(alea_int(5,1,Settings!$B$16),0,0)</f>
        <v>46077.541666666672</v>
      </c>
      <c r="D2200" s="3" t="str" cm="1">
        <f t="array" ref="D2200">choice(Settings!K:K,1,Settings!$B$16)</f>
        <v/>
      </c>
    </row>
    <row r="2201" spans="1:4" x14ac:dyDescent="0.25">
      <c r="A2201" s="2" t="str" cm="1">
        <f t="array" ref="A2201">choice(Professeurs!A:A,1,Settings!$B$16)</f>
        <v>Prof54</v>
      </c>
      <c r="B2201" s="3" cm="1">
        <f t="array" ref="B2201">alea_date(Settings!$B$11,360,Settings!$B$8+alea_int(4,0,Settings!$B$16),Settings!$B$16)</f>
        <v>46072.416666666664</v>
      </c>
      <c r="C2201" s="3" cm="1">
        <f t="array" ref="C2201">B2201+TIME(alea_int(5,1,Settings!$B$16),0,0)</f>
        <v>46072.458333333328</v>
      </c>
      <c r="D2201" s="3" t="str" cm="1">
        <f t="array" ref="D2201">choice(Settings!K:K,1,Settings!$B$16)</f>
        <v/>
      </c>
    </row>
    <row r="2202" spans="1:4" x14ac:dyDescent="0.25">
      <c r="A2202" s="2" t="str" cm="1">
        <f t="array" ref="A2202">choice(Professeurs!A:A,1,Settings!$B$16)</f>
        <v>Prof11</v>
      </c>
      <c r="B2202" s="3" cm="1">
        <f t="array" ref="B2202">alea_date(Settings!$B$11,360,Settings!$B$8+alea_int(4,0,Settings!$B$16),Settings!$B$16)</f>
        <v>46048.375</v>
      </c>
      <c r="C2202" s="3" cm="1">
        <f t="array" ref="C2202">B2202+TIME(alea_int(5,1,Settings!$B$16),0,0)</f>
        <v>46048.541666666664</v>
      </c>
      <c r="D2202" s="3" t="str" cm="1">
        <f t="array" ref="D2202">choice(Settings!K:K,1,Settings!$B$16)</f>
        <v>jeudi pm</v>
      </c>
    </row>
    <row r="2203" spans="1:4" x14ac:dyDescent="0.25">
      <c r="A2203" s="2" t="str" cm="1">
        <f t="array" ref="A2203">choice(Professeurs!A:A,1,Settings!$B$16)</f>
        <v>Prof9</v>
      </c>
      <c r="B2203" s="3" cm="1">
        <f t="array" ref="B2203">alea_date(Settings!$B$11,360,Settings!$B$8+alea_int(4,0,Settings!$B$16),Settings!$B$16)</f>
        <v>46357.416666666664</v>
      </c>
      <c r="C2203" s="3" cm="1">
        <f t="array" ref="C2203">B2203+TIME(alea_int(5,1,Settings!$B$16),0,0)</f>
        <v>46357.541666666664</v>
      </c>
      <c r="D2203" s="3" t="str" cm="1">
        <f t="array" ref="D2203">choice(Settings!K:K,1,Settings!$B$16)</f>
        <v/>
      </c>
    </row>
    <row r="2204" spans="1:4" x14ac:dyDescent="0.25">
      <c r="A2204" s="2" t="str" cm="1">
        <f t="array" ref="A2204">choice(Professeurs!A:A,1,Settings!$B$16)</f>
        <v>Prof2</v>
      </c>
      <c r="B2204" s="3" cm="1">
        <f t="array" ref="B2204">alea_date(Settings!$B$11,360,Settings!$B$8+alea_int(4,0,Settings!$B$16),Settings!$B$16)</f>
        <v>46335.416666666664</v>
      </c>
      <c r="C2204" s="3" cm="1">
        <f t="array" ref="C2204">B2204+TIME(alea_int(5,1,Settings!$B$16),0,0)</f>
        <v>46335.583333333328</v>
      </c>
      <c r="D2204" s="3" t="str" cm="1">
        <f t="array" ref="D2204">choice(Settings!K:K,1,Settings!$B$16)</f>
        <v/>
      </c>
    </row>
    <row r="2205" spans="1:4" x14ac:dyDescent="0.25">
      <c r="A2205" s="2" t="str" cm="1">
        <f t="array" ref="A2205">choice(Professeurs!A:A,1,Settings!$B$16)</f>
        <v>Prof55</v>
      </c>
      <c r="B2205" s="3" cm="1">
        <f t="array" ref="B2205">alea_date(Settings!$B$11,360,Settings!$B$8+alea_int(4,0,Settings!$B$16),Settings!$B$16)</f>
        <v>46382.333333333336</v>
      </c>
      <c r="C2205" s="3" cm="1">
        <f t="array" ref="C2205">B2205+TIME(alea_int(5,1,Settings!$B$16),0,0)</f>
        <v>46382.416666666672</v>
      </c>
      <c r="D2205" s="3" t="str" cm="1">
        <f t="array" ref="D2205">choice(Settings!K:K,1,Settings!$B$16)</f>
        <v>lundi am</v>
      </c>
    </row>
    <row r="2206" spans="1:4" x14ac:dyDescent="0.25">
      <c r="A2206" s="2" t="str" cm="1">
        <f t="array" ref="A2206">choice(Professeurs!A:A,1,Settings!$B$16)</f>
        <v>Prof41</v>
      </c>
      <c r="B2206" s="3" cm="1">
        <f t="array" ref="B2206">alea_date(Settings!$B$11,360,Settings!$B$8+alea_int(4,0,Settings!$B$16),Settings!$B$16)</f>
        <v>46188.416666666664</v>
      </c>
      <c r="C2206" s="3" cm="1">
        <f t="array" ref="C2206">B2206+TIME(alea_int(5,1,Settings!$B$16),0,0)</f>
        <v>46188.583333333328</v>
      </c>
      <c r="D2206" s="3" t="str" cm="1">
        <f t="array" ref="D2206">choice(Settings!K:K,1,Settings!$B$16)</f>
        <v>mercredi ap</v>
      </c>
    </row>
    <row r="2207" spans="1:4" x14ac:dyDescent="0.25">
      <c r="A2207" s="2" t="str" cm="1">
        <f t="array" ref="A2207">choice(Professeurs!A:A,1,Settings!$B$16)</f>
        <v>Prof19</v>
      </c>
      <c r="B2207" s="3" cm="1">
        <f t="array" ref="B2207">alea_date(Settings!$B$11,360,Settings!$B$8+alea_int(4,0,Settings!$B$16),Settings!$B$16)</f>
        <v>46365.375</v>
      </c>
      <c r="C2207" s="3" cm="1">
        <f t="array" ref="C2207">B2207+TIME(alea_int(5,1,Settings!$B$16),0,0)</f>
        <v>46365.541666666664</v>
      </c>
      <c r="D2207" s="3" t="str" cm="1">
        <f t="array" ref="D2207">choice(Settings!K:K,1,Settings!$B$16)</f>
        <v>vendredi am</v>
      </c>
    </row>
    <row r="2208" spans="1:4" x14ac:dyDescent="0.25">
      <c r="A2208" s="2" t="str" cm="1">
        <f t="array" ref="A2208">choice(Professeurs!A:A,1,Settings!$B$16)</f>
        <v>Prof47</v>
      </c>
      <c r="B2208" s="3" cm="1">
        <f t="array" ref="B2208">alea_date(Settings!$B$11,360,Settings!$B$8+alea_int(4,0,Settings!$B$16),Settings!$B$16)</f>
        <v>46137.416666666664</v>
      </c>
      <c r="C2208" s="3" cm="1">
        <f t="array" ref="C2208">B2208+TIME(alea_int(5,1,Settings!$B$16),0,0)</f>
        <v>46137.5</v>
      </c>
      <c r="D2208" s="3" t="str" cm="1">
        <f t="array" ref="D2208">choice(Settings!K:K,1,Settings!$B$16)</f>
        <v/>
      </c>
    </row>
    <row r="2209" spans="1:4" x14ac:dyDescent="0.25">
      <c r="A2209" s="2" t="str" cm="1">
        <f t="array" ref="A2209">choice(Professeurs!A:A,1,Settings!$B$16)</f>
        <v>Prof8</v>
      </c>
      <c r="B2209" s="3" cm="1">
        <f t="array" ref="B2209">alea_date(Settings!$B$11,360,Settings!$B$8+alea_int(4,0,Settings!$B$16),Settings!$B$16)</f>
        <v>46343.375</v>
      </c>
      <c r="C2209" s="3" cm="1">
        <f t="array" ref="C2209">B2209+TIME(alea_int(5,1,Settings!$B$16),0,0)</f>
        <v>46343.583333333336</v>
      </c>
      <c r="D2209" s="3" t="str" cm="1">
        <f t="array" ref="D2209">choice(Settings!K:K,1,Settings!$B$16)</f>
        <v/>
      </c>
    </row>
    <row r="2210" spans="1:4" x14ac:dyDescent="0.25">
      <c r="A2210" s="2" t="str" cm="1">
        <f t="array" ref="A2210">choice(Professeurs!A:A,1,Settings!$B$16)</f>
        <v>Prof39</v>
      </c>
      <c r="B2210" s="3" cm="1">
        <f t="array" ref="B2210">alea_date(Settings!$B$11,360,Settings!$B$8+alea_int(4,0,Settings!$B$16),Settings!$B$16)</f>
        <v>46202.416666666664</v>
      </c>
      <c r="C2210" s="3" cm="1">
        <f t="array" ref="C2210">B2210+TIME(alea_int(5,1,Settings!$B$16),0,0)</f>
        <v>46202.541666666664</v>
      </c>
      <c r="D2210" s="3" t="str" cm="1">
        <f t="array" ref="D2210">choice(Settings!K:K,1,Settings!$B$16)</f>
        <v/>
      </c>
    </row>
    <row r="2211" spans="1:4" x14ac:dyDescent="0.25">
      <c r="A2211" s="2" t="str" cm="1">
        <f t="array" ref="A2211">choice(Professeurs!A:A,1,Settings!$B$16)</f>
        <v>Prof45</v>
      </c>
      <c r="B2211" s="3" cm="1">
        <f t="array" ref="B2211">alea_date(Settings!$B$11,360,Settings!$B$8+alea_int(4,0,Settings!$B$16),Settings!$B$16)</f>
        <v>46266.375</v>
      </c>
      <c r="C2211" s="3" cm="1">
        <f t="array" ref="C2211">B2211+TIME(alea_int(5,1,Settings!$B$16),0,0)</f>
        <v>46266.583333333336</v>
      </c>
      <c r="D2211" s="3" t="str" cm="1">
        <f t="array" ref="D2211">choice(Settings!K:K,1,Settings!$B$16)</f>
        <v>mardi am</v>
      </c>
    </row>
    <row r="2212" spans="1:4" x14ac:dyDescent="0.25">
      <c r="A2212" s="2" t="str" cm="1">
        <f t="array" ref="A2212">choice(Professeurs!A:A,1,Settings!$B$16)</f>
        <v>Prof17</v>
      </c>
      <c r="B2212" s="3" cm="1">
        <f t="array" ref="B2212">alea_date(Settings!$B$11,360,Settings!$B$8+alea_int(4,0,Settings!$B$16),Settings!$B$16)</f>
        <v>46364.416666666664</v>
      </c>
      <c r="C2212" s="3" cm="1">
        <f t="array" ref="C2212">B2212+TIME(alea_int(5,1,Settings!$B$16),0,0)</f>
        <v>46364.541666666664</v>
      </c>
      <c r="D2212" s="3" t="str" cm="1">
        <f t="array" ref="D2212">choice(Settings!K:K,1,Settings!$B$16)</f>
        <v/>
      </c>
    </row>
    <row r="2213" spans="1:4" x14ac:dyDescent="0.25">
      <c r="A2213" s="2" t="str" cm="1">
        <f t="array" ref="A2213">choice(Professeurs!A:A,1,Settings!$B$16)</f>
        <v>Prof53</v>
      </c>
      <c r="B2213" s="3" cm="1">
        <f t="array" ref="B2213">alea_date(Settings!$B$11,360,Settings!$B$8+alea_int(4,0,Settings!$B$16),Settings!$B$16)</f>
        <v>46241.416666666664</v>
      </c>
      <c r="C2213" s="3" cm="1">
        <f t="array" ref="C2213">B2213+TIME(alea_int(5,1,Settings!$B$16),0,0)</f>
        <v>46241.625</v>
      </c>
      <c r="D2213" s="3" t="str" cm="1">
        <f t="array" ref="D2213">choice(Settings!K:K,1,Settings!$B$16)</f>
        <v/>
      </c>
    </row>
    <row r="2214" spans="1:4" x14ac:dyDescent="0.25">
      <c r="A2214" s="2" t="str" cm="1">
        <f t="array" ref="A2214">choice(Professeurs!A:A,1,Settings!$B$16)</f>
        <v>Prof31</v>
      </c>
      <c r="B2214" s="3" cm="1">
        <f t="array" ref="B2214">alea_date(Settings!$B$11,360,Settings!$B$8+alea_int(4,0,Settings!$B$16),Settings!$B$16)</f>
        <v>46226.416666666664</v>
      </c>
      <c r="C2214" s="3" cm="1">
        <f t="array" ref="C2214">B2214+TIME(alea_int(5,1,Settings!$B$16),0,0)</f>
        <v>46226.583333333328</v>
      </c>
      <c r="D2214" s="3" t="str" cm="1">
        <f t="array" ref="D2214">choice(Settings!K:K,1,Settings!$B$16)</f>
        <v/>
      </c>
    </row>
    <row r="2215" spans="1:4" x14ac:dyDescent="0.25">
      <c r="A2215" s="2" t="str" cm="1">
        <f t="array" ref="A2215">choice(Professeurs!A:A,1,Settings!$B$16)</f>
        <v>Prof3</v>
      </c>
      <c r="B2215" s="3" cm="1">
        <f t="array" ref="B2215">alea_date(Settings!$B$11,360,Settings!$B$8+alea_int(4,0,Settings!$B$16),Settings!$B$16)</f>
        <v>46151.458333333336</v>
      </c>
      <c r="C2215" s="3" cm="1">
        <f t="array" ref="C2215">B2215+TIME(alea_int(5,1,Settings!$B$16),0,0)</f>
        <v>46151.5</v>
      </c>
      <c r="D2215" s="3" t="str" cm="1">
        <f t="array" ref="D2215">choice(Settings!K:K,1,Settings!$B$16)</f>
        <v/>
      </c>
    </row>
    <row r="2216" spans="1:4" x14ac:dyDescent="0.25">
      <c r="A2216" s="2" t="str" cm="1">
        <f t="array" ref="A2216">choice(Professeurs!A:A,1,Settings!$B$16)</f>
        <v>Prof14</v>
      </c>
      <c r="B2216" s="3" cm="1">
        <f t="array" ref="B2216">alea_date(Settings!$B$11,360,Settings!$B$8+alea_int(4,0,Settings!$B$16),Settings!$B$16)</f>
        <v>46173.375</v>
      </c>
      <c r="C2216" s="3" cm="1">
        <f t="array" ref="C2216">B2216+TIME(alea_int(5,1,Settings!$B$16),0,0)</f>
        <v>46173.458333333336</v>
      </c>
      <c r="D2216" s="3" t="str" cm="1">
        <f t="array" ref="D2216">choice(Settings!K:K,1,Settings!$B$16)</f>
        <v/>
      </c>
    </row>
    <row r="2217" spans="1:4" x14ac:dyDescent="0.25">
      <c r="A2217" s="2" t="str" cm="1">
        <f t="array" ref="A2217">choice(Professeurs!A:A,1,Settings!$B$16)</f>
        <v>Prof23</v>
      </c>
      <c r="B2217" s="3" cm="1">
        <f t="array" ref="B2217">alea_date(Settings!$B$11,360,Settings!$B$8+alea_int(4,0,Settings!$B$16),Settings!$B$16)</f>
        <v>46038.333333333336</v>
      </c>
      <c r="C2217" s="3" cm="1">
        <f t="array" ref="C2217">B2217+TIME(alea_int(5,1,Settings!$B$16),0,0)</f>
        <v>46038.458333333336</v>
      </c>
      <c r="D2217" s="3" t="str" cm="1">
        <f t="array" ref="D2217">choice(Settings!K:K,1,Settings!$B$16)</f>
        <v/>
      </c>
    </row>
    <row r="2218" spans="1:4" x14ac:dyDescent="0.25">
      <c r="A2218" s="2" t="str" cm="1">
        <f t="array" ref="A2218">choice(Professeurs!A:A,1,Settings!$B$16)</f>
        <v>Prof29</v>
      </c>
      <c r="B2218" s="3" cm="1">
        <f t="array" ref="B2218">alea_date(Settings!$B$11,360,Settings!$B$8+alea_int(4,0,Settings!$B$16),Settings!$B$16)</f>
        <v>46273.458333333336</v>
      </c>
      <c r="C2218" s="3" cm="1">
        <f t="array" ref="C2218">B2218+TIME(alea_int(5,1,Settings!$B$16),0,0)</f>
        <v>46273.5</v>
      </c>
      <c r="D2218" s="3" t="str" cm="1">
        <f t="array" ref="D2218">choice(Settings!K:K,1,Settings!$B$16)</f>
        <v/>
      </c>
    </row>
    <row r="2219" spans="1:4" x14ac:dyDescent="0.25">
      <c r="A2219" s="2" t="str" cm="1">
        <f t="array" ref="A2219">choice(Professeurs!A:A,1,Settings!$B$16)</f>
        <v>Prof19</v>
      </c>
      <c r="B2219" s="3" cm="1">
        <f t="array" ref="B2219">alea_date(Settings!$B$11,360,Settings!$B$8+alea_int(4,0,Settings!$B$16),Settings!$B$16)</f>
        <v>46052.416666666664</v>
      </c>
      <c r="C2219" s="3" cm="1">
        <f t="array" ref="C2219">B2219+TIME(alea_int(5,1,Settings!$B$16),0,0)</f>
        <v>46052.541666666664</v>
      </c>
      <c r="D2219" s="3" t="str" cm="1">
        <f t="array" ref="D2219">choice(Settings!K:K,1,Settings!$B$16)</f>
        <v/>
      </c>
    </row>
    <row r="2220" spans="1:4" x14ac:dyDescent="0.25">
      <c r="A2220" s="2" t="str" cm="1">
        <f t="array" ref="A2220">choice(Professeurs!A:A,1,Settings!$B$16)</f>
        <v>Prof52</v>
      </c>
      <c r="B2220" s="3" cm="1">
        <f t="array" ref="B2220">alea_date(Settings!$B$11,360,Settings!$B$8+alea_int(4,0,Settings!$B$16),Settings!$B$16)</f>
        <v>46346.333333333336</v>
      </c>
      <c r="C2220" s="3" cm="1">
        <f t="array" ref="C2220">B2220+TIME(alea_int(5,1,Settings!$B$16),0,0)</f>
        <v>46346.541666666672</v>
      </c>
      <c r="D2220" s="3" t="str" cm="1">
        <f t="array" ref="D2220">choice(Settings!K:K,1,Settings!$B$16)</f>
        <v/>
      </c>
    </row>
    <row r="2221" spans="1:4" x14ac:dyDescent="0.25">
      <c r="A2221" s="2" t="str" cm="1">
        <f t="array" ref="A2221">choice(Professeurs!A:A,1,Settings!$B$16)</f>
        <v>Prof19</v>
      </c>
      <c r="B2221" s="3" cm="1">
        <f t="array" ref="B2221">alea_date(Settings!$B$11,360,Settings!$B$8+alea_int(4,0,Settings!$B$16),Settings!$B$16)</f>
        <v>46305.458333333336</v>
      </c>
      <c r="C2221" s="3" cm="1">
        <f t="array" ref="C2221">B2221+TIME(alea_int(5,1,Settings!$B$16),0,0)</f>
        <v>46305.583333333336</v>
      </c>
      <c r="D2221" s="3" t="str" cm="1">
        <f t="array" ref="D2221">choice(Settings!K:K,1,Settings!$B$16)</f>
        <v>mercredi ap</v>
      </c>
    </row>
    <row r="2222" spans="1:4" x14ac:dyDescent="0.25">
      <c r="A2222" s="2" t="str" cm="1">
        <f t="array" ref="A2222">choice(Professeurs!A:A,1,Settings!$B$16)</f>
        <v>Prof44</v>
      </c>
      <c r="B2222" s="3" cm="1">
        <f t="array" ref="B2222">alea_date(Settings!$B$11,360,Settings!$B$8+alea_int(4,0,Settings!$B$16),Settings!$B$16)</f>
        <v>46295.333333333336</v>
      </c>
      <c r="C2222" s="3" cm="1">
        <f t="array" ref="C2222">B2222+TIME(alea_int(5,1,Settings!$B$16),0,0)</f>
        <v>46295.5</v>
      </c>
      <c r="D2222" s="3" t="str" cm="1">
        <f t="array" ref="D2222">choice(Settings!K:K,1,Settings!$B$16)</f>
        <v>vendredi pm</v>
      </c>
    </row>
    <row r="2223" spans="1:4" x14ac:dyDescent="0.25">
      <c r="A2223" s="2" t="str" cm="1">
        <f t="array" ref="A2223">choice(Professeurs!A:A,1,Settings!$B$16)</f>
        <v>Prof4</v>
      </c>
      <c r="B2223" s="3" cm="1">
        <f t="array" ref="B2223">alea_date(Settings!$B$11,360,Settings!$B$8+alea_int(4,0,Settings!$B$16),Settings!$B$16)</f>
        <v>46332.375</v>
      </c>
      <c r="C2223" s="3" cm="1">
        <f t="array" ref="C2223">B2223+TIME(alea_int(5,1,Settings!$B$16),0,0)</f>
        <v>46332.583333333336</v>
      </c>
      <c r="D2223" s="3" t="str" cm="1">
        <f t="array" ref="D2223">choice(Settings!K:K,1,Settings!$B$16)</f>
        <v/>
      </c>
    </row>
    <row r="2224" spans="1:4" x14ac:dyDescent="0.25">
      <c r="A2224" s="2" t="str" cm="1">
        <f t="array" ref="A2224">choice(Professeurs!A:A,1,Settings!$B$16)</f>
        <v>Prof2</v>
      </c>
      <c r="B2224" s="3" cm="1">
        <f t="array" ref="B2224">alea_date(Settings!$B$11,360,Settings!$B$8+alea_int(4,0,Settings!$B$16),Settings!$B$16)</f>
        <v>46336.375</v>
      </c>
      <c r="C2224" s="3" cm="1">
        <f t="array" ref="C2224">B2224+TIME(alea_int(5,1,Settings!$B$16),0,0)</f>
        <v>46336.5</v>
      </c>
      <c r="D2224" s="3" t="str" cm="1">
        <f t="array" ref="D2224">choice(Settings!K:K,1,Settings!$B$16)</f>
        <v/>
      </c>
    </row>
    <row r="2225" spans="1:4" x14ac:dyDescent="0.25">
      <c r="A2225" s="2" t="str" cm="1">
        <f t="array" ref="A2225">choice(Professeurs!A:A,1,Settings!$B$16)</f>
        <v>Prof1</v>
      </c>
      <c r="B2225" s="3" cm="1">
        <f t="array" ref="B2225">alea_date(Settings!$B$11,360,Settings!$B$8+alea_int(4,0,Settings!$B$16),Settings!$B$16)</f>
        <v>46364.375</v>
      </c>
      <c r="C2225" s="3" cm="1">
        <f t="array" ref="C2225">B2225+TIME(alea_int(5,1,Settings!$B$16),0,0)</f>
        <v>46364.583333333336</v>
      </c>
      <c r="D2225" s="3" t="str" cm="1">
        <f t="array" ref="D2225">choice(Settings!K:K,1,Settings!$B$16)</f>
        <v/>
      </c>
    </row>
    <row r="2226" spans="1:4" x14ac:dyDescent="0.25">
      <c r="A2226" s="2" t="str" cm="1">
        <f t="array" ref="A2226">choice(Professeurs!A:A,1,Settings!$B$16)</f>
        <v>Prof21</v>
      </c>
      <c r="B2226" s="3" cm="1">
        <f t="array" ref="B2226">alea_date(Settings!$B$11,360,Settings!$B$8+alea_int(4,0,Settings!$B$16),Settings!$B$16)</f>
        <v>46146.416666666664</v>
      </c>
      <c r="C2226" s="3" cm="1">
        <f t="array" ref="C2226">B2226+TIME(alea_int(5,1,Settings!$B$16),0,0)</f>
        <v>46146.458333333328</v>
      </c>
      <c r="D2226" s="3" t="str" cm="1">
        <f t="array" ref="D2226">choice(Settings!K:K,1,Settings!$B$16)</f>
        <v>mercredi pm</v>
      </c>
    </row>
    <row r="2227" spans="1:4" x14ac:dyDescent="0.25">
      <c r="A2227" s="2" t="str" cm="1">
        <f t="array" ref="A2227">choice(Professeurs!A:A,1,Settings!$B$16)</f>
        <v>Prof14</v>
      </c>
      <c r="B2227" s="3" cm="1">
        <f t="array" ref="B2227">alea_date(Settings!$B$11,360,Settings!$B$8+alea_int(4,0,Settings!$B$16),Settings!$B$16)</f>
        <v>46318.375</v>
      </c>
      <c r="C2227" s="3" cm="1">
        <f t="array" ref="C2227">B2227+TIME(alea_int(5,1,Settings!$B$16),0,0)</f>
        <v>46318.583333333336</v>
      </c>
      <c r="D2227" s="3" t="str" cm="1">
        <f t="array" ref="D2227">choice(Settings!K:K,1,Settings!$B$16)</f>
        <v/>
      </c>
    </row>
    <row r="2228" spans="1:4" x14ac:dyDescent="0.25">
      <c r="A2228" s="2" t="str" cm="1">
        <f t="array" ref="A2228">choice(Professeurs!A:A,1,Settings!$B$16)</f>
        <v>Prof1</v>
      </c>
      <c r="B2228" s="3" cm="1">
        <f t="array" ref="B2228">alea_date(Settings!$B$11,360,Settings!$B$8+alea_int(4,0,Settings!$B$16),Settings!$B$16)</f>
        <v>46276.333333333336</v>
      </c>
      <c r="C2228" s="3" cm="1">
        <f t="array" ref="C2228">B2228+TIME(alea_int(5,1,Settings!$B$16),0,0)</f>
        <v>46276.375</v>
      </c>
      <c r="D2228" s="3" t="str" cm="1">
        <f t="array" ref="D2228">choice(Settings!K:K,1,Settings!$B$16)</f>
        <v/>
      </c>
    </row>
    <row r="2229" spans="1:4" x14ac:dyDescent="0.25">
      <c r="A2229" s="2" t="str" cm="1">
        <f t="array" ref="A2229">choice(Professeurs!A:A,1,Settings!$B$16)</f>
        <v>Prof27</v>
      </c>
      <c r="B2229" s="3" cm="1">
        <f t="array" ref="B2229">alea_date(Settings!$B$11,360,Settings!$B$8+alea_int(4,0,Settings!$B$16),Settings!$B$16)</f>
        <v>46064.458333333336</v>
      </c>
      <c r="C2229" s="3" cm="1">
        <f t="array" ref="C2229">B2229+TIME(alea_int(5,1,Settings!$B$16),0,0)</f>
        <v>46064.625</v>
      </c>
      <c r="D2229" s="3" t="str" cm="1">
        <f t="array" ref="D2229">choice(Settings!K:K,1,Settings!$B$16)</f>
        <v/>
      </c>
    </row>
    <row r="2230" spans="1:4" x14ac:dyDescent="0.25">
      <c r="A2230" s="2" t="str" cm="1">
        <f t="array" ref="A2230">choice(Professeurs!A:A,1,Settings!$B$16)</f>
        <v>Prof12</v>
      </c>
      <c r="B2230" s="3" cm="1">
        <f t="array" ref="B2230">alea_date(Settings!$B$11,360,Settings!$B$8+alea_int(4,0,Settings!$B$16),Settings!$B$16)</f>
        <v>46318.416666666664</v>
      </c>
      <c r="C2230" s="3" cm="1">
        <f t="array" ref="C2230">B2230+TIME(alea_int(5,1,Settings!$B$16),0,0)</f>
        <v>46318.625</v>
      </c>
      <c r="D2230" s="3" t="str" cm="1">
        <f t="array" ref="D2230">choice(Settings!K:K,1,Settings!$B$16)</f>
        <v/>
      </c>
    </row>
    <row r="2231" spans="1:4" x14ac:dyDescent="0.25">
      <c r="A2231" s="2" t="str" cm="1">
        <f t="array" ref="A2231">choice(Professeurs!A:A,1,Settings!$B$16)</f>
        <v>Prof46</v>
      </c>
      <c r="B2231" s="3" cm="1">
        <f t="array" ref="B2231">alea_date(Settings!$B$11,360,Settings!$B$8+alea_int(4,0,Settings!$B$16),Settings!$B$16)</f>
        <v>46332.416666666664</v>
      </c>
      <c r="C2231" s="3" cm="1">
        <f t="array" ref="C2231">B2231+TIME(alea_int(5,1,Settings!$B$16),0,0)</f>
        <v>46332.5</v>
      </c>
      <c r="D2231" s="3" t="str" cm="1">
        <f t="array" ref="D2231">choice(Settings!K:K,1,Settings!$B$16)</f>
        <v/>
      </c>
    </row>
    <row r="2232" spans="1:4" x14ac:dyDescent="0.25">
      <c r="A2232" s="2" t="str" cm="1">
        <f t="array" ref="A2232">choice(Professeurs!A:A,1,Settings!$B$16)</f>
        <v>Prof33</v>
      </c>
      <c r="B2232" s="3" cm="1">
        <f t="array" ref="B2232">alea_date(Settings!$B$11,360,Settings!$B$8+alea_int(4,0,Settings!$B$16),Settings!$B$16)</f>
        <v>46190.416666666664</v>
      </c>
      <c r="C2232" s="3" cm="1">
        <f t="array" ref="C2232">B2232+TIME(alea_int(5,1,Settings!$B$16),0,0)</f>
        <v>46190.458333333328</v>
      </c>
      <c r="D2232" s="3" t="str" cm="1">
        <f t="array" ref="D2232">choice(Settings!K:K,1,Settings!$B$16)</f>
        <v/>
      </c>
    </row>
    <row r="2233" spans="1:4" x14ac:dyDescent="0.25">
      <c r="A2233" s="2" t="str" cm="1">
        <f t="array" ref="A2233">choice(Professeurs!A:A,1,Settings!$B$16)</f>
        <v>Prof25</v>
      </c>
      <c r="B2233" s="3" cm="1">
        <f t="array" ref="B2233">alea_date(Settings!$B$11,360,Settings!$B$8+alea_int(4,0,Settings!$B$16),Settings!$B$16)</f>
        <v>46034.375</v>
      </c>
      <c r="C2233" s="3" cm="1">
        <f t="array" ref="C2233">B2233+TIME(alea_int(5,1,Settings!$B$16),0,0)</f>
        <v>46034.458333333336</v>
      </c>
      <c r="D2233" s="3" t="str" cm="1">
        <f t="array" ref="D2233">choice(Settings!K:K,1,Settings!$B$16)</f>
        <v>mardi pm</v>
      </c>
    </row>
    <row r="2234" spans="1:4" x14ac:dyDescent="0.25">
      <c r="A2234" s="2" t="str" cm="1">
        <f t="array" ref="A2234">choice(Professeurs!A:A,1,Settings!$B$16)</f>
        <v>Prof11</v>
      </c>
      <c r="B2234" s="3" cm="1">
        <f t="array" ref="B2234">alea_date(Settings!$B$11,360,Settings!$B$8+alea_int(4,0,Settings!$B$16),Settings!$B$16)</f>
        <v>46204.416666666664</v>
      </c>
      <c r="C2234" s="3" cm="1">
        <f t="array" ref="C2234">B2234+TIME(alea_int(5,1,Settings!$B$16),0,0)</f>
        <v>46204.541666666664</v>
      </c>
      <c r="D2234" s="3" t="str" cm="1">
        <f t="array" ref="D2234">choice(Settings!K:K,1,Settings!$B$16)</f>
        <v/>
      </c>
    </row>
    <row r="2235" spans="1:4" x14ac:dyDescent="0.25">
      <c r="A2235" s="2" t="str" cm="1">
        <f t="array" ref="A2235">choice(Professeurs!A:A,1,Settings!$B$16)</f>
        <v>Prof44</v>
      </c>
      <c r="B2235" s="3" cm="1">
        <f t="array" ref="B2235">alea_date(Settings!$B$11,360,Settings!$B$8+alea_int(4,0,Settings!$B$16),Settings!$B$16)</f>
        <v>46181.333333333336</v>
      </c>
      <c r="C2235" s="3" cm="1">
        <f t="array" ref="C2235">B2235+TIME(alea_int(5,1,Settings!$B$16),0,0)</f>
        <v>46181.5</v>
      </c>
      <c r="D2235" s="3" t="str" cm="1">
        <f t="array" ref="D2235">choice(Settings!K:K,1,Settings!$B$16)</f>
        <v/>
      </c>
    </row>
    <row r="2236" spans="1:4" x14ac:dyDescent="0.25">
      <c r="A2236" s="2" t="str" cm="1">
        <f t="array" ref="A2236">choice(Professeurs!A:A,1,Settings!$B$16)</f>
        <v>Prof28</v>
      </c>
      <c r="B2236" s="3" cm="1">
        <f t="array" ref="B2236">alea_date(Settings!$B$11,360,Settings!$B$8+alea_int(4,0,Settings!$B$16),Settings!$B$16)</f>
        <v>46240.458333333336</v>
      </c>
      <c r="C2236" s="3" cm="1">
        <f t="array" ref="C2236">B2236+TIME(alea_int(5,1,Settings!$B$16),0,0)</f>
        <v>46240.625</v>
      </c>
      <c r="D2236" s="3" t="str" cm="1">
        <f t="array" ref="D2236">choice(Settings!K:K,1,Settings!$B$16)</f>
        <v/>
      </c>
    </row>
    <row r="2237" spans="1:4" x14ac:dyDescent="0.25">
      <c r="A2237" s="2" t="str" cm="1">
        <f t="array" ref="A2237">choice(Professeurs!A:A,1,Settings!$B$16)</f>
        <v>Prof20</v>
      </c>
      <c r="B2237" s="3" cm="1">
        <f t="array" ref="B2237">alea_date(Settings!$B$11,360,Settings!$B$8+alea_int(4,0,Settings!$B$16),Settings!$B$16)</f>
        <v>46257.458333333336</v>
      </c>
      <c r="C2237" s="3" cm="1">
        <f t="array" ref="C2237">B2237+TIME(alea_int(5,1,Settings!$B$16),0,0)</f>
        <v>46257.5</v>
      </c>
      <c r="D2237" s="3" t="str" cm="1">
        <f t="array" ref="D2237">choice(Settings!K:K,1,Settings!$B$16)</f>
        <v/>
      </c>
    </row>
    <row r="2238" spans="1:4" x14ac:dyDescent="0.25">
      <c r="A2238" s="2" t="str" cm="1">
        <f t="array" ref="A2238">choice(Professeurs!A:A,1,Settings!$B$16)</f>
        <v>Prof36</v>
      </c>
      <c r="B2238" s="3" cm="1">
        <f t="array" ref="B2238">alea_date(Settings!$B$11,360,Settings!$B$8+alea_int(4,0,Settings!$B$16),Settings!$B$16)</f>
        <v>46087.416666666664</v>
      </c>
      <c r="C2238" s="3" cm="1">
        <f t="array" ref="C2238">B2238+TIME(alea_int(5,1,Settings!$B$16),0,0)</f>
        <v>46087.458333333328</v>
      </c>
      <c r="D2238" s="3" t="str" cm="1">
        <f t="array" ref="D2238">choice(Settings!K:K,1,Settings!$B$16)</f>
        <v>mardi pm</v>
      </c>
    </row>
    <row r="2239" spans="1:4" x14ac:dyDescent="0.25">
      <c r="A2239" s="2" t="str" cm="1">
        <f t="array" ref="A2239">choice(Professeurs!A:A,1,Settings!$B$16)</f>
        <v>Prof24</v>
      </c>
      <c r="B2239" s="3" cm="1">
        <f t="array" ref="B2239">alea_date(Settings!$B$11,360,Settings!$B$8+alea_int(4,0,Settings!$B$16),Settings!$B$16)</f>
        <v>46216.416666666664</v>
      </c>
      <c r="C2239" s="3" cm="1">
        <f t="array" ref="C2239">B2239+TIME(alea_int(5,1,Settings!$B$16),0,0)</f>
        <v>46216.625</v>
      </c>
      <c r="D2239" s="3" t="str" cm="1">
        <f t="array" ref="D2239">choice(Settings!K:K,1,Settings!$B$16)</f>
        <v>jeudi am</v>
      </c>
    </row>
    <row r="2240" spans="1:4" x14ac:dyDescent="0.25">
      <c r="A2240" s="2" t="str" cm="1">
        <f t="array" ref="A2240">choice(Professeurs!A:A,1,Settings!$B$16)</f>
        <v>Prof23</v>
      </c>
      <c r="B2240" s="3" cm="1">
        <f t="array" ref="B2240">alea_date(Settings!$B$11,360,Settings!$B$8+alea_int(4,0,Settings!$B$16),Settings!$B$16)</f>
        <v>46106.416666666664</v>
      </c>
      <c r="C2240" s="3" cm="1">
        <f t="array" ref="C2240">B2240+TIME(alea_int(5,1,Settings!$B$16),0,0)</f>
        <v>46106.583333333328</v>
      </c>
      <c r="D2240" s="3" t="str" cm="1">
        <f t="array" ref="D2240">choice(Settings!K:K,1,Settings!$B$16)</f>
        <v/>
      </c>
    </row>
    <row r="2241" spans="1:4" x14ac:dyDescent="0.25">
      <c r="A2241" s="2" t="str" cm="1">
        <f t="array" ref="A2241">choice(Professeurs!A:A,1,Settings!$B$16)</f>
        <v>Prof33</v>
      </c>
      <c r="B2241" s="3" cm="1">
        <f t="array" ref="B2241">alea_date(Settings!$B$11,360,Settings!$B$8+alea_int(4,0,Settings!$B$16),Settings!$B$16)</f>
        <v>46047.458333333336</v>
      </c>
      <c r="C2241" s="3" cm="1">
        <f t="array" ref="C2241">B2241+TIME(alea_int(5,1,Settings!$B$16),0,0)</f>
        <v>46047.5</v>
      </c>
      <c r="D2241" s="3" t="str" cm="1">
        <f t="array" ref="D2241">choice(Settings!K:K,1,Settings!$B$16)</f>
        <v/>
      </c>
    </row>
    <row r="2242" spans="1:4" x14ac:dyDescent="0.25">
      <c r="A2242" s="2" t="str" cm="1">
        <f t="array" ref="A2242">choice(Professeurs!A:A,1,Settings!$B$16)</f>
        <v>Prof36</v>
      </c>
      <c r="B2242" s="3" cm="1">
        <f t="array" ref="B2242">alea_date(Settings!$B$11,360,Settings!$B$8+alea_int(4,0,Settings!$B$16),Settings!$B$16)</f>
        <v>46026.375</v>
      </c>
      <c r="C2242" s="3" cm="1">
        <f t="array" ref="C2242">B2242+TIME(alea_int(5,1,Settings!$B$16),0,0)</f>
        <v>46026.583333333336</v>
      </c>
      <c r="D2242" s="3" t="str" cm="1">
        <f t="array" ref="D2242">choice(Settings!K:K,1,Settings!$B$16)</f>
        <v>jeudi am</v>
      </c>
    </row>
    <row r="2243" spans="1:4" x14ac:dyDescent="0.25">
      <c r="A2243" s="2" t="str" cm="1">
        <f t="array" ref="A2243">choice(Professeurs!A:A,1,Settings!$B$16)</f>
        <v>Prof17</v>
      </c>
      <c r="B2243" s="3" cm="1">
        <f t="array" ref="B2243">alea_date(Settings!$B$11,360,Settings!$B$8+alea_int(4,0,Settings!$B$16),Settings!$B$16)</f>
        <v>46042.458333333336</v>
      </c>
      <c r="C2243" s="3" cm="1">
        <f t="array" ref="C2243">B2243+TIME(alea_int(5,1,Settings!$B$16),0,0)</f>
        <v>46042.583333333336</v>
      </c>
      <c r="D2243" s="3" t="str" cm="1">
        <f t="array" ref="D2243">choice(Settings!K:K,1,Settings!$B$16)</f>
        <v>vendredi am</v>
      </c>
    </row>
    <row r="2244" spans="1:4" x14ac:dyDescent="0.25">
      <c r="A2244" s="2" t="str" cm="1">
        <f t="array" ref="A2244">choice(Professeurs!A:A,1,Settings!$B$16)</f>
        <v>Prof14</v>
      </c>
      <c r="B2244" s="3" cm="1">
        <f t="array" ref="B2244">alea_date(Settings!$B$11,360,Settings!$B$8+alea_int(4,0,Settings!$B$16),Settings!$B$16)</f>
        <v>46169.375</v>
      </c>
      <c r="C2244" s="3" cm="1">
        <f t="array" ref="C2244">B2244+TIME(alea_int(5,1,Settings!$B$16),0,0)</f>
        <v>46169.458333333336</v>
      </c>
      <c r="D2244" s="3" t="str" cm="1">
        <f t="array" ref="D2244">choice(Settings!K:K,1,Settings!$B$16)</f>
        <v/>
      </c>
    </row>
    <row r="2245" spans="1:4" x14ac:dyDescent="0.25">
      <c r="A2245" s="2" t="str" cm="1">
        <f t="array" ref="A2245">choice(Professeurs!A:A,1,Settings!$B$16)</f>
        <v>Prof42</v>
      </c>
      <c r="B2245" s="3" cm="1">
        <f t="array" ref="B2245">alea_date(Settings!$B$11,360,Settings!$B$8+alea_int(4,0,Settings!$B$16),Settings!$B$16)</f>
        <v>46068.416666666664</v>
      </c>
      <c r="C2245" s="3" cm="1">
        <f t="array" ref="C2245">B2245+TIME(alea_int(5,1,Settings!$B$16),0,0)</f>
        <v>46068.458333333328</v>
      </c>
      <c r="D2245" s="3" t="str" cm="1">
        <f t="array" ref="D2245">choice(Settings!K:K,1,Settings!$B$16)</f>
        <v>jeudi pm</v>
      </c>
    </row>
    <row r="2246" spans="1:4" x14ac:dyDescent="0.25">
      <c r="A2246" s="2" t="str" cm="1">
        <f t="array" ref="A2246">choice(Professeurs!A:A,1,Settings!$B$16)</f>
        <v>Prof26</v>
      </c>
      <c r="B2246" s="3" cm="1">
        <f t="array" ref="B2246">alea_date(Settings!$B$11,360,Settings!$B$8+alea_int(4,0,Settings!$B$16),Settings!$B$16)</f>
        <v>46272.416666666664</v>
      </c>
      <c r="C2246" s="3" cm="1">
        <f t="array" ref="C2246">B2246+TIME(alea_int(5,1,Settings!$B$16),0,0)</f>
        <v>46272.5</v>
      </c>
      <c r="D2246" s="3" t="str" cm="1">
        <f t="array" ref="D2246">choice(Settings!K:K,1,Settings!$B$16)</f>
        <v/>
      </c>
    </row>
    <row r="2247" spans="1:4" x14ac:dyDescent="0.25">
      <c r="A2247" s="2" t="str" cm="1">
        <f t="array" ref="A2247">choice(Professeurs!A:A,1,Settings!$B$16)</f>
        <v>Prof48</v>
      </c>
      <c r="B2247" s="3" cm="1">
        <f t="array" ref="B2247">alea_date(Settings!$B$11,360,Settings!$B$8+alea_int(4,0,Settings!$B$16),Settings!$B$16)</f>
        <v>46127.416666666664</v>
      </c>
      <c r="C2247" s="3" cm="1">
        <f t="array" ref="C2247">B2247+TIME(alea_int(5,1,Settings!$B$16),0,0)</f>
        <v>46127.541666666664</v>
      </c>
      <c r="D2247" s="3" t="str" cm="1">
        <f t="array" ref="D2247">choice(Settings!K:K,1,Settings!$B$16)</f>
        <v/>
      </c>
    </row>
    <row r="2248" spans="1:4" x14ac:dyDescent="0.25">
      <c r="A2248" s="2" t="str" cm="1">
        <f t="array" ref="A2248">choice(Professeurs!A:A,1,Settings!$B$16)</f>
        <v>Prof22</v>
      </c>
      <c r="B2248" s="3" cm="1">
        <f t="array" ref="B2248">alea_date(Settings!$B$11,360,Settings!$B$8+alea_int(4,0,Settings!$B$16),Settings!$B$16)</f>
        <v>46379.458333333336</v>
      </c>
      <c r="C2248" s="3" cm="1">
        <f t="array" ref="C2248">B2248+TIME(alea_int(5,1,Settings!$B$16),0,0)</f>
        <v>46379.541666666672</v>
      </c>
      <c r="D2248" s="3" t="str" cm="1">
        <f t="array" ref="D2248">choice(Settings!K:K,1,Settings!$B$16)</f>
        <v/>
      </c>
    </row>
    <row r="2249" spans="1:4" x14ac:dyDescent="0.25">
      <c r="A2249" s="2" t="str" cm="1">
        <f t="array" ref="A2249">choice(Professeurs!A:A,1,Settings!$B$16)</f>
        <v>Prof54</v>
      </c>
      <c r="B2249" s="3" cm="1">
        <f t="array" ref="B2249">alea_date(Settings!$B$11,360,Settings!$B$8+alea_int(4,0,Settings!$B$16),Settings!$B$16)</f>
        <v>46120.333333333336</v>
      </c>
      <c r="C2249" s="3" cm="1">
        <f t="array" ref="C2249">B2249+TIME(alea_int(5,1,Settings!$B$16),0,0)</f>
        <v>46120.458333333336</v>
      </c>
      <c r="D2249" s="3" t="str" cm="1">
        <f t="array" ref="D2249">choice(Settings!K:K,1,Settings!$B$16)</f>
        <v>vendredi pm</v>
      </c>
    </row>
    <row r="2250" spans="1:4" x14ac:dyDescent="0.25">
      <c r="A2250" s="2" t="str" cm="1">
        <f t="array" ref="A2250">choice(Professeurs!A:A,1,Settings!$B$16)</f>
        <v>Prof19</v>
      </c>
      <c r="B2250" s="3" cm="1">
        <f t="array" ref="B2250">alea_date(Settings!$B$11,360,Settings!$B$8+alea_int(4,0,Settings!$B$16),Settings!$B$16)</f>
        <v>46229.375</v>
      </c>
      <c r="C2250" s="3" cm="1">
        <f t="array" ref="C2250">B2250+TIME(alea_int(5,1,Settings!$B$16),0,0)</f>
        <v>46229.458333333336</v>
      </c>
      <c r="D2250" s="3" t="str" cm="1">
        <f t="array" ref="D2250">choice(Settings!K:K,1,Settings!$B$16)</f>
        <v/>
      </c>
    </row>
    <row r="2251" spans="1:4" x14ac:dyDescent="0.25">
      <c r="A2251" s="2" t="str" cm="1">
        <f t="array" ref="A2251">choice(Professeurs!A:A,1,Settings!$B$16)</f>
        <v>Prof20</v>
      </c>
      <c r="B2251" s="3" cm="1">
        <f t="array" ref="B2251">alea_date(Settings!$B$11,360,Settings!$B$8+alea_int(4,0,Settings!$B$16),Settings!$B$16)</f>
        <v>46367.333333333336</v>
      </c>
      <c r="C2251" s="3" cm="1">
        <f t="array" ref="C2251">B2251+TIME(alea_int(5,1,Settings!$B$16),0,0)</f>
        <v>46367.375</v>
      </c>
      <c r="D2251" s="3" t="str" cm="1">
        <f t="array" ref="D2251">choice(Settings!K:K,1,Settings!$B$16)</f>
        <v/>
      </c>
    </row>
    <row r="2252" spans="1:4" x14ac:dyDescent="0.25">
      <c r="A2252" s="2" t="str" cm="1">
        <f t="array" ref="A2252">choice(Professeurs!A:A,1,Settings!$B$16)</f>
        <v>Prof11</v>
      </c>
      <c r="B2252" s="3" cm="1">
        <f t="array" ref="B2252">alea_date(Settings!$B$11,360,Settings!$B$8+alea_int(4,0,Settings!$B$16),Settings!$B$16)</f>
        <v>46118.333333333336</v>
      </c>
      <c r="C2252" s="3" cm="1">
        <f t="array" ref="C2252">B2252+TIME(alea_int(5,1,Settings!$B$16),0,0)</f>
        <v>46118.458333333336</v>
      </c>
      <c r="D2252" s="3" t="str" cm="1">
        <f t="array" ref="D2252">choice(Settings!K:K,1,Settings!$B$16)</f>
        <v>mardi pm</v>
      </c>
    </row>
    <row r="2253" spans="1:4" x14ac:dyDescent="0.25">
      <c r="A2253" s="2" t="str" cm="1">
        <f t="array" ref="A2253">choice(Professeurs!A:A,1,Settings!$B$16)</f>
        <v>Prof54</v>
      </c>
      <c r="B2253" s="3" cm="1">
        <f t="array" ref="B2253">alea_date(Settings!$B$11,360,Settings!$B$8+alea_int(4,0,Settings!$B$16),Settings!$B$16)</f>
        <v>46167.333333333336</v>
      </c>
      <c r="C2253" s="3" cm="1">
        <f t="array" ref="C2253">B2253+TIME(alea_int(5,1,Settings!$B$16),0,0)</f>
        <v>46167.5</v>
      </c>
      <c r="D2253" s="3" t="str" cm="1">
        <f t="array" ref="D2253">choice(Settings!K:K,1,Settings!$B$16)</f>
        <v/>
      </c>
    </row>
    <row r="2254" spans="1:4" x14ac:dyDescent="0.25">
      <c r="A2254" s="2" t="str" cm="1">
        <f t="array" ref="A2254">choice(Professeurs!A:A,1,Settings!$B$16)</f>
        <v>Prof4</v>
      </c>
      <c r="B2254" s="3" cm="1">
        <f t="array" ref="B2254">alea_date(Settings!$B$11,360,Settings!$B$8+alea_int(4,0,Settings!$B$16),Settings!$B$16)</f>
        <v>46370.458333333336</v>
      </c>
      <c r="C2254" s="3" cm="1">
        <f t="array" ref="C2254">B2254+TIME(alea_int(5,1,Settings!$B$16),0,0)</f>
        <v>46370.666666666672</v>
      </c>
      <c r="D2254" s="3" t="str" cm="1">
        <f t="array" ref="D2254">choice(Settings!K:K,1,Settings!$B$16)</f>
        <v>vendredi am</v>
      </c>
    </row>
    <row r="2255" spans="1:4" x14ac:dyDescent="0.25">
      <c r="A2255" s="2" t="str" cm="1">
        <f t="array" ref="A2255">choice(Professeurs!A:A,1,Settings!$B$16)</f>
        <v>Prof8</v>
      </c>
      <c r="B2255" s="3" cm="1">
        <f t="array" ref="B2255">alea_date(Settings!$B$11,360,Settings!$B$8+alea_int(4,0,Settings!$B$16),Settings!$B$16)</f>
        <v>46311.333333333336</v>
      </c>
      <c r="C2255" s="3" cm="1">
        <f t="array" ref="C2255">B2255+TIME(alea_int(5,1,Settings!$B$16),0,0)</f>
        <v>46311.416666666672</v>
      </c>
      <c r="D2255" s="3" t="str" cm="1">
        <f t="array" ref="D2255">choice(Settings!K:K,1,Settings!$B$16)</f>
        <v/>
      </c>
    </row>
    <row r="2256" spans="1:4" x14ac:dyDescent="0.25">
      <c r="A2256" s="2" t="str" cm="1">
        <f t="array" ref="A2256">choice(Professeurs!A:A,1,Settings!$B$16)</f>
        <v>Prof6</v>
      </c>
      <c r="B2256" s="3" cm="1">
        <f t="array" ref="B2256">alea_date(Settings!$B$11,360,Settings!$B$8+alea_int(4,0,Settings!$B$16),Settings!$B$16)</f>
        <v>46065.416666666664</v>
      </c>
      <c r="C2256" s="3" cm="1">
        <f t="array" ref="C2256">B2256+TIME(alea_int(5,1,Settings!$B$16),0,0)</f>
        <v>46065.541666666664</v>
      </c>
      <c r="D2256" s="3" t="str" cm="1">
        <f t="array" ref="D2256">choice(Settings!K:K,1,Settings!$B$16)</f>
        <v>mardi pm</v>
      </c>
    </row>
    <row r="2257" spans="1:4" x14ac:dyDescent="0.25">
      <c r="A2257" s="2" t="str" cm="1">
        <f t="array" ref="A2257">choice(Professeurs!A:A,1,Settings!$B$16)</f>
        <v>Prof42</v>
      </c>
      <c r="B2257" s="3" cm="1">
        <f t="array" ref="B2257">alea_date(Settings!$B$11,360,Settings!$B$8+alea_int(4,0,Settings!$B$16),Settings!$B$16)</f>
        <v>46038.375</v>
      </c>
      <c r="C2257" s="3" cm="1">
        <f t="array" ref="C2257">B2257+TIME(alea_int(5,1,Settings!$B$16),0,0)</f>
        <v>46038.458333333336</v>
      </c>
      <c r="D2257" s="3" t="str" cm="1">
        <f t="array" ref="D2257">choice(Settings!K:K,1,Settings!$B$16)</f>
        <v>semaine</v>
      </c>
    </row>
    <row r="2258" spans="1:4" x14ac:dyDescent="0.25">
      <c r="A2258" s="2" t="str" cm="1">
        <f t="array" ref="A2258">choice(Professeurs!A:A,1,Settings!$B$16)</f>
        <v>Prof22</v>
      </c>
      <c r="B2258" s="3" cm="1">
        <f t="array" ref="B2258">alea_date(Settings!$B$11,360,Settings!$B$8+alea_int(4,0,Settings!$B$16),Settings!$B$16)</f>
        <v>46147.416666666664</v>
      </c>
      <c r="C2258" s="3" cm="1">
        <f t="array" ref="C2258">B2258+TIME(alea_int(5,1,Settings!$B$16),0,0)</f>
        <v>46147.458333333328</v>
      </c>
      <c r="D2258" s="3" t="str" cm="1">
        <f t="array" ref="D2258">choice(Settings!K:K,1,Settings!$B$16)</f>
        <v/>
      </c>
    </row>
    <row r="2259" spans="1:4" x14ac:dyDescent="0.25">
      <c r="A2259" s="2" t="str" cm="1">
        <f t="array" ref="A2259">choice(Professeurs!A:A,1,Settings!$B$16)</f>
        <v>Prof52</v>
      </c>
      <c r="B2259" s="3" cm="1">
        <f t="array" ref="B2259">alea_date(Settings!$B$11,360,Settings!$B$8+alea_int(4,0,Settings!$B$16),Settings!$B$16)</f>
        <v>46136.416666666664</v>
      </c>
      <c r="C2259" s="3" cm="1">
        <f t="array" ref="C2259">B2259+TIME(alea_int(5,1,Settings!$B$16),0,0)</f>
        <v>46136.625</v>
      </c>
      <c r="D2259" s="3" t="str" cm="1">
        <f t="array" ref="D2259">choice(Settings!K:K,1,Settings!$B$16)</f>
        <v>jeudi am</v>
      </c>
    </row>
    <row r="2260" spans="1:4" x14ac:dyDescent="0.25">
      <c r="A2260" s="2" t="str" cm="1">
        <f t="array" ref="A2260">choice(Professeurs!A:A,1,Settings!$B$16)</f>
        <v>Prof41</v>
      </c>
      <c r="B2260" s="3" cm="1">
        <f t="array" ref="B2260">alea_date(Settings!$B$11,360,Settings!$B$8+alea_int(4,0,Settings!$B$16),Settings!$B$16)</f>
        <v>46382.333333333336</v>
      </c>
      <c r="C2260" s="3" cm="1">
        <f t="array" ref="C2260">B2260+TIME(alea_int(5,1,Settings!$B$16),0,0)</f>
        <v>46382.541666666672</v>
      </c>
      <c r="D2260" s="3" t="str" cm="1">
        <f t="array" ref="D2260">choice(Settings!K:K,1,Settings!$B$16)</f>
        <v/>
      </c>
    </row>
    <row r="2261" spans="1:4" x14ac:dyDescent="0.25">
      <c r="A2261" s="2" t="str" cm="1">
        <f t="array" ref="A2261">choice(Professeurs!A:A,1,Settings!$B$16)</f>
        <v>Prof26</v>
      </c>
      <c r="B2261" s="3" cm="1">
        <f t="array" ref="B2261">alea_date(Settings!$B$11,360,Settings!$B$8+alea_int(4,0,Settings!$B$16),Settings!$B$16)</f>
        <v>46118.416666666664</v>
      </c>
      <c r="C2261" s="3" cm="1">
        <f t="array" ref="C2261">B2261+TIME(alea_int(5,1,Settings!$B$16),0,0)</f>
        <v>46118.541666666664</v>
      </c>
      <c r="D2261" s="3" t="str" cm="1">
        <f t="array" ref="D2261">choice(Settings!K:K,1,Settings!$B$16)</f>
        <v/>
      </c>
    </row>
    <row r="2262" spans="1:4" x14ac:dyDescent="0.25">
      <c r="A2262" s="2" t="str" cm="1">
        <f t="array" ref="A2262">choice(Professeurs!A:A,1,Settings!$B$16)</f>
        <v>Prof39</v>
      </c>
      <c r="B2262" s="3" cm="1">
        <f t="array" ref="B2262">alea_date(Settings!$B$11,360,Settings!$B$8+alea_int(4,0,Settings!$B$16),Settings!$B$16)</f>
        <v>46340.416666666664</v>
      </c>
      <c r="C2262" s="3" cm="1">
        <f t="array" ref="C2262">B2262+TIME(alea_int(5,1,Settings!$B$16),0,0)</f>
        <v>46340.5</v>
      </c>
      <c r="D2262" s="3" t="str" cm="1">
        <f t="array" ref="D2262">choice(Settings!K:K,1,Settings!$B$16)</f>
        <v/>
      </c>
    </row>
    <row r="2263" spans="1:4" x14ac:dyDescent="0.25">
      <c r="A2263" s="2" t="str" cm="1">
        <f t="array" ref="A2263">choice(Professeurs!A:A,1,Settings!$B$16)</f>
        <v>Prof23</v>
      </c>
      <c r="B2263" s="3" cm="1">
        <f t="array" ref="B2263">alea_date(Settings!$B$11,360,Settings!$B$8+alea_int(4,0,Settings!$B$16),Settings!$B$16)</f>
        <v>46248.375</v>
      </c>
      <c r="C2263" s="3" cm="1">
        <f t="array" ref="C2263">B2263+TIME(alea_int(5,1,Settings!$B$16),0,0)</f>
        <v>46248.541666666664</v>
      </c>
      <c r="D2263" s="3" t="str" cm="1">
        <f t="array" ref="D2263">choice(Settings!K:K,1,Settings!$B$16)</f>
        <v/>
      </c>
    </row>
    <row r="2264" spans="1:4" x14ac:dyDescent="0.25">
      <c r="A2264" s="2" t="str" cm="1">
        <f t="array" ref="A2264">choice(Professeurs!A:A,1,Settings!$B$16)</f>
        <v>Prof39</v>
      </c>
      <c r="B2264" s="3" cm="1">
        <f t="array" ref="B2264">alea_date(Settings!$B$11,360,Settings!$B$8+alea_int(4,0,Settings!$B$16),Settings!$B$16)</f>
        <v>46349.375</v>
      </c>
      <c r="C2264" s="3" cm="1">
        <f t="array" ref="C2264">B2264+TIME(alea_int(5,1,Settings!$B$16),0,0)</f>
        <v>46349.583333333336</v>
      </c>
      <c r="D2264" s="3" t="str" cm="1">
        <f t="array" ref="D2264">choice(Settings!K:K,1,Settings!$B$16)</f>
        <v/>
      </c>
    </row>
    <row r="2265" spans="1:4" x14ac:dyDescent="0.25">
      <c r="A2265" s="2" t="str" cm="1">
        <f t="array" ref="A2265">choice(Professeurs!A:A,1,Settings!$B$16)</f>
        <v>Prof42</v>
      </c>
      <c r="B2265" s="3" cm="1">
        <f t="array" ref="B2265">alea_date(Settings!$B$11,360,Settings!$B$8+alea_int(4,0,Settings!$B$16),Settings!$B$16)</f>
        <v>46292.458333333336</v>
      </c>
      <c r="C2265" s="3" cm="1">
        <f t="array" ref="C2265">B2265+TIME(alea_int(5,1,Settings!$B$16),0,0)</f>
        <v>46292.541666666672</v>
      </c>
      <c r="D2265" s="3" t="str" cm="1">
        <f t="array" ref="D2265">choice(Settings!K:K,1,Settings!$B$16)</f>
        <v>jeudi am</v>
      </c>
    </row>
    <row r="2266" spans="1:4" x14ac:dyDescent="0.25">
      <c r="A2266" s="2" t="str" cm="1">
        <f t="array" ref="A2266">choice(Professeurs!A:A,1,Settings!$B$16)</f>
        <v>Prof32</v>
      </c>
      <c r="B2266" s="3" cm="1">
        <f t="array" ref="B2266">alea_date(Settings!$B$11,360,Settings!$B$8+alea_int(4,0,Settings!$B$16),Settings!$B$16)</f>
        <v>46029.375</v>
      </c>
      <c r="C2266" s="3" cm="1">
        <f t="array" ref="C2266">B2266+TIME(alea_int(5,1,Settings!$B$16),0,0)</f>
        <v>46029.458333333336</v>
      </c>
      <c r="D2266" s="3" t="str" cm="1">
        <f t="array" ref="D2266">choice(Settings!K:K,1,Settings!$B$16)</f>
        <v/>
      </c>
    </row>
    <row r="2267" spans="1:4" x14ac:dyDescent="0.25">
      <c r="A2267" s="2" t="str" cm="1">
        <f t="array" ref="A2267">choice(Professeurs!A:A,1,Settings!$B$16)</f>
        <v>Prof10</v>
      </c>
      <c r="B2267" s="3" cm="1">
        <f t="array" ref="B2267">alea_date(Settings!$B$11,360,Settings!$B$8+alea_int(4,0,Settings!$B$16),Settings!$B$16)</f>
        <v>46235.458333333336</v>
      </c>
      <c r="C2267" s="3" cm="1">
        <f t="array" ref="C2267">B2267+TIME(alea_int(5,1,Settings!$B$16),0,0)</f>
        <v>46235.666666666672</v>
      </c>
      <c r="D2267" s="3" t="str" cm="1">
        <f t="array" ref="D2267">choice(Settings!K:K,1,Settings!$B$16)</f>
        <v/>
      </c>
    </row>
    <row r="2268" spans="1:4" x14ac:dyDescent="0.25">
      <c r="A2268" s="2" t="str" cm="1">
        <f t="array" ref="A2268">choice(Professeurs!A:A,1,Settings!$B$16)</f>
        <v>Prof50</v>
      </c>
      <c r="B2268" s="3" cm="1">
        <f t="array" ref="B2268">alea_date(Settings!$B$11,360,Settings!$B$8+alea_int(4,0,Settings!$B$16),Settings!$B$16)</f>
        <v>46199.416666666664</v>
      </c>
      <c r="C2268" s="3" cm="1">
        <f t="array" ref="C2268">B2268+TIME(alea_int(5,1,Settings!$B$16),0,0)</f>
        <v>46199.5</v>
      </c>
      <c r="D2268" s="3" t="str" cm="1">
        <f t="array" ref="D2268">choice(Settings!K:K,1,Settings!$B$16)</f>
        <v/>
      </c>
    </row>
    <row r="2269" spans="1:4" x14ac:dyDescent="0.25">
      <c r="A2269" s="2" t="str" cm="1">
        <f t="array" ref="A2269">choice(Professeurs!A:A,1,Settings!$B$16)</f>
        <v>Prof46</v>
      </c>
      <c r="B2269" s="3" cm="1">
        <f t="array" ref="B2269">alea_date(Settings!$B$11,360,Settings!$B$8+alea_int(4,0,Settings!$B$16),Settings!$B$16)</f>
        <v>46101.416666666664</v>
      </c>
      <c r="C2269" s="3" cm="1">
        <f t="array" ref="C2269">B2269+TIME(alea_int(5,1,Settings!$B$16),0,0)</f>
        <v>46101.625</v>
      </c>
      <c r="D2269" s="3" t="str" cm="1">
        <f t="array" ref="D2269">choice(Settings!K:K,1,Settings!$B$16)</f>
        <v/>
      </c>
    </row>
    <row r="2270" spans="1:4" x14ac:dyDescent="0.25">
      <c r="A2270" s="2" t="str" cm="1">
        <f t="array" ref="A2270">choice(Professeurs!A:A,1,Settings!$B$16)</f>
        <v>Prof48</v>
      </c>
      <c r="B2270" s="3" cm="1">
        <f t="array" ref="B2270">alea_date(Settings!$B$11,360,Settings!$B$8+alea_int(4,0,Settings!$B$16),Settings!$B$16)</f>
        <v>46227.416666666664</v>
      </c>
      <c r="C2270" s="3" cm="1">
        <f t="array" ref="C2270">B2270+TIME(alea_int(5,1,Settings!$B$16),0,0)</f>
        <v>46227.541666666664</v>
      </c>
      <c r="D2270" s="3" t="str" cm="1">
        <f t="array" ref="D2270">choice(Settings!K:K,1,Settings!$B$16)</f>
        <v/>
      </c>
    </row>
    <row r="2271" spans="1:4" x14ac:dyDescent="0.25">
      <c r="A2271" s="2" t="str" cm="1">
        <f t="array" ref="A2271">choice(Professeurs!A:A,1,Settings!$B$16)</f>
        <v>Prof28</v>
      </c>
      <c r="B2271" s="3" cm="1">
        <f t="array" ref="B2271">alea_date(Settings!$B$11,360,Settings!$B$8+alea_int(4,0,Settings!$B$16),Settings!$B$16)</f>
        <v>46162.375</v>
      </c>
      <c r="C2271" s="3" cm="1">
        <f t="array" ref="C2271">B2271+TIME(alea_int(5,1,Settings!$B$16),0,0)</f>
        <v>46162.5</v>
      </c>
      <c r="D2271" s="3" t="str" cm="1">
        <f t="array" ref="D2271">choice(Settings!K:K,1,Settings!$B$16)</f>
        <v/>
      </c>
    </row>
    <row r="2272" spans="1:4" x14ac:dyDescent="0.25">
      <c r="A2272" s="2" t="str" cm="1">
        <f t="array" ref="A2272">choice(Professeurs!A:A,1,Settings!$B$16)</f>
        <v>Prof8</v>
      </c>
      <c r="B2272" s="3" cm="1">
        <f t="array" ref="B2272">alea_date(Settings!$B$11,360,Settings!$B$8+alea_int(4,0,Settings!$B$16),Settings!$B$16)</f>
        <v>46383.458333333336</v>
      </c>
      <c r="C2272" s="3" cm="1">
        <f t="array" ref="C2272">B2272+TIME(alea_int(5,1,Settings!$B$16),0,0)</f>
        <v>46383.5</v>
      </c>
      <c r="D2272" s="3" t="str" cm="1">
        <f t="array" ref="D2272">choice(Settings!K:K,1,Settings!$B$16)</f>
        <v/>
      </c>
    </row>
    <row r="2273" spans="1:4" x14ac:dyDescent="0.25">
      <c r="A2273" s="2" t="str" cm="1">
        <f t="array" ref="A2273">choice(Professeurs!A:A,1,Settings!$B$16)</f>
        <v>Prof34</v>
      </c>
      <c r="B2273" s="3" cm="1">
        <f t="array" ref="B2273">alea_date(Settings!$B$11,360,Settings!$B$8+alea_int(4,0,Settings!$B$16),Settings!$B$16)</f>
        <v>46217.333333333336</v>
      </c>
      <c r="C2273" s="3" cm="1">
        <f t="array" ref="C2273">B2273+TIME(alea_int(5,1,Settings!$B$16),0,0)</f>
        <v>46217.375</v>
      </c>
      <c r="D2273" s="3" t="str" cm="1">
        <f t="array" ref="D2273">choice(Settings!K:K,1,Settings!$B$16)</f>
        <v/>
      </c>
    </row>
    <row r="2274" spans="1:4" x14ac:dyDescent="0.25">
      <c r="A2274" s="2" t="str" cm="1">
        <f t="array" ref="A2274">choice(Professeurs!A:A,1,Settings!$B$16)</f>
        <v>Prof3</v>
      </c>
      <c r="B2274" s="3" cm="1">
        <f t="array" ref="B2274">alea_date(Settings!$B$11,360,Settings!$B$8+alea_int(4,0,Settings!$B$16),Settings!$B$16)</f>
        <v>46298.416666666664</v>
      </c>
      <c r="C2274" s="3" cm="1">
        <f t="array" ref="C2274">B2274+TIME(alea_int(5,1,Settings!$B$16),0,0)</f>
        <v>46298.625</v>
      </c>
      <c r="D2274" s="3" t="str" cm="1">
        <f t="array" ref="D2274">choice(Settings!K:K,1,Settings!$B$16)</f>
        <v>mercredi ap</v>
      </c>
    </row>
    <row r="2275" spans="1:4" x14ac:dyDescent="0.25">
      <c r="A2275" s="2" t="str" cm="1">
        <f t="array" ref="A2275">choice(Professeurs!A:A,1,Settings!$B$16)</f>
        <v>Prof24</v>
      </c>
      <c r="B2275" s="3" cm="1">
        <f t="array" ref="B2275">alea_date(Settings!$B$11,360,Settings!$B$8+alea_int(4,0,Settings!$B$16),Settings!$B$16)</f>
        <v>46358.375</v>
      </c>
      <c r="C2275" s="3" cm="1">
        <f t="array" ref="C2275">B2275+TIME(alea_int(5,1,Settings!$B$16),0,0)</f>
        <v>46358.541666666664</v>
      </c>
      <c r="D2275" s="3" t="str" cm="1">
        <f t="array" ref="D2275">choice(Settings!K:K,1,Settings!$B$16)</f>
        <v>jeudi am</v>
      </c>
    </row>
    <row r="2276" spans="1:4" x14ac:dyDescent="0.25">
      <c r="A2276" s="2" t="str" cm="1">
        <f t="array" ref="A2276">choice(Professeurs!A:A,1,Settings!$B$16)</f>
        <v>Prof9</v>
      </c>
      <c r="B2276" s="3" cm="1">
        <f t="array" ref="B2276">alea_date(Settings!$B$11,360,Settings!$B$8+alea_int(4,0,Settings!$B$16),Settings!$B$16)</f>
        <v>46170.375</v>
      </c>
      <c r="C2276" s="3" cm="1">
        <f t="array" ref="C2276">B2276+TIME(alea_int(5,1,Settings!$B$16),0,0)</f>
        <v>46170.541666666664</v>
      </c>
      <c r="D2276" s="3" t="str" cm="1">
        <f t="array" ref="D2276">choice(Settings!K:K,1,Settings!$B$16)</f>
        <v/>
      </c>
    </row>
    <row r="2277" spans="1:4" x14ac:dyDescent="0.25">
      <c r="A2277" s="2" t="str" cm="1">
        <f t="array" ref="A2277">choice(Professeurs!A:A,1,Settings!$B$16)</f>
        <v>Prof34</v>
      </c>
      <c r="B2277" s="3" cm="1">
        <f t="array" ref="B2277">alea_date(Settings!$B$11,360,Settings!$B$8+alea_int(4,0,Settings!$B$16),Settings!$B$16)</f>
        <v>46370.375</v>
      </c>
      <c r="C2277" s="3" cm="1">
        <f t="array" ref="C2277">B2277+TIME(alea_int(5,1,Settings!$B$16),0,0)</f>
        <v>46370.458333333336</v>
      </c>
      <c r="D2277" s="3" t="str" cm="1">
        <f t="array" ref="D2277">choice(Settings!K:K,1,Settings!$B$16)</f>
        <v/>
      </c>
    </row>
    <row r="2278" spans="1:4" x14ac:dyDescent="0.25">
      <c r="A2278" s="2" t="str" cm="1">
        <f t="array" ref="A2278">choice(Professeurs!A:A,1,Settings!$B$16)</f>
        <v>Prof9</v>
      </c>
      <c r="B2278" s="3" cm="1">
        <f t="array" ref="B2278">alea_date(Settings!$B$11,360,Settings!$B$8+alea_int(4,0,Settings!$B$16),Settings!$B$16)</f>
        <v>46038.416666666664</v>
      </c>
      <c r="C2278" s="3" cm="1">
        <f t="array" ref="C2278">B2278+TIME(alea_int(5,1,Settings!$B$16),0,0)</f>
        <v>46038.5</v>
      </c>
      <c r="D2278" s="3" t="str" cm="1">
        <f t="array" ref="D2278">choice(Settings!K:K,1,Settings!$B$16)</f>
        <v/>
      </c>
    </row>
    <row r="2279" spans="1:4" x14ac:dyDescent="0.25">
      <c r="A2279" s="2" t="str" cm="1">
        <f t="array" ref="A2279">choice(Professeurs!A:A,1,Settings!$B$16)</f>
        <v>Prof1</v>
      </c>
      <c r="B2279" s="3" cm="1">
        <f t="array" ref="B2279">alea_date(Settings!$B$11,360,Settings!$B$8+alea_int(4,0,Settings!$B$16),Settings!$B$16)</f>
        <v>46168.458333333336</v>
      </c>
      <c r="C2279" s="3" cm="1">
        <f t="array" ref="C2279">B2279+TIME(alea_int(5,1,Settings!$B$16),0,0)</f>
        <v>46168.625</v>
      </c>
      <c r="D2279" s="3" t="str" cm="1">
        <f t="array" ref="D2279">choice(Settings!K:K,1,Settings!$B$16)</f>
        <v>lundi pm</v>
      </c>
    </row>
    <row r="2280" spans="1:4" x14ac:dyDescent="0.25">
      <c r="A2280" s="2" t="str" cm="1">
        <f t="array" ref="A2280">choice(Professeurs!A:A,1,Settings!$B$16)</f>
        <v>Prof54</v>
      </c>
      <c r="B2280" s="3" cm="1">
        <f t="array" ref="B2280">alea_date(Settings!$B$11,360,Settings!$B$8+alea_int(4,0,Settings!$B$16),Settings!$B$16)</f>
        <v>46208.458333333336</v>
      </c>
      <c r="C2280" s="3" cm="1">
        <f t="array" ref="C2280">B2280+TIME(alea_int(5,1,Settings!$B$16),0,0)</f>
        <v>46208.625</v>
      </c>
      <c r="D2280" s="3" t="str" cm="1">
        <f t="array" ref="D2280">choice(Settings!K:K,1,Settings!$B$16)</f>
        <v/>
      </c>
    </row>
    <row r="2281" spans="1:4" x14ac:dyDescent="0.25">
      <c r="A2281" s="2" t="str" cm="1">
        <f t="array" ref="A2281">choice(Professeurs!A:A,1,Settings!$B$16)</f>
        <v>Prof9</v>
      </c>
      <c r="B2281" s="3" cm="1">
        <f t="array" ref="B2281">alea_date(Settings!$B$11,360,Settings!$B$8+alea_int(4,0,Settings!$B$16),Settings!$B$16)</f>
        <v>46245.375</v>
      </c>
      <c r="C2281" s="3" cm="1">
        <f t="array" ref="C2281">B2281+TIME(alea_int(5,1,Settings!$B$16),0,0)</f>
        <v>46245.541666666664</v>
      </c>
      <c r="D2281" s="3" t="str" cm="1">
        <f t="array" ref="D2281">choice(Settings!K:K,1,Settings!$B$16)</f>
        <v/>
      </c>
    </row>
    <row r="2282" spans="1:4" x14ac:dyDescent="0.25">
      <c r="A2282" s="2" t="str" cm="1">
        <f t="array" ref="A2282">choice(Professeurs!A:A,1,Settings!$B$16)</f>
        <v>Prof45</v>
      </c>
      <c r="B2282" s="3" cm="1">
        <f t="array" ref="B2282">alea_date(Settings!$B$11,360,Settings!$B$8+alea_int(4,0,Settings!$B$16),Settings!$B$16)</f>
        <v>46355.458333333336</v>
      </c>
      <c r="C2282" s="3" cm="1">
        <f t="array" ref="C2282">B2282+TIME(alea_int(5,1,Settings!$B$16),0,0)</f>
        <v>46355.625</v>
      </c>
      <c r="D2282" s="3" t="str" cm="1">
        <f t="array" ref="D2282">choice(Settings!K:K,1,Settings!$B$16)</f>
        <v/>
      </c>
    </row>
    <row r="2283" spans="1:4" x14ac:dyDescent="0.25">
      <c r="A2283" s="2" t="str" cm="1">
        <f t="array" ref="A2283">choice(Professeurs!A:A,1,Settings!$B$16)</f>
        <v>Prof20</v>
      </c>
      <c r="B2283" s="3" cm="1">
        <f t="array" ref="B2283">alea_date(Settings!$B$11,360,Settings!$B$8+alea_int(4,0,Settings!$B$16),Settings!$B$16)</f>
        <v>46031.458333333336</v>
      </c>
      <c r="C2283" s="3" cm="1">
        <f t="array" ref="C2283">B2283+TIME(alea_int(5,1,Settings!$B$16),0,0)</f>
        <v>46031.5</v>
      </c>
      <c r="D2283" s="3" t="str" cm="1">
        <f t="array" ref="D2283">choice(Settings!K:K,1,Settings!$B$16)</f>
        <v>jeudi am</v>
      </c>
    </row>
    <row r="2284" spans="1:4" x14ac:dyDescent="0.25">
      <c r="A2284" s="2" t="str" cm="1">
        <f t="array" ref="A2284">choice(Professeurs!A:A,1,Settings!$B$16)</f>
        <v>Prof54</v>
      </c>
      <c r="B2284" s="3" cm="1">
        <f t="array" ref="B2284">alea_date(Settings!$B$11,360,Settings!$B$8+alea_int(4,0,Settings!$B$16),Settings!$B$16)</f>
        <v>46108.333333333336</v>
      </c>
      <c r="C2284" s="3" cm="1">
        <f t="array" ref="C2284">B2284+TIME(alea_int(5,1,Settings!$B$16),0,0)</f>
        <v>46108.416666666672</v>
      </c>
      <c r="D2284" s="3" t="str" cm="1">
        <f t="array" ref="D2284">choice(Settings!K:K,1,Settings!$B$16)</f>
        <v/>
      </c>
    </row>
    <row r="2285" spans="1:4" x14ac:dyDescent="0.25">
      <c r="A2285" s="2" t="str" cm="1">
        <f t="array" ref="A2285">choice(Professeurs!A:A,1,Settings!$B$16)</f>
        <v>Prof18</v>
      </c>
      <c r="B2285" s="3" cm="1">
        <f t="array" ref="B2285">alea_date(Settings!$B$11,360,Settings!$B$8+alea_int(4,0,Settings!$B$16),Settings!$B$16)</f>
        <v>46316.458333333336</v>
      </c>
      <c r="C2285" s="3" cm="1">
        <f t="array" ref="C2285">B2285+TIME(alea_int(5,1,Settings!$B$16),0,0)</f>
        <v>46316.541666666672</v>
      </c>
      <c r="D2285" s="3" t="str" cm="1">
        <f t="array" ref="D2285">choice(Settings!K:K,1,Settings!$B$16)</f>
        <v>vendredi am</v>
      </c>
    </row>
    <row r="2286" spans="1:4" x14ac:dyDescent="0.25">
      <c r="A2286" s="2" t="str" cm="1">
        <f t="array" ref="A2286">choice(Professeurs!A:A,1,Settings!$B$16)</f>
        <v>Prof21</v>
      </c>
      <c r="B2286" s="3" cm="1">
        <f t="array" ref="B2286">alea_date(Settings!$B$11,360,Settings!$B$8+alea_int(4,0,Settings!$B$16),Settings!$B$16)</f>
        <v>46360.458333333336</v>
      </c>
      <c r="C2286" s="3" cm="1">
        <f t="array" ref="C2286">B2286+TIME(alea_int(5,1,Settings!$B$16),0,0)</f>
        <v>46360.625</v>
      </c>
      <c r="D2286" s="3" t="str" cm="1">
        <f t="array" ref="D2286">choice(Settings!K:K,1,Settings!$B$16)</f>
        <v>semaine</v>
      </c>
    </row>
    <row r="2287" spans="1:4" x14ac:dyDescent="0.25">
      <c r="A2287" s="2" t="str" cm="1">
        <f t="array" ref="A2287">choice(Professeurs!A:A,1,Settings!$B$16)</f>
        <v>Prof49</v>
      </c>
      <c r="B2287" s="3" cm="1">
        <f t="array" ref="B2287">alea_date(Settings!$B$11,360,Settings!$B$8+alea_int(4,0,Settings!$B$16),Settings!$B$16)</f>
        <v>46368.375</v>
      </c>
      <c r="C2287" s="3" cm="1">
        <f t="array" ref="C2287">B2287+TIME(alea_int(5,1,Settings!$B$16),0,0)</f>
        <v>46368.541666666664</v>
      </c>
      <c r="D2287" s="3" t="str" cm="1">
        <f t="array" ref="D2287">choice(Settings!K:K,1,Settings!$B$16)</f>
        <v/>
      </c>
    </row>
    <row r="2288" spans="1:4" x14ac:dyDescent="0.25">
      <c r="A2288" s="2" t="str" cm="1">
        <f t="array" ref="A2288">choice(Professeurs!A:A,1,Settings!$B$16)</f>
        <v>Prof1</v>
      </c>
      <c r="B2288" s="3" cm="1">
        <f t="array" ref="B2288">alea_date(Settings!$B$11,360,Settings!$B$8+alea_int(4,0,Settings!$B$16),Settings!$B$16)</f>
        <v>46320.375</v>
      </c>
      <c r="C2288" s="3" cm="1">
        <f t="array" ref="C2288">B2288+TIME(alea_int(5,1,Settings!$B$16),0,0)</f>
        <v>46320.583333333336</v>
      </c>
      <c r="D2288" s="3" t="str" cm="1">
        <f t="array" ref="D2288">choice(Settings!K:K,1,Settings!$B$16)</f>
        <v/>
      </c>
    </row>
    <row r="2289" spans="1:4" x14ac:dyDescent="0.25">
      <c r="A2289" s="2" t="str" cm="1">
        <f t="array" ref="A2289">choice(Professeurs!A:A,1,Settings!$B$16)</f>
        <v>Prof29</v>
      </c>
      <c r="B2289" s="3" cm="1">
        <f t="array" ref="B2289">alea_date(Settings!$B$11,360,Settings!$B$8+alea_int(4,0,Settings!$B$16),Settings!$B$16)</f>
        <v>46148.333333333336</v>
      </c>
      <c r="C2289" s="3" cm="1">
        <f t="array" ref="C2289">B2289+TIME(alea_int(5,1,Settings!$B$16),0,0)</f>
        <v>46148.541666666672</v>
      </c>
      <c r="D2289" s="3" t="str" cm="1">
        <f t="array" ref="D2289">choice(Settings!K:K,1,Settings!$B$16)</f>
        <v/>
      </c>
    </row>
    <row r="2290" spans="1:4" x14ac:dyDescent="0.25">
      <c r="A2290" s="2" t="str" cm="1">
        <f t="array" ref="A2290">choice(Professeurs!A:A,1,Settings!$B$16)</f>
        <v>Prof18</v>
      </c>
      <c r="B2290" s="3" cm="1">
        <f t="array" ref="B2290">alea_date(Settings!$B$11,360,Settings!$B$8+alea_int(4,0,Settings!$B$16),Settings!$B$16)</f>
        <v>46034.333333333336</v>
      </c>
      <c r="C2290" s="3" cm="1">
        <f t="array" ref="C2290">B2290+TIME(alea_int(5,1,Settings!$B$16),0,0)</f>
        <v>46034.416666666672</v>
      </c>
      <c r="D2290" s="3" t="str" cm="1">
        <f t="array" ref="D2290">choice(Settings!K:K,1,Settings!$B$16)</f>
        <v/>
      </c>
    </row>
    <row r="2291" spans="1:4" x14ac:dyDescent="0.25">
      <c r="A2291" s="2" t="str" cm="1">
        <f t="array" ref="A2291">choice(Professeurs!A:A,1,Settings!$B$16)</f>
        <v>Prof49</v>
      </c>
      <c r="B2291" s="3" cm="1">
        <f t="array" ref="B2291">alea_date(Settings!$B$11,360,Settings!$B$8+alea_int(4,0,Settings!$B$16),Settings!$B$16)</f>
        <v>46105.458333333336</v>
      </c>
      <c r="C2291" s="3" cm="1">
        <f t="array" ref="C2291">B2291+TIME(alea_int(5,1,Settings!$B$16),0,0)</f>
        <v>46105.625</v>
      </c>
      <c r="D2291" s="3" t="str" cm="1">
        <f t="array" ref="D2291">choice(Settings!K:K,1,Settings!$B$16)</f>
        <v/>
      </c>
    </row>
    <row r="2292" spans="1:4" x14ac:dyDescent="0.25">
      <c r="A2292" s="2" t="str" cm="1">
        <f t="array" ref="A2292">choice(Professeurs!A:A,1,Settings!$B$16)</f>
        <v>Prof47</v>
      </c>
      <c r="B2292" s="3" cm="1">
        <f t="array" ref="B2292">alea_date(Settings!$B$11,360,Settings!$B$8+alea_int(4,0,Settings!$B$16),Settings!$B$16)</f>
        <v>46094.375</v>
      </c>
      <c r="C2292" s="3" cm="1">
        <f t="array" ref="C2292">B2292+TIME(alea_int(5,1,Settings!$B$16),0,0)</f>
        <v>46094.416666666664</v>
      </c>
      <c r="D2292" s="3" t="str" cm="1">
        <f t="array" ref="D2292">choice(Settings!K:K,1,Settings!$B$16)</f>
        <v/>
      </c>
    </row>
    <row r="2293" spans="1:4" x14ac:dyDescent="0.25">
      <c r="A2293" s="2" t="str" cm="1">
        <f t="array" ref="A2293">choice(Professeurs!A:A,1,Settings!$B$16)</f>
        <v>Prof39</v>
      </c>
      <c r="B2293" s="3" cm="1">
        <f t="array" ref="B2293">alea_date(Settings!$B$11,360,Settings!$B$8+alea_int(4,0,Settings!$B$16),Settings!$B$16)</f>
        <v>46376.333333333336</v>
      </c>
      <c r="C2293" s="3" cm="1">
        <f t="array" ref="C2293">B2293+TIME(alea_int(5,1,Settings!$B$16),0,0)</f>
        <v>46376.458333333336</v>
      </c>
      <c r="D2293" s="3" t="str" cm="1">
        <f t="array" ref="D2293">choice(Settings!K:K,1,Settings!$B$16)</f>
        <v/>
      </c>
    </row>
    <row r="2294" spans="1:4" x14ac:dyDescent="0.25">
      <c r="A2294" s="2" t="str" cm="1">
        <f t="array" ref="A2294">choice(Professeurs!A:A,1,Settings!$B$16)</f>
        <v>Prof52</v>
      </c>
      <c r="B2294" s="3" cm="1">
        <f t="array" ref="B2294">alea_date(Settings!$B$11,360,Settings!$B$8+alea_int(4,0,Settings!$B$16),Settings!$B$16)</f>
        <v>46306.458333333336</v>
      </c>
      <c r="C2294" s="3" cm="1">
        <f t="array" ref="C2294">B2294+TIME(alea_int(5,1,Settings!$B$16),0,0)</f>
        <v>46306.5</v>
      </c>
      <c r="D2294" s="3" t="str" cm="1">
        <f t="array" ref="D2294">choice(Settings!K:K,1,Settings!$B$16)</f>
        <v/>
      </c>
    </row>
    <row r="2295" spans="1:4" x14ac:dyDescent="0.25">
      <c r="A2295" s="2" t="str" cm="1">
        <f t="array" ref="A2295">choice(Professeurs!A:A,1,Settings!$B$16)</f>
        <v>Prof52</v>
      </c>
      <c r="B2295" s="3" cm="1">
        <f t="array" ref="B2295">alea_date(Settings!$B$11,360,Settings!$B$8+alea_int(4,0,Settings!$B$16),Settings!$B$16)</f>
        <v>46337.416666666664</v>
      </c>
      <c r="C2295" s="3" cm="1">
        <f t="array" ref="C2295">B2295+TIME(alea_int(5,1,Settings!$B$16),0,0)</f>
        <v>46337.583333333328</v>
      </c>
      <c r="D2295" s="3" t="str" cm="1">
        <f t="array" ref="D2295">choice(Settings!K:K,1,Settings!$B$16)</f>
        <v>vendredi am</v>
      </c>
    </row>
    <row r="2296" spans="1:4" x14ac:dyDescent="0.25">
      <c r="A2296" s="2" t="str" cm="1">
        <f t="array" ref="A2296">choice(Professeurs!A:A,1,Settings!$B$16)</f>
        <v>Prof6</v>
      </c>
      <c r="B2296" s="3" cm="1">
        <f t="array" ref="B2296">alea_date(Settings!$B$11,360,Settings!$B$8+alea_int(4,0,Settings!$B$16),Settings!$B$16)</f>
        <v>46028.458333333336</v>
      </c>
      <c r="C2296" s="3" cm="1">
        <f t="array" ref="C2296">B2296+TIME(alea_int(5,1,Settings!$B$16),0,0)</f>
        <v>46028.666666666672</v>
      </c>
      <c r="D2296" s="3" t="str" cm="1">
        <f t="array" ref="D2296">choice(Settings!K:K,1,Settings!$B$16)</f>
        <v>jeudi am</v>
      </c>
    </row>
    <row r="2297" spans="1:4" x14ac:dyDescent="0.25">
      <c r="A2297" s="2" t="str" cm="1">
        <f t="array" ref="A2297">choice(Professeurs!A:A,1,Settings!$B$16)</f>
        <v>Prof31</v>
      </c>
      <c r="B2297" s="3" cm="1">
        <f t="array" ref="B2297">alea_date(Settings!$B$11,360,Settings!$B$8+alea_int(4,0,Settings!$B$16),Settings!$B$16)</f>
        <v>46258.458333333336</v>
      </c>
      <c r="C2297" s="3" cm="1">
        <f t="array" ref="C2297">B2297+TIME(alea_int(5,1,Settings!$B$16),0,0)</f>
        <v>46258.666666666672</v>
      </c>
      <c r="D2297" s="3" t="str" cm="1">
        <f t="array" ref="D2297">choice(Settings!K:K,1,Settings!$B$16)</f>
        <v>mercredi ap</v>
      </c>
    </row>
    <row r="2298" spans="1:4" x14ac:dyDescent="0.25">
      <c r="A2298" s="2" t="str" cm="1">
        <f t="array" ref="A2298">choice(Professeurs!A:A,1,Settings!$B$16)</f>
        <v>Prof53</v>
      </c>
      <c r="B2298" s="3" cm="1">
        <f t="array" ref="B2298">alea_date(Settings!$B$11,360,Settings!$B$8+alea_int(4,0,Settings!$B$16),Settings!$B$16)</f>
        <v>46154.375</v>
      </c>
      <c r="C2298" s="3" cm="1">
        <f t="array" ref="C2298">B2298+TIME(alea_int(5,1,Settings!$B$16),0,0)</f>
        <v>46154.5</v>
      </c>
      <c r="D2298" s="3" t="str" cm="1">
        <f t="array" ref="D2298">choice(Settings!K:K,1,Settings!$B$16)</f>
        <v>jeudi am</v>
      </c>
    </row>
    <row r="2299" spans="1:4" x14ac:dyDescent="0.25">
      <c r="A2299" s="2" t="str" cm="1">
        <f t="array" ref="A2299">choice(Professeurs!A:A,1,Settings!$B$16)</f>
        <v>Prof40</v>
      </c>
      <c r="B2299" s="3" cm="1">
        <f t="array" ref="B2299">alea_date(Settings!$B$11,360,Settings!$B$8+alea_int(4,0,Settings!$B$16),Settings!$B$16)</f>
        <v>46093.416666666664</v>
      </c>
      <c r="C2299" s="3" cm="1">
        <f t="array" ref="C2299">B2299+TIME(alea_int(5,1,Settings!$B$16),0,0)</f>
        <v>46093.541666666664</v>
      </c>
      <c r="D2299" s="3" t="str" cm="1">
        <f t="array" ref="D2299">choice(Settings!K:K,1,Settings!$B$16)</f>
        <v/>
      </c>
    </row>
    <row r="2300" spans="1:4" x14ac:dyDescent="0.25">
      <c r="A2300" s="2" t="str" cm="1">
        <f t="array" ref="A2300">choice(Professeurs!A:A,1,Settings!$B$16)</f>
        <v>Prof22</v>
      </c>
      <c r="B2300" s="3" cm="1">
        <f t="array" ref="B2300">alea_date(Settings!$B$11,360,Settings!$B$8+alea_int(4,0,Settings!$B$16),Settings!$B$16)</f>
        <v>46362.416666666664</v>
      </c>
      <c r="C2300" s="3" cm="1">
        <f t="array" ref="C2300">B2300+TIME(alea_int(5,1,Settings!$B$16),0,0)</f>
        <v>46362.541666666664</v>
      </c>
      <c r="D2300" s="3" t="str" cm="1">
        <f t="array" ref="D2300">choice(Settings!K:K,1,Settings!$B$16)</f>
        <v>mardi pm</v>
      </c>
    </row>
    <row r="2301" spans="1:4" x14ac:dyDescent="0.25">
      <c r="A2301" s="2" t="str" cm="1">
        <f t="array" ref="A2301">choice(Professeurs!A:A,1,Settings!$B$16)</f>
        <v>Prof48</v>
      </c>
      <c r="B2301" s="3" cm="1">
        <f t="array" ref="B2301">alea_date(Settings!$B$11,360,Settings!$B$8+alea_int(4,0,Settings!$B$16),Settings!$B$16)</f>
        <v>46332.333333333336</v>
      </c>
      <c r="C2301" s="3" cm="1">
        <f t="array" ref="C2301">B2301+TIME(alea_int(5,1,Settings!$B$16),0,0)</f>
        <v>46332.375</v>
      </c>
      <c r="D2301" s="3" t="str" cm="1">
        <f t="array" ref="D2301">choice(Settings!K:K,1,Settings!$B$16)</f>
        <v>jeudi am</v>
      </c>
    </row>
    <row r="2302" spans="1:4" x14ac:dyDescent="0.25">
      <c r="A2302" s="2" t="str" cm="1">
        <f t="array" ref="A2302">choice(Professeurs!A:A,1,Settings!$B$16)</f>
        <v>Prof15</v>
      </c>
      <c r="B2302" s="3" cm="1">
        <f t="array" ref="B2302">alea_date(Settings!$B$11,360,Settings!$B$8+alea_int(4,0,Settings!$B$16),Settings!$B$16)</f>
        <v>46052.458333333336</v>
      </c>
      <c r="C2302" s="3" cm="1">
        <f t="array" ref="C2302">B2302+TIME(alea_int(5,1,Settings!$B$16),0,0)</f>
        <v>46052.666666666672</v>
      </c>
      <c r="D2302" s="3" t="str" cm="1">
        <f t="array" ref="D2302">choice(Settings!K:K,1,Settings!$B$16)</f>
        <v/>
      </c>
    </row>
    <row r="2303" spans="1:4" x14ac:dyDescent="0.25">
      <c r="A2303" s="2" t="str" cm="1">
        <f t="array" ref="A2303">choice(Professeurs!A:A,1,Settings!$B$16)</f>
        <v>Prof38</v>
      </c>
      <c r="B2303" s="3" cm="1">
        <f t="array" ref="B2303">alea_date(Settings!$B$11,360,Settings!$B$8+alea_int(4,0,Settings!$B$16),Settings!$B$16)</f>
        <v>46352.333333333336</v>
      </c>
      <c r="C2303" s="3" cm="1">
        <f t="array" ref="C2303">B2303+TIME(alea_int(5,1,Settings!$B$16),0,0)</f>
        <v>46352.541666666672</v>
      </c>
      <c r="D2303" s="3" t="str" cm="1">
        <f t="array" ref="D2303">choice(Settings!K:K,1,Settings!$B$16)</f>
        <v/>
      </c>
    </row>
    <row r="2304" spans="1:4" x14ac:dyDescent="0.25">
      <c r="A2304" s="2" t="str" cm="1">
        <f t="array" ref="A2304">choice(Professeurs!A:A,1,Settings!$B$16)</f>
        <v>Prof8</v>
      </c>
      <c r="B2304" s="3" cm="1">
        <f t="array" ref="B2304">alea_date(Settings!$B$11,360,Settings!$B$8+alea_int(4,0,Settings!$B$16),Settings!$B$16)</f>
        <v>46202.375</v>
      </c>
      <c r="C2304" s="3" cm="1">
        <f t="array" ref="C2304">B2304+TIME(alea_int(5,1,Settings!$B$16),0,0)</f>
        <v>46202.416666666664</v>
      </c>
      <c r="D2304" s="3" t="str" cm="1">
        <f t="array" ref="D2304">choice(Settings!K:K,1,Settings!$B$16)</f>
        <v>jeudi pm</v>
      </c>
    </row>
    <row r="2305" spans="1:4" x14ac:dyDescent="0.25">
      <c r="A2305" s="2" t="str" cm="1">
        <f t="array" ref="A2305">choice(Professeurs!A:A,1,Settings!$B$16)</f>
        <v>Prof32</v>
      </c>
      <c r="B2305" s="3" cm="1">
        <f t="array" ref="B2305">alea_date(Settings!$B$11,360,Settings!$B$8+alea_int(4,0,Settings!$B$16),Settings!$B$16)</f>
        <v>46162.375</v>
      </c>
      <c r="C2305" s="3" cm="1">
        <f t="array" ref="C2305">B2305+TIME(alea_int(5,1,Settings!$B$16),0,0)</f>
        <v>46162.458333333336</v>
      </c>
      <c r="D2305" s="3" t="str" cm="1">
        <f t="array" ref="D2305">choice(Settings!K:K,1,Settings!$B$16)</f>
        <v/>
      </c>
    </row>
    <row r="2306" spans="1:4" x14ac:dyDescent="0.25">
      <c r="A2306" s="2" t="str" cm="1">
        <f t="array" ref="A2306">choice(Professeurs!A:A,1,Settings!$B$16)</f>
        <v>Prof22</v>
      </c>
      <c r="B2306" s="3" cm="1">
        <f t="array" ref="B2306">alea_date(Settings!$B$11,360,Settings!$B$8+alea_int(4,0,Settings!$B$16),Settings!$B$16)</f>
        <v>46070.333333333336</v>
      </c>
      <c r="C2306" s="3" cm="1">
        <f t="array" ref="C2306">B2306+TIME(alea_int(5,1,Settings!$B$16),0,0)</f>
        <v>46070.458333333336</v>
      </c>
      <c r="D2306" s="3" t="str" cm="1">
        <f t="array" ref="D2306">choice(Settings!K:K,1,Settings!$B$16)</f>
        <v>vendredi pm</v>
      </c>
    </row>
    <row r="2307" spans="1:4" x14ac:dyDescent="0.25">
      <c r="A2307" s="2" t="str" cm="1">
        <f t="array" ref="A2307">choice(Professeurs!A:A,1,Settings!$B$16)</f>
        <v>Prof20</v>
      </c>
      <c r="B2307" s="3" cm="1">
        <f t="array" ref="B2307">alea_date(Settings!$B$11,360,Settings!$B$8+alea_int(4,0,Settings!$B$16),Settings!$B$16)</f>
        <v>46170.416666666664</v>
      </c>
      <c r="C2307" s="3" cm="1">
        <f t="array" ref="C2307">B2307+TIME(alea_int(5,1,Settings!$B$16),0,0)</f>
        <v>46170.625</v>
      </c>
      <c r="D2307" s="3" t="str" cm="1">
        <f t="array" ref="D2307">choice(Settings!K:K,1,Settings!$B$16)</f>
        <v/>
      </c>
    </row>
    <row r="2308" spans="1:4" x14ac:dyDescent="0.25">
      <c r="A2308" s="2" t="str" cm="1">
        <f t="array" ref="A2308">choice(Professeurs!A:A,1,Settings!$B$16)</f>
        <v>Prof3</v>
      </c>
      <c r="B2308" s="3" cm="1">
        <f t="array" ref="B2308">alea_date(Settings!$B$11,360,Settings!$B$8+alea_int(4,0,Settings!$B$16),Settings!$B$16)</f>
        <v>46308.333333333336</v>
      </c>
      <c r="C2308" s="3" cm="1">
        <f t="array" ref="C2308">B2308+TIME(alea_int(5,1,Settings!$B$16),0,0)</f>
        <v>46308.375</v>
      </c>
      <c r="D2308" s="3" t="str" cm="1">
        <f t="array" ref="D2308">choice(Settings!K:K,1,Settings!$B$16)</f>
        <v/>
      </c>
    </row>
    <row r="2309" spans="1:4" x14ac:dyDescent="0.25">
      <c r="A2309" s="2" t="str" cm="1">
        <f t="array" ref="A2309">choice(Professeurs!A:A,1,Settings!$B$16)</f>
        <v>Prof51</v>
      </c>
      <c r="B2309" s="3" cm="1">
        <f t="array" ref="B2309">alea_date(Settings!$B$11,360,Settings!$B$8+alea_int(4,0,Settings!$B$16),Settings!$B$16)</f>
        <v>46296.458333333336</v>
      </c>
      <c r="C2309" s="3" cm="1">
        <f t="array" ref="C2309">B2309+TIME(alea_int(5,1,Settings!$B$16),0,0)</f>
        <v>46296.625</v>
      </c>
      <c r="D2309" s="3" t="str" cm="1">
        <f t="array" ref="D2309">choice(Settings!K:K,1,Settings!$B$16)</f>
        <v/>
      </c>
    </row>
    <row r="2310" spans="1:4" x14ac:dyDescent="0.25">
      <c r="A2310" s="2" t="str" cm="1">
        <f t="array" ref="A2310">choice(Professeurs!A:A,1,Settings!$B$16)</f>
        <v>Prof24</v>
      </c>
      <c r="B2310" s="3" cm="1">
        <f t="array" ref="B2310">alea_date(Settings!$B$11,360,Settings!$B$8+alea_int(4,0,Settings!$B$16),Settings!$B$16)</f>
        <v>46229.416666666664</v>
      </c>
      <c r="C2310" s="3" cm="1">
        <f t="array" ref="C2310">B2310+TIME(alea_int(5,1,Settings!$B$16),0,0)</f>
        <v>46229.541666666664</v>
      </c>
      <c r="D2310" s="3" t="str" cm="1">
        <f t="array" ref="D2310">choice(Settings!K:K,1,Settings!$B$16)</f>
        <v/>
      </c>
    </row>
    <row r="2311" spans="1:4" x14ac:dyDescent="0.25">
      <c r="A2311" s="2" t="str" cm="1">
        <f t="array" ref="A2311">choice(Professeurs!A:A,1,Settings!$B$16)</f>
        <v>Prof9</v>
      </c>
      <c r="B2311" s="3" cm="1">
        <f t="array" ref="B2311">alea_date(Settings!$B$11,360,Settings!$B$8+alea_int(4,0,Settings!$B$16),Settings!$B$16)</f>
        <v>46043.333333333336</v>
      </c>
      <c r="C2311" s="3" cm="1">
        <f t="array" ref="C2311">B2311+TIME(alea_int(5,1,Settings!$B$16),0,0)</f>
        <v>46043.458333333336</v>
      </c>
      <c r="D2311" s="3" t="str" cm="1">
        <f t="array" ref="D2311">choice(Settings!K:K,1,Settings!$B$16)</f>
        <v/>
      </c>
    </row>
    <row r="2312" spans="1:4" x14ac:dyDescent="0.25">
      <c r="A2312" s="2" t="str" cm="1">
        <f t="array" ref="A2312">choice(Professeurs!A:A,1,Settings!$B$16)</f>
        <v>Prof25</v>
      </c>
      <c r="B2312" s="3" cm="1">
        <f t="array" ref="B2312">alea_date(Settings!$B$11,360,Settings!$B$8+alea_int(4,0,Settings!$B$16),Settings!$B$16)</f>
        <v>46317.333333333336</v>
      </c>
      <c r="C2312" s="3" cm="1">
        <f t="array" ref="C2312">B2312+TIME(alea_int(5,1,Settings!$B$16),0,0)</f>
        <v>46317.375</v>
      </c>
      <c r="D2312" s="3" t="str" cm="1">
        <f t="array" ref="D2312">choice(Settings!K:K,1,Settings!$B$16)</f>
        <v/>
      </c>
    </row>
    <row r="2313" spans="1:4" x14ac:dyDescent="0.25">
      <c r="A2313" s="2" t="str" cm="1">
        <f t="array" ref="A2313">choice(Professeurs!A:A,1,Settings!$B$16)</f>
        <v>Prof37</v>
      </c>
      <c r="B2313" s="3" cm="1">
        <f t="array" ref="B2313">alea_date(Settings!$B$11,360,Settings!$B$8+alea_int(4,0,Settings!$B$16),Settings!$B$16)</f>
        <v>46217.416666666664</v>
      </c>
      <c r="C2313" s="3" cm="1">
        <f t="array" ref="C2313">B2313+TIME(alea_int(5,1,Settings!$B$16),0,0)</f>
        <v>46217.458333333328</v>
      </c>
      <c r="D2313" s="3" t="str" cm="1">
        <f t="array" ref="D2313">choice(Settings!K:K,1,Settings!$B$16)</f>
        <v>mercredi pm</v>
      </c>
    </row>
    <row r="2314" spans="1:4" x14ac:dyDescent="0.25">
      <c r="A2314" s="2" t="str" cm="1">
        <f t="array" ref="A2314">choice(Professeurs!A:A,1,Settings!$B$16)</f>
        <v>Prof17</v>
      </c>
      <c r="B2314" s="3" cm="1">
        <f t="array" ref="B2314">alea_date(Settings!$B$11,360,Settings!$B$8+alea_int(4,0,Settings!$B$16),Settings!$B$16)</f>
        <v>46336.458333333336</v>
      </c>
      <c r="C2314" s="3" cm="1">
        <f t="array" ref="C2314">B2314+TIME(alea_int(5,1,Settings!$B$16),0,0)</f>
        <v>46336.625</v>
      </c>
      <c r="D2314" s="3" t="str" cm="1">
        <f t="array" ref="D2314">choice(Settings!K:K,1,Settings!$B$16)</f>
        <v/>
      </c>
    </row>
    <row r="2315" spans="1:4" x14ac:dyDescent="0.25">
      <c r="A2315" s="2" t="str" cm="1">
        <f t="array" ref="A2315">choice(Professeurs!A:A,1,Settings!$B$16)</f>
        <v>Prof5</v>
      </c>
      <c r="B2315" s="3" cm="1">
        <f t="array" ref="B2315">alea_date(Settings!$B$11,360,Settings!$B$8+alea_int(4,0,Settings!$B$16),Settings!$B$16)</f>
        <v>46374.375</v>
      </c>
      <c r="C2315" s="3" cm="1">
        <f t="array" ref="C2315">B2315+TIME(alea_int(5,1,Settings!$B$16),0,0)</f>
        <v>46374.541666666664</v>
      </c>
      <c r="D2315" s="3" t="str" cm="1">
        <f t="array" ref="D2315">choice(Settings!K:K,1,Settings!$B$16)</f>
        <v/>
      </c>
    </row>
    <row r="2316" spans="1:4" x14ac:dyDescent="0.25">
      <c r="A2316" s="2" t="str" cm="1">
        <f t="array" ref="A2316">choice(Professeurs!A:A,1,Settings!$B$16)</f>
        <v>Prof43</v>
      </c>
      <c r="B2316" s="3" cm="1">
        <f t="array" ref="B2316">alea_date(Settings!$B$11,360,Settings!$B$8+alea_int(4,0,Settings!$B$16),Settings!$B$16)</f>
        <v>46202.333333333336</v>
      </c>
      <c r="C2316" s="3" cm="1">
        <f t="array" ref="C2316">B2316+TIME(alea_int(5,1,Settings!$B$16),0,0)</f>
        <v>46202.458333333336</v>
      </c>
      <c r="D2316" s="3" t="str" cm="1">
        <f t="array" ref="D2316">choice(Settings!K:K,1,Settings!$B$16)</f>
        <v/>
      </c>
    </row>
    <row r="2317" spans="1:4" x14ac:dyDescent="0.25">
      <c r="A2317" s="2" t="str" cm="1">
        <f t="array" ref="A2317">choice(Professeurs!A:A,1,Settings!$B$16)</f>
        <v>Prof11</v>
      </c>
      <c r="B2317" s="3" cm="1">
        <f t="array" ref="B2317">alea_date(Settings!$B$11,360,Settings!$B$8+alea_int(4,0,Settings!$B$16),Settings!$B$16)</f>
        <v>46373.333333333336</v>
      </c>
      <c r="C2317" s="3" cm="1">
        <f t="array" ref="C2317">B2317+TIME(alea_int(5,1,Settings!$B$16),0,0)</f>
        <v>46373.375</v>
      </c>
      <c r="D2317" s="3" t="str" cm="1">
        <f t="array" ref="D2317">choice(Settings!K:K,1,Settings!$B$16)</f>
        <v/>
      </c>
    </row>
    <row r="2318" spans="1:4" x14ac:dyDescent="0.25">
      <c r="A2318" s="2" t="str" cm="1">
        <f t="array" ref="A2318">choice(Professeurs!A:A,1,Settings!$B$16)</f>
        <v>Prof5</v>
      </c>
      <c r="B2318" s="3" cm="1">
        <f t="array" ref="B2318">alea_date(Settings!$B$11,360,Settings!$B$8+alea_int(4,0,Settings!$B$16),Settings!$B$16)</f>
        <v>46060.458333333336</v>
      </c>
      <c r="C2318" s="3" cm="1">
        <f t="array" ref="C2318">B2318+TIME(alea_int(5,1,Settings!$B$16),0,0)</f>
        <v>46060.583333333336</v>
      </c>
      <c r="D2318" s="3" t="str" cm="1">
        <f t="array" ref="D2318">choice(Settings!K:K,1,Settings!$B$16)</f>
        <v>mardi am</v>
      </c>
    </row>
    <row r="2319" spans="1:4" x14ac:dyDescent="0.25">
      <c r="A2319" s="2" t="str" cm="1">
        <f t="array" ref="A2319">choice(Professeurs!A:A,1,Settings!$B$16)</f>
        <v>Prof9</v>
      </c>
      <c r="B2319" s="3" cm="1">
        <f t="array" ref="B2319">alea_date(Settings!$B$11,360,Settings!$B$8+alea_int(4,0,Settings!$B$16),Settings!$B$16)</f>
        <v>46306.416666666664</v>
      </c>
      <c r="C2319" s="3" cm="1">
        <f t="array" ref="C2319">B2319+TIME(alea_int(5,1,Settings!$B$16),0,0)</f>
        <v>46306.458333333328</v>
      </c>
      <c r="D2319" s="3" t="str" cm="1">
        <f t="array" ref="D2319">choice(Settings!K:K,1,Settings!$B$16)</f>
        <v/>
      </c>
    </row>
    <row r="2320" spans="1:4" x14ac:dyDescent="0.25">
      <c r="A2320" s="2" t="str" cm="1">
        <f t="array" ref="A2320">choice(Professeurs!A:A,1,Settings!$B$16)</f>
        <v>Prof42</v>
      </c>
      <c r="B2320" s="3" cm="1">
        <f t="array" ref="B2320">alea_date(Settings!$B$11,360,Settings!$B$8+alea_int(4,0,Settings!$B$16),Settings!$B$16)</f>
        <v>46289.333333333336</v>
      </c>
      <c r="C2320" s="3" cm="1">
        <f t="array" ref="C2320">B2320+TIME(alea_int(5,1,Settings!$B$16),0,0)</f>
        <v>46289.5</v>
      </c>
      <c r="D2320" s="3" t="str" cm="1">
        <f t="array" ref="D2320">choice(Settings!K:K,1,Settings!$B$16)</f>
        <v>mardi pm</v>
      </c>
    </row>
    <row r="2321" spans="1:4" x14ac:dyDescent="0.25">
      <c r="A2321" s="2" t="str" cm="1">
        <f t="array" ref="A2321">choice(Professeurs!A:A,1,Settings!$B$16)</f>
        <v>Prof25</v>
      </c>
      <c r="B2321" s="3" cm="1">
        <f t="array" ref="B2321">alea_date(Settings!$B$11,360,Settings!$B$8+alea_int(4,0,Settings!$B$16),Settings!$B$16)</f>
        <v>46315.333333333336</v>
      </c>
      <c r="C2321" s="3" cm="1">
        <f t="array" ref="C2321">B2321+TIME(alea_int(5,1,Settings!$B$16),0,0)</f>
        <v>46315.5</v>
      </c>
      <c r="D2321" s="3" t="str" cm="1">
        <f t="array" ref="D2321">choice(Settings!K:K,1,Settings!$B$16)</f>
        <v/>
      </c>
    </row>
    <row r="2322" spans="1:4" x14ac:dyDescent="0.25">
      <c r="A2322" s="2" t="str" cm="1">
        <f t="array" ref="A2322">choice(Professeurs!A:A,1,Settings!$B$16)</f>
        <v>Prof38</v>
      </c>
      <c r="B2322" s="3" cm="1">
        <f t="array" ref="B2322">alea_date(Settings!$B$11,360,Settings!$B$8+alea_int(4,0,Settings!$B$16),Settings!$B$16)</f>
        <v>46278.458333333336</v>
      </c>
      <c r="C2322" s="3" cm="1">
        <f t="array" ref="C2322">B2322+TIME(alea_int(5,1,Settings!$B$16),0,0)</f>
        <v>46278.541666666672</v>
      </c>
      <c r="D2322" s="3" t="str" cm="1">
        <f t="array" ref="D2322">choice(Settings!K:K,1,Settings!$B$16)</f>
        <v>mercredi pm</v>
      </c>
    </row>
    <row r="2323" spans="1:4" x14ac:dyDescent="0.25">
      <c r="A2323" s="2" t="str" cm="1">
        <f t="array" ref="A2323">choice(Professeurs!A:A,1,Settings!$B$16)</f>
        <v>Prof23</v>
      </c>
      <c r="B2323" s="3" cm="1">
        <f t="array" ref="B2323">alea_date(Settings!$B$11,360,Settings!$B$8+alea_int(4,0,Settings!$B$16),Settings!$B$16)</f>
        <v>46032.416666666664</v>
      </c>
      <c r="C2323" s="3" cm="1">
        <f t="array" ref="C2323">B2323+TIME(alea_int(5,1,Settings!$B$16),0,0)</f>
        <v>46032.5</v>
      </c>
      <c r="D2323" s="3" t="str" cm="1">
        <f t="array" ref="D2323">choice(Settings!K:K,1,Settings!$B$16)</f>
        <v>jeudi am</v>
      </c>
    </row>
    <row r="2324" spans="1:4" x14ac:dyDescent="0.25">
      <c r="A2324" s="2" t="str" cm="1">
        <f t="array" ref="A2324">choice(Professeurs!A:A,1,Settings!$B$16)</f>
        <v>Prof28</v>
      </c>
      <c r="B2324" s="3" cm="1">
        <f t="array" ref="B2324">alea_date(Settings!$B$11,360,Settings!$B$8+alea_int(4,0,Settings!$B$16),Settings!$B$16)</f>
        <v>46158.458333333336</v>
      </c>
      <c r="C2324" s="3" cm="1">
        <f t="array" ref="C2324">B2324+TIME(alea_int(5,1,Settings!$B$16),0,0)</f>
        <v>46158.583333333336</v>
      </c>
      <c r="D2324" s="3" t="str" cm="1">
        <f t="array" ref="D2324">choice(Settings!K:K,1,Settings!$B$16)</f>
        <v>mardi am</v>
      </c>
    </row>
    <row r="2325" spans="1:4" x14ac:dyDescent="0.25">
      <c r="A2325" s="2" t="str" cm="1">
        <f t="array" ref="A2325">choice(Professeurs!A:A,1,Settings!$B$16)</f>
        <v>Prof27</v>
      </c>
      <c r="B2325" s="3" cm="1">
        <f t="array" ref="B2325">alea_date(Settings!$B$11,360,Settings!$B$8+alea_int(4,0,Settings!$B$16),Settings!$B$16)</f>
        <v>46325.375</v>
      </c>
      <c r="C2325" s="3" cm="1">
        <f t="array" ref="C2325">B2325+TIME(alea_int(5,1,Settings!$B$16),0,0)</f>
        <v>46325.583333333336</v>
      </c>
      <c r="D2325" s="3" t="str" cm="1">
        <f t="array" ref="D2325">choice(Settings!K:K,1,Settings!$B$16)</f>
        <v>mercredi pm</v>
      </c>
    </row>
    <row r="2326" spans="1:4" x14ac:dyDescent="0.25">
      <c r="A2326" s="2" t="str" cm="1">
        <f t="array" ref="A2326">choice(Professeurs!A:A,1,Settings!$B$16)</f>
        <v>Prof42</v>
      </c>
      <c r="B2326" s="3" cm="1">
        <f t="array" ref="B2326">alea_date(Settings!$B$11,360,Settings!$B$8+alea_int(4,0,Settings!$B$16),Settings!$B$16)</f>
        <v>46182.416666666664</v>
      </c>
      <c r="C2326" s="3" cm="1">
        <f t="array" ref="C2326">B2326+TIME(alea_int(5,1,Settings!$B$16),0,0)</f>
        <v>46182.583333333328</v>
      </c>
      <c r="D2326" s="3" t="str" cm="1">
        <f t="array" ref="D2326">choice(Settings!K:K,1,Settings!$B$16)</f>
        <v/>
      </c>
    </row>
    <row r="2327" spans="1:4" x14ac:dyDescent="0.25">
      <c r="A2327" s="2" t="str" cm="1">
        <f t="array" ref="A2327">choice(Professeurs!A:A,1,Settings!$B$16)</f>
        <v>Prof52</v>
      </c>
      <c r="B2327" s="3" cm="1">
        <f t="array" ref="B2327">alea_date(Settings!$B$11,360,Settings!$B$8+alea_int(4,0,Settings!$B$16),Settings!$B$16)</f>
        <v>46273.375</v>
      </c>
      <c r="C2327" s="3" cm="1">
        <f t="array" ref="C2327">B2327+TIME(alea_int(5,1,Settings!$B$16),0,0)</f>
        <v>46273.583333333336</v>
      </c>
      <c r="D2327" s="3" t="str" cm="1">
        <f t="array" ref="D2327">choice(Settings!K:K,1,Settings!$B$16)</f>
        <v/>
      </c>
    </row>
    <row r="2328" spans="1:4" x14ac:dyDescent="0.25">
      <c r="A2328" s="2" t="str" cm="1">
        <f t="array" ref="A2328">choice(Professeurs!A:A,1,Settings!$B$16)</f>
        <v>Prof11</v>
      </c>
      <c r="B2328" s="3" cm="1">
        <f t="array" ref="B2328">alea_date(Settings!$B$11,360,Settings!$B$8+alea_int(4,0,Settings!$B$16),Settings!$B$16)</f>
        <v>46155.458333333336</v>
      </c>
      <c r="C2328" s="3" cm="1">
        <f t="array" ref="C2328">B2328+TIME(alea_int(5,1,Settings!$B$16),0,0)</f>
        <v>46155.625</v>
      </c>
      <c r="D2328" s="3" t="str" cm="1">
        <f t="array" ref="D2328">choice(Settings!K:K,1,Settings!$B$16)</f>
        <v>mardi pm</v>
      </c>
    </row>
    <row r="2329" spans="1:4" x14ac:dyDescent="0.25">
      <c r="A2329" s="2" t="str" cm="1">
        <f t="array" ref="A2329">choice(Professeurs!A:A,1,Settings!$B$16)</f>
        <v>Prof31</v>
      </c>
      <c r="B2329" s="3" cm="1">
        <f t="array" ref="B2329">alea_date(Settings!$B$11,360,Settings!$B$8+alea_int(4,0,Settings!$B$16),Settings!$B$16)</f>
        <v>46337.333333333336</v>
      </c>
      <c r="C2329" s="3" cm="1">
        <f t="array" ref="C2329">B2329+TIME(alea_int(5,1,Settings!$B$16),0,0)</f>
        <v>46337.5</v>
      </c>
      <c r="D2329" s="3" t="str" cm="1">
        <f t="array" ref="D2329">choice(Settings!K:K,1,Settings!$B$16)</f>
        <v/>
      </c>
    </row>
    <row r="2330" spans="1:4" x14ac:dyDescent="0.25">
      <c r="A2330" s="2" t="str" cm="1">
        <f t="array" ref="A2330">choice(Professeurs!A:A,1,Settings!$B$16)</f>
        <v>Prof11</v>
      </c>
      <c r="B2330" s="3" cm="1">
        <f t="array" ref="B2330">alea_date(Settings!$B$11,360,Settings!$B$8+alea_int(4,0,Settings!$B$16),Settings!$B$16)</f>
        <v>46204.333333333336</v>
      </c>
      <c r="C2330" s="3" cm="1">
        <f t="array" ref="C2330">B2330+TIME(alea_int(5,1,Settings!$B$16),0,0)</f>
        <v>46204.5</v>
      </c>
      <c r="D2330" s="3" t="str" cm="1">
        <f t="array" ref="D2330">choice(Settings!K:K,1,Settings!$B$16)</f>
        <v>jeudi am</v>
      </c>
    </row>
    <row r="2331" spans="1:4" x14ac:dyDescent="0.25">
      <c r="A2331" s="2" t="str" cm="1">
        <f t="array" ref="A2331">choice(Professeurs!A:A,1,Settings!$B$16)</f>
        <v>Prof3</v>
      </c>
      <c r="B2331" s="3" cm="1">
        <f t="array" ref="B2331">alea_date(Settings!$B$11,360,Settings!$B$8+alea_int(4,0,Settings!$B$16),Settings!$B$16)</f>
        <v>46106.375</v>
      </c>
      <c r="C2331" s="3" cm="1">
        <f t="array" ref="C2331">B2331+TIME(alea_int(5,1,Settings!$B$16),0,0)</f>
        <v>46106.583333333336</v>
      </c>
      <c r="D2331" s="3" t="str" cm="1">
        <f t="array" ref="D2331">choice(Settings!K:K,1,Settings!$B$16)</f>
        <v/>
      </c>
    </row>
    <row r="2332" spans="1:4" x14ac:dyDescent="0.25">
      <c r="A2332" s="2" t="str" cm="1">
        <f t="array" ref="A2332">choice(Professeurs!A:A,1,Settings!$B$16)</f>
        <v>Prof1</v>
      </c>
      <c r="B2332" s="3" cm="1">
        <f t="array" ref="B2332">alea_date(Settings!$B$11,360,Settings!$B$8+alea_int(4,0,Settings!$B$16),Settings!$B$16)</f>
        <v>46281.416666666664</v>
      </c>
      <c r="C2332" s="3" cm="1">
        <f t="array" ref="C2332">B2332+TIME(alea_int(5,1,Settings!$B$16),0,0)</f>
        <v>46281.458333333328</v>
      </c>
      <c r="D2332" s="3" t="str" cm="1">
        <f t="array" ref="D2332">choice(Settings!K:K,1,Settings!$B$16)</f>
        <v/>
      </c>
    </row>
    <row r="2333" spans="1:4" x14ac:dyDescent="0.25">
      <c r="A2333" s="2" t="str" cm="1">
        <f t="array" ref="A2333">choice(Professeurs!A:A,1,Settings!$B$16)</f>
        <v>Prof22</v>
      </c>
      <c r="B2333" s="3" cm="1">
        <f t="array" ref="B2333">alea_date(Settings!$B$11,360,Settings!$B$8+alea_int(4,0,Settings!$B$16),Settings!$B$16)</f>
        <v>46321.333333333336</v>
      </c>
      <c r="C2333" s="3" cm="1">
        <f t="array" ref="C2333">B2333+TIME(alea_int(5,1,Settings!$B$16),0,0)</f>
        <v>46321.416666666672</v>
      </c>
      <c r="D2333" s="3" t="str" cm="1">
        <f t="array" ref="D2333">choice(Settings!K:K,1,Settings!$B$16)</f>
        <v/>
      </c>
    </row>
    <row r="2334" spans="1:4" x14ac:dyDescent="0.25">
      <c r="A2334" s="2" t="str" cm="1">
        <f t="array" ref="A2334">choice(Professeurs!A:A,1,Settings!$B$16)</f>
        <v>Prof21</v>
      </c>
      <c r="B2334" s="3" cm="1">
        <f t="array" ref="B2334">alea_date(Settings!$B$11,360,Settings!$B$8+alea_int(4,0,Settings!$B$16),Settings!$B$16)</f>
        <v>46355.333333333336</v>
      </c>
      <c r="C2334" s="3" cm="1">
        <f t="array" ref="C2334">B2334+TIME(alea_int(5,1,Settings!$B$16),0,0)</f>
        <v>46355.458333333336</v>
      </c>
      <c r="D2334" s="3" t="str" cm="1">
        <f t="array" ref="D2334">choice(Settings!K:K,1,Settings!$B$16)</f>
        <v>semaine</v>
      </c>
    </row>
    <row r="2335" spans="1:4" x14ac:dyDescent="0.25">
      <c r="A2335" s="2" t="str" cm="1">
        <f t="array" ref="A2335">choice(Professeurs!A:A,1,Settings!$B$16)</f>
        <v>Prof52</v>
      </c>
      <c r="B2335" s="3" cm="1">
        <f t="array" ref="B2335">alea_date(Settings!$B$11,360,Settings!$B$8+alea_int(4,0,Settings!$B$16),Settings!$B$16)</f>
        <v>46187.333333333336</v>
      </c>
      <c r="C2335" s="3" cm="1">
        <f t="array" ref="C2335">B2335+TIME(alea_int(5,1,Settings!$B$16),0,0)</f>
        <v>46187.541666666672</v>
      </c>
      <c r="D2335" s="3" t="str" cm="1">
        <f t="array" ref="D2335">choice(Settings!K:K,1,Settings!$B$16)</f>
        <v/>
      </c>
    </row>
    <row r="2336" spans="1:4" x14ac:dyDescent="0.25">
      <c r="A2336" s="2" t="str" cm="1">
        <f t="array" ref="A2336">choice(Professeurs!A:A,1,Settings!$B$16)</f>
        <v>Prof22</v>
      </c>
      <c r="B2336" s="3" cm="1">
        <f t="array" ref="B2336">alea_date(Settings!$B$11,360,Settings!$B$8+alea_int(4,0,Settings!$B$16),Settings!$B$16)</f>
        <v>46270.416666666664</v>
      </c>
      <c r="C2336" s="3" cm="1">
        <f t="array" ref="C2336">B2336+TIME(alea_int(5,1,Settings!$B$16),0,0)</f>
        <v>46270.458333333328</v>
      </c>
      <c r="D2336" s="3" t="str" cm="1">
        <f t="array" ref="D2336">choice(Settings!K:K,1,Settings!$B$16)</f>
        <v>vendredi am</v>
      </c>
    </row>
    <row r="2337" spans="1:4" x14ac:dyDescent="0.25">
      <c r="A2337" s="2" t="str" cm="1">
        <f t="array" ref="A2337">choice(Professeurs!A:A,1,Settings!$B$16)</f>
        <v>Prof43</v>
      </c>
      <c r="B2337" s="3" cm="1">
        <f t="array" ref="B2337">alea_date(Settings!$B$11,360,Settings!$B$8+alea_int(4,0,Settings!$B$16),Settings!$B$16)</f>
        <v>46381.333333333336</v>
      </c>
      <c r="C2337" s="3" cm="1">
        <f t="array" ref="C2337">B2337+TIME(alea_int(5,1,Settings!$B$16),0,0)</f>
        <v>46381.541666666672</v>
      </c>
      <c r="D2337" s="3" t="str" cm="1">
        <f t="array" ref="D2337">choice(Settings!K:K,1,Settings!$B$16)</f>
        <v/>
      </c>
    </row>
    <row r="2338" spans="1:4" x14ac:dyDescent="0.25">
      <c r="A2338" s="2" t="str" cm="1">
        <f t="array" ref="A2338">choice(Professeurs!A:A,1,Settings!$B$16)</f>
        <v>Prof9</v>
      </c>
      <c r="B2338" s="3" cm="1">
        <f t="array" ref="B2338">alea_date(Settings!$B$11,360,Settings!$B$8+alea_int(4,0,Settings!$B$16),Settings!$B$16)</f>
        <v>46276.375</v>
      </c>
      <c r="C2338" s="3" cm="1">
        <f t="array" ref="C2338">B2338+TIME(alea_int(5,1,Settings!$B$16),0,0)</f>
        <v>46276.541666666664</v>
      </c>
      <c r="D2338" s="3" t="str" cm="1">
        <f t="array" ref="D2338">choice(Settings!K:K,1,Settings!$B$16)</f>
        <v/>
      </c>
    </row>
    <row r="2339" spans="1:4" x14ac:dyDescent="0.25">
      <c r="A2339" s="2" t="str" cm="1">
        <f t="array" ref="A2339">choice(Professeurs!A:A,1,Settings!$B$16)</f>
        <v>Prof11</v>
      </c>
      <c r="B2339" s="3" cm="1">
        <f t="array" ref="B2339">alea_date(Settings!$B$11,360,Settings!$B$8+alea_int(4,0,Settings!$B$16),Settings!$B$16)</f>
        <v>46260.333333333336</v>
      </c>
      <c r="C2339" s="3" cm="1">
        <f t="array" ref="C2339">B2339+TIME(alea_int(5,1,Settings!$B$16),0,0)</f>
        <v>46260.5</v>
      </c>
      <c r="D2339" s="3" t="str" cm="1">
        <f t="array" ref="D2339">choice(Settings!K:K,1,Settings!$B$16)</f>
        <v>lundi pm</v>
      </c>
    </row>
    <row r="2340" spans="1:4" x14ac:dyDescent="0.25">
      <c r="A2340" s="2" t="str" cm="1">
        <f t="array" ref="A2340">choice(Professeurs!A:A,1,Settings!$B$16)</f>
        <v>Prof24</v>
      </c>
      <c r="B2340" s="3" cm="1">
        <f t="array" ref="B2340">alea_date(Settings!$B$11,360,Settings!$B$8+alea_int(4,0,Settings!$B$16),Settings!$B$16)</f>
        <v>46097.375</v>
      </c>
      <c r="C2340" s="3" cm="1">
        <f t="array" ref="C2340">B2340+TIME(alea_int(5,1,Settings!$B$16),0,0)</f>
        <v>46097.416666666664</v>
      </c>
      <c r="D2340" s="3" t="str" cm="1">
        <f t="array" ref="D2340">choice(Settings!K:K,1,Settings!$B$16)</f>
        <v/>
      </c>
    </row>
    <row r="2341" spans="1:4" x14ac:dyDescent="0.25">
      <c r="A2341" s="2" t="str" cm="1">
        <f t="array" ref="A2341">choice(Professeurs!A:A,1,Settings!$B$16)</f>
        <v>Prof3</v>
      </c>
      <c r="B2341" s="3" cm="1">
        <f t="array" ref="B2341">alea_date(Settings!$B$11,360,Settings!$B$8+alea_int(4,0,Settings!$B$16),Settings!$B$16)</f>
        <v>46071.333333333336</v>
      </c>
      <c r="C2341" s="3" cm="1">
        <f t="array" ref="C2341">B2341+TIME(alea_int(5,1,Settings!$B$16),0,0)</f>
        <v>46071.416666666672</v>
      </c>
      <c r="D2341" s="3" t="str" cm="1">
        <f t="array" ref="D2341">choice(Settings!K:K,1,Settings!$B$16)</f>
        <v/>
      </c>
    </row>
    <row r="2342" spans="1:4" x14ac:dyDescent="0.25">
      <c r="A2342" s="2" t="str" cm="1">
        <f t="array" ref="A2342">choice(Professeurs!A:A,1,Settings!$B$16)</f>
        <v>Prof55</v>
      </c>
      <c r="B2342" s="3" cm="1">
        <f t="array" ref="B2342">alea_date(Settings!$B$11,360,Settings!$B$8+alea_int(4,0,Settings!$B$16),Settings!$B$16)</f>
        <v>46126.458333333336</v>
      </c>
      <c r="C2342" s="3" cm="1">
        <f t="array" ref="C2342">B2342+TIME(alea_int(5,1,Settings!$B$16),0,0)</f>
        <v>46126.541666666672</v>
      </c>
      <c r="D2342" s="3" t="str" cm="1">
        <f t="array" ref="D2342">choice(Settings!K:K,1,Settings!$B$16)</f>
        <v/>
      </c>
    </row>
    <row r="2343" spans="1:4" x14ac:dyDescent="0.25">
      <c r="A2343" s="2" t="str" cm="1">
        <f t="array" ref="A2343">choice(Professeurs!A:A,1,Settings!$B$16)</f>
        <v>Prof20</v>
      </c>
      <c r="B2343" s="3" cm="1">
        <f t="array" ref="B2343">alea_date(Settings!$B$11,360,Settings!$B$8+alea_int(4,0,Settings!$B$16),Settings!$B$16)</f>
        <v>46190.416666666664</v>
      </c>
      <c r="C2343" s="3" cm="1">
        <f t="array" ref="C2343">B2343+TIME(alea_int(5,1,Settings!$B$16),0,0)</f>
        <v>46190.541666666664</v>
      </c>
      <c r="D2343" s="3" t="str" cm="1">
        <f t="array" ref="D2343">choice(Settings!K:K,1,Settings!$B$16)</f>
        <v>semaine</v>
      </c>
    </row>
    <row r="2344" spans="1:4" x14ac:dyDescent="0.25">
      <c r="A2344" s="2" t="str" cm="1">
        <f t="array" ref="A2344">choice(Professeurs!A:A,1,Settings!$B$16)</f>
        <v>Prof21</v>
      </c>
      <c r="B2344" s="3" cm="1">
        <f t="array" ref="B2344">alea_date(Settings!$B$11,360,Settings!$B$8+alea_int(4,0,Settings!$B$16),Settings!$B$16)</f>
        <v>46314.416666666664</v>
      </c>
      <c r="C2344" s="3" cm="1">
        <f t="array" ref="C2344">B2344+TIME(alea_int(5,1,Settings!$B$16),0,0)</f>
        <v>46314.541666666664</v>
      </c>
      <c r="D2344" s="3" t="str" cm="1">
        <f t="array" ref="D2344">choice(Settings!K:K,1,Settings!$B$16)</f>
        <v/>
      </c>
    </row>
    <row r="2345" spans="1:4" x14ac:dyDescent="0.25">
      <c r="A2345" s="2" t="str" cm="1">
        <f t="array" ref="A2345">choice(Professeurs!A:A,1,Settings!$B$16)</f>
        <v>Prof22</v>
      </c>
      <c r="B2345" s="3" cm="1">
        <f t="array" ref="B2345">alea_date(Settings!$B$11,360,Settings!$B$8+alea_int(4,0,Settings!$B$16),Settings!$B$16)</f>
        <v>46239.375</v>
      </c>
      <c r="C2345" s="3" cm="1">
        <f t="array" ref="C2345">B2345+TIME(alea_int(5,1,Settings!$B$16),0,0)</f>
        <v>46239.583333333336</v>
      </c>
      <c r="D2345" s="3" t="str" cm="1">
        <f t="array" ref="D2345">choice(Settings!K:K,1,Settings!$B$16)</f>
        <v>lundi am</v>
      </c>
    </row>
    <row r="2346" spans="1:4" x14ac:dyDescent="0.25">
      <c r="A2346" s="2" t="str" cm="1">
        <f t="array" ref="A2346">choice(Professeurs!A:A,1,Settings!$B$16)</f>
        <v>Prof26</v>
      </c>
      <c r="B2346" s="3" cm="1">
        <f t="array" ref="B2346">alea_date(Settings!$B$11,360,Settings!$B$8+alea_int(4,0,Settings!$B$16),Settings!$B$16)</f>
        <v>46357.416666666664</v>
      </c>
      <c r="C2346" s="3" cm="1">
        <f t="array" ref="C2346">B2346+TIME(alea_int(5,1,Settings!$B$16),0,0)</f>
        <v>46357.5</v>
      </c>
      <c r="D2346" s="3" t="str" cm="1">
        <f t="array" ref="D2346">choice(Settings!K:K,1,Settings!$B$16)</f>
        <v/>
      </c>
    </row>
    <row r="2347" spans="1:4" x14ac:dyDescent="0.25">
      <c r="A2347" s="2" t="str" cm="1">
        <f t="array" ref="A2347">choice(Professeurs!A:A,1,Settings!$B$16)</f>
        <v>Prof7</v>
      </c>
      <c r="B2347" s="3" cm="1">
        <f t="array" ref="B2347">alea_date(Settings!$B$11,360,Settings!$B$8+alea_int(4,0,Settings!$B$16),Settings!$B$16)</f>
        <v>46086.333333333336</v>
      </c>
      <c r="C2347" s="3" cm="1">
        <f t="array" ref="C2347">B2347+TIME(alea_int(5,1,Settings!$B$16),0,0)</f>
        <v>46086.375</v>
      </c>
      <c r="D2347" s="3" t="str" cm="1">
        <f t="array" ref="D2347">choice(Settings!K:K,1,Settings!$B$16)</f>
        <v/>
      </c>
    </row>
    <row r="2348" spans="1:4" x14ac:dyDescent="0.25">
      <c r="A2348" s="2" t="str" cm="1">
        <f t="array" ref="A2348">choice(Professeurs!A:A,1,Settings!$B$16)</f>
        <v>Prof10</v>
      </c>
      <c r="B2348" s="3" cm="1">
        <f t="array" ref="B2348">alea_date(Settings!$B$11,360,Settings!$B$8+alea_int(4,0,Settings!$B$16),Settings!$B$16)</f>
        <v>46331.333333333336</v>
      </c>
      <c r="C2348" s="3" cm="1">
        <f t="array" ref="C2348">B2348+TIME(alea_int(5,1,Settings!$B$16),0,0)</f>
        <v>46331.416666666672</v>
      </c>
      <c r="D2348" s="3" t="str" cm="1">
        <f t="array" ref="D2348">choice(Settings!K:K,1,Settings!$B$16)</f>
        <v/>
      </c>
    </row>
    <row r="2349" spans="1:4" x14ac:dyDescent="0.25">
      <c r="A2349" s="2" t="str" cm="1">
        <f t="array" ref="A2349">choice(Professeurs!A:A,1,Settings!$B$16)</f>
        <v>Prof10</v>
      </c>
      <c r="B2349" s="3" cm="1">
        <f t="array" ref="B2349">alea_date(Settings!$B$11,360,Settings!$B$8+alea_int(4,0,Settings!$B$16),Settings!$B$16)</f>
        <v>46208.375</v>
      </c>
      <c r="C2349" s="3" cm="1">
        <f t="array" ref="C2349">B2349+TIME(alea_int(5,1,Settings!$B$16),0,0)</f>
        <v>46208.583333333336</v>
      </c>
      <c r="D2349" s="3" t="str" cm="1">
        <f t="array" ref="D2349">choice(Settings!K:K,1,Settings!$B$16)</f>
        <v/>
      </c>
    </row>
    <row r="2350" spans="1:4" x14ac:dyDescent="0.25">
      <c r="A2350" s="2" t="str" cm="1">
        <f t="array" ref="A2350">choice(Professeurs!A:A,1,Settings!$B$16)</f>
        <v>Prof15</v>
      </c>
      <c r="B2350" s="3" cm="1">
        <f t="array" ref="B2350">alea_date(Settings!$B$11,360,Settings!$B$8+alea_int(4,0,Settings!$B$16),Settings!$B$16)</f>
        <v>46190.333333333336</v>
      </c>
      <c r="C2350" s="3" cm="1">
        <f t="array" ref="C2350">B2350+TIME(alea_int(5,1,Settings!$B$16),0,0)</f>
        <v>46190.5</v>
      </c>
      <c r="D2350" s="3" t="str" cm="1">
        <f t="array" ref="D2350">choice(Settings!K:K,1,Settings!$B$16)</f>
        <v/>
      </c>
    </row>
    <row r="2351" spans="1:4" x14ac:dyDescent="0.25">
      <c r="A2351" s="2" t="str" cm="1">
        <f t="array" ref="A2351">choice(Professeurs!A:A,1,Settings!$B$16)</f>
        <v>Prof7</v>
      </c>
      <c r="B2351" s="3" cm="1">
        <f t="array" ref="B2351">alea_date(Settings!$B$11,360,Settings!$B$8+alea_int(4,0,Settings!$B$16),Settings!$B$16)</f>
        <v>46301.375</v>
      </c>
      <c r="C2351" s="3" cm="1">
        <f t="array" ref="C2351">B2351+TIME(alea_int(5,1,Settings!$B$16),0,0)</f>
        <v>46301.583333333336</v>
      </c>
      <c r="D2351" s="3" t="str" cm="1">
        <f t="array" ref="D2351">choice(Settings!K:K,1,Settings!$B$16)</f>
        <v>mercredi ap</v>
      </c>
    </row>
    <row r="2352" spans="1:4" x14ac:dyDescent="0.25">
      <c r="A2352" s="2" t="str" cm="1">
        <f t="array" ref="A2352">choice(Professeurs!A:A,1,Settings!$B$16)</f>
        <v>Prof27</v>
      </c>
      <c r="B2352" s="3" cm="1">
        <f t="array" ref="B2352">alea_date(Settings!$B$11,360,Settings!$B$8+alea_int(4,0,Settings!$B$16),Settings!$B$16)</f>
        <v>46200.458333333336</v>
      </c>
      <c r="C2352" s="3" cm="1">
        <f t="array" ref="C2352">B2352+TIME(alea_int(5,1,Settings!$B$16),0,0)</f>
        <v>46200.5</v>
      </c>
      <c r="D2352" s="3" t="str" cm="1">
        <f t="array" ref="D2352">choice(Settings!K:K,1,Settings!$B$16)</f>
        <v/>
      </c>
    </row>
    <row r="2353" spans="1:4" x14ac:dyDescent="0.25">
      <c r="A2353" s="2" t="str" cm="1">
        <f t="array" ref="A2353">choice(Professeurs!A:A,1,Settings!$B$16)</f>
        <v>Prof40</v>
      </c>
      <c r="B2353" s="3" cm="1">
        <f t="array" ref="B2353">alea_date(Settings!$B$11,360,Settings!$B$8+alea_int(4,0,Settings!$B$16),Settings!$B$16)</f>
        <v>46257.458333333336</v>
      </c>
      <c r="C2353" s="3" cm="1">
        <f t="array" ref="C2353">B2353+TIME(alea_int(5,1,Settings!$B$16),0,0)</f>
        <v>46257.583333333336</v>
      </c>
      <c r="D2353" s="3" t="str" cm="1">
        <f t="array" ref="D2353">choice(Settings!K:K,1,Settings!$B$16)</f>
        <v/>
      </c>
    </row>
    <row r="2354" spans="1:4" x14ac:dyDescent="0.25">
      <c r="A2354" s="2" t="str" cm="1">
        <f t="array" ref="A2354">choice(Professeurs!A:A,1,Settings!$B$16)</f>
        <v>Prof36</v>
      </c>
      <c r="B2354" s="3" cm="1">
        <f t="array" ref="B2354">alea_date(Settings!$B$11,360,Settings!$B$8+alea_int(4,0,Settings!$B$16),Settings!$B$16)</f>
        <v>46252.458333333336</v>
      </c>
      <c r="C2354" s="3" cm="1">
        <f t="array" ref="C2354">B2354+TIME(alea_int(5,1,Settings!$B$16),0,0)</f>
        <v>46252.541666666672</v>
      </c>
      <c r="D2354" s="3" t="str" cm="1">
        <f t="array" ref="D2354">choice(Settings!K:K,1,Settings!$B$16)</f>
        <v>mercredi pm</v>
      </c>
    </row>
    <row r="2355" spans="1:4" x14ac:dyDescent="0.25">
      <c r="A2355" s="2" t="str" cm="1">
        <f t="array" ref="A2355">choice(Professeurs!A:A,1,Settings!$B$16)</f>
        <v>Prof52</v>
      </c>
      <c r="B2355" s="3" cm="1">
        <f t="array" ref="B2355">alea_date(Settings!$B$11,360,Settings!$B$8+alea_int(4,0,Settings!$B$16),Settings!$B$16)</f>
        <v>46049.333333333336</v>
      </c>
      <c r="C2355" s="3" cm="1">
        <f t="array" ref="C2355">B2355+TIME(alea_int(5,1,Settings!$B$16),0,0)</f>
        <v>46049.458333333336</v>
      </c>
      <c r="D2355" s="3" t="str" cm="1">
        <f t="array" ref="D2355">choice(Settings!K:K,1,Settings!$B$16)</f>
        <v/>
      </c>
    </row>
    <row r="2356" spans="1:4" x14ac:dyDescent="0.25">
      <c r="A2356" s="2" t="str" cm="1">
        <f t="array" ref="A2356">choice(Professeurs!A:A,1,Settings!$B$16)</f>
        <v>Prof18</v>
      </c>
      <c r="B2356" s="3" cm="1">
        <f t="array" ref="B2356">alea_date(Settings!$B$11,360,Settings!$B$8+alea_int(4,0,Settings!$B$16),Settings!$B$16)</f>
        <v>46260.458333333336</v>
      </c>
      <c r="C2356" s="3" cm="1">
        <f t="array" ref="C2356">B2356+TIME(alea_int(5,1,Settings!$B$16),0,0)</f>
        <v>46260.5</v>
      </c>
      <c r="D2356" s="3" t="str" cm="1">
        <f t="array" ref="D2356">choice(Settings!K:K,1,Settings!$B$16)</f>
        <v>vendredi am</v>
      </c>
    </row>
    <row r="2357" spans="1:4" x14ac:dyDescent="0.25">
      <c r="A2357" s="2" t="str" cm="1">
        <f t="array" ref="A2357">choice(Professeurs!A:A,1,Settings!$B$16)</f>
        <v>Prof11</v>
      </c>
      <c r="B2357" s="3" cm="1">
        <f t="array" ref="B2357">alea_date(Settings!$B$11,360,Settings!$B$8+alea_int(4,0,Settings!$B$16),Settings!$B$16)</f>
        <v>46368.333333333336</v>
      </c>
      <c r="C2357" s="3" cm="1">
        <f t="array" ref="C2357">B2357+TIME(alea_int(5,1,Settings!$B$16),0,0)</f>
        <v>46368.416666666672</v>
      </c>
      <c r="D2357" s="3" t="str" cm="1">
        <f t="array" ref="D2357">choice(Settings!K:K,1,Settings!$B$16)</f>
        <v>mercredi ap</v>
      </c>
    </row>
    <row r="2358" spans="1:4" x14ac:dyDescent="0.25">
      <c r="A2358" s="2" t="str" cm="1">
        <f t="array" ref="A2358">choice(Professeurs!A:A,1,Settings!$B$16)</f>
        <v>Prof42</v>
      </c>
      <c r="B2358" s="3" cm="1">
        <f t="array" ref="B2358">alea_date(Settings!$B$11,360,Settings!$B$8+alea_int(4,0,Settings!$B$16),Settings!$B$16)</f>
        <v>46029.416666666664</v>
      </c>
      <c r="C2358" s="3" cm="1">
        <f t="array" ref="C2358">B2358+TIME(alea_int(5,1,Settings!$B$16),0,0)</f>
        <v>46029.625</v>
      </c>
      <c r="D2358" s="3" t="str" cm="1">
        <f t="array" ref="D2358">choice(Settings!K:K,1,Settings!$B$16)</f>
        <v/>
      </c>
    </row>
    <row r="2359" spans="1:4" x14ac:dyDescent="0.25">
      <c r="A2359" s="2" t="str" cm="1">
        <f t="array" ref="A2359">choice(Professeurs!A:A,1,Settings!$B$16)</f>
        <v>Prof10</v>
      </c>
      <c r="B2359" s="3" cm="1">
        <f t="array" ref="B2359">alea_date(Settings!$B$11,360,Settings!$B$8+alea_int(4,0,Settings!$B$16),Settings!$B$16)</f>
        <v>46142.333333333336</v>
      </c>
      <c r="C2359" s="3" cm="1">
        <f t="array" ref="C2359">B2359+TIME(alea_int(5,1,Settings!$B$16),0,0)</f>
        <v>46142.541666666672</v>
      </c>
      <c r="D2359" s="3" t="str" cm="1">
        <f t="array" ref="D2359">choice(Settings!K:K,1,Settings!$B$16)</f>
        <v/>
      </c>
    </row>
    <row r="2360" spans="1:4" x14ac:dyDescent="0.25">
      <c r="A2360" s="2" t="str" cm="1">
        <f t="array" ref="A2360">choice(Professeurs!A:A,1,Settings!$B$16)</f>
        <v>Prof33</v>
      </c>
      <c r="B2360" s="3" cm="1">
        <f t="array" ref="B2360">alea_date(Settings!$B$11,360,Settings!$B$8+alea_int(4,0,Settings!$B$16),Settings!$B$16)</f>
        <v>46288.416666666664</v>
      </c>
      <c r="C2360" s="3" cm="1">
        <f t="array" ref="C2360">B2360+TIME(alea_int(5,1,Settings!$B$16),0,0)</f>
        <v>46288.541666666664</v>
      </c>
      <c r="D2360" s="3" t="str" cm="1">
        <f t="array" ref="D2360">choice(Settings!K:K,1,Settings!$B$16)</f>
        <v/>
      </c>
    </row>
    <row r="2361" spans="1:4" x14ac:dyDescent="0.25">
      <c r="A2361" s="2" t="str" cm="1">
        <f t="array" ref="A2361">choice(Professeurs!A:A,1,Settings!$B$16)</f>
        <v>Prof13</v>
      </c>
      <c r="B2361" s="3" cm="1">
        <f t="array" ref="B2361">alea_date(Settings!$B$11,360,Settings!$B$8+alea_int(4,0,Settings!$B$16),Settings!$B$16)</f>
        <v>46228.333333333336</v>
      </c>
      <c r="C2361" s="3" cm="1">
        <f t="array" ref="C2361">B2361+TIME(alea_int(5,1,Settings!$B$16),0,0)</f>
        <v>46228.375</v>
      </c>
      <c r="D2361" s="3" t="str" cm="1">
        <f t="array" ref="D2361">choice(Settings!K:K,1,Settings!$B$16)</f>
        <v/>
      </c>
    </row>
    <row r="2362" spans="1:4" x14ac:dyDescent="0.25">
      <c r="A2362" s="2" t="str" cm="1">
        <f t="array" ref="A2362">choice(Professeurs!A:A,1,Settings!$B$16)</f>
        <v>Prof16</v>
      </c>
      <c r="B2362" s="3" cm="1">
        <f t="array" ref="B2362">alea_date(Settings!$B$11,360,Settings!$B$8+alea_int(4,0,Settings!$B$16),Settings!$B$16)</f>
        <v>46162.375</v>
      </c>
      <c r="C2362" s="3" cm="1">
        <f t="array" ref="C2362">B2362+TIME(alea_int(5,1,Settings!$B$16),0,0)</f>
        <v>46162.416666666664</v>
      </c>
      <c r="D2362" s="3" t="str" cm="1">
        <f t="array" ref="D2362">choice(Settings!K:K,1,Settings!$B$16)</f>
        <v/>
      </c>
    </row>
    <row r="2363" spans="1:4" x14ac:dyDescent="0.25">
      <c r="A2363" s="2" t="str" cm="1">
        <f t="array" ref="A2363">choice(Professeurs!A:A,1,Settings!$B$16)</f>
        <v>Prof16</v>
      </c>
      <c r="B2363" s="3" cm="1">
        <f t="array" ref="B2363">alea_date(Settings!$B$11,360,Settings!$B$8+alea_int(4,0,Settings!$B$16),Settings!$B$16)</f>
        <v>46362.375</v>
      </c>
      <c r="C2363" s="3" cm="1">
        <f t="array" ref="C2363">B2363+TIME(alea_int(5,1,Settings!$B$16),0,0)</f>
        <v>46362.541666666664</v>
      </c>
      <c r="D2363" s="3" t="str" cm="1">
        <f t="array" ref="D2363">choice(Settings!K:K,1,Settings!$B$16)</f>
        <v/>
      </c>
    </row>
    <row r="2364" spans="1:4" x14ac:dyDescent="0.25">
      <c r="A2364" s="2" t="str" cm="1">
        <f t="array" ref="A2364">choice(Professeurs!A:A,1,Settings!$B$16)</f>
        <v>Prof38</v>
      </c>
      <c r="B2364" s="3" cm="1">
        <f t="array" ref="B2364">alea_date(Settings!$B$11,360,Settings!$B$8+alea_int(4,0,Settings!$B$16),Settings!$B$16)</f>
        <v>46376.333333333336</v>
      </c>
      <c r="C2364" s="3" cm="1">
        <f t="array" ref="C2364">B2364+TIME(alea_int(5,1,Settings!$B$16),0,0)</f>
        <v>46376.375</v>
      </c>
      <c r="D2364" s="3" t="str" cm="1">
        <f t="array" ref="D2364">choice(Settings!K:K,1,Settings!$B$16)</f>
        <v>mardi pm</v>
      </c>
    </row>
    <row r="2365" spans="1:4" x14ac:dyDescent="0.25">
      <c r="A2365" s="2" t="str" cm="1">
        <f t="array" ref="A2365">choice(Professeurs!A:A,1,Settings!$B$16)</f>
        <v>Prof19</v>
      </c>
      <c r="B2365" s="3" cm="1">
        <f t="array" ref="B2365">alea_date(Settings!$B$11,360,Settings!$B$8+alea_int(4,0,Settings!$B$16),Settings!$B$16)</f>
        <v>46169.333333333336</v>
      </c>
      <c r="C2365" s="3" cm="1">
        <f t="array" ref="C2365">B2365+TIME(alea_int(5,1,Settings!$B$16),0,0)</f>
        <v>46169.541666666672</v>
      </c>
      <c r="D2365" s="3" t="str" cm="1">
        <f t="array" ref="D2365">choice(Settings!K:K,1,Settings!$B$16)</f>
        <v/>
      </c>
    </row>
    <row r="2366" spans="1:4" x14ac:dyDescent="0.25">
      <c r="A2366" s="2" t="str" cm="1">
        <f t="array" ref="A2366">choice(Professeurs!A:A,1,Settings!$B$16)</f>
        <v>Prof23</v>
      </c>
      <c r="B2366" s="3" cm="1">
        <f t="array" ref="B2366">alea_date(Settings!$B$11,360,Settings!$B$8+alea_int(4,0,Settings!$B$16),Settings!$B$16)</f>
        <v>46095.333333333336</v>
      </c>
      <c r="C2366" s="3" cm="1">
        <f t="array" ref="C2366">B2366+TIME(alea_int(5,1,Settings!$B$16),0,0)</f>
        <v>46095.5</v>
      </c>
      <c r="D2366" s="3" t="str" cm="1">
        <f t="array" ref="D2366">choice(Settings!K:K,1,Settings!$B$16)</f>
        <v>lundi am</v>
      </c>
    </row>
    <row r="2367" spans="1:4" x14ac:dyDescent="0.25">
      <c r="A2367" s="2"/>
      <c r="B2367" s="3"/>
      <c r="C2367" s="3"/>
      <c r="D2367" s="3"/>
    </row>
    <row r="2368" spans="1:4" x14ac:dyDescent="0.25">
      <c r="A2368" s="2"/>
      <c r="B2368" s="3"/>
      <c r="C2368" s="3"/>
      <c r="D2368" s="3"/>
    </row>
    <row r="2369" spans="1:4" x14ac:dyDescent="0.25">
      <c r="A2369" s="2"/>
      <c r="B2369" s="3"/>
      <c r="C2369" s="3"/>
      <c r="D2369" s="3"/>
    </row>
    <row r="2370" spans="1:4" x14ac:dyDescent="0.25">
      <c r="A2370" s="2"/>
      <c r="B2370" s="3"/>
      <c r="C2370" s="3"/>
      <c r="D2370" s="3"/>
    </row>
    <row r="2371" spans="1:4" x14ac:dyDescent="0.25">
      <c r="A2371" s="2"/>
      <c r="B2371" s="3"/>
      <c r="C2371" s="3"/>
      <c r="D2371" s="3"/>
    </row>
    <row r="2372" spans="1:4" x14ac:dyDescent="0.25">
      <c r="A2372" s="2"/>
      <c r="B2372" s="3"/>
      <c r="C2372" s="3"/>
      <c r="D2372" s="3"/>
    </row>
    <row r="2373" spans="1:4" x14ac:dyDescent="0.25">
      <c r="A2373" s="2"/>
      <c r="B2373" s="3"/>
      <c r="C2373" s="3"/>
      <c r="D2373" s="3"/>
    </row>
    <row r="2374" spans="1:4" x14ac:dyDescent="0.25">
      <c r="A2374" s="2"/>
      <c r="B2374" s="3"/>
      <c r="C2374" s="3"/>
      <c r="D2374" s="3"/>
    </row>
    <row r="2375" spans="1:4" x14ac:dyDescent="0.25">
      <c r="A2375" s="2"/>
      <c r="B2375" s="3"/>
      <c r="C2375" s="3"/>
      <c r="D2375" s="3"/>
    </row>
    <row r="2376" spans="1:4" x14ac:dyDescent="0.25">
      <c r="A2376" s="2"/>
      <c r="B2376" s="3"/>
      <c r="C2376" s="3"/>
      <c r="D2376" s="3"/>
    </row>
    <row r="2377" spans="1:4" x14ac:dyDescent="0.25">
      <c r="A2377" s="2"/>
      <c r="B2377" s="3"/>
      <c r="C2377" s="3"/>
      <c r="D2377" s="3"/>
    </row>
    <row r="2378" spans="1:4" x14ac:dyDescent="0.25">
      <c r="A2378" s="2"/>
      <c r="B2378" s="3"/>
      <c r="C2378" s="3"/>
      <c r="D2378" s="3"/>
    </row>
    <row r="2379" spans="1:4" x14ac:dyDescent="0.25">
      <c r="A2379" s="2"/>
      <c r="B2379" s="3"/>
      <c r="C2379" s="3"/>
      <c r="D2379" s="3"/>
    </row>
    <row r="2380" spans="1:4" x14ac:dyDescent="0.25">
      <c r="A2380" s="2"/>
      <c r="B2380" s="3"/>
      <c r="C2380" s="3"/>
      <c r="D2380" s="3"/>
    </row>
    <row r="2381" spans="1:4" x14ac:dyDescent="0.25">
      <c r="A2381" s="2"/>
      <c r="B2381" s="3"/>
      <c r="C2381" s="3"/>
      <c r="D2381" s="3"/>
    </row>
    <row r="2382" spans="1:4" x14ac:dyDescent="0.25">
      <c r="A2382" s="2"/>
      <c r="B2382" s="3"/>
      <c r="C2382" s="3"/>
      <c r="D2382" s="3"/>
    </row>
    <row r="2383" spans="1:4" x14ac:dyDescent="0.25">
      <c r="A2383" s="2"/>
      <c r="B2383" s="3"/>
      <c r="C2383" s="3"/>
      <c r="D2383" s="3"/>
    </row>
    <row r="2384" spans="1:4" x14ac:dyDescent="0.25">
      <c r="A2384" s="2"/>
      <c r="B2384" s="3"/>
      <c r="C2384" s="3"/>
      <c r="D2384" s="3"/>
    </row>
    <row r="2385" spans="1:4" x14ac:dyDescent="0.25">
      <c r="A2385" s="2"/>
      <c r="B2385" s="3"/>
      <c r="C2385" s="3"/>
      <c r="D2385" s="3"/>
    </row>
    <row r="2386" spans="1:4" x14ac:dyDescent="0.25">
      <c r="A2386" s="2"/>
      <c r="B2386" s="3"/>
      <c r="C2386" s="3"/>
      <c r="D2386" s="3"/>
    </row>
    <row r="2387" spans="1:4" x14ac:dyDescent="0.25">
      <c r="A2387" s="2"/>
      <c r="B2387" s="3"/>
      <c r="C2387" s="3"/>
      <c r="D2387" s="3"/>
    </row>
    <row r="2388" spans="1:4" x14ac:dyDescent="0.25">
      <c r="A2388" s="2"/>
      <c r="B2388" s="3"/>
      <c r="C2388" s="3"/>
      <c r="D2388" s="3"/>
    </row>
    <row r="2389" spans="1:4" x14ac:dyDescent="0.25">
      <c r="A2389" s="2"/>
      <c r="B2389" s="3"/>
      <c r="C2389" s="3"/>
      <c r="D2389" s="3"/>
    </row>
    <row r="2390" spans="1:4" x14ac:dyDescent="0.25">
      <c r="A2390" s="2"/>
      <c r="B2390" s="3"/>
      <c r="C2390" s="3"/>
      <c r="D2390" s="3"/>
    </row>
    <row r="2391" spans="1:4" x14ac:dyDescent="0.25">
      <c r="A2391" s="2"/>
      <c r="B2391" s="3"/>
      <c r="C2391" s="3"/>
      <c r="D2391" s="3"/>
    </row>
    <row r="2392" spans="1:4" x14ac:dyDescent="0.25">
      <c r="A2392" s="2"/>
      <c r="B2392" s="3"/>
      <c r="C2392" s="3"/>
      <c r="D2392" s="3"/>
    </row>
    <row r="2393" spans="1:4" x14ac:dyDescent="0.25">
      <c r="A2393" s="2"/>
      <c r="B2393" s="3"/>
      <c r="C2393" s="3"/>
      <c r="D2393" s="3"/>
    </row>
    <row r="2394" spans="1:4" x14ac:dyDescent="0.25">
      <c r="A2394" s="2"/>
      <c r="B2394" s="3"/>
      <c r="C2394" s="3"/>
      <c r="D2394" s="3"/>
    </row>
    <row r="2395" spans="1:4" x14ac:dyDescent="0.25">
      <c r="A2395" s="2"/>
      <c r="B2395" s="3"/>
      <c r="C2395" s="3"/>
      <c r="D2395" s="3"/>
    </row>
    <row r="2396" spans="1:4" x14ac:dyDescent="0.25">
      <c r="A2396" s="2"/>
      <c r="B2396" s="3"/>
      <c r="C2396" s="3"/>
      <c r="D2396" s="3"/>
    </row>
    <row r="2397" spans="1:4" x14ac:dyDescent="0.25">
      <c r="A2397" s="2"/>
      <c r="B2397" s="3"/>
      <c r="C2397" s="3"/>
      <c r="D2397" s="3"/>
    </row>
    <row r="2398" spans="1:4" x14ac:dyDescent="0.25">
      <c r="A2398" s="2"/>
      <c r="B2398" s="3"/>
      <c r="C2398" s="3"/>
      <c r="D2398" s="3"/>
    </row>
    <row r="2399" spans="1:4" x14ac:dyDescent="0.25">
      <c r="A2399" s="2"/>
      <c r="B2399" s="3"/>
      <c r="C2399" s="3"/>
      <c r="D2399" s="3"/>
    </row>
    <row r="2400" spans="1:4" x14ac:dyDescent="0.25">
      <c r="A2400" s="2"/>
      <c r="B2400" s="3"/>
      <c r="C2400" s="3"/>
      <c r="D2400" s="3"/>
    </row>
    <row r="2401" spans="1:4" x14ac:dyDescent="0.25">
      <c r="A2401" s="2"/>
      <c r="B2401" s="3"/>
      <c r="C2401" s="3"/>
      <c r="D2401" s="3"/>
    </row>
    <row r="2402" spans="1:4" x14ac:dyDescent="0.25">
      <c r="A2402" s="2"/>
      <c r="B2402" s="3"/>
      <c r="C2402" s="3"/>
      <c r="D2402" s="3"/>
    </row>
    <row r="2403" spans="1:4" x14ac:dyDescent="0.25">
      <c r="A2403" s="2"/>
      <c r="B2403" s="3"/>
      <c r="C2403" s="3"/>
      <c r="D2403" s="3"/>
    </row>
    <row r="2404" spans="1:4" x14ac:dyDescent="0.25">
      <c r="A2404" s="2"/>
      <c r="B2404" s="3"/>
      <c r="C2404" s="3"/>
      <c r="D2404" s="3"/>
    </row>
    <row r="2405" spans="1:4" x14ac:dyDescent="0.25">
      <c r="A2405" s="2"/>
      <c r="B2405" s="3"/>
      <c r="C2405" s="3"/>
      <c r="D2405" s="3"/>
    </row>
    <row r="2406" spans="1:4" x14ac:dyDescent="0.25">
      <c r="A2406" s="2"/>
      <c r="B2406" s="3"/>
      <c r="C2406" s="3"/>
      <c r="D2406" s="3"/>
    </row>
    <row r="2407" spans="1:4" x14ac:dyDescent="0.25">
      <c r="A2407" s="2"/>
      <c r="B2407" s="3"/>
      <c r="C2407" s="3"/>
      <c r="D2407" s="3"/>
    </row>
    <row r="2408" spans="1:4" x14ac:dyDescent="0.25">
      <c r="A2408" s="2"/>
      <c r="B2408" s="3"/>
      <c r="C2408" s="3"/>
      <c r="D2408" s="3"/>
    </row>
    <row r="2409" spans="1:4" x14ac:dyDescent="0.25">
      <c r="A2409" s="2"/>
      <c r="B2409" s="3"/>
      <c r="C2409" s="3"/>
      <c r="D2409" s="3"/>
    </row>
    <row r="2410" spans="1:4" x14ac:dyDescent="0.25">
      <c r="A2410" s="2"/>
      <c r="B2410" s="3"/>
      <c r="C2410" s="3"/>
      <c r="D2410" s="3"/>
    </row>
    <row r="2411" spans="1:4" x14ac:dyDescent="0.25">
      <c r="A2411" s="2"/>
      <c r="B2411" s="3"/>
      <c r="C2411" s="3"/>
      <c r="D2411" s="3"/>
    </row>
    <row r="2412" spans="1:4" x14ac:dyDescent="0.25">
      <c r="A2412" s="2"/>
      <c r="B2412" s="3"/>
      <c r="C2412" s="3"/>
      <c r="D2412" s="3"/>
    </row>
    <row r="2413" spans="1:4" x14ac:dyDescent="0.25">
      <c r="A2413" s="2"/>
      <c r="B2413" s="3"/>
      <c r="C2413" s="3"/>
      <c r="D2413" s="3"/>
    </row>
    <row r="2414" spans="1:4" x14ac:dyDescent="0.25">
      <c r="A2414" s="2"/>
      <c r="B2414" s="3"/>
      <c r="C2414" s="3"/>
      <c r="D2414" s="3"/>
    </row>
    <row r="2415" spans="1:4" x14ac:dyDescent="0.25">
      <c r="A2415" s="2"/>
      <c r="B2415" s="3"/>
      <c r="C2415" s="3"/>
      <c r="D2415" s="3"/>
    </row>
    <row r="2416" spans="1:4" x14ac:dyDescent="0.25">
      <c r="A2416" s="2"/>
      <c r="B2416" s="3"/>
      <c r="C2416" s="3"/>
      <c r="D2416" s="3"/>
    </row>
    <row r="2417" spans="1:4" x14ac:dyDescent="0.25">
      <c r="A2417" s="2"/>
      <c r="B2417" s="3"/>
      <c r="C2417" s="3"/>
      <c r="D2417" s="3"/>
    </row>
    <row r="2418" spans="1:4" x14ac:dyDescent="0.25">
      <c r="A2418" s="2"/>
      <c r="B2418" s="3"/>
      <c r="C2418" s="3"/>
      <c r="D2418" s="3"/>
    </row>
    <row r="2419" spans="1:4" x14ac:dyDescent="0.25">
      <c r="A2419" s="2"/>
      <c r="B2419" s="3"/>
      <c r="C2419" s="3"/>
      <c r="D2419" s="3"/>
    </row>
    <row r="2420" spans="1:4" x14ac:dyDescent="0.25">
      <c r="A2420" s="2"/>
      <c r="B2420" s="3"/>
      <c r="C2420" s="3"/>
      <c r="D2420" s="3"/>
    </row>
    <row r="2421" spans="1:4" x14ac:dyDescent="0.25">
      <c r="A2421" s="2"/>
      <c r="B2421" s="3"/>
      <c r="C2421" s="3"/>
      <c r="D2421" s="3"/>
    </row>
    <row r="2422" spans="1:4" x14ac:dyDescent="0.25">
      <c r="A2422" s="2"/>
      <c r="B2422" s="3"/>
      <c r="C2422" s="3"/>
      <c r="D2422" s="3"/>
    </row>
    <row r="2423" spans="1:4" x14ac:dyDescent="0.25">
      <c r="A2423" s="2"/>
      <c r="B2423" s="3"/>
      <c r="C2423" s="3"/>
      <c r="D2423" s="3"/>
    </row>
    <row r="2424" spans="1:4" x14ac:dyDescent="0.25">
      <c r="A2424" s="2"/>
      <c r="B2424" s="3"/>
      <c r="C2424" s="3"/>
      <c r="D2424" s="3"/>
    </row>
    <row r="2425" spans="1:4" x14ac:dyDescent="0.25">
      <c r="A2425" s="2"/>
      <c r="B2425" s="3"/>
      <c r="C2425" s="3"/>
      <c r="D2425" s="3"/>
    </row>
    <row r="2426" spans="1:4" x14ac:dyDescent="0.25">
      <c r="A2426" s="2"/>
      <c r="B2426" s="3"/>
      <c r="C2426" s="3"/>
      <c r="D2426" s="3"/>
    </row>
    <row r="2427" spans="1:4" x14ac:dyDescent="0.25">
      <c r="A2427" s="2"/>
      <c r="B2427" s="3"/>
      <c r="C2427" s="3"/>
      <c r="D2427" s="3"/>
    </row>
    <row r="2428" spans="1:4" x14ac:dyDescent="0.25">
      <c r="A2428" s="2"/>
      <c r="B2428" s="3"/>
      <c r="C2428" s="3"/>
      <c r="D2428" s="3"/>
    </row>
    <row r="2429" spans="1:4" x14ac:dyDescent="0.25">
      <c r="A2429" s="2"/>
      <c r="B2429" s="3"/>
      <c r="C2429" s="3"/>
      <c r="D2429" s="3"/>
    </row>
    <row r="2430" spans="1:4" x14ac:dyDescent="0.25">
      <c r="A2430" s="2"/>
      <c r="B2430" s="3"/>
      <c r="C2430" s="3"/>
      <c r="D2430" s="3"/>
    </row>
    <row r="2431" spans="1:4" x14ac:dyDescent="0.25">
      <c r="A2431" s="2"/>
      <c r="B2431" s="3"/>
      <c r="C2431" s="3"/>
      <c r="D2431" s="3"/>
    </row>
    <row r="2432" spans="1:4" x14ac:dyDescent="0.25">
      <c r="A2432" s="2"/>
      <c r="B2432" s="3"/>
      <c r="C2432" s="3"/>
      <c r="D2432" s="3"/>
    </row>
    <row r="2433" spans="1:4" x14ac:dyDescent="0.25">
      <c r="A2433" s="2"/>
      <c r="B2433" s="3"/>
      <c r="C2433" s="3"/>
      <c r="D2433" s="3"/>
    </row>
    <row r="2434" spans="1:4" x14ac:dyDescent="0.25">
      <c r="A2434" s="2"/>
      <c r="B2434" s="3"/>
      <c r="C2434" s="3"/>
      <c r="D2434" s="3"/>
    </row>
    <row r="2435" spans="1:4" x14ac:dyDescent="0.25">
      <c r="A2435" s="2"/>
      <c r="B2435" s="3"/>
      <c r="C2435" s="3"/>
      <c r="D2435" s="3"/>
    </row>
    <row r="2436" spans="1:4" x14ac:dyDescent="0.25">
      <c r="A2436" s="2"/>
      <c r="B2436" s="3"/>
      <c r="C2436" s="3"/>
      <c r="D2436" s="3"/>
    </row>
    <row r="2437" spans="1:4" x14ac:dyDescent="0.25">
      <c r="A2437" s="2"/>
      <c r="B2437" s="3"/>
      <c r="C2437" s="3"/>
      <c r="D2437" s="3"/>
    </row>
    <row r="2438" spans="1:4" x14ac:dyDescent="0.25">
      <c r="A2438" s="2"/>
      <c r="B2438" s="3"/>
      <c r="C2438" s="3"/>
      <c r="D2438" s="3"/>
    </row>
    <row r="2439" spans="1:4" x14ac:dyDescent="0.25">
      <c r="A2439" s="2"/>
      <c r="B2439" s="3"/>
      <c r="C2439" s="3"/>
      <c r="D2439" s="3"/>
    </row>
    <row r="2440" spans="1:4" x14ac:dyDescent="0.25">
      <c r="A2440" s="2"/>
      <c r="B2440" s="3"/>
      <c r="C2440" s="3"/>
      <c r="D2440" s="3"/>
    </row>
    <row r="2441" spans="1:4" x14ac:dyDescent="0.25">
      <c r="A2441" s="2"/>
      <c r="B2441" s="3"/>
      <c r="C2441" s="3"/>
      <c r="D2441" s="3"/>
    </row>
    <row r="2442" spans="1:4" x14ac:dyDescent="0.25">
      <c r="A2442" s="2"/>
      <c r="B2442" s="3"/>
      <c r="C2442" s="3"/>
      <c r="D2442" s="3"/>
    </row>
    <row r="2443" spans="1:4" x14ac:dyDescent="0.25">
      <c r="A2443" s="2"/>
      <c r="B2443" s="3"/>
      <c r="C2443" s="3"/>
      <c r="D2443" s="3"/>
    </row>
    <row r="2444" spans="1:4" x14ac:dyDescent="0.25">
      <c r="A2444" s="2"/>
      <c r="B2444" s="3"/>
      <c r="C2444" s="3"/>
      <c r="D2444" s="3"/>
    </row>
    <row r="2445" spans="1:4" x14ac:dyDescent="0.25">
      <c r="A2445" s="2"/>
      <c r="B2445" s="3"/>
      <c r="C2445" s="3"/>
      <c r="D2445" s="3"/>
    </row>
    <row r="2446" spans="1:4" x14ac:dyDescent="0.25">
      <c r="A2446" s="2"/>
      <c r="B2446" s="3"/>
      <c r="C2446" s="3"/>
      <c r="D2446" s="3"/>
    </row>
    <row r="2447" spans="1:4" x14ac:dyDescent="0.25">
      <c r="A2447" s="2"/>
      <c r="B2447" s="3"/>
      <c r="C2447" s="3"/>
      <c r="D2447" s="3"/>
    </row>
    <row r="2448" spans="1:4" x14ac:dyDescent="0.25">
      <c r="A2448" s="2"/>
      <c r="B2448" s="3"/>
      <c r="C2448" s="3"/>
      <c r="D2448" s="3"/>
    </row>
    <row r="2449" spans="1:4" x14ac:dyDescent="0.25">
      <c r="A2449" s="2"/>
      <c r="B2449" s="3"/>
      <c r="C2449" s="3"/>
      <c r="D2449" s="3"/>
    </row>
    <row r="2450" spans="1:4" x14ac:dyDescent="0.25">
      <c r="A2450" s="2"/>
      <c r="B2450" s="3"/>
      <c r="C2450" s="3"/>
      <c r="D2450" s="3"/>
    </row>
    <row r="2451" spans="1:4" x14ac:dyDescent="0.25">
      <c r="A2451" s="2"/>
      <c r="B2451" s="3"/>
      <c r="C2451" s="3"/>
      <c r="D2451" s="3"/>
    </row>
    <row r="2452" spans="1:4" x14ac:dyDescent="0.25">
      <c r="A2452" s="2"/>
      <c r="B2452" s="3"/>
      <c r="C2452" s="3"/>
      <c r="D2452" s="3"/>
    </row>
    <row r="2453" spans="1:4" x14ac:dyDescent="0.25">
      <c r="A2453" s="2"/>
      <c r="B2453" s="3"/>
      <c r="C2453" s="3"/>
      <c r="D2453" s="3"/>
    </row>
    <row r="2454" spans="1:4" x14ac:dyDescent="0.25">
      <c r="A2454" s="2"/>
      <c r="B2454" s="3"/>
      <c r="C2454" s="3"/>
      <c r="D2454" s="3"/>
    </row>
    <row r="2455" spans="1:4" x14ac:dyDescent="0.25">
      <c r="A2455" s="2"/>
      <c r="B2455" s="3"/>
      <c r="C2455" s="3"/>
      <c r="D2455" s="3"/>
    </row>
    <row r="2456" spans="1:4" x14ac:dyDescent="0.25">
      <c r="A2456" s="2"/>
      <c r="B2456" s="3"/>
      <c r="C2456" s="3"/>
      <c r="D2456" s="3"/>
    </row>
    <row r="2457" spans="1:4" x14ac:dyDescent="0.25">
      <c r="A2457" s="2"/>
      <c r="B2457" s="3"/>
      <c r="C2457" s="3"/>
      <c r="D2457" s="3"/>
    </row>
    <row r="2458" spans="1:4" x14ac:dyDescent="0.25">
      <c r="A2458" s="2"/>
      <c r="B2458" s="3"/>
      <c r="C2458" s="3"/>
      <c r="D2458" s="3"/>
    </row>
    <row r="2459" spans="1:4" x14ac:dyDescent="0.25">
      <c r="A2459" s="2"/>
      <c r="B2459" s="3"/>
      <c r="C2459" s="3"/>
      <c r="D2459" s="3"/>
    </row>
    <row r="2460" spans="1:4" x14ac:dyDescent="0.25">
      <c r="A2460" s="2"/>
      <c r="B2460" s="3"/>
      <c r="C2460" s="3"/>
      <c r="D2460" s="3"/>
    </row>
    <row r="2461" spans="1:4" x14ac:dyDescent="0.25">
      <c r="A2461" s="2"/>
      <c r="B2461" s="3"/>
      <c r="C2461" s="3"/>
      <c r="D2461" s="3"/>
    </row>
    <row r="2462" spans="1:4" x14ac:dyDescent="0.25">
      <c r="A2462" s="2"/>
      <c r="B2462" s="3"/>
      <c r="C2462" s="3"/>
      <c r="D2462" s="3"/>
    </row>
    <row r="2463" spans="1:4" x14ac:dyDescent="0.25">
      <c r="A2463" s="2"/>
      <c r="B2463" s="3"/>
      <c r="C2463" s="3"/>
      <c r="D2463" s="3"/>
    </row>
    <row r="2464" spans="1:4" x14ac:dyDescent="0.25">
      <c r="A2464" s="2"/>
      <c r="B2464" s="3"/>
      <c r="C2464" s="3"/>
      <c r="D2464" s="3"/>
    </row>
    <row r="2465" spans="1:4" x14ac:dyDescent="0.25">
      <c r="A2465" s="2"/>
      <c r="B2465" s="3"/>
      <c r="C2465" s="3"/>
      <c r="D2465" s="3"/>
    </row>
    <row r="2466" spans="1:4" x14ac:dyDescent="0.25">
      <c r="A2466" s="2"/>
      <c r="B2466" s="3"/>
      <c r="C2466" s="3"/>
      <c r="D2466" s="3"/>
    </row>
    <row r="2467" spans="1:4" x14ac:dyDescent="0.25">
      <c r="A2467" s="2"/>
      <c r="B2467" s="3"/>
      <c r="C2467" s="3"/>
      <c r="D2467" s="3"/>
    </row>
    <row r="2468" spans="1:4" x14ac:dyDescent="0.25">
      <c r="A2468" s="2"/>
      <c r="B2468" s="3"/>
      <c r="C2468" s="3"/>
      <c r="D2468" s="3"/>
    </row>
    <row r="2469" spans="1:4" x14ac:dyDescent="0.25">
      <c r="A2469" s="2"/>
      <c r="B2469" s="3"/>
      <c r="C2469" s="3"/>
      <c r="D2469" s="3"/>
    </row>
    <row r="2470" spans="1:4" x14ac:dyDescent="0.25">
      <c r="A2470" s="2"/>
      <c r="B2470" s="3"/>
      <c r="C2470" s="3"/>
      <c r="D2470" s="3"/>
    </row>
    <row r="2471" spans="1:4" x14ac:dyDescent="0.25">
      <c r="A2471" s="2"/>
      <c r="B2471" s="3"/>
      <c r="C2471" s="3"/>
      <c r="D2471" s="3"/>
    </row>
    <row r="2472" spans="1:4" x14ac:dyDescent="0.25">
      <c r="A2472" s="2"/>
      <c r="B2472" s="3"/>
      <c r="C2472" s="3"/>
      <c r="D2472" s="3"/>
    </row>
    <row r="2473" spans="1:4" x14ac:dyDescent="0.25">
      <c r="A2473" s="2"/>
      <c r="B2473" s="3"/>
      <c r="C2473" s="3"/>
      <c r="D2473" s="3"/>
    </row>
    <row r="2474" spans="1:4" x14ac:dyDescent="0.25">
      <c r="A2474" s="2"/>
      <c r="B2474" s="3"/>
      <c r="C2474" s="3"/>
      <c r="D2474" s="3"/>
    </row>
    <row r="2475" spans="1:4" x14ac:dyDescent="0.25">
      <c r="A2475" s="2"/>
      <c r="B2475" s="3"/>
      <c r="C2475" s="3"/>
      <c r="D2475" s="3"/>
    </row>
    <row r="2476" spans="1:4" x14ac:dyDescent="0.25">
      <c r="A2476" s="2"/>
      <c r="B2476" s="3"/>
      <c r="C2476" s="3"/>
      <c r="D2476" s="3"/>
    </row>
    <row r="2477" spans="1:4" x14ac:dyDescent="0.25">
      <c r="A2477" s="2"/>
      <c r="B2477" s="3"/>
      <c r="C2477" s="3"/>
      <c r="D2477" s="3"/>
    </row>
    <row r="2478" spans="1:4" x14ac:dyDescent="0.25">
      <c r="A2478" s="2"/>
      <c r="B2478" s="3"/>
      <c r="C2478" s="3"/>
      <c r="D2478" s="3"/>
    </row>
    <row r="2479" spans="1:4" x14ac:dyDescent="0.25">
      <c r="A2479" s="2"/>
      <c r="B2479" s="3"/>
      <c r="C2479" s="3"/>
      <c r="D2479" s="3"/>
    </row>
    <row r="2480" spans="1:4" x14ac:dyDescent="0.25">
      <c r="A2480" s="2"/>
      <c r="B2480" s="3"/>
      <c r="C2480" s="3"/>
      <c r="D2480" s="3"/>
    </row>
    <row r="2481" spans="1:4" x14ac:dyDescent="0.25">
      <c r="A2481" s="2"/>
      <c r="B2481" s="3"/>
      <c r="C2481" s="3"/>
      <c r="D2481" s="3"/>
    </row>
    <row r="2482" spans="1:4" x14ac:dyDescent="0.25">
      <c r="A2482" s="2"/>
      <c r="B2482" s="3"/>
      <c r="C2482" s="3"/>
      <c r="D2482" s="3"/>
    </row>
    <row r="2483" spans="1:4" x14ac:dyDescent="0.25">
      <c r="A2483" s="2"/>
      <c r="B2483" s="3"/>
      <c r="C2483" s="3"/>
      <c r="D2483" s="3"/>
    </row>
    <row r="2484" spans="1:4" x14ac:dyDescent="0.25">
      <c r="A2484" s="2"/>
      <c r="B2484" s="3"/>
      <c r="C2484" s="3"/>
      <c r="D2484" s="3"/>
    </row>
    <row r="2485" spans="1:4" x14ac:dyDescent="0.25">
      <c r="A2485" s="2"/>
      <c r="B2485" s="3"/>
      <c r="C2485" s="3"/>
      <c r="D2485" s="3"/>
    </row>
    <row r="2486" spans="1:4" x14ac:dyDescent="0.25">
      <c r="A2486" s="2"/>
      <c r="B2486" s="3"/>
      <c r="C2486" s="3"/>
      <c r="D2486" s="3"/>
    </row>
    <row r="2487" spans="1:4" x14ac:dyDescent="0.25">
      <c r="A2487" s="2"/>
      <c r="B2487" s="3"/>
      <c r="C2487" s="3"/>
      <c r="D2487" s="3"/>
    </row>
    <row r="2488" spans="1:4" x14ac:dyDescent="0.25">
      <c r="A2488" s="2"/>
      <c r="B2488" s="3"/>
      <c r="C2488" s="3"/>
      <c r="D2488" s="3"/>
    </row>
    <row r="2489" spans="1:4" x14ac:dyDescent="0.25">
      <c r="A2489" s="2"/>
      <c r="B2489" s="3"/>
      <c r="C2489" s="3"/>
      <c r="D2489" s="3"/>
    </row>
    <row r="2490" spans="1:4" x14ac:dyDescent="0.25">
      <c r="A2490" s="2"/>
      <c r="B2490" s="3"/>
      <c r="C2490" s="3"/>
      <c r="D2490" s="3"/>
    </row>
    <row r="2491" spans="1:4" x14ac:dyDescent="0.25">
      <c r="A2491" s="2"/>
      <c r="B2491" s="3"/>
      <c r="C2491" s="3"/>
      <c r="D2491" s="3"/>
    </row>
    <row r="2492" spans="1:4" x14ac:dyDescent="0.25">
      <c r="A2492" s="2"/>
      <c r="B2492" s="3"/>
      <c r="C2492" s="3"/>
      <c r="D2492" s="3"/>
    </row>
    <row r="2493" spans="1:4" x14ac:dyDescent="0.25">
      <c r="A2493" s="2"/>
      <c r="B2493" s="3"/>
      <c r="C2493" s="3"/>
      <c r="D2493" s="3"/>
    </row>
    <row r="2494" spans="1:4" x14ac:dyDescent="0.25">
      <c r="A2494" s="2"/>
      <c r="B2494" s="3"/>
      <c r="C2494" s="3"/>
      <c r="D2494" s="3"/>
    </row>
    <row r="2495" spans="1:4" x14ac:dyDescent="0.25">
      <c r="A2495" s="2"/>
      <c r="B2495" s="3"/>
      <c r="C2495" s="3"/>
      <c r="D2495" s="3"/>
    </row>
    <row r="2496" spans="1:4" x14ac:dyDescent="0.25">
      <c r="A2496" s="2"/>
      <c r="B2496" s="3"/>
      <c r="C2496" s="3"/>
      <c r="D2496" s="3"/>
    </row>
    <row r="2497" spans="1:4" x14ac:dyDescent="0.25">
      <c r="A2497" s="2"/>
      <c r="B2497" s="3"/>
      <c r="C2497" s="3"/>
      <c r="D2497" s="3"/>
    </row>
    <row r="2498" spans="1:4" x14ac:dyDescent="0.25">
      <c r="A2498" s="2"/>
      <c r="B2498" s="3"/>
      <c r="C2498" s="3"/>
      <c r="D2498" s="3"/>
    </row>
    <row r="2499" spans="1:4" x14ac:dyDescent="0.25">
      <c r="A2499" s="2"/>
      <c r="B2499" s="3"/>
      <c r="C2499" s="3"/>
      <c r="D2499" s="3"/>
    </row>
    <row r="2500" spans="1:4" x14ac:dyDescent="0.25">
      <c r="A2500" s="2"/>
      <c r="B2500" s="3"/>
      <c r="C2500" s="3"/>
      <c r="D2500" s="3"/>
    </row>
    <row r="2501" spans="1:4" x14ac:dyDescent="0.25">
      <c r="A2501" s="2"/>
      <c r="B2501" s="3"/>
      <c r="C2501" s="3"/>
      <c r="D2501" s="3"/>
    </row>
    <row r="2502" spans="1:4" x14ac:dyDescent="0.25">
      <c r="A2502" s="2"/>
      <c r="B2502" s="3"/>
      <c r="C2502" s="3"/>
      <c r="D2502" s="3"/>
    </row>
    <row r="2503" spans="1:4" x14ac:dyDescent="0.25">
      <c r="A2503" s="2"/>
      <c r="B2503" s="3"/>
      <c r="C2503" s="3"/>
      <c r="D2503" s="3"/>
    </row>
    <row r="2504" spans="1:4" x14ac:dyDescent="0.25">
      <c r="A2504" s="2"/>
      <c r="B2504" s="3"/>
      <c r="C2504" s="3"/>
      <c r="D2504" s="3"/>
    </row>
    <row r="2505" spans="1:4" x14ac:dyDescent="0.25">
      <c r="A2505" s="2"/>
      <c r="B2505" s="3"/>
      <c r="C2505" s="3"/>
      <c r="D2505" s="3"/>
    </row>
    <row r="2506" spans="1:4" x14ac:dyDescent="0.25">
      <c r="A2506" s="2"/>
      <c r="B2506" s="3"/>
      <c r="C2506" s="3"/>
      <c r="D2506" s="3"/>
    </row>
    <row r="2507" spans="1:4" x14ac:dyDescent="0.25">
      <c r="A2507" s="2"/>
      <c r="B2507" s="3"/>
      <c r="C2507" s="3"/>
      <c r="D2507" s="3"/>
    </row>
    <row r="2508" spans="1:4" x14ac:dyDescent="0.25">
      <c r="A2508" s="2"/>
      <c r="B2508" s="3"/>
      <c r="C2508" s="3"/>
      <c r="D2508" s="3"/>
    </row>
    <row r="2509" spans="1:4" x14ac:dyDescent="0.25">
      <c r="A2509" s="2"/>
      <c r="B2509" s="3"/>
      <c r="C2509" s="3"/>
      <c r="D2509" s="3"/>
    </row>
    <row r="2510" spans="1:4" x14ac:dyDescent="0.25">
      <c r="A2510" s="2"/>
      <c r="B2510" s="3"/>
      <c r="C2510" s="3"/>
      <c r="D2510" s="3"/>
    </row>
    <row r="2511" spans="1:4" x14ac:dyDescent="0.25">
      <c r="A2511" s="2"/>
      <c r="B2511" s="3"/>
      <c r="C2511" s="3"/>
      <c r="D2511" s="3"/>
    </row>
    <row r="2512" spans="1:4" x14ac:dyDescent="0.25">
      <c r="A2512" s="2"/>
      <c r="B2512" s="3"/>
      <c r="C2512" s="3"/>
      <c r="D2512" s="3"/>
    </row>
    <row r="2513" spans="1:4" x14ac:dyDescent="0.25">
      <c r="A2513" s="2"/>
      <c r="B2513" s="3"/>
      <c r="C2513" s="3"/>
      <c r="D2513" s="3"/>
    </row>
    <row r="2514" spans="1:4" x14ac:dyDescent="0.25">
      <c r="A2514" s="2"/>
      <c r="B2514" s="3"/>
      <c r="C2514" s="3"/>
      <c r="D2514" s="3"/>
    </row>
    <row r="2515" spans="1:4" x14ac:dyDescent="0.25">
      <c r="A2515" s="2"/>
      <c r="B2515" s="3"/>
      <c r="C2515" s="3"/>
      <c r="D2515" s="3"/>
    </row>
    <row r="2516" spans="1:4" x14ac:dyDescent="0.25">
      <c r="A2516" s="2"/>
      <c r="B2516" s="3"/>
      <c r="C2516" s="3"/>
      <c r="D2516" s="3"/>
    </row>
    <row r="2517" spans="1:4" x14ac:dyDescent="0.25">
      <c r="A2517" s="2"/>
      <c r="B2517" s="3"/>
      <c r="C2517" s="3"/>
      <c r="D2517" s="3"/>
    </row>
    <row r="2518" spans="1:4" x14ac:dyDescent="0.25">
      <c r="A2518" s="2"/>
      <c r="B2518" s="3"/>
      <c r="C2518" s="3"/>
      <c r="D2518" s="3"/>
    </row>
    <row r="2519" spans="1:4" x14ac:dyDescent="0.25">
      <c r="A2519" s="2"/>
      <c r="B2519" s="3"/>
      <c r="C2519" s="3"/>
      <c r="D2519" s="3"/>
    </row>
    <row r="2520" spans="1:4" x14ac:dyDescent="0.25">
      <c r="A2520" s="2"/>
      <c r="B2520" s="3"/>
      <c r="C2520" s="3"/>
      <c r="D2520" s="3"/>
    </row>
    <row r="2521" spans="1:4" x14ac:dyDescent="0.25">
      <c r="A2521" s="2"/>
      <c r="B2521" s="3"/>
      <c r="C2521" s="3"/>
      <c r="D2521" s="3"/>
    </row>
    <row r="2522" spans="1:4" x14ac:dyDescent="0.25">
      <c r="A2522" s="2"/>
      <c r="B2522" s="3"/>
      <c r="C2522" s="3"/>
      <c r="D2522" s="3"/>
    </row>
    <row r="2523" spans="1:4" x14ac:dyDescent="0.25">
      <c r="A2523" s="2"/>
      <c r="B2523" s="3"/>
      <c r="C2523" s="3"/>
      <c r="D2523" s="3"/>
    </row>
    <row r="2524" spans="1:4" x14ac:dyDescent="0.25">
      <c r="A2524" s="2"/>
      <c r="B2524" s="3"/>
      <c r="C2524" s="3"/>
      <c r="D2524" s="3"/>
    </row>
    <row r="2525" spans="1:4" x14ac:dyDescent="0.25">
      <c r="A2525" s="2"/>
      <c r="B2525" s="3"/>
      <c r="C2525" s="3"/>
      <c r="D2525" s="3"/>
    </row>
    <row r="2526" spans="1:4" x14ac:dyDescent="0.25">
      <c r="A2526" s="2"/>
      <c r="B2526" s="3"/>
      <c r="C2526" s="3"/>
      <c r="D2526" s="3"/>
    </row>
    <row r="2527" spans="1:4" x14ac:dyDescent="0.25">
      <c r="A2527" s="2"/>
      <c r="B2527" s="3"/>
      <c r="C2527" s="3"/>
      <c r="D2527" s="3"/>
    </row>
    <row r="2528" spans="1:4" x14ac:dyDescent="0.25">
      <c r="A2528" s="2"/>
      <c r="B2528" s="3"/>
      <c r="C2528" s="3"/>
      <c r="D2528" s="3"/>
    </row>
    <row r="2529" spans="1:4" x14ac:dyDescent="0.25">
      <c r="A2529" s="2"/>
      <c r="B2529" s="3"/>
      <c r="C2529" s="3"/>
      <c r="D2529" s="3"/>
    </row>
    <row r="2530" spans="1:4" x14ac:dyDescent="0.25">
      <c r="A2530" s="2"/>
      <c r="B2530" s="3"/>
      <c r="C2530" s="3"/>
      <c r="D2530" s="3"/>
    </row>
    <row r="2531" spans="1:4" x14ac:dyDescent="0.25">
      <c r="A2531" s="2"/>
      <c r="B2531" s="3"/>
      <c r="C2531" s="3"/>
      <c r="D2531" s="3"/>
    </row>
    <row r="2532" spans="1:4" x14ac:dyDescent="0.25">
      <c r="A2532" s="2"/>
      <c r="B2532" s="3"/>
      <c r="C2532" s="3"/>
      <c r="D2532" s="3"/>
    </row>
    <row r="2533" spans="1:4" x14ac:dyDescent="0.25">
      <c r="A2533" s="2"/>
      <c r="B2533" s="3"/>
      <c r="C2533" s="3"/>
      <c r="D2533" s="3"/>
    </row>
    <row r="2534" spans="1:4" x14ac:dyDescent="0.25">
      <c r="A2534" s="2"/>
      <c r="B2534" s="3"/>
      <c r="C2534" s="3"/>
      <c r="D2534" s="3"/>
    </row>
    <row r="2535" spans="1:4" x14ac:dyDescent="0.25">
      <c r="A2535" s="2"/>
      <c r="B2535" s="3"/>
      <c r="C2535" s="3"/>
      <c r="D2535" s="3"/>
    </row>
    <row r="2536" spans="1:4" x14ac:dyDescent="0.25">
      <c r="A2536" s="2"/>
      <c r="B2536" s="3"/>
      <c r="C2536" s="3"/>
      <c r="D2536" s="3"/>
    </row>
    <row r="2537" spans="1:4" x14ac:dyDescent="0.25">
      <c r="A2537" s="2"/>
      <c r="B2537" s="3"/>
      <c r="C2537" s="3"/>
      <c r="D2537" s="3"/>
    </row>
    <row r="2538" spans="1:4" x14ac:dyDescent="0.25">
      <c r="A2538" s="2"/>
      <c r="B2538" s="3"/>
      <c r="C2538" s="3"/>
      <c r="D2538" s="3"/>
    </row>
    <row r="2539" spans="1:4" x14ac:dyDescent="0.25">
      <c r="A2539" s="2"/>
      <c r="B2539" s="3"/>
      <c r="C2539" s="3"/>
      <c r="D2539" s="3"/>
    </row>
    <row r="2540" spans="1:4" x14ac:dyDescent="0.25">
      <c r="A2540" s="2"/>
      <c r="B2540" s="3"/>
      <c r="C2540" s="3"/>
      <c r="D2540" s="3"/>
    </row>
    <row r="2541" spans="1:4" x14ac:dyDescent="0.25">
      <c r="A2541" s="2"/>
      <c r="B2541" s="3"/>
      <c r="C2541" s="3"/>
      <c r="D2541" s="3"/>
    </row>
    <row r="2542" spans="1:4" x14ac:dyDescent="0.25">
      <c r="A2542" s="2"/>
      <c r="B2542" s="3"/>
      <c r="C2542" s="3"/>
      <c r="D2542" s="3"/>
    </row>
    <row r="2543" spans="1:4" x14ac:dyDescent="0.25">
      <c r="A2543" s="2"/>
      <c r="B2543" s="3"/>
      <c r="C2543" s="3"/>
      <c r="D2543" s="3"/>
    </row>
    <row r="2544" spans="1:4" x14ac:dyDescent="0.25">
      <c r="A2544" s="2"/>
      <c r="B2544" s="3"/>
      <c r="C2544" s="3"/>
      <c r="D2544" s="3"/>
    </row>
    <row r="2545" spans="1:4" x14ac:dyDescent="0.25">
      <c r="A2545" s="2"/>
      <c r="B2545" s="3"/>
      <c r="C2545" s="3"/>
      <c r="D2545" s="3"/>
    </row>
    <row r="2546" spans="1:4" x14ac:dyDescent="0.25">
      <c r="A2546" s="2"/>
      <c r="B2546" s="3"/>
      <c r="C2546" s="3"/>
      <c r="D2546" s="3"/>
    </row>
    <row r="2547" spans="1:4" x14ac:dyDescent="0.25">
      <c r="A2547" s="2"/>
      <c r="B2547" s="3"/>
      <c r="C2547" s="3"/>
      <c r="D2547" s="3"/>
    </row>
    <row r="2548" spans="1:4" x14ac:dyDescent="0.25">
      <c r="A2548" s="2"/>
      <c r="B2548" s="3"/>
      <c r="C2548" s="3"/>
      <c r="D2548" s="3"/>
    </row>
    <row r="2549" spans="1:4" x14ac:dyDescent="0.25">
      <c r="A2549" s="2"/>
      <c r="B2549" s="3"/>
      <c r="C2549" s="3"/>
      <c r="D2549" s="3"/>
    </row>
    <row r="2550" spans="1:4" x14ac:dyDescent="0.25">
      <c r="A2550" s="2"/>
      <c r="B2550" s="3"/>
      <c r="C2550" s="3"/>
      <c r="D2550" s="3"/>
    </row>
    <row r="2551" spans="1:4" x14ac:dyDescent="0.25">
      <c r="A2551" s="2"/>
      <c r="B2551" s="3"/>
      <c r="C2551" s="3"/>
      <c r="D2551" s="3"/>
    </row>
    <row r="2552" spans="1:4" x14ac:dyDescent="0.25">
      <c r="A2552" s="2"/>
      <c r="B2552" s="3"/>
      <c r="C2552" s="3"/>
      <c r="D2552" s="3"/>
    </row>
    <row r="2553" spans="1:4" x14ac:dyDescent="0.25">
      <c r="A2553" s="2"/>
      <c r="B2553" s="3"/>
      <c r="C2553" s="3"/>
      <c r="D2553" s="3"/>
    </row>
    <row r="2554" spans="1:4" x14ac:dyDescent="0.25">
      <c r="A2554" s="2"/>
      <c r="B2554" s="3"/>
      <c r="C2554" s="3"/>
      <c r="D2554" s="3"/>
    </row>
    <row r="2555" spans="1:4" x14ac:dyDescent="0.25">
      <c r="A2555" s="2"/>
      <c r="B2555" s="3"/>
      <c r="C2555" s="3"/>
      <c r="D2555" s="3"/>
    </row>
    <row r="2556" spans="1:4" x14ac:dyDescent="0.25">
      <c r="A2556" s="2"/>
      <c r="B2556" s="3"/>
      <c r="C2556" s="3"/>
      <c r="D2556" s="3"/>
    </row>
    <row r="2557" spans="1:4" x14ac:dyDescent="0.25">
      <c r="A2557" s="2"/>
      <c r="B2557" s="3"/>
      <c r="C2557" s="3"/>
      <c r="D2557" s="3"/>
    </row>
    <row r="2558" spans="1:4" x14ac:dyDescent="0.25">
      <c r="A2558" s="2"/>
      <c r="B2558" s="3"/>
      <c r="C2558" s="3"/>
      <c r="D2558" s="3"/>
    </row>
    <row r="2559" spans="1:4" x14ac:dyDescent="0.25">
      <c r="A2559" s="2"/>
      <c r="B2559" s="3"/>
      <c r="C2559" s="3"/>
      <c r="D2559" s="3"/>
    </row>
    <row r="2560" spans="1:4" x14ac:dyDescent="0.25">
      <c r="A2560" s="2"/>
      <c r="B2560" s="3"/>
      <c r="C2560" s="3"/>
      <c r="D2560" s="3"/>
    </row>
    <row r="2561" spans="1:4" x14ac:dyDescent="0.25">
      <c r="A2561" s="2"/>
      <c r="B2561" s="3"/>
      <c r="C2561" s="3"/>
      <c r="D2561" s="3"/>
    </row>
    <row r="2562" spans="1:4" x14ac:dyDescent="0.25">
      <c r="A2562" s="2"/>
      <c r="B2562" s="3"/>
      <c r="C2562" s="3"/>
      <c r="D2562" s="3"/>
    </row>
    <row r="2563" spans="1:4" x14ac:dyDescent="0.25">
      <c r="A2563" s="2"/>
      <c r="B2563" s="3"/>
      <c r="C2563" s="3"/>
      <c r="D2563" s="3"/>
    </row>
    <row r="2564" spans="1:4" x14ac:dyDescent="0.25">
      <c r="A2564" s="2"/>
      <c r="B2564" s="3"/>
      <c r="C2564" s="3"/>
      <c r="D2564" s="3"/>
    </row>
    <row r="2565" spans="1:4" x14ac:dyDescent="0.25">
      <c r="A2565" s="2"/>
      <c r="B2565" s="3"/>
      <c r="C2565" s="3"/>
      <c r="D2565" s="3"/>
    </row>
    <row r="2566" spans="1:4" x14ac:dyDescent="0.25">
      <c r="A2566" s="2"/>
      <c r="B2566" s="3"/>
      <c r="C2566" s="3"/>
      <c r="D2566" s="3"/>
    </row>
    <row r="2567" spans="1:4" x14ac:dyDescent="0.25">
      <c r="A2567" s="2"/>
      <c r="B2567" s="3"/>
      <c r="C2567" s="3"/>
      <c r="D2567" s="3"/>
    </row>
    <row r="2568" spans="1:4" x14ac:dyDescent="0.25">
      <c r="A2568" s="2"/>
      <c r="B2568" s="3"/>
      <c r="C2568" s="3"/>
      <c r="D2568" s="3"/>
    </row>
    <row r="2569" spans="1:4" x14ac:dyDescent="0.25">
      <c r="A2569" s="2"/>
      <c r="B2569" s="3"/>
      <c r="C2569" s="3"/>
      <c r="D2569" s="3"/>
    </row>
    <row r="2570" spans="1:4" x14ac:dyDescent="0.25">
      <c r="A2570" s="2"/>
      <c r="B2570" s="3"/>
      <c r="C2570" s="3"/>
      <c r="D2570" s="3"/>
    </row>
    <row r="2571" spans="1:4" x14ac:dyDescent="0.25">
      <c r="A2571" s="2"/>
      <c r="B2571" s="3"/>
      <c r="C2571" s="3"/>
      <c r="D2571" s="3"/>
    </row>
    <row r="2572" spans="1:4" x14ac:dyDescent="0.25">
      <c r="A2572" s="2"/>
      <c r="B2572" s="3"/>
      <c r="C2572" s="3"/>
      <c r="D2572" s="3"/>
    </row>
    <row r="2573" spans="1:4" x14ac:dyDescent="0.25">
      <c r="A2573" s="2"/>
      <c r="B2573" s="3"/>
      <c r="C2573" s="3"/>
      <c r="D2573" s="3"/>
    </row>
    <row r="2574" spans="1:4" x14ac:dyDescent="0.25">
      <c r="A2574" s="2"/>
      <c r="B2574" s="3"/>
      <c r="C2574" s="3"/>
      <c r="D2574" s="3"/>
    </row>
    <row r="2575" spans="1:4" x14ac:dyDescent="0.25">
      <c r="A2575" s="2"/>
      <c r="B2575" s="3"/>
      <c r="C2575" s="3"/>
      <c r="D2575" s="3"/>
    </row>
    <row r="2576" spans="1:4" x14ac:dyDescent="0.25">
      <c r="A2576" s="2"/>
      <c r="B2576" s="3"/>
      <c r="C2576" s="3"/>
      <c r="D2576" s="3"/>
    </row>
    <row r="2577" spans="1:4" x14ac:dyDescent="0.25">
      <c r="A2577" s="2"/>
      <c r="B2577" s="3"/>
      <c r="C2577" s="3"/>
      <c r="D2577" s="3"/>
    </row>
    <row r="2578" spans="1:4" x14ac:dyDescent="0.25">
      <c r="A2578" s="2"/>
      <c r="B2578" s="3"/>
      <c r="C2578" s="3"/>
      <c r="D2578" s="3"/>
    </row>
    <row r="2579" spans="1:4" x14ac:dyDescent="0.25">
      <c r="A2579" s="2"/>
      <c r="B2579" s="3"/>
      <c r="C2579" s="3"/>
      <c r="D2579" s="3"/>
    </row>
    <row r="2580" spans="1:4" x14ac:dyDescent="0.25">
      <c r="A2580" s="2"/>
      <c r="B2580" s="3"/>
      <c r="C2580" s="3"/>
      <c r="D2580" s="3"/>
    </row>
    <row r="2581" spans="1:4" x14ac:dyDescent="0.25">
      <c r="A2581" s="2"/>
      <c r="B2581" s="3"/>
      <c r="C2581" s="3"/>
      <c r="D2581" s="3"/>
    </row>
    <row r="2582" spans="1:4" x14ac:dyDescent="0.25">
      <c r="A2582" s="2"/>
      <c r="B2582" s="3"/>
      <c r="C2582" s="3"/>
      <c r="D2582" s="3"/>
    </row>
    <row r="2583" spans="1:4" x14ac:dyDescent="0.25">
      <c r="A2583" s="2"/>
      <c r="B2583" s="3"/>
      <c r="C2583" s="3"/>
      <c r="D2583" s="3"/>
    </row>
    <row r="2584" spans="1:4" x14ac:dyDescent="0.25">
      <c r="A2584" s="2"/>
      <c r="B2584" s="3"/>
      <c r="C2584" s="3"/>
      <c r="D2584" s="3"/>
    </row>
    <row r="2585" spans="1:4" x14ac:dyDescent="0.25">
      <c r="A2585" s="2"/>
      <c r="B2585" s="3"/>
      <c r="C2585" s="3"/>
      <c r="D2585" s="3"/>
    </row>
    <row r="2586" spans="1:4" x14ac:dyDescent="0.25">
      <c r="A2586" s="2"/>
      <c r="B2586" s="3"/>
      <c r="C2586" s="3"/>
      <c r="D2586" s="3"/>
    </row>
    <row r="2587" spans="1:4" x14ac:dyDescent="0.25">
      <c r="A2587" s="2"/>
      <c r="B2587" s="3"/>
      <c r="C2587" s="3"/>
      <c r="D2587" s="3"/>
    </row>
    <row r="2588" spans="1:4" x14ac:dyDescent="0.25">
      <c r="A2588" s="2"/>
      <c r="B2588" s="3"/>
      <c r="C2588" s="3"/>
      <c r="D2588" s="3"/>
    </row>
    <row r="2589" spans="1:4" x14ac:dyDescent="0.25">
      <c r="A2589" s="2"/>
      <c r="B2589" s="3"/>
      <c r="C2589" s="3"/>
      <c r="D2589" s="3"/>
    </row>
    <row r="2590" spans="1:4" x14ac:dyDescent="0.25">
      <c r="A2590" s="2"/>
      <c r="B2590" s="3"/>
      <c r="C2590" s="3"/>
      <c r="D2590" s="3"/>
    </row>
    <row r="2591" spans="1:4" x14ac:dyDescent="0.25">
      <c r="A2591" s="2"/>
      <c r="B2591" s="3"/>
      <c r="C2591" s="3"/>
      <c r="D2591" s="3"/>
    </row>
    <row r="2592" spans="1:4" x14ac:dyDescent="0.25">
      <c r="A2592" s="2"/>
      <c r="B2592" s="3"/>
      <c r="C2592" s="3"/>
      <c r="D2592" s="3"/>
    </row>
    <row r="2593" spans="1:4" x14ac:dyDescent="0.25">
      <c r="A2593" s="2"/>
      <c r="B2593" s="3"/>
      <c r="C2593" s="3"/>
      <c r="D2593" s="3"/>
    </row>
    <row r="2594" spans="1:4" x14ac:dyDescent="0.25">
      <c r="A2594" s="2"/>
      <c r="B2594" s="3"/>
      <c r="C2594" s="3"/>
      <c r="D2594" s="3"/>
    </row>
    <row r="2595" spans="1:4" x14ac:dyDescent="0.25">
      <c r="A2595" s="2"/>
      <c r="B2595" s="3"/>
      <c r="C2595" s="3"/>
      <c r="D2595" s="3"/>
    </row>
    <row r="2596" spans="1:4" x14ac:dyDescent="0.25">
      <c r="A2596" s="2"/>
      <c r="B2596" s="3"/>
      <c r="C2596" s="3"/>
      <c r="D2596" s="3"/>
    </row>
    <row r="2597" spans="1:4" x14ac:dyDescent="0.25">
      <c r="A2597" s="2"/>
      <c r="B2597" s="3"/>
      <c r="C2597" s="3"/>
      <c r="D2597" s="3"/>
    </row>
    <row r="2598" spans="1:4" x14ac:dyDescent="0.25">
      <c r="A2598" s="2"/>
      <c r="B2598" s="3"/>
      <c r="C2598" s="3"/>
      <c r="D2598" s="3"/>
    </row>
    <row r="2599" spans="1:4" x14ac:dyDescent="0.25">
      <c r="A2599" s="2"/>
      <c r="B2599" s="3"/>
      <c r="C2599" s="3"/>
      <c r="D2599" s="3"/>
    </row>
    <row r="2600" spans="1:4" x14ac:dyDescent="0.25">
      <c r="A2600" s="2"/>
      <c r="B2600" s="3"/>
      <c r="C2600" s="3"/>
      <c r="D2600" s="3"/>
    </row>
    <row r="2601" spans="1:4" x14ac:dyDescent="0.25">
      <c r="A2601" s="2"/>
      <c r="B2601" s="3"/>
      <c r="C2601" s="3"/>
      <c r="D2601" s="3"/>
    </row>
    <row r="2602" spans="1:4" x14ac:dyDescent="0.25">
      <c r="A2602" s="2"/>
      <c r="B2602" s="3"/>
      <c r="C2602" s="3"/>
      <c r="D2602" s="3"/>
    </row>
    <row r="2603" spans="1:4" x14ac:dyDescent="0.25">
      <c r="A2603" s="2"/>
      <c r="B2603" s="3"/>
      <c r="C2603" s="3"/>
      <c r="D2603" s="3"/>
    </row>
    <row r="2604" spans="1:4" x14ac:dyDescent="0.25">
      <c r="A2604" s="2"/>
      <c r="B2604" s="3"/>
      <c r="C2604" s="3"/>
      <c r="D2604" s="3"/>
    </row>
    <row r="2605" spans="1:4" x14ac:dyDescent="0.25">
      <c r="A2605" s="2"/>
      <c r="B2605" s="3"/>
      <c r="C2605" s="3"/>
      <c r="D2605" s="3"/>
    </row>
    <row r="2606" spans="1:4" x14ac:dyDescent="0.25">
      <c r="A2606" s="2"/>
      <c r="B2606" s="3"/>
      <c r="C2606" s="3"/>
      <c r="D2606" s="3"/>
    </row>
    <row r="2607" spans="1:4" x14ac:dyDescent="0.25">
      <c r="A2607" s="2"/>
      <c r="B2607" s="3"/>
      <c r="C2607" s="3"/>
      <c r="D2607" s="3"/>
    </row>
    <row r="2608" spans="1:4" x14ac:dyDescent="0.25">
      <c r="A2608" s="2"/>
      <c r="B2608" s="3"/>
      <c r="C2608" s="3"/>
      <c r="D2608" s="3"/>
    </row>
    <row r="2609" spans="1:4" x14ac:dyDescent="0.25">
      <c r="A2609" s="2"/>
      <c r="B2609" s="3"/>
      <c r="C2609" s="3"/>
      <c r="D2609" s="3"/>
    </row>
    <row r="2610" spans="1:4" x14ac:dyDescent="0.25">
      <c r="A2610" s="2"/>
      <c r="B2610" s="3"/>
      <c r="C2610" s="3"/>
      <c r="D2610" s="3"/>
    </row>
    <row r="2611" spans="1:4" x14ac:dyDescent="0.25">
      <c r="A2611" s="2"/>
      <c r="B2611" s="3"/>
      <c r="C2611" s="3"/>
      <c r="D2611" s="3"/>
    </row>
    <row r="2612" spans="1:4" x14ac:dyDescent="0.25">
      <c r="A2612" s="2"/>
      <c r="B2612" s="3"/>
      <c r="C2612" s="3"/>
      <c r="D2612" s="3"/>
    </row>
    <row r="2613" spans="1:4" x14ac:dyDescent="0.25">
      <c r="A2613" s="2"/>
      <c r="B2613" s="3"/>
      <c r="C2613" s="3"/>
      <c r="D2613" s="3"/>
    </row>
    <row r="2614" spans="1:4" x14ac:dyDescent="0.25">
      <c r="A2614" s="2"/>
      <c r="B2614" s="3"/>
      <c r="C2614" s="3"/>
      <c r="D2614" s="3"/>
    </row>
    <row r="2615" spans="1:4" x14ac:dyDescent="0.25">
      <c r="A2615" s="2"/>
      <c r="B2615" s="3"/>
      <c r="C2615" s="3"/>
      <c r="D2615" s="3"/>
    </row>
    <row r="2616" spans="1:4" x14ac:dyDescent="0.25">
      <c r="A2616" s="2"/>
      <c r="B2616" s="3"/>
      <c r="C2616" s="3"/>
      <c r="D2616" s="3"/>
    </row>
    <row r="2617" spans="1:4" x14ac:dyDescent="0.25">
      <c r="A2617" s="2"/>
      <c r="B2617" s="3"/>
      <c r="C2617" s="3"/>
      <c r="D2617" s="3"/>
    </row>
    <row r="2618" spans="1:4" x14ac:dyDescent="0.25">
      <c r="A2618" s="2"/>
      <c r="B2618" s="3"/>
      <c r="C2618" s="3"/>
      <c r="D2618" s="3"/>
    </row>
    <row r="2619" spans="1:4" x14ac:dyDescent="0.25">
      <c r="A2619" s="2"/>
      <c r="B2619" s="3"/>
      <c r="C2619" s="3"/>
      <c r="D2619" s="3"/>
    </row>
    <row r="2620" spans="1:4" x14ac:dyDescent="0.25">
      <c r="A2620" s="2"/>
      <c r="B2620" s="3"/>
      <c r="C2620" s="3"/>
      <c r="D2620" s="3"/>
    </row>
    <row r="2621" spans="1:4" x14ac:dyDescent="0.25">
      <c r="A2621" s="2"/>
      <c r="B2621" s="3"/>
      <c r="C2621" s="3"/>
      <c r="D2621" s="3"/>
    </row>
    <row r="2622" spans="1:4" x14ac:dyDescent="0.25">
      <c r="A2622" s="2"/>
      <c r="B2622" s="3"/>
      <c r="C2622" s="3"/>
      <c r="D2622" s="3"/>
    </row>
    <row r="2623" spans="1:4" x14ac:dyDescent="0.25">
      <c r="A2623" s="2"/>
      <c r="B2623" s="3"/>
      <c r="C2623" s="3"/>
      <c r="D2623" s="3"/>
    </row>
    <row r="2624" spans="1:4" x14ac:dyDescent="0.25">
      <c r="A2624" s="2"/>
      <c r="B2624" s="3"/>
      <c r="C2624" s="3"/>
      <c r="D2624" s="3"/>
    </row>
    <row r="2625" spans="1:4" x14ac:dyDescent="0.25">
      <c r="A2625" s="2"/>
      <c r="B2625" s="3"/>
      <c r="C2625" s="3"/>
      <c r="D2625" s="3"/>
    </row>
    <row r="2626" spans="1:4" x14ac:dyDescent="0.25">
      <c r="A2626" s="2"/>
      <c r="B2626" s="3"/>
      <c r="C2626" s="3"/>
      <c r="D2626" s="3"/>
    </row>
    <row r="2627" spans="1:4" x14ac:dyDescent="0.25">
      <c r="A2627" s="2"/>
      <c r="B2627" s="3"/>
      <c r="C2627" s="3"/>
      <c r="D2627" s="3"/>
    </row>
    <row r="2628" spans="1:4" x14ac:dyDescent="0.25">
      <c r="A2628" s="2"/>
      <c r="B2628" s="3"/>
      <c r="C2628" s="3"/>
      <c r="D2628" s="3"/>
    </row>
    <row r="2629" spans="1:4" x14ac:dyDescent="0.25">
      <c r="A2629" s="2"/>
      <c r="B2629" s="3"/>
      <c r="C2629" s="3"/>
      <c r="D2629" s="3"/>
    </row>
    <row r="2630" spans="1:4" x14ac:dyDescent="0.25">
      <c r="A2630" s="2"/>
      <c r="B2630" s="3"/>
      <c r="C2630" s="3"/>
      <c r="D2630" s="3"/>
    </row>
    <row r="2631" spans="1:4" x14ac:dyDescent="0.25">
      <c r="A2631" s="2"/>
      <c r="B2631" s="3"/>
      <c r="C2631" s="3"/>
      <c r="D2631" s="3"/>
    </row>
    <row r="2632" spans="1:4" x14ac:dyDescent="0.25">
      <c r="A2632" s="2"/>
      <c r="B2632" s="3"/>
      <c r="C2632" s="3"/>
      <c r="D2632" s="3"/>
    </row>
    <row r="2633" spans="1:4" x14ac:dyDescent="0.25">
      <c r="A2633" s="2"/>
      <c r="B2633" s="3"/>
      <c r="C2633" s="3"/>
      <c r="D2633" s="3"/>
    </row>
    <row r="2634" spans="1:4" x14ac:dyDescent="0.25">
      <c r="A2634" s="2"/>
      <c r="B2634" s="3"/>
      <c r="C2634" s="3"/>
      <c r="D2634" s="3"/>
    </row>
    <row r="2635" spans="1:4" x14ac:dyDescent="0.25">
      <c r="A2635" s="2"/>
      <c r="B2635" s="3"/>
      <c r="C2635" s="3"/>
      <c r="D2635" s="3"/>
    </row>
    <row r="2636" spans="1:4" x14ac:dyDescent="0.25">
      <c r="A2636" s="2"/>
      <c r="B2636" s="3"/>
      <c r="C2636" s="3"/>
      <c r="D2636" s="3"/>
    </row>
    <row r="2637" spans="1:4" x14ac:dyDescent="0.25">
      <c r="A2637" s="2"/>
      <c r="B2637" s="3"/>
      <c r="C2637" s="3"/>
      <c r="D2637" s="3"/>
    </row>
    <row r="2638" spans="1:4" x14ac:dyDescent="0.25">
      <c r="A2638" s="2"/>
      <c r="B2638" s="3"/>
      <c r="C2638" s="3"/>
      <c r="D2638" s="3"/>
    </row>
    <row r="2639" spans="1:4" x14ac:dyDescent="0.25">
      <c r="A2639" s="2"/>
      <c r="B2639" s="3"/>
      <c r="C2639" s="3"/>
      <c r="D2639" s="3"/>
    </row>
    <row r="2640" spans="1:4" x14ac:dyDescent="0.25">
      <c r="A2640" s="2"/>
      <c r="B2640" s="3"/>
      <c r="C2640" s="3"/>
      <c r="D2640" s="3"/>
    </row>
    <row r="2641" spans="1:4" x14ac:dyDescent="0.25">
      <c r="A2641" s="2"/>
      <c r="B2641" s="3"/>
      <c r="C2641" s="3"/>
      <c r="D2641" s="3"/>
    </row>
    <row r="2642" spans="1:4" x14ac:dyDescent="0.25">
      <c r="A2642" s="2"/>
      <c r="B2642" s="3"/>
      <c r="C2642" s="3"/>
      <c r="D2642" s="3"/>
    </row>
    <row r="2643" spans="1:4" x14ac:dyDescent="0.25">
      <c r="A2643" s="2"/>
      <c r="B2643" s="3"/>
      <c r="C2643" s="3"/>
      <c r="D2643" s="3"/>
    </row>
    <row r="2644" spans="1:4" x14ac:dyDescent="0.25">
      <c r="A2644" s="2"/>
      <c r="B2644" s="3"/>
      <c r="C2644" s="3"/>
      <c r="D2644" s="3"/>
    </row>
    <row r="2645" spans="1:4" x14ac:dyDescent="0.25">
      <c r="A2645" s="2"/>
      <c r="B2645" s="3"/>
      <c r="C2645" s="3"/>
      <c r="D2645" s="3"/>
    </row>
    <row r="2646" spans="1:4" x14ac:dyDescent="0.25">
      <c r="A2646" s="2"/>
      <c r="B2646" s="3"/>
      <c r="C2646" s="3"/>
      <c r="D2646" s="3"/>
    </row>
    <row r="2647" spans="1:4" x14ac:dyDescent="0.25">
      <c r="A2647" s="2"/>
      <c r="B2647" s="3"/>
      <c r="C2647" s="3"/>
      <c r="D2647" s="3"/>
    </row>
    <row r="2648" spans="1:4" x14ac:dyDescent="0.25">
      <c r="A2648" s="2"/>
      <c r="B2648" s="3"/>
      <c r="C2648" s="3"/>
      <c r="D2648" s="3"/>
    </row>
    <row r="2649" spans="1:4" x14ac:dyDescent="0.25">
      <c r="A2649" s="2"/>
      <c r="B2649" s="3"/>
      <c r="C2649" s="3"/>
      <c r="D2649" s="3"/>
    </row>
    <row r="2650" spans="1:4" x14ac:dyDescent="0.25">
      <c r="A2650" s="2"/>
      <c r="B2650" s="3"/>
      <c r="C2650" s="3"/>
      <c r="D2650" s="3"/>
    </row>
    <row r="2651" spans="1:4" x14ac:dyDescent="0.25">
      <c r="A2651" s="2"/>
      <c r="B2651" s="3"/>
      <c r="C2651" s="3"/>
      <c r="D2651" s="3"/>
    </row>
    <row r="2652" spans="1:4" x14ac:dyDescent="0.25">
      <c r="A2652" s="2"/>
      <c r="B2652" s="3"/>
      <c r="C2652" s="3"/>
      <c r="D2652" s="3"/>
    </row>
    <row r="2653" spans="1:4" x14ac:dyDescent="0.25">
      <c r="A2653" s="2"/>
      <c r="B2653" s="3"/>
      <c r="C2653" s="3"/>
      <c r="D2653" s="3"/>
    </row>
    <row r="2654" spans="1:4" x14ac:dyDescent="0.25">
      <c r="A2654" s="2"/>
      <c r="B2654" s="3"/>
      <c r="C2654" s="3"/>
      <c r="D2654" s="3"/>
    </row>
    <row r="2655" spans="1:4" x14ac:dyDescent="0.25">
      <c r="A2655" s="2"/>
      <c r="B2655" s="3"/>
      <c r="C2655" s="3"/>
      <c r="D2655" s="3"/>
    </row>
    <row r="2656" spans="1:4" x14ac:dyDescent="0.25">
      <c r="A2656" s="2"/>
      <c r="B2656" s="3"/>
      <c r="C2656" s="3"/>
      <c r="D2656" s="3"/>
    </row>
    <row r="2657" spans="1:4" x14ac:dyDescent="0.25">
      <c r="A2657" s="2"/>
      <c r="B2657" s="3"/>
      <c r="C2657" s="3"/>
      <c r="D2657" s="3"/>
    </row>
    <row r="2658" spans="1:4" x14ac:dyDescent="0.25">
      <c r="A2658" s="2"/>
      <c r="B2658" s="3"/>
      <c r="C2658" s="3"/>
      <c r="D2658" s="3"/>
    </row>
    <row r="2659" spans="1:4" x14ac:dyDescent="0.25">
      <c r="A2659" s="2"/>
      <c r="B2659" s="3"/>
      <c r="C2659" s="3"/>
      <c r="D2659" s="3"/>
    </row>
    <row r="2660" spans="1:4" x14ac:dyDescent="0.25">
      <c r="A2660" s="2"/>
      <c r="B2660" s="3"/>
      <c r="C2660" s="3"/>
      <c r="D2660" s="3"/>
    </row>
    <row r="2661" spans="1:4" x14ac:dyDescent="0.25">
      <c r="A2661" s="2"/>
      <c r="B2661" s="3"/>
      <c r="C2661" s="3"/>
      <c r="D2661" s="3"/>
    </row>
    <row r="2662" spans="1:4" x14ac:dyDescent="0.25">
      <c r="A2662" s="2"/>
      <c r="B2662" s="3"/>
      <c r="C2662" s="3"/>
      <c r="D2662" s="3"/>
    </row>
    <row r="2663" spans="1:4" x14ac:dyDescent="0.25">
      <c r="A2663" s="2"/>
      <c r="B2663" s="3"/>
      <c r="C2663" s="3"/>
      <c r="D2663" s="3"/>
    </row>
    <row r="2664" spans="1:4" x14ac:dyDescent="0.25">
      <c r="A2664" s="2"/>
      <c r="B2664" s="3"/>
      <c r="C2664" s="3"/>
      <c r="D2664" s="3"/>
    </row>
    <row r="2665" spans="1:4" x14ac:dyDescent="0.25">
      <c r="A2665" s="2"/>
      <c r="B2665" s="3"/>
      <c r="C2665" s="3"/>
      <c r="D2665" s="3"/>
    </row>
    <row r="2666" spans="1:4" x14ac:dyDescent="0.25">
      <c r="A2666" s="2"/>
      <c r="B2666" s="3"/>
      <c r="C2666" s="3"/>
      <c r="D2666" s="3"/>
    </row>
    <row r="2667" spans="1:4" x14ac:dyDescent="0.25">
      <c r="A2667" s="2"/>
      <c r="B2667" s="3"/>
      <c r="C2667" s="3"/>
      <c r="D2667" s="3"/>
    </row>
    <row r="2668" spans="1:4" x14ac:dyDescent="0.25">
      <c r="A2668" s="2"/>
      <c r="B2668" s="3"/>
      <c r="C2668" s="3"/>
      <c r="D2668" s="3"/>
    </row>
    <row r="2669" spans="1:4" x14ac:dyDescent="0.25">
      <c r="A2669" s="2"/>
      <c r="B2669" s="3"/>
      <c r="C2669" s="3"/>
      <c r="D2669" s="3"/>
    </row>
    <row r="2670" spans="1:4" x14ac:dyDescent="0.25">
      <c r="A2670" s="2"/>
      <c r="B2670" s="3"/>
      <c r="C2670" s="3"/>
      <c r="D2670" s="3"/>
    </row>
    <row r="2671" spans="1:4" x14ac:dyDescent="0.25">
      <c r="A2671" s="2"/>
      <c r="B2671" s="3"/>
      <c r="C2671" s="3"/>
      <c r="D2671" s="3"/>
    </row>
    <row r="2672" spans="1:4" x14ac:dyDescent="0.25">
      <c r="A2672" s="2"/>
      <c r="B2672" s="3"/>
      <c r="C2672" s="3"/>
      <c r="D2672" s="3"/>
    </row>
    <row r="2673" spans="1:4" x14ac:dyDescent="0.25">
      <c r="A2673" s="2"/>
      <c r="B2673" s="3"/>
      <c r="C2673" s="3"/>
      <c r="D2673" s="3"/>
    </row>
    <row r="2674" spans="1:4" x14ac:dyDescent="0.25">
      <c r="A2674" s="2"/>
      <c r="B2674" s="3"/>
      <c r="C2674" s="3"/>
      <c r="D2674" s="3"/>
    </row>
    <row r="2675" spans="1:4" x14ac:dyDescent="0.25">
      <c r="A2675" s="2"/>
      <c r="B2675" s="3"/>
      <c r="C2675" s="3"/>
      <c r="D2675" s="3"/>
    </row>
    <row r="2676" spans="1:4" x14ac:dyDescent="0.25">
      <c r="A2676" s="2"/>
      <c r="B2676" s="3"/>
      <c r="C2676" s="3"/>
      <c r="D2676" s="3"/>
    </row>
    <row r="2677" spans="1:4" x14ac:dyDescent="0.25">
      <c r="A2677" s="2"/>
      <c r="B2677" s="3"/>
      <c r="C2677" s="3"/>
      <c r="D2677" s="3"/>
    </row>
    <row r="2678" spans="1:4" x14ac:dyDescent="0.25">
      <c r="A2678" s="2"/>
      <c r="B2678" s="3"/>
      <c r="C2678" s="3"/>
      <c r="D2678" s="3"/>
    </row>
    <row r="2679" spans="1:4" x14ac:dyDescent="0.25">
      <c r="A2679" s="2"/>
      <c r="B2679" s="3"/>
      <c r="C2679" s="3"/>
      <c r="D2679" s="3"/>
    </row>
    <row r="2680" spans="1:4" x14ac:dyDescent="0.25">
      <c r="A2680" s="2"/>
      <c r="B2680" s="3"/>
      <c r="C2680" s="3"/>
      <c r="D2680" s="3"/>
    </row>
    <row r="2681" spans="1:4" x14ac:dyDescent="0.25">
      <c r="A2681" s="2"/>
      <c r="B2681" s="3"/>
      <c r="C2681" s="3"/>
      <c r="D2681" s="3"/>
    </row>
    <row r="2682" spans="1:4" x14ac:dyDescent="0.25">
      <c r="A2682" s="2"/>
      <c r="B2682" s="3"/>
      <c r="C2682" s="3"/>
      <c r="D2682" s="3"/>
    </row>
    <row r="2683" spans="1:4" x14ac:dyDescent="0.25">
      <c r="A2683" s="2"/>
      <c r="B2683" s="3"/>
      <c r="C2683" s="3"/>
      <c r="D2683" s="3"/>
    </row>
    <row r="2684" spans="1:4" x14ac:dyDescent="0.25">
      <c r="A2684" s="2"/>
      <c r="B2684" s="3"/>
      <c r="C2684" s="3"/>
      <c r="D2684" s="3"/>
    </row>
    <row r="2685" spans="1:4" x14ac:dyDescent="0.25">
      <c r="A2685" s="2"/>
      <c r="B2685" s="3"/>
      <c r="C2685" s="3"/>
      <c r="D2685" s="3"/>
    </row>
    <row r="2686" spans="1:4" x14ac:dyDescent="0.25">
      <c r="A2686" s="2"/>
      <c r="B2686" s="3"/>
      <c r="C2686" s="3"/>
      <c r="D2686" s="3"/>
    </row>
    <row r="2687" spans="1:4" x14ac:dyDescent="0.25">
      <c r="A2687" s="2"/>
      <c r="B2687" s="3"/>
      <c r="C2687" s="3"/>
      <c r="D2687" s="3"/>
    </row>
    <row r="2688" spans="1:4" x14ac:dyDescent="0.25">
      <c r="A2688" s="2"/>
      <c r="B2688" s="3"/>
      <c r="C2688" s="3"/>
      <c r="D2688" s="3"/>
    </row>
    <row r="2689" spans="1:4" x14ac:dyDescent="0.25">
      <c r="A2689" s="2"/>
      <c r="B2689" s="3"/>
      <c r="C2689" s="3"/>
      <c r="D2689" s="3"/>
    </row>
    <row r="2690" spans="1:4" x14ac:dyDescent="0.25">
      <c r="A2690" s="2"/>
      <c r="B2690" s="3"/>
      <c r="C2690" s="3"/>
      <c r="D2690" s="3"/>
    </row>
    <row r="2691" spans="1:4" x14ac:dyDescent="0.25">
      <c r="A2691" s="2"/>
      <c r="B2691" s="3"/>
      <c r="C2691" s="3"/>
      <c r="D2691" s="3"/>
    </row>
    <row r="2692" spans="1:4" x14ac:dyDescent="0.25">
      <c r="A2692" s="2"/>
      <c r="B2692" s="3"/>
      <c r="C2692" s="3"/>
      <c r="D2692" s="3"/>
    </row>
    <row r="2693" spans="1:4" x14ac:dyDescent="0.25">
      <c r="A2693" s="2"/>
      <c r="B2693" s="3"/>
      <c r="C2693" s="3"/>
      <c r="D2693" s="3"/>
    </row>
    <row r="2694" spans="1:4" x14ac:dyDescent="0.25">
      <c r="A2694" s="2"/>
      <c r="B2694" s="3"/>
      <c r="C2694" s="3"/>
      <c r="D2694" s="3"/>
    </row>
    <row r="2695" spans="1:4" x14ac:dyDescent="0.25">
      <c r="A2695" s="2"/>
      <c r="B2695" s="3"/>
      <c r="C2695" s="3"/>
      <c r="D2695" s="3"/>
    </row>
    <row r="2696" spans="1:4" x14ac:dyDescent="0.25">
      <c r="A2696" s="2"/>
      <c r="B2696" s="3"/>
      <c r="C2696" s="3"/>
      <c r="D2696" s="3"/>
    </row>
    <row r="2697" spans="1:4" x14ac:dyDescent="0.25">
      <c r="A2697" s="2"/>
      <c r="B2697" s="3"/>
      <c r="C2697" s="3"/>
      <c r="D2697" s="3"/>
    </row>
    <row r="2698" spans="1:4" x14ac:dyDescent="0.25">
      <c r="A2698" s="2"/>
      <c r="B2698" s="3"/>
      <c r="C2698" s="3"/>
      <c r="D2698" s="3"/>
    </row>
    <row r="2699" spans="1:4" x14ac:dyDescent="0.25">
      <c r="A2699" s="2"/>
      <c r="B2699" s="3"/>
      <c r="C2699" s="3"/>
      <c r="D2699" s="3"/>
    </row>
    <row r="2700" spans="1:4" x14ac:dyDescent="0.25">
      <c r="A2700" s="2"/>
      <c r="B2700" s="3"/>
      <c r="C2700" s="3"/>
      <c r="D2700" s="3"/>
    </row>
    <row r="2701" spans="1:4" x14ac:dyDescent="0.25">
      <c r="A2701" s="2"/>
      <c r="B2701" s="3"/>
      <c r="C2701" s="3"/>
      <c r="D2701" s="3"/>
    </row>
    <row r="2702" spans="1:4" x14ac:dyDescent="0.25">
      <c r="A2702" s="2"/>
      <c r="B2702" s="3"/>
      <c r="C2702" s="3"/>
      <c r="D2702" s="3"/>
    </row>
    <row r="2703" spans="1:4" x14ac:dyDescent="0.25">
      <c r="A2703" s="2"/>
      <c r="B2703" s="3"/>
      <c r="C2703" s="3"/>
      <c r="D2703" s="3"/>
    </row>
    <row r="2704" spans="1:4" x14ac:dyDescent="0.25">
      <c r="A2704" s="2"/>
      <c r="B2704" s="3"/>
      <c r="C2704" s="3"/>
      <c r="D2704" s="3"/>
    </row>
    <row r="2705" spans="1:4" x14ac:dyDescent="0.25">
      <c r="A2705" s="2"/>
      <c r="B2705" s="3"/>
      <c r="C2705" s="3"/>
      <c r="D2705" s="3"/>
    </row>
    <row r="2706" spans="1:4" x14ac:dyDescent="0.25">
      <c r="A2706" s="2"/>
      <c r="B2706" s="3"/>
      <c r="C2706" s="3"/>
      <c r="D2706" s="3"/>
    </row>
    <row r="2707" spans="1:4" x14ac:dyDescent="0.25">
      <c r="A2707" s="2"/>
      <c r="B2707" s="3"/>
      <c r="C2707" s="3"/>
      <c r="D2707" s="3"/>
    </row>
    <row r="2708" spans="1:4" x14ac:dyDescent="0.25">
      <c r="A2708" s="2"/>
      <c r="B2708" s="3"/>
      <c r="C2708" s="3"/>
      <c r="D2708" s="3"/>
    </row>
    <row r="2709" spans="1:4" x14ac:dyDescent="0.25">
      <c r="A2709" s="2"/>
      <c r="B2709" s="3"/>
      <c r="C2709" s="3"/>
      <c r="D2709" s="3"/>
    </row>
    <row r="2710" spans="1:4" x14ac:dyDescent="0.25">
      <c r="A2710" s="2"/>
      <c r="B2710" s="3"/>
      <c r="C2710" s="3"/>
      <c r="D2710" s="3"/>
    </row>
    <row r="2711" spans="1:4" x14ac:dyDescent="0.25">
      <c r="A2711" s="2"/>
      <c r="B2711" s="3"/>
      <c r="C2711" s="3"/>
      <c r="D2711" s="3"/>
    </row>
    <row r="2712" spans="1:4" x14ac:dyDescent="0.25">
      <c r="A2712" s="2"/>
      <c r="B2712" s="3"/>
      <c r="C2712" s="3"/>
      <c r="D2712" s="3"/>
    </row>
    <row r="2713" spans="1:4" x14ac:dyDescent="0.25">
      <c r="A2713" s="2"/>
      <c r="B2713" s="3"/>
      <c r="C2713" s="3"/>
      <c r="D2713" s="3"/>
    </row>
    <row r="2714" spans="1:4" x14ac:dyDescent="0.25">
      <c r="A2714" s="2"/>
      <c r="B2714" s="3"/>
      <c r="C2714" s="3"/>
      <c r="D2714" s="3"/>
    </row>
    <row r="2715" spans="1:4" x14ac:dyDescent="0.25">
      <c r="A2715" s="2"/>
      <c r="B2715" s="3"/>
      <c r="C2715" s="3"/>
      <c r="D2715" s="3"/>
    </row>
    <row r="2716" spans="1:4" x14ac:dyDescent="0.25">
      <c r="A2716" s="2"/>
      <c r="B2716" s="3"/>
      <c r="C2716" s="3"/>
      <c r="D2716" s="3"/>
    </row>
    <row r="2717" spans="1:4" x14ac:dyDescent="0.25">
      <c r="A2717" s="2"/>
      <c r="B2717" s="3"/>
      <c r="C2717" s="3"/>
      <c r="D2717" s="3"/>
    </row>
    <row r="2718" spans="1:4" x14ac:dyDescent="0.25">
      <c r="A2718" s="2"/>
      <c r="B2718" s="3"/>
      <c r="C2718" s="3"/>
      <c r="D2718" s="3"/>
    </row>
    <row r="2719" spans="1:4" x14ac:dyDescent="0.25">
      <c r="A2719" s="2"/>
      <c r="B2719" s="3"/>
      <c r="C2719" s="3"/>
      <c r="D2719" s="3"/>
    </row>
    <row r="2720" spans="1:4" x14ac:dyDescent="0.25">
      <c r="A2720" s="2"/>
      <c r="B2720" s="3"/>
      <c r="C2720" s="3"/>
      <c r="D2720" s="3"/>
    </row>
    <row r="2721" spans="1:4" x14ac:dyDescent="0.25">
      <c r="A2721" s="2"/>
      <c r="B2721" s="3"/>
      <c r="C2721" s="3"/>
      <c r="D2721" s="3"/>
    </row>
    <row r="2722" spans="1:4" x14ac:dyDescent="0.25">
      <c r="A2722" s="2"/>
      <c r="B2722" s="3"/>
      <c r="C2722" s="3"/>
      <c r="D2722" s="3"/>
    </row>
    <row r="2723" spans="1:4" x14ac:dyDescent="0.25">
      <c r="A2723" s="2"/>
      <c r="B2723" s="3"/>
      <c r="C2723" s="3"/>
      <c r="D2723" s="3"/>
    </row>
    <row r="2724" spans="1:4" x14ac:dyDescent="0.25">
      <c r="A2724" s="2"/>
      <c r="B2724" s="3"/>
      <c r="C2724" s="3"/>
      <c r="D2724" s="3"/>
    </row>
    <row r="2725" spans="1:4" x14ac:dyDescent="0.25">
      <c r="A2725" s="2"/>
      <c r="B2725" s="3"/>
      <c r="C2725" s="3"/>
      <c r="D2725" s="3"/>
    </row>
    <row r="2726" spans="1:4" x14ac:dyDescent="0.25">
      <c r="A2726" s="2"/>
      <c r="B2726" s="3"/>
      <c r="C2726" s="3"/>
      <c r="D2726" s="3"/>
    </row>
    <row r="2727" spans="1:4" x14ac:dyDescent="0.25">
      <c r="A2727" s="2"/>
      <c r="B2727" s="3"/>
      <c r="C2727" s="3"/>
      <c r="D2727" s="3"/>
    </row>
    <row r="2728" spans="1:4" x14ac:dyDescent="0.25">
      <c r="A2728" s="2"/>
      <c r="B2728" s="3"/>
      <c r="C2728" s="3"/>
      <c r="D2728" s="3"/>
    </row>
    <row r="2729" spans="1:4" x14ac:dyDescent="0.25">
      <c r="A2729" s="2"/>
      <c r="B2729" s="3"/>
      <c r="C2729" s="3"/>
      <c r="D2729" s="3"/>
    </row>
    <row r="2730" spans="1:4" x14ac:dyDescent="0.25">
      <c r="A2730" s="2"/>
      <c r="B2730" s="3"/>
      <c r="C2730" s="3"/>
      <c r="D2730" s="3"/>
    </row>
    <row r="2731" spans="1:4" x14ac:dyDescent="0.25">
      <c r="A2731" s="2"/>
      <c r="B2731" s="3"/>
      <c r="C2731" s="3"/>
      <c r="D2731" s="3"/>
    </row>
    <row r="2732" spans="1:4" x14ac:dyDescent="0.25">
      <c r="A2732" s="2"/>
      <c r="B2732" s="3"/>
      <c r="C2732" s="3"/>
      <c r="D2732" s="3"/>
    </row>
    <row r="2733" spans="1:4" x14ac:dyDescent="0.25">
      <c r="A2733" s="2"/>
      <c r="B2733" s="3"/>
      <c r="C2733" s="3"/>
      <c r="D2733" s="3"/>
    </row>
    <row r="2734" spans="1:4" x14ac:dyDescent="0.25">
      <c r="A2734" s="2"/>
      <c r="B2734" s="3"/>
      <c r="C2734" s="3"/>
      <c r="D2734" s="3"/>
    </row>
    <row r="2735" spans="1:4" x14ac:dyDescent="0.25">
      <c r="A2735" s="2"/>
      <c r="B2735" s="3"/>
      <c r="C2735" s="3"/>
      <c r="D2735" s="3"/>
    </row>
    <row r="2736" spans="1:4" x14ac:dyDescent="0.25">
      <c r="A2736" s="2"/>
      <c r="B2736" s="3"/>
      <c r="C2736" s="3"/>
      <c r="D2736" s="3"/>
    </row>
    <row r="2737" spans="1:4" x14ac:dyDescent="0.25">
      <c r="A2737" s="2"/>
      <c r="B2737" s="3"/>
      <c r="C2737" s="3"/>
      <c r="D2737" s="3"/>
    </row>
    <row r="2738" spans="1:4" x14ac:dyDescent="0.25">
      <c r="A2738" s="2"/>
      <c r="B2738" s="3"/>
      <c r="C2738" s="3"/>
      <c r="D2738" s="3"/>
    </row>
    <row r="2739" spans="1:4" x14ac:dyDescent="0.25">
      <c r="A2739" s="2"/>
      <c r="B2739" s="3"/>
      <c r="C2739" s="3"/>
      <c r="D2739" s="3"/>
    </row>
    <row r="2740" spans="1:4" x14ac:dyDescent="0.25">
      <c r="A2740" s="2"/>
      <c r="B2740" s="3"/>
      <c r="C2740" s="3"/>
      <c r="D2740" s="3"/>
    </row>
    <row r="2741" spans="1:4" x14ac:dyDescent="0.25">
      <c r="A2741" s="2"/>
      <c r="B2741" s="3"/>
      <c r="C2741" s="3"/>
      <c r="D2741" s="3"/>
    </row>
    <row r="2742" spans="1:4" x14ac:dyDescent="0.25">
      <c r="A2742" s="2"/>
      <c r="B2742" s="3"/>
      <c r="C2742" s="3"/>
      <c r="D2742" s="3"/>
    </row>
    <row r="2743" spans="1:4" x14ac:dyDescent="0.25">
      <c r="A2743" s="2"/>
      <c r="B2743" s="3"/>
      <c r="C2743" s="3"/>
      <c r="D2743" s="3"/>
    </row>
    <row r="2744" spans="1:4" x14ac:dyDescent="0.25">
      <c r="A2744" s="2"/>
      <c r="B2744" s="3"/>
      <c r="C2744" s="3"/>
      <c r="D2744" s="3"/>
    </row>
    <row r="2745" spans="1:4" x14ac:dyDescent="0.25">
      <c r="A2745" s="2"/>
      <c r="B2745" s="3"/>
      <c r="C2745" s="3"/>
      <c r="D2745" s="3"/>
    </row>
    <row r="2746" spans="1:4" x14ac:dyDescent="0.25">
      <c r="A2746" s="2"/>
      <c r="B2746" s="3"/>
      <c r="C2746" s="3"/>
      <c r="D2746" s="3"/>
    </row>
    <row r="2747" spans="1:4" x14ac:dyDescent="0.25">
      <c r="A2747" s="2"/>
      <c r="B2747" s="3"/>
      <c r="C2747" s="3"/>
      <c r="D2747" s="3"/>
    </row>
    <row r="2748" spans="1:4" x14ac:dyDescent="0.25">
      <c r="A2748" s="2"/>
      <c r="B2748" s="3"/>
      <c r="C2748" s="3"/>
      <c r="D2748" s="3"/>
    </row>
    <row r="2749" spans="1:4" x14ac:dyDescent="0.25">
      <c r="A2749" s="2"/>
      <c r="B2749" s="3"/>
      <c r="C2749" s="3"/>
      <c r="D2749" s="3"/>
    </row>
    <row r="2750" spans="1:4" x14ac:dyDescent="0.25">
      <c r="A2750" s="2"/>
      <c r="B2750" s="3"/>
      <c r="C2750" s="3"/>
      <c r="D2750" s="3"/>
    </row>
    <row r="2751" spans="1:4" x14ac:dyDescent="0.25">
      <c r="A2751" s="2"/>
      <c r="B2751" s="3"/>
      <c r="C2751" s="3"/>
      <c r="D2751" s="3"/>
    </row>
    <row r="2752" spans="1:4" x14ac:dyDescent="0.25">
      <c r="A2752" s="2"/>
      <c r="B2752" s="3"/>
      <c r="C2752" s="3"/>
      <c r="D2752" s="3"/>
    </row>
    <row r="2753" spans="1:4" x14ac:dyDescent="0.25">
      <c r="A2753" s="2"/>
      <c r="B2753" s="3"/>
      <c r="C2753" s="3"/>
      <c r="D2753" s="3"/>
    </row>
    <row r="2754" spans="1:4" x14ac:dyDescent="0.25">
      <c r="A2754" s="2"/>
      <c r="B2754" s="3"/>
      <c r="C2754" s="3"/>
      <c r="D2754" s="3"/>
    </row>
    <row r="2755" spans="1:4" x14ac:dyDescent="0.25">
      <c r="A2755" s="2"/>
      <c r="B2755" s="3"/>
      <c r="C2755" s="3"/>
      <c r="D2755" s="3"/>
    </row>
    <row r="2756" spans="1:4" x14ac:dyDescent="0.25">
      <c r="A2756" s="2"/>
      <c r="B2756" s="3"/>
      <c r="C2756" s="3"/>
      <c r="D2756" s="3"/>
    </row>
    <row r="2757" spans="1:4" x14ac:dyDescent="0.25">
      <c r="A2757" s="2"/>
      <c r="B2757" s="3"/>
      <c r="C2757" s="3"/>
      <c r="D2757" s="3"/>
    </row>
    <row r="2758" spans="1:4" x14ac:dyDescent="0.25">
      <c r="A2758" s="2"/>
      <c r="B2758" s="3"/>
      <c r="C2758" s="3"/>
      <c r="D2758" s="3"/>
    </row>
    <row r="2759" spans="1:4" x14ac:dyDescent="0.25">
      <c r="A2759" s="2"/>
      <c r="B2759" s="3"/>
      <c r="C2759" s="3"/>
      <c r="D2759" s="3"/>
    </row>
    <row r="2760" spans="1:4" x14ac:dyDescent="0.25">
      <c r="A2760" s="2"/>
      <c r="B2760" s="3"/>
      <c r="C2760" s="3"/>
      <c r="D2760" s="3"/>
    </row>
    <row r="2761" spans="1:4" x14ac:dyDescent="0.25">
      <c r="A2761" s="2"/>
      <c r="B2761" s="3"/>
      <c r="C2761" s="3"/>
      <c r="D2761" s="3"/>
    </row>
    <row r="2762" spans="1:4" x14ac:dyDescent="0.25">
      <c r="A2762" s="2"/>
      <c r="B2762" s="3"/>
      <c r="C2762" s="3"/>
      <c r="D2762" s="3"/>
    </row>
    <row r="2763" spans="1:4" x14ac:dyDescent="0.25">
      <c r="A2763" s="2"/>
      <c r="B2763" s="3"/>
      <c r="C2763" s="3"/>
      <c r="D2763" s="3"/>
    </row>
    <row r="2764" spans="1:4" x14ac:dyDescent="0.25">
      <c r="A2764" s="2"/>
      <c r="B2764" s="3"/>
      <c r="C2764" s="3"/>
      <c r="D2764" s="3"/>
    </row>
    <row r="2765" spans="1:4" x14ac:dyDescent="0.25">
      <c r="A2765" s="2"/>
      <c r="B2765" s="3"/>
      <c r="C2765" s="3"/>
      <c r="D2765" s="3"/>
    </row>
    <row r="2766" spans="1:4" x14ac:dyDescent="0.25">
      <c r="A2766" s="2"/>
      <c r="B2766" s="3"/>
      <c r="C2766" s="3"/>
      <c r="D2766" s="3"/>
    </row>
    <row r="2767" spans="1:4" x14ac:dyDescent="0.25">
      <c r="A2767" s="2"/>
      <c r="B2767" s="3"/>
      <c r="C2767" s="3"/>
      <c r="D2767" s="3"/>
    </row>
    <row r="2768" spans="1:4" x14ac:dyDescent="0.25">
      <c r="A2768" s="2"/>
      <c r="B2768" s="3"/>
      <c r="C2768" s="3"/>
      <c r="D2768" s="3"/>
    </row>
    <row r="2769" spans="1:4" x14ac:dyDescent="0.25">
      <c r="A2769" s="2"/>
      <c r="B2769" s="3"/>
      <c r="C2769" s="3"/>
      <c r="D2769" s="3"/>
    </row>
    <row r="2770" spans="1:4" x14ac:dyDescent="0.25">
      <c r="A2770" s="2"/>
      <c r="B2770" s="3"/>
      <c r="C2770" s="3"/>
      <c r="D2770" s="3"/>
    </row>
    <row r="2771" spans="1:4" x14ac:dyDescent="0.25">
      <c r="A2771" s="2"/>
      <c r="B2771" s="3"/>
      <c r="C2771" s="3"/>
      <c r="D2771" s="3"/>
    </row>
    <row r="2772" spans="1:4" x14ac:dyDescent="0.25">
      <c r="A2772" s="2"/>
      <c r="B2772" s="3"/>
      <c r="C2772" s="3"/>
      <c r="D2772" s="3"/>
    </row>
    <row r="2773" spans="1:4" x14ac:dyDescent="0.25">
      <c r="A2773" s="2"/>
      <c r="B2773" s="3"/>
      <c r="C2773" s="3"/>
      <c r="D2773" s="3"/>
    </row>
    <row r="2774" spans="1:4" x14ac:dyDescent="0.25">
      <c r="A2774" s="2"/>
      <c r="B2774" s="3"/>
      <c r="C2774" s="3"/>
      <c r="D2774" s="3"/>
    </row>
    <row r="2775" spans="1:4" x14ac:dyDescent="0.25">
      <c r="A2775" s="2"/>
      <c r="B2775" s="3"/>
      <c r="C2775" s="3"/>
      <c r="D2775" s="3"/>
    </row>
    <row r="2776" spans="1:4" x14ac:dyDescent="0.25">
      <c r="A2776" s="2"/>
      <c r="B2776" s="3"/>
      <c r="C2776" s="3"/>
      <c r="D2776" s="3"/>
    </row>
    <row r="2777" spans="1:4" x14ac:dyDescent="0.25">
      <c r="A2777" s="2"/>
      <c r="B2777" s="3"/>
      <c r="C2777" s="3"/>
      <c r="D2777" s="3"/>
    </row>
    <row r="2778" spans="1:4" x14ac:dyDescent="0.25">
      <c r="A2778" s="2"/>
      <c r="B2778" s="3"/>
      <c r="C2778" s="3"/>
      <c r="D2778" s="3"/>
    </row>
    <row r="2779" spans="1:4" x14ac:dyDescent="0.25">
      <c r="A2779" s="2"/>
      <c r="B2779" s="3"/>
      <c r="C2779" s="3"/>
      <c r="D2779" s="3"/>
    </row>
    <row r="2780" spans="1:4" x14ac:dyDescent="0.25">
      <c r="A2780" s="2"/>
      <c r="B2780" s="3"/>
      <c r="C2780" s="3"/>
      <c r="D2780" s="3"/>
    </row>
    <row r="2781" spans="1:4" x14ac:dyDescent="0.25">
      <c r="A2781" s="2"/>
      <c r="B2781" s="3"/>
      <c r="C2781" s="3"/>
      <c r="D2781" s="3"/>
    </row>
    <row r="2782" spans="1:4" x14ac:dyDescent="0.25">
      <c r="A2782" s="2"/>
      <c r="B2782" s="3"/>
      <c r="C2782" s="3"/>
      <c r="D2782" s="3"/>
    </row>
    <row r="2783" spans="1:4" x14ac:dyDescent="0.25">
      <c r="A2783" s="2"/>
      <c r="B2783" s="3"/>
      <c r="C2783" s="3"/>
      <c r="D2783" s="3"/>
    </row>
    <row r="2784" spans="1:4" x14ac:dyDescent="0.25">
      <c r="A2784" s="2"/>
      <c r="B2784" s="3"/>
      <c r="C2784" s="3"/>
      <c r="D2784" s="3"/>
    </row>
    <row r="2785" spans="1:4" x14ac:dyDescent="0.25">
      <c r="A2785" s="2"/>
      <c r="B2785" s="3"/>
      <c r="C2785" s="3"/>
      <c r="D2785" s="3"/>
    </row>
    <row r="2786" spans="1:4" x14ac:dyDescent="0.25">
      <c r="A2786" s="2"/>
      <c r="B2786" s="3"/>
      <c r="C2786" s="3"/>
      <c r="D2786" s="3"/>
    </row>
    <row r="2787" spans="1:4" x14ac:dyDescent="0.25">
      <c r="A2787" s="2"/>
      <c r="B2787" s="3"/>
      <c r="C2787" s="3"/>
      <c r="D2787" s="3"/>
    </row>
    <row r="2788" spans="1:4" x14ac:dyDescent="0.25">
      <c r="A2788" s="2"/>
      <c r="B2788" s="3"/>
      <c r="C2788" s="3"/>
      <c r="D2788" s="3"/>
    </row>
    <row r="2789" spans="1:4" x14ac:dyDescent="0.25">
      <c r="A2789" s="2"/>
      <c r="B2789" s="3"/>
      <c r="C2789" s="3"/>
      <c r="D2789" s="3"/>
    </row>
    <row r="2790" spans="1:4" x14ac:dyDescent="0.25">
      <c r="A2790" s="2"/>
      <c r="B2790" s="3"/>
      <c r="C2790" s="3"/>
      <c r="D2790" s="3"/>
    </row>
    <row r="2791" spans="1:4" x14ac:dyDescent="0.25">
      <c r="A2791" s="2"/>
      <c r="B2791" s="3"/>
      <c r="C2791" s="3"/>
      <c r="D2791" s="3"/>
    </row>
    <row r="2792" spans="1:4" x14ac:dyDescent="0.25">
      <c r="A2792" s="2"/>
      <c r="B2792" s="3"/>
      <c r="C2792" s="3"/>
      <c r="D2792" s="3"/>
    </row>
    <row r="2793" spans="1:4" x14ac:dyDescent="0.25">
      <c r="A2793" s="2"/>
      <c r="B2793" s="3"/>
      <c r="C2793" s="3"/>
      <c r="D2793" s="3"/>
    </row>
    <row r="2794" spans="1:4" x14ac:dyDescent="0.25">
      <c r="A2794" s="2"/>
      <c r="B2794" s="3"/>
      <c r="C2794" s="3"/>
      <c r="D2794" s="3"/>
    </row>
    <row r="2795" spans="1:4" x14ac:dyDescent="0.25">
      <c r="A2795" s="2"/>
      <c r="B2795" s="3"/>
      <c r="C2795" s="3"/>
      <c r="D2795" s="3"/>
    </row>
    <row r="2796" spans="1:4" x14ac:dyDescent="0.25">
      <c r="A2796" s="2"/>
      <c r="B2796" s="3"/>
      <c r="C2796" s="3"/>
      <c r="D2796" s="3"/>
    </row>
    <row r="2797" spans="1:4" x14ac:dyDescent="0.25">
      <c r="A2797" s="2"/>
      <c r="B2797" s="3"/>
      <c r="C2797" s="3"/>
      <c r="D2797" s="3"/>
    </row>
    <row r="2798" spans="1:4" x14ac:dyDescent="0.25">
      <c r="A2798" s="2"/>
      <c r="B2798" s="3"/>
      <c r="C2798" s="3"/>
      <c r="D2798" s="3"/>
    </row>
    <row r="2799" spans="1:4" x14ac:dyDescent="0.25">
      <c r="A2799" s="2"/>
      <c r="B2799" s="3"/>
      <c r="C2799" s="3"/>
      <c r="D2799" s="3"/>
    </row>
    <row r="2800" spans="1:4" x14ac:dyDescent="0.25">
      <c r="A2800" s="2"/>
      <c r="B2800" s="3"/>
      <c r="C2800" s="3"/>
      <c r="D2800" s="3"/>
    </row>
    <row r="2801" spans="1:4" x14ac:dyDescent="0.25">
      <c r="A2801" s="2"/>
      <c r="B2801" s="3"/>
      <c r="C2801" s="3"/>
      <c r="D2801" s="3"/>
    </row>
    <row r="2802" spans="1:4" x14ac:dyDescent="0.25">
      <c r="A2802" s="2"/>
      <c r="B2802" s="3"/>
      <c r="C2802" s="3"/>
      <c r="D2802" s="3"/>
    </row>
    <row r="2803" spans="1:4" x14ac:dyDescent="0.25">
      <c r="A2803" s="2"/>
      <c r="B2803" s="3"/>
      <c r="C2803" s="3"/>
      <c r="D2803" s="3"/>
    </row>
    <row r="2804" spans="1:4" x14ac:dyDescent="0.25">
      <c r="A2804" s="2"/>
      <c r="B2804" s="3"/>
      <c r="C2804" s="3"/>
      <c r="D2804" s="3"/>
    </row>
    <row r="2805" spans="1:4" x14ac:dyDescent="0.25">
      <c r="A2805" s="2"/>
      <c r="B2805" s="3"/>
      <c r="C2805" s="3"/>
      <c r="D2805" s="3"/>
    </row>
    <row r="2806" spans="1:4" x14ac:dyDescent="0.25">
      <c r="A2806" s="2"/>
      <c r="B2806" s="3"/>
      <c r="C2806" s="3"/>
      <c r="D2806" s="3"/>
    </row>
    <row r="2807" spans="1:4" x14ac:dyDescent="0.25">
      <c r="A2807" s="2"/>
      <c r="B2807" s="3"/>
      <c r="C2807" s="3"/>
      <c r="D2807" s="3"/>
    </row>
    <row r="2808" spans="1:4" x14ac:dyDescent="0.25">
      <c r="A2808" s="2"/>
      <c r="B2808" s="3"/>
      <c r="C2808" s="3"/>
      <c r="D2808" s="3"/>
    </row>
    <row r="2809" spans="1:4" x14ac:dyDescent="0.25">
      <c r="A2809" s="2"/>
      <c r="B2809" s="3"/>
      <c r="C2809" s="3"/>
      <c r="D2809" s="3"/>
    </row>
    <row r="2810" spans="1:4" x14ac:dyDescent="0.25">
      <c r="A2810" s="2"/>
      <c r="B2810" s="3"/>
      <c r="C2810" s="3"/>
      <c r="D2810" s="3"/>
    </row>
    <row r="2811" spans="1:4" x14ac:dyDescent="0.25">
      <c r="A2811" s="2"/>
      <c r="B2811" s="3"/>
      <c r="C2811" s="3"/>
      <c r="D2811" s="3"/>
    </row>
    <row r="2812" spans="1:4" x14ac:dyDescent="0.25">
      <c r="A2812" s="2"/>
      <c r="B2812" s="3"/>
      <c r="C2812" s="3"/>
      <c r="D2812" s="3"/>
    </row>
    <row r="2813" spans="1:4" x14ac:dyDescent="0.25">
      <c r="A2813" s="2"/>
      <c r="B2813" s="3"/>
      <c r="C2813" s="3"/>
      <c r="D2813" s="3"/>
    </row>
    <row r="2814" spans="1:4" x14ac:dyDescent="0.25">
      <c r="A2814" s="2"/>
      <c r="B2814" s="3"/>
      <c r="C2814" s="3"/>
      <c r="D2814" s="3"/>
    </row>
    <row r="2815" spans="1:4" x14ac:dyDescent="0.25">
      <c r="A2815" s="2"/>
      <c r="B2815" s="3"/>
      <c r="C2815" s="3"/>
      <c r="D2815" s="3"/>
    </row>
    <row r="2816" spans="1:4" x14ac:dyDescent="0.25">
      <c r="A2816" s="2"/>
      <c r="B2816" s="3"/>
      <c r="C2816" s="3"/>
      <c r="D2816" s="3"/>
    </row>
    <row r="2817" spans="1:4" x14ac:dyDescent="0.25">
      <c r="A2817" s="2"/>
      <c r="B2817" s="3"/>
      <c r="C2817" s="3"/>
      <c r="D2817" s="3"/>
    </row>
    <row r="2818" spans="1:4" x14ac:dyDescent="0.25">
      <c r="A2818" s="2"/>
      <c r="B2818" s="3"/>
      <c r="C2818" s="3"/>
      <c r="D2818" s="3"/>
    </row>
    <row r="2819" spans="1:4" x14ac:dyDescent="0.25">
      <c r="A2819" s="2"/>
      <c r="B2819" s="3"/>
      <c r="C2819" s="3"/>
      <c r="D2819" s="3"/>
    </row>
    <row r="2820" spans="1:4" x14ac:dyDescent="0.25">
      <c r="A2820" s="2"/>
      <c r="B2820" s="3"/>
      <c r="C2820" s="3"/>
      <c r="D2820" s="3"/>
    </row>
    <row r="2821" spans="1:4" x14ac:dyDescent="0.25">
      <c r="A2821" s="2"/>
      <c r="B2821" s="3"/>
      <c r="C2821" s="3"/>
      <c r="D2821" s="3"/>
    </row>
    <row r="2822" spans="1:4" x14ac:dyDescent="0.25">
      <c r="A2822" s="2"/>
      <c r="B2822" s="3"/>
      <c r="C2822" s="3"/>
      <c r="D2822" s="3"/>
    </row>
    <row r="2823" spans="1:4" x14ac:dyDescent="0.25">
      <c r="A2823" s="2"/>
      <c r="B2823" s="3"/>
      <c r="C2823" s="3"/>
      <c r="D2823" s="3"/>
    </row>
    <row r="2824" spans="1:4" x14ac:dyDescent="0.25">
      <c r="A2824" s="2"/>
      <c r="B2824" s="3"/>
      <c r="C2824" s="3"/>
      <c r="D2824" s="3"/>
    </row>
    <row r="2825" spans="1:4" x14ac:dyDescent="0.25">
      <c r="A2825" s="2"/>
      <c r="B2825" s="3"/>
      <c r="C2825" s="3"/>
      <c r="D2825" s="3"/>
    </row>
    <row r="2826" spans="1:4" x14ac:dyDescent="0.25">
      <c r="A2826" s="2"/>
      <c r="B2826" s="3"/>
      <c r="C2826" s="3"/>
      <c r="D2826" s="3"/>
    </row>
    <row r="2827" spans="1:4" x14ac:dyDescent="0.25">
      <c r="A2827" s="2"/>
      <c r="B2827" s="3"/>
      <c r="C2827" s="3"/>
      <c r="D2827" s="3"/>
    </row>
    <row r="2828" spans="1:4" x14ac:dyDescent="0.25">
      <c r="A2828" s="2"/>
      <c r="B2828" s="3"/>
      <c r="C2828" s="3"/>
      <c r="D2828" s="3"/>
    </row>
    <row r="2829" spans="1:4" x14ac:dyDescent="0.25">
      <c r="A2829" s="2"/>
      <c r="B2829" s="3"/>
      <c r="C2829" s="3"/>
      <c r="D2829" s="3"/>
    </row>
    <row r="2830" spans="1:4" x14ac:dyDescent="0.25">
      <c r="A2830" s="2"/>
      <c r="B2830" s="3"/>
      <c r="C2830" s="3"/>
      <c r="D2830" s="3"/>
    </row>
    <row r="2831" spans="1:4" x14ac:dyDescent="0.25">
      <c r="A2831" s="2"/>
      <c r="B2831" s="3"/>
      <c r="C2831" s="3"/>
      <c r="D2831" s="3"/>
    </row>
    <row r="2832" spans="1:4" x14ac:dyDescent="0.25">
      <c r="A2832" s="2"/>
      <c r="B2832" s="3"/>
      <c r="C2832" s="3"/>
      <c r="D2832" s="3"/>
    </row>
    <row r="2833" spans="1:4" x14ac:dyDescent="0.25">
      <c r="A2833" s="2"/>
      <c r="B2833" s="3"/>
      <c r="C2833" s="3"/>
      <c r="D2833" s="3"/>
    </row>
    <row r="2834" spans="1:4" x14ac:dyDescent="0.25">
      <c r="A2834" s="2"/>
      <c r="B2834" s="3"/>
      <c r="C2834" s="3"/>
      <c r="D2834" s="3"/>
    </row>
    <row r="2835" spans="1:4" x14ac:dyDescent="0.25">
      <c r="A2835" s="2"/>
      <c r="B2835" s="3"/>
      <c r="C2835" s="3"/>
      <c r="D2835" s="3"/>
    </row>
    <row r="2836" spans="1:4" x14ac:dyDescent="0.25">
      <c r="A2836" s="2"/>
      <c r="B2836" s="3"/>
      <c r="C2836" s="3"/>
      <c r="D2836" s="3"/>
    </row>
    <row r="2837" spans="1:4" x14ac:dyDescent="0.25">
      <c r="A2837" s="2"/>
      <c r="B2837" s="3"/>
      <c r="C2837" s="3"/>
      <c r="D2837" s="3"/>
    </row>
    <row r="2838" spans="1:4" x14ac:dyDescent="0.25">
      <c r="A2838" s="2"/>
      <c r="B2838" s="3"/>
      <c r="C2838" s="3"/>
      <c r="D2838" s="3"/>
    </row>
    <row r="2839" spans="1:4" x14ac:dyDescent="0.25">
      <c r="A2839" s="2"/>
      <c r="B2839" s="3"/>
      <c r="C2839" s="3"/>
      <c r="D2839" s="3"/>
    </row>
    <row r="2840" spans="1:4" x14ac:dyDescent="0.25">
      <c r="A2840" s="2"/>
      <c r="B2840" s="3"/>
      <c r="C2840" s="3"/>
      <c r="D2840" s="3"/>
    </row>
    <row r="2841" spans="1:4" x14ac:dyDescent="0.25">
      <c r="A2841" s="2"/>
      <c r="B2841" s="3"/>
      <c r="C2841" s="3"/>
      <c r="D2841" s="3"/>
    </row>
    <row r="2842" spans="1:4" x14ac:dyDescent="0.25">
      <c r="A2842" s="2"/>
      <c r="B2842" s="3"/>
      <c r="C2842" s="3"/>
      <c r="D2842" s="3"/>
    </row>
    <row r="2843" spans="1:4" x14ac:dyDescent="0.25">
      <c r="A2843" s="2"/>
      <c r="B2843" s="3"/>
      <c r="C2843" s="3"/>
      <c r="D2843" s="3"/>
    </row>
    <row r="2844" spans="1:4" x14ac:dyDescent="0.25">
      <c r="A2844" s="2"/>
      <c r="B2844" s="3"/>
      <c r="C2844" s="3"/>
      <c r="D2844" s="3"/>
    </row>
    <row r="2845" spans="1:4" x14ac:dyDescent="0.25">
      <c r="A2845" s="2"/>
      <c r="B2845" s="3"/>
      <c r="C2845" s="3"/>
      <c r="D2845" s="3"/>
    </row>
    <row r="2846" spans="1:4" x14ac:dyDescent="0.25">
      <c r="A2846" s="2"/>
      <c r="B2846" s="3"/>
      <c r="C2846" s="3"/>
      <c r="D2846" s="3"/>
    </row>
    <row r="2847" spans="1:4" x14ac:dyDescent="0.25">
      <c r="A2847" s="2"/>
      <c r="B2847" s="3"/>
      <c r="C2847" s="3"/>
      <c r="D2847" s="3"/>
    </row>
    <row r="2848" spans="1:4" x14ac:dyDescent="0.25">
      <c r="A2848" s="2"/>
      <c r="B2848" s="3"/>
      <c r="C2848" s="3"/>
      <c r="D2848" s="3"/>
    </row>
    <row r="2849" spans="1:4" x14ac:dyDescent="0.25">
      <c r="A2849" s="2"/>
      <c r="B2849" s="3"/>
      <c r="C2849" s="3"/>
      <c r="D2849" s="3"/>
    </row>
    <row r="2850" spans="1:4" x14ac:dyDescent="0.25">
      <c r="A2850" s="2"/>
      <c r="B2850" s="3"/>
      <c r="C2850" s="3"/>
      <c r="D2850" s="3"/>
    </row>
    <row r="2851" spans="1:4" x14ac:dyDescent="0.25">
      <c r="A2851" s="2"/>
      <c r="B2851" s="3"/>
      <c r="C2851" s="3"/>
      <c r="D2851" s="3"/>
    </row>
    <row r="2852" spans="1:4" x14ac:dyDescent="0.25">
      <c r="A2852" s="2"/>
      <c r="B2852" s="3"/>
      <c r="C2852" s="3"/>
      <c r="D2852" s="3"/>
    </row>
    <row r="2853" spans="1:4" x14ac:dyDescent="0.25">
      <c r="A2853" s="2"/>
      <c r="B2853" s="3"/>
      <c r="C2853" s="3"/>
      <c r="D2853" s="3"/>
    </row>
    <row r="2854" spans="1:4" x14ac:dyDescent="0.25">
      <c r="A2854" s="2"/>
      <c r="B2854" s="3"/>
      <c r="C2854" s="3"/>
      <c r="D2854" s="3"/>
    </row>
    <row r="2855" spans="1:4" x14ac:dyDescent="0.25">
      <c r="A2855" s="2"/>
      <c r="B2855" s="3"/>
      <c r="C2855" s="3"/>
      <c r="D2855" s="3"/>
    </row>
    <row r="2856" spans="1:4" x14ac:dyDescent="0.25">
      <c r="A2856" s="2"/>
      <c r="B2856" s="3"/>
      <c r="C2856" s="3"/>
      <c r="D2856" s="3"/>
    </row>
    <row r="2857" spans="1:4" x14ac:dyDescent="0.25">
      <c r="A2857" s="2"/>
      <c r="B2857" s="3"/>
      <c r="C2857" s="3"/>
      <c r="D2857" s="3"/>
    </row>
    <row r="2858" spans="1:4" x14ac:dyDescent="0.25">
      <c r="A2858" s="2"/>
      <c r="B2858" s="3"/>
      <c r="C2858" s="3"/>
      <c r="D2858" s="3"/>
    </row>
    <row r="2859" spans="1:4" x14ac:dyDescent="0.25">
      <c r="A2859" s="2"/>
      <c r="B2859" s="3"/>
      <c r="C2859" s="3"/>
      <c r="D2859" s="3"/>
    </row>
    <row r="2860" spans="1:4" x14ac:dyDescent="0.25">
      <c r="A2860" s="2"/>
      <c r="B2860" s="3"/>
      <c r="C2860" s="3"/>
      <c r="D2860" s="3"/>
    </row>
    <row r="2861" spans="1:4" x14ac:dyDescent="0.25">
      <c r="A2861" s="2"/>
      <c r="B2861" s="3"/>
      <c r="C2861" s="3"/>
      <c r="D2861" s="3"/>
    </row>
    <row r="2862" spans="1:4" x14ac:dyDescent="0.25">
      <c r="A2862" s="2"/>
      <c r="B2862" s="3"/>
      <c r="C2862" s="3"/>
      <c r="D2862" s="3"/>
    </row>
    <row r="2863" spans="1:4" x14ac:dyDescent="0.25">
      <c r="A2863" s="2"/>
      <c r="B2863" s="3"/>
      <c r="C2863" s="3"/>
      <c r="D2863" s="3"/>
    </row>
    <row r="2864" spans="1:4" x14ac:dyDescent="0.25">
      <c r="A2864" s="2"/>
      <c r="B2864" s="3"/>
      <c r="C2864" s="3"/>
      <c r="D2864" s="3"/>
    </row>
    <row r="2865" spans="1:4" x14ac:dyDescent="0.25">
      <c r="A2865" s="2"/>
      <c r="B2865" s="3"/>
      <c r="C2865" s="3"/>
      <c r="D2865" s="3"/>
    </row>
    <row r="2866" spans="1:4" x14ac:dyDescent="0.25">
      <c r="A2866" s="2"/>
      <c r="B2866" s="3"/>
      <c r="C2866" s="3"/>
      <c r="D2866" s="3"/>
    </row>
    <row r="2867" spans="1:4" x14ac:dyDescent="0.25">
      <c r="A2867" s="2"/>
      <c r="B2867" s="3"/>
      <c r="C2867" s="3"/>
      <c r="D2867" s="3"/>
    </row>
    <row r="2868" spans="1:4" x14ac:dyDescent="0.25">
      <c r="A2868" s="2"/>
      <c r="B2868" s="3"/>
      <c r="C2868" s="3"/>
      <c r="D2868" s="3"/>
    </row>
    <row r="2869" spans="1:4" x14ac:dyDescent="0.25">
      <c r="A2869" s="2"/>
      <c r="B2869" s="3"/>
      <c r="C2869" s="3"/>
      <c r="D2869" s="3"/>
    </row>
    <row r="2870" spans="1:4" x14ac:dyDescent="0.25">
      <c r="A2870" s="2"/>
      <c r="B2870" s="3"/>
      <c r="C2870" s="3"/>
      <c r="D2870" s="3"/>
    </row>
    <row r="2871" spans="1:4" x14ac:dyDescent="0.25">
      <c r="A2871" s="2"/>
      <c r="B2871" s="3"/>
      <c r="C2871" s="3"/>
      <c r="D2871" s="3"/>
    </row>
    <row r="2872" spans="1:4" x14ac:dyDescent="0.25">
      <c r="A2872" s="2"/>
      <c r="B2872" s="3"/>
      <c r="C2872" s="3"/>
      <c r="D2872" s="3"/>
    </row>
    <row r="2873" spans="1:4" x14ac:dyDescent="0.25">
      <c r="A2873" s="2"/>
      <c r="B2873" s="3"/>
      <c r="C2873" s="3"/>
      <c r="D2873" s="3"/>
    </row>
    <row r="2874" spans="1:4" x14ac:dyDescent="0.25">
      <c r="A2874" s="2"/>
      <c r="B2874" s="3"/>
      <c r="C2874" s="3"/>
      <c r="D2874" s="3"/>
    </row>
    <row r="2875" spans="1:4" x14ac:dyDescent="0.25">
      <c r="A2875" s="2"/>
      <c r="B2875" s="3"/>
      <c r="C2875" s="3"/>
      <c r="D2875" s="3"/>
    </row>
    <row r="2876" spans="1:4" x14ac:dyDescent="0.25">
      <c r="A2876" s="2"/>
      <c r="B2876" s="3"/>
      <c r="C2876" s="3"/>
      <c r="D2876" s="3"/>
    </row>
    <row r="2877" spans="1:4" x14ac:dyDescent="0.25">
      <c r="A2877" s="2"/>
      <c r="B2877" s="3"/>
      <c r="C2877" s="3"/>
      <c r="D2877" s="3"/>
    </row>
    <row r="2878" spans="1:4" x14ac:dyDescent="0.25">
      <c r="A2878" s="2"/>
      <c r="B2878" s="3"/>
      <c r="C2878" s="3"/>
      <c r="D2878" s="3"/>
    </row>
    <row r="2879" spans="1:4" x14ac:dyDescent="0.25">
      <c r="A2879" s="2"/>
      <c r="B2879" s="3"/>
      <c r="C2879" s="3"/>
      <c r="D2879" s="3"/>
    </row>
    <row r="2880" spans="1:4" x14ac:dyDescent="0.25">
      <c r="A2880" s="2"/>
      <c r="B2880" s="3"/>
      <c r="C2880" s="3"/>
      <c r="D2880" s="3"/>
    </row>
    <row r="2881" spans="1:4" x14ac:dyDescent="0.25">
      <c r="A2881" s="2"/>
      <c r="B2881" s="3"/>
      <c r="C2881" s="3"/>
      <c r="D2881" s="3"/>
    </row>
    <row r="2882" spans="1:4" x14ac:dyDescent="0.25">
      <c r="A2882" s="2"/>
      <c r="B2882" s="3"/>
      <c r="C2882" s="3"/>
      <c r="D2882" s="3"/>
    </row>
    <row r="2883" spans="1:4" x14ac:dyDescent="0.25">
      <c r="A2883" s="2"/>
      <c r="B2883" s="3"/>
      <c r="C2883" s="3"/>
      <c r="D2883" s="3"/>
    </row>
    <row r="2884" spans="1:4" x14ac:dyDescent="0.25">
      <c r="A2884" s="2"/>
      <c r="B2884" s="3"/>
      <c r="C2884" s="3"/>
      <c r="D2884" s="3"/>
    </row>
    <row r="2885" spans="1:4" x14ac:dyDescent="0.25">
      <c r="A2885" s="2"/>
      <c r="B2885" s="3"/>
      <c r="C2885" s="3"/>
      <c r="D2885" s="3"/>
    </row>
    <row r="2886" spans="1:4" x14ac:dyDescent="0.25">
      <c r="A2886" s="2"/>
      <c r="B2886" s="3"/>
      <c r="C2886" s="3"/>
      <c r="D2886" s="3"/>
    </row>
    <row r="2887" spans="1:4" x14ac:dyDescent="0.25">
      <c r="A2887" s="2"/>
      <c r="B2887" s="3"/>
      <c r="C2887" s="3"/>
      <c r="D2887" s="3"/>
    </row>
    <row r="2888" spans="1:4" x14ac:dyDescent="0.25">
      <c r="A2888" s="2"/>
      <c r="B2888" s="3"/>
      <c r="C2888" s="3"/>
      <c r="D2888" s="3"/>
    </row>
    <row r="2889" spans="1:4" x14ac:dyDescent="0.25">
      <c r="A2889" s="2"/>
      <c r="B2889" s="3"/>
      <c r="C2889" s="3"/>
      <c r="D2889" s="3"/>
    </row>
    <row r="2890" spans="1:4" x14ac:dyDescent="0.25">
      <c r="A2890" s="2"/>
      <c r="B2890" s="3"/>
      <c r="C2890" s="3"/>
      <c r="D2890" s="3"/>
    </row>
    <row r="2891" spans="1:4" x14ac:dyDescent="0.25">
      <c r="A2891" s="2"/>
      <c r="B2891" s="3"/>
      <c r="C2891" s="3"/>
      <c r="D2891" s="3"/>
    </row>
    <row r="2892" spans="1:4" x14ac:dyDescent="0.25">
      <c r="A2892" s="2"/>
      <c r="B2892" s="3"/>
      <c r="C2892" s="3"/>
      <c r="D2892" s="3"/>
    </row>
    <row r="2893" spans="1:4" x14ac:dyDescent="0.25">
      <c r="A2893" s="2"/>
      <c r="B2893" s="3"/>
      <c r="C2893" s="3"/>
      <c r="D2893" s="3"/>
    </row>
    <row r="2894" spans="1:4" x14ac:dyDescent="0.25">
      <c r="A2894" s="2"/>
      <c r="B2894" s="3"/>
      <c r="C2894" s="3"/>
      <c r="D2894" s="3"/>
    </row>
    <row r="2895" spans="1:4" x14ac:dyDescent="0.25">
      <c r="A2895" s="2"/>
      <c r="B2895" s="3"/>
      <c r="C2895" s="3"/>
      <c r="D2895" s="3"/>
    </row>
    <row r="2896" spans="1:4" x14ac:dyDescent="0.25">
      <c r="A2896" s="2"/>
      <c r="B2896" s="3"/>
      <c r="C2896" s="3"/>
      <c r="D2896" s="3"/>
    </row>
    <row r="2897" spans="1:4" x14ac:dyDescent="0.25">
      <c r="A2897" s="2"/>
      <c r="B2897" s="3"/>
      <c r="C2897" s="3"/>
      <c r="D2897" s="3"/>
    </row>
    <row r="2898" spans="1:4" x14ac:dyDescent="0.25">
      <c r="A2898" s="2"/>
      <c r="B2898" s="3"/>
      <c r="C2898" s="3"/>
      <c r="D2898" s="3"/>
    </row>
    <row r="2899" spans="1:4" x14ac:dyDescent="0.25">
      <c r="A2899" s="2"/>
      <c r="B2899" s="3"/>
      <c r="C2899" s="3"/>
      <c r="D2899" s="3"/>
    </row>
    <row r="2900" spans="1:4" x14ac:dyDescent="0.25">
      <c r="A2900" s="2"/>
      <c r="B2900" s="3"/>
      <c r="C2900" s="3"/>
      <c r="D2900" s="3"/>
    </row>
    <row r="2901" spans="1:4" x14ac:dyDescent="0.25">
      <c r="A2901" s="2"/>
      <c r="B2901" s="3"/>
      <c r="C2901" s="3"/>
      <c r="D2901" s="3"/>
    </row>
    <row r="2902" spans="1:4" x14ac:dyDescent="0.25">
      <c r="A2902" s="2"/>
      <c r="B2902" s="3"/>
      <c r="C2902" s="3"/>
      <c r="D2902" s="3"/>
    </row>
    <row r="2903" spans="1:4" x14ac:dyDescent="0.25">
      <c r="A2903" s="2"/>
      <c r="B2903" s="3"/>
      <c r="C2903" s="3"/>
      <c r="D2903" s="3"/>
    </row>
    <row r="2904" spans="1:4" x14ac:dyDescent="0.25">
      <c r="A2904" s="2"/>
      <c r="B2904" s="3"/>
      <c r="C2904" s="3"/>
      <c r="D2904" s="3"/>
    </row>
    <row r="2905" spans="1:4" x14ac:dyDescent="0.25">
      <c r="A2905" s="2"/>
      <c r="B2905" s="3"/>
      <c r="C2905" s="3"/>
      <c r="D2905" s="3"/>
    </row>
    <row r="2906" spans="1:4" x14ac:dyDescent="0.25">
      <c r="A2906" s="2"/>
      <c r="B2906" s="3"/>
      <c r="C2906" s="3"/>
      <c r="D2906" s="3"/>
    </row>
    <row r="2907" spans="1:4" x14ac:dyDescent="0.25">
      <c r="A2907" s="2"/>
      <c r="B2907" s="3"/>
      <c r="C2907" s="3"/>
      <c r="D2907" s="3"/>
    </row>
    <row r="2908" spans="1:4" x14ac:dyDescent="0.25">
      <c r="A2908" s="2"/>
      <c r="B2908" s="3"/>
      <c r="C2908" s="3"/>
      <c r="D2908" s="3"/>
    </row>
    <row r="2909" spans="1:4" x14ac:dyDescent="0.25">
      <c r="A2909" s="2"/>
      <c r="B2909" s="3"/>
      <c r="C2909" s="3"/>
      <c r="D2909" s="3"/>
    </row>
    <row r="2910" spans="1:4" x14ac:dyDescent="0.25">
      <c r="A2910" s="2"/>
      <c r="B2910" s="3"/>
      <c r="C2910" s="3"/>
      <c r="D2910" s="3"/>
    </row>
    <row r="2911" spans="1:4" x14ac:dyDescent="0.25">
      <c r="A2911" s="2"/>
      <c r="B2911" s="3"/>
      <c r="C2911" s="3"/>
      <c r="D2911" s="3"/>
    </row>
    <row r="2912" spans="1:4" x14ac:dyDescent="0.25">
      <c r="A2912" s="2"/>
      <c r="B2912" s="3"/>
      <c r="C2912" s="3"/>
      <c r="D2912" s="3"/>
    </row>
    <row r="2913" spans="1:4" x14ac:dyDescent="0.25">
      <c r="A2913" s="2"/>
      <c r="B2913" s="3"/>
      <c r="C2913" s="3"/>
      <c r="D2913" s="3"/>
    </row>
    <row r="2914" spans="1:4" x14ac:dyDescent="0.25">
      <c r="A2914" s="2"/>
      <c r="B2914" s="3"/>
      <c r="C2914" s="3"/>
      <c r="D2914" s="3"/>
    </row>
    <row r="2915" spans="1:4" x14ac:dyDescent="0.25">
      <c r="A2915" s="2"/>
      <c r="B2915" s="3"/>
      <c r="C2915" s="3"/>
      <c r="D2915" s="3"/>
    </row>
    <row r="2916" spans="1:4" x14ac:dyDescent="0.25">
      <c r="A2916" s="2"/>
      <c r="B2916" s="3"/>
      <c r="C2916" s="3"/>
      <c r="D2916" s="3"/>
    </row>
    <row r="2917" spans="1:4" x14ac:dyDescent="0.25">
      <c r="A2917" s="2"/>
      <c r="B2917" s="3"/>
      <c r="C2917" s="3"/>
      <c r="D2917" s="3"/>
    </row>
    <row r="2918" spans="1:4" x14ac:dyDescent="0.25">
      <c r="A2918" s="2"/>
      <c r="B2918" s="3"/>
      <c r="C2918" s="3"/>
      <c r="D2918" s="3"/>
    </row>
    <row r="2919" spans="1:4" x14ac:dyDescent="0.25">
      <c r="A2919" s="2"/>
      <c r="B2919" s="3"/>
      <c r="C2919" s="3"/>
      <c r="D2919" s="3"/>
    </row>
    <row r="2920" spans="1:4" x14ac:dyDescent="0.25">
      <c r="A2920" s="2"/>
      <c r="B2920" s="3"/>
      <c r="C2920" s="3"/>
      <c r="D2920" s="3"/>
    </row>
    <row r="2921" spans="1:4" x14ac:dyDescent="0.25">
      <c r="A2921" s="2"/>
      <c r="B2921" s="3"/>
      <c r="C2921" s="3"/>
      <c r="D2921" s="3"/>
    </row>
    <row r="2922" spans="1:4" x14ac:dyDescent="0.25">
      <c r="A2922" s="2"/>
      <c r="B2922" s="3"/>
      <c r="C2922" s="3"/>
      <c r="D2922" s="3"/>
    </row>
    <row r="2923" spans="1:4" x14ac:dyDescent="0.25">
      <c r="A2923" s="2"/>
      <c r="B2923" s="3"/>
      <c r="C2923" s="3"/>
      <c r="D2923" s="3"/>
    </row>
    <row r="2924" spans="1:4" x14ac:dyDescent="0.25">
      <c r="A2924" s="2"/>
      <c r="B2924" s="3"/>
      <c r="C2924" s="3"/>
      <c r="D2924" s="3"/>
    </row>
    <row r="2925" spans="1:4" x14ac:dyDescent="0.25">
      <c r="A2925" s="2"/>
      <c r="B2925" s="3"/>
      <c r="C2925" s="3"/>
      <c r="D2925" s="3"/>
    </row>
    <row r="2926" spans="1:4" x14ac:dyDescent="0.25">
      <c r="A2926" s="2"/>
      <c r="B2926" s="3"/>
      <c r="C2926" s="3"/>
      <c r="D2926" s="3"/>
    </row>
    <row r="2927" spans="1:4" x14ac:dyDescent="0.25">
      <c r="A2927" s="2"/>
      <c r="B2927" s="3"/>
      <c r="C2927" s="3"/>
      <c r="D2927" s="3"/>
    </row>
    <row r="2928" spans="1:4" x14ac:dyDescent="0.25">
      <c r="A2928" s="2"/>
      <c r="B2928" s="3"/>
      <c r="C2928" s="3"/>
      <c r="D2928" s="3"/>
    </row>
    <row r="2929" spans="1:4" x14ac:dyDescent="0.25">
      <c r="A2929" s="2"/>
      <c r="B2929" s="3"/>
      <c r="C2929" s="3"/>
      <c r="D2929" s="3"/>
    </row>
    <row r="2930" spans="1:4" x14ac:dyDescent="0.25">
      <c r="A2930" s="2"/>
      <c r="B2930" s="3"/>
      <c r="C2930" s="3"/>
      <c r="D2930" s="3"/>
    </row>
    <row r="2931" spans="1:4" x14ac:dyDescent="0.25">
      <c r="A2931" s="2"/>
      <c r="B2931" s="3"/>
      <c r="C2931" s="3"/>
      <c r="D2931" s="3"/>
    </row>
    <row r="2932" spans="1:4" x14ac:dyDescent="0.25">
      <c r="A2932" s="2"/>
      <c r="B2932" s="3"/>
      <c r="C2932" s="3"/>
      <c r="D2932" s="3"/>
    </row>
    <row r="2933" spans="1:4" x14ac:dyDescent="0.25">
      <c r="A2933" s="2"/>
      <c r="B2933" s="3"/>
      <c r="C2933" s="3"/>
      <c r="D2933" s="3"/>
    </row>
    <row r="2934" spans="1:4" x14ac:dyDescent="0.25">
      <c r="A2934" s="2"/>
      <c r="B2934" s="3"/>
      <c r="C2934" s="3"/>
      <c r="D2934" s="3"/>
    </row>
    <row r="2935" spans="1:4" x14ac:dyDescent="0.25">
      <c r="A2935" s="2"/>
      <c r="B2935" s="3"/>
      <c r="C2935" s="3"/>
      <c r="D2935" s="3"/>
    </row>
    <row r="2936" spans="1:4" x14ac:dyDescent="0.25">
      <c r="A2936" s="2"/>
      <c r="B2936" s="3"/>
      <c r="C2936" s="3"/>
      <c r="D2936" s="3"/>
    </row>
    <row r="2937" spans="1:4" x14ac:dyDescent="0.25">
      <c r="A2937" s="2"/>
      <c r="B2937" s="3"/>
      <c r="C2937" s="3"/>
      <c r="D2937" s="3"/>
    </row>
    <row r="2938" spans="1:4" x14ac:dyDescent="0.25">
      <c r="A2938" s="2"/>
      <c r="B2938" s="3"/>
      <c r="C2938" s="3"/>
      <c r="D2938" s="3"/>
    </row>
    <row r="2939" spans="1:4" x14ac:dyDescent="0.25">
      <c r="A2939" s="2"/>
      <c r="B2939" s="3"/>
      <c r="C2939" s="3"/>
      <c r="D2939" s="3"/>
    </row>
    <row r="2940" spans="1:4" x14ac:dyDescent="0.25">
      <c r="A2940" s="2"/>
      <c r="B2940" s="3"/>
      <c r="C2940" s="3"/>
      <c r="D2940" s="3"/>
    </row>
    <row r="2941" spans="1:4" x14ac:dyDescent="0.25">
      <c r="A2941" s="2"/>
      <c r="B2941" s="3"/>
      <c r="C2941" s="3"/>
      <c r="D2941" s="3"/>
    </row>
    <row r="2942" spans="1:4" x14ac:dyDescent="0.25">
      <c r="A2942" s="2"/>
      <c r="B2942" s="3"/>
      <c r="C2942" s="3"/>
      <c r="D2942" s="3"/>
    </row>
    <row r="2943" spans="1:4" x14ac:dyDescent="0.25">
      <c r="A2943" s="2"/>
      <c r="B2943" s="3"/>
      <c r="C2943" s="3"/>
      <c r="D2943" s="3"/>
    </row>
    <row r="2944" spans="1:4" x14ac:dyDescent="0.25">
      <c r="A2944" s="2"/>
      <c r="B2944" s="3"/>
      <c r="C2944" s="3"/>
      <c r="D2944" s="3"/>
    </row>
    <row r="2945" spans="1:4" x14ac:dyDescent="0.25">
      <c r="A2945" s="2"/>
      <c r="B2945" s="3"/>
      <c r="C2945" s="3"/>
      <c r="D2945" s="3"/>
    </row>
    <row r="2946" spans="1:4" x14ac:dyDescent="0.25">
      <c r="A2946" s="2"/>
      <c r="B2946" s="3"/>
      <c r="C2946" s="3"/>
      <c r="D2946" s="3"/>
    </row>
    <row r="2947" spans="1:4" x14ac:dyDescent="0.25">
      <c r="A2947" s="2"/>
      <c r="B2947" s="3"/>
      <c r="C2947" s="3"/>
      <c r="D2947" s="3"/>
    </row>
    <row r="2948" spans="1:4" x14ac:dyDescent="0.25">
      <c r="A2948" s="2"/>
      <c r="B2948" s="3"/>
      <c r="C2948" s="3"/>
      <c r="D2948" s="3"/>
    </row>
    <row r="2949" spans="1:4" x14ac:dyDescent="0.25">
      <c r="A2949" s="2"/>
      <c r="B2949" s="3"/>
      <c r="C2949" s="3"/>
      <c r="D2949" s="3"/>
    </row>
    <row r="2950" spans="1:4" x14ac:dyDescent="0.25">
      <c r="A2950" s="2"/>
      <c r="B2950" s="3"/>
      <c r="C2950" s="3"/>
      <c r="D2950" s="3"/>
    </row>
    <row r="2951" spans="1:4" x14ac:dyDescent="0.25">
      <c r="A2951" s="2"/>
      <c r="B2951" s="3"/>
      <c r="C2951" s="3"/>
      <c r="D2951" s="3"/>
    </row>
    <row r="2952" spans="1:4" x14ac:dyDescent="0.25">
      <c r="A2952" s="2"/>
      <c r="B2952" s="3"/>
      <c r="C2952" s="3"/>
      <c r="D2952" s="3"/>
    </row>
    <row r="2953" spans="1:4" x14ac:dyDescent="0.25">
      <c r="A2953" s="2"/>
      <c r="B2953" s="3"/>
      <c r="C2953" s="3"/>
      <c r="D2953" s="3"/>
    </row>
    <row r="2954" spans="1:4" x14ac:dyDescent="0.25">
      <c r="A2954" s="2"/>
      <c r="B2954" s="3"/>
      <c r="C2954" s="3"/>
      <c r="D2954" s="3"/>
    </row>
    <row r="2955" spans="1:4" x14ac:dyDescent="0.25">
      <c r="A2955" s="2"/>
      <c r="B2955" s="3"/>
      <c r="C2955" s="3"/>
      <c r="D2955" s="3"/>
    </row>
    <row r="2956" spans="1:4" x14ac:dyDescent="0.25">
      <c r="A2956" s="2"/>
      <c r="B2956" s="3"/>
      <c r="C2956" s="3"/>
      <c r="D2956" s="3"/>
    </row>
    <row r="2957" spans="1:4" x14ac:dyDescent="0.25">
      <c r="A2957" s="2"/>
      <c r="B2957" s="3"/>
      <c r="C2957" s="3"/>
      <c r="D2957" s="3"/>
    </row>
    <row r="2958" spans="1:4" x14ac:dyDescent="0.25">
      <c r="A2958" s="2"/>
      <c r="B2958" s="3"/>
      <c r="C2958" s="3"/>
      <c r="D2958" s="3"/>
    </row>
    <row r="2959" spans="1:4" x14ac:dyDescent="0.25">
      <c r="A2959" s="2"/>
      <c r="B2959" s="3"/>
      <c r="C2959" s="3"/>
      <c r="D2959" s="3"/>
    </row>
    <row r="2960" spans="1:4" x14ac:dyDescent="0.25">
      <c r="A2960" s="2"/>
      <c r="B2960" s="3"/>
      <c r="C2960" s="3"/>
      <c r="D2960" s="3"/>
    </row>
    <row r="2961" spans="1:4" x14ac:dyDescent="0.25">
      <c r="A2961" s="2"/>
      <c r="B2961" s="3"/>
      <c r="C2961" s="3"/>
      <c r="D2961" s="3"/>
    </row>
    <row r="2962" spans="1:4" x14ac:dyDescent="0.25">
      <c r="A2962" s="2"/>
      <c r="B2962" s="3"/>
      <c r="C2962" s="3"/>
      <c r="D2962" s="3"/>
    </row>
    <row r="2963" spans="1:4" x14ac:dyDescent="0.25">
      <c r="A2963" s="2"/>
      <c r="B2963" s="3"/>
      <c r="C2963" s="3"/>
      <c r="D2963" s="3"/>
    </row>
    <row r="2964" spans="1:4" x14ac:dyDescent="0.25">
      <c r="A2964" s="2"/>
      <c r="B2964" s="3"/>
      <c r="C2964" s="3"/>
      <c r="D2964" s="3"/>
    </row>
    <row r="2965" spans="1:4" x14ac:dyDescent="0.25">
      <c r="A2965" s="2"/>
      <c r="B2965" s="3"/>
      <c r="C2965" s="3"/>
      <c r="D2965" s="3"/>
    </row>
    <row r="2966" spans="1:4" x14ac:dyDescent="0.25">
      <c r="A2966" s="2"/>
      <c r="B2966" s="3"/>
      <c r="C2966" s="3"/>
      <c r="D2966" s="3"/>
    </row>
    <row r="2967" spans="1:4" x14ac:dyDescent="0.25">
      <c r="A2967" s="2"/>
      <c r="B2967" s="3"/>
      <c r="C2967" s="3"/>
      <c r="D2967" s="3"/>
    </row>
    <row r="2968" spans="1:4" x14ac:dyDescent="0.25">
      <c r="A2968" s="2"/>
      <c r="B2968" s="3"/>
      <c r="C2968" s="3"/>
      <c r="D2968" s="3"/>
    </row>
    <row r="2969" spans="1:4" x14ac:dyDescent="0.25">
      <c r="A2969" s="2"/>
      <c r="B2969" s="3"/>
      <c r="C2969" s="3"/>
      <c r="D2969" s="3"/>
    </row>
    <row r="2970" spans="1:4" x14ac:dyDescent="0.25">
      <c r="A2970" s="2"/>
      <c r="B2970" s="3"/>
      <c r="C2970" s="3"/>
      <c r="D2970" s="3"/>
    </row>
    <row r="2971" spans="1:4" x14ac:dyDescent="0.25">
      <c r="A2971" s="2"/>
      <c r="B2971" s="3"/>
      <c r="C2971" s="3"/>
      <c r="D2971" s="3"/>
    </row>
    <row r="2972" spans="1:4" x14ac:dyDescent="0.25">
      <c r="A2972" s="2"/>
      <c r="B2972" s="3"/>
      <c r="C2972" s="3"/>
      <c r="D2972" s="3"/>
    </row>
    <row r="2973" spans="1:4" x14ac:dyDescent="0.25">
      <c r="A2973" s="2"/>
      <c r="B2973" s="3"/>
      <c r="C2973" s="3"/>
      <c r="D2973" s="3"/>
    </row>
    <row r="2974" spans="1:4" x14ac:dyDescent="0.25">
      <c r="A2974" s="2"/>
      <c r="B2974" s="3"/>
      <c r="C2974" s="3"/>
      <c r="D2974" s="3"/>
    </row>
    <row r="2975" spans="1:4" x14ac:dyDescent="0.25">
      <c r="A2975" s="2"/>
      <c r="B2975" s="3"/>
      <c r="C2975" s="3"/>
      <c r="D2975" s="3"/>
    </row>
    <row r="2976" spans="1:4" x14ac:dyDescent="0.25">
      <c r="A2976" s="2"/>
      <c r="B2976" s="3"/>
      <c r="C2976" s="3"/>
      <c r="D2976" s="3"/>
    </row>
    <row r="2977" spans="1:4" x14ac:dyDescent="0.25">
      <c r="A2977" s="2"/>
      <c r="B2977" s="3"/>
      <c r="C2977" s="3"/>
      <c r="D2977" s="3"/>
    </row>
    <row r="2978" spans="1:4" x14ac:dyDescent="0.25">
      <c r="A2978" s="2"/>
      <c r="B2978" s="3"/>
      <c r="C2978" s="3"/>
      <c r="D2978" s="3"/>
    </row>
    <row r="2979" spans="1:4" x14ac:dyDescent="0.25">
      <c r="A2979" s="2"/>
      <c r="B2979" s="3"/>
      <c r="C2979" s="3"/>
      <c r="D2979" s="3"/>
    </row>
    <row r="2980" spans="1:4" x14ac:dyDescent="0.25">
      <c r="A2980" s="2"/>
      <c r="B2980" s="3"/>
      <c r="C2980" s="3"/>
      <c r="D2980" s="3"/>
    </row>
    <row r="2981" spans="1:4" x14ac:dyDescent="0.25">
      <c r="A2981" s="2"/>
      <c r="B2981" s="3"/>
      <c r="C2981" s="3"/>
      <c r="D2981" s="3"/>
    </row>
    <row r="2982" spans="1:4" x14ac:dyDescent="0.25">
      <c r="A2982" s="2"/>
      <c r="B2982" s="3"/>
      <c r="C2982" s="3"/>
      <c r="D2982" s="3"/>
    </row>
    <row r="2983" spans="1:4" x14ac:dyDescent="0.25">
      <c r="A2983" s="2"/>
      <c r="B2983" s="3"/>
      <c r="C2983" s="3"/>
      <c r="D2983" s="3"/>
    </row>
    <row r="2984" spans="1:4" x14ac:dyDescent="0.25">
      <c r="A2984" s="2"/>
      <c r="B2984" s="3"/>
      <c r="C2984" s="3"/>
      <c r="D2984" s="3"/>
    </row>
    <row r="2985" spans="1:4" x14ac:dyDescent="0.25">
      <c r="A2985" s="2"/>
      <c r="B2985" s="3"/>
      <c r="C2985" s="3"/>
      <c r="D2985" s="3"/>
    </row>
    <row r="2986" spans="1:4" x14ac:dyDescent="0.25">
      <c r="A2986" s="2"/>
      <c r="B2986" s="3"/>
      <c r="C2986" s="3"/>
      <c r="D2986" s="3"/>
    </row>
    <row r="2987" spans="1:4" x14ac:dyDescent="0.25">
      <c r="A2987" s="2"/>
      <c r="B2987" s="3"/>
      <c r="C2987" s="3"/>
      <c r="D2987" s="3"/>
    </row>
    <row r="2988" spans="1:4" x14ac:dyDescent="0.25">
      <c r="A2988" s="2"/>
      <c r="B2988" s="3"/>
      <c r="C2988" s="3"/>
      <c r="D2988" s="3"/>
    </row>
    <row r="2989" spans="1:4" x14ac:dyDescent="0.25">
      <c r="A2989" s="2"/>
      <c r="B2989" s="3"/>
      <c r="C2989" s="3"/>
      <c r="D2989" s="3"/>
    </row>
    <row r="2990" spans="1:4" x14ac:dyDescent="0.25">
      <c r="A2990" s="2"/>
      <c r="B2990" s="3"/>
      <c r="C2990" s="3"/>
      <c r="D2990" s="3"/>
    </row>
    <row r="2991" spans="1:4" x14ac:dyDescent="0.25">
      <c r="A2991" s="2"/>
      <c r="B2991" s="3"/>
      <c r="C2991" s="3"/>
      <c r="D2991" s="3"/>
    </row>
    <row r="2992" spans="1:4" x14ac:dyDescent="0.25">
      <c r="A2992" s="2"/>
      <c r="B2992" s="3"/>
      <c r="C2992" s="3"/>
      <c r="D2992" s="3"/>
    </row>
    <row r="2993" spans="1:4" x14ac:dyDescent="0.25">
      <c r="A2993" s="2"/>
      <c r="B2993" s="3"/>
      <c r="C2993" s="3"/>
      <c r="D2993" s="3"/>
    </row>
    <row r="2994" spans="1:4" x14ac:dyDescent="0.25">
      <c r="A2994" s="2"/>
      <c r="B2994" s="3"/>
      <c r="C2994" s="3"/>
      <c r="D2994" s="3"/>
    </row>
    <row r="2995" spans="1:4" x14ac:dyDescent="0.25">
      <c r="A2995" s="2"/>
      <c r="B2995" s="3"/>
      <c r="C2995" s="3"/>
      <c r="D2995" s="3"/>
    </row>
    <row r="2996" spans="1:4" x14ac:dyDescent="0.25">
      <c r="A2996" s="2"/>
      <c r="B2996" s="3"/>
      <c r="C2996" s="3"/>
      <c r="D2996" s="3"/>
    </row>
    <row r="2997" spans="1:4" x14ac:dyDescent="0.25">
      <c r="A2997" s="2"/>
      <c r="B2997" s="3"/>
      <c r="C2997" s="3"/>
      <c r="D2997" s="3"/>
    </row>
    <row r="2998" spans="1:4" x14ac:dyDescent="0.25">
      <c r="A2998" s="2"/>
      <c r="B2998" s="3"/>
      <c r="C2998" s="3"/>
      <c r="D2998" s="3"/>
    </row>
    <row r="2999" spans="1:4" x14ac:dyDescent="0.25">
      <c r="A2999" s="2"/>
      <c r="B2999" s="3"/>
      <c r="C2999" s="3"/>
      <c r="D2999" s="3"/>
    </row>
    <row r="3000" spans="1:4" x14ac:dyDescent="0.25">
      <c r="A3000" s="2"/>
      <c r="B3000" s="3"/>
      <c r="C3000" s="3"/>
      <c r="D3000" s="3"/>
    </row>
    <row r="3001" spans="1:4" x14ac:dyDescent="0.25">
      <c r="A3001" s="2"/>
      <c r="B3001" s="3"/>
      <c r="C3001" s="3"/>
      <c r="D3001" s="3"/>
    </row>
    <row r="3002" spans="1:4" x14ac:dyDescent="0.25">
      <c r="A3002" s="2"/>
      <c r="B3002" s="3"/>
      <c r="C3002" s="3"/>
      <c r="D3002" s="3"/>
    </row>
    <row r="3003" spans="1:4" x14ac:dyDescent="0.25">
      <c r="A3003" s="2"/>
      <c r="B3003" s="3"/>
      <c r="C3003" s="3"/>
      <c r="D3003" s="3"/>
    </row>
    <row r="3004" spans="1:4" x14ac:dyDescent="0.25">
      <c r="A3004" s="2"/>
      <c r="B3004" s="3"/>
      <c r="C3004" s="3"/>
      <c r="D3004" s="3"/>
    </row>
    <row r="3005" spans="1:4" x14ac:dyDescent="0.25">
      <c r="A3005" s="2"/>
      <c r="B3005" s="3"/>
      <c r="C3005" s="3"/>
      <c r="D3005" s="3"/>
    </row>
    <row r="3006" spans="1:4" x14ac:dyDescent="0.25">
      <c r="A3006" s="2"/>
      <c r="B3006" s="3"/>
      <c r="C3006" s="3"/>
      <c r="D3006" s="3"/>
    </row>
    <row r="3007" spans="1:4" x14ac:dyDescent="0.25">
      <c r="A3007" s="2"/>
      <c r="B3007" s="3"/>
      <c r="C3007" s="3"/>
      <c r="D3007" s="3"/>
    </row>
    <row r="3008" spans="1:4" x14ac:dyDescent="0.25">
      <c r="A3008" s="2"/>
      <c r="B3008" s="3"/>
      <c r="C3008" s="3"/>
      <c r="D3008" s="3"/>
    </row>
    <row r="3009" spans="1:4" x14ac:dyDescent="0.25">
      <c r="A3009" s="2"/>
      <c r="B3009" s="3"/>
      <c r="C3009" s="3"/>
      <c r="D3009" s="3"/>
    </row>
    <row r="3010" spans="1:4" x14ac:dyDescent="0.25">
      <c r="A3010" s="2"/>
      <c r="B3010" s="3"/>
      <c r="C3010" s="3"/>
      <c r="D3010" s="3"/>
    </row>
    <row r="3011" spans="1:4" x14ac:dyDescent="0.25">
      <c r="A3011" s="2"/>
      <c r="B3011" s="3"/>
      <c r="C3011" s="3"/>
      <c r="D3011" s="3"/>
    </row>
    <row r="3012" spans="1:4" x14ac:dyDescent="0.25">
      <c r="A3012" s="2"/>
      <c r="B3012" s="3"/>
      <c r="C3012" s="3"/>
      <c r="D3012" s="3"/>
    </row>
    <row r="3013" spans="1:4" x14ac:dyDescent="0.25">
      <c r="A3013" s="2"/>
      <c r="B3013" s="3"/>
      <c r="C3013" s="3"/>
      <c r="D3013" s="3"/>
    </row>
    <row r="3014" spans="1:4" x14ac:dyDescent="0.25">
      <c r="A3014" s="2"/>
      <c r="B3014" s="3"/>
      <c r="C3014" s="3"/>
      <c r="D3014" s="3"/>
    </row>
    <row r="3015" spans="1:4" x14ac:dyDescent="0.25">
      <c r="A3015" s="2"/>
      <c r="B3015" s="3"/>
      <c r="C3015" s="3"/>
      <c r="D3015" s="3"/>
    </row>
    <row r="3016" spans="1:4" x14ac:dyDescent="0.25">
      <c r="A3016" s="2"/>
      <c r="B3016" s="3"/>
      <c r="C3016" s="3"/>
      <c r="D3016" s="3"/>
    </row>
    <row r="3017" spans="1:4" x14ac:dyDescent="0.25">
      <c r="A3017" s="2"/>
      <c r="B3017" s="3"/>
      <c r="C3017" s="3"/>
      <c r="D3017" s="3"/>
    </row>
    <row r="3018" spans="1:4" x14ac:dyDescent="0.25">
      <c r="A3018" s="2"/>
      <c r="B3018" s="3"/>
      <c r="C3018" s="3"/>
      <c r="D3018" s="3"/>
    </row>
    <row r="3019" spans="1:4" x14ac:dyDescent="0.25">
      <c r="A3019" s="2"/>
      <c r="B3019" s="3"/>
      <c r="C3019" s="3"/>
      <c r="D3019" s="3"/>
    </row>
    <row r="3020" spans="1:4" x14ac:dyDescent="0.25">
      <c r="A3020" s="2"/>
      <c r="B3020" s="3"/>
      <c r="C3020" s="3"/>
      <c r="D3020" s="3"/>
    </row>
    <row r="3021" spans="1:4" x14ac:dyDescent="0.25">
      <c r="A3021" s="2"/>
      <c r="B3021" s="3"/>
      <c r="C3021" s="3"/>
      <c r="D3021" s="3"/>
    </row>
    <row r="3022" spans="1:4" x14ac:dyDescent="0.25">
      <c r="A3022" s="2"/>
      <c r="B3022" s="3"/>
      <c r="C3022" s="3"/>
      <c r="D3022" s="3"/>
    </row>
    <row r="3023" spans="1:4" x14ac:dyDescent="0.25">
      <c r="A3023" s="2"/>
      <c r="B3023" s="3"/>
      <c r="C3023" s="3"/>
      <c r="D3023" s="3"/>
    </row>
    <row r="3024" spans="1:4" x14ac:dyDescent="0.25">
      <c r="A3024" s="2"/>
      <c r="B3024" s="3"/>
      <c r="C3024" s="3"/>
      <c r="D3024" s="3"/>
    </row>
    <row r="3025" spans="1:4" x14ac:dyDescent="0.25">
      <c r="A3025" s="2"/>
      <c r="B3025" s="3"/>
      <c r="C3025" s="3"/>
      <c r="D3025" s="3"/>
    </row>
    <row r="3026" spans="1:4" x14ac:dyDescent="0.25">
      <c r="A3026" s="2"/>
      <c r="B3026" s="3"/>
      <c r="C3026" s="3"/>
      <c r="D3026" s="3"/>
    </row>
    <row r="3027" spans="1:4" x14ac:dyDescent="0.25">
      <c r="A3027" s="2"/>
      <c r="B3027" s="3"/>
      <c r="C3027" s="3"/>
      <c r="D3027" s="3"/>
    </row>
    <row r="3028" spans="1:4" x14ac:dyDescent="0.25">
      <c r="A3028" s="2"/>
      <c r="B3028" s="3"/>
      <c r="C3028" s="3"/>
      <c r="D3028" s="3"/>
    </row>
    <row r="3029" spans="1:4" x14ac:dyDescent="0.25">
      <c r="A3029" s="2"/>
      <c r="B3029" s="3"/>
      <c r="C3029" s="3"/>
      <c r="D3029" s="3"/>
    </row>
    <row r="3030" spans="1:4" x14ac:dyDescent="0.25">
      <c r="A3030" s="2"/>
      <c r="B3030" s="3"/>
      <c r="C3030" s="3"/>
      <c r="D3030" s="3"/>
    </row>
    <row r="3031" spans="1:4" x14ac:dyDescent="0.25">
      <c r="A3031" s="2"/>
      <c r="B3031" s="3"/>
      <c r="C3031" s="3"/>
      <c r="D3031" s="3"/>
    </row>
    <row r="3032" spans="1:4" x14ac:dyDescent="0.25">
      <c r="A3032" s="2"/>
      <c r="B3032" s="3"/>
      <c r="C3032" s="3"/>
      <c r="D3032" s="3"/>
    </row>
    <row r="3033" spans="1:4" x14ac:dyDescent="0.25">
      <c r="A3033" s="2"/>
      <c r="B3033" s="3"/>
      <c r="C3033" s="3"/>
      <c r="D3033" s="3"/>
    </row>
    <row r="3034" spans="1:4" x14ac:dyDescent="0.25">
      <c r="A3034" s="2"/>
      <c r="B3034" s="3"/>
      <c r="C3034" s="3"/>
      <c r="D3034" s="3"/>
    </row>
    <row r="3035" spans="1:4" x14ac:dyDescent="0.25">
      <c r="A3035" s="2"/>
      <c r="B3035" s="3"/>
      <c r="C3035" s="3"/>
      <c r="D3035" s="3"/>
    </row>
    <row r="3036" spans="1:4" x14ac:dyDescent="0.25">
      <c r="A3036" s="2"/>
      <c r="B3036" s="3"/>
      <c r="C3036" s="3"/>
      <c r="D3036" s="3"/>
    </row>
    <row r="3037" spans="1:4" x14ac:dyDescent="0.25">
      <c r="A3037" s="2"/>
      <c r="B3037" s="3"/>
      <c r="C3037" s="3"/>
      <c r="D3037" s="3"/>
    </row>
    <row r="3038" spans="1:4" x14ac:dyDescent="0.25">
      <c r="A3038" s="2"/>
      <c r="B3038" s="3"/>
      <c r="C3038" s="3"/>
      <c r="D3038" s="3"/>
    </row>
    <row r="3039" spans="1:4" x14ac:dyDescent="0.25">
      <c r="A3039" s="2"/>
      <c r="B3039" s="3"/>
      <c r="C3039" s="3"/>
      <c r="D3039" s="3"/>
    </row>
    <row r="3040" spans="1:4" x14ac:dyDescent="0.25">
      <c r="A3040" s="2"/>
      <c r="B3040" s="3"/>
      <c r="C3040" s="3"/>
      <c r="D3040" s="3"/>
    </row>
    <row r="3041" spans="1:4" x14ac:dyDescent="0.25">
      <c r="A3041" s="2"/>
      <c r="B3041" s="3"/>
      <c r="C3041" s="3"/>
      <c r="D3041" s="3"/>
    </row>
    <row r="3042" spans="1:4" x14ac:dyDescent="0.25">
      <c r="A3042" s="2"/>
      <c r="B3042" s="3"/>
      <c r="C3042" s="3"/>
      <c r="D3042" s="3"/>
    </row>
    <row r="3043" spans="1:4" x14ac:dyDescent="0.25">
      <c r="A3043" s="2"/>
      <c r="B3043" s="3"/>
      <c r="C3043" s="3"/>
      <c r="D3043" s="3"/>
    </row>
    <row r="3044" spans="1:4" x14ac:dyDescent="0.25">
      <c r="A3044" s="2"/>
      <c r="B3044" s="3"/>
      <c r="C3044" s="3"/>
      <c r="D3044" s="3"/>
    </row>
    <row r="3045" spans="1:4" x14ac:dyDescent="0.25">
      <c r="A3045" s="2"/>
      <c r="B3045" s="3"/>
      <c r="C3045" s="3"/>
      <c r="D3045" s="3"/>
    </row>
    <row r="3046" spans="1:4" x14ac:dyDescent="0.25">
      <c r="A3046" s="2"/>
      <c r="B3046" s="3"/>
      <c r="C3046" s="3"/>
      <c r="D3046" s="3"/>
    </row>
    <row r="3047" spans="1:4" x14ac:dyDescent="0.25">
      <c r="A3047" s="2"/>
      <c r="B3047" s="3"/>
      <c r="C3047" s="3"/>
      <c r="D3047" s="3"/>
    </row>
    <row r="3048" spans="1:4" x14ac:dyDescent="0.25">
      <c r="A3048" s="2"/>
      <c r="B3048" s="3"/>
      <c r="C3048" s="3"/>
      <c r="D3048" s="3"/>
    </row>
    <row r="3049" spans="1:4" x14ac:dyDescent="0.25">
      <c r="A3049" s="2"/>
      <c r="B3049" s="3"/>
      <c r="C3049" s="3"/>
      <c r="D3049" s="3"/>
    </row>
    <row r="3050" spans="1:4" x14ac:dyDescent="0.25">
      <c r="A3050" s="2"/>
      <c r="B3050" s="3"/>
      <c r="C3050" s="3"/>
      <c r="D3050" s="3"/>
    </row>
    <row r="3051" spans="1:4" x14ac:dyDescent="0.25">
      <c r="A3051" s="2"/>
      <c r="B3051" s="3"/>
      <c r="C3051" s="3"/>
      <c r="D3051" s="3"/>
    </row>
    <row r="3052" spans="1:4" x14ac:dyDescent="0.25">
      <c r="A3052" s="2"/>
      <c r="B3052" s="3"/>
      <c r="C3052" s="3"/>
      <c r="D3052" s="3"/>
    </row>
    <row r="3053" spans="1:4" x14ac:dyDescent="0.25">
      <c r="A3053" s="2"/>
      <c r="B3053" s="3"/>
      <c r="C3053" s="3"/>
      <c r="D3053" s="3"/>
    </row>
    <row r="3054" spans="1:4" x14ac:dyDescent="0.25">
      <c r="A3054" s="2"/>
      <c r="B3054" s="3"/>
      <c r="C3054" s="3"/>
      <c r="D3054" s="3"/>
    </row>
    <row r="3055" spans="1:4" x14ac:dyDescent="0.25">
      <c r="A3055" s="2"/>
      <c r="B3055" s="3"/>
      <c r="C3055" s="3"/>
      <c r="D3055" s="3"/>
    </row>
    <row r="3056" spans="1:4" x14ac:dyDescent="0.25">
      <c r="A3056" s="2"/>
      <c r="B3056" s="3"/>
      <c r="C3056" s="3"/>
      <c r="D3056" s="3"/>
    </row>
    <row r="3057" spans="1:4" x14ac:dyDescent="0.25">
      <c r="A3057" s="2"/>
      <c r="B3057" s="3"/>
      <c r="C3057" s="3"/>
      <c r="D3057" s="3"/>
    </row>
    <row r="3058" spans="1:4" x14ac:dyDescent="0.25">
      <c r="A3058" s="2"/>
      <c r="B3058" s="3"/>
      <c r="C3058" s="3"/>
      <c r="D3058" s="3"/>
    </row>
    <row r="3059" spans="1:4" x14ac:dyDescent="0.25">
      <c r="A3059" s="2"/>
      <c r="B3059" s="3"/>
      <c r="C3059" s="3"/>
      <c r="D3059" s="3"/>
    </row>
    <row r="3060" spans="1:4" x14ac:dyDescent="0.25">
      <c r="A3060" s="2"/>
      <c r="B3060" s="3"/>
      <c r="C3060" s="3"/>
      <c r="D3060" s="3"/>
    </row>
    <row r="3061" spans="1:4" x14ac:dyDescent="0.25">
      <c r="A3061" s="2"/>
      <c r="B3061" s="3"/>
      <c r="C3061" s="3"/>
      <c r="D3061" s="3"/>
    </row>
    <row r="3062" spans="1:4" x14ac:dyDescent="0.25">
      <c r="A3062" s="2"/>
      <c r="B3062" s="3"/>
      <c r="C3062" s="3"/>
      <c r="D3062" s="3"/>
    </row>
    <row r="3063" spans="1:4" x14ac:dyDescent="0.25">
      <c r="A3063" s="2"/>
      <c r="B3063" s="3"/>
      <c r="C3063" s="3"/>
      <c r="D3063" s="3"/>
    </row>
    <row r="3064" spans="1:4" x14ac:dyDescent="0.25">
      <c r="A3064" s="2"/>
      <c r="B3064" s="3"/>
      <c r="C3064" s="3"/>
      <c r="D3064" s="3"/>
    </row>
    <row r="3065" spans="1:4" x14ac:dyDescent="0.25">
      <c r="A3065" s="2"/>
      <c r="B3065" s="3"/>
      <c r="C3065" s="3"/>
      <c r="D3065" s="3"/>
    </row>
    <row r="3066" spans="1:4" x14ac:dyDescent="0.25">
      <c r="A3066" s="2"/>
      <c r="B3066" s="3"/>
      <c r="C3066" s="3"/>
      <c r="D3066" s="3"/>
    </row>
    <row r="3067" spans="1:4" x14ac:dyDescent="0.25">
      <c r="A3067" s="2"/>
      <c r="B3067" s="3"/>
      <c r="C3067" s="3"/>
      <c r="D3067" s="3"/>
    </row>
    <row r="3068" spans="1:4" x14ac:dyDescent="0.25">
      <c r="A3068" s="2"/>
      <c r="B3068" s="3"/>
      <c r="C3068" s="3"/>
      <c r="D3068" s="3"/>
    </row>
    <row r="3069" spans="1:4" x14ac:dyDescent="0.25">
      <c r="A3069" s="2"/>
      <c r="B3069" s="3"/>
      <c r="C3069" s="3"/>
      <c r="D3069" s="3"/>
    </row>
    <row r="3070" spans="1:4" x14ac:dyDescent="0.25">
      <c r="A3070" s="2"/>
      <c r="B3070" s="3"/>
      <c r="C3070" s="3"/>
      <c r="D3070" s="3"/>
    </row>
    <row r="3071" spans="1:4" x14ac:dyDescent="0.25">
      <c r="A3071" s="2"/>
      <c r="B3071" s="3"/>
      <c r="C3071" s="3"/>
      <c r="D3071" s="3"/>
    </row>
    <row r="3072" spans="1:4" x14ac:dyDescent="0.25">
      <c r="A3072" s="2"/>
      <c r="B3072" s="3"/>
      <c r="C3072" s="3"/>
      <c r="D3072" s="3"/>
    </row>
    <row r="3073" spans="1:4" x14ac:dyDescent="0.25">
      <c r="A3073" s="2"/>
      <c r="B3073" s="3"/>
      <c r="C3073" s="3"/>
      <c r="D3073" s="3"/>
    </row>
    <row r="3074" spans="1:4" x14ac:dyDescent="0.25">
      <c r="A3074" s="2"/>
      <c r="B3074" s="3"/>
      <c r="C3074" s="3"/>
      <c r="D3074" s="3"/>
    </row>
    <row r="3075" spans="1:4" x14ac:dyDescent="0.25">
      <c r="A3075" s="2"/>
      <c r="B3075" s="3"/>
      <c r="C3075" s="3"/>
      <c r="D3075" s="3"/>
    </row>
    <row r="3076" spans="1:4" x14ac:dyDescent="0.25">
      <c r="A3076" s="2"/>
      <c r="B3076" s="3"/>
      <c r="C3076" s="3"/>
      <c r="D3076" s="3"/>
    </row>
    <row r="3077" spans="1:4" x14ac:dyDescent="0.25">
      <c r="A3077" s="2"/>
      <c r="B3077" s="3"/>
      <c r="C3077" s="3"/>
      <c r="D3077" s="3"/>
    </row>
    <row r="3078" spans="1:4" x14ac:dyDescent="0.25">
      <c r="A3078" s="2"/>
      <c r="B3078" s="3"/>
      <c r="C3078" s="3"/>
      <c r="D3078" s="3"/>
    </row>
    <row r="3079" spans="1:4" x14ac:dyDescent="0.25">
      <c r="A3079" s="2"/>
      <c r="B3079" s="3"/>
      <c r="C3079" s="3"/>
      <c r="D3079" s="3"/>
    </row>
    <row r="3080" spans="1:4" x14ac:dyDescent="0.25">
      <c r="A3080" s="2"/>
      <c r="B3080" s="3"/>
      <c r="C3080" s="3"/>
      <c r="D3080" s="3"/>
    </row>
    <row r="3081" spans="1:4" x14ac:dyDescent="0.25">
      <c r="A3081" s="2"/>
      <c r="B3081" s="3"/>
      <c r="C3081" s="3"/>
      <c r="D3081" s="3"/>
    </row>
    <row r="3082" spans="1:4" x14ac:dyDescent="0.25">
      <c r="A3082" s="2"/>
      <c r="B3082" s="3"/>
      <c r="C3082" s="3"/>
      <c r="D3082" s="3"/>
    </row>
    <row r="3083" spans="1:4" x14ac:dyDescent="0.25">
      <c r="A3083" s="2"/>
      <c r="B3083" s="3"/>
      <c r="C3083" s="3"/>
      <c r="D3083" s="3"/>
    </row>
    <row r="3084" spans="1:4" x14ac:dyDescent="0.25">
      <c r="A3084" s="2"/>
      <c r="B3084" s="3"/>
      <c r="C3084" s="3"/>
      <c r="D3084" s="3"/>
    </row>
    <row r="3085" spans="1:4" x14ac:dyDescent="0.25">
      <c r="A3085" s="2"/>
      <c r="B3085" s="3"/>
      <c r="C3085" s="3"/>
      <c r="D3085" s="3"/>
    </row>
    <row r="3086" spans="1:4" x14ac:dyDescent="0.25">
      <c r="A3086" s="2"/>
      <c r="B3086" s="3"/>
      <c r="C3086" s="3"/>
      <c r="D3086" s="3"/>
    </row>
    <row r="3087" spans="1:4" x14ac:dyDescent="0.25">
      <c r="A3087" s="2"/>
      <c r="B3087" s="3"/>
      <c r="C3087" s="3"/>
      <c r="D3087" s="3"/>
    </row>
    <row r="3088" spans="1:4" x14ac:dyDescent="0.25">
      <c r="A3088" s="2"/>
      <c r="B3088" s="3"/>
      <c r="C3088" s="3"/>
      <c r="D3088" s="3"/>
    </row>
    <row r="3089" spans="1:4" x14ac:dyDescent="0.25">
      <c r="A3089" s="2"/>
      <c r="B3089" s="3"/>
      <c r="C3089" s="3"/>
      <c r="D3089" s="3"/>
    </row>
    <row r="3090" spans="1:4" x14ac:dyDescent="0.25">
      <c r="A3090" s="2"/>
      <c r="B3090" s="3"/>
      <c r="C3090" s="3"/>
      <c r="D3090" s="3"/>
    </row>
    <row r="3091" spans="1:4" x14ac:dyDescent="0.25">
      <c r="A3091" s="2"/>
      <c r="B3091" s="3"/>
      <c r="C3091" s="3"/>
      <c r="D3091" s="3"/>
    </row>
    <row r="3092" spans="1:4" x14ac:dyDescent="0.25">
      <c r="A3092" s="2"/>
      <c r="B3092" s="3"/>
      <c r="C3092" s="3"/>
      <c r="D3092" s="3"/>
    </row>
    <row r="3093" spans="1:4" x14ac:dyDescent="0.25">
      <c r="A3093" s="2"/>
      <c r="B3093" s="3"/>
      <c r="C3093" s="3"/>
      <c r="D3093" s="3"/>
    </row>
    <row r="3094" spans="1:4" x14ac:dyDescent="0.25">
      <c r="A3094" s="2"/>
      <c r="B3094" s="3"/>
      <c r="C3094" s="3"/>
      <c r="D3094" s="3"/>
    </row>
    <row r="3095" spans="1:4" x14ac:dyDescent="0.25">
      <c r="A3095" s="2"/>
      <c r="B3095" s="3"/>
      <c r="C3095" s="3"/>
      <c r="D3095" s="3"/>
    </row>
    <row r="3096" spans="1:4" x14ac:dyDescent="0.25">
      <c r="A3096" s="2"/>
      <c r="B3096" s="3"/>
      <c r="C3096" s="3"/>
      <c r="D3096" s="3"/>
    </row>
    <row r="3097" spans="1:4" x14ac:dyDescent="0.25">
      <c r="A3097" s="2"/>
      <c r="B3097" s="3"/>
      <c r="C3097" s="3"/>
      <c r="D3097" s="3"/>
    </row>
    <row r="3098" spans="1:4" x14ac:dyDescent="0.25">
      <c r="A3098" s="2"/>
      <c r="B3098" s="3"/>
      <c r="C3098" s="3"/>
      <c r="D3098" s="3"/>
    </row>
    <row r="3099" spans="1:4" x14ac:dyDescent="0.25">
      <c r="A3099" s="2"/>
      <c r="B3099" s="3"/>
      <c r="C3099" s="3"/>
      <c r="D3099" s="3"/>
    </row>
    <row r="3100" spans="1:4" x14ac:dyDescent="0.25">
      <c r="A3100" s="2"/>
      <c r="B3100" s="3"/>
      <c r="C3100" s="3"/>
      <c r="D3100" s="3"/>
    </row>
    <row r="3101" spans="1:4" x14ac:dyDescent="0.25">
      <c r="A3101" s="2"/>
      <c r="B3101" s="3"/>
      <c r="C3101" s="3"/>
      <c r="D3101" s="3"/>
    </row>
    <row r="3102" spans="1:4" x14ac:dyDescent="0.25">
      <c r="A3102" s="2"/>
      <c r="B3102" s="3"/>
      <c r="C3102" s="3"/>
      <c r="D3102" s="3"/>
    </row>
    <row r="3103" spans="1:4" x14ac:dyDescent="0.25">
      <c r="A3103" s="2"/>
      <c r="B3103" s="3"/>
      <c r="C3103" s="3"/>
      <c r="D3103" s="3"/>
    </row>
    <row r="3104" spans="1:4" x14ac:dyDescent="0.25">
      <c r="A3104" s="2"/>
      <c r="B3104" s="3"/>
      <c r="C3104" s="3"/>
      <c r="D3104" s="3"/>
    </row>
    <row r="3105" spans="1:4" x14ac:dyDescent="0.25">
      <c r="A3105" s="2"/>
      <c r="B3105" s="3"/>
      <c r="C3105" s="3"/>
      <c r="D3105" s="3"/>
    </row>
    <row r="3106" spans="1:4" x14ac:dyDescent="0.25">
      <c r="A3106" s="2"/>
      <c r="B3106" s="3"/>
      <c r="C3106" s="3"/>
      <c r="D3106" s="3"/>
    </row>
    <row r="3107" spans="1:4" x14ac:dyDescent="0.25">
      <c r="A3107" s="2"/>
      <c r="B3107" s="3"/>
      <c r="C3107" s="3"/>
      <c r="D3107" s="3"/>
    </row>
    <row r="3108" spans="1:4" x14ac:dyDescent="0.25">
      <c r="A3108" s="2"/>
      <c r="B3108" s="3"/>
      <c r="C3108" s="3"/>
      <c r="D3108" s="3"/>
    </row>
    <row r="3109" spans="1:4" x14ac:dyDescent="0.25">
      <c r="A3109" s="2"/>
      <c r="B3109" s="3"/>
      <c r="C3109" s="3"/>
      <c r="D3109" s="3"/>
    </row>
    <row r="3110" spans="1:4" x14ac:dyDescent="0.25">
      <c r="A3110" s="2"/>
      <c r="B3110" s="3"/>
      <c r="C3110" s="3"/>
      <c r="D3110" s="3"/>
    </row>
    <row r="3111" spans="1:4" x14ac:dyDescent="0.25">
      <c r="A3111" s="2"/>
      <c r="B3111" s="3"/>
      <c r="C3111" s="3"/>
      <c r="D3111" s="3"/>
    </row>
    <row r="3112" spans="1:4" x14ac:dyDescent="0.25">
      <c r="A3112" s="2"/>
      <c r="B3112" s="3"/>
      <c r="C3112" s="3"/>
      <c r="D3112" s="3"/>
    </row>
    <row r="3113" spans="1:4" x14ac:dyDescent="0.25">
      <c r="A3113" s="2"/>
      <c r="B3113" s="3"/>
      <c r="C3113" s="3"/>
      <c r="D3113" s="3"/>
    </row>
    <row r="3114" spans="1:4" x14ac:dyDescent="0.25">
      <c r="A3114" s="2"/>
      <c r="B3114" s="3"/>
      <c r="C3114" s="3"/>
      <c r="D3114" s="3"/>
    </row>
    <row r="3115" spans="1:4" x14ac:dyDescent="0.25">
      <c r="A3115" s="2"/>
      <c r="B3115" s="3"/>
      <c r="C3115" s="3"/>
      <c r="D3115" s="3"/>
    </row>
    <row r="3116" spans="1:4" x14ac:dyDescent="0.25">
      <c r="A3116" s="2"/>
      <c r="B3116" s="3"/>
      <c r="C3116" s="3"/>
      <c r="D3116" s="3"/>
    </row>
    <row r="3117" spans="1:4" x14ac:dyDescent="0.25">
      <c r="A3117" s="2"/>
      <c r="B3117" s="3"/>
      <c r="C3117" s="3"/>
      <c r="D3117" s="3"/>
    </row>
    <row r="3118" spans="1:4" x14ac:dyDescent="0.25">
      <c r="A3118" s="2"/>
      <c r="B3118" s="3"/>
      <c r="C3118" s="3"/>
      <c r="D3118" s="3"/>
    </row>
    <row r="3119" spans="1:4" x14ac:dyDescent="0.25">
      <c r="A3119" s="2"/>
      <c r="B3119" s="3"/>
      <c r="C3119" s="3"/>
      <c r="D3119" s="3"/>
    </row>
    <row r="3120" spans="1:4" x14ac:dyDescent="0.25">
      <c r="A3120" s="2"/>
      <c r="B3120" s="3"/>
      <c r="C3120" s="3"/>
      <c r="D3120" s="3"/>
    </row>
    <row r="3121" spans="1:4" x14ac:dyDescent="0.25">
      <c r="A3121" s="2"/>
      <c r="B3121" s="3"/>
      <c r="C3121" s="3"/>
      <c r="D3121" s="3"/>
    </row>
    <row r="3122" spans="1:4" x14ac:dyDescent="0.25">
      <c r="A3122" s="2"/>
      <c r="B3122" s="3"/>
      <c r="C3122" s="3"/>
      <c r="D3122" s="3"/>
    </row>
    <row r="3123" spans="1:4" x14ac:dyDescent="0.25">
      <c r="A3123" s="2"/>
      <c r="B3123" s="3"/>
      <c r="C3123" s="3"/>
      <c r="D3123" s="3"/>
    </row>
    <row r="3124" spans="1:4" x14ac:dyDescent="0.25">
      <c r="A3124" s="2"/>
      <c r="B3124" s="3"/>
      <c r="C3124" s="3"/>
      <c r="D3124" s="3"/>
    </row>
    <row r="3125" spans="1:4" x14ac:dyDescent="0.25">
      <c r="A3125" s="2"/>
      <c r="B3125" s="3"/>
      <c r="C3125" s="3"/>
      <c r="D3125" s="3"/>
    </row>
    <row r="3126" spans="1:4" x14ac:dyDescent="0.25">
      <c r="A3126" s="2"/>
      <c r="B3126" s="3"/>
      <c r="C3126" s="3"/>
      <c r="D3126" s="3"/>
    </row>
    <row r="3127" spans="1:4" x14ac:dyDescent="0.25">
      <c r="A3127" s="2"/>
      <c r="B3127" s="3"/>
      <c r="C3127" s="3"/>
      <c r="D3127" s="3"/>
    </row>
    <row r="3128" spans="1:4" x14ac:dyDescent="0.25">
      <c r="A3128" s="2"/>
      <c r="B3128" s="3"/>
      <c r="C3128" s="3"/>
      <c r="D3128" s="3"/>
    </row>
    <row r="3129" spans="1:4" x14ac:dyDescent="0.25">
      <c r="A3129" s="2"/>
      <c r="B3129" s="3"/>
      <c r="C3129" s="3"/>
      <c r="D3129" s="3"/>
    </row>
    <row r="3130" spans="1:4" x14ac:dyDescent="0.25">
      <c r="A3130" s="2"/>
      <c r="B3130" s="3"/>
      <c r="C3130" s="3"/>
      <c r="D3130" s="3"/>
    </row>
    <row r="3131" spans="1:4" x14ac:dyDescent="0.25">
      <c r="A3131" s="2"/>
      <c r="B3131" s="3"/>
      <c r="C3131" s="3"/>
      <c r="D3131" s="3"/>
    </row>
    <row r="3132" spans="1:4" x14ac:dyDescent="0.25">
      <c r="A3132" s="2"/>
      <c r="B3132" s="3"/>
      <c r="C3132" s="3"/>
      <c r="D3132" s="3"/>
    </row>
    <row r="3133" spans="1:4" x14ac:dyDescent="0.25">
      <c r="A3133" s="2"/>
      <c r="B3133" s="3"/>
      <c r="C3133" s="3"/>
      <c r="D3133" s="3"/>
    </row>
    <row r="3134" spans="1:4" x14ac:dyDescent="0.25">
      <c r="A3134" s="2"/>
      <c r="B3134" s="3"/>
      <c r="C3134" s="3"/>
      <c r="D3134" s="3"/>
    </row>
    <row r="3135" spans="1:4" x14ac:dyDescent="0.25">
      <c r="A3135" s="2"/>
      <c r="B3135" s="3"/>
      <c r="C3135" s="3"/>
      <c r="D3135" s="3"/>
    </row>
    <row r="3136" spans="1:4" x14ac:dyDescent="0.25">
      <c r="A3136" s="2"/>
      <c r="B3136" s="3"/>
      <c r="C3136" s="3"/>
      <c r="D3136" s="3"/>
    </row>
    <row r="3137" spans="1:4" x14ac:dyDescent="0.25">
      <c r="A3137" s="2"/>
      <c r="B3137" s="3"/>
      <c r="C3137" s="3"/>
      <c r="D3137" s="3"/>
    </row>
    <row r="3138" spans="1:4" x14ac:dyDescent="0.25">
      <c r="A3138" s="2"/>
      <c r="B3138" s="3"/>
      <c r="C3138" s="3"/>
      <c r="D3138" s="3"/>
    </row>
    <row r="3139" spans="1:4" x14ac:dyDescent="0.25">
      <c r="A3139" s="2"/>
      <c r="B3139" s="3"/>
      <c r="C3139" s="3"/>
      <c r="D3139" s="3"/>
    </row>
    <row r="3140" spans="1:4" x14ac:dyDescent="0.25">
      <c r="A3140" s="2"/>
      <c r="B3140" s="3"/>
      <c r="C3140" s="3"/>
      <c r="D3140" s="3"/>
    </row>
    <row r="3141" spans="1:4" x14ac:dyDescent="0.25">
      <c r="A3141" s="2"/>
      <c r="B3141" s="3"/>
      <c r="C3141" s="3"/>
      <c r="D3141" s="3"/>
    </row>
    <row r="3142" spans="1:4" x14ac:dyDescent="0.25">
      <c r="A3142" s="2"/>
      <c r="B3142" s="3"/>
      <c r="C3142" s="3"/>
      <c r="D3142" s="3"/>
    </row>
    <row r="3143" spans="1:4" x14ac:dyDescent="0.25">
      <c r="A3143" s="2"/>
      <c r="B3143" s="3"/>
      <c r="C3143" s="3"/>
      <c r="D3143" s="3"/>
    </row>
    <row r="3144" spans="1:4" x14ac:dyDescent="0.25">
      <c r="A3144" s="2"/>
      <c r="B3144" s="3"/>
      <c r="C3144" s="3"/>
      <c r="D3144" s="3"/>
    </row>
    <row r="3145" spans="1:4" x14ac:dyDescent="0.25">
      <c r="A3145" s="2"/>
      <c r="B3145" s="3"/>
      <c r="C3145" s="3"/>
      <c r="D3145" s="3"/>
    </row>
    <row r="3146" spans="1:4" x14ac:dyDescent="0.25">
      <c r="A3146" s="2"/>
      <c r="B3146" s="3"/>
      <c r="C3146" s="3"/>
      <c r="D3146" s="3"/>
    </row>
    <row r="3147" spans="1:4" x14ac:dyDescent="0.25">
      <c r="A3147" s="2"/>
      <c r="B3147" s="3"/>
      <c r="C3147" s="3"/>
      <c r="D3147" s="3"/>
    </row>
    <row r="3148" spans="1:4" x14ac:dyDescent="0.25">
      <c r="A3148" s="2"/>
      <c r="B3148" s="3"/>
      <c r="C3148" s="3"/>
      <c r="D3148" s="3"/>
    </row>
    <row r="3149" spans="1:4" x14ac:dyDescent="0.25">
      <c r="A3149" s="2"/>
      <c r="B3149" s="3"/>
      <c r="C3149" s="3"/>
      <c r="D3149" s="3"/>
    </row>
    <row r="3150" spans="1:4" x14ac:dyDescent="0.25">
      <c r="A3150" s="2"/>
      <c r="B3150" s="3"/>
      <c r="C3150" s="3"/>
      <c r="D3150" s="3"/>
    </row>
    <row r="3151" spans="1:4" x14ac:dyDescent="0.25">
      <c r="A3151" s="2"/>
      <c r="B3151" s="3"/>
      <c r="C3151" s="3"/>
      <c r="D3151" s="3"/>
    </row>
    <row r="3152" spans="1:4" x14ac:dyDescent="0.25">
      <c r="A3152" s="2"/>
      <c r="B3152" s="3"/>
      <c r="C3152" s="3"/>
      <c r="D3152" s="3"/>
    </row>
    <row r="3153" spans="1:4" x14ac:dyDescent="0.25">
      <c r="A3153" s="2"/>
      <c r="B3153" s="3"/>
      <c r="C3153" s="3"/>
      <c r="D3153" s="3"/>
    </row>
    <row r="3154" spans="1:4" x14ac:dyDescent="0.25">
      <c r="A3154" s="2"/>
      <c r="B3154" s="3"/>
      <c r="C3154" s="3"/>
      <c r="D3154" s="3"/>
    </row>
    <row r="3155" spans="1:4" x14ac:dyDescent="0.25">
      <c r="A3155" s="2"/>
      <c r="B3155" s="3"/>
      <c r="C3155" s="3"/>
      <c r="D3155" s="3"/>
    </row>
    <row r="3156" spans="1:4" x14ac:dyDescent="0.25">
      <c r="A3156" s="2"/>
      <c r="B3156" s="3"/>
      <c r="C3156" s="3"/>
      <c r="D3156" s="3"/>
    </row>
    <row r="3157" spans="1:4" x14ac:dyDescent="0.25">
      <c r="A3157" s="2"/>
      <c r="B3157" s="3"/>
      <c r="C3157" s="3"/>
      <c r="D3157" s="3"/>
    </row>
    <row r="3158" spans="1:4" x14ac:dyDescent="0.25">
      <c r="A3158" s="2"/>
      <c r="B3158" s="3"/>
      <c r="C3158" s="3"/>
      <c r="D3158" s="3"/>
    </row>
    <row r="3159" spans="1:4" x14ac:dyDescent="0.25">
      <c r="A3159" s="2"/>
      <c r="B3159" s="3"/>
      <c r="C3159" s="3"/>
      <c r="D3159" s="3"/>
    </row>
    <row r="3160" spans="1:4" x14ac:dyDescent="0.25">
      <c r="A3160" s="2"/>
      <c r="B3160" s="3"/>
      <c r="C3160" s="3"/>
      <c r="D3160" s="3"/>
    </row>
    <row r="3161" spans="1:4" x14ac:dyDescent="0.25">
      <c r="A3161" s="2"/>
      <c r="B3161" s="3"/>
      <c r="C3161" s="3"/>
      <c r="D3161" s="3"/>
    </row>
    <row r="3162" spans="1:4" x14ac:dyDescent="0.25">
      <c r="A3162" s="2"/>
      <c r="B3162" s="3"/>
      <c r="C3162" s="3"/>
      <c r="D3162" s="3"/>
    </row>
    <row r="3163" spans="1:4" x14ac:dyDescent="0.25">
      <c r="A3163" s="2"/>
      <c r="B3163" s="3"/>
      <c r="C3163" s="3"/>
      <c r="D3163" s="3"/>
    </row>
    <row r="3164" spans="1:4" x14ac:dyDescent="0.25">
      <c r="A3164" s="2"/>
      <c r="B3164" s="3"/>
      <c r="C3164" s="3"/>
      <c r="D3164" s="3"/>
    </row>
    <row r="3165" spans="1:4" x14ac:dyDescent="0.25">
      <c r="A3165" s="2"/>
      <c r="B3165" s="3"/>
      <c r="C3165" s="3"/>
      <c r="D3165" s="3"/>
    </row>
    <row r="3166" spans="1:4" x14ac:dyDescent="0.25">
      <c r="A3166" s="2"/>
      <c r="B3166" s="3"/>
      <c r="C3166" s="3"/>
      <c r="D3166" s="3"/>
    </row>
    <row r="3167" spans="1:4" x14ac:dyDescent="0.25">
      <c r="A3167" s="2"/>
      <c r="B3167" s="3"/>
      <c r="C3167" s="3"/>
      <c r="D3167" s="3"/>
    </row>
    <row r="3168" spans="1:4" x14ac:dyDescent="0.25">
      <c r="A3168" s="2"/>
      <c r="B3168" s="3"/>
      <c r="C3168" s="3"/>
      <c r="D3168" s="3"/>
    </row>
    <row r="3169" spans="1:4" x14ac:dyDescent="0.25">
      <c r="A3169" s="2"/>
      <c r="B3169" s="3"/>
      <c r="C3169" s="3"/>
      <c r="D3169" s="3"/>
    </row>
    <row r="3170" spans="1:4" x14ac:dyDescent="0.25">
      <c r="A3170" s="2"/>
      <c r="B3170" s="3"/>
      <c r="C3170" s="3"/>
      <c r="D3170" s="3"/>
    </row>
    <row r="3171" spans="1:4" x14ac:dyDescent="0.25">
      <c r="A3171" s="2"/>
      <c r="B3171" s="3"/>
      <c r="C3171" s="3"/>
      <c r="D3171" s="3"/>
    </row>
    <row r="3172" spans="1:4" x14ac:dyDescent="0.25">
      <c r="A3172" s="2"/>
      <c r="B3172" s="3"/>
      <c r="C3172" s="3"/>
      <c r="D3172" s="3"/>
    </row>
    <row r="3173" spans="1:4" x14ac:dyDescent="0.25">
      <c r="A3173" s="2"/>
      <c r="B3173" s="3"/>
      <c r="C3173" s="3"/>
      <c r="D3173" s="3"/>
    </row>
    <row r="3174" spans="1:4" x14ac:dyDescent="0.25">
      <c r="A3174" s="2"/>
      <c r="B3174" s="3"/>
      <c r="C3174" s="3"/>
      <c r="D3174" s="3"/>
    </row>
    <row r="3175" spans="1:4" x14ac:dyDescent="0.25">
      <c r="A3175" s="2"/>
      <c r="B3175" s="3"/>
      <c r="C3175" s="3"/>
      <c r="D3175" s="3"/>
    </row>
    <row r="3176" spans="1:4" x14ac:dyDescent="0.25">
      <c r="A3176" s="2"/>
      <c r="B3176" s="3"/>
      <c r="C3176" s="3"/>
      <c r="D3176" s="3"/>
    </row>
    <row r="3177" spans="1:4" x14ac:dyDescent="0.25">
      <c r="A3177" s="2"/>
      <c r="B3177" s="3"/>
      <c r="C3177" s="3"/>
      <c r="D3177" s="3"/>
    </row>
    <row r="3178" spans="1:4" x14ac:dyDescent="0.25">
      <c r="A3178" s="2"/>
      <c r="B3178" s="3"/>
      <c r="C3178" s="3"/>
      <c r="D3178" s="3"/>
    </row>
    <row r="3179" spans="1:4" x14ac:dyDescent="0.25">
      <c r="A3179" s="2"/>
      <c r="B3179" s="3"/>
      <c r="C3179" s="3"/>
      <c r="D3179" s="3"/>
    </row>
    <row r="3180" spans="1:4" x14ac:dyDescent="0.25">
      <c r="A3180" s="2"/>
      <c r="B3180" s="3"/>
      <c r="C3180" s="3"/>
      <c r="D3180" s="3"/>
    </row>
    <row r="3181" spans="1:4" x14ac:dyDescent="0.25">
      <c r="A3181" s="2"/>
      <c r="B3181" s="3"/>
      <c r="C3181" s="3"/>
      <c r="D3181" s="3"/>
    </row>
    <row r="3182" spans="1:4" x14ac:dyDescent="0.25">
      <c r="A3182" s="2"/>
      <c r="B3182" s="3"/>
      <c r="C3182" s="3"/>
      <c r="D3182" s="3"/>
    </row>
    <row r="3183" spans="1:4" x14ac:dyDescent="0.25">
      <c r="A3183" s="2"/>
      <c r="B3183" s="3"/>
      <c r="C3183" s="3"/>
      <c r="D3183" s="3"/>
    </row>
    <row r="3184" spans="1:4" x14ac:dyDescent="0.25">
      <c r="A3184" s="2"/>
      <c r="B3184" s="3"/>
      <c r="C3184" s="3"/>
      <c r="D3184" s="3"/>
    </row>
    <row r="3185" spans="1:4" x14ac:dyDescent="0.25">
      <c r="A3185" s="2"/>
      <c r="B3185" s="3"/>
      <c r="C3185" s="3"/>
      <c r="D3185" s="3"/>
    </row>
    <row r="3186" spans="1:4" x14ac:dyDescent="0.25">
      <c r="A3186" s="2"/>
      <c r="B3186" s="3"/>
      <c r="C3186" s="3"/>
      <c r="D3186" s="3"/>
    </row>
    <row r="3187" spans="1:4" x14ac:dyDescent="0.25">
      <c r="A3187" s="2"/>
      <c r="B3187" s="3"/>
      <c r="C3187" s="3"/>
      <c r="D3187" s="3"/>
    </row>
    <row r="3188" spans="1:4" x14ac:dyDescent="0.25">
      <c r="A3188" s="2"/>
      <c r="B3188" s="3"/>
      <c r="C3188" s="3"/>
      <c r="D3188" s="3"/>
    </row>
    <row r="3189" spans="1:4" x14ac:dyDescent="0.25">
      <c r="A3189" s="2"/>
      <c r="B3189" s="3"/>
      <c r="C3189" s="3"/>
      <c r="D3189" s="3"/>
    </row>
    <row r="3190" spans="1:4" x14ac:dyDescent="0.25">
      <c r="A3190" s="2"/>
      <c r="B3190" s="3"/>
      <c r="C3190" s="3"/>
      <c r="D3190" s="3"/>
    </row>
    <row r="3191" spans="1:4" x14ac:dyDescent="0.25">
      <c r="A3191" s="2"/>
      <c r="B3191" s="3"/>
      <c r="C3191" s="3"/>
      <c r="D3191" s="3"/>
    </row>
    <row r="3192" spans="1:4" x14ac:dyDescent="0.25">
      <c r="A3192" s="2"/>
      <c r="B3192" s="3"/>
      <c r="C3192" s="3"/>
      <c r="D3192" s="3"/>
    </row>
    <row r="3193" spans="1:4" x14ac:dyDescent="0.25">
      <c r="A3193" s="2"/>
      <c r="B3193" s="3"/>
      <c r="C3193" s="3"/>
      <c r="D3193" s="3"/>
    </row>
    <row r="3194" spans="1:4" x14ac:dyDescent="0.25">
      <c r="A3194" s="2"/>
      <c r="B3194" s="3"/>
      <c r="C3194" s="3"/>
      <c r="D3194" s="3"/>
    </row>
    <row r="3195" spans="1:4" x14ac:dyDescent="0.25">
      <c r="A3195" s="2"/>
      <c r="B3195" s="3"/>
      <c r="C3195" s="3"/>
      <c r="D3195" s="3"/>
    </row>
    <row r="3196" spans="1:4" x14ac:dyDescent="0.25">
      <c r="A3196" s="2"/>
      <c r="B3196" s="3"/>
      <c r="C3196" s="3"/>
      <c r="D3196" s="3"/>
    </row>
    <row r="3197" spans="1:4" x14ac:dyDescent="0.25">
      <c r="A3197" s="2"/>
      <c r="B3197" s="3"/>
      <c r="C3197" s="3"/>
      <c r="D3197" s="3"/>
    </row>
    <row r="3198" spans="1:4" x14ac:dyDescent="0.25">
      <c r="A3198" s="2"/>
      <c r="B3198" s="3"/>
      <c r="C3198" s="3"/>
      <c r="D3198" s="3"/>
    </row>
    <row r="3199" spans="1:4" x14ac:dyDescent="0.25">
      <c r="A3199" s="2"/>
      <c r="B3199" s="3"/>
      <c r="C3199" s="3"/>
      <c r="D3199" s="3"/>
    </row>
    <row r="3200" spans="1:4" x14ac:dyDescent="0.25">
      <c r="A3200" s="2"/>
      <c r="B3200" s="3"/>
      <c r="C3200" s="3"/>
      <c r="D3200" s="3"/>
    </row>
    <row r="3201" spans="1:4" x14ac:dyDescent="0.25">
      <c r="A3201" s="2"/>
      <c r="B3201" s="3"/>
      <c r="C3201" s="3"/>
      <c r="D3201" s="3"/>
    </row>
    <row r="3202" spans="1:4" x14ac:dyDescent="0.25">
      <c r="A3202" s="2"/>
      <c r="B3202" s="3"/>
      <c r="C3202" s="3"/>
      <c r="D3202" s="3"/>
    </row>
    <row r="3203" spans="1:4" x14ac:dyDescent="0.25">
      <c r="A3203" s="2"/>
      <c r="B3203" s="3"/>
      <c r="C3203" s="3"/>
      <c r="D3203" s="3"/>
    </row>
    <row r="3204" spans="1:4" x14ac:dyDescent="0.25">
      <c r="A3204" s="2"/>
      <c r="B3204" s="3"/>
      <c r="C3204" s="3"/>
      <c r="D3204" s="3"/>
    </row>
    <row r="3205" spans="1:4" x14ac:dyDescent="0.25">
      <c r="A3205" s="2"/>
      <c r="B3205" s="3"/>
      <c r="C3205" s="3"/>
      <c r="D3205" s="3"/>
    </row>
    <row r="3206" spans="1:4" x14ac:dyDescent="0.25">
      <c r="A3206" s="2"/>
      <c r="B3206" s="3"/>
      <c r="C3206" s="3"/>
      <c r="D3206" s="3"/>
    </row>
    <row r="3207" spans="1:4" x14ac:dyDescent="0.25">
      <c r="A3207" s="2"/>
      <c r="B3207" s="3"/>
      <c r="C3207" s="3"/>
      <c r="D3207" s="3"/>
    </row>
    <row r="3208" spans="1:4" x14ac:dyDescent="0.25">
      <c r="A3208" s="2"/>
      <c r="B3208" s="3"/>
      <c r="C3208" s="3"/>
      <c r="D3208" s="3"/>
    </row>
    <row r="3209" spans="1:4" x14ac:dyDescent="0.25">
      <c r="A3209" s="2"/>
      <c r="B3209" s="3"/>
      <c r="C3209" s="3"/>
      <c r="D3209" s="3"/>
    </row>
    <row r="3210" spans="1:4" x14ac:dyDescent="0.25">
      <c r="A3210" s="2"/>
      <c r="B3210" s="3"/>
      <c r="C3210" s="3"/>
      <c r="D3210" s="3"/>
    </row>
    <row r="3211" spans="1:4" x14ac:dyDescent="0.25">
      <c r="A3211" s="2"/>
      <c r="B3211" s="3"/>
      <c r="C3211" s="3"/>
      <c r="D3211" s="3"/>
    </row>
    <row r="3212" spans="1:4" x14ac:dyDescent="0.25">
      <c r="A3212" s="2"/>
      <c r="B3212" s="3"/>
      <c r="C3212" s="3"/>
      <c r="D3212" s="3"/>
    </row>
    <row r="3213" spans="1:4" x14ac:dyDescent="0.25">
      <c r="A3213" s="2"/>
      <c r="B3213" s="3"/>
      <c r="C3213" s="3"/>
      <c r="D3213" s="3"/>
    </row>
    <row r="3214" spans="1:4" x14ac:dyDescent="0.25">
      <c r="A3214" s="2"/>
      <c r="B3214" s="3"/>
      <c r="C3214" s="3"/>
      <c r="D3214" s="3"/>
    </row>
    <row r="3215" spans="1:4" x14ac:dyDescent="0.25">
      <c r="A3215" s="2"/>
      <c r="B3215" s="3"/>
      <c r="C3215" s="3"/>
      <c r="D3215" s="3"/>
    </row>
    <row r="3216" spans="1:4" x14ac:dyDescent="0.25">
      <c r="A3216" s="2"/>
      <c r="B3216" s="3"/>
      <c r="C3216" s="3"/>
      <c r="D3216" s="3"/>
    </row>
    <row r="3217" spans="1:4" x14ac:dyDescent="0.25">
      <c r="A3217" s="2"/>
      <c r="B3217" s="3"/>
      <c r="C3217" s="3"/>
      <c r="D3217" s="3"/>
    </row>
    <row r="3218" spans="1:4" x14ac:dyDescent="0.25">
      <c r="A3218" s="2"/>
      <c r="B3218" s="3"/>
      <c r="C3218" s="3"/>
      <c r="D3218" s="3"/>
    </row>
    <row r="3219" spans="1:4" x14ac:dyDescent="0.25">
      <c r="A3219" s="2"/>
      <c r="B3219" s="3"/>
      <c r="C3219" s="3"/>
      <c r="D3219" s="3"/>
    </row>
    <row r="3220" spans="1:4" x14ac:dyDescent="0.25">
      <c r="A3220" s="2"/>
      <c r="B3220" s="3"/>
      <c r="C3220" s="3"/>
      <c r="D3220" s="3"/>
    </row>
    <row r="3221" spans="1:4" x14ac:dyDescent="0.25">
      <c r="A3221" s="2"/>
      <c r="B3221" s="3"/>
      <c r="C3221" s="3"/>
      <c r="D3221" s="3"/>
    </row>
    <row r="3222" spans="1:4" x14ac:dyDescent="0.25">
      <c r="A3222" s="2"/>
      <c r="B3222" s="3"/>
      <c r="C3222" s="3"/>
      <c r="D3222" s="3"/>
    </row>
    <row r="3223" spans="1:4" x14ac:dyDescent="0.25">
      <c r="A3223" s="2"/>
      <c r="B3223" s="3"/>
      <c r="C3223" s="3"/>
      <c r="D3223" s="3"/>
    </row>
    <row r="3224" spans="1:4" x14ac:dyDescent="0.25">
      <c r="A3224" s="2"/>
      <c r="B3224" s="3"/>
      <c r="C3224" s="3"/>
      <c r="D3224" s="3"/>
    </row>
    <row r="3225" spans="1:4" x14ac:dyDescent="0.25">
      <c r="A3225" s="2"/>
      <c r="B3225" s="3"/>
      <c r="C3225" s="3"/>
      <c r="D3225" s="3"/>
    </row>
    <row r="3226" spans="1:4" x14ac:dyDescent="0.25">
      <c r="A3226" s="2"/>
      <c r="B3226" s="3"/>
      <c r="C3226" s="3"/>
      <c r="D3226" s="3"/>
    </row>
    <row r="3227" spans="1:4" x14ac:dyDescent="0.25">
      <c r="A3227" s="2"/>
      <c r="B3227" s="3"/>
      <c r="C3227" s="3"/>
      <c r="D3227" s="3"/>
    </row>
    <row r="3228" spans="1:4" x14ac:dyDescent="0.25">
      <c r="A3228" s="2"/>
      <c r="B3228" s="3"/>
      <c r="C3228" s="3"/>
      <c r="D3228" s="3"/>
    </row>
    <row r="3229" spans="1:4" x14ac:dyDescent="0.25">
      <c r="A3229" s="2"/>
      <c r="B3229" s="3"/>
      <c r="C3229" s="3"/>
      <c r="D3229" s="3"/>
    </row>
    <row r="3230" spans="1:4" x14ac:dyDescent="0.25">
      <c r="A3230" s="2"/>
      <c r="B3230" s="3"/>
      <c r="C3230" s="3"/>
      <c r="D3230" s="3"/>
    </row>
    <row r="3231" spans="1:4" x14ac:dyDescent="0.25">
      <c r="A3231" s="2"/>
      <c r="B3231" s="3"/>
      <c r="C3231" s="3"/>
      <c r="D3231" s="3"/>
    </row>
    <row r="3232" spans="1:4" x14ac:dyDescent="0.25">
      <c r="A3232" s="2"/>
      <c r="B3232" s="3"/>
      <c r="C3232" s="3"/>
      <c r="D3232" s="3"/>
    </row>
    <row r="3233" spans="1:4" x14ac:dyDescent="0.25">
      <c r="A3233" s="2"/>
      <c r="B3233" s="3"/>
      <c r="C3233" s="3"/>
      <c r="D3233" s="3"/>
    </row>
    <row r="3234" spans="1:4" x14ac:dyDescent="0.25">
      <c r="A3234" s="2"/>
      <c r="B3234" s="3"/>
      <c r="C3234" s="3"/>
      <c r="D3234" s="3"/>
    </row>
    <row r="3235" spans="1:4" x14ac:dyDescent="0.25">
      <c r="A3235" s="2"/>
      <c r="B3235" s="3"/>
      <c r="C3235" s="3"/>
      <c r="D3235" s="3"/>
    </row>
    <row r="3236" spans="1:4" x14ac:dyDescent="0.25">
      <c r="A3236" s="2"/>
      <c r="B3236" s="3"/>
      <c r="C3236" s="3"/>
      <c r="D3236" s="3"/>
    </row>
    <row r="3237" spans="1:4" x14ac:dyDescent="0.25">
      <c r="A3237" s="2"/>
      <c r="B3237" s="3"/>
      <c r="C3237" s="3"/>
      <c r="D3237" s="3"/>
    </row>
    <row r="3238" spans="1:4" x14ac:dyDescent="0.25">
      <c r="A3238" s="2"/>
      <c r="B3238" s="3"/>
      <c r="C3238" s="3"/>
      <c r="D3238" s="3"/>
    </row>
    <row r="3239" spans="1:4" x14ac:dyDescent="0.25">
      <c r="A3239" s="2"/>
      <c r="B3239" s="3"/>
      <c r="C3239" s="3"/>
      <c r="D3239" s="3"/>
    </row>
    <row r="3240" spans="1:4" x14ac:dyDescent="0.25">
      <c r="A3240" s="2"/>
      <c r="B3240" s="3"/>
      <c r="C3240" s="3"/>
      <c r="D3240" s="3"/>
    </row>
    <row r="3241" spans="1:4" x14ac:dyDescent="0.25">
      <c r="A3241" s="2"/>
      <c r="B3241" s="3"/>
      <c r="C3241" s="3"/>
      <c r="D3241" s="3"/>
    </row>
    <row r="3242" spans="1:4" x14ac:dyDescent="0.25">
      <c r="A3242" s="2"/>
      <c r="B3242" s="3"/>
      <c r="C3242" s="3"/>
      <c r="D3242" s="3"/>
    </row>
    <row r="3243" spans="1:4" x14ac:dyDescent="0.25">
      <c r="A3243" s="2"/>
      <c r="B3243" s="3"/>
      <c r="C3243" s="3"/>
      <c r="D3243" s="3"/>
    </row>
    <row r="3244" spans="1:4" x14ac:dyDescent="0.25">
      <c r="A3244" s="2"/>
      <c r="B3244" s="3"/>
      <c r="C3244" s="3"/>
      <c r="D3244" s="3"/>
    </row>
    <row r="3245" spans="1:4" x14ac:dyDescent="0.25">
      <c r="A3245" s="2"/>
      <c r="B3245" s="3"/>
      <c r="C3245" s="3"/>
      <c r="D3245" s="3"/>
    </row>
    <row r="3246" spans="1:4" x14ac:dyDescent="0.25">
      <c r="A3246" s="2"/>
      <c r="B3246" s="3"/>
      <c r="C3246" s="3"/>
      <c r="D3246" s="3"/>
    </row>
    <row r="3247" spans="1:4" x14ac:dyDescent="0.25">
      <c r="A3247" s="2"/>
      <c r="B3247" s="3"/>
      <c r="C3247" s="3"/>
      <c r="D3247" s="3"/>
    </row>
    <row r="3248" spans="1:4" x14ac:dyDescent="0.25">
      <c r="A3248" s="2"/>
      <c r="B3248" s="3"/>
      <c r="C3248" s="3"/>
      <c r="D3248" s="3"/>
    </row>
    <row r="3249" spans="1:4" x14ac:dyDescent="0.25">
      <c r="A3249" s="2"/>
      <c r="B3249" s="3"/>
      <c r="C3249" s="3"/>
      <c r="D3249" s="3"/>
    </row>
    <row r="3250" spans="1:4" x14ac:dyDescent="0.25">
      <c r="A3250" s="2"/>
      <c r="B3250" s="3"/>
      <c r="C3250" s="3"/>
      <c r="D3250" s="3"/>
    </row>
    <row r="3251" spans="1:4" x14ac:dyDescent="0.25">
      <c r="A3251" s="2"/>
      <c r="B3251" s="3"/>
      <c r="C3251" s="3"/>
      <c r="D3251" s="3"/>
    </row>
    <row r="3252" spans="1:4" x14ac:dyDescent="0.25">
      <c r="A3252" s="2"/>
      <c r="B3252" s="3"/>
      <c r="C3252" s="3"/>
      <c r="D3252" s="3"/>
    </row>
    <row r="3253" spans="1:4" x14ac:dyDescent="0.25">
      <c r="A3253" s="2"/>
      <c r="B3253" s="3"/>
      <c r="C3253" s="3"/>
      <c r="D3253" s="3"/>
    </row>
    <row r="3254" spans="1:4" x14ac:dyDescent="0.25">
      <c r="A3254" s="2"/>
      <c r="B3254" s="3"/>
      <c r="C3254" s="3"/>
      <c r="D3254" s="3"/>
    </row>
    <row r="3255" spans="1:4" x14ac:dyDescent="0.25">
      <c r="A3255" s="2"/>
      <c r="B3255" s="3"/>
      <c r="C3255" s="3"/>
      <c r="D3255" s="3"/>
    </row>
    <row r="3256" spans="1:4" x14ac:dyDescent="0.25">
      <c r="A3256" s="2"/>
      <c r="B3256" s="3"/>
      <c r="C3256" s="3"/>
      <c r="D3256" s="3"/>
    </row>
    <row r="3257" spans="1:4" x14ac:dyDescent="0.25">
      <c r="A3257" s="2"/>
      <c r="B3257" s="3"/>
      <c r="C3257" s="3"/>
      <c r="D3257" s="3"/>
    </row>
    <row r="3258" spans="1:4" x14ac:dyDescent="0.25">
      <c r="A3258" s="2"/>
      <c r="B3258" s="3"/>
      <c r="C3258" s="3"/>
      <c r="D3258" s="3"/>
    </row>
    <row r="3259" spans="1:4" x14ac:dyDescent="0.25">
      <c r="A3259" s="2"/>
      <c r="B3259" s="3"/>
      <c r="C3259" s="3"/>
      <c r="D3259" s="3"/>
    </row>
    <row r="3260" spans="1:4" x14ac:dyDescent="0.25">
      <c r="A3260" s="2"/>
      <c r="B3260" s="3"/>
      <c r="C3260" s="3"/>
      <c r="D3260" s="3"/>
    </row>
    <row r="3261" spans="1:4" x14ac:dyDescent="0.25">
      <c r="A3261" s="2"/>
      <c r="B3261" s="3"/>
      <c r="C3261" s="3"/>
      <c r="D3261" s="3"/>
    </row>
    <row r="3262" spans="1:4" x14ac:dyDescent="0.25">
      <c r="A3262" s="2"/>
      <c r="B3262" s="3"/>
      <c r="C3262" s="3"/>
      <c r="D3262" s="3"/>
    </row>
    <row r="3263" spans="1:4" x14ac:dyDescent="0.25">
      <c r="A3263" s="2"/>
      <c r="B3263" s="3"/>
      <c r="C3263" s="3"/>
      <c r="D3263" s="3"/>
    </row>
    <row r="3264" spans="1:4" x14ac:dyDescent="0.25">
      <c r="A3264" s="2"/>
      <c r="B3264" s="3"/>
      <c r="C3264" s="3"/>
      <c r="D3264" s="3"/>
    </row>
    <row r="3265" spans="1:4" x14ac:dyDescent="0.25">
      <c r="A3265" s="2"/>
      <c r="B3265" s="3"/>
      <c r="C3265" s="3"/>
      <c r="D3265" s="3"/>
    </row>
    <row r="3266" spans="1:4" x14ac:dyDescent="0.25">
      <c r="A3266" s="2"/>
      <c r="B3266" s="3"/>
      <c r="C3266" s="3"/>
      <c r="D3266" s="3"/>
    </row>
    <row r="3267" spans="1:4" x14ac:dyDescent="0.25">
      <c r="A3267" s="2"/>
      <c r="B3267" s="3"/>
      <c r="C3267" s="3"/>
      <c r="D3267" s="3"/>
    </row>
    <row r="3268" spans="1:4" x14ac:dyDescent="0.25">
      <c r="A3268" s="2"/>
      <c r="B3268" s="3"/>
      <c r="C3268" s="3"/>
      <c r="D3268" s="3"/>
    </row>
    <row r="3269" spans="1:4" x14ac:dyDescent="0.25">
      <c r="A3269" s="2"/>
      <c r="B3269" s="3"/>
      <c r="C3269" s="3"/>
      <c r="D3269" s="3"/>
    </row>
    <row r="3270" spans="1:4" x14ac:dyDescent="0.25">
      <c r="A3270" s="2"/>
      <c r="B3270" s="3"/>
      <c r="C3270" s="3"/>
      <c r="D3270" s="3"/>
    </row>
    <row r="3271" spans="1:4" x14ac:dyDescent="0.25">
      <c r="A3271" s="2"/>
      <c r="B3271" s="3"/>
      <c r="C3271" s="3"/>
      <c r="D3271" s="3"/>
    </row>
    <row r="3272" spans="1:4" x14ac:dyDescent="0.25">
      <c r="A3272" s="2"/>
      <c r="B3272" s="3"/>
      <c r="C3272" s="3"/>
      <c r="D3272" s="3"/>
    </row>
    <row r="3273" spans="1:4" x14ac:dyDescent="0.25">
      <c r="A3273" s="2"/>
      <c r="B3273" s="3"/>
      <c r="C3273" s="3"/>
      <c r="D3273" s="3"/>
    </row>
    <row r="3274" spans="1:4" x14ac:dyDescent="0.25">
      <c r="A3274" s="2"/>
      <c r="B3274" s="3"/>
      <c r="C3274" s="3"/>
      <c r="D3274" s="3"/>
    </row>
    <row r="3275" spans="1:4" x14ac:dyDescent="0.25">
      <c r="A3275" s="2"/>
      <c r="B3275" s="3"/>
      <c r="C3275" s="3"/>
      <c r="D3275" s="3"/>
    </row>
    <row r="3276" spans="1:4" x14ac:dyDescent="0.25">
      <c r="A3276" s="2"/>
      <c r="B3276" s="3"/>
      <c r="C3276" s="3"/>
      <c r="D3276" s="3"/>
    </row>
    <row r="3277" spans="1:4" x14ac:dyDescent="0.25">
      <c r="A3277" s="2"/>
      <c r="B3277" s="3"/>
      <c r="C3277" s="3"/>
      <c r="D3277" s="3"/>
    </row>
    <row r="3278" spans="1:4" x14ac:dyDescent="0.25">
      <c r="A3278" s="2"/>
      <c r="B3278" s="3"/>
      <c r="C3278" s="3"/>
      <c r="D3278" s="3"/>
    </row>
    <row r="3279" spans="1:4" x14ac:dyDescent="0.25">
      <c r="A3279" s="2"/>
      <c r="B3279" s="3"/>
      <c r="C3279" s="3"/>
      <c r="D3279" s="3"/>
    </row>
    <row r="3280" spans="1:4" x14ac:dyDescent="0.25">
      <c r="A3280" s="2"/>
      <c r="B3280" s="3"/>
      <c r="C3280" s="3"/>
      <c r="D3280" s="3"/>
    </row>
    <row r="3281" spans="1:4" x14ac:dyDescent="0.25">
      <c r="A3281" s="2"/>
      <c r="B3281" s="3"/>
      <c r="C3281" s="3"/>
      <c r="D3281" s="3"/>
    </row>
    <row r="3282" spans="1:4" x14ac:dyDescent="0.25">
      <c r="A3282" s="2"/>
      <c r="B3282" s="3"/>
      <c r="C3282" s="3"/>
      <c r="D3282" s="3"/>
    </row>
    <row r="3283" spans="1:4" x14ac:dyDescent="0.25">
      <c r="A3283" s="2"/>
      <c r="B3283" s="3"/>
      <c r="C3283" s="3"/>
      <c r="D3283" s="3"/>
    </row>
    <row r="3284" spans="1:4" x14ac:dyDescent="0.25">
      <c r="A3284" s="2"/>
      <c r="B3284" s="3"/>
      <c r="C3284" s="3"/>
      <c r="D3284" s="3"/>
    </row>
    <row r="3285" spans="1:4" x14ac:dyDescent="0.25">
      <c r="A3285" s="2"/>
      <c r="B3285" s="3"/>
      <c r="C3285" s="3"/>
      <c r="D3285" s="3"/>
    </row>
    <row r="3286" spans="1:4" x14ac:dyDescent="0.25">
      <c r="A3286" s="2"/>
      <c r="B3286" s="3"/>
      <c r="C3286" s="3"/>
      <c r="D3286" s="3"/>
    </row>
    <row r="3287" spans="1:4" x14ac:dyDescent="0.25">
      <c r="A3287" s="2"/>
      <c r="B3287" s="3"/>
      <c r="C3287" s="3"/>
      <c r="D3287" s="3"/>
    </row>
    <row r="3288" spans="1:4" x14ac:dyDescent="0.25">
      <c r="A3288" s="2"/>
      <c r="B3288" s="3"/>
      <c r="C3288" s="3"/>
      <c r="D3288" s="3"/>
    </row>
    <row r="3289" spans="1:4" x14ac:dyDescent="0.25">
      <c r="A3289" s="2"/>
      <c r="B3289" s="3"/>
      <c r="C3289" s="3"/>
      <c r="D3289" s="3"/>
    </row>
    <row r="3290" spans="1:4" x14ac:dyDescent="0.25">
      <c r="A3290" s="2"/>
      <c r="B3290" s="3"/>
      <c r="C3290" s="3"/>
      <c r="D3290" s="3"/>
    </row>
    <row r="3291" spans="1:4" x14ac:dyDescent="0.25">
      <c r="A3291" s="2"/>
      <c r="B3291" s="3"/>
      <c r="C3291" s="3"/>
      <c r="D3291" s="3"/>
    </row>
    <row r="3292" spans="1:4" x14ac:dyDescent="0.25">
      <c r="A3292" s="2"/>
      <c r="B3292" s="3"/>
      <c r="C3292" s="3"/>
      <c r="D3292" s="3"/>
    </row>
    <row r="3293" spans="1:4" x14ac:dyDescent="0.25">
      <c r="A3293" s="2"/>
      <c r="B3293" s="3"/>
      <c r="C3293" s="3"/>
      <c r="D3293" s="3"/>
    </row>
    <row r="3294" spans="1:4" x14ac:dyDescent="0.25">
      <c r="A3294" s="2"/>
      <c r="B3294" s="3"/>
      <c r="C3294" s="3"/>
      <c r="D3294" s="3"/>
    </row>
    <row r="3295" spans="1:4" x14ac:dyDescent="0.25">
      <c r="A3295" s="2"/>
      <c r="B3295" s="3"/>
      <c r="C3295" s="3"/>
      <c r="D3295" s="3"/>
    </row>
    <row r="3296" spans="1:4" x14ac:dyDescent="0.25">
      <c r="A3296" s="2"/>
      <c r="B3296" s="3"/>
      <c r="C3296" s="3"/>
      <c r="D3296" s="3"/>
    </row>
    <row r="3297" spans="1:4" x14ac:dyDescent="0.25">
      <c r="A3297" s="2"/>
      <c r="B3297" s="3"/>
      <c r="C3297" s="3"/>
      <c r="D3297" s="3"/>
    </row>
    <row r="3298" spans="1:4" x14ac:dyDescent="0.25">
      <c r="A3298" s="2"/>
      <c r="B3298" s="3"/>
      <c r="C3298" s="3"/>
      <c r="D3298" s="3"/>
    </row>
    <row r="3299" spans="1:4" x14ac:dyDescent="0.25">
      <c r="A3299" s="2"/>
      <c r="B3299" s="3"/>
      <c r="C3299" s="3"/>
      <c r="D3299" s="3"/>
    </row>
    <row r="3300" spans="1:4" x14ac:dyDescent="0.25">
      <c r="A3300" s="2"/>
      <c r="B3300" s="3"/>
      <c r="C3300" s="3"/>
      <c r="D3300" s="3"/>
    </row>
    <row r="3301" spans="1:4" x14ac:dyDescent="0.25">
      <c r="A3301" s="2"/>
      <c r="B3301" s="3"/>
      <c r="C3301" s="3"/>
      <c r="D3301" s="3"/>
    </row>
    <row r="3302" spans="1:4" x14ac:dyDescent="0.25">
      <c r="A3302" s="2"/>
      <c r="B3302" s="3"/>
      <c r="C3302" s="3"/>
      <c r="D3302" s="3"/>
    </row>
    <row r="3303" spans="1:4" x14ac:dyDescent="0.25">
      <c r="A3303" s="2"/>
      <c r="B3303" s="3"/>
      <c r="C3303" s="3"/>
      <c r="D3303" s="3"/>
    </row>
    <row r="3304" spans="1:4" x14ac:dyDescent="0.25">
      <c r="A3304" s="2"/>
      <c r="B3304" s="3"/>
      <c r="C3304" s="3"/>
      <c r="D3304" s="3"/>
    </row>
    <row r="3305" spans="1:4" x14ac:dyDescent="0.25">
      <c r="A3305" s="2"/>
      <c r="B3305" s="3"/>
      <c r="C3305" s="3"/>
      <c r="D3305" s="3"/>
    </row>
    <row r="3306" spans="1:4" x14ac:dyDescent="0.25">
      <c r="A3306" s="2"/>
      <c r="B3306" s="3"/>
      <c r="C3306" s="3"/>
      <c r="D3306" s="3"/>
    </row>
    <row r="3307" spans="1:4" x14ac:dyDescent="0.25">
      <c r="A3307" s="2"/>
      <c r="B3307" s="3"/>
      <c r="C3307" s="3"/>
      <c r="D3307" s="3"/>
    </row>
    <row r="3308" spans="1:4" x14ac:dyDescent="0.25">
      <c r="A3308" s="2"/>
      <c r="B3308" s="3"/>
      <c r="C3308" s="3"/>
      <c r="D3308" s="3"/>
    </row>
    <row r="3309" spans="1:4" x14ac:dyDescent="0.25">
      <c r="A3309" s="2"/>
      <c r="B3309" s="3"/>
      <c r="C3309" s="3"/>
      <c r="D3309" s="3"/>
    </row>
    <row r="3310" spans="1:4" x14ac:dyDescent="0.25">
      <c r="A3310" s="2"/>
      <c r="B3310" s="3"/>
      <c r="C3310" s="3"/>
      <c r="D3310" s="3"/>
    </row>
    <row r="3311" spans="1:4" x14ac:dyDescent="0.25">
      <c r="A3311" s="2"/>
      <c r="B3311" s="3"/>
      <c r="C3311" s="3"/>
      <c r="D3311" s="3"/>
    </row>
    <row r="3312" spans="1:4" x14ac:dyDescent="0.25">
      <c r="A3312" s="2"/>
      <c r="B3312" s="3"/>
      <c r="C3312" s="3"/>
      <c r="D3312" s="3"/>
    </row>
    <row r="3313" spans="1:4" x14ac:dyDescent="0.25">
      <c r="A3313" s="2"/>
      <c r="B3313" s="3"/>
      <c r="C3313" s="3"/>
      <c r="D3313" s="3"/>
    </row>
    <row r="3314" spans="1:4" x14ac:dyDescent="0.25">
      <c r="A3314" s="2"/>
      <c r="B3314" s="3"/>
      <c r="C3314" s="3"/>
      <c r="D3314" s="3"/>
    </row>
    <row r="3315" spans="1:4" x14ac:dyDescent="0.25">
      <c r="A3315" s="2"/>
      <c r="B3315" s="3"/>
      <c r="C3315" s="3"/>
      <c r="D3315" s="3"/>
    </row>
    <row r="3316" spans="1:4" x14ac:dyDescent="0.25">
      <c r="A3316" s="2"/>
      <c r="B3316" s="3"/>
      <c r="C3316" s="3"/>
      <c r="D3316" s="3"/>
    </row>
    <row r="3317" spans="1:4" x14ac:dyDescent="0.25">
      <c r="A3317" s="2"/>
      <c r="B3317" s="3"/>
      <c r="C3317" s="3"/>
      <c r="D3317" s="3"/>
    </row>
    <row r="3318" spans="1:4" x14ac:dyDescent="0.25">
      <c r="A3318" s="2"/>
      <c r="B3318" s="3"/>
      <c r="C3318" s="3"/>
      <c r="D3318" s="3"/>
    </row>
    <row r="3319" spans="1:4" x14ac:dyDescent="0.25">
      <c r="A3319" s="2"/>
      <c r="B3319" s="3"/>
      <c r="C3319" s="3"/>
      <c r="D3319" s="3"/>
    </row>
    <row r="3320" spans="1:4" x14ac:dyDescent="0.25">
      <c r="A3320" s="2"/>
      <c r="B3320" s="3"/>
      <c r="C3320" s="3"/>
      <c r="D3320" s="3"/>
    </row>
    <row r="3321" spans="1:4" x14ac:dyDescent="0.25">
      <c r="A3321" s="2"/>
      <c r="B3321" s="3"/>
      <c r="C3321" s="3"/>
      <c r="D3321" s="3"/>
    </row>
    <row r="3322" spans="1:4" x14ac:dyDescent="0.25">
      <c r="A3322" s="2"/>
      <c r="B3322" s="3"/>
      <c r="C3322" s="3"/>
      <c r="D3322" s="3"/>
    </row>
    <row r="3323" spans="1:4" x14ac:dyDescent="0.25">
      <c r="A3323" s="2"/>
      <c r="B3323" s="3"/>
      <c r="C3323" s="3"/>
      <c r="D3323" s="3"/>
    </row>
    <row r="3324" spans="1:4" x14ac:dyDescent="0.25">
      <c r="A3324" s="2"/>
      <c r="B3324" s="3"/>
      <c r="C3324" s="3"/>
      <c r="D3324" s="3"/>
    </row>
    <row r="3325" spans="1:4" x14ac:dyDescent="0.25">
      <c r="A3325" s="2"/>
      <c r="B3325" s="3"/>
      <c r="C3325" s="3"/>
      <c r="D3325" s="3"/>
    </row>
    <row r="3326" spans="1:4" x14ac:dyDescent="0.25">
      <c r="A3326" s="2"/>
      <c r="B3326" s="3"/>
      <c r="C3326" s="3"/>
      <c r="D3326" s="3"/>
    </row>
    <row r="3327" spans="1:4" x14ac:dyDescent="0.25">
      <c r="A3327" s="2"/>
      <c r="B3327" s="3"/>
      <c r="C3327" s="3"/>
      <c r="D3327" s="3"/>
    </row>
    <row r="3328" spans="1:4" x14ac:dyDescent="0.25">
      <c r="A3328" s="2"/>
      <c r="B3328" s="3"/>
      <c r="C3328" s="3"/>
      <c r="D3328" s="3"/>
    </row>
    <row r="3329" spans="1:4" x14ac:dyDescent="0.25">
      <c r="A3329" s="2"/>
      <c r="B3329" s="3"/>
      <c r="C3329" s="3"/>
      <c r="D3329" s="3"/>
    </row>
    <row r="3330" spans="1:4" x14ac:dyDescent="0.25">
      <c r="A3330" s="2"/>
      <c r="B3330" s="3"/>
      <c r="C3330" s="3"/>
      <c r="D3330" s="3"/>
    </row>
    <row r="3331" spans="1:4" x14ac:dyDescent="0.25">
      <c r="A3331" s="2"/>
      <c r="B3331" s="3"/>
      <c r="C3331" s="3"/>
      <c r="D3331" s="3"/>
    </row>
    <row r="3332" spans="1:4" x14ac:dyDescent="0.25">
      <c r="A3332" s="2"/>
      <c r="B3332" s="3"/>
      <c r="C3332" s="3"/>
      <c r="D3332" s="3"/>
    </row>
    <row r="3333" spans="1:4" x14ac:dyDescent="0.25">
      <c r="A3333" s="2"/>
      <c r="B3333" s="3"/>
      <c r="C3333" s="3"/>
      <c r="D3333" s="3"/>
    </row>
    <row r="3334" spans="1:4" x14ac:dyDescent="0.25">
      <c r="A3334" s="2"/>
      <c r="B3334" s="3"/>
      <c r="C3334" s="3"/>
      <c r="D3334" s="3"/>
    </row>
    <row r="3335" spans="1:4" x14ac:dyDescent="0.25">
      <c r="A3335" s="2"/>
      <c r="B3335" s="3"/>
      <c r="C3335" s="3"/>
      <c r="D3335" s="3"/>
    </row>
    <row r="3336" spans="1:4" x14ac:dyDescent="0.25">
      <c r="A3336" s="2"/>
      <c r="B3336" s="3"/>
      <c r="C3336" s="3"/>
      <c r="D3336" s="3"/>
    </row>
    <row r="3337" spans="1:4" x14ac:dyDescent="0.25">
      <c r="A3337" s="2"/>
      <c r="B3337" s="3"/>
      <c r="C3337" s="3"/>
      <c r="D3337" s="3"/>
    </row>
    <row r="3338" spans="1:4" x14ac:dyDescent="0.25">
      <c r="A3338" s="2"/>
      <c r="B3338" s="3"/>
      <c r="C3338" s="3"/>
      <c r="D3338" s="3"/>
    </row>
    <row r="3339" spans="1:4" x14ac:dyDescent="0.25">
      <c r="A3339" s="2"/>
      <c r="B3339" s="3"/>
      <c r="C3339" s="3"/>
      <c r="D3339" s="3"/>
    </row>
    <row r="3340" spans="1:4" x14ac:dyDescent="0.25">
      <c r="A3340" s="2"/>
      <c r="B3340" s="3"/>
      <c r="C3340" s="3"/>
      <c r="D3340" s="3"/>
    </row>
    <row r="3341" spans="1:4" x14ac:dyDescent="0.25">
      <c r="A3341" s="2"/>
      <c r="B3341" s="3"/>
      <c r="C3341" s="3"/>
      <c r="D3341" s="3"/>
    </row>
    <row r="3342" spans="1:4" x14ac:dyDescent="0.25">
      <c r="A3342" s="2"/>
      <c r="B3342" s="3"/>
      <c r="C3342" s="3"/>
      <c r="D3342" s="3"/>
    </row>
    <row r="3343" spans="1:4" x14ac:dyDescent="0.25">
      <c r="A3343" s="2"/>
      <c r="B3343" s="3"/>
      <c r="C3343" s="3"/>
      <c r="D3343" s="3"/>
    </row>
    <row r="3344" spans="1:4" x14ac:dyDescent="0.25">
      <c r="A3344" s="2"/>
      <c r="B3344" s="3"/>
      <c r="C3344" s="3"/>
      <c r="D3344" s="3"/>
    </row>
    <row r="3345" spans="1:4" x14ac:dyDescent="0.25">
      <c r="A3345" s="2"/>
      <c r="B3345" s="3"/>
      <c r="C3345" s="3"/>
      <c r="D3345" s="3"/>
    </row>
    <row r="3346" spans="1:4" x14ac:dyDescent="0.25">
      <c r="A3346" s="2"/>
      <c r="B3346" s="3"/>
      <c r="C3346" s="3"/>
      <c r="D3346" s="3"/>
    </row>
    <row r="3347" spans="1:4" x14ac:dyDescent="0.25">
      <c r="A3347" s="2"/>
      <c r="B3347" s="3"/>
      <c r="C3347" s="3"/>
      <c r="D3347" s="3"/>
    </row>
    <row r="3348" spans="1:4" x14ac:dyDescent="0.25">
      <c r="A3348" s="2"/>
      <c r="B3348" s="3"/>
      <c r="C3348" s="3"/>
      <c r="D3348" s="3"/>
    </row>
    <row r="3349" spans="1:4" x14ac:dyDescent="0.25">
      <c r="A3349" s="2"/>
      <c r="B3349" s="3"/>
      <c r="C3349" s="3"/>
      <c r="D3349" s="3"/>
    </row>
    <row r="3350" spans="1:4" x14ac:dyDescent="0.25">
      <c r="A3350" s="2"/>
      <c r="B3350" s="3"/>
      <c r="C3350" s="3"/>
      <c r="D3350" s="3"/>
    </row>
    <row r="3351" spans="1:4" x14ac:dyDescent="0.25">
      <c r="A3351" s="2"/>
      <c r="B3351" s="3"/>
      <c r="C3351" s="3"/>
      <c r="D3351" s="3"/>
    </row>
    <row r="3352" spans="1:4" x14ac:dyDescent="0.25">
      <c r="A3352" s="2"/>
      <c r="B3352" s="3"/>
      <c r="C3352" s="3"/>
      <c r="D3352" s="3"/>
    </row>
    <row r="3353" spans="1:4" x14ac:dyDescent="0.25">
      <c r="A3353" s="2"/>
      <c r="B3353" s="3"/>
      <c r="C3353" s="3"/>
      <c r="D3353" s="3"/>
    </row>
    <row r="3354" spans="1:4" x14ac:dyDescent="0.25">
      <c r="A3354" s="2"/>
      <c r="B3354" s="3"/>
      <c r="C3354" s="3"/>
      <c r="D3354" s="3"/>
    </row>
    <row r="3355" spans="1:4" x14ac:dyDescent="0.25">
      <c r="A3355" s="2"/>
      <c r="B3355" s="3"/>
      <c r="C3355" s="3"/>
      <c r="D3355" s="3"/>
    </row>
    <row r="3356" spans="1:4" x14ac:dyDescent="0.25">
      <c r="A3356" s="2"/>
      <c r="B3356" s="3"/>
      <c r="C3356" s="3"/>
      <c r="D3356" s="3"/>
    </row>
    <row r="3357" spans="1:4" x14ac:dyDescent="0.25">
      <c r="A3357" s="2"/>
      <c r="B3357" s="3"/>
      <c r="C3357" s="3"/>
      <c r="D3357" s="3"/>
    </row>
    <row r="3358" spans="1:4" x14ac:dyDescent="0.25">
      <c r="A3358" s="2"/>
      <c r="B3358" s="3"/>
      <c r="C3358" s="3"/>
      <c r="D3358" s="3"/>
    </row>
    <row r="3359" spans="1:4" x14ac:dyDescent="0.25">
      <c r="A3359" s="2"/>
      <c r="B3359" s="3"/>
      <c r="C3359" s="3"/>
      <c r="D3359" s="3"/>
    </row>
    <row r="3360" spans="1:4" x14ac:dyDescent="0.25">
      <c r="A3360" s="2"/>
      <c r="B3360" s="3"/>
      <c r="C3360" s="3"/>
      <c r="D3360" s="3"/>
    </row>
    <row r="3361" spans="1:4" x14ac:dyDescent="0.25">
      <c r="A3361" s="2"/>
      <c r="B3361" s="3"/>
      <c r="C3361" s="3"/>
      <c r="D3361" s="3"/>
    </row>
    <row r="3362" spans="1:4" x14ac:dyDescent="0.25">
      <c r="A3362" s="2"/>
      <c r="B3362" s="3"/>
      <c r="C3362" s="3"/>
      <c r="D3362" s="3"/>
    </row>
    <row r="3363" spans="1:4" x14ac:dyDescent="0.25">
      <c r="A3363" s="2"/>
      <c r="B3363" s="3"/>
      <c r="C3363" s="3"/>
      <c r="D3363" s="3"/>
    </row>
    <row r="3364" spans="1:4" x14ac:dyDescent="0.25">
      <c r="A3364" s="2"/>
      <c r="B3364" s="3"/>
      <c r="C3364" s="3"/>
      <c r="D3364" s="3"/>
    </row>
    <row r="3365" spans="1:4" x14ac:dyDescent="0.25">
      <c r="A3365" s="2"/>
      <c r="B3365" s="3"/>
      <c r="C3365" s="3"/>
      <c r="D3365" s="3"/>
    </row>
    <row r="3366" spans="1:4" x14ac:dyDescent="0.25">
      <c r="A3366" s="2"/>
      <c r="B3366" s="3"/>
      <c r="C3366" s="3"/>
      <c r="D3366" s="3"/>
    </row>
    <row r="3367" spans="1:4" x14ac:dyDescent="0.25">
      <c r="A3367" s="2"/>
      <c r="B3367" s="3"/>
      <c r="C3367" s="3"/>
      <c r="D3367" s="3"/>
    </row>
    <row r="3368" spans="1:4" x14ac:dyDescent="0.25">
      <c r="A3368" s="2"/>
      <c r="B3368" s="3"/>
      <c r="C3368" s="3"/>
      <c r="D3368" s="3"/>
    </row>
    <row r="3369" spans="1:4" x14ac:dyDescent="0.25">
      <c r="A3369" s="2"/>
      <c r="B3369" s="3"/>
      <c r="C3369" s="3"/>
      <c r="D3369" s="3"/>
    </row>
    <row r="3370" spans="1:4" x14ac:dyDescent="0.25">
      <c r="A3370" s="2"/>
      <c r="B3370" s="3"/>
      <c r="C3370" s="3"/>
      <c r="D3370" s="3"/>
    </row>
    <row r="3371" spans="1:4" x14ac:dyDescent="0.25">
      <c r="A3371" s="2"/>
      <c r="B3371" s="3"/>
      <c r="C3371" s="3"/>
      <c r="D3371" s="3"/>
    </row>
    <row r="3372" spans="1:4" x14ac:dyDescent="0.25">
      <c r="A3372" s="2"/>
      <c r="B3372" s="3"/>
      <c r="C3372" s="3"/>
      <c r="D3372" s="3"/>
    </row>
    <row r="3373" spans="1:4" x14ac:dyDescent="0.25">
      <c r="A3373" s="2"/>
      <c r="B3373" s="3"/>
      <c r="C3373" s="3"/>
      <c r="D3373" s="3"/>
    </row>
    <row r="3374" spans="1:4" x14ac:dyDescent="0.25">
      <c r="A3374" s="2"/>
      <c r="B3374" s="3"/>
      <c r="C3374" s="3"/>
      <c r="D3374" s="3"/>
    </row>
    <row r="3375" spans="1:4" x14ac:dyDescent="0.25">
      <c r="A3375" s="2"/>
      <c r="B3375" s="3"/>
      <c r="C3375" s="3"/>
      <c r="D3375" s="3"/>
    </row>
    <row r="3376" spans="1:4" x14ac:dyDescent="0.25">
      <c r="A3376" s="2"/>
      <c r="B3376" s="3"/>
      <c r="C3376" s="3"/>
      <c r="D3376" s="3"/>
    </row>
    <row r="3377" spans="1:4" x14ac:dyDescent="0.25">
      <c r="A3377" s="2"/>
      <c r="B3377" s="3"/>
      <c r="C3377" s="3"/>
      <c r="D3377" s="3"/>
    </row>
    <row r="3378" spans="1:4" x14ac:dyDescent="0.25">
      <c r="A3378" s="2"/>
      <c r="B3378" s="3"/>
      <c r="C3378" s="3"/>
      <c r="D3378" s="3"/>
    </row>
    <row r="3379" spans="1:4" x14ac:dyDescent="0.25">
      <c r="A3379" s="2"/>
      <c r="B3379" s="3"/>
      <c r="C3379" s="3"/>
      <c r="D3379" s="3"/>
    </row>
    <row r="3380" spans="1:4" x14ac:dyDescent="0.25">
      <c r="A3380" s="2"/>
      <c r="B3380" s="3"/>
      <c r="C3380" s="3"/>
      <c r="D3380" s="3"/>
    </row>
    <row r="3381" spans="1:4" x14ac:dyDescent="0.25">
      <c r="A3381" s="2"/>
      <c r="B3381" s="3"/>
      <c r="C3381" s="3"/>
      <c r="D3381" s="3"/>
    </row>
    <row r="3382" spans="1:4" x14ac:dyDescent="0.25">
      <c r="A3382" s="2"/>
      <c r="B3382" s="3"/>
      <c r="C3382" s="3"/>
      <c r="D3382" s="3"/>
    </row>
    <row r="3383" spans="1:4" x14ac:dyDescent="0.25">
      <c r="A3383" s="2"/>
      <c r="B3383" s="3"/>
      <c r="C3383" s="3"/>
      <c r="D3383" s="3"/>
    </row>
    <row r="3384" spans="1:4" x14ac:dyDescent="0.25">
      <c r="A3384" s="2"/>
      <c r="B3384" s="3"/>
      <c r="C3384" s="3"/>
      <c r="D3384" s="3"/>
    </row>
    <row r="3385" spans="1:4" x14ac:dyDescent="0.25">
      <c r="A3385" s="2"/>
      <c r="B3385" s="3"/>
      <c r="C3385" s="3"/>
      <c r="D3385" s="3"/>
    </row>
    <row r="3386" spans="1:4" x14ac:dyDescent="0.25">
      <c r="A3386" s="2"/>
      <c r="B3386" s="3"/>
      <c r="C3386" s="3"/>
      <c r="D3386" s="3"/>
    </row>
    <row r="3387" spans="1:4" x14ac:dyDescent="0.25">
      <c r="A3387" s="2"/>
      <c r="B3387" s="3"/>
      <c r="C3387" s="3"/>
      <c r="D3387" s="3"/>
    </row>
    <row r="3388" spans="1:4" x14ac:dyDescent="0.25">
      <c r="A3388" s="2"/>
      <c r="B3388" s="3"/>
      <c r="C3388" s="3"/>
      <c r="D3388" s="3"/>
    </row>
    <row r="3389" spans="1:4" x14ac:dyDescent="0.25">
      <c r="A3389" s="2"/>
      <c r="B3389" s="3"/>
      <c r="C3389" s="3"/>
      <c r="D3389" s="3"/>
    </row>
    <row r="3390" spans="1:4" x14ac:dyDescent="0.25">
      <c r="A3390" s="2"/>
      <c r="B3390" s="3"/>
      <c r="C3390" s="3"/>
      <c r="D3390" s="3"/>
    </row>
    <row r="3391" spans="1:4" x14ac:dyDescent="0.25">
      <c r="A3391" s="2"/>
      <c r="B3391" s="3"/>
      <c r="C3391" s="3"/>
      <c r="D3391" s="3"/>
    </row>
    <row r="3392" spans="1:4" x14ac:dyDescent="0.25">
      <c r="A3392" s="2"/>
      <c r="B3392" s="3"/>
      <c r="C3392" s="3"/>
      <c r="D3392" s="3"/>
    </row>
    <row r="3393" spans="1:4" x14ac:dyDescent="0.25">
      <c r="A3393" s="2"/>
      <c r="B3393" s="3"/>
      <c r="C3393" s="3"/>
      <c r="D3393" s="3"/>
    </row>
    <row r="3394" spans="1:4" x14ac:dyDescent="0.25">
      <c r="A3394" s="2"/>
      <c r="B3394" s="3"/>
      <c r="C3394" s="3"/>
      <c r="D3394" s="3"/>
    </row>
    <row r="3395" spans="1:4" x14ac:dyDescent="0.25">
      <c r="A3395" s="2"/>
      <c r="B3395" s="3"/>
      <c r="C3395" s="3"/>
      <c r="D3395" s="3"/>
    </row>
    <row r="3396" spans="1:4" x14ac:dyDescent="0.25">
      <c r="A3396" s="2"/>
      <c r="B3396" s="3"/>
      <c r="C3396" s="3"/>
      <c r="D3396" s="3"/>
    </row>
    <row r="3397" spans="1:4" x14ac:dyDescent="0.25">
      <c r="A3397" s="2"/>
      <c r="B3397" s="3"/>
      <c r="C3397" s="3"/>
      <c r="D3397" s="3"/>
    </row>
    <row r="3398" spans="1:4" x14ac:dyDescent="0.25">
      <c r="A3398" s="2"/>
      <c r="B3398" s="3"/>
      <c r="C3398" s="3"/>
      <c r="D3398" s="3"/>
    </row>
    <row r="3399" spans="1:4" x14ac:dyDescent="0.25">
      <c r="A3399" s="2"/>
      <c r="B3399" s="3"/>
      <c r="C3399" s="3"/>
      <c r="D3399" s="3"/>
    </row>
    <row r="3400" spans="1:4" x14ac:dyDescent="0.25">
      <c r="A3400" s="2"/>
      <c r="B3400" s="3"/>
      <c r="C3400" s="3"/>
      <c r="D3400" s="3"/>
    </row>
    <row r="3401" spans="1:4" x14ac:dyDescent="0.25">
      <c r="A3401" s="2"/>
      <c r="B3401" s="3"/>
      <c r="C3401" s="3"/>
      <c r="D3401" s="3"/>
    </row>
    <row r="3402" spans="1:4" x14ac:dyDescent="0.25">
      <c r="A3402" s="2"/>
      <c r="B3402" s="3"/>
      <c r="C3402" s="3"/>
      <c r="D3402" s="3"/>
    </row>
    <row r="3403" spans="1:4" x14ac:dyDescent="0.25">
      <c r="A3403" s="2"/>
      <c r="B3403" s="3"/>
      <c r="C3403" s="3"/>
      <c r="D3403" s="3"/>
    </row>
    <row r="3404" spans="1:4" x14ac:dyDescent="0.25">
      <c r="A3404" s="2"/>
      <c r="B3404" s="3"/>
      <c r="C3404" s="3"/>
      <c r="D3404" s="3"/>
    </row>
    <row r="3405" spans="1:4" x14ac:dyDescent="0.25">
      <c r="A3405" s="2"/>
      <c r="B3405" s="3"/>
      <c r="C3405" s="3"/>
      <c r="D3405" s="3"/>
    </row>
    <row r="3406" spans="1:4" x14ac:dyDescent="0.25">
      <c r="A3406" s="2"/>
      <c r="B3406" s="3"/>
      <c r="C3406" s="3"/>
      <c r="D3406" s="3"/>
    </row>
    <row r="3407" spans="1:4" x14ac:dyDescent="0.25">
      <c r="A3407" s="2"/>
      <c r="B3407" s="3"/>
      <c r="C3407" s="3"/>
      <c r="D3407" s="3"/>
    </row>
    <row r="3408" spans="1:4" x14ac:dyDescent="0.25">
      <c r="A3408" s="2"/>
      <c r="B3408" s="3"/>
      <c r="C3408" s="3"/>
      <c r="D3408" s="3"/>
    </row>
    <row r="3409" spans="1:4" x14ac:dyDescent="0.25">
      <c r="A3409" s="2"/>
      <c r="B3409" s="3"/>
      <c r="C3409" s="3"/>
      <c r="D3409" s="3"/>
    </row>
    <row r="3410" spans="1:4" x14ac:dyDescent="0.25">
      <c r="A3410" s="2"/>
      <c r="B3410" s="3"/>
      <c r="C3410" s="3"/>
      <c r="D3410" s="3"/>
    </row>
    <row r="3411" spans="1:4" x14ac:dyDescent="0.25">
      <c r="A3411" s="2"/>
      <c r="B3411" s="3"/>
      <c r="C3411" s="3"/>
      <c r="D3411" s="3"/>
    </row>
    <row r="3412" spans="1:4" x14ac:dyDescent="0.25">
      <c r="A3412" s="2"/>
      <c r="B3412" s="3"/>
      <c r="C3412" s="3"/>
      <c r="D3412" s="3"/>
    </row>
    <row r="3413" spans="1:4" x14ac:dyDescent="0.25">
      <c r="A3413" s="2"/>
      <c r="B3413" s="3"/>
      <c r="C3413" s="3"/>
      <c r="D3413" s="3"/>
    </row>
    <row r="3414" spans="1:4" x14ac:dyDescent="0.25">
      <c r="A3414" s="2"/>
      <c r="B3414" s="3"/>
      <c r="C3414" s="3"/>
      <c r="D3414" s="3"/>
    </row>
    <row r="3415" spans="1:4" x14ac:dyDescent="0.25">
      <c r="A3415" s="2"/>
      <c r="B3415" s="3"/>
      <c r="C3415" s="3"/>
      <c r="D3415" s="3"/>
    </row>
    <row r="3416" spans="1:4" x14ac:dyDescent="0.25">
      <c r="A3416" s="2"/>
      <c r="B3416" s="3"/>
      <c r="C3416" s="3"/>
      <c r="D3416" s="3"/>
    </row>
    <row r="3417" spans="1:4" x14ac:dyDescent="0.25">
      <c r="A3417" s="2"/>
      <c r="B3417" s="3"/>
      <c r="C3417" s="3"/>
      <c r="D3417" s="3"/>
    </row>
    <row r="3418" spans="1:4" x14ac:dyDescent="0.25">
      <c r="A3418" s="2"/>
      <c r="B3418" s="3"/>
      <c r="C3418" s="3"/>
      <c r="D3418" s="3"/>
    </row>
    <row r="3419" spans="1:4" x14ac:dyDescent="0.25">
      <c r="A3419" s="2"/>
      <c r="B3419" s="3"/>
      <c r="C3419" s="3"/>
      <c r="D3419" s="3"/>
    </row>
    <row r="3420" spans="1:4" x14ac:dyDescent="0.25">
      <c r="A3420" s="2"/>
      <c r="B3420" s="3"/>
      <c r="C3420" s="3"/>
      <c r="D3420" s="3"/>
    </row>
    <row r="3421" spans="1:4" x14ac:dyDescent="0.25">
      <c r="A3421" s="2"/>
      <c r="B3421" s="3"/>
      <c r="C3421" s="3"/>
      <c r="D3421" s="3"/>
    </row>
    <row r="3422" spans="1:4" x14ac:dyDescent="0.25">
      <c r="A3422" s="2"/>
      <c r="B3422" s="3"/>
      <c r="C3422" s="3"/>
      <c r="D3422" s="3"/>
    </row>
    <row r="3423" spans="1:4" x14ac:dyDescent="0.25">
      <c r="A3423" s="2"/>
      <c r="B3423" s="3"/>
      <c r="C3423" s="3"/>
      <c r="D3423" s="3"/>
    </row>
    <row r="3424" spans="1:4" x14ac:dyDescent="0.25">
      <c r="A3424" s="2"/>
      <c r="B3424" s="3"/>
      <c r="C3424" s="3"/>
      <c r="D3424" s="3"/>
    </row>
    <row r="3425" spans="1:4" x14ac:dyDescent="0.25">
      <c r="A3425" s="2"/>
      <c r="B3425" s="3"/>
      <c r="C3425" s="3"/>
      <c r="D3425" s="3"/>
    </row>
    <row r="3426" spans="1:4" x14ac:dyDescent="0.25">
      <c r="A3426" s="2"/>
      <c r="B3426" s="3"/>
      <c r="C3426" s="3"/>
      <c r="D3426" s="3"/>
    </row>
    <row r="3427" spans="1:4" x14ac:dyDescent="0.25">
      <c r="A3427" s="2"/>
      <c r="B3427" s="3"/>
      <c r="C3427" s="3"/>
      <c r="D3427" s="3"/>
    </row>
    <row r="3428" spans="1:4" x14ac:dyDescent="0.25">
      <c r="A3428" s="2"/>
      <c r="B3428" s="3"/>
      <c r="C3428" s="3"/>
      <c r="D3428" s="3"/>
    </row>
    <row r="3429" spans="1:4" x14ac:dyDescent="0.25">
      <c r="A3429" s="2"/>
      <c r="B3429" s="3"/>
      <c r="C3429" s="3"/>
      <c r="D3429" s="3"/>
    </row>
    <row r="3430" spans="1:4" x14ac:dyDescent="0.25">
      <c r="A3430" s="2"/>
      <c r="B3430" s="3"/>
      <c r="C3430" s="3"/>
      <c r="D3430" s="3"/>
    </row>
    <row r="3431" spans="1:4" x14ac:dyDescent="0.25">
      <c r="A3431" s="2"/>
      <c r="B3431" s="3"/>
      <c r="C3431" s="3"/>
      <c r="D3431" s="3"/>
    </row>
    <row r="3432" spans="1:4" x14ac:dyDescent="0.25">
      <c r="A3432" s="2"/>
      <c r="B3432" s="3"/>
      <c r="C3432" s="3"/>
      <c r="D3432" s="3"/>
    </row>
    <row r="3433" spans="1:4" x14ac:dyDescent="0.25">
      <c r="A3433" s="2"/>
      <c r="B3433" s="3"/>
      <c r="C3433" s="3"/>
      <c r="D3433" s="3"/>
    </row>
    <row r="3434" spans="1:4" x14ac:dyDescent="0.25">
      <c r="A3434" s="2"/>
      <c r="B3434" s="3"/>
      <c r="C3434" s="3"/>
      <c r="D3434" s="3"/>
    </row>
    <row r="3435" spans="1:4" x14ac:dyDescent="0.25">
      <c r="A3435" s="2"/>
      <c r="B3435" s="3"/>
      <c r="C3435" s="3"/>
      <c r="D3435" s="3"/>
    </row>
    <row r="3436" spans="1:4" x14ac:dyDescent="0.25">
      <c r="A3436" s="2"/>
      <c r="B3436" s="3"/>
      <c r="C3436" s="3"/>
      <c r="D3436" s="3"/>
    </row>
    <row r="3437" spans="1:4" x14ac:dyDescent="0.25">
      <c r="A3437" s="2"/>
      <c r="B3437" s="3"/>
      <c r="C3437" s="3"/>
      <c r="D3437" s="3"/>
    </row>
    <row r="3438" spans="1:4" x14ac:dyDescent="0.25">
      <c r="A3438" s="2"/>
      <c r="B3438" s="3"/>
      <c r="C3438" s="3"/>
      <c r="D3438" s="3"/>
    </row>
    <row r="3439" spans="1:4" x14ac:dyDescent="0.25">
      <c r="A3439" s="2"/>
      <c r="B3439" s="3"/>
      <c r="C3439" s="3"/>
      <c r="D3439" s="3"/>
    </row>
    <row r="3440" spans="1:4" x14ac:dyDescent="0.25">
      <c r="A3440" s="2"/>
      <c r="B3440" s="3"/>
      <c r="C3440" s="3"/>
      <c r="D3440" s="3"/>
    </row>
    <row r="3441" spans="1:4" x14ac:dyDescent="0.25">
      <c r="A3441" s="2"/>
      <c r="B3441" s="3"/>
      <c r="C3441" s="3"/>
      <c r="D3441" s="3"/>
    </row>
    <row r="3442" spans="1:4" x14ac:dyDescent="0.25">
      <c r="A3442" s="2"/>
      <c r="B3442" s="3"/>
      <c r="C3442" s="3"/>
      <c r="D3442" s="3"/>
    </row>
    <row r="3443" spans="1:4" x14ac:dyDescent="0.25">
      <c r="A3443" s="2"/>
      <c r="B3443" s="3"/>
      <c r="C3443" s="3"/>
      <c r="D3443" s="3"/>
    </row>
    <row r="3444" spans="1:4" x14ac:dyDescent="0.25">
      <c r="A3444" s="2"/>
      <c r="B3444" s="3"/>
      <c r="C3444" s="3"/>
      <c r="D3444" s="3"/>
    </row>
    <row r="3445" spans="1:4" x14ac:dyDescent="0.25">
      <c r="A3445" s="2"/>
      <c r="B3445" s="3"/>
      <c r="C3445" s="3"/>
      <c r="D3445" s="3"/>
    </row>
    <row r="3446" spans="1:4" x14ac:dyDescent="0.25">
      <c r="A3446" s="2"/>
      <c r="B3446" s="3"/>
      <c r="C3446" s="3"/>
      <c r="D3446" s="3"/>
    </row>
    <row r="3447" spans="1:4" x14ac:dyDescent="0.25">
      <c r="A3447" s="2"/>
      <c r="B3447" s="3"/>
      <c r="C3447" s="3"/>
      <c r="D3447" s="3"/>
    </row>
    <row r="3448" spans="1:4" x14ac:dyDescent="0.25">
      <c r="A3448" s="2"/>
      <c r="B3448" s="3"/>
      <c r="C3448" s="3"/>
      <c r="D3448" s="3"/>
    </row>
    <row r="3449" spans="1:4" x14ac:dyDescent="0.25">
      <c r="A3449" s="2"/>
      <c r="B3449" s="3"/>
      <c r="C3449" s="3"/>
      <c r="D3449" s="3"/>
    </row>
    <row r="3450" spans="1:4" x14ac:dyDescent="0.25">
      <c r="A3450" s="2"/>
      <c r="B3450" s="3"/>
      <c r="C3450" s="3"/>
      <c r="D3450" s="3"/>
    </row>
    <row r="3451" spans="1:4" x14ac:dyDescent="0.25">
      <c r="A3451" s="2"/>
      <c r="B3451" s="3"/>
      <c r="C3451" s="3"/>
      <c r="D3451" s="3"/>
    </row>
    <row r="3452" spans="1:4" x14ac:dyDescent="0.25">
      <c r="A3452" s="2"/>
      <c r="B3452" s="3"/>
      <c r="C3452" s="3"/>
      <c r="D3452" s="3"/>
    </row>
    <row r="3453" spans="1:4" x14ac:dyDescent="0.25">
      <c r="A3453" s="2"/>
      <c r="B3453" s="3"/>
      <c r="C3453" s="3"/>
      <c r="D3453" s="3"/>
    </row>
    <row r="3454" spans="1:4" x14ac:dyDescent="0.25">
      <c r="A3454" s="2"/>
      <c r="B3454" s="3"/>
      <c r="C3454" s="3"/>
      <c r="D3454" s="3"/>
    </row>
    <row r="3455" spans="1:4" x14ac:dyDescent="0.25">
      <c r="A3455" s="2"/>
      <c r="B3455" s="3"/>
      <c r="C3455" s="3"/>
      <c r="D3455" s="3"/>
    </row>
    <row r="3456" spans="1:4" x14ac:dyDescent="0.25">
      <c r="A3456" s="2"/>
      <c r="B3456" s="3"/>
      <c r="C3456" s="3"/>
      <c r="D3456" s="3"/>
    </row>
    <row r="3457" spans="1:4" x14ac:dyDescent="0.25">
      <c r="A3457" s="2"/>
      <c r="B3457" s="3"/>
      <c r="C3457" s="3"/>
      <c r="D3457" s="3"/>
    </row>
    <row r="3458" spans="1:4" x14ac:dyDescent="0.25">
      <c r="A3458" s="2"/>
      <c r="B3458" s="3"/>
      <c r="C3458" s="3"/>
      <c r="D3458" s="3"/>
    </row>
    <row r="3459" spans="1:4" x14ac:dyDescent="0.25">
      <c r="A3459" s="2"/>
      <c r="B3459" s="3"/>
      <c r="C3459" s="3"/>
      <c r="D3459" s="3"/>
    </row>
    <row r="3460" spans="1:4" x14ac:dyDescent="0.25">
      <c r="A3460" s="2"/>
      <c r="B3460" s="3"/>
      <c r="C3460" s="3"/>
      <c r="D3460" s="3"/>
    </row>
    <row r="3461" spans="1:4" x14ac:dyDescent="0.25">
      <c r="A3461" s="2"/>
      <c r="B3461" s="3"/>
      <c r="C3461" s="3"/>
      <c r="D3461" s="3"/>
    </row>
    <row r="3462" spans="1:4" x14ac:dyDescent="0.25">
      <c r="A3462" s="2"/>
      <c r="B3462" s="3"/>
      <c r="C3462" s="3"/>
      <c r="D3462" s="3"/>
    </row>
    <row r="3463" spans="1:4" x14ac:dyDescent="0.25">
      <c r="A3463" s="2"/>
      <c r="B3463" s="3"/>
      <c r="C3463" s="3"/>
      <c r="D3463" s="3"/>
    </row>
    <row r="3464" spans="1:4" x14ac:dyDescent="0.25">
      <c r="A3464" s="2"/>
      <c r="B3464" s="3"/>
      <c r="C3464" s="3"/>
      <c r="D3464" s="3"/>
    </row>
    <row r="3465" spans="1:4" x14ac:dyDescent="0.25">
      <c r="A3465" s="2"/>
      <c r="B3465" s="3"/>
      <c r="C3465" s="3"/>
      <c r="D3465" s="3"/>
    </row>
    <row r="3466" spans="1:4" x14ac:dyDescent="0.25">
      <c r="A3466" s="2"/>
      <c r="B3466" s="3"/>
      <c r="C3466" s="3"/>
      <c r="D3466" s="3"/>
    </row>
    <row r="3467" spans="1:4" x14ac:dyDescent="0.25">
      <c r="A3467" s="2"/>
      <c r="B3467" s="3"/>
      <c r="C3467" s="3"/>
      <c r="D3467" s="3"/>
    </row>
    <row r="3468" spans="1:4" x14ac:dyDescent="0.25">
      <c r="A3468" s="2"/>
      <c r="B3468" s="3"/>
      <c r="C3468" s="3"/>
      <c r="D3468" s="3"/>
    </row>
    <row r="3469" spans="1:4" x14ac:dyDescent="0.25">
      <c r="A3469" s="2"/>
      <c r="B3469" s="3"/>
      <c r="C3469" s="3"/>
      <c r="D3469" s="3"/>
    </row>
    <row r="3470" spans="1:4" x14ac:dyDescent="0.25">
      <c r="A3470" s="2"/>
      <c r="B3470" s="3"/>
      <c r="C3470" s="3"/>
      <c r="D3470" s="3"/>
    </row>
    <row r="3471" spans="1:4" x14ac:dyDescent="0.25">
      <c r="A3471" s="2"/>
      <c r="B3471" s="3"/>
      <c r="C3471" s="3"/>
      <c r="D3471" s="3"/>
    </row>
    <row r="3472" spans="1:4" x14ac:dyDescent="0.25">
      <c r="A3472" s="2"/>
      <c r="B3472" s="3"/>
      <c r="C3472" s="3"/>
      <c r="D3472" s="3"/>
    </row>
    <row r="3473" spans="1:4" x14ac:dyDescent="0.25">
      <c r="A3473" s="2"/>
      <c r="B3473" s="3"/>
      <c r="C3473" s="3"/>
      <c r="D3473" s="3"/>
    </row>
    <row r="3474" spans="1:4" x14ac:dyDescent="0.25">
      <c r="A3474" s="2"/>
      <c r="B3474" s="3"/>
      <c r="C3474" s="3"/>
      <c r="D3474" s="3"/>
    </row>
    <row r="3475" spans="1:4" x14ac:dyDescent="0.25">
      <c r="A3475" s="2"/>
      <c r="B3475" s="3"/>
      <c r="C3475" s="3"/>
      <c r="D3475" s="3"/>
    </row>
    <row r="3476" spans="1:4" x14ac:dyDescent="0.25">
      <c r="A3476" s="2"/>
      <c r="B3476" s="3"/>
      <c r="C3476" s="3"/>
      <c r="D3476" s="3"/>
    </row>
    <row r="3477" spans="1:4" x14ac:dyDescent="0.25">
      <c r="A3477" s="2"/>
      <c r="B3477" s="3"/>
      <c r="C3477" s="3"/>
      <c r="D3477" s="3"/>
    </row>
    <row r="3478" spans="1:4" x14ac:dyDescent="0.25">
      <c r="A3478" s="2"/>
      <c r="B3478" s="3"/>
      <c r="C3478" s="3"/>
      <c r="D3478" s="3"/>
    </row>
    <row r="3479" spans="1:4" x14ac:dyDescent="0.25">
      <c r="A3479" s="2"/>
      <c r="B3479" s="3"/>
      <c r="C3479" s="3"/>
      <c r="D3479" s="3"/>
    </row>
    <row r="3480" spans="1:4" x14ac:dyDescent="0.25">
      <c r="A3480" s="2"/>
      <c r="B3480" s="3"/>
      <c r="C3480" s="3"/>
      <c r="D3480" s="3"/>
    </row>
    <row r="3481" spans="1:4" x14ac:dyDescent="0.25">
      <c r="A3481" s="2"/>
      <c r="B3481" s="3"/>
      <c r="C3481" s="3"/>
      <c r="D3481" s="3"/>
    </row>
    <row r="3482" spans="1:4" x14ac:dyDescent="0.25">
      <c r="A3482" s="2"/>
      <c r="B3482" s="3"/>
      <c r="C3482" s="3"/>
      <c r="D3482" s="3"/>
    </row>
    <row r="3483" spans="1:4" x14ac:dyDescent="0.25">
      <c r="A3483" s="2"/>
      <c r="B3483" s="3"/>
      <c r="C3483" s="3"/>
      <c r="D3483" s="3"/>
    </row>
    <row r="3484" spans="1:4" x14ac:dyDescent="0.25">
      <c r="A3484" s="2"/>
      <c r="B3484" s="3"/>
      <c r="C3484" s="3"/>
      <c r="D3484" s="3"/>
    </row>
    <row r="3485" spans="1:4" x14ac:dyDescent="0.25">
      <c r="A3485" s="2"/>
      <c r="B3485" s="3"/>
      <c r="C3485" s="3"/>
      <c r="D3485" s="3"/>
    </row>
    <row r="3486" spans="1:4" x14ac:dyDescent="0.25">
      <c r="A3486" s="2"/>
      <c r="B3486" s="3"/>
      <c r="C3486" s="3"/>
      <c r="D3486" s="3"/>
    </row>
    <row r="3487" spans="1:4" x14ac:dyDescent="0.25">
      <c r="A3487" s="2"/>
      <c r="B3487" s="3"/>
      <c r="C3487" s="3"/>
      <c r="D3487" s="3"/>
    </row>
    <row r="3488" spans="1:4" x14ac:dyDescent="0.25">
      <c r="A3488" s="2"/>
      <c r="B3488" s="3"/>
      <c r="C3488" s="3"/>
      <c r="D3488" s="3"/>
    </row>
    <row r="3489" spans="1:4" x14ac:dyDescent="0.25">
      <c r="A3489" s="2"/>
      <c r="B3489" s="3"/>
      <c r="C3489" s="3"/>
      <c r="D3489" s="3"/>
    </row>
    <row r="3490" spans="1:4" x14ac:dyDescent="0.25">
      <c r="A3490" s="2"/>
      <c r="B3490" s="3"/>
      <c r="C3490" s="3"/>
      <c r="D3490" s="3"/>
    </row>
    <row r="3491" spans="1:4" x14ac:dyDescent="0.25">
      <c r="A3491" s="2"/>
      <c r="B3491" s="3"/>
      <c r="C3491" s="3"/>
      <c r="D3491" s="3"/>
    </row>
    <row r="3492" spans="1:4" x14ac:dyDescent="0.25">
      <c r="A3492" s="2"/>
      <c r="B3492" s="3"/>
      <c r="C3492" s="3"/>
      <c r="D3492" s="3"/>
    </row>
    <row r="3493" spans="1:4" x14ac:dyDescent="0.25">
      <c r="A3493" s="2"/>
      <c r="B3493" s="3"/>
      <c r="C3493" s="3"/>
      <c r="D3493" s="3"/>
    </row>
    <row r="3494" spans="1:4" x14ac:dyDescent="0.25">
      <c r="A3494" s="2"/>
      <c r="B3494" s="3"/>
      <c r="C3494" s="3"/>
      <c r="D3494" s="3"/>
    </row>
    <row r="3495" spans="1:4" x14ac:dyDescent="0.25">
      <c r="A3495" s="2"/>
      <c r="B3495" s="3"/>
      <c r="C3495" s="3"/>
      <c r="D3495" s="3"/>
    </row>
    <row r="3496" spans="1:4" x14ac:dyDescent="0.25">
      <c r="A3496" s="2"/>
      <c r="B3496" s="3"/>
      <c r="C3496" s="3"/>
      <c r="D3496" s="3"/>
    </row>
    <row r="3497" spans="1:4" x14ac:dyDescent="0.25">
      <c r="A3497" s="2"/>
      <c r="B3497" s="3"/>
      <c r="C3497" s="3"/>
      <c r="D3497" s="3"/>
    </row>
    <row r="3498" spans="1:4" x14ac:dyDescent="0.25">
      <c r="A3498" s="2"/>
      <c r="B3498" s="3"/>
      <c r="C3498" s="3"/>
      <c r="D3498" s="3"/>
    </row>
    <row r="3499" spans="1:4" x14ac:dyDescent="0.25">
      <c r="A3499" s="2"/>
      <c r="B3499" s="3"/>
      <c r="C3499" s="3"/>
      <c r="D3499" s="3"/>
    </row>
    <row r="3500" spans="1:4" x14ac:dyDescent="0.25">
      <c r="A3500" s="2"/>
      <c r="B3500" s="3"/>
      <c r="C3500" s="3"/>
      <c r="D3500" s="3"/>
    </row>
    <row r="3501" spans="1:4" x14ac:dyDescent="0.25">
      <c r="A3501" s="2"/>
      <c r="B3501" s="3"/>
      <c r="C3501" s="3"/>
      <c r="D3501" s="3"/>
    </row>
    <row r="3502" spans="1:4" x14ac:dyDescent="0.25">
      <c r="A3502" s="2"/>
      <c r="B3502" s="3"/>
      <c r="C3502" s="3"/>
      <c r="D3502" s="3"/>
    </row>
    <row r="3503" spans="1:4" x14ac:dyDescent="0.25">
      <c r="A3503" s="2"/>
      <c r="B3503" s="3"/>
      <c r="C3503" s="3"/>
      <c r="D3503" s="3"/>
    </row>
    <row r="3504" spans="1:4" x14ac:dyDescent="0.25">
      <c r="A3504" s="2"/>
      <c r="B3504" s="3"/>
      <c r="C3504" s="3"/>
      <c r="D3504" s="3"/>
    </row>
    <row r="3505" spans="1:4" x14ac:dyDescent="0.25">
      <c r="A3505" s="2"/>
      <c r="B3505" s="3"/>
      <c r="C3505" s="3"/>
      <c r="D3505" s="3"/>
    </row>
    <row r="3506" spans="1:4" x14ac:dyDescent="0.25">
      <c r="A3506" s="2"/>
      <c r="B3506" s="3"/>
      <c r="C3506" s="3"/>
      <c r="D3506" s="3"/>
    </row>
    <row r="3507" spans="1:4" x14ac:dyDescent="0.25">
      <c r="A3507" s="2"/>
      <c r="B3507" s="3"/>
      <c r="C3507" s="3"/>
      <c r="D3507" s="3"/>
    </row>
    <row r="3508" spans="1:4" x14ac:dyDescent="0.25">
      <c r="A3508" s="2"/>
      <c r="B3508" s="3"/>
      <c r="C3508" s="3"/>
      <c r="D3508" s="3"/>
    </row>
    <row r="3509" spans="1:4" x14ac:dyDescent="0.25">
      <c r="A3509" s="2"/>
      <c r="B3509" s="3"/>
      <c r="C3509" s="3"/>
      <c r="D3509" s="3"/>
    </row>
    <row r="3510" spans="1:4" x14ac:dyDescent="0.25">
      <c r="A3510" s="2"/>
      <c r="B3510" s="3"/>
      <c r="C3510" s="3"/>
      <c r="D3510" s="3"/>
    </row>
    <row r="3511" spans="1:4" x14ac:dyDescent="0.25">
      <c r="A3511" s="2"/>
      <c r="B3511" s="3"/>
      <c r="C3511" s="3"/>
      <c r="D3511" s="3"/>
    </row>
    <row r="3512" spans="1:4" x14ac:dyDescent="0.25">
      <c r="A3512" s="2"/>
      <c r="B3512" s="3"/>
      <c r="C3512" s="3"/>
      <c r="D3512" s="3"/>
    </row>
    <row r="3513" spans="1:4" x14ac:dyDescent="0.25">
      <c r="A3513" s="2"/>
      <c r="B3513" s="3"/>
      <c r="C3513" s="3"/>
      <c r="D3513" s="3"/>
    </row>
    <row r="3514" spans="1:4" x14ac:dyDescent="0.25">
      <c r="A3514" s="2"/>
      <c r="B3514" s="3"/>
      <c r="C3514" s="3"/>
      <c r="D3514" s="3"/>
    </row>
    <row r="3515" spans="1:4" x14ac:dyDescent="0.25">
      <c r="A3515" s="2"/>
      <c r="B3515" s="3"/>
      <c r="C3515" s="3"/>
      <c r="D3515" s="3"/>
    </row>
    <row r="3516" spans="1:4" x14ac:dyDescent="0.25">
      <c r="A3516" s="2"/>
      <c r="B3516" s="3"/>
      <c r="C3516" s="3"/>
      <c r="D3516" s="3"/>
    </row>
    <row r="3517" spans="1:4" x14ac:dyDescent="0.25">
      <c r="A3517" s="2"/>
      <c r="B3517" s="3"/>
      <c r="C3517" s="3"/>
      <c r="D3517" s="3"/>
    </row>
    <row r="3518" spans="1:4" x14ac:dyDescent="0.25">
      <c r="A3518" s="2"/>
      <c r="B3518" s="3"/>
      <c r="C3518" s="3"/>
      <c r="D3518" s="3"/>
    </row>
    <row r="3519" spans="1:4" x14ac:dyDescent="0.25">
      <c r="A3519" s="2"/>
      <c r="B3519" s="3"/>
      <c r="C3519" s="3"/>
      <c r="D3519" s="3"/>
    </row>
    <row r="3520" spans="1:4" x14ac:dyDescent="0.25">
      <c r="A3520" s="2"/>
      <c r="B3520" s="3"/>
      <c r="C3520" s="3"/>
      <c r="D3520" s="3"/>
    </row>
    <row r="3521" spans="1:4" x14ac:dyDescent="0.25">
      <c r="A3521" s="2"/>
      <c r="B3521" s="3"/>
      <c r="C3521" s="3"/>
      <c r="D3521" s="3"/>
    </row>
    <row r="3522" spans="1:4" x14ac:dyDescent="0.25">
      <c r="A3522" s="2"/>
      <c r="B3522" s="3"/>
      <c r="C3522" s="3"/>
      <c r="D3522" s="3"/>
    </row>
    <row r="3523" spans="1:4" x14ac:dyDescent="0.25">
      <c r="A3523" s="2"/>
      <c r="B3523" s="3"/>
      <c r="C3523" s="3"/>
      <c r="D3523" s="3"/>
    </row>
    <row r="3524" spans="1:4" x14ac:dyDescent="0.25">
      <c r="A3524" s="2"/>
      <c r="B3524" s="3"/>
      <c r="C3524" s="3"/>
      <c r="D3524" s="3"/>
    </row>
    <row r="3525" spans="1:4" x14ac:dyDescent="0.25">
      <c r="A3525" s="2"/>
      <c r="B3525" s="3"/>
      <c r="C3525" s="3"/>
      <c r="D3525" s="3"/>
    </row>
    <row r="3526" spans="1:4" x14ac:dyDescent="0.25">
      <c r="A3526" s="2"/>
      <c r="B3526" s="3"/>
      <c r="C3526" s="3"/>
      <c r="D3526" s="3"/>
    </row>
    <row r="3527" spans="1:4" x14ac:dyDescent="0.25">
      <c r="A3527" s="2"/>
      <c r="B3527" s="3"/>
      <c r="C3527" s="3"/>
      <c r="D3527" s="3"/>
    </row>
    <row r="3528" spans="1:4" x14ac:dyDescent="0.25">
      <c r="A3528" s="2"/>
      <c r="B3528" s="3"/>
      <c r="C3528" s="3"/>
      <c r="D3528" s="3"/>
    </row>
    <row r="3529" spans="1:4" x14ac:dyDescent="0.25">
      <c r="A3529" s="2"/>
      <c r="B3529" s="3"/>
      <c r="C3529" s="3"/>
      <c r="D3529" s="3"/>
    </row>
    <row r="3530" spans="1:4" x14ac:dyDescent="0.25">
      <c r="A3530" s="2"/>
      <c r="B3530" s="3"/>
      <c r="C3530" s="3"/>
      <c r="D3530" s="3"/>
    </row>
    <row r="3531" spans="1:4" x14ac:dyDescent="0.25">
      <c r="A3531" s="2"/>
      <c r="B3531" s="3"/>
      <c r="C3531" s="3"/>
      <c r="D3531" s="3"/>
    </row>
    <row r="3532" spans="1:4" x14ac:dyDescent="0.25">
      <c r="A3532" s="2"/>
      <c r="B3532" s="3"/>
      <c r="C3532" s="3"/>
      <c r="D3532" s="3"/>
    </row>
    <row r="3533" spans="1:4" x14ac:dyDescent="0.25">
      <c r="A3533" s="2"/>
      <c r="B3533" s="3"/>
      <c r="C3533" s="3"/>
      <c r="D3533" s="3"/>
    </row>
    <row r="3534" spans="1:4" x14ac:dyDescent="0.25">
      <c r="A3534" s="2"/>
      <c r="B3534" s="3"/>
      <c r="C3534" s="3"/>
      <c r="D3534" s="3"/>
    </row>
    <row r="3535" spans="1:4" x14ac:dyDescent="0.25">
      <c r="A3535" s="2"/>
      <c r="B3535" s="3"/>
      <c r="C3535" s="3"/>
      <c r="D3535" s="3"/>
    </row>
    <row r="3536" spans="1:4" x14ac:dyDescent="0.25">
      <c r="A3536" s="2"/>
      <c r="B3536" s="3"/>
      <c r="C3536" s="3"/>
      <c r="D3536" s="3"/>
    </row>
    <row r="3537" spans="1:4" x14ac:dyDescent="0.25">
      <c r="A3537" s="2"/>
      <c r="B3537" s="3"/>
      <c r="C3537" s="3"/>
      <c r="D3537" s="3"/>
    </row>
    <row r="3538" spans="1:4" x14ac:dyDescent="0.25">
      <c r="A3538" s="2"/>
      <c r="B3538" s="3"/>
      <c r="C3538" s="3"/>
      <c r="D3538" s="3"/>
    </row>
    <row r="3539" spans="1:4" x14ac:dyDescent="0.25">
      <c r="A3539" s="2"/>
      <c r="B3539" s="3"/>
      <c r="C3539" s="3"/>
      <c r="D3539" s="3"/>
    </row>
    <row r="3540" spans="1:4" x14ac:dyDescent="0.25">
      <c r="A3540" s="2"/>
      <c r="B3540" s="3"/>
      <c r="C3540" s="3"/>
      <c r="D3540" s="3"/>
    </row>
    <row r="3541" spans="1:4" x14ac:dyDescent="0.25">
      <c r="A3541" s="2"/>
      <c r="B3541" s="3"/>
      <c r="C3541" s="3"/>
      <c r="D3541" s="3"/>
    </row>
    <row r="3542" spans="1:4" x14ac:dyDescent="0.25">
      <c r="A3542" s="2"/>
      <c r="B3542" s="3"/>
      <c r="C3542" s="3"/>
      <c r="D3542" s="3"/>
    </row>
    <row r="3543" spans="1:4" x14ac:dyDescent="0.25">
      <c r="A3543" s="2"/>
      <c r="B3543" s="3"/>
      <c r="C3543" s="3"/>
      <c r="D3543" s="3"/>
    </row>
    <row r="3544" spans="1:4" x14ac:dyDescent="0.25">
      <c r="A3544" s="2"/>
      <c r="B3544" s="3"/>
      <c r="C3544" s="3"/>
      <c r="D3544" s="3"/>
    </row>
    <row r="3545" spans="1:4" x14ac:dyDescent="0.25">
      <c r="A3545" s="2"/>
      <c r="B3545" s="3"/>
      <c r="C3545" s="3"/>
      <c r="D3545" s="3"/>
    </row>
    <row r="3546" spans="1:4" x14ac:dyDescent="0.25">
      <c r="A3546" s="2"/>
      <c r="B3546" s="3"/>
      <c r="C3546" s="3"/>
      <c r="D3546" s="3"/>
    </row>
    <row r="3547" spans="1:4" x14ac:dyDescent="0.25">
      <c r="A3547" s="2"/>
      <c r="B3547" s="3"/>
      <c r="C3547" s="3"/>
      <c r="D3547" s="3"/>
    </row>
    <row r="3548" spans="1:4" x14ac:dyDescent="0.25">
      <c r="A3548" s="2"/>
      <c r="B3548" s="3"/>
      <c r="C3548" s="3"/>
      <c r="D3548" s="3"/>
    </row>
    <row r="3549" spans="1:4" x14ac:dyDescent="0.25">
      <c r="A3549" s="2"/>
      <c r="B3549" s="3"/>
      <c r="C3549" s="3"/>
      <c r="D3549" s="3"/>
    </row>
    <row r="3550" spans="1:4" x14ac:dyDescent="0.25">
      <c r="A3550" s="2"/>
      <c r="B3550" s="3"/>
      <c r="C3550" s="3"/>
      <c r="D3550" s="3"/>
    </row>
    <row r="3551" spans="1:4" x14ac:dyDescent="0.25">
      <c r="A3551" s="2"/>
      <c r="B3551" s="3"/>
      <c r="C3551" s="3"/>
      <c r="D3551" s="3"/>
    </row>
    <row r="3552" spans="1:4" x14ac:dyDescent="0.25">
      <c r="A3552" s="2"/>
      <c r="B3552" s="3"/>
      <c r="C3552" s="3"/>
      <c r="D3552" s="3"/>
    </row>
    <row r="3553" spans="1:4" x14ac:dyDescent="0.25">
      <c r="A3553" s="2"/>
      <c r="B3553" s="3"/>
      <c r="C3553" s="3"/>
      <c r="D3553" s="3"/>
    </row>
    <row r="3554" spans="1:4" x14ac:dyDescent="0.25">
      <c r="A3554" s="2"/>
      <c r="B3554" s="3"/>
      <c r="C3554" s="3"/>
      <c r="D3554" s="3"/>
    </row>
    <row r="3555" spans="1:4" x14ac:dyDescent="0.25">
      <c r="A3555" s="2"/>
      <c r="B3555" s="3"/>
      <c r="C3555" s="3"/>
      <c r="D3555" s="3"/>
    </row>
    <row r="3556" spans="1:4" x14ac:dyDescent="0.25">
      <c r="A3556" s="2"/>
      <c r="B3556" s="3"/>
      <c r="C3556" s="3"/>
      <c r="D3556" s="3"/>
    </row>
    <row r="3557" spans="1:4" x14ac:dyDescent="0.25">
      <c r="A3557" s="2"/>
      <c r="B3557" s="3"/>
      <c r="C3557" s="3"/>
      <c r="D3557" s="3"/>
    </row>
    <row r="3558" spans="1:4" x14ac:dyDescent="0.25">
      <c r="A3558" s="2"/>
      <c r="B3558" s="3"/>
      <c r="C3558" s="3"/>
      <c r="D3558" s="3"/>
    </row>
    <row r="3559" spans="1:4" x14ac:dyDescent="0.25">
      <c r="A3559" s="2"/>
      <c r="B3559" s="3"/>
      <c r="C3559" s="3"/>
      <c r="D3559" s="3"/>
    </row>
    <row r="3560" spans="1:4" x14ac:dyDescent="0.25">
      <c r="A3560" s="2"/>
      <c r="B3560" s="3"/>
      <c r="C3560" s="3"/>
      <c r="D3560" s="3"/>
    </row>
    <row r="3561" spans="1:4" x14ac:dyDescent="0.25">
      <c r="A3561" s="2"/>
      <c r="B3561" s="3"/>
      <c r="C3561" s="3"/>
      <c r="D3561" s="3"/>
    </row>
    <row r="3562" spans="1:4" x14ac:dyDescent="0.25">
      <c r="A3562" s="2"/>
      <c r="B3562" s="3"/>
      <c r="C3562" s="3"/>
      <c r="D3562" s="3"/>
    </row>
    <row r="3563" spans="1:4" x14ac:dyDescent="0.25">
      <c r="A3563" s="2"/>
      <c r="B3563" s="3"/>
      <c r="C3563" s="3"/>
      <c r="D3563" s="3"/>
    </row>
    <row r="3564" spans="1:4" x14ac:dyDescent="0.25">
      <c r="A3564" s="2"/>
      <c r="B3564" s="3"/>
      <c r="C3564" s="3"/>
      <c r="D3564" s="3"/>
    </row>
    <row r="3565" spans="1:4" x14ac:dyDescent="0.25">
      <c r="A3565" s="2"/>
      <c r="B3565" s="3"/>
      <c r="C3565" s="3"/>
      <c r="D3565" s="3"/>
    </row>
    <row r="3566" spans="1:4" x14ac:dyDescent="0.25">
      <c r="A3566" s="2"/>
      <c r="B3566" s="3"/>
      <c r="C3566" s="3"/>
      <c r="D3566" s="3"/>
    </row>
    <row r="3567" spans="1:4" x14ac:dyDescent="0.25">
      <c r="A3567" s="2"/>
      <c r="B3567" s="3"/>
      <c r="C3567" s="3"/>
      <c r="D3567" s="3"/>
    </row>
    <row r="3568" spans="1:4" x14ac:dyDescent="0.25">
      <c r="A3568" s="2"/>
      <c r="B3568" s="3"/>
      <c r="C3568" s="3"/>
      <c r="D3568" s="3"/>
    </row>
    <row r="3569" spans="1:4" x14ac:dyDescent="0.25">
      <c r="A3569" s="2"/>
      <c r="B3569" s="3"/>
      <c r="C3569" s="3"/>
      <c r="D3569" s="3"/>
    </row>
    <row r="3570" spans="1:4" x14ac:dyDescent="0.25">
      <c r="A3570" s="2"/>
      <c r="B3570" s="3"/>
      <c r="C3570" s="3"/>
      <c r="D3570" s="3"/>
    </row>
    <row r="3571" spans="1:4" x14ac:dyDescent="0.25">
      <c r="A3571" s="2"/>
      <c r="B3571" s="3"/>
      <c r="C3571" s="3"/>
      <c r="D3571" s="3"/>
    </row>
    <row r="3572" spans="1:4" x14ac:dyDescent="0.25">
      <c r="A3572" s="2"/>
      <c r="B3572" s="3"/>
      <c r="C3572" s="3"/>
      <c r="D3572" s="3"/>
    </row>
    <row r="3573" spans="1:4" x14ac:dyDescent="0.25">
      <c r="A3573" s="2"/>
      <c r="B3573" s="3"/>
      <c r="C3573" s="3"/>
      <c r="D3573" s="3"/>
    </row>
    <row r="3574" spans="1:4" x14ac:dyDescent="0.25">
      <c r="A3574" s="2"/>
      <c r="B3574" s="3"/>
      <c r="C3574" s="3"/>
      <c r="D3574" s="3"/>
    </row>
    <row r="3575" spans="1:4" x14ac:dyDescent="0.25">
      <c r="A3575" s="2"/>
      <c r="B3575" s="3"/>
      <c r="C3575" s="3"/>
      <c r="D3575" s="3"/>
    </row>
    <row r="3576" spans="1:4" x14ac:dyDescent="0.25">
      <c r="A3576" s="2"/>
      <c r="B3576" s="3"/>
      <c r="C3576" s="3"/>
      <c r="D3576" s="3"/>
    </row>
    <row r="3577" spans="1:4" x14ac:dyDescent="0.25">
      <c r="A3577" s="2"/>
      <c r="B3577" s="3"/>
      <c r="C3577" s="3"/>
      <c r="D3577" s="3"/>
    </row>
    <row r="3578" spans="1:4" x14ac:dyDescent="0.25">
      <c r="A3578" s="2"/>
      <c r="B3578" s="3"/>
      <c r="C3578" s="3"/>
      <c r="D3578" s="3"/>
    </row>
    <row r="3579" spans="1:4" x14ac:dyDescent="0.25">
      <c r="A3579" s="2"/>
      <c r="B3579" s="3"/>
      <c r="C3579" s="3"/>
      <c r="D3579" s="3"/>
    </row>
    <row r="3580" spans="1:4" x14ac:dyDescent="0.25">
      <c r="A3580" s="2"/>
      <c r="B3580" s="3"/>
      <c r="C3580" s="3"/>
      <c r="D3580" s="3"/>
    </row>
    <row r="3581" spans="1:4" x14ac:dyDescent="0.25">
      <c r="A3581" s="2"/>
      <c r="B3581" s="3"/>
      <c r="C3581" s="3"/>
      <c r="D3581" s="3"/>
    </row>
    <row r="3582" spans="1:4" x14ac:dyDescent="0.25">
      <c r="A3582" s="2"/>
      <c r="B3582" s="3"/>
      <c r="C3582" s="3"/>
      <c r="D3582" s="3"/>
    </row>
    <row r="3583" spans="1:4" x14ac:dyDescent="0.25">
      <c r="A3583" s="2"/>
      <c r="B3583" s="3"/>
      <c r="C3583" s="3"/>
      <c r="D3583" s="3"/>
    </row>
    <row r="3584" spans="1:4" x14ac:dyDescent="0.25">
      <c r="A3584" s="2"/>
      <c r="B3584" s="3"/>
      <c r="C3584" s="3"/>
      <c r="D3584" s="3"/>
    </row>
    <row r="3585" spans="1:4" x14ac:dyDescent="0.25">
      <c r="A3585" s="2"/>
      <c r="B3585" s="3"/>
      <c r="C3585" s="3"/>
      <c r="D3585" s="3"/>
    </row>
    <row r="3586" spans="1:4" x14ac:dyDescent="0.25">
      <c r="A3586" s="2"/>
      <c r="B3586" s="3"/>
      <c r="C3586" s="3"/>
      <c r="D3586" s="3"/>
    </row>
    <row r="3587" spans="1:4" x14ac:dyDescent="0.25">
      <c r="A3587" s="2"/>
      <c r="B3587" s="3"/>
      <c r="C3587" s="3"/>
      <c r="D3587" s="3"/>
    </row>
    <row r="3588" spans="1:4" x14ac:dyDescent="0.25">
      <c r="A3588" s="2"/>
      <c r="B3588" s="3"/>
      <c r="C3588" s="3"/>
      <c r="D3588" s="3"/>
    </row>
    <row r="3589" spans="1:4" x14ac:dyDescent="0.25">
      <c r="A3589" s="2"/>
      <c r="B3589" s="3"/>
      <c r="C3589" s="3"/>
      <c r="D3589" s="3"/>
    </row>
    <row r="3590" spans="1:4" x14ac:dyDescent="0.25">
      <c r="A3590" s="2"/>
      <c r="B3590" s="3"/>
      <c r="C3590" s="3"/>
      <c r="D3590" s="3"/>
    </row>
    <row r="3591" spans="1:4" x14ac:dyDescent="0.25">
      <c r="A3591" s="2"/>
      <c r="B3591" s="3"/>
      <c r="C3591" s="3"/>
      <c r="D3591" s="3"/>
    </row>
    <row r="3592" spans="1:4" x14ac:dyDescent="0.25">
      <c r="A3592" s="2"/>
      <c r="B3592" s="3"/>
      <c r="C3592" s="3"/>
      <c r="D3592" s="3"/>
    </row>
    <row r="3593" spans="1:4" x14ac:dyDescent="0.25">
      <c r="A3593" s="2"/>
      <c r="B3593" s="3"/>
      <c r="C3593" s="3"/>
      <c r="D3593" s="3"/>
    </row>
    <row r="3594" spans="1:4" x14ac:dyDescent="0.25">
      <c r="A3594" s="2"/>
      <c r="B3594" s="3"/>
      <c r="C3594" s="3"/>
      <c r="D3594" s="3"/>
    </row>
    <row r="3595" spans="1:4" x14ac:dyDescent="0.25">
      <c r="A3595" s="2"/>
      <c r="B3595" s="3"/>
      <c r="C3595" s="3"/>
      <c r="D3595" s="3"/>
    </row>
    <row r="3596" spans="1:4" x14ac:dyDescent="0.25">
      <c r="A3596" s="2"/>
      <c r="B3596" s="3"/>
      <c r="C3596" s="3"/>
      <c r="D3596" s="3"/>
    </row>
    <row r="3597" spans="1:4" x14ac:dyDescent="0.25">
      <c r="A3597" s="2"/>
      <c r="B3597" s="3"/>
      <c r="C3597" s="3"/>
      <c r="D3597" s="3"/>
    </row>
    <row r="3598" spans="1:4" x14ac:dyDescent="0.25">
      <c r="A3598" s="2"/>
      <c r="B3598" s="3"/>
      <c r="C3598" s="3"/>
      <c r="D3598" s="3"/>
    </row>
    <row r="3599" spans="1:4" x14ac:dyDescent="0.25">
      <c r="A3599" s="2"/>
      <c r="B3599" s="3"/>
      <c r="C3599" s="3"/>
      <c r="D3599" s="3"/>
    </row>
    <row r="3600" spans="1:4" x14ac:dyDescent="0.25">
      <c r="A3600" s="2"/>
      <c r="B3600" s="3"/>
      <c r="C3600" s="3"/>
      <c r="D3600" s="3"/>
    </row>
    <row r="3601" spans="1:4" x14ac:dyDescent="0.25">
      <c r="A3601" s="2"/>
      <c r="B3601" s="3"/>
      <c r="C3601" s="3"/>
      <c r="D3601" s="3"/>
    </row>
    <row r="3602" spans="1:4" x14ac:dyDescent="0.25">
      <c r="A3602" s="2"/>
      <c r="B3602" s="3"/>
      <c r="C3602" s="3"/>
      <c r="D3602" s="3"/>
    </row>
    <row r="3603" spans="1:4" x14ac:dyDescent="0.25">
      <c r="A3603" s="2"/>
      <c r="B3603" s="3"/>
      <c r="C3603" s="3"/>
      <c r="D3603" s="3"/>
    </row>
    <row r="3604" spans="1:4" x14ac:dyDescent="0.25">
      <c r="A3604" s="2"/>
      <c r="B3604" s="3"/>
      <c r="C3604" s="3"/>
      <c r="D3604" s="3"/>
    </row>
    <row r="3605" spans="1:4" x14ac:dyDescent="0.25">
      <c r="A3605" s="2"/>
      <c r="B3605" s="3"/>
      <c r="C3605" s="3"/>
      <c r="D3605" s="3"/>
    </row>
    <row r="3606" spans="1:4" x14ac:dyDescent="0.25">
      <c r="A3606" s="2"/>
      <c r="B3606" s="3"/>
      <c r="C3606" s="3"/>
      <c r="D3606" s="3"/>
    </row>
    <row r="3607" spans="1:4" x14ac:dyDescent="0.25">
      <c r="A3607" s="2"/>
      <c r="B3607" s="3"/>
      <c r="C3607" s="3"/>
      <c r="D3607" s="3"/>
    </row>
    <row r="3608" spans="1:4" x14ac:dyDescent="0.25">
      <c r="A3608" s="2"/>
      <c r="B3608" s="3"/>
      <c r="C3608" s="3"/>
      <c r="D3608" s="3"/>
    </row>
    <row r="3609" spans="1:4" x14ac:dyDescent="0.25">
      <c r="A3609" s="2"/>
      <c r="B3609" s="3"/>
      <c r="C3609" s="3"/>
      <c r="D3609" s="3"/>
    </row>
    <row r="3610" spans="1:4" x14ac:dyDescent="0.25">
      <c r="A3610" s="2"/>
      <c r="B3610" s="3"/>
      <c r="C3610" s="3"/>
      <c r="D3610" s="3"/>
    </row>
    <row r="3611" spans="1:4" x14ac:dyDescent="0.25">
      <c r="A3611" s="2"/>
      <c r="B3611" s="3"/>
      <c r="C3611" s="3"/>
      <c r="D3611" s="3"/>
    </row>
    <row r="3612" spans="1:4" x14ac:dyDescent="0.25">
      <c r="A3612" s="2"/>
      <c r="B3612" s="3"/>
      <c r="C3612" s="3"/>
      <c r="D3612" s="3"/>
    </row>
    <row r="3613" spans="1:4" x14ac:dyDescent="0.25">
      <c r="A3613" s="2"/>
      <c r="B3613" s="3"/>
      <c r="C3613" s="3"/>
      <c r="D3613" s="3"/>
    </row>
    <row r="3614" spans="1:4" x14ac:dyDescent="0.25">
      <c r="A3614" s="2"/>
      <c r="B3614" s="3"/>
      <c r="C3614" s="3"/>
      <c r="D3614" s="3"/>
    </row>
    <row r="3615" spans="1:4" x14ac:dyDescent="0.25">
      <c r="A3615" s="2"/>
      <c r="B3615" s="3"/>
      <c r="C3615" s="3"/>
      <c r="D3615" s="3"/>
    </row>
    <row r="3616" spans="1:4" x14ac:dyDescent="0.25">
      <c r="A3616" s="2"/>
      <c r="B3616" s="3"/>
      <c r="C3616" s="3"/>
      <c r="D3616" s="3"/>
    </row>
    <row r="3617" spans="1:4" x14ac:dyDescent="0.25">
      <c r="A3617" s="2"/>
      <c r="B3617" s="3"/>
      <c r="C3617" s="3"/>
      <c r="D3617" s="3"/>
    </row>
    <row r="3618" spans="1:4" x14ac:dyDescent="0.25">
      <c r="A3618" s="2"/>
      <c r="B3618" s="3"/>
      <c r="C3618" s="3"/>
      <c r="D3618" s="3"/>
    </row>
    <row r="3619" spans="1:4" x14ac:dyDescent="0.25">
      <c r="A3619" s="2"/>
      <c r="B3619" s="3"/>
      <c r="C3619" s="3"/>
      <c r="D3619" s="3"/>
    </row>
    <row r="3620" spans="1:4" x14ac:dyDescent="0.25">
      <c r="A3620" s="2"/>
      <c r="B3620" s="3"/>
      <c r="C3620" s="3"/>
      <c r="D3620" s="3"/>
    </row>
    <row r="3621" spans="1:4" x14ac:dyDescent="0.25">
      <c r="A3621" s="2"/>
      <c r="B3621" s="3"/>
      <c r="C3621" s="3"/>
      <c r="D3621" s="3"/>
    </row>
    <row r="3622" spans="1:4" x14ac:dyDescent="0.25">
      <c r="A3622" s="2"/>
      <c r="B3622" s="3"/>
      <c r="C3622" s="3"/>
      <c r="D3622" s="3"/>
    </row>
    <row r="3623" spans="1:4" x14ac:dyDescent="0.25">
      <c r="A3623" s="2"/>
      <c r="B3623" s="3"/>
      <c r="C3623" s="3"/>
      <c r="D3623" s="3"/>
    </row>
    <row r="3624" spans="1:4" x14ac:dyDescent="0.25">
      <c r="A3624" s="2"/>
      <c r="B3624" s="3"/>
      <c r="C3624" s="3"/>
      <c r="D3624" s="3"/>
    </row>
    <row r="3625" spans="1:4" x14ac:dyDescent="0.25">
      <c r="A3625" s="2"/>
      <c r="B3625" s="3"/>
      <c r="C3625" s="3"/>
      <c r="D3625" s="3"/>
    </row>
    <row r="3626" spans="1:4" x14ac:dyDescent="0.25">
      <c r="A3626" s="2"/>
      <c r="B3626" s="3"/>
      <c r="C3626" s="3"/>
      <c r="D3626" s="3"/>
    </row>
    <row r="3627" spans="1:4" x14ac:dyDescent="0.25">
      <c r="A3627" s="2"/>
      <c r="B3627" s="3"/>
      <c r="C3627" s="3"/>
      <c r="D3627" s="3"/>
    </row>
    <row r="3628" spans="1:4" x14ac:dyDescent="0.25">
      <c r="A3628" s="2"/>
      <c r="B3628" s="3"/>
      <c r="C3628" s="3"/>
      <c r="D3628" s="3"/>
    </row>
    <row r="3629" spans="1:4" x14ac:dyDescent="0.25">
      <c r="A3629" s="2"/>
      <c r="B3629" s="3"/>
      <c r="C3629" s="3"/>
      <c r="D3629" s="3"/>
    </row>
    <row r="3630" spans="1:4" x14ac:dyDescent="0.25">
      <c r="A3630" s="2"/>
      <c r="B3630" s="3"/>
      <c r="C3630" s="3"/>
      <c r="D3630" s="3"/>
    </row>
    <row r="3631" spans="1:4" x14ac:dyDescent="0.25">
      <c r="A3631" s="2"/>
      <c r="B3631" s="3"/>
      <c r="C3631" s="3"/>
      <c r="D3631" s="3"/>
    </row>
    <row r="3632" spans="1:4" x14ac:dyDescent="0.25">
      <c r="A3632" s="2"/>
      <c r="B3632" s="3"/>
      <c r="C3632" s="3"/>
      <c r="D3632" s="3"/>
    </row>
    <row r="3633" spans="1:4" x14ac:dyDescent="0.25">
      <c r="A3633" s="2"/>
      <c r="B3633" s="3"/>
      <c r="C3633" s="3"/>
      <c r="D3633" s="3"/>
    </row>
    <row r="3634" spans="1:4" x14ac:dyDescent="0.25">
      <c r="A3634" s="2"/>
      <c r="B3634" s="3"/>
      <c r="C3634" s="3"/>
      <c r="D3634" s="3"/>
    </row>
    <row r="3635" spans="1:4" x14ac:dyDescent="0.25">
      <c r="A3635" s="2"/>
      <c r="B3635" s="3"/>
      <c r="C3635" s="3"/>
      <c r="D3635" s="3"/>
    </row>
    <row r="3636" spans="1:4" x14ac:dyDescent="0.25">
      <c r="A3636" s="2"/>
      <c r="B3636" s="3"/>
      <c r="C3636" s="3"/>
      <c r="D3636" s="3"/>
    </row>
    <row r="3637" spans="1:4" x14ac:dyDescent="0.25">
      <c r="A3637" s="2"/>
      <c r="B3637" s="3"/>
      <c r="C3637" s="3"/>
      <c r="D3637" s="3"/>
    </row>
    <row r="3638" spans="1:4" x14ac:dyDescent="0.25">
      <c r="A3638" s="2"/>
      <c r="B3638" s="3"/>
      <c r="C3638" s="3"/>
      <c r="D3638" s="3"/>
    </row>
    <row r="3639" spans="1:4" x14ac:dyDescent="0.25">
      <c r="A3639" s="2"/>
      <c r="B3639" s="3"/>
      <c r="C3639" s="3"/>
      <c r="D3639" s="3"/>
    </row>
    <row r="3640" spans="1:4" x14ac:dyDescent="0.25">
      <c r="A3640" s="2"/>
      <c r="B3640" s="3"/>
      <c r="C3640" s="3"/>
      <c r="D3640" s="3"/>
    </row>
    <row r="3641" spans="1:4" x14ac:dyDescent="0.25">
      <c r="A3641" s="2"/>
      <c r="B3641" s="3"/>
      <c r="C3641" s="3"/>
      <c r="D3641" s="3"/>
    </row>
    <row r="3642" spans="1:4" x14ac:dyDescent="0.25">
      <c r="A3642" s="2"/>
      <c r="B3642" s="3"/>
      <c r="C3642" s="3"/>
      <c r="D3642" s="3"/>
    </row>
    <row r="3643" spans="1:4" x14ac:dyDescent="0.25">
      <c r="A3643" s="2"/>
      <c r="B3643" s="3"/>
      <c r="C3643" s="3"/>
      <c r="D3643" s="3"/>
    </row>
    <row r="3644" spans="1:4" x14ac:dyDescent="0.25">
      <c r="A3644" s="2"/>
      <c r="B3644" s="3"/>
      <c r="C3644" s="3"/>
      <c r="D3644" s="3"/>
    </row>
    <row r="3645" spans="1:4" x14ac:dyDescent="0.25">
      <c r="A3645" s="2"/>
      <c r="B3645" s="3"/>
      <c r="C3645" s="3"/>
      <c r="D3645" s="3"/>
    </row>
    <row r="3646" spans="1:4" x14ac:dyDescent="0.25">
      <c r="A3646" s="2"/>
      <c r="B3646" s="3"/>
      <c r="C3646" s="3"/>
      <c r="D3646" s="3"/>
    </row>
    <row r="3647" spans="1:4" x14ac:dyDescent="0.25">
      <c r="A3647" s="2"/>
      <c r="B3647" s="3"/>
      <c r="C3647" s="3"/>
      <c r="D3647" s="3"/>
    </row>
    <row r="3648" spans="1:4" x14ac:dyDescent="0.25">
      <c r="A3648" s="2"/>
      <c r="B3648" s="3"/>
      <c r="C3648" s="3"/>
      <c r="D3648" s="3"/>
    </row>
    <row r="3649" spans="1:4" x14ac:dyDescent="0.25">
      <c r="A3649" s="2"/>
      <c r="B3649" s="3"/>
      <c r="C3649" s="3"/>
      <c r="D3649" s="3"/>
    </row>
    <row r="3650" spans="1:4" x14ac:dyDescent="0.25">
      <c r="A3650" s="2"/>
      <c r="B3650" s="3"/>
      <c r="C3650" s="3"/>
      <c r="D3650" s="3"/>
    </row>
    <row r="3651" spans="1:4" x14ac:dyDescent="0.25">
      <c r="A3651" s="2"/>
      <c r="B3651" s="3"/>
      <c r="C3651" s="3"/>
      <c r="D3651" s="3"/>
    </row>
    <row r="3652" spans="1:4" x14ac:dyDescent="0.25">
      <c r="A3652" s="2"/>
      <c r="B3652" s="3"/>
      <c r="C3652" s="3"/>
      <c r="D3652" s="3"/>
    </row>
    <row r="3653" spans="1:4" x14ac:dyDescent="0.25">
      <c r="A3653" s="2"/>
      <c r="B3653" s="3"/>
      <c r="C3653" s="3"/>
      <c r="D3653" s="3"/>
    </row>
    <row r="3654" spans="1:4" x14ac:dyDescent="0.25">
      <c r="A3654" s="2"/>
      <c r="B3654" s="3"/>
      <c r="C3654" s="3"/>
      <c r="D3654" s="3"/>
    </row>
    <row r="3655" spans="1:4" x14ac:dyDescent="0.25">
      <c r="A3655" s="2"/>
      <c r="B3655" s="3"/>
      <c r="C3655" s="3"/>
      <c r="D3655" s="3"/>
    </row>
    <row r="3656" spans="1:4" x14ac:dyDescent="0.25">
      <c r="A3656" s="2"/>
      <c r="B3656" s="3"/>
      <c r="C3656" s="3"/>
      <c r="D3656" s="3"/>
    </row>
    <row r="3657" spans="1:4" x14ac:dyDescent="0.25">
      <c r="A3657" s="2"/>
      <c r="B3657" s="3"/>
      <c r="C3657" s="3"/>
      <c r="D3657" s="3"/>
    </row>
    <row r="3658" spans="1:4" x14ac:dyDescent="0.25">
      <c r="A3658" s="2"/>
      <c r="B3658" s="3"/>
      <c r="C3658" s="3"/>
      <c r="D3658" s="3"/>
    </row>
    <row r="3659" spans="1:4" x14ac:dyDescent="0.25">
      <c r="A3659" s="2"/>
      <c r="B3659" s="3"/>
      <c r="C3659" s="3"/>
      <c r="D3659" s="3"/>
    </row>
    <row r="3660" spans="1:4" x14ac:dyDescent="0.25">
      <c r="A3660" s="2"/>
      <c r="B3660" s="3"/>
      <c r="C3660" s="3"/>
      <c r="D3660" s="3"/>
    </row>
    <row r="3661" spans="1:4" x14ac:dyDescent="0.25">
      <c r="A3661" s="2"/>
      <c r="B3661" s="3"/>
      <c r="C3661" s="3"/>
      <c r="D3661" s="3"/>
    </row>
    <row r="3662" spans="1:4" x14ac:dyDescent="0.25">
      <c r="A3662" s="2"/>
      <c r="B3662" s="3"/>
      <c r="C3662" s="3"/>
      <c r="D3662" s="3"/>
    </row>
    <row r="3663" spans="1:4" x14ac:dyDescent="0.25">
      <c r="A3663" s="2"/>
      <c r="B3663" s="3"/>
      <c r="C3663" s="3"/>
      <c r="D3663" s="3"/>
    </row>
    <row r="3664" spans="1:4" x14ac:dyDescent="0.25">
      <c r="A3664" s="2"/>
      <c r="B3664" s="3"/>
      <c r="C3664" s="3"/>
      <c r="D3664" s="3"/>
    </row>
    <row r="3665" spans="1:4" x14ac:dyDescent="0.25">
      <c r="A3665" s="2"/>
      <c r="B3665" s="3"/>
      <c r="C3665" s="3"/>
      <c r="D3665" s="3"/>
    </row>
    <row r="3666" spans="1:4" x14ac:dyDescent="0.25">
      <c r="A3666" s="2"/>
      <c r="B3666" s="3"/>
      <c r="C3666" s="3"/>
      <c r="D3666" s="3"/>
    </row>
    <row r="3667" spans="1:4" x14ac:dyDescent="0.25">
      <c r="A3667" s="2"/>
      <c r="B3667" s="3"/>
      <c r="C3667" s="3"/>
      <c r="D3667" s="3"/>
    </row>
    <row r="3668" spans="1:4" x14ac:dyDescent="0.25">
      <c r="A3668" s="2"/>
      <c r="B3668" s="3"/>
      <c r="C3668" s="3"/>
      <c r="D3668" s="3"/>
    </row>
    <row r="3669" spans="1:4" x14ac:dyDescent="0.25">
      <c r="A3669" s="2"/>
      <c r="B3669" s="3"/>
      <c r="C3669" s="3"/>
      <c r="D3669" s="3"/>
    </row>
    <row r="3670" spans="1:4" x14ac:dyDescent="0.25">
      <c r="A3670" s="2"/>
      <c r="B3670" s="3"/>
      <c r="C3670" s="3"/>
      <c r="D3670" s="3"/>
    </row>
    <row r="3671" spans="1:4" x14ac:dyDescent="0.25">
      <c r="A3671" s="2"/>
      <c r="B3671" s="3"/>
      <c r="C3671" s="3"/>
      <c r="D3671" s="3"/>
    </row>
    <row r="3672" spans="1:4" x14ac:dyDescent="0.25">
      <c r="A3672" s="2"/>
      <c r="B3672" s="3"/>
      <c r="C3672" s="3"/>
      <c r="D3672" s="3"/>
    </row>
    <row r="3673" spans="1:4" x14ac:dyDescent="0.25">
      <c r="A3673" s="2"/>
      <c r="B3673" s="3"/>
      <c r="C3673" s="3"/>
      <c r="D3673" s="3"/>
    </row>
    <row r="3674" spans="1:4" x14ac:dyDescent="0.25">
      <c r="A3674" s="2"/>
      <c r="B3674" s="3"/>
      <c r="C3674" s="3"/>
      <c r="D3674" s="3"/>
    </row>
    <row r="3675" spans="1:4" x14ac:dyDescent="0.25">
      <c r="A3675" s="2"/>
      <c r="B3675" s="3"/>
      <c r="C3675" s="3"/>
      <c r="D3675" s="3"/>
    </row>
    <row r="3676" spans="1:4" x14ac:dyDescent="0.25">
      <c r="A3676" s="2"/>
      <c r="B3676" s="3"/>
      <c r="C3676" s="3"/>
      <c r="D3676" s="3"/>
    </row>
    <row r="3677" spans="1:4" x14ac:dyDescent="0.25">
      <c r="A3677" s="2"/>
      <c r="B3677" s="3"/>
      <c r="C3677" s="3"/>
      <c r="D3677" s="3"/>
    </row>
    <row r="3678" spans="1:4" x14ac:dyDescent="0.25">
      <c r="A3678" s="2"/>
      <c r="B3678" s="3"/>
      <c r="C3678" s="3"/>
      <c r="D3678" s="3"/>
    </row>
    <row r="3679" spans="1:4" x14ac:dyDescent="0.25">
      <c r="A3679" s="2"/>
      <c r="B3679" s="3"/>
      <c r="C3679" s="3"/>
      <c r="D3679" s="3"/>
    </row>
    <row r="3680" spans="1:4" x14ac:dyDescent="0.25">
      <c r="A3680" s="2"/>
      <c r="B3680" s="3"/>
      <c r="C3680" s="3"/>
      <c r="D3680" s="3"/>
    </row>
    <row r="3681" spans="1:4" x14ac:dyDescent="0.25">
      <c r="A3681" s="2"/>
      <c r="B3681" s="3"/>
      <c r="C3681" s="3"/>
      <c r="D3681" s="3"/>
    </row>
    <row r="3682" spans="1:4" x14ac:dyDescent="0.25">
      <c r="A3682" s="2"/>
      <c r="B3682" s="3"/>
      <c r="C3682" s="3"/>
      <c r="D3682" s="3"/>
    </row>
    <row r="3683" spans="1:4" x14ac:dyDescent="0.25">
      <c r="A3683" s="2"/>
      <c r="B3683" s="3"/>
      <c r="C3683" s="3"/>
      <c r="D3683" s="3"/>
    </row>
    <row r="3684" spans="1:4" x14ac:dyDescent="0.25">
      <c r="A3684" s="2"/>
      <c r="B3684" s="3"/>
      <c r="C3684" s="3"/>
      <c r="D3684" s="3"/>
    </row>
    <row r="3685" spans="1:4" x14ac:dyDescent="0.25">
      <c r="A3685" s="2"/>
      <c r="B3685" s="3"/>
      <c r="C3685" s="3"/>
      <c r="D3685" s="3"/>
    </row>
    <row r="3686" spans="1:4" x14ac:dyDescent="0.25">
      <c r="A3686" s="2"/>
      <c r="B3686" s="3"/>
      <c r="C3686" s="3"/>
      <c r="D3686" s="3"/>
    </row>
    <row r="3687" spans="1:4" x14ac:dyDescent="0.25">
      <c r="A3687" s="2"/>
      <c r="B3687" s="3"/>
      <c r="C3687" s="3"/>
      <c r="D3687" s="3"/>
    </row>
    <row r="3688" spans="1:4" x14ac:dyDescent="0.25">
      <c r="A3688" s="2"/>
      <c r="B3688" s="3"/>
      <c r="C3688" s="3"/>
      <c r="D3688" s="3"/>
    </row>
    <row r="3689" spans="1:4" x14ac:dyDescent="0.25">
      <c r="A3689" s="2"/>
      <c r="B3689" s="3"/>
      <c r="C3689" s="3"/>
      <c r="D3689" s="3"/>
    </row>
    <row r="3690" spans="1:4" x14ac:dyDescent="0.25">
      <c r="A3690" s="2"/>
      <c r="B3690" s="3"/>
      <c r="C3690" s="3"/>
      <c r="D3690" s="3"/>
    </row>
    <row r="3691" spans="1:4" x14ac:dyDescent="0.25">
      <c r="A3691" s="2"/>
      <c r="B3691" s="3"/>
      <c r="C3691" s="3"/>
      <c r="D3691" s="3"/>
    </row>
    <row r="3692" spans="1:4" x14ac:dyDescent="0.25">
      <c r="A3692" s="2"/>
      <c r="B3692" s="3"/>
      <c r="C3692" s="3"/>
      <c r="D3692" s="3"/>
    </row>
    <row r="3693" spans="1:4" x14ac:dyDescent="0.25">
      <c r="A3693" s="2"/>
      <c r="B3693" s="3"/>
      <c r="C3693" s="3"/>
      <c r="D3693" s="3"/>
    </row>
    <row r="3694" spans="1:4" x14ac:dyDescent="0.25">
      <c r="A3694" s="2"/>
      <c r="B3694" s="3"/>
      <c r="C3694" s="3"/>
      <c r="D3694" s="3"/>
    </row>
    <row r="3695" spans="1:4" x14ac:dyDescent="0.25">
      <c r="A3695" s="2"/>
      <c r="B3695" s="3"/>
      <c r="C3695" s="3"/>
      <c r="D3695" s="3"/>
    </row>
    <row r="3696" spans="1:4" x14ac:dyDescent="0.25">
      <c r="A3696" s="2"/>
      <c r="B3696" s="3"/>
      <c r="C3696" s="3"/>
      <c r="D3696" s="3"/>
    </row>
    <row r="3697" spans="1:4" x14ac:dyDescent="0.25">
      <c r="A3697" s="2"/>
      <c r="B3697" s="3"/>
      <c r="C3697" s="3"/>
      <c r="D3697" s="3"/>
    </row>
    <row r="3698" spans="1:4" x14ac:dyDescent="0.25">
      <c r="A3698" s="2"/>
      <c r="B3698" s="3"/>
      <c r="C3698" s="3"/>
      <c r="D3698" s="3"/>
    </row>
    <row r="3699" spans="1:4" x14ac:dyDescent="0.25">
      <c r="A3699" s="2"/>
      <c r="B3699" s="3"/>
      <c r="C3699" s="3"/>
      <c r="D3699" s="3"/>
    </row>
    <row r="3700" spans="1:4" x14ac:dyDescent="0.25">
      <c r="A3700" s="2"/>
      <c r="B3700" s="3"/>
      <c r="C3700" s="3"/>
      <c r="D3700" s="3"/>
    </row>
    <row r="3701" spans="1:4" x14ac:dyDescent="0.25">
      <c r="A3701" s="2"/>
      <c r="B3701" s="3"/>
      <c r="C3701" s="3"/>
      <c r="D3701" s="3"/>
    </row>
    <row r="3702" spans="1:4" x14ac:dyDescent="0.25">
      <c r="A3702" s="2"/>
      <c r="B3702" s="3"/>
      <c r="C3702" s="3"/>
      <c r="D3702" s="3"/>
    </row>
    <row r="3703" spans="1:4" x14ac:dyDescent="0.25">
      <c r="A3703" s="2"/>
      <c r="B3703" s="3"/>
      <c r="C3703" s="3"/>
      <c r="D3703" s="3"/>
    </row>
    <row r="3704" spans="1:4" x14ac:dyDescent="0.25">
      <c r="A3704" s="2"/>
      <c r="B3704" s="3"/>
      <c r="C3704" s="3"/>
      <c r="D3704" s="3"/>
    </row>
    <row r="3705" spans="1:4" x14ac:dyDescent="0.25">
      <c r="A3705" s="2"/>
      <c r="B3705" s="3"/>
      <c r="C3705" s="3"/>
      <c r="D3705" s="3"/>
    </row>
    <row r="3706" spans="1:4" x14ac:dyDescent="0.25">
      <c r="A3706" s="2"/>
      <c r="B3706" s="3"/>
      <c r="C3706" s="3"/>
      <c r="D3706" s="3"/>
    </row>
    <row r="3707" spans="1:4" x14ac:dyDescent="0.25">
      <c r="A3707" s="2"/>
      <c r="B3707" s="3"/>
      <c r="C3707" s="3"/>
      <c r="D3707" s="3"/>
    </row>
    <row r="3708" spans="1:4" x14ac:dyDescent="0.25">
      <c r="A3708" s="2"/>
      <c r="B3708" s="3"/>
      <c r="C3708" s="3"/>
      <c r="D3708" s="3"/>
    </row>
    <row r="3709" spans="1:4" x14ac:dyDescent="0.25">
      <c r="A3709" s="2"/>
      <c r="B3709" s="3"/>
      <c r="C3709" s="3"/>
      <c r="D3709" s="3"/>
    </row>
    <row r="3710" spans="1:4" x14ac:dyDescent="0.25">
      <c r="A3710" s="2"/>
      <c r="B3710" s="3"/>
      <c r="C3710" s="3"/>
      <c r="D3710" s="3"/>
    </row>
    <row r="3711" spans="1:4" x14ac:dyDescent="0.25">
      <c r="A3711" s="2"/>
      <c r="B3711" s="3"/>
      <c r="C3711" s="3"/>
      <c r="D3711" s="3"/>
    </row>
    <row r="3712" spans="1:4" x14ac:dyDescent="0.25">
      <c r="A3712" s="2"/>
      <c r="B3712" s="3"/>
      <c r="C3712" s="3"/>
      <c r="D3712" s="3"/>
    </row>
    <row r="3713" spans="1:4" x14ac:dyDescent="0.25">
      <c r="A3713" s="2"/>
      <c r="B3713" s="3"/>
      <c r="C3713" s="3"/>
      <c r="D3713" s="3"/>
    </row>
    <row r="3714" spans="1:4" x14ac:dyDescent="0.25">
      <c r="A3714" s="2"/>
      <c r="B3714" s="3"/>
      <c r="C3714" s="3"/>
      <c r="D3714" s="3"/>
    </row>
    <row r="3715" spans="1:4" x14ac:dyDescent="0.25">
      <c r="A3715" s="2"/>
      <c r="B3715" s="3"/>
      <c r="C3715" s="3"/>
      <c r="D3715" s="3"/>
    </row>
    <row r="3716" spans="1:4" x14ac:dyDescent="0.25">
      <c r="A3716" s="2"/>
      <c r="B3716" s="3"/>
      <c r="C3716" s="3"/>
      <c r="D3716" s="3"/>
    </row>
    <row r="3717" spans="1:4" x14ac:dyDescent="0.25">
      <c r="A3717" s="2"/>
      <c r="B3717" s="3"/>
      <c r="C3717" s="3"/>
      <c r="D3717" s="3"/>
    </row>
    <row r="3718" spans="1:4" x14ac:dyDescent="0.25">
      <c r="A3718" s="2"/>
      <c r="B3718" s="3"/>
      <c r="C3718" s="3"/>
      <c r="D3718" s="3"/>
    </row>
    <row r="3719" spans="1:4" x14ac:dyDescent="0.25">
      <c r="A3719" s="2"/>
      <c r="B3719" s="3"/>
      <c r="C3719" s="3"/>
      <c r="D3719" s="3"/>
    </row>
    <row r="3720" spans="1:4" x14ac:dyDescent="0.25">
      <c r="A3720" s="2"/>
      <c r="B3720" s="3"/>
      <c r="C3720" s="3"/>
      <c r="D3720" s="3"/>
    </row>
    <row r="3721" spans="1:4" x14ac:dyDescent="0.25">
      <c r="A3721" s="2"/>
      <c r="B3721" s="3"/>
      <c r="C3721" s="3"/>
      <c r="D3721" s="3"/>
    </row>
    <row r="3722" spans="1:4" x14ac:dyDescent="0.25">
      <c r="A3722" s="2"/>
      <c r="B3722" s="3"/>
      <c r="C3722" s="3"/>
      <c r="D3722" s="3"/>
    </row>
    <row r="3723" spans="1:4" x14ac:dyDescent="0.25">
      <c r="A3723" s="2"/>
      <c r="B3723" s="3"/>
      <c r="C3723" s="3"/>
      <c r="D3723" s="3"/>
    </row>
    <row r="3724" spans="1:4" x14ac:dyDescent="0.25">
      <c r="A3724" s="2"/>
      <c r="B3724" s="3"/>
      <c r="C3724" s="3"/>
      <c r="D3724" s="3"/>
    </row>
    <row r="3725" spans="1:4" x14ac:dyDescent="0.25">
      <c r="A3725" s="2"/>
      <c r="B3725" s="3"/>
      <c r="C3725" s="3"/>
      <c r="D3725" s="3"/>
    </row>
    <row r="3726" spans="1:4" x14ac:dyDescent="0.25">
      <c r="A3726" s="2"/>
      <c r="B3726" s="3"/>
      <c r="C3726" s="3"/>
      <c r="D3726" s="3"/>
    </row>
    <row r="3727" spans="1:4" x14ac:dyDescent="0.25">
      <c r="A3727" s="2"/>
      <c r="B3727" s="3"/>
      <c r="C3727" s="3"/>
      <c r="D3727" s="3"/>
    </row>
    <row r="3728" spans="1:4" x14ac:dyDescent="0.25">
      <c r="A3728" s="2"/>
      <c r="B3728" s="3"/>
      <c r="C3728" s="3"/>
      <c r="D3728" s="3"/>
    </row>
    <row r="3729" spans="1:4" x14ac:dyDescent="0.25">
      <c r="A3729" s="2"/>
      <c r="B3729" s="3"/>
      <c r="C3729" s="3"/>
      <c r="D3729" s="3"/>
    </row>
    <row r="3730" spans="1:4" x14ac:dyDescent="0.25">
      <c r="A3730" s="2"/>
      <c r="B3730" s="3"/>
      <c r="C3730" s="3"/>
      <c r="D3730" s="3"/>
    </row>
    <row r="3731" spans="1:4" x14ac:dyDescent="0.25">
      <c r="A3731" s="2"/>
      <c r="B3731" s="3"/>
      <c r="C3731" s="3"/>
      <c r="D3731" s="3"/>
    </row>
    <row r="3732" spans="1:4" x14ac:dyDescent="0.25">
      <c r="A3732" s="2"/>
      <c r="B3732" s="3"/>
      <c r="C3732" s="3"/>
      <c r="D3732" s="3"/>
    </row>
    <row r="3733" spans="1:4" x14ac:dyDescent="0.25">
      <c r="A3733" s="2"/>
      <c r="B3733" s="3"/>
      <c r="C3733" s="3"/>
      <c r="D3733" s="3"/>
    </row>
    <row r="3734" spans="1:4" x14ac:dyDescent="0.25">
      <c r="A3734" s="2"/>
      <c r="B3734" s="3"/>
      <c r="C3734" s="3"/>
      <c r="D3734" s="3"/>
    </row>
    <row r="3735" spans="1:4" x14ac:dyDescent="0.25">
      <c r="A3735" s="2"/>
      <c r="B3735" s="3"/>
      <c r="C3735" s="3"/>
      <c r="D3735" s="3"/>
    </row>
    <row r="3736" spans="1:4" x14ac:dyDescent="0.25">
      <c r="A3736" s="2"/>
      <c r="B3736" s="3"/>
      <c r="C3736" s="3"/>
      <c r="D3736" s="3"/>
    </row>
    <row r="3737" spans="1:4" x14ac:dyDescent="0.25">
      <c r="A3737" s="2"/>
      <c r="B3737" s="3"/>
      <c r="C3737" s="3"/>
      <c r="D3737" s="3"/>
    </row>
    <row r="3738" spans="1:4" x14ac:dyDescent="0.25">
      <c r="A3738" s="2"/>
      <c r="B3738" s="3"/>
      <c r="C3738" s="3"/>
      <c r="D3738" s="3"/>
    </row>
    <row r="3739" spans="1:4" x14ac:dyDescent="0.25">
      <c r="A3739" s="2"/>
      <c r="B3739" s="3"/>
      <c r="C3739" s="3"/>
      <c r="D3739" s="3"/>
    </row>
    <row r="3740" spans="1:4" x14ac:dyDescent="0.25">
      <c r="A3740" s="2"/>
      <c r="B3740" s="3"/>
      <c r="C3740" s="3"/>
      <c r="D3740" s="3"/>
    </row>
    <row r="3741" spans="1:4" x14ac:dyDescent="0.25">
      <c r="A3741" s="2"/>
      <c r="B3741" s="3"/>
      <c r="C3741" s="3"/>
      <c r="D3741" s="3"/>
    </row>
    <row r="3742" spans="1:4" x14ac:dyDescent="0.25">
      <c r="A3742" s="2"/>
      <c r="B3742" s="3"/>
      <c r="C3742" s="3"/>
      <c r="D3742" s="3"/>
    </row>
    <row r="3743" spans="1:4" x14ac:dyDescent="0.25">
      <c r="A3743" s="2"/>
      <c r="B3743" s="3"/>
      <c r="C3743" s="3"/>
      <c r="D3743" s="3"/>
    </row>
    <row r="3744" spans="1:4" x14ac:dyDescent="0.25">
      <c r="A3744" s="2"/>
      <c r="B3744" s="3"/>
      <c r="C3744" s="3"/>
      <c r="D3744" s="3"/>
    </row>
    <row r="3745" spans="1:4" x14ac:dyDescent="0.25">
      <c r="A3745" s="2"/>
      <c r="B3745" s="3"/>
      <c r="C3745" s="3"/>
      <c r="D3745" s="3"/>
    </row>
    <row r="3746" spans="1:4" x14ac:dyDescent="0.25">
      <c r="A3746" s="2"/>
      <c r="B3746" s="3"/>
      <c r="C3746" s="3"/>
      <c r="D3746" s="3"/>
    </row>
    <row r="3747" spans="1:4" x14ac:dyDescent="0.25">
      <c r="A3747" s="2"/>
      <c r="B3747" s="3"/>
      <c r="C3747" s="3"/>
      <c r="D3747" s="3"/>
    </row>
    <row r="3748" spans="1:4" x14ac:dyDescent="0.25">
      <c r="A3748" s="2"/>
      <c r="B3748" s="3"/>
      <c r="C3748" s="3"/>
      <c r="D3748" s="3"/>
    </row>
    <row r="3749" spans="1:4" x14ac:dyDescent="0.25">
      <c r="A3749" s="2"/>
      <c r="B3749" s="3"/>
      <c r="C3749" s="3"/>
      <c r="D3749" s="3"/>
    </row>
    <row r="3750" spans="1:4" x14ac:dyDescent="0.25">
      <c r="A3750" s="2"/>
      <c r="B3750" s="3"/>
      <c r="C3750" s="3"/>
      <c r="D3750" s="3"/>
    </row>
    <row r="3751" spans="1:4" x14ac:dyDescent="0.25">
      <c r="A3751" s="2"/>
      <c r="B3751" s="3"/>
      <c r="C3751" s="3"/>
      <c r="D3751" s="3"/>
    </row>
    <row r="3752" spans="1:4" x14ac:dyDescent="0.25">
      <c r="A3752" s="2"/>
      <c r="B3752" s="3"/>
      <c r="C3752" s="3"/>
      <c r="D3752" s="3"/>
    </row>
    <row r="3753" spans="1:4" x14ac:dyDescent="0.25">
      <c r="A3753" s="2"/>
      <c r="B3753" s="3"/>
      <c r="C3753" s="3"/>
      <c r="D3753" s="3"/>
    </row>
    <row r="3754" spans="1:4" x14ac:dyDescent="0.25">
      <c r="A3754" s="2"/>
      <c r="B3754" s="3"/>
      <c r="C3754" s="3"/>
      <c r="D3754" s="3"/>
    </row>
    <row r="3755" spans="1:4" x14ac:dyDescent="0.25">
      <c r="A3755" s="2"/>
      <c r="B3755" s="3"/>
      <c r="C3755" s="3"/>
      <c r="D3755" s="3"/>
    </row>
    <row r="3756" spans="1:4" x14ac:dyDescent="0.25">
      <c r="A3756" s="2"/>
      <c r="B3756" s="3"/>
      <c r="C3756" s="3"/>
      <c r="D3756" s="3"/>
    </row>
    <row r="3757" spans="1:4" x14ac:dyDescent="0.25">
      <c r="A3757" s="2"/>
      <c r="B3757" s="3"/>
      <c r="C3757" s="3"/>
      <c r="D3757" s="3"/>
    </row>
    <row r="3758" spans="1:4" x14ac:dyDescent="0.25">
      <c r="A3758" s="2"/>
      <c r="B3758" s="3"/>
      <c r="C3758" s="3"/>
      <c r="D3758" s="3"/>
    </row>
    <row r="3759" spans="1:4" x14ac:dyDescent="0.25">
      <c r="A3759" s="2"/>
      <c r="B3759" s="3"/>
      <c r="C3759" s="3"/>
      <c r="D3759" s="3"/>
    </row>
    <row r="3760" spans="1:4" x14ac:dyDescent="0.25">
      <c r="A3760" s="2"/>
      <c r="B3760" s="3"/>
      <c r="C3760" s="3"/>
      <c r="D3760" s="3"/>
    </row>
    <row r="3761" spans="1:4" x14ac:dyDescent="0.25">
      <c r="A3761" s="2"/>
      <c r="B3761" s="3"/>
      <c r="C3761" s="3"/>
      <c r="D3761" s="3"/>
    </row>
    <row r="3762" spans="1:4" x14ac:dyDescent="0.25">
      <c r="A3762" s="2"/>
      <c r="B3762" s="3"/>
      <c r="C3762" s="3"/>
      <c r="D3762" s="3"/>
    </row>
    <row r="3763" spans="1:4" x14ac:dyDescent="0.25">
      <c r="A3763" s="2"/>
      <c r="B3763" s="3"/>
      <c r="C3763" s="3"/>
      <c r="D3763" s="3"/>
    </row>
    <row r="3764" spans="1:4" x14ac:dyDescent="0.25">
      <c r="A3764" s="2"/>
      <c r="B3764" s="3"/>
      <c r="C3764" s="3"/>
      <c r="D3764" s="3"/>
    </row>
    <row r="3765" spans="1:4" x14ac:dyDescent="0.25">
      <c r="A3765" s="2"/>
      <c r="B3765" s="3"/>
      <c r="C3765" s="3"/>
      <c r="D3765" s="3"/>
    </row>
    <row r="3766" spans="1:4" x14ac:dyDescent="0.25">
      <c r="A3766" s="2"/>
      <c r="B3766" s="3"/>
      <c r="C3766" s="3"/>
      <c r="D3766" s="3"/>
    </row>
    <row r="3767" spans="1:4" x14ac:dyDescent="0.25">
      <c r="A3767" s="2"/>
      <c r="B3767" s="3"/>
      <c r="C3767" s="3"/>
      <c r="D3767" s="3"/>
    </row>
    <row r="3768" spans="1:4" x14ac:dyDescent="0.25">
      <c r="A3768" s="2"/>
      <c r="B3768" s="3"/>
      <c r="C3768" s="3"/>
      <c r="D3768" s="3"/>
    </row>
    <row r="3769" spans="1:4" x14ac:dyDescent="0.25">
      <c r="A3769" s="2"/>
      <c r="B3769" s="3"/>
      <c r="C3769" s="3"/>
      <c r="D3769" s="3"/>
    </row>
    <row r="3770" spans="1:4" x14ac:dyDescent="0.25">
      <c r="A3770" s="2"/>
      <c r="B3770" s="3"/>
      <c r="C3770" s="3"/>
      <c r="D3770" s="3"/>
    </row>
    <row r="3771" spans="1:4" x14ac:dyDescent="0.25">
      <c r="A3771" s="2"/>
      <c r="B3771" s="3"/>
      <c r="C3771" s="3"/>
      <c r="D3771" s="3"/>
    </row>
    <row r="3772" spans="1:4" x14ac:dyDescent="0.25">
      <c r="A3772" s="2"/>
      <c r="B3772" s="3"/>
      <c r="C3772" s="3"/>
      <c r="D3772" s="3"/>
    </row>
    <row r="3773" spans="1:4" x14ac:dyDescent="0.25">
      <c r="A3773" s="2"/>
      <c r="B3773" s="3"/>
      <c r="C3773" s="3"/>
      <c r="D3773" s="3"/>
    </row>
    <row r="3774" spans="1:4" x14ac:dyDescent="0.25">
      <c r="A3774" s="2"/>
      <c r="B3774" s="3"/>
      <c r="C3774" s="3"/>
      <c r="D3774" s="3"/>
    </row>
    <row r="3775" spans="1:4" x14ac:dyDescent="0.25">
      <c r="A3775" s="2"/>
      <c r="B3775" s="3"/>
      <c r="C3775" s="3"/>
      <c r="D3775" s="3"/>
    </row>
    <row r="3776" spans="1:4" x14ac:dyDescent="0.25">
      <c r="A3776" s="2"/>
      <c r="B3776" s="3"/>
      <c r="C3776" s="3"/>
      <c r="D3776" s="3"/>
    </row>
    <row r="3777" spans="1:4" x14ac:dyDescent="0.25">
      <c r="A3777" s="2"/>
      <c r="B3777" s="3"/>
      <c r="C3777" s="3"/>
      <c r="D3777" s="3"/>
    </row>
    <row r="3778" spans="1:4" x14ac:dyDescent="0.25">
      <c r="A3778" s="2"/>
      <c r="B3778" s="3"/>
      <c r="C3778" s="3"/>
      <c r="D3778" s="3"/>
    </row>
    <row r="3779" spans="1:4" x14ac:dyDescent="0.25">
      <c r="A3779" s="2"/>
      <c r="B3779" s="3"/>
      <c r="C3779" s="3"/>
      <c r="D3779" s="3"/>
    </row>
    <row r="3780" spans="1:4" x14ac:dyDescent="0.25">
      <c r="A3780" s="2"/>
      <c r="B3780" s="3"/>
      <c r="C3780" s="3"/>
      <c r="D3780" s="3"/>
    </row>
    <row r="3781" spans="1:4" x14ac:dyDescent="0.25">
      <c r="A3781" s="2"/>
      <c r="B3781" s="3"/>
      <c r="C3781" s="3"/>
      <c r="D3781" s="3"/>
    </row>
    <row r="3782" spans="1:4" x14ac:dyDescent="0.25">
      <c r="A3782" s="2"/>
      <c r="B3782" s="3"/>
      <c r="C3782" s="3"/>
      <c r="D3782" s="3"/>
    </row>
    <row r="3783" spans="1:4" x14ac:dyDescent="0.25">
      <c r="A3783" s="2"/>
      <c r="B3783" s="3"/>
      <c r="C3783" s="3"/>
      <c r="D3783" s="3"/>
    </row>
    <row r="3784" spans="1:4" x14ac:dyDescent="0.25">
      <c r="A3784" s="2"/>
      <c r="B3784" s="3"/>
      <c r="C3784" s="3"/>
      <c r="D3784" s="3"/>
    </row>
    <row r="3785" spans="1:4" x14ac:dyDescent="0.25">
      <c r="A3785" s="2"/>
      <c r="B3785" s="3"/>
      <c r="C3785" s="3"/>
      <c r="D3785" s="3"/>
    </row>
    <row r="3786" spans="1:4" x14ac:dyDescent="0.25">
      <c r="A3786" s="2"/>
      <c r="B3786" s="3"/>
      <c r="C3786" s="3"/>
      <c r="D3786" s="3"/>
    </row>
    <row r="3787" spans="1:4" x14ac:dyDescent="0.25">
      <c r="A3787" s="2"/>
      <c r="B3787" s="3"/>
      <c r="C3787" s="3"/>
      <c r="D3787" s="3"/>
    </row>
    <row r="3788" spans="1:4" x14ac:dyDescent="0.25">
      <c r="A3788" s="2"/>
      <c r="B3788" s="3"/>
      <c r="C3788" s="3"/>
      <c r="D3788" s="3"/>
    </row>
    <row r="3789" spans="1:4" x14ac:dyDescent="0.25">
      <c r="A3789" s="2"/>
      <c r="B3789" s="3"/>
      <c r="C3789" s="3"/>
      <c r="D3789" s="3"/>
    </row>
    <row r="3790" spans="1:4" x14ac:dyDescent="0.25">
      <c r="A3790" s="2"/>
      <c r="B3790" s="3"/>
      <c r="C3790" s="3"/>
      <c r="D3790" s="3"/>
    </row>
    <row r="3791" spans="1:4" x14ac:dyDescent="0.25">
      <c r="A3791" s="2"/>
      <c r="B3791" s="3"/>
      <c r="C3791" s="3"/>
      <c r="D3791" s="3"/>
    </row>
    <row r="3792" spans="1:4" x14ac:dyDescent="0.25">
      <c r="A3792" s="2"/>
      <c r="B3792" s="3"/>
      <c r="C3792" s="3"/>
      <c r="D3792" s="3"/>
    </row>
    <row r="3793" spans="1:4" x14ac:dyDescent="0.25">
      <c r="A3793" s="2"/>
      <c r="B3793" s="3"/>
      <c r="C3793" s="3"/>
      <c r="D3793" s="3"/>
    </row>
    <row r="3794" spans="1:4" x14ac:dyDescent="0.25">
      <c r="A3794" s="2"/>
      <c r="B3794" s="3"/>
      <c r="C3794" s="3"/>
      <c r="D3794" s="3"/>
    </row>
    <row r="3795" spans="1:4" x14ac:dyDescent="0.25">
      <c r="A3795" s="2"/>
      <c r="B3795" s="3"/>
      <c r="C3795" s="3"/>
      <c r="D3795" s="3"/>
    </row>
    <row r="3796" spans="1:4" x14ac:dyDescent="0.25">
      <c r="A3796" s="2"/>
      <c r="B3796" s="3"/>
      <c r="C3796" s="3"/>
      <c r="D3796" s="3"/>
    </row>
    <row r="3797" spans="1:4" x14ac:dyDescent="0.25">
      <c r="A3797" s="2"/>
      <c r="B3797" s="3"/>
      <c r="C3797" s="3"/>
      <c r="D3797" s="3"/>
    </row>
    <row r="3798" spans="1:4" x14ac:dyDescent="0.25">
      <c r="A3798" s="2"/>
      <c r="B3798" s="3"/>
      <c r="C3798" s="3"/>
      <c r="D3798" s="3"/>
    </row>
    <row r="3799" spans="1:4" x14ac:dyDescent="0.25">
      <c r="A3799" s="2"/>
      <c r="B3799" s="3"/>
      <c r="C3799" s="3"/>
      <c r="D3799" s="3"/>
    </row>
    <row r="3800" spans="1:4" x14ac:dyDescent="0.25">
      <c r="A3800" s="2"/>
      <c r="B3800" s="3"/>
      <c r="C3800" s="3"/>
      <c r="D3800" s="3"/>
    </row>
    <row r="3801" spans="1:4" x14ac:dyDescent="0.25">
      <c r="A3801" s="2"/>
      <c r="B3801" s="3"/>
      <c r="C3801" s="3"/>
      <c r="D3801" s="3"/>
    </row>
    <row r="3802" spans="1:4" x14ac:dyDescent="0.25">
      <c r="A3802" s="2"/>
      <c r="B3802" s="3"/>
      <c r="C3802" s="3"/>
      <c r="D3802" s="3"/>
    </row>
    <row r="3803" spans="1:4" x14ac:dyDescent="0.25">
      <c r="A3803" s="2"/>
      <c r="B3803" s="3"/>
      <c r="C3803" s="3"/>
      <c r="D3803" s="3"/>
    </row>
    <row r="3804" spans="1:4" x14ac:dyDescent="0.25">
      <c r="A3804" s="2"/>
      <c r="B3804" s="3"/>
      <c r="C3804" s="3"/>
      <c r="D3804" s="3"/>
    </row>
    <row r="3805" spans="1:4" x14ac:dyDescent="0.25">
      <c r="A3805" s="2"/>
      <c r="B3805" s="3"/>
      <c r="C3805" s="3"/>
      <c r="D3805" s="3"/>
    </row>
    <row r="3806" spans="1:4" x14ac:dyDescent="0.25">
      <c r="A3806" s="2"/>
      <c r="B3806" s="3"/>
      <c r="C3806" s="3"/>
      <c r="D3806" s="3"/>
    </row>
    <row r="3807" spans="1:4" x14ac:dyDescent="0.25">
      <c r="A3807" s="2"/>
      <c r="B3807" s="3"/>
      <c r="C3807" s="3"/>
      <c r="D3807" s="3"/>
    </row>
    <row r="3808" spans="1:4" x14ac:dyDescent="0.25">
      <c r="A3808" s="2"/>
      <c r="B3808" s="3"/>
      <c r="C3808" s="3"/>
      <c r="D3808" s="3"/>
    </row>
    <row r="3809" spans="1:4" x14ac:dyDescent="0.25">
      <c r="A3809" s="2"/>
      <c r="B3809" s="3"/>
      <c r="C3809" s="3"/>
      <c r="D3809" s="3"/>
    </row>
    <row r="3810" spans="1:4" x14ac:dyDescent="0.25">
      <c r="A3810" s="2"/>
      <c r="B3810" s="3"/>
      <c r="C3810" s="3"/>
      <c r="D3810" s="3"/>
    </row>
    <row r="3811" spans="1:4" x14ac:dyDescent="0.25">
      <c r="A3811" s="2"/>
      <c r="B3811" s="3"/>
      <c r="C3811" s="3"/>
      <c r="D3811" s="3"/>
    </row>
    <row r="3812" spans="1:4" x14ac:dyDescent="0.25">
      <c r="A3812" s="2"/>
      <c r="B3812" s="3"/>
      <c r="C3812" s="3"/>
      <c r="D3812" s="3"/>
    </row>
    <row r="3813" spans="1:4" x14ac:dyDescent="0.25">
      <c r="A3813" s="2"/>
      <c r="B3813" s="3"/>
      <c r="C3813" s="3"/>
      <c r="D3813" s="3"/>
    </row>
    <row r="3814" spans="1:4" x14ac:dyDescent="0.25">
      <c r="A3814" s="2"/>
      <c r="B3814" s="3"/>
      <c r="C3814" s="3"/>
      <c r="D3814" s="3"/>
    </row>
    <row r="3815" spans="1:4" x14ac:dyDescent="0.25">
      <c r="A3815" s="2"/>
      <c r="B3815" s="3"/>
      <c r="C3815" s="3"/>
      <c r="D3815" s="3"/>
    </row>
    <row r="3816" spans="1:4" x14ac:dyDescent="0.25">
      <c r="A3816" s="2"/>
      <c r="B3816" s="3"/>
      <c r="C3816" s="3"/>
      <c r="D3816" s="3"/>
    </row>
    <row r="3817" spans="1:4" x14ac:dyDescent="0.25">
      <c r="A3817" s="2"/>
      <c r="B3817" s="3"/>
      <c r="C3817" s="3"/>
      <c r="D3817" s="3"/>
    </row>
    <row r="3818" spans="1:4" x14ac:dyDescent="0.25">
      <c r="A3818" s="2"/>
      <c r="B3818" s="3"/>
      <c r="C3818" s="3"/>
      <c r="D3818" s="3"/>
    </row>
    <row r="3819" spans="1:4" x14ac:dyDescent="0.25">
      <c r="A3819" s="2"/>
      <c r="B3819" s="3"/>
      <c r="C3819" s="3"/>
      <c r="D3819" s="3"/>
    </row>
    <row r="3820" spans="1:4" x14ac:dyDescent="0.25">
      <c r="A3820" s="2"/>
      <c r="B3820" s="3"/>
      <c r="C3820" s="3"/>
      <c r="D3820" s="3"/>
    </row>
    <row r="3821" spans="1:4" x14ac:dyDescent="0.25">
      <c r="A3821" s="2"/>
      <c r="B3821" s="3"/>
      <c r="C3821" s="3"/>
      <c r="D3821" s="3"/>
    </row>
    <row r="3822" spans="1:4" x14ac:dyDescent="0.25">
      <c r="A3822" s="2"/>
      <c r="B3822" s="3"/>
      <c r="C3822" s="3"/>
      <c r="D3822" s="3"/>
    </row>
    <row r="3823" spans="1:4" x14ac:dyDescent="0.25">
      <c r="A3823" s="2"/>
      <c r="B3823" s="3"/>
      <c r="C3823" s="3"/>
      <c r="D3823" s="3"/>
    </row>
    <row r="3824" spans="1:4" x14ac:dyDescent="0.25">
      <c r="A3824" s="2"/>
      <c r="B3824" s="3"/>
      <c r="C3824" s="3"/>
      <c r="D3824" s="3"/>
    </row>
    <row r="3825" spans="1:4" x14ac:dyDescent="0.25">
      <c r="A3825" s="2"/>
      <c r="B3825" s="3"/>
      <c r="C3825" s="3"/>
      <c r="D3825" s="3"/>
    </row>
    <row r="3826" spans="1:4" x14ac:dyDescent="0.25">
      <c r="A3826" s="2"/>
      <c r="B3826" s="3"/>
      <c r="C3826" s="3"/>
      <c r="D3826" s="3"/>
    </row>
    <row r="3827" spans="1:4" x14ac:dyDescent="0.25">
      <c r="A3827" s="2"/>
      <c r="B3827" s="3"/>
      <c r="C3827" s="3"/>
      <c r="D3827" s="3"/>
    </row>
    <row r="3828" spans="1:4" x14ac:dyDescent="0.25">
      <c r="A3828" s="2"/>
      <c r="B3828" s="3"/>
      <c r="C3828" s="3"/>
      <c r="D3828" s="3"/>
    </row>
    <row r="3829" spans="1:4" x14ac:dyDescent="0.25">
      <c r="A3829" s="2"/>
      <c r="B3829" s="3"/>
      <c r="C3829" s="3"/>
      <c r="D3829" s="3"/>
    </row>
    <row r="3830" spans="1:4" x14ac:dyDescent="0.25">
      <c r="A3830" s="2"/>
      <c r="B3830" s="3"/>
      <c r="C3830" s="3"/>
      <c r="D3830" s="3"/>
    </row>
    <row r="3831" spans="1:4" x14ac:dyDescent="0.25">
      <c r="A3831" s="2"/>
      <c r="B3831" s="3"/>
      <c r="C3831" s="3"/>
      <c r="D3831" s="3"/>
    </row>
    <row r="3832" spans="1:4" x14ac:dyDescent="0.25">
      <c r="A3832" s="2"/>
      <c r="B3832" s="3"/>
      <c r="C3832" s="3"/>
      <c r="D3832" s="3"/>
    </row>
    <row r="3833" spans="1:4" x14ac:dyDescent="0.25">
      <c r="A3833" s="2"/>
      <c r="B3833" s="3"/>
      <c r="C3833" s="3"/>
      <c r="D3833" s="3"/>
    </row>
    <row r="3834" spans="1:4" x14ac:dyDescent="0.25">
      <c r="A3834" s="2"/>
      <c r="B3834" s="3"/>
      <c r="C3834" s="3"/>
      <c r="D3834" s="3"/>
    </row>
    <row r="3835" spans="1:4" x14ac:dyDescent="0.25">
      <c r="A3835" s="2"/>
      <c r="B3835" s="3"/>
      <c r="C3835" s="3"/>
      <c r="D3835" s="3"/>
    </row>
    <row r="3836" spans="1:4" x14ac:dyDescent="0.25">
      <c r="A3836" s="2"/>
      <c r="B3836" s="3"/>
      <c r="C3836" s="3"/>
      <c r="D3836" s="3"/>
    </row>
    <row r="3837" spans="1:4" x14ac:dyDescent="0.25">
      <c r="A3837" s="2"/>
      <c r="B3837" s="3"/>
      <c r="C3837" s="3"/>
      <c r="D3837" s="3"/>
    </row>
    <row r="3838" spans="1:4" x14ac:dyDescent="0.25">
      <c r="A3838" s="2"/>
      <c r="B3838" s="3"/>
      <c r="C3838" s="3"/>
      <c r="D3838" s="3"/>
    </row>
    <row r="3839" spans="1:4" x14ac:dyDescent="0.25">
      <c r="A3839" s="2"/>
      <c r="B3839" s="3"/>
      <c r="C3839" s="3"/>
      <c r="D3839" s="3"/>
    </row>
    <row r="3840" spans="1:4" x14ac:dyDescent="0.25">
      <c r="A3840" s="2"/>
      <c r="B3840" s="3"/>
      <c r="C3840" s="3"/>
      <c r="D3840" s="3"/>
    </row>
    <row r="3841" spans="1:4" x14ac:dyDescent="0.25">
      <c r="A3841" s="2"/>
      <c r="B3841" s="3"/>
      <c r="C3841" s="3"/>
      <c r="D3841" s="3"/>
    </row>
    <row r="3842" spans="1:4" x14ac:dyDescent="0.25">
      <c r="A3842" s="2"/>
      <c r="B3842" s="3"/>
      <c r="C3842" s="3"/>
      <c r="D3842" s="3"/>
    </row>
    <row r="3843" spans="1:4" x14ac:dyDescent="0.25">
      <c r="A3843" s="2"/>
      <c r="B3843" s="3"/>
      <c r="C3843" s="3"/>
      <c r="D3843" s="3"/>
    </row>
    <row r="3844" spans="1:4" x14ac:dyDescent="0.25">
      <c r="A3844" s="2"/>
      <c r="B3844" s="3"/>
      <c r="C3844" s="3"/>
      <c r="D3844" s="3"/>
    </row>
    <row r="3845" spans="1:4" x14ac:dyDescent="0.25">
      <c r="A3845" s="2"/>
      <c r="B3845" s="3"/>
      <c r="C3845" s="3"/>
      <c r="D3845" s="3"/>
    </row>
    <row r="3846" spans="1:4" x14ac:dyDescent="0.25">
      <c r="A3846" s="2"/>
      <c r="B3846" s="3"/>
      <c r="C3846" s="3"/>
      <c r="D3846" s="3"/>
    </row>
    <row r="3847" spans="1:4" x14ac:dyDescent="0.25">
      <c r="A3847" s="2"/>
      <c r="B3847" s="3"/>
      <c r="C3847" s="3"/>
      <c r="D3847" s="3"/>
    </row>
    <row r="3848" spans="1:4" x14ac:dyDescent="0.25">
      <c r="A3848" s="2"/>
      <c r="B3848" s="3"/>
      <c r="C3848" s="3"/>
      <c r="D3848" s="3"/>
    </row>
    <row r="3849" spans="1:4" x14ac:dyDescent="0.25">
      <c r="A3849" s="2"/>
      <c r="B3849" s="3"/>
      <c r="C3849" s="3"/>
      <c r="D3849" s="3"/>
    </row>
    <row r="3850" spans="1:4" x14ac:dyDescent="0.25">
      <c r="A3850" s="2"/>
      <c r="B3850" s="3"/>
      <c r="C3850" s="3"/>
      <c r="D3850" s="3"/>
    </row>
    <row r="3851" spans="1:4" x14ac:dyDescent="0.25">
      <c r="A3851" s="2"/>
      <c r="B3851" s="3"/>
      <c r="C3851" s="3"/>
      <c r="D3851" s="3"/>
    </row>
    <row r="3852" spans="1:4" x14ac:dyDescent="0.25">
      <c r="A3852" s="2"/>
      <c r="B3852" s="3"/>
      <c r="C3852" s="3"/>
      <c r="D3852" s="3"/>
    </row>
    <row r="3853" spans="1:4" x14ac:dyDescent="0.25">
      <c r="A3853" s="2"/>
      <c r="B3853" s="3"/>
      <c r="C3853" s="3"/>
      <c r="D3853" s="3"/>
    </row>
    <row r="3854" spans="1:4" x14ac:dyDescent="0.25">
      <c r="A3854" s="2"/>
      <c r="B3854" s="3"/>
      <c r="C3854" s="3"/>
      <c r="D3854" s="3"/>
    </row>
    <row r="3855" spans="1:4" x14ac:dyDescent="0.25">
      <c r="A3855" s="2"/>
      <c r="B3855" s="3"/>
      <c r="C3855" s="3"/>
      <c r="D3855" s="3"/>
    </row>
    <row r="3856" spans="1:4" x14ac:dyDescent="0.25">
      <c r="A3856" s="2"/>
      <c r="B3856" s="3"/>
      <c r="C3856" s="3"/>
      <c r="D3856" s="3"/>
    </row>
    <row r="3857" spans="1:4" x14ac:dyDescent="0.25">
      <c r="A3857" s="2"/>
      <c r="B3857" s="3"/>
      <c r="C3857" s="3"/>
      <c r="D3857" s="3"/>
    </row>
    <row r="3858" spans="1:4" x14ac:dyDescent="0.25">
      <c r="A3858" s="2"/>
      <c r="B3858" s="3"/>
      <c r="C3858" s="3"/>
      <c r="D3858" s="3"/>
    </row>
    <row r="3859" spans="1:4" x14ac:dyDescent="0.25">
      <c r="A3859" s="2"/>
      <c r="B3859" s="3"/>
      <c r="C3859" s="3"/>
      <c r="D3859" s="3"/>
    </row>
    <row r="3860" spans="1:4" x14ac:dyDescent="0.25">
      <c r="A3860" s="2"/>
      <c r="B3860" s="3"/>
      <c r="C3860" s="3"/>
      <c r="D3860" s="3"/>
    </row>
    <row r="3861" spans="1:4" x14ac:dyDescent="0.25">
      <c r="A3861" s="2"/>
      <c r="B3861" s="3"/>
      <c r="C3861" s="3"/>
      <c r="D3861" s="3"/>
    </row>
    <row r="3862" spans="1:4" x14ac:dyDescent="0.25">
      <c r="A3862" s="2"/>
      <c r="B3862" s="3"/>
      <c r="C3862" s="3"/>
      <c r="D3862" s="3"/>
    </row>
    <row r="3863" spans="1:4" x14ac:dyDescent="0.25">
      <c r="A3863" s="2"/>
      <c r="B3863" s="3"/>
      <c r="C3863" s="3"/>
      <c r="D3863" s="3"/>
    </row>
    <row r="3864" spans="1:4" x14ac:dyDescent="0.25">
      <c r="A3864" s="2"/>
      <c r="B3864" s="3"/>
      <c r="C3864" s="3"/>
      <c r="D3864" s="3"/>
    </row>
    <row r="3865" spans="1:4" x14ac:dyDescent="0.25">
      <c r="A3865" s="2"/>
      <c r="B3865" s="3"/>
      <c r="C3865" s="3"/>
      <c r="D3865" s="3"/>
    </row>
    <row r="3866" spans="1:4" x14ac:dyDescent="0.25">
      <c r="A3866" s="2"/>
      <c r="B3866" s="3"/>
      <c r="C3866" s="3"/>
      <c r="D3866" s="3"/>
    </row>
    <row r="3867" spans="1:4" x14ac:dyDescent="0.25">
      <c r="A3867" s="2"/>
      <c r="B3867" s="3"/>
      <c r="C3867" s="3"/>
      <c r="D3867" s="3"/>
    </row>
    <row r="3868" spans="1:4" x14ac:dyDescent="0.25">
      <c r="A3868" s="2"/>
      <c r="B3868" s="3"/>
      <c r="C3868" s="3"/>
      <c r="D3868" s="3"/>
    </row>
    <row r="3869" spans="1:4" x14ac:dyDescent="0.25">
      <c r="A3869" s="2"/>
      <c r="B3869" s="3"/>
      <c r="C3869" s="3"/>
      <c r="D3869" s="3"/>
    </row>
    <row r="3870" spans="1:4" x14ac:dyDescent="0.25">
      <c r="A3870" s="2"/>
      <c r="B3870" s="3"/>
      <c r="C3870" s="3"/>
      <c r="D3870" s="3"/>
    </row>
    <row r="3871" spans="1:4" x14ac:dyDescent="0.25">
      <c r="A3871" s="2"/>
      <c r="B3871" s="3"/>
      <c r="C3871" s="3"/>
      <c r="D3871" s="3"/>
    </row>
    <row r="3872" spans="1:4" x14ac:dyDescent="0.25">
      <c r="A3872" s="2"/>
      <c r="B3872" s="3"/>
      <c r="C3872" s="3"/>
      <c r="D3872" s="3"/>
    </row>
    <row r="3873" spans="1:4" x14ac:dyDescent="0.25">
      <c r="A3873" s="2"/>
      <c r="B3873" s="3"/>
      <c r="C3873" s="3"/>
      <c r="D3873" s="3"/>
    </row>
    <row r="3874" spans="1:4" x14ac:dyDescent="0.25">
      <c r="A3874" s="2"/>
      <c r="B3874" s="3"/>
      <c r="C3874" s="3"/>
      <c r="D3874" s="3"/>
    </row>
    <row r="3875" spans="1:4" x14ac:dyDescent="0.25">
      <c r="A3875" s="2"/>
      <c r="B3875" s="3"/>
      <c r="C3875" s="3"/>
      <c r="D3875" s="3"/>
    </row>
    <row r="3876" spans="1:4" x14ac:dyDescent="0.25">
      <c r="A3876" s="2"/>
      <c r="B3876" s="3"/>
      <c r="C3876" s="3"/>
      <c r="D3876" s="3"/>
    </row>
    <row r="3877" spans="1:4" x14ac:dyDescent="0.25">
      <c r="A3877" s="2"/>
      <c r="B3877" s="3"/>
      <c r="C3877" s="3"/>
      <c r="D3877" s="3"/>
    </row>
    <row r="3878" spans="1:4" x14ac:dyDescent="0.25">
      <c r="A3878" s="2"/>
      <c r="B3878" s="3"/>
      <c r="C3878" s="3"/>
      <c r="D3878" s="3"/>
    </row>
    <row r="3879" spans="1:4" x14ac:dyDescent="0.25">
      <c r="A3879" s="2"/>
      <c r="B3879" s="3"/>
      <c r="C3879" s="3"/>
      <c r="D3879" s="3"/>
    </row>
    <row r="3880" spans="1:4" x14ac:dyDescent="0.25">
      <c r="A3880" s="2"/>
      <c r="B3880" s="3"/>
      <c r="C3880" s="3"/>
      <c r="D3880" s="3"/>
    </row>
    <row r="3881" spans="1:4" x14ac:dyDescent="0.25">
      <c r="A3881" s="2"/>
      <c r="B3881" s="3"/>
      <c r="C3881" s="3"/>
      <c r="D3881" s="3"/>
    </row>
    <row r="3882" spans="1:4" x14ac:dyDescent="0.25">
      <c r="A3882" s="2"/>
      <c r="B3882" s="3"/>
      <c r="C3882" s="3"/>
      <c r="D3882" s="3"/>
    </row>
    <row r="3883" spans="1:4" x14ac:dyDescent="0.25">
      <c r="A3883" s="2"/>
      <c r="B3883" s="3"/>
      <c r="C3883" s="3"/>
      <c r="D3883" s="3"/>
    </row>
    <row r="3884" spans="1:4" x14ac:dyDescent="0.25">
      <c r="A3884" s="2"/>
      <c r="B3884" s="3"/>
      <c r="C3884" s="3"/>
      <c r="D3884" s="3"/>
    </row>
    <row r="3885" spans="1:4" x14ac:dyDescent="0.25">
      <c r="A3885" s="2"/>
      <c r="B3885" s="3"/>
      <c r="C3885" s="3"/>
      <c r="D3885" s="3"/>
    </row>
    <row r="3886" spans="1:4" x14ac:dyDescent="0.25">
      <c r="A3886" s="2"/>
      <c r="B3886" s="3"/>
      <c r="C3886" s="3"/>
      <c r="D3886" s="3"/>
    </row>
    <row r="3887" spans="1:4" x14ac:dyDescent="0.25">
      <c r="A3887" s="2"/>
      <c r="B3887" s="3"/>
      <c r="C3887" s="3"/>
      <c r="D3887" s="3"/>
    </row>
    <row r="3888" spans="1:4" x14ac:dyDescent="0.25">
      <c r="A3888" s="2"/>
      <c r="B3888" s="3"/>
      <c r="C3888" s="3"/>
      <c r="D3888" s="3"/>
    </row>
    <row r="3889" spans="1:4" x14ac:dyDescent="0.25">
      <c r="A3889" s="2"/>
      <c r="B3889" s="3"/>
      <c r="C3889" s="3"/>
      <c r="D3889" s="3"/>
    </row>
    <row r="3890" spans="1:4" x14ac:dyDescent="0.25">
      <c r="A3890" s="2"/>
      <c r="B3890" s="3"/>
      <c r="C3890" s="3"/>
      <c r="D3890" s="3"/>
    </row>
    <row r="3891" spans="1:4" x14ac:dyDescent="0.25">
      <c r="A3891" s="2"/>
      <c r="B3891" s="3"/>
      <c r="C3891" s="3"/>
      <c r="D3891" s="3"/>
    </row>
    <row r="3892" spans="1:4" x14ac:dyDescent="0.25">
      <c r="A3892" s="2"/>
      <c r="B3892" s="3"/>
      <c r="C3892" s="3"/>
      <c r="D3892" s="3"/>
    </row>
    <row r="3893" spans="1:4" x14ac:dyDescent="0.25">
      <c r="A3893" s="2"/>
      <c r="B3893" s="3"/>
      <c r="C3893" s="3"/>
      <c r="D3893" s="3"/>
    </row>
    <row r="3894" spans="1:4" x14ac:dyDescent="0.25">
      <c r="A3894" s="2"/>
      <c r="B3894" s="3"/>
      <c r="C3894" s="3"/>
      <c r="D3894" s="3"/>
    </row>
    <row r="3895" spans="1:4" x14ac:dyDescent="0.25">
      <c r="A3895" s="2"/>
      <c r="B3895" s="3"/>
      <c r="C3895" s="3"/>
      <c r="D3895" s="3"/>
    </row>
    <row r="3896" spans="1:4" x14ac:dyDescent="0.25">
      <c r="A3896" s="2"/>
      <c r="B3896" s="3"/>
      <c r="C3896" s="3"/>
      <c r="D3896" s="3"/>
    </row>
    <row r="3897" spans="1:4" x14ac:dyDescent="0.25">
      <c r="A3897" s="2"/>
      <c r="B3897" s="3"/>
      <c r="C3897" s="3"/>
      <c r="D3897" s="3"/>
    </row>
    <row r="3898" spans="1:4" x14ac:dyDescent="0.25">
      <c r="A3898" s="2"/>
      <c r="B3898" s="3"/>
      <c r="C3898" s="3"/>
      <c r="D3898" s="3"/>
    </row>
    <row r="3899" spans="1:4" x14ac:dyDescent="0.25">
      <c r="A3899" s="2"/>
      <c r="B3899" s="3"/>
      <c r="C3899" s="3"/>
      <c r="D3899" s="3"/>
    </row>
    <row r="3900" spans="1:4" x14ac:dyDescent="0.25">
      <c r="A3900" s="2"/>
      <c r="B3900" s="3"/>
      <c r="C3900" s="3"/>
      <c r="D3900" s="3"/>
    </row>
    <row r="3901" spans="1:4" x14ac:dyDescent="0.25">
      <c r="A3901" s="2"/>
      <c r="B3901" s="3"/>
      <c r="C3901" s="3"/>
      <c r="D3901" s="3"/>
    </row>
    <row r="3902" spans="1:4" x14ac:dyDescent="0.25">
      <c r="A3902" s="2"/>
      <c r="B3902" s="3"/>
      <c r="C3902" s="3"/>
      <c r="D3902" s="3"/>
    </row>
    <row r="3903" spans="1:4" x14ac:dyDescent="0.25">
      <c r="A3903" s="2"/>
      <c r="B3903" s="3"/>
      <c r="C3903" s="3"/>
      <c r="D3903" s="3"/>
    </row>
    <row r="3904" spans="1:4" x14ac:dyDescent="0.25">
      <c r="A3904" s="2"/>
      <c r="B3904" s="3"/>
      <c r="C3904" s="3"/>
      <c r="D3904" s="3"/>
    </row>
    <row r="3905" spans="1:4" x14ac:dyDescent="0.25">
      <c r="A3905" s="2"/>
      <c r="B3905" s="3"/>
      <c r="C3905" s="3"/>
      <c r="D3905" s="3"/>
    </row>
    <row r="3906" spans="1:4" x14ac:dyDescent="0.25">
      <c r="A3906" s="2"/>
      <c r="B3906" s="3"/>
      <c r="C3906" s="3"/>
      <c r="D3906" s="3"/>
    </row>
    <row r="3907" spans="1:4" x14ac:dyDescent="0.25">
      <c r="A3907" s="2"/>
      <c r="B3907" s="3"/>
      <c r="C3907" s="3"/>
      <c r="D3907" s="3"/>
    </row>
    <row r="3908" spans="1:4" x14ac:dyDescent="0.25">
      <c r="A3908" s="2"/>
      <c r="B3908" s="3"/>
      <c r="C3908" s="3"/>
      <c r="D3908" s="3"/>
    </row>
    <row r="3909" spans="1:4" x14ac:dyDescent="0.25">
      <c r="A3909" s="2"/>
      <c r="B3909" s="3"/>
      <c r="C3909" s="3"/>
      <c r="D3909" s="3"/>
    </row>
    <row r="3910" spans="1:4" x14ac:dyDescent="0.25">
      <c r="A3910" s="2"/>
      <c r="B3910" s="3"/>
      <c r="C3910" s="3"/>
      <c r="D3910" s="3"/>
    </row>
    <row r="3911" spans="1:4" x14ac:dyDescent="0.25">
      <c r="A3911" s="2"/>
      <c r="B3911" s="3"/>
      <c r="C3911" s="3"/>
      <c r="D3911" s="3"/>
    </row>
    <row r="3912" spans="1:4" x14ac:dyDescent="0.25">
      <c r="A3912" s="2"/>
      <c r="B3912" s="3"/>
      <c r="C3912" s="3"/>
      <c r="D3912" s="3"/>
    </row>
    <row r="3913" spans="1:4" x14ac:dyDescent="0.25">
      <c r="A3913" s="2"/>
      <c r="B3913" s="3"/>
      <c r="C3913" s="3"/>
      <c r="D3913" s="3"/>
    </row>
    <row r="3914" spans="1:4" x14ac:dyDescent="0.25">
      <c r="A3914" s="2"/>
      <c r="B3914" s="3"/>
      <c r="C3914" s="3"/>
      <c r="D3914" s="3"/>
    </row>
    <row r="3915" spans="1:4" x14ac:dyDescent="0.25">
      <c r="A3915" s="2"/>
      <c r="B3915" s="3"/>
      <c r="C3915" s="3"/>
      <c r="D3915" s="3"/>
    </row>
    <row r="3916" spans="1:4" x14ac:dyDescent="0.25">
      <c r="A3916" s="2"/>
      <c r="B3916" s="3"/>
      <c r="C3916" s="3"/>
      <c r="D3916" s="3"/>
    </row>
    <row r="3917" spans="1:4" x14ac:dyDescent="0.25">
      <c r="A3917" s="2"/>
      <c r="B3917" s="3"/>
      <c r="C3917" s="3"/>
      <c r="D3917" s="3"/>
    </row>
    <row r="3918" spans="1:4" x14ac:dyDescent="0.25">
      <c r="A3918" s="2"/>
      <c r="B3918" s="3"/>
      <c r="C3918" s="3"/>
      <c r="D3918" s="3"/>
    </row>
    <row r="3919" spans="1:4" x14ac:dyDescent="0.25">
      <c r="A3919" s="2"/>
      <c r="B3919" s="3"/>
      <c r="C3919" s="3"/>
      <c r="D3919" s="3"/>
    </row>
    <row r="3920" spans="1:4" x14ac:dyDescent="0.25">
      <c r="A3920" s="2"/>
      <c r="B3920" s="3"/>
      <c r="C3920" s="3"/>
      <c r="D3920" s="3"/>
    </row>
    <row r="3921" spans="1:4" x14ac:dyDescent="0.25">
      <c r="A3921" s="2"/>
      <c r="B3921" s="3"/>
      <c r="C3921" s="3"/>
      <c r="D3921" s="3"/>
    </row>
    <row r="3922" spans="1:4" x14ac:dyDescent="0.25">
      <c r="A3922" s="2"/>
      <c r="B3922" s="3"/>
      <c r="C3922" s="3"/>
      <c r="D3922" s="3"/>
    </row>
    <row r="3923" spans="1:4" x14ac:dyDescent="0.25">
      <c r="A3923" s="2"/>
      <c r="B3923" s="3"/>
      <c r="C3923" s="3"/>
      <c r="D3923" s="3"/>
    </row>
    <row r="3924" spans="1:4" x14ac:dyDescent="0.25">
      <c r="A3924" s="2"/>
      <c r="B3924" s="3"/>
      <c r="C3924" s="3"/>
      <c r="D3924" s="3"/>
    </row>
    <row r="3925" spans="1:4" x14ac:dyDescent="0.25">
      <c r="A3925" s="2"/>
      <c r="B3925" s="3"/>
      <c r="C3925" s="3"/>
      <c r="D3925" s="3"/>
    </row>
    <row r="3926" spans="1:4" x14ac:dyDescent="0.25">
      <c r="A3926" s="2"/>
      <c r="B3926" s="3"/>
      <c r="C3926" s="3"/>
      <c r="D3926" s="3"/>
    </row>
    <row r="3927" spans="1:4" x14ac:dyDescent="0.25">
      <c r="A3927" s="2"/>
      <c r="B3927" s="3"/>
      <c r="C3927" s="3"/>
      <c r="D3927" s="3"/>
    </row>
    <row r="3928" spans="1:4" x14ac:dyDescent="0.25">
      <c r="A3928" s="2"/>
      <c r="B3928" s="3"/>
      <c r="C3928" s="3"/>
      <c r="D3928" s="3"/>
    </row>
    <row r="3929" spans="1:4" x14ac:dyDescent="0.25">
      <c r="A3929" s="2"/>
      <c r="B3929" s="3"/>
      <c r="C3929" s="3"/>
      <c r="D3929" s="3"/>
    </row>
    <row r="3930" spans="1:4" x14ac:dyDescent="0.25">
      <c r="A3930" s="2"/>
      <c r="B3930" s="3"/>
      <c r="C3930" s="3"/>
      <c r="D3930" s="3"/>
    </row>
    <row r="3931" spans="1:4" x14ac:dyDescent="0.25">
      <c r="A3931" s="2"/>
      <c r="B3931" s="3"/>
      <c r="C3931" s="3"/>
      <c r="D3931" s="3"/>
    </row>
    <row r="3932" spans="1:4" x14ac:dyDescent="0.25">
      <c r="A3932" s="2"/>
      <c r="B3932" s="3"/>
      <c r="C3932" s="3"/>
      <c r="D3932" s="3"/>
    </row>
    <row r="3933" spans="1:4" x14ac:dyDescent="0.25">
      <c r="A3933" s="2"/>
      <c r="B3933" s="3"/>
      <c r="C3933" s="3"/>
      <c r="D3933" s="3"/>
    </row>
    <row r="3934" spans="1:4" x14ac:dyDescent="0.25">
      <c r="A3934" s="2"/>
      <c r="B3934" s="3"/>
      <c r="C3934" s="3"/>
      <c r="D3934" s="3"/>
    </row>
    <row r="3935" spans="1:4" x14ac:dyDescent="0.25">
      <c r="A3935" s="2"/>
      <c r="B3935" s="3"/>
      <c r="C3935" s="3"/>
      <c r="D3935" s="3"/>
    </row>
    <row r="3936" spans="1:4" x14ac:dyDescent="0.25">
      <c r="A3936" s="2"/>
      <c r="B3936" s="3"/>
      <c r="C3936" s="3"/>
      <c r="D3936" s="3"/>
    </row>
    <row r="3937" spans="1:4" x14ac:dyDescent="0.25">
      <c r="A3937" s="2"/>
      <c r="B3937" s="3"/>
      <c r="C3937" s="3"/>
      <c r="D3937" s="3"/>
    </row>
    <row r="3938" spans="1:4" x14ac:dyDescent="0.25">
      <c r="A3938" s="2"/>
      <c r="B3938" s="3"/>
      <c r="C3938" s="3"/>
      <c r="D3938" s="3"/>
    </row>
    <row r="3939" spans="1:4" x14ac:dyDescent="0.25">
      <c r="A3939" s="2"/>
      <c r="B3939" s="3"/>
      <c r="C3939" s="3"/>
      <c r="D3939" s="3"/>
    </row>
    <row r="3940" spans="1:4" x14ac:dyDescent="0.25">
      <c r="A3940" s="2"/>
      <c r="B3940" s="3"/>
      <c r="C3940" s="3"/>
      <c r="D3940" s="3"/>
    </row>
    <row r="3941" spans="1:4" x14ac:dyDescent="0.25">
      <c r="A3941" s="2"/>
      <c r="B3941" s="3"/>
      <c r="C3941" s="3"/>
      <c r="D3941" s="3"/>
    </row>
    <row r="3942" spans="1:4" x14ac:dyDescent="0.25">
      <c r="A3942" s="2"/>
      <c r="B3942" s="3"/>
      <c r="C3942" s="3"/>
      <c r="D3942" s="3"/>
    </row>
    <row r="3943" spans="1:4" x14ac:dyDescent="0.25">
      <c r="A3943" s="2"/>
      <c r="B3943" s="3"/>
      <c r="C3943" s="3"/>
      <c r="D3943" s="3"/>
    </row>
    <row r="3944" spans="1:4" x14ac:dyDescent="0.25">
      <c r="A3944" s="2"/>
      <c r="B3944" s="3"/>
      <c r="C3944" s="3"/>
      <c r="D3944" s="3"/>
    </row>
    <row r="3945" spans="1:4" x14ac:dyDescent="0.25">
      <c r="A3945" s="2"/>
      <c r="B3945" s="3"/>
      <c r="C3945" s="3"/>
      <c r="D3945" s="3"/>
    </row>
    <row r="3946" spans="1:4" x14ac:dyDescent="0.25">
      <c r="A3946" s="2"/>
      <c r="B3946" s="3"/>
      <c r="C3946" s="3"/>
      <c r="D3946" s="3"/>
    </row>
    <row r="3947" spans="1:4" x14ac:dyDescent="0.25">
      <c r="A3947" s="2"/>
      <c r="B3947" s="3"/>
      <c r="C3947" s="3"/>
      <c r="D3947" s="3"/>
    </row>
    <row r="3948" spans="1:4" x14ac:dyDescent="0.25">
      <c r="A3948" s="2"/>
      <c r="B3948" s="3"/>
      <c r="C3948" s="3"/>
      <c r="D3948" s="3"/>
    </row>
    <row r="3949" spans="1:4" x14ac:dyDescent="0.25">
      <c r="A3949" s="2"/>
      <c r="B3949" s="3"/>
      <c r="C3949" s="3"/>
      <c r="D3949" s="3"/>
    </row>
    <row r="3950" spans="1:4" x14ac:dyDescent="0.25">
      <c r="A3950" s="2"/>
      <c r="B3950" s="3"/>
      <c r="C3950" s="3"/>
      <c r="D3950" s="3"/>
    </row>
    <row r="3951" spans="1:4" x14ac:dyDescent="0.25">
      <c r="A3951" s="2"/>
      <c r="B3951" s="3"/>
      <c r="C3951" s="3"/>
      <c r="D3951" s="3"/>
    </row>
    <row r="3952" spans="1:4" x14ac:dyDescent="0.25">
      <c r="A3952" s="2"/>
      <c r="B3952" s="3"/>
      <c r="C3952" s="3"/>
      <c r="D3952" s="3"/>
    </row>
    <row r="3953" spans="1:4" x14ac:dyDescent="0.25">
      <c r="A3953" s="2"/>
      <c r="B3953" s="3"/>
      <c r="C3953" s="3"/>
      <c r="D3953" s="3"/>
    </row>
    <row r="3954" spans="1:4" x14ac:dyDescent="0.25">
      <c r="A3954" s="2"/>
      <c r="B3954" s="3"/>
      <c r="C3954" s="3"/>
      <c r="D3954" s="3"/>
    </row>
    <row r="3955" spans="1:4" x14ac:dyDescent="0.25">
      <c r="A3955" s="2"/>
      <c r="B3955" s="3"/>
      <c r="C3955" s="3"/>
      <c r="D3955" s="3"/>
    </row>
    <row r="3956" spans="1:4" x14ac:dyDescent="0.25">
      <c r="A3956" s="2"/>
      <c r="B3956" s="3"/>
      <c r="C3956" s="3"/>
      <c r="D3956" s="3"/>
    </row>
    <row r="3957" spans="1:4" x14ac:dyDescent="0.25">
      <c r="A3957" s="2"/>
      <c r="B3957" s="3"/>
      <c r="C3957" s="3"/>
      <c r="D3957" s="3"/>
    </row>
    <row r="3958" spans="1:4" x14ac:dyDescent="0.25">
      <c r="A3958" s="2"/>
      <c r="B3958" s="3"/>
      <c r="C3958" s="3"/>
      <c r="D3958" s="3"/>
    </row>
    <row r="3959" spans="1:4" x14ac:dyDescent="0.25">
      <c r="A3959" s="2"/>
      <c r="B3959" s="3"/>
      <c r="C3959" s="3"/>
      <c r="D3959" s="3"/>
    </row>
    <row r="3960" spans="1:4" x14ac:dyDescent="0.25">
      <c r="A3960" s="2"/>
      <c r="B3960" s="3"/>
      <c r="C3960" s="3"/>
      <c r="D3960" s="3"/>
    </row>
    <row r="3961" spans="1:4" x14ac:dyDescent="0.25">
      <c r="A3961" s="2"/>
      <c r="B3961" s="3"/>
      <c r="C3961" s="3"/>
      <c r="D3961" s="3"/>
    </row>
    <row r="3962" spans="1:4" x14ac:dyDescent="0.25">
      <c r="A3962" s="2"/>
      <c r="B3962" s="3"/>
      <c r="C3962" s="3"/>
      <c r="D3962" s="3"/>
    </row>
    <row r="3963" spans="1:4" x14ac:dyDescent="0.25">
      <c r="A3963" s="2"/>
      <c r="B3963" s="3"/>
      <c r="C3963" s="3"/>
      <c r="D3963" s="3"/>
    </row>
    <row r="3964" spans="1:4" x14ac:dyDescent="0.25">
      <c r="A3964" s="2"/>
      <c r="B3964" s="3"/>
      <c r="C3964" s="3"/>
      <c r="D3964" s="3"/>
    </row>
    <row r="3965" spans="1:4" x14ac:dyDescent="0.25">
      <c r="A3965" s="2"/>
      <c r="B3965" s="3"/>
      <c r="C3965" s="3"/>
      <c r="D3965" s="3"/>
    </row>
    <row r="3966" spans="1:4" x14ac:dyDescent="0.25">
      <c r="A3966" s="2"/>
      <c r="B3966" s="3"/>
      <c r="C3966" s="3"/>
      <c r="D3966" s="3"/>
    </row>
    <row r="3967" spans="1:4" x14ac:dyDescent="0.25">
      <c r="A3967" s="2"/>
      <c r="B3967" s="3"/>
      <c r="C3967" s="3"/>
      <c r="D3967" s="3"/>
    </row>
    <row r="3968" spans="1:4" x14ac:dyDescent="0.25">
      <c r="A3968" s="2"/>
      <c r="B3968" s="3"/>
      <c r="C3968" s="3"/>
      <c r="D3968" s="3"/>
    </row>
    <row r="3969" spans="1:4" x14ac:dyDescent="0.25">
      <c r="A3969" s="2"/>
      <c r="B3969" s="3"/>
      <c r="C3969" s="3"/>
      <c r="D3969" s="3"/>
    </row>
    <row r="3970" spans="1:4" x14ac:dyDescent="0.25">
      <c r="A3970" s="2"/>
      <c r="B3970" s="3"/>
      <c r="C3970" s="3"/>
      <c r="D3970" s="3"/>
    </row>
    <row r="3971" spans="1:4" x14ac:dyDescent="0.25">
      <c r="A3971" s="2"/>
      <c r="B3971" s="3"/>
      <c r="C3971" s="3"/>
      <c r="D3971" s="3"/>
    </row>
    <row r="3972" spans="1:4" x14ac:dyDescent="0.25">
      <c r="A3972" s="2"/>
      <c r="B3972" s="3"/>
      <c r="C3972" s="3"/>
      <c r="D3972" s="3"/>
    </row>
    <row r="3973" spans="1:4" x14ac:dyDescent="0.25">
      <c r="A3973" s="2"/>
      <c r="B3973" s="3"/>
      <c r="C3973" s="3"/>
      <c r="D3973" s="3"/>
    </row>
    <row r="3974" spans="1:4" x14ac:dyDescent="0.25">
      <c r="A3974" s="2"/>
      <c r="B3974" s="3"/>
      <c r="C3974" s="3"/>
      <c r="D3974" s="3"/>
    </row>
    <row r="3975" spans="1:4" x14ac:dyDescent="0.25">
      <c r="A3975" s="2"/>
      <c r="B3975" s="3"/>
      <c r="C3975" s="3"/>
      <c r="D3975" s="3"/>
    </row>
    <row r="3976" spans="1:4" x14ac:dyDescent="0.25">
      <c r="A3976" s="2"/>
      <c r="B3976" s="3"/>
      <c r="C3976" s="3"/>
      <c r="D3976" s="3"/>
    </row>
    <row r="3977" spans="1:4" x14ac:dyDescent="0.25">
      <c r="A3977" s="2"/>
      <c r="B3977" s="3"/>
      <c r="C3977" s="3"/>
      <c r="D3977" s="3"/>
    </row>
    <row r="3978" spans="1:4" x14ac:dyDescent="0.25">
      <c r="A3978" s="2"/>
      <c r="B3978" s="3"/>
      <c r="C3978" s="3"/>
      <c r="D3978" s="3"/>
    </row>
    <row r="3979" spans="1:4" x14ac:dyDescent="0.25">
      <c r="A3979" s="2"/>
      <c r="B3979" s="3"/>
      <c r="C3979" s="3"/>
      <c r="D3979" s="3"/>
    </row>
    <row r="3980" spans="1:4" x14ac:dyDescent="0.25">
      <c r="A3980" s="2"/>
      <c r="B3980" s="3"/>
      <c r="C3980" s="3"/>
      <c r="D3980" s="3"/>
    </row>
    <row r="3981" spans="1:4" x14ac:dyDescent="0.25">
      <c r="A3981" s="2"/>
      <c r="B3981" s="3"/>
      <c r="C3981" s="3"/>
      <c r="D3981" s="3"/>
    </row>
    <row r="3982" spans="1:4" x14ac:dyDescent="0.25">
      <c r="A3982" s="2"/>
      <c r="B3982" s="3"/>
      <c r="C3982" s="3"/>
      <c r="D3982" s="3"/>
    </row>
    <row r="3983" spans="1:4" x14ac:dyDescent="0.25">
      <c r="A3983" s="2"/>
      <c r="B3983" s="3"/>
      <c r="C3983" s="3"/>
      <c r="D3983" s="3"/>
    </row>
    <row r="3984" spans="1:4" x14ac:dyDescent="0.25">
      <c r="A3984" s="2"/>
      <c r="B3984" s="3"/>
      <c r="C3984" s="3"/>
      <c r="D3984" s="3"/>
    </row>
    <row r="3985" spans="1:4" x14ac:dyDescent="0.25">
      <c r="A3985" s="2"/>
      <c r="B3985" s="3"/>
      <c r="C3985" s="3"/>
      <c r="D3985" s="3"/>
    </row>
    <row r="3986" spans="1:4" x14ac:dyDescent="0.25">
      <c r="A3986" s="2"/>
      <c r="B3986" s="3"/>
      <c r="C3986" s="3"/>
      <c r="D3986" s="3"/>
    </row>
    <row r="3987" spans="1:4" x14ac:dyDescent="0.25">
      <c r="A3987" s="2"/>
      <c r="B3987" s="3"/>
      <c r="C3987" s="3"/>
      <c r="D3987" s="3"/>
    </row>
    <row r="3988" spans="1:4" x14ac:dyDescent="0.25">
      <c r="A3988" s="2"/>
      <c r="B3988" s="3"/>
      <c r="C3988" s="3"/>
      <c r="D3988" s="3"/>
    </row>
    <row r="3989" spans="1:4" x14ac:dyDescent="0.25">
      <c r="A3989" s="2"/>
      <c r="B3989" s="3"/>
      <c r="C3989" s="3"/>
      <c r="D3989" s="3"/>
    </row>
    <row r="3990" spans="1:4" x14ac:dyDescent="0.25">
      <c r="A3990" s="2"/>
      <c r="B3990" s="3"/>
      <c r="C3990" s="3"/>
      <c r="D3990" s="3"/>
    </row>
    <row r="3991" spans="1:4" x14ac:dyDescent="0.25">
      <c r="A3991" s="2"/>
      <c r="B3991" s="3"/>
      <c r="C3991" s="3"/>
      <c r="D3991" s="3"/>
    </row>
    <row r="3992" spans="1:4" x14ac:dyDescent="0.25">
      <c r="A3992" s="2"/>
      <c r="B3992" s="3"/>
      <c r="C3992" s="3"/>
      <c r="D3992" s="3"/>
    </row>
    <row r="3993" spans="1:4" x14ac:dyDescent="0.25">
      <c r="A3993" s="2"/>
      <c r="B3993" s="3"/>
      <c r="C3993" s="3"/>
      <c r="D3993" s="3"/>
    </row>
    <row r="3994" spans="1:4" x14ac:dyDescent="0.25">
      <c r="A3994" s="2"/>
      <c r="B3994" s="3"/>
      <c r="C3994" s="3"/>
      <c r="D3994" s="3"/>
    </row>
    <row r="3995" spans="1:4" x14ac:dyDescent="0.25">
      <c r="A3995" s="2"/>
      <c r="B3995" s="3"/>
      <c r="C3995" s="3"/>
      <c r="D3995" s="3"/>
    </row>
    <row r="3996" spans="1:4" x14ac:dyDescent="0.25">
      <c r="A3996" s="2"/>
      <c r="B3996" s="3"/>
      <c r="C3996" s="3"/>
      <c r="D3996" s="3"/>
    </row>
    <row r="3997" spans="1:4" x14ac:dyDescent="0.25">
      <c r="A3997" s="2"/>
      <c r="B3997" s="3"/>
      <c r="C3997" s="3"/>
      <c r="D3997" s="3"/>
    </row>
    <row r="3998" spans="1:4" x14ac:dyDescent="0.25">
      <c r="A3998" s="2"/>
      <c r="B3998" s="3"/>
      <c r="C3998" s="3"/>
      <c r="D3998" s="3"/>
    </row>
    <row r="3999" spans="1:4" x14ac:dyDescent="0.25">
      <c r="A3999" s="2"/>
      <c r="B3999" s="3"/>
      <c r="C3999" s="3"/>
      <c r="D3999" s="3"/>
    </row>
    <row r="4000" spans="1:4" x14ac:dyDescent="0.25">
      <c r="A4000" s="2"/>
      <c r="B4000" s="3"/>
      <c r="C4000" s="3"/>
      <c r="D4000" s="3"/>
    </row>
    <row r="4001" spans="1:4" x14ac:dyDescent="0.25">
      <c r="A4001" s="2"/>
      <c r="B4001" s="3"/>
      <c r="C4001" s="3"/>
      <c r="D4001" s="3"/>
    </row>
    <row r="4002" spans="1:4" x14ac:dyDescent="0.25">
      <c r="A4002" s="2"/>
      <c r="B4002" s="3"/>
      <c r="C4002" s="3"/>
      <c r="D4002" s="3"/>
    </row>
    <row r="4003" spans="1:4" x14ac:dyDescent="0.25">
      <c r="A4003" s="2"/>
      <c r="B4003" s="3"/>
      <c r="C4003" s="3"/>
      <c r="D4003" s="3"/>
    </row>
    <row r="4004" spans="1:4" x14ac:dyDescent="0.25">
      <c r="A4004" s="2"/>
      <c r="B4004" s="3"/>
      <c r="C4004" s="3"/>
      <c r="D4004" s="3"/>
    </row>
    <row r="4005" spans="1:4" x14ac:dyDescent="0.25">
      <c r="A4005" s="2"/>
      <c r="B4005" s="3"/>
      <c r="C4005" s="3"/>
      <c r="D4005" s="3"/>
    </row>
    <row r="4006" spans="1:4" x14ac:dyDescent="0.25">
      <c r="A4006" s="2"/>
      <c r="B4006" s="3"/>
      <c r="C4006" s="3"/>
      <c r="D4006" s="3"/>
    </row>
    <row r="4007" spans="1:4" x14ac:dyDescent="0.25">
      <c r="A4007" s="2"/>
      <c r="B4007" s="3"/>
      <c r="C4007" s="3"/>
      <c r="D4007" s="3"/>
    </row>
    <row r="4008" spans="1:4" x14ac:dyDescent="0.25">
      <c r="A4008" s="2"/>
      <c r="B4008" s="3"/>
      <c r="C4008" s="3"/>
      <c r="D4008" s="3"/>
    </row>
    <row r="4009" spans="1:4" x14ac:dyDescent="0.25">
      <c r="A4009" s="2"/>
      <c r="B4009" s="3"/>
      <c r="C4009" s="3"/>
      <c r="D4009" s="3"/>
    </row>
    <row r="4010" spans="1:4" x14ac:dyDescent="0.25">
      <c r="A4010" s="2"/>
      <c r="B4010" s="3"/>
      <c r="C4010" s="3"/>
      <c r="D4010" s="3"/>
    </row>
    <row r="4011" spans="1:4" x14ac:dyDescent="0.25">
      <c r="A4011" s="2"/>
      <c r="B4011" s="3"/>
      <c r="C4011" s="3"/>
      <c r="D4011" s="3"/>
    </row>
    <row r="4012" spans="1:4" x14ac:dyDescent="0.25">
      <c r="A4012" s="2"/>
      <c r="B4012" s="3"/>
      <c r="C4012" s="3"/>
      <c r="D4012" s="3"/>
    </row>
    <row r="4013" spans="1:4" x14ac:dyDescent="0.25">
      <c r="A4013" s="2"/>
      <c r="B4013" s="3"/>
      <c r="C4013" s="3"/>
      <c r="D4013" s="3"/>
    </row>
    <row r="4014" spans="1:4" x14ac:dyDescent="0.25">
      <c r="A4014" s="2"/>
      <c r="B4014" s="3"/>
      <c r="C4014" s="3"/>
      <c r="D4014" s="3"/>
    </row>
    <row r="4015" spans="1:4" x14ac:dyDescent="0.25">
      <c r="A4015" s="2"/>
      <c r="B4015" s="3"/>
      <c r="C4015" s="3"/>
      <c r="D4015" s="3"/>
    </row>
    <row r="4016" spans="1:4" x14ac:dyDescent="0.25">
      <c r="A4016" s="2"/>
      <c r="B4016" s="3"/>
      <c r="C4016" s="3"/>
      <c r="D4016" s="3"/>
    </row>
    <row r="4017" spans="1:4" x14ac:dyDescent="0.25">
      <c r="A4017" s="2"/>
      <c r="B4017" s="3"/>
      <c r="C4017" s="3"/>
      <c r="D4017" s="3"/>
    </row>
    <row r="4018" spans="1:4" x14ac:dyDescent="0.25">
      <c r="A4018" s="2"/>
      <c r="B4018" s="3"/>
      <c r="C4018" s="3"/>
      <c r="D4018" s="3"/>
    </row>
    <row r="4019" spans="1:4" x14ac:dyDescent="0.25">
      <c r="A4019" s="2"/>
      <c r="B4019" s="3"/>
      <c r="C4019" s="3"/>
      <c r="D4019" s="3"/>
    </row>
    <row r="4020" spans="1:4" x14ac:dyDescent="0.25">
      <c r="A4020" s="2"/>
      <c r="B4020" s="3"/>
      <c r="C4020" s="3"/>
      <c r="D4020" s="3"/>
    </row>
    <row r="4021" spans="1:4" x14ac:dyDescent="0.25">
      <c r="A4021" s="2"/>
      <c r="B4021" s="3"/>
      <c r="C4021" s="3"/>
      <c r="D4021" s="3"/>
    </row>
    <row r="4022" spans="1:4" x14ac:dyDescent="0.25">
      <c r="A4022" s="2"/>
      <c r="B4022" s="3"/>
      <c r="C4022" s="3"/>
      <c r="D4022" s="3"/>
    </row>
    <row r="4023" spans="1:4" x14ac:dyDescent="0.25">
      <c r="A4023" s="2"/>
      <c r="B4023" s="3"/>
      <c r="C4023" s="3"/>
      <c r="D4023" s="3"/>
    </row>
    <row r="4024" spans="1:4" x14ac:dyDescent="0.25">
      <c r="A4024" s="2"/>
      <c r="B4024" s="3"/>
      <c r="C4024" s="3"/>
      <c r="D4024" s="3"/>
    </row>
    <row r="4025" spans="1:4" x14ac:dyDescent="0.25">
      <c r="A4025" s="2"/>
      <c r="B4025" s="3"/>
      <c r="C4025" s="3"/>
      <c r="D4025" s="3"/>
    </row>
    <row r="4026" spans="1:4" x14ac:dyDescent="0.25">
      <c r="A4026" s="2"/>
      <c r="B4026" s="3"/>
      <c r="C4026" s="3"/>
      <c r="D4026" s="3"/>
    </row>
    <row r="4027" spans="1:4" x14ac:dyDescent="0.25">
      <c r="A4027" s="2"/>
      <c r="B4027" s="3"/>
      <c r="C4027" s="3"/>
      <c r="D4027" s="3"/>
    </row>
    <row r="4028" spans="1:4" x14ac:dyDescent="0.25">
      <c r="A4028" s="2"/>
      <c r="B4028" s="3"/>
      <c r="C4028" s="3"/>
      <c r="D4028" s="3"/>
    </row>
    <row r="4029" spans="1:4" x14ac:dyDescent="0.25">
      <c r="A4029" s="2"/>
      <c r="B4029" s="3"/>
      <c r="C4029" s="3"/>
      <c r="D4029" s="3"/>
    </row>
    <row r="4030" spans="1:4" x14ac:dyDescent="0.25">
      <c r="A4030" s="2"/>
      <c r="B4030" s="3"/>
      <c r="C4030" s="3"/>
      <c r="D4030" s="3"/>
    </row>
    <row r="4031" spans="1:4" x14ac:dyDescent="0.25">
      <c r="A4031" s="2"/>
      <c r="B4031" s="3"/>
      <c r="C4031" s="3"/>
      <c r="D4031" s="3"/>
    </row>
    <row r="4032" spans="1:4" x14ac:dyDescent="0.25">
      <c r="A4032" s="2"/>
      <c r="B4032" s="3"/>
      <c r="C4032" s="3"/>
      <c r="D4032" s="3"/>
    </row>
    <row r="4033" spans="1:4" x14ac:dyDescent="0.25">
      <c r="A4033" s="2"/>
      <c r="B4033" s="3"/>
      <c r="C4033" s="3"/>
      <c r="D4033" s="3"/>
    </row>
    <row r="4034" spans="1:4" x14ac:dyDescent="0.25">
      <c r="A4034" s="2"/>
      <c r="B4034" s="3"/>
      <c r="C4034" s="3"/>
      <c r="D4034" s="3"/>
    </row>
    <row r="4035" spans="1:4" x14ac:dyDescent="0.25">
      <c r="A4035" s="2"/>
      <c r="B4035" s="3"/>
      <c r="C4035" s="3"/>
      <c r="D4035" s="3"/>
    </row>
    <row r="4036" spans="1:4" x14ac:dyDescent="0.25">
      <c r="A4036" s="2"/>
      <c r="B4036" s="3"/>
      <c r="C4036" s="3"/>
      <c r="D4036" s="3"/>
    </row>
    <row r="4037" spans="1:4" x14ac:dyDescent="0.25">
      <c r="A4037" s="2"/>
      <c r="B4037" s="3"/>
      <c r="C4037" s="3"/>
      <c r="D4037" s="3"/>
    </row>
    <row r="4038" spans="1:4" x14ac:dyDescent="0.25">
      <c r="A4038" s="2"/>
      <c r="B4038" s="3"/>
      <c r="C4038" s="3"/>
      <c r="D4038" s="3"/>
    </row>
    <row r="4039" spans="1:4" x14ac:dyDescent="0.25">
      <c r="A4039" s="2"/>
      <c r="B4039" s="3"/>
      <c r="C4039" s="3"/>
      <c r="D4039" s="3"/>
    </row>
    <row r="4040" spans="1:4" x14ac:dyDescent="0.25">
      <c r="A4040" s="2"/>
      <c r="B4040" s="3"/>
      <c r="C4040" s="3"/>
      <c r="D4040" s="3"/>
    </row>
    <row r="4041" spans="1:4" x14ac:dyDescent="0.25">
      <c r="A4041" s="2"/>
      <c r="B4041" s="3"/>
      <c r="C4041" s="3"/>
      <c r="D4041" s="3"/>
    </row>
    <row r="4042" spans="1:4" x14ac:dyDescent="0.25">
      <c r="A4042" s="2"/>
      <c r="B4042" s="3"/>
      <c r="C4042" s="3"/>
      <c r="D4042" s="3"/>
    </row>
    <row r="4043" spans="1:4" x14ac:dyDescent="0.25">
      <c r="A4043" s="2"/>
      <c r="B4043" s="3"/>
      <c r="C4043" s="3"/>
      <c r="D4043" s="3"/>
    </row>
    <row r="4044" spans="1:4" x14ac:dyDescent="0.25">
      <c r="A4044" s="2"/>
      <c r="B4044" s="3"/>
      <c r="C4044" s="3"/>
      <c r="D4044" s="3"/>
    </row>
    <row r="4045" spans="1:4" x14ac:dyDescent="0.25">
      <c r="A4045" s="2"/>
      <c r="B4045" s="3"/>
      <c r="C4045" s="3"/>
      <c r="D4045" s="3"/>
    </row>
    <row r="4046" spans="1:4" x14ac:dyDescent="0.25">
      <c r="A4046" s="2"/>
      <c r="B4046" s="3"/>
      <c r="C4046" s="3"/>
      <c r="D4046" s="3"/>
    </row>
    <row r="4047" spans="1:4" x14ac:dyDescent="0.25">
      <c r="A4047" s="2"/>
      <c r="B4047" s="3"/>
      <c r="C4047" s="3"/>
      <c r="D4047" s="3"/>
    </row>
    <row r="4048" spans="1:4" x14ac:dyDescent="0.25">
      <c r="A4048" s="2"/>
      <c r="B4048" s="3"/>
      <c r="C4048" s="3"/>
      <c r="D4048" s="3"/>
    </row>
    <row r="4049" spans="1:4" x14ac:dyDescent="0.25">
      <c r="A4049" s="2"/>
      <c r="B4049" s="3"/>
      <c r="C4049" s="3"/>
      <c r="D4049" s="3"/>
    </row>
    <row r="4050" spans="1:4" x14ac:dyDescent="0.25">
      <c r="A4050" s="2"/>
      <c r="B4050" s="3"/>
      <c r="C4050" s="3"/>
      <c r="D4050" s="3"/>
    </row>
    <row r="4051" spans="1:4" x14ac:dyDescent="0.25">
      <c r="A4051" s="2"/>
      <c r="B4051" s="3"/>
      <c r="C4051" s="3"/>
      <c r="D4051" s="3"/>
    </row>
    <row r="4052" spans="1:4" x14ac:dyDescent="0.25">
      <c r="A4052" s="2"/>
      <c r="B4052" s="3"/>
      <c r="C4052" s="3"/>
      <c r="D4052" s="3"/>
    </row>
    <row r="4053" spans="1:4" x14ac:dyDescent="0.25">
      <c r="A4053" s="2"/>
      <c r="B4053" s="3"/>
      <c r="C4053" s="3"/>
      <c r="D4053" s="3"/>
    </row>
    <row r="4054" spans="1:4" x14ac:dyDescent="0.25">
      <c r="A4054" s="2"/>
      <c r="B4054" s="3"/>
      <c r="C4054" s="3"/>
      <c r="D4054" s="3"/>
    </row>
    <row r="4055" spans="1:4" x14ac:dyDescent="0.25">
      <c r="A4055" s="2"/>
      <c r="B4055" s="3"/>
      <c r="C4055" s="3"/>
      <c r="D4055" s="3"/>
    </row>
    <row r="4056" spans="1:4" x14ac:dyDescent="0.25">
      <c r="A4056" s="2"/>
      <c r="B4056" s="3"/>
      <c r="C4056" s="3"/>
      <c r="D4056" s="3"/>
    </row>
    <row r="4057" spans="1:4" x14ac:dyDescent="0.25">
      <c r="A4057" s="2"/>
      <c r="B4057" s="3"/>
      <c r="C4057" s="3"/>
      <c r="D4057" s="3"/>
    </row>
    <row r="4058" spans="1:4" x14ac:dyDescent="0.25">
      <c r="A4058" s="2"/>
      <c r="B4058" s="3"/>
      <c r="C4058" s="3"/>
      <c r="D4058" s="3"/>
    </row>
    <row r="4059" spans="1:4" x14ac:dyDescent="0.25">
      <c r="A4059" s="2"/>
      <c r="B4059" s="3"/>
      <c r="C4059" s="3"/>
      <c r="D4059" s="3"/>
    </row>
    <row r="4060" spans="1:4" x14ac:dyDescent="0.25">
      <c r="A4060" s="2"/>
      <c r="B4060" s="3"/>
      <c r="C4060" s="3"/>
      <c r="D4060" s="3"/>
    </row>
    <row r="4061" spans="1:4" x14ac:dyDescent="0.25">
      <c r="A4061" s="2"/>
      <c r="B4061" s="3"/>
      <c r="C4061" s="3"/>
      <c r="D4061" s="3"/>
    </row>
    <row r="4062" spans="1:4" x14ac:dyDescent="0.25">
      <c r="A4062" s="2"/>
      <c r="B4062" s="3"/>
      <c r="C4062" s="3"/>
      <c r="D4062" s="3"/>
    </row>
    <row r="4063" spans="1:4" x14ac:dyDescent="0.25">
      <c r="A4063" s="2"/>
      <c r="B4063" s="3"/>
      <c r="C4063" s="3"/>
      <c r="D4063" s="3"/>
    </row>
    <row r="4064" spans="1:4" x14ac:dyDescent="0.25">
      <c r="A4064" s="2"/>
      <c r="B4064" s="3"/>
      <c r="C4064" s="3"/>
      <c r="D4064" s="3"/>
    </row>
    <row r="4065" spans="1:4" x14ac:dyDescent="0.25">
      <c r="A4065" s="2"/>
      <c r="B4065" s="3"/>
      <c r="C4065" s="3"/>
      <c r="D4065" s="3"/>
    </row>
    <row r="4066" spans="1:4" x14ac:dyDescent="0.25">
      <c r="A4066" s="2"/>
      <c r="B4066" s="3"/>
      <c r="C4066" s="3"/>
      <c r="D4066" s="3"/>
    </row>
    <row r="4067" spans="1:4" x14ac:dyDescent="0.25">
      <c r="A4067" s="2"/>
      <c r="B4067" s="3"/>
      <c r="C4067" s="3"/>
      <c r="D4067" s="3"/>
    </row>
    <row r="4068" spans="1:4" x14ac:dyDescent="0.25">
      <c r="A4068" s="2"/>
      <c r="B4068" s="3"/>
      <c r="C4068" s="3"/>
      <c r="D4068" s="3"/>
    </row>
    <row r="4069" spans="1:4" x14ac:dyDescent="0.25">
      <c r="A4069" s="2"/>
      <c r="B4069" s="3"/>
      <c r="C4069" s="3"/>
      <c r="D4069" s="3"/>
    </row>
    <row r="4070" spans="1:4" x14ac:dyDescent="0.25">
      <c r="A4070" s="2"/>
      <c r="B4070" s="3"/>
      <c r="C4070" s="3"/>
      <c r="D4070" s="3"/>
    </row>
    <row r="4071" spans="1:4" x14ac:dyDescent="0.25">
      <c r="A4071" s="2"/>
      <c r="B4071" s="3"/>
      <c r="C4071" s="3"/>
      <c r="D4071" s="3"/>
    </row>
    <row r="4072" spans="1:4" x14ac:dyDescent="0.25">
      <c r="A4072" s="2"/>
      <c r="B4072" s="3"/>
      <c r="C4072" s="3"/>
      <c r="D4072" s="3"/>
    </row>
    <row r="4073" spans="1:4" x14ac:dyDescent="0.25">
      <c r="A4073" s="2"/>
      <c r="B4073" s="3"/>
      <c r="C4073" s="3"/>
      <c r="D4073" s="3"/>
    </row>
    <row r="4074" spans="1:4" x14ac:dyDescent="0.25">
      <c r="A4074" s="2"/>
      <c r="B4074" s="3"/>
      <c r="C4074" s="3"/>
      <c r="D4074" s="3"/>
    </row>
    <row r="4075" spans="1:4" x14ac:dyDescent="0.25">
      <c r="A4075" s="2"/>
      <c r="B4075" s="3"/>
      <c r="C4075" s="3"/>
      <c r="D4075" s="3"/>
    </row>
    <row r="4076" spans="1:4" x14ac:dyDescent="0.25">
      <c r="A4076" s="2"/>
      <c r="B4076" s="3"/>
      <c r="C4076" s="3"/>
      <c r="D4076" s="3"/>
    </row>
    <row r="4077" spans="1:4" x14ac:dyDescent="0.25">
      <c r="A4077" s="2"/>
      <c r="B4077" s="3"/>
      <c r="C4077" s="3"/>
      <c r="D4077" s="3"/>
    </row>
    <row r="4078" spans="1:4" x14ac:dyDescent="0.25">
      <c r="A4078" s="2"/>
      <c r="B4078" s="3"/>
      <c r="C4078" s="3"/>
      <c r="D4078" s="3"/>
    </row>
    <row r="4079" spans="1:4" x14ac:dyDescent="0.25">
      <c r="A4079" s="2"/>
      <c r="B4079" s="3"/>
      <c r="C4079" s="3"/>
      <c r="D4079" s="3"/>
    </row>
    <row r="4080" spans="1:4" x14ac:dyDescent="0.25">
      <c r="A4080" s="2"/>
      <c r="B4080" s="3"/>
      <c r="C4080" s="3"/>
      <c r="D4080" s="3"/>
    </row>
    <row r="4081" spans="1:4" x14ac:dyDescent="0.25">
      <c r="A4081" s="2"/>
      <c r="B4081" s="3"/>
      <c r="C4081" s="3"/>
      <c r="D4081" s="3"/>
    </row>
    <row r="4082" spans="1:4" x14ac:dyDescent="0.25">
      <c r="A4082" s="2"/>
      <c r="B4082" s="3"/>
      <c r="C4082" s="3"/>
      <c r="D4082" s="3"/>
    </row>
    <row r="4083" spans="1:4" x14ac:dyDescent="0.25">
      <c r="A4083" s="2"/>
      <c r="B4083" s="3"/>
      <c r="C4083" s="3"/>
      <c r="D4083" s="3"/>
    </row>
    <row r="4084" spans="1:4" x14ac:dyDescent="0.25">
      <c r="A4084" s="2"/>
      <c r="B4084" s="3"/>
      <c r="C4084" s="3"/>
      <c r="D4084" s="3"/>
    </row>
    <row r="4085" spans="1:4" x14ac:dyDescent="0.25">
      <c r="A4085" s="2"/>
      <c r="B4085" s="3"/>
      <c r="C4085" s="3"/>
      <c r="D4085" s="3"/>
    </row>
    <row r="4086" spans="1:4" x14ac:dyDescent="0.25">
      <c r="A4086" s="2"/>
      <c r="B4086" s="3"/>
      <c r="C4086" s="3"/>
      <c r="D4086" s="3"/>
    </row>
    <row r="4087" spans="1:4" x14ac:dyDescent="0.25">
      <c r="A4087" s="2"/>
      <c r="B4087" s="3"/>
      <c r="C4087" s="3"/>
      <c r="D4087" s="3"/>
    </row>
    <row r="4088" spans="1:4" x14ac:dyDescent="0.25">
      <c r="A4088" s="2"/>
      <c r="B4088" s="3"/>
      <c r="C4088" s="3"/>
      <c r="D4088" s="3"/>
    </row>
    <row r="4089" spans="1:4" x14ac:dyDescent="0.25">
      <c r="A4089" s="2"/>
      <c r="B4089" s="3"/>
      <c r="C4089" s="3"/>
      <c r="D4089" s="3"/>
    </row>
    <row r="4090" spans="1:4" x14ac:dyDescent="0.25">
      <c r="A4090" s="2"/>
      <c r="B4090" s="3"/>
      <c r="C4090" s="3"/>
      <c r="D4090" s="3"/>
    </row>
    <row r="4091" spans="1:4" x14ac:dyDescent="0.25">
      <c r="A4091" s="2"/>
      <c r="B4091" s="3"/>
      <c r="C4091" s="3"/>
      <c r="D4091" s="3"/>
    </row>
    <row r="4092" spans="1:4" x14ac:dyDescent="0.25">
      <c r="A4092" s="2"/>
      <c r="B4092" s="3"/>
      <c r="C4092" s="3"/>
      <c r="D4092" s="3"/>
    </row>
    <row r="4093" spans="1:4" x14ac:dyDescent="0.25">
      <c r="A4093" s="2"/>
      <c r="B4093" s="3"/>
      <c r="C4093" s="3"/>
      <c r="D4093" s="3"/>
    </row>
    <row r="4094" spans="1:4" x14ac:dyDescent="0.25">
      <c r="A4094" s="2"/>
      <c r="B4094" s="3"/>
      <c r="C4094" s="3"/>
      <c r="D4094" s="3"/>
    </row>
    <row r="4095" spans="1:4" x14ac:dyDescent="0.25">
      <c r="A4095" s="2"/>
      <c r="B4095" s="3"/>
      <c r="C4095" s="3"/>
      <c r="D4095" s="3"/>
    </row>
    <row r="4096" spans="1:4" x14ac:dyDescent="0.25">
      <c r="A4096" s="2"/>
      <c r="B4096" s="3"/>
      <c r="C4096" s="3"/>
      <c r="D4096" s="3"/>
    </row>
    <row r="4097" spans="1:4" x14ac:dyDescent="0.25">
      <c r="A4097" s="2"/>
      <c r="B4097" s="3"/>
      <c r="C4097" s="3"/>
      <c r="D4097" s="3"/>
    </row>
    <row r="4098" spans="1:4" x14ac:dyDescent="0.25">
      <c r="A4098" s="2"/>
      <c r="B4098" s="3"/>
      <c r="C4098" s="3"/>
      <c r="D4098" s="3"/>
    </row>
    <row r="4099" spans="1:4" x14ac:dyDescent="0.25">
      <c r="A4099" s="2"/>
      <c r="B4099" s="3"/>
      <c r="C4099" s="3"/>
      <c r="D4099" s="3"/>
    </row>
    <row r="4100" spans="1:4" x14ac:dyDescent="0.25">
      <c r="A4100" s="2"/>
      <c r="B4100" s="3"/>
      <c r="C4100" s="3"/>
      <c r="D4100" s="3"/>
    </row>
    <row r="4101" spans="1:4" x14ac:dyDescent="0.25">
      <c r="A4101" s="2"/>
      <c r="B4101" s="3"/>
      <c r="C4101" s="3"/>
      <c r="D4101" s="3"/>
    </row>
    <row r="4102" spans="1:4" x14ac:dyDescent="0.25">
      <c r="A4102" s="2"/>
      <c r="B4102" s="3"/>
      <c r="C4102" s="3"/>
      <c r="D4102" s="3"/>
    </row>
    <row r="4103" spans="1:4" x14ac:dyDescent="0.25">
      <c r="A4103" s="2"/>
      <c r="B4103" s="3"/>
      <c r="C4103" s="3"/>
      <c r="D4103" s="3"/>
    </row>
    <row r="4104" spans="1:4" x14ac:dyDescent="0.25">
      <c r="A4104" s="2"/>
      <c r="B4104" s="3"/>
      <c r="C4104" s="3"/>
      <c r="D4104" s="3"/>
    </row>
    <row r="4105" spans="1:4" x14ac:dyDescent="0.25">
      <c r="A4105" s="2"/>
      <c r="B4105" s="3"/>
      <c r="C4105" s="3"/>
      <c r="D4105" s="3"/>
    </row>
    <row r="4106" spans="1:4" x14ac:dyDescent="0.25">
      <c r="A4106" s="2"/>
      <c r="B4106" s="3"/>
      <c r="C4106" s="3"/>
      <c r="D4106" s="3"/>
    </row>
    <row r="4107" spans="1:4" x14ac:dyDescent="0.25">
      <c r="A4107" s="2"/>
      <c r="B4107" s="3"/>
      <c r="C4107" s="3"/>
      <c r="D4107" s="3"/>
    </row>
    <row r="4108" spans="1:4" x14ac:dyDescent="0.25">
      <c r="A4108" s="2"/>
      <c r="B4108" s="3"/>
      <c r="C4108" s="3"/>
      <c r="D4108" s="3"/>
    </row>
    <row r="4109" spans="1:4" x14ac:dyDescent="0.25">
      <c r="A4109" s="2"/>
      <c r="B4109" s="3"/>
      <c r="C4109" s="3"/>
      <c r="D4109" s="3"/>
    </row>
    <row r="4110" spans="1:4" x14ac:dyDescent="0.25">
      <c r="A4110" s="2"/>
      <c r="B4110" s="3"/>
      <c r="C4110" s="3"/>
      <c r="D4110" s="3"/>
    </row>
    <row r="4111" spans="1:4" x14ac:dyDescent="0.25">
      <c r="A4111" s="2"/>
      <c r="B4111" s="3"/>
      <c r="C4111" s="3"/>
      <c r="D4111" s="3"/>
    </row>
    <row r="4112" spans="1:4" x14ac:dyDescent="0.25">
      <c r="A4112" s="2"/>
      <c r="B4112" s="3"/>
      <c r="C4112" s="3"/>
      <c r="D4112" s="3"/>
    </row>
    <row r="4113" spans="1:4" x14ac:dyDescent="0.25">
      <c r="A4113" s="2"/>
      <c r="B4113" s="3"/>
      <c r="C4113" s="3"/>
      <c r="D4113" s="3"/>
    </row>
    <row r="4114" spans="1:4" x14ac:dyDescent="0.25">
      <c r="A4114" s="2"/>
      <c r="B4114" s="3"/>
      <c r="C4114" s="3"/>
      <c r="D4114" s="3"/>
    </row>
    <row r="4115" spans="1:4" x14ac:dyDescent="0.25">
      <c r="A4115" s="2"/>
      <c r="B4115" s="3"/>
      <c r="C4115" s="3"/>
      <c r="D4115" s="3"/>
    </row>
    <row r="4116" spans="1:4" x14ac:dyDescent="0.25">
      <c r="A4116" s="2"/>
      <c r="B4116" s="3"/>
      <c r="C4116" s="3"/>
      <c r="D4116" s="3"/>
    </row>
    <row r="4117" spans="1:4" x14ac:dyDescent="0.25">
      <c r="A4117" s="2"/>
      <c r="B4117" s="3"/>
      <c r="C4117" s="3"/>
      <c r="D4117" s="3"/>
    </row>
    <row r="4118" spans="1:4" x14ac:dyDescent="0.25">
      <c r="A4118" s="2"/>
      <c r="B4118" s="3"/>
      <c r="C4118" s="3"/>
      <c r="D4118" s="3"/>
    </row>
    <row r="4119" spans="1:4" x14ac:dyDescent="0.25">
      <c r="A4119" s="2"/>
      <c r="B4119" s="3"/>
      <c r="C4119" s="3"/>
      <c r="D4119" s="3"/>
    </row>
    <row r="4120" spans="1:4" x14ac:dyDescent="0.25">
      <c r="A4120" s="2"/>
      <c r="B4120" s="3"/>
      <c r="C4120" s="3"/>
      <c r="D4120" s="3"/>
    </row>
    <row r="4121" spans="1:4" x14ac:dyDescent="0.25">
      <c r="A4121" s="2"/>
      <c r="B4121" s="3"/>
      <c r="C4121" s="3"/>
      <c r="D4121" s="3"/>
    </row>
    <row r="4122" spans="1:4" x14ac:dyDescent="0.25">
      <c r="A4122" s="2"/>
      <c r="B4122" s="3"/>
      <c r="C4122" s="3"/>
      <c r="D4122" s="3"/>
    </row>
    <row r="4123" spans="1:4" x14ac:dyDescent="0.25">
      <c r="A4123" s="2"/>
      <c r="B4123" s="3"/>
      <c r="C4123" s="3"/>
      <c r="D4123" s="3"/>
    </row>
    <row r="4124" spans="1:4" x14ac:dyDescent="0.25">
      <c r="A4124" s="2"/>
      <c r="B4124" s="3"/>
      <c r="C4124" s="3"/>
      <c r="D4124" s="3"/>
    </row>
    <row r="4125" spans="1:4" x14ac:dyDescent="0.25">
      <c r="A4125" s="2"/>
      <c r="B4125" s="3"/>
      <c r="C4125" s="3"/>
      <c r="D4125" s="3"/>
    </row>
    <row r="4126" spans="1:4" x14ac:dyDescent="0.25">
      <c r="A4126" s="2"/>
      <c r="B4126" s="3"/>
      <c r="C4126" s="3"/>
      <c r="D4126" s="3"/>
    </row>
    <row r="4127" spans="1:4" x14ac:dyDescent="0.25">
      <c r="A4127" s="2"/>
      <c r="B4127" s="3"/>
      <c r="C4127" s="3"/>
      <c r="D4127" s="3"/>
    </row>
    <row r="4128" spans="1:4" x14ac:dyDescent="0.25">
      <c r="A4128" s="2"/>
      <c r="B4128" s="3"/>
      <c r="C4128" s="3"/>
      <c r="D4128" s="3"/>
    </row>
    <row r="4129" spans="1:4" x14ac:dyDescent="0.25">
      <c r="A4129" s="2"/>
      <c r="B4129" s="3"/>
      <c r="C4129" s="3"/>
      <c r="D4129" s="3"/>
    </row>
    <row r="4130" spans="1:4" x14ac:dyDescent="0.25">
      <c r="A4130" s="2"/>
      <c r="B4130" s="3"/>
      <c r="C4130" s="3"/>
      <c r="D4130" s="3"/>
    </row>
    <row r="4131" spans="1:4" x14ac:dyDescent="0.25">
      <c r="A4131" s="2"/>
      <c r="B4131" s="3"/>
      <c r="C4131" s="3"/>
      <c r="D4131" s="3"/>
    </row>
    <row r="4132" spans="1:4" x14ac:dyDescent="0.25">
      <c r="A4132" s="2"/>
      <c r="B4132" s="3"/>
      <c r="C4132" s="3"/>
      <c r="D4132" s="3"/>
    </row>
    <row r="4133" spans="1:4" x14ac:dyDescent="0.25">
      <c r="A4133" s="2"/>
      <c r="B4133" s="3"/>
      <c r="C4133" s="3"/>
      <c r="D4133" s="3"/>
    </row>
    <row r="4134" spans="1:4" x14ac:dyDescent="0.25">
      <c r="A4134" s="2"/>
      <c r="B4134" s="3"/>
      <c r="C4134" s="3"/>
      <c r="D4134" s="3"/>
    </row>
    <row r="4135" spans="1:4" x14ac:dyDescent="0.25">
      <c r="A4135" s="2"/>
      <c r="B4135" s="3"/>
      <c r="C4135" s="3"/>
      <c r="D4135" s="3"/>
    </row>
    <row r="4136" spans="1:4" x14ac:dyDescent="0.25">
      <c r="A4136" s="2"/>
      <c r="B4136" s="3"/>
      <c r="C4136" s="3"/>
      <c r="D4136" s="3"/>
    </row>
    <row r="4137" spans="1:4" x14ac:dyDescent="0.25">
      <c r="A4137" s="2"/>
      <c r="B4137" s="3"/>
      <c r="C4137" s="3"/>
      <c r="D4137" s="3"/>
    </row>
    <row r="4138" spans="1:4" x14ac:dyDescent="0.25">
      <c r="A4138" s="2"/>
      <c r="B4138" s="3"/>
      <c r="C4138" s="3"/>
      <c r="D4138" s="3"/>
    </row>
    <row r="4139" spans="1:4" x14ac:dyDescent="0.25">
      <c r="A4139" s="2"/>
      <c r="B4139" s="3"/>
      <c r="C4139" s="3"/>
      <c r="D4139" s="3"/>
    </row>
    <row r="4140" spans="1:4" x14ac:dyDescent="0.25">
      <c r="A4140" s="2"/>
      <c r="B4140" s="3"/>
      <c r="C4140" s="3"/>
      <c r="D4140" s="3"/>
    </row>
    <row r="4141" spans="1:4" x14ac:dyDescent="0.25">
      <c r="A4141" s="2"/>
      <c r="B4141" s="3"/>
      <c r="C4141" s="3"/>
      <c r="D4141" s="3"/>
    </row>
    <row r="4142" spans="1:4" x14ac:dyDescent="0.25">
      <c r="A4142" s="2"/>
      <c r="B4142" s="3"/>
      <c r="C4142" s="3"/>
      <c r="D4142" s="3"/>
    </row>
    <row r="4143" spans="1:4" x14ac:dyDescent="0.25">
      <c r="A4143" s="2"/>
      <c r="B4143" s="3"/>
      <c r="C4143" s="3"/>
      <c r="D4143" s="3"/>
    </row>
    <row r="4144" spans="1:4" x14ac:dyDescent="0.25">
      <c r="A4144" s="2"/>
      <c r="B4144" s="3"/>
      <c r="C4144" s="3"/>
      <c r="D4144" s="3"/>
    </row>
    <row r="4145" spans="1:4" x14ac:dyDescent="0.25">
      <c r="A4145" s="2"/>
      <c r="B4145" s="3"/>
      <c r="C4145" s="3"/>
      <c r="D4145" s="3"/>
    </row>
    <row r="4146" spans="1:4" x14ac:dyDescent="0.25">
      <c r="A4146" s="2"/>
      <c r="B4146" s="3"/>
      <c r="C4146" s="3"/>
      <c r="D4146" s="3"/>
    </row>
    <row r="4147" spans="1:4" x14ac:dyDescent="0.25">
      <c r="A4147" s="2"/>
      <c r="B4147" s="3"/>
      <c r="C4147" s="3"/>
      <c r="D4147" s="3"/>
    </row>
    <row r="4148" spans="1:4" x14ac:dyDescent="0.25">
      <c r="A4148" s="2"/>
      <c r="B4148" s="3"/>
      <c r="C4148" s="3"/>
      <c r="D4148" s="3"/>
    </row>
    <row r="4149" spans="1:4" x14ac:dyDescent="0.25">
      <c r="A4149" s="2"/>
      <c r="B4149" s="3"/>
      <c r="C4149" s="3"/>
      <c r="D4149" s="3"/>
    </row>
    <row r="4150" spans="1:4" x14ac:dyDescent="0.25">
      <c r="A4150" s="2"/>
      <c r="B4150" s="3"/>
      <c r="C4150" s="3"/>
      <c r="D4150" s="3"/>
    </row>
    <row r="4151" spans="1:4" x14ac:dyDescent="0.25">
      <c r="A4151" s="2"/>
      <c r="B4151" s="3"/>
      <c r="C4151" s="3"/>
      <c r="D4151" s="3"/>
    </row>
    <row r="4152" spans="1:4" x14ac:dyDescent="0.25">
      <c r="A4152" s="2"/>
      <c r="B4152" s="3"/>
      <c r="C4152" s="3"/>
      <c r="D4152" s="3"/>
    </row>
    <row r="4153" spans="1:4" x14ac:dyDescent="0.25">
      <c r="A4153" s="2"/>
      <c r="B4153" s="3"/>
      <c r="C4153" s="3"/>
      <c r="D4153" s="3"/>
    </row>
    <row r="4154" spans="1:4" x14ac:dyDescent="0.25">
      <c r="A4154" s="2"/>
      <c r="B4154" s="3"/>
      <c r="C4154" s="3"/>
      <c r="D4154" s="3"/>
    </row>
    <row r="4155" spans="1:4" x14ac:dyDescent="0.25">
      <c r="A4155" s="2"/>
      <c r="B4155" s="3"/>
      <c r="C4155" s="3"/>
      <c r="D4155" s="3"/>
    </row>
    <row r="4156" spans="1:4" x14ac:dyDescent="0.25">
      <c r="A4156" s="2"/>
      <c r="B4156" s="3"/>
      <c r="C4156" s="3"/>
      <c r="D4156" s="3"/>
    </row>
    <row r="4157" spans="1:4" x14ac:dyDescent="0.25">
      <c r="A4157" s="2"/>
      <c r="B4157" s="3"/>
      <c r="C4157" s="3"/>
      <c r="D4157" s="3"/>
    </row>
    <row r="4158" spans="1:4" x14ac:dyDescent="0.25">
      <c r="A4158" s="2"/>
      <c r="B4158" s="3"/>
      <c r="C4158" s="3"/>
      <c r="D4158" s="3"/>
    </row>
    <row r="4159" spans="1:4" x14ac:dyDescent="0.25">
      <c r="A4159" s="2"/>
      <c r="B4159" s="3"/>
      <c r="C4159" s="3"/>
      <c r="D4159" s="3"/>
    </row>
    <row r="4160" spans="1:4" x14ac:dyDescent="0.25">
      <c r="A4160" s="2"/>
      <c r="B4160" s="3"/>
      <c r="C4160" s="3"/>
      <c r="D4160" s="3"/>
    </row>
    <row r="4161" spans="1:4" x14ac:dyDescent="0.25">
      <c r="A4161" s="2"/>
      <c r="B4161" s="3"/>
      <c r="C4161" s="3"/>
      <c r="D4161" s="3"/>
    </row>
    <row r="4162" spans="1:4" x14ac:dyDescent="0.25">
      <c r="A4162" s="2"/>
      <c r="B4162" s="3"/>
      <c r="C4162" s="3"/>
      <c r="D4162" s="3"/>
    </row>
    <row r="4163" spans="1:4" x14ac:dyDescent="0.25">
      <c r="A4163" s="2"/>
      <c r="B4163" s="3"/>
      <c r="C4163" s="3"/>
      <c r="D4163" s="3"/>
    </row>
    <row r="4164" spans="1:4" x14ac:dyDescent="0.25">
      <c r="A4164" s="2"/>
      <c r="B4164" s="3"/>
      <c r="C4164" s="3"/>
      <c r="D4164" s="3"/>
    </row>
    <row r="4165" spans="1:4" x14ac:dyDescent="0.25">
      <c r="A4165" s="2"/>
      <c r="B4165" s="3"/>
      <c r="C4165" s="3"/>
      <c r="D4165" s="3"/>
    </row>
    <row r="4166" spans="1:4" x14ac:dyDescent="0.25">
      <c r="A4166" s="2"/>
      <c r="B4166" s="3"/>
      <c r="C4166" s="3"/>
      <c r="D4166" s="3"/>
    </row>
    <row r="4167" spans="1:4" x14ac:dyDescent="0.25">
      <c r="A4167" s="2"/>
      <c r="B4167" s="3"/>
      <c r="C4167" s="3"/>
      <c r="D4167" s="3"/>
    </row>
    <row r="4168" spans="1:4" x14ac:dyDescent="0.25">
      <c r="A4168" s="2"/>
      <c r="B4168" s="3"/>
      <c r="C4168" s="3"/>
      <c r="D4168" s="3"/>
    </row>
    <row r="4169" spans="1:4" x14ac:dyDescent="0.25">
      <c r="A4169" s="2"/>
      <c r="B4169" s="3"/>
      <c r="C4169" s="3"/>
      <c r="D4169" s="3"/>
    </row>
    <row r="4170" spans="1:4" x14ac:dyDescent="0.25">
      <c r="A4170" s="2"/>
      <c r="B4170" s="3"/>
      <c r="C4170" s="3"/>
      <c r="D4170" s="3"/>
    </row>
    <row r="4171" spans="1:4" x14ac:dyDescent="0.25">
      <c r="A4171" s="2"/>
      <c r="B4171" s="3"/>
      <c r="C4171" s="3"/>
      <c r="D4171" s="3"/>
    </row>
    <row r="4172" spans="1:4" x14ac:dyDescent="0.25">
      <c r="A4172" s="2"/>
      <c r="B4172" s="3"/>
      <c r="C4172" s="3"/>
      <c r="D4172" s="3"/>
    </row>
    <row r="4173" spans="1:4" x14ac:dyDescent="0.25">
      <c r="A4173" s="2"/>
      <c r="B4173" s="3"/>
      <c r="C4173" s="3"/>
      <c r="D4173" s="3"/>
    </row>
    <row r="4174" spans="1:4" x14ac:dyDescent="0.25">
      <c r="A4174" s="2"/>
      <c r="B4174" s="3"/>
      <c r="C4174" s="3"/>
      <c r="D4174" s="3"/>
    </row>
    <row r="4175" spans="1:4" x14ac:dyDescent="0.25">
      <c r="A4175" s="2"/>
      <c r="B4175" s="3"/>
      <c r="C4175" s="3"/>
      <c r="D4175" s="3"/>
    </row>
    <row r="4176" spans="1:4" x14ac:dyDescent="0.25">
      <c r="A4176" s="2"/>
      <c r="B4176" s="3"/>
      <c r="C4176" s="3"/>
      <c r="D4176" s="3"/>
    </row>
    <row r="4177" spans="1:4" x14ac:dyDescent="0.25">
      <c r="A4177" s="2"/>
      <c r="B4177" s="3"/>
      <c r="C4177" s="3"/>
      <c r="D4177" s="3"/>
    </row>
    <row r="4178" spans="1:4" x14ac:dyDescent="0.25">
      <c r="A4178" s="2"/>
      <c r="B4178" s="3"/>
      <c r="C4178" s="3"/>
      <c r="D4178" s="3"/>
    </row>
    <row r="4179" spans="1:4" x14ac:dyDescent="0.25">
      <c r="A4179" s="2"/>
      <c r="B4179" s="3"/>
      <c r="C4179" s="3"/>
      <c r="D4179" s="3"/>
    </row>
    <row r="4180" spans="1:4" x14ac:dyDescent="0.25">
      <c r="A4180" s="2"/>
      <c r="B4180" s="3"/>
      <c r="C4180" s="3"/>
      <c r="D4180" s="3"/>
    </row>
    <row r="4181" spans="1:4" x14ac:dyDescent="0.25">
      <c r="A4181" s="2"/>
      <c r="B4181" s="3"/>
      <c r="C4181" s="3"/>
      <c r="D4181" s="3"/>
    </row>
    <row r="4182" spans="1:4" x14ac:dyDescent="0.25">
      <c r="A4182" s="2"/>
      <c r="B4182" s="3"/>
      <c r="C4182" s="3"/>
      <c r="D4182" s="3"/>
    </row>
    <row r="4183" spans="1:4" x14ac:dyDescent="0.25">
      <c r="A4183" s="2"/>
      <c r="B4183" s="3"/>
      <c r="C4183" s="3"/>
      <c r="D4183" s="3"/>
    </row>
    <row r="4184" spans="1:4" x14ac:dyDescent="0.25">
      <c r="A4184" s="2"/>
      <c r="B4184" s="3"/>
      <c r="C4184" s="3"/>
      <c r="D4184" s="3"/>
    </row>
    <row r="4185" spans="1:4" x14ac:dyDescent="0.25">
      <c r="A4185" s="2"/>
      <c r="B4185" s="3"/>
      <c r="C4185" s="3"/>
      <c r="D4185" s="3"/>
    </row>
    <row r="4186" spans="1:4" x14ac:dyDescent="0.25">
      <c r="A4186" s="2"/>
      <c r="B4186" s="3"/>
      <c r="C4186" s="3"/>
      <c r="D4186" s="3"/>
    </row>
    <row r="4187" spans="1:4" x14ac:dyDescent="0.25">
      <c r="A4187" s="2"/>
      <c r="B4187" s="3"/>
      <c r="C4187" s="3"/>
      <c r="D4187" s="3"/>
    </row>
    <row r="4188" spans="1:4" x14ac:dyDescent="0.25">
      <c r="A4188" s="2"/>
      <c r="B4188" s="3"/>
      <c r="C4188" s="3"/>
      <c r="D4188" s="3"/>
    </row>
    <row r="4189" spans="1:4" x14ac:dyDescent="0.25">
      <c r="A4189" s="2"/>
      <c r="B4189" s="3"/>
      <c r="C4189" s="3"/>
      <c r="D4189" s="3"/>
    </row>
    <row r="4190" spans="1:4" x14ac:dyDescent="0.25">
      <c r="A4190" s="2"/>
      <c r="B4190" s="3"/>
      <c r="C4190" s="3"/>
      <c r="D4190" s="3"/>
    </row>
    <row r="4191" spans="1:4" x14ac:dyDescent="0.25">
      <c r="A4191" s="2"/>
      <c r="B4191" s="3"/>
      <c r="C4191" s="3"/>
      <c r="D4191" s="3"/>
    </row>
    <row r="4192" spans="1:4" x14ac:dyDescent="0.25">
      <c r="A4192" s="2"/>
      <c r="B4192" s="3"/>
      <c r="C4192" s="3"/>
      <c r="D4192" s="3"/>
    </row>
    <row r="4193" spans="1:4" x14ac:dyDescent="0.25">
      <c r="A4193" s="2"/>
      <c r="B4193" s="3"/>
      <c r="C4193" s="3"/>
      <c r="D4193" s="3"/>
    </row>
    <row r="4194" spans="1:4" x14ac:dyDescent="0.25">
      <c r="A4194" s="2"/>
      <c r="B4194" s="3"/>
      <c r="C4194" s="3"/>
      <c r="D4194" s="3"/>
    </row>
    <row r="4195" spans="1:4" x14ac:dyDescent="0.25">
      <c r="A4195" s="2"/>
      <c r="B4195" s="3"/>
      <c r="C4195" s="3"/>
      <c r="D4195" s="3"/>
    </row>
    <row r="4196" spans="1:4" x14ac:dyDescent="0.25">
      <c r="A4196" s="2"/>
      <c r="B4196" s="3"/>
      <c r="C4196" s="3"/>
      <c r="D4196" s="3"/>
    </row>
    <row r="4197" spans="1:4" x14ac:dyDescent="0.25">
      <c r="A4197" s="2"/>
      <c r="B4197" s="3"/>
      <c r="C4197" s="3"/>
      <c r="D4197" s="3"/>
    </row>
    <row r="4198" spans="1:4" x14ac:dyDescent="0.25">
      <c r="A4198" s="2"/>
      <c r="B4198" s="3"/>
      <c r="C4198" s="3"/>
      <c r="D4198" s="3"/>
    </row>
    <row r="4199" spans="1:4" x14ac:dyDescent="0.25">
      <c r="A4199" s="2"/>
      <c r="B4199" s="3"/>
      <c r="C4199" s="3"/>
      <c r="D4199" s="3"/>
    </row>
    <row r="4200" spans="1:4" x14ac:dyDescent="0.25">
      <c r="A4200" s="2"/>
      <c r="B4200" s="3"/>
      <c r="C4200" s="3"/>
      <c r="D4200" s="3"/>
    </row>
    <row r="4201" spans="1:4" x14ac:dyDescent="0.25">
      <c r="A4201" s="2"/>
      <c r="B4201" s="3"/>
      <c r="C4201" s="3"/>
      <c r="D4201" s="3"/>
    </row>
    <row r="4202" spans="1:4" x14ac:dyDescent="0.25">
      <c r="A4202" s="2"/>
      <c r="B4202" s="3"/>
      <c r="C4202" s="3"/>
      <c r="D4202" s="3"/>
    </row>
    <row r="4203" spans="1:4" x14ac:dyDescent="0.25">
      <c r="A4203" s="2"/>
      <c r="B4203" s="3"/>
      <c r="C4203" s="3"/>
      <c r="D4203" s="3"/>
    </row>
    <row r="4204" spans="1:4" x14ac:dyDescent="0.25">
      <c r="A4204" s="2"/>
      <c r="B4204" s="3"/>
      <c r="C4204" s="3"/>
      <c r="D4204" s="3"/>
    </row>
    <row r="4205" spans="1:4" x14ac:dyDescent="0.25">
      <c r="A4205" s="2"/>
      <c r="B4205" s="3"/>
      <c r="C4205" s="3"/>
      <c r="D4205" s="3"/>
    </row>
    <row r="4206" spans="1:4" x14ac:dyDescent="0.25">
      <c r="A4206" s="2"/>
      <c r="B4206" s="3"/>
      <c r="C4206" s="3"/>
      <c r="D4206" s="3"/>
    </row>
    <row r="4207" spans="1:4" x14ac:dyDescent="0.25">
      <c r="A4207" s="2"/>
      <c r="B4207" s="3"/>
      <c r="C4207" s="3"/>
      <c r="D4207" s="3"/>
    </row>
    <row r="4208" spans="1:4" x14ac:dyDescent="0.25">
      <c r="A4208" s="2"/>
      <c r="B4208" s="3"/>
      <c r="C4208" s="3"/>
      <c r="D4208" s="3"/>
    </row>
    <row r="4209" spans="1:4" x14ac:dyDescent="0.25">
      <c r="A4209" s="2"/>
      <c r="B4209" s="3"/>
      <c r="C4209" s="3"/>
      <c r="D4209" s="3"/>
    </row>
    <row r="4210" spans="1:4" x14ac:dyDescent="0.25">
      <c r="A4210" s="2"/>
      <c r="B4210" s="3"/>
      <c r="C4210" s="3"/>
      <c r="D4210" s="3"/>
    </row>
    <row r="4211" spans="1:4" x14ac:dyDescent="0.25">
      <c r="A4211" s="2"/>
      <c r="B4211" s="3"/>
      <c r="C4211" s="3"/>
      <c r="D4211" s="3"/>
    </row>
    <row r="4212" spans="1:4" x14ac:dyDescent="0.25">
      <c r="A4212" s="2"/>
      <c r="B4212" s="3"/>
      <c r="C4212" s="3"/>
      <c r="D4212" s="3"/>
    </row>
    <row r="4213" spans="1:4" x14ac:dyDescent="0.25">
      <c r="A4213" s="2"/>
      <c r="B4213" s="3"/>
      <c r="C4213" s="3"/>
      <c r="D4213" s="3"/>
    </row>
    <row r="4214" spans="1:4" x14ac:dyDescent="0.25">
      <c r="A4214" s="2"/>
      <c r="B4214" s="3"/>
      <c r="C4214" s="3"/>
      <c r="D4214" s="3"/>
    </row>
    <row r="4215" spans="1:4" x14ac:dyDescent="0.25">
      <c r="A4215" s="2"/>
      <c r="B4215" s="3"/>
      <c r="C4215" s="3"/>
      <c r="D4215" s="3"/>
    </row>
    <row r="4216" spans="1:4" x14ac:dyDescent="0.25">
      <c r="A4216" s="2"/>
      <c r="B4216" s="3"/>
      <c r="C4216" s="3"/>
      <c r="D4216" s="3"/>
    </row>
    <row r="4217" spans="1:4" x14ac:dyDescent="0.25">
      <c r="A4217" s="2"/>
      <c r="B4217" s="3"/>
      <c r="C4217" s="3"/>
      <c r="D4217" s="3"/>
    </row>
    <row r="4218" spans="1:4" x14ac:dyDescent="0.25">
      <c r="A4218" s="2"/>
      <c r="B4218" s="3"/>
      <c r="C4218" s="3"/>
      <c r="D4218" s="3"/>
    </row>
    <row r="4219" spans="1:4" x14ac:dyDescent="0.25">
      <c r="A4219" s="2"/>
      <c r="B4219" s="3"/>
      <c r="C4219" s="3"/>
      <c r="D4219" s="3"/>
    </row>
    <row r="4220" spans="1:4" x14ac:dyDescent="0.25">
      <c r="A4220" s="2"/>
      <c r="B4220" s="3"/>
      <c r="C4220" s="3"/>
      <c r="D4220" s="3"/>
    </row>
    <row r="4221" spans="1:4" x14ac:dyDescent="0.25">
      <c r="A4221" s="2"/>
      <c r="B4221" s="3"/>
      <c r="C4221" s="3"/>
      <c r="D4221" s="3"/>
    </row>
    <row r="4222" spans="1:4" x14ac:dyDescent="0.25">
      <c r="A4222" s="2"/>
      <c r="B4222" s="3"/>
      <c r="C4222" s="3"/>
      <c r="D4222" s="3"/>
    </row>
    <row r="4223" spans="1:4" x14ac:dyDescent="0.25">
      <c r="A4223" s="2"/>
      <c r="B4223" s="3"/>
      <c r="C4223" s="3"/>
      <c r="D4223" s="3"/>
    </row>
    <row r="4224" spans="1:4" x14ac:dyDescent="0.25">
      <c r="A4224" s="2"/>
      <c r="B4224" s="3"/>
      <c r="C4224" s="3"/>
      <c r="D4224" s="3"/>
    </row>
    <row r="4225" spans="1:4" x14ac:dyDescent="0.25">
      <c r="A4225" s="2"/>
      <c r="B4225" s="3"/>
      <c r="C4225" s="3"/>
      <c r="D4225" s="3"/>
    </row>
    <row r="4226" spans="1:4" x14ac:dyDescent="0.25">
      <c r="A4226" s="2"/>
      <c r="B4226" s="3"/>
      <c r="C4226" s="3"/>
      <c r="D4226" s="3"/>
    </row>
    <row r="4227" spans="1:4" x14ac:dyDescent="0.25">
      <c r="A4227" s="2"/>
      <c r="B4227" s="3"/>
      <c r="C4227" s="3"/>
      <c r="D4227" s="3"/>
    </row>
    <row r="4228" spans="1:4" x14ac:dyDescent="0.25">
      <c r="A4228" s="2"/>
      <c r="B4228" s="3"/>
      <c r="C4228" s="3"/>
      <c r="D4228" s="3"/>
    </row>
    <row r="4229" spans="1:4" x14ac:dyDescent="0.25">
      <c r="A4229" s="2"/>
      <c r="B4229" s="3"/>
      <c r="C4229" s="3"/>
      <c r="D4229" s="3"/>
    </row>
    <row r="4230" spans="1:4" x14ac:dyDescent="0.25">
      <c r="A4230" s="2"/>
      <c r="B4230" s="3"/>
      <c r="C4230" s="3"/>
      <c r="D4230" s="3"/>
    </row>
    <row r="4231" spans="1:4" x14ac:dyDescent="0.25">
      <c r="A4231" s="2"/>
      <c r="B4231" s="3"/>
      <c r="C4231" s="3"/>
      <c r="D4231" s="3"/>
    </row>
    <row r="4232" spans="1:4" x14ac:dyDescent="0.25">
      <c r="A4232" s="2"/>
      <c r="B4232" s="3"/>
      <c r="C4232" s="3"/>
      <c r="D4232" s="3"/>
    </row>
    <row r="4233" spans="1:4" x14ac:dyDescent="0.25">
      <c r="A4233" s="2"/>
      <c r="B4233" s="3"/>
      <c r="C4233" s="3"/>
      <c r="D4233" s="3"/>
    </row>
    <row r="4234" spans="1:4" x14ac:dyDescent="0.25">
      <c r="A4234" s="2"/>
      <c r="B4234" s="3"/>
      <c r="C4234" s="3"/>
      <c r="D4234" s="3"/>
    </row>
    <row r="4235" spans="1:4" x14ac:dyDescent="0.25">
      <c r="A4235" s="2"/>
      <c r="B4235" s="3"/>
      <c r="C4235" s="3"/>
      <c r="D4235" s="3"/>
    </row>
    <row r="4236" spans="1:4" x14ac:dyDescent="0.25">
      <c r="A4236" s="2"/>
      <c r="B4236" s="3"/>
      <c r="C4236" s="3"/>
      <c r="D4236" s="3"/>
    </row>
    <row r="4237" spans="1:4" x14ac:dyDescent="0.25">
      <c r="A4237" s="2"/>
      <c r="B4237" s="3"/>
      <c r="C4237" s="3"/>
      <c r="D4237" s="3"/>
    </row>
    <row r="4238" spans="1:4" x14ac:dyDescent="0.25">
      <c r="A4238" s="2"/>
      <c r="B4238" s="3"/>
      <c r="C4238" s="3"/>
      <c r="D4238" s="3"/>
    </row>
    <row r="4239" spans="1:4" x14ac:dyDescent="0.25">
      <c r="A4239" s="2"/>
      <c r="B4239" s="3"/>
      <c r="C4239" s="3"/>
      <c r="D4239" s="3"/>
    </row>
    <row r="4240" spans="1:4" x14ac:dyDescent="0.25">
      <c r="A4240" s="2"/>
      <c r="B4240" s="3"/>
      <c r="C4240" s="3"/>
      <c r="D4240" s="3"/>
    </row>
    <row r="4241" spans="1:4" x14ac:dyDescent="0.25">
      <c r="A4241" s="2"/>
      <c r="B4241" s="3"/>
      <c r="C4241" s="3"/>
      <c r="D4241" s="3"/>
    </row>
    <row r="4242" spans="1:4" x14ac:dyDescent="0.25">
      <c r="A4242" s="2"/>
      <c r="B4242" s="3"/>
      <c r="C4242" s="3"/>
      <c r="D4242" s="3"/>
    </row>
    <row r="4243" spans="1:4" x14ac:dyDescent="0.25">
      <c r="A4243" s="2"/>
      <c r="B4243" s="3"/>
      <c r="C4243" s="3"/>
      <c r="D4243" s="3"/>
    </row>
    <row r="4244" spans="1:4" x14ac:dyDescent="0.25">
      <c r="A4244" s="2"/>
      <c r="B4244" s="3"/>
      <c r="C4244" s="3"/>
      <c r="D4244" s="3"/>
    </row>
    <row r="4245" spans="1:4" x14ac:dyDescent="0.25">
      <c r="A4245" s="2"/>
      <c r="B4245" s="3"/>
      <c r="C4245" s="3"/>
      <c r="D4245" s="3"/>
    </row>
    <row r="4246" spans="1:4" x14ac:dyDescent="0.25">
      <c r="A4246" s="2"/>
      <c r="B4246" s="3"/>
      <c r="C4246" s="3"/>
      <c r="D4246" s="3"/>
    </row>
    <row r="4247" spans="1:4" x14ac:dyDescent="0.25">
      <c r="A4247" s="2"/>
      <c r="B4247" s="3"/>
      <c r="C4247" s="3"/>
      <c r="D4247" s="3"/>
    </row>
    <row r="4248" spans="1:4" x14ac:dyDescent="0.25">
      <c r="A4248" s="2"/>
      <c r="B4248" s="3"/>
      <c r="C4248" s="3"/>
      <c r="D4248" s="3"/>
    </row>
    <row r="4249" spans="1:4" x14ac:dyDescent="0.25">
      <c r="A4249" s="2"/>
      <c r="B4249" s="3"/>
      <c r="C4249" s="3"/>
      <c r="D4249" s="3"/>
    </row>
    <row r="4250" spans="1:4" x14ac:dyDescent="0.25">
      <c r="A4250" s="2"/>
      <c r="B4250" s="3"/>
      <c r="C4250" s="3"/>
      <c r="D4250" s="3"/>
    </row>
    <row r="4251" spans="1:4" x14ac:dyDescent="0.25">
      <c r="A4251" s="2"/>
      <c r="B4251" s="3"/>
      <c r="C4251" s="3"/>
      <c r="D4251" s="3"/>
    </row>
    <row r="4252" spans="1:4" x14ac:dyDescent="0.25">
      <c r="A4252" s="2"/>
      <c r="B4252" s="3"/>
      <c r="C4252" s="3"/>
      <c r="D4252" s="3"/>
    </row>
    <row r="4253" spans="1:4" x14ac:dyDescent="0.25">
      <c r="A4253" s="2"/>
      <c r="B4253" s="3"/>
      <c r="C4253" s="3"/>
      <c r="D4253" s="3"/>
    </row>
    <row r="4254" spans="1:4" x14ac:dyDescent="0.25">
      <c r="A4254" s="2"/>
      <c r="B4254" s="3"/>
      <c r="C4254" s="3"/>
      <c r="D4254" s="3"/>
    </row>
    <row r="4255" spans="1:4" x14ac:dyDescent="0.25">
      <c r="A4255" s="2"/>
      <c r="B4255" s="3"/>
      <c r="C4255" s="3"/>
      <c r="D4255" s="3"/>
    </row>
    <row r="4256" spans="1:4" x14ac:dyDescent="0.25">
      <c r="A4256" s="2"/>
      <c r="B4256" s="3"/>
      <c r="C4256" s="3"/>
      <c r="D4256" s="3"/>
    </row>
    <row r="4257" spans="1:4" x14ac:dyDescent="0.25">
      <c r="A4257" s="2"/>
      <c r="B4257" s="3"/>
      <c r="C4257" s="3"/>
      <c r="D4257" s="3"/>
    </row>
    <row r="4258" spans="1:4" x14ac:dyDescent="0.25">
      <c r="A4258" s="2"/>
      <c r="B4258" s="3"/>
      <c r="C4258" s="3"/>
      <c r="D4258" s="3"/>
    </row>
    <row r="4259" spans="1:4" x14ac:dyDescent="0.25">
      <c r="A4259" s="2"/>
      <c r="B4259" s="3"/>
      <c r="C4259" s="3"/>
      <c r="D4259" s="3"/>
    </row>
    <row r="4260" spans="1:4" x14ac:dyDescent="0.25">
      <c r="A4260" s="2"/>
      <c r="B4260" s="3"/>
      <c r="C4260" s="3"/>
      <c r="D4260" s="3"/>
    </row>
    <row r="4261" spans="1:4" x14ac:dyDescent="0.25">
      <c r="A4261" s="2"/>
      <c r="B4261" s="3"/>
      <c r="C4261" s="3"/>
      <c r="D4261" s="3"/>
    </row>
    <row r="4262" spans="1:4" x14ac:dyDescent="0.25">
      <c r="A4262" s="2"/>
      <c r="B4262" s="3"/>
      <c r="C4262" s="3"/>
      <c r="D4262" s="3"/>
    </row>
    <row r="4263" spans="1:4" x14ac:dyDescent="0.25">
      <c r="A4263" s="2"/>
      <c r="B4263" s="3"/>
      <c r="C4263" s="3"/>
      <c r="D4263" s="3"/>
    </row>
    <row r="4264" spans="1:4" x14ac:dyDescent="0.25">
      <c r="A4264" s="2"/>
      <c r="B4264" s="3"/>
      <c r="C4264" s="3"/>
      <c r="D4264" s="3"/>
    </row>
    <row r="4265" spans="1:4" x14ac:dyDescent="0.25">
      <c r="A4265" s="2"/>
      <c r="B4265" s="3"/>
      <c r="C4265" s="3"/>
      <c r="D4265" s="3"/>
    </row>
    <row r="4266" spans="1:4" x14ac:dyDescent="0.25">
      <c r="A4266" s="2"/>
      <c r="B4266" s="3"/>
      <c r="C4266" s="3"/>
      <c r="D4266" s="3"/>
    </row>
    <row r="4267" spans="1:4" x14ac:dyDescent="0.25">
      <c r="A4267" s="2"/>
      <c r="B4267" s="3"/>
      <c r="C4267" s="3"/>
      <c r="D4267" s="3"/>
    </row>
    <row r="4268" spans="1:4" x14ac:dyDescent="0.25">
      <c r="A4268" s="2"/>
      <c r="B4268" s="3"/>
      <c r="C4268" s="3"/>
      <c r="D4268" s="3"/>
    </row>
    <row r="4269" spans="1:4" x14ac:dyDescent="0.25">
      <c r="A4269" s="2"/>
      <c r="B4269" s="3"/>
      <c r="C4269" s="3"/>
      <c r="D4269" s="3"/>
    </row>
    <row r="4270" spans="1:4" x14ac:dyDescent="0.25">
      <c r="A4270" s="2"/>
      <c r="B4270" s="3"/>
      <c r="C4270" s="3"/>
      <c r="D4270" s="3"/>
    </row>
    <row r="4271" spans="1:4" x14ac:dyDescent="0.25">
      <c r="A4271" s="2"/>
      <c r="B4271" s="3"/>
      <c r="C4271" s="3"/>
      <c r="D4271" s="3"/>
    </row>
    <row r="4272" spans="1:4" x14ac:dyDescent="0.25">
      <c r="A4272" s="2"/>
      <c r="B4272" s="3"/>
      <c r="C4272" s="3"/>
      <c r="D4272" s="3"/>
    </row>
    <row r="4273" spans="1:4" x14ac:dyDescent="0.25">
      <c r="A4273" s="2"/>
      <c r="B4273" s="3"/>
      <c r="C4273" s="3"/>
      <c r="D4273" s="3"/>
    </row>
    <row r="4274" spans="1:4" x14ac:dyDescent="0.25">
      <c r="A4274" s="2"/>
      <c r="B4274" s="3"/>
      <c r="C4274" s="3"/>
      <c r="D4274" s="3"/>
    </row>
    <row r="4275" spans="1:4" x14ac:dyDescent="0.25">
      <c r="A4275" s="2"/>
      <c r="B4275" s="3"/>
      <c r="C4275" s="3"/>
      <c r="D4275" s="3"/>
    </row>
    <row r="4276" spans="1:4" x14ac:dyDescent="0.25">
      <c r="A4276" s="2"/>
      <c r="B4276" s="3"/>
      <c r="C4276" s="3"/>
      <c r="D4276" s="3"/>
    </row>
    <row r="4277" spans="1:4" x14ac:dyDescent="0.25">
      <c r="A4277" s="2"/>
      <c r="B4277" s="3"/>
      <c r="C4277" s="3"/>
      <c r="D4277" s="3"/>
    </row>
    <row r="4278" spans="1:4" x14ac:dyDescent="0.25">
      <c r="A4278" s="2"/>
      <c r="B4278" s="3"/>
      <c r="C4278" s="3"/>
      <c r="D4278" s="3"/>
    </row>
    <row r="4279" spans="1:4" x14ac:dyDescent="0.25">
      <c r="A4279" s="2"/>
      <c r="B4279" s="3"/>
      <c r="C4279" s="3"/>
      <c r="D4279" s="3"/>
    </row>
    <row r="4280" spans="1:4" x14ac:dyDescent="0.25">
      <c r="A4280" s="2"/>
      <c r="B4280" s="3"/>
      <c r="C4280" s="3"/>
      <c r="D4280" s="3"/>
    </row>
    <row r="4281" spans="1:4" x14ac:dyDescent="0.25">
      <c r="A4281" s="2"/>
      <c r="B4281" s="3"/>
      <c r="C4281" s="3"/>
      <c r="D4281" s="3"/>
    </row>
    <row r="4282" spans="1:4" x14ac:dyDescent="0.25">
      <c r="A4282" s="2"/>
      <c r="B4282" s="3"/>
      <c r="C4282" s="3"/>
      <c r="D4282" s="3"/>
    </row>
    <row r="4283" spans="1:4" x14ac:dyDescent="0.25">
      <c r="A4283" s="2"/>
      <c r="B4283" s="3"/>
      <c r="C4283" s="3"/>
      <c r="D4283" s="3"/>
    </row>
    <row r="4284" spans="1:4" x14ac:dyDescent="0.25">
      <c r="A4284" s="2"/>
      <c r="B4284" s="3"/>
      <c r="C4284" s="3"/>
      <c r="D4284" s="3"/>
    </row>
    <row r="4285" spans="1:4" x14ac:dyDescent="0.25">
      <c r="A4285" s="2"/>
      <c r="B4285" s="3"/>
      <c r="C4285" s="3"/>
      <c r="D4285" s="3"/>
    </row>
    <row r="4286" spans="1:4" x14ac:dyDescent="0.25">
      <c r="A4286" s="2"/>
      <c r="B4286" s="3"/>
      <c r="C4286" s="3"/>
      <c r="D4286" s="3"/>
    </row>
    <row r="4287" spans="1:4" x14ac:dyDescent="0.25">
      <c r="A4287" s="2"/>
      <c r="B4287" s="3"/>
      <c r="C4287" s="3"/>
      <c r="D4287" s="3"/>
    </row>
    <row r="4288" spans="1:4" x14ac:dyDescent="0.25">
      <c r="A4288" s="2"/>
      <c r="B4288" s="3"/>
      <c r="C4288" s="3"/>
      <c r="D4288" s="3"/>
    </row>
    <row r="4289" spans="1:4" x14ac:dyDescent="0.25">
      <c r="A4289" s="2"/>
      <c r="B4289" s="3"/>
      <c r="C4289" s="3"/>
      <c r="D4289" s="3"/>
    </row>
    <row r="4290" spans="1:4" x14ac:dyDescent="0.25">
      <c r="A4290" s="2"/>
      <c r="B4290" s="3"/>
      <c r="C4290" s="3"/>
      <c r="D4290" s="3"/>
    </row>
    <row r="4291" spans="1:4" x14ac:dyDescent="0.25">
      <c r="A4291" s="2"/>
      <c r="B4291" s="3"/>
      <c r="C4291" s="3"/>
      <c r="D4291" s="3"/>
    </row>
    <row r="4292" spans="1:4" x14ac:dyDescent="0.25">
      <c r="A4292" s="2"/>
      <c r="B4292" s="3"/>
      <c r="C4292" s="3"/>
      <c r="D4292" s="3"/>
    </row>
    <row r="4293" spans="1:4" x14ac:dyDescent="0.25">
      <c r="A4293" s="2"/>
      <c r="B4293" s="3"/>
      <c r="C4293" s="3"/>
      <c r="D4293" s="3"/>
    </row>
    <row r="4294" spans="1:4" x14ac:dyDescent="0.25">
      <c r="A4294" s="2"/>
      <c r="B4294" s="3"/>
      <c r="C4294" s="3"/>
      <c r="D4294" s="3"/>
    </row>
    <row r="4295" spans="1:4" x14ac:dyDescent="0.25">
      <c r="A4295" s="2"/>
      <c r="B4295" s="3"/>
      <c r="C4295" s="3"/>
      <c r="D4295" s="3"/>
    </row>
    <row r="4296" spans="1:4" x14ac:dyDescent="0.25">
      <c r="A4296" s="2"/>
      <c r="B4296" s="3"/>
      <c r="C4296" s="3"/>
      <c r="D4296" s="3"/>
    </row>
    <row r="4297" spans="1:4" x14ac:dyDescent="0.25">
      <c r="A4297" s="2"/>
      <c r="B4297" s="3"/>
      <c r="C4297" s="3"/>
      <c r="D4297" s="3"/>
    </row>
    <row r="4298" spans="1:4" x14ac:dyDescent="0.25">
      <c r="A4298" s="2"/>
      <c r="B4298" s="3"/>
      <c r="C4298" s="3"/>
      <c r="D4298" s="3"/>
    </row>
    <row r="4299" spans="1:4" x14ac:dyDescent="0.25">
      <c r="A4299" s="2"/>
      <c r="B4299" s="3"/>
      <c r="C4299" s="3"/>
      <c r="D4299" s="3"/>
    </row>
    <row r="4300" spans="1:4" x14ac:dyDescent="0.25">
      <c r="A4300" s="2"/>
      <c r="B4300" s="3"/>
      <c r="C4300" s="3"/>
      <c r="D4300" s="3"/>
    </row>
    <row r="4301" spans="1:4" x14ac:dyDescent="0.25">
      <c r="A4301" s="2"/>
      <c r="B4301" s="3"/>
      <c r="C4301" s="3"/>
      <c r="D4301" s="3"/>
    </row>
    <row r="4302" spans="1:4" x14ac:dyDescent="0.25">
      <c r="A4302" s="2"/>
      <c r="B4302" s="3"/>
      <c r="C4302" s="3"/>
      <c r="D4302" s="3"/>
    </row>
    <row r="4303" spans="1:4" x14ac:dyDescent="0.25">
      <c r="A4303" s="2"/>
      <c r="B4303" s="3"/>
      <c r="C4303" s="3"/>
      <c r="D4303" s="3"/>
    </row>
    <row r="4304" spans="1:4" x14ac:dyDescent="0.25">
      <c r="A4304" s="2"/>
      <c r="B4304" s="3"/>
      <c r="C4304" s="3"/>
      <c r="D4304" s="3"/>
    </row>
    <row r="4305" spans="1:4" x14ac:dyDescent="0.25">
      <c r="A4305" s="2"/>
      <c r="B4305" s="3"/>
      <c r="C4305" s="3"/>
      <c r="D4305" s="3"/>
    </row>
    <row r="4306" spans="1:4" x14ac:dyDescent="0.25">
      <c r="A4306" s="2"/>
      <c r="B4306" s="3"/>
      <c r="C4306" s="3"/>
      <c r="D4306" s="3"/>
    </row>
    <row r="4307" spans="1:4" x14ac:dyDescent="0.25">
      <c r="A4307" s="2"/>
      <c r="B4307" s="3"/>
      <c r="C4307" s="3"/>
      <c r="D4307" s="3"/>
    </row>
    <row r="4308" spans="1:4" x14ac:dyDescent="0.25">
      <c r="A4308" s="2"/>
      <c r="B4308" s="3"/>
      <c r="C4308" s="3"/>
      <c r="D4308" s="3"/>
    </row>
    <row r="4309" spans="1:4" x14ac:dyDescent="0.25">
      <c r="A4309" s="2"/>
      <c r="B4309" s="3"/>
      <c r="C4309" s="3"/>
      <c r="D4309" s="3"/>
    </row>
    <row r="4310" spans="1:4" x14ac:dyDescent="0.25">
      <c r="A4310" s="2"/>
      <c r="B4310" s="3"/>
      <c r="C4310" s="3"/>
      <c r="D4310" s="3"/>
    </row>
    <row r="4311" spans="1:4" x14ac:dyDescent="0.25">
      <c r="A4311" s="2"/>
      <c r="B4311" s="3"/>
      <c r="C4311" s="3"/>
      <c r="D4311" s="3"/>
    </row>
    <row r="4312" spans="1:4" x14ac:dyDescent="0.25">
      <c r="A4312" s="2"/>
      <c r="B4312" s="3"/>
      <c r="C4312" s="3"/>
      <c r="D4312" s="3"/>
    </row>
    <row r="4313" spans="1:4" x14ac:dyDescent="0.25">
      <c r="A4313" s="2"/>
      <c r="B4313" s="3"/>
      <c r="C4313" s="3"/>
      <c r="D4313" s="3"/>
    </row>
    <row r="4314" spans="1:4" x14ac:dyDescent="0.25">
      <c r="A4314" s="2"/>
      <c r="B4314" s="3"/>
      <c r="C4314" s="3"/>
      <c r="D4314" s="3"/>
    </row>
    <row r="4315" spans="1:4" x14ac:dyDescent="0.25">
      <c r="A4315" s="2"/>
      <c r="B4315" s="3"/>
      <c r="C4315" s="3"/>
      <c r="D4315" s="3"/>
    </row>
    <row r="4316" spans="1:4" x14ac:dyDescent="0.25">
      <c r="A4316" s="2"/>
      <c r="B4316" s="3"/>
      <c r="C4316" s="3"/>
      <c r="D4316" s="3"/>
    </row>
    <row r="4317" spans="1:4" x14ac:dyDescent="0.25">
      <c r="A4317" s="2"/>
      <c r="B4317" s="3"/>
      <c r="C4317" s="3"/>
      <c r="D4317" s="3"/>
    </row>
    <row r="4318" spans="1:4" x14ac:dyDescent="0.25">
      <c r="A4318" s="2"/>
      <c r="B4318" s="3"/>
      <c r="C4318" s="3"/>
      <c r="D4318" s="3"/>
    </row>
    <row r="4319" spans="1:4" x14ac:dyDescent="0.25">
      <c r="A4319" s="2"/>
      <c r="B4319" s="3"/>
      <c r="C4319" s="3"/>
      <c r="D4319" s="3"/>
    </row>
    <row r="4320" spans="1:4" x14ac:dyDescent="0.25">
      <c r="A4320" s="2"/>
      <c r="B4320" s="3"/>
      <c r="C4320" s="3"/>
      <c r="D4320" s="3"/>
    </row>
    <row r="4321" spans="1:4" x14ac:dyDescent="0.25">
      <c r="A4321" s="2"/>
      <c r="B4321" s="3"/>
      <c r="C4321" s="3"/>
      <c r="D4321" s="3"/>
    </row>
    <row r="4322" spans="1:4" x14ac:dyDescent="0.25">
      <c r="A4322" s="2"/>
      <c r="B4322" s="3"/>
      <c r="C4322" s="3"/>
      <c r="D4322" s="3"/>
    </row>
    <row r="4323" spans="1:4" x14ac:dyDescent="0.25">
      <c r="A4323" s="2"/>
      <c r="B4323" s="3"/>
      <c r="C4323" s="3"/>
      <c r="D4323" s="3"/>
    </row>
    <row r="4324" spans="1:4" x14ac:dyDescent="0.25">
      <c r="A4324" s="2"/>
      <c r="B4324" s="3"/>
      <c r="C4324" s="3"/>
      <c r="D4324" s="3"/>
    </row>
    <row r="4325" spans="1:4" x14ac:dyDescent="0.25">
      <c r="A4325" s="2"/>
      <c r="B4325" s="3"/>
      <c r="C4325" s="3"/>
      <c r="D4325" s="3"/>
    </row>
    <row r="4326" spans="1:4" x14ac:dyDescent="0.25">
      <c r="A4326" s="2"/>
      <c r="B4326" s="3"/>
      <c r="C4326" s="3"/>
      <c r="D4326" s="3"/>
    </row>
    <row r="4327" spans="1:4" x14ac:dyDescent="0.25">
      <c r="A4327" s="2"/>
      <c r="B4327" s="3"/>
      <c r="C4327" s="3"/>
      <c r="D4327" s="3"/>
    </row>
    <row r="4328" spans="1:4" x14ac:dyDescent="0.25">
      <c r="A4328" s="2"/>
      <c r="B4328" s="3"/>
      <c r="C4328" s="3"/>
      <c r="D4328" s="3"/>
    </row>
    <row r="4329" spans="1:4" x14ac:dyDescent="0.25">
      <c r="A4329" s="2"/>
      <c r="B4329" s="3"/>
      <c r="C4329" s="3"/>
      <c r="D4329" s="3"/>
    </row>
    <row r="4330" spans="1:4" x14ac:dyDescent="0.25">
      <c r="A4330" s="2"/>
      <c r="B4330" s="3"/>
      <c r="C4330" s="3"/>
      <c r="D4330" s="3"/>
    </row>
    <row r="4331" spans="1:4" x14ac:dyDescent="0.25">
      <c r="A4331" s="2"/>
      <c r="B4331" s="3"/>
      <c r="C4331" s="3"/>
      <c r="D4331" s="3"/>
    </row>
    <row r="4332" spans="1:4" x14ac:dyDescent="0.25">
      <c r="A4332" s="2"/>
      <c r="B4332" s="3"/>
      <c r="C4332" s="3"/>
      <c r="D4332" s="3"/>
    </row>
    <row r="4333" spans="1:4" x14ac:dyDescent="0.25">
      <c r="A4333" s="2"/>
      <c r="B4333" s="3"/>
      <c r="C4333" s="3"/>
      <c r="D4333" s="3"/>
    </row>
    <row r="4334" spans="1:4" x14ac:dyDescent="0.25">
      <c r="A4334" s="2"/>
      <c r="B4334" s="3"/>
      <c r="C4334" s="3"/>
      <c r="D4334" s="3"/>
    </row>
    <row r="4335" spans="1:4" x14ac:dyDescent="0.25">
      <c r="A4335" s="2"/>
      <c r="B4335" s="3"/>
      <c r="C4335" s="3"/>
      <c r="D4335" s="3"/>
    </row>
    <row r="4336" spans="1:4" x14ac:dyDescent="0.25">
      <c r="A4336" s="2"/>
      <c r="B4336" s="3"/>
      <c r="C4336" s="3"/>
      <c r="D4336" s="3"/>
    </row>
    <row r="4337" spans="1:4" x14ac:dyDescent="0.25">
      <c r="A4337" s="2"/>
      <c r="B4337" s="3"/>
      <c r="C4337" s="3"/>
      <c r="D4337" s="3"/>
    </row>
    <row r="4338" spans="1:4" x14ac:dyDescent="0.25">
      <c r="A4338" s="2"/>
      <c r="B4338" s="3"/>
      <c r="C4338" s="3"/>
      <c r="D4338" s="3"/>
    </row>
    <row r="4339" spans="1:4" x14ac:dyDescent="0.25">
      <c r="A4339" s="2"/>
      <c r="B4339" s="3"/>
      <c r="C4339" s="3"/>
      <c r="D4339" s="3"/>
    </row>
    <row r="4340" spans="1:4" x14ac:dyDescent="0.25">
      <c r="A4340" s="2"/>
      <c r="B4340" s="3"/>
      <c r="C4340" s="3"/>
      <c r="D4340" s="3"/>
    </row>
    <row r="4341" spans="1:4" x14ac:dyDescent="0.25">
      <c r="A4341" s="2"/>
      <c r="B4341" s="3"/>
      <c r="C4341" s="3"/>
      <c r="D4341" s="3"/>
    </row>
    <row r="4342" spans="1:4" x14ac:dyDescent="0.25">
      <c r="A4342" s="2"/>
      <c r="B4342" s="3"/>
      <c r="C4342" s="3"/>
      <c r="D4342" s="3"/>
    </row>
    <row r="4343" spans="1:4" x14ac:dyDescent="0.25">
      <c r="A4343" s="2"/>
      <c r="B4343" s="3"/>
      <c r="C4343" s="3"/>
      <c r="D4343" s="3"/>
    </row>
    <row r="4344" spans="1:4" x14ac:dyDescent="0.25">
      <c r="A4344" s="2"/>
      <c r="B4344" s="3"/>
      <c r="C4344" s="3"/>
      <c r="D4344" s="3"/>
    </row>
    <row r="4345" spans="1:4" x14ac:dyDescent="0.25">
      <c r="A4345" s="2"/>
      <c r="B4345" s="3"/>
      <c r="C4345" s="3"/>
      <c r="D4345" s="3"/>
    </row>
    <row r="4346" spans="1:4" x14ac:dyDescent="0.25">
      <c r="A4346" s="2"/>
      <c r="B4346" s="3"/>
      <c r="C4346" s="3"/>
      <c r="D4346" s="3"/>
    </row>
    <row r="4347" spans="1:4" x14ac:dyDescent="0.25">
      <c r="A4347" s="2"/>
      <c r="B4347" s="3"/>
      <c r="C4347" s="3"/>
      <c r="D4347" s="3"/>
    </row>
    <row r="4348" spans="1:4" x14ac:dyDescent="0.25">
      <c r="A4348" s="2"/>
      <c r="B4348" s="3"/>
      <c r="C4348" s="3"/>
      <c r="D4348" s="3"/>
    </row>
    <row r="4349" spans="1:4" x14ac:dyDescent="0.25">
      <c r="A4349" s="2"/>
      <c r="B4349" s="3"/>
      <c r="C4349" s="3"/>
      <c r="D4349" s="3"/>
    </row>
    <row r="4350" spans="1:4" x14ac:dyDescent="0.25">
      <c r="A4350" s="2"/>
      <c r="B4350" s="3"/>
      <c r="C4350" s="3"/>
      <c r="D4350" s="3"/>
    </row>
    <row r="4351" spans="1:4" x14ac:dyDescent="0.25">
      <c r="A4351" s="2"/>
      <c r="B4351" s="3"/>
      <c r="C4351" s="3"/>
      <c r="D4351" s="3"/>
    </row>
    <row r="4352" spans="1:4" x14ac:dyDescent="0.25">
      <c r="A4352" s="2"/>
      <c r="B4352" s="3"/>
      <c r="C4352" s="3"/>
      <c r="D4352" s="3"/>
    </row>
    <row r="4353" spans="1:4" x14ac:dyDescent="0.25">
      <c r="A4353" s="2"/>
      <c r="B4353" s="3"/>
      <c r="C4353" s="3"/>
      <c r="D4353" s="3"/>
    </row>
    <row r="4354" spans="1:4" x14ac:dyDescent="0.25">
      <c r="A4354" s="2"/>
      <c r="B4354" s="3"/>
      <c r="C4354" s="3"/>
      <c r="D4354" s="3"/>
    </row>
    <row r="4355" spans="1:4" x14ac:dyDescent="0.25">
      <c r="A4355" s="2"/>
      <c r="B4355" s="3"/>
      <c r="C4355" s="3"/>
      <c r="D4355" s="3"/>
    </row>
    <row r="4356" spans="1:4" x14ac:dyDescent="0.25">
      <c r="A4356" s="2"/>
      <c r="B4356" s="3"/>
      <c r="C4356" s="3"/>
      <c r="D4356" s="3"/>
    </row>
    <row r="4357" spans="1:4" x14ac:dyDescent="0.25">
      <c r="A4357" s="2"/>
      <c r="B4357" s="3"/>
      <c r="C4357" s="3"/>
      <c r="D4357" s="3"/>
    </row>
    <row r="4358" spans="1:4" x14ac:dyDescent="0.25">
      <c r="A4358" s="2"/>
      <c r="B4358" s="3"/>
      <c r="C4358" s="3"/>
      <c r="D4358" s="3"/>
    </row>
    <row r="4359" spans="1:4" x14ac:dyDescent="0.25">
      <c r="A4359" s="2"/>
      <c r="B4359" s="3"/>
      <c r="C4359" s="3"/>
      <c r="D4359" s="3"/>
    </row>
    <row r="4360" spans="1:4" x14ac:dyDescent="0.25">
      <c r="A4360" s="2"/>
      <c r="B4360" s="3"/>
      <c r="C4360" s="3"/>
      <c r="D4360" s="3"/>
    </row>
    <row r="4361" spans="1:4" x14ac:dyDescent="0.25">
      <c r="A4361" s="2"/>
      <c r="B4361" s="3"/>
      <c r="C4361" s="3"/>
      <c r="D4361" s="3"/>
    </row>
    <row r="4362" spans="1:4" x14ac:dyDescent="0.25">
      <c r="A4362" s="2"/>
      <c r="B4362" s="3"/>
      <c r="C4362" s="3"/>
      <c r="D4362" s="3"/>
    </row>
    <row r="4363" spans="1:4" x14ac:dyDescent="0.25">
      <c r="A4363" s="2"/>
      <c r="B4363" s="3"/>
      <c r="C4363" s="3"/>
      <c r="D4363" s="3"/>
    </row>
    <row r="4364" spans="1:4" x14ac:dyDescent="0.25">
      <c r="A4364" s="2"/>
      <c r="B4364" s="3"/>
      <c r="C4364" s="3"/>
      <c r="D4364" s="3"/>
    </row>
    <row r="4365" spans="1:4" x14ac:dyDescent="0.25">
      <c r="A4365" s="2"/>
      <c r="B4365" s="3"/>
      <c r="C4365" s="3"/>
      <c r="D4365" s="3"/>
    </row>
    <row r="4366" spans="1:4" x14ac:dyDescent="0.25">
      <c r="A4366" s="2"/>
      <c r="B4366" s="3"/>
      <c r="C4366" s="3"/>
      <c r="D4366" s="3"/>
    </row>
    <row r="4367" spans="1:4" x14ac:dyDescent="0.25">
      <c r="A4367" s="2"/>
      <c r="B4367" s="3"/>
      <c r="C4367" s="3"/>
      <c r="D4367" s="3"/>
    </row>
    <row r="4368" spans="1:4" x14ac:dyDescent="0.25">
      <c r="A4368" s="2"/>
      <c r="B4368" s="3"/>
      <c r="C4368" s="3"/>
      <c r="D4368" s="3"/>
    </row>
    <row r="4369" spans="1:4" x14ac:dyDescent="0.25">
      <c r="A4369" s="2"/>
      <c r="B4369" s="3"/>
      <c r="C4369" s="3"/>
      <c r="D4369" s="3"/>
    </row>
    <row r="4370" spans="1:4" x14ac:dyDescent="0.25">
      <c r="A4370" s="2"/>
      <c r="B4370" s="3"/>
      <c r="C4370" s="3"/>
      <c r="D4370" s="3"/>
    </row>
    <row r="4371" spans="1:4" x14ac:dyDescent="0.25">
      <c r="A4371" s="2"/>
      <c r="B4371" s="3"/>
      <c r="C4371" s="3"/>
      <c r="D4371" s="3"/>
    </row>
    <row r="4372" spans="1:4" x14ac:dyDescent="0.25">
      <c r="A4372" s="2"/>
      <c r="B4372" s="3"/>
      <c r="C4372" s="3"/>
      <c r="D4372" s="3"/>
    </row>
    <row r="4373" spans="1:4" x14ac:dyDescent="0.25">
      <c r="A4373" s="2"/>
      <c r="B4373" s="3"/>
      <c r="C4373" s="3"/>
      <c r="D4373" s="3"/>
    </row>
    <row r="4374" spans="1:4" x14ac:dyDescent="0.25">
      <c r="A4374" s="2"/>
      <c r="B4374" s="3"/>
      <c r="C4374" s="3"/>
      <c r="D4374" s="3"/>
    </row>
    <row r="4375" spans="1:4" x14ac:dyDescent="0.25">
      <c r="A4375" s="2"/>
      <c r="B4375" s="3"/>
      <c r="C4375" s="3"/>
      <c r="D4375" s="3"/>
    </row>
    <row r="4376" spans="1:4" x14ac:dyDescent="0.25">
      <c r="A4376" s="2"/>
      <c r="B4376" s="3"/>
      <c r="C4376" s="3"/>
      <c r="D4376" s="3"/>
    </row>
    <row r="4377" spans="1:4" x14ac:dyDescent="0.25">
      <c r="A4377" s="2"/>
      <c r="B4377" s="3"/>
      <c r="C4377" s="3"/>
      <c r="D4377" s="3"/>
    </row>
    <row r="4378" spans="1:4" x14ac:dyDescent="0.25">
      <c r="A4378" s="2"/>
      <c r="B4378" s="3"/>
      <c r="C4378" s="3"/>
      <c r="D4378" s="3"/>
    </row>
    <row r="4379" spans="1:4" x14ac:dyDescent="0.25">
      <c r="A4379" s="2"/>
      <c r="B4379" s="3"/>
      <c r="C4379" s="3"/>
      <c r="D4379" s="3"/>
    </row>
    <row r="4380" spans="1:4" x14ac:dyDescent="0.25">
      <c r="A4380" s="2"/>
      <c r="B4380" s="3"/>
      <c r="C4380" s="3"/>
      <c r="D4380" s="3"/>
    </row>
    <row r="4381" spans="1:4" x14ac:dyDescent="0.25">
      <c r="A4381" s="2"/>
      <c r="B4381" s="3"/>
      <c r="C4381" s="3"/>
      <c r="D4381" s="3"/>
    </row>
    <row r="4382" spans="1:4" x14ac:dyDescent="0.25">
      <c r="A4382" s="2"/>
      <c r="B4382" s="3"/>
      <c r="C4382" s="3"/>
      <c r="D4382" s="3"/>
    </row>
    <row r="4383" spans="1:4" x14ac:dyDescent="0.25">
      <c r="A4383" s="2"/>
      <c r="B4383" s="3"/>
      <c r="C4383" s="3"/>
      <c r="D4383" s="3"/>
    </row>
    <row r="4384" spans="1:4" x14ac:dyDescent="0.25">
      <c r="A4384" s="2"/>
      <c r="B4384" s="3"/>
      <c r="C4384" s="3"/>
      <c r="D4384" s="3"/>
    </row>
    <row r="4385" spans="1:4" x14ac:dyDescent="0.25">
      <c r="A4385" s="2"/>
      <c r="B4385" s="3"/>
      <c r="C4385" s="3"/>
      <c r="D4385" s="3"/>
    </row>
    <row r="4386" spans="1:4" x14ac:dyDescent="0.25">
      <c r="A4386" s="2"/>
      <c r="B4386" s="3"/>
      <c r="C4386" s="3"/>
      <c r="D4386" s="3"/>
    </row>
    <row r="4387" spans="1:4" x14ac:dyDescent="0.25">
      <c r="A4387" s="2"/>
      <c r="B4387" s="3"/>
      <c r="C4387" s="3"/>
      <c r="D4387" s="3"/>
    </row>
    <row r="4388" spans="1:4" x14ac:dyDescent="0.25">
      <c r="A4388" s="2"/>
      <c r="B4388" s="3"/>
      <c r="C4388" s="3"/>
      <c r="D4388" s="3"/>
    </row>
    <row r="4389" spans="1:4" x14ac:dyDescent="0.25">
      <c r="A4389" s="2"/>
      <c r="B4389" s="3"/>
      <c r="C4389" s="3"/>
      <c r="D4389" s="3"/>
    </row>
    <row r="4390" spans="1:4" x14ac:dyDescent="0.25">
      <c r="A4390" s="2"/>
      <c r="B4390" s="3"/>
      <c r="C4390" s="3"/>
      <c r="D4390" s="3"/>
    </row>
    <row r="4391" spans="1:4" x14ac:dyDescent="0.25">
      <c r="A4391" s="2"/>
      <c r="B4391" s="3"/>
      <c r="C4391" s="3"/>
      <c r="D4391" s="3"/>
    </row>
    <row r="4392" spans="1:4" x14ac:dyDescent="0.25">
      <c r="A4392" s="2"/>
      <c r="B4392" s="3"/>
      <c r="C4392" s="3"/>
      <c r="D4392" s="3"/>
    </row>
    <row r="4393" spans="1:4" x14ac:dyDescent="0.25">
      <c r="A4393" s="2"/>
      <c r="B4393" s="3"/>
      <c r="C4393" s="3"/>
      <c r="D4393" s="3"/>
    </row>
    <row r="4394" spans="1:4" x14ac:dyDescent="0.25">
      <c r="A4394" s="2"/>
      <c r="B4394" s="3"/>
      <c r="C4394" s="3"/>
      <c r="D4394" s="3"/>
    </row>
    <row r="4395" spans="1:4" x14ac:dyDescent="0.25">
      <c r="A4395" s="2"/>
      <c r="B4395" s="3"/>
      <c r="C4395" s="3"/>
      <c r="D4395" s="3"/>
    </row>
    <row r="4396" spans="1:4" x14ac:dyDescent="0.25">
      <c r="A4396" s="2"/>
      <c r="B4396" s="3"/>
      <c r="C4396" s="3"/>
      <c r="D4396" s="3"/>
    </row>
    <row r="4397" spans="1:4" x14ac:dyDescent="0.25">
      <c r="A4397" s="2"/>
      <c r="B4397" s="3"/>
      <c r="C4397" s="3"/>
      <c r="D4397" s="3"/>
    </row>
    <row r="4398" spans="1:4" x14ac:dyDescent="0.25">
      <c r="A4398" s="2"/>
      <c r="B4398" s="3"/>
      <c r="C4398" s="3"/>
      <c r="D4398" s="3"/>
    </row>
    <row r="4399" spans="1:4" x14ac:dyDescent="0.25">
      <c r="A4399" s="2"/>
      <c r="B4399" s="3"/>
      <c r="C4399" s="3"/>
      <c r="D4399" s="3"/>
    </row>
    <row r="4400" spans="1:4" x14ac:dyDescent="0.25">
      <c r="A4400" s="2"/>
      <c r="B4400" s="3"/>
      <c r="C4400" s="3"/>
      <c r="D4400" s="3"/>
    </row>
    <row r="4401" spans="1:4" x14ac:dyDescent="0.25">
      <c r="A4401" s="2"/>
      <c r="B4401" s="3"/>
      <c r="C4401" s="3"/>
      <c r="D4401" s="3"/>
    </row>
    <row r="4402" spans="1:4" x14ac:dyDescent="0.25">
      <c r="A4402" s="2"/>
      <c r="B4402" s="3"/>
      <c r="C4402" s="3"/>
      <c r="D4402" s="3"/>
    </row>
    <row r="4403" spans="1:4" x14ac:dyDescent="0.25">
      <c r="A4403" s="2"/>
      <c r="B4403" s="3"/>
      <c r="C4403" s="3"/>
      <c r="D4403" s="3"/>
    </row>
    <row r="4404" spans="1:4" x14ac:dyDescent="0.25">
      <c r="A4404" s="2"/>
      <c r="B4404" s="3"/>
      <c r="C4404" s="3"/>
      <c r="D4404" s="3"/>
    </row>
    <row r="4405" spans="1:4" x14ac:dyDescent="0.25">
      <c r="A4405" s="2"/>
      <c r="B4405" s="3"/>
      <c r="C4405" s="3"/>
      <c r="D4405" s="3"/>
    </row>
    <row r="4406" spans="1:4" x14ac:dyDescent="0.25">
      <c r="A4406" s="2"/>
      <c r="B4406" s="3"/>
      <c r="C4406" s="3"/>
      <c r="D4406" s="3"/>
    </row>
    <row r="4407" spans="1:4" x14ac:dyDescent="0.25">
      <c r="A4407" s="2"/>
      <c r="B4407" s="3"/>
      <c r="C4407" s="3"/>
      <c r="D4407" s="3"/>
    </row>
    <row r="4408" spans="1:4" x14ac:dyDescent="0.25">
      <c r="A4408" s="2"/>
      <c r="B4408" s="3"/>
      <c r="C4408" s="3"/>
      <c r="D4408" s="3"/>
    </row>
    <row r="4409" spans="1:4" x14ac:dyDescent="0.25">
      <c r="A4409" s="2"/>
      <c r="B4409" s="3"/>
      <c r="C4409" s="3"/>
      <c r="D4409" s="3"/>
    </row>
    <row r="4410" spans="1:4" x14ac:dyDescent="0.25">
      <c r="A4410" s="2"/>
      <c r="B4410" s="3"/>
      <c r="C4410" s="3"/>
      <c r="D4410" s="3"/>
    </row>
    <row r="4411" spans="1:4" x14ac:dyDescent="0.25">
      <c r="A4411" s="2"/>
      <c r="B4411" s="3"/>
      <c r="C4411" s="3"/>
      <c r="D4411" s="3"/>
    </row>
    <row r="4412" spans="1:4" x14ac:dyDescent="0.25">
      <c r="A4412" s="2"/>
      <c r="B4412" s="3"/>
      <c r="C4412" s="3"/>
      <c r="D4412" s="3"/>
    </row>
    <row r="4413" spans="1:4" x14ac:dyDescent="0.25">
      <c r="A4413" s="2"/>
      <c r="B4413" s="3"/>
      <c r="C4413" s="3"/>
      <c r="D4413" s="3"/>
    </row>
    <row r="4414" spans="1:4" x14ac:dyDescent="0.25">
      <c r="A4414" s="2"/>
      <c r="B4414" s="3"/>
      <c r="C4414" s="3"/>
      <c r="D4414" s="3"/>
    </row>
    <row r="4415" spans="1:4" x14ac:dyDescent="0.25">
      <c r="A4415" s="2"/>
      <c r="B4415" s="3"/>
      <c r="C4415" s="3"/>
      <c r="D4415" s="3"/>
    </row>
    <row r="4416" spans="1:4" x14ac:dyDescent="0.25">
      <c r="A4416" s="2"/>
      <c r="B4416" s="3"/>
      <c r="C4416" s="3"/>
      <c r="D4416" s="3"/>
    </row>
    <row r="4417" spans="1:4" x14ac:dyDescent="0.25">
      <c r="A4417" s="2"/>
      <c r="B4417" s="3"/>
      <c r="C4417" s="3"/>
      <c r="D4417" s="3"/>
    </row>
    <row r="4418" spans="1:4" x14ac:dyDescent="0.25">
      <c r="A4418" s="2"/>
      <c r="B4418" s="3"/>
      <c r="C4418" s="3"/>
      <c r="D4418" s="3"/>
    </row>
    <row r="4419" spans="1:4" x14ac:dyDescent="0.25">
      <c r="A4419" s="2"/>
      <c r="B4419" s="3"/>
      <c r="C4419" s="3"/>
      <c r="D4419" s="3"/>
    </row>
    <row r="4420" spans="1:4" x14ac:dyDescent="0.25">
      <c r="A4420" s="2"/>
      <c r="B4420" s="3"/>
      <c r="C4420" s="3"/>
      <c r="D4420" s="3"/>
    </row>
    <row r="4421" spans="1:4" x14ac:dyDescent="0.25">
      <c r="A4421" s="2"/>
      <c r="B4421" s="3"/>
      <c r="C4421" s="3"/>
      <c r="D4421" s="3"/>
    </row>
    <row r="4422" spans="1:4" x14ac:dyDescent="0.25">
      <c r="A4422" s="2"/>
      <c r="B4422" s="3"/>
      <c r="C4422" s="3"/>
      <c r="D4422" s="3"/>
    </row>
    <row r="4423" spans="1:4" x14ac:dyDescent="0.25">
      <c r="A4423" s="2"/>
      <c r="B4423" s="3"/>
      <c r="C4423" s="3"/>
      <c r="D4423" s="3"/>
    </row>
    <row r="4424" spans="1:4" x14ac:dyDescent="0.25">
      <c r="A4424" s="2"/>
      <c r="B4424" s="3"/>
      <c r="C4424" s="3"/>
      <c r="D4424" s="3"/>
    </row>
    <row r="4425" spans="1:4" x14ac:dyDescent="0.25">
      <c r="A4425" s="2"/>
      <c r="B4425" s="3"/>
      <c r="C4425" s="3"/>
      <c r="D4425" s="3"/>
    </row>
    <row r="4426" spans="1:4" x14ac:dyDescent="0.25">
      <c r="A4426" s="2"/>
      <c r="B4426" s="3"/>
      <c r="C4426" s="3"/>
      <c r="D4426" s="3"/>
    </row>
    <row r="4427" spans="1:4" x14ac:dyDescent="0.25">
      <c r="A4427" s="2"/>
      <c r="B4427" s="3"/>
      <c r="C4427" s="3"/>
      <c r="D4427" s="3"/>
    </row>
    <row r="4428" spans="1:4" x14ac:dyDescent="0.25">
      <c r="A4428" s="2"/>
      <c r="B4428" s="3"/>
      <c r="C4428" s="3"/>
      <c r="D4428" s="3"/>
    </row>
    <row r="4429" spans="1:4" x14ac:dyDescent="0.25">
      <c r="A4429" s="2"/>
      <c r="B4429" s="3"/>
      <c r="C4429" s="3"/>
      <c r="D4429" s="3"/>
    </row>
    <row r="4430" spans="1:4" x14ac:dyDescent="0.25">
      <c r="A4430" s="2"/>
      <c r="B4430" s="3"/>
      <c r="C4430" s="3"/>
      <c r="D4430" s="3"/>
    </row>
    <row r="4431" spans="1:4" x14ac:dyDescent="0.25">
      <c r="A4431" s="2"/>
      <c r="B4431" s="3"/>
      <c r="C4431" s="3"/>
      <c r="D4431" s="3"/>
    </row>
    <row r="4432" spans="1:4" x14ac:dyDescent="0.25">
      <c r="A4432" s="2"/>
      <c r="B4432" s="3"/>
      <c r="C4432" s="3"/>
      <c r="D4432" s="3"/>
    </row>
    <row r="4433" spans="1:4" x14ac:dyDescent="0.25">
      <c r="A4433" s="2"/>
      <c r="B4433" s="3"/>
      <c r="C4433" s="3"/>
      <c r="D4433" s="3"/>
    </row>
    <row r="4434" spans="1:4" x14ac:dyDescent="0.25">
      <c r="A4434" s="2"/>
      <c r="B4434" s="3"/>
      <c r="C4434" s="3"/>
      <c r="D4434" s="3"/>
    </row>
    <row r="4435" spans="1:4" x14ac:dyDescent="0.25">
      <c r="A4435" s="2"/>
      <c r="B4435" s="3"/>
      <c r="C4435" s="3"/>
      <c r="D4435" s="3"/>
    </row>
    <row r="4436" spans="1:4" x14ac:dyDescent="0.25">
      <c r="A4436" s="2"/>
      <c r="B4436" s="3"/>
      <c r="C4436" s="3"/>
      <c r="D4436" s="3"/>
    </row>
    <row r="4437" spans="1:4" x14ac:dyDescent="0.25">
      <c r="A4437" s="2"/>
      <c r="B4437" s="3"/>
      <c r="C4437" s="3"/>
      <c r="D4437" s="3"/>
    </row>
    <row r="4438" spans="1:4" x14ac:dyDescent="0.25">
      <c r="A4438" s="2"/>
      <c r="B4438" s="3"/>
      <c r="C4438" s="3"/>
      <c r="D4438" s="3"/>
    </row>
    <row r="4439" spans="1:4" x14ac:dyDescent="0.25">
      <c r="A4439" s="2"/>
      <c r="B4439" s="3"/>
      <c r="C4439" s="3"/>
      <c r="D4439" s="3"/>
    </row>
    <row r="4440" spans="1:4" x14ac:dyDescent="0.25">
      <c r="A4440" s="2"/>
      <c r="B4440" s="3"/>
      <c r="C4440" s="3"/>
      <c r="D4440" s="3"/>
    </row>
    <row r="4441" spans="1:4" x14ac:dyDescent="0.25">
      <c r="A4441" s="2"/>
      <c r="B4441" s="3"/>
      <c r="C4441" s="3"/>
      <c r="D4441" s="3"/>
    </row>
    <row r="4442" spans="1:4" x14ac:dyDescent="0.25">
      <c r="A4442" s="2"/>
      <c r="B4442" s="3"/>
      <c r="C4442" s="3"/>
      <c r="D4442" s="3"/>
    </row>
    <row r="4443" spans="1:4" x14ac:dyDescent="0.25">
      <c r="A4443" s="2"/>
      <c r="B4443" s="3"/>
      <c r="C4443" s="3"/>
      <c r="D4443" s="3"/>
    </row>
    <row r="4444" spans="1:4" x14ac:dyDescent="0.25">
      <c r="A4444" s="2"/>
      <c r="B4444" s="3"/>
      <c r="C4444" s="3"/>
      <c r="D4444" s="3"/>
    </row>
    <row r="4445" spans="1:4" x14ac:dyDescent="0.25">
      <c r="A4445" s="2"/>
      <c r="B4445" s="3"/>
      <c r="C4445" s="3"/>
      <c r="D4445" s="3"/>
    </row>
    <row r="4446" spans="1:4" x14ac:dyDescent="0.25">
      <c r="A4446" s="2"/>
      <c r="B4446" s="3"/>
      <c r="C4446" s="3"/>
      <c r="D4446" s="3"/>
    </row>
    <row r="4447" spans="1:4" x14ac:dyDescent="0.25">
      <c r="A4447" s="2"/>
      <c r="B4447" s="3"/>
      <c r="C4447" s="3"/>
      <c r="D4447" s="3"/>
    </row>
    <row r="4448" spans="1:4" x14ac:dyDescent="0.25">
      <c r="A4448" s="2"/>
      <c r="B4448" s="3"/>
      <c r="C4448" s="3"/>
      <c r="D4448" s="3"/>
    </row>
    <row r="4449" spans="1:4" x14ac:dyDescent="0.25">
      <c r="A4449" s="2"/>
      <c r="B4449" s="3"/>
      <c r="C4449" s="3"/>
      <c r="D4449" s="3"/>
    </row>
    <row r="4450" spans="1:4" x14ac:dyDescent="0.25">
      <c r="A4450" s="2"/>
      <c r="B4450" s="3"/>
      <c r="C4450" s="3"/>
      <c r="D4450" s="3"/>
    </row>
    <row r="4451" spans="1:4" x14ac:dyDescent="0.25">
      <c r="A4451" s="2"/>
      <c r="B4451" s="3"/>
      <c r="C4451" s="3"/>
      <c r="D4451" s="3"/>
    </row>
    <row r="4452" spans="1:4" x14ac:dyDescent="0.25">
      <c r="A4452" s="2"/>
      <c r="B4452" s="3"/>
      <c r="C4452" s="3"/>
      <c r="D4452" s="3"/>
    </row>
    <row r="4453" spans="1:4" x14ac:dyDescent="0.25">
      <c r="A4453" s="2"/>
      <c r="B4453" s="3"/>
      <c r="C4453" s="3"/>
      <c r="D4453" s="3"/>
    </row>
    <row r="4454" spans="1:4" x14ac:dyDescent="0.25">
      <c r="A4454" s="2"/>
      <c r="B4454" s="3"/>
      <c r="C4454" s="3"/>
      <c r="D4454" s="3"/>
    </row>
    <row r="4455" spans="1:4" x14ac:dyDescent="0.25">
      <c r="A4455" s="2"/>
      <c r="B4455" s="3"/>
      <c r="C4455" s="3"/>
      <c r="D4455" s="3"/>
    </row>
    <row r="4456" spans="1:4" x14ac:dyDescent="0.25">
      <c r="A4456" s="2"/>
      <c r="B4456" s="3"/>
      <c r="C4456" s="3"/>
      <c r="D4456" s="3"/>
    </row>
    <row r="4457" spans="1:4" x14ac:dyDescent="0.25">
      <c r="A4457" s="2"/>
      <c r="B4457" s="3"/>
      <c r="C4457" s="3"/>
      <c r="D4457" s="3"/>
    </row>
    <row r="4458" spans="1:4" x14ac:dyDescent="0.25">
      <c r="A4458" s="2"/>
      <c r="B4458" s="3"/>
      <c r="C4458" s="3"/>
      <c r="D4458" s="3"/>
    </row>
    <row r="4459" spans="1:4" x14ac:dyDescent="0.25">
      <c r="A4459" s="2"/>
      <c r="B4459" s="3"/>
      <c r="C4459" s="3"/>
      <c r="D4459" s="3"/>
    </row>
    <row r="4460" spans="1:4" x14ac:dyDescent="0.25">
      <c r="A4460" s="2"/>
      <c r="B4460" s="3"/>
      <c r="C4460" s="3"/>
      <c r="D4460" s="3"/>
    </row>
    <row r="4461" spans="1:4" x14ac:dyDescent="0.25">
      <c r="A4461" s="2"/>
      <c r="B4461" s="3"/>
      <c r="C4461" s="3"/>
      <c r="D4461" s="3"/>
    </row>
    <row r="4462" spans="1:4" x14ac:dyDescent="0.25">
      <c r="A4462" s="2"/>
      <c r="B4462" s="3"/>
      <c r="C4462" s="3"/>
      <c r="D4462" s="3"/>
    </row>
    <row r="4463" spans="1:4" x14ac:dyDescent="0.25">
      <c r="A4463" s="2"/>
      <c r="B4463" s="3"/>
      <c r="C4463" s="3"/>
      <c r="D4463" s="3"/>
    </row>
    <row r="4464" spans="1:4" x14ac:dyDescent="0.25">
      <c r="A4464" s="2"/>
      <c r="B4464" s="3"/>
      <c r="C4464" s="3"/>
      <c r="D4464" s="3"/>
    </row>
    <row r="4465" spans="1:4" x14ac:dyDescent="0.25">
      <c r="A4465" s="2"/>
      <c r="B4465" s="3"/>
      <c r="C4465" s="3"/>
      <c r="D4465" s="3"/>
    </row>
    <row r="4466" spans="1:4" x14ac:dyDescent="0.25">
      <c r="A4466" s="2"/>
      <c r="B4466" s="3"/>
      <c r="C4466" s="3"/>
      <c r="D4466" s="3"/>
    </row>
    <row r="4467" spans="1:4" x14ac:dyDescent="0.25">
      <c r="A4467" s="2"/>
      <c r="B4467" s="3"/>
      <c r="C4467" s="3"/>
      <c r="D4467" s="3"/>
    </row>
    <row r="4468" spans="1:4" x14ac:dyDescent="0.25">
      <c r="A4468" s="2"/>
      <c r="B4468" s="3"/>
      <c r="C4468" s="3"/>
      <c r="D4468" s="3"/>
    </row>
    <row r="4469" spans="1:4" x14ac:dyDescent="0.25">
      <c r="A4469" s="2"/>
      <c r="B4469" s="3"/>
      <c r="C4469" s="3"/>
      <c r="D4469" s="3"/>
    </row>
    <row r="4470" spans="1:4" x14ac:dyDescent="0.25">
      <c r="A4470" s="2"/>
      <c r="B4470" s="3"/>
      <c r="C4470" s="3"/>
      <c r="D4470" s="3"/>
    </row>
    <row r="4471" spans="1:4" x14ac:dyDescent="0.25">
      <c r="A4471" s="2"/>
      <c r="B4471" s="3"/>
      <c r="C4471" s="3"/>
      <c r="D4471" s="3"/>
    </row>
    <row r="4472" spans="1:4" x14ac:dyDescent="0.25">
      <c r="A4472" s="2"/>
      <c r="B4472" s="3"/>
      <c r="C4472" s="3"/>
      <c r="D4472" s="3"/>
    </row>
    <row r="4473" spans="1:4" x14ac:dyDescent="0.25">
      <c r="A4473" s="2"/>
      <c r="B4473" s="3"/>
      <c r="C4473" s="3"/>
      <c r="D4473" s="3"/>
    </row>
    <row r="4474" spans="1:4" x14ac:dyDescent="0.25">
      <c r="A4474" s="2"/>
      <c r="B4474" s="3"/>
      <c r="C4474" s="3"/>
      <c r="D4474" s="3"/>
    </row>
    <row r="4475" spans="1:4" x14ac:dyDescent="0.25">
      <c r="A4475" s="2"/>
      <c r="B4475" s="3"/>
      <c r="C4475" s="3"/>
      <c r="D4475" s="3"/>
    </row>
    <row r="4476" spans="1:4" x14ac:dyDescent="0.25">
      <c r="A4476" s="2"/>
      <c r="B4476" s="3"/>
      <c r="C4476" s="3"/>
      <c r="D4476" s="3"/>
    </row>
    <row r="4477" spans="1:4" x14ac:dyDescent="0.25">
      <c r="A4477" s="2"/>
      <c r="B4477" s="3"/>
      <c r="C4477" s="3"/>
      <c r="D4477" s="3"/>
    </row>
    <row r="4478" spans="1:4" x14ac:dyDescent="0.25">
      <c r="A4478" s="2"/>
      <c r="B4478" s="3"/>
      <c r="C4478" s="3"/>
      <c r="D4478" s="3"/>
    </row>
    <row r="4479" spans="1:4" x14ac:dyDescent="0.25">
      <c r="A4479" s="2"/>
      <c r="B4479" s="3"/>
      <c r="C4479" s="3"/>
      <c r="D4479" s="3"/>
    </row>
    <row r="4480" spans="1:4" x14ac:dyDescent="0.25">
      <c r="A4480" s="2"/>
      <c r="B4480" s="3"/>
      <c r="C4480" s="3"/>
      <c r="D4480" s="3"/>
    </row>
    <row r="4481" spans="1:4" x14ac:dyDescent="0.25">
      <c r="A4481" s="2"/>
      <c r="B4481" s="3"/>
      <c r="C4481" s="3"/>
      <c r="D4481" s="3"/>
    </row>
    <row r="4482" spans="1:4" x14ac:dyDescent="0.25">
      <c r="A4482" s="2"/>
      <c r="B4482" s="3"/>
      <c r="C4482" s="3"/>
      <c r="D4482" s="3"/>
    </row>
    <row r="4483" spans="1:4" x14ac:dyDescent="0.25">
      <c r="A4483" s="2"/>
      <c r="B4483" s="3"/>
      <c r="C4483" s="3"/>
      <c r="D4483" s="3"/>
    </row>
    <row r="4484" spans="1:4" x14ac:dyDescent="0.25">
      <c r="A4484" s="2"/>
      <c r="B4484" s="3"/>
      <c r="C4484" s="3"/>
      <c r="D4484" s="3"/>
    </row>
    <row r="4485" spans="1:4" x14ac:dyDescent="0.25">
      <c r="A4485" s="2"/>
      <c r="B4485" s="3"/>
      <c r="C4485" s="3"/>
      <c r="D4485" s="3"/>
    </row>
    <row r="4486" spans="1:4" x14ac:dyDescent="0.25">
      <c r="A4486" s="2"/>
      <c r="B4486" s="3"/>
      <c r="C4486" s="3"/>
      <c r="D4486" s="3"/>
    </row>
    <row r="4487" spans="1:4" x14ac:dyDescent="0.25">
      <c r="A4487" s="2"/>
      <c r="B4487" s="3"/>
      <c r="C4487" s="3"/>
      <c r="D4487" s="3"/>
    </row>
    <row r="4488" spans="1:4" x14ac:dyDescent="0.25">
      <c r="A4488" s="2"/>
      <c r="B4488" s="3"/>
      <c r="C4488" s="3"/>
      <c r="D4488" s="3"/>
    </row>
    <row r="4489" spans="1:4" x14ac:dyDescent="0.25">
      <c r="A4489" s="2"/>
      <c r="B4489" s="3"/>
      <c r="C4489" s="3"/>
      <c r="D4489" s="3"/>
    </row>
    <row r="4490" spans="1:4" x14ac:dyDescent="0.25">
      <c r="A4490" s="2"/>
      <c r="B4490" s="3"/>
      <c r="C4490" s="3"/>
      <c r="D4490" s="3"/>
    </row>
    <row r="4491" spans="1:4" x14ac:dyDescent="0.25">
      <c r="A4491" s="2"/>
      <c r="B4491" s="3"/>
      <c r="C4491" s="3"/>
      <c r="D4491" s="3"/>
    </row>
    <row r="4492" spans="1:4" x14ac:dyDescent="0.25">
      <c r="A4492" s="2"/>
      <c r="B4492" s="3"/>
      <c r="C4492" s="3"/>
      <c r="D4492" s="3"/>
    </row>
    <row r="4493" spans="1:4" x14ac:dyDescent="0.25">
      <c r="A4493" s="2"/>
      <c r="B4493" s="3"/>
      <c r="C4493" s="3"/>
      <c r="D4493" s="3"/>
    </row>
    <row r="4494" spans="1:4" x14ac:dyDescent="0.25">
      <c r="A4494" s="2"/>
      <c r="B4494" s="3"/>
      <c r="C4494" s="3"/>
      <c r="D4494" s="3"/>
    </row>
    <row r="4495" spans="1:4" x14ac:dyDescent="0.25">
      <c r="A4495" s="2"/>
      <c r="B4495" s="3"/>
      <c r="C4495" s="3"/>
      <c r="D4495" s="3"/>
    </row>
    <row r="4496" spans="1:4" x14ac:dyDescent="0.25">
      <c r="A4496" s="2"/>
      <c r="B4496" s="3"/>
      <c r="C4496" s="3"/>
      <c r="D4496" s="3"/>
    </row>
    <row r="4497" spans="1:4" x14ac:dyDescent="0.25">
      <c r="A4497" s="2"/>
      <c r="B4497" s="3"/>
      <c r="C4497" s="3"/>
      <c r="D4497" s="3"/>
    </row>
    <row r="4498" spans="1:4" x14ac:dyDescent="0.25">
      <c r="A4498" s="2"/>
      <c r="B4498" s="3"/>
      <c r="C4498" s="3"/>
      <c r="D4498" s="3"/>
    </row>
    <row r="4499" spans="1:4" x14ac:dyDescent="0.25">
      <c r="A4499" s="2"/>
      <c r="B4499" s="3"/>
      <c r="C4499" s="3"/>
      <c r="D4499" s="3"/>
    </row>
    <row r="4500" spans="1:4" x14ac:dyDescent="0.25">
      <c r="A4500" s="2"/>
      <c r="B4500" s="3"/>
      <c r="C4500" s="3"/>
      <c r="D4500" s="3"/>
    </row>
    <row r="4501" spans="1:4" x14ac:dyDescent="0.25">
      <c r="A4501" s="2"/>
      <c r="B4501" s="3"/>
      <c r="C4501" s="3"/>
      <c r="D4501" s="3"/>
    </row>
    <row r="4502" spans="1:4" x14ac:dyDescent="0.25">
      <c r="A4502" s="2"/>
      <c r="B4502" s="3"/>
      <c r="C4502" s="3"/>
      <c r="D4502" s="3"/>
    </row>
    <row r="4503" spans="1:4" x14ac:dyDescent="0.25">
      <c r="A4503" s="2"/>
      <c r="B4503" s="3"/>
      <c r="C4503" s="3"/>
      <c r="D4503" s="3"/>
    </row>
    <row r="4504" spans="1:4" x14ac:dyDescent="0.25">
      <c r="A4504" s="2"/>
      <c r="B4504" s="3"/>
      <c r="C4504" s="3"/>
      <c r="D4504" s="3"/>
    </row>
    <row r="4505" spans="1:4" x14ac:dyDescent="0.25">
      <c r="A4505" s="2"/>
      <c r="B4505" s="3"/>
      <c r="C4505" s="3"/>
      <c r="D4505" s="3"/>
    </row>
    <row r="4506" spans="1:4" x14ac:dyDescent="0.25">
      <c r="A4506" s="2"/>
      <c r="B4506" s="3"/>
      <c r="C4506" s="3"/>
      <c r="D4506" s="3"/>
    </row>
    <row r="4507" spans="1:4" x14ac:dyDescent="0.25">
      <c r="A4507" s="2"/>
      <c r="B4507" s="3"/>
      <c r="C4507" s="3"/>
      <c r="D4507" s="3"/>
    </row>
    <row r="4508" spans="1:4" x14ac:dyDescent="0.25">
      <c r="A4508" s="2"/>
      <c r="B4508" s="3"/>
      <c r="C4508" s="3"/>
      <c r="D4508" s="3"/>
    </row>
    <row r="4509" spans="1:4" x14ac:dyDescent="0.25">
      <c r="A4509" s="2"/>
      <c r="B4509" s="3"/>
      <c r="C4509" s="3"/>
      <c r="D4509" s="3"/>
    </row>
    <row r="4510" spans="1:4" x14ac:dyDescent="0.25">
      <c r="A4510" s="2"/>
      <c r="B4510" s="3"/>
      <c r="C4510" s="3"/>
      <c r="D4510" s="3"/>
    </row>
    <row r="4511" spans="1:4" x14ac:dyDescent="0.25">
      <c r="A4511" s="2"/>
      <c r="B4511" s="3"/>
      <c r="C4511" s="3"/>
      <c r="D4511" s="3"/>
    </row>
    <row r="4512" spans="1:4" x14ac:dyDescent="0.25">
      <c r="A4512" s="2"/>
      <c r="B4512" s="3"/>
      <c r="C4512" s="3"/>
      <c r="D4512" s="3"/>
    </row>
    <row r="4513" spans="1:4" x14ac:dyDescent="0.25">
      <c r="A4513" s="2"/>
      <c r="B4513" s="3"/>
      <c r="C4513" s="3"/>
      <c r="D4513" s="3"/>
    </row>
    <row r="4514" spans="1:4" x14ac:dyDescent="0.25">
      <c r="A4514" s="2"/>
      <c r="B4514" s="3"/>
      <c r="C4514" s="3"/>
      <c r="D4514" s="3"/>
    </row>
    <row r="4515" spans="1:4" x14ac:dyDescent="0.25">
      <c r="A4515" s="2"/>
      <c r="B4515" s="3"/>
      <c r="C4515" s="3"/>
      <c r="D4515" s="3"/>
    </row>
    <row r="4516" spans="1:4" x14ac:dyDescent="0.25">
      <c r="A4516" s="2"/>
      <c r="B4516" s="3"/>
      <c r="C4516" s="3"/>
      <c r="D4516" s="3"/>
    </row>
    <row r="4517" spans="1:4" x14ac:dyDescent="0.25">
      <c r="A4517" s="2"/>
      <c r="B4517" s="3"/>
      <c r="C4517" s="3"/>
      <c r="D4517" s="3"/>
    </row>
    <row r="4518" spans="1:4" x14ac:dyDescent="0.25">
      <c r="A4518" s="2"/>
      <c r="B4518" s="3"/>
      <c r="C4518" s="3"/>
      <c r="D4518" s="3"/>
    </row>
    <row r="4519" spans="1:4" x14ac:dyDescent="0.25">
      <c r="A4519" s="2"/>
      <c r="B4519" s="3"/>
      <c r="C4519" s="3"/>
      <c r="D4519" s="3"/>
    </row>
    <row r="4520" spans="1:4" x14ac:dyDescent="0.25">
      <c r="A4520" s="2"/>
      <c r="B4520" s="3"/>
      <c r="C4520" s="3"/>
      <c r="D4520" s="3"/>
    </row>
    <row r="4521" spans="1:4" x14ac:dyDescent="0.25">
      <c r="A4521" s="2"/>
      <c r="B4521" s="3"/>
      <c r="C4521" s="3"/>
      <c r="D4521" s="3"/>
    </row>
    <row r="4522" spans="1:4" x14ac:dyDescent="0.25">
      <c r="A4522" s="2"/>
      <c r="B4522" s="3"/>
      <c r="C4522" s="3"/>
      <c r="D4522" s="3"/>
    </row>
    <row r="4523" spans="1:4" x14ac:dyDescent="0.25">
      <c r="A4523" s="2"/>
      <c r="B4523" s="3"/>
      <c r="C4523" s="3"/>
      <c r="D4523" s="3"/>
    </row>
    <row r="4524" spans="1:4" x14ac:dyDescent="0.25">
      <c r="A4524" s="2"/>
      <c r="B4524" s="3"/>
      <c r="C4524" s="3"/>
      <c r="D4524" s="3"/>
    </row>
    <row r="4525" spans="1:4" x14ac:dyDescent="0.25">
      <c r="A4525" s="2"/>
      <c r="B4525" s="3"/>
      <c r="C4525" s="3"/>
      <c r="D4525" s="3"/>
    </row>
    <row r="4526" spans="1:4" x14ac:dyDescent="0.25">
      <c r="A4526" s="2"/>
      <c r="B4526" s="3"/>
      <c r="C4526" s="3"/>
      <c r="D4526" s="3"/>
    </row>
    <row r="4527" spans="1:4" x14ac:dyDescent="0.25">
      <c r="A4527" s="2"/>
      <c r="B4527" s="3"/>
      <c r="C4527" s="3"/>
      <c r="D4527" s="3"/>
    </row>
    <row r="4528" spans="1:4" x14ac:dyDescent="0.25">
      <c r="A4528" s="2"/>
      <c r="B4528" s="3"/>
      <c r="C4528" s="3"/>
      <c r="D4528" s="3"/>
    </row>
    <row r="4529" spans="1:4" x14ac:dyDescent="0.25">
      <c r="A4529" s="2"/>
      <c r="B4529" s="3"/>
      <c r="C4529" s="3"/>
      <c r="D4529" s="3"/>
    </row>
    <row r="4530" spans="1:4" x14ac:dyDescent="0.25">
      <c r="A4530" s="2"/>
      <c r="B4530" s="3"/>
      <c r="C4530" s="3"/>
      <c r="D4530" s="3"/>
    </row>
    <row r="4531" spans="1:4" x14ac:dyDescent="0.25">
      <c r="A4531" s="2"/>
      <c r="B4531" s="3"/>
      <c r="C4531" s="3"/>
      <c r="D4531" s="3"/>
    </row>
    <row r="4532" spans="1:4" x14ac:dyDescent="0.25">
      <c r="A4532" s="2"/>
      <c r="B4532" s="3"/>
      <c r="C4532" s="3"/>
      <c r="D4532" s="3"/>
    </row>
    <row r="4533" spans="1:4" x14ac:dyDescent="0.25">
      <c r="A4533" s="2"/>
      <c r="B4533" s="3"/>
      <c r="C4533" s="3"/>
      <c r="D4533" s="3"/>
    </row>
    <row r="4534" spans="1:4" x14ac:dyDescent="0.25">
      <c r="A4534" s="2"/>
      <c r="B4534" s="3"/>
      <c r="C4534" s="3"/>
      <c r="D4534" s="3"/>
    </row>
    <row r="4535" spans="1:4" x14ac:dyDescent="0.25">
      <c r="A4535" s="2"/>
      <c r="B4535" s="3"/>
      <c r="C4535" s="3"/>
      <c r="D4535" s="3"/>
    </row>
    <row r="4536" spans="1:4" x14ac:dyDescent="0.25">
      <c r="A4536" s="2"/>
      <c r="B4536" s="3"/>
      <c r="C4536" s="3"/>
      <c r="D4536" s="3"/>
    </row>
    <row r="4537" spans="1:4" x14ac:dyDescent="0.25">
      <c r="A4537" s="2"/>
      <c r="B4537" s="3"/>
      <c r="C4537" s="3"/>
      <c r="D4537" s="3"/>
    </row>
    <row r="4538" spans="1:4" x14ac:dyDescent="0.25">
      <c r="A4538" s="2"/>
      <c r="B4538" s="3"/>
      <c r="C4538" s="3"/>
      <c r="D4538" s="3"/>
    </row>
    <row r="4539" spans="1:4" x14ac:dyDescent="0.25">
      <c r="A4539" s="2"/>
      <c r="B4539" s="3"/>
      <c r="C4539" s="3"/>
      <c r="D4539" s="3"/>
    </row>
    <row r="4540" spans="1:4" x14ac:dyDescent="0.25">
      <c r="A4540" s="2"/>
      <c r="B4540" s="3"/>
      <c r="C4540" s="3"/>
      <c r="D4540" s="3"/>
    </row>
    <row r="4541" spans="1:4" x14ac:dyDescent="0.25">
      <c r="A4541" s="2"/>
      <c r="B4541" s="3"/>
      <c r="C4541" s="3"/>
      <c r="D4541" s="3"/>
    </row>
    <row r="4542" spans="1:4" x14ac:dyDescent="0.25">
      <c r="A4542" s="2"/>
      <c r="B4542" s="3"/>
      <c r="C4542" s="3"/>
      <c r="D4542" s="3"/>
    </row>
    <row r="4543" spans="1:4" x14ac:dyDescent="0.25">
      <c r="A4543" s="2"/>
      <c r="B4543" s="3"/>
      <c r="C4543" s="3"/>
      <c r="D4543" s="3"/>
    </row>
    <row r="4544" spans="1:4" x14ac:dyDescent="0.25">
      <c r="A4544" s="2"/>
      <c r="B4544" s="3"/>
      <c r="C4544" s="3"/>
      <c r="D4544" s="3"/>
    </row>
    <row r="4545" spans="1:4" x14ac:dyDescent="0.25">
      <c r="A4545" s="2"/>
      <c r="B4545" s="3"/>
      <c r="C4545" s="3"/>
      <c r="D4545" s="3"/>
    </row>
    <row r="4546" spans="1:4" x14ac:dyDescent="0.25">
      <c r="A4546" s="2"/>
      <c r="B4546" s="3"/>
      <c r="C4546" s="3"/>
      <c r="D4546" s="3"/>
    </row>
    <row r="4547" spans="1:4" x14ac:dyDescent="0.25">
      <c r="A4547" s="2"/>
      <c r="B4547" s="3"/>
      <c r="C4547" s="3"/>
      <c r="D4547" s="3"/>
    </row>
    <row r="4548" spans="1:4" x14ac:dyDescent="0.25">
      <c r="A4548" s="2"/>
      <c r="B4548" s="3"/>
      <c r="C4548" s="3"/>
      <c r="D4548" s="3"/>
    </row>
    <row r="4549" spans="1:4" x14ac:dyDescent="0.25">
      <c r="A4549" s="2"/>
      <c r="B4549" s="3"/>
      <c r="C4549" s="3"/>
      <c r="D4549" s="3"/>
    </row>
    <row r="4550" spans="1:4" x14ac:dyDescent="0.25">
      <c r="A4550" s="2"/>
      <c r="B4550" s="3"/>
      <c r="C4550" s="3"/>
      <c r="D4550" s="3"/>
    </row>
    <row r="4551" spans="1:4" x14ac:dyDescent="0.25">
      <c r="A4551" s="2"/>
      <c r="B4551" s="3"/>
      <c r="C4551" s="3"/>
      <c r="D4551" s="3"/>
    </row>
    <row r="4552" spans="1:4" x14ac:dyDescent="0.25">
      <c r="A4552" s="2"/>
      <c r="B4552" s="3"/>
      <c r="C4552" s="3"/>
      <c r="D4552" s="3"/>
    </row>
    <row r="4553" spans="1:4" x14ac:dyDescent="0.25">
      <c r="A4553" s="2"/>
      <c r="B4553" s="3"/>
      <c r="C4553" s="3"/>
      <c r="D4553" s="3"/>
    </row>
    <row r="4554" spans="1:4" x14ac:dyDescent="0.25">
      <c r="A4554" s="2"/>
      <c r="B4554" s="3"/>
      <c r="C4554" s="3"/>
      <c r="D4554" s="3"/>
    </row>
    <row r="4555" spans="1:4" x14ac:dyDescent="0.25">
      <c r="A4555" s="2"/>
      <c r="B4555" s="3"/>
      <c r="C4555" s="3"/>
      <c r="D4555" s="3"/>
    </row>
    <row r="4556" spans="1:4" x14ac:dyDescent="0.25">
      <c r="A4556" s="2"/>
      <c r="B4556" s="3"/>
      <c r="C4556" s="3"/>
      <c r="D4556" s="3"/>
    </row>
    <row r="4557" spans="1:4" x14ac:dyDescent="0.25">
      <c r="A4557" s="2"/>
      <c r="B4557" s="3"/>
      <c r="C4557" s="3"/>
      <c r="D4557" s="3"/>
    </row>
    <row r="4558" spans="1:4" x14ac:dyDescent="0.25">
      <c r="A4558" s="2"/>
      <c r="B4558" s="3"/>
      <c r="C4558" s="3"/>
      <c r="D4558" s="3"/>
    </row>
    <row r="4559" spans="1:4" x14ac:dyDescent="0.25">
      <c r="A4559" s="2"/>
      <c r="B4559" s="3"/>
      <c r="C4559" s="3"/>
      <c r="D4559" s="3"/>
    </row>
    <row r="4560" spans="1:4" x14ac:dyDescent="0.25">
      <c r="A4560" s="2"/>
      <c r="B4560" s="3"/>
      <c r="C4560" s="3"/>
      <c r="D4560" s="3"/>
    </row>
    <row r="4561" spans="1:4" x14ac:dyDescent="0.25">
      <c r="A4561" s="2"/>
      <c r="B4561" s="3"/>
      <c r="C4561" s="3"/>
      <c r="D4561" s="3"/>
    </row>
    <row r="4562" spans="1:4" x14ac:dyDescent="0.25">
      <c r="A4562" s="2"/>
      <c r="B4562" s="3"/>
      <c r="C4562" s="3"/>
      <c r="D4562" s="3"/>
    </row>
    <row r="4563" spans="1:4" x14ac:dyDescent="0.25">
      <c r="A4563" s="2"/>
      <c r="B4563" s="3"/>
      <c r="C4563" s="3"/>
      <c r="D4563" s="3"/>
    </row>
    <row r="4564" spans="1:4" x14ac:dyDescent="0.25">
      <c r="A4564" s="2"/>
      <c r="B4564" s="3"/>
      <c r="C4564" s="3"/>
      <c r="D4564" s="3"/>
    </row>
    <row r="4565" spans="1:4" x14ac:dyDescent="0.25">
      <c r="A4565" s="2"/>
      <c r="B4565" s="3"/>
      <c r="C4565" s="3"/>
      <c r="D4565" s="3"/>
    </row>
    <row r="4566" spans="1:4" x14ac:dyDescent="0.25">
      <c r="A4566" s="2"/>
      <c r="B4566" s="3"/>
      <c r="C4566" s="3"/>
      <c r="D4566" s="3"/>
    </row>
    <row r="4567" spans="1:4" x14ac:dyDescent="0.25">
      <c r="A4567" s="2"/>
      <c r="B4567" s="3"/>
      <c r="C4567" s="3"/>
      <c r="D4567" s="3"/>
    </row>
    <row r="4568" spans="1:4" x14ac:dyDescent="0.25">
      <c r="A4568" s="2"/>
      <c r="B4568" s="3"/>
      <c r="C4568" s="3"/>
      <c r="D4568" s="3"/>
    </row>
    <row r="4569" spans="1:4" x14ac:dyDescent="0.25">
      <c r="A4569" s="2"/>
      <c r="B4569" s="3"/>
      <c r="C4569" s="3"/>
      <c r="D4569" s="3"/>
    </row>
    <row r="4570" spans="1:4" x14ac:dyDescent="0.25">
      <c r="A4570" s="2"/>
      <c r="B4570" s="3"/>
      <c r="C4570" s="3"/>
      <c r="D4570" s="3"/>
    </row>
    <row r="4571" spans="1:4" x14ac:dyDescent="0.25">
      <c r="A4571" s="2"/>
      <c r="B4571" s="3"/>
      <c r="C4571" s="3"/>
      <c r="D4571" s="3"/>
    </row>
    <row r="4572" spans="1:4" x14ac:dyDescent="0.25">
      <c r="A4572" s="2"/>
      <c r="B4572" s="3"/>
      <c r="C4572" s="3"/>
      <c r="D4572" s="3"/>
    </row>
    <row r="4573" spans="1:4" x14ac:dyDescent="0.25">
      <c r="A4573" s="2"/>
      <c r="B4573" s="3"/>
      <c r="C4573" s="3"/>
      <c r="D4573" s="3"/>
    </row>
    <row r="4574" spans="1:4" x14ac:dyDescent="0.25">
      <c r="A4574" s="2"/>
      <c r="B4574" s="3"/>
      <c r="C4574" s="3"/>
      <c r="D4574" s="3"/>
    </row>
    <row r="4575" spans="1:4" x14ac:dyDescent="0.25">
      <c r="A4575" s="2"/>
      <c r="B4575" s="3"/>
      <c r="C4575" s="3"/>
      <c r="D4575" s="3"/>
    </row>
    <row r="4576" spans="1:4" x14ac:dyDescent="0.25">
      <c r="A4576" s="2"/>
      <c r="B4576" s="3"/>
      <c r="C4576" s="3"/>
      <c r="D4576" s="3"/>
    </row>
    <row r="4577" spans="1:4" x14ac:dyDescent="0.25">
      <c r="A4577" s="2"/>
      <c r="B4577" s="3"/>
      <c r="C4577" s="3"/>
      <c r="D4577" s="3"/>
    </row>
    <row r="4578" spans="1:4" x14ac:dyDescent="0.25">
      <c r="A4578" s="2"/>
      <c r="B4578" s="3"/>
      <c r="C4578" s="3"/>
      <c r="D4578" s="3"/>
    </row>
    <row r="4579" spans="1:4" x14ac:dyDescent="0.25">
      <c r="A4579" s="2"/>
      <c r="B4579" s="3"/>
      <c r="C4579" s="3"/>
      <c r="D4579" s="3"/>
    </row>
    <row r="4580" spans="1:4" x14ac:dyDescent="0.25">
      <c r="A4580" s="2"/>
      <c r="B4580" s="3"/>
      <c r="C4580" s="3"/>
      <c r="D4580" s="3"/>
    </row>
    <row r="4581" spans="1:4" x14ac:dyDescent="0.25">
      <c r="A4581" s="2"/>
      <c r="B4581" s="3"/>
      <c r="C4581" s="3"/>
      <c r="D4581" s="3"/>
    </row>
    <row r="4582" spans="1:4" x14ac:dyDescent="0.25">
      <c r="A4582" s="2"/>
      <c r="B4582" s="3"/>
      <c r="C4582" s="3"/>
      <c r="D4582" s="3"/>
    </row>
    <row r="4583" spans="1:4" x14ac:dyDescent="0.25">
      <c r="A4583" s="2"/>
      <c r="B4583" s="3"/>
      <c r="C4583" s="3"/>
      <c r="D4583" s="3"/>
    </row>
    <row r="4584" spans="1:4" x14ac:dyDescent="0.25">
      <c r="A4584" s="2"/>
      <c r="B4584" s="3"/>
      <c r="C4584" s="3"/>
      <c r="D4584" s="3"/>
    </row>
    <row r="4585" spans="1:4" x14ac:dyDescent="0.25">
      <c r="A4585" s="2"/>
      <c r="B4585" s="3"/>
      <c r="C4585" s="3"/>
      <c r="D4585" s="3"/>
    </row>
    <row r="4586" spans="1:4" x14ac:dyDescent="0.25">
      <c r="A4586" s="2"/>
      <c r="B4586" s="3"/>
      <c r="C4586" s="3"/>
      <c r="D4586" s="3"/>
    </row>
    <row r="4587" spans="1:4" x14ac:dyDescent="0.25">
      <c r="A4587" s="2"/>
      <c r="B4587" s="3"/>
      <c r="C4587" s="3"/>
      <c r="D4587" s="3"/>
    </row>
    <row r="4588" spans="1:4" x14ac:dyDescent="0.25">
      <c r="A4588" s="2"/>
      <c r="B4588" s="3"/>
      <c r="C4588" s="3"/>
      <c r="D4588" s="3"/>
    </row>
    <row r="4589" spans="1:4" x14ac:dyDescent="0.25">
      <c r="A4589" s="2"/>
      <c r="B4589" s="3"/>
      <c r="C4589" s="3"/>
      <c r="D4589" s="3"/>
    </row>
    <row r="4590" spans="1:4" x14ac:dyDescent="0.25">
      <c r="A4590" s="2"/>
      <c r="B4590" s="3"/>
      <c r="C4590" s="3"/>
      <c r="D4590" s="3"/>
    </row>
    <row r="4591" spans="1:4" x14ac:dyDescent="0.25">
      <c r="A4591" s="2"/>
      <c r="B4591" s="3"/>
      <c r="C4591" s="3"/>
      <c r="D4591" s="3"/>
    </row>
    <row r="4592" spans="1:4" x14ac:dyDescent="0.25">
      <c r="A4592" s="2"/>
      <c r="B4592" s="3"/>
      <c r="C4592" s="3"/>
      <c r="D4592" s="3"/>
    </row>
    <row r="4593" spans="1:4" x14ac:dyDescent="0.25">
      <c r="A4593" s="2"/>
      <c r="B4593" s="3"/>
      <c r="C4593" s="3"/>
      <c r="D4593" s="3"/>
    </row>
    <row r="4594" spans="1:4" x14ac:dyDescent="0.25">
      <c r="A4594" s="2"/>
      <c r="B4594" s="3"/>
      <c r="C4594" s="3"/>
      <c r="D4594" s="3"/>
    </row>
    <row r="4595" spans="1:4" x14ac:dyDescent="0.25">
      <c r="A4595" s="2"/>
      <c r="B4595" s="3"/>
      <c r="C4595" s="3"/>
      <c r="D4595" s="3"/>
    </row>
    <row r="4596" spans="1:4" x14ac:dyDescent="0.25">
      <c r="A4596" s="2"/>
      <c r="B4596" s="3"/>
      <c r="C4596" s="3"/>
      <c r="D4596" s="3"/>
    </row>
    <row r="4597" spans="1:4" x14ac:dyDescent="0.25">
      <c r="A4597" s="2"/>
      <c r="B4597" s="3"/>
      <c r="C4597" s="3"/>
      <c r="D4597" s="3"/>
    </row>
    <row r="4598" spans="1:4" x14ac:dyDescent="0.25">
      <c r="A4598" s="2"/>
      <c r="B4598" s="3"/>
      <c r="C4598" s="3"/>
      <c r="D4598" s="3"/>
    </row>
    <row r="4599" spans="1:4" x14ac:dyDescent="0.25">
      <c r="A4599" s="2"/>
      <c r="B4599" s="3"/>
      <c r="C4599" s="3"/>
      <c r="D4599" s="3"/>
    </row>
    <row r="4600" spans="1:4" x14ac:dyDescent="0.25">
      <c r="A4600" s="2"/>
      <c r="B4600" s="3"/>
      <c r="C4600" s="3"/>
      <c r="D4600" s="3"/>
    </row>
    <row r="4601" spans="1:4" x14ac:dyDescent="0.25">
      <c r="A4601" s="2"/>
      <c r="B4601" s="3"/>
      <c r="C4601" s="3"/>
      <c r="D4601" s="3"/>
    </row>
    <row r="4602" spans="1:4" x14ac:dyDescent="0.25">
      <c r="A4602" s="2"/>
      <c r="B4602" s="3"/>
      <c r="C4602" s="3"/>
      <c r="D4602" s="3"/>
    </row>
    <row r="4603" spans="1:4" x14ac:dyDescent="0.25">
      <c r="A4603" s="2"/>
      <c r="B4603" s="3"/>
      <c r="C4603" s="3"/>
      <c r="D4603" s="3"/>
    </row>
    <row r="4604" spans="1:4" x14ac:dyDescent="0.25">
      <c r="A4604" s="2"/>
      <c r="B4604" s="3"/>
      <c r="C4604" s="3"/>
      <c r="D4604" s="3"/>
    </row>
    <row r="4605" spans="1:4" x14ac:dyDescent="0.25">
      <c r="A4605" s="2"/>
      <c r="B4605" s="3"/>
      <c r="C4605" s="3"/>
      <c r="D4605" s="3"/>
    </row>
    <row r="4606" spans="1:4" x14ac:dyDescent="0.25">
      <c r="A4606" s="2"/>
      <c r="B4606" s="3"/>
      <c r="C4606" s="3"/>
      <c r="D4606" s="3"/>
    </row>
    <row r="4607" spans="1:4" x14ac:dyDescent="0.25">
      <c r="A4607" s="2"/>
      <c r="B4607" s="3"/>
      <c r="C4607" s="3"/>
      <c r="D4607" s="3"/>
    </row>
    <row r="4608" spans="1:4" x14ac:dyDescent="0.25">
      <c r="A4608" s="2"/>
      <c r="B4608" s="3"/>
      <c r="C4608" s="3"/>
      <c r="D4608" s="3"/>
    </row>
    <row r="4609" spans="1:4" x14ac:dyDescent="0.25">
      <c r="A4609" s="2"/>
      <c r="B4609" s="3"/>
      <c r="C4609" s="3"/>
      <c r="D4609" s="3"/>
    </row>
    <row r="4610" spans="1:4" x14ac:dyDescent="0.25">
      <c r="A4610" s="2"/>
      <c r="B4610" s="3"/>
      <c r="C4610" s="3"/>
      <c r="D4610" s="3"/>
    </row>
    <row r="4611" spans="1:4" x14ac:dyDescent="0.25">
      <c r="A4611" s="2"/>
      <c r="B4611" s="3"/>
      <c r="C4611" s="3"/>
      <c r="D4611" s="3"/>
    </row>
    <row r="4612" spans="1:4" x14ac:dyDescent="0.25">
      <c r="A4612" s="2"/>
      <c r="B4612" s="3"/>
      <c r="C4612" s="3"/>
      <c r="D4612" s="3"/>
    </row>
    <row r="4613" spans="1:4" x14ac:dyDescent="0.25">
      <c r="A4613" s="2"/>
      <c r="B4613" s="3"/>
      <c r="C4613" s="3"/>
      <c r="D4613" s="3"/>
    </row>
    <row r="4614" spans="1:4" x14ac:dyDescent="0.25">
      <c r="A4614" s="2"/>
      <c r="B4614" s="3"/>
      <c r="C4614" s="3"/>
      <c r="D4614" s="3"/>
    </row>
    <row r="4615" spans="1:4" x14ac:dyDescent="0.25">
      <c r="A4615" s="2"/>
      <c r="B4615" s="3"/>
      <c r="C4615" s="3"/>
      <c r="D4615" s="3"/>
    </row>
    <row r="4616" spans="1:4" x14ac:dyDescent="0.25">
      <c r="A4616" s="2"/>
      <c r="B4616" s="3"/>
      <c r="C4616" s="3"/>
      <c r="D4616" s="3"/>
    </row>
    <row r="4617" spans="1:4" x14ac:dyDescent="0.25">
      <c r="A4617" s="2"/>
      <c r="B4617" s="3"/>
      <c r="C4617" s="3"/>
      <c r="D4617" s="3"/>
    </row>
    <row r="4618" spans="1:4" x14ac:dyDescent="0.25">
      <c r="A4618" s="2"/>
      <c r="B4618" s="3"/>
      <c r="C4618" s="3"/>
      <c r="D4618" s="3"/>
    </row>
    <row r="4619" spans="1:4" x14ac:dyDescent="0.25">
      <c r="A4619" s="2"/>
      <c r="B4619" s="3"/>
      <c r="C4619" s="3"/>
      <c r="D4619" s="3"/>
    </row>
    <row r="4620" spans="1:4" x14ac:dyDescent="0.25">
      <c r="A4620" s="2"/>
      <c r="B4620" s="3"/>
      <c r="C4620" s="3"/>
      <c r="D4620" s="3"/>
    </row>
    <row r="4621" spans="1:4" x14ac:dyDescent="0.25">
      <c r="A4621" s="2"/>
      <c r="B4621" s="3"/>
      <c r="C4621" s="3"/>
      <c r="D4621" s="3"/>
    </row>
    <row r="4622" spans="1:4" x14ac:dyDescent="0.25">
      <c r="A4622" s="2"/>
      <c r="B4622" s="3"/>
      <c r="C4622" s="3"/>
      <c r="D4622" s="3"/>
    </row>
    <row r="4623" spans="1:4" x14ac:dyDescent="0.25">
      <c r="A4623" s="2"/>
      <c r="B4623" s="3"/>
      <c r="C4623" s="3"/>
      <c r="D4623" s="3"/>
    </row>
    <row r="4624" spans="1:4" x14ac:dyDescent="0.25">
      <c r="A4624" s="2"/>
      <c r="B4624" s="3"/>
      <c r="C4624" s="3"/>
      <c r="D4624" s="3"/>
    </row>
    <row r="4625" spans="1:4" x14ac:dyDescent="0.25">
      <c r="A4625" s="2"/>
      <c r="B4625" s="3"/>
      <c r="C4625" s="3"/>
      <c r="D4625" s="3"/>
    </row>
    <row r="4626" spans="1:4" x14ac:dyDescent="0.25">
      <c r="A4626" s="2"/>
      <c r="B4626" s="3"/>
      <c r="C4626" s="3"/>
      <c r="D4626" s="3"/>
    </row>
    <row r="4627" spans="1:4" x14ac:dyDescent="0.25">
      <c r="A4627" s="2"/>
      <c r="B4627" s="3"/>
      <c r="C4627" s="3"/>
      <c r="D4627" s="3"/>
    </row>
    <row r="4628" spans="1:4" x14ac:dyDescent="0.25">
      <c r="A4628" s="2"/>
      <c r="B4628" s="3"/>
      <c r="C4628" s="3"/>
      <c r="D4628" s="3"/>
    </row>
    <row r="4629" spans="1:4" x14ac:dyDescent="0.25">
      <c r="A4629" s="2"/>
      <c r="B4629" s="3"/>
      <c r="C4629" s="3"/>
      <c r="D4629" s="3"/>
    </row>
    <row r="4630" spans="1:4" x14ac:dyDescent="0.25">
      <c r="A4630" s="2"/>
      <c r="B4630" s="3"/>
      <c r="C4630" s="3"/>
      <c r="D4630" s="3"/>
    </row>
    <row r="4631" spans="1:4" x14ac:dyDescent="0.25">
      <c r="A4631" s="2"/>
      <c r="B4631" s="3"/>
      <c r="C4631" s="3"/>
      <c r="D4631" s="3"/>
    </row>
    <row r="4632" spans="1:4" x14ac:dyDescent="0.25">
      <c r="A4632" s="2"/>
      <c r="B4632" s="3"/>
      <c r="C4632" s="3"/>
      <c r="D4632" s="3"/>
    </row>
    <row r="4633" spans="1:4" x14ac:dyDescent="0.25">
      <c r="A4633" s="2"/>
      <c r="B4633" s="3"/>
      <c r="C4633" s="3"/>
      <c r="D4633" s="3"/>
    </row>
    <row r="4634" spans="1:4" x14ac:dyDescent="0.25">
      <c r="A4634" s="2"/>
      <c r="B4634" s="3"/>
      <c r="C4634" s="3"/>
      <c r="D4634" s="3"/>
    </row>
    <row r="4635" spans="1:4" x14ac:dyDescent="0.25">
      <c r="A4635" s="2"/>
      <c r="B4635" s="3"/>
      <c r="C4635" s="3"/>
      <c r="D4635" s="3"/>
    </row>
    <row r="4636" spans="1:4" x14ac:dyDescent="0.25">
      <c r="A4636" s="2"/>
      <c r="B4636" s="3"/>
      <c r="C4636" s="3"/>
      <c r="D4636" s="3"/>
    </row>
    <row r="4637" spans="1:4" x14ac:dyDescent="0.25">
      <c r="A4637" s="2"/>
      <c r="B4637" s="3"/>
      <c r="C4637" s="3"/>
      <c r="D4637" s="3"/>
    </row>
    <row r="4638" spans="1:4" x14ac:dyDescent="0.25">
      <c r="A4638" s="2"/>
      <c r="B4638" s="3"/>
      <c r="C4638" s="3"/>
      <c r="D4638" s="3"/>
    </row>
    <row r="4639" spans="1:4" x14ac:dyDescent="0.25">
      <c r="A4639" s="2"/>
      <c r="B4639" s="3"/>
      <c r="C4639" s="3"/>
      <c r="D4639" s="3"/>
    </row>
    <row r="4640" spans="1:4" x14ac:dyDescent="0.25">
      <c r="A4640" s="2"/>
      <c r="B4640" s="3"/>
      <c r="C4640" s="3"/>
      <c r="D4640" s="3"/>
    </row>
    <row r="4641" spans="1:4" x14ac:dyDescent="0.25">
      <c r="A4641" s="2"/>
      <c r="B4641" s="3"/>
      <c r="C4641" s="3"/>
      <c r="D4641" s="3"/>
    </row>
    <row r="4642" spans="1:4" x14ac:dyDescent="0.25">
      <c r="A4642" s="2"/>
      <c r="B4642" s="3"/>
      <c r="C4642" s="3"/>
      <c r="D4642" s="3"/>
    </row>
    <row r="4643" spans="1:4" x14ac:dyDescent="0.25">
      <c r="A4643" s="2"/>
      <c r="B4643" s="3"/>
      <c r="C4643" s="3"/>
      <c r="D4643" s="3"/>
    </row>
    <row r="4644" spans="1:4" x14ac:dyDescent="0.25">
      <c r="A4644" s="2"/>
      <c r="B4644" s="3"/>
      <c r="C4644" s="3"/>
      <c r="D4644" s="3"/>
    </row>
    <row r="4645" spans="1:4" x14ac:dyDescent="0.25">
      <c r="A4645" s="2"/>
      <c r="B4645" s="3"/>
      <c r="C4645" s="3"/>
      <c r="D4645" s="3"/>
    </row>
    <row r="4646" spans="1:4" x14ac:dyDescent="0.25">
      <c r="A4646" s="2"/>
      <c r="B4646" s="3"/>
      <c r="C4646" s="3"/>
      <c r="D4646" s="3"/>
    </row>
    <row r="4647" spans="1:4" x14ac:dyDescent="0.25">
      <c r="A4647" s="2"/>
      <c r="B4647" s="3"/>
      <c r="C4647" s="3"/>
      <c r="D4647" s="3"/>
    </row>
    <row r="4648" spans="1:4" x14ac:dyDescent="0.25">
      <c r="A4648" s="2"/>
      <c r="B4648" s="3"/>
      <c r="C4648" s="3"/>
      <c r="D4648" s="3"/>
    </row>
    <row r="4649" spans="1:4" x14ac:dyDescent="0.25">
      <c r="A4649" s="2"/>
      <c r="B4649" s="3"/>
      <c r="C4649" s="3"/>
      <c r="D4649" s="3"/>
    </row>
    <row r="4650" spans="1:4" x14ac:dyDescent="0.25">
      <c r="A4650" s="2"/>
      <c r="B4650" s="3"/>
      <c r="C4650" s="3"/>
      <c r="D4650" s="3"/>
    </row>
    <row r="4651" spans="1:4" x14ac:dyDescent="0.25">
      <c r="A4651" s="2"/>
      <c r="B4651" s="3"/>
      <c r="C4651" s="3"/>
      <c r="D4651" s="3"/>
    </row>
    <row r="4652" spans="1:4" x14ac:dyDescent="0.25">
      <c r="A4652" s="2"/>
      <c r="B4652" s="3"/>
      <c r="C4652" s="3"/>
      <c r="D4652" s="3"/>
    </row>
    <row r="4653" spans="1:4" x14ac:dyDescent="0.25">
      <c r="A4653" s="2"/>
      <c r="B4653" s="3"/>
      <c r="C4653" s="3"/>
      <c r="D4653" s="3"/>
    </row>
    <row r="4654" spans="1:4" x14ac:dyDescent="0.25">
      <c r="A4654" s="2"/>
      <c r="B4654" s="3"/>
      <c r="C4654" s="3"/>
      <c r="D4654" s="3"/>
    </row>
    <row r="4655" spans="1:4" x14ac:dyDescent="0.25">
      <c r="A4655" s="2"/>
      <c r="B4655" s="3"/>
      <c r="C4655" s="3"/>
      <c r="D4655" s="3"/>
    </row>
    <row r="4656" spans="1:4" x14ac:dyDescent="0.25">
      <c r="A4656" s="2"/>
      <c r="B4656" s="3"/>
      <c r="C4656" s="3"/>
      <c r="D4656" s="3"/>
    </row>
    <row r="4657" spans="1:4" x14ac:dyDescent="0.25">
      <c r="A4657" s="2"/>
      <c r="B4657" s="3"/>
      <c r="C4657" s="3"/>
      <c r="D4657" s="3"/>
    </row>
    <row r="4658" spans="1:4" x14ac:dyDescent="0.25">
      <c r="A4658" s="2"/>
      <c r="B4658" s="3"/>
      <c r="C4658" s="3"/>
      <c r="D4658" s="3"/>
    </row>
    <row r="4659" spans="1:4" x14ac:dyDescent="0.25">
      <c r="A4659" s="2"/>
      <c r="B4659" s="3"/>
      <c r="C4659" s="3"/>
      <c r="D4659" s="3"/>
    </row>
    <row r="4660" spans="1:4" x14ac:dyDescent="0.25">
      <c r="A4660" s="2"/>
      <c r="B4660" s="3"/>
      <c r="C4660" s="3"/>
      <c r="D4660" s="3"/>
    </row>
    <row r="4661" spans="1:4" x14ac:dyDescent="0.25">
      <c r="A4661" s="2"/>
      <c r="B4661" s="3"/>
      <c r="C4661" s="3"/>
      <c r="D4661" s="3"/>
    </row>
    <row r="4662" spans="1:4" x14ac:dyDescent="0.25">
      <c r="A4662" s="2"/>
      <c r="B4662" s="3"/>
      <c r="C4662" s="3"/>
      <c r="D4662" s="3"/>
    </row>
    <row r="4663" spans="1:4" x14ac:dyDescent="0.25">
      <c r="A4663" s="2"/>
      <c r="B4663" s="3"/>
      <c r="C4663" s="3"/>
      <c r="D4663" s="3"/>
    </row>
    <row r="4664" spans="1:4" x14ac:dyDescent="0.25">
      <c r="A4664" s="2"/>
      <c r="B4664" s="3"/>
      <c r="C4664" s="3"/>
      <c r="D4664" s="3"/>
    </row>
    <row r="4665" spans="1:4" x14ac:dyDescent="0.25">
      <c r="A4665" s="2"/>
      <c r="B4665" s="3"/>
      <c r="C4665" s="3"/>
      <c r="D4665" s="3"/>
    </row>
    <row r="4666" spans="1:4" x14ac:dyDescent="0.25">
      <c r="A4666" s="2"/>
      <c r="B4666" s="3"/>
      <c r="C4666" s="3"/>
      <c r="D4666" s="3"/>
    </row>
    <row r="4667" spans="1:4" x14ac:dyDescent="0.25">
      <c r="A4667" s="2"/>
      <c r="B4667" s="3"/>
      <c r="C4667" s="3"/>
      <c r="D4667" s="3"/>
    </row>
    <row r="4668" spans="1:4" x14ac:dyDescent="0.25">
      <c r="A4668" s="2"/>
      <c r="B4668" s="3"/>
      <c r="C4668" s="3"/>
      <c r="D4668" s="3"/>
    </row>
    <row r="4669" spans="1:4" x14ac:dyDescent="0.25">
      <c r="A4669" s="2"/>
      <c r="B4669" s="3"/>
      <c r="C4669" s="3"/>
      <c r="D4669" s="3"/>
    </row>
    <row r="4670" spans="1:4" x14ac:dyDescent="0.25">
      <c r="A4670" s="2"/>
      <c r="B4670" s="3"/>
      <c r="C4670" s="3"/>
      <c r="D4670" s="3"/>
    </row>
    <row r="4671" spans="1:4" x14ac:dyDescent="0.25">
      <c r="A4671" s="2"/>
      <c r="B4671" s="3"/>
      <c r="C4671" s="3"/>
      <c r="D4671" s="3"/>
    </row>
    <row r="4672" spans="1:4" x14ac:dyDescent="0.25">
      <c r="A4672" s="2"/>
      <c r="B4672" s="3"/>
      <c r="C4672" s="3"/>
      <c r="D4672" s="3"/>
    </row>
    <row r="4673" spans="1:4" x14ac:dyDescent="0.25">
      <c r="A4673" s="2"/>
      <c r="B4673" s="3"/>
      <c r="C4673" s="3"/>
      <c r="D4673" s="3"/>
    </row>
    <row r="4674" spans="1:4" x14ac:dyDescent="0.25">
      <c r="A4674" s="2"/>
      <c r="B4674" s="3"/>
      <c r="C4674" s="3"/>
      <c r="D4674" s="3"/>
    </row>
    <row r="4675" spans="1:4" x14ac:dyDescent="0.25">
      <c r="A4675" s="2"/>
      <c r="B4675" s="3"/>
      <c r="C4675" s="3"/>
      <c r="D4675" s="3"/>
    </row>
    <row r="4676" spans="1:4" x14ac:dyDescent="0.25">
      <c r="A4676" s="2"/>
      <c r="B4676" s="3"/>
      <c r="C4676" s="3"/>
      <c r="D4676" s="3"/>
    </row>
    <row r="4677" spans="1:4" x14ac:dyDescent="0.25">
      <c r="A4677" s="2"/>
      <c r="B4677" s="3"/>
      <c r="C4677" s="3"/>
      <c r="D4677" s="3"/>
    </row>
    <row r="4678" spans="1:4" x14ac:dyDescent="0.25">
      <c r="A4678" s="2"/>
      <c r="B4678" s="3"/>
      <c r="C4678" s="3"/>
      <c r="D4678" s="3"/>
    </row>
    <row r="4679" spans="1:4" x14ac:dyDescent="0.25">
      <c r="A4679" s="2"/>
      <c r="B4679" s="3"/>
      <c r="C4679" s="3"/>
      <c r="D4679" s="3"/>
    </row>
    <row r="4680" spans="1:4" x14ac:dyDescent="0.25">
      <c r="A4680" s="2"/>
      <c r="B4680" s="3"/>
      <c r="C4680" s="3"/>
      <c r="D4680" s="3"/>
    </row>
    <row r="4681" spans="1:4" x14ac:dyDescent="0.25">
      <c r="A4681" s="2"/>
      <c r="B4681" s="3"/>
      <c r="C4681" s="3"/>
      <c r="D4681" s="3"/>
    </row>
    <row r="4682" spans="1:4" x14ac:dyDescent="0.25">
      <c r="A4682" s="2"/>
      <c r="B4682" s="3"/>
      <c r="C4682" s="3"/>
      <c r="D4682" s="3"/>
    </row>
    <row r="4683" spans="1:4" x14ac:dyDescent="0.25">
      <c r="A4683" s="2"/>
      <c r="B4683" s="3"/>
      <c r="C4683" s="3"/>
      <c r="D4683" s="3"/>
    </row>
    <row r="4684" spans="1:4" x14ac:dyDescent="0.25">
      <c r="A4684" s="2"/>
      <c r="B4684" s="3"/>
      <c r="C4684" s="3"/>
      <c r="D4684" s="3"/>
    </row>
    <row r="4685" spans="1:4" x14ac:dyDescent="0.25">
      <c r="A4685" s="2"/>
      <c r="B4685" s="3"/>
      <c r="C4685" s="3"/>
      <c r="D4685" s="3"/>
    </row>
    <row r="4686" spans="1:4" x14ac:dyDescent="0.25">
      <c r="A4686" s="2"/>
      <c r="B4686" s="3"/>
      <c r="C4686" s="3"/>
      <c r="D4686" s="3"/>
    </row>
    <row r="4687" spans="1:4" x14ac:dyDescent="0.25">
      <c r="A4687" s="2"/>
      <c r="B4687" s="3"/>
      <c r="C4687" s="3"/>
      <c r="D4687" s="3"/>
    </row>
    <row r="4688" spans="1:4" x14ac:dyDescent="0.25">
      <c r="A4688" s="2"/>
      <c r="B4688" s="3"/>
      <c r="C4688" s="3"/>
      <c r="D4688" s="3"/>
    </row>
    <row r="4689" spans="1:4" x14ac:dyDescent="0.25">
      <c r="A4689" s="2"/>
      <c r="B4689" s="3"/>
      <c r="C4689" s="3"/>
      <c r="D4689" s="3"/>
    </row>
    <row r="4690" spans="1:4" x14ac:dyDescent="0.25">
      <c r="A4690" s="2"/>
      <c r="B4690" s="3"/>
      <c r="C4690" s="3"/>
      <c r="D4690" s="3"/>
    </row>
    <row r="4691" spans="1:4" x14ac:dyDescent="0.25">
      <c r="A4691" s="2"/>
      <c r="B4691" s="3"/>
      <c r="C4691" s="3"/>
      <c r="D4691" s="3"/>
    </row>
    <row r="4692" spans="1:4" x14ac:dyDescent="0.25">
      <c r="A4692" s="2"/>
      <c r="B4692" s="3"/>
      <c r="C4692" s="3"/>
      <c r="D4692" s="3"/>
    </row>
    <row r="4693" spans="1:4" x14ac:dyDescent="0.25">
      <c r="A4693" s="2"/>
      <c r="B4693" s="3"/>
      <c r="C4693" s="3"/>
      <c r="D4693" s="3"/>
    </row>
    <row r="4694" spans="1:4" x14ac:dyDescent="0.25">
      <c r="A4694" s="2"/>
      <c r="B4694" s="3"/>
      <c r="C4694" s="3"/>
      <c r="D4694" s="3"/>
    </row>
    <row r="4695" spans="1:4" x14ac:dyDescent="0.25">
      <c r="A4695" s="2"/>
      <c r="B4695" s="3"/>
      <c r="C4695" s="3"/>
      <c r="D4695" s="3"/>
    </row>
    <row r="4696" spans="1:4" x14ac:dyDescent="0.25">
      <c r="A4696" s="2"/>
      <c r="B4696" s="3"/>
      <c r="C4696" s="3"/>
      <c r="D4696" s="3"/>
    </row>
    <row r="4697" spans="1:4" x14ac:dyDescent="0.25">
      <c r="A4697" s="2"/>
      <c r="B4697" s="3"/>
      <c r="C4697" s="3"/>
      <c r="D4697" s="3"/>
    </row>
    <row r="4698" spans="1:4" x14ac:dyDescent="0.25">
      <c r="A4698" s="2"/>
      <c r="B4698" s="3"/>
      <c r="C4698" s="3"/>
      <c r="D4698" s="3"/>
    </row>
    <row r="4699" spans="1:4" x14ac:dyDescent="0.25">
      <c r="A4699" s="2"/>
      <c r="B4699" s="3"/>
      <c r="C4699" s="3"/>
      <c r="D4699" s="3"/>
    </row>
    <row r="4700" spans="1:4" x14ac:dyDescent="0.25">
      <c r="A4700" s="2"/>
      <c r="B4700" s="3"/>
      <c r="C4700" s="3"/>
      <c r="D4700" s="3"/>
    </row>
    <row r="4701" spans="1:4" x14ac:dyDescent="0.25">
      <c r="A4701" s="2"/>
      <c r="B4701" s="3"/>
      <c r="C4701" s="3"/>
      <c r="D4701" s="3"/>
    </row>
    <row r="4702" spans="1:4" x14ac:dyDescent="0.25">
      <c r="A4702" s="2"/>
      <c r="B4702" s="3"/>
      <c r="C4702" s="3"/>
      <c r="D4702" s="3"/>
    </row>
    <row r="4703" spans="1:4" x14ac:dyDescent="0.25">
      <c r="A4703" s="2"/>
      <c r="B4703" s="3"/>
      <c r="C4703" s="3"/>
      <c r="D4703" s="3"/>
    </row>
    <row r="4704" spans="1:4" x14ac:dyDescent="0.25">
      <c r="A4704" s="2"/>
      <c r="B4704" s="3"/>
      <c r="C4704" s="3"/>
      <c r="D4704" s="3"/>
    </row>
    <row r="4705" spans="1:4" x14ac:dyDescent="0.25">
      <c r="A4705" s="2"/>
      <c r="B4705" s="3"/>
      <c r="C4705" s="3"/>
      <c r="D4705" s="3"/>
    </row>
    <row r="4706" spans="1:4" x14ac:dyDescent="0.25">
      <c r="A4706" s="2"/>
      <c r="B4706" s="3"/>
      <c r="C4706" s="3"/>
      <c r="D4706" s="3"/>
    </row>
    <row r="4707" spans="1:4" x14ac:dyDescent="0.25">
      <c r="A4707" s="2"/>
      <c r="B4707" s="3"/>
      <c r="C4707" s="3"/>
      <c r="D4707" s="3"/>
    </row>
    <row r="4708" spans="1:4" x14ac:dyDescent="0.25">
      <c r="A4708" s="2"/>
      <c r="B4708" s="3"/>
      <c r="C4708" s="3"/>
      <c r="D4708" s="3"/>
    </row>
    <row r="4709" spans="1:4" x14ac:dyDescent="0.25">
      <c r="A4709" s="2"/>
      <c r="B4709" s="3"/>
      <c r="C4709" s="3"/>
      <c r="D4709" s="3"/>
    </row>
    <row r="4710" spans="1:4" x14ac:dyDescent="0.25">
      <c r="A4710" s="2"/>
      <c r="B4710" s="3"/>
      <c r="C4710" s="3"/>
      <c r="D4710" s="3"/>
    </row>
    <row r="4711" spans="1:4" x14ac:dyDescent="0.25">
      <c r="A4711" s="2"/>
      <c r="B4711" s="3"/>
      <c r="C4711" s="3"/>
      <c r="D4711" s="3"/>
    </row>
    <row r="4712" spans="1:4" x14ac:dyDescent="0.25">
      <c r="A4712" s="2"/>
      <c r="B4712" s="3"/>
      <c r="C4712" s="3"/>
      <c r="D4712" s="3"/>
    </row>
    <row r="4713" spans="1:4" x14ac:dyDescent="0.25">
      <c r="A4713" s="2"/>
      <c r="B4713" s="3"/>
      <c r="C4713" s="3"/>
      <c r="D4713" s="3"/>
    </row>
    <row r="4714" spans="1:4" x14ac:dyDescent="0.25">
      <c r="A4714" s="2"/>
      <c r="B4714" s="3"/>
      <c r="C4714" s="3"/>
      <c r="D4714" s="3"/>
    </row>
    <row r="4715" spans="1:4" x14ac:dyDescent="0.25">
      <c r="A4715" s="2"/>
      <c r="B4715" s="3"/>
      <c r="C4715" s="3"/>
      <c r="D4715" s="3"/>
    </row>
    <row r="4716" spans="1:4" x14ac:dyDescent="0.25">
      <c r="A4716" s="2"/>
      <c r="B4716" s="3"/>
      <c r="C4716" s="3"/>
      <c r="D4716" s="3"/>
    </row>
    <row r="4717" spans="1:4" x14ac:dyDescent="0.25">
      <c r="A4717" s="2"/>
      <c r="B4717" s="3"/>
      <c r="C4717" s="3"/>
      <c r="D4717" s="3"/>
    </row>
    <row r="4718" spans="1:4" x14ac:dyDescent="0.25">
      <c r="A4718" s="2"/>
      <c r="B4718" s="3"/>
      <c r="C4718" s="3"/>
      <c r="D4718" s="3"/>
    </row>
    <row r="4719" spans="1:4" x14ac:dyDescent="0.25">
      <c r="A4719" s="2"/>
      <c r="B4719" s="3"/>
      <c r="C4719" s="3"/>
      <c r="D4719" s="3"/>
    </row>
    <row r="4720" spans="1:4" x14ac:dyDescent="0.25">
      <c r="A4720" s="2"/>
      <c r="B4720" s="3"/>
      <c r="C4720" s="3"/>
      <c r="D4720" s="3"/>
    </row>
    <row r="4721" spans="1:4" x14ac:dyDescent="0.25">
      <c r="A4721" s="2"/>
      <c r="B4721" s="3"/>
      <c r="C4721" s="3"/>
      <c r="D4721" s="3"/>
    </row>
    <row r="4722" spans="1:4" x14ac:dyDescent="0.25">
      <c r="A4722" s="2"/>
      <c r="B4722" s="3"/>
      <c r="C4722" s="3"/>
      <c r="D4722" s="3"/>
    </row>
    <row r="4723" spans="1:4" x14ac:dyDescent="0.25">
      <c r="A4723" s="2"/>
      <c r="B4723" s="3"/>
      <c r="C4723" s="3"/>
      <c r="D4723" s="3"/>
    </row>
    <row r="4724" spans="1:4" x14ac:dyDescent="0.25">
      <c r="A4724" s="2"/>
      <c r="B4724" s="3"/>
      <c r="C4724" s="3"/>
      <c r="D4724" s="3"/>
    </row>
    <row r="4725" spans="1:4" x14ac:dyDescent="0.25">
      <c r="A4725" s="2"/>
      <c r="B4725" s="3"/>
      <c r="C4725" s="3"/>
      <c r="D4725" s="3"/>
    </row>
    <row r="4726" spans="1:4" x14ac:dyDescent="0.25">
      <c r="A4726" s="2"/>
      <c r="B4726" s="3"/>
      <c r="C4726" s="3"/>
      <c r="D4726" s="3"/>
    </row>
    <row r="4727" spans="1:4" x14ac:dyDescent="0.25">
      <c r="A4727" s="2"/>
      <c r="B4727" s="3"/>
      <c r="C4727" s="3"/>
      <c r="D4727" s="3"/>
    </row>
    <row r="4728" spans="1:4" x14ac:dyDescent="0.25">
      <c r="A4728" s="2"/>
      <c r="B4728" s="3"/>
      <c r="C4728" s="3"/>
      <c r="D4728" s="3"/>
    </row>
    <row r="4729" spans="1:4" x14ac:dyDescent="0.25">
      <c r="A4729" s="2"/>
      <c r="B4729" s="3"/>
      <c r="C4729" s="3"/>
      <c r="D4729" s="3"/>
    </row>
    <row r="4730" spans="1:4" x14ac:dyDescent="0.25">
      <c r="A4730" s="2"/>
      <c r="B4730" s="3"/>
      <c r="C4730" s="3"/>
      <c r="D4730" s="3"/>
    </row>
    <row r="4731" spans="1:4" x14ac:dyDescent="0.25">
      <c r="A4731" s="2"/>
      <c r="B4731" s="3"/>
      <c r="C4731" s="3"/>
      <c r="D4731" s="3"/>
    </row>
    <row r="4732" spans="1:4" x14ac:dyDescent="0.25">
      <c r="A4732" s="2"/>
      <c r="B4732" s="3"/>
      <c r="C4732" s="3"/>
      <c r="D4732" s="3"/>
    </row>
    <row r="4733" spans="1:4" x14ac:dyDescent="0.25">
      <c r="A4733" s="2"/>
      <c r="B4733" s="3"/>
      <c r="C4733" s="3"/>
      <c r="D4733" s="3"/>
    </row>
    <row r="4734" spans="1:4" x14ac:dyDescent="0.25">
      <c r="A4734" s="2"/>
      <c r="B4734" s="3"/>
      <c r="C4734" s="3"/>
      <c r="D4734" s="3"/>
    </row>
    <row r="4735" spans="1:4" x14ac:dyDescent="0.25">
      <c r="A4735" s="2"/>
      <c r="B4735" s="3"/>
      <c r="C4735" s="3"/>
      <c r="D4735" s="3"/>
    </row>
    <row r="4736" spans="1:4" x14ac:dyDescent="0.25">
      <c r="A4736" s="2"/>
      <c r="B4736" s="3"/>
      <c r="C4736" s="3"/>
      <c r="D4736" s="3"/>
    </row>
    <row r="4737" spans="1:4" x14ac:dyDescent="0.25">
      <c r="A4737" s="2"/>
      <c r="B4737" s="3"/>
      <c r="C4737" s="3"/>
      <c r="D4737" s="3"/>
    </row>
    <row r="4738" spans="1:4" x14ac:dyDescent="0.25">
      <c r="A4738" s="2"/>
      <c r="B4738" s="3"/>
      <c r="C4738" s="3"/>
      <c r="D4738" s="3"/>
    </row>
    <row r="4739" spans="1:4" x14ac:dyDescent="0.25">
      <c r="A4739" s="2"/>
      <c r="B4739" s="3"/>
      <c r="C4739" s="3"/>
      <c r="D4739" s="3"/>
    </row>
    <row r="4740" spans="1:4" x14ac:dyDescent="0.25">
      <c r="A4740" s="2"/>
      <c r="B4740" s="3"/>
      <c r="C4740" s="3"/>
      <c r="D4740" s="3"/>
    </row>
    <row r="4741" spans="1:4" x14ac:dyDescent="0.25">
      <c r="A4741" s="2"/>
      <c r="B4741" s="3"/>
      <c r="C4741" s="3"/>
      <c r="D4741" s="3"/>
    </row>
    <row r="4742" spans="1:4" x14ac:dyDescent="0.25">
      <c r="A4742" s="2"/>
      <c r="B4742" s="3"/>
      <c r="C4742" s="3"/>
      <c r="D4742" s="3"/>
    </row>
    <row r="4743" spans="1:4" x14ac:dyDescent="0.25">
      <c r="A4743" s="2"/>
      <c r="B4743" s="3"/>
      <c r="C4743" s="3"/>
      <c r="D4743" s="3"/>
    </row>
    <row r="4744" spans="1:4" x14ac:dyDescent="0.25">
      <c r="A4744" s="2"/>
      <c r="B4744" s="3"/>
      <c r="C4744" s="3"/>
      <c r="D4744" s="3"/>
    </row>
    <row r="4745" spans="1:4" x14ac:dyDescent="0.25">
      <c r="A4745" s="2"/>
      <c r="B4745" s="3"/>
      <c r="C4745" s="3"/>
      <c r="D4745" s="3"/>
    </row>
    <row r="4746" spans="1:4" x14ac:dyDescent="0.25">
      <c r="A4746" s="2"/>
      <c r="B4746" s="3"/>
      <c r="C4746" s="3"/>
      <c r="D4746" s="3"/>
    </row>
    <row r="4747" spans="1:4" x14ac:dyDescent="0.25">
      <c r="A4747" s="2"/>
      <c r="B4747" s="3"/>
      <c r="C4747" s="3"/>
      <c r="D4747" s="3"/>
    </row>
    <row r="4748" spans="1:4" x14ac:dyDescent="0.25">
      <c r="A4748" s="2"/>
      <c r="B4748" s="3"/>
      <c r="C4748" s="3"/>
      <c r="D4748" s="3"/>
    </row>
    <row r="4749" spans="1:4" x14ac:dyDescent="0.25">
      <c r="A4749" s="2"/>
      <c r="B4749" s="3"/>
      <c r="C4749" s="3"/>
      <c r="D4749" s="3"/>
    </row>
    <row r="4750" spans="1:4" x14ac:dyDescent="0.25">
      <c r="A4750" s="2"/>
      <c r="B4750" s="3"/>
      <c r="C4750" s="3"/>
      <c r="D4750" s="3"/>
    </row>
    <row r="4751" spans="1:4" x14ac:dyDescent="0.25">
      <c r="A4751" s="2"/>
      <c r="B4751" s="3"/>
      <c r="C4751" s="3"/>
      <c r="D4751" s="3"/>
    </row>
    <row r="4752" spans="1:4" x14ac:dyDescent="0.25">
      <c r="A4752" s="2"/>
      <c r="B4752" s="3"/>
      <c r="C4752" s="3"/>
      <c r="D4752" s="3"/>
    </row>
    <row r="4753" spans="1:4" x14ac:dyDescent="0.25">
      <c r="A4753" s="2"/>
      <c r="B4753" s="3"/>
      <c r="C4753" s="3"/>
      <c r="D4753" s="3"/>
    </row>
    <row r="4754" spans="1:4" x14ac:dyDescent="0.25">
      <c r="A4754" s="2"/>
      <c r="B4754" s="3"/>
      <c r="C4754" s="3"/>
      <c r="D4754" s="3"/>
    </row>
    <row r="4755" spans="1:4" x14ac:dyDescent="0.25">
      <c r="A4755" s="2"/>
      <c r="B4755" s="3"/>
      <c r="C4755" s="3"/>
      <c r="D4755" s="3"/>
    </row>
    <row r="4756" spans="1:4" x14ac:dyDescent="0.25">
      <c r="A4756" s="2"/>
      <c r="B4756" s="3"/>
      <c r="C4756" s="3"/>
      <c r="D4756" s="3"/>
    </row>
    <row r="4757" spans="1:4" x14ac:dyDescent="0.25">
      <c r="A4757" s="2"/>
      <c r="B4757" s="3"/>
      <c r="C4757" s="3"/>
      <c r="D4757" s="3"/>
    </row>
    <row r="4758" spans="1:4" x14ac:dyDescent="0.25">
      <c r="A4758" s="2"/>
      <c r="B4758" s="3"/>
      <c r="C4758" s="3"/>
      <c r="D4758" s="3"/>
    </row>
    <row r="4759" spans="1:4" x14ac:dyDescent="0.25">
      <c r="A4759" s="2"/>
      <c r="B4759" s="3"/>
      <c r="C4759" s="3"/>
      <c r="D4759" s="3"/>
    </row>
    <row r="4760" spans="1:4" x14ac:dyDescent="0.25">
      <c r="A4760" s="2"/>
      <c r="B4760" s="3"/>
      <c r="C4760" s="3"/>
      <c r="D4760" s="3"/>
    </row>
    <row r="4761" spans="1:4" x14ac:dyDescent="0.25">
      <c r="A4761" s="2"/>
      <c r="B4761" s="3"/>
      <c r="C4761" s="3"/>
      <c r="D4761" s="3"/>
    </row>
    <row r="4762" spans="1:4" x14ac:dyDescent="0.25">
      <c r="A4762" s="2"/>
      <c r="B4762" s="3"/>
      <c r="C4762" s="3"/>
      <c r="D4762" s="3"/>
    </row>
    <row r="4763" spans="1:4" x14ac:dyDescent="0.25">
      <c r="A4763" s="2"/>
      <c r="B4763" s="3"/>
      <c r="C4763" s="3"/>
      <c r="D4763" s="3"/>
    </row>
    <row r="4764" spans="1:4" x14ac:dyDescent="0.25">
      <c r="A4764" s="2"/>
      <c r="B4764" s="3"/>
      <c r="C4764" s="3"/>
      <c r="D4764" s="3"/>
    </row>
    <row r="4765" spans="1:4" x14ac:dyDescent="0.25">
      <c r="A4765" s="2"/>
      <c r="B4765" s="3"/>
      <c r="C4765" s="3"/>
      <c r="D4765" s="3"/>
    </row>
    <row r="4766" spans="1:4" x14ac:dyDescent="0.25">
      <c r="A4766" s="2"/>
      <c r="B4766" s="3"/>
      <c r="C4766" s="3"/>
      <c r="D4766" s="3"/>
    </row>
    <row r="4767" spans="1:4" x14ac:dyDescent="0.25">
      <c r="A4767" s="2"/>
      <c r="B4767" s="3"/>
      <c r="C4767" s="3"/>
      <c r="D4767" s="3"/>
    </row>
    <row r="4768" spans="1:4" x14ac:dyDescent="0.25">
      <c r="A4768" s="2"/>
      <c r="B4768" s="3"/>
      <c r="C4768" s="3"/>
      <c r="D4768" s="3"/>
    </row>
    <row r="4769" spans="1:4" x14ac:dyDescent="0.25">
      <c r="A4769" s="2"/>
      <c r="B4769" s="3"/>
      <c r="C4769" s="3"/>
      <c r="D4769" s="3"/>
    </row>
    <row r="4770" spans="1:4" x14ac:dyDescent="0.25">
      <c r="A4770" s="2"/>
      <c r="B4770" s="3"/>
      <c r="C4770" s="3"/>
      <c r="D4770" s="3"/>
    </row>
    <row r="4771" spans="1:4" x14ac:dyDescent="0.25">
      <c r="A4771" s="2"/>
      <c r="B4771" s="3"/>
      <c r="C4771" s="3"/>
      <c r="D4771" s="3"/>
    </row>
    <row r="4772" spans="1:4" x14ac:dyDescent="0.25">
      <c r="A4772" s="2"/>
      <c r="B4772" s="3"/>
      <c r="C4772" s="3"/>
      <c r="D4772" s="3"/>
    </row>
    <row r="4773" spans="1:4" x14ac:dyDescent="0.25">
      <c r="A4773" s="2"/>
      <c r="B4773" s="3"/>
      <c r="C4773" s="3"/>
      <c r="D4773" s="3"/>
    </row>
    <row r="4774" spans="1:4" x14ac:dyDescent="0.25">
      <c r="A4774" s="2"/>
      <c r="B4774" s="3"/>
      <c r="C4774" s="3"/>
      <c r="D4774" s="3"/>
    </row>
    <row r="4775" spans="1:4" x14ac:dyDescent="0.25">
      <c r="A4775" s="2"/>
      <c r="B4775" s="3"/>
      <c r="C4775" s="3"/>
      <c r="D4775" s="3"/>
    </row>
    <row r="4776" spans="1:4" x14ac:dyDescent="0.25">
      <c r="A4776" s="2"/>
      <c r="B4776" s="3"/>
      <c r="C4776" s="3"/>
      <c r="D4776" s="3"/>
    </row>
    <row r="4777" spans="1:4" x14ac:dyDescent="0.25">
      <c r="A4777" s="2"/>
      <c r="B4777" s="3"/>
      <c r="C4777" s="3"/>
      <c r="D4777" s="3"/>
    </row>
    <row r="4778" spans="1:4" x14ac:dyDescent="0.25">
      <c r="A4778" s="2"/>
      <c r="B4778" s="3"/>
      <c r="C4778" s="3"/>
      <c r="D4778" s="3"/>
    </row>
    <row r="4779" spans="1:4" x14ac:dyDescent="0.25">
      <c r="A4779" s="2"/>
      <c r="B4779" s="3"/>
      <c r="C4779" s="3"/>
      <c r="D4779" s="3"/>
    </row>
    <row r="4780" spans="1:4" x14ac:dyDescent="0.25">
      <c r="A4780" s="2"/>
      <c r="B4780" s="3"/>
      <c r="C4780" s="3"/>
      <c r="D4780" s="3"/>
    </row>
    <row r="4781" spans="1:4" x14ac:dyDescent="0.25">
      <c r="A4781" s="2"/>
      <c r="B4781" s="3"/>
      <c r="C4781" s="3"/>
      <c r="D4781" s="3"/>
    </row>
    <row r="4782" spans="1:4" x14ac:dyDescent="0.25">
      <c r="A4782" s="2"/>
      <c r="B4782" s="3"/>
      <c r="C4782" s="3"/>
      <c r="D4782" s="3"/>
    </row>
    <row r="4783" spans="1:4" x14ac:dyDescent="0.25">
      <c r="A4783" s="2"/>
      <c r="B4783" s="3"/>
      <c r="C4783" s="3"/>
      <c r="D4783" s="3"/>
    </row>
    <row r="4784" spans="1:4" x14ac:dyDescent="0.25">
      <c r="A4784" s="2"/>
      <c r="B4784" s="3"/>
      <c r="C4784" s="3"/>
      <c r="D4784" s="3"/>
    </row>
    <row r="4785" spans="1:4" x14ac:dyDescent="0.25">
      <c r="A4785" s="2"/>
      <c r="B4785" s="3"/>
      <c r="C4785" s="3"/>
      <c r="D4785" s="3"/>
    </row>
    <row r="4786" spans="1:4" x14ac:dyDescent="0.25">
      <c r="A4786" s="2"/>
      <c r="B4786" s="3"/>
      <c r="C4786" s="3"/>
      <c r="D4786" s="3"/>
    </row>
    <row r="4787" spans="1:4" x14ac:dyDescent="0.25">
      <c r="A4787" s="2"/>
      <c r="B4787" s="3"/>
      <c r="C4787" s="3"/>
      <c r="D4787" s="3"/>
    </row>
    <row r="4788" spans="1:4" x14ac:dyDescent="0.25">
      <c r="A4788" s="2"/>
      <c r="B4788" s="3"/>
      <c r="C4788" s="3"/>
      <c r="D4788" s="3"/>
    </row>
    <row r="4789" spans="1:4" x14ac:dyDescent="0.25">
      <c r="A4789" s="2"/>
      <c r="B4789" s="3"/>
      <c r="C4789" s="3"/>
      <c r="D4789" s="3"/>
    </row>
    <row r="4790" spans="1:4" x14ac:dyDescent="0.25">
      <c r="A4790" s="2"/>
      <c r="B4790" s="3"/>
      <c r="C4790" s="3"/>
      <c r="D4790" s="3"/>
    </row>
    <row r="4791" spans="1:4" x14ac:dyDescent="0.25">
      <c r="A4791" s="2"/>
      <c r="B4791" s="3"/>
      <c r="C4791" s="3"/>
      <c r="D4791" s="3"/>
    </row>
    <row r="4792" spans="1:4" x14ac:dyDescent="0.25">
      <c r="A4792" s="2"/>
      <c r="B4792" s="3"/>
      <c r="C4792" s="3"/>
      <c r="D4792" s="3"/>
    </row>
    <row r="4793" spans="1:4" x14ac:dyDescent="0.25">
      <c r="A4793" s="2"/>
      <c r="B4793" s="3"/>
      <c r="C4793" s="3"/>
      <c r="D4793" s="3"/>
    </row>
    <row r="4794" spans="1:4" x14ac:dyDescent="0.25">
      <c r="A4794" s="2"/>
      <c r="B4794" s="3"/>
      <c r="C4794" s="3"/>
      <c r="D4794" s="3"/>
    </row>
    <row r="4795" spans="1:4" x14ac:dyDescent="0.25">
      <c r="A4795" s="2"/>
      <c r="B4795" s="3"/>
      <c r="C4795" s="3"/>
      <c r="D4795" s="3"/>
    </row>
    <row r="4796" spans="1:4" x14ac:dyDescent="0.25">
      <c r="A4796" s="2"/>
      <c r="B4796" s="3"/>
      <c r="C4796" s="3"/>
      <c r="D4796" s="3"/>
    </row>
    <row r="4797" spans="1:4" x14ac:dyDescent="0.25">
      <c r="A4797" s="2"/>
      <c r="B4797" s="3"/>
      <c r="C4797" s="3"/>
      <c r="D4797" s="3"/>
    </row>
    <row r="4798" spans="1:4" x14ac:dyDescent="0.25">
      <c r="A4798" s="2"/>
      <c r="B4798" s="3"/>
      <c r="C4798" s="3"/>
      <c r="D4798" s="3"/>
    </row>
    <row r="4799" spans="1:4" x14ac:dyDescent="0.25">
      <c r="A4799" s="2"/>
      <c r="B4799" s="3"/>
      <c r="C4799" s="3"/>
      <c r="D4799" s="3"/>
    </row>
    <row r="4800" spans="1:4" x14ac:dyDescent="0.25">
      <c r="A4800" s="2"/>
      <c r="B4800" s="3"/>
      <c r="C4800" s="3"/>
      <c r="D4800" s="3"/>
    </row>
    <row r="4801" spans="1:4" x14ac:dyDescent="0.25">
      <c r="A4801" s="2"/>
      <c r="B4801" s="3"/>
      <c r="C4801" s="3"/>
      <c r="D4801" s="3"/>
    </row>
    <row r="4802" spans="1:4" x14ac:dyDescent="0.25">
      <c r="A4802" s="2"/>
      <c r="B4802" s="3"/>
      <c r="C4802" s="3"/>
      <c r="D4802" s="3"/>
    </row>
    <row r="4803" spans="1:4" x14ac:dyDescent="0.25">
      <c r="A4803" s="2"/>
      <c r="B4803" s="3"/>
      <c r="C4803" s="3"/>
      <c r="D4803" s="3"/>
    </row>
    <row r="4804" spans="1:4" x14ac:dyDescent="0.25">
      <c r="A4804" s="2"/>
      <c r="B4804" s="3"/>
      <c r="C4804" s="3"/>
      <c r="D4804" s="3"/>
    </row>
    <row r="4805" spans="1:4" x14ac:dyDescent="0.25">
      <c r="A4805" s="2"/>
      <c r="B4805" s="3"/>
      <c r="C4805" s="3"/>
      <c r="D4805" s="3"/>
    </row>
    <row r="4806" spans="1:4" x14ac:dyDescent="0.25">
      <c r="A4806" s="2"/>
      <c r="B4806" s="3"/>
      <c r="C4806" s="3"/>
      <c r="D4806" s="3"/>
    </row>
    <row r="4807" spans="1:4" x14ac:dyDescent="0.25">
      <c r="A4807" s="2"/>
      <c r="B4807" s="3"/>
      <c r="C4807" s="3"/>
      <c r="D4807" s="3"/>
    </row>
    <row r="4808" spans="1:4" x14ac:dyDescent="0.25">
      <c r="A4808" s="2"/>
      <c r="B4808" s="3"/>
      <c r="C4808" s="3"/>
      <c r="D4808" s="3"/>
    </row>
    <row r="4809" spans="1:4" x14ac:dyDescent="0.25">
      <c r="A4809" s="2"/>
      <c r="B4809" s="3"/>
      <c r="C4809" s="3"/>
      <c r="D4809" s="3"/>
    </row>
    <row r="4810" spans="1:4" x14ac:dyDescent="0.25">
      <c r="A4810" s="2"/>
      <c r="B4810" s="3"/>
      <c r="C4810" s="3"/>
      <c r="D4810" s="3"/>
    </row>
    <row r="4811" spans="1:4" x14ac:dyDescent="0.25">
      <c r="A4811" s="2"/>
      <c r="B4811" s="3"/>
      <c r="C4811" s="3"/>
      <c r="D4811" s="3"/>
    </row>
    <row r="4812" spans="1:4" x14ac:dyDescent="0.25">
      <c r="A4812" s="2"/>
      <c r="B4812" s="3"/>
      <c r="C4812" s="3"/>
      <c r="D4812" s="3"/>
    </row>
    <row r="4813" spans="1:4" x14ac:dyDescent="0.25">
      <c r="A4813" s="2"/>
      <c r="B4813" s="3"/>
      <c r="C4813" s="3"/>
      <c r="D4813" s="3"/>
    </row>
    <row r="4814" spans="1:4" x14ac:dyDescent="0.25">
      <c r="A4814" s="2"/>
      <c r="B4814" s="3"/>
      <c r="C4814" s="3"/>
      <c r="D4814" s="3"/>
    </row>
    <row r="4815" spans="1:4" x14ac:dyDescent="0.25">
      <c r="A4815" s="2"/>
      <c r="B4815" s="3"/>
      <c r="C4815" s="3"/>
      <c r="D4815" s="3"/>
    </row>
    <row r="4816" spans="1:4" x14ac:dyDescent="0.25">
      <c r="A4816" s="2"/>
      <c r="B4816" s="3"/>
      <c r="C4816" s="3"/>
      <c r="D4816" s="3"/>
    </row>
    <row r="4817" spans="1:4" x14ac:dyDescent="0.25">
      <c r="A4817" s="2"/>
      <c r="B4817" s="3"/>
      <c r="C4817" s="3"/>
      <c r="D4817" s="3"/>
    </row>
    <row r="4818" spans="1:4" x14ac:dyDescent="0.25">
      <c r="A4818" s="2"/>
      <c r="B4818" s="3"/>
      <c r="C4818" s="3"/>
      <c r="D4818" s="3"/>
    </row>
    <row r="4819" spans="1:4" x14ac:dyDescent="0.25">
      <c r="A4819" s="2"/>
      <c r="B4819" s="3"/>
      <c r="C4819" s="3"/>
      <c r="D4819" s="3"/>
    </row>
    <row r="4820" spans="1:4" x14ac:dyDescent="0.25">
      <c r="A4820" s="2"/>
      <c r="B4820" s="3"/>
      <c r="C4820" s="3"/>
      <c r="D4820" s="3"/>
    </row>
    <row r="4821" spans="1:4" x14ac:dyDescent="0.25">
      <c r="A4821" s="2"/>
      <c r="B4821" s="3"/>
      <c r="C4821" s="3"/>
      <c r="D4821" s="3"/>
    </row>
    <row r="4822" spans="1:4" x14ac:dyDescent="0.25">
      <c r="A4822" s="2"/>
      <c r="B4822" s="3"/>
      <c r="C4822" s="3"/>
      <c r="D4822" s="3"/>
    </row>
    <row r="4823" spans="1:4" x14ac:dyDescent="0.25">
      <c r="A4823" s="2"/>
      <c r="B4823" s="3"/>
      <c r="C4823" s="3"/>
      <c r="D4823" s="3"/>
    </row>
    <row r="4824" spans="1:4" x14ac:dyDescent="0.25">
      <c r="A4824" s="2"/>
      <c r="B4824" s="3"/>
      <c r="C4824" s="3"/>
      <c r="D4824" s="3"/>
    </row>
    <row r="4825" spans="1:4" x14ac:dyDescent="0.25">
      <c r="A4825" s="2"/>
      <c r="B4825" s="3"/>
      <c r="C4825" s="3"/>
      <c r="D4825" s="3"/>
    </row>
    <row r="4826" spans="1:4" x14ac:dyDescent="0.25">
      <c r="A4826" s="2"/>
      <c r="B4826" s="3"/>
      <c r="C4826" s="3"/>
      <c r="D4826" s="3"/>
    </row>
    <row r="4827" spans="1:4" x14ac:dyDescent="0.25">
      <c r="A4827" s="2"/>
      <c r="B4827" s="3"/>
      <c r="C4827" s="3"/>
      <c r="D4827" s="3"/>
    </row>
    <row r="4828" spans="1:4" x14ac:dyDescent="0.25">
      <c r="A4828" s="2"/>
      <c r="B4828" s="3"/>
      <c r="C4828" s="3"/>
      <c r="D4828" s="3"/>
    </row>
    <row r="4829" spans="1:4" x14ac:dyDescent="0.25">
      <c r="A4829" s="2"/>
      <c r="B4829" s="3"/>
      <c r="C4829" s="3"/>
      <c r="D4829" s="3"/>
    </row>
    <row r="4830" spans="1:4" x14ac:dyDescent="0.25">
      <c r="A4830" s="2"/>
      <c r="B4830" s="3"/>
      <c r="C4830" s="3"/>
      <c r="D4830" s="3"/>
    </row>
    <row r="4831" spans="1:4" x14ac:dyDescent="0.25">
      <c r="A4831" s="2"/>
      <c r="B4831" s="3"/>
      <c r="C4831" s="3"/>
      <c r="D4831" s="3"/>
    </row>
    <row r="4832" spans="1:4" x14ac:dyDescent="0.25">
      <c r="A4832" s="2"/>
      <c r="B4832" s="3"/>
      <c r="C4832" s="3"/>
      <c r="D4832" s="3"/>
    </row>
    <row r="4833" spans="1:4" x14ac:dyDescent="0.25">
      <c r="A4833" s="2"/>
      <c r="B4833" s="3"/>
      <c r="C4833" s="3"/>
      <c r="D4833" s="3"/>
    </row>
    <row r="4834" spans="1:4" x14ac:dyDescent="0.25">
      <c r="A4834" s="2"/>
      <c r="B4834" s="3"/>
      <c r="C4834" s="3"/>
      <c r="D4834" s="3"/>
    </row>
    <row r="4835" spans="1:4" x14ac:dyDescent="0.25">
      <c r="A4835" s="2"/>
      <c r="B4835" s="3"/>
      <c r="C4835" s="3"/>
      <c r="D4835" s="3"/>
    </row>
    <row r="4836" spans="1:4" x14ac:dyDescent="0.25">
      <c r="A4836" s="2"/>
      <c r="B4836" s="3"/>
      <c r="C4836" s="3"/>
      <c r="D4836" s="3"/>
    </row>
    <row r="4837" spans="1:4" x14ac:dyDescent="0.25">
      <c r="A4837" s="2"/>
      <c r="B4837" s="3"/>
      <c r="C4837" s="3"/>
      <c r="D4837" s="3"/>
    </row>
    <row r="4838" spans="1:4" x14ac:dyDescent="0.25">
      <c r="A4838" s="2"/>
      <c r="B4838" s="3"/>
      <c r="C4838" s="3"/>
      <c r="D4838" s="3"/>
    </row>
    <row r="4839" spans="1:4" x14ac:dyDescent="0.25">
      <c r="A4839" s="2"/>
      <c r="B4839" s="3"/>
      <c r="C4839" s="3"/>
      <c r="D4839" s="3"/>
    </row>
    <row r="4840" spans="1:4" x14ac:dyDescent="0.25">
      <c r="A4840" s="2"/>
      <c r="B4840" s="3"/>
      <c r="C4840" s="3"/>
      <c r="D4840" s="3"/>
    </row>
    <row r="4841" spans="1:4" x14ac:dyDescent="0.25">
      <c r="A4841" s="2"/>
      <c r="B4841" s="3"/>
      <c r="C4841" s="3"/>
      <c r="D4841" s="3"/>
    </row>
    <row r="4842" spans="1:4" x14ac:dyDescent="0.25">
      <c r="A4842" s="2"/>
      <c r="B4842" s="3"/>
      <c r="C4842" s="3"/>
      <c r="D4842" s="3"/>
    </row>
    <row r="4843" spans="1:4" x14ac:dyDescent="0.25">
      <c r="A4843" s="2"/>
      <c r="B4843" s="3"/>
      <c r="C4843" s="3"/>
      <c r="D4843" s="3"/>
    </row>
    <row r="4844" spans="1:4" x14ac:dyDescent="0.25">
      <c r="A4844" s="2"/>
      <c r="B4844" s="3"/>
      <c r="C4844" s="3"/>
      <c r="D4844" s="3"/>
    </row>
    <row r="4845" spans="1:4" x14ac:dyDescent="0.25">
      <c r="A4845" s="2"/>
      <c r="B4845" s="3"/>
      <c r="C4845" s="3"/>
      <c r="D4845" s="3"/>
    </row>
    <row r="4846" spans="1:4" x14ac:dyDescent="0.25">
      <c r="A4846" s="2"/>
      <c r="B4846" s="3"/>
      <c r="C4846" s="3"/>
      <c r="D4846" s="3"/>
    </row>
    <row r="4847" spans="1:4" x14ac:dyDescent="0.25">
      <c r="A4847" s="2"/>
      <c r="B4847" s="3"/>
      <c r="C4847" s="3"/>
      <c r="D4847" s="3"/>
    </row>
    <row r="4848" spans="1:4" x14ac:dyDescent="0.25">
      <c r="A4848" s="2"/>
      <c r="B4848" s="3"/>
      <c r="C4848" s="3"/>
      <c r="D4848" s="3"/>
    </row>
    <row r="4849" spans="1:4" x14ac:dyDescent="0.25">
      <c r="A4849" s="2"/>
      <c r="B4849" s="3"/>
      <c r="C4849" s="3"/>
      <c r="D4849" s="3"/>
    </row>
    <row r="4850" spans="1:4" x14ac:dyDescent="0.25">
      <c r="A4850" s="2"/>
      <c r="B4850" s="3"/>
      <c r="C4850" s="3"/>
      <c r="D4850" s="3"/>
    </row>
    <row r="4851" spans="1:4" x14ac:dyDescent="0.25">
      <c r="A4851" s="2"/>
      <c r="B4851" s="3"/>
      <c r="C4851" s="3"/>
      <c r="D4851" s="3"/>
    </row>
    <row r="4852" spans="1:4" x14ac:dyDescent="0.25">
      <c r="A4852" s="2"/>
      <c r="B4852" s="3"/>
      <c r="C4852" s="3"/>
      <c r="D4852" s="3"/>
    </row>
    <row r="4853" spans="1:4" x14ac:dyDescent="0.25">
      <c r="A4853" s="2"/>
      <c r="B4853" s="3"/>
      <c r="C4853" s="3"/>
      <c r="D4853" s="3"/>
    </row>
    <row r="4854" spans="1:4" x14ac:dyDescent="0.25">
      <c r="A4854" s="2"/>
      <c r="B4854" s="3"/>
      <c r="C4854" s="3"/>
      <c r="D4854" s="3"/>
    </row>
    <row r="4855" spans="1:4" x14ac:dyDescent="0.25">
      <c r="A4855" s="2"/>
      <c r="B4855" s="3"/>
      <c r="C4855" s="3"/>
      <c r="D4855" s="3"/>
    </row>
    <row r="4856" spans="1:4" x14ac:dyDescent="0.25">
      <c r="A4856" s="2"/>
      <c r="B4856" s="3"/>
      <c r="C4856" s="3"/>
      <c r="D4856" s="3"/>
    </row>
    <row r="4857" spans="1:4" x14ac:dyDescent="0.25">
      <c r="A4857" s="2"/>
      <c r="B4857" s="3"/>
      <c r="C4857" s="3"/>
      <c r="D4857" s="3"/>
    </row>
    <row r="4858" spans="1:4" x14ac:dyDescent="0.25">
      <c r="A4858" s="2"/>
      <c r="B4858" s="3"/>
      <c r="C4858" s="3"/>
      <c r="D4858" s="3"/>
    </row>
    <row r="4859" spans="1:4" x14ac:dyDescent="0.25">
      <c r="A4859" s="2"/>
      <c r="B4859" s="3"/>
      <c r="C4859" s="3"/>
      <c r="D4859" s="3"/>
    </row>
    <row r="4860" spans="1:4" x14ac:dyDescent="0.25">
      <c r="A4860" s="2"/>
      <c r="B4860" s="3"/>
      <c r="C4860" s="3"/>
      <c r="D4860" s="3"/>
    </row>
    <row r="4861" spans="1:4" x14ac:dyDescent="0.25">
      <c r="A4861" s="2"/>
      <c r="B4861" s="3"/>
      <c r="C4861" s="3"/>
      <c r="D4861" s="3"/>
    </row>
    <row r="4862" spans="1:4" x14ac:dyDescent="0.25">
      <c r="A4862" s="2"/>
      <c r="B4862" s="3"/>
      <c r="C4862" s="3"/>
      <c r="D4862" s="3"/>
    </row>
    <row r="4863" spans="1:4" x14ac:dyDescent="0.25">
      <c r="A4863" s="2"/>
      <c r="B4863" s="3"/>
      <c r="C4863" s="3"/>
      <c r="D4863" s="3"/>
    </row>
    <row r="4864" spans="1:4" x14ac:dyDescent="0.25">
      <c r="A4864" s="2"/>
      <c r="B4864" s="3"/>
      <c r="C4864" s="3"/>
      <c r="D4864" s="3"/>
    </row>
    <row r="4865" spans="1:4" x14ac:dyDescent="0.25">
      <c r="A4865" s="2"/>
      <c r="B4865" s="3"/>
      <c r="C4865" s="3"/>
      <c r="D4865" s="3"/>
    </row>
    <row r="4866" spans="1:4" x14ac:dyDescent="0.25">
      <c r="A4866" s="2"/>
      <c r="B4866" s="3"/>
      <c r="C4866" s="3"/>
      <c r="D4866" s="3"/>
    </row>
    <row r="4867" spans="1:4" x14ac:dyDescent="0.25">
      <c r="A4867" s="2"/>
      <c r="B4867" s="3"/>
      <c r="C4867" s="3"/>
      <c r="D4867" s="3"/>
    </row>
    <row r="4868" spans="1:4" x14ac:dyDescent="0.25">
      <c r="A4868" s="2"/>
      <c r="B4868" s="3"/>
      <c r="C4868" s="3"/>
      <c r="D4868" s="3"/>
    </row>
    <row r="4869" spans="1:4" x14ac:dyDescent="0.25">
      <c r="A4869" s="2"/>
      <c r="B4869" s="3"/>
      <c r="C4869" s="3"/>
      <c r="D4869" s="3"/>
    </row>
    <row r="4870" spans="1:4" x14ac:dyDescent="0.25">
      <c r="A4870" s="2"/>
      <c r="B4870" s="3"/>
      <c r="C4870" s="3"/>
      <c r="D4870" s="3"/>
    </row>
    <row r="4871" spans="1:4" x14ac:dyDescent="0.25">
      <c r="A4871" s="2"/>
      <c r="B4871" s="3"/>
      <c r="C4871" s="3"/>
      <c r="D4871" s="3"/>
    </row>
    <row r="4872" spans="1:4" x14ac:dyDescent="0.25">
      <c r="A4872" s="2"/>
      <c r="B4872" s="3"/>
      <c r="C4872" s="3"/>
      <c r="D4872" s="3"/>
    </row>
    <row r="4873" spans="1:4" x14ac:dyDescent="0.25">
      <c r="A4873" s="2"/>
      <c r="B4873" s="3"/>
      <c r="C4873" s="3"/>
      <c r="D4873" s="3"/>
    </row>
    <row r="4874" spans="1:4" x14ac:dyDescent="0.25">
      <c r="A4874" s="2"/>
      <c r="B4874" s="3"/>
      <c r="C4874" s="3"/>
      <c r="D4874" s="3"/>
    </row>
    <row r="4875" spans="1:4" x14ac:dyDescent="0.25">
      <c r="A4875" s="2"/>
      <c r="B4875" s="3"/>
      <c r="C4875" s="3"/>
      <c r="D4875" s="3"/>
    </row>
    <row r="4876" spans="1:4" x14ac:dyDescent="0.25">
      <c r="A4876" s="2"/>
      <c r="B4876" s="3"/>
      <c r="C4876" s="3"/>
      <c r="D4876" s="3"/>
    </row>
    <row r="4877" spans="1:4" x14ac:dyDescent="0.25">
      <c r="A4877" s="2"/>
      <c r="B4877" s="3"/>
      <c r="C4877" s="3"/>
      <c r="D4877" s="3"/>
    </row>
    <row r="4878" spans="1:4" x14ac:dyDescent="0.25">
      <c r="A4878" s="2"/>
      <c r="B4878" s="3"/>
      <c r="C4878" s="3"/>
      <c r="D4878" s="3"/>
    </row>
    <row r="4879" spans="1:4" x14ac:dyDescent="0.25">
      <c r="A4879" s="2"/>
      <c r="B4879" s="3"/>
      <c r="C4879" s="3"/>
      <c r="D4879" s="3"/>
    </row>
    <row r="4880" spans="1:4" x14ac:dyDescent="0.25">
      <c r="A4880" s="2"/>
      <c r="B4880" s="3"/>
      <c r="C4880" s="3"/>
      <c r="D4880" s="3"/>
    </row>
    <row r="4881" spans="1:4" x14ac:dyDescent="0.25">
      <c r="A4881" s="2"/>
      <c r="B4881" s="3"/>
      <c r="C4881" s="3"/>
      <c r="D4881" s="3"/>
    </row>
    <row r="4882" spans="1:4" x14ac:dyDescent="0.25">
      <c r="A4882" s="2"/>
      <c r="B4882" s="3"/>
      <c r="C4882" s="3"/>
      <c r="D4882" s="3"/>
    </row>
    <row r="4883" spans="1:4" x14ac:dyDescent="0.25">
      <c r="A4883" s="2"/>
      <c r="B4883" s="3"/>
      <c r="C4883" s="3"/>
      <c r="D4883" s="3"/>
    </row>
    <row r="4884" spans="1:4" x14ac:dyDescent="0.25">
      <c r="A4884" s="2"/>
      <c r="B4884" s="3"/>
      <c r="C4884" s="3"/>
      <c r="D4884" s="3"/>
    </row>
    <row r="4885" spans="1:4" x14ac:dyDescent="0.25">
      <c r="A4885" s="2"/>
      <c r="B4885" s="3"/>
      <c r="C4885" s="3"/>
      <c r="D4885" s="3"/>
    </row>
    <row r="4886" spans="1:4" x14ac:dyDescent="0.25">
      <c r="A4886" s="2"/>
      <c r="B4886" s="3"/>
      <c r="C4886" s="3"/>
      <c r="D4886" s="3"/>
    </row>
    <row r="4887" spans="1:4" x14ac:dyDescent="0.25">
      <c r="A4887" s="2"/>
      <c r="B4887" s="3"/>
      <c r="C4887" s="3"/>
      <c r="D4887" s="3"/>
    </row>
    <row r="4888" spans="1:4" x14ac:dyDescent="0.25">
      <c r="A4888" s="2"/>
      <c r="B4888" s="3"/>
      <c r="C4888" s="3"/>
      <c r="D4888" s="3"/>
    </row>
    <row r="4889" spans="1:4" x14ac:dyDescent="0.25">
      <c r="A4889" s="2"/>
      <c r="B4889" s="3"/>
      <c r="C4889" s="3"/>
      <c r="D4889" s="3"/>
    </row>
    <row r="4890" spans="1:4" x14ac:dyDescent="0.25">
      <c r="A4890" s="2"/>
      <c r="B4890" s="3"/>
      <c r="C4890" s="3"/>
      <c r="D4890" s="3"/>
    </row>
    <row r="4891" spans="1:4" x14ac:dyDescent="0.25">
      <c r="A4891" s="2"/>
      <c r="B4891" s="3"/>
      <c r="C4891" s="3"/>
      <c r="D4891" s="3"/>
    </row>
    <row r="4892" spans="1:4" x14ac:dyDescent="0.25">
      <c r="A4892" s="2"/>
      <c r="B4892" s="3"/>
      <c r="C4892" s="3"/>
      <c r="D4892" s="3"/>
    </row>
    <row r="4893" spans="1:4" x14ac:dyDescent="0.25">
      <c r="A4893" s="2"/>
      <c r="B4893" s="3"/>
      <c r="C4893" s="3"/>
      <c r="D4893" s="3"/>
    </row>
    <row r="4894" spans="1:4" x14ac:dyDescent="0.25">
      <c r="A4894" s="2"/>
      <c r="B4894" s="3"/>
      <c r="C4894" s="3"/>
      <c r="D4894" s="3"/>
    </row>
    <row r="4895" spans="1:4" x14ac:dyDescent="0.25">
      <c r="A4895" s="2"/>
      <c r="B4895" s="3"/>
      <c r="C4895" s="3"/>
      <c r="D4895" s="3"/>
    </row>
    <row r="4896" spans="1:4" x14ac:dyDescent="0.25">
      <c r="A4896" s="2"/>
      <c r="B4896" s="3"/>
      <c r="C4896" s="3"/>
      <c r="D4896" s="3"/>
    </row>
    <row r="4897" spans="1:4" x14ac:dyDescent="0.25">
      <c r="A4897" s="2"/>
      <c r="B4897" s="3"/>
      <c r="C4897" s="3"/>
      <c r="D4897" s="3"/>
    </row>
    <row r="4898" spans="1:4" x14ac:dyDescent="0.25">
      <c r="A4898" s="2"/>
      <c r="B4898" s="3"/>
      <c r="C4898" s="3"/>
      <c r="D4898" s="3"/>
    </row>
    <row r="4899" spans="1:4" x14ac:dyDescent="0.25">
      <c r="A4899" s="2"/>
      <c r="B4899" s="3"/>
      <c r="C4899" s="3"/>
      <c r="D4899" s="3"/>
    </row>
    <row r="4900" spans="1:4" x14ac:dyDescent="0.25">
      <c r="A4900" s="2"/>
      <c r="B4900" s="3"/>
      <c r="C4900" s="3"/>
      <c r="D4900" s="3"/>
    </row>
    <row r="4901" spans="1:4" x14ac:dyDescent="0.25">
      <c r="A4901" s="2"/>
      <c r="B4901" s="3"/>
      <c r="C4901" s="3"/>
      <c r="D4901" s="3"/>
    </row>
    <row r="4902" spans="1:4" x14ac:dyDescent="0.25">
      <c r="A4902" s="2"/>
      <c r="B4902" s="3"/>
      <c r="C4902" s="3"/>
      <c r="D4902" s="3"/>
    </row>
    <row r="4903" spans="1:4" x14ac:dyDescent="0.25">
      <c r="A4903" s="2"/>
      <c r="B4903" s="3"/>
      <c r="C4903" s="3"/>
      <c r="D4903" s="3"/>
    </row>
    <row r="4904" spans="1:4" x14ac:dyDescent="0.25">
      <c r="A4904" s="2"/>
      <c r="B4904" s="3"/>
      <c r="C4904" s="3"/>
      <c r="D4904" s="3"/>
    </row>
    <row r="4905" spans="1:4" x14ac:dyDescent="0.25">
      <c r="A4905" s="2"/>
      <c r="B4905" s="3"/>
      <c r="C4905" s="3"/>
      <c r="D4905" s="3"/>
    </row>
    <row r="4906" spans="1:4" x14ac:dyDescent="0.25">
      <c r="A4906" s="2"/>
      <c r="B4906" s="3"/>
      <c r="C4906" s="3"/>
      <c r="D4906" s="3"/>
    </row>
    <row r="4907" spans="1:4" x14ac:dyDescent="0.25">
      <c r="A4907" s="2"/>
      <c r="B4907" s="3"/>
      <c r="C4907" s="3"/>
      <c r="D4907" s="3"/>
    </row>
    <row r="4908" spans="1:4" x14ac:dyDescent="0.25">
      <c r="A4908" s="2"/>
      <c r="B4908" s="3"/>
      <c r="C4908" s="3"/>
      <c r="D4908" s="3"/>
    </row>
    <row r="4909" spans="1:4" x14ac:dyDescent="0.25">
      <c r="A4909" s="2"/>
      <c r="B4909" s="3"/>
      <c r="C4909" s="3"/>
      <c r="D4909" s="3"/>
    </row>
    <row r="4910" spans="1:4" x14ac:dyDescent="0.25">
      <c r="A4910" s="2"/>
      <c r="B4910" s="3"/>
      <c r="C4910" s="3"/>
      <c r="D4910" s="3"/>
    </row>
    <row r="4911" spans="1:4" x14ac:dyDescent="0.25">
      <c r="A4911" s="2"/>
      <c r="B4911" s="3"/>
      <c r="C4911" s="3"/>
      <c r="D4911" s="3"/>
    </row>
    <row r="4912" spans="1:4" x14ac:dyDescent="0.25">
      <c r="A4912" s="2"/>
      <c r="B4912" s="3"/>
      <c r="C4912" s="3"/>
      <c r="D4912" s="3"/>
    </row>
    <row r="4913" spans="1:4" x14ac:dyDescent="0.25">
      <c r="A4913" s="2"/>
      <c r="B4913" s="3"/>
      <c r="C4913" s="3"/>
      <c r="D4913" s="3"/>
    </row>
    <row r="4914" spans="1:4" x14ac:dyDescent="0.25">
      <c r="A4914" s="2"/>
      <c r="B4914" s="3"/>
      <c r="C4914" s="3"/>
      <c r="D4914" s="3"/>
    </row>
    <row r="4915" spans="1:4" x14ac:dyDescent="0.25">
      <c r="A4915" s="2"/>
      <c r="B4915" s="3"/>
      <c r="C4915" s="3"/>
      <c r="D4915" s="3"/>
    </row>
    <row r="4916" spans="1:4" x14ac:dyDescent="0.25">
      <c r="A4916" s="2"/>
      <c r="B4916" s="3"/>
      <c r="C4916" s="3"/>
      <c r="D4916" s="3"/>
    </row>
    <row r="4917" spans="1:4" x14ac:dyDescent="0.25">
      <c r="A4917" s="2"/>
      <c r="B4917" s="3"/>
      <c r="C4917" s="3"/>
      <c r="D4917" s="3"/>
    </row>
    <row r="4918" spans="1:4" x14ac:dyDescent="0.25">
      <c r="A4918" s="2"/>
      <c r="B4918" s="3"/>
      <c r="C4918" s="3"/>
      <c r="D4918" s="3"/>
    </row>
    <row r="4919" spans="1:4" x14ac:dyDescent="0.25">
      <c r="A4919" s="2"/>
      <c r="B4919" s="3"/>
      <c r="C4919" s="3"/>
      <c r="D4919" s="3"/>
    </row>
    <row r="4920" spans="1:4" x14ac:dyDescent="0.25">
      <c r="A4920" s="2"/>
      <c r="B4920" s="3"/>
      <c r="C4920" s="3"/>
      <c r="D4920" s="3"/>
    </row>
    <row r="4921" spans="1:4" x14ac:dyDescent="0.25">
      <c r="A4921" s="2"/>
      <c r="B4921" s="3"/>
      <c r="C4921" s="3"/>
      <c r="D4921" s="3"/>
    </row>
    <row r="4922" spans="1:4" x14ac:dyDescent="0.25">
      <c r="A4922" s="2"/>
      <c r="B4922" s="3"/>
      <c r="C4922" s="3"/>
      <c r="D4922" s="3"/>
    </row>
    <row r="4923" spans="1:4" x14ac:dyDescent="0.25">
      <c r="A4923" s="2"/>
      <c r="B4923" s="3"/>
      <c r="C4923" s="3"/>
      <c r="D4923" s="3"/>
    </row>
    <row r="4924" spans="1:4" x14ac:dyDescent="0.25">
      <c r="A4924" s="2"/>
      <c r="B4924" s="3"/>
      <c r="C4924" s="3"/>
      <c r="D4924" s="3"/>
    </row>
    <row r="4925" spans="1:4" x14ac:dyDescent="0.25">
      <c r="A4925" s="2"/>
      <c r="B4925" s="3"/>
      <c r="C4925" s="3"/>
      <c r="D4925" s="3"/>
    </row>
    <row r="4926" spans="1:4" x14ac:dyDescent="0.25">
      <c r="A4926" s="2"/>
      <c r="B4926" s="3"/>
      <c r="C4926" s="3"/>
      <c r="D4926" s="3"/>
    </row>
    <row r="4927" spans="1:4" x14ac:dyDescent="0.25">
      <c r="A4927" s="2"/>
      <c r="B4927" s="3"/>
      <c r="C4927" s="3"/>
      <c r="D4927" s="3"/>
    </row>
    <row r="4928" spans="1:4" x14ac:dyDescent="0.25">
      <c r="A4928" s="2"/>
      <c r="B4928" s="3"/>
      <c r="C4928" s="3"/>
      <c r="D4928" s="3"/>
    </row>
    <row r="4929" spans="1:4" x14ac:dyDescent="0.25">
      <c r="A4929" s="2"/>
      <c r="B4929" s="3"/>
      <c r="C4929" s="3"/>
      <c r="D4929" s="3"/>
    </row>
    <row r="4930" spans="1:4" x14ac:dyDescent="0.25">
      <c r="A4930" s="2"/>
      <c r="B4930" s="3"/>
      <c r="C4930" s="3"/>
      <c r="D4930" s="3"/>
    </row>
    <row r="4931" spans="1:4" x14ac:dyDescent="0.25">
      <c r="A4931" s="2"/>
      <c r="B4931" s="3"/>
      <c r="C4931" s="3"/>
      <c r="D4931" s="3"/>
    </row>
    <row r="4932" spans="1:4" x14ac:dyDescent="0.25">
      <c r="A4932" s="2"/>
      <c r="B4932" s="3"/>
      <c r="C4932" s="3"/>
      <c r="D4932" s="3"/>
    </row>
    <row r="4933" spans="1:4" x14ac:dyDescent="0.25">
      <c r="A4933" s="2"/>
      <c r="B4933" s="3"/>
      <c r="C4933" s="3"/>
      <c r="D4933" s="3"/>
    </row>
    <row r="4934" spans="1:4" x14ac:dyDescent="0.25">
      <c r="A4934" s="2"/>
      <c r="B4934" s="3"/>
      <c r="C4934" s="3"/>
      <c r="D4934" s="3"/>
    </row>
    <row r="4935" spans="1:4" x14ac:dyDescent="0.25">
      <c r="A4935" s="2"/>
      <c r="B4935" s="3"/>
      <c r="C4935" s="3"/>
      <c r="D4935" s="3"/>
    </row>
    <row r="4936" spans="1:4" x14ac:dyDescent="0.25">
      <c r="A4936" s="2"/>
      <c r="B4936" s="3"/>
      <c r="C4936" s="3"/>
      <c r="D4936" s="3"/>
    </row>
    <row r="4937" spans="1:4" x14ac:dyDescent="0.25">
      <c r="A4937" s="2"/>
      <c r="B4937" s="3"/>
      <c r="C4937" s="3"/>
      <c r="D4937" s="3"/>
    </row>
    <row r="4938" spans="1:4" x14ac:dyDescent="0.25">
      <c r="A4938" s="2"/>
      <c r="B4938" s="3"/>
      <c r="C4938" s="3"/>
      <c r="D4938" s="3"/>
    </row>
    <row r="4939" spans="1:4" x14ac:dyDescent="0.25">
      <c r="A4939" s="2"/>
      <c r="B4939" s="3"/>
      <c r="C4939" s="3"/>
      <c r="D4939" s="3"/>
    </row>
    <row r="4940" spans="1:4" x14ac:dyDescent="0.25">
      <c r="A4940" s="2"/>
      <c r="B4940" s="3"/>
      <c r="C4940" s="3"/>
      <c r="D4940" s="3"/>
    </row>
    <row r="4941" spans="1:4" x14ac:dyDescent="0.25">
      <c r="A4941" s="2"/>
      <c r="B4941" s="3"/>
      <c r="C4941" s="3"/>
      <c r="D4941" s="3"/>
    </row>
    <row r="4942" spans="1:4" x14ac:dyDescent="0.25">
      <c r="A4942" s="2"/>
      <c r="B4942" s="3"/>
      <c r="C4942" s="3"/>
      <c r="D4942" s="3"/>
    </row>
    <row r="4943" spans="1:4" x14ac:dyDescent="0.25">
      <c r="A4943" s="2"/>
      <c r="B4943" s="3"/>
      <c r="C4943" s="3"/>
      <c r="D4943" s="3"/>
    </row>
    <row r="4944" spans="1:4" x14ac:dyDescent="0.25">
      <c r="A4944" s="2"/>
      <c r="B4944" s="3"/>
      <c r="C4944" s="3"/>
      <c r="D4944" s="3"/>
    </row>
    <row r="4945" spans="1:4" x14ac:dyDescent="0.25">
      <c r="A4945" s="2"/>
      <c r="B4945" s="3"/>
      <c r="C4945" s="3"/>
      <c r="D4945" s="3"/>
    </row>
    <row r="4946" spans="1:4" x14ac:dyDescent="0.25">
      <c r="A4946" s="2"/>
      <c r="B4946" s="3"/>
      <c r="C4946" s="3"/>
      <c r="D4946" s="3"/>
    </row>
    <row r="4947" spans="1:4" x14ac:dyDescent="0.25">
      <c r="A4947" s="2"/>
      <c r="B4947" s="3"/>
      <c r="C4947" s="3"/>
      <c r="D4947" s="3"/>
    </row>
    <row r="4948" spans="1:4" x14ac:dyDescent="0.25">
      <c r="A4948" s="2"/>
      <c r="B4948" s="3"/>
      <c r="C4948" s="3"/>
      <c r="D4948" s="3"/>
    </row>
    <row r="4949" spans="1:4" x14ac:dyDescent="0.25">
      <c r="A4949" s="2"/>
      <c r="B4949" s="3"/>
      <c r="C4949" s="3"/>
      <c r="D4949" s="3"/>
    </row>
    <row r="4950" spans="1:4" x14ac:dyDescent="0.25">
      <c r="A4950" s="2"/>
      <c r="B4950" s="3"/>
      <c r="C4950" s="3"/>
      <c r="D4950" s="3"/>
    </row>
    <row r="4951" spans="1:4" x14ac:dyDescent="0.25">
      <c r="A4951" s="2"/>
      <c r="B4951" s="3"/>
      <c r="C4951" s="3"/>
      <c r="D4951" s="3"/>
    </row>
    <row r="4952" spans="1:4" x14ac:dyDescent="0.25">
      <c r="A4952" s="2"/>
      <c r="B4952" s="3"/>
      <c r="C4952" s="3"/>
      <c r="D4952" s="3"/>
    </row>
    <row r="4953" spans="1:4" x14ac:dyDescent="0.25">
      <c r="A4953" s="2"/>
      <c r="B4953" s="3"/>
      <c r="C4953" s="3"/>
      <c r="D4953" s="3"/>
    </row>
    <row r="4954" spans="1:4" x14ac:dyDescent="0.25">
      <c r="A4954" s="2"/>
      <c r="B4954" s="3"/>
      <c r="C4954" s="3"/>
      <c r="D4954" s="3"/>
    </row>
    <row r="4955" spans="1:4" x14ac:dyDescent="0.25">
      <c r="A4955" s="2"/>
      <c r="B4955" s="3"/>
      <c r="C4955" s="3"/>
      <c r="D4955" s="3"/>
    </row>
    <row r="4956" spans="1:4" x14ac:dyDescent="0.25">
      <c r="A4956" s="2"/>
      <c r="B4956" s="3"/>
      <c r="C4956" s="3"/>
      <c r="D4956" s="3"/>
    </row>
    <row r="4957" spans="1:4" x14ac:dyDescent="0.25">
      <c r="A4957" s="2"/>
      <c r="B4957" s="3"/>
      <c r="C4957" s="3"/>
      <c r="D4957" s="3"/>
    </row>
    <row r="4958" spans="1:4" x14ac:dyDescent="0.25">
      <c r="A4958" s="2"/>
      <c r="B4958" s="3"/>
      <c r="C4958" s="3"/>
      <c r="D4958" s="3"/>
    </row>
    <row r="4959" spans="1:4" x14ac:dyDescent="0.25">
      <c r="A4959" s="2"/>
      <c r="B4959" s="3"/>
      <c r="C4959" s="3"/>
      <c r="D4959" s="3"/>
    </row>
    <row r="4960" spans="1:4" x14ac:dyDescent="0.25">
      <c r="A4960" s="2"/>
      <c r="B4960" s="3"/>
      <c r="C4960" s="3"/>
      <c r="D4960" s="3"/>
    </row>
    <row r="4961" spans="1:4" x14ac:dyDescent="0.25">
      <c r="A4961" s="2"/>
      <c r="B4961" s="3"/>
      <c r="C4961" s="3"/>
      <c r="D4961" s="3"/>
    </row>
    <row r="4962" spans="1:4" x14ac:dyDescent="0.25">
      <c r="A4962" s="2"/>
      <c r="B4962" s="3"/>
      <c r="C4962" s="3"/>
      <c r="D4962" s="3"/>
    </row>
    <row r="4963" spans="1:4" x14ac:dyDescent="0.25">
      <c r="A4963" s="2"/>
      <c r="B4963" s="3"/>
      <c r="C4963" s="3"/>
      <c r="D4963" s="3"/>
    </row>
    <row r="4964" spans="1:4" x14ac:dyDescent="0.25">
      <c r="A4964" s="2"/>
      <c r="B4964" s="3"/>
      <c r="C4964" s="3"/>
      <c r="D4964" s="3"/>
    </row>
    <row r="4965" spans="1:4" x14ac:dyDescent="0.25">
      <c r="A4965" s="2"/>
      <c r="B4965" s="3"/>
      <c r="C4965" s="3"/>
      <c r="D4965" s="3"/>
    </row>
    <row r="4966" spans="1:4" x14ac:dyDescent="0.25">
      <c r="A4966" s="2"/>
      <c r="B4966" s="3"/>
      <c r="C4966" s="3"/>
      <c r="D4966" s="3"/>
    </row>
    <row r="4967" spans="1:4" x14ac:dyDescent="0.25">
      <c r="A4967" s="2"/>
      <c r="B4967" s="3"/>
      <c r="C4967" s="3"/>
      <c r="D4967" s="3"/>
    </row>
    <row r="4968" spans="1:4" x14ac:dyDescent="0.25">
      <c r="A4968" s="2"/>
      <c r="B4968" s="3"/>
      <c r="C4968" s="3"/>
      <c r="D4968" s="3"/>
    </row>
    <row r="4969" spans="1:4" x14ac:dyDescent="0.25">
      <c r="A4969" s="2"/>
      <c r="B4969" s="3"/>
      <c r="C4969" s="3"/>
      <c r="D4969" s="3"/>
    </row>
    <row r="4970" spans="1:4" x14ac:dyDescent="0.25">
      <c r="A4970" s="2"/>
      <c r="B4970" s="3"/>
      <c r="C4970" s="3"/>
      <c r="D4970" s="3"/>
    </row>
    <row r="4971" spans="1:4" x14ac:dyDescent="0.25">
      <c r="A4971" s="2"/>
      <c r="B4971" s="3"/>
      <c r="C4971" s="3"/>
      <c r="D4971" s="3"/>
    </row>
    <row r="4972" spans="1:4" x14ac:dyDescent="0.25">
      <c r="A4972" s="2"/>
      <c r="B4972" s="3"/>
      <c r="C4972" s="3"/>
      <c r="D4972" s="3"/>
    </row>
    <row r="4973" spans="1:4" x14ac:dyDescent="0.25">
      <c r="A4973" s="2"/>
      <c r="B4973" s="3"/>
      <c r="C4973" s="3"/>
      <c r="D4973" s="3"/>
    </row>
    <row r="4974" spans="1:4" x14ac:dyDescent="0.25">
      <c r="A4974" s="2"/>
      <c r="B4974" s="3"/>
      <c r="C4974" s="3"/>
      <c r="D4974" s="3"/>
    </row>
    <row r="4975" spans="1:4" x14ac:dyDescent="0.25">
      <c r="A4975" s="2"/>
      <c r="B4975" s="3"/>
      <c r="C4975" s="3"/>
      <c r="D4975" s="3"/>
    </row>
    <row r="4976" spans="1:4" x14ac:dyDescent="0.25">
      <c r="A4976" s="2"/>
      <c r="B4976" s="3"/>
      <c r="C4976" s="3"/>
      <c r="D4976" s="3"/>
    </row>
    <row r="4977" spans="1:4" x14ac:dyDescent="0.25">
      <c r="A4977" s="2"/>
      <c r="B4977" s="3"/>
      <c r="C4977" s="3"/>
      <c r="D4977" s="3"/>
    </row>
    <row r="4978" spans="1:4" x14ac:dyDescent="0.25">
      <c r="A4978" s="2"/>
      <c r="B4978" s="3"/>
      <c r="C4978" s="3"/>
      <c r="D4978" s="3"/>
    </row>
    <row r="4979" spans="1:4" x14ac:dyDescent="0.25">
      <c r="A4979" s="2"/>
      <c r="B4979" s="3"/>
      <c r="C4979" s="3"/>
      <c r="D4979" s="3"/>
    </row>
    <row r="4980" spans="1:4" x14ac:dyDescent="0.25">
      <c r="A4980" s="2"/>
      <c r="B4980" s="3"/>
      <c r="C4980" s="3"/>
      <c r="D4980" s="3"/>
    </row>
    <row r="4981" spans="1:4" x14ac:dyDescent="0.25">
      <c r="A4981" s="2"/>
      <c r="B4981" s="3"/>
      <c r="C4981" s="3"/>
      <c r="D4981" s="3"/>
    </row>
    <row r="4982" spans="1:4" x14ac:dyDescent="0.25">
      <c r="A4982" s="2"/>
      <c r="B4982" s="3"/>
      <c r="C4982" s="3"/>
      <c r="D4982" s="3"/>
    </row>
    <row r="4983" spans="1:4" x14ac:dyDescent="0.25">
      <c r="A4983" s="2"/>
      <c r="B4983" s="3"/>
      <c r="C4983" s="3"/>
      <c r="D4983" s="3"/>
    </row>
    <row r="4984" spans="1:4" x14ac:dyDescent="0.25">
      <c r="A4984" s="2"/>
      <c r="B4984" s="3"/>
      <c r="C4984" s="3"/>
      <c r="D4984" s="3"/>
    </row>
    <row r="4985" spans="1:4" x14ac:dyDescent="0.25">
      <c r="A4985" s="2"/>
      <c r="B4985" s="3"/>
      <c r="C4985" s="3"/>
      <c r="D4985" s="3"/>
    </row>
    <row r="4986" spans="1:4" x14ac:dyDescent="0.25">
      <c r="A4986" s="2"/>
      <c r="B4986" s="3"/>
      <c r="C4986" s="3"/>
      <c r="D4986" s="3"/>
    </row>
    <row r="4987" spans="1:4" x14ac:dyDescent="0.25">
      <c r="A4987" s="2"/>
      <c r="B4987" s="3"/>
      <c r="C4987" s="3"/>
      <c r="D4987" s="3"/>
    </row>
    <row r="4988" spans="1:4" x14ac:dyDescent="0.25">
      <c r="A4988" s="2"/>
      <c r="B4988" s="3"/>
      <c r="C4988" s="3"/>
      <c r="D4988" s="3"/>
    </row>
    <row r="4989" spans="1:4" x14ac:dyDescent="0.25">
      <c r="A4989" s="2"/>
      <c r="B4989" s="3"/>
      <c r="C4989" s="3"/>
      <c r="D4989" s="3"/>
    </row>
    <row r="4990" spans="1:4" x14ac:dyDescent="0.25">
      <c r="A4990" s="2"/>
      <c r="B4990" s="3"/>
      <c r="C4990" s="3"/>
      <c r="D4990" s="3"/>
    </row>
    <row r="4991" spans="1:4" x14ac:dyDescent="0.25">
      <c r="A4991" s="2"/>
      <c r="B4991" s="3"/>
      <c r="C4991" s="3"/>
      <c r="D4991" s="3"/>
    </row>
    <row r="4992" spans="1:4" x14ac:dyDescent="0.25">
      <c r="A4992" s="2"/>
      <c r="B4992" s="3"/>
      <c r="C4992" s="3"/>
      <c r="D4992" s="3"/>
    </row>
    <row r="4993" spans="1:4" x14ac:dyDescent="0.25">
      <c r="A4993" s="2"/>
      <c r="B4993" s="3"/>
      <c r="C4993" s="3"/>
      <c r="D4993" s="3"/>
    </row>
    <row r="4994" spans="1:4" x14ac:dyDescent="0.25">
      <c r="A4994" s="2"/>
      <c r="B4994" s="3"/>
      <c r="C4994" s="3"/>
      <c r="D4994" s="3"/>
    </row>
    <row r="4995" spans="1:4" x14ac:dyDescent="0.25">
      <c r="A4995" s="2"/>
      <c r="B4995" s="3"/>
      <c r="C4995" s="3"/>
      <c r="D4995" s="3"/>
    </row>
    <row r="4996" spans="1:4" x14ac:dyDescent="0.25">
      <c r="A4996" s="2"/>
      <c r="B4996" s="3"/>
      <c r="C4996" s="3"/>
      <c r="D4996" s="3"/>
    </row>
    <row r="4997" spans="1:4" x14ac:dyDescent="0.25">
      <c r="A4997" s="2"/>
      <c r="B4997" s="3"/>
      <c r="C4997" s="3"/>
      <c r="D4997" s="3"/>
    </row>
    <row r="4998" spans="1:4" x14ac:dyDescent="0.25">
      <c r="A4998" s="2"/>
      <c r="B4998" s="3"/>
      <c r="C4998" s="3"/>
      <c r="D4998" s="3"/>
    </row>
    <row r="4999" spans="1:4" x14ac:dyDescent="0.25">
      <c r="A4999" s="2"/>
      <c r="B4999" s="3"/>
      <c r="C4999" s="3"/>
      <c r="D4999" s="3"/>
    </row>
    <row r="5000" spans="1:4" x14ac:dyDescent="0.25">
      <c r="A5000" s="2"/>
      <c r="B5000" s="3"/>
      <c r="C5000" s="3"/>
      <c r="D5000" s="3"/>
    </row>
    <row r="5001" spans="1:4" x14ac:dyDescent="0.25">
      <c r="A5001" s="2"/>
      <c r="B5001" s="3"/>
      <c r="C5001" s="3"/>
      <c r="D5001" s="3"/>
    </row>
    <row r="5002" spans="1:4" x14ac:dyDescent="0.25">
      <c r="A5002" s="2"/>
      <c r="B5002" s="3"/>
      <c r="C5002" s="3"/>
      <c r="D5002" s="3"/>
    </row>
    <row r="5003" spans="1:4" x14ac:dyDescent="0.25">
      <c r="A5003" s="2"/>
      <c r="B5003" s="3"/>
      <c r="C5003" s="3"/>
      <c r="D5003" s="3"/>
    </row>
    <row r="5004" spans="1:4" x14ac:dyDescent="0.25">
      <c r="A5004" s="2"/>
      <c r="B5004" s="3"/>
      <c r="C5004" s="3"/>
      <c r="D5004" s="3"/>
    </row>
    <row r="5005" spans="1:4" x14ac:dyDescent="0.25">
      <c r="A5005" s="2"/>
      <c r="B5005" s="3"/>
      <c r="C5005" s="3"/>
      <c r="D5005" s="3"/>
    </row>
    <row r="5006" spans="1:4" x14ac:dyDescent="0.25">
      <c r="A5006" s="2"/>
      <c r="B5006" s="3"/>
      <c r="C5006" s="3"/>
      <c r="D5006" s="3"/>
    </row>
    <row r="5007" spans="1:4" x14ac:dyDescent="0.25">
      <c r="A5007" s="2"/>
      <c r="B5007" s="3"/>
      <c r="C5007" s="3"/>
      <c r="D5007" s="3"/>
    </row>
    <row r="5008" spans="1:4" x14ac:dyDescent="0.25">
      <c r="A5008" s="2"/>
      <c r="B5008" s="3"/>
      <c r="C5008" s="3"/>
      <c r="D5008" s="3"/>
    </row>
    <row r="5009" spans="1:4" x14ac:dyDescent="0.25">
      <c r="A5009" s="2"/>
      <c r="B5009" s="3"/>
      <c r="C5009" s="3"/>
      <c r="D5009" s="3"/>
    </row>
    <row r="5010" spans="1:4" x14ac:dyDescent="0.25">
      <c r="A5010" s="2"/>
      <c r="B5010" s="3"/>
      <c r="C5010" s="3"/>
      <c r="D5010" s="3"/>
    </row>
    <row r="5011" spans="1:4" x14ac:dyDescent="0.25">
      <c r="A5011" s="2"/>
      <c r="B5011" s="3"/>
      <c r="C5011" s="3"/>
      <c r="D5011" s="3"/>
    </row>
    <row r="5012" spans="1:4" x14ac:dyDescent="0.25">
      <c r="A5012" s="2"/>
      <c r="B5012" s="3"/>
      <c r="C5012" s="3"/>
      <c r="D5012" s="3"/>
    </row>
    <row r="5013" spans="1:4" x14ac:dyDescent="0.25">
      <c r="A5013" s="2"/>
      <c r="B5013" s="3"/>
      <c r="C5013" s="3"/>
      <c r="D5013" s="3"/>
    </row>
    <row r="5014" spans="1:4" x14ac:dyDescent="0.25">
      <c r="A5014" s="2"/>
      <c r="B5014" s="3"/>
      <c r="C5014" s="3"/>
      <c r="D5014" s="3"/>
    </row>
    <row r="5015" spans="1:4" x14ac:dyDescent="0.25">
      <c r="A5015" s="2"/>
      <c r="B5015" s="3"/>
      <c r="C5015" s="3"/>
      <c r="D5015" s="3"/>
    </row>
    <row r="5016" spans="1:4" x14ac:dyDescent="0.25">
      <c r="A5016" s="2"/>
      <c r="B5016" s="3"/>
      <c r="C5016" s="3"/>
      <c r="D5016" s="3"/>
    </row>
    <row r="5017" spans="1:4" x14ac:dyDescent="0.25">
      <c r="A5017" s="2"/>
      <c r="B5017" s="3"/>
      <c r="C5017" s="3"/>
      <c r="D5017" s="3"/>
    </row>
    <row r="5018" spans="1:4" x14ac:dyDescent="0.25">
      <c r="A5018" s="2"/>
      <c r="B5018" s="3"/>
      <c r="C5018" s="3"/>
      <c r="D5018" s="3"/>
    </row>
    <row r="5019" spans="1:4" x14ac:dyDescent="0.25">
      <c r="A5019" s="2"/>
      <c r="B5019" s="3"/>
      <c r="C5019" s="3"/>
      <c r="D5019" s="3"/>
    </row>
    <row r="5020" spans="1:4" x14ac:dyDescent="0.25">
      <c r="A5020" s="2"/>
      <c r="B5020" s="3"/>
      <c r="C5020" s="3"/>
      <c r="D5020" s="3"/>
    </row>
    <row r="5021" spans="1:4" x14ac:dyDescent="0.25">
      <c r="A5021" s="2"/>
      <c r="B5021" s="3"/>
      <c r="C5021" s="3"/>
      <c r="D5021" s="3"/>
    </row>
    <row r="5022" spans="1:4" x14ac:dyDescent="0.25">
      <c r="A5022" s="2"/>
      <c r="B5022" s="3"/>
      <c r="C5022" s="3"/>
      <c r="D5022" s="3"/>
    </row>
    <row r="5023" spans="1:4" x14ac:dyDescent="0.25">
      <c r="A5023" s="2"/>
      <c r="B5023" s="3"/>
      <c r="C5023" s="3"/>
      <c r="D5023" s="3"/>
    </row>
    <row r="5024" spans="1:4" x14ac:dyDescent="0.25">
      <c r="A5024" s="2"/>
      <c r="B5024" s="3"/>
      <c r="C5024" s="3"/>
      <c r="D5024" s="3"/>
    </row>
    <row r="5025" spans="1:4" x14ac:dyDescent="0.25">
      <c r="A5025" s="2"/>
      <c r="B5025" s="3"/>
      <c r="C5025" s="3"/>
      <c r="D5025" s="3"/>
    </row>
    <row r="5026" spans="1:4" x14ac:dyDescent="0.25">
      <c r="A5026" s="2"/>
      <c r="B5026" s="3"/>
      <c r="C5026" s="3"/>
      <c r="D5026" s="3"/>
    </row>
    <row r="5027" spans="1:4" x14ac:dyDescent="0.25">
      <c r="A5027" s="2"/>
      <c r="B5027" s="3"/>
      <c r="C5027" s="3"/>
      <c r="D5027" s="3"/>
    </row>
    <row r="5028" spans="1:4" x14ac:dyDescent="0.25">
      <c r="A5028" s="2"/>
      <c r="B5028" s="3"/>
      <c r="C5028" s="3"/>
      <c r="D5028" s="3"/>
    </row>
    <row r="5029" spans="1:4" x14ac:dyDescent="0.25">
      <c r="A5029" s="2"/>
      <c r="B5029" s="3"/>
      <c r="C5029" s="3"/>
      <c r="D5029" s="3"/>
    </row>
    <row r="5030" spans="1:4" x14ac:dyDescent="0.25">
      <c r="A5030" s="2"/>
      <c r="B5030" s="3"/>
      <c r="C5030" s="3"/>
      <c r="D5030" s="3"/>
    </row>
    <row r="5031" spans="1:4" x14ac:dyDescent="0.25">
      <c r="A5031" s="2"/>
      <c r="B5031" s="3"/>
      <c r="C5031" s="3"/>
      <c r="D5031" s="3"/>
    </row>
    <row r="5032" spans="1:4" x14ac:dyDescent="0.25">
      <c r="A5032" s="2"/>
      <c r="B5032" s="3"/>
      <c r="C5032" s="3"/>
      <c r="D5032" s="3"/>
    </row>
    <row r="5033" spans="1:4" x14ac:dyDescent="0.25">
      <c r="A5033" s="2"/>
      <c r="B5033" s="3"/>
      <c r="C5033" s="3"/>
      <c r="D5033" s="3"/>
    </row>
    <row r="5034" spans="1:4" x14ac:dyDescent="0.25">
      <c r="A5034" s="2"/>
      <c r="B5034" s="3"/>
      <c r="C5034" s="3"/>
      <c r="D5034" s="3"/>
    </row>
    <row r="5035" spans="1:4" x14ac:dyDescent="0.25">
      <c r="A5035" s="2"/>
      <c r="B5035" s="3"/>
      <c r="C5035" s="3"/>
      <c r="D5035" s="3"/>
    </row>
    <row r="5036" spans="1:4" x14ac:dyDescent="0.25">
      <c r="A5036" s="2"/>
      <c r="B5036" s="3"/>
      <c r="C5036" s="3"/>
      <c r="D5036" s="3"/>
    </row>
    <row r="5037" spans="1:4" x14ac:dyDescent="0.25">
      <c r="A5037" s="2"/>
      <c r="B5037" s="3"/>
      <c r="C5037" s="3"/>
      <c r="D5037" s="3"/>
    </row>
    <row r="5038" spans="1:4" x14ac:dyDescent="0.25">
      <c r="A5038" s="2"/>
      <c r="B5038" s="3"/>
      <c r="C5038" s="3"/>
      <c r="D5038" s="3"/>
    </row>
    <row r="5039" spans="1:4" x14ac:dyDescent="0.25">
      <c r="A5039" s="2"/>
      <c r="B5039" s="3"/>
      <c r="C5039" s="3"/>
      <c r="D5039" s="3"/>
    </row>
    <row r="5040" spans="1:4" x14ac:dyDescent="0.25">
      <c r="A5040" s="2"/>
      <c r="B5040" s="3"/>
      <c r="C5040" s="3"/>
      <c r="D5040" s="3"/>
    </row>
    <row r="5041" spans="1:4" x14ac:dyDescent="0.25">
      <c r="A5041" s="2"/>
      <c r="B5041" s="3"/>
      <c r="C5041" s="3"/>
      <c r="D5041" s="3"/>
    </row>
    <row r="5042" spans="1:4" x14ac:dyDescent="0.25">
      <c r="A5042" s="2"/>
      <c r="B5042" s="3"/>
      <c r="C5042" s="3"/>
      <c r="D5042" s="3"/>
    </row>
    <row r="5043" spans="1:4" x14ac:dyDescent="0.25">
      <c r="A5043" s="2"/>
      <c r="B5043" s="3"/>
      <c r="C5043" s="3"/>
      <c r="D5043" s="3"/>
    </row>
    <row r="5044" spans="1:4" x14ac:dyDescent="0.25">
      <c r="A5044" s="2"/>
      <c r="B5044" s="3"/>
      <c r="C5044" s="3"/>
      <c r="D5044" s="3"/>
    </row>
    <row r="5045" spans="1:4" x14ac:dyDescent="0.25">
      <c r="A5045" s="2"/>
      <c r="B5045" s="3"/>
      <c r="C5045" s="3"/>
      <c r="D5045" s="3"/>
    </row>
    <row r="5046" spans="1:4" x14ac:dyDescent="0.25">
      <c r="A5046" s="2"/>
      <c r="B5046" s="3"/>
      <c r="C5046" s="3"/>
      <c r="D5046" s="3"/>
    </row>
    <row r="5047" spans="1:4" x14ac:dyDescent="0.25">
      <c r="A5047" s="2"/>
      <c r="B5047" s="3"/>
      <c r="C5047" s="3"/>
      <c r="D5047" s="3"/>
    </row>
    <row r="5048" spans="1:4" x14ac:dyDescent="0.25">
      <c r="A5048" s="2"/>
      <c r="B5048" s="3"/>
      <c r="C5048" s="3"/>
      <c r="D5048" s="3"/>
    </row>
    <row r="5049" spans="1:4" x14ac:dyDescent="0.25">
      <c r="A5049" s="2"/>
      <c r="B5049" s="3"/>
      <c r="C5049" s="3"/>
      <c r="D5049" s="3"/>
    </row>
    <row r="5050" spans="1:4" x14ac:dyDescent="0.25">
      <c r="A5050" s="2"/>
      <c r="B5050" s="3"/>
      <c r="C5050" s="3"/>
      <c r="D5050" s="3"/>
    </row>
    <row r="5051" spans="1:4" x14ac:dyDescent="0.25">
      <c r="A5051" s="2"/>
      <c r="B5051" s="3"/>
      <c r="C5051" s="3"/>
      <c r="D5051" s="3"/>
    </row>
    <row r="5052" spans="1:4" x14ac:dyDescent="0.25">
      <c r="A5052" s="2"/>
      <c r="B5052" s="3"/>
      <c r="C5052" s="3"/>
      <c r="D5052" s="3"/>
    </row>
    <row r="5053" spans="1:4" x14ac:dyDescent="0.25">
      <c r="A5053" s="2"/>
      <c r="B5053" s="3"/>
      <c r="C5053" s="3"/>
      <c r="D5053" s="3"/>
    </row>
    <row r="5054" spans="1:4" x14ac:dyDescent="0.25">
      <c r="A5054" s="2"/>
      <c r="B5054" s="3"/>
      <c r="C5054" s="3"/>
      <c r="D5054" s="3"/>
    </row>
    <row r="5055" spans="1:4" x14ac:dyDescent="0.25">
      <c r="A5055" s="2"/>
      <c r="B5055" s="3"/>
      <c r="C5055" s="3"/>
      <c r="D5055" s="3"/>
    </row>
    <row r="5056" spans="1:4" x14ac:dyDescent="0.25">
      <c r="A5056" s="2"/>
      <c r="B5056" s="3"/>
      <c r="C5056" s="3"/>
      <c r="D5056" s="3"/>
    </row>
    <row r="5057" spans="1:4" x14ac:dyDescent="0.25">
      <c r="A5057" s="2"/>
      <c r="B5057" s="3"/>
      <c r="C5057" s="3"/>
      <c r="D5057" s="3"/>
    </row>
    <row r="5058" spans="1:4" x14ac:dyDescent="0.25">
      <c r="A5058" s="2"/>
      <c r="B5058" s="3"/>
      <c r="C5058" s="3"/>
      <c r="D5058" s="3"/>
    </row>
    <row r="5059" spans="1:4" x14ac:dyDescent="0.25">
      <c r="A5059" s="2"/>
      <c r="B5059" s="3"/>
      <c r="C5059" s="3"/>
      <c r="D5059" s="3"/>
    </row>
    <row r="5060" spans="1:4" x14ac:dyDescent="0.25">
      <c r="A5060" s="2"/>
      <c r="B5060" s="3"/>
      <c r="C5060" s="3"/>
      <c r="D5060" s="3"/>
    </row>
    <row r="5061" spans="1:4" x14ac:dyDescent="0.25">
      <c r="A5061" s="2"/>
      <c r="B5061" s="3"/>
      <c r="C5061" s="3"/>
      <c r="D5061" s="3"/>
    </row>
    <row r="5062" spans="1:4" x14ac:dyDescent="0.25">
      <c r="A5062" s="2"/>
      <c r="B5062" s="3"/>
      <c r="C5062" s="3"/>
      <c r="D5062" s="3"/>
    </row>
    <row r="5063" spans="1:4" x14ac:dyDescent="0.25">
      <c r="A5063" s="2"/>
      <c r="B5063" s="3"/>
      <c r="C5063" s="3"/>
      <c r="D5063" s="3"/>
    </row>
    <row r="5064" spans="1:4" x14ac:dyDescent="0.25">
      <c r="A5064" s="2"/>
      <c r="B5064" s="3"/>
      <c r="C5064" s="3"/>
      <c r="D5064" s="3"/>
    </row>
    <row r="5065" spans="1:4" x14ac:dyDescent="0.25">
      <c r="A5065" s="2"/>
      <c r="B5065" s="3"/>
      <c r="C5065" s="3"/>
      <c r="D5065" s="3"/>
    </row>
    <row r="5066" spans="1:4" x14ac:dyDescent="0.25">
      <c r="A5066" s="2"/>
      <c r="B5066" s="3"/>
      <c r="C5066" s="3"/>
      <c r="D5066" s="3"/>
    </row>
    <row r="5067" spans="1:4" x14ac:dyDescent="0.25">
      <c r="A5067" s="2"/>
      <c r="B5067" s="3"/>
      <c r="C5067" s="3"/>
      <c r="D5067" s="3"/>
    </row>
    <row r="5068" spans="1:4" x14ac:dyDescent="0.25">
      <c r="A5068" s="2"/>
      <c r="B5068" s="3"/>
      <c r="C5068" s="3"/>
      <c r="D5068" s="3"/>
    </row>
    <row r="5069" spans="1:4" x14ac:dyDescent="0.25">
      <c r="A5069" s="2"/>
      <c r="B5069" s="3"/>
      <c r="C5069" s="3"/>
      <c r="D5069" s="3"/>
    </row>
    <row r="5070" spans="1:4" x14ac:dyDescent="0.25">
      <c r="A5070" s="2"/>
      <c r="B5070" s="3"/>
      <c r="C5070" s="3"/>
      <c r="D5070" s="3"/>
    </row>
    <row r="5071" spans="1:4" x14ac:dyDescent="0.25">
      <c r="A5071" s="2"/>
      <c r="B5071" s="3"/>
      <c r="C5071" s="3"/>
      <c r="D5071" s="3"/>
    </row>
    <row r="5072" spans="1:4" x14ac:dyDescent="0.25">
      <c r="A5072" s="2"/>
      <c r="B5072" s="3"/>
      <c r="C5072" s="3"/>
      <c r="D5072" s="3"/>
    </row>
    <row r="5073" spans="1:4" x14ac:dyDescent="0.25">
      <c r="A5073" s="2"/>
      <c r="B5073" s="3"/>
      <c r="C5073" s="3"/>
      <c r="D5073" s="3"/>
    </row>
    <row r="5074" spans="1:4" x14ac:dyDescent="0.25">
      <c r="A5074" s="2"/>
      <c r="B5074" s="3"/>
      <c r="C5074" s="3"/>
      <c r="D5074" s="3"/>
    </row>
    <row r="5075" spans="1:4" x14ac:dyDescent="0.25">
      <c r="A5075" s="2"/>
      <c r="B5075" s="3"/>
      <c r="C5075" s="3"/>
      <c r="D5075" s="3"/>
    </row>
    <row r="5076" spans="1:4" x14ac:dyDescent="0.25">
      <c r="A5076" s="2"/>
      <c r="B5076" s="3"/>
      <c r="C5076" s="3"/>
      <c r="D5076" s="3"/>
    </row>
    <row r="5077" spans="1:4" x14ac:dyDescent="0.25">
      <c r="A5077" s="2"/>
      <c r="B5077" s="3"/>
      <c r="C5077" s="3"/>
      <c r="D5077" s="3"/>
    </row>
    <row r="5078" spans="1:4" x14ac:dyDescent="0.25">
      <c r="A5078" s="2"/>
      <c r="B5078" s="3"/>
      <c r="C5078" s="3"/>
      <c r="D5078" s="3"/>
    </row>
    <row r="5079" spans="1:4" x14ac:dyDescent="0.25">
      <c r="A5079" s="2"/>
      <c r="B5079" s="3"/>
      <c r="C5079" s="3"/>
      <c r="D5079" s="3"/>
    </row>
    <row r="5080" spans="1:4" x14ac:dyDescent="0.25">
      <c r="A5080" s="2"/>
      <c r="B5080" s="3"/>
      <c r="C5080" s="3"/>
      <c r="D5080" s="3"/>
    </row>
    <row r="5081" spans="1:4" x14ac:dyDescent="0.25">
      <c r="A5081" s="2"/>
      <c r="B5081" s="3"/>
      <c r="C5081" s="3"/>
      <c r="D5081" s="3"/>
    </row>
    <row r="5082" spans="1:4" x14ac:dyDescent="0.25">
      <c r="A5082" s="2"/>
      <c r="B5082" s="3"/>
      <c r="C5082" s="3"/>
      <c r="D5082" s="3"/>
    </row>
    <row r="5083" spans="1:4" x14ac:dyDescent="0.25">
      <c r="A5083" s="2"/>
      <c r="B5083" s="3"/>
      <c r="C5083" s="3"/>
      <c r="D5083" s="3"/>
    </row>
    <row r="5084" spans="1:4" x14ac:dyDescent="0.25">
      <c r="A5084" s="2"/>
      <c r="B5084" s="3"/>
      <c r="C5084" s="3"/>
      <c r="D5084" s="3"/>
    </row>
    <row r="5085" spans="1:4" x14ac:dyDescent="0.25">
      <c r="A5085" s="2"/>
      <c r="B5085" s="3"/>
      <c r="C5085" s="3"/>
      <c r="D5085" s="3"/>
    </row>
    <row r="5086" spans="1:4" x14ac:dyDescent="0.25">
      <c r="A5086" s="2"/>
      <c r="B5086" s="3"/>
      <c r="C5086" s="3"/>
      <c r="D5086" s="3"/>
    </row>
    <row r="5087" spans="1:4" x14ac:dyDescent="0.25">
      <c r="A5087" s="2"/>
      <c r="B5087" s="3"/>
      <c r="C5087" s="3"/>
      <c r="D5087" s="3"/>
    </row>
    <row r="5088" spans="1:4" x14ac:dyDescent="0.25">
      <c r="A5088" s="2"/>
      <c r="B5088" s="3"/>
      <c r="C5088" s="3"/>
      <c r="D5088" s="3"/>
    </row>
    <row r="5089" spans="1:4" x14ac:dyDescent="0.25">
      <c r="A5089" s="2"/>
      <c r="B5089" s="3"/>
      <c r="C5089" s="3"/>
      <c r="D5089" s="3"/>
    </row>
    <row r="5090" spans="1:4" x14ac:dyDescent="0.25">
      <c r="A5090" s="2"/>
      <c r="B5090" s="3"/>
      <c r="C5090" s="3"/>
      <c r="D5090" s="3"/>
    </row>
    <row r="5091" spans="1:4" x14ac:dyDescent="0.25">
      <c r="A5091" s="2"/>
      <c r="B5091" s="3"/>
      <c r="C5091" s="3"/>
      <c r="D5091" s="3"/>
    </row>
    <row r="5092" spans="1:4" x14ac:dyDescent="0.25">
      <c r="A5092" s="2"/>
      <c r="B5092" s="3"/>
      <c r="C5092" s="3"/>
      <c r="D5092" s="3"/>
    </row>
    <row r="5093" spans="1:4" x14ac:dyDescent="0.25">
      <c r="A5093" s="2"/>
      <c r="B5093" s="3"/>
      <c r="C5093" s="3"/>
      <c r="D5093" s="3"/>
    </row>
    <row r="5094" spans="1:4" x14ac:dyDescent="0.25">
      <c r="A5094" s="2"/>
      <c r="B5094" s="3"/>
      <c r="C5094" s="3"/>
      <c r="D5094" s="3"/>
    </row>
    <row r="5095" spans="1:4" x14ac:dyDescent="0.25">
      <c r="A5095" s="2"/>
      <c r="B5095" s="3"/>
      <c r="C5095" s="3"/>
      <c r="D5095" s="3"/>
    </row>
    <row r="5096" spans="1:4" x14ac:dyDescent="0.25">
      <c r="A5096" s="2"/>
      <c r="B5096" s="3"/>
      <c r="C5096" s="3"/>
      <c r="D5096" s="3"/>
    </row>
    <row r="5097" spans="1:4" x14ac:dyDescent="0.25">
      <c r="A5097" s="2"/>
      <c r="B5097" s="3"/>
      <c r="C5097" s="3"/>
      <c r="D5097" s="3"/>
    </row>
    <row r="5098" spans="1:4" x14ac:dyDescent="0.25">
      <c r="A5098" s="2"/>
      <c r="B5098" s="3"/>
      <c r="C5098" s="3"/>
      <c r="D5098" s="3"/>
    </row>
    <row r="5099" spans="1:4" x14ac:dyDescent="0.25">
      <c r="A5099" s="2"/>
      <c r="B5099" s="3"/>
      <c r="C5099" s="3"/>
      <c r="D5099" s="3"/>
    </row>
    <row r="5100" spans="1:4" x14ac:dyDescent="0.25">
      <c r="A5100" s="2"/>
      <c r="B5100" s="3"/>
      <c r="C5100" s="3"/>
      <c r="D5100" s="3"/>
    </row>
    <row r="5101" spans="1:4" x14ac:dyDescent="0.25">
      <c r="A5101" s="2"/>
      <c r="B5101" s="3"/>
      <c r="C5101" s="3"/>
      <c r="D5101" s="3"/>
    </row>
    <row r="5102" spans="1:4" x14ac:dyDescent="0.25">
      <c r="A5102" s="2"/>
      <c r="B5102" s="3"/>
      <c r="C5102" s="3"/>
      <c r="D5102" s="3"/>
    </row>
    <row r="5103" spans="1:4" x14ac:dyDescent="0.25">
      <c r="A5103" s="2"/>
      <c r="B5103" s="3"/>
      <c r="C5103" s="3"/>
      <c r="D5103" s="3"/>
    </row>
    <row r="5104" spans="1:4" x14ac:dyDescent="0.25">
      <c r="A5104" s="2"/>
      <c r="B5104" s="3"/>
      <c r="C5104" s="3"/>
      <c r="D5104" s="3"/>
    </row>
    <row r="5105" spans="1:4" x14ac:dyDescent="0.25">
      <c r="A5105" s="2"/>
      <c r="B5105" s="3"/>
      <c r="C5105" s="3"/>
      <c r="D5105" s="3"/>
    </row>
    <row r="5106" spans="1:4" x14ac:dyDescent="0.25">
      <c r="A5106" s="2"/>
      <c r="B5106" s="3"/>
      <c r="C5106" s="3"/>
      <c r="D5106" s="3"/>
    </row>
    <row r="5107" spans="1:4" x14ac:dyDescent="0.25">
      <c r="A5107" s="2"/>
      <c r="B5107" s="3"/>
      <c r="C5107" s="3"/>
      <c r="D5107" s="3"/>
    </row>
    <row r="5108" spans="1:4" x14ac:dyDescent="0.25">
      <c r="A5108" s="2"/>
      <c r="B5108" s="3"/>
      <c r="C5108" s="3"/>
      <c r="D5108" s="3"/>
    </row>
    <row r="5109" spans="1:4" x14ac:dyDescent="0.25">
      <c r="A5109" s="2"/>
      <c r="B5109" s="3"/>
      <c r="C5109" s="3"/>
      <c r="D5109" s="3"/>
    </row>
    <row r="5110" spans="1:4" x14ac:dyDescent="0.25">
      <c r="A5110" s="2"/>
      <c r="B5110" s="3"/>
      <c r="C5110" s="3"/>
      <c r="D5110" s="3"/>
    </row>
    <row r="5111" spans="1:4" x14ac:dyDescent="0.25">
      <c r="A5111" s="2"/>
      <c r="B5111" s="3"/>
      <c r="C5111" s="3"/>
      <c r="D5111" s="3"/>
    </row>
    <row r="5112" spans="1:4" x14ac:dyDescent="0.25">
      <c r="A5112" s="2"/>
      <c r="B5112" s="3"/>
      <c r="C5112" s="3"/>
      <c r="D5112" s="3"/>
    </row>
    <row r="5113" spans="1:4" x14ac:dyDescent="0.25">
      <c r="A5113" s="2"/>
      <c r="B5113" s="3"/>
      <c r="C5113" s="3"/>
      <c r="D5113" s="3"/>
    </row>
    <row r="5114" spans="1:4" x14ac:dyDescent="0.25">
      <c r="A5114" s="2"/>
      <c r="B5114" s="3"/>
      <c r="C5114" s="3"/>
      <c r="D5114" s="3"/>
    </row>
    <row r="5115" spans="1:4" x14ac:dyDescent="0.25">
      <c r="A5115" s="2"/>
      <c r="B5115" s="3"/>
      <c r="C5115" s="3"/>
      <c r="D5115" s="3"/>
    </row>
    <row r="5116" spans="1:4" x14ac:dyDescent="0.25">
      <c r="A5116" s="2"/>
      <c r="B5116" s="3"/>
      <c r="C5116" s="3"/>
      <c r="D5116" s="3"/>
    </row>
    <row r="5117" spans="1:4" x14ac:dyDescent="0.25">
      <c r="A5117" s="2"/>
      <c r="B5117" s="3"/>
      <c r="C5117" s="3"/>
      <c r="D5117" s="3"/>
    </row>
    <row r="5118" spans="1:4" x14ac:dyDescent="0.25">
      <c r="A5118" s="2"/>
      <c r="B5118" s="3"/>
      <c r="C5118" s="3"/>
      <c r="D5118" s="3"/>
    </row>
    <row r="5119" spans="1:4" x14ac:dyDescent="0.25">
      <c r="A5119" s="2"/>
      <c r="B5119" s="3"/>
      <c r="C5119" s="3"/>
      <c r="D5119" s="3"/>
    </row>
    <row r="5120" spans="1:4" x14ac:dyDescent="0.25">
      <c r="A5120" s="2"/>
      <c r="B5120" s="3"/>
      <c r="C5120" s="3"/>
      <c r="D5120" s="3"/>
    </row>
    <row r="5121" spans="1:4" x14ac:dyDescent="0.25">
      <c r="A5121" s="2"/>
      <c r="B5121" s="3"/>
      <c r="C5121" s="3"/>
      <c r="D5121" s="3"/>
    </row>
    <row r="5122" spans="1:4" x14ac:dyDescent="0.25">
      <c r="A5122" s="2"/>
      <c r="B5122" s="3"/>
      <c r="C5122" s="3"/>
      <c r="D5122" s="3"/>
    </row>
    <row r="5123" spans="1:4" x14ac:dyDescent="0.25">
      <c r="A5123" s="2"/>
      <c r="B5123" s="3"/>
      <c r="C5123" s="3"/>
      <c r="D5123" s="3"/>
    </row>
    <row r="5124" spans="1:4" x14ac:dyDescent="0.25">
      <c r="A5124" s="2"/>
      <c r="B5124" s="3"/>
      <c r="C5124" s="3"/>
      <c r="D5124" s="3"/>
    </row>
    <row r="5125" spans="1:4" x14ac:dyDescent="0.25">
      <c r="A5125" s="2"/>
      <c r="B5125" s="3"/>
      <c r="C5125" s="3"/>
      <c r="D5125" s="3"/>
    </row>
    <row r="5126" spans="1:4" x14ac:dyDescent="0.25">
      <c r="A5126" s="2"/>
      <c r="B5126" s="3"/>
      <c r="C5126" s="3"/>
      <c r="D5126" s="3"/>
    </row>
    <row r="5127" spans="1:4" x14ac:dyDescent="0.25">
      <c r="A5127" s="2"/>
      <c r="B5127" s="3"/>
      <c r="C5127" s="3"/>
      <c r="D5127" s="3"/>
    </row>
    <row r="5128" spans="1:4" x14ac:dyDescent="0.25">
      <c r="A5128" s="2"/>
      <c r="B5128" s="3"/>
      <c r="C5128" s="3"/>
      <c r="D5128" s="3"/>
    </row>
    <row r="5129" spans="1:4" x14ac:dyDescent="0.25">
      <c r="A5129" s="2"/>
      <c r="B5129" s="3"/>
      <c r="C5129" s="3"/>
      <c r="D5129" s="3"/>
    </row>
    <row r="5130" spans="1:4" x14ac:dyDescent="0.25">
      <c r="A5130" s="2"/>
      <c r="B5130" s="3"/>
      <c r="C5130" s="3"/>
      <c r="D5130" s="3"/>
    </row>
    <row r="5131" spans="1:4" x14ac:dyDescent="0.25">
      <c r="A5131" s="2"/>
      <c r="B5131" s="3"/>
      <c r="C5131" s="3"/>
      <c r="D5131" s="3"/>
    </row>
    <row r="5132" spans="1:4" x14ac:dyDescent="0.25">
      <c r="A5132" s="2"/>
      <c r="B5132" s="3"/>
      <c r="C5132" s="3"/>
      <c r="D5132" s="3"/>
    </row>
    <row r="5133" spans="1:4" x14ac:dyDescent="0.25">
      <c r="A5133" s="2"/>
      <c r="B5133" s="3"/>
      <c r="C5133" s="3"/>
      <c r="D5133" s="3"/>
    </row>
    <row r="5134" spans="1:4" x14ac:dyDescent="0.25">
      <c r="A5134" s="2"/>
      <c r="B5134" s="3"/>
      <c r="C5134" s="3"/>
      <c r="D5134" s="3"/>
    </row>
    <row r="5135" spans="1:4" x14ac:dyDescent="0.25">
      <c r="A5135" s="2"/>
      <c r="B5135" s="3"/>
      <c r="C5135" s="3"/>
      <c r="D5135" s="3"/>
    </row>
    <row r="5136" spans="1:4" x14ac:dyDescent="0.25">
      <c r="A5136" s="2"/>
      <c r="B5136" s="3"/>
      <c r="C5136" s="3"/>
      <c r="D5136" s="3"/>
    </row>
    <row r="5137" spans="1:4" x14ac:dyDescent="0.25">
      <c r="A5137" s="2"/>
      <c r="B5137" s="3"/>
      <c r="C5137" s="3"/>
      <c r="D5137" s="3"/>
    </row>
    <row r="5138" spans="1:4" x14ac:dyDescent="0.25">
      <c r="A5138" s="2"/>
      <c r="B5138" s="3"/>
      <c r="C5138" s="3"/>
      <c r="D5138" s="3"/>
    </row>
    <row r="5139" spans="1:4" x14ac:dyDescent="0.25">
      <c r="A5139" s="2"/>
      <c r="B5139" s="3"/>
      <c r="C5139" s="3"/>
      <c r="D5139" s="3"/>
    </row>
    <row r="5140" spans="1:4" x14ac:dyDescent="0.25">
      <c r="A5140" s="2"/>
      <c r="B5140" s="3"/>
      <c r="C5140" s="3"/>
      <c r="D5140" s="3"/>
    </row>
    <row r="5141" spans="1:4" x14ac:dyDescent="0.25">
      <c r="A5141" s="2"/>
      <c r="B5141" s="3"/>
      <c r="C5141" s="3"/>
      <c r="D5141" s="3"/>
    </row>
    <row r="5142" spans="1:4" x14ac:dyDescent="0.25">
      <c r="A5142" s="2"/>
      <c r="B5142" s="3"/>
      <c r="C5142" s="3"/>
      <c r="D5142" s="3"/>
    </row>
    <row r="5143" spans="1:4" x14ac:dyDescent="0.25">
      <c r="A5143" s="2"/>
      <c r="B5143" s="3"/>
      <c r="C5143" s="3"/>
      <c r="D5143" s="3"/>
    </row>
    <row r="5144" spans="1:4" x14ac:dyDescent="0.25">
      <c r="A5144" s="2"/>
      <c r="B5144" s="3"/>
      <c r="C5144" s="3"/>
      <c r="D5144" s="3"/>
    </row>
    <row r="5145" spans="1:4" x14ac:dyDescent="0.25">
      <c r="A5145" s="2"/>
      <c r="B5145" s="3"/>
      <c r="C5145" s="3"/>
      <c r="D5145" s="3"/>
    </row>
    <row r="5146" spans="1:4" x14ac:dyDescent="0.25">
      <c r="A5146" s="2"/>
      <c r="B5146" s="3"/>
      <c r="C5146" s="3"/>
      <c r="D5146" s="3"/>
    </row>
    <row r="5147" spans="1:4" x14ac:dyDescent="0.25">
      <c r="A5147" s="2"/>
      <c r="B5147" s="3"/>
      <c r="C5147" s="3"/>
      <c r="D5147" s="3"/>
    </row>
    <row r="5148" spans="1:4" x14ac:dyDescent="0.25">
      <c r="A5148" s="2"/>
      <c r="B5148" s="3"/>
      <c r="C5148" s="3"/>
      <c r="D5148" s="3"/>
    </row>
    <row r="5149" spans="1:4" x14ac:dyDescent="0.25">
      <c r="A5149" s="2"/>
      <c r="B5149" s="3"/>
      <c r="C5149" s="3"/>
      <c r="D5149" s="3"/>
    </row>
    <row r="5150" spans="1:4" x14ac:dyDescent="0.25">
      <c r="A5150" s="2"/>
      <c r="B5150" s="3"/>
      <c r="C5150" s="3"/>
      <c r="D5150" s="3"/>
    </row>
    <row r="5151" spans="1:4" x14ac:dyDescent="0.25">
      <c r="A5151" s="2"/>
      <c r="B5151" s="3"/>
      <c r="C5151" s="3"/>
      <c r="D5151" s="3"/>
    </row>
    <row r="5152" spans="1:4" x14ac:dyDescent="0.25">
      <c r="A5152" s="2"/>
      <c r="B5152" s="3"/>
      <c r="C5152" s="3"/>
      <c r="D5152" s="3"/>
    </row>
    <row r="5153" spans="1:4" x14ac:dyDescent="0.25">
      <c r="A5153" s="2"/>
      <c r="B5153" s="3"/>
      <c r="C5153" s="3"/>
      <c r="D5153" s="3"/>
    </row>
    <row r="5154" spans="1:4" x14ac:dyDescent="0.25">
      <c r="A5154" s="2"/>
      <c r="B5154" s="3"/>
      <c r="C5154" s="3"/>
      <c r="D5154" s="3"/>
    </row>
    <row r="5155" spans="1:4" x14ac:dyDescent="0.25">
      <c r="A5155" s="2"/>
      <c r="B5155" s="3"/>
      <c r="C5155" s="3"/>
      <c r="D5155" s="3"/>
    </row>
    <row r="5156" spans="1:4" x14ac:dyDescent="0.25">
      <c r="A5156" s="2"/>
      <c r="B5156" s="3"/>
      <c r="C5156" s="3"/>
      <c r="D5156" s="3"/>
    </row>
    <row r="5157" spans="1:4" x14ac:dyDescent="0.25">
      <c r="A5157" s="2"/>
      <c r="B5157" s="3"/>
      <c r="C5157" s="3"/>
      <c r="D5157" s="3"/>
    </row>
    <row r="5158" spans="1:4" x14ac:dyDescent="0.25">
      <c r="A5158" s="2"/>
      <c r="B5158" s="3"/>
      <c r="C5158" s="3"/>
      <c r="D5158" s="3"/>
    </row>
    <row r="5159" spans="1:4" x14ac:dyDescent="0.25">
      <c r="A5159" s="2"/>
      <c r="B5159" s="3"/>
      <c r="C5159" s="3"/>
      <c r="D5159" s="3"/>
    </row>
    <row r="5160" spans="1:4" x14ac:dyDescent="0.25">
      <c r="A5160" s="2"/>
      <c r="B5160" s="3"/>
      <c r="C5160" s="3"/>
      <c r="D5160" s="3"/>
    </row>
    <row r="5161" spans="1:4" x14ac:dyDescent="0.25">
      <c r="A5161" s="2"/>
      <c r="B5161" s="3"/>
      <c r="C5161" s="3"/>
      <c r="D5161" s="3"/>
    </row>
    <row r="5162" spans="1:4" x14ac:dyDescent="0.25">
      <c r="A5162" s="2"/>
      <c r="B5162" s="3"/>
      <c r="C5162" s="3"/>
      <c r="D5162" s="3"/>
    </row>
    <row r="5163" spans="1:4" x14ac:dyDescent="0.25">
      <c r="A5163" s="2"/>
      <c r="B5163" s="3"/>
      <c r="C5163" s="3"/>
      <c r="D5163" s="3"/>
    </row>
    <row r="5164" spans="1:4" x14ac:dyDescent="0.25">
      <c r="A5164" s="2"/>
      <c r="B5164" s="3"/>
      <c r="C5164" s="3"/>
      <c r="D5164" s="3"/>
    </row>
    <row r="5165" spans="1:4" x14ac:dyDescent="0.25">
      <c r="A5165" s="2"/>
      <c r="B5165" s="3"/>
      <c r="C5165" s="3"/>
      <c r="D5165" s="3"/>
    </row>
    <row r="5166" spans="1:4" x14ac:dyDescent="0.25">
      <c r="A5166" s="2"/>
      <c r="B5166" s="3"/>
      <c r="C5166" s="3"/>
      <c r="D5166" s="3"/>
    </row>
    <row r="5167" spans="1:4" x14ac:dyDescent="0.25">
      <c r="A5167" s="2"/>
      <c r="B5167" s="3"/>
      <c r="C5167" s="3"/>
      <c r="D5167" s="3"/>
    </row>
    <row r="5168" spans="1:4" x14ac:dyDescent="0.25">
      <c r="A5168" s="2"/>
      <c r="B5168" s="3"/>
      <c r="C5168" s="3"/>
      <c r="D5168" s="3"/>
    </row>
    <row r="5169" spans="1:4" x14ac:dyDescent="0.25">
      <c r="A5169" s="2"/>
      <c r="B5169" s="3"/>
      <c r="C5169" s="3"/>
      <c r="D5169" s="3"/>
    </row>
    <row r="5170" spans="1:4" x14ac:dyDescent="0.25">
      <c r="A5170" s="2"/>
      <c r="B5170" s="3"/>
      <c r="C5170" s="3"/>
      <c r="D5170" s="3"/>
    </row>
    <row r="5171" spans="1:4" x14ac:dyDescent="0.25">
      <c r="A5171" s="2"/>
      <c r="B5171" s="3"/>
      <c r="C5171" s="3"/>
      <c r="D5171" s="3"/>
    </row>
    <row r="5172" spans="1:4" x14ac:dyDescent="0.25">
      <c r="A5172" s="2"/>
      <c r="B5172" s="3"/>
      <c r="C5172" s="3"/>
      <c r="D5172" s="3"/>
    </row>
    <row r="5173" spans="1:4" x14ac:dyDescent="0.25">
      <c r="A5173" s="2"/>
      <c r="B5173" s="3"/>
      <c r="C5173" s="3"/>
      <c r="D5173" s="3"/>
    </row>
    <row r="5174" spans="1:4" x14ac:dyDescent="0.25">
      <c r="A5174" s="2"/>
      <c r="B5174" s="3"/>
      <c r="C5174" s="3"/>
      <c r="D5174" s="3"/>
    </row>
    <row r="5175" spans="1:4" x14ac:dyDescent="0.25">
      <c r="A5175" s="2"/>
      <c r="B5175" s="3"/>
      <c r="C5175" s="3"/>
      <c r="D5175" s="3"/>
    </row>
    <row r="5176" spans="1:4" x14ac:dyDescent="0.25">
      <c r="A5176" s="2"/>
      <c r="B5176" s="3"/>
      <c r="C5176" s="3"/>
      <c r="D5176" s="3"/>
    </row>
    <row r="5177" spans="1:4" x14ac:dyDescent="0.25">
      <c r="A5177" s="2"/>
      <c r="B5177" s="3"/>
      <c r="C5177" s="3"/>
      <c r="D5177" s="3"/>
    </row>
    <row r="5178" spans="1:4" x14ac:dyDescent="0.25">
      <c r="A5178" s="2"/>
      <c r="B5178" s="3"/>
      <c r="C5178" s="3"/>
      <c r="D5178" s="3"/>
    </row>
    <row r="5179" spans="1:4" x14ac:dyDescent="0.25">
      <c r="A5179" s="2"/>
      <c r="B5179" s="3"/>
      <c r="C5179" s="3"/>
      <c r="D5179" s="3"/>
    </row>
    <row r="5180" spans="1:4" x14ac:dyDescent="0.25">
      <c r="A5180" s="2"/>
      <c r="B5180" s="3"/>
      <c r="C5180" s="3"/>
      <c r="D5180" s="3"/>
    </row>
    <row r="5181" spans="1:4" x14ac:dyDescent="0.25">
      <c r="A5181" s="2"/>
      <c r="B5181" s="3"/>
      <c r="C5181" s="3"/>
      <c r="D5181" s="3"/>
    </row>
    <row r="5182" spans="1:4" x14ac:dyDescent="0.25">
      <c r="A5182" s="2"/>
      <c r="B5182" s="3"/>
      <c r="C5182" s="3"/>
      <c r="D5182" s="3"/>
    </row>
    <row r="5183" spans="1:4" x14ac:dyDescent="0.25">
      <c r="A5183" s="2"/>
      <c r="B5183" s="3"/>
      <c r="C5183" s="3"/>
      <c r="D5183" s="3"/>
    </row>
    <row r="5184" spans="1:4" x14ac:dyDescent="0.25">
      <c r="A5184" s="2"/>
      <c r="B5184" s="3"/>
      <c r="C5184" s="3"/>
      <c r="D5184" s="3"/>
    </row>
    <row r="5185" spans="1:4" x14ac:dyDescent="0.25">
      <c r="A5185" s="2"/>
      <c r="B5185" s="3"/>
      <c r="C5185" s="3"/>
      <c r="D5185" s="3"/>
    </row>
    <row r="5186" spans="1:4" x14ac:dyDescent="0.25">
      <c r="A5186" s="2"/>
      <c r="B5186" s="3"/>
      <c r="C5186" s="3"/>
      <c r="D5186" s="3"/>
    </row>
    <row r="5187" spans="1:4" x14ac:dyDescent="0.25">
      <c r="A5187" s="2"/>
      <c r="B5187" s="3"/>
      <c r="C5187" s="3"/>
      <c r="D5187" s="3"/>
    </row>
    <row r="5188" spans="1:4" x14ac:dyDescent="0.25">
      <c r="A5188" s="2"/>
      <c r="B5188" s="3"/>
      <c r="C5188" s="3"/>
      <c r="D5188" s="3"/>
    </row>
    <row r="5189" spans="1:4" x14ac:dyDescent="0.25">
      <c r="A5189" s="2"/>
      <c r="B5189" s="3"/>
      <c r="C5189" s="3"/>
      <c r="D5189" s="3"/>
    </row>
    <row r="5190" spans="1:4" x14ac:dyDescent="0.25">
      <c r="A5190" s="2"/>
      <c r="B5190" s="3"/>
      <c r="C5190" s="3"/>
      <c r="D5190" s="3"/>
    </row>
    <row r="5191" spans="1:4" x14ac:dyDescent="0.25">
      <c r="A5191" s="2"/>
      <c r="B5191" s="3"/>
      <c r="C5191" s="3"/>
      <c r="D5191" s="3"/>
    </row>
    <row r="5192" spans="1:4" x14ac:dyDescent="0.25">
      <c r="A5192" s="2"/>
      <c r="B5192" s="3"/>
      <c r="C5192" s="3"/>
      <c r="D5192" s="3"/>
    </row>
    <row r="5193" spans="1:4" x14ac:dyDescent="0.25">
      <c r="A5193" s="2"/>
      <c r="B5193" s="3"/>
      <c r="C5193" s="3"/>
      <c r="D5193" s="3"/>
    </row>
    <row r="5194" spans="1:4" x14ac:dyDescent="0.25">
      <c r="A5194" s="2"/>
      <c r="B5194" s="3"/>
      <c r="C5194" s="3"/>
      <c r="D5194" s="3"/>
    </row>
    <row r="5195" spans="1:4" x14ac:dyDescent="0.25">
      <c r="A5195" s="2"/>
      <c r="B5195" s="3"/>
      <c r="C5195" s="3"/>
      <c r="D5195" s="3"/>
    </row>
    <row r="5196" spans="1:4" x14ac:dyDescent="0.25">
      <c r="A5196" s="2"/>
      <c r="B5196" s="3"/>
      <c r="C5196" s="3"/>
      <c r="D5196" s="3"/>
    </row>
    <row r="5197" spans="1:4" x14ac:dyDescent="0.25">
      <c r="A5197" s="2"/>
      <c r="B5197" s="3"/>
      <c r="C5197" s="3"/>
      <c r="D5197" s="3"/>
    </row>
    <row r="5198" spans="1:4" x14ac:dyDescent="0.25">
      <c r="A5198" s="2"/>
      <c r="B5198" s="3"/>
      <c r="C5198" s="3"/>
      <c r="D5198" s="3"/>
    </row>
    <row r="5199" spans="1:4" x14ac:dyDescent="0.25">
      <c r="A5199" s="2"/>
      <c r="B5199" s="3"/>
      <c r="C5199" s="3"/>
      <c r="D5199" s="3"/>
    </row>
    <row r="5200" spans="1:4" x14ac:dyDescent="0.25">
      <c r="A5200" s="2"/>
      <c r="B5200" s="3"/>
      <c r="C5200" s="3"/>
      <c r="D5200" s="3"/>
    </row>
    <row r="5201" spans="1:4" x14ac:dyDescent="0.25">
      <c r="A5201" s="2"/>
      <c r="B5201" s="3"/>
      <c r="C5201" s="3"/>
      <c r="D5201" s="3"/>
    </row>
    <row r="5202" spans="1:4" x14ac:dyDescent="0.25">
      <c r="A5202" s="2"/>
      <c r="B5202" s="3"/>
      <c r="C5202" s="3"/>
      <c r="D5202" s="3"/>
    </row>
    <row r="5203" spans="1:4" x14ac:dyDescent="0.25">
      <c r="A5203" s="2"/>
      <c r="B5203" s="3"/>
      <c r="C5203" s="3"/>
      <c r="D5203" s="3"/>
    </row>
    <row r="5204" spans="1:4" x14ac:dyDescent="0.25">
      <c r="A5204" s="2"/>
      <c r="B5204" s="3"/>
      <c r="C5204" s="3"/>
      <c r="D5204" s="3"/>
    </row>
    <row r="5205" spans="1:4" x14ac:dyDescent="0.25">
      <c r="A5205" s="2"/>
      <c r="B5205" s="3"/>
      <c r="C5205" s="3"/>
      <c r="D5205" s="3"/>
    </row>
    <row r="5206" spans="1:4" x14ac:dyDescent="0.25">
      <c r="A5206" s="2"/>
      <c r="B5206" s="3"/>
      <c r="C5206" s="3"/>
      <c r="D5206" s="3"/>
    </row>
    <row r="5207" spans="1:4" x14ac:dyDescent="0.25">
      <c r="A5207" s="2"/>
      <c r="B5207" s="3"/>
      <c r="C5207" s="3"/>
      <c r="D5207" s="3"/>
    </row>
    <row r="5208" spans="1:4" x14ac:dyDescent="0.25">
      <c r="A5208" s="2"/>
      <c r="B5208" s="3"/>
      <c r="C5208" s="3"/>
      <c r="D5208" s="3"/>
    </row>
    <row r="5209" spans="1:4" x14ac:dyDescent="0.25">
      <c r="A5209" s="2"/>
      <c r="B5209" s="3"/>
      <c r="C5209" s="3"/>
      <c r="D5209" s="3"/>
    </row>
    <row r="5210" spans="1:4" x14ac:dyDescent="0.25">
      <c r="A5210" s="2"/>
      <c r="B5210" s="3"/>
      <c r="C5210" s="3"/>
      <c r="D5210" s="3"/>
    </row>
    <row r="5211" spans="1:4" x14ac:dyDescent="0.25">
      <c r="A5211" s="2"/>
      <c r="B5211" s="3"/>
      <c r="C5211" s="3"/>
      <c r="D5211" s="3"/>
    </row>
    <row r="5212" spans="1:4" x14ac:dyDescent="0.25">
      <c r="A5212" s="2"/>
      <c r="B5212" s="3"/>
      <c r="C5212" s="3"/>
      <c r="D5212" s="3"/>
    </row>
    <row r="5213" spans="1:4" x14ac:dyDescent="0.25">
      <c r="A5213" s="2"/>
      <c r="B5213" s="3"/>
      <c r="C5213" s="3"/>
      <c r="D5213" s="3"/>
    </row>
    <row r="5214" spans="1:4" x14ac:dyDescent="0.25">
      <c r="A5214" s="2"/>
      <c r="B5214" s="3"/>
      <c r="C5214" s="3"/>
      <c r="D5214" s="3"/>
    </row>
    <row r="5215" spans="1:4" x14ac:dyDescent="0.25">
      <c r="A5215" s="2"/>
      <c r="B5215" s="3"/>
      <c r="C5215" s="3"/>
      <c r="D5215" s="3"/>
    </row>
    <row r="5216" spans="1:4" x14ac:dyDescent="0.25">
      <c r="A5216" s="2"/>
      <c r="B5216" s="3"/>
      <c r="C5216" s="3"/>
      <c r="D5216" s="3"/>
    </row>
    <row r="5217" spans="1:4" x14ac:dyDescent="0.25">
      <c r="A5217" s="2"/>
      <c r="B5217" s="3"/>
      <c r="C5217" s="3"/>
      <c r="D5217" s="3"/>
    </row>
    <row r="5218" spans="1:4" x14ac:dyDescent="0.25">
      <c r="A5218" s="2"/>
      <c r="B5218" s="3"/>
      <c r="C5218" s="3"/>
      <c r="D5218" s="3"/>
    </row>
    <row r="5219" spans="1:4" x14ac:dyDescent="0.25">
      <c r="A5219" s="2"/>
      <c r="B5219" s="3"/>
      <c r="C5219" s="3"/>
      <c r="D5219" s="3"/>
    </row>
    <row r="5220" spans="1:4" x14ac:dyDescent="0.25">
      <c r="A5220" s="2"/>
      <c r="B5220" s="3"/>
      <c r="C5220" s="3"/>
      <c r="D5220" s="3"/>
    </row>
    <row r="5221" spans="1:4" x14ac:dyDescent="0.25">
      <c r="A5221" s="2"/>
      <c r="B5221" s="3"/>
      <c r="C5221" s="3"/>
      <c r="D5221" s="3"/>
    </row>
    <row r="5222" spans="1:4" x14ac:dyDescent="0.25">
      <c r="A5222" s="2"/>
      <c r="B5222" s="3"/>
      <c r="C5222" s="3"/>
      <c r="D5222" s="3"/>
    </row>
    <row r="5223" spans="1:4" x14ac:dyDescent="0.25">
      <c r="A5223" s="2"/>
      <c r="B5223" s="3"/>
      <c r="C5223" s="3"/>
      <c r="D5223" s="3"/>
    </row>
    <row r="5224" spans="1:4" x14ac:dyDescent="0.25">
      <c r="A5224" s="2"/>
      <c r="B5224" s="3"/>
      <c r="C5224" s="3"/>
      <c r="D5224" s="3"/>
    </row>
    <row r="5225" spans="1:4" x14ac:dyDescent="0.25">
      <c r="A5225" s="2"/>
      <c r="B5225" s="3"/>
      <c r="C5225" s="3"/>
      <c r="D5225" s="3"/>
    </row>
    <row r="5226" spans="1:4" x14ac:dyDescent="0.25">
      <c r="A5226" s="2"/>
      <c r="B5226" s="3"/>
      <c r="C5226" s="3"/>
      <c r="D5226" s="3"/>
    </row>
    <row r="5227" spans="1:4" x14ac:dyDescent="0.25">
      <c r="A5227" s="2"/>
      <c r="B5227" s="3"/>
      <c r="C5227" s="3"/>
      <c r="D5227" s="3"/>
    </row>
    <row r="5228" spans="1:4" x14ac:dyDescent="0.25">
      <c r="A5228" s="2"/>
      <c r="B5228" s="3"/>
      <c r="C5228" s="3"/>
      <c r="D5228" s="3"/>
    </row>
    <row r="5229" spans="1:4" x14ac:dyDescent="0.25">
      <c r="A5229" s="2"/>
      <c r="B5229" s="3"/>
      <c r="C5229" s="3"/>
      <c r="D5229" s="3"/>
    </row>
    <row r="5230" spans="1:4" x14ac:dyDescent="0.25">
      <c r="A5230" s="2"/>
      <c r="B5230" s="3"/>
      <c r="C5230" s="3"/>
      <c r="D5230" s="3"/>
    </row>
    <row r="5231" spans="1:4" x14ac:dyDescent="0.25">
      <c r="A5231" s="2"/>
      <c r="B5231" s="3"/>
      <c r="C5231" s="3"/>
      <c r="D5231" s="3"/>
    </row>
    <row r="5232" spans="1:4" x14ac:dyDescent="0.25">
      <c r="A5232" s="2"/>
      <c r="B5232" s="3"/>
      <c r="C5232" s="3"/>
      <c r="D5232" s="3"/>
    </row>
    <row r="5233" spans="1:4" x14ac:dyDescent="0.25">
      <c r="A5233" s="2"/>
      <c r="B5233" s="3"/>
      <c r="C5233" s="3"/>
      <c r="D5233" s="3"/>
    </row>
    <row r="5234" spans="1:4" x14ac:dyDescent="0.25">
      <c r="A5234" s="2"/>
      <c r="B5234" s="3"/>
      <c r="C5234" s="3"/>
      <c r="D5234" s="3"/>
    </row>
    <row r="5235" spans="1:4" x14ac:dyDescent="0.25">
      <c r="A5235" s="2"/>
      <c r="B5235" s="3"/>
      <c r="C5235" s="3"/>
      <c r="D5235" s="3"/>
    </row>
    <row r="5236" spans="1:4" x14ac:dyDescent="0.25">
      <c r="A5236" s="2"/>
      <c r="B5236" s="3"/>
      <c r="C5236" s="3"/>
      <c r="D5236" s="3"/>
    </row>
    <row r="5237" spans="1:4" x14ac:dyDescent="0.25">
      <c r="A5237" s="2"/>
      <c r="B5237" s="3"/>
      <c r="C5237" s="3"/>
      <c r="D5237" s="3"/>
    </row>
    <row r="5238" spans="1:4" x14ac:dyDescent="0.25">
      <c r="A5238" s="2"/>
      <c r="B5238" s="3"/>
      <c r="C5238" s="3"/>
      <c r="D5238" s="3"/>
    </row>
    <row r="5239" spans="1:4" x14ac:dyDescent="0.25">
      <c r="A5239" s="2"/>
      <c r="B5239" s="3"/>
      <c r="C5239" s="3"/>
      <c r="D5239" s="3"/>
    </row>
    <row r="5240" spans="1:4" x14ac:dyDescent="0.25">
      <c r="A5240" s="2"/>
      <c r="B5240" s="3"/>
      <c r="C5240" s="3"/>
      <c r="D5240" s="3"/>
    </row>
    <row r="5241" spans="1:4" x14ac:dyDescent="0.25">
      <c r="A5241" s="2"/>
      <c r="B5241" s="3"/>
      <c r="C5241" s="3"/>
      <c r="D5241" s="3"/>
    </row>
    <row r="5242" spans="1:4" x14ac:dyDescent="0.25">
      <c r="A5242" s="2"/>
      <c r="B5242" s="3"/>
      <c r="C5242" s="3"/>
      <c r="D5242" s="3"/>
    </row>
    <row r="5243" spans="1:4" x14ac:dyDescent="0.25">
      <c r="A5243" s="2"/>
      <c r="B5243" s="3"/>
      <c r="C5243" s="3"/>
      <c r="D5243" s="3"/>
    </row>
    <row r="5244" spans="1:4" x14ac:dyDescent="0.25">
      <c r="A5244" s="2"/>
      <c r="B5244" s="3"/>
      <c r="C5244" s="3"/>
      <c r="D5244" s="3"/>
    </row>
    <row r="5245" spans="1:4" x14ac:dyDescent="0.25">
      <c r="A5245" s="2"/>
      <c r="B5245" s="3"/>
      <c r="C5245" s="3"/>
      <c r="D5245" s="3"/>
    </row>
    <row r="5246" spans="1:4" x14ac:dyDescent="0.25">
      <c r="A5246" s="2"/>
      <c r="B5246" s="3"/>
      <c r="C5246" s="3"/>
      <c r="D5246" s="3"/>
    </row>
    <row r="5247" spans="1:4" x14ac:dyDescent="0.25">
      <c r="A5247" s="2"/>
      <c r="B5247" s="3"/>
      <c r="C5247" s="3"/>
      <c r="D5247" s="3"/>
    </row>
    <row r="5248" spans="1:4" x14ac:dyDescent="0.25">
      <c r="A5248" s="2"/>
      <c r="B5248" s="3"/>
      <c r="C5248" s="3"/>
      <c r="D5248" s="3"/>
    </row>
    <row r="5249" spans="1:4" x14ac:dyDescent="0.25">
      <c r="A5249" s="2"/>
      <c r="B5249" s="3"/>
      <c r="C5249" s="3"/>
      <c r="D5249" s="3"/>
    </row>
    <row r="5250" spans="1:4" x14ac:dyDescent="0.25">
      <c r="A5250" s="2"/>
      <c r="B5250" s="3"/>
      <c r="C5250" s="3"/>
      <c r="D5250" s="3"/>
    </row>
    <row r="5251" spans="1:4" x14ac:dyDescent="0.25">
      <c r="A5251" s="2"/>
      <c r="B5251" s="3"/>
      <c r="C5251" s="3"/>
      <c r="D5251" s="3"/>
    </row>
    <row r="5252" spans="1:4" x14ac:dyDescent="0.25">
      <c r="A5252" s="2"/>
      <c r="B5252" s="3"/>
      <c r="C5252" s="3"/>
      <c r="D5252" s="3"/>
    </row>
    <row r="5253" spans="1:4" x14ac:dyDescent="0.25">
      <c r="A5253" s="2"/>
      <c r="B5253" s="3"/>
      <c r="C5253" s="3"/>
      <c r="D5253" s="3"/>
    </row>
    <row r="5254" spans="1:4" x14ac:dyDescent="0.25">
      <c r="A5254" s="2"/>
      <c r="B5254" s="3"/>
      <c r="C5254" s="3"/>
      <c r="D5254" s="3"/>
    </row>
    <row r="5255" spans="1:4" x14ac:dyDescent="0.25">
      <c r="A5255" s="2"/>
      <c r="B5255" s="3"/>
      <c r="C5255" s="3"/>
      <c r="D5255" s="3"/>
    </row>
    <row r="5256" spans="1:4" x14ac:dyDescent="0.25">
      <c r="A5256" s="2"/>
      <c r="B5256" s="3"/>
      <c r="C5256" s="3"/>
      <c r="D5256" s="3"/>
    </row>
    <row r="5257" spans="1:4" x14ac:dyDescent="0.25">
      <c r="A5257" s="2"/>
      <c r="B5257" s="3"/>
      <c r="C5257" s="3"/>
      <c r="D5257" s="3"/>
    </row>
    <row r="5258" spans="1:4" x14ac:dyDescent="0.25">
      <c r="A5258" s="2"/>
      <c r="B5258" s="3"/>
      <c r="C5258" s="3"/>
      <c r="D5258" s="3"/>
    </row>
    <row r="5259" spans="1:4" x14ac:dyDescent="0.25">
      <c r="A5259" s="2"/>
      <c r="B5259" s="3"/>
      <c r="C5259" s="3"/>
      <c r="D5259" s="3"/>
    </row>
    <row r="5260" spans="1:4" x14ac:dyDescent="0.25">
      <c r="A5260" s="2"/>
      <c r="B5260" s="3"/>
      <c r="C5260" s="3"/>
      <c r="D5260" s="3"/>
    </row>
    <row r="5261" spans="1:4" x14ac:dyDescent="0.25">
      <c r="A5261" s="2"/>
      <c r="B5261" s="3"/>
      <c r="C5261" s="3"/>
      <c r="D5261" s="3"/>
    </row>
    <row r="5262" spans="1:4" x14ac:dyDescent="0.25">
      <c r="A5262" s="2"/>
      <c r="B5262" s="3"/>
      <c r="C5262" s="3"/>
      <c r="D5262" s="3"/>
    </row>
    <row r="5263" spans="1:4" x14ac:dyDescent="0.25">
      <c r="A5263" s="2"/>
      <c r="B5263" s="3"/>
      <c r="C5263" s="3"/>
      <c r="D5263" s="3"/>
    </row>
    <row r="5264" spans="1:4" x14ac:dyDescent="0.25">
      <c r="A5264" s="2"/>
      <c r="B5264" s="3"/>
      <c r="C5264" s="3"/>
      <c r="D5264" s="3"/>
    </row>
    <row r="5265" spans="1:4" x14ac:dyDescent="0.25">
      <c r="A5265" s="2"/>
      <c r="B5265" s="3"/>
      <c r="C5265" s="3"/>
      <c r="D5265" s="3"/>
    </row>
    <row r="5266" spans="1:4" x14ac:dyDescent="0.25">
      <c r="A5266" s="2"/>
      <c r="B5266" s="3"/>
      <c r="C5266" s="3"/>
      <c r="D5266" s="3"/>
    </row>
    <row r="5267" spans="1:4" x14ac:dyDescent="0.25">
      <c r="A5267" s="2"/>
      <c r="B5267" s="3"/>
      <c r="C5267" s="3"/>
      <c r="D5267" s="3"/>
    </row>
    <row r="5268" spans="1:4" x14ac:dyDescent="0.25">
      <c r="A5268" s="2"/>
      <c r="B5268" s="3"/>
      <c r="C5268" s="3"/>
      <c r="D5268" s="3"/>
    </row>
    <row r="5269" spans="1:4" x14ac:dyDescent="0.25">
      <c r="A5269" s="2"/>
      <c r="B5269" s="3"/>
      <c r="C5269" s="3"/>
      <c r="D5269" s="3"/>
    </row>
    <row r="5270" spans="1:4" x14ac:dyDescent="0.25">
      <c r="A5270" s="2"/>
      <c r="B5270" s="3"/>
      <c r="C5270" s="3"/>
      <c r="D5270" s="3"/>
    </row>
    <row r="5271" spans="1:4" x14ac:dyDescent="0.25">
      <c r="A5271" s="2"/>
      <c r="B5271" s="3"/>
      <c r="C5271" s="3"/>
      <c r="D5271" s="3"/>
    </row>
    <row r="5272" spans="1:4" x14ac:dyDescent="0.25">
      <c r="A5272" s="2"/>
      <c r="B5272" s="3"/>
      <c r="C5272" s="3"/>
      <c r="D5272" s="3"/>
    </row>
    <row r="5273" spans="1:4" x14ac:dyDescent="0.25">
      <c r="A5273" s="2"/>
      <c r="B5273" s="3"/>
      <c r="C5273" s="3"/>
      <c r="D5273" s="3"/>
    </row>
    <row r="5274" spans="1:4" x14ac:dyDescent="0.25">
      <c r="A5274" s="2"/>
      <c r="B5274" s="3"/>
      <c r="C5274" s="3"/>
      <c r="D5274" s="3"/>
    </row>
    <row r="5275" spans="1:4" x14ac:dyDescent="0.25">
      <c r="A5275" s="2"/>
      <c r="B5275" s="3"/>
      <c r="C5275" s="3"/>
      <c r="D5275" s="3"/>
    </row>
    <row r="5276" spans="1:4" x14ac:dyDescent="0.25">
      <c r="A5276" s="2"/>
      <c r="B5276" s="3"/>
      <c r="C5276" s="3"/>
      <c r="D5276" s="3"/>
    </row>
    <row r="5277" spans="1:4" x14ac:dyDescent="0.25">
      <c r="A5277" s="2"/>
      <c r="B5277" s="3"/>
      <c r="C5277" s="3"/>
      <c r="D5277" s="3"/>
    </row>
    <row r="5278" spans="1:4" x14ac:dyDescent="0.25">
      <c r="A5278" s="2"/>
      <c r="B5278" s="3"/>
      <c r="C5278" s="3"/>
      <c r="D5278" s="3"/>
    </row>
    <row r="5279" spans="1:4" x14ac:dyDescent="0.25">
      <c r="A5279" s="2"/>
      <c r="B5279" s="3"/>
      <c r="C5279" s="3"/>
      <c r="D5279" s="3"/>
    </row>
    <row r="5280" spans="1:4" x14ac:dyDescent="0.25">
      <c r="A5280" s="2"/>
      <c r="B5280" s="3"/>
      <c r="C5280" s="3"/>
      <c r="D5280" s="3"/>
    </row>
    <row r="5281" spans="1:4" x14ac:dyDescent="0.25">
      <c r="A5281" s="2"/>
      <c r="B5281" s="3"/>
      <c r="C5281" s="3"/>
      <c r="D5281" s="3"/>
    </row>
    <row r="5282" spans="1:4" x14ac:dyDescent="0.25">
      <c r="A5282" s="2"/>
      <c r="B5282" s="3"/>
      <c r="C5282" s="3"/>
      <c r="D5282" s="3"/>
    </row>
    <row r="5283" spans="1:4" x14ac:dyDescent="0.25">
      <c r="A5283" s="2"/>
      <c r="B5283" s="3"/>
      <c r="C5283" s="3"/>
      <c r="D5283" s="3"/>
    </row>
    <row r="5284" spans="1:4" x14ac:dyDescent="0.25">
      <c r="A5284" s="2"/>
      <c r="B5284" s="3"/>
      <c r="C5284" s="3"/>
      <c r="D5284" s="3"/>
    </row>
    <row r="5285" spans="1:4" x14ac:dyDescent="0.25">
      <c r="A5285" s="2"/>
      <c r="B5285" s="3"/>
      <c r="C5285" s="3"/>
      <c r="D5285" s="3"/>
    </row>
    <row r="5286" spans="1:4" x14ac:dyDescent="0.25">
      <c r="A5286" s="2"/>
      <c r="B5286" s="3"/>
      <c r="C5286" s="3"/>
      <c r="D5286" s="3"/>
    </row>
    <row r="5287" spans="1:4" x14ac:dyDescent="0.25">
      <c r="A5287" s="2"/>
      <c r="B5287" s="3"/>
      <c r="C5287" s="3"/>
      <c r="D5287" s="3"/>
    </row>
    <row r="5288" spans="1:4" x14ac:dyDescent="0.25">
      <c r="A5288" s="2"/>
      <c r="B5288" s="3"/>
      <c r="C5288" s="3"/>
      <c r="D5288" s="3"/>
    </row>
    <row r="5289" spans="1:4" x14ac:dyDescent="0.25">
      <c r="A5289" s="2"/>
      <c r="B5289" s="3"/>
      <c r="C5289" s="3"/>
      <c r="D5289" s="3"/>
    </row>
    <row r="5290" spans="1:4" x14ac:dyDescent="0.25">
      <c r="A5290" s="2"/>
      <c r="B5290" s="3"/>
      <c r="C5290" s="3"/>
      <c r="D5290" s="3"/>
    </row>
    <row r="5291" spans="1:4" x14ac:dyDescent="0.25">
      <c r="A5291" s="2"/>
      <c r="B5291" s="3"/>
      <c r="C5291" s="3"/>
      <c r="D5291" s="3"/>
    </row>
    <row r="5292" spans="1:4" x14ac:dyDescent="0.25">
      <c r="A5292" s="2"/>
      <c r="B5292" s="3"/>
      <c r="C5292" s="3"/>
      <c r="D5292" s="3"/>
    </row>
    <row r="5293" spans="1:4" x14ac:dyDescent="0.25">
      <c r="A5293" s="2"/>
      <c r="B5293" s="3"/>
      <c r="C5293" s="3"/>
      <c r="D5293" s="3"/>
    </row>
    <row r="5294" spans="1:4" x14ac:dyDescent="0.25">
      <c r="A5294" s="2"/>
      <c r="B5294" s="3"/>
      <c r="C5294" s="3"/>
      <c r="D5294" s="3"/>
    </row>
    <row r="5295" spans="1:4" x14ac:dyDescent="0.25">
      <c r="A5295" s="2"/>
      <c r="B5295" s="3"/>
      <c r="C5295" s="3"/>
      <c r="D5295" s="3"/>
    </row>
    <row r="5296" spans="1:4" x14ac:dyDescent="0.25">
      <c r="A5296" s="2"/>
      <c r="B5296" s="3"/>
      <c r="C5296" s="3"/>
      <c r="D5296" s="3"/>
    </row>
    <row r="5297" spans="1:4" x14ac:dyDescent="0.25">
      <c r="A5297" s="2"/>
      <c r="B5297" s="3"/>
      <c r="C5297" s="3"/>
      <c r="D5297" s="3"/>
    </row>
    <row r="5298" spans="1:4" x14ac:dyDescent="0.25">
      <c r="A5298" s="2"/>
      <c r="B5298" s="3"/>
      <c r="C5298" s="3"/>
      <c r="D5298" s="3"/>
    </row>
    <row r="5299" spans="1:4" x14ac:dyDescent="0.25">
      <c r="A5299" s="2"/>
      <c r="B5299" s="3"/>
      <c r="C5299" s="3"/>
      <c r="D5299" s="3"/>
    </row>
    <row r="5300" spans="1:4" x14ac:dyDescent="0.25">
      <c r="A5300" s="2"/>
      <c r="B5300" s="3"/>
      <c r="C5300" s="3"/>
      <c r="D5300" s="3"/>
    </row>
    <row r="5301" spans="1:4" x14ac:dyDescent="0.25">
      <c r="A5301" s="2"/>
      <c r="B5301" s="3"/>
      <c r="C5301" s="3"/>
      <c r="D5301" s="3"/>
    </row>
    <row r="5302" spans="1:4" x14ac:dyDescent="0.25">
      <c r="A5302" s="2"/>
      <c r="B5302" s="3"/>
      <c r="C5302" s="3"/>
      <c r="D5302" s="3"/>
    </row>
    <row r="5303" spans="1:4" x14ac:dyDescent="0.25">
      <c r="A5303" s="2"/>
      <c r="B5303" s="3"/>
      <c r="C5303" s="3"/>
      <c r="D5303" s="3"/>
    </row>
    <row r="5304" spans="1:4" x14ac:dyDescent="0.25">
      <c r="A5304" s="2"/>
      <c r="B5304" s="3"/>
      <c r="C5304" s="3"/>
      <c r="D5304" s="3"/>
    </row>
    <row r="5305" spans="1:4" x14ac:dyDescent="0.25">
      <c r="A5305" s="2"/>
      <c r="B5305" s="3"/>
      <c r="C5305" s="3"/>
      <c r="D5305" s="3"/>
    </row>
    <row r="5306" spans="1:4" x14ac:dyDescent="0.25">
      <c r="A5306" s="2"/>
      <c r="B5306" s="3"/>
      <c r="C5306" s="3"/>
      <c r="D5306" s="3"/>
    </row>
    <row r="5307" spans="1:4" x14ac:dyDescent="0.25">
      <c r="A5307" s="2"/>
      <c r="B5307" s="3"/>
      <c r="C5307" s="3"/>
      <c r="D5307" s="3"/>
    </row>
    <row r="5308" spans="1:4" x14ac:dyDescent="0.25">
      <c r="A5308" s="2"/>
      <c r="B5308" s="3"/>
      <c r="C5308" s="3"/>
      <c r="D5308" s="3"/>
    </row>
    <row r="5309" spans="1:4" x14ac:dyDescent="0.25">
      <c r="A5309" s="2"/>
      <c r="B5309" s="3"/>
      <c r="C5309" s="3"/>
      <c r="D5309" s="3"/>
    </row>
    <row r="5310" spans="1:4" x14ac:dyDescent="0.25">
      <c r="A5310" s="2"/>
      <c r="B5310" s="3"/>
      <c r="C5310" s="3"/>
      <c r="D5310" s="3"/>
    </row>
    <row r="5311" spans="1:4" x14ac:dyDescent="0.25">
      <c r="A5311" s="2"/>
      <c r="B5311" s="3"/>
      <c r="C5311" s="3"/>
      <c r="D5311" s="3"/>
    </row>
    <row r="5312" spans="1:4" x14ac:dyDescent="0.25">
      <c r="A5312" s="2"/>
      <c r="B5312" s="3"/>
      <c r="C5312" s="3"/>
      <c r="D5312" s="3"/>
    </row>
    <row r="5313" spans="1:4" x14ac:dyDescent="0.25">
      <c r="A5313" s="2"/>
      <c r="B5313" s="3"/>
      <c r="C5313" s="3"/>
      <c r="D5313" s="3"/>
    </row>
    <row r="5314" spans="1:4" x14ac:dyDescent="0.25">
      <c r="A5314" s="2"/>
      <c r="B5314" s="3"/>
      <c r="C5314" s="3"/>
      <c r="D5314" s="3"/>
    </row>
    <row r="5315" spans="1:4" x14ac:dyDescent="0.25">
      <c r="A5315" s="2"/>
      <c r="B5315" s="3"/>
      <c r="C5315" s="3"/>
      <c r="D5315" s="3"/>
    </row>
    <row r="5316" spans="1:4" x14ac:dyDescent="0.25">
      <c r="A5316" s="2"/>
      <c r="B5316" s="3"/>
      <c r="C5316" s="3"/>
      <c r="D5316" s="3"/>
    </row>
    <row r="5317" spans="1:4" x14ac:dyDescent="0.25">
      <c r="A5317" s="2"/>
      <c r="B5317" s="3"/>
      <c r="C5317" s="3"/>
      <c r="D5317" s="3"/>
    </row>
    <row r="5318" spans="1:4" x14ac:dyDescent="0.25">
      <c r="A5318" s="2"/>
      <c r="B5318" s="3"/>
      <c r="C5318" s="3"/>
      <c r="D5318" s="3"/>
    </row>
    <row r="5319" spans="1:4" x14ac:dyDescent="0.25">
      <c r="A5319" s="2"/>
      <c r="B5319" s="3"/>
      <c r="C5319" s="3"/>
      <c r="D5319" s="3"/>
    </row>
    <row r="5320" spans="1:4" x14ac:dyDescent="0.25">
      <c r="A5320" s="2"/>
      <c r="B5320" s="3"/>
      <c r="C5320" s="3"/>
      <c r="D5320" s="3"/>
    </row>
    <row r="5321" spans="1:4" x14ac:dyDescent="0.25">
      <c r="A5321" s="2"/>
      <c r="B5321" s="3"/>
      <c r="C5321" s="3"/>
      <c r="D5321" s="3"/>
    </row>
    <row r="5322" spans="1:4" x14ac:dyDescent="0.25">
      <c r="A5322" s="2"/>
      <c r="B5322" s="3"/>
      <c r="C5322" s="3"/>
      <c r="D5322" s="3"/>
    </row>
    <row r="5323" spans="1:4" x14ac:dyDescent="0.25">
      <c r="A5323" s="2"/>
      <c r="B5323" s="3"/>
      <c r="C5323" s="3"/>
      <c r="D5323" s="3"/>
    </row>
    <row r="5324" spans="1:4" x14ac:dyDescent="0.25">
      <c r="A5324" s="2"/>
      <c r="B5324" s="3"/>
      <c r="C5324" s="3"/>
      <c r="D5324" s="3"/>
    </row>
    <row r="5325" spans="1:4" x14ac:dyDescent="0.25">
      <c r="A5325" s="2"/>
      <c r="B5325" s="3"/>
      <c r="C5325" s="3"/>
      <c r="D5325" s="3"/>
    </row>
    <row r="5326" spans="1:4" x14ac:dyDescent="0.25">
      <c r="A5326" s="2"/>
      <c r="B5326" s="3"/>
      <c r="C5326" s="3"/>
      <c r="D5326" s="3"/>
    </row>
    <row r="5327" spans="1:4" x14ac:dyDescent="0.25">
      <c r="A5327" s="2"/>
      <c r="B5327" s="3"/>
      <c r="C5327" s="3"/>
      <c r="D5327" s="3"/>
    </row>
    <row r="5328" spans="1:4" x14ac:dyDescent="0.25">
      <c r="A5328" s="2"/>
      <c r="B5328" s="3"/>
      <c r="C5328" s="3"/>
      <c r="D5328" s="3"/>
    </row>
    <row r="5329" spans="1:4" x14ac:dyDescent="0.25">
      <c r="A5329" s="2"/>
      <c r="B5329" s="3"/>
      <c r="C5329" s="3"/>
      <c r="D5329" s="3"/>
    </row>
    <row r="5330" spans="1:4" x14ac:dyDescent="0.25">
      <c r="A5330" s="2"/>
      <c r="B5330" s="3"/>
      <c r="C5330" s="3"/>
      <c r="D5330" s="3"/>
    </row>
    <row r="5331" spans="1:4" x14ac:dyDescent="0.25">
      <c r="A5331" s="2"/>
      <c r="B5331" s="3"/>
      <c r="C5331" s="3"/>
      <c r="D5331" s="3"/>
    </row>
    <row r="5332" spans="1:4" x14ac:dyDescent="0.25">
      <c r="A5332" s="2"/>
      <c r="B5332" s="3"/>
      <c r="C5332" s="3"/>
      <c r="D5332" s="3"/>
    </row>
    <row r="5333" spans="1:4" x14ac:dyDescent="0.25">
      <c r="A5333" s="2"/>
      <c r="B5333" s="3"/>
      <c r="C5333" s="3"/>
      <c r="D5333" s="3"/>
    </row>
    <row r="5334" spans="1:4" x14ac:dyDescent="0.25">
      <c r="A5334" s="2"/>
      <c r="B5334" s="3"/>
      <c r="C5334" s="3"/>
      <c r="D5334" s="3"/>
    </row>
    <row r="5335" spans="1:4" x14ac:dyDescent="0.25">
      <c r="A5335" s="2"/>
      <c r="B5335" s="3"/>
      <c r="C5335" s="3"/>
      <c r="D5335" s="3"/>
    </row>
    <row r="5336" spans="1:4" x14ac:dyDescent="0.25">
      <c r="A5336" s="2"/>
      <c r="B5336" s="3"/>
      <c r="C5336" s="3"/>
      <c r="D5336" s="3"/>
    </row>
    <row r="5337" spans="1:4" x14ac:dyDescent="0.25">
      <c r="A5337" s="2"/>
      <c r="B5337" s="3"/>
      <c r="C5337" s="3"/>
      <c r="D5337" s="3"/>
    </row>
    <row r="5338" spans="1:4" x14ac:dyDescent="0.25">
      <c r="A5338" s="2"/>
      <c r="B5338" s="3"/>
      <c r="C5338" s="3"/>
      <c r="D5338" s="3"/>
    </row>
    <row r="5339" spans="1:4" x14ac:dyDescent="0.25">
      <c r="A5339" s="2"/>
      <c r="B5339" s="3"/>
      <c r="C5339" s="3"/>
      <c r="D5339" s="3"/>
    </row>
    <row r="5340" spans="1:4" x14ac:dyDescent="0.25">
      <c r="A5340" s="2"/>
      <c r="B5340" s="3"/>
      <c r="C5340" s="3"/>
      <c r="D5340" s="3"/>
    </row>
    <row r="5341" spans="1:4" x14ac:dyDescent="0.25">
      <c r="A5341" s="2"/>
      <c r="B5341" s="3"/>
      <c r="C5341" s="3"/>
      <c r="D5341" s="3"/>
    </row>
    <row r="5342" spans="1:4" x14ac:dyDescent="0.25">
      <c r="A5342" s="2"/>
      <c r="B5342" s="3"/>
      <c r="C5342" s="3"/>
      <c r="D5342" s="3"/>
    </row>
    <row r="5343" spans="1:4" x14ac:dyDescent="0.25">
      <c r="A5343" s="2"/>
      <c r="B5343" s="3"/>
      <c r="C5343" s="3"/>
      <c r="D5343" s="3"/>
    </row>
    <row r="5344" spans="1:4" x14ac:dyDescent="0.25">
      <c r="A5344" s="2"/>
      <c r="B5344" s="3"/>
      <c r="C5344" s="3"/>
      <c r="D5344" s="3"/>
    </row>
    <row r="5345" spans="1:4" x14ac:dyDescent="0.25">
      <c r="A5345" s="2"/>
      <c r="B5345" s="3"/>
      <c r="C5345" s="3"/>
      <c r="D5345" s="3"/>
    </row>
    <row r="5346" spans="1:4" x14ac:dyDescent="0.25">
      <c r="A5346" s="2"/>
      <c r="B5346" s="3"/>
      <c r="C5346" s="3"/>
      <c r="D5346" s="3"/>
    </row>
    <row r="5347" spans="1:4" x14ac:dyDescent="0.25">
      <c r="A5347" s="2"/>
      <c r="B5347" s="3"/>
      <c r="C5347" s="3"/>
      <c r="D5347" s="3"/>
    </row>
    <row r="5348" spans="1:4" x14ac:dyDescent="0.25">
      <c r="A5348" s="2"/>
      <c r="B5348" s="3"/>
      <c r="C5348" s="3"/>
      <c r="D5348" s="3"/>
    </row>
    <row r="5349" spans="1:4" x14ac:dyDescent="0.25">
      <c r="A5349" s="2"/>
      <c r="B5349" s="3"/>
      <c r="C5349" s="3"/>
      <c r="D5349" s="3"/>
    </row>
    <row r="5350" spans="1:4" x14ac:dyDescent="0.25">
      <c r="A5350" s="2"/>
      <c r="B5350" s="3"/>
      <c r="C5350" s="3"/>
      <c r="D5350" s="3"/>
    </row>
    <row r="5351" spans="1:4" x14ac:dyDescent="0.25">
      <c r="A5351" s="2"/>
      <c r="B5351" s="3"/>
      <c r="C5351" s="3"/>
      <c r="D5351" s="3"/>
    </row>
    <row r="5352" spans="1:4" x14ac:dyDescent="0.25">
      <c r="A5352" s="2"/>
      <c r="B5352" s="3"/>
      <c r="C5352" s="3"/>
      <c r="D5352" s="3"/>
    </row>
    <row r="5353" spans="1:4" x14ac:dyDescent="0.25">
      <c r="A5353" s="2"/>
      <c r="B5353" s="3"/>
      <c r="C5353" s="3"/>
      <c r="D5353" s="3"/>
    </row>
    <row r="5354" spans="1:4" x14ac:dyDescent="0.25">
      <c r="A5354" s="2"/>
      <c r="B5354" s="3"/>
      <c r="C5354" s="3"/>
      <c r="D5354" s="3"/>
    </row>
    <row r="5355" spans="1:4" x14ac:dyDescent="0.25">
      <c r="A5355" s="2"/>
      <c r="B5355" s="3"/>
      <c r="C5355" s="3"/>
      <c r="D5355" s="3"/>
    </row>
    <row r="5356" spans="1:4" x14ac:dyDescent="0.25">
      <c r="A5356" s="2"/>
      <c r="B5356" s="3"/>
      <c r="C5356" s="3"/>
      <c r="D5356" s="3"/>
    </row>
    <row r="5357" spans="1:4" x14ac:dyDescent="0.25">
      <c r="A5357" s="2"/>
      <c r="B5357" s="3"/>
      <c r="C5357" s="3"/>
      <c r="D5357" s="3"/>
    </row>
    <row r="5358" spans="1:4" x14ac:dyDescent="0.25">
      <c r="A5358" s="2"/>
      <c r="B5358" s="3"/>
      <c r="C5358" s="3"/>
      <c r="D5358" s="3"/>
    </row>
    <row r="5359" spans="1:4" x14ac:dyDescent="0.25">
      <c r="A5359" s="2"/>
      <c r="B5359" s="3"/>
      <c r="C5359" s="3"/>
      <c r="D5359" s="3"/>
    </row>
    <row r="5360" spans="1:4" x14ac:dyDescent="0.25">
      <c r="A5360" s="2"/>
      <c r="B5360" s="3"/>
      <c r="C5360" s="3"/>
      <c r="D5360" s="3"/>
    </row>
    <row r="5361" spans="1:4" x14ac:dyDescent="0.25">
      <c r="A5361" s="2"/>
      <c r="B5361" s="3"/>
      <c r="C5361" s="3"/>
      <c r="D5361" s="3"/>
    </row>
    <row r="5362" spans="1:4" x14ac:dyDescent="0.25">
      <c r="A5362" s="2"/>
      <c r="B5362" s="3"/>
      <c r="C5362" s="3"/>
      <c r="D5362" s="3"/>
    </row>
    <row r="5363" spans="1:4" x14ac:dyDescent="0.25">
      <c r="A5363" s="2"/>
      <c r="B5363" s="3"/>
      <c r="C5363" s="3"/>
      <c r="D5363" s="3"/>
    </row>
    <row r="5364" spans="1:4" x14ac:dyDescent="0.25">
      <c r="A5364" s="2"/>
      <c r="B5364" s="3"/>
      <c r="C5364" s="3"/>
      <c r="D5364" s="3"/>
    </row>
    <row r="5365" spans="1:4" x14ac:dyDescent="0.25">
      <c r="A5365" s="2"/>
      <c r="B5365" s="3"/>
      <c r="C5365" s="3"/>
      <c r="D5365" s="3"/>
    </row>
    <row r="5366" spans="1:4" x14ac:dyDescent="0.25">
      <c r="A5366" s="2"/>
      <c r="B5366" s="3"/>
      <c r="C5366" s="3"/>
      <c r="D5366" s="3"/>
    </row>
    <row r="5367" spans="1:4" x14ac:dyDescent="0.25">
      <c r="A5367" s="2"/>
      <c r="B5367" s="3"/>
      <c r="C5367" s="3"/>
      <c r="D5367" s="3"/>
    </row>
    <row r="5368" spans="1:4" x14ac:dyDescent="0.25">
      <c r="A5368" s="2"/>
      <c r="B5368" s="3"/>
      <c r="C5368" s="3"/>
      <c r="D5368" s="3"/>
    </row>
    <row r="5369" spans="1:4" x14ac:dyDescent="0.25">
      <c r="A5369" s="2"/>
      <c r="B5369" s="3"/>
      <c r="C5369" s="3"/>
      <c r="D5369" s="3"/>
    </row>
    <row r="5370" spans="1:4" x14ac:dyDescent="0.25">
      <c r="A5370" s="2"/>
      <c r="B5370" s="3"/>
      <c r="C5370" s="3"/>
      <c r="D5370" s="3"/>
    </row>
    <row r="5371" spans="1:4" x14ac:dyDescent="0.25">
      <c r="A5371" s="2"/>
      <c r="B5371" s="3"/>
      <c r="C5371" s="3"/>
      <c r="D5371" s="3"/>
    </row>
    <row r="5372" spans="1:4" x14ac:dyDescent="0.25">
      <c r="A5372" s="2"/>
      <c r="B5372" s="3"/>
      <c r="C5372" s="3"/>
      <c r="D5372" s="3"/>
    </row>
    <row r="5373" spans="1:4" x14ac:dyDescent="0.25">
      <c r="A5373" s="2"/>
      <c r="B5373" s="3"/>
      <c r="C5373" s="3"/>
      <c r="D5373" s="3"/>
    </row>
    <row r="5374" spans="1:4" x14ac:dyDescent="0.25">
      <c r="A5374" s="2"/>
      <c r="B5374" s="3"/>
      <c r="C5374" s="3"/>
      <c r="D5374" s="3"/>
    </row>
    <row r="5375" spans="1:4" x14ac:dyDescent="0.25">
      <c r="A5375" s="2"/>
      <c r="B5375" s="3"/>
      <c r="C5375" s="3"/>
      <c r="D5375" s="3"/>
    </row>
    <row r="5376" spans="1:4" x14ac:dyDescent="0.25">
      <c r="A5376" s="2"/>
      <c r="B5376" s="3"/>
      <c r="C5376" s="3"/>
      <c r="D5376" s="3"/>
    </row>
    <row r="5377" spans="1:4" x14ac:dyDescent="0.25">
      <c r="A5377" s="2"/>
      <c r="B5377" s="3"/>
      <c r="C5377" s="3"/>
      <c r="D5377" s="3"/>
    </row>
    <row r="5378" spans="1:4" x14ac:dyDescent="0.25">
      <c r="A5378" s="2"/>
      <c r="B5378" s="3"/>
      <c r="C5378" s="3"/>
      <c r="D5378" s="3"/>
    </row>
    <row r="5379" spans="1:4" x14ac:dyDescent="0.25">
      <c r="A5379" s="2"/>
      <c r="B5379" s="3"/>
      <c r="C5379" s="3"/>
      <c r="D5379" s="3"/>
    </row>
    <row r="5380" spans="1:4" x14ac:dyDescent="0.25">
      <c r="A5380" s="2"/>
      <c r="B5380" s="3"/>
      <c r="C5380" s="3"/>
      <c r="D5380" s="3"/>
    </row>
    <row r="5381" spans="1:4" x14ac:dyDescent="0.25">
      <c r="A5381" s="2"/>
      <c r="B5381" s="3"/>
      <c r="C5381" s="3"/>
      <c r="D5381" s="3"/>
    </row>
    <row r="5382" spans="1:4" x14ac:dyDescent="0.25">
      <c r="A5382" s="2"/>
      <c r="B5382" s="3"/>
      <c r="C5382" s="3"/>
      <c r="D5382" s="3"/>
    </row>
    <row r="5383" spans="1:4" x14ac:dyDescent="0.25">
      <c r="A5383" s="2"/>
      <c r="B5383" s="3"/>
      <c r="C5383" s="3"/>
      <c r="D5383" s="3"/>
    </row>
    <row r="5384" spans="1:4" x14ac:dyDescent="0.25">
      <c r="A5384" s="2"/>
      <c r="B5384" s="3"/>
      <c r="C5384" s="3"/>
      <c r="D5384" s="3"/>
    </row>
    <row r="5385" spans="1:4" x14ac:dyDescent="0.25">
      <c r="A5385" s="2"/>
      <c r="B5385" s="3"/>
      <c r="C5385" s="3"/>
      <c r="D5385" s="3"/>
    </row>
    <row r="5386" spans="1:4" x14ac:dyDescent="0.25">
      <c r="A5386" s="2"/>
      <c r="B5386" s="3"/>
      <c r="C5386" s="3"/>
      <c r="D5386" s="3"/>
    </row>
    <row r="5387" spans="1:4" x14ac:dyDescent="0.25">
      <c r="A5387" s="2"/>
      <c r="B5387" s="3"/>
      <c r="C5387" s="3"/>
      <c r="D5387" s="3"/>
    </row>
    <row r="5388" spans="1:4" x14ac:dyDescent="0.25">
      <c r="A5388" s="2"/>
      <c r="B5388" s="3"/>
      <c r="C5388" s="3"/>
      <c r="D5388" s="3"/>
    </row>
    <row r="5389" spans="1:4" x14ac:dyDescent="0.25">
      <c r="A5389" s="2"/>
      <c r="B5389" s="3"/>
      <c r="C5389" s="3"/>
      <c r="D5389" s="3"/>
    </row>
    <row r="5390" spans="1:4" x14ac:dyDescent="0.25">
      <c r="A5390" s="2"/>
      <c r="B5390" s="3"/>
      <c r="C5390" s="3"/>
      <c r="D5390" s="3"/>
    </row>
    <row r="5391" spans="1:4" x14ac:dyDescent="0.25">
      <c r="A5391" s="2"/>
      <c r="B5391" s="3"/>
      <c r="C5391" s="3"/>
      <c r="D5391" s="3"/>
    </row>
    <row r="5392" spans="1:4" x14ac:dyDescent="0.25">
      <c r="A5392" s="2"/>
      <c r="B5392" s="3"/>
      <c r="C5392" s="3"/>
      <c r="D5392" s="3"/>
    </row>
    <row r="5393" spans="1:4" x14ac:dyDescent="0.25">
      <c r="A5393" s="2"/>
      <c r="B5393" s="3"/>
      <c r="C5393" s="3"/>
      <c r="D5393" s="3"/>
    </row>
    <row r="5394" spans="1:4" x14ac:dyDescent="0.25">
      <c r="A5394" s="2"/>
      <c r="B5394" s="3"/>
      <c r="C5394" s="3"/>
      <c r="D5394" s="3"/>
    </row>
    <row r="5395" spans="1:4" x14ac:dyDescent="0.25">
      <c r="A5395" s="2"/>
      <c r="B5395" s="3"/>
      <c r="C5395" s="3"/>
      <c r="D5395" s="3"/>
    </row>
    <row r="5396" spans="1:4" x14ac:dyDescent="0.25">
      <c r="A5396" s="2"/>
      <c r="B5396" s="3"/>
      <c r="C5396" s="3"/>
      <c r="D5396" s="3"/>
    </row>
    <row r="5397" spans="1:4" x14ac:dyDescent="0.25">
      <c r="A5397" s="2"/>
      <c r="B5397" s="3"/>
      <c r="C5397" s="3"/>
      <c r="D5397" s="3"/>
    </row>
    <row r="5398" spans="1:4" x14ac:dyDescent="0.25">
      <c r="A5398" s="2"/>
      <c r="B5398" s="3"/>
      <c r="C5398" s="3"/>
      <c r="D5398" s="3"/>
    </row>
    <row r="5399" spans="1:4" x14ac:dyDescent="0.25">
      <c r="A5399" s="2"/>
      <c r="B5399" s="3"/>
      <c r="C5399" s="3"/>
      <c r="D5399" s="3"/>
    </row>
    <row r="5400" spans="1:4" x14ac:dyDescent="0.25">
      <c r="A5400" s="2"/>
      <c r="B5400" s="3"/>
      <c r="C5400" s="3"/>
      <c r="D5400" s="3"/>
    </row>
    <row r="5401" spans="1:4" x14ac:dyDescent="0.25">
      <c r="A5401" s="2"/>
      <c r="B5401" s="3"/>
      <c r="C5401" s="3"/>
      <c r="D5401" s="3"/>
    </row>
    <row r="5402" spans="1:4" x14ac:dyDescent="0.25">
      <c r="A5402" s="2"/>
      <c r="B5402" s="3"/>
      <c r="C5402" s="3"/>
      <c r="D5402" s="3"/>
    </row>
    <row r="5403" spans="1:4" x14ac:dyDescent="0.25">
      <c r="A5403" s="2"/>
      <c r="B5403" s="3"/>
      <c r="C5403" s="3"/>
      <c r="D5403" s="3"/>
    </row>
    <row r="5404" spans="1:4" x14ac:dyDescent="0.25">
      <c r="A5404" s="2"/>
      <c r="B5404" s="3"/>
      <c r="C5404" s="3"/>
      <c r="D5404" s="3"/>
    </row>
    <row r="5405" spans="1:4" x14ac:dyDescent="0.25">
      <c r="A5405" s="2"/>
      <c r="B5405" s="3"/>
      <c r="C5405" s="3"/>
      <c r="D5405" s="3"/>
    </row>
    <row r="5406" spans="1:4" x14ac:dyDescent="0.25">
      <c r="A5406" s="2"/>
      <c r="B5406" s="3"/>
      <c r="C5406" s="3"/>
      <c r="D5406" s="3"/>
    </row>
    <row r="5407" spans="1:4" x14ac:dyDescent="0.25">
      <c r="A5407" s="2"/>
      <c r="B5407" s="3"/>
      <c r="C5407" s="3"/>
      <c r="D5407" s="3"/>
    </row>
    <row r="5408" spans="1:4" x14ac:dyDescent="0.25">
      <c r="A5408" s="2"/>
      <c r="B5408" s="3"/>
      <c r="C5408" s="3"/>
      <c r="D5408" s="3"/>
    </row>
    <row r="5409" spans="1:4" x14ac:dyDescent="0.25">
      <c r="A5409" s="2"/>
      <c r="B5409" s="3"/>
      <c r="C5409" s="3"/>
      <c r="D5409" s="3"/>
    </row>
    <row r="5410" spans="1:4" x14ac:dyDescent="0.25">
      <c r="A5410" s="2"/>
      <c r="B5410" s="3"/>
      <c r="C5410" s="3"/>
      <c r="D5410" s="3"/>
    </row>
    <row r="5411" spans="1:4" x14ac:dyDescent="0.25">
      <c r="A5411" s="2"/>
      <c r="B5411" s="3"/>
      <c r="C5411" s="3"/>
      <c r="D5411" s="3"/>
    </row>
    <row r="5412" spans="1:4" x14ac:dyDescent="0.25">
      <c r="A5412" s="2"/>
      <c r="B5412" s="3"/>
      <c r="C5412" s="3"/>
      <c r="D5412" s="3"/>
    </row>
    <row r="5413" spans="1:4" x14ac:dyDescent="0.25">
      <c r="A5413" s="2"/>
      <c r="B5413" s="3"/>
      <c r="C5413" s="3"/>
      <c r="D5413" s="3"/>
    </row>
    <row r="5414" spans="1:4" x14ac:dyDescent="0.25">
      <c r="A5414" s="2"/>
      <c r="B5414" s="3"/>
      <c r="C5414" s="3"/>
      <c r="D5414" s="3"/>
    </row>
    <row r="5415" spans="1:4" x14ac:dyDescent="0.25">
      <c r="A5415" s="2"/>
      <c r="B5415" s="3"/>
      <c r="C5415" s="3"/>
      <c r="D5415" s="3"/>
    </row>
    <row r="5416" spans="1:4" x14ac:dyDescent="0.25">
      <c r="A5416" s="2"/>
      <c r="B5416" s="3"/>
      <c r="C5416" s="3"/>
      <c r="D5416" s="3"/>
    </row>
    <row r="5417" spans="1:4" x14ac:dyDescent="0.25">
      <c r="A5417" s="2"/>
      <c r="B5417" s="3"/>
      <c r="C5417" s="3"/>
      <c r="D5417" s="3"/>
    </row>
    <row r="5418" spans="1:4" x14ac:dyDescent="0.25">
      <c r="A5418" s="2"/>
      <c r="B5418" s="3"/>
      <c r="C5418" s="3"/>
      <c r="D5418" s="3"/>
    </row>
    <row r="5419" spans="1:4" x14ac:dyDescent="0.25">
      <c r="A5419" s="2"/>
      <c r="B5419" s="3"/>
      <c r="C5419" s="3"/>
      <c r="D5419" s="3"/>
    </row>
    <row r="5420" spans="1:4" x14ac:dyDescent="0.25">
      <c r="A5420" s="2"/>
      <c r="B5420" s="3"/>
      <c r="C5420" s="3"/>
      <c r="D5420" s="3"/>
    </row>
    <row r="5421" spans="1:4" x14ac:dyDescent="0.25">
      <c r="A5421" s="2"/>
      <c r="B5421" s="3"/>
      <c r="C5421" s="3"/>
      <c r="D5421" s="3"/>
    </row>
    <row r="5422" spans="1:4" x14ac:dyDescent="0.25">
      <c r="A5422" s="2"/>
      <c r="B5422" s="3"/>
      <c r="C5422" s="3"/>
      <c r="D5422" s="3"/>
    </row>
    <row r="5423" spans="1:4" x14ac:dyDescent="0.25">
      <c r="A5423" s="2"/>
      <c r="B5423" s="3"/>
      <c r="C5423" s="3"/>
      <c r="D5423" s="3"/>
    </row>
    <row r="5424" spans="1:4" x14ac:dyDescent="0.25">
      <c r="A5424" s="2"/>
      <c r="B5424" s="3"/>
      <c r="C5424" s="3"/>
      <c r="D5424" s="3"/>
    </row>
    <row r="5425" spans="1:4" x14ac:dyDescent="0.25">
      <c r="A5425" s="2"/>
      <c r="B5425" s="3"/>
      <c r="C5425" s="3"/>
      <c r="D5425" s="3"/>
    </row>
    <row r="5426" spans="1:4" x14ac:dyDescent="0.25">
      <c r="A5426" s="2"/>
      <c r="B5426" s="3"/>
      <c r="C5426" s="3"/>
      <c r="D5426" s="3"/>
    </row>
    <row r="5427" spans="1:4" x14ac:dyDescent="0.25">
      <c r="A5427" s="2"/>
      <c r="B5427" s="3"/>
      <c r="C5427" s="3"/>
      <c r="D5427" s="3"/>
    </row>
    <row r="5428" spans="1:4" x14ac:dyDescent="0.25">
      <c r="A5428" s="2"/>
      <c r="B5428" s="3"/>
      <c r="C5428" s="3"/>
      <c r="D5428" s="3"/>
    </row>
    <row r="5429" spans="1:4" x14ac:dyDescent="0.25">
      <c r="A5429" s="2"/>
      <c r="B5429" s="3"/>
      <c r="C5429" s="3"/>
      <c r="D5429" s="3"/>
    </row>
    <row r="5430" spans="1:4" x14ac:dyDescent="0.25">
      <c r="A5430" s="2"/>
      <c r="B5430" s="3"/>
      <c r="C5430" s="3"/>
      <c r="D5430" s="3"/>
    </row>
    <row r="5431" spans="1:4" x14ac:dyDescent="0.25">
      <c r="A5431" s="2"/>
      <c r="B5431" s="3"/>
      <c r="C5431" s="3"/>
      <c r="D5431" s="3"/>
    </row>
    <row r="5432" spans="1:4" x14ac:dyDescent="0.25">
      <c r="A5432" s="2"/>
      <c r="B5432" s="3"/>
      <c r="C5432" s="3"/>
      <c r="D5432" s="3"/>
    </row>
    <row r="5433" spans="1:4" x14ac:dyDescent="0.25">
      <c r="A5433" s="2"/>
      <c r="B5433" s="3"/>
      <c r="C5433" s="3"/>
      <c r="D5433" s="3"/>
    </row>
    <row r="5434" spans="1:4" x14ac:dyDescent="0.25">
      <c r="A5434" s="2"/>
      <c r="B5434" s="3"/>
      <c r="C5434" s="3"/>
      <c r="D5434" s="3"/>
    </row>
    <row r="5435" spans="1:4" x14ac:dyDescent="0.25">
      <c r="A5435" s="2"/>
      <c r="B5435" s="3"/>
      <c r="C5435" s="3"/>
      <c r="D5435" s="3"/>
    </row>
    <row r="5436" spans="1:4" x14ac:dyDescent="0.25">
      <c r="A5436" s="2"/>
      <c r="B5436" s="3"/>
      <c r="C5436" s="3"/>
      <c r="D5436" s="3"/>
    </row>
    <row r="5437" spans="1:4" x14ac:dyDescent="0.25">
      <c r="A5437" s="2"/>
      <c r="B5437" s="3"/>
      <c r="C5437" s="3"/>
      <c r="D5437" s="3"/>
    </row>
    <row r="5438" spans="1:4" x14ac:dyDescent="0.25">
      <c r="A5438" s="2"/>
      <c r="B5438" s="3"/>
      <c r="C5438" s="3"/>
      <c r="D5438" s="3"/>
    </row>
    <row r="5439" spans="1:4" x14ac:dyDescent="0.25">
      <c r="A5439" s="2"/>
      <c r="B5439" s="3"/>
      <c r="C5439" s="3"/>
      <c r="D5439" s="3"/>
    </row>
    <row r="5440" spans="1:4" x14ac:dyDescent="0.25">
      <c r="A5440" s="2"/>
      <c r="B5440" s="3"/>
      <c r="C5440" s="3"/>
      <c r="D5440" s="3"/>
    </row>
    <row r="5441" spans="1:4" x14ac:dyDescent="0.25">
      <c r="A5441" s="2"/>
      <c r="B5441" s="3"/>
      <c r="C5441" s="3"/>
      <c r="D5441" s="3"/>
    </row>
    <row r="5442" spans="1:4" x14ac:dyDescent="0.25">
      <c r="A5442" s="2"/>
      <c r="B5442" s="3"/>
      <c r="C5442" s="3"/>
      <c r="D5442" s="3"/>
    </row>
    <row r="5443" spans="1:4" x14ac:dyDescent="0.25">
      <c r="A5443" s="2"/>
      <c r="B5443" s="3"/>
      <c r="C5443" s="3"/>
      <c r="D5443" s="3"/>
    </row>
    <row r="5444" spans="1:4" x14ac:dyDescent="0.25">
      <c r="A5444" s="2"/>
      <c r="B5444" s="3"/>
      <c r="C5444" s="3"/>
    </row>
    <row r="5445" spans="1:4" x14ac:dyDescent="0.25">
      <c r="A5445" s="2"/>
      <c r="B5445" s="3"/>
      <c r="C5445" s="3"/>
    </row>
    <row r="5446" spans="1:4" x14ac:dyDescent="0.25">
      <c r="A5446" s="2"/>
      <c r="B5446" s="3"/>
      <c r="C5446" s="3"/>
    </row>
    <row r="5447" spans="1:4" x14ac:dyDescent="0.25">
      <c r="A5447" s="2"/>
      <c r="B5447" s="3"/>
      <c r="C5447" s="3"/>
    </row>
    <row r="5448" spans="1:4" x14ac:dyDescent="0.25">
      <c r="A5448" s="2"/>
      <c r="B5448" s="3"/>
      <c r="C5448" s="3"/>
    </row>
    <row r="5449" spans="1:4" x14ac:dyDescent="0.25">
      <c r="A5449" s="2"/>
      <c r="B5449" s="3"/>
      <c r="C5449" s="3"/>
    </row>
    <row r="5450" spans="1:4" x14ac:dyDescent="0.25">
      <c r="A5450" s="2"/>
      <c r="B5450" s="3"/>
      <c r="C5450" s="3"/>
    </row>
    <row r="5451" spans="1:4" x14ac:dyDescent="0.25">
      <c r="A5451" s="2"/>
      <c r="B5451" s="3"/>
      <c r="C5451" s="3"/>
    </row>
    <row r="5452" spans="1:4" x14ac:dyDescent="0.25">
      <c r="A5452" s="2"/>
      <c r="B5452" s="3"/>
      <c r="C5452" s="3"/>
    </row>
    <row r="5453" spans="1:4" x14ac:dyDescent="0.25">
      <c r="A5453" s="2"/>
      <c r="B5453" s="3"/>
      <c r="C5453" s="3"/>
    </row>
    <row r="5454" spans="1:4" x14ac:dyDescent="0.25">
      <c r="A5454" s="2"/>
      <c r="B5454" s="3"/>
      <c r="C5454" s="3"/>
    </row>
    <row r="5455" spans="1:4" x14ac:dyDescent="0.25">
      <c r="A5455" s="2"/>
      <c r="B5455" s="3"/>
      <c r="C5455" s="3"/>
    </row>
    <row r="5456" spans="1:4" x14ac:dyDescent="0.25">
      <c r="A5456" s="2"/>
      <c r="B5456" s="3"/>
      <c r="C5456" s="3"/>
    </row>
    <row r="5457" spans="1:3" x14ac:dyDescent="0.25">
      <c r="A5457" s="2"/>
      <c r="B5457" s="3"/>
      <c r="C5457" s="3"/>
    </row>
    <row r="5458" spans="1:3" x14ac:dyDescent="0.25">
      <c r="A5458" s="2"/>
      <c r="B5458" s="3"/>
      <c r="C5458" s="3"/>
    </row>
    <row r="5459" spans="1:3" x14ac:dyDescent="0.25">
      <c r="A5459" s="2"/>
      <c r="B5459" s="3"/>
      <c r="C5459" s="3"/>
    </row>
    <row r="5460" spans="1:3" x14ac:dyDescent="0.25">
      <c r="A5460" s="2"/>
      <c r="B5460" s="3"/>
      <c r="C5460" s="3"/>
    </row>
    <row r="5461" spans="1:3" x14ac:dyDescent="0.25">
      <c r="A5461" s="2"/>
      <c r="B5461" s="3"/>
      <c r="C5461" s="3"/>
    </row>
    <row r="5462" spans="1:3" x14ac:dyDescent="0.25">
      <c r="A5462" s="2"/>
      <c r="B5462" s="3"/>
      <c r="C5462" s="3"/>
    </row>
    <row r="5463" spans="1:3" x14ac:dyDescent="0.25">
      <c r="A5463" s="2"/>
      <c r="B5463" s="3"/>
      <c r="C5463" s="3"/>
    </row>
    <row r="5464" spans="1:3" x14ac:dyDescent="0.25">
      <c r="A5464" s="2"/>
      <c r="B5464" s="3"/>
      <c r="C5464" s="3"/>
    </row>
    <row r="5465" spans="1:3" x14ac:dyDescent="0.25">
      <c r="A5465" s="2"/>
      <c r="B5465" s="3"/>
      <c r="C5465" s="3"/>
    </row>
    <row r="5466" spans="1:3" x14ac:dyDescent="0.25">
      <c r="A5466" s="2"/>
      <c r="B5466" s="3"/>
      <c r="C5466" s="3"/>
    </row>
    <row r="5467" spans="1:3" x14ac:dyDescent="0.25">
      <c r="A5467" s="2"/>
      <c r="B5467" s="3"/>
      <c r="C5467" s="3"/>
    </row>
    <row r="5468" spans="1:3" x14ac:dyDescent="0.25">
      <c r="A5468" s="2"/>
      <c r="B5468" s="3"/>
      <c r="C5468" s="3"/>
    </row>
    <row r="5469" spans="1:3" x14ac:dyDescent="0.25">
      <c r="A5469" s="2"/>
      <c r="B5469" s="3"/>
      <c r="C5469" s="3"/>
    </row>
    <row r="5470" spans="1:3" x14ac:dyDescent="0.25">
      <c r="A5470" s="2"/>
      <c r="B5470" s="3"/>
      <c r="C5470" s="3"/>
    </row>
    <row r="5471" spans="1:3" x14ac:dyDescent="0.25">
      <c r="A5471" s="2"/>
      <c r="B5471" s="3"/>
      <c r="C5471" s="3"/>
    </row>
    <row r="5472" spans="1:3" x14ac:dyDescent="0.25">
      <c r="A5472" s="2"/>
      <c r="B5472" s="3"/>
      <c r="C5472" s="3"/>
    </row>
    <row r="5473" spans="1:3" x14ac:dyDescent="0.25">
      <c r="A5473" s="2"/>
      <c r="B5473" s="3"/>
      <c r="C5473" s="3"/>
    </row>
    <row r="5474" spans="1:3" x14ac:dyDescent="0.25">
      <c r="A5474" s="2"/>
      <c r="B5474" s="3"/>
      <c r="C5474" s="3"/>
    </row>
    <row r="5475" spans="1:3" x14ac:dyDescent="0.25">
      <c r="A5475" s="2"/>
      <c r="B5475" s="3"/>
      <c r="C5475" s="3"/>
    </row>
    <row r="5476" spans="1:3" x14ac:dyDescent="0.25">
      <c r="A5476" s="2"/>
      <c r="B5476" s="3"/>
      <c r="C5476" s="3"/>
    </row>
    <row r="5477" spans="1:3" x14ac:dyDescent="0.25">
      <c r="A5477" s="2"/>
      <c r="B5477" s="3"/>
      <c r="C5477" s="3"/>
    </row>
    <row r="5478" spans="1:3" x14ac:dyDescent="0.25">
      <c r="A5478" s="2"/>
      <c r="B5478" s="3"/>
      <c r="C5478" s="3"/>
    </row>
    <row r="5479" spans="1:3" x14ac:dyDescent="0.25">
      <c r="A5479" s="2"/>
      <c r="B5479" s="3"/>
      <c r="C5479" s="3"/>
    </row>
    <row r="5480" spans="1:3" x14ac:dyDescent="0.25">
      <c r="A5480" s="2"/>
      <c r="B5480" s="3"/>
      <c r="C5480" s="3"/>
    </row>
    <row r="5481" spans="1:3" x14ac:dyDescent="0.25">
      <c r="A5481" s="2"/>
      <c r="B5481" s="3"/>
      <c r="C5481" s="3"/>
    </row>
    <row r="5482" spans="1:3" x14ac:dyDescent="0.25">
      <c r="A5482" s="2"/>
      <c r="B5482" s="3"/>
      <c r="C5482" s="3"/>
    </row>
    <row r="5483" spans="1:3" x14ac:dyDescent="0.25">
      <c r="A5483" s="2"/>
      <c r="B5483" s="3"/>
      <c r="C5483" s="3"/>
    </row>
    <row r="5484" spans="1:3" x14ac:dyDescent="0.25">
      <c r="A5484" s="2"/>
      <c r="B5484" s="3"/>
      <c r="C5484" s="3"/>
    </row>
    <row r="5485" spans="1:3" x14ac:dyDescent="0.25">
      <c r="A5485" s="2"/>
      <c r="B5485" s="3"/>
      <c r="C5485" s="3"/>
    </row>
    <row r="5486" spans="1:3" x14ac:dyDescent="0.25">
      <c r="A5486" s="2"/>
      <c r="B5486" s="3"/>
      <c r="C5486" s="3"/>
    </row>
    <row r="5487" spans="1:3" x14ac:dyDescent="0.25">
      <c r="A5487" s="2"/>
      <c r="B5487" s="3"/>
      <c r="C5487" s="3"/>
    </row>
    <row r="5488" spans="1:3" x14ac:dyDescent="0.25">
      <c r="A5488" s="2"/>
      <c r="B5488" s="3"/>
      <c r="C5488" s="3"/>
    </row>
    <row r="5489" spans="1:3" x14ac:dyDescent="0.25">
      <c r="A5489" s="2"/>
      <c r="B5489" s="3"/>
      <c r="C5489" s="3"/>
    </row>
    <row r="5490" spans="1:3" x14ac:dyDescent="0.25">
      <c r="A5490" s="2"/>
      <c r="B5490" s="3"/>
      <c r="C5490" s="3"/>
    </row>
    <row r="5491" spans="1:3" x14ac:dyDescent="0.25">
      <c r="A5491" s="2"/>
      <c r="B5491" s="3"/>
      <c r="C5491" s="3"/>
    </row>
    <row r="5492" spans="1:3" x14ac:dyDescent="0.25">
      <c r="A5492" s="2"/>
      <c r="B5492" s="3"/>
      <c r="C5492" s="3"/>
    </row>
    <row r="5493" spans="1:3" x14ac:dyDescent="0.25">
      <c r="A5493" s="2"/>
      <c r="B5493" s="3"/>
      <c r="C5493" s="3"/>
    </row>
    <row r="5494" spans="1:3" x14ac:dyDescent="0.25">
      <c r="A5494" s="2"/>
      <c r="B5494" s="3"/>
      <c r="C5494" s="3"/>
    </row>
    <row r="5495" spans="1:3" x14ac:dyDescent="0.25">
      <c r="A5495" s="2"/>
      <c r="B5495" s="3"/>
      <c r="C5495" s="3"/>
    </row>
    <row r="5496" spans="1:3" x14ac:dyDescent="0.25">
      <c r="A5496" s="2"/>
      <c r="B5496" s="3"/>
      <c r="C5496" s="3"/>
    </row>
    <row r="5497" spans="1:3" x14ac:dyDescent="0.25">
      <c r="A5497" s="2"/>
      <c r="B5497" s="3"/>
      <c r="C5497" s="3"/>
    </row>
    <row r="5498" spans="1:3" x14ac:dyDescent="0.25">
      <c r="A5498" s="2"/>
      <c r="B5498" s="3"/>
      <c r="C5498" s="3"/>
    </row>
    <row r="5499" spans="1:3" x14ac:dyDescent="0.25">
      <c r="A5499" s="2"/>
      <c r="B5499" s="3"/>
      <c r="C5499" s="3"/>
    </row>
    <row r="5500" spans="1:3" x14ac:dyDescent="0.25">
      <c r="A5500" s="2"/>
      <c r="B5500" s="3"/>
      <c r="C5500" s="3"/>
    </row>
    <row r="5501" spans="1:3" x14ac:dyDescent="0.25">
      <c r="A5501" s="2"/>
      <c r="B5501" s="3"/>
      <c r="C5501" s="3"/>
    </row>
    <row r="5502" spans="1:3" x14ac:dyDescent="0.25">
      <c r="A5502" s="2"/>
      <c r="B5502" s="3"/>
      <c r="C5502" s="3"/>
    </row>
    <row r="5503" spans="1:3" x14ac:dyDescent="0.25">
      <c r="A5503" s="2"/>
      <c r="B5503" s="3"/>
      <c r="C5503" s="3"/>
    </row>
    <row r="5504" spans="1:3" x14ac:dyDescent="0.25">
      <c r="A5504" s="2"/>
      <c r="B5504" s="3"/>
      <c r="C5504" s="3"/>
    </row>
    <row r="5505" spans="1:3" x14ac:dyDescent="0.25">
      <c r="A5505" s="2"/>
      <c r="B5505" s="3"/>
      <c r="C5505" s="3"/>
    </row>
    <row r="5506" spans="1:3" x14ac:dyDescent="0.25">
      <c r="A5506" s="2"/>
      <c r="B5506" s="3"/>
      <c r="C5506" s="3"/>
    </row>
    <row r="5507" spans="1:3" x14ac:dyDescent="0.25">
      <c r="A5507" s="2"/>
      <c r="B5507" s="3"/>
      <c r="C5507" s="3"/>
    </row>
    <row r="5508" spans="1:3" x14ac:dyDescent="0.25">
      <c r="A5508" s="2"/>
      <c r="B5508" s="3"/>
      <c r="C5508" s="3"/>
    </row>
    <row r="5509" spans="1:3" x14ac:dyDescent="0.25">
      <c r="A5509" s="2"/>
      <c r="B5509" s="3"/>
      <c r="C5509" s="3"/>
    </row>
    <row r="5510" spans="1:3" x14ac:dyDescent="0.25">
      <c r="A5510" s="2"/>
      <c r="B5510" s="3"/>
      <c r="C5510" s="3"/>
    </row>
    <row r="5511" spans="1:3" x14ac:dyDescent="0.25">
      <c r="A5511" s="2"/>
      <c r="B5511" s="3"/>
      <c r="C5511" s="3"/>
    </row>
    <row r="5512" spans="1:3" x14ac:dyDescent="0.25">
      <c r="A5512" s="2"/>
      <c r="B5512" s="3"/>
      <c r="C5512" s="3"/>
    </row>
    <row r="5513" spans="1:3" x14ac:dyDescent="0.25">
      <c r="A5513" s="2"/>
      <c r="B5513" s="3"/>
      <c r="C5513" s="3"/>
    </row>
    <row r="5514" spans="1:3" x14ac:dyDescent="0.25">
      <c r="A5514" s="2"/>
      <c r="B5514" s="3"/>
      <c r="C5514" s="3"/>
    </row>
    <row r="5515" spans="1:3" x14ac:dyDescent="0.25">
      <c r="A5515" s="2"/>
      <c r="B5515" s="3"/>
      <c r="C5515" s="3"/>
    </row>
    <row r="5516" spans="1:3" x14ac:dyDescent="0.25">
      <c r="A5516" s="2"/>
      <c r="B5516" s="3"/>
      <c r="C5516" s="3"/>
    </row>
    <row r="5517" spans="1:3" x14ac:dyDescent="0.25">
      <c r="A5517" s="2"/>
      <c r="B5517" s="3"/>
      <c r="C5517" s="3"/>
    </row>
    <row r="5518" spans="1:3" x14ac:dyDescent="0.25">
      <c r="A5518" s="2"/>
      <c r="B5518" s="3"/>
      <c r="C5518" s="3"/>
    </row>
    <row r="5519" spans="1:3" x14ac:dyDescent="0.25">
      <c r="A5519" s="2"/>
      <c r="B5519" s="3"/>
      <c r="C5519" s="3"/>
    </row>
    <row r="5520" spans="1:3" x14ac:dyDescent="0.25">
      <c r="A5520" s="2"/>
      <c r="B5520" s="3"/>
      <c r="C5520" s="3"/>
    </row>
    <row r="5521" spans="1:3" x14ac:dyDescent="0.25">
      <c r="A5521" s="2"/>
      <c r="B5521" s="3"/>
      <c r="C5521" s="3"/>
    </row>
    <row r="5522" spans="1:3" x14ac:dyDescent="0.25">
      <c r="A5522" s="2"/>
      <c r="B5522" s="3"/>
      <c r="C5522" s="3"/>
    </row>
    <row r="5523" spans="1:3" x14ac:dyDescent="0.25">
      <c r="A5523" s="2"/>
      <c r="B5523" s="3"/>
      <c r="C5523" s="3"/>
    </row>
    <row r="5524" spans="1:3" x14ac:dyDescent="0.25">
      <c r="A5524" s="2"/>
      <c r="B5524" s="3"/>
      <c r="C5524" s="3"/>
    </row>
    <row r="5525" spans="1:3" x14ac:dyDescent="0.25">
      <c r="A5525" s="2"/>
      <c r="B5525" s="3"/>
      <c r="C5525" s="3"/>
    </row>
    <row r="5526" spans="1:3" x14ac:dyDescent="0.25">
      <c r="A5526" s="2"/>
      <c r="B5526" s="3"/>
      <c r="C5526" s="3"/>
    </row>
    <row r="5527" spans="1:3" x14ac:dyDescent="0.25">
      <c r="A5527" s="2"/>
      <c r="B5527" s="3"/>
      <c r="C5527" s="3"/>
    </row>
    <row r="5528" spans="1:3" x14ac:dyDescent="0.25">
      <c r="A5528" s="2"/>
      <c r="B5528" s="3"/>
      <c r="C5528" s="3"/>
    </row>
    <row r="5529" spans="1:3" x14ac:dyDescent="0.25">
      <c r="A5529" s="2"/>
      <c r="B5529" s="3"/>
      <c r="C5529" s="3"/>
    </row>
    <row r="5530" spans="1:3" x14ac:dyDescent="0.25">
      <c r="A5530" s="2"/>
      <c r="B5530" s="3"/>
      <c r="C5530" s="3"/>
    </row>
    <row r="5531" spans="1:3" x14ac:dyDescent="0.25">
      <c r="A5531" s="2"/>
      <c r="B5531" s="3"/>
      <c r="C5531" s="3"/>
    </row>
    <row r="5532" spans="1:3" x14ac:dyDescent="0.25">
      <c r="A5532" s="2"/>
      <c r="B5532" s="3"/>
      <c r="C5532" s="3"/>
    </row>
    <row r="5533" spans="1:3" x14ac:dyDescent="0.25">
      <c r="A5533" s="2"/>
      <c r="B5533" s="3"/>
      <c r="C5533" s="3"/>
    </row>
    <row r="5534" spans="1:3" x14ac:dyDescent="0.25">
      <c r="A5534" s="2"/>
      <c r="B5534" s="3"/>
      <c r="C5534" s="3"/>
    </row>
    <row r="5535" spans="1:3" x14ac:dyDescent="0.25">
      <c r="A5535" s="2"/>
      <c r="B5535" s="3"/>
      <c r="C5535" s="3"/>
    </row>
    <row r="5536" spans="1:3" x14ac:dyDescent="0.25">
      <c r="A5536" s="2"/>
      <c r="B5536" s="3"/>
      <c r="C5536" s="3"/>
    </row>
    <row r="5537" spans="1:3" x14ac:dyDescent="0.25">
      <c r="A5537" s="2"/>
      <c r="B5537" s="3"/>
      <c r="C5537" s="3"/>
    </row>
    <row r="5538" spans="1:3" x14ac:dyDescent="0.25">
      <c r="A5538" s="2"/>
      <c r="B5538" s="3"/>
      <c r="C5538" s="3"/>
    </row>
    <row r="5539" spans="1:3" x14ac:dyDescent="0.25">
      <c r="A5539" s="2"/>
      <c r="B5539" s="3"/>
      <c r="C5539" s="3"/>
    </row>
    <row r="5540" spans="1:3" x14ac:dyDescent="0.25">
      <c r="A5540" s="2"/>
      <c r="B5540" s="3"/>
      <c r="C5540" s="3"/>
    </row>
    <row r="5541" spans="1:3" x14ac:dyDescent="0.25">
      <c r="A5541" s="2"/>
      <c r="B5541" s="3"/>
      <c r="C5541" s="3"/>
    </row>
    <row r="5542" spans="1:3" x14ac:dyDescent="0.25">
      <c r="A5542" s="2"/>
      <c r="B5542" s="3"/>
      <c r="C5542" s="3"/>
    </row>
    <row r="5543" spans="1:3" x14ac:dyDescent="0.25">
      <c r="A5543" s="2"/>
      <c r="B5543" s="3"/>
      <c r="C5543" s="3"/>
    </row>
    <row r="5544" spans="1:3" x14ac:dyDescent="0.25">
      <c r="A5544" s="2"/>
      <c r="B5544" s="3"/>
      <c r="C5544" s="3"/>
    </row>
    <row r="5545" spans="1:3" x14ac:dyDescent="0.25">
      <c r="A5545" s="2"/>
      <c r="B5545" s="3"/>
      <c r="C5545" s="3"/>
    </row>
    <row r="5546" spans="1:3" x14ac:dyDescent="0.25">
      <c r="A5546" s="2"/>
      <c r="B5546" s="3"/>
      <c r="C5546" s="3"/>
    </row>
    <row r="5547" spans="1:3" x14ac:dyDescent="0.25">
      <c r="A5547" s="2"/>
      <c r="B5547" s="3"/>
      <c r="C5547" s="3"/>
    </row>
    <row r="5548" spans="1:3" x14ac:dyDescent="0.25">
      <c r="A5548" s="2"/>
      <c r="B5548" s="3"/>
      <c r="C5548" s="3"/>
    </row>
    <row r="5549" spans="1:3" x14ac:dyDescent="0.25">
      <c r="A5549" s="2"/>
      <c r="B5549" s="3"/>
      <c r="C5549" s="3"/>
    </row>
    <row r="5550" spans="1:3" x14ac:dyDescent="0.25">
      <c r="A5550" s="2"/>
      <c r="B5550" s="3"/>
      <c r="C5550" s="3"/>
    </row>
    <row r="5551" spans="1:3" x14ac:dyDescent="0.25">
      <c r="A5551" s="2"/>
      <c r="B5551" s="3"/>
      <c r="C5551" s="3"/>
    </row>
    <row r="5552" spans="1:3" x14ac:dyDescent="0.25">
      <c r="A5552" s="2"/>
      <c r="B5552" s="3"/>
      <c r="C5552" s="3"/>
    </row>
    <row r="5553" spans="1:3" x14ac:dyDescent="0.25">
      <c r="A5553" s="2"/>
      <c r="B5553" s="3"/>
      <c r="C5553" s="3"/>
    </row>
    <row r="5554" spans="1:3" x14ac:dyDescent="0.25">
      <c r="A5554" s="2"/>
      <c r="B5554" s="3"/>
      <c r="C5554" s="3"/>
    </row>
    <row r="5555" spans="1:3" x14ac:dyDescent="0.25">
      <c r="A5555" s="2"/>
      <c r="B5555" s="3"/>
      <c r="C5555" s="3"/>
    </row>
    <row r="5556" spans="1:3" x14ac:dyDescent="0.25">
      <c r="A5556" s="2"/>
      <c r="B5556" s="3"/>
      <c r="C5556" s="3"/>
    </row>
    <row r="5557" spans="1:3" x14ac:dyDescent="0.25">
      <c r="A5557" s="2"/>
      <c r="B5557" s="3"/>
      <c r="C5557" s="3"/>
    </row>
    <row r="5558" spans="1:3" x14ac:dyDescent="0.25">
      <c r="A5558" s="2"/>
      <c r="B5558" s="3"/>
      <c r="C5558" s="3"/>
    </row>
    <row r="5559" spans="1:3" x14ac:dyDescent="0.25">
      <c r="A5559" s="2"/>
      <c r="B5559" s="3"/>
      <c r="C5559" s="3"/>
    </row>
    <row r="5560" spans="1:3" x14ac:dyDescent="0.25">
      <c r="A5560" s="2"/>
      <c r="B5560" s="3"/>
      <c r="C5560" s="3"/>
    </row>
    <row r="5561" spans="1:3" x14ac:dyDescent="0.25">
      <c r="A5561" s="2"/>
      <c r="B5561" s="3"/>
      <c r="C5561" s="3"/>
    </row>
    <row r="5562" spans="1:3" x14ac:dyDescent="0.25">
      <c r="A5562" s="2"/>
      <c r="B5562" s="3"/>
      <c r="C5562" s="3"/>
    </row>
    <row r="5563" spans="1:3" x14ac:dyDescent="0.25">
      <c r="A5563" s="2"/>
      <c r="B5563" s="3"/>
      <c r="C5563" s="3"/>
    </row>
    <row r="5564" spans="1:3" x14ac:dyDescent="0.25">
      <c r="A5564" s="2"/>
      <c r="B5564" s="3"/>
      <c r="C5564" s="3"/>
    </row>
    <row r="5565" spans="1:3" x14ac:dyDescent="0.25">
      <c r="A5565" s="2"/>
      <c r="B5565" s="3"/>
      <c r="C5565" s="3"/>
    </row>
    <row r="5566" spans="1:3" x14ac:dyDescent="0.25">
      <c r="A5566" s="2"/>
      <c r="B5566" s="3"/>
      <c r="C5566" s="3"/>
    </row>
    <row r="5567" spans="1:3" x14ac:dyDescent="0.25">
      <c r="A5567" s="2"/>
      <c r="B5567" s="3"/>
      <c r="C5567" s="3"/>
    </row>
    <row r="5568" spans="1:3" x14ac:dyDescent="0.25">
      <c r="A5568" s="2"/>
      <c r="B5568" s="3"/>
      <c r="C5568" s="3"/>
    </row>
    <row r="5569" spans="1:3" x14ac:dyDescent="0.25">
      <c r="A5569" s="2"/>
      <c r="B5569" s="3"/>
      <c r="C5569" s="3"/>
    </row>
    <row r="5570" spans="1:3" x14ac:dyDescent="0.25">
      <c r="A5570" s="2"/>
      <c r="B5570" s="3"/>
      <c r="C5570" s="3"/>
    </row>
    <row r="5571" spans="1:3" x14ac:dyDescent="0.25">
      <c r="A5571" s="2"/>
      <c r="B5571" s="3"/>
      <c r="C5571" s="3"/>
    </row>
    <row r="5572" spans="1:3" x14ac:dyDescent="0.25">
      <c r="A5572" s="2"/>
      <c r="B5572" s="3"/>
      <c r="C5572" s="3"/>
    </row>
    <row r="5573" spans="1:3" x14ac:dyDescent="0.25">
      <c r="A5573" s="2"/>
      <c r="B5573" s="3"/>
      <c r="C5573" s="3"/>
    </row>
    <row r="5574" spans="1:3" x14ac:dyDescent="0.25">
      <c r="A5574" s="2"/>
      <c r="B5574" s="3"/>
      <c r="C5574" s="3"/>
    </row>
    <row r="5575" spans="1:3" x14ac:dyDescent="0.25">
      <c r="A5575" s="2"/>
      <c r="B5575" s="3"/>
      <c r="C5575" s="3"/>
    </row>
    <row r="5576" spans="1:3" x14ac:dyDescent="0.25">
      <c r="A5576" s="2"/>
      <c r="B5576" s="3"/>
      <c r="C5576" s="3"/>
    </row>
    <row r="5577" spans="1:3" x14ac:dyDescent="0.25">
      <c r="A5577" s="2"/>
      <c r="B5577" s="3"/>
      <c r="C5577" s="3"/>
    </row>
    <row r="5578" spans="1:3" x14ac:dyDescent="0.25">
      <c r="A5578" s="2"/>
      <c r="B5578" s="3"/>
      <c r="C5578" s="3"/>
    </row>
    <row r="5579" spans="1:3" x14ac:dyDescent="0.25">
      <c r="A5579" s="2"/>
      <c r="B5579" s="3"/>
      <c r="C5579" s="3"/>
    </row>
    <row r="5580" spans="1:3" x14ac:dyDescent="0.25">
      <c r="A5580" s="2"/>
      <c r="B5580" s="3"/>
      <c r="C5580" s="3"/>
    </row>
    <row r="5581" spans="1:3" x14ac:dyDescent="0.25">
      <c r="A5581" s="2"/>
      <c r="B5581" s="3"/>
      <c r="C5581" s="3"/>
    </row>
    <row r="5582" spans="1:3" x14ac:dyDescent="0.25">
      <c r="A5582" s="2"/>
      <c r="B5582" s="3"/>
      <c r="C5582" s="3"/>
    </row>
    <row r="5583" spans="1:3" x14ac:dyDescent="0.25">
      <c r="A5583" s="2"/>
      <c r="B5583" s="3"/>
      <c r="C5583" s="3"/>
    </row>
    <row r="5584" spans="1:3" x14ac:dyDescent="0.25">
      <c r="A5584" s="2"/>
      <c r="B5584" s="3"/>
      <c r="C5584" s="3"/>
    </row>
    <row r="5585" spans="1:3" x14ac:dyDescent="0.25">
      <c r="A5585" s="2"/>
      <c r="B5585" s="3"/>
      <c r="C5585" s="3"/>
    </row>
    <row r="5586" spans="1:3" x14ac:dyDescent="0.25">
      <c r="A5586" s="2"/>
      <c r="B5586" s="3"/>
      <c r="C5586" s="3"/>
    </row>
    <row r="5587" spans="1:3" x14ac:dyDescent="0.25">
      <c r="A5587" s="2"/>
      <c r="B5587" s="3"/>
      <c r="C5587" s="3"/>
    </row>
    <row r="5588" spans="1:3" x14ac:dyDescent="0.25">
      <c r="A5588" s="2"/>
      <c r="B5588" s="3"/>
      <c r="C5588" s="3"/>
    </row>
    <row r="5589" spans="1:3" x14ac:dyDescent="0.25">
      <c r="A5589" s="2"/>
      <c r="B5589" s="3"/>
      <c r="C5589" s="3"/>
    </row>
    <row r="5590" spans="1:3" x14ac:dyDescent="0.25">
      <c r="A5590" s="2"/>
      <c r="B5590" s="3"/>
      <c r="C5590" s="3"/>
    </row>
    <row r="5591" spans="1:3" x14ac:dyDescent="0.25">
      <c r="A5591" s="2"/>
      <c r="B5591" s="3"/>
      <c r="C5591" s="3"/>
    </row>
    <row r="5592" spans="1:3" x14ac:dyDescent="0.25">
      <c r="A5592" s="2"/>
      <c r="B5592" s="3"/>
      <c r="C5592" s="3"/>
    </row>
    <row r="5593" spans="1:3" x14ac:dyDescent="0.25">
      <c r="A5593" s="2"/>
      <c r="B5593" s="3"/>
      <c r="C5593" s="3"/>
    </row>
    <row r="5594" spans="1:3" x14ac:dyDescent="0.25">
      <c r="A5594" s="2"/>
      <c r="B5594" s="3"/>
      <c r="C5594" s="3"/>
    </row>
    <row r="5595" spans="1:3" x14ac:dyDescent="0.25">
      <c r="A5595" s="2"/>
      <c r="B5595" s="3"/>
      <c r="C5595" s="3"/>
    </row>
    <row r="5596" spans="1:3" x14ac:dyDescent="0.25">
      <c r="A5596" s="2"/>
      <c r="B5596" s="3"/>
      <c r="C5596" s="3"/>
    </row>
    <row r="5597" spans="1:3" x14ac:dyDescent="0.25">
      <c r="A5597" s="2"/>
      <c r="B5597" s="3"/>
      <c r="C5597" s="3"/>
    </row>
    <row r="5598" spans="1:3" x14ac:dyDescent="0.25">
      <c r="A5598" s="2"/>
      <c r="B5598" s="3"/>
      <c r="C5598" s="3"/>
    </row>
    <row r="5599" spans="1:3" x14ac:dyDescent="0.25">
      <c r="A5599" s="2"/>
      <c r="B5599" s="3"/>
      <c r="C5599" s="3"/>
    </row>
    <row r="5600" spans="1:3" x14ac:dyDescent="0.25">
      <c r="A5600" s="2"/>
      <c r="B5600" s="3"/>
      <c r="C5600" s="3"/>
    </row>
    <row r="5601" spans="1:3" x14ac:dyDescent="0.25">
      <c r="A5601" s="2"/>
      <c r="B5601" s="3"/>
      <c r="C5601" s="3"/>
    </row>
    <row r="5602" spans="1:3" x14ac:dyDescent="0.25">
      <c r="A5602" s="2"/>
      <c r="B5602" s="3"/>
      <c r="C5602" s="3"/>
    </row>
    <row r="5603" spans="1:3" x14ac:dyDescent="0.25">
      <c r="A5603" s="2"/>
      <c r="B5603" s="3"/>
      <c r="C5603" s="3"/>
    </row>
    <row r="5604" spans="1:3" x14ac:dyDescent="0.25">
      <c r="A5604" s="2"/>
      <c r="B5604" s="3"/>
      <c r="C5604" s="3"/>
    </row>
    <row r="5605" spans="1:3" x14ac:dyDescent="0.25">
      <c r="A5605" s="2"/>
      <c r="B5605" s="3"/>
      <c r="C5605" s="3"/>
    </row>
    <row r="5606" spans="1:3" x14ac:dyDescent="0.25">
      <c r="A5606" s="2"/>
      <c r="B5606" s="3"/>
      <c r="C5606" s="3"/>
    </row>
    <row r="5607" spans="1:3" x14ac:dyDescent="0.25">
      <c r="A5607" s="2"/>
      <c r="B5607" s="3"/>
      <c r="C5607" s="3"/>
    </row>
    <row r="5608" spans="1:3" x14ac:dyDescent="0.25">
      <c r="A5608" s="2"/>
      <c r="B5608" s="3"/>
      <c r="C5608" s="3"/>
    </row>
    <row r="5609" spans="1:3" x14ac:dyDescent="0.25">
      <c r="A5609" s="2"/>
      <c r="B5609" s="3"/>
      <c r="C5609" s="3"/>
    </row>
    <row r="5610" spans="1:3" x14ac:dyDescent="0.25">
      <c r="A5610" s="2"/>
      <c r="B5610" s="3"/>
      <c r="C5610" s="3"/>
    </row>
    <row r="5611" spans="1:3" x14ac:dyDescent="0.25">
      <c r="A5611" s="2"/>
      <c r="B5611" s="3"/>
      <c r="C5611" s="3"/>
    </row>
    <row r="5612" spans="1:3" x14ac:dyDescent="0.25">
      <c r="A5612" s="2"/>
      <c r="B5612" s="3"/>
      <c r="C5612" s="3"/>
    </row>
    <row r="5613" spans="1:3" x14ac:dyDescent="0.25">
      <c r="A5613" s="2"/>
      <c r="B5613" s="3"/>
      <c r="C5613" s="3"/>
    </row>
    <row r="5614" spans="1:3" x14ac:dyDescent="0.25">
      <c r="A5614" s="2"/>
      <c r="B5614" s="3"/>
      <c r="C5614" s="3"/>
    </row>
    <row r="5615" spans="1:3" x14ac:dyDescent="0.25">
      <c r="A5615" s="2"/>
      <c r="B5615" s="3"/>
      <c r="C5615" s="3"/>
    </row>
    <row r="5616" spans="1:3" x14ac:dyDescent="0.25">
      <c r="A5616" s="2"/>
      <c r="B5616" s="3"/>
      <c r="C5616" s="3"/>
    </row>
    <row r="5617" spans="1:3" x14ac:dyDescent="0.25">
      <c r="A5617" s="2"/>
      <c r="B5617" s="3"/>
      <c r="C5617" s="3"/>
    </row>
    <row r="5618" spans="1:3" x14ac:dyDescent="0.25">
      <c r="A5618" s="2"/>
      <c r="B5618" s="3"/>
      <c r="C5618" s="3"/>
    </row>
    <row r="5619" spans="1:3" x14ac:dyDescent="0.25">
      <c r="A5619" s="2"/>
      <c r="B5619" s="3"/>
      <c r="C5619" s="3"/>
    </row>
    <row r="5620" spans="1:3" x14ac:dyDescent="0.25">
      <c r="A5620" s="2"/>
      <c r="B5620" s="3"/>
      <c r="C5620" s="3"/>
    </row>
    <row r="5621" spans="1:3" x14ac:dyDescent="0.25">
      <c r="A5621" s="2"/>
      <c r="B5621" s="3"/>
      <c r="C5621" s="3"/>
    </row>
    <row r="5622" spans="1:3" x14ac:dyDescent="0.25">
      <c r="A5622" s="2"/>
      <c r="B5622" s="3"/>
      <c r="C5622" s="3"/>
    </row>
    <row r="5623" spans="1:3" x14ac:dyDescent="0.25">
      <c r="A5623" s="2"/>
      <c r="B5623" s="3"/>
      <c r="C5623" s="3"/>
    </row>
    <row r="5624" spans="1:3" x14ac:dyDescent="0.25">
      <c r="A5624" s="2"/>
      <c r="B5624" s="3"/>
      <c r="C5624" s="3"/>
    </row>
    <row r="5625" spans="1:3" x14ac:dyDescent="0.25">
      <c r="A5625" s="2"/>
      <c r="B5625" s="3"/>
      <c r="C5625" s="3"/>
    </row>
    <row r="5626" spans="1:3" x14ac:dyDescent="0.25">
      <c r="A5626" s="2"/>
      <c r="B5626" s="3"/>
      <c r="C5626" s="3"/>
    </row>
    <row r="5627" spans="1:3" x14ac:dyDescent="0.25">
      <c r="A5627" s="2"/>
      <c r="B5627" s="3"/>
      <c r="C5627" s="3"/>
    </row>
    <row r="5628" spans="1:3" x14ac:dyDescent="0.25">
      <c r="A5628" s="2"/>
      <c r="B5628" s="3"/>
      <c r="C5628" s="3"/>
    </row>
    <row r="5629" spans="1:3" x14ac:dyDescent="0.25">
      <c r="A5629" s="2"/>
      <c r="B5629" s="3"/>
      <c r="C5629" s="3"/>
    </row>
    <row r="5630" spans="1:3" x14ac:dyDescent="0.25">
      <c r="A5630" s="2"/>
      <c r="B5630" s="3"/>
      <c r="C5630" s="3"/>
    </row>
    <row r="5631" spans="1:3" x14ac:dyDescent="0.25">
      <c r="A5631" s="2"/>
      <c r="B5631" s="3"/>
      <c r="C5631" s="3"/>
    </row>
    <row r="5632" spans="1:3" x14ac:dyDescent="0.25">
      <c r="A5632" s="2"/>
      <c r="B5632" s="3"/>
      <c r="C5632" s="3"/>
    </row>
    <row r="5633" spans="1:3" x14ac:dyDescent="0.25">
      <c r="A5633" s="2"/>
      <c r="B5633" s="3"/>
      <c r="C5633" s="3"/>
    </row>
    <row r="5634" spans="1:3" x14ac:dyDescent="0.25">
      <c r="A5634" s="2"/>
      <c r="B5634" s="3"/>
      <c r="C5634" s="3"/>
    </row>
    <row r="5635" spans="1:3" x14ac:dyDescent="0.25">
      <c r="A5635" s="2"/>
      <c r="B5635" s="3"/>
      <c r="C5635" s="3"/>
    </row>
    <row r="5636" spans="1:3" x14ac:dyDescent="0.25">
      <c r="A5636" s="2"/>
      <c r="B5636" s="3"/>
      <c r="C5636" s="3"/>
    </row>
    <row r="5637" spans="1:3" x14ac:dyDescent="0.25">
      <c r="A5637" s="2"/>
      <c r="B5637" s="3"/>
      <c r="C5637" s="3"/>
    </row>
    <row r="5638" spans="1:3" x14ac:dyDescent="0.25">
      <c r="A5638" s="2"/>
      <c r="B5638" s="3"/>
      <c r="C5638" s="3"/>
    </row>
    <row r="5639" spans="1:3" x14ac:dyDescent="0.25">
      <c r="A5639" s="2"/>
      <c r="B5639" s="3"/>
      <c r="C5639" s="3"/>
    </row>
    <row r="5640" spans="1:3" x14ac:dyDescent="0.25">
      <c r="A5640" s="2"/>
      <c r="B5640" s="3"/>
      <c r="C5640" s="3"/>
    </row>
    <row r="5641" spans="1:3" x14ac:dyDescent="0.25">
      <c r="A5641" s="2"/>
      <c r="B5641" s="3"/>
      <c r="C5641" s="3"/>
    </row>
    <row r="5642" spans="1:3" x14ac:dyDescent="0.25">
      <c r="A5642" s="2"/>
      <c r="B5642" s="3"/>
      <c r="C5642" s="3"/>
    </row>
    <row r="5643" spans="1:3" x14ac:dyDescent="0.25">
      <c r="A5643" s="2"/>
      <c r="B5643" s="3"/>
      <c r="C5643" s="3"/>
    </row>
    <row r="5644" spans="1:3" x14ac:dyDescent="0.25">
      <c r="A5644" s="2"/>
      <c r="B5644" s="3"/>
      <c r="C5644" s="3"/>
    </row>
    <row r="5645" spans="1:3" x14ac:dyDescent="0.25">
      <c r="A5645" s="2"/>
      <c r="B5645" s="3"/>
      <c r="C5645" s="3"/>
    </row>
    <row r="5646" spans="1:3" x14ac:dyDescent="0.25">
      <c r="A5646" s="2"/>
      <c r="B5646" s="3"/>
      <c r="C5646" s="3"/>
    </row>
    <row r="5647" spans="1:3" x14ac:dyDescent="0.25">
      <c r="A5647" s="2"/>
      <c r="B5647" s="3"/>
      <c r="C5647" s="3"/>
    </row>
    <row r="5648" spans="1:3" x14ac:dyDescent="0.25">
      <c r="A5648" s="2"/>
      <c r="B5648" s="3"/>
      <c r="C5648" s="3"/>
    </row>
    <row r="5649" spans="1:3" x14ac:dyDescent="0.25">
      <c r="A5649" s="2"/>
      <c r="B5649" s="3"/>
      <c r="C5649" s="3"/>
    </row>
    <row r="5650" spans="1:3" x14ac:dyDescent="0.25">
      <c r="A5650" s="2"/>
      <c r="B5650" s="3"/>
      <c r="C5650" s="3"/>
    </row>
    <row r="5651" spans="1:3" x14ac:dyDescent="0.25">
      <c r="A5651" s="2"/>
      <c r="B5651" s="3"/>
      <c r="C5651" s="3"/>
    </row>
    <row r="5652" spans="1:3" x14ac:dyDescent="0.25">
      <c r="A5652" s="2"/>
      <c r="B5652" s="3"/>
      <c r="C5652" s="3"/>
    </row>
    <row r="5653" spans="1:3" x14ac:dyDescent="0.25">
      <c r="A5653" s="2"/>
      <c r="B5653" s="3"/>
      <c r="C5653" s="3"/>
    </row>
    <row r="5654" spans="1:3" x14ac:dyDescent="0.25">
      <c r="A5654" s="2"/>
      <c r="B5654" s="3"/>
      <c r="C5654" s="3"/>
    </row>
    <row r="5655" spans="1:3" x14ac:dyDescent="0.25">
      <c r="A5655" s="2"/>
      <c r="B5655" s="3"/>
      <c r="C5655" s="3"/>
    </row>
    <row r="5656" spans="1:3" x14ac:dyDescent="0.25">
      <c r="A5656" s="2"/>
      <c r="B5656" s="3"/>
      <c r="C5656" s="3"/>
    </row>
    <row r="5657" spans="1:3" x14ac:dyDescent="0.25">
      <c r="A5657" s="2"/>
      <c r="B5657" s="3"/>
      <c r="C5657" s="3"/>
    </row>
    <row r="5658" spans="1:3" x14ac:dyDescent="0.25">
      <c r="A5658" s="2"/>
      <c r="B5658" s="3"/>
      <c r="C5658" s="3"/>
    </row>
    <row r="5659" spans="1:3" x14ac:dyDescent="0.25">
      <c r="A5659" s="2"/>
      <c r="B5659" s="3"/>
      <c r="C5659" s="3"/>
    </row>
    <row r="5660" spans="1:3" x14ac:dyDescent="0.25">
      <c r="A5660" s="2"/>
      <c r="B5660" s="3"/>
      <c r="C5660" s="3"/>
    </row>
    <row r="5661" spans="1:3" x14ac:dyDescent="0.25">
      <c r="A5661" s="2"/>
      <c r="B5661" s="3"/>
      <c r="C5661" s="3"/>
    </row>
    <row r="5662" spans="1:3" x14ac:dyDescent="0.25">
      <c r="A5662" s="2"/>
      <c r="B5662" s="3"/>
      <c r="C5662" s="3"/>
    </row>
    <row r="5663" spans="1:3" x14ac:dyDescent="0.25">
      <c r="A5663" s="2"/>
      <c r="B5663" s="3"/>
      <c r="C5663" s="3"/>
    </row>
    <row r="5664" spans="1:3" x14ac:dyDescent="0.25">
      <c r="A5664" s="2"/>
      <c r="B5664" s="3"/>
      <c r="C5664" s="3"/>
    </row>
    <row r="5665" spans="1:3" x14ac:dyDescent="0.25">
      <c r="A5665" s="2"/>
      <c r="B5665" s="3"/>
      <c r="C5665" s="3"/>
    </row>
    <row r="5666" spans="1:3" x14ac:dyDescent="0.25">
      <c r="A5666" s="2"/>
      <c r="B5666" s="3"/>
      <c r="C5666" s="3"/>
    </row>
    <row r="5667" spans="1:3" x14ac:dyDescent="0.25">
      <c r="A5667" s="2"/>
      <c r="B5667" s="3"/>
      <c r="C5667" s="3"/>
    </row>
    <row r="5668" spans="1:3" x14ac:dyDescent="0.25">
      <c r="A5668" s="2"/>
      <c r="B5668" s="3"/>
      <c r="C5668" s="3"/>
    </row>
    <row r="5669" spans="1:3" x14ac:dyDescent="0.25">
      <c r="A5669" s="2"/>
      <c r="B5669" s="3"/>
      <c r="C5669" s="3"/>
    </row>
    <row r="5670" spans="1:3" x14ac:dyDescent="0.25">
      <c r="A5670" s="2"/>
      <c r="B5670" s="3"/>
      <c r="C5670" s="3"/>
    </row>
    <row r="5671" spans="1:3" x14ac:dyDescent="0.25">
      <c r="A5671" s="2"/>
      <c r="B5671" s="3"/>
      <c r="C5671" s="3"/>
    </row>
    <row r="5672" spans="1:3" x14ac:dyDescent="0.25">
      <c r="A5672" s="2"/>
      <c r="B5672" s="3"/>
      <c r="C5672" s="3"/>
    </row>
    <row r="5673" spans="1:3" x14ac:dyDescent="0.25">
      <c r="A5673" s="2"/>
      <c r="B5673" s="3"/>
      <c r="C5673" s="3"/>
    </row>
    <row r="5674" spans="1:3" x14ac:dyDescent="0.25">
      <c r="A5674" s="2"/>
      <c r="B5674" s="3"/>
      <c r="C5674" s="3"/>
    </row>
    <row r="5675" spans="1:3" x14ac:dyDescent="0.25">
      <c r="A5675" s="2"/>
      <c r="B5675" s="3"/>
      <c r="C5675" s="3"/>
    </row>
    <row r="5676" spans="1:3" x14ac:dyDescent="0.25">
      <c r="A5676" s="2"/>
      <c r="B5676" s="3"/>
      <c r="C5676" s="3"/>
    </row>
    <row r="5677" spans="1:3" x14ac:dyDescent="0.25">
      <c r="A5677" s="2"/>
      <c r="B5677" s="3"/>
      <c r="C5677" s="3"/>
    </row>
    <row r="5678" spans="1:3" x14ac:dyDescent="0.25">
      <c r="A5678" s="2"/>
      <c r="B5678" s="3"/>
      <c r="C5678" s="3"/>
    </row>
    <row r="5679" spans="1:3" x14ac:dyDescent="0.25">
      <c r="A5679" s="2"/>
      <c r="B5679" s="3"/>
      <c r="C5679" s="3"/>
    </row>
    <row r="5680" spans="1:3" x14ac:dyDescent="0.25">
      <c r="A5680" s="2"/>
      <c r="B5680" s="3"/>
      <c r="C5680" s="3"/>
    </row>
    <row r="5681" spans="1:3" x14ac:dyDescent="0.25">
      <c r="A5681" s="2"/>
      <c r="B5681" s="3"/>
      <c r="C5681" s="3"/>
    </row>
    <row r="5682" spans="1:3" x14ac:dyDescent="0.25">
      <c r="A5682" s="2"/>
      <c r="B5682" s="3"/>
      <c r="C5682" s="3"/>
    </row>
    <row r="5683" spans="1:3" x14ac:dyDescent="0.25">
      <c r="A5683" s="2"/>
      <c r="B5683" s="3"/>
      <c r="C5683" s="3"/>
    </row>
    <row r="5684" spans="1:3" x14ac:dyDescent="0.25">
      <c r="A5684" s="2"/>
      <c r="B5684" s="3"/>
      <c r="C5684" s="3"/>
    </row>
    <row r="5685" spans="1:3" x14ac:dyDescent="0.25">
      <c r="A5685" s="2"/>
      <c r="B5685" s="3"/>
      <c r="C5685" s="3"/>
    </row>
    <row r="5686" spans="1:3" x14ac:dyDescent="0.25">
      <c r="A5686" s="2"/>
      <c r="B5686" s="3"/>
      <c r="C5686" s="3"/>
    </row>
    <row r="5687" spans="1:3" x14ac:dyDescent="0.25">
      <c r="A5687" s="2"/>
      <c r="B5687" s="3"/>
      <c r="C5687" s="3"/>
    </row>
    <row r="5688" spans="1:3" x14ac:dyDescent="0.25">
      <c r="A5688" s="2"/>
      <c r="B5688" s="3"/>
      <c r="C5688" s="3"/>
    </row>
    <row r="5689" spans="1:3" x14ac:dyDescent="0.25">
      <c r="A5689" s="2"/>
      <c r="B5689" s="3"/>
      <c r="C5689" s="3"/>
    </row>
    <row r="5690" spans="1:3" x14ac:dyDescent="0.25">
      <c r="A5690" s="2"/>
      <c r="B5690" s="3"/>
      <c r="C5690" s="3"/>
    </row>
    <row r="5691" spans="1:3" x14ac:dyDescent="0.25">
      <c r="A5691" s="2"/>
      <c r="B5691" s="3"/>
      <c r="C5691" s="3"/>
    </row>
    <row r="5692" spans="1:3" x14ac:dyDescent="0.25">
      <c r="A5692" s="2"/>
      <c r="B5692" s="3"/>
      <c r="C5692" s="3"/>
    </row>
    <row r="5693" spans="1:3" x14ac:dyDescent="0.25">
      <c r="A5693" s="2"/>
      <c r="B5693" s="3"/>
      <c r="C5693" s="3"/>
    </row>
    <row r="5694" spans="1:3" x14ac:dyDescent="0.25">
      <c r="A5694" s="2"/>
      <c r="B5694" s="3"/>
      <c r="C5694" s="3"/>
    </row>
    <row r="5695" spans="1:3" x14ac:dyDescent="0.25">
      <c r="A5695" s="2"/>
      <c r="B5695" s="3"/>
      <c r="C5695" s="3"/>
    </row>
    <row r="5696" spans="1:3" x14ac:dyDescent="0.25">
      <c r="A5696" s="2"/>
      <c r="B5696" s="3"/>
      <c r="C5696" s="3"/>
    </row>
    <row r="5697" spans="1:3" x14ac:dyDescent="0.25">
      <c r="A5697" s="2"/>
      <c r="B5697" s="3"/>
      <c r="C5697" s="3"/>
    </row>
    <row r="5698" spans="1:3" x14ac:dyDescent="0.25">
      <c r="A5698" s="2"/>
      <c r="B5698" s="3"/>
      <c r="C5698" s="3"/>
    </row>
    <row r="5699" spans="1:3" x14ac:dyDescent="0.25">
      <c r="A5699" s="2"/>
      <c r="B5699" s="3"/>
      <c r="C5699" s="3"/>
    </row>
    <row r="5700" spans="1:3" x14ac:dyDescent="0.25">
      <c r="A5700" s="2"/>
      <c r="B5700" s="3"/>
      <c r="C5700" s="3"/>
    </row>
    <row r="5701" spans="1:3" x14ac:dyDescent="0.25">
      <c r="A5701" s="2"/>
      <c r="B5701" s="3"/>
      <c r="C5701" s="3"/>
    </row>
    <row r="5702" spans="1:3" x14ac:dyDescent="0.25">
      <c r="A5702" s="2"/>
      <c r="B5702" s="3"/>
      <c r="C5702" s="3"/>
    </row>
    <row r="5703" spans="1:3" x14ac:dyDescent="0.25">
      <c r="A5703" s="2"/>
      <c r="B5703" s="3"/>
      <c r="C5703" s="3"/>
    </row>
    <row r="5704" spans="1:3" x14ac:dyDescent="0.25">
      <c r="A5704" s="2"/>
      <c r="B5704" s="3"/>
      <c r="C5704" s="3"/>
    </row>
    <row r="5705" spans="1:3" x14ac:dyDescent="0.25">
      <c r="A5705" s="2"/>
      <c r="B5705" s="3"/>
      <c r="C5705" s="3"/>
    </row>
    <row r="5706" spans="1:3" x14ac:dyDescent="0.25">
      <c r="A5706" s="2"/>
      <c r="B5706" s="3"/>
      <c r="C5706" s="3"/>
    </row>
    <row r="5707" spans="1:3" x14ac:dyDescent="0.25">
      <c r="A5707" s="2"/>
      <c r="B5707" s="3"/>
      <c r="C5707" s="3"/>
    </row>
    <row r="5708" spans="1:3" x14ac:dyDescent="0.25">
      <c r="A5708" s="2"/>
      <c r="B5708" s="3"/>
      <c r="C5708" s="3"/>
    </row>
    <row r="5709" spans="1:3" x14ac:dyDescent="0.25">
      <c r="A5709" s="2"/>
      <c r="B5709" s="3"/>
      <c r="C5709" s="3"/>
    </row>
    <row r="5710" spans="1:3" x14ac:dyDescent="0.25">
      <c r="A5710" s="2"/>
      <c r="B5710" s="3"/>
      <c r="C5710" s="3"/>
    </row>
    <row r="5711" spans="1:3" x14ac:dyDescent="0.25">
      <c r="A5711" s="2"/>
      <c r="B5711" s="3"/>
      <c r="C5711" s="3"/>
    </row>
    <row r="5712" spans="1:3" x14ac:dyDescent="0.25">
      <c r="A5712" s="2"/>
      <c r="B5712" s="3"/>
      <c r="C5712" s="3"/>
    </row>
    <row r="5713" spans="1:3" x14ac:dyDescent="0.25">
      <c r="A5713" s="2"/>
      <c r="B5713" s="3"/>
      <c r="C5713" s="3"/>
    </row>
    <row r="5714" spans="1:3" x14ac:dyDescent="0.25">
      <c r="A5714" s="2"/>
      <c r="B5714" s="3"/>
      <c r="C5714" s="3"/>
    </row>
    <row r="5715" spans="1:3" x14ac:dyDescent="0.25">
      <c r="A5715" s="2"/>
      <c r="B5715" s="3"/>
      <c r="C5715" s="3"/>
    </row>
    <row r="5716" spans="1:3" x14ac:dyDescent="0.25">
      <c r="A5716" s="2"/>
      <c r="B5716" s="3"/>
      <c r="C5716" s="3"/>
    </row>
    <row r="5717" spans="1:3" x14ac:dyDescent="0.25">
      <c r="A5717" s="2"/>
      <c r="B5717" s="3"/>
      <c r="C5717" s="3"/>
    </row>
    <row r="5718" spans="1:3" x14ac:dyDescent="0.25">
      <c r="A5718" s="2"/>
      <c r="B5718" s="3"/>
      <c r="C5718" s="3"/>
    </row>
    <row r="5719" spans="1:3" x14ac:dyDescent="0.25">
      <c r="A5719" s="2"/>
      <c r="B5719" s="3"/>
      <c r="C5719" s="3"/>
    </row>
    <row r="5720" spans="1:3" x14ac:dyDescent="0.25">
      <c r="A5720" s="2"/>
      <c r="B5720" s="3"/>
      <c r="C5720" s="3"/>
    </row>
    <row r="5721" spans="1:3" x14ac:dyDescent="0.25">
      <c r="A5721" s="2"/>
      <c r="B5721" s="3"/>
      <c r="C5721" s="3"/>
    </row>
    <row r="5722" spans="1:3" x14ac:dyDescent="0.25">
      <c r="A5722" s="2"/>
      <c r="B5722" s="3"/>
      <c r="C5722" s="3"/>
    </row>
    <row r="5723" spans="1:3" x14ac:dyDescent="0.25">
      <c r="A5723" s="2"/>
      <c r="B5723" s="3"/>
      <c r="C5723" s="3"/>
    </row>
    <row r="5724" spans="1:3" x14ac:dyDescent="0.25">
      <c r="A5724" s="2"/>
      <c r="B5724" s="3"/>
      <c r="C5724" s="3"/>
    </row>
    <row r="5725" spans="1:3" x14ac:dyDescent="0.25">
      <c r="A5725" s="2"/>
      <c r="B5725" s="3"/>
      <c r="C5725" s="3"/>
    </row>
    <row r="5726" spans="1:3" x14ac:dyDescent="0.25">
      <c r="A5726" s="2"/>
      <c r="B5726" s="3"/>
      <c r="C5726" s="3"/>
    </row>
    <row r="5727" spans="1:3" x14ac:dyDescent="0.25">
      <c r="A5727" s="2"/>
      <c r="B5727" s="3"/>
      <c r="C5727" s="3"/>
    </row>
    <row r="5728" spans="1:3" x14ac:dyDescent="0.25">
      <c r="A5728" s="2"/>
      <c r="B5728" s="3"/>
      <c r="C5728" s="3"/>
    </row>
    <row r="5729" spans="1:3" x14ac:dyDescent="0.25">
      <c r="A5729" s="2"/>
      <c r="B5729" s="3"/>
      <c r="C5729" s="3"/>
    </row>
    <row r="5730" spans="1:3" x14ac:dyDescent="0.25">
      <c r="A5730" s="2"/>
      <c r="B5730" s="3"/>
      <c r="C5730" s="3"/>
    </row>
    <row r="5731" spans="1:3" x14ac:dyDescent="0.25">
      <c r="A5731" s="2"/>
      <c r="B5731" s="3"/>
      <c r="C5731" s="3"/>
    </row>
    <row r="5732" spans="1:3" x14ac:dyDescent="0.25">
      <c r="A5732" s="2"/>
      <c r="B5732" s="3"/>
      <c r="C5732" s="3"/>
    </row>
    <row r="5733" spans="1:3" x14ac:dyDescent="0.25">
      <c r="A5733" s="2"/>
      <c r="B5733" s="3"/>
      <c r="C5733" s="3"/>
    </row>
    <row r="5734" spans="1:3" x14ac:dyDescent="0.25">
      <c r="A5734" s="2"/>
      <c r="B5734" s="3"/>
      <c r="C5734" s="3"/>
    </row>
    <row r="5735" spans="1:3" x14ac:dyDescent="0.25">
      <c r="A5735" s="2"/>
      <c r="B5735" s="3"/>
      <c r="C5735" s="3"/>
    </row>
    <row r="5736" spans="1:3" x14ac:dyDescent="0.25">
      <c r="A5736" s="2"/>
      <c r="B5736" s="3"/>
      <c r="C5736" s="3"/>
    </row>
    <row r="5737" spans="1:3" x14ac:dyDescent="0.25">
      <c r="A5737" s="2"/>
      <c r="B5737" s="3"/>
      <c r="C5737" s="3"/>
    </row>
    <row r="5738" spans="1:3" x14ac:dyDescent="0.25">
      <c r="A5738" s="2"/>
      <c r="B5738" s="3"/>
      <c r="C5738" s="3"/>
    </row>
    <row r="5739" spans="1:3" x14ac:dyDescent="0.25">
      <c r="A5739" s="2"/>
      <c r="B5739" s="3"/>
      <c r="C5739" s="3"/>
    </row>
    <row r="5740" spans="1:3" x14ac:dyDescent="0.25">
      <c r="A5740" s="2"/>
      <c r="B5740" s="3"/>
      <c r="C5740" s="3"/>
    </row>
    <row r="5741" spans="1:3" x14ac:dyDescent="0.25">
      <c r="A5741" s="2"/>
      <c r="B5741" s="3"/>
      <c r="C5741" s="3"/>
    </row>
    <row r="5742" spans="1:3" x14ac:dyDescent="0.25">
      <c r="A5742" s="2"/>
      <c r="B5742" s="3"/>
      <c r="C5742" s="3"/>
    </row>
    <row r="5743" spans="1:3" x14ac:dyDescent="0.25">
      <c r="A5743" s="2"/>
      <c r="B5743" s="3"/>
      <c r="C5743" s="3"/>
    </row>
    <row r="5744" spans="1:3" x14ac:dyDescent="0.25">
      <c r="A5744" s="2"/>
      <c r="B5744" s="3"/>
      <c r="C5744" s="3"/>
    </row>
    <row r="5745" spans="1:3" x14ac:dyDescent="0.25">
      <c r="A5745" s="2"/>
      <c r="B5745" s="3"/>
      <c r="C5745" s="3"/>
    </row>
    <row r="5746" spans="1:3" x14ac:dyDescent="0.25">
      <c r="A5746" s="2"/>
      <c r="B5746" s="3"/>
      <c r="C5746" s="3"/>
    </row>
    <row r="5747" spans="1:3" x14ac:dyDescent="0.25">
      <c r="A5747" s="2"/>
      <c r="B5747" s="3"/>
      <c r="C5747" s="3"/>
    </row>
    <row r="5748" spans="1:3" x14ac:dyDescent="0.25">
      <c r="A5748" s="2"/>
      <c r="B5748" s="3"/>
      <c r="C5748" s="3"/>
    </row>
    <row r="5749" spans="1:3" x14ac:dyDescent="0.25">
      <c r="A5749" s="2"/>
      <c r="B5749" s="3"/>
      <c r="C5749" s="3"/>
    </row>
    <row r="5750" spans="1:3" x14ac:dyDescent="0.25">
      <c r="A5750" s="2"/>
      <c r="B5750" s="3"/>
      <c r="C5750" s="3"/>
    </row>
    <row r="5751" spans="1:3" x14ac:dyDescent="0.25">
      <c r="A5751" s="2"/>
      <c r="B5751" s="3"/>
      <c r="C5751" s="3"/>
    </row>
    <row r="5752" spans="1:3" x14ac:dyDescent="0.25">
      <c r="A5752" s="2"/>
      <c r="B5752" s="3"/>
      <c r="C5752" s="3"/>
    </row>
    <row r="5753" spans="1:3" x14ac:dyDescent="0.25">
      <c r="A5753" s="2"/>
      <c r="B5753" s="3"/>
      <c r="C5753" s="3"/>
    </row>
    <row r="5754" spans="1:3" x14ac:dyDescent="0.25">
      <c r="A5754" s="2"/>
      <c r="B5754" s="3"/>
      <c r="C5754" s="3"/>
    </row>
    <row r="5755" spans="1:3" x14ac:dyDescent="0.25">
      <c r="A5755" s="2"/>
      <c r="B5755" s="3"/>
      <c r="C5755" s="3"/>
    </row>
    <row r="5756" spans="1:3" x14ac:dyDescent="0.25">
      <c r="A5756" s="2"/>
      <c r="B5756" s="3"/>
      <c r="C5756" s="3"/>
    </row>
    <row r="5757" spans="1:3" x14ac:dyDescent="0.25">
      <c r="A5757" s="2"/>
      <c r="B5757" s="3"/>
      <c r="C5757" s="3"/>
    </row>
    <row r="5758" spans="1:3" x14ac:dyDescent="0.25">
      <c r="A5758" s="2"/>
      <c r="B5758" s="3"/>
      <c r="C5758" s="3"/>
    </row>
    <row r="5759" spans="1:3" x14ac:dyDescent="0.25">
      <c r="A5759" s="2"/>
      <c r="B5759" s="3"/>
      <c r="C5759" s="3"/>
    </row>
    <row r="5760" spans="1:3" x14ac:dyDescent="0.25">
      <c r="A5760" s="2"/>
      <c r="B5760" s="3"/>
      <c r="C5760" s="3"/>
    </row>
    <row r="5761" spans="1:3" x14ac:dyDescent="0.25">
      <c r="A5761" s="2"/>
      <c r="B5761" s="3"/>
      <c r="C5761" s="3"/>
    </row>
    <row r="5762" spans="1:3" x14ac:dyDescent="0.25">
      <c r="A5762" s="2"/>
      <c r="B5762" s="3"/>
      <c r="C5762" s="3"/>
    </row>
    <row r="5763" spans="1:3" x14ac:dyDescent="0.25">
      <c r="A5763" s="2"/>
      <c r="B5763" s="3"/>
      <c r="C5763" s="3"/>
    </row>
    <row r="5764" spans="1:3" x14ac:dyDescent="0.25">
      <c r="A5764" s="2"/>
      <c r="B5764" s="3"/>
      <c r="C5764" s="3"/>
    </row>
    <row r="5765" spans="1:3" x14ac:dyDescent="0.25">
      <c r="A5765" s="2"/>
      <c r="B5765" s="3"/>
      <c r="C5765" s="3"/>
    </row>
    <row r="5766" spans="1:3" x14ac:dyDescent="0.25">
      <c r="A5766" s="2"/>
      <c r="B5766" s="3"/>
      <c r="C5766" s="3"/>
    </row>
    <row r="5767" spans="1:3" x14ac:dyDescent="0.25">
      <c r="A5767" s="2"/>
      <c r="B5767" s="3"/>
      <c r="C5767" s="3"/>
    </row>
    <row r="5768" spans="1:3" x14ac:dyDescent="0.25">
      <c r="A5768" s="2"/>
      <c r="B5768" s="3"/>
      <c r="C5768" s="3"/>
    </row>
    <row r="5769" spans="1:3" x14ac:dyDescent="0.25">
      <c r="A5769" s="2"/>
      <c r="B5769" s="3"/>
      <c r="C5769" s="3"/>
    </row>
    <row r="5770" spans="1:3" x14ac:dyDescent="0.25">
      <c r="A5770" s="2"/>
      <c r="B5770" s="3"/>
      <c r="C5770" s="3"/>
    </row>
    <row r="5771" spans="1:3" x14ac:dyDescent="0.25">
      <c r="A5771" s="2"/>
      <c r="B5771" s="3"/>
      <c r="C5771" s="3"/>
    </row>
    <row r="5772" spans="1:3" x14ac:dyDescent="0.25">
      <c r="A5772" s="2"/>
      <c r="B5772" s="3"/>
      <c r="C5772" s="3"/>
    </row>
    <row r="5773" spans="1:3" x14ac:dyDescent="0.25">
      <c r="A5773" s="2"/>
      <c r="B5773" s="3"/>
      <c r="C5773" s="3"/>
    </row>
    <row r="5774" spans="1:3" x14ac:dyDescent="0.25">
      <c r="A5774" s="2"/>
      <c r="B5774" s="3"/>
      <c r="C5774" s="3"/>
    </row>
    <row r="5775" spans="1:3" x14ac:dyDescent="0.25">
      <c r="A5775" s="2"/>
      <c r="B5775" s="3"/>
      <c r="C5775" s="3"/>
    </row>
    <row r="5776" spans="1:3" x14ac:dyDescent="0.25">
      <c r="A5776" s="2"/>
      <c r="B5776" s="3"/>
      <c r="C5776" s="3"/>
    </row>
    <row r="5777" spans="1:3" x14ac:dyDescent="0.25">
      <c r="A5777" s="2"/>
      <c r="B5777" s="3"/>
      <c r="C5777" s="3"/>
    </row>
    <row r="5778" spans="1:3" x14ac:dyDescent="0.25">
      <c r="A5778" s="2"/>
      <c r="B5778" s="3"/>
      <c r="C5778" s="3"/>
    </row>
    <row r="5779" spans="1:3" x14ac:dyDescent="0.25">
      <c r="A5779" s="2"/>
      <c r="B5779" s="3"/>
      <c r="C5779" s="3"/>
    </row>
    <row r="5780" spans="1:3" x14ac:dyDescent="0.25">
      <c r="A5780" s="2"/>
      <c r="B5780" s="3"/>
      <c r="C5780" s="3"/>
    </row>
    <row r="5781" spans="1:3" x14ac:dyDescent="0.25">
      <c r="A5781" s="2"/>
      <c r="B5781" s="3"/>
      <c r="C5781" s="3"/>
    </row>
    <row r="5782" spans="1:3" x14ac:dyDescent="0.25">
      <c r="A5782" s="2"/>
      <c r="B5782" s="3"/>
      <c r="C5782" s="3"/>
    </row>
    <row r="5783" spans="1:3" x14ac:dyDescent="0.25">
      <c r="A5783" s="2"/>
      <c r="B5783" s="3"/>
      <c r="C5783" s="3"/>
    </row>
    <row r="5784" spans="1:3" x14ac:dyDescent="0.25">
      <c r="A5784" s="2"/>
      <c r="B5784" s="3"/>
      <c r="C5784" s="3"/>
    </row>
    <row r="5785" spans="1:3" x14ac:dyDescent="0.25">
      <c r="A5785" s="2"/>
      <c r="B5785" s="3"/>
      <c r="C5785" s="3"/>
    </row>
    <row r="5786" spans="1:3" x14ac:dyDescent="0.25">
      <c r="A5786" s="2"/>
      <c r="B5786" s="3"/>
      <c r="C5786" s="3"/>
    </row>
    <row r="5787" spans="1:3" x14ac:dyDescent="0.25">
      <c r="A5787" s="2"/>
      <c r="B5787" s="3"/>
      <c r="C5787" s="3"/>
    </row>
    <row r="5788" spans="1:3" x14ac:dyDescent="0.25">
      <c r="A5788" s="2"/>
      <c r="B5788" s="3"/>
      <c r="C5788" s="3"/>
    </row>
    <row r="5789" spans="1:3" x14ac:dyDescent="0.25">
      <c r="A5789" s="2"/>
      <c r="B5789" s="3"/>
      <c r="C5789" s="3"/>
    </row>
    <row r="5790" spans="1:3" x14ac:dyDescent="0.25">
      <c r="A5790" s="2"/>
      <c r="B5790" s="3"/>
      <c r="C5790" s="3"/>
    </row>
    <row r="5791" spans="1:3" x14ac:dyDescent="0.25">
      <c r="A5791" s="2"/>
      <c r="B5791" s="3"/>
      <c r="C5791" s="3"/>
    </row>
    <row r="5792" spans="1:3" x14ac:dyDescent="0.25">
      <c r="A5792" s="2"/>
      <c r="B5792" s="3"/>
      <c r="C5792" s="3"/>
    </row>
    <row r="5793" spans="1:3" x14ac:dyDescent="0.25">
      <c r="A5793" s="2"/>
      <c r="B5793" s="3"/>
      <c r="C5793" s="3"/>
    </row>
    <row r="5794" spans="1:3" x14ac:dyDescent="0.25">
      <c r="A5794" s="2"/>
      <c r="B5794" s="3"/>
      <c r="C5794" s="3"/>
    </row>
    <row r="5795" spans="1:3" x14ac:dyDescent="0.25">
      <c r="A5795" s="2"/>
      <c r="B5795" s="3"/>
      <c r="C5795" s="3"/>
    </row>
    <row r="5796" spans="1:3" x14ac:dyDescent="0.25">
      <c r="A5796" s="2"/>
      <c r="B5796" s="3"/>
      <c r="C5796" s="3"/>
    </row>
    <row r="5797" spans="1:3" x14ac:dyDescent="0.25">
      <c r="A5797" s="2"/>
      <c r="B5797" s="3"/>
      <c r="C5797" s="3"/>
    </row>
    <row r="5798" spans="1:3" x14ac:dyDescent="0.25">
      <c r="A5798" s="2"/>
      <c r="B5798" s="3"/>
      <c r="C5798" s="3"/>
    </row>
    <row r="5799" spans="1:3" x14ac:dyDescent="0.25">
      <c r="A5799" s="2"/>
      <c r="B5799" s="3"/>
      <c r="C5799" s="3"/>
    </row>
    <row r="5800" spans="1:3" x14ac:dyDescent="0.25">
      <c r="A5800" s="2"/>
      <c r="B5800" s="3"/>
      <c r="C5800" s="3"/>
    </row>
    <row r="5801" spans="1:3" x14ac:dyDescent="0.25">
      <c r="A5801" s="2"/>
      <c r="B5801" s="3"/>
      <c r="C5801" s="3"/>
    </row>
    <row r="5802" spans="1:3" x14ac:dyDescent="0.25">
      <c r="A5802" s="2"/>
      <c r="B5802" s="3"/>
      <c r="C5802" s="3"/>
    </row>
    <row r="5803" spans="1:3" x14ac:dyDescent="0.25">
      <c r="A5803" s="2"/>
      <c r="B5803" s="3"/>
      <c r="C5803" s="3"/>
    </row>
    <row r="5804" spans="1:3" x14ac:dyDescent="0.25">
      <c r="A5804" s="2"/>
      <c r="B5804" s="3"/>
      <c r="C5804" s="3"/>
    </row>
    <row r="5805" spans="1:3" x14ac:dyDescent="0.25">
      <c r="A5805" s="2"/>
      <c r="B5805" s="3"/>
      <c r="C5805" s="3"/>
    </row>
    <row r="5806" spans="1:3" x14ac:dyDescent="0.25">
      <c r="A5806" s="2"/>
      <c r="B5806" s="3"/>
      <c r="C5806" s="3"/>
    </row>
    <row r="5807" spans="1:3" x14ac:dyDescent="0.25">
      <c r="A5807" s="2"/>
      <c r="B5807" s="3"/>
      <c r="C5807" s="3"/>
    </row>
    <row r="5808" spans="1:3" x14ac:dyDescent="0.25">
      <c r="A5808" s="2"/>
      <c r="B5808" s="3"/>
      <c r="C5808" s="3"/>
    </row>
    <row r="5809" spans="1:3" x14ac:dyDescent="0.25">
      <c r="A5809" s="2"/>
      <c r="B5809" s="3"/>
      <c r="C5809" s="3"/>
    </row>
    <row r="5810" spans="1:3" x14ac:dyDescent="0.25">
      <c r="A5810" s="2"/>
      <c r="B5810" s="3"/>
      <c r="C5810" s="3"/>
    </row>
    <row r="5811" spans="1:3" x14ac:dyDescent="0.25">
      <c r="A5811" s="2"/>
      <c r="B5811" s="3"/>
      <c r="C5811" s="3"/>
    </row>
    <row r="5812" spans="1:3" x14ac:dyDescent="0.25">
      <c r="A5812" s="2"/>
      <c r="B5812" s="3"/>
      <c r="C5812" s="3"/>
    </row>
    <row r="5813" spans="1:3" x14ac:dyDescent="0.25">
      <c r="A5813" s="2"/>
      <c r="B5813" s="3"/>
      <c r="C5813" s="3"/>
    </row>
    <row r="5814" spans="1:3" x14ac:dyDescent="0.25">
      <c r="A5814" s="2"/>
      <c r="B5814" s="3"/>
      <c r="C5814" s="3"/>
    </row>
    <row r="5815" spans="1:3" x14ac:dyDescent="0.25">
      <c r="A5815" s="2"/>
      <c r="B5815" s="3"/>
      <c r="C5815" s="3"/>
    </row>
    <row r="5816" spans="1:3" x14ac:dyDescent="0.25">
      <c r="A5816" s="2"/>
      <c r="B5816" s="3"/>
      <c r="C5816" s="3"/>
    </row>
    <row r="5817" spans="1:3" x14ac:dyDescent="0.25">
      <c r="A5817" s="2"/>
      <c r="B5817" s="3"/>
      <c r="C5817" s="3"/>
    </row>
    <row r="5818" spans="1:3" x14ac:dyDescent="0.25">
      <c r="A5818" s="2"/>
      <c r="B5818" s="3"/>
      <c r="C5818" s="3"/>
    </row>
    <row r="5819" spans="1:3" x14ac:dyDescent="0.25">
      <c r="A5819" s="2"/>
      <c r="B5819" s="3"/>
      <c r="C5819" s="3"/>
    </row>
    <row r="5820" spans="1:3" x14ac:dyDescent="0.25">
      <c r="A5820" s="2"/>
      <c r="B5820" s="3"/>
      <c r="C5820" s="3"/>
    </row>
    <row r="5821" spans="1:3" x14ac:dyDescent="0.25">
      <c r="A5821" s="2"/>
      <c r="B5821" s="3"/>
      <c r="C5821" s="3"/>
    </row>
    <row r="5822" spans="1:3" x14ac:dyDescent="0.25">
      <c r="A5822" s="2"/>
      <c r="B5822" s="3"/>
      <c r="C5822" s="3"/>
    </row>
    <row r="5823" spans="1:3" x14ac:dyDescent="0.25">
      <c r="A5823" s="2"/>
      <c r="B5823" s="3"/>
      <c r="C5823" s="3"/>
    </row>
    <row r="5824" spans="1:3" x14ac:dyDescent="0.25">
      <c r="A5824" s="2"/>
      <c r="B5824" s="3"/>
      <c r="C5824" s="3"/>
    </row>
    <row r="5825" spans="1:3" x14ac:dyDescent="0.25">
      <c r="A5825" s="2"/>
      <c r="B5825" s="3"/>
      <c r="C5825" s="3"/>
    </row>
    <row r="5826" spans="1:3" x14ac:dyDescent="0.25">
      <c r="A5826" s="2"/>
      <c r="B5826" s="3"/>
      <c r="C5826" s="3"/>
    </row>
    <row r="5827" spans="1:3" x14ac:dyDescent="0.25">
      <c r="A5827" s="2"/>
      <c r="B5827" s="3"/>
      <c r="C5827" s="3"/>
    </row>
    <row r="5828" spans="1:3" x14ac:dyDescent="0.25">
      <c r="A5828" s="2"/>
      <c r="B5828" s="3"/>
      <c r="C5828" s="3"/>
    </row>
    <row r="5829" spans="1:3" x14ac:dyDescent="0.25">
      <c r="A5829" s="2"/>
      <c r="B5829" s="3"/>
      <c r="C5829" s="3"/>
    </row>
    <row r="5830" spans="1:3" x14ac:dyDescent="0.25">
      <c r="A5830" s="2"/>
      <c r="B5830" s="3"/>
      <c r="C5830" s="3"/>
    </row>
    <row r="5831" spans="1:3" x14ac:dyDescent="0.25">
      <c r="A5831" s="2"/>
      <c r="B5831" s="3"/>
      <c r="C5831" s="3"/>
    </row>
    <row r="5832" spans="1:3" x14ac:dyDescent="0.25">
      <c r="A5832" s="2"/>
      <c r="B5832" s="3"/>
      <c r="C5832" s="3"/>
    </row>
    <row r="5833" spans="1:3" x14ac:dyDescent="0.25">
      <c r="A5833" s="2"/>
      <c r="B5833" s="3"/>
      <c r="C5833" s="3"/>
    </row>
    <row r="5834" spans="1:3" x14ac:dyDescent="0.25">
      <c r="A5834" s="2"/>
      <c r="B5834" s="3"/>
      <c r="C5834" s="3"/>
    </row>
    <row r="5835" spans="1:3" x14ac:dyDescent="0.25">
      <c r="A5835" s="2"/>
      <c r="B5835" s="3"/>
      <c r="C5835" s="3"/>
    </row>
    <row r="5836" spans="1:3" x14ac:dyDescent="0.25">
      <c r="A5836" s="2"/>
      <c r="B5836" s="3"/>
      <c r="C5836" s="3"/>
    </row>
    <row r="5837" spans="1:3" x14ac:dyDescent="0.25">
      <c r="A5837" s="2"/>
      <c r="B5837" s="3"/>
      <c r="C5837" s="3"/>
    </row>
    <row r="5838" spans="1:3" x14ac:dyDescent="0.25">
      <c r="A5838" s="2"/>
      <c r="B5838" s="3"/>
      <c r="C5838" s="3"/>
    </row>
    <row r="5839" spans="1:3" x14ac:dyDescent="0.25">
      <c r="A5839" s="2"/>
      <c r="B5839" s="3"/>
      <c r="C5839" s="3"/>
    </row>
    <row r="5840" spans="1:3" x14ac:dyDescent="0.25">
      <c r="A5840" s="2"/>
      <c r="B5840" s="3"/>
      <c r="C5840" s="3"/>
    </row>
    <row r="5841" spans="1:3" x14ac:dyDescent="0.25">
      <c r="A5841" s="2"/>
      <c r="B5841" s="3"/>
      <c r="C5841" s="3"/>
    </row>
    <row r="5842" spans="1:3" x14ac:dyDescent="0.25">
      <c r="A5842" s="2"/>
      <c r="B5842" s="3"/>
      <c r="C5842" s="3"/>
    </row>
    <row r="5843" spans="1:3" x14ac:dyDescent="0.25">
      <c r="A5843" s="2"/>
      <c r="B5843" s="3"/>
      <c r="C5843" s="3"/>
    </row>
    <row r="5844" spans="1:3" x14ac:dyDescent="0.25">
      <c r="A5844" s="2"/>
      <c r="B5844" s="3"/>
      <c r="C5844" s="3"/>
    </row>
    <row r="5845" spans="1:3" x14ac:dyDescent="0.25">
      <c r="A5845" s="2"/>
      <c r="B5845" s="3"/>
      <c r="C5845" s="3"/>
    </row>
    <row r="5846" spans="1:3" x14ac:dyDescent="0.25">
      <c r="A5846" s="2"/>
      <c r="B5846" s="3"/>
      <c r="C5846" s="3"/>
    </row>
    <row r="5847" spans="1:3" x14ac:dyDescent="0.25">
      <c r="A5847" s="2"/>
      <c r="B5847" s="3"/>
      <c r="C5847" s="3"/>
    </row>
    <row r="5848" spans="1:3" x14ac:dyDescent="0.25">
      <c r="A5848" s="2"/>
      <c r="B5848" s="3"/>
      <c r="C5848" s="3"/>
    </row>
    <row r="5849" spans="1:3" x14ac:dyDescent="0.25">
      <c r="A5849" s="2"/>
      <c r="B5849" s="3"/>
      <c r="C5849" s="3"/>
    </row>
    <row r="5850" spans="1:3" x14ac:dyDescent="0.25">
      <c r="A5850" s="2"/>
      <c r="B5850" s="3"/>
      <c r="C5850" s="3"/>
    </row>
    <row r="5851" spans="1:3" x14ac:dyDescent="0.25">
      <c r="A5851" s="2"/>
      <c r="B5851" s="3"/>
      <c r="C5851" s="3"/>
    </row>
    <row r="5852" spans="1:3" x14ac:dyDescent="0.25">
      <c r="A5852" s="2"/>
      <c r="B5852" s="3"/>
      <c r="C5852" s="3"/>
    </row>
    <row r="5853" spans="1:3" x14ac:dyDescent="0.25">
      <c r="A5853" s="2"/>
      <c r="B5853" s="3"/>
      <c r="C5853" s="3"/>
    </row>
    <row r="5854" spans="1:3" x14ac:dyDescent="0.25">
      <c r="A5854" s="2"/>
      <c r="B5854" s="3"/>
      <c r="C5854" s="3"/>
    </row>
    <row r="5855" spans="1:3" x14ac:dyDescent="0.25">
      <c r="A5855" s="2"/>
      <c r="B5855" s="3"/>
      <c r="C5855" s="3"/>
    </row>
    <row r="5856" spans="1:3" x14ac:dyDescent="0.25">
      <c r="A5856" s="2"/>
      <c r="B5856" s="3"/>
      <c r="C5856" s="3"/>
    </row>
    <row r="5857" spans="1:3" x14ac:dyDescent="0.25">
      <c r="A5857" s="2"/>
      <c r="B5857" s="3"/>
      <c r="C5857" s="3"/>
    </row>
    <row r="5858" spans="1:3" x14ac:dyDescent="0.25">
      <c r="A5858" s="2"/>
      <c r="B5858" s="3"/>
      <c r="C5858" s="3"/>
    </row>
    <row r="5859" spans="1:3" x14ac:dyDescent="0.25">
      <c r="A5859" s="2"/>
      <c r="B5859" s="3"/>
      <c r="C5859" s="3"/>
    </row>
    <row r="5860" spans="1:3" x14ac:dyDescent="0.25">
      <c r="A5860" s="2"/>
      <c r="B5860" s="3"/>
      <c r="C5860" s="3"/>
    </row>
    <row r="5861" spans="1:3" x14ac:dyDescent="0.25">
      <c r="A5861" s="2"/>
      <c r="B5861" s="3"/>
      <c r="C5861" s="3"/>
    </row>
    <row r="5862" spans="1:3" x14ac:dyDescent="0.25">
      <c r="A5862" s="2"/>
      <c r="B5862" s="3"/>
      <c r="C5862" s="3"/>
    </row>
    <row r="5863" spans="1:3" x14ac:dyDescent="0.25">
      <c r="A5863" s="2"/>
      <c r="B5863" s="3"/>
      <c r="C5863" s="3"/>
    </row>
    <row r="5864" spans="1:3" x14ac:dyDescent="0.25">
      <c r="A5864" s="2"/>
      <c r="B5864" s="3"/>
      <c r="C5864" s="3"/>
    </row>
    <row r="5865" spans="1:3" x14ac:dyDescent="0.25">
      <c r="A5865" s="2"/>
      <c r="B5865" s="3"/>
      <c r="C5865" s="3"/>
    </row>
    <row r="5866" spans="1:3" x14ac:dyDescent="0.25">
      <c r="A5866" s="2"/>
      <c r="B5866" s="3"/>
      <c r="C5866" s="3"/>
    </row>
    <row r="5867" spans="1:3" x14ac:dyDescent="0.25">
      <c r="A5867" s="2"/>
      <c r="B5867" s="3"/>
      <c r="C5867" s="3"/>
    </row>
    <row r="5868" spans="1:3" x14ac:dyDescent="0.25">
      <c r="A5868" s="2"/>
      <c r="B5868" s="3"/>
      <c r="C5868" s="3"/>
    </row>
    <row r="5869" spans="1:3" x14ac:dyDescent="0.25">
      <c r="A5869" s="2"/>
      <c r="B5869" s="3"/>
      <c r="C5869" s="3"/>
    </row>
    <row r="5870" spans="1:3" x14ac:dyDescent="0.25">
      <c r="A5870" s="2"/>
      <c r="B5870" s="3"/>
      <c r="C5870" s="3"/>
    </row>
    <row r="5871" spans="1:3" x14ac:dyDescent="0.25">
      <c r="A5871" s="2"/>
      <c r="B5871" s="3"/>
      <c r="C5871" s="3"/>
    </row>
    <row r="5872" spans="1:3" x14ac:dyDescent="0.25">
      <c r="A5872" s="2"/>
      <c r="B5872" s="3"/>
      <c r="C5872" s="3"/>
    </row>
    <row r="5873" spans="1:3" x14ac:dyDescent="0.25">
      <c r="A5873" s="2"/>
      <c r="B5873" s="3"/>
      <c r="C5873" s="3"/>
    </row>
    <row r="5874" spans="1:3" x14ac:dyDescent="0.25">
      <c r="A5874" s="2"/>
      <c r="B5874" s="3"/>
      <c r="C5874" s="3"/>
    </row>
    <row r="5875" spans="1:3" x14ac:dyDescent="0.25">
      <c r="A5875" s="2"/>
      <c r="B5875" s="3"/>
      <c r="C5875" s="3"/>
    </row>
    <row r="5876" spans="1:3" x14ac:dyDescent="0.25">
      <c r="A5876" s="2"/>
      <c r="B5876" s="3"/>
      <c r="C5876" s="3"/>
    </row>
    <row r="5877" spans="1:3" x14ac:dyDescent="0.25">
      <c r="A5877" s="2"/>
      <c r="B5877" s="3"/>
      <c r="C5877" s="3"/>
    </row>
    <row r="5878" spans="1:3" x14ac:dyDescent="0.25">
      <c r="A5878" s="2"/>
      <c r="B5878" s="3"/>
      <c r="C5878" s="3"/>
    </row>
    <row r="5879" spans="1:3" x14ac:dyDescent="0.25">
      <c r="A5879" s="2"/>
      <c r="B5879" s="3"/>
      <c r="C5879" s="3"/>
    </row>
    <row r="5880" spans="1:3" x14ac:dyDescent="0.25">
      <c r="A5880" s="2"/>
      <c r="B5880" s="3"/>
      <c r="C5880" s="3"/>
    </row>
    <row r="5881" spans="1:3" x14ac:dyDescent="0.25">
      <c r="A5881" s="2"/>
      <c r="B5881" s="3"/>
      <c r="C5881" s="3"/>
    </row>
    <row r="5882" spans="1:3" x14ac:dyDescent="0.25">
      <c r="A5882" s="2"/>
      <c r="B5882" s="3"/>
      <c r="C5882" s="3"/>
    </row>
    <row r="5883" spans="1:3" x14ac:dyDescent="0.25">
      <c r="A5883" s="2"/>
      <c r="B5883" s="3"/>
      <c r="C5883" s="3"/>
    </row>
    <row r="5884" spans="1:3" x14ac:dyDescent="0.25">
      <c r="A5884" s="2"/>
      <c r="B5884" s="3"/>
      <c r="C5884" s="3"/>
    </row>
    <row r="5885" spans="1:3" x14ac:dyDescent="0.25">
      <c r="A5885" s="2"/>
      <c r="B5885" s="3"/>
      <c r="C5885" s="3"/>
    </row>
    <row r="5886" spans="1:3" x14ac:dyDescent="0.25">
      <c r="A5886" s="2"/>
      <c r="B5886" s="3"/>
      <c r="C5886" s="3"/>
    </row>
    <row r="5887" spans="1:3" x14ac:dyDescent="0.25">
      <c r="A5887" s="2"/>
      <c r="B5887" s="3"/>
      <c r="C5887" s="3"/>
    </row>
    <row r="5888" spans="1:3" x14ac:dyDescent="0.25">
      <c r="A5888" s="2"/>
      <c r="B5888" s="3"/>
      <c r="C5888" s="3"/>
    </row>
    <row r="5889" spans="1:3" x14ac:dyDescent="0.25">
      <c r="A5889" s="2"/>
      <c r="B5889" s="3"/>
      <c r="C5889" s="3"/>
    </row>
    <row r="5890" spans="1:3" x14ac:dyDescent="0.25">
      <c r="A5890" s="2"/>
      <c r="B5890" s="3"/>
      <c r="C5890" s="3"/>
    </row>
    <row r="5891" spans="1:3" x14ac:dyDescent="0.25">
      <c r="A5891" s="2"/>
      <c r="B5891" s="3"/>
      <c r="C5891" s="3"/>
    </row>
    <row r="5892" spans="1:3" x14ac:dyDescent="0.25">
      <c r="A5892" s="2"/>
      <c r="B5892" s="3"/>
      <c r="C5892" s="3"/>
    </row>
    <row r="5893" spans="1:3" x14ac:dyDescent="0.25">
      <c r="A5893" s="2"/>
      <c r="B5893" s="3"/>
      <c r="C5893" s="3"/>
    </row>
    <row r="5894" spans="1:3" x14ac:dyDescent="0.25">
      <c r="A5894" s="2"/>
      <c r="B5894" s="3"/>
      <c r="C5894" s="3"/>
    </row>
    <row r="5895" spans="1:3" x14ac:dyDescent="0.25">
      <c r="A5895" s="2"/>
      <c r="B5895" s="3"/>
      <c r="C5895" s="3"/>
    </row>
    <row r="5896" spans="1:3" x14ac:dyDescent="0.25">
      <c r="A5896" s="2"/>
      <c r="B5896" s="3"/>
      <c r="C5896" s="3"/>
    </row>
    <row r="5897" spans="1:3" x14ac:dyDescent="0.25">
      <c r="A5897" s="2"/>
      <c r="B5897" s="3"/>
      <c r="C5897" s="3"/>
    </row>
    <row r="5898" spans="1:3" x14ac:dyDescent="0.25">
      <c r="A5898" s="2"/>
      <c r="B5898" s="3"/>
      <c r="C5898" s="3"/>
    </row>
    <row r="5899" spans="1:3" x14ac:dyDescent="0.25">
      <c r="A5899" s="2"/>
      <c r="B5899" s="3"/>
      <c r="C5899" s="3"/>
    </row>
    <row r="5900" spans="1:3" x14ac:dyDescent="0.25">
      <c r="A5900" s="2"/>
      <c r="B5900" s="3"/>
      <c r="C5900" s="3"/>
    </row>
    <row r="5901" spans="1:3" x14ac:dyDescent="0.25">
      <c r="A5901" s="2"/>
      <c r="B5901" s="3"/>
      <c r="C5901" s="3"/>
    </row>
    <row r="5902" spans="1:3" x14ac:dyDescent="0.25">
      <c r="A5902" s="2"/>
      <c r="B5902" s="3"/>
      <c r="C5902" s="3"/>
    </row>
    <row r="5903" spans="1:3" x14ac:dyDescent="0.25">
      <c r="A5903" s="2"/>
      <c r="B5903" s="3"/>
      <c r="C5903" s="3"/>
    </row>
    <row r="5904" spans="1:3" x14ac:dyDescent="0.25">
      <c r="A5904" s="2"/>
      <c r="B5904" s="3"/>
      <c r="C5904" s="3"/>
    </row>
    <row r="5905" spans="1:3" x14ac:dyDescent="0.25">
      <c r="A5905" s="2"/>
      <c r="B5905" s="3"/>
      <c r="C5905" s="3"/>
    </row>
    <row r="5906" spans="1:3" x14ac:dyDescent="0.25">
      <c r="A5906" s="2"/>
      <c r="B5906" s="3"/>
      <c r="C5906" s="3"/>
    </row>
    <row r="5907" spans="1:3" x14ac:dyDescent="0.25">
      <c r="A5907" s="2"/>
      <c r="B5907" s="3"/>
      <c r="C5907" s="3"/>
    </row>
    <row r="5908" spans="1:3" x14ac:dyDescent="0.25">
      <c r="A5908" s="2"/>
      <c r="B5908" s="3"/>
      <c r="C5908" s="3"/>
    </row>
    <row r="5909" spans="1:3" x14ac:dyDescent="0.25">
      <c r="A5909" s="2"/>
      <c r="B5909" s="3"/>
      <c r="C5909" s="3"/>
    </row>
    <row r="5910" spans="1:3" x14ac:dyDescent="0.25">
      <c r="A5910" s="2"/>
      <c r="B5910" s="3"/>
      <c r="C5910" s="3"/>
    </row>
    <row r="5911" spans="1:3" x14ac:dyDescent="0.25">
      <c r="A5911" s="2"/>
      <c r="B5911" s="3"/>
      <c r="C5911" s="3"/>
    </row>
    <row r="5912" spans="1:3" x14ac:dyDescent="0.25">
      <c r="A5912" s="2"/>
      <c r="B5912" s="3"/>
      <c r="C5912" s="3"/>
    </row>
    <row r="5913" spans="1:3" x14ac:dyDescent="0.25">
      <c r="A5913" s="2"/>
      <c r="B5913" s="3"/>
      <c r="C5913" s="3"/>
    </row>
    <row r="5914" spans="1:3" x14ac:dyDescent="0.25">
      <c r="A5914" s="2"/>
      <c r="B5914" s="3"/>
      <c r="C5914" s="3"/>
    </row>
    <row r="5915" spans="1:3" x14ac:dyDescent="0.25">
      <c r="A5915" s="2"/>
      <c r="B5915" s="3"/>
      <c r="C5915" s="3"/>
    </row>
    <row r="5916" spans="1:3" x14ac:dyDescent="0.25">
      <c r="A5916" s="2"/>
      <c r="B5916" s="3"/>
      <c r="C5916" s="3"/>
    </row>
    <row r="5917" spans="1:3" x14ac:dyDescent="0.25">
      <c r="A5917" s="2"/>
      <c r="B5917" s="3"/>
      <c r="C5917" s="3"/>
    </row>
    <row r="5918" spans="1:3" x14ac:dyDescent="0.25">
      <c r="A5918" s="2"/>
      <c r="B5918" s="3"/>
      <c r="C5918" s="3"/>
    </row>
    <row r="5919" spans="1:3" x14ac:dyDescent="0.25">
      <c r="A5919" s="2"/>
      <c r="B5919" s="3"/>
      <c r="C5919" s="3"/>
    </row>
    <row r="5920" spans="1:3" x14ac:dyDescent="0.25">
      <c r="A5920" s="2"/>
      <c r="B5920" s="3"/>
      <c r="C5920" s="3"/>
    </row>
    <row r="5921" spans="1:3" x14ac:dyDescent="0.25">
      <c r="A5921" s="2"/>
      <c r="B5921" s="3"/>
      <c r="C5921" s="3"/>
    </row>
    <row r="5922" spans="1:3" x14ac:dyDescent="0.25">
      <c r="A5922" s="2"/>
      <c r="B5922" s="3"/>
      <c r="C5922" s="3"/>
    </row>
    <row r="5923" spans="1:3" x14ac:dyDescent="0.25">
      <c r="A5923" s="2"/>
      <c r="B5923" s="3"/>
      <c r="C5923" s="3"/>
    </row>
    <row r="5924" spans="1:3" x14ac:dyDescent="0.25">
      <c r="A5924" s="2"/>
      <c r="B5924" s="3"/>
      <c r="C5924" s="3"/>
    </row>
    <row r="5925" spans="1:3" x14ac:dyDescent="0.25">
      <c r="A5925" s="2"/>
      <c r="B5925" s="3"/>
      <c r="C5925" s="3"/>
    </row>
    <row r="5926" spans="1:3" x14ac:dyDescent="0.25">
      <c r="A5926" s="2"/>
      <c r="B5926" s="3"/>
      <c r="C5926" s="3"/>
    </row>
    <row r="5927" spans="1:3" x14ac:dyDescent="0.25">
      <c r="A5927" s="2"/>
      <c r="B5927" s="3"/>
      <c r="C5927" s="3"/>
    </row>
    <row r="5928" spans="1:3" x14ac:dyDescent="0.25">
      <c r="A5928" s="2"/>
      <c r="B5928" s="3"/>
      <c r="C5928" s="3"/>
    </row>
    <row r="5929" spans="1:3" x14ac:dyDescent="0.25">
      <c r="A5929" s="2"/>
      <c r="B5929" s="3"/>
      <c r="C5929" s="3"/>
    </row>
    <row r="5930" spans="1:3" x14ac:dyDescent="0.25">
      <c r="A5930" s="2"/>
      <c r="B5930" s="3"/>
      <c r="C5930" s="3"/>
    </row>
    <row r="5931" spans="1:3" x14ac:dyDescent="0.25">
      <c r="A5931" s="2"/>
      <c r="B5931" s="3"/>
      <c r="C5931" s="3"/>
    </row>
    <row r="5932" spans="1:3" x14ac:dyDescent="0.25">
      <c r="A5932" s="2"/>
      <c r="B5932" s="3"/>
      <c r="C5932" s="3"/>
    </row>
    <row r="5933" spans="1:3" x14ac:dyDescent="0.25">
      <c r="A5933" s="2"/>
      <c r="B5933" s="3"/>
      <c r="C5933" s="3"/>
    </row>
    <row r="5934" spans="1:3" x14ac:dyDescent="0.25">
      <c r="A5934" s="2"/>
      <c r="B5934" s="3"/>
      <c r="C5934" s="3"/>
    </row>
    <row r="5935" spans="1:3" x14ac:dyDescent="0.25">
      <c r="A5935" s="2"/>
      <c r="B5935" s="3"/>
      <c r="C5935" s="3"/>
    </row>
    <row r="5936" spans="1:3" x14ac:dyDescent="0.25">
      <c r="A5936" s="2"/>
      <c r="B5936" s="3"/>
      <c r="C5936" s="3"/>
    </row>
    <row r="5937" spans="1:3" x14ac:dyDescent="0.25">
      <c r="A5937" s="2"/>
      <c r="B5937" s="3"/>
      <c r="C5937" s="3"/>
    </row>
    <row r="5938" spans="1:3" x14ac:dyDescent="0.25">
      <c r="A5938" s="2"/>
      <c r="B5938" s="3"/>
      <c r="C5938" s="3"/>
    </row>
    <row r="5939" spans="1:3" x14ac:dyDescent="0.25">
      <c r="A5939" s="2"/>
      <c r="B5939" s="3"/>
      <c r="C5939" s="3"/>
    </row>
    <row r="5940" spans="1:3" x14ac:dyDescent="0.25">
      <c r="A5940" s="2"/>
      <c r="B5940" s="3"/>
      <c r="C5940" s="3"/>
    </row>
    <row r="5941" spans="1:3" x14ac:dyDescent="0.25">
      <c r="A5941" s="2"/>
      <c r="B5941" s="3"/>
      <c r="C5941" s="3"/>
    </row>
    <row r="5942" spans="1:3" x14ac:dyDescent="0.25">
      <c r="A5942" s="2"/>
      <c r="B5942" s="3"/>
      <c r="C5942" s="3"/>
    </row>
    <row r="5943" spans="1:3" x14ac:dyDescent="0.25">
      <c r="A5943" s="2"/>
      <c r="B5943" s="3"/>
      <c r="C5943" s="3"/>
    </row>
    <row r="5944" spans="1:3" x14ac:dyDescent="0.25">
      <c r="A5944" s="2"/>
      <c r="B5944" s="3"/>
      <c r="C5944" s="3"/>
    </row>
    <row r="5945" spans="1:3" x14ac:dyDescent="0.25">
      <c r="A5945" s="2"/>
      <c r="B5945" s="3"/>
      <c r="C5945" s="3"/>
    </row>
    <row r="5946" spans="1:3" x14ac:dyDescent="0.25">
      <c r="A5946" s="2"/>
      <c r="B5946" s="3"/>
      <c r="C5946" s="3"/>
    </row>
    <row r="5947" spans="1:3" x14ac:dyDescent="0.25">
      <c r="A5947" s="2"/>
      <c r="B5947" s="3"/>
      <c r="C5947" s="3"/>
    </row>
    <row r="5948" spans="1:3" x14ac:dyDescent="0.25">
      <c r="A5948" s="2"/>
      <c r="B5948" s="3"/>
      <c r="C5948" s="3"/>
    </row>
    <row r="5949" spans="1:3" x14ac:dyDescent="0.25">
      <c r="A5949" s="2"/>
      <c r="B5949" s="3"/>
      <c r="C5949" s="3"/>
    </row>
    <row r="5950" spans="1:3" x14ac:dyDescent="0.25">
      <c r="A5950" s="2"/>
      <c r="B5950" s="3"/>
      <c r="C5950" s="3"/>
    </row>
    <row r="5951" spans="1:3" x14ac:dyDescent="0.25">
      <c r="A5951" s="2"/>
      <c r="B5951" s="3"/>
      <c r="C5951" s="3"/>
    </row>
    <row r="5952" spans="1:3" x14ac:dyDescent="0.25">
      <c r="A5952" s="2"/>
      <c r="B5952" s="3"/>
      <c r="C5952" s="3"/>
    </row>
    <row r="5953" spans="1:3" x14ac:dyDescent="0.25">
      <c r="A5953" s="2"/>
      <c r="B5953" s="3"/>
      <c r="C5953" s="3"/>
    </row>
    <row r="5954" spans="1:3" x14ac:dyDescent="0.25">
      <c r="A5954" s="2"/>
      <c r="B5954" s="3"/>
      <c r="C5954" s="3"/>
    </row>
    <row r="5955" spans="1:3" x14ac:dyDescent="0.25">
      <c r="A5955" s="2"/>
      <c r="B5955" s="3"/>
      <c r="C5955" s="3"/>
    </row>
    <row r="5956" spans="1:3" x14ac:dyDescent="0.25">
      <c r="A5956" s="2"/>
      <c r="B5956" s="3"/>
      <c r="C5956" s="3"/>
    </row>
    <row r="5957" spans="1:3" x14ac:dyDescent="0.25">
      <c r="A5957" s="2"/>
      <c r="B5957" s="3"/>
      <c r="C5957" s="3"/>
    </row>
    <row r="5958" spans="1:3" x14ac:dyDescent="0.25">
      <c r="A5958" s="2"/>
      <c r="B5958" s="3"/>
      <c r="C5958" s="3"/>
    </row>
    <row r="5959" spans="1:3" x14ac:dyDescent="0.25">
      <c r="A5959" s="2"/>
      <c r="B5959" s="3"/>
      <c r="C5959" s="3"/>
    </row>
    <row r="5960" spans="1:3" x14ac:dyDescent="0.25">
      <c r="A5960" s="2"/>
      <c r="B5960" s="3"/>
      <c r="C5960" s="3"/>
    </row>
    <row r="5961" spans="1:3" x14ac:dyDescent="0.25">
      <c r="A5961" s="2"/>
      <c r="B5961" s="3"/>
      <c r="C5961" s="3"/>
    </row>
    <row r="5962" spans="1:3" x14ac:dyDescent="0.25">
      <c r="A5962" s="2"/>
      <c r="B5962" s="3"/>
      <c r="C5962" s="3"/>
    </row>
    <row r="5963" spans="1:3" x14ac:dyDescent="0.25">
      <c r="A5963" s="2"/>
      <c r="B5963" s="3"/>
      <c r="C5963" s="3"/>
    </row>
    <row r="5964" spans="1:3" x14ac:dyDescent="0.25">
      <c r="A5964" s="2"/>
      <c r="B5964" s="3"/>
      <c r="C5964" s="3"/>
    </row>
    <row r="5965" spans="1:3" x14ac:dyDescent="0.25">
      <c r="A5965" s="2"/>
      <c r="B5965" s="3"/>
      <c r="C5965" s="3"/>
    </row>
    <row r="5966" spans="1:3" x14ac:dyDescent="0.25">
      <c r="A5966" s="2"/>
      <c r="B5966" s="3"/>
      <c r="C5966" s="3"/>
    </row>
    <row r="5967" spans="1:3" x14ac:dyDescent="0.25">
      <c r="A5967" s="2"/>
      <c r="B5967" s="3"/>
      <c r="C5967" s="3"/>
    </row>
    <row r="5968" spans="1:3" x14ac:dyDescent="0.25">
      <c r="A5968" s="2"/>
      <c r="B5968" s="3"/>
      <c r="C5968" s="3"/>
    </row>
    <row r="5969" spans="1:3" x14ac:dyDescent="0.25">
      <c r="A5969" s="2"/>
      <c r="B5969" s="3"/>
      <c r="C5969" s="3"/>
    </row>
    <row r="5970" spans="1:3" x14ac:dyDescent="0.25">
      <c r="A5970" s="2"/>
      <c r="B5970" s="3"/>
      <c r="C5970" s="3"/>
    </row>
    <row r="5971" spans="1:3" x14ac:dyDescent="0.25">
      <c r="A5971" s="2"/>
      <c r="B5971" s="3"/>
      <c r="C5971" s="3"/>
    </row>
    <row r="5972" spans="1:3" x14ac:dyDescent="0.25">
      <c r="A5972" s="2"/>
      <c r="B5972" s="3"/>
      <c r="C5972" s="3"/>
    </row>
    <row r="5973" spans="1:3" x14ac:dyDescent="0.25">
      <c r="A5973" s="2"/>
      <c r="B5973" s="3"/>
      <c r="C5973" s="3"/>
    </row>
    <row r="5974" spans="1:3" x14ac:dyDescent="0.25">
      <c r="A5974" s="2"/>
      <c r="B5974" s="3"/>
      <c r="C5974" s="3"/>
    </row>
    <row r="5975" spans="1:3" x14ac:dyDescent="0.25">
      <c r="A5975" s="2"/>
      <c r="B5975" s="3"/>
      <c r="C5975" s="3"/>
    </row>
    <row r="5976" spans="1:3" x14ac:dyDescent="0.25">
      <c r="A5976" s="2"/>
      <c r="B5976" s="3"/>
      <c r="C5976" s="3"/>
    </row>
    <row r="5977" spans="1:3" x14ac:dyDescent="0.25">
      <c r="A5977" s="2"/>
      <c r="B5977" s="3"/>
      <c r="C5977" s="3"/>
    </row>
    <row r="5978" spans="1:3" x14ac:dyDescent="0.25">
      <c r="A5978" s="2"/>
      <c r="B5978" s="3"/>
      <c r="C5978" s="3"/>
    </row>
    <row r="5979" spans="1:3" x14ac:dyDescent="0.25">
      <c r="A5979" s="2"/>
      <c r="B5979" s="3"/>
      <c r="C5979" s="3"/>
    </row>
    <row r="5980" spans="1:3" x14ac:dyDescent="0.25">
      <c r="A5980" s="2"/>
      <c r="B5980" s="3"/>
      <c r="C5980" s="3"/>
    </row>
    <row r="5981" spans="1:3" x14ac:dyDescent="0.25">
      <c r="A5981" s="2"/>
      <c r="B5981" s="3"/>
      <c r="C5981" s="3"/>
    </row>
    <row r="5982" spans="1:3" x14ac:dyDescent="0.25">
      <c r="A5982" s="2"/>
      <c r="B5982" s="3"/>
      <c r="C5982" s="3"/>
    </row>
    <row r="5983" spans="1:3" x14ac:dyDescent="0.25">
      <c r="A5983" s="2"/>
      <c r="B5983" s="3"/>
      <c r="C5983" s="3"/>
    </row>
    <row r="5984" spans="1:3" x14ac:dyDescent="0.25">
      <c r="A5984" s="2"/>
      <c r="B5984" s="3"/>
      <c r="C5984" s="3"/>
    </row>
    <row r="5985" spans="1:3" x14ac:dyDescent="0.25">
      <c r="A5985" s="2"/>
      <c r="B5985" s="3"/>
      <c r="C5985" s="3"/>
    </row>
    <row r="5986" spans="1:3" x14ac:dyDescent="0.25">
      <c r="A5986" s="2"/>
      <c r="B5986" s="3"/>
      <c r="C5986" s="3"/>
    </row>
    <row r="5987" spans="1:3" x14ac:dyDescent="0.25">
      <c r="A5987" s="2"/>
      <c r="B5987" s="3"/>
      <c r="C5987" s="3"/>
    </row>
    <row r="5988" spans="1:3" x14ac:dyDescent="0.25">
      <c r="A5988" s="2"/>
      <c r="B5988" s="3"/>
      <c r="C5988" s="3"/>
    </row>
    <row r="5989" spans="1:3" x14ac:dyDescent="0.25">
      <c r="A5989" s="2"/>
      <c r="B5989" s="3"/>
      <c r="C5989" s="3"/>
    </row>
    <row r="5990" spans="1:3" x14ac:dyDescent="0.25">
      <c r="A5990" s="2"/>
      <c r="B5990" s="3"/>
      <c r="C5990" s="3"/>
    </row>
    <row r="5991" spans="1:3" x14ac:dyDescent="0.25">
      <c r="A5991" s="2"/>
      <c r="B5991" s="3"/>
      <c r="C5991" s="3"/>
    </row>
    <row r="5992" spans="1:3" x14ac:dyDescent="0.25">
      <c r="A5992" s="2"/>
      <c r="B5992" s="3"/>
      <c r="C5992" s="3"/>
    </row>
    <row r="5993" spans="1:3" x14ac:dyDescent="0.25">
      <c r="A5993" s="2"/>
      <c r="B5993" s="3"/>
      <c r="C5993" s="3"/>
    </row>
    <row r="5994" spans="1:3" x14ac:dyDescent="0.25">
      <c r="A5994" s="2"/>
      <c r="B5994" s="3"/>
      <c r="C5994" s="3"/>
    </row>
    <row r="5995" spans="1:3" x14ac:dyDescent="0.25">
      <c r="A5995" s="2"/>
      <c r="B5995" s="3"/>
      <c r="C5995" s="3"/>
    </row>
    <row r="5996" spans="1:3" x14ac:dyDescent="0.25">
      <c r="A5996" s="2"/>
      <c r="B5996" s="3"/>
      <c r="C5996" s="3"/>
    </row>
    <row r="5997" spans="1:3" x14ac:dyDescent="0.25">
      <c r="A5997" s="2"/>
      <c r="B5997" s="3"/>
      <c r="C5997" s="3"/>
    </row>
    <row r="5998" spans="1:3" x14ac:dyDescent="0.25">
      <c r="A5998" s="2"/>
      <c r="B5998" s="3"/>
      <c r="C5998" s="3"/>
    </row>
    <row r="5999" spans="1:3" x14ac:dyDescent="0.25">
      <c r="A5999" s="2"/>
      <c r="B5999" s="3"/>
      <c r="C5999" s="3"/>
    </row>
    <row r="6000" spans="1:3" x14ac:dyDescent="0.25">
      <c r="A6000" s="2"/>
      <c r="B6000" s="3"/>
      <c r="C6000" s="3"/>
    </row>
    <row r="6001" spans="1:3" x14ac:dyDescent="0.25">
      <c r="A6001" s="2"/>
      <c r="B6001" s="3"/>
      <c r="C6001" s="3"/>
    </row>
    <row r="6002" spans="1:3" x14ac:dyDescent="0.25">
      <c r="A6002" s="2"/>
      <c r="B6002" s="3"/>
      <c r="C6002" s="3"/>
    </row>
    <row r="6003" spans="1:3" x14ac:dyDescent="0.25">
      <c r="A6003" s="2"/>
      <c r="B6003" s="3"/>
      <c r="C6003" s="3"/>
    </row>
    <row r="6004" spans="1:3" x14ac:dyDescent="0.25">
      <c r="A6004" s="2"/>
      <c r="B6004" s="3"/>
      <c r="C6004" s="3"/>
    </row>
    <row r="6005" spans="1:3" x14ac:dyDescent="0.25">
      <c r="A6005" s="2"/>
      <c r="B6005" s="3"/>
      <c r="C6005" s="3"/>
    </row>
    <row r="6006" spans="1:3" x14ac:dyDescent="0.25">
      <c r="A6006" s="2"/>
      <c r="B6006" s="3"/>
      <c r="C6006" s="3"/>
    </row>
    <row r="6007" spans="1:3" x14ac:dyDescent="0.25">
      <c r="A6007" s="2"/>
      <c r="B6007" s="3"/>
      <c r="C6007" s="3"/>
    </row>
    <row r="6008" spans="1:3" x14ac:dyDescent="0.25">
      <c r="A6008" s="2"/>
      <c r="B6008" s="3"/>
      <c r="C6008" s="3"/>
    </row>
    <row r="6009" spans="1:3" x14ac:dyDescent="0.25">
      <c r="A6009" s="2"/>
      <c r="B6009" s="3"/>
      <c r="C6009" s="3"/>
    </row>
    <row r="6010" spans="1:3" x14ac:dyDescent="0.25">
      <c r="A6010" s="2"/>
      <c r="B6010" s="3"/>
      <c r="C6010" s="3"/>
    </row>
    <row r="6011" spans="1:3" x14ac:dyDescent="0.25">
      <c r="A6011" s="2"/>
      <c r="B6011" s="3"/>
      <c r="C6011" s="3"/>
    </row>
    <row r="6012" spans="1:3" x14ac:dyDescent="0.25">
      <c r="A6012" s="2"/>
      <c r="B6012" s="3"/>
      <c r="C6012" s="3"/>
    </row>
    <row r="6013" spans="1:3" x14ac:dyDescent="0.25">
      <c r="A6013" s="2"/>
      <c r="B6013" s="3"/>
      <c r="C6013" s="3"/>
    </row>
    <row r="6014" spans="1:3" x14ac:dyDescent="0.25">
      <c r="A6014" s="2"/>
      <c r="B6014" s="3"/>
      <c r="C6014" s="3"/>
    </row>
    <row r="6015" spans="1:3" x14ac:dyDescent="0.25">
      <c r="A6015" s="2"/>
      <c r="B6015" s="3"/>
      <c r="C6015" s="3"/>
    </row>
    <row r="6016" spans="1:3" x14ac:dyDescent="0.25">
      <c r="A6016" s="2"/>
      <c r="B6016" s="3"/>
      <c r="C6016" s="3"/>
    </row>
    <row r="6017" spans="1:3" x14ac:dyDescent="0.25">
      <c r="A6017" s="2"/>
      <c r="B6017" s="3"/>
      <c r="C6017" s="3"/>
    </row>
    <row r="6018" spans="1:3" x14ac:dyDescent="0.25">
      <c r="A6018" s="2"/>
      <c r="B6018" s="3"/>
      <c r="C6018" s="3"/>
    </row>
    <row r="6019" spans="1:3" x14ac:dyDescent="0.25">
      <c r="A6019" s="2"/>
      <c r="B6019" s="3"/>
      <c r="C6019" s="3"/>
    </row>
    <row r="6020" spans="1:3" x14ac:dyDescent="0.25">
      <c r="A6020" s="2"/>
      <c r="B6020" s="3"/>
      <c r="C6020" s="3"/>
    </row>
    <row r="6021" spans="1:3" x14ac:dyDescent="0.25">
      <c r="A6021" s="2"/>
      <c r="B6021" s="3"/>
      <c r="C6021" s="3"/>
    </row>
    <row r="6022" spans="1:3" x14ac:dyDescent="0.25">
      <c r="A6022" s="2"/>
      <c r="B6022" s="3"/>
      <c r="C6022" s="3"/>
    </row>
    <row r="6023" spans="1:3" x14ac:dyDescent="0.25">
      <c r="A6023" s="2"/>
      <c r="B6023" s="3"/>
      <c r="C6023" s="3"/>
    </row>
    <row r="6024" spans="1:3" x14ac:dyDescent="0.25">
      <c r="A6024" s="2"/>
      <c r="B6024" s="3"/>
      <c r="C6024" s="3"/>
    </row>
    <row r="6025" spans="1:3" x14ac:dyDescent="0.25">
      <c r="A6025" s="2"/>
      <c r="B6025" s="3"/>
      <c r="C6025" s="3"/>
    </row>
    <row r="6026" spans="1:3" x14ac:dyDescent="0.25">
      <c r="A6026" s="2"/>
      <c r="B6026" s="3"/>
      <c r="C6026" s="3"/>
    </row>
    <row r="6027" spans="1:3" x14ac:dyDescent="0.25">
      <c r="A6027" s="2"/>
      <c r="B6027" s="3"/>
      <c r="C6027" s="3"/>
    </row>
    <row r="6028" spans="1:3" x14ac:dyDescent="0.25">
      <c r="A6028" s="2"/>
      <c r="B6028" s="3"/>
      <c r="C6028" s="3"/>
    </row>
    <row r="6029" spans="1:3" x14ac:dyDescent="0.25">
      <c r="A6029" s="2"/>
      <c r="B6029" s="3"/>
      <c r="C6029" s="3"/>
    </row>
    <row r="6030" spans="1:3" x14ac:dyDescent="0.25">
      <c r="A6030" s="2"/>
      <c r="B6030" s="3"/>
      <c r="C6030" s="3"/>
    </row>
    <row r="6031" spans="1:3" x14ac:dyDescent="0.25">
      <c r="A6031" s="2"/>
      <c r="B6031" s="3"/>
      <c r="C6031" s="3"/>
    </row>
    <row r="6032" spans="1:3" x14ac:dyDescent="0.25">
      <c r="A6032" s="2"/>
      <c r="B6032" s="3"/>
      <c r="C6032" s="3"/>
    </row>
    <row r="6033" spans="1:3" x14ac:dyDescent="0.25">
      <c r="A6033" s="2"/>
      <c r="B6033" s="3"/>
      <c r="C6033" s="3"/>
    </row>
    <row r="6034" spans="1:3" x14ac:dyDescent="0.25">
      <c r="A6034" s="2"/>
      <c r="B6034" s="3"/>
      <c r="C6034" s="3"/>
    </row>
    <row r="6035" spans="1:3" x14ac:dyDescent="0.25">
      <c r="A6035" s="2"/>
      <c r="B6035" s="3"/>
      <c r="C6035" s="3"/>
    </row>
    <row r="6036" spans="1:3" x14ac:dyDescent="0.25">
      <c r="A6036" s="2"/>
      <c r="B6036" s="3"/>
      <c r="C6036" s="3"/>
    </row>
    <row r="6037" spans="1:3" x14ac:dyDescent="0.25">
      <c r="A6037" s="2"/>
      <c r="B6037" s="3"/>
      <c r="C6037" s="3"/>
    </row>
    <row r="6038" spans="1:3" x14ac:dyDescent="0.25">
      <c r="A6038" s="2"/>
      <c r="B6038" s="3"/>
      <c r="C6038" s="3"/>
    </row>
    <row r="6039" spans="1:3" x14ac:dyDescent="0.25">
      <c r="A6039" s="2"/>
      <c r="B6039" s="3"/>
      <c r="C6039" s="3"/>
    </row>
    <row r="6040" spans="1:3" x14ac:dyDescent="0.25">
      <c r="A6040" s="2"/>
      <c r="B6040" s="3"/>
      <c r="C6040" s="3"/>
    </row>
    <row r="6041" spans="1:3" x14ac:dyDescent="0.25">
      <c r="A6041" s="2"/>
      <c r="B6041" s="3"/>
      <c r="C6041" s="3"/>
    </row>
    <row r="6042" spans="1:3" x14ac:dyDescent="0.25">
      <c r="A6042" s="2"/>
      <c r="B6042" s="3"/>
      <c r="C6042" s="3"/>
    </row>
    <row r="6043" spans="1:3" x14ac:dyDescent="0.25">
      <c r="A6043" s="2"/>
      <c r="B6043" s="3"/>
      <c r="C6043" s="3"/>
    </row>
    <row r="6044" spans="1:3" x14ac:dyDescent="0.25">
      <c r="A6044" s="2"/>
      <c r="B6044" s="3"/>
      <c r="C6044" s="3"/>
    </row>
    <row r="6045" spans="1:3" x14ac:dyDescent="0.25">
      <c r="A6045" s="2"/>
      <c r="B6045" s="3"/>
      <c r="C6045" s="3"/>
    </row>
    <row r="6046" spans="1:3" x14ac:dyDescent="0.25">
      <c r="A6046" s="2"/>
      <c r="B6046" s="3"/>
      <c r="C6046" s="3"/>
    </row>
    <row r="6047" spans="1:3" x14ac:dyDescent="0.25">
      <c r="A6047" s="2"/>
      <c r="B6047" s="3"/>
      <c r="C6047" s="3"/>
    </row>
    <row r="6048" spans="1:3" x14ac:dyDescent="0.25">
      <c r="A6048" s="2"/>
      <c r="B6048" s="3"/>
      <c r="C6048" s="3"/>
    </row>
    <row r="6049" spans="1:3" x14ac:dyDescent="0.25">
      <c r="A6049" s="2"/>
      <c r="B6049" s="3"/>
      <c r="C6049" s="3"/>
    </row>
    <row r="6050" spans="1:3" x14ac:dyDescent="0.25">
      <c r="A6050" s="2"/>
      <c r="B6050" s="3"/>
      <c r="C6050" s="3"/>
    </row>
    <row r="6051" spans="1:3" x14ac:dyDescent="0.25">
      <c r="A6051" s="2"/>
      <c r="B6051" s="3"/>
      <c r="C6051" s="3"/>
    </row>
    <row r="6052" spans="1:3" x14ac:dyDescent="0.25">
      <c r="A6052" s="2"/>
      <c r="B6052" s="3"/>
      <c r="C6052" s="3"/>
    </row>
    <row r="6053" spans="1:3" x14ac:dyDescent="0.25">
      <c r="A6053" s="2"/>
      <c r="B6053" s="3"/>
      <c r="C6053" s="3"/>
    </row>
    <row r="6054" spans="1:3" x14ac:dyDescent="0.25">
      <c r="A6054" s="2"/>
      <c r="B6054" s="3"/>
      <c r="C6054" s="3"/>
    </row>
    <row r="6055" spans="1:3" x14ac:dyDescent="0.25">
      <c r="A6055" s="2"/>
      <c r="B6055" s="3"/>
      <c r="C6055" s="3"/>
    </row>
    <row r="6056" spans="1:3" x14ac:dyDescent="0.25">
      <c r="A6056" s="2"/>
      <c r="B6056" s="3"/>
      <c r="C6056" s="3"/>
    </row>
    <row r="6057" spans="1:3" x14ac:dyDescent="0.25">
      <c r="A6057" s="2"/>
      <c r="B6057" s="3"/>
      <c r="C6057" s="3"/>
    </row>
    <row r="6058" spans="1:3" x14ac:dyDescent="0.25">
      <c r="A6058" s="2"/>
      <c r="B6058" s="3"/>
      <c r="C6058" s="3"/>
    </row>
    <row r="6059" spans="1:3" x14ac:dyDescent="0.25">
      <c r="A6059" s="2"/>
      <c r="B6059" s="3"/>
      <c r="C6059" s="3"/>
    </row>
    <row r="6060" spans="1:3" x14ac:dyDescent="0.25">
      <c r="A6060" s="2"/>
      <c r="B6060" s="3"/>
      <c r="C6060" s="3"/>
    </row>
    <row r="6061" spans="1:3" x14ac:dyDescent="0.25">
      <c r="A6061" s="2"/>
      <c r="B6061" s="3"/>
      <c r="C6061" s="3"/>
    </row>
    <row r="6062" spans="1:3" x14ac:dyDescent="0.25">
      <c r="A6062" s="2"/>
      <c r="B6062" s="3"/>
      <c r="C6062" s="3"/>
    </row>
    <row r="6063" spans="1:3" x14ac:dyDescent="0.25">
      <c r="A6063" s="2"/>
      <c r="B6063" s="3"/>
      <c r="C6063" s="3"/>
    </row>
    <row r="6064" spans="1:3" x14ac:dyDescent="0.25">
      <c r="A6064" s="2"/>
      <c r="B6064" s="3"/>
      <c r="C6064" s="3"/>
    </row>
    <row r="6065" spans="1:3" x14ac:dyDescent="0.25">
      <c r="A6065" s="2"/>
      <c r="B6065" s="3"/>
      <c r="C6065" s="3"/>
    </row>
    <row r="6066" spans="1:3" x14ac:dyDescent="0.25">
      <c r="A6066" s="2"/>
      <c r="B6066" s="3"/>
      <c r="C6066" s="3"/>
    </row>
    <row r="6067" spans="1:3" x14ac:dyDescent="0.25">
      <c r="A6067" s="2"/>
      <c r="B6067" s="3"/>
      <c r="C6067" s="3"/>
    </row>
    <row r="6068" spans="1:3" x14ac:dyDescent="0.25">
      <c r="A6068" s="2"/>
      <c r="B6068" s="3"/>
      <c r="C6068" s="3"/>
    </row>
    <row r="6069" spans="1:3" x14ac:dyDescent="0.25">
      <c r="A6069" s="2"/>
      <c r="B6069" s="3"/>
      <c r="C6069" s="3"/>
    </row>
    <row r="6070" spans="1:3" x14ac:dyDescent="0.25">
      <c r="A6070" s="2"/>
      <c r="B6070" s="3"/>
      <c r="C6070" s="3"/>
    </row>
    <row r="6071" spans="1:3" x14ac:dyDescent="0.25">
      <c r="A6071" s="2"/>
      <c r="B6071" s="3"/>
      <c r="C6071" s="3"/>
    </row>
    <row r="6072" spans="1:3" x14ac:dyDescent="0.25">
      <c r="A6072" s="2"/>
      <c r="B6072" s="3"/>
      <c r="C6072" s="3"/>
    </row>
    <row r="6073" spans="1:3" x14ac:dyDescent="0.25">
      <c r="A6073" s="2"/>
      <c r="B6073" s="3"/>
      <c r="C6073" s="3"/>
    </row>
    <row r="6074" spans="1:3" x14ac:dyDescent="0.25">
      <c r="A6074" s="2"/>
      <c r="B6074" s="3"/>
      <c r="C6074" s="3"/>
    </row>
    <row r="6075" spans="1:3" x14ac:dyDescent="0.25">
      <c r="A6075" s="2"/>
      <c r="B6075" s="3"/>
      <c r="C6075" s="3"/>
    </row>
    <row r="6076" spans="1:3" x14ac:dyDescent="0.25">
      <c r="A6076" s="2"/>
      <c r="B6076" s="3"/>
      <c r="C6076" s="3"/>
    </row>
    <row r="6077" spans="1:3" x14ac:dyDescent="0.25">
      <c r="A6077" s="2"/>
      <c r="B6077" s="3"/>
      <c r="C6077" s="3"/>
    </row>
    <row r="6078" spans="1:3" x14ac:dyDescent="0.25">
      <c r="A6078" s="2"/>
      <c r="B6078" s="3"/>
      <c r="C6078" s="3"/>
    </row>
    <row r="6079" spans="1:3" x14ac:dyDescent="0.25">
      <c r="A6079" s="2"/>
      <c r="B6079" s="3"/>
      <c r="C6079" s="3"/>
    </row>
    <row r="6080" spans="1:3" x14ac:dyDescent="0.25">
      <c r="A6080" s="2"/>
      <c r="B6080" s="3"/>
      <c r="C6080" s="3"/>
    </row>
    <row r="6081" spans="1:3" x14ac:dyDescent="0.25">
      <c r="A6081" s="2"/>
      <c r="B6081" s="3"/>
      <c r="C6081" s="3"/>
    </row>
    <row r="6082" spans="1:3" x14ac:dyDescent="0.25">
      <c r="A6082" s="2"/>
      <c r="B6082" s="3"/>
      <c r="C6082" s="3"/>
    </row>
    <row r="6083" spans="1:3" x14ac:dyDescent="0.25">
      <c r="A6083" s="2"/>
      <c r="B6083" s="3"/>
      <c r="C6083" s="3"/>
    </row>
    <row r="6084" spans="1:3" x14ac:dyDescent="0.25">
      <c r="A6084" s="2"/>
      <c r="B6084" s="3"/>
      <c r="C6084" s="3"/>
    </row>
    <row r="6085" spans="1:3" x14ac:dyDescent="0.25">
      <c r="A6085" s="2"/>
      <c r="B6085" s="3"/>
      <c r="C6085" s="3"/>
    </row>
    <row r="6086" spans="1:3" x14ac:dyDescent="0.25">
      <c r="A6086" s="2"/>
      <c r="B6086" s="3"/>
      <c r="C6086" s="3"/>
    </row>
    <row r="6087" spans="1:3" x14ac:dyDescent="0.25">
      <c r="A6087" s="2"/>
      <c r="B6087" s="3"/>
      <c r="C6087" s="3"/>
    </row>
    <row r="6088" spans="1:3" x14ac:dyDescent="0.25">
      <c r="A6088" s="2"/>
      <c r="B6088" s="3"/>
      <c r="C6088" s="3"/>
    </row>
    <row r="6089" spans="1:3" x14ac:dyDescent="0.25">
      <c r="A6089" s="2"/>
      <c r="B6089" s="3"/>
      <c r="C6089" s="3"/>
    </row>
    <row r="6090" spans="1:3" x14ac:dyDescent="0.25">
      <c r="A6090" s="2"/>
      <c r="B6090" s="3"/>
      <c r="C6090" s="3"/>
    </row>
    <row r="6091" spans="1:3" x14ac:dyDescent="0.25">
      <c r="A6091" s="2"/>
      <c r="B6091" s="3"/>
      <c r="C6091" s="3"/>
    </row>
    <row r="6092" spans="1:3" x14ac:dyDescent="0.25">
      <c r="A6092" s="2"/>
      <c r="B6092" s="3"/>
      <c r="C6092" s="3"/>
    </row>
    <row r="6093" spans="1:3" x14ac:dyDescent="0.25">
      <c r="A6093" s="2"/>
      <c r="B6093" s="3"/>
      <c r="C6093" s="3"/>
    </row>
    <row r="6094" spans="1:3" x14ac:dyDescent="0.25">
      <c r="A6094" s="2"/>
      <c r="B6094" s="3"/>
      <c r="C6094" s="3"/>
    </row>
    <row r="6095" spans="1:3" x14ac:dyDescent="0.25">
      <c r="A6095" s="2"/>
      <c r="B6095" s="3"/>
      <c r="C6095" s="3"/>
    </row>
    <row r="6096" spans="1:3" x14ac:dyDescent="0.25">
      <c r="A6096" s="2"/>
      <c r="B6096" s="3"/>
      <c r="C6096" s="3"/>
    </row>
    <row r="6097" spans="1:3" x14ac:dyDescent="0.25">
      <c r="A6097" s="2"/>
      <c r="B6097" s="3"/>
      <c r="C6097" s="3"/>
    </row>
    <row r="6098" spans="1:3" x14ac:dyDescent="0.25">
      <c r="A6098" s="2"/>
      <c r="B6098" s="3"/>
      <c r="C6098" s="3"/>
    </row>
    <row r="6099" spans="1:3" x14ac:dyDescent="0.25">
      <c r="A6099" s="2"/>
      <c r="B6099" s="3"/>
      <c r="C6099" s="3"/>
    </row>
    <row r="6100" spans="1:3" x14ac:dyDescent="0.25">
      <c r="A6100" s="2"/>
      <c r="B6100" s="3"/>
      <c r="C6100" s="3"/>
    </row>
    <row r="6101" spans="1:3" x14ac:dyDescent="0.25">
      <c r="A6101" s="2"/>
      <c r="B6101" s="3"/>
      <c r="C6101" s="3"/>
    </row>
    <row r="6102" spans="1:3" x14ac:dyDescent="0.25">
      <c r="A6102" s="2"/>
      <c r="B6102" s="3"/>
      <c r="C6102" s="3"/>
    </row>
    <row r="6103" spans="1:3" x14ac:dyDescent="0.25">
      <c r="A6103" s="2"/>
      <c r="B6103" s="3"/>
      <c r="C6103" s="3"/>
    </row>
    <row r="6104" spans="1:3" x14ac:dyDescent="0.25">
      <c r="A6104" s="2"/>
      <c r="B6104" s="3"/>
      <c r="C6104" s="3"/>
    </row>
    <row r="6105" spans="1:3" x14ac:dyDescent="0.25">
      <c r="A6105" s="2"/>
      <c r="B6105" s="3"/>
      <c r="C6105" s="3"/>
    </row>
    <row r="6106" spans="1:3" x14ac:dyDescent="0.25">
      <c r="A6106" s="2"/>
      <c r="B6106" s="3"/>
      <c r="C6106" s="3"/>
    </row>
    <row r="6107" spans="1:3" x14ac:dyDescent="0.25">
      <c r="A6107" s="2"/>
      <c r="B6107" s="3"/>
      <c r="C6107" s="3"/>
    </row>
    <row r="6108" spans="1:3" x14ac:dyDescent="0.25">
      <c r="A6108" s="2"/>
      <c r="B6108" s="3"/>
      <c r="C6108" s="3"/>
    </row>
    <row r="6109" spans="1:3" x14ac:dyDescent="0.25">
      <c r="A6109" s="2"/>
      <c r="B6109" s="3"/>
      <c r="C6109" s="3"/>
    </row>
    <row r="6110" spans="1:3" x14ac:dyDescent="0.25">
      <c r="A6110" s="2"/>
      <c r="B6110" s="3"/>
      <c r="C6110" s="3"/>
    </row>
    <row r="6111" spans="1:3" x14ac:dyDescent="0.25">
      <c r="A6111" s="2"/>
      <c r="B6111" s="3"/>
      <c r="C6111" s="3"/>
    </row>
    <row r="6112" spans="1:3" x14ac:dyDescent="0.25">
      <c r="A6112" s="2"/>
      <c r="B6112" s="3"/>
      <c r="C6112" s="3"/>
    </row>
    <row r="6113" spans="1:3" x14ac:dyDescent="0.25">
      <c r="A6113" s="2"/>
      <c r="B6113" s="3"/>
      <c r="C6113" s="3"/>
    </row>
    <row r="6114" spans="1:3" x14ac:dyDescent="0.25">
      <c r="A6114" s="2"/>
      <c r="B6114" s="3"/>
      <c r="C6114" s="3"/>
    </row>
    <row r="6115" spans="1:3" x14ac:dyDescent="0.25">
      <c r="A6115" s="2"/>
      <c r="B6115" s="3"/>
      <c r="C6115" s="3"/>
    </row>
    <row r="6116" spans="1:3" x14ac:dyDescent="0.25">
      <c r="A6116" s="2"/>
      <c r="B6116" s="3"/>
      <c r="C6116" s="3"/>
    </row>
    <row r="6117" spans="1:3" x14ac:dyDescent="0.25">
      <c r="A6117" s="2"/>
      <c r="B6117" s="3"/>
      <c r="C6117" s="3"/>
    </row>
    <row r="6118" spans="1:3" x14ac:dyDescent="0.25">
      <c r="A6118" s="2"/>
      <c r="B6118" s="3"/>
      <c r="C6118" s="3"/>
    </row>
    <row r="6119" spans="1:3" x14ac:dyDescent="0.25">
      <c r="A6119" s="2"/>
      <c r="B6119" s="3"/>
      <c r="C6119" s="3"/>
    </row>
    <row r="6120" spans="1:3" x14ac:dyDescent="0.25">
      <c r="A6120" s="2"/>
      <c r="B6120" s="3"/>
      <c r="C6120" s="3"/>
    </row>
    <row r="6121" spans="1:3" x14ac:dyDescent="0.25">
      <c r="A6121" s="2"/>
      <c r="B6121" s="3"/>
      <c r="C6121" s="3"/>
    </row>
    <row r="6122" spans="1:3" x14ac:dyDescent="0.25">
      <c r="A6122" s="2"/>
      <c r="B6122" s="3"/>
      <c r="C6122" s="3"/>
    </row>
    <row r="6123" spans="1:3" x14ac:dyDescent="0.25">
      <c r="A6123" s="2"/>
      <c r="B6123" s="3"/>
      <c r="C6123" s="3"/>
    </row>
    <row r="6124" spans="1:3" x14ac:dyDescent="0.25">
      <c r="A6124" s="2"/>
      <c r="B6124" s="3"/>
      <c r="C6124" s="3"/>
    </row>
    <row r="6125" spans="1:3" x14ac:dyDescent="0.25">
      <c r="A6125" s="2"/>
      <c r="B6125" s="3"/>
      <c r="C6125" s="3"/>
    </row>
    <row r="6126" spans="1:3" x14ac:dyDescent="0.25">
      <c r="A6126" s="2"/>
      <c r="B6126" s="3"/>
      <c r="C6126" s="3"/>
    </row>
    <row r="6127" spans="1:3" x14ac:dyDescent="0.25">
      <c r="A6127" s="2"/>
      <c r="B6127" s="3"/>
      <c r="C6127" s="3"/>
    </row>
    <row r="6128" spans="1:3" x14ac:dyDescent="0.25">
      <c r="A6128" s="2"/>
      <c r="B6128" s="3"/>
      <c r="C6128" s="3"/>
    </row>
    <row r="6129" spans="1:3" x14ac:dyDescent="0.25">
      <c r="A6129" s="2"/>
      <c r="B6129" s="3"/>
      <c r="C6129" s="3"/>
    </row>
    <row r="6130" spans="1:3" x14ac:dyDescent="0.25">
      <c r="A6130" s="2"/>
      <c r="B6130" s="3"/>
      <c r="C6130" s="3"/>
    </row>
    <row r="6131" spans="1:3" x14ac:dyDescent="0.25">
      <c r="A6131" s="2"/>
      <c r="B6131" s="3"/>
      <c r="C6131" s="3"/>
    </row>
    <row r="6132" spans="1:3" x14ac:dyDescent="0.25">
      <c r="A6132" s="2"/>
      <c r="B6132" s="3"/>
      <c r="C6132" s="3"/>
    </row>
    <row r="6133" spans="1:3" x14ac:dyDescent="0.25">
      <c r="A6133" s="2"/>
      <c r="B6133" s="3"/>
      <c r="C6133" s="3"/>
    </row>
    <row r="6134" spans="1:3" x14ac:dyDescent="0.25">
      <c r="A6134" s="2"/>
      <c r="B6134" s="3"/>
      <c r="C6134" s="3"/>
    </row>
    <row r="6135" spans="1:3" x14ac:dyDescent="0.25">
      <c r="A6135" s="2"/>
      <c r="B6135" s="3"/>
      <c r="C6135" s="3"/>
    </row>
    <row r="6136" spans="1:3" x14ac:dyDescent="0.25">
      <c r="A6136" s="2"/>
      <c r="B6136" s="3"/>
      <c r="C6136" s="3"/>
    </row>
    <row r="6137" spans="1:3" x14ac:dyDescent="0.25">
      <c r="A6137" s="2"/>
      <c r="B6137" s="3"/>
      <c r="C6137" s="3"/>
    </row>
    <row r="6138" spans="1:3" x14ac:dyDescent="0.25">
      <c r="A6138" s="2"/>
      <c r="B6138" s="3"/>
      <c r="C6138" s="3"/>
    </row>
    <row r="6139" spans="1:3" x14ac:dyDescent="0.25">
      <c r="A6139" s="2"/>
      <c r="B6139" s="3"/>
      <c r="C6139" s="3"/>
    </row>
    <row r="6140" spans="1:3" x14ac:dyDescent="0.25">
      <c r="A6140" s="2"/>
      <c r="B6140" s="3"/>
      <c r="C6140" s="3"/>
    </row>
    <row r="6141" spans="1:3" x14ac:dyDescent="0.25">
      <c r="A6141" s="2"/>
      <c r="B6141" s="3"/>
      <c r="C6141" s="3"/>
    </row>
    <row r="6142" spans="1:3" x14ac:dyDescent="0.25">
      <c r="A6142" s="2"/>
      <c r="B6142" s="3"/>
      <c r="C6142" s="3"/>
    </row>
    <row r="6143" spans="1:3" x14ac:dyDescent="0.25">
      <c r="A6143" s="2"/>
      <c r="B6143" s="3"/>
      <c r="C6143" s="3"/>
    </row>
    <row r="6144" spans="1:3" x14ac:dyDescent="0.25">
      <c r="A6144" s="2"/>
      <c r="B6144" s="3"/>
      <c r="C6144" s="3"/>
    </row>
    <row r="6145" spans="1:3" x14ac:dyDescent="0.25">
      <c r="A6145" s="2"/>
      <c r="B6145" s="3"/>
      <c r="C6145" s="3"/>
    </row>
    <row r="6146" spans="1:3" x14ac:dyDescent="0.25">
      <c r="A6146" s="2"/>
      <c r="B6146" s="3"/>
      <c r="C6146" s="3"/>
    </row>
    <row r="6147" spans="1:3" x14ac:dyDescent="0.25">
      <c r="A6147" s="2"/>
      <c r="B6147" s="3"/>
      <c r="C6147" s="3"/>
    </row>
    <row r="6148" spans="1:3" x14ac:dyDescent="0.25">
      <c r="A6148" s="2"/>
      <c r="B6148" s="3"/>
      <c r="C6148" s="3"/>
    </row>
    <row r="6149" spans="1:3" x14ac:dyDescent="0.25">
      <c r="A6149" s="2"/>
      <c r="B6149" s="3"/>
      <c r="C6149" s="3"/>
    </row>
    <row r="6150" spans="1:3" x14ac:dyDescent="0.25">
      <c r="A6150" s="2"/>
      <c r="B6150" s="3"/>
      <c r="C6150" s="3"/>
    </row>
    <row r="6151" spans="1:3" x14ac:dyDescent="0.25">
      <c r="A6151" s="2"/>
      <c r="B6151" s="3"/>
      <c r="C6151" s="3"/>
    </row>
    <row r="6152" spans="1:3" x14ac:dyDescent="0.25">
      <c r="A6152" s="2"/>
      <c r="B6152" s="3"/>
      <c r="C6152" s="3"/>
    </row>
    <row r="6153" spans="1:3" x14ac:dyDescent="0.25">
      <c r="A6153" s="2"/>
      <c r="B6153" s="3"/>
      <c r="C6153" s="3"/>
    </row>
    <row r="6154" spans="1:3" x14ac:dyDescent="0.25">
      <c r="A6154" s="2"/>
      <c r="B6154" s="3"/>
      <c r="C6154" s="3"/>
    </row>
    <row r="6155" spans="1:3" x14ac:dyDescent="0.25">
      <c r="A6155" s="2"/>
      <c r="B6155" s="3"/>
      <c r="C6155" s="3"/>
    </row>
    <row r="6156" spans="1:3" x14ac:dyDescent="0.25">
      <c r="A6156" s="2"/>
      <c r="B6156" s="3"/>
      <c r="C6156" s="3"/>
    </row>
    <row r="6157" spans="1:3" x14ac:dyDescent="0.25">
      <c r="A6157" s="2"/>
      <c r="B6157" s="3"/>
      <c r="C6157" s="3"/>
    </row>
    <row r="6158" spans="1:3" x14ac:dyDescent="0.25">
      <c r="A6158" s="2"/>
      <c r="B6158" s="3"/>
      <c r="C6158" s="3"/>
    </row>
    <row r="6159" spans="1:3" x14ac:dyDescent="0.25">
      <c r="A6159" s="2"/>
      <c r="B6159" s="3"/>
      <c r="C6159" s="3"/>
    </row>
    <row r="6160" spans="1:3" x14ac:dyDescent="0.25">
      <c r="A6160" s="2"/>
      <c r="B6160" s="3"/>
      <c r="C6160" s="3"/>
    </row>
    <row r="6161" spans="1:3" x14ac:dyDescent="0.25">
      <c r="A6161" s="2"/>
      <c r="B6161" s="3"/>
      <c r="C6161" s="3"/>
    </row>
    <row r="6162" spans="1:3" x14ac:dyDescent="0.25">
      <c r="A6162" s="2"/>
      <c r="B6162" s="3"/>
      <c r="C6162" s="3"/>
    </row>
    <row r="6163" spans="1:3" x14ac:dyDescent="0.25">
      <c r="A6163" s="2"/>
      <c r="B6163" s="3"/>
      <c r="C6163" s="3"/>
    </row>
    <row r="6164" spans="1:3" x14ac:dyDescent="0.25">
      <c r="A6164" s="2"/>
      <c r="B6164" s="3"/>
      <c r="C6164" s="3"/>
    </row>
    <row r="6165" spans="1:3" x14ac:dyDescent="0.25">
      <c r="A6165" s="2"/>
      <c r="B6165" s="3"/>
      <c r="C6165" s="3"/>
    </row>
    <row r="6166" spans="1:3" x14ac:dyDescent="0.25">
      <c r="A6166" s="2"/>
      <c r="B6166" s="3"/>
      <c r="C6166" s="3"/>
    </row>
    <row r="6167" spans="1:3" x14ac:dyDescent="0.25">
      <c r="A6167" s="2"/>
      <c r="B6167" s="3"/>
      <c r="C6167" s="3"/>
    </row>
    <row r="6168" spans="1:3" x14ac:dyDescent="0.25">
      <c r="A6168" s="2"/>
      <c r="B6168" s="3"/>
      <c r="C6168" s="3"/>
    </row>
    <row r="6169" spans="1:3" x14ac:dyDescent="0.25">
      <c r="A6169" s="2"/>
      <c r="B6169" s="3"/>
      <c r="C6169" s="3"/>
    </row>
    <row r="6170" spans="1:3" x14ac:dyDescent="0.25">
      <c r="A6170" s="2"/>
      <c r="B6170" s="3"/>
      <c r="C6170" s="3"/>
    </row>
    <row r="6171" spans="1:3" x14ac:dyDescent="0.25">
      <c r="A6171" s="2"/>
      <c r="B6171" s="3"/>
      <c r="C6171" s="3"/>
    </row>
    <row r="6172" spans="1:3" x14ac:dyDescent="0.25">
      <c r="A6172" s="2"/>
      <c r="B6172" s="3"/>
      <c r="C6172" s="3"/>
    </row>
    <row r="6173" spans="1:3" x14ac:dyDescent="0.25">
      <c r="A6173" s="2"/>
      <c r="B6173" s="3"/>
      <c r="C6173" s="3"/>
    </row>
    <row r="6174" spans="1:3" x14ac:dyDescent="0.25">
      <c r="A6174" s="2"/>
      <c r="B6174" s="3"/>
      <c r="C6174" s="3"/>
    </row>
    <row r="6175" spans="1:3" x14ac:dyDescent="0.25">
      <c r="A6175" s="2"/>
      <c r="B6175" s="3"/>
      <c r="C6175" s="3"/>
    </row>
    <row r="6176" spans="1:3" x14ac:dyDescent="0.25">
      <c r="A6176" s="2"/>
      <c r="B6176" s="3"/>
      <c r="C6176" s="3"/>
    </row>
    <row r="6177" spans="1:3" x14ac:dyDescent="0.25">
      <c r="A6177" s="2"/>
      <c r="B6177" s="3"/>
      <c r="C6177" s="3"/>
    </row>
    <row r="6178" spans="1:3" x14ac:dyDescent="0.25">
      <c r="A6178" s="2"/>
      <c r="B6178" s="3"/>
      <c r="C6178" s="3"/>
    </row>
    <row r="6179" spans="1:3" x14ac:dyDescent="0.25">
      <c r="A6179" s="2"/>
      <c r="B6179" s="3"/>
      <c r="C6179" s="3"/>
    </row>
    <row r="6180" spans="1:3" x14ac:dyDescent="0.25">
      <c r="A6180" s="2"/>
      <c r="B6180" s="3"/>
      <c r="C6180" s="3"/>
    </row>
    <row r="6181" spans="1:3" x14ac:dyDescent="0.25">
      <c r="A6181" s="2"/>
      <c r="B6181" s="3"/>
      <c r="C6181" s="3"/>
    </row>
    <row r="6182" spans="1:3" x14ac:dyDescent="0.25">
      <c r="A6182" s="2"/>
      <c r="B6182" s="3"/>
      <c r="C6182" s="3"/>
    </row>
    <row r="6183" spans="1:3" x14ac:dyDescent="0.25">
      <c r="A6183" s="2"/>
      <c r="B6183" s="3"/>
      <c r="C6183" s="3"/>
    </row>
    <row r="6184" spans="1:3" x14ac:dyDescent="0.25">
      <c r="A6184" s="2"/>
      <c r="B6184" s="3"/>
      <c r="C6184" s="3"/>
    </row>
    <row r="6185" spans="1:3" x14ac:dyDescent="0.25">
      <c r="A6185" s="2"/>
      <c r="B6185" s="3"/>
      <c r="C6185" s="3"/>
    </row>
    <row r="6186" spans="1:3" x14ac:dyDescent="0.25">
      <c r="A6186" s="2"/>
      <c r="B6186" s="3"/>
      <c r="C6186" s="3"/>
    </row>
    <row r="6187" spans="1:3" x14ac:dyDescent="0.25">
      <c r="A6187" s="2"/>
      <c r="B6187" s="3"/>
      <c r="C6187" s="3"/>
    </row>
    <row r="6188" spans="1:3" x14ac:dyDescent="0.25">
      <c r="A6188" s="2"/>
      <c r="B6188" s="3"/>
      <c r="C6188" s="3"/>
    </row>
    <row r="6189" spans="1:3" x14ac:dyDescent="0.25">
      <c r="A6189" s="2"/>
      <c r="B6189" s="3"/>
      <c r="C6189" s="3"/>
    </row>
    <row r="6190" spans="1:3" x14ac:dyDescent="0.25">
      <c r="A6190" s="2"/>
      <c r="B6190" s="3"/>
      <c r="C6190" s="3"/>
    </row>
    <row r="6191" spans="1:3" x14ac:dyDescent="0.25">
      <c r="A6191" s="2"/>
      <c r="B6191" s="3"/>
      <c r="C6191" s="3"/>
    </row>
    <row r="6192" spans="1:3" x14ac:dyDescent="0.25">
      <c r="A6192" s="2"/>
      <c r="B6192" s="3"/>
      <c r="C6192" s="3"/>
    </row>
    <row r="6193" spans="1:3" x14ac:dyDescent="0.25">
      <c r="A6193" s="2"/>
      <c r="B6193" s="3"/>
      <c r="C6193" s="3"/>
    </row>
    <row r="6194" spans="1:3" x14ac:dyDescent="0.25">
      <c r="A6194" s="2"/>
      <c r="B6194" s="3"/>
      <c r="C6194" s="3"/>
    </row>
    <row r="6195" spans="1:3" x14ac:dyDescent="0.25">
      <c r="A6195" s="2"/>
      <c r="B6195" s="3"/>
      <c r="C6195" s="3"/>
    </row>
    <row r="6196" spans="1:3" x14ac:dyDescent="0.25">
      <c r="A6196" s="2"/>
      <c r="B6196" s="3"/>
      <c r="C6196" s="3"/>
    </row>
    <row r="6197" spans="1:3" x14ac:dyDescent="0.25">
      <c r="A6197" s="2"/>
      <c r="B6197" s="3"/>
      <c r="C6197" s="3"/>
    </row>
    <row r="6198" spans="1:3" x14ac:dyDescent="0.25">
      <c r="A6198" s="2"/>
      <c r="B6198" s="3"/>
      <c r="C6198" s="3"/>
    </row>
    <row r="6199" spans="1:3" x14ac:dyDescent="0.25">
      <c r="A6199" s="2"/>
      <c r="B6199" s="3"/>
      <c r="C6199" s="3"/>
    </row>
    <row r="6200" spans="1:3" x14ac:dyDescent="0.25">
      <c r="A6200" s="2"/>
      <c r="B6200" s="3"/>
      <c r="C6200" s="3"/>
    </row>
    <row r="6201" spans="1:3" x14ac:dyDescent="0.25">
      <c r="A6201" s="2"/>
      <c r="B6201" s="3"/>
      <c r="C6201" s="3"/>
    </row>
    <row r="6202" spans="1:3" x14ac:dyDescent="0.25">
      <c r="A6202" s="2"/>
      <c r="B6202" s="3"/>
      <c r="C6202" s="3"/>
    </row>
    <row r="6203" spans="1:3" x14ac:dyDescent="0.25">
      <c r="A6203" s="2"/>
      <c r="B6203" s="3"/>
      <c r="C6203" s="3"/>
    </row>
    <row r="6204" spans="1:3" x14ac:dyDescent="0.25">
      <c r="A6204" s="2"/>
      <c r="B6204" s="3"/>
      <c r="C6204" s="3"/>
    </row>
    <row r="6205" spans="1:3" x14ac:dyDescent="0.25">
      <c r="A6205" s="2"/>
      <c r="B6205" s="3"/>
      <c r="C6205" s="3"/>
    </row>
    <row r="6206" spans="1:3" x14ac:dyDescent="0.25">
      <c r="A6206" s="2"/>
      <c r="B6206" s="3"/>
      <c r="C6206" s="3"/>
    </row>
    <row r="6207" spans="1:3" x14ac:dyDescent="0.25">
      <c r="A6207" s="2"/>
      <c r="B6207" s="3"/>
      <c r="C6207" s="3"/>
    </row>
    <row r="6208" spans="1:3" x14ac:dyDescent="0.25">
      <c r="A6208" s="2"/>
      <c r="B6208" s="3"/>
      <c r="C6208" s="3"/>
    </row>
    <row r="6209" spans="1:3" x14ac:dyDescent="0.25">
      <c r="A6209" s="2"/>
      <c r="B6209" s="3"/>
      <c r="C6209" s="3"/>
    </row>
    <row r="6210" spans="1:3" x14ac:dyDescent="0.25">
      <c r="A6210" s="2"/>
      <c r="B6210" s="3"/>
      <c r="C6210" s="3"/>
    </row>
    <row r="6211" spans="1:3" x14ac:dyDescent="0.25">
      <c r="A6211" s="2"/>
      <c r="B6211" s="3"/>
      <c r="C6211" s="3"/>
    </row>
    <row r="6212" spans="1:3" x14ac:dyDescent="0.25">
      <c r="A6212" s="2"/>
      <c r="B6212" s="3"/>
      <c r="C6212" s="3"/>
    </row>
    <row r="6213" spans="1:3" x14ac:dyDescent="0.25">
      <c r="A6213" s="2"/>
      <c r="B6213" s="3"/>
      <c r="C6213" s="3"/>
    </row>
    <row r="6214" spans="1:3" x14ac:dyDescent="0.25">
      <c r="A6214" s="2"/>
      <c r="B6214" s="3"/>
      <c r="C6214" s="3"/>
    </row>
    <row r="6215" spans="1:3" x14ac:dyDescent="0.25">
      <c r="A6215" s="2"/>
      <c r="B6215" s="3"/>
      <c r="C6215" s="3"/>
    </row>
    <row r="6216" spans="1:3" x14ac:dyDescent="0.25">
      <c r="A6216" s="2"/>
      <c r="B6216" s="3"/>
      <c r="C6216" s="3"/>
    </row>
    <row r="6217" spans="1:3" x14ac:dyDescent="0.25">
      <c r="A6217" s="2"/>
      <c r="B6217" s="3"/>
      <c r="C6217" s="3"/>
    </row>
    <row r="6218" spans="1:3" x14ac:dyDescent="0.25">
      <c r="A6218" s="2"/>
      <c r="B6218" s="3"/>
      <c r="C6218" s="3"/>
    </row>
    <row r="6219" spans="1:3" x14ac:dyDescent="0.25">
      <c r="A6219" s="2"/>
      <c r="B6219" s="3"/>
      <c r="C6219" s="3"/>
    </row>
    <row r="6220" spans="1:3" x14ac:dyDescent="0.25">
      <c r="A6220" s="2"/>
      <c r="B6220" s="3"/>
      <c r="C6220" s="3"/>
    </row>
    <row r="6221" spans="1:3" x14ac:dyDescent="0.25">
      <c r="A6221" s="2"/>
      <c r="B6221" s="3"/>
      <c r="C6221" s="3"/>
    </row>
    <row r="6222" spans="1:3" x14ac:dyDescent="0.25">
      <c r="A6222" s="2"/>
      <c r="B6222" s="3"/>
      <c r="C6222" s="3"/>
    </row>
    <row r="6223" spans="1:3" x14ac:dyDescent="0.25">
      <c r="A6223" s="2"/>
      <c r="B6223" s="3"/>
      <c r="C6223" s="3"/>
    </row>
    <row r="6224" spans="1:3" x14ac:dyDescent="0.25">
      <c r="A6224" s="2"/>
      <c r="B6224" s="3"/>
      <c r="C6224" s="3"/>
    </row>
    <row r="6225" spans="1:3" x14ac:dyDescent="0.25">
      <c r="A6225" s="2"/>
      <c r="B6225" s="3"/>
      <c r="C6225" s="3"/>
    </row>
    <row r="6226" spans="1:3" x14ac:dyDescent="0.25">
      <c r="A6226" s="2"/>
      <c r="B6226" s="3"/>
      <c r="C6226" s="3"/>
    </row>
    <row r="6227" spans="1:3" x14ac:dyDescent="0.25">
      <c r="A6227" s="2"/>
      <c r="B6227" s="3"/>
      <c r="C6227" s="3"/>
    </row>
    <row r="6228" spans="1:3" x14ac:dyDescent="0.25">
      <c r="A6228" s="2"/>
      <c r="B6228" s="3"/>
      <c r="C6228" s="3"/>
    </row>
    <row r="6229" spans="1:3" x14ac:dyDescent="0.25">
      <c r="A6229" s="2"/>
      <c r="B6229" s="3"/>
      <c r="C6229" s="3"/>
    </row>
    <row r="6230" spans="1:3" x14ac:dyDescent="0.25">
      <c r="A6230" s="2"/>
      <c r="B6230" s="3"/>
      <c r="C6230" s="3"/>
    </row>
    <row r="6231" spans="1:3" x14ac:dyDescent="0.25">
      <c r="A6231" s="2"/>
      <c r="B6231" s="3"/>
      <c r="C6231" s="3"/>
    </row>
    <row r="6232" spans="1:3" x14ac:dyDescent="0.25">
      <c r="A6232" s="2"/>
      <c r="B6232" s="3"/>
      <c r="C6232" s="3"/>
    </row>
    <row r="6233" spans="1:3" x14ac:dyDescent="0.25">
      <c r="A6233" s="2"/>
      <c r="B6233" s="3"/>
      <c r="C6233" s="3"/>
    </row>
    <row r="6234" spans="1:3" x14ac:dyDescent="0.25">
      <c r="A6234" s="2"/>
      <c r="B6234" s="3"/>
      <c r="C6234" s="3"/>
    </row>
    <row r="6235" spans="1:3" x14ac:dyDescent="0.25">
      <c r="A6235" s="2"/>
      <c r="B6235" s="3"/>
      <c r="C6235" s="3"/>
    </row>
    <row r="6236" spans="1:3" x14ac:dyDescent="0.25">
      <c r="A6236" s="2"/>
      <c r="B6236" s="3"/>
      <c r="C6236" s="3"/>
    </row>
    <row r="6237" spans="1:3" x14ac:dyDescent="0.25">
      <c r="A6237" s="2"/>
      <c r="B6237" s="3"/>
      <c r="C6237" s="3"/>
    </row>
    <row r="6238" spans="1:3" x14ac:dyDescent="0.25">
      <c r="A6238" s="2"/>
      <c r="B6238" s="3"/>
      <c r="C6238" s="3"/>
    </row>
    <row r="6239" spans="1:3" x14ac:dyDescent="0.25">
      <c r="A6239" s="2"/>
      <c r="B6239" s="3"/>
      <c r="C6239" s="3"/>
    </row>
    <row r="6240" spans="1:3" x14ac:dyDescent="0.25">
      <c r="A6240" s="2"/>
      <c r="B6240" s="3"/>
      <c r="C6240" s="3"/>
    </row>
    <row r="6241" spans="1:3" x14ac:dyDescent="0.25">
      <c r="A6241" s="2"/>
      <c r="B6241" s="3"/>
      <c r="C6241" s="3"/>
    </row>
    <row r="6242" spans="1:3" x14ac:dyDescent="0.25">
      <c r="A6242" s="2"/>
      <c r="B6242" s="3"/>
      <c r="C6242" s="3"/>
    </row>
    <row r="6243" spans="1:3" x14ac:dyDescent="0.25">
      <c r="A6243" s="2"/>
      <c r="B6243" s="3"/>
      <c r="C6243" s="3"/>
    </row>
    <row r="6244" spans="1:3" x14ac:dyDescent="0.25">
      <c r="A6244" s="2"/>
      <c r="B6244" s="3"/>
      <c r="C6244" s="3"/>
    </row>
    <row r="6245" spans="1:3" x14ac:dyDescent="0.25">
      <c r="A6245" s="2"/>
      <c r="B6245" s="3"/>
      <c r="C6245" s="3"/>
    </row>
    <row r="6246" spans="1:3" x14ac:dyDescent="0.25">
      <c r="A6246" s="2"/>
      <c r="B6246" s="3"/>
      <c r="C6246" s="3"/>
    </row>
    <row r="6247" spans="1:3" x14ac:dyDescent="0.25">
      <c r="A6247" s="2"/>
      <c r="B6247" s="3"/>
      <c r="C6247" s="3"/>
    </row>
    <row r="6248" spans="1:3" x14ac:dyDescent="0.25">
      <c r="A6248" s="2"/>
      <c r="B6248" s="3"/>
      <c r="C6248" s="3"/>
    </row>
    <row r="6249" spans="1:3" x14ac:dyDescent="0.25">
      <c r="A6249" s="2"/>
      <c r="B6249" s="3"/>
      <c r="C6249" s="3"/>
    </row>
    <row r="6250" spans="1:3" x14ac:dyDescent="0.25">
      <c r="A6250" s="2"/>
      <c r="B6250" s="3"/>
      <c r="C6250" s="3"/>
    </row>
    <row r="6251" spans="1:3" x14ac:dyDescent="0.25">
      <c r="A6251" s="2"/>
      <c r="B6251" s="3"/>
      <c r="C6251" s="3"/>
    </row>
    <row r="6252" spans="1:3" x14ac:dyDescent="0.25">
      <c r="A6252" s="2"/>
      <c r="B6252" s="3"/>
      <c r="C6252" s="3"/>
    </row>
    <row r="6253" spans="1:3" x14ac:dyDescent="0.25">
      <c r="A6253" s="2"/>
      <c r="B6253" s="3"/>
      <c r="C6253" s="3"/>
    </row>
    <row r="6254" spans="1:3" x14ac:dyDescent="0.25">
      <c r="A6254" s="2"/>
      <c r="B6254" s="3"/>
      <c r="C6254" s="3"/>
    </row>
    <row r="6255" spans="1:3" x14ac:dyDescent="0.25">
      <c r="A6255" s="2"/>
      <c r="B6255" s="3"/>
      <c r="C6255" s="3"/>
    </row>
    <row r="6256" spans="1:3" x14ac:dyDescent="0.25">
      <c r="A6256" s="2"/>
      <c r="B6256" s="3"/>
      <c r="C6256" s="3"/>
    </row>
    <row r="6257" spans="1:3" x14ac:dyDescent="0.25">
      <c r="A6257" s="2"/>
      <c r="B6257" s="3"/>
      <c r="C6257" s="3"/>
    </row>
    <row r="6258" spans="1:3" x14ac:dyDescent="0.25">
      <c r="A6258" s="2"/>
      <c r="B6258" s="3"/>
      <c r="C6258" s="3"/>
    </row>
    <row r="6259" spans="1:3" x14ac:dyDescent="0.25">
      <c r="A6259" s="2"/>
      <c r="B6259" s="3"/>
      <c r="C6259" s="3"/>
    </row>
    <row r="6260" spans="1:3" x14ac:dyDescent="0.25">
      <c r="A6260" s="2"/>
      <c r="B6260" s="3"/>
      <c r="C6260" s="3"/>
    </row>
    <row r="6261" spans="1:3" x14ac:dyDescent="0.25">
      <c r="A6261" s="2"/>
      <c r="B6261" s="3"/>
      <c r="C6261" s="3"/>
    </row>
    <row r="6262" spans="1:3" x14ac:dyDescent="0.25">
      <c r="A6262" s="2"/>
      <c r="B6262" s="3"/>
      <c r="C6262" s="3"/>
    </row>
    <row r="6263" spans="1:3" x14ac:dyDescent="0.25">
      <c r="A6263" s="2"/>
      <c r="B6263" s="3"/>
      <c r="C6263" s="3"/>
    </row>
    <row r="6264" spans="1:3" x14ac:dyDescent="0.25">
      <c r="A6264" s="2"/>
      <c r="B6264" s="3"/>
      <c r="C6264" s="3"/>
    </row>
    <row r="6265" spans="1:3" x14ac:dyDescent="0.25">
      <c r="A6265" s="2"/>
      <c r="B6265" s="3"/>
      <c r="C6265" s="3"/>
    </row>
    <row r="6266" spans="1:3" x14ac:dyDescent="0.25">
      <c r="A6266" s="2"/>
      <c r="B6266" s="3"/>
      <c r="C6266" s="3"/>
    </row>
    <row r="6267" spans="1:3" x14ac:dyDescent="0.25">
      <c r="A6267" s="2"/>
      <c r="B6267" s="3"/>
      <c r="C6267" s="3"/>
    </row>
    <row r="6268" spans="1:3" x14ac:dyDescent="0.25">
      <c r="A6268" s="2"/>
      <c r="B6268" s="3"/>
      <c r="C6268" s="3"/>
    </row>
    <row r="6269" spans="1:3" x14ac:dyDescent="0.25">
      <c r="A6269" s="2"/>
      <c r="B6269" s="3"/>
      <c r="C6269" s="3"/>
    </row>
    <row r="6270" spans="1:3" x14ac:dyDescent="0.25">
      <c r="A6270" s="2"/>
      <c r="B6270" s="3"/>
      <c r="C6270" s="3"/>
    </row>
    <row r="6271" spans="1:3" x14ac:dyDescent="0.25">
      <c r="A6271" s="2"/>
      <c r="B6271" s="3"/>
      <c r="C6271" s="3"/>
    </row>
    <row r="6272" spans="1:3" x14ac:dyDescent="0.25">
      <c r="A6272" s="2"/>
      <c r="B6272" s="3"/>
      <c r="C6272" s="3"/>
    </row>
    <row r="6273" spans="1:3" x14ac:dyDescent="0.25">
      <c r="A6273" s="2"/>
      <c r="B6273" s="3"/>
      <c r="C6273" s="3"/>
    </row>
    <row r="6274" spans="1:3" x14ac:dyDescent="0.25">
      <c r="A6274" s="2"/>
      <c r="B6274" s="3"/>
      <c r="C6274" s="3"/>
    </row>
    <row r="6275" spans="1:3" x14ac:dyDescent="0.25">
      <c r="A6275" s="2"/>
      <c r="B6275" s="3"/>
      <c r="C6275" s="3"/>
    </row>
    <row r="6276" spans="1:3" x14ac:dyDescent="0.25">
      <c r="A6276" s="2"/>
      <c r="B6276" s="3"/>
      <c r="C6276" s="3"/>
    </row>
    <row r="6277" spans="1:3" x14ac:dyDescent="0.25">
      <c r="A6277" s="2"/>
      <c r="B6277" s="3"/>
      <c r="C6277" s="3"/>
    </row>
    <row r="6278" spans="1:3" x14ac:dyDescent="0.25">
      <c r="A6278" s="2"/>
      <c r="B6278" s="3"/>
      <c r="C6278" s="3"/>
    </row>
    <row r="6279" spans="1:3" x14ac:dyDescent="0.25">
      <c r="A6279" s="2"/>
      <c r="B6279" s="3"/>
      <c r="C6279" s="3"/>
    </row>
    <row r="6280" spans="1:3" x14ac:dyDescent="0.25">
      <c r="A6280" s="2"/>
      <c r="B6280" s="3"/>
      <c r="C6280" s="3"/>
    </row>
    <row r="6281" spans="1:3" x14ac:dyDescent="0.25">
      <c r="A6281" s="2"/>
      <c r="B6281" s="3"/>
      <c r="C6281" s="3"/>
    </row>
    <row r="6282" spans="1:3" x14ac:dyDescent="0.25">
      <c r="A6282" s="2"/>
      <c r="B6282" s="3"/>
      <c r="C6282" s="3"/>
    </row>
    <row r="6283" spans="1:3" x14ac:dyDescent="0.25">
      <c r="A6283" s="2"/>
      <c r="B6283" s="3"/>
      <c r="C6283" s="3"/>
    </row>
    <row r="6284" spans="1:3" x14ac:dyDescent="0.25">
      <c r="A6284" s="2"/>
      <c r="B6284" s="3"/>
      <c r="C6284" s="3"/>
    </row>
    <row r="6285" spans="1:3" x14ac:dyDescent="0.25">
      <c r="A6285" s="2"/>
      <c r="B6285" s="3"/>
      <c r="C6285" s="3"/>
    </row>
    <row r="6286" spans="1:3" x14ac:dyDescent="0.25">
      <c r="A6286" s="2"/>
      <c r="B6286" s="3"/>
      <c r="C6286" s="3"/>
    </row>
    <row r="6287" spans="1:3" x14ac:dyDescent="0.25">
      <c r="A6287" s="2"/>
      <c r="B6287" s="3"/>
      <c r="C6287" s="3"/>
    </row>
    <row r="6288" spans="1:3" x14ac:dyDescent="0.25">
      <c r="A6288" s="2"/>
      <c r="B6288" s="3"/>
      <c r="C6288" s="3"/>
    </row>
    <row r="6289" spans="1:3" x14ac:dyDescent="0.25">
      <c r="A6289" s="2"/>
      <c r="B6289" s="3"/>
      <c r="C6289" s="3"/>
    </row>
    <row r="6290" spans="1:3" x14ac:dyDescent="0.25">
      <c r="A6290" s="2"/>
      <c r="B6290" s="3"/>
      <c r="C6290" s="3"/>
    </row>
    <row r="6291" spans="1:3" x14ac:dyDescent="0.25">
      <c r="A6291" s="2"/>
      <c r="B6291" s="3"/>
      <c r="C6291" s="3"/>
    </row>
    <row r="6292" spans="1:3" x14ac:dyDescent="0.25">
      <c r="A6292" s="2"/>
      <c r="B6292" s="3"/>
      <c r="C6292" s="3"/>
    </row>
    <row r="6293" spans="1:3" x14ac:dyDescent="0.25">
      <c r="A6293" s="2"/>
      <c r="B6293" s="3"/>
      <c r="C6293" s="3"/>
    </row>
    <row r="6294" spans="1:3" x14ac:dyDescent="0.25">
      <c r="A6294" s="2"/>
      <c r="B6294" s="3"/>
      <c r="C6294" s="3"/>
    </row>
    <row r="6295" spans="1:3" x14ac:dyDescent="0.25">
      <c r="A6295" s="2"/>
      <c r="B6295" s="3"/>
      <c r="C6295" s="3"/>
    </row>
    <row r="6296" spans="1:3" x14ac:dyDescent="0.25">
      <c r="A6296" s="2"/>
      <c r="B6296" s="3"/>
      <c r="C6296" s="3"/>
    </row>
    <row r="6297" spans="1:3" x14ac:dyDescent="0.25">
      <c r="A6297" s="2"/>
      <c r="B6297" s="3"/>
      <c r="C6297" s="3"/>
    </row>
    <row r="6298" spans="1:3" x14ac:dyDescent="0.25">
      <c r="A6298" s="2"/>
      <c r="B6298" s="3"/>
      <c r="C6298" s="3"/>
    </row>
    <row r="6299" spans="1:3" x14ac:dyDescent="0.25">
      <c r="A6299" s="2"/>
      <c r="B6299" s="3"/>
      <c r="C6299" s="3"/>
    </row>
    <row r="6300" spans="1:3" x14ac:dyDescent="0.25">
      <c r="A6300" s="2"/>
      <c r="B6300" s="3"/>
      <c r="C6300" s="3"/>
    </row>
    <row r="6301" spans="1:3" x14ac:dyDescent="0.25">
      <c r="A6301" s="2"/>
      <c r="B6301" s="3"/>
      <c r="C6301" s="3"/>
    </row>
    <row r="6302" spans="1:3" x14ac:dyDescent="0.25">
      <c r="A6302" s="2"/>
      <c r="B6302" s="3"/>
      <c r="C6302" s="3"/>
    </row>
    <row r="6303" spans="1:3" x14ac:dyDescent="0.25">
      <c r="A6303" s="2"/>
      <c r="B6303" s="3"/>
      <c r="C6303" s="3"/>
    </row>
    <row r="6304" spans="1:3" x14ac:dyDescent="0.25">
      <c r="A6304" s="2"/>
      <c r="B6304" s="3"/>
      <c r="C6304" s="3"/>
    </row>
    <row r="6305" spans="1:3" x14ac:dyDescent="0.25">
      <c r="A6305" s="2"/>
      <c r="B6305" s="3"/>
      <c r="C6305" s="3"/>
    </row>
    <row r="6306" spans="1:3" x14ac:dyDescent="0.25">
      <c r="A6306" s="2"/>
      <c r="B6306" s="3"/>
      <c r="C6306" s="3"/>
    </row>
    <row r="6307" spans="1:3" x14ac:dyDescent="0.25">
      <c r="A6307" s="2"/>
      <c r="B6307" s="3"/>
      <c r="C6307" s="3"/>
    </row>
    <row r="6308" spans="1:3" x14ac:dyDescent="0.25">
      <c r="A6308" s="2"/>
      <c r="B6308" s="3"/>
      <c r="C6308" s="3"/>
    </row>
    <row r="6309" spans="1:3" x14ac:dyDescent="0.25">
      <c r="A6309" s="2"/>
      <c r="B6309" s="3"/>
      <c r="C6309" s="3"/>
    </row>
    <row r="6310" spans="1:3" x14ac:dyDescent="0.25">
      <c r="A6310" s="2"/>
      <c r="B6310" s="3"/>
      <c r="C6310" s="3"/>
    </row>
    <row r="6311" spans="1:3" x14ac:dyDescent="0.25">
      <c r="A6311" s="2"/>
      <c r="B6311" s="3"/>
      <c r="C6311" s="3"/>
    </row>
    <row r="6312" spans="1:3" x14ac:dyDescent="0.25">
      <c r="A6312" s="2"/>
      <c r="B6312" s="3"/>
      <c r="C6312" s="3"/>
    </row>
    <row r="6313" spans="1:3" x14ac:dyDescent="0.25">
      <c r="A6313" s="2"/>
      <c r="B6313" s="3"/>
      <c r="C6313" s="3"/>
    </row>
    <row r="6314" spans="1:3" x14ac:dyDescent="0.25">
      <c r="A6314" s="2"/>
      <c r="B6314" s="3"/>
      <c r="C6314" s="3"/>
    </row>
    <row r="6315" spans="1:3" x14ac:dyDescent="0.25">
      <c r="A6315" s="2"/>
      <c r="B6315" s="3"/>
      <c r="C6315" s="3"/>
    </row>
    <row r="6316" spans="1:3" x14ac:dyDescent="0.25">
      <c r="A6316" s="2"/>
      <c r="B6316" s="3"/>
      <c r="C6316" s="3"/>
    </row>
    <row r="6317" spans="1:3" x14ac:dyDescent="0.25">
      <c r="A6317" s="2"/>
      <c r="B6317" s="3"/>
      <c r="C6317" s="3"/>
    </row>
    <row r="6318" spans="1:3" x14ac:dyDescent="0.25">
      <c r="A6318" s="2"/>
      <c r="B6318" s="3"/>
      <c r="C6318" s="3"/>
    </row>
    <row r="6319" spans="1:3" x14ac:dyDescent="0.25">
      <c r="A6319" s="2"/>
      <c r="B6319" s="3"/>
      <c r="C6319" s="3"/>
    </row>
    <row r="6320" spans="1:3" x14ac:dyDescent="0.25">
      <c r="A6320" s="2"/>
      <c r="B6320" s="3"/>
      <c r="C6320" s="3"/>
    </row>
    <row r="6321" spans="1:3" x14ac:dyDescent="0.25">
      <c r="A6321" s="2"/>
      <c r="B6321" s="3"/>
      <c r="C6321" s="3"/>
    </row>
    <row r="6322" spans="1:3" x14ac:dyDescent="0.25">
      <c r="A6322" s="2"/>
      <c r="B6322" s="3"/>
      <c r="C6322" s="3"/>
    </row>
    <row r="6323" spans="1:3" x14ac:dyDescent="0.25">
      <c r="A6323" s="2"/>
      <c r="B6323" s="3"/>
      <c r="C6323" s="3"/>
    </row>
    <row r="6324" spans="1:3" x14ac:dyDescent="0.25">
      <c r="A6324" s="2"/>
      <c r="B6324" s="3"/>
      <c r="C6324" s="3"/>
    </row>
    <row r="6325" spans="1:3" x14ac:dyDescent="0.25">
      <c r="A6325" s="2"/>
      <c r="B6325" s="3"/>
      <c r="C6325" s="3"/>
    </row>
    <row r="6326" spans="1:3" x14ac:dyDescent="0.25">
      <c r="A6326" s="2"/>
      <c r="B6326" s="3"/>
      <c r="C6326" s="3"/>
    </row>
    <row r="6327" spans="1:3" x14ac:dyDescent="0.25">
      <c r="A6327" s="2"/>
      <c r="B6327" s="3"/>
      <c r="C6327" s="3"/>
    </row>
    <row r="6328" spans="1:3" x14ac:dyDescent="0.25">
      <c r="A6328" s="2"/>
      <c r="B6328" s="3"/>
      <c r="C6328" s="3"/>
    </row>
    <row r="6329" spans="1:3" x14ac:dyDescent="0.25">
      <c r="A6329" s="2"/>
      <c r="B6329" s="3"/>
      <c r="C6329" s="3"/>
    </row>
    <row r="6330" spans="1:3" x14ac:dyDescent="0.25">
      <c r="A6330" s="2"/>
      <c r="B6330" s="3"/>
      <c r="C6330" s="3"/>
    </row>
    <row r="6331" spans="1:3" x14ac:dyDescent="0.25">
      <c r="A6331" s="2"/>
      <c r="B6331" s="3"/>
      <c r="C6331" s="3"/>
    </row>
    <row r="6332" spans="1:3" x14ac:dyDescent="0.25">
      <c r="A6332" s="2"/>
      <c r="B6332" s="3"/>
      <c r="C6332" s="3"/>
    </row>
    <row r="6333" spans="1:3" x14ac:dyDescent="0.25">
      <c r="A6333" s="2"/>
      <c r="B6333" s="3"/>
      <c r="C6333" s="3"/>
    </row>
    <row r="6334" spans="1:3" x14ac:dyDescent="0.25">
      <c r="A6334" s="2"/>
      <c r="B6334" s="3"/>
      <c r="C6334" s="3"/>
    </row>
    <row r="6335" spans="1:3" x14ac:dyDescent="0.25">
      <c r="A6335" s="2"/>
      <c r="B6335" s="3"/>
      <c r="C6335" s="3"/>
    </row>
    <row r="6336" spans="1:3" x14ac:dyDescent="0.25">
      <c r="A6336" s="2"/>
      <c r="B6336" s="3"/>
      <c r="C6336" s="3"/>
    </row>
    <row r="6337" spans="1:3" x14ac:dyDescent="0.25">
      <c r="A6337" s="2"/>
      <c r="B6337" s="3"/>
      <c r="C6337" s="3"/>
    </row>
    <row r="6338" spans="1:3" x14ac:dyDescent="0.25">
      <c r="A6338" s="2"/>
      <c r="B6338" s="3"/>
      <c r="C6338" s="3"/>
    </row>
    <row r="6339" spans="1:3" x14ac:dyDescent="0.25">
      <c r="A6339" s="2"/>
      <c r="B6339" s="3"/>
      <c r="C6339" s="3"/>
    </row>
    <row r="6340" spans="1:3" x14ac:dyDescent="0.25">
      <c r="A6340" s="2"/>
      <c r="B6340" s="3"/>
      <c r="C6340" s="3"/>
    </row>
    <row r="6341" spans="1:3" x14ac:dyDescent="0.25">
      <c r="A6341" s="2"/>
      <c r="B6341" s="3"/>
      <c r="C6341" s="3"/>
    </row>
    <row r="6342" spans="1:3" x14ac:dyDescent="0.25">
      <c r="A6342" s="2"/>
      <c r="B6342" s="3"/>
      <c r="C6342" s="3"/>
    </row>
    <row r="6343" spans="1:3" x14ac:dyDescent="0.25">
      <c r="A6343" s="2"/>
      <c r="B6343" s="3"/>
      <c r="C6343" s="3"/>
    </row>
    <row r="6344" spans="1:3" x14ac:dyDescent="0.25">
      <c r="A6344" s="2"/>
      <c r="B6344" s="3"/>
      <c r="C6344" s="3"/>
    </row>
    <row r="6345" spans="1:3" x14ac:dyDescent="0.25">
      <c r="A6345" s="2"/>
      <c r="B6345" s="3"/>
      <c r="C6345" s="3"/>
    </row>
    <row r="6346" spans="1:3" x14ac:dyDescent="0.25">
      <c r="A6346" s="2"/>
      <c r="B6346" s="3"/>
      <c r="C6346" s="3"/>
    </row>
    <row r="6347" spans="1:3" x14ac:dyDescent="0.25">
      <c r="A6347" s="2"/>
      <c r="B6347" s="3"/>
      <c r="C6347" s="3"/>
    </row>
    <row r="6348" spans="1:3" x14ac:dyDescent="0.25">
      <c r="A6348" s="2"/>
      <c r="B6348" s="3"/>
      <c r="C6348" s="3"/>
    </row>
    <row r="6349" spans="1:3" x14ac:dyDescent="0.25">
      <c r="A6349" s="2"/>
      <c r="B6349" s="3"/>
      <c r="C6349" s="3"/>
    </row>
    <row r="6350" spans="1:3" x14ac:dyDescent="0.25">
      <c r="A6350" s="2"/>
      <c r="B6350" s="3"/>
      <c r="C6350" s="3"/>
    </row>
    <row r="6351" spans="1:3" x14ac:dyDescent="0.25">
      <c r="A6351" s="2"/>
      <c r="B6351" s="3"/>
      <c r="C6351" s="3"/>
    </row>
    <row r="6352" spans="1:3" x14ac:dyDescent="0.25">
      <c r="A6352" s="2"/>
      <c r="B6352" s="3"/>
      <c r="C6352" s="3"/>
    </row>
    <row r="6353" spans="1:3" x14ac:dyDescent="0.25">
      <c r="A6353" s="2"/>
      <c r="B6353" s="3"/>
      <c r="C6353" s="3"/>
    </row>
    <row r="6354" spans="1:3" x14ac:dyDescent="0.25">
      <c r="A6354" s="2"/>
      <c r="B6354" s="3"/>
      <c r="C6354" s="3"/>
    </row>
    <row r="6355" spans="1:3" x14ac:dyDescent="0.25">
      <c r="A6355" s="2"/>
      <c r="B6355" s="3"/>
      <c r="C6355" s="3"/>
    </row>
    <row r="6356" spans="1:3" x14ac:dyDescent="0.25">
      <c r="A6356" s="2"/>
      <c r="B6356" s="3"/>
      <c r="C6356" s="3"/>
    </row>
    <row r="6357" spans="1:3" x14ac:dyDescent="0.25">
      <c r="A6357" s="2"/>
      <c r="B6357" s="3"/>
      <c r="C6357" s="3"/>
    </row>
    <row r="6358" spans="1:3" x14ac:dyDescent="0.25">
      <c r="A6358" s="2"/>
      <c r="B6358" s="3"/>
      <c r="C6358" s="3"/>
    </row>
    <row r="6359" spans="1:3" x14ac:dyDescent="0.25">
      <c r="A6359" s="2"/>
      <c r="B6359" s="3"/>
      <c r="C6359" s="3"/>
    </row>
    <row r="6360" spans="1:3" x14ac:dyDescent="0.25">
      <c r="A6360" s="2"/>
      <c r="B6360" s="3"/>
      <c r="C6360" s="3"/>
    </row>
    <row r="6361" spans="1:3" x14ac:dyDescent="0.25">
      <c r="A6361" s="2"/>
      <c r="B6361" s="3"/>
      <c r="C6361" s="3"/>
    </row>
    <row r="6362" spans="1:3" x14ac:dyDescent="0.25">
      <c r="A6362" s="2"/>
      <c r="B6362" s="3"/>
      <c r="C6362" s="3"/>
    </row>
    <row r="6363" spans="1:3" x14ac:dyDescent="0.25">
      <c r="A6363" s="2"/>
      <c r="B6363" s="3"/>
      <c r="C6363" s="3"/>
    </row>
    <row r="6364" spans="1:3" x14ac:dyDescent="0.25">
      <c r="A6364" s="2"/>
      <c r="B6364" s="3"/>
      <c r="C6364" s="3"/>
    </row>
    <row r="6365" spans="1:3" x14ac:dyDescent="0.25">
      <c r="A6365" s="2"/>
      <c r="B6365" s="3"/>
      <c r="C6365" s="3"/>
    </row>
    <row r="6366" spans="1:3" x14ac:dyDescent="0.25">
      <c r="A6366" s="2"/>
      <c r="B6366" s="3"/>
      <c r="C6366" s="3"/>
    </row>
    <row r="6367" spans="1:3" x14ac:dyDescent="0.25">
      <c r="A6367" s="2"/>
      <c r="B6367" s="3"/>
      <c r="C6367" s="3"/>
    </row>
    <row r="6368" spans="1:3" x14ac:dyDescent="0.25">
      <c r="A6368" s="2"/>
      <c r="B6368" s="3"/>
      <c r="C6368" s="3"/>
    </row>
    <row r="6369" spans="1:3" x14ac:dyDescent="0.25">
      <c r="A6369" s="2"/>
      <c r="B6369" s="3"/>
      <c r="C6369" s="3"/>
    </row>
    <row r="6370" spans="1:3" x14ac:dyDescent="0.25">
      <c r="A6370" s="2"/>
      <c r="B6370" s="3"/>
      <c r="C6370" s="3"/>
    </row>
    <row r="6371" spans="1:3" x14ac:dyDescent="0.25">
      <c r="A6371" s="2"/>
      <c r="B6371" s="3"/>
      <c r="C6371" s="3"/>
    </row>
    <row r="6372" spans="1:3" x14ac:dyDescent="0.25">
      <c r="A6372" s="2"/>
      <c r="B6372" s="3"/>
      <c r="C6372" s="3"/>
    </row>
    <row r="6373" spans="1:3" x14ac:dyDescent="0.25">
      <c r="A6373" s="2"/>
      <c r="B6373" s="3"/>
      <c r="C6373" s="3"/>
    </row>
    <row r="6374" spans="1:3" x14ac:dyDescent="0.25">
      <c r="A6374" s="2"/>
      <c r="B6374" s="3"/>
      <c r="C6374" s="3"/>
    </row>
    <row r="6375" spans="1:3" x14ac:dyDescent="0.25">
      <c r="A6375" s="2"/>
      <c r="B6375" s="3"/>
      <c r="C6375" s="3"/>
    </row>
    <row r="6376" spans="1:3" x14ac:dyDescent="0.25">
      <c r="A6376" s="2"/>
      <c r="B6376" s="3"/>
      <c r="C6376" s="3"/>
    </row>
    <row r="6377" spans="1:3" x14ac:dyDescent="0.25">
      <c r="A6377" s="2"/>
      <c r="B6377" s="3"/>
      <c r="C6377" s="3"/>
    </row>
    <row r="6378" spans="1:3" x14ac:dyDescent="0.25">
      <c r="A6378" s="2"/>
      <c r="B6378" s="3"/>
      <c r="C6378" s="3"/>
    </row>
    <row r="6379" spans="1:3" x14ac:dyDescent="0.25">
      <c r="A6379" s="2"/>
      <c r="B6379" s="3"/>
      <c r="C6379" s="3"/>
    </row>
    <row r="6380" spans="1:3" x14ac:dyDescent="0.25">
      <c r="A6380" s="2"/>
      <c r="B6380" s="3"/>
      <c r="C6380" s="3"/>
    </row>
    <row r="6381" spans="1:3" x14ac:dyDescent="0.25">
      <c r="A6381" s="2"/>
      <c r="B6381" s="3"/>
      <c r="C6381" s="3"/>
    </row>
    <row r="6382" spans="1:3" x14ac:dyDescent="0.25">
      <c r="A6382" s="2"/>
      <c r="B6382" s="3"/>
      <c r="C6382" s="3"/>
    </row>
    <row r="6383" spans="1:3" x14ac:dyDescent="0.25">
      <c r="A6383" s="2"/>
      <c r="B6383" s="3"/>
      <c r="C6383" s="3"/>
    </row>
    <row r="6384" spans="1:3" x14ac:dyDescent="0.25">
      <c r="A6384" s="2"/>
      <c r="B6384" s="3"/>
      <c r="C6384" s="3"/>
    </row>
    <row r="6385" spans="1:3" x14ac:dyDescent="0.25">
      <c r="A6385" s="2"/>
      <c r="B6385" s="3"/>
      <c r="C6385" s="3"/>
    </row>
    <row r="6386" spans="1:3" x14ac:dyDescent="0.25">
      <c r="A6386" s="2"/>
      <c r="B6386" s="3"/>
      <c r="C6386" s="3"/>
    </row>
    <row r="6387" spans="1:3" x14ac:dyDescent="0.25">
      <c r="A6387" s="2"/>
      <c r="B6387" s="3"/>
      <c r="C6387" s="3"/>
    </row>
    <row r="6388" spans="1:3" x14ac:dyDescent="0.25">
      <c r="A6388" s="2"/>
      <c r="B6388" s="3"/>
      <c r="C6388" s="3"/>
    </row>
    <row r="6389" spans="1:3" x14ac:dyDescent="0.25">
      <c r="A6389" s="2"/>
      <c r="B6389" s="3"/>
      <c r="C6389" s="3"/>
    </row>
    <row r="6390" spans="1:3" x14ac:dyDescent="0.25">
      <c r="A6390" s="2"/>
      <c r="B6390" s="3"/>
      <c r="C6390" s="3"/>
    </row>
    <row r="6391" spans="1:3" x14ac:dyDescent="0.25">
      <c r="A6391" s="2"/>
      <c r="B6391" s="3"/>
      <c r="C6391" s="3"/>
    </row>
    <row r="6392" spans="1:3" x14ac:dyDescent="0.25">
      <c r="A6392" s="2"/>
      <c r="B6392" s="3"/>
      <c r="C6392" s="3"/>
    </row>
    <row r="6393" spans="1:3" x14ac:dyDescent="0.25">
      <c r="A6393" s="2"/>
      <c r="B6393" s="3"/>
      <c r="C6393" s="3"/>
    </row>
    <row r="6394" spans="1:3" x14ac:dyDescent="0.25">
      <c r="A6394" s="2"/>
      <c r="B6394" s="3"/>
      <c r="C6394" s="3"/>
    </row>
    <row r="6395" spans="1:3" x14ac:dyDescent="0.25">
      <c r="A6395" s="2"/>
      <c r="B6395" s="3"/>
      <c r="C6395" s="3"/>
    </row>
    <row r="6396" spans="1:3" x14ac:dyDescent="0.25">
      <c r="A6396" s="2"/>
      <c r="B6396" s="3"/>
      <c r="C6396" s="3"/>
    </row>
    <row r="6397" spans="1:3" x14ac:dyDescent="0.25">
      <c r="A6397" s="2"/>
      <c r="B6397" s="3"/>
      <c r="C6397" s="3"/>
    </row>
    <row r="6398" spans="1:3" x14ac:dyDescent="0.25">
      <c r="A6398" s="2"/>
      <c r="B6398" s="3"/>
      <c r="C6398" s="3"/>
    </row>
    <row r="6399" spans="1:3" x14ac:dyDescent="0.25">
      <c r="A6399" s="2"/>
      <c r="B6399" s="3"/>
      <c r="C6399" s="3"/>
    </row>
    <row r="6400" spans="1:3" x14ac:dyDescent="0.25">
      <c r="A6400" s="2"/>
      <c r="B6400" s="3"/>
      <c r="C6400" s="3"/>
    </row>
    <row r="6401" spans="1:3" x14ac:dyDescent="0.25">
      <c r="A6401" s="2"/>
      <c r="B6401" s="3"/>
      <c r="C6401" s="3"/>
    </row>
    <row r="6402" spans="1:3" x14ac:dyDescent="0.25">
      <c r="A6402" s="2"/>
      <c r="B6402" s="3"/>
      <c r="C6402" s="3"/>
    </row>
    <row r="6403" spans="1:3" x14ac:dyDescent="0.25">
      <c r="A6403" s="2"/>
      <c r="B6403" s="3"/>
      <c r="C6403" s="3"/>
    </row>
    <row r="6404" spans="1:3" x14ac:dyDescent="0.25">
      <c r="A6404" s="2"/>
      <c r="B6404" s="3"/>
      <c r="C6404" s="3"/>
    </row>
    <row r="6405" spans="1:3" x14ac:dyDescent="0.25">
      <c r="A6405" s="2"/>
      <c r="B6405" s="3"/>
      <c r="C6405" s="3"/>
    </row>
    <row r="6406" spans="1:3" x14ac:dyDescent="0.25">
      <c r="A6406" s="2"/>
      <c r="B6406" s="3"/>
      <c r="C6406" s="3"/>
    </row>
    <row r="6407" spans="1:3" x14ac:dyDescent="0.25">
      <c r="A6407" s="2"/>
      <c r="B6407" s="3"/>
      <c r="C6407" s="3"/>
    </row>
    <row r="6408" spans="1:3" x14ac:dyDescent="0.25">
      <c r="A6408" s="2"/>
      <c r="B6408" s="3"/>
      <c r="C6408" s="3"/>
    </row>
    <row r="6409" spans="1:3" x14ac:dyDescent="0.25">
      <c r="A6409" s="2"/>
      <c r="B6409" s="3"/>
      <c r="C6409" s="3"/>
    </row>
    <row r="6410" spans="1:3" x14ac:dyDescent="0.25">
      <c r="A6410" s="2"/>
      <c r="B6410" s="3"/>
      <c r="C6410" s="3"/>
    </row>
    <row r="6411" spans="1:3" x14ac:dyDescent="0.25">
      <c r="A6411" s="2"/>
      <c r="B6411" s="3"/>
      <c r="C6411" s="3"/>
    </row>
    <row r="6412" spans="1:3" x14ac:dyDescent="0.25">
      <c r="A6412" s="2"/>
      <c r="B6412" s="3"/>
      <c r="C6412" s="3"/>
    </row>
    <row r="6413" spans="1:3" x14ac:dyDescent="0.25">
      <c r="A6413" s="2"/>
      <c r="B6413" s="3"/>
      <c r="C6413" s="3"/>
    </row>
    <row r="6414" spans="1:3" x14ac:dyDescent="0.25">
      <c r="A6414" s="2"/>
      <c r="B6414" s="3"/>
      <c r="C6414" s="3"/>
    </row>
    <row r="6415" spans="1:3" x14ac:dyDescent="0.25">
      <c r="A6415" s="2"/>
      <c r="B6415" s="3"/>
      <c r="C6415" s="3"/>
    </row>
    <row r="6416" spans="1:3" x14ac:dyDescent="0.25">
      <c r="A6416" s="2"/>
      <c r="B6416" s="3"/>
      <c r="C6416" s="3"/>
    </row>
    <row r="6417" spans="1:3" x14ac:dyDescent="0.25">
      <c r="A6417" s="2"/>
      <c r="B6417" s="3"/>
      <c r="C6417" s="3"/>
    </row>
    <row r="6418" spans="1:3" x14ac:dyDescent="0.25">
      <c r="A6418" s="2"/>
      <c r="B6418" s="3"/>
      <c r="C6418" s="3"/>
    </row>
    <row r="6419" spans="1:3" x14ac:dyDescent="0.25">
      <c r="A6419" s="2"/>
      <c r="B6419" s="3"/>
      <c r="C6419" s="3"/>
    </row>
    <row r="6420" spans="1:3" x14ac:dyDescent="0.25">
      <c r="A6420" s="2"/>
      <c r="B6420" s="3"/>
      <c r="C6420" s="3"/>
    </row>
    <row r="6421" spans="1:3" x14ac:dyDescent="0.25">
      <c r="A6421" s="2"/>
      <c r="B6421" s="3"/>
      <c r="C6421" s="3"/>
    </row>
    <row r="6422" spans="1:3" x14ac:dyDescent="0.25">
      <c r="A6422" s="2"/>
      <c r="B6422" s="3"/>
      <c r="C6422" s="3"/>
    </row>
    <row r="6423" spans="1:3" x14ac:dyDescent="0.25">
      <c r="A6423" s="2"/>
      <c r="B6423" s="3"/>
      <c r="C6423" s="3"/>
    </row>
    <row r="6424" spans="1:3" x14ac:dyDescent="0.25">
      <c r="A6424" s="2"/>
      <c r="B6424" s="3"/>
      <c r="C6424" s="3"/>
    </row>
    <row r="6425" spans="1:3" x14ac:dyDescent="0.25">
      <c r="A6425" s="2"/>
      <c r="B6425" s="3"/>
      <c r="C6425" s="3"/>
    </row>
    <row r="6426" spans="1:3" x14ac:dyDescent="0.25">
      <c r="A6426" s="2"/>
      <c r="B6426" s="3"/>
      <c r="C6426" s="3"/>
    </row>
    <row r="6427" spans="1:3" x14ac:dyDescent="0.25">
      <c r="A6427" s="2"/>
      <c r="B6427" s="3"/>
      <c r="C6427" s="3"/>
    </row>
    <row r="6428" spans="1:3" x14ac:dyDescent="0.25">
      <c r="A6428" s="2"/>
      <c r="B6428" s="3"/>
      <c r="C6428" s="3"/>
    </row>
    <row r="6429" spans="1:3" x14ac:dyDescent="0.25">
      <c r="A6429" s="2"/>
      <c r="B6429" s="3"/>
      <c r="C6429" s="3"/>
    </row>
    <row r="6430" spans="1:3" x14ac:dyDescent="0.25">
      <c r="A6430" s="2"/>
      <c r="B6430" s="3"/>
      <c r="C6430" s="3"/>
    </row>
    <row r="6431" spans="1:3" x14ac:dyDescent="0.25">
      <c r="A6431" s="2"/>
      <c r="B6431" s="3"/>
      <c r="C6431" s="3"/>
    </row>
    <row r="6432" spans="1:3" x14ac:dyDescent="0.25">
      <c r="A6432" s="2"/>
      <c r="B6432" s="3"/>
      <c r="C6432" s="3"/>
    </row>
    <row r="6433" spans="1:3" x14ac:dyDescent="0.25">
      <c r="A6433" s="2"/>
      <c r="B6433" s="3"/>
      <c r="C6433" s="3"/>
    </row>
    <row r="6434" spans="1:3" x14ac:dyDescent="0.25">
      <c r="A6434" s="2"/>
      <c r="B6434" s="3"/>
      <c r="C6434" s="3"/>
    </row>
    <row r="6435" spans="1:3" x14ac:dyDescent="0.25">
      <c r="A6435" s="2"/>
      <c r="B6435" s="3"/>
      <c r="C6435" s="3"/>
    </row>
    <row r="6436" spans="1:3" x14ac:dyDescent="0.25">
      <c r="A6436" s="2"/>
      <c r="B6436" s="3"/>
      <c r="C6436" s="3"/>
    </row>
    <row r="6437" spans="1:3" x14ac:dyDescent="0.25">
      <c r="A6437" s="2"/>
      <c r="B6437" s="3"/>
      <c r="C6437" s="3"/>
    </row>
    <row r="6438" spans="1:3" x14ac:dyDescent="0.25">
      <c r="A6438" s="2"/>
      <c r="B6438" s="3"/>
      <c r="C6438" s="3"/>
    </row>
    <row r="6439" spans="1:3" x14ac:dyDescent="0.25">
      <c r="A6439" s="2"/>
      <c r="B6439" s="3"/>
      <c r="C6439" s="3"/>
    </row>
    <row r="6440" spans="1:3" x14ac:dyDescent="0.25">
      <c r="A6440" s="2"/>
      <c r="B6440" s="3"/>
      <c r="C6440" s="3"/>
    </row>
    <row r="6441" spans="1:3" x14ac:dyDescent="0.25">
      <c r="A6441" s="2"/>
      <c r="B6441" s="3"/>
      <c r="C6441" s="3"/>
    </row>
    <row r="6442" spans="1:3" x14ac:dyDescent="0.25">
      <c r="A6442" s="2"/>
      <c r="B6442" s="3"/>
      <c r="C6442" s="3"/>
    </row>
    <row r="6443" spans="1:3" x14ac:dyDescent="0.25">
      <c r="A6443" s="2"/>
      <c r="B6443" s="3"/>
      <c r="C6443" s="3"/>
    </row>
    <row r="6444" spans="1:3" x14ac:dyDescent="0.25">
      <c r="A6444" s="2"/>
      <c r="B6444" s="3"/>
      <c r="C6444" s="3"/>
    </row>
    <row r="6445" spans="1:3" x14ac:dyDescent="0.25">
      <c r="A6445" s="2"/>
      <c r="B6445" s="3"/>
      <c r="C6445" s="3"/>
    </row>
    <row r="6446" spans="1:3" x14ac:dyDescent="0.25">
      <c r="A6446" s="2"/>
      <c r="B6446" s="3"/>
      <c r="C6446" s="3"/>
    </row>
    <row r="6447" spans="1:3" x14ac:dyDescent="0.25">
      <c r="A6447" s="2"/>
      <c r="B6447" s="3"/>
      <c r="C6447" s="3"/>
    </row>
    <row r="6448" spans="1:3" x14ac:dyDescent="0.25">
      <c r="A6448" s="2"/>
      <c r="B6448" s="3"/>
      <c r="C6448" s="3"/>
    </row>
    <row r="6449" spans="1:3" x14ac:dyDescent="0.25">
      <c r="A6449" s="2"/>
      <c r="B6449" s="3"/>
      <c r="C6449" s="3"/>
    </row>
    <row r="6450" spans="1:3" x14ac:dyDescent="0.25">
      <c r="A6450" s="2"/>
      <c r="B6450" s="3"/>
      <c r="C6450" s="3"/>
    </row>
    <row r="6451" spans="1:3" x14ac:dyDescent="0.25">
      <c r="A6451" s="2"/>
      <c r="B6451" s="3"/>
      <c r="C6451" s="3"/>
    </row>
    <row r="6452" spans="1:3" x14ac:dyDescent="0.25">
      <c r="A6452" s="2"/>
      <c r="B6452" s="3"/>
      <c r="C6452" s="3"/>
    </row>
    <row r="6453" spans="1:3" x14ac:dyDescent="0.25">
      <c r="A6453" s="2"/>
      <c r="B6453" s="3"/>
      <c r="C6453" s="3"/>
    </row>
    <row r="6454" spans="1:3" x14ac:dyDescent="0.25">
      <c r="A6454" s="2"/>
      <c r="B6454" s="3"/>
      <c r="C6454" s="3"/>
    </row>
    <row r="6455" spans="1:3" x14ac:dyDescent="0.25">
      <c r="A6455" s="2"/>
      <c r="B6455" s="3"/>
      <c r="C6455" s="3"/>
    </row>
    <row r="6456" spans="1:3" x14ac:dyDescent="0.25">
      <c r="A6456" s="2"/>
      <c r="B6456" s="3"/>
      <c r="C6456" s="3"/>
    </row>
    <row r="6457" spans="1:3" x14ac:dyDescent="0.25">
      <c r="A6457" s="2"/>
      <c r="B6457" s="3"/>
      <c r="C6457" s="3"/>
    </row>
    <row r="6458" spans="1:3" x14ac:dyDescent="0.25">
      <c r="A6458" s="2"/>
      <c r="B6458" s="3"/>
      <c r="C6458" s="3"/>
    </row>
    <row r="6459" spans="1:3" x14ac:dyDescent="0.25">
      <c r="A6459" s="2"/>
      <c r="B6459" s="3"/>
      <c r="C6459" s="3"/>
    </row>
    <row r="6460" spans="1:3" x14ac:dyDescent="0.25">
      <c r="A6460" s="2"/>
      <c r="B6460" s="3"/>
      <c r="C6460" s="3"/>
    </row>
    <row r="6461" spans="1:3" x14ac:dyDescent="0.25">
      <c r="A6461" s="2"/>
      <c r="B6461" s="3"/>
      <c r="C6461" s="3"/>
    </row>
    <row r="6462" spans="1:3" x14ac:dyDescent="0.25">
      <c r="A6462" s="2"/>
      <c r="B6462" s="3"/>
      <c r="C6462" s="3"/>
    </row>
    <row r="6463" spans="1:3" x14ac:dyDescent="0.25">
      <c r="A6463" s="2"/>
      <c r="B6463" s="3"/>
      <c r="C6463" s="3"/>
    </row>
    <row r="6464" spans="1:3" x14ac:dyDescent="0.25">
      <c r="A6464" s="2"/>
      <c r="B6464" s="3"/>
      <c r="C6464" s="3"/>
    </row>
    <row r="6465" spans="1:3" x14ac:dyDescent="0.25">
      <c r="A6465" s="2"/>
      <c r="B6465" s="3"/>
      <c r="C6465" s="3"/>
    </row>
    <row r="6466" spans="1:3" x14ac:dyDescent="0.25">
      <c r="A6466" s="2"/>
      <c r="B6466" s="3"/>
      <c r="C6466" s="3"/>
    </row>
    <row r="6467" spans="1:3" x14ac:dyDescent="0.25">
      <c r="A6467" s="2"/>
      <c r="B6467" s="3"/>
      <c r="C6467" s="3"/>
    </row>
    <row r="6468" spans="1:3" x14ac:dyDescent="0.25">
      <c r="A6468" s="2"/>
      <c r="B6468" s="3"/>
      <c r="C6468" s="3"/>
    </row>
    <row r="6469" spans="1:3" x14ac:dyDescent="0.25">
      <c r="A6469" s="2"/>
      <c r="B6469" s="3"/>
      <c r="C6469" s="3"/>
    </row>
    <row r="6470" spans="1:3" x14ac:dyDescent="0.25">
      <c r="A6470" s="2"/>
      <c r="B6470" s="3"/>
      <c r="C6470" s="3"/>
    </row>
    <row r="6471" spans="1:3" x14ac:dyDescent="0.25">
      <c r="A6471" s="2"/>
      <c r="B6471" s="3"/>
      <c r="C6471" s="3"/>
    </row>
    <row r="6472" spans="1:3" x14ac:dyDescent="0.25">
      <c r="A6472" s="2"/>
      <c r="B6472" s="3"/>
      <c r="C6472" s="3"/>
    </row>
    <row r="6473" spans="1:3" x14ac:dyDescent="0.25">
      <c r="A6473" s="2"/>
      <c r="B6473" s="3"/>
      <c r="C6473" s="3"/>
    </row>
    <row r="6474" spans="1:3" x14ac:dyDescent="0.25">
      <c r="A6474" s="2"/>
      <c r="B6474" s="3"/>
      <c r="C6474" s="3"/>
    </row>
    <row r="6475" spans="1:3" x14ac:dyDescent="0.25">
      <c r="A6475" s="2"/>
      <c r="B6475" s="3"/>
      <c r="C6475" s="3"/>
    </row>
    <row r="6476" spans="1:3" x14ac:dyDescent="0.25">
      <c r="A6476" s="2"/>
      <c r="B6476" s="3"/>
      <c r="C6476" s="3"/>
    </row>
    <row r="6477" spans="1:3" x14ac:dyDescent="0.25">
      <c r="A6477" s="2"/>
      <c r="B6477" s="3"/>
      <c r="C6477" s="3"/>
    </row>
    <row r="6478" spans="1:3" x14ac:dyDescent="0.25">
      <c r="A6478" s="2"/>
      <c r="B6478" s="3"/>
      <c r="C6478" s="3"/>
    </row>
    <row r="6479" spans="1:3" x14ac:dyDescent="0.25">
      <c r="A6479" s="2"/>
      <c r="B6479" s="3"/>
      <c r="C6479" s="3"/>
    </row>
    <row r="6480" spans="1:3" x14ac:dyDescent="0.25">
      <c r="A6480" s="2"/>
      <c r="B6480" s="3"/>
      <c r="C6480" s="3"/>
    </row>
    <row r="6481" spans="1:3" x14ac:dyDescent="0.25">
      <c r="A6481" s="2"/>
      <c r="B6481" s="3"/>
      <c r="C6481" s="3"/>
    </row>
    <row r="6482" spans="1:3" x14ac:dyDescent="0.25">
      <c r="A6482" s="2"/>
      <c r="B6482" s="3"/>
      <c r="C6482" s="3"/>
    </row>
    <row r="6483" spans="1:3" x14ac:dyDescent="0.25">
      <c r="A6483" s="2"/>
      <c r="B6483" s="3"/>
      <c r="C6483" s="3"/>
    </row>
    <row r="6484" spans="1:3" x14ac:dyDescent="0.25">
      <c r="A6484" s="2"/>
      <c r="B6484" s="3"/>
      <c r="C6484" s="3"/>
    </row>
    <row r="6485" spans="1:3" x14ac:dyDescent="0.25">
      <c r="A6485" s="2"/>
      <c r="B6485" s="3"/>
      <c r="C6485" s="3"/>
    </row>
    <row r="6486" spans="1:3" x14ac:dyDescent="0.25">
      <c r="A6486" s="2"/>
      <c r="B6486" s="3"/>
      <c r="C6486" s="3"/>
    </row>
    <row r="6487" spans="1:3" x14ac:dyDescent="0.25">
      <c r="A6487" s="2"/>
      <c r="B6487" s="3"/>
      <c r="C6487" s="3"/>
    </row>
    <row r="6488" spans="1:3" x14ac:dyDescent="0.25">
      <c r="A6488" s="2"/>
      <c r="B6488" s="3"/>
      <c r="C6488" s="3"/>
    </row>
    <row r="6489" spans="1:3" x14ac:dyDescent="0.25">
      <c r="A6489" s="2"/>
      <c r="B6489" s="3"/>
      <c r="C6489" s="3"/>
    </row>
    <row r="6490" spans="1:3" x14ac:dyDescent="0.25">
      <c r="A6490" s="2"/>
      <c r="B6490" s="3"/>
      <c r="C6490" s="3"/>
    </row>
    <row r="6491" spans="1:3" x14ac:dyDescent="0.25">
      <c r="A6491" s="2"/>
      <c r="B6491" s="3"/>
      <c r="C6491" s="3"/>
    </row>
    <row r="6492" spans="1:3" x14ac:dyDescent="0.25">
      <c r="A6492" s="2"/>
      <c r="B6492" s="3"/>
      <c r="C6492" s="3"/>
    </row>
    <row r="6493" spans="1:3" x14ac:dyDescent="0.25">
      <c r="A6493" s="2"/>
      <c r="B6493" s="3"/>
      <c r="C6493" s="3"/>
    </row>
    <row r="6494" spans="1:3" x14ac:dyDescent="0.25">
      <c r="A6494" s="2"/>
      <c r="B6494" s="3"/>
      <c r="C6494" s="3"/>
    </row>
    <row r="6495" spans="1:3" x14ac:dyDescent="0.25">
      <c r="A6495" s="2"/>
      <c r="B6495" s="3"/>
      <c r="C6495" s="3"/>
    </row>
    <row r="6496" spans="1:3" x14ac:dyDescent="0.25">
      <c r="A6496" s="2"/>
      <c r="B6496" s="3"/>
      <c r="C6496" s="3"/>
    </row>
    <row r="6497" spans="1:3" x14ac:dyDescent="0.25">
      <c r="A6497" s="2"/>
      <c r="B6497" s="3"/>
      <c r="C6497" s="3"/>
    </row>
    <row r="6498" spans="1:3" x14ac:dyDescent="0.25">
      <c r="A6498" s="2"/>
      <c r="B6498" s="3"/>
      <c r="C6498" s="3"/>
    </row>
    <row r="6499" spans="1:3" x14ac:dyDescent="0.25">
      <c r="A6499" s="2"/>
      <c r="B6499" s="3"/>
      <c r="C6499" s="3"/>
    </row>
    <row r="6500" spans="1:3" x14ac:dyDescent="0.25">
      <c r="A6500" s="2"/>
      <c r="B6500" s="3"/>
      <c r="C6500" s="3"/>
    </row>
    <row r="6501" spans="1:3" x14ac:dyDescent="0.25">
      <c r="A6501" s="2"/>
      <c r="B6501" s="3"/>
      <c r="C6501" s="3"/>
    </row>
    <row r="6502" spans="1:3" x14ac:dyDescent="0.25">
      <c r="A6502" s="2"/>
      <c r="B6502" s="3"/>
      <c r="C6502" s="3"/>
    </row>
    <row r="6503" spans="1:3" x14ac:dyDescent="0.25">
      <c r="A6503" s="2"/>
      <c r="B6503" s="3"/>
      <c r="C6503" s="3"/>
    </row>
    <row r="6504" spans="1:3" x14ac:dyDescent="0.25">
      <c r="A6504" s="2"/>
      <c r="B6504" s="3"/>
      <c r="C6504" s="3"/>
    </row>
    <row r="6505" spans="1:3" x14ac:dyDescent="0.25">
      <c r="A6505" s="2"/>
      <c r="B6505" s="3"/>
      <c r="C6505" s="3"/>
    </row>
    <row r="6506" spans="1:3" x14ac:dyDescent="0.25">
      <c r="A6506" s="2"/>
      <c r="B6506" s="3"/>
      <c r="C6506" s="3"/>
    </row>
    <row r="6507" spans="1:3" x14ac:dyDescent="0.25">
      <c r="A6507" s="2"/>
      <c r="B6507" s="3"/>
      <c r="C6507" s="3"/>
    </row>
    <row r="6508" spans="1:3" x14ac:dyDescent="0.25">
      <c r="A6508" s="2"/>
      <c r="B6508" s="3"/>
      <c r="C6508" s="3"/>
    </row>
    <row r="6509" spans="1:3" x14ac:dyDescent="0.25">
      <c r="A6509" s="2"/>
      <c r="B6509" s="3"/>
      <c r="C6509" s="3"/>
    </row>
    <row r="6510" spans="1:3" x14ac:dyDescent="0.25">
      <c r="A6510" s="2"/>
      <c r="B6510" s="3"/>
      <c r="C6510" s="3"/>
    </row>
    <row r="6511" spans="1:3" x14ac:dyDescent="0.25">
      <c r="A6511" s="2"/>
      <c r="B6511" s="3"/>
      <c r="C6511" s="3"/>
    </row>
    <row r="6512" spans="1:3" x14ac:dyDescent="0.25">
      <c r="A6512" s="2"/>
      <c r="B6512" s="3"/>
      <c r="C6512" s="3"/>
    </row>
    <row r="6513" spans="1:3" x14ac:dyDescent="0.25">
      <c r="A6513" s="2"/>
      <c r="B6513" s="3"/>
      <c r="C6513" s="3"/>
    </row>
    <row r="6514" spans="1:3" x14ac:dyDescent="0.25">
      <c r="A6514" s="2"/>
      <c r="B6514" s="3"/>
      <c r="C6514" s="3"/>
    </row>
    <row r="6515" spans="1:3" x14ac:dyDescent="0.25">
      <c r="A6515" s="2"/>
      <c r="B6515" s="3"/>
      <c r="C6515" s="3"/>
    </row>
    <row r="6516" spans="1:3" x14ac:dyDescent="0.25">
      <c r="A6516" s="2"/>
      <c r="B6516" s="3"/>
      <c r="C6516" s="3"/>
    </row>
    <row r="6517" spans="1:3" x14ac:dyDescent="0.25">
      <c r="A6517" s="2"/>
      <c r="B6517" s="3"/>
      <c r="C6517" s="3"/>
    </row>
    <row r="6518" spans="1:3" x14ac:dyDescent="0.25">
      <c r="A6518" s="2"/>
      <c r="B6518" s="3"/>
      <c r="C6518" s="3"/>
    </row>
    <row r="6519" spans="1:3" x14ac:dyDescent="0.25">
      <c r="A6519" s="2"/>
      <c r="B6519" s="3"/>
      <c r="C6519" s="3"/>
    </row>
    <row r="6520" spans="1:3" x14ac:dyDescent="0.25">
      <c r="A6520" s="2"/>
      <c r="B6520" s="3"/>
      <c r="C6520" s="3"/>
    </row>
    <row r="6521" spans="1:3" x14ac:dyDescent="0.25">
      <c r="A6521" s="2"/>
      <c r="B6521" s="3"/>
      <c r="C6521" s="3"/>
    </row>
    <row r="6522" spans="1:3" x14ac:dyDescent="0.25">
      <c r="A6522" s="2"/>
      <c r="B6522" s="3"/>
      <c r="C6522" s="3"/>
    </row>
    <row r="6523" spans="1:3" x14ac:dyDescent="0.25">
      <c r="A6523" s="2"/>
      <c r="B6523" s="3"/>
      <c r="C6523" s="3"/>
    </row>
    <row r="6524" spans="1:3" x14ac:dyDescent="0.25">
      <c r="A6524" s="2"/>
      <c r="B6524" s="3"/>
      <c r="C6524" s="3"/>
    </row>
    <row r="6525" spans="1:3" x14ac:dyDescent="0.25">
      <c r="A6525" s="2"/>
      <c r="B6525" s="3"/>
      <c r="C6525" s="3"/>
    </row>
    <row r="6526" spans="1:3" x14ac:dyDescent="0.25">
      <c r="A6526" s="2"/>
      <c r="B6526" s="3"/>
      <c r="C6526" s="3"/>
    </row>
    <row r="6527" spans="1:3" x14ac:dyDescent="0.25">
      <c r="A6527" s="2"/>
      <c r="B6527" s="3"/>
      <c r="C6527" s="3"/>
    </row>
    <row r="6528" spans="1:3" x14ac:dyDescent="0.25">
      <c r="A6528" s="2"/>
      <c r="B6528" s="3"/>
      <c r="C6528" s="3"/>
    </row>
    <row r="6529" spans="1:3" x14ac:dyDescent="0.25">
      <c r="A6529" s="2"/>
      <c r="B6529" s="3"/>
      <c r="C6529" s="3"/>
    </row>
    <row r="6530" spans="1:3" x14ac:dyDescent="0.25">
      <c r="A6530" s="2"/>
      <c r="B6530" s="3"/>
      <c r="C6530" s="3"/>
    </row>
    <row r="6531" spans="1:3" x14ac:dyDescent="0.25">
      <c r="A6531" s="2"/>
      <c r="B6531" s="3"/>
      <c r="C6531" s="3"/>
    </row>
    <row r="6532" spans="1:3" x14ac:dyDescent="0.25">
      <c r="A6532" s="2"/>
      <c r="B6532" s="3"/>
      <c r="C6532" s="3"/>
    </row>
    <row r="6533" spans="1:3" x14ac:dyDescent="0.25">
      <c r="A6533" s="2"/>
      <c r="B6533" s="3"/>
      <c r="C6533" s="3"/>
    </row>
    <row r="6534" spans="1:3" x14ac:dyDescent="0.25">
      <c r="A6534" s="2"/>
      <c r="B6534" s="3"/>
      <c r="C6534" s="3"/>
    </row>
    <row r="6535" spans="1:3" x14ac:dyDescent="0.25">
      <c r="A6535" s="2"/>
      <c r="B6535" s="3"/>
      <c r="C6535" s="3"/>
    </row>
    <row r="6536" spans="1:3" x14ac:dyDescent="0.25">
      <c r="A6536" s="2"/>
      <c r="B6536" s="3"/>
      <c r="C6536" s="3"/>
    </row>
    <row r="6537" spans="1:3" x14ac:dyDescent="0.25">
      <c r="A6537" s="2"/>
      <c r="B6537" s="3"/>
      <c r="C6537" s="3"/>
    </row>
    <row r="6538" spans="1:3" x14ac:dyDescent="0.25">
      <c r="A6538" s="2"/>
      <c r="B6538" s="3"/>
      <c r="C6538" s="3"/>
    </row>
    <row r="6539" spans="1:3" x14ac:dyDescent="0.25">
      <c r="A6539" s="2"/>
      <c r="B6539" s="3"/>
      <c r="C6539" s="3"/>
    </row>
    <row r="6540" spans="1:3" x14ac:dyDescent="0.25">
      <c r="A6540" s="2"/>
      <c r="B6540" s="3"/>
      <c r="C6540" s="3"/>
    </row>
    <row r="6541" spans="1:3" x14ac:dyDescent="0.25">
      <c r="A6541" s="2"/>
      <c r="B6541" s="3"/>
      <c r="C6541" s="3"/>
    </row>
    <row r="6542" spans="1:3" x14ac:dyDescent="0.25">
      <c r="A6542" s="2"/>
      <c r="B6542" s="3"/>
      <c r="C6542" s="3"/>
    </row>
    <row r="6543" spans="1:3" x14ac:dyDescent="0.25">
      <c r="A6543" s="2"/>
      <c r="B6543" s="3"/>
      <c r="C6543" s="3"/>
    </row>
    <row r="6544" spans="1:3" x14ac:dyDescent="0.25">
      <c r="A6544" s="2"/>
      <c r="B6544" s="3"/>
      <c r="C6544" s="3"/>
    </row>
    <row r="6545" spans="1:3" x14ac:dyDescent="0.25">
      <c r="A6545" s="2"/>
      <c r="B6545" s="3"/>
      <c r="C6545" s="3"/>
    </row>
    <row r="6546" spans="1:3" x14ac:dyDescent="0.25">
      <c r="A6546" s="2"/>
      <c r="B6546" s="3"/>
      <c r="C6546" s="3"/>
    </row>
    <row r="6547" spans="1:3" x14ac:dyDescent="0.25">
      <c r="A6547" s="2"/>
      <c r="B6547" s="3"/>
      <c r="C6547" s="3"/>
    </row>
    <row r="6548" spans="1:3" x14ac:dyDescent="0.25">
      <c r="A6548" s="2"/>
      <c r="B6548" s="3"/>
      <c r="C6548" s="3"/>
    </row>
    <row r="6549" spans="1:3" x14ac:dyDescent="0.25">
      <c r="A6549" s="2"/>
      <c r="B6549" s="3"/>
      <c r="C6549" s="3"/>
    </row>
    <row r="6550" spans="1:3" x14ac:dyDescent="0.25">
      <c r="A6550" s="2"/>
      <c r="B6550" s="3"/>
      <c r="C6550" s="3"/>
    </row>
    <row r="6551" spans="1:3" x14ac:dyDescent="0.25">
      <c r="A6551" s="2"/>
      <c r="B6551" s="3"/>
      <c r="C6551" s="3"/>
    </row>
    <row r="6552" spans="1:3" x14ac:dyDescent="0.25">
      <c r="A6552" s="2"/>
      <c r="B6552" s="3"/>
      <c r="C6552" s="3"/>
    </row>
    <row r="6553" spans="1:3" x14ac:dyDescent="0.25">
      <c r="A6553" s="2"/>
      <c r="B6553" s="3"/>
      <c r="C6553" s="3"/>
    </row>
    <row r="6554" spans="1:3" x14ac:dyDescent="0.25">
      <c r="A6554" s="2"/>
      <c r="B6554" s="3"/>
      <c r="C6554" s="3"/>
    </row>
    <row r="6555" spans="1:3" x14ac:dyDescent="0.25">
      <c r="A6555" s="2"/>
      <c r="B6555" s="3"/>
      <c r="C6555" s="3"/>
    </row>
    <row r="6556" spans="1:3" x14ac:dyDescent="0.25">
      <c r="A6556" s="2"/>
      <c r="B6556" s="3"/>
      <c r="C6556" s="3"/>
    </row>
    <row r="6557" spans="1:3" x14ac:dyDescent="0.25">
      <c r="A6557" s="2"/>
      <c r="B6557" s="3"/>
      <c r="C6557" s="3"/>
    </row>
    <row r="6558" spans="1:3" x14ac:dyDescent="0.25">
      <c r="A6558" s="2"/>
      <c r="B6558" s="3"/>
      <c r="C6558" s="3"/>
    </row>
    <row r="6559" spans="1:3" x14ac:dyDescent="0.25">
      <c r="A6559" s="2"/>
      <c r="B6559" s="3"/>
      <c r="C6559" s="3"/>
    </row>
    <row r="6560" spans="1:3" x14ac:dyDescent="0.25">
      <c r="A6560" s="2"/>
      <c r="B6560" s="3"/>
      <c r="C6560" s="3"/>
    </row>
    <row r="6561" spans="1:3" x14ac:dyDescent="0.25">
      <c r="A6561" s="2"/>
      <c r="B6561" s="3"/>
      <c r="C6561" s="3"/>
    </row>
    <row r="6562" spans="1:3" x14ac:dyDescent="0.25">
      <c r="A6562" s="2"/>
      <c r="B6562" s="3"/>
      <c r="C6562" s="3"/>
    </row>
    <row r="6563" spans="1:3" x14ac:dyDescent="0.25">
      <c r="A6563" s="2"/>
      <c r="B6563" s="3"/>
      <c r="C6563" s="3"/>
    </row>
    <row r="6564" spans="1:3" x14ac:dyDescent="0.25">
      <c r="A6564" s="2"/>
      <c r="B6564" s="3"/>
      <c r="C6564" s="3"/>
    </row>
    <row r="6565" spans="1:3" x14ac:dyDescent="0.25">
      <c r="A6565" s="2"/>
      <c r="B6565" s="3"/>
      <c r="C6565" s="3"/>
    </row>
    <row r="6566" spans="1:3" x14ac:dyDescent="0.25">
      <c r="A6566" s="2"/>
      <c r="B6566" s="3"/>
      <c r="C6566" s="3"/>
    </row>
    <row r="6567" spans="1:3" x14ac:dyDescent="0.25">
      <c r="A6567" s="2"/>
      <c r="B6567" s="3"/>
      <c r="C6567" s="3"/>
    </row>
    <row r="6568" spans="1:3" x14ac:dyDescent="0.25">
      <c r="A6568" s="2"/>
      <c r="B6568" s="3"/>
      <c r="C6568" s="3"/>
    </row>
    <row r="6569" spans="1:3" x14ac:dyDescent="0.25">
      <c r="A6569" s="2"/>
      <c r="B6569" s="3"/>
      <c r="C6569" s="3"/>
    </row>
    <row r="6570" spans="1:3" x14ac:dyDescent="0.25">
      <c r="A6570" s="2"/>
      <c r="B6570" s="3"/>
      <c r="C6570" s="3"/>
    </row>
    <row r="6571" spans="1:3" x14ac:dyDescent="0.25">
      <c r="A6571" s="2"/>
      <c r="B6571" s="3"/>
      <c r="C6571" s="3"/>
    </row>
    <row r="6572" spans="1:3" x14ac:dyDescent="0.25">
      <c r="A6572" s="2"/>
      <c r="B6572" s="3"/>
      <c r="C6572" s="3"/>
    </row>
    <row r="6573" spans="1:3" x14ac:dyDescent="0.25">
      <c r="A6573" s="2"/>
      <c r="B6573" s="3"/>
      <c r="C6573" s="3"/>
    </row>
    <row r="6574" spans="1:3" x14ac:dyDescent="0.25">
      <c r="A6574" s="2"/>
      <c r="B6574" s="3"/>
      <c r="C6574" s="3"/>
    </row>
    <row r="6575" spans="1:3" x14ac:dyDescent="0.25">
      <c r="A6575" s="2"/>
      <c r="B6575" s="3"/>
      <c r="C6575" s="3"/>
    </row>
    <row r="6576" spans="1:3" x14ac:dyDescent="0.25">
      <c r="A6576" s="2"/>
      <c r="B6576" s="3"/>
      <c r="C6576" s="3"/>
    </row>
    <row r="6577" spans="1:3" x14ac:dyDescent="0.25">
      <c r="A6577" s="2"/>
      <c r="B6577" s="3"/>
      <c r="C6577" s="3"/>
    </row>
    <row r="6578" spans="1:3" x14ac:dyDescent="0.25">
      <c r="A6578" s="2"/>
      <c r="B6578" s="3"/>
      <c r="C6578" s="3"/>
    </row>
    <row r="6579" spans="1:3" x14ac:dyDescent="0.25">
      <c r="A6579" s="2"/>
      <c r="B6579" s="3"/>
      <c r="C6579" s="3"/>
    </row>
    <row r="6580" spans="1:3" x14ac:dyDescent="0.25">
      <c r="A6580" s="2"/>
      <c r="B6580" s="3"/>
      <c r="C6580" s="3"/>
    </row>
    <row r="6581" spans="1:3" x14ac:dyDescent="0.25">
      <c r="A6581" s="2"/>
      <c r="B6581" s="3"/>
      <c r="C6581" s="3"/>
    </row>
    <row r="6582" spans="1:3" x14ac:dyDescent="0.25">
      <c r="A6582" s="2"/>
      <c r="B6582" s="3"/>
      <c r="C6582" s="3"/>
    </row>
    <row r="6583" spans="1:3" x14ac:dyDescent="0.25">
      <c r="A6583" s="2"/>
      <c r="B6583" s="3"/>
      <c r="C6583" s="3"/>
    </row>
    <row r="6584" spans="1:3" x14ac:dyDescent="0.25">
      <c r="A6584" s="2"/>
      <c r="B6584" s="3"/>
      <c r="C6584" s="3"/>
    </row>
    <row r="6585" spans="1:3" x14ac:dyDescent="0.25">
      <c r="A6585" s="2"/>
      <c r="B6585" s="3"/>
      <c r="C6585" s="3"/>
    </row>
    <row r="6586" spans="1:3" x14ac:dyDescent="0.25">
      <c r="A6586" s="2"/>
      <c r="B6586" s="3"/>
      <c r="C6586" s="3"/>
    </row>
    <row r="6587" spans="1:3" x14ac:dyDescent="0.25">
      <c r="A6587" s="2"/>
      <c r="B6587" s="3"/>
      <c r="C6587" s="3"/>
    </row>
    <row r="6588" spans="1:3" x14ac:dyDescent="0.25">
      <c r="A6588" s="2"/>
      <c r="B6588" s="3"/>
      <c r="C6588" s="3"/>
    </row>
    <row r="6589" spans="1:3" x14ac:dyDescent="0.25">
      <c r="A6589" s="2"/>
      <c r="B6589" s="3"/>
      <c r="C6589" s="3"/>
    </row>
    <row r="6590" spans="1:3" x14ac:dyDescent="0.25">
      <c r="A6590" s="2"/>
      <c r="B6590" s="3"/>
      <c r="C6590" s="3"/>
    </row>
    <row r="6591" spans="1:3" x14ac:dyDescent="0.25">
      <c r="A6591" s="2"/>
      <c r="B6591" s="3"/>
      <c r="C6591" s="3"/>
    </row>
    <row r="6592" spans="1:3" x14ac:dyDescent="0.25">
      <c r="A6592" s="2"/>
      <c r="B6592" s="3"/>
      <c r="C6592" s="3"/>
    </row>
    <row r="6593" spans="1:3" x14ac:dyDescent="0.25">
      <c r="A6593" s="2"/>
      <c r="B6593" s="3"/>
      <c r="C6593" s="3"/>
    </row>
    <row r="6594" spans="1:3" x14ac:dyDescent="0.25">
      <c r="A6594" s="2"/>
      <c r="B6594" s="3"/>
      <c r="C6594" s="3"/>
    </row>
    <row r="6595" spans="1:3" x14ac:dyDescent="0.25">
      <c r="A6595" s="2"/>
      <c r="B6595" s="3"/>
      <c r="C6595" s="3"/>
    </row>
    <row r="6596" spans="1:3" x14ac:dyDescent="0.25">
      <c r="A6596" s="2"/>
      <c r="B6596" s="3"/>
      <c r="C6596" s="3"/>
    </row>
    <row r="6597" spans="1:3" x14ac:dyDescent="0.25">
      <c r="A6597" s="2"/>
      <c r="B6597" s="3"/>
      <c r="C6597" s="3"/>
    </row>
    <row r="6598" spans="1:3" x14ac:dyDescent="0.25">
      <c r="A6598" s="2"/>
      <c r="B6598" s="3"/>
      <c r="C6598" s="3"/>
    </row>
    <row r="6599" spans="1:3" x14ac:dyDescent="0.25">
      <c r="A6599" s="2"/>
      <c r="B6599" s="3"/>
      <c r="C6599" s="3"/>
    </row>
    <row r="6600" spans="1:3" x14ac:dyDescent="0.25">
      <c r="A6600" s="2"/>
      <c r="B6600" s="3"/>
      <c r="C6600" s="3"/>
    </row>
    <row r="6601" spans="1:3" x14ac:dyDescent="0.25">
      <c r="A6601" s="2"/>
      <c r="B6601" s="3"/>
      <c r="C6601" s="3"/>
    </row>
    <row r="6602" spans="1:3" x14ac:dyDescent="0.25">
      <c r="A6602" s="2"/>
      <c r="B6602" s="3"/>
      <c r="C6602" s="3"/>
    </row>
    <row r="6603" spans="1:3" x14ac:dyDescent="0.25">
      <c r="A6603" s="2"/>
      <c r="B6603" s="3"/>
      <c r="C6603" s="3"/>
    </row>
    <row r="6604" spans="1:3" x14ac:dyDescent="0.25">
      <c r="A6604" s="2"/>
      <c r="B6604" s="3"/>
      <c r="C6604" s="3"/>
    </row>
    <row r="6605" spans="1:3" x14ac:dyDescent="0.25">
      <c r="A6605" s="2"/>
      <c r="B6605" s="3"/>
      <c r="C6605" s="3"/>
    </row>
    <row r="6606" spans="1:3" x14ac:dyDescent="0.25">
      <c r="A6606" s="2"/>
      <c r="B6606" s="3"/>
      <c r="C6606" s="3"/>
    </row>
    <row r="6607" spans="1:3" x14ac:dyDescent="0.25">
      <c r="A6607" s="2"/>
      <c r="B6607" s="3"/>
      <c r="C6607" s="3"/>
    </row>
    <row r="6608" spans="1:3" x14ac:dyDescent="0.25">
      <c r="A6608" s="2"/>
      <c r="B6608" s="3"/>
      <c r="C6608" s="3"/>
    </row>
    <row r="6609" spans="1:3" x14ac:dyDescent="0.25">
      <c r="A6609" s="2"/>
      <c r="B6609" s="3"/>
      <c r="C6609" s="3"/>
    </row>
    <row r="6610" spans="1:3" x14ac:dyDescent="0.25">
      <c r="A6610" s="2"/>
      <c r="B6610" s="3"/>
      <c r="C6610" s="3"/>
    </row>
    <row r="6611" spans="1:3" x14ac:dyDescent="0.25">
      <c r="A6611" s="2"/>
      <c r="B6611" s="3"/>
      <c r="C6611" s="3"/>
    </row>
    <row r="6612" spans="1:3" x14ac:dyDescent="0.25">
      <c r="A6612" s="2"/>
      <c r="B6612" s="3"/>
      <c r="C6612" s="3"/>
    </row>
    <row r="6613" spans="1:3" x14ac:dyDescent="0.25">
      <c r="A6613" s="2"/>
      <c r="B6613" s="3"/>
      <c r="C6613" s="3"/>
    </row>
    <row r="6614" spans="1:3" x14ac:dyDescent="0.25">
      <c r="A6614" s="2"/>
      <c r="B6614" s="3"/>
      <c r="C6614" s="3"/>
    </row>
    <row r="6615" spans="1:3" x14ac:dyDescent="0.25">
      <c r="A6615" s="2"/>
      <c r="B6615" s="3"/>
      <c r="C6615" s="3"/>
    </row>
    <row r="6616" spans="1:3" x14ac:dyDescent="0.25">
      <c r="A6616" s="2"/>
      <c r="B6616" s="3"/>
      <c r="C6616" s="3"/>
    </row>
    <row r="6617" spans="1:3" x14ac:dyDescent="0.25">
      <c r="A6617" s="2"/>
      <c r="B6617" s="3"/>
      <c r="C6617" s="3"/>
    </row>
    <row r="6618" spans="1:3" x14ac:dyDescent="0.25">
      <c r="A6618" s="2"/>
      <c r="B6618" s="3"/>
      <c r="C6618" s="3"/>
    </row>
    <row r="6619" spans="1:3" x14ac:dyDescent="0.25">
      <c r="A6619" s="2"/>
      <c r="B6619" s="3"/>
      <c r="C6619" s="3"/>
    </row>
    <row r="6620" spans="1:3" x14ac:dyDescent="0.25">
      <c r="A6620" s="2"/>
      <c r="B6620" s="3"/>
      <c r="C6620" s="3"/>
    </row>
    <row r="6621" spans="1:3" x14ac:dyDescent="0.25">
      <c r="A6621" s="2"/>
      <c r="B6621" s="3"/>
      <c r="C6621" s="3"/>
    </row>
    <row r="6622" spans="1:3" x14ac:dyDescent="0.25">
      <c r="A6622" s="2"/>
      <c r="B6622" s="3"/>
      <c r="C6622" s="3"/>
    </row>
    <row r="6623" spans="1:3" x14ac:dyDescent="0.25">
      <c r="A6623" s="2"/>
      <c r="B6623" s="3"/>
      <c r="C6623" s="3"/>
    </row>
    <row r="6624" spans="1:3" x14ac:dyDescent="0.25">
      <c r="A6624" s="2"/>
      <c r="B6624" s="3"/>
      <c r="C6624" s="3"/>
    </row>
    <row r="6625" spans="1:3" x14ac:dyDescent="0.25">
      <c r="A6625" s="2"/>
      <c r="B6625" s="3"/>
      <c r="C6625" s="3"/>
    </row>
    <row r="6626" spans="1:3" x14ac:dyDescent="0.25">
      <c r="A6626" s="2"/>
      <c r="B6626" s="3"/>
      <c r="C6626" s="3"/>
    </row>
    <row r="6627" spans="1:3" x14ac:dyDescent="0.25">
      <c r="A6627" s="2"/>
      <c r="B6627" s="3"/>
      <c r="C6627" s="3"/>
    </row>
    <row r="6628" spans="1:3" x14ac:dyDescent="0.25">
      <c r="A6628" s="2"/>
      <c r="B6628" s="3"/>
      <c r="C6628" s="3"/>
    </row>
    <row r="6629" spans="1:3" x14ac:dyDescent="0.25">
      <c r="A6629" s="2"/>
      <c r="B6629" s="3"/>
      <c r="C6629" s="3"/>
    </row>
    <row r="6630" spans="1:3" x14ac:dyDescent="0.25">
      <c r="A6630" s="2"/>
      <c r="B6630" s="3"/>
      <c r="C6630" s="3"/>
    </row>
    <row r="6631" spans="1:3" x14ac:dyDescent="0.25">
      <c r="A6631" s="2"/>
      <c r="B6631" s="3"/>
      <c r="C6631" s="3"/>
    </row>
    <row r="6632" spans="1:3" x14ac:dyDescent="0.25">
      <c r="A6632" s="2"/>
      <c r="B6632" s="3"/>
      <c r="C6632" s="3"/>
    </row>
    <row r="6633" spans="1:3" x14ac:dyDescent="0.25">
      <c r="A6633" s="2"/>
      <c r="B6633" s="3"/>
      <c r="C6633" s="3"/>
    </row>
    <row r="6634" spans="1:3" x14ac:dyDescent="0.25">
      <c r="A6634" s="2"/>
      <c r="B6634" s="3"/>
      <c r="C6634" s="3"/>
    </row>
    <row r="6635" spans="1:3" x14ac:dyDescent="0.25">
      <c r="A6635" s="2"/>
      <c r="B6635" s="3"/>
      <c r="C6635" s="3"/>
    </row>
    <row r="6636" spans="1:3" x14ac:dyDescent="0.25">
      <c r="A6636" s="2"/>
      <c r="B6636" s="3"/>
      <c r="C6636" s="3"/>
    </row>
    <row r="6637" spans="1:3" x14ac:dyDescent="0.25">
      <c r="A6637" s="2"/>
      <c r="B6637" s="3"/>
      <c r="C6637" s="3"/>
    </row>
    <row r="6638" spans="1:3" x14ac:dyDescent="0.25">
      <c r="A6638" s="2"/>
      <c r="B6638" s="3"/>
      <c r="C6638" s="3"/>
    </row>
    <row r="6639" spans="1:3" x14ac:dyDescent="0.25">
      <c r="A6639" s="2"/>
      <c r="B6639" s="3"/>
      <c r="C6639" s="3"/>
    </row>
    <row r="6640" spans="1:3" x14ac:dyDescent="0.25">
      <c r="A6640" s="2"/>
      <c r="B6640" s="3"/>
      <c r="C6640" s="3"/>
    </row>
    <row r="6641" spans="1:3" x14ac:dyDescent="0.25">
      <c r="A6641" s="2"/>
      <c r="B6641" s="3"/>
      <c r="C6641" s="3"/>
    </row>
    <row r="6642" spans="1:3" x14ac:dyDescent="0.25">
      <c r="A6642" s="2"/>
      <c r="B6642" s="3"/>
      <c r="C6642" s="3"/>
    </row>
    <row r="6643" spans="1:3" x14ac:dyDescent="0.25">
      <c r="A6643" s="2"/>
      <c r="B6643" s="3"/>
      <c r="C6643" s="3"/>
    </row>
    <row r="6644" spans="1:3" x14ac:dyDescent="0.25">
      <c r="A6644" s="2"/>
      <c r="B6644" s="3"/>
      <c r="C6644" s="3"/>
    </row>
    <row r="6645" spans="1:3" x14ac:dyDescent="0.25">
      <c r="A6645" s="2"/>
      <c r="B6645" s="3"/>
      <c r="C6645" s="3"/>
    </row>
    <row r="6646" spans="1:3" x14ac:dyDescent="0.25">
      <c r="A6646" s="2"/>
      <c r="B6646" s="3"/>
      <c r="C6646" s="3"/>
    </row>
    <row r="6647" spans="1:3" x14ac:dyDescent="0.25">
      <c r="A6647" s="2"/>
      <c r="B6647" s="3"/>
      <c r="C6647" s="3"/>
    </row>
    <row r="6648" spans="1:3" x14ac:dyDescent="0.25">
      <c r="A6648" s="2"/>
      <c r="B6648" s="3"/>
      <c r="C6648" s="3"/>
    </row>
    <row r="6649" spans="1:3" x14ac:dyDescent="0.25">
      <c r="A6649" s="2"/>
      <c r="B6649" s="3"/>
      <c r="C6649" s="3"/>
    </row>
    <row r="6650" spans="1:3" x14ac:dyDescent="0.25">
      <c r="A6650" s="2"/>
      <c r="B6650" s="3"/>
      <c r="C6650" s="3"/>
    </row>
    <row r="6651" spans="1:3" x14ac:dyDescent="0.25">
      <c r="A6651" s="2"/>
      <c r="B6651" s="3"/>
      <c r="C6651" s="3"/>
    </row>
    <row r="6652" spans="1:3" x14ac:dyDescent="0.25">
      <c r="A6652" s="2"/>
      <c r="B6652" s="3"/>
      <c r="C6652" s="3"/>
    </row>
    <row r="6653" spans="1:3" x14ac:dyDescent="0.25">
      <c r="A6653" s="2"/>
      <c r="B6653" s="3"/>
      <c r="C6653" s="3"/>
    </row>
    <row r="6654" spans="1:3" x14ac:dyDescent="0.25">
      <c r="A6654" s="2"/>
      <c r="B6654" s="3"/>
      <c r="C6654" s="3"/>
    </row>
    <row r="6655" spans="1:3" x14ac:dyDescent="0.25">
      <c r="A6655" s="2"/>
      <c r="B6655" s="3"/>
      <c r="C6655" s="3"/>
    </row>
    <row r="6656" spans="1:3" x14ac:dyDescent="0.25">
      <c r="A6656" s="2"/>
      <c r="B6656" s="3"/>
      <c r="C6656" s="3"/>
    </row>
    <row r="6657" spans="1:3" x14ac:dyDescent="0.25">
      <c r="A6657" s="2"/>
      <c r="B6657" s="3"/>
      <c r="C6657" s="3"/>
    </row>
    <row r="6658" spans="1:3" x14ac:dyDescent="0.25">
      <c r="A6658" s="2"/>
      <c r="B6658" s="3"/>
      <c r="C6658" s="3"/>
    </row>
    <row r="6659" spans="1:3" x14ac:dyDescent="0.25">
      <c r="A6659" s="2"/>
      <c r="B6659" s="3"/>
      <c r="C6659" s="3"/>
    </row>
    <row r="6660" spans="1:3" x14ac:dyDescent="0.25">
      <c r="A6660" s="2"/>
      <c r="B6660" s="3"/>
      <c r="C6660" s="3"/>
    </row>
    <row r="6661" spans="1:3" x14ac:dyDescent="0.25">
      <c r="A6661" s="2"/>
      <c r="B6661" s="3"/>
      <c r="C6661" s="3"/>
    </row>
    <row r="6662" spans="1:3" x14ac:dyDescent="0.25">
      <c r="A6662" s="2"/>
      <c r="B6662" s="3"/>
      <c r="C6662" s="3"/>
    </row>
    <row r="6663" spans="1:3" x14ac:dyDescent="0.25">
      <c r="A6663" s="2"/>
      <c r="B6663" s="3"/>
      <c r="C6663" s="3"/>
    </row>
    <row r="6664" spans="1:3" x14ac:dyDescent="0.25">
      <c r="A6664" s="2"/>
      <c r="B6664" s="3"/>
      <c r="C6664" s="3"/>
    </row>
    <row r="6665" spans="1:3" x14ac:dyDescent="0.25">
      <c r="A6665" s="2"/>
      <c r="B6665" s="3"/>
      <c r="C6665" s="3"/>
    </row>
    <row r="6666" spans="1:3" x14ac:dyDescent="0.25">
      <c r="A6666" s="2"/>
      <c r="B6666" s="3"/>
      <c r="C6666" s="3"/>
    </row>
    <row r="6667" spans="1:3" x14ac:dyDescent="0.25">
      <c r="A6667" s="2"/>
      <c r="B6667" s="3"/>
      <c r="C6667" s="3"/>
    </row>
    <row r="6668" spans="1:3" x14ac:dyDescent="0.25">
      <c r="A6668" s="2"/>
      <c r="B6668" s="3"/>
      <c r="C6668" s="3"/>
    </row>
    <row r="6669" spans="1:3" x14ac:dyDescent="0.25">
      <c r="A6669" s="2"/>
      <c r="B6669" s="3"/>
      <c r="C6669" s="3"/>
    </row>
    <row r="6670" spans="1:3" x14ac:dyDescent="0.25">
      <c r="A6670" s="2"/>
      <c r="B6670" s="3"/>
      <c r="C6670" s="3"/>
    </row>
    <row r="6671" spans="1:3" x14ac:dyDescent="0.25">
      <c r="A6671" s="2"/>
      <c r="B6671" s="3"/>
      <c r="C6671" s="3"/>
    </row>
    <row r="6672" spans="1:3" x14ac:dyDescent="0.25">
      <c r="A6672" s="2"/>
      <c r="B6672" s="3"/>
      <c r="C6672" s="3"/>
    </row>
    <row r="6673" spans="1:3" x14ac:dyDescent="0.25">
      <c r="A6673" s="2"/>
      <c r="B6673" s="3"/>
      <c r="C6673" s="3"/>
    </row>
    <row r="6674" spans="1:3" x14ac:dyDescent="0.25">
      <c r="A6674" s="2"/>
      <c r="B6674" s="3"/>
      <c r="C6674" s="3"/>
    </row>
    <row r="6675" spans="1:3" x14ac:dyDescent="0.25">
      <c r="A6675" s="2"/>
      <c r="B6675" s="3"/>
      <c r="C6675" s="3"/>
    </row>
    <row r="6676" spans="1:3" x14ac:dyDescent="0.25">
      <c r="A6676" s="2"/>
      <c r="B6676" s="3"/>
      <c r="C6676" s="3"/>
    </row>
    <row r="6677" spans="1:3" x14ac:dyDescent="0.25">
      <c r="A6677" s="2"/>
      <c r="B6677" s="3"/>
      <c r="C6677" s="3"/>
    </row>
    <row r="6678" spans="1:3" x14ac:dyDescent="0.25">
      <c r="A6678" s="2"/>
      <c r="B6678" s="3"/>
      <c r="C6678" s="3"/>
    </row>
    <row r="6679" spans="1:3" x14ac:dyDescent="0.25">
      <c r="A6679" s="2"/>
      <c r="B6679" s="3"/>
      <c r="C6679" s="3"/>
    </row>
    <row r="6680" spans="1:3" x14ac:dyDescent="0.25">
      <c r="A6680" s="2"/>
      <c r="B6680" s="3"/>
      <c r="C6680" s="3"/>
    </row>
    <row r="6681" spans="1:3" x14ac:dyDescent="0.25">
      <c r="A6681" s="2"/>
      <c r="B6681" s="3"/>
      <c r="C6681" s="3"/>
    </row>
    <row r="6682" spans="1:3" x14ac:dyDescent="0.25">
      <c r="A6682" s="2"/>
      <c r="B6682" s="3"/>
      <c r="C6682" s="3"/>
    </row>
    <row r="6683" spans="1:3" x14ac:dyDescent="0.25">
      <c r="A6683" s="2"/>
      <c r="B6683" s="3"/>
      <c r="C6683" s="3"/>
    </row>
    <row r="6684" spans="1:3" x14ac:dyDescent="0.25">
      <c r="A6684" s="2"/>
      <c r="B6684" s="3"/>
      <c r="C6684" s="3"/>
    </row>
    <row r="6685" spans="1:3" x14ac:dyDescent="0.25">
      <c r="A6685" s="2"/>
      <c r="B6685" s="3"/>
      <c r="C6685" s="3"/>
    </row>
    <row r="6686" spans="1:3" x14ac:dyDescent="0.25">
      <c r="A6686" s="2"/>
      <c r="B6686" s="3"/>
      <c r="C6686" s="3"/>
    </row>
    <row r="6687" spans="1:3" x14ac:dyDescent="0.25">
      <c r="A6687" s="2"/>
      <c r="B6687" s="3"/>
      <c r="C6687" s="3"/>
    </row>
    <row r="6688" spans="1:3" x14ac:dyDescent="0.25">
      <c r="A6688" s="2"/>
      <c r="B6688" s="3"/>
      <c r="C6688" s="3"/>
    </row>
    <row r="6689" spans="1:3" x14ac:dyDescent="0.25">
      <c r="A6689" s="2"/>
      <c r="B6689" s="3"/>
      <c r="C6689" s="3"/>
    </row>
    <row r="6690" spans="1:3" x14ac:dyDescent="0.25">
      <c r="A6690" s="2"/>
      <c r="B6690" s="3"/>
      <c r="C6690" s="3"/>
    </row>
    <row r="6691" spans="1:3" x14ac:dyDescent="0.25">
      <c r="A6691" s="2"/>
      <c r="B6691" s="3"/>
      <c r="C6691" s="3"/>
    </row>
    <row r="6692" spans="1:3" x14ac:dyDescent="0.25">
      <c r="A6692" s="2"/>
      <c r="B6692" s="3"/>
      <c r="C6692" s="3"/>
    </row>
    <row r="6693" spans="1:3" x14ac:dyDescent="0.25">
      <c r="A6693" s="2"/>
      <c r="B6693" s="3"/>
      <c r="C6693" s="3"/>
    </row>
    <row r="6694" spans="1:3" x14ac:dyDescent="0.25">
      <c r="A6694" s="2"/>
      <c r="B6694" s="3"/>
      <c r="C6694" s="3"/>
    </row>
    <row r="6695" spans="1:3" x14ac:dyDescent="0.25">
      <c r="A6695" s="2"/>
      <c r="B6695" s="3"/>
      <c r="C6695" s="3"/>
    </row>
    <row r="6696" spans="1:3" x14ac:dyDescent="0.25">
      <c r="A6696" s="2"/>
      <c r="B6696" s="3"/>
      <c r="C6696" s="3"/>
    </row>
    <row r="6697" spans="1:3" x14ac:dyDescent="0.25">
      <c r="A6697" s="2"/>
      <c r="B6697" s="3"/>
      <c r="C6697" s="3"/>
    </row>
    <row r="6698" spans="1:3" x14ac:dyDescent="0.25">
      <c r="A6698" s="2"/>
      <c r="B6698" s="3"/>
      <c r="C6698" s="3"/>
    </row>
    <row r="6699" spans="1:3" x14ac:dyDescent="0.25">
      <c r="A6699" s="2"/>
      <c r="B6699" s="3"/>
      <c r="C6699" s="3"/>
    </row>
    <row r="6700" spans="1:3" x14ac:dyDescent="0.25">
      <c r="A6700" s="2"/>
      <c r="B6700" s="3"/>
      <c r="C6700" s="3"/>
    </row>
    <row r="6701" spans="1:3" x14ac:dyDescent="0.25">
      <c r="A6701" s="2"/>
      <c r="B6701" s="3"/>
      <c r="C6701" s="3"/>
    </row>
    <row r="6702" spans="1:3" x14ac:dyDescent="0.25">
      <c r="A6702" s="2"/>
      <c r="B6702" s="3"/>
      <c r="C6702" s="3"/>
    </row>
    <row r="6703" spans="1:3" x14ac:dyDescent="0.25">
      <c r="A6703" s="2"/>
      <c r="B6703" s="3"/>
      <c r="C6703" s="3"/>
    </row>
    <row r="6704" spans="1:3" x14ac:dyDescent="0.25">
      <c r="A6704" s="2"/>
      <c r="B6704" s="3"/>
      <c r="C6704" s="3"/>
    </row>
    <row r="6705" spans="1:3" x14ac:dyDescent="0.25">
      <c r="A6705" s="2"/>
      <c r="B6705" s="3"/>
      <c r="C6705" s="3"/>
    </row>
    <row r="6706" spans="1:3" x14ac:dyDescent="0.25">
      <c r="A6706" s="2"/>
      <c r="B6706" s="3"/>
      <c r="C6706" s="3"/>
    </row>
    <row r="6707" spans="1:3" x14ac:dyDescent="0.25">
      <c r="A6707" s="2"/>
      <c r="B6707" s="3"/>
      <c r="C6707" s="3"/>
    </row>
    <row r="6708" spans="1:3" x14ac:dyDescent="0.25">
      <c r="A6708" s="2"/>
      <c r="B6708" s="3"/>
      <c r="C6708" s="3"/>
    </row>
    <row r="6709" spans="1:3" x14ac:dyDescent="0.25">
      <c r="A6709" s="2"/>
      <c r="B6709" s="3"/>
      <c r="C6709" s="3"/>
    </row>
    <row r="6710" spans="1:3" x14ac:dyDescent="0.25">
      <c r="A6710" s="2"/>
      <c r="B6710" s="3"/>
      <c r="C6710" s="3"/>
    </row>
    <row r="6711" spans="1:3" x14ac:dyDescent="0.25">
      <c r="A6711" s="2"/>
      <c r="B6711" s="3"/>
      <c r="C6711" s="3"/>
    </row>
    <row r="6712" spans="1:3" x14ac:dyDescent="0.25">
      <c r="A6712" s="2"/>
      <c r="B6712" s="3"/>
      <c r="C6712" s="3"/>
    </row>
    <row r="6713" spans="1:3" x14ac:dyDescent="0.25">
      <c r="A6713" s="2"/>
      <c r="B6713" s="3"/>
      <c r="C6713" s="3"/>
    </row>
    <row r="6714" spans="1:3" x14ac:dyDescent="0.25">
      <c r="A6714" s="2"/>
      <c r="B6714" s="3"/>
      <c r="C6714" s="3"/>
    </row>
    <row r="6715" spans="1:3" x14ac:dyDescent="0.25">
      <c r="A6715" s="2"/>
      <c r="B6715" s="3"/>
      <c r="C6715" s="3"/>
    </row>
    <row r="6716" spans="1:3" x14ac:dyDescent="0.25">
      <c r="A6716" s="2"/>
      <c r="B6716" s="3"/>
      <c r="C6716" s="3"/>
    </row>
    <row r="6717" spans="1:3" x14ac:dyDescent="0.25">
      <c r="A6717" s="2"/>
      <c r="B6717" s="3"/>
      <c r="C6717" s="3"/>
    </row>
    <row r="6718" spans="1:3" x14ac:dyDescent="0.25">
      <c r="A6718" s="2"/>
      <c r="B6718" s="3"/>
      <c r="C6718" s="3"/>
    </row>
    <row r="6719" spans="1:3" x14ac:dyDescent="0.25">
      <c r="A6719" s="2"/>
      <c r="B6719" s="3"/>
      <c r="C6719" s="3"/>
    </row>
    <row r="6720" spans="1:3" x14ac:dyDescent="0.25">
      <c r="A6720" s="2"/>
      <c r="B6720" s="3"/>
      <c r="C6720" s="3"/>
    </row>
    <row r="6721" spans="1:3" x14ac:dyDescent="0.25">
      <c r="A6721" s="2"/>
      <c r="B6721" s="3"/>
      <c r="C6721" s="3"/>
    </row>
    <row r="6722" spans="1:3" x14ac:dyDescent="0.25">
      <c r="A6722" s="2"/>
      <c r="B6722" s="3"/>
      <c r="C6722" s="3"/>
    </row>
    <row r="6723" spans="1:3" x14ac:dyDescent="0.25">
      <c r="A6723" s="2"/>
      <c r="B6723" s="3"/>
      <c r="C6723" s="3"/>
    </row>
    <row r="6724" spans="1:3" x14ac:dyDescent="0.25">
      <c r="A6724" s="2"/>
      <c r="B6724" s="3"/>
      <c r="C6724" s="3"/>
    </row>
    <row r="6725" spans="1:3" x14ac:dyDescent="0.25">
      <c r="A6725" s="2"/>
      <c r="B6725" s="3"/>
      <c r="C6725" s="3"/>
    </row>
    <row r="6726" spans="1:3" x14ac:dyDescent="0.25">
      <c r="A6726" s="2"/>
      <c r="B6726" s="3"/>
      <c r="C6726" s="3"/>
    </row>
    <row r="6727" spans="1:3" x14ac:dyDescent="0.25">
      <c r="A6727" s="2"/>
      <c r="B6727" s="3"/>
      <c r="C6727" s="3"/>
    </row>
    <row r="6728" spans="1:3" x14ac:dyDescent="0.25">
      <c r="A6728" s="2"/>
      <c r="B6728" s="3"/>
      <c r="C6728" s="3"/>
    </row>
    <row r="6729" spans="1:3" x14ac:dyDescent="0.25">
      <c r="A6729" s="2"/>
      <c r="B6729" s="3"/>
      <c r="C6729" s="3"/>
    </row>
    <row r="6730" spans="1:3" x14ac:dyDescent="0.25">
      <c r="A6730" s="2"/>
      <c r="B6730" s="3"/>
      <c r="C6730" s="3"/>
    </row>
    <row r="6731" spans="1:3" x14ac:dyDescent="0.25">
      <c r="A6731" s="2"/>
      <c r="B6731" s="3"/>
      <c r="C6731" s="3"/>
    </row>
    <row r="6732" spans="1:3" x14ac:dyDescent="0.25">
      <c r="A6732" s="2"/>
      <c r="B6732" s="3"/>
      <c r="C6732" s="3"/>
    </row>
    <row r="6733" spans="1:3" x14ac:dyDescent="0.25">
      <c r="A6733" s="2"/>
      <c r="B6733" s="3"/>
      <c r="C6733" s="3"/>
    </row>
    <row r="6734" spans="1:3" x14ac:dyDescent="0.25">
      <c r="A6734" s="2"/>
      <c r="B6734" s="3"/>
      <c r="C6734" s="3"/>
    </row>
    <row r="6735" spans="1:3" x14ac:dyDescent="0.25">
      <c r="A6735" s="2"/>
      <c r="B6735" s="3"/>
      <c r="C6735" s="3"/>
    </row>
    <row r="6736" spans="1:3" x14ac:dyDescent="0.25">
      <c r="A6736" s="2"/>
      <c r="B6736" s="3"/>
      <c r="C6736" s="3"/>
    </row>
    <row r="6737" spans="1:3" x14ac:dyDescent="0.25">
      <c r="A6737" s="2"/>
      <c r="B6737" s="3"/>
      <c r="C6737" s="3"/>
    </row>
    <row r="6738" spans="1:3" x14ac:dyDescent="0.25">
      <c r="A6738" s="2"/>
      <c r="B6738" s="3"/>
      <c r="C6738" s="3"/>
    </row>
    <row r="6739" spans="1:3" x14ac:dyDescent="0.25">
      <c r="A6739" s="2"/>
      <c r="B6739" s="3"/>
      <c r="C6739" s="3"/>
    </row>
    <row r="6740" spans="1:3" x14ac:dyDescent="0.25">
      <c r="A6740" s="2"/>
      <c r="B6740" s="3"/>
      <c r="C6740" s="3"/>
    </row>
    <row r="6741" spans="1:3" x14ac:dyDescent="0.25">
      <c r="A6741" s="2"/>
      <c r="B6741" s="3"/>
      <c r="C6741" s="3"/>
    </row>
    <row r="6742" spans="1:3" x14ac:dyDescent="0.25">
      <c r="A6742" s="2"/>
      <c r="B6742" s="3"/>
      <c r="C6742" s="3"/>
    </row>
    <row r="6743" spans="1:3" x14ac:dyDescent="0.25">
      <c r="A6743" s="2"/>
      <c r="B6743" s="3"/>
      <c r="C6743" s="3"/>
    </row>
    <row r="6744" spans="1:3" x14ac:dyDescent="0.25">
      <c r="A6744" s="2"/>
      <c r="B6744" s="3"/>
      <c r="C6744" s="3"/>
    </row>
    <row r="6745" spans="1:3" x14ac:dyDescent="0.25">
      <c r="A6745" s="2"/>
      <c r="B6745" s="3"/>
      <c r="C6745" s="3"/>
    </row>
    <row r="6746" spans="1:3" x14ac:dyDescent="0.25">
      <c r="A6746" s="2"/>
      <c r="B6746" s="3"/>
      <c r="C6746" s="3"/>
    </row>
    <row r="6747" spans="1:3" x14ac:dyDescent="0.25">
      <c r="A6747" s="2"/>
      <c r="B6747" s="3"/>
      <c r="C6747" s="3"/>
    </row>
    <row r="6748" spans="1:3" x14ac:dyDescent="0.25">
      <c r="A6748" s="2"/>
      <c r="B6748" s="3"/>
      <c r="C6748" s="3"/>
    </row>
    <row r="6749" spans="1:3" x14ac:dyDescent="0.25">
      <c r="A6749" s="2"/>
      <c r="B6749" s="3"/>
      <c r="C6749" s="3"/>
    </row>
    <row r="6750" spans="1:3" x14ac:dyDescent="0.25">
      <c r="A6750" s="2"/>
      <c r="B6750" s="3"/>
      <c r="C6750" s="3"/>
    </row>
    <row r="6751" spans="1:3" x14ac:dyDescent="0.25">
      <c r="A6751" s="2"/>
      <c r="B6751" s="3"/>
      <c r="C6751" s="3"/>
    </row>
    <row r="6752" spans="1:3" x14ac:dyDescent="0.25">
      <c r="A6752" s="2"/>
      <c r="B6752" s="3"/>
      <c r="C6752" s="3"/>
    </row>
    <row r="6753" spans="1:3" x14ac:dyDescent="0.25">
      <c r="A6753" s="2"/>
      <c r="B6753" s="3"/>
      <c r="C6753" s="3"/>
    </row>
    <row r="6754" spans="1:3" x14ac:dyDescent="0.25">
      <c r="A6754" s="2"/>
      <c r="B6754" s="3"/>
      <c r="C6754" s="3"/>
    </row>
    <row r="6755" spans="1:3" x14ac:dyDescent="0.25">
      <c r="A6755" s="2"/>
      <c r="B6755" s="3"/>
      <c r="C6755" s="3"/>
    </row>
    <row r="6756" spans="1:3" x14ac:dyDescent="0.25">
      <c r="A6756" s="2"/>
      <c r="B6756" s="3"/>
      <c r="C6756" s="3"/>
    </row>
    <row r="6757" spans="1:3" x14ac:dyDescent="0.25">
      <c r="A6757" s="2"/>
      <c r="B6757" s="3"/>
      <c r="C6757" s="3"/>
    </row>
    <row r="6758" spans="1:3" x14ac:dyDescent="0.25">
      <c r="A6758" s="2"/>
      <c r="B6758" s="3"/>
      <c r="C6758" s="3"/>
    </row>
    <row r="6759" spans="1:3" x14ac:dyDescent="0.25">
      <c r="A6759" s="2"/>
      <c r="B6759" s="3"/>
      <c r="C6759" s="3"/>
    </row>
    <row r="6760" spans="1:3" x14ac:dyDescent="0.25">
      <c r="A6760" s="2"/>
      <c r="B6760" s="3"/>
      <c r="C6760" s="3"/>
    </row>
    <row r="6761" spans="1:3" x14ac:dyDescent="0.25">
      <c r="A6761" s="2"/>
      <c r="B6761" s="3"/>
      <c r="C6761" s="3"/>
    </row>
    <row r="6762" spans="1:3" x14ac:dyDescent="0.25">
      <c r="A6762" s="2"/>
      <c r="B6762" s="3"/>
      <c r="C6762" s="3"/>
    </row>
    <row r="6763" spans="1:3" x14ac:dyDescent="0.25">
      <c r="A6763" s="2"/>
      <c r="B6763" s="3"/>
      <c r="C6763" s="3"/>
    </row>
    <row r="6764" spans="1:3" x14ac:dyDescent="0.25">
      <c r="A6764" s="2"/>
      <c r="B6764" s="3"/>
      <c r="C6764" s="3"/>
    </row>
    <row r="6765" spans="1:3" x14ac:dyDescent="0.25">
      <c r="A6765" s="2"/>
      <c r="B6765" s="3"/>
      <c r="C6765" s="3"/>
    </row>
    <row r="6766" spans="1:3" x14ac:dyDescent="0.25">
      <c r="A6766" s="2"/>
      <c r="B6766" s="3"/>
      <c r="C6766" s="3"/>
    </row>
    <row r="6767" spans="1:3" x14ac:dyDescent="0.25">
      <c r="A6767" s="2"/>
      <c r="B6767" s="3"/>
      <c r="C6767" s="3"/>
    </row>
    <row r="6768" spans="1:3" x14ac:dyDescent="0.25">
      <c r="A6768" s="2"/>
      <c r="B6768" s="3"/>
      <c r="C6768" s="3"/>
    </row>
    <row r="6769" spans="1:3" x14ac:dyDescent="0.25">
      <c r="A6769" s="2"/>
      <c r="B6769" s="3"/>
      <c r="C6769" s="3"/>
    </row>
    <row r="6770" spans="1:3" x14ac:dyDescent="0.25">
      <c r="A6770" s="2"/>
      <c r="B6770" s="3"/>
      <c r="C6770" s="3"/>
    </row>
    <row r="6771" spans="1:3" x14ac:dyDescent="0.25">
      <c r="A6771" s="2"/>
      <c r="B6771" s="3"/>
      <c r="C6771" s="3"/>
    </row>
    <row r="6772" spans="1:3" x14ac:dyDescent="0.25">
      <c r="A6772" s="2"/>
      <c r="B6772" s="3"/>
      <c r="C6772" s="3"/>
    </row>
    <row r="6773" spans="1:3" x14ac:dyDescent="0.25">
      <c r="A6773" s="2"/>
      <c r="B6773" s="3"/>
      <c r="C6773" s="3"/>
    </row>
    <row r="6774" spans="1:3" x14ac:dyDescent="0.25">
      <c r="A6774" s="2"/>
      <c r="B6774" s="3"/>
      <c r="C6774" s="3"/>
    </row>
    <row r="6775" spans="1:3" x14ac:dyDescent="0.25">
      <c r="A6775" s="2"/>
      <c r="B6775" s="3"/>
      <c r="C6775" s="3"/>
    </row>
    <row r="6776" spans="1:3" x14ac:dyDescent="0.25">
      <c r="A6776" s="2"/>
      <c r="B6776" s="3"/>
      <c r="C6776" s="3"/>
    </row>
    <row r="6777" spans="1:3" x14ac:dyDescent="0.25">
      <c r="A6777" s="2"/>
      <c r="B6777" s="3"/>
      <c r="C6777" s="3"/>
    </row>
    <row r="6778" spans="1:3" x14ac:dyDescent="0.25">
      <c r="A6778" s="2"/>
      <c r="B6778" s="3"/>
      <c r="C6778" s="3"/>
    </row>
    <row r="6779" spans="1:3" x14ac:dyDescent="0.25">
      <c r="A6779" s="2"/>
      <c r="B6779" s="3"/>
      <c r="C6779" s="3"/>
    </row>
    <row r="6780" spans="1:3" x14ac:dyDescent="0.25">
      <c r="A6780" s="2"/>
      <c r="B6780" s="3"/>
      <c r="C6780" s="3"/>
    </row>
    <row r="6781" spans="1:3" x14ac:dyDescent="0.25">
      <c r="A6781" s="2"/>
      <c r="B6781" s="3"/>
      <c r="C6781" s="3"/>
    </row>
    <row r="6782" spans="1:3" x14ac:dyDescent="0.25">
      <c r="A6782" s="2"/>
      <c r="B6782" s="3"/>
      <c r="C6782" s="3"/>
    </row>
    <row r="6783" spans="1:3" x14ac:dyDescent="0.25">
      <c r="A6783" s="2"/>
      <c r="B6783" s="3"/>
      <c r="C6783" s="3"/>
    </row>
    <row r="6784" spans="1:3" x14ac:dyDescent="0.25">
      <c r="A6784" s="2"/>
      <c r="B6784" s="3"/>
      <c r="C6784" s="3"/>
    </row>
    <row r="6785" spans="1:3" x14ac:dyDescent="0.25">
      <c r="A6785" s="2"/>
      <c r="B6785" s="3"/>
      <c r="C6785" s="3"/>
    </row>
    <row r="6786" spans="1:3" x14ac:dyDescent="0.25">
      <c r="A6786" s="2"/>
      <c r="B6786" s="3"/>
      <c r="C6786" s="3"/>
    </row>
    <row r="6787" spans="1:3" x14ac:dyDescent="0.25">
      <c r="A6787" s="2"/>
      <c r="B6787" s="3"/>
      <c r="C6787" s="3"/>
    </row>
    <row r="6788" spans="1:3" x14ac:dyDescent="0.25">
      <c r="A6788" s="2"/>
      <c r="B6788" s="3"/>
      <c r="C6788" s="3"/>
    </row>
    <row r="6789" spans="1:3" x14ac:dyDescent="0.25">
      <c r="A6789" s="2"/>
      <c r="B6789" s="3"/>
      <c r="C6789" s="3"/>
    </row>
    <row r="6790" spans="1:3" x14ac:dyDescent="0.25">
      <c r="A6790" s="2"/>
      <c r="B6790" s="3"/>
      <c r="C6790" s="3"/>
    </row>
    <row r="6791" spans="1:3" x14ac:dyDescent="0.25">
      <c r="A6791" s="2"/>
      <c r="B6791" s="3"/>
      <c r="C6791" s="3"/>
    </row>
    <row r="6792" spans="1:3" x14ac:dyDescent="0.25">
      <c r="A6792" s="2"/>
      <c r="B6792" s="3"/>
      <c r="C6792" s="3"/>
    </row>
    <row r="6793" spans="1:3" x14ac:dyDescent="0.25">
      <c r="A6793" s="2"/>
      <c r="B6793" s="3"/>
      <c r="C6793" s="3"/>
    </row>
    <row r="6794" spans="1:3" x14ac:dyDescent="0.25">
      <c r="A6794" s="2"/>
      <c r="B6794" s="3"/>
      <c r="C6794" s="3"/>
    </row>
    <row r="6795" spans="1:3" x14ac:dyDescent="0.25">
      <c r="A6795" s="2"/>
      <c r="B6795" s="3"/>
      <c r="C6795" s="3"/>
    </row>
    <row r="6796" spans="1:3" x14ac:dyDescent="0.25">
      <c r="A6796" s="2"/>
      <c r="B6796" s="3"/>
      <c r="C6796" s="3"/>
    </row>
    <row r="6797" spans="1:3" x14ac:dyDescent="0.25">
      <c r="A6797" s="2"/>
      <c r="B6797" s="3"/>
      <c r="C6797" s="3"/>
    </row>
    <row r="6798" spans="1:3" x14ac:dyDescent="0.25">
      <c r="A6798" s="2"/>
      <c r="B6798" s="3"/>
      <c r="C6798" s="3"/>
    </row>
    <row r="6799" spans="1:3" x14ac:dyDescent="0.25">
      <c r="A6799" s="2"/>
      <c r="B6799" s="3"/>
      <c r="C6799" s="3"/>
    </row>
    <row r="6800" spans="1:3" x14ac:dyDescent="0.25">
      <c r="A6800" s="2"/>
      <c r="B6800" s="3"/>
      <c r="C6800" s="3"/>
    </row>
    <row r="6801" spans="1:3" x14ac:dyDescent="0.25">
      <c r="A6801" s="2"/>
      <c r="B6801" s="3"/>
      <c r="C6801" s="3"/>
    </row>
    <row r="6802" spans="1:3" x14ac:dyDescent="0.25">
      <c r="A6802" s="2"/>
      <c r="B6802" s="3"/>
      <c r="C6802" s="3"/>
    </row>
    <row r="6803" spans="1:3" x14ac:dyDescent="0.25">
      <c r="A6803" s="2"/>
      <c r="B6803" s="3"/>
      <c r="C6803" s="3"/>
    </row>
    <row r="6804" spans="1:3" x14ac:dyDescent="0.25">
      <c r="A6804" s="2"/>
      <c r="B6804" s="3"/>
      <c r="C6804" s="3"/>
    </row>
    <row r="6805" spans="1:3" x14ac:dyDescent="0.25">
      <c r="A6805" s="2"/>
      <c r="B6805" s="3"/>
      <c r="C6805" s="3"/>
    </row>
    <row r="6806" spans="1:3" x14ac:dyDescent="0.25">
      <c r="A6806" s="2"/>
      <c r="B6806" s="3"/>
      <c r="C6806" s="3"/>
    </row>
    <row r="6807" spans="1:3" x14ac:dyDescent="0.25">
      <c r="A6807" s="2"/>
      <c r="B6807" s="3"/>
      <c r="C6807" s="3"/>
    </row>
    <row r="6808" spans="1:3" x14ac:dyDescent="0.25">
      <c r="A6808" s="2"/>
      <c r="B6808" s="3"/>
      <c r="C6808" s="3"/>
    </row>
    <row r="6809" spans="1:3" x14ac:dyDescent="0.25">
      <c r="A6809" s="2"/>
      <c r="B6809" s="3"/>
      <c r="C6809" s="3"/>
    </row>
    <row r="6810" spans="1:3" x14ac:dyDescent="0.25">
      <c r="A6810" s="2"/>
      <c r="B6810" s="3"/>
      <c r="C6810" s="3"/>
    </row>
    <row r="6811" spans="1:3" x14ac:dyDescent="0.25">
      <c r="A6811" s="2"/>
      <c r="B6811" s="3"/>
      <c r="C6811" s="3"/>
    </row>
    <row r="6812" spans="1:3" x14ac:dyDescent="0.25">
      <c r="A6812" s="2"/>
      <c r="B6812" s="3"/>
      <c r="C6812" s="3"/>
    </row>
    <row r="6813" spans="1:3" x14ac:dyDescent="0.25">
      <c r="A6813" s="2"/>
      <c r="B6813" s="3"/>
      <c r="C6813" s="3"/>
    </row>
    <row r="6814" spans="1:3" x14ac:dyDescent="0.25">
      <c r="A6814" s="2"/>
      <c r="B6814" s="3"/>
      <c r="C6814" s="3"/>
    </row>
    <row r="6815" spans="1:3" x14ac:dyDescent="0.25">
      <c r="A6815" s="2"/>
      <c r="B6815" s="3"/>
      <c r="C6815" s="3"/>
    </row>
    <row r="6816" spans="1:3" x14ac:dyDescent="0.25">
      <c r="A6816" s="2"/>
      <c r="B6816" s="3"/>
      <c r="C6816" s="3"/>
    </row>
    <row r="6817" spans="1:3" x14ac:dyDescent="0.25">
      <c r="A6817" s="2"/>
      <c r="B6817" s="3"/>
      <c r="C6817" s="3"/>
    </row>
    <row r="6818" spans="1:3" x14ac:dyDescent="0.25">
      <c r="A6818" s="2"/>
      <c r="B6818" s="3"/>
      <c r="C6818" s="3"/>
    </row>
    <row r="6819" spans="1:3" x14ac:dyDescent="0.25">
      <c r="A6819" s="2"/>
      <c r="B6819" s="3"/>
      <c r="C6819" s="3"/>
    </row>
    <row r="6820" spans="1:3" x14ac:dyDescent="0.25">
      <c r="A6820" s="2"/>
      <c r="B6820" s="3"/>
      <c r="C6820" s="3"/>
    </row>
    <row r="6821" spans="1:3" x14ac:dyDescent="0.25">
      <c r="A6821" s="2"/>
      <c r="B6821" s="3"/>
      <c r="C6821" s="3"/>
    </row>
    <row r="6822" spans="1:3" x14ac:dyDescent="0.25">
      <c r="A6822" s="2"/>
      <c r="B6822" s="3"/>
      <c r="C6822" s="3"/>
    </row>
    <row r="6823" spans="1:3" x14ac:dyDescent="0.25">
      <c r="A6823" s="2"/>
      <c r="B6823" s="3"/>
      <c r="C6823" s="3"/>
    </row>
    <row r="6824" spans="1:3" x14ac:dyDescent="0.25">
      <c r="A6824" s="2"/>
      <c r="B6824" s="3"/>
      <c r="C6824" s="3"/>
    </row>
    <row r="6825" spans="1:3" x14ac:dyDescent="0.25">
      <c r="A6825" s="2"/>
      <c r="B6825" s="3"/>
      <c r="C6825" s="3"/>
    </row>
    <row r="6826" spans="1:3" x14ac:dyDescent="0.25">
      <c r="A6826" s="2"/>
      <c r="B6826" s="3"/>
      <c r="C6826" s="3"/>
    </row>
    <row r="6827" spans="1:3" x14ac:dyDescent="0.25">
      <c r="A6827" s="2"/>
      <c r="B6827" s="3"/>
      <c r="C6827" s="3"/>
    </row>
    <row r="6828" spans="1:3" x14ac:dyDescent="0.25">
      <c r="A6828" s="2"/>
      <c r="B6828" s="3"/>
      <c r="C6828" s="3"/>
    </row>
    <row r="6829" spans="1:3" x14ac:dyDescent="0.25">
      <c r="A6829" s="2"/>
      <c r="B6829" s="3"/>
      <c r="C6829" s="3"/>
    </row>
    <row r="6830" spans="1:3" x14ac:dyDescent="0.25">
      <c r="A6830" s="2"/>
      <c r="B6830" s="3"/>
      <c r="C6830" s="3"/>
    </row>
    <row r="6831" spans="1:3" x14ac:dyDescent="0.25">
      <c r="A6831" s="2"/>
      <c r="B6831" s="3"/>
      <c r="C6831" s="3"/>
    </row>
    <row r="6832" spans="1:3" x14ac:dyDescent="0.25">
      <c r="A6832" s="2"/>
      <c r="B6832" s="3"/>
      <c r="C6832" s="3"/>
    </row>
    <row r="6833" spans="1:3" x14ac:dyDescent="0.25">
      <c r="A6833" s="2"/>
      <c r="B6833" s="3"/>
      <c r="C6833" s="3"/>
    </row>
    <row r="6834" spans="1:3" x14ac:dyDescent="0.25">
      <c r="A6834" s="2"/>
      <c r="B6834" s="3"/>
      <c r="C6834" s="3"/>
    </row>
    <row r="6835" spans="1:3" x14ac:dyDescent="0.25">
      <c r="A6835" s="2"/>
      <c r="B6835" s="3"/>
      <c r="C6835" s="3"/>
    </row>
    <row r="6836" spans="1:3" x14ac:dyDescent="0.25">
      <c r="A6836" s="2"/>
      <c r="B6836" s="3"/>
      <c r="C6836" s="3"/>
    </row>
    <row r="6837" spans="1:3" x14ac:dyDescent="0.25">
      <c r="A6837" s="2"/>
      <c r="B6837" s="3"/>
      <c r="C6837" s="3"/>
    </row>
    <row r="6838" spans="1:3" x14ac:dyDescent="0.25">
      <c r="A6838" s="2"/>
      <c r="B6838" s="3"/>
      <c r="C6838" s="3"/>
    </row>
    <row r="6839" spans="1:3" x14ac:dyDescent="0.25">
      <c r="A6839" s="2"/>
      <c r="B6839" s="3"/>
      <c r="C6839" s="3"/>
    </row>
    <row r="6840" spans="1:3" x14ac:dyDescent="0.25">
      <c r="A6840" s="2"/>
      <c r="B6840" s="3"/>
      <c r="C6840" s="3"/>
    </row>
    <row r="6841" spans="1:3" x14ac:dyDescent="0.25">
      <c r="A6841" s="2"/>
      <c r="B6841" s="3"/>
      <c r="C6841" s="3"/>
    </row>
    <row r="6842" spans="1:3" x14ac:dyDescent="0.25">
      <c r="A6842" s="2"/>
      <c r="B6842" s="3"/>
      <c r="C6842" s="3"/>
    </row>
    <row r="6843" spans="1:3" x14ac:dyDescent="0.25">
      <c r="A6843" s="2"/>
      <c r="B6843" s="3"/>
      <c r="C6843" s="3"/>
    </row>
    <row r="6844" spans="1:3" x14ac:dyDescent="0.25">
      <c r="A6844" s="2"/>
      <c r="B6844" s="3"/>
      <c r="C6844" s="3"/>
    </row>
    <row r="6845" spans="1:3" x14ac:dyDescent="0.25">
      <c r="A6845" s="2"/>
      <c r="B6845" s="3"/>
      <c r="C6845" s="3"/>
    </row>
    <row r="6846" spans="1:3" x14ac:dyDescent="0.25">
      <c r="A6846" s="2"/>
      <c r="B6846" s="3"/>
      <c r="C6846" s="3"/>
    </row>
    <row r="6847" spans="1:3" x14ac:dyDescent="0.25">
      <c r="A6847" s="2"/>
      <c r="B6847" s="3"/>
      <c r="C6847" s="3"/>
    </row>
    <row r="6848" spans="1:3" x14ac:dyDescent="0.25">
      <c r="A6848" s="2"/>
      <c r="B6848" s="3"/>
      <c r="C6848" s="3"/>
    </row>
    <row r="6849" spans="1:3" x14ac:dyDescent="0.25">
      <c r="A6849" s="2"/>
      <c r="B6849" s="3"/>
      <c r="C6849" s="3"/>
    </row>
    <row r="6850" spans="1:3" x14ac:dyDescent="0.25">
      <c r="A6850" s="2"/>
      <c r="B6850" s="3"/>
      <c r="C6850" s="3"/>
    </row>
    <row r="6851" spans="1:3" x14ac:dyDescent="0.25">
      <c r="A6851" s="2"/>
      <c r="B6851" s="3"/>
      <c r="C6851" s="3"/>
    </row>
    <row r="6852" spans="1:3" x14ac:dyDescent="0.25">
      <c r="A6852" s="2"/>
      <c r="B6852" s="3"/>
      <c r="C6852" s="3"/>
    </row>
    <row r="6853" spans="1:3" x14ac:dyDescent="0.25">
      <c r="A6853" s="2"/>
      <c r="B6853" s="3"/>
      <c r="C6853" s="3"/>
    </row>
    <row r="6854" spans="1:3" x14ac:dyDescent="0.25">
      <c r="A6854" s="2"/>
      <c r="B6854" s="3"/>
      <c r="C6854" s="3"/>
    </row>
    <row r="6855" spans="1:3" x14ac:dyDescent="0.25">
      <c r="A6855" s="2"/>
      <c r="B6855" s="3"/>
      <c r="C6855" s="3"/>
    </row>
    <row r="6856" spans="1:3" x14ac:dyDescent="0.25">
      <c r="A6856" s="2"/>
      <c r="B6856" s="3"/>
      <c r="C6856" s="3"/>
    </row>
    <row r="6857" spans="1:3" x14ac:dyDescent="0.25">
      <c r="A6857" s="2"/>
      <c r="B6857" s="3"/>
      <c r="C6857" s="3"/>
    </row>
    <row r="6858" spans="1:3" x14ac:dyDescent="0.25">
      <c r="A6858" s="2"/>
      <c r="B6858" s="3"/>
      <c r="C6858" s="3"/>
    </row>
    <row r="6859" spans="1:3" x14ac:dyDescent="0.25">
      <c r="A6859" s="2"/>
      <c r="B6859" s="3"/>
      <c r="C6859" s="3"/>
    </row>
    <row r="6860" spans="1:3" x14ac:dyDescent="0.25">
      <c r="A6860" s="2"/>
      <c r="B6860" s="3"/>
      <c r="C6860" s="3"/>
    </row>
    <row r="6861" spans="1:3" x14ac:dyDescent="0.25">
      <c r="A6861" s="2"/>
      <c r="B6861" s="3"/>
      <c r="C6861" s="3"/>
    </row>
    <row r="6862" spans="1:3" x14ac:dyDescent="0.25">
      <c r="A6862" s="2"/>
      <c r="B6862" s="3"/>
      <c r="C6862" s="3"/>
    </row>
    <row r="6863" spans="1:3" x14ac:dyDescent="0.25">
      <c r="A6863" s="2"/>
      <c r="B6863" s="3"/>
      <c r="C6863" s="3"/>
    </row>
    <row r="6864" spans="1:3" x14ac:dyDescent="0.25">
      <c r="A6864" s="2"/>
      <c r="B6864" s="3"/>
      <c r="C6864" s="3"/>
    </row>
    <row r="6865" spans="1:3" x14ac:dyDescent="0.25">
      <c r="A6865" s="2"/>
      <c r="B6865" s="3"/>
      <c r="C6865" s="3"/>
    </row>
    <row r="6866" spans="1:3" x14ac:dyDescent="0.25">
      <c r="A6866" s="2"/>
      <c r="B6866" s="3"/>
      <c r="C6866" s="3"/>
    </row>
    <row r="6867" spans="1:3" x14ac:dyDescent="0.25">
      <c r="A6867" s="2"/>
      <c r="B6867" s="3"/>
      <c r="C6867" s="3"/>
    </row>
    <row r="6868" spans="1:3" x14ac:dyDescent="0.25">
      <c r="A6868" s="2"/>
      <c r="B6868" s="3"/>
      <c r="C6868" s="3"/>
    </row>
    <row r="6869" spans="1:3" x14ac:dyDescent="0.25">
      <c r="A6869" s="2"/>
      <c r="B6869" s="3"/>
      <c r="C6869" s="3"/>
    </row>
    <row r="6870" spans="1:3" x14ac:dyDescent="0.25">
      <c r="A6870" s="2"/>
      <c r="B6870" s="3"/>
      <c r="C6870" s="3"/>
    </row>
    <row r="6871" spans="1:3" x14ac:dyDescent="0.25">
      <c r="A6871" s="2"/>
      <c r="B6871" s="3"/>
      <c r="C6871" s="3"/>
    </row>
    <row r="6872" spans="1:3" x14ac:dyDescent="0.25">
      <c r="A6872" s="2"/>
      <c r="B6872" s="3"/>
      <c r="C6872" s="3"/>
    </row>
    <row r="6873" spans="1:3" x14ac:dyDescent="0.25">
      <c r="A6873" s="2"/>
      <c r="B6873" s="3"/>
      <c r="C6873" s="3"/>
    </row>
    <row r="6874" spans="1:3" x14ac:dyDescent="0.25">
      <c r="A6874" s="2"/>
      <c r="B6874" s="3"/>
      <c r="C6874" s="3"/>
    </row>
    <row r="6875" spans="1:3" x14ac:dyDescent="0.25">
      <c r="A6875" s="2"/>
      <c r="B6875" s="3"/>
      <c r="C6875" s="3"/>
    </row>
    <row r="6876" spans="1:3" x14ac:dyDescent="0.25">
      <c r="A6876" s="2"/>
      <c r="B6876" s="3"/>
      <c r="C6876" s="3"/>
    </row>
    <row r="6877" spans="1:3" x14ac:dyDescent="0.25">
      <c r="A6877" s="2"/>
      <c r="B6877" s="3"/>
      <c r="C6877" s="3"/>
    </row>
    <row r="6878" spans="1:3" x14ac:dyDescent="0.25">
      <c r="A6878" s="2"/>
      <c r="B6878" s="3"/>
      <c r="C6878" s="3"/>
    </row>
    <row r="6879" spans="1:3" x14ac:dyDescent="0.25">
      <c r="A6879" s="2"/>
      <c r="B6879" s="3"/>
      <c r="C6879" s="3"/>
    </row>
    <row r="6880" spans="1:3" x14ac:dyDescent="0.25">
      <c r="A6880" s="2"/>
      <c r="B6880" s="3"/>
      <c r="C6880" s="3"/>
    </row>
    <row r="6881" spans="1:3" x14ac:dyDescent="0.25">
      <c r="A6881" s="2"/>
      <c r="B6881" s="3"/>
      <c r="C6881" s="3"/>
    </row>
    <row r="6882" spans="1:3" x14ac:dyDescent="0.25">
      <c r="A6882" s="2"/>
      <c r="B6882" s="3"/>
      <c r="C6882" s="3"/>
    </row>
    <row r="6883" spans="1:3" x14ac:dyDescent="0.25">
      <c r="A6883" s="2"/>
      <c r="B6883" s="3"/>
      <c r="C6883" s="3"/>
    </row>
    <row r="6884" spans="1:3" x14ac:dyDescent="0.25">
      <c r="A6884" s="2"/>
      <c r="B6884" s="3"/>
      <c r="C6884" s="3"/>
    </row>
    <row r="6885" spans="1:3" x14ac:dyDescent="0.25">
      <c r="A6885" s="2"/>
      <c r="B6885" s="3"/>
      <c r="C6885" s="3"/>
    </row>
    <row r="6886" spans="1:3" x14ac:dyDescent="0.25">
      <c r="A6886" s="2"/>
      <c r="B6886" s="3"/>
      <c r="C6886" s="3"/>
    </row>
    <row r="6887" spans="1:3" x14ac:dyDescent="0.25">
      <c r="A6887" s="2"/>
      <c r="B6887" s="3"/>
      <c r="C6887" s="3"/>
    </row>
    <row r="6888" spans="1:3" x14ac:dyDescent="0.25">
      <c r="A6888" s="2"/>
      <c r="B6888" s="3"/>
      <c r="C6888" s="3"/>
    </row>
    <row r="6889" spans="1:3" x14ac:dyDescent="0.25">
      <c r="A6889" s="2"/>
      <c r="B6889" s="3"/>
      <c r="C6889" s="3"/>
    </row>
    <row r="6890" spans="1:3" x14ac:dyDescent="0.25">
      <c r="A6890" s="2"/>
      <c r="B6890" s="3"/>
      <c r="C6890" s="3"/>
    </row>
    <row r="6891" spans="1:3" x14ac:dyDescent="0.25">
      <c r="A6891" s="2"/>
      <c r="B6891" s="3"/>
      <c r="C6891" s="3"/>
    </row>
    <row r="6892" spans="1:3" x14ac:dyDescent="0.25">
      <c r="A6892" s="2"/>
      <c r="B6892" s="3"/>
      <c r="C6892" s="3"/>
    </row>
    <row r="6893" spans="1:3" x14ac:dyDescent="0.25">
      <c r="A6893" s="2"/>
      <c r="B6893" s="3"/>
      <c r="C6893" s="3"/>
    </row>
    <row r="6894" spans="1:3" x14ac:dyDescent="0.25">
      <c r="A6894" s="2"/>
      <c r="B6894" s="3"/>
      <c r="C6894" s="3"/>
    </row>
    <row r="6895" spans="1:3" x14ac:dyDescent="0.25">
      <c r="A6895" s="2"/>
      <c r="B6895" s="3"/>
      <c r="C6895" s="3"/>
    </row>
    <row r="6896" spans="1:3" x14ac:dyDescent="0.25">
      <c r="A6896" s="2"/>
      <c r="B6896" s="3"/>
      <c r="C6896" s="3"/>
    </row>
    <row r="6897" spans="1:3" x14ac:dyDescent="0.25">
      <c r="A6897" s="2"/>
      <c r="B6897" s="3"/>
      <c r="C6897" s="3"/>
    </row>
    <row r="6898" spans="1:3" x14ac:dyDescent="0.25">
      <c r="A6898" s="2"/>
      <c r="B6898" s="3"/>
      <c r="C6898" s="3"/>
    </row>
    <row r="6899" spans="1:3" x14ac:dyDescent="0.25">
      <c r="A6899" s="2"/>
      <c r="B6899" s="3"/>
      <c r="C6899" s="3"/>
    </row>
    <row r="6900" spans="1:3" x14ac:dyDescent="0.25">
      <c r="A6900" s="2"/>
      <c r="B6900" s="3"/>
      <c r="C6900" s="3"/>
    </row>
    <row r="6901" spans="1:3" x14ac:dyDescent="0.25">
      <c r="A6901" s="2"/>
      <c r="B6901" s="3"/>
      <c r="C6901" s="3"/>
    </row>
    <row r="6902" spans="1:3" x14ac:dyDescent="0.25">
      <c r="A6902" s="2"/>
      <c r="B6902" s="3"/>
      <c r="C6902" s="3"/>
    </row>
    <row r="6903" spans="1:3" x14ac:dyDescent="0.25">
      <c r="A6903" s="2"/>
      <c r="B6903" s="3"/>
      <c r="C6903" s="3"/>
    </row>
    <row r="6904" spans="1:3" x14ac:dyDescent="0.25">
      <c r="A6904" s="2"/>
      <c r="B6904" s="3"/>
      <c r="C6904" s="3"/>
    </row>
    <row r="6905" spans="1:3" x14ac:dyDescent="0.25">
      <c r="A6905" s="2"/>
      <c r="B6905" s="3"/>
      <c r="C6905" s="3"/>
    </row>
    <row r="6906" spans="1:3" x14ac:dyDescent="0.25">
      <c r="A6906" s="2"/>
      <c r="B6906" s="3"/>
      <c r="C6906" s="3"/>
    </row>
    <row r="6907" spans="1:3" x14ac:dyDescent="0.25">
      <c r="A6907" s="2"/>
      <c r="B6907" s="3"/>
      <c r="C6907" s="3"/>
    </row>
    <row r="6908" spans="1:3" x14ac:dyDescent="0.25">
      <c r="A6908" s="2"/>
      <c r="B6908" s="3"/>
      <c r="C6908" s="3"/>
    </row>
    <row r="6909" spans="1:3" x14ac:dyDescent="0.25">
      <c r="A6909" s="2"/>
      <c r="B6909" s="3"/>
      <c r="C6909" s="3"/>
    </row>
    <row r="6910" spans="1:3" x14ac:dyDescent="0.25">
      <c r="A6910" s="2"/>
      <c r="B6910" s="3"/>
      <c r="C6910" s="3"/>
    </row>
    <row r="6911" spans="1:3" x14ac:dyDescent="0.25">
      <c r="A6911" s="2"/>
      <c r="B6911" s="3"/>
      <c r="C6911" s="3"/>
    </row>
    <row r="6912" spans="1:3" x14ac:dyDescent="0.25">
      <c r="A6912" s="2"/>
      <c r="B6912" s="3"/>
      <c r="C6912" s="3"/>
    </row>
    <row r="6913" spans="1:3" x14ac:dyDescent="0.25">
      <c r="A6913" s="2"/>
      <c r="B6913" s="3"/>
      <c r="C6913" s="3"/>
    </row>
    <row r="6914" spans="1:3" x14ac:dyDescent="0.25">
      <c r="A6914" s="2"/>
      <c r="B6914" s="3"/>
      <c r="C6914" s="3"/>
    </row>
    <row r="6915" spans="1:3" x14ac:dyDescent="0.25">
      <c r="A6915" s="2"/>
      <c r="B6915" s="3"/>
      <c r="C6915" s="3"/>
    </row>
    <row r="6916" spans="1:3" x14ac:dyDescent="0.25">
      <c r="A6916" s="2"/>
      <c r="B6916" s="3"/>
      <c r="C6916" s="3"/>
    </row>
    <row r="6917" spans="1:3" x14ac:dyDescent="0.25">
      <c r="A6917" s="2"/>
      <c r="B6917" s="3"/>
      <c r="C6917" s="3"/>
    </row>
    <row r="6918" spans="1:3" x14ac:dyDescent="0.25">
      <c r="A6918" s="2"/>
      <c r="B6918" s="3"/>
      <c r="C6918" s="3"/>
    </row>
    <row r="6919" spans="1:3" x14ac:dyDescent="0.25">
      <c r="A6919" s="2"/>
      <c r="B6919" s="3"/>
      <c r="C6919" s="3"/>
    </row>
    <row r="6920" spans="1:3" x14ac:dyDescent="0.25">
      <c r="A6920" s="2"/>
      <c r="B6920" s="3"/>
      <c r="C6920" s="3"/>
    </row>
    <row r="6921" spans="1:3" x14ac:dyDescent="0.25">
      <c r="A6921" s="2"/>
      <c r="B6921" s="3"/>
      <c r="C6921" s="3"/>
    </row>
    <row r="6922" spans="1:3" x14ac:dyDescent="0.25">
      <c r="A6922" s="2"/>
      <c r="B6922" s="3"/>
      <c r="C6922" s="3"/>
    </row>
    <row r="6923" spans="1:3" x14ac:dyDescent="0.25">
      <c r="A6923" s="2"/>
      <c r="B6923" s="3"/>
      <c r="C6923" s="3"/>
    </row>
    <row r="6924" spans="1:3" x14ac:dyDescent="0.25">
      <c r="A6924" s="2"/>
      <c r="B6924" s="3"/>
      <c r="C6924" s="3"/>
    </row>
    <row r="6925" spans="1:3" x14ac:dyDescent="0.25">
      <c r="A6925" s="2"/>
      <c r="B6925" s="3"/>
      <c r="C6925" s="3"/>
    </row>
    <row r="6926" spans="1:3" x14ac:dyDescent="0.25">
      <c r="A6926" s="2"/>
      <c r="B6926" s="3"/>
      <c r="C6926" s="3"/>
    </row>
    <row r="6927" spans="1:3" x14ac:dyDescent="0.25">
      <c r="A6927" s="2"/>
      <c r="B6927" s="3"/>
      <c r="C6927" s="3"/>
    </row>
    <row r="6928" spans="1:3" x14ac:dyDescent="0.25">
      <c r="A6928" s="2"/>
      <c r="B6928" s="3"/>
      <c r="C6928" s="3"/>
    </row>
    <row r="6929" spans="1:3" x14ac:dyDescent="0.25">
      <c r="A6929" s="2"/>
      <c r="B6929" s="3"/>
      <c r="C6929" s="3"/>
    </row>
    <row r="6930" spans="1:3" x14ac:dyDescent="0.25">
      <c r="A6930" s="2"/>
      <c r="B6930" s="3"/>
      <c r="C6930" s="3"/>
    </row>
    <row r="6931" spans="1:3" x14ac:dyDescent="0.25">
      <c r="A6931" s="2"/>
      <c r="B6931" s="3"/>
      <c r="C6931" s="3"/>
    </row>
    <row r="6932" spans="1:3" x14ac:dyDescent="0.25">
      <c r="A6932" s="2"/>
      <c r="B6932" s="3"/>
      <c r="C6932" s="3"/>
    </row>
    <row r="6933" spans="1:3" x14ac:dyDescent="0.25">
      <c r="A6933" s="2"/>
      <c r="B6933" s="3"/>
      <c r="C6933" s="3"/>
    </row>
    <row r="6934" spans="1:3" x14ac:dyDescent="0.25">
      <c r="A6934" s="2"/>
      <c r="B6934" s="3"/>
      <c r="C6934" s="3"/>
    </row>
    <row r="6935" spans="1:3" x14ac:dyDescent="0.25">
      <c r="A6935" s="2"/>
      <c r="B6935" s="3"/>
      <c r="C6935" s="3"/>
    </row>
    <row r="6936" spans="1:3" x14ac:dyDescent="0.25">
      <c r="A6936" s="2"/>
      <c r="B6936" s="3"/>
      <c r="C6936" s="3"/>
    </row>
    <row r="6937" spans="1:3" x14ac:dyDescent="0.25">
      <c r="A6937" s="2"/>
      <c r="B6937" s="3"/>
      <c r="C6937" s="3"/>
    </row>
    <row r="6938" spans="1:3" x14ac:dyDescent="0.25">
      <c r="A6938" s="2"/>
      <c r="B6938" s="3"/>
      <c r="C6938" s="3"/>
    </row>
    <row r="6939" spans="1:3" x14ac:dyDescent="0.25">
      <c r="A6939" s="2"/>
      <c r="B6939" s="3"/>
      <c r="C6939" s="3"/>
    </row>
    <row r="6940" spans="1:3" x14ac:dyDescent="0.25">
      <c r="A6940" s="2"/>
      <c r="B6940" s="3"/>
      <c r="C6940" s="3"/>
    </row>
    <row r="6941" spans="1:3" x14ac:dyDescent="0.25">
      <c r="A6941" s="2"/>
      <c r="B6941" s="3"/>
      <c r="C6941" s="3"/>
    </row>
    <row r="6942" spans="1:3" x14ac:dyDescent="0.25">
      <c r="A6942" s="2"/>
      <c r="B6942" s="3"/>
      <c r="C6942" s="3"/>
    </row>
    <row r="6943" spans="1:3" x14ac:dyDescent="0.25">
      <c r="A6943" s="2"/>
      <c r="B6943" s="3"/>
      <c r="C6943" s="3"/>
    </row>
    <row r="6944" spans="1:3" x14ac:dyDescent="0.25">
      <c r="A6944" s="2"/>
      <c r="B6944" s="3"/>
      <c r="C6944" s="3"/>
    </row>
    <row r="6945" spans="1:3" x14ac:dyDescent="0.25">
      <c r="A6945" s="2"/>
      <c r="B6945" s="3"/>
      <c r="C6945" s="3"/>
    </row>
    <row r="6946" spans="1:3" x14ac:dyDescent="0.25">
      <c r="A6946" s="2"/>
      <c r="B6946" s="3"/>
      <c r="C6946" s="3"/>
    </row>
    <row r="6947" spans="1:3" x14ac:dyDescent="0.25">
      <c r="A6947" s="2"/>
      <c r="B6947" s="3"/>
      <c r="C6947" s="3"/>
    </row>
    <row r="6948" spans="1:3" x14ac:dyDescent="0.25">
      <c r="A6948" s="2"/>
      <c r="B6948" s="3"/>
      <c r="C6948" s="3"/>
    </row>
    <row r="6949" spans="1:3" x14ac:dyDescent="0.25">
      <c r="A6949" s="2"/>
      <c r="B6949" s="3"/>
      <c r="C6949" s="3"/>
    </row>
    <row r="6950" spans="1:3" x14ac:dyDescent="0.25">
      <c r="A6950" s="2"/>
      <c r="B6950" s="3"/>
      <c r="C6950" s="3"/>
    </row>
    <row r="6951" spans="1:3" x14ac:dyDescent="0.25">
      <c r="A6951" s="2"/>
      <c r="B6951" s="3"/>
      <c r="C6951" s="3"/>
    </row>
    <row r="6952" spans="1:3" x14ac:dyDescent="0.25">
      <c r="A6952" s="2"/>
      <c r="B6952" s="3"/>
      <c r="C6952" s="3"/>
    </row>
    <row r="6953" spans="1:3" x14ac:dyDescent="0.25">
      <c r="A6953" s="2"/>
      <c r="B6953" s="3"/>
      <c r="C6953" s="3"/>
    </row>
    <row r="6954" spans="1:3" x14ac:dyDescent="0.25">
      <c r="A6954" s="2"/>
      <c r="B6954" s="3"/>
      <c r="C6954" s="3"/>
    </row>
    <row r="6955" spans="1:3" x14ac:dyDescent="0.25">
      <c r="A6955" s="2"/>
      <c r="B6955" s="3"/>
      <c r="C6955" s="3"/>
    </row>
    <row r="6956" spans="1:3" x14ac:dyDescent="0.25">
      <c r="A6956" s="2"/>
      <c r="B6956" s="3"/>
      <c r="C6956" s="3"/>
    </row>
    <row r="6957" spans="1:3" x14ac:dyDescent="0.25">
      <c r="A6957" s="2"/>
      <c r="B6957" s="3"/>
      <c r="C6957" s="3"/>
    </row>
    <row r="6958" spans="1:3" x14ac:dyDescent="0.25">
      <c r="A6958" s="2"/>
      <c r="B6958" s="3"/>
      <c r="C6958" s="3"/>
    </row>
    <row r="6959" spans="1:3" x14ac:dyDescent="0.25">
      <c r="A6959" s="2"/>
      <c r="B6959" s="3"/>
      <c r="C6959" s="3"/>
    </row>
    <row r="6960" spans="1:3" x14ac:dyDescent="0.25">
      <c r="A6960" s="2"/>
      <c r="B6960" s="3"/>
      <c r="C6960" s="3"/>
    </row>
    <row r="6961" spans="1:3" x14ac:dyDescent="0.25">
      <c r="A6961" s="2"/>
      <c r="B6961" s="3"/>
      <c r="C6961" s="3"/>
    </row>
    <row r="6962" spans="1:3" x14ac:dyDescent="0.25">
      <c r="A6962" s="2"/>
      <c r="B6962" s="3"/>
      <c r="C6962" s="3"/>
    </row>
    <row r="6963" spans="1:3" x14ac:dyDescent="0.25">
      <c r="A6963" s="2"/>
      <c r="B6963" s="3"/>
      <c r="C6963" s="3"/>
    </row>
    <row r="6964" spans="1:3" x14ac:dyDescent="0.25">
      <c r="A6964" s="2"/>
      <c r="B6964" s="3"/>
      <c r="C6964" s="3"/>
    </row>
    <row r="6965" spans="1:3" x14ac:dyDescent="0.25">
      <c r="A6965" s="2"/>
      <c r="B6965" s="3"/>
      <c r="C6965" s="3"/>
    </row>
    <row r="6966" spans="1:3" x14ac:dyDescent="0.25">
      <c r="A6966" s="2"/>
      <c r="B6966" s="3"/>
      <c r="C6966" s="3"/>
    </row>
    <row r="6967" spans="1:3" x14ac:dyDescent="0.25">
      <c r="A6967" s="2"/>
      <c r="B6967" s="3"/>
      <c r="C6967" s="3"/>
    </row>
    <row r="6968" spans="1:3" x14ac:dyDescent="0.25">
      <c r="A6968" s="2"/>
      <c r="B6968" s="3"/>
      <c r="C6968" s="3"/>
    </row>
    <row r="6969" spans="1:3" x14ac:dyDescent="0.25">
      <c r="A6969" s="2"/>
      <c r="B6969" s="3"/>
      <c r="C6969" s="3"/>
    </row>
    <row r="6970" spans="1:3" x14ac:dyDescent="0.25">
      <c r="A6970" s="2"/>
      <c r="B6970" s="3"/>
      <c r="C6970" s="3"/>
    </row>
    <row r="6971" spans="1:3" x14ac:dyDescent="0.25">
      <c r="A6971" s="2"/>
      <c r="B6971" s="3"/>
      <c r="C6971" s="3"/>
    </row>
    <row r="6972" spans="1:3" x14ac:dyDescent="0.25">
      <c r="A6972" s="2"/>
      <c r="B6972" s="3"/>
      <c r="C6972" s="3"/>
    </row>
    <row r="6973" spans="1:3" x14ac:dyDescent="0.25">
      <c r="A6973" s="2"/>
      <c r="B6973" s="3"/>
      <c r="C6973" s="3"/>
    </row>
    <row r="6974" spans="1:3" x14ac:dyDescent="0.25">
      <c r="A6974" s="2"/>
      <c r="B6974" s="3"/>
      <c r="C6974" s="3"/>
    </row>
    <row r="6975" spans="1:3" x14ac:dyDescent="0.25">
      <c r="A6975" s="2"/>
      <c r="B6975" s="3"/>
      <c r="C6975" s="3"/>
    </row>
    <row r="6976" spans="1:3" x14ac:dyDescent="0.25">
      <c r="A6976" s="2"/>
      <c r="B6976" s="3"/>
      <c r="C6976" s="3"/>
    </row>
    <row r="6977" spans="1:3" x14ac:dyDescent="0.25">
      <c r="A6977" s="2"/>
      <c r="B6977" s="3"/>
      <c r="C6977" s="3"/>
    </row>
    <row r="6978" spans="1:3" x14ac:dyDescent="0.25">
      <c r="A6978" s="2"/>
      <c r="B6978" s="3"/>
      <c r="C6978" s="3"/>
    </row>
    <row r="6979" spans="1:3" x14ac:dyDescent="0.25">
      <c r="A6979" s="2"/>
      <c r="B6979" s="3"/>
      <c r="C6979" s="3"/>
    </row>
    <row r="6980" spans="1:3" x14ac:dyDescent="0.25">
      <c r="A6980" s="2"/>
      <c r="B6980" s="3"/>
      <c r="C6980" s="3"/>
    </row>
    <row r="6981" spans="1:3" x14ac:dyDescent="0.25">
      <c r="A6981" s="2"/>
      <c r="B6981" s="3"/>
      <c r="C6981" s="3"/>
    </row>
    <row r="6982" spans="1:3" x14ac:dyDescent="0.25">
      <c r="A6982" s="2"/>
      <c r="B6982" s="3"/>
      <c r="C6982" s="3"/>
    </row>
    <row r="6983" spans="1:3" x14ac:dyDescent="0.25">
      <c r="A6983" s="2"/>
      <c r="B6983" s="3"/>
      <c r="C6983" s="3"/>
    </row>
    <row r="6984" spans="1:3" x14ac:dyDescent="0.25">
      <c r="A6984" s="2"/>
      <c r="B6984" s="3"/>
      <c r="C6984" s="3"/>
    </row>
    <row r="6985" spans="1:3" x14ac:dyDescent="0.25">
      <c r="A6985" s="2"/>
      <c r="B6985" s="3"/>
      <c r="C6985" s="3"/>
    </row>
    <row r="6986" spans="1:3" x14ac:dyDescent="0.25">
      <c r="A6986" s="2"/>
      <c r="B6986" s="3"/>
      <c r="C6986" s="3"/>
    </row>
    <row r="6987" spans="1:3" x14ac:dyDescent="0.25">
      <c r="A6987" s="2"/>
      <c r="B6987" s="3"/>
      <c r="C6987" s="3"/>
    </row>
    <row r="6988" spans="1:3" x14ac:dyDescent="0.25">
      <c r="A6988" s="2"/>
      <c r="B6988" s="3"/>
      <c r="C6988" s="3"/>
    </row>
    <row r="6989" spans="1:3" x14ac:dyDescent="0.25">
      <c r="A6989" s="2"/>
      <c r="B6989" s="3"/>
      <c r="C6989" s="3"/>
    </row>
    <row r="6990" spans="1:3" x14ac:dyDescent="0.25">
      <c r="A6990" s="2"/>
      <c r="B6990" s="3"/>
      <c r="C6990" s="3"/>
    </row>
    <row r="6991" spans="1:3" x14ac:dyDescent="0.25">
      <c r="A6991" s="2"/>
      <c r="B6991" s="3"/>
      <c r="C6991" s="3"/>
    </row>
    <row r="6992" spans="1:3" x14ac:dyDescent="0.25">
      <c r="A6992" s="2"/>
      <c r="B6992" s="3"/>
      <c r="C6992" s="3"/>
    </row>
    <row r="6993" spans="1:3" x14ac:dyDescent="0.25">
      <c r="A6993" s="2"/>
      <c r="B6993" s="3"/>
      <c r="C6993" s="3"/>
    </row>
    <row r="6994" spans="1:3" x14ac:dyDescent="0.25">
      <c r="A6994" s="2"/>
      <c r="B6994" s="3"/>
      <c r="C6994" s="3"/>
    </row>
    <row r="6995" spans="1:3" x14ac:dyDescent="0.25">
      <c r="A6995" s="2"/>
      <c r="B6995" s="3"/>
      <c r="C6995" s="3"/>
    </row>
    <row r="6996" spans="1:3" x14ac:dyDescent="0.25">
      <c r="A6996" s="2"/>
      <c r="B6996" s="3"/>
      <c r="C6996" s="3"/>
    </row>
    <row r="6997" spans="1:3" x14ac:dyDescent="0.25">
      <c r="A6997" s="2"/>
      <c r="B6997" s="3"/>
      <c r="C6997" s="3"/>
    </row>
    <row r="6998" spans="1:3" x14ac:dyDescent="0.25">
      <c r="A6998" s="2"/>
      <c r="B6998" s="3"/>
      <c r="C6998" s="3"/>
    </row>
    <row r="6999" spans="1:3" x14ac:dyDescent="0.25">
      <c r="A6999" s="2"/>
      <c r="B6999" s="3"/>
      <c r="C6999" s="3"/>
    </row>
    <row r="7000" spans="1:3" x14ac:dyDescent="0.25">
      <c r="A7000" s="2"/>
      <c r="B7000" s="3"/>
      <c r="C7000" s="3"/>
    </row>
    <row r="7001" spans="1:3" x14ac:dyDescent="0.25">
      <c r="A7001" s="2"/>
      <c r="B7001" s="3"/>
      <c r="C7001" s="3"/>
    </row>
    <row r="7002" spans="1:3" x14ac:dyDescent="0.25">
      <c r="A7002" s="2"/>
      <c r="B7002" s="3"/>
      <c r="C7002" s="3"/>
    </row>
    <row r="7003" spans="1:3" x14ac:dyDescent="0.25">
      <c r="A7003" s="2"/>
      <c r="B7003" s="3"/>
      <c r="C7003" s="3"/>
    </row>
    <row r="7004" spans="1:3" x14ac:dyDescent="0.25">
      <c r="A7004" s="2"/>
      <c r="B7004" s="3"/>
      <c r="C7004" s="3"/>
    </row>
    <row r="7005" spans="1:3" x14ac:dyDescent="0.25">
      <c r="A7005" s="2"/>
      <c r="B7005" s="3"/>
      <c r="C7005" s="3"/>
    </row>
    <row r="7006" spans="1:3" x14ac:dyDescent="0.25">
      <c r="A7006" s="2"/>
      <c r="B7006" s="3"/>
      <c r="C7006" s="3"/>
    </row>
    <row r="7007" spans="1:3" x14ac:dyDescent="0.25">
      <c r="A7007" s="2"/>
      <c r="B7007" s="3"/>
      <c r="C7007" s="3"/>
    </row>
    <row r="7008" spans="1:3" x14ac:dyDescent="0.25">
      <c r="A7008" s="2"/>
      <c r="B7008" s="3"/>
      <c r="C7008" s="3"/>
    </row>
    <row r="7009" spans="1:3" x14ac:dyDescent="0.25">
      <c r="A7009" s="2"/>
      <c r="B7009" s="3"/>
      <c r="C7009" s="3"/>
    </row>
    <row r="7010" spans="1:3" x14ac:dyDescent="0.25">
      <c r="A7010" s="2"/>
      <c r="B7010" s="3"/>
      <c r="C7010" s="3"/>
    </row>
    <row r="7011" spans="1:3" x14ac:dyDescent="0.25">
      <c r="A7011" s="2"/>
      <c r="B7011" s="3"/>
      <c r="C7011" s="3"/>
    </row>
    <row r="7012" spans="1:3" x14ac:dyDescent="0.25">
      <c r="A7012" s="2"/>
      <c r="B7012" s="3"/>
      <c r="C7012" s="3"/>
    </row>
    <row r="7013" spans="1:3" x14ac:dyDescent="0.25">
      <c r="A7013" s="2"/>
      <c r="B7013" s="3"/>
      <c r="C7013" s="3"/>
    </row>
    <row r="7014" spans="1:3" x14ac:dyDescent="0.25">
      <c r="A7014" s="2"/>
      <c r="B7014" s="3"/>
      <c r="C7014" s="3"/>
    </row>
    <row r="7015" spans="1:3" x14ac:dyDescent="0.25">
      <c r="A7015" s="2"/>
      <c r="B7015" s="3"/>
      <c r="C7015" s="3"/>
    </row>
    <row r="7016" spans="1:3" x14ac:dyDescent="0.25">
      <c r="A7016" s="2"/>
      <c r="B7016" s="3"/>
      <c r="C7016" s="3"/>
    </row>
    <row r="7017" spans="1:3" x14ac:dyDescent="0.25">
      <c r="A7017" s="2"/>
      <c r="B7017" s="3"/>
      <c r="C7017" s="3"/>
    </row>
    <row r="7018" spans="1:3" x14ac:dyDescent="0.25">
      <c r="A7018" s="2"/>
      <c r="B7018" s="3"/>
      <c r="C7018" s="3"/>
    </row>
    <row r="7019" spans="1:3" x14ac:dyDescent="0.25">
      <c r="A7019" s="2"/>
      <c r="B7019" s="3"/>
      <c r="C7019" s="3"/>
    </row>
    <row r="7020" spans="1:3" x14ac:dyDescent="0.25">
      <c r="A7020" s="2"/>
      <c r="B7020" s="3"/>
      <c r="C7020" s="3"/>
    </row>
    <row r="7021" spans="1:3" x14ac:dyDescent="0.25">
      <c r="A7021" s="2"/>
      <c r="B7021" s="3"/>
      <c r="C7021" s="3"/>
    </row>
    <row r="7022" spans="1:3" x14ac:dyDescent="0.25">
      <c r="A7022" s="2"/>
      <c r="B7022" s="3"/>
      <c r="C7022" s="3"/>
    </row>
    <row r="7023" spans="1:3" x14ac:dyDescent="0.25">
      <c r="A7023" s="2"/>
      <c r="B7023" s="3"/>
      <c r="C7023" s="3"/>
    </row>
    <row r="7024" spans="1:3" x14ac:dyDescent="0.25">
      <c r="A7024" s="2"/>
      <c r="B7024" s="3"/>
      <c r="C7024" s="3"/>
    </row>
    <row r="7025" spans="1:3" x14ac:dyDescent="0.25">
      <c r="A7025" s="2"/>
      <c r="B7025" s="3"/>
      <c r="C7025" s="3"/>
    </row>
    <row r="7026" spans="1:3" x14ac:dyDescent="0.25">
      <c r="A7026" s="2"/>
      <c r="B7026" s="3"/>
      <c r="C7026" s="3"/>
    </row>
    <row r="7027" spans="1:3" x14ac:dyDescent="0.25">
      <c r="A7027" s="2"/>
      <c r="B7027" s="3"/>
      <c r="C7027" s="3"/>
    </row>
    <row r="7028" spans="1:3" x14ac:dyDescent="0.25">
      <c r="A7028" s="2"/>
      <c r="B7028" s="3"/>
      <c r="C7028" s="3"/>
    </row>
    <row r="7029" spans="1:3" x14ac:dyDescent="0.25">
      <c r="A7029" s="2"/>
      <c r="B7029" s="3"/>
      <c r="C7029" s="3"/>
    </row>
    <row r="7030" spans="1:3" x14ac:dyDescent="0.25">
      <c r="A7030" s="2"/>
      <c r="B7030" s="3"/>
      <c r="C7030" s="3"/>
    </row>
    <row r="7031" spans="1:3" x14ac:dyDescent="0.25">
      <c r="A7031" s="2"/>
      <c r="B7031" s="3"/>
      <c r="C7031" s="3"/>
    </row>
    <row r="7032" spans="1:3" x14ac:dyDescent="0.25">
      <c r="A7032" s="2"/>
      <c r="B7032" s="3"/>
      <c r="C7032" s="3"/>
    </row>
    <row r="7033" spans="1:3" x14ac:dyDescent="0.25">
      <c r="A7033" s="2"/>
      <c r="B7033" s="3"/>
      <c r="C7033" s="3"/>
    </row>
    <row r="7034" spans="1:3" x14ac:dyDescent="0.25">
      <c r="A7034" s="2"/>
      <c r="B7034" s="3"/>
      <c r="C7034" s="3"/>
    </row>
    <row r="7035" spans="1:3" x14ac:dyDescent="0.25">
      <c r="A7035" s="2"/>
      <c r="B7035" s="3"/>
      <c r="C7035" s="3"/>
    </row>
    <row r="7036" spans="1:3" x14ac:dyDescent="0.25">
      <c r="A7036" s="2"/>
      <c r="B7036" s="3"/>
      <c r="C7036" s="3"/>
    </row>
    <row r="7037" spans="1:3" x14ac:dyDescent="0.25">
      <c r="A7037" s="2"/>
      <c r="B7037" s="3"/>
      <c r="C7037" s="3"/>
    </row>
    <row r="7038" spans="1:3" x14ac:dyDescent="0.25">
      <c r="A7038" s="2"/>
      <c r="B7038" s="3"/>
      <c r="C7038" s="3"/>
    </row>
    <row r="7039" spans="1:3" x14ac:dyDescent="0.25">
      <c r="A7039" s="2"/>
      <c r="B7039" s="3"/>
      <c r="C7039" s="3"/>
    </row>
    <row r="7040" spans="1:3" x14ac:dyDescent="0.25">
      <c r="A7040" s="2"/>
      <c r="B7040" s="3"/>
      <c r="C7040" s="3"/>
    </row>
    <row r="7041" spans="1:3" x14ac:dyDescent="0.25">
      <c r="A7041" s="2"/>
      <c r="B7041" s="3"/>
      <c r="C7041" s="3"/>
    </row>
    <row r="7042" spans="1:3" x14ac:dyDescent="0.25">
      <c r="A7042" s="2"/>
      <c r="B7042" s="3"/>
      <c r="C7042" s="3"/>
    </row>
    <row r="7043" spans="1:3" x14ac:dyDescent="0.25">
      <c r="A7043" s="2"/>
      <c r="B7043" s="3"/>
      <c r="C7043" s="3"/>
    </row>
    <row r="7044" spans="1:3" x14ac:dyDescent="0.25">
      <c r="A7044" s="2"/>
      <c r="B7044" s="3"/>
      <c r="C7044" s="3"/>
    </row>
    <row r="7045" spans="1:3" x14ac:dyDescent="0.25">
      <c r="A7045" s="2"/>
      <c r="B7045" s="3"/>
      <c r="C7045" s="3"/>
    </row>
    <row r="7046" spans="1:3" x14ac:dyDescent="0.25">
      <c r="A7046" s="2"/>
      <c r="B7046" s="3"/>
      <c r="C7046" s="3"/>
    </row>
    <row r="7047" spans="1:3" x14ac:dyDescent="0.25">
      <c r="A7047" s="2"/>
      <c r="B7047" s="3"/>
      <c r="C7047" s="3"/>
    </row>
    <row r="7048" spans="1:3" x14ac:dyDescent="0.25">
      <c r="A7048" s="2"/>
      <c r="B7048" s="3"/>
      <c r="C7048" s="3"/>
    </row>
    <row r="7049" spans="1:3" x14ac:dyDescent="0.25">
      <c r="A7049" s="2"/>
      <c r="B7049" s="3"/>
      <c r="C7049" s="3"/>
    </row>
    <row r="7050" spans="1:3" x14ac:dyDescent="0.25">
      <c r="A7050" s="2"/>
      <c r="B7050" s="3"/>
      <c r="C7050" s="3"/>
    </row>
    <row r="7051" spans="1:3" x14ac:dyDescent="0.25">
      <c r="A7051" s="2"/>
      <c r="B7051" s="3"/>
      <c r="C7051" s="3"/>
    </row>
    <row r="7052" spans="1:3" x14ac:dyDescent="0.25">
      <c r="A7052" s="2"/>
      <c r="B7052" s="3"/>
      <c r="C7052" s="3"/>
    </row>
    <row r="7053" spans="1:3" x14ac:dyDescent="0.25">
      <c r="A7053" s="2"/>
      <c r="B7053" s="3"/>
      <c r="C7053" s="3"/>
    </row>
    <row r="7054" spans="1:3" x14ac:dyDescent="0.25">
      <c r="A7054" s="2"/>
      <c r="B7054" s="3"/>
      <c r="C7054" s="3"/>
    </row>
    <row r="7055" spans="1:3" x14ac:dyDescent="0.25">
      <c r="A7055" s="2"/>
      <c r="B7055" s="3"/>
      <c r="C7055" s="3"/>
    </row>
    <row r="7056" spans="1:3" x14ac:dyDescent="0.25">
      <c r="A7056" s="2"/>
      <c r="B7056" s="3"/>
      <c r="C7056" s="3"/>
    </row>
    <row r="7057" spans="1:3" x14ac:dyDescent="0.25">
      <c r="A7057" s="2"/>
      <c r="B7057" s="3"/>
      <c r="C7057" s="3"/>
    </row>
    <row r="7058" spans="1:3" x14ac:dyDescent="0.25">
      <c r="A7058" s="2"/>
      <c r="B7058" s="3"/>
      <c r="C7058" s="3"/>
    </row>
    <row r="7059" spans="1:3" x14ac:dyDescent="0.25">
      <c r="A7059" s="2"/>
      <c r="B7059" s="3"/>
      <c r="C7059" s="3"/>
    </row>
    <row r="7060" spans="1:3" x14ac:dyDescent="0.25">
      <c r="A7060" s="2"/>
      <c r="B7060" s="3"/>
      <c r="C7060" s="3"/>
    </row>
    <row r="7061" spans="1:3" x14ac:dyDescent="0.25">
      <c r="A7061" s="2"/>
      <c r="B7061" s="3"/>
      <c r="C7061" s="3"/>
    </row>
    <row r="7062" spans="1:3" x14ac:dyDescent="0.25">
      <c r="A7062" s="2"/>
      <c r="B7062" s="3"/>
      <c r="C7062" s="3"/>
    </row>
    <row r="7063" spans="1:3" x14ac:dyDescent="0.25">
      <c r="A7063" s="2"/>
      <c r="B7063" s="3"/>
      <c r="C7063" s="3"/>
    </row>
    <row r="7064" spans="1:3" x14ac:dyDescent="0.25">
      <c r="A7064" s="2"/>
      <c r="B7064" s="3"/>
      <c r="C7064" s="3"/>
    </row>
    <row r="7065" spans="1:3" x14ac:dyDescent="0.25">
      <c r="A7065" s="2"/>
      <c r="B7065" s="3"/>
      <c r="C7065" s="3"/>
    </row>
    <row r="7066" spans="1:3" x14ac:dyDescent="0.25">
      <c r="A7066" s="2"/>
      <c r="B7066" s="3"/>
      <c r="C7066" s="3"/>
    </row>
    <row r="7067" spans="1:3" x14ac:dyDescent="0.25">
      <c r="A7067" s="2"/>
      <c r="B7067" s="3"/>
      <c r="C7067" s="3"/>
    </row>
    <row r="7068" spans="1:3" x14ac:dyDescent="0.25">
      <c r="A7068" s="2"/>
      <c r="B7068" s="3"/>
      <c r="C7068" s="3"/>
    </row>
    <row r="7069" spans="1:3" x14ac:dyDescent="0.25">
      <c r="A7069" s="2"/>
      <c r="B7069" s="3"/>
      <c r="C7069" s="3"/>
    </row>
    <row r="7070" spans="1:3" x14ac:dyDescent="0.25">
      <c r="A7070" s="2"/>
      <c r="B7070" s="3"/>
      <c r="C7070" s="3"/>
    </row>
    <row r="7071" spans="1:3" x14ac:dyDescent="0.25">
      <c r="A7071" s="2"/>
      <c r="B7071" s="3"/>
      <c r="C7071" s="3"/>
    </row>
    <row r="7072" spans="1:3" x14ac:dyDescent="0.25">
      <c r="A7072" s="2"/>
      <c r="B7072" s="3"/>
      <c r="C7072" s="3"/>
    </row>
    <row r="7073" spans="1:3" x14ac:dyDescent="0.25">
      <c r="A7073" s="2"/>
      <c r="B7073" s="3"/>
      <c r="C7073" s="3"/>
    </row>
    <row r="7074" spans="1:3" x14ac:dyDescent="0.25">
      <c r="A7074" s="2"/>
      <c r="B7074" s="3"/>
      <c r="C7074" s="3"/>
    </row>
    <row r="7075" spans="1:3" x14ac:dyDescent="0.25">
      <c r="A7075" s="2"/>
      <c r="B7075" s="3"/>
      <c r="C7075" s="3"/>
    </row>
    <row r="7076" spans="1:3" x14ac:dyDescent="0.25">
      <c r="A7076" s="2"/>
      <c r="B7076" s="3"/>
      <c r="C7076" s="3"/>
    </row>
    <row r="7077" spans="1:3" x14ac:dyDescent="0.25">
      <c r="A7077" s="2"/>
      <c r="B7077" s="3"/>
      <c r="C7077" s="3"/>
    </row>
    <row r="7078" spans="1:3" x14ac:dyDescent="0.25">
      <c r="A7078" s="2"/>
      <c r="B7078" s="3"/>
      <c r="C7078" s="3"/>
    </row>
    <row r="7079" spans="1:3" x14ac:dyDescent="0.25">
      <c r="A7079" s="2"/>
      <c r="B7079" s="3"/>
      <c r="C7079" s="3"/>
    </row>
    <row r="7080" spans="1:3" x14ac:dyDescent="0.25">
      <c r="A7080" s="2"/>
      <c r="B7080" s="3"/>
      <c r="C7080" s="3"/>
    </row>
    <row r="7081" spans="1:3" x14ac:dyDescent="0.25">
      <c r="A7081" s="2"/>
      <c r="B7081" s="3"/>
      <c r="C7081" s="3"/>
    </row>
    <row r="7082" spans="1:3" x14ac:dyDescent="0.25">
      <c r="A7082" s="2"/>
      <c r="B7082" s="3"/>
      <c r="C7082" s="3"/>
    </row>
    <row r="7083" spans="1:3" x14ac:dyDescent="0.25">
      <c r="A7083" s="2"/>
      <c r="B7083" s="3"/>
      <c r="C7083" s="3"/>
    </row>
    <row r="7084" spans="1:3" x14ac:dyDescent="0.25">
      <c r="A7084" s="2"/>
      <c r="B7084" s="3"/>
      <c r="C7084" s="3"/>
    </row>
    <row r="7085" spans="1:3" x14ac:dyDescent="0.25">
      <c r="A7085" s="2"/>
      <c r="B7085" s="3"/>
      <c r="C7085" s="3"/>
    </row>
    <row r="7086" spans="1:3" x14ac:dyDescent="0.25">
      <c r="A7086" s="2"/>
      <c r="B7086" s="3"/>
      <c r="C7086" s="3"/>
    </row>
    <row r="7087" spans="1:3" x14ac:dyDescent="0.25">
      <c r="A7087" s="2"/>
      <c r="B7087" s="3"/>
      <c r="C7087" s="3"/>
    </row>
    <row r="7088" spans="1:3" x14ac:dyDescent="0.25">
      <c r="A7088" s="2"/>
      <c r="B7088" s="3"/>
      <c r="C7088" s="3"/>
    </row>
    <row r="7089" spans="1:3" x14ac:dyDescent="0.25">
      <c r="A7089" s="2"/>
      <c r="B7089" s="3"/>
      <c r="C7089" s="3"/>
    </row>
    <row r="7090" spans="1:3" x14ac:dyDescent="0.25">
      <c r="A7090" s="2"/>
      <c r="B7090" s="3"/>
      <c r="C7090" s="3"/>
    </row>
    <row r="7091" spans="1:3" x14ac:dyDescent="0.25">
      <c r="A7091" s="2"/>
      <c r="B7091" s="3"/>
      <c r="C7091" s="3"/>
    </row>
    <row r="7092" spans="1:3" x14ac:dyDescent="0.25">
      <c r="A7092" s="2"/>
      <c r="B7092" s="3"/>
      <c r="C7092" s="3"/>
    </row>
    <row r="7093" spans="1:3" x14ac:dyDescent="0.25">
      <c r="A7093" s="2"/>
      <c r="B7093" s="3"/>
      <c r="C7093" s="3"/>
    </row>
    <row r="7094" spans="1:3" x14ac:dyDescent="0.25">
      <c r="A7094" s="2"/>
      <c r="B7094" s="3"/>
      <c r="C7094" s="3"/>
    </row>
    <row r="7095" spans="1:3" x14ac:dyDescent="0.25">
      <c r="A7095" s="2"/>
      <c r="B7095" s="3"/>
      <c r="C7095" s="3"/>
    </row>
    <row r="7096" spans="1:3" x14ac:dyDescent="0.25">
      <c r="A7096" s="2"/>
      <c r="B7096" s="3"/>
      <c r="C7096" s="3"/>
    </row>
    <row r="7097" spans="1:3" x14ac:dyDescent="0.25">
      <c r="A7097" s="2"/>
      <c r="B7097" s="3"/>
      <c r="C7097" s="3"/>
    </row>
    <row r="7098" spans="1:3" x14ac:dyDescent="0.25">
      <c r="A7098" s="2"/>
      <c r="B7098" s="3"/>
      <c r="C7098" s="3"/>
    </row>
    <row r="7099" spans="1:3" x14ac:dyDescent="0.25">
      <c r="A7099" s="2"/>
      <c r="B7099" s="3"/>
      <c r="C7099" s="3"/>
    </row>
    <row r="7100" spans="1:3" x14ac:dyDescent="0.25">
      <c r="A7100" s="2"/>
      <c r="B7100" s="3"/>
      <c r="C7100" s="3"/>
    </row>
    <row r="7101" spans="1:3" x14ac:dyDescent="0.25">
      <c r="A7101" s="2"/>
      <c r="B7101" s="3"/>
      <c r="C7101" s="3"/>
    </row>
    <row r="7102" spans="1:3" x14ac:dyDescent="0.25">
      <c r="A7102" s="2"/>
      <c r="B7102" s="3"/>
      <c r="C7102" s="3"/>
    </row>
    <row r="7103" spans="1:3" x14ac:dyDescent="0.25">
      <c r="A7103" s="2"/>
      <c r="B7103" s="3"/>
      <c r="C7103" s="3"/>
    </row>
    <row r="7104" spans="1:3" x14ac:dyDescent="0.25">
      <c r="A7104" s="2"/>
      <c r="B7104" s="3"/>
      <c r="C7104" s="3"/>
    </row>
    <row r="7105" spans="1:3" x14ac:dyDescent="0.25">
      <c r="A7105" s="2"/>
      <c r="B7105" s="3"/>
      <c r="C7105" s="3"/>
    </row>
    <row r="7106" spans="1:3" x14ac:dyDescent="0.25">
      <c r="A7106" s="2"/>
      <c r="B7106" s="3"/>
      <c r="C7106" s="3"/>
    </row>
    <row r="7107" spans="1:3" x14ac:dyDescent="0.25">
      <c r="A7107" s="2"/>
      <c r="B7107" s="3"/>
      <c r="C7107" s="3"/>
    </row>
    <row r="7108" spans="1:3" x14ac:dyDescent="0.25">
      <c r="A7108" s="2"/>
      <c r="B7108" s="3"/>
      <c r="C7108" s="3"/>
    </row>
    <row r="7109" spans="1:3" x14ac:dyDescent="0.25">
      <c r="A7109" s="2"/>
      <c r="B7109" s="3"/>
      <c r="C7109" s="3"/>
    </row>
    <row r="7110" spans="1:3" x14ac:dyDescent="0.25">
      <c r="A7110" s="2"/>
      <c r="B7110" s="3"/>
      <c r="C7110" s="3"/>
    </row>
    <row r="7111" spans="1:3" x14ac:dyDescent="0.25">
      <c r="A7111" s="2"/>
      <c r="B7111" s="3"/>
      <c r="C7111" s="3"/>
    </row>
    <row r="7112" spans="1:3" x14ac:dyDescent="0.25">
      <c r="A7112" s="2"/>
      <c r="B7112" s="3"/>
      <c r="C7112" s="3"/>
    </row>
    <row r="7113" spans="1:3" x14ac:dyDescent="0.25">
      <c r="A7113" s="2"/>
      <c r="B7113" s="3"/>
      <c r="C7113" s="3"/>
    </row>
    <row r="7114" spans="1:3" x14ac:dyDescent="0.25">
      <c r="A7114" s="2"/>
      <c r="B7114" s="3"/>
      <c r="C7114" s="3"/>
    </row>
    <row r="7115" spans="1:3" x14ac:dyDescent="0.25">
      <c r="A7115" s="2"/>
      <c r="B7115" s="3"/>
      <c r="C7115" s="3"/>
    </row>
    <row r="7116" spans="1:3" x14ac:dyDescent="0.25">
      <c r="A7116" s="2"/>
      <c r="B7116" s="3"/>
      <c r="C7116" s="3"/>
    </row>
    <row r="7117" spans="1:3" x14ac:dyDescent="0.25">
      <c r="A7117" s="2"/>
      <c r="B7117" s="3"/>
      <c r="C7117" s="3"/>
    </row>
    <row r="7118" spans="1:3" x14ac:dyDescent="0.25">
      <c r="A7118" s="2"/>
      <c r="B7118" s="3"/>
      <c r="C7118" s="3"/>
    </row>
    <row r="7119" spans="1:3" x14ac:dyDescent="0.25">
      <c r="A7119" s="2"/>
      <c r="B7119" s="3"/>
      <c r="C7119" s="3"/>
    </row>
    <row r="7120" spans="1:3" x14ac:dyDescent="0.25">
      <c r="A7120" s="2"/>
      <c r="B7120" s="3"/>
      <c r="C7120" s="3"/>
    </row>
    <row r="7121" spans="1:3" x14ac:dyDescent="0.25">
      <c r="A7121" s="2"/>
      <c r="B7121" s="3"/>
      <c r="C7121" s="3"/>
    </row>
    <row r="7122" spans="1:3" x14ac:dyDescent="0.25">
      <c r="A7122" s="2"/>
      <c r="B7122" s="3"/>
      <c r="C7122" s="3"/>
    </row>
    <row r="7123" spans="1:3" x14ac:dyDescent="0.25">
      <c r="A7123" s="2"/>
      <c r="B7123" s="3"/>
      <c r="C7123" s="3"/>
    </row>
    <row r="7124" spans="1:3" x14ac:dyDescent="0.25">
      <c r="A7124" s="2"/>
      <c r="B7124" s="3"/>
      <c r="C7124" s="3"/>
    </row>
    <row r="7125" spans="1:3" x14ac:dyDescent="0.25">
      <c r="A7125" s="2"/>
      <c r="B7125" s="3"/>
      <c r="C7125" s="3"/>
    </row>
    <row r="7126" spans="1:3" x14ac:dyDescent="0.25">
      <c r="A7126" s="2"/>
      <c r="B7126" s="3"/>
      <c r="C7126" s="3"/>
    </row>
    <row r="7127" spans="1:3" x14ac:dyDescent="0.25">
      <c r="A7127" s="2"/>
      <c r="B7127" s="3"/>
      <c r="C7127" s="3"/>
    </row>
    <row r="7128" spans="1:3" x14ac:dyDescent="0.25">
      <c r="A7128" s="2"/>
      <c r="B7128" s="3"/>
      <c r="C7128" s="3"/>
    </row>
    <row r="7129" spans="1:3" x14ac:dyDescent="0.25">
      <c r="A7129" s="2"/>
      <c r="B7129" s="3"/>
      <c r="C7129" s="3"/>
    </row>
    <row r="7130" spans="1:3" x14ac:dyDescent="0.25">
      <c r="A7130" s="2"/>
      <c r="B7130" s="3"/>
      <c r="C7130" s="3"/>
    </row>
    <row r="7131" spans="1:3" x14ac:dyDescent="0.25">
      <c r="A7131" s="2"/>
      <c r="B7131" s="3"/>
      <c r="C7131" s="3"/>
    </row>
    <row r="7132" spans="1:3" x14ac:dyDescent="0.25">
      <c r="A7132" s="2"/>
      <c r="B7132" s="3"/>
      <c r="C7132" s="3"/>
    </row>
    <row r="7133" spans="1:3" x14ac:dyDescent="0.25">
      <c r="A7133" s="2"/>
      <c r="B7133" s="3"/>
      <c r="C7133" s="3"/>
    </row>
    <row r="7134" spans="1:3" x14ac:dyDescent="0.25">
      <c r="A7134" s="2"/>
      <c r="B7134" s="3"/>
      <c r="C7134" s="3"/>
    </row>
    <row r="7135" spans="1:3" x14ac:dyDescent="0.25">
      <c r="A7135" s="2"/>
      <c r="B7135" s="3"/>
      <c r="C7135" s="3"/>
    </row>
    <row r="7136" spans="1:3" x14ac:dyDescent="0.25">
      <c r="A7136" s="2"/>
      <c r="B7136" s="3"/>
      <c r="C7136" s="3"/>
    </row>
    <row r="7137" spans="1:3" x14ac:dyDescent="0.25">
      <c r="A7137" s="2"/>
      <c r="B7137" s="3"/>
      <c r="C7137" s="3"/>
    </row>
    <row r="7138" spans="1:3" x14ac:dyDescent="0.25">
      <c r="A7138" s="2"/>
      <c r="B7138" s="3"/>
      <c r="C7138" s="3"/>
    </row>
    <row r="7139" spans="1:3" x14ac:dyDescent="0.25">
      <c r="A7139" s="2"/>
      <c r="B7139" s="3"/>
      <c r="C7139" s="3"/>
    </row>
    <row r="7140" spans="1:3" x14ac:dyDescent="0.25">
      <c r="A7140" s="2"/>
      <c r="B7140" s="3"/>
      <c r="C7140" s="3"/>
    </row>
    <row r="7141" spans="1:3" x14ac:dyDescent="0.25">
      <c r="A7141" s="2"/>
      <c r="B7141" s="3"/>
      <c r="C7141" s="3"/>
    </row>
    <row r="7142" spans="1:3" x14ac:dyDescent="0.25">
      <c r="A7142" s="2"/>
      <c r="B7142" s="3"/>
      <c r="C7142" s="3"/>
    </row>
    <row r="7143" spans="1:3" x14ac:dyDescent="0.25">
      <c r="A7143" s="2"/>
      <c r="B7143" s="3"/>
      <c r="C7143" s="3"/>
    </row>
    <row r="7144" spans="1:3" x14ac:dyDescent="0.25">
      <c r="A7144" s="2"/>
      <c r="B7144" s="3"/>
      <c r="C7144" s="3"/>
    </row>
    <row r="7145" spans="1:3" x14ac:dyDescent="0.25">
      <c r="A7145" s="2"/>
      <c r="B7145" s="3"/>
      <c r="C7145" s="3"/>
    </row>
    <row r="7146" spans="1:3" x14ac:dyDescent="0.25">
      <c r="A7146" s="2"/>
      <c r="B7146" s="3"/>
      <c r="C7146" s="3"/>
    </row>
    <row r="7147" spans="1:3" x14ac:dyDescent="0.25">
      <c r="A7147" s="2"/>
      <c r="B7147" s="3"/>
      <c r="C7147" s="3"/>
    </row>
    <row r="7148" spans="1:3" x14ac:dyDescent="0.25">
      <c r="A7148" s="2"/>
      <c r="B7148" s="3"/>
      <c r="C7148" s="3"/>
    </row>
    <row r="7149" spans="1:3" x14ac:dyDescent="0.25">
      <c r="A7149" s="2"/>
      <c r="B7149" s="3"/>
      <c r="C7149" s="3"/>
    </row>
    <row r="7150" spans="1:3" x14ac:dyDescent="0.25">
      <c r="A7150" s="2"/>
      <c r="B7150" s="3"/>
      <c r="C7150" s="3"/>
    </row>
    <row r="7151" spans="1:3" x14ac:dyDescent="0.25">
      <c r="A7151" s="2"/>
      <c r="B7151" s="3"/>
      <c r="C7151" s="3"/>
    </row>
    <row r="7152" spans="1:3" x14ac:dyDescent="0.25">
      <c r="A7152" s="2"/>
      <c r="B7152" s="3"/>
      <c r="C7152" s="3"/>
    </row>
    <row r="7153" spans="1:3" x14ac:dyDescent="0.25">
      <c r="A7153" s="2"/>
      <c r="B7153" s="3"/>
      <c r="C7153" s="3"/>
    </row>
    <row r="7154" spans="1:3" x14ac:dyDescent="0.25">
      <c r="A7154" s="2"/>
      <c r="B7154" s="3"/>
      <c r="C7154" s="3"/>
    </row>
    <row r="7155" spans="1:3" x14ac:dyDescent="0.25">
      <c r="A7155" s="2"/>
      <c r="B7155" s="3"/>
      <c r="C7155" s="3"/>
    </row>
    <row r="7156" spans="1:3" x14ac:dyDescent="0.25">
      <c r="A7156" s="2"/>
      <c r="B7156" s="3"/>
      <c r="C7156" s="3"/>
    </row>
    <row r="7157" spans="1:3" x14ac:dyDescent="0.25">
      <c r="A7157" s="2"/>
      <c r="B7157" s="3"/>
      <c r="C7157" s="3"/>
    </row>
    <row r="7158" spans="1:3" x14ac:dyDescent="0.25">
      <c r="A7158" s="2"/>
      <c r="B7158" s="3"/>
      <c r="C7158" s="3"/>
    </row>
    <row r="7159" spans="1:3" x14ac:dyDescent="0.25">
      <c r="A7159" s="2"/>
      <c r="B7159" s="3"/>
      <c r="C7159" s="3"/>
    </row>
    <row r="7160" spans="1:3" x14ac:dyDescent="0.25">
      <c r="A7160" s="2"/>
      <c r="B7160" s="3"/>
      <c r="C7160" s="3"/>
    </row>
    <row r="7161" spans="1:3" x14ac:dyDescent="0.25">
      <c r="A7161" s="2"/>
      <c r="B7161" s="3"/>
      <c r="C7161" s="3"/>
    </row>
    <row r="7162" spans="1:3" x14ac:dyDescent="0.25">
      <c r="A7162" s="2"/>
      <c r="B7162" s="3"/>
      <c r="C7162" s="3"/>
    </row>
    <row r="7163" spans="1:3" x14ac:dyDescent="0.25">
      <c r="A7163" s="2"/>
      <c r="B7163" s="3"/>
      <c r="C7163" s="3"/>
    </row>
    <row r="7164" spans="1:3" x14ac:dyDescent="0.25">
      <c r="A7164" s="2"/>
      <c r="B7164" s="3"/>
      <c r="C7164" s="3"/>
    </row>
    <row r="7165" spans="1:3" x14ac:dyDescent="0.25">
      <c r="A7165" s="2"/>
      <c r="B7165" s="3"/>
      <c r="C7165" s="3"/>
    </row>
    <row r="7166" spans="1:3" x14ac:dyDescent="0.25">
      <c r="A7166" s="2"/>
      <c r="B7166" s="3"/>
      <c r="C7166" s="3"/>
    </row>
    <row r="7167" spans="1:3" x14ac:dyDescent="0.25">
      <c r="A7167" s="2"/>
      <c r="B7167" s="3"/>
      <c r="C7167" s="3"/>
    </row>
    <row r="7168" spans="1:3" x14ac:dyDescent="0.25">
      <c r="A7168" s="2"/>
      <c r="B7168" s="3"/>
      <c r="C7168" s="3"/>
    </row>
    <row r="7169" spans="1:3" x14ac:dyDescent="0.25">
      <c r="A7169" s="2"/>
      <c r="B7169" s="3"/>
      <c r="C7169" s="3"/>
    </row>
    <row r="7170" spans="1:3" x14ac:dyDescent="0.25">
      <c r="A7170" s="2"/>
      <c r="B7170" s="3"/>
      <c r="C7170" s="3"/>
    </row>
    <row r="7171" spans="1:3" x14ac:dyDescent="0.25">
      <c r="A7171" s="2"/>
      <c r="B7171" s="3"/>
      <c r="C7171" s="3"/>
    </row>
    <row r="7172" spans="1:3" x14ac:dyDescent="0.25">
      <c r="A7172" s="2"/>
      <c r="B7172" s="3"/>
      <c r="C7172" s="3"/>
    </row>
    <row r="7173" spans="1:3" x14ac:dyDescent="0.25">
      <c r="A7173" s="2"/>
      <c r="B7173" s="3"/>
      <c r="C7173" s="3"/>
    </row>
    <row r="7174" spans="1:3" x14ac:dyDescent="0.25">
      <c r="A7174" s="2"/>
      <c r="B7174" s="3"/>
      <c r="C7174" s="3"/>
    </row>
    <row r="7175" spans="1:3" x14ac:dyDescent="0.25">
      <c r="A7175" s="2"/>
      <c r="B7175" s="3"/>
      <c r="C7175" s="3"/>
    </row>
    <row r="7176" spans="1:3" x14ac:dyDescent="0.25">
      <c r="A7176" s="2"/>
      <c r="B7176" s="3"/>
      <c r="C7176" s="3"/>
    </row>
    <row r="7177" spans="1:3" x14ac:dyDescent="0.25">
      <c r="A7177" s="2"/>
      <c r="B7177" s="3"/>
      <c r="C7177" s="3"/>
    </row>
    <row r="7178" spans="1:3" x14ac:dyDescent="0.25">
      <c r="A7178" s="2"/>
      <c r="B7178" s="3"/>
      <c r="C7178" s="3"/>
    </row>
    <row r="7179" spans="1:3" x14ac:dyDescent="0.25">
      <c r="A7179" s="2"/>
      <c r="B7179" s="3"/>
      <c r="C7179" s="3"/>
    </row>
    <row r="7180" spans="1:3" x14ac:dyDescent="0.25">
      <c r="A7180" s="2"/>
      <c r="B7180" s="3"/>
      <c r="C7180" s="3"/>
    </row>
    <row r="7181" spans="1:3" x14ac:dyDescent="0.25">
      <c r="A7181" s="2"/>
      <c r="B7181" s="3"/>
      <c r="C7181" s="3"/>
    </row>
    <row r="7182" spans="1:3" x14ac:dyDescent="0.25">
      <c r="A7182" s="2"/>
      <c r="B7182" s="3"/>
      <c r="C7182" s="3"/>
    </row>
    <row r="7183" spans="1:3" x14ac:dyDescent="0.25">
      <c r="A7183" s="2"/>
      <c r="B7183" s="3"/>
      <c r="C7183" s="3"/>
    </row>
    <row r="7184" spans="1:3" x14ac:dyDescent="0.25">
      <c r="A7184" s="2"/>
      <c r="B7184" s="3"/>
      <c r="C7184" s="3"/>
    </row>
    <row r="7185" spans="1:3" x14ac:dyDescent="0.25">
      <c r="A7185" s="2"/>
      <c r="B7185" s="3"/>
      <c r="C7185" s="3"/>
    </row>
    <row r="7186" spans="1:3" x14ac:dyDescent="0.25">
      <c r="A7186" s="2"/>
      <c r="B7186" s="3"/>
      <c r="C7186" s="3"/>
    </row>
    <row r="7187" spans="1:3" x14ac:dyDescent="0.25">
      <c r="A7187" s="2"/>
      <c r="B7187" s="3"/>
      <c r="C7187" s="3"/>
    </row>
    <row r="7188" spans="1:3" x14ac:dyDescent="0.25">
      <c r="A7188" s="2"/>
      <c r="B7188" s="3"/>
      <c r="C7188" s="3"/>
    </row>
    <row r="7189" spans="1:3" x14ac:dyDescent="0.25">
      <c r="A7189" s="2"/>
      <c r="B7189" s="3"/>
      <c r="C7189" s="3"/>
    </row>
    <row r="7190" spans="1:3" x14ac:dyDescent="0.25">
      <c r="A7190" s="2"/>
      <c r="B7190" s="3"/>
      <c r="C7190" s="3"/>
    </row>
    <row r="7191" spans="1:3" x14ac:dyDescent="0.25">
      <c r="A7191" s="2"/>
      <c r="B7191" s="3"/>
      <c r="C7191" s="3"/>
    </row>
    <row r="7192" spans="1:3" x14ac:dyDescent="0.25">
      <c r="A7192" s="2"/>
      <c r="B7192" s="3"/>
      <c r="C7192" s="3"/>
    </row>
    <row r="7193" spans="1:3" x14ac:dyDescent="0.25">
      <c r="A7193" s="2"/>
      <c r="B7193" s="3"/>
      <c r="C7193" s="3"/>
    </row>
    <row r="7194" spans="1:3" x14ac:dyDescent="0.25">
      <c r="A7194" s="2"/>
      <c r="B7194" s="3"/>
      <c r="C7194" s="3"/>
    </row>
    <row r="7195" spans="1:3" x14ac:dyDescent="0.25">
      <c r="A7195" s="2"/>
      <c r="B7195" s="3"/>
      <c r="C7195" s="3"/>
    </row>
    <row r="7196" spans="1:3" x14ac:dyDescent="0.25">
      <c r="A7196" s="2"/>
      <c r="B7196" s="3"/>
      <c r="C7196" s="3"/>
    </row>
    <row r="7197" spans="1:3" x14ac:dyDescent="0.25">
      <c r="A7197" s="2"/>
      <c r="B7197" s="3"/>
      <c r="C7197" s="3"/>
    </row>
    <row r="7198" spans="1:3" x14ac:dyDescent="0.25">
      <c r="A7198" s="2"/>
      <c r="B7198" s="3"/>
      <c r="C7198" s="3"/>
    </row>
    <row r="7199" spans="1:3" x14ac:dyDescent="0.25">
      <c r="A7199" s="2"/>
      <c r="B7199" s="3"/>
      <c r="C7199" s="3"/>
    </row>
    <row r="7200" spans="1:3" x14ac:dyDescent="0.25">
      <c r="A7200" s="2"/>
      <c r="B7200" s="3"/>
      <c r="C7200" s="3"/>
    </row>
    <row r="7201" spans="1:3" x14ac:dyDescent="0.25">
      <c r="A7201" s="2"/>
      <c r="B7201" s="3"/>
      <c r="C7201" s="3"/>
    </row>
    <row r="7202" spans="1:3" x14ac:dyDescent="0.25">
      <c r="A7202" s="2"/>
      <c r="B7202" s="3"/>
      <c r="C7202" s="3"/>
    </row>
    <row r="7203" spans="1:3" x14ac:dyDescent="0.25">
      <c r="A7203" s="2"/>
      <c r="B7203" s="3"/>
      <c r="C7203" s="3"/>
    </row>
    <row r="7204" spans="1:3" x14ac:dyDescent="0.25">
      <c r="A7204" s="2"/>
      <c r="B7204" s="3"/>
      <c r="C7204" s="3"/>
    </row>
    <row r="7205" spans="1:3" x14ac:dyDescent="0.25">
      <c r="A7205" s="2"/>
      <c r="B7205" s="3"/>
      <c r="C7205" s="3"/>
    </row>
    <row r="7206" spans="1:3" x14ac:dyDescent="0.25">
      <c r="A7206" s="2"/>
      <c r="B7206" s="3"/>
      <c r="C7206" s="3"/>
    </row>
    <row r="7207" spans="1:3" x14ac:dyDescent="0.25">
      <c r="A7207" s="2"/>
      <c r="B7207" s="3"/>
      <c r="C7207" s="3"/>
    </row>
    <row r="7208" spans="1:3" x14ac:dyDescent="0.25">
      <c r="A7208" s="2"/>
      <c r="B7208" s="3"/>
      <c r="C7208" s="3"/>
    </row>
    <row r="7209" spans="1:3" x14ac:dyDescent="0.25">
      <c r="A7209" s="2"/>
      <c r="B7209" s="3"/>
      <c r="C7209" s="3"/>
    </row>
    <row r="7210" spans="1:3" x14ac:dyDescent="0.25">
      <c r="A7210" s="2"/>
      <c r="B7210" s="3"/>
      <c r="C7210" s="3"/>
    </row>
    <row r="7211" spans="1:3" x14ac:dyDescent="0.25">
      <c r="A7211" s="2"/>
      <c r="B7211" s="3"/>
      <c r="C7211" s="3"/>
    </row>
    <row r="7212" spans="1:3" x14ac:dyDescent="0.25">
      <c r="A7212" s="2"/>
      <c r="B7212" s="3"/>
      <c r="C7212" s="3"/>
    </row>
    <row r="7213" spans="1:3" x14ac:dyDescent="0.25">
      <c r="A7213" s="2"/>
      <c r="B7213" s="3"/>
      <c r="C7213" s="3"/>
    </row>
    <row r="7214" spans="1:3" x14ac:dyDescent="0.25">
      <c r="A7214" s="2"/>
      <c r="B7214" s="3"/>
      <c r="C7214" s="3"/>
    </row>
    <row r="7215" spans="1:3" x14ac:dyDescent="0.25">
      <c r="A7215" s="2"/>
      <c r="B7215" s="3"/>
      <c r="C7215" s="3"/>
    </row>
    <row r="7216" spans="1:3" x14ac:dyDescent="0.25">
      <c r="A7216" s="2"/>
      <c r="B7216" s="3"/>
      <c r="C7216" s="3"/>
    </row>
    <row r="7217" spans="1:3" x14ac:dyDescent="0.25">
      <c r="A7217" s="2"/>
      <c r="B7217" s="3"/>
      <c r="C7217" s="3"/>
    </row>
    <row r="7218" spans="1:3" x14ac:dyDescent="0.25">
      <c r="A7218" s="2"/>
      <c r="B7218" s="3"/>
      <c r="C7218" s="3"/>
    </row>
    <row r="7219" spans="1:3" x14ac:dyDescent="0.25">
      <c r="A7219" s="2"/>
      <c r="B7219" s="3"/>
      <c r="C7219" s="3"/>
    </row>
    <row r="7220" spans="1:3" x14ac:dyDescent="0.25">
      <c r="A7220" s="2"/>
      <c r="B7220" s="3"/>
      <c r="C7220" s="3"/>
    </row>
    <row r="7221" spans="1:3" x14ac:dyDescent="0.25">
      <c r="A7221" s="2"/>
      <c r="B7221" s="3"/>
      <c r="C7221" s="3"/>
    </row>
    <row r="7222" spans="1:3" x14ac:dyDescent="0.25">
      <c r="A7222" s="2"/>
      <c r="B7222" s="3"/>
      <c r="C7222" s="3"/>
    </row>
    <row r="7223" spans="1:3" x14ac:dyDescent="0.25">
      <c r="A7223" s="2"/>
      <c r="B7223" s="3"/>
      <c r="C7223" s="3"/>
    </row>
    <row r="7224" spans="1:3" x14ac:dyDescent="0.25">
      <c r="A7224" s="2"/>
      <c r="B7224" s="3"/>
      <c r="C7224" s="3"/>
    </row>
    <row r="7225" spans="1:3" x14ac:dyDescent="0.25">
      <c r="A7225" s="2"/>
      <c r="B7225" s="3"/>
      <c r="C7225" s="3"/>
    </row>
    <row r="7226" spans="1:3" x14ac:dyDescent="0.25">
      <c r="A7226" s="2"/>
      <c r="B7226" s="3"/>
      <c r="C7226" s="3"/>
    </row>
    <row r="7227" spans="1:3" x14ac:dyDescent="0.25">
      <c r="A7227" s="2"/>
      <c r="B7227" s="3"/>
      <c r="C7227" s="3"/>
    </row>
    <row r="7228" spans="1:3" x14ac:dyDescent="0.25">
      <c r="A7228" s="2"/>
      <c r="B7228" s="3"/>
      <c r="C7228" s="3"/>
    </row>
    <row r="7229" spans="1:3" x14ac:dyDescent="0.25">
      <c r="A7229" s="2"/>
      <c r="B7229" s="3"/>
      <c r="C7229" s="3"/>
    </row>
    <row r="7230" spans="1:3" x14ac:dyDescent="0.25">
      <c r="A7230" s="2"/>
      <c r="B7230" s="3"/>
      <c r="C7230" s="3"/>
    </row>
    <row r="7231" spans="1:3" x14ac:dyDescent="0.25">
      <c r="A7231" s="2"/>
      <c r="B7231" s="3"/>
      <c r="C7231" s="3"/>
    </row>
    <row r="7232" spans="1:3" x14ac:dyDescent="0.25">
      <c r="A7232" s="2"/>
      <c r="B7232" s="3"/>
      <c r="C7232" s="3"/>
    </row>
    <row r="7233" spans="1:3" x14ac:dyDescent="0.25">
      <c r="A7233" s="2"/>
      <c r="B7233" s="3"/>
      <c r="C7233" s="3"/>
    </row>
    <row r="7234" spans="1:3" x14ac:dyDescent="0.25">
      <c r="A7234" s="2"/>
      <c r="B7234" s="3"/>
      <c r="C7234" s="3"/>
    </row>
    <row r="7235" spans="1:3" x14ac:dyDescent="0.25">
      <c r="A7235" s="2"/>
      <c r="B7235" s="3"/>
      <c r="C7235" s="3"/>
    </row>
    <row r="7236" spans="1:3" x14ac:dyDescent="0.25">
      <c r="A7236" s="2"/>
      <c r="B7236" s="3"/>
      <c r="C7236" s="3"/>
    </row>
    <row r="7237" spans="1:3" x14ac:dyDescent="0.25">
      <c r="A7237" s="2"/>
      <c r="B7237" s="3"/>
      <c r="C7237" s="3"/>
    </row>
    <row r="7238" spans="1:3" x14ac:dyDescent="0.25">
      <c r="A7238" s="2"/>
      <c r="B7238" s="3"/>
      <c r="C7238" s="3"/>
    </row>
    <row r="7239" spans="1:3" x14ac:dyDescent="0.25">
      <c r="A7239" s="2"/>
      <c r="B7239" s="3"/>
      <c r="C7239" s="3"/>
    </row>
    <row r="7240" spans="1:3" x14ac:dyDescent="0.25">
      <c r="A7240" s="2"/>
      <c r="B7240" s="3"/>
      <c r="C7240" s="3"/>
    </row>
    <row r="7241" spans="1:3" x14ac:dyDescent="0.25">
      <c r="A7241" s="2"/>
      <c r="B7241" s="3"/>
      <c r="C7241" s="3"/>
    </row>
    <row r="7242" spans="1:3" x14ac:dyDescent="0.25">
      <c r="A7242" s="2"/>
      <c r="B7242" s="3"/>
      <c r="C7242" s="3"/>
    </row>
    <row r="7243" spans="1:3" x14ac:dyDescent="0.25">
      <c r="A7243" s="2"/>
      <c r="B7243" s="3"/>
      <c r="C7243" s="3"/>
    </row>
    <row r="7244" spans="1:3" x14ac:dyDescent="0.25">
      <c r="A7244" s="2"/>
      <c r="B7244" s="3"/>
      <c r="C7244" s="3"/>
    </row>
    <row r="7245" spans="1:3" x14ac:dyDescent="0.25">
      <c r="A7245" s="2"/>
      <c r="B7245" s="3"/>
      <c r="C7245" s="3"/>
    </row>
    <row r="7246" spans="1:3" x14ac:dyDescent="0.25">
      <c r="A7246" s="2"/>
      <c r="B7246" s="3"/>
      <c r="C7246" s="3"/>
    </row>
    <row r="7247" spans="1:3" x14ac:dyDescent="0.25">
      <c r="A7247" s="2"/>
      <c r="B7247" s="3"/>
      <c r="C7247" s="3"/>
    </row>
    <row r="7248" spans="1:3" x14ac:dyDescent="0.25">
      <c r="A7248" s="2"/>
      <c r="B7248" s="3"/>
      <c r="C7248" s="3"/>
    </row>
    <row r="7249" spans="1:3" x14ac:dyDescent="0.25">
      <c r="A7249" s="2"/>
      <c r="B7249" s="3"/>
      <c r="C7249" s="3"/>
    </row>
    <row r="7250" spans="1:3" x14ac:dyDescent="0.25">
      <c r="A7250" s="2"/>
      <c r="B7250" s="3"/>
      <c r="C7250" s="3"/>
    </row>
    <row r="7251" spans="1:3" x14ac:dyDescent="0.25">
      <c r="A7251" s="2"/>
      <c r="B7251" s="3"/>
      <c r="C7251" s="3"/>
    </row>
    <row r="7252" spans="1:3" x14ac:dyDescent="0.25">
      <c r="A7252" s="2"/>
      <c r="B7252" s="3"/>
      <c r="C7252" s="3"/>
    </row>
    <row r="7253" spans="1:3" x14ac:dyDescent="0.25">
      <c r="A7253" s="2"/>
      <c r="B7253" s="3"/>
      <c r="C7253" s="3"/>
    </row>
    <row r="7254" spans="1:3" x14ac:dyDescent="0.25">
      <c r="A7254" s="2"/>
      <c r="B7254" s="3"/>
      <c r="C7254" s="3"/>
    </row>
    <row r="7255" spans="1:3" x14ac:dyDescent="0.25">
      <c r="A7255" s="2"/>
      <c r="B7255" s="3"/>
      <c r="C7255" s="3"/>
    </row>
    <row r="7256" spans="1:3" x14ac:dyDescent="0.25">
      <c r="A7256" s="2"/>
      <c r="B7256" s="3"/>
      <c r="C7256" s="3"/>
    </row>
    <row r="7257" spans="1:3" x14ac:dyDescent="0.25">
      <c r="A7257" s="2"/>
      <c r="B7257" s="3"/>
      <c r="C7257" s="3"/>
    </row>
    <row r="7258" spans="1:3" x14ac:dyDescent="0.25">
      <c r="A7258" s="2"/>
      <c r="B7258" s="3"/>
      <c r="C7258" s="3"/>
    </row>
    <row r="7259" spans="1:3" x14ac:dyDescent="0.25">
      <c r="A7259" s="2"/>
      <c r="B7259" s="3"/>
      <c r="C7259" s="3"/>
    </row>
    <row r="7260" spans="1:3" x14ac:dyDescent="0.25">
      <c r="A7260" s="2"/>
      <c r="B7260" s="3"/>
      <c r="C7260" s="3"/>
    </row>
    <row r="7261" spans="1:3" x14ac:dyDescent="0.25">
      <c r="A7261" s="2"/>
      <c r="B7261" s="3"/>
      <c r="C7261" s="3"/>
    </row>
    <row r="7262" spans="1:3" x14ac:dyDescent="0.25">
      <c r="A7262" s="2"/>
      <c r="B7262" s="3"/>
      <c r="C7262" s="3"/>
    </row>
    <row r="7263" spans="1:3" x14ac:dyDescent="0.25">
      <c r="A7263" s="2"/>
      <c r="B7263" s="3"/>
      <c r="C7263" s="3"/>
    </row>
    <row r="7264" spans="1:3" x14ac:dyDescent="0.25">
      <c r="A7264" s="2"/>
      <c r="B7264" s="3"/>
      <c r="C7264" s="3"/>
    </row>
    <row r="7265" spans="1:3" x14ac:dyDescent="0.25">
      <c r="A7265" s="2"/>
      <c r="B7265" s="3"/>
      <c r="C7265" s="3"/>
    </row>
    <row r="7266" spans="1:3" x14ac:dyDescent="0.25">
      <c r="A7266" s="2"/>
      <c r="B7266" s="3"/>
      <c r="C7266" s="3"/>
    </row>
    <row r="7267" spans="1:3" x14ac:dyDescent="0.25">
      <c r="A7267" s="2"/>
      <c r="B7267" s="3"/>
      <c r="C7267" s="3"/>
    </row>
    <row r="7268" spans="1:3" x14ac:dyDescent="0.25">
      <c r="A7268" s="2"/>
      <c r="B7268" s="3"/>
      <c r="C7268" s="3"/>
    </row>
    <row r="7269" spans="1:3" x14ac:dyDescent="0.25">
      <c r="A7269" s="2"/>
      <c r="B7269" s="3"/>
      <c r="C7269" s="3"/>
    </row>
    <row r="7270" spans="1:3" x14ac:dyDescent="0.25">
      <c r="A7270" s="2"/>
      <c r="B7270" s="3"/>
      <c r="C7270" s="3"/>
    </row>
    <row r="7271" spans="1:3" x14ac:dyDescent="0.25">
      <c r="A7271" s="2"/>
      <c r="B7271" s="3"/>
      <c r="C7271" s="3"/>
    </row>
    <row r="7272" spans="1:3" x14ac:dyDescent="0.25">
      <c r="A7272" s="2"/>
      <c r="B7272" s="3"/>
      <c r="C7272" s="3"/>
    </row>
    <row r="7273" spans="1:3" x14ac:dyDescent="0.25">
      <c r="A7273" s="2"/>
      <c r="B7273" s="3"/>
      <c r="C7273" s="3"/>
    </row>
    <row r="7274" spans="1:3" x14ac:dyDescent="0.25">
      <c r="A7274" s="2"/>
      <c r="B7274" s="3"/>
      <c r="C7274" s="3"/>
    </row>
    <row r="7275" spans="1:3" x14ac:dyDescent="0.25">
      <c r="A7275" s="2"/>
      <c r="B7275" s="3"/>
      <c r="C7275" s="3"/>
    </row>
    <row r="7276" spans="1:3" x14ac:dyDescent="0.25">
      <c r="A7276" s="2"/>
      <c r="B7276" s="3"/>
      <c r="C7276" s="3"/>
    </row>
    <row r="7277" spans="1:3" x14ac:dyDescent="0.25">
      <c r="A7277" s="2"/>
      <c r="B7277" s="3"/>
      <c r="C7277" s="3"/>
    </row>
    <row r="7278" spans="1:3" x14ac:dyDescent="0.25">
      <c r="A7278" s="2"/>
      <c r="B7278" s="3"/>
      <c r="C7278" s="3"/>
    </row>
    <row r="7279" spans="1:3" x14ac:dyDescent="0.25">
      <c r="A7279" s="2"/>
      <c r="B7279" s="3"/>
      <c r="C7279" s="3"/>
    </row>
    <row r="7280" spans="1:3" x14ac:dyDescent="0.25">
      <c r="A7280" s="2"/>
      <c r="B7280" s="3"/>
      <c r="C7280" s="3"/>
    </row>
    <row r="7281" spans="1:3" x14ac:dyDescent="0.25">
      <c r="A7281" s="2"/>
      <c r="B7281" s="3"/>
      <c r="C7281" s="3"/>
    </row>
    <row r="7282" spans="1:3" x14ac:dyDescent="0.25">
      <c r="A7282" s="2"/>
      <c r="B7282" s="3"/>
      <c r="C7282" s="3"/>
    </row>
    <row r="7283" spans="1:3" x14ac:dyDescent="0.25">
      <c r="A7283" s="2"/>
      <c r="B7283" s="3"/>
      <c r="C7283" s="3"/>
    </row>
    <row r="7284" spans="1:3" x14ac:dyDescent="0.25">
      <c r="A7284" s="2"/>
      <c r="B7284" s="3"/>
      <c r="C7284" s="3"/>
    </row>
    <row r="7285" spans="1:3" x14ac:dyDescent="0.25">
      <c r="A7285" s="2"/>
      <c r="B7285" s="3"/>
      <c r="C7285" s="3"/>
    </row>
    <row r="7286" spans="1:3" x14ac:dyDescent="0.25">
      <c r="A7286" s="2"/>
      <c r="B7286" s="3"/>
      <c r="C7286" s="3"/>
    </row>
    <row r="7287" spans="1:3" x14ac:dyDescent="0.25">
      <c r="A7287" s="2"/>
      <c r="B7287" s="3"/>
      <c r="C7287" s="3"/>
    </row>
    <row r="7288" spans="1:3" x14ac:dyDescent="0.25">
      <c r="A7288" s="2"/>
      <c r="B7288" s="3"/>
      <c r="C7288" s="3"/>
    </row>
    <row r="7289" spans="1:3" x14ac:dyDescent="0.25">
      <c r="A7289" s="2"/>
      <c r="B7289" s="3"/>
      <c r="C7289" s="3"/>
    </row>
    <row r="7290" spans="1:3" x14ac:dyDescent="0.25">
      <c r="A7290" s="2"/>
      <c r="B7290" s="3"/>
      <c r="C7290" s="3"/>
    </row>
    <row r="7291" spans="1:3" x14ac:dyDescent="0.25">
      <c r="A7291" s="2"/>
      <c r="B7291" s="3"/>
      <c r="C7291" s="3"/>
    </row>
    <row r="7292" spans="1:3" x14ac:dyDescent="0.25">
      <c r="A7292" s="2"/>
      <c r="B7292" s="3"/>
      <c r="C7292" s="3"/>
    </row>
    <row r="7293" spans="1:3" x14ac:dyDescent="0.25">
      <c r="A7293" s="2"/>
      <c r="B7293" s="3"/>
      <c r="C7293" s="3"/>
    </row>
    <row r="7294" spans="1:3" x14ac:dyDescent="0.25">
      <c r="A7294" s="2"/>
      <c r="B7294" s="3"/>
      <c r="C7294" s="3"/>
    </row>
    <row r="7295" spans="1:3" x14ac:dyDescent="0.25">
      <c r="A7295" s="2"/>
      <c r="B7295" s="3"/>
      <c r="C7295" s="3"/>
    </row>
    <row r="7296" spans="1:3" x14ac:dyDescent="0.25">
      <c r="A7296" s="2"/>
      <c r="B7296" s="3"/>
      <c r="C7296" s="3"/>
    </row>
    <row r="7297" spans="1:3" x14ac:dyDescent="0.25">
      <c r="A7297" s="2"/>
      <c r="B7297" s="3"/>
      <c r="C7297" s="3"/>
    </row>
    <row r="7298" spans="1:3" x14ac:dyDescent="0.25">
      <c r="A7298" s="2"/>
      <c r="B7298" s="3"/>
      <c r="C7298" s="3"/>
    </row>
    <row r="7299" spans="1:3" x14ac:dyDescent="0.25">
      <c r="A7299" s="2"/>
      <c r="B7299" s="3"/>
      <c r="C7299" s="3"/>
    </row>
    <row r="7300" spans="1:3" x14ac:dyDescent="0.25">
      <c r="A7300" s="2"/>
      <c r="B7300" s="3"/>
      <c r="C7300" s="3"/>
    </row>
    <row r="7301" spans="1:3" x14ac:dyDescent="0.25">
      <c r="A7301" s="2"/>
      <c r="B7301" s="3"/>
      <c r="C7301" s="3"/>
    </row>
    <row r="7302" spans="1:3" x14ac:dyDescent="0.25">
      <c r="A7302" s="2"/>
      <c r="B7302" s="3"/>
      <c r="C7302" s="3"/>
    </row>
    <row r="7303" spans="1:3" x14ac:dyDescent="0.25">
      <c r="A7303" s="2"/>
      <c r="B7303" s="3"/>
      <c r="C7303" s="3"/>
    </row>
    <row r="7304" spans="1:3" x14ac:dyDescent="0.25">
      <c r="A7304" s="2"/>
      <c r="B7304" s="3"/>
      <c r="C7304" s="3"/>
    </row>
    <row r="7305" spans="1:3" x14ac:dyDescent="0.25">
      <c r="A7305" s="2"/>
      <c r="B7305" s="3"/>
      <c r="C7305" s="3"/>
    </row>
    <row r="7306" spans="1:3" x14ac:dyDescent="0.25">
      <c r="A7306" s="2"/>
      <c r="B7306" s="3"/>
      <c r="C7306" s="3"/>
    </row>
    <row r="7307" spans="1:3" x14ac:dyDescent="0.25">
      <c r="A7307" s="2"/>
      <c r="B7307" s="3"/>
      <c r="C7307" s="3"/>
    </row>
    <row r="7308" spans="1:3" x14ac:dyDescent="0.25">
      <c r="A7308" s="2"/>
      <c r="B7308" s="3"/>
      <c r="C7308" s="3"/>
    </row>
    <row r="7309" spans="1:3" x14ac:dyDescent="0.25">
      <c r="A7309" s="2"/>
      <c r="B7309" s="3"/>
      <c r="C7309" s="3"/>
    </row>
    <row r="7310" spans="1:3" x14ac:dyDescent="0.25">
      <c r="A7310" s="2"/>
      <c r="B7310" s="3"/>
      <c r="C7310" s="3"/>
    </row>
    <row r="7311" spans="1:3" x14ac:dyDescent="0.25">
      <c r="A7311" s="2"/>
      <c r="B7311" s="3"/>
      <c r="C7311" s="3"/>
    </row>
    <row r="7312" spans="1:3" x14ac:dyDescent="0.25">
      <c r="A7312" s="2"/>
      <c r="B7312" s="3"/>
      <c r="C7312" s="3"/>
    </row>
    <row r="7313" spans="1:3" x14ac:dyDescent="0.25">
      <c r="A7313" s="2"/>
      <c r="B7313" s="3"/>
      <c r="C7313" s="3"/>
    </row>
    <row r="7314" spans="1:3" x14ac:dyDescent="0.25">
      <c r="A7314" s="2"/>
      <c r="B7314" s="3"/>
      <c r="C7314" s="3"/>
    </row>
    <row r="7315" spans="1:3" x14ac:dyDescent="0.25">
      <c r="A7315" s="2"/>
      <c r="B7315" s="3"/>
      <c r="C7315" s="3"/>
    </row>
    <row r="7316" spans="1:3" x14ac:dyDescent="0.25">
      <c r="A7316" s="2"/>
      <c r="B7316" s="3"/>
      <c r="C7316" s="3"/>
    </row>
    <row r="7317" spans="1:3" x14ac:dyDescent="0.25">
      <c r="A7317" s="2"/>
      <c r="B7317" s="3"/>
      <c r="C7317" s="3"/>
    </row>
    <row r="7318" spans="1:3" x14ac:dyDescent="0.25">
      <c r="A7318" s="2"/>
      <c r="B7318" s="3"/>
      <c r="C7318" s="3"/>
    </row>
    <row r="7319" spans="1:3" x14ac:dyDescent="0.25">
      <c r="A7319" s="2"/>
      <c r="B7319" s="3"/>
      <c r="C7319" s="3"/>
    </row>
    <row r="7320" spans="1:3" x14ac:dyDescent="0.25">
      <c r="A7320" s="2"/>
      <c r="B7320" s="3"/>
      <c r="C7320" s="3"/>
    </row>
    <row r="7321" spans="1:3" x14ac:dyDescent="0.25">
      <c r="A7321" s="2"/>
      <c r="B7321" s="3"/>
      <c r="C7321" s="3"/>
    </row>
    <row r="7322" spans="1:3" x14ac:dyDescent="0.25">
      <c r="A7322" s="2"/>
      <c r="B7322" s="3"/>
      <c r="C7322" s="3"/>
    </row>
    <row r="7323" spans="1:3" x14ac:dyDescent="0.25">
      <c r="A7323" s="2"/>
      <c r="B7323" s="3"/>
      <c r="C7323" s="3"/>
    </row>
    <row r="7324" spans="1:3" x14ac:dyDescent="0.25">
      <c r="A7324" s="2"/>
      <c r="B7324" s="3"/>
      <c r="C7324" s="3"/>
    </row>
    <row r="7325" spans="1:3" x14ac:dyDescent="0.25">
      <c r="A7325" s="2"/>
      <c r="B7325" s="3"/>
      <c r="C7325" s="3"/>
    </row>
    <row r="7326" spans="1:3" x14ac:dyDescent="0.25">
      <c r="A7326" s="2"/>
      <c r="B7326" s="3"/>
      <c r="C7326" s="3"/>
    </row>
    <row r="7327" spans="1:3" x14ac:dyDescent="0.25">
      <c r="A7327" s="2"/>
      <c r="B7327" s="3"/>
      <c r="C7327" s="3"/>
    </row>
    <row r="7328" spans="1:3" x14ac:dyDescent="0.25">
      <c r="A7328" s="2"/>
      <c r="B7328" s="3"/>
      <c r="C7328" s="3"/>
    </row>
    <row r="7329" spans="1:3" x14ac:dyDescent="0.25">
      <c r="A7329" s="2"/>
      <c r="B7329" s="3"/>
      <c r="C7329" s="3"/>
    </row>
    <row r="7330" spans="1:3" x14ac:dyDescent="0.25">
      <c r="A7330" s="2"/>
      <c r="B7330" s="3"/>
      <c r="C7330" s="3"/>
    </row>
    <row r="7331" spans="1:3" x14ac:dyDescent="0.25">
      <c r="A7331" s="2"/>
      <c r="B7331" s="3"/>
      <c r="C7331" s="3"/>
    </row>
    <row r="7332" spans="1:3" x14ac:dyDescent="0.25">
      <c r="A7332" s="2"/>
      <c r="B7332" s="3"/>
      <c r="C7332" s="3"/>
    </row>
    <row r="7333" spans="1:3" x14ac:dyDescent="0.25">
      <c r="A7333" s="2"/>
      <c r="B7333" s="3"/>
      <c r="C7333" s="3"/>
    </row>
    <row r="7334" spans="1:3" x14ac:dyDescent="0.25">
      <c r="A7334" s="2"/>
      <c r="B7334" s="3"/>
      <c r="C7334" s="3"/>
    </row>
    <row r="7335" spans="1:3" x14ac:dyDescent="0.25">
      <c r="A7335" s="2"/>
      <c r="B7335" s="3"/>
      <c r="C7335" s="3"/>
    </row>
    <row r="7336" spans="1:3" x14ac:dyDescent="0.25">
      <c r="A7336" s="2"/>
      <c r="B7336" s="3"/>
      <c r="C7336" s="3"/>
    </row>
    <row r="7337" spans="1:3" x14ac:dyDescent="0.25">
      <c r="A7337" s="2"/>
      <c r="B7337" s="3"/>
      <c r="C7337" s="3"/>
    </row>
    <row r="7338" spans="1:3" x14ac:dyDescent="0.25">
      <c r="A7338" s="2"/>
      <c r="B7338" s="3"/>
      <c r="C7338" s="3"/>
    </row>
    <row r="7339" spans="1:3" x14ac:dyDescent="0.25">
      <c r="A7339" s="2"/>
      <c r="B7339" s="3"/>
      <c r="C7339" s="3"/>
    </row>
    <row r="7340" spans="1:3" x14ac:dyDescent="0.25">
      <c r="A7340" s="2"/>
      <c r="B7340" s="3"/>
      <c r="C7340" s="3"/>
    </row>
    <row r="7341" spans="1:3" x14ac:dyDescent="0.25">
      <c r="A7341" s="2"/>
      <c r="B7341" s="3"/>
      <c r="C7341" s="3"/>
    </row>
    <row r="7342" spans="1:3" x14ac:dyDescent="0.25">
      <c r="A7342" s="2"/>
      <c r="B7342" s="3"/>
      <c r="C7342" s="3"/>
    </row>
    <row r="7343" spans="1:3" x14ac:dyDescent="0.25">
      <c r="A7343" s="2"/>
      <c r="B7343" s="3"/>
      <c r="C7343" s="3"/>
    </row>
    <row r="7344" spans="1:3" x14ac:dyDescent="0.25">
      <c r="A7344" s="2"/>
      <c r="B7344" s="3"/>
      <c r="C7344" s="3"/>
    </row>
    <row r="7345" spans="1:3" x14ac:dyDescent="0.25">
      <c r="A7345" s="2"/>
      <c r="B7345" s="3"/>
      <c r="C7345" s="3"/>
    </row>
    <row r="7346" spans="1:3" x14ac:dyDescent="0.25">
      <c r="A7346" s="2"/>
      <c r="B7346" s="3"/>
      <c r="C7346" s="3"/>
    </row>
    <row r="7347" spans="1:3" x14ac:dyDescent="0.25">
      <c r="A7347" s="2"/>
      <c r="B7347" s="3"/>
      <c r="C7347" s="3"/>
    </row>
    <row r="7348" spans="1:3" x14ac:dyDescent="0.25">
      <c r="A7348" s="2"/>
      <c r="B7348" s="3"/>
      <c r="C7348" s="3"/>
    </row>
    <row r="7349" spans="1:3" x14ac:dyDescent="0.25">
      <c r="A7349" s="2"/>
      <c r="B7349" s="3"/>
      <c r="C7349" s="3"/>
    </row>
    <row r="7350" spans="1:3" x14ac:dyDescent="0.25">
      <c r="A7350" s="2"/>
      <c r="B7350" s="3"/>
      <c r="C7350" s="3"/>
    </row>
    <row r="7351" spans="1:3" x14ac:dyDescent="0.25">
      <c r="A7351" s="2"/>
      <c r="B7351" s="3"/>
      <c r="C7351" s="3"/>
    </row>
    <row r="7352" spans="1:3" x14ac:dyDescent="0.25">
      <c r="A7352" s="2"/>
      <c r="B7352" s="3"/>
      <c r="C7352" s="3"/>
    </row>
    <row r="7353" spans="1:3" x14ac:dyDescent="0.25">
      <c r="A7353" s="2"/>
      <c r="B7353" s="3"/>
      <c r="C7353" s="3"/>
    </row>
    <row r="7354" spans="1:3" x14ac:dyDescent="0.25">
      <c r="A7354" s="2"/>
      <c r="B7354" s="3"/>
      <c r="C7354" s="3"/>
    </row>
    <row r="7355" spans="1:3" x14ac:dyDescent="0.25">
      <c r="A7355" s="2"/>
      <c r="B7355" s="3"/>
      <c r="C7355" s="3"/>
    </row>
    <row r="7356" spans="1:3" x14ac:dyDescent="0.25">
      <c r="A7356" s="2"/>
      <c r="B7356" s="3"/>
      <c r="C7356" s="3"/>
    </row>
    <row r="7357" spans="1:3" x14ac:dyDescent="0.25">
      <c r="A7357" s="2"/>
      <c r="B7357" s="3"/>
      <c r="C7357" s="3"/>
    </row>
    <row r="7358" spans="1:3" x14ac:dyDescent="0.25">
      <c r="A7358" s="2"/>
      <c r="B7358" s="3"/>
      <c r="C7358" s="3"/>
    </row>
    <row r="7359" spans="1:3" x14ac:dyDescent="0.25">
      <c r="A7359" s="2"/>
      <c r="B7359" s="3"/>
      <c r="C7359" s="3"/>
    </row>
    <row r="7360" spans="1:3" x14ac:dyDescent="0.25">
      <c r="A7360" s="2"/>
      <c r="B7360" s="3"/>
      <c r="C7360" s="3"/>
    </row>
    <row r="7361" spans="1:3" x14ac:dyDescent="0.25">
      <c r="A7361" s="2"/>
      <c r="B7361" s="3"/>
      <c r="C7361" s="3"/>
    </row>
    <row r="7362" spans="1:3" x14ac:dyDescent="0.25">
      <c r="A7362" s="2"/>
      <c r="B7362" s="3"/>
      <c r="C7362" s="3"/>
    </row>
    <row r="7363" spans="1:3" x14ac:dyDescent="0.25">
      <c r="A7363" s="2"/>
      <c r="B7363" s="3"/>
      <c r="C7363" s="3"/>
    </row>
    <row r="7364" spans="1:3" x14ac:dyDescent="0.25">
      <c r="A7364" s="2"/>
      <c r="B7364" s="3"/>
      <c r="C7364" s="3"/>
    </row>
    <row r="7365" spans="1:3" x14ac:dyDescent="0.25">
      <c r="A7365" s="2"/>
      <c r="B7365" s="3"/>
      <c r="C7365" s="3"/>
    </row>
    <row r="7366" spans="1:3" x14ac:dyDescent="0.25">
      <c r="A7366" s="2"/>
      <c r="B7366" s="3"/>
      <c r="C7366" s="3"/>
    </row>
    <row r="7367" spans="1:3" x14ac:dyDescent="0.25">
      <c r="A7367" s="2"/>
      <c r="B7367" s="3"/>
      <c r="C7367" s="3"/>
    </row>
    <row r="7368" spans="1:3" x14ac:dyDescent="0.25">
      <c r="A7368" s="2"/>
      <c r="B7368" s="3"/>
      <c r="C7368" s="3"/>
    </row>
    <row r="7369" spans="1:3" x14ac:dyDescent="0.25">
      <c r="A7369" s="2"/>
      <c r="B7369" s="3"/>
      <c r="C7369" s="3"/>
    </row>
    <row r="7370" spans="1:3" x14ac:dyDescent="0.25">
      <c r="A7370" s="2"/>
      <c r="B7370" s="3"/>
      <c r="C7370" s="3"/>
    </row>
    <row r="7371" spans="1:3" x14ac:dyDescent="0.25">
      <c r="A7371" s="2"/>
      <c r="B7371" s="3"/>
      <c r="C7371" s="3"/>
    </row>
    <row r="7372" spans="1:3" x14ac:dyDescent="0.25">
      <c r="A7372" s="2"/>
      <c r="B7372" s="3"/>
      <c r="C7372" s="3"/>
    </row>
    <row r="7373" spans="1:3" x14ac:dyDescent="0.25">
      <c r="A7373" s="2"/>
      <c r="B7373" s="3"/>
      <c r="C7373" s="3"/>
    </row>
    <row r="7374" spans="1:3" x14ac:dyDescent="0.25">
      <c r="A7374" s="2"/>
      <c r="B7374" s="3"/>
      <c r="C7374" s="3"/>
    </row>
    <row r="7375" spans="1:3" x14ac:dyDescent="0.25">
      <c r="A7375" s="2"/>
      <c r="B7375" s="3"/>
      <c r="C7375" s="3"/>
    </row>
    <row r="7376" spans="1:3" x14ac:dyDescent="0.25">
      <c r="A7376" s="2"/>
      <c r="B7376" s="3"/>
      <c r="C7376" s="3"/>
    </row>
    <row r="7377" spans="1:3" x14ac:dyDescent="0.25">
      <c r="A7377" s="2"/>
      <c r="B7377" s="3"/>
      <c r="C7377" s="3"/>
    </row>
    <row r="7378" spans="1:3" x14ac:dyDescent="0.25">
      <c r="A7378" s="2"/>
      <c r="B7378" s="3"/>
      <c r="C7378" s="3"/>
    </row>
    <row r="7379" spans="1:3" x14ac:dyDescent="0.25">
      <c r="A7379" s="2"/>
      <c r="B7379" s="3"/>
      <c r="C7379" s="3"/>
    </row>
    <row r="7380" spans="1:3" x14ac:dyDescent="0.25">
      <c r="A7380" s="2"/>
      <c r="B7380" s="3"/>
      <c r="C7380" s="3"/>
    </row>
    <row r="7381" spans="1:3" x14ac:dyDescent="0.25">
      <c r="A7381" s="2"/>
      <c r="B7381" s="3"/>
      <c r="C7381" s="3"/>
    </row>
    <row r="7382" spans="1:3" x14ac:dyDescent="0.25">
      <c r="A7382" s="2"/>
      <c r="B7382" s="3"/>
      <c r="C7382" s="3"/>
    </row>
    <row r="7383" spans="1:3" x14ac:dyDescent="0.25">
      <c r="A7383" s="2"/>
      <c r="B7383" s="3"/>
      <c r="C7383" s="3"/>
    </row>
    <row r="7384" spans="1:3" x14ac:dyDescent="0.25">
      <c r="A7384" s="2"/>
      <c r="B7384" s="3"/>
      <c r="C7384" s="3"/>
    </row>
    <row r="7385" spans="1:3" x14ac:dyDescent="0.25">
      <c r="A7385" s="2"/>
      <c r="B7385" s="3"/>
      <c r="C7385" s="3"/>
    </row>
    <row r="7386" spans="1:3" x14ac:dyDescent="0.25">
      <c r="A7386" s="2"/>
      <c r="B7386" s="3"/>
      <c r="C7386" s="3"/>
    </row>
    <row r="7387" spans="1:3" x14ac:dyDescent="0.25">
      <c r="A7387" s="2"/>
      <c r="B7387" s="3"/>
      <c r="C7387" s="3"/>
    </row>
    <row r="7388" spans="1:3" x14ac:dyDescent="0.25">
      <c r="A7388" s="2"/>
      <c r="B7388" s="3"/>
      <c r="C7388" s="3"/>
    </row>
    <row r="7389" spans="1:3" x14ac:dyDescent="0.25">
      <c r="A7389" s="2"/>
      <c r="B7389" s="3"/>
      <c r="C7389" s="3"/>
    </row>
    <row r="7390" spans="1:3" x14ac:dyDescent="0.25">
      <c r="A7390" s="2"/>
      <c r="B7390" s="3"/>
      <c r="C7390" s="3"/>
    </row>
    <row r="7391" spans="1:3" x14ac:dyDescent="0.25">
      <c r="A7391" s="2"/>
      <c r="B7391" s="3"/>
      <c r="C7391" s="3"/>
    </row>
    <row r="7392" spans="1:3" x14ac:dyDescent="0.25">
      <c r="A7392" s="2"/>
      <c r="B7392" s="3"/>
      <c r="C7392" s="3"/>
    </row>
    <row r="7393" spans="1:3" x14ac:dyDescent="0.25">
      <c r="A7393" s="2"/>
      <c r="B7393" s="3"/>
      <c r="C7393" s="3"/>
    </row>
    <row r="7394" spans="1:3" x14ac:dyDescent="0.25">
      <c r="A7394" s="2"/>
      <c r="B7394" s="3"/>
      <c r="C7394" s="3"/>
    </row>
    <row r="7395" spans="1:3" x14ac:dyDescent="0.25">
      <c r="A7395" s="2"/>
      <c r="B7395" s="3"/>
      <c r="C7395" s="3"/>
    </row>
    <row r="7396" spans="1:3" x14ac:dyDescent="0.25">
      <c r="A7396" s="2"/>
      <c r="B7396" s="3"/>
      <c r="C7396" s="3"/>
    </row>
    <row r="7397" spans="1:3" x14ac:dyDescent="0.25">
      <c r="A7397" s="2"/>
      <c r="B7397" s="3"/>
      <c r="C7397" s="3"/>
    </row>
    <row r="7398" spans="1:3" x14ac:dyDescent="0.25">
      <c r="A7398" s="2"/>
      <c r="B7398" s="3"/>
      <c r="C7398" s="3"/>
    </row>
    <row r="7399" spans="1:3" x14ac:dyDescent="0.25">
      <c r="A7399" s="2"/>
      <c r="B7399" s="3"/>
      <c r="C7399" s="3"/>
    </row>
    <row r="7400" spans="1:3" x14ac:dyDescent="0.25">
      <c r="A7400" s="2"/>
      <c r="B7400" s="3"/>
      <c r="C7400" s="3"/>
    </row>
    <row r="7401" spans="1:3" x14ac:dyDescent="0.25">
      <c r="A7401" s="2"/>
      <c r="B7401" s="3"/>
      <c r="C7401" s="3"/>
    </row>
    <row r="7402" spans="1:3" x14ac:dyDescent="0.25">
      <c r="A7402" s="2"/>
      <c r="B7402" s="3"/>
      <c r="C7402" s="3"/>
    </row>
    <row r="7403" spans="1:3" x14ac:dyDescent="0.25">
      <c r="A7403" s="2"/>
      <c r="B7403" s="3"/>
      <c r="C7403" s="3"/>
    </row>
    <row r="7404" spans="1:3" x14ac:dyDescent="0.25">
      <c r="A7404" s="2"/>
      <c r="B7404" s="3"/>
      <c r="C7404" s="3"/>
    </row>
    <row r="7405" spans="1:3" x14ac:dyDescent="0.25">
      <c r="A7405" s="2"/>
      <c r="B7405" s="3"/>
      <c r="C7405" s="3"/>
    </row>
    <row r="7406" spans="1:3" x14ac:dyDescent="0.25">
      <c r="A7406" s="2"/>
      <c r="B7406" s="3"/>
      <c r="C7406" s="3"/>
    </row>
    <row r="7407" spans="1:3" x14ac:dyDescent="0.25">
      <c r="A7407" s="2"/>
      <c r="B7407" s="3"/>
      <c r="C7407" s="3"/>
    </row>
    <row r="7408" spans="1:3" x14ac:dyDescent="0.25">
      <c r="A7408" s="2"/>
      <c r="B7408" s="3"/>
      <c r="C7408" s="3"/>
    </row>
    <row r="7409" spans="1:3" x14ac:dyDescent="0.25">
      <c r="A7409" s="2"/>
      <c r="B7409" s="3"/>
      <c r="C7409" s="3"/>
    </row>
    <row r="7410" spans="1:3" x14ac:dyDescent="0.25">
      <c r="A7410" s="2"/>
      <c r="B7410" s="3"/>
      <c r="C7410" s="3"/>
    </row>
    <row r="7411" spans="1:3" x14ac:dyDescent="0.25">
      <c r="A7411" s="2"/>
      <c r="B7411" s="3"/>
      <c r="C7411" s="3"/>
    </row>
    <row r="7412" spans="1:3" x14ac:dyDescent="0.25">
      <c r="A7412" s="2"/>
      <c r="B7412" s="3"/>
      <c r="C7412" s="3"/>
    </row>
    <row r="7413" spans="1:3" x14ac:dyDescent="0.25">
      <c r="A7413" s="2"/>
      <c r="B7413" s="3"/>
      <c r="C7413" s="3"/>
    </row>
    <row r="7414" spans="1:3" x14ac:dyDescent="0.25">
      <c r="A7414" s="2"/>
      <c r="B7414" s="3"/>
      <c r="C7414" s="3"/>
    </row>
    <row r="7415" spans="1:3" x14ac:dyDescent="0.25">
      <c r="A7415" s="2"/>
      <c r="B7415" s="3"/>
      <c r="C7415" s="3"/>
    </row>
    <row r="7416" spans="1:3" x14ac:dyDescent="0.25">
      <c r="A7416" s="2"/>
      <c r="B7416" s="3"/>
      <c r="C7416" s="3"/>
    </row>
    <row r="7417" spans="1:3" x14ac:dyDescent="0.25">
      <c r="A7417" s="2"/>
      <c r="B7417" s="3"/>
      <c r="C7417" s="3"/>
    </row>
    <row r="7418" spans="1:3" x14ac:dyDescent="0.25">
      <c r="A7418" s="2"/>
      <c r="B7418" s="3"/>
      <c r="C7418" s="3"/>
    </row>
    <row r="7419" spans="1:3" x14ac:dyDescent="0.25">
      <c r="A7419" s="2"/>
      <c r="B7419" s="3"/>
      <c r="C7419" s="3"/>
    </row>
    <row r="7420" spans="1:3" x14ac:dyDescent="0.25">
      <c r="A7420" s="2"/>
      <c r="B7420" s="3"/>
      <c r="C7420" s="3"/>
    </row>
    <row r="7421" spans="1:3" x14ac:dyDescent="0.25">
      <c r="A7421" s="2"/>
      <c r="B7421" s="3"/>
      <c r="C7421" s="3"/>
    </row>
    <row r="7422" spans="1:3" x14ac:dyDescent="0.25">
      <c r="A7422" s="2"/>
      <c r="B7422" s="3"/>
      <c r="C7422" s="3"/>
    </row>
    <row r="7423" spans="1:3" x14ac:dyDescent="0.25">
      <c r="A7423" s="2"/>
      <c r="B7423" s="3"/>
      <c r="C7423" s="3"/>
    </row>
    <row r="7424" spans="1:3" x14ac:dyDescent="0.25">
      <c r="A7424" s="2"/>
      <c r="B7424" s="3"/>
      <c r="C7424" s="3"/>
    </row>
    <row r="7425" spans="1:3" x14ac:dyDescent="0.25">
      <c r="A7425" s="2"/>
      <c r="B7425" s="3"/>
      <c r="C7425" s="3"/>
    </row>
    <row r="7426" spans="1:3" x14ac:dyDescent="0.25">
      <c r="A7426" s="2"/>
      <c r="B7426" s="3"/>
      <c r="C7426" s="3"/>
    </row>
    <row r="7427" spans="1:3" x14ac:dyDescent="0.25">
      <c r="A7427" s="2"/>
      <c r="B7427" s="3"/>
      <c r="C7427" s="3"/>
    </row>
    <row r="7428" spans="1:3" x14ac:dyDescent="0.25">
      <c r="A7428" s="2"/>
      <c r="B7428" s="3"/>
      <c r="C7428" s="3"/>
    </row>
    <row r="7429" spans="1:3" x14ac:dyDescent="0.25">
      <c r="A7429" s="2"/>
      <c r="B7429" s="3"/>
      <c r="C7429" s="3"/>
    </row>
    <row r="7430" spans="1:3" x14ac:dyDescent="0.25">
      <c r="A7430" s="2"/>
      <c r="B7430" s="3"/>
      <c r="C7430" s="3"/>
    </row>
    <row r="7431" spans="1:3" x14ac:dyDescent="0.25">
      <c r="A7431" s="2"/>
      <c r="B7431" s="3"/>
      <c r="C7431" s="3"/>
    </row>
    <row r="7432" spans="1:3" x14ac:dyDescent="0.25">
      <c r="A7432" s="2"/>
      <c r="B7432" s="3"/>
      <c r="C7432" s="3"/>
    </row>
    <row r="7433" spans="1:3" x14ac:dyDescent="0.25">
      <c r="A7433" s="2"/>
      <c r="B7433" s="3"/>
      <c r="C7433" s="3"/>
    </row>
    <row r="7434" spans="1:3" x14ac:dyDescent="0.25">
      <c r="A7434" s="2"/>
      <c r="B7434" s="3"/>
      <c r="C7434" s="3"/>
    </row>
    <row r="7435" spans="1:3" x14ac:dyDescent="0.25">
      <c r="A7435" s="2"/>
      <c r="B7435" s="3"/>
      <c r="C7435" s="3"/>
    </row>
    <row r="7436" spans="1:3" x14ac:dyDescent="0.25">
      <c r="A7436" s="2"/>
      <c r="B7436" s="3"/>
      <c r="C7436" s="3"/>
    </row>
    <row r="7437" spans="1:3" x14ac:dyDescent="0.25">
      <c r="A7437" s="2"/>
      <c r="B7437" s="3"/>
      <c r="C7437" s="3"/>
    </row>
    <row r="7438" spans="1:3" x14ac:dyDescent="0.25">
      <c r="A7438" s="2"/>
      <c r="B7438" s="3"/>
      <c r="C7438" s="3"/>
    </row>
    <row r="7439" spans="1:3" x14ac:dyDescent="0.25">
      <c r="A7439" s="2"/>
      <c r="B7439" s="3"/>
      <c r="C7439" s="3"/>
    </row>
    <row r="7440" spans="1:3" x14ac:dyDescent="0.25">
      <c r="A7440" s="2"/>
      <c r="B7440" s="3"/>
      <c r="C7440" s="3"/>
    </row>
  </sheetData>
  <autoFilter ref="A1:Z4735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3.2" x14ac:dyDescent="0.25"/>
  <cols>
    <col min="1" max="2" width="28.109375" style="18" customWidth="1"/>
  </cols>
  <sheetData>
    <row r="1" spans="1:3" s="7" customFormat="1" x14ac:dyDescent="0.25">
      <c r="A1" s="17" t="s">
        <v>4</v>
      </c>
      <c r="B1" s="17" t="s">
        <v>5</v>
      </c>
      <c r="C1" s="7" t="s">
        <v>65</v>
      </c>
    </row>
    <row r="2" spans="1:3" x14ac:dyDescent="0.25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25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25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25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25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25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25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25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25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25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25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25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25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25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25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25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25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25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25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25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25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25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25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25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25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25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25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25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25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25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25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25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25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25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25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25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25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25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25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25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25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25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25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25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25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25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25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25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25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25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25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25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25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25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25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25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25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25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25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25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25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25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25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25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25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25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25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25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25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25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25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25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25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25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25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25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25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25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25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25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25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25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25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25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25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25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25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25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25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25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25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25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25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25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25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25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25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25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25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25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25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25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25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25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2302" zoomScale="160" zoomScaleNormal="160" workbookViewId="0">
      <selection activeCell="B2" sqref="B2:C2341"/>
    </sheetView>
  </sheetViews>
  <sheetFormatPr baseColWidth="10" defaultColWidth="12.6640625" defaultRowHeight="15.75" customHeight="1" x14ac:dyDescent="0.25"/>
  <cols>
    <col min="1" max="1" width="12.6640625" customWidth="1"/>
    <col min="2" max="2" width="18" customWidth="1"/>
    <col min="3" max="3" width="17.33203125" customWidth="1"/>
    <col min="5" max="5" width="12.6640625" style="5"/>
  </cols>
  <sheetData>
    <row r="1" spans="1:26" ht="15.75" customHeight="1" x14ac:dyDescent="0.25">
      <c r="A1" s="1" t="s">
        <v>6</v>
      </c>
      <c r="B1" s="1" t="s">
        <v>4</v>
      </c>
      <c r="C1" s="1" t="s">
        <v>5</v>
      </c>
      <c r="D1" s="16" t="s">
        <v>254</v>
      </c>
      <c r="E1" s="4" t="s">
        <v>323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 cm="1">
        <f t="array" ref="A2">choice(Salles!A:A,1,Settings!$B$16)</f>
        <v>Salle2</v>
      </c>
      <c r="B2" s="3" cm="1">
        <f t="array" ref="B2">alea_date(Settings!$B$11,360,-1,Settings!$B$16)</f>
        <v>46227.541666666664</v>
      </c>
      <c r="C2" s="20" cm="1">
        <f t="array" ref="C2">B2+TIME(alea_int(1,4,Settings!$B$16),0,0)</f>
        <v>46227.708333333328</v>
      </c>
      <c r="D2" t="str" cm="1">
        <f t="array" ref="D2">choice(Settings!L:L,1,Settings!$B$16)</f>
        <v/>
      </c>
    </row>
    <row r="3" spans="1:26" ht="15.75" customHeight="1" x14ac:dyDescent="0.25">
      <c r="A3" s="2" t="str" cm="1">
        <f t="array" ref="A3">choice(Salles!A:A,1,Settings!$B$16)</f>
        <v>Salle53</v>
      </c>
      <c r="B3" s="3" cm="1">
        <f t="array" ref="B3">alea_date(Settings!$B$11,360,-1,Settings!$B$16)</f>
        <v>46248.416666666664</v>
      </c>
      <c r="C3" s="20" cm="1">
        <f t="array" ref="C3">B3+TIME(alea_int(1,4,Settings!$B$16),0,0)</f>
        <v>46248.583333333328</v>
      </c>
      <c r="D3" t="str" cm="1">
        <f t="array" ref="D3">choice(Settings!L:L,1,Settings!$B$16)</f>
        <v/>
      </c>
    </row>
    <row r="4" spans="1:26" ht="15.75" customHeight="1" x14ac:dyDescent="0.25">
      <c r="A4" s="2" t="str" cm="1">
        <f t="array" ref="A4">choice(Salles!A:A,1,Settings!$B$16)</f>
        <v>Salle9</v>
      </c>
      <c r="B4" s="3" cm="1">
        <f t="array" ref="B4">alea_date(Settings!$B$11,360,-1,Settings!$B$16)</f>
        <v>46198.625</v>
      </c>
      <c r="C4" s="20" cm="1">
        <f t="array" ref="C4">B4+TIME(alea_int(1,4,Settings!$B$16),0,0)</f>
        <v>46198.791666666664</v>
      </c>
      <c r="D4" t="str" cm="1">
        <f t="array" ref="D4">choice(Settings!L:L,1,Settings!$B$16)</f>
        <v/>
      </c>
    </row>
    <row r="5" spans="1:26" ht="15.75" customHeight="1" x14ac:dyDescent="0.25">
      <c r="A5" s="2" t="str" cm="1">
        <f t="array" ref="A5">choice(Salles!A:A,1,Settings!$B$16)</f>
        <v>Salle62</v>
      </c>
      <c r="B5" s="3" cm="1">
        <f t="array" ref="B5">alea_date(Settings!$B$11,360,-1,Settings!$B$16)</f>
        <v>46319.458333333336</v>
      </c>
      <c r="C5" s="20" cm="1">
        <f t="array" ref="C5">B5+TIME(alea_int(1,4,Settings!$B$16),0,0)</f>
        <v>46319.625</v>
      </c>
      <c r="D5" t="str" cm="1">
        <f t="array" ref="D5">choice(Settings!L:L,1,Settings!$B$16)</f>
        <v/>
      </c>
    </row>
    <row r="6" spans="1:26" ht="15.75" customHeight="1" x14ac:dyDescent="0.25">
      <c r="A6" s="2" t="str" cm="1">
        <f t="array" ref="A6">choice(Salles!A:A,1,Settings!$B$16)</f>
        <v>Salle62</v>
      </c>
      <c r="B6" s="3" cm="1">
        <f t="array" ref="B6">alea_date(Settings!$B$11,360,-1,Settings!$B$16)</f>
        <v>46115.5</v>
      </c>
      <c r="C6" s="20" cm="1">
        <f t="array" ref="C6">B6+TIME(alea_int(1,4,Settings!$B$16),0,0)</f>
        <v>46115.666666666664</v>
      </c>
      <c r="D6" t="str" cm="1">
        <f t="array" ref="D6">choice(Settings!L:L,1,Settings!$B$16)</f>
        <v/>
      </c>
    </row>
    <row r="7" spans="1:26" ht="15.75" customHeight="1" x14ac:dyDescent="0.25">
      <c r="A7" s="2" t="str" cm="1">
        <f t="array" ref="A7">choice(Salles!A:A,1,Settings!$B$16)</f>
        <v>Salle53</v>
      </c>
      <c r="B7" s="3" cm="1">
        <f t="array" ref="B7">alea_date(Settings!$B$11,360,-1,Settings!$B$16)</f>
        <v>46342.375</v>
      </c>
      <c r="C7" s="20" cm="1">
        <f t="array" ref="C7">B7+TIME(alea_int(1,4,Settings!$B$16),0,0)</f>
        <v>46342.541666666664</v>
      </c>
      <c r="D7" t="str" cm="1">
        <f t="array" ref="D7">choice(Settings!L:L,1,Settings!$B$16)</f>
        <v/>
      </c>
    </row>
    <row r="8" spans="1:26" ht="15.75" customHeight="1" x14ac:dyDescent="0.25">
      <c r="A8" s="2" t="str" cm="1">
        <f t="array" ref="A8">choice(Salles!A:A,1,Settings!$B$16)</f>
        <v>Salle62</v>
      </c>
      <c r="B8" s="3" cm="1">
        <f t="array" ref="B8">alea_date(Settings!$B$11,360,-1,Settings!$B$16)</f>
        <v>46352.291666666664</v>
      </c>
      <c r="C8" s="20" cm="1">
        <f t="array" ref="C8">B8+TIME(alea_int(1,4,Settings!$B$16),0,0)</f>
        <v>46352.458333333328</v>
      </c>
      <c r="D8" t="str" cm="1">
        <f t="array" ref="D8">choice(Settings!L:L,1,Settings!$B$16)</f>
        <v>vendredi</v>
      </c>
    </row>
    <row r="9" spans="1:26" ht="15.75" customHeight="1" x14ac:dyDescent="0.25">
      <c r="A9" s="2" t="str" cm="1">
        <f t="array" ref="A9">choice(Salles!A:A,1,Settings!$B$16)</f>
        <v>Salle47</v>
      </c>
      <c r="B9" s="3" cm="1">
        <f t="array" ref="B9">alea_date(Settings!$B$11,360,-1,Settings!$B$16)</f>
        <v>46031.458333333336</v>
      </c>
      <c r="C9" s="20" cm="1">
        <f t="array" ref="C9">B9+TIME(alea_int(1,4,Settings!$B$16),0,0)</f>
        <v>46031.625</v>
      </c>
      <c r="D9" t="str" cm="1">
        <f t="array" ref="D9">choice(Settings!L:L,1,Settings!$B$16)</f>
        <v/>
      </c>
    </row>
    <row r="10" spans="1:26" ht="15.75" customHeight="1" x14ac:dyDescent="0.25">
      <c r="A10" s="2" t="str" cm="1">
        <f t="array" ref="A10">choice(Salles!A:A,1,Settings!$B$16)</f>
        <v>Salle37</v>
      </c>
      <c r="B10" s="3" cm="1">
        <f t="array" ref="B10">alea_date(Settings!$B$11,360,-1,Settings!$B$16)</f>
        <v>46315.25</v>
      </c>
      <c r="C10" s="20" cm="1">
        <f t="array" ref="C10">B10+TIME(alea_int(1,4,Settings!$B$16),0,0)</f>
        <v>46315.416666666664</v>
      </c>
      <c r="D10" t="str" cm="1">
        <f t="array" ref="D10">choice(Settings!L:L,1,Settings!$B$16)</f>
        <v/>
      </c>
    </row>
    <row r="11" spans="1:26" ht="15.75" customHeight="1" x14ac:dyDescent="0.25">
      <c r="A11" s="2" t="str" cm="1">
        <f t="array" ref="A11">choice(Salles!A:A,1,Settings!$B$16)</f>
        <v>Salle30</v>
      </c>
      <c r="B11" s="3" cm="1">
        <f t="array" ref="B11">alea_date(Settings!$B$11,360,-1,Settings!$B$16)</f>
        <v>46089.333333333336</v>
      </c>
      <c r="C11" s="20" cm="1">
        <f t="array" ref="C11">B11+TIME(alea_int(1,4,Settings!$B$16),0,0)</f>
        <v>46089.5</v>
      </c>
      <c r="D11" t="str" cm="1">
        <f t="array" ref="D11">choice(Settings!L:L,1,Settings!$B$16)</f>
        <v/>
      </c>
    </row>
    <row r="12" spans="1:26" ht="15.75" customHeight="1" x14ac:dyDescent="0.25">
      <c r="A12" s="2" t="str" cm="1">
        <f t="array" ref="A12">choice(Salles!A:A,1,Settings!$B$16)</f>
        <v>Salle9</v>
      </c>
      <c r="B12" s="3" cm="1">
        <f t="array" ref="B12">alea_date(Settings!$B$11,360,-1,Settings!$B$16)</f>
        <v>46241.333333333336</v>
      </c>
      <c r="C12" s="20" cm="1">
        <f t="array" ref="C12">B12+TIME(alea_int(1,4,Settings!$B$16),0,0)</f>
        <v>46241.5</v>
      </c>
      <c r="D12" t="str" cm="1">
        <f t="array" ref="D12">choice(Settings!L:L,1,Settings!$B$16)</f>
        <v/>
      </c>
    </row>
    <row r="13" spans="1:26" ht="15.75" customHeight="1" x14ac:dyDescent="0.25">
      <c r="A13" s="2" t="str" cm="1">
        <f t="array" ref="A13">choice(Salles!A:A,1,Settings!$B$16)</f>
        <v>Salle62</v>
      </c>
      <c r="B13" s="3" cm="1">
        <f t="array" ref="B13">alea_date(Settings!$B$11,360,-1,Settings!$B$16)</f>
        <v>46352.375</v>
      </c>
      <c r="C13" s="20" cm="1">
        <f t="array" ref="C13">B13+TIME(alea_int(1,4,Settings!$B$16),0,0)</f>
        <v>46352.541666666664</v>
      </c>
      <c r="D13" t="str" cm="1">
        <f t="array" ref="D13">choice(Settings!L:L,1,Settings!$B$16)</f>
        <v/>
      </c>
    </row>
    <row r="14" spans="1:26" ht="15.75" customHeight="1" x14ac:dyDescent="0.25">
      <c r="A14" s="2" t="str" cm="1">
        <f t="array" ref="A14">choice(Salles!A:A,1,Settings!$B$16)</f>
        <v>Salle58</v>
      </c>
      <c r="B14" s="3" cm="1">
        <f t="array" ref="B14">alea_date(Settings!$B$11,360,-1,Settings!$B$16)</f>
        <v>46221.25</v>
      </c>
      <c r="C14" s="20" cm="1">
        <f t="array" ref="C14">B14+TIME(alea_int(1,4,Settings!$B$16),0,0)</f>
        <v>46221.416666666664</v>
      </c>
      <c r="D14" t="str" cm="1">
        <f t="array" ref="D14">choice(Settings!L:L,1,Settings!$B$16)</f>
        <v>vendredi</v>
      </c>
    </row>
    <row r="15" spans="1:26" ht="15.75" customHeight="1" x14ac:dyDescent="0.25">
      <c r="A15" s="2" t="str" cm="1">
        <f t="array" ref="A15">choice(Salles!A:A,1,Settings!$B$16)</f>
        <v>Salle4</v>
      </c>
      <c r="B15" s="3" cm="1">
        <f t="array" ref="B15">alea_date(Settings!$B$11,360,-1,Settings!$B$16)</f>
        <v>46053.375</v>
      </c>
      <c r="C15" s="20" cm="1">
        <f t="array" ref="C15">B15+TIME(alea_int(1,4,Settings!$B$16),0,0)</f>
        <v>46053.541666666664</v>
      </c>
      <c r="D15" t="str" cm="1">
        <f t="array" ref="D15">choice(Settings!L:L,1,Settings!$B$16)</f>
        <v/>
      </c>
    </row>
    <row r="16" spans="1:26" ht="15.75" customHeight="1" x14ac:dyDescent="0.25">
      <c r="A16" s="2" t="str" cm="1">
        <f t="array" ref="A16">choice(Salles!A:A,1,Settings!$B$16)</f>
        <v>Salle32</v>
      </c>
      <c r="B16" s="3" cm="1">
        <f t="array" ref="B16">alea_date(Settings!$B$11,360,-1,Settings!$B$16)</f>
        <v>46237.291666666664</v>
      </c>
      <c r="C16" s="20" cm="1">
        <f t="array" ref="C16">B16+TIME(alea_int(1,4,Settings!$B$16),0,0)</f>
        <v>46237.458333333328</v>
      </c>
      <c r="D16" t="str" cm="1">
        <f t="array" ref="D16">choice(Settings!L:L,1,Settings!$B$16)</f>
        <v/>
      </c>
    </row>
    <row r="17" spans="1:4" ht="15.75" customHeight="1" x14ac:dyDescent="0.25">
      <c r="A17" s="2" t="str" cm="1">
        <f t="array" ref="A17">choice(Salles!A:A,1,Settings!$B$16)</f>
        <v>Salle64</v>
      </c>
      <c r="B17" s="3" cm="1">
        <f t="array" ref="B17">alea_date(Settings!$B$11,360,-1,Settings!$B$16)</f>
        <v>46023.458333333336</v>
      </c>
      <c r="C17" s="20" cm="1">
        <f t="array" ref="C17">B17+TIME(alea_int(1,4,Settings!$B$16),0,0)</f>
        <v>46023.625</v>
      </c>
      <c r="D17" t="str" cm="1">
        <f t="array" ref="D17">choice(Settings!L:L,1,Settings!$B$16)</f>
        <v/>
      </c>
    </row>
    <row r="18" spans="1:4" ht="15.75" customHeight="1" x14ac:dyDescent="0.25">
      <c r="A18" s="2" t="str" cm="1">
        <f t="array" ref="A18">choice(Salles!A:A,1,Settings!$B$16)</f>
        <v>Salle45</v>
      </c>
      <c r="B18" s="3" cm="1">
        <f t="array" ref="B18">alea_date(Settings!$B$11,360,-1,Settings!$B$16)</f>
        <v>46119.416666666664</v>
      </c>
      <c r="C18" s="20" cm="1">
        <f t="array" ref="C18">B18+TIME(alea_int(1,4,Settings!$B$16),0,0)</f>
        <v>46119.583333333328</v>
      </c>
      <c r="D18" t="str" cm="1">
        <f t="array" ref="D18">choice(Settings!L:L,1,Settings!$B$16)</f>
        <v/>
      </c>
    </row>
    <row r="19" spans="1:4" ht="15.75" customHeight="1" x14ac:dyDescent="0.25">
      <c r="A19" s="2" t="str" cm="1">
        <f t="array" ref="A19">choice(Salles!A:A,1,Settings!$B$16)</f>
        <v>Salle27</v>
      </c>
      <c r="B19" s="3" cm="1">
        <f t="array" ref="B19">alea_date(Settings!$B$11,360,-1,Settings!$B$16)</f>
        <v>46074.416666666664</v>
      </c>
      <c r="C19" s="20" cm="1">
        <f t="array" ref="C19">B19+TIME(alea_int(1,4,Settings!$B$16),0,0)</f>
        <v>46074.583333333328</v>
      </c>
      <c r="D19" t="str" cm="1">
        <f t="array" ref="D19">choice(Settings!L:L,1,Settings!$B$16)</f>
        <v/>
      </c>
    </row>
    <row r="20" spans="1:4" ht="15.75" customHeight="1" x14ac:dyDescent="0.25">
      <c r="A20" s="2" t="str" cm="1">
        <f t="array" ref="A20">choice(Salles!A:A,1,Settings!$B$16)</f>
        <v>Salle50</v>
      </c>
      <c r="B20" s="3" cm="1">
        <f t="array" ref="B20">alea_date(Settings!$B$11,360,-1,Settings!$B$16)</f>
        <v>46119.625</v>
      </c>
      <c r="C20" s="20" cm="1">
        <f t="array" ref="C20">B20+TIME(alea_int(1,4,Settings!$B$16),0,0)</f>
        <v>46119.791666666664</v>
      </c>
      <c r="D20" t="str" cm="1">
        <f t="array" ref="D20">choice(Settings!L:L,1,Settings!$B$16)</f>
        <v/>
      </c>
    </row>
    <row r="21" spans="1:4" ht="15.75" customHeight="1" x14ac:dyDescent="0.25">
      <c r="A21" s="2" t="str" cm="1">
        <f t="array" ref="A21">choice(Salles!A:A,1,Settings!$B$16)</f>
        <v>Salle1</v>
      </c>
      <c r="B21" s="3" cm="1">
        <f t="array" ref="B21">alea_date(Settings!$B$11,360,-1,Settings!$B$16)</f>
        <v>46107.625</v>
      </c>
      <c r="C21" s="20" cm="1">
        <f t="array" ref="C21">B21+TIME(alea_int(1,4,Settings!$B$16),0,0)</f>
        <v>46107.791666666664</v>
      </c>
      <c r="D21" t="str" cm="1">
        <f t="array" ref="D21">choice(Settings!L:L,1,Settings!$B$16)</f>
        <v/>
      </c>
    </row>
    <row r="22" spans="1:4" ht="15.75" customHeight="1" x14ac:dyDescent="0.25">
      <c r="A22" s="2" t="str" cm="1">
        <f t="array" ref="A22">choice(Salles!A:A,1,Settings!$B$16)</f>
        <v>Salle57</v>
      </c>
      <c r="B22" s="3" cm="1">
        <f t="array" ref="B22">alea_date(Settings!$B$11,360,-1,Settings!$B$16)</f>
        <v>46028.5</v>
      </c>
      <c r="C22" s="20" cm="1">
        <f t="array" ref="C22">B22+TIME(alea_int(1,4,Settings!$B$16),0,0)</f>
        <v>46028.666666666664</v>
      </c>
      <c r="D22" t="str" cm="1">
        <f t="array" ref="D22">choice(Settings!L:L,1,Settings!$B$16)</f>
        <v/>
      </c>
    </row>
    <row r="23" spans="1:4" ht="15.75" customHeight="1" x14ac:dyDescent="0.25">
      <c r="A23" s="2" t="str" cm="1">
        <f t="array" ref="A23">choice(Salles!A:A,1,Settings!$B$16)</f>
        <v>Salle55</v>
      </c>
      <c r="B23" s="3" cm="1">
        <f t="array" ref="B23">alea_date(Settings!$B$11,360,-1,Settings!$B$16)</f>
        <v>46040.25</v>
      </c>
      <c r="C23" s="20" cm="1">
        <f t="array" ref="C23">B23+TIME(alea_int(1,4,Settings!$B$16),0,0)</f>
        <v>46040.416666666664</v>
      </c>
      <c r="D23" t="str" cm="1">
        <f t="array" ref="D23">choice(Settings!L:L,1,Settings!$B$16)</f>
        <v>vendredi</v>
      </c>
    </row>
    <row r="24" spans="1:4" ht="15.75" customHeight="1" x14ac:dyDescent="0.25">
      <c r="A24" s="2" t="str" cm="1">
        <f t="array" ref="A24">choice(Salles!A:A,1,Settings!$B$16)</f>
        <v>Salle54</v>
      </c>
      <c r="B24" s="3" cm="1">
        <f t="array" ref="B24">alea_date(Settings!$B$11,360,-1,Settings!$B$16)</f>
        <v>46201.333333333336</v>
      </c>
      <c r="C24" s="20" cm="1">
        <f t="array" ref="C24">B24+TIME(alea_int(1,4,Settings!$B$16),0,0)</f>
        <v>46201.5</v>
      </c>
      <c r="D24" t="str" cm="1">
        <f t="array" ref="D24">choice(Settings!L:L,1,Settings!$B$16)</f>
        <v/>
      </c>
    </row>
    <row r="25" spans="1:4" ht="15.75" customHeight="1" x14ac:dyDescent="0.25">
      <c r="A25" s="2" t="str" cm="1">
        <f t="array" ref="A25">choice(Salles!A:A,1,Settings!$B$16)</f>
        <v>Salle51</v>
      </c>
      <c r="B25" s="3" cm="1">
        <f t="array" ref="B25">alea_date(Settings!$B$11,360,-1,Settings!$B$16)</f>
        <v>46122.375</v>
      </c>
      <c r="C25" s="20" cm="1">
        <f t="array" ref="C25">B25+TIME(alea_int(1,4,Settings!$B$16),0,0)</f>
        <v>46122.541666666664</v>
      </c>
      <c r="D25" t="str" cm="1">
        <f t="array" ref="D25">choice(Settings!L:L,1,Settings!$B$16)</f>
        <v/>
      </c>
    </row>
    <row r="26" spans="1:4" ht="15.75" customHeight="1" x14ac:dyDescent="0.25">
      <c r="A26" s="2" t="str" cm="1">
        <f t="array" ref="A26">choice(Salles!A:A,1,Settings!$B$16)</f>
        <v>Salle27</v>
      </c>
      <c r="B26" s="3" cm="1">
        <f t="array" ref="B26">alea_date(Settings!$B$11,360,-1,Settings!$B$16)</f>
        <v>46078.375</v>
      </c>
      <c r="C26" s="20" cm="1">
        <f t="array" ref="C26">B26+TIME(alea_int(1,4,Settings!$B$16),0,0)</f>
        <v>46078.541666666664</v>
      </c>
      <c r="D26" t="str" cm="1">
        <f t="array" ref="D26">choice(Settings!L:L,1,Settings!$B$16)</f>
        <v/>
      </c>
    </row>
    <row r="27" spans="1:4" ht="15.75" customHeight="1" x14ac:dyDescent="0.25">
      <c r="A27" s="2" t="str" cm="1">
        <f t="array" ref="A27">choice(Salles!A:A,1,Settings!$B$16)</f>
        <v>Salle65</v>
      </c>
      <c r="B27" s="3" cm="1">
        <f t="array" ref="B27">alea_date(Settings!$B$11,360,-1,Settings!$B$16)</f>
        <v>46373.25</v>
      </c>
      <c r="C27" s="20" cm="1">
        <f t="array" ref="C27">B27+TIME(alea_int(1,4,Settings!$B$16),0,0)</f>
        <v>46373.416666666664</v>
      </c>
      <c r="D27" t="str" cm="1">
        <f t="array" ref="D27">choice(Settings!L:L,1,Settings!$B$16)</f>
        <v/>
      </c>
    </row>
    <row r="28" spans="1:4" ht="15.75" customHeight="1" x14ac:dyDescent="0.25">
      <c r="A28" s="2" t="str" cm="1">
        <f t="array" ref="A28">choice(Salles!A:A,1,Settings!$B$16)</f>
        <v>Salle16</v>
      </c>
      <c r="B28" s="3" cm="1">
        <f t="array" ref="B28">alea_date(Settings!$B$11,360,-1,Settings!$B$16)</f>
        <v>46365.625</v>
      </c>
      <c r="C28" s="20" cm="1">
        <f t="array" ref="C28">B28+TIME(alea_int(1,4,Settings!$B$16),0,0)</f>
        <v>46365.791666666664</v>
      </c>
      <c r="D28" t="str" cm="1">
        <f t="array" ref="D28">choice(Settings!L:L,1,Settings!$B$16)</f>
        <v/>
      </c>
    </row>
    <row r="29" spans="1:4" ht="15.75" customHeight="1" x14ac:dyDescent="0.25">
      <c r="A29" s="2" t="str" cm="1">
        <f t="array" ref="A29">choice(Salles!A:A,1,Settings!$B$16)</f>
        <v>Salle58</v>
      </c>
      <c r="B29" s="3" cm="1">
        <f t="array" ref="B29">alea_date(Settings!$B$11,360,-1,Settings!$B$16)</f>
        <v>46189.458333333336</v>
      </c>
      <c r="C29" s="20" cm="1">
        <f t="array" ref="C29">B29+TIME(alea_int(1,4,Settings!$B$16),0,0)</f>
        <v>46189.625</v>
      </c>
      <c r="D29" t="str" cm="1">
        <f t="array" ref="D29">choice(Settings!L:L,1,Settings!$B$16)</f>
        <v/>
      </c>
    </row>
    <row r="30" spans="1:4" ht="15.75" customHeight="1" x14ac:dyDescent="0.25">
      <c r="A30" s="2" t="str" cm="1">
        <f t="array" ref="A30">choice(Salles!A:A,1,Settings!$B$16)</f>
        <v>Salle8</v>
      </c>
      <c r="B30" s="3" cm="1">
        <f t="array" ref="B30">alea_date(Settings!$B$11,360,-1,Settings!$B$16)</f>
        <v>46287.291666666664</v>
      </c>
      <c r="C30" s="20" cm="1">
        <f t="array" ref="C30">B30+TIME(alea_int(1,4,Settings!$B$16),0,0)</f>
        <v>46287.458333333328</v>
      </c>
      <c r="D30" t="str" cm="1">
        <f t="array" ref="D30">choice(Settings!L:L,1,Settings!$B$16)</f>
        <v/>
      </c>
    </row>
    <row r="31" spans="1:4" ht="15.75" customHeight="1" x14ac:dyDescent="0.25">
      <c r="A31" s="2" t="str" cm="1">
        <f t="array" ref="A31">choice(Salles!A:A,1,Settings!$B$16)</f>
        <v>Salle13</v>
      </c>
      <c r="B31" s="3" cm="1">
        <f t="array" ref="B31">alea_date(Settings!$B$11,360,-1,Settings!$B$16)</f>
        <v>46152.291666666664</v>
      </c>
      <c r="C31" s="20" cm="1">
        <f t="array" ref="C31">B31+TIME(alea_int(1,4,Settings!$B$16),0,0)</f>
        <v>46152.458333333328</v>
      </c>
      <c r="D31" t="str" cm="1">
        <f t="array" ref="D31">choice(Settings!L:L,1,Settings!$B$16)</f>
        <v/>
      </c>
    </row>
    <row r="32" spans="1:4" ht="15.75" customHeight="1" x14ac:dyDescent="0.25">
      <c r="A32" s="2" t="str" cm="1">
        <f t="array" ref="A32">choice(Salles!A:A,1,Settings!$B$16)</f>
        <v>Salle10</v>
      </c>
      <c r="B32" s="3" cm="1">
        <f t="array" ref="B32">alea_date(Settings!$B$11,360,-1,Settings!$B$16)</f>
        <v>46363.625</v>
      </c>
      <c r="C32" s="20" cm="1">
        <f t="array" ref="C32">B32+TIME(alea_int(1,4,Settings!$B$16),0,0)</f>
        <v>46363.791666666664</v>
      </c>
      <c r="D32" t="str" cm="1">
        <f t="array" ref="D32">choice(Settings!L:L,1,Settings!$B$16)</f>
        <v/>
      </c>
    </row>
    <row r="33" spans="1:4" ht="15.75" customHeight="1" x14ac:dyDescent="0.25">
      <c r="A33" s="2" t="str" cm="1">
        <f t="array" ref="A33">choice(Salles!A:A,1,Settings!$B$16)</f>
        <v>Salle38</v>
      </c>
      <c r="B33" s="3" cm="1">
        <f t="array" ref="B33">alea_date(Settings!$B$11,360,-1,Settings!$B$16)</f>
        <v>46241.458333333336</v>
      </c>
      <c r="C33" s="20" cm="1">
        <f t="array" ref="C33">B33+TIME(alea_int(1,4,Settings!$B$16),0,0)</f>
        <v>46241.625</v>
      </c>
      <c r="D33" t="str" cm="1">
        <f t="array" ref="D33">choice(Settings!L:L,1,Settings!$B$16)</f>
        <v/>
      </c>
    </row>
    <row r="34" spans="1:4" ht="15.75" customHeight="1" x14ac:dyDescent="0.25">
      <c r="A34" s="2" t="str" cm="1">
        <f t="array" ref="A34">choice(Salles!A:A,1,Settings!$B$16)</f>
        <v>Salle60</v>
      </c>
      <c r="B34" s="3" cm="1">
        <f t="array" ref="B34">alea_date(Settings!$B$11,360,-1,Settings!$B$16)</f>
        <v>46289.458333333336</v>
      </c>
      <c r="C34" s="20" cm="1">
        <f t="array" ref="C34">B34+TIME(alea_int(1,4,Settings!$B$16),0,0)</f>
        <v>46289.625</v>
      </c>
      <c r="D34" t="str" cm="1">
        <f t="array" ref="D34">choice(Settings!L:L,1,Settings!$B$16)</f>
        <v/>
      </c>
    </row>
    <row r="35" spans="1:4" ht="15.75" customHeight="1" x14ac:dyDescent="0.25">
      <c r="A35" s="2" t="str" cm="1">
        <f t="array" ref="A35">choice(Salles!A:A,1,Settings!$B$16)</f>
        <v>Salle6</v>
      </c>
      <c r="B35" s="3" cm="1">
        <f t="array" ref="B35">alea_date(Settings!$B$11,360,-1,Settings!$B$16)</f>
        <v>46173.375</v>
      </c>
      <c r="C35" s="20" cm="1">
        <f t="array" ref="C35">B35+TIME(alea_int(1,4,Settings!$B$16),0,0)</f>
        <v>46173.541666666664</v>
      </c>
      <c r="D35" t="str" cm="1">
        <f t="array" ref="D35">choice(Settings!L:L,1,Settings!$B$16)</f>
        <v/>
      </c>
    </row>
    <row r="36" spans="1:4" ht="15.75" customHeight="1" x14ac:dyDescent="0.25">
      <c r="A36" s="2" t="str" cm="1">
        <f t="array" ref="A36">choice(Salles!A:A,1,Settings!$B$16)</f>
        <v>Salle68</v>
      </c>
      <c r="B36" s="3" cm="1">
        <f t="array" ref="B36">alea_date(Settings!$B$11,360,-1,Settings!$B$16)</f>
        <v>46053.25</v>
      </c>
      <c r="C36" s="20" cm="1">
        <f t="array" ref="C36">B36+TIME(alea_int(1,4,Settings!$B$16),0,0)</f>
        <v>46053.416666666664</v>
      </c>
      <c r="D36" t="str" cm="1">
        <f t="array" ref="D36">choice(Settings!L:L,1,Settings!$B$16)</f>
        <v>mercredi</v>
      </c>
    </row>
    <row r="37" spans="1:4" ht="15.75" customHeight="1" x14ac:dyDescent="0.25">
      <c r="A37" s="2" t="str" cm="1">
        <f t="array" ref="A37">choice(Salles!A:A,1,Settings!$B$16)</f>
        <v>Salle55</v>
      </c>
      <c r="B37" s="3" cm="1">
        <f t="array" ref="B37">alea_date(Settings!$B$11,360,-1,Settings!$B$16)</f>
        <v>46331.541666666664</v>
      </c>
      <c r="C37" s="20" cm="1">
        <f t="array" ref="C37">B37+TIME(alea_int(1,4,Settings!$B$16),0,0)</f>
        <v>46331.708333333328</v>
      </c>
      <c r="D37" t="str" cm="1">
        <f t="array" ref="D37">choice(Settings!L:L,1,Settings!$B$16)</f>
        <v/>
      </c>
    </row>
    <row r="38" spans="1:4" ht="15.75" customHeight="1" x14ac:dyDescent="0.25">
      <c r="A38" s="2" t="str" cm="1">
        <f t="array" ref="A38">choice(Salles!A:A,1,Settings!$B$16)</f>
        <v>Salle6</v>
      </c>
      <c r="B38" s="3" cm="1">
        <f t="array" ref="B38">alea_date(Settings!$B$11,360,-1,Settings!$B$16)</f>
        <v>46224.416666666664</v>
      </c>
      <c r="C38" s="20" cm="1">
        <f t="array" ref="C38">B38+TIME(alea_int(1,4,Settings!$B$16),0,0)</f>
        <v>46224.583333333328</v>
      </c>
      <c r="D38" t="str" cm="1">
        <f t="array" ref="D38">choice(Settings!L:L,1,Settings!$B$16)</f>
        <v/>
      </c>
    </row>
    <row r="39" spans="1:4" ht="15.75" customHeight="1" x14ac:dyDescent="0.25">
      <c r="A39" s="2" t="str" cm="1">
        <f t="array" ref="A39">choice(Salles!A:A,1,Settings!$B$16)</f>
        <v>Salle37</v>
      </c>
      <c r="B39" s="3" cm="1">
        <f t="array" ref="B39">alea_date(Settings!$B$11,360,-1,Settings!$B$16)</f>
        <v>46295.375</v>
      </c>
      <c r="C39" s="20" cm="1">
        <f t="array" ref="C39">B39+TIME(alea_int(1,4,Settings!$B$16),0,0)</f>
        <v>46295.541666666664</v>
      </c>
      <c r="D39" t="str" cm="1">
        <f t="array" ref="D39">choice(Settings!L:L,1,Settings!$B$16)</f>
        <v/>
      </c>
    </row>
    <row r="40" spans="1:4" ht="15.75" customHeight="1" x14ac:dyDescent="0.25">
      <c r="A40" s="2" t="str" cm="1">
        <f t="array" ref="A40">choice(Salles!A:A,1,Settings!$B$16)</f>
        <v>Salle51</v>
      </c>
      <c r="B40" s="3" cm="1">
        <f t="array" ref="B40">alea_date(Settings!$B$11,360,-1,Settings!$B$16)</f>
        <v>46114.416666666664</v>
      </c>
      <c r="C40" s="20" cm="1">
        <f t="array" ref="C40">B40+TIME(alea_int(1,4,Settings!$B$16),0,0)</f>
        <v>46114.583333333328</v>
      </c>
      <c r="D40" t="str" cm="1">
        <f t="array" ref="D40">choice(Settings!L:L,1,Settings!$B$16)</f>
        <v/>
      </c>
    </row>
    <row r="41" spans="1:4" ht="15.75" customHeight="1" x14ac:dyDescent="0.25">
      <c r="A41" s="2" t="str" cm="1">
        <f t="array" ref="A41">choice(Salles!A:A,1,Settings!$B$16)</f>
        <v>Salle11</v>
      </c>
      <c r="B41" s="3" cm="1">
        <f t="array" ref="B41">alea_date(Settings!$B$11,360,-1,Settings!$B$16)</f>
        <v>46028.583333333336</v>
      </c>
      <c r="C41" s="20" cm="1">
        <f t="array" ref="C41">B41+TIME(alea_int(1,4,Settings!$B$16),0,0)</f>
        <v>46028.75</v>
      </c>
      <c r="D41" t="str" cm="1">
        <f t="array" ref="D41">choice(Settings!L:L,1,Settings!$B$16)</f>
        <v/>
      </c>
    </row>
    <row r="42" spans="1:4" ht="15.75" customHeight="1" x14ac:dyDescent="0.25">
      <c r="A42" s="2" t="str" cm="1">
        <f t="array" ref="A42">choice(Salles!A:A,1,Settings!$B$16)</f>
        <v>Salle49</v>
      </c>
      <c r="B42" s="3" cm="1">
        <f t="array" ref="B42">alea_date(Settings!$B$11,360,-1,Settings!$B$16)</f>
        <v>46251.541666666664</v>
      </c>
      <c r="C42" s="20" cm="1">
        <f t="array" ref="C42">B42+TIME(alea_int(1,4,Settings!$B$16),0,0)</f>
        <v>46251.708333333328</v>
      </c>
      <c r="D42" t="str" cm="1">
        <f t="array" ref="D42">choice(Settings!L:L,1,Settings!$B$16)</f>
        <v/>
      </c>
    </row>
    <row r="43" spans="1:4" ht="15.75" customHeight="1" x14ac:dyDescent="0.25">
      <c r="A43" s="2" t="str" cm="1">
        <f t="array" ref="A43">choice(Salles!A:A,1,Settings!$B$16)</f>
        <v>Salle65</v>
      </c>
      <c r="B43" s="3" cm="1">
        <f t="array" ref="B43">alea_date(Settings!$B$11,360,-1,Settings!$B$16)</f>
        <v>46374.458333333336</v>
      </c>
      <c r="C43" s="20" cm="1">
        <f t="array" ref="C43">B43+TIME(alea_int(1,4,Settings!$B$16),0,0)</f>
        <v>46374.625</v>
      </c>
      <c r="D43" t="str" cm="1">
        <f t="array" ref="D43">choice(Settings!L:L,1,Settings!$B$16)</f>
        <v/>
      </c>
    </row>
    <row r="44" spans="1:4" ht="15.75" customHeight="1" x14ac:dyDescent="0.25">
      <c r="A44" s="2" t="str" cm="1">
        <f t="array" ref="A44">choice(Salles!A:A,1,Settings!$B$16)</f>
        <v>Salle41</v>
      </c>
      <c r="B44" s="3" cm="1">
        <f t="array" ref="B44">alea_date(Settings!$B$11,360,-1,Settings!$B$16)</f>
        <v>46075.291666666664</v>
      </c>
      <c r="C44" s="20" cm="1">
        <f t="array" ref="C44">B44+TIME(alea_int(1,4,Settings!$B$16),0,0)</f>
        <v>46075.458333333328</v>
      </c>
      <c r="D44" t="str" cm="1">
        <f t="array" ref="D44">choice(Settings!L:L,1,Settings!$B$16)</f>
        <v/>
      </c>
    </row>
    <row r="45" spans="1:4" ht="15.75" customHeight="1" x14ac:dyDescent="0.25">
      <c r="A45" s="2" t="str" cm="1">
        <f t="array" ref="A45">choice(Salles!A:A,1,Settings!$B$16)</f>
        <v>Salle15</v>
      </c>
      <c r="B45" s="3" cm="1">
        <f t="array" ref="B45">alea_date(Settings!$B$11,360,-1,Settings!$B$16)</f>
        <v>46097.541666666664</v>
      </c>
      <c r="C45" s="20" cm="1">
        <f t="array" ref="C45">B45+TIME(alea_int(1,4,Settings!$B$16),0,0)</f>
        <v>46097.708333333328</v>
      </c>
      <c r="D45" t="str" cm="1">
        <f t="array" ref="D45">choice(Settings!L:L,1,Settings!$B$16)</f>
        <v/>
      </c>
    </row>
    <row r="46" spans="1:4" ht="15.75" customHeight="1" x14ac:dyDescent="0.25">
      <c r="A46" s="2" t="str" cm="1">
        <f t="array" ref="A46">choice(Salles!A:A,1,Settings!$B$16)</f>
        <v>Salle69</v>
      </c>
      <c r="B46" s="3" cm="1">
        <f t="array" ref="B46">alea_date(Settings!$B$11,360,-1,Settings!$B$16)</f>
        <v>46125.25</v>
      </c>
      <c r="C46" s="20" cm="1">
        <f t="array" ref="C46">B46+TIME(alea_int(1,4,Settings!$B$16),0,0)</f>
        <v>46125.416666666664</v>
      </c>
      <c r="D46" t="str" cm="1">
        <f t="array" ref="D46">choice(Settings!L:L,1,Settings!$B$16)</f>
        <v/>
      </c>
    </row>
    <row r="47" spans="1:4" ht="15.75" customHeight="1" x14ac:dyDescent="0.25">
      <c r="A47" s="2" t="str" cm="1">
        <f t="array" ref="A47">choice(Salles!A:A,1,Settings!$B$16)</f>
        <v>Salle17</v>
      </c>
      <c r="B47" s="3" cm="1">
        <f t="array" ref="B47">alea_date(Settings!$B$11,360,-1,Settings!$B$16)</f>
        <v>46096.291666666664</v>
      </c>
      <c r="C47" s="20" cm="1">
        <f t="array" ref="C47">B47+TIME(alea_int(1,4,Settings!$B$16),0,0)</f>
        <v>46096.458333333328</v>
      </c>
      <c r="D47" t="str" cm="1">
        <f t="array" ref="D47">choice(Settings!L:L,1,Settings!$B$16)</f>
        <v/>
      </c>
    </row>
    <row r="48" spans="1:4" ht="15.75" customHeight="1" x14ac:dyDescent="0.25">
      <c r="A48" s="2" t="str" cm="1">
        <f t="array" ref="A48">choice(Salles!A:A,1,Settings!$B$16)</f>
        <v>Salle69</v>
      </c>
      <c r="B48" s="3" cm="1">
        <f t="array" ref="B48">alea_date(Settings!$B$11,360,-1,Settings!$B$16)</f>
        <v>46304.625</v>
      </c>
      <c r="C48" s="20" cm="1">
        <f t="array" ref="C48">B48+TIME(alea_int(1,4,Settings!$B$16),0,0)</f>
        <v>46304.791666666664</v>
      </c>
      <c r="D48" t="str" cm="1">
        <f t="array" ref="D48">choice(Settings!L:L,1,Settings!$B$16)</f>
        <v/>
      </c>
    </row>
    <row r="49" spans="1:4" ht="15.75" customHeight="1" x14ac:dyDescent="0.25">
      <c r="A49" s="2" t="str" cm="1">
        <f t="array" ref="A49">choice(Salles!A:A,1,Settings!$B$16)</f>
        <v>Salle4</v>
      </c>
      <c r="B49" s="3" cm="1">
        <f t="array" ref="B49">alea_date(Settings!$B$11,360,-1,Settings!$B$16)</f>
        <v>46348.375</v>
      </c>
      <c r="C49" s="20" cm="1">
        <f t="array" ref="C49">B49+TIME(alea_int(1,4,Settings!$B$16),0,0)</f>
        <v>46348.541666666664</v>
      </c>
      <c r="D49" t="str" cm="1">
        <f t="array" ref="D49">choice(Settings!L:L,1,Settings!$B$16)</f>
        <v/>
      </c>
    </row>
    <row r="50" spans="1:4" ht="15.75" customHeight="1" x14ac:dyDescent="0.25">
      <c r="A50" s="2" t="str" cm="1">
        <f t="array" ref="A50">choice(Salles!A:A,1,Settings!$B$16)</f>
        <v>Salle32</v>
      </c>
      <c r="B50" s="3" cm="1">
        <f t="array" ref="B50">alea_date(Settings!$B$11,360,-1,Settings!$B$16)</f>
        <v>46214.375</v>
      </c>
      <c r="C50" s="20" cm="1">
        <f t="array" ref="C50">B50+TIME(alea_int(1,4,Settings!$B$16),0,0)</f>
        <v>46214.541666666664</v>
      </c>
      <c r="D50" t="str" cm="1">
        <f t="array" ref="D50">choice(Settings!L:L,1,Settings!$B$16)</f>
        <v/>
      </c>
    </row>
    <row r="51" spans="1:4" ht="15.75" customHeight="1" x14ac:dyDescent="0.25">
      <c r="A51" s="2" t="str" cm="1">
        <f t="array" ref="A51">choice(Salles!A:A,1,Settings!$B$16)</f>
        <v>Salle41</v>
      </c>
      <c r="B51" s="3" cm="1">
        <f t="array" ref="B51">alea_date(Settings!$B$11,360,-1,Settings!$B$16)</f>
        <v>46357.375</v>
      </c>
      <c r="C51" s="20" cm="1">
        <f t="array" ref="C51">B51+TIME(alea_int(1,4,Settings!$B$16),0,0)</f>
        <v>46357.541666666664</v>
      </c>
      <c r="D51" t="str" cm="1">
        <f t="array" ref="D51">choice(Settings!L:L,1,Settings!$B$16)</f>
        <v/>
      </c>
    </row>
    <row r="52" spans="1:4" ht="15.75" customHeight="1" x14ac:dyDescent="0.25">
      <c r="A52" s="2" t="str" cm="1">
        <f t="array" ref="A52">choice(Salles!A:A,1,Settings!$B$16)</f>
        <v>Salle20</v>
      </c>
      <c r="B52" s="3" cm="1">
        <f t="array" ref="B52">alea_date(Settings!$B$11,360,-1,Settings!$B$16)</f>
        <v>46025.375</v>
      </c>
      <c r="C52" s="20" cm="1">
        <f t="array" ref="C52">B52+TIME(alea_int(1,4,Settings!$B$16),0,0)</f>
        <v>46025.541666666664</v>
      </c>
      <c r="D52" t="str" cm="1">
        <f t="array" ref="D52">choice(Settings!L:L,1,Settings!$B$16)</f>
        <v/>
      </c>
    </row>
    <row r="53" spans="1:4" ht="15.75" customHeight="1" x14ac:dyDescent="0.25">
      <c r="A53" s="2" t="str" cm="1">
        <f t="array" ref="A53">choice(Salles!A:A,1,Settings!$B$16)</f>
        <v>Salle14</v>
      </c>
      <c r="B53" s="3" cm="1">
        <f t="array" ref="B53">alea_date(Settings!$B$11,360,-1,Settings!$B$16)</f>
        <v>46308.541666666664</v>
      </c>
      <c r="C53" s="20" cm="1">
        <f t="array" ref="C53">B53+TIME(alea_int(1,4,Settings!$B$16),0,0)</f>
        <v>46308.708333333328</v>
      </c>
      <c r="D53" t="str" cm="1">
        <f t="array" ref="D53">choice(Settings!L:L,1,Settings!$B$16)</f>
        <v/>
      </c>
    </row>
    <row r="54" spans="1:4" ht="15.75" customHeight="1" x14ac:dyDescent="0.25">
      <c r="A54" s="2" t="str" cm="1">
        <f t="array" ref="A54">choice(Salles!A:A,1,Settings!$B$16)</f>
        <v>Salle33</v>
      </c>
      <c r="B54" s="3" cm="1">
        <f t="array" ref="B54">alea_date(Settings!$B$11,360,-1,Settings!$B$16)</f>
        <v>46364.541666666664</v>
      </c>
      <c r="C54" s="20" cm="1">
        <f t="array" ref="C54">B54+TIME(alea_int(1,4,Settings!$B$16),0,0)</f>
        <v>46364.708333333328</v>
      </c>
      <c r="D54" t="str" cm="1">
        <f t="array" ref="D54">choice(Settings!L:L,1,Settings!$B$16)</f>
        <v>jeudi</v>
      </c>
    </row>
    <row r="55" spans="1:4" ht="15.75" customHeight="1" x14ac:dyDescent="0.25">
      <c r="A55" s="2" t="str" cm="1">
        <f t="array" ref="A55">choice(Salles!A:A,1,Settings!$B$16)</f>
        <v>Salle53</v>
      </c>
      <c r="B55" s="3" cm="1">
        <f t="array" ref="B55">alea_date(Settings!$B$11,360,-1,Settings!$B$16)</f>
        <v>46225.541666666664</v>
      </c>
      <c r="C55" s="20" cm="1">
        <f t="array" ref="C55">B55+TIME(alea_int(1,4,Settings!$B$16),0,0)</f>
        <v>46225.708333333328</v>
      </c>
      <c r="D55" t="str" cm="1">
        <f t="array" ref="D55">choice(Settings!L:L,1,Settings!$B$16)</f>
        <v/>
      </c>
    </row>
    <row r="56" spans="1:4" ht="15.75" customHeight="1" x14ac:dyDescent="0.25">
      <c r="A56" s="2" t="str" cm="1">
        <f t="array" ref="A56">choice(Salles!A:A,1,Settings!$B$16)</f>
        <v>Salle8</v>
      </c>
      <c r="B56" s="3" cm="1">
        <f t="array" ref="B56">alea_date(Settings!$B$11,360,-1,Settings!$B$16)</f>
        <v>46062.291666666664</v>
      </c>
      <c r="C56" s="20" cm="1">
        <f t="array" ref="C56">B56+TIME(alea_int(1,4,Settings!$B$16),0,0)</f>
        <v>46062.458333333328</v>
      </c>
      <c r="D56" t="str" cm="1">
        <f t="array" ref="D56">choice(Settings!L:L,1,Settings!$B$16)</f>
        <v/>
      </c>
    </row>
    <row r="57" spans="1:4" ht="15.75" customHeight="1" x14ac:dyDescent="0.25">
      <c r="A57" s="2" t="str" cm="1">
        <f t="array" ref="A57">choice(Salles!A:A,1,Settings!$B$16)</f>
        <v>Salle70</v>
      </c>
      <c r="B57" s="3" cm="1">
        <f t="array" ref="B57">alea_date(Settings!$B$11,360,-1,Settings!$B$16)</f>
        <v>46109.625</v>
      </c>
      <c r="C57" s="20" cm="1">
        <f t="array" ref="C57">B57+TIME(alea_int(1,4,Settings!$B$16),0,0)</f>
        <v>46109.791666666664</v>
      </c>
      <c r="D57" t="str" cm="1">
        <f t="array" ref="D57">choice(Settings!L:L,1,Settings!$B$16)</f>
        <v/>
      </c>
    </row>
    <row r="58" spans="1:4" ht="15.75" customHeight="1" x14ac:dyDescent="0.25">
      <c r="A58" s="2" t="str" cm="1">
        <f t="array" ref="A58">choice(Salles!A:A,1,Settings!$B$16)</f>
        <v>Salle11</v>
      </c>
      <c r="B58" s="3" cm="1">
        <f t="array" ref="B58">alea_date(Settings!$B$11,360,-1,Settings!$B$16)</f>
        <v>46053.375</v>
      </c>
      <c r="C58" s="20" cm="1">
        <f t="array" ref="C58">B58+TIME(alea_int(1,4,Settings!$B$16),0,0)</f>
        <v>46053.541666666664</v>
      </c>
      <c r="D58" t="str" cm="1">
        <f t="array" ref="D58">choice(Settings!L:L,1,Settings!$B$16)</f>
        <v/>
      </c>
    </row>
    <row r="59" spans="1:4" ht="15.75" customHeight="1" x14ac:dyDescent="0.25">
      <c r="A59" s="2" t="str" cm="1">
        <f t="array" ref="A59">choice(Salles!A:A,1,Settings!$B$16)</f>
        <v>Salle21</v>
      </c>
      <c r="B59" s="3" cm="1">
        <f t="array" ref="B59">alea_date(Settings!$B$11,360,-1,Settings!$B$16)</f>
        <v>46124.333333333336</v>
      </c>
      <c r="C59" s="20" cm="1">
        <f t="array" ref="C59">B59+TIME(alea_int(1,4,Settings!$B$16),0,0)</f>
        <v>46124.5</v>
      </c>
      <c r="D59" t="str" cm="1">
        <f t="array" ref="D59">choice(Settings!L:L,1,Settings!$B$16)</f>
        <v/>
      </c>
    </row>
    <row r="60" spans="1:4" ht="15.75" customHeight="1" x14ac:dyDescent="0.25">
      <c r="A60" s="2" t="str" cm="1">
        <f t="array" ref="A60">choice(Salles!A:A,1,Settings!$B$16)</f>
        <v>Salle13</v>
      </c>
      <c r="B60" s="3" cm="1">
        <f t="array" ref="B60">alea_date(Settings!$B$11,360,-1,Settings!$B$16)</f>
        <v>46334.291666666664</v>
      </c>
      <c r="C60" s="20" cm="1">
        <f t="array" ref="C60">B60+TIME(alea_int(1,4,Settings!$B$16),0,0)</f>
        <v>46334.458333333328</v>
      </c>
      <c r="D60" t="str" cm="1">
        <f t="array" ref="D60">choice(Settings!L:L,1,Settings!$B$16)</f>
        <v/>
      </c>
    </row>
    <row r="61" spans="1:4" ht="15.75" customHeight="1" x14ac:dyDescent="0.25">
      <c r="A61" s="2" t="str" cm="1">
        <f t="array" ref="A61">choice(Salles!A:A,1,Settings!$B$16)</f>
        <v>Salle24</v>
      </c>
      <c r="B61" s="3" cm="1">
        <f t="array" ref="B61">alea_date(Settings!$B$11,360,-1,Settings!$B$16)</f>
        <v>46351.25</v>
      </c>
      <c r="C61" s="20" cm="1">
        <f t="array" ref="C61">B61+TIME(alea_int(1,4,Settings!$B$16),0,0)</f>
        <v>46351.416666666664</v>
      </c>
      <c r="D61" t="str" cm="1">
        <f t="array" ref="D61">choice(Settings!L:L,1,Settings!$B$16)</f>
        <v/>
      </c>
    </row>
    <row r="62" spans="1:4" ht="15.75" customHeight="1" x14ac:dyDescent="0.25">
      <c r="A62" s="2" t="str" cm="1">
        <f t="array" ref="A62">choice(Salles!A:A,1,Settings!$B$16)</f>
        <v>Salle19</v>
      </c>
      <c r="B62" s="3" cm="1">
        <f t="array" ref="B62">alea_date(Settings!$B$11,360,-1,Settings!$B$16)</f>
        <v>46078.291666666664</v>
      </c>
      <c r="C62" s="20" cm="1">
        <f t="array" ref="C62">B62+TIME(alea_int(1,4,Settings!$B$16),0,0)</f>
        <v>46078.458333333328</v>
      </c>
      <c r="D62" t="str" cm="1">
        <f t="array" ref="D62">choice(Settings!L:L,1,Settings!$B$16)</f>
        <v/>
      </c>
    </row>
    <row r="63" spans="1:4" ht="15.75" customHeight="1" x14ac:dyDescent="0.25">
      <c r="A63" s="2" t="str" cm="1">
        <f t="array" ref="A63">choice(Salles!A:A,1,Settings!$B$16)</f>
        <v>Salle62</v>
      </c>
      <c r="B63" s="3" cm="1">
        <f t="array" ref="B63">alea_date(Settings!$B$11,360,-1,Settings!$B$16)</f>
        <v>46106.458333333336</v>
      </c>
      <c r="C63" s="20" cm="1">
        <f t="array" ref="C63">B63+TIME(alea_int(1,4,Settings!$B$16),0,0)</f>
        <v>46106.625</v>
      </c>
      <c r="D63" t="str" cm="1">
        <f t="array" ref="D63">choice(Settings!L:L,1,Settings!$B$16)</f>
        <v/>
      </c>
    </row>
    <row r="64" spans="1:4" ht="15.75" customHeight="1" x14ac:dyDescent="0.25">
      <c r="A64" s="2" t="str" cm="1">
        <f t="array" ref="A64">choice(Salles!A:A,1,Settings!$B$16)</f>
        <v>Salle70</v>
      </c>
      <c r="B64" s="3" cm="1">
        <f t="array" ref="B64">alea_date(Settings!$B$11,360,-1,Settings!$B$16)</f>
        <v>46203.333333333336</v>
      </c>
      <c r="C64" s="20" cm="1">
        <f t="array" ref="C64">B64+TIME(alea_int(1,4,Settings!$B$16),0,0)</f>
        <v>46203.5</v>
      </c>
      <c r="D64" t="str" cm="1">
        <f t="array" ref="D64">choice(Settings!L:L,1,Settings!$B$16)</f>
        <v/>
      </c>
    </row>
    <row r="65" spans="1:4" ht="15.75" customHeight="1" x14ac:dyDescent="0.25">
      <c r="A65" s="2" t="str" cm="1">
        <f t="array" ref="A65">choice(Salles!A:A,1,Settings!$B$16)</f>
        <v>Salle55</v>
      </c>
      <c r="B65" s="3" cm="1">
        <f t="array" ref="B65">alea_date(Settings!$B$11,360,-1,Settings!$B$16)</f>
        <v>46038.416666666664</v>
      </c>
      <c r="C65" s="20" cm="1">
        <f t="array" ref="C65">B65+TIME(alea_int(1,4,Settings!$B$16),0,0)</f>
        <v>46038.583333333328</v>
      </c>
      <c r="D65" t="str" cm="1">
        <f t="array" ref="D65">choice(Settings!L:L,1,Settings!$B$16)</f>
        <v/>
      </c>
    </row>
    <row r="66" spans="1:4" ht="15.75" customHeight="1" x14ac:dyDescent="0.25">
      <c r="A66" s="2" t="str" cm="1">
        <f t="array" ref="A66">choice(Salles!A:A,1,Settings!$B$16)</f>
        <v>Salle67</v>
      </c>
      <c r="B66" s="3" cm="1">
        <f t="array" ref="B66">alea_date(Settings!$B$11,360,-1,Settings!$B$16)</f>
        <v>46186.458333333336</v>
      </c>
      <c r="C66" s="20" cm="1">
        <f t="array" ref="C66">B66+TIME(alea_int(1,4,Settings!$B$16),0,0)</f>
        <v>46186.625</v>
      </c>
      <c r="D66" t="str" cm="1">
        <f t="array" ref="D66">choice(Settings!L:L,1,Settings!$B$16)</f>
        <v/>
      </c>
    </row>
    <row r="67" spans="1:4" ht="15.75" customHeight="1" x14ac:dyDescent="0.25">
      <c r="A67" s="2" t="str" cm="1">
        <f t="array" ref="A67">choice(Salles!A:A,1,Settings!$B$16)</f>
        <v>Salle11</v>
      </c>
      <c r="B67" s="3" cm="1">
        <f t="array" ref="B67">alea_date(Settings!$B$11,360,-1,Settings!$B$16)</f>
        <v>46065.5</v>
      </c>
      <c r="C67" s="20" cm="1">
        <f t="array" ref="C67">B67+TIME(alea_int(1,4,Settings!$B$16),0,0)</f>
        <v>46065.666666666664</v>
      </c>
      <c r="D67" t="str" cm="1">
        <f t="array" ref="D67">choice(Settings!L:L,1,Settings!$B$16)</f>
        <v/>
      </c>
    </row>
    <row r="68" spans="1:4" ht="15.75" customHeight="1" x14ac:dyDescent="0.25">
      <c r="A68" s="2" t="str" cm="1">
        <f t="array" ref="A68">choice(Salles!A:A,1,Settings!$B$16)</f>
        <v>Salle18</v>
      </c>
      <c r="B68" s="3" cm="1">
        <f t="array" ref="B68">alea_date(Settings!$B$11,360,-1,Settings!$B$16)</f>
        <v>46205.333333333336</v>
      </c>
      <c r="C68" s="20" cm="1">
        <f t="array" ref="C68">B68+TIME(alea_int(1,4,Settings!$B$16),0,0)</f>
        <v>46205.5</v>
      </c>
      <c r="D68" t="str" cm="1">
        <f t="array" ref="D68">choice(Settings!L:L,1,Settings!$B$16)</f>
        <v/>
      </c>
    </row>
    <row r="69" spans="1:4" ht="15.75" customHeight="1" x14ac:dyDescent="0.25">
      <c r="A69" s="2" t="str" cm="1">
        <f t="array" ref="A69">choice(Salles!A:A,1,Settings!$B$16)</f>
        <v>Salle56</v>
      </c>
      <c r="B69" s="3" cm="1">
        <f t="array" ref="B69">alea_date(Settings!$B$11,360,-1,Settings!$B$16)</f>
        <v>46132.416666666664</v>
      </c>
      <c r="C69" s="20" cm="1">
        <f t="array" ref="C69">B69+TIME(alea_int(1,4,Settings!$B$16),0,0)</f>
        <v>46132.583333333328</v>
      </c>
      <c r="D69" t="str" cm="1">
        <f t="array" ref="D69">choice(Settings!L:L,1,Settings!$B$16)</f>
        <v>mercredi</v>
      </c>
    </row>
    <row r="70" spans="1:4" ht="15.75" customHeight="1" x14ac:dyDescent="0.25">
      <c r="A70" s="2" t="str" cm="1">
        <f t="array" ref="A70">choice(Salles!A:A,1,Settings!$B$16)</f>
        <v>Salle57</v>
      </c>
      <c r="B70" s="3" cm="1">
        <f t="array" ref="B70">alea_date(Settings!$B$11,360,-1,Settings!$B$16)</f>
        <v>46040.375</v>
      </c>
      <c r="C70" s="20" cm="1">
        <f t="array" ref="C70">B70+TIME(alea_int(1,4,Settings!$B$16),0,0)</f>
        <v>46040.541666666664</v>
      </c>
      <c r="D70" t="str" cm="1">
        <f t="array" ref="D70">choice(Settings!L:L,1,Settings!$B$16)</f>
        <v/>
      </c>
    </row>
    <row r="71" spans="1:4" ht="15.75" customHeight="1" x14ac:dyDescent="0.25">
      <c r="A71" s="2" t="str" cm="1">
        <f t="array" ref="A71">choice(Salles!A:A,1,Settings!$B$16)</f>
        <v>Salle7</v>
      </c>
      <c r="B71" s="3" cm="1">
        <f t="array" ref="B71">alea_date(Settings!$B$11,360,-1,Settings!$B$16)</f>
        <v>46258.375</v>
      </c>
      <c r="C71" s="20" cm="1">
        <f t="array" ref="C71">B71+TIME(alea_int(1,4,Settings!$B$16),0,0)</f>
        <v>46258.541666666664</v>
      </c>
      <c r="D71" t="str" cm="1">
        <f t="array" ref="D71">choice(Settings!L:L,1,Settings!$B$16)</f>
        <v>mercredi</v>
      </c>
    </row>
    <row r="72" spans="1:4" ht="15.75" customHeight="1" x14ac:dyDescent="0.25">
      <c r="A72" s="2" t="str" cm="1">
        <f t="array" ref="A72">choice(Salles!A:A,1,Settings!$B$16)</f>
        <v>Salle50</v>
      </c>
      <c r="B72" s="3" cm="1">
        <f t="array" ref="B72">alea_date(Settings!$B$11,360,-1,Settings!$B$16)</f>
        <v>46374.5</v>
      </c>
      <c r="C72" s="20" cm="1">
        <f t="array" ref="C72">B72+TIME(alea_int(1,4,Settings!$B$16),0,0)</f>
        <v>46374.666666666664</v>
      </c>
      <c r="D72" t="str" cm="1">
        <f t="array" ref="D72">choice(Settings!L:L,1,Settings!$B$16)</f>
        <v>vendredi</v>
      </c>
    </row>
    <row r="73" spans="1:4" ht="15.75" customHeight="1" x14ac:dyDescent="0.25">
      <c r="A73" s="2" t="str" cm="1">
        <f t="array" ref="A73">choice(Salles!A:A,1,Settings!$B$16)</f>
        <v>Salle68</v>
      </c>
      <c r="B73" s="3" cm="1">
        <f t="array" ref="B73">alea_date(Settings!$B$11,360,-1,Settings!$B$16)</f>
        <v>46124.583333333336</v>
      </c>
      <c r="C73" s="20" cm="1">
        <f t="array" ref="C73">B73+TIME(alea_int(1,4,Settings!$B$16),0,0)</f>
        <v>46124.75</v>
      </c>
      <c r="D73" t="str" cm="1">
        <f t="array" ref="D73">choice(Settings!L:L,1,Settings!$B$16)</f>
        <v/>
      </c>
    </row>
    <row r="74" spans="1:4" ht="15.75" customHeight="1" x14ac:dyDescent="0.25">
      <c r="A74" s="2" t="str" cm="1">
        <f t="array" ref="A74">choice(Salles!A:A,1,Settings!$B$16)</f>
        <v>Salle68</v>
      </c>
      <c r="B74" s="3" cm="1">
        <f t="array" ref="B74">alea_date(Settings!$B$11,360,-1,Settings!$B$16)</f>
        <v>46302.25</v>
      </c>
      <c r="C74" s="20" cm="1">
        <f t="array" ref="C74">B74+TIME(alea_int(1,4,Settings!$B$16),0,0)</f>
        <v>46302.416666666664</v>
      </c>
      <c r="D74" t="str" cm="1">
        <f t="array" ref="D74">choice(Settings!L:L,1,Settings!$B$16)</f>
        <v/>
      </c>
    </row>
    <row r="75" spans="1:4" ht="15.75" customHeight="1" x14ac:dyDescent="0.25">
      <c r="A75" s="2" t="str" cm="1">
        <f t="array" ref="A75">choice(Salles!A:A,1,Settings!$B$16)</f>
        <v>Salle26</v>
      </c>
      <c r="B75" s="3" cm="1">
        <f t="array" ref="B75">alea_date(Settings!$B$11,360,-1,Settings!$B$16)</f>
        <v>46057.625</v>
      </c>
      <c r="C75" s="20" cm="1">
        <f t="array" ref="C75">B75+TIME(alea_int(1,4,Settings!$B$16),0,0)</f>
        <v>46057.791666666664</v>
      </c>
      <c r="D75" t="str" cm="1">
        <f t="array" ref="D75">choice(Settings!L:L,1,Settings!$B$16)</f>
        <v/>
      </c>
    </row>
    <row r="76" spans="1:4" ht="15.75" customHeight="1" x14ac:dyDescent="0.25">
      <c r="A76" s="2" t="str" cm="1">
        <f t="array" ref="A76">choice(Salles!A:A,1,Settings!$B$16)</f>
        <v>Salle29</v>
      </c>
      <c r="B76" s="3" cm="1">
        <f t="array" ref="B76">alea_date(Settings!$B$11,360,-1,Settings!$B$16)</f>
        <v>46057.458333333336</v>
      </c>
      <c r="C76" s="20" cm="1">
        <f t="array" ref="C76">B76+TIME(alea_int(1,4,Settings!$B$16),0,0)</f>
        <v>46057.625</v>
      </c>
      <c r="D76" t="str" cm="1">
        <f t="array" ref="D76">choice(Settings!L:L,1,Settings!$B$16)</f>
        <v/>
      </c>
    </row>
    <row r="77" spans="1:4" ht="15.75" customHeight="1" x14ac:dyDescent="0.25">
      <c r="A77" s="2" t="str" cm="1">
        <f t="array" ref="A77">choice(Salles!A:A,1,Settings!$B$16)</f>
        <v>Salle50</v>
      </c>
      <c r="B77" s="3" cm="1">
        <f t="array" ref="B77">alea_date(Settings!$B$11,360,-1,Settings!$B$16)</f>
        <v>46166.5</v>
      </c>
      <c r="C77" s="20" cm="1">
        <f t="array" ref="C77">B77+TIME(alea_int(1,4,Settings!$B$16),0,0)</f>
        <v>46166.666666666664</v>
      </c>
      <c r="D77" t="str" cm="1">
        <f t="array" ref="D77">choice(Settings!L:L,1,Settings!$B$16)</f>
        <v/>
      </c>
    </row>
    <row r="78" spans="1:4" ht="15.75" customHeight="1" x14ac:dyDescent="0.25">
      <c r="A78" s="2" t="str" cm="1">
        <f t="array" ref="A78">choice(Salles!A:A,1,Settings!$B$16)</f>
        <v>Salle42</v>
      </c>
      <c r="B78" s="3" cm="1">
        <f t="array" ref="B78">alea_date(Settings!$B$11,360,-1,Settings!$B$16)</f>
        <v>46135.583333333336</v>
      </c>
      <c r="C78" s="20" cm="1">
        <f t="array" ref="C78">B78+TIME(alea_int(1,4,Settings!$B$16),0,0)</f>
        <v>46135.75</v>
      </c>
      <c r="D78" t="str" cm="1">
        <f t="array" ref="D78">choice(Settings!L:L,1,Settings!$B$16)</f>
        <v>lundi</v>
      </c>
    </row>
    <row r="79" spans="1:4" ht="15.75" customHeight="1" x14ac:dyDescent="0.25">
      <c r="A79" s="2" t="str" cm="1">
        <f t="array" ref="A79">choice(Salles!A:A,1,Settings!$B$16)</f>
        <v>Salle25</v>
      </c>
      <c r="B79" s="3" cm="1">
        <f t="array" ref="B79">alea_date(Settings!$B$11,360,-1,Settings!$B$16)</f>
        <v>46125.291666666664</v>
      </c>
      <c r="C79" s="20" cm="1">
        <f t="array" ref="C79">B79+TIME(alea_int(1,4,Settings!$B$16),0,0)</f>
        <v>46125.458333333328</v>
      </c>
      <c r="D79" t="str" cm="1">
        <f t="array" ref="D79">choice(Settings!L:L,1,Settings!$B$16)</f>
        <v/>
      </c>
    </row>
    <row r="80" spans="1:4" ht="15.75" customHeight="1" x14ac:dyDescent="0.25">
      <c r="A80" s="2" t="str" cm="1">
        <f t="array" ref="A80">choice(Salles!A:A,1,Settings!$B$16)</f>
        <v>Salle12</v>
      </c>
      <c r="B80" s="3" cm="1">
        <f t="array" ref="B80">alea_date(Settings!$B$11,360,-1,Settings!$B$16)</f>
        <v>46160.541666666664</v>
      </c>
      <c r="C80" s="20" cm="1">
        <f t="array" ref="C80">B80+TIME(alea_int(1,4,Settings!$B$16),0,0)</f>
        <v>46160.708333333328</v>
      </c>
      <c r="D80" t="str" cm="1">
        <f t="array" ref="D80">choice(Settings!L:L,1,Settings!$B$16)</f>
        <v/>
      </c>
    </row>
    <row r="81" spans="1:4" ht="15.75" customHeight="1" x14ac:dyDescent="0.25">
      <c r="A81" s="2" t="str" cm="1">
        <f t="array" ref="A81">choice(Salles!A:A,1,Settings!$B$16)</f>
        <v>Salle37</v>
      </c>
      <c r="B81" s="3" cm="1">
        <f t="array" ref="B81">alea_date(Settings!$B$11,360,-1,Settings!$B$16)</f>
        <v>46382.583333333336</v>
      </c>
      <c r="C81" s="20" cm="1">
        <f t="array" ref="C81">B81+TIME(alea_int(1,4,Settings!$B$16),0,0)</f>
        <v>46382.75</v>
      </c>
      <c r="D81" t="str" cm="1">
        <f t="array" ref="D81">choice(Settings!L:L,1,Settings!$B$16)</f>
        <v/>
      </c>
    </row>
    <row r="82" spans="1:4" ht="15.75" customHeight="1" x14ac:dyDescent="0.25">
      <c r="A82" s="2" t="str" cm="1">
        <f t="array" ref="A82">choice(Salles!A:A,1,Settings!$B$16)</f>
        <v>Salle5</v>
      </c>
      <c r="B82" s="3" cm="1">
        <f t="array" ref="B82">alea_date(Settings!$B$11,360,-1,Settings!$B$16)</f>
        <v>46368.291666666664</v>
      </c>
      <c r="C82" s="20" cm="1">
        <f t="array" ref="C82">B82+TIME(alea_int(1,4,Settings!$B$16),0,0)</f>
        <v>46368.458333333328</v>
      </c>
      <c r="D82" t="str" cm="1">
        <f t="array" ref="D82">choice(Settings!L:L,1,Settings!$B$16)</f>
        <v>mercredi</v>
      </c>
    </row>
    <row r="83" spans="1:4" ht="15.75" customHeight="1" x14ac:dyDescent="0.25">
      <c r="A83" s="2" t="str" cm="1">
        <f t="array" ref="A83">choice(Salles!A:A,1,Settings!$B$16)</f>
        <v>Salle61</v>
      </c>
      <c r="B83" s="3" cm="1">
        <f t="array" ref="B83">alea_date(Settings!$B$11,360,-1,Settings!$B$16)</f>
        <v>46360.25</v>
      </c>
      <c r="C83" s="20" cm="1">
        <f t="array" ref="C83">B83+TIME(alea_int(1,4,Settings!$B$16),0,0)</f>
        <v>46360.416666666664</v>
      </c>
      <c r="D83" t="str" cm="1">
        <f t="array" ref="D83">choice(Settings!L:L,1,Settings!$B$16)</f>
        <v/>
      </c>
    </row>
    <row r="84" spans="1:4" ht="15.75" customHeight="1" x14ac:dyDescent="0.25">
      <c r="A84" s="2" t="str" cm="1">
        <f t="array" ref="A84">choice(Salles!A:A,1,Settings!$B$16)</f>
        <v>Salle10</v>
      </c>
      <c r="B84" s="3" cm="1">
        <f t="array" ref="B84">alea_date(Settings!$B$11,360,-1,Settings!$B$16)</f>
        <v>46038.416666666664</v>
      </c>
      <c r="C84" s="20" cm="1">
        <f t="array" ref="C84">B84+TIME(alea_int(1,4,Settings!$B$16),0,0)</f>
        <v>46038.583333333328</v>
      </c>
      <c r="D84" t="str" cm="1">
        <f t="array" ref="D84">choice(Settings!L:L,1,Settings!$B$16)</f>
        <v/>
      </c>
    </row>
    <row r="85" spans="1:4" ht="15.75" customHeight="1" x14ac:dyDescent="0.25">
      <c r="A85" s="2" t="str" cm="1">
        <f t="array" ref="A85">choice(Salles!A:A,1,Settings!$B$16)</f>
        <v>Salle69</v>
      </c>
      <c r="B85" s="3" cm="1">
        <f t="array" ref="B85">alea_date(Settings!$B$11,360,-1,Settings!$B$16)</f>
        <v>46259.333333333336</v>
      </c>
      <c r="C85" s="20" cm="1">
        <f t="array" ref="C85">B85+TIME(alea_int(1,4,Settings!$B$16),0,0)</f>
        <v>46259.5</v>
      </c>
      <c r="D85" t="str" cm="1">
        <f t="array" ref="D85">choice(Settings!L:L,1,Settings!$B$16)</f>
        <v/>
      </c>
    </row>
    <row r="86" spans="1:4" ht="15.75" customHeight="1" x14ac:dyDescent="0.25">
      <c r="A86" s="2" t="str" cm="1">
        <f t="array" ref="A86">choice(Salles!A:A,1,Settings!$B$16)</f>
        <v>Salle55</v>
      </c>
      <c r="B86" s="3" cm="1">
        <f t="array" ref="B86">alea_date(Settings!$B$11,360,-1,Settings!$B$16)</f>
        <v>46265.416666666664</v>
      </c>
      <c r="C86" s="20" cm="1">
        <f t="array" ref="C86">B86+TIME(alea_int(1,4,Settings!$B$16),0,0)</f>
        <v>46265.583333333328</v>
      </c>
      <c r="D86" t="str" cm="1">
        <f t="array" ref="D86">choice(Settings!L:L,1,Settings!$B$16)</f>
        <v/>
      </c>
    </row>
    <row r="87" spans="1:4" ht="15.75" customHeight="1" x14ac:dyDescent="0.25">
      <c r="A87" s="2" t="str" cm="1">
        <f t="array" ref="A87">choice(Salles!A:A,1,Settings!$B$16)</f>
        <v>Salle37</v>
      </c>
      <c r="B87" s="3" cm="1">
        <f t="array" ref="B87">alea_date(Settings!$B$11,360,-1,Settings!$B$16)</f>
        <v>46092.25</v>
      </c>
      <c r="C87" s="20" cm="1">
        <f t="array" ref="C87">B87+TIME(alea_int(1,4,Settings!$B$16),0,0)</f>
        <v>46092.416666666664</v>
      </c>
      <c r="D87" t="str" cm="1">
        <f t="array" ref="D87">choice(Settings!L:L,1,Settings!$B$16)</f>
        <v/>
      </c>
    </row>
    <row r="88" spans="1:4" ht="15.75" customHeight="1" x14ac:dyDescent="0.25">
      <c r="A88" s="2" t="str" cm="1">
        <f t="array" ref="A88">choice(Salles!A:A,1,Settings!$B$16)</f>
        <v>Salle20</v>
      </c>
      <c r="B88" s="3" cm="1">
        <f t="array" ref="B88">alea_date(Settings!$B$11,360,-1,Settings!$B$16)</f>
        <v>46250.416666666664</v>
      </c>
      <c r="C88" s="20" cm="1">
        <f t="array" ref="C88">B88+TIME(alea_int(1,4,Settings!$B$16),0,0)</f>
        <v>46250.583333333328</v>
      </c>
      <c r="D88" t="str" cm="1">
        <f t="array" ref="D88">choice(Settings!L:L,1,Settings!$B$16)</f>
        <v/>
      </c>
    </row>
    <row r="89" spans="1:4" ht="15.75" customHeight="1" x14ac:dyDescent="0.25">
      <c r="A89" s="2" t="str" cm="1">
        <f t="array" ref="A89">choice(Salles!A:A,1,Settings!$B$16)</f>
        <v>Salle62</v>
      </c>
      <c r="B89" s="3" cm="1">
        <f t="array" ref="B89">alea_date(Settings!$B$11,360,-1,Settings!$B$16)</f>
        <v>46296.333333333336</v>
      </c>
      <c r="C89" s="20" cm="1">
        <f t="array" ref="C89">B89+TIME(alea_int(1,4,Settings!$B$16),0,0)</f>
        <v>46296.5</v>
      </c>
      <c r="D89" t="str" cm="1">
        <f t="array" ref="D89">choice(Settings!L:L,1,Settings!$B$16)</f>
        <v/>
      </c>
    </row>
    <row r="90" spans="1:4" ht="15.75" customHeight="1" x14ac:dyDescent="0.25">
      <c r="A90" s="2" t="str" cm="1">
        <f t="array" ref="A90">choice(Salles!A:A,1,Settings!$B$16)</f>
        <v>Salle31</v>
      </c>
      <c r="B90" s="3" cm="1">
        <f t="array" ref="B90">alea_date(Settings!$B$11,360,-1,Settings!$B$16)</f>
        <v>46157.541666666664</v>
      </c>
      <c r="C90" s="20" cm="1">
        <f t="array" ref="C90">B90+TIME(alea_int(1,4,Settings!$B$16),0,0)</f>
        <v>46157.708333333328</v>
      </c>
      <c r="D90" t="str" cm="1">
        <f t="array" ref="D90">choice(Settings!L:L,1,Settings!$B$16)</f>
        <v/>
      </c>
    </row>
    <row r="91" spans="1:4" ht="15.75" customHeight="1" x14ac:dyDescent="0.25">
      <c r="A91" s="2" t="str" cm="1">
        <f t="array" ref="A91">choice(Salles!A:A,1,Settings!$B$16)</f>
        <v>Salle4</v>
      </c>
      <c r="B91" s="3" cm="1">
        <f t="array" ref="B91">alea_date(Settings!$B$11,360,-1,Settings!$B$16)</f>
        <v>46220.583333333336</v>
      </c>
      <c r="C91" s="20" cm="1">
        <f t="array" ref="C91">B91+TIME(alea_int(1,4,Settings!$B$16),0,0)</f>
        <v>46220.75</v>
      </c>
      <c r="D91" t="str" cm="1">
        <f t="array" ref="D91">choice(Settings!L:L,1,Settings!$B$16)</f>
        <v/>
      </c>
    </row>
    <row r="92" spans="1:4" ht="15.75" customHeight="1" x14ac:dyDescent="0.25">
      <c r="A92" s="2" t="str" cm="1">
        <f t="array" ref="A92">choice(Salles!A:A,1,Settings!$B$16)</f>
        <v>Salle22</v>
      </c>
      <c r="B92" s="3" cm="1">
        <f t="array" ref="B92">alea_date(Settings!$B$11,360,-1,Settings!$B$16)</f>
        <v>46242.583333333336</v>
      </c>
      <c r="C92" s="20" cm="1">
        <f t="array" ref="C92">B92+TIME(alea_int(1,4,Settings!$B$16),0,0)</f>
        <v>46242.75</v>
      </c>
      <c r="D92" t="str" cm="1">
        <f t="array" ref="D92">choice(Settings!L:L,1,Settings!$B$16)</f>
        <v/>
      </c>
    </row>
    <row r="93" spans="1:4" ht="15.75" customHeight="1" x14ac:dyDescent="0.25">
      <c r="A93" s="2" t="str" cm="1">
        <f t="array" ref="A93">choice(Salles!A:A,1,Settings!$B$16)</f>
        <v>Salle26</v>
      </c>
      <c r="B93" s="3" cm="1">
        <f t="array" ref="B93">alea_date(Settings!$B$11,360,-1,Settings!$B$16)</f>
        <v>46298.375</v>
      </c>
      <c r="C93" s="20" cm="1">
        <f t="array" ref="C93">B93+TIME(alea_int(1,4,Settings!$B$16),0,0)</f>
        <v>46298.541666666664</v>
      </c>
      <c r="D93" t="str" cm="1">
        <f t="array" ref="D93">choice(Settings!L:L,1,Settings!$B$16)</f>
        <v/>
      </c>
    </row>
    <row r="94" spans="1:4" ht="15.75" customHeight="1" x14ac:dyDescent="0.25">
      <c r="A94" s="2" t="str" cm="1">
        <f t="array" ref="A94">choice(Salles!A:A,1,Settings!$B$16)</f>
        <v>Salle15</v>
      </c>
      <c r="B94" s="3" cm="1">
        <f t="array" ref="B94">alea_date(Settings!$B$11,360,-1,Settings!$B$16)</f>
        <v>46077.375</v>
      </c>
      <c r="C94" s="20" cm="1">
        <f t="array" ref="C94">B94+TIME(alea_int(1,4,Settings!$B$16),0,0)</f>
        <v>46077.541666666664</v>
      </c>
      <c r="D94" t="str" cm="1">
        <f t="array" ref="D94">choice(Settings!L:L,1,Settings!$B$16)</f>
        <v/>
      </c>
    </row>
    <row r="95" spans="1:4" ht="15.75" customHeight="1" x14ac:dyDescent="0.25">
      <c r="A95" s="2" t="str" cm="1">
        <f t="array" ref="A95">choice(Salles!A:A,1,Settings!$B$16)</f>
        <v>Salle12</v>
      </c>
      <c r="B95" s="3" cm="1">
        <f t="array" ref="B95">alea_date(Settings!$B$11,360,-1,Settings!$B$16)</f>
        <v>46288.416666666664</v>
      </c>
      <c r="C95" s="20" cm="1">
        <f t="array" ref="C95">B95+TIME(alea_int(1,4,Settings!$B$16),0,0)</f>
        <v>46288.583333333328</v>
      </c>
      <c r="D95" t="str" cm="1">
        <f t="array" ref="D95">choice(Settings!L:L,1,Settings!$B$16)</f>
        <v/>
      </c>
    </row>
    <row r="96" spans="1:4" ht="15.75" customHeight="1" x14ac:dyDescent="0.25">
      <c r="A96" s="2" t="str" cm="1">
        <f t="array" ref="A96">choice(Salles!A:A,1,Settings!$B$16)</f>
        <v>Salle24</v>
      </c>
      <c r="B96" s="3" cm="1">
        <f t="array" ref="B96">alea_date(Settings!$B$11,360,-1,Settings!$B$16)</f>
        <v>46089.458333333336</v>
      </c>
      <c r="C96" s="20" cm="1">
        <f t="array" ref="C96">B96+TIME(alea_int(1,4,Settings!$B$16),0,0)</f>
        <v>46089.625</v>
      </c>
      <c r="D96" t="str" cm="1">
        <f t="array" ref="D96">choice(Settings!L:L,1,Settings!$B$16)</f>
        <v>lundi</v>
      </c>
    </row>
    <row r="97" spans="1:4" ht="15.75" customHeight="1" x14ac:dyDescent="0.25">
      <c r="A97" s="2" t="str" cm="1">
        <f t="array" ref="A97">choice(Salles!A:A,1,Settings!$B$16)</f>
        <v>Salle58</v>
      </c>
      <c r="B97" s="3" cm="1">
        <f t="array" ref="B97">alea_date(Settings!$B$11,360,-1,Settings!$B$16)</f>
        <v>46025.625</v>
      </c>
      <c r="C97" s="20" cm="1">
        <f t="array" ref="C97">B97+TIME(alea_int(1,4,Settings!$B$16),0,0)</f>
        <v>46025.791666666664</v>
      </c>
      <c r="D97" t="str" cm="1">
        <f t="array" ref="D97">choice(Settings!L:L,1,Settings!$B$16)</f>
        <v/>
      </c>
    </row>
    <row r="98" spans="1:4" ht="15.75" customHeight="1" x14ac:dyDescent="0.25">
      <c r="A98" s="2" t="str" cm="1">
        <f t="array" ref="A98">choice(Salles!A:A,1,Settings!$B$16)</f>
        <v>Salle62</v>
      </c>
      <c r="B98" s="3" cm="1">
        <f t="array" ref="B98">alea_date(Settings!$B$11,360,-1,Settings!$B$16)</f>
        <v>46075.416666666664</v>
      </c>
      <c r="C98" s="20" cm="1">
        <f t="array" ref="C98">B98+TIME(alea_int(1,4,Settings!$B$16),0,0)</f>
        <v>46075.583333333328</v>
      </c>
      <c r="D98" t="str" cm="1">
        <f t="array" ref="D98">choice(Settings!L:L,1,Settings!$B$16)</f>
        <v>mercredi</v>
      </c>
    </row>
    <row r="99" spans="1:4" ht="15.75" customHeight="1" x14ac:dyDescent="0.25">
      <c r="A99" s="2" t="str" cm="1">
        <f t="array" ref="A99">choice(Salles!A:A,1,Settings!$B$16)</f>
        <v>Salle25</v>
      </c>
      <c r="B99" s="3" cm="1">
        <f t="array" ref="B99">alea_date(Settings!$B$11,360,-1,Settings!$B$16)</f>
        <v>46329.25</v>
      </c>
      <c r="C99" s="20" cm="1">
        <f t="array" ref="C99">B99+TIME(alea_int(1,4,Settings!$B$16),0,0)</f>
        <v>46329.416666666664</v>
      </c>
      <c r="D99" t="str" cm="1">
        <f t="array" ref="D99">choice(Settings!L:L,1,Settings!$B$16)</f>
        <v/>
      </c>
    </row>
    <row r="100" spans="1:4" ht="15.75" customHeight="1" x14ac:dyDescent="0.25">
      <c r="A100" s="2" t="str" cm="1">
        <f t="array" ref="A100">choice(Salles!A:A,1,Settings!$B$16)</f>
        <v>Salle35</v>
      </c>
      <c r="B100" s="3" cm="1">
        <f t="array" ref="B100">alea_date(Settings!$B$11,360,-1,Settings!$B$16)</f>
        <v>46267.5</v>
      </c>
      <c r="C100" s="20" cm="1">
        <f t="array" ref="C100">B100+TIME(alea_int(1,4,Settings!$B$16),0,0)</f>
        <v>46267.666666666664</v>
      </c>
      <c r="D100" t="str" cm="1">
        <f t="array" ref="D100">choice(Settings!L:L,1,Settings!$B$16)</f>
        <v/>
      </c>
    </row>
    <row r="101" spans="1:4" ht="15.75" customHeight="1" x14ac:dyDescent="0.25">
      <c r="A101" s="2" t="str" cm="1">
        <f t="array" ref="A101">choice(Salles!A:A,1,Settings!$B$16)</f>
        <v>Salle37</v>
      </c>
      <c r="B101" s="3" cm="1">
        <f t="array" ref="B101">alea_date(Settings!$B$11,360,-1,Settings!$B$16)</f>
        <v>46037.416666666664</v>
      </c>
      <c r="C101" s="20" cm="1">
        <f t="array" ref="C101">B101+TIME(alea_int(1,4,Settings!$B$16),0,0)</f>
        <v>46037.583333333328</v>
      </c>
      <c r="D101" t="str" cm="1">
        <f t="array" ref="D101">choice(Settings!L:L,1,Settings!$B$16)</f>
        <v/>
      </c>
    </row>
    <row r="102" spans="1:4" ht="15.75" customHeight="1" x14ac:dyDescent="0.25">
      <c r="A102" s="2" t="str" cm="1">
        <f t="array" ref="A102">choice(Salles!A:A,1,Settings!$B$16)</f>
        <v>Salle13</v>
      </c>
      <c r="B102" s="3" cm="1">
        <f t="array" ref="B102">alea_date(Settings!$B$11,360,-1,Settings!$B$16)</f>
        <v>46365.416666666664</v>
      </c>
      <c r="C102" s="20" cm="1">
        <f t="array" ref="C102">B102+TIME(alea_int(1,4,Settings!$B$16),0,0)</f>
        <v>46365.583333333328</v>
      </c>
      <c r="D102" t="str" cm="1">
        <f t="array" ref="D102">choice(Settings!L:L,1,Settings!$B$16)</f>
        <v/>
      </c>
    </row>
    <row r="103" spans="1:4" ht="15.75" customHeight="1" x14ac:dyDescent="0.25">
      <c r="A103" s="2" t="str" cm="1">
        <f t="array" ref="A103">choice(Salles!A:A,1,Settings!$B$16)</f>
        <v>Salle10</v>
      </c>
      <c r="B103" s="3" cm="1">
        <f t="array" ref="B103">alea_date(Settings!$B$11,360,-1,Settings!$B$16)</f>
        <v>46042.333333333336</v>
      </c>
      <c r="C103" s="20" cm="1">
        <f t="array" ref="C103">B103+TIME(alea_int(1,4,Settings!$B$16),0,0)</f>
        <v>46042.5</v>
      </c>
      <c r="D103" t="str" cm="1">
        <f t="array" ref="D103">choice(Settings!L:L,1,Settings!$B$16)</f>
        <v/>
      </c>
    </row>
    <row r="104" spans="1:4" ht="15.75" customHeight="1" x14ac:dyDescent="0.25">
      <c r="A104" s="2" t="str" cm="1">
        <f t="array" ref="A104">choice(Salles!A:A,1,Settings!$B$16)</f>
        <v>Salle70</v>
      </c>
      <c r="B104" s="3" cm="1">
        <f t="array" ref="B104">alea_date(Settings!$B$11,360,-1,Settings!$B$16)</f>
        <v>46371.625</v>
      </c>
      <c r="C104" s="20" cm="1">
        <f t="array" ref="C104">B104+TIME(alea_int(1,4,Settings!$B$16),0,0)</f>
        <v>46371.791666666664</v>
      </c>
      <c r="D104" t="str" cm="1">
        <f t="array" ref="D104">choice(Settings!L:L,1,Settings!$B$16)</f>
        <v/>
      </c>
    </row>
    <row r="105" spans="1:4" ht="15.75" customHeight="1" x14ac:dyDescent="0.25">
      <c r="A105" s="2" t="str" cm="1">
        <f t="array" ref="A105">choice(Salles!A:A,1,Settings!$B$16)</f>
        <v>Salle20</v>
      </c>
      <c r="B105" s="3" cm="1">
        <f t="array" ref="B105">alea_date(Settings!$B$11,360,-1,Settings!$B$16)</f>
        <v>46187.291666666664</v>
      </c>
      <c r="C105" s="20" cm="1">
        <f t="array" ref="C105">B105+TIME(alea_int(1,4,Settings!$B$16),0,0)</f>
        <v>46187.458333333328</v>
      </c>
      <c r="D105" t="str" cm="1">
        <f t="array" ref="D105">choice(Settings!L:L,1,Settings!$B$16)</f>
        <v/>
      </c>
    </row>
    <row r="106" spans="1:4" ht="15.75" customHeight="1" x14ac:dyDescent="0.25">
      <c r="A106" s="2" t="str" cm="1">
        <f t="array" ref="A106">choice(Salles!A:A,1,Settings!$B$16)</f>
        <v>Salle54</v>
      </c>
      <c r="B106" s="3" cm="1">
        <f t="array" ref="B106">alea_date(Settings!$B$11,360,-1,Settings!$B$16)</f>
        <v>46095.375</v>
      </c>
      <c r="C106" s="20" cm="1">
        <f t="array" ref="C106">B106+TIME(alea_int(1,4,Settings!$B$16),0,0)</f>
        <v>46095.541666666664</v>
      </c>
      <c r="D106" t="str" cm="1">
        <f t="array" ref="D106">choice(Settings!L:L,1,Settings!$B$16)</f>
        <v/>
      </c>
    </row>
    <row r="107" spans="1:4" ht="15.75" customHeight="1" x14ac:dyDescent="0.25">
      <c r="A107" s="2" t="str" cm="1">
        <f t="array" ref="A107">choice(Salles!A:A,1,Settings!$B$16)</f>
        <v>Salle12</v>
      </c>
      <c r="B107" s="3" cm="1">
        <f t="array" ref="B107">alea_date(Settings!$B$11,360,-1,Settings!$B$16)</f>
        <v>46205.458333333336</v>
      </c>
      <c r="C107" s="20" cm="1">
        <f t="array" ref="C107">B107+TIME(alea_int(1,4,Settings!$B$16),0,0)</f>
        <v>46205.625</v>
      </c>
      <c r="D107" t="str" cm="1">
        <f t="array" ref="D107">choice(Settings!L:L,1,Settings!$B$16)</f>
        <v/>
      </c>
    </row>
    <row r="108" spans="1:4" ht="15.75" customHeight="1" x14ac:dyDescent="0.25">
      <c r="A108" s="2" t="str" cm="1">
        <f t="array" ref="A108">choice(Salles!A:A,1,Settings!$B$16)</f>
        <v>Salle31</v>
      </c>
      <c r="B108" s="3" cm="1">
        <f t="array" ref="B108">alea_date(Settings!$B$11,360,-1,Settings!$B$16)</f>
        <v>46218.625</v>
      </c>
      <c r="C108" s="20" cm="1">
        <f t="array" ref="C108">B108+TIME(alea_int(1,4,Settings!$B$16),0,0)</f>
        <v>46218.791666666664</v>
      </c>
      <c r="D108" t="str" cm="1">
        <f t="array" ref="D108">choice(Settings!L:L,1,Settings!$B$16)</f>
        <v/>
      </c>
    </row>
    <row r="109" spans="1:4" ht="15.75" customHeight="1" x14ac:dyDescent="0.25">
      <c r="A109" s="2" t="str" cm="1">
        <f t="array" ref="A109">choice(Salles!A:A,1,Settings!$B$16)</f>
        <v>Salle70</v>
      </c>
      <c r="B109" s="3" cm="1">
        <f t="array" ref="B109">alea_date(Settings!$B$11,360,-1,Settings!$B$16)</f>
        <v>46066.416666666664</v>
      </c>
      <c r="C109" s="20" cm="1">
        <f t="array" ref="C109">B109+TIME(alea_int(1,4,Settings!$B$16),0,0)</f>
        <v>46066.583333333328</v>
      </c>
      <c r="D109" t="str" cm="1">
        <f t="array" ref="D109">choice(Settings!L:L,1,Settings!$B$16)</f>
        <v/>
      </c>
    </row>
    <row r="110" spans="1:4" ht="15.75" customHeight="1" x14ac:dyDescent="0.25">
      <c r="A110" s="2" t="str" cm="1">
        <f t="array" ref="A110">choice(Salles!A:A,1,Settings!$B$16)</f>
        <v>Salle26</v>
      </c>
      <c r="B110" s="3" cm="1">
        <f t="array" ref="B110">alea_date(Settings!$B$11,360,-1,Settings!$B$16)</f>
        <v>46207.416666666664</v>
      </c>
      <c r="C110" s="20" cm="1">
        <f t="array" ref="C110">B110+TIME(alea_int(1,4,Settings!$B$16),0,0)</f>
        <v>46207.583333333328</v>
      </c>
      <c r="D110" t="str" cm="1">
        <f t="array" ref="D110">choice(Settings!L:L,1,Settings!$B$16)</f>
        <v/>
      </c>
    </row>
    <row r="111" spans="1:4" ht="15.75" customHeight="1" x14ac:dyDescent="0.25">
      <c r="A111" s="2" t="str" cm="1">
        <f t="array" ref="A111">choice(Salles!A:A,1,Settings!$B$16)</f>
        <v>Salle22</v>
      </c>
      <c r="B111" s="3" cm="1">
        <f t="array" ref="B111">alea_date(Settings!$B$11,360,-1,Settings!$B$16)</f>
        <v>46104.25</v>
      </c>
      <c r="C111" s="20" cm="1">
        <f t="array" ref="C111">B111+TIME(alea_int(1,4,Settings!$B$16),0,0)</f>
        <v>46104.416666666664</v>
      </c>
      <c r="D111" t="str" cm="1">
        <f t="array" ref="D111">choice(Settings!L:L,1,Settings!$B$16)</f>
        <v/>
      </c>
    </row>
    <row r="112" spans="1:4" ht="15.75" customHeight="1" x14ac:dyDescent="0.25">
      <c r="A112" s="2" t="str" cm="1">
        <f t="array" ref="A112">choice(Salles!A:A,1,Settings!$B$16)</f>
        <v>Salle27</v>
      </c>
      <c r="B112" s="3" cm="1">
        <f t="array" ref="B112">alea_date(Settings!$B$11,360,-1,Settings!$B$16)</f>
        <v>46335.333333333336</v>
      </c>
      <c r="C112" s="20" cm="1">
        <f t="array" ref="C112">B112+TIME(alea_int(1,4,Settings!$B$16),0,0)</f>
        <v>46335.5</v>
      </c>
      <c r="D112" t="str" cm="1">
        <f t="array" ref="D112">choice(Settings!L:L,1,Settings!$B$16)</f>
        <v/>
      </c>
    </row>
    <row r="113" spans="1:4" ht="15.75" customHeight="1" x14ac:dyDescent="0.25">
      <c r="A113" s="2" t="str" cm="1">
        <f t="array" ref="A113">choice(Salles!A:A,1,Settings!$B$16)</f>
        <v>Salle25</v>
      </c>
      <c r="B113" s="3" cm="1">
        <f t="array" ref="B113">alea_date(Settings!$B$11,360,-1,Settings!$B$16)</f>
        <v>46093.583333333336</v>
      </c>
      <c r="C113" s="20" cm="1">
        <f t="array" ref="C113">B113+TIME(alea_int(1,4,Settings!$B$16),0,0)</f>
        <v>46093.75</v>
      </c>
      <c r="D113" t="str" cm="1">
        <f t="array" ref="D113">choice(Settings!L:L,1,Settings!$B$16)</f>
        <v/>
      </c>
    </row>
    <row r="114" spans="1:4" ht="15.75" customHeight="1" x14ac:dyDescent="0.25">
      <c r="A114" s="2" t="str" cm="1">
        <f t="array" ref="A114">choice(Salles!A:A,1,Settings!$B$16)</f>
        <v>Salle1</v>
      </c>
      <c r="B114" s="3" cm="1">
        <f t="array" ref="B114">alea_date(Settings!$B$11,360,-1,Settings!$B$16)</f>
        <v>46094.5</v>
      </c>
      <c r="C114" s="20" cm="1">
        <f t="array" ref="C114">B114+TIME(alea_int(1,4,Settings!$B$16),0,0)</f>
        <v>46094.666666666664</v>
      </c>
      <c r="D114" t="str" cm="1">
        <f t="array" ref="D114">choice(Settings!L:L,1,Settings!$B$16)</f>
        <v/>
      </c>
    </row>
    <row r="115" spans="1:4" ht="15.75" customHeight="1" x14ac:dyDescent="0.25">
      <c r="A115" s="2" t="str" cm="1">
        <f t="array" ref="A115">choice(Salles!A:A,1,Settings!$B$16)</f>
        <v>Salle48</v>
      </c>
      <c r="B115" s="3" cm="1">
        <f t="array" ref="B115">alea_date(Settings!$B$11,360,-1,Settings!$B$16)</f>
        <v>46023.541666666664</v>
      </c>
      <c r="C115" s="20" cm="1">
        <f t="array" ref="C115">B115+TIME(alea_int(1,4,Settings!$B$16),0,0)</f>
        <v>46023.708333333328</v>
      </c>
      <c r="D115" t="str" cm="1">
        <f t="array" ref="D115">choice(Settings!L:L,1,Settings!$B$16)</f>
        <v/>
      </c>
    </row>
    <row r="116" spans="1:4" ht="15.75" customHeight="1" x14ac:dyDescent="0.25">
      <c r="A116" s="2" t="str" cm="1">
        <f t="array" ref="A116">choice(Salles!A:A,1,Settings!$B$16)</f>
        <v>Salle62</v>
      </c>
      <c r="B116" s="3" cm="1">
        <f t="array" ref="B116">alea_date(Settings!$B$11,360,-1,Settings!$B$16)</f>
        <v>46200.375</v>
      </c>
      <c r="C116" s="20" cm="1">
        <f t="array" ref="C116">B116+TIME(alea_int(1,4,Settings!$B$16),0,0)</f>
        <v>46200.541666666664</v>
      </c>
      <c r="D116" t="str" cm="1">
        <f t="array" ref="D116">choice(Settings!L:L,1,Settings!$B$16)</f>
        <v/>
      </c>
    </row>
    <row r="117" spans="1:4" ht="15.75" customHeight="1" x14ac:dyDescent="0.25">
      <c r="A117" s="2" t="str" cm="1">
        <f t="array" ref="A117">choice(Salles!A:A,1,Settings!$B$16)</f>
        <v>Salle7</v>
      </c>
      <c r="B117" s="3" cm="1">
        <f t="array" ref="B117">alea_date(Settings!$B$11,360,-1,Settings!$B$16)</f>
        <v>46273.375</v>
      </c>
      <c r="C117" s="20" cm="1">
        <f t="array" ref="C117">B117+TIME(alea_int(1,4,Settings!$B$16),0,0)</f>
        <v>46273.541666666664</v>
      </c>
      <c r="D117" t="str" cm="1">
        <f t="array" ref="D117">choice(Settings!L:L,1,Settings!$B$16)</f>
        <v/>
      </c>
    </row>
    <row r="118" spans="1:4" ht="15.75" customHeight="1" x14ac:dyDescent="0.25">
      <c r="A118" s="2" t="str" cm="1">
        <f t="array" ref="A118">choice(Salles!A:A,1,Settings!$B$16)</f>
        <v>Salle18</v>
      </c>
      <c r="B118" s="3" cm="1">
        <f t="array" ref="B118">alea_date(Settings!$B$11,360,-1,Settings!$B$16)</f>
        <v>46369.458333333336</v>
      </c>
      <c r="C118" s="20" cm="1">
        <f t="array" ref="C118">B118+TIME(alea_int(1,4,Settings!$B$16),0,0)</f>
        <v>46369.625</v>
      </c>
      <c r="D118" t="str" cm="1">
        <f t="array" ref="D118">choice(Settings!L:L,1,Settings!$B$16)</f>
        <v/>
      </c>
    </row>
    <row r="119" spans="1:4" ht="15.75" customHeight="1" x14ac:dyDescent="0.25">
      <c r="A119" s="2" t="str" cm="1">
        <f t="array" ref="A119">choice(Salles!A:A,1,Settings!$B$16)</f>
        <v>Salle61</v>
      </c>
      <c r="B119" s="3" cm="1">
        <f t="array" ref="B119">alea_date(Settings!$B$11,360,-1,Settings!$B$16)</f>
        <v>46152.291666666664</v>
      </c>
      <c r="C119" s="20" cm="1">
        <f t="array" ref="C119">B119+TIME(alea_int(1,4,Settings!$B$16),0,0)</f>
        <v>46152.458333333328</v>
      </c>
      <c r="D119" t="str" cm="1">
        <f t="array" ref="D119">choice(Settings!L:L,1,Settings!$B$16)</f>
        <v/>
      </c>
    </row>
    <row r="120" spans="1:4" ht="15.75" customHeight="1" x14ac:dyDescent="0.25">
      <c r="A120" s="2" t="str" cm="1">
        <f t="array" ref="A120">choice(Salles!A:A,1,Settings!$B$16)</f>
        <v>Salle57</v>
      </c>
      <c r="B120" s="3" cm="1">
        <f t="array" ref="B120">alea_date(Settings!$B$11,360,-1,Settings!$B$16)</f>
        <v>46197.416666666664</v>
      </c>
      <c r="C120" s="20" cm="1">
        <f t="array" ref="C120">B120+TIME(alea_int(1,4,Settings!$B$16),0,0)</f>
        <v>46197.583333333328</v>
      </c>
      <c r="D120" t="str" cm="1">
        <f t="array" ref="D120">choice(Settings!L:L,1,Settings!$B$16)</f>
        <v/>
      </c>
    </row>
    <row r="121" spans="1:4" ht="15.75" customHeight="1" x14ac:dyDescent="0.25">
      <c r="A121" s="2" t="str" cm="1">
        <f t="array" ref="A121">choice(Salles!A:A,1,Settings!$B$16)</f>
        <v>Salle46</v>
      </c>
      <c r="B121" s="3" cm="1">
        <f t="array" ref="B121">alea_date(Settings!$B$11,360,-1,Settings!$B$16)</f>
        <v>46325.25</v>
      </c>
      <c r="C121" s="20" cm="1">
        <f t="array" ref="C121">B121+TIME(alea_int(1,4,Settings!$B$16),0,0)</f>
        <v>46325.416666666664</v>
      </c>
      <c r="D121" t="str" cm="1">
        <f t="array" ref="D121">choice(Settings!L:L,1,Settings!$B$16)</f>
        <v/>
      </c>
    </row>
    <row r="122" spans="1:4" ht="15.75" customHeight="1" x14ac:dyDescent="0.25">
      <c r="A122" s="2" t="str" cm="1">
        <f t="array" ref="A122">choice(Salles!A:A,1,Settings!$B$16)</f>
        <v>Salle60</v>
      </c>
      <c r="B122" s="3" cm="1">
        <f t="array" ref="B122">alea_date(Settings!$B$11,360,-1,Settings!$B$16)</f>
        <v>46043.458333333336</v>
      </c>
      <c r="C122" s="20" cm="1">
        <f t="array" ref="C122">B122+TIME(alea_int(1,4,Settings!$B$16),0,0)</f>
        <v>46043.625</v>
      </c>
      <c r="D122" t="str" cm="1">
        <f t="array" ref="D122">choice(Settings!L:L,1,Settings!$B$16)</f>
        <v/>
      </c>
    </row>
    <row r="123" spans="1:4" ht="15.75" customHeight="1" x14ac:dyDescent="0.25">
      <c r="A123" s="2" t="str" cm="1">
        <f t="array" ref="A123">choice(Salles!A:A,1,Settings!$B$16)</f>
        <v>Salle69</v>
      </c>
      <c r="B123" s="3" cm="1">
        <f t="array" ref="B123">alea_date(Settings!$B$11,360,-1,Settings!$B$16)</f>
        <v>46137.458333333336</v>
      </c>
      <c r="C123" s="20" cm="1">
        <f t="array" ref="C123">B123+TIME(alea_int(1,4,Settings!$B$16),0,0)</f>
        <v>46137.625</v>
      </c>
      <c r="D123" t="str" cm="1">
        <f t="array" ref="D123">choice(Settings!L:L,1,Settings!$B$16)</f>
        <v/>
      </c>
    </row>
    <row r="124" spans="1:4" ht="15.75" customHeight="1" x14ac:dyDescent="0.25">
      <c r="A124" s="2" t="str" cm="1">
        <f t="array" ref="A124">choice(Salles!A:A,1,Settings!$B$16)</f>
        <v>Salle56</v>
      </c>
      <c r="B124" s="3" cm="1">
        <f t="array" ref="B124">alea_date(Settings!$B$11,360,-1,Settings!$B$16)</f>
        <v>46221.375</v>
      </c>
      <c r="C124" s="20" cm="1">
        <f t="array" ref="C124">B124+TIME(alea_int(1,4,Settings!$B$16),0,0)</f>
        <v>46221.541666666664</v>
      </c>
      <c r="D124" t="str" cm="1">
        <f t="array" ref="D124">choice(Settings!L:L,1,Settings!$B$16)</f>
        <v/>
      </c>
    </row>
    <row r="125" spans="1:4" ht="15.75" customHeight="1" x14ac:dyDescent="0.25">
      <c r="A125" s="2" t="str" cm="1">
        <f t="array" ref="A125">choice(Salles!A:A,1,Settings!$B$16)</f>
        <v>Salle70</v>
      </c>
      <c r="B125" s="3" cm="1">
        <f t="array" ref="B125">alea_date(Settings!$B$11,360,-1,Settings!$B$16)</f>
        <v>46202.583333333336</v>
      </c>
      <c r="C125" s="20" cm="1">
        <f t="array" ref="C125">B125+TIME(alea_int(1,4,Settings!$B$16),0,0)</f>
        <v>46202.75</v>
      </c>
      <c r="D125" t="str" cm="1">
        <f t="array" ref="D125">choice(Settings!L:L,1,Settings!$B$16)</f>
        <v/>
      </c>
    </row>
    <row r="126" spans="1:4" ht="15.75" customHeight="1" x14ac:dyDescent="0.25">
      <c r="A126" s="2" t="str" cm="1">
        <f t="array" ref="A126">choice(Salles!A:A,1,Settings!$B$16)</f>
        <v>Salle14</v>
      </c>
      <c r="B126" s="3" cm="1">
        <f t="array" ref="B126">alea_date(Settings!$B$11,360,-1,Settings!$B$16)</f>
        <v>46090.25</v>
      </c>
      <c r="C126" s="20" cm="1">
        <f t="array" ref="C126">B126+TIME(alea_int(1,4,Settings!$B$16),0,0)</f>
        <v>46090.416666666664</v>
      </c>
      <c r="D126" t="str" cm="1">
        <f t="array" ref="D126">choice(Settings!L:L,1,Settings!$B$16)</f>
        <v/>
      </c>
    </row>
    <row r="127" spans="1:4" ht="15.75" customHeight="1" x14ac:dyDescent="0.25">
      <c r="A127" s="2" t="str" cm="1">
        <f t="array" ref="A127">choice(Salles!A:A,1,Settings!$B$16)</f>
        <v>Salle24</v>
      </c>
      <c r="B127" s="3" cm="1">
        <f t="array" ref="B127">alea_date(Settings!$B$11,360,-1,Settings!$B$16)</f>
        <v>46309.583333333336</v>
      </c>
      <c r="C127" s="20" cm="1">
        <f t="array" ref="C127">B127+TIME(alea_int(1,4,Settings!$B$16),0,0)</f>
        <v>46309.75</v>
      </c>
      <c r="D127" t="str" cm="1">
        <f t="array" ref="D127">choice(Settings!L:L,1,Settings!$B$16)</f>
        <v/>
      </c>
    </row>
    <row r="128" spans="1:4" ht="15.75" customHeight="1" x14ac:dyDescent="0.25">
      <c r="A128" s="2" t="str" cm="1">
        <f t="array" ref="A128">choice(Salles!A:A,1,Settings!$B$16)</f>
        <v>Salle66</v>
      </c>
      <c r="B128" s="3" cm="1">
        <f t="array" ref="B128">alea_date(Settings!$B$11,360,-1,Settings!$B$16)</f>
        <v>46115.375</v>
      </c>
      <c r="C128" s="20" cm="1">
        <f t="array" ref="C128">B128+TIME(alea_int(1,4,Settings!$B$16),0,0)</f>
        <v>46115.541666666664</v>
      </c>
      <c r="D128" t="str" cm="1">
        <f t="array" ref="D128">choice(Settings!L:L,1,Settings!$B$16)</f>
        <v>vendredi</v>
      </c>
    </row>
    <row r="129" spans="1:4" ht="15.75" customHeight="1" x14ac:dyDescent="0.25">
      <c r="A129" s="2" t="str" cm="1">
        <f t="array" ref="A129">choice(Salles!A:A,1,Settings!$B$16)</f>
        <v>Salle66</v>
      </c>
      <c r="B129" s="3" cm="1">
        <f t="array" ref="B129">alea_date(Settings!$B$11,360,-1,Settings!$B$16)</f>
        <v>46249.541666666664</v>
      </c>
      <c r="C129" s="20" cm="1">
        <f t="array" ref="C129">B129+TIME(alea_int(1,4,Settings!$B$16),0,0)</f>
        <v>46249.708333333328</v>
      </c>
      <c r="D129" t="str" cm="1">
        <f t="array" ref="D129">choice(Settings!L:L,1,Settings!$B$16)</f>
        <v/>
      </c>
    </row>
    <row r="130" spans="1:4" ht="15.75" customHeight="1" x14ac:dyDescent="0.25">
      <c r="A130" s="2" t="str" cm="1">
        <f t="array" ref="A130">choice(Salles!A:A,1,Settings!$B$16)</f>
        <v>Salle55</v>
      </c>
      <c r="B130" s="3" cm="1">
        <f t="array" ref="B130">alea_date(Settings!$B$11,360,-1,Settings!$B$16)</f>
        <v>46247.458333333336</v>
      </c>
      <c r="C130" s="20" cm="1">
        <f t="array" ref="C130">B130+TIME(alea_int(1,4,Settings!$B$16),0,0)</f>
        <v>46247.625</v>
      </c>
      <c r="D130" t="str" cm="1">
        <f t="array" ref="D130">choice(Settings!L:L,1,Settings!$B$16)</f>
        <v/>
      </c>
    </row>
    <row r="131" spans="1:4" ht="15.75" customHeight="1" x14ac:dyDescent="0.25">
      <c r="A131" s="2" t="str" cm="1">
        <f t="array" ref="A131">choice(Salles!A:A,1,Settings!$B$16)</f>
        <v>Salle5</v>
      </c>
      <c r="B131" s="3" cm="1">
        <f t="array" ref="B131">alea_date(Settings!$B$11,360,-1,Settings!$B$16)</f>
        <v>46150.416666666664</v>
      </c>
      <c r="C131" s="20" cm="1">
        <f t="array" ref="C131">B131+TIME(alea_int(1,4,Settings!$B$16),0,0)</f>
        <v>46150.583333333328</v>
      </c>
      <c r="D131" t="str" cm="1">
        <f t="array" ref="D131">choice(Settings!L:L,1,Settings!$B$16)</f>
        <v>mardi</v>
      </c>
    </row>
    <row r="132" spans="1:4" ht="15.75" customHeight="1" x14ac:dyDescent="0.25">
      <c r="A132" s="2" t="str" cm="1">
        <f t="array" ref="A132">choice(Salles!A:A,1,Settings!$B$16)</f>
        <v>Salle68</v>
      </c>
      <c r="B132" s="3" cm="1">
        <f t="array" ref="B132">alea_date(Settings!$B$11,360,-1,Settings!$B$16)</f>
        <v>46197.291666666664</v>
      </c>
      <c r="C132" s="20" cm="1">
        <f t="array" ref="C132">B132+TIME(alea_int(1,4,Settings!$B$16),0,0)</f>
        <v>46197.458333333328</v>
      </c>
      <c r="D132" t="str" cm="1">
        <f t="array" ref="D132">choice(Settings!L:L,1,Settings!$B$16)</f>
        <v/>
      </c>
    </row>
    <row r="133" spans="1:4" ht="15.75" customHeight="1" x14ac:dyDescent="0.25">
      <c r="A133" s="2" t="str" cm="1">
        <f t="array" ref="A133">choice(Salles!A:A,1,Settings!$B$16)</f>
        <v>Salle69</v>
      </c>
      <c r="B133" s="3" cm="1">
        <f t="array" ref="B133">alea_date(Settings!$B$11,360,-1,Settings!$B$16)</f>
        <v>46159.583333333336</v>
      </c>
      <c r="C133" s="20" cm="1">
        <f t="array" ref="C133">B133+TIME(alea_int(1,4,Settings!$B$16),0,0)</f>
        <v>46159.75</v>
      </c>
      <c r="D133" t="str" cm="1">
        <f t="array" ref="D133">choice(Settings!L:L,1,Settings!$B$16)</f>
        <v/>
      </c>
    </row>
    <row r="134" spans="1:4" ht="15.75" customHeight="1" x14ac:dyDescent="0.25">
      <c r="A134" s="2" t="str" cm="1">
        <f t="array" ref="A134">choice(Salles!A:A,1,Settings!$B$16)</f>
        <v>Salle29</v>
      </c>
      <c r="B134" s="3" cm="1">
        <f t="array" ref="B134">alea_date(Settings!$B$11,360,-1,Settings!$B$16)</f>
        <v>46345.541666666664</v>
      </c>
      <c r="C134" s="20" cm="1">
        <f t="array" ref="C134">B134+TIME(alea_int(1,4,Settings!$B$16),0,0)</f>
        <v>46345.708333333328</v>
      </c>
      <c r="D134" t="str" cm="1">
        <f t="array" ref="D134">choice(Settings!L:L,1,Settings!$B$16)</f>
        <v/>
      </c>
    </row>
    <row r="135" spans="1:4" ht="15.75" customHeight="1" x14ac:dyDescent="0.25">
      <c r="A135" s="2" t="str" cm="1">
        <f t="array" ref="A135">choice(Salles!A:A,1,Settings!$B$16)</f>
        <v>Salle5</v>
      </c>
      <c r="B135" s="3" cm="1">
        <f t="array" ref="B135">alea_date(Settings!$B$11,360,-1,Settings!$B$16)</f>
        <v>46157.291666666664</v>
      </c>
      <c r="C135" s="20" cm="1">
        <f t="array" ref="C135">B135+TIME(alea_int(1,4,Settings!$B$16),0,0)</f>
        <v>46157.458333333328</v>
      </c>
      <c r="D135" t="str" cm="1">
        <f t="array" ref="D135">choice(Settings!L:L,1,Settings!$B$16)</f>
        <v/>
      </c>
    </row>
    <row r="136" spans="1:4" ht="15.75" customHeight="1" x14ac:dyDescent="0.25">
      <c r="A136" s="2" t="str" cm="1">
        <f t="array" ref="A136">choice(Salles!A:A,1,Settings!$B$16)</f>
        <v>Salle25</v>
      </c>
      <c r="B136" s="3" cm="1">
        <f t="array" ref="B136">alea_date(Settings!$B$11,360,-1,Settings!$B$16)</f>
        <v>46287.25</v>
      </c>
      <c r="C136" s="20" cm="1">
        <f t="array" ref="C136">B136+TIME(alea_int(1,4,Settings!$B$16),0,0)</f>
        <v>46287.416666666664</v>
      </c>
      <c r="D136" t="str" cm="1">
        <f t="array" ref="D136">choice(Settings!L:L,1,Settings!$B$16)</f>
        <v/>
      </c>
    </row>
    <row r="137" spans="1:4" ht="15.75" customHeight="1" x14ac:dyDescent="0.25">
      <c r="A137" s="2" t="str" cm="1">
        <f t="array" ref="A137">choice(Salles!A:A,1,Settings!$B$16)</f>
        <v>Salle22</v>
      </c>
      <c r="B137" s="3" cm="1">
        <f t="array" ref="B137">alea_date(Settings!$B$11,360,-1,Settings!$B$16)</f>
        <v>46153.625</v>
      </c>
      <c r="C137" s="20" cm="1">
        <f t="array" ref="C137">B137+TIME(alea_int(1,4,Settings!$B$16),0,0)</f>
        <v>46153.791666666664</v>
      </c>
      <c r="D137" t="str" cm="1">
        <f t="array" ref="D137">choice(Settings!L:L,1,Settings!$B$16)</f>
        <v/>
      </c>
    </row>
    <row r="138" spans="1:4" ht="15.75" customHeight="1" x14ac:dyDescent="0.25">
      <c r="A138" s="2" t="str" cm="1">
        <f t="array" ref="A138">choice(Salles!A:A,1,Settings!$B$16)</f>
        <v>Salle18</v>
      </c>
      <c r="B138" s="3" cm="1">
        <f t="array" ref="B138">alea_date(Settings!$B$11,360,-1,Settings!$B$16)</f>
        <v>46317.541666666664</v>
      </c>
      <c r="C138" s="20" cm="1">
        <f t="array" ref="C138">B138+TIME(alea_int(1,4,Settings!$B$16),0,0)</f>
        <v>46317.708333333328</v>
      </c>
      <c r="D138" t="str" cm="1">
        <f t="array" ref="D138">choice(Settings!L:L,1,Settings!$B$16)</f>
        <v>mardi</v>
      </c>
    </row>
    <row r="139" spans="1:4" ht="15.75" customHeight="1" x14ac:dyDescent="0.25">
      <c r="A139" s="2" t="str" cm="1">
        <f t="array" ref="A139">choice(Salles!A:A,1,Settings!$B$16)</f>
        <v>Salle58</v>
      </c>
      <c r="B139" s="3" cm="1">
        <f t="array" ref="B139">alea_date(Settings!$B$11,360,-1,Settings!$B$16)</f>
        <v>46307.5</v>
      </c>
      <c r="C139" s="20" cm="1">
        <f t="array" ref="C139">B139+TIME(alea_int(1,4,Settings!$B$16),0,0)</f>
        <v>46307.666666666664</v>
      </c>
      <c r="D139" t="str" cm="1">
        <f t="array" ref="D139">choice(Settings!L:L,1,Settings!$B$16)</f>
        <v/>
      </c>
    </row>
    <row r="140" spans="1:4" ht="15.75" customHeight="1" x14ac:dyDescent="0.25">
      <c r="A140" s="2" t="str" cm="1">
        <f t="array" ref="A140">choice(Salles!A:A,1,Settings!$B$16)</f>
        <v>Salle60</v>
      </c>
      <c r="B140" s="3" cm="1">
        <f t="array" ref="B140">alea_date(Settings!$B$11,360,-1,Settings!$B$16)</f>
        <v>46365.541666666664</v>
      </c>
      <c r="C140" s="20" cm="1">
        <f t="array" ref="C140">B140+TIME(alea_int(1,4,Settings!$B$16),0,0)</f>
        <v>46365.708333333328</v>
      </c>
      <c r="D140" t="str" cm="1">
        <f t="array" ref="D140">choice(Settings!L:L,1,Settings!$B$16)</f>
        <v/>
      </c>
    </row>
    <row r="141" spans="1:4" ht="15.75" customHeight="1" x14ac:dyDescent="0.25">
      <c r="A141" s="2" t="str" cm="1">
        <f t="array" ref="A141">choice(Salles!A:A,1,Settings!$B$16)</f>
        <v>Salle31</v>
      </c>
      <c r="B141" s="3" cm="1">
        <f t="array" ref="B141">alea_date(Settings!$B$11,360,-1,Settings!$B$16)</f>
        <v>46366.291666666664</v>
      </c>
      <c r="C141" s="20" cm="1">
        <f t="array" ref="C141">B141+TIME(alea_int(1,4,Settings!$B$16),0,0)</f>
        <v>46366.458333333328</v>
      </c>
      <c r="D141" t="str" cm="1">
        <f t="array" ref="D141">choice(Settings!L:L,1,Settings!$B$16)</f>
        <v/>
      </c>
    </row>
    <row r="142" spans="1:4" ht="15.75" customHeight="1" x14ac:dyDescent="0.25">
      <c r="A142" s="2" t="str" cm="1">
        <f t="array" ref="A142">choice(Salles!A:A,1,Settings!$B$16)</f>
        <v>Salle12</v>
      </c>
      <c r="B142" s="3" cm="1">
        <f t="array" ref="B142">alea_date(Settings!$B$11,360,-1,Settings!$B$16)</f>
        <v>46179.458333333336</v>
      </c>
      <c r="C142" s="20" cm="1">
        <f t="array" ref="C142">B142+TIME(alea_int(1,4,Settings!$B$16),0,0)</f>
        <v>46179.625</v>
      </c>
      <c r="D142" t="str" cm="1">
        <f t="array" ref="D142">choice(Settings!L:L,1,Settings!$B$16)</f>
        <v/>
      </c>
    </row>
    <row r="143" spans="1:4" ht="15.75" customHeight="1" x14ac:dyDescent="0.25">
      <c r="A143" s="2" t="str" cm="1">
        <f t="array" ref="A143">choice(Salles!A:A,1,Settings!$B$16)</f>
        <v>Salle9</v>
      </c>
      <c r="B143" s="3" cm="1">
        <f t="array" ref="B143">alea_date(Settings!$B$11,360,-1,Settings!$B$16)</f>
        <v>46260.541666666664</v>
      </c>
      <c r="C143" s="20" cm="1">
        <f t="array" ref="C143">B143+TIME(alea_int(1,4,Settings!$B$16),0,0)</f>
        <v>46260.708333333328</v>
      </c>
      <c r="D143" t="str" cm="1">
        <f t="array" ref="D143">choice(Settings!L:L,1,Settings!$B$16)</f>
        <v/>
      </c>
    </row>
    <row r="144" spans="1:4" ht="15.75" customHeight="1" x14ac:dyDescent="0.25">
      <c r="A144" s="2" t="str" cm="1">
        <f t="array" ref="A144">choice(Salles!A:A,1,Settings!$B$16)</f>
        <v>Salle6</v>
      </c>
      <c r="B144" s="3" cm="1">
        <f t="array" ref="B144">alea_date(Settings!$B$11,360,-1,Settings!$B$16)</f>
        <v>46353.416666666664</v>
      </c>
      <c r="C144" s="20" cm="1">
        <f t="array" ref="C144">B144+TIME(alea_int(1,4,Settings!$B$16),0,0)</f>
        <v>46353.583333333328</v>
      </c>
      <c r="D144" t="str" cm="1">
        <f t="array" ref="D144">choice(Settings!L:L,1,Settings!$B$16)</f>
        <v/>
      </c>
    </row>
    <row r="145" spans="1:4" ht="15.75" customHeight="1" x14ac:dyDescent="0.25">
      <c r="A145" s="2" t="str" cm="1">
        <f t="array" ref="A145">choice(Salles!A:A,1,Settings!$B$16)</f>
        <v>Salle36</v>
      </c>
      <c r="B145" s="3" cm="1">
        <f t="array" ref="B145">alea_date(Settings!$B$11,360,-1,Settings!$B$16)</f>
        <v>46197.375</v>
      </c>
      <c r="C145" s="20" cm="1">
        <f t="array" ref="C145">B145+TIME(alea_int(1,4,Settings!$B$16),0,0)</f>
        <v>46197.541666666664</v>
      </c>
      <c r="D145" t="str" cm="1">
        <f t="array" ref="D145">choice(Settings!L:L,1,Settings!$B$16)</f>
        <v/>
      </c>
    </row>
    <row r="146" spans="1:4" ht="15.75" customHeight="1" x14ac:dyDescent="0.25">
      <c r="A146" s="2" t="str" cm="1">
        <f t="array" ref="A146">choice(Salles!A:A,1,Settings!$B$16)</f>
        <v>Salle42</v>
      </c>
      <c r="B146" s="3" cm="1">
        <f t="array" ref="B146">alea_date(Settings!$B$11,360,-1,Settings!$B$16)</f>
        <v>46224.416666666664</v>
      </c>
      <c r="C146" s="20" cm="1">
        <f t="array" ref="C146">B146+TIME(alea_int(1,4,Settings!$B$16),0,0)</f>
        <v>46224.583333333328</v>
      </c>
      <c r="D146" t="str" cm="1">
        <f t="array" ref="D146">choice(Settings!L:L,1,Settings!$B$16)</f>
        <v/>
      </c>
    </row>
    <row r="147" spans="1:4" ht="15.75" customHeight="1" x14ac:dyDescent="0.25">
      <c r="A147" s="2" t="str" cm="1">
        <f t="array" ref="A147">choice(Salles!A:A,1,Settings!$B$16)</f>
        <v>Salle13</v>
      </c>
      <c r="B147" s="3" cm="1">
        <f t="array" ref="B147">alea_date(Settings!$B$11,360,-1,Settings!$B$16)</f>
        <v>46187.583333333336</v>
      </c>
      <c r="C147" s="20" cm="1">
        <f t="array" ref="C147">B147+TIME(alea_int(1,4,Settings!$B$16),0,0)</f>
        <v>46187.75</v>
      </c>
      <c r="D147" t="str" cm="1">
        <f t="array" ref="D147">choice(Settings!L:L,1,Settings!$B$16)</f>
        <v/>
      </c>
    </row>
    <row r="148" spans="1:4" ht="15.75" customHeight="1" x14ac:dyDescent="0.25">
      <c r="A148" s="2" t="str" cm="1">
        <f t="array" ref="A148">choice(Salles!A:A,1,Settings!$B$16)</f>
        <v>Salle2</v>
      </c>
      <c r="B148" s="3" cm="1">
        <f t="array" ref="B148">alea_date(Settings!$B$11,360,-1,Settings!$B$16)</f>
        <v>46026.25</v>
      </c>
      <c r="C148" s="20" cm="1">
        <f t="array" ref="C148">B148+TIME(alea_int(1,4,Settings!$B$16),0,0)</f>
        <v>46026.416666666664</v>
      </c>
      <c r="D148" t="str" cm="1">
        <f t="array" ref="D148">choice(Settings!L:L,1,Settings!$B$16)</f>
        <v>lundi</v>
      </c>
    </row>
    <row r="149" spans="1:4" ht="15.75" customHeight="1" x14ac:dyDescent="0.25">
      <c r="A149" s="2" t="str" cm="1">
        <f t="array" ref="A149">choice(Salles!A:A,1,Settings!$B$16)</f>
        <v>Salle34</v>
      </c>
      <c r="B149" s="3" cm="1">
        <f t="array" ref="B149">alea_date(Settings!$B$11,360,-1,Settings!$B$16)</f>
        <v>46102.625</v>
      </c>
      <c r="C149" s="20" cm="1">
        <f t="array" ref="C149">B149+TIME(alea_int(1,4,Settings!$B$16),0,0)</f>
        <v>46102.791666666664</v>
      </c>
      <c r="D149" t="str" cm="1">
        <f t="array" ref="D149">choice(Settings!L:L,1,Settings!$B$16)</f>
        <v/>
      </c>
    </row>
    <row r="150" spans="1:4" ht="15.75" customHeight="1" x14ac:dyDescent="0.25">
      <c r="A150" s="2" t="str" cm="1">
        <f t="array" ref="A150">choice(Salles!A:A,1,Settings!$B$16)</f>
        <v>Salle70</v>
      </c>
      <c r="B150" s="3" cm="1">
        <f t="array" ref="B150">alea_date(Settings!$B$11,360,-1,Settings!$B$16)</f>
        <v>46359.333333333336</v>
      </c>
      <c r="C150" s="20" cm="1">
        <f t="array" ref="C150">B150+TIME(alea_int(1,4,Settings!$B$16),0,0)</f>
        <v>46359.5</v>
      </c>
      <c r="D150" t="str" cm="1">
        <f t="array" ref="D150">choice(Settings!L:L,1,Settings!$B$16)</f>
        <v/>
      </c>
    </row>
    <row r="151" spans="1:4" ht="15.75" customHeight="1" x14ac:dyDescent="0.25">
      <c r="A151" s="2" t="str" cm="1">
        <f t="array" ref="A151">choice(Salles!A:A,1,Settings!$B$16)</f>
        <v>Salle49</v>
      </c>
      <c r="B151" s="3" cm="1">
        <f t="array" ref="B151">alea_date(Settings!$B$11,360,-1,Settings!$B$16)</f>
        <v>46318.291666666664</v>
      </c>
      <c r="C151" s="20" cm="1">
        <f t="array" ref="C151">B151+TIME(alea_int(1,4,Settings!$B$16),0,0)</f>
        <v>46318.458333333328</v>
      </c>
      <c r="D151" t="str" cm="1">
        <f t="array" ref="D151">choice(Settings!L:L,1,Settings!$B$16)</f>
        <v>vendredi</v>
      </c>
    </row>
    <row r="152" spans="1:4" ht="15.75" customHeight="1" x14ac:dyDescent="0.25">
      <c r="A152" s="2" t="str" cm="1">
        <f t="array" ref="A152">choice(Salles!A:A,1,Settings!$B$16)</f>
        <v>Salle67</v>
      </c>
      <c r="B152" s="3" cm="1">
        <f t="array" ref="B152">alea_date(Settings!$B$11,360,-1,Settings!$B$16)</f>
        <v>46349.375</v>
      </c>
      <c r="C152" s="20" cm="1">
        <f t="array" ref="C152">B152+TIME(alea_int(1,4,Settings!$B$16),0,0)</f>
        <v>46349.541666666664</v>
      </c>
      <c r="D152" t="str" cm="1">
        <f t="array" ref="D152">choice(Settings!L:L,1,Settings!$B$16)</f>
        <v/>
      </c>
    </row>
    <row r="153" spans="1:4" ht="15.75" customHeight="1" x14ac:dyDescent="0.25">
      <c r="A153" s="2" t="str" cm="1">
        <f t="array" ref="A153">choice(Salles!A:A,1,Settings!$B$16)</f>
        <v>Salle17</v>
      </c>
      <c r="B153" s="3" cm="1">
        <f t="array" ref="B153">alea_date(Settings!$B$11,360,-1,Settings!$B$16)</f>
        <v>46111.291666666664</v>
      </c>
      <c r="C153" s="20" cm="1">
        <f t="array" ref="C153">B153+TIME(alea_int(1,4,Settings!$B$16),0,0)</f>
        <v>46111.458333333328</v>
      </c>
      <c r="D153" t="str" cm="1">
        <f t="array" ref="D153">choice(Settings!L:L,1,Settings!$B$16)</f>
        <v/>
      </c>
    </row>
    <row r="154" spans="1:4" ht="15.75" customHeight="1" x14ac:dyDescent="0.25">
      <c r="A154" s="2" t="str" cm="1">
        <f t="array" ref="A154">choice(Salles!A:A,1,Settings!$B$16)</f>
        <v>Salle8</v>
      </c>
      <c r="B154" s="3" cm="1">
        <f t="array" ref="B154">alea_date(Settings!$B$11,360,-1,Settings!$B$16)</f>
        <v>46024.375</v>
      </c>
      <c r="C154" s="20" cm="1">
        <f t="array" ref="C154">B154+TIME(alea_int(1,4,Settings!$B$16),0,0)</f>
        <v>46024.541666666664</v>
      </c>
      <c r="D154" t="str" cm="1">
        <f t="array" ref="D154">choice(Settings!L:L,1,Settings!$B$16)</f>
        <v/>
      </c>
    </row>
    <row r="155" spans="1:4" ht="15.75" customHeight="1" x14ac:dyDescent="0.25">
      <c r="A155" s="2" t="str" cm="1">
        <f t="array" ref="A155">choice(Salles!A:A,1,Settings!$B$16)</f>
        <v>Salle21</v>
      </c>
      <c r="B155" s="3" cm="1">
        <f t="array" ref="B155">alea_date(Settings!$B$11,360,-1,Settings!$B$16)</f>
        <v>46329.416666666664</v>
      </c>
      <c r="C155" s="20" cm="1">
        <f t="array" ref="C155">B155+TIME(alea_int(1,4,Settings!$B$16),0,0)</f>
        <v>46329.583333333328</v>
      </c>
      <c r="D155" t="str" cm="1">
        <f t="array" ref="D155">choice(Settings!L:L,1,Settings!$B$16)</f>
        <v>jeudi</v>
      </c>
    </row>
    <row r="156" spans="1:4" ht="15.75" customHeight="1" x14ac:dyDescent="0.25">
      <c r="A156" s="2" t="str" cm="1">
        <f t="array" ref="A156">choice(Salles!A:A,1,Settings!$B$16)</f>
        <v>Salle70</v>
      </c>
      <c r="B156" s="3" cm="1">
        <f t="array" ref="B156">alea_date(Settings!$B$11,360,-1,Settings!$B$16)</f>
        <v>46136.625</v>
      </c>
      <c r="C156" s="20" cm="1">
        <f t="array" ref="C156">B156+TIME(alea_int(1,4,Settings!$B$16),0,0)</f>
        <v>46136.791666666664</v>
      </c>
      <c r="D156" t="str" cm="1">
        <f t="array" ref="D156">choice(Settings!L:L,1,Settings!$B$16)</f>
        <v/>
      </c>
    </row>
    <row r="157" spans="1:4" ht="15.75" customHeight="1" x14ac:dyDescent="0.25">
      <c r="A157" s="2" t="str" cm="1">
        <f t="array" ref="A157">choice(Salles!A:A,1,Settings!$B$16)</f>
        <v>Salle41</v>
      </c>
      <c r="B157" s="3" cm="1">
        <f t="array" ref="B157">alea_date(Settings!$B$11,360,-1,Settings!$B$16)</f>
        <v>46111.5</v>
      </c>
      <c r="C157" s="20" cm="1">
        <f t="array" ref="C157">B157+TIME(alea_int(1,4,Settings!$B$16),0,0)</f>
        <v>46111.666666666664</v>
      </c>
      <c r="D157" t="str" cm="1">
        <f t="array" ref="D157">choice(Settings!L:L,1,Settings!$B$16)</f>
        <v/>
      </c>
    </row>
    <row r="158" spans="1:4" ht="15.75" customHeight="1" x14ac:dyDescent="0.25">
      <c r="A158" s="2" t="str" cm="1">
        <f t="array" ref="A158">choice(Salles!A:A,1,Settings!$B$16)</f>
        <v>Salle4</v>
      </c>
      <c r="B158" s="3" cm="1">
        <f t="array" ref="B158">alea_date(Settings!$B$11,360,-1,Settings!$B$16)</f>
        <v>46045.625</v>
      </c>
      <c r="C158" s="20" cm="1">
        <f t="array" ref="C158">B158+TIME(alea_int(1,4,Settings!$B$16),0,0)</f>
        <v>46045.791666666664</v>
      </c>
      <c r="D158" t="str" cm="1">
        <f t="array" ref="D158">choice(Settings!L:L,1,Settings!$B$16)</f>
        <v>jeudi</v>
      </c>
    </row>
    <row r="159" spans="1:4" ht="15.75" customHeight="1" x14ac:dyDescent="0.25">
      <c r="A159" s="2" t="str" cm="1">
        <f t="array" ref="A159">choice(Salles!A:A,1,Settings!$B$16)</f>
        <v>Salle67</v>
      </c>
      <c r="B159" s="3" cm="1">
        <f t="array" ref="B159">alea_date(Settings!$B$11,360,-1,Settings!$B$16)</f>
        <v>46199.458333333336</v>
      </c>
      <c r="C159" s="20" cm="1">
        <f t="array" ref="C159">B159+TIME(alea_int(1,4,Settings!$B$16),0,0)</f>
        <v>46199.625</v>
      </c>
      <c r="D159" t="str" cm="1">
        <f t="array" ref="D159">choice(Settings!L:L,1,Settings!$B$16)</f>
        <v/>
      </c>
    </row>
    <row r="160" spans="1:4" ht="15.75" customHeight="1" x14ac:dyDescent="0.25">
      <c r="A160" s="2" t="str" cm="1">
        <f t="array" ref="A160">choice(Salles!A:A,1,Settings!$B$16)</f>
        <v>Salle20</v>
      </c>
      <c r="B160" s="3" cm="1">
        <f t="array" ref="B160">alea_date(Settings!$B$11,360,-1,Settings!$B$16)</f>
        <v>46155.541666666664</v>
      </c>
      <c r="C160" s="20" cm="1">
        <f t="array" ref="C160">B160+TIME(alea_int(1,4,Settings!$B$16),0,0)</f>
        <v>46155.708333333328</v>
      </c>
      <c r="D160" t="str" cm="1">
        <f t="array" ref="D160">choice(Settings!L:L,1,Settings!$B$16)</f>
        <v/>
      </c>
    </row>
    <row r="161" spans="1:4" ht="15.75" customHeight="1" x14ac:dyDescent="0.25">
      <c r="A161" s="2" t="str" cm="1">
        <f t="array" ref="A161">choice(Salles!A:A,1,Settings!$B$16)</f>
        <v>Salle32</v>
      </c>
      <c r="B161" s="3" cm="1">
        <f t="array" ref="B161">alea_date(Settings!$B$11,360,-1,Settings!$B$16)</f>
        <v>46339.541666666664</v>
      </c>
      <c r="C161" s="20" cm="1">
        <f t="array" ref="C161">B161+TIME(alea_int(1,4,Settings!$B$16),0,0)</f>
        <v>46339.708333333328</v>
      </c>
      <c r="D161" t="str" cm="1">
        <f t="array" ref="D161">choice(Settings!L:L,1,Settings!$B$16)</f>
        <v>mercredi</v>
      </c>
    </row>
    <row r="162" spans="1:4" ht="15.75" customHeight="1" x14ac:dyDescent="0.25">
      <c r="A162" s="2" t="str" cm="1">
        <f t="array" ref="A162">choice(Salles!A:A,1,Settings!$B$16)</f>
        <v>Salle29</v>
      </c>
      <c r="B162" s="3" cm="1">
        <f t="array" ref="B162">alea_date(Settings!$B$11,360,-1,Settings!$B$16)</f>
        <v>46229.333333333336</v>
      </c>
      <c r="C162" s="20" cm="1">
        <f t="array" ref="C162">B162+TIME(alea_int(1,4,Settings!$B$16),0,0)</f>
        <v>46229.5</v>
      </c>
      <c r="D162" t="str" cm="1">
        <f t="array" ref="D162">choice(Settings!L:L,1,Settings!$B$16)</f>
        <v>mercredi</v>
      </c>
    </row>
    <row r="163" spans="1:4" ht="15.75" customHeight="1" x14ac:dyDescent="0.25">
      <c r="A163" s="2" t="str" cm="1">
        <f t="array" ref="A163">choice(Salles!A:A,1,Settings!$B$16)</f>
        <v>Salle36</v>
      </c>
      <c r="B163" s="3" cm="1">
        <f t="array" ref="B163">alea_date(Settings!$B$11,360,-1,Settings!$B$16)</f>
        <v>46178.541666666664</v>
      </c>
      <c r="C163" s="20" cm="1">
        <f t="array" ref="C163">B163+TIME(alea_int(1,4,Settings!$B$16),0,0)</f>
        <v>46178.708333333328</v>
      </c>
      <c r="D163" t="str" cm="1">
        <f t="array" ref="D163">choice(Settings!L:L,1,Settings!$B$16)</f>
        <v/>
      </c>
    </row>
    <row r="164" spans="1:4" ht="15.75" customHeight="1" x14ac:dyDescent="0.25">
      <c r="A164" s="2" t="str" cm="1">
        <f t="array" ref="A164">choice(Salles!A:A,1,Settings!$B$16)</f>
        <v>Salle32</v>
      </c>
      <c r="B164" s="3" cm="1">
        <f t="array" ref="B164">alea_date(Settings!$B$11,360,-1,Settings!$B$16)</f>
        <v>46031.416666666664</v>
      </c>
      <c r="C164" s="20" cm="1">
        <f t="array" ref="C164">B164+TIME(alea_int(1,4,Settings!$B$16),0,0)</f>
        <v>46031.583333333328</v>
      </c>
      <c r="D164" t="str" cm="1">
        <f t="array" ref="D164">choice(Settings!L:L,1,Settings!$B$16)</f>
        <v/>
      </c>
    </row>
    <row r="165" spans="1:4" ht="15.75" customHeight="1" x14ac:dyDescent="0.25">
      <c r="A165" s="2" t="str" cm="1">
        <f t="array" ref="A165">choice(Salles!A:A,1,Settings!$B$16)</f>
        <v>Salle8</v>
      </c>
      <c r="B165" s="3" cm="1">
        <f t="array" ref="B165">alea_date(Settings!$B$11,360,-1,Settings!$B$16)</f>
        <v>46032.541666666664</v>
      </c>
      <c r="C165" s="20" cm="1">
        <f t="array" ref="C165">B165+TIME(alea_int(1,4,Settings!$B$16),0,0)</f>
        <v>46032.708333333328</v>
      </c>
      <c r="D165" t="str" cm="1">
        <f t="array" ref="D165">choice(Settings!L:L,1,Settings!$B$16)</f>
        <v/>
      </c>
    </row>
    <row r="166" spans="1:4" ht="15.75" customHeight="1" x14ac:dyDescent="0.25">
      <c r="A166" s="2" t="str" cm="1">
        <f t="array" ref="A166">choice(Salles!A:A,1,Settings!$B$16)</f>
        <v>Salle8</v>
      </c>
      <c r="B166" s="3" cm="1">
        <f t="array" ref="B166">alea_date(Settings!$B$11,360,-1,Settings!$B$16)</f>
        <v>46032.375</v>
      </c>
      <c r="C166" s="20" cm="1">
        <f t="array" ref="C166">B166+TIME(alea_int(1,4,Settings!$B$16),0,0)</f>
        <v>46032.541666666664</v>
      </c>
      <c r="D166" t="str" cm="1">
        <f t="array" ref="D166">choice(Settings!L:L,1,Settings!$B$16)</f>
        <v/>
      </c>
    </row>
    <row r="167" spans="1:4" ht="15.75" customHeight="1" x14ac:dyDescent="0.25">
      <c r="A167" s="2" t="str" cm="1">
        <f t="array" ref="A167">choice(Salles!A:A,1,Settings!$B$16)</f>
        <v>Salle48</v>
      </c>
      <c r="B167" s="3" cm="1">
        <f t="array" ref="B167">alea_date(Settings!$B$11,360,-1,Settings!$B$16)</f>
        <v>46065.458333333336</v>
      </c>
      <c r="C167" s="20" cm="1">
        <f t="array" ref="C167">B167+TIME(alea_int(1,4,Settings!$B$16),0,0)</f>
        <v>46065.625</v>
      </c>
      <c r="D167" t="str" cm="1">
        <f t="array" ref="D167">choice(Settings!L:L,1,Settings!$B$16)</f>
        <v/>
      </c>
    </row>
    <row r="168" spans="1:4" ht="15.75" customHeight="1" x14ac:dyDescent="0.25">
      <c r="A168" s="2" t="str" cm="1">
        <f t="array" ref="A168">choice(Salles!A:A,1,Settings!$B$16)</f>
        <v>Salle61</v>
      </c>
      <c r="B168" s="3" cm="1">
        <f t="array" ref="B168">alea_date(Settings!$B$11,360,-1,Settings!$B$16)</f>
        <v>46312.375</v>
      </c>
      <c r="C168" s="20" cm="1">
        <f t="array" ref="C168">B168+TIME(alea_int(1,4,Settings!$B$16),0,0)</f>
        <v>46312.541666666664</v>
      </c>
      <c r="D168" t="str" cm="1">
        <f t="array" ref="D168">choice(Settings!L:L,1,Settings!$B$16)</f>
        <v/>
      </c>
    </row>
    <row r="169" spans="1:4" ht="15.75" customHeight="1" x14ac:dyDescent="0.25">
      <c r="A169" s="2" t="str" cm="1">
        <f t="array" ref="A169">choice(Salles!A:A,1,Settings!$B$16)</f>
        <v>Salle33</v>
      </c>
      <c r="B169" s="3" cm="1">
        <f t="array" ref="B169">alea_date(Settings!$B$11,360,-1,Settings!$B$16)</f>
        <v>46116.458333333336</v>
      </c>
      <c r="C169" s="20" cm="1">
        <f t="array" ref="C169">B169+TIME(alea_int(1,4,Settings!$B$16),0,0)</f>
        <v>46116.625</v>
      </c>
      <c r="D169" t="str" cm="1">
        <f t="array" ref="D169">choice(Settings!L:L,1,Settings!$B$16)</f>
        <v/>
      </c>
    </row>
    <row r="170" spans="1:4" ht="15.75" customHeight="1" x14ac:dyDescent="0.25">
      <c r="A170" s="2" t="str" cm="1">
        <f t="array" ref="A170">choice(Salles!A:A,1,Settings!$B$16)</f>
        <v>Salle28</v>
      </c>
      <c r="B170" s="3" cm="1">
        <f t="array" ref="B170">alea_date(Settings!$B$11,360,-1,Settings!$B$16)</f>
        <v>46276.583333333336</v>
      </c>
      <c r="C170" s="20" cm="1">
        <f t="array" ref="C170">B170+TIME(alea_int(1,4,Settings!$B$16),0,0)</f>
        <v>46276.75</v>
      </c>
      <c r="D170" t="str" cm="1">
        <f t="array" ref="D170">choice(Settings!L:L,1,Settings!$B$16)</f>
        <v/>
      </c>
    </row>
    <row r="171" spans="1:4" ht="15.75" customHeight="1" x14ac:dyDescent="0.25">
      <c r="A171" s="2" t="str" cm="1">
        <f t="array" ref="A171">choice(Salles!A:A,1,Settings!$B$16)</f>
        <v>Salle39</v>
      </c>
      <c r="B171" s="3" cm="1">
        <f t="array" ref="B171">alea_date(Settings!$B$11,360,-1,Settings!$B$16)</f>
        <v>46045.625</v>
      </c>
      <c r="C171" s="20" cm="1">
        <f t="array" ref="C171">B171+TIME(alea_int(1,4,Settings!$B$16),0,0)</f>
        <v>46045.791666666664</v>
      </c>
      <c r="D171" t="str" cm="1">
        <f t="array" ref="D171">choice(Settings!L:L,1,Settings!$B$16)</f>
        <v/>
      </c>
    </row>
    <row r="172" spans="1:4" ht="15.75" customHeight="1" x14ac:dyDescent="0.25">
      <c r="A172" s="2" t="str" cm="1">
        <f t="array" ref="A172">choice(Salles!A:A,1,Settings!$B$16)</f>
        <v>Salle16</v>
      </c>
      <c r="B172" s="3" cm="1">
        <f t="array" ref="B172">alea_date(Settings!$B$11,360,-1,Settings!$B$16)</f>
        <v>46311.541666666664</v>
      </c>
      <c r="C172" s="20" cm="1">
        <f t="array" ref="C172">B172+TIME(alea_int(1,4,Settings!$B$16),0,0)</f>
        <v>46311.708333333328</v>
      </c>
      <c r="D172" t="str" cm="1">
        <f t="array" ref="D172">choice(Settings!L:L,1,Settings!$B$16)</f>
        <v/>
      </c>
    </row>
    <row r="173" spans="1:4" ht="15.75" customHeight="1" x14ac:dyDescent="0.25">
      <c r="A173" s="2" t="str" cm="1">
        <f t="array" ref="A173">choice(Salles!A:A,1,Settings!$B$16)</f>
        <v>Salle4</v>
      </c>
      <c r="B173" s="3" cm="1">
        <f t="array" ref="B173">alea_date(Settings!$B$11,360,-1,Settings!$B$16)</f>
        <v>46088.25</v>
      </c>
      <c r="C173" s="20" cm="1">
        <f t="array" ref="C173">B173+TIME(alea_int(1,4,Settings!$B$16),0,0)</f>
        <v>46088.416666666664</v>
      </c>
      <c r="D173" t="str" cm="1">
        <f t="array" ref="D173">choice(Settings!L:L,1,Settings!$B$16)</f>
        <v/>
      </c>
    </row>
    <row r="174" spans="1:4" ht="15.75" customHeight="1" x14ac:dyDescent="0.25">
      <c r="A174" s="2" t="str" cm="1">
        <f t="array" ref="A174">choice(Salles!A:A,1,Settings!$B$16)</f>
        <v>Salle67</v>
      </c>
      <c r="B174" s="3" cm="1">
        <f t="array" ref="B174">alea_date(Settings!$B$11,360,-1,Settings!$B$16)</f>
        <v>46082.375</v>
      </c>
      <c r="C174" s="20" cm="1">
        <f t="array" ref="C174">B174+TIME(alea_int(1,4,Settings!$B$16),0,0)</f>
        <v>46082.541666666664</v>
      </c>
      <c r="D174" t="str" cm="1">
        <f t="array" ref="D174">choice(Settings!L:L,1,Settings!$B$16)</f>
        <v/>
      </c>
    </row>
    <row r="175" spans="1:4" ht="15.75" customHeight="1" x14ac:dyDescent="0.25">
      <c r="A175" s="2" t="str" cm="1">
        <f t="array" ref="A175">choice(Salles!A:A,1,Settings!$B$16)</f>
        <v>Salle59</v>
      </c>
      <c r="B175" s="3" cm="1">
        <f t="array" ref="B175">alea_date(Settings!$B$11,360,-1,Settings!$B$16)</f>
        <v>46086.541666666664</v>
      </c>
      <c r="C175" s="20" cm="1">
        <f t="array" ref="C175">B175+TIME(alea_int(1,4,Settings!$B$16),0,0)</f>
        <v>46086.708333333328</v>
      </c>
      <c r="D175" t="str" cm="1">
        <f t="array" ref="D175">choice(Settings!L:L,1,Settings!$B$16)</f>
        <v/>
      </c>
    </row>
    <row r="176" spans="1:4" ht="15.75" customHeight="1" x14ac:dyDescent="0.25">
      <c r="A176" s="2" t="str" cm="1">
        <f t="array" ref="A176">choice(Salles!A:A,1,Settings!$B$16)</f>
        <v>Salle5</v>
      </c>
      <c r="B176" s="3" cm="1">
        <f t="array" ref="B176">alea_date(Settings!$B$11,360,-1,Settings!$B$16)</f>
        <v>46144.541666666664</v>
      </c>
      <c r="C176" s="20" cm="1">
        <f t="array" ref="C176">B176+TIME(alea_int(1,4,Settings!$B$16),0,0)</f>
        <v>46144.708333333328</v>
      </c>
      <c r="D176" t="str" cm="1">
        <f t="array" ref="D176">choice(Settings!L:L,1,Settings!$B$16)</f>
        <v/>
      </c>
    </row>
    <row r="177" spans="1:4" ht="15.75" customHeight="1" x14ac:dyDescent="0.25">
      <c r="A177" s="2" t="str" cm="1">
        <f t="array" ref="A177">choice(Salles!A:A,1,Settings!$B$16)</f>
        <v>Salle38</v>
      </c>
      <c r="B177" s="3" cm="1">
        <f t="array" ref="B177">alea_date(Settings!$B$11,360,-1,Settings!$B$16)</f>
        <v>46255.541666666664</v>
      </c>
      <c r="C177" s="20" cm="1">
        <f t="array" ref="C177">B177+TIME(alea_int(1,4,Settings!$B$16),0,0)</f>
        <v>46255.708333333328</v>
      </c>
      <c r="D177" t="str" cm="1">
        <f t="array" ref="D177">choice(Settings!L:L,1,Settings!$B$16)</f>
        <v/>
      </c>
    </row>
    <row r="178" spans="1:4" ht="15.75" customHeight="1" x14ac:dyDescent="0.25">
      <c r="A178" s="2" t="str" cm="1">
        <f t="array" ref="A178">choice(Salles!A:A,1,Settings!$B$16)</f>
        <v>Salle5</v>
      </c>
      <c r="B178" s="3" cm="1">
        <f t="array" ref="B178">alea_date(Settings!$B$11,360,-1,Settings!$B$16)</f>
        <v>46128.625</v>
      </c>
      <c r="C178" s="20" cm="1">
        <f t="array" ref="C178">B178+TIME(alea_int(1,4,Settings!$B$16),0,0)</f>
        <v>46128.791666666664</v>
      </c>
      <c r="D178" t="str" cm="1">
        <f t="array" ref="D178">choice(Settings!L:L,1,Settings!$B$16)</f>
        <v/>
      </c>
    </row>
    <row r="179" spans="1:4" ht="15.75" customHeight="1" x14ac:dyDescent="0.25">
      <c r="A179" s="2" t="str" cm="1">
        <f t="array" ref="A179">choice(Salles!A:A,1,Settings!$B$16)</f>
        <v>Salle23</v>
      </c>
      <c r="B179" s="3" cm="1">
        <f t="array" ref="B179">alea_date(Settings!$B$11,360,-1,Settings!$B$16)</f>
        <v>46091.333333333336</v>
      </c>
      <c r="C179" s="20" cm="1">
        <f t="array" ref="C179">B179+TIME(alea_int(1,4,Settings!$B$16),0,0)</f>
        <v>46091.5</v>
      </c>
      <c r="D179" t="str" cm="1">
        <f t="array" ref="D179">choice(Settings!L:L,1,Settings!$B$16)</f>
        <v>mercredi</v>
      </c>
    </row>
    <row r="180" spans="1:4" ht="15.75" customHeight="1" x14ac:dyDescent="0.25">
      <c r="A180" s="2" t="str" cm="1">
        <f t="array" ref="A180">choice(Salles!A:A,1,Settings!$B$16)</f>
        <v>Salle61</v>
      </c>
      <c r="B180" s="3" cm="1">
        <f t="array" ref="B180">alea_date(Settings!$B$11,360,-1,Settings!$B$16)</f>
        <v>46043.25</v>
      </c>
      <c r="C180" s="20" cm="1">
        <f t="array" ref="C180">B180+TIME(alea_int(1,4,Settings!$B$16),0,0)</f>
        <v>46043.416666666664</v>
      </c>
      <c r="D180" t="str" cm="1">
        <f t="array" ref="D180">choice(Settings!L:L,1,Settings!$B$16)</f>
        <v/>
      </c>
    </row>
    <row r="181" spans="1:4" ht="15.75" customHeight="1" x14ac:dyDescent="0.25">
      <c r="A181" s="2" t="str" cm="1">
        <f t="array" ref="A181">choice(Salles!A:A,1,Settings!$B$16)</f>
        <v>Salle35</v>
      </c>
      <c r="B181" s="3" cm="1">
        <f t="array" ref="B181">alea_date(Settings!$B$11,360,-1,Settings!$B$16)</f>
        <v>46378.625</v>
      </c>
      <c r="C181" s="20" cm="1">
        <f t="array" ref="C181">B181+TIME(alea_int(1,4,Settings!$B$16),0,0)</f>
        <v>46378.791666666664</v>
      </c>
      <c r="D181" t="str" cm="1">
        <f t="array" ref="D181">choice(Settings!L:L,1,Settings!$B$16)</f>
        <v/>
      </c>
    </row>
    <row r="182" spans="1:4" ht="15.75" customHeight="1" x14ac:dyDescent="0.25">
      <c r="A182" s="2" t="str" cm="1">
        <f t="array" ref="A182">choice(Salles!A:A,1,Settings!$B$16)</f>
        <v>Salle59</v>
      </c>
      <c r="B182" s="3" cm="1">
        <f t="array" ref="B182">alea_date(Settings!$B$11,360,-1,Settings!$B$16)</f>
        <v>46198.375</v>
      </c>
      <c r="C182" s="20" cm="1">
        <f t="array" ref="C182">B182+TIME(alea_int(1,4,Settings!$B$16),0,0)</f>
        <v>46198.541666666664</v>
      </c>
      <c r="D182" t="str" cm="1">
        <f t="array" ref="D182">choice(Settings!L:L,1,Settings!$B$16)</f>
        <v/>
      </c>
    </row>
    <row r="183" spans="1:4" ht="15.75" customHeight="1" x14ac:dyDescent="0.25">
      <c r="A183" s="2" t="str" cm="1">
        <f t="array" ref="A183">choice(Salles!A:A,1,Settings!$B$16)</f>
        <v>Salle21</v>
      </c>
      <c r="B183" s="3" cm="1">
        <f t="array" ref="B183">alea_date(Settings!$B$11,360,-1,Settings!$B$16)</f>
        <v>46232.5</v>
      </c>
      <c r="C183" s="20" cm="1">
        <f t="array" ref="C183">B183+TIME(alea_int(1,4,Settings!$B$16),0,0)</f>
        <v>46232.666666666664</v>
      </c>
      <c r="D183" t="str" cm="1">
        <f t="array" ref="D183">choice(Settings!L:L,1,Settings!$B$16)</f>
        <v/>
      </c>
    </row>
    <row r="184" spans="1:4" ht="15.75" customHeight="1" x14ac:dyDescent="0.25">
      <c r="A184" s="2" t="str" cm="1">
        <f t="array" ref="A184">choice(Salles!A:A,1,Settings!$B$16)</f>
        <v>Salle18</v>
      </c>
      <c r="B184" s="3" cm="1">
        <f t="array" ref="B184">alea_date(Settings!$B$11,360,-1,Settings!$B$16)</f>
        <v>46287.5</v>
      </c>
      <c r="C184" s="20" cm="1">
        <f t="array" ref="C184">B184+TIME(alea_int(1,4,Settings!$B$16),0,0)</f>
        <v>46287.666666666664</v>
      </c>
      <c r="D184" t="str" cm="1">
        <f t="array" ref="D184">choice(Settings!L:L,1,Settings!$B$16)</f>
        <v/>
      </c>
    </row>
    <row r="185" spans="1:4" ht="15.75" customHeight="1" x14ac:dyDescent="0.25">
      <c r="A185" s="2" t="str" cm="1">
        <f t="array" ref="A185">choice(Salles!A:A,1,Settings!$B$16)</f>
        <v>Salle2</v>
      </c>
      <c r="B185" s="3" cm="1">
        <f t="array" ref="B185">alea_date(Settings!$B$11,360,-1,Settings!$B$16)</f>
        <v>46187.333333333336</v>
      </c>
      <c r="C185" s="20" cm="1">
        <f t="array" ref="C185">B185+TIME(alea_int(1,4,Settings!$B$16),0,0)</f>
        <v>46187.5</v>
      </c>
      <c r="D185" t="str" cm="1">
        <f t="array" ref="D185">choice(Settings!L:L,1,Settings!$B$16)</f>
        <v/>
      </c>
    </row>
    <row r="186" spans="1:4" ht="15.75" customHeight="1" x14ac:dyDescent="0.25">
      <c r="A186" s="2" t="str" cm="1">
        <f t="array" ref="A186">choice(Salles!A:A,1,Settings!$B$16)</f>
        <v>Salle63</v>
      </c>
      <c r="B186" s="3" cm="1">
        <f t="array" ref="B186">alea_date(Settings!$B$11,360,-1,Settings!$B$16)</f>
        <v>46218.458333333336</v>
      </c>
      <c r="C186" s="20" cm="1">
        <f t="array" ref="C186">B186+TIME(alea_int(1,4,Settings!$B$16),0,0)</f>
        <v>46218.625</v>
      </c>
      <c r="D186" t="str" cm="1">
        <f t="array" ref="D186">choice(Settings!L:L,1,Settings!$B$16)</f>
        <v/>
      </c>
    </row>
    <row r="187" spans="1:4" ht="15.75" customHeight="1" x14ac:dyDescent="0.25">
      <c r="A187" s="2" t="str" cm="1">
        <f t="array" ref="A187">choice(Salles!A:A,1,Settings!$B$16)</f>
        <v>Salle8</v>
      </c>
      <c r="B187" s="3" cm="1">
        <f t="array" ref="B187">alea_date(Settings!$B$11,360,-1,Settings!$B$16)</f>
        <v>46185.333333333336</v>
      </c>
      <c r="C187" s="20" cm="1">
        <f t="array" ref="C187">B187+TIME(alea_int(1,4,Settings!$B$16),0,0)</f>
        <v>46185.5</v>
      </c>
      <c r="D187" t="str" cm="1">
        <f t="array" ref="D187">choice(Settings!L:L,1,Settings!$B$16)</f>
        <v/>
      </c>
    </row>
    <row r="188" spans="1:4" ht="15.75" customHeight="1" x14ac:dyDescent="0.25">
      <c r="A188" s="2" t="str" cm="1">
        <f t="array" ref="A188">choice(Salles!A:A,1,Settings!$B$16)</f>
        <v>Salle65</v>
      </c>
      <c r="B188" s="3" cm="1">
        <f t="array" ref="B188">alea_date(Settings!$B$11,360,-1,Settings!$B$16)</f>
        <v>46093.416666666664</v>
      </c>
      <c r="C188" s="20" cm="1">
        <f t="array" ref="C188">B188+TIME(alea_int(1,4,Settings!$B$16),0,0)</f>
        <v>46093.583333333328</v>
      </c>
      <c r="D188" t="str" cm="1">
        <f t="array" ref="D188">choice(Settings!L:L,1,Settings!$B$16)</f>
        <v/>
      </c>
    </row>
    <row r="189" spans="1:4" ht="15.75" customHeight="1" x14ac:dyDescent="0.25">
      <c r="A189" s="2" t="str" cm="1">
        <f t="array" ref="A189">choice(Salles!A:A,1,Settings!$B$16)</f>
        <v>Salle2</v>
      </c>
      <c r="B189" s="3" cm="1">
        <f t="array" ref="B189">alea_date(Settings!$B$11,360,-1,Settings!$B$16)</f>
        <v>46166.458333333336</v>
      </c>
      <c r="C189" s="20" cm="1">
        <f t="array" ref="C189">B189+TIME(alea_int(1,4,Settings!$B$16),0,0)</f>
        <v>46166.625</v>
      </c>
      <c r="D189" t="str" cm="1">
        <f t="array" ref="D189">choice(Settings!L:L,1,Settings!$B$16)</f>
        <v/>
      </c>
    </row>
    <row r="190" spans="1:4" ht="15.75" customHeight="1" x14ac:dyDescent="0.25">
      <c r="A190" s="2" t="str" cm="1">
        <f t="array" ref="A190">choice(Salles!A:A,1,Settings!$B$16)</f>
        <v>Salle19</v>
      </c>
      <c r="B190" s="3" cm="1">
        <f t="array" ref="B190">alea_date(Settings!$B$11,360,-1,Settings!$B$16)</f>
        <v>46271.625</v>
      </c>
      <c r="C190" s="20" cm="1">
        <f t="array" ref="C190">B190+TIME(alea_int(1,4,Settings!$B$16),0,0)</f>
        <v>46271.791666666664</v>
      </c>
      <c r="D190" t="str" cm="1">
        <f t="array" ref="D190">choice(Settings!L:L,1,Settings!$B$16)</f>
        <v/>
      </c>
    </row>
    <row r="191" spans="1:4" ht="15.75" customHeight="1" x14ac:dyDescent="0.25">
      <c r="A191" s="2" t="str" cm="1">
        <f t="array" ref="A191">choice(Salles!A:A,1,Settings!$B$16)</f>
        <v>Salle69</v>
      </c>
      <c r="B191" s="3" cm="1">
        <f t="array" ref="B191">alea_date(Settings!$B$11,360,-1,Settings!$B$16)</f>
        <v>46313.583333333336</v>
      </c>
      <c r="C191" s="20" cm="1">
        <f t="array" ref="C191">B191+TIME(alea_int(1,4,Settings!$B$16),0,0)</f>
        <v>46313.75</v>
      </c>
      <c r="D191" t="str" cm="1">
        <f t="array" ref="D191">choice(Settings!L:L,1,Settings!$B$16)</f>
        <v>jeudi</v>
      </c>
    </row>
    <row r="192" spans="1:4" ht="15.75" customHeight="1" x14ac:dyDescent="0.25">
      <c r="A192" s="2" t="str" cm="1">
        <f t="array" ref="A192">choice(Salles!A:A,1,Settings!$B$16)</f>
        <v>Salle18</v>
      </c>
      <c r="B192" s="3" cm="1">
        <f t="array" ref="B192">alea_date(Settings!$B$11,360,-1,Settings!$B$16)</f>
        <v>46222.375</v>
      </c>
      <c r="C192" s="20" cm="1">
        <f t="array" ref="C192">B192+TIME(alea_int(1,4,Settings!$B$16),0,0)</f>
        <v>46222.541666666664</v>
      </c>
      <c r="D192" t="str" cm="1">
        <f t="array" ref="D192">choice(Settings!L:L,1,Settings!$B$16)</f>
        <v/>
      </c>
    </row>
    <row r="193" spans="1:4" ht="15.75" customHeight="1" x14ac:dyDescent="0.25">
      <c r="A193" s="2" t="str" cm="1">
        <f t="array" ref="A193">choice(Salles!A:A,1,Settings!$B$16)</f>
        <v>Salle5</v>
      </c>
      <c r="B193" s="3" cm="1">
        <f t="array" ref="B193">alea_date(Settings!$B$11,360,-1,Settings!$B$16)</f>
        <v>46372.291666666664</v>
      </c>
      <c r="C193" s="20" cm="1">
        <f t="array" ref="C193">B193+TIME(alea_int(1,4,Settings!$B$16),0,0)</f>
        <v>46372.458333333328</v>
      </c>
      <c r="D193" t="str" cm="1">
        <f t="array" ref="D193">choice(Settings!L:L,1,Settings!$B$16)</f>
        <v/>
      </c>
    </row>
    <row r="194" spans="1:4" ht="15.75" customHeight="1" x14ac:dyDescent="0.25">
      <c r="A194" s="2" t="str" cm="1">
        <f t="array" ref="A194">choice(Salles!A:A,1,Settings!$B$16)</f>
        <v>Salle30</v>
      </c>
      <c r="B194" s="3" cm="1">
        <f t="array" ref="B194">alea_date(Settings!$B$11,360,-1,Settings!$B$16)</f>
        <v>46214.25</v>
      </c>
      <c r="C194" s="20" cm="1">
        <f t="array" ref="C194">B194+TIME(alea_int(1,4,Settings!$B$16),0,0)</f>
        <v>46214.416666666664</v>
      </c>
      <c r="D194" t="str" cm="1">
        <f t="array" ref="D194">choice(Settings!L:L,1,Settings!$B$16)</f>
        <v/>
      </c>
    </row>
    <row r="195" spans="1:4" ht="15.75" customHeight="1" x14ac:dyDescent="0.25">
      <c r="A195" s="2" t="str" cm="1">
        <f t="array" ref="A195">choice(Salles!A:A,1,Settings!$B$16)</f>
        <v>Salle67</v>
      </c>
      <c r="B195" s="3" cm="1">
        <f t="array" ref="B195">alea_date(Settings!$B$11,360,-1,Settings!$B$16)</f>
        <v>46270.291666666664</v>
      </c>
      <c r="C195" s="20" cm="1">
        <f t="array" ref="C195">B195+TIME(alea_int(1,4,Settings!$B$16),0,0)</f>
        <v>46270.458333333328</v>
      </c>
      <c r="D195" t="str" cm="1">
        <f t="array" ref="D195">choice(Settings!L:L,1,Settings!$B$16)</f>
        <v/>
      </c>
    </row>
    <row r="196" spans="1:4" ht="15.75" customHeight="1" x14ac:dyDescent="0.25">
      <c r="A196" s="2" t="str" cm="1">
        <f t="array" ref="A196">choice(Salles!A:A,1,Settings!$B$16)</f>
        <v>Salle28</v>
      </c>
      <c r="B196" s="3" cm="1">
        <f t="array" ref="B196">alea_date(Settings!$B$11,360,-1,Settings!$B$16)</f>
        <v>46096.458333333336</v>
      </c>
      <c r="C196" s="20" cm="1">
        <f t="array" ref="C196">B196+TIME(alea_int(1,4,Settings!$B$16),0,0)</f>
        <v>46096.625</v>
      </c>
      <c r="D196" t="str" cm="1">
        <f t="array" ref="D196">choice(Settings!L:L,1,Settings!$B$16)</f>
        <v/>
      </c>
    </row>
    <row r="197" spans="1:4" ht="15.75" customHeight="1" x14ac:dyDescent="0.25">
      <c r="A197" s="2" t="str" cm="1">
        <f t="array" ref="A197">choice(Salles!A:A,1,Settings!$B$16)</f>
        <v>Salle7</v>
      </c>
      <c r="B197" s="3" cm="1">
        <f t="array" ref="B197">alea_date(Settings!$B$11,360,-1,Settings!$B$16)</f>
        <v>46099.5</v>
      </c>
      <c r="C197" s="20" cm="1">
        <f t="array" ref="C197">B197+TIME(alea_int(1,4,Settings!$B$16),0,0)</f>
        <v>46099.666666666664</v>
      </c>
      <c r="D197" t="str" cm="1">
        <f t="array" ref="D197">choice(Settings!L:L,1,Settings!$B$16)</f>
        <v/>
      </c>
    </row>
    <row r="198" spans="1:4" ht="15.75" customHeight="1" x14ac:dyDescent="0.25">
      <c r="A198" s="2" t="str" cm="1">
        <f t="array" ref="A198">choice(Salles!A:A,1,Settings!$B$16)</f>
        <v>Salle10</v>
      </c>
      <c r="B198" s="3" cm="1">
        <f t="array" ref="B198">alea_date(Settings!$B$11,360,-1,Settings!$B$16)</f>
        <v>46355.291666666664</v>
      </c>
      <c r="C198" s="20" cm="1">
        <f t="array" ref="C198">B198+TIME(alea_int(1,4,Settings!$B$16),0,0)</f>
        <v>46355.458333333328</v>
      </c>
      <c r="D198" t="str" cm="1">
        <f t="array" ref="D198">choice(Settings!L:L,1,Settings!$B$16)</f>
        <v/>
      </c>
    </row>
    <row r="199" spans="1:4" ht="15.75" customHeight="1" x14ac:dyDescent="0.25">
      <c r="A199" s="2" t="str" cm="1">
        <f t="array" ref="A199">choice(Salles!A:A,1,Settings!$B$16)</f>
        <v>Salle66</v>
      </c>
      <c r="B199" s="3" cm="1">
        <f t="array" ref="B199">alea_date(Settings!$B$11,360,-1,Settings!$B$16)</f>
        <v>46210.25</v>
      </c>
      <c r="C199" s="20" cm="1">
        <f t="array" ref="C199">B199+TIME(alea_int(1,4,Settings!$B$16),0,0)</f>
        <v>46210.416666666664</v>
      </c>
      <c r="D199" t="str" cm="1">
        <f t="array" ref="D199">choice(Settings!L:L,1,Settings!$B$16)</f>
        <v/>
      </c>
    </row>
    <row r="200" spans="1:4" ht="15.75" customHeight="1" x14ac:dyDescent="0.25">
      <c r="A200" s="2" t="str" cm="1">
        <f t="array" ref="A200">choice(Salles!A:A,1,Settings!$B$16)</f>
        <v>Salle25</v>
      </c>
      <c r="B200" s="3" cm="1">
        <f t="array" ref="B200">alea_date(Settings!$B$11,360,-1,Settings!$B$16)</f>
        <v>46135.333333333336</v>
      </c>
      <c r="C200" s="20" cm="1">
        <f t="array" ref="C200">B200+TIME(alea_int(1,4,Settings!$B$16),0,0)</f>
        <v>46135.5</v>
      </c>
      <c r="D200" t="str" cm="1">
        <f t="array" ref="D200">choice(Settings!L:L,1,Settings!$B$16)</f>
        <v/>
      </c>
    </row>
    <row r="201" spans="1:4" ht="15.75" customHeight="1" x14ac:dyDescent="0.25">
      <c r="A201" s="2" t="str" cm="1">
        <f t="array" ref="A201">choice(Salles!A:A,1,Settings!$B$16)</f>
        <v>Salle28</v>
      </c>
      <c r="B201" s="3" cm="1">
        <f t="array" ref="B201">alea_date(Settings!$B$11,360,-1,Settings!$B$16)</f>
        <v>46165.375</v>
      </c>
      <c r="C201" s="20" cm="1">
        <f t="array" ref="C201">B201+TIME(alea_int(1,4,Settings!$B$16),0,0)</f>
        <v>46165.541666666664</v>
      </c>
      <c r="D201" t="str" cm="1">
        <f t="array" ref="D201">choice(Settings!L:L,1,Settings!$B$16)</f>
        <v/>
      </c>
    </row>
    <row r="202" spans="1:4" ht="15.75" customHeight="1" x14ac:dyDescent="0.25">
      <c r="A202" s="2" t="str" cm="1">
        <f t="array" ref="A202">choice(Salles!A:A,1,Settings!$B$16)</f>
        <v>Salle13</v>
      </c>
      <c r="B202" s="3" cm="1">
        <f t="array" ref="B202">alea_date(Settings!$B$11,360,-1,Settings!$B$16)</f>
        <v>46245.416666666664</v>
      </c>
      <c r="C202" s="20" cm="1">
        <f t="array" ref="C202">B202+TIME(alea_int(1,4,Settings!$B$16),0,0)</f>
        <v>46245.583333333328</v>
      </c>
      <c r="D202" t="str" cm="1">
        <f t="array" ref="D202">choice(Settings!L:L,1,Settings!$B$16)</f>
        <v/>
      </c>
    </row>
    <row r="203" spans="1:4" ht="15.75" customHeight="1" x14ac:dyDescent="0.25">
      <c r="A203" s="2" t="str" cm="1">
        <f t="array" ref="A203">choice(Salles!A:A,1,Settings!$B$16)</f>
        <v>Salle23</v>
      </c>
      <c r="B203" s="3" cm="1">
        <f t="array" ref="B203">alea_date(Settings!$B$11,360,-1,Settings!$B$16)</f>
        <v>46158.333333333336</v>
      </c>
      <c r="C203" s="20" cm="1">
        <f t="array" ref="C203">B203+TIME(alea_int(1,4,Settings!$B$16),0,0)</f>
        <v>46158.5</v>
      </c>
      <c r="D203" t="str" cm="1">
        <f t="array" ref="D203">choice(Settings!L:L,1,Settings!$B$16)</f>
        <v>mardi</v>
      </c>
    </row>
    <row r="204" spans="1:4" ht="15.75" customHeight="1" x14ac:dyDescent="0.25">
      <c r="A204" s="2" t="str" cm="1">
        <f t="array" ref="A204">choice(Salles!A:A,1,Settings!$B$16)</f>
        <v>Salle2</v>
      </c>
      <c r="B204" s="3" cm="1">
        <f t="array" ref="B204">alea_date(Settings!$B$11,360,-1,Settings!$B$16)</f>
        <v>46113.458333333336</v>
      </c>
      <c r="C204" s="20" cm="1">
        <f t="array" ref="C204">B204+TIME(alea_int(1,4,Settings!$B$16),0,0)</f>
        <v>46113.625</v>
      </c>
      <c r="D204" t="str" cm="1">
        <f t="array" ref="D204">choice(Settings!L:L,1,Settings!$B$16)</f>
        <v/>
      </c>
    </row>
    <row r="205" spans="1:4" ht="15.75" customHeight="1" x14ac:dyDescent="0.25">
      <c r="A205" s="2" t="str" cm="1">
        <f t="array" ref="A205">choice(Salles!A:A,1,Settings!$B$16)</f>
        <v>Salle49</v>
      </c>
      <c r="B205" s="3" cm="1">
        <f t="array" ref="B205">alea_date(Settings!$B$11,360,-1,Settings!$B$16)</f>
        <v>46146.541666666664</v>
      </c>
      <c r="C205" s="20" cm="1">
        <f t="array" ref="C205">B205+TIME(alea_int(1,4,Settings!$B$16),0,0)</f>
        <v>46146.708333333328</v>
      </c>
      <c r="D205" t="str" cm="1">
        <f t="array" ref="D205">choice(Settings!L:L,1,Settings!$B$16)</f>
        <v/>
      </c>
    </row>
    <row r="206" spans="1:4" ht="15.75" customHeight="1" x14ac:dyDescent="0.25">
      <c r="A206" s="2" t="str" cm="1">
        <f t="array" ref="A206">choice(Salles!A:A,1,Settings!$B$16)</f>
        <v>Salle63</v>
      </c>
      <c r="B206" s="3" cm="1">
        <f t="array" ref="B206">alea_date(Settings!$B$11,360,-1,Settings!$B$16)</f>
        <v>46367.541666666664</v>
      </c>
      <c r="C206" s="20" cm="1">
        <f t="array" ref="C206">B206+TIME(alea_int(1,4,Settings!$B$16),0,0)</f>
        <v>46367.708333333328</v>
      </c>
      <c r="D206" t="str" cm="1">
        <f t="array" ref="D206">choice(Settings!L:L,1,Settings!$B$16)</f>
        <v>vendredi</v>
      </c>
    </row>
    <row r="207" spans="1:4" ht="15.75" customHeight="1" x14ac:dyDescent="0.25">
      <c r="A207" s="2" t="str" cm="1">
        <f t="array" ref="A207">choice(Salles!A:A,1,Settings!$B$16)</f>
        <v>Salle38</v>
      </c>
      <c r="B207" s="3" cm="1">
        <f t="array" ref="B207">alea_date(Settings!$B$11,360,-1,Settings!$B$16)</f>
        <v>46186.5</v>
      </c>
      <c r="C207" s="20" cm="1">
        <f t="array" ref="C207">B207+TIME(alea_int(1,4,Settings!$B$16),0,0)</f>
        <v>46186.666666666664</v>
      </c>
      <c r="D207" t="str" cm="1">
        <f t="array" ref="D207">choice(Settings!L:L,1,Settings!$B$16)</f>
        <v/>
      </c>
    </row>
    <row r="208" spans="1:4" ht="15.75" customHeight="1" x14ac:dyDescent="0.25">
      <c r="A208" s="2" t="str" cm="1">
        <f t="array" ref="A208">choice(Salles!A:A,1,Settings!$B$16)</f>
        <v>Salle44</v>
      </c>
      <c r="B208" s="3" cm="1">
        <f t="array" ref="B208">alea_date(Settings!$B$11,360,-1,Settings!$B$16)</f>
        <v>46260.25</v>
      </c>
      <c r="C208" s="20" cm="1">
        <f t="array" ref="C208">B208+TIME(alea_int(1,4,Settings!$B$16),0,0)</f>
        <v>46260.416666666664</v>
      </c>
      <c r="D208" t="str" cm="1">
        <f t="array" ref="D208">choice(Settings!L:L,1,Settings!$B$16)</f>
        <v/>
      </c>
    </row>
    <row r="209" spans="1:4" ht="15.75" customHeight="1" x14ac:dyDescent="0.25">
      <c r="A209" s="2" t="str" cm="1">
        <f t="array" ref="A209">choice(Salles!A:A,1,Settings!$B$16)</f>
        <v>Salle61</v>
      </c>
      <c r="B209" s="3" cm="1">
        <f t="array" ref="B209">alea_date(Settings!$B$11,360,-1,Settings!$B$16)</f>
        <v>46319.333333333336</v>
      </c>
      <c r="C209" s="20" cm="1">
        <f t="array" ref="C209">B209+TIME(alea_int(1,4,Settings!$B$16),0,0)</f>
        <v>46319.5</v>
      </c>
      <c r="D209" t="str" cm="1">
        <f t="array" ref="D209">choice(Settings!L:L,1,Settings!$B$16)</f>
        <v/>
      </c>
    </row>
    <row r="210" spans="1:4" ht="15.75" customHeight="1" x14ac:dyDescent="0.25">
      <c r="A210" s="2" t="str" cm="1">
        <f t="array" ref="A210">choice(Salles!A:A,1,Settings!$B$16)</f>
        <v>Salle34</v>
      </c>
      <c r="B210" s="3" cm="1">
        <f t="array" ref="B210">alea_date(Settings!$B$11,360,-1,Settings!$B$16)</f>
        <v>46148.416666666664</v>
      </c>
      <c r="C210" s="20" cm="1">
        <f t="array" ref="C210">B210+TIME(alea_int(1,4,Settings!$B$16),0,0)</f>
        <v>46148.583333333328</v>
      </c>
      <c r="D210" t="str" cm="1">
        <f t="array" ref="D210">choice(Settings!L:L,1,Settings!$B$16)</f>
        <v/>
      </c>
    </row>
    <row r="211" spans="1:4" ht="15.75" customHeight="1" x14ac:dyDescent="0.25">
      <c r="A211" s="2" t="str" cm="1">
        <f t="array" ref="A211">choice(Salles!A:A,1,Settings!$B$16)</f>
        <v>Salle12</v>
      </c>
      <c r="B211" s="3" cm="1">
        <f t="array" ref="B211">alea_date(Settings!$B$11,360,-1,Settings!$B$16)</f>
        <v>46160.625</v>
      </c>
      <c r="C211" s="20" cm="1">
        <f t="array" ref="C211">B211+TIME(alea_int(1,4,Settings!$B$16),0,0)</f>
        <v>46160.791666666664</v>
      </c>
      <c r="D211" t="str" cm="1">
        <f t="array" ref="D211">choice(Settings!L:L,1,Settings!$B$16)</f>
        <v/>
      </c>
    </row>
    <row r="212" spans="1:4" ht="15.75" customHeight="1" x14ac:dyDescent="0.25">
      <c r="A212" s="2" t="str" cm="1">
        <f t="array" ref="A212">choice(Salles!A:A,1,Settings!$B$16)</f>
        <v>Salle6</v>
      </c>
      <c r="B212" s="3" cm="1">
        <f t="array" ref="B212">alea_date(Settings!$B$11,360,-1,Settings!$B$16)</f>
        <v>46213.291666666664</v>
      </c>
      <c r="C212" s="20" cm="1">
        <f t="array" ref="C212">B212+TIME(alea_int(1,4,Settings!$B$16),0,0)</f>
        <v>46213.458333333328</v>
      </c>
      <c r="D212" t="str" cm="1">
        <f t="array" ref="D212">choice(Settings!L:L,1,Settings!$B$16)</f>
        <v/>
      </c>
    </row>
    <row r="213" spans="1:4" ht="15.75" customHeight="1" x14ac:dyDescent="0.25">
      <c r="A213" s="2" t="str" cm="1">
        <f t="array" ref="A213">choice(Salles!A:A,1,Settings!$B$16)</f>
        <v>Salle44</v>
      </c>
      <c r="B213" s="3" cm="1">
        <f t="array" ref="B213">alea_date(Settings!$B$11,360,-1,Settings!$B$16)</f>
        <v>46068.291666666664</v>
      </c>
      <c r="C213" s="20" cm="1">
        <f t="array" ref="C213">B213+TIME(alea_int(1,4,Settings!$B$16),0,0)</f>
        <v>46068.458333333328</v>
      </c>
      <c r="D213" t="str" cm="1">
        <f t="array" ref="D213">choice(Settings!L:L,1,Settings!$B$16)</f>
        <v/>
      </c>
    </row>
    <row r="214" spans="1:4" ht="15.75" customHeight="1" x14ac:dyDescent="0.25">
      <c r="A214" s="2" t="str" cm="1">
        <f t="array" ref="A214">choice(Salles!A:A,1,Settings!$B$16)</f>
        <v>Salle68</v>
      </c>
      <c r="B214" s="3" cm="1">
        <f t="array" ref="B214">alea_date(Settings!$B$11,360,-1,Settings!$B$16)</f>
        <v>46082.625</v>
      </c>
      <c r="C214" s="20" cm="1">
        <f t="array" ref="C214">B214+TIME(alea_int(1,4,Settings!$B$16),0,0)</f>
        <v>46082.791666666664</v>
      </c>
      <c r="D214" t="str" cm="1">
        <f t="array" ref="D214">choice(Settings!L:L,1,Settings!$B$16)</f>
        <v/>
      </c>
    </row>
    <row r="215" spans="1:4" ht="15.75" customHeight="1" x14ac:dyDescent="0.25">
      <c r="A215" s="2" t="str" cm="1">
        <f t="array" ref="A215">choice(Salles!A:A,1,Settings!$B$16)</f>
        <v>Salle21</v>
      </c>
      <c r="B215" s="3" cm="1">
        <f t="array" ref="B215">alea_date(Settings!$B$11,360,-1,Settings!$B$16)</f>
        <v>46235.541666666664</v>
      </c>
      <c r="C215" s="20" cm="1">
        <f t="array" ref="C215">B215+TIME(alea_int(1,4,Settings!$B$16),0,0)</f>
        <v>46235.708333333328</v>
      </c>
      <c r="D215" t="str" cm="1">
        <f t="array" ref="D215">choice(Settings!L:L,1,Settings!$B$16)</f>
        <v/>
      </c>
    </row>
    <row r="216" spans="1:4" ht="15.75" customHeight="1" x14ac:dyDescent="0.25">
      <c r="A216" s="2" t="str" cm="1">
        <f t="array" ref="A216">choice(Salles!A:A,1,Settings!$B$16)</f>
        <v>Salle47</v>
      </c>
      <c r="B216" s="3" cm="1">
        <f t="array" ref="B216">alea_date(Settings!$B$11,360,-1,Settings!$B$16)</f>
        <v>46344.541666666664</v>
      </c>
      <c r="C216" s="20" cm="1">
        <f t="array" ref="C216">B216+TIME(alea_int(1,4,Settings!$B$16),0,0)</f>
        <v>46344.708333333328</v>
      </c>
      <c r="D216" t="str" cm="1">
        <f t="array" ref="D216">choice(Settings!L:L,1,Settings!$B$16)</f>
        <v/>
      </c>
    </row>
    <row r="217" spans="1:4" ht="15.75" customHeight="1" x14ac:dyDescent="0.25">
      <c r="A217" s="2" t="str" cm="1">
        <f t="array" ref="A217">choice(Salles!A:A,1,Settings!$B$16)</f>
        <v>Salle39</v>
      </c>
      <c r="B217" s="3" cm="1">
        <f t="array" ref="B217">alea_date(Settings!$B$11,360,-1,Settings!$B$16)</f>
        <v>46190.333333333336</v>
      </c>
      <c r="C217" s="20" cm="1">
        <f t="array" ref="C217">B217+TIME(alea_int(1,4,Settings!$B$16),0,0)</f>
        <v>46190.5</v>
      </c>
      <c r="D217" t="str" cm="1">
        <f t="array" ref="D217">choice(Settings!L:L,1,Settings!$B$16)</f>
        <v/>
      </c>
    </row>
    <row r="218" spans="1:4" ht="15.75" customHeight="1" x14ac:dyDescent="0.25">
      <c r="A218" s="2" t="str" cm="1">
        <f t="array" ref="A218">choice(Salles!A:A,1,Settings!$B$16)</f>
        <v>Salle51</v>
      </c>
      <c r="B218" s="3" cm="1">
        <f t="array" ref="B218">alea_date(Settings!$B$11,360,-1,Settings!$B$16)</f>
        <v>46309.333333333336</v>
      </c>
      <c r="C218" s="20" cm="1">
        <f t="array" ref="C218">B218+TIME(alea_int(1,4,Settings!$B$16),0,0)</f>
        <v>46309.5</v>
      </c>
      <c r="D218" t="str" cm="1">
        <f t="array" ref="D218">choice(Settings!L:L,1,Settings!$B$16)</f>
        <v/>
      </c>
    </row>
    <row r="219" spans="1:4" ht="15.75" customHeight="1" x14ac:dyDescent="0.25">
      <c r="A219" s="2" t="str" cm="1">
        <f t="array" ref="A219">choice(Salles!A:A,1,Settings!$B$16)</f>
        <v>Salle4</v>
      </c>
      <c r="B219" s="3" cm="1">
        <f t="array" ref="B219">alea_date(Settings!$B$11,360,-1,Settings!$B$16)</f>
        <v>46382.333333333336</v>
      </c>
      <c r="C219" s="20" cm="1">
        <f t="array" ref="C219">B219+TIME(alea_int(1,4,Settings!$B$16),0,0)</f>
        <v>46382.5</v>
      </c>
      <c r="D219" t="str" cm="1">
        <f t="array" ref="D219">choice(Settings!L:L,1,Settings!$B$16)</f>
        <v/>
      </c>
    </row>
    <row r="220" spans="1:4" ht="15.75" customHeight="1" x14ac:dyDescent="0.25">
      <c r="A220" s="2" t="str" cm="1">
        <f t="array" ref="A220">choice(Salles!A:A,1,Settings!$B$16)</f>
        <v>Salle18</v>
      </c>
      <c r="B220" s="3" cm="1">
        <f t="array" ref="B220">alea_date(Settings!$B$11,360,-1,Settings!$B$16)</f>
        <v>46202.541666666664</v>
      </c>
      <c r="C220" s="20" cm="1">
        <f t="array" ref="C220">B220+TIME(alea_int(1,4,Settings!$B$16),0,0)</f>
        <v>46202.708333333328</v>
      </c>
      <c r="D220" t="str" cm="1">
        <f t="array" ref="D220">choice(Settings!L:L,1,Settings!$B$16)</f>
        <v/>
      </c>
    </row>
    <row r="221" spans="1:4" ht="15.75" customHeight="1" x14ac:dyDescent="0.25">
      <c r="A221" s="2" t="str" cm="1">
        <f t="array" ref="A221">choice(Salles!A:A,1,Settings!$B$16)</f>
        <v>Salle57</v>
      </c>
      <c r="B221" s="3" cm="1">
        <f t="array" ref="B221">alea_date(Settings!$B$11,360,-1,Settings!$B$16)</f>
        <v>46217.25</v>
      </c>
      <c r="C221" s="20" cm="1">
        <f t="array" ref="C221">B221+TIME(alea_int(1,4,Settings!$B$16),0,0)</f>
        <v>46217.416666666664</v>
      </c>
      <c r="D221" t="str" cm="1">
        <f t="array" ref="D221">choice(Settings!L:L,1,Settings!$B$16)</f>
        <v/>
      </c>
    </row>
    <row r="222" spans="1:4" ht="15.75" customHeight="1" x14ac:dyDescent="0.25">
      <c r="A222" s="2" t="str" cm="1">
        <f t="array" ref="A222">choice(Salles!A:A,1,Settings!$B$16)</f>
        <v>Salle39</v>
      </c>
      <c r="B222" s="3" cm="1">
        <f t="array" ref="B222">alea_date(Settings!$B$11,360,-1,Settings!$B$16)</f>
        <v>46224.416666666664</v>
      </c>
      <c r="C222" s="20" cm="1">
        <f t="array" ref="C222">B222+TIME(alea_int(1,4,Settings!$B$16),0,0)</f>
        <v>46224.583333333328</v>
      </c>
      <c r="D222" t="str" cm="1">
        <f t="array" ref="D222">choice(Settings!L:L,1,Settings!$B$16)</f>
        <v>lundi</v>
      </c>
    </row>
    <row r="223" spans="1:4" ht="15.75" customHeight="1" x14ac:dyDescent="0.25">
      <c r="A223" s="2" t="str" cm="1">
        <f t="array" ref="A223">choice(Salles!A:A,1,Settings!$B$16)</f>
        <v>Salle16</v>
      </c>
      <c r="B223" s="3" cm="1">
        <f t="array" ref="B223">alea_date(Settings!$B$11,360,-1,Settings!$B$16)</f>
        <v>46092.625</v>
      </c>
      <c r="C223" s="20" cm="1">
        <f t="array" ref="C223">B223+TIME(alea_int(1,4,Settings!$B$16),0,0)</f>
        <v>46092.791666666664</v>
      </c>
      <c r="D223" t="str" cm="1">
        <f t="array" ref="D223">choice(Settings!L:L,1,Settings!$B$16)</f>
        <v>vendredi</v>
      </c>
    </row>
    <row r="224" spans="1:4" ht="15.75" customHeight="1" x14ac:dyDescent="0.25">
      <c r="A224" s="2" t="str" cm="1">
        <f t="array" ref="A224">choice(Salles!A:A,1,Settings!$B$16)</f>
        <v>Salle29</v>
      </c>
      <c r="B224" s="3" cm="1">
        <f t="array" ref="B224">alea_date(Settings!$B$11,360,-1,Settings!$B$16)</f>
        <v>46071.625</v>
      </c>
      <c r="C224" s="20" cm="1">
        <f t="array" ref="C224">B224+TIME(alea_int(1,4,Settings!$B$16),0,0)</f>
        <v>46071.791666666664</v>
      </c>
      <c r="D224" t="str" cm="1">
        <f t="array" ref="D224">choice(Settings!L:L,1,Settings!$B$16)</f>
        <v/>
      </c>
    </row>
    <row r="225" spans="1:4" ht="15.75" customHeight="1" x14ac:dyDescent="0.25">
      <c r="A225" s="2" t="str" cm="1">
        <f t="array" ref="A225">choice(Salles!A:A,1,Settings!$B$16)</f>
        <v>Salle43</v>
      </c>
      <c r="B225" s="3" cm="1">
        <f t="array" ref="B225">alea_date(Settings!$B$11,360,-1,Settings!$B$16)</f>
        <v>46162.291666666664</v>
      </c>
      <c r="C225" s="20" cm="1">
        <f t="array" ref="C225">B225+TIME(alea_int(1,4,Settings!$B$16),0,0)</f>
        <v>46162.458333333328</v>
      </c>
      <c r="D225" t="str" cm="1">
        <f t="array" ref="D225">choice(Settings!L:L,1,Settings!$B$16)</f>
        <v/>
      </c>
    </row>
    <row r="226" spans="1:4" ht="15.75" customHeight="1" x14ac:dyDescent="0.25">
      <c r="A226" s="2" t="str" cm="1">
        <f t="array" ref="A226">choice(Salles!A:A,1,Settings!$B$16)</f>
        <v>Salle57</v>
      </c>
      <c r="B226" s="3" cm="1">
        <f t="array" ref="B226">alea_date(Settings!$B$11,360,-1,Settings!$B$16)</f>
        <v>46311.25</v>
      </c>
      <c r="C226" s="20" cm="1">
        <f t="array" ref="C226">B226+TIME(alea_int(1,4,Settings!$B$16),0,0)</f>
        <v>46311.416666666664</v>
      </c>
      <c r="D226" t="str" cm="1">
        <f t="array" ref="D226">choice(Settings!L:L,1,Settings!$B$16)</f>
        <v/>
      </c>
    </row>
    <row r="227" spans="1:4" ht="15.75" customHeight="1" x14ac:dyDescent="0.25">
      <c r="A227" s="2" t="str" cm="1">
        <f t="array" ref="A227">choice(Salles!A:A,1,Settings!$B$16)</f>
        <v>Salle2</v>
      </c>
      <c r="B227" s="3" cm="1">
        <f t="array" ref="B227">alea_date(Settings!$B$11,360,-1,Settings!$B$16)</f>
        <v>46229.583333333336</v>
      </c>
      <c r="C227" s="20" cm="1">
        <f t="array" ref="C227">B227+TIME(alea_int(1,4,Settings!$B$16),0,0)</f>
        <v>46229.75</v>
      </c>
      <c r="D227" t="str" cm="1">
        <f t="array" ref="D227">choice(Settings!L:L,1,Settings!$B$16)</f>
        <v>mardi</v>
      </c>
    </row>
    <row r="228" spans="1:4" ht="15.75" customHeight="1" x14ac:dyDescent="0.25">
      <c r="A228" s="2" t="str" cm="1">
        <f t="array" ref="A228">choice(Salles!A:A,1,Settings!$B$16)</f>
        <v>Salle66</v>
      </c>
      <c r="B228" s="3" cm="1">
        <f t="array" ref="B228">alea_date(Settings!$B$11,360,-1,Settings!$B$16)</f>
        <v>46347.25</v>
      </c>
      <c r="C228" s="20" cm="1">
        <f t="array" ref="C228">B228+TIME(alea_int(1,4,Settings!$B$16),0,0)</f>
        <v>46347.416666666664</v>
      </c>
      <c r="D228" t="str" cm="1">
        <f t="array" ref="D228">choice(Settings!L:L,1,Settings!$B$16)</f>
        <v/>
      </c>
    </row>
    <row r="229" spans="1:4" ht="15.75" customHeight="1" x14ac:dyDescent="0.25">
      <c r="A229" s="2" t="str" cm="1">
        <f t="array" ref="A229">choice(Salles!A:A,1,Settings!$B$16)</f>
        <v>Salle2</v>
      </c>
      <c r="B229" s="3" cm="1">
        <f t="array" ref="B229">alea_date(Settings!$B$11,360,-1,Settings!$B$16)</f>
        <v>46333.625</v>
      </c>
      <c r="C229" s="20" cm="1">
        <f t="array" ref="C229">B229+TIME(alea_int(1,4,Settings!$B$16),0,0)</f>
        <v>46333.791666666664</v>
      </c>
      <c r="D229" t="str" cm="1">
        <f t="array" ref="D229">choice(Settings!L:L,1,Settings!$B$16)</f>
        <v/>
      </c>
    </row>
    <row r="230" spans="1:4" ht="15.75" customHeight="1" x14ac:dyDescent="0.25">
      <c r="A230" s="2" t="str" cm="1">
        <f t="array" ref="A230">choice(Salles!A:A,1,Settings!$B$16)</f>
        <v>Salle4</v>
      </c>
      <c r="B230" s="3" cm="1">
        <f t="array" ref="B230">alea_date(Settings!$B$11,360,-1,Settings!$B$16)</f>
        <v>46283.583333333336</v>
      </c>
      <c r="C230" s="20" cm="1">
        <f t="array" ref="C230">B230+TIME(alea_int(1,4,Settings!$B$16),0,0)</f>
        <v>46283.75</v>
      </c>
      <c r="D230" t="str" cm="1">
        <f t="array" ref="D230">choice(Settings!L:L,1,Settings!$B$16)</f>
        <v/>
      </c>
    </row>
    <row r="231" spans="1:4" ht="15.75" customHeight="1" x14ac:dyDescent="0.25">
      <c r="A231" s="2" t="str" cm="1">
        <f t="array" ref="A231">choice(Salles!A:A,1,Settings!$B$16)</f>
        <v>Salle7</v>
      </c>
      <c r="B231" s="3" cm="1">
        <f t="array" ref="B231">alea_date(Settings!$B$11,360,-1,Settings!$B$16)</f>
        <v>46205.291666666664</v>
      </c>
      <c r="C231" s="20" cm="1">
        <f t="array" ref="C231">B231+TIME(alea_int(1,4,Settings!$B$16),0,0)</f>
        <v>46205.458333333328</v>
      </c>
      <c r="D231" t="str" cm="1">
        <f t="array" ref="D231">choice(Settings!L:L,1,Settings!$B$16)</f>
        <v/>
      </c>
    </row>
    <row r="232" spans="1:4" ht="15.75" customHeight="1" x14ac:dyDescent="0.25">
      <c r="A232" s="2" t="str" cm="1">
        <f t="array" ref="A232">choice(Salles!A:A,1,Settings!$B$16)</f>
        <v>Salle46</v>
      </c>
      <c r="B232" s="3" cm="1">
        <f t="array" ref="B232">alea_date(Settings!$B$11,360,-1,Settings!$B$16)</f>
        <v>46262.375</v>
      </c>
      <c r="C232" s="20" cm="1">
        <f t="array" ref="C232">B232+TIME(alea_int(1,4,Settings!$B$16),0,0)</f>
        <v>46262.541666666664</v>
      </c>
      <c r="D232" t="str" cm="1">
        <f t="array" ref="D232">choice(Settings!L:L,1,Settings!$B$16)</f>
        <v/>
      </c>
    </row>
    <row r="233" spans="1:4" ht="15.75" customHeight="1" x14ac:dyDescent="0.25">
      <c r="A233" s="2" t="str" cm="1">
        <f t="array" ref="A233">choice(Salles!A:A,1,Settings!$B$16)</f>
        <v>Salle9</v>
      </c>
      <c r="B233" s="3" cm="1">
        <f t="array" ref="B233">alea_date(Settings!$B$11,360,-1,Settings!$B$16)</f>
        <v>46119.375</v>
      </c>
      <c r="C233" s="20" cm="1">
        <f t="array" ref="C233">B233+TIME(alea_int(1,4,Settings!$B$16),0,0)</f>
        <v>46119.541666666664</v>
      </c>
      <c r="D233" t="str" cm="1">
        <f t="array" ref="D233">choice(Settings!L:L,1,Settings!$B$16)</f>
        <v/>
      </c>
    </row>
    <row r="234" spans="1:4" ht="15.75" customHeight="1" x14ac:dyDescent="0.25">
      <c r="A234" s="2" t="str" cm="1">
        <f t="array" ref="A234">choice(Salles!A:A,1,Settings!$B$16)</f>
        <v>Salle3</v>
      </c>
      <c r="B234" s="3" cm="1">
        <f t="array" ref="B234">alea_date(Settings!$B$11,360,-1,Settings!$B$16)</f>
        <v>46284.25</v>
      </c>
      <c r="C234" s="20" cm="1">
        <f t="array" ref="C234">B234+TIME(alea_int(1,4,Settings!$B$16),0,0)</f>
        <v>46284.416666666664</v>
      </c>
      <c r="D234" t="str" cm="1">
        <f t="array" ref="D234">choice(Settings!L:L,1,Settings!$B$16)</f>
        <v/>
      </c>
    </row>
    <row r="235" spans="1:4" ht="15.75" customHeight="1" x14ac:dyDescent="0.25">
      <c r="A235" s="2" t="str" cm="1">
        <f t="array" ref="A235">choice(Salles!A:A,1,Settings!$B$16)</f>
        <v>Salle26</v>
      </c>
      <c r="B235" s="3" cm="1">
        <f t="array" ref="B235">alea_date(Settings!$B$11,360,-1,Settings!$B$16)</f>
        <v>46051.625</v>
      </c>
      <c r="C235" s="20" cm="1">
        <f t="array" ref="C235">B235+TIME(alea_int(1,4,Settings!$B$16),0,0)</f>
        <v>46051.791666666664</v>
      </c>
      <c r="D235" t="str" cm="1">
        <f t="array" ref="D235">choice(Settings!L:L,1,Settings!$B$16)</f>
        <v/>
      </c>
    </row>
    <row r="236" spans="1:4" ht="15.75" customHeight="1" x14ac:dyDescent="0.25">
      <c r="A236" s="2" t="str" cm="1">
        <f t="array" ref="A236">choice(Salles!A:A,1,Settings!$B$16)</f>
        <v>Salle67</v>
      </c>
      <c r="B236" s="3" cm="1">
        <f t="array" ref="B236">alea_date(Settings!$B$11,360,-1,Settings!$B$16)</f>
        <v>46113.25</v>
      </c>
      <c r="C236" s="20" cm="1">
        <f t="array" ref="C236">B236+TIME(alea_int(1,4,Settings!$B$16),0,0)</f>
        <v>46113.416666666664</v>
      </c>
      <c r="D236" t="str" cm="1">
        <f t="array" ref="D236">choice(Settings!L:L,1,Settings!$B$16)</f>
        <v/>
      </c>
    </row>
    <row r="237" spans="1:4" ht="15.75" customHeight="1" x14ac:dyDescent="0.25">
      <c r="A237" s="2" t="str" cm="1">
        <f t="array" ref="A237">choice(Salles!A:A,1,Settings!$B$16)</f>
        <v>Salle7</v>
      </c>
      <c r="B237" s="3" cm="1">
        <f t="array" ref="B237">alea_date(Settings!$B$11,360,-1,Settings!$B$16)</f>
        <v>46136.416666666664</v>
      </c>
      <c r="C237" s="20" cm="1">
        <f t="array" ref="C237">B237+TIME(alea_int(1,4,Settings!$B$16),0,0)</f>
        <v>46136.583333333328</v>
      </c>
      <c r="D237" t="str" cm="1">
        <f t="array" ref="D237">choice(Settings!L:L,1,Settings!$B$16)</f>
        <v/>
      </c>
    </row>
    <row r="238" spans="1:4" ht="15.75" customHeight="1" x14ac:dyDescent="0.25">
      <c r="A238" s="2" t="str" cm="1">
        <f t="array" ref="A238">choice(Salles!A:A,1,Settings!$B$16)</f>
        <v>Salle41</v>
      </c>
      <c r="B238" s="3" cm="1">
        <f t="array" ref="B238">alea_date(Settings!$B$11,360,-1,Settings!$B$16)</f>
        <v>46146.375</v>
      </c>
      <c r="C238" s="20" cm="1">
        <f t="array" ref="C238">B238+TIME(alea_int(1,4,Settings!$B$16),0,0)</f>
        <v>46146.541666666664</v>
      </c>
      <c r="D238" t="str" cm="1">
        <f t="array" ref="D238">choice(Settings!L:L,1,Settings!$B$16)</f>
        <v/>
      </c>
    </row>
    <row r="239" spans="1:4" ht="15.75" customHeight="1" x14ac:dyDescent="0.25">
      <c r="A239" s="2" t="str" cm="1">
        <f t="array" ref="A239">choice(Salles!A:A,1,Settings!$B$16)</f>
        <v>Salle11</v>
      </c>
      <c r="B239" s="3" cm="1">
        <f t="array" ref="B239">alea_date(Settings!$B$11,360,-1,Settings!$B$16)</f>
        <v>46308.291666666664</v>
      </c>
      <c r="C239" s="20" cm="1">
        <f t="array" ref="C239">B239+TIME(alea_int(1,4,Settings!$B$16),0,0)</f>
        <v>46308.458333333328</v>
      </c>
      <c r="D239" t="str" cm="1">
        <f t="array" ref="D239">choice(Settings!L:L,1,Settings!$B$16)</f>
        <v/>
      </c>
    </row>
    <row r="240" spans="1:4" ht="15.75" customHeight="1" x14ac:dyDescent="0.25">
      <c r="A240" s="2" t="str" cm="1">
        <f t="array" ref="A240">choice(Salles!A:A,1,Settings!$B$16)</f>
        <v>Salle39</v>
      </c>
      <c r="B240" s="3" cm="1">
        <f t="array" ref="B240">alea_date(Settings!$B$11,360,-1,Settings!$B$16)</f>
        <v>46291.25</v>
      </c>
      <c r="C240" s="20" cm="1">
        <f t="array" ref="C240">B240+TIME(alea_int(1,4,Settings!$B$16),0,0)</f>
        <v>46291.416666666664</v>
      </c>
      <c r="D240" t="str" cm="1">
        <f t="array" ref="D240">choice(Settings!L:L,1,Settings!$B$16)</f>
        <v/>
      </c>
    </row>
    <row r="241" spans="1:4" ht="15.75" customHeight="1" x14ac:dyDescent="0.25">
      <c r="A241" s="2" t="str" cm="1">
        <f t="array" ref="A241">choice(Salles!A:A,1,Settings!$B$16)</f>
        <v>Salle50</v>
      </c>
      <c r="B241" s="3" cm="1">
        <f t="array" ref="B241">alea_date(Settings!$B$11,360,-1,Settings!$B$16)</f>
        <v>46365.458333333336</v>
      </c>
      <c r="C241" s="20" cm="1">
        <f t="array" ref="C241">B241+TIME(alea_int(1,4,Settings!$B$16),0,0)</f>
        <v>46365.625</v>
      </c>
      <c r="D241" t="str" cm="1">
        <f t="array" ref="D241">choice(Settings!L:L,1,Settings!$B$16)</f>
        <v/>
      </c>
    </row>
    <row r="242" spans="1:4" ht="15.75" customHeight="1" x14ac:dyDescent="0.25">
      <c r="A242" s="2" t="str" cm="1">
        <f t="array" ref="A242">choice(Salles!A:A,1,Settings!$B$16)</f>
        <v>Salle46</v>
      </c>
      <c r="B242" s="3" cm="1">
        <f t="array" ref="B242">alea_date(Settings!$B$11,360,-1,Settings!$B$16)</f>
        <v>46261.458333333336</v>
      </c>
      <c r="C242" s="20" cm="1">
        <f t="array" ref="C242">B242+TIME(alea_int(1,4,Settings!$B$16),0,0)</f>
        <v>46261.625</v>
      </c>
      <c r="D242" t="str" cm="1">
        <f t="array" ref="D242">choice(Settings!L:L,1,Settings!$B$16)</f>
        <v/>
      </c>
    </row>
    <row r="243" spans="1:4" ht="15.75" customHeight="1" x14ac:dyDescent="0.25">
      <c r="A243" s="2" t="str" cm="1">
        <f t="array" ref="A243">choice(Salles!A:A,1,Settings!$B$16)</f>
        <v>Salle66</v>
      </c>
      <c r="B243" s="3" cm="1">
        <f t="array" ref="B243">alea_date(Settings!$B$11,360,-1,Settings!$B$16)</f>
        <v>46175.541666666664</v>
      </c>
      <c r="C243" s="20" cm="1">
        <f t="array" ref="C243">B243+TIME(alea_int(1,4,Settings!$B$16),0,0)</f>
        <v>46175.708333333328</v>
      </c>
      <c r="D243" t="str" cm="1">
        <f t="array" ref="D243">choice(Settings!L:L,1,Settings!$B$16)</f>
        <v/>
      </c>
    </row>
    <row r="244" spans="1:4" ht="15.75" customHeight="1" x14ac:dyDescent="0.25">
      <c r="A244" s="2" t="str" cm="1">
        <f t="array" ref="A244">choice(Salles!A:A,1,Settings!$B$16)</f>
        <v>Salle60</v>
      </c>
      <c r="B244" s="3" cm="1">
        <f t="array" ref="B244">alea_date(Settings!$B$11,360,-1,Settings!$B$16)</f>
        <v>46159.583333333336</v>
      </c>
      <c r="C244" s="20" cm="1">
        <f t="array" ref="C244">B244+TIME(alea_int(1,4,Settings!$B$16),0,0)</f>
        <v>46159.75</v>
      </c>
      <c r="D244" t="str" cm="1">
        <f t="array" ref="D244">choice(Settings!L:L,1,Settings!$B$16)</f>
        <v/>
      </c>
    </row>
    <row r="245" spans="1:4" ht="15.75" customHeight="1" x14ac:dyDescent="0.25">
      <c r="A245" s="2" t="str" cm="1">
        <f t="array" ref="A245">choice(Salles!A:A,1,Settings!$B$16)</f>
        <v>Salle15</v>
      </c>
      <c r="B245" s="3" cm="1">
        <f t="array" ref="B245">alea_date(Settings!$B$11,360,-1,Settings!$B$16)</f>
        <v>46305.416666666664</v>
      </c>
      <c r="C245" s="20" cm="1">
        <f t="array" ref="C245">B245+TIME(alea_int(1,4,Settings!$B$16),0,0)</f>
        <v>46305.583333333328</v>
      </c>
      <c r="D245" t="str" cm="1">
        <f t="array" ref="D245">choice(Settings!L:L,1,Settings!$B$16)</f>
        <v/>
      </c>
    </row>
    <row r="246" spans="1:4" ht="15.75" customHeight="1" x14ac:dyDescent="0.25">
      <c r="A246" s="2" t="str" cm="1">
        <f t="array" ref="A246">choice(Salles!A:A,1,Settings!$B$16)</f>
        <v>Salle8</v>
      </c>
      <c r="B246" s="3" cm="1">
        <f t="array" ref="B246">alea_date(Settings!$B$11,360,-1,Settings!$B$16)</f>
        <v>46221.333333333336</v>
      </c>
      <c r="C246" s="20" cm="1">
        <f t="array" ref="C246">B246+TIME(alea_int(1,4,Settings!$B$16),0,0)</f>
        <v>46221.5</v>
      </c>
      <c r="D246" t="str" cm="1">
        <f t="array" ref="D246">choice(Settings!L:L,1,Settings!$B$16)</f>
        <v/>
      </c>
    </row>
    <row r="247" spans="1:4" ht="15.75" customHeight="1" x14ac:dyDescent="0.25">
      <c r="A247" s="2" t="str" cm="1">
        <f t="array" ref="A247">choice(Salles!A:A,1,Settings!$B$16)</f>
        <v>Salle64</v>
      </c>
      <c r="B247" s="3" cm="1">
        <f t="array" ref="B247">alea_date(Settings!$B$11,360,-1,Settings!$B$16)</f>
        <v>46117.541666666664</v>
      </c>
      <c r="C247" s="20" cm="1">
        <f t="array" ref="C247">B247+TIME(alea_int(1,4,Settings!$B$16),0,0)</f>
        <v>46117.708333333328</v>
      </c>
      <c r="D247" t="str" cm="1">
        <f t="array" ref="D247">choice(Settings!L:L,1,Settings!$B$16)</f>
        <v>mercredi</v>
      </c>
    </row>
    <row r="248" spans="1:4" ht="15.75" customHeight="1" x14ac:dyDescent="0.25">
      <c r="A248" s="2" t="str" cm="1">
        <f t="array" ref="A248">choice(Salles!A:A,1,Settings!$B$16)</f>
        <v>Salle43</v>
      </c>
      <c r="B248" s="3" cm="1">
        <f t="array" ref="B248">alea_date(Settings!$B$11,360,-1,Settings!$B$16)</f>
        <v>46051.375</v>
      </c>
      <c r="C248" s="20" cm="1">
        <f t="array" ref="C248">B248+TIME(alea_int(1,4,Settings!$B$16),0,0)</f>
        <v>46051.541666666664</v>
      </c>
      <c r="D248" t="str" cm="1">
        <f t="array" ref="D248">choice(Settings!L:L,1,Settings!$B$16)</f>
        <v/>
      </c>
    </row>
    <row r="249" spans="1:4" ht="15.75" customHeight="1" x14ac:dyDescent="0.25">
      <c r="A249" s="2" t="str" cm="1">
        <f t="array" ref="A249">choice(Salles!A:A,1,Settings!$B$16)</f>
        <v>Salle5</v>
      </c>
      <c r="B249" s="3" cm="1">
        <f t="array" ref="B249">alea_date(Settings!$B$11,360,-1,Settings!$B$16)</f>
        <v>46324.375</v>
      </c>
      <c r="C249" s="20" cm="1">
        <f t="array" ref="C249">B249+TIME(alea_int(1,4,Settings!$B$16),0,0)</f>
        <v>46324.541666666664</v>
      </c>
      <c r="D249" t="str" cm="1">
        <f t="array" ref="D249">choice(Settings!L:L,1,Settings!$B$16)</f>
        <v/>
      </c>
    </row>
    <row r="250" spans="1:4" ht="15.75" customHeight="1" x14ac:dyDescent="0.25">
      <c r="A250" s="2" t="str" cm="1">
        <f t="array" ref="A250">choice(Salles!A:A,1,Settings!$B$16)</f>
        <v>Salle22</v>
      </c>
      <c r="B250" s="3" cm="1">
        <f t="array" ref="B250">alea_date(Settings!$B$11,360,-1,Settings!$B$16)</f>
        <v>46205.625</v>
      </c>
      <c r="C250" s="20" cm="1">
        <f t="array" ref="C250">B250+TIME(alea_int(1,4,Settings!$B$16),0,0)</f>
        <v>46205.791666666664</v>
      </c>
      <c r="D250" t="str" cm="1">
        <f t="array" ref="D250">choice(Settings!L:L,1,Settings!$B$16)</f>
        <v/>
      </c>
    </row>
    <row r="251" spans="1:4" ht="15.75" customHeight="1" x14ac:dyDescent="0.25">
      <c r="A251" s="2" t="str" cm="1">
        <f t="array" ref="A251">choice(Salles!A:A,1,Settings!$B$16)</f>
        <v>Salle58</v>
      </c>
      <c r="B251" s="3" cm="1">
        <f t="array" ref="B251">alea_date(Settings!$B$11,360,-1,Settings!$B$16)</f>
        <v>46162.541666666664</v>
      </c>
      <c r="C251" s="20" cm="1">
        <f t="array" ref="C251">B251+TIME(alea_int(1,4,Settings!$B$16),0,0)</f>
        <v>46162.708333333328</v>
      </c>
      <c r="D251" t="str" cm="1">
        <f t="array" ref="D251">choice(Settings!L:L,1,Settings!$B$16)</f>
        <v/>
      </c>
    </row>
    <row r="252" spans="1:4" ht="15.75" customHeight="1" x14ac:dyDescent="0.25">
      <c r="A252" s="2" t="str" cm="1">
        <f t="array" ref="A252">choice(Salles!A:A,1,Settings!$B$16)</f>
        <v>Salle66</v>
      </c>
      <c r="B252" s="3" cm="1">
        <f t="array" ref="B252">alea_date(Settings!$B$11,360,-1,Settings!$B$16)</f>
        <v>46038.333333333336</v>
      </c>
      <c r="C252" s="20" cm="1">
        <f t="array" ref="C252">B252+TIME(alea_int(1,4,Settings!$B$16),0,0)</f>
        <v>46038.5</v>
      </c>
      <c r="D252" t="str" cm="1">
        <f t="array" ref="D252">choice(Settings!L:L,1,Settings!$B$16)</f>
        <v/>
      </c>
    </row>
    <row r="253" spans="1:4" ht="15.75" customHeight="1" x14ac:dyDescent="0.25">
      <c r="A253" s="2" t="str" cm="1">
        <f t="array" ref="A253">choice(Salles!A:A,1,Settings!$B$16)</f>
        <v>Salle48</v>
      </c>
      <c r="B253" s="3" cm="1">
        <f t="array" ref="B253">alea_date(Settings!$B$11,360,-1,Settings!$B$16)</f>
        <v>46317.541666666664</v>
      </c>
      <c r="C253" s="20" cm="1">
        <f t="array" ref="C253">B253+TIME(alea_int(1,4,Settings!$B$16),0,0)</f>
        <v>46317.708333333328</v>
      </c>
      <c r="D253" t="str" cm="1">
        <f t="array" ref="D253">choice(Settings!L:L,1,Settings!$B$16)</f>
        <v/>
      </c>
    </row>
    <row r="254" spans="1:4" ht="15.75" customHeight="1" x14ac:dyDescent="0.25">
      <c r="A254" s="2" t="str" cm="1">
        <f t="array" ref="A254">choice(Salles!A:A,1,Settings!$B$16)</f>
        <v>Salle6</v>
      </c>
      <c r="B254" s="3" cm="1">
        <f t="array" ref="B254">alea_date(Settings!$B$11,360,-1,Settings!$B$16)</f>
        <v>46084.333333333336</v>
      </c>
      <c r="C254" s="20" cm="1">
        <f t="array" ref="C254">B254+TIME(alea_int(1,4,Settings!$B$16),0,0)</f>
        <v>46084.5</v>
      </c>
      <c r="D254" t="str" cm="1">
        <f t="array" ref="D254">choice(Settings!L:L,1,Settings!$B$16)</f>
        <v/>
      </c>
    </row>
    <row r="255" spans="1:4" ht="15.75" customHeight="1" x14ac:dyDescent="0.25">
      <c r="A255" s="2" t="str" cm="1">
        <f t="array" ref="A255">choice(Salles!A:A,1,Settings!$B$16)</f>
        <v>Salle50</v>
      </c>
      <c r="B255" s="3" cm="1">
        <f t="array" ref="B255">alea_date(Settings!$B$11,360,-1,Settings!$B$16)</f>
        <v>46133.416666666664</v>
      </c>
      <c r="C255" s="20" cm="1">
        <f t="array" ref="C255">B255+TIME(alea_int(1,4,Settings!$B$16),0,0)</f>
        <v>46133.583333333328</v>
      </c>
      <c r="D255" t="str" cm="1">
        <f t="array" ref="D255">choice(Settings!L:L,1,Settings!$B$16)</f>
        <v/>
      </c>
    </row>
    <row r="256" spans="1:4" ht="15.75" customHeight="1" x14ac:dyDescent="0.25">
      <c r="A256" s="2" t="str" cm="1">
        <f t="array" ref="A256">choice(Salles!A:A,1,Settings!$B$16)</f>
        <v>Salle57</v>
      </c>
      <c r="B256" s="3" cm="1">
        <f t="array" ref="B256">alea_date(Settings!$B$11,360,-1,Settings!$B$16)</f>
        <v>46066.416666666664</v>
      </c>
      <c r="C256" s="20" cm="1">
        <f t="array" ref="C256">B256+TIME(alea_int(1,4,Settings!$B$16),0,0)</f>
        <v>46066.583333333328</v>
      </c>
      <c r="D256" t="str" cm="1">
        <f t="array" ref="D256">choice(Settings!L:L,1,Settings!$B$16)</f>
        <v>jeudi</v>
      </c>
    </row>
    <row r="257" spans="1:4" ht="15.75" customHeight="1" x14ac:dyDescent="0.25">
      <c r="A257" s="2" t="str" cm="1">
        <f t="array" ref="A257">choice(Salles!A:A,1,Settings!$B$16)</f>
        <v>Salle62</v>
      </c>
      <c r="B257" s="3" cm="1">
        <f t="array" ref="B257">alea_date(Settings!$B$11,360,-1,Settings!$B$16)</f>
        <v>46164.25</v>
      </c>
      <c r="C257" s="20" cm="1">
        <f t="array" ref="C257">B257+TIME(alea_int(1,4,Settings!$B$16),0,0)</f>
        <v>46164.416666666664</v>
      </c>
      <c r="D257" t="str" cm="1">
        <f t="array" ref="D257">choice(Settings!L:L,1,Settings!$B$16)</f>
        <v/>
      </c>
    </row>
    <row r="258" spans="1:4" ht="15.75" customHeight="1" x14ac:dyDescent="0.25">
      <c r="A258" s="2" t="str" cm="1">
        <f t="array" ref="A258">choice(Salles!A:A,1,Settings!$B$16)</f>
        <v>Salle37</v>
      </c>
      <c r="B258" s="3" cm="1">
        <f t="array" ref="B258">alea_date(Settings!$B$11,360,-1,Settings!$B$16)</f>
        <v>46072.541666666664</v>
      </c>
      <c r="C258" s="20" cm="1">
        <f t="array" ref="C258">B258+TIME(alea_int(1,4,Settings!$B$16),0,0)</f>
        <v>46072.708333333328</v>
      </c>
      <c r="D258" t="str" cm="1">
        <f t="array" ref="D258">choice(Settings!L:L,1,Settings!$B$16)</f>
        <v/>
      </c>
    </row>
    <row r="259" spans="1:4" ht="15.75" customHeight="1" x14ac:dyDescent="0.25">
      <c r="A259" s="2" t="str" cm="1">
        <f t="array" ref="A259">choice(Salles!A:A,1,Settings!$B$16)</f>
        <v>Salle1</v>
      </c>
      <c r="B259" s="3" cm="1">
        <f t="array" ref="B259">alea_date(Settings!$B$11,360,-1,Settings!$B$16)</f>
        <v>46055.458333333336</v>
      </c>
      <c r="C259" s="20" cm="1">
        <f t="array" ref="C259">B259+TIME(alea_int(1,4,Settings!$B$16),0,0)</f>
        <v>46055.625</v>
      </c>
      <c r="D259" t="str" cm="1">
        <f t="array" ref="D259">choice(Settings!L:L,1,Settings!$B$16)</f>
        <v/>
      </c>
    </row>
    <row r="260" spans="1:4" ht="15.75" customHeight="1" x14ac:dyDescent="0.25">
      <c r="A260" s="2" t="str" cm="1">
        <f t="array" ref="A260">choice(Salles!A:A,1,Settings!$B$16)</f>
        <v>Salle9</v>
      </c>
      <c r="B260" s="3" cm="1">
        <f t="array" ref="B260">alea_date(Settings!$B$11,360,-1,Settings!$B$16)</f>
        <v>46206.625</v>
      </c>
      <c r="C260" s="20" cm="1">
        <f t="array" ref="C260">B260+TIME(alea_int(1,4,Settings!$B$16),0,0)</f>
        <v>46206.791666666664</v>
      </c>
      <c r="D260" t="str" cm="1">
        <f t="array" ref="D260">choice(Settings!L:L,1,Settings!$B$16)</f>
        <v/>
      </c>
    </row>
    <row r="261" spans="1:4" ht="15.75" customHeight="1" x14ac:dyDescent="0.25">
      <c r="A261" s="2" t="str" cm="1">
        <f t="array" ref="A261">choice(Salles!A:A,1,Settings!$B$16)</f>
        <v>Salle55</v>
      </c>
      <c r="B261" s="3" cm="1">
        <f t="array" ref="B261">alea_date(Settings!$B$11,360,-1,Settings!$B$16)</f>
        <v>46300.541666666664</v>
      </c>
      <c r="C261" s="20" cm="1">
        <f t="array" ref="C261">B261+TIME(alea_int(1,4,Settings!$B$16),0,0)</f>
        <v>46300.708333333328</v>
      </c>
      <c r="D261" t="str" cm="1">
        <f t="array" ref="D261">choice(Settings!L:L,1,Settings!$B$16)</f>
        <v/>
      </c>
    </row>
    <row r="262" spans="1:4" ht="15.75" customHeight="1" x14ac:dyDescent="0.25">
      <c r="A262" s="2" t="str" cm="1">
        <f t="array" ref="A262">choice(Salles!A:A,1,Settings!$B$16)</f>
        <v>Salle25</v>
      </c>
      <c r="B262" s="3" cm="1">
        <f t="array" ref="B262">alea_date(Settings!$B$11,360,-1,Settings!$B$16)</f>
        <v>46050.416666666664</v>
      </c>
      <c r="C262" s="20" cm="1">
        <f t="array" ref="C262">B262+TIME(alea_int(1,4,Settings!$B$16),0,0)</f>
        <v>46050.583333333328</v>
      </c>
      <c r="D262" t="str" cm="1">
        <f t="array" ref="D262">choice(Settings!L:L,1,Settings!$B$16)</f>
        <v/>
      </c>
    </row>
    <row r="263" spans="1:4" ht="15.75" customHeight="1" x14ac:dyDescent="0.25">
      <c r="A263" s="2" t="str" cm="1">
        <f t="array" ref="A263">choice(Salles!A:A,1,Settings!$B$16)</f>
        <v>Salle47</v>
      </c>
      <c r="B263" s="3" cm="1">
        <f t="array" ref="B263">alea_date(Settings!$B$11,360,-1,Settings!$B$16)</f>
        <v>46282.416666666664</v>
      </c>
      <c r="C263" s="20" cm="1">
        <f t="array" ref="C263">B263+TIME(alea_int(1,4,Settings!$B$16),0,0)</f>
        <v>46282.583333333328</v>
      </c>
      <c r="D263" t="str" cm="1">
        <f t="array" ref="D263">choice(Settings!L:L,1,Settings!$B$16)</f>
        <v/>
      </c>
    </row>
    <row r="264" spans="1:4" ht="15.75" customHeight="1" x14ac:dyDescent="0.25">
      <c r="A264" s="2" t="str" cm="1">
        <f t="array" ref="A264">choice(Salles!A:A,1,Settings!$B$16)</f>
        <v>Salle30</v>
      </c>
      <c r="B264" s="3" cm="1">
        <f t="array" ref="B264">alea_date(Settings!$B$11,360,-1,Settings!$B$16)</f>
        <v>46338.333333333336</v>
      </c>
      <c r="C264" s="20" cm="1">
        <f t="array" ref="C264">B264+TIME(alea_int(1,4,Settings!$B$16),0,0)</f>
        <v>46338.5</v>
      </c>
      <c r="D264" t="str" cm="1">
        <f t="array" ref="D264">choice(Settings!L:L,1,Settings!$B$16)</f>
        <v>vendredi</v>
      </c>
    </row>
    <row r="265" spans="1:4" ht="15.75" customHeight="1" x14ac:dyDescent="0.25">
      <c r="A265" s="2" t="str" cm="1">
        <f t="array" ref="A265">choice(Salles!A:A,1,Settings!$B$16)</f>
        <v>Salle13</v>
      </c>
      <c r="B265" s="3" cm="1">
        <f t="array" ref="B265">alea_date(Settings!$B$11,360,-1,Settings!$B$16)</f>
        <v>46036.458333333336</v>
      </c>
      <c r="C265" s="20" cm="1">
        <f t="array" ref="C265">B265+TIME(alea_int(1,4,Settings!$B$16),0,0)</f>
        <v>46036.625</v>
      </c>
      <c r="D265" t="str" cm="1">
        <f t="array" ref="D265">choice(Settings!L:L,1,Settings!$B$16)</f>
        <v/>
      </c>
    </row>
    <row r="266" spans="1:4" ht="15.75" customHeight="1" x14ac:dyDescent="0.25">
      <c r="A266" s="2" t="str" cm="1">
        <f t="array" ref="A266">choice(Salles!A:A,1,Settings!$B$16)</f>
        <v>Salle2</v>
      </c>
      <c r="B266" s="3" cm="1">
        <f t="array" ref="B266">alea_date(Settings!$B$11,360,-1,Settings!$B$16)</f>
        <v>46225.541666666664</v>
      </c>
      <c r="C266" s="20" cm="1">
        <f t="array" ref="C266">B266+TIME(alea_int(1,4,Settings!$B$16),0,0)</f>
        <v>46225.708333333328</v>
      </c>
      <c r="D266" t="str" cm="1">
        <f t="array" ref="D266">choice(Settings!L:L,1,Settings!$B$16)</f>
        <v/>
      </c>
    </row>
    <row r="267" spans="1:4" ht="15.75" customHeight="1" x14ac:dyDescent="0.25">
      <c r="A267" s="2" t="str" cm="1">
        <f t="array" ref="A267">choice(Salles!A:A,1,Settings!$B$16)</f>
        <v>Salle5</v>
      </c>
      <c r="B267" s="3" cm="1">
        <f t="array" ref="B267">alea_date(Settings!$B$11,360,-1,Settings!$B$16)</f>
        <v>46209.458333333336</v>
      </c>
      <c r="C267" s="20" cm="1">
        <f t="array" ref="C267">B267+TIME(alea_int(1,4,Settings!$B$16),0,0)</f>
        <v>46209.625</v>
      </c>
      <c r="D267" t="str" cm="1">
        <f t="array" ref="D267">choice(Settings!L:L,1,Settings!$B$16)</f>
        <v>vendredi</v>
      </c>
    </row>
    <row r="268" spans="1:4" ht="15.75" customHeight="1" x14ac:dyDescent="0.25">
      <c r="A268" s="2" t="str" cm="1">
        <f t="array" ref="A268">choice(Salles!A:A,1,Settings!$B$16)</f>
        <v>Salle45</v>
      </c>
      <c r="B268" s="3" cm="1">
        <f t="array" ref="B268">alea_date(Settings!$B$11,360,-1,Settings!$B$16)</f>
        <v>46260.625</v>
      </c>
      <c r="C268" s="20" cm="1">
        <f t="array" ref="C268">B268+TIME(alea_int(1,4,Settings!$B$16),0,0)</f>
        <v>46260.791666666664</v>
      </c>
      <c r="D268" t="str" cm="1">
        <f t="array" ref="D268">choice(Settings!L:L,1,Settings!$B$16)</f>
        <v/>
      </c>
    </row>
    <row r="269" spans="1:4" ht="15.75" customHeight="1" x14ac:dyDescent="0.25">
      <c r="A269" s="2" t="str" cm="1">
        <f t="array" ref="A269">choice(Salles!A:A,1,Settings!$B$16)</f>
        <v>Salle14</v>
      </c>
      <c r="B269" s="3" cm="1">
        <f t="array" ref="B269">alea_date(Settings!$B$11,360,-1,Settings!$B$16)</f>
        <v>46194.541666666664</v>
      </c>
      <c r="C269" s="20" cm="1">
        <f t="array" ref="C269">B269+TIME(alea_int(1,4,Settings!$B$16),0,0)</f>
        <v>46194.708333333328</v>
      </c>
      <c r="D269" t="str" cm="1">
        <f t="array" ref="D269">choice(Settings!L:L,1,Settings!$B$16)</f>
        <v/>
      </c>
    </row>
    <row r="270" spans="1:4" ht="15.75" customHeight="1" x14ac:dyDescent="0.25">
      <c r="A270" s="2" t="str" cm="1">
        <f t="array" ref="A270">choice(Salles!A:A,1,Settings!$B$16)</f>
        <v>Salle38</v>
      </c>
      <c r="B270" s="3" cm="1">
        <f t="array" ref="B270">alea_date(Settings!$B$11,360,-1,Settings!$B$16)</f>
        <v>46041.625</v>
      </c>
      <c r="C270" s="20" cm="1">
        <f t="array" ref="C270">B270+TIME(alea_int(1,4,Settings!$B$16),0,0)</f>
        <v>46041.791666666664</v>
      </c>
      <c r="D270" t="str" cm="1">
        <f t="array" ref="D270">choice(Settings!L:L,1,Settings!$B$16)</f>
        <v/>
      </c>
    </row>
    <row r="271" spans="1:4" ht="15.75" customHeight="1" x14ac:dyDescent="0.25">
      <c r="A271" s="2" t="str" cm="1">
        <f t="array" ref="A271">choice(Salles!A:A,1,Settings!$B$16)</f>
        <v>Salle37</v>
      </c>
      <c r="B271" s="3" cm="1">
        <f t="array" ref="B271">alea_date(Settings!$B$11,360,-1,Settings!$B$16)</f>
        <v>46101.541666666664</v>
      </c>
      <c r="C271" s="20" cm="1">
        <f t="array" ref="C271">B271+TIME(alea_int(1,4,Settings!$B$16),0,0)</f>
        <v>46101.708333333328</v>
      </c>
      <c r="D271" t="str" cm="1">
        <f t="array" ref="D271">choice(Settings!L:L,1,Settings!$B$16)</f>
        <v/>
      </c>
    </row>
    <row r="272" spans="1:4" ht="15.75" customHeight="1" x14ac:dyDescent="0.25">
      <c r="A272" s="2" t="str" cm="1">
        <f t="array" ref="A272">choice(Salles!A:A,1,Settings!$B$16)</f>
        <v>Salle47</v>
      </c>
      <c r="B272" s="3" cm="1">
        <f t="array" ref="B272">alea_date(Settings!$B$11,360,-1,Settings!$B$16)</f>
        <v>46224.25</v>
      </c>
      <c r="C272" s="20" cm="1">
        <f t="array" ref="C272">B272+TIME(alea_int(1,4,Settings!$B$16),0,0)</f>
        <v>46224.416666666664</v>
      </c>
      <c r="D272" t="str" cm="1">
        <f t="array" ref="D272">choice(Settings!L:L,1,Settings!$B$16)</f>
        <v/>
      </c>
    </row>
    <row r="273" spans="1:4" ht="15.75" customHeight="1" x14ac:dyDescent="0.25">
      <c r="A273" s="2" t="str" cm="1">
        <f t="array" ref="A273">choice(Salles!A:A,1,Settings!$B$16)</f>
        <v>Salle65</v>
      </c>
      <c r="B273" s="3" cm="1">
        <f t="array" ref="B273">alea_date(Settings!$B$11,360,-1,Settings!$B$16)</f>
        <v>46091.583333333336</v>
      </c>
      <c r="C273" s="20" cm="1">
        <f t="array" ref="C273">B273+TIME(alea_int(1,4,Settings!$B$16),0,0)</f>
        <v>46091.75</v>
      </c>
      <c r="D273" t="str" cm="1">
        <f t="array" ref="D273">choice(Settings!L:L,1,Settings!$B$16)</f>
        <v/>
      </c>
    </row>
    <row r="274" spans="1:4" ht="15.75" customHeight="1" x14ac:dyDescent="0.25">
      <c r="A274" s="2" t="str" cm="1">
        <f t="array" ref="A274">choice(Salles!A:A,1,Settings!$B$16)</f>
        <v>Salle60</v>
      </c>
      <c r="B274" s="3" cm="1">
        <f t="array" ref="B274">alea_date(Settings!$B$11,360,-1,Settings!$B$16)</f>
        <v>46289.333333333336</v>
      </c>
      <c r="C274" s="20" cm="1">
        <f t="array" ref="C274">B274+TIME(alea_int(1,4,Settings!$B$16),0,0)</f>
        <v>46289.5</v>
      </c>
      <c r="D274" t="str" cm="1">
        <f t="array" ref="D274">choice(Settings!L:L,1,Settings!$B$16)</f>
        <v/>
      </c>
    </row>
    <row r="275" spans="1:4" ht="15.75" customHeight="1" x14ac:dyDescent="0.25">
      <c r="A275" s="2" t="str" cm="1">
        <f t="array" ref="A275">choice(Salles!A:A,1,Settings!$B$16)</f>
        <v>Salle2</v>
      </c>
      <c r="B275" s="3" cm="1">
        <f t="array" ref="B275">alea_date(Settings!$B$11,360,-1,Settings!$B$16)</f>
        <v>46367.25</v>
      </c>
      <c r="C275" s="20" cm="1">
        <f t="array" ref="C275">B275+TIME(alea_int(1,4,Settings!$B$16),0,0)</f>
        <v>46367.416666666664</v>
      </c>
      <c r="D275" t="str" cm="1">
        <f t="array" ref="D275">choice(Settings!L:L,1,Settings!$B$16)</f>
        <v/>
      </c>
    </row>
    <row r="276" spans="1:4" ht="15.75" customHeight="1" x14ac:dyDescent="0.25">
      <c r="A276" s="2" t="str" cm="1">
        <f t="array" ref="A276">choice(Salles!A:A,1,Settings!$B$16)</f>
        <v>Salle61</v>
      </c>
      <c r="B276" s="3" cm="1">
        <f t="array" ref="B276">alea_date(Settings!$B$11,360,-1,Settings!$B$16)</f>
        <v>46147.25</v>
      </c>
      <c r="C276" s="20" cm="1">
        <f t="array" ref="C276">B276+TIME(alea_int(1,4,Settings!$B$16),0,0)</f>
        <v>46147.416666666664</v>
      </c>
      <c r="D276" t="str" cm="1">
        <f t="array" ref="D276">choice(Settings!L:L,1,Settings!$B$16)</f>
        <v/>
      </c>
    </row>
    <row r="277" spans="1:4" ht="15.75" customHeight="1" x14ac:dyDescent="0.25">
      <c r="A277" s="2" t="str" cm="1">
        <f t="array" ref="A277">choice(Salles!A:A,1,Settings!$B$16)</f>
        <v>Salle38</v>
      </c>
      <c r="B277" s="3" cm="1">
        <f t="array" ref="B277">alea_date(Settings!$B$11,360,-1,Settings!$B$16)</f>
        <v>46138.333333333336</v>
      </c>
      <c r="C277" s="20" cm="1">
        <f t="array" ref="C277">B277+TIME(alea_int(1,4,Settings!$B$16),0,0)</f>
        <v>46138.5</v>
      </c>
      <c r="D277" t="str" cm="1">
        <f t="array" ref="D277">choice(Settings!L:L,1,Settings!$B$16)</f>
        <v/>
      </c>
    </row>
    <row r="278" spans="1:4" ht="15.75" customHeight="1" x14ac:dyDescent="0.25">
      <c r="A278" s="2" t="str" cm="1">
        <f t="array" ref="A278">choice(Salles!A:A,1,Settings!$B$16)</f>
        <v>Salle1</v>
      </c>
      <c r="B278" s="3" cm="1">
        <f t="array" ref="B278">alea_date(Settings!$B$11,360,-1,Settings!$B$16)</f>
        <v>46039.416666666664</v>
      </c>
      <c r="C278" s="20" cm="1">
        <f t="array" ref="C278">B278+TIME(alea_int(1,4,Settings!$B$16),0,0)</f>
        <v>46039.583333333328</v>
      </c>
      <c r="D278" t="str" cm="1">
        <f t="array" ref="D278">choice(Settings!L:L,1,Settings!$B$16)</f>
        <v/>
      </c>
    </row>
    <row r="279" spans="1:4" ht="15.75" customHeight="1" x14ac:dyDescent="0.25">
      <c r="A279" s="2" t="str" cm="1">
        <f t="array" ref="A279">choice(Salles!A:A,1,Settings!$B$16)</f>
        <v>Salle15</v>
      </c>
      <c r="B279" s="3" cm="1">
        <f t="array" ref="B279">alea_date(Settings!$B$11,360,-1,Settings!$B$16)</f>
        <v>46023.625</v>
      </c>
      <c r="C279" s="20" cm="1">
        <f t="array" ref="C279">B279+TIME(alea_int(1,4,Settings!$B$16),0,0)</f>
        <v>46023.791666666664</v>
      </c>
      <c r="D279" t="str" cm="1">
        <f t="array" ref="D279">choice(Settings!L:L,1,Settings!$B$16)</f>
        <v/>
      </c>
    </row>
    <row r="280" spans="1:4" ht="15.75" customHeight="1" x14ac:dyDescent="0.25">
      <c r="A280" s="2" t="str" cm="1">
        <f t="array" ref="A280">choice(Salles!A:A,1,Settings!$B$16)</f>
        <v>Salle69</v>
      </c>
      <c r="B280" s="3" cm="1">
        <f t="array" ref="B280">alea_date(Settings!$B$11,360,-1,Settings!$B$16)</f>
        <v>46376.583333333336</v>
      </c>
      <c r="C280" s="20" cm="1">
        <f t="array" ref="C280">B280+TIME(alea_int(1,4,Settings!$B$16),0,0)</f>
        <v>46376.75</v>
      </c>
      <c r="D280" t="str" cm="1">
        <f t="array" ref="D280">choice(Settings!L:L,1,Settings!$B$16)</f>
        <v/>
      </c>
    </row>
    <row r="281" spans="1:4" ht="15.75" customHeight="1" x14ac:dyDescent="0.25">
      <c r="A281" s="2" t="str" cm="1">
        <f t="array" ref="A281">choice(Salles!A:A,1,Settings!$B$16)</f>
        <v>Salle6</v>
      </c>
      <c r="B281" s="3" cm="1">
        <f t="array" ref="B281">alea_date(Settings!$B$11,360,-1,Settings!$B$16)</f>
        <v>46166.25</v>
      </c>
      <c r="C281" s="20" cm="1">
        <f t="array" ref="C281">B281+TIME(alea_int(1,4,Settings!$B$16),0,0)</f>
        <v>46166.416666666664</v>
      </c>
      <c r="D281" t="str" cm="1">
        <f t="array" ref="D281">choice(Settings!L:L,1,Settings!$B$16)</f>
        <v/>
      </c>
    </row>
    <row r="282" spans="1:4" ht="15.75" customHeight="1" x14ac:dyDescent="0.25">
      <c r="A282" s="2" t="str" cm="1">
        <f t="array" ref="A282">choice(Salles!A:A,1,Settings!$B$16)</f>
        <v>Salle41</v>
      </c>
      <c r="B282" s="3" cm="1">
        <f t="array" ref="B282">alea_date(Settings!$B$11,360,-1,Settings!$B$16)</f>
        <v>46325.541666666664</v>
      </c>
      <c r="C282" s="20" cm="1">
        <f t="array" ref="C282">B282+TIME(alea_int(1,4,Settings!$B$16),0,0)</f>
        <v>46325.708333333328</v>
      </c>
      <c r="D282" t="str" cm="1">
        <f t="array" ref="D282">choice(Settings!L:L,1,Settings!$B$16)</f>
        <v/>
      </c>
    </row>
    <row r="283" spans="1:4" ht="15.75" customHeight="1" x14ac:dyDescent="0.25">
      <c r="A283" s="2" t="str" cm="1">
        <f t="array" ref="A283">choice(Salles!A:A,1,Settings!$B$16)</f>
        <v>Salle58</v>
      </c>
      <c r="B283" s="3" cm="1">
        <f t="array" ref="B283">alea_date(Settings!$B$11,360,-1,Settings!$B$16)</f>
        <v>46330.541666666664</v>
      </c>
      <c r="C283" s="20" cm="1">
        <f t="array" ref="C283">B283+TIME(alea_int(1,4,Settings!$B$16),0,0)</f>
        <v>46330.708333333328</v>
      </c>
      <c r="D283" t="str" cm="1">
        <f t="array" ref="D283">choice(Settings!L:L,1,Settings!$B$16)</f>
        <v/>
      </c>
    </row>
    <row r="284" spans="1:4" ht="15.75" customHeight="1" x14ac:dyDescent="0.25">
      <c r="A284" s="2" t="str" cm="1">
        <f t="array" ref="A284">choice(Salles!A:A,1,Settings!$B$16)</f>
        <v>Salle59</v>
      </c>
      <c r="B284" s="3" cm="1">
        <f t="array" ref="B284">alea_date(Settings!$B$11,360,-1,Settings!$B$16)</f>
        <v>46262.541666666664</v>
      </c>
      <c r="C284" s="20" cm="1">
        <f t="array" ref="C284">B284+TIME(alea_int(1,4,Settings!$B$16),0,0)</f>
        <v>46262.708333333328</v>
      </c>
      <c r="D284" t="str" cm="1">
        <f t="array" ref="D284">choice(Settings!L:L,1,Settings!$B$16)</f>
        <v/>
      </c>
    </row>
    <row r="285" spans="1:4" ht="15.75" customHeight="1" x14ac:dyDescent="0.25">
      <c r="A285" s="2" t="str" cm="1">
        <f t="array" ref="A285">choice(Salles!A:A,1,Settings!$B$16)</f>
        <v>Salle23</v>
      </c>
      <c r="B285" s="3" cm="1">
        <f t="array" ref="B285">alea_date(Settings!$B$11,360,-1,Settings!$B$16)</f>
        <v>46330.5</v>
      </c>
      <c r="C285" s="20" cm="1">
        <f t="array" ref="C285">B285+TIME(alea_int(1,4,Settings!$B$16),0,0)</f>
        <v>46330.666666666664</v>
      </c>
      <c r="D285" t="str" cm="1">
        <f t="array" ref="D285">choice(Settings!L:L,1,Settings!$B$16)</f>
        <v/>
      </c>
    </row>
    <row r="286" spans="1:4" ht="15.75" customHeight="1" x14ac:dyDescent="0.25">
      <c r="A286" s="2" t="str" cm="1">
        <f t="array" ref="A286">choice(Salles!A:A,1,Settings!$B$16)</f>
        <v>Salle56</v>
      </c>
      <c r="B286" s="3" cm="1">
        <f t="array" ref="B286">alea_date(Settings!$B$11,360,-1,Settings!$B$16)</f>
        <v>46271.291666666664</v>
      </c>
      <c r="C286" s="20" cm="1">
        <f t="array" ref="C286">B286+TIME(alea_int(1,4,Settings!$B$16),0,0)</f>
        <v>46271.458333333328</v>
      </c>
      <c r="D286" t="str" cm="1">
        <f t="array" ref="D286">choice(Settings!L:L,1,Settings!$B$16)</f>
        <v/>
      </c>
    </row>
    <row r="287" spans="1:4" ht="15.75" customHeight="1" x14ac:dyDescent="0.25">
      <c r="A287" s="2" t="str" cm="1">
        <f t="array" ref="A287">choice(Salles!A:A,1,Settings!$B$16)</f>
        <v>Salle28</v>
      </c>
      <c r="B287" s="3" cm="1">
        <f t="array" ref="B287">alea_date(Settings!$B$11,360,-1,Settings!$B$16)</f>
        <v>46089.583333333336</v>
      </c>
      <c r="C287" s="20" cm="1">
        <f t="array" ref="C287">B287+TIME(alea_int(1,4,Settings!$B$16),0,0)</f>
        <v>46089.75</v>
      </c>
      <c r="D287" t="str" cm="1">
        <f t="array" ref="D287">choice(Settings!L:L,1,Settings!$B$16)</f>
        <v/>
      </c>
    </row>
    <row r="288" spans="1:4" ht="15.75" customHeight="1" x14ac:dyDescent="0.25">
      <c r="A288" s="2" t="str" cm="1">
        <f t="array" ref="A288">choice(Salles!A:A,1,Settings!$B$16)</f>
        <v>Salle58</v>
      </c>
      <c r="B288" s="3" cm="1">
        <f t="array" ref="B288">alea_date(Settings!$B$11,360,-1,Settings!$B$16)</f>
        <v>46284.583333333336</v>
      </c>
      <c r="C288" s="20" cm="1">
        <f t="array" ref="C288">B288+TIME(alea_int(1,4,Settings!$B$16),0,0)</f>
        <v>46284.75</v>
      </c>
      <c r="D288" t="str" cm="1">
        <f t="array" ref="D288">choice(Settings!L:L,1,Settings!$B$16)</f>
        <v/>
      </c>
    </row>
    <row r="289" spans="1:4" ht="15.75" customHeight="1" x14ac:dyDescent="0.25">
      <c r="A289" s="2" t="str" cm="1">
        <f t="array" ref="A289">choice(Salles!A:A,1,Settings!$B$16)</f>
        <v>Salle15</v>
      </c>
      <c r="B289" s="3" cm="1">
        <f t="array" ref="B289">alea_date(Settings!$B$11,360,-1,Settings!$B$16)</f>
        <v>46079.333333333336</v>
      </c>
      <c r="C289" s="20" cm="1">
        <f t="array" ref="C289">B289+TIME(alea_int(1,4,Settings!$B$16),0,0)</f>
        <v>46079.5</v>
      </c>
      <c r="D289" t="str" cm="1">
        <f t="array" ref="D289">choice(Settings!L:L,1,Settings!$B$16)</f>
        <v/>
      </c>
    </row>
    <row r="290" spans="1:4" ht="15.75" customHeight="1" x14ac:dyDescent="0.25">
      <c r="A290" s="2" t="str" cm="1">
        <f t="array" ref="A290">choice(Salles!A:A,1,Settings!$B$16)</f>
        <v>Salle51</v>
      </c>
      <c r="B290" s="3" cm="1">
        <f t="array" ref="B290">alea_date(Settings!$B$11,360,-1,Settings!$B$16)</f>
        <v>46103.375</v>
      </c>
      <c r="C290" s="20" cm="1">
        <f t="array" ref="C290">B290+TIME(alea_int(1,4,Settings!$B$16),0,0)</f>
        <v>46103.541666666664</v>
      </c>
      <c r="D290" t="str" cm="1">
        <f t="array" ref="D290">choice(Settings!L:L,1,Settings!$B$16)</f>
        <v/>
      </c>
    </row>
    <row r="291" spans="1:4" ht="15.75" customHeight="1" x14ac:dyDescent="0.25">
      <c r="A291" s="2" t="str" cm="1">
        <f t="array" ref="A291">choice(Salles!A:A,1,Settings!$B$16)</f>
        <v>Salle44</v>
      </c>
      <c r="B291" s="3" cm="1">
        <f t="array" ref="B291">alea_date(Settings!$B$11,360,-1,Settings!$B$16)</f>
        <v>46088.333333333336</v>
      </c>
      <c r="C291" s="20" cm="1">
        <f t="array" ref="C291">B291+TIME(alea_int(1,4,Settings!$B$16),0,0)</f>
        <v>46088.5</v>
      </c>
      <c r="D291" t="str" cm="1">
        <f t="array" ref="D291">choice(Settings!L:L,1,Settings!$B$16)</f>
        <v>jeudi</v>
      </c>
    </row>
    <row r="292" spans="1:4" ht="15.75" customHeight="1" x14ac:dyDescent="0.25">
      <c r="A292" s="2" t="str" cm="1">
        <f t="array" ref="A292">choice(Salles!A:A,1,Settings!$B$16)</f>
        <v>Salle22</v>
      </c>
      <c r="B292" s="3" cm="1">
        <f t="array" ref="B292">alea_date(Settings!$B$11,360,-1,Settings!$B$16)</f>
        <v>46246.25</v>
      </c>
      <c r="C292" s="20" cm="1">
        <f t="array" ref="C292">B292+TIME(alea_int(1,4,Settings!$B$16),0,0)</f>
        <v>46246.416666666664</v>
      </c>
      <c r="D292" t="str" cm="1">
        <f t="array" ref="D292">choice(Settings!L:L,1,Settings!$B$16)</f>
        <v/>
      </c>
    </row>
    <row r="293" spans="1:4" ht="15.75" customHeight="1" x14ac:dyDescent="0.25">
      <c r="A293" s="2" t="str" cm="1">
        <f t="array" ref="A293">choice(Salles!A:A,1,Settings!$B$16)</f>
        <v>Salle15</v>
      </c>
      <c r="B293" s="3" cm="1">
        <f t="array" ref="B293">alea_date(Settings!$B$11,360,-1,Settings!$B$16)</f>
        <v>46231.458333333336</v>
      </c>
      <c r="C293" s="20" cm="1">
        <f t="array" ref="C293">B293+TIME(alea_int(1,4,Settings!$B$16),0,0)</f>
        <v>46231.625</v>
      </c>
      <c r="D293" t="str" cm="1">
        <f t="array" ref="D293">choice(Settings!L:L,1,Settings!$B$16)</f>
        <v/>
      </c>
    </row>
    <row r="294" spans="1:4" ht="15.75" customHeight="1" x14ac:dyDescent="0.25">
      <c r="A294" s="2" t="str" cm="1">
        <f t="array" ref="A294">choice(Salles!A:A,1,Settings!$B$16)</f>
        <v>Salle8</v>
      </c>
      <c r="B294" s="3" cm="1">
        <f t="array" ref="B294">alea_date(Settings!$B$11,360,-1,Settings!$B$16)</f>
        <v>46065.25</v>
      </c>
      <c r="C294" s="20" cm="1">
        <f t="array" ref="C294">B294+TIME(alea_int(1,4,Settings!$B$16),0,0)</f>
        <v>46065.416666666664</v>
      </c>
      <c r="D294" t="str" cm="1">
        <f t="array" ref="D294">choice(Settings!L:L,1,Settings!$B$16)</f>
        <v/>
      </c>
    </row>
    <row r="295" spans="1:4" ht="15.75" customHeight="1" x14ac:dyDescent="0.25">
      <c r="A295" s="2" t="str" cm="1">
        <f t="array" ref="A295">choice(Salles!A:A,1,Settings!$B$16)</f>
        <v>Salle19</v>
      </c>
      <c r="B295" s="3" cm="1">
        <f t="array" ref="B295">alea_date(Settings!$B$11,360,-1,Settings!$B$16)</f>
        <v>46088.291666666664</v>
      </c>
      <c r="C295" s="20" cm="1">
        <f t="array" ref="C295">B295+TIME(alea_int(1,4,Settings!$B$16),0,0)</f>
        <v>46088.458333333328</v>
      </c>
      <c r="D295" t="str" cm="1">
        <f t="array" ref="D295">choice(Settings!L:L,1,Settings!$B$16)</f>
        <v/>
      </c>
    </row>
    <row r="296" spans="1:4" ht="15.75" customHeight="1" x14ac:dyDescent="0.25">
      <c r="A296" s="2" t="str" cm="1">
        <f t="array" ref="A296">choice(Salles!A:A,1,Settings!$B$16)</f>
        <v>Salle22</v>
      </c>
      <c r="B296" s="3" cm="1">
        <f t="array" ref="B296">alea_date(Settings!$B$11,360,-1,Settings!$B$16)</f>
        <v>46234.25</v>
      </c>
      <c r="C296" s="20" cm="1">
        <f t="array" ref="C296">B296+TIME(alea_int(1,4,Settings!$B$16),0,0)</f>
        <v>46234.416666666664</v>
      </c>
      <c r="D296" t="str" cm="1">
        <f t="array" ref="D296">choice(Settings!L:L,1,Settings!$B$16)</f>
        <v/>
      </c>
    </row>
    <row r="297" spans="1:4" ht="15.75" customHeight="1" x14ac:dyDescent="0.25">
      <c r="A297" s="2" t="str" cm="1">
        <f t="array" ref="A297">choice(Salles!A:A,1,Settings!$B$16)</f>
        <v>Salle60</v>
      </c>
      <c r="B297" s="3" cm="1">
        <f t="array" ref="B297">alea_date(Settings!$B$11,360,-1,Settings!$B$16)</f>
        <v>46356.458333333336</v>
      </c>
      <c r="C297" s="20" cm="1">
        <f t="array" ref="C297">B297+TIME(alea_int(1,4,Settings!$B$16),0,0)</f>
        <v>46356.625</v>
      </c>
      <c r="D297" t="str" cm="1">
        <f t="array" ref="D297">choice(Settings!L:L,1,Settings!$B$16)</f>
        <v/>
      </c>
    </row>
    <row r="298" spans="1:4" ht="15.75" customHeight="1" x14ac:dyDescent="0.25">
      <c r="A298" s="2" t="str" cm="1">
        <f t="array" ref="A298">choice(Salles!A:A,1,Settings!$B$16)</f>
        <v>Salle52</v>
      </c>
      <c r="B298" s="3" cm="1">
        <f t="array" ref="B298">alea_date(Settings!$B$11,360,-1,Settings!$B$16)</f>
        <v>46125.416666666664</v>
      </c>
      <c r="C298" s="20" cm="1">
        <f t="array" ref="C298">B298+TIME(alea_int(1,4,Settings!$B$16),0,0)</f>
        <v>46125.583333333328</v>
      </c>
      <c r="D298" t="str" cm="1">
        <f t="array" ref="D298">choice(Settings!L:L,1,Settings!$B$16)</f>
        <v/>
      </c>
    </row>
    <row r="299" spans="1:4" ht="15.75" customHeight="1" x14ac:dyDescent="0.25">
      <c r="A299" s="2" t="str" cm="1">
        <f t="array" ref="A299">choice(Salles!A:A,1,Settings!$B$16)</f>
        <v>Salle48</v>
      </c>
      <c r="B299" s="3" cm="1">
        <f t="array" ref="B299">alea_date(Settings!$B$11,360,-1,Settings!$B$16)</f>
        <v>46202.458333333336</v>
      </c>
      <c r="C299" s="20" cm="1">
        <f t="array" ref="C299">B299+TIME(alea_int(1,4,Settings!$B$16),0,0)</f>
        <v>46202.625</v>
      </c>
      <c r="D299" t="str" cm="1">
        <f t="array" ref="D299">choice(Settings!L:L,1,Settings!$B$16)</f>
        <v>vendredi</v>
      </c>
    </row>
    <row r="300" spans="1:4" ht="15.75" customHeight="1" x14ac:dyDescent="0.25">
      <c r="A300" s="2" t="str" cm="1">
        <f t="array" ref="A300">choice(Salles!A:A,1,Settings!$B$16)</f>
        <v>Salle51</v>
      </c>
      <c r="B300" s="3" cm="1">
        <f t="array" ref="B300">alea_date(Settings!$B$11,360,-1,Settings!$B$16)</f>
        <v>46073.541666666664</v>
      </c>
      <c r="C300" s="20" cm="1">
        <f t="array" ref="C300">B300+TIME(alea_int(1,4,Settings!$B$16),0,0)</f>
        <v>46073.708333333328</v>
      </c>
      <c r="D300" t="str" cm="1">
        <f t="array" ref="D300">choice(Settings!L:L,1,Settings!$B$16)</f>
        <v/>
      </c>
    </row>
    <row r="301" spans="1:4" ht="15.75" customHeight="1" x14ac:dyDescent="0.25">
      <c r="A301" s="2" t="str" cm="1">
        <f t="array" ref="A301">choice(Salles!A:A,1,Settings!$B$16)</f>
        <v>Salle41</v>
      </c>
      <c r="B301" s="3" cm="1">
        <f t="array" ref="B301">alea_date(Settings!$B$11,360,-1,Settings!$B$16)</f>
        <v>46066.583333333336</v>
      </c>
      <c r="C301" s="20" cm="1">
        <f t="array" ref="C301">B301+TIME(alea_int(1,4,Settings!$B$16),0,0)</f>
        <v>46066.75</v>
      </c>
      <c r="D301" t="str" cm="1">
        <f t="array" ref="D301">choice(Settings!L:L,1,Settings!$B$16)</f>
        <v/>
      </c>
    </row>
    <row r="302" spans="1:4" ht="15.75" customHeight="1" x14ac:dyDescent="0.25">
      <c r="A302" s="2" t="str" cm="1">
        <f t="array" ref="A302">choice(Salles!A:A,1,Settings!$B$16)</f>
        <v>Salle5</v>
      </c>
      <c r="B302" s="3" cm="1">
        <f t="array" ref="B302">alea_date(Settings!$B$11,360,-1,Settings!$B$16)</f>
        <v>46375.5</v>
      </c>
      <c r="C302" s="20" cm="1">
        <f t="array" ref="C302">B302+TIME(alea_int(1,4,Settings!$B$16),0,0)</f>
        <v>46375.666666666664</v>
      </c>
      <c r="D302" t="str" cm="1">
        <f t="array" ref="D302">choice(Settings!L:L,1,Settings!$B$16)</f>
        <v/>
      </c>
    </row>
    <row r="303" spans="1:4" ht="15.75" customHeight="1" x14ac:dyDescent="0.25">
      <c r="A303" s="2" t="str" cm="1">
        <f t="array" ref="A303">choice(Salles!A:A,1,Settings!$B$16)</f>
        <v>Salle45</v>
      </c>
      <c r="B303" s="3" cm="1">
        <f t="array" ref="B303">alea_date(Settings!$B$11,360,-1,Settings!$B$16)</f>
        <v>46368.583333333336</v>
      </c>
      <c r="C303" s="20" cm="1">
        <f t="array" ref="C303">B303+TIME(alea_int(1,4,Settings!$B$16),0,0)</f>
        <v>46368.75</v>
      </c>
      <c r="D303" t="str" cm="1">
        <f t="array" ref="D303">choice(Settings!L:L,1,Settings!$B$16)</f>
        <v/>
      </c>
    </row>
    <row r="304" spans="1:4" ht="15.75" customHeight="1" x14ac:dyDescent="0.25">
      <c r="A304" s="2" t="str" cm="1">
        <f t="array" ref="A304">choice(Salles!A:A,1,Settings!$B$16)</f>
        <v>Salle4</v>
      </c>
      <c r="B304" s="3" cm="1">
        <f t="array" ref="B304">alea_date(Settings!$B$11,360,-1,Settings!$B$16)</f>
        <v>46193.458333333336</v>
      </c>
      <c r="C304" s="20" cm="1">
        <f t="array" ref="C304">B304+TIME(alea_int(1,4,Settings!$B$16),0,0)</f>
        <v>46193.625</v>
      </c>
      <c r="D304" t="str" cm="1">
        <f t="array" ref="D304">choice(Settings!L:L,1,Settings!$B$16)</f>
        <v/>
      </c>
    </row>
    <row r="305" spans="1:4" ht="15.75" customHeight="1" x14ac:dyDescent="0.25">
      <c r="A305" s="2" t="str" cm="1">
        <f t="array" ref="A305">choice(Salles!A:A,1,Settings!$B$16)</f>
        <v>Salle49</v>
      </c>
      <c r="B305" s="3" cm="1">
        <f t="array" ref="B305">alea_date(Settings!$B$11,360,-1,Settings!$B$16)</f>
        <v>46038.416666666664</v>
      </c>
      <c r="C305" s="20" cm="1">
        <f t="array" ref="C305">B305+TIME(alea_int(1,4,Settings!$B$16),0,0)</f>
        <v>46038.583333333328</v>
      </c>
      <c r="D305" t="str" cm="1">
        <f t="array" ref="D305">choice(Settings!L:L,1,Settings!$B$16)</f>
        <v/>
      </c>
    </row>
    <row r="306" spans="1:4" ht="15.75" customHeight="1" x14ac:dyDescent="0.25">
      <c r="A306" s="2" t="str" cm="1">
        <f t="array" ref="A306">choice(Salles!A:A,1,Settings!$B$16)</f>
        <v>Salle63</v>
      </c>
      <c r="B306" s="3" cm="1">
        <f t="array" ref="B306">alea_date(Settings!$B$11,360,-1,Settings!$B$16)</f>
        <v>46109.541666666664</v>
      </c>
      <c r="C306" s="20" cm="1">
        <f t="array" ref="C306">B306+TIME(alea_int(1,4,Settings!$B$16),0,0)</f>
        <v>46109.708333333328</v>
      </c>
      <c r="D306" t="str" cm="1">
        <f t="array" ref="D306">choice(Settings!L:L,1,Settings!$B$16)</f>
        <v/>
      </c>
    </row>
    <row r="307" spans="1:4" ht="15.75" customHeight="1" x14ac:dyDescent="0.25">
      <c r="A307" s="2" t="str" cm="1">
        <f t="array" ref="A307">choice(Salles!A:A,1,Settings!$B$16)</f>
        <v>Salle51</v>
      </c>
      <c r="B307" s="3" cm="1">
        <f t="array" ref="B307">alea_date(Settings!$B$11,360,-1,Settings!$B$16)</f>
        <v>46201.625</v>
      </c>
      <c r="C307" s="20" cm="1">
        <f t="array" ref="C307">B307+TIME(alea_int(1,4,Settings!$B$16),0,0)</f>
        <v>46201.791666666664</v>
      </c>
      <c r="D307" t="str" cm="1">
        <f t="array" ref="D307">choice(Settings!L:L,1,Settings!$B$16)</f>
        <v>lundi</v>
      </c>
    </row>
    <row r="308" spans="1:4" ht="15.75" customHeight="1" x14ac:dyDescent="0.25">
      <c r="A308" s="2" t="str" cm="1">
        <f t="array" ref="A308">choice(Salles!A:A,1,Settings!$B$16)</f>
        <v>Salle57</v>
      </c>
      <c r="B308" s="3" cm="1">
        <f t="array" ref="B308">alea_date(Settings!$B$11,360,-1,Settings!$B$16)</f>
        <v>46312.416666666664</v>
      </c>
      <c r="C308" s="20" cm="1">
        <f t="array" ref="C308">B308+TIME(alea_int(1,4,Settings!$B$16),0,0)</f>
        <v>46312.583333333328</v>
      </c>
      <c r="D308" t="str" cm="1">
        <f t="array" ref="D308">choice(Settings!L:L,1,Settings!$B$16)</f>
        <v/>
      </c>
    </row>
    <row r="309" spans="1:4" ht="15.75" customHeight="1" x14ac:dyDescent="0.25">
      <c r="A309" s="2" t="str" cm="1">
        <f t="array" ref="A309">choice(Salles!A:A,1,Settings!$B$16)</f>
        <v>Salle2</v>
      </c>
      <c r="B309" s="3" cm="1">
        <f t="array" ref="B309">alea_date(Settings!$B$11,360,-1,Settings!$B$16)</f>
        <v>46107.291666666664</v>
      </c>
      <c r="C309" s="20" cm="1">
        <f t="array" ref="C309">B309+TIME(alea_int(1,4,Settings!$B$16),0,0)</f>
        <v>46107.458333333328</v>
      </c>
      <c r="D309" t="str" cm="1">
        <f t="array" ref="D309">choice(Settings!L:L,1,Settings!$B$16)</f>
        <v/>
      </c>
    </row>
    <row r="310" spans="1:4" ht="15.75" customHeight="1" x14ac:dyDescent="0.25">
      <c r="A310" s="2" t="str" cm="1">
        <f t="array" ref="A310">choice(Salles!A:A,1,Settings!$B$16)</f>
        <v>Salle62</v>
      </c>
      <c r="B310" s="3" cm="1">
        <f t="array" ref="B310">alea_date(Settings!$B$11,360,-1,Settings!$B$16)</f>
        <v>46301.291666666664</v>
      </c>
      <c r="C310" s="20" cm="1">
        <f t="array" ref="C310">B310+TIME(alea_int(1,4,Settings!$B$16),0,0)</f>
        <v>46301.458333333328</v>
      </c>
      <c r="D310" t="str" cm="1">
        <f t="array" ref="D310">choice(Settings!L:L,1,Settings!$B$16)</f>
        <v/>
      </c>
    </row>
    <row r="311" spans="1:4" ht="15.75" customHeight="1" x14ac:dyDescent="0.25">
      <c r="A311" s="2" t="str" cm="1">
        <f t="array" ref="A311">choice(Salles!A:A,1,Settings!$B$16)</f>
        <v>Salle53</v>
      </c>
      <c r="B311" s="3" cm="1">
        <f t="array" ref="B311">alea_date(Settings!$B$11,360,-1,Settings!$B$16)</f>
        <v>46094.291666666664</v>
      </c>
      <c r="C311" s="20" cm="1">
        <f t="array" ref="C311">B311+TIME(alea_int(1,4,Settings!$B$16),0,0)</f>
        <v>46094.458333333328</v>
      </c>
      <c r="D311" t="str" cm="1">
        <f t="array" ref="D311">choice(Settings!L:L,1,Settings!$B$16)</f>
        <v/>
      </c>
    </row>
    <row r="312" spans="1:4" ht="15.75" customHeight="1" x14ac:dyDescent="0.25">
      <c r="A312" s="2" t="str" cm="1">
        <f t="array" ref="A312">choice(Salles!A:A,1,Settings!$B$16)</f>
        <v>Salle12</v>
      </c>
      <c r="B312" s="3" cm="1">
        <f t="array" ref="B312">alea_date(Settings!$B$11,360,-1,Settings!$B$16)</f>
        <v>46093.416666666664</v>
      </c>
      <c r="C312" s="20" cm="1">
        <f t="array" ref="C312">B312+TIME(alea_int(1,4,Settings!$B$16),0,0)</f>
        <v>46093.583333333328</v>
      </c>
      <c r="D312" t="str" cm="1">
        <f t="array" ref="D312">choice(Settings!L:L,1,Settings!$B$16)</f>
        <v>jeudi</v>
      </c>
    </row>
    <row r="313" spans="1:4" ht="15.75" customHeight="1" x14ac:dyDescent="0.25">
      <c r="A313" s="2" t="str" cm="1">
        <f t="array" ref="A313">choice(Salles!A:A,1,Settings!$B$16)</f>
        <v>Salle18</v>
      </c>
      <c r="B313" s="3" cm="1">
        <f t="array" ref="B313">alea_date(Settings!$B$11,360,-1,Settings!$B$16)</f>
        <v>46297.375</v>
      </c>
      <c r="C313" s="20" cm="1">
        <f t="array" ref="C313">B313+TIME(alea_int(1,4,Settings!$B$16),0,0)</f>
        <v>46297.541666666664</v>
      </c>
      <c r="D313" t="str" cm="1">
        <f t="array" ref="D313">choice(Settings!L:L,1,Settings!$B$16)</f>
        <v/>
      </c>
    </row>
    <row r="314" spans="1:4" ht="15.75" customHeight="1" x14ac:dyDescent="0.25">
      <c r="A314" s="2" t="str" cm="1">
        <f t="array" ref="A314">choice(Salles!A:A,1,Settings!$B$16)</f>
        <v>Salle1</v>
      </c>
      <c r="B314" s="3" cm="1">
        <f t="array" ref="B314">alea_date(Settings!$B$11,360,-1,Settings!$B$16)</f>
        <v>46368.625</v>
      </c>
      <c r="C314" s="20" cm="1">
        <f t="array" ref="C314">B314+TIME(alea_int(1,4,Settings!$B$16),0,0)</f>
        <v>46368.791666666664</v>
      </c>
      <c r="D314" t="str" cm="1">
        <f t="array" ref="D314">choice(Settings!L:L,1,Settings!$B$16)</f>
        <v>mercredi</v>
      </c>
    </row>
    <row r="315" spans="1:4" ht="15.75" customHeight="1" x14ac:dyDescent="0.25">
      <c r="A315" s="2" t="str" cm="1">
        <f t="array" ref="A315">choice(Salles!A:A,1,Settings!$B$16)</f>
        <v>Salle20</v>
      </c>
      <c r="B315" s="3" cm="1">
        <f t="array" ref="B315">alea_date(Settings!$B$11,360,-1,Settings!$B$16)</f>
        <v>46143.291666666664</v>
      </c>
      <c r="C315" s="20" cm="1">
        <f t="array" ref="C315">B315+TIME(alea_int(1,4,Settings!$B$16),0,0)</f>
        <v>46143.458333333328</v>
      </c>
      <c r="D315" t="str" cm="1">
        <f t="array" ref="D315">choice(Settings!L:L,1,Settings!$B$16)</f>
        <v/>
      </c>
    </row>
    <row r="316" spans="1:4" ht="15.75" customHeight="1" x14ac:dyDescent="0.25">
      <c r="A316" s="2" t="str" cm="1">
        <f t="array" ref="A316">choice(Salles!A:A,1,Settings!$B$16)</f>
        <v>Salle42</v>
      </c>
      <c r="B316" s="3" cm="1">
        <f t="array" ref="B316">alea_date(Settings!$B$11,360,-1,Settings!$B$16)</f>
        <v>46343.291666666664</v>
      </c>
      <c r="C316" s="20" cm="1">
        <f t="array" ref="C316">B316+TIME(alea_int(1,4,Settings!$B$16),0,0)</f>
        <v>46343.458333333328</v>
      </c>
      <c r="D316" t="str" cm="1">
        <f t="array" ref="D316">choice(Settings!L:L,1,Settings!$B$16)</f>
        <v/>
      </c>
    </row>
    <row r="317" spans="1:4" ht="15.75" customHeight="1" x14ac:dyDescent="0.25">
      <c r="A317" s="2" t="str" cm="1">
        <f t="array" ref="A317">choice(Salles!A:A,1,Settings!$B$16)</f>
        <v>Salle24</v>
      </c>
      <c r="B317" s="3" cm="1">
        <f t="array" ref="B317">alea_date(Settings!$B$11,360,-1,Settings!$B$16)</f>
        <v>46287.375</v>
      </c>
      <c r="C317" s="20" cm="1">
        <f t="array" ref="C317">B317+TIME(alea_int(1,4,Settings!$B$16),0,0)</f>
        <v>46287.541666666664</v>
      </c>
      <c r="D317" t="str" cm="1">
        <f t="array" ref="D317">choice(Settings!L:L,1,Settings!$B$16)</f>
        <v/>
      </c>
    </row>
    <row r="318" spans="1:4" ht="15.75" customHeight="1" x14ac:dyDescent="0.25">
      <c r="A318" s="2" t="str" cm="1">
        <f t="array" ref="A318">choice(Salles!A:A,1,Settings!$B$16)</f>
        <v>Salle11</v>
      </c>
      <c r="B318" s="3" cm="1">
        <f t="array" ref="B318">alea_date(Settings!$B$11,360,-1,Settings!$B$16)</f>
        <v>46352.458333333336</v>
      </c>
      <c r="C318" s="20" cm="1">
        <f t="array" ref="C318">B318+TIME(alea_int(1,4,Settings!$B$16),0,0)</f>
        <v>46352.625</v>
      </c>
      <c r="D318" t="str" cm="1">
        <f t="array" ref="D318">choice(Settings!L:L,1,Settings!$B$16)</f>
        <v/>
      </c>
    </row>
    <row r="319" spans="1:4" ht="15.75" customHeight="1" x14ac:dyDescent="0.25">
      <c r="A319" s="2" t="str" cm="1">
        <f t="array" ref="A319">choice(Salles!A:A,1,Settings!$B$16)</f>
        <v>Salle5</v>
      </c>
      <c r="B319" s="3" cm="1">
        <f t="array" ref="B319">alea_date(Settings!$B$11,360,-1,Settings!$B$16)</f>
        <v>46078.416666666664</v>
      </c>
      <c r="C319" s="20" cm="1">
        <f t="array" ref="C319">B319+TIME(alea_int(1,4,Settings!$B$16),0,0)</f>
        <v>46078.583333333328</v>
      </c>
      <c r="D319" t="str" cm="1">
        <f t="array" ref="D319">choice(Settings!L:L,1,Settings!$B$16)</f>
        <v/>
      </c>
    </row>
    <row r="320" spans="1:4" ht="15.75" customHeight="1" x14ac:dyDescent="0.25">
      <c r="A320" s="2" t="str" cm="1">
        <f t="array" ref="A320">choice(Salles!A:A,1,Settings!$B$16)</f>
        <v>Salle29</v>
      </c>
      <c r="B320" s="3" cm="1">
        <f t="array" ref="B320">alea_date(Settings!$B$11,360,-1,Settings!$B$16)</f>
        <v>46292.25</v>
      </c>
      <c r="C320" s="20" cm="1">
        <f t="array" ref="C320">B320+TIME(alea_int(1,4,Settings!$B$16),0,0)</f>
        <v>46292.416666666664</v>
      </c>
      <c r="D320" t="str" cm="1">
        <f t="array" ref="D320">choice(Settings!L:L,1,Settings!$B$16)</f>
        <v/>
      </c>
    </row>
    <row r="321" spans="1:4" ht="15.75" customHeight="1" x14ac:dyDescent="0.25">
      <c r="A321" s="2" t="str" cm="1">
        <f t="array" ref="A321">choice(Salles!A:A,1,Settings!$B$16)</f>
        <v>Salle58</v>
      </c>
      <c r="B321" s="3" cm="1">
        <f t="array" ref="B321">alea_date(Settings!$B$11,360,-1,Settings!$B$16)</f>
        <v>46333.583333333336</v>
      </c>
      <c r="C321" s="20" cm="1">
        <f t="array" ref="C321">B321+TIME(alea_int(1,4,Settings!$B$16),0,0)</f>
        <v>46333.75</v>
      </c>
      <c r="D321" t="str" cm="1">
        <f t="array" ref="D321">choice(Settings!L:L,1,Settings!$B$16)</f>
        <v/>
      </c>
    </row>
    <row r="322" spans="1:4" ht="15.75" customHeight="1" x14ac:dyDescent="0.25">
      <c r="A322" s="2" t="str" cm="1">
        <f t="array" ref="A322">choice(Salles!A:A,1,Settings!$B$16)</f>
        <v>Salle29</v>
      </c>
      <c r="B322" s="3" cm="1">
        <f t="array" ref="B322">alea_date(Settings!$B$11,360,-1,Settings!$B$16)</f>
        <v>46228.625</v>
      </c>
      <c r="C322" s="20" cm="1">
        <f t="array" ref="C322">B322+TIME(alea_int(1,4,Settings!$B$16),0,0)</f>
        <v>46228.791666666664</v>
      </c>
      <c r="D322" t="str" cm="1">
        <f t="array" ref="D322">choice(Settings!L:L,1,Settings!$B$16)</f>
        <v/>
      </c>
    </row>
    <row r="323" spans="1:4" ht="15.75" customHeight="1" x14ac:dyDescent="0.25">
      <c r="A323" s="2" t="str" cm="1">
        <f t="array" ref="A323">choice(Salles!A:A,1,Settings!$B$16)</f>
        <v>Salle69</v>
      </c>
      <c r="B323" s="3" cm="1">
        <f t="array" ref="B323">alea_date(Settings!$B$11,360,-1,Settings!$B$16)</f>
        <v>46063.458333333336</v>
      </c>
      <c r="C323" s="20" cm="1">
        <f t="array" ref="C323">B323+TIME(alea_int(1,4,Settings!$B$16),0,0)</f>
        <v>46063.625</v>
      </c>
      <c r="D323" t="str" cm="1">
        <f t="array" ref="D323">choice(Settings!L:L,1,Settings!$B$16)</f>
        <v/>
      </c>
    </row>
    <row r="324" spans="1:4" ht="15.75" customHeight="1" x14ac:dyDescent="0.25">
      <c r="A324" s="2" t="str" cm="1">
        <f t="array" ref="A324">choice(Salles!A:A,1,Settings!$B$16)</f>
        <v>Salle59</v>
      </c>
      <c r="B324" s="3" cm="1">
        <f t="array" ref="B324">alea_date(Settings!$B$11,360,-1,Settings!$B$16)</f>
        <v>46038.416666666664</v>
      </c>
      <c r="C324" s="20" cm="1">
        <f t="array" ref="C324">B324+TIME(alea_int(1,4,Settings!$B$16),0,0)</f>
        <v>46038.583333333328</v>
      </c>
      <c r="D324" t="str" cm="1">
        <f t="array" ref="D324">choice(Settings!L:L,1,Settings!$B$16)</f>
        <v/>
      </c>
    </row>
    <row r="325" spans="1:4" ht="15.75" customHeight="1" x14ac:dyDescent="0.25">
      <c r="A325" s="2" t="str" cm="1">
        <f t="array" ref="A325">choice(Salles!A:A,1,Settings!$B$16)</f>
        <v>Salle44</v>
      </c>
      <c r="B325" s="3" cm="1">
        <f t="array" ref="B325">alea_date(Settings!$B$11,360,-1,Settings!$B$16)</f>
        <v>46197.25</v>
      </c>
      <c r="C325" s="20" cm="1">
        <f t="array" ref="C325">B325+TIME(alea_int(1,4,Settings!$B$16),0,0)</f>
        <v>46197.416666666664</v>
      </c>
      <c r="D325" t="str" cm="1">
        <f t="array" ref="D325">choice(Settings!L:L,1,Settings!$B$16)</f>
        <v/>
      </c>
    </row>
    <row r="326" spans="1:4" ht="15.75" customHeight="1" x14ac:dyDescent="0.25">
      <c r="A326" s="2" t="str" cm="1">
        <f t="array" ref="A326">choice(Salles!A:A,1,Settings!$B$16)</f>
        <v>Salle48</v>
      </c>
      <c r="B326" s="3" cm="1">
        <f t="array" ref="B326">alea_date(Settings!$B$11,360,-1,Settings!$B$16)</f>
        <v>46045.25</v>
      </c>
      <c r="C326" s="20" cm="1">
        <f t="array" ref="C326">B326+TIME(alea_int(1,4,Settings!$B$16),0,0)</f>
        <v>46045.416666666664</v>
      </c>
      <c r="D326" t="str" cm="1">
        <f t="array" ref="D326">choice(Settings!L:L,1,Settings!$B$16)</f>
        <v/>
      </c>
    </row>
    <row r="327" spans="1:4" ht="15.75" customHeight="1" x14ac:dyDescent="0.25">
      <c r="A327" s="2" t="str" cm="1">
        <f t="array" ref="A327">choice(Salles!A:A,1,Settings!$B$16)</f>
        <v>Salle34</v>
      </c>
      <c r="B327" s="3" cm="1">
        <f t="array" ref="B327">alea_date(Settings!$B$11,360,-1,Settings!$B$16)</f>
        <v>46361.291666666664</v>
      </c>
      <c r="C327" s="20" cm="1">
        <f t="array" ref="C327">B327+TIME(alea_int(1,4,Settings!$B$16),0,0)</f>
        <v>46361.458333333328</v>
      </c>
      <c r="D327" t="str" cm="1">
        <f t="array" ref="D327">choice(Settings!L:L,1,Settings!$B$16)</f>
        <v/>
      </c>
    </row>
    <row r="328" spans="1:4" ht="15.75" customHeight="1" x14ac:dyDescent="0.25">
      <c r="A328" s="2" t="str" cm="1">
        <f t="array" ref="A328">choice(Salles!A:A,1,Settings!$B$16)</f>
        <v>Salle69</v>
      </c>
      <c r="B328" s="3" cm="1">
        <f t="array" ref="B328">alea_date(Settings!$B$11,360,-1,Settings!$B$16)</f>
        <v>46371.541666666664</v>
      </c>
      <c r="C328" s="20" cm="1">
        <f t="array" ref="C328">B328+TIME(alea_int(1,4,Settings!$B$16),0,0)</f>
        <v>46371.708333333328</v>
      </c>
      <c r="D328" t="str" cm="1">
        <f t="array" ref="D328">choice(Settings!L:L,1,Settings!$B$16)</f>
        <v/>
      </c>
    </row>
    <row r="329" spans="1:4" ht="15.75" customHeight="1" x14ac:dyDescent="0.25">
      <c r="A329" s="2" t="str" cm="1">
        <f t="array" ref="A329">choice(Salles!A:A,1,Settings!$B$16)</f>
        <v>Salle22</v>
      </c>
      <c r="B329" s="3" cm="1">
        <f t="array" ref="B329">alea_date(Settings!$B$11,360,-1,Settings!$B$16)</f>
        <v>46269.5</v>
      </c>
      <c r="C329" s="20" cm="1">
        <f t="array" ref="C329">B329+TIME(alea_int(1,4,Settings!$B$16),0,0)</f>
        <v>46269.666666666664</v>
      </c>
      <c r="D329" t="str" cm="1">
        <f t="array" ref="D329">choice(Settings!L:L,1,Settings!$B$16)</f>
        <v/>
      </c>
    </row>
    <row r="330" spans="1:4" ht="15.75" customHeight="1" x14ac:dyDescent="0.25">
      <c r="A330" s="2" t="str" cm="1">
        <f t="array" ref="A330">choice(Salles!A:A,1,Settings!$B$16)</f>
        <v>Salle28</v>
      </c>
      <c r="B330" s="3" cm="1">
        <f t="array" ref="B330">alea_date(Settings!$B$11,360,-1,Settings!$B$16)</f>
        <v>46204.291666666664</v>
      </c>
      <c r="C330" s="20" cm="1">
        <f t="array" ref="C330">B330+TIME(alea_int(1,4,Settings!$B$16),0,0)</f>
        <v>46204.458333333328</v>
      </c>
      <c r="D330" t="str" cm="1">
        <f t="array" ref="D330">choice(Settings!L:L,1,Settings!$B$16)</f>
        <v/>
      </c>
    </row>
    <row r="331" spans="1:4" ht="15.75" customHeight="1" x14ac:dyDescent="0.25">
      <c r="A331" s="2" t="str" cm="1">
        <f t="array" ref="A331">choice(Salles!A:A,1,Settings!$B$16)</f>
        <v>Salle58</v>
      </c>
      <c r="B331" s="3" cm="1">
        <f t="array" ref="B331">alea_date(Settings!$B$11,360,-1,Settings!$B$16)</f>
        <v>46185.416666666664</v>
      </c>
      <c r="C331" s="20" cm="1">
        <f t="array" ref="C331">B331+TIME(alea_int(1,4,Settings!$B$16),0,0)</f>
        <v>46185.583333333328</v>
      </c>
      <c r="D331" t="str" cm="1">
        <f t="array" ref="D331">choice(Settings!L:L,1,Settings!$B$16)</f>
        <v/>
      </c>
    </row>
    <row r="332" spans="1:4" ht="15.75" customHeight="1" x14ac:dyDescent="0.25">
      <c r="A332" s="2" t="str" cm="1">
        <f t="array" ref="A332">choice(Salles!A:A,1,Settings!$B$16)</f>
        <v>Salle32</v>
      </c>
      <c r="B332" s="3" cm="1">
        <f t="array" ref="B332">alea_date(Settings!$B$11,360,-1,Settings!$B$16)</f>
        <v>46167.458333333336</v>
      </c>
      <c r="C332" s="20" cm="1">
        <f t="array" ref="C332">B332+TIME(alea_int(1,4,Settings!$B$16),0,0)</f>
        <v>46167.625</v>
      </c>
      <c r="D332" t="str" cm="1">
        <f t="array" ref="D332">choice(Settings!L:L,1,Settings!$B$16)</f>
        <v/>
      </c>
    </row>
    <row r="333" spans="1:4" ht="15.75" customHeight="1" x14ac:dyDescent="0.25">
      <c r="A333" s="2" t="str" cm="1">
        <f t="array" ref="A333">choice(Salles!A:A,1,Settings!$B$16)</f>
        <v>Salle47</v>
      </c>
      <c r="B333" s="3" cm="1">
        <f t="array" ref="B333">alea_date(Settings!$B$11,360,-1,Settings!$B$16)</f>
        <v>46380.375</v>
      </c>
      <c r="C333" s="20" cm="1">
        <f t="array" ref="C333">B333+TIME(alea_int(1,4,Settings!$B$16),0,0)</f>
        <v>46380.541666666664</v>
      </c>
      <c r="D333" t="str" cm="1">
        <f t="array" ref="D333">choice(Settings!L:L,1,Settings!$B$16)</f>
        <v/>
      </c>
    </row>
    <row r="334" spans="1:4" ht="15.75" customHeight="1" x14ac:dyDescent="0.25">
      <c r="A334" s="2" t="str" cm="1">
        <f t="array" ref="A334">choice(Salles!A:A,1,Settings!$B$16)</f>
        <v>Salle70</v>
      </c>
      <c r="B334" s="3" cm="1">
        <f t="array" ref="B334">alea_date(Settings!$B$11,360,-1,Settings!$B$16)</f>
        <v>46076.25</v>
      </c>
      <c r="C334" s="20" cm="1">
        <f t="array" ref="C334">B334+TIME(alea_int(1,4,Settings!$B$16),0,0)</f>
        <v>46076.416666666664</v>
      </c>
      <c r="D334" t="str" cm="1">
        <f t="array" ref="D334">choice(Settings!L:L,1,Settings!$B$16)</f>
        <v/>
      </c>
    </row>
    <row r="335" spans="1:4" ht="15.75" customHeight="1" x14ac:dyDescent="0.25">
      <c r="A335" s="2" t="str" cm="1">
        <f t="array" ref="A335">choice(Salles!A:A,1,Settings!$B$16)</f>
        <v>Salle54</v>
      </c>
      <c r="B335" s="3" cm="1">
        <f t="array" ref="B335">alea_date(Settings!$B$11,360,-1,Settings!$B$16)</f>
        <v>46058.625</v>
      </c>
      <c r="C335" s="20" cm="1">
        <f t="array" ref="C335">B335+TIME(alea_int(1,4,Settings!$B$16),0,0)</f>
        <v>46058.791666666664</v>
      </c>
      <c r="D335" t="str" cm="1">
        <f t="array" ref="D335">choice(Settings!L:L,1,Settings!$B$16)</f>
        <v>mardi</v>
      </c>
    </row>
    <row r="336" spans="1:4" ht="15.75" customHeight="1" x14ac:dyDescent="0.25">
      <c r="A336" s="2" t="str" cm="1">
        <f t="array" ref="A336">choice(Salles!A:A,1,Settings!$B$16)</f>
        <v>Salle52</v>
      </c>
      <c r="B336" s="3" cm="1">
        <f t="array" ref="B336">alea_date(Settings!$B$11,360,-1,Settings!$B$16)</f>
        <v>46125.625</v>
      </c>
      <c r="C336" s="20" cm="1">
        <f t="array" ref="C336">B336+TIME(alea_int(1,4,Settings!$B$16),0,0)</f>
        <v>46125.791666666664</v>
      </c>
      <c r="D336" t="str" cm="1">
        <f t="array" ref="D336">choice(Settings!L:L,1,Settings!$B$16)</f>
        <v/>
      </c>
    </row>
    <row r="337" spans="1:4" ht="15.75" customHeight="1" x14ac:dyDescent="0.25">
      <c r="A337" s="2" t="str" cm="1">
        <f t="array" ref="A337">choice(Salles!A:A,1,Settings!$B$16)</f>
        <v>Salle32</v>
      </c>
      <c r="B337" s="3" cm="1">
        <f t="array" ref="B337">alea_date(Settings!$B$11,360,-1,Settings!$B$16)</f>
        <v>46321.5</v>
      </c>
      <c r="C337" s="20" cm="1">
        <f t="array" ref="C337">B337+TIME(alea_int(1,4,Settings!$B$16),0,0)</f>
        <v>46321.666666666664</v>
      </c>
      <c r="D337" t="str" cm="1">
        <f t="array" ref="D337">choice(Settings!L:L,1,Settings!$B$16)</f>
        <v/>
      </c>
    </row>
    <row r="338" spans="1:4" ht="15.75" customHeight="1" x14ac:dyDescent="0.25">
      <c r="A338" s="2" t="str" cm="1">
        <f t="array" ref="A338">choice(Salles!A:A,1,Settings!$B$16)</f>
        <v>Salle35</v>
      </c>
      <c r="B338" s="3" cm="1">
        <f t="array" ref="B338">alea_date(Settings!$B$11,360,-1,Settings!$B$16)</f>
        <v>46044.458333333336</v>
      </c>
      <c r="C338" s="20" cm="1">
        <f t="array" ref="C338">B338+TIME(alea_int(1,4,Settings!$B$16),0,0)</f>
        <v>46044.625</v>
      </c>
      <c r="D338" t="str" cm="1">
        <f t="array" ref="D338">choice(Settings!L:L,1,Settings!$B$16)</f>
        <v/>
      </c>
    </row>
    <row r="339" spans="1:4" ht="15.75" customHeight="1" x14ac:dyDescent="0.25">
      <c r="A339" s="2" t="str" cm="1">
        <f t="array" ref="A339">choice(Salles!A:A,1,Settings!$B$16)</f>
        <v>Salle10</v>
      </c>
      <c r="B339" s="3" cm="1">
        <f t="array" ref="B339">alea_date(Settings!$B$11,360,-1,Settings!$B$16)</f>
        <v>46102.416666666664</v>
      </c>
      <c r="C339" s="20" cm="1">
        <f t="array" ref="C339">B339+TIME(alea_int(1,4,Settings!$B$16),0,0)</f>
        <v>46102.583333333328</v>
      </c>
      <c r="D339" t="str" cm="1">
        <f t="array" ref="D339">choice(Settings!L:L,1,Settings!$B$16)</f>
        <v/>
      </c>
    </row>
    <row r="340" spans="1:4" ht="15.75" customHeight="1" x14ac:dyDescent="0.25">
      <c r="A340" s="2" t="str" cm="1">
        <f t="array" ref="A340">choice(Salles!A:A,1,Settings!$B$16)</f>
        <v>Salle47</v>
      </c>
      <c r="B340" s="3" cm="1">
        <f t="array" ref="B340">alea_date(Settings!$B$11,360,-1,Settings!$B$16)</f>
        <v>46200.25</v>
      </c>
      <c r="C340" s="20" cm="1">
        <f t="array" ref="C340">B340+TIME(alea_int(1,4,Settings!$B$16),0,0)</f>
        <v>46200.416666666664</v>
      </c>
      <c r="D340" t="str" cm="1">
        <f t="array" ref="D340">choice(Settings!L:L,1,Settings!$B$16)</f>
        <v/>
      </c>
    </row>
    <row r="341" spans="1:4" ht="15.75" customHeight="1" x14ac:dyDescent="0.25">
      <c r="A341" s="2" t="str" cm="1">
        <f t="array" ref="A341">choice(Salles!A:A,1,Settings!$B$16)</f>
        <v>Salle38</v>
      </c>
      <c r="B341" s="3" cm="1">
        <f t="array" ref="B341">alea_date(Settings!$B$11,360,-1,Settings!$B$16)</f>
        <v>46335.333333333336</v>
      </c>
      <c r="C341" s="20" cm="1">
        <f t="array" ref="C341">B341+TIME(alea_int(1,4,Settings!$B$16),0,0)</f>
        <v>46335.5</v>
      </c>
      <c r="D341" t="str" cm="1">
        <f t="array" ref="D341">choice(Settings!L:L,1,Settings!$B$16)</f>
        <v/>
      </c>
    </row>
    <row r="342" spans="1:4" ht="15.75" customHeight="1" x14ac:dyDescent="0.25">
      <c r="A342" s="2" t="str" cm="1">
        <f t="array" ref="A342">choice(Salles!A:A,1,Settings!$B$16)</f>
        <v>Salle28</v>
      </c>
      <c r="B342" s="3" cm="1">
        <f t="array" ref="B342">alea_date(Settings!$B$11,360,-1,Settings!$B$16)</f>
        <v>46140.375</v>
      </c>
      <c r="C342" s="20" cm="1">
        <f t="array" ref="C342">B342+TIME(alea_int(1,4,Settings!$B$16),0,0)</f>
        <v>46140.541666666664</v>
      </c>
      <c r="D342" t="str" cm="1">
        <f t="array" ref="D342">choice(Settings!L:L,1,Settings!$B$16)</f>
        <v/>
      </c>
    </row>
    <row r="343" spans="1:4" ht="15.75" customHeight="1" x14ac:dyDescent="0.25">
      <c r="A343" s="2" t="str" cm="1">
        <f t="array" ref="A343">choice(Salles!A:A,1,Settings!$B$16)</f>
        <v>Salle42</v>
      </c>
      <c r="B343" s="3" cm="1">
        <f t="array" ref="B343">alea_date(Settings!$B$11,360,-1,Settings!$B$16)</f>
        <v>46357.583333333336</v>
      </c>
      <c r="C343" s="20" cm="1">
        <f t="array" ref="C343">B343+TIME(alea_int(1,4,Settings!$B$16),0,0)</f>
        <v>46357.75</v>
      </c>
      <c r="D343" t="str" cm="1">
        <f t="array" ref="D343">choice(Settings!L:L,1,Settings!$B$16)</f>
        <v/>
      </c>
    </row>
    <row r="344" spans="1:4" ht="15.75" customHeight="1" x14ac:dyDescent="0.25">
      <c r="A344" s="2" t="str" cm="1">
        <f t="array" ref="A344">choice(Salles!A:A,1,Settings!$B$16)</f>
        <v>Salle40</v>
      </c>
      <c r="B344" s="3" cm="1">
        <f t="array" ref="B344">alea_date(Settings!$B$11,360,-1,Settings!$B$16)</f>
        <v>46248.333333333336</v>
      </c>
      <c r="C344" s="20" cm="1">
        <f t="array" ref="C344">B344+TIME(alea_int(1,4,Settings!$B$16),0,0)</f>
        <v>46248.5</v>
      </c>
      <c r="D344" t="str" cm="1">
        <f t="array" ref="D344">choice(Settings!L:L,1,Settings!$B$16)</f>
        <v/>
      </c>
    </row>
    <row r="345" spans="1:4" ht="15.75" customHeight="1" x14ac:dyDescent="0.25">
      <c r="A345" s="2" t="str" cm="1">
        <f t="array" ref="A345">choice(Salles!A:A,1,Settings!$B$16)</f>
        <v>Salle57</v>
      </c>
      <c r="B345" s="3" cm="1">
        <f t="array" ref="B345">alea_date(Settings!$B$11,360,-1,Settings!$B$16)</f>
        <v>46089.583333333336</v>
      </c>
      <c r="C345" s="20" cm="1">
        <f t="array" ref="C345">B345+TIME(alea_int(1,4,Settings!$B$16),0,0)</f>
        <v>46089.75</v>
      </c>
      <c r="D345" t="str" cm="1">
        <f t="array" ref="D345">choice(Settings!L:L,1,Settings!$B$16)</f>
        <v/>
      </c>
    </row>
    <row r="346" spans="1:4" ht="15.75" customHeight="1" x14ac:dyDescent="0.25">
      <c r="A346" s="2" t="str" cm="1">
        <f t="array" ref="A346">choice(Salles!A:A,1,Settings!$B$16)</f>
        <v>Salle4</v>
      </c>
      <c r="B346" s="3" cm="1">
        <f t="array" ref="B346">alea_date(Settings!$B$11,360,-1,Settings!$B$16)</f>
        <v>46315.291666666664</v>
      </c>
      <c r="C346" s="20" cm="1">
        <f t="array" ref="C346">B346+TIME(alea_int(1,4,Settings!$B$16),0,0)</f>
        <v>46315.458333333328</v>
      </c>
      <c r="D346" t="str" cm="1">
        <f t="array" ref="D346">choice(Settings!L:L,1,Settings!$B$16)</f>
        <v/>
      </c>
    </row>
    <row r="347" spans="1:4" ht="15.75" customHeight="1" x14ac:dyDescent="0.25">
      <c r="A347" s="2" t="str" cm="1">
        <f t="array" ref="A347">choice(Salles!A:A,1,Settings!$B$16)</f>
        <v>Salle13</v>
      </c>
      <c r="B347" s="3" cm="1">
        <f t="array" ref="B347">alea_date(Settings!$B$11,360,-1,Settings!$B$16)</f>
        <v>46160.291666666664</v>
      </c>
      <c r="C347" s="20" cm="1">
        <f t="array" ref="C347">B347+TIME(alea_int(1,4,Settings!$B$16),0,0)</f>
        <v>46160.458333333328</v>
      </c>
      <c r="D347" t="str" cm="1">
        <f t="array" ref="D347">choice(Settings!L:L,1,Settings!$B$16)</f>
        <v/>
      </c>
    </row>
    <row r="348" spans="1:4" ht="15.75" customHeight="1" x14ac:dyDescent="0.25">
      <c r="A348" s="2" t="str" cm="1">
        <f t="array" ref="A348">choice(Salles!A:A,1,Settings!$B$16)</f>
        <v>Salle52</v>
      </c>
      <c r="B348" s="3" cm="1">
        <f t="array" ref="B348">alea_date(Settings!$B$11,360,-1,Settings!$B$16)</f>
        <v>46299.625</v>
      </c>
      <c r="C348" s="20" cm="1">
        <f t="array" ref="C348">B348+TIME(alea_int(1,4,Settings!$B$16),0,0)</f>
        <v>46299.791666666664</v>
      </c>
      <c r="D348" t="str" cm="1">
        <f t="array" ref="D348">choice(Settings!L:L,1,Settings!$B$16)</f>
        <v/>
      </c>
    </row>
    <row r="349" spans="1:4" ht="15.75" customHeight="1" x14ac:dyDescent="0.25">
      <c r="A349" s="2" t="str" cm="1">
        <f t="array" ref="A349">choice(Salles!A:A,1,Settings!$B$16)</f>
        <v>Salle27</v>
      </c>
      <c r="B349" s="3" cm="1">
        <f t="array" ref="B349">alea_date(Settings!$B$11,360,-1,Settings!$B$16)</f>
        <v>46339.5</v>
      </c>
      <c r="C349" s="20" cm="1">
        <f t="array" ref="C349">B349+TIME(alea_int(1,4,Settings!$B$16),0,0)</f>
        <v>46339.666666666664</v>
      </c>
      <c r="D349" t="str" cm="1">
        <f t="array" ref="D349">choice(Settings!L:L,1,Settings!$B$16)</f>
        <v/>
      </c>
    </row>
    <row r="350" spans="1:4" ht="15.75" customHeight="1" x14ac:dyDescent="0.25">
      <c r="A350" s="2" t="str" cm="1">
        <f t="array" ref="A350">choice(Salles!A:A,1,Settings!$B$16)</f>
        <v>Salle57</v>
      </c>
      <c r="B350" s="3" cm="1">
        <f t="array" ref="B350">alea_date(Settings!$B$11,360,-1,Settings!$B$16)</f>
        <v>46122.625</v>
      </c>
      <c r="C350" s="20" cm="1">
        <f t="array" ref="C350">B350+TIME(alea_int(1,4,Settings!$B$16),0,0)</f>
        <v>46122.791666666664</v>
      </c>
      <c r="D350" t="str" cm="1">
        <f t="array" ref="D350">choice(Settings!L:L,1,Settings!$B$16)</f>
        <v>mardi</v>
      </c>
    </row>
    <row r="351" spans="1:4" ht="15.75" customHeight="1" x14ac:dyDescent="0.25">
      <c r="A351" s="2" t="str" cm="1">
        <f t="array" ref="A351">choice(Salles!A:A,1,Settings!$B$16)</f>
        <v>Salle25</v>
      </c>
      <c r="B351" s="3" cm="1">
        <f t="array" ref="B351">alea_date(Settings!$B$11,360,-1,Settings!$B$16)</f>
        <v>46197.458333333336</v>
      </c>
      <c r="C351" s="20" cm="1">
        <f t="array" ref="C351">B351+TIME(alea_int(1,4,Settings!$B$16),0,0)</f>
        <v>46197.625</v>
      </c>
      <c r="D351" t="str" cm="1">
        <f t="array" ref="D351">choice(Settings!L:L,1,Settings!$B$16)</f>
        <v/>
      </c>
    </row>
    <row r="352" spans="1:4" ht="15.75" customHeight="1" x14ac:dyDescent="0.25">
      <c r="A352" s="2" t="str" cm="1">
        <f t="array" ref="A352">choice(Salles!A:A,1,Settings!$B$16)</f>
        <v>Salle46</v>
      </c>
      <c r="B352" s="3" cm="1">
        <f t="array" ref="B352">alea_date(Settings!$B$11,360,-1,Settings!$B$16)</f>
        <v>46300.416666666664</v>
      </c>
      <c r="C352" s="20" cm="1">
        <f t="array" ref="C352">B352+TIME(alea_int(1,4,Settings!$B$16),0,0)</f>
        <v>46300.583333333328</v>
      </c>
      <c r="D352" t="str" cm="1">
        <f t="array" ref="D352">choice(Settings!L:L,1,Settings!$B$16)</f>
        <v/>
      </c>
    </row>
    <row r="353" spans="1:4" ht="15.75" customHeight="1" x14ac:dyDescent="0.25">
      <c r="A353" s="2" t="str" cm="1">
        <f t="array" ref="A353">choice(Salles!A:A,1,Settings!$B$16)</f>
        <v>Salle68</v>
      </c>
      <c r="B353" s="3" cm="1">
        <f t="array" ref="B353">alea_date(Settings!$B$11,360,-1,Settings!$B$16)</f>
        <v>46265.625</v>
      </c>
      <c r="C353" s="20" cm="1">
        <f t="array" ref="C353">B353+TIME(alea_int(1,4,Settings!$B$16),0,0)</f>
        <v>46265.791666666664</v>
      </c>
      <c r="D353" t="str" cm="1">
        <f t="array" ref="D353">choice(Settings!L:L,1,Settings!$B$16)</f>
        <v>lundi</v>
      </c>
    </row>
    <row r="354" spans="1:4" ht="15.75" customHeight="1" x14ac:dyDescent="0.25">
      <c r="A354" s="2" t="str" cm="1">
        <f t="array" ref="A354">choice(Salles!A:A,1,Settings!$B$16)</f>
        <v>Salle1</v>
      </c>
      <c r="B354" s="3" cm="1">
        <f t="array" ref="B354">alea_date(Settings!$B$11,360,-1,Settings!$B$16)</f>
        <v>46366.458333333336</v>
      </c>
      <c r="C354" s="20" cm="1">
        <f t="array" ref="C354">B354+TIME(alea_int(1,4,Settings!$B$16),0,0)</f>
        <v>46366.625</v>
      </c>
      <c r="D354" t="str" cm="1">
        <f t="array" ref="D354">choice(Settings!L:L,1,Settings!$B$16)</f>
        <v/>
      </c>
    </row>
    <row r="355" spans="1:4" ht="15.75" customHeight="1" x14ac:dyDescent="0.25">
      <c r="A355" s="2" t="str" cm="1">
        <f t="array" ref="A355">choice(Salles!A:A,1,Settings!$B$16)</f>
        <v>Salle59</v>
      </c>
      <c r="B355" s="3" cm="1">
        <f t="array" ref="B355">alea_date(Settings!$B$11,360,-1,Settings!$B$16)</f>
        <v>46379.5</v>
      </c>
      <c r="C355" s="20" cm="1">
        <f t="array" ref="C355">B355+TIME(alea_int(1,4,Settings!$B$16),0,0)</f>
        <v>46379.666666666664</v>
      </c>
      <c r="D355" t="str" cm="1">
        <f t="array" ref="D355">choice(Settings!L:L,1,Settings!$B$16)</f>
        <v/>
      </c>
    </row>
    <row r="356" spans="1:4" ht="15.75" customHeight="1" x14ac:dyDescent="0.25">
      <c r="A356" s="2" t="str" cm="1">
        <f t="array" ref="A356">choice(Salles!A:A,1,Settings!$B$16)</f>
        <v>Salle16</v>
      </c>
      <c r="B356" s="3" cm="1">
        <f t="array" ref="B356">alea_date(Settings!$B$11,360,-1,Settings!$B$16)</f>
        <v>46338.583333333336</v>
      </c>
      <c r="C356" s="20" cm="1">
        <f t="array" ref="C356">B356+TIME(alea_int(1,4,Settings!$B$16),0,0)</f>
        <v>46338.75</v>
      </c>
      <c r="D356" t="str" cm="1">
        <f t="array" ref="D356">choice(Settings!L:L,1,Settings!$B$16)</f>
        <v/>
      </c>
    </row>
    <row r="357" spans="1:4" ht="15.75" customHeight="1" x14ac:dyDescent="0.25">
      <c r="A357" s="2" t="str" cm="1">
        <f t="array" ref="A357">choice(Salles!A:A,1,Settings!$B$16)</f>
        <v>Salle3</v>
      </c>
      <c r="B357" s="3" cm="1">
        <f t="array" ref="B357">alea_date(Settings!$B$11,360,-1,Settings!$B$16)</f>
        <v>46299.541666666664</v>
      </c>
      <c r="C357" s="20" cm="1">
        <f t="array" ref="C357">B357+TIME(alea_int(1,4,Settings!$B$16),0,0)</f>
        <v>46299.708333333328</v>
      </c>
      <c r="D357" t="str" cm="1">
        <f t="array" ref="D357">choice(Settings!L:L,1,Settings!$B$16)</f>
        <v/>
      </c>
    </row>
    <row r="358" spans="1:4" ht="15.75" customHeight="1" x14ac:dyDescent="0.25">
      <c r="A358" s="2" t="str" cm="1">
        <f t="array" ref="A358">choice(Salles!A:A,1,Settings!$B$16)</f>
        <v>Salle9</v>
      </c>
      <c r="B358" s="3" cm="1">
        <f t="array" ref="B358">alea_date(Settings!$B$11,360,-1,Settings!$B$16)</f>
        <v>46023.416666666664</v>
      </c>
      <c r="C358" s="20" cm="1">
        <f t="array" ref="C358">B358+TIME(alea_int(1,4,Settings!$B$16),0,0)</f>
        <v>46023.583333333328</v>
      </c>
      <c r="D358" t="str" cm="1">
        <f t="array" ref="D358">choice(Settings!L:L,1,Settings!$B$16)</f>
        <v/>
      </c>
    </row>
    <row r="359" spans="1:4" ht="15.75" customHeight="1" x14ac:dyDescent="0.25">
      <c r="A359" s="2" t="str" cm="1">
        <f t="array" ref="A359">choice(Salles!A:A,1,Settings!$B$16)</f>
        <v>Salle45</v>
      </c>
      <c r="B359" s="3" cm="1">
        <f t="array" ref="B359">alea_date(Settings!$B$11,360,-1,Settings!$B$16)</f>
        <v>46190.375</v>
      </c>
      <c r="C359" s="20" cm="1">
        <f t="array" ref="C359">B359+TIME(alea_int(1,4,Settings!$B$16),0,0)</f>
        <v>46190.541666666664</v>
      </c>
      <c r="D359" t="str" cm="1">
        <f t="array" ref="D359">choice(Settings!L:L,1,Settings!$B$16)</f>
        <v/>
      </c>
    </row>
    <row r="360" spans="1:4" ht="15.75" customHeight="1" x14ac:dyDescent="0.25">
      <c r="A360" s="2" t="str" cm="1">
        <f t="array" ref="A360">choice(Salles!A:A,1,Settings!$B$16)</f>
        <v>Salle24</v>
      </c>
      <c r="B360" s="3" cm="1">
        <f t="array" ref="B360">alea_date(Settings!$B$11,360,-1,Settings!$B$16)</f>
        <v>46072.583333333336</v>
      </c>
      <c r="C360" s="20" cm="1">
        <f t="array" ref="C360">B360+TIME(alea_int(1,4,Settings!$B$16),0,0)</f>
        <v>46072.75</v>
      </c>
      <c r="D360" t="str" cm="1">
        <f t="array" ref="D360">choice(Settings!L:L,1,Settings!$B$16)</f>
        <v/>
      </c>
    </row>
    <row r="361" spans="1:4" ht="15.75" customHeight="1" x14ac:dyDescent="0.25">
      <c r="A361" s="2" t="str" cm="1">
        <f t="array" ref="A361">choice(Salles!A:A,1,Settings!$B$16)</f>
        <v>Salle3</v>
      </c>
      <c r="B361" s="3" cm="1">
        <f t="array" ref="B361">alea_date(Settings!$B$11,360,-1,Settings!$B$16)</f>
        <v>46146.583333333336</v>
      </c>
      <c r="C361" s="20" cm="1">
        <f t="array" ref="C361">B361+TIME(alea_int(1,4,Settings!$B$16),0,0)</f>
        <v>46146.75</v>
      </c>
      <c r="D361" t="str" cm="1">
        <f t="array" ref="D361">choice(Settings!L:L,1,Settings!$B$16)</f>
        <v/>
      </c>
    </row>
    <row r="362" spans="1:4" ht="15.75" customHeight="1" x14ac:dyDescent="0.25">
      <c r="A362" s="2" t="str" cm="1">
        <f t="array" ref="A362">choice(Salles!A:A,1,Settings!$B$16)</f>
        <v>Salle50</v>
      </c>
      <c r="B362" s="3" cm="1">
        <f t="array" ref="B362">alea_date(Settings!$B$11,360,-1,Settings!$B$16)</f>
        <v>46024.416666666664</v>
      </c>
      <c r="C362" s="20" cm="1">
        <f t="array" ref="C362">B362+TIME(alea_int(1,4,Settings!$B$16),0,0)</f>
        <v>46024.583333333328</v>
      </c>
      <c r="D362" t="str" cm="1">
        <f t="array" ref="D362">choice(Settings!L:L,1,Settings!$B$16)</f>
        <v/>
      </c>
    </row>
    <row r="363" spans="1:4" ht="15.75" customHeight="1" x14ac:dyDescent="0.25">
      <c r="A363" s="2" t="str" cm="1">
        <f t="array" ref="A363">choice(Salles!A:A,1,Settings!$B$16)</f>
        <v>Salle34</v>
      </c>
      <c r="B363" s="3" cm="1">
        <f t="array" ref="B363">alea_date(Settings!$B$11,360,-1,Settings!$B$16)</f>
        <v>46152.625</v>
      </c>
      <c r="C363" s="20" cm="1">
        <f t="array" ref="C363">B363+TIME(alea_int(1,4,Settings!$B$16),0,0)</f>
        <v>46152.791666666664</v>
      </c>
      <c r="D363" t="str" cm="1">
        <f t="array" ref="D363">choice(Settings!L:L,1,Settings!$B$16)</f>
        <v/>
      </c>
    </row>
    <row r="364" spans="1:4" ht="15.75" customHeight="1" x14ac:dyDescent="0.25">
      <c r="A364" s="2" t="str" cm="1">
        <f t="array" ref="A364">choice(Salles!A:A,1,Settings!$B$16)</f>
        <v>Salle26</v>
      </c>
      <c r="B364" s="3" cm="1">
        <f t="array" ref="B364">alea_date(Settings!$B$11,360,-1,Settings!$B$16)</f>
        <v>46200.541666666664</v>
      </c>
      <c r="C364" s="20" cm="1">
        <f t="array" ref="C364">B364+TIME(alea_int(1,4,Settings!$B$16),0,0)</f>
        <v>46200.708333333328</v>
      </c>
      <c r="D364" t="str" cm="1">
        <f t="array" ref="D364">choice(Settings!L:L,1,Settings!$B$16)</f>
        <v/>
      </c>
    </row>
    <row r="365" spans="1:4" ht="15.75" customHeight="1" x14ac:dyDescent="0.25">
      <c r="A365" s="2" t="str" cm="1">
        <f t="array" ref="A365">choice(Salles!A:A,1,Settings!$B$16)</f>
        <v>Salle33</v>
      </c>
      <c r="B365" s="3" cm="1">
        <f t="array" ref="B365">alea_date(Settings!$B$11,360,-1,Settings!$B$16)</f>
        <v>46261.25</v>
      </c>
      <c r="C365" s="20" cm="1">
        <f t="array" ref="C365">B365+TIME(alea_int(1,4,Settings!$B$16),0,0)</f>
        <v>46261.416666666664</v>
      </c>
      <c r="D365" t="str" cm="1">
        <f t="array" ref="D365">choice(Settings!L:L,1,Settings!$B$16)</f>
        <v/>
      </c>
    </row>
    <row r="366" spans="1:4" ht="15.75" customHeight="1" x14ac:dyDescent="0.25">
      <c r="A366" s="2" t="str" cm="1">
        <f t="array" ref="A366">choice(Salles!A:A,1,Settings!$B$16)</f>
        <v>Salle58</v>
      </c>
      <c r="B366" s="3" cm="1">
        <f t="array" ref="B366">alea_date(Settings!$B$11,360,-1,Settings!$B$16)</f>
        <v>46338.625</v>
      </c>
      <c r="C366" s="20" cm="1">
        <f t="array" ref="C366">B366+TIME(alea_int(1,4,Settings!$B$16),0,0)</f>
        <v>46338.791666666664</v>
      </c>
      <c r="D366" t="str" cm="1">
        <f t="array" ref="D366">choice(Settings!L:L,1,Settings!$B$16)</f>
        <v/>
      </c>
    </row>
    <row r="367" spans="1:4" ht="15.75" customHeight="1" x14ac:dyDescent="0.25">
      <c r="A367" s="2" t="str" cm="1">
        <f t="array" ref="A367">choice(Salles!A:A,1,Settings!$B$16)</f>
        <v>Salle32</v>
      </c>
      <c r="B367" s="3" cm="1">
        <f t="array" ref="B367">alea_date(Settings!$B$11,360,-1,Settings!$B$16)</f>
        <v>46122.5</v>
      </c>
      <c r="C367" s="20" cm="1">
        <f t="array" ref="C367">B367+TIME(alea_int(1,4,Settings!$B$16),0,0)</f>
        <v>46122.666666666664</v>
      </c>
      <c r="D367" t="str" cm="1">
        <f t="array" ref="D367">choice(Settings!L:L,1,Settings!$B$16)</f>
        <v>lundi</v>
      </c>
    </row>
    <row r="368" spans="1:4" ht="15.75" customHeight="1" x14ac:dyDescent="0.25">
      <c r="A368" s="2" t="str" cm="1">
        <f t="array" ref="A368">choice(Salles!A:A,1,Settings!$B$16)</f>
        <v>Salle33</v>
      </c>
      <c r="B368" s="3" cm="1">
        <f t="array" ref="B368">alea_date(Settings!$B$11,360,-1,Settings!$B$16)</f>
        <v>46269.333333333336</v>
      </c>
      <c r="C368" s="20" cm="1">
        <f t="array" ref="C368">B368+TIME(alea_int(1,4,Settings!$B$16),0,0)</f>
        <v>46269.5</v>
      </c>
      <c r="D368" t="str" cm="1">
        <f t="array" ref="D368">choice(Settings!L:L,1,Settings!$B$16)</f>
        <v/>
      </c>
    </row>
    <row r="369" spans="1:4" ht="15.75" customHeight="1" x14ac:dyDescent="0.25">
      <c r="A369" s="2" t="str" cm="1">
        <f t="array" ref="A369">choice(Salles!A:A,1,Settings!$B$16)</f>
        <v>Salle13</v>
      </c>
      <c r="B369" s="3" cm="1">
        <f t="array" ref="B369">alea_date(Settings!$B$11,360,-1,Settings!$B$16)</f>
        <v>46060.583333333336</v>
      </c>
      <c r="C369" s="20" cm="1">
        <f t="array" ref="C369">B369+TIME(alea_int(1,4,Settings!$B$16),0,0)</f>
        <v>46060.75</v>
      </c>
      <c r="D369" t="str" cm="1">
        <f t="array" ref="D369">choice(Settings!L:L,1,Settings!$B$16)</f>
        <v/>
      </c>
    </row>
    <row r="370" spans="1:4" ht="15.75" customHeight="1" x14ac:dyDescent="0.25">
      <c r="A370" s="2" t="str" cm="1">
        <f t="array" ref="A370">choice(Salles!A:A,1,Settings!$B$16)</f>
        <v>Salle1</v>
      </c>
      <c r="B370" s="3" cm="1">
        <f t="array" ref="B370">alea_date(Settings!$B$11,360,-1,Settings!$B$16)</f>
        <v>46076.625</v>
      </c>
      <c r="C370" s="20" cm="1">
        <f t="array" ref="C370">B370+TIME(alea_int(1,4,Settings!$B$16),0,0)</f>
        <v>46076.791666666664</v>
      </c>
      <c r="D370" t="str" cm="1">
        <f t="array" ref="D370">choice(Settings!L:L,1,Settings!$B$16)</f>
        <v/>
      </c>
    </row>
    <row r="371" spans="1:4" ht="15.75" customHeight="1" x14ac:dyDescent="0.25">
      <c r="A371" s="2" t="str" cm="1">
        <f t="array" ref="A371">choice(Salles!A:A,1,Settings!$B$16)</f>
        <v>Salle46</v>
      </c>
      <c r="B371" s="3" cm="1">
        <f t="array" ref="B371">alea_date(Settings!$B$11,360,-1,Settings!$B$16)</f>
        <v>46110.25</v>
      </c>
      <c r="C371" s="20" cm="1">
        <f t="array" ref="C371">B371+TIME(alea_int(1,4,Settings!$B$16),0,0)</f>
        <v>46110.416666666664</v>
      </c>
      <c r="D371" t="str" cm="1">
        <f t="array" ref="D371">choice(Settings!L:L,1,Settings!$B$16)</f>
        <v/>
      </c>
    </row>
    <row r="372" spans="1:4" ht="15.75" customHeight="1" x14ac:dyDescent="0.25">
      <c r="A372" s="2" t="str" cm="1">
        <f t="array" ref="A372">choice(Salles!A:A,1,Settings!$B$16)</f>
        <v>Salle49</v>
      </c>
      <c r="B372" s="3" cm="1">
        <f t="array" ref="B372">alea_date(Settings!$B$11,360,-1,Settings!$B$16)</f>
        <v>46197.375</v>
      </c>
      <c r="C372" s="20" cm="1">
        <f t="array" ref="C372">B372+TIME(alea_int(1,4,Settings!$B$16),0,0)</f>
        <v>46197.541666666664</v>
      </c>
      <c r="D372" t="str" cm="1">
        <f t="array" ref="D372">choice(Settings!L:L,1,Settings!$B$16)</f>
        <v/>
      </c>
    </row>
    <row r="373" spans="1:4" ht="15.75" customHeight="1" x14ac:dyDescent="0.25">
      <c r="A373" s="2" t="str" cm="1">
        <f t="array" ref="A373">choice(Salles!A:A,1,Settings!$B$16)</f>
        <v>Salle59</v>
      </c>
      <c r="B373" s="3" cm="1">
        <f t="array" ref="B373">alea_date(Settings!$B$11,360,-1,Settings!$B$16)</f>
        <v>46157.416666666664</v>
      </c>
      <c r="C373" s="20" cm="1">
        <f t="array" ref="C373">B373+TIME(alea_int(1,4,Settings!$B$16),0,0)</f>
        <v>46157.583333333328</v>
      </c>
      <c r="D373" t="str" cm="1">
        <f t="array" ref="D373">choice(Settings!L:L,1,Settings!$B$16)</f>
        <v/>
      </c>
    </row>
    <row r="374" spans="1:4" ht="15.75" customHeight="1" x14ac:dyDescent="0.25">
      <c r="A374" s="2" t="str" cm="1">
        <f t="array" ref="A374">choice(Salles!A:A,1,Settings!$B$16)</f>
        <v>Salle15</v>
      </c>
      <c r="B374" s="3" cm="1">
        <f t="array" ref="B374">alea_date(Settings!$B$11,360,-1,Settings!$B$16)</f>
        <v>46300.25</v>
      </c>
      <c r="C374" s="20" cm="1">
        <f t="array" ref="C374">B374+TIME(alea_int(1,4,Settings!$B$16),0,0)</f>
        <v>46300.416666666664</v>
      </c>
      <c r="D374" t="str" cm="1">
        <f t="array" ref="D374">choice(Settings!L:L,1,Settings!$B$16)</f>
        <v/>
      </c>
    </row>
    <row r="375" spans="1:4" ht="15.75" customHeight="1" x14ac:dyDescent="0.25">
      <c r="A375" s="2" t="str" cm="1">
        <f t="array" ref="A375">choice(Salles!A:A,1,Settings!$B$16)</f>
        <v>Salle31</v>
      </c>
      <c r="B375" s="3" cm="1">
        <f t="array" ref="B375">alea_date(Settings!$B$11,360,-1,Settings!$B$16)</f>
        <v>46279.291666666664</v>
      </c>
      <c r="C375" s="20" cm="1">
        <f t="array" ref="C375">B375+TIME(alea_int(1,4,Settings!$B$16),0,0)</f>
        <v>46279.458333333328</v>
      </c>
      <c r="D375" t="str" cm="1">
        <f t="array" ref="D375">choice(Settings!L:L,1,Settings!$B$16)</f>
        <v/>
      </c>
    </row>
    <row r="376" spans="1:4" ht="15.75" customHeight="1" x14ac:dyDescent="0.25">
      <c r="A376" s="2" t="str" cm="1">
        <f t="array" ref="A376">choice(Salles!A:A,1,Settings!$B$16)</f>
        <v>Salle66</v>
      </c>
      <c r="B376" s="3" cm="1">
        <f t="array" ref="B376">alea_date(Settings!$B$11,360,-1,Settings!$B$16)</f>
        <v>46308.333333333336</v>
      </c>
      <c r="C376" s="20" cm="1">
        <f t="array" ref="C376">B376+TIME(alea_int(1,4,Settings!$B$16),0,0)</f>
        <v>46308.5</v>
      </c>
      <c r="D376" t="str" cm="1">
        <f t="array" ref="D376">choice(Settings!L:L,1,Settings!$B$16)</f>
        <v/>
      </c>
    </row>
    <row r="377" spans="1:4" ht="15.75" customHeight="1" x14ac:dyDescent="0.25">
      <c r="A377" s="2" t="str" cm="1">
        <f t="array" ref="A377">choice(Salles!A:A,1,Settings!$B$16)</f>
        <v>Salle16</v>
      </c>
      <c r="B377" s="3" cm="1">
        <f t="array" ref="B377">alea_date(Settings!$B$11,360,-1,Settings!$B$16)</f>
        <v>46360.625</v>
      </c>
      <c r="C377" s="20" cm="1">
        <f t="array" ref="C377">B377+TIME(alea_int(1,4,Settings!$B$16),0,0)</f>
        <v>46360.791666666664</v>
      </c>
      <c r="D377" t="str" cm="1">
        <f t="array" ref="D377">choice(Settings!L:L,1,Settings!$B$16)</f>
        <v/>
      </c>
    </row>
    <row r="378" spans="1:4" ht="15.75" customHeight="1" x14ac:dyDescent="0.25">
      <c r="A378" s="2" t="str" cm="1">
        <f t="array" ref="A378">choice(Salles!A:A,1,Settings!$B$16)</f>
        <v>Salle32</v>
      </c>
      <c r="B378" s="3" cm="1">
        <f t="array" ref="B378">alea_date(Settings!$B$11,360,-1,Settings!$B$16)</f>
        <v>46050.458333333336</v>
      </c>
      <c r="C378" s="20" cm="1">
        <f t="array" ref="C378">B378+TIME(alea_int(1,4,Settings!$B$16),0,0)</f>
        <v>46050.625</v>
      </c>
      <c r="D378" t="str" cm="1">
        <f t="array" ref="D378">choice(Settings!L:L,1,Settings!$B$16)</f>
        <v/>
      </c>
    </row>
    <row r="379" spans="1:4" ht="15.75" customHeight="1" x14ac:dyDescent="0.25">
      <c r="A379" s="2" t="str" cm="1">
        <f t="array" ref="A379">choice(Salles!A:A,1,Settings!$B$16)</f>
        <v>Salle66</v>
      </c>
      <c r="B379" s="3" cm="1">
        <f t="array" ref="B379">alea_date(Settings!$B$11,360,-1,Settings!$B$16)</f>
        <v>46050.25</v>
      </c>
      <c r="C379" s="20" cm="1">
        <f t="array" ref="C379">B379+TIME(alea_int(1,4,Settings!$B$16),0,0)</f>
        <v>46050.416666666664</v>
      </c>
      <c r="D379" t="str" cm="1">
        <f t="array" ref="D379">choice(Settings!L:L,1,Settings!$B$16)</f>
        <v/>
      </c>
    </row>
    <row r="380" spans="1:4" ht="15.75" customHeight="1" x14ac:dyDescent="0.25">
      <c r="A380" s="2" t="str" cm="1">
        <f t="array" ref="A380">choice(Salles!A:A,1,Settings!$B$16)</f>
        <v>Salle4</v>
      </c>
      <c r="B380" s="3" cm="1">
        <f t="array" ref="B380">alea_date(Settings!$B$11,360,-1,Settings!$B$16)</f>
        <v>46087.25</v>
      </c>
      <c r="C380" s="20" cm="1">
        <f t="array" ref="C380">B380+TIME(alea_int(1,4,Settings!$B$16),0,0)</f>
        <v>46087.416666666664</v>
      </c>
      <c r="D380" t="str" cm="1">
        <f t="array" ref="D380">choice(Settings!L:L,1,Settings!$B$16)</f>
        <v>mardi</v>
      </c>
    </row>
    <row r="381" spans="1:4" ht="15.75" customHeight="1" x14ac:dyDescent="0.25">
      <c r="A381" s="2" t="str" cm="1">
        <f t="array" ref="A381">choice(Salles!A:A,1,Settings!$B$16)</f>
        <v>Salle6</v>
      </c>
      <c r="B381" s="3" cm="1">
        <f t="array" ref="B381">alea_date(Settings!$B$11,360,-1,Settings!$B$16)</f>
        <v>46083.375</v>
      </c>
      <c r="C381" s="20" cm="1">
        <f t="array" ref="C381">B381+TIME(alea_int(1,4,Settings!$B$16),0,0)</f>
        <v>46083.541666666664</v>
      </c>
      <c r="D381" t="str" cm="1">
        <f t="array" ref="D381">choice(Settings!L:L,1,Settings!$B$16)</f>
        <v/>
      </c>
    </row>
    <row r="382" spans="1:4" ht="15.75" customHeight="1" x14ac:dyDescent="0.25">
      <c r="A382" s="2" t="str" cm="1">
        <f t="array" ref="A382">choice(Salles!A:A,1,Settings!$B$16)</f>
        <v>Salle44</v>
      </c>
      <c r="B382" s="3" cm="1">
        <f t="array" ref="B382">alea_date(Settings!$B$11,360,-1,Settings!$B$16)</f>
        <v>46373.333333333336</v>
      </c>
      <c r="C382" s="20" cm="1">
        <f t="array" ref="C382">B382+TIME(alea_int(1,4,Settings!$B$16),0,0)</f>
        <v>46373.5</v>
      </c>
      <c r="D382" t="str" cm="1">
        <f t="array" ref="D382">choice(Settings!L:L,1,Settings!$B$16)</f>
        <v/>
      </c>
    </row>
    <row r="383" spans="1:4" ht="15.75" customHeight="1" x14ac:dyDescent="0.25">
      <c r="A383" s="2" t="str" cm="1">
        <f t="array" ref="A383">choice(Salles!A:A,1,Settings!$B$16)</f>
        <v>Salle52</v>
      </c>
      <c r="B383" s="3" cm="1">
        <f t="array" ref="B383">alea_date(Settings!$B$11,360,-1,Settings!$B$16)</f>
        <v>46325.333333333336</v>
      </c>
      <c r="C383" s="20" cm="1">
        <f t="array" ref="C383">B383+TIME(alea_int(1,4,Settings!$B$16),0,0)</f>
        <v>46325.5</v>
      </c>
      <c r="D383" t="str" cm="1">
        <f t="array" ref="D383">choice(Settings!L:L,1,Settings!$B$16)</f>
        <v/>
      </c>
    </row>
    <row r="384" spans="1:4" ht="15.75" customHeight="1" x14ac:dyDescent="0.25">
      <c r="A384" s="2" t="str" cm="1">
        <f t="array" ref="A384">choice(Salles!A:A,1,Settings!$B$16)</f>
        <v>Salle8</v>
      </c>
      <c r="B384" s="3" cm="1">
        <f t="array" ref="B384">alea_date(Settings!$B$11,360,-1,Settings!$B$16)</f>
        <v>46325.5</v>
      </c>
      <c r="C384" s="20" cm="1">
        <f t="array" ref="C384">B384+TIME(alea_int(1,4,Settings!$B$16),0,0)</f>
        <v>46325.666666666664</v>
      </c>
      <c r="D384" t="str" cm="1">
        <f t="array" ref="D384">choice(Settings!L:L,1,Settings!$B$16)</f>
        <v/>
      </c>
    </row>
    <row r="385" spans="1:4" ht="15.75" customHeight="1" x14ac:dyDescent="0.25">
      <c r="A385" s="2" t="str" cm="1">
        <f t="array" ref="A385">choice(Salles!A:A,1,Settings!$B$16)</f>
        <v>Salle26</v>
      </c>
      <c r="B385" s="3" cm="1">
        <f t="array" ref="B385">alea_date(Settings!$B$11,360,-1,Settings!$B$16)</f>
        <v>46093.416666666664</v>
      </c>
      <c r="C385" s="20" cm="1">
        <f t="array" ref="C385">B385+TIME(alea_int(1,4,Settings!$B$16),0,0)</f>
        <v>46093.583333333328</v>
      </c>
      <c r="D385" t="str" cm="1">
        <f t="array" ref="D385">choice(Settings!L:L,1,Settings!$B$16)</f>
        <v>jeudi</v>
      </c>
    </row>
    <row r="386" spans="1:4" ht="15.75" customHeight="1" x14ac:dyDescent="0.25">
      <c r="A386" s="2" t="str" cm="1">
        <f t="array" ref="A386">choice(Salles!A:A,1,Settings!$B$16)</f>
        <v>Salle40</v>
      </c>
      <c r="B386" s="3" cm="1">
        <f t="array" ref="B386">alea_date(Settings!$B$11,360,-1,Settings!$B$16)</f>
        <v>46170.541666666664</v>
      </c>
      <c r="C386" s="20" cm="1">
        <f t="array" ref="C386">B386+TIME(alea_int(1,4,Settings!$B$16),0,0)</f>
        <v>46170.708333333328</v>
      </c>
      <c r="D386" t="str" cm="1">
        <f t="array" ref="D386">choice(Settings!L:L,1,Settings!$B$16)</f>
        <v/>
      </c>
    </row>
    <row r="387" spans="1:4" ht="15.75" customHeight="1" x14ac:dyDescent="0.25">
      <c r="A387" s="2" t="str" cm="1">
        <f t="array" ref="A387">choice(Salles!A:A,1,Settings!$B$16)</f>
        <v>Salle62</v>
      </c>
      <c r="B387" s="3" cm="1">
        <f t="array" ref="B387">alea_date(Settings!$B$11,360,-1,Settings!$B$16)</f>
        <v>46358.541666666664</v>
      </c>
      <c r="C387" s="20" cm="1">
        <f t="array" ref="C387">B387+TIME(alea_int(1,4,Settings!$B$16),0,0)</f>
        <v>46358.708333333328</v>
      </c>
      <c r="D387" t="str" cm="1">
        <f t="array" ref="D387">choice(Settings!L:L,1,Settings!$B$16)</f>
        <v/>
      </c>
    </row>
    <row r="388" spans="1:4" ht="15.75" customHeight="1" x14ac:dyDescent="0.25">
      <c r="A388" s="2" t="str" cm="1">
        <f t="array" ref="A388">choice(Salles!A:A,1,Settings!$B$16)</f>
        <v>Salle39</v>
      </c>
      <c r="B388" s="3" cm="1">
        <f t="array" ref="B388">alea_date(Settings!$B$11,360,-1,Settings!$B$16)</f>
        <v>46163.541666666664</v>
      </c>
      <c r="C388" s="20" cm="1">
        <f t="array" ref="C388">B388+TIME(alea_int(1,4,Settings!$B$16),0,0)</f>
        <v>46163.708333333328</v>
      </c>
      <c r="D388" t="str" cm="1">
        <f t="array" ref="D388">choice(Settings!L:L,1,Settings!$B$16)</f>
        <v/>
      </c>
    </row>
    <row r="389" spans="1:4" ht="15.75" customHeight="1" x14ac:dyDescent="0.25">
      <c r="A389" s="2" t="str" cm="1">
        <f t="array" ref="A389">choice(Salles!A:A,1,Settings!$B$16)</f>
        <v>Salle10</v>
      </c>
      <c r="B389" s="3" cm="1">
        <f t="array" ref="B389">alea_date(Settings!$B$11,360,-1,Settings!$B$16)</f>
        <v>46262.416666666664</v>
      </c>
      <c r="C389" s="20" cm="1">
        <f t="array" ref="C389">B389+TIME(alea_int(1,4,Settings!$B$16),0,0)</f>
        <v>46262.583333333328</v>
      </c>
      <c r="D389" t="str" cm="1">
        <f t="array" ref="D389">choice(Settings!L:L,1,Settings!$B$16)</f>
        <v/>
      </c>
    </row>
    <row r="390" spans="1:4" ht="15.75" customHeight="1" x14ac:dyDescent="0.25">
      <c r="A390" s="2" t="str" cm="1">
        <f t="array" ref="A390">choice(Salles!A:A,1,Settings!$B$16)</f>
        <v>Salle49</v>
      </c>
      <c r="B390" s="3" cm="1">
        <f t="array" ref="B390">alea_date(Settings!$B$11,360,-1,Settings!$B$16)</f>
        <v>46341.458333333336</v>
      </c>
      <c r="C390" s="20" cm="1">
        <f t="array" ref="C390">B390+TIME(alea_int(1,4,Settings!$B$16),0,0)</f>
        <v>46341.625</v>
      </c>
      <c r="D390" t="str" cm="1">
        <f t="array" ref="D390">choice(Settings!L:L,1,Settings!$B$16)</f>
        <v/>
      </c>
    </row>
    <row r="391" spans="1:4" ht="15.75" customHeight="1" x14ac:dyDescent="0.25">
      <c r="A391" s="2" t="str" cm="1">
        <f t="array" ref="A391">choice(Salles!A:A,1,Settings!$B$16)</f>
        <v>Salle65</v>
      </c>
      <c r="B391" s="3" cm="1">
        <f t="array" ref="B391">alea_date(Settings!$B$11,360,-1,Settings!$B$16)</f>
        <v>46038.291666666664</v>
      </c>
      <c r="C391" s="20" cm="1">
        <f t="array" ref="C391">B391+TIME(alea_int(1,4,Settings!$B$16),0,0)</f>
        <v>46038.458333333328</v>
      </c>
      <c r="D391" t="str" cm="1">
        <f t="array" ref="D391">choice(Settings!L:L,1,Settings!$B$16)</f>
        <v/>
      </c>
    </row>
    <row r="392" spans="1:4" ht="15.75" customHeight="1" x14ac:dyDescent="0.25">
      <c r="A392" s="2" t="str" cm="1">
        <f t="array" ref="A392">choice(Salles!A:A,1,Settings!$B$16)</f>
        <v>Salle17</v>
      </c>
      <c r="B392" s="3" cm="1">
        <f t="array" ref="B392">alea_date(Settings!$B$11,360,-1,Settings!$B$16)</f>
        <v>46326.416666666664</v>
      </c>
      <c r="C392" s="20" cm="1">
        <f t="array" ref="C392">B392+TIME(alea_int(1,4,Settings!$B$16),0,0)</f>
        <v>46326.583333333328</v>
      </c>
      <c r="D392" t="str" cm="1">
        <f t="array" ref="D392">choice(Settings!L:L,1,Settings!$B$16)</f>
        <v/>
      </c>
    </row>
    <row r="393" spans="1:4" ht="15.75" customHeight="1" x14ac:dyDescent="0.25">
      <c r="A393" s="2" t="str" cm="1">
        <f t="array" ref="A393">choice(Salles!A:A,1,Settings!$B$16)</f>
        <v>Salle37</v>
      </c>
      <c r="B393" s="3" cm="1">
        <f t="array" ref="B393">alea_date(Settings!$B$11,360,-1,Settings!$B$16)</f>
        <v>46252.541666666664</v>
      </c>
      <c r="C393" s="20" cm="1">
        <f t="array" ref="C393">B393+TIME(alea_int(1,4,Settings!$B$16),0,0)</f>
        <v>46252.708333333328</v>
      </c>
      <c r="D393" t="str" cm="1">
        <f t="array" ref="D393">choice(Settings!L:L,1,Settings!$B$16)</f>
        <v/>
      </c>
    </row>
    <row r="394" spans="1:4" ht="15.75" customHeight="1" x14ac:dyDescent="0.25">
      <c r="A394" s="2" t="str" cm="1">
        <f t="array" ref="A394">choice(Salles!A:A,1,Settings!$B$16)</f>
        <v>Salle5</v>
      </c>
      <c r="B394" s="3" cm="1">
        <f t="array" ref="B394">alea_date(Settings!$B$11,360,-1,Settings!$B$16)</f>
        <v>46355.416666666664</v>
      </c>
      <c r="C394" s="20" cm="1">
        <f t="array" ref="C394">B394+TIME(alea_int(1,4,Settings!$B$16),0,0)</f>
        <v>46355.583333333328</v>
      </c>
      <c r="D394" t="str" cm="1">
        <f t="array" ref="D394">choice(Settings!L:L,1,Settings!$B$16)</f>
        <v/>
      </c>
    </row>
    <row r="395" spans="1:4" ht="15.75" customHeight="1" x14ac:dyDescent="0.25">
      <c r="A395" s="2" t="str" cm="1">
        <f t="array" ref="A395">choice(Salles!A:A,1,Settings!$B$16)</f>
        <v>Salle19</v>
      </c>
      <c r="B395" s="3" cm="1">
        <f t="array" ref="B395">alea_date(Settings!$B$11,360,-1,Settings!$B$16)</f>
        <v>46174.375</v>
      </c>
      <c r="C395" s="20" cm="1">
        <f t="array" ref="C395">B395+TIME(alea_int(1,4,Settings!$B$16),0,0)</f>
        <v>46174.541666666664</v>
      </c>
      <c r="D395" t="str" cm="1">
        <f t="array" ref="D395">choice(Settings!L:L,1,Settings!$B$16)</f>
        <v/>
      </c>
    </row>
    <row r="396" spans="1:4" ht="15.75" customHeight="1" x14ac:dyDescent="0.25">
      <c r="A396" s="2" t="str" cm="1">
        <f t="array" ref="A396">choice(Salles!A:A,1,Settings!$B$16)</f>
        <v>Salle15</v>
      </c>
      <c r="B396" s="3" cm="1">
        <f t="array" ref="B396">alea_date(Settings!$B$11,360,-1,Settings!$B$16)</f>
        <v>46037.25</v>
      </c>
      <c r="C396" s="20" cm="1">
        <f t="array" ref="C396">B396+TIME(alea_int(1,4,Settings!$B$16),0,0)</f>
        <v>46037.416666666664</v>
      </c>
      <c r="D396" t="str" cm="1">
        <f t="array" ref="D396">choice(Settings!L:L,1,Settings!$B$16)</f>
        <v/>
      </c>
    </row>
    <row r="397" spans="1:4" ht="15.75" customHeight="1" x14ac:dyDescent="0.25">
      <c r="A397" s="2" t="str" cm="1">
        <f t="array" ref="A397">choice(Salles!A:A,1,Settings!$B$16)</f>
        <v>Salle47</v>
      </c>
      <c r="B397" s="3" cm="1">
        <f t="array" ref="B397">alea_date(Settings!$B$11,360,-1,Settings!$B$16)</f>
        <v>46227.458333333336</v>
      </c>
      <c r="C397" s="20" cm="1">
        <f t="array" ref="C397">B397+TIME(alea_int(1,4,Settings!$B$16),0,0)</f>
        <v>46227.625</v>
      </c>
      <c r="D397" t="str" cm="1">
        <f t="array" ref="D397">choice(Settings!L:L,1,Settings!$B$16)</f>
        <v/>
      </c>
    </row>
    <row r="398" spans="1:4" ht="15.75" customHeight="1" x14ac:dyDescent="0.25">
      <c r="A398" s="2" t="str" cm="1">
        <f t="array" ref="A398">choice(Salles!A:A,1,Settings!$B$16)</f>
        <v>Salle17</v>
      </c>
      <c r="B398" s="3" cm="1">
        <f t="array" ref="B398">alea_date(Settings!$B$11,360,-1,Settings!$B$16)</f>
        <v>46114.333333333336</v>
      </c>
      <c r="C398" s="20" cm="1">
        <f t="array" ref="C398">B398+TIME(alea_int(1,4,Settings!$B$16),0,0)</f>
        <v>46114.5</v>
      </c>
      <c r="D398" t="str" cm="1">
        <f t="array" ref="D398">choice(Settings!L:L,1,Settings!$B$16)</f>
        <v/>
      </c>
    </row>
    <row r="399" spans="1:4" ht="15.75" customHeight="1" x14ac:dyDescent="0.25">
      <c r="A399" s="2" t="str" cm="1">
        <f t="array" ref="A399">choice(Salles!A:A,1,Settings!$B$16)</f>
        <v>Salle60</v>
      </c>
      <c r="B399" s="3" cm="1">
        <f t="array" ref="B399">alea_date(Settings!$B$11,360,-1,Settings!$B$16)</f>
        <v>46336.25</v>
      </c>
      <c r="C399" s="20" cm="1">
        <f t="array" ref="C399">B399+TIME(alea_int(1,4,Settings!$B$16),0,0)</f>
        <v>46336.416666666664</v>
      </c>
      <c r="D399" t="str" cm="1">
        <f t="array" ref="D399">choice(Settings!L:L,1,Settings!$B$16)</f>
        <v>jeudi</v>
      </c>
    </row>
    <row r="400" spans="1:4" ht="15.75" customHeight="1" x14ac:dyDescent="0.25">
      <c r="A400" s="2" t="str" cm="1">
        <f t="array" ref="A400">choice(Salles!A:A,1,Settings!$B$16)</f>
        <v>Salle22</v>
      </c>
      <c r="B400" s="3" cm="1">
        <f t="array" ref="B400">alea_date(Settings!$B$11,360,-1,Settings!$B$16)</f>
        <v>46219.458333333336</v>
      </c>
      <c r="C400" s="20" cm="1">
        <f t="array" ref="C400">B400+TIME(alea_int(1,4,Settings!$B$16),0,0)</f>
        <v>46219.625</v>
      </c>
      <c r="D400" t="str" cm="1">
        <f t="array" ref="D400">choice(Settings!L:L,1,Settings!$B$16)</f>
        <v/>
      </c>
    </row>
    <row r="401" spans="1:4" ht="15.75" customHeight="1" x14ac:dyDescent="0.25">
      <c r="A401" s="2" t="str" cm="1">
        <f t="array" ref="A401">choice(Salles!A:A,1,Settings!$B$16)</f>
        <v>Salle64</v>
      </c>
      <c r="B401" s="3" cm="1">
        <f t="array" ref="B401">alea_date(Settings!$B$11,360,-1,Settings!$B$16)</f>
        <v>46379.25</v>
      </c>
      <c r="C401" s="20" cm="1">
        <f t="array" ref="C401">B401+TIME(alea_int(1,4,Settings!$B$16),0,0)</f>
        <v>46379.416666666664</v>
      </c>
      <c r="D401" t="str" cm="1">
        <f t="array" ref="D401">choice(Settings!L:L,1,Settings!$B$16)</f>
        <v/>
      </c>
    </row>
    <row r="402" spans="1:4" ht="15.75" customHeight="1" x14ac:dyDescent="0.25">
      <c r="A402" s="2" t="str" cm="1">
        <f t="array" ref="A402">choice(Salles!A:A,1,Settings!$B$16)</f>
        <v>Salle28</v>
      </c>
      <c r="B402" s="3" cm="1">
        <f t="array" ref="B402">alea_date(Settings!$B$11,360,-1,Settings!$B$16)</f>
        <v>46143.541666666664</v>
      </c>
      <c r="C402" s="20" cm="1">
        <f t="array" ref="C402">B402+TIME(alea_int(1,4,Settings!$B$16),0,0)</f>
        <v>46143.708333333328</v>
      </c>
      <c r="D402" t="str" cm="1">
        <f t="array" ref="D402">choice(Settings!L:L,1,Settings!$B$16)</f>
        <v>vendredi</v>
      </c>
    </row>
    <row r="403" spans="1:4" ht="15.75" customHeight="1" x14ac:dyDescent="0.25">
      <c r="A403" s="2" t="str" cm="1">
        <f t="array" ref="A403">choice(Salles!A:A,1,Settings!$B$16)</f>
        <v>Salle55</v>
      </c>
      <c r="B403" s="3" cm="1">
        <f t="array" ref="B403">alea_date(Settings!$B$11,360,-1,Settings!$B$16)</f>
        <v>46162.541666666664</v>
      </c>
      <c r="C403" s="20" cm="1">
        <f t="array" ref="C403">B403+TIME(alea_int(1,4,Settings!$B$16),0,0)</f>
        <v>46162.708333333328</v>
      </c>
      <c r="D403" t="str" cm="1">
        <f t="array" ref="D403">choice(Settings!L:L,1,Settings!$B$16)</f>
        <v/>
      </c>
    </row>
    <row r="404" spans="1:4" ht="15.75" customHeight="1" x14ac:dyDescent="0.25">
      <c r="A404" s="2" t="str" cm="1">
        <f t="array" ref="A404">choice(Salles!A:A,1,Settings!$B$16)</f>
        <v>Salle5</v>
      </c>
      <c r="B404" s="3" cm="1">
        <f t="array" ref="B404">alea_date(Settings!$B$11,360,-1,Settings!$B$16)</f>
        <v>46236.541666666664</v>
      </c>
      <c r="C404" s="20" cm="1">
        <f t="array" ref="C404">B404+TIME(alea_int(1,4,Settings!$B$16),0,0)</f>
        <v>46236.708333333328</v>
      </c>
      <c r="D404" t="str" cm="1">
        <f t="array" ref="D404">choice(Settings!L:L,1,Settings!$B$16)</f>
        <v/>
      </c>
    </row>
    <row r="405" spans="1:4" ht="15.75" customHeight="1" x14ac:dyDescent="0.25">
      <c r="A405" s="2" t="str" cm="1">
        <f t="array" ref="A405">choice(Salles!A:A,1,Settings!$B$16)</f>
        <v>Salle14</v>
      </c>
      <c r="B405" s="3" cm="1">
        <f t="array" ref="B405">alea_date(Settings!$B$11,360,-1,Settings!$B$16)</f>
        <v>46225.5</v>
      </c>
      <c r="C405" s="20" cm="1">
        <f t="array" ref="C405">B405+TIME(alea_int(1,4,Settings!$B$16),0,0)</f>
        <v>46225.666666666664</v>
      </c>
      <c r="D405" t="str" cm="1">
        <f t="array" ref="D405">choice(Settings!L:L,1,Settings!$B$16)</f>
        <v/>
      </c>
    </row>
    <row r="406" spans="1:4" ht="15.75" customHeight="1" x14ac:dyDescent="0.25">
      <c r="A406" s="2" t="str" cm="1">
        <f t="array" ref="A406">choice(Salles!A:A,1,Settings!$B$16)</f>
        <v>Salle52</v>
      </c>
      <c r="B406" s="3" cm="1">
        <f t="array" ref="B406">alea_date(Settings!$B$11,360,-1,Settings!$B$16)</f>
        <v>46036.416666666664</v>
      </c>
      <c r="C406" s="20" cm="1">
        <f t="array" ref="C406">B406+TIME(alea_int(1,4,Settings!$B$16),0,0)</f>
        <v>46036.583333333328</v>
      </c>
      <c r="D406" t="str" cm="1">
        <f t="array" ref="D406">choice(Settings!L:L,1,Settings!$B$16)</f>
        <v/>
      </c>
    </row>
    <row r="407" spans="1:4" ht="15.75" customHeight="1" x14ac:dyDescent="0.25">
      <c r="A407" s="2" t="str" cm="1">
        <f t="array" ref="A407">choice(Salles!A:A,1,Settings!$B$16)</f>
        <v>Salle56</v>
      </c>
      <c r="B407" s="3" cm="1">
        <f t="array" ref="B407">alea_date(Settings!$B$11,360,-1,Settings!$B$16)</f>
        <v>46058.458333333336</v>
      </c>
      <c r="C407" s="20" cm="1">
        <f t="array" ref="C407">B407+TIME(alea_int(1,4,Settings!$B$16),0,0)</f>
        <v>46058.625</v>
      </c>
      <c r="D407" t="str" cm="1">
        <f t="array" ref="D407">choice(Settings!L:L,1,Settings!$B$16)</f>
        <v/>
      </c>
    </row>
    <row r="408" spans="1:4" ht="15.75" customHeight="1" x14ac:dyDescent="0.25">
      <c r="A408" s="2" t="str" cm="1">
        <f t="array" ref="A408">choice(Salles!A:A,1,Settings!$B$16)</f>
        <v>Salle24</v>
      </c>
      <c r="B408" s="3" cm="1">
        <f t="array" ref="B408">alea_date(Settings!$B$11,360,-1,Settings!$B$16)</f>
        <v>46365.25</v>
      </c>
      <c r="C408" s="20" cm="1">
        <f t="array" ref="C408">B408+TIME(alea_int(1,4,Settings!$B$16),0,0)</f>
        <v>46365.416666666664</v>
      </c>
      <c r="D408" t="str" cm="1">
        <f t="array" ref="D408">choice(Settings!L:L,1,Settings!$B$16)</f>
        <v/>
      </c>
    </row>
    <row r="409" spans="1:4" ht="15.75" customHeight="1" x14ac:dyDescent="0.25">
      <c r="A409" s="2" t="str" cm="1">
        <f t="array" ref="A409">choice(Salles!A:A,1,Settings!$B$16)</f>
        <v>Salle64</v>
      </c>
      <c r="B409" s="3" cm="1">
        <f t="array" ref="B409">alea_date(Settings!$B$11,360,-1,Settings!$B$16)</f>
        <v>46309.333333333336</v>
      </c>
      <c r="C409" s="20" cm="1">
        <f t="array" ref="C409">B409+TIME(alea_int(1,4,Settings!$B$16),0,0)</f>
        <v>46309.5</v>
      </c>
      <c r="D409" t="str" cm="1">
        <f t="array" ref="D409">choice(Settings!L:L,1,Settings!$B$16)</f>
        <v>mercredi</v>
      </c>
    </row>
    <row r="410" spans="1:4" ht="15.75" customHeight="1" x14ac:dyDescent="0.25">
      <c r="A410" s="2" t="str" cm="1">
        <f t="array" ref="A410">choice(Salles!A:A,1,Settings!$B$16)</f>
        <v>Salle56</v>
      </c>
      <c r="B410" s="3" cm="1">
        <f t="array" ref="B410">alea_date(Settings!$B$11,360,-1,Settings!$B$16)</f>
        <v>46319.625</v>
      </c>
      <c r="C410" s="20" cm="1">
        <f t="array" ref="C410">B410+TIME(alea_int(1,4,Settings!$B$16),0,0)</f>
        <v>46319.791666666664</v>
      </c>
      <c r="D410" t="str" cm="1">
        <f t="array" ref="D410">choice(Settings!L:L,1,Settings!$B$16)</f>
        <v/>
      </c>
    </row>
    <row r="411" spans="1:4" ht="15.75" customHeight="1" x14ac:dyDescent="0.25">
      <c r="A411" s="2" t="str" cm="1">
        <f t="array" ref="A411">choice(Salles!A:A,1,Settings!$B$16)</f>
        <v>Salle60</v>
      </c>
      <c r="B411" s="3" cm="1">
        <f t="array" ref="B411">alea_date(Settings!$B$11,360,-1,Settings!$B$16)</f>
        <v>46100.458333333336</v>
      </c>
      <c r="C411" s="20" cm="1">
        <f t="array" ref="C411">B411+TIME(alea_int(1,4,Settings!$B$16),0,0)</f>
        <v>46100.625</v>
      </c>
      <c r="D411" t="str" cm="1">
        <f t="array" ref="D411">choice(Settings!L:L,1,Settings!$B$16)</f>
        <v/>
      </c>
    </row>
    <row r="412" spans="1:4" ht="15.75" customHeight="1" x14ac:dyDescent="0.25">
      <c r="A412" s="2" t="str" cm="1">
        <f t="array" ref="A412">choice(Salles!A:A,1,Settings!$B$16)</f>
        <v>Salle29</v>
      </c>
      <c r="B412" s="3" cm="1">
        <f t="array" ref="B412">alea_date(Settings!$B$11,360,-1,Settings!$B$16)</f>
        <v>46365.333333333336</v>
      </c>
      <c r="C412" s="20" cm="1">
        <f t="array" ref="C412">B412+TIME(alea_int(1,4,Settings!$B$16),0,0)</f>
        <v>46365.5</v>
      </c>
      <c r="D412" t="str" cm="1">
        <f t="array" ref="D412">choice(Settings!L:L,1,Settings!$B$16)</f>
        <v/>
      </c>
    </row>
    <row r="413" spans="1:4" ht="15.75" customHeight="1" x14ac:dyDescent="0.25">
      <c r="A413" s="2" t="str" cm="1">
        <f t="array" ref="A413">choice(Salles!A:A,1,Settings!$B$16)</f>
        <v>Salle1</v>
      </c>
      <c r="B413" s="3" cm="1">
        <f t="array" ref="B413">alea_date(Settings!$B$11,360,-1,Settings!$B$16)</f>
        <v>46291.458333333336</v>
      </c>
      <c r="C413" s="20" cm="1">
        <f t="array" ref="C413">B413+TIME(alea_int(1,4,Settings!$B$16),0,0)</f>
        <v>46291.625</v>
      </c>
      <c r="D413" t="str" cm="1">
        <f t="array" ref="D413">choice(Settings!L:L,1,Settings!$B$16)</f>
        <v>mardi</v>
      </c>
    </row>
    <row r="414" spans="1:4" ht="15.75" customHeight="1" x14ac:dyDescent="0.25">
      <c r="A414" s="2" t="str" cm="1">
        <f t="array" ref="A414">choice(Salles!A:A,1,Settings!$B$16)</f>
        <v>Salle2</v>
      </c>
      <c r="B414" s="3" cm="1">
        <f t="array" ref="B414">alea_date(Settings!$B$11,360,-1,Settings!$B$16)</f>
        <v>46288.25</v>
      </c>
      <c r="C414" s="20" cm="1">
        <f t="array" ref="C414">B414+TIME(alea_int(1,4,Settings!$B$16),0,0)</f>
        <v>46288.416666666664</v>
      </c>
      <c r="D414" t="str" cm="1">
        <f t="array" ref="D414">choice(Settings!L:L,1,Settings!$B$16)</f>
        <v>mercredi</v>
      </c>
    </row>
    <row r="415" spans="1:4" ht="15.75" customHeight="1" x14ac:dyDescent="0.25">
      <c r="A415" s="2" t="str" cm="1">
        <f t="array" ref="A415">choice(Salles!A:A,1,Settings!$B$16)</f>
        <v>Salle45</v>
      </c>
      <c r="B415" s="3" cm="1">
        <f t="array" ref="B415">alea_date(Settings!$B$11,360,-1,Settings!$B$16)</f>
        <v>46048.416666666664</v>
      </c>
      <c r="C415" s="20" cm="1">
        <f t="array" ref="C415">B415+TIME(alea_int(1,4,Settings!$B$16),0,0)</f>
        <v>46048.583333333328</v>
      </c>
      <c r="D415" t="str" cm="1">
        <f t="array" ref="D415">choice(Settings!L:L,1,Settings!$B$16)</f>
        <v/>
      </c>
    </row>
    <row r="416" spans="1:4" ht="15.75" customHeight="1" x14ac:dyDescent="0.25">
      <c r="A416" s="2" t="str" cm="1">
        <f t="array" ref="A416">choice(Salles!A:A,1,Settings!$B$16)</f>
        <v>Salle35</v>
      </c>
      <c r="B416" s="3" cm="1">
        <f t="array" ref="B416">alea_date(Settings!$B$11,360,-1,Settings!$B$16)</f>
        <v>46079.458333333336</v>
      </c>
      <c r="C416" s="20" cm="1">
        <f t="array" ref="C416">B416+TIME(alea_int(1,4,Settings!$B$16),0,0)</f>
        <v>46079.625</v>
      </c>
      <c r="D416" t="str" cm="1">
        <f t="array" ref="D416">choice(Settings!L:L,1,Settings!$B$16)</f>
        <v/>
      </c>
    </row>
    <row r="417" spans="1:4" ht="15.75" customHeight="1" x14ac:dyDescent="0.25">
      <c r="A417" s="2" t="str" cm="1">
        <f t="array" ref="A417">choice(Salles!A:A,1,Settings!$B$16)</f>
        <v>Salle62</v>
      </c>
      <c r="B417" s="3" cm="1">
        <f t="array" ref="B417">alea_date(Settings!$B$11,360,-1,Settings!$B$16)</f>
        <v>46241.25</v>
      </c>
      <c r="C417" s="20" cm="1">
        <f t="array" ref="C417">B417+TIME(alea_int(1,4,Settings!$B$16),0,0)</f>
        <v>46241.416666666664</v>
      </c>
      <c r="D417" t="str" cm="1">
        <f t="array" ref="D417">choice(Settings!L:L,1,Settings!$B$16)</f>
        <v/>
      </c>
    </row>
    <row r="418" spans="1:4" ht="15.75" customHeight="1" x14ac:dyDescent="0.25">
      <c r="A418" s="2" t="str" cm="1">
        <f t="array" ref="A418">choice(Salles!A:A,1,Settings!$B$16)</f>
        <v>Salle60</v>
      </c>
      <c r="B418" s="3" cm="1">
        <f t="array" ref="B418">alea_date(Settings!$B$11,360,-1,Settings!$B$16)</f>
        <v>46181.583333333336</v>
      </c>
      <c r="C418" s="20" cm="1">
        <f t="array" ref="C418">B418+TIME(alea_int(1,4,Settings!$B$16),0,0)</f>
        <v>46181.75</v>
      </c>
      <c r="D418" t="str" cm="1">
        <f t="array" ref="D418">choice(Settings!L:L,1,Settings!$B$16)</f>
        <v/>
      </c>
    </row>
    <row r="419" spans="1:4" ht="15.75" customHeight="1" x14ac:dyDescent="0.25">
      <c r="A419" s="2" t="str" cm="1">
        <f t="array" ref="A419">choice(Salles!A:A,1,Settings!$B$16)</f>
        <v>Salle65</v>
      </c>
      <c r="B419" s="3" cm="1">
        <f t="array" ref="B419">alea_date(Settings!$B$11,360,-1,Settings!$B$16)</f>
        <v>46146.291666666664</v>
      </c>
      <c r="C419" s="20" cm="1">
        <f t="array" ref="C419">B419+TIME(alea_int(1,4,Settings!$B$16),0,0)</f>
        <v>46146.458333333328</v>
      </c>
      <c r="D419" t="str" cm="1">
        <f t="array" ref="D419">choice(Settings!L:L,1,Settings!$B$16)</f>
        <v/>
      </c>
    </row>
    <row r="420" spans="1:4" ht="15.75" customHeight="1" x14ac:dyDescent="0.25">
      <c r="A420" s="2" t="str" cm="1">
        <f t="array" ref="A420">choice(Salles!A:A,1,Settings!$B$16)</f>
        <v>Salle47</v>
      </c>
      <c r="B420" s="3" cm="1">
        <f t="array" ref="B420">alea_date(Settings!$B$11,360,-1,Settings!$B$16)</f>
        <v>46353.458333333336</v>
      </c>
      <c r="C420" s="20" cm="1">
        <f t="array" ref="C420">B420+TIME(alea_int(1,4,Settings!$B$16),0,0)</f>
        <v>46353.625</v>
      </c>
      <c r="D420" t="str" cm="1">
        <f t="array" ref="D420">choice(Settings!L:L,1,Settings!$B$16)</f>
        <v/>
      </c>
    </row>
    <row r="421" spans="1:4" ht="15.75" customHeight="1" x14ac:dyDescent="0.25">
      <c r="A421" s="2" t="str" cm="1">
        <f t="array" ref="A421">choice(Salles!A:A,1,Settings!$B$16)</f>
        <v>Salle19</v>
      </c>
      <c r="B421" s="3" cm="1">
        <f t="array" ref="B421">alea_date(Settings!$B$11,360,-1,Settings!$B$16)</f>
        <v>46245.458333333336</v>
      </c>
      <c r="C421" s="20" cm="1">
        <f t="array" ref="C421">B421+TIME(alea_int(1,4,Settings!$B$16),0,0)</f>
        <v>46245.625</v>
      </c>
      <c r="D421" t="str" cm="1">
        <f t="array" ref="D421">choice(Settings!L:L,1,Settings!$B$16)</f>
        <v/>
      </c>
    </row>
    <row r="422" spans="1:4" ht="15.75" customHeight="1" x14ac:dyDescent="0.25">
      <c r="A422" s="2" t="str" cm="1">
        <f t="array" ref="A422">choice(Salles!A:A,1,Settings!$B$16)</f>
        <v>Salle34</v>
      </c>
      <c r="B422" s="3" cm="1">
        <f t="array" ref="B422">alea_date(Settings!$B$11,360,-1,Settings!$B$16)</f>
        <v>46306.5</v>
      </c>
      <c r="C422" s="20" cm="1">
        <f t="array" ref="C422">B422+TIME(alea_int(1,4,Settings!$B$16),0,0)</f>
        <v>46306.666666666664</v>
      </c>
      <c r="D422" t="str" cm="1">
        <f t="array" ref="D422">choice(Settings!L:L,1,Settings!$B$16)</f>
        <v/>
      </c>
    </row>
    <row r="423" spans="1:4" ht="15.75" customHeight="1" x14ac:dyDescent="0.25">
      <c r="A423" s="2" t="str" cm="1">
        <f t="array" ref="A423">choice(Salles!A:A,1,Settings!$B$16)</f>
        <v>Salle5</v>
      </c>
      <c r="B423" s="3" cm="1">
        <f t="array" ref="B423">alea_date(Settings!$B$11,360,-1,Settings!$B$16)</f>
        <v>46133.625</v>
      </c>
      <c r="C423" s="20" cm="1">
        <f t="array" ref="C423">B423+TIME(alea_int(1,4,Settings!$B$16),0,0)</f>
        <v>46133.791666666664</v>
      </c>
      <c r="D423" t="str" cm="1">
        <f t="array" ref="D423">choice(Settings!L:L,1,Settings!$B$16)</f>
        <v/>
      </c>
    </row>
    <row r="424" spans="1:4" ht="15.75" customHeight="1" x14ac:dyDescent="0.25">
      <c r="A424" s="2" t="str" cm="1">
        <f t="array" ref="A424">choice(Salles!A:A,1,Settings!$B$16)</f>
        <v>Salle34</v>
      </c>
      <c r="B424" s="3" cm="1">
        <f t="array" ref="B424">alea_date(Settings!$B$11,360,-1,Settings!$B$16)</f>
        <v>46331.375</v>
      </c>
      <c r="C424" s="20" cm="1">
        <f t="array" ref="C424">B424+TIME(alea_int(1,4,Settings!$B$16),0,0)</f>
        <v>46331.541666666664</v>
      </c>
      <c r="D424" t="str" cm="1">
        <f t="array" ref="D424">choice(Settings!L:L,1,Settings!$B$16)</f>
        <v/>
      </c>
    </row>
    <row r="425" spans="1:4" ht="15.75" customHeight="1" x14ac:dyDescent="0.25">
      <c r="A425" s="2" t="str" cm="1">
        <f t="array" ref="A425">choice(Salles!A:A,1,Settings!$B$16)</f>
        <v>Salle6</v>
      </c>
      <c r="B425" s="3" cm="1">
        <f t="array" ref="B425">alea_date(Settings!$B$11,360,-1,Settings!$B$16)</f>
        <v>46340.541666666664</v>
      </c>
      <c r="C425" s="20" cm="1">
        <f t="array" ref="C425">B425+TIME(alea_int(1,4,Settings!$B$16),0,0)</f>
        <v>46340.708333333328</v>
      </c>
      <c r="D425" t="str" cm="1">
        <f t="array" ref="D425">choice(Settings!L:L,1,Settings!$B$16)</f>
        <v/>
      </c>
    </row>
    <row r="426" spans="1:4" ht="15.75" customHeight="1" x14ac:dyDescent="0.25">
      <c r="A426" s="2" t="str" cm="1">
        <f t="array" ref="A426">choice(Salles!A:A,1,Settings!$B$16)</f>
        <v>Salle62</v>
      </c>
      <c r="B426" s="3" cm="1">
        <f t="array" ref="B426">alea_date(Settings!$B$11,360,-1,Settings!$B$16)</f>
        <v>46355.625</v>
      </c>
      <c r="C426" s="20" cm="1">
        <f t="array" ref="C426">B426+TIME(alea_int(1,4,Settings!$B$16),0,0)</f>
        <v>46355.791666666664</v>
      </c>
      <c r="D426" t="str" cm="1">
        <f t="array" ref="D426">choice(Settings!L:L,1,Settings!$B$16)</f>
        <v/>
      </c>
    </row>
    <row r="427" spans="1:4" ht="15.75" customHeight="1" x14ac:dyDescent="0.25">
      <c r="A427" s="2" t="str" cm="1">
        <f t="array" ref="A427">choice(Salles!A:A,1,Settings!$B$16)</f>
        <v>Salle36</v>
      </c>
      <c r="B427" s="3" cm="1">
        <f t="array" ref="B427">alea_date(Settings!$B$11,360,-1,Settings!$B$16)</f>
        <v>46309.333333333336</v>
      </c>
      <c r="C427" s="20" cm="1">
        <f t="array" ref="C427">B427+TIME(alea_int(1,4,Settings!$B$16),0,0)</f>
        <v>46309.5</v>
      </c>
      <c r="D427" t="str" cm="1">
        <f t="array" ref="D427">choice(Settings!L:L,1,Settings!$B$16)</f>
        <v/>
      </c>
    </row>
    <row r="428" spans="1:4" ht="15.75" customHeight="1" x14ac:dyDescent="0.25">
      <c r="A428" s="2" t="str" cm="1">
        <f t="array" ref="A428">choice(Salles!A:A,1,Settings!$B$16)</f>
        <v>Salle7</v>
      </c>
      <c r="B428" s="3" cm="1">
        <f t="array" ref="B428">alea_date(Settings!$B$11,360,-1,Settings!$B$16)</f>
        <v>46375.541666666664</v>
      </c>
      <c r="C428" s="20" cm="1">
        <f t="array" ref="C428">B428+TIME(alea_int(1,4,Settings!$B$16),0,0)</f>
        <v>46375.708333333328</v>
      </c>
      <c r="D428" t="str" cm="1">
        <f t="array" ref="D428">choice(Settings!L:L,1,Settings!$B$16)</f>
        <v/>
      </c>
    </row>
    <row r="429" spans="1:4" ht="15.75" customHeight="1" x14ac:dyDescent="0.25">
      <c r="A429" s="2" t="str" cm="1">
        <f t="array" ref="A429">choice(Salles!A:A,1,Settings!$B$16)</f>
        <v>Salle31</v>
      </c>
      <c r="B429" s="3" cm="1">
        <f t="array" ref="B429">alea_date(Settings!$B$11,360,-1,Settings!$B$16)</f>
        <v>46304.291666666664</v>
      </c>
      <c r="C429" s="20" cm="1">
        <f t="array" ref="C429">B429+TIME(alea_int(1,4,Settings!$B$16),0,0)</f>
        <v>46304.458333333328</v>
      </c>
      <c r="D429" t="str" cm="1">
        <f t="array" ref="D429">choice(Settings!L:L,1,Settings!$B$16)</f>
        <v/>
      </c>
    </row>
    <row r="430" spans="1:4" ht="15.75" customHeight="1" x14ac:dyDescent="0.25">
      <c r="A430" s="2" t="str" cm="1">
        <f t="array" ref="A430">choice(Salles!A:A,1,Settings!$B$16)</f>
        <v>Salle13</v>
      </c>
      <c r="B430" s="3" cm="1">
        <f t="array" ref="B430">alea_date(Settings!$B$11,360,-1,Settings!$B$16)</f>
        <v>46040.25</v>
      </c>
      <c r="C430" s="20" cm="1">
        <f t="array" ref="C430">B430+TIME(alea_int(1,4,Settings!$B$16),0,0)</f>
        <v>46040.416666666664</v>
      </c>
      <c r="D430" t="str" cm="1">
        <f t="array" ref="D430">choice(Settings!L:L,1,Settings!$B$16)</f>
        <v/>
      </c>
    </row>
    <row r="431" spans="1:4" ht="15.75" customHeight="1" x14ac:dyDescent="0.25">
      <c r="A431" s="2" t="str" cm="1">
        <f t="array" ref="A431">choice(Salles!A:A,1,Settings!$B$16)</f>
        <v>Salle23</v>
      </c>
      <c r="B431" s="3" cm="1">
        <f t="array" ref="B431">alea_date(Settings!$B$11,360,-1,Settings!$B$16)</f>
        <v>46279.333333333336</v>
      </c>
      <c r="C431" s="20" cm="1">
        <f t="array" ref="C431">B431+TIME(alea_int(1,4,Settings!$B$16),0,0)</f>
        <v>46279.5</v>
      </c>
      <c r="D431" t="str" cm="1">
        <f t="array" ref="D431">choice(Settings!L:L,1,Settings!$B$16)</f>
        <v/>
      </c>
    </row>
    <row r="432" spans="1:4" ht="15.75" customHeight="1" x14ac:dyDescent="0.25">
      <c r="A432" s="2" t="str" cm="1">
        <f t="array" ref="A432">choice(Salles!A:A,1,Settings!$B$16)</f>
        <v>Salle4</v>
      </c>
      <c r="B432" s="3" cm="1">
        <f t="array" ref="B432">alea_date(Settings!$B$11,360,-1,Settings!$B$16)</f>
        <v>46089.25</v>
      </c>
      <c r="C432" s="20" cm="1">
        <f t="array" ref="C432">B432+TIME(alea_int(1,4,Settings!$B$16),0,0)</f>
        <v>46089.416666666664</v>
      </c>
      <c r="D432" t="str" cm="1">
        <f t="array" ref="D432">choice(Settings!L:L,1,Settings!$B$16)</f>
        <v/>
      </c>
    </row>
    <row r="433" spans="1:4" ht="15.75" customHeight="1" x14ac:dyDescent="0.25">
      <c r="A433" s="2" t="str" cm="1">
        <f t="array" ref="A433">choice(Salles!A:A,1,Settings!$B$16)</f>
        <v>Salle69</v>
      </c>
      <c r="B433" s="3" cm="1">
        <f t="array" ref="B433">alea_date(Settings!$B$11,360,-1,Settings!$B$16)</f>
        <v>46053.375</v>
      </c>
      <c r="C433" s="20" cm="1">
        <f t="array" ref="C433">B433+TIME(alea_int(1,4,Settings!$B$16),0,0)</f>
        <v>46053.541666666664</v>
      </c>
      <c r="D433" t="str" cm="1">
        <f t="array" ref="D433">choice(Settings!L:L,1,Settings!$B$16)</f>
        <v>mercredi</v>
      </c>
    </row>
    <row r="434" spans="1:4" ht="15.75" customHeight="1" x14ac:dyDescent="0.25">
      <c r="A434" s="2" t="str" cm="1">
        <f t="array" ref="A434">choice(Salles!A:A,1,Settings!$B$16)</f>
        <v>Salle9</v>
      </c>
      <c r="B434" s="3" cm="1">
        <f t="array" ref="B434">alea_date(Settings!$B$11,360,-1,Settings!$B$16)</f>
        <v>46318.458333333336</v>
      </c>
      <c r="C434" s="20" cm="1">
        <f t="array" ref="C434">B434+TIME(alea_int(1,4,Settings!$B$16),0,0)</f>
        <v>46318.625</v>
      </c>
      <c r="D434" t="str" cm="1">
        <f t="array" ref="D434">choice(Settings!L:L,1,Settings!$B$16)</f>
        <v/>
      </c>
    </row>
    <row r="435" spans="1:4" ht="15.75" customHeight="1" x14ac:dyDescent="0.25">
      <c r="A435" s="2" t="str" cm="1">
        <f t="array" ref="A435">choice(Salles!A:A,1,Settings!$B$16)</f>
        <v>Salle62</v>
      </c>
      <c r="B435" s="3" cm="1">
        <f t="array" ref="B435">alea_date(Settings!$B$11,360,-1,Settings!$B$16)</f>
        <v>46148.291666666664</v>
      </c>
      <c r="C435" s="20" cm="1">
        <f t="array" ref="C435">B435+TIME(alea_int(1,4,Settings!$B$16),0,0)</f>
        <v>46148.458333333328</v>
      </c>
      <c r="D435" t="str" cm="1">
        <f t="array" ref="D435">choice(Settings!L:L,1,Settings!$B$16)</f>
        <v/>
      </c>
    </row>
    <row r="436" spans="1:4" ht="15.75" customHeight="1" x14ac:dyDescent="0.25">
      <c r="A436" s="2" t="str" cm="1">
        <f t="array" ref="A436">choice(Salles!A:A,1,Settings!$B$16)</f>
        <v>Salle56</v>
      </c>
      <c r="B436" s="3" cm="1">
        <f t="array" ref="B436">alea_date(Settings!$B$11,360,-1,Settings!$B$16)</f>
        <v>46091.25</v>
      </c>
      <c r="C436" s="20" cm="1">
        <f t="array" ref="C436">B436+TIME(alea_int(1,4,Settings!$B$16),0,0)</f>
        <v>46091.416666666664</v>
      </c>
      <c r="D436" t="str" cm="1">
        <f t="array" ref="D436">choice(Settings!L:L,1,Settings!$B$16)</f>
        <v/>
      </c>
    </row>
    <row r="437" spans="1:4" ht="15.75" customHeight="1" x14ac:dyDescent="0.25">
      <c r="A437" s="2" t="str" cm="1">
        <f t="array" ref="A437">choice(Salles!A:A,1,Settings!$B$16)</f>
        <v>Salle19</v>
      </c>
      <c r="B437" s="3" cm="1">
        <f t="array" ref="B437">alea_date(Settings!$B$11,360,-1,Settings!$B$16)</f>
        <v>46203.625</v>
      </c>
      <c r="C437" s="20" cm="1">
        <f t="array" ref="C437">B437+TIME(alea_int(1,4,Settings!$B$16),0,0)</f>
        <v>46203.791666666664</v>
      </c>
      <c r="D437" t="str" cm="1">
        <f t="array" ref="D437">choice(Settings!L:L,1,Settings!$B$16)</f>
        <v/>
      </c>
    </row>
    <row r="438" spans="1:4" ht="15.75" customHeight="1" x14ac:dyDescent="0.25">
      <c r="A438" s="2" t="str" cm="1">
        <f t="array" ref="A438">choice(Salles!A:A,1,Settings!$B$16)</f>
        <v>Salle27</v>
      </c>
      <c r="B438" s="3" cm="1">
        <f t="array" ref="B438">alea_date(Settings!$B$11,360,-1,Settings!$B$16)</f>
        <v>46188.416666666664</v>
      </c>
      <c r="C438" s="20" cm="1">
        <f t="array" ref="C438">B438+TIME(alea_int(1,4,Settings!$B$16),0,0)</f>
        <v>46188.583333333328</v>
      </c>
      <c r="D438" t="str" cm="1">
        <f t="array" ref="D438">choice(Settings!L:L,1,Settings!$B$16)</f>
        <v/>
      </c>
    </row>
    <row r="439" spans="1:4" ht="15.75" customHeight="1" x14ac:dyDescent="0.25">
      <c r="A439" s="2" t="str" cm="1">
        <f t="array" ref="A439">choice(Salles!A:A,1,Settings!$B$16)</f>
        <v>Salle7</v>
      </c>
      <c r="B439" s="3" cm="1">
        <f t="array" ref="B439">alea_date(Settings!$B$11,360,-1,Settings!$B$16)</f>
        <v>46030.333333333336</v>
      </c>
      <c r="C439" s="20" cm="1">
        <f t="array" ref="C439">B439+TIME(alea_int(1,4,Settings!$B$16),0,0)</f>
        <v>46030.5</v>
      </c>
      <c r="D439" t="str" cm="1">
        <f t="array" ref="D439">choice(Settings!L:L,1,Settings!$B$16)</f>
        <v/>
      </c>
    </row>
    <row r="440" spans="1:4" ht="15.75" customHeight="1" x14ac:dyDescent="0.25">
      <c r="A440" s="2" t="str" cm="1">
        <f t="array" ref="A440">choice(Salles!A:A,1,Settings!$B$16)</f>
        <v>Salle59</v>
      </c>
      <c r="B440" s="3" cm="1">
        <f t="array" ref="B440">alea_date(Settings!$B$11,360,-1,Settings!$B$16)</f>
        <v>46058.5</v>
      </c>
      <c r="C440" s="20" cm="1">
        <f t="array" ref="C440">B440+TIME(alea_int(1,4,Settings!$B$16),0,0)</f>
        <v>46058.666666666664</v>
      </c>
      <c r="D440" t="str" cm="1">
        <f t="array" ref="D440">choice(Settings!L:L,1,Settings!$B$16)</f>
        <v/>
      </c>
    </row>
    <row r="441" spans="1:4" ht="15.75" customHeight="1" x14ac:dyDescent="0.25">
      <c r="A441" s="2" t="str" cm="1">
        <f t="array" ref="A441">choice(Salles!A:A,1,Settings!$B$16)</f>
        <v>Salle28</v>
      </c>
      <c r="B441" s="3" cm="1">
        <f t="array" ref="B441">alea_date(Settings!$B$11,360,-1,Settings!$B$16)</f>
        <v>46350.333333333336</v>
      </c>
      <c r="C441" s="20" cm="1">
        <f t="array" ref="C441">B441+TIME(alea_int(1,4,Settings!$B$16),0,0)</f>
        <v>46350.5</v>
      </c>
      <c r="D441" t="str" cm="1">
        <f t="array" ref="D441">choice(Settings!L:L,1,Settings!$B$16)</f>
        <v/>
      </c>
    </row>
    <row r="442" spans="1:4" ht="15.75" customHeight="1" x14ac:dyDescent="0.25">
      <c r="A442" s="2" t="str" cm="1">
        <f t="array" ref="A442">choice(Salles!A:A,1,Settings!$B$16)</f>
        <v>Salle67</v>
      </c>
      <c r="B442" s="3" cm="1">
        <f t="array" ref="B442">alea_date(Settings!$B$11,360,-1,Settings!$B$16)</f>
        <v>46247.541666666664</v>
      </c>
      <c r="C442" s="20" cm="1">
        <f t="array" ref="C442">B442+TIME(alea_int(1,4,Settings!$B$16),0,0)</f>
        <v>46247.708333333328</v>
      </c>
      <c r="D442" t="str" cm="1">
        <f t="array" ref="D442">choice(Settings!L:L,1,Settings!$B$16)</f>
        <v/>
      </c>
    </row>
    <row r="443" spans="1:4" ht="15.75" customHeight="1" x14ac:dyDescent="0.25">
      <c r="A443" s="2" t="str" cm="1">
        <f t="array" ref="A443">choice(Salles!A:A,1,Settings!$B$16)</f>
        <v>Salle65</v>
      </c>
      <c r="B443" s="3" cm="1">
        <f t="array" ref="B443">alea_date(Settings!$B$11,360,-1,Settings!$B$16)</f>
        <v>46092.625</v>
      </c>
      <c r="C443" s="20" cm="1">
        <f t="array" ref="C443">B443+TIME(alea_int(1,4,Settings!$B$16),0,0)</f>
        <v>46092.791666666664</v>
      </c>
      <c r="D443" t="str" cm="1">
        <f t="array" ref="D443">choice(Settings!L:L,1,Settings!$B$16)</f>
        <v/>
      </c>
    </row>
    <row r="444" spans="1:4" ht="15.75" customHeight="1" x14ac:dyDescent="0.25">
      <c r="A444" s="2" t="str" cm="1">
        <f t="array" ref="A444">choice(Salles!A:A,1,Settings!$B$16)</f>
        <v>Salle16</v>
      </c>
      <c r="B444" s="3" cm="1">
        <f t="array" ref="B444">alea_date(Settings!$B$11,360,-1,Settings!$B$16)</f>
        <v>46149.333333333336</v>
      </c>
      <c r="C444" s="20" cm="1">
        <f t="array" ref="C444">B444+TIME(alea_int(1,4,Settings!$B$16),0,0)</f>
        <v>46149.5</v>
      </c>
      <c r="D444" t="str" cm="1">
        <f t="array" ref="D444">choice(Settings!L:L,1,Settings!$B$16)</f>
        <v/>
      </c>
    </row>
    <row r="445" spans="1:4" ht="15.75" customHeight="1" x14ac:dyDescent="0.25">
      <c r="A445" s="2" t="str" cm="1">
        <f t="array" ref="A445">choice(Salles!A:A,1,Settings!$B$16)</f>
        <v>Salle42</v>
      </c>
      <c r="B445" s="3" cm="1">
        <f t="array" ref="B445">alea_date(Settings!$B$11,360,-1,Settings!$B$16)</f>
        <v>46203.333333333336</v>
      </c>
      <c r="C445" s="20" cm="1">
        <f t="array" ref="C445">B445+TIME(alea_int(1,4,Settings!$B$16),0,0)</f>
        <v>46203.5</v>
      </c>
      <c r="D445" t="str" cm="1">
        <f t="array" ref="D445">choice(Settings!L:L,1,Settings!$B$16)</f>
        <v/>
      </c>
    </row>
    <row r="446" spans="1:4" ht="15.75" customHeight="1" x14ac:dyDescent="0.25">
      <c r="A446" s="2" t="str" cm="1">
        <f t="array" ref="A446">choice(Salles!A:A,1,Settings!$B$16)</f>
        <v>Salle3</v>
      </c>
      <c r="B446" s="3" cm="1">
        <f t="array" ref="B446">alea_date(Settings!$B$11,360,-1,Settings!$B$16)</f>
        <v>46286.291666666664</v>
      </c>
      <c r="C446" s="20" cm="1">
        <f t="array" ref="C446">B446+TIME(alea_int(1,4,Settings!$B$16),0,0)</f>
        <v>46286.458333333328</v>
      </c>
      <c r="D446" t="str" cm="1">
        <f t="array" ref="D446">choice(Settings!L:L,1,Settings!$B$16)</f>
        <v/>
      </c>
    </row>
    <row r="447" spans="1:4" ht="15.75" customHeight="1" x14ac:dyDescent="0.25">
      <c r="A447" s="2" t="str" cm="1">
        <f t="array" ref="A447">choice(Salles!A:A,1,Settings!$B$16)</f>
        <v>Salle50</v>
      </c>
      <c r="B447" s="3" cm="1">
        <f t="array" ref="B447">alea_date(Settings!$B$11,360,-1,Settings!$B$16)</f>
        <v>46086.5</v>
      </c>
      <c r="C447" s="20" cm="1">
        <f t="array" ref="C447">B447+TIME(alea_int(1,4,Settings!$B$16),0,0)</f>
        <v>46086.666666666664</v>
      </c>
      <c r="D447" t="str" cm="1">
        <f t="array" ref="D447">choice(Settings!L:L,1,Settings!$B$16)</f>
        <v/>
      </c>
    </row>
    <row r="448" spans="1:4" ht="15.75" customHeight="1" x14ac:dyDescent="0.25">
      <c r="A448" s="2" t="str" cm="1">
        <f t="array" ref="A448">choice(Salles!A:A,1,Settings!$B$16)</f>
        <v>Salle16</v>
      </c>
      <c r="B448" s="3" cm="1">
        <f t="array" ref="B448">alea_date(Settings!$B$11,360,-1,Settings!$B$16)</f>
        <v>46110.25</v>
      </c>
      <c r="C448" s="20" cm="1">
        <f t="array" ref="C448">B448+TIME(alea_int(1,4,Settings!$B$16),0,0)</f>
        <v>46110.416666666664</v>
      </c>
      <c r="D448" t="str" cm="1">
        <f t="array" ref="D448">choice(Settings!L:L,1,Settings!$B$16)</f>
        <v/>
      </c>
    </row>
    <row r="449" spans="1:4" ht="15.75" customHeight="1" x14ac:dyDescent="0.25">
      <c r="A449" s="2" t="str" cm="1">
        <f t="array" ref="A449">choice(Salles!A:A,1,Settings!$B$16)</f>
        <v>Salle29</v>
      </c>
      <c r="B449" s="3" cm="1">
        <f t="array" ref="B449">alea_date(Settings!$B$11,360,-1,Settings!$B$16)</f>
        <v>46173.25</v>
      </c>
      <c r="C449" s="20" cm="1">
        <f t="array" ref="C449">B449+TIME(alea_int(1,4,Settings!$B$16),0,0)</f>
        <v>46173.416666666664</v>
      </c>
      <c r="D449" t="str" cm="1">
        <f t="array" ref="D449">choice(Settings!L:L,1,Settings!$B$16)</f>
        <v/>
      </c>
    </row>
    <row r="450" spans="1:4" ht="15.75" customHeight="1" x14ac:dyDescent="0.25">
      <c r="A450" s="2" t="str" cm="1">
        <f t="array" ref="A450">choice(Salles!A:A,1,Settings!$B$16)</f>
        <v>Salle8</v>
      </c>
      <c r="B450" s="3" cm="1">
        <f t="array" ref="B450">alea_date(Settings!$B$11,360,-1,Settings!$B$16)</f>
        <v>46211.583333333336</v>
      </c>
      <c r="C450" s="20" cm="1">
        <f t="array" ref="C450">B450+TIME(alea_int(1,4,Settings!$B$16),0,0)</f>
        <v>46211.75</v>
      </c>
      <c r="D450" t="str" cm="1">
        <f t="array" ref="D450">choice(Settings!L:L,1,Settings!$B$16)</f>
        <v/>
      </c>
    </row>
    <row r="451" spans="1:4" ht="15.75" customHeight="1" x14ac:dyDescent="0.25">
      <c r="A451" s="2" t="str" cm="1">
        <f t="array" ref="A451">choice(Salles!A:A,1,Settings!$B$16)</f>
        <v>Salle21</v>
      </c>
      <c r="B451" s="3" cm="1">
        <f t="array" ref="B451">alea_date(Settings!$B$11,360,-1,Settings!$B$16)</f>
        <v>46367.625</v>
      </c>
      <c r="C451" s="20" cm="1">
        <f t="array" ref="C451">B451+TIME(alea_int(1,4,Settings!$B$16),0,0)</f>
        <v>46367.791666666664</v>
      </c>
      <c r="D451" t="str" cm="1">
        <f t="array" ref="D451">choice(Settings!L:L,1,Settings!$B$16)</f>
        <v/>
      </c>
    </row>
    <row r="452" spans="1:4" ht="15.75" customHeight="1" x14ac:dyDescent="0.25">
      <c r="A452" s="2" t="str" cm="1">
        <f t="array" ref="A452">choice(Salles!A:A,1,Settings!$B$16)</f>
        <v>Salle35</v>
      </c>
      <c r="B452" s="3" cm="1">
        <f t="array" ref="B452">alea_date(Settings!$B$11,360,-1,Settings!$B$16)</f>
        <v>46284.333333333336</v>
      </c>
      <c r="C452" s="20" cm="1">
        <f t="array" ref="C452">B452+TIME(alea_int(1,4,Settings!$B$16),0,0)</f>
        <v>46284.5</v>
      </c>
      <c r="D452" t="str" cm="1">
        <f t="array" ref="D452">choice(Settings!L:L,1,Settings!$B$16)</f>
        <v/>
      </c>
    </row>
    <row r="453" spans="1:4" ht="15.75" customHeight="1" x14ac:dyDescent="0.25">
      <c r="A453" s="2" t="str" cm="1">
        <f t="array" ref="A453">choice(Salles!A:A,1,Settings!$B$16)</f>
        <v>Salle26</v>
      </c>
      <c r="B453" s="3" cm="1">
        <f t="array" ref="B453">alea_date(Settings!$B$11,360,-1,Settings!$B$16)</f>
        <v>46190.291666666664</v>
      </c>
      <c r="C453" s="20" cm="1">
        <f t="array" ref="C453">B453+TIME(alea_int(1,4,Settings!$B$16),0,0)</f>
        <v>46190.458333333328</v>
      </c>
      <c r="D453" t="str" cm="1">
        <f t="array" ref="D453">choice(Settings!L:L,1,Settings!$B$16)</f>
        <v/>
      </c>
    </row>
    <row r="454" spans="1:4" ht="15.75" customHeight="1" x14ac:dyDescent="0.25">
      <c r="A454" s="2" t="str" cm="1">
        <f t="array" ref="A454">choice(Salles!A:A,1,Settings!$B$16)</f>
        <v>Salle51</v>
      </c>
      <c r="B454" s="3" cm="1">
        <f t="array" ref="B454">alea_date(Settings!$B$11,360,-1,Settings!$B$16)</f>
        <v>46207.5</v>
      </c>
      <c r="C454" s="20" cm="1">
        <f t="array" ref="C454">B454+TIME(alea_int(1,4,Settings!$B$16),0,0)</f>
        <v>46207.666666666664</v>
      </c>
      <c r="D454" t="str" cm="1">
        <f t="array" ref="D454">choice(Settings!L:L,1,Settings!$B$16)</f>
        <v/>
      </c>
    </row>
    <row r="455" spans="1:4" ht="15.75" customHeight="1" x14ac:dyDescent="0.25">
      <c r="A455" s="2" t="str" cm="1">
        <f t="array" ref="A455">choice(Salles!A:A,1,Settings!$B$16)</f>
        <v>Salle51</v>
      </c>
      <c r="B455" s="3" cm="1">
        <f t="array" ref="B455">alea_date(Settings!$B$11,360,-1,Settings!$B$16)</f>
        <v>46066.541666666664</v>
      </c>
      <c r="C455" s="20" cm="1">
        <f t="array" ref="C455">B455+TIME(alea_int(1,4,Settings!$B$16),0,0)</f>
        <v>46066.708333333328</v>
      </c>
      <c r="D455" t="str" cm="1">
        <f t="array" ref="D455">choice(Settings!L:L,1,Settings!$B$16)</f>
        <v/>
      </c>
    </row>
    <row r="456" spans="1:4" ht="15.75" customHeight="1" x14ac:dyDescent="0.25">
      <c r="A456" s="2" t="str" cm="1">
        <f t="array" ref="A456">choice(Salles!A:A,1,Settings!$B$16)</f>
        <v>Salle49</v>
      </c>
      <c r="B456" s="3" cm="1">
        <f t="array" ref="B456">alea_date(Settings!$B$11,360,-1,Settings!$B$16)</f>
        <v>46061.583333333336</v>
      </c>
      <c r="C456" s="20" cm="1">
        <f t="array" ref="C456">B456+TIME(alea_int(1,4,Settings!$B$16),0,0)</f>
        <v>46061.75</v>
      </c>
      <c r="D456" t="str" cm="1">
        <f t="array" ref="D456">choice(Settings!L:L,1,Settings!$B$16)</f>
        <v/>
      </c>
    </row>
    <row r="457" spans="1:4" ht="15.75" customHeight="1" x14ac:dyDescent="0.25">
      <c r="A457" s="2" t="str" cm="1">
        <f t="array" ref="A457">choice(Salles!A:A,1,Settings!$B$16)</f>
        <v>Salle67</v>
      </c>
      <c r="B457" s="3" cm="1">
        <f t="array" ref="B457">alea_date(Settings!$B$11,360,-1,Settings!$B$16)</f>
        <v>46110.625</v>
      </c>
      <c r="C457" s="20" cm="1">
        <f t="array" ref="C457">B457+TIME(alea_int(1,4,Settings!$B$16),0,0)</f>
        <v>46110.791666666664</v>
      </c>
      <c r="D457" t="str" cm="1">
        <f t="array" ref="D457">choice(Settings!L:L,1,Settings!$B$16)</f>
        <v/>
      </c>
    </row>
    <row r="458" spans="1:4" ht="15.75" customHeight="1" x14ac:dyDescent="0.25">
      <c r="A458" s="2" t="str" cm="1">
        <f t="array" ref="A458">choice(Salles!A:A,1,Settings!$B$16)</f>
        <v>Salle55</v>
      </c>
      <c r="B458" s="3" cm="1">
        <f t="array" ref="B458">alea_date(Settings!$B$11,360,-1,Settings!$B$16)</f>
        <v>46187.458333333336</v>
      </c>
      <c r="C458" s="20" cm="1">
        <f t="array" ref="C458">B458+TIME(alea_int(1,4,Settings!$B$16),0,0)</f>
        <v>46187.625</v>
      </c>
      <c r="D458" t="str" cm="1">
        <f t="array" ref="D458">choice(Settings!L:L,1,Settings!$B$16)</f>
        <v/>
      </c>
    </row>
    <row r="459" spans="1:4" ht="15.75" customHeight="1" x14ac:dyDescent="0.25">
      <c r="A459" s="2" t="str" cm="1">
        <f t="array" ref="A459">choice(Salles!A:A,1,Settings!$B$16)</f>
        <v>Salle20</v>
      </c>
      <c r="B459" s="3" cm="1">
        <f t="array" ref="B459">alea_date(Settings!$B$11,360,-1,Settings!$B$16)</f>
        <v>46103.25</v>
      </c>
      <c r="C459" s="20" cm="1">
        <f t="array" ref="C459">B459+TIME(alea_int(1,4,Settings!$B$16),0,0)</f>
        <v>46103.416666666664</v>
      </c>
      <c r="D459" t="str" cm="1">
        <f t="array" ref="D459">choice(Settings!L:L,1,Settings!$B$16)</f>
        <v/>
      </c>
    </row>
    <row r="460" spans="1:4" ht="15.75" customHeight="1" x14ac:dyDescent="0.25">
      <c r="A460" s="2" t="str" cm="1">
        <f t="array" ref="A460">choice(Salles!A:A,1,Settings!$B$16)</f>
        <v>Salle41</v>
      </c>
      <c r="B460" s="3" cm="1">
        <f t="array" ref="B460">alea_date(Settings!$B$11,360,-1,Settings!$B$16)</f>
        <v>46378.291666666664</v>
      </c>
      <c r="C460" s="20" cm="1">
        <f t="array" ref="C460">B460+TIME(alea_int(1,4,Settings!$B$16),0,0)</f>
        <v>46378.458333333328</v>
      </c>
      <c r="D460" t="str" cm="1">
        <f t="array" ref="D460">choice(Settings!L:L,1,Settings!$B$16)</f>
        <v>vendredi</v>
      </c>
    </row>
    <row r="461" spans="1:4" ht="15.75" customHeight="1" x14ac:dyDescent="0.25">
      <c r="A461" s="2" t="str" cm="1">
        <f t="array" ref="A461">choice(Salles!A:A,1,Settings!$B$16)</f>
        <v>Salle65</v>
      </c>
      <c r="B461" s="3" cm="1">
        <f t="array" ref="B461">alea_date(Settings!$B$11,360,-1,Settings!$B$16)</f>
        <v>46045.625</v>
      </c>
      <c r="C461" s="20" cm="1">
        <f t="array" ref="C461">B461+TIME(alea_int(1,4,Settings!$B$16),0,0)</f>
        <v>46045.791666666664</v>
      </c>
      <c r="D461" t="str" cm="1">
        <f t="array" ref="D461">choice(Settings!L:L,1,Settings!$B$16)</f>
        <v/>
      </c>
    </row>
    <row r="462" spans="1:4" ht="15.75" customHeight="1" x14ac:dyDescent="0.25">
      <c r="A462" s="2" t="str" cm="1">
        <f t="array" ref="A462">choice(Salles!A:A,1,Settings!$B$16)</f>
        <v>Salle31</v>
      </c>
      <c r="B462" s="3" cm="1">
        <f t="array" ref="B462">alea_date(Settings!$B$11,360,-1,Settings!$B$16)</f>
        <v>46052.625</v>
      </c>
      <c r="C462" s="20" cm="1">
        <f t="array" ref="C462">B462+TIME(alea_int(1,4,Settings!$B$16),0,0)</f>
        <v>46052.791666666664</v>
      </c>
      <c r="D462" t="str" cm="1">
        <f t="array" ref="D462">choice(Settings!L:L,1,Settings!$B$16)</f>
        <v>lundi</v>
      </c>
    </row>
    <row r="463" spans="1:4" ht="15.75" customHeight="1" x14ac:dyDescent="0.25">
      <c r="A463" s="2" t="str" cm="1">
        <f t="array" ref="A463">choice(Salles!A:A,1,Settings!$B$16)</f>
        <v>Salle64</v>
      </c>
      <c r="B463" s="3" cm="1">
        <f t="array" ref="B463">alea_date(Settings!$B$11,360,-1,Settings!$B$16)</f>
        <v>46108.458333333336</v>
      </c>
      <c r="C463" s="20" cm="1">
        <f t="array" ref="C463">B463+TIME(alea_int(1,4,Settings!$B$16),0,0)</f>
        <v>46108.625</v>
      </c>
      <c r="D463" t="str" cm="1">
        <f t="array" ref="D463">choice(Settings!L:L,1,Settings!$B$16)</f>
        <v/>
      </c>
    </row>
    <row r="464" spans="1:4" ht="15.75" customHeight="1" x14ac:dyDescent="0.25">
      <c r="A464" s="2" t="str" cm="1">
        <f t="array" ref="A464">choice(Salles!A:A,1,Settings!$B$16)</f>
        <v>Salle25</v>
      </c>
      <c r="B464" s="3" cm="1">
        <f t="array" ref="B464">alea_date(Settings!$B$11,360,-1,Settings!$B$16)</f>
        <v>46148.333333333336</v>
      </c>
      <c r="C464" s="20" cm="1">
        <f t="array" ref="C464">B464+TIME(alea_int(1,4,Settings!$B$16),0,0)</f>
        <v>46148.5</v>
      </c>
      <c r="D464" t="str" cm="1">
        <f t="array" ref="D464">choice(Settings!L:L,1,Settings!$B$16)</f>
        <v/>
      </c>
    </row>
    <row r="465" spans="1:4" ht="15.75" customHeight="1" x14ac:dyDescent="0.25">
      <c r="A465" s="2" t="str" cm="1">
        <f t="array" ref="A465">choice(Salles!A:A,1,Settings!$B$16)</f>
        <v>Salle13</v>
      </c>
      <c r="B465" s="3" cm="1">
        <f t="array" ref="B465">alea_date(Settings!$B$11,360,-1,Settings!$B$16)</f>
        <v>46147.541666666664</v>
      </c>
      <c r="C465" s="20" cm="1">
        <f t="array" ref="C465">B465+TIME(alea_int(1,4,Settings!$B$16),0,0)</f>
        <v>46147.708333333328</v>
      </c>
      <c r="D465" t="str" cm="1">
        <f t="array" ref="D465">choice(Settings!L:L,1,Settings!$B$16)</f>
        <v/>
      </c>
    </row>
    <row r="466" spans="1:4" ht="15.75" customHeight="1" x14ac:dyDescent="0.25">
      <c r="A466" s="2" t="str" cm="1">
        <f t="array" ref="A466">choice(Salles!A:A,1,Settings!$B$16)</f>
        <v>Salle44</v>
      </c>
      <c r="B466" s="3" cm="1">
        <f t="array" ref="B466">alea_date(Settings!$B$11,360,-1,Settings!$B$16)</f>
        <v>46151.458333333336</v>
      </c>
      <c r="C466" s="20" cm="1">
        <f t="array" ref="C466">B466+TIME(alea_int(1,4,Settings!$B$16),0,0)</f>
        <v>46151.625</v>
      </c>
      <c r="D466" t="str" cm="1">
        <f t="array" ref="D466">choice(Settings!L:L,1,Settings!$B$16)</f>
        <v/>
      </c>
    </row>
    <row r="467" spans="1:4" ht="15.75" customHeight="1" x14ac:dyDescent="0.25">
      <c r="A467" s="2" t="str" cm="1">
        <f t="array" ref="A467">choice(Salles!A:A,1,Settings!$B$16)</f>
        <v>Salle46</v>
      </c>
      <c r="B467" s="3" cm="1">
        <f t="array" ref="B467">alea_date(Settings!$B$11,360,-1,Settings!$B$16)</f>
        <v>46285.458333333336</v>
      </c>
      <c r="C467" s="20" cm="1">
        <f t="array" ref="C467">B467+TIME(alea_int(1,4,Settings!$B$16),0,0)</f>
        <v>46285.625</v>
      </c>
      <c r="D467" t="str" cm="1">
        <f t="array" ref="D467">choice(Settings!L:L,1,Settings!$B$16)</f>
        <v/>
      </c>
    </row>
    <row r="468" spans="1:4" ht="15.75" customHeight="1" x14ac:dyDescent="0.25">
      <c r="A468" s="2" t="str" cm="1">
        <f t="array" ref="A468">choice(Salles!A:A,1,Settings!$B$16)</f>
        <v>Salle59</v>
      </c>
      <c r="B468" s="3" cm="1">
        <f t="array" ref="B468">alea_date(Settings!$B$11,360,-1,Settings!$B$16)</f>
        <v>46275.416666666664</v>
      </c>
      <c r="C468" s="20" cm="1">
        <f t="array" ref="C468">B468+TIME(alea_int(1,4,Settings!$B$16),0,0)</f>
        <v>46275.583333333328</v>
      </c>
      <c r="D468" t="str" cm="1">
        <f t="array" ref="D468">choice(Settings!L:L,1,Settings!$B$16)</f>
        <v/>
      </c>
    </row>
    <row r="469" spans="1:4" ht="15.75" customHeight="1" x14ac:dyDescent="0.25">
      <c r="A469" s="2" t="str" cm="1">
        <f t="array" ref="A469">choice(Salles!A:A,1,Settings!$B$16)</f>
        <v>Salle35</v>
      </c>
      <c r="B469" s="3" cm="1">
        <f t="array" ref="B469">alea_date(Settings!$B$11,360,-1,Settings!$B$16)</f>
        <v>46099.416666666664</v>
      </c>
      <c r="C469" s="20" cm="1">
        <f t="array" ref="C469">B469+TIME(alea_int(1,4,Settings!$B$16),0,0)</f>
        <v>46099.583333333328</v>
      </c>
      <c r="D469" t="str" cm="1">
        <f t="array" ref="D469">choice(Settings!L:L,1,Settings!$B$16)</f>
        <v/>
      </c>
    </row>
    <row r="470" spans="1:4" ht="15.75" customHeight="1" x14ac:dyDescent="0.25">
      <c r="A470" s="2" t="str" cm="1">
        <f t="array" ref="A470">choice(Salles!A:A,1,Settings!$B$16)</f>
        <v>Salle37</v>
      </c>
      <c r="B470" s="3" cm="1">
        <f t="array" ref="B470">alea_date(Settings!$B$11,360,-1,Settings!$B$16)</f>
        <v>46034.625</v>
      </c>
      <c r="C470" s="20" cm="1">
        <f t="array" ref="C470">B470+TIME(alea_int(1,4,Settings!$B$16),0,0)</f>
        <v>46034.791666666664</v>
      </c>
      <c r="D470" t="str" cm="1">
        <f t="array" ref="D470">choice(Settings!L:L,1,Settings!$B$16)</f>
        <v/>
      </c>
    </row>
    <row r="471" spans="1:4" ht="15.75" customHeight="1" x14ac:dyDescent="0.25">
      <c r="A471" s="2" t="str" cm="1">
        <f t="array" ref="A471">choice(Salles!A:A,1,Settings!$B$16)</f>
        <v>Salle15</v>
      </c>
      <c r="B471" s="3" cm="1">
        <f t="array" ref="B471">alea_date(Settings!$B$11,360,-1,Settings!$B$16)</f>
        <v>46310.25</v>
      </c>
      <c r="C471" s="20" cm="1">
        <f t="array" ref="C471">B471+TIME(alea_int(1,4,Settings!$B$16),0,0)</f>
        <v>46310.416666666664</v>
      </c>
      <c r="D471" t="str" cm="1">
        <f t="array" ref="D471">choice(Settings!L:L,1,Settings!$B$16)</f>
        <v>mardi</v>
      </c>
    </row>
    <row r="472" spans="1:4" ht="15.75" customHeight="1" x14ac:dyDescent="0.25">
      <c r="A472" s="2" t="str" cm="1">
        <f t="array" ref="A472">choice(Salles!A:A,1,Settings!$B$16)</f>
        <v>Salle39</v>
      </c>
      <c r="B472" s="3" cm="1">
        <f t="array" ref="B472">alea_date(Settings!$B$11,360,-1,Settings!$B$16)</f>
        <v>46109.583333333336</v>
      </c>
      <c r="C472" s="20" cm="1">
        <f t="array" ref="C472">B472+TIME(alea_int(1,4,Settings!$B$16),0,0)</f>
        <v>46109.75</v>
      </c>
      <c r="D472" t="str" cm="1">
        <f t="array" ref="D472">choice(Settings!L:L,1,Settings!$B$16)</f>
        <v/>
      </c>
    </row>
    <row r="473" spans="1:4" ht="15.75" customHeight="1" x14ac:dyDescent="0.25">
      <c r="A473" s="2" t="str" cm="1">
        <f t="array" ref="A473">choice(Salles!A:A,1,Settings!$B$16)</f>
        <v>Salle21</v>
      </c>
      <c r="B473" s="3" cm="1">
        <f t="array" ref="B473">alea_date(Settings!$B$11,360,-1,Settings!$B$16)</f>
        <v>46370.5</v>
      </c>
      <c r="C473" s="20" cm="1">
        <f t="array" ref="C473">B473+TIME(alea_int(1,4,Settings!$B$16),0,0)</f>
        <v>46370.666666666664</v>
      </c>
      <c r="D473" t="str" cm="1">
        <f t="array" ref="D473">choice(Settings!L:L,1,Settings!$B$16)</f>
        <v/>
      </c>
    </row>
    <row r="474" spans="1:4" ht="15.75" customHeight="1" x14ac:dyDescent="0.25">
      <c r="A474" s="2" t="str" cm="1">
        <f t="array" ref="A474">choice(Salles!A:A,1,Settings!$B$16)</f>
        <v>Salle55</v>
      </c>
      <c r="B474" s="3" cm="1">
        <f t="array" ref="B474">alea_date(Settings!$B$11,360,-1,Settings!$B$16)</f>
        <v>46064.5</v>
      </c>
      <c r="C474" s="20" cm="1">
        <f t="array" ref="C474">B474+TIME(alea_int(1,4,Settings!$B$16),0,0)</f>
        <v>46064.666666666664</v>
      </c>
      <c r="D474" t="str" cm="1">
        <f t="array" ref="D474">choice(Settings!L:L,1,Settings!$B$16)</f>
        <v/>
      </c>
    </row>
    <row r="475" spans="1:4" ht="15.75" customHeight="1" x14ac:dyDescent="0.25">
      <c r="A475" s="2" t="str" cm="1">
        <f t="array" ref="A475">choice(Salles!A:A,1,Settings!$B$16)</f>
        <v>Salle63</v>
      </c>
      <c r="B475" s="3" cm="1">
        <f t="array" ref="B475">alea_date(Settings!$B$11,360,-1,Settings!$B$16)</f>
        <v>46149.5</v>
      </c>
      <c r="C475" s="20" cm="1">
        <f t="array" ref="C475">B475+TIME(alea_int(1,4,Settings!$B$16),0,0)</f>
        <v>46149.666666666664</v>
      </c>
      <c r="D475" t="str" cm="1">
        <f t="array" ref="D475">choice(Settings!L:L,1,Settings!$B$16)</f>
        <v/>
      </c>
    </row>
    <row r="476" spans="1:4" ht="15.75" customHeight="1" x14ac:dyDescent="0.25">
      <c r="A476" s="2" t="str" cm="1">
        <f t="array" ref="A476">choice(Salles!A:A,1,Settings!$B$16)</f>
        <v>Salle66</v>
      </c>
      <c r="B476" s="3" cm="1">
        <f t="array" ref="B476">alea_date(Settings!$B$11,360,-1,Settings!$B$16)</f>
        <v>46240.416666666664</v>
      </c>
      <c r="C476" s="20" cm="1">
        <f t="array" ref="C476">B476+TIME(alea_int(1,4,Settings!$B$16),0,0)</f>
        <v>46240.583333333328</v>
      </c>
      <c r="D476" t="str" cm="1">
        <f t="array" ref="D476">choice(Settings!L:L,1,Settings!$B$16)</f>
        <v/>
      </c>
    </row>
    <row r="477" spans="1:4" ht="15.75" customHeight="1" x14ac:dyDescent="0.25">
      <c r="A477" s="2" t="str" cm="1">
        <f t="array" ref="A477">choice(Salles!A:A,1,Settings!$B$16)</f>
        <v>Salle3</v>
      </c>
      <c r="B477" s="3" cm="1">
        <f t="array" ref="B477">alea_date(Settings!$B$11,360,-1,Settings!$B$16)</f>
        <v>46277.291666666664</v>
      </c>
      <c r="C477" s="20" cm="1">
        <f t="array" ref="C477">B477+TIME(alea_int(1,4,Settings!$B$16),0,0)</f>
        <v>46277.458333333328</v>
      </c>
      <c r="D477" t="str" cm="1">
        <f t="array" ref="D477">choice(Settings!L:L,1,Settings!$B$16)</f>
        <v/>
      </c>
    </row>
    <row r="478" spans="1:4" ht="15.75" customHeight="1" x14ac:dyDescent="0.25">
      <c r="A478" s="2" t="str" cm="1">
        <f t="array" ref="A478">choice(Salles!A:A,1,Settings!$B$16)</f>
        <v>Salle20</v>
      </c>
      <c r="B478" s="3" cm="1">
        <f t="array" ref="B478">alea_date(Settings!$B$11,360,-1,Settings!$B$16)</f>
        <v>46281.625</v>
      </c>
      <c r="C478" s="20" cm="1">
        <f t="array" ref="C478">B478+TIME(alea_int(1,4,Settings!$B$16),0,0)</f>
        <v>46281.791666666664</v>
      </c>
      <c r="D478" t="str" cm="1">
        <f t="array" ref="D478">choice(Settings!L:L,1,Settings!$B$16)</f>
        <v/>
      </c>
    </row>
    <row r="479" spans="1:4" ht="15.75" customHeight="1" x14ac:dyDescent="0.25">
      <c r="A479" s="2" t="str" cm="1">
        <f t="array" ref="A479">choice(Salles!A:A,1,Settings!$B$16)</f>
        <v>Salle46</v>
      </c>
      <c r="B479" s="3" cm="1">
        <f t="array" ref="B479">alea_date(Settings!$B$11,360,-1,Settings!$B$16)</f>
        <v>46072.625</v>
      </c>
      <c r="C479" s="20" cm="1">
        <f t="array" ref="C479">B479+TIME(alea_int(1,4,Settings!$B$16),0,0)</f>
        <v>46072.791666666664</v>
      </c>
      <c r="D479" t="str" cm="1">
        <f t="array" ref="D479">choice(Settings!L:L,1,Settings!$B$16)</f>
        <v/>
      </c>
    </row>
    <row r="480" spans="1:4" ht="15.75" customHeight="1" x14ac:dyDescent="0.25">
      <c r="A480" s="2" t="str" cm="1">
        <f t="array" ref="A480">choice(Salles!A:A,1,Settings!$B$16)</f>
        <v>Salle18</v>
      </c>
      <c r="B480" s="3" cm="1">
        <f t="array" ref="B480">alea_date(Settings!$B$11,360,-1,Settings!$B$16)</f>
        <v>46317.5</v>
      </c>
      <c r="C480" s="20" cm="1">
        <f t="array" ref="C480">B480+TIME(alea_int(1,4,Settings!$B$16),0,0)</f>
        <v>46317.666666666664</v>
      </c>
      <c r="D480" t="str" cm="1">
        <f t="array" ref="D480">choice(Settings!L:L,1,Settings!$B$16)</f>
        <v/>
      </c>
    </row>
    <row r="481" spans="1:4" ht="15.75" customHeight="1" x14ac:dyDescent="0.25">
      <c r="A481" s="2" t="str" cm="1">
        <f t="array" ref="A481">choice(Salles!A:A,1,Settings!$B$16)</f>
        <v>Salle69</v>
      </c>
      <c r="B481" s="3" cm="1">
        <f t="array" ref="B481">alea_date(Settings!$B$11,360,-1,Settings!$B$16)</f>
        <v>46066.375</v>
      </c>
      <c r="C481" s="20" cm="1">
        <f t="array" ref="C481">B481+TIME(alea_int(1,4,Settings!$B$16),0,0)</f>
        <v>46066.541666666664</v>
      </c>
      <c r="D481" t="str" cm="1">
        <f t="array" ref="D481">choice(Settings!L:L,1,Settings!$B$16)</f>
        <v/>
      </c>
    </row>
    <row r="482" spans="1:4" ht="15.75" customHeight="1" x14ac:dyDescent="0.25">
      <c r="A482" s="2" t="str" cm="1">
        <f t="array" ref="A482">choice(Salles!A:A,1,Settings!$B$16)</f>
        <v>Salle34</v>
      </c>
      <c r="B482" s="3" cm="1">
        <f t="array" ref="B482">alea_date(Settings!$B$11,360,-1,Settings!$B$16)</f>
        <v>46117.5</v>
      </c>
      <c r="C482" s="20" cm="1">
        <f t="array" ref="C482">B482+TIME(alea_int(1,4,Settings!$B$16),0,0)</f>
        <v>46117.666666666664</v>
      </c>
      <c r="D482" t="str" cm="1">
        <f t="array" ref="D482">choice(Settings!L:L,1,Settings!$B$16)</f>
        <v/>
      </c>
    </row>
    <row r="483" spans="1:4" ht="15.75" customHeight="1" x14ac:dyDescent="0.25">
      <c r="A483" s="2" t="str" cm="1">
        <f t="array" ref="A483">choice(Salles!A:A,1,Settings!$B$16)</f>
        <v>Salle38</v>
      </c>
      <c r="B483" s="3" cm="1">
        <f t="array" ref="B483">alea_date(Settings!$B$11,360,-1,Settings!$B$16)</f>
        <v>46030.25</v>
      </c>
      <c r="C483" s="20" cm="1">
        <f t="array" ref="C483">B483+TIME(alea_int(1,4,Settings!$B$16),0,0)</f>
        <v>46030.416666666664</v>
      </c>
      <c r="D483" t="str" cm="1">
        <f t="array" ref="D483">choice(Settings!L:L,1,Settings!$B$16)</f>
        <v/>
      </c>
    </row>
    <row r="484" spans="1:4" ht="15.75" customHeight="1" x14ac:dyDescent="0.25">
      <c r="A484" s="2" t="str" cm="1">
        <f t="array" ref="A484">choice(Salles!A:A,1,Settings!$B$16)</f>
        <v>Salle7</v>
      </c>
      <c r="B484" s="3" cm="1">
        <f t="array" ref="B484">alea_date(Settings!$B$11,360,-1,Settings!$B$16)</f>
        <v>46132.458333333336</v>
      </c>
      <c r="C484" s="20" cm="1">
        <f t="array" ref="C484">B484+TIME(alea_int(1,4,Settings!$B$16),0,0)</f>
        <v>46132.625</v>
      </c>
      <c r="D484" t="str" cm="1">
        <f t="array" ref="D484">choice(Settings!L:L,1,Settings!$B$16)</f>
        <v>mercredi</v>
      </c>
    </row>
    <row r="485" spans="1:4" ht="15.75" customHeight="1" x14ac:dyDescent="0.25">
      <c r="A485" s="2" t="str" cm="1">
        <f t="array" ref="A485">choice(Salles!A:A,1,Settings!$B$16)</f>
        <v>Salle32</v>
      </c>
      <c r="B485" s="3" cm="1">
        <f t="array" ref="B485">alea_date(Settings!$B$11,360,-1,Settings!$B$16)</f>
        <v>46230.25</v>
      </c>
      <c r="C485" s="20" cm="1">
        <f t="array" ref="C485">B485+TIME(alea_int(1,4,Settings!$B$16),0,0)</f>
        <v>46230.416666666664</v>
      </c>
      <c r="D485" t="str" cm="1">
        <f t="array" ref="D485">choice(Settings!L:L,1,Settings!$B$16)</f>
        <v/>
      </c>
    </row>
    <row r="486" spans="1:4" ht="15.75" customHeight="1" x14ac:dyDescent="0.25">
      <c r="A486" s="2" t="str" cm="1">
        <f t="array" ref="A486">choice(Salles!A:A,1,Settings!$B$16)</f>
        <v>Salle69</v>
      </c>
      <c r="B486" s="3" cm="1">
        <f t="array" ref="B486">alea_date(Settings!$B$11,360,-1,Settings!$B$16)</f>
        <v>46261.583333333336</v>
      </c>
      <c r="C486" s="20" cm="1">
        <f t="array" ref="C486">B486+TIME(alea_int(1,4,Settings!$B$16),0,0)</f>
        <v>46261.75</v>
      </c>
      <c r="D486" t="str" cm="1">
        <f t="array" ref="D486">choice(Settings!L:L,1,Settings!$B$16)</f>
        <v/>
      </c>
    </row>
    <row r="487" spans="1:4" ht="15.75" customHeight="1" x14ac:dyDescent="0.25">
      <c r="A487" s="2" t="str" cm="1">
        <f t="array" ref="A487">choice(Salles!A:A,1,Settings!$B$16)</f>
        <v>Salle54</v>
      </c>
      <c r="B487" s="3" cm="1">
        <f t="array" ref="B487">alea_date(Settings!$B$11,360,-1,Settings!$B$16)</f>
        <v>46084.25</v>
      </c>
      <c r="C487" s="20" cm="1">
        <f t="array" ref="C487">B487+TIME(alea_int(1,4,Settings!$B$16),0,0)</f>
        <v>46084.416666666664</v>
      </c>
      <c r="D487" t="str" cm="1">
        <f t="array" ref="D487">choice(Settings!L:L,1,Settings!$B$16)</f>
        <v/>
      </c>
    </row>
    <row r="488" spans="1:4" ht="15.75" customHeight="1" x14ac:dyDescent="0.25">
      <c r="A488" s="2" t="str" cm="1">
        <f t="array" ref="A488">choice(Salles!A:A,1,Settings!$B$16)</f>
        <v>Salle39</v>
      </c>
      <c r="B488" s="3" cm="1">
        <f t="array" ref="B488">alea_date(Settings!$B$11,360,-1,Settings!$B$16)</f>
        <v>46279.375</v>
      </c>
      <c r="C488" s="20" cm="1">
        <f t="array" ref="C488">B488+TIME(alea_int(1,4,Settings!$B$16),0,0)</f>
        <v>46279.541666666664</v>
      </c>
      <c r="D488" t="str" cm="1">
        <f t="array" ref="D488">choice(Settings!L:L,1,Settings!$B$16)</f>
        <v/>
      </c>
    </row>
    <row r="489" spans="1:4" ht="15.75" customHeight="1" x14ac:dyDescent="0.25">
      <c r="A489" s="2" t="str" cm="1">
        <f t="array" ref="A489">choice(Salles!A:A,1,Settings!$B$16)</f>
        <v>Salle13</v>
      </c>
      <c r="B489" s="3" cm="1">
        <f t="array" ref="B489">alea_date(Settings!$B$11,360,-1,Settings!$B$16)</f>
        <v>46145.333333333336</v>
      </c>
      <c r="C489" s="20" cm="1">
        <f t="array" ref="C489">B489+TIME(alea_int(1,4,Settings!$B$16),0,0)</f>
        <v>46145.5</v>
      </c>
      <c r="D489" t="str" cm="1">
        <f t="array" ref="D489">choice(Settings!L:L,1,Settings!$B$16)</f>
        <v/>
      </c>
    </row>
    <row r="490" spans="1:4" ht="15.75" customHeight="1" x14ac:dyDescent="0.25">
      <c r="A490" s="2" t="str" cm="1">
        <f t="array" ref="A490">choice(Salles!A:A,1,Settings!$B$16)</f>
        <v>Salle22</v>
      </c>
      <c r="B490" s="3" cm="1">
        <f t="array" ref="B490">alea_date(Settings!$B$11,360,-1,Settings!$B$16)</f>
        <v>46032.541666666664</v>
      </c>
      <c r="C490" s="20" cm="1">
        <f t="array" ref="C490">B490+TIME(alea_int(1,4,Settings!$B$16),0,0)</f>
        <v>46032.708333333328</v>
      </c>
      <c r="D490" t="str" cm="1">
        <f t="array" ref="D490">choice(Settings!L:L,1,Settings!$B$16)</f>
        <v/>
      </c>
    </row>
    <row r="491" spans="1:4" ht="15.75" customHeight="1" x14ac:dyDescent="0.25">
      <c r="A491" s="2" t="str" cm="1">
        <f t="array" ref="A491">choice(Salles!A:A,1,Settings!$B$16)</f>
        <v>Salle14</v>
      </c>
      <c r="B491" s="3" cm="1">
        <f t="array" ref="B491">alea_date(Settings!$B$11,360,-1,Settings!$B$16)</f>
        <v>46084.416666666664</v>
      </c>
      <c r="C491" s="20" cm="1">
        <f t="array" ref="C491">B491+TIME(alea_int(1,4,Settings!$B$16),0,0)</f>
        <v>46084.583333333328</v>
      </c>
      <c r="D491" t="str" cm="1">
        <f t="array" ref="D491">choice(Settings!L:L,1,Settings!$B$16)</f>
        <v/>
      </c>
    </row>
    <row r="492" spans="1:4" ht="15.75" customHeight="1" x14ac:dyDescent="0.25">
      <c r="A492" s="2" t="str" cm="1">
        <f t="array" ref="A492">choice(Salles!A:A,1,Settings!$B$16)</f>
        <v>Salle64</v>
      </c>
      <c r="B492" s="3" cm="1">
        <f t="array" ref="B492">alea_date(Settings!$B$11,360,-1,Settings!$B$16)</f>
        <v>46211.291666666664</v>
      </c>
      <c r="C492" s="20" cm="1">
        <f t="array" ref="C492">B492+TIME(alea_int(1,4,Settings!$B$16),0,0)</f>
        <v>46211.458333333328</v>
      </c>
      <c r="D492" t="str" cm="1">
        <f t="array" ref="D492">choice(Settings!L:L,1,Settings!$B$16)</f>
        <v>lundi</v>
      </c>
    </row>
    <row r="493" spans="1:4" ht="15.75" customHeight="1" x14ac:dyDescent="0.25">
      <c r="A493" s="2" t="str" cm="1">
        <f t="array" ref="A493">choice(Salles!A:A,1,Settings!$B$16)</f>
        <v>Salle56</v>
      </c>
      <c r="B493" s="3" cm="1">
        <f t="array" ref="B493">alea_date(Settings!$B$11,360,-1,Settings!$B$16)</f>
        <v>46336.291666666664</v>
      </c>
      <c r="C493" s="20" cm="1">
        <f t="array" ref="C493">B493+TIME(alea_int(1,4,Settings!$B$16),0,0)</f>
        <v>46336.458333333328</v>
      </c>
      <c r="D493" t="str" cm="1">
        <f t="array" ref="D493">choice(Settings!L:L,1,Settings!$B$16)</f>
        <v/>
      </c>
    </row>
    <row r="494" spans="1:4" ht="15.75" customHeight="1" x14ac:dyDescent="0.25">
      <c r="A494" s="2" t="str" cm="1">
        <f t="array" ref="A494">choice(Salles!A:A,1,Settings!$B$16)</f>
        <v>Salle31</v>
      </c>
      <c r="B494" s="3" cm="1">
        <f t="array" ref="B494">alea_date(Settings!$B$11,360,-1,Settings!$B$16)</f>
        <v>46214.541666666664</v>
      </c>
      <c r="C494" s="20" cm="1">
        <f t="array" ref="C494">B494+TIME(alea_int(1,4,Settings!$B$16),0,0)</f>
        <v>46214.708333333328</v>
      </c>
      <c r="D494" t="str" cm="1">
        <f t="array" ref="D494">choice(Settings!L:L,1,Settings!$B$16)</f>
        <v/>
      </c>
    </row>
    <row r="495" spans="1:4" ht="15.75" customHeight="1" x14ac:dyDescent="0.25">
      <c r="A495" s="2" t="str" cm="1">
        <f t="array" ref="A495">choice(Salles!A:A,1,Settings!$B$16)</f>
        <v>Salle45</v>
      </c>
      <c r="B495" s="3" cm="1">
        <f t="array" ref="B495">alea_date(Settings!$B$11,360,-1,Settings!$B$16)</f>
        <v>46182.25</v>
      </c>
      <c r="C495" s="20" cm="1">
        <f t="array" ref="C495">B495+TIME(alea_int(1,4,Settings!$B$16),0,0)</f>
        <v>46182.416666666664</v>
      </c>
      <c r="D495" t="str" cm="1">
        <f t="array" ref="D495">choice(Settings!L:L,1,Settings!$B$16)</f>
        <v/>
      </c>
    </row>
    <row r="496" spans="1:4" ht="15.75" customHeight="1" x14ac:dyDescent="0.25">
      <c r="A496" s="2" t="str" cm="1">
        <f t="array" ref="A496">choice(Salles!A:A,1,Settings!$B$16)</f>
        <v>Salle29</v>
      </c>
      <c r="B496" s="3" cm="1">
        <f t="array" ref="B496">alea_date(Settings!$B$11,360,-1,Settings!$B$16)</f>
        <v>46143.625</v>
      </c>
      <c r="C496" s="20" cm="1">
        <f t="array" ref="C496">B496+TIME(alea_int(1,4,Settings!$B$16),0,0)</f>
        <v>46143.791666666664</v>
      </c>
      <c r="D496" t="str" cm="1">
        <f t="array" ref="D496">choice(Settings!L:L,1,Settings!$B$16)</f>
        <v/>
      </c>
    </row>
    <row r="497" spans="1:4" ht="15.75" customHeight="1" x14ac:dyDescent="0.25">
      <c r="A497" s="2" t="str" cm="1">
        <f t="array" ref="A497">choice(Salles!A:A,1,Settings!$B$16)</f>
        <v>Salle26</v>
      </c>
      <c r="B497" s="3" cm="1">
        <f t="array" ref="B497">alea_date(Settings!$B$11,360,-1,Settings!$B$16)</f>
        <v>46239.541666666664</v>
      </c>
      <c r="C497" s="20" cm="1">
        <f t="array" ref="C497">B497+TIME(alea_int(1,4,Settings!$B$16),0,0)</f>
        <v>46239.708333333328</v>
      </c>
      <c r="D497" t="str" cm="1">
        <f t="array" ref="D497">choice(Settings!L:L,1,Settings!$B$16)</f>
        <v/>
      </c>
    </row>
    <row r="498" spans="1:4" ht="15.75" customHeight="1" x14ac:dyDescent="0.25">
      <c r="A498" s="2" t="str" cm="1">
        <f t="array" ref="A498">choice(Salles!A:A,1,Settings!$B$16)</f>
        <v>Salle8</v>
      </c>
      <c r="B498" s="3" cm="1">
        <f t="array" ref="B498">alea_date(Settings!$B$11,360,-1,Settings!$B$16)</f>
        <v>46372.25</v>
      </c>
      <c r="C498" s="20" cm="1">
        <f t="array" ref="C498">B498+TIME(alea_int(1,4,Settings!$B$16),0,0)</f>
        <v>46372.416666666664</v>
      </c>
      <c r="D498" t="str" cm="1">
        <f t="array" ref="D498">choice(Settings!L:L,1,Settings!$B$16)</f>
        <v/>
      </c>
    </row>
    <row r="499" spans="1:4" ht="15.75" customHeight="1" x14ac:dyDescent="0.25">
      <c r="A499" s="2" t="str" cm="1">
        <f t="array" ref="A499">choice(Salles!A:A,1,Settings!$B$16)</f>
        <v>Salle46</v>
      </c>
      <c r="B499" s="3" cm="1">
        <f t="array" ref="B499">alea_date(Settings!$B$11,360,-1,Settings!$B$16)</f>
        <v>46181.333333333336</v>
      </c>
      <c r="C499" s="20" cm="1">
        <f t="array" ref="C499">B499+TIME(alea_int(1,4,Settings!$B$16),0,0)</f>
        <v>46181.5</v>
      </c>
      <c r="D499" t="str" cm="1">
        <f t="array" ref="D499">choice(Settings!L:L,1,Settings!$B$16)</f>
        <v/>
      </c>
    </row>
    <row r="500" spans="1:4" ht="15.75" customHeight="1" x14ac:dyDescent="0.25">
      <c r="A500" s="2" t="str" cm="1">
        <f t="array" ref="A500">choice(Salles!A:A,1,Settings!$B$16)</f>
        <v>Salle40</v>
      </c>
      <c r="B500" s="3" cm="1">
        <f t="array" ref="B500">alea_date(Settings!$B$11,360,-1,Settings!$B$16)</f>
        <v>46185.625</v>
      </c>
      <c r="C500" s="20" cm="1">
        <f t="array" ref="C500">B500+TIME(alea_int(1,4,Settings!$B$16),0,0)</f>
        <v>46185.791666666664</v>
      </c>
      <c r="D500" t="str" cm="1">
        <f t="array" ref="D500">choice(Settings!L:L,1,Settings!$B$16)</f>
        <v/>
      </c>
    </row>
    <row r="501" spans="1:4" ht="15.75" customHeight="1" x14ac:dyDescent="0.25">
      <c r="A501" s="2" t="str" cm="1">
        <f t="array" ref="A501">choice(Salles!A:A,1,Settings!$B$16)</f>
        <v>Salle15</v>
      </c>
      <c r="B501" s="3" cm="1">
        <f t="array" ref="B501">alea_date(Settings!$B$11,360,-1,Settings!$B$16)</f>
        <v>46092.625</v>
      </c>
      <c r="C501" s="20" cm="1">
        <f t="array" ref="C501">B501+TIME(alea_int(1,4,Settings!$B$16),0,0)</f>
        <v>46092.791666666664</v>
      </c>
      <c r="D501" t="str" cm="1">
        <f t="array" ref="D501">choice(Settings!L:L,1,Settings!$B$16)</f>
        <v/>
      </c>
    </row>
    <row r="502" spans="1:4" ht="15.75" customHeight="1" x14ac:dyDescent="0.25">
      <c r="A502" s="2" t="str" cm="1">
        <f t="array" ref="A502">choice(Salles!A:A,1,Settings!$B$16)</f>
        <v>Salle7</v>
      </c>
      <c r="B502" s="3" cm="1">
        <f t="array" ref="B502">alea_date(Settings!$B$11,360,-1,Settings!$B$16)</f>
        <v>46230.25</v>
      </c>
      <c r="C502" s="20" cm="1">
        <f t="array" ref="C502">B502+TIME(alea_int(1,4,Settings!$B$16),0,0)</f>
        <v>46230.416666666664</v>
      </c>
      <c r="D502" t="str" cm="1">
        <f t="array" ref="D502">choice(Settings!L:L,1,Settings!$B$16)</f>
        <v/>
      </c>
    </row>
    <row r="503" spans="1:4" ht="15.75" customHeight="1" x14ac:dyDescent="0.25">
      <c r="A503" s="2" t="str" cm="1">
        <f t="array" ref="A503">choice(Salles!A:A,1,Settings!$B$16)</f>
        <v>Salle21</v>
      </c>
      <c r="B503" s="3" cm="1">
        <f t="array" ref="B503">alea_date(Settings!$B$11,360,-1,Settings!$B$16)</f>
        <v>46056.5</v>
      </c>
      <c r="C503" s="20" cm="1">
        <f t="array" ref="C503">B503+TIME(alea_int(1,4,Settings!$B$16),0,0)</f>
        <v>46056.666666666664</v>
      </c>
      <c r="D503" t="str" cm="1">
        <f t="array" ref="D503">choice(Settings!L:L,1,Settings!$B$16)</f>
        <v/>
      </c>
    </row>
    <row r="504" spans="1:4" ht="15.75" customHeight="1" x14ac:dyDescent="0.25">
      <c r="A504" s="2" t="str" cm="1">
        <f t="array" ref="A504">choice(Salles!A:A,1,Settings!$B$16)</f>
        <v>Salle24</v>
      </c>
      <c r="B504" s="3" cm="1">
        <f t="array" ref="B504">alea_date(Settings!$B$11,360,-1,Settings!$B$16)</f>
        <v>46248.25</v>
      </c>
      <c r="C504" s="20" cm="1">
        <f t="array" ref="C504">B504+TIME(alea_int(1,4,Settings!$B$16),0,0)</f>
        <v>46248.416666666664</v>
      </c>
      <c r="D504" t="str" cm="1">
        <f t="array" ref="D504">choice(Settings!L:L,1,Settings!$B$16)</f>
        <v/>
      </c>
    </row>
    <row r="505" spans="1:4" ht="15.75" customHeight="1" x14ac:dyDescent="0.25">
      <c r="A505" s="2" t="str" cm="1">
        <f t="array" ref="A505">choice(Salles!A:A,1,Settings!$B$16)</f>
        <v>Salle53</v>
      </c>
      <c r="B505" s="3" cm="1">
        <f t="array" ref="B505">alea_date(Settings!$B$11,360,-1,Settings!$B$16)</f>
        <v>46268.416666666664</v>
      </c>
      <c r="C505" s="20" cm="1">
        <f t="array" ref="C505">B505+TIME(alea_int(1,4,Settings!$B$16),0,0)</f>
        <v>46268.583333333328</v>
      </c>
      <c r="D505" t="str" cm="1">
        <f t="array" ref="D505">choice(Settings!L:L,1,Settings!$B$16)</f>
        <v>mercredi</v>
      </c>
    </row>
    <row r="506" spans="1:4" ht="15.75" customHeight="1" x14ac:dyDescent="0.25">
      <c r="A506" s="2" t="str" cm="1">
        <f t="array" ref="A506">choice(Salles!A:A,1,Settings!$B$16)</f>
        <v>Salle40</v>
      </c>
      <c r="B506" s="3" cm="1">
        <f t="array" ref="B506">alea_date(Settings!$B$11,360,-1,Settings!$B$16)</f>
        <v>46217.25</v>
      </c>
      <c r="C506" s="20" cm="1">
        <f t="array" ref="C506">B506+TIME(alea_int(1,4,Settings!$B$16),0,0)</f>
        <v>46217.416666666664</v>
      </c>
      <c r="D506" t="str" cm="1">
        <f t="array" ref="D506">choice(Settings!L:L,1,Settings!$B$16)</f>
        <v/>
      </c>
    </row>
    <row r="507" spans="1:4" ht="15.75" customHeight="1" x14ac:dyDescent="0.25">
      <c r="A507" s="2" t="str" cm="1">
        <f t="array" ref="A507">choice(Salles!A:A,1,Settings!$B$16)</f>
        <v>Salle9</v>
      </c>
      <c r="B507" s="3" cm="1">
        <f t="array" ref="B507">alea_date(Settings!$B$11,360,-1,Settings!$B$16)</f>
        <v>46101.583333333336</v>
      </c>
      <c r="C507" s="20" cm="1">
        <f t="array" ref="C507">B507+TIME(alea_int(1,4,Settings!$B$16),0,0)</f>
        <v>46101.75</v>
      </c>
      <c r="D507" t="str" cm="1">
        <f t="array" ref="D507">choice(Settings!L:L,1,Settings!$B$16)</f>
        <v/>
      </c>
    </row>
    <row r="508" spans="1:4" ht="15.75" customHeight="1" x14ac:dyDescent="0.25">
      <c r="A508" s="2" t="str" cm="1">
        <f t="array" ref="A508">choice(Salles!A:A,1,Settings!$B$16)</f>
        <v>Salle5</v>
      </c>
      <c r="B508" s="3" cm="1">
        <f t="array" ref="B508">alea_date(Settings!$B$11,360,-1,Settings!$B$16)</f>
        <v>46228.458333333336</v>
      </c>
      <c r="C508" s="20" cm="1">
        <f t="array" ref="C508">B508+TIME(alea_int(1,4,Settings!$B$16),0,0)</f>
        <v>46228.625</v>
      </c>
      <c r="D508" t="str" cm="1">
        <f t="array" ref="D508">choice(Settings!L:L,1,Settings!$B$16)</f>
        <v/>
      </c>
    </row>
    <row r="509" spans="1:4" ht="15.75" customHeight="1" x14ac:dyDescent="0.25">
      <c r="A509" s="2" t="str" cm="1">
        <f t="array" ref="A509">choice(Salles!A:A,1,Settings!$B$16)</f>
        <v>Salle64</v>
      </c>
      <c r="B509" s="3" cm="1">
        <f t="array" ref="B509">alea_date(Settings!$B$11,360,-1,Settings!$B$16)</f>
        <v>46087.416666666664</v>
      </c>
      <c r="C509" s="20" cm="1">
        <f t="array" ref="C509">B509+TIME(alea_int(1,4,Settings!$B$16),0,0)</f>
        <v>46087.583333333328</v>
      </c>
      <c r="D509" t="str" cm="1">
        <f t="array" ref="D509">choice(Settings!L:L,1,Settings!$B$16)</f>
        <v/>
      </c>
    </row>
    <row r="510" spans="1:4" ht="15.75" customHeight="1" x14ac:dyDescent="0.25">
      <c r="A510" s="2" t="str" cm="1">
        <f t="array" ref="A510">choice(Salles!A:A,1,Settings!$B$16)</f>
        <v>Salle24</v>
      </c>
      <c r="B510" s="3" cm="1">
        <f t="array" ref="B510">alea_date(Settings!$B$11,360,-1,Settings!$B$16)</f>
        <v>46350.458333333336</v>
      </c>
      <c r="C510" s="20" cm="1">
        <f t="array" ref="C510">B510+TIME(alea_int(1,4,Settings!$B$16),0,0)</f>
        <v>46350.625</v>
      </c>
      <c r="D510" t="str" cm="1">
        <f t="array" ref="D510">choice(Settings!L:L,1,Settings!$B$16)</f>
        <v/>
      </c>
    </row>
    <row r="511" spans="1:4" ht="15.75" customHeight="1" x14ac:dyDescent="0.25">
      <c r="A511" s="2" t="str" cm="1">
        <f t="array" ref="A511">choice(Salles!A:A,1,Settings!$B$16)</f>
        <v>Salle33</v>
      </c>
      <c r="B511" s="3" cm="1">
        <f t="array" ref="B511">alea_date(Settings!$B$11,360,-1,Settings!$B$16)</f>
        <v>46259.333333333336</v>
      </c>
      <c r="C511" s="20" cm="1">
        <f t="array" ref="C511">B511+TIME(alea_int(1,4,Settings!$B$16),0,0)</f>
        <v>46259.5</v>
      </c>
      <c r="D511" t="str" cm="1">
        <f t="array" ref="D511">choice(Settings!L:L,1,Settings!$B$16)</f>
        <v/>
      </c>
    </row>
    <row r="512" spans="1:4" ht="15.75" customHeight="1" x14ac:dyDescent="0.25">
      <c r="A512" s="2" t="str" cm="1">
        <f t="array" ref="A512">choice(Salles!A:A,1,Settings!$B$16)</f>
        <v>Salle65</v>
      </c>
      <c r="B512" s="3" cm="1">
        <f t="array" ref="B512">alea_date(Settings!$B$11,360,-1,Settings!$B$16)</f>
        <v>46322.583333333336</v>
      </c>
      <c r="C512" s="20" cm="1">
        <f t="array" ref="C512">B512+TIME(alea_int(1,4,Settings!$B$16),0,0)</f>
        <v>46322.75</v>
      </c>
      <c r="D512" t="str" cm="1">
        <f t="array" ref="D512">choice(Settings!L:L,1,Settings!$B$16)</f>
        <v/>
      </c>
    </row>
    <row r="513" spans="1:4" ht="15.75" customHeight="1" x14ac:dyDescent="0.25">
      <c r="A513" s="2" t="str" cm="1">
        <f t="array" ref="A513">choice(Salles!A:A,1,Settings!$B$16)</f>
        <v>Salle25</v>
      </c>
      <c r="B513" s="3" cm="1">
        <f t="array" ref="B513">alea_date(Settings!$B$11,360,-1,Settings!$B$16)</f>
        <v>46332.583333333336</v>
      </c>
      <c r="C513" s="20" cm="1">
        <f t="array" ref="C513">B513+TIME(alea_int(1,4,Settings!$B$16),0,0)</f>
        <v>46332.75</v>
      </c>
      <c r="D513" t="str" cm="1">
        <f t="array" ref="D513">choice(Settings!L:L,1,Settings!$B$16)</f>
        <v/>
      </c>
    </row>
    <row r="514" spans="1:4" ht="15.75" customHeight="1" x14ac:dyDescent="0.25">
      <c r="A514" s="2" t="str" cm="1">
        <f t="array" ref="A514">choice(Salles!A:A,1,Settings!$B$16)</f>
        <v>Salle13</v>
      </c>
      <c r="B514" s="3" cm="1">
        <f t="array" ref="B514">alea_date(Settings!$B$11,360,-1,Settings!$B$16)</f>
        <v>46187.416666666664</v>
      </c>
      <c r="C514" s="20" cm="1">
        <f t="array" ref="C514">B514+TIME(alea_int(1,4,Settings!$B$16),0,0)</f>
        <v>46187.583333333328</v>
      </c>
      <c r="D514" t="str" cm="1">
        <f t="array" ref="D514">choice(Settings!L:L,1,Settings!$B$16)</f>
        <v>mercredi</v>
      </c>
    </row>
    <row r="515" spans="1:4" ht="15.75" customHeight="1" x14ac:dyDescent="0.25">
      <c r="A515" s="2" t="str" cm="1">
        <f t="array" ref="A515">choice(Salles!A:A,1,Settings!$B$16)</f>
        <v>Salle66</v>
      </c>
      <c r="B515" s="3" cm="1">
        <f t="array" ref="B515">alea_date(Settings!$B$11,360,-1,Settings!$B$16)</f>
        <v>46201.541666666664</v>
      </c>
      <c r="C515" s="20" cm="1">
        <f t="array" ref="C515">B515+TIME(alea_int(1,4,Settings!$B$16),0,0)</f>
        <v>46201.708333333328</v>
      </c>
      <c r="D515" t="str" cm="1">
        <f t="array" ref="D515">choice(Settings!L:L,1,Settings!$B$16)</f>
        <v/>
      </c>
    </row>
    <row r="516" spans="1:4" ht="15.75" customHeight="1" x14ac:dyDescent="0.25">
      <c r="A516" s="2" t="str" cm="1">
        <f t="array" ref="A516">choice(Salles!A:A,1,Settings!$B$16)</f>
        <v>Salle33</v>
      </c>
      <c r="B516" s="3" cm="1">
        <f t="array" ref="B516">alea_date(Settings!$B$11,360,-1,Settings!$B$16)</f>
        <v>46104.5</v>
      </c>
      <c r="C516" s="20" cm="1">
        <f t="array" ref="C516">B516+TIME(alea_int(1,4,Settings!$B$16),0,0)</f>
        <v>46104.666666666664</v>
      </c>
      <c r="D516" t="str" cm="1">
        <f t="array" ref="D516">choice(Settings!L:L,1,Settings!$B$16)</f>
        <v/>
      </c>
    </row>
    <row r="517" spans="1:4" ht="15.75" customHeight="1" x14ac:dyDescent="0.25">
      <c r="A517" s="2" t="str" cm="1">
        <f t="array" ref="A517">choice(Salles!A:A,1,Settings!$B$16)</f>
        <v>Salle10</v>
      </c>
      <c r="B517" s="3" cm="1">
        <f t="array" ref="B517">alea_date(Settings!$B$11,360,-1,Settings!$B$16)</f>
        <v>46238.625</v>
      </c>
      <c r="C517" s="20" cm="1">
        <f t="array" ref="C517">B517+TIME(alea_int(1,4,Settings!$B$16),0,0)</f>
        <v>46238.791666666664</v>
      </c>
      <c r="D517" t="str" cm="1">
        <f t="array" ref="D517">choice(Settings!L:L,1,Settings!$B$16)</f>
        <v>mercredi</v>
      </c>
    </row>
    <row r="518" spans="1:4" ht="15.75" customHeight="1" x14ac:dyDescent="0.25">
      <c r="A518" s="2" t="str" cm="1">
        <f t="array" ref="A518">choice(Salles!A:A,1,Settings!$B$16)</f>
        <v>Salle48</v>
      </c>
      <c r="B518" s="3" cm="1">
        <f t="array" ref="B518">alea_date(Settings!$B$11,360,-1,Settings!$B$16)</f>
        <v>46191.5</v>
      </c>
      <c r="C518" s="20" cm="1">
        <f t="array" ref="C518">B518+TIME(alea_int(1,4,Settings!$B$16),0,0)</f>
        <v>46191.666666666664</v>
      </c>
      <c r="D518" t="str" cm="1">
        <f t="array" ref="D518">choice(Settings!L:L,1,Settings!$B$16)</f>
        <v/>
      </c>
    </row>
    <row r="519" spans="1:4" ht="15.75" customHeight="1" x14ac:dyDescent="0.25">
      <c r="A519" s="2" t="str" cm="1">
        <f t="array" ref="A519">choice(Salles!A:A,1,Settings!$B$16)</f>
        <v>Salle67</v>
      </c>
      <c r="B519" s="3" cm="1">
        <f t="array" ref="B519">alea_date(Settings!$B$11,360,-1,Settings!$B$16)</f>
        <v>46052.625</v>
      </c>
      <c r="C519" s="20" cm="1">
        <f t="array" ref="C519">B519+TIME(alea_int(1,4,Settings!$B$16),0,0)</f>
        <v>46052.791666666664</v>
      </c>
      <c r="D519" t="str" cm="1">
        <f t="array" ref="D519">choice(Settings!L:L,1,Settings!$B$16)</f>
        <v/>
      </c>
    </row>
    <row r="520" spans="1:4" ht="15.75" customHeight="1" x14ac:dyDescent="0.25">
      <c r="A520" s="2" t="str" cm="1">
        <f t="array" ref="A520">choice(Salles!A:A,1,Settings!$B$16)</f>
        <v>Salle22</v>
      </c>
      <c r="B520" s="3" cm="1">
        <f t="array" ref="B520">alea_date(Settings!$B$11,360,-1,Settings!$B$16)</f>
        <v>46369.25</v>
      </c>
      <c r="C520" s="20" cm="1">
        <f t="array" ref="C520">B520+TIME(alea_int(1,4,Settings!$B$16),0,0)</f>
        <v>46369.416666666664</v>
      </c>
      <c r="D520" t="str" cm="1">
        <f t="array" ref="D520">choice(Settings!L:L,1,Settings!$B$16)</f>
        <v/>
      </c>
    </row>
    <row r="521" spans="1:4" ht="15.75" customHeight="1" x14ac:dyDescent="0.25">
      <c r="A521" s="2" t="str" cm="1">
        <f t="array" ref="A521">choice(Salles!A:A,1,Settings!$B$16)</f>
        <v>Salle34</v>
      </c>
      <c r="B521" s="3" cm="1">
        <f t="array" ref="B521">alea_date(Settings!$B$11,360,-1,Settings!$B$16)</f>
        <v>46024.25</v>
      </c>
      <c r="C521" s="20" cm="1">
        <f t="array" ref="C521">B521+TIME(alea_int(1,4,Settings!$B$16),0,0)</f>
        <v>46024.416666666664</v>
      </c>
      <c r="D521" t="str" cm="1">
        <f t="array" ref="D521">choice(Settings!L:L,1,Settings!$B$16)</f>
        <v/>
      </c>
    </row>
    <row r="522" spans="1:4" ht="15.75" customHeight="1" x14ac:dyDescent="0.25">
      <c r="A522" s="2" t="str" cm="1">
        <f t="array" ref="A522">choice(Salles!A:A,1,Settings!$B$16)</f>
        <v>Salle46</v>
      </c>
      <c r="B522" s="3" cm="1">
        <f t="array" ref="B522">alea_date(Settings!$B$11,360,-1,Settings!$B$16)</f>
        <v>46261.458333333336</v>
      </c>
      <c r="C522" s="20" cm="1">
        <f t="array" ref="C522">B522+TIME(alea_int(1,4,Settings!$B$16),0,0)</f>
        <v>46261.625</v>
      </c>
      <c r="D522" t="str" cm="1">
        <f t="array" ref="D522">choice(Settings!L:L,1,Settings!$B$16)</f>
        <v/>
      </c>
    </row>
    <row r="523" spans="1:4" ht="15.75" customHeight="1" x14ac:dyDescent="0.25">
      <c r="A523" s="2" t="str" cm="1">
        <f t="array" ref="A523">choice(Salles!A:A,1,Settings!$B$16)</f>
        <v>Salle67</v>
      </c>
      <c r="B523" s="3" cm="1">
        <f t="array" ref="B523">alea_date(Settings!$B$11,360,-1,Settings!$B$16)</f>
        <v>46346.541666666664</v>
      </c>
      <c r="C523" s="20" cm="1">
        <f t="array" ref="C523">B523+TIME(alea_int(1,4,Settings!$B$16),0,0)</f>
        <v>46346.708333333328</v>
      </c>
      <c r="D523" t="str" cm="1">
        <f t="array" ref="D523">choice(Settings!L:L,1,Settings!$B$16)</f>
        <v/>
      </c>
    </row>
    <row r="524" spans="1:4" ht="15.75" customHeight="1" x14ac:dyDescent="0.25">
      <c r="A524" s="2" t="str" cm="1">
        <f t="array" ref="A524">choice(Salles!A:A,1,Settings!$B$16)</f>
        <v>Salle44</v>
      </c>
      <c r="B524" s="3" cm="1">
        <f t="array" ref="B524">alea_date(Settings!$B$11,360,-1,Settings!$B$16)</f>
        <v>46277.458333333336</v>
      </c>
      <c r="C524" s="20" cm="1">
        <f t="array" ref="C524">B524+TIME(alea_int(1,4,Settings!$B$16),0,0)</f>
        <v>46277.625</v>
      </c>
      <c r="D524" t="str" cm="1">
        <f t="array" ref="D524">choice(Settings!L:L,1,Settings!$B$16)</f>
        <v/>
      </c>
    </row>
    <row r="525" spans="1:4" ht="15.75" customHeight="1" x14ac:dyDescent="0.25">
      <c r="A525" s="2" t="str" cm="1">
        <f t="array" ref="A525">choice(Salles!A:A,1,Settings!$B$16)</f>
        <v>Salle4</v>
      </c>
      <c r="B525" s="3" cm="1">
        <f t="array" ref="B525">alea_date(Settings!$B$11,360,-1,Settings!$B$16)</f>
        <v>46120.333333333336</v>
      </c>
      <c r="C525" s="20" cm="1">
        <f t="array" ref="C525">B525+TIME(alea_int(1,4,Settings!$B$16),0,0)</f>
        <v>46120.5</v>
      </c>
      <c r="D525" t="str" cm="1">
        <f t="array" ref="D525">choice(Settings!L:L,1,Settings!$B$16)</f>
        <v/>
      </c>
    </row>
    <row r="526" spans="1:4" ht="15.75" customHeight="1" x14ac:dyDescent="0.25">
      <c r="A526" s="2" t="str" cm="1">
        <f t="array" ref="A526">choice(Salles!A:A,1,Settings!$B$16)</f>
        <v>Salle35</v>
      </c>
      <c r="B526" s="3" cm="1">
        <f t="array" ref="B526">alea_date(Settings!$B$11,360,-1,Settings!$B$16)</f>
        <v>46253.416666666664</v>
      </c>
      <c r="C526" s="20" cm="1">
        <f t="array" ref="C526">B526+TIME(alea_int(1,4,Settings!$B$16),0,0)</f>
        <v>46253.583333333328</v>
      </c>
      <c r="D526" t="str" cm="1">
        <f t="array" ref="D526">choice(Settings!L:L,1,Settings!$B$16)</f>
        <v>vendredi</v>
      </c>
    </row>
    <row r="527" spans="1:4" ht="15.75" customHeight="1" x14ac:dyDescent="0.25">
      <c r="A527" s="2" t="str" cm="1">
        <f t="array" ref="A527">choice(Salles!A:A,1,Settings!$B$16)</f>
        <v>Salle7</v>
      </c>
      <c r="B527" s="3" cm="1">
        <f t="array" ref="B527">alea_date(Settings!$B$11,360,-1,Settings!$B$16)</f>
        <v>46355.541666666664</v>
      </c>
      <c r="C527" s="20" cm="1">
        <f t="array" ref="C527">B527+TIME(alea_int(1,4,Settings!$B$16),0,0)</f>
        <v>46355.708333333328</v>
      </c>
      <c r="D527" t="str" cm="1">
        <f t="array" ref="D527">choice(Settings!L:L,1,Settings!$B$16)</f>
        <v/>
      </c>
    </row>
    <row r="528" spans="1:4" ht="15.75" customHeight="1" x14ac:dyDescent="0.25">
      <c r="A528" s="2" t="str" cm="1">
        <f t="array" ref="A528">choice(Salles!A:A,1,Settings!$B$16)</f>
        <v>Salle47</v>
      </c>
      <c r="B528" s="3" cm="1">
        <f t="array" ref="B528">alea_date(Settings!$B$11,360,-1,Settings!$B$16)</f>
        <v>46157.416666666664</v>
      </c>
      <c r="C528" s="20" cm="1">
        <f t="array" ref="C528">B528+TIME(alea_int(1,4,Settings!$B$16),0,0)</f>
        <v>46157.583333333328</v>
      </c>
      <c r="D528" t="str" cm="1">
        <f t="array" ref="D528">choice(Settings!L:L,1,Settings!$B$16)</f>
        <v/>
      </c>
    </row>
    <row r="529" spans="1:4" ht="15.75" customHeight="1" x14ac:dyDescent="0.25">
      <c r="A529" s="2" t="str" cm="1">
        <f t="array" ref="A529">choice(Salles!A:A,1,Settings!$B$16)</f>
        <v>Salle64</v>
      </c>
      <c r="B529" s="3" cm="1">
        <f t="array" ref="B529">alea_date(Settings!$B$11,360,-1,Settings!$B$16)</f>
        <v>46335.291666666664</v>
      </c>
      <c r="C529" s="20" cm="1">
        <f t="array" ref="C529">B529+TIME(alea_int(1,4,Settings!$B$16),0,0)</f>
        <v>46335.458333333328</v>
      </c>
      <c r="D529" t="str" cm="1">
        <f t="array" ref="D529">choice(Settings!L:L,1,Settings!$B$16)</f>
        <v/>
      </c>
    </row>
    <row r="530" spans="1:4" ht="15.75" customHeight="1" x14ac:dyDescent="0.25">
      <c r="A530" s="2" t="str" cm="1">
        <f t="array" ref="A530">choice(Salles!A:A,1,Settings!$B$16)</f>
        <v>Salle23</v>
      </c>
      <c r="B530" s="3" cm="1">
        <f t="array" ref="B530">alea_date(Settings!$B$11,360,-1,Settings!$B$16)</f>
        <v>46185.291666666664</v>
      </c>
      <c r="C530" s="20" cm="1">
        <f t="array" ref="C530">B530+TIME(alea_int(1,4,Settings!$B$16),0,0)</f>
        <v>46185.458333333328</v>
      </c>
      <c r="D530" t="str" cm="1">
        <f t="array" ref="D530">choice(Settings!L:L,1,Settings!$B$16)</f>
        <v/>
      </c>
    </row>
    <row r="531" spans="1:4" ht="15.75" customHeight="1" x14ac:dyDescent="0.25">
      <c r="A531" s="2" t="str" cm="1">
        <f t="array" ref="A531">choice(Salles!A:A,1,Settings!$B$16)</f>
        <v>Salle23</v>
      </c>
      <c r="B531" s="3" cm="1">
        <f t="array" ref="B531">alea_date(Settings!$B$11,360,-1,Settings!$B$16)</f>
        <v>46356.375</v>
      </c>
      <c r="C531" s="20" cm="1">
        <f t="array" ref="C531">B531+TIME(alea_int(1,4,Settings!$B$16),0,0)</f>
        <v>46356.541666666664</v>
      </c>
      <c r="D531" t="str" cm="1">
        <f t="array" ref="D531">choice(Settings!L:L,1,Settings!$B$16)</f>
        <v/>
      </c>
    </row>
    <row r="532" spans="1:4" ht="15.75" customHeight="1" x14ac:dyDescent="0.25">
      <c r="A532" s="2" t="str" cm="1">
        <f t="array" ref="A532">choice(Salles!A:A,1,Settings!$B$16)</f>
        <v>Salle41</v>
      </c>
      <c r="B532" s="3" cm="1">
        <f t="array" ref="B532">alea_date(Settings!$B$11,360,-1,Settings!$B$16)</f>
        <v>46112.416666666664</v>
      </c>
      <c r="C532" s="20" cm="1">
        <f t="array" ref="C532">B532+TIME(alea_int(1,4,Settings!$B$16),0,0)</f>
        <v>46112.583333333328</v>
      </c>
      <c r="D532" t="str" cm="1">
        <f t="array" ref="D532">choice(Settings!L:L,1,Settings!$B$16)</f>
        <v/>
      </c>
    </row>
    <row r="533" spans="1:4" ht="15.75" customHeight="1" x14ac:dyDescent="0.25">
      <c r="A533" s="2" t="str" cm="1">
        <f t="array" ref="A533">choice(Salles!A:A,1,Settings!$B$16)</f>
        <v>Salle63</v>
      </c>
      <c r="B533" s="3" cm="1">
        <f t="array" ref="B533">alea_date(Settings!$B$11,360,-1,Settings!$B$16)</f>
        <v>46340.416666666664</v>
      </c>
      <c r="C533" s="20" cm="1">
        <f t="array" ref="C533">B533+TIME(alea_int(1,4,Settings!$B$16),0,0)</f>
        <v>46340.583333333328</v>
      </c>
      <c r="D533" t="str" cm="1">
        <f t="array" ref="D533">choice(Settings!L:L,1,Settings!$B$16)</f>
        <v/>
      </c>
    </row>
    <row r="534" spans="1:4" ht="15.75" customHeight="1" x14ac:dyDescent="0.25">
      <c r="A534" s="2" t="str" cm="1">
        <f t="array" ref="A534">choice(Salles!A:A,1,Settings!$B$16)</f>
        <v>Salle27</v>
      </c>
      <c r="B534" s="3" cm="1">
        <f t="array" ref="B534">alea_date(Settings!$B$11,360,-1,Settings!$B$16)</f>
        <v>46181.625</v>
      </c>
      <c r="C534" s="20" cm="1">
        <f t="array" ref="C534">B534+TIME(alea_int(1,4,Settings!$B$16),0,0)</f>
        <v>46181.791666666664</v>
      </c>
      <c r="D534" t="str" cm="1">
        <f t="array" ref="D534">choice(Settings!L:L,1,Settings!$B$16)</f>
        <v>mercredi</v>
      </c>
    </row>
    <row r="535" spans="1:4" ht="15.75" customHeight="1" x14ac:dyDescent="0.25">
      <c r="A535" s="2" t="str" cm="1">
        <f t="array" ref="A535">choice(Salles!A:A,1,Settings!$B$16)</f>
        <v>Salle20</v>
      </c>
      <c r="B535" s="3" cm="1">
        <f t="array" ref="B535">alea_date(Settings!$B$11,360,-1,Settings!$B$16)</f>
        <v>46282.458333333336</v>
      </c>
      <c r="C535" s="20" cm="1">
        <f t="array" ref="C535">B535+TIME(alea_int(1,4,Settings!$B$16),0,0)</f>
        <v>46282.625</v>
      </c>
      <c r="D535" t="str" cm="1">
        <f t="array" ref="D535">choice(Settings!L:L,1,Settings!$B$16)</f>
        <v/>
      </c>
    </row>
    <row r="536" spans="1:4" ht="15.75" customHeight="1" x14ac:dyDescent="0.25">
      <c r="A536" s="2" t="str" cm="1">
        <f t="array" ref="A536">choice(Salles!A:A,1,Settings!$B$16)</f>
        <v>Salle35</v>
      </c>
      <c r="B536" s="3" cm="1">
        <f t="array" ref="B536">alea_date(Settings!$B$11,360,-1,Settings!$B$16)</f>
        <v>46133.25</v>
      </c>
      <c r="C536" s="20" cm="1">
        <f t="array" ref="C536">B536+TIME(alea_int(1,4,Settings!$B$16),0,0)</f>
        <v>46133.416666666664</v>
      </c>
      <c r="D536" t="str" cm="1">
        <f t="array" ref="D536">choice(Settings!L:L,1,Settings!$B$16)</f>
        <v/>
      </c>
    </row>
    <row r="537" spans="1:4" ht="15.75" customHeight="1" x14ac:dyDescent="0.25">
      <c r="A537" s="2" t="str" cm="1">
        <f t="array" ref="A537">choice(Salles!A:A,1,Settings!$B$16)</f>
        <v>Salle21</v>
      </c>
      <c r="B537" s="3" cm="1">
        <f t="array" ref="B537">alea_date(Settings!$B$11,360,-1,Settings!$B$16)</f>
        <v>46199.5</v>
      </c>
      <c r="C537" s="20" cm="1">
        <f t="array" ref="C537">B537+TIME(alea_int(1,4,Settings!$B$16),0,0)</f>
        <v>46199.666666666664</v>
      </c>
      <c r="D537" t="str" cm="1">
        <f t="array" ref="D537">choice(Settings!L:L,1,Settings!$B$16)</f>
        <v/>
      </c>
    </row>
    <row r="538" spans="1:4" ht="15.75" customHeight="1" x14ac:dyDescent="0.25">
      <c r="A538" s="2" t="str" cm="1">
        <f t="array" ref="A538">choice(Salles!A:A,1,Settings!$B$16)</f>
        <v>Salle41</v>
      </c>
      <c r="B538" s="3" cm="1">
        <f t="array" ref="B538">alea_date(Settings!$B$11,360,-1,Settings!$B$16)</f>
        <v>46034.541666666664</v>
      </c>
      <c r="C538" s="20" cm="1">
        <f t="array" ref="C538">B538+TIME(alea_int(1,4,Settings!$B$16),0,0)</f>
        <v>46034.708333333328</v>
      </c>
      <c r="D538" t="str" cm="1">
        <f t="array" ref="D538">choice(Settings!L:L,1,Settings!$B$16)</f>
        <v/>
      </c>
    </row>
    <row r="539" spans="1:4" ht="15.75" customHeight="1" x14ac:dyDescent="0.25">
      <c r="A539" s="2" t="str" cm="1">
        <f t="array" ref="A539">choice(Salles!A:A,1,Settings!$B$16)</f>
        <v>Salle68</v>
      </c>
      <c r="B539" s="3" cm="1">
        <f t="array" ref="B539">alea_date(Settings!$B$11,360,-1,Settings!$B$16)</f>
        <v>46376.583333333336</v>
      </c>
      <c r="C539" s="20" cm="1">
        <f t="array" ref="C539">B539+TIME(alea_int(1,4,Settings!$B$16),0,0)</f>
        <v>46376.75</v>
      </c>
      <c r="D539" t="str" cm="1">
        <f t="array" ref="D539">choice(Settings!L:L,1,Settings!$B$16)</f>
        <v/>
      </c>
    </row>
    <row r="540" spans="1:4" ht="15.75" customHeight="1" x14ac:dyDescent="0.25">
      <c r="A540" s="2" t="str" cm="1">
        <f t="array" ref="A540">choice(Salles!A:A,1,Settings!$B$16)</f>
        <v>Salle32</v>
      </c>
      <c r="B540" s="3" cm="1">
        <f t="array" ref="B540">alea_date(Settings!$B$11,360,-1,Settings!$B$16)</f>
        <v>46243.375</v>
      </c>
      <c r="C540" s="20" cm="1">
        <f t="array" ref="C540">B540+TIME(alea_int(1,4,Settings!$B$16),0,0)</f>
        <v>46243.541666666664</v>
      </c>
      <c r="D540" t="str" cm="1">
        <f t="array" ref="D540">choice(Settings!L:L,1,Settings!$B$16)</f>
        <v/>
      </c>
    </row>
    <row r="541" spans="1:4" ht="15.75" customHeight="1" x14ac:dyDescent="0.25">
      <c r="A541" s="2" t="str" cm="1">
        <f t="array" ref="A541">choice(Salles!A:A,1,Settings!$B$16)</f>
        <v>Salle69</v>
      </c>
      <c r="B541" s="3" cm="1">
        <f t="array" ref="B541">alea_date(Settings!$B$11,360,-1,Settings!$B$16)</f>
        <v>46067.458333333336</v>
      </c>
      <c r="C541" s="20" cm="1">
        <f t="array" ref="C541">B541+TIME(alea_int(1,4,Settings!$B$16),0,0)</f>
        <v>46067.625</v>
      </c>
      <c r="D541" t="str" cm="1">
        <f t="array" ref="D541">choice(Settings!L:L,1,Settings!$B$16)</f>
        <v/>
      </c>
    </row>
    <row r="542" spans="1:4" ht="15.75" customHeight="1" x14ac:dyDescent="0.25">
      <c r="A542" s="2" t="str" cm="1">
        <f t="array" ref="A542">choice(Salles!A:A,1,Settings!$B$16)</f>
        <v>Salle9</v>
      </c>
      <c r="B542" s="3" cm="1">
        <f t="array" ref="B542">alea_date(Settings!$B$11,360,-1,Settings!$B$16)</f>
        <v>46307.583333333336</v>
      </c>
      <c r="C542" s="20" cm="1">
        <f t="array" ref="C542">B542+TIME(alea_int(1,4,Settings!$B$16),0,0)</f>
        <v>46307.75</v>
      </c>
      <c r="D542" t="str" cm="1">
        <f t="array" ref="D542">choice(Settings!L:L,1,Settings!$B$16)</f>
        <v/>
      </c>
    </row>
    <row r="543" spans="1:4" ht="15.75" customHeight="1" x14ac:dyDescent="0.25">
      <c r="A543" s="2" t="str" cm="1">
        <f t="array" ref="A543">choice(Salles!A:A,1,Settings!$B$16)</f>
        <v>Salle49</v>
      </c>
      <c r="B543" s="3" cm="1">
        <f t="array" ref="B543">alea_date(Settings!$B$11,360,-1,Settings!$B$16)</f>
        <v>46211.333333333336</v>
      </c>
      <c r="C543" s="20" cm="1">
        <f t="array" ref="C543">B543+TIME(alea_int(1,4,Settings!$B$16),0,0)</f>
        <v>46211.5</v>
      </c>
      <c r="D543" t="str" cm="1">
        <f t="array" ref="D543">choice(Settings!L:L,1,Settings!$B$16)</f>
        <v/>
      </c>
    </row>
    <row r="544" spans="1:4" ht="15.75" customHeight="1" x14ac:dyDescent="0.25">
      <c r="A544" s="2" t="str" cm="1">
        <f t="array" ref="A544">choice(Salles!A:A,1,Settings!$B$16)</f>
        <v>Salle34</v>
      </c>
      <c r="B544" s="3" cm="1">
        <f t="array" ref="B544">alea_date(Settings!$B$11,360,-1,Settings!$B$16)</f>
        <v>46277.583333333336</v>
      </c>
      <c r="C544" s="20" cm="1">
        <f t="array" ref="C544">B544+TIME(alea_int(1,4,Settings!$B$16),0,0)</f>
        <v>46277.75</v>
      </c>
      <c r="D544" t="str" cm="1">
        <f t="array" ref="D544">choice(Settings!L:L,1,Settings!$B$16)</f>
        <v>mardi</v>
      </c>
    </row>
    <row r="545" spans="1:4" ht="15.75" customHeight="1" x14ac:dyDescent="0.25">
      <c r="A545" s="2" t="str" cm="1">
        <f t="array" ref="A545">choice(Salles!A:A,1,Settings!$B$16)</f>
        <v>Salle3</v>
      </c>
      <c r="B545" s="3" cm="1">
        <f t="array" ref="B545">alea_date(Settings!$B$11,360,-1,Settings!$B$16)</f>
        <v>46288.416666666664</v>
      </c>
      <c r="C545" s="20" cm="1">
        <f t="array" ref="C545">B545+TIME(alea_int(1,4,Settings!$B$16),0,0)</f>
        <v>46288.583333333328</v>
      </c>
      <c r="D545" t="str" cm="1">
        <f t="array" ref="D545">choice(Settings!L:L,1,Settings!$B$16)</f>
        <v>jeudi</v>
      </c>
    </row>
    <row r="546" spans="1:4" ht="15.75" customHeight="1" x14ac:dyDescent="0.25">
      <c r="A546" s="2" t="str" cm="1">
        <f t="array" ref="A546">choice(Salles!A:A,1,Settings!$B$16)</f>
        <v>Salle14</v>
      </c>
      <c r="B546" s="3" cm="1">
        <f t="array" ref="B546">alea_date(Settings!$B$11,360,-1,Settings!$B$16)</f>
        <v>46351.416666666664</v>
      </c>
      <c r="C546" s="20" cm="1">
        <f t="array" ref="C546">B546+TIME(alea_int(1,4,Settings!$B$16),0,0)</f>
        <v>46351.583333333328</v>
      </c>
      <c r="D546" t="str" cm="1">
        <f t="array" ref="D546">choice(Settings!L:L,1,Settings!$B$16)</f>
        <v/>
      </c>
    </row>
    <row r="547" spans="1:4" ht="15.75" customHeight="1" x14ac:dyDescent="0.25">
      <c r="A547" s="2" t="str" cm="1">
        <f t="array" ref="A547">choice(Salles!A:A,1,Settings!$B$16)</f>
        <v>Salle12</v>
      </c>
      <c r="B547" s="3" cm="1">
        <f t="array" ref="B547">alea_date(Settings!$B$11,360,-1,Settings!$B$16)</f>
        <v>46287.25</v>
      </c>
      <c r="C547" s="20" cm="1">
        <f t="array" ref="C547">B547+TIME(alea_int(1,4,Settings!$B$16),0,0)</f>
        <v>46287.416666666664</v>
      </c>
      <c r="D547" t="str" cm="1">
        <f t="array" ref="D547">choice(Settings!L:L,1,Settings!$B$16)</f>
        <v/>
      </c>
    </row>
    <row r="548" spans="1:4" ht="15.75" customHeight="1" x14ac:dyDescent="0.25">
      <c r="A548" s="2" t="str" cm="1">
        <f t="array" ref="A548">choice(Salles!A:A,1,Settings!$B$16)</f>
        <v>Salle70</v>
      </c>
      <c r="B548" s="3" cm="1">
        <f t="array" ref="B548">alea_date(Settings!$B$11,360,-1,Settings!$B$16)</f>
        <v>46218.25</v>
      </c>
      <c r="C548" s="20" cm="1">
        <f t="array" ref="C548">B548+TIME(alea_int(1,4,Settings!$B$16),0,0)</f>
        <v>46218.416666666664</v>
      </c>
      <c r="D548" t="str" cm="1">
        <f t="array" ref="D548">choice(Settings!L:L,1,Settings!$B$16)</f>
        <v/>
      </c>
    </row>
    <row r="549" spans="1:4" ht="15.75" customHeight="1" x14ac:dyDescent="0.25">
      <c r="A549" s="2" t="str" cm="1">
        <f t="array" ref="A549">choice(Salles!A:A,1,Settings!$B$16)</f>
        <v>Salle50</v>
      </c>
      <c r="B549" s="3" cm="1">
        <f t="array" ref="B549">alea_date(Settings!$B$11,360,-1,Settings!$B$16)</f>
        <v>46116.5</v>
      </c>
      <c r="C549" s="20" cm="1">
        <f t="array" ref="C549">B549+TIME(alea_int(1,4,Settings!$B$16),0,0)</f>
        <v>46116.666666666664</v>
      </c>
      <c r="D549" t="str" cm="1">
        <f t="array" ref="D549">choice(Settings!L:L,1,Settings!$B$16)</f>
        <v/>
      </c>
    </row>
    <row r="550" spans="1:4" ht="15.75" customHeight="1" x14ac:dyDescent="0.25">
      <c r="A550" s="2" t="str" cm="1">
        <f t="array" ref="A550">choice(Salles!A:A,1,Settings!$B$16)</f>
        <v>Salle20</v>
      </c>
      <c r="B550" s="3" cm="1">
        <f t="array" ref="B550">alea_date(Settings!$B$11,360,-1,Settings!$B$16)</f>
        <v>46203.25</v>
      </c>
      <c r="C550" s="20" cm="1">
        <f t="array" ref="C550">B550+TIME(alea_int(1,4,Settings!$B$16),0,0)</f>
        <v>46203.416666666664</v>
      </c>
      <c r="D550" t="str" cm="1">
        <f t="array" ref="D550">choice(Settings!L:L,1,Settings!$B$16)</f>
        <v/>
      </c>
    </row>
    <row r="551" spans="1:4" ht="15.75" customHeight="1" x14ac:dyDescent="0.25">
      <c r="A551" s="2" t="str" cm="1">
        <f t="array" ref="A551">choice(Salles!A:A,1,Settings!$B$16)</f>
        <v>Salle60</v>
      </c>
      <c r="B551" s="3" cm="1">
        <f t="array" ref="B551">alea_date(Settings!$B$11,360,-1,Settings!$B$16)</f>
        <v>46157.416666666664</v>
      </c>
      <c r="C551" s="20" cm="1">
        <f t="array" ref="C551">B551+TIME(alea_int(1,4,Settings!$B$16),0,0)</f>
        <v>46157.583333333328</v>
      </c>
      <c r="D551" t="str" cm="1">
        <f t="array" ref="D551">choice(Settings!L:L,1,Settings!$B$16)</f>
        <v/>
      </c>
    </row>
    <row r="552" spans="1:4" ht="15.75" customHeight="1" x14ac:dyDescent="0.25">
      <c r="A552" s="2" t="str" cm="1">
        <f t="array" ref="A552">choice(Salles!A:A,1,Settings!$B$16)</f>
        <v>Salle47</v>
      </c>
      <c r="B552" s="3" cm="1">
        <f t="array" ref="B552">alea_date(Settings!$B$11,360,-1,Settings!$B$16)</f>
        <v>46102.333333333336</v>
      </c>
      <c r="C552" s="20" cm="1">
        <f t="array" ref="C552">B552+TIME(alea_int(1,4,Settings!$B$16),0,0)</f>
        <v>46102.5</v>
      </c>
      <c r="D552" t="str" cm="1">
        <f t="array" ref="D552">choice(Settings!L:L,1,Settings!$B$16)</f>
        <v/>
      </c>
    </row>
    <row r="553" spans="1:4" ht="15.75" customHeight="1" x14ac:dyDescent="0.25">
      <c r="A553" s="2" t="str" cm="1">
        <f t="array" ref="A553">choice(Salles!A:A,1,Settings!$B$16)</f>
        <v>Salle33</v>
      </c>
      <c r="B553" s="3" cm="1">
        <f t="array" ref="B553">alea_date(Settings!$B$11,360,-1,Settings!$B$16)</f>
        <v>46104.583333333336</v>
      </c>
      <c r="C553" s="20" cm="1">
        <f t="array" ref="C553">B553+TIME(alea_int(1,4,Settings!$B$16),0,0)</f>
        <v>46104.75</v>
      </c>
      <c r="D553" t="str" cm="1">
        <f t="array" ref="D553">choice(Settings!L:L,1,Settings!$B$16)</f>
        <v/>
      </c>
    </row>
    <row r="554" spans="1:4" ht="15.75" customHeight="1" x14ac:dyDescent="0.25">
      <c r="A554" s="2" t="str" cm="1">
        <f t="array" ref="A554">choice(Salles!A:A,1,Settings!$B$16)</f>
        <v>Salle36</v>
      </c>
      <c r="B554" s="3" cm="1">
        <f t="array" ref="B554">alea_date(Settings!$B$11,360,-1,Settings!$B$16)</f>
        <v>46037.625</v>
      </c>
      <c r="C554" s="20" cm="1">
        <f t="array" ref="C554">B554+TIME(alea_int(1,4,Settings!$B$16),0,0)</f>
        <v>46037.791666666664</v>
      </c>
      <c r="D554" t="str" cm="1">
        <f t="array" ref="D554">choice(Settings!L:L,1,Settings!$B$16)</f>
        <v/>
      </c>
    </row>
    <row r="555" spans="1:4" ht="15.75" customHeight="1" x14ac:dyDescent="0.25">
      <c r="A555" s="2" t="str" cm="1">
        <f t="array" ref="A555">choice(Salles!A:A,1,Settings!$B$16)</f>
        <v>Salle70</v>
      </c>
      <c r="B555" s="3" cm="1">
        <f t="array" ref="B555">alea_date(Settings!$B$11,360,-1,Settings!$B$16)</f>
        <v>46125.333333333336</v>
      </c>
      <c r="C555" s="20" cm="1">
        <f t="array" ref="C555">B555+TIME(alea_int(1,4,Settings!$B$16),0,0)</f>
        <v>46125.5</v>
      </c>
      <c r="D555" t="str" cm="1">
        <f t="array" ref="D555">choice(Settings!L:L,1,Settings!$B$16)</f>
        <v>lundi</v>
      </c>
    </row>
    <row r="556" spans="1:4" ht="15.75" customHeight="1" x14ac:dyDescent="0.25">
      <c r="A556" s="2" t="str" cm="1">
        <f t="array" ref="A556">choice(Salles!A:A,1,Settings!$B$16)</f>
        <v>Salle44</v>
      </c>
      <c r="B556" s="3" cm="1">
        <f t="array" ref="B556">alea_date(Settings!$B$11,360,-1,Settings!$B$16)</f>
        <v>46270.458333333336</v>
      </c>
      <c r="C556" s="20" cm="1">
        <f t="array" ref="C556">B556+TIME(alea_int(1,4,Settings!$B$16),0,0)</f>
        <v>46270.625</v>
      </c>
      <c r="D556" t="str" cm="1">
        <f t="array" ref="D556">choice(Settings!L:L,1,Settings!$B$16)</f>
        <v/>
      </c>
    </row>
    <row r="557" spans="1:4" ht="15.75" customHeight="1" x14ac:dyDescent="0.25">
      <c r="A557" s="2" t="str" cm="1">
        <f t="array" ref="A557">choice(Salles!A:A,1,Settings!$B$16)</f>
        <v>Salle25</v>
      </c>
      <c r="B557" s="3" cm="1">
        <f t="array" ref="B557">alea_date(Settings!$B$11,360,-1,Settings!$B$16)</f>
        <v>46140.333333333336</v>
      </c>
      <c r="C557" s="20" cm="1">
        <f t="array" ref="C557">B557+TIME(alea_int(1,4,Settings!$B$16),0,0)</f>
        <v>46140.5</v>
      </c>
      <c r="D557" t="str" cm="1">
        <f t="array" ref="D557">choice(Settings!L:L,1,Settings!$B$16)</f>
        <v/>
      </c>
    </row>
    <row r="558" spans="1:4" ht="15.75" customHeight="1" x14ac:dyDescent="0.25">
      <c r="A558" s="2" t="str" cm="1">
        <f t="array" ref="A558">choice(Salles!A:A,1,Settings!$B$16)</f>
        <v>Salle18</v>
      </c>
      <c r="B558" s="3" cm="1">
        <f t="array" ref="B558">alea_date(Settings!$B$11,360,-1,Settings!$B$16)</f>
        <v>46051.458333333336</v>
      </c>
      <c r="C558" s="20" cm="1">
        <f t="array" ref="C558">B558+TIME(alea_int(1,4,Settings!$B$16),0,0)</f>
        <v>46051.625</v>
      </c>
      <c r="D558" t="str" cm="1">
        <f t="array" ref="D558">choice(Settings!L:L,1,Settings!$B$16)</f>
        <v/>
      </c>
    </row>
    <row r="559" spans="1:4" ht="15.75" customHeight="1" x14ac:dyDescent="0.25">
      <c r="A559" s="2" t="str" cm="1">
        <f t="array" ref="A559">choice(Salles!A:A,1,Settings!$B$16)</f>
        <v>Salle37</v>
      </c>
      <c r="B559" s="3" cm="1">
        <f t="array" ref="B559">alea_date(Settings!$B$11,360,-1,Settings!$B$16)</f>
        <v>46105.416666666664</v>
      </c>
      <c r="C559" s="20" cm="1">
        <f t="array" ref="C559">B559+TIME(alea_int(1,4,Settings!$B$16),0,0)</f>
        <v>46105.583333333328</v>
      </c>
      <c r="D559" t="str" cm="1">
        <f t="array" ref="D559">choice(Settings!L:L,1,Settings!$B$16)</f>
        <v/>
      </c>
    </row>
    <row r="560" spans="1:4" ht="15.75" customHeight="1" x14ac:dyDescent="0.25">
      <c r="A560" s="2" t="str" cm="1">
        <f t="array" ref="A560">choice(Salles!A:A,1,Settings!$B$16)</f>
        <v>Salle50</v>
      </c>
      <c r="B560" s="3" cm="1">
        <f t="array" ref="B560">alea_date(Settings!$B$11,360,-1,Settings!$B$16)</f>
        <v>46207.625</v>
      </c>
      <c r="C560" s="20" cm="1">
        <f t="array" ref="C560">B560+TIME(alea_int(1,4,Settings!$B$16),0,0)</f>
        <v>46207.791666666664</v>
      </c>
      <c r="D560" t="str" cm="1">
        <f t="array" ref="D560">choice(Settings!L:L,1,Settings!$B$16)</f>
        <v/>
      </c>
    </row>
    <row r="561" spans="1:4" ht="15.75" customHeight="1" x14ac:dyDescent="0.25">
      <c r="A561" s="2" t="str" cm="1">
        <f t="array" ref="A561">choice(Salles!A:A,1,Settings!$B$16)</f>
        <v>Salle36</v>
      </c>
      <c r="B561" s="3" cm="1">
        <f t="array" ref="B561">alea_date(Settings!$B$11,360,-1,Settings!$B$16)</f>
        <v>46106.333333333336</v>
      </c>
      <c r="C561" s="20" cm="1">
        <f t="array" ref="C561">B561+TIME(alea_int(1,4,Settings!$B$16),0,0)</f>
        <v>46106.5</v>
      </c>
      <c r="D561" t="str" cm="1">
        <f t="array" ref="D561">choice(Settings!L:L,1,Settings!$B$16)</f>
        <v>mercredi</v>
      </c>
    </row>
    <row r="562" spans="1:4" ht="15.75" customHeight="1" x14ac:dyDescent="0.25">
      <c r="A562" s="2" t="str" cm="1">
        <f t="array" ref="A562">choice(Salles!A:A,1,Settings!$B$16)</f>
        <v>Salle18</v>
      </c>
      <c r="B562" s="3" cm="1">
        <f t="array" ref="B562">alea_date(Settings!$B$11,360,-1,Settings!$B$16)</f>
        <v>46153.291666666664</v>
      </c>
      <c r="C562" s="20" cm="1">
        <f t="array" ref="C562">B562+TIME(alea_int(1,4,Settings!$B$16),0,0)</f>
        <v>46153.458333333328</v>
      </c>
      <c r="D562" t="str" cm="1">
        <f t="array" ref="D562">choice(Settings!L:L,1,Settings!$B$16)</f>
        <v/>
      </c>
    </row>
    <row r="563" spans="1:4" ht="15.75" customHeight="1" x14ac:dyDescent="0.25">
      <c r="A563" s="2" t="str" cm="1">
        <f t="array" ref="A563">choice(Salles!A:A,1,Settings!$B$16)</f>
        <v>Salle59</v>
      </c>
      <c r="B563" s="3" cm="1">
        <f t="array" ref="B563">alea_date(Settings!$B$11,360,-1,Settings!$B$16)</f>
        <v>46210.291666666664</v>
      </c>
      <c r="C563" s="20" cm="1">
        <f t="array" ref="C563">B563+TIME(alea_int(1,4,Settings!$B$16),0,0)</f>
        <v>46210.458333333328</v>
      </c>
      <c r="D563" t="str" cm="1">
        <f t="array" ref="D563">choice(Settings!L:L,1,Settings!$B$16)</f>
        <v/>
      </c>
    </row>
    <row r="564" spans="1:4" ht="15.75" customHeight="1" x14ac:dyDescent="0.25">
      <c r="A564" s="2" t="str" cm="1">
        <f t="array" ref="A564">choice(Salles!A:A,1,Settings!$B$16)</f>
        <v>Salle56</v>
      </c>
      <c r="B564" s="3" cm="1">
        <f t="array" ref="B564">alea_date(Settings!$B$11,360,-1,Settings!$B$16)</f>
        <v>46114.375</v>
      </c>
      <c r="C564" s="20" cm="1">
        <f t="array" ref="C564">B564+TIME(alea_int(1,4,Settings!$B$16),0,0)</f>
        <v>46114.541666666664</v>
      </c>
      <c r="D564" t="str" cm="1">
        <f t="array" ref="D564">choice(Settings!L:L,1,Settings!$B$16)</f>
        <v>lundi</v>
      </c>
    </row>
    <row r="565" spans="1:4" ht="15.75" customHeight="1" x14ac:dyDescent="0.25">
      <c r="A565" s="2" t="str" cm="1">
        <f t="array" ref="A565">choice(Salles!A:A,1,Settings!$B$16)</f>
        <v>Salle14</v>
      </c>
      <c r="B565" s="3" cm="1">
        <f t="array" ref="B565">alea_date(Settings!$B$11,360,-1,Settings!$B$16)</f>
        <v>46298.416666666664</v>
      </c>
      <c r="C565" s="20" cm="1">
        <f t="array" ref="C565">B565+TIME(alea_int(1,4,Settings!$B$16),0,0)</f>
        <v>46298.583333333328</v>
      </c>
      <c r="D565" t="str" cm="1">
        <f t="array" ref="D565">choice(Settings!L:L,1,Settings!$B$16)</f>
        <v/>
      </c>
    </row>
    <row r="566" spans="1:4" ht="15.75" customHeight="1" x14ac:dyDescent="0.25">
      <c r="A566" s="2" t="str" cm="1">
        <f t="array" ref="A566">choice(Salles!A:A,1,Settings!$B$16)</f>
        <v>Salle34</v>
      </c>
      <c r="B566" s="3" cm="1">
        <f t="array" ref="B566">alea_date(Settings!$B$11,360,-1,Settings!$B$16)</f>
        <v>46136.625</v>
      </c>
      <c r="C566" s="20" cm="1">
        <f t="array" ref="C566">B566+TIME(alea_int(1,4,Settings!$B$16),0,0)</f>
        <v>46136.791666666664</v>
      </c>
      <c r="D566" t="str" cm="1">
        <f t="array" ref="D566">choice(Settings!L:L,1,Settings!$B$16)</f>
        <v>vendredi</v>
      </c>
    </row>
    <row r="567" spans="1:4" ht="15.75" customHeight="1" x14ac:dyDescent="0.25">
      <c r="A567" s="2" t="str" cm="1">
        <f t="array" ref="A567">choice(Salles!A:A,1,Settings!$B$16)</f>
        <v>Salle54</v>
      </c>
      <c r="B567" s="3" cm="1">
        <f t="array" ref="B567">alea_date(Settings!$B$11,360,-1,Settings!$B$16)</f>
        <v>46166.375</v>
      </c>
      <c r="C567" s="20" cm="1">
        <f t="array" ref="C567">B567+TIME(alea_int(1,4,Settings!$B$16),0,0)</f>
        <v>46166.541666666664</v>
      </c>
      <c r="D567" t="str" cm="1">
        <f t="array" ref="D567">choice(Settings!L:L,1,Settings!$B$16)</f>
        <v/>
      </c>
    </row>
    <row r="568" spans="1:4" ht="15.75" customHeight="1" x14ac:dyDescent="0.25">
      <c r="A568" s="2" t="str" cm="1">
        <f t="array" ref="A568">choice(Salles!A:A,1,Settings!$B$16)</f>
        <v>Salle17</v>
      </c>
      <c r="B568" s="3" cm="1">
        <f t="array" ref="B568">alea_date(Settings!$B$11,360,-1,Settings!$B$16)</f>
        <v>46350.291666666664</v>
      </c>
      <c r="C568" s="20" cm="1">
        <f t="array" ref="C568">B568+TIME(alea_int(1,4,Settings!$B$16),0,0)</f>
        <v>46350.458333333328</v>
      </c>
      <c r="D568" t="str" cm="1">
        <f t="array" ref="D568">choice(Settings!L:L,1,Settings!$B$16)</f>
        <v/>
      </c>
    </row>
    <row r="569" spans="1:4" ht="15.75" customHeight="1" x14ac:dyDescent="0.25">
      <c r="A569" s="2" t="str" cm="1">
        <f t="array" ref="A569">choice(Salles!A:A,1,Settings!$B$16)</f>
        <v>Salle11</v>
      </c>
      <c r="B569" s="3" cm="1">
        <f t="array" ref="B569">alea_date(Settings!$B$11,360,-1,Settings!$B$16)</f>
        <v>46183.541666666664</v>
      </c>
      <c r="C569" s="20" cm="1">
        <f t="array" ref="C569">B569+TIME(alea_int(1,4,Settings!$B$16),0,0)</f>
        <v>46183.708333333328</v>
      </c>
      <c r="D569" t="str" cm="1">
        <f t="array" ref="D569">choice(Settings!L:L,1,Settings!$B$16)</f>
        <v/>
      </c>
    </row>
    <row r="570" spans="1:4" ht="15.75" customHeight="1" x14ac:dyDescent="0.25">
      <c r="A570" s="2" t="str" cm="1">
        <f t="array" ref="A570">choice(Salles!A:A,1,Settings!$B$16)</f>
        <v>Salle46</v>
      </c>
      <c r="B570" s="3" cm="1">
        <f t="array" ref="B570">alea_date(Settings!$B$11,360,-1,Settings!$B$16)</f>
        <v>46282.416666666664</v>
      </c>
      <c r="C570" s="20" cm="1">
        <f t="array" ref="C570">B570+TIME(alea_int(1,4,Settings!$B$16),0,0)</f>
        <v>46282.583333333328</v>
      </c>
      <c r="D570" t="str" cm="1">
        <f t="array" ref="D570">choice(Settings!L:L,1,Settings!$B$16)</f>
        <v/>
      </c>
    </row>
    <row r="571" spans="1:4" ht="15.75" customHeight="1" x14ac:dyDescent="0.25">
      <c r="A571" s="2" t="str" cm="1">
        <f t="array" ref="A571">choice(Salles!A:A,1,Settings!$B$16)</f>
        <v>Salle3</v>
      </c>
      <c r="B571" s="3" cm="1">
        <f t="array" ref="B571">alea_date(Settings!$B$11,360,-1,Settings!$B$16)</f>
        <v>46062.333333333336</v>
      </c>
      <c r="C571" s="20" cm="1">
        <f t="array" ref="C571">B571+TIME(alea_int(1,4,Settings!$B$16),0,0)</f>
        <v>46062.5</v>
      </c>
      <c r="D571" t="str" cm="1">
        <f t="array" ref="D571">choice(Settings!L:L,1,Settings!$B$16)</f>
        <v/>
      </c>
    </row>
    <row r="572" spans="1:4" ht="15.75" customHeight="1" x14ac:dyDescent="0.25">
      <c r="A572" s="2" t="str" cm="1">
        <f t="array" ref="A572">choice(Salles!A:A,1,Settings!$B$16)</f>
        <v>Salle22</v>
      </c>
      <c r="B572" s="3" cm="1">
        <f t="array" ref="B572">alea_date(Settings!$B$11,360,-1,Settings!$B$16)</f>
        <v>46241.416666666664</v>
      </c>
      <c r="C572" s="20" cm="1">
        <f t="array" ref="C572">B572+TIME(alea_int(1,4,Settings!$B$16),0,0)</f>
        <v>46241.583333333328</v>
      </c>
      <c r="D572" t="str" cm="1">
        <f t="array" ref="D572">choice(Settings!L:L,1,Settings!$B$16)</f>
        <v/>
      </c>
    </row>
    <row r="573" spans="1:4" ht="15.75" customHeight="1" x14ac:dyDescent="0.25">
      <c r="A573" s="2" t="str" cm="1">
        <f t="array" ref="A573">choice(Salles!A:A,1,Settings!$B$16)</f>
        <v>Salle70</v>
      </c>
      <c r="B573" s="3" cm="1">
        <f t="array" ref="B573">alea_date(Settings!$B$11,360,-1,Settings!$B$16)</f>
        <v>46317.541666666664</v>
      </c>
      <c r="C573" s="20" cm="1">
        <f t="array" ref="C573">B573+TIME(alea_int(1,4,Settings!$B$16),0,0)</f>
        <v>46317.708333333328</v>
      </c>
      <c r="D573" t="str" cm="1">
        <f t="array" ref="D573">choice(Settings!L:L,1,Settings!$B$16)</f>
        <v/>
      </c>
    </row>
    <row r="574" spans="1:4" ht="15.75" customHeight="1" x14ac:dyDescent="0.25">
      <c r="A574" s="2" t="str" cm="1">
        <f t="array" ref="A574">choice(Salles!A:A,1,Settings!$B$16)</f>
        <v>Salle10</v>
      </c>
      <c r="B574" s="3" cm="1">
        <f t="array" ref="B574">alea_date(Settings!$B$11,360,-1,Settings!$B$16)</f>
        <v>46372.291666666664</v>
      </c>
      <c r="C574" s="20" cm="1">
        <f t="array" ref="C574">B574+TIME(alea_int(1,4,Settings!$B$16),0,0)</f>
        <v>46372.458333333328</v>
      </c>
      <c r="D574" t="str" cm="1">
        <f t="array" ref="D574">choice(Settings!L:L,1,Settings!$B$16)</f>
        <v/>
      </c>
    </row>
    <row r="575" spans="1:4" ht="15.75" customHeight="1" x14ac:dyDescent="0.25">
      <c r="A575" s="2" t="str" cm="1">
        <f t="array" ref="A575">choice(Salles!A:A,1,Settings!$B$16)</f>
        <v>Salle36</v>
      </c>
      <c r="B575" s="3" cm="1">
        <f t="array" ref="B575">alea_date(Settings!$B$11,360,-1,Settings!$B$16)</f>
        <v>46252.583333333336</v>
      </c>
      <c r="C575" s="20" cm="1">
        <f t="array" ref="C575">B575+TIME(alea_int(1,4,Settings!$B$16),0,0)</f>
        <v>46252.75</v>
      </c>
      <c r="D575" t="str" cm="1">
        <f t="array" ref="D575">choice(Settings!L:L,1,Settings!$B$16)</f>
        <v/>
      </c>
    </row>
    <row r="576" spans="1:4" ht="15.75" customHeight="1" x14ac:dyDescent="0.25">
      <c r="A576" s="2" t="str" cm="1">
        <f t="array" ref="A576">choice(Salles!A:A,1,Settings!$B$16)</f>
        <v>Salle68</v>
      </c>
      <c r="B576" s="3" cm="1">
        <f t="array" ref="B576">alea_date(Settings!$B$11,360,-1,Settings!$B$16)</f>
        <v>46242.625</v>
      </c>
      <c r="C576" s="20" cm="1">
        <f t="array" ref="C576">B576+TIME(alea_int(1,4,Settings!$B$16),0,0)</f>
        <v>46242.791666666664</v>
      </c>
      <c r="D576" t="str" cm="1">
        <f t="array" ref="D576">choice(Settings!L:L,1,Settings!$B$16)</f>
        <v/>
      </c>
    </row>
    <row r="577" spans="1:4" ht="15.75" customHeight="1" x14ac:dyDescent="0.25">
      <c r="A577" s="2" t="str" cm="1">
        <f t="array" ref="A577">choice(Salles!A:A,1,Settings!$B$16)</f>
        <v>Salle57</v>
      </c>
      <c r="B577" s="3" cm="1">
        <f t="array" ref="B577">alea_date(Settings!$B$11,360,-1,Settings!$B$16)</f>
        <v>46113.416666666664</v>
      </c>
      <c r="C577" s="20" cm="1">
        <f t="array" ref="C577">B577+TIME(alea_int(1,4,Settings!$B$16),0,0)</f>
        <v>46113.583333333328</v>
      </c>
      <c r="D577" t="str" cm="1">
        <f t="array" ref="D577">choice(Settings!L:L,1,Settings!$B$16)</f>
        <v/>
      </c>
    </row>
    <row r="578" spans="1:4" ht="15.75" customHeight="1" x14ac:dyDescent="0.25">
      <c r="A578" s="2" t="str" cm="1">
        <f t="array" ref="A578">choice(Salles!A:A,1,Settings!$B$16)</f>
        <v>Salle49</v>
      </c>
      <c r="B578" s="3" cm="1">
        <f t="array" ref="B578">alea_date(Settings!$B$11,360,-1,Settings!$B$16)</f>
        <v>46281.583333333336</v>
      </c>
      <c r="C578" s="20" cm="1">
        <f t="array" ref="C578">B578+TIME(alea_int(1,4,Settings!$B$16),0,0)</f>
        <v>46281.75</v>
      </c>
      <c r="D578" t="str" cm="1">
        <f t="array" ref="D578">choice(Settings!L:L,1,Settings!$B$16)</f>
        <v/>
      </c>
    </row>
    <row r="579" spans="1:4" ht="15.75" customHeight="1" x14ac:dyDescent="0.25">
      <c r="A579" s="2" t="str" cm="1">
        <f t="array" ref="A579">choice(Salles!A:A,1,Settings!$B$16)</f>
        <v>Salle2</v>
      </c>
      <c r="B579" s="3" cm="1">
        <f t="array" ref="B579">alea_date(Settings!$B$11,360,-1,Settings!$B$16)</f>
        <v>46307.458333333336</v>
      </c>
      <c r="C579" s="20" cm="1">
        <f t="array" ref="C579">B579+TIME(alea_int(1,4,Settings!$B$16),0,0)</f>
        <v>46307.625</v>
      </c>
      <c r="D579" t="str" cm="1">
        <f t="array" ref="D579">choice(Settings!L:L,1,Settings!$B$16)</f>
        <v/>
      </c>
    </row>
    <row r="580" spans="1:4" ht="15.75" customHeight="1" x14ac:dyDescent="0.25">
      <c r="A580" s="2" t="str" cm="1">
        <f t="array" ref="A580">choice(Salles!A:A,1,Settings!$B$16)</f>
        <v>Salle12</v>
      </c>
      <c r="B580" s="3" cm="1">
        <f t="array" ref="B580">alea_date(Settings!$B$11,360,-1,Settings!$B$16)</f>
        <v>46117.458333333336</v>
      </c>
      <c r="C580" s="20" cm="1">
        <f t="array" ref="C580">B580+TIME(alea_int(1,4,Settings!$B$16),0,0)</f>
        <v>46117.625</v>
      </c>
      <c r="D580" t="str" cm="1">
        <f t="array" ref="D580">choice(Settings!L:L,1,Settings!$B$16)</f>
        <v/>
      </c>
    </row>
    <row r="581" spans="1:4" ht="15.75" customHeight="1" x14ac:dyDescent="0.25">
      <c r="A581" s="2" t="str" cm="1">
        <f t="array" ref="A581">choice(Salles!A:A,1,Settings!$B$16)</f>
        <v>Salle11</v>
      </c>
      <c r="B581" s="3" cm="1">
        <f t="array" ref="B581">alea_date(Settings!$B$11,360,-1,Settings!$B$16)</f>
        <v>46202.583333333336</v>
      </c>
      <c r="C581" s="20" cm="1">
        <f t="array" ref="C581">B581+TIME(alea_int(1,4,Settings!$B$16),0,0)</f>
        <v>46202.75</v>
      </c>
      <c r="D581" t="str" cm="1">
        <f t="array" ref="D581">choice(Settings!L:L,1,Settings!$B$16)</f>
        <v>vendredi</v>
      </c>
    </row>
    <row r="582" spans="1:4" ht="15.75" customHeight="1" x14ac:dyDescent="0.25">
      <c r="A582" s="2" t="str" cm="1">
        <f t="array" ref="A582">choice(Salles!A:A,1,Settings!$B$16)</f>
        <v>Salle27</v>
      </c>
      <c r="B582" s="3" cm="1">
        <f t="array" ref="B582">alea_date(Settings!$B$11,360,-1,Settings!$B$16)</f>
        <v>46365.25</v>
      </c>
      <c r="C582" s="20" cm="1">
        <f t="array" ref="C582">B582+TIME(alea_int(1,4,Settings!$B$16),0,0)</f>
        <v>46365.416666666664</v>
      </c>
      <c r="D582" t="str" cm="1">
        <f t="array" ref="D582">choice(Settings!L:L,1,Settings!$B$16)</f>
        <v/>
      </c>
    </row>
    <row r="583" spans="1:4" ht="15.75" customHeight="1" x14ac:dyDescent="0.25">
      <c r="A583" s="2" t="str" cm="1">
        <f t="array" ref="A583">choice(Salles!A:A,1,Settings!$B$16)</f>
        <v>Salle39</v>
      </c>
      <c r="B583" s="3" cm="1">
        <f t="array" ref="B583">alea_date(Settings!$B$11,360,-1,Settings!$B$16)</f>
        <v>46064.541666666664</v>
      </c>
      <c r="C583" s="20" cm="1">
        <f t="array" ref="C583">B583+TIME(alea_int(1,4,Settings!$B$16),0,0)</f>
        <v>46064.708333333328</v>
      </c>
      <c r="D583" t="str" cm="1">
        <f t="array" ref="D583">choice(Settings!L:L,1,Settings!$B$16)</f>
        <v/>
      </c>
    </row>
    <row r="584" spans="1:4" ht="15.75" customHeight="1" x14ac:dyDescent="0.25">
      <c r="A584" s="2" t="str" cm="1">
        <f t="array" ref="A584">choice(Salles!A:A,1,Settings!$B$16)</f>
        <v>Salle66</v>
      </c>
      <c r="B584" s="3" cm="1">
        <f t="array" ref="B584">alea_date(Settings!$B$11,360,-1,Settings!$B$16)</f>
        <v>46285.333333333336</v>
      </c>
      <c r="C584" s="20" cm="1">
        <f t="array" ref="C584">B584+TIME(alea_int(1,4,Settings!$B$16),0,0)</f>
        <v>46285.5</v>
      </c>
      <c r="D584" t="str" cm="1">
        <f t="array" ref="D584">choice(Settings!L:L,1,Settings!$B$16)</f>
        <v/>
      </c>
    </row>
    <row r="585" spans="1:4" ht="15.75" customHeight="1" x14ac:dyDescent="0.25">
      <c r="A585" s="2" t="str" cm="1">
        <f t="array" ref="A585">choice(Salles!A:A,1,Settings!$B$16)</f>
        <v>Salle11</v>
      </c>
      <c r="B585" s="3" cm="1">
        <f t="array" ref="B585">alea_date(Settings!$B$11,360,-1,Settings!$B$16)</f>
        <v>46237.583333333336</v>
      </c>
      <c r="C585" s="20" cm="1">
        <f t="array" ref="C585">B585+TIME(alea_int(1,4,Settings!$B$16),0,0)</f>
        <v>46237.75</v>
      </c>
      <c r="D585" t="str" cm="1">
        <f t="array" ref="D585">choice(Settings!L:L,1,Settings!$B$16)</f>
        <v/>
      </c>
    </row>
    <row r="586" spans="1:4" ht="15.75" customHeight="1" x14ac:dyDescent="0.25">
      <c r="A586" s="2" t="str" cm="1">
        <f t="array" ref="A586">choice(Salles!A:A,1,Settings!$B$16)</f>
        <v>Salle34</v>
      </c>
      <c r="B586" s="3" cm="1">
        <f t="array" ref="B586">alea_date(Settings!$B$11,360,-1,Settings!$B$16)</f>
        <v>46279.416666666664</v>
      </c>
      <c r="C586" s="20" cm="1">
        <f t="array" ref="C586">B586+TIME(alea_int(1,4,Settings!$B$16),0,0)</f>
        <v>46279.583333333328</v>
      </c>
      <c r="D586" t="str" cm="1">
        <f t="array" ref="D586">choice(Settings!L:L,1,Settings!$B$16)</f>
        <v/>
      </c>
    </row>
    <row r="587" spans="1:4" ht="15.75" customHeight="1" x14ac:dyDescent="0.25">
      <c r="A587" s="2" t="str" cm="1">
        <f t="array" ref="A587">choice(Salles!A:A,1,Settings!$B$16)</f>
        <v>Salle13</v>
      </c>
      <c r="B587" s="3" cm="1">
        <f t="array" ref="B587">alea_date(Settings!$B$11,360,-1,Settings!$B$16)</f>
        <v>46149.583333333336</v>
      </c>
      <c r="C587" s="20" cm="1">
        <f t="array" ref="C587">B587+TIME(alea_int(1,4,Settings!$B$16),0,0)</f>
        <v>46149.75</v>
      </c>
      <c r="D587" t="str" cm="1">
        <f t="array" ref="D587">choice(Settings!L:L,1,Settings!$B$16)</f>
        <v/>
      </c>
    </row>
    <row r="588" spans="1:4" ht="15.75" customHeight="1" x14ac:dyDescent="0.25">
      <c r="A588" s="2" t="str" cm="1">
        <f t="array" ref="A588">choice(Salles!A:A,1,Settings!$B$16)</f>
        <v>Salle20</v>
      </c>
      <c r="B588" s="3" cm="1">
        <f t="array" ref="B588">alea_date(Settings!$B$11,360,-1,Settings!$B$16)</f>
        <v>46296.5</v>
      </c>
      <c r="C588" s="20" cm="1">
        <f t="array" ref="C588">B588+TIME(alea_int(1,4,Settings!$B$16),0,0)</f>
        <v>46296.666666666664</v>
      </c>
      <c r="D588" t="str" cm="1">
        <f t="array" ref="D588">choice(Settings!L:L,1,Settings!$B$16)</f>
        <v/>
      </c>
    </row>
    <row r="589" spans="1:4" ht="15.75" customHeight="1" x14ac:dyDescent="0.25">
      <c r="A589" s="2" t="str" cm="1">
        <f t="array" ref="A589">choice(Salles!A:A,1,Settings!$B$16)</f>
        <v>Salle41</v>
      </c>
      <c r="B589" s="3" cm="1">
        <f t="array" ref="B589">alea_date(Settings!$B$11,360,-1,Settings!$B$16)</f>
        <v>46163.375</v>
      </c>
      <c r="C589" s="20" cm="1">
        <f t="array" ref="C589">B589+TIME(alea_int(1,4,Settings!$B$16),0,0)</f>
        <v>46163.541666666664</v>
      </c>
      <c r="D589" t="str" cm="1">
        <f t="array" ref="D589">choice(Settings!L:L,1,Settings!$B$16)</f>
        <v/>
      </c>
    </row>
    <row r="590" spans="1:4" ht="15.75" customHeight="1" x14ac:dyDescent="0.25">
      <c r="A590" s="2" t="str" cm="1">
        <f t="array" ref="A590">choice(Salles!A:A,1,Settings!$B$16)</f>
        <v>Salle44</v>
      </c>
      <c r="B590" s="3" cm="1">
        <f t="array" ref="B590">alea_date(Settings!$B$11,360,-1,Settings!$B$16)</f>
        <v>46318.625</v>
      </c>
      <c r="C590" s="20" cm="1">
        <f t="array" ref="C590">B590+TIME(alea_int(1,4,Settings!$B$16),0,0)</f>
        <v>46318.791666666664</v>
      </c>
      <c r="D590" t="str" cm="1">
        <f t="array" ref="D590">choice(Settings!L:L,1,Settings!$B$16)</f>
        <v/>
      </c>
    </row>
    <row r="591" spans="1:4" ht="15.75" customHeight="1" x14ac:dyDescent="0.25">
      <c r="A591" s="2" t="str" cm="1">
        <f t="array" ref="A591">choice(Salles!A:A,1,Settings!$B$16)</f>
        <v>Salle13</v>
      </c>
      <c r="B591" s="3" cm="1">
        <f t="array" ref="B591">alea_date(Settings!$B$11,360,-1,Settings!$B$16)</f>
        <v>46059.583333333336</v>
      </c>
      <c r="C591" s="20" cm="1">
        <f t="array" ref="C591">B591+TIME(alea_int(1,4,Settings!$B$16),0,0)</f>
        <v>46059.75</v>
      </c>
      <c r="D591" t="str" cm="1">
        <f t="array" ref="D591">choice(Settings!L:L,1,Settings!$B$16)</f>
        <v/>
      </c>
    </row>
    <row r="592" spans="1:4" ht="15.75" customHeight="1" x14ac:dyDescent="0.25">
      <c r="A592" s="2" t="str" cm="1">
        <f t="array" ref="A592">choice(Salles!A:A,1,Settings!$B$16)</f>
        <v>Salle58</v>
      </c>
      <c r="B592" s="3" cm="1">
        <f t="array" ref="B592">alea_date(Settings!$B$11,360,-1,Settings!$B$16)</f>
        <v>46023.291666666664</v>
      </c>
      <c r="C592" s="20" cm="1">
        <f t="array" ref="C592">B592+TIME(alea_int(1,4,Settings!$B$16),0,0)</f>
        <v>46023.458333333328</v>
      </c>
      <c r="D592" t="str" cm="1">
        <f t="array" ref="D592">choice(Settings!L:L,1,Settings!$B$16)</f>
        <v/>
      </c>
    </row>
    <row r="593" spans="1:4" ht="15.75" customHeight="1" x14ac:dyDescent="0.25">
      <c r="A593" s="2" t="str" cm="1">
        <f t="array" ref="A593">choice(Salles!A:A,1,Settings!$B$16)</f>
        <v>Salle40</v>
      </c>
      <c r="B593" s="3" cm="1">
        <f t="array" ref="B593">alea_date(Settings!$B$11,360,-1,Settings!$B$16)</f>
        <v>46075.291666666664</v>
      </c>
      <c r="C593" s="20" cm="1">
        <f t="array" ref="C593">B593+TIME(alea_int(1,4,Settings!$B$16),0,0)</f>
        <v>46075.458333333328</v>
      </c>
      <c r="D593" t="str" cm="1">
        <f t="array" ref="D593">choice(Settings!L:L,1,Settings!$B$16)</f>
        <v/>
      </c>
    </row>
    <row r="594" spans="1:4" ht="15.75" customHeight="1" x14ac:dyDescent="0.25">
      <c r="A594" s="2" t="str" cm="1">
        <f t="array" ref="A594">choice(Salles!A:A,1,Settings!$B$16)</f>
        <v>Salle31</v>
      </c>
      <c r="B594" s="3" cm="1">
        <f t="array" ref="B594">alea_date(Settings!$B$11,360,-1,Settings!$B$16)</f>
        <v>46172.375</v>
      </c>
      <c r="C594" s="20" cm="1">
        <f t="array" ref="C594">B594+TIME(alea_int(1,4,Settings!$B$16),0,0)</f>
        <v>46172.541666666664</v>
      </c>
      <c r="D594" t="str" cm="1">
        <f t="array" ref="D594">choice(Settings!L:L,1,Settings!$B$16)</f>
        <v/>
      </c>
    </row>
    <row r="595" spans="1:4" ht="15.75" customHeight="1" x14ac:dyDescent="0.25">
      <c r="A595" s="2" t="str" cm="1">
        <f t="array" ref="A595">choice(Salles!A:A,1,Settings!$B$16)</f>
        <v>Salle11</v>
      </c>
      <c r="B595" s="3" cm="1">
        <f t="array" ref="B595">alea_date(Settings!$B$11,360,-1,Settings!$B$16)</f>
        <v>46151.291666666664</v>
      </c>
      <c r="C595" s="20" cm="1">
        <f t="array" ref="C595">B595+TIME(alea_int(1,4,Settings!$B$16),0,0)</f>
        <v>46151.458333333328</v>
      </c>
      <c r="D595" t="str" cm="1">
        <f t="array" ref="D595">choice(Settings!L:L,1,Settings!$B$16)</f>
        <v/>
      </c>
    </row>
    <row r="596" spans="1:4" ht="15.75" customHeight="1" x14ac:dyDescent="0.25">
      <c r="A596" s="2" t="str" cm="1">
        <f t="array" ref="A596">choice(Salles!A:A,1,Settings!$B$16)</f>
        <v>Salle34</v>
      </c>
      <c r="B596" s="3" cm="1">
        <f t="array" ref="B596">alea_date(Settings!$B$11,360,-1,Settings!$B$16)</f>
        <v>46290.458333333336</v>
      </c>
      <c r="C596" s="20" cm="1">
        <f t="array" ref="C596">B596+TIME(alea_int(1,4,Settings!$B$16),0,0)</f>
        <v>46290.625</v>
      </c>
      <c r="D596" t="str" cm="1">
        <f t="array" ref="D596">choice(Settings!L:L,1,Settings!$B$16)</f>
        <v/>
      </c>
    </row>
    <row r="597" spans="1:4" ht="15.75" customHeight="1" x14ac:dyDescent="0.25">
      <c r="A597" s="2" t="str" cm="1">
        <f t="array" ref="A597">choice(Salles!A:A,1,Settings!$B$16)</f>
        <v>Salle15</v>
      </c>
      <c r="B597" s="3" cm="1">
        <f t="array" ref="B597">alea_date(Settings!$B$11,360,-1,Settings!$B$16)</f>
        <v>46137.541666666664</v>
      </c>
      <c r="C597" s="20" cm="1">
        <f t="array" ref="C597">B597+TIME(alea_int(1,4,Settings!$B$16),0,0)</f>
        <v>46137.708333333328</v>
      </c>
      <c r="D597" t="str" cm="1">
        <f t="array" ref="D597">choice(Settings!L:L,1,Settings!$B$16)</f>
        <v/>
      </c>
    </row>
    <row r="598" spans="1:4" ht="15.75" customHeight="1" x14ac:dyDescent="0.25">
      <c r="A598" s="2" t="str" cm="1">
        <f t="array" ref="A598">choice(Salles!A:A,1,Settings!$B$16)</f>
        <v>Salle20</v>
      </c>
      <c r="B598" s="3" cm="1">
        <f t="array" ref="B598">alea_date(Settings!$B$11,360,-1,Settings!$B$16)</f>
        <v>46040.333333333336</v>
      </c>
      <c r="C598" s="20" cm="1">
        <f t="array" ref="C598">B598+TIME(alea_int(1,4,Settings!$B$16),0,0)</f>
        <v>46040.5</v>
      </c>
      <c r="D598" t="str" cm="1">
        <f t="array" ref="D598">choice(Settings!L:L,1,Settings!$B$16)</f>
        <v/>
      </c>
    </row>
    <row r="599" spans="1:4" ht="15.75" customHeight="1" x14ac:dyDescent="0.25">
      <c r="A599" s="2" t="str" cm="1">
        <f t="array" ref="A599">choice(Salles!A:A,1,Settings!$B$16)</f>
        <v>Salle40</v>
      </c>
      <c r="B599" s="3" cm="1">
        <f t="array" ref="B599">alea_date(Settings!$B$11,360,-1,Settings!$B$16)</f>
        <v>46242.375</v>
      </c>
      <c r="C599" s="20" cm="1">
        <f t="array" ref="C599">B599+TIME(alea_int(1,4,Settings!$B$16),0,0)</f>
        <v>46242.541666666664</v>
      </c>
      <c r="D599" t="str" cm="1">
        <f t="array" ref="D599">choice(Settings!L:L,1,Settings!$B$16)</f>
        <v/>
      </c>
    </row>
    <row r="600" spans="1:4" ht="15.75" customHeight="1" x14ac:dyDescent="0.25">
      <c r="A600" s="2" t="str" cm="1">
        <f t="array" ref="A600">choice(Salles!A:A,1,Settings!$B$16)</f>
        <v>Salle69</v>
      </c>
      <c r="B600" s="3" cm="1">
        <f t="array" ref="B600">alea_date(Settings!$B$11,360,-1,Settings!$B$16)</f>
        <v>46134.25</v>
      </c>
      <c r="C600" s="20" cm="1">
        <f t="array" ref="C600">B600+TIME(alea_int(1,4,Settings!$B$16),0,0)</f>
        <v>46134.416666666664</v>
      </c>
      <c r="D600" t="str" cm="1">
        <f t="array" ref="D600">choice(Settings!L:L,1,Settings!$B$16)</f>
        <v/>
      </c>
    </row>
    <row r="601" spans="1:4" ht="15.75" customHeight="1" x14ac:dyDescent="0.25">
      <c r="A601" s="2" t="str" cm="1">
        <f t="array" ref="A601">choice(Salles!A:A,1,Settings!$B$16)</f>
        <v>Salle34</v>
      </c>
      <c r="B601" s="3" cm="1">
        <f t="array" ref="B601">alea_date(Settings!$B$11,360,-1,Settings!$B$16)</f>
        <v>46102.5</v>
      </c>
      <c r="C601" s="20" cm="1">
        <f t="array" ref="C601">B601+TIME(alea_int(1,4,Settings!$B$16),0,0)</f>
        <v>46102.666666666664</v>
      </c>
      <c r="D601" t="str" cm="1">
        <f t="array" ref="D601">choice(Settings!L:L,1,Settings!$B$16)</f>
        <v>mercredi</v>
      </c>
    </row>
    <row r="602" spans="1:4" ht="15.75" customHeight="1" x14ac:dyDescent="0.25">
      <c r="A602" s="2" t="str" cm="1">
        <f t="array" ref="A602">choice(Salles!A:A,1,Settings!$B$16)</f>
        <v>Salle19</v>
      </c>
      <c r="B602" s="3" cm="1">
        <f t="array" ref="B602">alea_date(Settings!$B$11,360,-1,Settings!$B$16)</f>
        <v>46089.416666666664</v>
      </c>
      <c r="C602" s="20" cm="1">
        <f t="array" ref="C602">B602+TIME(alea_int(1,4,Settings!$B$16),0,0)</f>
        <v>46089.583333333328</v>
      </c>
      <c r="D602" t="str" cm="1">
        <f t="array" ref="D602">choice(Settings!L:L,1,Settings!$B$16)</f>
        <v/>
      </c>
    </row>
    <row r="603" spans="1:4" ht="15.75" customHeight="1" x14ac:dyDescent="0.25">
      <c r="A603" s="2" t="str" cm="1">
        <f t="array" ref="A603">choice(Salles!A:A,1,Settings!$B$16)</f>
        <v>Salle55</v>
      </c>
      <c r="B603" s="3" cm="1">
        <f t="array" ref="B603">alea_date(Settings!$B$11,360,-1,Settings!$B$16)</f>
        <v>46355.25</v>
      </c>
      <c r="C603" s="20" cm="1">
        <f t="array" ref="C603">B603+TIME(alea_int(1,4,Settings!$B$16),0,0)</f>
        <v>46355.416666666664</v>
      </c>
      <c r="D603" t="str" cm="1">
        <f t="array" ref="D603">choice(Settings!L:L,1,Settings!$B$16)</f>
        <v/>
      </c>
    </row>
    <row r="604" spans="1:4" ht="15.75" customHeight="1" x14ac:dyDescent="0.25">
      <c r="A604" s="2" t="str" cm="1">
        <f t="array" ref="A604">choice(Salles!A:A,1,Settings!$B$16)</f>
        <v>Salle12</v>
      </c>
      <c r="B604" s="3" cm="1">
        <f t="array" ref="B604">alea_date(Settings!$B$11,360,-1,Settings!$B$16)</f>
        <v>46028.5</v>
      </c>
      <c r="C604" s="20" cm="1">
        <f t="array" ref="C604">B604+TIME(alea_int(1,4,Settings!$B$16),0,0)</f>
        <v>46028.666666666664</v>
      </c>
      <c r="D604" t="str" cm="1">
        <f t="array" ref="D604">choice(Settings!L:L,1,Settings!$B$16)</f>
        <v/>
      </c>
    </row>
    <row r="605" spans="1:4" ht="15.75" customHeight="1" x14ac:dyDescent="0.25">
      <c r="A605" s="2" t="str" cm="1">
        <f t="array" ref="A605">choice(Salles!A:A,1,Settings!$B$16)</f>
        <v>Salle69</v>
      </c>
      <c r="B605" s="3" cm="1">
        <f t="array" ref="B605">alea_date(Settings!$B$11,360,-1,Settings!$B$16)</f>
        <v>46067.541666666664</v>
      </c>
      <c r="C605" s="20" cm="1">
        <f t="array" ref="C605">B605+TIME(alea_int(1,4,Settings!$B$16),0,0)</f>
        <v>46067.708333333328</v>
      </c>
      <c r="D605" t="str" cm="1">
        <f t="array" ref="D605">choice(Settings!L:L,1,Settings!$B$16)</f>
        <v>vendredi</v>
      </c>
    </row>
    <row r="606" spans="1:4" ht="15.75" customHeight="1" x14ac:dyDescent="0.25">
      <c r="A606" s="2" t="str" cm="1">
        <f t="array" ref="A606">choice(Salles!A:A,1,Settings!$B$16)</f>
        <v>Salle35</v>
      </c>
      <c r="B606" s="3" cm="1">
        <f t="array" ref="B606">alea_date(Settings!$B$11,360,-1,Settings!$B$16)</f>
        <v>46099.333333333336</v>
      </c>
      <c r="C606" s="20" cm="1">
        <f t="array" ref="C606">B606+TIME(alea_int(1,4,Settings!$B$16),0,0)</f>
        <v>46099.5</v>
      </c>
      <c r="D606" t="str" cm="1">
        <f t="array" ref="D606">choice(Settings!L:L,1,Settings!$B$16)</f>
        <v/>
      </c>
    </row>
    <row r="607" spans="1:4" ht="15.75" customHeight="1" x14ac:dyDescent="0.25">
      <c r="A607" s="2" t="str" cm="1">
        <f t="array" ref="A607">choice(Salles!A:A,1,Settings!$B$16)</f>
        <v>Salle66</v>
      </c>
      <c r="B607" s="3" cm="1">
        <f t="array" ref="B607">alea_date(Settings!$B$11,360,-1,Settings!$B$16)</f>
        <v>46155.541666666664</v>
      </c>
      <c r="C607" s="20" cm="1">
        <f t="array" ref="C607">B607+TIME(alea_int(1,4,Settings!$B$16),0,0)</f>
        <v>46155.708333333328</v>
      </c>
      <c r="D607" t="str" cm="1">
        <f t="array" ref="D607">choice(Settings!L:L,1,Settings!$B$16)</f>
        <v/>
      </c>
    </row>
    <row r="608" spans="1:4" ht="15.75" customHeight="1" x14ac:dyDescent="0.25">
      <c r="A608" s="2" t="str" cm="1">
        <f t="array" ref="A608">choice(Salles!A:A,1,Settings!$B$16)</f>
        <v>Salle53</v>
      </c>
      <c r="B608" s="3" cm="1">
        <f t="array" ref="B608">alea_date(Settings!$B$11,360,-1,Settings!$B$16)</f>
        <v>46056.375</v>
      </c>
      <c r="C608" s="20" cm="1">
        <f t="array" ref="C608">B608+TIME(alea_int(1,4,Settings!$B$16),0,0)</f>
        <v>46056.541666666664</v>
      </c>
      <c r="D608" t="str" cm="1">
        <f t="array" ref="D608">choice(Settings!L:L,1,Settings!$B$16)</f>
        <v/>
      </c>
    </row>
    <row r="609" spans="1:4" ht="15.75" customHeight="1" x14ac:dyDescent="0.25">
      <c r="A609" s="2" t="str" cm="1">
        <f t="array" ref="A609">choice(Salles!A:A,1,Settings!$B$16)</f>
        <v>Salle45</v>
      </c>
      <c r="B609" s="3" cm="1">
        <f t="array" ref="B609">alea_date(Settings!$B$11,360,-1,Settings!$B$16)</f>
        <v>46182.625</v>
      </c>
      <c r="C609" s="20" cm="1">
        <f t="array" ref="C609">B609+TIME(alea_int(1,4,Settings!$B$16),0,0)</f>
        <v>46182.791666666664</v>
      </c>
      <c r="D609" t="str" cm="1">
        <f t="array" ref="D609">choice(Settings!L:L,1,Settings!$B$16)</f>
        <v>mardi</v>
      </c>
    </row>
    <row r="610" spans="1:4" ht="15.75" customHeight="1" x14ac:dyDescent="0.25">
      <c r="A610" s="2" t="str" cm="1">
        <f t="array" ref="A610">choice(Salles!A:A,1,Settings!$B$16)</f>
        <v>Salle5</v>
      </c>
      <c r="B610" s="3" cm="1">
        <f t="array" ref="B610">alea_date(Settings!$B$11,360,-1,Settings!$B$16)</f>
        <v>46117.625</v>
      </c>
      <c r="C610" s="20" cm="1">
        <f t="array" ref="C610">B610+TIME(alea_int(1,4,Settings!$B$16),0,0)</f>
        <v>46117.791666666664</v>
      </c>
      <c r="D610" t="str" cm="1">
        <f t="array" ref="D610">choice(Settings!L:L,1,Settings!$B$16)</f>
        <v/>
      </c>
    </row>
    <row r="611" spans="1:4" ht="15.75" customHeight="1" x14ac:dyDescent="0.25">
      <c r="A611" s="2" t="str" cm="1">
        <f t="array" ref="A611">choice(Salles!A:A,1,Settings!$B$16)</f>
        <v>Salle15</v>
      </c>
      <c r="B611" s="3" cm="1">
        <f t="array" ref="B611">alea_date(Settings!$B$11,360,-1,Settings!$B$16)</f>
        <v>46333.5</v>
      </c>
      <c r="C611" s="20" cm="1">
        <f t="array" ref="C611">B611+TIME(alea_int(1,4,Settings!$B$16),0,0)</f>
        <v>46333.666666666664</v>
      </c>
      <c r="D611" t="str" cm="1">
        <f t="array" ref="D611">choice(Settings!L:L,1,Settings!$B$16)</f>
        <v/>
      </c>
    </row>
    <row r="612" spans="1:4" ht="15.75" customHeight="1" x14ac:dyDescent="0.25">
      <c r="A612" s="2" t="str" cm="1">
        <f t="array" ref="A612">choice(Salles!A:A,1,Settings!$B$16)</f>
        <v>Salle48</v>
      </c>
      <c r="B612" s="3" cm="1">
        <f t="array" ref="B612">alea_date(Settings!$B$11,360,-1,Settings!$B$16)</f>
        <v>46074.416666666664</v>
      </c>
      <c r="C612" s="20" cm="1">
        <f t="array" ref="C612">B612+TIME(alea_int(1,4,Settings!$B$16),0,0)</f>
        <v>46074.583333333328</v>
      </c>
      <c r="D612" t="str" cm="1">
        <f t="array" ref="D612">choice(Settings!L:L,1,Settings!$B$16)</f>
        <v/>
      </c>
    </row>
    <row r="613" spans="1:4" ht="15.75" customHeight="1" x14ac:dyDescent="0.25">
      <c r="A613" s="2" t="str" cm="1">
        <f t="array" ref="A613">choice(Salles!A:A,1,Settings!$B$16)</f>
        <v>Salle63</v>
      </c>
      <c r="B613" s="3" cm="1">
        <f t="array" ref="B613">alea_date(Settings!$B$11,360,-1,Settings!$B$16)</f>
        <v>46105.333333333336</v>
      </c>
      <c r="C613" s="20" cm="1">
        <f t="array" ref="C613">B613+TIME(alea_int(1,4,Settings!$B$16),0,0)</f>
        <v>46105.5</v>
      </c>
      <c r="D613" t="str" cm="1">
        <f t="array" ref="D613">choice(Settings!L:L,1,Settings!$B$16)</f>
        <v/>
      </c>
    </row>
    <row r="614" spans="1:4" ht="15.75" customHeight="1" x14ac:dyDescent="0.25">
      <c r="A614" s="2" t="str" cm="1">
        <f t="array" ref="A614">choice(Salles!A:A,1,Settings!$B$16)</f>
        <v>Salle34</v>
      </c>
      <c r="B614" s="3" cm="1">
        <f t="array" ref="B614">alea_date(Settings!$B$11,360,-1,Settings!$B$16)</f>
        <v>46362.333333333336</v>
      </c>
      <c r="C614" s="20" cm="1">
        <f t="array" ref="C614">B614+TIME(alea_int(1,4,Settings!$B$16),0,0)</f>
        <v>46362.5</v>
      </c>
      <c r="D614" t="str" cm="1">
        <f t="array" ref="D614">choice(Settings!L:L,1,Settings!$B$16)</f>
        <v/>
      </c>
    </row>
    <row r="615" spans="1:4" ht="15.75" customHeight="1" x14ac:dyDescent="0.25">
      <c r="A615" s="2" t="str" cm="1">
        <f t="array" ref="A615">choice(Salles!A:A,1,Settings!$B$16)</f>
        <v>Salle46</v>
      </c>
      <c r="B615" s="3" cm="1">
        <f t="array" ref="B615">alea_date(Settings!$B$11,360,-1,Settings!$B$16)</f>
        <v>46036.416666666664</v>
      </c>
      <c r="C615" s="20" cm="1">
        <f t="array" ref="C615">B615+TIME(alea_int(1,4,Settings!$B$16),0,0)</f>
        <v>46036.583333333328</v>
      </c>
      <c r="D615" t="str" cm="1">
        <f t="array" ref="D615">choice(Settings!L:L,1,Settings!$B$16)</f>
        <v/>
      </c>
    </row>
    <row r="616" spans="1:4" ht="15.75" customHeight="1" x14ac:dyDescent="0.25">
      <c r="A616" s="2" t="str" cm="1">
        <f t="array" ref="A616">choice(Salles!A:A,1,Settings!$B$16)</f>
        <v>Salle30</v>
      </c>
      <c r="B616" s="3" cm="1">
        <f t="array" ref="B616">alea_date(Settings!$B$11,360,-1,Settings!$B$16)</f>
        <v>46118.25</v>
      </c>
      <c r="C616" s="20" cm="1">
        <f t="array" ref="C616">B616+TIME(alea_int(1,4,Settings!$B$16),0,0)</f>
        <v>46118.416666666664</v>
      </c>
      <c r="D616" t="str" cm="1">
        <f t="array" ref="D616">choice(Settings!L:L,1,Settings!$B$16)</f>
        <v/>
      </c>
    </row>
    <row r="617" spans="1:4" ht="15.75" customHeight="1" x14ac:dyDescent="0.25">
      <c r="A617" s="2" t="str" cm="1">
        <f t="array" ref="A617">choice(Salles!A:A,1,Settings!$B$16)</f>
        <v>Salle10</v>
      </c>
      <c r="B617" s="3" cm="1">
        <f t="array" ref="B617">alea_date(Settings!$B$11,360,-1,Settings!$B$16)</f>
        <v>46091.416666666664</v>
      </c>
      <c r="C617" s="20" cm="1">
        <f t="array" ref="C617">B617+TIME(alea_int(1,4,Settings!$B$16),0,0)</f>
        <v>46091.583333333328</v>
      </c>
      <c r="D617" t="str" cm="1">
        <f t="array" ref="D617">choice(Settings!L:L,1,Settings!$B$16)</f>
        <v/>
      </c>
    </row>
    <row r="618" spans="1:4" ht="15.75" customHeight="1" x14ac:dyDescent="0.25">
      <c r="A618" s="2" t="str" cm="1">
        <f t="array" ref="A618">choice(Salles!A:A,1,Settings!$B$16)</f>
        <v>Salle43</v>
      </c>
      <c r="B618" s="3" cm="1">
        <f t="array" ref="B618">alea_date(Settings!$B$11,360,-1,Settings!$B$16)</f>
        <v>46322.5</v>
      </c>
      <c r="C618" s="20" cm="1">
        <f t="array" ref="C618">B618+TIME(alea_int(1,4,Settings!$B$16),0,0)</f>
        <v>46322.666666666664</v>
      </c>
      <c r="D618" t="str" cm="1">
        <f t="array" ref="D618">choice(Settings!L:L,1,Settings!$B$16)</f>
        <v/>
      </c>
    </row>
    <row r="619" spans="1:4" ht="15.75" customHeight="1" x14ac:dyDescent="0.25">
      <c r="A619" s="2" t="str" cm="1">
        <f t="array" ref="A619">choice(Salles!A:A,1,Settings!$B$16)</f>
        <v>Salle32</v>
      </c>
      <c r="B619" s="3" cm="1">
        <f t="array" ref="B619">alea_date(Settings!$B$11,360,-1,Settings!$B$16)</f>
        <v>46093.541666666664</v>
      </c>
      <c r="C619" s="20" cm="1">
        <f t="array" ref="C619">B619+TIME(alea_int(1,4,Settings!$B$16),0,0)</f>
        <v>46093.708333333328</v>
      </c>
      <c r="D619" t="str" cm="1">
        <f t="array" ref="D619">choice(Settings!L:L,1,Settings!$B$16)</f>
        <v/>
      </c>
    </row>
    <row r="620" spans="1:4" ht="15.75" customHeight="1" x14ac:dyDescent="0.25">
      <c r="A620" s="2" t="str" cm="1">
        <f t="array" ref="A620">choice(Salles!A:A,1,Settings!$B$16)</f>
        <v>Salle47</v>
      </c>
      <c r="B620" s="3" cm="1">
        <f t="array" ref="B620">alea_date(Settings!$B$11,360,-1,Settings!$B$16)</f>
        <v>46225.25</v>
      </c>
      <c r="C620" s="20" cm="1">
        <f t="array" ref="C620">B620+TIME(alea_int(1,4,Settings!$B$16),0,0)</f>
        <v>46225.416666666664</v>
      </c>
      <c r="D620" t="str" cm="1">
        <f t="array" ref="D620">choice(Settings!L:L,1,Settings!$B$16)</f>
        <v/>
      </c>
    </row>
    <row r="621" spans="1:4" ht="15.75" customHeight="1" x14ac:dyDescent="0.25">
      <c r="A621" s="2" t="str" cm="1">
        <f t="array" ref="A621">choice(Salles!A:A,1,Settings!$B$16)</f>
        <v>Salle33</v>
      </c>
      <c r="B621" s="3" cm="1">
        <f t="array" ref="B621">alea_date(Settings!$B$11,360,-1,Settings!$B$16)</f>
        <v>46247.291666666664</v>
      </c>
      <c r="C621" s="20" cm="1">
        <f t="array" ref="C621">B621+TIME(alea_int(1,4,Settings!$B$16),0,0)</f>
        <v>46247.458333333328</v>
      </c>
      <c r="D621" t="str" cm="1">
        <f t="array" ref="D621">choice(Settings!L:L,1,Settings!$B$16)</f>
        <v/>
      </c>
    </row>
    <row r="622" spans="1:4" ht="15.75" customHeight="1" x14ac:dyDescent="0.25">
      <c r="A622" s="2" t="str" cm="1">
        <f t="array" ref="A622">choice(Salles!A:A,1,Settings!$B$16)</f>
        <v>Salle54</v>
      </c>
      <c r="B622" s="3" cm="1">
        <f t="array" ref="B622">alea_date(Settings!$B$11,360,-1,Settings!$B$16)</f>
        <v>46316.416666666664</v>
      </c>
      <c r="C622" s="20" cm="1">
        <f t="array" ref="C622">B622+TIME(alea_int(1,4,Settings!$B$16),0,0)</f>
        <v>46316.583333333328</v>
      </c>
      <c r="D622" t="str" cm="1">
        <f t="array" ref="D622">choice(Settings!L:L,1,Settings!$B$16)</f>
        <v/>
      </c>
    </row>
    <row r="623" spans="1:4" ht="15.75" customHeight="1" x14ac:dyDescent="0.25">
      <c r="A623" s="2" t="str" cm="1">
        <f t="array" ref="A623">choice(Salles!A:A,1,Settings!$B$16)</f>
        <v>Salle68</v>
      </c>
      <c r="B623" s="3" cm="1">
        <f t="array" ref="B623">alea_date(Settings!$B$11,360,-1,Settings!$B$16)</f>
        <v>46132.541666666664</v>
      </c>
      <c r="C623" s="20" cm="1">
        <f t="array" ref="C623">B623+TIME(alea_int(1,4,Settings!$B$16),0,0)</f>
        <v>46132.708333333328</v>
      </c>
      <c r="D623" t="str" cm="1">
        <f t="array" ref="D623">choice(Settings!L:L,1,Settings!$B$16)</f>
        <v/>
      </c>
    </row>
    <row r="624" spans="1:4" ht="15.75" customHeight="1" x14ac:dyDescent="0.25">
      <c r="A624" s="2" t="str" cm="1">
        <f t="array" ref="A624">choice(Salles!A:A,1,Settings!$B$16)</f>
        <v>Salle32</v>
      </c>
      <c r="B624" s="3" cm="1">
        <f t="array" ref="B624">alea_date(Settings!$B$11,360,-1,Settings!$B$16)</f>
        <v>46288.541666666664</v>
      </c>
      <c r="C624" s="20" cm="1">
        <f t="array" ref="C624">B624+TIME(alea_int(1,4,Settings!$B$16),0,0)</f>
        <v>46288.708333333328</v>
      </c>
      <c r="D624" t="str" cm="1">
        <f t="array" ref="D624">choice(Settings!L:L,1,Settings!$B$16)</f>
        <v/>
      </c>
    </row>
    <row r="625" spans="1:4" ht="15.75" customHeight="1" x14ac:dyDescent="0.25">
      <c r="A625" s="2" t="str" cm="1">
        <f t="array" ref="A625">choice(Salles!A:A,1,Settings!$B$16)</f>
        <v>Salle19</v>
      </c>
      <c r="B625" s="3" cm="1">
        <f t="array" ref="B625">alea_date(Settings!$B$11,360,-1,Settings!$B$16)</f>
        <v>46058.583333333336</v>
      </c>
      <c r="C625" s="20" cm="1">
        <f t="array" ref="C625">B625+TIME(alea_int(1,4,Settings!$B$16),0,0)</f>
        <v>46058.75</v>
      </c>
      <c r="D625" t="str" cm="1">
        <f t="array" ref="D625">choice(Settings!L:L,1,Settings!$B$16)</f>
        <v/>
      </c>
    </row>
    <row r="626" spans="1:4" ht="15.75" customHeight="1" x14ac:dyDescent="0.25">
      <c r="A626" s="2" t="str" cm="1">
        <f t="array" ref="A626">choice(Salles!A:A,1,Settings!$B$16)</f>
        <v>Salle12</v>
      </c>
      <c r="B626" s="3" cm="1">
        <f t="array" ref="B626">alea_date(Settings!$B$11,360,-1,Settings!$B$16)</f>
        <v>46176.375</v>
      </c>
      <c r="C626" s="20" cm="1">
        <f t="array" ref="C626">B626+TIME(alea_int(1,4,Settings!$B$16),0,0)</f>
        <v>46176.541666666664</v>
      </c>
      <c r="D626" t="str" cm="1">
        <f t="array" ref="D626">choice(Settings!L:L,1,Settings!$B$16)</f>
        <v/>
      </c>
    </row>
    <row r="627" spans="1:4" ht="15.75" customHeight="1" x14ac:dyDescent="0.25">
      <c r="A627" s="2" t="str" cm="1">
        <f t="array" ref="A627">choice(Salles!A:A,1,Settings!$B$16)</f>
        <v>Salle25</v>
      </c>
      <c r="B627" s="3" cm="1">
        <f t="array" ref="B627">alea_date(Settings!$B$11,360,-1,Settings!$B$16)</f>
        <v>46361.333333333336</v>
      </c>
      <c r="C627" s="20" cm="1">
        <f t="array" ref="C627">B627+TIME(alea_int(1,4,Settings!$B$16),0,0)</f>
        <v>46361.5</v>
      </c>
      <c r="D627" t="str" cm="1">
        <f t="array" ref="D627">choice(Settings!L:L,1,Settings!$B$16)</f>
        <v/>
      </c>
    </row>
    <row r="628" spans="1:4" ht="15.75" customHeight="1" x14ac:dyDescent="0.25">
      <c r="A628" s="2" t="str" cm="1">
        <f t="array" ref="A628">choice(Salles!A:A,1,Settings!$B$16)</f>
        <v>Salle37</v>
      </c>
      <c r="B628" s="3" cm="1">
        <f t="array" ref="B628">alea_date(Settings!$B$11,360,-1,Settings!$B$16)</f>
        <v>46307.583333333336</v>
      </c>
      <c r="C628" s="20" cm="1">
        <f t="array" ref="C628">B628+TIME(alea_int(1,4,Settings!$B$16),0,0)</f>
        <v>46307.75</v>
      </c>
      <c r="D628" t="str" cm="1">
        <f t="array" ref="D628">choice(Settings!L:L,1,Settings!$B$16)</f>
        <v/>
      </c>
    </row>
    <row r="629" spans="1:4" ht="15.75" customHeight="1" x14ac:dyDescent="0.25">
      <c r="A629" s="2" t="str" cm="1">
        <f t="array" ref="A629">choice(Salles!A:A,1,Settings!$B$16)</f>
        <v>Salle38</v>
      </c>
      <c r="B629" s="3" cm="1">
        <f t="array" ref="B629">alea_date(Settings!$B$11,360,-1,Settings!$B$16)</f>
        <v>46310.541666666664</v>
      </c>
      <c r="C629" s="20" cm="1">
        <f t="array" ref="C629">B629+TIME(alea_int(1,4,Settings!$B$16),0,0)</f>
        <v>46310.708333333328</v>
      </c>
      <c r="D629" t="str" cm="1">
        <f t="array" ref="D629">choice(Settings!L:L,1,Settings!$B$16)</f>
        <v/>
      </c>
    </row>
    <row r="630" spans="1:4" ht="15.75" customHeight="1" x14ac:dyDescent="0.25">
      <c r="A630" s="2" t="str" cm="1">
        <f t="array" ref="A630">choice(Salles!A:A,1,Settings!$B$16)</f>
        <v>Salle20</v>
      </c>
      <c r="B630" s="3" cm="1">
        <f t="array" ref="B630">alea_date(Settings!$B$11,360,-1,Settings!$B$16)</f>
        <v>46110.416666666664</v>
      </c>
      <c r="C630" s="20" cm="1">
        <f t="array" ref="C630">B630+TIME(alea_int(1,4,Settings!$B$16),0,0)</f>
        <v>46110.583333333328</v>
      </c>
      <c r="D630" t="str" cm="1">
        <f t="array" ref="D630">choice(Settings!L:L,1,Settings!$B$16)</f>
        <v/>
      </c>
    </row>
    <row r="631" spans="1:4" ht="15.75" customHeight="1" x14ac:dyDescent="0.25">
      <c r="A631" s="2" t="str" cm="1">
        <f t="array" ref="A631">choice(Salles!A:A,1,Settings!$B$16)</f>
        <v>Salle39</v>
      </c>
      <c r="B631" s="3" cm="1">
        <f t="array" ref="B631">alea_date(Settings!$B$11,360,-1,Settings!$B$16)</f>
        <v>46094.458333333336</v>
      </c>
      <c r="C631" s="20" cm="1">
        <f t="array" ref="C631">B631+TIME(alea_int(1,4,Settings!$B$16),0,0)</f>
        <v>46094.625</v>
      </c>
      <c r="D631" t="str" cm="1">
        <f t="array" ref="D631">choice(Settings!L:L,1,Settings!$B$16)</f>
        <v/>
      </c>
    </row>
    <row r="632" spans="1:4" ht="15.75" customHeight="1" x14ac:dyDescent="0.25">
      <c r="A632" s="2" t="str" cm="1">
        <f t="array" ref="A632">choice(Salles!A:A,1,Settings!$B$16)</f>
        <v>Salle50</v>
      </c>
      <c r="B632" s="3" cm="1">
        <f t="array" ref="B632">alea_date(Settings!$B$11,360,-1,Settings!$B$16)</f>
        <v>46213.333333333336</v>
      </c>
      <c r="C632" s="20" cm="1">
        <f t="array" ref="C632">B632+TIME(alea_int(1,4,Settings!$B$16),0,0)</f>
        <v>46213.5</v>
      </c>
      <c r="D632" t="str" cm="1">
        <f t="array" ref="D632">choice(Settings!L:L,1,Settings!$B$16)</f>
        <v>mercredi</v>
      </c>
    </row>
    <row r="633" spans="1:4" ht="15.75" customHeight="1" x14ac:dyDescent="0.25">
      <c r="A633" s="2" t="str" cm="1">
        <f t="array" ref="A633">choice(Salles!A:A,1,Settings!$B$16)</f>
        <v>Salle34</v>
      </c>
      <c r="B633" s="3" cm="1">
        <f t="array" ref="B633">alea_date(Settings!$B$11,360,-1,Settings!$B$16)</f>
        <v>46178.375</v>
      </c>
      <c r="C633" s="20" cm="1">
        <f t="array" ref="C633">B633+TIME(alea_int(1,4,Settings!$B$16),0,0)</f>
        <v>46178.541666666664</v>
      </c>
      <c r="D633" t="str" cm="1">
        <f t="array" ref="D633">choice(Settings!L:L,1,Settings!$B$16)</f>
        <v/>
      </c>
    </row>
    <row r="634" spans="1:4" ht="15.75" customHeight="1" x14ac:dyDescent="0.25">
      <c r="A634" s="2" t="str" cm="1">
        <f t="array" ref="A634">choice(Salles!A:A,1,Settings!$B$16)</f>
        <v>Salle47</v>
      </c>
      <c r="B634" s="3" cm="1">
        <f t="array" ref="B634">alea_date(Settings!$B$11,360,-1,Settings!$B$16)</f>
        <v>46095.375</v>
      </c>
      <c r="C634" s="20" cm="1">
        <f t="array" ref="C634">B634+TIME(alea_int(1,4,Settings!$B$16),0,0)</f>
        <v>46095.541666666664</v>
      </c>
      <c r="D634" t="str" cm="1">
        <f t="array" ref="D634">choice(Settings!L:L,1,Settings!$B$16)</f>
        <v/>
      </c>
    </row>
    <row r="635" spans="1:4" ht="15.75" customHeight="1" x14ac:dyDescent="0.25">
      <c r="A635" s="2" t="str" cm="1">
        <f t="array" ref="A635">choice(Salles!A:A,1,Settings!$B$16)</f>
        <v>Salle21</v>
      </c>
      <c r="B635" s="3" cm="1">
        <f t="array" ref="B635">alea_date(Settings!$B$11,360,-1,Settings!$B$16)</f>
        <v>46221.5</v>
      </c>
      <c r="C635" s="20" cm="1">
        <f t="array" ref="C635">B635+TIME(alea_int(1,4,Settings!$B$16),0,0)</f>
        <v>46221.666666666664</v>
      </c>
      <c r="D635" t="str" cm="1">
        <f t="array" ref="D635">choice(Settings!L:L,1,Settings!$B$16)</f>
        <v/>
      </c>
    </row>
    <row r="636" spans="1:4" ht="15.75" customHeight="1" x14ac:dyDescent="0.25">
      <c r="A636" s="2" t="str" cm="1">
        <f t="array" ref="A636">choice(Salles!A:A,1,Settings!$B$16)</f>
        <v>Salle8</v>
      </c>
      <c r="B636" s="3" cm="1">
        <f t="array" ref="B636">alea_date(Settings!$B$11,360,-1,Settings!$B$16)</f>
        <v>46381.375</v>
      </c>
      <c r="C636" s="20" cm="1">
        <f t="array" ref="C636">B636+TIME(alea_int(1,4,Settings!$B$16),0,0)</f>
        <v>46381.541666666664</v>
      </c>
      <c r="D636" t="str" cm="1">
        <f t="array" ref="D636">choice(Settings!L:L,1,Settings!$B$16)</f>
        <v/>
      </c>
    </row>
    <row r="637" spans="1:4" ht="15.75" customHeight="1" x14ac:dyDescent="0.25">
      <c r="A637" s="2" t="str" cm="1">
        <f t="array" ref="A637">choice(Salles!A:A,1,Settings!$B$16)</f>
        <v>Salle1</v>
      </c>
      <c r="B637" s="3" cm="1">
        <f t="array" ref="B637">alea_date(Settings!$B$11,360,-1,Settings!$B$16)</f>
        <v>46132.333333333336</v>
      </c>
      <c r="C637" s="20" cm="1">
        <f t="array" ref="C637">B637+TIME(alea_int(1,4,Settings!$B$16),0,0)</f>
        <v>46132.5</v>
      </c>
      <c r="D637" t="str" cm="1">
        <f t="array" ref="D637">choice(Settings!L:L,1,Settings!$B$16)</f>
        <v>mardi</v>
      </c>
    </row>
    <row r="638" spans="1:4" ht="15.75" customHeight="1" x14ac:dyDescent="0.25">
      <c r="A638" s="2" t="str" cm="1">
        <f t="array" ref="A638">choice(Salles!A:A,1,Settings!$B$16)</f>
        <v>Salle28</v>
      </c>
      <c r="B638" s="3" cm="1">
        <f t="array" ref="B638">alea_date(Settings!$B$11,360,-1,Settings!$B$16)</f>
        <v>46223.25</v>
      </c>
      <c r="C638" s="20" cm="1">
        <f t="array" ref="C638">B638+TIME(alea_int(1,4,Settings!$B$16),0,0)</f>
        <v>46223.416666666664</v>
      </c>
      <c r="D638" t="str" cm="1">
        <f t="array" ref="D638">choice(Settings!L:L,1,Settings!$B$16)</f>
        <v/>
      </c>
    </row>
    <row r="639" spans="1:4" ht="15.75" customHeight="1" x14ac:dyDescent="0.25">
      <c r="A639" s="2" t="str" cm="1">
        <f t="array" ref="A639">choice(Salles!A:A,1,Settings!$B$16)</f>
        <v>Salle68</v>
      </c>
      <c r="B639" s="3" cm="1">
        <f t="array" ref="B639">alea_date(Settings!$B$11,360,-1,Settings!$B$16)</f>
        <v>46288.625</v>
      </c>
      <c r="C639" s="20" cm="1">
        <f t="array" ref="C639">B639+TIME(alea_int(1,4,Settings!$B$16),0,0)</f>
        <v>46288.791666666664</v>
      </c>
      <c r="D639" t="str" cm="1">
        <f t="array" ref="D639">choice(Settings!L:L,1,Settings!$B$16)</f>
        <v/>
      </c>
    </row>
    <row r="640" spans="1:4" ht="15.75" customHeight="1" x14ac:dyDescent="0.25">
      <c r="A640" s="2" t="str" cm="1">
        <f t="array" ref="A640">choice(Salles!A:A,1,Settings!$B$16)</f>
        <v>Salle31</v>
      </c>
      <c r="B640" s="3" cm="1">
        <f t="array" ref="B640">alea_date(Settings!$B$11,360,-1,Settings!$B$16)</f>
        <v>46036.583333333336</v>
      </c>
      <c r="C640" s="20" cm="1">
        <f t="array" ref="C640">B640+TIME(alea_int(1,4,Settings!$B$16),0,0)</f>
        <v>46036.75</v>
      </c>
      <c r="D640" t="str" cm="1">
        <f t="array" ref="D640">choice(Settings!L:L,1,Settings!$B$16)</f>
        <v/>
      </c>
    </row>
    <row r="641" spans="1:4" ht="15.75" customHeight="1" x14ac:dyDescent="0.25">
      <c r="A641" s="2" t="str" cm="1">
        <f t="array" ref="A641">choice(Salles!A:A,1,Settings!$B$16)</f>
        <v>Salle35</v>
      </c>
      <c r="B641" s="3" cm="1">
        <f t="array" ref="B641">alea_date(Settings!$B$11,360,-1,Settings!$B$16)</f>
        <v>46208.333333333336</v>
      </c>
      <c r="C641" s="20" cm="1">
        <f t="array" ref="C641">B641+TIME(alea_int(1,4,Settings!$B$16),0,0)</f>
        <v>46208.5</v>
      </c>
      <c r="D641" t="str" cm="1">
        <f t="array" ref="D641">choice(Settings!L:L,1,Settings!$B$16)</f>
        <v/>
      </c>
    </row>
    <row r="642" spans="1:4" ht="15.75" customHeight="1" x14ac:dyDescent="0.25">
      <c r="A642" s="2" t="str" cm="1">
        <f t="array" ref="A642">choice(Salles!A:A,1,Settings!$B$16)</f>
        <v>Salle20</v>
      </c>
      <c r="B642" s="3" cm="1">
        <f t="array" ref="B642">alea_date(Settings!$B$11,360,-1,Settings!$B$16)</f>
        <v>46160.416666666664</v>
      </c>
      <c r="C642" s="20" cm="1">
        <f t="array" ref="C642">B642+TIME(alea_int(1,4,Settings!$B$16),0,0)</f>
        <v>46160.583333333328</v>
      </c>
      <c r="D642" t="str" cm="1">
        <f t="array" ref="D642">choice(Settings!L:L,1,Settings!$B$16)</f>
        <v/>
      </c>
    </row>
    <row r="643" spans="1:4" ht="15.75" customHeight="1" x14ac:dyDescent="0.25">
      <c r="A643" s="2" t="str" cm="1">
        <f t="array" ref="A643">choice(Salles!A:A,1,Settings!$B$16)</f>
        <v>Salle23</v>
      </c>
      <c r="B643" s="3" cm="1">
        <f t="array" ref="B643">alea_date(Settings!$B$11,360,-1,Settings!$B$16)</f>
        <v>46322.541666666664</v>
      </c>
      <c r="C643" s="20" cm="1">
        <f t="array" ref="C643">B643+TIME(alea_int(1,4,Settings!$B$16),0,0)</f>
        <v>46322.708333333328</v>
      </c>
      <c r="D643" t="str" cm="1">
        <f t="array" ref="D643">choice(Settings!L:L,1,Settings!$B$16)</f>
        <v/>
      </c>
    </row>
    <row r="644" spans="1:4" ht="15.75" customHeight="1" x14ac:dyDescent="0.25">
      <c r="A644" s="2" t="str" cm="1">
        <f t="array" ref="A644">choice(Salles!A:A,1,Settings!$B$16)</f>
        <v>Salle21</v>
      </c>
      <c r="B644" s="3" cm="1">
        <f t="array" ref="B644">alea_date(Settings!$B$11,360,-1,Settings!$B$16)</f>
        <v>46226.375</v>
      </c>
      <c r="C644" s="20" cm="1">
        <f t="array" ref="C644">B644+TIME(alea_int(1,4,Settings!$B$16),0,0)</f>
        <v>46226.541666666664</v>
      </c>
      <c r="D644" t="str" cm="1">
        <f t="array" ref="D644">choice(Settings!L:L,1,Settings!$B$16)</f>
        <v/>
      </c>
    </row>
    <row r="645" spans="1:4" ht="15.75" customHeight="1" x14ac:dyDescent="0.25">
      <c r="A645" s="2" t="str" cm="1">
        <f t="array" ref="A645">choice(Salles!A:A,1,Settings!$B$16)</f>
        <v>Salle22</v>
      </c>
      <c r="B645" s="3" cm="1">
        <f t="array" ref="B645">alea_date(Settings!$B$11,360,-1,Settings!$B$16)</f>
        <v>46071.375</v>
      </c>
      <c r="C645" s="20" cm="1">
        <f t="array" ref="C645">B645+TIME(alea_int(1,4,Settings!$B$16),0,0)</f>
        <v>46071.541666666664</v>
      </c>
      <c r="D645" t="str" cm="1">
        <f t="array" ref="D645">choice(Settings!L:L,1,Settings!$B$16)</f>
        <v/>
      </c>
    </row>
    <row r="646" spans="1:4" ht="15.75" customHeight="1" x14ac:dyDescent="0.25">
      <c r="A646" s="2" t="str" cm="1">
        <f t="array" ref="A646">choice(Salles!A:A,1,Settings!$B$16)</f>
        <v>Salle17</v>
      </c>
      <c r="B646" s="3" cm="1">
        <f t="array" ref="B646">alea_date(Settings!$B$11,360,-1,Settings!$B$16)</f>
        <v>46115.375</v>
      </c>
      <c r="C646" s="20" cm="1">
        <f t="array" ref="C646">B646+TIME(alea_int(1,4,Settings!$B$16),0,0)</f>
        <v>46115.541666666664</v>
      </c>
      <c r="D646" t="str" cm="1">
        <f t="array" ref="D646">choice(Settings!L:L,1,Settings!$B$16)</f>
        <v/>
      </c>
    </row>
    <row r="647" spans="1:4" ht="15.75" customHeight="1" x14ac:dyDescent="0.25">
      <c r="A647" s="2" t="str" cm="1">
        <f t="array" ref="A647">choice(Salles!A:A,1,Settings!$B$16)</f>
        <v>Salle24</v>
      </c>
      <c r="B647" s="3" cm="1">
        <f t="array" ref="B647">alea_date(Settings!$B$11,360,-1,Settings!$B$16)</f>
        <v>46296.291666666664</v>
      </c>
      <c r="C647" s="20" cm="1">
        <f t="array" ref="C647">B647+TIME(alea_int(1,4,Settings!$B$16),0,0)</f>
        <v>46296.458333333328</v>
      </c>
      <c r="D647" t="str" cm="1">
        <f t="array" ref="D647">choice(Settings!L:L,1,Settings!$B$16)</f>
        <v/>
      </c>
    </row>
    <row r="648" spans="1:4" ht="15.75" customHeight="1" x14ac:dyDescent="0.25">
      <c r="A648" s="2" t="str" cm="1">
        <f t="array" ref="A648">choice(Salles!A:A,1,Settings!$B$16)</f>
        <v>Salle65</v>
      </c>
      <c r="B648" s="3" cm="1">
        <f t="array" ref="B648">alea_date(Settings!$B$11,360,-1,Settings!$B$16)</f>
        <v>46277.625</v>
      </c>
      <c r="C648" s="20" cm="1">
        <f t="array" ref="C648">B648+TIME(alea_int(1,4,Settings!$B$16),0,0)</f>
        <v>46277.791666666664</v>
      </c>
      <c r="D648" t="str" cm="1">
        <f t="array" ref="D648">choice(Settings!L:L,1,Settings!$B$16)</f>
        <v/>
      </c>
    </row>
    <row r="649" spans="1:4" ht="15.75" customHeight="1" x14ac:dyDescent="0.25">
      <c r="A649" s="2" t="str" cm="1">
        <f t="array" ref="A649">choice(Salles!A:A,1,Settings!$B$16)</f>
        <v>Salle34</v>
      </c>
      <c r="B649" s="3" cm="1">
        <f t="array" ref="B649">alea_date(Settings!$B$11,360,-1,Settings!$B$16)</f>
        <v>46046.458333333336</v>
      </c>
      <c r="C649" s="20" cm="1">
        <f t="array" ref="C649">B649+TIME(alea_int(1,4,Settings!$B$16),0,0)</f>
        <v>46046.625</v>
      </c>
      <c r="D649" t="str" cm="1">
        <f t="array" ref="D649">choice(Settings!L:L,1,Settings!$B$16)</f>
        <v/>
      </c>
    </row>
    <row r="650" spans="1:4" ht="15.75" customHeight="1" x14ac:dyDescent="0.25">
      <c r="A650" s="2" t="str" cm="1">
        <f t="array" ref="A650">choice(Salles!A:A,1,Settings!$B$16)</f>
        <v>Salle34</v>
      </c>
      <c r="B650" s="3" cm="1">
        <f t="array" ref="B650">alea_date(Settings!$B$11,360,-1,Settings!$B$16)</f>
        <v>46191.625</v>
      </c>
      <c r="C650" s="20" cm="1">
        <f t="array" ref="C650">B650+TIME(alea_int(1,4,Settings!$B$16),0,0)</f>
        <v>46191.791666666664</v>
      </c>
      <c r="D650" t="str" cm="1">
        <f t="array" ref="D650">choice(Settings!L:L,1,Settings!$B$16)</f>
        <v/>
      </c>
    </row>
    <row r="651" spans="1:4" ht="15.75" customHeight="1" x14ac:dyDescent="0.25">
      <c r="A651" s="2" t="str" cm="1">
        <f t="array" ref="A651">choice(Salles!A:A,1,Settings!$B$16)</f>
        <v>Salle38</v>
      </c>
      <c r="B651" s="3" cm="1">
        <f t="array" ref="B651">alea_date(Settings!$B$11,360,-1,Settings!$B$16)</f>
        <v>46066.583333333336</v>
      </c>
      <c r="C651" s="20" cm="1">
        <f t="array" ref="C651">B651+TIME(alea_int(1,4,Settings!$B$16),0,0)</f>
        <v>46066.75</v>
      </c>
      <c r="D651" t="str" cm="1">
        <f t="array" ref="D651">choice(Settings!L:L,1,Settings!$B$16)</f>
        <v/>
      </c>
    </row>
    <row r="652" spans="1:4" ht="15.75" customHeight="1" x14ac:dyDescent="0.25">
      <c r="A652" s="2" t="str" cm="1">
        <f t="array" ref="A652">choice(Salles!A:A,1,Settings!$B$16)</f>
        <v>Salle8</v>
      </c>
      <c r="B652" s="3" cm="1">
        <f t="array" ref="B652">alea_date(Settings!$B$11,360,-1,Settings!$B$16)</f>
        <v>46210.375</v>
      </c>
      <c r="C652" s="20" cm="1">
        <f t="array" ref="C652">B652+TIME(alea_int(1,4,Settings!$B$16),0,0)</f>
        <v>46210.541666666664</v>
      </c>
      <c r="D652" t="str" cm="1">
        <f t="array" ref="D652">choice(Settings!L:L,1,Settings!$B$16)</f>
        <v/>
      </c>
    </row>
    <row r="653" spans="1:4" ht="15.75" customHeight="1" x14ac:dyDescent="0.25">
      <c r="A653" s="2" t="str" cm="1">
        <f t="array" ref="A653">choice(Salles!A:A,1,Settings!$B$16)</f>
        <v>Salle67</v>
      </c>
      <c r="B653" s="3" cm="1">
        <f t="array" ref="B653">alea_date(Settings!$B$11,360,-1,Settings!$B$16)</f>
        <v>46023.416666666664</v>
      </c>
      <c r="C653" s="20" cm="1">
        <f t="array" ref="C653">B653+TIME(alea_int(1,4,Settings!$B$16),0,0)</f>
        <v>46023.583333333328</v>
      </c>
      <c r="D653" t="str" cm="1">
        <f t="array" ref="D653">choice(Settings!L:L,1,Settings!$B$16)</f>
        <v/>
      </c>
    </row>
    <row r="654" spans="1:4" ht="15.75" customHeight="1" x14ac:dyDescent="0.25">
      <c r="A654" s="2" t="str" cm="1">
        <f t="array" ref="A654">choice(Salles!A:A,1,Settings!$B$16)</f>
        <v>Salle21</v>
      </c>
      <c r="B654" s="3" cm="1">
        <f t="array" ref="B654">alea_date(Settings!$B$11,360,-1,Settings!$B$16)</f>
        <v>46044.583333333336</v>
      </c>
      <c r="C654" s="20" cm="1">
        <f t="array" ref="C654">B654+TIME(alea_int(1,4,Settings!$B$16),0,0)</f>
        <v>46044.75</v>
      </c>
      <c r="D654" t="str" cm="1">
        <f t="array" ref="D654">choice(Settings!L:L,1,Settings!$B$16)</f>
        <v>jeudi</v>
      </c>
    </row>
    <row r="655" spans="1:4" ht="15.75" customHeight="1" x14ac:dyDescent="0.25">
      <c r="A655" s="2" t="str" cm="1">
        <f t="array" ref="A655">choice(Salles!A:A,1,Settings!$B$16)</f>
        <v>Salle50</v>
      </c>
      <c r="B655" s="3" cm="1">
        <f t="array" ref="B655">alea_date(Settings!$B$11,360,-1,Settings!$B$16)</f>
        <v>46162.333333333336</v>
      </c>
      <c r="C655" s="20" cm="1">
        <f t="array" ref="C655">B655+TIME(alea_int(1,4,Settings!$B$16),0,0)</f>
        <v>46162.5</v>
      </c>
      <c r="D655" t="str" cm="1">
        <f t="array" ref="D655">choice(Settings!L:L,1,Settings!$B$16)</f>
        <v>mardi</v>
      </c>
    </row>
    <row r="656" spans="1:4" ht="15.75" customHeight="1" x14ac:dyDescent="0.25">
      <c r="A656" s="2" t="str" cm="1">
        <f t="array" ref="A656">choice(Salles!A:A,1,Settings!$B$16)</f>
        <v>Salle65</v>
      </c>
      <c r="B656" s="3" cm="1">
        <f t="array" ref="B656">alea_date(Settings!$B$11,360,-1,Settings!$B$16)</f>
        <v>46132.583333333336</v>
      </c>
      <c r="C656" s="20" cm="1">
        <f t="array" ref="C656">B656+TIME(alea_int(1,4,Settings!$B$16),0,0)</f>
        <v>46132.75</v>
      </c>
      <c r="D656" t="str" cm="1">
        <f t="array" ref="D656">choice(Settings!L:L,1,Settings!$B$16)</f>
        <v/>
      </c>
    </row>
    <row r="657" spans="1:4" ht="15.75" customHeight="1" x14ac:dyDescent="0.25">
      <c r="A657" s="2" t="str" cm="1">
        <f t="array" ref="A657">choice(Salles!A:A,1,Settings!$B$16)</f>
        <v>Salle40</v>
      </c>
      <c r="B657" s="3" cm="1">
        <f t="array" ref="B657">alea_date(Settings!$B$11,360,-1,Settings!$B$16)</f>
        <v>46033.583333333336</v>
      </c>
      <c r="C657" s="20" cm="1">
        <f t="array" ref="C657">B657+TIME(alea_int(1,4,Settings!$B$16),0,0)</f>
        <v>46033.75</v>
      </c>
      <c r="D657" t="str" cm="1">
        <f t="array" ref="D657">choice(Settings!L:L,1,Settings!$B$16)</f>
        <v/>
      </c>
    </row>
    <row r="658" spans="1:4" ht="15.75" customHeight="1" x14ac:dyDescent="0.25">
      <c r="A658" s="2" t="str" cm="1">
        <f t="array" ref="A658">choice(Salles!A:A,1,Settings!$B$16)</f>
        <v>Salle6</v>
      </c>
      <c r="B658" s="3" cm="1">
        <f t="array" ref="B658">alea_date(Settings!$B$11,360,-1,Settings!$B$16)</f>
        <v>46068.458333333336</v>
      </c>
      <c r="C658" s="20" cm="1">
        <f t="array" ref="C658">B658+TIME(alea_int(1,4,Settings!$B$16),0,0)</f>
        <v>46068.625</v>
      </c>
      <c r="D658" t="str" cm="1">
        <f t="array" ref="D658">choice(Settings!L:L,1,Settings!$B$16)</f>
        <v/>
      </c>
    </row>
    <row r="659" spans="1:4" ht="15.75" customHeight="1" x14ac:dyDescent="0.25">
      <c r="A659" s="2" t="str" cm="1">
        <f t="array" ref="A659">choice(Salles!A:A,1,Settings!$B$16)</f>
        <v>Salle64</v>
      </c>
      <c r="B659" s="3" cm="1">
        <f t="array" ref="B659">alea_date(Settings!$B$11,360,-1,Settings!$B$16)</f>
        <v>46204.25</v>
      </c>
      <c r="C659" s="20" cm="1">
        <f t="array" ref="C659">B659+TIME(alea_int(1,4,Settings!$B$16),0,0)</f>
        <v>46204.416666666664</v>
      </c>
      <c r="D659" t="str" cm="1">
        <f t="array" ref="D659">choice(Settings!L:L,1,Settings!$B$16)</f>
        <v/>
      </c>
    </row>
    <row r="660" spans="1:4" ht="15.75" customHeight="1" x14ac:dyDescent="0.25">
      <c r="A660" s="2" t="str" cm="1">
        <f t="array" ref="A660">choice(Salles!A:A,1,Settings!$B$16)</f>
        <v>Salle8</v>
      </c>
      <c r="B660" s="3" cm="1">
        <f t="array" ref="B660">alea_date(Settings!$B$11,360,-1,Settings!$B$16)</f>
        <v>46189.625</v>
      </c>
      <c r="C660" s="20" cm="1">
        <f t="array" ref="C660">B660+TIME(alea_int(1,4,Settings!$B$16),0,0)</f>
        <v>46189.791666666664</v>
      </c>
      <c r="D660" t="str" cm="1">
        <f t="array" ref="D660">choice(Settings!L:L,1,Settings!$B$16)</f>
        <v/>
      </c>
    </row>
    <row r="661" spans="1:4" ht="15.75" customHeight="1" x14ac:dyDescent="0.25">
      <c r="A661" s="2" t="str" cm="1">
        <f t="array" ref="A661">choice(Salles!A:A,1,Settings!$B$16)</f>
        <v>Salle26</v>
      </c>
      <c r="B661" s="3" cm="1">
        <f t="array" ref="B661">alea_date(Settings!$B$11,360,-1,Settings!$B$16)</f>
        <v>46165.583333333336</v>
      </c>
      <c r="C661" s="20" cm="1">
        <f t="array" ref="C661">B661+TIME(alea_int(1,4,Settings!$B$16),0,0)</f>
        <v>46165.75</v>
      </c>
      <c r="D661" t="str" cm="1">
        <f t="array" ref="D661">choice(Settings!L:L,1,Settings!$B$16)</f>
        <v/>
      </c>
    </row>
    <row r="662" spans="1:4" ht="15.75" customHeight="1" x14ac:dyDescent="0.25">
      <c r="A662" s="2" t="str" cm="1">
        <f t="array" ref="A662">choice(Salles!A:A,1,Settings!$B$16)</f>
        <v>Salle52</v>
      </c>
      <c r="B662" s="3" cm="1">
        <f t="array" ref="B662">alea_date(Settings!$B$11,360,-1,Settings!$B$16)</f>
        <v>46219.333333333336</v>
      </c>
      <c r="C662" s="20" cm="1">
        <f t="array" ref="C662">B662+TIME(alea_int(1,4,Settings!$B$16),0,0)</f>
        <v>46219.5</v>
      </c>
      <c r="D662" t="str" cm="1">
        <f t="array" ref="D662">choice(Settings!L:L,1,Settings!$B$16)</f>
        <v>mercredi</v>
      </c>
    </row>
    <row r="663" spans="1:4" ht="15.75" customHeight="1" x14ac:dyDescent="0.25">
      <c r="A663" s="2" t="str" cm="1">
        <f t="array" ref="A663">choice(Salles!A:A,1,Settings!$B$16)</f>
        <v>Salle34</v>
      </c>
      <c r="B663" s="3" cm="1">
        <f t="array" ref="B663">alea_date(Settings!$B$11,360,-1,Settings!$B$16)</f>
        <v>46363.375</v>
      </c>
      <c r="C663" s="20" cm="1">
        <f t="array" ref="C663">B663+TIME(alea_int(1,4,Settings!$B$16),0,0)</f>
        <v>46363.541666666664</v>
      </c>
      <c r="D663" t="str" cm="1">
        <f t="array" ref="D663">choice(Settings!L:L,1,Settings!$B$16)</f>
        <v/>
      </c>
    </row>
    <row r="664" spans="1:4" ht="15.75" customHeight="1" x14ac:dyDescent="0.25">
      <c r="A664" s="2" t="str" cm="1">
        <f t="array" ref="A664">choice(Salles!A:A,1,Settings!$B$16)</f>
        <v>Salle54</v>
      </c>
      <c r="B664" s="3" cm="1">
        <f t="array" ref="B664">alea_date(Settings!$B$11,360,-1,Settings!$B$16)</f>
        <v>46341.416666666664</v>
      </c>
      <c r="C664" s="20" cm="1">
        <f t="array" ref="C664">B664+TIME(alea_int(1,4,Settings!$B$16),0,0)</f>
        <v>46341.583333333328</v>
      </c>
      <c r="D664" t="str" cm="1">
        <f t="array" ref="D664">choice(Settings!L:L,1,Settings!$B$16)</f>
        <v/>
      </c>
    </row>
    <row r="665" spans="1:4" ht="15.75" customHeight="1" x14ac:dyDescent="0.25">
      <c r="A665" s="2" t="str" cm="1">
        <f t="array" ref="A665">choice(Salles!A:A,1,Settings!$B$16)</f>
        <v>Salle11</v>
      </c>
      <c r="B665" s="3" cm="1">
        <f t="array" ref="B665">alea_date(Settings!$B$11,360,-1,Settings!$B$16)</f>
        <v>46327.458333333336</v>
      </c>
      <c r="C665" s="20" cm="1">
        <f t="array" ref="C665">B665+TIME(alea_int(1,4,Settings!$B$16),0,0)</f>
        <v>46327.625</v>
      </c>
      <c r="D665" t="str" cm="1">
        <f t="array" ref="D665">choice(Settings!L:L,1,Settings!$B$16)</f>
        <v/>
      </c>
    </row>
    <row r="666" spans="1:4" ht="15.75" customHeight="1" x14ac:dyDescent="0.25">
      <c r="A666" s="2" t="str" cm="1">
        <f t="array" ref="A666">choice(Salles!A:A,1,Settings!$B$16)</f>
        <v>Salle27</v>
      </c>
      <c r="B666" s="3" cm="1">
        <f t="array" ref="B666">alea_date(Settings!$B$11,360,-1,Settings!$B$16)</f>
        <v>46277.541666666664</v>
      </c>
      <c r="C666" s="20" cm="1">
        <f t="array" ref="C666">B666+TIME(alea_int(1,4,Settings!$B$16),0,0)</f>
        <v>46277.708333333328</v>
      </c>
      <c r="D666" t="str" cm="1">
        <f t="array" ref="D666">choice(Settings!L:L,1,Settings!$B$16)</f>
        <v/>
      </c>
    </row>
    <row r="667" spans="1:4" ht="15.75" customHeight="1" x14ac:dyDescent="0.25">
      <c r="A667" s="2" t="str" cm="1">
        <f t="array" ref="A667">choice(Salles!A:A,1,Settings!$B$16)</f>
        <v>Salle56</v>
      </c>
      <c r="B667" s="3" cm="1">
        <f t="array" ref="B667">alea_date(Settings!$B$11,360,-1,Settings!$B$16)</f>
        <v>46218.583333333336</v>
      </c>
      <c r="C667" s="20" cm="1">
        <f t="array" ref="C667">B667+TIME(alea_int(1,4,Settings!$B$16),0,0)</f>
        <v>46218.75</v>
      </c>
      <c r="D667" t="str" cm="1">
        <f t="array" ref="D667">choice(Settings!L:L,1,Settings!$B$16)</f>
        <v/>
      </c>
    </row>
    <row r="668" spans="1:4" ht="15.75" customHeight="1" x14ac:dyDescent="0.25">
      <c r="A668" s="2" t="str" cm="1">
        <f t="array" ref="A668">choice(Salles!A:A,1,Settings!$B$16)</f>
        <v>Salle17</v>
      </c>
      <c r="B668" s="3" cm="1">
        <f t="array" ref="B668">alea_date(Settings!$B$11,360,-1,Settings!$B$16)</f>
        <v>46089.25</v>
      </c>
      <c r="C668" s="20" cm="1">
        <f t="array" ref="C668">B668+TIME(alea_int(1,4,Settings!$B$16),0,0)</f>
        <v>46089.416666666664</v>
      </c>
      <c r="D668" t="str" cm="1">
        <f t="array" ref="D668">choice(Settings!L:L,1,Settings!$B$16)</f>
        <v/>
      </c>
    </row>
    <row r="669" spans="1:4" ht="15.75" customHeight="1" x14ac:dyDescent="0.25">
      <c r="A669" s="2" t="str" cm="1">
        <f t="array" ref="A669">choice(Salles!A:A,1,Settings!$B$16)</f>
        <v>Salle64</v>
      </c>
      <c r="B669" s="3" cm="1">
        <f t="array" ref="B669">alea_date(Settings!$B$11,360,-1,Settings!$B$16)</f>
        <v>46096.291666666664</v>
      </c>
      <c r="C669" s="20" cm="1">
        <f t="array" ref="C669">B669+TIME(alea_int(1,4,Settings!$B$16),0,0)</f>
        <v>46096.458333333328</v>
      </c>
      <c r="D669" t="str" cm="1">
        <f t="array" ref="D669">choice(Settings!L:L,1,Settings!$B$16)</f>
        <v/>
      </c>
    </row>
    <row r="670" spans="1:4" ht="15.75" customHeight="1" x14ac:dyDescent="0.25">
      <c r="A670" s="2" t="str" cm="1">
        <f t="array" ref="A670">choice(Salles!A:A,1,Settings!$B$16)</f>
        <v>Salle11</v>
      </c>
      <c r="B670" s="3" cm="1">
        <f t="array" ref="B670">alea_date(Settings!$B$11,360,-1,Settings!$B$16)</f>
        <v>46124.25</v>
      </c>
      <c r="C670" s="20" cm="1">
        <f t="array" ref="C670">B670+TIME(alea_int(1,4,Settings!$B$16),0,0)</f>
        <v>46124.416666666664</v>
      </c>
      <c r="D670" t="str" cm="1">
        <f t="array" ref="D670">choice(Settings!L:L,1,Settings!$B$16)</f>
        <v/>
      </c>
    </row>
    <row r="671" spans="1:4" ht="15.75" customHeight="1" x14ac:dyDescent="0.25">
      <c r="A671" s="2" t="str" cm="1">
        <f t="array" ref="A671">choice(Salles!A:A,1,Settings!$B$16)</f>
        <v>Salle43</v>
      </c>
      <c r="B671" s="3" cm="1">
        <f t="array" ref="B671">alea_date(Settings!$B$11,360,-1,Settings!$B$16)</f>
        <v>46140.625</v>
      </c>
      <c r="C671" s="20" cm="1">
        <f t="array" ref="C671">B671+TIME(alea_int(1,4,Settings!$B$16),0,0)</f>
        <v>46140.791666666664</v>
      </c>
      <c r="D671" t="str" cm="1">
        <f t="array" ref="D671">choice(Settings!L:L,1,Settings!$B$16)</f>
        <v/>
      </c>
    </row>
    <row r="672" spans="1:4" ht="15.75" customHeight="1" x14ac:dyDescent="0.25">
      <c r="A672" s="2" t="str" cm="1">
        <f t="array" ref="A672">choice(Salles!A:A,1,Settings!$B$16)</f>
        <v>Salle22</v>
      </c>
      <c r="B672" s="3" cm="1">
        <f t="array" ref="B672">alea_date(Settings!$B$11,360,-1,Settings!$B$16)</f>
        <v>46152.25</v>
      </c>
      <c r="C672" s="20" cm="1">
        <f t="array" ref="C672">B672+TIME(alea_int(1,4,Settings!$B$16),0,0)</f>
        <v>46152.416666666664</v>
      </c>
      <c r="D672" t="str" cm="1">
        <f t="array" ref="D672">choice(Settings!L:L,1,Settings!$B$16)</f>
        <v/>
      </c>
    </row>
    <row r="673" spans="1:4" ht="15.75" customHeight="1" x14ac:dyDescent="0.25">
      <c r="A673" s="2" t="str" cm="1">
        <f t="array" ref="A673">choice(Salles!A:A,1,Settings!$B$16)</f>
        <v>Salle9</v>
      </c>
      <c r="B673" s="3" cm="1">
        <f t="array" ref="B673">alea_date(Settings!$B$11,360,-1,Settings!$B$16)</f>
        <v>46079.25</v>
      </c>
      <c r="C673" s="20" cm="1">
        <f t="array" ref="C673">B673+TIME(alea_int(1,4,Settings!$B$16),0,0)</f>
        <v>46079.416666666664</v>
      </c>
      <c r="D673" t="str" cm="1">
        <f t="array" ref="D673">choice(Settings!L:L,1,Settings!$B$16)</f>
        <v/>
      </c>
    </row>
    <row r="674" spans="1:4" ht="15.75" customHeight="1" x14ac:dyDescent="0.25">
      <c r="A674" s="2" t="str" cm="1">
        <f t="array" ref="A674">choice(Salles!A:A,1,Settings!$B$16)</f>
        <v>Salle55</v>
      </c>
      <c r="B674" s="3" cm="1">
        <f t="array" ref="B674">alea_date(Settings!$B$11,360,-1,Settings!$B$16)</f>
        <v>46256.625</v>
      </c>
      <c r="C674" s="20" cm="1">
        <f t="array" ref="C674">B674+TIME(alea_int(1,4,Settings!$B$16),0,0)</f>
        <v>46256.791666666664</v>
      </c>
      <c r="D674" t="str" cm="1">
        <f t="array" ref="D674">choice(Settings!L:L,1,Settings!$B$16)</f>
        <v>mercredi</v>
      </c>
    </row>
    <row r="675" spans="1:4" ht="15.75" customHeight="1" x14ac:dyDescent="0.25">
      <c r="A675" s="2" t="str" cm="1">
        <f t="array" ref="A675">choice(Salles!A:A,1,Settings!$B$16)</f>
        <v>Salle64</v>
      </c>
      <c r="B675" s="3" cm="1">
        <f t="array" ref="B675">alea_date(Settings!$B$11,360,-1,Settings!$B$16)</f>
        <v>46324.625</v>
      </c>
      <c r="C675" s="20" cm="1">
        <f t="array" ref="C675">B675+TIME(alea_int(1,4,Settings!$B$16),0,0)</f>
        <v>46324.791666666664</v>
      </c>
      <c r="D675" t="str" cm="1">
        <f t="array" ref="D675">choice(Settings!L:L,1,Settings!$B$16)</f>
        <v/>
      </c>
    </row>
    <row r="676" spans="1:4" ht="15.75" customHeight="1" x14ac:dyDescent="0.25">
      <c r="A676" s="2" t="str" cm="1">
        <f t="array" ref="A676">choice(Salles!A:A,1,Settings!$B$16)</f>
        <v>Salle50</v>
      </c>
      <c r="B676" s="3" cm="1">
        <f t="array" ref="B676">alea_date(Settings!$B$11,360,-1,Settings!$B$16)</f>
        <v>46112.291666666664</v>
      </c>
      <c r="C676" s="20" cm="1">
        <f t="array" ref="C676">B676+TIME(alea_int(1,4,Settings!$B$16),0,0)</f>
        <v>46112.458333333328</v>
      </c>
      <c r="D676" t="str" cm="1">
        <f t="array" ref="D676">choice(Settings!L:L,1,Settings!$B$16)</f>
        <v/>
      </c>
    </row>
    <row r="677" spans="1:4" ht="15.75" customHeight="1" x14ac:dyDescent="0.25">
      <c r="A677" s="2" t="str" cm="1">
        <f t="array" ref="A677">choice(Salles!A:A,1,Settings!$B$16)</f>
        <v>Salle5</v>
      </c>
      <c r="B677" s="3" cm="1">
        <f t="array" ref="B677">alea_date(Settings!$B$11,360,-1,Settings!$B$16)</f>
        <v>46299.5</v>
      </c>
      <c r="C677" s="20" cm="1">
        <f t="array" ref="C677">B677+TIME(alea_int(1,4,Settings!$B$16),0,0)</f>
        <v>46299.666666666664</v>
      </c>
      <c r="D677" t="str" cm="1">
        <f t="array" ref="D677">choice(Settings!L:L,1,Settings!$B$16)</f>
        <v>mardi</v>
      </c>
    </row>
    <row r="678" spans="1:4" ht="15.75" customHeight="1" x14ac:dyDescent="0.25">
      <c r="A678" s="2" t="str" cm="1">
        <f t="array" ref="A678">choice(Salles!A:A,1,Settings!$B$16)</f>
        <v>Salle18</v>
      </c>
      <c r="B678" s="3" cm="1">
        <f t="array" ref="B678">alea_date(Settings!$B$11,360,-1,Settings!$B$16)</f>
        <v>46080.625</v>
      </c>
      <c r="C678" s="20" cm="1">
        <f t="array" ref="C678">B678+TIME(alea_int(1,4,Settings!$B$16),0,0)</f>
        <v>46080.791666666664</v>
      </c>
      <c r="D678" t="str" cm="1">
        <f t="array" ref="D678">choice(Settings!L:L,1,Settings!$B$16)</f>
        <v/>
      </c>
    </row>
    <row r="679" spans="1:4" ht="15.75" customHeight="1" x14ac:dyDescent="0.25">
      <c r="A679" s="2" t="str" cm="1">
        <f t="array" ref="A679">choice(Salles!A:A,1,Settings!$B$16)</f>
        <v>Salle33</v>
      </c>
      <c r="B679" s="3" cm="1">
        <f t="array" ref="B679">alea_date(Settings!$B$11,360,-1,Settings!$B$16)</f>
        <v>46148.541666666664</v>
      </c>
      <c r="C679" s="20" cm="1">
        <f t="array" ref="C679">B679+TIME(alea_int(1,4,Settings!$B$16),0,0)</f>
        <v>46148.708333333328</v>
      </c>
      <c r="D679" t="str" cm="1">
        <f t="array" ref="D679">choice(Settings!L:L,1,Settings!$B$16)</f>
        <v/>
      </c>
    </row>
    <row r="680" spans="1:4" ht="15.75" customHeight="1" x14ac:dyDescent="0.25">
      <c r="A680" s="2" t="str" cm="1">
        <f t="array" ref="A680">choice(Salles!A:A,1,Settings!$B$16)</f>
        <v>Salle5</v>
      </c>
      <c r="B680" s="3" cm="1">
        <f t="array" ref="B680">alea_date(Settings!$B$11,360,-1,Settings!$B$16)</f>
        <v>46203.333333333336</v>
      </c>
      <c r="C680" s="20" cm="1">
        <f t="array" ref="C680">B680+TIME(alea_int(1,4,Settings!$B$16),0,0)</f>
        <v>46203.5</v>
      </c>
      <c r="D680" t="str" cm="1">
        <f t="array" ref="D680">choice(Settings!L:L,1,Settings!$B$16)</f>
        <v/>
      </c>
    </row>
    <row r="681" spans="1:4" ht="15.75" customHeight="1" x14ac:dyDescent="0.25">
      <c r="A681" s="2" t="str" cm="1">
        <f t="array" ref="A681">choice(Salles!A:A,1,Settings!$B$16)</f>
        <v>Salle3</v>
      </c>
      <c r="B681" s="3" cm="1">
        <f t="array" ref="B681">alea_date(Settings!$B$11,360,-1,Settings!$B$16)</f>
        <v>46261.5</v>
      </c>
      <c r="C681" s="20" cm="1">
        <f t="array" ref="C681">B681+TIME(alea_int(1,4,Settings!$B$16),0,0)</f>
        <v>46261.666666666664</v>
      </c>
      <c r="D681" t="str" cm="1">
        <f t="array" ref="D681">choice(Settings!L:L,1,Settings!$B$16)</f>
        <v/>
      </c>
    </row>
    <row r="682" spans="1:4" ht="15.75" customHeight="1" x14ac:dyDescent="0.25">
      <c r="A682" s="2" t="str" cm="1">
        <f t="array" ref="A682">choice(Salles!A:A,1,Settings!$B$16)</f>
        <v>Salle35</v>
      </c>
      <c r="B682" s="3" cm="1">
        <f t="array" ref="B682">alea_date(Settings!$B$11,360,-1,Settings!$B$16)</f>
        <v>46097.25</v>
      </c>
      <c r="C682" s="20" cm="1">
        <f t="array" ref="C682">B682+TIME(alea_int(1,4,Settings!$B$16),0,0)</f>
        <v>46097.416666666664</v>
      </c>
      <c r="D682" t="str" cm="1">
        <f t="array" ref="D682">choice(Settings!L:L,1,Settings!$B$16)</f>
        <v/>
      </c>
    </row>
    <row r="683" spans="1:4" ht="15.75" customHeight="1" x14ac:dyDescent="0.25">
      <c r="A683" s="2" t="str" cm="1">
        <f t="array" ref="A683">choice(Salles!A:A,1,Settings!$B$16)</f>
        <v>Salle42</v>
      </c>
      <c r="B683" s="3" cm="1">
        <f t="array" ref="B683">alea_date(Settings!$B$11,360,-1,Settings!$B$16)</f>
        <v>46364.375</v>
      </c>
      <c r="C683" s="20" cm="1">
        <f t="array" ref="C683">B683+TIME(alea_int(1,4,Settings!$B$16),0,0)</f>
        <v>46364.541666666664</v>
      </c>
      <c r="D683" t="str" cm="1">
        <f t="array" ref="D683">choice(Settings!L:L,1,Settings!$B$16)</f>
        <v/>
      </c>
    </row>
    <row r="684" spans="1:4" ht="15.75" customHeight="1" x14ac:dyDescent="0.25">
      <c r="A684" s="2" t="str" cm="1">
        <f t="array" ref="A684">choice(Salles!A:A,1,Settings!$B$16)</f>
        <v>Salle33</v>
      </c>
      <c r="B684" s="3" cm="1">
        <f t="array" ref="B684">alea_date(Settings!$B$11,360,-1,Settings!$B$16)</f>
        <v>46177.458333333336</v>
      </c>
      <c r="C684" s="20" cm="1">
        <f t="array" ref="C684">B684+TIME(alea_int(1,4,Settings!$B$16),0,0)</f>
        <v>46177.625</v>
      </c>
      <c r="D684" t="str" cm="1">
        <f t="array" ref="D684">choice(Settings!L:L,1,Settings!$B$16)</f>
        <v/>
      </c>
    </row>
    <row r="685" spans="1:4" ht="15.75" customHeight="1" x14ac:dyDescent="0.25">
      <c r="A685" s="2" t="str" cm="1">
        <f t="array" ref="A685">choice(Salles!A:A,1,Settings!$B$16)</f>
        <v>Salle56</v>
      </c>
      <c r="B685" s="3" cm="1">
        <f t="array" ref="B685">alea_date(Settings!$B$11,360,-1,Settings!$B$16)</f>
        <v>46357.541666666664</v>
      </c>
      <c r="C685" s="20" cm="1">
        <f t="array" ref="C685">B685+TIME(alea_int(1,4,Settings!$B$16),0,0)</f>
        <v>46357.708333333328</v>
      </c>
      <c r="D685" t="str" cm="1">
        <f t="array" ref="D685">choice(Settings!L:L,1,Settings!$B$16)</f>
        <v/>
      </c>
    </row>
    <row r="686" spans="1:4" ht="15.75" customHeight="1" x14ac:dyDescent="0.25">
      <c r="A686" s="2" t="str" cm="1">
        <f t="array" ref="A686">choice(Salles!A:A,1,Settings!$B$16)</f>
        <v>Salle29</v>
      </c>
      <c r="B686" s="3" cm="1">
        <f t="array" ref="B686">alea_date(Settings!$B$11,360,-1,Settings!$B$16)</f>
        <v>46341.25</v>
      </c>
      <c r="C686" s="20" cm="1">
        <f t="array" ref="C686">B686+TIME(alea_int(1,4,Settings!$B$16),0,0)</f>
        <v>46341.416666666664</v>
      </c>
      <c r="D686" t="str" cm="1">
        <f t="array" ref="D686">choice(Settings!L:L,1,Settings!$B$16)</f>
        <v/>
      </c>
    </row>
    <row r="687" spans="1:4" ht="15.75" customHeight="1" x14ac:dyDescent="0.25">
      <c r="A687" s="2" t="str" cm="1">
        <f t="array" ref="A687">choice(Salles!A:A,1,Settings!$B$16)</f>
        <v>Salle48</v>
      </c>
      <c r="B687" s="3" cm="1">
        <f t="array" ref="B687">alea_date(Settings!$B$11,360,-1,Settings!$B$16)</f>
        <v>46370.458333333336</v>
      </c>
      <c r="C687" s="20" cm="1">
        <f t="array" ref="C687">B687+TIME(alea_int(1,4,Settings!$B$16),0,0)</f>
        <v>46370.625</v>
      </c>
      <c r="D687" t="str" cm="1">
        <f t="array" ref="D687">choice(Settings!L:L,1,Settings!$B$16)</f>
        <v/>
      </c>
    </row>
    <row r="688" spans="1:4" ht="15.75" customHeight="1" x14ac:dyDescent="0.25">
      <c r="A688" s="2" t="str" cm="1">
        <f t="array" ref="A688">choice(Salles!A:A,1,Settings!$B$16)</f>
        <v>Salle45</v>
      </c>
      <c r="B688" s="3" cm="1">
        <f t="array" ref="B688">alea_date(Settings!$B$11,360,-1,Settings!$B$16)</f>
        <v>46030.416666666664</v>
      </c>
      <c r="C688" s="20" cm="1">
        <f t="array" ref="C688">B688+TIME(alea_int(1,4,Settings!$B$16),0,0)</f>
        <v>46030.583333333328</v>
      </c>
      <c r="D688" t="str" cm="1">
        <f t="array" ref="D688">choice(Settings!L:L,1,Settings!$B$16)</f>
        <v/>
      </c>
    </row>
    <row r="689" spans="1:4" ht="15.75" customHeight="1" x14ac:dyDescent="0.25">
      <c r="A689" s="2" t="str" cm="1">
        <f t="array" ref="A689">choice(Salles!A:A,1,Settings!$B$16)</f>
        <v>Salle33</v>
      </c>
      <c r="B689" s="3" cm="1">
        <f t="array" ref="B689">alea_date(Settings!$B$11,360,-1,Settings!$B$16)</f>
        <v>46135.291666666664</v>
      </c>
      <c r="C689" s="20" cm="1">
        <f t="array" ref="C689">B689+TIME(alea_int(1,4,Settings!$B$16),0,0)</f>
        <v>46135.458333333328</v>
      </c>
      <c r="D689" t="str" cm="1">
        <f t="array" ref="D689">choice(Settings!L:L,1,Settings!$B$16)</f>
        <v/>
      </c>
    </row>
    <row r="690" spans="1:4" ht="15.75" customHeight="1" x14ac:dyDescent="0.25">
      <c r="A690" s="2" t="str" cm="1">
        <f t="array" ref="A690">choice(Salles!A:A,1,Settings!$B$16)</f>
        <v>Salle38</v>
      </c>
      <c r="B690" s="3" cm="1">
        <f t="array" ref="B690">alea_date(Settings!$B$11,360,-1,Settings!$B$16)</f>
        <v>46342.625</v>
      </c>
      <c r="C690" s="20" cm="1">
        <f t="array" ref="C690">B690+TIME(alea_int(1,4,Settings!$B$16),0,0)</f>
        <v>46342.791666666664</v>
      </c>
      <c r="D690" t="str" cm="1">
        <f t="array" ref="D690">choice(Settings!L:L,1,Settings!$B$16)</f>
        <v/>
      </c>
    </row>
    <row r="691" spans="1:4" ht="15.75" customHeight="1" x14ac:dyDescent="0.25">
      <c r="A691" s="2" t="str" cm="1">
        <f t="array" ref="A691">choice(Salles!A:A,1,Settings!$B$16)</f>
        <v>Salle59</v>
      </c>
      <c r="B691" s="3" cm="1">
        <f t="array" ref="B691">alea_date(Settings!$B$11,360,-1,Settings!$B$16)</f>
        <v>46341.5</v>
      </c>
      <c r="C691" s="20" cm="1">
        <f t="array" ref="C691">B691+TIME(alea_int(1,4,Settings!$B$16),0,0)</f>
        <v>46341.666666666664</v>
      </c>
      <c r="D691" t="str" cm="1">
        <f t="array" ref="D691">choice(Settings!L:L,1,Settings!$B$16)</f>
        <v/>
      </c>
    </row>
    <row r="692" spans="1:4" ht="15.75" customHeight="1" x14ac:dyDescent="0.25">
      <c r="A692" s="2" t="str" cm="1">
        <f t="array" ref="A692">choice(Salles!A:A,1,Settings!$B$16)</f>
        <v>Salle54</v>
      </c>
      <c r="B692" s="3" cm="1">
        <f t="array" ref="B692">alea_date(Settings!$B$11,360,-1,Settings!$B$16)</f>
        <v>46038.541666666664</v>
      </c>
      <c r="C692" s="20" cm="1">
        <f t="array" ref="C692">B692+TIME(alea_int(1,4,Settings!$B$16),0,0)</f>
        <v>46038.708333333328</v>
      </c>
      <c r="D692" t="str" cm="1">
        <f t="array" ref="D692">choice(Settings!L:L,1,Settings!$B$16)</f>
        <v/>
      </c>
    </row>
    <row r="693" spans="1:4" ht="15.75" customHeight="1" x14ac:dyDescent="0.25">
      <c r="A693" s="2" t="str" cm="1">
        <f t="array" ref="A693">choice(Salles!A:A,1,Settings!$B$16)</f>
        <v>Salle6</v>
      </c>
      <c r="B693" s="3" cm="1">
        <f t="array" ref="B693">alea_date(Settings!$B$11,360,-1,Settings!$B$16)</f>
        <v>46195.583333333336</v>
      </c>
      <c r="C693" s="20" cm="1">
        <f t="array" ref="C693">B693+TIME(alea_int(1,4,Settings!$B$16),0,0)</f>
        <v>46195.75</v>
      </c>
      <c r="D693" t="str" cm="1">
        <f t="array" ref="D693">choice(Settings!L:L,1,Settings!$B$16)</f>
        <v/>
      </c>
    </row>
    <row r="694" spans="1:4" ht="15.75" customHeight="1" x14ac:dyDescent="0.25">
      <c r="A694" s="2" t="str" cm="1">
        <f t="array" ref="A694">choice(Salles!A:A,1,Settings!$B$16)</f>
        <v>Salle53</v>
      </c>
      <c r="B694" s="3" cm="1">
        <f t="array" ref="B694">alea_date(Settings!$B$11,360,-1,Settings!$B$16)</f>
        <v>46161.291666666664</v>
      </c>
      <c r="C694" s="20" cm="1">
        <f t="array" ref="C694">B694+TIME(alea_int(1,4,Settings!$B$16),0,0)</f>
        <v>46161.458333333328</v>
      </c>
      <c r="D694" t="str" cm="1">
        <f t="array" ref="D694">choice(Settings!L:L,1,Settings!$B$16)</f>
        <v/>
      </c>
    </row>
    <row r="695" spans="1:4" ht="15.75" customHeight="1" x14ac:dyDescent="0.25">
      <c r="A695" s="2" t="str" cm="1">
        <f t="array" ref="A695">choice(Salles!A:A,1,Settings!$B$16)</f>
        <v>Salle21</v>
      </c>
      <c r="B695" s="3" cm="1">
        <f t="array" ref="B695">alea_date(Settings!$B$11,360,-1,Settings!$B$16)</f>
        <v>46225.5</v>
      </c>
      <c r="C695" s="20" cm="1">
        <f t="array" ref="C695">B695+TIME(alea_int(1,4,Settings!$B$16),0,0)</f>
        <v>46225.666666666664</v>
      </c>
      <c r="D695" t="str" cm="1">
        <f t="array" ref="D695">choice(Settings!L:L,1,Settings!$B$16)</f>
        <v/>
      </c>
    </row>
    <row r="696" spans="1:4" ht="15.75" customHeight="1" x14ac:dyDescent="0.25">
      <c r="A696" s="2" t="str" cm="1">
        <f t="array" ref="A696">choice(Salles!A:A,1,Settings!$B$16)</f>
        <v>Salle40</v>
      </c>
      <c r="B696" s="3" cm="1">
        <f t="array" ref="B696">alea_date(Settings!$B$11,360,-1,Settings!$B$16)</f>
        <v>46117.5</v>
      </c>
      <c r="C696" s="20" cm="1">
        <f t="array" ref="C696">B696+TIME(alea_int(1,4,Settings!$B$16),0,0)</f>
        <v>46117.666666666664</v>
      </c>
      <c r="D696" t="str" cm="1">
        <f t="array" ref="D696">choice(Settings!L:L,1,Settings!$B$16)</f>
        <v/>
      </c>
    </row>
    <row r="697" spans="1:4" ht="15.75" customHeight="1" x14ac:dyDescent="0.25">
      <c r="A697" s="2" t="str" cm="1">
        <f t="array" ref="A697">choice(Salles!A:A,1,Settings!$B$16)</f>
        <v>Salle58</v>
      </c>
      <c r="B697" s="3" cm="1">
        <f t="array" ref="B697">alea_date(Settings!$B$11,360,-1,Settings!$B$16)</f>
        <v>46052.375</v>
      </c>
      <c r="C697" s="20" cm="1">
        <f t="array" ref="C697">B697+TIME(alea_int(1,4,Settings!$B$16),0,0)</f>
        <v>46052.541666666664</v>
      </c>
      <c r="D697" t="str" cm="1">
        <f t="array" ref="D697">choice(Settings!L:L,1,Settings!$B$16)</f>
        <v/>
      </c>
    </row>
    <row r="698" spans="1:4" ht="15.75" customHeight="1" x14ac:dyDescent="0.25">
      <c r="A698" s="2" t="str" cm="1">
        <f t="array" ref="A698">choice(Salles!A:A,1,Settings!$B$16)</f>
        <v>Salle21</v>
      </c>
      <c r="B698" s="3" cm="1">
        <f t="array" ref="B698">alea_date(Settings!$B$11,360,-1,Settings!$B$16)</f>
        <v>46248.458333333336</v>
      </c>
      <c r="C698" s="20" cm="1">
        <f t="array" ref="C698">B698+TIME(alea_int(1,4,Settings!$B$16),0,0)</f>
        <v>46248.625</v>
      </c>
      <c r="D698" t="str" cm="1">
        <f t="array" ref="D698">choice(Settings!L:L,1,Settings!$B$16)</f>
        <v/>
      </c>
    </row>
    <row r="699" spans="1:4" ht="15.75" customHeight="1" x14ac:dyDescent="0.25">
      <c r="A699" s="2" t="str" cm="1">
        <f t="array" ref="A699">choice(Salles!A:A,1,Settings!$B$16)</f>
        <v>Salle47</v>
      </c>
      <c r="B699" s="3" cm="1">
        <f t="array" ref="B699">alea_date(Settings!$B$11,360,-1,Settings!$B$16)</f>
        <v>46148.333333333336</v>
      </c>
      <c r="C699" s="20" cm="1">
        <f t="array" ref="C699">B699+TIME(alea_int(1,4,Settings!$B$16),0,0)</f>
        <v>46148.5</v>
      </c>
      <c r="D699" t="str" cm="1">
        <f t="array" ref="D699">choice(Settings!L:L,1,Settings!$B$16)</f>
        <v/>
      </c>
    </row>
    <row r="700" spans="1:4" ht="15.75" customHeight="1" x14ac:dyDescent="0.25">
      <c r="A700" s="2" t="str" cm="1">
        <f t="array" ref="A700">choice(Salles!A:A,1,Settings!$B$16)</f>
        <v>Salle19</v>
      </c>
      <c r="B700" s="3" cm="1">
        <f t="array" ref="B700">alea_date(Settings!$B$11,360,-1,Settings!$B$16)</f>
        <v>46318.5</v>
      </c>
      <c r="C700" s="20" cm="1">
        <f t="array" ref="C700">B700+TIME(alea_int(1,4,Settings!$B$16),0,0)</f>
        <v>46318.666666666664</v>
      </c>
      <c r="D700" t="str" cm="1">
        <f t="array" ref="D700">choice(Settings!L:L,1,Settings!$B$16)</f>
        <v/>
      </c>
    </row>
    <row r="701" spans="1:4" ht="15.75" customHeight="1" x14ac:dyDescent="0.25">
      <c r="A701" s="2" t="str" cm="1">
        <f t="array" ref="A701">choice(Salles!A:A,1,Settings!$B$16)</f>
        <v>Salle29</v>
      </c>
      <c r="B701" s="3" cm="1">
        <f t="array" ref="B701">alea_date(Settings!$B$11,360,-1,Settings!$B$16)</f>
        <v>46040.625</v>
      </c>
      <c r="C701" s="20" cm="1">
        <f t="array" ref="C701">B701+TIME(alea_int(1,4,Settings!$B$16),0,0)</f>
        <v>46040.791666666664</v>
      </c>
      <c r="D701" t="str" cm="1">
        <f t="array" ref="D701">choice(Settings!L:L,1,Settings!$B$16)</f>
        <v/>
      </c>
    </row>
    <row r="702" spans="1:4" ht="15.75" customHeight="1" x14ac:dyDescent="0.25">
      <c r="A702" s="2" t="str" cm="1">
        <f t="array" ref="A702">choice(Salles!A:A,1,Settings!$B$16)</f>
        <v>Salle20</v>
      </c>
      <c r="B702" s="3" cm="1">
        <f t="array" ref="B702">alea_date(Settings!$B$11,360,-1,Settings!$B$16)</f>
        <v>46243.291666666664</v>
      </c>
      <c r="C702" s="20" cm="1">
        <f t="array" ref="C702">B702+TIME(alea_int(1,4,Settings!$B$16),0,0)</f>
        <v>46243.458333333328</v>
      </c>
      <c r="D702" t="str" cm="1">
        <f t="array" ref="D702">choice(Settings!L:L,1,Settings!$B$16)</f>
        <v/>
      </c>
    </row>
    <row r="703" spans="1:4" ht="15.75" customHeight="1" x14ac:dyDescent="0.25">
      <c r="A703" s="2" t="str" cm="1">
        <f t="array" ref="A703">choice(Salles!A:A,1,Settings!$B$16)</f>
        <v>Salle50</v>
      </c>
      <c r="B703" s="3" cm="1">
        <f t="array" ref="B703">alea_date(Settings!$B$11,360,-1,Settings!$B$16)</f>
        <v>46266.625</v>
      </c>
      <c r="C703" s="20" cm="1">
        <f t="array" ref="C703">B703+TIME(alea_int(1,4,Settings!$B$16),0,0)</f>
        <v>46266.791666666664</v>
      </c>
      <c r="D703" t="str" cm="1">
        <f t="array" ref="D703">choice(Settings!L:L,1,Settings!$B$16)</f>
        <v/>
      </c>
    </row>
    <row r="704" spans="1:4" ht="15.75" customHeight="1" x14ac:dyDescent="0.25">
      <c r="A704" s="2" t="str" cm="1">
        <f t="array" ref="A704">choice(Salles!A:A,1,Settings!$B$16)</f>
        <v>Salle52</v>
      </c>
      <c r="B704" s="3" cm="1">
        <f t="array" ref="B704">alea_date(Settings!$B$11,360,-1,Settings!$B$16)</f>
        <v>46346.416666666664</v>
      </c>
      <c r="C704" s="20" cm="1">
        <f t="array" ref="C704">B704+TIME(alea_int(1,4,Settings!$B$16),0,0)</f>
        <v>46346.583333333328</v>
      </c>
      <c r="D704" t="str" cm="1">
        <f t="array" ref="D704">choice(Settings!L:L,1,Settings!$B$16)</f>
        <v/>
      </c>
    </row>
    <row r="705" spans="1:4" ht="15.75" customHeight="1" x14ac:dyDescent="0.25">
      <c r="A705" s="2" t="str" cm="1">
        <f t="array" ref="A705">choice(Salles!A:A,1,Settings!$B$16)</f>
        <v>Salle38</v>
      </c>
      <c r="B705" s="3" cm="1">
        <f t="array" ref="B705">alea_date(Settings!$B$11,360,-1,Settings!$B$16)</f>
        <v>46057.583333333336</v>
      </c>
      <c r="C705" s="20" cm="1">
        <f t="array" ref="C705">B705+TIME(alea_int(1,4,Settings!$B$16),0,0)</f>
        <v>46057.75</v>
      </c>
      <c r="D705" t="str" cm="1">
        <f t="array" ref="D705">choice(Settings!L:L,1,Settings!$B$16)</f>
        <v>mercredi</v>
      </c>
    </row>
    <row r="706" spans="1:4" ht="15.75" customHeight="1" x14ac:dyDescent="0.25">
      <c r="A706" s="2" t="str" cm="1">
        <f t="array" ref="A706">choice(Salles!A:A,1,Settings!$B$16)</f>
        <v>Salle50</v>
      </c>
      <c r="B706" s="3" cm="1">
        <f t="array" ref="B706">alea_date(Settings!$B$11,360,-1,Settings!$B$16)</f>
        <v>46095.416666666664</v>
      </c>
      <c r="C706" s="20" cm="1">
        <f t="array" ref="C706">B706+TIME(alea_int(1,4,Settings!$B$16),0,0)</f>
        <v>46095.583333333328</v>
      </c>
      <c r="D706" t="str" cm="1">
        <f t="array" ref="D706">choice(Settings!L:L,1,Settings!$B$16)</f>
        <v/>
      </c>
    </row>
    <row r="707" spans="1:4" ht="15.75" customHeight="1" x14ac:dyDescent="0.25">
      <c r="A707" s="2" t="str" cm="1">
        <f t="array" ref="A707">choice(Salles!A:A,1,Settings!$B$16)</f>
        <v>Salle60</v>
      </c>
      <c r="B707" s="3" cm="1">
        <f t="array" ref="B707">alea_date(Settings!$B$11,360,-1,Settings!$B$16)</f>
        <v>46162.375</v>
      </c>
      <c r="C707" s="20" cm="1">
        <f t="array" ref="C707">B707+TIME(alea_int(1,4,Settings!$B$16),0,0)</f>
        <v>46162.541666666664</v>
      </c>
      <c r="D707" t="str" cm="1">
        <f t="array" ref="D707">choice(Settings!L:L,1,Settings!$B$16)</f>
        <v>mardi</v>
      </c>
    </row>
    <row r="708" spans="1:4" ht="15.75" customHeight="1" x14ac:dyDescent="0.25">
      <c r="A708" s="2" t="str" cm="1">
        <f t="array" ref="A708">choice(Salles!A:A,1,Settings!$B$16)</f>
        <v>Salle7</v>
      </c>
      <c r="B708" s="3" cm="1">
        <f t="array" ref="B708">alea_date(Settings!$B$11,360,-1,Settings!$B$16)</f>
        <v>46123.416666666664</v>
      </c>
      <c r="C708" s="20" cm="1">
        <f t="array" ref="C708">B708+TIME(alea_int(1,4,Settings!$B$16),0,0)</f>
        <v>46123.583333333328</v>
      </c>
      <c r="D708" t="str" cm="1">
        <f t="array" ref="D708">choice(Settings!L:L,1,Settings!$B$16)</f>
        <v/>
      </c>
    </row>
    <row r="709" spans="1:4" ht="15.75" customHeight="1" x14ac:dyDescent="0.25">
      <c r="A709" s="2" t="str" cm="1">
        <f t="array" ref="A709">choice(Salles!A:A,1,Settings!$B$16)</f>
        <v>Salle18</v>
      </c>
      <c r="B709" s="3" cm="1">
        <f t="array" ref="B709">alea_date(Settings!$B$11,360,-1,Settings!$B$16)</f>
        <v>46241.541666666664</v>
      </c>
      <c r="C709" s="20" cm="1">
        <f t="array" ref="C709">B709+TIME(alea_int(1,4,Settings!$B$16),0,0)</f>
        <v>46241.708333333328</v>
      </c>
      <c r="D709" t="str" cm="1">
        <f t="array" ref="D709">choice(Settings!L:L,1,Settings!$B$16)</f>
        <v>mardi</v>
      </c>
    </row>
    <row r="710" spans="1:4" ht="15.75" customHeight="1" x14ac:dyDescent="0.25">
      <c r="A710" s="2" t="str" cm="1">
        <f t="array" ref="A710">choice(Salles!A:A,1,Settings!$B$16)</f>
        <v>Salle40</v>
      </c>
      <c r="B710" s="3" cm="1">
        <f t="array" ref="B710">alea_date(Settings!$B$11,360,-1,Settings!$B$16)</f>
        <v>46089.333333333336</v>
      </c>
      <c r="C710" s="20" cm="1">
        <f t="array" ref="C710">B710+TIME(alea_int(1,4,Settings!$B$16),0,0)</f>
        <v>46089.5</v>
      </c>
      <c r="D710" t="str" cm="1">
        <f t="array" ref="D710">choice(Settings!L:L,1,Settings!$B$16)</f>
        <v/>
      </c>
    </row>
    <row r="711" spans="1:4" ht="15.75" customHeight="1" x14ac:dyDescent="0.25">
      <c r="A711" s="2" t="str" cm="1">
        <f t="array" ref="A711">choice(Salles!A:A,1,Settings!$B$16)</f>
        <v>Salle69</v>
      </c>
      <c r="B711" s="3" cm="1">
        <f t="array" ref="B711">alea_date(Settings!$B$11,360,-1,Settings!$B$16)</f>
        <v>46244.625</v>
      </c>
      <c r="C711" s="20" cm="1">
        <f t="array" ref="C711">B711+TIME(alea_int(1,4,Settings!$B$16),0,0)</f>
        <v>46244.791666666664</v>
      </c>
      <c r="D711" t="str" cm="1">
        <f t="array" ref="D711">choice(Settings!L:L,1,Settings!$B$16)</f>
        <v/>
      </c>
    </row>
    <row r="712" spans="1:4" ht="15.75" customHeight="1" x14ac:dyDescent="0.25">
      <c r="A712" s="2" t="str" cm="1">
        <f t="array" ref="A712">choice(Salles!A:A,1,Settings!$B$16)</f>
        <v>Salle28</v>
      </c>
      <c r="B712" s="3" cm="1">
        <f t="array" ref="B712">alea_date(Settings!$B$11,360,-1,Settings!$B$16)</f>
        <v>46320.458333333336</v>
      </c>
      <c r="C712" s="20" cm="1">
        <f t="array" ref="C712">B712+TIME(alea_int(1,4,Settings!$B$16),0,0)</f>
        <v>46320.625</v>
      </c>
      <c r="D712" t="str" cm="1">
        <f t="array" ref="D712">choice(Settings!L:L,1,Settings!$B$16)</f>
        <v>jeudi</v>
      </c>
    </row>
    <row r="713" spans="1:4" ht="15.75" customHeight="1" x14ac:dyDescent="0.25">
      <c r="A713" s="2" t="str" cm="1">
        <f t="array" ref="A713">choice(Salles!A:A,1,Settings!$B$16)</f>
        <v>Salle70</v>
      </c>
      <c r="B713" s="3" cm="1">
        <f t="array" ref="B713">alea_date(Settings!$B$11,360,-1,Settings!$B$16)</f>
        <v>46329.541666666664</v>
      </c>
      <c r="C713" s="20" cm="1">
        <f t="array" ref="C713">B713+TIME(alea_int(1,4,Settings!$B$16),0,0)</f>
        <v>46329.708333333328</v>
      </c>
      <c r="D713" t="str" cm="1">
        <f t="array" ref="D713">choice(Settings!L:L,1,Settings!$B$16)</f>
        <v/>
      </c>
    </row>
    <row r="714" spans="1:4" ht="15.75" customHeight="1" x14ac:dyDescent="0.25">
      <c r="A714" s="2" t="str" cm="1">
        <f t="array" ref="A714">choice(Salles!A:A,1,Settings!$B$16)</f>
        <v>Salle46</v>
      </c>
      <c r="B714" s="3" cm="1">
        <f t="array" ref="B714">alea_date(Settings!$B$11,360,-1,Settings!$B$16)</f>
        <v>46342.458333333336</v>
      </c>
      <c r="C714" s="20" cm="1">
        <f t="array" ref="C714">B714+TIME(alea_int(1,4,Settings!$B$16),0,0)</f>
        <v>46342.625</v>
      </c>
      <c r="D714" t="str" cm="1">
        <f t="array" ref="D714">choice(Settings!L:L,1,Settings!$B$16)</f>
        <v/>
      </c>
    </row>
    <row r="715" spans="1:4" ht="15.75" customHeight="1" x14ac:dyDescent="0.25">
      <c r="A715" s="2" t="str" cm="1">
        <f t="array" ref="A715">choice(Salles!A:A,1,Settings!$B$16)</f>
        <v>Salle60</v>
      </c>
      <c r="B715" s="3" cm="1">
        <f t="array" ref="B715">alea_date(Settings!$B$11,360,-1,Settings!$B$16)</f>
        <v>46223.458333333336</v>
      </c>
      <c r="C715" s="20" cm="1">
        <f t="array" ref="C715">B715+TIME(alea_int(1,4,Settings!$B$16),0,0)</f>
        <v>46223.625</v>
      </c>
      <c r="D715" t="str" cm="1">
        <f t="array" ref="D715">choice(Settings!L:L,1,Settings!$B$16)</f>
        <v/>
      </c>
    </row>
    <row r="716" spans="1:4" ht="15.75" customHeight="1" x14ac:dyDescent="0.25">
      <c r="A716" s="2" t="str" cm="1">
        <f t="array" ref="A716">choice(Salles!A:A,1,Settings!$B$16)</f>
        <v>Salle65</v>
      </c>
      <c r="B716" s="3" cm="1">
        <f t="array" ref="B716">alea_date(Settings!$B$11,360,-1,Settings!$B$16)</f>
        <v>46122.541666666664</v>
      </c>
      <c r="C716" s="20" cm="1">
        <f t="array" ref="C716">B716+TIME(alea_int(1,4,Settings!$B$16),0,0)</f>
        <v>46122.708333333328</v>
      </c>
      <c r="D716" t="str" cm="1">
        <f t="array" ref="D716">choice(Settings!L:L,1,Settings!$B$16)</f>
        <v>mardi</v>
      </c>
    </row>
    <row r="717" spans="1:4" ht="15.75" customHeight="1" x14ac:dyDescent="0.25">
      <c r="A717" s="2" t="str" cm="1">
        <f t="array" ref="A717">choice(Salles!A:A,1,Settings!$B$16)</f>
        <v>Salle27</v>
      </c>
      <c r="B717" s="3" cm="1">
        <f t="array" ref="B717">alea_date(Settings!$B$11,360,-1,Settings!$B$16)</f>
        <v>46045.541666666664</v>
      </c>
      <c r="C717" s="20" cm="1">
        <f t="array" ref="C717">B717+TIME(alea_int(1,4,Settings!$B$16),0,0)</f>
        <v>46045.708333333328</v>
      </c>
      <c r="D717" t="str" cm="1">
        <f t="array" ref="D717">choice(Settings!L:L,1,Settings!$B$16)</f>
        <v/>
      </c>
    </row>
    <row r="718" spans="1:4" ht="15.75" customHeight="1" x14ac:dyDescent="0.25">
      <c r="A718" s="2" t="str" cm="1">
        <f t="array" ref="A718">choice(Salles!A:A,1,Settings!$B$16)</f>
        <v>Salle41</v>
      </c>
      <c r="B718" s="3" cm="1">
        <f t="array" ref="B718">alea_date(Settings!$B$11,360,-1,Settings!$B$16)</f>
        <v>46046.625</v>
      </c>
      <c r="C718" s="20" cm="1">
        <f t="array" ref="C718">B718+TIME(alea_int(1,4,Settings!$B$16),0,0)</f>
        <v>46046.791666666664</v>
      </c>
      <c r="D718" t="str" cm="1">
        <f t="array" ref="D718">choice(Settings!L:L,1,Settings!$B$16)</f>
        <v/>
      </c>
    </row>
    <row r="719" spans="1:4" ht="15.75" customHeight="1" x14ac:dyDescent="0.25">
      <c r="A719" s="2" t="str" cm="1">
        <f t="array" ref="A719">choice(Salles!A:A,1,Settings!$B$16)</f>
        <v>Salle13</v>
      </c>
      <c r="B719" s="3" cm="1">
        <f t="array" ref="B719">alea_date(Settings!$B$11,360,-1,Settings!$B$16)</f>
        <v>46185.25</v>
      </c>
      <c r="C719" s="20" cm="1">
        <f t="array" ref="C719">B719+TIME(alea_int(1,4,Settings!$B$16),0,0)</f>
        <v>46185.416666666664</v>
      </c>
      <c r="D719" t="str" cm="1">
        <f t="array" ref="D719">choice(Settings!L:L,1,Settings!$B$16)</f>
        <v/>
      </c>
    </row>
    <row r="720" spans="1:4" ht="15.75" customHeight="1" x14ac:dyDescent="0.25">
      <c r="A720" s="2" t="str" cm="1">
        <f t="array" ref="A720">choice(Salles!A:A,1,Settings!$B$16)</f>
        <v>Salle7</v>
      </c>
      <c r="B720" s="3" cm="1">
        <f t="array" ref="B720">alea_date(Settings!$B$11,360,-1,Settings!$B$16)</f>
        <v>46275.375</v>
      </c>
      <c r="C720" s="20" cm="1">
        <f t="array" ref="C720">B720+TIME(alea_int(1,4,Settings!$B$16),0,0)</f>
        <v>46275.541666666664</v>
      </c>
      <c r="D720" t="str" cm="1">
        <f t="array" ref="D720">choice(Settings!L:L,1,Settings!$B$16)</f>
        <v>jeudi</v>
      </c>
    </row>
    <row r="721" spans="1:4" ht="15.75" customHeight="1" x14ac:dyDescent="0.25">
      <c r="A721" s="2" t="str" cm="1">
        <f t="array" ref="A721">choice(Salles!A:A,1,Settings!$B$16)</f>
        <v>Salle21</v>
      </c>
      <c r="B721" s="3" cm="1">
        <f t="array" ref="B721">alea_date(Settings!$B$11,360,-1,Settings!$B$16)</f>
        <v>46252.25</v>
      </c>
      <c r="C721" s="20" cm="1">
        <f t="array" ref="C721">B721+TIME(alea_int(1,4,Settings!$B$16),0,0)</f>
        <v>46252.416666666664</v>
      </c>
      <c r="D721" t="str" cm="1">
        <f t="array" ref="D721">choice(Settings!L:L,1,Settings!$B$16)</f>
        <v/>
      </c>
    </row>
    <row r="722" spans="1:4" ht="15.75" customHeight="1" x14ac:dyDescent="0.25">
      <c r="A722" s="2" t="str" cm="1">
        <f t="array" ref="A722">choice(Salles!A:A,1,Settings!$B$16)</f>
        <v>Salle3</v>
      </c>
      <c r="B722" s="3" cm="1">
        <f t="array" ref="B722">alea_date(Settings!$B$11,360,-1,Settings!$B$16)</f>
        <v>46289.583333333336</v>
      </c>
      <c r="C722" s="20" cm="1">
        <f t="array" ref="C722">B722+TIME(alea_int(1,4,Settings!$B$16),0,0)</f>
        <v>46289.75</v>
      </c>
      <c r="D722" t="str" cm="1">
        <f t="array" ref="D722">choice(Settings!L:L,1,Settings!$B$16)</f>
        <v/>
      </c>
    </row>
    <row r="723" spans="1:4" ht="15.75" customHeight="1" x14ac:dyDescent="0.25">
      <c r="A723" s="2" t="str" cm="1">
        <f t="array" ref="A723">choice(Salles!A:A,1,Settings!$B$16)</f>
        <v>Salle7</v>
      </c>
      <c r="B723" s="3" cm="1">
        <f t="array" ref="B723">alea_date(Settings!$B$11,360,-1,Settings!$B$16)</f>
        <v>46285.291666666664</v>
      </c>
      <c r="C723" s="20" cm="1">
        <f t="array" ref="C723">B723+TIME(alea_int(1,4,Settings!$B$16),0,0)</f>
        <v>46285.458333333328</v>
      </c>
      <c r="D723" t="str" cm="1">
        <f t="array" ref="D723">choice(Settings!L:L,1,Settings!$B$16)</f>
        <v/>
      </c>
    </row>
    <row r="724" spans="1:4" ht="15.75" customHeight="1" x14ac:dyDescent="0.25">
      <c r="A724" s="2" t="str" cm="1">
        <f t="array" ref="A724">choice(Salles!A:A,1,Settings!$B$16)</f>
        <v>Salle41</v>
      </c>
      <c r="B724" s="3" cm="1">
        <f t="array" ref="B724">alea_date(Settings!$B$11,360,-1,Settings!$B$16)</f>
        <v>46235.333333333336</v>
      </c>
      <c r="C724" s="20" cm="1">
        <f t="array" ref="C724">B724+TIME(alea_int(1,4,Settings!$B$16),0,0)</f>
        <v>46235.5</v>
      </c>
      <c r="D724" t="str" cm="1">
        <f t="array" ref="D724">choice(Settings!L:L,1,Settings!$B$16)</f>
        <v/>
      </c>
    </row>
    <row r="725" spans="1:4" ht="15.75" customHeight="1" x14ac:dyDescent="0.25">
      <c r="A725" s="2" t="str" cm="1">
        <f t="array" ref="A725">choice(Salles!A:A,1,Settings!$B$16)</f>
        <v>Salle66</v>
      </c>
      <c r="B725" s="3" cm="1">
        <f t="array" ref="B725">alea_date(Settings!$B$11,360,-1,Settings!$B$16)</f>
        <v>46322.333333333336</v>
      </c>
      <c r="C725" s="20" cm="1">
        <f t="array" ref="C725">B725+TIME(alea_int(1,4,Settings!$B$16),0,0)</f>
        <v>46322.5</v>
      </c>
      <c r="D725" t="str" cm="1">
        <f t="array" ref="D725">choice(Settings!L:L,1,Settings!$B$16)</f>
        <v/>
      </c>
    </row>
    <row r="726" spans="1:4" ht="15.75" customHeight="1" x14ac:dyDescent="0.25">
      <c r="A726" s="2" t="str" cm="1">
        <f t="array" ref="A726">choice(Salles!A:A,1,Settings!$B$16)</f>
        <v>Salle25</v>
      </c>
      <c r="B726" s="3" cm="1">
        <f t="array" ref="B726">alea_date(Settings!$B$11,360,-1,Settings!$B$16)</f>
        <v>46299.541666666664</v>
      </c>
      <c r="C726" s="20" cm="1">
        <f t="array" ref="C726">B726+TIME(alea_int(1,4,Settings!$B$16),0,0)</f>
        <v>46299.708333333328</v>
      </c>
      <c r="D726" t="str" cm="1">
        <f t="array" ref="D726">choice(Settings!L:L,1,Settings!$B$16)</f>
        <v/>
      </c>
    </row>
    <row r="727" spans="1:4" ht="15.75" customHeight="1" x14ac:dyDescent="0.25">
      <c r="A727" s="2" t="str" cm="1">
        <f t="array" ref="A727">choice(Salles!A:A,1,Settings!$B$16)</f>
        <v>Salle2</v>
      </c>
      <c r="B727" s="3" cm="1">
        <f t="array" ref="B727">alea_date(Settings!$B$11,360,-1,Settings!$B$16)</f>
        <v>46078.375</v>
      </c>
      <c r="C727" s="20" cm="1">
        <f t="array" ref="C727">B727+TIME(alea_int(1,4,Settings!$B$16),0,0)</f>
        <v>46078.541666666664</v>
      </c>
      <c r="D727" t="str" cm="1">
        <f t="array" ref="D727">choice(Settings!L:L,1,Settings!$B$16)</f>
        <v/>
      </c>
    </row>
    <row r="728" spans="1:4" ht="15.75" customHeight="1" x14ac:dyDescent="0.25">
      <c r="A728" s="2" t="str" cm="1">
        <f t="array" ref="A728">choice(Salles!A:A,1,Settings!$B$16)</f>
        <v>Salle21</v>
      </c>
      <c r="B728" s="3" cm="1">
        <f t="array" ref="B728">alea_date(Settings!$B$11,360,-1,Settings!$B$16)</f>
        <v>46305.25</v>
      </c>
      <c r="C728" s="20" cm="1">
        <f t="array" ref="C728">B728+TIME(alea_int(1,4,Settings!$B$16),0,0)</f>
        <v>46305.416666666664</v>
      </c>
      <c r="D728" t="str" cm="1">
        <f t="array" ref="D728">choice(Settings!L:L,1,Settings!$B$16)</f>
        <v/>
      </c>
    </row>
    <row r="729" spans="1:4" ht="15.75" customHeight="1" x14ac:dyDescent="0.25">
      <c r="A729" s="2" t="str" cm="1">
        <f t="array" ref="A729">choice(Salles!A:A,1,Settings!$B$16)</f>
        <v>Salle22</v>
      </c>
      <c r="B729" s="3" cm="1">
        <f t="array" ref="B729">alea_date(Settings!$B$11,360,-1,Settings!$B$16)</f>
        <v>46073.625</v>
      </c>
      <c r="C729" s="20" cm="1">
        <f t="array" ref="C729">B729+TIME(alea_int(1,4,Settings!$B$16),0,0)</f>
        <v>46073.791666666664</v>
      </c>
      <c r="D729" t="str" cm="1">
        <f t="array" ref="D729">choice(Settings!L:L,1,Settings!$B$16)</f>
        <v/>
      </c>
    </row>
    <row r="730" spans="1:4" ht="15.75" customHeight="1" x14ac:dyDescent="0.25">
      <c r="A730" s="2" t="str" cm="1">
        <f t="array" ref="A730">choice(Salles!A:A,1,Settings!$B$16)</f>
        <v>Salle56</v>
      </c>
      <c r="B730" s="3" cm="1">
        <f t="array" ref="B730">alea_date(Settings!$B$11,360,-1,Settings!$B$16)</f>
        <v>46105.625</v>
      </c>
      <c r="C730" s="20" cm="1">
        <f t="array" ref="C730">B730+TIME(alea_int(1,4,Settings!$B$16),0,0)</f>
        <v>46105.791666666664</v>
      </c>
      <c r="D730" t="str" cm="1">
        <f t="array" ref="D730">choice(Settings!L:L,1,Settings!$B$16)</f>
        <v/>
      </c>
    </row>
    <row r="731" spans="1:4" ht="15.75" customHeight="1" x14ac:dyDescent="0.25">
      <c r="A731" s="2" t="str" cm="1">
        <f t="array" ref="A731">choice(Salles!A:A,1,Settings!$B$16)</f>
        <v>Salle29</v>
      </c>
      <c r="B731" s="3" cm="1">
        <f t="array" ref="B731">alea_date(Settings!$B$11,360,-1,Settings!$B$16)</f>
        <v>46065.416666666664</v>
      </c>
      <c r="C731" s="20" cm="1">
        <f t="array" ref="C731">B731+TIME(alea_int(1,4,Settings!$B$16),0,0)</f>
        <v>46065.583333333328</v>
      </c>
      <c r="D731" t="str" cm="1">
        <f t="array" ref="D731">choice(Settings!L:L,1,Settings!$B$16)</f>
        <v/>
      </c>
    </row>
    <row r="732" spans="1:4" ht="15.75" customHeight="1" x14ac:dyDescent="0.25">
      <c r="A732" s="2" t="str" cm="1">
        <f t="array" ref="A732">choice(Salles!A:A,1,Settings!$B$16)</f>
        <v>Salle32</v>
      </c>
      <c r="B732" s="3" cm="1">
        <f t="array" ref="B732">alea_date(Settings!$B$11,360,-1,Settings!$B$16)</f>
        <v>46112.333333333336</v>
      </c>
      <c r="C732" s="20" cm="1">
        <f t="array" ref="C732">B732+TIME(alea_int(1,4,Settings!$B$16),0,0)</f>
        <v>46112.5</v>
      </c>
      <c r="D732" t="str" cm="1">
        <f t="array" ref="D732">choice(Settings!L:L,1,Settings!$B$16)</f>
        <v>vendredi</v>
      </c>
    </row>
    <row r="733" spans="1:4" ht="15.75" customHeight="1" x14ac:dyDescent="0.25">
      <c r="A733" s="2" t="str" cm="1">
        <f t="array" ref="A733">choice(Salles!A:A,1,Settings!$B$16)</f>
        <v>Salle2</v>
      </c>
      <c r="B733" s="3" cm="1">
        <f t="array" ref="B733">alea_date(Settings!$B$11,360,-1,Settings!$B$16)</f>
        <v>46211.625</v>
      </c>
      <c r="C733" s="20" cm="1">
        <f t="array" ref="C733">B733+TIME(alea_int(1,4,Settings!$B$16),0,0)</f>
        <v>46211.791666666664</v>
      </c>
      <c r="D733" t="str" cm="1">
        <f t="array" ref="D733">choice(Settings!L:L,1,Settings!$B$16)</f>
        <v/>
      </c>
    </row>
    <row r="734" spans="1:4" ht="15.75" customHeight="1" x14ac:dyDescent="0.25">
      <c r="A734" s="2" t="str" cm="1">
        <f t="array" ref="A734">choice(Salles!A:A,1,Settings!$B$16)</f>
        <v>Salle32</v>
      </c>
      <c r="B734" s="3" cm="1">
        <f t="array" ref="B734">alea_date(Settings!$B$11,360,-1,Settings!$B$16)</f>
        <v>46118.5</v>
      </c>
      <c r="C734" s="20" cm="1">
        <f t="array" ref="C734">B734+TIME(alea_int(1,4,Settings!$B$16),0,0)</f>
        <v>46118.666666666664</v>
      </c>
      <c r="D734" t="str" cm="1">
        <f t="array" ref="D734">choice(Settings!L:L,1,Settings!$B$16)</f>
        <v/>
      </c>
    </row>
    <row r="735" spans="1:4" ht="15.75" customHeight="1" x14ac:dyDescent="0.25">
      <c r="A735" s="2" t="str" cm="1">
        <f t="array" ref="A735">choice(Salles!A:A,1,Settings!$B$16)</f>
        <v>Salle23</v>
      </c>
      <c r="B735" s="3" cm="1">
        <f t="array" ref="B735">alea_date(Settings!$B$11,360,-1,Settings!$B$16)</f>
        <v>46359.625</v>
      </c>
      <c r="C735" s="20" cm="1">
        <f t="array" ref="C735">B735+TIME(alea_int(1,4,Settings!$B$16),0,0)</f>
        <v>46359.791666666664</v>
      </c>
      <c r="D735" t="str" cm="1">
        <f t="array" ref="D735">choice(Settings!L:L,1,Settings!$B$16)</f>
        <v>mardi</v>
      </c>
    </row>
    <row r="736" spans="1:4" ht="15.75" customHeight="1" x14ac:dyDescent="0.25">
      <c r="A736" s="2" t="str" cm="1">
        <f t="array" ref="A736">choice(Salles!A:A,1,Settings!$B$16)</f>
        <v>Salle16</v>
      </c>
      <c r="B736" s="3" cm="1">
        <f t="array" ref="B736">alea_date(Settings!$B$11,360,-1,Settings!$B$16)</f>
        <v>46131.625</v>
      </c>
      <c r="C736" s="20" cm="1">
        <f t="array" ref="C736">B736+TIME(alea_int(1,4,Settings!$B$16),0,0)</f>
        <v>46131.791666666664</v>
      </c>
      <c r="D736" t="str" cm="1">
        <f t="array" ref="D736">choice(Settings!L:L,1,Settings!$B$16)</f>
        <v>jeudi</v>
      </c>
    </row>
    <row r="737" spans="1:4" ht="15.75" customHeight="1" x14ac:dyDescent="0.25">
      <c r="A737" s="2" t="str" cm="1">
        <f t="array" ref="A737">choice(Salles!A:A,1,Settings!$B$16)</f>
        <v>Salle16</v>
      </c>
      <c r="B737" s="3" cm="1">
        <f t="array" ref="B737">alea_date(Settings!$B$11,360,-1,Settings!$B$16)</f>
        <v>46332.458333333336</v>
      </c>
      <c r="C737" s="20" cm="1">
        <f t="array" ref="C737">B737+TIME(alea_int(1,4,Settings!$B$16),0,0)</f>
        <v>46332.625</v>
      </c>
      <c r="D737" t="str" cm="1">
        <f t="array" ref="D737">choice(Settings!L:L,1,Settings!$B$16)</f>
        <v/>
      </c>
    </row>
    <row r="738" spans="1:4" ht="15.75" customHeight="1" x14ac:dyDescent="0.25">
      <c r="A738" s="2" t="str" cm="1">
        <f t="array" ref="A738">choice(Salles!A:A,1,Settings!$B$16)</f>
        <v>Salle14</v>
      </c>
      <c r="B738" s="3" cm="1">
        <f t="array" ref="B738">alea_date(Settings!$B$11,360,-1,Settings!$B$16)</f>
        <v>46087.458333333336</v>
      </c>
      <c r="C738" s="20" cm="1">
        <f t="array" ref="C738">B738+TIME(alea_int(1,4,Settings!$B$16),0,0)</f>
        <v>46087.625</v>
      </c>
      <c r="D738" t="str" cm="1">
        <f t="array" ref="D738">choice(Settings!L:L,1,Settings!$B$16)</f>
        <v/>
      </c>
    </row>
    <row r="739" spans="1:4" ht="15.75" customHeight="1" x14ac:dyDescent="0.25">
      <c r="A739" s="2" t="str" cm="1">
        <f t="array" ref="A739">choice(Salles!A:A,1,Settings!$B$16)</f>
        <v>Salle8</v>
      </c>
      <c r="B739" s="3" cm="1">
        <f t="array" ref="B739">alea_date(Settings!$B$11,360,-1,Settings!$B$16)</f>
        <v>46084.416666666664</v>
      </c>
      <c r="C739" s="20" cm="1">
        <f t="array" ref="C739">B739+TIME(alea_int(1,4,Settings!$B$16),0,0)</f>
        <v>46084.583333333328</v>
      </c>
      <c r="D739" t="str" cm="1">
        <f t="array" ref="D739">choice(Settings!L:L,1,Settings!$B$16)</f>
        <v/>
      </c>
    </row>
    <row r="740" spans="1:4" ht="15.75" customHeight="1" x14ac:dyDescent="0.25">
      <c r="A740" s="2" t="str" cm="1">
        <f t="array" ref="A740">choice(Salles!A:A,1,Settings!$B$16)</f>
        <v>Salle40</v>
      </c>
      <c r="B740" s="3" cm="1">
        <f t="array" ref="B740">alea_date(Settings!$B$11,360,-1,Settings!$B$16)</f>
        <v>46122.291666666664</v>
      </c>
      <c r="C740" s="20" cm="1">
        <f t="array" ref="C740">B740+TIME(alea_int(1,4,Settings!$B$16),0,0)</f>
        <v>46122.458333333328</v>
      </c>
      <c r="D740" t="str" cm="1">
        <f t="array" ref="D740">choice(Settings!L:L,1,Settings!$B$16)</f>
        <v/>
      </c>
    </row>
    <row r="741" spans="1:4" ht="15.75" customHeight="1" x14ac:dyDescent="0.25">
      <c r="A741" s="2" t="str" cm="1">
        <f t="array" ref="A741">choice(Salles!A:A,1,Settings!$B$16)</f>
        <v>Salle8</v>
      </c>
      <c r="B741" s="3" cm="1">
        <f t="array" ref="B741">alea_date(Settings!$B$11,360,-1,Settings!$B$16)</f>
        <v>46160.333333333336</v>
      </c>
      <c r="C741" s="20" cm="1">
        <f t="array" ref="C741">B741+TIME(alea_int(1,4,Settings!$B$16),0,0)</f>
        <v>46160.5</v>
      </c>
      <c r="D741" t="str" cm="1">
        <f t="array" ref="D741">choice(Settings!L:L,1,Settings!$B$16)</f>
        <v/>
      </c>
    </row>
    <row r="742" spans="1:4" ht="15.75" customHeight="1" x14ac:dyDescent="0.25">
      <c r="A742" s="2" t="str" cm="1">
        <f t="array" ref="A742">choice(Salles!A:A,1,Settings!$B$16)</f>
        <v>Salle55</v>
      </c>
      <c r="B742" s="3" cm="1">
        <f t="array" ref="B742">alea_date(Settings!$B$11,360,-1,Settings!$B$16)</f>
        <v>46047.583333333336</v>
      </c>
      <c r="C742" s="20" cm="1">
        <f t="array" ref="C742">B742+TIME(alea_int(1,4,Settings!$B$16),0,0)</f>
        <v>46047.75</v>
      </c>
      <c r="D742" t="str" cm="1">
        <f t="array" ref="D742">choice(Settings!L:L,1,Settings!$B$16)</f>
        <v>mardi</v>
      </c>
    </row>
    <row r="743" spans="1:4" ht="15.75" customHeight="1" x14ac:dyDescent="0.25">
      <c r="A743" s="2" t="str" cm="1">
        <f t="array" ref="A743">choice(Salles!A:A,1,Settings!$B$16)</f>
        <v>Salle28</v>
      </c>
      <c r="B743" s="3" cm="1">
        <f t="array" ref="B743">alea_date(Settings!$B$11,360,-1,Settings!$B$16)</f>
        <v>46146.333333333336</v>
      </c>
      <c r="C743" s="20" cm="1">
        <f t="array" ref="C743">B743+TIME(alea_int(1,4,Settings!$B$16),0,0)</f>
        <v>46146.5</v>
      </c>
      <c r="D743" t="str" cm="1">
        <f t="array" ref="D743">choice(Settings!L:L,1,Settings!$B$16)</f>
        <v/>
      </c>
    </row>
    <row r="744" spans="1:4" ht="15.75" customHeight="1" x14ac:dyDescent="0.25">
      <c r="A744" s="2" t="str" cm="1">
        <f t="array" ref="A744">choice(Salles!A:A,1,Settings!$B$16)</f>
        <v>Salle16</v>
      </c>
      <c r="B744" s="3" cm="1">
        <f t="array" ref="B744">alea_date(Settings!$B$11,360,-1,Settings!$B$16)</f>
        <v>46138.625</v>
      </c>
      <c r="C744" s="20" cm="1">
        <f t="array" ref="C744">B744+TIME(alea_int(1,4,Settings!$B$16),0,0)</f>
        <v>46138.791666666664</v>
      </c>
      <c r="D744" t="str" cm="1">
        <f t="array" ref="D744">choice(Settings!L:L,1,Settings!$B$16)</f>
        <v>vendredi</v>
      </c>
    </row>
    <row r="745" spans="1:4" ht="15.75" customHeight="1" x14ac:dyDescent="0.25">
      <c r="A745" s="2" t="str" cm="1">
        <f t="array" ref="A745">choice(Salles!A:A,1,Settings!$B$16)</f>
        <v>Salle29</v>
      </c>
      <c r="B745" s="3" cm="1">
        <f t="array" ref="B745">alea_date(Settings!$B$11,360,-1,Settings!$B$16)</f>
        <v>46116.375</v>
      </c>
      <c r="C745" s="20" cm="1">
        <f t="array" ref="C745">B745+TIME(alea_int(1,4,Settings!$B$16),0,0)</f>
        <v>46116.541666666664</v>
      </c>
      <c r="D745" t="str" cm="1">
        <f t="array" ref="D745">choice(Settings!L:L,1,Settings!$B$16)</f>
        <v>mardi</v>
      </c>
    </row>
    <row r="746" spans="1:4" ht="15.75" customHeight="1" x14ac:dyDescent="0.25">
      <c r="A746" s="2" t="str" cm="1">
        <f t="array" ref="A746">choice(Salles!A:A,1,Settings!$B$16)</f>
        <v>Salle61</v>
      </c>
      <c r="B746" s="3" cm="1">
        <f t="array" ref="B746">alea_date(Settings!$B$11,360,-1,Settings!$B$16)</f>
        <v>46350.375</v>
      </c>
      <c r="C746" s="20" cm="1">
        <f t="array" ref="C746">B746+TIME(alea_int(1,4,Settings!$B$16),0,0)</f>
        <v>46350.541666666664</v>
      </c>
      <c r="D746" t="str" cm="1">
        <f t="array" ref="D746">choice(Settings!L:L,1,Settings!$B$16)</f>
        <v/>
      </c>
    </row>
    <row r="747" spans="1:4" ht="15.75" customHeight="1" x14ac:dyDescent="0.25">
      <c r="A747" s="2" t="str" cm="1">
        <f t="array" ref="A747">choice(Salles!A:A,1,Settings!$B$16)</f>
        <v>Salle14</v>
      </c>
      <c r="B747" s="3" cm="1">
        <f t="array" ref="B747">alea_date(Settings!$B$11,360,-1,Settings!$B$16)</f>
        <v>46371.416666666664</v>
      </c>
      <c r="C747" s="20" cm="1">
        <f t="array" ref="C747">B747+TIME(alea_int(1,4,Settings!$B$16),0,0)</f>
        <v>46371.583333333328</v>
      </c>
      <c r="D747" t="str" cm="1">
        <f t="array" ref="D747">choice(Settings!L:L,1,Settings!$B$16)</f>
        <v/>
      </c>
    </row>
    <row r="748" spans="1:4" ht="15.75" customHeight="1" x14ac:dyDescent="0.25">
      <c r="A748" s="2" t="str" cm="1">
        <f t="array" ref="A748">choice(Salles!A:A,1,Settings!$B$16)</f>
        <v>Salle50</v>
      </c>
      <c r="B748" s="3" cm="1">
        <f t="array" ref="B748">alea_date(Settings!$B$11,360,-1,Settings!$B$16)</f>
        <v>46295.416666666664</v>
      </c>
      <c r="C748" s="20" cm="1">
        <f t="array" ref="C748">B748+TIME(alea_int(1,4,Settings!$B$16),0,0)</f>
        <v>46295.583333333328</v>
      </c>
      <c r="D748" t="str" cm="1">
        <f t="array" ref="D748">choice(Settings!L:L,1,Settings!$B$16)</f>
        <v/>
      </c>
    </row>
    <row r="749" spans="1:4" ht="15.75" customHeight="1" x14ac:dyDescent="0.25">
      <c r="A749" s="2" t="str" cm="1">
        <f t="array" ref="A749">choice(Salles!A:A,1,Settings!$B$16)</f>
        <v>Salle38</v>
      </c>
      <c r="B749" s="3" cm="1">
        <f t="array" ref="B749">alea_date(Settings!$B$11,360,-1,Settings!$B$16)</f>
        <v>46312.583333333336</v>
      </c>
      <c r="C749" s="20" cm="1">
        <f t="array" ref="C749">B749+TIME(alea_int(1,4,Settings!$B$16),0,0)</f>
        <v>46312.75</v>
      </c>
      <c r="D749" t="str" cm="1">
        <f t="array" ref="D749">choice(Settings!L:L,1,Settings!$B$16)</f>
        <v>lundi</v>
      </c>
    </row>
    <row r="750" spans="1:4" ht="15.75" customHeight="1" x14ac:dyDescent="0.25">
      <c r="A750" s="2" t="str" cm="1">
        <f t="array" ref="A750">choice(Salles!A:A,1,Settings!$B$16)</f>
        <v>Salle56</v>
      </c>
      <c r="B750" s="3" cm="1">
        <f t="array" ref="B750">alea_date(Settings!$B$11,360,-1,Settings!$B$16)</f>
        <v>46277.625</v>
      </c>
      <c r="C750" s="20" cm="1">
        <f t="array" ref="C750">B750+TIME(alea_int(1,4,Settings!$B$16),0,0)</f>
        <v>46277.791666666664</v>
      </c>
      <c r="D750" t="str" cm="1">
        <f t="array" ref="D750">choice(Settings!L:L,1,Settings!$B$16)</f>
        <v/>
      </c>
    </row>
    <row r="751" spans="1:4" ht="15.75" customHeight="1" x14ac:dyDescent="0.25">
      <c r="A751" s="2" t="str" cm="1">
        <f t="array" ref="A751">choice(Salles!A:A,1,Settings!$B$16)</f>
        <v>Salle5</v>
      </c>
      <c r="B751" s="3" cm="1">
        <f t="array" ref="B751">alea_date(Settings!$B$11,360,-1,Settings!$B$16)</f>
        <v>46149.25</v>
      </c>
      <c r="C751" s="20" cm="1">
        <f t="array" ref="C751">B751+TIME(alea_int(1,4,Settings!$B$16),0,0)</f>
        <v>46149.416666666664</v>
      </c>
      <c r="D751" t="str" cm="1">
        <f t="array" ref="D751">choice(Settings!L:L,1,Settings!$B$16)</f>
        <v/>
      </c>
    </row>
    <row r="752" spans="1:4" ht="15.75" customHeight="1" x14ac:dyDescent="0.25">
      <c r="A752" s="2" t="str" cm="1">
        <f t="array" ref="A752">choice(Salles!A:A,1,Settings!$B$16)</f>
        <v>Salle26</v>
      </c>
      <c r="B752" s="3" cm="1">
        <f t="array" ref="B752">alea_date(Settings!$B$11,360,-1,Settings!$B$16)</f>
        <v>46183.5</v>
      </c>
      <c r="C752" s="20" cm="1">
        <f t="array" ref="C752">B752+TIME(alea_int(1,4,Settings!$B$16),0,0)</f>
        <v>46183.666666666664</v>
      </c>
      <c r="D752" t="str" cm="1">
        <f t="array" ref="D752">choice(Settings!L:L,1,Settings!$B$16)</f>
        <v>jeudi</v>
      </c>
    </row>
    <row r="753" spans="1:4" ht="15.75" customHeight="1" x14ac:dyDescent="0.25">
      <c r="A753" s="2" t="str" cm="1">
        <f t="array" ref="A753">choice(Salles!A:A,1,Settings!$B$16)</f>
        <v>Salle10</v>
      </c>
      <c r="B753" s="3" cm="1">
        <f t="array" ref="B753">alea_date(Settings!$B$11,360,-1,Settings!$B$16)</f>
        <v>46300.416666666664</v>
      </c>
      <c r="C753" s="20" cm="1">
        <f t="array" ref="C753">B753+TIME(alea_int(1,4,Settings!$B$16),0,0)</f>
        <v>46300.583333333328</v>
      </c>
      <c r="D753" t="str" cm="1">
        <f t="array" ref="D753">choice(Settings!L:L,1,Settings!$B$16)</f>
        <v/>
      </c>
    </row>
    <row r="754" spans="1:4" ht="15.75" customHeight="1" x14ac:dyDescent="0.25">
      <c r="A754" s="2" t="str" cm="1">
        <f t="array" ref="A754">choice(Salles!A:A,1,Settings!$B$16)</f>
        <v>Salle37</v>
      </c>
      <c r="B754" s="3" cm="1">
        <f t="array" ref="B754">alea_date(Settings!$B$11,360,-1,Settings!$B$16)</f>
        <v>46126.5</v>
      </c>
      <c r="C754" s="20" cm="1">
        <f t="array" ref="C754">B754+TIME(alea_int(1,4,Settings!$B$16),0,0)</f>
        <v>46126.666666666664</v>
      </c>
      <c r="D754" t="str" cm="1">
        <f t="array" ref="D754">choice(Settings!L:L,1,Settings!$B$16)</f>
        <v/>
      </c>
    </row>
    <row r="755" spans="1:4" ht="15.75" customHeight="1" x14ac:dyDescent="0.25">
      <c r="A755" s="2" t="str" cm="1">
        <f t="array" ref="A755">choice(Salles!A:A,1,Settings!$B$16)</f>
        <v>Salle11</v>
      </c>
      <c r="B755" s="3" cm="1">
        <f t="array" ref="B755">alea_date(Settings!$B$11,360,-1,Settings!$B$16)</f>
        <v>46223.625</v>
      </c>
      <c r="C755" s="20" cm="1">
        <f t="array" ref="C755">B755+TIME(alea_int(1,4,Settings!$B$16),0,0)</f>
        <v>46223.791666666664</v>
      </c>
      <c r="D755" t="str" cm="1">
        <f t="array" ref="D755">choice(Settings!L:L,1,Settings!$B$16)</f>
        <v/>
      </c>
    </row>
    <row r="756" spans="1:4" ht="15.75" customHeight="1" x14ac:dyDescent="0.25">
      <c r="A756" s="2" t="str" cm="1">
        <f t="array" ref="A756">choice(Salles!A:A,1,Settings!$B$16)</f>
        <v>Salle64</v>
      </c>
      <c r="B756" s="3" cm="1">
        <f t="array" ref="B756">alea_date(Settings!$B$11,360,-1,Settings!$B$16)</f>
        <v>46350.625</v>
      </c>
      <c r="C756" s="20" cm="1">
        <f t="array" ref="C756">B756+TIME(alea_int(1,4,Settings!$B$16),0,0)</f>
        <v>46350.791666666664</v>
      </c>
      <c r="D756" t="str" cm="1">
        <f t="array" ref="D756">choice(Settings!L:L,1,Settings!$B$16)</f>
        <v/>
      </c>
    </row>
    <row r="757" spans="1:4" ht="15.75" customHeight="1" x14ac:dyDescent="0.25">
      <c r="A757" s="2" t="str" cm="1">
        <f t="array" ref="A757">choice(Salles!A:A,1,Settings!$B$16)</f>
        <v>Salle22</v>
      </c>
      <c r="B757" s="3" cm="1">
        <f t="array" ref="B757">alea_date(Settings!$B$11,360,-1,Settings!$B$16)</f>
        <v>46305.333333333336</v>
      </c>
      <c r="C757" s="20" cm="1">
        <f t="array" ref="C757">B757+TIME(alea_int(1,4,Settings!$B$16),0,0)</f>
        <v>46305.5</v>
      </c>
      <c r="D757" t="str" cm="1">
        <f t="array" ref="D757">choice(Settings!L:L,1,Settings!$B$16)</f>
        <v>jeudi</v>
      </c>
    </row>
    <row r="758" spans="1:4" ht="15.75" customHeight="1" x14ac:dyDescent="0.25">
      <c r="A758" s="2" t="str" cm="1">
        <f t="array" ref="A758">choice(Salles!A:A,1,Settings!$B$16)</f>
        <v>Salle44</v>
      </c>
      <c r="B758" s="3" cm="1">
        <f t="array" ref="B758">alea_date(Settings!$B$11,360,-1,Settings!$B$16)</f>
        <v>46320.291666666664</v>
      </c>
      <c r="C758" s="20" cm="1">
        <f t="array" ref="C758">B758+TIME(alea_int(1,4,Settings!$B$16),0,0)</f>
        <v>46320.458333333328</v>
      </c>
      <c r="D758" t="str" cm="1">
        <f t="array" ref="D758">choice(Settings!L:L,1,Settings!$B$16)</f>
        <v/>
      </c>
    </row>
    <row r="759" spans="1:4" ht="15.75" customHeight="1" x14ac:dyDescent="0.25">
      <c r="A759" s="2" t="str" cm="1">
        <f t="array" ref="A759">choice(Salles!A:A,1,Settings!$B$16)</f>
        <v>Salle24</v>
      </c>
      <c r="B759" s="3" cm="1">
        <f t="array" ref="B759">alea_date(Settings!$B$11,360,-1,Settings!$B$16)</f>
        <v>46202.375</v>
      </c>
      <c r="C759" s="20" cm="1">
        <f t="array" ref="C759">B759+TIME(alea_int(1,4,Settings!$B$16),0,0)</f>
        <v>46202.541666666664</v>
      </c>
      <c r="D759" t="str" cm="1">
        <f t="array" ref="D759">choice(Settings!L:L,1,Settings!$B$16)</f>
        <v/>
      </c>
    </row>
    <row r="760" spans="1:4" ht="15.75" customHeight="1" x14ac:dyDescent="0.25">
      <c r="A760" s="2" t="str" cm="1">
        <f t="array" ref="A760">choice(Salles!A:A,1,Settings!$B$16)</f>
        <v>Salle5</v>
      </c>
      <c r="B760" s="3" cm="1">
        <f t="array" ref="B760">alea_date(Settings!$B$11,360,-1,Settings!$B$16)</f>
        <v>46111.458333333336</v>
      </c>
      <c r="C760" s="20" cm="1">
        <f t="array" ref="C760">B760+TIME(alea_int(1,4,Settings!$B$16),0,0)</f>
        <v>46111.625</v>
      </c>
      <c r="D760" t="str" cm="1">
        <f t="array" ref="D760">choice(Settings!L:L,1,Settings!$B$16)</f>
        <v/>
      </c>
    </row>
    <row r="761" spans="1:4" ht="15.75" customHeight="1" x14ac:dyDescent="0.25">
      <c r="A761" s="2" t="str" cm="1">
        <f t="array" ref="A761">choice(Salles!A:A,1,Settings!$B$16)</f>
        <v>Salle13</v>
      </c>
      <c r="B761" s="3" cm="1">
        <f t="array" ref="B761">alea_date(Settings!$B$11,360,-1,Settings!$B$16)</f>
        <v>46168.291666666664</v>
      </c>
      <c r="C761" s="20" cm="1">
        <f t="array" ref="C761">B761+TIME(alea_int(1,4,Settings!$B$16),0,0)</f>
        <v>46168.458333333328</v>
      </c>
      <c r="D761" t="str" cm="1">
        <f t="array" ref="D761">choice(Settings!L:L,1,Settings!$B$16)</f>
        <v/>
      </c>
    </row>
    <row r="762" spans="1:4" ht="15.75" customHeight="1" x14ac:dyDescent="0.25">
      <c r="A762" s="2" t="str" cm="1">
        <f t="array" ref="A762">choice(Salles!A:A,1,Settings!$B$16)</f>
        <v>Salle39</v>
      </c>
      <c r="B762" s="3" cm="1">
        <f t="array" ref="B762">alea_date(Settings!$B$11,360,-1,Settings!$B$16)</f>
        <v>46032.416666666664</v>
      </c>
      <c r="C762" s="20" cm="1">
        <f t="array" ref="C762">B762+TIME(alea_int(1,4,Settings!$B$16),0,0)</f>
        <v>46032.583333333328</v>
      </c>
      <c r="D762" t="str" cm="1">
        <f t="array" ref="D762">choice(Settings!L:L,1,Settings!$B$16)</f>
        <v/>
      </c>
    </row>
    <row r="763" spans="1:4" ht="15.75" customHeight="1" x14ac:dyDescent="0.25">
      <c r="A763" s="2" t="str" cm="1">
        <f t="array" ref="A763">choice(Salles!A:A,1,Settings!$B$16)</f>
        <v>Salle59</v>
      </c>
      <c r="B763" s="3" cm="1">
        <f t="array" ref="B763">alea_date(Settings!$B$11,360,-1,Settings!$B$16)</f>
        <v>46265.375</v>
      </c>
      <c r="C763" s="20" cm="1">
        <f t="array" ref="C763">B763+TIME(alea_int(1,4,Settings!$B$16),0,0)</f>
        <v>46265.541666666664</v>
      </c>
      <c r="D763" t="str" cm="1">
        <f t="array" ref="D763">choice(Settings!L:L,1,Settings!$B$16)</f>
        <v/>
      </c>
    </row>
    <row r="764" spans="1:4" ht="15.75" customHeight="1" x14ac:dyDescent="0.25">
      <c r="A764" s="2" t="str" cm="1">
        <f t="array" ref="A764">choice(Salles!A:A,1,Settings!$B$16)</f>
        <v>Salle47</v>
      </c>
      <c r="B764" s="3" cm="1">
        <f t="array" ref="B764">alea_date(Settings!$B$11,360,-1,Settings!$B$16)</f>
        <v>46280.583333333336</v>
      </c>
      <c r="C764" s="20" cm="1">
        <f t="array" ref="C764">B764+TIME(alea_int(1,4,Settings!$B$16),0,0)</f>
        <v>46280.75</v>
      </c>
      <c r="D764" t="str" cm="1">
        <f t="array" ref="D764">choice(Settings!L:L,1,Settings!$B$16)</f>
        <v/>
      </c>
    </row>
    <row r="765" spans="1:4" ht="15.75" customHeight="1" x14ac:dyDescent="0.25">
      <c r="A765" s="2" t="str" cm="1">
        <f t="array" ref="A765">choice(Salles!A:A,1,Settings!$B$16)</f>
        <v>Salle40</v>
      </c>
      <c r="B765" s="3" cm="1">
        <f t="array" ref="B765">alea_date(Settings!$B$11,360,-1,Settings!$B$16)</f>
        <v>46173.25</v>
      </c>
      <c r="C765" s="20" cm="1">
        <f t="array" ref="C765">B765+TIME(alea_int(1,4,Settings!$B$16),0,0)</f>
        <v>46173.416666666664</v>
      </c>
      <c r="D765" t="str" cm="1">
        <f t="array" ref="D765">choice(Settings!L:L,1,Settings!$B$16)</f>
        <v>lundi</v>
      </c>
    </row>
    <row r="766" spans="1:4" ht="15.75" customHeight="1" x14ac:dyDescent="0.25">
      <c r="A766" s="2" t="str" cm="1">
        <f t="array" ref="A766">choice(Salles!A:A,1,Settings!$B$16)</f>
        <v>Salle52</v>
      </c>
      <c r="B766" s="3" cm="1">
        <f t="array" ref="B766">alea_date(Settings!$B$11,360,-1,Settings!$B$16)</f>
        <v>46366.25</v>
      </c>
      <c r="C766" s="20" cm="1">
        <f t="array" ref="C766">B766+TIME(alea_int(1,4,Settings!$B$16),0,0)</f>
        <v>46366.416666666664</v>
      </c>
      <c r="D766" t="str" cm="1">
        <f t="array" ref="D766">choice(Settings!L:L,1,Settings!$B$16)</f>
        <v/>
      </c>
    </row>
    <row r="767" spans="1:4" ht="15.75" customHeight="1" x14ac:dyDescent="0.25">
      <c r="A767" s="2" t="str" cm="1">
        <f t="array" ref="A767">choice(Salles!A:A,1,Settings!$B$16)</f>
        <v>Salle24</v>
      </c>
      <c r="B767" s="3" cm="1">
        <f t="array" ref="B767">alea_date(Settings!$B$11,360,-1,Settings!$B$16)</f>
        <v>46281.333333333336</v>
      </c>
      <c r="C767" s="20" cm="1">
        <f t="array" ref="C767">B767+TIME(alea_int(1,4,Settings!$B$16),0,0)</f>
        <v>46281.5</v>
      </c>
      <c r="D767" t="str" cm="1">
        <f t="array" ref="D767">choice(Settings!L:L,1,Settings!$B$16)</f>
        <v/>
      </c>
    </row>
    <row r="768" spans="1:4" ht="15.75" customHeight="1" x14ac:dyDescent="0.25">
      <c r="A768" s="2" t="str" cm="1">
        <f t="array" ref="A768">choice(Salles!A:A,1,Settings!$B$16)</f>
        <v>Salle21</v>
      </c>
      <c r="B768" s="3" cm="1">
        <f t="array" ref="B768">alea_date(Settings!$B$11,360,-1,Settings!$B$16)</f>
        <v>46151.416666666664</v>
      </c>
      <c r="C768" s="20" cm="1">
        <f t="array" ref="C768">B768+TIME(alea_int(1,4,Settings!$B$16),0,0)</f>
        <v>46151.583333333328</v>
      </c>
      <c r="D768" t="str" cm="1">
        <f t="array" ref="D768">choice(Settings!L:L,1,Settings!$B$16)</f>
        <v/>
      </c>
    </row>
    <row r="769" spans="1:4" ht="15.75" customHeight="1" x14ac:dyDescent="0.25">
      <c r="A769" s="2" t="str" cm="1">
        <f t="array" ref="A769">choice(Salles!A:A,1,Settings!$B$16)</f>
        <v>Salle8</v>
      </c>
      <c r="B769" s="3" cm="1">
        <f t="array" ref="B769">alea_date(Settings!$B$11,360,-1,Settings!$B$16)</f>
        <v>46230.5</v>
      </c>
      <c r="C769" s="20" cm="1">
        <f t="array" ref="C769">B769+TIME(alea_int(1,4,Settings!$B$16),0,0)</f>
        <v>46230.666666666664</v>
      </c>
      <c r="D769" t="str" cm="1">
        <f t="array" ref="D769">choice(Settings!L:L,1,Settings!$B$16)</f>
        <v/>
      </c>
    </row>
    <row r="770" spans="1:4" ht="15.75" customHeight="1" x14ac:dyDescent="0.25">
      <c r="A770" s="2" t="str" cm="1">
        <f t="array" ref="A770">choice(Salles!A:A,1,Settings!$B$16)</f>
        <v>Salle57</v>
      </c>
      <c r="B770" s="3" cm="1">
        <f t="array" ref="B770">alea_date(Settings!$B$11,360,-1,Settings!$B$16)</f>
        <v>46222.25</v>
      </c>
      <c r="C770" s="20" cm="1">
        <f t="array" ref="C770">B770+TIME(alea_int(1,4,Settings!$B$16),0,0)</f>
        <v>46222.416666666664</v>
      </c>
      <c r="D770" t="str" cm="1">
        <f t="array" ref="D770">choice(Settings!L:L,1,Settings!$B$16)</f>
        <v>vendredi</v>
      </c>
    </row>
    <row r="771" spans="1:4" ht="15.75" customHeight="1" x14ac:dyDescent="0.25">
      <c r="A771" s="2" t="str" cm="1">
        <f t="array" ref="A771">choice(Salles!A:A,1,Settings!$B$16)</f>
        <v>Salle60</v>
      </c>
      <c r="B771" s="3" cm="1">
        <f t="array" ref="B771">alea_date(Settings!$B$11,360,-1,Settings!$B$16)</f>
        <v>46361.583333333336</v>
      </c>
      <c r="C771" s="20" cm="1">
        <f t="array" ref="C771">B771+TIME(alea_int(1,4,Settings!$B$16),0,0)</f>
        <v>46361.75</v>
      </c>
      <c r="D771" t="str" cm="1">
        <f t="array" ref="D771">choice(Settings!L:L,1,Settings!$B$16)</f>
        <v/>
      </c>
    </row>
    <row r="772" spans="1:4" ht="15.75" customHeight="1" x14ac:dyDescent="0.25">
      <c r="A772" s="2" t="str" cm="1">
        <f t="array" ref="A772">choice(Salles!A:A,1,Settings!$B$16)</f>
        <v>Salle49</v>
      </c>
      <c r="B772" s="3" cm="1">
        <f t="array" ref="B772">alea_date(Settings!$B$11,360,-1,Settings!$B$16)</f>
        <v>46052.25</v>
      </c>
      <c r="C772" s="20" cm="1">
        <f t="array" ref="C772">B772+TIME(alea_int(1,4,Settings!$B$16),0,0)</f>
        <v>46052.416666666664</v>
      </c>
      <c r="D772" t="str" cm="1">
        <f t="array" ref="D772">choice(Settings!L:L,1,Settings!$B$16)</f>
        <v/>
      </c>
    </row>
    <row r="773" spans="1:4" ht="15.75" customHeight="1" x14ac:dyDescent="0.25">
      <c r="A773" s="2" t="str" cm="1">
        <f t="array" ref="A773">choice(Salles!A:A,1,Settings!$B$16)</f>
        <v>Salle62</v>
      </c>
      <c r="B773" s="3" cm="1">
        <f t="array" ref="B773">alea_date(Settings!$B$11,360,-1,Settings!$B$16)</f>
        <v>46128.333333333336</v>
      </c>
      <c r="C773" s="20" cm="1">
        <f t="array" ref="C773">B773+TIME(alea_int(1,4,Settings!$B$16),0,0)</f>
        <v>46128.5</v>
      </c>
      <c r="D773" t="str" cm="1">
        <f t="array" ref="D773">choice(Settings!L:L,1,Settings!$B$16)</f>
        <v/>
      </c>
    </row>
    <row r="774" spans="1:4" ht="15.75" customHeight="1" x14ac:dyDescent="0.25">
      <c r="A774" s="2" t="str" cm="1">
        <f t="array" ref="A774">choice(Salles!A:A,1,Settings!$B$16)</f>
        <v>Salle66</v>
      </c>
      <c r="B774" s="3" cm="1">
        <f t="array" ref="B774">alea_date(Settings!$B$11,360,-1,Settings!$B$16)</f>
        <v>46117.458333333336</v>
      </c>
      <c r="C774" s="20" cm="1">
        <f t="array" ref="C774">B774+TIME(alea_int(1,4,Settings!$B$16),0,0)</f>
        <v>46117.625</v>
      </c>
      <c r="D774" t="str" cm="1">
        <f t="array" ref="D774">choice(Settings!L:L,1,Settings!$B$16)</f>
        <v/>
      </c>
    </row>
    <row r="775" spans="1:4" ht="15.75" customHeight="1" x14ac:dyDescent="0.25">
      <c r="A775" s="2" t="str" cm="1">
        <f t="array" ref="A775">choice(Salles!A:A,1,Settings!$B$16)</f>
        <v>Salle8</v>
      </c>
      <c r="B775" s="3" cm="1">
        <f t="array" ref="B775">alea_date(Settings!$B$11,360,-1,Settings!$B$16)</f>
        <v>46109.25</v>
      </c>
      <c r="C775" s="20" cm="1">
        <f t="array" ref="C775">B775+TIME(alea_int(1,4,Settings!$B$16),0,0)</f>
        <v>46109.416666666664</v>
      </c>
      <c r="D775" t="str" cm="1">
        <f t="array" ref="D775">choice(Settings!L:L,1,Settings!$B$16)</f>
        <v>vendredi</v>
      </c>
    </row>
    <row r="776" spans="1:4" ht="15.75" customHeight="1" x14ac:dyDescent="0.25">
      <c r="A776" s="2" t="str" cm="1">
        <f t="array" ref="A776">choice(Salles!A:A,1,Settings!$B$16)</f>
        <v>Salle65</v>
      </c>
      <c r="B776" s="3" cm="1">
        <f t="array" ref="B776">alea_date(Settings!$B$11,360,-1,Settings!$B$16)</f>
        <v>46025.25</v>
      </c>
      <c r="C776" s="20" cm="1">
        <f t="array" ref="C776">B776+TIME(alea_int(1,4,Settings!$B$16),0,0)</f>
        <v>46025.416666666664</v>
      </c>
      <c r="D776" t="str" cm="1">
        <f t="array" ref="D776">choice(Settings!L:L,1,Settings!$B$16)</f>
        <v/>
      </c>
    </row>
    <row r="777" spans="1:4" ht="15.75" customHeight="1" x14ac:dyDescent="0.25">
      <c r="A777" s="2" t="str" cm="1">
        <f t="array" ref="A777">choice(Salles!A:A,1,Settings!$B$16)</f>
        <v>Salle7</v>
      </c>
      <c r="B777" s="3" cm="1">
        <f t="array" ref="B777">alea_date(Settings!$B$11,360,-1,Settings!$B$16)</f>
        <v>46215.5</v>
      </c>
      <c r="C777" s="20" cm="1">
        <f t="array" ref="C777">B777+TIME(alea_int(1,4,Settings!$B$16),0,0)</f>
        <v>46215.666666666664</v>
      </c>
      <c r="D777" t="str" cm="1">
        <f t="array" ref="D777">choice(Settings!L:L,1,Settings!$B$16)</f>
        <v>mercredi</v>
      </c>
    </row>
    <row r="778" spans="1:4" ht="15.75" customHeight="1" x14ac:dyDescent="0.25">
      <c r="A778" s="2" t="str" cm="1">
        <f t="array" ref="A778">choice(Salles!A:A,1,Settings!$B$16)</f>
        <v>Salle2</v>
      </c>
      <c r="B778" s="3" cm="1">
        <f t="array" ref="B778">alea_date(Settings!$B$11,360,-1,Settings!$B$16)</f>
        <v>46092.375</v>
      </c>
      <c r="C778" s="20" cm="1">
        <f t="array" ref="C778">B778+TIME(alea_int(1,4,Settings!$B$16),0,0)</f>
        <v>46092.541666666664</v>
      </c>
      <c r="D778" t="str" cm="1">
        <f t="array" ref="D778">choice(Settings!L:L,1,Settings!$B$16)</f>
        <v/>
      </c>
    </row>
    <row r="779" spans="1:4" ht="15.75" customHeight="1" x14ac:dyDescent="0.25">
      <c r="A779" s="2" t="str" cm="1">
        <f t="array" ref="A779">choice(Salles!A:A,1,Settings!$B$16)</f>
        <v>Salle65</v>
      </c>
      <c r="B779" s="3" cm="1">
        <f t="array" ref="B779">alea_date(Settings!$B$11,360,-1,Settings!$B$16)</f>
        <v>46125.583333333336</v>
      </c>
      <c r="C779" s="20" cm="1">
        <f t="array" ref="C779">B779+TIME(alea_int(1,4,Settings!$B$16),0,0)</f>
        <v>46125.75</v>
      </c>
      <c r="D779" t="str" cm="1">
        <f t="array" ref="D779">choice(Settings!L:L,1,Settings!$B$16)</f>
        <v/>
      </c>
    </row>
    <row r="780" spans="1:4" ht="15.75" customHeight="1" x14ac:dyDescent="0.25">
      <c r="A780" s="2" t="str" cm="1">
        <f t="array" ref="A780">choice(Salles!A:A,1,Settings!$B$16)</f>
        <v>Salle67</v>
      </c>
      <c r="B780" s="3" cm="1">
        <f t="array" ref="B780">alea_date(Settings!$B$11,360,-1,Settings!$B$16)</f>
        <v>46104.25</v>
      </c>
      <c r="C780" s="20" cm="1">
        <f t="array" ref="C780">B780+TIME(alea_int(1,4,Settings!$B$16),0,0)</f>
        <v>46104.416666666664</v>
      </c>
      <c r="D780" t="str" cm="1">
        <f t="array" ref="D780">choice(Settings!L:L,1,Settings!$B$16)</f>
        <v/>
      </c>
    </row>
    <row r="781" spans="1:4" ht="15.75" customHeight="1" x14ac:dyDescent="0.25">
      <c r="A781" s="2" t="str" cm="1">
        <f t="array" ref="A781">choice(Salles!A:A,1,Settings!$B$16)</f>
        <v>Salle56</v>
      </c>
      <c r="B781" s="3" cm="1">
        <f t="array" ref="B781">alea_date(Settings!$B$11,360,-1,Settings!$B$16)</f>
        <v>46213.333333333336</v>
      </c>
      <c r="C781" s="20" cm="1">
        <f t="array" ref="C781">B781+TIME(alea_int(1,4,Settings!$B$16),0,0)</f>
        <v>46213.5</v>
      </c>
      <c r="D781" t="str" cm="1">
        <f t="array" ref="D781">choice(Settings!L:L,1,Settings!$B$16)</f>
        <v/>
      </c>
    </row>
    <row r="782" spans="1:4" ht="15.75" customHeight="1" x14ac:dyDescent="0.25">
      <c r="A782" s="2" t="str" cm="1">
        <f t="array" ref="A782">choice(Salles!A:A,1,Settings!$B$16)</f>
        <v>Salle24</v>
      </c>
      <c r="B782" s="3" cm="1">
        <f t="array" ref="B782">alea_date(Settings!$B$11,360,-1,Settings!$B$16)</f>
        <v>46140.291666666664</v>
      </c>
      <c r="C782" s="20" cm="1">
        <f t="array" ref="C782">B782+TIME(alea_int(1,4,Settings!$B$16),0,0)</f>
        <v>46140.458333333328</v>
      </c>
      <c r="D782" t="str" cm="1">
        <f t="array" ref="D782">choice(Settings!L:L,1,Settings!$B$16)</f>
        <v/>
      </c>
    </row>
    <row r="783" spans="1:4" ht="15.75" customHeight="1" x14ac:dyDescent="0.25">
      <c r="A783" s="2" t="str" cm="1">
        <f t="array" ref="A783">choice(Salles!A:A,1,Settings!$B$16)</f>
        <v>Salle6</v>
      </c>
      <c r="B783" s="3" cm="1">
        <f t="array" ref="B783">alea_date(Settings!$B$11,360,-1,Settings!$B$16)</f>
        <v>46080.583333333336</v>
      </c>
      <c r="C783" s="20" cm="1">
        <f t="array" ref="C783">B783+TIME(alea_int(1,4,Settings!$B$16),0,0)</f>
        <v>46080.75</v>
      </c>
      <c r="D783" t="str" cm="1">
        <f t="array" ref="D783">choice(Settings!L:L,1,Settings!$B$16)</f>
        <v/>
      </c>
    </row>
    <row r="784" spans="1:4" ht="15.75" customHeight="1" x14ac:dyDescent="0.25">
      <c r="A784" s="2" t="str" cm="1">
        <f t="array" ref="A784">choice(Salles!A:A,1,Settings!$B$16)</f>
        <v>Salle16</v>
      </c>
      <c r="B784" s="3" cm="1">
        <f t="array" ref="B784">alea_date(Settings!$B$11,360,-1,Settings!$B$16)</f>
        <v>46288.541666666664</v>
      </c>
      <c r="C784" s="20" cm="1">
        <f t="array" ref="C784">B784+TIME(alea_int(1,4,Settings!$B$16),0,0)</f>
        <v>46288.708333333328</v>
      </c>
      <c r="D784" t="str" cm="1">
        <f t="array" ref="D784">choice(Settings!L:L,1,Settings!$B$16)</f>
        <v/>
      </c>
    </row>
    <row r="785" spans="1:4" ht="15.75" customHeight="1" x14ac:dyDescent="0.25">
      <c r="A785" s="2" t="str" cm="1">
        <f t="array" ref="A785">choice(Salles!A:A,1,Settings!$B$16)</f>
        <v>Salle60</v>
      </c>
      <c r="B785" s="3" cm="1">
        <f t="array" ref="B785">alea_date(Settings!$B$11,360,-1,Settings!$B$16)</f>
        <v>46084.291666666664</v>
      </c>
      <c r="C785" s="20" cm="1">
        <f t="array" ref="C785">B785+TIME(alea_int(1,4,Settings!$B$16),0,0)</f>
        <v>46084.458333333328</v>
      </c>
      <c r="D785" t="str" cm="1">
        <f t="array" ref="D785">choice(Settings!L:L,1,Settings!$B$16)</f>
        <v/>
      </c>
    </row>
    <row r="786" spans="1:4" ht="15.75" customHeight="1" x14ac:dyDescent="0.25">
      <c r="A786" s="2" t="str" cm="1">
        <f t="array" ref="A786">choice(Salles!A:A,1,Settings!$B$16)</f>
        <v>Salle12</v>
      </c>
      <c r="B786" s="3" cm="1">
        <f t="array" ref="B786">alea_date(Settings!$B$11,360,-1,Settings!$B$16)</f>
        <v>46191.291666666664</v>
      </c>
      <c r="C786" s="20" cm="1">
        <f t="array" ref="C786">B786+TIME(alea_int(1,4,Settings!$B$16),0,0)</f>
        <v>46191.458333333328</v>
      </c>
      <c r="D786" t="str" cm="1">
        <f t="array" ref="D786">choice(Settings!L:L,1,Settings!$B$16)</f>
        <v/>
      </c>
    </row>
    <row r="787" spans="1:4" ht="15.75" customHeight="1" x14ac:dyDescent="0.25">
      <c r="A787" s="2" t="str" cm="1">
        <f t="array" ref="A787">choice(Salles!A:A,1,Settings!$B$16)</f>
        <v>Salle19</v>
      </c>
      <c r="B787" s="3" cm="1">
        <f t="array" ref="B787">alea_date(Settings!$B$11,360,-1,Settings!$B$16)</f>
        <v>46291.375</v>
      </c>
      <c r="C787" s="20" cm="1">
        <f t="array" ref="C787">B787+TIME(alea_int(1,4,Settings!$B$16),0,0)</f>
        <v>46291.541666666664</v>
      </c>
      <c r="D787" t="str" cm="1">
        <f t="array" ref="D787">choice(Settings!L:L,1,Settings!$B$16)</f>
        <v/>
      </c>
    </row>
    <row r="788" spans="1:4" ht="15.75" customHeight="1" x14ac:dyDescent="0.25">
      <c r="A788" s="2" t="str" cm="1">
        <f t="array" ref="A788">choice(Salles!A:A,1,Settings!$B$16)</f>
        <v>Salle45</v>
      </c>
      <c r="B788" s="3" cm="1">
        <f t="array" ref="B788">alea_date(Settings!$B$11,360,-1,Settings!$B$16)</f>
        <v>46192.291666666664</v>
      </c>
      <c r="C788" s="20" cm="1">
        <f t="array" ref="C788">B788+TIME(alea_int(1,4,Settings!$B$16),0,0)</f>
        <v>46192.458333333328</v>
      </c>
      <c r="D788" t="str" cm="1">
        <f t="array" ref="D788">choice(Settings!L:L,1,Settings!$B$16)</f>
        <v/>
      </c>
    </row>
    <row r="789" spans="1:4" ht="15.75" customHeight="1" x14ac:dyDescent="0.25">
      <c r="A789" s="2" t="str" cm="1">
        <f t="array" ref="A789">choice(Salles!A:A,1,Settings!$B$16)</f>
        <v>Salle61</v>
      </c>
      <c r="B789" s="3" cm="1">
        <f t="array" ref="B789">alea_date(Settings!$B$11,360,-1,Settings!$B$16)</f>
        <v>46370.291666666664</v>
      </c>
      <c r="C789" s="20" cm="1">
        <f t="array" ref="C789">B789+TIME(alea_int(1,4,Settings!$B$16),0,0)</f>
        <v>46370.458333333328</v>
      </c>
      <c r="D789" t="str" cm="1">
        <f t="array" ref="D789">choice(Settings!L:L,1,Settings!$B$16)</f>
        <v/>
      </c>
    </row>
    <row r="790" spans="1:4" ht="15.75" customHeight="1" x14ac:dyDescent="0.25">
      <c r="A790" s="2" t="str" cm="1">
        <f t="array" ref="A790">choice(Salles!A:A,1,Settings!$B$16)</f>
        <v>Salle50</v>
      </c>
      <c r="B790" s="3" cm="1">
        <f t="array" ref="B790">alea_date(Settings!$B$11,360,-1,Settings!$B$16)</f>
        <v>46049.5</v>
      </c>
      <c r="C790" s="20" cm="1">
        <f t="array" ref="C790">B790+TIME(alea_int(1,4,Settings!$B$16),0,0)</f>
        <v>46049.666666666664</v>
      </c>
      <c r="D790" t="str" cm="1">
        <f t="array" ref="D790">choice(Settings!L:L,1,Settings!$B$16)</f>
        <v/>
      </c>
    </row>
    <row r="791" spans="1:4" ht="15.75" customHeight="1" x14ac:dyDescent="0.25">
      <c r="A791" s="2" t="str" cm="1">
        <f t="array" ref="A791">choice(Salles!A:A,1,Settings!$B$16)</f>
        <v>Salle69</v>
      </c>
      <c r="B791" s="3" cm="1">
        <f t="array" ref="B791">alea_date(Settings!$B$11,360,-1,Settings!$B$16)</f>
        <v>46245.458333333336</v>
      </c>
      <c r="C791" s="20" cm="1">
        <f t="array" ref="C791">B791+TIME(alea_int(1,4,Settings!$B$16),0,0)</f>
        <v>46245.625</v>
      </c>
      <c r="D791" t="str" cm="1">
        <f t="array" ref="D791">choice(Settings!L:L,1,Settings!$B$16)</f>
        <v>mercredi</v>
      </c>
    </row>
    <row r="792" spans="1:4" ht="15.75" customHeight="1" x14ac:dyDescent="0.25">
      <c r="A792" s="2" t="str" cm="1">
        <f t="array" ref="A792">choice(Salles!A:A,1,Settings!$B$16)</f>
        <v>Salle15</v>
      </c>
      <c r="B792" s="3" cm="1">
        <f t="array" ref="B792">alea_date(Settings!$B$11,360,-1,Settings!$B$16)</f>
        <v>46360.375</v>
      </c>
      <c r="C792" s="20" cm="1">
        <f t="array" ref="C792">B792+TIME(alea_int(1,4,Settings!$B$16),0,0)</f>
        <v>46360.541666666664</v>
      </c>
      <c r="D792" t="str" cm="1">
        <f t="array" ref="D792">choice(Settings!L:L,1,Settings!$B$16)</f>
        <v/>
      </c>
    </row>
    <row r="793" spans="1:4" ht="15.75" customHeight="1" x14ac:dyDescent="0.25">
      <c r="A793" s="2" t="str" cm="1">
        <f t="array" ref="A793">choice(Salles!A:A,1,Settings!$B$16)</f>
        <v>Salle25</v>
      </c>
      <c r="B793" s="3" cm="1">
        <f t="array" ref="B793">alea_date(Settings!$B$11,360,-1,Settings!$B$16)</f>
        <v>46078.291666666664</v>
      </c>
      <c r="C793" s="20" cm="1">
        <f t="array" ref="C793">B793+TIME(alea_int(1,4,Settings!$B$16),0,0)</f>
        <v>46078.458333333328</v>
      </c>
      <c r="D793" t="str" cm="1">
        <f t="array" ref="D793">choice(Settings!L:L,1,Settings!$B$16)</f>
        <v/>
      </c>
    </row>
    <row r="794" spans="1:4" ht="15.75" customHeight="1" x14ac:dyDescent="0.25">
      <c r="A794" s="2" t="str" cm="1">
        <f t="array" ref="A794">choice(Salles!A:A,1,Settings!$B$16)</f>
        <v>Salle63</v>
      </c>
      <c r="B794" s="3" cm="1">
        <f t="array" ref="B794">alea_date(Settings!$B$11,360,-1,Settings!$B$16)</f>
        <v>46208.25</v>
      </c>
      <c r="C794" s="20" cm="1">
        <f t="array" ref="C794">B794+TIME(alea_int(1,4,Settings!$B$16),0,0)</f>
        <v>46208.416666666664</v>
      </c>
      <c r="D794" t="str" cm="1">
        <f t="array" ref="D794">choice(Settings!L:L,1,Settings!$B$16)</f>
        <v/>
      </c>
    </row>
    <row r="795" spans="1:4" ht="15.75" customHeight="1" x14ac:dyDescent="0.25">
      <c r="A795" s="2" t="str" cm="1">
        <f t="array" ref="A795">choice(Salles!A:A,1,Settings!$B$16)</f>
        <v>Salle14</v>
      </c>
      <c r="B795" s="3" cm="1">
        <f t="array" ref="B795">alea_date(Settings!$B$11,360,-1,Settings!$B$16)</f>
        <v>46212.25</v>
      </c>
      <c r="C795" s="20" cm="1">
        <f t="array" ref="C795">B795+TIME(alea_int(1,4,Settings!$B$16),0,0)</f>
        <v>46212.416666666664</v>
      </c>
      <c r="D795" t="str" cm="1">
        <f t="array" ref="D795">choice(Settings!L:L,1,Settings!$B$16)</f>
        <v/>
      </c>
    </row>
    <row r="796" spans="1:4" ht="15.75" customHeight="1" x14ac:dyDescent="0.25">
      <c r="A796" s="2" t="str" cm="1">
        <f t="array" ref="A796">choice(Salles!A:A,1,Settings!$B$16)</f>
        <v>Salle68</v>
      </c>
      <c r="B796" s="3" cm="1">
        <f t="array" ref="B796">alea_date(Settings!$B$11,360,-1,Settings!$B$16)</f>
        <v>46376.375</v>
      </c>
      <c r="C796" s="20" cm="1">
        <f t="array" ref="C796">B796+TIME(alea_int(1,4,Settings!$B$16),0,0)</f>
        <v>46376.541666666664</v>
      </c>
      <c r="D796" t="str" cm="1">
        <f t="array" ref="D796">choice(Settings!L:L,1,Settings!$B$16)</f>
        <v/>
      </c>
    </row>
    <row r="797" spans="1:4" ht="15.75" customHeight="1" x14ac:dyDescent="0.25">
      <c r="A797" s="2" t="str" cm="1">
        <f t="array" ref="A797">choice(Salles!A:A,1,Settings!$B$16)</f>
        <v>Salle27</v>
      </c>
      <c r="B797" s="3" cm="1">
        <f t="array" ref="B797">alea_date(Settings!$B$11,360,-1,Settings!$B$16)</f>
        <v>46227.291666666664</v>
      </c>
      <c r="C797" s="20" cm="1">
        <f t="array" ref="C797">B797+TIME(alea_int(1,4,Settings!$B$16),0,0)</f>
        <v>46227.458333333328</v>
      </c>
      <c r="D797" t="str" cm="1">
        <f t="array" ref="D797">choice(Settings!L:L,1,Settings!$B$16)</f>
        <v/>
      </c>
    </row>
    <row r="798" spans="1:4" ht="15.75" customHeight="1" x14ac:dyDescent="0.25">
      <c r="A798" s="2" t="str" cm="1">
        <f t="array" ref="A798">choice(Salles!A:A,1,Settings!$B$16)</f>
        <v>Salle23</v>
      </c>
      <c r="B798" s="3" cm="1">
        <f t="array" ref="B798">alea_date(Settings!$B$11,360,-1,Settings!$B$16)</f>
        <v>46136.333333333336</v>
      </c>
      <c r="C798" s="20" cm="1">
        <f t="array" ref="C798">B798+TIME(alea_int(1,4,Settings!$B$16),0,0)</f>
        <v>46136.5</v>
      </c>
      <c r="D798" t="str" cm="1">
        <f t="array" ref="D798">choice(Settings!L:L,1,Settings!$B$16)</f>
        <v/>
      </c>
    </row>
    <row r="799" spans="1:4" ht="15.75" customHeight="1" x14ac:dyDescent="0.25">
      <c r="A799" s="2" t="str" cm="1">
        <f t="array" ref="A799">choice(Salles!A:A,1,Settings!$B$16)</f>
        <v>Salle10</v>
      </c>
      <c r="B799" s="3" cm="1">
        <f t="array" ref="B799">alea_date(Settings!$B$11,360,-1,Settings!$B$16)</f>
        <v>46052.375</v>
      </c>
      <c r="C799" s="20" cm="1">
        <f t="array" ref="C799">B799+TIME(alea_int(1,4,Settings!$B$16),0,0)</f>
        <v>46052.541666666664</v>
      </c>
      <c r="D799" t="str" cm="1">
        <f t="array" ref="D799">choice(Settings!L:L,1,Settings!$B$16)</f>
        <v/>
      </c>
    </row>
    <row r="800" spans="1:4" ht="15.75" customHeight="1" x14ac:dyDescent="0.25">
      <c r="A800" s="2" t="str" cm="1">
        <f t="array" ref="A800">choice(Salles!A:A,1,Settings!$B$16)</f>
        <v>Salle41</v>
      </c>
      <c r="B800" s="3" cm="1">
        <f t="array" ref="B800">alea_date(Settings!$B$11,360,-1,Settings!$B$16)</f>
        <v>46199.583333333336</v>
      </c>
      <c r="C800" s="20" cm="1">
        <f t="array" ref="C800">B800+TIME(alea_int(1,4,Settings!$B$16),0,0)</f>
        <v>46199.75</v>
      </c>
      <c r="D800" t="str" cm="1">
        <f t="array" ref="D800">choice(Settings!L:L,1,Settings!$B$16)</f>
        <v/>
      </c>
    </row>
    <row r="801" spans="1:4" ht="15.75" customHeight="1" x14ac:dyDescent="0.25">
      <c r="A801" s="2" t="str" cm="1">
        <f t="array" ref="A801">choice(Salles!A:A,1,Settings!$B$16)</f>
        <v>Salle5</v>
      </c>
      <c r="B801" s="3" cm="1">
        <f t="array" ref="B801">alea_date(Settings!$B$11,360,-1,Settings!$B$16)</f>
        <v>46322.625</v>
      </c>
      <c r="C801" s="20" cm="1">
        <f t="array" ref="C801">B801+TIME(alea_int(1,4,Settings!$B$16),0,0)</f>
        <v>46322.791666666664</v>
      </c>
      <c r="D801" t="str" cm="1">
        <f t="array" ref="D801">choice(Settings!L:L,1,Settings!$B$16)</f>
        <v/>
      </c>
    </row>
    <row r="802" spans="1:4" ht="15.75" customHeight="1" x14ac:dyDescent="0.25">
      <c r="A802" s="2" t="str" cm="1">
        <f t="array" ref="A802">choice(Salles!A:A,1,Settings!$B$16)</f>
        <v>Salle2</v>
      </c>
      <c r="B802" s="3" cm="1">
        <f t="array" ref="B802">alea_date(Settings!$B$11,360,-1,Settings!$B$16)</f>
        <v>46145.5</v>
      </c>
      <c r="C802" s="20" cm="1">
        <f t="array" ref="C802">B802+TIME(alea_int(1,4,Settings!$B$16),0,0)</f>
        <v>46145.666666666664</v>
      </c>
      <c r="D802" t="str" cm="1">
        <f t="array" ref="D802">choice(Settings!L:L,1,Settings!$B$16)</f>
        <v>mercredi</v>
      </c>
    </row>
    <row r="803" spans="1:4" ht="15.75" customHeight="1" x14ac:dyDescent="0.25">
      <c r="A803" s="2" t="str" cm="1">
        <f t="array" ref="A803">choice(Salles!A:A,1,Settings!$B$16)</f>
        <v>Salle41</v>
      </c>
      <c r="B803" s="3" cm="1">
        <f t="array" ref="B803">alea_date(Settings!$B$11,360,-1,Settings!$B$16)</f>
        <v>46068.541666666664</v>
      </c>
      <c r="C803" s="20" cm="1">
        <f t="array" ref="C803">B803+TIME(alea_int(1,4,Settings!$B$16),0,0)</f>
        <v>46068.708333333328</v>
      </c>
      <c r="D803" t="str" cm="1">
        <f t="array" ref="D803">choice(Settings!L:L,1,Settings!$B$16)</f>
        <v>lundi</v>
      </c>
    </row>
    <row r="804" spans="1:4" ht="15.75" customHeight="1" x14ac:dyDescent="0.25">
      <c r="A804" s="2" t="str" cm="1">
        <f t="array" ref="A804">choice(Salles!A:A,1,Settings!$B$16)</f>
        <v>Salle59</v>
      </c>
      <c r="B804" s="3" cm="1">
        <f t="array" ref="B804">alea_date(Settings!$B$11,360,-1,Settings!$B$16)</f>
        <v>46124.25</v>
      </c>
      <c r="C804" s="20" cm="1">
        <f t="array" ref="C804">B804+TIME(alea_int(1,4,Settings!$B$16),0,0)</f>
        <v>46124.416666666664</v>
      </c>
      <c r="D804" t="str" cm="1">
        <f t="array" ref="D804">choice(Settings!L:L,1,Settings!$B$16)</f>
        <v/>
      </c>
    </row>
    <row r="805" spans="1:4" ht="15.75" customHeight="1" x14ac:dyDescent="0.25">
      <c r="A805" s="2" t="str" cm="1">
        <f t="array" ref="A805">choice(Salles!A:A,1,Settings!$B$16)</f>
        <v>Salle70</v>
      </c>
      <c r="B805" s="3" cm="1">
        <f t="array" ref="B805">alea_date(Settings!$B$11,360,-1,Settings!$B$16)</f>
        <v>46288.541666666664</v>
      </c>
      <c r="C805" s="20" cm="1">
        <f t="array" ref="C805">B805+TIME(alea_int(1,4,Settings!$B$16),0,0)</f>
        <v>46288.708333333328</v>
      </c>
      <c r="D805" t="str" cm="1">
        <f t="array" ref="D805">choice(Settings!L:L,1,Settings!$B$16)</f>
        <v>jeudi</v>
      </c>
    </row>
    <row r="806" spans="1:4" ht="15.75" customHeight="1" x14ac:dyDescent="0.25">
      <c r="A806" s="2" t="str" cm="1">
        <f t="array" ref="A806">choice(Salles!A:A,1,Settings!$B$16)</f>
        <v>Salle8</v>
      </c>
      <c r="B806" s="3" cm="1">
        <f t="array" ref="B806">alea_date(Settings!$B$11,360,-1,Settings!$B$16)</f>
        <v>46286.416666666664</v>
      </c>
      <c r="C806" s="20" cm="1">
        <f t="array" ref="C806">B806+TIME(alea_int(1,4,Settings!$B$16),0,0)</f>
        <v>46286.583333333328</v>
      </c>
      <c r="D806" t="str" cm="1">
        <f t="array" ref="D806">choice(Settings!L:L,1,Settings!$B$16)</f>
        <v/>
      </c>
    </row>
    <row r="807" spans="1:4" ht="15.75" customHeight="1" x14ac:dyDescent="0.25">
      <c r="A807" s="2" t="str" cm="1">
        <f t="array" ref="A807">choice(Salles!A:A,1,Settings!$B$16)</f>
        <v>Salle38</v>
      </c>
      <c r="B807" s="3" cm="1">
        <f t="array" ref="B807">alea_date(Settings!$B$11,360,-1,Settings!$B$16)</f>
        <v>46302.541666666664</v>
      </c>
      <c r="C807" s="20" cm="1">
        <f t="array" ref="C807">B807+TIME(alea_int(1,4,Settings!$B$16),0,0)</f>
        <v>46302.708333333328</v>
      </c>
      <c r="D807" t="str" cm="1">
        <f t="array" ref="D807">choice(Settings!L:L,1,Settings!$B$16)</f>
        <v/>
      </c>
    </row>
    <row r="808" spans="1:4" ht="15.75" customHeight="1" x14ac:dyDescent="0.25">
      <c r="A808" s="2" t="str" cm="1">
        <f t="array" ref="A808">choice(Salles!A:A,1,Settings!$B$16)</f>
        <v>Salle52</v>
      </c>
      <c r="B808" s="3" cm="1">
        <f t="array" ref="B808">alea_date(Settings!$B$11,360,-1,Settings!$B$16)</f>
        <v>46050.25</v>
      </c>
      <c r="C808" s="20" cm="1">
        <f t="array" ref="C808">B808+TIME(alea_int(1,4,Settings!$B$16),0,0)</f>
        <v>46050.416666666664</v>
      </c>
      <c r="D808" t="str" cm="1">
        <f t="array" ref="D808">choice(Settings!L:L,1,Settings!$B$16)</f>
        <v/>
      </c>
    </row>
    <row r="809" spans="1:4" ht="15.75" customHeight="1" x14ac:dyDescent="0.25">
      <c r="A809" s="2" t="str" cm="1">
        <f t="array" ref="A809">choice(Salles!A:A,1,Settings!$B$16)</f>
        <v>Salle64</v>
      </c>
      <c r="B809" s="3" cm="1">
        <f t="array" ref="B809">alea_date(Settings!$B$11,360,-1,Settings!$B$16)</f>
        <v>46109.25</v>
      </c>
      <c r="C809" s="20" cm="1">
        <f t="array" ref="C809">B809+TIME(alea_int(1,4,Settings!$B$16),0,0)</f>
        <v>46109.416666666664</v>
      </c>
      <c r="D809" t="str" cm="1">
        <f t="array" ref="D809">choice(Settings!L:L,1,Settings!$B$16)</f>
        <v/>
      </c>
    </row>
    <row r="810" spans="1:4" ht="15.75" customHeight="1" x14ac:dyDescent="0.25">
      <c r="A810" s="2" t="str" cm="1">
        <f t="array" ref="A810">choice(Salles!A:A,1,Settings!$B$16)</f>
        <v>Salle20</v>
      </c>
      <c r="B810" s="3" cm="1">
        <f t="array" ref="B810">alea_date(Settings!$B$11,360,-1,Settings!$B$16)</f>
        <v>46182.458333333336</v>
      </c>
      <c r="C810" s="20" cm="1">
        <f t="array" ref="C810">B810+TIME(alea_int(1,4,Settings!$B$16),0,0)</f>
        <v>46182.625</v>
      </c>
      <c r="D810" t="str" cm="1">
        <f t="array" ref="D810">choice(Settings!L:L,1,Settings!$B$16)</f>
        <v>mercredi</v>
      </c>
    </row>
    <row r="811" spans="1:4" ht="15.75" customHeight="1" x14ac:dyDescent="0.25">
      <c r="A811" s="2" t="str" cm="1">
        <f t="array" ref="A811">choice(Salles!A:A,1,Settings!$B$16)</f>
        <v>Salle46</v>
      </c>
      <c r="B811" s="3" cm="1">
        <f t="array" ref="B811">alea_date(Settings!$B$11,360,-1,Settings!$B$16)</f>
        <v>46379.5</v>
      </c>
      <c r="C811" s="20" cm="1">
        <f t="array" ref="C811">B811+TIME(alea_int(1,4,Settings!$B$16),0,0)</f>
        <v>46379.666666666664</v>
      </c>
      <c r="D811" t="str" cm="1">
        <f t="array" ref="D811">choice(Settings!L:L,1,Settings!$B$16)</f>
        <v/>
      </c>
    </row>
    <row r="812" spans="1:4" ht="15.75" customHeight="1" x14ac:dyDescent="0.25">
      <c r="A812" s="2" t="str" cm="1">
        <f t="array" ref="A812">choice(Salles!A:A,1,Settings!$B$16)</f>
        <v>Salle41</v>
      </c>
      <c r="B812" s="3" cm="1">
        <f t="array" ref="B812">alea_date(Settings!$B$11,360,-1,Settings!$B$16)</f>
        <v>46234.25</v>
      </c>
      <c r="C812" s="20" cm="1">
        <f t="array" ref="C812">B812+TIME(alea_int(1,4,Settings!$B$16),0,0)</f>
        <v>46234.416666666664</v>
      </c>
      <c r="D812" t="str" cm="1">
        <f t="array" ref="D812">choice(Settings!L:L,1,Settings!$B$16)</f>
        <v/>
      </c>
    </row>
    <row r="813" spans="1:4" ht="15.75" customHeight="1" x14ac:dyDescent="0.25">
      <c r="A813" s="2" t="str" cm="1">
        <f t="array" ref="A813">choice(Salles!A:A,1,Settings!$B$16)</f>
        <v>Salle5</v>
      </c>
      <c r="B813" s="3" cm="1">
        <f t="array" ref="B813">alea_date(Settings!$B$11,360,-1,Settings!$B$16)</f>
        <v>46055.625</v>
      </c>
      <c r="C813" s="20" cm="1">
        <f t="array" ref="C813">B813+TIME(alea_int(1,4,Settings!$B$16),0,0)</f>
        <v>46055.791666666664</v>
      </c>
      <c r="D813" t="str" cm="1">
        <f t="array" ref="D813">choice(Settings!L:L,1,Settings!$B$16)</f>
        <v/>
      </c>
    </row>
    <row r="814" spans="1:4" ht="15.75" customHeight="1" x14ac:dyDescent="0.25">
      <c r="A814" s="2" t="str" cm="1">
        <f t="array" ref="A814">choice(Salles!A:A,1,Settings!$B$16)</f>
        <v>Salle37</v>
      </c>
      <c r="B814" s="3" cm="1">
        <f t="array" ref="B814">alea_date(Settings!$B$11,360,-1,Settings!$B$16)</f>
        <v>46383.5</v>
      </c>
      <c r="C814" s="20" cm="1">
        <f t="array" ref="C814">B814+TIME(alea_int(1,4,Settings!$B$16),0,0)</f>
        <v>46383.666666666664</v>
      </c>
      <c r="D814" t="str" cm="1">
        <f t="array" ref="D814">choice(Settings!L:L,1,Settings!$B$16)</f>
        <v/>
      </c>
    </row>
    <row r="815" spans="1:4" ht="15.75" customHeight="1" x14ac:dyDescent="0.25">
      <c r="A815" s="2" t="str" cm="1">
        <f t="array" ref="A815">choice(Salles!A:A,1,Settings!$B$16)</f>
        <v>Salle64</v>
      </c>
      <c r="B815" s="3" cm="1">
        <f t="array" ref="B815">alea_date(Settings!$B$11,360,-1,Settings!$B$16)</f>
        <v>46343.333333333336</v>
      </c>
      <c r="C815" s="20" cm="1">
        <f t="array" ref="C815">B815+TIME(alea_int(1,4,Settings!$B$16),0,0)</f>
        <v>46343.5</v>
      </c>
      <c r="D815" t="str" cm="1">
        <f t="array" ref="D815">choice(Settings!L:L,1,Settings!$B$16)</f>
        <v/>
      </c>
    </row>
    <row r="816" spans="1:4" ht="15.75" customHeight="1" x14ac:dyDescent="0.25">
      <c r="A816" s="2" t="str" cm="1">
        <f t="array" ref="A816">choice(Salles!A:A,1,Settings!$B$16)</f>
        <v>Salle11</v>
      </c>
      <c r="B816" s="3" cm="1">
        <f t="array" ref="B816">alea_date(Settings!$B$11,360,-1,Settings!$B$16)</f>
        <v>46191.375</v>
      </c>
      <c r="C816" s="20" cm="1">
        <f t="array" ref="C816">B816+TIME(alea_int(1,4,Settings!$B$16),0,0)</f>
        <v>46191.541666666664</v>
      </c>
      <c r="D816" t="str" cm="1">
        <f t="array" ref="D816">choice(Settings!L:L,1,Settings!$B$16)</f>
        <v/>
      </c>
    </row>
    <row r="817" spans="1:4" ht="15.75" customHeight="1" x14ac:dyDescent="0.25">
      <c r="A817" s="2" t="str" cm="1">
        <f t="array" ref="A817">choice(Salles!A:A,1,Settings!$B$16)</f>
        <v>Salle51</v>
      </c>
      <c r="B817" s="3" cm="1">
        <f t="array" ref="B817">alea_date(Settings!$B$11,360,-1,Settings!$B$16)</f>
        <v>46328.416666666664</v>
      </c>
      <c r="C817" s="20" cm="1">
        <f t="array" ref="C817">B817+TIME(alea_int(1,4,Settings!$B$16),0,0)</f>
        <v>46328.583333333328</v>
      </c>
      <c r="D817" t="str" cm="1">
        <f t="array" ref="D817">choice(Settings!L:L,1,Settings!$B$16)</f>
        <v/>
      </c>
    </row>
    <row r="818" spans="1:4" ht="15.75" customHeight="1" x14ac:dyDescent="0.25">
      <c r="A818" s="2" t="str" cm="1">
        <f t="array" ref="A818">choice(Salles!A:A,1,Settings!$B$16)</f>
        <v>Salle61</v>
      </c>
      <c r="B818" s="3" cm="1">
        <f t="array" ref="B818">alea_date(Settings!$B$11,360,-1,Settings!$B$16)</f>
        <v>46078.541666666664</v>
      </c>
      <c r="C818" s="20" cm="1">
        <f t="array" ref="C818">B818+TIME(alea_int(1,4,Settings!$B$16),0,0)</f>
        <v>46078.708333333328</v>
      </c>
      <c r="D818" t="str" cm="1">
        <f t="array" ref="D818">choice(Settings!L:L,1,Settings!$B$16)</f>
        <v/>
      </c>
    </row>
    <row r="819" spans="1:4" ht="15.75" customHeight="1" x14ac:dyDescent="0.25">
      <c r="A819" s="2" t="str" cm="1">
        <f t="array" ref="A819">choice(Salles!A:A,1,Settings!$B$16)</f>
        <v>Salle62</v>
      </c>
      <c r="B819" s="3" cm="1">
        <f t="array" ref="B819">alea_date(Settings!$B$11,360,-1,Settings!$B$16)</f>
        <v>46375.625</v>
      </c>
      <c r="C819" s="20" cm="1">
        <f t="array" ref="C819">B819+TIME(alea_int(1,4,Settings!$B$16),0,0)</f>
        <v>46375.791666666664</v>
      </c>
      <c r="D819" t="str" cm="1">
        <f t="array" ref="D819">choice(Settings!L:L,1,Settings!$B$16)</f>
        <v/>
      </c>
    </row>
    <row r="820" spans="1:4" ht="15.75" customHeight="1" x14ac:dyDescent="0.25">
      <c r="A820" s="2" t="str" cm="1">
        <f t="array" ref="A820">choice(Salles!A:A,1,Settings!$B$16)</f>
        <v>Salle55</v>
      </c>
      <c r="B820" s="3" cm="1">
        <f t="array" ref="B820">alea_date(Settings!$B$11,360,-1,Settings!$B$16)</f>
        <v>46203.291666666664</v>
      </c>
      <c r="C820" s="20" cm="1">
        <f t="array" ref="C820">B820+TIME(alea_int(1,4,Settings!$B$16),0,0)</f>
        <v>46203.458333333328</v>
      </c>
      <c r="D820" t="str" cm="1">
        <f t="array" ref="D820">choice(Settings!L:L,1,Settings!$B$16)</f>
        <v/>
      </c>
    </row>
    <row r="821" spans="1:4" ht="15.75" customHeight="1" x14ac:dyDescent="0.25">
      <c r="A821" s="2" t="str" cm="1">
        <f t="array" ref="A821">choice(Salles!A:A,1,Settings!$B$16)</f>
        <v>Salle45</v>
      </c>
      <c r="B821" s="3" cm="1">
        <f t="array" ref="B821">alea_date(Settings!$B$11,360,-1,Settings!$B$16)</f>
        <v>46208.625</v>
      </c>
      <c r="C821" s="20" cm="1">
        <f t="array" ref="C821">B821+TIME(alea_int(1,4,Settings!$B$16),0,0)</f>
        <v>46208.791666666664</v>
      </c>
      <c r="D821" t="str" cm="1">
        <f t="array" ref="D821">choice(Settings!L:L,1,Settings!$B$16)</f>
        <v/>
      </c>
    </row>
    <row r="822" spans="1:4" ht="15.75" customHeight="1" x14ac:dyDescent="0.25">
      <c r="A822" s="2" t="str" cm="1">
        <f t="array" ref="A822">choice(Salles!A:A,1,Settings!$B$16)</f>
        <v>Salle53</v>
      </c>
      <c r="B822" s="3" cm="1">
        <f t="array" ref="B822">alea_date(Settings!$B$11,360,-1,Settings!$B$16)</f>
        <v>46186.5</v>
      </c>
      <c r="C822" s="20" cm="1">
        <f t="array" ref="C822">B822+TIME(alea_int(1,4,Settings!$B$16),0,0)</f>
        <v>46186.666666666664</v>
      </c>
      <c r="D822" t="str" cm="1">
        <f t="array" ref="D822">choice(Settings!L:L,1,Settings!$B$16)</f>
        <v/>
      </c>
    </row>
    <row r="823" spans="1:4" ht="15.75" customHeight="1" x14ac:dyDescent="0.25">
      <c r="A823" s="2" t="str" cm="1">
        <f t="array" ref="A823">choice(Salles!A:A,1,Settings!$B$16)</f>
        <v>Salle30</v>
      </c>
      <c r="B823" s="3" cm="1">
        <f t="array" ref="B823">alea_date(Settings!$B$11,360,-1,Settings!$B$16)</f>
        <v>46193.291666666664</v>
      </c>
      <c r="C823" s="20" cm="1">
        <f t="array" ref="C823">B823+TIME(alea_int(1,4,Settings!$B$16),0,0)</f>
        <v>46193.458333333328</v>
      </c>
      <c r="D823" t="str" cm="1">
        <f t="array" ref="D823">choice(Settings!L:L,1,Settings!$B$16)</f>
        <v/>
      </c>
    </row>
    <row r="824" spans="1:4" ht="15.75" customHeight="1" x14ac:dyDescent="0.25">
      <c r="A824" s="2" t="str" cm="1">
        <f t="array" ref="A824">choice(Salles!A:A,1,Settings!$B$16)</f>
        <v>Salle58</v>
      </c>
      <c r="B824" s="3" cm="1">
        <f t="array" ref="B824">alea_date(Settings!$B$11,360,-1,Settings!$B$16)</f>
        <v>46034.375</v>
      </c>
      <c r="C824" s="20" cm="1">
        <f t="array" ref="C824">B824+TIME(alea_int(1,4,Settings!$B$16),0,0)</f>
        <v>46034.541666666664</v>
      </c>
      <c r="D824" t="str" cm="1">
        <f t="array" ref="D824">choice(Settings!L:L,1,Settings!$B$16)</f>
        <v/>
      </c>
    </row>
    <row r="825" spans="1:4" ht="15.75" customHeight="1" x14ac:dyDescent="0.25">
      <c r="A825" s="2" t="str" cm="1">
        <f t="array" ref="A825">choice(Salles!A:A,1,Settings!$B$16)</f>
        <v>Salle35</v>
      </c>
      <c r="B825" s="3" cm="1">
        <f t="array" ref="B825">alea_date(Settings!$B$11,360,-1,Settings!$B$16)</f>
        <v>46139.541666666664</v>
      </c>
      <c r="C825" s="20" cm="1">
        <f t="array" ref="C825">B825+TIME(alea_int(1,4,Settings!$B$16),0,0)</f>
        <v>46139.708333333328</v>
      </c>
      <c r="D825" t="str" cm="1">
        <f t="array" ref="D825">choice(Settings!L:L,1,Settings!$B$16)</f>
        <v/>
      </c>
    </row>
    <row r="826" spans="1:4" ht="15.75" customHeight="1" x14ac:dyDescent="0.25">
      <c r="A826" s="2" t="str" cm="1">
        <f t="array" ref="A826">choice(Salles!A:A,1,Settings!$B$16)</f>
        <v>Salle41</v>
      </c>
      <c r="B826" s="3" cm="1">
        <f t="array" ref="B826">alea_date(Settings!$B$11,360,-1,Settings!$B$16)</f>
        <v>46158.375</v>
      </c>
      <c r="C826" s="20" cm="1">
        <f t="array" ref="C826">B826+TIME(alea_int(1,4,Settings!$B$16),0,0)</f>
        <v>46158.541666666664</v>
      </c>
      <c r="D826" t="str" cm="1">
        <f t="array" ref="D826">choice(Settings!L:L,1,Settings!$B$16)</f>
        <v/>
      </c>
    </row>
    <row r="827" spans="1:4" ht="15.75" customHeight="1" x14ac:dyDescent="0.25">
      <c r="A827" s="2" t="str" cm="1">
        <f t="array" ref="A827">choice(Salles!A:A,1,Settings!$B$16)</f>
        <v>Salle23</v>
      </c>
      <c r="B827" s="3" cm="1">
        <f t="array" ref="B827">alea_date(Settings!$B$11,360,-1,Settings!$B$16)</f>
        <v>46256.25</v>
      </c>
      <c r="C827" s="20" cm="1">
        <f t="array" ref="C827">B827+TIME(alea_int(1,4,Settings!$B$16),0,0)</f>
        <v>46256.416666666664</v>
      </c>
      <c r="D827" t="str" cm="1">
        <f t="array" ref="D827">choice(Settings!L:L,1,Settings!$B$16)</f>
        <v/>
      </c>
    </row>
    <row r="828" spans="1:4" ht="15.75" customHeight="1" x14ac:dyDescent="0.25">
      <c r="A828" s="2" t="str" cm="1">
        <f t="array" ref="A828">choice(Salles!A:A,1,Settings!$B$16)</f>
        <v>Salle50</v>
      </c>
      <c r="B828" s="3" cm="1">
        <f t="array" ref="B828">alea_date(Settings!$B$11,360,-1,Settings!$B$16)</f>
        <v>46111.416666666664</v>
      </c>
      <c r="C828" s="20" cm="1">
        <f t="array" ref="C828">B828+TIME(alea_int(1,4,Settings!$B$16),0,0)</f>
        <v>46111.583333333328</v>
      </c>
      <c r="D828" t="str" cm="1">
        <f t="array" ref="D828">choice(Settings!L:L,1,Settings!$B$16)</f>
        <v/>
      </c>
    </row>
    <row r="829" spans="1:4" ht="15.75" customHeight="1" x14ac:dyDescent="0.25">
      <c r="A829" s="2" t="str" cm="1">
        <f t="array" ref="A829">choice(Salles!A:A,1,Settings!$B$16)</f>
        <v>Salle8</v>
      </c>
      <c r="B829" s="3" cm="1">
        <f t="array" ref="B829">alea_date(Settings!$B$11,360,-1,Settings!$B$16)</f>
        <v>46091.583333333336</v>
      </c>
      <c r="C829" s="20" cm="1">
        <f t="array" ref="C829">B829+TIME(alea_int(1,4,Settings!$B$16),0,0)</f>
        <v>46091.75</v>
      </c>
      <c r="D829" t="str" cm="1">
        <f t="array" ref="D829">choice(Settings!L:L,1,Settings!$B$16)</f>
        <v/>
      </c>
    </row>
    <row r="830" spans="1:4" ht="15.75" customHeight="1" x14ac:dyDescent="0.25">
      <c r="A830" s="2" t="str" cm="1">
        <f t="array" ref="A830">choice(Salles!A:A,1,Settings!$B$16)</f>
        <v>Salle20</v>
      </c>
      <c r="B830" s="3" cm="1">
        <f t="array" ref="B830">alea_date(Settings!$B$11,360,-1,Settings!$B$16)</f>
        <v>46228.25</v>
      </c>
      <c r="C830" s="20" cm="1">
        <f t="array" ref="C830">B830+TIME(alea_int(1,4,Settings!$B$16),0,0)</f>
        <v>46228.416666666664</v>
      </c>
      <c r="D830" t="str" cm="1">
        <f t="array" ref="D830">choice(Settings!L:L,1,Settings!$B$16)</f>
        <v/>
      </c>
    </row>
    <row r="831" spans="1:4" ht="15.75" customHeight="1" x14ac:dyDescent="0.25">
      <c r="A831" s="2" t="str" cm="1">
        <f t="array" ref="A831">choice(Salles!A:A,1,Settings!$B$16)</f>
        <v>Salle65</v>
      </c>
      <c r="B831" s="3" cm="1">
        <f t="array" ref="B831">alea_date(Settings!$B$11,360,-1,Settings!$B$16)</f>
        <v>46232.25</v>
      </c>
      <c r="C831" s="20" cm="1">
        <f t="array" ref="C831">B831+TIME(alea_int(1,4,Settings!$B$16),0,0)</f>
        <v>46232.416666666664</v>
      </c>
      <c r="D831" t="str" cm="1">
        <f t="array" ref="D831">choice(Settings!L:L,1,Settings!$B$16)</f>
        <v/>
      </c>
    </row>
    <row r="832" spans="1:4" ht="15.75" customHeight="1" x14ac:dyDescent="0.25">
      <c r="A832" s="2" t="str" cm="1">
        <f t="array" ref="A832">choice(Salles!A:A,1,Settings!$B$16)</f>
        <v>Salle34</v>
      </c>
      <c r="B832" s="3" cm="1">
        <f t="array" ref="B832">alea_date(Settings!$B$11,360,-1,Settings!$B$16)</f>
        <v>46031.416666666664</v>
      </c>
      <c r="C832" s="20" cm="1">
        <f t="array" ref="C832">B832+TIME(alea_int(1,4,Settings!$B$16),0,0)</f>
        <v>46031.583333333328</v>
      </c>
      <c r="D832" t="str" cm="1">
        <f t="array" ref="D832">choice(Settings!L:L,1,Settings!$B$16)</f>
        <v/>
      </c>
    </row>
    <row r="833" spans="1:4" ht="15.75" customHeight="1" x14ac:dyDescent="0.25">
      <c r="A833" s="2" t="str" cm="1">
        <f t="array" ref="A833">choice(Salles!A:A,1,Settings!$B$16)</f>
        <v>Salle56</v>
      </c>
      <c r="B833" s="3" cm="1">
        <f t="array" ref="B833">alea_date(Settings!$B$11,360,-1,Settings!$B$16)</f>
        <v>46186.375</v>
      </c>
      <c r="C833" s="20" cm="1">
        <f t="array" ref="C833">B833+TIME(alea_int(1,4,Settings!$B$16),0,0)</f>
        <v>46186.541666666664</v>
      </c>
      <c r="D833" t="str" cm="1">
        <f t="array" ref="D833">choice(Settings!L:L,1,Settings!$B$16)</f>
        <v/>
      </c>
    </row>
    <row r="834" spans="1:4" ht="15.75" customHeight="1" x14ac:dyDescent="0.25">
      <c r="A834" s="2" t="str" cm="1">
        <f t="array" ref="A834">choice(Salles!A:A,1,Settings!$B$16)</f>
        <v>Salle28</v>
      </c>
      <c r="B834" s="3" cm="1">
        <f t="array" ref="B834">alea_date(Settings!$B$11,360,-1,Settings!$B$16)</f>
        <v>46111.333333333336</v>
      </c>
      <c r="C834" s="20" cm="1">
        <f t="array" ref="C834">B834+TIME(alea_int(1,4,Settings!$B$16),0,0)</f>
        <v>46111.5</v>
      </c>
      <c r="D834" t="str" cm="1">
        <f t="array" ref="D834">choice(Settings!L:L,1,Settings!$B$16)</f>
        <v/>
      </c>
    </row>
    <row r="835" spans="1:4" ht="15.75" customHeight="1" x14ac:dyDescent="0.25">
      <c r="A835" s="2" t="str" cm="1">
        <f t="array" ref="A835">choice(Salles!A:A,1,Settings!$B$16)</f>
        <v>Salle65</v>
      </c>
      <c r="B835" s="3" cm="1">
        <f t="array" ref="B835">alea_date(Settings!$B$11,360,-1,Settings!$B$16)</f>
        <v>46190.583333333336</v>
      </c>
      <c r="C835" s="20" cm="1">
        <f t="array" ref="C835">B835+TIME(alea_int(1,4,Settings!$B$16),0,0)</f>
        <v>46190.75</v>
      </c>
      <c r="D835" t="str" cm="1">
        <f t="array" ref="D835">choice(Settings!L:L,1,Settings!$B$16)</f>
        <v/>
      </c>
    </row>
    <row r="836" spans="1:4" ht="15.75" customHeight="1" x14ac:dyDescent="0.25">
      <c r="A836" s="2" t="str" cm="1">
        <f t="array" ref="A836">choice(Salles!A:A,1,Settings!$B$16)</f>
        <v>Salle63</v>
      </c>
      <c r="B836" s="3" cm="1">
        <f t="array" ref="B836">alea_date(Settings!$B$11,360,-1,Settings!$B$16)</f>
        <v>46107.458333333336</v>
      </c>
      <c r="C836" s="20" cm="1">
        <f t="array" ref="C836">B836+TIME(alea_int(1,4,Settings!$B$16),0,0)</f>
        <v>46107.625</v>
      </c>
      <c r="D836" t="str" cm="1">
        <f t="array" ref="D836">choice(Settings!L:L,1,Settings!$B$16)</f>
        <v/>
      </c>
    </row>
    <row r="837" spans="1:4" ht="15.75" customHeight="1" x14ac:dyDescent="0.25">
      <c r="A837" s="2" t="str" cm="1">
        <f t="array" ref="A837">choice(Salles!A:A,1,Settings!$B$16)</f>
        <v>Salle45</v>
      </c>
      <c r="B837" s="3" cm="1">
        <f t="array" ref="B837">alea_date(Settings!$B$11,360,-1,Settings!$B$16)</f>
        <v>46189.375</v>
      </c>
      <c r="C837" s="20" cm="1">
        <f t="array" ref="C837">B837+TIME(alea_int(1,4,Settings!$B$16),0,0)</f>
        <v>46189.541666666664</v>
      </c>
      <c r="D837" t="str" cm="1">
        <f t="array" ref="D837">choice(Settings!L:L,1,Settings!$B$16)</f>
        <v/>
      </c>
    </row>
    <row r="838" spans="1:4" ht="15.75" customHeight="1" x14ac:dyDescent="0.25">
      <c r="A838" s="2" t="str" cm="1">
        <f t="array" ref="A838">choice(Salles!A:A,1,Settings!$B$16)</f>
        <v>Salle41</v>
      </c>
      <c r="B838" s="3" cm="1">
        <f t="array" ref="B838">alea_date(Settings!$B$11,360,-1,Settings!$B$16)</f>
        <v>46211.5</v>
      </c>
      <c r="C838" s="20" cm="1">
        <f t="array" ref="C838">B838+TIME(alea_int(1,4,Settings!$B$16),0,0)</f>
        <v>46211.666666666664</v>
      </c>
      <c r="D838" t="str" cm="1">
        <f t="array" ref="D838">choice(Settings!L:L,1,Settings!$B$16)</f>
        <v/>
      </c>
    </row>
    <row r="839" spans="1:4" ht="15.75" customHeight="1" x14ac:dyDescent="0.25">
      <c r="A839" s="2" t="str" cm="1">
        <f t="array" ref="A839">choice(Salles!A:A,1,Settings!$B$16)</f>
        <v>Salle24</v>
      </c>
      <c r="B839" s="3" cm="1">
        <f t="array" ref="B839">alea_date(Settings!$B$11,360,-1,Settings!$B$16)</f>
        <v>46202.5</v>
      </c>
      <c r="C839" s="20" cm="1">
        <f t="array" ref="C839">B839+TIME(alea_int(1,4,Settings!$B$16),0,0)</f>
        <v>46202.666666666664</v>
      </c>
      <c r="D839" t="str" cm="1">
        <f t="array" ref="D839">choice(Settings!L:L,1,Settings!$B$16)</f>
        <v/>
      </c>
    </row>
    <row r="840" spans="1:4" ht="15.75" customHeight="1" x14ac:dyDescent="0.25">
      <c r="A840" s="2" t="str" cm="1">
        <f t="array" ref="A840">choice(Salles!A:A,1,Settings!$B$16)</f>
        <v>Salle33</v>
      </c>
      <c r="B840" s="3" cm="1">
        <f t="array" ref="B840">alea_date(Settings!$B$11,360,-1,Settings!$B$16)</f>
        <v>46377.458333333336</v>
      </c>
      <c r="C840" s="20" cm="1">
        <f t="array" ref="C840">B840+TIME(alea_int(1,4,Settings!$B$16),0,0)</f>
        <v>46377.625</v>
      </c>
      <c r="D840" t="str" cm="1">
        <f t="array" ref="D840">choice(Settings!L:L,1,Settings!$B$16)</f>
        <v/>
      </c>
    </row>
    <row r="841" spans="1:4" ht="15.75" customHeight="1" x14ac:dyDescent="0.25">
      <c r="A841" s="2" t="str" cm="1">
        <f t="array" ref="A841">choice(Salles!A:A,1,Settings!$B$16)</f>
        <v>Salle24</v>
      </c>
      <c r="B841" s="3" cm="1">
        <f t="array" ref="B841">alea_date(Settings!$B$11,360,-1,Settings!$B$16)</f>
        <v>46026.583333333336</v>
      </c>
      <c r="C841" s="20" cm="1">
        <f t="array" ref="C841">B841+TIME(alea_int(1,4,Settings!$B$16),0,0)</f>
        <v>46026.75</v>
      </c>
      <c r="D841" t="str" cm="1">
        <f t="array" ref="D841">choice(Settings!L:L,1,Settings!$B$16)</f>
        <v/>
      </c>
    </row>
    <row r="842" spans="1:4" ht="15.75" customHeight="1" x14ac:dyDescent="0.25">
      <c r="A842" s="2" t="str" cm="1">
        <f t="array" ref="A842">choice(Salles!A:A,1,Settings!$B$16)</f>
        <v>Salle70</v>
      </c>
      <c r="B842" s="3" cm="1">
        <f t="array" ref="B842">alea_date(Settings!$B$11,360,-1,Settings!$B$16)</f>
        <v>46219.25</v>
      </c>
      <c r="C842" s="20" cm="1">
        <f t="array" ref="C842">B842+TIME(alea_int(1,4,Settings!$B$16),0,0)</f>
        <v>46219.416666666664</v>
      </c>
      <c r="D842" t="str" cm="1">
        <f t="array" ref="D842">choice(Settings!L:L,1,Settings!$B$16)</f>
        <v/>
      </c>
    </row>
    <row r="843" spans="1:4" ht="15.75" customHeight="1" x14ac:dyDescent="0.25">
      <c r="A843" s="2" t="str" cm="1">
        <f t="array" ref="A843">choice(Salles!A:A,1,Settings!$B$16)</f>
        <v>Salle62</v>
      </c>
      <c r="B843" s="3" cm="1">
        <f t="array" ref="B843">alea_date(Settings!$B$11,360,-1,Settings!$B$16)</f>
        <v>46210.583333333336</v>
      </c>
      <c r="C843" s="20" cm="1">
        <f t="array" ref="C843">B843+TIME(alea_int(1,4,Settings!$B$16),0,0)</f>
        <v>46210.75</v>
      </c>
      <c r="D843" t="str" cm="1">
        <f t="array" ref="D843">choice(Settings!L:L,1,Settings!$B$16)</f>
        <v/>
      </c>
    </row>
    <row r="844" spans="1:4" ht="15.75" customHeight="1" x14ac:dyDescent="0.25">
      <c r="A844" s="2" t="str" cm="1">
        <f t="array" ref="A844">choice(Salles!A:A,1,Settings!$B$16)</f>
        <v>Salle1</v>
      </c>
      <c r="B844" s="3" cm="1">
        <f t="array" ref="B844">alea_date(Settings!$B$11,360,-1,Settings!$B$16)</f>
        <v>46036.625</v>
      </c>
      <c r="C844" s="20" cm="1">
        <f t="array" ref="C844">B844+TIME(alea_int(1,4,Settings!$B$16),0,0)</f>
        <v>46036.791666666664</v>
      </c>
      <c r="D844" t="str" cm="1">
        <f t="array" ref="D844">choice(Settings!L:L,1,Settings!$B$16)</f>
        <v/>
      </c>
    </row>
    <row r="845" spans="1:4" ht="15.75" customHeight="1" x14ac:dyDescent="0.25">
      <c r="A845" s="2" t="str" cm="1">
        <f t="array" ref="A845">choice(Salles!A:A,1,Settings!$B$16)</f>
        <v>Salle63</v>
      </c>
      <c r="B845" s="3" cm="1">
        <f t="array" ref="B845">alea_date(Settings!$B$11,360,-1,Settings!$B$16)</f>
        <v>46169.291666666664</v>
      </c>
      <c r="C845" s="20" cm="1">
        <f t="array" ref="C845">B845+TIME(alea_int(1,4,Settings!$B$16),0,0)</f>
        <v>46169.458333333328</v>
      </c>
      <c r="D845" t="str" cm="1">
        <f t="array" ref="D845">choice(Settings!L:L,1,Settings!$B$16)</f>
        <v/>
      </c>
    </row>
    <row r="846" spans="1:4" ht="15.75" customHeight="1" x14ac:dyDescent="0.25">
      <c r="A846" s="2" t="str" cm="1">
        <f t="array" ref="A846">choice(Salles!A:A,1,Settings!$B$16)</f>
        <v>Salle33</v>
      </c>
      <c r="B846" s="3" cm="1">
        <f t="array" ref="B846">alea_date(Settings!$B$11,360,-1,Settings!$B$16)</f>
        <v>46280.25</v>
      </c>
      <c r="C846" s="20" cm="1">
        <f t="array" ref="C846">B846+TIME(alea_int(1,4,Settings!$B$16),0,0)</f>
        <v>46280.416666666664</v>
      </c>
      <c r="D846" t="str" cm="1">
        <f t="array" ref="D846">choice(Settings!L:L,1,Settings!$B$16)</f>
        <v/>
      </c>
    </row>
    <row r="847" spans="1:4" ht="15.75" customHeight="1" x14ac:dyDescent="0.25">
      <c r="A847" s="2" t="str" cm="1">
        <f t="array" ref="A847">choice(Salles!A:A,1,Settings!$B$16)</f>
        <v>Salle37</v>
      </c>
      <c r="B847" s="3" cm="1">
        <f t="array" ref="B847">alea_date(Settings!$B$11,360,-1,Settings!$B$16)</f>
        <v>46152.333333333336</v>
      </c>
      <c r="C847" s="20" cm="1">
        <f t="array" ref="C847">B847+TIME(alea_int(1,4,Settings!$B$16),0,0)</f>
        <v>46152.5</v>
      </c>
      <c r="D847" t="str" cm="1">
        <f t="array" ref="D847">choice(Settings!L:L,1,Settings!$B$16)</f>
        <v/>
      </c>
    </row>
    <row r="848" spans="1:4" ht="15.75" customHeight="1" x14ac:dyDescent="0.25">
      <c r="A848" s="2" t="str" cm="1">
        <f t="array" ref="A848">choice(Salles!A:A,1,Settings!$B$16)</f>
        <v>Salle27</v>
      </c>
      <c r="B848" s="3" cm="1">
        <f t="array" ref="B848">alea_date(Settings!$B$11,360,-1,Settings!$B$16)</f>
        <v>46109.583333333336</v>
      </c>
      <c r="C848" s="20" cm="1">
        <f t="array" ref="C848">B848+TIME(alea_int(1,4,Settings!$B$16),0,0)</f>
        <v>46109.75</v>
      </c>
      <c r="D848" t="str" cm="1">
        <f t="array" ref="D848">choice(Settings!L:L,1,Settings!$B$16)</f>
        <v/>
      </c>
    </row>
    <row r="849" spans="1:4" ht="15.75" customHeight="1" x14ac:dyDescent="0.25">
      <c r="A849" s="2" t="str" cm="1">
        <f t="array" ref="A849">choice(Salles!A:A,1,Settings!$B$16)</f>
        <v>Salle41</v>
      </c>
      <c r="B849" s="3" cm="1">
        <f t="array" ref="B849">alea_date(Settings!$B$11,360,-1,Settings!$B$16)</f>
        <v>46260.291666666664</v>
      </c>
      <c r="C849" s="20" cm="1">
        <f t="array" ref="C849">B849+TIME(alea_int(1,4,Settings!$B$16),0,0)</f>
        <v>46260.458333333328</v>
      </c>
      <c r="D849" t="str" cm="1">
        <f t="array" ref="D849">choice(Settings!L:L,1,Settings!$B$16)</f>
        <v>mercredi</v>
      </c>
    </row>
    <row r="850" spans="1:4" ht="15.75" customHeight="1" x14ac:dyDescent="0.25">
      <c r="A850" s="2" t="str" cm="1">
        <f t="array" ref="A850">choice(Salles!A:A,1,Settings!$B$16)</f>
        <v>Salle37</v>
      </c>
      <c r="B850" s="3" cm="1">
        <f t="array" ref="B850">alea_date(Settings!$B$11,360,-1,Settings!$B$16)</f>
        <v>46059.375</v>
      </c>
      <c r="C850" s="20" cm="1">
        <f t="array" ref="C850">B850+TIME(alea_int(1,4,Settings!$B$16),0,0)</f>
        <v>46059.541666666664</v>
      </c>
      <c r="D850" t="str" cm="1">
        <f t="array" ref="D850">choice(Settings!L:L,1,Settings!$B$16)</f>
        <v/>
      </c>
    </row>
    <row r="851" spans="1:4" ht="15.75" customHeight="1" x14ac:dyDescent="0.25">
      <c r="A851" s="2" t="str" cm="1">
        <f t="array" ref="A851">choice(Salles!A:A,1,Settings!$B$16)</f>
        <v>Salle33</v>
      </c>
      <c r="B851" s="3" cm="1">
        <f t="array" ref="B851">alea_date(Settings!$B$11,360,-1,Settings!$B$16)</f>
        <v>46209.291666666664</v>
      </c>
      <c r="C851" s="20" cm="1">
        <f t="array" ref="C851">B851+TIME(alea_int(1,4,Settings!$B$16),0,0)</f>
        <v>46209.458333333328</v>
      </c>
      <c r="D851" t="str" cm="1">
        <f t="array" ref="D851">choice(Settings!L:L,1,Settings!$B$16)</f>
        <v/>
      </c>
    </row>
    <row r="852" spans="1:4" ht="15.75" customHeight="1" x14ac:dyDescent="0.25">
      <c r="A852" s="2" t="str" cm="1">
        <f t="array" ref="A852">choice(Salles!A:A,1,Settings!$B$16)</f>
        <v>Salle20</v>
      </c>
      <c r="B852" s="3" cm="1">
        <f t="array" ref="B852">alea_date(Settings!$B$11,360,-1,Settings!$B$16)</f>
        <v>46089.5</v>
      </c>
      <c r="C852" s="20" cm="1">
        <f t="array" ref="C852">B852+TIME(alea_int(1,4,Settings!$B$16),0,0)</f>
        <v>46089.666666666664</v>
      </c>
      <c r="D852" t="str" cm="1">
        <f t="array" ref="D852">choice(Settings!L:L,1,Settings!$B$16)</f>
        <v/>
      </c>
    </row>
    <row r="853" spans="1:4" ht="15.75" customHeight="1" x14ac:dyDescent="0.25">
      <c r="A853" s="2" t="str" cm="1">
        <f t="array" ref="A853">choice(Salles!A:A,1,Settings!$B$16)</f>
        <v>Salle26</v>
      </c>
      <c r="B853" s="3" cm="1">
        <f t="array" ref="B853">alea_date(Settings!$B$11,360,-1,Settings!$B$16)</f>
        <v>46351.541666666664</v>
      </c>
      <c r="C853" s="20" cm="1">
        <f t="array" ref="C853">B853+TIME(alea_int(1,4,Settings!$B$16),0,0)</f>
        <v>46351.708333333328</v>
      </c>
      <c r="D853" t="str" cm="1">
        <f t="array" ref="D853">choice(Settings!L:L,1,Settings!$B$16)</f>
        <v/>
      </c>
    </row>
    <row r="854" spans="1:4" ht="15.75" customHeight="1" x14ac:dyDescent="0.25">
      <c r="A854" s="2" t="str" cm="1">
        <f t="array" ref="A854">choice(Salles!A:A,1,Settings!$B$16)</f>
        <v>Salle13</v>
      </c>
      <c r="B854" s="3" cm="1">
        <f t="array" ref="B854">alea_date(Settings!$B$11,360,-1,Settings!$B$16)</f>
        <v>46252.416666666664</v>
      </c>
      <c r="C854" s="20" cm="1">
        <f t="array" ref="C854">B854+TIME(alea_int(1,4,Settings!$B$16),0,0)</f>
        <v>46252.583333333328</v>
      </c>
      <c r="D854" t="str" cm="1">
        <f t="array" ref="D854">choice(Settings!L:L,1,Settings!$B$16)</f>
        <v/>
      </c>
    </row>
    <row r="855" spans="1:4" ht="15.75" customHeight="1" x14ac:dyDescent="0.25">
      <c r="A855" s="2" t="str" cm="1">
        <f t="array" ref="A855">choice(Salles!A:A,1,Settings!$B$16)</f>
        <v>Salle45</v>
      </c>
      <c r="B855" s="3" cm="1">
        <f t="array" ref="B855">alea_date(Settings!$B$11,360,-1,Settings!$B$16)</f>
        <v>46258.541666666664</v>
      </c>
      <c r="C855" s="20" cm="1">
        <f t="array" ref="C855">B855+TIME(alea_int(1,4,Settings!$B$16),0,0)</f>
        <v>46258.708333333328</v>
      </c>
      <c r="D855" t="str" cm="1">
        <f t="array" ref="D855">choice(Settings!L:L,1,Settings!$B$16)</f>
        <v/>
      </c>
    </row>
    <row r="856" spans="1:4" ht="15.75" customHeight="1" x14ac:dyDescent="0.25">
      <c r="A856" s="2" t="str" cm="1">
        <f t="array" ref="A856">choice(Salles!A:A,1,Settings!$B$16)</f>
        <v>Salle2</v>
      </c>
      <c r="B856" s="3" cm="1">
        <f t="array" ref="B856">alea_date(Settings!$B$11,360,-1,Settings!$B$16)</f>
        <v>46379.333333333336</v>
      </c>
      <c r="C856" s="20" cm="1">
        <f t="array" ref="C856">B856+TIME(alea_int(1,4,Settings!$B$16),0,0)</f>
        <v>46379.5</v>
      </c>
      <c r="D856" t="str" cm="1">
        <f t="array" ref="D856">choice(Settings!L:L,1,Settings!$B$16)</f>
        <v/>
      </c>
    </row>
    <row r="857" spans="1:4" ht="15.75" customHeight="1" x14ac:dyDescent="0.25">
      <c r="A857" s="2" t="str" cm="1">
        <f t="array" ref="A857">choice(Salles!A:A,1,Settings!$B$16)</f>
        <v>Salle16</v>
      </c>
      <c r="B857" s="3" cm="1">
        <f t="array" ref="B857">alea_date(Settings!$B$11,360,-1,Settings!$B$16)</f>
        <v>46208.291666666664</v>
      </c>
      <c r="C857" s="20" cm="1">
        <f t="array" ref="C857">B857+TIME(alea_int(1,4,Settings!$B$16),0,0)</f>
        <v>46208.458333333328</v>
      </c>
      <c r="D857" t="str" cm="1">
        <f t="array" ref="D857">choice(Settings!L:L,1,Settings!$B$16)</f>
        <v/>
      </c>
    </row>
    <row r="858" spans="1:4" ht="15.75" customHeight="1" x14ac:dyDescent="0.25">
      <c r="A858" s="2" t="str" cm="1">
        <f t="array" ref="A858">choice(Salles!A:A,1,Settings!$B$16)</f>
        <v>Salle37</v>
      </c>
      <c r="B858" s="3" cm="1">
        <f t="array" ref="B858">alea_date(Settings!$B$11,360,-1,Settings!$B$16)</f>
        <v>46208.25</v>
      </c>
      <c r="C858" s="20" cm="1">
        <f t="array" ref="C858">B858+TIME(alea_int(1,4,Settings!$B$16),0,0)</f>
        <v>46208.416666666664</v>
      </c>
      <c r="D858" t="str" cm="1">
        <f t="array" ref="D858">choice(Settings!L:L,1,Settings!$B$16)</f>
        <v/>
      </c>
    </row>
    <row r="859" spans="1:4" ht="15.75" customHeight="1" x14ac:dyDescent="0.25">
      <c r="A859" s="2" t="str" cm="1">
        <f t="array" ref="A859">choice(Salles!A:A,1,Settings!$B$16)</f>
        <v>Salle52</v>
      </c>
      <c r="B859" s="3" cm="1">
        <f t="array" ref="B859">alea_date(Settings!$B$11,360,-1,Settings!$B$16)</f>
        <v>46351.5</v>
      </c>
      <c r="C859" s="20" cm="1">
        <f t="array" ref="C859">B859+TIME(alea_int(1,4,Settings!$B$16),0,0)</f>
        <v>46351.666666666664</v>
      </c>
      <c r="D859" t="str" cm="1">
        <f t="array" ref="D859">choice(Settings!L:L,1,Settings!$B$16)</f>
        <v/>
      </c>
    </row>
    <row r="860" spans="1:4" ht="15.75" customHeight="1" x14ac:dyDescent="0.25">
      <c r="A860" s="2" t="str" cm="1">
        <f t="array" ref="A860">choice(Salles!A:A,1,Settings!$B$16)</f>
        <v>Salle66</v>
      </c>
      <c r="B860" s="3" cm="1">
        <f t="array" ref="B860">alea_date(Settings!$B$11,360,-1,Settings!$B$16)</f>
        <v>46230.541666666664</v>
      </c>
      <c r="C860" s="20" cm="1">
        <f t="array" ref="C860">B860+TIME(alea_int(1,4,Settings!$B$16),0,0)</f>
        <v>46230.708333333328</v>
      </c>
      <c r="D860" t="str" cm="1">
        <f t="array" ref="D860">choice(Settings!L:L,1,Settings!$B$16)</f>
        <v/>
      </c>
    </row>
    <row r="861" spans="1:4" ht="15.75" customHeight="1" x14ac:dyDescent="0.25">
      <c r="A861" s="2" t="str" cm="1">
        <f t="array" ref="A861">choice(Salles!A:A,1,Settings!$B$16)</f>
        <v>Salle24</v>
      </c>
      <c r="B861" s="3" cm="1">
        <f t="array" ref="B861">alea_date(Settings!$B$11,360,-1,Settings!$B$16)</f>
        <v>46349.541666666664</v>
      </c>
      <c r="C861" s="20" cm="1">
        <f t="array" ref="C861">B861+TIME(alea_int(1,4,Settings!$B$16),0,0)</f>
        <v>46349.708333333328</v>
      </c>
      <c r="D861" t="str" cm="1">
        <f t="array" ref="D861">choice(Settings!L:L,1,Settings!$B$16)</f>
        <v/>
      </c>
    </row>
    <row r="862" spans="1:4" ht="15.75" customHeight="1" x14ac:dyDescent="0.25">
      <c r="A862" s="2" t="str" cm="1">
        <f t="array" ref="A862">choice(Salles!A:A,1,Settings!$B$16)</f>
        <v>Salle4</v>
      </c>
      <c r="B862" s="3" cm="1">
        <f t="array" ref="B862">alea_date(Settings!$B$11,360,-1,Settings!$B$16)</f>
        <v>46279.583333333336</v>
      </c>
      <c r="C862" s="20" cm="1">
        <f t="array" ref="C862">B862+TIME(alea_int(1,4,Settings!$B$16),0,0)</f>
        <v>46279.75</v>
      </c>
      <c r="D862" t="str" cm="1">
        <f t="array" ref="D862">choice(Settings!L:L,1,Settings!$B$16)</f>
        <v>mercredi</v>
      </c>
    </row>
    <row r="863" spans="1:4" ht="15.75" customHeight="1" x14ac:dyDescent="0.25">
      <c r="A863" s="2" t="str" cm="1">
        <f t="array" ref="A863">choice(Salles!A:A,1,Settings!$B$16)</f>
        <v>Salle2</v>
      </c>
      <c r="B863" s="3" cm="1">
        <f t="array" ref="B863">alea_date(Settings!$B$11,360,-1,Settings!$B$16)</f>
        <v>46206.625</v>
      </c>
      <c r="C863" s="20" cm="1">
        <f t="array" ref="C863">B863+TIME(alea_int(1,4,Settings!$B$16),0,0)</f>
        <v>46206.791666666664</v>
      </c>
      <c r="D863" t="str" cm="1">
        <f t="array" ref="D863">choice(Settings!L:L,1,Settings!$B$16)</f>
        <v/>
      </c>
    </row>
    <row r="864" spans="1:4" ht="15.75" customHeight="1" x14ac:dyDescent="0.25">
      <c r="A864" s="2" t="str" cm="1">
        <f t="array" ref="A864">choice(Salles!A:A,1,Settings!$B$16)</f>
        <v>Salle3</v>
      </c>
      <c r="B864" s="3" cm="1">
        <f t="array" ref="B864">alea_date(Settings!$B$11,360,-1,Settings!$B$16)</f>
        <v>46061.583333333336</v>
      </c>
      <c r="C864" s="20" cm="1">
        <f t="array" ref="C864">B864+TIME(alea_int(1,4,Settings!$B$16),0,0)</f>
        <v>46061.75</v>
      </c>
      <c r="D864" t="str" cm="1">
        <f t="array" ref="D864">choice(Settings!L:L,1,Settings!$B$16)</f>
        <v/>
      </c>
    </row>
    <row r="865" spans="1:4" ht="15.75" customHeight="1" x14ac:dyDescent="0.25">
      <c r="A865" s="2" t="str" cm="1">
        <f t="array" ref="A865">choice(Salles!A:A,1,Settings!$B$16)</f>
        <v>Salle45</v>
      </c>
      <c r="B865" s="3" cm="1">
        <f t="array" ref="B865">alea_date(Settings!$B$11,360,-1,Settings!$B$16)</f>
        <v>46331.333333333336</v>
      </c>
      <c r="C865" s="20" cm="1">
        <f t="array" ref="C865">B865+TIME(alea_int(1,4,Settings!$B$16),0,0)</f>
        <v>46331.5</v>
      </c>
      <c r="D865" t="str" cm="1">
        <f t="array" ref="D865">choice(Settings!L:L,1,Settings!$B$16)</f>
        <v>mercredi</v>
      </c>
    </row>
    <row r="866" spans="1:4" ht="15.75" customHeight="1" x14ac:dyDescent="0.25">
      <c r="A866" s="2" t="str" cm="1">
        <f t="array" ref="A866">choice(Salles!A:A,1,Settings!$B$16)</f>
        <v>Salle32</v>
      </c>
      <c r="B866" s="3" cm="1">
        <f t="array" ref="B866">alea_date(Settings!$B$11,360,-1,Settings!$B$16)</f>
        <v>46295.458333333336</v>
      </c>
      <c r="C866" s="20" cm="1">
        <f t="array" ref="C866">B866+TIME(alea_int(1,4,Settings!$B$16),0,0)</f>
        <v>46295.625</v>
      </c>
      <c r="D866" t="str" cm="1">
        <f t="array" ref="D866">choice(Settings!L:L,1,Settings!$B$16)</f>
        <v/>
      </c>
    </row>
    <row r="867" spans="1:4" ht="15.75" customHeight="1" x14ac:dyDescent="0.25">
      <c r="A867" s="2" t="str" cm="1">
        <f t="array" ref="A867">choice(Salles!A:A,1,Settings!$B$16)</f>
        <v>Salle23</v>
      </c>
      <c r="B867" s="3" cm="1">
        <f t="array" ref="B867">alea_date(Settings!$B$11,360,-1,Settings!$B$16)</f>
        <v>46300.25</v>
      </c>
      <c r="C867" s="20" cm="1">
        <f t="array" ref="C867">B867+TIME(alea_int(1,4,Settings!$B$16),0,0)</f>
        <v>46300.416666666664</v>
      </c>
      <c r="D867" t="str" cm="1">
        <f t="array" ref="D867">choice(Settings!L:L,1,Settings!$B$16)</f>
        <v/>
      </c>
    </row>
    <row r="868" spans="1:4" ht="15.75" customHeight="1" x14ac:dyDescent="0.25">
      <c r="A868" s="2" t="str" cm="1">
        <f t="array" ref="A868">choice(Salles!A:A,1,Settings!$B$16)</f>
        <v>Salle38</v>
      </c>
      <c r="B868" s="3" cm="1">
        <f t="array" ref="B868">alea_date(Settings!$B$11,360,-1,Settings!$B$16)</f>
        <v>46358.25</v>
      </c>
      <c r="C868" s="20" cm="1">
        <f t="array" ref="C868">B868+TIME(alea_int(1,4,Settings!$B$16),0,0)</f>
        <v>46358.416666666664</v>
      </c>
      <c r="D868" t="str" cm="1">
        <f t="array" ref="D868">choice(Settings!L:L,1,Settings!$B$16)</f>
        <v/>
      </c>
    </row>
    <row r="869" spans="1:4" ht="15.75" customHeight="1" x14ac:dyDescent="0.25">
      <c r="A869" s="2" t="str" cm="1">
        <f t="array" ref="A869">choice(Salles!A:A,1,Settings!$B$16)</f>
        <v>Salle35</v>
      </c>
      <c r="B869" s="3" cm="1">
        <f t="array" ref="B869">alea_date(Settings!$B$11,360,-1,Settings!$B$16)</f>
        <v>46107.625</v>
      </c>
      <c r="C869" s="20" cm="1">
        <f t="array" ref="C869">B869+TIME(alea_int(1,4,Settings!$B$16),0,0)</f>
        <v>46107.791666666664</v>
      </c>
      <c r="D869" t="str" cm="1">
        <f t="array" ref="D869">choice(Settings!L:L,1,Settings!$B$16)</f>
        <v>jeudi</v>
      </c>
    </row>
    <row r="870" spans="1:4" ht="15.75" customHeight="1" x14ac:dyDescent="0.25">
      <c r="A870" s="2" t="str" cm="1">
        <f t="array" ref="A870">choice(Salles!A:A,1,Settings!$B$16)</f>
        <v>Salle12</v>
      </c>
      <c r="B870" s="3" cm="1">
        <f t="array" ref="B870">alea_date(Settings!$B$11,360,-1,Settings!$B$16)</f>
        <v>46352.583333333336</v>
      </c>
      <c r="C870" s="20" cm="1">
        <f t="array" ref="C870">B870+TIME(alea_int(1,4,Settings!$B$16),0,0)</f>
        <v>46352.75</v>
      </c>
      <c r="D870" t="str" cm="1">
        <f t="array" ref="D870">choice(Settings!L:L,1,Settings!$B$16)</f>
        <v/>
      </c>
    </row>
    <row r="871" spans="1:4" ht="15.75" customHeight="1" x14ac:dyDescent="0.25">
      <c r="A871" s="2" t="str" cm="1">
        <f t="array" ref="A871">choice(Salles!A:A,1,Settings!$B$16)</f>
        <v>Salle26</v>
      </c>
      <c r="B871" s="3" cm="1">
        <f t="array" ref="B871">alea_date(Settings!$B$11,360,-1,Settings!$B$16)</f>
        <v>46163.625</v>
      </c>
      <c r="C871" s="20" cm="1">
        <f t="array" ref="C871">B871+TIME(alea_int(1,4,Settings!$B$16),0,0)</f>
        <v>46163.791666666664</v>
      </c>
      <c r="D871" t="str" cm="1">
        <f t="array" ref="D871">choice(Settings!L:L,1,Settings!$B$16)</f>
        <v/>
      </c>
    </row>
    <row r="872" spans="1:4" ht="15.75" customHeight="1" x14ac:dyDescent="0.25">
      <c r="A872" s="2" t="str" cm="1">
        <f t="array" ref="A872">choice(Salles!A:A,1,Settings!$B$16)</f>
        <v>Salle60</v>
      </c>
      <c r="B872" s="3" cm="1">
        <f t="array" ref="B872">alea_date(Settings!$B$11,360,-1,Settings!$B$16)</f>
        <v>46280.5</v>
      </c>
      <c r="C872" s="20" cm="1">
        <f t="array" ref="C872">B872+TIME(alea_int(1,4,Settings!$B$16),0,0)</f>
        <v>46280.666666666664</v>
      </c>
      <c r="D872" t="str" cm="1">
        <f t="array" ref="D872">choice(Settings!L:L,1,Settings!$B$16)</f>
        <v/>
      </c>
    </row>
    <row r="873" spans="1:4" ht="15.75" customHeight="1" x14ac:dyDescent="0.25">
      <c r="A873" s="2" t="str" cm="1">
        <f t="array" ref="A873">choice(Salles!A:A,1,Settings!$B$16)</f>
        <v>Salle68</v>
      </c>
      <c r="B873" s="3" cm="1">
        <f t="array" ref="B873">alea_date(Settings!$B$11,360,-1,Settings!$B$16)</f>
        <v>46067.416666666664</v>
      </c>
      <c r="C873" s="20" cm="1">
        <f t="array" ref="C873">B873+TIME(alea_int(1,4,Settings!$B$16),0,0)</f>
        <v>46067.583333333328</v>
      </c>
      <c r="D873" t="str" cm="1">
        <f t="array" ref="D873">choice(Settings!L:L,1,Settings!$B$16)</f>
        <v/>
      </c>
    </row>
    <row r="874" spans="1:4" ht="15.75" customHeight="1" x14ac:dyDescent="0.25">
      <c r="A874" s="2" t="str" cm="1">
        <f t="array" ref="A874">choice(Salles!A:A,1,Settings!$B$16)</f>
        <v>Salle35</v>
      </c>
      <c r="B874" s="3" cm="1">
        <f t="array" ref="B874">alea_date(Settings!$B$11,360,-1,Settings!$B$16)</f>
        <v>46108.541666666664</v>
      </c>
      <c r="C874" s="20" cm="1">
        <f t="array" ref="C874">B874+TIME(alea_int(1,4,Settings!$B$16),0,0)</f>
        <v>46108.708333333328</v>
      </c>
    </row>
    <row r="875" spans="1:4" ht="15.75" customHeight="1" x14ac:dyDescent="0.25">
      <c r="A875" s="2" t="str" cm="1">
        <f t="array" ref="A875">choice(Salles!A:A,1,Settings!$B$16)</f>
        <v>Salle16</v>
      </c>
      <c r="B875" s="3" cm="1">
        <f t="array" ref="B875">alea_date(Settings!$B$11,360,-1,Settings!$B$16)</f>
        <v>46214.25</v>
      </c>
      <c r="C875" s="20" cm="1">
        <f t="array" ref="C875">B875+TIME(alea_int(1,4,Settings!$B$16),0,0)</f>
        <v>46214.416666666664</v>
      </c>
    </row>
    <row r="876" spans="1:4" ht="15.75" customHeight="1" x14ac:dyDescent="0.25">
      <c r="A876" s="2" t="str" cm="1">
        <f t="array" ref="A876">choice(Salles!A:A,1,Settings!$B$16)</f>
        <v>Salle18</v>
      </c>
      <c r="B876" s="3" cm="1">
        <f t="array" ref="B876">alea_date(Settings!$B$11,360,-1,Settings!$B$16)</f>
        <v>46275.375</v>
      </c>
      <c r="C876" s="20" cm="1">
        <f t="array" ref="C876">B876+TIME(alea_int(1,4,Settings!$B$16),0,0)</f>
        <v>46275.541666666664</v>
      </c>
    </row>
    <row r="877" spans="1:4" ht="15.75" customHeight="1" x14ac:dyDescent="0.25">
      <c r="A877" s="2" t="str" cm="1">
        <f t="array" ref="A877">choice(Salles!A:A,1,Settings!$B$16)</f>
        <v>Salle54</v>
      </c>
      <c r="B877" s="3" cm="1">
        <f t="array" ref="B877">alea_date(Settings!$B$11,360,-1,Settings!$B$16)</f>
        <v>46367.541666666664</v>
      </c>
      <c r="C877" s="20" cm="1">
        <f t="array" ref="C877">B877+TIME(alea_int(1,4,Settings!$B$16),0,0)</f>
        <v>46367.708333333328</v>
      </c>
    </row>
    <row r="878" spans="1:4" ht="15.75" customHeight="1" x14ac:dyDescent="0.25">
      <c r="A878" s="2" t="str" cm="1">
        <f t="array" ref="A878">choice(Salles!A:A,1,Settings!$B$16)</f>
        <v>Salle9</v>
      </c>
      <c r="B878" s="3" cm="1">
        <f t="array" ref="B878">alea_date(Settings!$B$11,360,-1,Settings!$B$16)</f>
        <v>46047.375</v>
      </c>
      <c r="C878" s="20" cm="1">
        <f t="array" ref="C878">B878+TIME(alea_int(1,4,Settings!$B$16),0,0)</f>
        <v>46047.541666666664</v>
      </c>
    </row>
    <row r="879" spans="1:4" ht="15.75" customHeight="1" x14ac:dyDescent="0.25">
      <c r="A879" s="2" t="str" cm="1">
        <f t="array" ref="A879">choice(Salles!A:A,1,Settings!$B$16)</f>
        <v>Salle46</v>
      </c>
      <c r="B879" s="3" cm="1">
        <f t="array" ref="B879">alea_date(Settings!$B$11,360,-1,Settings!$B$16)</f>
        <v>46178.625</v>
      </c>
      <c r="C879" s="20" cm="1">
        <f t="array" ref="C879">B879+TIME(alea_int(1,4,Settings!$B$16),0,0)</f>
        <v>46178.791666666664</v>
      </c>
    </row>
    <row r="880" spans="1:4" ht="15.75" customHeight="1" x14ac:dyDescent="0.25">
      <c r="A880" s="2" t="str" cm="1">
        <f t="array" ref="A880">choice(Salles!A:A,1,Settings!$B$16)</f>
        <v>Salle44</v>
      </c>
      <c r="B880" s="3" cm="1">
        <f t="array" ref="B880">alea_date(Settings!$B$11,360,-1,Settings!$B$16)</f>
        <v>46083.583333333336</v>
      </c>
      <c r="C880" s="20" cm="1">
        <f t="array" ref="C880">B880+TIME(alea_int(1,4,Settings!$B$16),0,0)</f>
        <v>46083.75</v>
      </c>
    </row>
    <row r="881" spans="1:3" ht="15.75" customHeight="1" x14ac:dyDescent="0.25">
      <c r="A881" s="2" t="str" cm="1">
        <f t="array" ref="A881">choice(Salles!A:A,1,Settings!$B$16)</f>
        <v>Salle16</v>
      </c>
      <c r="B881" s="3" cm="1">
        <f t="array" ref="B881">alea_date(Settings!$B$11,360,-1,Settings!$B$16)</f>
        <v>46167.25</v>
      </c>
      <c r="C881" s="20" cm="1">
        <f t="array" ref="C881">B881+TIME(alea_int(1,4,Settings!$B$16),0,0)</f>
        <v>46167.416666666664</v>
      </c>
    </row>
    <row r="882" spans="1:3" ht="15.75" customHeight="1" x14ac:dyDescent="0.25">
      <c r="A882" s="2" t="str" cm="1">
        <f t="array" ref="A882">choice(Salles!A:A,1,Settings!$B$16)</f>
        <v>Salle59</v>
      </c>
      <c r="B882" s="3" cm="1">
        <f t="array" ref="B882">alea_date(Settings!$B$11,360,-1,Settings!$B$16)</f>
        <v>46233.583333333336</v>
      </c>
      <c r="C882" s="20" cm="1">
        <f t="array" ref="C882">B882+TIME(alea_int(1,4,Settings!$B$16),0,0)</f>
        <v>46233.75</v>
      </c>
    </row>
    <row r="883" spans="1:3" ht="15.75" customHeight="1" x14ac:dyDescent="0.25">
      <c r="A883" s="2" t="str" cm="1">
        <f t="array" ref="A883">choice(Salles!A:A,1,Settings!$B$16)</f>
        <v>Salle41</v>
      </c>
      <c r="B883" s="3" cm="1">
        <f t="array" ref="B883">alea_date(Settings!$B$11,360,-1,Settings!$B$16)</f>
        <v>46053.333333333336</v>
      </c>
      <c r="C883" s="20" cm="1">
        <f t="array" ref="C883">B883+TIME(alea_int(1,4,Settings!$B$16),0,0)</f>
        <v>46053.5</v>
      </c>
    </row>
    <row r="884" spans="1:3" ht="15.75" customHeight="1" x14ac:dyDescent="0.25">
      <c r="A884" s="2" t="str" cm="1">
        <f t="array" ref="A884">choice(Salles!A:A,1,Settings!$B$16)</f>
        <v>Salle66</v>
      </c>
      <c r="B884" s="3" cm="1">
        <f t="array" ref="B884">alea_date(Settings!$B$11,360,-1,Settings!$B$16)</f>
        <v>46310.5</v>
      </c>
      <c r="C884" s="20" cm="1">
        <f t="array" ref="C884">B884+TIME(alea_int(1,4,Settings!$B$16),0,0)</f>
        <v>46310.666666666664</v>
      </c>
    </row>
    <row r="885" spans="1:3" ht="15.75" customHeight="1" x14ac:dyDescent="0.25">
      <c r="A885" s="2" t="str" cm="1">
        <f t="array" ref="A885">choice(Salles!A:A,1,Settings!$B$16)</f>
        <v>Salle26</v>
      </c>
      <c r="B885" s="3" cm="1">
        <f t="array" ref="B885">alea_date(Settings!$B$11,360,-1,Settings!$B$16)</f>
        <v>46362.333333333336</v>
      </c>
      <c r="C885" s="20" cm="1">
        <f t="array" ref="C885">B885+TIME(alea_int(1,4,Settings!$B$16),0,0)</f>
        <v>46362.5</v>
      </c>
    </row>
    <row r="886" spans="1:3" ht="15.75" customHeight="1" x14ac:dyDescent="0.25">
      <c r="A886" s="2" t="str" cm="1">
        <f t="array" ref="A886">choice(Salles!A:A,1,Settings!$B$16)</f>
        <v>Salle7</v>
      </c>
      <c r="B886" s="3" cm="1">
        <f t="array" ref="B886">alea_date(Settings!$B$11,360,-1,Settings!$B$16)</f>
        <v>46382.25</v>
      </c>
      <c r="C886" s="20" cm="1">
        <f t="array" ref="C886">B886+TIME(alea_int(1,4,Settings!$B$16),0,0)</f>
        <v>46382.416666666664</v>
      </c>
    </row>
    <row r="887" spans="1:3" ht="15.75" customHeight="1" x14ac:dyDescent="0.25">
      <c r="A887" s="2" t="str" cm="1">
        <f t="array" ref="A887">choice(Salles!A:A,1,Settings!$B$16)</f>
        <v>Salle2</v>
      </c>
      <c r="B887" s="3" cm="1">
        <f t="array" ref="B887">alea_date(Settings!$B$11,360,-1,Settings!$B$16)</f>
        <v>46378.25</v>
      </c>
      <c r="C887" s="20" cm="1">
        <f t="array" ref="C887">B887+TIME(alea_int(1,4,Settings!$B$16),0,0)</f>
        <v>46378.416666666664</v>
      </c>
    </row>
    <row r="888" spans="1:3" ht="15.75" customHeight="1" x14ac:dyDescent="0.25">
      <c r="A888" s="2" t="str" cm="1">
        <f t="array" ref="A888">choice(Salles!A:A,1,Settings!$B$16)</f>
        <v>Salle70</v>
      </c>
      <c r="B888" s="3" cm="1">
        <f t="array" ref="B888">alea_date(Settings!$B$11,360,-1,Settings!$B$16)</f>
        <v>46321.291666666664</v>
      </c>
      <c r="C888" s="20" cm="1">
        <f t="array" ref="C888">B888+TIME(alea_int(1,4,Settings!$B$16),0,0)</f>
        <v>46321.458333333328</v>
      </c>
    </row>
    <row r="889" spans="1:3" ht="15.75" customHeight="1" x14ac:dyDescent="0.25">
      <c r="A889" s="2" t="str" cm="1">
        <f t="array" ref="A889">choice(Salles!A:A,1,Settings!$B$16)</f>
        <v>Salle67</v>
      </c>
      <c r="B889" s="3" cm="1">
        <f t="array" ref="B889">alea_date(Settings!$B$11,360,-1,Settings!$B$16)</f>
        <v>46242.458333333336</v>
      </c>
      <c r="C889" s="20" cm="1">
        <f t="array" ref="C889">B889+TIME(alea_int(1,4,Settings!$B$16),0,0)</f>
        <v>46242.625</v>
      </c>
    </row>
    <row r="890" spans="1:3" ht="15.75" customHeight="1" x14ac:dyDescent="0.25">
      <c r="A890" s="2" t="str" cm="1">
        <f t="array" ref="A890">choice(Salles!A:A,1,Settings!$B$16)</f>
        <v>Salle69</v>
      </c>
      <c r="B890" s="3" cm="1">
        <f t="array" ref="B890">alea_date(Settings!$B$11,360,-1,Settings!$B$16)</f>
        <v>46128.541666666664</v>
      </c>
      <c r="C890" s="20" cm="1">
        <f t="array" ref="C890">B890+TIME(alea_int(1,4,Settings!$B$16),0,0)</f>
        <v>46128.708333333328</v>
      </c>
    </row>
    <row r="891" spans="1:3" ht="15.75" customHeight="1" x14ac:dyDescent="0.25">
      <c r="A891" s="2" t="str" cm="1">
        <f t="array" ref="A891">choice(Salles!A:A,1,Settings!$B$16)</f>
        <v>Salle12</v>
      </c>
      <c r="B891" s="3" cm="1">
        <f t="array" ref="B891">alea_date(Settings!$B$11,360,-1,Settings!$B$16)</f>
        <v>46213.25</v>
      </c>
      <c r="C891" s="20" cm="1">
        <f t="array" ref="C891">B891+TIME(alea_int(1,4,Settings!$B$16),0,0)</f>
        <v>46213.416666666664</v>
      </c>
    </row>
    <row r="892" spans="1:3" ht="15.75" customHeight="1" x14ac:dyDescent="0.25">
      <c r="A892" s="2" t="str" cm="1">
        <f t="array" ref="A892">choice(Salles!A:A,1,Settings!$B$16)</f>
        <v>Salle21</v>
      </c>
      <c r="B892" s="3" cm="1">
        <f t="array" ref="B892">alea_date(Settings!$B$11,360,-1,Settings!$B$16)</f>
        <v>46037.625</v>
      </c>
      <c r="C892" s="20" cm="1">
        <f t="array" ref="C892">B892+TIME(alea_int(1,4,Settings!$B$16),0,0)</f>
        <v>46037.791666666664</v>
      </c>
    </row>
    <row r="893" spans="1:3" ht="15.75" customHeight="1" x14ac:dyDescent="0.25">
      <c r="A893" s="2" t="str" cm="1">
        <f t="array" ref="A893">choice(Salles!A:A,1,Settings!$B$16)</f>
        <v>Salle39</v>
      </c>
      <c r="B893" s="3" cm="1">
        <f t="array" ref="B893">alea_date(Settings!$B$11,360,-1,Settings!$B$16)</f>
        <v>46174.625</v>
      </c>
      <c r="C893" s="20" cm="1">
        <f t="array" ref="C893">B893+TIME(alea_int(1,4,Settings!$B$16),0,0)</f>
        <v>46174.791666666664</v>
      </c>
    </row>
    <row r="894" spans="1:3" ht="15.75" customHeight="1" x14ac:dyDescent="0.25">
      <c r="A894" s="2" t="str" cm="1">
        <f t="array" ref="A894">choice(Salles!A:A,1,Settings!$B$16)</f>
        <v>Salle7</v>
      </c>
      <c r="B894" s="3" cm="1">
        <f t="array" ref="B894">alea_date(Settings!$B$11,360,-1,Settings!$B$16)</f>
        <v>46129.625</v>
      </c>
      <c r="C894" s="20" cm="1">
        <f t="array" ref="C894">B894+TIME(alea_int(1,4,Settings!$B$16),0,0)</f>
        <v>46129.791666666664</v>
      </c>
    </row>
    <row r="895" spans="1:3" ht="15.75" customHeight="1" x14ac:dyDescent="0.25">
      <c r="A895" s="2" t="str" cm="1">
        <f t="array" ref="A895">choice(Salles!A:A,1,Settings!$B$16)</f>
        <v>Salle6</v>
      </c>
      <c r="B895" s="3" cm="1">
        <f t="array" ref="B895">alea_date(Settings!$B$11,360,-1,Settings!$B$16)</f>
        <v>46239.541666666664</v>
      </c>
      <c r="C895" s="20" cm="1">
        <f t="array" ref="C895">B895+TIME(alea_int(1,4,Settings!$B$16),0,0)</f>
        <v>46239.708333333328</v>
      </c>
    </row>
    <row r="896" spans="1:3" ht="15.75" customHeight="1" x14ac:dyDescent="0.25">
      <c r="A896" s="2" t="str" cm="1">
        <f t="array" ref="A896">choice(Salles!A:A,1,Settings!$B$16)</f>
        <v>Salle13</v>
      </c>
      <c r="B896" s="3" cm="1">
        <f t="array" ref="B896">alea_date(Settings!$B$11,360,-1,Settings!$B$16)</f>
        <v>46083.5</v>
      </c>
      <c r="C896" s="20" cm="1">
        <f t="array" ref="C896">B896+TIME(alea_int(1,4,Settings!$B$16),0,0)</f>
        <v>46083.666666666664</v>
      </c>
    </row>
    <row r="897" spans="1:3" ht="15.75" customHeight="1" x14ac:dyDescent="0.25">
      <c r="A897" s="2" t="str" cm="1">
        <f t="array" ref="A897">choice(Salles!A:A,1,Settings!$B$16)</f>
        <v>Salle7</v>
      </c>
      <c r="B897" s="3" cm="1">
        <f t="array" ref="B897">alea_date(Settings!$B$11,360,-1,Settings!$B$16)</f>
        <v>46341.625</v>
      </c>
      <c r="C897" s="20" cm="1">
        <f t="array" ref="C897">B897+TIME(alea_int(1,4,Settings!$B$16),0,0)</f>
        <v>46341.791666666664</v>
      </c>
    </row>
    <row r="898" spans="1:3" ht="15.75" customHeight="1" x14ac:dyDescent="0.25">
      <c r="A898" s="2" t="str" cm="1">
        <f t="array" ref="A898">choice(Salles!A:A,1,Settings!$B$16)</f>
        <v>Salle64</v>
      </c>
      <c r="B898" s="3" cm="1">
        <f t="array" ref="B898">alea_date(Settings!$B$11,360,-1,Settings!$B$16)</f>
        <v>46106.416666666664</v>
      </c>
      <c r="C898" s="20" cm="1">
        <f t="array" ref="C898">B898+TIME(alea_int(1,4,Settings!$B$16),0,0)</f>
        <v>46106.583333333328</v>
      </c>
    </row>
    <row r="899" spans="1:3" ht="15.75" customHeight="1" x14ac:dyDescent="0.25">
      <c r="A899" s="2" t="str" cm="1">
        <f t="array" ref="A899">choice(Salles!A:A,1,Settings!$B$16)</f>
        <v>Salle57</v>
      </c>
      <c r="B899" s="3" cm="1">
        <f t="array" ref="B899">alea_date(Settings!$B$11,360,-1,Settings!$B$16)</f>
        <v>46226.25</v>
      </c>
      <c r="C899" s="20" cm="1">
        <f t="array" ref="C899">B899+TIME(alea_int(1,4,Settings!$B$16),0,0)</f>
        <v>46226.416666666664</v>
      </c>
    </row>
    <row r="900" spans="1:3" ht="15.75" customHeight="1" x14ac:dyDescent="0.25">
      <c r="A900" s="2" t="str" cm="1">
        <f t="array" ref="A900">choice(Salles!A:A,1,Settings!$B$16)</f>
        <v>Salle60</v>
      </c>
      <c r="B900" s="3" cm="1">
        <f t="array" ref="B900">alea_date(Settings!$B$11,360,-1,Settings!$B$16)</f>
        <v>46231.583333333336</v>
      </c>
      <c r="C900" s="20" cm="1">
        <f t="array" ref="C900">B900+TIME(alea_int(1,4,Settings!$B$16),0,0)</f>
        <v>46231.75</v>
      </c>
    </row>
    <row r="901" spans="1:3" ht="15.75" customHeight="1" x14ac:dyDescent="0.25">
      <c r="A901" s="2" t="str" cm="1">
        <f t="array" ref="A901">choice(Salles!A:A,1,Settings!$B$16)</f>
        <v>Salle34</v>
      </c>
      <c r="B901" s="3" cm="1">
        <f t="array" ref="B901">alea_date(Settings!$B$11,360,-1,Settings!$B$16)</f>
        <v>46213.458333333336</v>
      </c>
      <c r="C901" s="20" cm="1">
        <f t="array" ref="C901">B901+TIME(alea_int(1,4,Settings!$B$16),0,0)</f>
        <v>46213.625</v>
      </c>
    </row>
    <row r="902" spans="1:3" ht="15.75" customHeight="1" x14ac:dyDescent="0.25">
      <c r="A902" s="2" t="str" cm="1">
        <f t="array" ref="A902">choice(Salles!A:A,1,Settings!$B$16)</f>
        <v>Salle6</v>
      </c>
      <c r="B902" s="3" cm="1">
        <f t="array" ref="B902">alea_date(Settings!$B$11,360,-1,Settings!$B$16)</f>
        <v>46361.458333333336</v>
      </c>
      <c r="C902" s="20" cm="1">
        <f t="array" ref="C902">B902+TIME(alea_int(1,4,Settings!$B$16),0,0)</f>
        <v>46361.625</v>
      </c>
    </row>
    <row r="903" spans="1:3" ht="15.75" customHeight="1" x14ac:dyDescent="0.25">
      <c r="A903" s="2" t="str" cm="1">
        <f t="array" ref="A903">choice(Salles!A:A,1,Settings!$B$16)</f>
        <v>Salle57</v>
      </c>
      <c r="B903" s="3" cm="1">
        <f t="array" ref="B903">alea_date(Settings!$B$11,360,-1,Settings!$B$16)</f>
        <v>46048.25</v>
      </c>
      <c r="C903" s="20" cm="1">
        <f t="array" ref="C903">B903+TIME(alea_int(1,4,Settings!$B$16),0,0)</f>
        <v>46048.416666666664</v>
      </c>
    </row>
    <row r="904" spans="1:3" ht="15.75" customHeight="1" x14ac:dyDescent="0.25">
      <c r="A904" s="2" t="str" cm="1">
        <f t="array" ref="A904">choice(Salles!A:A,1,Settings!$B$16)</f>
        <v>Salle57</v>
      </c>
      <c r="B904" s="3" cm="1">
        <f t="array" ref="B904">alea_date(Settings!$B$11,360,-1,Settings!$B$16)</f>
        <v>46083.291666666664</v>
      </c>
      <c r="C904" s="20" cm="1">
        <f t="array" ref="C904">B904+TIME(alea_int(1,4,Settings!$B$16),0,0)</f>
        <v>46083.458333333328</v>
      </c>
    </row>
    <row r="905" spans="1:3" ht="15.75" customHeight="1" x14ac:dyDescent="0.25">
      <c r="A905" s="2" t="str" cm="1">
        <f t="array" ref="A905">choice(Salles!A:A,1,Settings!$B$16)</f>
        <v>Salle25</v>
      </c>
      <c r="B905" s="3" cm="1">
        <f t="array" ref="B905">alea_date(Settings!$B$11,360,-1,Settings!$B$16)</f>
        <v>46330.291666666664</v>
      </c>
      <c r="C905" s="20" cm="1">
        <f t="array" ref="C905">B905+TIME(alea_int(1,4,Settings!$B$16),0,0)</f>
        <v>46330.458333333328</v>
      </c>
    </row>
    <row r="906" spans="1:3" ht="15.75" customHeight="1" x14ac:dyDescent="0.25">
      <c r="A906" s="2" t="str" cm="1">
        <f t="array" ref="A906">choice(Salles!A:A,1,Settings!$B$16)</f>
        <v>Salle23</v>
      </c>
      <c r="B906" s="3" cm="1">
        <f t="array" ref="B906">alea_date(Settings!$B$11,360,-1,Settings!$B$16)</f>
        <v>46213.333333333336</v>
      </c>
      <c r="C906" s="20" cm="1">
        <f t="array" ref="C906">B906+TIME(alea_int(1,4,Settings!$B$16),0,0)</f>
        <v>46213.5</v>
      </c>
    </row>
    <row r="907" spans="1:3" ht="15.75" customHeight="1" x14ac:dyDescent="0.25">
      <c r="A907" s="2" t="str" cm="1">
        <f t="array" ref="A907">choice(Salles!A:A,1,Settings!$B$16)</f>
        <v>Salle46</v>
      </c>
      <c r="B907" s="3" cm="1">
        <f t="array" ref="B907">alea_date(Settings!$B$11,360,-1,Settings!$B$16)</f>
        <v>46295.375</v>
      </c>
      <c r="C907" s="20" cm="1">
        <f t="array" ref="C907">B907+TIME(alea_int(1,4,Settings!$B$16),0,0)</f>
        <v>46295.541666666664</v>
      </c>
    </row>
    <row r="908" spans="1:3" ht="15.75" customHeight="1" x14ac:dyDescent="0.25">
      <c r="A908" s="2" t="str" cm="1">
        <f t="array" ref="A908">choice(Salles!A:A,1,Settings!$B$16)</f>
        <v>Salle62</v>
      </c>
      <c r="B908" s="3" cm="1">
        <f t="array" ref="B908">alea_date(Settings!$B$11,360,-1,Settings!$B$16)</f>
        <v>46293.25</v>
      </c>
      <c r="C908" s="20" cm="1">
        <f t="array" ref="C908">B908+TIME(alea_int(1,4,Settings!$B$16),0,0)</f>
        <v>46293.416666666664</v>
      </c>
    </row>
    <row r="909" spans="1:3" ht="15.75" customHeight="1" x14ac:dyDescent="0.25">
      <c r="A909" s="2" t="str" cm="1">
        <f t="array" ref="A909">choice(Salles!A:A,1,Settings!$B$16)</f>
        <v>Salle60</v>
      </c>
      <c r="B909" s="3" cm="1">
        <f t="array" ref="B909">alea_date(Settings!$B$11,360,-1,Settings!$B$16)</f>
        <v>46101.416666666664</v>
      </c>
      <c r="C909" s="20" cm="1">
        <f t="array" ref="C909">B909+TIME(alea_int(1,4,Settings!$B$16),0,0)</f>
        <v>46101.583333333328</v>
      </c>
    </row>
    <row r="910" spans="1:3" ht="15.75" customHeight="1" x14ac:dyDescent="0.25">
      <c r="A910" s="2" t="str" cm="1">
        <f t="array" ref="A910">choice(Salles!A:A,1,Settings!$B$16)</f>
        <v>Salle62</v>
      </c>
      <c r="B910" s="3" cm="1">
        <f t="array" ref="B910">alea_date(Settings!$B$11,360,-1,Settings!$B$16)</f>
        <v>46170.458333333336</v>
      </c>
      <c r="C910" s="20" cm="1">
        <f t="array" ref="C910">B910+TIME(alea_int(1,4,Settings!$B$16),0,0)</f>
        <v>46170.625</v>
      </c>
    </row>
    <row r="911" spans="1:3" ht="15.75" customHeight="1" x14ac:dyDescent="0.25">
      <c r="A911" s="2" t="str" cm="1">
        <f t="array" ref="A911">choice(Salles!A:A,1,Settings!$B$16)</f>
        <v>Salle66</v>
      </c>
      <c r="B911" s="3" cm="1">
        <f t="array" ref="B911">alea_date(Settings!$B$11,360,-1,Settings!$B$16)</f>
        <v>46211.25</v>
      </c>
      <c r="C911" s="20" cm="1">
        <f t="array" ref="C911">B911+TIME(alea_int(1,4,Settings!$B$16),0,0)</f>
        <v>46211.416666666664</v>
      </c>
    </row>
    <row r="912" spans="1:3" ht="15.75" customHeight="1" x14ac:dyDescent="0.25">
      <c r="A912" s="2" t="str" cm="1">
        <f t="array" ref="A912">choice(Salles!A:A,1,Settings!$B$16)</f>
        <v>Salle55</v>
      </c>
      <c r="B912" s="3" cm="1">
        <f t="array" ref="B912">alea_date(Settings!$B$11,360,-1,Settings!$B$16)</f>
        <v>46154.333333333336</v>
      </c>
      <c r="C912" s="20" cm="1">
        <f t="array" ref="C912">B912+TIME(alea_int(1,4,Settings!$B$16),0,0)</f>
        <v>46154.5</v>
      </c>
    </row>
    <row r="913" spans="1:3" ht="15.75" customHeight="1" x14ac:dyDescent="0.25">
      <c r="A913" s="2" t="str" cm="1">
        <f t="array" ref="A913">choice(Salles!A:A,1,Settings!$B$16)</f>
        <v>Salle14</v>
      </c>
      <c r="B913" s="3" cm="1">
        <f t="array" ref="B913">alea_date(Settings!$B$11,360,-1,Settings!$B$16)</f>
        <v>46383.625</v>
      </c>
      <c r="C913" s="20" cm="1">
        <f t="array" ref="C913">B913+TIME(alea_int(1,4,Settings!$B$16),0,0)</f>
        <v>46383.791666666664</v>
      </c>
    </row>
    <row r="914" spans="1:3" ht="15.75" customHeight="1" x14ac:dyDescent="0.25">
      <c r="A914" s="2" t="str" cm="1">
        <f t="array" ref="A914">choice(Salles!A:A,1,Settings!$B$16)</f>
        <v>Salle45</v>
      </c>
      <c r="B914" s="3" cm="1">
        <f t="array" ref="B914">alea_date(Settings!$B$11,360,-1,Settings!$B$16)</f>
        <v>46085.583333333336</v>
      </c>
      <c r="C914" s="20" cm="1">
        <f t="array" ref="C914">B914+TIME(alea_int(1,4,Settings!$B$16),0,0)</f>
        <v>46085.75</v>
      </c>
    </row>
    <row r="915" spans="1:3" ht="15.75" customHeight="1" x14ac:dyDescent="0.25">
      <c r="A915" s="2" t="str" cm="1">
        <f t="array" ref="A915">choice(Salles!A:A,1,Settings!$B$16)</f>
        <v>Salle37</v>
      </c>
      <c r="B915" s="3" cm="1">
        <f t="array" ref="B915">alea_date(Settings!$B$11,360,-1,Settings!$B$16)</f>
        <v>46232.333333333336</v>
      </c>
      <c r="C915" s="20" cm="1">
        <f t="array" ref="C915">B915+TIME(alea_int(1,4,Settings!$B$16),0,0)</f>
        <v>46232.5</v>
      </c>
    </row>
    <row r="916" spans="1:3" ht="15.75" customHeight="1" x14ac:dyDescent="0.25">
      <c r="A916" s="2" t="str" cm="1">
        <f t="array" ref="A916">choice(Salles!A:A,1,Settings!$B$16)</f>
        <v>Salle21</v>
      </c>
      <c r="B916" s="3" cm="1">
        <f t="array" ref="B916">alea_date(Settings!$B$11,360,-1,Settings!$B$16)</f>
        <v>46242.541666666664</v>
      </c>
      <c r="C916" s="20" cm="1">
        <f t="array" ref="C916">B916+TIME(alea_int(1,4,Settings!$B$16),0,0)</f>
        <v>46242.708333333328</v>
      </c>
    </row>
    <row r="917" spans="1:3" ht="15.75" customHeight="1" x14ac:dyDescent="0.25">
      <c r="A917" s="2" t="str" cm="1">
        <f t="array" ref="A917">choice(Salles!A:A,1,Settings!$B$16)</f>
        <v>Salle34</v>
      </c>
      <c r="B917" s="3" cm="1">
        <f t="array" ref="B917">alea_date(Settings!$B$11,360,-1,Settings!$B$16)</f>
        <v>46141.5</v>
      </c>
      <c r="C917" s="20" cm="1">
        <f t="array" ref="C917">B917+TIME(alea_int(1,4,Settings!$B$16),0,0)</f>
        <v>46141.666666666664</v>
      </c>
    </row>
    <row r="918" spans="1:3" ht="15.75" customHeight="1" x14ac:dyDescent="0.25">
      <c r="A918" s="2" t="str" cm="1">
        <f t="array" ref="A918">choice(Salles!A:A,1,Settings!$B$16)</f>
        <v>Salle45</v>
      </c>
      <c r="B918" s="3" cm="1">
        <f t="array" ref="B918">alea_date(Settings!$B$11,360,-1,Settings!$B$16)</f>
        <v>46294.416666666664</v>
      </c>
      <c r="C918" s="20" cm="1">
        <f t="array" ref="C918">B918+TIME(alea_int(1,4,Settings!$B$16),0,0)</f>
        <v>46294.583333333328</v>
      </c>
    </row>
    <row r="919" spans="1:3" ht="15.75" customHeight="1" x14ac:dyDescent="0.25">
      <c r="A919" s="2" t="str" cm="1">
        <f t="array" ref="A919">choice(Salles!A:A,1,Settings!$B$16)</f>
        <v>Salle63</v>
      </c>
      <c r="B919" s="3" cm="1">
        <f t="array" ref="B919">alea_date(Settings!$B$11,360,-1,Settings!$B$16)</f>
        <v>46199.375</v>
      </c>
      <c r="C919" s="20" cm="1">
        <f t="array" ref="C919">B919+TIME(alea_int(1,4,Settings!$B$16),0,0)</f>
        <v>46199.541666666664</v>
      </c>
    </row>
    <row r="920" spans="1:3" ht="15.75" customHeight="1" x14ac:dyDescent="0.25">
      <c r="A920" s="2" t="str" cm="1">
        <f t="array" ref="A920">choice(Salles!A:A,1,Settings!$B$16)</f>
        <v>Salle18</v>
      </c>
      <c r="B920" s="3" cm="1">
        <f t="array" ref="B920">alea_date(Settings!$B$11,360,-1,Settings!$B$16)</f>
        <v>46210.416666666664</v>
      </c>
      <c r="C920" s="20" cm="1">
        <f t="array" ref="C920">B920+TIME(alea_int(1,4,Settings!$B$16),0,0)</f>
        <v>46210.583333333328</v>
      </c>
    </row>
    <row r="921" spans="1:3" ht="15.75" customHeight="1" x14ac:dyDescent="0.25">
      <c r="A921" s="2" t="str" cm="1">
        <f t="array" ref="A921">choice(Salles!A:A,1,Settings!$B$16)</f>
        <v>Salle23</v>
      </c>
      <c r="B921" s="3" cm="1">
        <f t="array" ref="B921">alea_date(Settings!$B$11,360,-1,Settings!$B$16)</f>
        <v>46195.5</v>
      </c>
      <c r="C921" s="20" cm="1">
        <f t="array" ref="C921">B921+TIME(alea_int(1,4,Settings!$B$16),0,0)</f>
        <v>46195.666666666664</v>
      </c>
    </row>
    <row r="922" spans="1:3" ht="15.75" customHeight="1" x14ac:dyDescent="0.25">
      <c r="A922" s="2" t="str" cm="1">
        <f t="array" ref="A922">choice(Salles!A:A,1,Settings!$B$16)</f>
        <v>Salle30</v>
      </c>
      <c r="B922" s="3" cm="1">
        <f t="array" ref="B922">alea_date(Settings!$B$11,360,-1,Settings!$B$16)</f>
        <v>46339.416666666664</v>
      </c>
      <c r="C922" s="20" cm="1">
        <f t="array" ref="C922">B922+TIME(alea_int(1,4,Settings!$B$16),0,0)</f>
        <v>46339.583333333328</v>
      </c>
    </row>
    <row r="923" spans="1:3" ht="15.75" customHeight="1" x14ac:dyDescent="0.25">
      <c r="A923" s="2" t="str" cm="1">
        <f t="array" ref="A923">choice(Salles!A:A,1,Settings!$B$16)</f>
        <v>Salle28</v>
      </c>
      <c r="B923" s="3" cm="1">
        <f t="array" ref="B923">alea_date(Settings!$B$11,360,-1,Settings!$B$16)</f>
        <v>46304.25</v>
      </c>
      <c r="C923" s="20" cm="1">
        <f t="array" ref="C923">B923+TIME(alea_int(1,4,Settings!$B$16),0,0)</f>
        <v>46304.416666666664</v>
      </c>
    </row>
    <row r="924" spans="1:3" ht="15.75" customHeight="1" x14ac:dyDescent="0.25">
      <c r="A924" s="2" t="str" cm="1">
        <f t="array" ref="A924">choice(Salles!A:A,1,Settings!$B$16)</f>
        <v>Salle39</v>
      </c>
      <c r="B924" s="3" cm="1">
        <f t="array" ref="B924">alea_date(Settings!$B$11,360,-1,Settings!$B$16)</f>
        <v>46101.625</v>
      </c>
      <c r="C924" s="20" cm="1">
        <f t="array" ref="C924">B924+TIME(alea_int(1,4,Settings!$B$16),0,0)</f>
        <v>46101.791666666664</v>
      </c>
    </row>
    <row r="925" spans="1:3" ht="15.75" customHeight="1" x14ac:dyDescent="0.25">
      <c r="A925" s="2" t="str" cm="1">
        <f t="array" ref="A925">choice(Salles!A:A,1,Settings!$B$16)</f>
        <v>Salle6</v>
      </c>
      <c r="B925" s="3" cm="1">
        <f t="array" ref="B925">alea_date(Settings!$B$11,360,-1,Settings!$B$16)</f>
        <v>46245.291666666664</v>
      </c>
      <c r="C925" s="20" cm="1">
        <f t="array" ref="C925">B925+TIME(alea_int(1,4,Settings!$B$16),0,0)</f>
        <v>46245.458333333328</v>
      </c>
    </row>
    <row r="926" spans="1:3" ht="15.75" customHeight="1" x14ac:dyDescent="0.25">
      <c r="A926" s="2" t="str" cm="1">
        <f t="array" ref="A926">choice(Salles!A:A,1,Settings!$B$16)</f>
        <v>Salle34</v>
      </c>
      <c r="B926" s="3" cm="1">
        <f t="array" ref="B926">alea_date(Settings!$B$11,360,-1,Settings!$B$16)</f>
        <v>46188.583333333336</v>
      </c>
      <c r="C926" s="20" cm="1">
        <f t="array" ref="C926">B926+TIME(alea_int(1,4,Settings!$B$16),0,0)</f>
        <v>46188.75</v>
      </c>
    </row>
    <row r="927" spans="1:3" ht="15.75" customHeight="1" x14ac:dyDescent="0.25">
      <c r="A927" s="2" t="str" cm="1">
        <f t="array" ref="A927">choice(Salles!A:A,1,Settings!$B$16)</f>
        <v>Salle24</v>
      </c>
      <c r="B927" s="3" cm="1">
        <f t="array" ref="B927">alea_date(Settings!$B$11,360,-1,Settings!$B$16)</f>
        <v>46296.5</v>
      </c>
      <c r="C927" s="20" cm="1">
        <f t="array" ref="C927">B927+TIME(alea_int(1,4,Settings!$B$16),0,0)</f>
        <v>46296.666666666664</v>
      </c>
    </row>
    <row r="928" spans="1:3" ht="15.75" customHeight="1" x14ac:dyDescent="0.25">
      <c r="A928" s="2" t="str" cm="1">
        <f t="array" ref="A928">choice(Salles!A:A,1,Settings!$B$16)</f>
        <v>Salle27</v>
      </c>
      <c r="B928" s="3" cm="1">
        <f t="array" ref="B928">alea_date(Settings!$B$11,360,-1,Settings!$B$16)</f>
        <v>46193.5</v>
      </c>
      <c r="C928" s="20" cm="1">
        <f t="array" ref="C928">B928+TIME(alea_int(1,4,Settings!$B$16),0,0)</f>
        <v>46193.666666666664</v>
      </c>
    </row>
    <row r="929" spans="1:3" ht="15.75" customHeight="1" x14ac:dyDescent="0.25">
      <c r="A929" s="2" t="str" cm="1">
        <f t="array" ref="A929">choice(Salles!A:A,1,Settings!$B$16)</f>
        <v>Salle22</v>
      </c>
      <c r="B929" s="3" cm="1">
        <f t="array" ref="B929">alea_date(Settings!$B$11,360,-1,Settings!$B$16)</f>
        <v>46192.5</v>
      </c>
      <c r="C929" s="20" cm="1">
        <f t="array" ref="C929">B929+TIME(alea_int(1,4,Settings!$B$16),0,0)</f>
        <v>46192.666666666664</v>
      </c>
    </row>
    <row r="930" spans="1:3" ht="15.75" customHeight="1" x14ac:dyDescent="0.25">
      <c r="A930" s="2" t="str" cm="1">
        <f t="array" ref="A930">choice(Salles!A:A,1,Settings!$B$16)</f>
        <v>Salle12</v>
      </c>
      <c r="B930" s="3" cm="1">
        <f t="array" ref="B930">alea_date(Settings!$B$11,360,-1,Settings!$B$16)</f>
        <v>46072.375</v>
      </c>
      <c r="C930" s="20" cm="1">
        <f t="array" ref="C930">B930+TIME(alea_int(1,4,Settings!$B$16),0,0)</f>
        <v>46072.541666666664</v>
      </c>
    </row>
    <row r="931" spans="1:3" ht="15.75" customHeight="1" x14ac:dyDescent="0.25">
      <c r="A931" s="2" t="str" cm="1">
        <f t="array" ref="A931">choice(Salles!A:A,1,Settings!$B$16)</f>
        <v>Salle23</v>
      </c>
      <c r="B931" s="3" cm="1">
        <f t="array" ref="B931">alea_date(Settings!$B$11,360,-1,Settings!$B$16)</f>
        <v>46046.416666666664</v>
      </c>
      <c r="C931" s="20" cm="1">
        <f t="array" ref="C931">B931+TIME(alea_int(1,4,Settings!$B$16),0,0)</f>
        <v>46046.583333333328</v>
      </c>
    </row>
    <row r="932" spans="1:3" ht="15.75" customHeight="1" x14ac:dyDescent="0.25">
      <c r="A932" s="2" t="str" cm="1">
        <f t="array" ref="A932">choice(Salles!A:A,1,Settings!$B$16)</f>
        <v>Salle15</v>
      </c>
      <c r="B932" s="3" cm="1">
        <f t="array" ref="B932">alea_date(Settings!$B$11,360,-1,Settings!$B$16)</f>
        <v>46136.583333333336</v>
      </c>
      <c r="C932" s="20" cm="1">
        <f t="array" ref="C932">B932+TIME(alea_int(1,4,Settings!$B$16),0,0)</f>
        <v>46136.75</v>
      </c>
    </row>
    <row r="933" spans="1:3" ht="15.75" customHeight="1" x14ac:dyDescent="0.25">
      <c r="A933" s="2" t="str" cm="1">
        <f t="array" ref="A933">choice(Salles!A:A,1,Settings!$B$16)</f>
        <v>Salle15</v>
      </c>
      <c r="B933" s="3" cm="1">
        <f t="array" ref="B933">alea_date(Settings!$B$11,360,-1,Settings!$B$16)</f>
        <v>46188.583333333336</v>
      </c>
      <c r="C933" s="20" cm="1">
        <f t="array" ref="C933">B933+TIME(alea_int(1,4,Settings!$B$16),0,0)</f>
        <v>46188.75</v>
      </c>
    </row>
    <row r="934" spans="1:3" ht="15.75" customHeight="1" x14ac:dyDescent="0.25">
      <c r="A934" s="2" t="str" cm="1">
        <f t="array" ref="A934">choice(Salles!A:A,1,Settings!$B$16)</f>
        <v>Salle59</v>
      </c>
      <c r="B934" s="3" cm="1">
        <f t="array" ref="B934">alea_date(Settings!$B$11,360,-1,Settings!$B$16)</f>
        <v>46114.625</v>
      </c>
      <c r="C934" s="20" cm="1">
        <f t="array" ref="C934">B934+TIME(alea_int(1,4,Settings!$B$16),0,0)</f>
        <v>46114.791666666664</v>
      </c>
    </row>
    <row r="935" spans="1:3" ht="15.75" customHeight="1" x14ac:dyDescent="0.25">
      <c r="A935" s="2" t="str" cm="1">
        <f t="array" ref="A935">choice(Salles!A:A,1,Settings!$B$16)</f>
        <v>Salle45</v>
      </c>
      <c r="B935" s="3" cm="1">
        <f t="array" ref="B935">alea_date(Settings!$B$11,360,-1,Settings!$B$16)</f>
        <v>46202.5</v>
      </c>
      <c r="C935" s="20" cm="1">
        <f t="array" ref="C935">B935+TIME(alea_int(1,4,Settings!$B$16),0,0)</f>
        <v>46202.666666666664</v>
      </c>
    </row>
    <row r="936" spans="1:3" ht="15.75" customHeight="1" x14ac:dyDescent="0.25">
      <c r="A936" s="2" t="str" cm="1">
        <f t="array" ref="A936">choice(Salles!A:A,1,Settings!$B$16)</f>
        <v>Salle11</v>
      </c>
      <c r="B936" s="3" cm="1">
        <f t="array" ref="B936">alea_date(Settings!$B$11,360,-1,Settings!$B$16)</f>
        <v>46249.375</v>
      </c>
      <c r="C936" s="20" cm="1">
        <f t="array" ref="C936">B936+TIME(alea_int(1,4,Settings!$B$16),0,0)</f>
        <v>46249.541666666664</v>
      </c>
    </row>
    <row r="937" spans="1:3" ht="15.75" customHeight="1" x14ac:dyDescent="0.25">
      <c r="A937" s="2" t="str" cm="1">
        <f t="array" ref="A937">choice(Salles!A:A,1,Settings!$B$16)</f>
        <v>Salle66</v>
      </c>
      <c r="B937" s="3" cm="1">
        <f t="array" ref="B937">alea_date(Settings!$B$11,360,-1,Settings!$B$16)</f>
        <v>46207.375</v>
      </c>
      <c r="C937" s="20" cm="1">
        <f t="array" ref="C937">B937+TIME(alea_int(1,4,Settings!$B$16),0,0)</f>
        <v>46207.541666666664</v>
      </c>
    </row>
    <row r="938" spans="1:3" ht="15.75" customHeight="1" x14ac:dyDescent="0.25">
      <c r="A938" s="2" t="str" cm="1">
        <f t="array" ref="A938">choice(Salles!A:A,1,Settings!$B$16)</f>
        <v>Salle15</v>
      </c>
      <c r="B938" s="3" cm="1">
        <f t="array" ref="B938">alea_date(Settings!$B$11,360,-1,Settings!$B$16)</f>
        <v>46072.625</v>
      </c>
      <c r="C938" s="20" cm="1">
        <f t="array" ref="C938">B938+TIME(alea_int(1,4,Settings!$B$16),0,0)</f>
        <v>46072.791666666664</v>
      </c>
    </row>
    <row r="939" spans="1:3" ht="15.75" customHeight="1" x14ac:dyDescent="0.25">
      <c r="A939" s="2" t="str" cm="1">
        <f t="array" ref="A939">choice(Salles!A:A,1,Settings!$B$16)</f>
        <v>Salle4</v>
      </c>
      <c r="B939" s="3" cm="1">
        <f t="array" ref="B939">alea_date(Settings!$B$11,360,-1,Settings!$B$16)</f>
        <v>46156.5</v>
      </c>
      <c r="C939" s="20" cm="1">
        <f t="array" ref="C939">B939+TIME(alea_int(1,4,Settings!$B$16),0,0)</f>
        <v>46156.666666666664</v>
      </c>
    </row>
    <row r="940" spans="1:3" ht="15.75" customHeight="1" x14ac:dyDescent="0.25">
      <c r="A940" s="2" t="str" cm="1">
        <f t="array" ref="A940">choice(Salles!A:A,1,Settings!$B$16)</f>
        <v>Salle54</v>
      </c>
      <c r="B940" s="3" cm="1">
        <f t="array" ref="B940">alea_date(Settings!$B$11,360,-1,Settings!$B$16)</f>
        <v>46383.625</v>
      </c>
      <c r="C940" s="20" cm="1">
        <f t="array" ref="C940">B940+TIME(alea_int(1,4,Settings!$B$16),0,0)</f>
        <v>46383.791666666664</v>
      </c>
    </row>
    <row r="941" spans="1:3" ht="15.75" customHeight="1" x14ac:dyDescent="0.25">
      <c r="A941" s="2" t="str" cm="1">
        <f t="array" ref="A941">choice(Salles!A:A,1,Settings!$B$16)</f>
        <v>Salle47</v>
      </c>
      <c r="B941" s="3" cm="1">
        <f t="array" ref="B941">alea_date(Settings!$B$11,360,-1,Settings!$B$16)</f>
        <v>46247.5</v>
      </c>
      <c r="C941" s="20" cm="1">
        <f t="array" ref="C941">B941+TIME(alea_int(1,4,Settings!$B$16),0,0)</f>
        <v>46247.666666666664</v>
      </c>
    </row>
    <row r="942" spans="1:3" ht="15.75" customHeight="1" x14ac:dyDescent="0.25">
      <c r="A942" s="2" t="str" cm="1">
        <f t="array" ref="A942">choice(Salles!A:A,1,Settings!$B$16)</f>
        <v>Salle59</v>
      </c>
      <c r="B942" s="3" cm="1">
        <f t="array" ref="B942">alea_date(Settings!$B$11,360,-1,Settings!$B$16)</f>
        <v>46080.416666666664</v>
      </c>
      <c r="C942" s="20" cm="1">
        <f t="array" ref="C942">B942+TIME(alea_int(1,4,Settings!$B$16),0,0)</f>
        <v>46080.583333333328</v>
      </c>
    </row>
    <row r="943" spans="1:3" ht="15.75" customHeight="1" x14ac:dyDescent="0.25">
      <c r="A943" s="2" t="str" cm="1">
        <f t="array" ref="A943">choice(Salles!A:A,1,Settings!$B$16)</f>
        <v>Salle58</v>
      </c>
      <c r="B943" s="3" cm="1">
        <f t="array" ref="B943">alea_date(Settings!$B$11,360,-1,Settings!$B$16)</f>
        <v>46180.416666666664</v>
      </c>
      <c r="C943" s="20" cm="1">
        <f t="array" ref="C943">B943+TIME(alea_int(1,4,Settings!$B$16),0,0)</f>
        <v>46180.583333333328</v>
      </c>
    </row>
    <row r="944" spans="1:3" ht="15.75" customHeight="1" x14ac:dyDescent="0.25">
      <c r="A944" s="2" t="str" cm="1">
        <f t="array" ref="A944">choice(Salles!A:A,1,Settings!$B$16)</f>
        <v>Salle28</v>
      </c>
      <c r="B944" s="3" cm="1">
        <f t="array" ref="B944">alea_date(Settings!$B$11,360,-1,Settings!$B$16)</f>
        <v>46383.458333333336</v>
      </c>
      <c r="C944" s="20" cm="1">
        <f t="array" ref="C944">B944+TIME(alea_int(1,4,Settings!$B$16),0,0)</f>
        <v>46383.625</v>
      </c>
    </row>
    <row r="945" spans="1:3" ht="15.75" customHeight="1" x14ac:dyDescent="0.25">
      <c r="A945" s="2" t="str" cm="1">
        <f t="array" ref="A945">choice(Salles!A:A,1,Settings!$B$16)</f>
        <v>Salle6</v>
      </c>
      <c r="B945" s="3" cm="1">
        <f t="array" ref="B945">alea_date(Settings!$B$11,360,-1,Settings!$B$16)</f>
        <v>46127.458333333336</v>
      </c>
      <c r="C945" s="20" cm="1">
        <f t="array" ref="C945">B945+TIME(alea_int(1,4,Settings!$B$16),0,0)</f>
        <v>46127.625</v>
      </c>
    </row>
    <row r="946" spans="1:3" ht="15.75" customHeight="1" x14ac:dyDescent="0.25">
      <c r="A946" s="2" t="str" cm="1">
        <f t="array" ref="A946">choice(Salles!A:A,1,Settings!$B$16)</f>
        <v>Salle21</v>
      </c>
      <c r="B946" s="3" cm="1">
        <f t="array" ref="B946">alea_date(Settings!$B$11,360,-1,Settings!$B$16)</f>
        <v>46297.333333333336</v>
      </c>
      <c r="C946" s="20" cm="1">
        <f t="array" ref="C946">B946+TIME(alea_int(1,4,Settings!$B$16),0,0)</f>
        <v>46297.5</v>
      </c>
    </row>
    <row r="947" spans="1:3" ht="15.75" customHeight="1" x14ac:dyDescent="0.25">
      <c r="A947" s="2" t="str" cm="1">
        <f t="array" ref="A947">choice(Salles!A:A,1,Settings!$B$16)</f>
        <v>Salle68</v>
      </c>
      <c r="B947" s="3" cm="1">
        <f t="array" ref="B947">alea_date(Settings!$B$11,360,-1,Settings!$B$16)</f>
        <v>46070.541666666664</v>
      </c>
      <c r="C947" s="20" cm="1">
        <f t="array" ref="C947">B947+TIME(alea_int(1,4,Settings!$B$16),0,0)</f>
        <v>46070.708333333328</v>
      </c>
    </row>
    <row r="948" spans="1:3" ht="15.75" customHeight="1" x14ac:dyDescent="0.25">
      <c r="A948" s="2" t="str" cm="1">
        <f t="array" ref="A948">choice(Salles!A:A,1,Settings!$B$16)</f>
        <v>Salle64</v>
      </c>
      <c r="B948" s="3" cm="1">
        <f t="array" ref="B948">alea_date(Settings!$B$11,360,-1,Settings!$B$16)</f>
        <v>46357.5</v>
      </c>
      <c r="C948" s="20" cm="1">
        <f t="array" ref="C948">B948+TIME(alea_int(1,4,Settings!$B$16),0,0)</f>
        <v>46357.666666666664</v>
      </c>
    </row>
    <row r="949" spans="1:3" ht="15.75" customHeight="1" x14ac:dyDescent="0.25">
      <c r="A949" s="2" t="str" cm="1">
        <f t="array" ref="A949">choice(Salles!A:A,1,Settings!$B$16)</f>
        <v>Salle9</v>
      </c>
      <c r="B949" s="3" cm="1">
        <f t="array" ref="B949">alea_date(Settings!$B$11,360,-1,Settings!$B$16)</f>
        <v>46056.5</v>
      </c>
      <c r="C949" s="20" cm="1">
        <f t="array" ref="C949">B949+TIME(alea_int(1,4,Settings!$B$16),0,0)</f>
        <v>46056.666666666664</v>
      </c>
    </row>
    <row r="950" spans="1:3" ht="15.75" customHeight="1" x14ac:dyDescent="0.25">
      <c r="A950" s="2" t="str" cm="1">
        <f t="array" ref="A950">choice(Salles!A:A,1,Settings!$B$16)</f>
        <v>Salle7</v>
      </c>
      <c r="B950" s="3" cm="1">
        <f t="array" ref="B950">alea_date(Settings!$B$11,360,-1,Settings!$B$16)</f>
        <v>46350.25</v>
      </c>
      <c r="C950" s="20" cm="1">
        <f t="array" ref="C950">B950+TIME(alea_int(1,4,Settings!$B$16),0,0)</f>
        <v>46350.416666666664</v>
      </c>
    </row>
    <row r="951" spans="1:3" ht="15.75" customHeight="1" x14ac:dyDescent="0.25">
      <c r="A951" s="2" t="str" cm="1">
        <f t="array" ref="A951">choice(Salles!A:A,1,Settings!$B$16)</f>
        <v>Salle31</v>
      </c>
      <c r="B951" s="3" cm="1">
        <f t="array" ref="B951">alea_date(Settings!$B$11,360,-1,Settings!$B$16)</f>
        <v>46337.333333333336</v>
      </c>
      <c r="C951" s="20" cm="1">
        <f t="array" ref="C951">B951+TIME(alea_int(1,4,Settings!$B$16),0,0)</f>
        <v>46337.5</v>
      </c>
    </row>
    <row r="952" spans="1:3" ht="15.75" customHeight="1" x14ac:dyDescent="0.25">
      <c r="A952" s="2" t="str" cm="1">
        <f t="array" ref="A952">choice(Salles!A:A,1,Settings!$B$16)</f>
        <v>Salle10</v>
      </c>
      <c r="B952" s="3" cm="1">
        <f t="array" ref="B952">alea_date(Settings!$B$11,360,-1,Settings!$B$16)</f>
        <v>46354.458333333336</v>
      </c>
      <c r="C952" s="20" cm="1">
        <f t="array" ref="C952">B952+TIME(alea_int(1,4,Settings!$B$16),0,0)</f>
        <v>46354.625</v>
      </c>
    </row>
    <row r="953" spans="1:3" ht="15.75" customHeight="1" x14ac:dyDescent="0.25">
      <c r="A953" s="2" t="str" cm="1">
        <f t="array" ref="A953">choice(Salles!A:A,1,Settings!$B$16)</f>
        <v>Salle49</v>
      </c>
      <c r="B953" s="3" cm="1">
        <f t="array" ref="B953">alea_date(Settings!$B$11,360,-1,Settings!$B$16)</f>
        <v>46177.333333333336</v>
      </c>
      <c r="C953" s="20" cm="1">
        <f t="array" ref="C953">B953+TIME(alea_int(1,4,Settings!$B$16),0,0)</f>
        <v>46177.5</v>
      </c>
    </row>
    <row r="954" spans="1:3" ht="15.75" customHeight="1" x14ac:dyDescent="0.25">
      <c r="A954" s="2" t="str" cm="1">
        <f t="array" ref="A954">choice(Salles!A:A,1,Settings!$B$16)</f>
        <v>Salle56</v>
      </c>
      <c r="B954" s="3" cm="1">
        <f t="array" ref="B954">alea_date(Settings!$B$11,360,-1,Settings!$B$16)</f>
        <v>46292.333333333336</v>
      </c>
      <c r="C954" s="20" cm="1">
        <f t="array" ref="C954">B954+TIME(alea_int(1,4,Settings!$B$16),0,0)</f>
        <v>46292.5</v>
      </c>
    </row>
    <row r="955" spans="1:3" ht="15.75" customHeight="1" x14ac:dyDescent="0.25">
      <c r="A955" s="2" t="str" cm="1">
        <f t="array" ref="A955">choice(Salles!A:A,1,Settings!$B$16)</f>
        <v>Salle65</v>
      </c>
      <c r="B955" s="3" cm="1">
        <f t="array" ref="B955">alea_date(Settings!$B$11,360,-1,Settings!$B$16)</f>
        <v>46157.5</v>
      </c>
      <c r="C955" s="20" cm="1">
        <f t="array" ref="C955">B955+TIME(alea_int(1,4,Settings!$B$16),0,0)</f>
        <v>46157.666666666664</v>
      </c>
    </row>
    <row r="956" spans="1:3" ht="15.75" customHeight="1" x14ac:dyDescent="0.25">
      <c r="A956" s="2" t="str" cm="1">
        <f t="array" ref="A956">choice(Salles!A:A,1,Settings!$B$16)</f>
        <v>Salle15</v>
      </c>
      <c r="B956" s="3" cm="1">
        <f t="array" ref="B956">alea_date(Settings!$B$11,360,-1,Settings!$B$16)</f>
        <v>46231.458333333336</v>
      </c>
      <c r="C956" s="20" cm="1">
        <f t="array" ref="C956">B956+TIME(alea_int(1,4,Settings!$B$16),0,0)</f>
        <v>46231.625</v>
      </c>
    </row>
    <row r="957" spans="1:3" ht="15.75" customHeight="1" x14ac:dyDescent="0.25">
      <c r="A957" s="2" t="str" cm="1">
        <f t="array" ref="A957">choice(Salles!A:A,1,Settings!$B$16)</f>
        <v>Salle46</v>
      </c>
      <c r="B957" s="3" cm="1">
        <f t="array" ref="B957">alea_date(Settings!$B$11,360,-1,Settings!$B$16)</f>
        <v>46074.333333333336</v>
      </c>
      <c r="C957" s="20" cm="1">
        <f t="array" ref="C957">B957+TIME(alea_int(1,4,Settings!$B$16),0,0)</f>
        <v>46074.5</v>
      </c>
    </row>
    <row r="958" spans="1:3" ht="15.75" customHeight="1" x14ac:dyDescent="0.25">
      <c r="A958" s="2" t="str" cm="1">
        <f t="array" ref="A958">choice(Salles!A:A,1,Settings!$B$16)</f>
        <v>Salle66</v>
      </c>
      <c r="B958" s="3" cm="1">
        <f t="array" ref="B958">alea_date(Settings!$B$11,360,-1,Settings!$B$16)</f>
        <v>46294.458333333336</v>
      </c>
      <c r="C958" s="20" cm="1">
        <f t="array" ref="C958">B958+TIME(alea_int(1,4,Settings!$B$16),0,0)</f>
        <v>46294.625</v>
      </c>
    </row>
    <row r="959" spans="1:3" ht="15.75" customHeight="1" x14ac:dyDescent="0.25">
      <c r="A959" s="2" t="str" cm="1">
        <f t="array" ref="A959">choice(Salles!A:A,1,Settings!$B$16)</f>
        <v>Salle67</v>
      </c>
      <c r="B959" s="3" cm="1">
        <f t="array" ref="B959">alea_date(Settings!$B$11,360,-1,Settings!$B$16)</f>
        <v>46226.333333333336</v>
      </c>
      <c r="C959" s="20" cm="1">
        <f t="array" ref="C959">B959+TIME(alea_int(1,4,Settings!$B$16),0,0)</f>
        <v>46226.5</v>
      </c>
    </row>
    <row r="960" spans="1:3" ht="15.75" customHeight="1" x14ac:dyDescent="0.25">
      <c r="A960" s="2" t="str" cm="1">
        <f t="array" ref="A960">choice(Salles!A:A,1,Settings!$B$16)</f>
        <v>Salle58</v>
      </c>
      <c r="B960" s="3" cm="1">
        <f t="array" ref="B960">alea_date(Settings!$B$11,360,-1,Settings!$B$16)</f>
        <v>46210.541666666664</v>
      </c>
      <c r="C960" s="20" cm="1">
        <f t="array" ref="C960">B960+TIME(alea_int(1,4,Settings!$B$16),0,0)</f>
        <v>46210.708333333328</v>
      </c>
    </row>
    <row r="961" spans="1:3" ht="15.75" customHeight="1" x14ac:dyDescent="0.25">
      <c r="A961" s="2" t="str" cm="1">
        <f t="array" ref="A961">choice(Salles!A:A,1,Settings!$B$16)</f>
        <v>Salle35</v>
      </c>
      <c r="B961" s="3" cm="1">
        <f t="array" ref="B961">alea_date(Settings!$B$11,360,-1,Settings!$B$16)</f>
        <v>46150.25</v>
      </c>
      <c r="C961" s="20" cm="1">
        <f t="array" ref="C961">B961+TIME(alea_int(1,4,Settings!$B$16),0,0)</f>
        <v>46150.416666666664</v>
      </c>
    </row>
    <row r="962" spans="1:3" ht="15.75" customHeight="1" x14ac:dyDescent="0.25">
      <c r="A962" s="2" t="str" cm="1">
        <f t="array" ref="A962">choice(Salles!A:A,1,Settings!$B$16)</f>
        <v>Salle10</v>
      </c>
      <c r="B962" s="3" cm="1">
        <f t="array" ref="B962">alea_date(Settings!$B$11,360,-1,Settings!$B$16)</f>
        <v>46266.375</v>
      </c>
      <c r="C962" s="20" cm="1">
        <f t="array" ref="C962">B962+TIME(alea_int(1,4,Settings!$B$16),0,0)</f>
        <v>46266.541666666664</v>
      </c>
    </row>
    <row r="963" spans="1:3" ht="15.75" customHeight="1" x14ac:dyDescent="0.25">
      <c r="A963" s="2" t="str" cm="1">
        <f t="array" ref="A963">choice(Salles!A:A,1,Settings!$B$16)</f>
        <v>Salle32</v>
      </c>
      <c r="B963" s="3" cm="1">
        <f t="array" ref="B963">alea_date(Settings!$B$11,360,-1,Settings!$B$16)</f>
        <v>46138.625</v>
      </c>
      <c r="C963" s="20" cm="1">
        <f t="array" ref="C963">B963+TIME(alea_int(1,4,Settings!$B$16),0,0)</f>
        <v>46138.791666666664</v>
      </c>
    </row>
    <row r="964" spans="1:3" ht="15.75" customHeight="1" x14ac:dyDescent="0.25">
      <c r="A964" s="2" t="str" cm="1">
        <f t="array" ref="A964">choice(Salles!A:A,1,Settings!$B$16)</f>
        <v>Salle55</v>
      </c>
      <c r="B964" s="3" cm="1">
        <f t="array" ref="B964">alea_date(Settings!$B$11,360,-1,Settings!$B$16)</f>
        <v>46171.291666666664</v>
      </c>
      <c r="C964" s="20" cm="1">
        <f t="array" ref="C964">B964+TIME(alea_int(1,4,Settings!$B$16),0,0)</f>
        <v>46171.458333333328</v>
      </c>
    </row>
    <row r="965" spans="1:3" ht="15.75" customHeight="1" x14ac:dyDescent="0.25">
      <c r="A965" s="2" t="str" cm="1">
        <f t="array" ref="A965">choice(Salles!A:A,1,Settings!$B$16)</f>
        <v>Salle34</v>
      </c>
      <c r="B965" s="3" cm="1">
        <f t="array" ref="B965">alea_date(Settings!$B$11,360,-1,Settings!$B$16)</f>
        <v>46242.375</v>
      </c>
      <c r="C965" s="20" cm="1">
        <f t="array" ref="C965">B965+TIME(alea_int(1,4,Settings!$B$16),0,0)</f>
        <v>46242.541666666664</v>
      </c>
    </row>
    <row r="966" spans="1:3" ht="15.75" customHeight="1" x14ac:dyDescent="0.25">
      <c r="A966" s="2" t="str" cm="1">
        <f t="array" ref="A966">choice(Salles!A:A,1,Settings!$B$16)</f>
        <v>Salle48</v>
      </c>
      <c r="B966" s="3" cm="1">
        <f t="array" ref="B966">alea_date(Settings!$B$11,360,-1,Settings!$B$16)</f>
        <v>46142.625</v>
      </c>
      <c r="C966" s="20" cm="1">
        <f t="array" ref="C966">B966+TIME(alea_int(1,4,Settings!$B$16),0,0)</f>
        <v>46142.791666666664</v>
      </c>
    </row>
    <row r="967" spans="1:3" ht="15.75" customHeight="1" x14ac:dyDescent="0.25">
      <c r="A967" s="2" t="str" cm="1">
        <f t="array" ref="A967">choice(Salles!A:A,1,Settings!$B$16)</f>
        <v>Salle63</v>
      </c>
      <c r="B967" s="3" cm="1">
        <f t="array" ref="B967">alea_date(Settings!$B$11,360,-1,Settings!$B$16)</f>
        <v>46273.291666666664</v>
      </c>
      <c r="C967" s="20" cm="1">
        <f t="array" ref="C967">B967+TIME(alea_int(1,4,Settings!$B$16),0,0)</f>
        <v>46273.458333333328</v>
      </c>
    </row>
    <row r="968" spans="1:3" ht="15.75" customHeight="1" x14ac:dyDescent="0.25">
      <c r="A968" s="2" t="str" cm="1">
        <f t="array" ref="A968">choice(Salles!A:A,1,Settings!$B$16)</f>
        <v>Salle49</v>
      </c>
      <c r="B968" s="3" cm="1">
        <f t="array" ref="B968">alea_date(Settings!$B$11,360,-1,Settings!$B$16)</f>
        <v>46023.416666666664</v>
      </c>
      <c r="C968" s="20" cm="1">
        <f t="array" ref="C968">B968+TIME(alea_int(1,4,Settings!$B$16),0,0)</f>
        <v>46023.583333333328</v>
      </c>
    </row>
    <row r="969" spans="1:3" ht="15.75" customHeight="1" x14ac:dyDescent="0.25">
      <c r="A969" s="2" t="str" cm="1">
        <f t="array" ref="A969">choice(Salles!A:A,1,Settings!$B$16)</f>
        <v>Salle59</v>
      </c>
      <c r="B969" s="3" cm="1">
        <f t="array" ref="B969">alea_date(Settings!$B$11,360,-1,Settings!$B$16)</f>
        <v>46177.541666666664</v>
      </c>
      <c r="C969" s="20" cm="1">
        <f t="array" ref="C969">B969+TIME(alea_int(1,4,Settings!$B$16),0,0)</f>
        <v>46177.708333333328</v>
      </c>
    </row>
    <row r="970" spans="1:3" ht="15.75" customHeight="1" x14ac:dyDescent="0.25">
      <c r="A970" s="2" t="str" cm="1">
        <f t="array" ref="A970">choice(Salles!A:A,1,Settings!$B$16)</f>
        <v>Salle55</v>
      </c>
      <c r="B970" s="3" cm="1">
        <f t="array" ref="B970">alea_date(Settings!$B$11,360,-1,Settings!$B$16)</f>
        <v>46147.375</v>
      </c>
      <c r="C970" s="20" cm="1">
        <f t="array" ref="C970">B970+TIME(alea_int(1,4,Settings!$B$16),0,0)</f>
        <v>46147.541666666664</v>
      </c>
    </row>
    <row r="971" spans="1:3" ht="15.75" customHeight="1" x14ac:dyDescent="0.25">
      <c r="A971" s="2" t="str" cm="1">
        <f t="array" ref="A971">choice(Salles!A:A,1,Settings!$B$16)</f>
        <v>Salle53</v>
      </c>
      <c r="B971" s="3" cm="1">
        <f t="array" ref="B971">alea_date(Settings!$B$11,360,-1,Settings!$B$16)</f>
        <v>46287.291666666664</v>
      </c>
      <c r="C971" s="20" cm="1">
        <f t="array" ref="C971">B971+TIME(alea_int(1,4,Settings!$B$16),0,0)</f>
        <v>46287.458333333328</v>
      </c>
    </row>
    <row r="972" spans="1:3" ht="15.75" customHeight="1" x14ac:dyDescent="0.25">
      <c r="A972" s="2" t="str" cm="1">
        <f t="array" ref="A972">choice(Salles!A:A,1,Settings!$B$16)</f>
        <v>Salle36</v>
      </c>
      <c r="B972" s="3" cm="1">
        <f t="array" ref="B972">alea_date(Settings!$B$11,360,-1,Settings!$B$16)</f>
        <v>46105.458333333336</v>
      </c>
      <c r="C972" s="20" cm="1">
        <f t="array" ref="C972">B972+TIME(alea_int(1,4,Settings!$B$16),0,0)</f>
        <v>46105.625</v>
      </c>
    </row>
    <row r="973" spans="1:3" ht="15.75" customHeight="1" x14ac:dyDescent="0.25">
      <c r="A973" s="2" t="str" cm="1">
        <f t="array" ref="A973">choice(Salles!A:A,1,Settings!$B$16)</f>
        <v>Salle17</v>
      </c>
      <c r="B973" s="3" cm="1">
        <f t="array" ref="B973">alea_date(Settings!$B$11,360,-1,Settings!$B$16)</f>
        <v>46341.25</v>
      </c>
      <c r="C973" s="20" cm="1">
        <f t="array" ref="C973">B973+TIME(alea_int(1,4,Settings!$B$16),0,0)</f>
        <v>46341.416666666664</v>
      </c>
    </row>
    <row r="974" spans="1:3" ht="15.75" customHeight="1" x14ac:dyDescent="0.25">
      <c r="A974" s="2" t="str" cm="1">
        <f t="array" ref="A974">choice(Salles!A:A,1,Settings!$B$16)</f>
        <v>Salle38</v>
      </c>
      <c r="B974" s="3" cm="1">
        <f t="array" ref="B974">alea_date(Settings!$B$11,360,-1,Settings!$B$16)</f>
        <v>46248.25</v>
      </c>
      <c r="C974" s="20" cm="1">
        <f t="array" ref="C974">B974+TIME(alea_int(1,4,Settings!$B$16),0,0)</f>
        <v>46248.416666666664</v>
      </c>
    </row>
    <row r="975" spans="1:3" ht="15.75" customHeight="1" x14ac:dyDescent="0.25">
      <c r="A975" s="2" t="str" cm="1">
        <f t="array" ref="A975">choice(Salles!A:A,1,Settings!$B$16)</f>
        <v>Salle12</v>
      </c>
      <c r="B975" s="3" cm="1">
        <f t="array" ref="B975">alea_date(Settings!$B$11,360,-1,Settings!$B$16)</f>
        <v>46095.25</v>
      </c>
      <c r="C975" s="20" cm="1">
        <f t="array" ref="C975">B975+TIME(alea_int(1,4,Settings!$B$16),0,0)</f>
        <v>46095.416666666664</v>
      </c>
    </row>
    <row r="976" spans="1:3" ht="15.75" customHeight="1" x14ac:dyDescent="0.25">
      <c r="A976" s="2" t="str" cm="1">
        <f t="array" ref="A976">choice(Salles!A:A,1,Settings!$B$16)</f>
        <v>Salle4</v>
      </c>
      <c r="B976" s="3" cm="1">
        <f t="array" ref="B976">alea_date(Settings!$B$11,360,-1,Settings!$B$16)</f>
        <v>46094.458333333336</v>
      </c>
      <c r="C976" s="20" cm="1">
        <f t="array" ref="C976">B976+TIME(alea_int(1,4,Settings!$B$16),0,0)</f>
        <v>46094.625</v>
      </c>
    </row>
    <row r="977" spans="1:3" ht="15.75" customHeight="1" x14ac:dyDescent="0.25">
      <c r="A977" s="2" t="str" cm="1">
        <f t="array" ref="A977">choice(Salles!A:A,1,Settings!$B$16)</f>
        <v>Salle30</v>
      </c>
      <c r="B977" s="3" cm="1">
        <f t="array" ref="B977">alea_date(Settings!$B$11,360,-1,Settings!$B$16)</f>
        <v>46238.625</v>
      </c>
      <c r="C977" s="20" cm="1">
        <f t="array" ref="C977">B977+TIME(alea_int(1,4,Settings!$B$16),0,0)</f>
        <v>46238.791666666664</v>
      </c>
    </row>
    <row r="978" spans="1:3" ht="15.75" customHeight="1" x14ac:dyDescent="0.25">
      <c r="A978" s="2" t="str" cm="1">
        <f t="array" ref="A978">choice(Salles!A:A,1,Settings!$B$16)</f>
        <v>Salle10</v>
      </c>
      <c r="B978" s="3" cm="1">
        <f t="array" ref="B978">alea_date(Settings!$B$11,360,-1,Settings!$B$16)</f>
        <v>46183.625</v>
      </c>
      <c r="C978" s="20" cm="1">
        <f t="array" ref="C978">B978+TIME(alea_int(1,4,Settings!$B$16),0,0)</f>
        <v>46183.791666666664</v>
      </c>
    </row>
    <row r="979" spans="1:3" ht="15.75" customHeight="1" x14ac:dyDescent="0.25">
      <c r="A979" s="2" t="str" cm="1">
        <f t="array" ref="A979">choice(Salles!A:A,1,Settings!$B$16)</f>
        <v>Salle65</v>
      </c>
      <c r="B979" s="3" cm="1">
        <f t="array" ref="B979">alea_date(Settings!$B$11,360,-1,Settings!$B$16)</f>
        <v>46372.416666666664</v>
      </c>
      <c r="C979" s="20" cm="1">
        <f t="array" ref="C979">B979+TIME(alea_int(1,4,Settings!$B$16),0,0)</f>
        <v>46372.583333333328</v>
      </c>
    </row>
    <row r="980" spans="1:3" ht="15.75" customHeight="1" x14ac:dyDescent="0.25">
      <c r="A980" s="2" t="str" cm="1">
        <f t="array" ref="A980">choice(Salles!A:A,1,Settings!$B$16)</f>
        <v>Salle51</v>
      </c>
      <c r="B980" s="3" cm="1">
        <f t="array" ref="B980">alea_date(Settings!$B$11,360,-1,Settings!$B$16)</f>
        <v>46189.5</v>
      </c>
      <c r="C980" s="20" cm="1">
        <f t="array" ref="C980">B980+TIME(alea_int(1,4,Settings!$B$16),0,0)</f>
        <v>46189.666666666664</v>
      </c>
    </row>
    <row r="981" spans="1:3" ht="15.75" customHeight="1" x14ac:dyDescent="0.25">
      <c r="A981" s="2" t="str" cm="1">
        <f t="array" ref="A981">choice(Salles!A:A,1,Settings!$B$16)</f>
        <v>Salle34</v>
      </c>
      <c r="B981" s="3" cm="1">
        <f t="array" ref="B981">alea_date(Settings!$B$11,360,-1,Settings!$B$16)</f>
        <v>46041.416666666664</v>
      </c>
      <c r="C981" s="20" cm="1">
        <f t="array" ref="C981">B981+TIME(alea_int(1,4,Settings!$B$16),0,0)</f>
        <v>46041.583333333328</v>
      </c>
    </row>
    <row r="982" spans="1:3" ht="15.75" customHeight="1" x14ac:dyDescent="0.25">
      <c r="A982" s="2" t="str" cm="1">
        <f t="array" ref="A982">choice(Salles!A:A,1,Settings!$B$16)</f>
        <v>Salle58</v>
      </c>
      <c r="B982" s="3" cm="1">
        <f t="array" ref="B982">alea_date(Settings!$B$11,360,-1,Settings!$B$16)</f>
        <v>46121.458333333336</v>
      </c>
      <c r="C982" s="20" cm="1">
        <f t="array" ref="C982">B982+TIME(alea_int(1,4,Settings!$B$16),0,0)</f>
        <v>46121.625</v>
      </c>
    </row>
    <row r="983" spans="1:3" ht="15.75" customHeight="1" x14ac:dyDescent="0.25">
      <c r="A983" s="2" t="str" cm="1">
        <f t="array" ref="A983">choice(Salles!A:A,1,Settings!$B$16)</f>
        <v>Salle26</v>
      </c>
      <c r="B983" s="3" cm="1">
        <f t="array" ref="B983">alea_date(Settings!$B$11,360,-1,Settings!$B$16)</f>
        <v>46206.458333333336</v>
      </c>
      <c r="C983" s="20" cm="1">
        <f t="array" ref="C983">B983+TIME(alea_int(1,4,Settings!$B$16),0,0)</f>
        <v>46206.625</v>
      </c>
    </row>
    <row r="984" spans="1:3" ht="15.75" customHeight="1" x14ac:dyDescent="0.25">
      <c r="A984" s="2" t="str" cm="1">
        <f t="array" ref="A984">choice(Salles!A:A,1,Settings!$B$16)</f>
        <v>Salle23</v>
      </c>
      <c r="B984" s="3" cm="1">
        <f t="array" ref="B984">alea_date(Settings!$B$11,360,-1,Settings!$B$16)</f>
        <v>46195.625</v>
      </c>
      <c r="C984" s="20" cm="1">
        <f t="array" ref="C984">B984+TIME(alea_int(1,4,Settings!$B$16),0,0)</f>
        <v>46195.791666666664</v>
      </c>
    </row>
    <row r="985" spans="1:3" ht="15.75" customHeight="1" x14ac:dyDescent="0.25">
      <c r="A985" s="2" t="str" cm="1">
        <f t="array" ref="A985">choice(Salles!A:A,1,Settings!$B$16)</f>
        <v>Salle40</v>
      </c>
      <c r="B985" s="3" cm="1">
        <f t="array" ref="B985">alea_date(Settings!$B$11,360,-1,Settings!$B$16)</f>
        <v>46159.25</v>
      </c>
      <c r="C985" s="20" cm="1">
        <f t="array" ref="C985">B985+TIME(alea_int(1,4,Settings!$B$16),0,0)</f>
        <v>46159.416666666664</v>
      </c>
    </row>
    <row r="986" spans="1:3" ht="15.75" customHeight="1" x14ac:dyDescent="0.25">
      <c r="A986" s="2" t="str" cm="1">
        <f t="array" ref="A986">choice(Salles!A:A,1,Settings!$B$16)</f>
        <v>Salle25</v>
      </c>
      <c r="B986" s="3" cm="1">
        <f t="array" ref="B986">alea_date(Settings!$B$11,360,-1,Settings!$B$16)</f>
        <v>46125.291666666664</v>
      </c>
      <c r="C986" s="20" cm="1">
        <f t="array" ref="C986">B986+TIME(alea_int(1,4,Settings!$B$16),0,0)</f>
        <v>46125.458333333328</v>
      </c>
    </row>
    <row r="987" spans="1:3" ht="15.75" customHeight="1" x14ac:dyDescent="0.25">
      <c r="A987" s="2" t="str" cm="1">
        <f t="array" ref="A987">choice(Salles!A:A,1,Settings!$B$16)</f>
        <v>Salle13</v>
      </c>
      <c r="B987" s="3" cm="1">
        <f t="array" ref="B987">alea_date(Settings!$B$11,360,-1,Settings!$B$16)</f>
        <v>46348.416666666664</v>
      </c>
      <c r="C987" s="20" cm="1">
        <f t="array" ref="C987">B987+TIME(alea_int(1,4,Settings!$B$16),0,0)</f>
        <v>46348.583333333328</v>
      </c>
    </row>
    <row r="988" spans="1:3" ht="15.75" customHeight="1" x14ac:dyDescent="0.25">
      <c r="A988" s="2" t="str" cm="1">
        <f t="array" ref="A988">choice(Salles!A:A,1,Settings!$B$16)</f>
        <v>Salle5</v>
      </c>
      <c r="B988" s="3" cm="1">
        <f t="array" ref="B988">alea_date(Settings!$B$11,360,-1,Settings!$B$16)</f>
        <v>46372.333333333336</v>
      </c>
      <c r="C988" s="20" cm="1">
        <f t="array" ref="C988">B988+TIME(alea_int(1,4,Settings!$B$16),0,0)</f>
        <v>46372.5</v>
      </c>
    </row>
    <row r="989" spans="1:3" ht="15.75" customHeight="1" x14ac:dyDescent="0.25">
      <c r="A989" s="2" t="str" cm="1">
        <f t="array" ref="A989">choice(Salles!A:A,1,Settings!$B$16)</f>
        <v>Salle21</v>
      </c>
      <c r="B989" s="3" cm="1">
        <f t="array" ref="B989">alea_date(Settings!$B$11,360,-1,Settings!$B$16)</f>
        <v>46268.583333333336</v>
      </c>
      <c r="C989" s="20" cm="1">
        <f t="array" ref="C989">B989+TIME(alea_int(1,4,Settings!$B$16),0,0)</f>
        <v>46268.75</v>
      </c>
    </row>
    <row r="990" spans="1:3" ht="15.75" customHeight="1" x14ac:dyDescent="0.25">
      <c r="A990" s="2" t="str" cm="1">
        <f t="array" ref="A990">choice(Salles!A:A,1,Settings!$B$16)</f>
        <v>Salle70</v>
      </c>
      <c r="B990" s="3" cm="1">
        <f t="array" ref="B990">alea_date(Settings!$B$11,360,-1,Settings!$B$16)</f>
        <v>46275.416666666664</v>
      </c>
      <c r="C990" s="20" cm="1">
        <f t="array" ref="C990">B990+TIME(alea_int(1,4,Settings!$B$16),0,0)</f>
        <v>46275.583333333328</v>
      </c>
    </row>
    <row r="991" spans="1:3" ht="15.75" customHeight="1" x14ac:dyDescent="0.25">
      <c r="A991" s="2" t="str" cm="1">
        <f t="array" ref="A991">choice(Salles!A:A,1,Settings!$B$16)</f>
        <v>Salle5</v>
      </c>
      <c r="B991" s="3" cm="1">
        <f t="array" ref="B991">alea_date(Settings!$B$11,360,-1,Settings!$B$16)</f>
        <v>46381.541666666664</v>
      </c>
      <c r="C991" s="20" cm="1">
        <f t="array" ref="C991">B991+TIME(alea_int(1,4,Settings!$B$16),0,0)</f>
        <v>46381.708333333328</v>
      </c>
    </row>
    <row r="992" spans="1:3" ht="15.75" customHeight="1" x14ac:dyDescent="0.25">
      <c r="A992" s="2" t="str" cm="1">
        <f t="array" ref="A992">choice(Salles!A:A,1,Settings!$B$16)</f>
        <v>Salle9</v>
      </c>
      <c r="B992" s="3" cm="1">
        <f t="array" ref="B992">alea_date(Settings!$B$11,360,-1,Settings!$B$16)</f>
        <v>46225.625</v>
      </c>
      <c r="C992" s="20" cm="1">
        <f t="array" ref="C992">B992+TIME(alea_int(1,4,Settings!$B$16),0,0)</f>
        <v>46225.791666666664</v>
      </c>
    </row>
    <row r="993" spans="1:3" ht="15.75" customHeight="1" x14ac:dyDescent="0.25">
      <c r="A993" s="2" t="str" cm="1">
        <f t="array" ref="A993">choice(Salles!A:A,1,Settings!$B$16)</f>
        <v>Salle53</v>
      </c>
      <c r="B993" s="3" cm="1">
        <f t="array" ref="B993">alea_date(Settings!$B$11,360,-1,Settings!$B$16)</f>
        <v>46030.25</v>
      </c>
      <c r="C993" s="20" cm="1">
        <f t="array" ref="C993">B993+TIME(alea_int(1,4,Settings!$B$16),0,0)</f>
        <v>46030.416666666664</v>
      </c>
    </row>
    <row r="994" spans="1:3" ht="15.75" customHeight="1" x14ac:dyDescent="0.25">
      <c r="A994" s="2" t="str" cm="1">
        <f t="array" ref="A994">choice(Salles!A:A,1,Settings!$B$16)</f>
        <v>Salle11</v>
      </c>
      <c r="B994" s="3" cm="1">
        <f t="array" ref="B994">alea_date(Settings!$B$11,360,-1,Settings!$B$16)</f>
        <v>46105.333333333336</v>
      </c>
      <c r="C994" s="20" cm="1">
        <f t="array" ref="C994">B994+TIME(alea_int(1,4,Settings!$B$16),0,0)</f>
        <v>46105.5</v>
      </c>
    </row>
    <row r="995" spans="1:3" ht="15.75" customHeight="1" x14ac:dyDescent="0.25">
      <c r="A995" s="2" t="str" cm="1">
        <f t="array" ref="A995">choice(Salles!A:A,1,Settings!$B$16)</f>
        <v>Salle12</v>
      </c>
      <c r="B995" s="3" cm="1">
        <f t="array" ref="B995">alea_date(Settings!$B$11,360,-1,Settings!$B$16)</f>
        <v>46107.541666666664</v>
      </c>
      <c r="C995" s="20" cm="1">
        <f t="array" ref="C995">B995+TIME(alea_int(1,4,Settings!$B$16),0,0)</f>
        <v>46107.708333333328</v>
      </c>
    </row>
    <row r="996" spans="1:3" ht="15.75" customHeight="1" x14ac:dyDescent="0.25">
      <c r="A996" s="2" t="str" cm="1">
        <f t="array" ref="A996">choice(Salles!A:A,1,Settings!$B$16)</f>
        <v>Salle24</v>
      </c>
      <c r="B996" s="3" cm="1">
        <f t="array" ref="B996">alea_date(Settings!$B$11,360,-1,Settings!$B$16)</f>
        <v>46227.375</v>
      </c>
      <c r="C996" s="20" cm="1">
        <f t="array" ref="C996">B996+TIME(alea_int(1,4,Settings!$B$16),0,0)</f>
        <v>46227.541666666664</v>
      </c>
    </row>
    <row r="997" spans="1:3" ht="15.75" customHeight="1" x14ac:dyDescent="0.25">
      <c r="A997" s="2" t="str" cm="1">
        <f t="array" ref="A997">choice(Salles!A:A,1,Settings!$B$16)</f>
        <v>Salle57</v>
      </c>
      <c r="B997" s="3" cm="1">
        <f t="array" ref="B997">alea_date(Settings!$B$11,360,-1,Settings!$B$16)</f>
        <v>46268.625</v>
      </c>
      <c r="C997" s="20" cm="1">
        <f t="array" ref="C997">B997+TIME(alea_int(1,4,Settings!$B$16),0,0)</f>
        <v>46268.791666666664</v>
      </c>
    </row>
    <row r="998" spans="1:3" ht="15.75" customHeight="1" x14ac:dyDescent="0.25">
      <c r="A998" s="2" t="str" cm="1">
        <f t="array" ref="A998">choice(Salles!A:A,1,Settings!$B$16)</f>
        <v>Salle33</v>
      </c>
      <c r="B998" s="3" cm="1">
        <f t="array" ref="B998">alea_date(Settings!$B$11,360,-1,Settings!$B$16)</f>
        <v>46239.5</v>
      </c>
      <c r="C998" s="20" cm="1">
        <f t="array" ref="C998">B998+TIME(alea_int(1,4,Settings!$B$16),0,0)</f>
        <v>46239.666666666664</v>
      </c>
    </row>
    <row r="999" spans="1:3" ht="15.75" customHeight="1" x14ac:dyDescent="0.25">
      <c r="A999" s="2" t="str" cm="1">
        <f t="array" ref="A999">choice(Salles!A:A,1,Settings!$B$16)</f>
        <v>Salle54</v>
      </c>
      <c r="B999" s="3" cm="1">
        <f t="array" ref="B999">alea_date(Settings!$B$11,360,-1,Settings!$B$16)</f>
        <v>46113.5</v>
      </c>
      <c r="C999" s="20" cm="1">
        <f t="array" ref="C999">B999+TIME(alea_int(1,4,Settings!$B$16),0,0)</f>
        <v>46113.666666666664</v>
      </c>
    </row>
    <row r="1000" spans="1:3" ht="15.75" customHeight="1" x14ac:dyDescent="0.25">
      <c r="A1000" s="2" t="str" cm="1">
        <f t="array" ref="A1000">choice(Salles!A:A,1,Settings!$B$16)</f>
        <v>Salle55</v>
      </c>
      <c r="B1000" s="3" cm="1">
        <f t="array" ref="B1000">alea_date(Settings!$B$11,360,-1,Settings!$B$16)</f>
        <v>46069.541666666664</v>
      </c>
      <c r="C1000" s="20" cm="1">
        <f t="array" ref="C1000">B1000+TIME(alea_int(1,4,Settings!$B$16),0,0)</f>
        <v>46069.708333333328</v>
      </c>
    </row>
    <row r="1001" spans="1:3" ht="15.75" customHeight="1" x14ac:dyDescent="0.25">
      <c r="A1001" s="2" t="str" cm="1">
        <f t="array" ref="A1001">choice(Salles!A:A,1,Settings!$B$16)</f>
        <v>Salle41</v>
      </c>
      <c r="B1001" s="3" cm="1">
        <f t="array" ref="B1001">alea_date(Settings!$B$11,360,-1,Settings!$B$16)</f>
        <v>46176.333333333336</v>
      </c>
      <c r="C1001" s="20" cm="1">
        <f t="array" ref="C1001">B1001+TIME(alea_int(1,4,Settings!$B$16),0,0)</f>
        <v>46176.5</v>
      </c>
    </row>
    <row r="1002" spans="1:3" ht="15.75" customHeight="1" x14ac:dyDescent="0.25">
      <c r="A1002" s="2" t="str" cm="1">
        <f t="array" ref="A1002">choice(Salles!A:A,1,Settings!$B$16)</f>
        <v>Salle7</v>
      </c>
      <c r="B1002" s="3" cm="1">
        <f t="array" ref="B1002">alea_date(Settings!$B$11,360,-1,Settings!$B$16)</f>
        <v>46263.416666666664</v>
      </c>
      <c r="C1002" s="20" cm="1">
        <f t="array" ref="C1002">B1002+TIME(alea_int(1,4,Settings!$B$16),0,0)</f>
        <v>46263.583333333328</v>
      </c>
    </row>
    <row r="1003" spans="1:3" ht="15.75" customHeight="1" x14ac:dyDescent="0.25">
      <c r="A1003" s="2" t="str" cm="1">
        <f t="array" ref="A1003">choice(Salles!A:A,1,Settings!$B$16)</f>
        <v>Salle14</v>
      </c>
      <c r="B1003" s="3" cm="1">
        <f t="array" ref="B1003">alea_date(Settings!$B$11,360,-1,Settings!$B$16)</f>
        <v>46168.541666666664</v>
      </c>
      <c r="C1003" s="20" cm="1">
        <f t="array" ref="C1003">B1003+TIME(alea_int(1,4,Settings!$B$16),0,0)</f>
        <v>46168.708333333328</v>
      </c>
    </row>
    <row r="1004" spans="1:3" ht="15.75" customHeight="1" x14ac:dyDescent="0.25">
      <c r="A1004" s="2" t="str" cm="1">
        <f t="array" ref="A1004">choice(Salles!A:A,1,Settings!$B$16)</f>
        <v>Salle2</v>
      </c>
      <c r="B1004" s="3" cm="1">
        <f t="array" ref="B1004">alea_date(Settings!$B$11,360,-1,Settings!$B$16)</f>
        <v>46151.5</v>
      </c>
      <c r="C1004" s="20" cm="1">
        <f t="array" ref="C1004">B1004+TIME(alea_int(1,4,Settings!$B$16),0,0)</f>
        <v>46151.666666666664</v>
      </c>
    </row>
    <row r="1005" spans="1:3" ht="15.75" customHeight="1" x14ac:dyDescent="0.25">
      <c r="A1005" s="2" t="str" cm="1">
        <f t="array" ref="A1005">choice(Salles!A:A,1,Settings!$B$16)</f>
        <v>Salle66</v>
      </c>
      <c r="B1005" s="3" cm="1">
        <f t="array" ref="B1005">alea_date(Settings!$B$11,360,-1,Settings!$B$16)</f>
        <v>46180.333333333336</v>
      </c>
      <c r="C1005" s="20" cm="1">
        <f t="array" ref="C1005">B1005+TIME(alea_int(1,4,Settings!$B$16),0,0)</f>
        <v>46180.5</v>
      </c>
    </row>
    <row r="1006" spans="1:3" ht="15.75" customHeight="1" x14ac:dyDescent="0.25">
      <c r="A1006" s="2" t="str" cm="1">
        <f t="array" ref="A1006">choice(Salles!A:A,1,Settings!$B$16)</f>
        <v>Salle1</v>
      </c>
      <c r="B1006" s="3" cm="1">
        <f t="array" ref="B1006">alea_date(Settings!$B$11,360,-1,Settings!$B$16)</f>
        <v>46235.458333333336</v>
      </c>
      <c r="C1006" s="20" cm="1">
        <f t="array" ref="C1006">B1006+TIME(alea_int(1,4,Settings!$B$16),0,0)</f>
        <v>46235.625</v>
      </c>
    </row>
    <row r="1007" spans="1:3" ht="15.75" customHeight="1" x14ac:dyDescent="0.25">
      <c r="A1007" s="2" t="str" cm="1">
        <f t="array" ref="A1007">choice(Salles!A:A,1,Settings!$B$16)</f>
        <v>Salle61</v>
      </c>
      <c r="B1007" s="3" cm="1">
        <f t="array" ref="B1007">alea_date(Settings!$B$11,360,-1,Settings!$B$16)</f>
        <v>46370.458333333336</v>
      </c>
      <c r="C1007" s="20" cm="1">
        <f t="array" ref="C1007">B1007+TIME(alea_int(1,4,Settings!$B$16),0,0)</f>
        <v>46370.625</v>
      </c>
    </row>
    <row r="1008" spans="1:3" ht="15.75" customHeight="1" x14ac:dyDescent="0.25">
      <c r="A1008" s="2" t="str" cm="1">
        <f t="array" ref="A1008">choice(Salles!A:A,1,Settings!$B$16)</f>
        <v>Salle11</v>
      </c>
      <c r="B1008" s="3" cm="1">
        <f t="array" ref="B1008">alea_date(Settings!$B$11,360,-1,Settings!$B$16)</f>
        <v>46247.5</v>
      </c>
      <c r="C1008" s="20" cm="1">
        <f t="array" ref="C1008">B1008+TIME(alea_int(1,4,Settings!$B$16),0,0)</f>
        <v>46247.666666666664</v>
      </c>
    </row>
    <row r="1009" spans="1:3" ht="15.75" customHeight="1" x14ac:dyDescent="0.25">
      <c r="A1009" s="2" t="str" cm="1">
        <f t="array" ref="A1009">choice(Salles!A:A,1,Settings!$B$16)</f>
        <v>Salle8</v>
      </c>
      <c r="B1009" s="3" cm="1">
        <f t="array" ref="B1009">alea_date(Settings!$B$11,360,-1,Settings!$B$16)</f>
        <v>46365.5</v>
      </c>
      <c r="C1009" s="20" cm="1">
        <f t="array" ref="C1009">B1009+TIME(alea_int(1,4,Settings!$B$16),0,0)</f>
        <v>46365.666666666664</v>
      </c>
    </row>
    <row r="1010" spans="1:3" ht="15.75" customHeight="1" x14ac:dyDescent="0.25">
      <c r="A1010" s="2" t="str" cm="1">
        <f t="array" ref="A1010">choice(Salles!A:A,1,Settings!$B$16)</f>
        <v>Salle51</v>
      </c>
      <c r="B1010" s="3" cm="1">
        <f t="array" ref="B1010">alea_date(Settings!$B$11,360,-1,Settings!$B$16)</f>
        <v>46157.625</v>
      </c>
      <c r="C1010" s="20" cm="1">
        <f t="array" ref="C1010">B1010+TIME(alea_int(1,4,Settings!$B$16),0,0)</f>
        <v>46157.791666666664</v>
      </c>
    </row>
    <row r="1011" spans="1:3" ht="15.75" customHeight="1" x14ac:dyDescent="0.25">
      <c r="A1011" s="2" t="str" cm="1">
        <f t="array" ref="A1011">choice(Salles!A:A,1,Settings!$B$16)</f>
        <v>Salle3</v>
      </c>
      <c r="B1011" s="3" cm="1">
        <f t="array" ref="B1011">alea_date(Settings!$B$11,360,-1,Settings!$B$16)</f>
        <v>46364.333333333336</v>
      </c>
      <c r="C1011" s="20" cm="1">
        <f t="array" ref="C1011">B1011+TIME(alea_int(1,4,Settings!$B$16),0,0)</f>
        <v>46364.5</v>
      </c>
    </row>
    <row r="1012" spans="1:3" ht="15.75" customHeight="1" x14ac:dyDescent="0.25">
      <c r="A1012" s="2" t="str" cm="1">
        <f t="array" ref="A1012">choice(Salles!A:A,1,Settings!$B$16)</f>
        <v>Salle4</v>
      </c>
      <c r="B1012" s="3" cm="1">
        <f t="array" ref="B1012">alea_date(Settings!$B$11,360,-1,Settings!$B$16)</f>
        <v>46316.625</v>
      </c>
      <c r="C1012" s="20" cm="1">
        <f t="array" ref="C1012">B1012+TIME(alea_int(1,4,Settings!$B$16),0,0)</f>
        <v>46316.791666666664</v>
      </c>
    </row>
    <row r="1013" spans="1:3" ht="15.75" customHeight="1" x14ac:dyDescent="0.25">
      <c r="A1013" s="2" t="str" cm="1">
        <f t="array" ref="A1013">choice(Salles!A:A,1,Settings!$B$16)</f>
        <v>Salle43</v>
      </c>
      <c r="B1013" s="3" cm="1">
        <f t="array" ref="B1013">alea_date(Settings!$B$11,360,-1,Settings!$B$16)</f>
        <v>46353.625</v>
      </c>
      <c r="C1013" s="20" cm="1">
        <f t="array" ref="C1013">B1013+TIME(alea_int(1,4,Settings!$B$16),0,0)</f>
        <v>46353.791666666664</v>
      </c>
    </row>
    <row r="1014" spans="1:3" ht="15.75" customHeight="1" x14ac:dyDescent="0.25">
      <c r="A1014" s="2" t="str" cm="1">
        <f t="array" ref="A1014">choice(Salles!A:A,1,Settings!$B$16)</f>
        <v>Salle51</v>
      </c>
      <c r="B1014" s="3" cm="1">
        <f t="array" ref="B1014">alea_date(Settings!$B$11,360,-1,Settings!$B$16)</f>
        <v>46132.291666666664</v>
      </c>
      <c r="C1014" s="20" cm="1">
        <f t="array" ref="C1014">B1014+TIME(alea_int(1,4,Settings!$B$16),0,0)</f>
        <v>46132.458333333328</v>
      </c>
    </row>
    <row r="1015" spans="1:3" ht="15.75" customHeight="1" x14ac:dyDescent="0.25">
      <c r="A1015" s="2" t="str" cm="1">
        <f t="array" ref="A1015">choice(Salles!A:A,1,Settings!$B$16)</f>
        <v>Salle10</v>
      </c>
      <c r="B1015" s="3" cm="1">
        <f t="array" ref="B1015">alea_date(Settings!$B$11,360,-1,Settings!$B$16)</f>
        <v>46241.625</v>
      </c>
      <c r="C1015" s="20" cm="1">
        <f t="array" ref="C1015">B1015+TIME(alea_int(1,4,Settings!$B$16),0,0)</f>
        <v>46241.791666666664</v>
      </c>
    </row>
    <row r="1016" spans="1:3" ht="15.75" customHeight="1" x14ac:dyDescent="0.25">
      <c r="A1016" s="2" t="str" cm="1">
        <f t="array" ref="A1016">choice(Salles!A:A,1,Settings!$B$16)</f>
        <v>Salle8</v>
      </c>
      <c r="B1016" s="3" cm="1">
        <f t="array" ref="B1016">alea_date(Settings!$B$11,360,-1,Settings!$B$16)</f>
        <v>46084.458333333336</v>
      </c>
      <c r="C1016" s="20" cm="1">
        <f t="array" ref="C1016">B1016+TIME(alea_int(1,4,Settings!$B$16),0,0)</f>
        <v>46084.625</v>
      </c>
    </row>
    <row r="1017" spans="1:3" ht="15.75" customHeight="1" x14ac:dyDescent="0.25">
      <c r="A1017" s="2" t="str" cm="1">
        <f t="array" ref="A1017">choice(Salles!A:A,1,Settings!$B$16)</f>
        <v>Salle19</v>
      </c>
      <c r="B1017" s="3" cm="1">
        <f t="array" ref="B1017">alea_date(Settings!$B$11,360,-1,Settings!$B$16)</f>
        <v>46077.375</v>
      </c>
      <c r="C1017" s="20" cm="1">
        <f t="array" ref="C1017">B1017+TIME(alea_int(1,4,Settings!$B$16),0,0)</f>
        <v>46077.541666666664</v>
      </c>
    </row>
    <row r="1018" spans="1:3" ht="15.75" customHeight="1" x14ac:dyDescent="0.25">
      <c r="A1018" s="2" t="str" cm="1">
        <f t="array" ref="A1018">choice(Salles!A:A,1,Settings!$B$16)</f>
        <v>Salle60</v>
      </c>
      <c r="B1018" s="3" cm="1">
        <f t="array" ref="B1018">alea_date(Settings!$B$11,360,-1,Settings!$B$16)</f>
        <v>46299.25</v>
      </c>
      <c r="C1018" s="20" cm="1">
        <f t="array" ref="C1018">B1018+TIME(alea_int(1,4,Settings!$B$16),0,0)</f>
        <v>46299.416666666664</v>
      </c>
    </row>
    <row r="1019" spans="1:3" ht="15.75" customHeight="1" x14ac:dyDescent="0.25">
      <c r="A1019" s="2" t="str" cm="1">
        <f t="array" ref="A1019">choice(Salles!A:A,1,Settings!$B$16)</f>
        <v>Salle17</v>
      </c>
      <c r="B1019" s="3" cm="1">
        <f t="array" ref="B1019">alea_date(Settings!$B$11,360,-1,Settings!$B$16)</f>
        <v>46275.625</v>
      </c>
      <c r="C1019" s="20" cm="1">
        <f t="array" ref="C1019">B1019+TIME(alea_int(1,4,Settings!$B$16),0,0)</f>
        <v>46275.791666666664</v>
      </c>
    </row>
    <row r="1020" spans="1:3" ht="15.75" customHeight="1" x14ac:dyDescent="0.25">
      <c r="A1020" s="2" t="str" cm="1">
        <f t="array" ref="A1020">choice(Salles!A:A,1,Settings!$B$16)</f>
        <v>Salle69</v>
      </c>
      <c r="B1020" s="3" cm="1">
        <f t="array" ref="B1020">alea_date(Settings!$B$11,360,-1,Settings!$B$16)</f>
        <v>46183.375</v>
      </c>
      <c r="C1020" s="20" cm="1">
        <f t="array" ref="C1020">B1020+TIME(alea_int(1,4,Settings!$B$16),0,0)</f>
        <v>46183.541666666664</v>
      </c>
    </row>
    <row r="1021" spans="1:3" ht="15.75" customHeight="1" x14ac:dyDescent="0.25">
      <c r="A1021" s="2" t="str" cm="1">
        <f t="array" ref="A1021">choice(Salles!A:A,1,Settings!$B$16)</f>
        <v>Salle56</v>
      </c>
      <c r="B1021" s="3" cm="1">
        <f t="array" ref="B1021">alea_date(Settings!$B$11,360,-1,Settings!$B$16)</f>
        <v>46361.416666666664</v>
      </c>
      <c r="C1021" s="20" cm="1">
        <f t="array" ref="C1021">B1021+TIME(alea_int(1,4,Settings!$B$16),0,0)</f>
        <v>46361.583333333328</v>
      </c>
    </row>
    <row r="1022" spans="1:3" ht="15.75" customHeight="1" x14ac:dyDescent="0.25">
      <c r="A1022" s="2" t="str" cm="1">
        <f t="array" ref="A1022">choice(Salles!A:A,1,Settings!$B$16)</f>
        <v>Salle39</v>
      </c>
      <c r="B1022" s="3" cm="1">
        <f t="array" ref="B1022">alea_date(Settings!$B$11,360,-1,Settings!$B$16)</f>
        <v>46219.25</v>
      </c>
      <c r="C1022" s="20" cm="1">
        <f t="array" ref="C1022">B1022+TIME(alea_int(1,4,Settings!$B$16),0,0)</f>
        <v>46219.416666666664</v>
      </c>
    </row>
    <row r="1023" spans="1:3" ht="15.75" customHeight="1" x14ac:dyDescent="0.25">
      <c r="A1023" s="2" t="str" cm="1">
        <f t="array" ref="A1023">choice(Salles!A:A,1,Settings!$B$16)</f>
        <v>Salle23</v>
      </c>
      <c r="B1023" s="3" cm="1">
        <f t="array" ref="B1023">alea_date(Settings!$B$11,360,-1,Settings!$B$16)</f>
        <v>46354.458333333336</v>
      </c>
      <c r="C1023" s="20" cm="1">
        <f t="array" ref="C1023">B1023+TIME(alea_int(1,4,Settings!$B$16),0,0)</f>
        <v>46354.625</v>
      </c>
    </row>
    <row r="1024" spans="1:3" ht="15.75" customHeight="1" x14ac:dyDescent="0.25">
      <c r="A1024" s="2" t="str" cm="1">
        <f t="array" ref="A1024">choice(Salles!A:A,1,Settings!$B$16)</f>
        <v>Salle56</v>
      </c>
      <c r="B1024" s="3" cm="1">
        <f t="array" ref="B1024">alea_date(Settings!$B$11,360,-1,Settings!$B$16)</f>
        <v>46175.625</v>
      </c>
      <c r="C1024" s="20" cm="1">
        <f t="array" ref="C1024">B1024+TIME(alea_int(1,4,Settings!$B$16),0,0)</f>
        <v>46175.791666666664</v>
      </c>
    </row>
    <row r="1025" spans="1:3" ht="15.75" customHeight="1" x14ac:dyDescent="0.25">
      <c r="A1025" s="2" t="str" cm="1">
        <f t="array" ref="A1025">choice(Salles!A:A,1,Settings!$B$16)</f>
        <v>Salle2</v>
      </c>
      <c r="B1025" s="3" cm="1">
        <f t="array" ref="B1025">alea_date(Settings!$B$11,360,-1,Settings!$B$16)</f>
        <v>46202.375</v>
      </c>
      <c r="C1025" s="20" cm="1">
        <f t="array" ref="C1025">B1025+TIME(alea_int(1,4,Settings!$B$16),0,0)</f>
        <v>46202.541666666664</v>
      </c>
    </row>
    <row r="1026" spans="1:3" ht="15.75" customHeight="1" x14ac:dyDescent="0.25">
      <c r="A1026" s="2" t="str" cm="1">
        <f t="array" ref="A1026">choice(Salles!A:A,1,Settings!$B$16)</f>
        <v>Salle64</v>
      </c>
      <c r="B1026" s="3" cm="1">
        <f t="array" ref="B1026">alea_date(Settings!$B$11,360,-1,Settings!$B$16)</f>
        <v>46312.291666666664</v>
      </c>
      <c r="C1026" s="20" cm="1">
        <f t="array" ref="C1026">B1026+TIME(alea_int(1,4,Settings!$B$16),0,0)</f>
        <v>46312.458333333328</v>
      </c>
    </row>
    <row r="1027" spans="1:3" ht="15.75" customHeight="1" x14ac:dyDescent="0.25">
      <c r="A1027" s="2" t="str" cm="1">
        <f t="array" ref="A1027">choice(Salles!A:A,1,Settings!$B$16)</f>
        <v>Salle15</v>
      </c>
      <c r="B1027" s="3" cm="1">
        <f t="array" ref="B1027">alea_date(Settings!$B$11,360,-1,Settings!$B$16)</f>
        <v>46307.458333333336</v>
      </c>
      <c r="C1027" s="20" cm="1">
        <f t="array" ref="C1027">B1027+TIME(alea_int(1,4,Settings!$B$16),0,0)</f>
        <v>46307.625</v>
      </c>
    </row>
    <row r="1028" spans="1:3" ht="15.75" customHeight="1" x14ac:dyDescent="0.25">
      <c r="A1028" s="2" t="str" cm="1">
        <f t="array" ref="A1028">choice(Salles!A:A,1,Settings!$B$16)</f>
        <v>Salle54</v>
      </c>
      <c r="B1028" s="3" cm="1">
        <f t="array" ref="B1028">alea_date(Settings!$B$11,360,-1,Settings!$B$16)</f>
        <v>46054.541666666664</v>
      </c>
      <c r="C1028" s="20" cm="1">
        <f t="array" ref="C1028">B1028+TIME(alea_int(1,4,Settings!$B$16),0,0)</f>
        <v>46054.708333333328</v>
      </c>
    </row>
    <row r="1029" spans="1:3" ht="15.75" customHeight="1" x14ac:dyDescent="0.25">
      <c r="A1029" s="2" t="str" cm="1">
        <f t="array" ref="A1029">choice(Salles!A:A,1,Settings!$B$16)</f>
        <v>Salle20</v>
      </c>
      <c r="B1029" s="3" cm="1">
        <f t="array" ref="B1029">alea_date(Settings!$B$11,360,-1,Settings!$B$16)</f>
        <v>46296.375</v>
      </c>
      <c r="C1029" s="20" cm="1">
        <f t="array" ref="C1029">B1029+TIME(alea_int(1,4,Settings!$B$16),0,0)</f>
        <v>46296.541666666664</v>
      </c>
    </row>
    <row r="1030" spans="1:3" ht="15.75" customHeight="1" x14ac:dyDescent="0.25">
      <c r="A1030" s="2" t="str" cm="1">
        <f t="array" ref="A1030">choice(Salles!A:A,1,Settings!$B$16)</f>
        <v>Salle49</v>
      </c>
      <c r="B1030" s="3" cm="1">
        <f t="array" ref="B1030">alea_date(Settings!$B$11,360,-1,Settings!$B$16)</f>
        <v>46291.291666666664</v>
      </c>
      <c r="C1030" s="20" cm="1">
        <f t="array" ref="C1030">B1030+TIME(alea_int(1,4,Settings!$B$16),0,0)</f>
        <v>46291.458333333328</v>
      </c>
    </row>
    <row r="1031" spans="1:3" ht="15.75" customHeight="1" x14ac:dyDescent="0.25">
      <c r="A1031" s="2" t="str" cm="1">
        <f t="array" ref="A1031">choice(Salles!A:A,1,Settings!$B$16)</f>
        <v>Salle36</v>
      </c>
      <c r="B1031" s="3" cm="1">
        <f t="array" ref="B1031">alea_date(Settings!$B$11,360,-1,Settings!$B$16)</f>
        <v>46300.416666666664</v>
      </c>
      <c r="C1031" s="20" cm="1">
        <f t="array" ref="C1031">B1031+TIME(alea_int(1,4,Settings!$B$16),0,0)</f>
        <v>46300.583333333328</v>
      </c>
    </row>
    <row r="1032" spans="1:3" ht="15.75" customHeight="1" x14ac:dyDescent="0.25">
      <c r="A1032" s="2" t="str" cm="1">
        <f t="array" ref="A1032">choice(Salles!A:A,1,Settings!$B$16)</f>
        <v>Salle39</v>
      </c>
      <c r="B1032" s="3" cm="1">
        <f t="array" ref="B1032">alea_date(Settings!$B$11,360,-1,Settings!$B$16)</f>
        <v>46162.291666666664</v>
      </c>
      <c r="C1032" s="20" cm="1">
        <f t="array" ref="C1032">B1032+TIME(alea_int(1,4,Settings!$B$16),0,0)</f>
        <v>46162.458333333328</v>
      </c>
    </row>
    <row r="1033" spans="1:3" ht="15.75" customHeight="1" x14ac:dyDescent="0.25">
      <c r="A1033" s="2" t="str" cm="1">
        <f t="array" ref="A1033">choice(Salles!A:A,1,Settings!$B$16)</f>
        <v>Salle45</v>
      </c>
      <c r="B1033" s="3" cm="1">
        <f t="array" ref="B1033">alea_date(Settings!$B$11,360,-1,Settings!$B$16)</f>
        <v>46189.375</v>
      </c>
      <c r="C1033" s="20" cm="1">
        <f t="array" ref="C1033">B1033+TIME(alea_int(1,4,Settings!$B$16),0,0)</f>
        <v>46189.541666666664</v>
      </c>
    </row>
    <row r="1034" spans="1:3" ht="15.75" customHeight="1" x14ac:dyDescent="0.25">
      <c r="A1034" s="2" t="str" cm="1">
        <f t="array" ref="A1034">choice(Salles!A:A,1,Settings!$B$16)</f>
        <v>Salle61</v>
      </c>
      <c r="B1034" s="3" cm="1">
        <f t="array" ref="B1034">alea_date(Settings!$B$11,360,-1,Settings!$B$16)</f>
        <v>46067.5</v>
      </c>
      <c r="C1034" s="20" cm="1">
        <f t="array" ref="C1034">B1034+TIME(alea_int(1,4,Settings!$B$16),0,0)</f>
        <v>46067.666666666664</v>
      </c>
    </row>
    <row r="1035" spans="1:3" ht="15.75" customHeight="1" x14ac:dyDescent="0.25">
      <c r="A1035" s="2" t="str" cm="1">
        <f t="array" ref="A1035">choice(Salles!A:A,1,Settings!$B$16)</f>
        <v>Salle66</v>
      </c>
      <c r="B1035" s="3" cm="1">
        <f t="array" ref="B1035">alea_date(Settings!$B$11,360,-1,Settings!$B$16)</f>
        <v>46337.541666666664</v>
      </c>
      <c r="C1035" s="20" cm="1">
        <f t="array" ref="C1035">B1035+TIME(alea_int(1,4,Settings!$B$16),0,0)</f>
        <v>46337.708333333328</v>
      </c>
    </row>
    <row r="1036" spans="1:3" ht="15.75" customHeight="1" x14ac:dyDescent="0.25">
      <c r="A1036" s="2" t="str" cm="1">
        <f t="array" ref="A1036">choice(Salles!A:A,1,Settings!$B$16)</f>
        <v>Salle42</v>
      </c>
      <c r="B1036" s="3" cm="1">
        <f t="array" ref="B1036">alea_date(Settings!$B$11,360,-1,Settings!$B$16)</f>
        <v>46249.5</v>
      </c>
      <c r="C1036" s="20" cm="1">
        <f t="array" ref="C1036">B1036+TIME(alea_int(1,4,Settings!$B$16),0,0)</f>
        <v>46249.666666666664</v>
      </c>
    </row>
    <row r="1037" spans="1:3" ht="15.75" customHeight="1" x14ac:dyDescent="0.25">
      <c r="A1037" s="2" t="str" cm="1">
        <f t="array" ref="A1037">choice(Salles!A:A,1,Settings!$B$16)</f>
        <v>Salle67</v>
      </c>
      <c r="B1037" s="3" cm="1">
        <f t="array" ref="B1037">alea_date(Settings!$B$11,360,-1,Settings!$B$16)</f>
        <v>46045.583333333336</v>
      </c>
      <c r="C1037" s="20" cm="1">
        <f t="array" ref="C1037">B1037+TIME(alea_int(1,4,Settings!$B$16),0,0)</f>
        <v>46045.75</v>
      </c>
    </row>
    <row r="1038" spans="1:3" ht="15.75" customHeight="1" x14ac:dyDescent="0.25">
      <c r="A1038" s="2" t="str" cm="1">
        <f t="array" ref="A1038">choice(Salles!A:A,1,Settings!$B$16)</f>
        <v>Salle10</v>
      </c>
      <c r="B1038" s="3" cm="1">
        <f t="array" ref="B1038">alea_date(Settings!$B$11,360,-1,Settings!$B$16)</f>
        <v>46173.333333333336</v>
      </c>
      <c r="C1038" s="20" cm="1">
        <f t="array" ref="C1038">B1038+TIME(alea_int(1,4,Settings!$B$16),0,0)</f>
        <v>46173.5</v>
      </c>
    </row>
    <row r="1039" spans="1:3" ht="15.75" customHeight="1" x14ac:dyDescent="0.25">
      <c r="A1039" s="2" t="str" cm="1">
        <f t="array" ref="A1039">choice(Salles!A:A,1,Settings!$B$16)</f>
        <v>Salle59</v>
      </c>
      <c r="B1039" s="3" cm="1">
        <f t="array" ref="B1039">alea_date(Settings!$B$11,360,-1,Settings!$B$16)</f>
        <v>46154.375</v>
      </c>
      <c r="C1039" s="20" cm="1">
        <f t="array" ref="C1039">B1039+TIME(alea_int(1,4,Settings!$B$16),0,0)</f>
        <v>46154.541666666664</v>
      </c>
    </row>
    <row r="1040" spans="1:3" ht="15.75" customHeight="1" x14ac:dyDescent="0.25">
      <c r="A1040" s="2" t="str" cm="1">
        <f t="array" ref="A1040">choice(Salles!A:A,1,Settings!$B$16)</f>
        <v>Salle4</v>
      </c>
      <c r="B1040" s="3" cm="1">
        <f t="array" ref="B1040">alea_date(Settings!$B$11,360,-1,Settings!$B$16)</f>
        <v>46294.375</v>
      </c>
      <c r="C1040" s="20" cm="1">
        <f t="array" ref="C1040">B1040+TIME(alea_int(1,4,Settings!$B$16),0,0)</f>
        <v>46294.541666666664</v>
      </c>
    </row>
    <row r="1041" spans="1:3" ht="15.75" customHeight="1" x14ac:dyDescent="0.25">
      <c r="A1041" s="2" t="str" cm="1">
        <f t="array" ref="A1041">choice(Salles!A:A,1,Settings!$B$16)</f>
        <v>Salle7</v>
      </c>
      <c r="B1041" s="3" cm="1">
        <f t="array" ref="B1041">alea_date(Settings!$B$11,360,-1,Settings!$B$16)</f>
        <v>46028.375</v>
      </c>
      <c r="C1041" s="20" cm="1">
        <f t="array" ref="C1041">B1041+TIME(alea_int(1,4,Settings!$B$16),0,0)</f>
        <v>46028.541666666664</v>
      </c>
    </row>
    <row r="1042" spans="1:3" ht="15.75" customHeight="1" x14ac:dyDescent="0.25">
      <c r="A1042" s="2" t="str" cm="1">
        <f t="array" ref="A1042">choice(Salles!A:A,1,Settings!$B$16)</f>
        <v>Salle36</v>
      </c>
      <c r="B1042" s="3" cm="1">
        <f t="array" ref="B1042">alea_date(Settings!$B$11,360,-1,Settings!$B$16)</f>
        <v>46152.333333333336</v>
      </c>
      <c r="C1042" s="20" cm="1">
        <f t="array" ref="C1042">B1042+TIME(alea_int(1,4,Settings!$B$16),0,0)</f>
        <v>46152.5</v>
      </c>
    </row>
    <row r="1043" spans="1:3" ht="15.75" customHeight="1" x14ac:dyDescent="0.25">
      <c r="A1043" s="2" t="str" cm="1">
        <f t="array" ref="A1043">choice(Salles!A:A,1,Settings!$B$16)</f>
        <v>Salle58</v>
      </c>
      <c r="B1043" s="3" cm="1">
        <f t="array" ref="B1043">alea_date(Settings!$B$11,360,-1,Settings!$B$16)</f>
        <v>46107.416666666664</v>
      </c>
      <c r="C1043" s="20" cm="1">
        <f t="array" ref="C1043">B1043+TIME(alea_int(1,4,Settings!$B$16),0,0)</f>
        <v>46107.583333333328</v>
      </c>
    </row>
    <row r="1044" spans="1:3" ht="15.75" customHeight="1" x14ac:dyDescent="0.25">
      <c r="A1044" s="2" t="str" cm="1">
        <f t="array" ref="A1044">choice(Salles!A:A,1,Settings!$B$16)</f>
        <v>Salle52</v>
      </c>
      <c r="B1044" s="3" cm="1">
        <f t="array" ref="B1044">alea_date(Settings!$B$11,360,-1,Settings!$B$16)</f>
        <v>46066.375</v>
      </c>
      <c r="C1044" s="20" cm="1">
        <f t="array" ref="C1044">B1044+TIME(alea_int(1,4,Settings!$B$16),0,0)</f>
        <v>46066.541666666664</v>
      </c>
    </row>
    <row r="1045" spans="1:3" ht="15.75" customHeight="1" x14ac:dyDescent="0.25">
      <c r="A1045" s="2" t="str" cm="1">
        <f t="array" ref="A1045">choice(Salles!A:A,1,Settings!$B$16)</f>
        <v>Salle54</v>
      </c>
      <c r="B1045" s="3" cm="1">
        <f t="array" ref="B1045">alea_date(Settings!$B$11,360,-1,Settings!$B$16)</f>
        <v>46164.416666666664</v>
      </c>
      <c r="C1045" s="20" cm="1">
        <f t="array" ref="C1045">B1045+TIME(alea_int(1,4,Settings!$B$16),0,0)</f>
        <v>46164.583333333328</v>
      </c>
    </row>
    <row r="1046" spans="1:3" ht="15.75" customHeight="1" x14ac:dyDescent="0.25">
      <c r="A1046" s="2" t="str" cm="1">
        <f t="array" ref="A1046">choice(Salles!A:A,1,Settings!$B$16)</f>
        <v>Salle25</v>
      </c>
      <c r="B1046" s="3" cm="1">
        <f t="array" ref="B1046">alea_date(Settings!$B$11,360,-1,Settings!$B$16)</f>
        <v>46108.583333333336</v>
      </c>
      <c r="C1046" s="20" cm="1">
        <f t="array" ref="C1046">B1046+TIME(alea_int(1,4,Settings!$B$16),0,0)</f>
        <v>46108.75</v>
      </c>
    </row>
    <row r="1047" spans="1:3" ht="15.75" customHeight="1" x14ac:dyDescent="0.25">
      <c r="A1047" s="2" t="str" cm="1">
        <f t="array" ref="A1047">choice(Salles!A:A,1,Settings!$B$16)</f>
        <v>Salle59</v>
      </c>
      <c r="B1047" s="3" cm="1">
        <f t="array" ref="B1047">alea_date(Settings!$B$11,360,-1,Settings!$B$16)</f>
        <v>46327.375</v>
      </c>
      <c r="C1047" s="20" cm="1">
        <f t="array" ref="C1047">B1047+TIME(alea_int(1,4,Settings!$B$16),0,0)</f>
        <v>46327.541666666664</v>
      </c>
    </row>
    <row r="1048" spans="1:3" ht="15.75" customHeight="1" x14ac:dyDescent="0.25">
      <c r="A1048" s="2" t="str" cm="1">
        <f t="array" ref="A1048">choice(Salles!A:A,1,Settings!$B$16)</f>
        <v>Salle27</v>
      </c>
      <c r="B1048" s="3" cm="1">
        <f t="array" ref="B1048">alea_date(Settings!$B$11,360,-1,Settings!$B$16)</f>
        <v>46062.625</v>
      </c>
      <c r="C1048" s="20" cm="1">
        <f t="array" ref="C1048">B1048+TIME(alea_int(1,4,Settings!$B$16),0,0)</f>
        <v>46062.791666666664</v>
      </c>
    </row>
    <row r="1049" spans="1:3" ht="15.75" customHeight="1" x14ac:dyDescent="0.25">
      <c r="A1049" s="2" t="str" cm="1">
        <f t="array" ref="A1049">choice(Salles!A:A,1,Settings!$B$16)</f>
        <v>Salle53</v>
      </c>
      <c r="B1049" s="3" cm="1">
        <f t="array" ref="B1049">alea_date(Settings!$B$11,360,-1,Settings!$B$16)</f>
        <v>46105.375</v>
      </c>
      <c r="C1049" s="20" cm="1">
        <f t="array" ref="C1049">B1049+TIME(alea_int(1,4,Settings!$B$16),0,0)</f>
        <v>46105.541666666664</v>
      </c>
    </row>
    <row r="1050" spans="1:3" ht="15.75" customHeight="1" x14ac:dyDescent="0.25">
      <c r="A1050" s="2" t="str" cm="1">
        <f t="array" ref="A1050">choice(Salles!A:A,1,Settings!$B$16)</f>
        <v>Salle56</v>
      </c>
      <c r="B1050" s="3" cm="1">
        <f t="array" ref="B1050">alea_date(Settings!$B$11,360,-1,Settings!$B$16)</f>
        <v>46084.458333333336</v>
      </c>
      <c r="C1050" s="20" cm="1">
        <f t="array" ref="C1050">B1050+TIME(alea_int(1,4,Settings!$B$16),0,0)</f>
        <v>46084.625</v>
      </c>
    </row>
    <row r="1051" spans="1:3" ht="15.75" customHeight="1" x14ac:dyDescent="0.25">
      <c r="A1051" s="2" t="str" cm="1">
        <f t="array" ref="A1051">choice(Salles!A:A,1,Settings!$B$16)</f>
        <v>Salle3</v>
      </c>
      <c r="B1051" s="3" cm="1">
        <f t="array" ref="B1051">alea_date(Settings!$B$11,360,-1,Settings!$B$16)</f>
        <v>46159.583333333336</v>
      </c>
      <c r="C1051" s="20" cm="1">
        <f t="array" ref="C1051">B1051+TIME(alea_int(1,4,Settings!$B$16),0,0)</f>
        <v>46159.75</v>
      </c>
    </row>
    <row r="1052" spans="1:3" ht="15.75" customHeight="1" x14ac:dyDescent="0.25">
      <c r="A1052" s="2" t="str" cm="1">
        <f t="array" ref="A1052">choice(Salles!A:A,1,Settings!$B$16)</f>
        <v>Salle21</v>
      </c>
      <c r="B1052" s="3" cm="1">
        <f t="array" ref="B1052">alea_date(Settings!$B$11,360,-1,Settings!$B$16)</f>
        <v>46357.5</v>
      </c>
      <c r="C1052" s="20" cm="1">
        <f t="array" ref="C1052">B1052+TIME(alea_int(1,4,Settings!$B$16),0,0)</f>
        <v>46357.666666666664</v>
      </c>
    </row>
    <row r="1053" spans="1:3" ht="15.75" customHeight="1" x14ac:dyDescent="0.25">
      <c r="A1053" s="2" t="str" cm="1">
        <f t="array" ref="A1053">choice(Salles!A:A,1,Settings!$B$16)</f>
        <v>Salle66</v>
      </c>
      <c r="B1053" s="3" cm="1">
        <f t="array" ref="B1053">alea_date(Settings!$B$11,360,-1,Settings!$B$16)</f>
        <v>46239.291666666664</v>
      </c>
      <c r="C1053" s="20" cm="1">
        <f t="array" ref="C1053">B1053+TIME(alea_int(1,4,Settings!$B$16),0,0)</f>
        <v>46239.458333333328</v>
      </c>
    </row>
    <row r="1054" spans="1:3" ht="15.75" customHeight="1" x14ac:dyDescent="0.25">
      <c r="A1054" s="2" t="str" cm="1">
        <f t="array" ref="A1054">choice(Salles!A:A,1,Settings!$B$16)</f>
        <v>Salle17</v>
      </c>
      <c r="B1054" s="3" cm="1">
        <f t="array" ref="B1054">alea_date(Settings!$B$11,360,-1,Settings!$B$16)</f>
        <v>46091.25</v>
      </c>
      <c r="C1054" s="20" cm="1">
        <f t="array" ref="C1054">B1054+TIME(alea_int(1,4,Settings!$B$16),0,0)</f>
        <v>46091.416666666664</v>
      </c>
    </row>
    <row r="1055" spans="1:3" ht="15.75" customHeight="1" x14ac:dyDescent="0.25">
      <c r="A1055" s="2" t="str" cm="1">
        <f t="array" ref="A1055">choice(Salles!A:A,1,Settings!$B$16)</f>
        <v>Salle17</v>
      </c>
      <c r="B1055" s="3" cm="1">
        <f t="array" ref="B1055">alea_date(Settings!$B$11,360,-1,Settings!$B$16)</f>
        <v>46346.291666666664</v>
      </c>
      <c r="C1055" s="20" cm="1">
        <f t="array" ref="C1055">B1055+TIME(alea_int(1,4,Settings!$B$16),0,0)</f>
        <v>46346.458333333328</v>
      </c>
    </row>
    <row r="1056" spans="1:3" ht="15.75" customHeight="1" x14ac:dyDescent="0.25">
      <c r="A1056" s="2" t="str" cm="1">
        <f t="array" ref="A1056">choice(Salles!A:A,1,Settings!$B$16)</f>
        <v>Salle50</v>
      </c>
      <c r="B1056" s="3" cm="1">
        <f t="array" ref="B1056">alea_date(Settings!$B$11,360,-1,Settings!$B$16)</f>
        <v>46118.541666666664</v>
      </c>
      <c r="C1056" s="20" cm="1">
        <f t="array" ref="C1056">B1056+TIME(alea_int(1,4,Settings!$B$16),0,0)</f>
        <v>46118.708333333328</v>
      </c>
    </row>
    <row r="1057" spans="1:3" ht="15.75" customHeight="1" x14ac:dyDescent="0.25">
      <c r="A1057" s="2" t="str" cm="1">
        <f t="array" ref="A1057">choice(Salles!A:A,1,Settings!$B$16)</f>
        <v>Salle42</v>
      </c>
      <c r="B1057" s="3" cm="1">
        <f t="array" ref="B1057">alea_date(Settings!$B$11,360,-1,Settings!$B$16)</f>
        <v>46078.541666666664</v>
      </c>
      <c r="C1057" s="20" cm="1">
        <f t="array" ref="C1057">B1057+TIME(alea_int(1,4,Settings!$B$16),0,0)</f>
        <v>46078.708333333328</v>
      </c>
    </row>
    <row r="1058" spans="1:3" ht="15.75" customHeight="1" x14ac:dyDescent="0.25">
      <c r="A1058" s="2" t="str" cm="1">
        <f t="array" ref="A1058">choice(Salles!A:A,1,Settings!$B$16)</f>
        <v>Salle19</v>
      </c>
      <c r="B1058" s="3" cm="1">
        <f t="array" ref="B1058">alea_date(Settings!$B$11,360,-1,Settings!$B$16)</f>
        <v>46138.541666666664</v>
      </c>
      <c r="C1058" s="20" cm="1">
        <f t="array" ref="C1058">B1058+TIME(alea_int(1,4,Settings!$B$16),0,0)</f>
        <v>46138.708333333328</v>
      </c>
    </row>
    <row r="1059" spans="1:3" ht="15.75" customHeight="1" x14ac:dyDescent="0.25">
      <c r="A1059" s="2" t="str" cm="1">
        <f t="array" ref="A1059">choice(Salles!A:A,1,Settings!$B$16)</f>
        <v>Salle32</v>
      </c>
      <c r="B1059" s="3" cm="1">
        <f t="array" ref="B1059">alea_date(Settings!$B$11,360,-1,Settings!$B$16)</f>
        <v>46331.25</v>
      </c>
      <c r="C1059" s="20" cm="1">
        <f t="array" ref="C1059">B1059+TIME(alea_int(1,4,Settings!$B$16),0,0)</f>
        <v>46331.416666666664</v>
      </c>
    </row>
    <row r="1060" spans="1:3" ht="15.75" customHeight="1" x14ac:dyDescent="0.25">
      <c r="A1060" s="2" t="str" cm="1">
        <f t="array" ref="A1060">choice(Salles!A:A,1,Settings!$B$16)</f>
        <v>Salle25</v>
      </c>
      <c r="B1060" s="3" cm="1">
        <f t="array" ref="B1060">alea_date(Settings!$B$11,360,-1,Settings!$B$16)</f>
        <v>46308.541666666664</v>
      </c>
      <c r="C1060" s="20" cm="1">
        <f t="array" ref="C1060">B1060+TIME(alea_int(1,4,Settings!$B$16),0,0)</f>
        <v>46308.708333333328</v>
      </c>
    </row>
    <row r="1061" spans="1:3" ht="15.75" customHeight="1" x14ac:dyDescent="0.25">
      <c r="A1061" s="2" t="str" cm="1">
        <f t="array" ref="A1061">choice(Salles!A:A,1,Settings!$B$16)</f>
        <v>Salle47</v>
      </c>
      <c r="B1061" s="3" cm="1">
        <f t="array" ref="B1061">alea_date(Settings!$B$11,360,-1,Settings!$B$16)</f>
        <v>46252.375</v>
      </c>
      <c r="C1061" s="20" cm="1">
        <f t="array" ref="C1061">B1061+TIME(alea_int(1,4,Settings!$B$16),0,0)</f>
        <v>46252.541666666664</v>
      </c>
    </row>
    <row r="1062" spans="1:3" ht="15.75" customHeight="1" x14ac:dyDescent="0.25">
      <c r="A1062" s="2" t="str" cm="1">
        <f t="array" ref="A1062">choice(Salles!A:A,1,Settings!$B$16)</f>
        <v>Salle49</v>
      </c>
      <c r="B1062" s="3" cm="1">
        <f t="array" ref="B1062">alea_date(Settings!$B$11,360,-1,Settings!$B$16)</f>
        <v>46042.291666666664</v>
      </c>
      <c r="C1062" s="20" cm="1">
        <f t="array" ref="C1062">B1062+TIME(alea_int(1,4,Settings!$B$16),0,0)</f>
        <v>46042.458333333328</v>
      </c>
    </row>
    <row r="1063" spans="1:3" ht="15.75" customHeight="1" x14ac:dyDescent="0.25">
      <c r="A1063" s="2" t="str" cm="1">
        <f t="array" ref="A1063">choice(Salles!A:A,1,Settings!$B$16)</f>
        <v>Salle3</v>
      </c>
      <c r="B1063" s="3" cm="1">
        <f t="array" ref="B1063">alea_date(Settings!$B$11,360,-1,Settings!$B$16)</f>
        <v>46263.375</v>
      </c>
      <c r="C1063" s="20" cm="1">
        <f t="array" ref="C1063">B1063+TIME(alea_int(1,4,Settings!$B$16),0,0)</f>
        <v>46263.541666666664</v>
      </c>
    </row>
    <row r="1064" spans="1:3" ht="15.75" customHeight="1" x14ac:dyDescent="0.25">
      <c r="A1064" s="2" t="str" cm="1">
        <f t="array" ref="A1064">choice(Salles!A:A,1,Settings!$B$16)</f>
        <v>Salle46</v>
      </c>
      <c r="B1064" s="3" cm="1">
        <f t="array" ref="B1064">alea_date(Settings!$B$11,360,-1,Settings!$B$16)</f>
        <v>46070.291666666664</v>
      </c>
      <c r="C1064" s="20" cm="1">
        <f t="array" ref="C1064">B1064+TIME(alea_int(1,4,Settings!$B$16),0,0)</f>
        <v>46070.458333333328</v>
      </c>
    </row>
    <row r="1065" spans="1:3" ht="15.75" customHeight="1" x14ac:dyDescent="0.25">
      <c r="A1065" s="2" t="str" cm="1">
        <f t="array" ref="A1065">choice(Salles!A:A,1,Settings!$B$16)</f>
        <v>Salle8</v>
      </c>
      <c r="B1065" s="3" cm="1">
        <f t="array" ref="B1065">alea_date(Settings!$B$11,360,-1,Settings!$B$16)</f>
        <v>46182.25</v>
      </c>
      <c r="C1065" s="20" cm="1">
        <f t="array" ref="C1065">B1065+TIME(alea_int(1,4,Settings!$B$16),0,0)</f>
        <v>46182.416666666664</v>
      </c>
    </row>
    <row r="1066" spans="1:3" ht="15.75" customHeight="1" x14ac:dyDescent="0.25">
      <c r="A1066" s="2" t="str" cm="1">
        <f t="array" ref="A1066">choice(Salles!A:A,1,Settings!$B$16)</f>
        <v>Salle3</v>
      </c>
      <c r="B1066" s="3" cm="1">
        <f t="array" ref="B1066">alea_date(Settings!$B$11,360,-1,Settings!$B$16)</f>
        <v>46370.5</v>
      </c>
      <c r="C1066" s="20" cm="1">
        <f t="array" ref="C1066">B1066+TIME(alea_int(1,4,Settings!$B$16),0,0)</f>
        <v>46370.666666666664</v>
      </c>
    </row>
    <row r="1067" spans="1:3" ht="15.75" customHeight="1" x14ac:dyDescent="0.25">
      <c r="A1067" s="2" t="str" cm="1">
        <f t="array" ref="A1067">choice(Salles!A:A,1,Settings!$B$16)</f>
        <v>Salle17</v>
      </c>
      <c r="B1067" s="3" cm="1">
        <f t="array" ref="B1067">alea_date(Settings!$B$11,360,-1,Settings!$B$16)</f>
        <v>46368.291666666664</v>
      </c>
      <c r="C1067" s="20" cm="1">
        <f t="array" ref="C1067">B1067+TIME(alea_int(1,4,Settings!$B$16),0,0)</f>
        <v>46368.458333333328</v>
      </c>
    </row>
    <row r="1068" spans="1:3" ht="15.75" customHeight="1" x14ac:dyDescent="0.25">
      <c r="A1068" s="2" t="str" cm="1">
        <f t="array" ref="A1068">choice(Salles!A:A,1,Settings!$B$16)</f>
        <v>Salle65</v>
      </c>
      <c r="B1068" s="3" cm="1">
        <f t="array" ref="B1068">alea_date(Settings!$B$11,360,-1,Settings!$B$16)</f>
        <v>46381.625</v>
      </c>
      <c r="C1068" s="20" cm="1">
        <f t="array" ref="C1068">B1068+TIME(alea_int(1,4,Settings!$B$16),0,0)</f>
        <v>46381.791666666664</v>
      </c>
    </row>
    <row r="1069" spans="1:3" ht="15.75" customHeight="1" x14ac:dyDescent="0.25">
      <c r="A1069" s="2" t="str" cm="1">
        <f t="array" ref="A1069">choice(Salles!A:A,1,Settings!$B$16)</f>
        <v>Salle40</v>
      </c>
      <c r="B1069" s="3" cm="1">
        <f t="array" ref="B1069">alea_date(Settings!$B$11,360,-1,Settings!$B$16)</f>
        <v>46316.25</v>
      </c>
      <c r="C1069" s="20" cm="1">
        <f t="array" ref="C1069">B1069+TIME(alea_int(1,4,Settings!$B$16),0,0)</f>
        <v>46316.416666666664</v>
      </c>
    </row>
    <row r="1070" spans="1:3" ht="15.75" customHeight="1" x14ac:dyDescent="0.25">
      <c r="A1070" s="2" t="str" cm="1">
        <f t="array" ref="A1070">choice(Salles!A:A,1,Settings!$B$16)</f>
        <v>Salle17</v>
      </c>
      <c r="B1070" s="3" cm="1">
        <f t="array" ref="B1070">alea_date(Settings!$B$11,360,-1,Settings!$B$16)</f>
        <v>46230.291666666664</v>
      </c>
      <c r="C1070" s="20" cm="1">
        <f t="array" ref="C1070">B1070+TIME(alea_int(1,4,Settings!$B$16),0,0)</f>
        <v>46230.458333333328</v>
      </c>
    </row>
    <row r="1071" spans="1:3" ht="15.75" customHeight="1" x14ac:dyDescent="0.25">
      <c r="A1071" s="2" t="str" cm="1">
        <f t="array" ref="A1071">choice(Salles!A:A,1,Settings!$B$16)</f>
        <v>Salle21</v>
      </c>
      <c r="B1071" s="3" cm="1">
        <f t="array" ref="B1071">alea_date(Settings!$B$11,360,-1,Settings!$B$16)</f>
        <v>46246.458333333336</v>
      </c>
      <c r="C1071" s="20" cm="1">
        <f t="array" ref="C1071">B1071+TIME(alea_int(1,4,Settings!$B$16),0,0)</f>
        <v>46246.625</v>
      </c>
    </row>
    <row r="1072" spans="1:3" ht="15.75" customHeight="1" x14ac:dyDescent="0.25">
      <c r="A1072" s="2" t="str" cm="1">
        <f t="array" ref="A1072">choice(Salles!A:A,1,Settings!$B$16)</f>
        <v>Salle21</v>
      </c>
      <c r="B1072" s="3" cm="1">
        <f t="array" ref="B1072">alea_date(Settings!$B$11,360,-1,Settings!$B$16)</f>
        <v>46032.625</v>
      </c>
      <c r="C1072" s="20" cm="1">
        <f t="array" ref="C1072">B1072+TIME(alea_int(1,4,Settings!$B$16),0,0)</f>
        <v>46032.791666666664</v>
      </c>
    </row>
    <row r="1073" spans="1:3" ht="15.75" customHeight="1" x14ac:dyDescent="0.25">
      <c r="A1073" s="2" t="str" cm="1">
        <f t="array" ref="A1073">choice(Salles!A:A,1,Settings!$B$16)</f>
        <v>Salle25</v>
      </c>
      <c r="B1073" s="3" cm="1">
        <f t="array" ref="B1073">alea_date(Settings!$B$11,360,-1,Settings!$B$16)</f>
        <v>46077.375</v>
      </c>
      <c r="C1073" s="20" cm="1">
        <f t="array" ref="C1073">B1073+TIME(alea_int(1,4,Settings!$B$16),0,0)</f>
        <v>46077.541666666664</v>
      </c>
    </row>
    <row r="1074" spans="1:3" ht="15.75" customHeight="1" x14ac:dyDescent="0.25">
      <c r="A1074" s="2" t="str" cm="1">
        <f t="array" ref="A1074">choice(Salles!A:A,1,Settings!$B$16)</f>
        <v>Salle25</v>
      </c>
      <c r="B1074" s="3" cm="1">
        <f t="array" ref="B1074">alea_date(Settings!$B$11,360,-1,Settings!$B$16)</f>
        <v>46041.333333333336</v>
      </c>
      <c r="C1074" s="20" cm="1">
        <f t="array" ref="C1074">B1074+TIME(alea_int(1,4,Settings!$B$16),0,0)</f>
        <v>46041.5</v>
      </c>
    </row>
    <row r="1075" spans="1:3" ht="15.75" customHeight="1" x14ac:dyDescent="0.25">
      <c r="A1075" s="2" t="str" cm="1">
        <f t="array" ref="A1075">choice(Salles!A:A,1,Settings!$B$16)</f>
        <v>Salle66</v>
      </c>
      <c r="B1075" s="3" cm="1">
        <f t="array" ref="B1075">alea_date(Settings!$B$11,360,-1,Settings!$B$16)</f>
        <v>46312.333333333336</v>
      </c>
      <c r="C1075" s="20" cm="1">
        <f t="array" ref="C1075">B1075+TIME(alea_int(1,4,Settings!$B$16),0,0)</f>
        <v>46312.5</v>
      </c>
    </row>
    <row r="1076" spans="1:3" ht="15.75" customHeight="1" x14ac:dyDescent="0.25">
      <c r="A1076" s="2" t="str" cm="1">
        <f t="array" ref="A1076">choice(Salles!A:A,1,Settings!$B$16)</f>
        <v>Salle27</v>
      </c>
      <c r="B1076" s="3" cm="1">
        <f t="array" ref="B1076">alea_date(Settings!$B$11,360,-1,Settings!$B$16)</f>
        <v>46105.416666666664</v>
      </c>
      <c r="C1076" s="20" cm="1">
        <f t="array" ref="C1076">B1076+TIME(alea_int(1,4,Settings!$B$16),0,0)</f>
        <v>46105.583333333328</v>
      </c>
    </row>
    <row r="1077" spans="1:3" ht="15.75" customHeight="1" x14ac:dyDescent="0.25">
      <c r="A1077" s="2" t="str" cm="1">
        <f t="array" ref="A1077">choice(Salles!A:A,1,Settings!$B$16)</f>
        <v>Salle60</v>
      </c>
      <c r="B1077" s="3" cm="1">
        <f t="array" ref="B1077">alea_date(Settings!$B$11,360,-1,Settings!$B$16)</f>
        <v>46371.625</v>
      </c>
      <c r="C1077" s="20" cm="1">
        <f t="array" ref="C1077">B1077+TIME(alea_int(1,4,Settings!$B$16),0,0)</f>
        <v>46371.791666666664</v>
      </c>
    </row>
    <row r="1078" spans="1:3" ht="15.75" customHeight="1" x14ac:dyDescent="0.25">
      <c r="A1078" s="2" t="str" cm="1">
        <f t="array" ref="A1078">choice(Salles!A:A,1,Settings!$B$16)</f>
        <v>Salle9</v>
      </c>
      <c r="B1078" s="3" cm="1">
        <f t="array" ref="B1078">alea_date(Settings!$B$11,360,-1,Settings!$B$16)</f>
        <v>46381.458333333336</v>
      </c>
      <c r="C1078" s="20" cm="1">
        <f t="array" ref="C1078">B1078+TIME(alea_int(1,4,Settings!$B$16),0,0)</f>
        <v>46381.625</v>
      </c>
    </row>
    <row r="1079" spans="1:3" ht="15.75" customHeight="1" x14ac:dyDescent="0.25">
      <c r="A1079" s="2" t="str" cm="1">
        <f t="array" ref="A1079">choice(Salles!A:A,1,Settings!$B$16)</f>
        <v>Salle36</v>
      </c>
      <c r="B1079" s="3" cm="1">
        <f t="array" ref="B1079">alea_date(Settings!$B$11,360,-1,Settings!$B$16)</f>
        <v>46294.333333333336</v>
      </c>
      <c r="C1079" s="20" cm="1">
        <f t="array" ref="C1079">B1079+TIME(alea_int(1,4,Settings!$B$16),0,0)</f>
        <v>46294.5</v>
      </c>
    </row>
    <row r="1080" spans="1:3" ht="15.75" customHeight="1" x14ac:dyDescent="0.25">
      <c r="A1080" s="2" t="str" cm="1">
        <f t="array" ref="A1080">choice(Salles!A:A,1,Settings!$B$16)</f>
        <v>Salle60</v>
      </c>
      <c r="B1080" s="3" cm="1">
        <f t="array" ref="B1080">alea_date(Settings!$B$11,360,-1,Settings!$B$16)</f>
        <v>46148.541666666664</v>
      </c>
      <c r="C1080" s="20" cm="1">
        <f t="array" ref="C1080">B1080+TIME(alea_int(1,4,Settings!$B$16),0,0)</f>
        <v>46148.708333333328</v>
      </c>
    </row>
    <row r="1081" spans="1:3" ht="15.75" customHeight="1" x14ac:dyDescent="0.25">
      <c r="A1081" s="2" t="str" cm="1">
        <f t="array" ref="A1081">choice(Salles!A:A,1,Settings!$B$16)</f>
        <v>Salle4</v>
      </c>
      <c r="B1081" s="3" cm="1">
        <f t="array" ref="B1081">alea_date(Settings!$B$11,360,-1,Settings!$B$16)</f>
        <v>46059.5</v>
      </c>
      <c r="C1081" s="20" cm="1">
        <f t="array" ref="C1081">B1081+TIME(alea_int(1,4,Settings!$B$16),0,0)</f>
        <v>46059.666666666664</v>
      </c>
    </row>
    <row r="1082" spans="1:3" ht="15.75" customHeight="1" x14ac:dyDescent="0.25">
      <c r="A1082" s="2" t="str" cm="1">
        <f t="array" ref="A1082">choice(Salles!A:A,1,Settings!$B$16)</f>
        <v>Salle67</v>
      </c>
      <c r="B1082" s="3" cm="1">
        <f t="array" ref="B1082">alea_date(Settings!$B$11,360,-1,Settings!$B$16)</f>
        <v>46127.5</v>
      </c>
      <c r="C1082" s="20" cm="1">
        <f t="array" ref="C1082">B1082+TIME(alea_int(1,4,Settings!$B$16),0,0)</f>
        <v>46127.666666666664</v>
      </c>
    </row>
    <row r="1083" spans="1:3" ht="15.75" customHeight="1" x14ac:dyDescent="0.25">
      <c r="A1083" s="2" t="str" cm="1">
        <f t="array" ref="A1083">choice(Salles!A:A,1,Settings!$B$16)</f>
        <v>Salle17</v>
      </c>
      <c r="B1083" s="3" cm="1">
        <f t="array" ref="B1083">alea_date(Settings!$B$11,360,-1,Settings!$B$16)</f>
        <v>46156.375</v>
      </c>
      <c r="C1083" s="20" cm="1">
        <f t="array" ref="C1083">B1083+TIME(alea_int(1,4,Settings!$B$16),0,0)</f>
        <v>46156.541666666664</v>
      </c>
    </row>
    <row r="1084" spans="1:3" ht="15.75" customHeight="1" x14ac:dyDescent="0.25">
      <c r="A1084" s="2" t="str" cm="1">
        <f t="array" ref="A1084">choice(Salles!A:A,1,Settings!$B$16)</f>
        <v>Salle38</v>
      </c>
      <c r="B1084" s="3" cm="1">
        <f t="array" ref="B1084">alea_date(Settings!$B$11,360,-1,Settings!$B$16)</f>
        <v>46086.5</v>
      </c>
      <c r="C1084" s="20" cm="1">
        <f t="array" ref="C1084">B1084+TIME(alea_int(1,4,Settings!$B$16),0,0)</f>
        <v>46086.666666666664</v>
      </c>
    </row>
    <row r="1085" spans="1:3" ht="15.75" customHeight="1" x14ac:dyDescent="0.25">
      <c r="A1085" s="2" t="str" cm="1">
        <f t="array" ref="A1085">choice(Salles!A:A,1,Settings!$B$16)</f>
        <v>Salle44</v>
      </c>
      <c r="B1085" s="3" cm="1">
        <f t="array" ref="B1085">alea_date(Settings!$B$11,360,-1,Settings!$B$16)</f>
        <v>46148.625</v>
      </c>
      <c r="C1085" s="20" cm="1">
        <f t="array" ref="C1085">B1085+TIME(alea_int(1,4,Settings!$B$16),0,0)</f>
        <v>46148.791666666664</v>
      </c>
    </row>
    <row r="1086" spans="1:3" ht="15.75" customHeight="1" x14ac:dyDescent="0.25">
      <c r="A1086" s="2" t="str" cm="1">
        <f t="array" ref="A1086">choice(Salles!A:A,1,Settings!$B$16)</f>
        <v>Salle55</v>
      </c>
      <c r="B1086" s="3" cm="1">
        <f t="array" ref="B1086">alea_date(Settings!$B$11,360,-1,Settings!$B$16)</f>
        <v>46312.458333333336</v>
      </c>
      <c r="C1086" s="20" cm="1">
        <f t="array" ref="C1086">B1086+TIME(alea_int(1,4,Settings!$B$16),0,0)</f>
        <v>46312.625</v>
      </c>
    </row>
    <row r="1087" spans="1:3" ht="15.75" customHeight="1" x14ac:dyDescent="0.25">
      <c r="A1087" s="2" t="str" cm="1">
        <f t="array" ref="A1087">choice(Salles!A:A,1,Settings!$B$16)</f>
        <v>Salle34</v>
      </c>
      <c r="B1087" s="3" cm="1">
        <f t="array" ref="B1087">alea_date(Settings!$B$11,360,-1,Settings!$B$16)</f>
        <v>46348.541666666664</v>
      </c>
      <c r="C1087" s="20" cm="1">
        <f t="array" ref="C1087">B1087+TIME(alea_int(1,4,Settings!$B$16),0,0)</f>
        <v>46348.708333333328</v>
      </c>
    </row>
    <row r="1088" spans="1:3" ht="15.75" customHeight="1" x14ac:dyDescent="0.25">
      <c r="A1088" s="2" t="str" cm="1">
        <f t="array" ref="A1088">choice(Salles!A:A,1,Settings!$B$16)</f>
        <v>Salle49</v>
      </c>
      <c r="B1088" s="3" cm="1">
        <f t="array" ref="B1088">alea_date(Settings!$B$11,360,-1,Settings!$B$16)</f>
        <v>46096.583333333336</v>
      </c>
      <c r="C1088" s="20" cm="1">
        <f t="array" ref="C1088">B1088+TIME(alea_int(1,4,Settings!$B$16),0,0)</f>
        <v>46096.75</v>
      </c>
    </row>
    <row r="1089" spans="1:3" ht="15.75" customHeight="1" x14ac:dyDescent="0.25">
      <c r="A1089" s="2" t="str" cm="1">
        <f t="array" ref="A1089">choice(Salles!A:A,1,Settings!$B$16)</f>
        <v>Salle27</v>
      </c>
      <c r="B1089" s="3" cm="1">
        <f t="array" ref="B1089">alea_date(Settings!$B$11,360,-1,Settings!$B$16)</f>
        <v>46336.458333333336</v>
      </c>
      <c r="C1089" s="20" cm="1">
        <f t="array" ref="C1089">B1089+TIME(alea_int(1,4,Settings!$B$16),0,0)</f>
        <v>46336.625</v>
      </c>
    </row>
    <row r="1090" spans="1:3" ht="15.75" customHeight="1" x14ac:dyDescent="0.25">
      <c r="A1090" s="2" t="str" cm="1">
        <f t="array" ref="A1090">choice(Salles!A:A,1,Settings!$B$16)</f>
        <v>Salle67</v>
      </c>
      <c r="B1090" s="3" cm="1">
        <f t="array" ref="B1090">alea_date(Settings!$B$11,360,-1,Settings!$B$16)</f>
        <v>46167.416666666664</v>
      </c>
      <c r="C1090" s="20" cm="1">
        <f t="array" ref="C1090">B1090+TIME(alea_int(1,4,Settings!$B$16),0,0)</f>
        <v>46167.583333333328</v>
      </c>
    </row>
    <row r="1091" spans="1:3" ht="15.75" customHeight="1" x14ac:dyDescent="0.25">
      <c r="A1091" s="2" t="str" cm="1">
        <f t="array" ref="A1091">choice(Salles!A:A,1,Settings!$B$16)</f>
        <v>Salle17</v>
      </c>
      <c r="B1091" s="3" cm="1">
        <f t="array" ref="B1091">alea_date(Settings!$B$11,360,-1,Settings!$B$16)</f>
        <v>46245.333333333336</v>
      </c>
      <c r="C1091" s="20" cm="1">
        <f t="array" ref="C1091">B1091+TIME(alea_int(1,4,Settings!$B$16),0,0)</f>
        <v>46245.5</v>
      </c>
    </row>
    <row r="1092" spans="1:3" ht="15.75" customHeight="1" x14ac:dyDescent="0.25">
      <c r="A1092" s="2" t="str" cm="1">
        <f t="array" ref="A1092">choice(Salles!A:A,1,Settings!$B$16)</f>
        <v>Salle60</v>
      </c>
      <c r="B1092" s="3" cm="1">
        <f t="array" ref="B1092">alea_date(Settings!$B$11,360,-1,Settings!$B$16)</f>
        <v>46114.583333333336</v>
      </c>
      <c r="C1092" s="20" cm="1">
        <f t="array" ref="C1092">B1092+TIME(alea_int(1,4,Settings!$B$16),0,0)</f>
        <v>46114.75</v>
      </c>
    </row>
    <row r="1093" spans="1:3" ht="15.75" customHeight="1" x14ac:dyDescent="0.25">
      <c r="A1093" s="2" t="str" cm="1">
        <f t="array" ref="A1093">choice(Salles!A:A,1,Settings!$B$16)</f>
        <v>Salle1</v>
      </c>
      <c r="B1093" s="3" cm="1">
        <f t="array" ref="B1093">alea_date(Settings!$B$11,360,-1,Settings!$B$16)</f>
        <v>46340.333333333336</v>
      </c>
      <c r="C1093" s="20" cm="1">
        <f t="array" ref="C1093">B1093+TIME(alea_int(1,4,Settings!$B$16),0,0)</f>
        <v>46340.5</v>
      </c>
    </row>
    <row r="1094" spans="1:3" ht="15.75" customHeight="1" x14ac:dyDescent="0.25">
      <c r="A1094" s="2" t="str" cm="1">
        <f t="array" ref="A1094">choice(Salles!A:A,1,Settings!$B$16)</f>
        <v>Salle21</v>
      </c>
      <c r="B1094" s="3" cm="1">
        <f t="array" ref="B1094">alea_date(Settings!$B$11,360,-1,Settings!$B$16)</f>
        <v>46333.416666666664</v>
      </c>
      <c r="C1094" s="20" cm="1">
        <f t="array" ref="C1094">B1094+TIME(alea_int(1,4,Settings!$B$16),0,0)</f>
        <v>46333.583333333328</v>
      </c>
    </row>
    <row r="1095" spans="1:3" ht="15.75" customHeight="1" x14ac:dyDescent="0.25">
      <c r="A1095" s="2" t="str" cm="1">
        <f t="array" ref="A1095">choice(Salles!A:A,1,Settings!$B$16)</f>
        <v>Salle43</v>
      </c>
      <c r="B1095" s="3" cm="1">
        <f t="array" ref="B1095">alea_date(Settings!$B$11,360,-1,Settings!$B$16)</f>
        <v>46105.625</v>
      </c>
      <c r="C1095" s="20" cm="1">
        <f t="array" ref="C1095">B1095+TIME(alea_int(1,4,Settings!$B$16),0,0)</f>
        <v>46105.791666666664</v>
      </c>
    </row>
    <row r="1096" spans="1:3" ht="15.75" customHeight="1" x14ac:dyDescent="0.25">
      <c r="A1096" s="2" t="str" cm="1">
        <f t="array" ref="A1096">choice(Salles!A:A,1,Settings!$B$16)</f>
        <v>Salle47</v>
      </c>
      <c r="B1096" s="3" cm="1">
        <f t="array" ref="B1096">alea_date(Settings!$B$11,360,-1,Settings!$B$16)</f>
        <v>46116.541666666664</v>
      </c>
      <c r="C1096" s="20" cm="1">
        <f t="array" ref="C1096">B1096+TIME(alea_int(1,4,Settings!$B$16),0,0)</f>
        <v>46116.708333333328</v>
      </c>
    </row>
    <row r="1097" spans="1:3" ht="15.75" customHeight="1" x14ac:dyDescent="0.25">
      <c r="A1097" s="2" t="str" cm="1">
        <f t="array" ref="A1097">choice(Salles!A:A,1,Settings!$B$16)</f>
        <v>Salle70</v>
      </c>
      <c r="B1097" s="3" cm="1">
        <f t="array" ref="B1097">alea_date(Settings!$B$11,360,-1,Settings!$B$16)</f>
        <v>46275.458333333336</v>
      </c>
      <c r="C1097" s="20" cm="1">
        <f t="array" ref="C1097">B1097+TIME(alea_int(1,4,Settings!$B$16),0,0)</f>
        <v>46275.625</v>
      </c>
    </row>
    <row r="1098" spans="1:3" ht="15.75" customHeight="1" x14ac:dyDescent="0.25">
      <c r="A1098" s="2" t="str" cm="1">
        <f t="array" ref="A1098">choice(Salles!A:A,1,Settings!$B$16)</f>
        <v>Salle1</v>
      </c>
      <c r="B1098" s="3" cm="1">
        <f t="array" ref="B1098">alea_date(Settings!$B$11,360,-1,Settings!$B$16)</f>
        <v>46148.333333333336</v>
      </c>
      <c r="C1098" s="20" cm="1">
        <f t="array" ref="C1098">B1098+TIME(alea_int(1,4,Settings!$B$16),0,0)</f>
        <v>46148.5</v>
      </c>
    </row>
    <row r="1099" spans="1:3" ht="15.75" customHeight="1" x14ac:dyDescent="0.25">
      <c r="A1099" s="2" t="str" cm="1">
        <f t="array" ref="A1099">choice(Salles!A:A,1,Settings!$B$16)</f>
        <v>Salle1</v>
      </c>
      <c r="B1099" s="3" cm="1">
        <f t="array" ref="B1099">alea_date(Settings!$B$11,360,-1,Settings!$B$16)</f>
        <v>46253.25</v>
      </c>
      <c r="C1099" s="20" cm="1">
        <f t="array" ref="C1099">B1099+TIME(alea_int(1,4,Settings!$B$16),0,0)</f>
        <v>46253.416666666664</v>
      </c>
    </row>
    <row r="1100" spans="1:3" ht="15.75" customHeight="1" x14ac:dyDescent="0.25">
      <c r="A1100" s="2" t="str" cm="1">
        <f t="array" ref="A1100">choice(Salles!A:A,1,Settings!$B$16)</f>
        <v>Salle38</v>
      </c>
      <c r="B1100" s="3" cm="1">
        <f t="array" ref="B1100">alea_date(Settings!$B$11,360,-1,Settings!$B$16)</f>
        <v>46077.541666666664</v>
      </c>
      <c r="C1100" s="20" cm="1">
        <f t="array" ref="C1100">B1100+TIME(alea_int(1,4,Settings!$B$16),0,0)</f>
        <v>46077.708333333328</v>
      </c>
    </row>
    <row r="1101" spans="1:3" ht="15.75" customHeight="1" x14ac:dyDescent="0.25">
      <c r="A1101" s="2" t="str" cm="1">
        <f t="array" ref="A1101">choice(Salles!A:A,1,Settings!$B$16)</f>
        <v>Salle42</v>
      </c>
      <c r="B1101" s="3" cm="1">
        <f t="array" ref="B1101">alea_date(Settings!$B$11,360,-1,Settings!$B$16)</f>
        <v>46214.416666666664</v>
      </c>
      <c r="C1101" s="20" cm="1">
        <f t="array" ref="C1101">B1101+TIME(alea_int(1,4,Settings!$B$16),0,0)</f>
        <v>46214.583333333328</v>
      </c>
    </row>
    <row r="1102" spans="1:3" ht="15.75" customHeight="1" x14ac:dyDescent="0.25">
      <c r="A1102" s="2" t="str" cm="1">
        <f t="array" ref="A1102">choice(Salles!A:A,1,Settings!$B$16)</f>
        <v>Salle56</v>
      </c>
      <c r="B1102" s="3" cm="1">
        <f t="array" ref="B1102">alea_date(Settings!$B$11,360,-1,Settings!$B$16)</f>
        <v>46153.541666666664</v>
      </c>
      <c r="C1102" s="20" cm="1">
        <f t="array" ref="C1102">B1102+TIME(alea_int(1,4,Settings!$B$16),0,0)</f>
        <v>46153.708333333328</v>
      </c>
    </row>
    <row r="1103" spans="1:3" ht="15.75" customHeight="1" x14ac:dyDescent="0.25">
      <c r="A1103" s="2" t="str" cm="1">
        <f t="array" ref="A1103">choice(Salles!A:A,1,Settings!$B$16)</f>
        <v>Salle2</v>
      </c>
      <c r="B1103" s="3" cm="1">
        <f t="array" ref="B1103">alea_date(Settings!$B$11,360,-1,Settings!$B$16)</f>
        <v>46311.291666666664</v>
      </c>
      <c r="C1103" s="20" cm="1">
        <f t="array" ref="C1103">B1103+TIME(alea_int(1,4,Settings!$B$16),0,0)</f>
        <v>46311.458333333328</v>
      </c>
    </row>
    <row r="1104" spans="1:3" ht="15.75" customHeight="1" x14ac:dyDescent="0.25">
      <c r="A1104" s="2" t="str" cm="1">
        <f t="array" ref="A1104">choice(Salles!A:A,1,Settings!$B$16)</f>
        <v>Salle58</v>
      </c>
      <c r="B1104" s="3" cm="1">
        <f t="array" ref="B1104">alea_date(Settings!$B$11,360,-1,Settings!$B$16)</f>
        <v>46202.333333333336</v>
      </c>
      <c r="C1104" s="20" cm="1">
        <f t="array" ref="C1104">B1104+TIME(alea_int(1,4,Settings!$B$16),0,0)</f>
        <v>46202.5</v>
      </c>
    </row>
    <row r="1105" spans="1:3" ht="15.75" customHeight="1" x14ac:dyDescent="0.25">
      <c r="A1105" s="2" t="str" cm="1">
        <f t="array" ref="A1105">choice(Salles!A:A,1,Settings!$B$16)</f>
        <v>Salle43</v>
      </c>
      <c r="B1105" s="3" cm="1">
        <f t="array" ref="B1105">alea_date(Settings!$B$11,360,-1,Settings!$B$16)</f>
        <v>46227.416666666664</v>
      </c>
      <c r="C1105" s="20" cm="1">
        <f t="array" ref="C1105">B1105+TIME(alea_int(1,4,Settings!$B$16),0,0)</f>
        <v>46227.583333333328</v>
      </c>
    </row>
    <row r="1106" spans="1:3" ht="15.75" customHeight="1" x14ac:dyDescent="0.25">
      <c r="A1106" s="2" t="str" cm="1">
        <f t="array" ref="A1106">choice(Salles!A:A,1,Settings!$B$16)</f>
        <v>Salle6</v>
      </c>
      <c r="B1106" s="3" cm="1">
        <f t="array" ref="B1106">alea_date(Settings!$B$11,360,-1,Settings!$B$16)</f>
        <v>46202.416666666664</v>
      </c>
      <c r="C1106" s="20" cm="1">
        <f t="array" ref="C1106">B1106+TIME(alea_int(1,4,Settings!$B$16),0,0)</f>
        <v>46202.583333333328</v>
      </c>
    </row>
    <row r="1107" spans="1:3" ht="15.75" customHeight="1" x14ac:dyDescent="0.25">
      <c r="A1107" s="2" t="str" cm="1">
        <f t="array" ref="A1107">choice(Salles!A:A,1,Settings!$B$16)</f>
        <v>Salle36</v>
      </c>
      <c r="B1107" s="3" cm="1">
        <f t="array" ref="B1107">alea_date(Settings!$B$11,360,-1,Settings!$B$16)</f>
        <v>46042.291666666664</v>
      </c>
      <c r="C1107" s="20" cm="1">
        <f t="array" ref="C1107">B1107+TIME(alea_int(1,4,Settings!$B$16),0,0)</f>
        <v>46042.458333333328</v>
      </c>
    </row>
    <row r="1108" spans="1:3" ht="15.75" customHeight="1" x14ac:dyDescent="0.25">
      <c r="A1108" s="2" t="str" cm="1">
        <f t="array" ref="A1108">choice(Salles!A:A,1,Settings!$B$16)</f>
        <v>Salle26</v>
      </c>
      <c r="B1108" s="3" cm="1">
        <f t="array" ref="B1108">alea_date(Settings!$B$11,360,-1,Settings!$B$16)</f>
        <v>46347.375</v>
      </c>
      <c r="C1108" s="20" cm="1">
        <f t="array" ref="C1108">B1108+TIME(alea_int(1,4,Settings!$B$16),0,0)</f>
        <v>46347.541666666664</v>
      </c>
    </row>
    <row r="1109" spans="1:3" ht="15.75" customHeight="1" x14ac:dyDescent="0.25">
      <c r="A1109" s="2" t="str" cm="1">
        <f t="array" ref="A1109">choice(Salles!A:A,1,Settings!$B$16)</f>
        <v>Salle1</v>
      </c>
      <c r="B1109" s="3" cm="1">
        <f t="array" ref="B1109">alea_date(Settings!$B$11,360,-1,Settings!$B$16)</f>
        <v>46310.625</v>
      </c>
      <c r="C1109" s="20" cm="1">
        <f t="array" ref="C1109">B1109+TIME(alea_int(1,4,Settings!$B$16),0,0)</f>
        <v>46310.791666666664</v>
      </c>
    </row>
    <row r="1110" spans="1:3" ht="15.75" customHeight="1" x14ac:dyDescent="0.25">
      <c r="A1110" s="2" t="str" cm="1">
        <f t="array" ref="A1110">choice(Salles!A:A,1,Settings!$B$16)</f>
        <v>Salle55</v>
      </c>
      <c r="B1110" s="3" cm="1">
        <f t="array" ref="B1110">alea_date(Settings!$B$11,360,-1,Settings!$B$16)</f>
        <v>46280.5</v>
      </c>
      <c r="C1110" s="20" cm="1">
        <f t="array" ref="C1110">B1110+TIME(alea_int(1,4,Settings!$B$16),0,0)</f>
        <v>46280.666666666664</v>
      </c>
    </row>
    <row r="1111" spans="1:3" ht="15.75" customHeight="1" x14ac:dyDescent="0.25">
      <c r="A1111" s="2" t="str" cm="1">
        <f t="array" ref="A1111">choice(Salles!A:A,1,Settings!$B$16)</f>
        <v>Salle2</v>
      </c>
      <c r="B1111" s="3" cm="1">
        <f t="array" ref="B1111">alea_date(Settings!$B$11,360,-1,Settings!$B$16)</f>
        <v>46234.291666666664</v>
      </c>
      <c r="C1111" s="20" cm="1">
        <f t="array" ref="C1111">B1111+TIME(alea_int(1,4,Settings!$B$16),0,0)</f>
        <v>46234.458333333328</v>
      </c>
    </row>
    <row r="1112" spans="1:3" ht="15.75" customHeight="1" x14ac:dyDescent="0.25">
      <c r="A1112" s="2" t="str" cm="1">
        <f t="array" ref="A1112">choice(Salles!A:A,1,Settings!$B$16)</f>
        <v>Salle63</v>
      </c>
      <c r="B1112" s="3" cm="1">
        <f t="array" ref="B1112">alea_date(Settings!$B$11,360,-1,Settings!$B$16)</f>
        <v>46366.583333333336</v>
      </c>
      <c r="C1112" s="20" cm="1">
        <f t="array" ref="C1112">B1112+TIME(alea_int(1,4,Settings!$B$16),0,0)</f>
        <v>46366.75</v>
      </c>
    </row>
    <row r="1113" spans="1:3" ht="15.75" customHeight="1" x14ac:dyDescent="0.25">
      <c r="A1113" s="2" t="str" cm="1">
        <f t="array" ref="A1113">choice(Salles!A:A,1,Settings!$B$16)</f>
        <v>Salle53</v>
      </c>
      <c r="B1113" s="3" cm="1">
        <f t="array" ref="B1113">alea_date(Settings!$B$11,360,-1,Settings!$B$16)</f>
        <v>46349.25</v>
      </c>
      <c r="C1113" s="20" cm="1">
        <f t="array" ref="C1113">B1113+TIME(alea_int(1,4,Settings!$B$16),0,0)</f>
        <v>46349.416666666664</v>
      </c>
    </row>
    <row r="1114" spans="1:3" ht="15.75" customHeight="1" x14ac:dyDescent="0.25">
      <c r="A1114" s="2" t="str" cm="1">
        <f t="array" ref="A1114">choice(Salles!A:A,1,Settings!$B$16)</f>
        <v>Salle7</v>
      </c>
      <c r="B1114" s="3" cm="1">
        <f t="array" ref="B1114">alea_date(Settings!$B$11,360,-1,Settings!$B$16)</f>
        <v>46290.583333333336</v>
      </c>
      <c r="C1114" s="20" cm="1">
        <f t="array" ref="C1114">B1114+TIME(alea_int(1,4,Settings!$B$16),0,0)</f>
        <v>46290.75</v>
      </c>
    </row>
    <row r="1115" spans="1:3" ht="15.75" customHeight="1" x14ac:dyDescent="0.25">
      <c r="A1115" s="2" t="str" cm="1">
        <f t="array" ref="A1115">choice(Salles!A:A,1,Settings!$B$16)</f>
        <v>Salle33</v>
      </c>
      <c r="B1115" s="3" cm="1">
        <f t="array" ref="B1115">alea_date(Settings!$B$11,360,-1,Settings!$B$16)</f>
        <v>46237.5</v>
      </c>
      <c r="C1115" s="20" cm="1">
        <f t="array" ref="C1115">B1115+TIME(alea_int(1,4,Settings!$B$16),0,0)</f>
        <v>46237.666666666664</v>
      </c>
    </row>
    <row r="1116" spans="1:3" ht="15.75" customHeight="1" x14ac:dyDescent="0.25">
      <c r="A1116" s="2" t="str" cm="1">
        <f t="array" ref="A1116">choice(Salles!A:A,1,Settings!$B$16)</f>
        <v>Salle50</v>
      </c>
      <c r="B1116" s="3" cm="1">
        <f t="array" ref="B1116">alea_date(Settings!$B$11,360,-1,Settings!$B$16)</f>
        <v>46375.625</v>
      </c>
      <c r="C1116" s="20" cm="1">
        <f t="array" ref="C1116">B1116+TIME(alea_int(1,4,Settings!$B$16),0,0)</f>
        <v>46375.791666666664</v>
      </c>
    </row>
    <row r="1117" spans="1:3" ht="15.75" customHeight="1" x14ac:dyDescent="0.25">
      <c r="A1117" s="2" t="str" cm="1">
        <f t="array" ref="A1117">choice(Salles!A:A,1,Settings!$B$16)</f>
        <v>Salle67</v>
      </c>
      <c r="B1117" s="3" cm="1">
        <f t="array" ref="B1117">alea_date(Settings!$B$11,360,-1,Settings!$B$16)</f>
        <v>46120.583333333336</v>
      </c>
      <c r="C1117" s="20" cm="1">
        <f t="array" ref="C1117">B1117+TIME(alea_int(1,4,Settings!$B$16),0,0)</f>
        <v>46120.75</v>
      </c>
    </row>
    <row r="1118" spans="1:3" ht="15.75" customHeight="1" x14ac:dyDescent="0.25">
      <c r="A1118" s="2" t="str" cm="1">
        <f t="array" ref="A1118">choice(Salles!A:A,1,Settings!$B$16)</f>
        <v>Salle28</v>
      </c>
      <c r="B1118" s="3" cm="1">
        <f t="array" ref="B1118">alea_date(Settings!$B$11,360,-1,Settings!$B$16)</f>
        <v>46205.416666666664</v>
      </c>
      <c r="C1118" s="20" cm="1">
        <f t="array" ref="C1118">B1118+TIME(alea_int(1,4,Settings!$B$16),0,0)</f>
        <v>46205.583333333328</v>
      </c>
    </row>
    <row r="1119" spans="1:3" ht="15.75" customHeight="1" x14ac:dyDescent="0.25">
      <c r="A1119" s="2" t="str" cm="1">
        <f t="array" ref="A1119">choice(Salles!A:A,1,Settings!$B$16)</f>
        <v>Salle2</v>
      </c>
      <c r="B1119" s="3" cm="1">
        <f t="array" ref="B1119">alea_date(Settings!$B$11,360,-1,Settings!$B$16)</f>
        <v>46352.5</v>
      </c>
      <c r="C1119" s="20" cm="1">
        <f t="array" ref="C1119">B1119+TIME(alea_int(1,4,Settings!$B$16),0,0)</f>
        <v>46352.666666666664</v>
      </c>
    </row>
    <row r="1120" spans="1:3" ht="15.75" customHeight="1" x14ac:dyDescent="0.25">
      <c r="A1120" s="2" t="str" cm="1">
        <f t="array" ref="A1120">choice(Salles!A:A,1,Settings!$B$16)</f>
        <v>Salle42</v>
      </c>
      <c r="B1120" s="3" cm="1">
        <f t="array" ref="B1120">alea_date(Settings!$B$11,360,-1,Settings!$B$16)</f>
        <v>46354.541666666664</v>
      </c>
      <c r="C1120" s="20" cm="1">
        <f t="array" ref="C1120">B1120+TIME(alea_int(1,4,Settings!$B$16),0,0)</f>
        <v>46354.708333333328</v>
      </c>
    </row>
    <row r="1121" spans="1:3" ht="15.75" customHeight="1" x14ac:dyDescent="0.25">
      <c r="A1121" s="2" t="str" cm="1">
        <f t="array" ref="A1121">choice(Salles!A:A,1,Settings!$B$16)</f>
        <v>Salle26</v>
      </c>
      <c r="B1121" s="3" cm="1">
        <f t="array" ref="B1121">alea_date(Settings!$B$11,360,-1,Settings!$B$16)</f>
        <v>46206.583333333336</v>
      </c>
      <c r="C1121" s="20" cm="1">
        <f t="array" ref="C1121">B1121+TIME(alea_int(1,4,Settings!$B$16),0,0)</f>
        <v>46206.75</v>
      </c>
    </row>
    <row r="1122" spans="1:3" ht="15.75" customHeight="1" x14ac:dyDescent="0.25">
      <c r="A1122" s="2" t="str" cm="1">
        <f t="array" ref="A1122">choice(Salles!A:A,1,Settings!$B$16)</f>
        <v>Salle59</v>
      </c>
      <c r="B1122" s="3" cm="1">
        <f t="array" ref="B1122">alea_date(Settings!$B$11,360,-1,Settings!$B$16)</f>
        <v>46064.583333333336</v>
      </c>
      <c r="C1122" s="20" cm="1">
        <f t="array" ref="C1122">B1122+TIME(alea_int(1,4,Settings!$B$16),0,0)</f>
        <v>46064.75</v>
      </c>
    </row>
    <row r="1123" spans="1:3" ht="15.75" customHeight="1" x14ac:dyDescent="0.25">
      <c r="A1123" s="2" t="str" cm="1">
        <f t="array" ref="A1123">choice(Salles!A:A,1,Settings!$B$16)</f>
        <v>Salle41</v>
      </c>
      <c r="B1123" s="3" cm="1">
        <f t="array" ref="B1123">alea_date(Settings!$B$11,360,-1,Settings!$B$16)</f>
        <v>46120.416666666664</v>
      </c>
      <c r="C1123" s="20" cm="1">
        <f t="array" ref="C1123">B1123+TIME(alea_int(1,4,Settings!$B$16),0,0)</f>
        <v>46120.583333333328</v>
      </c>
    </row>
    <row r="1124" spans="1:3" ht="15.75" customHeight="1" x14ac:dyDescent="0.25">
      <c r="A1124" s="2" t="str" cm="1">
        <f t="array" ref="A1124">choice(Salles!A:A,1,Settings!$B$16)</f>
        <v>Salle30</v>
      </c>
      <c r="B1124" s="3" cm="1">
        <f t="array" ref="B1124">alea_date(Settings!$B$11,360,-1,Settings!$B$16)</f>
        <v>46277.375</v>
      </c>
      <c r="C1124" s="20" cm="1">
        <f t="array" ref="C1124">B1124+TIME(alea_int(1,4,Settings!$B$16),0,0)</f>
        <v>46277.541666666664</v>
      </c>
    </row>
    <row r="1125" spans="1:3" ht="15.75" customHeight="1" x14ac:dyDescent="0.25">
      <c r="A1125" s="2" t="str" cm="1">
        <f t="array" ref="A1125">choice(Salles!A:A,1,Settings!$B$16)</f>
        <v>Salle57</v>
      </c>
      <c r="B1125" s="3" cm="1">
        <f t="array" ref="B1125">alea_date(Settings!$B$11,360,-1,Settings!$B$16)</f>
        <v>46164.291666666664</v>
      </c>
      <c r="C1125" s="20" cm="1">
        <f t="array" ref="C1125">B1125+TIME(alea_int(1,4,Settings!$B$16),0,0)</f>
        <v>46164.458333333328</v>
      </c>
    </row>
    <row r="1126" spans="1:3" ht="15.75" customHeight="1" x14ac:dyDescent="0.25">
      <c r="A1126" s="2" t="str" cm="1">
        <f t="array" ref="A1126">choice(Salles!A:A,1,Settings!$B$16)</f>
        <v>Salle11</v>
      </c>
      <c r="B1126" s="3" cm="1">
        <f t="array" ref="B1126">alea_date(Settings!$B$11,360,-1,Settings!$B$16)</f>
        <v>46286.458333333336</v>
      </c>
      <c r="C1126" s="20" cm="1">
        <f t="array" ref="C1126">B1126+TIME(alea_int(1,4,Settings!$B$16),0,0)</f>
        <v>46286.625</v>
      </c>
    </row>
    <row r="1127" spans="1:3" ht="15.75" customHeight="1" x14ac:dyDescent="0.25">
      <c r="A1127" s="2" t="str" cm="1">
        <f t="array" ref="A1127">choice(Salles!A:A,1,Settings!$B$16)</f>
        <v>Salle56</v>
      </c>
      <c r="B1127" s="3" cm="1">
        <f t="array" ref="B1127">alea_date(Settings!$B$11,360,-1,Settings!$B$16)</f>
        <v>46336.541666666664</v>
      </c>
      <c r="C1127" s="20" cm="1">
        <f t="array" ref="C1127">B1127+TIME(alea_int(1,4,Settings!$B$16),0,0)</f>
        <v>46336.708333333328</v>
      </c>
    </row>
    <row r="1128" spans="1:3" ht="15.75" customHeight="1" x14ac:dyDescent="0.25">
      <c r="A1128" s="2" t="str" cm="1">
        <f t="array" ref="A1128">choice(Salles!A:A,1,Settings!$B$16)</f>
        <v>Salle20</v>
      </c>
      <c r="B1128" s="3" cm="1">
        <f t="array" ref="B1128">alea_date(Settings!$B$11,360,-1,Settings!$B$16)</f>
        <v>46330.458333333336</v>
      </c>
      <c r="C1128" s="20" cm="1">
        <f t="array" ref="C1128">B1128+TIME(alea_int(1,4,Settings!$B$16),0,0)</f>
        <v>46330.625</v>
      </c>
    </row>
    <row r="1129" spans="1:3" ht="15.75" customHeight="1" x14ac:dyDescent="0.25">
      <c r="A1129" s="2" t="str" cm="1">
        <f t="array" ref="A1129">choice(Salles!A:A,1,Settings!$B$16)</f>
        <v>Salle16</v>
      </c>
      <c r="B1129" s="3" cm="1">
        <f t="array" ref="B1129">alea_date(Settings!$B$11,360,-1,Settings!$B$16)</f>
        <v>46037.625</v>
      </c>
      <c r="C1129" s="20" cm="1">
        <f t="array" ref="C1129">B1129+TIME(alea_int(1,4,Settings!$B$16),0,0)</f>
        <v>46037.791666666664</v>
      </c>
    </row>
    <row r="1130" spans="1:3" ht="15.75" customHeight="1" x14ac:dyDescent="0.25">
      <c r="A1130" s="2" t="str" cm="1">
        <f t="array" ref="A1130">choice(Salles!A:A,1,Settings!$B$16)</f>
        <v>Salle50</v>
      </c>
      <c r="B1130" s="3" cm="1">
        <f t="array" ref="B1130">alea_date(Settings!$B$11,360,-1,Settings!$B$16)</f>
        <v>46091.291666666664</v>
      </c>
      <c r="C1130" s="20" cm="1">
        <f t="array" ref="C1130">B1130+TIME(alea_int(1,4,Settings!$B$16),0,0)</f>
        <v>46091.458333333328</v>
      </c>
    </row>
    <row r="1131" spans="1:3" ht="15.75" customHeight="1" x14ac:dyDescent="0.25">
      <c r="A1131" s="2" t="str" cm="1">
        <f t="array" ref="A1131">choice(Salles!A:A,1,Settings!$B$16)</f>
        <v>Salle19</v>
      </c>
      <c r="B1131" s="3" cm="1">
        <f t="array" ref="B1131">alea_date(Settings!$B$11,360,-1,Settings!$B$16)</f>
        <v>46130.541666666664</v>
      </c>
      <c r="C1131" s="20" cm="1">
        <f t="array" ref="C1131">B1131+TIME(alea_int(1,4,Settings!$B$16),0,0)</f>
        <v>46130.708333333328</v>
      </c>
    </row>
    <row r="1132" spans="1:3" ht="15.75" customHeight="1" x14ac:dyDescent="0.25">
      <c r="A1132" s="2" t="str" cm="1">
        <f t="array" ref="A1132">choice(Salles!A:A,1,Settings!$B$16)</f>
        <v>Salle53</v>
      </c>
      <c r="B1132" s="3" cm="1">
        <f t="array" ref="B1132">alea_date(Settings!$B$11,360,-1,Settings!$B$16)</f>
        <v>46236.416666666664</v>
      </c>
      <c r="C1132" s="20" cm="1">
        <f t="array" ref="C1132">B1132+TIME(alea_int(1,4,Settings!$B$16),0,0)</f>
        <v>46236.583333333328</v>
      </c>
    </row>
    <row r="1133" spans="1:3" ht="15.75" customHeight="1" x14ac:dyDescent="0.25">
      <c r="A1133" s="2" t="str" cm="1">
        <f t="array" ref="A1133">choice(Salles!A:A,1,Settings!$B$16)</f>
        <v>Salle55</v>
      </c>
      <c r="B1133" s="3" cm="1">
        <f t="array" ref="B1133">alea_date(Settings!$B$11,360,-1,Settings!$B$16)</f>
        <v>46087.541666666664</v>
      </c>
      <c r="C1133" s="20" cm="1">
        <f t="array" ref="C1133">B1133+TIME(alea_int(1,4,Settings!$B$16),0,0)</f>
        <v>46087.708333333328</v>
      </c>
    </row>
    <row r="1134" spans="1:3" ht="15.75" customHeight="1" x14ac:dyDescent="0.25">
      <c r="A1134" s="2" t="str" cm="1">
        <f t="array" ref="A1134">choice(Salles!A:A,1,Settings!$B$16)</f>
        <v>Salle15</v>
      </c>
      <c r="B1134" s="3" cm="1">
        <f t="array" ref="B1134">alea_date(Settings!$B$11,360,-1,Settings!$B$16)</f>
        <v>46096.625</v>
      </c>
      <c r="C1134" s="20" cm="1">
        <f t="array" ref="C1134">B1134+TIME(alea_int(1,4,Settings!$B$16),0,0)</f>
        <v>46096.791666666664</v>
      </c>
    </row>
    <row r="1135" spans="1:3" ht="15.75" customHeight="1" x14ac:dyDescent="0.25">
      <c r="A1135" s="2" t="str" cm="1">
        <f t="array" ref="A1135">choice(Salles!A:A,1,Settings!$B$16)</f>
        <v>Salle4</v>
      </c>
      <c r="B1135" s="3" cm="1">
        <f t="array" ref="B1135">alea_date(Settings!$B$11,360,-1,Settings!$B$16)</f>
        <v>46066.375</v>
      </c>
      <c r="C1135" s="20" cm="1">
        <f t="array" ref="C1135">B1135+TIME(alea_int(1,4,Settings!$B$16),0,0)</f>
        <v>46066.541666666664</v>
      </c>
    </row>
    <row r="1136" spans="1:3" ht="15.75" customHeight="1" x14ac:dyDescent="0.25">
      <c r="A1136" s="2" t="str" cm="1">
        <f t="array" ref="A1136">choice(Salles!A:A,1,Settings!$B$16)</f>
        <v>Salle2</v>
      </c>
      <c r="B1136" s="3" cm="1">
        <f t="array" ref="B1136">alea_date(Settings!$B$11,360,-1,Settings!$B$16)</f>
        <v>46023.375</v>
      </c>
      <c r="C1136" s="20" cm="1">
        <f t="array" ref="C1136">B1136+TIME(alea_int(1,4,Settings!$B$16),0,0)</f>
        <v>46023.541666666664</v>
      </c>
    </row>
    <row r="1137" spans="1:3" ht="15.75" customHeight="1" x14ac:dyDescent="0.25">
      <c r="A1137" s="2" t="str" cm="1">
        <f t="array" ref="A1137">choice(Salles!A:A,1,Settings!$B$16)</f>
        <v>Salle42</v>
      </c>
      <c r="B1137" s="3" cm="1">
        <f t="array" ref="B1137">alea_date(Settings!$B$11,360,-1,Settings!$B$16)</f>
        <v>46340.625</v>
      </c>
      <c r="C1137" s="20" cm="1">
        <f t="array" ref="C1137">B1137+TIME(alea_int(1,4,Settings!$B$16),0,0)</f>
        <v>46340.791666666664</v>
      </c>
    </row>
    <row r="1138" spans="1:3" ht="15.75" customHeight="1" x14ac:dyDescent="0.25">
      <c r="A1138" s="2" t="str" cm="1">
        <f t="array" ref="A1138">choice(Salles!A:A,1,Settings!$B$16)</f>
        <v>Salle62</v>
      </c>
      <c r="B1138" s="3" cm="1">
        <f t="array" ref="B1138">alea_date(Settings!$B$11,360,-1,Settings!$B$16)</f>
        <v>46239.416666666664</v>
      </c>
      <c r="C1138" s="20" cm="1">
        <f t="array" ref="C1138">B1138+TIME(alea_int(1,4,Settings!$B$16),0,0)</f>
        <v>46239.583333333328</v>
      </c>
    </row>
    <row r="1139" spans="1:3" ht="15.75" customHeight="1" x14ac:dyDescent="0.25">
      <c r="A1139" s="2" t="str" cm="1">
        <f t="array" ref="A1139">choice(Salles!A:A,1,Settings!$B$16)</f>
        <v>Salle48</v>
      </c>
      <c r="B1139" s="3" cm="1">
        <f t="array" ref="B1139">alea_date(Settings!$B$11,360,-1,Settings!$B$16)</f>
        <v>46234.541666666664</v>
      </c>
      <c r="C1139" s="20" cm="1">
        <f t="array" ref="C1139">B1139+TIME(alea_int(1,4,Settings!$B$16),0,0)</f>
        <v>46234.708333333328</v>
      </c>
    </row>
    <row r="1140" spans="1:3" ht="15.75" customHeight="1" x14ac:dyDescent="0.25">
      <c r="A1140" s="2" t="str" cm="1">
        <f t="array" ref="A1140">choice(Salles!A:A,1,Settings!$B$16)</f>
        <v>Salle68</v>
      </c>
      <c r="B1140" s="3" cm="1">
        <f t="array" ref="B1140">alea_date(Settings!$B$11,360,-1,Settings!$B$16)</f>
        <v>46244.541666666664</v>
      </c>
      <c r="C1140" s="20" cm="1">
        <f t="array" ref="C1140">B1140+TIME(alea_int(1,4,Settings!$B$16),0,0)</f>
        <v>46244.708333333328</v>
      </c>
    </row>
    <row r="1141" spans="1:3" ht="15.75" customHeight="1" x14ac:dyDescent="0.25">
      <c r="A1141" s="2" t="str" cm="1">
        <f t="array" ref="A1141">choice(Salles!A:A,1,Settings!$B$16)</f>
        <v>Salle25</v>
      </c>
      <c r="B1141" s="3" cm="1">
        <f t="array" ref="B1141">alea_date(Settings!$B$11,360,-1,Settings!$B$16)</f>
        <v>46175.333333333336</v>
      </c>
      <c r="C1141" s="20" cm="1">
        <f t="array" ref="C1141">B1141+TIME(alea_int(1,4,Settings!$B$16),0,0)</f>
        <v>46175.5</v>
      </c>
    </row>
    <row r="1142" spans="1:3" ht="15.75" customHeight="1" x14ac:dyDescent="0.25">
      <c r="A1142" s="2" t="str" cm="1">
        <f t="array" ref="A1142">choice(Salles!A:A,1,Settings!$B$16)</f>
        <v>Salle66</v>
      </c>
      <c r="B1142" s="3" cm="1">
        <f t="array" ref="B1142">alea_date(Settings!$B$11,360,-1,Settings!$B$16)</f>
        <v>46375.416666666664</v>
      </c>
      <c r="C1142" s="20" cm="1">
        <f t="array" ref="C1142">B1142+TIME(alea_int(1,4,Settings!$B$16),0,0)</f>
        <v>46375.583333333328</v>
      </c>
    </row>
    <row r="1143" spans="1:3" ht="15.75" customHeight="1" x14ac:dyDescent="0.25">
      <c r="A1143" s="2" t="str" cm="1">
        <f t="array" ref="A1143">choice(Salles!A:A,1,Settings!$B$16)</f>
        <v>Salle28</v>
      </c>
      <c r="B1143" s="3" cm="1">
        <f t="array" ref="B1143">alea_date(Settings!$B$11,360,-1,Settings!$B$16)</f>
        <v>46125.625</v>
      </c>
      <c r="C1143" s="20" cm="1">
        <f t="array" ref="C1143">B1143+TIME(alea_int(1,4,Settings!$B$16),0,0)</f>
        <v>46125.791666666664</v>
      </c>
    </row>
    <row r="1144" spans="1:3" ht="15.75" customHeight="1" x14ac:dyDescent="0.25">
      <c r="A1144" s="2" t="str" cm="1">
        <f t="array" ref="A1144">choice(Salles!A:A,1,Settings!$B$16)</f>
        <v>Salle43</v>
      </c>
      <c r="B1144" s="3" cm="1">
        <f t="array" ref="B1144">alea_date(Settings!$B$11,360,-1,Settings!$B$16)</f>
        <v>46356.375</v>
      </c>
      <c r="C1144" s="20" cm="1">
        <f t="array" ref="C1144">B1144+TIME(alea_int(1,4,Settings!$B$16),0,0)</f>
        <v>46356.541666666664</v>
      </c>
    </row>
    <row r="1145" spans="1:3" ht="15.75" customHeight="1" x14ac:dyDescent="0.25">
      <c r="A1145" s="2" t="str" cm="1">
        <f t="array" ref="A1145">choice(Salles!A:A,1,Settings!$B$16)</f>
        <v>Salle51</v>
      </c>
      <c r="B1145" s="3" cm="1">
        <f t="array" ref="B1145">alea_date(Settings!$B$11,360,-1,Settings!$B$16)</f>
        <v>46261.333333333336</v>
      </c>
      <c r="C1145" s="20" cm="1">
        <f t="array" ref="C1145">B1145+TIME(alea_int(1,4,Settings!$B$16),0,0)</f>
        <v>46261.5</v>
      </c>
    </row>
    <row r="1146" spans="1:3" ht="15.75" customHeight="1" x14ac:dyDescent="0.25">
      <c r="A1146" s="2" t="str" cm="1">
        <f t="array" ref="A1146">choice(Salles!A:A,1,Settings!$B$16)</f>
        <v>Salle46</v>
      </c>
      <c r="B1146" s="3" cm="1">
        <f t="array" ref="B1146">alea_date(Settings!$B$11,360,-1,Settings!$B$16)</f>
        <v>46137.5</v>
      </c>
      <c r="C1146" s="20" cm="1">
        <f t="array" ref="C1146">B1146+TIME(alea_int(1,4,Settings!$B$16),0,0)</f>
        <v>46137.666666666664</v>
      </c>
    </row>
    <row r="1147" spans="1:3" ht="15.75" customHeight="1" x14ac:dyDescent="0.25">
      <c r="A1147" s="2" t="str" cm="1">
        <f t="array" ref="A1147">choice(Salles!A:A,1,Settings!$B$16)</f>
        <v>Salle29</v>
      </c>
      <c r="B1147" s="3" cm="1">
        <f t="array" ref="B1147">alea_date(Settings!$B$11,360,-1,Settings!$B$16)</f>
        <v>46046.333333333336</v>
      </c>
      <c r="C1147" s="20" cm="1">
        <f t="array" ref="C1147">B1147+TIME(alea_int(1,4,Settings!$B$16),0,0)</f>
        <v>46046.5</v>
      </c>
    </row>
    <row r="1148" spans="1:3" ht="15.75" customHeight="1" x14ac:dyDescent="0.25">
      <c r="A1148" s="2" t="str" cm="1">
        <f t="array" ref="A1148">choice(Salles!A:A,1,Settings!$B$16)</f>
        <v>Salle23</v>
      </c>
      <c r="B1148" s="3" cm="1">
        <f t="array" ref="B1148">alea_date(Settings!$B$11,360,-1,Settings!$B$16)</f>
        <v>46032.416666666664</v>
      </c>
      <c r="C1148" s="20" cm="1">
        <f t="array" ref="C1148">B1148+TIME(alea_int(1,4,Settings!$B$16),0,0)</f>
        <v>46032.583333333328</v>
      </c>
    </row>
    <row r="1149" spans="1:3" ht="15.75" customHeight="1" x14ac:dyDescent="0.25">
      <c r="A1149" s="2" t="str" cm="1">
        <f t="array" ref="A1149">choice(Salles!A:A,1,Settings!$B$16)</f>
        <v>Salle40</v>
      </c>
      <c r="B1149" s="3" cm="1">
        <f t="array" ref="B1149">alea_date(Settings!$B$11,360,-1,Settings!$B$16)</f>
        <v>46051.583333333336</v>
      </c>
      <c r="C1149" s="20" cm="1">
        <f t="array" ref="C1149">B1149+TIME(alea_int(1,4,Settings!$B$16),0,0)</f>
        <v>46051.75</v>
      </c>
    </row>
    <row r="1150" spans="1:3" ht="15.75" customHeight="1" x14ac:dyDescent="0.25">
      <c r="A1150" s="2" t="str" cm="1">
        <f t="array" ref="A1150">choice(Salles!A:A,1,Settings!$B$16)</f>
        <v>Salle61</v>
      </c>
      <c r="B1150" s="3" cm="1">
        <f t="array" ref="B1150">alea_date(Settings!$B$11,360,-1,Settings!$B$16)</f>
        <v>46311.291666666664</v>
      </c>
      <c r="C1150" s="20" cm="1">
        <f t="array" ref="C1150">B1150+TIME(alea_int(1,4,Settings!$B$16),0,0)</f>
        <v>46311.458333333328</v>
      </c>
    </row>
    <row r="1151" spans="1:3" ht="15.75" customHeight="1" x14ac:dyDescent="0.25">
      <c r="A1151" s="2" t="str" cm="1">
        <f t="array" ref="A1151">choice(Salles!A:A,1,Settings!$B$16)</f>
        <v>Salle2</v>
      </c>
      <c r="B1151" s="3" cm="1">
        <f t="array" ref="B1151">alea_date(Settings!$B$11,360,-1,Settings!$B$16)</f>
        <v>46100.458333333336</v>
      </c>
      <c r="C1151" s="20" cm="1">
        <f t="array" ref="C1151">B1151+TIME(alea_int(1,4,Settings!$B$16),0,0)</f>
        <v>46100.625</v>
      </c>
    </row>
    <row r="1152" spans="1:3" ht="15.75" customHeight="1" x14ac:dyDescent="0.25">
      <c r="A1152" s="2" t="str" cm="1">
        <f t="array" ref="A1152">choice(Salles!A:A,1,Settings!$B$16)</f>
        <v>Salle8</v>
      </c>
      <c r="B1152" s="3" cm="1">
        <f t="array" ref="B1152">alea_date(Settings!$B$11,360,-1,Settings!$B$16)</f>
        <v>46297.458333333336</v>
      </c>
      <c r="C1152" s="20" cm="1">
        <f t="array" ref="C1152">B1152+TIME(alea_int(1,4,Settings!$B$16),0,0)</f>
        <v>46297.625</v>
      </c>
    </row>
    <row r="1153" spans="1:3" ht="15.75" customHeight="1" x14ac:dyDescent="0.25">
      <c r="A1153" s="2" t="str" cm="1">
        <f t="array" ref="A1153">choice(Salles!A:A,1,Settings!$B$16)</f>
        <v>Salle27</v>
      </c>
      <c r="B1153" s="3" cm="1">
        <f t="array" ref="B1153">alea_date(Settings!$B$11,360,-1,Settings!$B$16)</f>
        <v>46180.333333333336</v>
      </c>
      <c r="C1153" s="20" cm="1">
        <f t="array" ref="C1153">B1153+TIME(alea_int(1,4,Settings!$B$16),0,0)</f>
        <v>46180.5</v>
      </c>
    </row>
    <row r="1154" spans="1:3" ht="15.75" customHeight="1" x14ac:dyDescent="0.25">
      <c r="A1154" s="2" t="str" cm="1">
        <f t="array" ref="A1154">choice(Salles!A:A,1,Settings!$B$16)</f>
        <v>Salle12</v>
      </c>
      <c r="B1154" s="3" cm="1">
        <f t="array" ref="B1154">alea_date(Settings!$B$11,360,-1,Settings!$B$16)</f>
        <v>46291.625</v>
      </c>
      <c r="C1154" s="20" cm="1">
        <f t="array" ref="C1154">B1154+TIME(alea_int(1,4,Settings!$B$16),0,0)</f>
        <v>46291.791666666664</v>
      </c>
    </row>
    <row r="1155" spans="1:3" ht="15.75" customHeight="1" x14ac:dyDescent="0.25">
      <c r="A1155" s="2" t="str" cm="1">
        <f t="array" ref="A1155">choice(Salles!A:A,1,Settings!$B$16)</f>
        <v>Salle29</v>
      </c>
      <c r="B1155" s="3" cm="1">
        <f t="array" ref="B1155">alea_date(Settings!$B$11,360,-1,Settings!$B$16)</f>
        <v>46292.416666666664</v>
      </c>
      <c r="C1155" s="20" cm="1">
        <f t="array" ref="C1155">B1155+TIME(alea_int(1,4,Settings!$B$16),0,0)</f>
        <v>46292.583333333328</v>
      </c>
    </row>
    <row r="1156" spans="1:3" ht="15.75" customHeight="1" x14ac:dyDescent="0.25">
      <c r="A1156" s="2" t="str" cm="1">
        <f t="array" ref="A1156">choice(Salles!A:A,1,Settings!$B$16)</f>
        <v>Salle23</v>
      </c>
      <c r="B1156" s="3" cm="1">
        <f t="array" ref="B1156">alea_date(Settings!$B$11,360,-1,Settings!$B$16)</f>
        <v>46213.25</v>
      </c>
      <c r="C1156" s="20" cm="1">
        <f t="array" ref="C1156">B1156+TIME(alea_int(1,4,Settings!$B$16),0,0)</f>
        <v>46213.416666666664</v>
      </c>
    </row>
    <row r="1157" spans="1:3" ht="15.75" customHeight="1" x14ac:dyDescent="0.25">
      <c r="A1157" s="2" t="str" cm="1">
        <f t="array" ref="A1157">choice(Salles!A:A,1,Settings!$B$16)</f>
        <v>Salle15</v>
      </c>
      <c r="B1157" s="3" cm="1">
        <f t="array" ref="B1157">alea_date(Settings!$B$11,360,-1,Settings!$B$16)</f>
        <v>46291.541666666664</v>
      </c>
      <c r="C1157" s="20" cm="1">
        <f t="array" ref="C1157">B1157+TIME(alea_int(1,4,Settings!$B$16),0,0)</f>
        <v>46291.708333333328</v>
      </c>
    </row>
    <row r="1158" spans="1:3" ht="15.75" customHeight="1" x14ac:dyDescent="0.25">
      <c r="A1158" s="2" t="str" cm="1">
        <f t="array" ref="A1158">choice(Salles!A:A,1,Settings!$B$16)</f>
        <v>Salle5</v>
      </c>
      <c r="B1158" s="3" cm="1">
        <f t="array" ref="B1158">alea_date(Settings!$B$11,360,-1,Settings!$B$16)</f>
        <v>46225.625</v>
      </c>
      <c r="C1158" s="20" cm="1">
        <f t="array" ref="C1158">B1158+TIME(alea_int(1,4,Settings!$B$16),0,0)</f>
        <v>46225.791666666664</v>
      </c>
    </row>
    <row r="1159" spans="1:3" ht="15.75" customHeight="1" x14ac:dyDescent="0.25">
      <c r="A1159" s="2" t="str" cm="1">
        <f t="array" ref="A1159">choice(Salles!A:A,1,Settings!$B$16)</f>
        <v>Salle28</v>
      </c>
      <c r="B1159" s="3" cm="1">
        <f t="array" ref="B1159">alea_date(Settings!$B$11,360,-1,Settings!$B$16)</f>
        <v>46084.333333333336</v>
      </c>
      <c r="C1159" s="20" cm="1">
        <f t="array" ref="C1159">B1159+TIME(alea_int(1,4,Settings!$B$16),0,0)</f>
        <v>46084.5</v>
      </c>
    </row>
    <row r="1160" spans="1:3" ht="15.75" customHeight="1" x14ac:dyDescent="0.25">
      <c r="A1160" s="2" t="str" cm="1">
        <f t="array" ref="A1160">choice(Salles!A:A,1,Settings!$B$16)</f>
        <v>Salle3</v>
      </c>
      <c r="B1160" s="3" cm="1">
        <f t="array" ref="B1160">alea_date(Settings!$B$11,360,-1,Settings!$B$16)</f>
        <v>46061.333333333336</v>
      </c>
      <c r="C1160" s="20" cm="1">
        <f t="array" ref="C1160">B1160+TIME(alea_int(1,4,Settings!$B$16),0,0)</f>
        <v>46061.5</v>
      </c>
    </row>
    <row r="1161" spans="1:3" ht="15.75" customHeight="1" x14ac:dyDescent="0.25">
      <c r="A1161" s="2" t="str" cm="1">
        <f t="array" ref="A1161">choice(Salles!A:A,1,Settings!$B$16)</f>
        <v>Salle48</v>
      </c>
      <c r="B1161" s="3" cm="1">
        <f t="array" ref="B1161">alea_date(Settings!$B$11,360,-1,Settings!$B$16)</f>
        <v>46373.291666666664</v>
      </c>
      <c r="C1161" s="20" cm="1">
        <f t="array" ref="C1161">B1161+TIME(alea_int(1,4,Settings!$B$16),0,0)</f>
        <v>46373.458333333328</v>
      </c>
    </row>
    <row r="1162" spans="1:3" ht="15.75" customHeight="1" x14ac:dyDescent="0.25">
      <c r="A1162" s="2" t="str" cm="1">
        <f t="array" ref="A1162">choice(Salles!A:A,1,Settings!$B$16)</f>
        <v>Salle20</v>
      </c>
      <c r="B1162" s="3" cm="1">
        <f t="array" ref="B1162">alea_date(Settings!$B$11,360,-1,Settings!$B$16)</f>
        <v>46295.416666666664</v>
      </c>
      <c r="C1162" s="20" cm="1">
        <f t="array" ref="C1162">B1162+TIME(alea_int(1,4,Settings!$B$16),0,0)</f>
        <v>46295.583333333328</v>
      </c>
    </row>
    <row r="1163" spans="1:3" ht="15.75" customHeight="1" x14ac:dyDescent="0.25">
      <c r="A1163" s="2" t="str" cm="1">
        <f t="array" ref="A1163">choice(Salles!A:A,1,Settings!$B$16)</f>
        <v>Salle44</v>
      </c>
      <c r="B1163" s="3" cm="1">
        <f t="array" ref="B1163">alea_date(Settings!$B$11,360,-1,Settings!$B$16)</f>
        <v>46359.458333333336</v>
      </c>
      <c r="C1163" s="20" cm="1">
        <f t="array" ref="C1163">B1163+TIME(alea_int(1,4,Settings!$B$16),0,0)</f>
        <v>46359.625</v>
      </c>
    </row>
    <row r="1164" spans="1:3" ht="15.75" customHeight="1" x14ac:dyDescent="0.25">
      <c r="A1164" s="2" t="str" cm="1">
        <f t="array" ref="A1164">choice(Salles!A:A,1,Settings!$B$16)</f>
        <v>Salle40</v>
      </c>
      <c r="B1164" s="3" cm="1">
        <f t="array" ref="B1164">alea_date(Settings!$B$11,360,-1,Settings!$B$16)</f>
        <v>46360.541666666664</v>
      </c>
      <c r="C1164" s="20" cm="1">
        <f t="array" ref="C1164">B1164+TIME(alea_int(1,4,Settings!$B$16),0,0)</f>
        <v>46360.708333333328</v>
      </c>
    </row>
    <row r="1165" spans="1:3" ht="15.75" customHeight="1" x14ac:dyDescent="0.25">
      <c r="A1165" s="2" t="str" cm="1">
        <f t="array" ref="A1165">choice(Salles!A:A,1,Settings!$B$16)</f>
        <v>Salle58</v>
      </c>
      <c r="B1165" s="3" cm="1">
        <f t="array" ref="B1165">alea_date(Settings!$B$11,360,-1,Settings!$B$16)</f>
        <v>46243.458333333336</v>
      </c>
      <c r="C1165" s="20" cm="1">
        <f t="array" ref="C1165">B1165+TIME(alea_int(1,4,Settings!$B$16),0,0)</f>
        <v>46243.625</v>
      </c>
    </row>
    <row r="1166" spans="1:3" ht="15.75" customHeight="1" x14ac:dyDescent="0.25">
      <c r="A1166" s="2" t="str" cm="1">
        <f t="array" ref="A1166">choice(Salles!A:A,1,Settings!$B$16)</f>
        <v>Salle34</v>
      </c>
      <c r="B1166" s="3" cm="1">
        <f t="array" ref="B1166">alea_date(Settings!$B$11,360,-1,Settings!$B$16)</f>
        <v>46181.291666666664</v>
      </c>
      <c r="C1166" s="20" cm="1">
        <f t="array" ref="C1166">B1166+TIME(alea_int(1,4,Settings!$B$16),0,0)</f>
        <v>46181.458333333328</v>
      </c>
    </row>
    <row r="1167" spans="1:3" ht="15.75" customHeight="1" x14ac:dyDescent="0.25">
      <c r="A1167" s="2" t="str" cm="1">
        <f t="array" ref="A1167">choice(Salles!A:A,1,Settings!$B$16)</f>
        <v>Salle32</v>
      </c>
      <c r="B1167" s="3" cm="1">
        <f t="array" ref="B1167">alea_date(Settings!$B$11,360,-1,Settings!$B$16)</f>
        <v>46381.416666666664</v>
      </c>
      <c r="C1167" s="20" cm="1">
        <f t="array" ref="C1167">B1167+TIME(alea_int(1,4,Settings!$B$16),0,0)</f>
        <v>46381.583333333328</v>
      </c>
    </row>
    <row r="1168" spans="1:3" ht="15.75" customHeight="1" x14ac:dyDescent="0.25">
      <c r="A1168" s="2" t="str" cm="1">
        <f t="array" ref="A1168">choice(Salles!A:A,1,Settings!$B$16)</f>
        <v>Salle68</v>
      </c>
      <c r="B1168" s="3" cm="1">
        <f t="array" ref="B1168">alea_date(Settings!$B$11,360,-1,Settings!$B$16)</f>
        <v>46349.5</v>
      </c>
      <c r="C1168" s="20" cm="1">
        <f t="array" ref="C1168">B1168+TIME(alea_int(1,4,Settings!$B$16),0,0)</f>
        <v>46349.666666666664</v>
      </c>
    </row>
    <row r="1169" spans="1:3" ht="15.75" customHeight="1" x14ac:dyDescent="0.25">
      <c r="A1169" s="2" t="str" cm="1">
        <f t="array" ref="A1169">choice(Salles!A:A,1,Settings!$B$16)</f>
        <v>Salle3</v>
      </c>
      <c r="B1169" s="3" cm="1">
        <f t="array" ref="B1169">alea_date(Settings!$B$11,360,-1,Settings!$B$16)</f>
        <v>46106.458333333336</v>
      </c>
      <c r="C1169" s="20" cm="1">
        <f t="array" ref="C1169">B1169+TIME(alea_int(1,4,Settings!$B$16),0,0)</f>
        <v>46106.625</v>
      </c>
    </row>
    <row r="1170" spans="1:3" ht="15.75" customHeight="1" x14ac:dyDescent="0.25">
      <c r="A1170" s="2" t="str" cm="1">
        <f t="array" ref="A1170">choice(Salles!A:A,1,Settings!$B$16)</f>
        <v>Salle17</v>
      </c>
      <c r="B1170" s="3" cm="1">
        <f t="array" ref="B1170">alea_date(Settings!$B$11,360,-1,Settings!$B$16)</f>
        <v>46326.25</v>
      </c>
      <c r="C1170" s="20" cm="1">
        <f t="array" ref="C1170">B1170+TIME(alea_int(1,4,Settings!$B$16),0,0)</f>
        <v>46326.416666666664</v>
      </c>
    </row>
    <row r="1171" spans="1:3" ht="15.75" customHeight="1" x14ac:dyDescent="0.25">
      <c r="A1171" s="2" t="str" cm="1">
        <f t="array" ref="A1171">choice(Salles!A:A,1,Settings!$B$16)</f>
        <v>Salle14</v>
      </c>
      <c r="B1171" s="3" cm="1">
        <f t="array" ref="B1171">alea_date(Settings!$B$11,360,-1,Settings!$B$16)</f>
        <v>46179.375</v>
      </c>
      <c r="C1171" s="20" cm="1">
        <f t="array" ref="C1171">B1171+TIME(alea_int(1,4,Settings!$B$16),0,0)</f>
        <v>46179.541666666664</v>
      </c>
    </row>
    <row r="1172" spans="1:3" ht="15.75" customHeight="1" x14ac:dyDescent="0.25">
      <c r="A1172" s="2" t="str" cm="1">
        <f t="array" ref="A1172">choice(Salles!A:A,1,Settings!$B$16)</f>
        <v>Salle7</v>
      </c>
      <c r="B1172" s="3" cm="1">
        <f t="array" ref="B1172">alea_date(Settings!$B$11,360,-1,Settings!$B$16)</f>
        <v>46023.5</v>
      </c>
      <c r="C1172" s="20" cm="1">
        <f t="array" ref="C1172">B1172+TIME(alea_int(1,4,Settings!$B$16),0,0)</f>
        <v>46023.666666666664</v>
      </c>
    </row>
    <row r="1173" spans="1:3" ht="15.75" customHeight="1" x14ac:dyDescent="0.25">
      <c r="A1173" s="2" t="str" cm="1">
        <f t="array" ref="A1173">choice(Salles!A:A,1,Settings!$B$16)</f>
        <v>Salle61</v>
      </c>
      <c r="B1173" s="3" cm="1">
        <f t="array" ref="B1173">alea_date(Settings!$B$11,360,-1,Settings!$B$16)</f>
        <v>46049.416666666664</v>
      </c>
      <c r="C1173" s="20" cm="1">
        <f t="array" ref="C1173">B1173+TIME(alea_int(1,4,Settings!$B$16),0,0)</f>
        <v>46049.583333333328</v>
      </c>
    </row>
    <row r="1174" spans="1:3" ht="15.75" customHeight="1" x14ac:dyDescent="0.25">
      <c r="A1174" s="2" t="str" cm="1">
        <f t="array" ref="A1174">choice(Salles!A:A,1,Settings!$B$16)</f>
        <v>Salle4</v>
      </c>
      <c r="B1174" s="3" cm="1">
        <f t="array" ref="B1174">alea_date(Settings!$B$11,360,-1,Settings!$B$16)</f>
        <v>46354.625</v>
      </c>
      <c r="C1174" s="20" cm="1">
        <f t="array" ref="C1174">B1174+TIME(alea_int(1,4,Settings!$B$16),0,0)</f>
        <v>46354.791666666664</v>
      </c>
    </row>
    <row r="1175" spans="1:3" ht="15.75" customHeight="1" x14ac:dyDescent="0.25">
      <c r="A1175" s="2" t="str" cm="1">
        <f t="array" ref="A1175">choice(Salles!A:A,1,Settings!$B$16)</f>
        <v>Salle43</v>
      </c>
      <c r="B1175" s="3" cm="1">
        <f t="array" ref="B1175">alea_date(Settings!$B$11,360,-1,Settings!$B$16)</f>
        <v>46160.625</v>
      </c>
      <c r="C1175" s="20" cm="1">
        <f t="array" ref="C1175">B1175+TIME(alea_int(1,4,Settings!$B$16),0,0)</f>
        <v>46160.791666666664</v>
      </c>
    </row>
    <row r="1176" spans="1:3" ht="15.75" customHeight="1" x14ac:dyDescent="0.25">
      <c r="A1176" s="2" t="str" cm="1">
        <f t="array" ref="A1176">choice(Salles!A:A,1,Settings!$B$16)</f>
        <v>Salle1</v>
      </c>
      <c r="B1176" s="3" cm="1">
        <f t="array" ref="B1176">alea_date(Settings!$B$11,360,-1,Settings!$B$16)</f>
        <v>46078.583333333336</v>
      </c>
      <c r="C1176" s="20" cm="1">
        <f t="array" ref="C1176">B1176+TIME(alea_int(1,4,Settings!$B$16),0,0)</f>
        <v>46078.75</v>
      </c>
    </row>
    <row r="1177" spans="1:3" ht="15.75" customHeight="1" x14ac:dyDescent="0.25">
      <c r="A1177" s="2" t="str" cm="1">
        <f t="array" ref="A1177">choice(Salles!A:A,1,Settings!$B$16)</f>
        <v>Salle7</v>
      </c>
      <c r="B1177" s="3" cm="1">
        <f t="array" ref="B1177">alea_date(Settings!$B$11,360,-1,Settings!$B$16)</f>
        <v>46109.375</v>
      </c>
      <c r="C1177" s="20" cm="1">
        <f t="array" ref="C1177">B1177+TIME(alea_int(1,4,Settings!$B$16),0,0)</f>
        <v>46109.541666666664</v>
      </c>
    </row>
    <row r="1178" spans="1:3" ht="15.75" customHeight="1" x14ac:dyDescent="0.25">
      <c r="A1178" s="2" t="str" cm="1">
        <f t="array" ref="A1178">choice(Salles!A:A,1,Settings!$B$16)</f>
        <v>Salle66</v>
      </c>
      <c r="B1178" s="3" cm="1">
        <f t="array" ref="B1178">alea_date(Settings!$B$11,360,-1,Settings!$B$16)</f>
        <v>46243.416666666664</v>
      </c>
      <c r="C1178" s="20" cm="1">
        <f t="array" ref="C1178">B1178+TIME(alea_int(1,4,Settings!$B$16),0,0)</f>
        <v>46243.583333333328</v>
      </c>
    </row>
    <row r="1179" spans="1:3" ht="15.75" customHeight="1" x14ac:dyDescent="0.25">
      <c r="A1179" s="2" t="str" cm="1">
        <f t="array" ref="A1179">choice(Salles!A:A,1,Settings!$B$16)</f>
        <v>Salle9</v>
      </c>
      <c r="B1179" s="3" cm="1">
        <f t="array" ref="B1179">alea_date(Settings!$B$11,360,-1,Settings!$B$16)</f>
        <v>46351.291666666664</v>
      </c>
      <c r="C1179" s="20" cm="1">
        <f t="array" ref="C1179">B1179+TIME(alea_int(1,4,Settings!$B$16),0,0)</f>
        <v>46351.458333333328</v>
      </c>
    </row>
    <row r="1180" spans="1:3" ht="15.75" customHeight="1" x14ac:dyDescent="0.25">
      <c r="A1180" s="2" t="str" cm="1">
        <f t="array" ref="A1180">choice(Salles!A:A,1,Settings!$B$16)</f>
        <v>Salle50</v>
      </c>
      <c r="B1180" s="3" cm="1">
        <f t="array" ref="B1180">alea_date(Settings!$B$11,360,-1,Settings!$B$16)</f>
        <v>46297.583333333336</v>
      </c>
      <c r="C1180" s="20" cm="1">
        <f t="array" ref="C1180">B1180+TIME(alea_int(1,4,Settings!$B$16),0,0)</f>
        <v>46297.75</v>
      </c>
    </row>
    <row r="1181" spans="1:3" ht="15.75" customHeight="1" x14ac:dyDescent="0.25">
      <c r="A1181" s="2" t="str" cm="1">
        <f t="array" ref="A1181">choice(Salles!A:A,1,Settings!$B$16)</f>
        <v>Salle6</v>
      </c>
      <c r="B1181" s="3" cm="1">
        <f t="array" ref="B1181">alea_date(Settings!$B$11,360,-1,Settings!$B$16)</f>
        <v>46285.5</v>
      </c>
      <c r="C1181" s="20" cm="1">
        <f t="array" ref="C1181">B1181+TIME(alea_int(1,4,Settings!$B$16),0,0)</f>
        <v>46285.666666666664</v>
      </c>
    </row>
    <row r="1182" spans="1:3" ht="15.75" customHeight="1" x14ac:dyDescent="0.25">
      <c r="A1182" s="2" t="str" cm="1">
        <f t="array" ref="A1182">choice(Salles!A:A,1,Settings!$B$16)</f>
        <v>Salle61</v>
      </c>
      <c r="B1182" s="3" cm="1">
        <f t="array" ref="B1182">alea_date(Settings!$B$11,360,-1,Settings!$B$16)</f>
        <v>46173.625</v>
      </c>
      <c r="C1182" s="20" cm="1">
        <f t="array" ref="C1182">B1182+TIME(alea_int(1,4,Settings!$B$16),0,0)</f>
        <v>46173.791666666664</v>
      </c>
    </row>
    <row r="1183" spans="1:3" ht="15.75" customHeight="1" x14ac:dyDescent="0.25">
      <c r="A1183" s="2" t="str" cm="1">
        <f t="array" ref="A1183">choice(Salles!A:A,1,Settings!$B$16)</f>
        <v>Salle38</v>
      </c>
      <c r="B1183" s="3" cm="1">
        <f t="array" ref="B1183">alea_date(Settings!$B$11,360,-1,Settings!$B$16)</f>
        <v>46300.583333333336</v>
      </c>
      <c r="C1183" s="20" cm="1">
        <f t="array" ref="C1183">B1183+TIME(alea_int(1,4,Settings!$B$16),0,0)</f>
        <v>46300.75</v>
      </c>
    </row>
    <row r="1184" spans="1:3" ht="15.75" customHeight="1" x14ac:dyDescent="0.25">
      <c r="A1184" s="2" t="str" cm="1">
        <f t="array" ref="A1184">choice(Salles!A:A,1,Settings!$B$16)</f>
        <v>Salle31</v>
      </c>
      <c r="B1184" s="3" cm="1">
        <f t="array" ref="B1184">alea_date(Settings!$B$11,360,-1,Settings!$B$16)</f>
        <v>46266.583333333336</v>
      </c>
      <c r="C1184" s="20" cm="1">
        <f t="array" ref="C1184">B1184+TIME(alea_int(1,4,Settings!$B$16),0,0)</f>
        <v>46266.75</v>
      </c>
    </row>
    <row r="1185" spans="1:3" ht="15.75" customHeight="1" x14ac:dyDescent="0.25">
      <c r="A1185" s="2" t="str" cm="1">
        <f t="array" ref="A1185">choice(Salles!A:A,1,Settings!$B$16)</f>
        <v>Salle46</v>
      </c>
      <c r="B1185" s="3" cm="1">
        <f t="array" ref="B1185">alea_date(Settings!$B$11,360,-1,Settings!$B$16)</f>
        <v>46317.333333333336</v>
      </c>
      <c r="C1185" s="20" cm="1">
        <f t="array" ref="C1185">B1185+TIME(alea_int(1,4,Settings!$B$16),0,0)</f>
        <v>46317.5</v>
      </c>
    </row>
    <row r="1186" spans="1:3" ht="15.75" customHeight="1" x14ac:dyDescent="0.25">
      <c r="A1186" s="2" t="str" cm="1">
        <f t="array" ref="A1186">choice(Salles!A:A,1,Settings!$B$16)</f>
        <v>Salle66</v>
      </c>
      <c r="B1186" s="3" cm="1">
        <f t="array" ref="B1186">alea_date(Settings!$B$11,360,-1,Settings!$B$16)</f>
        <v>46363.5</v>
      </c>
      <c r="C1186" s="20" cm="1">
        <f t="array" ref="C1186">B1186+TIME(alea_int(1,4,Settings!$B$16),0,0)</f>
        <v>46363.666666666664</v>
      </c>
    </row>
    <row r="1187" spans="1:3" ht="15.75" customHeight="1" x14ac:dyDescent="0.25">
      <c r="A1187" s="2" t="str" cm="1">
        <f t="array" ref="A1187">choice(Salles!A:A,1,Settings!$B$16)</f>
        <v>Salle28</v>
      </c>
      <c r="B1187" s="3" cm="1">
        <f t="array" ref="B1187">alea_date(Settings!$B$11,360,-1,Settings!$B$16)</f>
        <v>46094.291666666664</v>
      </c>
      <c r="C1187" s="20" cm="1">
        <f t="array" ref="C1187">B1187+TIME(alea_int(1,4,Settings!$B$16),0,0)</f>
        <v>46094.458333333328</v>
      </c>
    </row>
    <row r="1188" spans="1:3" ht="15.75" customHeight="1" x14ac:dyDescent="0.25">
      <c r="A1188" s="2" t="str" cm="1">
        <f t="array" ref="A1188">choice(Salles!A:A,1,Settings!$B$16)</f>
        <v>Salle29</v>
      </c>
      <c r="B1188" s="3" cm="1">
        <f t="array" ref="B1188">alea_date(Settings!$B$11,360,-1,Settings!$B$16)</f>
        <v>46050.458333333336</v>
      </c>
      <c r="C1188" s="20" cm="1">
        <f t="array" ref="C1188">B1188+TIME(alea_int(1,4,Settings!$B$16),0,0)</f>
        <v>46050.625</v>
      </c>
    </row>
    <row r="1189" spans="1:3" ht="15.75" customHeight="1" x14ac:dyDescent="0.25">
      <c r="A1189" s="2" t="str" cm="1">
        <f t="array" ref="A1189">choice(Salles!A:A,1,Settings!$B$16)</f>
        <v>Salle17</v>
      </c>
      <c r="B1189" s="3" cm="1">
        <f t="array" ref="B1189">alea_date(Settings!$B$11,360,-1,Settings!$B$16)</f>
        <v>46273.416666666664</v>
      </c>
      <c r="C1189" s="20" cm="1">
        <f t="array" ref="C1189">B1189+TIME(alea_int(1,4,Settings!$B$16),0,0)</f>
        <v>46273.583333333328</v>
      </c>
    </row>
    <row r="1190" spans="1:3" ht="15.75" customHeight="1" x14ac:dyDescent="0.25">
      <c r="A1190" s="2" t="str" cm="1">
        <f t="array" ref="A1190">choice(Salles!A:A,1,Settings!$B$16)</f>
        <v>Salle62</v>
      </c>
      <c r="B1190" s="3" cm="1">
        <f t="array" ref="B1190">alea_date(Settings!$B$11,360,-1,Settings!$B$16)</f>
        <v>46237.291666666664</v>
      </c>
      <c r="C1190" s="20" cm="1">
        <f t="array" ref="C1190">B1190+TIME(alea_int(1,4,Settings!$B$16),0,0)</f>
        <v>46237.458333333328</v>
      </c>
    </row>
    <row r="1191" spans="1:3" ht="15.75" customHeight="1" x14ac:dyDescent="0.25">
      <c r="A1191" s="2" t="str" cm="1">
        <f t="array" ref="A1191">choice(Salles!A:A,1,Settings!$B$16)</f>
        <v>Salle18</v>
      </c>
      <c r="B1191" s="3" cm="1">
        <f t="array" ref="B1191">alea_date(Settings!$B$11,360,-1,Settings!$B$16)</f>
        <v>46360.541666666664</v>
      </c>
      <c r="C1191" s="20" cm="1">
        <f t="array" ref="C1191">B1191+TIME(alea_int(1,4,Settings!$B$16),0,0)</f>
        <v>46360.708333333328</v>
      </c>
    </row>
    <row r="1192" spans="1:3" ht="15.75" customHeight="1" x14ac:dyDescent="0.25">
      <c r="A1192" s="2" t="str" cm="1">
        <f t="array" ref="A1192">choice(Salles!A:A,1,Settings!$B$16)</f>
        <v>Salle66</v>
      </c>
      <c r="B1192" s="3" cm="1">
        <f t="array" ref="B1192">alea_date(Settings!$B$11,360,-1,Settings!$B$16)</f>
        <v>46083.5</v>
      </c>
      <c r="C1192" s="20" cm="1">
        <f t="array" ref="C1192">B1192+TIME(alea_int(1,4,Settings!$B$16),0,0)</f>
        <v>46083.666666666664</v>
      </c>
    </row>
    <row r="1193" spans="1:3" ht="15.75" customHeight="1" x14ac:dyDescent="0.25">
      <c r="A1193" s="2" t="str" cm="1">
        <f t="array" ref="A1193">choice(Salles!A:A,1,Settings!$B$16)</f>
        <v>Salle55</v>
      </c>
      <c r="B1193" s="3" cm="1">
        <f t="array" ref="B1193">alea_date(Settings!$B$11,360,-1,Settings!$B$16)</f>
        <v>46232.291666666664</v>
      </c>
      <c r="C1193" s="20" cm="1">
        <f t="array" ref="C1193">B1193+TIME(alea_int(1,4,Settings!$B$16),0,0)</f>
        <v>46232.458333333328</v>
      </c>
    </row>
    <row r="1194" spans="1:3" ht="15.75" customHeight="1" x14ac:dyDescent="0.25">
      <c r="A1194" s="2" t="str" cm="1">
        <f t="array" ref="A1194">choice(Salles!A:A,1,Settings!$B$16)</f>
        <v>Salle8</v>
      </c>
      <c r="B1194" s="3" cm="1">
        <f t="array" ref="B1194">alea_date(Settings!$B$11,360,-1,Settings!$B$16)</f>
        <v>46197.583333333336</v>
      </c>
      <c r="C1194" s="20" cm="1">
        <f t="array" ref="C1194">B1194+TIME(alea_int(1,4,Settings!$B$16),0,0)</f>
        <v>46197.75</v>
      </c>
    </row>
    <row r="1195" spans="1:3" ht="15.75" customHeight="1" x14ac:dyDescent="0.25">
      <c r="A1195" s="2" t="str" cm="1">
        <f t="array" ref="A1195">choice(Salles!A:A,1,Settings!$B$16)</f>
        <v>Salle21</v>
      </c>
      <c r="B1195" s="3" cm="1">
        <f t="array" ref="B1195">alea_date(Settings!$B$11,360,-1,Settings!$B$16)</f>
        <v>46165.333333333336</v>
      </c>
      <c r="C1195" s="20" cm="1">
        <f t="array" ref="C1195">B1195+TIME(alea_int(1,4,Settings!$B$16),0,0)</f>
        <v>46165.5</v>
      </c>
    </row>
    <row r="1196" spans="1:3" ht="15.75" customHeight="1" x14ac:dyDescent="0.25">
      <c r="A1196" s="2" t="str" cm="1">
        <f t="array" ref="A1196">choice(Salles!A:A,1,Settings!$B$16)</f>
        <v>Salle39</v>
      </c>
      <c r="B1196" s="3" cm="1">
        <f t="array" ref="B1196">alea_date(Settings!$B$11,360,-1,Settings!$B$16)</f>
        <v>46178.583333333336</v>
      </c>
      <c r="C1196" s="20" cm="1">
        <f t="array" ref="C1196">B1196+TIME(alea_int(1,4,Settings!$B$16),0,0)</f>
        <v>46178.75</v>
      </c>
    </row>
    <row r="1197" spans="1:3" ht="15.75" customHeight="1" x14ac:dyDescent="0.25">
      <c r="A1197" s="2" t="str" cm="1">
        <f t="array" ref="A1197">choice(Salles!A:A,1,Settings!$B$16)</f>
        <v>Salle12</v>
      </c>
      <c r="B1197" s="3" cm="1">
        <f t="array" ref="B1197">alea_date(Settings!$B$11,360,-1,Settings!$B$16)</f>
        <v>46030.458333333336</v>
      </c>
      <c r="C1197" s="20" cm="1">
        <f t="array" ref="C1197">B1197+TIME(alea_int(1,4,Settings!$B$16),0,0)</f>
        <v>46030.625</v>
      </c>
    </row>
    <row r="1198" spans="1:3" ht="15.75" customHeight="1" x14ac:dyDescent="0.25">
      <c r="A1198" s="2" t="str" cm="1">
        <f t="array" ref="A1198">choice(Salles!A:A,1,Settings!$B$16)</f>
        <v>Salle3</v>
      </c>
      <c r="B1198" s="3" cm="1">
        <f t="array" ref="B1198">alea_date(Settings!$B$11,360,-1,Settings!$B$16)</f>
        <v>46351.583333333336</v>
      </c>
      <c r="C1198" s="20" cm="1">
        <f t="array" ref="C1198">B1198+TIME(alea_int(1,4,Settings!$B$16),0,0)</f>
        <v>46351.75</v>
      </c>
    </row>
    <row r="1199" spans="1:3" ht="15.75" customHeight="1" x14ac:dyDescent="0.25">
      <c r="A1199" s="2" t="str" cm="1">
        <f t="array" ref="A1199">choice(Salles!A:A,1,Settings!$B$16)</f>
        <v>Salle56</v>
      </c>
      <c r="B1199" s="3" cm="1">
        <f t="array" ref="B1199">alea_date(Settings!$B$11,360,-1,Settings!$B$16)</f>
        <v>46129.625</v>
      </c>
      <c r="C1199" s="20" cm="1">
        <f t="array" ref="C1199">B1199+TIME(alea_int(1,4,Settings!$B$16),0,0)</f>
        <v>46129.791666666664</v>
      </c>
    </row>
    <row r="1200" spans="1:3" ht="15.75" customHeight="1" x14ac:dyDescent="0.25">
      <c r="A1200" s="2" t="str" cm="1">
        <f t="array" ref="A1200">choice(Salles!A:A,1,Settings!$B$16)</f>
        <v>Salle48</v>
      </c>
      <c r="B1200" s="3" cm="1">
        <f t="array" ref="B1200">alea_date(Settings!$B$11,360,-1,Settings!$B$16)</f>
        <v>46209.583333333336</v>
      </c>
      <c r="C1200" s="20" cm="1">
        <f t="array" ref="C1200">B1200+TIME(alea_int(1,4,Settings!$B$16),0,0)</f>
        <v>46209.75</v>
      </c>
    </row>
    <row r="1201" spans="1:3" ht="15.75" customHeight="1" x14ac:dyDescent="0.25">
      <c r="A1201" s="2" t="str" cm="1">
        <f t="array" ref="A1201">choice(Salles!A:A,1,Settings!$B$16)</f>
        <v>Salle13</v>
      </c>
      <c r="B1201" s="3" cm="1">
        <f t="array" ref="B1201">alea_date(Settings!$B$11,360,-1,Settings!$B$16)</f>
        <v>46134.291666666664</v>
      </c>
      <c r="C1201" s="20" cm="1">
        <f t="array" ref="C1201">B1201+TIME(alea_int(1,4,Settings!$B$16),0,0)</f>
        <v>46134.458333333328</v>
      </c>
    </row>
    <row r="1202" spans="1:3" ht="15.75" customHeight="1" x14ac:dyDescent="0.25">
      <c r="A1202" s="2" t="str" cm="1">
        <f t="array" ref="A1202">choice(Salles!A:A,1,Settings!$B$16)</f>
        <v>Salle37</v>
      </c>
      <c r="B1202" s="3" cm="1">
        <f t="array" ref="B1202">alea_date(Settings!$B$11,360,-1,Settings!$B$16)</f>
        <v>46195.333333333336</v>
      </c>
      <c r="C1202" s="20" cm="1">
        <f t="array" ref="C1202">B1202+TIME(alea_int(1,4,Settings!$B$16),0,0)</f>
        <v>46195.5</v>
      </c>
    </row>
    <row r="1203" spans="1:3" ht="15.75" customHeight="1" x14ac:dyDescent="0.25">
      <c r="A1203" s="2" t="str" cm="1">
        <f t="array" ref="A1203">choice(Salles!A:A,1,Settings!$B$16)</f>
        <v>Salle62</v>
      </c>
      <c r="B1203" s="3" cm="1">
        <f t="array" ref="B1203">alea_date(Settings!$B$11,360,-1,Settings!$B$16)</f>
        <v>46378.625</v>
      </c>
      <c r="C1203" s="20" cm="1">
        <f t="array" ref="C1203">B1203+TIME(alea_int(1,4,Settings!$B$16),0,0)</f>
        <v>46378.791666666664</v>
      </c>
    </row>
    <row r="1204" spans="1:3" ht="15.75" customHeight="1" x14ac:dyDescent="0.25">
      <c r="A1204" s="2" t="str" cm="1">
        <f t="array" ref="A1204">choice(Salles!A:A,1,Settings!$B$16)</f>
        <v>Salle18</v>
      </c>
      <c r="B1204" s="3" cm="1">
        <f t="array" ref="B1204">alea_date(Settings!$B$11,360,-1,Settings!$B$16)</f>
        <v>46178.625</v>
      </c>
      <c r="C1204" s="20" cm="1">
        <f t="array" ref="C1204">B1204+TIME(alea_int(1,4,Settings!$B$16),0,0)</f>
        <v>46178.791666666664</v>
      </c>
    </row>
    <row r="1205" spans="1:3" ht="15.75" customHeight="1" x14ac:dyDescent="0.25">
      <c r="A1205" s="2" t="str" cm="1">
        <f t="array" ref="A1205">choice(Salles!A:A,1,Settings!$B$16)</f>
        <v>Salle38</v>
      </c>
      <c r="B1205" s="3" cm="1">
        <f t="array" ref="B1205">alea_date(Settings!$B$11,360,-1,Settings!$B$16)</f>
        <v>46060.25</v>
      </c>
      <c r="C1205" s="20" cm="1">
        <f t="array" ref="C1205">B1205+TIME(alea_int(1,4,Settings!$B$16),0,0)</f>
        <v>46060.416666666664</v>
      </c>
    </row>
    <row r="1206" spans="1:3" ht="15.75" customHeight="1" x14ac:dyDescent="0.25">
      <c r="A1206" s="2" t="str" cm="1">
        <f t="array" ref="A1206">choice(Salles!A:A,1,Settings!$B$16)</f>
        <v>Salle39</v>
      </c>
      <c r="B1206" s="3" cm="1">
        <f t="array" ref="B1206">alea_date(Settings!$B$11,360,-1,Settings!$B$16)</f>
        <v>46301.583333333336</v>
      </c>
      <c r="C1206" s="20" cm="1">
        <f t="array" ref="C1206">B1206+TIME(alea_int(1,4,Settings!$B$16),0,0)</f>
        <v>46301.75</v>
      </c>
    </row>
    <row r="1207" spans="1:3" ht="15.75" customHeight="1" x14ac:dyDescent="0.25">
      <c r="A1207" s="2" t="str" cm="1">
        <f t="array" ref="A1207">choice(Salles!A:A,1,Settings!$B$16)</f>
        <v>Salle60</v>
      </c>
      <c r="B1207" s="3" cm="1">
        <f t="array" ref="B1207">alea_date(Settings!$B$11,360,-1,Settings!$B$16)</f>
        <v>46265.333333333336</v>
      </c>
      <c r="C1207" s="20" cm="1">
        <f t="array" ref="C1207">B1207+TIME(alea_int(1,4,Settings!$B$16),0,0)</f>
        <v>46265.5</v>
      </c>
    </row>
    <row r="1208" spans="1:3" ht="15.75" customHeight="1" x14ac:dyDescent="0.25">
      <c r="A1208" s="2" t="str" cm="1">
        <f t="array" ref="A1208">choice(Salles!A:A,1,Settings!$B$16)</f>
        <v>Salle70</v>
      </c>
      <c r="B1208" s="3" cm="1">
        <f t="array" ref="B1208">alea_date(Settings!$B$11,360,-1,Settings!$B$16)</f>
        <v>46226.333333333336</v>
      </c>
      <c r="C1208" s="20" cm="1">
        <f t="array" ref="C1208">B1208+TIME(alea_int(1,4,Settings!$B$16),0,0)</f>
        <v>46226.5</v>
      </c>
    </row>
    <row r="1209" spans="1:3" ht="15.75" customHeight="1" x14ac:dyDescent="0.25">
      <c r="A1209" s="2" t="str" cm="1">
        <f t="array" ref="A1209">choice(Salles!A:A,1,Settings!$B$16)</f>
        <v>Salle6</v>
      </c>
      <c r="B1209" s="3" cm="1">
        <f t="array" ref="B1209">alea_date(Settings!$B$11,360,-1,Settings!$B$16)</f>
        <v>46124.416666666664</v>
      </c>
      <c r="C1209" s="20" cm="1">
        <f t="array" ref="C1209">B1209+TIME(alea_int(1,4,Settings!$B$16),0,0)</f>
        <v>46124.583333333328</v>
      </c>
    </row>
    <row r="1210" spans="1:3" ht="15.75" customHeight="1" x14ac:dyDescent="0.25">
      <c r="A1210" s="2" t="str" cm="1">
        <f t="array" ref="A1210">choice(Salles!A:A,1,Settings!$B$16)</f>
        <v>Salle35</v>
      </c>
      <c r="B1210" s="3" cm="1">
        <f t="array" ref="B1210">alea_date(Settings!$B$11,360,-1,Settings!$B$16)</f>
        <v>46157.375</v>
      </c>
      <c r="C1210" s="20" cm="1">
        <f t="array" ref="C1210">B1210+TIME(alea_int(1,4,Settings!$B$16),0,0)</f>
        <v>46157.541666666664</v>
      </c>
    </row>
    <row r="1211" spans="1:3" ht="15.75" customHeight="1" x14ac:dyDescent="0.25">
      <c r="A1211" s="2" t="str" cm="1">
        <f t="array" ref="A1211">choice(Salles!A:A,1,Settings!$B$16)</f>
        <v>Salle9</v>
      </c>
      <c r="B1211" s="3" cm="1">
        <f t="array" ref="B1211">alea_date(Settings!$B$11,360,-1,Settings!$B$16)</f>
        <v>46305.291666666664</v>
      </c>
      <c r="C1211" s="20" cm="1">
        <f t="array" ref="C1211">B1211+TIME(alea_int(1,4,Settings!$B$16),0,0)</f>
        <v>46305.458333333328</v>
      </c>
    </row>
    <row r="1212" spans="1:3" ht="15.75" customHeight="1" x14ac:dyDescent="0.25">
      <c r="A1212" s="2" t="str" cm="1">
        <f t="array" ref="A1212">choice(Salles!A:A,1,Settings!$B$16)</f>
        <v>Salle34</v>
      </c>
      <c r="B1212" s="3" cm="1">
        <f t="array" ref="B1212">alea_date(Settings!$B$11,360,-1,Settings!$B$16)</f>
        <v>46042.25</v>
      </c>
      <c r="C1212" s="20" cm="1">
        <f t="array" ref="C1212">B1212+TIME(alea_int(1,4,Settings!$B$16),0,0)</f>
        <v>46042.416666666664</v>
      </c>
    </row>
    <row r="1213" spans="1:3" ht="15.75" customHeight="1" x14ac:dyDescent="0.25">
      <c r="A1213" s="2" t="str" cm="1">
        <f t="array" ref="A1213">choice(Salles!A:A,1,Settings!$B$16)</f>
        <v>Salle5</v>
      </c>
      <c r="B1213" s="3" cm="1">
        <f t="array" ref="B1213">alea_date(Settings!$B$11,360,-1,Settings!$B$16)</f>
        <v>46079.5</v>
      </c>
      <c r="C1213" s="20" cm="1">
        <f t="array" ref="C1213">B1213+TIME(alea_int(1,4,Settings!$B$16),0,0)</f>
        <v>46079.666666666664</v>
      </c>
    </row>
    <row r="1214" spans="1:3" ht="15.75" customHeight="1" x14ac:dyDescent="0.25">
      <c r="A1214" s="2" t="str" cm="1">
        <f t="array" ref="A1214">choice(Salles!A:A,1,Settings!$B$16)</f>
        <v>Salle41</v>
      </c>
      <c r="B1214" s="3" cm="1">
        <f t="array" ref="B1214">alea_date(Settings!$B$11,360,-1,Settings!$B$16)</f>
        <v>46198.625</v>
      </c>
      <c r="C1214" s="20" cm="1">
        <f t="array" ref="C1214">B1214+TIME(alea_int(1,4,Settings!$B$16),0,0)</f>
        <v>46198.791666666664</v>
      </c>
    </row>
    <row r="1215" spans="1:3" ht="15.75" customHeight="1" x14ac:dyDescent="0.25">
      <c r="A1215" s="2" t="str" cm="1">
        <f t="array" ref="A1215">choice(Salles!A:A,1,Settings!$B$16)</f>
        <v>Salle29</v>
      </c>
      <c r="B1215" s="3" cm="1">
        <f t="array" ref="B1215">alea_date(Settings!$B$11,360,-1,Settings!$B$16)</f>
        <v>46120.583333333336</v>
      </c>
      <c r="C1215" s="20" cm="1">
        <f t="array" ref="C1215">B1215+TIME(alea_int(1,4,Settings!$B$16),0,0)</f>
        <v>46120.75</v>
      </c>
    </row>
    <row r="1216" spans="1:3" ht="15.75" customHeight="1" x14ac:dyDescent="0.25">
      <c r="A1216" s="2" t="str" cm="1">
        <f t="array" ref="A1216">choice(Salles!A:A,1,Settings!$B$16)</f>
        <v>Salle51</v>
      </c>
      <c r="B1216" s="3" cm="1">
        <f t="array" ref="B1216">alea_date(Settings!$B$11,360,-1,Settings!$B$16)</f>
        <v>46358.25</v>
      </c>
      <c r="C1216" s="20" cm="1">
        <f t="array" ref="C1216">B1216+TIME(alea_int(1,4,Settings!$B$16),0,0)</f>
        <v>46358.416666666664</v>
      </c>
    </row>
    <row r="1217" spans="1:3" ht="15.75" customHeight="1" x14ac:dyDescent="0.25">
      <c r="A1217" s="2" t="str" cm="1">
        <f t="array" ref="A1217">choice(Salles!A:A,1,Settings!$B$16)</f>
        <v>Salle22</v>
      </c>
      <c r="B1217" s="3" cm="1">
        <f t="array" ref="B1217">alea_date(Settings!$B$11,360,-1,Settings!$B$16)</f>
        <v>46174.583333333336</v>
      </c>
      <c r="C1217" s="20" cm="1">
        <f t="array" ref="C1217">B1217+TIME(alea_int(1,4,Settings!$B$16),0,0)</f>
        <v>46174.75</v>
      </c>
    </row>
    <row r="1218" spans="1:3" ht="15.75" customHeight="1" x14ac:dyDescent="0.25">
      <c r="A1218" s="2" t="str" cm="1">
        <f t="array" ref="A1218">choice(Salles!A:A,1,Settings!$B$16)</f>
        <v>Salle52</v>
      </c>
      <c r="B1218" s="3" cm="1">
        <f t="array" ref="B1218">alea_date(Settings!$B$11,360,-1,Settings!$B$16)</f>
        <v>46148.333333333336</v>
      </c>
      <c r="C1218" s="20" cm="1">
        <f t="array" ref="C1218">B1218+TIME(alea_int(1,4,Settings!$B$16),0,0)</f>
        <v>46148.5</v>
      </c>
    </row>
    <row r="1219" spans="1:3" ht="15.75" customHeight="1" x14ac:dyDescent="0.25">
      <c r="A1219" s="2" t="str" cm="1">
        <f t="array" ref="A1219">choice(Salles!A:A,1,Settings!$B$16)</f>
        <v>Salle65</v>
      </c>
      <c r="B1219" s="3" cm="1">
        <f t="array" ref="B1219">alea_date(Settings!$B$11,360,-1,Settings!$B$16)</f>
        <v>46205.458333333336</v>
      </c>
      <c r="C1219" s="20" cm="1">
        <f t="array" ref="C1219">B1219+TIME(alea_int(1,4,Settings!$B$16),0,0)</f>
        <v>46205.625</v>
      </c>
    </row>
    <row r="1220" spans="1:3" ht="15.75" customHeight="1" x14ac:dyDescent="0.25">
      <c r="A1220" s="2" t="str" cm="1">
        <f t="array" ref="A1220">choice(Salles!A:A,1,Settings!$B$16)</f>
        <v>Salle49</v>
      </c>
      <c r="B1220" s="3" cm="1">
        <f t="array" ref="B1220">alea_date(Settings!$B$11,360,-1,Settings!$B$16)</f>
        <v>46263.416666666664</v>
      </c>
      <c r="C1220" s="20" cm="1">
        <f t="array" ref="C1220">B1220+TIME(alea_int(1,4,Settings!$B$16),0,0)</f>
        <v>46263.583333333328</v>
      </c>
    </row>
    <row r="1221" spans="1:3" ht="15.75" customHeight="1" x14ac:dyDescent="0.25">
      <c r="A1221" s="2" t="str" cm="1">
        <f t="array" ref="A1221">choice(Salles!A:A,1,Settings!$B$16)</f>
        <v>Salle39</v>
      </c>
      <c r="B1221" s="3" cm="1">
        <f t="array" ref="B1221">alea_date(Settings!$B$11,360,-1,Settings!$B$16)</f>
        <v>46351.5</v>
      </c>
      <c r="C1221" s="20" cm="1">
        <f t="array" ref="C1221">B1221+TIME(alea_int(1,4,Settings!$B$16),0,0)</f>
        <v>46351.666666666664</v>
      </c>
    </row>
    <row r="1222" spans="1:3" ht="15.75" customHeight="1" x14ac:dyDescent="0.25">
      <c r="A1222" s="2" t="str" cm="1">
        <f t="array" ref="A1222">choice(Salles!A:A,1,Settings!$B$16)</f>
        <v>Salle51</v>
      </c>
      <c r="B1222" s="3" cm="1">
        <f t="array" ref="B1222">alea_date(Settings!$B$11,360,-1,Settings!$B$16)</f>
        <v>46353.541666666664</v>
      </c>
      <c r="C1222" s="20" cm="1">
        <f t="array" ref="C1222">B1222+TIME(alea_int(1,4,Settings!$B$16),0,0)</f>
        <v>46353.708333333328</v>
      </c>
    </row>
    <row r="1223" spans="1:3" ht="15.75" customHeight="1" x14ac:dyDescent="0.25">
      <c r="A1223" s="2" t="str" cm="1">
        <f t="array" ref="A1223">choice(Salles!A:A,1,Settings!$B$16)</f>
        <v>Salle59</v>
      </c>
      <c r="B1223" s="3" cm="1">
        <f t="array" ref="B1223">alea_date(Settings!$B$11,360,-1,Settings!$B$16)</f>
        <v>46123.5</v>
      </c>
      <c r="C1223" s="20" cm="1">
        <f t="array" ref="C1223">B1223+TIME(alea_int(1,4,Settings!$B$16),0,0)</f>
        <v>46123.666666666664</v>
      </c>
    </row>
    <row r="1224" spans="1:3" ht="15.75" customHeight="1" x14ac:dyDescent="0.25">
      <c r="A1224" s="2" t="str" cm="1">
        <f t="array" ref="A1224">choice(Salles!A:A,1,Settings!$B$16)</f>
        <v>Salle59</v>
      </c>
      <c r="B1224" s="3" cm="1">
        <f t="array" ref="B1224">alea_date(Settings!$B$11,360,-1,Settings!$B$16)</f>
        <v>46328.458333333336</v>
      </c>
      <c r="C1224" s="20" cm="1">
        <f t="array" ref="C1224">B1224+TIME(alea_int(1,4,Settings!$B$16),0,0)</f>
        <v>46328.625</v>
      </c>
    </row>
    <row r="1225" spans="1:3" ht="15.75" customHeight="1" x14ac:dyDescent="0.25">
      <c r="A1225" s="2" t="str" cm="1">
        <f t="array" ref="A1225">choice(Salles!A:A,1,Settings!$B$16)</f>
        <v>Salle16</v>
      </c>
      <c r="B1225" s="3" cm="1">
        <f t="array" ref="B1225">alea_date(Settings!$B$11,360,-1,Settings!$B$16)</f>
        <v>46372.583333333336</v>
      </c>
      <c r="C1225" s="20" cm="1">
        <f t="array" ref="C1225">B1225+TIME(alea_int(1,4,Settings!$B$16),0,0)</f>
        <v>46372.75</v>
      </c>
    </row>
    <row r="1226" spans="1:3" ht="15.75" customHeight="1" x14ac:dyDescent="0.25">
      <c r="A1226" s="2" t="str" cm="1">
        <f t="array" ref="A1226">choice(Salles!A:A,1,Settings!$B$16)</f>
        <v>Salle44</v>
      </c>
      <c r="B1226" s="3" cm="1">
        <f t="array" ref="B1226">alea_date(Settings!$B$11,360,-1,Settings!$B$16)</f>
        <v>46140.416666666664</v>
      </c>
      <c r="C1226" s="20" cm="1">
        <f t="array" ref="C1226">B1226+TIME(alea_int(1,4,Settings!$B$16),0,0)</f>
        <v>46140.583333333328</v>
      </c>
    </row>
    <row r="1227" spans="1:3" ht="15.75" customHeight="1" x14ac:dyDescent="0.25">
      <c r="A1227" s="2" t="str" cm="1">
        <f t="array" ref="A1227">choice(Salles!A:A,1,Settings!$B$16)</f>
        <v>Salle20</v>
      </c>
      <c r="B1227" s="3" cm="1">
        <f t="array" ref="B1227">alea_date(Settings!$B$11,360,-1,Settings!$B$16)</f>
        <v>46033.541666666664</v>
      </c>
      <c r="C1227" s="20" cm="1">
        <f t="array" ref="C1227">B1227+TIME(alea_int(1,4,Settings!$B$16),0,0)</f>
        <v>46033.708333333328</v>
      </c>
    </row>
    <row r="1228" spans="1:3" ht="15.75" customHeight="1" x14ac:dyDescent="0.25">
      <c r="A1228" s="2" t="str" cm="1">
        <f t="array" ref="A1228">choice(Salles!A:A,1,Settings!$B$16)</f>
        <v>Salle4</v>
      </c>
      <c r="B1228" s="3" cm="1">
        <f t="array" ref="B1228">alea_date(Settings!$B$11,360,-1,Settings!$B$16)</f>
        <v>46090.541666666664</v>
      </c>
      <c r="C1228" s="20" cm="1">
        <f t="array" ref="C1228">B1228+TIME(alea_int(1,4,Settings!$B$16),0,0)</f>
        <v>46090.708333333328</v>
      </c>
    </row>
    <row r="1229" spans="1:3" ht="15.75" customHeight="1" x14ac:dyDescent="0.25">
      <c r="A1229" s="2" t="str" cm="1">
        <f t="array" ref="A1229">choice(Salles!A:A,1,Settings!$B$16)</f>
        <v>Salle32</v>
      </c>
      <c r="B1229" s="3" cm="1">
        <f t="array" ref="B1229">alea_date(Settings!$B$11,360,-1,Settings!$B$16)</f>
        <v>46324.291666666664</v>
      </c>
      <c r="C1229" s="20" cm="1">
        <f t="array" ref="C1229">B1229+TIME(alea_int(1,4,Settings!$B$16),0,0)</f>
        <v>46324.458333333328</v>
      </c>
    </row>
    <row r="1230" spans="1:3" ht="15.75" customHeight="1" x14ac:dyDescent="0.25">
      <c r="A1230" s="2" t="str" cm="1">
        <f t="array" ref="A1230">choice(Salles!A:A,1,Settings!$B$16)</f>
        <v>Salle13</v>
      </c>
      <c r="B1230" s="3" cm="1">
        <f t="array" ref="B1230">alea_date(Settings!$B$11,360,-1,Settings!$B$16)</f>
        <v>46143.25</v>
      </c>
      <c r="C1230" s="20" cm="1">
        <f t="array" ref="C1230">B1230+TIME(alea_int(1,4,Settings!$B$16),0,0)</f>
        <v>46143.416666666664</v>
      </c>
    </row>
    <row r="1231" spans="1:3" ht="15.75" customHeight="1" x14ac:dyDescent="0.25">
      <c r="A1231" s="2" t="str" cm="1">
        <f t="array" ref="A1231">choice(Salles!A:A,1,Settings!$B$16)</f>
        <v>Salle22</v>
      </c>
      <c r="B1231" s="3" cm="1">
        <f t="array" ref="B1231">alea_date(Settings!$B$11,360,-1,Settings!$B$16)</f>
        <v>46190.375</v>
      </c>
      <c r="C1231" s="20" cm="1">
        <f t="array" ref="C1231">B1231+TIME(alea_int(1,4,Settings!$B$16),0,0)</f>
        <v>46190.541666666664</v>
      </c>
    </row>
    <row r="1232" spans="1:3" ht="15.75" customHeight="1" x14ac:dyDescent="0.25">
      <c r="A1232" s="2" t="str" cm="1">
        <f t="array" ref="A1232">choice(Salles!A:A,1,Settings!$B$16)</f>
        <v>Salle15</v>
      </c>
      <c r="B1232" s="3" cm="1">
        <f t="array" ref="B1232">alea_date(Settings!$B$11,360,-1,Settings!$B$16)</f>
        <v>46329.5</v>
      </c>
      <c r="C1232" s="20" cm="1">
        <f t="array" ref="C1232">B1232+TIME(alea_int(1,4,Settings!$B$16),0,0)</f>
        <v>46329.666666666664</v>
      </c>
    </row>
    <row r="1233" spans="1:3" ht="15.75" customHeight="1" x14ac:dyDescent="0.25">
      <c r="A1233" s="2" t="str" cm="1">
        <f t="array" ref="A1233">choice(Salles!A:A,1,Settings!$B$16)</f>
        <v>Salle8</v>
      </c>
      <c r="B1233" s="3" cm="1">
        <f t="array" ref="B1233">alea_date(Settings!$B$11,360,-1,Settings!$B$16)</f>
        <v>46107.25</v>
      </c>
      <c r="C1233" s="20" cm="1">
        <f t="array" ref="C1233">B1233+TIME(alea_int(1,4,Settings!$B$16),0,0)</f>
        <v>46107.416666666664</v>
      </c>
    </row>
    <row r="1234" spans="1:3" ht="15.75" customHeight="1" x14ac:dyDescent="0.25">
      <c r="A1234" s="2" t="str" cm="1">
        <f t="array" ref="A1234">choice(Salles!A:A,1,Settings!$B$16)</f>
        <v>Salle48</v>
      </c>
      <c r="B1234" s="3" cm="1">
        <f t="array" ref="B1234">alea_date(Settings!$B$11,360,-1,Settings!$B$16)</f>
        <v>46209.416666666664</v>
      </c>
      <c r="C1234" s="20" cm="1">
        <f t="array" ref="C1234">B1234+TIME(alea_int(1,4,Settings!$B$16),0,0)</f>
        <v>46209.583333333328</v>
      </c>
    </row>
    <row r="1235" spans="1:3" ht="15.75" customHeight="1" x14ac:dyDescent="0.25">
      <c r="A1235" s="2" t="str" cm="1">
        <f t="array" ref="A1235">choice(Salles!A:A,1,Settings!$B$16)</f>
        <v>Salle38</v>
      </c>
      <c r="B1235" s="3" cm="1">
        <f t="array" ref="B1235">alea_date(Settings!$B$11,360,-1,Settings!$B$16)</f>
        <v>46352.583333333336</v>
      </c>
      <c r="C1235" s="20" cm="1">
        <f t="array" ref="C1235">B1235+TIME(alea_int(1,4,Settings!$B$16),0,0)</f>
        <v>46352.75</v>
      </c>
    </row>
    <row r="1236" spans="1:3" ht="15.75" customHeight="1" x14ac:dyDescent="0.25">
      <c r="A1236" s="2" t="str" cm="1">
        <f t="array" ref="A1236">choice(Salles!A:A,1,Settings!$B$16)</f>
        <v>Salle13</v>
      </c>
      <c r="B1236" s="3" cm="1">
        <f t="array" ref="B1236">alea_date(Settings!$B$11,360,-1,Settings!$B$16)</f>
        <v>46231.5</v>
      </c>
      <c r="C1236" s="20" cm="1">
        <f t="array" ref="C1236">B1236+TIME(alea_int(1,4,Settings!$B$16),0,0)</f>
        <v>46231.666666666664</v>
      </c>
    </row>
    <row r="1237" spans="1:3" ht="15.75" customHeight="1" x14ac:dyDescent="0.25">
      <c r="A1237" s="2" t="str" cm="1">
        <f t="array" ref="A1237">choice(Salles!A:A,1,Settings!$B$16)</f>
        <v>Salle41</v>
      </c>
      <c r="B1237" s="3" cm="1">
        <f t="array" ref="B1237">alea_date(Settings!$B$11,360,-1,Settings!$B$16)</f>
        <v>46044.583333333336</v>
      </c>
      <c r="C1237" s="20" cm="1">
        <f t="array" ref="C1237">B1237+TIME(alea_int(1,4,Settings!$B$16),0,0)</f>
        <v>46044.75</v>
      </c>
    </row>
    <row r="1238" spans="1:3" ht="15.75" customHeight="1" x14ac:dyDescent="0.25">
      <c r="A1238" s="2" t="str" cm="1">
        <f t="array" ref="A1238">choice(Salles!A:A,1,Settings!$B$16)</f>
        <v>Salle31</v>
      </c>
      <c r="B1238" s="3" cm="1">
        <f t="array" ref="B1238">alea_date(Settings!$B$11,360,-1,Settings!$B$16)</f>
        <v>46282.5</v>
      </c>
      <c r="C1238" s="20" cm="1">
        <f t="array" ref="C1238">B1238+TIME(alea_int(1,4,Settings!$B$16),0,0)</f>
        <v>46282.666666666664</v>
      </c>
    </row>
    <row r="1239" spans="1:3" ht="15.75" customHeight="1" x14ac:dyDescent="0.25">
      <c r="A1239" s="2" t="str" cm="1">
        <f t="array" ref="A1239">choice(Salles!A:A,1,Settings!$B$16)</f>
        <v>Salle54</v>
      </c>
      <c r="B1239" s="3" cm="1">
        <f t="array" ref="B1239">alea_date(Settings!$B$11,360,-1,Settings!$B$16)</f>
        <v>46314.5</v>
      </c>
      <c r="C1239" s="20" cm="1">
        <f t="array" ref="C1239">B1239+TIME(alea_int(1,4,Settings!$B$16),0,0)</f>
        <v>46314.666666666664</v>
      </c>
    </row>
    <row r="1240" spans="1:3" ht="15.75" customHeight="1" x14ac:dyDescent="0.25">
      <c r="A1240" s="2" t="str" cm="1">
        <f t="array" ref="A1240">choice(Salles!A:A,1,Settings!$B$16)</f>
        <v>Salle69</v>
      </c>
      <c r="B1240" s="3" cm="1">
        <f t="array" ref="B1240">alea_date(Settings!$B$11,360,-1,Settings!$B$16)</f>
        <v>46372.5</v>
      </c>
      <c r="C1240" s="20" cm="1">
        <f t="array" ref="C1240">B1240+TIME(alea_int(1,4,Settings!$B$16),0,0)</f>
        <v>46372.666666666664</v>
      </c>
    </row>
    <row r="1241" spans="1:3" ht="15.75" customHeight="1" x14ac:dyDescent="0.25">
      <c r="A1241" s="2" t="str" cm="1">
        <f t="array" ref="A1241">choice(Salles!A:A,1,Settings!$B$16)</f>
        <v>Salle41</v>
      </c>
      <c r="B1241" s="3" cm="1">
        <f t="array" ref="B1241">alea_date(Settings!$B$11,360,-1,Settings!$B$16)</f>
        <v>46058.5</v>
      </c>
      <c r="C1241" s="20" cm="1">
        <f t="array" ref="C1241">B1241+TIME(alea_int(1,4,Settings!$B$16),0,0)</f>
        <v>46058.666666666664</v>
      </c>
    </row>
    <row r="1242" spans="1:3" ht="15.75" customHeight="1" x14ac:dyDescent="0.25">
      <c r="A1242" s="2" t="str" cm="1">
        <f t="array" ref="A1242">choice(Salles!A:A,1,Settings!$B$16)</f>
        <v>Salle22</v>
      </c>
      <c r="B1242" s="3" cm="1">
        <f t="array" ref="B1242">alea_date(Settings!$B$11,360,-1,Settings!$B$16)</f>
        <v>46273.291666666664</v>
      </c>
      <c r="C1242" s="20" cm="1">
        <f t="array" ref="C1242">B1242+TIME(alea_int(1,4,Settings!$B$16),0,0)</f>
        <v>46273.458333333328</v>
      </c>
    </row>
    <row r="1243" spans="1:3" ht="15.75" customHeight="1" x14ac:dyDescent="0.25">
      <c r="A1243" s="2" t="str" cm="1">
        <f t="array" ref="A1243">choice(Salles!A:A,1,Settings!$B$16)</f>
        <v>Salle17</v>
      </c>
      <c r="B1243" s="3" cm="1">
        <f t="array" ref="B1243">alea_date(Settings!$B$11,360,-1,Settings!$B$16)</f>
        <v>46165.583333333336</v>
      </c>
      <c r="C1243" s="20" cm="1">
        <f t="array" ref="C1243">B1243+TIME(alea_int(1,4,Settings!$B$16),0,0)</f>
        <v>46165.75</v>
      </c>
    </row>
    <row r="1244" spans="1:3" ht="15.75" customHeight="1" x14ac:dyDescent="0.25">
      <c r="A1244" s="2" t="str" cm="1">
        <f t="array" ref="A1244">choice(Salles!A:A,1,Settings!$B$16)</f>
        <v>Salle4</v>
      </c>
      <c r="B1244" s="3" cm="1">
        <f t="array" ref="B1244">alea_date(Settings!$B$11,360,-1,Settings!$B$16)</f>
        <v>46122.5</v>
      </c>
      <c r="C1244" s="20" cm="1">
        <f t="array" ref="C1244">B1244+TIME(alea_int(1,4,Settings!$B$16),0,0)</f>
        <v>46122.666666666664</v>
      </c>
    </row>
    <row r="1245" spans="1:3" ht="15.75" customHeight="1" x14ac:dyDescent="0.25">
      <c r="A1245" s="2" t="str" cm="1">
        <f t="array" ref="A1245">choice(Salles!A:A,1,Settings!$B$16)</f>
        <v>Salle70</v>
      </c>
      <c r="B1245" s="3" cm="1">
        <f t="array" ref="B1245">alea_date(Settings!$B$11,360,-1,Settings!$B$16)</f>
        <v>46254.583333333336</v>
      </c>
      <c r="C1245" s="20" cm="1">
        <f t="array" ref="C1245">B1245+TIME(alea_int(1,4,Settings!$B$16),0,0)</f>
        <v>46254.75</v>
      </c>
    </row>
    <row r="1246" spans="1:3" ht="15.75" customHeight="1" x14ac:dyDescent="0.25">
      <c r="A1246" s="2" t="str" cm="1">
        <f t="array" ref="A1246">choice(Salles!A:A,1,Settings!$B$16)</f>
        <v>Salle27</v>
      </c>
      <c r="B1246" s="3" cm="1">
        <f t="array" ref="B1246">alea_date(Settings!$B$11,360,-1,Settings!$B$16)</f>
        <v>46161.625</v>
      </c>
      <c r="C1246" s="20" cm="1">
        <f t="array" ref="C1246">B1246+TIME(alea_int(1,4,Settings!$B$16),0,0)</f>
        <v>46161.791666666664</v>
      </c>
    </row>
    <row r="1247" spans="1:3" ht="15.75" customHeight="1" x14ac:dyDescent="0.25">
      <c r="A1247" s="2" t="str" cm="1">
        <f t="array" ref="A1247">choice(Salles!A:A,1,Settings!$B$16)</f>
        <v>Salle17</v>
      </c>
      <c r="B1247" s="3" cm="1">
        <f t="array" ref="B1247">alea_date(Settings!$B$11,360,-1,Settings!$B$16)</f>
        <v>46275.5</v>
      </c>
      <c r="C1247" s="20" cm="1">
        <f t="array" ref="C1247">B1247+TIME(alea_int(1,4,Settings!$B$16),0,0)</f>
        <v>46275.666666666664</v>
      </c>
    </row>
    <row r="1248" spans="1:3" ht="15.75" customHeight="1" x14ac:dyDescent="0.25">
      <c r="A1248" s="2" t="str" cm="1">
        <f t="array" ref="A1248">choice(Salles!A:A,1,Settings!$B$16)</f>
        <v>Salle14</v>
      </c>
      <c r="B1248" s="3" cm="1">
        <f t="array" ref="B1248">alea_date(Settings!$B$11,360,-1,Settings!$B$16)</f>
        <v>46371.25</v>
      </c>
      <c r="C1248" s="20" cm="1">
        <f t="array" ref="C1248">B1248+TIME(alea_int(1,4,Settings!$B$16),0,0)</f>
        <v>46371.416666666664</v>
      </c>
    </row>
    <row r="1249" spans="1:3" ht="15.75" customHeight="1" x14ac:dyDescent="0.25">
      <c r="A1249" s="2" t="str" cm="1">
        <f t="array" ref="A1249">choice(Salles!A:A,1,Settings!$B$16)</f>
        <v>Salle66</v>
      </c>
      <c r="B1249" s="3" cm="1">
        <f t="array" ref="B1249">alea_date(Settings!$B$11,360,-1,Settings!$B$16)</f>
        <v>46257.625</v>
      </c>
      <c r="C1249" s="20" cm="1">
        <f t="array" ref="C1249">B1249+TIME(alea_int(1,4,Settings!$B$16),0,0)</f>
        <v>46257.791666666664</v>
      </c>
    </row>
    <row r="1250" spans="1:3" ht="15.75" customHeight="1" x14ac:dyDescent="0.25">
      <c r="A1250" s="2" t="str" cm="1">
        <f t="array" ref="A1250">choice(Salles!A:A,1,Settings!$B$16)</f>
        <v>Salle61</v>
      </c>
      <c r="B1250" s="3" cm="1">
        <f t="array" ref="B1250">alea_date(Settings!$B$11,360,-1,Settings!$B$16)</f>
        <v>46180.458333333336</v>
      </c>
      <c r="C1250" s="20" cm="1">
        <f t="array" ref="C1250">B1250+TIME(alea_int(1,4,Settings!$B$16),0,0)</f>
        <v>46180.625</v>
      </c>
    </row>
    <row r="1251" spans="1:3" ht="15.75" customHeight="1" x14ac:dyDescent="0.25">
      <c r="A1251" s="2" t="str" cm="1">
        <f t="array" ref="A1251">choice(Salles!A:A,1,Settings!$B$16)</f>
        <v>Salle38</v>
      </c>
      <c r="B1251" s="3" cm="1">
        <f t="array" ref="B1251">alea_date(Settings!$B$11,360,-1,Settings!$B$16)</f>
        <v>46191.25</v>
      </c>
      <c r="C1251" s="20" cm="1">
        <f t="array" ref="C1251">B1251+TIME(alea_int(1,4,Settings!$B$16),0,0)</f>
        <v>46191.416666666664</v>
      </c>
    </row>
    <row r="1252" spans="1:3" ht="15.75" customHeight="1" x14ac:dyDescent="0.25">
      <c r="A1252" s="2" t="str" cm="1">
        <f t="array" ref="A1252">choice(Salles!A:A,1,Settings!$B$16)</f>
        <v>Salle39</v>
      </c>
      <c r="B1252" s="3" cm="1">
        <f t="array" ref="B1252">alea_date(Settings!$B$11,360,-1,Settings!$B$16)</f>
        <v>46346.375</v>
      </c>
      <c r="C1252" s="20" cm="1">
        <f t="array" ref="C1252">B1252+TIME(alea_int(1,4,Settings!$B$16),0,0)</f>
        <v>46346.541666666664</v>
      </c>
    </row>
    <row r="1253" spans="1:3" ht="15.75" customHeight="1" x14ac:dyDescent="0.25">
      <c r="A1253" s="2" t="str" cm="1">
        <f t="array" ref="A1253">choice(Salles!A:A,1,Settings!$B$16)</f>
        <v>Salle1</v>
      </c>
      <c r="B1253" s="3" cm="1">
        <f t="array" ref="B1253">alea_date(Settings!$B$11,360,-1,Settings!$B$16)</f>
        <v>46155.333333333336</v>
      </c>
      <c r="C1253" s="20" cm="1">
        <f t="array" ref="C1253">B1253+TIME(alea_int(1,4,Settings!$B$16),0,0)</f>
        <v>46155.5</v>
      </c>
    </row>
    <row r="1254" spans="1:3" ht="15.75" customHeight="1" x14ac:dyDescent="0.25">
      <c r="A1254" s="2" t="str" cm="1">
        <f t="array" ref="A1254">choice(Salles!A:A,1,Settings!$B$16)</f>
        <v>Salle25</v>
      </c>
      <c r="B1254" s="3" cm="1">
        <f t="array" ref="B1254">alea_date(Settings!$B$11,360,-1,Settings!$B$16)</f>
        <v>46065.541666666664</v>
      </c>
      <c r="C1254" s="20" cm="1">
        <f t="array" ref="C1254">B1254+TIME(alea_int(1,4,Settings!$B$16),0,0)</f>
        <v>46065.708333333328</v>
      </c>
    </row>
    <row r="1255" spans="1:3" ht="15.75" customHeight="1" x14ac:dyDescent="0.25">
      <c r="A1255" s="2" t="str" cm="1">
        <f t="array" ref="A1255">choice(Salles!A:A,1,Settings!$B$16)</f>
        <v>Salle22</v>
      </c>
      <c r="B1255" s="3" cm="1">
        <f t="array" ref="B1255">alea_date(Settings!$B$11,360,-1,Settings!$B$16)</f>
        <v>46230.625</v>
      </c>
      <c r="C1255" s="20" cm="1">
        <f t="array" ref="C1255">B1255+TIME(alea_int(1,4,Settings!$B$16),0,0)</f>
        <v>46230.791666666664</v>
      </c>
    </row>
    <row r="1256" spans="1:3" ht="15.75" customHeight="1" x14ac:dyDescent="0.25">
      <c r="A1256" s="2" t="str" cm="1">
        <f t="array" ref="A1256">choice(Salles!A:A,1,Settings!$B$16)</f>
        <v>Salle15</v>
      </c>
      <c r="B1256" s="3" cm="1">
        <f t="array" ref="B1256">alea_date(Settings!$B$11,360,-1,Settings!$B$16)</f>
        <v>46140.333333333336</v>
      </c>
      <c r="C1256" s="20" cm="1">
        <f t="array" ref="C1256">B1256+TIME(alea_int(1,4,Settings!$B$16),0,0)</f>
        <v>46140.5</v>
      </c>
    </row>
    <row r="1257" spans="1:3" ht="15.75" customHeight="1" x14ac:dyDescent="0.25">
      <c r="A1257" s="2" t="str" cm="1">
        <f t="array" ref="A1257">choice(Salles!A:A,1,Settings!$B$16)</f>
        <v>Salle39</v>
      </c>
      <c r="B1257" s="3" cm="1">
        <f t="array" ref="B1257">alea_date(Settings!$B$11,360,-1,Settings!$B$16)</f>
        <v>46238.25</v>
      </c>
      <c r="C1257" s="20" cm="1">
        <f t="array" ref="C1257">B1257+TIME(alea_int(1,4,Settings!$B$16),0,0)</f>
        <v>46238.416666666664</v>
      </c>
    </row>
    <row r="1258" spans="1:3" ht="15.75" customHeight="1" x14ac:dyDescent="0.25">
      <c r="A1258" s="2" t="str" cm="1">
        <f t="array" ref="A1258">choice(Salles!A:A,1,Settings!$B$16)</f>
        <v>Salle56</v>
      </c>
      <c r="B1258" s="3" cm="1">
        <f t="array" ref="B1258">alea_date(Settings!$B$11,360,-1,Settings!$B$16)</f>
        <v>46163.541666666664</v>
      </c>
      <c r="C1258" s="20" cm="1">
        <f t="array" ref="C1258">B1258+TIME(alea_int(1,4,Settings!$B$16),0,0)</f>
        <v>46163.708333333328</v>
      </c>
    </row>
    <row r="1259" spans="1:3" ht="15.75" customHeight="1" x14ac:dyDescent="0.25">
      <c r="A1259" s="2" t="str" cm="1">
        <f t="array" ref="A1259">choice(Salles!A:A,1,Settings!$B$16)</f>
        <v>Salle61</v>
      </c>
      <c r="B1259" s="3" cm="1">
        <f t="array" ref="B1259">alea_date(Settings!$B$11,360,-1,Settings!$B$16)</f>
        <v>46244.333333333336</v>
      </c>
      <c r="C1259" s="20" cm="1">
        <f t="array" ref="C1259">B1259+TIME(alea_int(1,4,Settings!$B$16),0,0)</f>
        <v>46244.5</v>
      </c>
    </row>
    <row r="1260" spans="1:3" ht="15.75" customHeight="1" x14ac:dyDescent="0.25">
      <c r="A1260" s="2" t="str" cm="1">
        <f t="array" ref="A1260">choice(Salles!A:A,1,Settings!$B$16)</f>
        <v>Salle1</v>
      </c>
      <c r="B1260" s="3" cm="1">
        <f t="array" ref="B1260">alea_date(Settings!$B$11,360,-1,Settings!$B$16)</f>
        <v>46340.375</v>
      </c>
      <c r="C1260" s="20" cm="1">
        <f t="array" ref="C1260">B1260+TIME(alea_int(1,4,Settings!$B$16),0,0)</f>
        <v>46340.541666666664</v>
      </c>
    </row>
    <row r="1261" spans="1:3" ht="15.75" customHeight="1" x14ac:dyDescent="0.25">
      <c r="A1261" s="2" t="str" cm="1">
        <f t="array" ref="A1261">choice(Salles!A:A,1,Settings!$B$16)</f>
        <v>Salle12</v>
      </c>
      <c r="B1261" s="3" cm="1">
        <f t="array" ref="B1261">alea_date(Settings!$B$11,360,-1,Settings!$B$16)</f>
        <v>46140.25</v>
      </c>
      <c r="C1261" s="20" cm="1">
        <f t="array" ref="C1261">B1261+TIME(alea_int(1,4,Settings!$B$16),0,0)</f>
        <v>46140.416666666664</v>
      </c>
    </row>
    <row r="1262" spans="1:3" ht="15.75" customHeight="1" x14ac:dyDescent="0.25">
      <c r="A1262" s="2" t="str" cm="1">
        <f t="array" ref="A1262">choice(Salles!A:A,1,Settings!$B$16)</f>
        <v>Salle17</v>
      </c>
      <c r="B1262" s="3" cm="1">
        <f t="array" ref="B1262">alea_date(Settings!$B$11,360,-1,Settings!$B$16)</f>
        <v>46382.416666666664</v>
      </c>
      <c r="C1262" s="20" cm="1">
        <f t="array" ref="C1262">B1262+TIME(alea_int(1,4,Settings!$B$16),0,0)</f>
        <v>46382.583333333328</v>
      </c>
    </row>
    <row r="1263" spans="1:3" ht="15.75" customHeight="1" x14ac:dyDescent="0.25">
      <c r="A1263" s="2" t="str" cm="1">
        <f t="array" ref="A1263">choice(Salles!A:A,1,Settings!$B$16)</f>
        <v>Salle18</v>
      </c>
      <c r="B1263" s="3" cm="1">
        <f t="array" ref="B1263">alea_date(Settings!$B$11,360,-1,Settings!$B$16)</f>
        <v>46357.541666666664</v>
      </c>
      <c r="C1263" s="20" cm="1">
        <f t="array" ref="C1263">B1263+TIME(alea_int(1,4,Settings!$B$16),0,0)</f>
        <v>46357.708333333328</v>
      </c>
    </row>
    <row r="1264" spans="1:3" ht="15.75" customHeight="1" x14ac:dyDescent="0.25">
      <c r="A1264" s="2" t="str" cm="1">
        <f t="array" ref="A1264">choice(Salles!A:A,1,Settings!$B$16)</f>
        <v>Salle48</v>
      </c>
      <c r="B1264" s="3" cm="1">
        <f t="array" ref="B1264">alea_date(Settings!$B$11,360,-1,Settings!$B$16)</f>
        <v>46221.333333333336</v>
      </c>
      <c r="C1264" s="20" cm="1">
        <f t="array" ref="C1264">B1264+TIME(alea_int(1,4,Settings!$B$16),0,0)</f>
        <v>46221.5</v>
      </c>
    </row>
    <row r="1265" spans="1:3" ht="15.75" customHeight="1" x14ac:dyDescent="0.25">
      <c r="A1265" s="2" t="str" cm="1">
        <f t="array" ref="A1265">choice(Salles!A:A,1,Settings!$B$16)</f>
        <v>Salle32</v>
      </c>
      <c r="B1265" s="3" cm="1">
        <f t="array" ref="B1265">alea_date(Settings!$B$11,360,-1,Settings!$B$16)</f>
        <v>46299.583333333336</v>
      </c>
      <c r="C1265" s="20" cm="1">
        <f t="array" ref="C1265">B1265+TIME(alea_int(1,4,Settings!$B$16),0,0)</f>
        <v>46299.75</v>
      </c>
    </row>
    <row r="1266" spans="1:3" ht="15.75" customHeight="1" x14ac:dyDescent="0.25">
      <c r="A1266" s="2" t="str" cm="1">
        <f t="array" ref="A1266">choice(Salles!A:A,1,Settings!$B$16)</f>
        <v>Salle8</v>
      </c>
      <c r="B1266" s="3" cm="1">
        <f t="array" ref="B1266">alea_date(Settings!$B$11,360,-1,Settings!$B$16)</f>
        <v>46230.458333333336</v>
      </c>
      <c r="C1266" s="20" cm="1">
        <f t="array" ref="C1266">B1266+TIME(alea_int(1,4,Settings!$B$16),0,0)</f>
        <v>46230.625</v>
      </c>
    </row>
    <row r="1267" spans="1:3" ht="15.75" customHeight="1" x14ac:dyDescent="0.25">
      <c r="A1267" s="2" t="str" cm="1">
        <f t="array" ref="A1267">choice(Salles!A:A,1,Settings!$B$16)</f>
        <v>Salle49</v>
      </c>
      <c r="B1267" s="3" cm="1">
        <f t="array" ref="B1267">alea_date(Settings!$B$11,360,-1,Settings!$B$16)</f>
        <v>46289.625</v>
      </c>
      <c r="C1267" s="20" cm="1">
        <f t="array" ref="C1267">B1267+TIME(alea_int(1,4,Settings!$B$16),0,0)</f>
        <v>46289.791666666664</v>
      </c>
    </row>
    <row r="1268" spans="1:3" ht="15.75" customHeight="1" x14ac:dyDescent="0.25">
      <c r="A1268" s="2" t="str" cm="1">
        <f t="array" ref="A1268">choice(Salles!A:A,1,Settings!$B$16)</f>
        <v>Salle6</v>
      </c>
      <c r="B1268" s="3" cm="1">
        <f t="array" ref="B1268">alea_date(Settings!$B$11,360,-1,Settings!$B$16)</f>
        <v>46140.416666666664</v>
      </c>
      <c r="C1268" s="20" cm="1">
        <f t="array" ref="C1268">B1268+TIME(alea_int(1,4,Settings!$B$16),0,0)</f>
        <v>46140.583333333328</v>
      </c>
    </row>
    <row r="1269" spans="1:3" ht="15.75" customHeight="1" x14ac:dyDescent="0.25">
      <c r="A1269" s="2" t="str" cm="1">
        <f t="array" ref="A1269">choice(Salles!A:A,1,Settings!$B$16)</f>
        <v>Salle36</v>
      </c>
      <c r="B1269" s="3" cm="1">
        <f t="array" ref="B1269">alea_date(Settings!$B$11,360,-1,Settings!$B$16)</f>
        <v>46142.291666666664</v>
      </c>
      <c r="C1269" s="20" cm="1">
        <f t="array" ref="C1269">B1269+TIME(alea_int(1,4,Settings!$B$16),0,0)</f>
        <v>46142.458333333328</v>
      </c>
    </row>
    <row r="1270" spans="1:3" ht="15.75" customHeight="1" x14ac:dyDescent="0.25">
      <c r="A1270" s="2" t="str" cm="1">
        <f t="array" ref="A1270">choice(Salles!A:A,1,Settings!$B$16)</f>
        <v>Salle20</v>
      </c>
      <c r="B1270" s="3" cm="1">
        <f t="array" ref="B1270">alea_date(Settings!$B$11,360,-1,Settings!$B$16)</f>
        <v>46276.541666666664</v>
      </c>
      <c r="C1270" s="20" cm="1">
        <f t="array" ref="C1270">B1270+TIME(alea_int(1,4,Settings!$B$16),0,0)</f>
        <v>46276.708333333328</v>
      </c>
    </row>
    <row r="1271" spans="1:3" ht="15.75" customHeight="1" x14ac:dyDescent="0.25">
      <c r="A1271" s="2" t="str" cm="1">
        <f t="array" ref="A1271">choice(Salles!A:A,1,Settings!$B$16)</f>
        <v>Salle24</v>
      </c>
      <c r="B1271" s="3" cm="1">
        <f t="array" ref="B1271">alea_date(Settings!$B$11,360,-1,Settings!$B$16)</f>
        <v>46380.458333333336</v>
      </c>
      <c r="C1271" s="20" cm="1">
        <f t="array" ref="C1271">B1271+TIME(alea_int(1,4,Settings!$B$16),0,0)</f>
        <v>46380.625</v>
      </c>
    </row>
    <row r="1272" spans="1:3" ht="15.75" customHeight="1" x14ac:dyDescent="0.25">
      <c r="A1272" s="2" t="str" cm="1">
        <f t="array" ref="A1272">choice(Salles!A:A,1,Settings!$B$16)</f>
        <v>Salle40</v>
      </c>
      <c r="B1272" s="3" cm="1">
        <f t="array" ref="B1272">alea_date(Settings!$B$11,360,-1,Settings!$B$16)</f>
        <v>46250.416666666664</v>
      </c>
      <c r="C1272" s="20" cm="1">
        <f t="array" ref="C1272">B1272+TIME(alea_int(1,4,Settings!$B$16),0,0)</f>
        <v>46250.583333333328</v>
      </c>
    </row>
    <row r="1273" spans="1:3" ht="15.75" customHeight="1" x14ac:dyDescent="0.25">
      <c r="A1273" s="2" t="str" cm="1">
        <f t="array" ref="A1273">choice(Salles!A:A,1,Settings!$B$16)</f>
        <v>Salle67</v>
      </c>
      <c r="B1273" s="3" cm="1">
        <f t="array" ref="B1273">alea_date(Settings!$B$11,360,-1,Settings!$B$16)</f>
        <v>46269.625</v>
      </c>
      <c r="C1273" s="20" cm="1">
        <f t="array" ref="C1273">B1273+TIME(alea_int(1,4,Settings!$B$16),0,0)</f>
        <v>46269.791666666664</v>
      </c>
    </row>
    <row r="1274" spans="1:3" ht="15.75" customHeight="1" x14ac:dyDescent="0.25">
      <c r="A1274" s="2" t="str" cm="1">
        <f t="array" ref="A1274">choice(Salles!A:A,1,Settings!$B$16)</f>
        <v>Salle55</v>
      </c>
      <c r="B1274" s="3" cm="1">
        <f t="array" ref="B1274">alea_date(Settings!$B$11,360,-1,Settings!$B$16)</f>
        <v>46315.541666666664</v>
      </c>
      <c r="C1274" s="20" cm="1">
        <f t="array" ref="C1274">B1274+TIME(alea_int(1,4,Settings!$B$16),0,0)</f>
        <v>46315.708333333328</v>
      </c>
    </row>
    <row r="1275" spans="1:3" ht="15.75" customHeight="1" x14ac:dyDescent="0.25">
      <c r="A1275" s="2" t="str" cm="1">
        <f t="array" ref="A1275">choice(Salles!A:A,1,Settings!$B$16)</f>
        <v>Salle63</v>
      </c>
      <c r="B1275" s="3" cm="1">
        <f t="array" ref="B1275">alea_date(Settings!$B$11,360,-1,Settings!$B$16)</f>
        <v>46069.583333333336</v>
      </c>
      <c r="C1275" s="20" cm="1">
        <f t="array" ref="C1275">B1275+TIME(alea_int(1,4,Settings!$B$16),0,0)</f>
        <v>46069.75</v>
      </c>
    </row>
    <row r="1276" spans="1:3" ht="15.75" customHeight="1" x14ac:dyDescent="0.25">
      <c r="A1276" s="2" t="str" cm="1">
        <f t="array" ref="A1276">choice(Salles!A:A,1,Settings!$B$16)</f>
        <v>Salle33</v>
      </c>
      <c r="B1276" s="3" cm="1">
        <f t="array" ref="B1276">alea_date(Settings!$B$11,360,-1,Settings!$B$16)</f>
        <v>46382.291666666664</v>
      </c>
      <c r="C1276" s="20" cm="1">
        <f t="array" ref="C1276">B1276+TIME(alea_int(1,4,Settings!$B$16),0,0)</f>
        <v>46382.458333333328</v>
      </c>
    </row>
    <row r="1277" spans="1:3" ht="15.75" customHeight="1" x14ac:dyDescent="0.25">
      <c r="A1277" s="2" t="str" cm="1">
        <f t="array" ref="A1277">choice(Salles!A:A,1,Settings!$B$16)</f>
        <v>Salle50</v>
      </c>
      <c r="B1277" s="3" cm="1">
        <f t="array" ref="B1277">alea_date(Settings!$B$11,360,-1,Settings!$B$16)</f>
        <v>46369.583333333336</v>
      </c>
      <c r="C1277" s="20" cm="1">
        <f t="array" ref="C1277">B1277+TIME(alea_int(1,4,Settings!$B$16),0,0)</f>
        <v>46369.75</v>
      </c>
    </row>
    <row r="1278" spans="1:3" ht="15.75" customHeight="1" x14ac:dyDescent="0.25">
      <c r="A1278" s="2" t="str" cm="1">
        <f t="array" ref="A1278">choice(Salles!A:A,1,Settings!$B$16)</f>
        <v>Salle67</v>
      </c>
      <c r="B1278" s="3" cm="1">
        <f t="array" ref="B1278">alea_date(Settings!$B$11,360,-1,Settings!$B$16)</f>
        <v>46067.5</v>
      </c>
      <c r="C1278" s="20" cm="1">
        <f t="array" ref="C1278">B1278+TIME(alea_int(1,4,Settings!$B$16),0,0)</f>
        <v>46067.666666666664</v>
      </c>
    </row>
    <row r="1279" spans="1:3" ht="15.75" customHeight="1" x14ac:dyDescent="0.25">
      <c r="A1279" s="2" t="str" cm="1">
        <f t="array" ref="A1279">choice(Salles!A:A,1,Settings!$B$16)</f>
        <v>Salle44</v>
      </c>
      <c r="B1279" s="3" cm="1">
        <f t="array" ref="B1279">alea_date(Settings!$B$11,360,-1,Settings!$B$16)</f>
        <v>46137.583333333336</v>
      </c>
      <c r="C1279" s="20" cm="1">
        <f t="array" ref="C1279">B1279+TIME(alea_int(1,4,Settings!$B$16),0,0)</f>
        <v>46137.75</v>
      </c>
    </row>
    <row r="1280" spans="1:3" ht="15.75" customHeight="1" x14ac:dyDescent="0.25">
      <c r="A1280" s="2" t="str" cm="1">
        <f t="array" ref="A1280">choice(Salles!A:A,1,Settings!$B$16)</f>
        <v>Salle8</v>
      </c>
      <c r="B1280" s="3" cm="1">
        <f t="array" ref="B1280">alea_date(Settings!$B$11,360,-1,Settings!$B$16)</f>
        <v>46242.5</v>
      </c>
      <c r="C1280" s="20" cm="1">
        <f t="array" ref="C1280">B1280+TIME(alea_int(1,4,Settings!$B$16),0,0)</f>
        <v>46242.666666666664</v>
      </c>
    </row>
    <row r="1281" spans="1:3" ht="15.75" customHeight="1" x14ac:dyDescent="0.25">
      <c r="A1281" s="2" t="str" cm="1">
        <f t="array" ref="A1281">choice(Salles!A:A,1,Settings!$B$16)</f>
        <v>Salle31</v>
      </c>
      <c r="B1281" s="3" cm="1">
        <f t="array" ref="B1281">alea_date(Settings!$B$11,360,-1,Settings!$B$16)</f>
        <v>46369.375</v>
      </c>
      <c r="C1281" s="20" cm="1">
        <f t="array" ref="C1281">B1281+TIME(alea_int(1,4,Settings!$B$16),0,0)</f>
        <v>46369.541666666664</v>
      </c>
    </row>
    <row r="1282" spans="1:3" ht="15.75" customHeight="1" x14ac:dyDescent="0.25">
      <c r="A1282" s="2" t="str" cm="1">
        <f t="array" ref="A1282">choice(Salles!A:A,1,Settings!$B$16)</f>
        <v>Salle45</v>
      </c>
      <c r="B1282" s="3" cm="1">
        <f t="array" ref="B1282">alea_date(Settings!$B$11,360,-1,Settings!$B$16)</f>
        <v>46208.625</v>
      </c>
      <c r="C1282" s="20" cm="1">
        <f t="array" ref="C1282">B1282+TIME(alea_int(1,4,Settings!$B$16),0,0)</f>
        <v>46208.791666666664</v>
      </c>
    </row>
    <row r="1283" spans="1:3" ht="15.75" customHeight="1" x14ac:dyDescent="0.25">
      <c r="A1283" s="2" t="str" cm="1">
        <f t="array" ref="A1283">choice(Salles!A:A,1,Settings!$B$16)</f>
        <v>Salle70</v>
      </c>
      <c r="B1283" s="3" cm="1">
        <f t="array" ref="B1283">alea_date(Settings!$B$11,360,-1,Settings!$B$16)</f>
        <v>46223.333333333336</v>
      </c>
      <c r="C1283" s="20" cm="1">
        <f t="array" ref="C1283">B1283+TIME(alea_int(1,4,Settings!$B$16),0,0)</f>
        <v>46223.5</v>
      </c>
    </row>
    <row r="1284" spans="1:3" ht="15.75" customHeight="1" x14ac:dyDescent="0.25">
      <c r="A1284" s="2" t="str" cm="1">
        <f t="array" ref="A1284">choice(Salles!A:A,1,Settings!$B$16)</f>
        <v>Salle50</v>
      </c>
      <c r="B1284" s="3" cm="1">
        <f t="array" ref="B1284">alea_date(Settings!$B$11,360,-1,Settings!$B$16)</f>
        <v>46351.291666666664</v>
      </c>
      <c r="C1284" s="20" cm="1">
        <f t="array" ref="C1284">B1284+TIME(alea_int(1,4,Settings!$B$16),0,0)</f>
        <v>46351.458333333328</v>
      </c>
    </row>
    <row r="1285" spans="1:3" ht="15.75" customHeight="1" x14ac:dyDescent="0.25">
      <c r="A1285" s="2" t="str" cm="1">
        <f t="array" ref="A1285">choice(Salles!A:A,1,Settings!$B$16)</f>
        <v>Salle27</v>
      </c>
      <c r="B1285" s="3" cm="1">
        <f t="array" ref="B1285">alea_date(Settings!$B$11,360,-1,Settings!$B$16)</f>
        <v>46076.375</v>
      </c>
      <c r="C1285" s="20" cm="1">
        <f t="array" ref="C1285">B1285+TIME(alea_int(1,4,Settings!$B$16),0,0)</f>
        <v>46076.541666666664</v>
      </c>
    </row>
    <row r="1286" spans="1:3" ht="15.75" customHeight="1" x14ac:dyDescent="0.25">
      <c r="A1286" s="2" t="str" cm="1">
        <f t="array" ref="A1286">choice(Salles!A:A,1,Settings!$B$16)</f>
        <v>Salle25</v>
      </c>
      <c r="B1286" s="3" cm="1">
        <f t="array" ref="B1286">alea_date(Settings!$B$11,360,-1,Settings!$B$16)</f>
        <v>46151.5</v>
      </c>
      <c r="C1286" s="20" cm="1">
        <f t="array" ref="C1286">B1286+TIME(alea_int(1,4,Settings!$B$16),0,0)</f>
        <v>46151.666666666664</v>
      </c>
    </row>
    <row r="1287" spans="1:3" ht="15.75" customHeight="1" x14ac:dyDescent="0.25">
      <c r="A1287" s="2" t="str" cm="1">
        <f t="array" ref="A1287">choice(Salles!A:A,1,Settings!$B$16)</f>
        <v>Salle30</v>
      </c>
      <c r="B1287" s="3" cm="1">
        <f t="array" ref="B1287">alea_date(Settings!$B$11,360,-1,Settings!$B$16)</f>
        <v>46187.625</v>
      </c>
      <c r="C1287" s="20" cm="1">
        <f t="array" ref="C1287">B1287+TIME(alea_int(1,4,Settings!$B$16),0,0)</f>
        <v>46187.791666666664</v>
      </c>
    </row>
    <row r="1288" spans="1:3" ht="15.75" customHeight="1" x14ac:dyDescent="0.25">
      <c r="A1288" s="2" t="str" cm="1">
        <f t="array" ref="A1288">choice(Salles!A:A,1,Settings!$B$16)</f>
        <v>Salle35</v>
      </c>
      <c r="B1288" s="3" cm="1">
        <f t="array" ref="B1288">alea_date(Settings!$B$11,360,-1,Settings!$B$16)</f>
        <v>46339.541666666664</v>
      </c>
      <c r="C1288" s="20" cm="1">
        <f t="array" ref="C1288">B1288+TIME(alea_int(1,4,Settings!$B$16),0,0)</f>
        <v>46339.708333333328</v>
      </c>
    </row>
    <row r="1289" spans="1:3" ht="15.75" customHeight="1" x14ac:dyDescent="0.25">
      <c r="A1289" s="2" t="str" cm="1">
        <f t="array" ref="A1289">choice(Salles!A:A,1,Settings!$B$16)</f>
        <v>Salle16</v>
      </c>
      <c r="B1289" s="3" cm="1">
        <f t="array" ref="B1289">alea_date(Settings!$B$11,360,-1,Settings!$B$16)</f>
        <v>46230.625</v>
      </c>
      <c r="C1289" s="20" cm="1">
        <f t="array" ref="C1289">B1289+TIME(alea_int(1,4,Settings!$B$16),0,0)</f>
        <v>46230.791666666664</v>
      </c>
    </row>
    <row r="1290" spans="1:3" ht="15.75" customHeight="1" x14ac:dyDescent="0.25">
      <c r="A1290" s="2" t="str" cm="1">
        <f t="array" ref="A1290">choice(Salles!A:A,1,Settings!$B$16)</f>
        <v>Salle40</v>
      </c>
      <c r="B1290" s="3" cm="1">
        <f t="array" ref="B1290">alea_date(Settings!$B$11,360,-1,Settings!$B$16)</f>
        <v>46298.333333333336</v>
      </c>
      <c r="C1290" s="20" cm="1">
        <f t="array" ref="C1290">B1290+TIME(alea_int(1,4,Settings!$B$16),0,0)</f>
        <v>46298.5</v>
      </c>
    </row>
    <row r="1291" spans="1:3" ht="15.75" customHeight="1" x14ac:dyDescent="0.25">
      <c r="A1291" s="2" t="str" cm="1">
        <f t="array" ref="A1291">choice(Salles!A:A,1,Settings!$B$16)</f>
        <v>Salle40</v>
      </c>
      <c r="B1291" s="3" cm="1">
        <f t="array" ref="B1291">alea_date(Settings!$B$11,360,-1,Settings!$B$16)</f>
        <v>46282.541666666664</v>
      </c>
      <c r="C1291" s="20" cm="1">
        <f t="array" ref="C1291">B1291+TIME(alea_int(1,4,Settings!$B$16),0,0)</f>
        <v>46282.708333333328</v>
      </c>
    </row>
    <row r="1292" spans="1:3" ht="15.75" customHeight="1" x14ac:dyDescent="0.25">
      <c r="A1292" s="2" t="str" cm="1">
        <f t="array" ref="A1292">choice(Salles!A:A,1,Settings!$B$16)</f>
        <v>Salle70</v>
      </c>
      <c r="B1292" s="3" cm="1">
        <f t="array" ref="B1292">alea_date(Settings!$B$11,360,-1,Settings!$B$16)</f>
        <v>46061.375</v>
      </c>
      <c r="C1292" s="20" cm="1">
        <f t="array" ref="C1292">B1292+TIME(alea_int(1,4,Settings!$B$16),0,0)</f>
        <v>46061.541666666664</v>
      </c>
    </row>
    <row r="1293" spans="1:3" ht="15.75" customHeight="1" x14ac:dyDescent="0.25">
      <c r="A1293" s="2" t="str" cm="1">
        <f t="array" ref="A1293">choice(Salles!A:A,1,Settings!$B$16)</f>
        <v>Salle8</v>
      </c>
      <c r="B1293" s="3" cm="1">
        <f t="array" ref="B1293">alea_date(Settings!$B$11,360,-1,Settings!$B$16)</f>
        <v>46182.375</v>
      </c>
      <c r="C1293" s="20" cm="1">
        <f t="array" ref="C1293">B1293+TIME(alea_int(1,4,Settings!$B$16),0,0)</f>
        <v>46182.541666666664</v>
      </c>
    </row>
    <row r="1294" spans="1:3" ht="15.75" customHeight="1" x14ac:dyDescent="0.25">
      <c r="A1294" s="2" t="str" cm="1">
        <f t="array" ref="A1294">choice(Salles!A:A,1,Settings!$B$16)</f>
        <v>Salle26</v>
      </c>
      <c r="B1294" s="3" cm="1">
        <f t="array" ref="B1294">alea_date(Settings!$B$11,360,-1,Settings!$B$16)</f>
        <v>46193.333333333336</v>
      </c>
      <c r="C1294" s="20" cm="1">
        <f t="array" ref="C1294">B1294+TIME(alea_int(1,4,Settings!$B$16),0,0)</f>
        <v>46193.5</v>
      </c>
    </row>
    <row r="1295" spans="1:3" ht="15.75" customHeight="1" x14ac:dyDescent="0.25">
      <c r="A1295" s="2" t="str" cm="1">
        <f t="array" ref="A1295">choice(Salles!A:A,1,Settings!$B$16)</f>
        <v>Salle3</v>
      </c>
      <c r="B1295" s="3" cm="1">
        <f t="array" ref="B1295">alea_date(Settings!$B$11,360,-1,Settings!$B$16)</f>
        <v>46341.583333333336</v>
      </c>
      <c r="C1295" s="20" cm="1">
        <f t="array" ref="C1295">B1295+TIME(alea_int(1,4,Settings!$B$16),0,0)</f>
        <v>46341.75</v>
      </c>
    </row>
    <row r="1296" spans="1:3" ht="15.75" customHeight="1" x14ac:dyDescent="0.25">
      <c r="A1296" s="2" t="str" cm="1">
        <f t="array" ref="A1296">choice(Salles!A:A,1,Settings!$B$16)</f>
        <v>Salle54</v>
      </c>
      <c r="B1296" s="3" cm="1">
        <f t="array" ref="B1296">alea_date(Settings!$B$11,360,-1,Settings!$B$16)</f>
        <v>46310.625</v>
      </c>
      <c r="C1296" s="20" cm="1">
        <f t="array" ref="C1296">B1296+TIME(alea_int(1,4,Settings!$B$16),0,0)</f>
        <v>46310.791666666664</v>
      </c>
    </row>
    <row r="1297" spans="1:3" ht="15.75" customHeight="1" x14ac:dyDescent="0.25">
      <c r="A1297" s="2" t="str" cm="1">
        <f t="array" ref="A1297">choice(Salles!A:A,1,Settings!$B$16)</f>
        <v>Salle21</v>
      </c>
      <c r="B1297" s="3" cm="1">
        <f t="array" ref="B1297">alea_date(Settings!$B$11,360,-1,Settings!$B$16)</f>
        <v>46333.25</v>
      </c>
      <c r="C1297" s="20" cm="1">
        <f t="array" ref="C1297">B1297+TIME(alea_int(1,4,Settings!$B$16),0,0)</f>
        <v>46333.416666666664</v>
      </c>
    </row>
    <row r="1298" spans="1:3" ht="15.75" customHeight="1" x14ac:dyDescent="0.25">
      <c r="A1298" s="2" t="str" cm="1">
        <f t="array" ref="A1298">choice(Salles!A:A,1,Settings!$B$16)</f>
        <v>Salle21</v>
      </c>
      <c r="B1298" s="3" cm="1">
        <f t="array" ref="B1298">alea_date(Settings!$B$11,360,-1,Settings!$B$16)</f>
        <v>46092.5</v>
      </c>
      <c r="C1298" s="20" cm="1">
        <f t="array" ref="C1298">B1298+TIME(alea_int(1,4,Settings!$B$16),0,0)</f>
        <v>46092.666666666664</v>
      </c>
    </row>
    <row r="1299" spans="1:3" ht="15.75" customHeight="1" x14ac:dyDescent="0.25">
      <c r="A1299" s="2" t="str" cm="1">
        <f t="array" ref="A1299">choice(Salles!A:A,1,Settings!$B$16)</f>
        <v>Salle38</v>
      </c>
      <c r="B1299" s="3" cm="1">
        <f t="array" ref="B1299">alea_date(Settings!$B$11,360,-1,Settings!$B$16)</f>
        <v>46230.416666666664</v>
      </c>
      <c r="C1299" s="20" cm="1">
        <f t="array" ref="C1299">B1299+TIME(alea_int(1,4,Settings!$B$16),0,0)</f>
        <v>46230.583333333328</v>
      </c>
    </row>
    <row r="1300" spans="1:3" ht="15.75" customHeight="1" x14ac:dyDescent="0.25">
      <c r="A1300" s="2" t="str" cm="1">
        <f t="array" ref="A1300">choice(Salles!A:A,1,Settings!$B$16)</f>
        <v>Salle56</v>
      </c>
      <c r="B1300" s="3" cm="1">
        <f t="array" ref="B1300">alea_date(Settings!$B$11,360,-1,Settings!$B$16)</f>
        <v>46334.333333333336</v>
      </c>
      <c r="C1300" s="20" cm="1">
        <f t="array" ref="C1300">B1300+TIME(alea_int(1,4,Settings!$B$16),0,0)</f>
        <v>46334.5</v>
      </c>
    </row>
    <row r="1301" spans="1:3" ht="15.75" customHeight="1" x14ac:dyDescent="0.25">
      <c r="A1301" s="2" t="str" cm="1">
        <f t="array" ref="A1301">choice(Salles!A:A,1,Settings!$B$16)</f>
        <v>Salle8</v>
      </c>
      <c r="B1301" s="3" cm="1">
        <f t="array" ref="B1301">alea_date(Settings!$B$11,360,-1,Settings!$B$16)</f>
        <v>46210.458333333336</v>
      </c>
      <c r="C1301" s="20" cm="1">
        <f t="array" ref="C1301">B1301+TIME(alea_int(1,4,Settings!$B$16),0,0)</f>
        <v>46210.625</v>
      </c>
    </row>
    <row r="1302" spans="1:3" ht="15.75" customHeight="1" x14ac:dyDescent="0.25">
      <c r="A1302" s="2" t="str" cm="1">
        <f t="array" ref="A1302">choice(Salles!A:A,1,Settings!$B$16)</f>
        <v>Salle10</v>
      </c>
      <c r="B1302" s="3" cm="1">
        <f t="array" ref="B1302">alea_date(Settings!$B$11,360,-1,Settings!$B$16)</f>
        <v>46314.583333333336</v>
      </c>
      <c r="C1302" s="20" cm="1">
        <f t="array" ref="C1302">B1302+TIME(alea_int(1,4,Settings!$B$16),0,0)</f>
        <v>46314.75</v>
      </c>
    </row>
    <row r="1303" spans="1:3" ht="15.75" customHeight="1" x14ac:dyDescent="0.25">
      <c r="A1303" s="2" t="str" cm="1">
        <f t="array" ref="A1303">choice(Salles!A:A,1,Settings!$B$16)</f>
        <v>Salle9</v>
      </c>
      <c r="B1303" s="3" cm="1">
        <f t="array" ref="B1303">alea_date(Settings!$B$11,360,-1,Settings!$B$16)</f>
        <v>46306.5</v>
      </c>
      <c r="C1303" s="20" cm="1">
        <f t="array" ref="C1303">B1303+TIME(alea_int(1,4,Settings!$B$16),0,0)</f>
        <v>46306.666666666664</v>
      </c>
    </row>
    <row r="1304" spans="1:3" ht="15.75" customHeight="1" x14ac:dyDescent="0.25">
      <c r="A1304" s="2" t="str" cm="1">
        <f t="array" ref="A1304">choice(Salles!A:A,1,Settings!$B$16)</f>
        <v>Salle32</v>
      </c>
      <c r="B1304" s="3" cm="1">
        <f t="array" ref="B1304">alea_date(Settings!$B$11,360,-1,Settings!$B$16)</f>
        <v>46309.5</v>
      </c>
      <c r="C1304" s="20" cm="1">
        <f t="array" ref="C1304">B1304+TIME(alea_int(1,4,Settings!$B$16),0,0)</f>
        <v>46309.666666666664</v>
      </c>
    </row>
    <row r="1305" spans="1:3" ht="15.75" customHeight="1" x14ac:dyDescent="0.25">
      <c r="A1305" s="2" t="str" cm="1">
        <f t="array" ref="A1305">choice(Salles!A:A,1,Settings!$B$16)</f>
        <v>Salle62</v>
      </c>
      <c r="B1305" s="3" cm="1">
        <f t="array" ref="B1305">alea_date(Settings!$B$11,360,-1,Settings!$B$16)</f>
        <v>46365.541666666664</v>
      </c>
      <c r="C1305" s="20" cm="1">
        <f t="array" ref="C1305">B1305+TIME(alea_int(1,4,Settings!$B$16),0,0)</f>
        <v>46365.708333333328</v>
      </c>
    </row>
    <row r="1306" spans="1:3" ht="15.75" customHeight="1" x14ac:dyDescent="0.25">
      <c r="A1306" s="2" t="str" cm="1">
        <f t="array" ref="A1306">choice(Salles!A:A,1,Settings!$B$16)</f>
        <v>Salle44</v>
      </c>
      <c r="B1306" s="3" cm="1">
        <f t="array" ref="B1306">alea_date(Settings!$B$11,360,-1,Settings!$B$16)</f>
        <v>46339.541666666664</v>
      </c>
      <c r="C1306" s="20" cm="1">
        <f t="array" ref="C1306">B1306+TIME(alea_int(1,4,Settings!$B$16),0,0)</f>
        <v>46339.708333333328</v>
      </c>
    </row>
    <row r="1307" spans="1:3" ht="15.75" customHeight="1" x14ac:dyDescent="0.25">
      <c r="A1307" s="2" t="str" cm="1">
        <f t="array" ref="A1307">choice(Salles!A:A,1,Settings!$B$16)</f>
        <v>Salle49</v>
      </c>
      <c r="B1307" s="3" cm="1">
        <f t="array" ref="B1307">alea_date(Settings!$B$11,360,-1,Settings!$B$16)</f>
        <v>46236.541666666664</v>
      </c>
      <c r="C1307" s="20" cm="1">
        <f t="array" ref="C1307">B1307+TIME(alea_int(1,4,Settings!$B$16),0,0)</f>
        <v>46236.708333333328</v>
      </c>
    </row>
    <row r="1308" spans="1:3" ht="15.75" customHeight="1" x14ac:dyDescent="0.25">
      <c r="A1308" s="2" t="str" cm="1">
        <f t="array" ref="A1308">choice(Salles!A:A,1,Settings!$B$16)</f>
        <v>Salle64</v>
      </c>
      <c r="B1308" s="3" cm="1">
        <f t="array" ref="B1308">alea_date(Settings!$B$11,360,-1,Settings!$B$16)</f>
        <v>46239.541666666664</v>
      </c>
      <c r="C1308" s="20" cm="1">
        <f t="array" ref="C1308">B1308+TIME(alea_int(1,4,Settings!$B$16),0,0)</f>
        <v>46239.708333333328</v>
      </c>
    </row>
    <row r="1309" spans="1:3" ht="15.75" customHeight="1" x14ac:dyDescent="0.25">
      <c r="A1309" s="2" t="str" cm="1">
        <f t="array" ref="A1309">choice(Salles!A:A,1,Settings!$B$16)</f>
        <v>Salle12</v>
      </c>
      <c r="B1309" s="3" cm="1">
        <f t="array" ref="B1309">alea_date(Settings!$B$11,360,-1,Settings!$B$16)</f>
        <v>46383.583333333336</v>
      </c>
      <c r="C1309" s="20" cm="1">
        <f t="array" ref="C1309">B1309+TIME(alea_int(1,4,Settings!$B$16),0,0)</f>
        <v>46383.75</v>
      </c>
    </row>
    <row r="1310" spans="1:3" ht="15.75" customHeight="1" x14ac:dyDescent="0.25">
      <c r="A1310" s="2" t="str" cm="1">
        <f t="array" ref="A1310">choice(Salles!A:A,1,Settings!$B$16)</f>
        <v>Salle65</v>
      </c>
      <c r="B1310" s="3" cm="1">
        <f t="array" ref="B1310">alea_date(Settings!$B$11,360,-1,Settings!$B$16)</f>
        <v>46035.583333333336</v>
      </c>
      <c r="C1310" s="20" cm="1">
        <f t="array" ref="C1310">B1310+TIME(alea_int(1,4,Settings!$B$16),0,0)</f>
        <v>46035.75</v>
      </c>
    </row>
    <row r="1311" spans="1:3" ht="15.75" customHeight="1" x14ac:dyDescent="0.25">
      <c r="A1311" s="2" t="str" cm="1">
        <f t="array" ref="A1311">choice(Salles!A:A,1,Settings!$B$16)</f>
        <v>Salle15</v>
      </c>
      <c r="B1311" s="3" cm="1">
        <f t="array" ref="B1311">alea_date(Settings!$B$11,360,-1,Settings!$B$16)</f>
        <v>46252.625</v>
      </c>
      <c r="C1311" s="20" cm="1">
        <f t="array" ref="C1311">B1311+TIME(alea_int(1,4,Settings!$B$16),0,0)</f>
        <v>46252.791666666664</v>
      </c>
    </row>
    <row r="1312" spans="1:3" ht="15.75" customHeight="1" x14ac:dyDescent="0.25">
      <c r="A1312" s="2" t="str" cm="1">
        <f t="array" ref="A1312">choice(Salles!A:A,1,Settings!$B$16)</f>
        <v>Salle36</v>
      </c>
      <c r="B1312" s="3" cm="1">
        <f t="array" ref="B1312">alea_date(Settings!$B$11,360,-1,Settings!$B$16)</f>
        <v>46135.625</v>
      </c>
      <c r="C1312" s="20" cm="1">
        <f t="array" ref="C1312">B1312+TIME(alea_int(1,4,Settings!$B$16),0,0)</f>
        <v>46135.791666666664</v>
      </c>
    </row>
    <row r="1313" spans="1:3" ht="15.75" customHeight="1" x14ac:dyDescent="0.25">
      <c r="A1313" s="2" t="str" cm="1">
        <f t="array" ref="A1313">choice(Salles!A:A,1,Settings!$B$16)</f>
        <v>Salle2</v>
      </c>
      <c r="B1313" s="3" cm="1">
        <f t="array" ref="B1313">alea_date(Settings!$B$11,360,-1,Settings!$B$16)</f>
        <v>46281.375</v>
      </c>
      <c r="C1313" s="20" cm="1">
        <f t="array" ref="C1313">B1313+TIME(alea_int(1,4,Settings!$B$16),0,0)</f>
        <v>46281.541666666664</v>
      </c>
    </row>
    <row r="1314" spans="1:3" ht="15.75" customHeight="1" x14ac:dyDescent="0.25">
      <c r="A1314" s="2" t="str" cm="1">
        <f t="array" ref="A1314">choice(Salles!A:A,1,Settings!$B$16)</f>
        <v>Salle41</v>
      </c>
      <c r="B1314" s="3" cm="1">
        <f t="array" ref="B1314">alea_date(Settings!$B$11,360,-1,Settings!$B$16)</f>
        <v>46055.375</v>
      </c>
      <c r="C1314" s="20" cm="1">
        <f t="array" ref="C1314">B1314+TIME(alea_int(1,4,Settings!$B$16),0,0)</f>
        <v>46055.541666666664</v>
      </c>
    </row>
    <row r="1315" spans="1:3" ht="15.75" customHeight="1" x14ac:dyDescent="0.25">
      <c r="A1315" s="2" t="str" cm="1">
        <f t="array" ref="A1315">choice(Salles!A:A,1,Settings!$B$16)</f>
        <v>Salle49</v>
      </c>
      <c r="B1315" s="3" cm="1">
        <f t="array" ref="B1315">alea_date(Settings!$B$11,360,-1,Settings!$B$16)</f>
        <v>46306.541666666664</v>
      </c>
      <c r="C1315" s="20" cm="1">
        <f t="array" ref="C1315">B1315+TIME(alea_int(1,4,Settings!$B$16),0,0)</f>
        <v>46306.708333333328</v>
      </c>
    </row>
    <row r="1316" spans="1:3" ht="15.75" customHeight="1" x14ac:dyDescent="0.25">
      <c r="A1316" s="2" t="str" cm="1">
        <f t="array" ref="A1316">choice(Salles!A:A,1,Settings!$B$16)</f>
        <v>Salle37</v>
      </c>
      <c r="B1316" s="3" cm="1">
        <f t="array" ref="B1316">alea_date(Settings!$B$11,360,-1,Settings!$B$16)</f>
        <v>46058.583333333336</v>
      </c>
      <c r="C1316" s="20" cm="1">
        <f t="array" ref="C1316">B1316+TIME(alea_int(1,4,Settings!$B$16),0,0)</f>
        <v>46058.75</v>
      </c>
    </row>
    <row r="1317" spans="1:3" ht="15.75" customHeight="1" x14ac:dyDescent="0.25">
      <c r="A1317" s="2" t="str" cm="1">
        <f t="array" ref="A1317">choice(Salles!A:A,1,Settings!$B$16)</f>
        <v>Salle39</v>
      </c>
      <c r="B1317" s="3" cm="1">
        <f t="array" ref="B1317">alea_date(Settings!$B$11,360,-1,Settings!$B$16)</f>
        <v>46156.333333333336</v>
      </c>
      <c r="C1317" s="20" cm="1">
        <f t="array" ref="C1317">B1317+TIME(alea_int(1,4,Settings!$B$16),0,0)</f>
        <v>46156.5</v>
      </c>
    </row>
    <row r="1318" spans="1:3" ht="15.75" customHeight="1" x14ac:dyDescent="0.25">
      <c r="A1318" s="2" t="str" cm="1">
        <f t="array" ref="A1318">choice(Salles!A:A,1,Settings!$B$16)</f>
        <v>Salle28</v>
      </c>
      <c r="B1318" s="3" cm="1">
        <f t="array" ref="B1318">alea_date(Settings!$B$11,360,-1,Settings!$B$16)</f>
        <v>46065.291666666664</v>
      </c>
      <c r="C1318" s="20" cm="1">
        <f t="array" ref="C1318">B1318+TIME(alea_int(1,4,Settings!$B$16),0,0)</f>
        <v>46065.458333333328</v>
      </c>
    </row>
    <row r="1319" spans="1:3" ht="15.75" customHeight="1" x14ac:dyDescent="0.25">
      <c r="A1319" s="2" t="str" cm="1">
        <f t="array" ref="A1319">choice(Salles!A:A,1,Settings!$B$16)</f>
        <v>Salle65</v>
      </c>
      <c r="B1319" s="3" cm="1">
        <f t="array" ref="B1319">alea_date(Settings!$B$11,360,-1,Settings!$B$16)</f>
        <v>46131.333333333336</v>
      </c>
      <c r="C1319" s="20" cm="1">
        <f t="array" ref="C1319">B1319+TIME(alea_int(1,4,Settings!$B$16),0,0)</f>
        <v>46131.5</v>
      </c>
    </row>
    <row r="1320" spans="1:3" ht="15.75" customHeight="1" x14ac:dyDescent="0.25">
      <c r="A1320" s="2" t="str" cm="1">
        <f t="array" ref="A1320">choice(Salles!A:A,1,Settings!$B$16)</f>
        <v>Salle8</v>
      </c>
      <c r="B1320" s="3" cm="1">
        <f t="array" ref="B1320">alea_date(Settings!$B$11,360,-1,Settings!$B$16)</f>
        <v>46275.458333333336</v>
      </c>
      <c r="C1320" s="20" cm="1">
        <f t="array" ref="C1320">B1320+TIME(alea_int(1,4,Settings!$B$16),0,0)</f>
        <v>46275.625</v>
      </c>
    </row>
    <row r="1321" spans="1:3" ht="15.75" customHeight="1" x14ac:dyDescent="0.25">
      <c r="A1321" s="2" t="str" cm="1">
        <f t="array" ref="A1321">choice(Salles!A:A,1,Settings!$B$16)</f>
        <v>Salle32</v>
      </c>
      <c r="B1321" s="3" cm="1">
        <f t="array" ref="B1321">alea_date(Settings!$B$11,360,-1,Settings!$B$16)</f>
        <v>46028.25</v>
      </c>
      <c r="C1321" s="20" cm="1">
        <f t="array" ref="C1321">B1321+TIME(alea_int(1,4,Settings!$B$16),0,0)</f>
        <v>46028.416666666664</v>
      </c>
    </row>
    <row r="1322" spans="1:3" ht="15.75" customHeight="1" x14ac:dyDescent="0.25">
      <c r="A1322" s="2" t="str" cm="1">
        <f t="array" ref="A1322">choice(Salles!A:A,1,Settings!$B$16)</f>
        <v>Salle14</v>
      </c>
      <c r="B1322" s="3" cm="1">
        <f t="array" ref="B1322">alea_date(Settings!$B$11,360,-1,Settings!$B$16)</f>
        <v>46157.5</v>
      </c>
      <c r="C1322" s="20" cm="1">
        <f t="array" ref="C1322">B1322+TIME(alea_int(1,4,Settings!$B$16),0,0)</f>
        <v>46157.666666666664</v>
      </c>
    </row>
    <row r="1323" spans="1:3" ht="15.75" customHeight="1" x14ac:dyDescent="0.25">
      <c r="A1323" s="2" t="str" cm="1">
        <f t="array" ref="A1323">choice(Salles!A:A,1,Settings!$B$16)</f>
        <v>Salle37</v>
      </c>
      <c r="B1323" s="3" cm="1">
        <f t="array" ref="B1323">alea_date(Settings!$B$11,360,-1,Settings!$B$16)</f>
        <v>46329.416666666664</v>
      </c>
      <c r="C1323" s="20" cm="1">
        <f t="array" ref="C1323">B1323+TIME(alea_int(1,4,Settings!$B$16),0,0)</f>
        <v>46329.583333333328</v>
      </c>
    </row>
    <row r="1324" spans="1:3" ht="15.75" customHeight="1" x14ac:dyDescent="0.25">
      <c r="A1324" s="2" t="str" cm="1">
        <f t="array" ref="A1324">choice(Salles!A:A,1,Settings!$B$16)</f>
        <v>Salle22</v>
      </c>
      <c r="B1324" s="3" cm="1">
        <f t="array" ref="B1324">alea_date(Settings!$B$11,360,-1,Settings!$B$16)</f>
        <v>46155.291666666664</v>
      </c>
      <c r="C1324" s="20" cm="1">
        <f t="array" ref="C1324">B1324+TIME(alea_int(1,4,Settings!$B$16),0,0)</f>
        <v>46155.458333333328</v>
      </c>
    </row>
    <row r="1325" spans="1:3" ht="15.75" customHeight="1" x14ac:dyDescent="0.25">
      <c r="A1325" s="2" t="str" cm="1">
        <f t="array" ref="A1325">choice(Salles!A:A,1,Settings!$B$16)</f>
        <v>Salle58</v>
      </c>
      <c r="B1325" s="3" cm="1">
        <f t="array" ref="B1325">alea_date(Settings!$B$11,360,-1,Settings!$B$16)</f>
        <v>46102.375</v>
      </c>
      <c r="C1325" s="20" cm="1">
        <f t="array" ref="C1325">B1325+TIME(alea_int(1,4,Settings!$B$16),0,0)</f>
        <v>46102.541666666664</v>
      </c>
    </row>
    <row r="1326" spans="1:3" ht="15.75" customHeight="1" x14ac:dyDescent="0.25">
      <c r="A1326" s="2" t="str" cm="1">
        <f t="array" ref="A1326">choice(Salles!A:A,1,Settings!$B$16)</f>
        <v>Salle12</v>
      </c>
      <c r="B1326" s="3" cm="1">
        <f t="array" ref="B1326">alea_date(Settings!$B$11,360,-1,Settings!$B$16)</f>
        <v>46048.625</v>
      </c>
      <c r="C1326" s="20" cm="1">
        <f t="array" ref="C1326">B1326+TIME(alea_int(1,4,Settings!$B$16),0,0)</f>
        <v>46048.791666666664</v>
      </c>
    </row>
    <row r="1327" spans="1:3" ht="15.75" customHeight="1" x14ac:dyDescent="0.25">
      <c r="A1327" s="2" t="str" cm="1">
        <f t="array" ref="A1327">choice(Salles!A:A,1,Settings!$B$16)</f>
        <v>Salle69</v>
      </c>
      <c r="B1327" s="3" cm="1">
        <f t="array" ref="B1327">alea_date(Settings!$B$11,360,-1,Settings!$B$16)</f>
        <v>46160.458333333336</v>
      </c>
      <c r="C1327" s="20" cm="1">
        <f t="array" ref="C1327">B1327+TIME(alea_int(1,4,Settings!$B$16),0,0)</f>
        <v>46160.625</v>
      </c>
    </row>
    <row r="1328" spans="1:3" ht="15.75" customHeight="1" x14ac:dyDescent="0.25">
      <c r="A1328" s="2" t="str" cm="1">
        <f t="array" ref="A1328">choice(Salles!A:A,1,Settings!$B$16)</f>
        <v>Salle30</v>
      </c>
      <c r="B1328" s="3" cm="1">
        <f t="array" ref="B1328">alea_date(Settings!$B$11,360,-1,Settings!$B$16)</f>
        <v>46080.333333333336</v>
      </c>
      <c r="C1328" s="20" cm="1">
        <f t="array" ref="C1328">B1328+TIME(alea_int(1,4,Settings!$B$16),0,0)</f>
        <v>46080.5</v>
      </c>
    </row>
    <row r="1329" spans="1:3" ht="15.75" customHeight="1" x14ac:dyDescent="0.25">
      <c r="A1329" s="2" t="str" cm="1">
        <f t="array" ref="A1329">choice(Salles!A:A,1,Settings!$B$16)</f>
        <v>Salle21</v>
      </c>
      <c r="B1329" s="3" cm="1">
        <f t="array" ref="B1329">alea_date(Settings!$B$11,360,-1,Settings!$B$16)</f>
        <v>46124.375</v>
      </c>
      <c r="C1329" s="20" cm="1">
        <f t="array" ref="C1329">B1329+TIME(alea_int(1,4,Settings!$B$16),0,0)</f>
        <v>46124.541666666664</v>
      </c>
    </row>
    <row r="1330" spans="1:3" ht="15.75" customHeight="1" x14ac:dyDescent="0.25">
      <c r="A1330" s="2" t="str" cm="1">
        <f t="array" ref="A1330">choice(Salles!A:A,1,Settings!$B$16)</f>
        <v>Salle67</v>
      </c>
      <c r="B1330" s="3" cm="1">
        <f t="array" ref="B1330">alea_date(Settings!$B$11,360,-1,Settings!$B$16)</f>
        <v>46350.458333333336</v>
      </c>
      <c r="C1330" s="20" cm="1">
        <f t="array" ref="C1330">B1330+TIME(alea_int(1,4,Settings!$B$16),0,0)</f>
        <v>46350.625</v>
      </c>
    </row>
    <row r="1331" spans="1:3" ht="15.75" customHeight="1" x14ac:dyDescent="0.25">
      <c r="A1331" s="2" t="str" cm="1">
        <f t="array" ref="A1331">choice(Salles!A:A,1,Settings!$B$16)</f>
        <v>Salle69</v>
      </c>
      <c r="B1331" s="3" cm="1">
        <f t="array" ref="B1331">alea_date(Settings!$B$11,360,-1,Settings!$B$16)</f>
        <v>46169.458333333336</v>
      </c>
      <c r="C1331" s="20" cm="1">
        <f t="array" ref="C1331">B1331+TIME(alea_int(1,4,Settings!$B$16),0,0)</f>
        <v>46169.625</v>
      </c>
    </row>
    <row r="1332" spans="1:3" ht="15.75" customHeight="1" x14ac:dyDescent="0.25">
      <c r="A1332" s="2" t="str" cm="1">
        <f t="array" ref="A1332">choice(Salles!A:A,1,Settings!$B$16)</f>
        <v>Salle56</v>
      </c>
      <c r="B1332" s="3" cm="1">
        <f t="array" ref="B1332">alea_date(Settings!$B$11,360,-1,Settings!$B$16)</f>
        <v>46092.291666666664</v>
      </c>
      <c r="C1332" s="20" cm="1">
        <f t="array" ref="C1332">B1332+TIME(alea_int(1,4,Settings!$B$16),0,0)</f>
        <v>46092.458333333328</v>
      </c>
    </row>
    <row r="1333" spans="1:3" ht="15.75" customHeight="1" x14ac:dyDescent="0.25">
      <c r="A1333" s="2" t="str" cm="1">
        <f t="array" ref="A1333">choice(Salles!A:A,1,Settings!$B$16)</f>
        <v>Salle34</v>
      </c>
      <c r="B1333" s="3" cm="1">
        <f t="array" ref="B1333">alea_date(Settings!$B$11,360,-1,Settings!$B$16)</f>
        <v>46339.25</v>
      </c>
      <c r="C1333" s="20" cm="1">
        <f t="array" ref="C1333">B1333+TIME(alea_int(1,4,Settings!$B$16),0,0)</f>
        <v>46339.416666666664</v>
      </c>
    </row>
    <row r="1334" spans="1:3" ht="15.75" customHeight="1" x14ac:dyDescent="0.25">
      <c r="A1334" s="2" t="str" cm="1">
        <f t="array" ref="A1334">choice(Salles!A:A,1,Settings!$B$16)</f>
        <v>Salle22</v>
      </c>
      <c r="B1334" s="3" cm="1">
        <f t="array" ref="B1334">alea_date(Settings!$B$11,360,-1,Settings!$B$16)</f>
        <v>46323.291666666664</v>
      </c>
      <c r="C1334" s="20" cm="1">
        <f t="array" ref="C1334">B1334+TIME(alea_int(1,4,Settings!$B$16),0,0)</f>
        <v>46323.458333333328</v>
      </c>
    </row>
    <row r="1335" spans="1:3" ht="15.75" customHeight="1" x14ac:dyDescent="0.25">
      <c r="A1335" s="2" t="str" cm="1">
        <f t="array" ref="A1335">choice(Salles!A:A,1,Settings!$B$16)</f>
        <v>Salle12</v>
      </c>
      <c r="B1335" s="3" cm="1">
        <f t="array" ref="B1335">alea_date(Settings!$B$11,360,-1,Settings!$B$16)</f>
        <v>46272.416666666664</v>
      </c>
      <c r="C1335" s="20" cm="1">
        <f t="array" ref="C1335">B1335+TIME(alea_int(1,4,Settings!$B$16),0,0)</f>
        <v>46272.583333333328</v>
      </c>
    </row>
    <row r="1336" spans="1:3" ht="15.75" customHeight="1" x14ac:dyDescent="0.25">
      <c r="A1336" s="2" t="str" cm="1">
        <f t="array" ref="A1336">choice(Salles!A:A,1,Settings!$B$16)</f>
        <v>Salle13</v>
      </c>
      <c r="B1336" s="3" cm="1">
        <f t="array" ref="B1336">alea_date(Settings!$B$11,360,-1,Settings!$B$16)</f>
        <v>46262.333333333336</v>
      </c>
      <c r="C1336" s="20" cm="1">
        <f t="array" ref="C1336">B1336+TIME(alea_int(1,4,Settings!$B$16),0,0)</f>
        <v>46262.5</v>
      </c>
    </row>
    <row r="1337" spans="1:3" ht="15.75" customHeight="1" x14ac:dyDescent="0.25">
      <c r="A1337" s="2" t="str" cm="1">
        <f t="array" ref="A1337">choice(Salles!A:A,1,Settings!$B$16)</f>
        <v>Salle19</v>
      </c>
      <c r="B1337" s="3" cm="1">
        <f t="array" ref="B1337">alea_date(Settings!$B$11,360,-1,Settings!$B$16)</f>
        <v>46180.291666666664</v>
      </c>
      <c r="C1337" s="20" cm="1">
        <f t="array" ref="C1337">B1337+TIME(alea_int(1,4,Settings!$B$16),0,0)</f>
        <v>46180.458333333328</v>
      </c>
    </row>
    <row r="1338" spans="1:3" ht="15.75" customHeight="1" x14ac:dyDescent="0.25">
      <c r="A1338" s="2" t="str" cm="1">
        <f t="array" ref="A1338">choice(Salles!A:A,1,Settings!$B$16)</f>
        <v>Salle11</v>
      </c>
      <c r="B1338" s="3" cm="1">
        <f t="array" ref="B1338">alea_date(Settings!$B$11,360,-1,Settings!$B$16)</f>
        <v>46184.291666666664</v>
      </c>
      <c r="C1338" s="20" cm="1">
        <f t="array" ref="C1338">B1338+TIME(alea_int(1,4,Settings!$B$16),0,0)</f>
        <v>46184.458333333328</v>
      </c>
    </row>
    <row r="1339" spans="1:3" ht="15.75" customHeight="1" x14ac:dyDescent="0.25">
      <c r="A1339" s="2" t="str" cm="1">
        <f t="array" ref="A1339">choice(Salles!A:A,1,Settings!$B$16)</f>
        <v>Salle50</v>
      </c>
      <c r="B1339" s="3" cm="1">
        <f t="array" ref="B1339">alea_date(Settings!$B$11,360,-1,Settings!$B$16)</f>
        <v>46274.5</v>
      </c>
      <c r="C1339" s="20" cm="1">
        <f t="array" ref="C1339">B1339+TIME(alea_int(1,4,Settings!$B$16),0,0)</f>
        <v>46274.666666666664</v>
      </c>
    </row>
    <row r="1340" spans="1:3" ht="15.75" customHeight="1" x14ac:dyDescent="0.25">
      <c r="A1340" s="2" t="str" cm="1">
        <f t="array" ref="A1340">choice(Salles!A:A,1,Settings!$B$16)</f>
        <v>Salle54</v>
      </c>
      <c r="B1340" s="3" cm="1">
        <f t="array" ref="B1340">alea_date(Settings!$B$11,360,-1,Settings!$B$16)</f>
        <v>46236.333333333336</v>
      </c>
      <c r="C1340" s="20" cm="1">
        <f t="array" ref="C1340">B1340+TIME(alea_int(1,4,Settings!$B$16),0,0)</f>
        <v>46236.5</v>
      </c>
    </row>
    <row r="1341" spans="1:3" ht="15.75" customHeight="1" x14ac:dyDescent="0.25">
      <c r="A1341" s="2" t="str" cm="1">
        <f t="array" ref="A1341">choice(Salles!A:A,1,Settings!$B$16)</f>
        <v>Salle63</v>
      </c>
      <c r="B1341" s="3" cm="1">
        <f t="array" ref="B1341">alea_date(Settings!$B$11,360,-1,Settings!$B$16)</f>
        <v>46137.583333333336</v>
      </c>
      <c r="C1341" s="20" cm="1">
        <f t="array" ref="C1341">B1341+TIME(alea_int(1,4,Settings!$B$16),0,0)</f>
        <v>46137.75</v>
      </c>
    </row>
    <row r="1342" spans="1:3" ht="15.75" customHeight="1" x14ac:dyDescent="0.25">
      <c r="A1342" s="2" t="str" cm="1">
        <f t="array" ref="A1342">choice(Salles!A:A,1,Settings!$B$16)</f>
        <v>Salle37</v>
      </c>
      <c r="B1342" s="3" cm="1">
        <f t="array" ref="B1342">alea_date(Settings!$B$11,360,-1,Settings!$B$16)</f>
        <v>46086.291666666664</v>
      </c>
      <c r="C1342" s="20" cm="1">
        <f t="array" ref="C1342">B1342+TIME(alea_int(1,4,Settings!$B$16),0,0)</f>
        <v>46086.458333333328</v>
      </c>
    </row>
    <row r="1343" spans="1:3" ht="15.75" customHeight="1" x14ac:dyDescent="0.25">
      <c r="A1343" s="2" t="str" cm="1">
        <f t="array" ref="A1343">choice(Salles!A:A,1,Settings!$B$16)</f>
        <v>Salle55</v>
      </c>
      <c r="B1343" s="3" cm="1">
        <f t="array" ref="B1343">alea_date(Settings!$B$11,360,-1,Settings!$B$16)</f>
        <v>46298.625</v>
      </c>
      <c r="C1343" s="20" cm="1">
        <f t="array" ref="C1343">B1343+TIME(alea_int(1,4,Settings!$B$16),0,0)</f>
        <v>46298.791666666664</v>
      </c>
    </row>
    <row r="1344" spans="1:3" ht="15.75" customHeight="1" x14ac:dyDescent="0.25">
      <c r="A1344" s="2" t="str" cm="1">
        <f t="array" ref="A1344">choice(Salles!A:A,1,Settings!$B$16)</f>
        <v>Salle15</v>
      </c>
      <c r="B1344" s="3" cm="1">
        <f t="array" ref="B1344">alea_date(Settings!$B$11,360,-1,Settings!$B$16)</f>
        <v>46091.333333333336</v>
      </c>
      <c r="C1344" s="20" cm="1">
        <f t="array" ref="C1344">B1344+TIME(alea_int(1,4,Settings!$B$16),0,0)</f>
        <v>46091.5</v>
      </c>
    </row>
    <row r="1345" spans="1:3" ht="15.75" customHeight="1" x14ac:dyDescent="0.25">
      <c r="A1345" s="2" t="str" cm="1">
        <f t="array" ref="A1345">choice(Salles!A:A,1,Settings!$B$16)</f>
        <v>Salle43</v>
      </c>
      <c r="B1345" s="3" cm="1">
        <f t="array" ref="B1345">alea_date(Settings!$B$11,360,-1,Settings!$B$16)</f>
        <v>46073.25</v>
      </c>
      <c r="C1345" s="20" cm="1">
        <f t="array" ref="C1345">B1345+TIME(alea_int(1,4,Settings!$B$16),0,0)</f>
        <v>46073.416666666664</v>
      </c>
    </row>
    <row r="1346" spans="1:3" ht="15.75" customHeight="1" x14ac:dyDescent="0.25">
      <c r="A1346" s="2" t="str" cm="1">
        <f t="array" ref="A1346">choice(Salles!A:A,1,Settings!$B$16)</f>
        <v>Salle1</v>
      </c>
      <c r="B1346" s="3" cm="1">
        <f t="array" ref="B1346">alea_date(Settings!$B$11,360,-1,Settings!$B$16)</f>
        <v>46179.541666666664</v>
      </c>
      <c r="C1346" s="20" cm="1">
        <f t="array" ref="C1346">B1346+TIME(alea_int(1,4,Settings!$B$16),0,0)</f>
        <v>46179.708333333328</v>
      </c>
    </row>
    <row r="1347" spans="1:3" ht="15.75" customHeight="1" x14ac:dyDescent="0.25">
      <c r="A1347" s="2" t="str" cm="1">
        <f t="array" ref="A1347">choice(Salles!A:A,1,Settings!$B$16)</f>
        <v>Salle49</v>
      </c>
      <c r="B1347" s="3" cm="1">
        <f t="array" ref="B1347">alea_date(Settings!$B$11,360,-1,Settings!$B$16)</f>
        <v>46209.541666666664</v>
      </c>
      <c r="C1347" s="20" cm="1">
        <f t="array" ref="C1347">B1347+TIME(alea_int(1,4,Settings!$B$16),0,0)</f>
        <v>46209.708333333328</v>
      </c>
    </row>
    <row r="1348" spans="1:3" ht="15.75" customHeight="1" x14ac:dyDescent="0.25">
      <c r="A1348" s="2" t="str" cm="1">
        <f t="array" ref="A1348">choice(Salles!A:A,1,Settings!$B$16)</f>
        <v>Salle29</v>
      </c>
      <c r="B1348" s="3" cm="1">
        <f t="array" ref="B1348">alea_date(Settings!$B$11,360,-1,Settings!$B$16)</f>
        <v>46105.375</v>
      </c>
      <c r="C1348" s="20" cm="1">
        <f t="array" ref="C1348">B1348+TIME(alea_int(1,4,Settings!$B$16),0,0)</f>
        <v>46105.541666666664</v>
      </c>
    </row>
    <row r="1349" spans="1:3" ht="15.75" customHeight="1" x14ac:dyDescent="0.25">
      <c r="A1349" s="2" t="str" cm="1">
        <f t="array" ref="A1349">choice(Salles!A:A,1,Settings!$B$16)</f>
        <v>Salle30</v>
      </c>
      <c r="B1349" s="3" cm="1">
        <f t="array" ref="B1349">alea_date(Settings!$B$11,360,-1,Settings!$B$16)</f>
        <v>46199.416666666664</v>
      </c>
      <c r="C1349" s="20" cm="1">
        <f t="array" ref="C1349">B1349+TIME(alea_int(1,4,Settings!$B$16),0,0)</f>
        <v>46199.583333333328</v>
      </c>
    </row>
    <row r="1350" spans="1:3" ht="15.75" customHeight="1" x14ac:dyDescent="0.25">
      <c r="A1350" s="2" t="str" cm="1">
        <f t="array" ref="A1350">choice(Salles!A:A,1,Settings!$B$16)</f>
        <v>Salle59</v>
      </c>
      <c r="B1350" s="3" cm="1">
        <f t="array" ref="B1350">alea_date(Settings!$B$11,360,-1,Settings!$B$16)</f>
        <v>46261.25</v>
      </c>
      <c r="C1350" s="20" cm="1">
        <f t="array" ref="C1350">B1350+TIME(alea_int(1,4,Settings!$B$16),0,0)</f>
        <v>46261.416666666664</v>
      </c>
    </row>
    <row r="1351" spans="1:3" ht="15.75" customHeight="1" x14ac:dyDescent="0.25">
      <c r="A1351" s="2" t="str" cm="1">
        <f t="array" ref="A1351">choice(Salles!A:A,1,Settings!$B$16)</f>
        <v>Salle10</v>
      </c>
      <c r="B1351" s="3" cm="1">
        <f t="array" ref="B1351">alea_date(Settings!$B$11,360,-1,Settings!$B$16)</f>
        <v>46028.291666666664</v>
      </c>
      <c r="C1351" s="20" cm="1">
        <f t="array" ref="C1351">B1351+TIME(alea_int(1,4,Settings!$B$16),0,0)</f>
        <v>46028.458333333328</v>
      </c>
    </row>
    <row r="1352" spans="1:3" ht="15.75" customHeight="1" x14ac:dyDescent="0.25">
      <c r="A1352" s="2" t="str" cm="1">
        <f t="array" ref="A1352">choice(Salles!A:A,1,Settings!$B$16)</f>
        <v>Salle4</v>
      </c>
      <c r="B1352" s="3" cm="1">
        <f t="array" ref="B1352">alea_date(Settings!$B$11,360,-1,Settings!$B$16)</f>
        <v>46156.375</v>
      </c>
      <c r="C1352" s="20" cm="1">
        <f t="array" ref="C1352">B1352+TIME(alea_int(1,4,Settings!$B$16),0,0)</f>
        <v>46156.541666666664</v>
      </c>
    </row>
    <row r="1353" spans="1:3" ht="15.75" customHeight="1" x14ac:dyDescent="0.25">
      <c r="A1353" s="2" t="str" cm="1">
        <f t="array" ref="A1353">choice(Salles!A:A,1,Settings!$B$16)</f>
        <v>Salle51</v>
      </c>
      <c r="B1353" s="3" cm="1">
        <f t="array" ref="B1353">alea_date(Settings!$B$11,360,-1,Settings!$B$16)</f>
        <v>46145.333333333336</v>
      </c>
      <c r="C1353" s="20" cm="1">
        <f t="array" ref="C1353">B1353+TIME(alea_int(1,4,Settings!$B$16),0,0)</f>
        <v>46145.5</v>
      </c>
    </row>
    <row r="1354" spans="1:3" ht="15.75" customHeight="1" x14ac:dyDescent="0.25">
      <c r="A1354" s="2" t="str" cm="1">
        <f t="array" ref="A1354">choice(Salles!A:A,1,Settings!$B$16)</f>
        <v>Salle56</v>
      </c>
      <c r="B1354" s="3" cm="1">
        <f t="array" ref="B1354">alea_date(Settings!$B$11,360,-1,Settings!$B$16)</f>
        <v>46194.25</v>
      </c>
      <c r="C1354" s="20" cm="1">
        <f t="array" ref="C1354">B1354+TIME(alea_int(1,4,Settings!$B$16),0,0)</f>
        <v>46194.416666666664</v>
      </c>
    </row>
    <row r="1355" spans="1:3" ht="15.75" customHeight="1" x14ac:dyDescent="0.25">
      <c r="A1355" s="2" t="str" cm="1">
        <f t="array" ref="A1355">choice(Salles!A:A,1,Settings!$B$16)</f>
        <v>Salle11</v>
      </c>
      <c r="B1355" s="3" cm="1">
        <f t="array" ref="B1355">alea_date(Settings!$B$11,360,-1,Settings!$B$16)</f>
        <v>46038.458333333336</v>
      </c>
      <c r="C1355" s="20" cm="1">
        <f t="array" ref="C1355">B1355+TIME(alea_int(1,4,Settings!$B$16),0,0)</f>
        <v>46038.625</v>
      </c>
    </row>
    <row r="1356" spans="1:3" ht="15.75" customHeight="1" x14ac:dyDescent="0.25">
      <c r="A1356" s="2" t="str" cm="1">
        <f t="array" ref="A1356">choice(Salles!A:A,1,Settings!$B$16)</f>
        <v>Salle18</v>
      </c>
      <c r="B1356" s="3" cm="1">
        <f t="array" ref="B1356">alea_date(Settings!$B$11,360,-1,Settings!$B$16)</f>
        <v>46334.458333333336</v>
      </c>
      <c r="C1356" s="20" cm="1">
        <f t="array" ref="C1356">B1356+TIME(alea_int(1,4,Settings!$B$16),0,0)</f>
        <v>46334.625</v>
      </c>
    </row>
    <row r="1357" spans="1:3" ht="15.75" customHeight="1" x14ac:dyDescent="0.25">
      <c r="A1357" s="2" t="str" cm="1">
        <f t="array" ref="A1357">choice(Salles!A:A,1,Settings!$B$16)</f>
        <v>Salle22</v>
      </c>
      <c r="B1357" s="3" cm="1">
        <f t="array" ref="B1357">alea_date(Settings!$B$11,360,-1,Settings!$B$16)</f>
        <v>46266.416666666664</v>
      </c>
      <c r="C1357" s="20" cm="1">
        <f t="array" ref="C1357">B1357+TIME(alea_int(1,4,Settings!$B$16),0,0)</f>
        <v>46266.583333333328</v>
      </c>
    </row>
    <row r="1358" spans="1:3" ht="15.75" customHeight="1" x14ac:dyDescent="0.25">
      <c r="A1358" s="2" t="str" cm="1">
        <f t="array" ref="A1358">choice(Salles!A:A,1,Settings!$B$16)</f>
        <v>Salle67</v>
      </c>
      <c r="B1358" s="3" cm="1">
        <f t="array" ref="B1358">alea_date(Settings!$B$11,360,-1,Settings!$B$16)</f>
        <v>46062.625</v>
      </c>
      <c r="C1358" s="20" cm="1">
        <f t="array" ref="C1358">B1358+TIME(alea_int(1,4,Settings!$B$16),0,0)</f>
        <v>46062.791666666664</v>
      </c>
    </row>
    <row r="1359" spans="1:3" ht="15.75" customHeight="1" x14ac:dyDescent="0.25">
      <c r="A1359" s="2" t="str" cm="1">
        <f t="array" ref="A1359">choice(Salles!A:A,1,Settings!$B$16)</f>
        <v>Salle18</v>
      </c>
      <c r="B1359" s="3" cm="1">
        <f t="array" ref="B1359">alea_date(Settings!$B$11,360,-1,Settings!$B$16)</f>
        <v>46283.625</v>
      </c>
      <c r="C1359" s="20" cm="1">
        <f t="array" ref="C1359">B1359+TIME(alea_int(1,4,Settings!$B$16),0,0)</f>
        <v>46283.791666666664</v>
      </c>
    </row>
    <row r="1360" spans="1:3" ht="15.75" customHeight="1" x14ac:dyDescent="0.25">
      <c r="A1360" s="2" t="str" cm="1">
        <f t="array" ref="A1360">choice(Salles!A:A,1,Settings!$B$16)</f>
        <v>Salle41</v>
      </c>
      <c r="B1360" s="3" cm="1">
        <f t="array" ref="B1360">alea_date(Settings!$B$11,360,-1,Settings!$B$16)</f>
        <v>46297.375</v>
      </c>
      <c r="C1360" s="20" cm="1">
        <f t="array" ref="C1360">B1360+TIME(alea_int(1,4,Settings!$B$16),0,0)</f>
        <v>46297.541666666664</v>
      </c>
    </row>
    <row r="1361" spans="1:3" ht="15.75" customHeight="1" x14ac:dyDescent="0.25">
      <c r="A1361" s="2" t="str" cm="1">
        <f t="array" ref="A1361">choice(Salles!A:A,1,Settings!$B$16)</f>
        <v>Salle29</v>
      </c>
      <c r="B1361" s="3" cm="1">
        <f t="array" ref="B1361">alea_date(Settings!$B$11,360,-1,Settings!$B$16)</f>
        <v>46050.25</v>
      </c>
      <c r="C1361" s="20" cm="1">
        <f t="array" ref="C1361">B1361+TIME(alea_int(1,4,Settings!$B$16),0,0)</f>
        <v>46050.416666666664</v>
      </c>
    </row>
    <row r="1362" spans="1:3" ht="15.75" customHeight="1" x14ac:dyDescent="0.25">
      <c r="A1362" s="2" t="str" cm="1">
        <f t="array" ref="A1362">choice(Salles!A:A,1,Settings!$B$16)</f>
        <v>Salle35</v>
      </c>
      <c r="B1362" s="3" cm="1">
        <f t="array" ref="B1362">alea_date(Settings!$B$11,360,-1,Settings!$B$16)</f>
        <v>46123.583333333336</v>
      </c>
      <c r="C1362" s="20" cm="1">
        <f t="array" ref="C1362">B1362+TIME(alea_int(1,4,Settings!$B$16),0,0)</f>
        <v>46123.75</v>
      </c>
    </row>
    <row r="1363" spans="1:3" ht="15.75" customHeight="1" x14ac:dyDescent="0.25">
      <c r="A1363" s="2" t="str" cm="1">
        <f t="array" ref="A1363">choice(Salles!A:A,1,Settings!$B$16)</f>
        <v>Salle43</v>
      </c>
      <c r="B1363" s="3" cm="1">
        <f t="array" ref="B1363">alea_date(Settings!$B$11,360,-1,Settings!$B$16)</f>
        <v>46044.5</v>
      </c>
      <c r="C1363" s="20" cm="1">
        <f t="array" ref="C1363">B1363+TIME(alea_int(1,4,Settings!$B$16),0,0)</f>
        <v>46044.666666666664</v>
      </c>
    </row>
    <row r="1364" spans="1:3" ht="15.75" customHeight="1" x14ac:dyDescent="0.25">
      <c r="A1364" s="2" t="str" cm="1">
        <f t="array" ref="A1364">choice(Salles!A:A,1,Settings!$B$16)</f>
        <v>Salle16</v>
      </c>
      <c r="B1364" s="3" cm="1">
        <f t="array" ref="B1364">alea_date(Settings!$B$11,360,-1,Settings!$B$16)</f>
        <v>46307.416666666664</v>
      </c>
      <c r="C1364" s="20" cm="1">
        <f t="array" ref="C1364">B1364+TIME(alea_int(1,4,Settings!$B$16),0,0)</f>
        <v>46307.583333333328</v>
      </c>
    </row>
    <row r="1365" spans="1:3" ht="15.75" customHeight="1" x14ac:dyDescent="0.25">
      <c r="A1365" s="2" t="str" cm="1">
        <f t="array" ref="A1365">choice(Salles!A:A,1,Settings!$B$16)</f>
        <v>Salle18</v>
      </c>
      <c r="B1365" s="3" cm="1">
        <f t="array" ref="B1365">alea_date(Settings!$B$11,360,-1,Settings!$B$16)</f>
        <v>46325.25</v>
      </c>
      <c r="C1365" s="20" cm="1">
        <f t="array" ref="C1365">B1365+TIME(alea_int(1,4,Settings!$B$16),0,0)</f>
        <v>46325.416666666664</v>
      </c>
    </row>
    <row r="1366" spans="1:3" ht="15.75" customHeight="1" x14ac:dyDescent="0.25">
      <c r="A1366" s="2" t="str" cm="1">
        <f t="array" ref="A1366">choice(Salles!A:A,1,Settings!$B$16)</f>
        <v>Salle48</v>
      </c>
      <c r="B1366" s="3" cm="1">
        <f t="array" ref="B1366">alea_date(Settings!$B$11,360,-1,Settings!$B$16)</f>
        <v>46282.375</v>
      </c>
      <c r="C1366" s="20" cm="1">
        <f t="array" ref="C1366">B1366+TIME(alea_int(1,4,Settings!$B$16),0,0)</f>
        <v>46282.541666666664</v>
      </c>
    </row>
    <row r="1367" spans="1:3" ht="15.75" customHeight="1" x14ac:dyDescent="0.25">
      <c r="A1367" s="2" t="str" cm="1">
        <f t="array" ref="A1367">choice(Salles!A:A,1,Settings!$B$16)</f>
        <v>Salle70</v>
      </c>
      <c r="B1367" s="3" cm="1">
        <f t="array" ref="B1367">alea_date(Settings!$B$11,360,-1,Settings!$B$16)</f>
        <v>46367.375</v>
      </c>
      <c r="C1367" s="20" cm="1">
        <f t="array" ref="C1367">B1367+TIME(alea_int(1,4,Settings!$B$16),0,0)</f>
        <v>46367.541666666664</v>
      </c>
    </row>
    <row r="1368" spans="1:3" ht="15.75" customHeight="1" x14ac:dyDescent="0.25">
      <c r="A1368" s="2" t="str" cm="1">
        <f t="array" ref="A1368">choice(Salles!A:A,1,Settings!$B$16)</f>
        <v>Salle50</v>
      </c>
      <c r="B1368" s="3" cm="1">
        <f t="array" ref="B1368">alea_date(Settings!$B$11,360,-1,Settings!$B$16)</f>
        <v>46305.458333333336</v>
      </c>
      <c r="C1368" s="20" cm="1">
        <f t="array" ref="C1368">B1368+TIME(alea_int(1,4,Settings!$B$16),0,0)</f>
        <v>46305.625</v>
      </c>
    </row>
    <row r="1369" spans="1:3" ht="15.75" customHeight="1" x14ac:dyDescent="0.25">
      <c r="A1369" s="2" t="str" cm="1">
        <f t="array" ref="A1369">choice(Salles!A:A,1,Settings!$B$16)</f>
        <v>Salle47</v>
      </c>
      <c r="B1369" s="3" cm="1">
        <f t="array" ref="B1369">alea_date(Settings!$B$11,360,-1,Settings!$B$16)</f>
        <v>46188.291666666664</v>
      </c>
      <c r="C1369" s="20" cm="1">
        <f t="array" ref="C1369">B1369+TIME(alea_int(1,4,Settings!$B$16),0,0)</f>
        <v>46188.458333333328</v>
      </c>
    </row>
    <row r="1370" spans="1:3" ht="15.75" customHeight="1" x14ac:dyDescent="0.25">
      <c r="A1370" s="2" t="str" cm="1">
        <f t="array" ref="A1370">choice(Salles!A:A,1,Settings!$B$16)</f>
        <v>Salle50</v>
      </c>
      <c r="B1370" s="3" cm="1">
        <f t="array" ref="B1370">alea_date(Settings!$B$11,360,-1,Settings!$B$16)</f>
        <v>46351.333333333336</v>
      </c>
      <c r="C1370" s="20" cm="1">
        <f t="array" ref="C1370">B1370+TIME(alea_int(1,4,Settings!$B$16),0,0)</f>
        <v>46351.5</v>
      </c>
    </row>
    <row r="1371" spans="1:3" ht="15.75" customHeight="1" x14ac:dyDescent="0.25">
      <c r="A1371" s="2" t="str" cm="1">
        <f t="array" ref="A1371">choice(Salles!A:A,1,Settings!$B$16)</f>
        <v>Salle23</v>
      </c>
      <c r="B1371" s="3" cm="1">
        <f t="array" ref="B1371">alea_date(Settings!$B$11,360,-1,Settings!$B$16)</f>
        <v>46207.458333333336</v>
      </c>
      <c r="C1371" s="20" cm="1">
        <f t="array" ref="C1371">B1371+TIME(alea_int(1,4,Settings!$B$16),0,0)</f>
        <v>46207.625</v>
      </c>
    </row>
    <row r="1372" spans="1:3" ht="15.75" customHeight="1" x14ac:dyDescent="0.25">
      <c r="A1372" s="2" t="str" cm="1">
        <f t="array" ref="A1372">choice(Salles!A:A,1,Settings!$B$16)</f>
        <v>Salle24</v>
      </c>
      <c r="B1372" s="3" cm="1">
        <f t="array" ref="B1372">alea_date(Settings!$B$11,360,-1,Settings!$B$16)</f>
        <v>46145.541666666664</v>
      </c>
      <c r="C1372" s="20" cm="1">
        <f t="array" ref="C1372">B1372+TIME(alea_int(1,4,Settings!$B$16),0,0)</f>
        <v>46145.708333333328</v>
      </c>
    </row>
    <row r="1373" spans="1:3" ht="15.75" customHeight="1" x14ac:dyDescent="0.25">
      <c r="A1373" s="2" t="str" cm="1">
        <f t="array" ref="A1373">choice(Salles!A:A,1,Settings!$B$16)</f>
        <v>Salle19</v>
      </c>
      <c r="B1373" s="3" cm="1">
        <f t="array" ref="B1373">alea_date(Settings!$B$11,360,-1,Settings!$B$16)</f>
        <v>46245.375</v>
      </c>
      <c r="C1373" s="20" cm="1">
        <f t="array" ref="C1373">B1373+TIME(alea_int(1,4,Settings!$B$16),0,0)</f>
        <v>46245.541666666664</v>
      </c>
    </row>
    <row r="1374" spans="1:3" ht="15.75" customHeight="1" x14ac:dyDescent="0.25">
      <c r="A1374" s="2" t="str" cm="1">
        <f t="array" ref="A1374">choice(Salles!A:A,1,Settings!$B$16)</f>
        <v>Salle52</v>
      </c>
      <c r="B1374" s="3" cm="1">
        <f t="array" ref="B1374">alea_date(Settings!$B$11,360,-1,Settings!$B$16)</f>
        <v>46229.333333333336</v>
      </c>
      <c r="C1374" s="20" cm="1">
        <f t="array" ref="C1374">B1374+TIME(alea_int(1,4,Settings!$B$16),0,0)</f>
        <v>46229.5</v>
      </c>
    </row>
    <row r="1375" spans="1:3" ht="15.75" customHeight="1" x14ac:dyDescent="0.25">
      <c r="A1375" s="2" t="str" cm="1">
        <f t="array" ref="A1375">choice(Salles!A:A,1,Settings!$B$16)</f>
        <v>Salle7</v>
      </c>
      <c r="B1375" s="3" cm="1">
        <f t="array" ref="B1375">alea_date(Settings!$B$11,360,-1,Settings!$B$16)</f>
        <v>46358.583333333336</v>
      </c>
      <c r="C1375" s="20" cm="1">
        <f t="array" ref="C1375">B1375+TIME(alea_int(1,4,Settings!$B$16),0,0)</f>
        <v>46358.75</v>
      </c>
    </row>
    <row r="1376" spans="1:3" ht="15.75" customHeight="1" x14ac:dyDescent="0.25">
      <c r="A1376" s="2" t="str" cm="1">
        <f t="array" ref="A1376">choice(Salles!A:A,1,Settings!$B$16)</f>
        <v>Salle25</v>
      </c>
      <c r="B1376" s="3" cm="1">
        <f t="array" ref="B1376">alea_date(Settings!$B$11,360,-1,Settings!$B$16)</f>
        <v>46293.458333333336</v>
      </c>
      <c r="C1376" s="20" cm="1">
        <f t="array" ref="C1376">B1376+TIME(alea_int(1,4,Settings!$B$16),0,0)</f>
        <v>46293.625</v>
      </c>
    </row>
    <row r="1377" spans="1:3" ht="15.75" customHeight="1" x14ac:dyDescent="0.25">
      <c r="A1377" s="2" t="str" cm="1">
        <f t="array" ref="A1377">choice(Salles!A:A,1,Settings!$B$16)</f>
        <v>Salle69</v>
      </c>
      <c r="B1377" s="3" cm="1">
        <f t="array" ref="B1377">alea_date(Settings!$B$11,360,-1,Settings!$B$16)</f>
        <v>46340.25</v>
      </c>
      <c r="C1377" s="20" cm="1">
        <f t="array" ref="C1377">B1377+TIME(alea_int(1,4,Settings!$B$16),0,0)</f>
        <v>46340.416666666664</v>
      </c>
    </row>
    <row r="1378" spans="1:3" ht="15.75" customHeight="1" x14ac:dyDescent="0.25">
      <c r="A1378" s="2" t="str" cm="1">
        <f t="array" ref="A1378">choice(Salles!A:A,1,Settings!$B$16)</f>
        <v>Salle2</v>
      </c>
      <c r="B1378" s="3" cm="1">
        <f t="array" ref="B1378">alea_date(Settings!$B$11,360,-1,Settings!$B$16)</f>
        <v>46141.291666666664</v>
      </c>
      <c r="C1378" s="20" cm="1">
        <f t="array" ref="C1378">B1378+TIME(alea_int(1,4,Settings!$B$16),0,0)</f>
        <v>46141.458333333328</v>
      </c>
    </row>
    <row r="1379" spans="1:3" ht="15.75" customHeight="1" x14ac:dyDescent="0.25">
      <c r="A1379" s="2" t="str" cm="1">
        <f t="array" ref="A1379">choice(Salles!A:A,1,Settings!$B$16)</f>
        <v>Salle58</v>
      </c>
      <c r="B1379" s="3" cm="1">
        <f t="array" ref="B1379">alea_date(Settings!$B$11,360,-1,Settings!$B$16)</f>
        <v>46193.333333333336</v>
      </c>
      <c r="C1379" s="20" cm="1">
        <f t="array" ref="C1379">B1379+TIME(alea_int(1,4,Settings!$B$16),0,0)</f>
        <v>46193.5</v>
      </c>
    </row>
    <row r="1380" spans="1:3" ht="15.75" customHeight="1" x14ac:dyDescent="0.25">
      <c r="A1380" s="2" t="str" cm="1">
        <f t="array" ref="A1380">choice(Salles!A:A,1,Settings!$B$16)</f>
        <v>Salle21</v>
      </c>
      <c r="B1380" s="3" cm="1">
        <f t="array" ref="B1380">alea_date(Settings!$B$11,360,-1,Settings!$B$16)</f>
        <v>46178.625</v>
      </c>
      <c r="C1380" s="20" cm="1">
        <f t="array" ref="C1380">B1380+TIME(alea_int(1,4,Settings!$B$16),0,0)</f>
        <v>46178.791666666664</v>
      </c>
    </row>
    <row r="1381" spans="1:3" ht="15.75" customHeight="1" x14ac:dyDescent="0.25">
      <c r="A1381" s="2" t="str" cm="1">
        <f t="array" ref="A1381">choice(Salles!A:A,1,Settings!$B$16)</f>
        <v>Salle46</v>
      </c>
      <c r="B1381" s="3" cm="1">
        <f t="array" ref="B1381">alea_date(Settings!$B$11,360,-1,Settings!$B$16)</f>
        <v>46335.458333333336</v>
      </c>
      <c r="C1381" s="20" cm="1">
        <f t="array" ref="C1381">B1381+TIME(alea_int(1,4,Settings!$B$16),0,0)</f>
        <v>46335.625</v>
      </c>
    </row>
    <row r="1382" spans="1:3" ht="15.75" customHeight="1" x14ac:dyDescent="0.25">
      <c r="A1382" s="2" t="str" cm="1">
        <f t="array" ref="A1382">choice(Salles!A:A,1,Settings!$B$16)</f>
        <v>Salle29</v>
      </c>
      <c r="B1382" s="3" cm="1">
        <f t="array" ref="B1382">alea_date(Settings!$B$11,360,-1,Settings!$B$16)</f>
        <v>46143.583333333336</v>
      </c>
      <c r="C1382" s="20" cm="1">
        <f t="array" ref="C1382">B1382+TIME(alea_int(1,4,Settings!$B$16),0,0)</f>
        <v>46143.75</v>
      </c>
    </row>
    <row r="1383" spans="1:3" ht="15.75" customHeight="1" x14ac:dyDescent="0.25">
      <c r="A1383" s="2" t="str" cm="1">
        <f t="array" ref="A1383">choice(Salles!A:A,1,Settings!$B$16)</f>
        <v>Salle52</v>
      </c>
      <c r="B1383" s="3" cm="1">
        <f t="array" ref="B1383">alea_date(Settings!$B$11,360,-1,Settings!$B$16)</f>
        <v>46287.333333333336</v>
      </c>
      <c r="C1383" s="20" cm="1">
        <f t="array" ref="C1383">B1383+TIME(alea_int(1,4,Settings!$B$16),0,0)</f>
        <v>46287.5</v>
      </c>
    </row>
    <row r="1384" spans="1:3" ht="15.75" customHeight="1" x14ac:dyDescent="0.25">
      <c r="A1384" s="2" t="str" cm="1">
        <f t="array" ref="A1384">choice(Salles!A:A,1,Settings!$B$16)</f>
        <v>Salle38</v>
      </c>
      <c r="B1384" s="3" cm="1">
        <f t="array" ref="B1384">alea_date(Settings!$B$11,360,-1,Settings!$B$16)</f>
        <v>46164.625</v>
      </c>
      <c r="C1384" s="20" cm="1">
        <f t="array" ref="C1384">B1384+TIME(alea_int(1,4,Settings!$B$16),0,0)</f>
        <v>46164.791666666664</v>
      </c>
    </row>
    <row r="1385" spans="1:3" ht="15.75" customHeight="1" x14ac:dyDescent="0.25">
      <c r="A1385" s="2" t="str" cm="1">
        <f t="array" ref="A1385">choice(Salles!A:A,1,Settings!$B$16)</f>
        <v>Salle2</v>
      </c>
      <c r="B1385" s="3" cm="1">
        <f t="array" ref="B1385">alea_date(Settings!$B$11,360,-1,Settings!$B$16)</f>
        <v>46247.25</v>
      </c>
      <c r="C1385" s="20" cm="1">
        <f t="array" ref="C1385">B1385+TIME(alea_int(1,4,Settings!$B$16),0,0)</f>
        <v>46247.416666666664</v>
      </c>
    </row>
    <row r="1386" spans="1:3" ht="15.75" customHeight="1" x14ac:dyDescent="0.25">
      <c r="A1386" s="2" t="str" cm="1">
        <f t="array" ref="A1386">choice(Salles!A:A,1,Settings!$B$16)</f>
        <v>Salle4</v>
      </c>
      <c r="B1386" s="3" cm="1">
        <f t="array" ref="B1386">alea_date(Settings!$B$11,360,-1,Settings!$B$16)</f>
        <v>46196.333333333336</v>
      </c>
      <c r="C1386" s="20" cm="1">
        <f t="array" ref="C1386">B1386+TIME(alea_int(1,4,Settings!$B$16),0,0)</f>
        <v>46196.5</v>
      </c>
    </row>
    <row r="1387" spans="1:3" ht="15.75" customHeight="1" x14ac:dyDescent="0.25">
      <c r="A1387" s="2" t="str" cm="1">
        <f t="array" ref="A1387">choice(Salles!A:A,1,Settings!$B$16)</f>
        <v>Salle9</v>
      </c>
      <c r="B1387" s="3" cm="1">
        <f t="array" ref="B1387">alea_date(Settings!$B$11,360,-1,Settings!$B$16)</f>
        <v>46035.291666666664</v>
      </c>
      <c r="C1387" s="20" cm="1">
        <f t="array" ref="C1387">B1387+TIME(alea_int(1,4,Settings!$B$16),0,0)</f>
        <v>46035.458333333328</v>
      </c>
    </row>
    <row r="1388" spans="1:3" ht="15.75" customHeight="1" x14ac:dyDescent="0.25">
      <c r="A1388" s="2" t="str" cm="1">
        <f t="array" ref="A1388">choice(Salles!A:A,1,Settings!$B$16)</f>
        <v>Salle50</v>
      </c>
      <c r="B1388" s="3" cm="1">
        <f t="array" ref="B1388">alea_date(Settings!$B$11,360,-1,Settings!$B$16)</f>
        <v>46149.541666666664</v>
      </c>
      <c r="C1388" s="20" cm="1">
        <f t="array" ref="C1388">B1388+TIME(alea_int(1,4,Settings!$B$16),0,0)</f>
        <v>46149.708333333328</v>
      </c>
    </row>
    <row r="1389" spans="1:3" ht="15.75" customHeight="1" x14ac:dyDescent="0.25">
      <c r="A1389" s="2" t="str" cm="1">
        <f t="array" ref="A1389">choice(Salles!A:A,1,Settings!$B$16)</f>
        <v>Salle15</v>
      </c>
      <c r="B1389" s="3" cm="1">
        <f t="array" ref="B1389">alea_date(Settings!$B$11,360,-1,Settings!$B$16)</f>
        <v>46085.5</v>
      </c>
      <c r="C1389" s="20" cm="1">
        <f t="array" ref="C1389">B1389+TIME(alea_int(1,4,Settings!$B$16),0,0)</f>
        <v>46085.666666666664</v>
      </c>
    </row>
    <row r="1390" spans="1:3" ht="15.75" customHeight="1" x14ac:dyDescent="0.25">
      <c r="A1390" s="2" t="str" cm="1">
        <f t="array" ref="A1390">choice(Salles!A:A,1,Settings!$B$16)</f>
        <v>Salle26</v>
      </c>
      <c r="B1390" s="3" cm="1">
        <f t="array" ref="B1390">alea_date(Settings!$B$11,360,-1,Settings!$B$16)</f>
        <v>46311.291666666664</v>
      </c>
      <c r="C1390" s="20" cm="1">
        <f t="array" ref="C1390">B1390+TIME(alea_int(1,4,Settings!$B$16),0,0)</f>
        <v>46311.458333333328</v>
      </c>
    </row>
    <row r="1391" spans="1:3" ht="15.75" customHeight="1" x14ac:dyDescent="0.25">
      <c r="A1391" s="2" t="str" cm="1">
        <f t="array" ref="A1391">choice(Salles!A:A,1,Settings!$B$16)</f>
        <v>Salle7</v>
      </c>
      <c r="B1391" s="3" cm="1">
        <f t="array" ref="B1391">alea_date(Settings!$B$11,360,-1,Settings!$B$16)</f>
        <v>46266.333333333336</v>
      </c>
      <c r="C1391" s="20" cm="1">
        <f t="array" ref="C1391">B1391+TIME(alea_int(1,4,Settings!$B$16),0,0)</f>
        <v>46266.5</v>
      </c>
    </row>
    <row r="1392" spans="1:3" ht="15.75" customHeight="1" x14ac:dyDescent="0.25">
      <c r="A1392" s="2" t="str" cm="1">
        <f t="array" ref="A1392">choice(Salles!A:A,1,Settings!$B$16)</f>
        <v>Salle31</v>
      </c>
      <c r="B1392" s="3" cm="1">
        <f t="array" ref="B1392">alea_date(Settings!$B$11,360,-1,Settings!$B$16)</f>
        <v>46068.291666666664</v>
      </c>
      <c r="C1392" s="20" cm="1">
        <f t="array" ref="C1392">B1392+TIME(alea_int(1,4,Settings!$B$16),0,0)</f>
        <v>46068.458333333328</v>
      </c>
    </row>
    <row r="1393" spans="1:3" ht="15.75" customHeight="1" x14ac:dyDescent="0.25">
      <c r="A1393" s="2" t="str" cm="1">
        <f t="array" ref="A1393">choice(Salles!A:A,1,Settings!$B$16)</f>
        <v>Salle19</v>
      </c>
      <c r="B1393" s="3" cm="1">
        <f t="array" ref="B1393">alea_date(Settings!$B$11,360,-1,Settings!$B$16)</f>
        <v>46096.25</v>
      </c>
      <c r="C1393" s="20" cm="1">
        <f t="array" ref="C1393">B1393+TIME(alea_int(1,4,Settings!$B$16),0,0)</f>
        <v>46096.416666666664</v>
      </c>
    </row>
    <row r="1394" spans="1:3" ht="15.75" customHeight="1" x14ac:dyDescent="0.25">
      <c r="A1394" s="2" t="str" cm="1">
        <f t="array" ref="A1394">choice(Salles!A:A,1,Settings!$B$16)</f>
        <v>Salle53</v>
      </c>
      <c r="B1394" s="3" cm="1">
        <f t="array" ref="B1394">alea_date(Settings!$B$11,360,-1,Settings!$B$16)</f>
        <v>46163.583333333336</v>
      </c>
      <c r="C1394" s="20" cm="1">
        <f t="array" ref="C1394">B1394+TIME(alea_int(1,4,Settings!$B$16),0,0)</f>
        <v>46163.75</v>
      </c>
    </row>
    <row r="1395" spans="1:3" ht="15.75" customHeight="1" x14ac:dyDescent="0.25">
      <c r="A1395" s="2" t="str" cm="1">
        <f t="array" ref="A1395">choice(Salles!A:A,1,Settings!$B$16)</f>
        <v>Salle20</v>
      </c>
      <c r="B1395" s="3" cm="1">
        <f t="array" ref="B1395">alea_date(Settings!$B$11,360,-1,Settings!$B$16)</f>
        <v>46156.458333333336</v>
      </c>
      <c r="C1395" s="20" cm="1">
        <f t="array" ref="C1395">B1395+TIME(alea_int(1,4,Settings!$B$16),0,0)</f>
        <v>46156.625</v>
      </c>
    </row>
    <row r="1396" spans="1:3" ht="15.75" customHeight="1" x14ac:dyDescent="0.25">
      <c r="A1396" s="2" t="str" cm="1">
        <f t="array" ref="A1396">choice(Salles!A:A,1,Settings!$B$16)</f>
        <v>Salle68</v>
      </c>
      <c r="B1396" s="3" cm="1">
        <f t="array" ref="B1396">alea_date(Settings!$B$11,360,-1,Settings!$B$16)</f>
        <v>46271.291666666664</v>
      </c>
      <c r="C1396" s="20" cm="1">
        <f t="array" ref="C1396">B1396+TIME(alea_int(1,4,Settings!$B$16),0,0)</f>
        <v>46271.458333333328</v>
      </c>
    </row>
    <row r="1397" spans="1:3" ht="15.75" customHeight="1" x14ac:dyDescent="0.25">
      <c r="A1397" s="2" t="str" cm="1">
        <f t="array" ref="A1397">choice(Salles!A:A,1,Settings!$B$16)</f>
        <v>Salle70</v>
      </c>
      <c r="B1397" s="3" cm="1">
        <f t="array" ref="B1397">alea_date(Settings!$B$11,360,-1,Settings!$B$16)</f>
        <v>46327.625</v>
      </c>
      <c r="C1397" s="20" cm="1">
        <f t="array" ref="C1397">B1397+TIME(alea_int(1,4,Settings!$B$16),0,0)</f>
        <v>46327.791666666664</v>
      </c>
    </row>
    <row r="1398" spans="1:3" ht="15.75" customHeight="1" x14ac:dyDescent="0.25">
      <c r="A1398" s="2" t="str" cm="1">
        <f t="array" ref="A1398">choice(Salles!A:A,1,Settings!$B$16)</f>
        <v>Salle59</v>
      </c>
      <c r="B1398" s="3" cm="1">
        <f t="array" ref="B1398">alea_date(Settings!$B$11,360,-1,Settings!$B$16)</f>
        <v>46164.5</v>
      </c>
      <c r="C1398" s="20" cm="1">
        <f t="array" ref="C1398">B1398+TIME(alea_int(1,4,Settings!$B$16),0,0)</f>
        <v>46164.666666666664</v>
      </c>
    </row>
    <row r="1399" spans="1:3" ht="15.75" customHeight="1" x14ac:dyDescent="0.25">
      <c r="A1399" s="2" t="str" cm="1">
        <f t="array" ref="A1399">choice(Salles!A:A,1,Settings!$B$16)</f>
        <v>Salle24</v>
      </c>
      <c r="B1399" s="3" cm="1">
        <f t="array" ref="B1399">alea_date(Settings!$B$11,360,-1,Settings!$B$16)</f>
        <v>46192.541666666664</v>
      </c>
      <c r="C1399" s="20" cm="1">
        <f t="array" ref="C1399">B1399+TIME(alea_int(1,4,Settings!$B$16),0,0)</f>
        <v>46192.708333333328</v>
      </c>
    </row>
    <row r="1400" spans="1:3" ht="15.75" customHeight="1" x14ac:dyDescent="0.25">
      <c r="A1400" s="2" t="str" cm="1">
        <f t="array" ref="A1400">choice(Salles!A:A,1,Settings!$B$16)</f>
        <v>Salle21</v>
      </c>
      <c r="B1400" s="3" cm="1">
        <f t="array" ref="B1400">alea_date(Settings!$B$11,360,-1,Settings!$B$16)</f>
        <v>46163.583333333336</v>
      </c>
      <c r="C1400" s="20" cm="1">
        <f t="array" ref="C1400">B1400+TIME(alea_int(1,4,Settings!$B$16),0,0)</f>
        <v>46163.75</v>
      </c>
    </row>
    <row r="1401" spans="1:3" ht="15.75" customHeight="1" x14ac:dyDescent="0.25">
      <c r="A1401" s="2" t="str" cm="1">
        <f t="array" ref="A1401">choice(Salles!A:A,1,Settings!$B$16)</f>
        <v>Salle48</v>
      </c>
      <c r="B1401" s="3" cm="1">
        <f t="array" ref="B1401">alea_date(Settings!$B$11,360,-1,Settings!$B$16)</f>
        <v>46166.25</v>
      </c>
      <c r="C1401" s="20" cm="1">
        <f t="array" ref="C1401">B1401+TIME(alea_int(1,4,Settings!$B$16),0,0)</f>
        <v>46166.416666666664</v>
      </c>
    </row>
    <row r="1402" spans="1:3" ht="15.75" customHeight="1" x14ac:dyDescent="0.25">
      <c r="A1402" s="2" t="str" cm="1">
        <f t="array" ref="A1402">choice(Salles!A:A,1,Settings!$B$16)</f>
        <v>Salle22</v>
      </c>
      <c r="B1402" s="3" cm="1">
        <f t="array" ref="B1402">alea_date(Settings!$B$11,360,-1,Settings!$B$16)</f>
        <v>46160.375</v>
      </c>
      <c r="C1402" s="20" cm="1">
        <f t="array" ref="C1402">B1402+TIME(alea_int(1,4,Settings!$B$16),0,0)</f>
        <v>46160.541666666664</v>
      </c>
    </row>
    <row r="1403" spans="1:3" ht="15.75" customHeight="1" x14ac:dyDescent="0.25">
      <c r="A1403" s="2" t="str" cm="1">
        <f t="array" ref="A1403">choice(Salles!A:A,1,Settings!$B$16)</f>
        <v>Salle15</v>
      </c>
      <c r="B1403" s="3" cm="1">
        <f t="array" ref="B1403">alea_date(Settings!$B$11,360,-1,Settings!$B$16)</f>
        <v>46257.291666666664</v>
      </c>
      <c r="C1403" s="20" cm="1">
        <f t="array" ref="C1403">B1403+TIME(alea_int(1,4,Settings!$B$16),0,0)</f>
        <v>46257.458333333328</v>
      </c>
    </row>
    <row r="1404" spans="1:3" ht="15.75" customHeight="1" x14ac:dyDescent="0.25">
      <c r="A1404" s="2" t="str" cm="1">
        <f t="array" ref="A1404">choice(Salles!A:A,1,Settings!$B$16)</f>
        <v>Salle28</v>
      </c>
      <c r="B1404" s="3" cm="1">
        <f t="array" ref="B1404">alea_date(Settings!$B$11,360,-1,Settings!$B$16)</f>
        <v>46283.625</v>
      </c>
      <c r="C1404" s="20" cm="1">
        <f t="array" ref="C1404">B1404+TIME(alea_int(1,4,Settings!$B$16),0,0)</f>
        <v>46283.791666666664</v>
      </c>
    </row>
    <row r="1405" spans="1:3" ht="15.75" customHeight="1" x14ac:dyDescent="0.25">
      <c r="A1405" s="2" t="str" cm="1">
        <f t="array" ref="A1405">choice(Salles!A:A,1,Settings!$B$16)</f>
        <v>Salle36</v>
      </c>
      <c r="B1405" s="3" cm="1">
        <f t="array" ref="B1405">alea_date(Settings!$B$11,360,-1,Settings!$B$16)</f>
        <v>46164.375</v>
      </c>
      <c r="C1405" s="20" cm="1">
        <f t="array" ref="C1405">B1405+TIME(alea_int(1,4,Settings!$B$16),0,0)</f>
        <v>46164.541666666664</v>
      </c>
    </row>
    <row r="1406" spans="1:3" ht="15.75" customHeight="1" x14ac:dyDescent="0.25">
      <c r="A1406" s="2" t="str" cm="1">
        <f t="array" ref="A1406">choice(Salles!A:A,1,Settings!$B$16)</f>
        <v>Salle49</v>
      </c>
      <c r="B1406" s="3" cm="1">
        <f t="array" ref="B1406">alea_date(Settings!$B$11,360,-1,Settings!$B$16)</f>
        <v>46032.458333333336</v>
      </c>
      <c r="C1406" s="20" cm="1">
        <f t="array" ref="C1406">B1406+TIME(alea_int(1,4,Settings!$B$16),0,0)</f>
        <v>46032.625</v>
      </c>
    </row>
    <row r="1407" spans="1:3" ht="15.75" customHeight="1" x14ac:dyDescent="0.25">
      <c r="A1407" s="2" t="str" cm="1">
        <f t="array" ref="A1407">choice(Salles!A:A,1,Settings!$B$16)</f>
        <v>Salle68</v>
      </c>
      <c r="B1407" s="3" cm="1">
        <f t="array" ref="B1407">alea_date(Settings!$B$11,360,-1,Settings!$B$16)</f>
        <v>46278.541666666664</v>
      </c>
      <c r="C1407" s="20" cm="1">
        <f t="array" ref="C1407">B1407+TIME(alea_int(1,4,Settings!$B$16),0,0)</f>
        <v>46278.708333333328</v>
      </c>
    </row>
    <row r="1408" spans="1:3" ht="15.75" customHeight="1" x14ac:dyDescent="0.25">
      <c r="A1408" s="2" t="str" cm="1">
        <f t="array" ref="A1408">choice(Salles!A:A,1,Settings!$B$16)</f>
        <v>Salle60</v>
      </c>
      <c r="B1408" s="3" cm="1">
        <f t="array" ref="B1408">alea_date(Settings!$B$11,360,-1,Settings!$B$16)</f>
        <v>46037.458333333336</v>
      </c>
      <c r="C1408" s="20" cm="1">
        <f t="array" ref="C1408">B1408+TIME(alea_int(1,4,Settings!$B$16),0,0)</f>
        <v>46037.625</v>
      </c>
    </row>
    <row r="1409" spans="1:3" ht="15.75" customHeight="1" x14ac:dyDescent="0.25">
      <c r="A1409" s="2" t="str" cm="1">
        <f t="array" ref="A1409">choice(Salles!A:A,1,Settings!$B$16)</f>
        <v>Salle11</v>
      </c>
      <c r="B1409" s="3" cm="1">
        <f t="array" ref="B1409">alea_date(Settings!$B$11,360,-1,Settings!$B$16)</f>
        <v>46267.541666666664</v>
      </c>
      <c r="C1409" s="20" cm="1">
        <f t="array" ref="C1409">B1409+TIME(alea_int(1,4,Settings!$B$16),0,0)</f>
        <v>46267.708333333328</v>
      </c>
    </row>
    <row r="1410" spans="1:3" ht="15.75" customHeight="1" x14ac:dyDescent="0.25">
      <c r="A1410" s="2" t="str" cm="1">
        <f t="array" ref="A1410">choice(Salles!A:A,1,Settings!$B$16)</f>
        <v>Salle25</v>
      </c>
      <c r="B1410" s="3" cm="1">
        <f t="array" ref="B1410">alea_date(Settings!$B$11,360,-1,Settings!$B$16)</f>
        <v>46034.541666666664</v>
      </c>
      <c r="C1410" s="20" cm="1">
        <f t="array" ref="C1410">B1410+TIME(alea_int(1,4,Settings!$B$16),0,0)</f>
        <v>46034.708333333328</v>
      </c>
    </row>
    <row r="1411" spans="1:3" ht="15.75" customHeight="1" x14ac:dyDescent="0.25">
      <c r="A1411" s="2" t="str" cm="1">
        <f t="array" ref="A1411">choice(Salles!A:A,1,Settings!$B$16)</f>
        <v>Salle66</v>
      </c>
      <c r="B1411" s="3" cm="1">
        <f t="array" ref="B1411">alea_date(Settings!$B$11,360,-1,Settings!$B$16)</f>
        <v>46056.416666666664</v>
      </c>
      <c r="C1411" s="20" cm="1">
        <f t="array" ref="C1411">B1411+TIME(alea_int(1,4,Settings!$B$16),0,0)</f>
        <v>46056.583333333328</v>
      </c>
    </row>
    <row r="1412" spans="1:3" ht="15.75" customHeight="1" x14ac:dyDescent="0.25">
      <c r="A1412" s="2" t="str" cm="1">
        <f t="array" ref="A1412">choice(Salles!A:A,1,Settings!$B$16)</f>
        <v>Salle20</v>
      </c>
      <c r="B1412" s="3" cm="1">
        <f t="array" ref="B1412">alea_date(Settings!$B$11,360,-1,Settings!$B$16)</f>
        <v>46284.458333333336</v>
      </c>
      <c r="C1412" s="20" cm="1">
        <f t="array" ref="C1412">B1412+TIME(alea_int(1,4,Settings!$B$16),0,0)</f>
        <v>46284.625</v>
      </c>
    </row>
    <row r="1413" spans="1:3" ht="15.75" customHeight="1" x14ac:dyDescent="0.25">
      <c r="A1413" s="2" t="str" cm="1">
        <f t="array" ref="A1413">choice(Salles!A:A,1,Settings!$B$16)</f>
        <v>Salle38</v>
      </c>
      <c r="B1413" s="3" cm="1">
        <f t="array" ref="B1413">alea_date(Settings!$B$11,360,-1,Settings!$B$16)</f>
        <v>46152.25</v>
      </c>
      <c r="C1413" s="20" cm="1">
        <f t="array" ref="C1413">B1413+TIME(alea_int(1,4,Settings!$B$16),0,0)</f>
        <v>46152.416666666664</v>
      </c>
    </row>
    <row r="1414" spans="1:3" ht="15.75" customHeight="1" x14ac:dyDescent="0.25">
      <c r="A1414" s="2" t="str" cm="1">
        <f t="array" ref="A1414">choice(Salles!A:A,1,Settings!$B$16)</f>
        <v>Salle7</v>
      </c>
      <c r="B1414" s="3" cm="1">
        <f t="array" ref="B1414">alea_date(Settings!$B$11,360,-1,Settings!$B$16)</f>
        <v>46117.416666666664</v>
      </c>
      <c r="C1414" s="20" cm="1">
        <f t="array" ref="C1414">B1414+TIME(alea_int(1,4,Settings!$B$16),0,0)</f>
        <v>46117.583333333328</v>
      </c>
    </row>
    <row r="1415" spans="1:3" ht="15.75" customHeight="1" x14ac:dyDescent="0.25">
      <c r="A1415" s="2" t="str" cm="1">
        <f t="array" ref="A1415">choice(Salles!A:A,1,Settings!$B$16)</f>
        <v>Salle5</v>
      </c>
      <c r="B1415" s="3" cm="1">
        <f t="array" ref="B1415">alea_date(Settings!$B$11,360,-1,Settings!$B$16)</f>
        <v>46336.583333333336</v>
      </c>
      <c r="C1415" s="20" cm="1">
        <f t="array" ref="C1415">B1415+TIME(alea_int(1,4,Settings!$B$16),0,0)</f>
        <v>46336.75</v>
      </c>
    </row>
    <row r="1416" spans="1:3" ht="15.75" customHeight="1" x14ac:dyDescent="0.25">
      <c r="A1416" s="2" t="str" cm="1">
        <f t="array" ref="A1416">choice(Salles!A:A,1,Settings!$B$16)</f>
        <v>Salle50</v>
      </c>
      <c r="B1416" s="3" cm="1">
        <f t="array" ref="B1416">alea_date(Settings!$B$11,360,-1,Settings!$B$16)</f>
        <v>46159.458333333336</v>
      </c>
      <c r="C1416" s="20" cm="1">
        <f t="array" ref="C1416">B1416+TIME(alea_int(1,4,Settings!$B$16),0,0)</f>
        <v>46159.625</v>
      </c>
    </row>
    <row r="1417" spans="1:3" ht="15.75" customHeight="1" x14ac:dyDescent="0.25">
      <c r="A1417" s="2" t="str" cm="1">
        <f t="array" ref="A1417">choice(Salles!A:A,1,Settings!$B$16)</f>
        <v>Salle29</v>
      </c>
      <c r="B1417" s="3" cm="1">
        <f t="array" ref="B1417">alea_date(Settings!$B$11,360,-1,Settings!$B$16)</f>
        <v>46335.291666666664</v>
      </c>
      <c r="C1417" s="20" cm="1">
        <f t="array" ref="C1417">B1417+TIME(alea_int(1,4,Settings!$B$16),0,0)</f>
        <v>46335.458333333328</v>
      </c>
    </row>
    <row r="1418" spans="1:3" ht="15.75" customHeight="1" x14ac:dyDescent="0.25">
      <c r="A1418" s="2" t="str" cm="1">
        <f t="array" ref="A1418">choice(Salles!A:A,1,Settings!$B$16)</f>
        <v>Salle54</v>
      </c>
      <c r="B1418" s="3" cm="1">
        <f t="array" ref="B1418">alea_date(Settings!$B$11,360,-1,Settings!$B$16)</f>
        <v>46110.583333333336</v>
      </c>
      <c r="C1418" s="20" cm="1">
        <f t="array" ref="C1418">B1418+TIME(alea_int(1,4,Settings!$B$16),0,0)</f>
        <v>46110.75</v>
      </c>
    </row>
    <row r="1419" spans="1:3" ht="15.75" customHeight="1" x14ac:dyDescent="0.25">
      <c r="A1419" s="2" t="str" cm="1">
        <f t="array" ref="A1419">choice(Salles!A:A,1,Settings!$B$16)</f>
        <v>Salle35</v>
      </c>
      <c r="B1419" s="3" cm="1">
        <f t="array" ref="B1419">alea_date(Settings!$B$11,360,-1,Settings!$B$16)</f>
        <v>46337.5</v>
      </c>
      <c r="C1419" s="20" cm="1">
        <f t="array" ref="C1419">B1419+TIME(alea_int(1,4,Settings!$B$16),0,0)</f>
        <v>46337.666666666664</v>
      </c>
    </row>
    <row r="1420" spans="1:3" ht="15.75" customHeight="1" x14ac:dyDescent="0.25">
      <c r="A1420" s="2" t="str" cm="1">
        <f t="array" ref="A1420">choice(Salles!A:A,1,Settings!$B$16)</f>
        <v>Salle31</v>
      </c>
      <c r="B1420" s="3" cm="1">
        <f t="array" ref="B1420">alea_date(Settings!$B$11,360,-1,Settings!$B$16)</f>
        <v>46132.333333333336</v>
      </c>
      <c r="C1420" s="20" cm="1">
        <f t="array" ref="C1420">B1420+TIME(alea_int(1,4,Settings!$B$16),0,0)</f>
        <v>46132.5</v>
      </c>
    </row>
    <row r="1421" spans="1:3" ht="15.75" customHeight="1" x14ac:dyDescent="0.25">
      <c r="A1421" s="2" t="str" cm="1">
        <f t="array" ref="A1421">choice(Salles!A:A,1,Settings!$B$16)</f>
        <v>Salle54</v>
      </c>
      <c r="B1421" s="3" cm="1">
        <f t="array" ref="B1421">alea_date(Settings!$B$11,360,-1,Settings!$B$16)</f>
        <v>46081.541666666664</v>
      </c>
      <c r="C1421" s="20" cm="1">
        <f t="array" ref="C1421">B1421+TIME(alea_int(1,4,Settings!$B$16),0,0)</f>
        <v>46081.708333333328</v>
      </c>
    </row>
    <row r="1422" spans="1:3" ht="15.75" customHeight="1" x14ac:dyDescent="0.25">
      <c r="A1422" s="2" t="str" cm="1">
        <f t="array" ref="A1422">choice(Salles!A:A,1,Settings!$B$16)</f>
        <v>Salle26</v>
      </c>
      <c r="B1422" s="3" cm="1">
        <f t="array" ref="B1422">alea_date(Settings!$B$11,360,-1,Settings!$B$16)</f>
        <v>46156.291666666664</v>
      </c>
      <c r="C1422" s="20" cm="1">
        <f t="array" ref="C1422">B1422+TIME(alea_int(1,4,Settings!$B$16),0,0)</f>
        <v>46156.458333333328</v>
      </c>
    </row>
    <row r="1423" spans="1:3" ht="15.75" customHeight="1" x14ac:dyDescent="0.25">
      <c r="A1423" s="2" t="str" cm="1">
        <f t="array" ref="A1423">choice(Salles!A:A,1,Settings!$B$16)</f>
        <v>Salle36</v>
      </c>
      <c r="B1423" s="3" cm="1">
        <f t="array" ref="B1423">alea_date(Settings!$B$11,360,-1,Settings!$B$16)</f>
        <v>46247.333333333336</v>
      </c>
      <c r="C1423" s="20" cm="1">
        <f t="array" ref="C1423">B1423+TIME(alea_int(1,4,Settings!$B$16),0,0)</f>
        <v>46247.5</v>
      </c>
    </row>
    <row r="1424" spans="1:3" ht="15.75" customHeight="1" x14ac:dyDescent="0.25">
      <c r="A1424" s="2" t="str" cm="1">
        <f t="array" ref="A1424">choice(Salles!A:A,1,Settings!$B$16)</f>
        <v>Salle34</v>
      </c>
      <c r="B1424" s="3" cm="1">
        <f t="array" ref="B1424">alea_date(Settings!$B$11,360,-1,Settings!$B$16)</f>
        <v>46198.291666666664</v>
      </c>
      <c r="C1424" s="20" cm="1">
        <f t="array" ref="C1424">B1424+TIME(alea_int(1,4,Settings!$B$16),0,0)</f>
        <v>46198.458333333328</v>
      </c>
    </row>
    <row r="1425" spans="1:3" ht="15.75" customHeight="1" x14ac:dyDescent="0.25">
      <c r="A1425" s="2" t="str" cm="1">
        <f t="array" ref="A1425">choice(Salles!A:A,1,Settings!$B$16)</f>
        <v>Salle37</v>
      </c>
      <c r="B1425" s="3" cm="1">
        <f t="array" ref="B1425">alea_date(Settings!$B$11,360,-1,Settings!$B$16)</f>
        <v>46293.583333333336</v>
      </c>
      <c r="C1425" s="20" cm="1">
        <f t="array" ref="C1425">B1425+TIME(alea_int(1,4,Settings!$B$16),0,0)</f>
        <v>46293.75</v>
      </c>
    </row>
    <row r="1426" spans="1:3" ht="15.75" customHeight="1" x14ac:dyDescent="0.25">
      <c r="A1426" s="2" t="str" cm="1">
        <f t="array" ref="A1426">choice(Salles!A:A,1,Settings!$B$16)</f>
        <v>Salle68</v>
      </c>
      <c r="B1426" s="3" cm="1">
        <f t="array" ref="B1426">alea_date(Settings!$B$11,360,-1,Settings!$B$16)</f>
        <v>46267.458333333336</v>
      </c>
      <c r="C1426" s="20" cm="1">
        <f t="array" ref="C1426">B1426+TIME(alea_int(1,4,Settings!$B$16),0,0)</f>
        <v>46267.625</v>
      </c>
    </row>
    <row r="1427" spans="1:3" ht="15.75" customHeight="1" x14ac:dyDescent="0.25">
      <c r="A1427" s="2" t="str" cm="1">
        <f t="array" ref="A1427">choice(Salles!A:A,1,Settings!$B$16)</f>
        <v>Salle26</v>
      </c>
      <c r="B1427" s="3" cm="1">
        <f t="array" ref="B1427">alea_date(Settings!$B$11,360,-1,Settings!$B$16)</f>
        <v>46079.583333333336</v>
      </c>
      <c r="C1427" s="20" cm="1">
        <f t="array" ref="C1427">B1427+TIME(alea_int(1,4,Settings!$B$16),0,0)</f>
        <v>46079.75</v>
      </c>
    </row>
    <row r="1428" spans="1:3" ht="15.75" customHeight="1" x14ac:dyDescent="0.25">
      <c r="A1428" s="2" t="str" cm="1">
        <f t="array" ref="A1428">choice(Salles!A:A,1,Settings!$B$16)</f>
        <v>Salle40</v>
      </c>
      <c r="B1428" s="3" cm="1">
        <f t="array" ref="B1428">alea_date(Settings!$B$11,360,-1,Settings!$B$16)</f>
        <v>46044.583333333336</v>
      </c>
      <c r="C1428" s="20" cm="1">
        <f t="array" ref="C1428">B1428+TIME(alea_int(1,4,Settings!$B$16),0,0)</f>
        <v>46044.75</v>
      </c>
    </row>
    <row r="1429" spans="1:3" ht="15.75" customHeight="1" x14ac:dyDescent="0.25">
      <c r="A1429" s="2" t="str" cm="1">
        <f t="array" ref="A1429">choice(Salles!A:A,1,Settings!$B$16)</f>
        <v>Salle63</v>
      </c>
      <c r="B1429" s="3" cm="1">
        <f t="array" ref="B1429">alea_date(Settings!$B$11,360,-1,Settings!$B$16)</f>
        <v>46100.291666666664</v>
      </c>
      <c r="C1429" s="20" cm="1">
        <f t="array" ref="C1429">B1429+TIME(alea_int(1,4,Settings!$B$16),0,0)</f>
        <v>46100.458333333328</v>
      </c>
    </row>
    <row r="1430" spans="1:3" ht="15.75" customHeight="1" x14ac:dyDescent="0.25">
      <c r="A1430" s="2" t="str" cm="1">
        <f t="array" ref="A1430">choice(Salles!A:A,1,Settings!$B$16)</f>
        <v>Salle65</v>
      </c>
      <c r="B1430" s="3" cm="1">
        <f t="array" ref="B1430">alea_date(Settings!$B$11,360,-1,Settings!$B$16)</f>
        <v>46050.25</v>
      </c>
      <c r="C1430" s="20" cm="1">
        <f t="array" ref="C1430">B1430+TIME(alea_int(1,4,Settings!$B$16),0,0)</f>
        <v>46050.416666666664</v>
      </c>
    </row>
    <row r="1431" spans="1:3" ht="15.75" customHeight="1" x14ac:dyDescent="0.25">
      <c r="A1431" s="2" t="str" cm="1">
        <f t="array" ref="A1431">choice(Salles!A:A,1,Settings!$B$16)</f>
        <v>Salle41</v>
      </c>
      <c r="B1431" s="3" cm="1">
        <f t="array" ref="B1431">alea_date(Settings!$B$11,360,-1,Settings!$B$16)</f>
        <v>46052.583333333336</v>
      </c>
      <c r="C1431" s="20" cm="1">
        <f t="array" ref="C1431">B1431+TIME(alea_int(1,4,Settings!$B$16),0,0)</f>
        <v>46052.75</v>
      </c>
    </row>
    <row r="1432" spans="1:3" ht="15.75" customHeight="1" x14ac:dyDescent="0.25">
      <c r="A1432" s="2" t="str" cm="1">
        <f t="array" ref="A1432">choice(Salles!A:A,1,Settings!$B$16)</f>
        <v>Salle42</v>
      </c>
      <c r="B1432" s="3" cm="1">
        <f t="array" ref="B1432">alea_date(Settings!$B$11,360,-1,Settings!$B$16)</f>
        <v>46039.583333333336</v>
      </c>
      <c r="C1432" s="20" cm="1">
        <f t="array" ref="C1432">B1432+TIME(alea_int(1,4,Settings!$B$16),0,0)</f>
        <v>46039.75</v>
      </c>
    </row>
    <row r="1433" spans="1:3" ht="15.75" customHeight="1" x14ac:dyDescent="0.25">
      <c r="A1433" s="2" t="str" cm="1">
        <f t="array" ref="A1433">choice(Salles!A:A,1,Settings!$B$16)</f>
        <v>Salle2</v>
      </c>
      <c r="B1433" s="3" cm="1">
        <f t="array" ref="B1433">alea_date(Settings!$B$11,360,-1,Settings!$B$16)</f>
        <v>46181.416666666664</v>
      </c>
      <c r="C1433" s="20" cm="1">
        <f t="array" ref="C1433">B1433+TIME(alea_int(1,4,Settings!$B$16),0,0)</f>
        <v>46181.583333333328</v>
      </c>
    </row>
    <row r="1434" spans="1:3" ht="15.75" customHeight="1" x14ac:dyDescent="0.25">
      <c r="A1434" s="2" t="str" cm="1">
        <f t="array" ref="A1434">choice(Salles!A:A,1,Settings!$B$16)</f>
        <v>Salle40</v>
      </c>
      <c r="B1434" s="3" cm="1">
        <f t="array" ref="B1434">alea_date(Settings!$B$11,360,-1,Settings!$B$16)</f>
        <v>46179.625</v>
      </c>
      <c r="C1434" s="20" cm="1">
        <f t="array" ref="C1434">B1434+TIME(alea_int(1,4,Settings!$B$16),0,0)</f>
        <v>46179.791666666664</v>
      </c>
    </row>
    <row r="1435" spans="1:3" ht="15.75" customHeight="1" x14ac:dyDescent="0.25">
      <c r="A1435" s="2" t="str" cm="1">
        <f t="array" ref="A1435">choice(Salles!A:A,1,Settings!$B$16)</f>
        <v>Salle34</v>
      </c>
      <c r="B1435" s="3" cm="1">
        <f t="array" ref="B1435">alea_date(Settings!$B$11,360,-1,Settings!$B$16)</f>
        <v>46087.541666666664</v>
      </c>
      <c r="C1435" s="20" cm="1">
        <f t="array" ref="C1435">B1435+TIME(alea_int(1,4,Settings!$B$16),0,0)</f>
        <v>46087.708333333328</v>
      </c>
    </row>
    <row r="1436" spans="1:3" ht="15.75" customHeight="1" x14ac:dyDescent="0.25">
      <c r="A1436" s="2" t="str" cm="1">
        <f t="array" ref="A1436">choice(Salles!A:A,1,Settings!$B$16)</f>
        <v>Salle6</v>
      </c>
      <c r="B1436" s="3" cm="1">
        <f t="array" ref="B1436">alea_date(Settings!$B$11,360,-1,Settings!$B$16)</f>
        <v>46215.291666666664</v>
      </c>
      <c r="C1436" s="20" cm="1">
        <f t="array" ref="C1436">B1436+TIME(alea_int(1,4,Settings!$B$16),0,0)</f>
        <v>46215.458333333328</v>
      </c>
    </row>
    <row r="1437" spans="1:3" ht="15.75" customHeight="1" x14ac:dyDescent="0.25">
      <c r="A1437" s="2" t="str" cm="1">
        <f t="array" ref="A1437">choice(Salles!A:A,1,Settings!$B$16)</f>
        <v>Salle3</v>
      </c>
      <c r="B1437" s="3" cm="1">
        <f t="array" ref="B1437">alea_date(Settings!$B$11,360,-1,Settings!$B$16)</f>
        <v>46074.291666666664</v>
      </c>
      <c r="C1437" s="20" cm="1">
        <f t="array" ref="C1437">B1437+TIME(alea_int(1,4,Settings!$B$16),0,0)</f>
        <v>46074.458333333328</v>
      </c>
    </row>
    <row r="1438" spans="1:3" ht="15.75" customHeight="1" x14ac:dyDescent="0.25">
      <c r="A1438" s="2" t="str" cm="1">
        <f t="array" ref="A1438">choice(Salles!A:A,1,Settings!$B$16)</f>
        <v>Salle3</v>
      </c>
      <c r="B1438" s="3" cm="1">
        <f t="array" ref="B1438">alea_date(Settings!$B$11,360,-1,Settings!$B$16)</f>
        <v>46079.333333333336</v>
      </c>
      <c r="C1438" s="20" cm="1">
        <f t="array" ref="C1438">B1438+TIME(alea_int(1,4,Settings!$B$16),0,0)</f>
        <v>46079.5</v>
      </c>
    </row>
    <row r="1439" spans="1:3" ht="15.75" customHeight="1" x14ac:dyDescent="0.25">
      <c r="A1439" s="2" t="str" cm="1">
        <f t="array" ref="A1439">choice(Salles!A:A,1,Settings!$B$16)</f>
        <v>Salle29</v>
      </c>
      <c r="B1439" s="3" cm="1">
        <f t="array" ref="B1439">alea_date(Settings!$B$11,360,-1,Settings!$B$16)</f>
        <v>46288.291666666664</v>
      </c>
      <c r="C1439" s="20" cm="1">
        <f t="array" ref="C1439">B1439+TIME(alea_int(1,4,Settings!$B$16),0,0)</f>
        <v>46288.458333333328</v>
      </c>
    </row>
    <row r="1440" spans="1:3" ht="15.75" customHeight="1" x14ac:dyDescent="0.25">
      <c r="A1440" s="2" t="str" cm="1">
        <f t="array" ref="A1440">choice(Salles!A:A,1,Settings!$B$16)</f>
        <v>Salle63</v>
      </c>
      <c r="B1440" s="3" cm="1">
        <f t="array" ref="B1440">alea_date(Settings!$B$11,360,-1,Settings!$B$16)</f>
        <v>46162.541666666664</v>
      </c>
      <c r="C1440" s="20" cm="1">
        <f t="array" ref="C1440">B1440+TIME(alea_int(1,4,Settings!$B$16),0,0)</f>
        <v>46162.708333333328</v>
      </c>
    </row>
    <row r="1441" spans="1:3" ht="15.75" customHeight="1" x14ac:dyDescent="0.25">
      <c r="A1441" s="2" t="str" cm="1">
        <f t="array" ref="A1441">choice(Salles!A:A,1,Settings!$B$16)</f>
        <v>Salle13</v>
      </c>
      <c r="B1441" s="3" cm="1">
        <f t="array" ref="B1441">alea_date(Settings!$B$11,360,-1,Settings!$B$16)</f>
        <v>46272.5</v>
      </c>
      <c r="C1441" s="20" cm="1">
        <f t="array" ref="C1441">B1441+TIME(alea_int(1,4,Settings!$B$16),0,0)</f>
        <v>46272.666666666664</v>
      </c>
    </row>
    <row r="1442" spans="1:3" ht="15.75" customHeight="1" x14ac:dyDescent="0.25">
      <c r="A1442" s="2" t="str" cm="1">
        <f t="array" ref="A1442">choice(Salles!A:A,1,Settings!$B$16)</f>
        <v>Salle63</v>
      </c>
      <c r="B1442" s="3" cm="1">
        <f t="array" ref="B1442">alea_date(Settings!$B$11,360,-1,Settings!$B$16)</f>
        <v>46075.5</v>
      </c>
      <c r="C1442" s="20" cm="1">
        <f t="array" ref="C1442">B1442+TIME(alea_int(1,4,Settings!$B$16),0,0)</f>
        <v>46075.666666666664</v>
      </c>
    </row>
    <row r="1443" spans="1:3" ht="15.75" customHeight="1" x14ac:dyDescent="0.25">
      <c r="A1443" s="2" t="str" cm="1">
        <f t="array" ref="A1443">choice(Salles!A:A,1,Settings!$B$16)</f>
        <v>Salle17</v>
      </c>
      <c r="B1443" s="3" cm="1">
        <f t="array" ref="B1443">alea_date(Settings!$B$11,360,-1,Settings!$B$16)</f>
        <v>46166.375</v>
      </c>
      <c r="C1443" s="20" cm="1">
        <f t="array" ref="C1443">B1443+TIME(alea_int(1,4,Settings!$B$16),0,0)</f>
        <v>46166.541666666664</v>
      </c>
    </row>
    <row r="1444" spans="1:3" ht="15.75" customHeight="1" x14ac:dyDescent="0.25">
      <c r="A1444" s="2" t="str" cm="1">
        <f t="array" ref="A1444">choice(Salles!A:A,1,Settings!$B$16)</f>
        <v>Salle14</v>
      </c>
      <c r="B1444" s="3" cm="1">
        <f t="array" ref="B1444">alea_date(Settings!$B$11,360,-1,Settings!$B$16)</f>
        <v>46081.625</v>
      </c>
      <c r="C1444" s="20" cm="1">
        <f t="array" ref="C1444">B1444+TIME(alea_int(1,4,Settings!$B$16),0,0)</f>
        <v>46081.791666666664</v>
      </c>
    </row>
    <row r="1445" spans="1:3" ht="15.75" customHeight="1" x14ac:dyDescent="0.25">
      <c r="A1445" s="2" t="str" cm="1">
        <f t="array" ref="A1445">choice(Salles!A:A,1,Settings!$B$16)</f>
        <v>Salle37</v>
      </c>
      <c r="B1445" s="3" cm="1">
        <f t="array" ref="B1445">alea_date(Settings!$B$11,360,-1,Settings!$B$16)</f>
        <v>46201.458333333336</v>
      </c>
      <c r="C1445" s="20" cm="1">
        <f t="array" ref="C1445">B1445+TIME(alea_int(1,4,Settings!$B$16),0,0)</f>
        <v>46201.625</v>
      </c>
    </row>
    <row r="1446" spans="1:3" ht="15.75" customHeight="1" x14ac:dyDescent="0.25">
      <c r="A1446" s="2" t="str" cm="1">
        <f t="array" ref="A1446">choice(Salles!A:A,1,Settings!$B$16)</f>
        <v>Salle14</v>
      </c>
      <c r="B1446" s="3" cm="1">
        <f t="array" ref="B1446">alea_date(Settings!$B$11,360,-1,Settings!$B$16)</f>
        <v>46324.625</v>
      </c>
      <c r="C1446" s="20" cm="1">
        <f t="array" ref="C1446">B1446+TIME(alea_int(1,4,Settings!$B$16),0,0)</f>
        <v>46324.791666666664</v>
      </c>
    </row>
    <row r="1447" spans="1:3" ht="15.75" customHeight="1" x14ac:dyDescent="0.25">
      <c r="A1447" s="2" t="str" cm="1">
        <f t="array" ref="A1447">choice(Salles!A:A,1,Settings!$B$16)</f>
        <v>Salle28</v>
      </c>
      <c r="B1447" s="3" cm="1">
        <f t="array" ref="B1447">alea_date(Settings!$B$11,360,-1,Settings!$B$16)</f>
        <v>46027.291666666664</v>
      </c>
      <c r="C1447" s="20" cm="1">
        <f t="array" ref="C1447">B1447+TIME(alea_int(1,4,Settings!$B$16),0,0)</f>
        <v>46027.458333333328</v>
      </c>
    </row>
    <row r="1448" spans="1:3" ht="15.75" customHeight="1" x14ac:dyDescent="0.25">
      <c r="A1448" s="2" t="str" cm="1">
        <f t="array" ref="A1448">choice(Salles!A:A,1,Settings!$B$16)</f>
        <v>Salle9</v>
      </c>
      <c r="B1448" s="3" cm="1">
        <f t="array" ref="B1448">alea_date(Settings!$B$11,360,-1,Settings!$B$16)</f>
        <v>46363.541666666664</v>
      </c>
      <c r="C1448" s="20" cm="1">
        <f t="array" ref="C1448">B1448+TIME(alea_int(1,4,Settings!$B$16),0,0)</f>
        <v>46363.708333333328</v>
      </c>
    </row>
    <row r="1449" spans="1:3" ht="15.75" customHeight="1" x14ac:dyDescent="0.25">
      <c r="A1449" s="2" t="str" cm="1">
        <f t="array" ref="A1449">choice(Salles!A:A,1,Settings!$B$16)</f>
        <v>Salle17</v>
      </c>
      <c r="B1449" s="3" cm="1">
        <f t="array" ref="B1449">alea_date(Settings!$B$11,360,-1,Settings!$B$16)</f>
        <v>46073.291666666664</v>
      </c>
      <c r="C1449" s="20" cm="1">
        <f t="array" ref="C1449">B1449+TIME(alea_int(1,4,Settings!$B$16),0,0)</f>
        <v>46073.458333333328</v>
      </c>
    </row>
    <row r="1450" spans="1:3" ht="15.75" customHeight="1" x14ac:dyDescent="0.25">
      <c r="A1450" s="2" t="str" cm="1">
        <f t="array" ref="A1450">choice(Salles!A:A,1,Settings!$B$16)</f>
        <v>Salle42</v>
      </c>
      <c r="B1450" s="3" cm="1">
        <f t="array" ref="B1450">alea_date(Settings!$B$11,360,-1,Settings!$B$16)</f>
        <v>46381.5</v>
      </c>
      <c r="C1450" s="20" cm="1">
        <f t="array" ref="C1450">B1450+TIME(alea_int(1,4,Settings!$B$16),0,0)</f>
        <v>46381.666666666664</v>
      </c>
    </row>
    <row r="1451" spans="1:3" ht="15.75" customHeight="1" x14ac:dyDescent="0.25">
      <c r="A1451" s="2" t="str" cm="1">
        <f t="array" ref="A1451">choice(Salles!A:A,1,Settings!$B$16)</f>
        <v>Salle4</v>
      </c>
      <c r="B1451" s="3" cm="1">
        <f t="array" ref="B1451">alea_date(Settings!$B$11,360,-1,Settings!$B$16)</f>
        <v>46040.291666666664</v>
      </c>
      <c r="C1451" s="20" cm="1">
        <f t="array" ref="C1451">B1451+TIME(alea_int(1,4,Settings!$B$16),0,0)</f>
        <v>46040.458333333328</v>
      </c>
    </row>
    <row r="1452" spans="1:3" ht="15.75" customHeight="1" x14ac:dyDescent="0.25">
      <c r="A1452" s="2" t="str" cm="1">
        <f t="array" ref="A1452">choice(Salles!A:A,1,Settings!$B$16)</f>
        <v>Salle31</v>
      </c>
      <c r="B1452" s="3" cm="1">
        <f t="array" ref="B1452">alea_date(Settings!$B$11,360,-1,Settings!$B$16)</f>
        <v>46098.333333333336</v>
      </c>
      <c r="C1452" s="20" cm="1">
        <f t="array" ref="C1452">B1452+TIME(alea_int(1,4,Settings!$B$16),0,0)</f>
        <v>46098.5</v>
      </c>
    </row>
    <row r="1453" spans="1:3" ht="15.75" customHeight="1" x14ac:dyDescent="0.25">
      <c r="A1453" s="2" t="str" cm="1">
        <f t="array" ref="A1453">choice(Salles!A:A,1,Settings!$B$16)</f>
        <v>Salle23</v>
      </c>
      <c r="B1453" s="3" cm="1">
        <f t="array" ref="B1453">alea_date(Settings!$B$11,360,-1,Settings!$B$16)</f>
        <v>46189.625</v>
      </c>
      <c r="C1453" s="20" cm="1">
        <f t="array" ref="C1453">B1453+TIME(alea_int(1,4,Settings!$B$16),0,0)</f>
        <v>46189.791666666664</v>
      </c>
    </row>
    <row r="1454" spans="1:3" ht="15.75" customHeight="1" x14ac:dyDescent="0.25">
      <c r="A1454" s="2" t="str" cm="1">
        <f t="array" ref="A1454">choice(Salles!A:A,1,Settings!$B$16)</f>
        <v>Salle15</v>
      </c>
      <c r="B1454" s="3" cm="1">
        <f t="array" ref="B1454">alea_date(Settings!$B$11,360,-1,Settings!$B$16)</f>
        <v>46313.416666666664</v>
      </c>
      <c r="C1454" s="20" cm="1">
        <f t="array" ref="C1454">B1454+TIME(alea_int(1,4,Settings!$B$16),0,0)</f>
        <v>46313.583333333328</v>
      </c>
    </row>
    <row r="1455" spans="1:3" ht="15.75" customHeight="1" x14ac:dyDescent="0.25">
      <c r="A1455" s="2" t="str" cm="1">
        <f t="array" ref="A1455">choice(Salles!A:A,1,Settings!$B$16)</f>
        <v>Salle14</v>
      </c>
      <c r="B1455" s="3" cm="1">
        <f t="array" ref="B1455">alea_date(Settings!$B$11,360,-1,Settings!$B$16)</f>
        <v>46218.25</v>
      </c>
      <c r="C1455" s="20" cm="1">
        <f t="array" ref="C1455">B1455+TIME(alea_int(1,4,Settings!$B$16),0,0)</f>
        <v>46218.416666666664</v>
      </c>
    </row>
    <row r="1456" spans="1:3" ht="15.75" customHeight="1" x14ac:dyDescent="0.25">
      <c r="A1456" s="2" t="str" cm="1">
        <f t="array" ref="A1456">choice(Salles!A:A,1,Settings!$B$16)</f>
        <v>Salle49</v>
      </c>
      <c r="B1456" s="3" cm="1">
        <f t="array" ref="B1456">alea_date(Settings!$B$11,360,-1,Settings!$B$16)</f>
        <v>46145.291666666664</v>
      </c>
      <c r="C1456" s="20" cm="1">
        <f t="array" ref="C1456">B1456+TIME(alea_int(1,4,Settings!$B$16),0,0)</f>
        <v>46145.458333333328</v>
      </c>
    </row>
    <row r="1457" spans="1:3" ht="15.75" customHeight="1" x14ac:dyDescent="0.25">
      <c r="A1457" s="2" t="str" cm="1">
        <f t="array" ref="A1457">choice(Salles!A:A,1,Settings!$B$16)</f>
        <v>Salle62</v>
      </c>
      <c r="B1457" s="3" cm="1">
        <f t="array" ref="B1457">alea_date(Settings!$B$11,360,-1,Settings!$B$16)</f>
        <v>46049.583333333336</v>
      </c>
      <c r="C1457" s="20" cm="1">
        <f t="array" ref="C1457">B1457+TIME(alea_int(1,4,Settings!$B$16),0,0)</f>
        <v>46049.75</v>
      </c>
    </row>
    <row r="1458" spans="1:3" ht="15.75" customHeight="1" x14ac:dyDescent="0.25">
      <c r="A1458" s="2" t="str" cm="1">
        <f t="array" ref="A1458">choice(Salles!A:A,1,Settings!$B$16)</f>
        <v>Salle48</v>
      </c>
      <c r="B1458" s="3" cm="1">
        <f t="array" ref="B1458">alea_date(Settings!$B$11,360,-1,Settings!$B$16)</f>
        <v>46115.25</v>
      </c>
      <c r="C1458" s="20" cm="1">
        <f t="array" ref="C1458">B1458+TIME(alea_int(1,4,Settings!$B$16),0,0)</f>
        <v>46115.416666666664</v>
      </c>
    </row>
    <row r="1459" spans="1:3" ht="15.75" customHeight="1" x14ac:dyDescent="0.25">
      <c r="A1459" s="2" t="str" cm="1">
        <f t="array" ref="A1459">choice(Salles!A:A,1,Settings!$B$16)</f>
        <v>Salle54</v>
      </c>
      <c r="B1459" s="3" cm="1">
        <f t="array" ref="B1459">alea_date(Settings!$B$11,360,-1,Settings!$B$16)</f>
        <v>46164.583333333336</v>
      </c>
      <c r="C1459" s="20" cm="1">
        <f t="array" ref="C1459">B1459+TIME(alea_int(1,4,Settings!$B$16),0,0)</f>
        <v>46164.75</v>
      </c>
    </row>
    <row r="1460" spans="1:3" ht="15.75" customHeight="1" x14ac:dyDescent="0.25">
      <c r="A1460" s="2" t="str" cm="1">
        <f t="array" ref="A1460">choice(Salles!A:A,1,Settings!$B$16)</f>
        <v>Salle41</v>
      </c>
      <c r="B1460" s="3" cm="1">
        <f t="array" ref="B1460">alea_date(Settings!$B$11,360,-1,Settings!$B$16)</f>
        <v>46251.583333333336</v>
      </c>
      <c r="C1460" s="20" cm="1">
        <f t="array" ref="C1460">B1460+TIME(alea_int(1,4,Settings!$B$16),0,0)</f>
        <v>46251.75</v>
      </c>
    </row>
    <row r="1461" spans="1:3" ht="15.75" customHeight="1" x14ac:dyDescent="0.25">
      <c r="A1461" s="2" t="str" cm="1">
        <f t="array" ref="A1461">choice(Salles!A:A,1,Settings!$B$16)</f>
        <v>Salle25</v>
      </c>
      <c r="B1461" s="3" cm="1">
        <f t="array" ref="B1461">alea_date(Settings!$B$11,360,-1,Settings!$B$16)</f>
        <v>46205.5</v>
      </c>
      <c r="C1461" s="20" cm="1">
        <f t="array" ref="C1461">B1461+TIME(alea_int(1,4,Settings!$B$16),0,0)</f>
        <v>46205.666666666664</v>
      </c>
    </row>
    <row r="1462" spans="1:3" ht="15.75" customHeight="1" x14ac:dyDescent="0.25">
      <c r="A1462" s="2" t="str" cm="1">
        <f t="array" ref="A1462">choice(Salles!A:A,1,Settings!$B$16)</f>
        <v>Salle22</v>
      </c>
      <c r="B1462" s="3" cm="1">
        <f t="array" ref="B1462">alea_date(Settings!$B$11,360,-1,Settings!$B$16)</f>
        <v>46197.25</v>
      </c>
      <c r="C1462" s="20" cm="1">
        <f t="array" ref="C1462">B1462+TIME(alea_int(1,4,Settings!$B$16),0,0)</f>
        <v>46197.416666666664</v>
      </c>
    </row>
    <row r="1463" spans="1:3" ht="15.75" customHeight="1" x14ac:dyDescent="0.25">
      <c r="A1463" s="2" t="str" cm="1">
        <f t="array" ref="A1463">choice(Salles!A:A,1,Settings!$B$16)</f>
        <v>Salle40</v>
      </c>
      <c r="B1463" s="3" cm="1">
        <f t="array" ref="B1463">alea_date(Settings!$B$11,360,-1,Settings!$B$16)</f>
        <v>46059.583333333336</v>
      </c>
      <c r="C1463" s="20" cm="1">
        <f t="array" ref="C1463">B1463+TIME(alea_int(1,4,Settings!$B$16),0,0)</f>
        <v>46059.75</v>
      </c>
    </row>
    <row r="1464" spans="1:3" ht="15.75" customHeight="1" x14ac:dyDescent="0.25">
      <c r="A1464" s="2" t="str" cm="1">
        <f t="array" ref="A1464">choice(Salles!A:A,1,Settings!$B$16)</f>
        <v>Salle50</v>
      </c>
      <c r="B1464" s="3" cm="1">
        <f t="array" ref="B1464">alea_date(Settings!$B$11,360,-1,Settings!$B$16)</f>
        <v>46026.583333333336</v>
      </c>
      <c r="C1464" s="20" cm="1">
        <f t="array" ref="C1464">B1464+TIME(alea_int(1,4,Settings!$B$16),0,0)</f>
        <v>46026.75</v>
      </c>
    </row>
    <row r="1465" spans="1:3" ht="15.75" customHeight="1" x14ac:dyDescent="0.25">
      <c r="A1465" s="2" t="str" cm="1">
        <f t="array" ref="A1465">choice(Salles!A:A,1,Settings!$B$16)</f>
        <v>Salle28</v>
      </c>
      <c r="B1465" s="3" cm="1">
        <f t="array" ref="B1465">alea_date(Settings!$B$11,360,-1,Settings!$B$16)</f>
        <v>46371.375</v>
      </c>
      <c r="C1465" s="20" cm="1">
        <f t="array" ref="C1465">B1465+TIME(alea_int(1,4,Settings!$B$16),0,0)</f>
        <v>46371.541666666664</v>
      </c>
    </row>
    <row r="1466" spans="1:3" ht="15.75" customHeight="1" x14ac:dyDescent="0.25">
      <c r="A1466" s="2" t="str" cm="1">
        <f t="array" ref="A1466">choice(Salles!A:A,1,Settings!$B$16)</f>
        <v>Salle10</v>
      </c>
      <c r="B1466" s="3" cm="1">
        <f t="array" ref="B1466">alea_date(Settings!$B$11,360,-1,Settings!$B$16)</f>
        <v>46053.541666666664</v>
      </c>
      <c r="C1466" s="20" cm="1">
        <f t="array" ref="C1466">B1466+TIME(alea_int(1,4,Settings!$B$16),0,0)</f>
        <v>46053.708333333328</v>
      </c>
    </row>
    <row r="1467" spans="1:3" ht="15.75" customHeight="1" x14ac:dyDescent="0.25">
      <c r="A1467" s="2" t="str" cm="1">
        <f t="array" ref="A1467">choice(Salles!A:A,1,Settings!$B$16)</f>
        <v>Salle59</v>
      </c>
      <c r="B1467" s="3" cm="1">
        <f t="array" ref="B1467">alea_date(Settings!$B$11,360,-1,Settings!$B$16)</f>
        <v>46152.416666666664</v>
      </c>
      <c r="C1467" s="20" cm="1">
        <f t="array" ref="C1467">B1467+TIME(alea_int(1,4,Settings!$B$16),0,0)</f>
        <v>46152.583333333328</v>
      </c>
    </row>
    <row r="1468" spans="1:3" ht="15.75" customHeight="1" x14ac:dyDescent="0.25">
      <c r="A1468" s="2" t="str" cm="1">
        <f t="array" ref="A1468">choice(Salles!A:A,1,Settings!$B$16)</f>
        <v>Salle9</v>
      </c>
      <c r="B1468" s="3" cm="1">
        <f t="array" ref="B1468">alea_date(Settings!$B$11,360,-1,Settings!$B$16)</f>
        <v>46228.5</v>
      </c>
      <c r="C1468" s="20" cm="1">
        <f t="array" ref="C1468">B1468+TIME(alea_int(1,4,Settings!$B$16),0,0)</f>
        <v>46228.666666666664</v>
      </c>
    </row>
    <row r="1469" spans="1:3" ht="15.75" customHeight="1" x14ac:dyDescent="0.25">
      <c r="A1469" s="2" t="str" cm="1">
        <f t="array" ref="A1469">choice(Salles!A:A,1,Settings!$B$16)</f>
        <v>Salle61</v>
      </c>
      <c r="B1469" s="3" cm="1">
        <f t="array" ref="B1469">alea_date(Settings!$B$11,360,-1,Settings!$B$16)</f>
        <v>46271.583333333336</v>
      </c>
      <c r="C1469" s="20" cm="1">
        <f t="array" ref="C1469">B1469+TIME(alea_int(1,4,Settings!$B$16),0,0)</f>
        <v>46271.75</v>
      </c>
    </row>
    <row r="1470" spans="1:3" ht="15.75" customHeight="1" x14ac:dyDescent="0.25">
      <c r="A1470" s="2" t="str" cm="1">
        <f t="array" ref="A1470">choice(Salles!A:A,1,Settings!$B$16)</f>
        <v>Salle67</v>
      </c>
      <c r="B1470" s="3" cm="1">
        <f t="array" ref="B1470">alea_date(Settings!$B$11,360,-1,Settings!$B$16)</f>
        <v>46067.625</v>
      </c>
      <c r="C1470" s="20" cm="1">
        <f t="array" ref="C1470">B1470+TIME(alea_int(1,4,Settings!$B$16),0,0)</f>
        <v>46067.791666666664</v>
      </c>
    </row>
    <row r="1471" spans="1:3" ht="15.75" customHeight="1" x14ac:dyDescent="0.25">
      <c r="A1471" s="2" t="str" cm="1">
        <f t="array" ref="A1471">choice(Salles!A:A,1,Settings!$B$16)</f>
        <v>Salle10</v>
      </c>
      <c r="B1471" s="3" cm="1">
        <f t="array" ref="B1471">alea_date(Settings!$B$11,360,-1,Settings!$B$16)</f>
        <v>46146.458333333336</v>
      </c>
      <c r="C1471" s="20" cm="1">
        <f t="array" ref="C1471">B1471+TIME(alea_int(1,4,Settings!$B$16),0,0)</f>
        <v>46146.625</v>
      </c>
    </row>
    <row r="1472" spans="1:3" ht="15.75" customHeight="1" x14ac:dyDescent="0.25">
      <c r="A1472" s="2" t="str" cm="1">
        <f t="array" ref="A1472">choice(Salles!A:A,1,Settings!$B$16)</f>
        <v>Salle28</v>
      </c>
      <c r="B1472" s="3" cm="1">
        <f t="array" ref="B1472">alea_date(Settings!$B$11,360,-1,Settings!$B$16)</f>
        <v>46204.625</v>
      </c>
      <c r="C1472" s="20" cm="1">
        <f t="array" ref="C1472">B1472+TIME(alea_int(1,4,Settings!$B$16),0,0)</f>
        <v>46204.791666666664</v>
      </c>
    </row>
    <row r="1473" spans="1:3" ht="15.75" customHeight="1" x14ac:dyDescent="0.25">
      <c r="A1473" s="2" t="str" cm="1">
        <f t="array" ref="A1473">choice(Salles!A:A,1,Settings!$B$16)</f>
        <v>Salle65</v>
      </c>
      <c r="B1473" s="3" cm="1">
        <f t="array" ref="B1473">alea_date(Settings!$B$11,360,-1,Settings!$B$16)</f>
        <v>46371.25</v>
      </c>
      <c r="C1473" s="20" cm="1">
        <f t="array" ref="C1473">B1473+TIME(alea_int(1,4,Settings!$B$16),0,0)</f>
        <v>46371.416666666664</v>
      </c>
    </row>
    <row r="1474" spans="1:3" ht="15.75" customHeight="1" x14ac:dyDescent="0.25">
      <c r="A1474" s="2" t="str" cm="1">
        <f t="array" ref="A1474">choice(Salles!A:A,1,Settings!$B$16)</f>
        <v>Salle70</v>
      </c>
      <c r="B1474" s="3" cm="1">
        <f t="array" ref="B1474">alea_date(Settings!$B$11,360,-1,Settings!$B$16)</f>
        <v>46361.25</v>
      </c>
      <c r="C1474" s="20" cm="1">
        <f t="array" ref="C1474">B1474+TIME(alea_int(1,4,Settings!$B$16),0,0)</f>
        <v>46361.416666666664</v>
      </c>
    </row>
    <row r="1475" spans="1:3" ht="15.75" customHeight="1" x14ac:dyDescent="0.25">
      <c r="A1475" s="2" t="str" cm="1">
        <f t="array" ref="A1475">choice(Salles!A:A,1,Settings!$B$16)</f>
        <v>Salle4</v>
      </c>
      <c r="B1475" s="3" cm="1">
        <f t="array" ref="B1475">alea_date(Settings!$B$11,360,-1,Settings!$B$16)</f>
        <v>46158.416666666664</v>
      </c>
      <c r="C1475" s="20" cm="1">
        <f t="array" ref="C1475">B1475+TIME(alea_int(1,4,Settings!$B$16),0,0)</f>
        <v>46158.583333333328</v>
      </c>
    </row>
    <row r="1476" spans="1:3" ht="15.75" customHeight="1" x14ac:dyDescent="0.25">
      <c r="A1476" s="2" t="str" cm="1">
        <f t="array" ref="A1476">choice(Salles!A:A,1,Settings!$B$16)</f>
        <v>Salle28</v>
      </c>
      <c r="B1476" s="3" cm="1">
        <f t="array" ref="B1476">alea_date(Settings!$B$11,360,-1,Settings!$B$16)</f>
        <v>46278.333333333336</v>
      </c>
      <c r="C1476" s="20" cm="1">
        <f t="array" ref="C1476">B1476+TIME(alea_int(1,4,Settings!$B$16),0,0)</f>
        <v>46278.5</v>
      </c>
    </row>
    <row r="1477" spans="1:3" ht="15.75" customHeight="1" x14ac:dyDescent="0.25">
      <c r="A1477" s="2" t="str" cm="1">
        <f t="array" ref="A1477">choice(Salles!A:A,1,Settings!$B$16)</f>
        <v>Salle5</v>
      </c>
      <c r="B1477" s="3" cm="1">
        <f t="array" ref="B1477">alea_date(Settings!$B$11,360,-1,Settings!$B$16)</f>
        <v>46087.625</v>
      </c>
      <c r="C1477" s="20" cm="1">
        <f t="array" ref="C1477">B1477+TIME(alea_int(1,4,Settings!$B$16),0,0)</f>
        <v>46087.791666666664</v>
      </c>
    </row>
    <row r="1478" spans="1:3" ht="15.75" customHeight="1" x14ac:dyDescent="0.25">
      <c r="A1478" s="2" t="str" cm="1">
        <f t="array" ref="A1478">choice(Salles!A:A,1,Settings!$B$16)</f>
        <v>Salle36</v>
      </c>
      <c r="B1478" s="3" cm="1">
        <f t="array" ref="B1478">alea_date(Settings!$B$11,360,-1,Settings!$B$16)</f>
        <v>46142.541666666664</v>
      </c>
      <c r="C1478" s="20" cm="1">
        <f t="array" ref="C1478">B1478+TIME(alea_int(1,4,Settings!$B$16),0,0)</f>
        <v>46142.708333333328</v>
      </c>
    </row>
    <row r="1479" spans="1:3" ht="15.75" customHeight="1" x14ac:dyDescent="0.25">
      <c r="A1479" s="2" t="str" cm="1">
        <f t="array" ref="A1479">choice(Salles!A:A,1,Settings!$B$16)</f>
        <v>Salle64</v>
      </c>
      <c r="B1479" s="3" cm="1">
        <f t="array" ref="B1479">alea_date(Settings!$B$11,360,-1,Settings!$B$16)</f>
        <v>46226.541666666664</v>
      </c>
      <c r="C1479" s="20" cm="1">
        <f t="array" ref="C1479">B1479+TIME(alea_int(1,4,Settings!$B$16),0,0)</f>
        <v>46226.708333333328</v>
      </c>
    </row>
    <row r="1480" spans="1:3" ht="15.75" customHeight="1" x14ac:dyDescent="0.25">
      <c r="A1480" s="2" t="str" cm="1">
        <f t="array" ref="A1480">choice(Salles!A:A,1,Settings!$B$16)</f>
        <v>Salle70</v>
      </c>
      <c r="B1480" s="3" cm="1">
        <f t="array" ref="B1480">alea_date(Settings!$B$11,360,-1,Settings!$B$16)</f>
        <v>46157.5</v>
      </c>
      <c r="C1480" s="20" cm="1">
        <f t="array" ref="C1480">B1480+TIME(alea_int(1,4,Settings!$B$16),0,0)</f>
        <v>46157.666666666664</v>
      </c>
    </row>
    <row r="1481" spans="1:3" ht="15.75" customHeight="1" x14ac:dyDescent="0.25">
      <c r="A1481" s="2" t="str" cm="1">
        <f t="array" ref="A1481">choice(Salles!A:A,1,Settings!$B$16)</f>
        <v>Salle61</v>
      </c>
      <c r="B1481" s="3" cm="1">
        <f t="array" ref="B1481">alea_date(Settings!$B$11,360,-1,Settings!$B$16)</f>
        <v>46036.625</v>
      </c>
      <c r="C1481" s="20" cm="1">
        <f t="array" ref="C1481">B1481+TIME(alea_int(1,4,Settings!$B$16),0,0)</f>
        <v>46036.791666666664</v>
      </c>
    </row>
    <row r="1482" spans="1:3" ht="15.75" customHeight="1" x14ac:dyDescent="0.25">
      <c r="A1482" s="2" t="str" cm="1">
        <f t="array" ref="A1482">choice(Salles!A:A,1,Settings!$B$16)</f>
        <v>Salle64</v>
      </c>
      <c r="B1482" s="3" cm="1">
        <f t="array" ref="B1482">alea_date(Settings!$B$11,360,-1,Settings!$B$16)</f>
        <v>46383.5</v>
      </c>
      <c r="C1482" s="20" cm="1">
        <f t="array" ref="C1482">B1482+TIME(alea_int(1,4,Settings!$B$16),0,0)</f>
        <v>46383.666666666664</v>
      </c>
    </row>
    <row r="1483" spans="1:3" ht="15.75" customHeight="1" x14ac:dyDescent="0.25">
      <c r="A1483" s="2" t="str" cm="1">
        <f t="array" ref="A1483">choice(Salles!A:A,1,Settings!$B$16)</f>
        <v>Salle43</v>
      </c>
      <c r="B1483" s="3" cm="1">
        <f t="array" ref="B1483">alea_date(Settings!$B$11,360,-1,Settings!$B$16)</f>
        <v>46304.625</v>
      </c>
      <c r="C1483" s="20" cm="1">
        <f t="array" ref="C1483">B1483+TIME(alea_int(1,4,Settings!$B$16),0,0)</f>
        <v>46304.791666666664</v>
      </c>
    </row>
    <row r="1484" spans="1:3" ht="15.75" customHeight="1" x14ac:dyDescent="0.25">
      <c r="A1484" s="2" t="str" cm="1">
        <f t="array" ref="A1484">choice(Salles!A:A,1,Settings!$B$16)</f>
        <v>Salle3</v>
      </c>
      <c r="B1484" s="3" cm="1">
        <f t="array" ref="B1484">alea_date(Settings!$B$11,360,-1,Settings!$B$16)</f>
        <v>46333.5</v>
      </c>
      <c r="C1484" s="20" cm="1">
        <f t="array" ref="C1484">B1484+TIME(alea_int(1,4,Settings!$B$16),0,0)</f>
        <v>46333.666666666664</v>
      </c>
    </row>
    <row r="1485" spans="1:3" ht="15.75" customHeight="1" x14ac:dyDescent="0.25">
      <c r="A1485" s="2" t="str" cm="1">
        <f t="array" ref="A1485">choice(Salles!A:A,1,Settings!$B$16)</f>
        <v>Salle66</v>
      </c>
      <c r="B1485" s="3" cm="1">
        <f t="array" ref="B1485">alea_date(Settings!$B$11,360,-1,Settings!$B$16)</f>
        <v>46114.333333333336</v>
      </c>
      <c r="C1485" s="20" cm="1">
        <f t="array" ref="C1485">B1485+TIME(alea_int(1,4,Settings!$B$16),0,0)</f>
        <v>46114.5</v>
      </c>
    </row>
    <row r="1486" spans="1:3" ht="15.75" customHeight="1" x14ac:dyDescent="0.25">
      <c r="A1486" s="2" t="str" cm="1">
        <f t="array" ref="A1486">choice(Salles!A:A,1,Settings!$B$16)</f>
        <v>Salle19</v>
      </c>
      <c r="B1486" s="3" cm="1">
        <f t="array" ref="B1486">alea_date(Settings!$B$11,360,-1,Settings!$B$16)</f>
        <v>46190.541666666664</v>
      </c>
      <c r="C1486" s="20" cm="1">
        <f t="array" ref="C1486">B1486+TIME(alea_int(1,4,Settings!$B$16),0,0)</f>
        <v>46190.708333333328</v>
      </c>
    </row>
    <row r="1487" spans="1:3" ht="15.75" customHeight="1" x14ac:dyDescent="0.25">
      <c r="A1487" s="2" t="str" cm="1">
        <f t="array" ref="A1487">choice(Salles!A:A,1,Settings!$B$16)</f>
        <v>Salle47</v>
      </c>
      <c r="B1487" s="3" cm="1">
        <f t="array" ref="B1487">alea_date(Settings!$B$11,360,-1,Settings!$B$16)</f>
        <v>46030.583333333336</v>
      </c>
      <c r="C1487" s="20" cm="1">
        <f t="array" ref="C1487">B1487+TIME(alea_int(1,4,Settings!$B$16),0,0)</f>
        <v>46030.75</v>
      </c>
    </row>
    <row r="1488" spans="1:3" ht="15.75" customHeight="1" x14ac:dyDescent="0.25">
      <c r="A1488" s="2" t="str" cm="1">
        <f t="array" ref="A1488">choice(Salles!A:A,1,Settings!$B$16)</f>
        <v>Salle42</v>
      </c>
      <c r="B1488" s="3" cm="1">
        <f t="array" ref="B1488">alea_date(Settings!$B$11,360,-1,Settings!$B$16)</f>
        <v>46214.583333333336</v>
      </c>
      <c r="C1488" s="20" cm="1">
        <f t="array" ref="C1488">B1488+TIME(alea_int(1,4,Settings!$B$16),0,0)</f>
        <v>46214.75</v>
      </c>
    </row>
    <row r="1489" spans="1:3" ht="15.75" customHeight="1" x14ac:dyDescent="0.25">
      <c r="A1489" s="2" t="str" cm="1">
        <f t="array" ref="A1489">choice(Salles!A:A,1,Settings!$B$16)</f>
        <v>Salle66</v>
      </c>
      <c r="B1489" s="3" cm="1">
        <f t="array" ref="B1489">alea_date(Settings!$B$11,360,-1,Settings!$B$16)</f>
        <v>46290.625</v>
      </c>
      <c r="C1489" s="20" cm="1">
        <f t="array" ref="C1489">B1489+TIME(alea_int(1,4,Settings!$B$16),0,0)</f>
        <v>46290.791666666664</v>
      </c>
    </row>
    <row r="1490" spans="1:3" ht="15.75" customHeight="1" x14ac:dyDescent="0.25">
      <c r="A1490" s="2" t="str" cm="1">
        <f t="array" ref="A1490">choice(Salles!A:A,1,Settings!$B$16)</f>
        <v>Salle6</v>
      </c>
      <c r="B1490" s="3" cm="1">
        <f t="array" ref="B1490">alea_date(Settings!$B$11,360,-1,Settings!$B$16)</f>
        <v>46123.625</v>
      </c>
      <c r="C1490" s="20" cm="1">
        <f t="array" ref="C1490">B1490+TIME(alea_int(1,4,Settings!$B$16),0,0)</f>
        <v>46123.791666666664</v>
      </c>
    </row>
    <row r="1491" spans="1:3" ht="15.75" customHeight="1" x14ac:dyDescent="0.25">
      <c r="A1491" s="2" t="str" cm="1">
        <f t="array" ref="A1491">choice(Salles!A:A,1,Settings!$B$16)</f>
        <v>Salle70</v>
      </c>
      <c r="B1491" s="3" cm="1">
        <f t="array" ref="B1491">alea_date(Settings!$B$11,360,-1,Settings!$B$16)</f>
        <v>46134.375</v>
      </c>
      <c r="C1491" s="20" cm="1">
        <f t="array" ref="C1491">B1491+TIME(alea_int(1,4,Settings!$B$16),0,0)</f>
        <v>46134.541666666664</v>
      </c>
    </row>
    <row r="1492" spans="1:3" ht="15.75" customHeight="1" x14ac:dyDescent="0.25">
      <c r="A1492" s="2" t="str" cm="1">
        <f t="array" ref="A1492">choice(Salles!A:A,1,Settings!$B$16)</f>
        <v>Salle50</v>
      </c>
      <c r="B1492" s="3" cm="1">
        <f t="array" ref="B1492">alea_date(Settings!$B$11,360,-1,Settings!$B$16)</f>
        <v>46078.5</v>
      </c>
      <c r="C1492" s="20" cm="1">
        <f t="array" ref="C1492">B1492+TIME(alea_int(1,4,Settings!$B$16),0,0)</f>
        <v>46078.666666666664</v>
      </c>
    </row>
    <row r="1493" spans="1:3" ht="15.75" customHeight="1" x14ac:dyDescent="0.25">
      <c r="A1493" s="2" t="str" cm="1">
        <f t="array" ref="A1493">choice(Salles!A:A,1,Settings!$B$16)</f>
        <v>Salle54</v>
      </c>
      <c r="B1493" s="3" cm="1">
        <f t="array" ref="B1493">alea_date(Settings!$B$11,360,-1,Settings!$B$16)</f>
        <v>46226.291666666664</v>
      </c>
      <c r="C1493" s="20" cm="1">
        <f t="array" ref="C1493">B1493+TIME(alea_int(1,4,Settings!$B$16),0,0)</f>
        <v>46226.458333333328</v>
      </c>
    </row>
    <row r="1494" spans="1:3" ht="15.75" customHeight="1" x14ac:dyDescent="0.25">
      <c r="A1494" s="2" t="str" cm="1">
        <f t="array" ref="A1494">choice(Salles!A:A,1,Settings!$B$16)</f>
        <v>Salle68</v>
      </c>
      <c r="B1494" s="3" cm="1">
        <f t="array" ref="B1494">alea_date(Settings!$B$11,360,-1,Settings!$B$16)</f>
        <v>46354.541666666664</v>
      </c>
      <c r="C1494" s="20" cm="1">
        <f t="array" ref="C1494">B1494+TIME(alea_int(1,4,Settings!$B$16),0,0)</f>
        <v>46354.708333333328</v>
      </c>
    </row>
    <row r="1495" spans="1:3" ht="15.75" customHeight="1" x14ac:dyDescent="0.25">
      <c r="A1495" s="2" t="str" cm="1">
        <f t="array" ref="A1495">choice(Salles!A:A,1,Settings!$B$16)</f>
        <v>Salle69</v>
      </c>
      <c r="B1495" s="3" cm="1">
        <f t="array" ref="B1495">alea_date(Settings!$B$11,360,-1,Settings!$B$16)</f>
        <v>46098.458333333336</v>
      </c>
      <c r="C1495" s="20" cm="1">
        <f t="array" ref="C1495">B1495+TIME(alea_int(1,4,Settings!$B$16),0,0)</f>
        <v>46098.625</v>
      </c>
    </row>
    <row r="1496" spans="1:3" ht="15.75" customHeight="1" x14ac:dyDescent="0.25">
      <c r="A1496" s="2" t="str" cm="1">
        <f t="array" ref="A1496">choice(Salles!A:A,1,Settings!$B$16)</f>
        <v>Salle4</v>
      </c>
      <c r="B1496" s="3" cm="1">
        <f t="array" ref="B1496">alea_date(Settings!$B$11,360,-1,Settings!$B$16)</f>
        <v>46200.375</v>
      </c>
      <c r="C1496" s="20" cm="1">
        <f t="array" ref="C1496">B1496+TIME(alea_int(1,4,Settings!$B$16),0,0)</f>
        <v>46200.541666666664</v>
      </c>
    </row>
    <row r="1497" spans="1:3" ht="15.75" customHeight="1" x14ac:dyDescent="0.25">
      <c r="A1497" s="2" t="str" cm="1">
        <f t="array" ref="A1497">choice(Salles!A:A,1,Settings!$B$16)</f>
        <v>Salle9</v>
      </c>
      <c r="B1497" s="3" cm="1">
        <f t="array" ref="B1497">alea_date(Settings!$B$11,360,-1,Settings!$B$16)</f>
        <v>46267.333333333336</v>
      </c>
      <c r="C1497" s="20" cm="1">
        <f t="array" ref="C1497">B1497+TIME(alea_int(1,4,Settings!$B$16),0,0)</f>
        <v>46267.5</v>
      </c>
    </row>
    <row r="1498" spans="1:3" ht="15.75" customHeight="1" x14ac:dyDescent="0.25">
      <c r="A1498" s="2" t="str" cm="1">
        <f t="array" ref="A1498">choice(Salles!A:A,1,Settings!$B$16)</f>
        <v>Salle37</v>
      </c>
      <c r="B1498" s="3" cm="1">
        <f t="array" ref="B1498">alea_date(Settings!$B$11,360,-1,Settings!$B$16)</f>
        <v>46257.375</v>
      </c>
      <c r="C1498" s="20" cm="1">
        <f t="array" ref="C1498">B1498+TIME(alea_int(1,4,Settings!$B$16),0,0)</f>
        <v>46257.541666666664</v>
      </c>
    </row>
    <row r="1499" spans="1:3" ht="15.75" customHeight="1" x14ac:dyDescent="0.25">
      <c r="A1499" s="2" t="str" cm="1">
        <f t="array" ref="A1499">choice(Salles!A:A,1,Settings!$B$16)</f>
        <v>Salle29</v>
      </c>
      <c r="B1499" s="3" cm="1">
        <f t="array" ref="B1499">alea_date(Settings!$B$11,360,-1,Settings!$B$16)</f>
        <v>46260.291666666664</v>
      </c>
      <c r="C1499" s="20" cm="1">
        <f t="array" ref="C1499">B1499+TIME(alea_int(1,4,Settings!$B$16),0,0)</f>
        <v>46260.458333333328</v>
      </c>
    </row>
    <row r="1500" spans="1:3" ht="15.75" customHeight="1" x14ac:dyDescent="0.25">
      <c r="A1500" s="2" t="str" cm="1">
        <f t="array" ref="A1500">choice(Salles!A:A,1,Settings!$B$16)</f>
        <v>Salle67</v>
      </c>
      <c r="B1500" s="3" cm="1">
        <f t="array" ref="B1500">alea_date(Settings!$B$11,360,-1,Settings!$B$16)</f>
        <v>46108.541666666664</v>
      </c>
      <c r="C1500" s="20" cm="1">
        <f t="array" ref="C1500">B1500+TIME(alea_int(1,4,Settings!$B$16),0,0)</f>
        <v>46108.708333333328</v>
      </c>
    </row>
    <row r="1501" spans="1:3" ht="15.75" customHeight="1" x14ac:dyDescent="0.25">
      <c r="A1501" s="2" t="str" cm="1">
        <f t="array" ref="A1501">choice(Salles!A:A,1,Settings!$B$16)</f>
        <v>Salle5</v>
      </c>
      <c r="B1501" s="3" cm="1">
        <f t="array" ref="B1501">alea_date(Settings!$B$11,360,-1,Settings!$B$16)</f>
        <v>46253.375</v>
      </c>
      <c r="C1501" s="20" cm="1">
        <f t="array" ref="C1501">B1501+TIME(alea_int(1,4,Settings!$B$16),0,0)</f>
        <v>46253.541666666664</v>
      </c>
    </row>
    <row r="1502" spans="1:3" ht="15.75" customHeight="1" x14ac:dyDescent="0.25">
      <c r="A1502" s="2" t="str" cm="1">
        <f t="array" ref="A1502">choice(Salles!A:A,1,Settings!$B$16)</f>
        <v>Salle58</v>
      </c>
      <c r="B1502" s="3" cm="1">
        <f t="array" ref="B1502">alea_date(Settings!$B$11,360,-1,Settings!$B$16)</f>
        <v>46192.291666666664</v>
      </c>
      <c r="C1502" s="20" cm="1">
        <f t="array" ref="C1502">B1502+TIME(alea_int(1,4,Settings!$B$16),0,0)</f>
        <v>46192.458333333328</v>
      </c>
    </row>
    <row r="1503" spans="1:3" ht="15.75" customHeight="1" x14ac:dyDescent="0.25">
      <c r="A1503" s="2" t="str" cm="1">
        <f t="array" ref="A1503">choice(Salles!A:A,1,Settings!$B$16)</f>
        <v>Salle69</v>
      </c>
      <c r="B1503" s="3" cm="1">
        <f t="array" ref="B1503">alea_date(Settings!$B$11,360,-1,Settings!$B$16)</f>
        <v>46296.25</v>
      </c>
      <c r="C1503" s="20" cm="1">
        <f t="array" ref="C1503">B1503+TIME(alea_int(1,4,Settings!$B$16),0,0)</f>
        <v>46296.416666666664</v>
      </c>
    </row>
    <row r="1504" spans="1:3" ht="15.75" customHeight="1" x14ac:dyDescent="0.25">
      <c r="A1504" s="2" t="str" cm="1">
        <f t="array" ref="A1504">choice(Salles!A:A,1,Settings!$B$16)</f>
        <v>Salle48</v>
      </c>
      <c r="B1504" s="3" cm="1">
        <f t="array" ref="B1504">alea_date(Settings!$B$11,360,-1,Settings!$B$16)</f>
        <v>46286.583333333336</v>
      </c>
      <c r="C1504" s="20" cm="1">
        <f t="array" ref="C1504">B1504+TIME(alea_int(1,4,Settings!$B$16),0,0)</f>
        <v>46286.75</v>
      </c>
    </row>
    <row r="1505" spans="1:3" ht="15.75" customHeight="1" x14ac:dyDescent="0.25">
      <c r="A1505" s="2" t="str" cm="1">
        <f t="array" ref="A1505">choice(Salles!A:A,1,Settings!$B$16)</f>
        <v>Salle57</v>
      </c>
      <c r="B1505" s="3" cm="1">
        <f t="array" ref="B1505">alea_date(Settings!$B$11,360,-1,Settings!$B$16)</f>
        <v>46267.291666666664</v>
      </c>
      <c r="C1505" s="20" cm="1">
        <f t="array" ref="C1505">B1505+TIME(alea_int(1,4,Settings!$B$16),0,0)</f>
        <v>46267.458333333328</v>
      </c>
    </row>
    <row r="1506" spans="1:3" ht="15.75" customHeight="1" x14ac:dyDescent="0.25">
      <c r="A1506" s="2" t="str" cm="1">
        <f t="array" ref="A1506">choice(Salles!A:A,1,Settings!$B$16)</f>
        <v>Salle44</v>
      </c>
      <c r="B1506" s="3" cm="1">
        <f t="array" ref="B1506">alea_date(Settings!$B$11,360,-1,Settings!$B$16)</f>
        <v>46176.333333333336</v>
      </c>
      <c r="C1506" s="20" cm="1">
        <f t="array" ref="C1506">B1506+TIME(alea_int(1,4,Settings!$B$16),0,0)</f>
        <v>46176.5</v>
      </c>
    </row>
    <row r="1507" spans="1:3" ht="15.75" customHeight="1" x14ac:dyDescent="0.25">
      <c r="A1507" s="2" t="str" cm="1">
        <f t="array" ref="A1507">choice(Salles!A:A,1,Settings!$B$16)</f>
        <v>Salle44</v>
      </c>
      <c r="B1507" s="3" cm="1">
        <f t="array" ref="B1507">alea_date(Settings!$B$11,360,-1,Settings!$B$16)</f>
        <v>46183.458333333336</v>
      </c>
      <c r="C1507" s="20" cm="1">
        <f t="array" ref="C1507">B1507+TIME(alea_int(1,4,Settings!$B$16),0,0)</f>
        <v>46183.625</v>
      </c>
    </row>
    <row r="1508" spans="1:3" ht="15.75" customHeight="1" x14ac:dyDescent="0.25">
      <c r="A1508" s="2" t="str" cm="1">
        <f t="array" ref="A1508">choice(Salles!A:A,1,Settings!$B$16)</f>
        <v>Salle53</v>
      </c>
      <c r="B1508" s="3" cm="1">
        <f t="array" ref="B1508">alea_date(Settings!$B$11,360,-1,Settings!$B$16)</f>
        <v>46072.375</v>
      </c>
      <c r="C1508" s="20" cm="1">
        <f t="array" ref="C1508">B1508+TIME(alea_int(1,4,Settings!$B$16),0,0)</f>
        <v>46072.541666666664</v>
      </c>
    </row>
    <row r="1509" spans="1:3" ht="15.75" customHeight="1" x14ac:dyDescent="0.25">
      <c r="A1509" s="2" t="str" cm="1">
        <f t="array" ref="A1509">choice(Salles!A:A,1,Settings!$B$16)</f>
        <v>Salle70</v>
      </c>
      <c r="B1509" s="3" cm="1">
        <f t="array" ref="B1509">alea_date(Settings!$B$11,360,-1,Settings!$B$16)</f>
        <v>46055.541666666664</v>
      </c>
      <c r="C1509" s="20" cm="1">
        <f t="array" ref="C1509">B1509+TIME(alea_int(1,4,Settings!$B$16),0,0)</f>
        <v>46055.708333333328</v>
      </c>
    </row>
    <row r="1510" spans="1:3" ht="15.75" customHeight="1" x14ac:dyDescent="0.25">
      <c r="A1510" s="2" t="str" cm="1">
        <f t="array" ref="A1510">choice(Salles!A:A,1,Settings!$B$16)</f>
        <v>Salle4</v>
      </c>
      <c r="B1510" s="3" cm="1">
        <f t="array" ref="B1510">alea_date(Settings!$B$11,360,-1,Settings!$B$16)</f>
        <v>46124.458333333336</v>
      </c>
      <c r="C1510" s="20" cm="1">
        <f t="array" ref="C1510">B1510+TIME(alea_int(1,4,Settings!$B$16),0,0)</f>
        <v>46124.625</v>
      </c>
    </row>
    <row r="1511" spans="1:3" ht="15.75" customHeight="1" x14ac:dyDescent="0.25">
      <c r="A1511" s="2" t="str" cm="1">
        <f t="array" ref="A1511">choice(Salles!A:A,1,Settings!$B$16)</f>
        <v>Salle4</v>
      </c>
      <c r="B1511" s="3" cm="1">
        <f t="array" ref="B1511">alea_date(Settings!$B$11,360,-1,Settings!$B$16)</f>
        <v>46261.583333333336</v>
      </c>
      <c r="C1511" s="20" cm="1">
        <f t="array" ref="C1511">B1511+TIME(alea_int(1,4,Settings!$B$16),0,0)</f>
        <v>46261.75</v>
      </c>
    </row>
    <row r="1512" spans="1:3" ht="15.75" customHeight="1" x14ac:dyDescent="0.25">
      <c r="A1512" s="2" t="str" cm="1">
        <f t="array" ref="A1512">choice(Salles!A:A,1,Settings!$B$16)</f>
        <v>Salle38</v>
      </c>
      <c r="B1512" s="3" cm="1">
        <f t="array" ref="B1512">alea_date(Settings!$B$11,360,-1,Settings!$B$16)</f>
        <v>46247.375</v>
      </c>
      <c r="C1512" s="20" cm="1">
        <f t="array" ref="C1512">B1512+TIME(alea_int(1,4,Settings!$B$16),0,0)</f>
        <v>46247.541666666664</v>
      </c>
    </row>
    <row r="1513" spans="1:3" ht="15.75" customHeight="1" x14ac:dyDescent="0.25">
      <c r="A1513" s="2" t="str" cm="1">
        <f t="array" ref="A1513">choice(Salles!A:A,1,Settings!$B$16)</f>
        <v>Salle57</v>
      </c>
      <c r="B1513" s="3" cm="1">
        <f t="array" ref="B1513">alea_date(Settings!$B$11,360,-1,Settings!$B$16)</f>
        <v>46044.625</v>
      </c>
      <c r="C1513" s="20" cm="1">
        <f t="array" ref="C1513">B1513+TIME(alea_int(1,4,Settings!$B$16),0,0)</f>
        <v>46044.791666666664</v>
      </c>
    </row>
    <row r="1514" spans="1:3" ht="15.75" customHeight="1" x14ac:dyDescent="0.25">
      <c r="A1514" s="2" t="str" cm="1">
        <f t="array" ref="A1514">choice(Salles!A:A,1,Settings!$B$16)</f>
        <v>Salle33</v>
      </c>
      <c r="B1514" s="3" cm="1">
        <f t="array" ref="B1514">alea_date(Settings!$B$11,360,-1,Settings!$B$16)</f>
        <v>46116.375</v>
      </c>
      <c r="C1514" s="20" cm="1">
        <f t="array" ref="C1514">B1514+TIME(alea_int(1,4,Settings!$B$16),0,0)</f>
        <v>46116.541666666664</v>
      </c>
    </row>
    <row r="1515" spans="1:3" ht="15.75" customHeight="1" x14ac:dyDescent="0.25">
      <c r="A1515" s="2" t="str" cm="1">
        <f t="array" ref="A1515">choice(Salles!A:A,1,Settings!$B$16)</f>
        <v>Salle29</v>
      </c>
      <c r="B1515" s="3" cm="1">
        <f t="array" ref="B1515">alea_date(Settings!$B$11,360,-1,Settings!$B$16)</f>
        <v>46038.25</v>
      </c>
      <c r="C1515" s="20" cm="1">
        <f t="array" ref="C1515">B1515+TIME(alea_int(1,4,Settings!$B$16),0,0)</f>
        <v>46038.416666666664</v>
      </c>
    </row>
    <row r="1516" spans="1:3" ht="15.75" customHeight="1" x14ac:dyDescent="0.25">
      <c r="A1516" s="2" t="str" cm="1">
        <f t="array" ref="A1516">choice(Salles!A:A,1,Settings!$B$16)</f>
        <v>Salle10</v>
      </c>
      <c r="B1516" s="3" cm="1">
        <f t="array" ref="B1516">alea_date(Settings!$B$11,360,-1,Settings!$B$16)</f>
        <v>46373.541666666664</v>
      </c>
      <c r="C1516" s="20" cm="1">
        <f t="array" ref="C1516">B1516+TIME(alea_int(1,4,Settings!$B$16),0,0)</f>
        <v>46373.708333333328</v>
      </c>
    </row>
    <row r="1517" spans="1:3" ht="15.75" customHeight="1" x14ac:dyDescent="0.25">
      <c r="A1517" s="2" t="str" cm="1">
        <f t="array" ref="A1517">choice(Salles!A:A,1,Settings!$B$16)</f>
        <v>Salle20</v>
      </c>
      <c r="B1517" s="3" cm="1">
        <f t="array" ref="B1517">alea_date(Settings!$B$11,360,-1,Settings!$B$16)</f>
        <v>46065.625</v>
      </c>
      <c r="C1517" s="20" cm="1">
        <f t="array" ref="C1517">B1517+TIME(alea_int(1,4,Settings!$B$16),0,0)</f>
        <v>46065.791666666664</v>
      </c>
    </row>
    <row r="1518" spans="1:3" ht="15.75" customHeight="1" x14ac:dyDescent="0.25">
      <c r="A1518" s="2" t="str" cm="1">
        <f t="array" ref="A1518">choice(Salles!A:A,1,Settings!$B$16)</f>
        <v>Salle39</v>
      </c>
      <c r="B1518" s="3" cm="1">
        <f t="array" ref="B1518">alea_date(Settings!$B$11,360,-1,Settings!$B$16)</f>
        <v>46149.416666666664</v>
      </c>
      <c r="C1518" s="20" cm="1">
        <f t="array" ref="C1518">B1518+TIME(alea_int(1,4,Settings!$B$16),0,0)</f>
        <v>46149.583333333328</v>
      </c>
    </row>
    <row r="1519" spans="1:3" ht="15.75" customHeight="1" x14ac:dyDescent="0.25">
      <c r="A1519" s="2" t="str" cm="1">
        <f t="array" ref="A1519">choice(Salles!A:A,1,Settings!$B$16)</f>
        <v>Salle43</v>
      </c>
      <c r="B1519" s="3" cm="1">
        <f t="array" ref="B1519">alea_date(Settings!$B$11,360,-1,Settings!$B$16)</f>
        <v>46366.458333333336</v>
      </c>
      <c r="C1519" s="20" cm="1">
        <f t="array" ref="C1519">B1519+TIME(alea_int(1,4,Settings!$B$16),0,0)</f>
        <v>46366.625</v>
      </c>
    </row>
    <row r="1520" spans="1:3" ht="15.75" customHeight="1" x14ac:dyDescent="0.25">
      <c r="A1520" s="2" t="str" cm="1">
        <f t="array" ref="A1520">choice(Salles!A:A,1,Settings!$B$16)</f>
        <v>Salle40</v>
      </c>
      <c r="B1520" s="3" cm="1">
        <f t="array" ref="B1520">alea_date(Settings!$B$11,360,-1,Settings!$B$16)</f>
        <v>46304.416666666664</v>
      </c>
      <c r="C1520" s="20" cm="1">
        <f t="array" ref="C1520">B1520+TIME(alea_int(1,4,Settings!$B$16),0,0)</f>
        <v>46304.583333333328</v>
      </c>
    </row>
    <row r="1521" spans="1:3" ht="15.75" customHeight="1" x14ac:dyDescent="0.25">
      <c r="A1521" s="2" t="str" cm="1">
        <f t="array" ref="A1521">choice(Salles!A:A,1,Settings!$B$16)</f>
        <v>Salle4</v>
      </c>
      <c r="B1521" s="3" cm="1">
        <f t="array" ref="B1521">alea_date(Settings!$B$11,360,-1,Settings!$B$16)</f>
        <v>46126.583333333336</v>
      </c>
      <c r="C1521" s="20" cm="1">
        <f t="array" ref="C1521">B1521+TIME(alea_int(1,4,Settings!$B$16),0,0)</f>
        <v>46126.75</v>
      </c>
    </row>
    <row r="1522" spans="1:3" ht="15.75" customHeight="1" x14ac:dyDescent="0.25">
      <c r="A1522" s="2" t="str" cm="1">
        <f t="array" ref="A1522">choice(Salles!A:A,1,Settings!$B$16)</f>
        <v>Salle19</v>
      </c>
      <c r="B1522" s="3" cm="1">
        <f t="array" ref="B1522">alea_date(Settings!$B$11,360,-1,Settings!$B$16)</f>
        <v>46229.625</v>
      </c>
      <c r="C1522" s="20" cm="1">
        <f t="array" ref="C1522">B1522+TIME(alea_int(1,4,Settings!$B$16),0,0)</f>
        <v>46229.791666666664</v>
      </c>
    </row>
    <row r="1523" spans="1:3" ht="15.75" customHeight="1" x14ac:dyDescent="0.25">
      <c r="A1523" s="2" t="str" cm="1">
        <f t="array" ref="A1523">choice(Salles!A:A,1,Settings!$B$16)</f>
        <v>Salle28</v>
      </c>
      <c r="B1523" s="3" cm="1">
        <f t="array" ref="B1523">alea_date(Settings!$B$11,360,-1,Settings!$B$16)</f>
        <v>46206.416666666664</v>
      </c>
      <c r="C1523" s="20" cm="1">
        <f t="array" ref="C1523">B1523+TIME(alea_int(1,4,Settings!$B$16),0,0)</f>
        <v>46206.583333333328</v>
      </c>
    </row>
    <row r="1524" spans="1:3" ht="15.75" customHeight="1" x14ac:dyDescent="0.25">
      <c r="A1524" s="2" t="str" cm="1">
        <f t="array" ref="A1524">choice(Salles!A:A,1,Settings!$B$16)</f>
        <v>Salle59</v>
      </c>
      <c r="B1524" s="3" cm="1">
        <f t="array" ref="B1524">alea_date(Settings!$B$11,360,-1,Settings!$B$16)</f>
        <v>46345.5</v>
      </c>
      <c r="C1524" s="20" cm="1">
        <f t="array" ref="C1524">B1524+TIME(alea_int(1,4,Settings!$B$16),0,0)</f>
        <v>46345.666666666664</v>
      </c>
    </row>
    <row r="1525" spans="1:3" ht="15.75" customHeight="1" x14ac:dyDescent="0.25">
      <c r="A1525" s="2" t="str" cm="1">
        <f t="array" ref="A1525">choice(Salles!A:A,1,Settings!$B$16)</f>
        <v>Salle34</v>
      </c>
      <c r="B1525" s="3" cm="1">
        <f t="array" ref="B1525">alea_date(Settings!$B$11,360,-1,Settings!$B$16)</f>
        <v>46183.375</v>
      </c>
      <c r="C1525" s="20" cm="1">
        <f t="array" ref="C1525">B1525+TIME(alea_int(1,4,Settings!$B$16),0,0)</f>
        <v>46183.541666666664</v>
      </c>
    </row>
    <row r="1526" spans="1:3" ht="15.75" customHeight="1" x14ac:dyDescent="0.25">
      <c r="A1526" s="2" t="str" cm="1">
        <f t="array" ref="A1526">choice(Salles!A:A,1,Settings!$B$16)</f>
        <v>Salle68</v>
      </c>
      <c r="B1526" s="3" cm="1">
        <f t="array" ref="B1526">alea_date(Settings!$B$11,360,-1,Settings!$B$16)</f>
        <v>46085.541666666664</v>
      </c>
      <c r="C1526" s="20" cm="1">
        <f t="array" ref="C1526">B1526+TIME(alea_int(1,4,Settings!$B$16),0,0)</f>
        <v>46085.708333333328</v>
      </c>
    </row>
    <row r="1527" spans="1:3" ht="15.75" customHeight="1" x14ac:dyDescent="0.25">
      <c r="A1527" s="2" t="str" cm="1">
        <f t="array" ref="A1527">choice(Salles!A:A,1,Settings!$B$16)</f>
        <v>Salle35</v>
      </c>
      <c r="B1527" s="3" cm="1">
        <f t="array" ref="B1527">alea_date(Settings!$B$11,360,-1,Settings!$B$16)</f>
        <v>46337.375</v>
      </c>
      <c r="C1527" s="20" cm="1">
        <f t="array" ref="C1527">B1527+TIME(alea_int(1,4,Settings!$B$16),0,0)</f>
        <v>46337.541666666664</v>
      </c>
    </row>
    <row r="1528" spans="1:3" ht="15.75" customHeight="1" x14ac:dyDescent="0.25">
      <c r="A1528" s="2" t="str" cm="1">
        <f t="array" ref="A1528">choice(Salles!A:A,1,Settings!$B$16)</f>
        <v>Salle56</v>
      </c>
      <c r="B1528" s="3" cm="1">
        <f t="array" ref="B1528">alea_date(Settings!$B$11,360,-1,Settings!$B$16)</f>
        <v>46251.625</v>
      </c>
      <c r="C1528" s="20" cm="1">
        <f t="array" ref="C1528">B1528+TIME(alea_int(1,4,Settings!$B$16),0,0)</f>
        <v>46251.791666666664</v>
      </c>
    </row>
    <row r="1529" spans="1:3" ht="15.75" customHeight="1" x14ac:dyDescent="0.25">
      <c r="A1529" s="2" t="str" cm="1">
        <f t="array" ref="A1529">choice(Salles!A:A,1,Settings!$B$16)</f>
        <v>Salle68</v>
      </c>
      <c r="B1529" s="3" cm="1">
        <f t="array" ref="B1529">alea_date(Settings!$B$11,360,-1,Settings!$B$16)</f>
        <v>46247.541666666664</v>
      </c>
      <c r="C1529" s="20" cm="1">
        <f t="array" ref="C1529">B1529+TIME(alea_int(1,4,Settings!$B$16),0,0)</f>
        <v>46247.708333333328</v>
      </c>
    </row>
    <row r="1530" spans="1:3" ht="15.75" customHeight="1" x14ac:dyDescent="0.25">
      <c r="A1530" s="2" t="str" cm="1">
        <f t="array" ref="A1530">choice(Salles!A:A,1,Settings!$B$16)</f>
        <v>Salle22</v>
      </c>
      <c r="B1530" s="3" cm="1">
        <f t="array" ref="B1530">alea_date(Settings!$B$11,360,-1,Settings!$B$16)</f>
        <v>46072.25</v>
      </c>
      <c r="C1530" s="20" cm="1">
        <f t="array" ref="C1530">B1530+TIME(alea_int(1,4,Settings!$B$16),0,0)</f>
        <v>46072.416666666664</v>
      </c>
    </row>
    <row r="1531" spans="1:3" ht="15.75" customHeight="1" x14ac:dyDescent="0.25">
      <c r="A1531" s="2" t="str" cm="1">
        <f t="array" ref="A1531">choice(Salles!A:A,1,Settings!$B$16)</f>
        <v>Salle64</v>
      </c>
      <c r="B1531" s="3" cm="1">
        <f t="array" ref="B1531">alea_date(Settings!$B$11,360,-1,Settings!$B$16)</f>
        <v>46064.416666666664</v>
      </c>
      <c r="C1531" s="20" cm="1">
        <f t="array" ref="C1531">B1531+TIME(alea_int(1,4,Settings!$B$16),0,0)</f>
        <v>46064.583333333328</v>
      </c>
    </row>
    <row r="1532" spans="1:3" ht="15.75" customHeight="1" x14ac:dyDescent="0.25">
      <c r="A1532" s="2" t="str" cm="1">
        <f t="array" ref="A1532">choice(Salles!A:A,1,Settings!$B$16)</f>
        <v>Salle27</v>
      </c>
      <c r="B1532" s="3" cm="1">
        <f t="array" ref="B1532">alea_date(Settings!$B$11,360,-1,Settings!$B$16)</f>
        <v>46199.625</v>
      </c>
      <c r="C1532" s="20" cm="1">
        <f t="array" ref="C1532">B1532+TIME(alea_int(1,4,Settings!$B$16),0,0)</f>
        <v>46199.791666666664</v>
      </c>
    </row>
    <row r="1533" spans="1:3" ht="15.75" customHeight="1" x14ac:dyDescent="0.25">
      <c r="A1533" s="2" t="str" cm="1">
        <f t="array" ref="A1533">choice(Salles!A:A,1,Settings!$B$16)</f>
        <v>Salle4</v>
      </c>
      <c r="B1533" s="3" cm="1">
        <f t="array" ref="B1533">alea_date(Settings!$B$11,360,-1,Settings!$B$16)</f>
        <v>46030.5</v>
      </c>
      <c r="C1533" s="20" cm="1">
        <f t="array" ref="C1533">B1533+TIME(alea_int(1,4,Settings!$B$16),0,0)</f>
        <v>46030.666666666664</v>
      </c>
    </row>
    <row r="1534" spans="1:3" ht="15.75" customHeight="1" x14ac:dyDescent="0.25">
      <c r="A1534" s="2" t="str" cm="1">
        <f t="array" ref="A1534">choice(Salles!A:A,1,Settings!$B$16)</f>
        <v>Salle21</v>
      </c>
      <c r="B1534" s="3" cm="1">
        <f t="array" ref="B1534">alea_date(Settings!$B$11,360,-1,Settings!$B$16)</f>
        <v>46098.375</v>
      </c>
      <c r="C1534" s="20" cm="1">
        <f t="array" ref="C1534">B1534+TIME(alea_int(1,4,Settings!$B$16),0,0)</f>
        <v>46098.541666666664</v>
      </c>
    </row>
    <row r="1535" spans="1:3" ht="15.75" customHeight="1" x14ac:dyDescent="0.25">
      <c r="A1535" s="2" t="str" cm="1">
        <f t="array" ref="A1535">choice(Salles!A:A,1,Settings!$B$16)</f>
        <v>Salle49</v>
      </c>
      <c r="B1535" s="3" cm="1">
        <f t="array" ref="B1535">alea_date(Settings!$B$11,360,-1,Settings!$B$16)</f>
        <v>46215.375</v>
      </c>
      <c r="C1535" s="20" cm="1">
        <f t="array" ref="C1535">B1535+TIME(alea_int(1,4,Settings!$B$16),0,0)</f>
        <v>46215.541666666664</v>
      </c>
    </row>
    <row r="1536" spans="1:3" ht="15.75" customHeight="1" x14ac:dyDescent="0.25">
      <c r="A1536" s="2" t="str" cm="1">
        <f t="array" ref="A1536">choice(Salles!A:A,1,Settings!$B$16)</f>
        <v>Salle44</v>
      </c>
      <c r="B1536" s="3" cm="1">
        <f t="array" ref="B1536">alea_date(Settings!$B$11,360,-1,Settings!$B$16)</f>
        <v>46193.291666666664</v>
      </c>
      <c r="C1536" s="20" cm="1">
        <f t="array" ref="C1536">B1536+TIME(alea_int(1,4,Settings!$B$16),0,0)</f>
        <v>46193.458333333328</v>
      </c>
    </row>
    <row r="1537" spans="1:3" ht="15.75" customHeight="1" x14ac:dyDescent="0.25">
      <c r="A1537" s="2" t="str" cm="1">
        <f t="array" ref="A1537">choice(Salles!A:A,1,Settings!$B$16)</f>
        <v>Salle64</v>
      </c>
      <c r="B1537" s="3" cm="1">
        <f t="array" ref="B1537">alea_date(Settings!$B$11,360,-1,Settings!$B$16)</f>
        <v>46119.583333333336</v>
      </c>
      <c r="C1537" s="20" cm="1">
        <f t="array" ref="C1537">B1537+TIME(alea_int(1,4,Settings!$B$16),0,0)</f>
        <v>46119.75</v>
      </c>
    </row>
    <row r="1538" spans="1:3" ht="15.75" customHeight="1" x14ac:dyDescent="0.25">
      <c r="A1538" s="2" t="str" cm="1">
        <f t="array" ref="A1538">choice(Salles!A:A,1,Settings!$B$16)</f>
        <v>Salle45</v>
      </c>
      <c r="B1538" s="3" cm="1">
        <f t="array" ref="B1538">alea_date(Settings!$B$11,360,-1,Settings!$B$16)</f>
        <v>46029.5</v>
      </c>
      <c r="C1538" s="20" cm="1">
        <f t="array" ref="C1538">B1538+TIME(alea_int(1,4,Settings!$B$16),0,0)</f>
        <v>46029.666666666664</v>
      </c>
    </row>
    <row r="1539" spans="1:3" ht="15.75" customHeight="1" x14ac:dyDescent="0.25">
      <c r="A1539" s="2" t="str" cm="1">
        <f t="array" ref="A1539">choice(Salles!A:A,1,Settings!$B$16)</f>
        <v>Salle63</v>
      </c>
      <c r="B1539" s="3" cm="1">
        <f t="array" ref="B1539">alea_date(Settings!$B$11,360,-1,Settings!$B$16)</f>
        <v>46247.291666666664</v>
      </c>
      <c r="C1539" s="20" cm="1">
        <f t="array" ref="C1539">B1539+TIME(alea_int(1,4,Settings!$B$16),0,0)</f>
        <v>46247.458333333328</v>
      </c>
    </row>
    <row r="1540" spans="1:3" ht="15.75" customHeight="1" x14ac:dyDescent="0.25">
      <c r="A1540" s="2" t="str" cm="1">
        <f t="array" ref="A1540">choice(Salles!A:A,1,Settings!$B$16)</f>
        <v>Salle63</v>
      </c>
      <c r="B1540" s="3" cm="1">
        <f t="array" ref="B1540">alea_date(Settings!$B$11,360,-1,Settings!$B$16)</f>
        <v>46301.458333333336</v>
      </c>
      <c r="C1540" s="20" cm="1">
        <f t="array" ref="C1540">B1540+TIME(alea_int(1,4,Settings!$B$16),0,0)</f>
        <v>46301.625</v>
      </c>
    </row>
    <row r="1541" spans="1:3" ht="15.75" customHeight="1" x14ac:dyDescent="0.25">
      <c r="A1541" s="2" t="str" cm="1">
        <f t="array" ref="A1541">choice(Salles!A:A,1,Settings!$B$16)</f>
        <v>Salle36</v>
      </c>
      <c r="B1541" s="3" cm="1">
        <f t="array" ref="B1541">alea_date(Settings!$B$11,360,-1,Settings!$B$16)</f>
        <v>46047.375</v>
      </c>
      <c r="C1541" s="20" cm="1">
        <f t="array" ref="C1541">B1541+TIME(alea_int(1,4,Settings!$B$16),0,0)</f>
        <v>46047.541666666664</v>
      </c>
    </row>
    <row r="1542" spans="1:3" ht="15.75" customHeight="1" x14ac:dyDescent="0.25">
      <c r="A1542" s="2" t="str" cm="1">
        <f t="array" ref="A1542">choice(Salles!A:A,1,Settings!$B$16)</f>
        <v>Salle56</v>
      </c>
      <c r="B1542" s="3" cm="1">
        <f t="array" ref="B1542">alea_date(Settings!$B$11,360,-1,Settings!$B$16)</f>
        <v>46272.541666666664</v>
      </c>
      <c r="C1542" s="20" cm="1">
        <f t="array" ref="C1542">B1542+TIME(alea_int(1,4,Settings!$B$16),0,0)</f>
        <v>46272.708333333328</v>
      </c>
    </row>
    <row r="1543" spans="1:3" ht="15.75" customHeight="1" x14ac:dyDescent="0.25">
      <c r="A1543" s="2" t="str" cm="1">
        <f t="array" ref="A1543">choice(Salles!A:A,1,Settings!$B$16)</f>
        <v>Salle63</v>
      </c>
      <c r="B1543" s="3" cm="1">
        <f t="array" ref="B1543">alea_date(Settings!$B$11,360,-1,Settings!$B$16)</f>
        <v>46200.625</v>
      </c>
      <c r="C1543" s="20" cm="1">
        <f t="array" ref="C1543">B1543+TIME(alea_int(1,4,Settings!$B$16),0,0)</f>
        <v>46200.791666666664</v>
      </c>
    </row>
    <row r="1544" spans="1:3" ht="15.75" customHeight="1" x14ac:dyDescent="0.25">
      <c r="A1544" s="2" t="str" cm="1">
        <f t="array" ref="A1544">choice(Salles!A:A,1,Settings!$B$16)</f>
        <v>Salle13</v>
      </c>
      <c r="B1544" s="3" cm="1">
        <f t="array" ref="B1544">alea_date(Settings!$B$11,360,-1,Settings!$B$16)</f>
        <v>46210.25</v>
      </c>
      <c r="C1544" s="20" cm="1">
        <f t="array" ref="C1544">B1544+TIME(alea_int(1,4,Settings!$B$16),0,0)</f>
        <v>46210.416666666664</v>
      </c>
    </row>
    <row r="1545" spans="1:3" ht="15.75" customHeight="1" x14ac:dyDescent="0.25">
      <c r="A1545" s="2" t="str" cm="1">
        <f t="array" ref="A1545">choice(Salles!A:A,1,Settings!$B$16)</f>
        <v>Salle6</v>
      </c>
      <c r="B1545" s="3" cm="1">
        <f t="array" ref="B1545">alea_date(Settings!$B$11,360,-1,Settings!$B$16)</f>
        <v>46043.583333333336</v>
      </c>
      <c r="C1545" s="20" cm="1">
        <f t="array" ref="C1545">B1545+TIME(alea_int(1,4,Settings!$B$16),0,0)</f>
        <v>46043.75</v>
      </c>
    </row>
    <row r="1546" spans="1:3" ht="15.75" customHeight="1" x14ac:dyDescent="0.25">
      <c r="A1546" s="2" t="str" cm="1">
        <f t="array" ref="A1546">choice(Salles!A:A,1,Settings!$B$16)</f>
        <v>Salle57</v>
      </c>
      <c r="B1546" s="3" cm="1">
        <f t="array" ref="B1546">alea_date(Settings!$B$11,360,-1,Settings!$B$16)</f>
        <v>46363.5</v>
      </c>
      <c r="C1546" s="20" cm="1">
        <f t="array" ref="C1546">B1546+TIME(alea_int(1,4,Settings!$B$16),0,0)</f>
        <v>46363.666666666664</v>
      </c>
    </row>
    <row r="1547" spans="1:3" ht="15.75" customHeight="1" x14ac:dyDescent="0.25">
      <c r="A1547" s="2" t="str" cm="1">
        <f t="array" ref="A1547">choice(Salles!A:A,1,Settings!$B$16)</f>
        <v>Salle15</v>
      </c>
      <c r="B1547" s="3" cm="1">
        <f t="array" ref="B1547">alea_date(Settings!$B$11,360,-1,Settings!$B$16)</f>
        <v>46081.541666666664</v>
      </c>
      <c r="C1547" s="20" cm="1">
        <f t="array" ref="C1547">B1547+TIME(alea_int(1,4,Settings!$B$16),0,0)</f>
        <v>46081.708333333328</v>
      </c>
    </row>
    <row r="1548" spans="1:3" ht="15.75" customHeight="1" x14ac:dyDescent="0.25">
      <c r="A1548" s="2" t="str" cm="1">
        <f t="array" ref="A1548">choice(Salles!A:A,1,Settings!$B$16)</f>
        <v>Salle50</v>
      </c>
      <c r="B1548" s="3" cm="1">
        <f t="array" ref="B1548">alea_date(Settings!$B$11,360,-1,Settings!$B$16)</f>
        <v>46356.625</v>
      </c>
      <c r="C1548" s="20" cm="1">
        <f t="array" ref="C1548">B1548+TIME(alea_int(1,4,Settings!$B$16),0,0)</f>
        <v>46356.791666666664</v>
      </c>
    </row>
    <row r="1549" spans="1:3" ht="15.75" customHeight="1" x14ac:dyDescent="0.25">
      <c r="A1549" s="2" t="str" cm="1">
        <f t="array" ref="A1549">choice(Salles!A:A,1,Settings!$B$16)</f>
        <v>Salle61</v>
      </c>
      <c r="B1549" s="3" cm="1">
        <f t="array" ref="B1549">alea_date(Settings!$B$11,360,-1,Settings!$B$16)</f>
        <v>46335.5</v>
      </c>
      <c r="C1549" s="20" cm="1">
        <f t="array" ref="C1549">B1549+TIME(alea_int(1,4,Settings!$B$16),0,0)</f>
        <v>46335.666666666664</v>
      </c>
    </row>
    <row r="1550" spans="1:3" ht="15.75" customHeight="1" x14ac:dyDescent="0.25">
      <c r="A1550" s="2" t="str" cm="1">
        <f t="array" ref="A1550">choice(Salles!A:A,1,Settings!$B$16)</f>
        <v>Salle26</v>
      </c>
      <c r="B1550" s="3" cm="1">
        <f t="array" ref="B1550">alea_date(Settings!$B$11,360,-1,Settings!$B$16)</f>
        <v>46298.625</v>
      </c>
      <c r="C1550" s="20" cm="1">
        <f t="array" ref="C1550">B1550+TIME(alea_int(1,4,Settings!$B$16),0,0)</f>
        <v>46298.791666666664</v>
      </c>
    </row>
    <row r="1551" spans="1:3" ht="15.75" customHeight="1" x14ac:dyDescent="0.25">
      <c r="A1551" s="2" t="str" cm="1">
        <f t="array" ref="A1551">choice(Salles!A:A,1,Settings!$B$16)</f>
        <v>Salle2</v>
      </c>
      <c r="B1551" s="3" cm="1">
        <f t="array" ref="B1551">alea_date(Settings!$B$11,360,-1,Settings!$B$16)</f>
        <v>46074.541666666664</v>
      </c>
      <c r="C1551" s="20" cm="1">
        <f t="array" ref="C1551">B1551+TIME(alea_int(1,4,Settings!$B$16),0,0)</f>
        <v>46074.708333333328</v>
      </c>
    </row>
    <row r="1552" spans="1:3" ht="15.75" customHeight="1" x14ac:dyDescent="0.25">
      <c r="A1552" s="2" t="str" cm="1">
        <f t="array" ref="A1552">choice(Salles!A:A,1,Settings!$B$16)</f>
        <v>Salle4</v>
      </c>
      <c r="B1552" s="3" cm="1">
        <f t="array" ref="B1552">alea_date(Settings!$B$11,360,-1,Settings!$B$16)</f>
        <v>46152.25</v>
      </c>
      <c r="C1552" s="20" cm="1">
        <f t="array" ref="C1552">B1552+TIME(alea_int(1,4,Settings!$B$16),0,0)</f>
        <v>46152.416666666664</v>
      </c>
    </row>
    <row r="1553" spans="1:3" ht="15.75" customHeight="1" x14ac:dyDescent="0.25">
      <c r="A1553" s="2" t="str" cm="1">
        <f t="array" ref="A1553">choice(Salles!A:A,1,Settings!$B$16)</f>
        <v>Salle53</v>
      </c>
      <c r="B1553" s="3" cm="1">
        <f t="array" ref="B1553">alea_date(Settings!$B$11,360,-1,Settings!$B$16)</f>
        <v>46255.541666666664</v>
      </c>
      <c r="C1553" s="20" cm="1">
        <f t="array" ref="C1553">B1553+TIME(alea_int(1,4,Settings!$B$16),0,0)</f>
        <v>46255.708333333328</v>
      </c>
    </row>
    <row r="1554" spans="1:3" ht="15.75" customHeight="1" x14ac:dyDescent="0.25">
      <c r="A1554" s="2" t="str" cm="1">
        <f t="array" ref="A1554">choice(Salles!A:A,1,Settings!$B$16)</f>
        <v>Salle46</v>
      </c>
      <c r="B1554" s="3" cm="1">
        <f t="array" ref="B1554">alea_date(Settings!$B$11,360,-1,Settings!$B$16)</f>
        <v>46026.333333333336</v>
      </c>
      <c r="C1554" s="20" cm="1">
        <f t="array" ref="C1554">B1554+TIME(alea_int(1,4,Settings!$B$16),0,0)</f>
        <v>46026.5</v>
      </c>
    </row>
    <row r="1555" spans="1:3" ht="15.75" customHeight="1" x14ac:dyDescent="0.25">
      <c r="A1555" s="2" t="str" cm="1">
        <f t="array" ref="A1555">choice(Salles!A:A,1,Settings!$B$16)</f>
        <v>Salle56</v>
      </c>
      <c r="B1555" s="3" cm="1">
        <f t="array" ref="B1555">alea_date(Settings!$B$11,360,-1,Settings!$B$16)</f>
        <v>46220.25</v>
      </c>
      <c r="C1555" s="20" cm="1">
        <f t="array" ref="C1555">B1555+TIME(alea_int(1,4,Settings!$B$16),0,0)</f>
        <v>46220.416666666664</v>
      </c>
    </row>
    <row r="1556" spans="1:3" ht="15.75" customHeight="1" x14ac:dyDescent="0.25">
      <c r="A1556" s="2" t="str" cm="1">
        <f t="array" ref="A1556">choice(Salles!A:A,1,Settings!$B$16)</f>
        <v>Salle22</v>
      </c>
      <c r="B1556" s="3" cm="1">
        <f t="array" ref="B1556">alea_date(Settings!$B$11,360,-1,Settings!$B$16)</f>
        <v>46163.583333333336</v>
      </c>
      <c r="C1556" s="20" cm="1">
        <f t="array" ref="C1556">B1556+TIME(alea_int(1,4,Settings!$B$16),0,0)</f>
        <v>46163.75</v>
      </c>
    </row>
    <row r="1557" spans="1:3" ht="15.75" customHeight="1" x14ac:dyDescent="0.25">
      <c r="A1557" s="2" t="str" cm="1">
        <f t="array" ref="A1557">choice(Salles!A:A,1,Settings!$B$16)</f>
        <v>Salle41</v>
      </c>
      <c r="B1557" s="3" cm="1">
        <f t="array" ref="B1557">alea_date(Settings!$B$11,360,-1,Settings!$B$16)</f>
        <v>46152.333333333336</v>
      </c>
      <c r="C1557" s="20" cm="1">
        <f t="array" ref="C1557">B1557+TIME(alea_int(1,4,Settings!$B$16),0,0)</f>
        <v>46152.5</v>
      </c>
    </row>
    <row r="1558" spans="1:3" ht="15.75" customHeight="1" x14ac:dyDescent="0.25">
      <c r="A1558" s="2" t="str" cm="1">
        <f t="array" ref="A1558">choice(Salles!A:A,1,Settings!$B$16)</f>
        <v>Salle45</v>
      </c>
      <c r="B1558" s="3" cm="1">
        <f t="array" ref="B1558">alea_date(Settings!$B$11,360,-1,Settings!$B$16)</f>
        <v>46102.375</v>
      </c>
      <c r="C1558" s="20" cm="1">
        <f t="array" ref="C1558">B1558+TIME(alea_int(1,4,Settings!$B$16),0,0)</f>
        <v>46102.541666666664</v>
      </c>
    </row>
    <row r="1559" spans="1:3" ht="15.75" customHeight="1" x14ac:dyDescent="0.25">
      <c r="A1559" s="2" t="str" cm="1">
        <f t="array" ref="A1559">choice(Salles!A:A,1,Settings!$B$16)</f>
        <v>Salle30</v>
      </c>
      <c r="B1559" s="3" cm="1">
        <f t="array" ref="B1559">alea_date(Settings!$B$11,360,-1,Settings!$B$16)</f>
        <v>46054.416666666664</v>
      </c>
      <c r="C1559" s="20" cm="1">
        <f t="array" ref="C1559">B1559+TIME(alea_int(1,4,Settings!$B$16),0,0)</f>
        <v>46054.583333333328</v>
      </c>
    </row>
    <row r="1560" spans="1:3" ht="15.75" customHeight="1" x14ac:dyDescent="0.25">
      <c r="A1560" s="2" t="str" cm="1">
        <f t="array" ref="A1560">choice(Salles!A:A,1,Settings!$B$16)</f>
        <v>Salle40</v>
      </c>
      <c r="B1560" s="3" cm="1">
        <f t="array" ref="B1560">alea_date(Settings!$B$11,360,-1,Settings!$B$16)</f>
        <v>46250.625</v>
      </c>
      <c r="C1560" s="20" cm="1">
        <f t="array" ref="C1560">B1560+TIME(alea_int(1,4,Settings!$B$16),0,0)</f>
        <v>46250.791666666664</v>
      </c>
    </row>
    <row r="1561" spans="1:3" ht="15.75" customHeight="1" x14ac:dyDescent="0.25">
      <c r="A1561" s="2" t="str" cm="1">
        <f t="array" ref="A1561">choice(Salles!A:A,1,Settings!$B$16)</f>
        <v>Salle59</v>
      </c>
      <c r="B1561" s="3" cm="1">
        <f t="array" ref="B1561">alea_date(Settings!$B$11,360,-1,Settings!$B$16)</f>
        <v>46309.625</v>
      </c>
      <c r="C1561" s="20" cm="1">
        <f t="array" ref="C1561">B1561+TIME(alea_int(1,4,Settings!$B$16),0,0)</f>
        <v>46309.791666666664</v>
      </c>
    </row>
    <row r="1562" spans="1:3" ht="15.75" customHeight="1" x14ac:dyDescent="0.25">
      <c r="A1562" s="2" t="str" cm="1">
        <f t="array" ref="A1562">choice(Salles!A:A,1,Settings!$B$16)</f>
        <v>Salle21</v>
      </c>
      <c r="B1562" s="3" cm="1">
        <f t="array" ref="B1562">alea_date(Settings!$B$11,360,-1,Settings!$B$16)</f>
        <v>46366.541666666664</v>
      </c>
      <c r="C1562" s="20" cm="1">
        <f t="array" ref="C1562">B1562+TIME(alea_int(1,4,Settings!$B$16),0,0)</f>
        <v>46366.708333333328</v>
      </c>
    </row>
    <row r="1563" spans="1:3" ht="15.75" customHeight="1" x14ac:dyDescent="0.25">
      <c r="A1563" s="2" t="str" cm="1">
        <f t="array" ref="A1563">choice(Salles!A:A,1,Settings!$B$16)</f>
        <v>Salle61</v>
      </c>
      <c r="B1563" s="3" cm="1">
        <f t="array" ref="B1563">alea_date(Settings!$B$11,360,-1,Settings!$B$16)</f>
        <v>46330.375</v>
      </c>
      <c r="C1563" s="20" cm="1">
        <f t="array" ref="C1563">B1563+TIME(alea_int(1,4,Settings!$B$16),0,0)</f>
        <v>46330.541666666664</v>
      </c>
    </row>
    <row r="1564" spans="1:3" ht="15.75" customHeight="1" x14ac:dyDescent="0.25">
      <c r="A1564" s="2" t="str" cm="1">
        <f t="array" ref="A1564">choice(Salles!A:A,1,Settings!$B$16)</f>
        <v>Salle35</v>
      </c>
      <c r="B1564" s="3" cm="1">
        <f t="array" ref="B1564">alea_date(Settings!$B$11,360,-1,Settings!$B$16)</f>
        <v>46104.541666666664</v>
      </c>
      <c r="C1564" s="20" cm="1">
        <f t="array" ref="C1564">B1564+TIME(alea_int(1,4,Settings!$B$16),0,0)</f>
        <v>46104.708333333328</v>
      </c>
    </row>
    <row r="1565" spans="1:3" ht="15.75" customHeight="1" x14ac:dyDescent="0.25">
      <c r="A1565" s="2" t="str" cm="1">
        <f t="array" ref="A1565">choice(Salles!A:A,1,Settings!$B$16)</f>
        <v>Salle11</v>
      </c>
      <c r="B1565" s="3" cm="1">
        <f t="array" ref="B1565">alea_date(Settings!$B$11,360,-1,Settings!$B$16)</f>
        <v>46115.375</v>
      </c>
      <c r="C1565" s="20" cm="1">
        <f t="array" ref="C1565">B1565+TIME(alea_int(1,4,Settings!$B$16),0,0)</f>
        <v>46115.541666666664</v>
      </c>
    </row>
    <row r="1566" spans="1:3" ht="15.75" customHeight="1" x14ac:dyDescent="0.25">
      <c r="A1566" s="2" t="str" cm="1">
        <f t="array" ref="A1566">choice(Salles!A:A,1,Settings!$B$16)</f>
        <v>Salle16</v>
      </c>
      <c r="B1566" s="3" cm="1">
        <f t="array" ref="B1566">alea_date(Settings!$B$11,360,-1,Settings!$B$16)</f>
        <v>46209.458333333336</v>
      </c>
      <c r="C1566" s="20" cm="1">
        <f t="array" ref="C1566">B1566+TIME(alea_int(1,4,Settings!$B$16),0,0)</f>
        <v>46209.625</v>
      </c>
    </row>
    <row r="1567" spans="1:3" ht="15.75" customHeight="1" x14ac:dyDescent="0.25">
      <c r="A1567" s="2" t="str" cm="1">
        <f t="array" ref="A1567">choice(Salles!A:A,1,Settings!$B$16)</f>
        <v>Salle49</v>
      </c>
      <c r="B1567" s="3" cm="1">
        <f t="array" ref="B1567">alea_date(Settings!$B$11,360,-1,Settings!$B$16)</f>
        <v>46147.625</v>
      </c>
      <c r="C1567" s="20" cm="1">
        <f t="array" ref="C1567">B1567+TIME(alea_int(1,4,Settings!$B$16),0,0)</f>
        <v>46147.791666666664</v>
      </c>
    </row>
    <row r="1568" spans="1:3" ht="15.75" customHeight="1" x14ac:dyDescent="0.25">
      <c r="A1568" s="2" t="str" cm="1">
        <f t="array" ref="A1568">choice(Salles!A:A,1,Settings!$B$16)</f>
        <v>Salle14</v>
      </c>
      <c r="B1568" s="3" cm="1">
        <f t="array" ref="B1568">alea_date(Settings!$B$11,360,-1,Settings!$B$16)</f>
        <v>46285.25</v>
      </c>
      <c r="C1568" s="20" cm="1">
        <f t="array" ref="C1568">B1568+TIME(alea_int(1,4,Settings!$B$16),0,0)</f>
        <v>46285.416666666664</v>
      </c>
    </row>
    <row r="1569" spans="1:3" ht="15.75" customHeight="1" x14ac:dyDescent="0.25">
      <c r="A1569" s="2" t="str" cm="1">
        <f t="array" ref="A1569">choice(Salles!A:A,1,Settings!$B$16)</f>
        <v>Salle59</v>
      </c>
      <c r="B1569" s="3" cm="1">
        <f t="array" ref="B1569">alea_date(Settings!$B$11,360,-1,Settings!$B$16)</f>
        <v>46063.541666666664</v>
      </c>
      <c r="C1569" s="20" cm="1">
        <f t="array" ref="C1569">B1569+TIME(alea_int(1,4,Settings!$B$16),0,0)</f>
        <v>46063.708333333328</v>
      </c>
    </row>
    <row r="1570" spans="1:3" ht="15.75" customHeight="1" x14ac:dyDescent="0.25">
      <c r="A1570" s="2" t="str" cm="1">
        <f t="array" ref="A1570">choice(Salles!A:A,1,Settings!$B$16)</f>
        <v>Salle48</v>
      </c>
      <c r="B1570" s="3" cm="1">
        <f t="array" ref="B1570">alea_date(Settings!$B$11,360,-1,Settings!$B$16)</f>
        <v>46339.625</v>
      </c>
      <c r="C1570" s="20" cm="1">
        <f t="array" ref="C1570">B1570+TIME(alea_int(1,4,Settings!$B$16),0,0)</f>
        <v>46339.791666666664</v>
      </c>
    </row>
    <row r="1571" spans="1:3" ht="15.75" customHeight="1" x14ac:dyDescent="0.25">
      <c r="A1571" s="2" t="str" cm="1">
        <f t="array" ref="A1571">choice(Salles!A:A,1,Settings!$B$16)</f>
        <v>Salle70</v>
      </c>
      <c r="B1571" s="3" cm="1">
        <f t="array" ref="B1571">alea_date(Settings!$B$11,360,-1,Settings!$B$16)</f>
        <v>46307.5</v>
      </c>
      <c r="C1571" s="20" cm="1">
        <f t="array" ref="C1571">B1571+TIME(alea_int(1,4,Settings!$B$16),0,0)</f>
        <v>46307.666666666664</v>
      </c>
    </row>
    <row r="1572" spans="1:3" ht="15.75" customHeight="1" x14ac:dyDescent="0.25">
      <c r="A1572" s="2" t="str" cm="1">
        <f t="array" ref="A1572">choice(Salles!A:A,1,Settings!$B$16)</f>
        <v>Salle9</v>
      </c>
      <c r="B1572" s="3" cm="1">
        <f t="array" ref="B1572">alea_date(Settings!$B$11,360,-1,Settings!$B$16)</f>
        <v>46118.458333333336</v>
      </c>
      <c r="C1572" s="20" cm="1">
        <f t="array" ref="C1572">B1572+TIME(alea_int(1,4,Settings!$B$16),0,0)</f>
        <v>46118.625</v>
      </c>
    </row>
    <row r="1573" spans="1:3" ht="15.75" customHeight="1" x14ac:dyDescent="0.25">
      <c r="A1573" s="2" t="str" cm="1">
        <f t="array" ref="A1573">choice(Salles!A:A,1,Settings!$B$16)</f>
        <v>Salle65</v>
      </c>
      <c r="B1573" s="3" cm="1">
        <f t="array" ref="B1573">alea_date(Settings!$B$11,360,-1,Settings!$B$16)</f>
        <v>46096.583333333336</v>
      </c>
      <c r="C1573" s="20" cm="1">
        <f t="array" ref="C1573">B1573+TIME(alea_int(1,4,Settings!$B$16),0,0)</f>
        <v>46096.75</v>
      </c>
    </row>
    <row r="1574" spans="1:3" ht="15.75" customHeight="1" x14ac:dyDescent="0.25">
      <c r="A1574" s="2" t="str" cm="1">
        <f t="array" ref="A1574">choice(Salles!A:A,1,Settings!$B$16)</f>
        <v>Salle51</v>
      </c>
      <c r="B1574" s="3" cm="1">
        <f t="array" ref="B1574">alea_date(Settings!$B$11,360,-1,Settings!$B$16)</f>
        <v>46064.416666666664</v>
      </c>
      <c r="C1574" s="20" cm="1">
        <f t="array" ref="C1574">B1574+TIME(alea_int(1,4,Settings!$B$16),0,0)</f>
        <v>46064.583333333328</v>
      </c>
    </row>
    <row r="1575" spans="1:3" ht="15.75" customHeight="1" x14ac:dyDescent="0.25">
      <c r="A1575" s="2" t="str" cm="1">
        <f t="array" ref="A1575">choice(Salles!A:A,1,Settings!$B$16)</f>
        <v>Salle3</v>
      </c>
      <c r="B1575" s="3" cm="1">
        <f t="array" ref="B1575">alea_date(Settings!$B$11,360,-1,Settings!$B$16)</f>
        <v>46197.291666666664</v>
      </c>
      <c r="C1575" s="20" cm="1">
        <f t="array" ref="C1575">B1575+TIME(alea_int(1,4,Settings!$B$16),0,0)</f>
        <v>46197.458333333328</v>
      </c>
    </row>
    <row r="1576" spans="1:3" ht="15.75" customHeight="1" x14ac:dyDescent="0.25">
      <c r="A1576" s="2" t="str" cm="1">
        <f t="array" ref="A1576">choice(Salles!A:A,1,Settings!$B$16)</f>
        <v>Salle22</v>
      </c>
      <c r="B1576" s="3" cm="1">
        <f t="array" ref="B1576">alea_date(Settings!$B$11,360,-1,Settings!$B$16)</f>
        <v>46306.583333333336</v>
      </c>
      <c r="C1576" s="20" cm="1">
        <f t="array" ref="C1576">B1576+TIME(alea_int(1,4,Settings!$B$16),0,0)</f>
        <v>46306.75</v>
      </c>
    </row>
    <row r="1577" spans="1:3" ht="15.75" customHeight="1" x14ac:dyDescent="0.25">
      <c r="A1577" s="2" t="str" cm="1">
        <f t="array" ref="A1577">choice(Salles!A:A,1,Settings!$B$16)</f>
        <v>Salle54</v>
      </c>
      <c r="B1577" s="3" cm="1">
        <f t="array" ref="B1577">alea_date(Settings!$B$11,360,-1,Settings!$B$16)</f>
        <v>46371.5</v>
      </c>
      <c r="C1577" s="20" cm="1">
        <f t="array" ref="C1577">B1577+TIME(alea_int(1,4,Settings!$B$16),0,0)</f>
        <v>46371.666666666664</v>
      </c>
    </row>
    <row r="1578" spans="1:3" ht="15.75" customHeight="1" x14ac:dyDescent="0.25">
      <c r="A1578" s="2" t="str" cm="1">
        <f t="array" ref="A1578">choice(Salles!A:A,1,Settings!$B$16)</f>
        <v>Salle43</v>
      </c>
      <c r="B1578" s="3" cm="1">
        <f t="array" ref="B1578">alea_date(Settings!$B$11,360,-1,Settings!$B$16)</f>
        <v>46204.291666666664</v>
      </c>
      <c r="C1578" s="20" cm="1">
        <f t="array" ref="C1578">B1578+TIME(alea_int(1,4,Settings!$B$16),0,0)</f>
        <v>46204.458333333328</v>
      </c>
    </row>
    <row r="1579" spans="1:3" ht="15.75" customHeight="1" x14ac:dyDescent="0.25">
      <c r="A1579" s="2" t="str" cm="1">
        <f t="array" ref="A1579">choice(Salles!A:A,1,Settings!$B$16)</f>
        <v>Salle51</v>
      </c>
      <c r="B1579" s="3" cm="1">
        <f t="array" ref="B1579">alea_date(Settings!$B$11,360,-1,Settings!$B$16)</f>
        <v>46056.375</v>
      </c>
      <c r="C1579" s="20" cm="1">
        <f t="array" ref="C1579">B1579+TIME(alea_int(1,4,Settings!$B$16),0,0)</f>
        <v>46056.541666666664</v>
      </c>
    </row>
    <row r="1580" spans="1:3" ht="15.75" customHeight="1" x14ac:dyDescent="0.25">
      <c r="A1580" s="2" t="str" cm="1">
        <f t="array" ref="A1580">choice(Salles!A:A,1,Settings!$B$16)</f>
        <v>Salle27</v>
      </c>
      <c r="B1580" s="3" cm="1">
        <f t="array" ref="B1580">alea_date(Settings!$B$11,360,-1,Settings!$B$16)</f>
        <v>46055.375</v>
      </c>
      <c r="C1580" s="20" cm="1">
        <f t="array" ref="C1580">B1580+TIME(alea_int(1,4,Settings!$B$16),0,0)</f>
        <v>46055.541666666664</v>
      </c>
    </row>
    <row r="1581" spans="1:3" ht="15.75" customHeight="1" x14ac:dyDescent="0.25">
      <c r="A1581" s="2" t="str" cm="1">
        <f t="array" ref="A1581">choice(Salles!A:A,1,Settings!$B$16)</f>
        <v>Salle16</v>
      </c>
      <c r="B1581" s="3" cm="1">
        <f t="array" ref="B1581">alea_date(Settings!$B$11,360,-1,Settings!$B$16)</f>
        <v>46040.625</v>
      </c>
      <c r="C1581" s="20" cm="1">
        <f t="array" ref="C1581">B1581+TIME(alea_int(1,4,Settings!$B$16),0,0)</f>
        <v>46040.791666666664</v>
      </c>
    </row>
    <row r="1582" spans="1:3" ht="15.75" customHeight="1" x14ac:dyDescent="0.25">
      <c r="A1582" s="2" t="str" cm="1">
        <f t="array" ref="A1582">choice(Salles!A:A,1,Settings!$B$16)</f>
        <v>Salle30</v>
      </c>
      <c r="B1582" s="3" cm="1">
        <f t="array" ref="B1582">alea_date(Settings!$B$11,360,-1,Settings!$B$16)</f>
        <v>46335.625</v>
      </c>
      <c r="C1582" s="20" cm="1">
        <f t="array" ref="C1582">B1582+TIME(alea_int(1,4,Settings!$B$16),0,0)</f>
        <v>46335.791666666664</v>
      </c>
    </row>
    <row r="1583" spans="1:3" ht="15.75" customHeight="1" x14ac:dyDescent="0.25">
      <c r="A1583" s="2" t="str" cm="1">
        <f t="array" ref="A1583">choice(Salles!A:A,1,Settings!$B$16)</f>
        <v>Salle10</v>
      </c>
      <c r="B1583" s="3" cm="1">
        <f t="array" ref="B1583">alea_date(Settings!$B$11,360,-1,Settings!$B$16)</f>
        <v>46029.541666666664</v>
      </c>
      <c r="C1583" s="20" cm="1">
        <f t="array" ref="C1583">B1583+TIME(alea_int(1,4,Settings!$B$16),0,0)</f>
        <v>46029.708333333328</v>
      </c>
    </row>
    <row r="1584" spans="1:3" ht="15.75" customHeight="1" x14ac:dyDescent="0.25">
      <c r="A1584" s="2" t="str" cm="1">
        <f t="array" ref="A1584">choice(Salles!A:A,1,Settings!$B$16)</f>
        <v>Salle55</v>
      </c>
      <c r="B1584" s="3" cm="1">
        <f t="array" ref="B1584">alea_date(Settings!$B$11,360,-1,Settings!$B$16)</f>
        <v>46080.291666666664</v>
      </c>
      <c r="C1584" s="20" cm="1">
        <f t="array" ref="C1584">B1584+TIME(alea_int(1,4,Settings!$B$16),0,0)</f>
        <v>46080.458333333328</v>
      </c>
    </row>
    <row r="1585" spans="1:3" ht="15.75" customHeight="1" x14ac:dyDescent="0.25">
      <c r="A1585" s="2" t="str" cm="1">
        <f t="array" ref="A1585">choice(Salles!A:A,1,Settings!$B$16)</f>
        <v>Salle48</v>
      </c>
      <c r="B1585" s="3" cm="1">
        <f t="array" ref="B1585">alea_date(Settings!$B$11,360,-1,Settings!$B$16)</f>
        <v>46188.333333333336</v>
      </c>
      <c r="C1585" s="20" cm="1">
        <f t="array" ref="C1585">B1585+TIME(alea_int(1,4,Settings!$B$16),0,0)</f>
        <v>46188.5</v>
      </c>
    </row>
    <row r="1586" spans="1:3" ht="15.75" customHeight="1" x14ac:dyDescent="0.25">
      <c r="A1586" s="2" t="str" cm="1">
        <f t="array" ref="A1586">choice(Salles!A:A,1,Settings!$B$16)</f>
        <v>Salle1</v>
      </c>
      <c r="B1586" s="3" cm="1">
        <f t="array" ref="B1586">alea_date(Settings!$B$11,360,-1,Settings!$B$16)</f>
        <v>46324.541666666664</v>
      </c>
      <c r="C1586" s="20" cm="1">
        <f t="array" ref="C1586">B1586+TIME(alea_int(1,4,Settings!$B$16),0,0)</f>
        <v>46324.708333333328</v>
      </c>
    </row>
    <row r="1587" spans="1:3" ht="15.75" customHeight="1" x14ac:dyDescent="0.25">
      <c r="A1587" s="2" t="str" cm="1">
        <f t="array" ref="A1587">choice(Salles!A:A,1,Settings!$B$16)</f>
        <v>Salle57</v>
      </c>
      <c r="B1587" s="3" cm="1">
        <f t="array" ref="B1587">alea_date(Settings!$B$11,360,-1,Settings!$B$16)</f>
        <v>46195.583333333336</v>
      </c>
      <c r="C1587" s="20" cm="1">
        <f t="array" ref="C1587">B1587+TIME(alea_int(1,4,Settings!$B$16),0,0)</f>
        <v>46195.75</v>
      </c>
    </row>
    <row r="1588" spans="1:3" ht="15.75" customHeight="1" x14ac:dyDescent="0.25">
      <c r="A1588" s="2" t="str" cm="1">
        <f t="array" ref="A1588">choice(Salles!A:A,1,Settings!$B$16)</f>
        <v>Salle12</v>
      </c>
      <c r="B1588" s="3" cm="1">
        <f t="array" ref="B1588">alea_date(Settings!$B$11,360,-1,Settings!$B$16)</f>
        <v>46244.583333333336</v>
      </c>
      <c r="C1588" s="20" cm="1">
        <f t="array" ref="C1588">B1588+TIME(alea_int(1,4,Settings!$B$16),0,0)</f>
        <v>46244.75</v>
      </c>
    </row>
    <row r="1589" spans="1:3" ht="15.75" customHeight="1" x14ac:dyDescent="0.25">
      <c r="A1589" s="2" t="str" cm="1">
        <f t="array" ref="A1589">choice(Salles!A:A,1,Settings!$B$16)</f>
        <v>Salle56</v>
      </c>
      <c r="B1589" s="3" cm="1">
        <f t="array" ref="B1589">alea_date(Settings!$B$11,360,-1,Settings!$B$16)</f>
        <v>46139.458333333336</v>
      </c>
      <c r="C1589" s="20" cm="1">
        <f t="array" ref="C1589">B1589+TIME(alea_int(1,4,Settings!$B$16),0,0)</f>
        <v>46139.625</v>
      </c>
    </row>
    <row r="1590" spans="1:3" ht="15.75" customHeight="1" x14ac:dyDescent="0.25">
      <c r="A1590" s="2" t="str" cm="1">
        <f t="array" ref="A1590">choice(Salles!A:A,1,Settings!$B$16)</f>
        <v>Salle11</v>
      </c>
      <c r="B1590" s="3" cm="1">
        <f t="array" ref="B1590">alea_date(Settings!$B$11,360,-1,Settings!$B$16)</f>
        <v>46170.416666666664</v>
      </c>
      <c r="C1590" s="20" cm="1">
        <f t="array" ref="C1590">B1590+TIME(alea_int(1,4,Settings!$B$16),0,0)</f>
        <v>46170.583333333328</v>
      </c>
    </row>
    <row r="1591" spans="1:3" ht="15.75" customHeight="1" x14ac:dyDescent="0.25">
      <c r="A1591" s="2" t="str" cm="1">
        <f t="array" ref="A1591">choice(Salles!A:A,1,Settings!$B$16)</f>
        <v>Salle17</v>
      </c>
      <c r="B1591" s="3" cm="1">
        <f t="array" ref="B1591">alea_date(Settings!$B$11,360,-1,Settings!$B$16)</f>
        <v>46148.375</v>
      </c>
      <c r="C1591" s="20" cm="1">
        <f t="array" ref="C1591">B1591+TIME(alea_int(1,4,Settings!$B$16),0,0)</f>
        <v>46148.541666666664</v>
      </c>
    </row>
    <row r="1592" spans="1:3" ht="15.75" customHeight="1" x14ac:dyDescent="0.25">
      <c r="A1592" s="2" t="str" cm="1">
        <f t="array" ref="A1592">choice(Salles!A:A,1,Settings!$B$16)</f>
        <v>Salle24</v>
      </c>
      <c r="B1592" s="3" cm="1">
        <f t="array" ref="B1592">alea_date(Settings!$B$11,360,-1,Settings!$B$16)</f>
        <v>46146.5</v>
      </c>
      <c r="C1592" s="20" cm="1">
        <f t="array" ref="C1592">B1592+TIME(alea_int(1,4,Settings!$B$16),0,0)</f>
        <v>46146.666666666664</v>
      </c>
    </row>
    <row r="1593" spans="1:3" ht="15.75" customHeight="1" x14ac:dyDescent="0.25">
      <c r="A1593" s="2" t="str" cm="1">
        <f t="array" ref="A1593">choice(Salles!A:A,1,Settings!$B$16)</f>
        <v>Salle6</v>
      </c>
      <c r="B1593" s="3" cm="1">
        <f t="array" ref="B1593">alea_date(Settings!$B$11,360,-1,Settings!$B$16)</f>
        <v>46160.541666666664</v>
      </c>
      <c r="C1593" s="20" cm="1">
        <f t="array" ref="C1593">B1593+TIME(alea_int(1,4,Settings!$B$16),0,0)</f>
        <v>46160.708333333328</v>
      </c>
    </row>
    <row r="1594" spans="1:3" ht="15.75" customHeight="1" x14ac:dyDescent="0.25">
      <c r="A1594" s="2" t="str" cm="1">
        <f t="array" ref="A1594">choice(Salles!A:A,1,Settings!$B$16)</f>
        <v>Salle23</v>
      </c>
      <c r="B1594" s="3" cm="1">
        <f t="array" ref="B1594">alea_date(Settings!$B$11,360,-1,Settings!$B$16)</f>
        <v>46284.333333333336</v>
      </c>
      <c r="C1594" s="20" cm="1">
        <f t="array" ref="C1594">B1594+TIME(alea_int(1,4,Settings!$B$16),0,0)</f>
        <v>46284.5</v>
      </c>
    </row>
    <row r="1595" spans="1:3" ht="15.75" customHeight="1" x14ac:dyDescent="0.25">
      <c r="A1595" s="2" t="str" cm="1">
        <f t="array" ref="A1595">choice(Salles!A:A,1,Settings!$B$16)</f>
        <v>Salle27</v>
      </c>
      <c r="B1595" s="3" cm="1">
        <f t="array" ref="B1595">alea_date(Settings!$B$11,360,-1,Settings!$B$16)</f>
        <v>46353.625</v>
      </c>
      <c r="C1595" s="20" cm="1">
        <f t="array" ref="C1595">B1595+TIME(alea_int(1,4,Settings!$B$16),0,0)</f>
        <v>46353.791666666664</v>
      </c>
    </row>
    <row r="1596" spans="1:3" ht="15.75" customHeight="1" x14ac:dyDescent="0.25">
      <c r="A1596" s="2" t="str" cm="1">
        <f t="array" ref="A1596">choice(Salles!A:A,1,Settings!$B$16)</f>
        <v>Salle67</v>
      </c>
      <c r="B1596" s="3" cm="1">
        <f t="array" ref="B1596">alea_date(Settings!$B$11,360,-1,Settings!$B$16)</f>
        <v>46073.458333333336</v>
      </c>
      <c r="C1596" s="20" cm="1">
        <f t="array" ref="C1596">B1596+TIME(alea_int(1,4,Settings!$B$16),0,0)</f>
        <v>46073.625</v>
      </c>
    </row>
    <row r="1597" spans="1:3" ht="15.75" customHeight="1" x14ac:dyDescent="0.25">
      <c r="A1597" s="2" t="str" cm="1">
        <f t="array" ref="A1597">choice(Salles!A:A,1,Settings!$B$16)</f>
        <v>Salle37</v>
      </c>
      <c r="B1597" s="3" cm="1">
        <f t="array" ref="B1597">alea_date(Settings!$B$11,360,-1,Settings!$B$16)</f>
        <v>46175.291666666664</v>
      </c>
      <c r="C1597" s="20" cm="1">
        <f t="array" ref="C1597">B1597+TIME(alea_int(1,4,Settings!$B$16),0,0)</f>
        <v>46175.458333333328</v>
      </c>
    </row>
    <row r="1598" spans="1:3" ht="15.75" customHeight="1" x14ac:dyDescent="0.25">
      <c r="A1598" s="2" t="str" cm="1">
        <f t="array" ref="A1598">choice(Salles!A:A,1,Settings!$B$16)</f>
        <v>Salle39</v>
      </c>
      <c r="B1598" s="3" cm="1">
        <f t="array" ref="B1598">alea_date(Settings!$B$11,360,-1,Settings!$B$16)</f>
        <v>46340.333333333336</v>
      </c>
      <c r="C1598" s="20" cm="1">
        <f t="array" ref="C1598">B1598+TIME(alea_int(1,4,Settings!$B$16),0,0)</f>
        <v>46340.5</v>
      </c>
    </row>
    <row r="1599" spans="1:3" ht="15.75" customHeight="1" x14ac:dyDescent="0.25">
      <c r="A1599" s="2" t="str" cm="1">
        <f t="array" ref="A1599">choice(Salles!A:A,1,Settings!$B$16)</f>
        <v>Salle31</v>
      </c>
      <c r="B1599" s="3" cm="1">
        <f t="array" ref="B1599">alea_date(Settings!$B$11,360,-1,Settings!$B$16)</f>
        <v>46355.5</v>
      </c>
      <c r="C1599" s="20" cm="1">
        <f t="array" ref="C1599">B1599+TIME(alea_int(1,4,Settings!$B$16),0,0)</f>
        <v>46355.666666666664</v>
      </c>
    </row>
    <row r="1600" spans="1:3" ht="15.75" customHeight="1" x14ac:dyDescent="0.25">
      <c r="A1600" s="2" t="str" cm="1">
        <f t="array" ref="A1600">choice(Salles!A:A,1,Settings!$B$16)</f>
        <v>Salle9</v>
      </c>
      <c r="B1600" s="3" cm="1">
        <f t="array" ref="B1600">alea_date(Settings!$B$11,360,-1,Settings!$B$16)</f>
        <v>46205.541666666664</v>
      </c>
      <c r="C1600" s="20" cm="1">
        <f t="array" ref="C1600">B1600+TIME(alea_int(1,4,Settings!$B$16),0,0)</f>
        <v>46205.708333333328</v>
      </c>
    </row>
    <row r="1601" spans="1:3" ht="15.75" customHeight="1" x14ac:dyDescent="0.25">
      <c r="A1601" s="2" t="str" cm="1">
        <f t="array" ref="A1601">choice(Salles!A:A,1,Settings!$B$16)</f>
        <v>Salle37</v>
      </c>
      <c r="B1601" s="3" cm="1">
        <f t="array" ref="B1601">alea_date(Settings!$B$11,360,-1,Settings!$B$16)</f>
        <v>46176.416666666664</v>
      </c>
      <c r="C1601" s="20" cm="1">
        <f t="array" ref="C1601">B1601+TIME(alea_int(1,4,Settings!$B$16),0,0)</f>
        <v>46176.583333333328</v>
      </c>
    </row>
    <row r="1602" spans="1:3" ht="15.75" customHeight="1" x14ac:dyDescent="0.25">
      <c r="A1602" s="2" t="str" cm="1">
        <f t="array" ref="A1602">choice(Salles!A:A,1,Settings!$B$16)</f>
        <v>Salle58</v>
      </c>
      <c r="B1602" s="3" cm="1">
        <f t="array" ref="B1602">alea_date(Settings!$B$11,360,-1,Settings!$B$16)</f>
        <v>46219.541666666664</v>
      </c>
      <c r="C1602" s="20" cm="1">
        <f t="array" ref="C1602">B1602+TIME(alea_int(1,4,Settings!$B$16),0,0)</f>
        <v>46219.708333333328</v>
      </c>
    </row>
    <row r="1603" spans="1:3" ht="15.75" customHeight="1" x14ac:dyDescent="0.25">
      <c r="A1603" s="2" t="str" cm="1">
        <f t="array" ref="A1603">choice(Salles!A:A,1,Settings!$B$16)</f>
        <v>Salle62</v>
      </c>
      <c r="B1603" s="3" cm="1">
        <f t="array" ref="B1603">alea_date(Settings!$B$11,360,-1,Settings!$B$16)</f>
        <v>46163.333333333336</v>
      </c>
      <c r="C1603" s="20" cm="1">
        <f t="array" ref="C1603">B1603+TIME(alea_int(1,4,Settings!$B$16),0,0)</f>
        <v>46163.5</v>
      </c>
    </row>
    <row r="1604" spans="1:3" ht="15.75" customHeight="1" x14ac:dyDescent="0.25">
      <c r="A1604" s="2" t="str" cm="1">
        <f t="array" ref="A1604">choice(Salles!A:A,1,Settings!$B$16)</f>
        <v>Salle56</v>
      </c>
      <c r="B1604" s="3" cm="1">
        <f t="array" ref="B1604">alea_date(Settings!$B$11,360,-1,Settings!$B$16)</f>
        <v>46269.5</v>
      </c>
      <c r="C1604" s="20" cm="1">
        <f t="array" ref="C1604">B1604+TIME(alea_int(1,4,Settings!$B$16),0,0)</f>
        <v>46269.666666666664</v>
      </c>
    </row>
    <row r="1605" spans="1:3" ht="15.75" customHeight="1" x14ac:dyDescent="0.25">
      <c r="A1605" s="2" t="str" cm="1">
        <f t="array" ref="A1605">choice(Salles!A:A,1,Settings!$B$16)</f>
        <v>Salle41</v>
      </c>
      <c r="B1605" s="3" cm="1">
        <f t="array" ref="B1605">alea_date(Settings!$B$11,360,-1,Settings!$B$16)</f>
        <v>46152.333333333336</v>
      </c>
      <c r="C1605" s="20" cm="1">
        <f t="array" ref="C1605">B1605+TIME(alea_int(1,4,Settings!$B$16),0,0)</f>
        <v>46152.5</v>
      </c>
    </row>
    <row r="1606" spans="1:3" ht="15.75" customHeight="1" x14ac:dyDescent="0.25">
      <c r="A1606" s="2" t="str" cm="1">
        <f t="array" ref="A1606">choice(Salles!A:A,1,Settings!$B$16)</f>
        <v>Salle18</v>
      </c>
      <c r="B1606" s="3" cm="1">
        <f t="array" ref="B1606">alea_date(Settings!$B$11,360,-1,Settings!$B$16)</f>
        <v>46204.625</v>
      </c>
      <c r="C1606" s="20" cm="1">
        <f t="array" ref="C1606">B1606+TIME(alea_int(1,4,Settings!$B$16),0,0)</f>
        <v>46204.791666666664</v>
      </c>
    </row>
    <row r="1607" spans="1:3" ht="15.75" customHeight="1" x14ac:dyDescent="0.25">
      <c r="A1607" s="2" t="str" cm="1">
        <f t="array" ref="A1607">choice(Salles!A:A,1,Settings!$B$16)</f>
        <v>Salle3</v>
      </c>
      <c r="B1607" s="3" cm="1">
        <f t="array" ref="B1607">alea_date(Settings!$B$11,360,-1,Settings!$B$16)</f>
        <v>46332.333333333336</v>
      </c>
      <c r="C1607" s="20" cm="1">
        <f t="array" ref="C1607">B1607+TIME(alea_int(1,4,Settings!$B$16),0,0)</f>
        <v>46332.5</v>
      </c>
    </row>
    <row r="1608" spans="1:3" ht="15.75" customHeight="1" x14ac:dyDescent="0.25">
      <c r="A1608" s="2" t="str" cm="1">
        <f t="array" ref="A1608">choice(Salles!A:A,1,Settings!$B$16)</f>
        <v>Salle37</v>
      </c>
      <c r="B1608" s="3" cm="1">
        <f t="array" ref="B1608">alea_date(Settings!$B$11,360,-1,Settings!$B$16)</f>
        <v>46353.583333333336</v>
      </c>
      <c r="C1608" s="20" cm="1">
        <f t="array" ref="C1608">B1608+TIME(alea_int(1,4,Settings!$B$16),0,0)</f>
        <v>46353.75</v>
      </c>
    </row>
    <row r="1609" spans="1:3" ht="15.75" customHeight="1" x14ac:dyDescent="0.25">
      <c r="A1609" s="2" t="str" cm="1">
        <f t="array" ref="A1609">choice(Salles!A:A,1,Settings!$B$16)</f>
        <v>Salle61</v>
      </c>
      <c r="B1609" s="3" cm="1">
        <f t="array" ref="B1609">alea_date(Settings!$B$11,360,-1,Settings!$B$16)</f>
        <v>46272.291666666664</v>
      </c>
      <c r="C1609" s="20" cm="1">
        <f t="array" ref="C1609">B1609+TIME(alea_int(1,4,Settings!$B$16),0,0)</f>
        <v>46272.458333333328</v>
      </c>
    </row>
    <row r="1610" spans="1:3" ht="15.75" customHeight="1" x14ac:dyDescent="0.25">
      <c r="A1610" s="2" t="str" cm="1">
        <f t="array" ref="A1610">choice(Salles!A:A,1,Settings!$B$16)</f>
        <v>Salle26</v>
      </c>
      <c r="B1610" s="3" cm="1">
        <f t="array" ref="B1610">alea_date(Settings!$B$11,360,-1,Settings!$B$16)</f>
        <v>46118.625</v>
      </c>
      <c r="C1610" s="20" cm="1">
        <f t="array" ref="C1610">B1610+TIME(alea_int(1,4,Settings!$B$16),0,0)</f>
        <v>46118.791666666664</v>
      </c>
    </row>
    <row r="1611" spans="1:3" ht="15.75" customHeight="1" x14ac:dyDescent="0.25">
      <c r="A1611" s="2" t="str" cm="1">
        <f t="array" ref="A1611">choice(Salles!A:A,1,Settings!$B$16)</f>
        <v>Salle24</v>
      </c>
      <c r="B1611" s="3" cm="1">
        <f t="array" ref="B1611">alea_date(Settings!$B$11,360,-1,Settings!$B$16)</f>
        <v>46043.583333333336</v>
      </c>
      <c r="C1611" s="20" cm="1">
        <f t="array" ref="C1611">B1611+TIME(alea_int(1,4,Settings!$B$16),0,0)</f>
        <v>46043.75</v>
      </c>
    </row>
    <row r="1612" spans="1:3" ht="15.75" customHeight="1" x14ac:dyDescent="0.25">
      <c r="A1612" s="2" t="str" cm="1">
        <f t="array" ref="A1612">choice(Salles!A:A,1,Settings!$B$16)</f>
        <v>Salle61</v>
      </c>
      <c r="B1612" s="3" cm="1">
        <f t="array" ref="B1612">alea_date(Settings!$B$11,360,-1,Settings!$B$16)</f>
        <v>46292.583333333336</v>
      </c>
      <c r="C1612" s="20" cm="1">
        <f t="array" ref="C1612">B1612+TIME(alea_int(1,4,Settings!$B$16),0,0)</f>
        <v>46292.75</v>
      </c>
    </row>
    <row r="1613" spans="1:3" ht="15.75" customHeight="1" x14ac:dyDescent="0.25">
      <c r="A1613" s="2" t="str" cm="1">
        <f t="array" ref="A1613">choice(Salles!A:A,1,Settings!$B$16)</f>
        <v>Salle12</v>
      </c>
      <c r="B1613" s="3" cm="1">
        <f t="array" ref="B1613">alea_date(Settings!$B$11,360,-1,Settings!$B$16)</f>
        <v>46029.583333333336</v>
      </c>
      <c r="C1613" s="20" cm="1">
        <f t="array" ref="C1613">B1613+TIME(alea_int(1,4,Settings!$B$16),0,0)</f>
        <v>46029.75</v>
      </c>
    </row>
    <row r="1614" spans="1:3" ht="15.75" customHeight="1" x14ac:dyDescent="0.25">
      <c r="A1614" s="2" t="str" cm="1">
        <f t="array" ref="A1614">choice(Salles!A:A,1,Settings!$B$16)</f>
        <v>Salle2</v>
      </c>
      <c r="B1614" s="3" cm="1">
        <f t="array" ref="B1614">alea_date(Settings!$B$11,360,-1,Settings!$B$16)</f>
        <v>46023.333333333336</v>
      </c>
      <c r="C1614" s="20" cm="1">
        <f t="array" ref="C1614">B1614+TIME(alea_int(1,4,Settings!$B$16),0,0)</f>
        <v>46023.5</v>
      </c>
    </row>
    <row r="1615" spans="1:3" ht="15.75" customHeight="1" x14ac:dyDescent="0.25">
      <c r="A1615" s="2" t="str" cm="1">
        <f t="array" ref="A1615">choice(Salles!A:A,1,Settings!$B$16)</f>
        <v>Salle7</v>
      </c>
      <c r="B1615" s="3" cm="1">
        <f t="array" ref="B1615">alea_date(Settings!$B$11,360,-1,Settings!$B$16)</f>
        <v>46282.375</v>
      </c>
      <c r="C1615" s="20" cm="1">
        <f t="array" ref="C1615">B1615+TIME(alea_int(1,4,Settings!$B$16),0,0)</f>
        <v>46282.541666666664</v>
      </c>
    </row>
    <row r="1616" spans="1:3" ht="15.75" customHeight="1" x14ac:dyDescent="0.25">
      <c r="A1616" s="2" t="str" cm="1">
        <f t="array" ref="A1616">choice(Salles!A:A,1,Settings!$B$16)</f>
        <v>Salle20</v>
      </c>
      <c r="B1616" s="3" cm="1">
        <f t="array" ref="B1616">alea_date(Settings!$B$11,360,-1,Settings!$B$16)</f>
        <v>46290.458333333336</v>
      </c>
      <c r="C1616" s="20" cm="1">
        <f t="array" ref="C1616">B1616+TIME(alea_int(1,4,Settings!$B$16),0,0)</f>
        <v>46290.625</v>
      </c>
    </row>
    <row r="1617" spans="1:3" ht="15.75" customHeight="1" x14ac:dyDescent="0.25">
      <c r="A1617" s="2" t="str" cm="1">
        <f t="array" ref="A1617">choice(Salles!A:A,1,Settings!$B$16)</f>
        <v>Salle68</v>
      </c>
      <c r="B1617" s="3" cm="1">
        <f t="array" ref="B1617">alea_date(Settings!$B$11,360,-1,Settings!$B$16)</f>
        <v>46358.541666666664</v>
      </c>
      <c r="C1617" s="20" cm="1">
        <f t="array" ref="C1617">B1617+TIME(alea_int(1,4,Settings!$B$16),0,0)</f>
        <v>46358.708333333328</v>
      </c>
    </row>
    <row r="1618" spans="1:3" ht="15.75" customHeight="1" x14ac:dyDescent="0.25">
      <c r="A1618" s="2" t="str" cm="1">
        <f t="array" ref="A1618">choice(Salles!A:A,1,Settings!$B$16)</f>
        <v>Salle29</v>
      </c>
      <c r="B1618" s="3" cm="1">
        <f t="array" ref="B1618">alea_date(Settings!$B$11,360,-1,Settings!$B$16)</f>
        <v>46324.458333333336</v>
      </c>
      <c r="C1618" s="20" cm="1">
        <f t="array" ref="C1618">B1618+TIME(alea_int(1,4,Settings!$B$16),0,0)</f>
        <v>46324.625</v>
      </c>
    </row>
    <row r="1619" spans="1:3" ht="15.75" customHeight="1" x14ac:dyDescent="0.25">
      <c r="A1619" s="2" t="str" cm="1">
        <f t="array" ref="A1619">choice(Salles!A:A,1,Settings!$B$16)</f>
        <v>Salle30</v>
      </c>
      <c r="B1619" s="3" cm="1">
        <f t="array" ref="B1619">alea_date(Settings!$B$11,360,-1,Settings!$B$16)</f>
        <v>46284.375</v>
      </c>
      <c r="C1619" s="20" cm="1">
        <f t="array" ref="C1619">B1619+TIME(alea_int(1,4,Settings!$B$16),0,0)</f>
        <v>46284.541666666664</v>
      </c>
    </row>
    <row r="1620" spans="1:3" ht="15.75" customHeight="1" x14ac:dyDescent="0.25">
      <c r="A1620" s="2" t="str" cm="1">
        <f t="array" ref="A1620">choice(Salles!A:A,1,Settings!$B$16)</f>
        <v>Salle32</v>
      </c>
      <c r="B1620" s="3" cm="1">
        <f t="array" ref="B1620">alea_date(Settings!$B$11,360,-1,Settings!$B$16)</f>
        <v>46299.625</v>
      </c>
      <c r="C1620" s="20" cm="1">
        <f t="array" ref="C1620">B1620+TIME(alea_int(1,4,Settings!$B$16),0,0)</f>
        <v>46299.791666666664</v>
      </c>
    </row>
    <row r="1621" spans="1:3" ht="15.75" customHeight="1" x14ac:dyDescent="0.25">
      <c r="A1621" s="2" t="str" cm="1">
        <f t="array" ref="A1621">choice(Salles!A:A,1,Settings!$B$16)</f>
        <v>Salle27</v>
      </c>
      <c r="B1621" s="3" cm="1">
        <f t="array" ref="B1621">alea_date(Settings!$B$11,360,-1,Settings!$B$16)</f>
        <v>46281.333333333336</v>
      </c>
      <c r="C1621" s="20" cm="1">
        <f t="array" ref="C1621">B1621+TIME(alea_int(1,4,Settings!$B$16),0,0)</f>
        <v>46281.5</v>
      </c>
    </row>
    <row r="1622" spans="1:3" ht="15.75" customHeight="1" x14ac:dyDescent="0.25">
      <c r="A1622" s="2" t="str" cm="1">
        <f t="array" ref="A1622">choice(Salles!A:A,1,Settings!$B$16)</f>
        <v>Salle40</v>
      </c>
      <c r="B1622" s="3" cm="1">
        <f t="array" ref="B1622">alea_date(Settings!$B$11,360,-1,Settings!$B$16)</f>
        <v>46363.25</v>
      </c>
      <c r="C1622" s="20" cm="1">
        <f t="array" ref="C1622">B1622+TIME(alea_int(1,4,Settings!$B$16),0,0)</f>
        <v>46363.416666666664</v>
      </c>
    </row>
    <row r="1623" spans="1:3" ht="15.75" customHeight="1" x14ac:dyDescent="0.25">
      <c r="A1623" s="2" t="str" cm="1">
        <f t="array" ref="A1623">choice(Salles!A:A,1,Settings!$B$16)</f>
        <v>Salle39</v>
      </c>
      <c r="B1623" s="3" cm="1">
        <f t="array" ref="B1623">alea_date(Settings!$B$11,360,-1,Settings!$B$16)</f>
        <v>46031.5</v>
      </c>
      <c r="C1623" s="20" cm="1">
        <f t="array" ref="C1623">B1623+TIME(alea_int(1,4,Settings!$B$16),0,0)</f>
        <v>46031.666666666664</v>
      </c>
    </row>
    <row r="1624" spans="1:3" ht="15.75" customHeight="1" x14ac:dyDescent="0.25">
      <c r="A1624" s="2" t="str" cm="1">
        <f t="array" ref="A1624">choice(Salles!A:A,1,Settings!$B$16)</f>
        <v>Salle21</v>
      </c>
      <c r="B1624" s="3" cm="1">
        <f t="array" ref="B1624">alea_date(Settings!$B$11,360,-1,Settings!$B$16)</f>
        <v>46135.333333333336</v>
      </c>
      <c r="C1624" s="20" cm="1">
        <f t="array" ref="C1624">B1624+TIME(alea_int(1,4,Settings!$B$16),0,0)</f>
        <v>46135.5</v>
      </c>
    </row>
    <row r="1625" spans="1:3" ht="15.75" customHeight="1" x14ac:dyDescent="0.25">
      <c r="A1625" s="2" t="str" cm="1">
        <f t="array" ref="A1625">choice(Salles!A:A,1,Settings!$B$16)</f>
        <v>Salle14</v>
      </c>
      <c r="B1625" s="3" cm="1">
        <f t="array" ref="B1625">alea_date(Settings!$B$11,360,-1,Settings!$B$16)</f>
        <v>46110.333333333336</v>
      </c>
      <c r="C1625" s="20" cm="1">
        <f t="array" ref="C1625">B1625+TIME(alea_int(1,4,Settings!$B$16),0,0)</f>
        <v>46110.5</v>
      </c>
    </row>
    <row r="1626" spans="1:3" ht="15.75" customHeight="1" x14ac:dyDescent="0.25">
      <c r="A1626" s="2" t="str" cm="1">
        <f t="array" ref="A1626">choice(Salles!A:A,1,Settings!$B$16)</f>
        <v>Salle50</v>
      </c>
      <c r="B1626" s="3" cm="1">
        <f t="array" ref="B1626">alea_date(Settings!$B$11,360,-1,Settings!$B$16)</f>
        <v>46180.5</v>
      </c>
      <c r="C1626" s="20" cm="1">
        <f t="array" ref="C1626">B1626+TIME(alea_int(1,4,Settings!$B$16),0,0)</f>
        <v>46180.666666666664</v>
      </c>
    </row>
    <row r="1627" spans="1:3" ht="15.75" customHeight="1" x14ac:dyDescent="0.25">
      <c r="A1627" s="2" t="str" cm="1">
        <f t="array" ref="A1627">choice(Salles!A:A,1,Settings!$B$16)</f>
        <v>Salle14</v>
      </c>
      <c r="B1627" s="3" cm="1">
        <f t="array" ref="B1627">alea_date(Settings!$B$11,360,-1,Settings!$B$16)</f>
        <v>46320.625</v>
      </c>
      <c r="C1627" s="20" cm="1">
        <f t="array" ref="C1627">B1627+TIME(alea_int(1,4,Settings!$B$16),0,0)</f>
        <v>46320.791666666664</v>
      </c>
    </row>
    <row r="1628" spans="1:3" ht="15.75" customHeight="1" x14ac:dyDescent="0.25">
      <c r="A1628" s="2" t="str" cm="1">
        <f t="array" ref="A1628">choice(Salles!A:A,1,Settings!$B$16)</f>
        <v>Salle41</v>
      </c>
      <c r="B1628" s="3" cm="1">
        <f t="array" ref="B1628">alea_date(Settings!$B$11,360,-1,Settings!$B$16)</f>
        <v>46244.5</v>
      </c>
      <c r="C1628" s="20" cm="1">
        <f t="array" ref="C1628">B1628+TIME(alea_int(1,4,Settings!$B$16),0,0)</f>
        <v>46244.666666666664</v>
      </c>
    </row>
    <row r="1629" spans="1:3" ht="15.75" customHeight="1" x14ac:dyDescent="0.25">
      <c r="A1629" s="2" t="str" cm="1">
        <f t="array" ref="A1629">choice(Salles!A:A,1,Settings!$B$16)</f>
        <v>Salle11</v>
      </c>
      <c r="B1629" s="3" cm="1">
        <f t="array" ref="B1629">alea_date(Settings!$B$11,360,-1,Settings!$B$16)</f>
        <v>46270.625</v>
      </c>
      <c r="C1629" s="20" cm="1">
        <f t="array" ref="C1629">B1629+TIME(alea_int(1,4,Settings!$B$16),0,0)</f>
        <v>46270.791666666664</v>
      </c>
    </row>
    <row r="1630" spans="1:3" ht="15.75" customHeight="1" x14ac:dyDescent="0.25">
      <c r="A1630" s="2" t="str" cm="1">
        <f t="array" ref="A1630">choice(Salles!A:A,1,Settings!$B$16)</f>
        <v>Salle8</v>
      </c>
      <c r="B1630" s="3" cm="1">
        <f t="array" ref="B1630">alea_date(Settings!$B$11,360,-1,Settings!$B$16)</f>
        <v>46211.333333333336</v>
      </c>
      <c r="C1630" s="20" cm="1">
        <f t="array" ref="C1630">B1630+TIME(alea_int(1,4,Settings!$B$16),0,0)</f>
        <v>46211.5</v>
      </c>
    </row>
    <row r="1631" spans="1:3" ht="15.75" customHeight="1" x14ac:dyDescent="0.25">
      <c r="A1631" s="2" t="str" cm="1">
        <f t="array" ref="A1631">choice(Salles!A:A,1,Settings!$B$16)</f>
        <v>Salle59</v>
      </c>
      <c r="B1631" s="3" cm="1">
        <f t="array" ref="B1631">alea_date(Settings!$B$11,360,-1,Settings!$B$16)</f>
        <v>46193.25</v>
      </c>
      <c r="C1631" s="20" cm="1">
        <f t="array" ref="C1631">B1631+TIME(alea_int(1,4,Settings!$B$16),0,0)</f>
        <v>46193.416666666664</v>
      </c>
    </row>
    <row r="1632" spans="1:3" ht="15.75" customHeight="1" x14ac:dyDescent="0.25">
      <c r="A1632" s="2" t="str" cm="1">
        <f t="array" ref="A1632">choice(Salles!A:A,1,Settings!$B$16)</f>
        <v>Salle52</v>
      </c>
      <c r="B1632" s="3" cm="1">
        <f t="array" ref="B1632">alea_date(Settings!$B$11,360,-1,Settings!$B$16)</f>
        <v>46195.625</v>
      </c>
      <c r="C1632" s="20" cm="1">
        <f t="array" ref="C1632">B1632+TIME(alea_int(1,4,Settings!$B$16),0,0)</f>
        <v>46195.791666666664</v>
      </c>
    </row>
    <row r="1633" spans="1:3" ht="15.75" customHeight="1" x14ac:dyDescent="0.25">
      <c r="A1633" s="2" t="str" cm="1">
        <f t="array" ref="A1633">choice(Salles!A:A,1,Settings!$B$16)</f>
        <v>Salle44</v>
      </c>
      <c r="B1633" s="3" cm="1">
        <f t="array" ref="B1633">alea_date(Settings!$B$11,360,-1,Settings!$B$16)</f>
        <v>46194.541666666664</v>
      </c>
      <c r="C1633" s="20" cm="1">
        <f t="array" ref="C1633">B1633+TIME(alea_int(1,4,Settings!$B$16),0,0)</f>
        <v>46194.708333333328</v>
      </c>
    </row>
    <row r="1634" spans="1:3" ht="15.75" customHeight="1" x14ac:dyDescent="0.25">
      <c r="A1634" s="2" t="str" cm="1">
        <f t="array" ref="A1634">choice(Salles!A:A,1,Settings!$B$16)</f>
        <v>Salle50</v>
      </c>
      <c r="B1634" s="3" cm="1">
        <f t="array" ref="B1634">alea_date(Settings!$B$11,360,-1,Settings!$B$16)</f>
        <v>46302.458333333336</v>
      </c>
      <c r="C1634" s="20" cm="1">
        <f t="array" ref="C1634">B1634+TIME(alea_int(1,4,Settings!$B$16),0,0)</f>
        <v>46302.625</v>
      </c>
    </row>
    <row r="1635" spans="1:3" ht="15.75" customHeight="1" x14ac:dyDescent="0.25">
      <c r="A1635" s="2" t="str" cm="1">
        <f t="array" ref="A1635">choice(Salles!A:A,1,Settings!$B$16)</f>
        <v>Salle57</v>
      </c>
      <c r="B1635" s="3" cm="1">
        <f t="array" ref="B1635">alea_date(Settings!$B$11,360,-1,Settings!$B$16)</f>
        <v>46101.416666666664</v>
      </c>
      <c r="C1635" s="20" cm="1">
        <f t="array" ref="C1635">B1635+TIME(alea_int(1,4,Settings!$B$16),0,0)</f>
        <v>46101.583333333328</v>
      </c>
    </row>
    <row r="1636" spans="1:3" ht="15.75" customHeight="1" x14ac:dyDescent="0.25">
      <c r="A1636" s="2" t="str" cm="1">
        <f t="array" ref="A1636">choice(Salles!A:A,1,Settings!$B$16)</f>
        <v>Salle18</v>
      </c>
      <c r="B1636" s="3" cm="1">
        <f t="array" ref="B1636">alea_date(Settings!$B$11,360,-1,Settings!$B$16)</f>
        <v>46313.541666666664</v>
      </c>
      <c r="C1636" s="20" cm="1">
        <f t="array" ref="C1636">B1636+TIME(alea_int(1,4,Settings!$B$16),0,0)</f>
        <v>46313.708333333328</v>
      </c>
    </row>
    <row r="1637" spans="1:3" ht="15.75" customHeight="1" x14ac:dyDescent="0.25">
      <c r="A1637" s="2" t="str" cm="1">
        <f t="array" ref="A1637">choice(Salles!A:A,1,Settings!$B$16)</f>
        <v>Salle12</v>
      </c>
      <c r="B1637" s="3" cm="1">
        <f t="array" ref="B1637">alea_date(Settings!$B$11,360,-1,Settings!$B$16)</f>
        <v>46060.5</v>
      </c>
      <c r="C1637" s="20" cm="1">
        <f t="array" ref="C1637">B1637+TIME(alea_int(1,4,Settings!$B$16),0,0)</f>
        <v>46060.666666666664</v>
      </c>
    </row>
    <row r="1638" spans="1:3" ht="15.75" customHeight="1" x14ac:dyDescent="0.25">
      <c r="A1638" s="2" t="str" cm="1">
        <f t="array" ref="A1638">choice(Salles!A:A,1,Settings!$B$16)</f>
        <v>Salle43</v>
      </c>
      <c r="B1638" s="3" cm="1">
        <f t="array" ref="B1638">alea_date(Settings!$B$11,360,-1,Settings!$B$16)</f>
        <v>46221.541666666664</v>
      </c>
      <c r="C1638" s="20" cm="1">
        <f t="array" ref="C1638">B1638+TIME(alea_int(1,4,Settings!$B$16),0,0)</f>
        <v>46221.708333333328</v>
      </c>
    </row>
    <row r="1639" spans="1:3" ht="15.75" customHeight="1" x14ac:dyDescent="0.25">
      <c r="A1639" s="2" t="str" cm="1">
        <f t="array" ref="A1639">choice(Salles!A:A,1,Settings!$B$16)</f>
        <v>Salle36</v>
      </c>
      <c r="B1639" s="3" cm="1">
        <f t="array" ref="B1639">alea_date(Settings!$B$11,360,-1,Settings!$B$16)</f>
        <v>46316.25</v>
      </c>
      <c r="C1639" s="20" cm="1">
        <f t="array" ref="C1639">B1639+TIME(alea_int(1,4,Settings!$B$16),0,0)</f>
        <v>46316.416666666664</v>
      </c>
    </row>
    <row r="1640" spans="1:3" ht="15.75" customHeight="1" x14ac:dyDescent="0.25">
      <c r="A1640" s="2" t="str" cm="1">
        <f t="array" ref="A1640">choice(Salles!A:A,1,Settings!$B$16)</f>
        <v>Salle20</v>
      </c>
      <c r="B1640" s="3" cm="1">
        <f t="array" ref="B1640">alea_date(Settings!$B$11,360,-1,Settings!$B$16)</f>
        <v>46319.375</v>
      </c>
      <c r="C1640" s="20" cm="1">
        <f t="array" ref="C1640">B1640+TIME(alea_int(1,4,Settings!$B$16),0,0)</f>
        <v>46319.541666666664</v>
      </c>
    </row>
    <row r="1641" spans="1:3" ht="15.75" customHeight="1" x14ac:dyDescent="0.25">
      <c r="A1641" s="2" t="str" cm="1">
        <f t="array" ref="A1641">choice(Salles!A:A,1,Settings!$B$16)</f>
        <v>Salle20</v>
      </c>
      <c r="B1641" s="3" cm="1">
        <f t="array" ref="B1641">alea_date(Settings!$B$11,360,-1,Settings!$B$16)</f>
        <v>46152.625</v>
      </c>
      <c r="C1641" s="20" cm="1">
        <f t="array" ref="C1641">B1641+TIME(alea_int(1,4,Settings!$B$16),0,0)</f>
        <v>46152.791666666664</v>
      </c>
    </row>
    <row r="1642" spans="1:3" ht="15.75" customHeight="1" x14ac:dyDescent="0.25">
      <c r="A1642" s="2" t="str" cm="1">
        <f t="array" ref="A1642">choice(Salles!A:A,1,Settings!$B$16)</f>
        <v>Salle55</v>
      </c>
      <c r="B1642" s="3" cm="1">
        <f t="array" ref="B1642">alea_date(Settings!$B$11,360,-1,Settings!$B$16)</f>
        <v>46045.541666666664</v>
      </c>
      <c r="C1642" s="20" cm="1">
        <f t="array" ref="C1642">B1642+TIME(alea_int(1,4,Settings!$B$16),0,0)</f>
        <v>46045.708333333328</v>
      </c>
    </row>
    <row r="1643" spans="1:3" ht="15.75" customHeight="1" x14ac:dyDescent="0.25">
      <c r="A1643" s="2" t="str" cm="1">
        <f t="array" ref="A1643">choice(Salles!A:A,1,Settings!$B$16)</f>
        <v>Salle54</v>
      </c>
      <c r="B1643" s="3" cm="1">
        <f t="array" ref="B1643">alea_date(Settings!$B$11,360,-1,Settings!$B$16)</f>
        <v>46240.541666666664</v>
      </c>
      <c r="C1643" s="20" cm="1">
        <f t="array" ref="C1643">B1643+TIME(alea_int(1,4,Settings!$B$16),0,0)</f>
        <v>46240.708333333328</v>
      </c>
    </row>
    <row r="1644" spans="1:3" ht="15.75" customHeight="1" x14ac:dyDescent="0.25">
      <c r="A1644" s="2" t="str" cm="1">
        <f t="array" ref="A1644">choice(Salles!A:A,1,Settings!$B$16)</f>
        <v>Salle54</v>
      </c>
      <c r="B1644" s="3" cm="1">
        <f t="array" ref="B1644">alea_date(Settings!$B$11,360,-1,Settings!$B$16)</f>
        <v>46261.375</v>
      </c>
      <c r="C1644" s="20" cm="1">
        <f t="array" ref="C1644">B1644+TIME(alea_int(1,4,Settings!$B$16),0,0)</f>
        <v>46261.541666666664</v>
      </c>
    </row>
    <row r="1645" spans="1:3" ht="15.75" customHeight="1" x14ac:dyDescent="0.25">
      <c r="A1645" s="2" t="str" cm="1">
        <f t="array" ref="A1645">choice(Salles!A:A,1,Settings!$B$16)</f>
        <v>Salle13</v>
      </c>
      <c r="B1645" s="3" cm="1">
        <f t="array" ref="B1645">alea_date(Settings!$B$11,360,-1,Settings!$B$16)</f>
        <v>46364.583333333336</v>
      </c>
      <c r="C1645" s="20" cm="1">
        <f t="array" ref="C1645">B1645+TIME(alea_int(1,4,Settings!$B$16),0,0)</f>
        <v>46364.75</v>
      </c>
    </row>
    <row r="1646" spans="1:3" ht="15.75" customHeight="1" x14ac:dyDescent="0.25">
      <c r="A1646" s="2" t="str" cm="1">
        <f t="array" ref="A1646">choice(Salles!A:A,1,Settings!$B$16)</f>
        <v>Salle59</v>
      </c>
      <c r="B1646" s="3" cm="1">
        <f t="array" ref="B1646">alea_date(Settings!$B$11,360,-1,Settings!$B$16)</f>
        <v>46132.625</v>
      </c>
      <c r="C1646" s="20" cm="1">
        <f t="array" ref="C1646">B1646+TIME(alea_int(1,4,Settings!$B$16),0,0)</f>
        <v>46132.791666666664</v>
      </c>
    </row>
    <row r="1647" spans="1:3" ht="15.75" customHeight="1" x14ac:dyDescent="0.25">
      <c r="A1647" s="2" t="str" cm="1">
        <f t="array" ref="A1647">choice(Salles!A:A,1,Settings!$B$16)</f>
        <v>Salle32</v>
      </c>
      <c r="B1647" s="3" cm="1">
        <f t="array" ref="B1647">alea_date(Settings!$B$11,360,-1,Settings!$B$16)</f>
        <v>46236.333333333336</v>
      </c>
      <c r="C1647" s="20" cm="1">
        <f t="array" ref="C1647">B1647+TIME(alea_int(1,4,Settings!$B$16),0,0)</f>
        <v>46236.5</v>
      </c>
    </row>
    <row r="1648" spans="1:3" ht="15.75" customHeight="1" x14ac:dyDescent="0.25">
      <c r="A1648" s="2" t="str" cm="1">
        <f t="array" ref="A1648">choice(Salles!A:A,1,Settings!$B$16)</f>
        <v>Salle26</v>
      </c>
      <c r="B1648" s="3" cm="1">
        <f t="array" ref="B1648">alea_date(Settings!$B$11,360,-1,Settings!$B$16)</f>
        <v>46271.541666666664</v>
      </c>
      <c r="C1648" s="20" cm="1">
        <f t="array" ref="C1648">B1648+TIME(alea_int(1,4,Settings!$B$16),0,0)</f>
        <v>46271.708333333328</v>
      </c>
    </row>
    <row r="1649" spans="1:3" ht="15.75" customHeight="1" x14ac:dyDescent="0.25">
      <c r="A1649" s="2" t="str" cm="1">
        <f t="array" ref="A1649">choice(Salles!A:A,1,Settings!$B$16)</f>
        <v>Salle14</v>
      </c>
      <c r="B1649" s="3" cm="1">
        <f t="array" ref="B1649">alea_date(Settings!$B$11,360,-1,Settings!$B$16)</f>
        <v>46380.625</v>
      </c>
      <c r="C1649" s="20" cm="1">
        <f t="array" ref="C1649">B1649+TIME(alea_int(1,4,Settings!$B$16),0,0)</f>
        <v>46380.791666666664</v>
      </c>
    </row>
    <row r="1650" spans="1:3" ht="15.75" customHeight="1" x14ac:dyDescent="0.25">
      <c r="A1650" s="2" t="str" cm="1">
        <f t="array" ref="A1650">choice(Salles!A:A,1,Settings!$B$16)</f>
        <v>Salle58</v>
      </c>
      <c r="B1650" s="3" cm="1">
        <f t="array" ref="B1650">alea_date(Settings!$B$11,360,-1,Settings!$B$16)</f>
        <v>46032.625</v>
      </c>
      <c r="C1650" s="20" cm="1">
        <f t="array" ref="C1650">B1650+TIME(alea_int(1,4,Settings!$B$16),0,0)</f>
        <v>46032.791666666664</v>
      </c>
    </row>
    <row r="1651" spans="1:3" ht="15.75" customHeight="1" x14ac:dyDescent="0.25">
      <c r="A1651" s="2" t="str" cm="1">
        <f t="array" ref="A1651">choice(Salles!A:A,1,Settings!$B$16)</f>
        <v>Salle39</v>
      </c>
      <c r="B1651" s="3" cm="1">
        <f t="array" ref="B1651">alea_date(Settings!$B$11,360,-1,Settings!$B$16)</f>
        <v>46311.541666666664</v>
      </c>
      <c r="C1651" s="20" cm="1">
        <f t="array" ref="C1651">B1651+TIME(alea_int(1,4,Settings!$B$16),0,0)</f>
        <v>46311.708333333328</v>
      </c>
    </row>
    <row r="1652" spans="1:3" ht="15.75" customHeight="1" x14ac:dyDescent="0.25">
      <c r="A1652" s="2" t="str" cm="1">
        <f t="array" ref="A1652">choice(Salles!A:A,1,Settings!$B$16)</f>
        <v>Salle37</v>
      </c>
      <c r="B1652" s="3" cm="1">
        <f t="array" ref="B1652">alea_date(Settings!$B$11,360,-1,Settings!$B$16)</f>
        <v>46307.583333333336</v>
      </c>
      <c r="C1652" s="20" cm="1">
        <f t="array" ref="C1652">B1652+TIME(alea_int(1,4,Settings!$B$16),0,0)</f>
        <v>46307.75</v>
      </c>
    </row>
    <row r="1653" spans="1:3" ht="15.75" customHeight="1" x14ac:dyDescent="0.25">
      <c r="A1653" s="2" t="str" cm="1">
        <f t="array" ref="A1653">choice(Salles!A:A,1,Settings!$B$16)</f>
        <v>Salle12</v>
      </c>
      <c r="B1653" s="3" cm="1">
        <f t="array" ref="B1653">alea_date(Settings!$B$11,360,-1,Settings!$B$16)</f>
        <v>46239.333333333336</v>
      </c>
      <c r="C1653" s="20" cm="1">
        <f t="array" ref="C1653">B1653+TIME(alea_int(1,4,Settings!$B$16),0,0)</f>
        <v>46239.5</v>
      </c>
    </row>
    <row r="1654" spans="1:3" ht="15.75" customHeight="1" x14ac:dyDescent="0.25">
      <c r="A1654" s="2" t="str" cm="1">
        <f t="array" ref="A1654">choice(Salles!A:A,1,Settings!$B$16)</f>
        <v>Salle44</v>
      </c>
      <c r="B1654" s="3" cm="1">
        <f t="array" ref="B1654">alea_date(Settings!$B$11,360,-1,Settings!$B$16)</f>
        <v>46279.416666666664</v>
      </c>
      <c r="C1654" s="20" cm="1">
        <f t="array" ref="C1654">B1654+TIME(alea_int(1,4,Settings!$B$16),0,0)</f>
        <v>46279.583333333328</v>
      </c>
    </row>
    <row r="1655" spans="1:3" ht="15.75" customHeight="1" x14ac:dyDescent="0.25">
      <c r="A1655" s="2" t="str" cm="1">
        <f t="array" ref="A1655">choice(Salles!A:A,1,Settings!$B$16)</f>
        <v>Salle57</v>
      </c>
      <c r="B1655" s="3" cm="1">
        <f t="array" ref="B1655">alea_date(Settings!$B$11,360,-1,Settings!$B$16)</f>
        <v>46320.375</v>
      </c>
      <c r="C1655" s="20" cm="1">
        <f t="array" ref="C1655">B1655+TIME(alea_int(1,4,Settings!$B$16),0,0)</f>
        <v>46320.541666666664</v>
      </c>
    </row>
    <row r="1656" spans="1:3" ht="15.75" customHeight="1" x14ac:dyDescent="0.25">
      <c r="A1656" s="2" t="str" cm="1">
        <f t="array" ref="A1656">choice(Salles!A:A,1,Settings!$B$16)</f>
        <v>Salle54</v>
      </c>
      <c r="B1656" s="3" cm="1">
        <f t="array" ref="B1656">alea_date(Settings!$B$11,360,-1,Settings!$B$16)</f>
        <v>46348.541666666664</v>
      </c>
      <c r="C1656" s="20" cm="1">
        <f t="array" ref="C1656">B1656+TIME(alea_int(1,4,Settings!$B$16),0,0)</f>
        <v>46348.708333333328</v>
      </c>
    </row>
    <row r="1657" spans="1:3" ht="15.75" customHeight="1" x14ac:dyDescent="0.25">
      <c r="A1657" s="2" t="str" cm="1">
        <f t="array" ref="A1657">choice(Salles!A:A,1,Settings!$B$16)</f>
        <v>Salle63</v>
      </c>
      <c r="B1657" s="3" cm="1">
        <f t="array" ref="B1657">alea_date(Settings!$B$11,360,-1,Settings!$B$16)</f>
        <v>46151.416666666664</v>
      </c>
      <c r="C1657" s="20" cm="1">
        <f t="array" ref="C1657">B1657+TIME(alea_int(1,4,Settings!$B$16),0,0)</f>
        <v>46151.583333333328</v>
      </c>
    </row>
    <row r="1658" spans="1:3" ht="15.75" customHeight="1" x14ac:dyDescent="0.25">
      <c r="A1658" s="2" t="str" cm="1">
        <f t="array" ref="A1658">choice(Salles!A:A,1,Settings!$B$16)</f>
        <v>Salle10</v>
      </c>
      <c r="B1658" s="3" cm="1">
        <f t="array" ref="B1658">alea_date(Settings!$B$11,360,-1,Settings!$B$16)</f>
        <v>46096.625</v>
      </c>
      <c r="C1658" s="20" cm="1">
        <f t="array" ref="C1658">B1658+TIME(alea_int(1,4,Settings!$B$16),0,0)</f>
        <v>46096.791666666664</v>
      </c>
    </row>
    <row r="1659" spans="1:3" ht="15.75" customHeight="1" x14ac:dyDescent="0.25">
      <c r="A1659" s="2" t="str" cm="1">
        <f t="array" ref="A1659">choice(Salles!A:A,1,Settings!$B$16)</f>
        <v>Salle41</v>
      </c>
      <c r="B1659" s="3" cm="1">
        <f t="array" ref="B1659">alea_date(Settings!$B$11,360,-1,Settings!$B$16)</f>
        <v>46332.458333333336</v>
      </c>
      <c r="C1659" s="20" cm="1">
        <f t="array" ref="C1659">B1659+TIME(alea_int(1,4,Settings!$B$16),0,0)</f>
        <v>46332.625</v>
      </c>
    </row>
    <row r="1660" spans="1:3" ht="15.75" customHeight="1" x14ac:dyDescent="0.25">
      <c r="A1660" s="2" t="str" cm="1">
        <f t="array" ref="A1660">choice(Salles!A:A,1,Settings!$B$16)</f>
        <v>Salle31</v>
      </c>
      <c r="B1660" s="3" cm="1">
        <f t="array" ref="B1660">alea_date(Settings!$B$11,360,-1,Settings!$B$16)</f>
        <v>46347.416666666664</v>
      </c>
      <c r="C1660" s="20" cm="1">
        <f t="array" ref="C1660">B1660+TIME(alea_int(1,4,Settings!$B$16),0,0)</f>
        <v>46347.583333333328</v>
      </c>
    </row>
    <row r="1661" spans="1:3" ht="15.75" customHeight="1" x14ac:dyDescent="0.25">
      <c r="A1661" s="2" t="str" cm="1">
        <f t="array" ref="A1661">choice(Salles!A:A,1,Settings!$B$16)</f>
        <v>Salle65</v>
      </c>
      <c r="B1661" s="3" cm="1">
        <f t="array" ref="B1661">alea_date(Settings!$B$11,360,-1,Settings!$B$16)</f>
        <v>46179.541666666664</v>
      </c>
      <c r="C1661" s="20" cm="1">
        <f t="array" ref="C1661">B1661+TIME(alea_int(1,4,Settings!$B$16),0,0)</f>
        <v>46179.708333333328</v>
      </c>
    </row>
    <row r="1662" spans="1:3" ht="15.75" customHeight="1" x14ac:dyDescent="0.25">
      <c r="A1662" s="2" t="str" cm="1">
        <f t="array" ref="A1662">choice(Salles!A:A,1,Settings!$B$16)</f>
        <v>Salle26</v>
      </c>
      <c r="B1662" s="3" cm="1">
        <f t="array" ref="B1662">alea_date(Settings!$B$11,360,-1,Settings!$B$16)</f>
        <v>46184.541666666664</v>
      </c>
      <c r="C1662" s="20" cm="1">
        <f t="array" ref="C1662">B1662+TIME(alea_int(1,4,Settings!$B$16),0,0)</f>
        <v>46184.708333333328</v>
      </c>
    </row>
    <row r="1663" spans="1:3" ht="15.75" customHeight="1" x14ac:dyDescent="0.25">
      <c r="A1663" s="2" t="str" cm="1">
        <f t="array" ref="A1663">choice(Salles!A:A,1,Settings!$B$16)</f>
        <v>Salle8</v>
      </c>
      <c r="B1663" s="3" cm="1">
        <f t="array" ref="B1663">alea_date(Settings!$B$11,360,-1,Settings!$B$16)</f>
        <v>46366.583333333336</v>
      </c>
      <c r="C1663" s="20" cm="1">
        <f t="array" ref="C1663">B1663+TIME(alea_int(1,4,Settings!$B$16),0,0)</f>
        <v>46366.75</v>
      </c>
    </row>
    <row r="1664" spans="1:3" ht="15.75" customHeight="1" x14ac:dyDescent="0.25">
      <c r="A1664" s="2" t="str" cm="1">
        <f t="array" ref="A1664">choice(Salles!A:A,1,Settings!$B$16)</f>
        <v>Salle30</v>
      </c>
      <c r="B1664" s="3" cm="1">
        <f t="array" ref="B1664">alea_date(Settings!$B$11,360,-1,Settings!$B$16)</f>
        <v>46367.333333333336</v>
      </c>
      <c r="C1664" s="20" cm="1">
        <f t="array" ref="C1664">B1664+TIME(alea_int(1,4,Settings!$B$16),0,0)</f>
        <v>46367.5</v>
      </c>
    </row>
    <row r="1665" spans="1:3" ht="15.75" customHeight="1" x14ac:dyDescent="0.25">
      <c r="A1665" s="2" t="str" cm="1">
        <f t="array" ref="A1665">choice(Salles!A:A,1,Settings!$B$16)</f>
        <v>Salle46</v>
      </c>
      <c r="B1665" s="3" cm="1">
        <f t="array" ref="B1665">alea_date(Settings!$B$11,360,-1,Settings!$B$16)</f>
        <v>46062.458333333336</v>
      </c>
      <c r="C1665" s="20" cm="1">
        <f t="array" ref="C1665">B1665+TIME(alea_int(1,4,Settings!$B$16),0,0)</f>
        <v>46062.625</v>
      </c>
    </row>
    <row r="1666" spans="1:3" ht="15.75" customHeight="1" x14ac:dyDescent="0.25">
      <c r="A1666" s="2" t="str" cm="1">
        <f t="array" ref="A1666">choice(Salles!A:A,1,Settings!$B$16)</f>
        <v>Salle5</v>
      </c>
      <c r="B1666" s="3" cm="1">
        <f t="array" ref="B1666">alea_date(Settings!$B$11,360,-1,Settings!$B$16)</f>
        <v>46195.541666666664</v>
      </c>
      <c r="C1666" s="20" cm="1">
        <f t="array" ref="C1666">B1666+TIME(alea_int(1,4,Settings!$B$16),0,0)</f>
        <v>46195.708333333328</v>
      </c>
    </row>
    <row r="1667" spans="1:3" ht="15.75" customHeight="1" x14ac:dyDescent="0.25">
      <c r="A1667" s="2" t="str" cm="1">
        <f t="array" ref="A1667">choice(Salles!A:A,1,Settings!$B$16)</f>
        <v>Salle25</v>
      </c>
      <c r="B1667" s="3" cm="1">
        <f t="array" ref="B1667">alea_date(Settings!$B$11,360,-1,Settings!$B$16)</f>
        <v>46167.5</v>
      </c>
      <c r="C1667" s="20" cm="1">
        <f t="array" ref="C1667">B1667+TIME(alea_int(1,4,Settings!$B$16),0,0)</f>
        <v>46167.666666666664</v>
      </c>
    </row>
    <row r="1668" spans="1:3" ht="15.75" customHeight="1" x14ac:dyDescent="0.25">
      <c r="A1668" s="2" t="str" cm="1">
        <f t="array" ref="A1668">choice(Salles!A:A,1,Settings!$B$16)</f>
        <v>Salle57</v>
      </c>
      <c r="B1668" s="3" cm="1">
        <f t="array" ref="B1668">alea_date(Settings!$B$11,360,-1,Settings!$B$16)</f>
        <v>46120.5</v>
      </c>
      <c r="C1668" s="20" cm="1">
        <f t="array" ref="C1668">B1668+TIME(alea_int(1,4,Settings!$B$16),0,0)</f>
        <v>46120.666666666664</v>
      </c>
    </row>
    <row r="1669" spans="1:3" ht="15.75" customHeight="1" x14ac:dyDescent="0.25">
      <c r="A1669" s="2" t="str" cm="1">
        <f t="array" ref="A1669">choice(Salles!A:A,1,Settings!$B$16)</f>
        <v>Salle53</v>
      </c>
      <c r="B1669" s="3" cm="1">
        <f t="array" ref="B1669">alea_date(Settings!$B$11,360,-1,Settings!$B$16)</f>
        <v>46160.416666666664</v>
      </c>
      <c r="C1669" s="20" cm="1">
        <f t="array" ref="C1669">B1669+TIME(alea_int(1,4,Settings!$B$16),0,0)</f>
        <v>46160.583333333328</v>
      </c>
    </row>
    <row r="1670" spans="1:3" ht="15.75" customHeight="1" x14ac:dyDescent="0.25">
      <c r="A1670" s="2" t="str" cm="1">
        <f t="array" ref="A1670">choice(Salles!A:A,1,Settings!$B$16)</f>
        <v>Salle67</v>
      </c>
      <c r="B1670" s="3" cm="1">
        <f t="array" ref="B1670">alea_date(Settings!$B$11,360,-1,Settings!$B$16)</f>
        <v>46237.583333333336</v>
      </c>
      <c r="C1670" s="20" cm="1">
        <f t="array" ref="C1670">B1670+TIME(alea_int(1,4,Settings!$B$16),0,0)</f>
        <v>46237.75</v>
      </c>
    </row>
    <row r="1671" spans="1:3" ht="15.75" customHeight="1" x14ac:dyDescent="0.25">
      <c r="A1671" s="2" t="str" cm="1">
        <f t="array" ref="A1671">choice(Salles!A:A,1,Settings!$B$16)</f>
        <v>Salle45</v>
      </c>
      <c r="B1671" s="3" cm="1">
        <f t="array" ref="B1671">alea_date(Settings!$B$11,360,-1,Settings!$B$16)</f>
        <v>46238.5</v>
      </c>
      <c r="C1671" s="20" cm="1">
        <f t="array" ref="C1671">B1671+TIME(alea_int(1,4,Settings!$B$16),0,0)</f>
        <v>46238.666666666664</v>
      </c>
    </row>
    <row r="1672" spans="1:3" ht="15.75" customHeight="1" x14ac:dyDescent="0.25">
      <c r="A1672" s="2" t="str" cm="1">
        <f t="array" ref="A1672">choice(Salles!A:A,1,Settings!$B$16)</f>
        <v>Salle1</v>
      </c>
      <c r="B1672" s="3" cm="1">
        <f t="array" ref="B1672">alea_date(Settings!$B$11,360,-1,Settings!$B$16)</f>
        <v>46199.291666666664</v>
      </c>
      <c r="C1672" s="20" cm="1">
        <f t="array" ref="C1672">B1672+TIME(alea_int(1,4,Settings!$B$16),0,0)</f>
        <v>46199.458333333328</v>
      </c>
    </row>
    <row r="1673" spans="1:3" ht="15.75" customHeight="1" x14ac:dyDescent="0.25">
      <c r="A1673" s="2" t="str" cm="1">
        <f t="array" ref="A1673">choice(Salles!A:A,1,Settings!$B$16)</f>
        <v>Salle6</v>
      </c>
      <c r="B1673" s="3" cm="1">
        <f t="array" ref="B1673">alea_date(Settings!$B$11,360,-1,Settings!$B$16)</f>
        <v>46372.583333333336</v>
      </c>
      <c r="C1673" s="20" cm="1">
        <f t="array" ref="C1673">B1673+TIME(alea_int(1,4,Settings!$B$16),0,0)</f>
        <v>46372.75</v>
      </c>
    </row>
    <row r="1674" spans="1:3" ht="15.75" customHeight="1" x14ac:dyDescent="0.25">
      <c r="A1674" s="2" t="str" cm="1">
        <f t="array" ref="A1674">choice(Salles!A:A,1,Settings!$B$16)</f>
        <v>Salle40</v>
      </c>
      <c r="B1674" s="3" cm="1">
        <f t="array" ref="B1674">alea_date(Settings!$B$11,360,-1,Settings!$B$16)</f>
        <v>46377.583333333336</v>
      </c>
      <c r="C1674" s="20" cm="1">
        <f t="array" ref="C1674">B1674+TIME(alea_int(1,4,Settings!$B$16),0,0)</f>
        <v>46377.75</v>
      </c>
    </row>
    <row r="1675" spans="1:3" ht="15.75" customHeight="1" x14ac:dyDescent="0.25">
      <c r="A1675" s="2" t="str" cm="1">
        <f t="array" ref="A1675">choice(Salles!A:A,1,Settings!$B$16)</f>
        <v>Salle1</v>
      </c>
      <c r="B1675" s="3" cm="1">
        <f t="array" ref="B1675">alea_date(Settings!$B$11,360,-1,Settings!$B$16)</f>
        <v>46141.541666666664</v>
      </c>
      <c r="C1675" s="20" cm="1">
        <f t="array" ref="C1675">B1675+TIME(alea_int(1,4,Settings!$B$16),0,0)</f>
        <v>46141.708333333328</v>
      </c>
    </row>
    <row r="1676" spans="1:3" ht="15.75" customHeight="1" x14ac:dyDescent="0.25">
      <c r="A1676" s="2" t="str" cm="1">
        <f t="array" ref="A1676">choice(Salles!A:A,1,Settings!$B$16)</f>
        <v>Salle70</v>
      </c>
      <c r="B1676" s="3" cm="1">
        <f t="array" ref="B1676">alea_date(Settings!$B$11,360,-1,Settings!$B$16)</f>
        <v>46271.291666666664</v>
      </c>
      <c r="C1676" s="20" cm="1">
        <f t="array" ref="C1676">B1676+TIME(alea_int(1,4,Settings!$B$16),0,0)</f>
        <v>46271.458333333328</v>
      </c>
    </row>
    <row r="1677" spans="1:3" ht="15.75" customHeight="1" x14ac:dyDescent="0.25">
      <c r="A1677" s="2" t="str" cm="1">
        <f t="array" ref="A1677">choice(Salles!A:A,1,Settings!$B$16)</f>
        <v>Salle34</v>
      </c>
      <c r="B1677" s="3" cm="1">
        <f t="array" ref="B1677">alea_date(Settings!$B$11,360,-1,Settings!$B$16)</f>
        <v>46313.416666666664</v>
      </c>
      <c r="C1677" s="20" cm="1">
        <f t="array" ref="C1677">B1677+TIME(alea_int(1,4,Settings!$B$16),0,0)</f>
        <v>46313.583333333328</v>
      </c>
    </row>
    <row r="1678" spans="1:3" ht="15.75" customHeight="1" x14ac:dyDescent="0.25">
      <c r="A1678" s="2" t="str" cm="1">
        <f t="array" ref="A1678">choice(Salles!A:A,1,Settings!$B$16)</f>
        <v>Salle47</v>
      </c>
      <c r="B1678" s="3" cm="1">
        <f t="array" ref="B1678">alea_date(Settings!$B$11,360,-1,Settings!$B$16)</f>
        <v>46177.375</v>
      </c>
      <c r="C1678" s="20" cm="1">
        <f t="array" ref="C1678">B1678+TIME(alea_int(1,4,Settings!$B$16),0,0)</f>
        <v>46177.541666666664</v>
      </c>
    </row>
    <row r="1679" spans="1:3" ht="15.75" customHeight="1" x14ac:dyDescent="0.25">
      <c r="A1679" s="2" t="str" cm="1">
        <f t="array" ref="A1679">choice(Salles!A:A,1,Settings!$B$16)</f>
        <v>Salle42</v>
      </c>
      <c r="B1679" s="3" cm="1">
        <f t="array" ref="B1679">alea_date(Settings!$B$11,360,-1,Settings!$B$16)</f>
        <v>46216.541666666664</v>
      </c>
      <c r="C1679" s="20" cm="1">
        <f t="array" ref="C1679">B1679+TIME(alea_int(1,4,Settings!$B$16),0,0)</f>
        <v>46216.708333333328</v>
      </c>
    </row>
    <row r="1680" spans="1:3" ht="15.75" customHeight="1" x14ac:dyDescent="0.25">
      <c r="A1680" s="2" t="str" cm="1">
        <f t="array" ref="A1680">choice(Salles!A:A,1,Settings!$B$16)</f>
        <v>Salle22</v>
      </c>
      <c r="B1680" s="3" cm="1">
        <f t="array" ref="B1680">alea_date(Settings!$B$11,360,-1,Settings!$B$16)</f>
        <v>46168.375</v>
      </c>
      <c r="C1680" s="20" cm="1">
        <f t="array" ref="C1680">B1680+TIME(alea_int(1,4,Settings!$B$16),0,0)</f>
        <v>46168.541666666664</v>
      </c>
    </row>
    <row r="1681" spans="1:3" ht="15.75" customHeight="1" x14ac:dyDescent="0.25">
      <c r="A1681" s="2" t="str" cm="1">
        <f t="array" ref="A1681">choice(Salles!A:A,1,Settings!$B$16)</f>
        <v>Salle33</v>
      </c>
      <c r="B1681" s="3" cm="1">
        <f t="array" ref="B1681">alea_date(Settings!$B$11,360,-1,Settings!$B$16)</f>
        <v>46155.541666666664</v>
      </c>
      <c r="C1681" s="20" cm="1">
        <f t="array" ref="C1681">B1681+TIME(alea_int(1,4,Settings!$B$16),0,0)</f>
        <v>46155.708333333328</v>
      </c>
    </row>
    <row r="1682" spans="1:3" ht="15.75" customHeight="1" x14ac:dyDescent="0.25">
      <c r="A1682" s="2" t="str" cm="1">
        <f t="array" ref="A1682">choice(Salles!A:A,1,Settings!$B$16)</f>
        <v>Salle7</v>
      </c>
      <c r="B1682" s="3" cm="1">
        <f t="array" ref="B1682">alea_date(Settings!$B$11,360,-1,Settings!$B$16)</f>
        <v>46110.583333333336</v>
      </c>
      <c r="C1682" s="20" cm="1">
        <f t="array" ref="C1682">B1682+TIME(alea_int(1,4,Settings!$B$16),0,0)</f>
        <v>46110.75</v>
      </c>
    </row>
    <row r="1683" spans="1:3" ht="15.75" customHeight="1" x14ac:dyDescent="0.25">
      <c r="A1683" s="2" t="str" cm="1">
        <f t="array" ref="A1683">choice(Salles!A:A,1,Settings!$B$16)</f>
        <v>Salle18</v>
      </c>
      <c r="B1683" s="3" cm="1">
        <f t="array" ref="B1683">alea_date(Settings!$B$11,360,-1,Settings!$B$16)</f>
        <v>46088.416666666664</v>
      </c>
      <c r="C1683" s="20" cm="1">
        <f t="array" ref="C1683">B1683+TIME(alea_int(1,4,Settings!$B$16),0,0)</f>
        <v>46088.583333333328</v>
      </c>
    </row>
    <row r="1684" spans="1:3" ht="15.75" customHeight="1" x14ac:dyDescent="0.25">
      <c r="A1684" s="2" t="str" cm="1">
        <f t="array" ref="A1684">choice(Salles!A:A,1,Settings!$B$16)</f>
        <v>Salle21</v>
      </c>
      <c r="B1684" s="3" cm="1">
        <f t="array" ref="B1684">alea_date(Settings!$B$11,360,-1,Settings!$B$16)</f>
        <v>46345.625</v>
      </c>
      <c r="C1684" s="20" cm="1">
        <f t="array" ref="C1684">B1684+TIME(alea_int(1,4,Settings!$B$16),0,0)</f>
        <v>46345.791666666664</v>
      </c>
    </row>
    <row r="1685" spans="1:3" ht="15.75" customHeight="1" x14ac:dyDescent="0.25">
      <c r="A1685" s="2" t="str" cm="1">
        <f t="array" ref="A1685">choice(Salles!A:A,1,Settings!$B$16)</f>
        <v>Salle43</v>
      </c>
      <c r="B1685" s="3" cm="1">
        <f t="array" ref="B1685">alea_date(Settings!$B$11,360,-1,Settings!$B$16)</f>
        <v>46209.291666666664</v>
      </c>
      <c r="C1685" s="20" cm="1">
        <f t="array" ref="C1685">B1685+TIME(alea_int(1,4,Settings!$B$16),0,0)</f>
        <v>46209.458333333328</v>
      </c>
    </row>
    <row r="1686" spans="1:3" ht="15.75" customHeight="1" x14ac:dyDescent="0.25">
      <c r="A1686" s="2" t="str" cm="1">
        <f t="array" ref="A1686">choice(Salles!A:A,1,Settings!$B$16)</f>
        <v>Salle30</v>
      </c>
      <c r="B1686" s="3" cm="1">
        <f t="array" ref="B1686">alea_date(Settings!$B$11,360,-1,Settings!$B$16)</f>
        <v>46196.416666666664</v>
      </c>
      <c r="C1686" s="20" cm="1">
        <f t="array" ref="C1686">B1686+TIME(alea_int(1,4,Settings!$B$16),0,0)</f>
        <v>46196.583333333328</v>
      </c>
    </row>
    <row r="1687" spans="1:3" ht="15.75" customHeight="1" x14ac:dyDescent="0.25">
      <c r="A1687" s="2" t="str" cm="1">
        <f t="array" ref="A1687">choice(Salles!A:A,1,Settings!$B$16)</f>
        <v>Salle39</v>
      </c>
      <c r="B1687" s="3" cm="1">
        <f t="array" ref="B1687">alea_date(Settings!$B$11,360,-1,Settings!$B$16)</f>
        <v>46274.458333333336</v>
      </c>
      <c r="C1687" s="20" cm="1">
        <f t="array" ref="C1687">B1687+TIME(alea_int(1,4,Settings!$B$16),0,0)</f>
        <v>46274.625</v>
      </c>
    </row>
    <row r="1688" spans="1:3" ht="15.75" customHeight="1" x14ac:dyDescent="0.25">
      <c r="A1688" s="2" t="str" cm="1">
        <f t="array" ref="A1688">choice(Salles!A:A,1,Settings!$B$16)</f>
        <v>Salle3</v>
      </c>
      <c r="B1688" s="3" cm="1">
        <f t="array" ref="B1688">alea_date(Settings!$B$11,360,-1,Settings!$B$16)</f>
        <v>46359.541666666664</v>
      </c>
      <c r="C1688" s="20" cm="1">
        <f t="array" ref="C1688">B1688+TIME(alea_int(1,4,Settings!$B$16),0,0)</f>
        <v>46359.708333333328</v>
      </c>
    </row>
    <row r="1689" spans="1:3" ht="15.75" customHeight="1" x14ac:dyDescent="0.25">
      <c r="A1689" s="2" t="str" cm="1">
        <f t="array" ref="A1689">choice(Salles!A:A,1,Settings!$B$16)</f>
        <v>Salle25</v>
      </c>
      <c r="B1689" s="3" cm="1">
        <f t="array" ref="B1689">alea_date(Settings!$B$11,360,-1,Settings!$B$16)</f>
        <v>46030.333333333336</v>
      </c>
      <c r="C1689" s="20" cm="1">
        <f t="array" ref="C1689">B1689+TIME(alea_int(1,4,Settings!$B$16),0,0)</f>
        <v>46030.5</v>
      </c>
    </row>
    <row r="1690" spans="1:3" ht="15.75" customHeight="1" x14ac:dyDescent="0.25">
      <c r="A1690" s="2" t="str" cm="1">
        <f t="array" ref="A1690">choice(Salles!A:A,1,Settings!$B$16)</f>
        <v>Salle65</v>
      </c>
      <c r="B1690" s="3" cm="1">
        <f t="array" ref="B1690">alea_date(Settings!$B$11,360,-1,Settings!$B$16)</f>
        <v>46106.416666666664</v>
      </c>
      <c r="C1690" s="20" cm="1">
        <f t="array" ref="C1690">B1690+TIME(alea_int(1,4,Settings!$B$16),0,0)</f>
        <v>46106.583333333328</v>
      </c>
    </row>
    <row r="1691" spans="1:3" ht="15.75" customHeight="1" x14ac:dyDescent="0.25">
      <c r="A1691" s="2" t="str" cm="1">
        <f t="array" ref="A1691">choice(Salles!A:A,1,Settings!$B$16)</f>
        <v>Salle12</v>
      </c>
      <c r="B1691" s="3" cm="1">
        <f t="array" ref="B1691">alea_date(Settings!$B$11,360,-1,Settings!$B$16)</f>
        <v>46274.541666666664</v>
      </c>
      <c r="C1691" s="20" cm="1">
        <f t="array" ref="C1691">B1691+TIME(alea_int(1,4,Settings!$B$16),0,0)</f>
        <v>46274.708333333328</v>
      </c>
    </row>
    <row r="1692" spans="1:3" ht="15.75" customHeight="1" x14ac:dyDescent="0.25">
      <c r="A1692" s="2" t="str" cm="1">
        <f t="array" ref="A1692">choice(Salles!A:A,1,Settings!$B$16)</f>
        <v>Salle21</v>
      </c>
      <c r="B1692" s="3" cm="1">
        <f t="array" ref="B1692">alea_date(Settings!$B$11,360,-1,Settings!$B$16)</f>
        <v>46192.416666666664</v>
      </c>
      <c r="C1692" s="20" cm="1">
        <f t="array" ref="C1692">B1692+TIME(alea_int(1,4,Settings!$B$16),0,0)</f>
        <v>46192.583333333328</v>
      </c>
    </row>
    <row r="1693" spans="1:3" ht="15.75" customHeight="1" x14ac:dyDescent="0.25">
      <c r="A1693" s="2" t="str" cm="1">
        <f t="array" ref="A1693">choice(Salles!A:A,1,Settings!$B$16)</f>
        <v>Salle51</v>
      </c>
      <c r="B1693" s="3" cm="1">
        <f t="array" ref="B1693">alea_date(Settings!$B$11,360,-1,Settings!$B$16)</f>
        <v>46178.583333333336</v>
      </c>
      <c r="C1693" s="20" cm="1">
        <f t="array" ref="C1693">B1693+TIME(alea_int(1,4,Settings!$B$16),0,0)</f>
        <v>46178.75</v>
      </c>
    </row>
    <row r="1694" spans="1:3" ht="15.75" customHeight="1" x14ac:dyDescent="0.25">
      <c r="A1694" s="2" t="str" cm="1">
        <f t="array" ref="A1694">choice(Salles!A:A,1,Settings!$B$16)</f>
        <v>Salle34</v>
      </c>
      <c r="B1694" s="3" cm="1">
        <f t="array" ref="B1694">alea_date(Settings!$B$11,360,-1,Settings!$B$16)</f>
        <v>46260.291666666664</v>
      </c>
      <c r="C1694" s="20" cm="1">
        <f t="array" ref="C1694">B1694+TIME(alea_int(1,4,Settings!$B$16),0,0)</f>
        <v>46260.458333333328</v>
      </c>
    </row>
    <row r="1695" spans="1:3" ht="15.75" customHeight="1" x14ac:dyDescent="0.25">
      <c r="A1695" s="2" t="str" cm="1">
        <f t="array" ref="A1695">choice(Salles!A:A,1,Settings!$B$16)</f>
        <v>Salle27</v>
      </c>
      <c r="B1695" s="3" cm="1">
        <f t="array" ref="B1695">alea_date(Settings!$B$11,360,-1,Settings!$B$16)</f>
        <v>46212.333333333336</v>
      </c>
      <c r="C1695" s="20" cm="1">
        <f t="array" ref="C1695">B1695+TIME(alea_int(1,4,Settings!$B$16),0,0)</f>
        <v>46212.5</v>
      </c>
    </row>
    <row r="1696" spans="1:3" ht="15.75" customHeight="1" x14ac:dyDescent="0.25">
      <c r="A1696" s="2" t="str" cm="1">
        <f t="array" ref="A1696">choice(Salles!A:A,1,Settings!$B$16)</f>
        <v>Salle57</v>
      </c>
      <c r="B1696" s="3" cm="1">
        <f t="array" ref="B1696">alea_date(Settings!$B$11,360,-1,Settings!$B$16)</f>
        <v>46332.25</v>
      </c>
      <c r="C1696" s="20" cm="1">
        <f t="array" ref="C1696">B1696+TIME(alea_int(1,4,Settings!$B$16),0,0)</f>
        <v>46332.416666666664</v>
      </c>
    </row>
    <row r="1697" spans="1:3" ht="15.75" customHeight="1" x14ac:dyDescent="0.25">
      <c r="A1697" s="2" t="str" cm="1">
        <f t="array" ref="A1697">choice(Salles!A:A,1,Settings!$B$16)</f>
        <v>Salle27</v>
      </c>
      <c r="B1697" s="3" cm="1">
        <f t="array" ref="B1697">alea_date(Settings!$B$11,360,-1,Settings!$B$16)</f>
        <v>46082.25</v>
      </c>
      <c r="C1697" s="20" cm="1">
        <f t="array" ref="C1697">B1697+TIME(alea_int(1,4,Settings!$B$16),0,0)</f>
        <v>46082.416666666664</v>
      </c>
    </row>
    <row r="1698" spans="1:3" ht="15.75" customHeight="1" x14ac:dyDescent="0.25">
      <c r="A1698" s="2" t="str" cm="1">
        <f t="array" ref="A1698">choice(Salles!A:A,1,Settings!$B$16)</f>
        <v>Salle30</v>
      </c>
      <c r="B1698" s="3" cm="1">
        <f t="array" ref="B1698">alea_date(Settings!$B$11,360,-1,Settings!$B$16)</f>
        <v>46326.291666666664</v>
      </c>
      <c r="C1698" s="20" cm="1">
        <f t="array" ref="C1698">B1698+TIME(alea_int(1,4,Settings!$B$16),0,0)</f>
        <v>46326.458333333328</v>
      </c>
    </row>
    <row r="1699" spans="1:3" ht="15.75" customHeight="1" x14ac:dyDescent="0.25">
      <c r="A1699" s="2" t="str" cm="1">
        <f t="array" ref="A1699">choice(Salles!A:A,1,Settings!$B$16)</f>
        <v>Salle68</v>
      </c>
      <c r="B1699" s="3" cm="1">
        <f t="array" ref="B1699">alea_date(Settings!$B$11,360,-1,Settings!$B$16)</f>
        <v>46054.25</v>
      </c>
      <c r="C1699" s="20" cm="1">
        <f t="array" ref="C1699">B1699+TIME(alea_int(1,4,Settings!$B$16),0,0)</f>
        <v>46054.416666666664</v>
      </c>
    </row>
    <row r="1700" spans="1:3" ht="15.75" customHeight="1" x14ac:dyDescent="0.25">
      <c r="A1700" s="2" t="str" cm="1">
        <f t="array" ref="A1700">choice(Salles!A:A,1,Settings!$B$16)</f>
        <v>Salle51</v>
      </c>
      <c r="B1700" s="3" cm="1">
        <f t="array" ref="B1700">alea_date(Settings!$B$11,360,-1,Settings!$B$16)</f>
        <v>46125.291666666664</v>
      </c>
      <c r="C1700" s="20" cm="1">
        <f t="array" ref="C1700">B1700+TIME(alea_int(1,4,Settings!$B$16),0,0)</f>
        <v>46125.458333333328</v>
      </c>
    </row>
    <row r="1701" spans="1:3" ht="15.75" customHeight="1" x14ac:dyDescent="0.25">
      <c r="A1701" s="2" t="str" cm="1">
        <f t="array" ref="A1701">choice(Salles!A:A,1,Settings!$B$16)</f>
        <v>Salle70</v>
      </c>
      <c r="B1701" s="3" cm="1">
        <f t="array" ref="B1701">alea_date(Settings!$B$11,360,-1,Settings!$B$16)</f>
        <v>46183.25</v>
      </c>
      <c r="C1701" s="20" cm="1">
        <f t="array" ref="C1701">B1701+TIME(alea_int(1,4,Settings!$B$16),0,0)</f>
        <v>46183.416666666664</v>
      </c>
    </row>
    <row r="1702" spans="1:3" ht="15.75" customHeight="1" x14ac:dyDescent="0.25">
      <c r="A1702" s="2" t="str" cm="1">
        <f t="array" ref="A1702">choice(Salles!A:A,1,Settings!$B$16)</f>
        <v>Salle70</v>
      </c>
      <c r="B1702" s="3" cm="1">
        <f t="array" ref="B1702">alea_date(Settings!$B$11,360,-1,Settings!$B$16)</f>
        <v>46293.5</v>
      </c>
      <c r="C1702" s="20" cm="1">
        <f t="array" ref="C1702">B1702+TIME(alea_int(1,4,Settings!$B$16),0,0)</f>
        <v>46293.666666666664</v>
      </c>
    </row>
    <row r="1703" spans="1:3" ht="15.75" customHeight="1" x14ac:dyDescent="0.25">
      <c r="A1703" s="2" t="str" cm="1">
        <f t="array" ref="A1703">choice(Salles!A:A,1,Settings!$B$16)</f>
        <v>Salle14</v>
      </c>
      <c r="B1703" s="3" cm="1">
        <f t="array" ref="B1703">alea_date(Settings!$B$11,360,-1,Settings!$B$16)</f>
        <v>46221.375</v>
      </c>
      <c r="C1703" s="20" cm="1">
        <f t="array" ref="C1703">B1703+TIME(alea_int(1,4,Settings!$B$16),0,0)</f>
        <v>46221.541666666664</v>
      </c>
    </row>
    <row r="1704" spans="1:3" ht="15.75" customHeight="1" x14ac:dyDescent="0.25">
      <c r="A1704" s="2" t="str" cm="1">
        <f t="array" ref="A1704">choice(Salles!A:A,1,Settings!$B$16)</f>
        <v>Salle44</v>
      </c>
      <c r="B1704" s="3" cm="1">
        <f t="array" ref="B1704">alea_date(Settings!$B$11,360,-1,Settings!$B$16)</f>
        <v>46295.25</v>
      </c>
      <c r="C1704" s="20" cm="1">
        <f t="array" ref="C1704">B1704+TIME(alea_int(1,4,Settings!$B$16),0,0)</f>
        <v>46295.416666666664</v>
      </c>
    </row>
    <row r="1705" spans="1:3" ht="15.75" customHeight="1" x14ac:dyDescent="0.25">
      <c r="A1705" s="2" t="str" cm="1">
        <f t="array" ref="A1705">choice(Salles!A:A,1,Settings!$B$16)</f>
        <v>Salle53</v>
      </c>
      <c r="B1705" s="3" cm="1">
        <f t="array" ref="B1705">alea_date(Settings!$B$11,360,-1,Settings!$B$16)</f>
        <v>46173.333333333336</v>
      </c>
      <c r="C1705" s="20" cm="1">
        <f t="array" ref="C1705">B1705+TIME(alea_int(1,4,Settings!$B$16),0,0)</f>
        <v>46173.5</v>
      </c>
    </row>
    <row r="1706" spans="1:3" ht="15.75" customHeight="1" x14ac:dyDescent="0.25">
      <c r="A1706" s="2" t="str" cm="1">
        <f t="array" ref="A1706">choice(Salles!A:A,1,Settings!$B$16)</f>
        <v>Salle53</v>
      </c>
      <c r="B1706" s="3" cm="1">
        <f t="array" ref="B1706">alea_date(Settings!$B$11,360,-1,Settings!$B$16)</f>
        <v>46128.541666666664</v>
      </c>
      <c r="C1706" s="20" cm="1">
        <f t="array" ref="C1706">B1706+TIME(alea_int(1,4,Settings!$B$16),0,0)</f>
        <v>46128.708333333328</v>
      </c>
    </row>
    <row r="1707" spans="1:3" ht="15.75" customHeight="1" x14ac:dyDescent="0.25">
      <c r="A1707" s="2" t="str" cm="1">
        <f t="array" ref="A1707">choice(Salles!A:A,1,Settings!$B$16)</f>
        <v>Salle25</v>
      </c>
      <c r="B1707" s="3" cm="1">
        <f t="array" ref="B1707">alea_date(Settings!$B$11,360,-1,Settings!$B$16)</f>
        <v>46030.5</v>
      </c>
      <c r="C1707" s="20" cm="1">
        <f t="array" ref="C1707">B1707+TIME(alea_int(1,4,Settings!$B$16),0,0)</f>
        <v>46030.666666666664</v>
      </c>
    </row>
    <row r="1708" spans="1:3" ht="15.75" customHeight="1" x14ac:dyDescent="0.25">
      <c r="A1708" s="2" t="str" cm="1">
        <f t="array" ref="A1708">choice(Salles!A:A,1,Settings!$B$16)</f>
        <v>Salle22</v>
      </c>
      <c r="B1708" s="3" cm="1">
        <f t="array" ref="B1708">alea_date(Settings!$B$11,360,-1,Settings!$B$16)</f>
        <v>46044.541666666664</v>
      </c>
      <c r="C1708" s="20" cm="1">
        <f t="array" ref="C1708">B1708+TIME(alea_int(1,4,Settings!$B$16),0,0)</f>
        <v>46044.708333333328</v>
      </c>
    </row>
    <row r="1709" spans="1:3" ht="15.75" customHeight="1" x14ac:dyDescent="0.25">
      <c r="A1709" s="2" t="str" cm="1">
        <f t="array" ref="A1709">choice(Salles!A:A,1,Settings!$B$16)</f>
        <v>Salle44</v>
      </c>
      <c r="B1709" s="3" cm="1">
        <f t="array" ref="B1709">alea_date(Settings!$B$11,360,-1,Settings!$B$16)</f>
        <v>46215.5</v>
      </c>
      <c r="C1709" s="20" cm="1">
        <f t="array" ref="C1709">B1709+TIME(alea_int(1,4,Settings!$B$16),0,0)</f>
        <v>46215.666666666664</v>
      </c>
    </row>
    <row r="1710" spans="1:3" ht="15.75" customHeight="1" x14ac:dyDescent="0.25">
      <c r="A1710" s="2" t="str" cm="1">
        <f t="array" ref="A1710">choice(Salles!A:A,1,Settings!$B$16)</f>
        <v>Salle66</v>
      </c>
      <c r="B1710" s="3" cm="1">
        <f t="array" ref="B1710">alea_date(Settings!$B$11,360,-1,Settings!$B$16)</f>
        <v>46131.25</v>
      </c>
      <c r="C1710" s="20" cm="1">
        <f t="array" ref="C1710">B1710+TIME(alea_int(1,4,Settings!$B$16),0,0)</f>
        <v>46131.416666666664</v>
      </c>
    </row>
    <row r="1711" spans="1:3" ht="15.75" customHeight="1" x14ac:dyDescent="0.25">
      <c r="A1711" s="2" t="str" cm="1">
        <f t="array" ref="A1711">choice(Salles!A:A,1,Settings!$B$16)</f>
        <v>Salle44</v>
      </c>
      <c r="B1711" s="3" cm="1">
        <f t="array" ref="B1711">alea_date(Settings!$B$11,360,-1,Settings!$B$16)</f>
        <v>46145.375</v>
      </c>
      <c r="C1711" s="20" cm="1">
        <f t="array" ref="C1711">B1711+TIME(alea_int(1,4,Settings!$B$16),0,0)</f>
        <v>46145.541666666664</v>
      </c>
    </row>
    <row r="1712" spans="1:3" ht="15.75" customHeight="1" x14ac:dyDescent="0.25">
      <c r="A1712" s="2" t="str" cm="1">
        <f t="array" ref="A1712">choice(Salles!A:A,1,Settings!$B$16)</f>
        <v>Salle35</v>
      </c>
      <c r="B1712" s="3" cm="1">
        <f t="array" ref="B1712">alea_date(Settings!$B$11,360,-1,Settings!$B$16)</f>
        <v>46191.416666666664</v>
      </c>
      <c r="C1712" s="20" cm="1">
        <f t="array" ref="C1712">B1712+TIME(alea_int(1,4,Settings!$B$16),0,0)</f>
        <v>46191.583333333328</v>
      </c>
    </row>
    <row r="1713" spans="1:3" ht="15.75" customHeight="1" x14ac:dyDescent="0.25">
      <c r="A1713" s="2" t="str" cm="1">
        <f t="array" ref="A1713">choice(Salles!A:A,1,Settings!$B$16)</f>
        <v>Salle23</v>
      </c>
      <c r="B1713" s="3" cm="1">
        <f t="array" ref="B1713">alea_date(Settings!$B$11,360,-1,Settings!$B$16)</f>
        <v>46186.625</v>
      </c>
      <c r="C1713" s="20" cm="1">
        <f t="array" ref="C1713">B1713+TIME(alea_int(1,4,Settings!$B$16),0,0)</f>
        <v>46186.791666666664</v>
      </c>
    </row>
    <row r="1714" spans="1:3" ht="15.75" customHeight="1" x14ac:dyDescent="0.25">
      <c r="A1714" s="2" t="str" cm="1">
        <f t="array" ref="A1714">choice(Salles!A:A,1,Settings!$B$16)</f>
        <v>Salle8</v>
      </c>
      <c r="B1714" s="3" cm="1">
        <f t="array" ref="B1714">alea_date(Settings!$B$11,360,-1,Settings!$B$16)</f>
        <v>46078.583333333336</v>
      </c>
      <c r="C1714" s="20" cm="1">
        <f t="array" ref="C1714">B1714+TIME(alea_int(1,4,Settings!$B$16),0,0)</f>
        <v>46078.75</v>
      </c>
    </row>
    <row r="1715" spans="1:3" ht="15.75" customHeight="1" x14ac:dyDescent="0.25">
      <c r="A1715" s="2" t="str" cm="1">
        <f t="array" ref="A1715">choice(Salles!A:A,1,Settings!$B$16)</f>
        <v>Salle12</v>
      </c>
      <c r="B1715" s="3" cm="1">
        <f t="array" ref="B1715">alea_date(Settings!$B$11,360,-1,Settings!$B$16)</f>
        <v>46162.25</v>
      </c>
      <c r="C1715" s="20" cm="1">
        <f t="array" ref="C1715">B1715+TIME(alea_int(1,4,Settings!$B$16),0,0)</f>
        <v>46162.416666666664</v>
      </c>
    </row>
    <row r="1716" spans="1:3" ht="15.75" customHeight="1" x14ac:dyDescent="0.25">
      <c r="A1716" s="2" t="str" cm="1">
        <f t="array" ref="A1716">choice(Salles!A:A,1,Settings!$B$16)</f>
        <v>Salle3</v>
      </c>
      <c r="B1716" s="3" cm="1">
        <f t="array" ref="B1716">alea_date(Settings!$B$11,360,-1,Settings!$B$16)</f>
        <v>46138.583333333336</v>
      </c>
      <c r="C1716" s="20" cm="1">
        <f t="array" ref="C1716">B1716+TIME(alea_int(1,4,Settings!$B$16),0,0)</f>
        <v>46138.75</v>
      </c>
    </row>
    <row r="1717" spans="1:3" ht="15.75" customHeight="1" x14ac:dyDescent="0.25">
      <c r="A1717" s="2" t="str" cm="1">
        <f t="array" ref="A1717">choice(Salles!A:A,1,Settings!$B$16)</f>
        <v>Salle23</v>
      </c>
      <c r="B1717" s="3" cm="1">
        <f t="array" ref="B1717">alea_date(Settings!$B$11,360,-1,Settings!$B$16)</f>
        <v>46227.5</v>
      </c>
      <c r="C1717" s="20" cm="1">
        <f t="array" ref="C1717">B1717+TIME(alea_int(1,4,Settings!$B$16),0,0)</f>
        <v>46227.666666666664</v>
      </c>
    </row>
    <row r="1718" spans="1:3" ht="15.75" customHeight="1" x14ac:dyDescent="0.25">
      <c r="A1718" s="2" t="str" cm="1">
        <f t="array" ref="A1718">choice(Salles!A:A,1,Settings!$B$16)</f>
        <v>Salle41</v>
      </c>
      <c r="B1718" s="3" cm="1">
        <f t="array" ref="B1718">alea_date(Settings!$B$11,360,-1,Settings!$B$16)</f>
        <v>46067.416666666664</v>
      </c>
      <c r="C1718" s="20" cm="1">
        <f t="array" ref="C1718">B1718+TIME(alea_int(1,4,Settings!$B$16),0,0)</f>
        <v>46067.583333333328</v>
      </c>
    </row>
    <row r="1719" spans="1:3" ht="15.75" customHeight="1" x14ac:dyDescent="0.25">
      <c r="A1719" s="2" t="str" cm="1">
        <f t="array" ref="A1719">choice(Salles!A:A,1,Settings!$B$16)</f>
        <v>Salle9</v>
      </c>
      <c r="B1719" s="3" cm="1">
        <f t="array" ref="B1719">alea_date(Settings!$B$11,360,-1,Settings!$B$16)</f>
        <v>46156.458333333336</v>
      </c>
      <c r="C1719" s="20" cm="1">
        <f t="array" ref="C1719">B1719+TIME(alea_int(1,4,Settings!$B$16),0,0)</f>
        <v>46156.625</v>
      </c>
    </row>
    <row r="1720" spans="1:3" ht="15.75" customHeight="1" x14ac:dyDescent="0.25">
      <c r="A1720" s="2" t="str" cm="1">
        <f t="array" ref="A1720">choice(Salles!A:A,1,Settings!$B$16)</f>
        <v>Salle16</v>
      </c>
      <c r="B1720" s="3" cm="1">
        <f t="array" ref="B1720">alea_date(Settings!$B$11,360,-1,Settings!$B$16)</f>
        <v>46337.625</v>
      </c>
      <c r="C1720" s="20" cm="1">
        <f t="array" ref="C1720">B1720+TIME(alea_int(1,4,Settings!$B$16),0,0)</f>
        <v>46337.791666666664</v>
      </c>
    </row>
    <row r="1721" spans="1:3" ht="15.75" customHeight="1" x14ac:dyDescent="0.25">
      <c r="A1721" s="2" t="str" cm="1">
        <f t="array" ref="A1721">choice(Salles!A:A,1,Settings!$B$16)</f>
        <v>Salle25</v>
      </c>
      <c r="B1721" s="3" cm="1">
        <f t="array" ref="B1721">alea_date(Settings!$B$11,360,-1,Settings!$B$16)</f>
        <v>46282.375</v>
      </c>
      <c r="C1721" s="20" cm="1">
        <f t="array" ref="C1721">B1721+TIME(alea_int(1,4,Settings!$B$16),0,0)</f>
        <v>46282.541666666664</v>
      </c>
    </row>
    <row r="1722" spans="1:3" ht="15.75" customHeight="1" x14ac:dyDescent="0.25">
      <c r="A1722" s="2" t="str" cm="1">
        <f t="array" ref="A1722">choice(Salles!A:A,1,Settings!$B$16)</f>
        <v>Salle17</v>
      </c>
      <c r="B1722" s="3" cm="1">
        <f t="array" ref="B1722">alea_date(Settings!$B$11,360,-1,Settings!$B$16)</f>
        <v>46161.583333333336</v>
      </c>
      <c r="C1722" s="20" cm="1">
        <f t="array" ref="C1722">B1722+TIME(alea_int(1,4,Settings!$B$16),0,0)</f>
        <v>46161.75</v>
      </c>
    </row>
    <row r="1723" spans="1:3" ht="15.75" customHeight="1" x14ac:dyDescent="0.25">
      <c r="A1723" s="2" t="str" cm="1">
        <f t="array" ref="A1723">choice(Salles!A:A,1,Settings!$B$16)</f>
        <v>Salle7</v>
      </c>
      <c r="B1723" s="3" cm="1">
        <f t="array" ref="B1723">alea_date(Settings!$B$11,360,-1,Settings!$B$16)</f>
        <v>46258.625</v>
      </c>
      <c r="C1723" s="20" cm="1">
        <f t="array" ref="C1723">B1723+TIME(alea_int(1,4,Settings!$B$16),0,0)</f>
        <v>46258.791666666664</v>
      </c>
    </row>
    <row r="1724" spans="1:3" ht="15.75" customHeight="1" x14ac:dyDescent="0.25">
      <c r="A1724" s="2" t="str" cm="1">
        <f t="array" ref="A1724">choice(Salles!A:A,1,Settings!$B$16)</f>
        <v>Salle47</v>
      </c>
      <c r="B1724" s="3" cm="1">
        <f t="array" ref="B1724">alea_date(Settings!$B$11,360,-1,Settings!$B$16)</f>
        <v>46162.25</v>
      </c>
      <c r="C1724" s="20" cm="1">
        <f t="array" ref="C1724">B1724+TIME(alea_int(1,4,Settings!$B$16),0,0)</f>
        <v>46162.416666666664</v>
      </c>
    </row>
    <row r="1725" spans="1:3" ht="15.75" customHeight="1" x14ac:dyDescent="0.25">
      <c r="A1725" s="2" t="str" cm="1">
        <f t="array" ref="A1725">choice(Salles!A:A,1,Settings!$B$16)</f>
        <v>Salle6</v>
      </c>
      <c r="B1725" s="3" cm="1">
        <f t="array" ref="B1725">alea_date(Settings!$B$11,360,-1,Settings!$B$16)</f>
        <v>46216.5</v>
      </c>
      <c r="C1725" s="20" cm="1">
        <f t="array" ref="C1725">B1725+TIME(alea_int(1,4,Settings!$B$16),0,0)</f>
        <v>46216.666666666664</v>
      </c>
    </row>
    <row r="1726" spans="1:3" ht="15.75" customHeight="1" x14ac:dyDescent="0.25">
      <c r="A1726" s="2" t="str" cm="1">
        <f t="array" ref="A1726">choice(Salles!A:A,1,Settings!$B$16)</f>
        <v>Salle1</v>
      </c>
      <c r="B1726" s="3" cm="1">
        <f t="array" ref="B1726">alea_date(Settings!$B$11,360,-1,Settings!$B$16)</f>
        <v>46112.625</v>
      </c>
      <c r="C1726" s="20" cm="1">
        <f t="array" ref="C1726">B1726+TIME(alea_int(1,4,Settings!$B$16),0,0)</f>
        <v>46112.791666666664</v>
      </c>
    </row>
    <row r="1727" spans="1:3" ht="15.75" customHeight="1" x14ac:dyDescent="0.25">
      <c r="A1727" s="2" t="str" cm="1">
        <f t="array" ref="A1727">choice(Salles!A:A,1,Settings!$B$16)</f>
        <v>Salle8</v>
      </c>
      <c r="B1727" s="3" cm="1">
        <f t="array" ref="B1727">alea_date(Settings!$B$11,360,-1,Settings!$B$16)</f>
        <v>46379.333333333336</v>
      </c>
      <c r="C1727" s="20" cm="1">
        <f t="array" ref="C1727">B1727+TIME(alea_int(1,4,Settings!$B$16),0,0)</f>
        <v>46379.5</v>
      </c>
    </row>
    <row r="1728" spans="1:3" ht="15.75" customHeight="1" x14ac:dyDescent="0.25">
      <c r="A1728" s="2" t="str" cm="1">
        <f t="array" ref="A1728">choice(Salles!A:A,1,Settings!$B$16)</f>
        <v>Salle57</v>
      </c>
      <c r="B1728" s="3" cm="1">
        <f t="array" ref="B1728">alea_date(Settings!$B$11,360,-1,Settings!$B$16)</f>
        <v>46316.583333333336</v>
      </c>
      <c r="C1728" s="20" cm="1">
        <f t="array" ref="C1728">B1728+TIME(alea_int(1,4,Settings!$B$16),0,0)</f>
        <v>46316.75</v>
      </c>
    </row>
    <row r="1729" spans="1:3" ht="15.75" customHeight="1" x14ac:dyDescent="0.25">
      <c r="A1729" s="2" t="str" cm="1">
        <f t="array" ref="A1729">choice(Salles!A:A,1,Settings!$B$16)</f>
        <v>Salle56</v>
      </c>
      <c r="B1729" s="3" cm="1">
        <f t="array" ref="B1729">alea_date(Settings!$B$11,360,-1,Settings!$B$16)</f>
        <v>46220.25</v>
      </c>
      <c r="C1729" s="20" cm="1">
        <f t="array" ref="C1729">B1729+TIME(alea_int(1,4,Settings!$B$16),0,0)</f>
        <v>46220.416666666664</v>
      </c>
    </row>
    <row r="1730" spans="1:3" ht="15.75" customHeight="1" x14ac:dyDescent="0.25">
      <c r="A1730" s="2" t="str" cm="1">
        <f t="array" ref="A1730">choice(Salles!A:A,1,Settings!$B$16)</f>
        <v>Salle68</v>
      </c>
      <c r="B1730" s="3" cm="1">
        <f t="array" ref="B1730">alea_date(Settings!$B$11,360,-1,Settings!$B$16)</f>
        <v>46093.625</v>
      </c>
      <c r="C1730" s="20" cm="1">
        <f t="array" ref="C1730">B1730+TIME(alea_int(1,4,Settings!$B$16),0,0)</f>
        <v>46093.791666666664</v>
      </c>
    </row>
    <row r="1731" spans="1:3" ht="15.75" customHeight="1" x14ac:dyDescent="0.25">
      <c r="A1731" s="2" t="str" cm="1">
        <f t="array" ref="A1731">choice(Salles!A:A,1,Settings!$B$16)</f>
        <v>Salle60</v>
      </c>
      <c r="B1731" s="3" cm="1">
        <f t="array" ref="B1731">alea_date(Settings!$B$11,360,-1,Settings!$B$16)</f>
        <v>46234.5</v>
      </c>
      <c r="C1731" s="20" cm="1">
        <f t="array" ref="C1731">B1731+TIME(alea_int(1,4,Settings!$B$16),0,0)</f>
        <v>46234.666666666664</v>
      </c>
    </row>
    <row r="1732" spans="1:3" ht="15.75" customHeight="1" x14ac:dyDescent="0.25">
      <c r="A1732" s="2" t="str" cm="1">
        <f t="array" ref="A1732">choice(Salles!A:A,1,Settings!$B$16)</f>
        <v>Salle19</v>
      </c>
      <c r="B1732" s="3" cm="1">
        <f t="array" ref="B1732">alea_date(Settings!$B$11,360,-1,Settings!$B$16)</f>
        <v>46313.375</v>
      </c>
      <c r="C1732" s="20" cm="1">
        <f t="array" ref="C1732">B1732+TIME(alea_int(1,4,Settings!$B$16),0,0)</f>
        <v>46313.541666666664</v>
      </c>
    </row>
    <row r="1733" spans="1:3" ht="15.75" customHeight="1" x14ac:dyDescent="0.25">
      <c r="A1733" s="2" t="str" cm="1">
        <f t="array" ref="A1733">choice(Salles!A:A,1,Settings!$B$16)</f>
        <v>Salle70</v>
      </c>
      <c r="B1733" s="3" cm="1">
        <f t="array" ref="B1733">alea_date(Settings!$B$11,360,-1,Settings!$B$16)</f>
        <v>46202.541666666664</v>
      </c>
      <c r="C1733" s="20" cm="1">
        <f t="array" ref="C1733">B1733+TIME(alea_int(1,4,Settings!$B$16),0,0)</f>
        <v>46202.708333333328</v>
      </c>
    </row>
    <row r="1734" spans="1:3" ht="15.75" customHeight="1" x14ac:dyDescent="0.25">
      <c r="A1734" s="2" t="str" cm="1">
        <f t="array" ref="A1734">choice(Salles!A:A,1,Settings!$B$16)</f>
        <v>Salle19</v>
      </c>
      <c r="B1734" s="3" cm="1">
        <f t="array" ref="B1734">alea_date(Settings!$B$11,360,-1,Settings!$B$16)</f>
        <v>46310.541666666664</v>
      </c>
      <c r="C1734" s="20" cm="1">
        <f t="array" ref="C1734">B1734+TIME(alea_int(1,4,Settings!$B$16),0,0)</f>
        <v>46310.708333333328</v>
      </c>
    </row>
    <row r="1735" spans="1:3" ht="15.75" customHeight="1" x14ac:dyDescent="0.25">
      <c r="A1735" s="2" t="str" cm="1">
        <f t="array" ref="A1735">choice(Salles!A:A,1,Settings!$B$16)</f>
        <v>Salle58</v>
      </c>
      <c r="B1735" s="3" cm="1">
        <f t="array" ref="B1735">alea_date(Settings!$B$11,360,-1,Settings!$B$16)</f>
        <v>46122.416666666664</v>
      </c>
      <c r="C1735" s="20" cm="1">
        <f t="array" ref="C1735">B1735+TIME(alea_int(1,4,Settings!$B$16),0,0)</f>
        <v>46122.583333333328</v>
      </c>
    </row>
    <row r="1736" spans="1:3" ht="15.75" customHeight="1" x14ac:dyDescent="0.25">
      <c r="A1736" s="2" t="str" cm="1">
        <f t="array" ref="A1736">choice(Salles!A:A,1,Settings!$B$16)</f>
        <v>Salle55</v>
      </c>
      <c r="B1736" s="3" cm="1">
        <f t="array" ref="B1736">alea_date(Settings!$B$11,360,-1,Settings!$B$16)</f>
        <v>46165.458333333336</v>
      </c>
      <c r="C1736" s="20" cm="1">
        <f t="array" ref="C1736">B1736+TIME(alea_int(1,4,Settings!$B$16),0,0)</f>
        <v>46165.625</v>
      </c>
    </row>
    <row r="1737" spans="1:3" ht="15.75" customHeight="1" x14ac:dyDescent="0.25">
      <c r="A1737" s="2" t="str" cm="1">
        <f t="array" ref="A1737">choice(Salles!A:A,1,Settings!$B$16)</f>
        <v>Salle9</v>
      </c>
      <c r="B1737" s="3" cm="1">
        <f t="array" ref="B1737">alea_date(Settings!$B$11,360,-1,Settings!$B$16)</f>
        <v>46110.333333333336</v>
      </c>
      <c r="C1737" s="20" cm="1">
        <f t="array" ref="C1737">B1737+TIME(alea_int(1,4,Settings!$B$16),0,0)</f>
        <v>46110.5</v>
      </c>
    </row>
    <row r="1738" spans="1:3" ht="15.75" customHeight="1" x14ac:dyDescent="0.25">
      <c r="A1738" s="2" t="str" cm="1">
        <f t="array" ref="A1738">choice(Salles!A:A,1,Settings!$B$16)</f>
        <v>Salle2</v>
      </c>
      <c r="B1738" s="3" cm="1">
        <f t="array" ref="B1738">alea_date(Settings!$B$11,360,-1,Settings!$B$16)</f>
        <v>46182.375</v>
      </c>
      <c r="C1738" s="20" cm="1">
        <f t="array" ref="C1738">B1738+TIME(alea_int(1,4,Settings!$B$16),0,0)</f>
        <v>46182.541666666664</v>
      </c>
    </row>
    <row r="1739" spans="1:3" ht="15.75" customHeight="1" x14ac:dyDescent="0.25">
      <c r="A1739" s="2" t="str" cm="1">
        <f t="array" ref="A1739">choice(Salles!A:A,1,Settings!$B$16)</f>
        <v>Salle18</v>
      </c>
      <c r="B1739" s="3" cm="1">
        <f t="array" ref="B1739">alea_date(Settings!$B$11,360,-1,Settings!$B$16)</f>
        <v>46137.375</v>
      </c>
      <c r="C1739" s="20" cm="1">
        <f t="array" ref="C1739">B1739+TIME(alea_int(1,4,Settings!$B$16),0,0)</f>
        <v>46137.541666666664</v>
      </c>
    </row>
    <row r="1740" spans="1:3" ht="15.75" customHeight="1" x14ac:dyDescent="0.25">
      <c r="A1740" s="2" t="str" cm="1">
        <f t="array" ref="A1740">choice(Salles!A:A,1,Settings!$B$16)</f>
        <v>Salle16</v>
      </c>
      <c r="B1740" s="3" cm="1">
        <f t="array" ref="B1740">alea_date(Settings!$B$11,360,-1,Settings!$B$16)</f>
        <v>46111.625</v>
      </c>
      <c r="C1740" s="20" cm="1">
        <f t="array" ref="C1740">B1740+TIME(alea_int(1,4,Settings!$B$16),0,0)</f>
        <v>46111.791666666664</v>
      </c>
    </row>
    <row r="1741" spans="1:3" ht="15.75" customHeight="1" x14ac:dyDescent="0.25">
      <c r="A1741" s="2" t="str" cm="1">
        <f t="array" ref="A1741">choice(Salles!A:A,1,Settings!$B$16)</f>
        <v>Salle62</v>
      </c>
      <c r="B1741" s="3" cm="1">
        <f t="array" ref="B1741">alea_date(Settings!$B$11,360,-1,Settings!$B$16)</f>
        <v>46066.25</v>
      </c>
      <c r="C1741" s="20" cm="1">
        <f t="array" ref="C1741">B1741+TIME(alea_int(1,4,Settings!$B$16),0,0)</f>
        <v>46066.416666666664</v>
      </c>
    </row>
    <row r="1742" spans="1:3" ht="15.75" customHeight="1" x14ac:dyDescent="0.25">
      <c r="A1742" s="2" t="str" cm="1">
        <f t="array" ref="A1742">choice(Salles!A:A,1,Settings!$B$16)</f>
        <v>Salle20</v>
      </c>
      <c r="B1742" s="3" cm="1">
        <f t="array" ref="B1742">alea_date(Settings!$B$11,360,-1,Settings!$B$16)</f>
        <v>46301.25</v>
      </c>
      <c r="C1742" s="20" cm="1">
        <f t="array" ref="C1742">B1742+TIME(alea_int(1,4,Settings!$B$16),0,0)</f>
        <v>46301.416666666664</v>
      </c>
    </row>
    <row r="1743" spans="1:3" ht="15.75" customHeight="1" x14ac:dyDescent="0.25">
      <c r="A1743" s="2" t="str" cm="1">
        <f t="array" ref="A1743">choice(Salles!A:A,1,Settings!$B$16)</f>
        <v>Salle13</v>
      </c>
      <c r="B1743" s="3" cm="1">
        <f t="array" ref="B1743">alea_date(Settings!$B$11,360,-1,Settings!$B$16)</f>
        <v>46239.291666666664</v>
      </c>
      <c r="C1743" s="20" cm="1">
        <f t="array" ref="C1743">B1743+TIME(alea_int(1,4,Settings!$B$16),0,0)</f>
        <v>46239.458333333328</v>
      </c>
    </row>
    <row r="1744" spans="1:3" ht="15.75" customHeight="1" x14ac:dyDescent="0.25">
      <c r="A1744" s="2" t="str" cm="1">
        <f t="array" ref="A1744">choice(Salles!A:A,1,Settings!$B$16)</f>
        <v>Salle48</v>
      </c>
      <c r="B1744" s="3" cm="1">
        <f t="array" ref="B1744">alea_date(Settings!$B$11,360,-1,Settings!$B$16)</f>
        <v>46078.541666666664</v>
      </c>
      <c r="C1744" s="20" cm="1">
        <f t="array" ref="C1744">B1744+TIME(alea_int(1,4,Settings!$B$16),0,0)</f>
        <v>46078.708333333328</v>
      </c>
    </row>
    <row r="1745" spans="1:3" ht="15.75" customHeight="1" x14ac:dyDescent="0.25">
      <c r="A1745" s="2" t="str" cm="1">
        <f t="array" ref="A1745">choice(Salles!A:A,1,Settings!$B$16)</f>
        <v>Salle48</v>
      </c>
      <c r="B1745" s="3" cm="1">
        <f t="array" ref="B1745">alea_date(Settings!$B$11,360,-1,Settings!$B$16)</f>
        <v>46378.583333333336</v>
      </c>
      <c r="C1745" s="20" cm="1">
        <f t="array" ref="C1745">B1745+TIME(alea_int(1,4,Settings!$B$16),0,0)</f>
        <v>46378.75</v>
      </c>
    </row>
    <row r="1746" spans="1:3" ht="15.75" customHeight="1" x14ac:dyDescent="0.25">
      <c r="A1746" s="2" t="str" cm="1">
        <f t="array" ref="A1746">choice(Salles!A:A,1,Settings!$B$16)</f>
        <v>Salle32</v>
      </c>
      <c r="B1746" s="3" cm="1">
        <f t="array" ref="B1746">alea_date(Settings!$B$11,360,-1,Settings!$B$16)</f>
        <v>46272.5</v>
      </c>
      <c r="C1746" s="20" cm="1">
        <f t="array" ref="C1746">B1746+TIME(alea_int(1,4,Settings!$B$16),0,0)</f>
        <v>46272.666666666664</v>
      </c>
    </row>
    <row r="1747" spans="1:3" ht="15.75" customHeight="1" x14ac:dyDescent="0.25">
      <c r="A1747" s="2" t="str" cm="1">
        <f t="array" ref="A1747">choice(Salles!A:A,1,Settings!$B$16)</f>
        <v>Salle40</v>
      </c>
      <c r="B1747" s="3" cm="1">
        <f t="array" ref="B1747">alea_date(Settings!$B$11,360,-1,Settings!$B$16)</f>
        <v>46061.25</v>
      </c>
      <c r="C1747" s="20" cm="1">
        <f t="array" ref="C1747">B1747+TIME(alea_int(1,4,Settings!$B$16),0,0)</f>
        <v>46061.416666666664</v>
      </c>
    </row>
    <row r="1748" spans="1:3" ht="15.75" customHeight="1" x14ac:dyDescent="0.25">
      <c r="A1748" s="2" t="str" cm="1">
        <f t="array" ref="A1748">choice(Salles!A:A,1,Settings!$B$16)</f>
        <v>Salle38</v>
      </c>
      <c r="B1748" s="3" cm="1">
        <f t="array" ref="B1748">alea_date(Settings!$B$11,360,-1,Settings!$B$16)</f>
        <v>46131.375</v>
      </c>
      <c r="C1748" s="20" cm="1">
        <f t="array" ref="C1748">B1748+TIME(alea_int(1,4,Settings!$B$16),0,0)</f>
        <v>46131.541666666664</v>
      </c>
    </row>
    <row r="1749" spans="1:3" ht="15.75" customHeight="1" x14ac:dyDescent="0.25">
      <c r="A1749" s="2" t="str" cm="1">
        <f t="array" ref="A1749">choice(Salles!A:A,1,Settings!$B$16)</f>
        <v>Salle11</v>
      </c>
      <c r="B1749" s="3" cm="1">
        <f t="array" ref="B1749">alea_date(Settings!$B$11,360,-1,Settings!$B$16)</f>
        <v>46219.458333333336</v>
      </c>
      <c r="C1749" s="20" cm="1">
        <f t="array" ref="C1749">B1749+TIME(alea_int(1,4,Settings!$B$16),0,0)</f>
        <v>46219.625</v>
      </c>
    </row>
    <row r="1750" spans="1:3" ht="15.75" customHeight="1" x14ac:dyDescent="0.25">
      <c r="A1750" s="2" t="str" cm="1">
        <f t="array" ref="A1750">choice(Salles!A:A,1,Settings!$B$16)</f>
        <v>Salle41</v>
      </c>
      <c r="B1750" s="3" cm="1">
        <f t="array" ref="B1750">alea_date(Settings!$B$11,360,-1,Settings!$B$16)</f>
        <v>46340.416666666664</v>
      </c>
      <c r="C1750" s="20" cm="1">
        <f t="array" ref="C1750">B1750+TIME(alea_int(1,4,Settings!$B$16),0,0)</f>
        <v>46340.583333333328</v>
      </c>
    </row>
    <row r="1751" spans="1:3" ht="15.75" customHeight="1" x14ac:dyDescent="0.25">
      <c r="A1751" s="2" t="str" cm="1">
        <f t="array" ref="A1751">choice(Salles!A:A,1,Settings!$B$16)</f>
        <v>Salle13</v>
      </c>
      <c r="B1751" s="3" cm="1">
        <f t="array" ref="B1751">alea_date(Settings!$B$11,360,-1,Settings!$B$16)</f>
        <v>46225.5</v>
      </c>
      <c r="C1751" s="20" cm="1">
        <f t="array" ref="C1751">B1751+TIME(alea_int(1,4,Settings!$B$16),0,0)</f>
        <v>46225.666666666664</v>
      </c>
    </row>
    <row r="1752" spans="1:3" ht="15.75" customHeight="1" x14ac:dyDescent="0.25">
      <c r="A1752" s="2" t="str" cm="1">
        <f t="array" ref="A1752">choice(Salles!A:A,1,Settings!$B$16)</f>
        <v>Salle69</v>
      </c>
      <c r="B1752" s="3" cm="1">
        <f t="array" ref="B1752">alea_date(Settings!$B$11,360,-1,Settings!$B$16)</f>
        <v>46367.625</v>
      </c>
      <c r="C1752" s="20" cm="1">
        <f t="array" ref="C1752">B1752+TIME(alea_int(1,4,Settings!$B$16),0,0)</f>
        <v>46367.791666666664</v>
      </c>
    </row>
    <row r="1753" spans="1:3" ht="15.75" customHeight="1" x14ac:dyDescent="0.25">
      <c r="A1753" s="2" t="str" cm="1">
        <f t="array" ref="A1753">choice(Salles!A:A,1,Settings!$B$16)</f>
        <v>Salle3</v>
      </c>
      <c r="B1753" s="3" cm="1">
        <f t="array" ref="B1753">alea_date(Settings!$B$11,360,-1,Settings!$B$16)</f>
        <v>46146.541666666664</v>
      </c>
      <c r="C1753" s="20" cm="1">
        <f t="array" ref="C1753">B1753+TIME(alea_int(1,4,Settings!$B$16),0,0)</f>
        <v>46146.708333333328</v>
      </c>
    </row>
    <row r="1754" spans="1:3" ht="15.75" customHeight="1" x14ac:dyDescent="0.25">
      <c r="A1754" s="2" t="str" cm="1">
        <f t="array" ref="A1754">choice(Salles!A:A,1,Settings!$B$16)</f>
        <v>Salle39</v>
      </c>
      <c r="B1754" s="3" cm="1">
        <f t="array" ref="B1754">alea_date(Settings!$B$11,360,-1,Settings!$B$16)</f>
        <v>46348.291666666664</v>
      </c>
      <c r="C1754" s="20" cm="1">
        <f t="array" ref="C1754">B1754+TIME(alea_int(1,4,Settings!$B$16),0,0)</f>
        <v>46348.458333333328</v>
      </c>
    </row>
    <row r="1755" spans="1:3" ht="15.75" customHeight="1" x14ac:dyDescent="0.25">
      <c r="A1755" s="2" t="str" cm="1">
        <f t="array" ref="A1755">choice(Salles!A:A,1,Settings!$B$16)</f>
        <v>Salle11</v>
      </c>
      <c r="B1755" s="3" cm="1">
        <f t="array" ref="B1755">alea_date(Settings!$B$11,360,-1,Settings!$B$16)</f>
        <v>46053.583333333336</v>
      </c>
      <c r="C1755" s="20" cm="1">
        <f t="array" ref="C1755">B1755+TIME(alea_int(1,4,Settings!$B$16),0,0)</f>
        <v>46053.75</v>
      </c>
    </row>
    <row r="1756" spans="1:3" ht="15.75" customHeight="1" x14ac:dyDescent="0.25">
      <c r="A1756" s="2" t="str" cm="1">
        <f t="array" ref="A1756">choice(Salles!A:A,1,Settings!$B$16)</f>
        <v>Salle23</v>
      </c>
      <c r="B1756" s="3" cm="1">
        <f t="array" ref="B1756">alea_date(Settings!$B$11,360,-1,Settings!$B$16)</f>
        <v>46283.583333333336</v>
      </c>
      <c r="C1756" s="20" cm="1">
        <f t="array" ref="C1756">B1756+TIME(alea_int(1,4,Settings!$B$16),0,0)</f>
        <v>46283.75</v>
      </c>
    </row>
    <row r="1757" spans="1:3" ht="15.75" customHeight="1" x14ac:dyDescent="0.25">
      <c r="A1757" s="2" t="str" cm="1">
        <f t="array" ref="A1757">choice(Salles!A:A,1,Settings!$B$16)</f>
        <v>Salle13</v>
      </c>
      <c r="B1757" s="3" cm="1">
        <f t="array" ref="B1757">alea_date(Settings!$B$11,360,-1,Settings!$B$16)</f>
        <v>46029.5</v>
      </c>
      <c r="C1757" s="20" cm="1">
        <f t="array" ref="C1757">B1757+TIME(alea_int(1,4,Settings!$B$16),0,0)</f>
        <v>46029.666666666664</v>
      </c>
    </row>
    <row r="1758" spans="1:3" ht="15.75" customHeight="1" x14ac:dyDescent="0.25">
      <c r="A1758" s="2" t="str" cm="1">
        <f t="array" ref="A1758">choice(Salles!A:A,1,Settings!$B$16)</f>
        <v>Salle62</v>
      </c>
      <c r="B1758" s="3" cm="1">
        <f t="array" ref="B1758">alea_date(Settings!$B$11,360,-1,Settings!$B$16)</f>
        <v>46252.583333333336</v>
      </c>
      <c r="C1758" s="20" cm="1">
        <f t="array" ref="C1758">B1758+TIME(alea_int(1,4,Settings!$B$16),0,0)</f>
        <v>46252.75</v>
      </c>
    </row>
    <row r="1759" spans="1:3" ht="15.75" customHeight="1" x14ac:dyDescent="0.25">
      <c r="A1759" s="2" t="str" cm="1">
        <f t="array" ref="A1759">choice(Salles!A:A,1,Settings!$B$16)</f>
        <v>Salle59</v>
      </c>
      <c r="B1759" s="3" cm="1">
        <f t="array" ref="B1759">alea_date(Settings!$B$11,360,-1,Settings!$B$16)</f>
        <v>46230.541666666664</v>
      </c>
      <c r="C1759" s="20" cm="1">
        <f t="array" ref="C1759">B1759+TIME(alea_int(1,4,Settings!$B$16),0,0)</f>
        <v>46230.708333333328</v>
      </c>
    </row>
    <row r="1760" spans="1:3" ht="15.75" customHeight="1" x14ac:dyDescent="0.25">
      <c r="A1760" s="2" t="str" cm="1">
        <f t="array" ref="A1760">choice(Salles!A:A,1,Settings!$B$16)</f>
        <v>Salle8</v>
      </c>
      <c r="B1760" s="3" cm="1">
        <f t="array" ref="B1760">alea_date(Settings!$B$11,360,-1,Settings!$B$16)</f>
        <v>46125.5</v>
      </c>
      <c r="C1760" s="20" cm="1">
        <f t="array" ref="C1760">B1760+TIME(alea_int(1,4,Settings!$B$16),0,0)</f>
        <v>46125.666666666664</v>
      </c>
    </row>
    <row r="1761" spans="1:3" ht="15.75" customHeight="1" x14ac:dyDescent="0.25">
      <c r="A1761" s="2" t="str" cm="1">
        <f t="array" ref="A1761">choice(Salles!A:A,1,Settings!$B$16)</f>
        <v>Salle69</v>
      </c>
      <c r="B1761" s="3" cm="1">
        <f t="array" ref="B1761">alea_date(Settings!$B$11,360,-1,Settings!$B$16)</f>
        <v>46299.291666666664</v>
      </c>
      <c r="C1761" s="20" cm="1">
        <f t="array" ref="C1761">B1761+TIME(alea_int(1,4,Settings!$B$16),0,0)</f>
        <v>46299.458333333328</v>
      </c>
    </row>
    <row r="1762" spans="1:3" ht="15.75" customHeight="1" x14ac:dyDescent="0.25">
      <c r="A1762" s="2" t="str" cm="1">
        <f t="array" ref="A1762">choice(Salles!A:A,1,Settings!$B$16)</f>
        <v>Salle37</v>
      </c>
      <c r="B1762" s="3" cm="1">
        <f t="array" ref="B1762">alea_date(Settings!$B$11,360,-1,Settings!$B$16)</f>
        <v>46043.458333333336</v>
      </c>
      <c r="C1762" s="20" cm="1">
        <f t="array" ref="C1762">B1762+TIME(alea_int(1,4,Settings!$B$16),0,0)</f>
        <v>46043.625</v>
      </c>
    </row>
    <row r="1763" spans="1:3" ht="15.75" customHeight="1" x14ac:dyDescent="0.25">
      <c r="A1763" s="2" t="str" cm="1">
        <f t="array" ref="A1763">choice(Salles!A:A,1,Settings!$B$16)</f>
        <v>Salle60</v>
      </c>
      <c r="B1763" s="3" cm="1">
        <f t="array" ref="B1763">alea_date(Settings!$B$11,360,-1,Settings!$B$16)</f>
        <v>46226.625</v>
      </c>
      <c r="C1763" s="20" cm="1">
        <f t="array" ref="C1763">B1763+TIME(alea_int(1,4,Settings!$B$16),0,0)</f>
        <v>46226.791666666664</v>
      </c>
    </row>
    <row r="1764" spans="1:3" ht="15.75" customHeight="1" x14ac:dyDescent="0.25">
      <c r="A1764" s="2" t="str" cm="1">
        <f t="array" ref="A1764">choice(Salles!A:A,1,Settings!$B$16)</f>
        <v>Salle17</v>
      </c>
      <c r="B1764" s="3" cm="1">
        <f t="array" ref="B1764">alea_date(Settings!$B$11,360,-1,Settings!$B$16)</f>
        <v>46105.625</v>
      </c>
      <c r="C1764" s="20" cm="1">
        <f t="array" ref="C1764">B1764+TIME(alea_int(1,4,Settings!$B$16),0,0)</f>
        <v>46105.791666666664</v>
      </c>
    </row>
    <row r="1765" spans="1:3" ht="15.75" customHeight="1" x14ac:dyDescent="0.25">
      <c r="A1765" s="2" t="str" cm="1">
        <f t="array" ref="A1765">choice(Salles!A:A,1,Settings!$B$16)</f>
        <v>Salle25</v>
      </c>
      <c r="B1765" s="3" cm="1">
        <f t="array" ref="B1765">alea_date(Settings!$B$11,360,-1,Settings!$B$16)</f>
        <v>46146.375</v>
      </c>
      <c r="C1765" s="20" cm="1">
        <f t="array" ref="C1765">B1765+TIME(alea_int(1,4,Settings!$B$16),0,0)</f>
        <v>46146.541666666664</v>
      </c>
    </row>
    <row r="1766" spans="1:3" ht="15.75" customHeight="1" x14ac:dyDescent="0.25">
      <c r="A1766" s="2" t="str" cm="1">
        <f t="array" ref="A1766">choice(Salles!A:A,1,Settings!$B$16)</f>
        <v>Salle47</v>
      </c>
      <c r="B1766" s="3" cm="1">
        <f t="array" ref="B1766">alea_date(Settings!$B$11,360,-1,Settings!$B$16)</f>
        <v>46264.291666666664</v>
      </c>
      <c r="C1766" s="20" cm="1">
        <f t="array" ref="C1766">B1766+TIME(alea_int(1,4,Settings!$B$16),0,0)</f>
        <v>46264.458333333328</v>
      </c>
    </row>
    <row r="1767" spans="1:3" ht="15.75" customHeight="1" x14ac:dyDescent="0.25">
      <c r="A1767" s="2" t="str" cm="1">
        <f t="array" ref="A1767">choice(Salles!A:A,1,Settings!$B$16)</f>
        <v>Salle61</v>
      </c>
      <c r="B1767" s="3" cm="1">
        <f t="array" ref="B1767">alea_date(Settings!$B$11,360,-1,Settings!$B$16)</f>
        <v>46193.333333333336</v>
      </c>
      <c r="C1767" s="20" cm="1">
        <f t="array" ref="C1767">B1767+TIME(alea_int(1,4,Settings!$B$16),0,0)</f>
        <v>46193.5</v>
      </c>
    </row>
    <row r="1768" spans="1:3" ht="15.75" customHeight="1" x14ac:dyDescent="0.25">
      <c r="A1768" s="2" t="str" cm="1">
        <f t="array" ref="A1768">choice(Salles!A:A,1,Settings!$B$16)</f>
        <v>Salle55</v>
      </c>
      <c r="B1768" s="3" cm="1">
        <f t="array" ref="B1768">alea_date(Settings!$B$11,360,-1,Settings!$B$16)</f>
        <v>46339.333333333336</v>
      </c>
      <c r="C1768" s="20" cm="1">
        <f t="array" ref="C1768">B1768+TIME(alea_int(1,4,Settings!$B$16),0,0)</f>
        <v>46339.5</v>
      </c>
    </row>
    <row r="1769" spans="1:3" ht="15.75" customHeight="1" x14ac:dyDescent="0.25">
      <c r="A1769" s="2" t="str" cm="1">
        <f t="array" ref="A1769">choice(Salles!A:A,1,Settings!$B$16)</f>
        <v>Salle8</v>
      </c>
      <c r="B1769" s="3" cm="1">
        <f t="array" ref="B1769">alea_date(Settings!$B$11,360,-1,Settings!$B$16)</f>
        <v>46099.416666666664</v>
      </c>
      <c r="C1769" s="20" cm="1">
        <f t="array" ref="C1769">B1769+TIME(alea_int(1,4,Settings!$B$16),0,0)</f>
        <v>46099.583333333328</v>
      </c>
    </row>
    <row r="1770" spans="1:3" ht="15.75" customHeight="1" x14ac:dyDescent="0.25">
      <c r="A1770" s="2" t="str" cm="1">
        <f t="array" ref="A1770">choice(Salles!A:A,1,Settings!$B$16)</f>
        <v>Salle15</v>
      </c>
      <c r="B1770" s="3" cm="1">
        <f t="array" ref="B1770">alea_date(Settings!$B$11,360,-1,Settings!$B$16)</f>
        <v>46264.333333333336</v>
      </c>
      <c r="C1770" s="20" cm="1">
        <f t="array" ref="C1770">B1770+TIME(alea_int(1,4,Settings!$B$16),0,0)</f>
        <v>46264.5</v>
      </c>
    </row>
    <row r="1771" spans="1:3" ht="15.75" customHeight="1" x14ac:dyDescent="0.25">
      <c r="A1771" s="2" t="str" cm="1">
        <f t="array" ref="A1771">choice(Salles!A:A,1,Settings!$B$16)</f>
        <v>Salle3</v>
      </c>
      <c r="B1771" s="3" cm="1">
        <f t="array" ref="B1771">alea_date(Settings!$B$11,360,-1,Settings!$B$16)</f>
        <v>46127.625</v>
      </c>
      <c r="C1771" s="20" cm="1">
        <f t="array" ref="C1771">B1771+TIME(alea_int(1,4,Settings!$B$16),0,0)</f>
        <v>46127.791666666664</v>
      </c>
    </row>
    <row r="1772" spans="1:3" ht="15.75" customHeight="1" x14ac:dyDescent="0.25">
      <c r="A1772" s="2" t="str" cm="1">
        <f t="array" ref="A1772">choice(Salles!A:A,1,Settings!$B$16)</f>
        <v>Salle27</v>
      </c>
      <c r="B1772" s="3" cm="1">
        <f t="array" ref="B1772">alea_date(Settings!$B$11,360,-1,Settings!$B$16)</f>
        <v>46187.583333333336</v>
      </c>
      <c r="C1772" s="20" cm="1">
        <f t="array" ref="C1772">B1772+TIME(alea_int(1,4,Settings!$B$16),0,0)</f>
        <v>46187.75</v>
      </c>
    </row>
    <row r="1773" spans="1:3" ht="15.75" customHeight="1" x14ac:dyDescent="0.25">
      <c r="A1773" s="2" t="str" cm="1">
        <f t="array" ref="A1773">choice(Salles!A:A,1,Settings!$B$16)</f>
        <v>Salle19</v>
      </c>
      <c r="B1773" s="3" cm="1">
        <f t="array" ref="B1773">alea_date(Settings!$B$11,360,-1,Settings!$B$16)</f>
        <v>46109.291666666664</v>
      </c>
      <c r="C1773" s="20" cm="1">
        <f t="array" ref="C1773">B1773+TIME(alea_int(1,4,Settings!$B$16),0,0)</f>
        <v>46109.458333333328</v>
      </c>
    </row>
    <row r="1774" spans="1:3" ht="15.75" customHeight="1" x14ac:dyDescent="0.25">
      <c r="A1774" s="2" t="str" cm="1">
        <f t="array" ref="A1774">choice(Salles!A:A,1,Settings!$B$16)</f>
        <v>Salle68</v>
      </c>
      <c r="B1774" s="3" cm="1">
        <f t="array" ref="B1774">alea_date(Settings!$B$11,360,-1,Settings!$B$16)</f>
        <v>46321.416666666664</v>
      </c>
      <c r="C1774" s="20" cm="1">
        <f t="array" ref="C1774">B1774+TIME(alea_int(1,4,Settings!$B$16),0,0)</f>
        <v>46321.583333333328</v>
      </c>
    </row>
    <row r="1775" spans="1:3" ht="15.75" customHeight="1" x14ac:dyDescent="0.25">
      <c r="A1775" s="2" t="str" cm="1">
        <f t="array" ref="A1775">choice(Salles!A:A,1,Settings!$B$16)</f>
        <v>Salle4</v>
      </c>
      <c r="B1775" s="3" cm="1">
        <f t="array" ref="B1775">alea_date(Settings!$B$11,360,-1,Settings!$B$16)</f>
        <v>46355.333333333336</v>
      </c>
      <c r="C1775" s="20" cm="1">
        <f t="array" ref="C1775">B1775+TIME(alea_int(1,4,Settings!$B$16),0,0)</f>
        <v>46355.5</v>
      </c>
    </row>
    <row r="1776" spans="1:3" ht="15.75" customHeight="1" x14ac:dyDescent="0.25">
      <c r="A1776" s="2" t="str" cm="1">
        <f t="array" ref="A1776">choice(Salles!A:A,1,Settings!$B$16)</f>
        <v>Salle69</v>
      </c>
      <c r="B1776" s="3" cm="1">
        <f t="array" ref="B1776">alea_date(Settings!$B$11,360,-1,Settings!$B$16)</f>
        <v>46193.625</v>
      </c>
      <c r="C1776" s="20" cm="1">
        <f t="array" ref="C1776">B1776+TIME(alea_int(1,4,Settings!$B$16),0,0)</f>
        <v>46193.791666666664</v>
      </c>
    </row>
    <row r="1777" spans="1:3" ht="15.75" customHeight="1" x14ac:dyDescent="0.25">
      <c r="A1777" s="2" t="str" cm="1">
        <f t="array" ref="A1777">choice(Salles!A:A,1,Settings!$B$16)</f>
        <v>Salle28</v>
      </c>
      <c r="B1777" s="3" cm="1">
        <f t="array" ref="B1777">alea_date(Settings!$B$11,360,-1,Settings!$B$16)</f>
        <v>46255.458333333336</v>
      </c>
      <c r="C1777" s="20" cm="1">
        <f t="array" ref="C1777">B1777+TIME(alea_int(1,4,Settings!$B$16),0,0)</f>
        <v>46255.625</v>
      </c>
    </row>
    <row r="1778" spans="1:3" ht="15.75" customHeight="1" x14ac:dyDescent="0.25">
      <c r="A1778" s="2" t="str" cm="1">
        <f t="array" ref="A1778">choice(Salles!A:A,1,Settings!$B$16)</f>
        <v>Salle23</v>
      </c>
      <c r="B1778" s="3" cm="1">
        <f t="array" ref="B1778">alea_date(Settings!$B$11,360,-1,Settings!$B$16)</f>
        <v>46210.333333333336</v>
      </c>
      <c r="C1778" s="20" cm="1">
        <f t="array" ref="C1778">B1778+TIME(alea_int(1,4,Settings!$B$16),0,0)</f>
        <v>46210.5</v>
      </c>
    </row>
    <row r="1779" spans="1:3" ht="15.75" customHeight="1" x14ac:dyDescent="0.25">
      <c r="A1779" s="2" t="str" cm="1">
        <f t="array" ref="A1779">choice(Salles!A:A,1,Settings!$B$16)</f>
        <v>Salle61</v>
      </c>
      <c r="B1779" s="3" cm="1">
        <f t="array" ref="B1779">alea_date(Settings!$B$11,360,-1,Settings!$B$16)</f>
        <v>46111.541666666664</v>
      </c>
      <c r="C1779" s="20" cm="1">
        <f t="array" ref="C1779">B1779+TIME(alea_int(1,4,Settings!$B$16),0,0)</f>
        <v>46111.708333333328</v>
      </c>
    </row>
    <row r="1780" spans="1:3" ht="15.75" customHeight="1" x14ac:dyDescent="0.25">
      <c r="A1780" s="2" t="str" cm="1">
        <f t="array" ref="A1780">choice(Salles!A:A,1,Settings!$B$16)</f>
        <v>Salle52</v>
      </c>
      <c r="B1780" s="3" cm="1">
        <f t="array" ref="B1780">alea_date(Settings!$B$11,360,-1,Settings!$B$16)</f>
        <v>46042.375</v>
      </c>
      <c r="C1780" s="20" cm="1">
        <f t="array" ref="C1780">B1780+TIME(alea_int(1,4,Settings!$B$16),0,0)</f>
        <v>46042.541666666664</v>
      </c>
    </row>
    <row r="1781" spans="1:3" ht="15.75" customHeight="1" x14ac:dyDescent="0.25">
      <c r="A1781" s="2" t="str" cm="1">
        <f t="array" ref="A1781">choice(Salles!A:A,1,Settings!$B$16)</f>
        <v>Salle34</v>
      </c>
      <c r="B1781" s="3" cm="1">
        <f t="array" ref="B1781">alea_date(Settings!$B$11,360,-1,Settings!$B$16)</f>
        <v>46057.541666666664</v>
      </c>
      <c r="C1781" s="20" cm="1">
        <f t="array" ref="C1781">B1781+TIME(alea_int(1,4,Settings!$B$16),0,0)</f>
        <v>46057.708333333328</v>
      </c>
    </row>
    <row r="1782" spans="1:3" ht="15.75" customHeight="1" x14ac:dyDescent="0.25">
      <c r="A1782" s="2" t="str" cm="1">
        <f t="array" ref="A1782">choice(Salles!A:A,1,Settings!$B$16)</f>
        <v>Salle57</v>
      </c>
      <c r="B1782" s="3" cm="1">
        <f t="array" ref="B1782">alea_date(Settings!$B$11,360,-1,Settings!$B$16)</f>
        <v>46355.583333333336</v>
      </c>
      <c r="C1782" s="20" cm="1">
        <f t="array" ref="C1782">B1782+TIME(alea_int(1,4,Settings!$B$16),0,0)</f>
        <v>46355.75</v>
      </c>
    </row>
    <row r="1783" spans="1:3" ht="15.75" customHeight="1" x14ac:dyDescent="0.25">
      <c r="A1783" s="2" t="str" cm="1">
        <f t="array" ref="A1783">choice(Salles!A:A,1,Settings!$B$16)</f>
        <v>Salle25</v>
      </c>
      <c r="B1783" s="3" cm="1">
        <f t="array" ref="B1783">alea_date(Settings!$B$11,360,-1,Settings!$B$16)</f>
        <v>46302.25</v>
      </c>
      <c r="C1783" s="20" cm="1">
        <f t="array" ref="C1783">B1783+TIME(alea_int(1,4,Settings!$B$16),0,0)</f>
        <v>46302.416666666664</v>
      </c>
    </row>
    <row r="1784" spans="1:3" ht="15.75" customHeight="1" x14ac:dyDescent="0.25">
      <c r="A1784" s="2" t="str" cm="1">
        <f t="array" ref="A1784">choice(Salles!A:A,1,Settings!$B$16)</f>
        <v>Salle61</v>
      </c>
      <c r="B1784" s="3" cm="1">
        <f t="array" ref="B1784">alea_date(Settings!$B$11,360,-1,Settings!$B$16)</f>
        <v>46245.625</v>
      </c>
      <c r="C1784" s="20" cm="1">
        <f t="array" ref="C1784">B1784+TIME(alea_int(1,4,Settings!$B$16),0,0)</f>
        <v>46245.791666666664</v>
      </c>
    </row>
    <row r="1785" spans="1:3" ht="15.75" customHeight="1" x14ac:dyDescent="0.25">
      <c r="A1785" s="2" t="str" cm="1">
        <f t="array" ref="A1785">choice(Salles!A:A,1,Settings!$B$16)</f>
        <v>Salle11</v>
      </c>
      <c r="B1785" s="3" cm="1">
        <f t="array" ref="B1785">alea_date(Settings!$B$11,360,-1,Settings!$B$16)</f>
        <v>46315.375</v>
      </c>
      <c r="C1785" s="20" cm="1">
        <f t="array" ref="C1785">B1785+TIME(alea_int(1,4,Settings!$B$16),0,0)</f>
        <v>46315.541666666664</v>
      </c>
    </row>
    <row r="1786" spans="1:3" ht="15.75" customHeight="1" x14ac:dyDescent="0.25">
      <c r="A1786" s="2" t="str" cm="1">
        <f t="array" ref="A1786">choice(Salles!A:A,1,Settings!$B$16)</f>
        <v>Salle46</v>
      </c>
      <c r="B1786" s="3" cm="1">
        <f t="array" ref="B1786">alea_date(Settings!$B$11,360,-1,Settings!$B$16)</f>
        <v>46074.416666666664</v>
      </c>
      <c r="C1786" s="20" cm="1">
        <f t="array" ref="C1786">B1786+TIME(alea_int(1,4,Settings!$B$16),0,0)</f>
        <v>46074.583333333328</v>
      </c>
    </row>
    <row r="1787" spans="1:3" ht="15.75" customHeight="1" x14ac:dyDescent="0.25">
      <c r="A1787" s="2" t="str" cm="1">
        <f t="array" ref="A1787">choice(Salles!A:A,1,Settings!$B$16)</f>
        <v>Salle62</v>
      </c>
      <c r="B1787" s="3" cm="1">
        <f t="array" ref="B1787">alea_date(Settings!$B$11,360,-1,Settings!$B$16)</f>
        <v>46095.458333333336</v>
      </c>
      <c r="C1787" s="20" cm="1">
        <f t="array" ref="C1787">B1787+TIME(alea_int(1,4,Settings!$B$16),0,0)</f>
        <v>46095.625</v>
      </c>
    </row>
    <row r="1788" spans="1:3" ht="15.75" customHeight="1" x14ac:dyDescent="0.25">
      <c r="A1788" s="2" t="str" cm="1">
        <f t="array" ref="A1788">choice(Salles!A:A,1,Settings!$B$16)</f>
        <v>Salle63</v>
      </c>
      <c r="B1788" s="3" cm="1">
        <f t="array" ref="B1788">alea_date(Settings!$B$11,360,-1,Settings!$B$16)</f>
        <v>46053.5</v>
      </c>
      <c r="C1788" s="20" cm="1">
        <f t="array" ref="C1788">B1788+TIME(alea_int(1,4,Settings!$B$16),0,0)</f>
        <v>46053.666666666664</v>
      </c>
    </row>
    <row r="1789" spans="1:3" ht="15.75" customHeight="1" x14ac:dyDescent="0.25">
      <c r="A1789" s="2" t="str" cm="1">
        <f t="array" ref="A1789">choice(Salles!A:A,1,Settings!$B$16)</f>
        <v>Salle23</v>
      </c>
      <c r="B1789" s="3" cm="1">
        <f t="array" ref="B1789">alea_date(Settings!$B$11,360,-1,Settings!$B$16)</f>
        <v>46095.583333333336</v>
      </c>
      <c r="C1789" s="20" cm="1">
        <f t="array" ref="C1789">B1789+TIME(alea_int(1,4,Settings!$B$16),0,0)</f>
        <v>46095.75</v>
      </c>
    </row>
    <row r="1790" spans="1:3" ht="15.75" customHeight="1" x14ac:dyDescent="0.25">
      <c r="A1790" s="2" t="str" cm="1">
        <f t="array" ref="A1790">choice(Salles!A:A,1,Settings!$B$16)</f>
        <v>Salle4</v>
      </c>
      <c r="B1790" s="3" cm="1">
        <f t="array" ref="B1790">alea_date(Settings!$B$11,360,-1,Settings!$B$16)</f>
        <v>46338.375</v>
      </c>
      <c r="C1790" s="20" cm="1">
        <f t="array" ref="C1790">B1790+TIME(alea_int(1,4,Settings!$B$16),0,0)</f>
        <v>46338.541666666664</v>
      </c>
    </row>
    <row r="1791" spans="1:3" ht="15.75" customHeight="1" x14ac:dyDescent="0.25">
      <c r="A1791" s="2" t="str" cm="1">
        <f t="array" ref="A1791">choice(Salles!A:A,1,Settings!$B$16)</f>
        <v>Salle21</v>
      </c>
      <c r="B1791" s="3" cm="1">
        <f t="array" ref="B1791">alea_date(Settings!$B$11,360,-1,Settings!$B$16)</f>
        <v>46278.541666666664</v>
      </c>
      <c r="C1791" s="20" cm="1">
        <f t="array" ref="C1791">B1791+TIME(alea_int(1,4,Settings!$B$16),0,0)</f>
        <v>46278.708333333328</v>
      </c>
    </row>
    <row r="1792" spans="1:3" ht="15.75" customHeight="1" x14ac:dyDescent="0.25">
      <c r="A1792" s="2" t="str" cm="1">
        <f t="array" ref="A1792">choice(Salles!A:A,1,Settings!$B$16)</f>
        <v>Salle42</v>
      </c>
      <c r="B1792" s="3" cm="1">
        <f t="array" ref="B1792">alea_date(Settings!$B$11,360,-1,Settings!$B$16)</f>
        <v>46038.5</v>
      </c>
      <c r="C1792" s="20" cm="1">
        <f t="array" ref="C1792">B1792+TIME(alea_int(1,4,Settings!$B$16),0,0)</f>
        <v>46038.666666666664</v>
      </c>
    </row>
    <row r="1793" spans="1:3" ht="15.75" customHeight="1" x14ac:dyDescent="0.25">
      <c r="A1793" s="2" t="str" cm="1">
        <f t="array" ref="A1793">choice(Salles!A:A,1,Settings!$B$16)</f>
        <v>Salle42</v>
      </c>
      <c r="B1793" s="3" cm="1">
        <f t="array" ref="B1793">alea_date(Settings!$B$11,360,-1,Settings!$B$16)</f>
        <v>46284.5</v>
      </c>
      <c r="C1793" s="20" cm="1">
        <f t="array" ref="C1793">B1793+TIME(alea_int(1,4,Settings!$B$16),0,0)</f>
        <v>46284.666666666664</v>
      </c>
    </row>
    <row r="1794" spans="1:3" ht="15.75" customHeight="1" x14ac:dyDescent="0.25">
      <c r="A1794" s="2" t="str" cm="1">
        <f t="array" ref="A1794">choice(Salles!A:A,1,Settings!$B$16)</f>
        <v>Salle41</v>
      </c>
      <c r="B1794" s="3" cm="1">
        <f t="array" ref="B1794">alea_date(Settings!$B$11,360,-1,Settings!$B$16)</f>
        <v>46189.375</v>
      </c>
      <c r="C1794" s="20" cm="1">
        <f t="array" ref="C1794">B1794+TIME(alea_int(1,4,Settings!$B$16),0,0)</f>
        <v>46189.541666666664</v>
      </c>
    </row>
    <row r="1795" spans="1:3" ht="15.75" customHeight="1" x14ac:dyDescent="0.25">
      <c r="A1795" s="2" t="str" cm="1">
        <f t="array" ref="A1795">choice(Salles!A:A,1,Settings!$B$16)</f>
        <v>Salle10</v>
      </c>
      <c r="B1795" s="3" cm="1">
        <f t="array" ref="B1795">alea_date(Settings!$B$11,360,-1,Settings!$B$16)</f>
        <v>46112.625</v>
      </c>
      <c r="C1795" s="20" cm="1">
        <f t="array" ref="C1795">B1795+TIME(alea_int(1,4,Settings!$B$16),0,0)</f>
        <v>46112.791666666664</v>
      </c>
    </row>
    <row r="1796" spans="1:3" ht="15.75" customHeight="1" x14ac:dyDescent="0.25">
      <c r="A1796" s="2" t="str" cm="1">
        <f t="array" ref="A1796">choice(Salles!A:A,1,Settings!$B$16)</f>
        <v>Salle52</v>
      </c>
      <c r="B1796" s="3" cm="1">
        <f t="array" ref="B1796">alea_date(Settings!$B$11,360,-1,Settings!$B$16)</f>
        <v>46182.291666666664</v>
      </c>
      <c r="C1796" s="20" cm="1">
        <f t="array" ref="C1796">B1796+TIME(alea_int(1,4,Settings!$B$16),0,0)</f>
        <v>46182.458333333328</v>
      </c>
    </row>
    <row r="1797" spans="1:3" ht="15.75" customHeight="1" x14ac:dyDescent="0.25">
      <c r="A1797" s="2" t="str" cm="1">
        <f t="array" ref="A1797">choice(Salles!A:A,1,Settings!$B$16)</f>
        <v>Salle23</v>
      </c>
      <c r="B1797" s="3" cm="1">
        <f t="array" ref="B1797">alea_date(Settings!$B$11,360,-1,Settings!$B$16)</f>
        <v>46032.625</v>
      </c>
      <c r="C1797" s="20" cm="1">
        <f t="array" ref="C1797">B1797+TIME(alea_int(1,4,Settings!$B$16),0,0)</f>
        <v>46032.791666666664</v>
      </c>
    </row>
    <row r="1798" spans="1:3" ht="15.75" customHeight="1" x14ac:dyDescent="0.25">
      <c r="A1798" s="2" t="str" cm="1">
        <f t="array" ref="A1798">choice(Salles!A:A,1,Settings!$B$16)</f>
        <v>Salle70</v>
      </c>
      <c r="B1798" s="3" cm="1">
        <f t="array" ref="B1798">alea_date(Settings!$B$11,360,-1,Settings!$B$16)</f>
        <v>46051.458333333336</v>
      </c>
      <c r="C1798" s="20" cm="1">
        <f t="array" ref="C1798">B1798+TIME(alea_int(1,4,Settings!$B$16),0,0)</f>
        <v>46051.625</v>
      </c>
    </row>
    <row r="1799" spans="1:3" ht="15.75" customHeight="1" x14ac:dyDescent="0.25">
      <c r="A1799" s="2" t="str" cm="1">
        <f t="array" ref="A1799">choice(Salles!A:A,1,Settings!$B$16)</f>
        <v>Salle67</v>
      </c>
      <c r="B1799" s="3" cm="1">
        <f t="array" ref="B1799">alea_date(Settings!$B$11,360,-1,Settings!$B$16)</f>
        <v>46121.25</v>
      </c>
      <c r="C1799" s="20" cm="1">
        <f t="array" ref="C1799">B1799+TIME(alea_int(1,4,Settings!$B$16),0,0)</f>
        <v>46121.416666666664</v>
      </c>
    </row>
    <row r="1800" spans="1:3" ht="15.75" customHeight="1" x14ac:dyDescent="0.25">
      <c r="A1800" s="2" t="str" cm="1">
        <f t="array" ref="A1800">choice(Salles!A:A,1,Settings!$B$16)</f>
        <v>Salle57</v>
      </c>
      <c r="B1800" s="3" cm="1">
        <f t="array" ref="B1800">alea_date(Settings!$B$11,360,-1,Settings!$B$16)</f>
        <v>46239.541666666664</v>
      </c>
      <c r="C1800" s="20" cm="1">
        <f t="array" ref="C1800">B1800+TIME(alea_int(1,4,Settings!$B$16),0,0)</f>
        <v>46239.708333333328</v>
      </c>
    </row>
    <row r="1801" spans="1:3" ht="15.75" customHeight="1" x14ac:dyDescent="0.25">
      <c r="A1801" s="2" t="str" cm="1">
        <f t="array" ref="A1801">choice(Salles!A:A,1,Settings!$B$16)</f>
        <v>Salle4</v>
      </c>
      <c r="B1801" s="3" cm="1">
        <f t="array" ref="B1801">alea_date(Settings!$B$11,360,-1,Settings!$B$16)</f>
        <v>46033.625</v>
      </c>
      <c r="C1801" s="20" cm="1">
        <f t="array" ref="C1801">B1801+TIME(alea_int(1,4,Settings!$B$16),0,0)</f>
        <v>46033.791666666664</v>
      </c>
    </row>
    <row r="1802" spans="1:3" ht="15.75" customHeight="1" x14ac:dyDescent="0.25">
      <c r="A1802" s="2" t="str" cm="1">
        <f t="array" ref="A1802">choice(Salles!A:A,1,Settings!$B$16)</f>
        <v>Salle20</v>
      </c>
      <c r="B1802" s="3" cm="1">
        <f t="array" ref="B1802">alea_date(Settings!$B$11,360,-1,Settings!$B$16)</f>
        <v>46308.541666666664</v>
      </c>
      <c r="C1802" s="20" cm="1">
        <f t="array" ref="C1802">B1802+TIME(alea_int(1,4,Settings!$B$16),0,0)</f>
        <v>46308.708333333328</v>
      </c>
    </row>
    <row r="1803" spans="1:3" ht="15.75" customHeight="1" x14ac:dyDescent="0.25">
      <c r="A1803" s="2" t="str" cm="1">
        <f t="array" ref="A1803">choice(Salles!A:A,1,Settings!$B$16)</f>
        <v>Salle24</v>
      </c>
      <c r="B1803" s="3" cm="1">
        <f t="array" ref="B1803">alea_date(Settings!$B$11,360,-1,Settings!$B$16)</f>
        <v>46159.625</v>
      </c>
      <c r="C1803" s="20" cm="1">
        <f t="array" ref="C1803">B1803+TIME(alea_int(1,4,Settings!$B$16),0,0)</f>
        <v>46159.791666666664</v>
      </c>
    </row>
    <row r="1804" spans="1:3" ht="15.75" customHeight="1" x14ac:dyDescent="0.25">
      <c r="A1804" s="2" t="str" cm="1">
        <f t="array" ref="A1804">choice(Salles!A:A,1,Settings!$B$16)</f>
        <v>Salle21</v>
      </c>
      <c r="B1804" s="3" cm="1">
        <f t="array" ref="B1804">alea_date(Settings!$B$11,360,-1,Settings!$B$16)</f>
        <v>46330.625</v>
      </c>
      <c r="C1804" s="20" cm="1">
        <f t="array" ref="C1804">B1804+TIME(alea_int(1,4,Settings!$B$16),0,0)</f>
        <v>46330.791666666664</v>
      </c>
    </row>
    <row r="1805" spans="1:3" ht="15.75" customHeight="1" x14ac:dyDescent="0.25">
      <c r="A1805" s="2" t="str" cm="1">
        <f t="array" ref="A1805">choice(Salles!A:A,1,Settings!$B$16)</f>
        <v>Salle61</v>
      </c>
      <c r="B1805" s="3" cm="1">
        <f t="array" ref="B1805">alea_date(Settings!$B$11,360,-1,Settings!$B$16)</f>
        <v>46166.375</v>
      </c>
      <c r="C1805" s="20" cm="1">
        <f t="array" ref="C1805">B1805+TIME(alea_int(1,4,Settings!$B$16),0,0)</f>
        <v>46166.541666666664</v>
      </c>
    </row>
    <row r="1806" spans="1:3" ht="15.75" customHeight="1" x14ac:dyDescent="0.25">
      <c r="A1806" s="2" t="str" cm="1">
        <f t="array" ref="A1806">choice(Salles!A:A,1,Settings!$B$16)</f>
        <v>Salle7</v>
      </c>
      <c r="B1806" s="3" cm="1">
        <f t="array" ref="B1806">alea_date(Settings!$B$11,360,-1,Settings!$B$16)</f>
        <v>46320.416666666664</v>
      </c>
      <c r="C1806" s="20" cm="1">
        <f t="array" ref="C1806">B1806+TIME(alea_int(1,4,Settings!$B$16),0,0)</f>
        <v>46320.583333333328</v>
      </c>
    </row>
    <row r="1807" spans="1:3" ht="15.75" customHeight="1" x14ac:dyDescent="0.25">
      <c r="A1807" s="2" t="str" cm="1">
        <f t="array" ref="A1807">choice(Salles!A:A,1,Settings!$B$16)</f>
        <v>Salle52</v>
      </c>
      <c r="B1807" s="3" cm="1">
        <f t="array" ref="B1807">alea_date(Settings!$B$11,360,-1,Settings!$B$16)</f>
        <v>46053.583333333336</v>
      </c>
      <c r="C1807" s="20" cm="1">
        <f t="array" ref="C1807">B1807+TIME(alea_int(1,4,Settings!$B$16),0,0)</f>
        <v>46053.75</v>
      </c>
    </row>
    <row r="1808" spans="1:3" ht="15.75" customHeight="1" x14ac:dyDescent="0.25">
      <c r="A1808" s="2" t="str" cm="1">
        <f t="array" ref="A1808">choice(Salles!A:A,1,Settings!$B$16)</f>
        <v>Salle64</v>
      </c>
      <c r="B1808" s="3" cm="1">
        <f t="array" ref="B1808">alea_date(Settings!$B$11,360,-1,Settings!$B$16)</f>
        <v>46322.625</v>
      </c>
      <c r="C1808" s="20" cm="1">
        <f t="array" ref="C1808">B1808+TIME(alea_int(1,4,Settings!$B$16),0,0)</f>
        <v>46322.791666666664</v>
      </c>
    </row>
    <row r="1809" spans="1:3" ht="15.75" customHeight="1" x14ac:dyDescent="0.25">
      <c r="A1809" s="2" t="str" cm="1">
        <f t="array" ref="A1809">choice(Salles!A:A,1,Settings!$B$16)</f>
        <v>Salle24</v>
      </c>
      <c r="B1809" s="3" cm="1">
        <f t="array" ref="B1809">alea_date(Settings!$B$11,360,-1,Settings!$B$16)</f>
        <v>46180.5</v>
      </c>
      <c r="C1809" s="20" cm="1">
        <f t="array" ref="C1809">B1809+TIME(alea_int(1,4,Settings!$B$16),0,0)</f>
        <v>46180.666666666664</v>
      </c>
    </row>
    <row r="1810" spans="1:3" ht="15.75" customHeight="1" x14ac:dyDescent="0.25">
      <c r="A1810" s="2" t="str" cm="1">
        <f t="array" ref="A1810">choice(Salles!A:A,1,Settings!$B$16)</f>
        <v>Salle52</v>
      </c>
      <c r="B1810" s="3" cm="1">
        <f t="array" ref="B1810">alea_date(Settings!$B$11,360,-1,Settings!$B$16)</f>
        <v>46295.583333333336</v>
      </c>
      <c r="C1810" s="20" cm="1">
        <f t="array" ref="C1810">B1810+TIME(alea_int(1,4,Settings!$B$16),0,0)</f>
        <v>46295.75</v>
      </c>
    </row>
    <row r="1811" spans="1:3" ht="15.75" customHeight="1" x14ac:dyDescent="0.25">
      <c r="A1811" s="2" t="str" cm="1">
        <f t="array" ref="A1811">choice(Salles!A:A,1,Settings!$B$16)</f>
        <v>Salle16</v>
      </c>
      <c r="B1811" s="3" cm="1">
        <f t="array" ref="B1811">alea_date(Settings!$B$11,360,-1,Settings!$B$16)</f>
        <v>46350.541666666664</v>
      </c>
      <c r="C1811" s="20" cm="1">
        <f t="array" ref="C1811">B1811+TIME(alea_int(1,4,Settings!$B$16),0,0)</f>
        <v>46350.708333333328</v>
      </c>
    </row>
    <row r="1812" spans="1:3" ht="15.75" customHeight="1" x14ac:dyDescent="0.25">
      <c r="A1812" s="2" t="str" cm="1">
        <f t="array" ref="A1812">choice(Salles!A:A,1,Settings!$B$16)</f>
        <v>Salle61</v>
      </c>
      <c r="B1812" s="3" cm="1">
        <f t="array" ref="B1812">alea_date(Settings!$B$11,360,-1,Settings!$B$16)</f>
        <v>46047.333333333336</v>
      </c>
      <c r="C1812" s="20" cm="1">
        <f t="array" ref="C1812">B1812+TIME(alea_int(1,4,Settings!$B$16),0,0)</f>
        <v>46047.5</v>
      </c>
    </row>
    <row r="1813" spans="1:3" ht="15.75" customHeight="1" x14ac:dyDescent="0.25">
      <c r="A1813" s="2" t="str" cm="1">
        <f t="array" ref="A1813">choice(Salles!A:A,1,Settings!$B$16)</f>
        <v>Salle8</v>
      </c>
      <c r="B1813" s="3" cm="1">
        <f t="array" ref="B1813">alea_date(Settings!$B$11,360,-1,Settings!$B$16)</f>
        <v>46089.416666666664</v>
      </c>
      <c r="C1813" s="20" cm="1">
        <f t="array" ref="C1813">B1813+TIME(alea_int(1,4,Settings!$B$16),0,0)</f>
        <v>46089.583333333328</v>
      </c>
    </row>
    <row r="1814" spans="1:3" ht="15.75" customHeight="1" x14ac:dyDescent="0.25">
      <c r="A1814" s="2" t="str" cm="1">
        <f t="array" ref="A1814">choice(Salles!A:A,1,Settings!$B$16)</f>
        <v>Salle26</v>
      </c>
      <c r="B1814" s="3" cm="1">
        <f t="array" ref="B1814">alea_date(Settings!$B$11,360,-1,Settings!$B$16)</f>
        <v>46213.458333333336</v>
      </c>
      <c r="C1814" s="20" cm="1">
        <f t="array" ref="C1814">B1814+TIME(alea_int(1,4,Settings!$B$16),0,0)</f>
        <v>46213.625</v>
      </c>
    </row>
    <row r="1815" spans="1:3" ht="15.75" customHeight="1" x14ac:dyDescent="0.25">
      <c r="A1815" s="2" t="str" cm="1">
        <f t="array" ref="A1815">choice(Salles!A:A,1,Settings!$B$16)</f>
        <v>Salle10</v>
      </c>
      <c r="B1815" s="3" cm="1">
        <f t="array" ref="B1815">alea_date(Settings!$B$11,360,-1,Settings!$B$16)</f>
        <v>46289.458333333336</v>
      </c>
      <c r="C1815" s="20" cm="1">
        <f t="array" ref="C1815">B1815+TIME(alea_int(1,4,Settings!$B$16),0,0)</f>
        <v>46289.625</v>
      </c>
    </row>
    <row r="1816" spans="1:3" ht="15.75" customHeight="1" x14ac:dyDescent="0.25">
      <c r="A1816" s="2" t="str" cm="1">
        <f t="array" ref="A1816">choice(Salles!A:A,1,Settings!$B$16)</f>
        <v>Salle40</v>
      </c>
      <c r="B1816" s="3" cm="1">
        <f t="array" ref="B1816">alea_date(Settings!$B$11,360,-1,Settings!$B$16)</f>
        <v>46177.583333333336</v>
      </c>
      <c r="C1816" s="20" cm="1">
        <f t="array" ref="C1816">B1816+TIME(alea_int(1,4,Settings!$B$16),0,0)</f>
        <v>46177.75</v>
      </c>
    </row>
    <row r="1817" spans="1:3" ht="15.75" customHeight="1" x14ac:dyDescent="0.25">
      <c r="A1817" s="2" t="str" cm="1">
        <f t="array" ref="A1817">choice(Salles!A:A,1,Settings!$B$16)</f>
        <v>Salle15</v>
      </c>
      <c r="B1817" s="3" cm="1">
        <f t="array" ref="B1817">alea_date(Settings!$B$11,360,-1,Settings!$B$16)</f>
        <v>46217.583333333336</v>
      </c>
      <c r="C1817" s="20" cm="1">
        <f t="array" ref="C1817">B1817+TIME(alea_int(1,4,Settings!$B$16),0,0)</f>
        <v>46217.75</v>
      </c>
    </row>
    <row r="1818" spans="1:3" ht="15.75" customHeight="1" x14ac:dyDescent="0.25">
      <c r="A1818" s="2" t="str" cm="1">
        <f t="array" ref="A1818">choice(Salles!A:A,1,Settings!$B$16)</f>
        <v>Salle22</v>
      </c>
      <c r="B1818" s="3" cm="1">
        <f t="array" ref="B1818">alea_date(Settings!$B$11,360,-1,Settings!$B$16)</f>
        <v>46116.625</v>
      </c>
      <c r="C1818" s="20" cm="1">
        <f t="array" ref="C1818">B1818+TIME(alea_int(1,4,Settings!$B$16),0,0)</f>
        <v>46116.791666666664</v>
      </c>
    </row>
    <row r="1819" spans="1:3" ht="15.75" customHeight="1" x14ac:dyDescent="0.25">
      <c r="A1819" s="2" t="str" cm="1">
        <f t="array" ref="A1819">choice(Salles!A:A,1,Settings!$B$16)</f>
        <v>Salle16</v>
      </c>
      <c r="B1819" s="3" cm="1">
        <f t="array" ref="B1819">alea_date(Settings!$B$11,360,-1,Settings!$B$16)</f>
        <v>46158.375</v>
      </c>
      <c r="C1819" s="20" cm="1">
        <f t="array" ref="C1819">B1819+TIME(alea_int(1,4,Settings!$B$16),0,0)</f>
        <v>46158.541666666664</v>
      </c>
    </row>
    <row r="1820" spans="1:3" ht="15.75" customHeight="1" x14ac:dyDescent="0.25">
      <c r="A1820" s="2" t="str" cm="1">
        <f t="array" ref="A1820">choice(Salles!A:A,1,Settings!$B$16)</f>
        <v>Salle20</v>
      </c>
      <c r="B1820" s="3" cm="1">
        <f t="array" ref="B1820">alea_date(Settings!$B$11,360,-1,Settings!$B$16)</f>
        <v>46118.541666666664</v>
      </c>
      <c r="C1820" s="20" cm="1">
        <f t="array" ref="C1820">B1820+TIME(alea_int(1,4,Settings!$B$16),0,0)</f>
        <v>46118.708333333328</v>
      </c>
    </row>
    <row r="1821" spans="1:3" ht="15.75" customHeight="1" x14ac:dyDescent="0.25">
      <c r="A1821" s="2" t="str" cm="1">
        <f t="array" ref="A1821">choice(Salles!A:A,1,Settings!$B$16)</f>
        <v>Salle5</v>
      </c>
      <c r="B1821" s="3" cm="1">
        <f t="array" ref="B1821">alea_date(Settings!$B$11,360,-1,Settings!$B$16)</f>
        <v>46144.416666666664</v>
      </c>
      <c r="C1821" s="20" cm="1">
        <f t="array" ref="C1821">B1821+TIME(alea_int(1,4,Settings!$B$16),0,0)</f>
        <v>46144.583333333328</v>
      </c>
    </row>
    <row r="1822" spans="1:3" ht="15.75" customHeight="1" x14ac:dyDescent="0.25">
      <c r="A1822" s="2" t="str" cm="1">
        <f t="array" ref="A1822">choice(Salles!A:A,1,Settings!$B$16)</f>
        <v>Salle50</v>
      </c>
      <c r="B1822" s="3" cm="1">
        <f t="array" ref="B1822">alea_date(Settings!$B$11,360,-1,Settings!$B$16)</f>
        <v>46348.291666666664</v>
      </c>
      <c r="C1822" s="20" cm="1">
        <f t="array" ref="C1822">B1822+TIME(alea_int(1,4,Settings!$B$16),0,0)</f>
        <v>46348.458333333328</v>
      </c>
    </row>
    <row r="1823" spans="1:3" ht="15.75" customHeight="1" x14ac:dyDescent="0.25">
      <c r="A1823" s="2" t="str" cm="1">
        <f t="array" ref="A1823">choice(Salles!A:A,1,Settings!$B$16)</f>
        <v>Salle9</v>
      </c>
      <c r="B1823" s="3" cm="1">
        <f t="array" ref="B1823">alea_date(Settings!$B$11,360,-1,Settings!$B$16)</f>
        <v>46255.333333333336</v>
      </c>
      <c r="C1823" s="20" cm="1">
        <f t="array" ref="C1823">B1823+TIME(alea_int(1,4,Settings!$B$16),0,0)</f>
        <v>46255.5</v>
      </c>
    </row>
    <row r="1824" spans="1:3" ht="15.75" customHeight="1" x14ac:dyDescent="0.25">
      <c r="A1824" s="2" t="str" cm="1">
        <f t="array" ref="A1824">choice(Salles!A:A,1,Settings!$B$16)</f>
        <v>Salle11</v>
      </c>
      <c r="B1824" s="3" cm="1">
        <f t="array" ref="B1824">alea_date(Settings!$B$11,360,-1,Settings!$B$16)</f>
        <v>46181.5</v>
      </c>
      <c r="C1824" s="20" cm="1">
        <f t="array" ref="C1824">B1824+TIME(alea_int(1,4,Settings!$B$16),0,0)</f>
        <v>46181.666666666664</v>
      </c>
    </row>
    <row r="1825" spans="1:3" ht="15.75" customHeight="1" x14ac:dyDescent="0.25">
      <c r="A1825" s="2" t="str" cm="1">
        <f t="array" ref="A1825">choice(Salles!A:A,1,Settings!$B$16)</f>
        <v>Salle32</v>
      </c>
      <c r="B1825" s="3" cm="1">
        <f t="array" ref="B1825">alea_date(Settings!$B$11,360,-1,Settings!$B$16)</f>
        <v>46264.416666666664</v>
      </c>
      <c r="C1825" s="20" cm="1">
        <f t="array" ref="C1825">B1825+TIME(alea_int(1,4,Settings!$B$16),0,0)</f>
        <v>46264.583333333328</v>
      </c>
    </row>
    <row r="1826" spans="1:3" ht="15.75" customHeight="1" x14ac:dyDescent="0.25">
      <c r="A1826" s="2" t="str" cm="1">
        <f t="array" ref="A1826">choice(Salles!A:A,1,Settings!$B$16)</f>
        <v>Salle17</v>
      </c>
      <c r="B1826" s="3" cm="1">
        <f t="array" ref="B1826">alea_date(Settings!$B$11,360,-1,Settings!$B$16)</f>
        <v>46220.416666666664</v>
      </c>
      <c r="C1826" s="20" cm="1">
        <f t="array" ref="C1826">B1826+TIME(alea_int(1,4,Settings!$B$16),0,0)</f>
        <v>46220.583333333328</v>
      </c>
    </row>
    <row r="1827" spans="1:3" ht="15.75" customHeight="1" x14ac:dyDescent="0.25">
      <c r="A1827" s="2" t="str" cm="1">
        <f t="array" ref="A1827">choice(Salles!A:A,1,Settings!$B$16)</f>
        <v>Salle48</v>
      </c>
      <c r="B1827" s="3" cm="1">
        <f t="array" ref="B1827">alea_date(Settings!$B$11,360,-1,Settings!$B$16)</f>
        <v>46383.5</v>
      </c>
      <c r="C1827" s="20" cm="1">
        <f t="array" ref="C1827">B1827+TIME(alea_int(1,4,Settings!$B$16),0,0)</f>
        <v>46383.666666666664</v>
      </c>
    </row>
    <row r="1828" spans="1:3" ht="15.75" customHeight="1" x14ac:dyDescent="0.25">
      <c r="A1828" s="2" t="str" cm="1">
        <f t="array" ref="A1828">choice(Salles!A:A,1,Settings!$B$16)</f>
        <v>Salle67</v>
      </c>
      <c r="B1828" s="3" cm="1">
        <f t="array" ref="B1828">alea_date(Settings!$B$11,360,-1,Settings!$B$16)</f>
        <v>46268.541666666664</v>
      </c>
      <c r="C1828" s="20" cm="1">
        <f t="array" ref="C1828">B1828+TIME(alea_int(1,4,Settings!$B$16),0,0)</f>
        <v>46268.708333333328</v>
      </c>
    </row>
    <row r="1829" spans="1:3" ht="15.75" customHeight="1" x14ac:dyDescent="0.25">
      <c r="A1829" s="2" t="str" cm="1">
        <f t="array" ref="A1829">choice(Salles!A:A,1,Settings!$B$16)</f>
        <v>Salle17</v>
      </c>
      <c r="B1829" s="3" cm="1">
        <f t="array" ref="B1829">alea_date(Settings!$B$11,360,-1,Settings!$B$16)</f>
        <v>46260.375</v>
      </c>
      <c r="C1829" s="20" cm="1">
        <f t="array" ref="C1829">B1829+TIME(alea_int(1,4,Settings!$B$16),0,0)</f>
        <v>46260.541666666664</v>
      </c>
    </row>
    <row r="1830" spans="1:3" ht="15.75" customHeight="1" x14ac:dyDescent="0.25">
      <c r="A1830" s="2" t="str" cm="1">
        <f t="array" ref="A1830">choice(Salles!A:A,1,Settings!$B$16)</f>
        <v>Salle11</v>
      </c>
      <c r="B1830" s="3" cm="1">
        <f t="array" ref="B1830">alea_date(Settings!$B$11,360,-1,Settings!$B$16)</f>
        <v>46163.541666666664</v>
      </c>
      <c r="C1830" s="20" cm="1">
        <f t="array" ref="C1830">B1830+TIME(alea_int(1,4,Settings!$B$16),0,0)</f>
        <v>46163.708333333328</v>
      </c>
    </row>
    <row r="1831" spans="1:3" ht="15.75" customHeight="1" x14ac:dyDescent="0.25">
      <c r="A1831" s="2" t="str" cm="1">
        <f t="array" ref="A1831">choice(Salles!A:A,1,Settings!$B$16)</f>
        <v>Salle42</v>
      </c>
      <c r="B1831" s="3" cm="1">
        <f t="array" ref="B1831">alea_date(Settings!$B$11,360,-1,Settings!$B$16)</f>
        <v>46282.625</v>
      </c>
      <c r="C1831" s="20" cm="1">
        <f t="array" ref="C1831">B1831+TIME(alea_int(1,4,Settings!$B$16),0,0)</f>
        <v>46282.791666666664</v>
      </c>
    </row>
    <row r="1832" spans="1:3" ht="15.75" customHeight="1" x14ac:dyDescent="0.25">
      <c r="A1832" s="2" t="str" cm="1">
        <f t="array" ref="A1832">choice(Salles!A:A,1,Settings!$B$16)</f>
        <v>Salle39</v>
      </c>
      <c r="B1832" s="3" cm="1">
        <f t="array" ref="B1832">alea_date(Settings!$B$11,360,-1,Settings!$B$16)</f>
        <v>46224.291666666664</v>
      </c>
      <c r="C1832" s="20" cm="1">
        <f t="array" ref="C1832">B1832+TIME(alea_int(1,4,Settings!$B$16),0,0)</f>
        <v>46224.458333333328</v>
      </c>
    </row>
    <row r="1833" spans="1:3" ht="15.75" customHeight="1" x14ac:dyDescent="0.25">
      <c r="A1833" s="2" t="str" cm="1">
        <f t="array" ref="A1833">choice(Salles!A:A,1,Settings!$B$16)</f>
        <v>Salle57</v>
      </c>
      <c r="B1833" s="3" cm="1">
        <f t="array" ref="B1833">alea_date(Settings!$B$11,360,-1,Settings!$B$16)</f>
        <v>46361.291666666664</v>
      </c>
      <c r="C1833" s="20" cm="1">
        <f t="array" ref="C1833">B1833+TIME(alea_int(1,4,Settings!$B$16),0,0)</f>
        <v>46361.458333333328</v>
      </c>
    </row>
    <row r="1834" spans="1:3" ht="15.75" customHeight="1" x14ac:dyDescent="0.25">
      <c r="A1834" s="2" t="str" cm="1">
        <f t="array" ref="A1834">choice(Salles!A:A,1,Settings!$B$16)</f>
        <v>Salle33</v>
      </c>
      <c r="B1834" s="3" cm="1">
        <f t="array" ref="B1834">alea_date(Settings!$B$11,360,-1,Settings!$B$16)</f>
        <v>46187.625</v>
      </c>
      <c r="C1834" s="20" cm="1">
        <f t="array" ref="C1834">B1834+TIME(alea_int(1,4,Settings!$B$16),0,0)</f>
        <v>46187.791666666664</v>
      </c>
    </row>
    <row r="1835" spans="1:3" ht="15.75" customHeight="1" x14ac:dyDescent="0.25">
      <c r="A1835" s="2" t="str" cm="1">
        <f t="array" ref="A1835">choice(Salles!A:A,1,Settings!$B$16)</f>
        <v>Salle53</v>
      </c>
      <c r="B1835" s="3" cm="1">
        <f t="array" ref="B1835">alea_date(Settings!$B$11,360,-1,Settings!$B$16)</f>
        <v>46298.416666666664</v>
      </c>
      <c r="C1835" s="20" cm="1">
        <f t="array" ref="C1835">B1835+TIME(alea_int(1,4,Settings!$B$16),0,0)</f>
        <v>46298.583333333328</v>
      </c>
    </row>
    <row r="1836" spans="1:3" ht="15.75" customHeight="1" x14ac:dyDescent="0.25">
      <c r="A1836" s="2" t="str" cm="1">
        <f t="array" ref="A1836">choice(Salles!A:A,1,Settings!$B$16)</f>
        <v>Salle24</v>
      </c>
      <c r="B1836" s="3" cm="1">
        <f t="array" ref="B1836">alea_date(Settings!$B$11,360,-1,Settings!$B$16)</f>
        <v>46275.583333333336</v>
      </c>
      <c r="C1836" s="20" cm="1">
        <f t="array" ref="C1836">B1836+TIME(alea_int(1,4,Settings!$B$16),0,0)</f>
        <v>46275.75</v>
      </c>
    </row>
    <row r="1837" spans="1:3" ht="15.75" customHeight="1" x14ac:dyDescent="0.25">
      <c r="A1837" s="2" t="str" cm="1">
        <f t="array" ref="A1837">choice(Salles!A:A,1,Settings!$B$16)</f>
        <v>Salle54</v>
      </c>
      <c r="B1837" s="3" cm="1">
        <f t="array" ref="B1837">alea_date(Settings!$B$11,360,-1,Settings!$B$16)</f>
        <v>46382.583333333336</v>
      </c>
      <c r="C1837" s="20" cm="1">
        <f t="array" ref="C1837">B1837+TIME(alea_int(1,4,Settings!$B$16),0,0)</f>
        <v>46382.75</v>
      </c>
    </row>
    <row r="1838" spans="1:3" ht="15.75" customHeight="1" x14ac:dyDescent="0.25">
      <c r="A1838" s="2" t="str" cm="1">
        <f t="array" ref="A1838">choice(Salles!A:A,1,Settings!$B$16)</f>
        <v>Salle21</v>
      </c>
      <c r="B1838" s="3" cm="1">
        <f t="array" ref="B1838">alea_date(Settings!$B$11,360,-1,Settings!$B$16)</f>
        <v>46240.333333333336</v>
      </c>
      <c r="C1838" s="20" cm="1">
        <f t="array" ref="C1838">B1838+TIME(alea_int(1,4,Settings!$B$16),0,0)</f>
        <v>46240.5</v>
      </c>
    </row>
    <row r="1839" spans="1:3" ht="15.75" customHeight="1" x14ac:dyDescent="0.25">
      <c r="A1839" s="2" t="str" cm="1">
        <f t="array" ref="A1839">choice(Salles!A:A,1,Settings!$B$16)</f>
        <v>Salle68</v>
      </c>
      <c r="B1839" s="3" cm="1">
        <f t="array" ref="B1839">alea_date(Settings!$B$11,360,-1,Settings!$B$16)</f>
        <v>46128.5</v>
      </c>
      <c r="C1839" s="20" cm="1">
        <f t="array" ref="C1839">B1839+TIME(alea_int(1,4,Settings!$B$16),0,0)</f>
        <v>46128.666666666664</v>
      </c>
    </row>
    <row r="1840" spans="1:3" ht="15.75" customHeight="1" x14ac:dyDescent="0.25">
      <c r="A1840" s="2" t="str" cm="1">
        <f t="array" ref="A1840">choice(Salles!A:A,1,Settings!$B$16)</f>
        <v>Salle28</v>
      </c>
      <c r="B1840" s="3" cm="1">
        <f t="array" ref="B1840">alea_date(Settings!$B$11,360,-1,Settings!$B$16)</f>
        <v>46366.5</v>
      </c>
      <c r="C1840" s="20" cm="1">
        <f t="array" ref="C1840">B1840+TIME(alea_int(1,4,Settings!$B$16),0,0)</f>
        <v>46366.666666666664</v>
      </c>
    </row>
    <row r="1841" spans="1:3" ht="15.75" customHeight="1" x14ac:dyDescent="0.25">
      <c r="A1841" s="2" t="str" cm="1">
        <f t="array" ref="A1841">choice(Salles!A:A,1,Settings!$B$16)</f>
        <v>Salle14</v>
      </c>
      <c r="B1841" s="3" cm="1">
        <f t="array" ref="B1841">alea_date(Settings!$B$11,360,-1,Settings!$B$16)</f>
        <v>46219.5</v>
      </c>
      <c r="C1841" s="20" cm="1">
        <f t="array" ref="C1841">B1841+TIME(alea_int(1,4,Settings!$B$16),0,0)</f>
        <v>46219.666666666664</v>
      </c>
    </row>
    <row r="1842" spans="1:3" ht="15.75" customHeight="1" x14ac:dyDescent="0.25">
      <c r="A1842" s="2" t="str" cm="1">
        <f t="array" ref="A1842">choice(Salles!A:A,1,Settings!$B$16)</f>
        <v>Salle56</v>
      </c>
      <c r="B1842" s="3" cm="1">
        <f t="array" ref="B1842">alea_date(Settings!$B$11,360,-1,Settings!$B$16)</f>
        <v>46139.541666666664</v>
      </c>
      <c r="C1842" s="20" cm="1">
        <f t="array" ref="C1842">B1842+TIME(alea_int(1,4,Settings!$B$16),0,0)</f>
        <v>46139.708333333328</v>
      </c>
    </row>
    <row r="1843" spans="1:3" ht="15.75" customHeight="1" x14ac:dyDescent="0.25">
      <c r="A1843" s="2" t="str" cm="1">
        <f t="array" ref="A1843">choice(Salles!A:A,1,Settings!$B$16)</f>
        <v>Salle31</v>
      </c>
      <c r="B1843" s="3" cm="1">
        <f t="array" ref="B1843">alea_date(Settings!$B$11,360,-1,Settings!$B$16)</f>
        <v>46311.583333333336</v>
      </c>
      <c r="C1843" s="20" cm="1">
        <f t="array" ref="C1843">B1843+TIME(alea_int(1,4,Settings!$B$16),0,0)</f>
        <v>46311.75</v>
      </c>
    </row>
    <row r="1844" spans="1:3" ht="15.75" customHeight="1" x14ac:dyDescent="0.25">
      <c r="A1844" s="2" t="str" cm="1">
        <f t="array" ref="A1844">choice(Salles!A:A,1,Settings!$B$16)</f>
        <v>Salle44</v>
      </c>
      <c r="B1844" s="3" cm="1">
        <f t="array" ref="B1844">alea_date(Settings!$B$11,360,-1,Settings!$B$16)</f>
        <v>46120.625</v>
      </c>
      <c r="C1844" s="20" cm="1">
        <f t="array" ref="C1844">B1844+TIME(alea_int(1,4,Settings!$B$16),0,0)</f>
        <v>46120.791666666664</v>
      </c>
    </row>
    <row r="1845" spans="1:3" ht="15.75" customHeight="1" x14ac:dyDescent="0.25">
      <c r="A1845" s="2" t="str" cm="1">
        <f t="array" ref="A1845">choice(Salles!A:A,1,Settings!$B$16)</f>
        <v>Salle54</v>
      </c>
      <c r="B1845" s="3" cm="1">
        <f t="array" ref="B1845">alea_date(Settings!$B$11,360,-1,Settings!$B$16)</f>
        <v>46054.333333333336</v>
      </c>
      <c r="C1845" s="20" cm="1">
        <f t="array" ref="C1845">B1845+TIME(alea_int(1,4,Settings!$B$16),0,0)</f>
        <v>46054.5</v>
      </c>
    </row>
    <row r="1846" spans="1:3" ht="15.75" customHeight="1" x14ac:dyDescent="0.25">
      <c r="A1846" s="2" t="str" cm="1">
        <f t="array" ref="A1846">choice(Salles!A:A,1,Settings!$B$16)</f>
        <v>Salle41</v>
      </c>
      <c r="B1846" s="3" cm="1">
        <f t="array" ref="B1846">alea_date(Settings!$B$11,360,-1,Settings!$B$16)</f>
        <v>46232.25</v>
      </c>
      <c r="C1846" s="20" cm="1">
        <f t="array" ref="C1846">B1846+TIME(alea_int(1,4,Settings!$B$16),0,0)</f>
        <v>46232.416666666664</v>
      </c>
    </row>
    <row r="1847" spans="1:3" ht="15.75" customHeight="1" x14ac:dyDescent="0.25">
      <c r="A1847" s="2" t="str" cm="1">
        <f t="array" ref="A1847">choice(Salles!A:A,1,Settings!$B$16)</f>
        <v>Salle14</v>
      </c>
      <c r="B1847" s="3" cm="1">
        <f t="array" ref="B1847">alea_date(Settings!$B$11,360,-1,Settings!$B$16)</f>
        <v>46030.625</v>
      </c>
      <c r="C1847" s="20" cm="1">
        <f t="array" ref="C1847">B1847+TIME(alea_int(1,4,Settings!$B$16),0,0)</f>
        <v>46030.791666666664</v>
      </c>
    </row>
    <row r="1848" spans="1:3" ht="15.75" customHeight="1" x14ac:dyDescent="0.25">
      <c r="A1848" s="2" t="str" cm="1">
        <f t="array" ref="A1848">choice(Salles!A:A,1,Settings!$B$16)</f>
        <v>Salle4</v>
      </c>
      <c r="B1848" s="3" cm="1">
        <f t="array" ref="B1848">alea_date(Settings!$B$11,360,-1,Settings!$B$16)</f>
        <v>46227.25</v>
      </c>
      <c r="C1848" s="20" cm="1">
        <f t="array" ref="C1848">B1848+TIME(alea_int(1,4,Settings!$B$16),0,0)</f>
        <v>46227.416666666664</v>
      </c>
    </row>
    <row r="1849" spans="1:3" ht="15.75" customHeight="1" x14ac:dyDescent="0.25">
      <c r="A1849" s="2" t="str" cm="1">
        <f t="array" ref="A1849">choice(Salles!A:A,1,Settings!$B$16)</f>
        <v>Salle37</v>
      </c>
      <c r="B1849" s="3" cm="1">
        <f t="array" ref="B1849">alea_date(Settings!$B$11,360,-1,Settings!$B$16)</f>
        <v>46294.541666666664</v>
      </c>
      <c r="C1849" s="20" cm="1">
        <f t="array" ref="C1849">B1849+TIME(alea_int(1,4,Settings!$B$16),0,0)</f>
        <v>46294.708333333328</v>
      </c>
    </row>
    <row r="1850" spans="1:3" ht="15.75" customHeight="1" x14ac:dyDescent="0.25">
      <c r="A1850" s="2" t="str" cm="1">
        <f t="array" ref="A1850">choice(Salles!A:A,1,Settings!$B$16)</f>
        <v>Salle48</v>
      </c>
      <c r="B1850" s="3" cm="1">
        <f t="array" ref="B1850">alea_date(Settings!$B$11,360,-1,Settings!$B$16)</f>
        <v>46176.416666666664</v>
      </c>
      <c r="C1850" s="20" cm="1">
        <f t="array" ref="C1850">B1850+TIME(alea_int(1,4,Settings!$B$16),0,0)</f>
        <v>46176.583333333328</v>
      </c>
    </row>
    <row r="1851" spans="1:3" ht="15.75" customHeight="1" x14ac:dyDescent="0.25">
      <c r="A1851" s="2" t="str" cm="1">
        <f t="array" ref="A1851">choice(Salles!A:A,1,Settings!$B$16)</f>
        <v>Salle19</v>
      </c>
      <c r="B1851" s="3" cm="1">
        <f t="array" ref="B1851">alea_date(Settings!$B$11,360,-1,Settings!$B$16)</f>
        <v>46117.291666666664</v>
      </c>
      <c r="C1851" s="20" cm="1">
        <f t="array" ref="C1851">B1851+TIME(alea_int(1,4,Settings!$B$16),0,0)</f>
        <v>46117.458333333328</v>
      </c>
    </row>
    <row r="1852" spans="1:3" ht="15.75" customHeight="1" x14ac:dyDescent="0.25">
      <c r="A1852" s="2" t="str" cm="1">
        <f t="array" ref="A1852">choice(Salles!A:A,1,Settings!$B$16)</f>
        <v>Salle7</v>
      </c>
      <c r="B1852" s="3" cm="1">
        <f t="array" ref="B1852">alea_date(Settings!$B$11,360,-1,Settings!$B$16)</f>
        <v>46070.333333333336</v>
      </c>
      <c r="C1852" s="20" cm="1">
        <f t="array" ref="C1852">B1852+TIME(alea_int(1,4,Settings!$B$16),0,0)</f>
        <v>46070.5</v>
      </c>
    </row>
    <row r="1853" spans="1:3" ht="15.75" customHeight="1" x14ac:dyDescent="0.25">
      <c r="A1853" s="2" t="str" cm="1">
        <f t="array" ref="A1853">choice(Salles!A:A,1,Settings!$B$16)</f>
        <v>Salle22</v>
      </c>
      <c r="B1853" s="3" cm="1">
        <f t="array" ref="B1853">alea_date(Settings!$B$11,360,-1,Settings!$B$16)</f>
        <v>46331.583333333336</v>
      </c>
      <c r="C1853" s="20" cm="1">
        <f t="array" ref="C1853">B1853+TIME(alea_int(1,4,Settings!$B$16),0,0)</f>
        <v>46331.75</v>
      </c>
    </row>
    <row r="1854" spans="1:3" ht="15.75" customHeight="1" x14ac:dyDescent="0.25">
      <c r="A1854" s="2" t="str" cm="1">
        <f t="array" ref="A1854">choice(Salles!A:A,1,Settings!$B$16)</f>
        <v>Salle60</v>
      </c>
      <c r="B1854" s="3" cm="1">
        <f t="array" ref="B1854">alea_date(Settings!$B$11,360,-1,Settings!$B$16)</f>
        <v>46333.375</v>
      </c>
      <c r="C1854" s="20" cm="1">
        <f t="array" ref="C1854">B1854+TIME(alea_int(1,4,Settings!$B$16),0,0)</f>
        <v>46333.541666666664</v>
      </c>
    </row>
    <row r="1855" spans="1:3" ht="15.75" customHeight="1" x14ac:dyDescent="0.25">
      <c r="A1855" s="2" t="str" cm="1">
        <f t="array" ref="A1855">choice(Salles!A:A,1,Settings!$B$16)</f>
        <v>Salle6</v>
      </c>
      <c r="B1855" s="3" cm="1">
        <f t="array" ref="B1855">alea_date(Settings!$B$11,360,-1,Settings!$B$16)</f>
        <v>46251.583333333336</v>
      </c>
      <c r="C1855" s="20" cm="1">
        <f t="array" ref="C1855">B1855+TIME(alea_int(1,4,Settings!$B$16),0,0)</f>
        <v>46251.75</v>
      </c>
    </row>
    <row r="1856" spans="1:3" ht="15.75" customHeight="1" x14ac:dyDescent="0.25">
      <c r="A1856" s="2" t="str" cm="1">
        <f t="array" ref="A1856">choice(Salles!A:A,1,Settings!$B$16)</f>
        <v>Salle42</v>
      </c>
      <c r="B1856" s="3" cm="1">
        <f t="array" ref="B1856">alea_date(Settings!$B$11,360,-1,Settings!$B$16)</f>
        <v>46205.416666666664</v>
      </c>
      <c r="C1856" s="20" cm="1">
        <f t="array" ref="C1856">B1856+TIME(alea_int(1,4,Settings!$B$16),0,0)</f>
        <v>46205.583333333328</v>
      </c>
    </row>
    <row r="1857" spans="1:3" ht="15.75" customHeight="1" x14ac:dyDescent="0.25">
      <c r="A1857" s="2" t="str" cm="1">
        <f t="array" ref="A1857">choice(Salles!A:A,1,Settings!$B$16)</f>
        <v>Salle26</v>
      </c>
      <c r="B1857" s="3" cm="1">
        <f t="array" ref="B1857">alea_date(Settings!$B$11,360,-1,Settings!$B$16)</f>
        <v>46074.583333333336</v>
      </c>
      <c r="C1857" s="20" cm="1">
        <f t="array" ref="C1857">B1857+TIME(alea_int(1,4,Settings!$B$16),0,0)</f>
        <v>46074.75</v>
      </c>
    </row>
    <row r="1858" spans="1:3" ht="15.75" customHeight="1" x14ac:dyDescent="0.25">
      <c r="A1858" s="2" t="str" cm="1">
        <f t="array" ref="A1858">choice(Salles!A:A,1,Settings!$B$16)</f>
        <v>Salle53</v>
      </c>
      <c r="B1858" s="3" cm="1">
        <f t="array" ref="B1858">alea_date(Settings!$B$11,360,-1,Settings!$B$16)</f>
        <v>46188.458333333336</v>
      </c>
      <c r="C1858" s="20" cm="1">
        <f t="array" ref="C1858">B1858+TIME(alea_int(1,4,Settings!$B$16),0,0)</f>
        <v>46188.625</v>
      </c>
    </row>
    <row r="1859" spans="1:3" ht="15.75" customHeight="1" x14ac:dyDescent="0.25">
      <c r="A1859" s="2" t="str" cm="1">
        <f t="array" ref="A1859">choice(Salles!A:A,1,Settings!$B$16)</f>
        <v>Salle5</v>
      </c>
      <c r="B1859" s="3" cm="1">
        <f t="array" ref="B1859">alea_date(Settings!$B$11,360,-1,Settings!$B$16)</f>
        <v>46141.5</v>
      </c>
      <c r="C1859" s="20" cm="1">
        <f t="array" ref="C1859">B1859+TIME(alea_int(1,4,Settings!$B$16),0,0)</f>
        <v>46141.666666666664</v>
      </c>
    </row>
    <row r="1860" spans="1:3" ht="15.75" customHeight="1" x14ac:dyDescent="0.25">
      <c r="A1860" s="2" t="str" cm="1">
        <f t="array" ref="A1860">choice(Salles!A:A,1,Settings!$B$16)</f>
        <v>Salle36</v>
      </c>
      <c r="B1860" s="3" cm="1">
        <f t="array" ref="B1860">alea_date(Settings!$B$11,360,-1,Settings!$B$16)</f>
        <v>46276.625</v>
      </c>
      <c r="C1860" s="20" cm="1">
        <f t="array" ref="C1860">B1860+TIME(alea_int(1,4,Settings!$B$16),0,0)</f>
        <v>46276.791666666664</v>
      </c>
    </row>
    <row r="1861" spans="1:3" ht="15.75" customHeight="1" x14ac:dyDescent="0.25">
      <c r="A1861" s="2" t="str" cm="1">
        <f t="array" ref="A1861">choice(Salles!A:A,1,Settings!$B$16)</f>
        <v>Salle31</v>
      </c>
      <c r="B1861" s="3" cm="1">
        <f t="array" ref="B1861">alea_date(Settings!$B$11,360,-1,Settings!$B$16)</f>
        <v>46304.333333333336</v>
      </c>
      <c r="C1861" s="20" cm="1">
        <f t="array" ref="C1861">B1861+TIME(alea_int(1,4,Settings!$B$16),0,0)</f>
        <v>46304.5</v>
      </c>
    </row>
    <row r="1862" spans="1:3" ht="15.75" customHeight="1" x14ac:dyDescent="0.25">
      <c r="A1862" s="2" t="str" cm="1">
        <f t="array" ref="A1862">choice(Salles!A:A,1,Settings!$B$16)</f>
        <v>Salle10</v>
      </c>
      <c r="B1862" s="3" cm="1">
        <f t="array" ref="B1862">alea_date(Settings!$B$11,360,-1,Settings!$B$16)</f>
        <v>46062.416666666664</v>
      </c>
      <c r="C1862" s="20" cm="1">
        <f t="array" ref="C1862">B1862+TIME(alea_int(1,4,Settings!$B$16),0,0)</f>
        <v>46062.583333333328</v>
      </c>
    </row>
    <row r="1863" spans="1:3" ht="15.75" customHeight="1" x14ac:dyDescent="0.25">
      <c r="A1863" s="2" t="str" cm="1">
        <f t="array" ref="A1863">choice(Salles!A:A,1,Settings!$B$16)</f>
        <v>Salle46</v>
      </c>
      <c r="B1863" s="3" cm="1">
        <f t="array" ref="B1863">alea_date(Settings!$B$11,360,-1,Settings!$B$16)</f>
        <v>46165.5</v>
      </c>
      <c r="C1863" s="20" cm="1">
        <f t="array" ref="C1863">B1863+TIME(alea_int(1,4,Settings!$B$16),0,0)</f>
        <v>46165.666666666664</v>
      </c>
    </row>
    <row r="1864" spans="1:3" ht="15.75" customHeight="1" x14ac:dyDescent="0.25">
      <c r="A1864" s="2" t="str" cm="1">
        <f t="array" ref="A1864">choice(Salles!A:A,1,Settings!$B$16)</f>
        <v>Salle57</v>
      </c>
      <c r="B1864" s="3" cm="1">
        <f t="array" ref="B1864">alea_date(Settings!$B$11,360,-1,Settings!$B$16)</f>
        <v>46248.416666666664</v>
      </c>
      <c r="C1864" s="20" cm="1">
        <f t="array" ref="C1864">B1864+TIME(alea_int(1,4,Settings!$B$16),0,0)</f>
        <v>46248.583333333328</v>
      </c>
    </row>
    <row r="1865" spans="1:3" ht="15.75" customHeight="1" x14ac:dyDescent="0.25">
      <c r="A1865" s="2" t="str" cm="1">
        <f t="array" ref="A1865">choice(Salles!A:A,1,Settings!$B$16)</f>
        <v>Salle37</v>
      </c>
      <c r="B1865" s="3" cm="1">
        <f t="array" ref="B1865">alea_date(Settings!$B$11,360,-1,Settings!$B$16)</f>
        <v>46273.583333333336</v>
      </c>
      <c r="C1865" s="20" cm="1">
        <f t="array" ref="C1865">B1865+TIME(alea_int(1,4,Settings!$B$16),0,0)</f>
        <v>46273.75</v>
      </c>
    </row>
    <row r="1866" spans="1:3" ht="15.75" customHeight="1" x14ac:dyDescent="0.25">
      <c r="A1866" s="2" t="str" cm="1">
        <f t="array" ref="A1866">choice(Salles!A:A,1,Settings!$B$16)</f>
        <v>Salle7</v>
      </c>
      <c r="B1866" s="3" cm="1">
        <f t="array" ref="B1866">alea_date(Settings!$B$11,360,-1,Settings!$B$16)</f>
        <v>46248.25</v>
      </c>
      <c r="C1866" s="20" cm="1">
        <f t="array" ref="C1866">B1866+TIME(alea_int(1,4,Settings!$B$16),0,0)</f>
        <v>46248.416666666664</v>
      </c>
    </row>
    <row r="1867" spans="1:3" ht="15.75" customHeight="1" x14ac:dyDescent="0.25">
      <c r="A1867" s="2" t="str" cm="1">
        <f t="array" ref="A1867">choice(Salles!A:A,1,Settings!$B$16)</f>
        <v>Salle24</v>
      </c>
      <c r="B1867" s="3" cm="1">
        <f t="array" ref="B1867">alea_date(Settings!$B$11,360,-1,Settings!$B$16)</f>
        <v>46211.625</v>
      </c>
      <c r="C1867" s="20" cm="1">
        <f t="array" ref="C1867">B1867+TIME(alea_int(1,4,Settings!$B$16),0,0)</f>
        <v>46211.791666666664</v>
      </c>
    </row>
    <row r="1868" spans="1:3" ht="15.75" customHeight="1" x14ac:dyDescent="0.25">
      <c r="A1868" s="2" t="str" cm="1">
        <f t="array" ref="A1868">choice(Salles!A:A,1,Settings!$B$16)</f>
        <v>Salle64</v>
      </c>
      <c r="B1868" s="3" cm="1">
        <f t="array" ref="B1868">alea_date(Settings!$B$11,360,-1,Settings!$B$16)</f>
        <v>46361.375</v>
      </c>
      <c r="C1868" s="20" cm="1">
        <f t="array" ref="C1868">B1868+TIME(alea_int(1,4,Settings!$B$16),0,0)</f>
        <v>46361.541666666664</v>
      </c>
    </row>
    <row r="1869" spans="1:3" ht="15.75" customHeight="1" x14ac:dyDescent="0.25">
      <c r="A1869" s="2" t="str" cm="1">
        <f t="array" ref="A1869">choice(Salles!A:A,1,Settings!$B$16)</f>
        <v>Salle13</v>
      </c>
      <c r="B1869" s="3" cm="1">
        <f t="array" ref="B1869">alea_date(Settings!$B$11,360,-1,Settings!$B$16)</f>
        <v>46063.458333333336</v>
      </c>
      <c r="C1869" s="20" cm="1">
        <f t="array" ref="C1869">B1869+TIME(alea_int(1,4,Settings!$B$16),0,0)</f>
        <v>46063.625</v>
      </c>
    </row>
    <row r="1870" spans="1:3" ht="15.75" customHeight="1" x14ac:dyDescent="0.25">
      <c r="A1870" s="2" t="str" cm="1">
        <f t="array" ref="A1870">choice(Salles!A:A,1,Settings!$B$16)</f>
        <v>Salle44</v>
      </c>
      <c r="B1870" s="3" cm="1">
        <f t="array" ref="B1870">alea_date(Settings!$B$11,360,-1,Settings!$B$16)</f>
        <v>46049.625</v>
      </c>
      <c r="C1870" s="20" cm="1">
        <f t="array" ref="C1870">B1870+TIME(alea_int(1,4,Settings!$B$16),0,0)</f>
        <v>46049.791666666664</v>
      </c>
    </row>
    <row r="1871" spans="1:3" ht="15.75" customHeight="1" x14ac:dyDescent="0.25">
      <c r="A1871" s="2" t="str" cm="1">
        <f t="array" ref="A1871">choice(Salles!A:A,1,Settings!$B$16)</f>
        <v>Salle26</v>
      </c>
      <c r="B1871" s="3" cm="1">
        <f t="array" ref="B1871">alea_date(Settings!$B$11,360,-1,Settings!$B$16)</f>
        <v>46261.291666666664</v>
      </c>
      <c r="C1871" s="20" cm="1">
        <f t="array" ref="C1871">B1871+TIME(alea_int(1,4,Settings!$B$16),0,0)</f>
        <v>46261.458333333328</v>
      </c>
    </row>
    <row r="1872" spans="1:3" ht="15.75" customHeight="1" x14ac:dyDescent="0.25">
      <c r="A1872" s="2" t="str" cm="1">
        <f t="array" ref="A1872">choice(Salles!A:A,1,Settings!$B$16)</f>
        <v>Salle69</v>
      </c>
      <c r="B1872" s="3" cm="1">
        <f t="array" ref="B1872">alea_date(Settings!$B$11,360,-1,Settings!$B$16)</f>
        <v>46043.25</v>
      </c>
      <c r="C1872" s="20" cm="1">
        <f t="array" ref="C1872">B1872+TIME(alea_int(1,4,Settings!$B$16),0,0)</f>
        <v>46043.416666666664</v>
      </c>
    </row>
    <row r="1873" spans="1:3" ht="15.75" customHeight="1" x14ac:dyDescent="0.25">
      <c r="A1873" s="2" t="str" cm="1">
        <f t="array" ref="A1873">choice(Salles!A:A,1,Settings!$B$16)</f>
        <v>Salle21</v>
      </c>
      <c r="B1873" s="3" cm="1">
        <f t="array" ref="B1873">alea_date(Settings!$B$11,360,-1,Settings!$B$16)</f>
        <v>46379.583333333336</v>
      </c>
      <c r="C1873" s="20" cm="1">
        <f t="array" ref="C1873">B1873+TIME(alea_int(1,4,Settings!$B$16),0,0)</f>
        <v>46379.75</v>
      </c>
    </row>
    <row r="1874" spans="1:3" ht="15.75" customHeight="1" x14ac:dyDescent="0.25">
      <c r="A1874" s="2" t="str" cm="1">
        <f t="array" ref="A1874">choice(Salles!A:A,1,Settings!$B$16)</f>
        <v>Salle62</v>
      </c>
      <c r="B1874" s="3" cm="1">
        <f t="array" ref="B1874">alea_date(Settings!$B$11,360,-1,Settings!$B$16)</f>
        <v>46056.25</v>
      </c>
      <c r="C1874" s="20" cm="1">
        <f t="array" ref="C1874">B1874+TIME(alea_int(1,4,Settings!$B$16),0,0)</f>
        <v>46056.416666666664</v>
      </c>
    </row>
    <row r="1875" spans="1:3" ht="15.75" customHeight="1" x14ac:dyDescent="0.25">
      <c r="A1875" s="2" t="str" cm="1">
        <f t="array" ref="A1875">choice(Salles!A:A,1,Settings!$B$16)</f>
        <v>Salle33</v>
      </c>
      <c r="B1875" s="3" cm="1">
        <f t="array" ref="B1875">alea_date(Settings!$B$11,360,-1,Settings!$B$16)</f>
        <v>46311.291666666664</v>
      </c>
      <c r="C1875" s="20" cm="1">
        <f t="array" ref="C1875">B1875+TIME(alea_int(1,4,Settings!$B$16),0,0)</f>
        <v>46311.458333333328</v>
      </c>
    </row>
    <row r="1876" spans="1:3" ht="15.75" customHeight="1" x14ac:dyDescent="0.25">
      <c r="A1876" s="2" t="str" cm="1">
        <f t="array" ref="A1876">choice(Salles!A:A,1,Settings!$B$16)</f>
        <v>Salle35</v>
      </c>
      <c r="B1876" s="3" cm="1">
        <f t="array" ref="B1876">alea_date(Settings!$B$11,360,-1,Settings!$B$16)</f>
        <v>46120.333333333336</v>
      </c>
      <c r="C1876" s="20" cm="1">
        <f t="array" ref="C1876">B1876+TIME(alea_int(1,4,Settings!$B$16),0,0)</f>
        <v>46120.5</v>
      </c>
    </row>
    <row r="1877" spans="1:3" ht="15.75" customHeight="1" x14ac:dyDescent="0.25">
      <c r="A1877" s="2" t="str" cm="1">
        <f t="array" ref="A1877">choice(Salles!A:A,1,Settings!$B$16)</f>
        <v>Salle53</v>
      </c>
      <c r="B1877" s="3" cm="1">
        <f t="array" ref="B1877">alea_date(Settings!$B$11,360,-1,Settings!$B$16)</f>
        <v>46288.333333333336</v>
      </c>
      <c r="C1877" s="20" cm="1">
        <f t="array" ref="C1877">B1877+TIME(alea_int(1,4,Settings!$B$16),0,0)</f>
        <v>46288.5</v>
      </c>
    </row>
    <row r="1878" spans="1:3" ht="15.75" customHeight="1" x14ac:dyDescent="0.25">
      <c r="A1878" s="2" t="str" cm="1">
        <f t="array" ref="A1878">choice(Salles!A:A,1,Settings!$B$16)</f>
        <v>Salle70</v>
      </c>
      <c r="B1878" s="3" cm="1">
        <f t="array" ref="B1878">alea_date(Settings!$B$11,360,-1,Settings!$B$16)</f>
        <v>46170.375</v>
      </c>
      <c r="C1878" s="20" cm="1">
        <f t="array" ref="C1878">B1878+TIME(alea_int(1,4,Settings!$B$16),0,0)</f>
        <v>46170.541666666664</v>
      </c>
    </row>
    <row r="1879" spans="1:3" ht="15.75" customHeight="1" x14ac:dyDescent="0.25">
      <c r="A1879" s="2" t="str" cm="1">
        <f t="array" ref="A1879">choice(Salles!A:A,1,Settings!$B$16)</f>
        <v>Salle63</v>
      </c>
      <c r="B1879" s="3" cm="1">
        <f t="array" ref="B1879">alea_date(Settings!$B$11,360,-1,Settings!$B$16)</f>
        <v>46234.625</v>
      </c>
      <c r="C1879" s="20" cm="1">
        <f t="array" ref="C1879">B1879+TIME(alea_int(1,4,Settings!$B$16),0,0)</f>
        <v>46234.791666666664</v>
      </c>
    </row>
    <row r="1880" spans="1:3" ht="15.75" customHeight="1" x14ac:dyDescent="0.25">
      <c r="A1880" s="2" t="str" cm="1">
        <f t="array" ref="A1880">choice(Salles!A:A,1,Settings!$B$16)</f>
        <v>Salle55</v>
      </c>
      <c r="B1880" s="3" cm="1">
        <f t="array" ref="B1880">alea_date(Settings!$B$11,360,-1,Settings!$B$16)</f>
        <v>46129.25</v>
      </c>
      <c r="C1880" s="20" cm="1">
        <f t="array" ref="C1880">B1880+TIME(alea_int(1,4,Settings!$B$16),0,0)</f>
        <v>46129.416666666664</v>
      </c>
    </row>
    <row r="1881" spans="1:3" ht="15.75" customHeight="1" x14ac:dyDescent="0.25">
      <c r="A1881" s="2" t="str" cm="1">
        <f t="array" ref="A1881">choice(Salles!A:A,1,Settings!$B$16)</f>
        <v>Salle1</v>
      </c>
      <c r="B1881" s="3" cm="1">
        <f t="array" ref="B1881">alea_date(Settings!$B$11,360,-1,Settings!$B$16)</f>
        <v>46114.541666666664</v>
      </c>
      <c r="C1881" s="20" cm="1">
        <f t="array" ref="C1881">B1881+TIME(alea_int(1,4,Settings!$B$16),0,0)</f>
        <v>46114.708333333328</v>
      </c>
    </row>
    <row r="1882" spans="1:3" ht="15.75" customHeight="1" x14ac:dyDescent="0.25">
      <c r="A1882" s="2" t="str" cm="1">
        <f t="array" ref="A1882">choice(Salles!A:A,1,Settings!$B$16)</f>
        <v>Salle8</v>
      </c>
      <c r="B1882" s="3" cm="1">
        <f t="array" ref="B1882">alea_date(Settings!$B$11,360,-1,Settings!$B$16)</f>
        <v>46309.458333333336</v>
      </c>
      <c r="C1882" s="20" cm="1">
        <f t="array" ref="C1882">B1882+TIME(alea_int(1,4,Settings!$B$16),0,0)</f>
        <v>46309.625</v>
      </c>
    </row>
    <row r="1883" spans="1:3" ht="15.75" customHeight="1" x14ac:dyDescent="0.25">
      <c r="A1883" s="2" t="str" cm="1">
        <f t="array" ref="A1883">choice(Salles!A:A,1,Settings!$B$16)</f>
        <v>Salle54</v>
      </c>
      <c r="B1883" s="3" cm="1">
        <f t="array" ref="B1883">alea_date(Settings!$B$11,360,-1,Settings!$B$16)</f>
        <v>46255.458333333336</v>
      </c>
      <c r="C1883" s="20" cm="1">
        <f t="array" ref="C1883">B1883+TIME(alea_int(1,4,Settings!$B$16),0,0)</f>
        <v>46255.625</v>
      </c>
    </row>
    <row r="1884" spans="1:3" ht="15.75" customHeight="1" x14ac:dyDescent="0.25">
      <c r="A1884" s="2" t="str" cm="1">
        <f t="array" ref="A1884">choice(Salles!A:A,1,Settings!$B$16)</f>
        <v>Salle32</v>
      </c>
      <c r="B1884" s="3" cm="1">
        <f t="array" ref="B1884">alea_date(Settings!$B$11,360,-1,Settings!$B$16)</f>
        <v>46031.458333333336</v>
      </c>
      <c r="C1884" s="20" cm="1">
        <f t="array" ref="C1884">B1884+TIME(alea_int(1,4,Settings!$B$16),0,0)</f>
        <v>46031.625</v>
      </c>
    </row>
    <row r="1885" spans="1:3" ht="15.75" customHeight="1" x14ac:dyDescent="0.25">
      <c r="A1885" s="2" t="str" cm="1">
        <f t="array" ref="A1885">choice(Salles!A:A,1,Settings!$B$16)</f>
        <v>Salle43</v>
      </c>
      <c r="B1885" s="3" cm="1">
        <f t="array" ref="B1885">alea_date(Settings!$B$11,360,-1,Settings!$B$16)</f>
        <v>46061.541666666664</v>
      </c>
      <c r="C1885" s="20" cm="1">
        <f t="array" ref="C1885">B1885+TIME(alea_int(1,4,Settings!$B$16),0,0)</f>
        <v>46061.708333333328</v>
      </c>
    </row>
    <row r="1886" spans="1:3" ht="15.75" customHeight="1" x14ac:dyDescent="0.25">
      <c r="A1886" s="2" t="str" cm="1">
        <f t="array" ref="A1886">choice(Salles!A:A,1,Settings!$B$16)</f>
        <v>Salle11</v>
      </c>
      <c r="B1886" s="3" cm="1">
        <f t="array" ref="B1886">alea_date(Settings!$B$11,360,-1,Settings!$B$16)</f>
        <v>46315.25</v>
      </c>
      <c r="C1886" s="20" cm="1">
        <f t="array" ref="C1886">B1886+TIME(alea_int(1,4,Settings!$B$16),0,0)</f>
        <v>46315.416666666664</v>
      </c>
    </row>
    <row r="1887" spans="1:3" ht="15.75" customHeight="1" x14ac:dyDescent="0.25">
      <c r="A1887" s="2" t="str" cm="1">
        <f t="array" ref="A1887">choice(Salles!A:A,1,Settings!$B$16)</f>
        <v>Salle48</v>
      </c>
      <c r="B1887" s="3" cm="1">
        <f t="array" ref="B1887">alea_date(Settings!$B$11,360,-1,Settings!$B$16)</f>
        <v>46111.416666666664</v>
      </c>
      <c r="C1887" s="20" cm="1">
        <f t="array" ref="C1887">B1887+TIME(alea_int(1,4,Settings!$B$16),0,0)</f>
        <v>46111.583333333328</v>
      </c>
    </row>
    <row r="1888" spans="1:3" ht="15.75" customHeight="1" x14ac:dyDescent="0.25">
      <c r="A1888" s="2" t="str" cm="1">
        <f t="array" ref="A1888">choice(Salles!A:A,1,Settings!$B$16)</f>
        <v>Salle23</v>
      </c>
      <c r="B1888" s="3" cm="1">
        <f t="array" ref="B1888">alea_date(Settings!$B$11,360,-1,Settings!$B$16)</f>
        <v>46353.541666666664</v>
      </c>
      <c r="C1888" s="20" cm="1">
        <f t="array" ref="C1888">B1888+TIME(alea_int(1,4,Settings!$B$16),0,0)</f>
        <v>46353.708333333328</v>
      </c>
    </row>
    <row r="1889" spans="1:3" ht="15.75" customHeight="1" x14ac:dyDescent="0.25">
      <c r="A1889" s="2" t="str" cm="1">
        <f t="array" ref="A1889">choice(Salles!A:A,1,Settings!$B$16)</f>
        <v>Salle41</v>
      </c>
      <c r="B1889" s="3" cm="1">
        <f t="array" ref="B1889">alea_date(Settings!$B$11,360,-1,Settings!$B$16)</f>
        <v>46039.625</v>
      </c>
      <c r="C1889" s="20" cm="1">
        <f t="array" ref="C1889">B1889+TIME(alea_int(1,4,Settings!$B$16),0,0)</f>
        <v>46039.791666666664</v>
      </c>
    </row>
    <row r="1890" spans="1:3" ht="15.75" customHeight="1" x14ac:dyDescent="0.25">
      <c r="A1890" s="2" t="str" cm="1">
        <f t="array" ref="A1890">choice(Salles!A:A,1,Settings!$B$16)</f>
        <v>Salle43</v>
      </c>
      <c r="B1890" s="3" cm="1">
        <f t="array" ref="B1890">alea_date(Settings!$B$11,360,-1,Settings!$B$16)</f>
        <v>46249.416666666664</v>
      </c>
      <c r="C1890" s="20" cm="1">
        <f t="array" ref="C1890">B1890+TIME(alea_int(1,4,Settings!$B$16),0,0)</f>
        <v>46249.583333333328</v>
      </c>
    </row>
    <row r="1891" spans="1:3" ht="15.75" customHeight="1" x14ac:dyDescent="0.25">
      <c r="A1891" s="2" t="str" cm="1">
        <f t="array" ref="A1891">choice(Salles!A:A,1,Settings!$B$16)</f>
        <v>Salle19</v>
      </c>
      <c r="B1891" s="3" cm="1">
        <f t="array" ref="B1891">alea_date(Settings!$B$11,360,-1,Settings!$B$16)</f>
        <v>46108.5</v>
      </c>
      <c r="C1891" s="20" cm="1">
        <f t="array" ref="C1891">B1891+TIME(alea_int(1,4,Settings!$B$16),0,0)</f>
        <v>46108.666666666664</v>
      </c>
    </row>
    <row r="1892" spans="1:3" ht="15.75" customHeight="1" x14ac:dyDescent="0.25">
      <c r="A1892" s="2" t="str" cm="1">
        <f t="array" ref="A1892">choice(Salles!A:A,1,Settings!$B$16)</f>
        <v>Salle33</v>
      </c>
      <c r="B1892" s="3" cm="1">
        <f t="array" ref="B1892">alea_date(Settings!$B$11,360,-1,Settings!$B$16)</f>
        <v>46032.333333333336</v>
      </c>
      <c r="C1892" s="20" cm="1">
        <f t="array" ref="C1892">B1892+TIME(alea_int(1,4,Settings!$B$16),0,0)</f>
        <v>46032.5</v>
      </c>
    </row>
    <row r="1893" spans="1:3" ht="15.75" customHeight="1" x14ac:dyDescent="0.25">
      <c r="A1893" s="2" t="str" cm="1">
        <f t="array" ref="A1893">choice(Salles!A:A,1,Settings!$B$16)</f>
        <v>Salle58</v>
      </c>
      <c r="B1893" s="3" cm="1">
        <f t="array" ref="B1893">alea_date(Settings!$B$11,360,-1,Settings!$B$16)</f>
        <v>46133.5</v>
      </c>
      <c r="C1893" s="20" cm="1">
        <f t="array" ref="C1893">B1893+TIME(alea_int(1,4,Settings!$B$16),0,0)</f>
        <v>46133.666666666664</v>
      </c>
    </row>
    <row r="1894" spans="1:3" ht="15.75" customHeight="1" x14ac:dyDescent="0.25">
      <c r="A1894" s="2" t="str" cm="1">
        <f t="array" ref="A1894">choice(Salles!A:A,1,Settings!$B$16)</f>
        <v>Salle46</v>
      </c>
      <c r="B1894" s="3" cm="1">
        <f t="array" ref="B1894">alea_date(Settings!$B$11,360,-1,Settings!$B$16)</f>
        <v>46183.333333333336</v>
      </c>
      <c r="C1894" s="20" cm="1">
        <f t="array" ref="C1894">B1894+TIME(alea_int(1,4,Settings!$B$16),0,0)</f>
        <v>46183.5</v>
      </c>
    </row>
    <row r="1895" spans="1:3" ht="15.75" customHeight="1" x14ac:dyDescent="0.25">
      <c r="A1895" s="2" t="str" cm="1">
        <f t="array" ref="A1895">choice(Salles!A:A,1,Settings!$B$16)</f>
        <v>Salle47</v>
      </c>
      <c r="B1895" s="3" cm="1">
        <f t="array" ref="B1895">alea_date(Settings!$B$11,360,-1,Settings!$B$16)</f>
        <v>46367.333333333336</v>
      </c>
      <c r="C1895" s="20" cm="1">
        <f t="array" ref="C1895">B1895+TIME(alea_int(1,4,Settings!$B$16),0,0)</f>
        <v>46367.5</v>
      </c>
    </row>
    <row r="1896" spans="1:3" ht="15.75" customHeight="1" x14ac:dyDescent="0.25">
      <c r="A1896" s="2" t="str" cm="1">
        <f t="array" ref="A1896">choice(Salles!A:A,1,Settings!$B$16)</f>
        <v>Salle17</v>
      </c>
      <c r="B1896" s="3" cm="1">
        <f t="array" ref="B1896">alea_date(Settings!$B$11,360,-1,Settings!$B$16)</f>
        <v>46069.583333333336</v>
      </c>
      <c r="C1896" s="20" cm="1">
        <f t="array" ref="C1896">B1896+TIME(alea_int(1,4,Settings!$B$16),0,0)</f>
        <v>46069.75</v>
      </c>
    </row>
    <row r="1897" spans="1:3" ht="15.75" customHeight="1" x14ac:dyDescent="0.25">
      <c r="A1897" s="2" t="str" cm="1">
        <f t="array" ref="A1897">choice(Salles!A:A,1,Settings!$B$16)</f>
        <v>Salle7</v>
      </c>
      <c r="B1897" s="3" cm="1">
        <f t="array" ref="B1897">alea_date(Settings!$B$11,360,-1,Settings!$B$16)</f>
        <v>46381.333333333336</v>
      </c>
      <c r="C1897" s="20" cm="1">
        <f t="array" ref="C1897">B1897+TIME(alea_int(1,4,Settings!$B$16),0,0)</f>
        <v>46381.5</v>
      </c>
    </row>
    <row r="1898" spans="1:3" ht="15.75" customHeight="1" x14ac:dyDescent="0.25">
      <c r="A1898" s="2" t="str" cm="1">
        <f t="array" ref="A1898">choice(Salles!A:A,1,Settings!$B$16)</f>
        <v>Salle61</v>
      </c>
      <c r="B1898" s="3" cm="1">
        <f t="array" ref="B1898">alea_date(Settings!$B$11,360,-1,Settings!$B$16)</f>
        <v>46297.458333333336</v>
      </c>
      <c r="C1898" s="20" cm="1">
        <f t="array" ref="C1898">B1898+TIME(alea_int(1,4,Settings!$B$16),0,0)</f>
        <v>46297.625</v>
      </c>
    </row>
    <row r="1899" spans="1:3" ht="15.75" customHeight="1" x14ac:dyDescent="0.25">
      <c r="A1899" s="2" t="str" cm="1">
        <f t="array" ref="A1899">choice(Salles!A:A,1,Settings!$B$16)</f>
        <v>Salle34</v>
      </c>
      <c r="B1899" s="3" cm="1">
        <f t="array" ref="B1899">alea_date(Settings!$B$11,360,-1,Settings!$B$16)</f>
        <v>46058.291666666664</v>
      </c>
      <c r="C1899" s="20" cm="1">
        <f t="array" ref="C1899">B1899+TIME(alea_int(1,4,Settings!$B$16),0,0)</f>
        <v>46058.458333333328</v>
      </c>
    </row>
    <row r="1900" spans="1:3" ht="15.75" customHeight="1" x14ac:dyDescent="0.25">
      <c r="A1900" s="2" t="str" cm="1">
        <f t="array" ref="A1900">choice(Salles!A:A,1,Settings!$B$16)</f>
        <v>Salle37</v>
      </c>
      <c r="B1900" s="3" cm="1">
        <f t="array" ref="B1900">alea_date(Settings!$B$11,360,-1,Settings!$B$16)</f>
        <v>46317.541666666664</v>
      </c>
      <c r="C1900" s="20" cm="1">
        <f t="array" ref="C1900">B1900+TIME(alea_int(1,4,Settings!$B$16),0,0)</f>
        <v>46317.708333333328</v>
      </c>
    </row>
    <row r="1901" spans="1:3" ht="15.75" customHeight="1" x14ac:dyDescent="0.25">
      <c r="A1901" s="2" t="str" cm="1">
        <f t="array" ref="A1901">choice(Salles!A:A,1,Settings!$B$16)</f>
        <v>Salle36</v>
      </c>
      <c r="B1901" s="3" cm="1">
        <f t="array" ref="B1901">alea_date(Settings!$B$11,360,-1,Settings!$B$16)</f>
        <v>46042.5</v>
      </c>
      <c r="C1901" s="20" cm="1">
        <f t="array" ref="C1901">B1901+TIME(alea_int(1,4,Settings!$B$16),0,0)</f>
        <v>46042.666666666664</v>
      </c>
    </row>
    <row r="1902" spans="1:3" ht="15.75" customHeight="1" x14ac:dyDescent="0.25">
      <c r="A1902" s="2" t="str" cm="1">
        <f t="array" ref="A1902">choice(Salles!A:A,1,Settings!$B$16)</f>
        <v>Salle58</v>
      </c>
      <c r="B1902" s="3" cm="1">
        <f t="array" ref="B1902">alea_date(Settings!$B$11,360,-1,Settings!$B$16)</f>
        <v>46115.583333333336</v>
      </c>
      <c r="C1902" s="20" cm="1">
        <f t="array" ref="C1902">B1902+TIME(alea_int(1,4,Settings!$B$16),0,0)</f>
        <v>46115.75</v>
      </c>
    </row>
    <row r="1903" spans="1:3" ht="15.75" customHeight="1" x14ac:dyDescent="0.25">
      <c r="A1903" s="2" t="str" cm="1">
        <f t="array" ref="A1903">choice(Salles!A:A,1,Settings!$B$16)</f>
        <v>Salle67</v>
      </c>
      <c r="B1903" s="3" cm="1">
        <f t="array" ref="B1903">alea_date(Settings!$B$11,360,-1,Settings!$B$16)</f>
        <v>46135.25</v>
      </c>
      <c r="C1903" s="20" cm="1">
        <f t="array" ref="C1903">B1903+TIME(alea_int(1,4,Settings!$B$16),0,0)</f>
        <v>46135.416666666664</v>
      </c>
    </row>
    <row r="1904" spans="1:3" ht="15.75" customHeight="1" x14ac:dyDescent="0.25">
      <c r="A1904" s="2" t="str" cm="1">
        <f t="array" ref="A1904">choice(Salles!A:A,1,Settings!$B$16)</f>
        <v>Salle18</v>
      </c>
      <c r="B1904" s="3" cm="1">
        <f t="array" ref="B1904">alea_date(Settings!$B$11,360,-1,Settings!$B$16)</f>
        <v>46088.291666666664</v>
      </c>
      <c r="C1904" s="20" cm="1">
        <f t="array" ref="C1904">B1904+TIME(alea_int(1,4,Settings!$B$16),0,0)</f>
        <v>46088.458333333328</v>
      </c>
    </row>
    <row r="1905" spans="1:3" ht="15.75" customHeight="1" x14ac:dyDescent="0.25">
      <c r="A1905" s="2" t="str" cm="1">
        <f t="array" ref="A1905">choice(Salles!A:A,1,Settings!$B$16)</f>
        <v>Salle50</v>
      </c>
      <c r="B1905" s="3" cm="1">
        <f t="array" ref="B1905">alea_date(Settings!$B$11,360,-1,Settings!$B$16)</f>
        <v>46271.333333333336</v>
      </c>
      <c r="C1905" s="20" cm="1">
        <f t="array" ref="C1905">B1905+TIME(alea_int(1,4,Settings!$B$16),0,0)</f>
        <v>46271.5</v>
      </c>
    </row>
    <row r="1906" spans="1:3" ht="15.75" customHeight="1" x14ac:dyDescent="0.25">
      <c r="A1906" s="2" t="str" cm="1">
        <f t="array" ref="A1906">choice(Salles!A:A,1,Settings!$B$16)</f>
        <v>Salle45</v>
      </c>
      <c r="B1906" s="3" cm="1">
        <f t="array" ref="B1906">alea_date(Settings!$B$11,360,-1,Settings!$B$16)</f>
        <v>46156.625</v>
      </c>
      <c r="C1906" s="20" cm="1">
        <f t="array" ref="C1906">B1906+TIME(alea_int(1,4,Settings!$B$16),0,0)</f>
        <v>46156.791666666664</v>
      </c>
    </row>
    <row r="1907" spans="1:3" ht="15.75" customHeight="1" x14ac:dyDescent="0.25">
      <c r="A1907" s="2" t="str" cm="1">
        <f t="array" ref="A1907">choice(Salles!A:A,1,Settings!$B$16)</f>
        <v>Salle30</v>
      </c>
      <c r="B1907" s="3" cm="1">
        <f t="array" ref="B1907">alea_date(Settings!$B$11,360,-1,Settings!$B$16)</f>
        <v>46195.5</v>
      </c>
      <c r="C1907" s="20" cm="1">
        <f t="array" ref="C1907">B1907+TIME(alea_int(1,4,Settings!$B$16),0,0)</f>
        <v>46195.666666666664</v>
      </c>
    </row>
    <row r="1908" spans="1:3" ht="15.75" customHeight="1" x14ac:dyDescent="0.25">
      <c r="A1908" s="2" t="str" cm="1">
        <f t="array" ref="A1908">choice(Salles!A:A,1,Settings!$B$16)</f>
        <v>Salle51</v>
      </c>
      <c r="B1908" s="3" cm="1">
        <f t="array" ref="B1908">alea_date(Settings!$B$11,360,-1,Settings!$B$16)</f>
        <v>46211.25</v>
      </c>
      <c r="C1908" s="20" cm="1">
        <f t="array" ref="C1908">B1908+TIME(alea_int(1,4,Settings!$B$16),0,0)</f>
        <v>46211.416666666664</v>
      </c>
    </row>
    <row r="1909" spans="1:3" ht="15.75" customHeight="1" x14ac:dyDescent="0.25">
      <c r="A1909" s="2" t="str" cm="1">
        <f t="array" ref="A1909">choice(Salles!A:A,1,Settings!$B$16)</f>
        <v>Salle44</v>
      </c>
      <c r="B1909" s="3" cm="1">
        <f t="array" ref="B1909">alea_date(Settings!$B$11,360,-1,Settings!$B$16)</f>
        <v>46302.291666666664</v>
      </c>
      <c r="C1909" s="20" cm="1">
        <f t="array" ref="C1909">B1909+TIME(alea_int(1,4,Settings!$B$16),0,0)</f>
        <v>46302.458333333328</v>
      </c>
    </row>
    <row r="1910" spans="1:3" ht="15.75" customHeight="1" x14ac:dyDescent="0.25">
      <c r="A1910" s="2" t="str" cm="1">
        <f t="array" ref="A1910">choice(Salles!A:A,1,Settings!$B$16)</f>
        <v>Salle15</v>
      </c>
      <c r="B1910" s="3" cm="1">
        <f t="array" ref="B1910">alea_date(Settings!$B$11,360,-1,Settings!$B$16)</f>
        <v>46358.416666666664</v>
      </c>
      <c r="C1910" s="20" cm="1">
        <f t="array" ref="C1910">B1910+TIME(alea_int(1,4,Settings!$B$16),0,0)</f>
        <v>46358.583333333328</v>
      </c>
    </row>
    <row r="1911" spans="1:3" ht="15.75" customHeight="1" x14ac:dyDescent="0.25">
      <c r="A1911" s="2" t="str" cm="1">
        <f t="array" ref="A1911">choice(Salles!A:A,1,Settings!$B$16)</f>
        <v>Salle32</v>
      </c>
      <c r="B1911" s="3" cm="1">
        <f t="array" ref="B1911">alea_date(Settings!$B$11,360,-1,Settings!$B$16)</f>
        <v>46161.25</v>
      </c>
      <c r="C1911" s="20" cm="1">
        <f t="array" ref="C1911">B1911+TIME(alea_int(1,4,Settings!$B$16),0,0)</f>
        <v>46161.416666666664</v>
      </c>
    </row>
    <row r="1912" spans="1:3" ht="15.75" customHeight="1" x14ac:dyDescent="0.25">
      <c r="A1912" s="2" t="str" cm="1">
        <f t="array" ref="A1912">choice(Salles!A:A,1,Settings!$B$16)</f>
        <v>Salle65</v>
      </c>
      <c r="B1912" s="3" cm="1">
        <f t="array" ref="B1912">alea_date(Settings!$B$11,360,-1,Settings!$B$16)</f>
        <v>46316.458333333336</v>
      </c>
      <c r="C1912" s="20" cm="1">
        <f t="array" ref="C1912">B1912+TIME(alea_int(1,4,Settings!$B$16),0,0)</f>
        <v>46316.625</v>
      </c>
    </row>
    <row r="1913" spans="1:3" ht="15.75" customHeight="1" x14ac:dyDescent="0.25">
      <c r="A1913" s="2" t="str" cm="1">
        <f t="array" ref="A1913">choice(Salles!A:A,1,Settings!$B$16)</f>
        <v>Salle41</v>
      </c>
      <c r="B1913" s="3" cm="1">
        <f t="array" ref="B1913">alea_date(Settings!$B$11,360,-1,Settings!$B$16)</f>
        <v>46341.291666666664</v>
      </c>
      <c r="C1913" s="20" cm="1">
        <f t="array" ref="C1913">B1913+TIME(alea_int(1,4,Settings!$B$16),0,0)</f>
        <v>46341.458333333328</v>
      </c>
    </row>
    <row r="1914" spans="1:3" ht="15.75" customHeight="1" x14ac:dyDescent="0.25">
      <c r="A1914" s="2" t="str" cm="1">
        <f t="array" ref="A1914">choice(Salles!A:A,1,Settings!$B$16)</f>
        <v>Salle26</v>
      </c>
      <c r="B1914" s="3" cm="1">
        <f t="array" ref="B1914">alea_date(Settings!$B$11,360,-1,Settings!$B$16)</f>
        <v>46071.333333333336</v>
      </c>
      <c r="C1914" s="20" cm="1">
        <f t="array" ref="C1914">B1914+TIME(alea_int(1,4,Settings!$B$16),0,0)</f>
        <v>46071.5</v>
      </c>
    </row>
    <row r="1915" spans="1:3" ht="15.75" customHeight="1" x14ac:dyDescent="0.25">
      <c r="A1915" s="2" t="str" cm="1">
        <f t="array" ref="A1915">choice(Salles!A:A,1,Settings!$B$16)</f>
        <v>Salle50</v>
      </c>
      <c r="B1915" s="3" cm="1">
        <f t="array" ref="B1915">alea_date(Settings!$B$11,360,-1,Settings!$B$16)</f>
        <v>46379.583333333336</v>
      </c>
      <c r="C1915" s="20" cm="1">
        <f t="array" ref="C1915">B1915+TIME(alea_int(1,4,Settings!$B$16),0,0)</f>
        <v>46379.75</v>
      </c>
    </row>
    <row r="1916" spans="1:3" ht="15.75" customHeight="1" x14ac:dyDescent="0.25">
      <c r="A1916" s="2" t="str" cm="1">
        <f t="array" ref="A1916">choice(Salles!A:A,1,Settings!$B$16)</f>
        <v>Salle63</v>
      </c>
      <c r="B1916" s="3" cm="1">
        <f t="array" ref="B1916">alea_date(Settings!$B$11,360,-1,Settings!$B$16)</f>
        <v>46301.291666666664</v>
      </c>
      <c r="C1916" s="20" cm="1">
        <f t="array" ref="C1916">B1916+TIME(alea_int(1,4,Settings!$B$16),0,0)</f>
        <v>46301.458333333328</v>
      </c>
    </row>
    <row r="1917" spans="1:3" ht="15.75" customHeight="1" x14ac:dyDescent="0.25">
      <c r="A1917" s="2" t="str" cm="1">
        <f t="array" ref="A1917">choice(Salles!A:A,1,Settings!$B$16)</f>
        <v>Salle65</v>
      </c>
      <c r="B1917" s="3" cm="1">
        <f t="array" ref="B1917">alea_date(Settings!$B$11,360,-1,Settings!$B$16)</f>
        <v>46342.25</v>
      </c>
      <c r="C1917" s="20" cm="1">
        <f t="array" ref="C1917">B1917+TIME(alea_int(1,4,Settings!$B$16),0,0)</f>
        <v>46342.416666666664</v>
      </c>
    </row>
    <row r="1918" spans="1:3" ht="15.75" customHeight="1" x14ac:dyDescent="0.25">
      <c r="A1918" s="2" t="str" cm="1">
        <f t="array" ref="A1918">choice(Salles!A:A,1,Settings!$B$16)</f>
        <v>Salle22</v>
      </c>
      <c r="B1918" s="3" cm="1">
        <f t="array" ref="B1918">alea_date(Settings!$B$11,360,-1,Settings!$B$16)</f>
        <v>46225.375</v>
      </c>
      <c r="C1918" s="20" cm="1">
        <f t="array" ref="C1918">B1918+TIME(alea_int(1,4,Settings!$B$16),0,0)</f>
        <v>46225.541666666664</v>
      </c>
    </row>
    <row r="1919" spans="1:3" ht="15.75" customHeight="1" x14ac:dyDescent="0.25">
      <c r="A1919" s="2" t="str" cm="1">
        <f t="array" ref="A1919">choice(Salles!A:A,1,Settings!$B$16)</f>
        <v>Salle38</v>
      </c>
      <c r="B1919" s="3" cm="1">
        <f t="array" ref="B1919">alea_date(Settings!$B$11,360,-1,Settings!$B$16)</f>
        <v>46359.291666666664</v>
      </c>
      <c r="C1919" s="20" cm="1">
        <f t="array" ref="C1919">B1919+TIME(alea_int(1,4,Settings!$B$16),0,0)</f>
        <v>46359.458333333328</v>
      </c>
    </row>
    <row r="1920" spans="1:3" ht="15.75" customHeight="1" x14ac:dyDescent="0.25">
      <c r="A1920" s="2" t="str" cm="1">
        <f t="array" ref="A1920">choice(Salles!A:A,1,Settings!$B$16)</f>
        <v>Salle54</v>
      </c>
      <c r="B1920" s="3" cm="1">
        <f t="array" ref="B1920">alea_date(Settings!$B$11,360,-1,Settings!$B$16)</f>
        <v>46080.416666666664</v>
      </c>
      <c r="C1920" s="20" cm="1">
        <f t="array" ref="C1920">B1920+TIME(alea_int(1,4,Settings!$B$16),0,0)</f>
        <v>46080.583333333328</v>
      </c>
    </row>
    <row r="1921" spans="1:3" ht="15.75" customHeight="1" x14ac:dyDescent="0.25">
      <c r="A1921" s="2" t="str" cm="1">
        <f t="array" ref="A1921">choice(Salles!A:A,1,Settings!$B$16)</f>
        <v>Salle48</v>
      </c>
      <c r="B1921" s="3" cm="1">
        <f t="array" ref="B1921">alea_date(Settings!$B$11,360,-1,Settings!$B$16)</f>
        <v>46029.291666666664</v>
      </c>
      <c r="C1921" s="20" cm="1">
        <f t="array" ref="C1921">B1921+TIME(alea_int(1,4,Settings!$B$16),0,0)</f>
        <v>46029.458333333328</v>
      </c>
    </row>
    <row r="1922" spans="1:3" ht="15.75" customHeight="1" x14ac:dyDescent="0.25">
      <c r="A1922" s="2" t="str" cm="1">
        <f t="array" ref="A1922">choice(Salles!A:A,1,Settings!$B$16)</f>
        <v>Salle37</v>
      </c>
      <c r="B1922" s="3" cm="1">
        <f t="array" ref="B1922">alea_date(Settings!$B$11,360,-1,Settings!$B$16)</f>
        <v>46134.416666666664</v>
      </c>
      <c r="C1922" s="20" cm="1">
        <f t="array" ref="C1922">B1922+TIME(alea_int(1,4,Settings!$B$16),0,0)</f>
        <v>46134.583333333328</v>
      </c>
    </row>
    <row r="1923" spans="1:3" ht="15.75" customHeight="1" x14ac:dyDescent="0.25">
      <c r="A1923" s="2" t="str" cm="1">
        <f t="array" ref="A1923">choice(Salles!A:A,1,Settings!$B$16)</f>
        <v>Salle63</v>
      </c>
      <c r="B1923" s="3" cm="1">
        <f t="array" ref="B1923">alea_date(Settings!$B$11,360,-1,Settings!$B$16)</f>
        <v>46191.625</v>
      </c>
      <c r="C1923" s="20" cm="1">
        <f t="array" ref="C1923">B1923+TIME(alea_int(1,4,Settings!$B$16),0,0)</f>
        <v>46191.791666666664</v>
      </c>
    </row>
    <row r="1924" spans="1:3" ht="15.75" customHeight="1" x14ac:dyDescent="0.25">
      <c r="A1924" s="2" t="str" cm="1">
        <f t="array" ref="A1924">choice(Salles!A:A,1,Settings!$B$16)</f>
        <v>Salle17</v>
      </c>
      <c r="B1924" s="3" cm="1">
        <f t="array" ref="B1924">alea_date(Settings!$B$11,360,-1,Settings!$B$16)</f>
        <v>46143.333333333336</v>
      </c>
      <c r="C1924" s="20" cm="1">
        <f t="array" ref="C1924">B1924+TIME(alea_int(1,4,Settings!$B$16),0,0)</f>
        <v>46143.5</v>
      </c>
    </row>
    <row r="1925" spans="1:3" ht="15.75" customHeight="1" x14ac:dyDescent="0.25">
      <c r="A1925" s="2" t="str" cm="1">
        <f t="array" ref="A1925">choice(Salles!A:A,1,Settings!$B$16)</f>
        <v>Salle65</v>
      </c>
      <c r="B1925" s="3" cm="1">
        <f t="array" ref="B1925">alea_date(Settings!$B$11,360,-1,Settings!$B$16)</f>
        <v>46224.333333333336</v>
      </c>
      <c r="C1925" s="20" cm="1">
        <f t="array" ref="C1925">B1925+TIME(alea_int(1,4,Settings!$B$16),0,0)</f>
        <v>46224.5</v>
      </c>
    </row>
    <row r="1926" spans="1:3" ht="15.75" customHeight="1" x14ac:dyDescent="0.25">
      <c r="A1926" s="2" t="str" cm="1">
        <f t="array" ref="A1926">choice(Salles!A:A,1,Settings!$B$16)</f>
        <v>Salle42</v>
      </c>
      <c r="B1926" s="3" cm="1">
        <f t="array" ref="B1926">alea_date(Settings!$B$11,360,-1,Settings!$B$16)</f>
        <v>46105.291666666664</v>
      </c>
      <c r="C1926" s="20" cm="1">
        <f t="array" ref="C1926">B1926+TIME(alea_int(1,4,Settings!$B$16),0,0)</f>
        <v>46105.458333333328</v>
      </c>
    </row>
    <row r="1927" spans="1:3" ht="15.75" customHeight="1" x14ac:dyDescent="0.25">
      <c r="A1927" s="2" t="str" cm="1">
        <f t="array" ref="A1927">choice(Salles!A:A,1,Settings!$B$16)</f>
        <v>Salle69</v>
      </c>
      <c r="B1927" s="3" cm="1">
        <f t="array" ref="B1927">alea_date(Settings!$B$11,360,-1,Settings!$B$16)</f>
        <v>46289.333333333336</v>
      </c>
      <c r="C1927" s="20" cm="1">
        <f t="array" ref="C1927">B1927+TIME(alea_int(1,4,Settings!$B$16),0,0)</f>
        <v>46289.5</v>
      </c>
    </row>
    <row r="1928" spans="1:3" ht="15.75" customHeight="1" x14ac:dyDescent="0.25">
      <c r="A1928" s="2" t="str" cm="1">
        <f t="array" ref="A1928">choice(Salles!A:A,1,Settings!$B$16)</f>
        <v>Salle2</v>
      </c>
      <c r="B1928" s="3" cm="1">
        <f t="array" ref="B1928">alea_date(Settings!$B$11,360,-1,Settings!$B$16)</f>
        <v>46357.625</v>
      </c>
      <c r="C1928" s="20" cm="1">
        <f t="array" ref="C1928">B1928+TIME(alea_int(1,4,Settings!$B$16),0,0)</f>
        <v>46357.791666666664</v>
      </c>
    </row>
    <row r="1929" spans="1:3" ht="15.75" customHeight="1" x14ac:dyDescent="0.25">
      <c r="A1929" s="2" t="str" cm="1">
        <f t="array" ref="A1929">choice(Salles!A:A,1,Settings!$B$16)</f>
        <v>Salle38</v>
      </c>
      <c r="B1929" s="3" cm="1">
        <f t="array" ref="B1929">alea_date(Settings!$B$11,360,-1,Settings!$B$16)</f>
        <v>46312.458333333336</v>
      </c>
      <c r="C1929" s="20" cm="1">
        <f t="array" ref="C1929">B1929+TIME(alea_int(1,4,Settings!$B$16),0,0)</f>
        <v>46312.625</v>
      </c>
    </row>
    <row r="1930" spans="1:3" ht="15.75" customHeight="1" x14ac:dyDescent="0.25">
      <c r="A1930" s="2" t="str" cm="1">
        <f t="array" ref="A1930">choice(Salles!A:A,1,Settings!$B$16)</f>
        <v>Salle37</v>
      </c>
      <c r="B1930" s="3" cm="1">
        <f t="array" ref="B1930">alea_date(Settings!$B$11,360,-1,Settings!$B$16)</f>
        <v>46310.458333333336</v>
      </c>
      <c r="C1930" s="20" cm="1">
        <f t="array" ref="C1930">B1930+TIME(alea_int(1,4,Settings!$B$16),0,0)</f>
        <v>46310.625</v>
      </c>
    </row>
    <row r="1931" spans="1:3" ht="15.75" customHeight="1" x14ac:dyDescent="0.25">
      <c r="A1931" s="2" t="str" cm="1">
        <f t="array" ref="A1931">choice(Salles!A:A,1,Settings!$B$16)</f>
        <v>Salle12</v>
      </c>
      <c r="B1931" s="3" cm="1">
        <f t="array" ref="B1931">alea_date(Settings!$B$11,360,-1,Settings!$B$16)</f>
        <v>46136.375</v>
      </c>
      <c r="C1931" s="20" cm="1">
        <f t="array" ref="C1931">B1931+TIME(alea_int(1,4,Settings!$B$16),0,0)</f>
        <v>46136.541666666664</v>
      </c>
    </row>
    <row r="1932" spans="1:3" ht="15.75" customHeight="1" x14ac:dyDescent="0.25">
      <c r="A1932" s="2" t="str" cm="1">
        <f t="array" ref="A1932">choice(Salles!A:A,1,Settings!$B$16)</f>
        <v>Salle16</v>
      </c>
      <c r="B1932" s="3" cm="1">
        <f t="array" ref="B1932">alea_date(Settings!$B$11,360,-1,Settings!$B$16)</f>
        <v>46175.25</v>
      </c>
      <c r="C1932" s="20" cm="1">
        <f t="array" ref="C1932">B1932+TIME(alea_int(1,4,Settings!$B$16),0,0)</f>
        <v>46175.416666666664</v>
      </c>
    </row>
    <row r="1933" spans="1:3" ht="15.75" customHeight="1" x14ac:dyDescent="0.25">
      <c r="A1933" s="2" t="str" cm="1">
        <f t="array" ref="A1933">choice(Salles!A:A,1,Settings!$B$16)</f>
        <v>Salle62</v>
      </c>
      <c r="B1933" s="3" cm="1">
        <f t="array" ref="B1933">alea_date(Settings!$B$11,360,-1,Settings!$B$16)</f>
        <v>46121.416666666664</v>
      </c>
      <c r="C1933" s="20" cm="1">
        <f t="array" ref="C1933">B1933+TIME(alea_int(1,4,Settings!$B$16),0,0)</f>
        <v>46121.583333333328</v>
      </c>
    </row>
    <row r="1934" spans="1:3" ht="15.75" customHeight="1" x14ac:dyDescent="0.25">
      <c r="A1934" s="2" t="str" cm="1">
        <f t="array" ref="A1934">choice(Salles!A:A,1,Settings!$B$16)</f>
        <v>Salle44</v>
      </c>
      <c r="B1934" s="3" cm="1">
        <f t="array" ref="B1934">alea_date(Settings!$B$11,360,-1,Settings!$B$16)</f>
        <v>46369.583333333336</v>
      </c>
      <c r="C1934" s="20" cm="1">
        <f t="array" ref="C1934">B1934+TIME(alea_int(1,4,Settings!$B$16),0,0)</f>
        <v>46369.75</v>
      </c>
    </row>
    <row r="1935" spans="1:3" ht="15.75" customHeight="1" x14ac:dyDescent="0.25">
      <c r="A1935" s="2" t="str" cm="1">
        <f t="array" ref="A1935">choice(Salles!A:A,1,Settings!$B$16)</f>
        <v>Salle25</v>
      </c>
      <c r="B1935" s="3" cm="1">
        <f t="array" ref="B1935">alea_date(Settings!$B$11,360,-1,Settings!$B$16)</f>
        <v>46050.625</v>
      </c>
      <c r="C1935" s="20" cm="1">
        <f t="array" ref="C1935">B1935+TIME(alea_int(1,4,Settings!$B$16),0,0)</f>
        <v>46050.791666666664</v>
      </c>
    </row>
    <row r="1936" spans="1:3" ht="15.75" customHeight="1" x14ac:dyDescent="0.25">
      <c r="A1936" s="2" t="str" cm="1">
        <f t="array" ref="A1936">choice(Salles!A:A,1,Settings!$B$16)</f>
        <v>Salle56</v>
      </c>
      <c r="B1936" s="3" cm="1">
        <f t="array" ref="B1936">alea_date(Settings!$B$11,360,-1,Settings!$B$16)</f>
        <v>46356.583333333336</v>
      </c>
      <c r="C1936" s="20" cm="1">
        <f t="array" ref="C1936">B1936+TIME(alea_int(1,4,Settings!$B$16),0,0)</f>
        <v>46356.75</v>
      </c>
    </row>
    <row r="1937" spans="1:3" ht="15.75" customHeight="1" x14ac:dyDescent="0.25">
      <c r="A1937" s="2" t="str" cm="1">
        <f t="array" ref="A1937">choice(Salles!A:A,1,Settings!$B$16)</f>
        <v>Salle14</v>
      </c>
      <c r="B1937" s="3" cm="1">
        <f t="array" ref="B1937">alea_date(Settings!$B$11,360,-1,Settings!$B$16)</f>
        <v>46245.416666666664</v>
      </c>
      <c r="C1937" s="20" cm="1">
        <f t="array" ref="C1937">B1937+TIME(alea_int(1,4,Settings!$B$16),0,0)</f>
        <v>46245.583333333328</v>
      </c>
    </row>
    <row r="1938" spans="1:3" ht="15.75" customHeight="1" x14ac:dyDescent="0.25">
      <c r="A1938" s="2" t="str" cm="1">
        <f t="array" ref="A1938">choice(Salles!A:A,1,Settings!$B$16)</f>
        <v>Salle66</v>
      </c>
      <c r="B1938" s="3" cm="1">
        <f t="array" ref="B1938">alea_date(Settings!$B$11,360,-1,Settings!$B$16)</f>
        <v>46101.333333333336</v>
      </c>
      <c r="C1938" s="20" cm="1">
        <f t="array" ref="C1938">B1938+TIME(alea_int(1,4,Settings!$B$16),0,0)</f>
        <v>46101.5</v>
      </c>
    </row>
    <row r="1939" spans="1:3" ht="15.75" customHeight="1" x14ac:dyDescent="0.25">
      <c r="A1939" s="2" t="str" cm="1">
        <f t="array" ref="A1939">choice(Salles!A:A,1,Settings!$B$16)</f>
        <v>Salle39</v>
      </c>
      <c r="B1939" s="3" cm="1">
        <f t="array" ref="B1939">alea_date(Settings!$B$11,360,-1,Settings!$B$16)</f>
        <v>46320.5</v>
      </c>
      <c r="C1939" s="20" cm="1">
        <f t="array" ref="C1939">B1939+TIME(alea_int(1,4,Settings!$B$16),0,0)</f>
        <v>46320.666666666664</v>
      </c>
    </row>
    <row r="1940" spans="1:3" ht="15.75" customHeight="1" x14ac:dyDescent="0.25">
      <c r="A1940" s="2" t="str" cm="1">
        <f t="array" ref="A1940">choice(Salles!A:A,1,Settings!$B$16)</f>
        <v>Salle43</v>
      </c>
      <c r="B1940" s="3" cm="1">
        <f t="array" ref="B1940">alea_date(Settings!$B$11,360,-1,Settings!$B$16)</f>
        <v>46310.291666666664</v>
      </c>
      <c r="C1940" s="20" cm="1">
        <f t="array" ref="C1940">B1940+TIME(alea_int(1,4,Settings!$B$16),0,0)</f>
        <v>46310.458333333328</v>
      </c>
    </row>
    <row r="1941" spans="1:3" ht="15.75" customHeight="1" x14ac:dyDescent="0.25">
      <c r="A1941" s="2" t="str" cm="1">
        <f t="array" ref="A1941">choice(Salles!A:A,1,Settings!$B$16)</f>
        <v>Salle18</v>
      </c>
      <c r="B1941" s="3" cm="1">
        <f t="array" ref="B1941">alea_date(Settings!$B$11,360,-1,Settings!$B$16)</f>
        <v>46352.291666666664</v>
      </c>
      <c r="C1941" s="20" cm="1">
        <f t="array" ref="C1941">B1941+TIME(alea_int(1,4,Settings!$B$16),0,0)</f>
        <v>46352.458333333328</v>
      </c>
    </row>
    <row r="1942" spans="1:3" ht="15.75" customHeight="1" x14ac:dyDescent="0.25">
      <c r="A1942" s="2" t="str" cm="1">
        <f t="array" ref="A1942">choice(Salles!A:A,1,Settings!$B$16)</f>
        <v>Salle17</v>
      </c>
      <c r="B1942" s="3" cm="1">
        <f t="array" ref="B1942">alea_date(Settings!$B$11,360,-1,Settings!$B$16)</f>
        <v>46258.416666666664</v>
      </c>
      <c r="C1942" s="20" cm="1">
        <f t="array" ref="C1942">B1942+TIME(alea_int(1,4,Settings!$B$16),0,0)</f>
        <v>46258.583333333328</v>
      </c>
    </row>
    <row r="1943" spans="1:3" ht="15.75" customHeight="1" x14ac:dyDescent="0.25">
      <c r="A1943" s="2" t="str" cm="1">
        <f t="array" ref="A1943">choice(Salles!A:A,1,Settings!$B$16)</f>
        <v>Salle40</v>
      </c>
      <c r="B1943" s="3" cm="1">
        <f t="array" ref="B1943">alea_date(Settings!$B$11,360,-1,Settings!$B$16)</f>
        <v>46359.583333333336</v>
      </c>
      <c r="C1943" s="20" cm="1">
        <f t="array" ref="C1943">B1943+TIME(alea_int(1,4,Settings!$B$16),0,0)</f>
        <v>46359.75</v>
      </c>
    </row>
    <row r="1944" spans="1:3" ht="15.75" customHeight="1" x14ac:dyDescent="0.25">
      <c r="A1944" s="2" t="str" cm="1">
        <f t="array" ref="A1944">choice(Salles!A:A,1,Settings!$B$16)</f>
        <v>Salle22</v>
      </c>
      <c r="B1944" s="3" cm="1">
        <f t="array" ref="B1944">alea_date(Settings!$B$11,360,-1,Settings!$B$16)</f>
        <v>46111.25</v>
      </c>
      <c r="C1944" s="20" cm="1">
        <f t="array" ref="C1944">B1944+TIME(alea_int(1,4,Settings!$B$16),0,0)</f>
        <v>46111.416666666664</v>
      </c>
    </row>
    <row r="1945" spans="1:3" ht="15.75" customHeight="1" x14ac:dyDescent="0.25">
      <c r="A1945" s="2" t="str" cm="1">
        <f t="array" ref="A1945">choice(Salles!A:A,1,Settings!$B$16)</f>
        <v>Salle64</v>
      </c>
      <c r="B1945" s="3" cm="1">
        <f t="array" ref="B1945">alea_date(Settings!$B$11,360,-1,Settings!$B$16)</f>
        <v>46270.416666666664</v>
      </c>
      <c r="C1945" s="20" cm="1">
        <f t="array" ref="C1945">B1945+TIME(alea_int(1,4,Settings!$B$16),0,0)</f>
        <v>46270.583333333328</v>
      </c>
    </row>
    <row r="1946" spans="1:3" ht="15.75" customHeight="1" x14ac:dyDescent="0.25">
      <c r="A1946" s="2" t="str" cm="1">
        <f t="array" ref="A1946">choice(Salles!A:A,1,Settings!$B$16)</f>
        <v>Salle31</v>
      </c>
      <c r="B1946" s="3" cm="1">
        <f t="array" ref="B1946">alea_date(Settings!$B$11,360,-1,Settings!$B$16)</f>
        <v>46343.416666666664</v>
      </c>
      <c r="C1946" s="20" cm="1">
        <f t="array" ref="C1946">B1946+TIME(alea_int(1,4,Settings!$B$16),0,0)</f>
        <v>46343.583333333328</v>
      </c>
    </row>
    <row r="1947" spans="1:3" ht="15.75" customHeight="1" x14ac:dyDescent="0.25">
      <c r="A1947" s="2" t="str" cm="1">
        <f t="array" ref="A1947">choice(Salles!A:A,1,Settings!$B$16)</f>
        <v>Salle11</v>
      </c>
      <c r="B1947" s="3" cm="1">
        <f t="array" ref="B1947">alea_date(Settings!$B$11,360,-1,Settings!$B$16)</f>
        <v>46279.625</v>
      </c>
      <c r="C1947" s="20" cm="1">
        <f t="array" ref="C1947">B1947+TIME(alea_int(1,4,Settings!$B$16),0,0)</f>
        <v>46279.791666666664</v>
      </c>
    </row>
    <row r="1948" spans="1:3" ht="15.75" customHeight="1" x14ac:dyDescent="0.25">
      <c r="A1948" s="2" t="str" cm="1">
        <f t="array" ref="A1948">choice(Salles!A:A,1,Settings!$B$16)</f>
        <v>Salle24</v>
      </c>
      <c r="B1948" s="3" cm="1">
        <f t="array" ref="B1948">alea_date(Settings!$B$11,360,-1,Settings!$B$16)</f>
        <v>46065.416666666664</v>
      </c>
      <c r="C1948" s="20" cm="1">
        <f t="array" ref="C1948">B1948+TIME(alea_int(1,4,Settings!$B$16),0,0)</f>
        <v>46065.583333333328</v>
      </c>
    </row>
    <row r="1949" spans="1:3" ht="15.75" customHeight="1" x14ac:dyDescent="0.25">
      <c r="A1949" s="2" t="str" cm="1">
        <f t="array" ref="A1949">choice(Salles!A:A,1,Settings!$B$16)</f>
        <v>Salle63</v>
      </c>
      <c r="B1949" s="3" cm="1">
        <f t="array" ref="B1949">alea_date(Settings!$B$11,360,-1,Settings!$B$16)</f>
        <v>46290.458333333336</v>
      </c>
      <c r="C1949" s="20" cm="1">
        <f t="array" ref="C1949">B1949+TIME(alea_int(1,4,Settings!$B$16),0,0)</f>
        <v>46290.625</v>
      </c>
    </row>
    <row r="1950" spans="1:3" ht="15.75" customHeight="1" x14ac:dyDescent="0.25">
      <c r="A1950" s="2" t="str" cm="1">
        <f t="array" ref="A1950">choice(Salles!A:A,1,Settings!$B$16)</f>
        <v>Salle48</v>
      </c>
      <c r="B1950" s="3" cm="1">
        <f t="array" ref="B1950">alea_date(Settings!$B$11,360,-1,Settings!$B$16)</f>
        <v>46320.583333333336</v>
      </c>
      <c r="C1950" s="20" cm="1">
        <f t="array" ref="C1950">B1950+TIME(alea_int(1,4,Settings!$B$16),0,0)</f>
        <v>46320.75</v>
      </c>
    </row>
    <row r="1951" spans="1:3" ht="15.75" customHeight="1" x14ac:dyDescent="0.25">
      <c r="A1951" s="2" t="str" cm="1">
        <f t="array" ref="A1951">choice(Salles!A:A,1,Settings!$B$16)</f>
        <v>Salle17</v>
      </c>
      <c r="B1951" s="3" cm="1">
        <f t="array" ref="B1951">alea_date(Settings!$B$11,360,-1,Settings!$B$16)</f>
        <v>46032.583333333336</v>
      </c>
      <c r="C1951" s="20" cm="1">
        <f t="array" ref="C1951">B1951+TIME(alea_int(1,4,Settings!$B$16),0,0)</f>
        <v>46032.75</v>
      </c>
    </row>
    <row r="1952" spans="1:3" ht="15.75" customHeight="1" x14ac:dyDescent="0.25">
      <c r="A1952" s="2" t="str" cm="1">
        <f t="array" ref="A1952">choice(Salles!A:A,1,Settings!$B$16)</f>
        <v>Salle50</v>
      </c>
      <c r="B1952" s="3" cm="1">
        <f t="array" ref="B1952">alea_date(Settings!$B$11,360,-1,Settings!$B$16)</f>
        <v>46280.625</v>
      </c>
      <c r="C1952" s="20" cm="1">
        <f t="array" ref="C1952">B1952+TIME(alea_int(1,4,Settings!$B$16),0,0)</f>
        <v>46280.791666666664</v>
      </c>
    </row>
    <row r="1953" spans="1:3" ht="15.75" customHeight="1" x14ac:dyDescent="0.25">
      <c r="A1953" s="2" t="str" cm="1">
        <f t="array" ref="A1953">choice(Salles!A:A,1,Settings!$B$16)</f>
        <v>Salle13</v>
      </c>
      <c r="B1953" s="3" cm="1">
        <f t="array" ref="B1953">alea_date(Settings!$B$11,360,-1,Settings!$B$16)</f>
        <v>46146.541666666664</v>
      </c>
      <c r="C1953" s="20" cm="1">
        <f t="array" ref="C1953">B1953+TIME(alea_int(1,4,Settings!$B$16),0,0)</f>
        <v>46146.708333333328</v>
      </c>
    </row>
    <row r="1954" spans="1:3" ht="15.75" customHeight="1" x14ac:dyDescent="0.25">
      <c r="A1954" s="2" t="str" cm="1">
        <f t="array" ref="A1954">choice(Salles!A:A,1,Settings!$B$16)</f>
        <v>Salle2</v>
      </c>
      <c r="B1954" s="3" cm="1">
        <f t="array" ref="B1954">alea_date(Settings!$B$11,360,-1,Settings!$B$16)</f>
        <v>46254.541666666664</v>
      </c>
      <c r="C1954" s="20" cm="1">
        <f t="array" ref="C1954">B1954+TIME(alea_int(1,4,Settings!$B$16),0,0)</f>
        <v>46254.708333333328</v>
      </c>
    </row>
    <row r="1955" spans="1:3" ht="15.75" customHeight="1" x14ac:dyDescent="0.25">
      <c r="A1955" s="2" t="str" cm="1">
        <f t="array" ref="A1955">choice(Salles!A:A,1,Settings!$B$16)</f>
        <v>Salle33</v>
      </c>
      <c r="B1955" s="3" cm="1">
        <f t="array" ref="B1955">alea_date(Settings!$B$11,360,-1,Settings!$B$16)</f>
        <v>46239.375</v>
      </c>
      <c r="C1955" s="20" cm="1">
        <f t="array" ref="C1955">B1955+TIME(alea_int(1,4,Settings!$B$16),0,0)</f>
        <v>46239.541666666664</v>
      </c>
    </row>
    <row r="1956" spans="1:3" ht="15.75" customHeight="1" x14ac:dyDescent="0.25">
      <c r="A1956" s="2" t="str" cm="1">
        <f t="array" ref="A1956">choice(Salles!A:A,1,Settings!$B$16)</f>
        <v>Salle24</v>
      </c>
      <c r="B1956" s="3" cm="1">
        <f t="array" ref="B1956">alea_date(Settings!$B$11,360,-1,Settings!$B$16)</f>
        <v>46382.416666666664</v>
      </c>
      <c r="C1956" s="20" cm="1">
        <f t="array" ref="C1956">B1956+TIME(alea_int(1,4,Settings!$B$16),0,0)</f>
        <v>46382.583333333328</v>
      </c>
    </row>
    <row r="1957" spans="1:3" ht="15.75" customHeight="1" x14ac:dyDescent="0.25">
      <c r="A1957" s="2" t="str" cm="1">
        <f t="array" ref="A1957">choice(Salles!A:A,1,Settings!$B$16)</f>
        <v>Salle68</v>
      </c>
      <c r="B1957" s="3" cm="1">
        <f t="array" ref="B1957">alea_date(Settings!$B$11,360,-1,Settings!$B$16)</f>
        <v>46263.5</v>
      </c>
      <c r="C1957" s="20" cm="1">
        <f t="array" ref="C1957">B1957+TIME(alea_int(1,4,Settings!$B$16),0,0)</f>
        <v>46263.666666666664</v>
      </c>
    </row>
    <row r="1958" spans="1:3" ht="15.75" customHeight="1" x14ac:dyDescent="0.25">
      <c r="A1958" s="2" t="str" cm="1">
        <f t="array" ref="A1958">choice(Salles!A:A,1,Settings!$B$16)</f>
        <v>Salle49</v>
      </c>
      <c r="B1958" s="3" cm="1">
        <f t="array" ref="B1958">alea_date(Settings!$B$11,360,-1,Settings!$B$16)</f>
        <v>46144.291666666664</v>
      </c>
      <c r="C1958" s="20" cm="1">
        <f t="array" ref="C1958">B1958+TIME(alea_int(1,4,Settings!$B$16),0,0)</f>
        <v>46144.458333333328</v>
      </c>
    </row>
    <row r="1959" spans="1:3" ht="15.75" customHeight="1" x14ac:dyDescent="0.25">
      <c r="A1959" s="2" t="str" cm="1">
        <f t="array" ref="A1959">choice(Salles!A:A,1,Settings!$B$16)</f>
        <v>Salle26</v>
      </c>
      <c r="B1959" s="3" cm="1">
        <f t="array" ref="B1959">alea_date(Settings!$B$11,360,-1,Settings!$B$16)</f>
        <v>46142.291666666664</v>
      </c>
      <c r="C1959" s="20" cm="1">
        <f t="array" ref="C1959">B1959+TIME(alea_int(1,4,Settings!$B$16),0,0)</f>
        <v>46142.458333333328</v>
      </c>
    </row>
    <row r="1960" spans="1:3" ht="15.75" customHeight="1" x14ac:dyDescent="0.25">
      <c r="A1960" s="2" t="str" cm="1">
        <f t="array" ref="A1960">choice(Salles!A:A,1,Settings!$B$16)</f>
        <v>Salle62</v>
      </c>
      <c r="B1960" s="3" cm="1">
        <f t="array" ref="B1960">alea_date(Settings!$B$11,360,-1,Settings!$B$16)</f>
        <v>46311.25</v>
      </c>
      <c r="C1960" s="20" cm="1">
        <f t="array" ref="C1960">B1960+TIME(alea_int(1,4,Settings!$B$16),0,0)</f>
        <v>46311.416666666664</v>
      </c>
    </row>
    <row r="1961" spans="1:3" ht="15.75" customHeight="1" x14ac:dyDescent="0.25">
      <c r="A1961" s="2" t="str" cm="1">
        <f t="array" ref="A1961">choice(Salles!A:A,1,Settings!$B$16)</f>
        <v>Salle2</v>
      </c>
      <c r="B1961" s="3" cm="1">
        <f t="array" ref="B1961">alea_date(Settings!$B$11,360,-1,Settings!$B$16)</f>
        <v>46311.416666666664</v>
      </c>
      <c r="C1961" s="20" cm="1">
        <f t="array" ref="C1961">B1961+TIME(alea_int(1,4,Settings!$B$16),0,0)</f>
        <v>46311.583333333328</v>
      </c>
    </row>
    <row r="1962" spans="1:3" ht="15.75" customHeight="1" x14ac:dyDescent="0.25">
      <c r="A1962" s="2" t="str" cm="1">
        <f t="array" ref="A1962">choice(Salles!A:A,1,Settings!$B$16)</f>
        <v>Salle4</v>
      </c>
      <c r="B1962" s="3" cm="1">
        <f t="array" ref="B1962">alea_date(Settings!$B$11,360,-1,Settings!$B$16)</f>
        <v>46292.541666666664</v>
      </c>
      <c r="C1962" s="20" cm="1">
        <f t="array" ref="C1962">B1962+TIME(alea_int(1,4,Settings!$B$16),0,0)</f>
        <v>46292.708333333328</v>
      </c>
    </row>
    <row r="1963" spans="1:3" ht="15.75" customHeight="1" x14ac:dyDescent="0.25">
      <c r="A1963" s="2" t="str" cm="1">
        <f t="array" ref="A1963">choice(Salles!A:A,1,Settings!$B$16)</f>
        <v>Salle62</v>
      </c>
      <c r="B1963" s="3" cm="1">
        <f t="array" ref="B1963">alea_date(Settings!$B$11,360,-1,Settings!$B$16)</f>
        <v>46333.333333333336</v>
      </c>
      <c r="C1963" s="20" cm="1">
        <f t="array" ref="C1963">B1963+TIME(alea_int(1,4,Settings!$B$16),0,0)</f>
        <v>46333.5</v>
      </c>
    </row>
    <row r="1964" spans="1:3" ht="15.75" customHeight="1" x14ac:dyDescent="0.25">
      <c r="A1964" s="2" t="str" cm="1">
        <f t="array" ref="A1964">choice(Salles!A:A,1,Settings!$B$16)</f>
        <v>Salle17</v>
      </c>
      <c r="B1964" s="3" cm="1">
        <f t="array" ref="B1964">alea_date(Settings!$B$11,360,-1,Settings!$B$16)</f>
        <v>46102.541666666664</v>
      </c>
      <c r="C1964" s="20" cm="1">
        <f t="array" ref="C1964">B1964+TIME(alea_int(1,4,Settings!$B$16),0,0)</f>
        <v>46102.708333333328</v>
      </c>
    </row>
    <row r="1965" spans="1:3" ht="15.75" customHeight="1" x14ac:dyDescent="0.25">
      <c r="A1965" s="2" t="str" cm="1">
        <f t="array" ref="A1965">choice(Salles!A:A,1,Settings!$B$16)</f>
        <v>Salle9</v>
      </c>
      <c r="B1965" s="3" cm="1">
        <f t="array" ref="B1965">alea_date(Settings!$B$11,360,-1,Settings!$B$16)</f>
        <v>46245.25</v>
      </c>
      <c r="C1965" s="20" cm="1">
        <f t="array" ref="C1965">B1965+TIME(alea_int(1,4,Settings!$B$16),0,0)</f>
        <v>46245.416666666664</v>
      </c>
    </row>
    <row r="1966" spans="1:3" ht="15.75" customHeight="1" x14ac:dyDescent="0.25">
      <c r="A1966" s="2" t="str" cm="1">
        <f t="array" ref="A1966">choice(Salles!A:A,1,Settings!$B$16)</f>
        <v>Salle41</v>
      </c>
      <c r="B1966" s="3" cm="1">
        <f t="array" ref="B1966">alea_date(Settings!$B$11,360,-1,Settings!$B$16)</f>
        <v>46317.458333333336</v>
      </c>
      <c r="C1966" s="20" cm="1">
        <f t="array" ref="C1966">B1966+TIME(alea_int(1,4,Settings!$B$16),0,0)</f>
        <v>46317.625</v>
      </c>
    </row>
    <row r="1967" spans="1:3" ht="15.75" customHeight="1" x14ac:dyDescent="0.25">
      <c r="A1967" s="2" t="str" cm="1">
        <f t="array" ref="A1967">choice(Salles!A:A,1,Settings!$B$16)</f>
        <v>Salle25</v>
      </c>
      <c r="B1967" s="3" cm="1">
        <f t="array" ref="B1967">alea_date(Settings!$B$11,360,-1,Settings!$B$16)</f>
        <v>46121.625</v>
      </c>
      <c r="C1967" s="20" cm="1">
        <f t="array" ref="C1967">B1967+TIME(alea_int(1,4,Settings!$B$16),0,0)</f>
        <v>46121.791666666664</v>
      </c>
    </row>
    <row r="1968" spans="1:3" ht="15.75" customHeight="1" x14ac:dyDescent="0.25">
      <c r="A1968" s="2" t="str" cm="1">
        <f t="array" ref="A1968">choice(Salles!A:A,1,Settings!$B$16)</f>
        <v>Salle63</v>
      </c>
      <c r="B1968" s="3" cm="1">
        <f t="array" ref="B1968">alea_date(Settings!$B$11,360,-1,Settings!$B$16)</f>
        <v>46197.458333333336</v>
      </c>
      <c r="C1968" s="20" cm="1">
        <f t="array" ref="C1968">B1968+TIME(alea_int(1,4,Settings!$B$16),0,0)</f>
        <v>46197.625</v>
      </c>
    </row>
    <row r="1969" spans="1:3" ht="15.75" customHeight="1" x14ac:dyDescent="0.25">
      <c r="A1969" s="2" t="str" cm="1">
        <f t="array" ref="A1969">choice(Salles!A:A,1,Settings!$B$16)</f>
        <v>Salle5</v>
      </c>
      <c r="B1969" s="3" cm="1">
        <f t="array" ref="B1969">alea_date(Settings!$B$11,360,-1,Settings!$B$16)</f>
        <v>46081.541666666664</v>
      </c>
      <c r="C1969" s="20" cm="1">
        <f t="array" ref="C1969">B1969+TIME(alea_int(1,4,Settings!$B$16),0,0)</f>
        <v>46081.708333333328</v>
      </c>
    </row>
    <row r="1970" spans="1:3" ht="15.75" customHeight="1" x14ac:dyDescent="0.25">
      <c r="A1970" s="2" t="str" cm="1">
        <f t="array" ref="A1970">choice(Salles!A:A,1,Settings!$B$16)</f>
        <v>Salle44</v>
      </c>
      <c r="B1970" s="3" cm="1">
        <f t="array" ref="B1970">alea_date(Settings!$B$11,360,-1,Settings!$B$16)</f>
        <v>46302.375</v>
      </c>
      <c r="C1970" s="20" cm="1">
        <f t="array" ref="C1970">B1970+TIME(alea_int(1,4,Settings!$B$16),0,0)</f>
        <v>46302.541666666664</v>
      </c>
    </row>
    <row r="1971" spans="1:3" ht="15.75" customHeight="1" x14ac:dyDescent="0.25">
      <c r="A1971" s="2" t="str" cm="1">
        <f t="array" ref="A1971">choice(Salles!A:A,1,Settings!$B$16)</f>
        <v>Salle40</v>
      </c>
      <c r="B1971" s="3" cm="1">
        <f t="array" ref="B1971">alea_date(Settings!$B$11,360,-1,Settings!$B$16)</f>
        <v>46374.375</v>
      </c>
      <c r="C1971" s="20" cm="1">
        <f t="array" ref="C1971">B1971+TIME(alea_int(1,4,Settings!$B$16),0,0)</f>
        <v>46374.541666666664</v>
      </c>
    </row>
    <row r="1972" spans="1:3" ht="15.75" customHeight="1" x14ac:dyDescent="0.25">
      <c r="A1972" s="2" t="str" cm="1">
        <f t="array" ref="A1972">choice(Salles!A:A,1,Settings!$B$16)</f>
        <v>Salle44</v>
      </c>
      <c r="B1972" s="3" cm="1">
        <f t="array" ref="B1972">alea_date(Settings!$B$11,360,-1,Settings!$B$16)</f>
        <v>46078.291666666664</v>
      </c>
      <c r="C1972" s="20" cm="1">
        <f t="array" ref="C1972">B1972+TIME(alea_int(1,4,Settings!$B$16),0,0)</f>
        <v>46078.458333333328</v>
      </c>
    </row>
    <row r="1973" spans="1:3" ht="15.75" customHeight="1" x14ac:dyDescent="0.25">
      <c r="A1973" s="2" t="str" cm="1">
        <f t="array" ref="A1973">choice(Salles!A:A,1,Settings!$B$16)</f>
        <v>Salle49</v>
      </c>
      <c r="B1973" s="3" cm="1">
        <f t="array" ref="B1973">alea_date(Settings!$B$11,360,-1,Settings!$B$16)</f>
        <v>46170.416666666664</v>
      </c>
      <c r="C1973" s="20" cm="1">
        <f t="array" ref="C1973">B1973+TIME(alea_int(1,4,Settings!$B$16),0,0)</f>
        <v>46170.583333333328</v>
      </c>
    </row>
    <row r="1974" spans="1:3" ht="15.75" customHeight="1" x14ac:dyDescent="0.25">
      <c r="A1974" s="2" t="str" cm="1">
        <f t="array" ref="A1974">choice(Salles!A:A,1,Settings!$B$16)</f>
        <v>Salle34</v>
      </c>
      <c r="B1974" s="3" cm="1">
        <f t="array" ref="B1974">alea_date(Settings!$B$11,360,-1,Settings!$B$16)</f>
        <v>46144.583333333336</v>
      </c>
      <c r="C1974" s="20" cm="1">
        <f t="array" ref="C1974">B1974+TIME(alea_int(1,4,Settings!$B$16),0,0)</f>
        <v>46144.75</v>
      </c>
    </row>
    <row r="1975" spans="1:3" ht="15.75" customHeight="1" x14ac:dyDescent="0.25">
      <c r="A1975" s="2" t="str" cm="1">
        <f t="array" ref="A1975">choice(Salles!A:A,1,Settings!$B$16)</f>
        <v>Salle63</v>
      </c>
      <c r="B1975" s="3" cm="1">
        <f t="array" ref="B1975">alea_date(Settings!$B$11,360,-1,Settings!$B$16)</f>
        <v>46093.541666666664</v>
      </c>
      <c r="C1975" s="20" cm="1">
        <f t="array" ref="C1975">B1975+TIME(alea_int(1,4,Settings!$B$16),0,0)</f>
        <v>46093.708333333328</v>
      </c>
    </row>
    <row r="1976" spans="1:3" ht="15.75" customHeight="1" x14ac:dyDescent="0.25">
      <c r="A1976" s="2" t="str" cm="1">
        <f t="array" ref="A1976">choice(Salles!A:A,1,Settings!$B$16)</f>
        <v>Salle29</v>
      </c>
      <c r="B1976" s="3" cm="1">
        <f t="array" ref="B1976">alea_date(Settings!$B$11,360,-1,Settings!$B$16)</f>
        <v>46219.291666666664</v>
      </c>
      <c r="C1976" s="20" cm="1">
        <f t="array" ref="C1976">B1976+TIME(alea_int(1,4,Settings!$B$16),0,0)</f>
        <v>46219.458333333328</v>
      </c>
    </row>
    <row r="1977" spans="1:3" ht="15.75" customHeight="1" x14ac:dyDescent="0.25">
      <c r="A1977" s="2" t="str" cm="1">
        <f t="array" ref="A1977">choice(Salles!A:A,1,Settings!$B$16)</f>
        <v>Salle19</v>
      </c>
      <c r="B1977" s="3" cm="1">
        <f t="array" ref="B1977">alea_date(Settings!$B$11,360,-1,Settings!$B$16)</f>
        <v>46103.416666666664</v>
      </c>
      <c r="C1977" s="20" cm="1">
        <f t="array" ref="C1977">B1977+TIME(alea_int(1,4,Settings!$B$16),0,0)</f>
        <v>46103.583333333328</v>
      </c>
    </row>
    <row r="1978" spans="1:3" ht="15.75" customHeight="1" x14ac:dyDescent="0.25">
      <c r="A1978" s="2" t="str" cm="1">
        <f t="array" ref="A1978">choice(Salles!A:A,1,Settings!$B$16)</f>
        <v>Salle17</v>
      </c>
      <c r="B1978" s="3" cm="1">
        <f t="array" ref="B1978">alea_date(Settings!$B$11,360,-1,Settings!$B$16)</f>
        <v>46368.5</v>
      </c>
      <c r="C1978" s="20" cm="1">
        <f t="array" ref="C1978">B1978+TIME(alea_int(1,4,Settings!$B$16),0,0)</f>
        <v>46368.666666666664</v>
      </c>
    </row>
    <row r="1979" spans="1:3" ht="15.75" customHeight="1" x14ac:dyDescent="0.25">
      <c r="A1979" s="2" t="str" cm="1">
        <f t="array" ref="A1979">choice(Salles!A:A,1,Settings!$B$16)</f>
        <v>Salle49</v>
      </c>
      <c r="B1979" s="3" cm="1">
        <f t="array" ref="B1979">alea_date(Settings!$B$11,360,-1,Settings!$B$16)</f>
        <v>46067.5</v>
      </c>
      <c r="C1979" s="20" cm="1">
        <f t="array" ref="C1979">B1979+TIME(alea_int(1,4,Settings!$B$16),0,0)</f>
        <v>46067.666666666664</v>
      </c>
    </row>
    <row r="1980" spans="1:3" ht="15.75" customHeight="1" x14ac:dyDescent="0.25">
      <c r="A1980" s="2" t="str" cm="1">
        <f t="array" ref="A1980">choice(Salles!A:A,1,Settings!$B$16)</f>
        <v>Salle7</v>
      </c>
      <c r="B1980" s="3" cm="1">
        <f t="array" ref="B1980">alea_date(Settings!$B$11,360,-1,Settings!$B$16)</f>
        <v>46377.25</v>
      </c>
      <c r="C1980" s="20" cm="1">
        <f t="array" ref="C1980">B1980+TIME(alea_int(1,4,Settings!$B$16),0,0)</f>
        <v>46377.416666666664</v>
      </c>
    </row>
    <row r="1981" spans="1:3" ht="15.75" customHeight="1" x14ac:dyDescent="0.25">
      <c r="A1981" s="2" t="str" cm="1">
        <f t="array" ref="A1981">choice(Salles!A:A,1,Settings!$B$16)</f>
        <v>Salle7</v>
      </c>
      <c r="B1981" s="3" cm="1">
        <f t="array" ref="B1981">alea_date(Settings!$B$11,360,-1,Settings!$B$16)</f>
        <v>46370.625</v>
      </c>
      <c r="C1981" s="20" cm="1">
        <f t="array" ref="C1981">B1981+TIME(alea_int(1,4,Settings!$B$16),0,0)</f>
        <v>46370.791666666664</v>
      </c>
    </row>
    <row r="1982" spans="1:3" ht="15.75" customHeight="1" x14ac:dyDescent="0.25">
      <c r="A1982" s="2" t="str" cm="1">
        <f t="array" ref="A1982">choice(Salles!A:A,1,Settings!$B$16)</f>
        <v>Salle69</v>
      </c>
      <c r="B1982" s="3" cm="1">
        <f t="array" ref="B1982">alea_date(Settings!$B$11,360,-1,Settings!$B$16)</f>
        <v>46064.541666666664</v>
      </c>
      <c r="C1982" s="20" cm="1">
        <f t="array" ref="C1982">B1982+TIME(alea_int(1,4,Settings!$B$16),0,0)</f>
        <v>46064.708333333328</v>
      </c>
    </row>
    <row r="1983" spans="1:3" ht="15.75" customHeight="1" x14ac:dyDescent="0.25">
      <c r="A1983" s="2" t="str" cm="1">
        <f t="array" ref="A1983">choice(Salles!A:A,1,Settings!$B$16)</f>
        <v>Salle50</v>
      </c>
      <c r="B1983" s="3" cm="1">
        <f t="array" ref="B1983">alea_date(Settings!$B$11,360,-1,Settings!$B$16)</f>
        <v>46253.5</v>
      </c>
      <c r="C1983" s="20" cm="1">
        <f t="array" ref="C1983">B1983+TIME(alea_int(1,4,Settings!$B$16),0,0)</f>
        <v>46253.666666666664</v>
      </c>
    </row>
    <row r="1984" spans="1:3" ht="15.75" customHeight="1" x14ac:dyDescent="0.25">
      <c r="A1984" s="2" t="str" cm="1">
        <f t="array" ref="A1984">choice(Salles!A:A,1,Settings!$B$16)</f>
        <v>Salle67</v>
      </c>
      <c r="B1984" s="3" cm="1">
        <f t="array" ref="B1984">alea_date(Settings!$B$11,360,-1,Settings!$B$16)</f>
        <v>46334.291666666664</v>
      </c>
      <c r="C1984" s="20" cm="1">
        <f t="array" ref="C1984">B1984+TIME(alea_int(1,4,Settings!$B$16),0,0)</f>
        <v>46334.458333333328</v>
      </c>
    </row>
    <row r="1985" spans="1:3" ht="15.75" customHeight="1" x14ac:dyDescent="0.25">
      <c r="A1985" s="2" t="str" cm="1">
        <f t="array" ref="A1985">choice(Salles!A:A,1,Settings!$B$16)</f>
        <v>Salle58</v>
      </c>
      <c r="B1985" s="3" cm="1">
        <f t="array" ref="B1985">alea_date(Settings!$B$11,360,-1,Settings!$B$16)</f>
        <v>46263.416666666664</v>
      </c>
      <c r="C1985" s="20" cm="1">
        <f t="array" ref="C1985">B1985+TIME(alea_int(1,4,Settings!$B$16),0,0)</f>
        <v>46263.583333333328</v>
      </c>
    </row>
    <row r="1986" spans="1:3" ht="15.75" customHeight="1" x14ac:dyDescent="0.25">
      <c r="A1986" s="2" t="str" cm="1">
        <f t="array" ref="A1986">choice(Salles!A:A,1,Settings!$B$16)</f>
        <v>Salle70</v>
      </c>
      <c r="B1986" s="3" cm="1">
        <f t="array" ref="B1986">alea_date(Settings!$B$11,360,-1,Settings!$B$16)</f>
        <v>46057.541666666664</v>
      </c>
      <c r="C1986" s="20" cm="1">
        <f t="array" ref="C1986">B1986+TIME(alea_int(1,4,Settings!$B$16),0,0)</f>
        <v>46057.708333333328</v>
      </c>
    </row>
    <row r="1987" spans="1:3" ht="15.75" customHeight="1" x14ac:dyDescent="0.25">
      <c r="A1987" s="2" t="str" cm="1">
        <f t="array" ref="A1987">choice(Salles!A:A,1,Settings!$B$16)</f>
        <v>Salle12</v>
      </c>
      <c r="B1987" s="3" cm="1">
        <f t="array" ref="B1987">alea_date(Settings!$B$11,360,-1,Settings!$B$16)</f>
        <v>46268.625</v>
      </c>
      <c r="C1987" s="20" cm="1">
        <f t="array" ref="C1987">B1987+TIME(alea_int(1,4,Settings!$B$16),0,0)</f>
        <v>46268.791666666664</v>
      </c>
    </row>
    <row r="1988" spans="1:3" ht="15.75" customHeight="1" x14ac:dyDescent="0.25">
      <c r="A1988" s="2" t="str" cm="1">
        <f t="array" ref="A1988">choice(Salles!A:A,1,Settings!$B$16)</f>
        <v>Salle15</v>
      </c>
      <c r="B1988" s="3" cm="1">
        <f t="array" ref="B1988">alea_date(Settings!$B$11,360,-1,Settings!$B$16)</f>
        <v>46249.375</v>
      </c>
      <c r="C1988" s="20" cm="1">
        <f t="array" ref="C1988">B1988+TIME(alea_int(1,4,Settings!$B$16),0,0)</f>
        <v>46249.541666666664</v>
      </c>
    </row>
    <row r="1989" spans="1:3" ht="15.75" customHeight="1" x14ac:dyDescent="0.25">
      <c r="A1989" s="2" t="str" cm="1">
        <f t="array" ref="A1989">choice(Salles!A:A,1,Settings!$B$16)</f>
        <v>Salle20</v>
      </c>
      <c r="B1989" s="3" cm="1">
        <f t="array" ref="B1989">alea_date(Settings!$B$11,360,-1,Settings!$B$16)</f>
        <v>46307.25</v>
      </c>
      <c r="C1989" s="20" cm="1">
        <f t="array" ref="C1989">B1989+TIME(alea_int(1,4,Settings!$B$16),0,0)</f>
        <v>46307.416666666664</v>
      </c>
    </row>
    <row r="1990" spans="1:3" ht="15.75" customHeight="1" x14ac:dyDescent="0.25">
      <c r="A1990" s="2" t="str" cm="1">
        <f t="array" ref="A1990">choice(Salles!A:A,1,Settings!$B$16)</f>
        <v>Salle42</v>
      </c>
      <c r="B1990" s="3" cm="1">
        <f t="array" ref="B1990">alea_date(Settings!$B$11,360,-1,Settings!$B$16)</f>
        <v>46188.5</v>
      </c>
      <c r="C1990" s="20" cm="1">
        <f t="array" ref="C1990">B1990+TIME(alea_int(1,4,Settings!$B$16),0,0)</f>
        <v>46188.666666666664</v>
      </c>
    </row>
    <row r="1991" spans="1:3" ht="15.75" customHeight="1" x14ac:dyDescent="0.25">
      <c r="A1991" s="2" t="str" cm="1">
        <f t="array" ref="A1991">choice(Salles!A:A,1,Settings!$B$16)</f>
        <v>Salle43</v>
      </c>
      <c r="B1991" s="3" cm="1">
        <f t="array" ref="B1991">alea_date(Settings!$B$11,360,-1,Settings!$B$16)</f>
        <v>46191.5</v>
      </c>
      <c r="C1991" s="20" cm="1">
        <f t="array" ref="C1991">B1991+TIME(alea_int(1,4,Settings!$B$16),0,0)</f>
        <v>46191.666666666664</v>
      </c>
    </row>
    <row r="1992" spans="1:3" ht="15.75" customHeight="1" x14ac:dyDescent="0.25">
      <c r="A1992" s="2" t="str" cm="1">
        <f t="array" ref="A1992">choice(Salles!A:A,1,Settings!$B$16)</f>
        <v>Salle65</v>
      </c>
      <c r="B1992" s="3" cm="1">
        <f t="array" ref="B1992">alea_date(Settings!$B$11,360,-1,Settings!$B$16)</f>
        <v>46358.5</v>
      </c>
      <c r="C1992" s="20" cm="1">
        <f t="array" ref="C1992">B1992+TIME(alea_int(1,4,Settings!$B$16),0,0)</f>
        <v>46358.666666666664</v>
      </c>
    </row>
    <row r="1993" spans="1:3" ht="15.75" customHeight="1" x14ac:dyDescent="0.25">
      <c r="A1993" s="2" t="str" cm="1">
        <f t="array" ref="A1993">choice(Salles!A:A,1,Settings!$B$16)</f>
        <v>Salle8</v>
      </c>
      <c r="B1993" s="3" cm="1">
        <f t="array" ref="B1993">alea_date(Settings!$B$11,360,-1,Settings!$B$16)</f>
        <v>46344.583333333336</v>
      </c>
      <c r="C1993" s="20" cm="1">
        <f t="array" ref="C1993">B1993+TIME(alea_int(1,4,Settings!$B$16),0,0)</f>
        <v>46344.75</v>
      </c>
    </row>
    <row r="1994" spans="1:3" ht="15.75" customHeight="1" x14ac:dyDescent="0.25">
      <c r="A1994" s="2" t="str" cm="1">
        <f t="array" ref="A1994">choice(Salles!A:A,1,Settings!$B$16)</f>
        <v>Salle60</v>
      </c>
      <c r="B1994" s="3" cm="1">
        <f t="array" ref="B1994">alea_date(Settings!$B$11,360,-1,Settings!$B$16)</f>
        <v>46176.625</v>
      </c>
      <c r="C1994" s="20" cm="1">
        <f t="array" ref="C1994">B1994+TIME(alea_int(1,4,Settings!$B$16),0,0)</f>
        <v>46176.791666666664</v>
      </c>
    </row>
    <row r="1995" spans="1:3" ht="15.75" customHeight="1" x14ac:dyDescent="0.25">
      <c r="A1995" s="2" t="str" cm="1">
        <f t="array" ref="A1995">choice(Salles!A:A,1,Settings!$B$16)</f>
        <v>Salle11</v>
      </c>
      <c r="B1995" s="3" cm="1">
        <f t="array" ref="B1995">alea_date(Settings!$B$11,360,-1,Settings!$B$16)</f>
        <v>46090.333333333336</v>
      </c>
      <c r="C1995" s="20" cm="1">
        <f t="array" ref="C1995">B1995+TIME(alea_int(1,4,Settings!$B$16),0,0)</f>
        <v>46090.5</v>
      </c>
    </row>
    <row r="1996" spans="1:3" ht="15.75" customHeight="1" x14ac:dyDescent="0.25">
      <c r="A1996" s="2" t="str" cm="1">
        <f t="array" ref="A1996">choice(Salles!A:A,1,Settings!$B$16)</f>
        <v>Salle45</v>
      </c>
      <c r="B1996" s="3" cm="1">
        <f t="array" ref="B1996">alea_date(Settings!$B$11,360,-1,Settings!$B$16)</f>
        <v>46255.541666666664</v>
      </c>
      <c r="C1996" s="20" cm="1">
        <f t="array" ref="C1996">B1996+TIME(alea_int(1,4,Settings!$B$16),0,0)</f>
        <v>46255.708333333328</v>
      </c>
    </row>
    <row r="1997" spans="1:3" ht="15.75" customHeight="1" x14ac:dyDescent="0.25">
      <c r="A1997" s="2" t="str" cm="1">
        <f t="array" ref="A1997">choice(Salles!A:A,1,Settings!$B$16)</f>
        <v>Salle36</v>
      </c>
      <c r="B1997" s="3" cm="1">
        <f t="array" ref="B1997">alea_date(Settings!$B$11,360,-1,Settings!$B$16)</f>
        <v>46194.583333333336</v>
      </c>
      <c r="C1997" s="20" cm="1">
        <f t="array" ref="C1997">B1997+TIME(alea_int(1,4,Settings!$B$16),0,0)</f>
        <v>46194.75</v>
      </c>
    </row>
    <row r="1998" spans="1:3" ht="15.75" customHeight="1" x14ac:dyDescent="0.25">
      <c r="A1998" s="2" t="str" cm="1">
        <f t="array" ref="A1998">choice(Salles!A:A,1,Settings!$B$16)</f>
        <v>Salle65</v>
      </c>
      <c r="B1998" s="3" cm="1">
        <f t="array" ref="B1998">alea_date(Settings!$B$11,360,-1,Settings!$B$16)</f>
        <v>46208.625</v>
      </c>
      <c r="C1998" s="20" cm="1">
        <f t="array" ref="C1998">B1998+TIME(alea_int(1,4,Settings!$B$16),0,0)</f>
        <v>46208.791666666664</v>
      </c>
    </row>
    <row r="1999" spans="1:3" ht="15.75" customHeight="1" x14ac:dyDescent="0.25">
      <c r="A1999" s="2" t="str" cm="1">
        <f t="array" ref="A1999">choice(Salles!A:A,1,Settings!$B$16)</f>
        <v>Salle66</v>
      </c>
      <c r="B1999" s="3" cm="1">
        <f t="array" ref="B1999">alea_date(Settings!$B$11,360,-1,Settings!$B$16)</f>
        <v>46169.25</v>
      </c>
      <c r="C1999" s="20" cm="1">
        <f t="array" ref="C1999">B1999+TIME(alea_int(1,4,Settings!$B$16),0,0)</f>
        <v>46169.416666666664</v>
      </c>
    </row>
    <row r="2000" spans="1:3" ht="15.75" customHeight="1" x14ac:dyDescent="0.25">
      <c r="A2000" s="2" t="str" cm="1">
        <f t="array" ref="A2000">choice(Salles!A:A,1,Settings!$B$16)</f>
        <v>Salle55</v>
      </c>
      <c r="B2000" s="3" cm="1">
        <f t="array" ref="B2000">alea_date(Settings!$B$11,360,-1,Settings!$B$16)</f>
        <v>46025.291666666664</v>
      </c>
      <c r="C2000" s="20" cm="1">
        <f t="array" ref="C2000">B2000+TIME(alea_int(1,4,Settings!$B$16),0,0)</f>
        <v>46025.458333333328</v>
      </c>
    </row>
    <row r="2001" spans="1:3" ht="15.75" customHeight="1" x14ac:dyDescent="0.25">
      <c r="A2001" s="2" t="str" cm="1">
        <f t="array" ref="A2001">choice(Salles!A:A,1,Settings!$B$16)</f>
        <v>Salle29</v>
      </c>
      <c r="B2001" s="3" cm="1">
        <f t="array" ref="B2001">alea_date(Settings!$B$11,360,-1,Settings!$B$16)</f>
        <v>46124.333333333336</v>
      </c>
      <c r="C2001" s="20" cm="1">
        <f t="array" ref="C2001">B2001+TIME(alea_int(1,4,Settings!$B$16),0,0)</f>
        <v>46124.5</v>
      </c>
    </row>
    <row r="2002" spans="1:3" ht="15.75" customHeight="1" x14ac:dyDescent="0.25">
      <c r="A2002" s="2" t="str" cm="1">
        <f t="array" ref="A2002">choice(Salles!A:A,1,Settings!$B$16)</f>
        <v>Salle52</v>
      </c>
      <c r="B2002" s="3" cm="1">
        <f t="array" ref="B2002">alea_date(Settings!$B$11,360,-1,Settings!$B$16)</f>
        <v>46027.291666666664</v>
      </c>
      <c r="C2002" s="20" cm="1">
        <f t="array" ref="C2002">B2002+TIME(alea_int(1,4,Settings!$B$16),0,0)</f>
        <v>46027.458333333328</v>
      </c>
    </row>
    <row r="2003" spans="1:3" ht="15.75" customHeight="1" x14ac:dyDescent="0.25">
      <c r="A2003" s="2" t="str" cm="1">
        <f t="array" ref="A2003">choice(Salles!A:A,1,Settings!$B$16)</f>
        <v>Salle3</v>
      </c>
      <c r="B2003" s="3" cm="1">
        <f t="array" ref="B2003">alea_date(Settings!$B$11,360,-1,Settings!$B$16)</f>
        <v>46306.333333333336</v>
      </c>
      <c r="C2003" s="20" cm="1">
        <f t="array" ref="C2003">B2003+TIME(alea_int(1,4,Settings!$B$16),0,0)</f>
        <v>46306.5</v>
      </c>
    </row>
    <row r="2004" spans="1:3" ht="15.75" customHeight="1" x14ac:dyDescent="0.25">
      <c r="A2004" s="2" t="str" cm="1">
        <f t="array" ref="A2004">choice(Salles!A:A,1,Settings!$B$16)</f>
        <v>Salle16</v>
      </c>
      <c r="B2004" s="3" cm="1">
        <f t="array" ref="B2004">alea_date(Settings!$B$11,360,-1,Settings!$B$16)</f>
        <v>46163.583333333336</v>
      </c>
      <c r="C2004" s="20" cm="1">
        <f t="array" ref="C2004">B2004+TIME(alea_int(1,4,Settings!$B$16),0,0)</f>
        <v>46163.75</v>
      </c>
    </row>
    <row r="2005" spans="1:3" ht="15.75" customHeight="1" x14ac:dyDescent="0.25">
      <c r="A2005" s="2" t="str" cm="1">
        <f t="array" ref="A2005">choice(Salles!A:A,1,Settings!$B$16)</f>
        <v>Salle23</v>
      </c>
      <c r="B2005" s="3" cm="1">
        <f t="array" ref="B2005">alea_date(Settings!$B$11,360,-1,Settings!$B$16)</f>
        <v>46299.25</v>
      </c>
      <c r="C2005" s="20" cm="1">
        <f t="array" ref="C2005">B2005+TIME(alea_int(1,4,Settings!$B$16),0,0)</f>
        <v>46299.416666666664</v>
      </c>
    </row>
    <row r="2006" spans="1:3" ht="15.75" customHeight="1" x14ac:dyDescent="0.25">
      <c r="A2006" s="2" t="str" cm="1">
        <f t="array" ref="A2006">choice(Salles!A:A,1,Settings!$B$16)</f>
        <v>Salle41</v>
      </c>
      <c r="B2006" s="3" cm="1">
        <f t="array" ref="B2006">alea_date(Settings!$B$11,360,-1,Settings!$B$16)</f>
        <v>46152.5</v>
      </c>
      <c r="C2006" s="20" cm="1">
        <f t="array" ref="C2006">B2006+TIME(alea_int(1,4,Settings!$B$16),0,0)</f>
        <v>46152.666666666664</v>
      </c>
    </row>
    <row r="2007" spans="1:3" ht="15.75" customHeight="1" x14ac:dyDescent="0.25">
      <c r="A2007" s="2" t="str" cm="1">
        <f t="array" ref="A2007">choice(Salles!A:A,1,Settings!$B$16)</f>
        <v>Salle7</v>
      </c>
      <c r="B2007" s="3" cm="1">
        <f t="array" ref="B2007">alea_date(Settings!$B$11,360,-1,Settings!$B$16)</f>
        <v>46187.541666666664</v>
      </c>
      <c r="C2007" s="20" cm="1">
        <f t="array" ref="C2007">B2007+TIME(alea_int(1,4,Settings!$B$16),0,0)</f>
        <v>46187.708333333328</v>
      </c>
    </row>
    <row r="2008" spans="1:3" ht="15.75" customHeight="1" x14ac:dyDescent="0.25">
      <c r="A2008" s="2" t="str" cm="1">
        <f t="array" ref="A2008">choice(Salles!A:A,1,Settings!$B$16)</f>
        <v>Salle69</v>
      </c>
      <c r="B2008" s="3" cm="1">
        <f t="array" ref="B2008">alea_date(Settings!$B$11,360,-1,Settings!$B$16)</f>
        <v>46347.625</v>
      </c>
      <c r="C2008" s="20" cm="1">
        <f t="array" ref="C2008">B2008+TIME(alea_int(1,4,Settings!$B$16),0,0)</f>
        <v>46347.791666666664</v>
      </c>
    </row>
    <row r="2009" spans="1:3" ht="15.75" customHeight="1" x14ac:dyDescent="0.25">
      <c r="A2009" s="2" t="str" cm="1">
        <f t="array" ref="A2009">choice(Salles!A:A,1,Settings!$B$16)</f>
        <v>Salle13</v>
      </c>
      <c r="B2009" s="3" cm="1">
        <f t="array" ref="B2009">alea_date(Settings!$B$11,360,-1,Settings!$B$16)</f>
        <v>46049.541666666664</v>
      </c>
      <c r="C2009" s="20" cm="1">
        <f t="array" ref="C2009">B2009+TIME(alea_int(1,4,Settings!$B$16),0,0)</f>
        <v>46049.708333333328</v>
      </c>
    </row>
    <row r="2010" spans="1:3" ht="15.75" customHeight="1" x14ac:dyDescent="0.25">
      <c r="A2010" s="2" t="str" cm="1">
        <f t="array" ref="A2010">choice(Salles!A:A,1,Settings!$B$16)</f>
        <v>Salle59</v>
      </c>
      <c r="B2010" s="3" cm="1">
        <f t="array" ref="B2010">alea_date(Settings!$B$11,360,-1,Settings!$B$16)</f>
        <v>46180.333333333336</v>
      </c>
      <c r="C2010" s="20" cm="1">
        <f t="array" ref="C2010">B2010+TIME(alea_int(1,4,Settings!$B$16),0,0)</f>
        <v>46180.5</v>
      </c>
    </row>
    <row r="2011" spans="1:3" ht="15.75" customHeight="1" x14ac:dyDescent="0.25">
      <c r="A2011" s="2" t="str" cm="1">
        <f t="array" ref="A2011">choice(Salles!A:A,1,Settings!$B$16)</f>
        <v>Salle23</v>
      </c>
      <c r="B2011" s="3" cm="1">
        <f t="array" ref="B2011">alea_date(Settings!$B$11,360,-1,Settings!$B$16)</f>
        <v>46368.333333333336</v>
      </c>
      <c r="C2011" s="20" cm="1">
        <f t="array" ref="C2011">B2011+TIME(alea_int(1,4,Settings!$B$16),0,0)</f>
        <v>46368.5</v>
      </c>
    </row>
    <row r="2012" spans="1:3" ht="15.75" customHeight="1" x14ac:dyDescent="0.25">
      <c r="A2012" s="2" t="str" cm="1">
        <f t="array" ref="A2012">choice(Salles!A:A,1,Settings!$B$16)</f>
        <v>Salle12</v>
      </c>
      <c r="B2012" s="3" cm="1">
        <f t="array" ref="B2012">alea_date(Settings!$B$11,360,-1,Settings!$B$16)</f>
        <v>46063.583333333336</v>
      </c>
      <c r="C2012" s="20" cm="1">
        <f t="array" ref="C2012">B2012+TIME(alea_int(1,4,Settings!$B$16),0,0)</f>
        <v>46063.75</v>
      </c>
    </row>
    <row r="2013" spans="1:3" ht="15.75" customHeight="1" x14ac:dyDescent="0.25">
      <c r="A2013" s="2" t="str" cm="1">
        <f t="array" ref="A2013">choice(Salles!A:A,1,Settings!$B$16)</f>
        <v>Salle48</v>
      </c>
      <c r="B2013" s="3" cm="1">
        <f t="array" ref="B2013">alea_date(Settings!$B$11,360,-1,Settings!$B$16)</f>
        <v>46179.458333333336</v>
      </c>
      <c r="C2013" s="20" cm="1">
        <f t="array" ref="C2013">B2013+TIME(alea_int(1,4,Settings!$B$16),0,0)</f>
        <v>46179.625</v>
      </c>
    </row>
    <row r="2014" spans="1:3" ht="15.75" customHeight="1" x14ac:dyDescent="0.25">
      <c r="A2014" s="2" t="str" cm="1">
        <f t="array" ref="A2014">choice(Salles!A:A,1,Settings!$B$16)</f>
        <v>Salle52</v>
      </c>
      <c r="B2014" s="3" cm="1">
        <f t="array" ref="B2014">alea_date(Settings!$B$11,360,-1,Settings!$B$16)</f>
        <v>46222.291666666664</v>
      </c>
      <c r="C2014" s="20" cm="1">
        <f t="array" ref="C2014">B2014+TIME(alea_int(1,4,Settings!$B$16),0,0)</f>
        <v>46222.458333333328</v>
      </c>
    </row>
    <row r="2015" spans="1:3" ht="15.75" customHeight="1" x14ac:dyDescent="0.25">
      <c r="A2015" s="2" t="str" cm="1">
        <f t="array" ref="A2015">choice(Salles!A:A,1,Settings!$B$16)</f>
        <v>Salle31</v>
      </c>
      <c r="B2015" s="3" cm="1">
        <f t="array" ref="B2015">alea_date(Settings!$B$11,360,-1,Settings!$B$16)</f>
        <v>46323.458333333336</v>
      </c>
      <c r="C2015" s="20" cm="1">
        <f t="array" ref="C2015">B2015+TIME(alea_int(1,4,Settings!$B$16),0,0)</f>
        <v>46323.625</v>
      </c>
    </row>
    <row r="2016" spans="1:3" ht="15.75" customHeight="1" x14ac:dyDescent="0.25">
      <c r="A2016" s="2" t="str" cm="1">
        <f t="array" ref="A2016">choice(Salles!A:A,1,Settings!$B$16)</f>
        <v>Salle29</v>
      </c>
      <c r="B2016" s="3" cm="1">
        <f t="array" ref="B2016">alea_date(Settings!$B$11,360,-1,Settings!$B$16)</f>
        <v>46256.583333333336</v>
      </c>
      <c r="C2016" s="20" cm="1">
        <f t="array" ref="C2016">B2016+TIME(alea_int(1,4,Settings!$B$16),0,0)</f>
        <v>46256.75</v>
      </c>
    </row>
    <row r="2017" spans="1:3" ht="15.75" customHeight="1" x14ac:dyDescent="0.25">
      <c r="A2017" s="2" t="str" cm="1">
        <f t="array" ref="A2017">choice(Salles!A:A,1,Settings!$B$16)</f>
        <v>Salle19</v>
      </c>
      <c r="B2017" s="3" cm="1">
        <f t="array" ref="B2017">alea_date(Settings!$B$11,360,-1,Settings!$B$16)</f>
        <v>46270.375</v>
      </c>
      <c r="C2017" s="20" cm="1">
        <f t="array" ref="C2017">B2017+TIME(alea_int(1,4,Settings!$B$16),0,0)</f>
        <v>46270.541666666664</v>
      </c>
    </row>
    <row r="2018" spans="1:3" ht="15.75" customHeight="1" x14ac:dyDescent="0.25">
      <c r="A2018" s="2" t="str" cm="1">
        <f t="array" ref="A2018">choice(Salles!A:A,1,Settings!$B$16)</f>
        <v>Salle33</v>
      </c>
      <c r="B2018" s="3" cm="1">
        <f t="array" ref="B2018">alea_date(Settings!$B$11,360,-1,Settings!$B$16)</f>
        <v>46303.541666666664</v>
      </c>
      <c r="C2018" s="20" cm="1">
        <f t="array" ref="C2018">B2018+TIME(alea_int(1,4,Settings!$B$16),0,0)</f>
        <v>46303.708333333328</v>
      </c>
    </row>
    <row r="2019" spans="1:3" ht="15.75" customHeight="1" x14ac:dyDescent="0.25">
      <c r="A2019" s="2" t="str" cm="1">
        <f t="array" ref="A2019">choice(Salles!A:A,1,Settings!$B$16)</f>
        <v>Salle46</v>
      </c>
      <c r="B2019" s="3" cm="1">
        <f t="array" ref="B2019">alea_date(Settings!$B$11,360,-1,Settings!$B$16)</f>
        <v>46206.333333333336</v>
      </c>
      <c r="C2019" s="20" cm="1">
        <f t="array" ref="C2019">B2019+TIME(alea_int(1,4,Settings!$B$16),0,0)</f>
        <v>46206.5</v>
      </c>
    </row>
    <row r="2020" spans="1:3" ht="15.75" customHeight="1" x14ac:dyDescent="0.25">
      <c r="A2020" s="2" t="str" cm="1">
        <f t="array" ref="A2020">choice(Salles!A:A,1,Settings!$B$16)</f>
        <v>Salle52</v>
      </c>
      <c r="B2020" s="3" cm="1">
        <f t="array" ref="B2020">alea_date(Settings!$B$11,360,-1,Settings!$B$16)</f>
        <v>46270.333333333336</v>
      </c>
      <c r="C2020" s="20" cm="1">
        <f t="array" ref="C2020">B2020+TIME(alea_int(1,4,Settings!$B$16),0,0)</f>
        <v>46270.5</v>
      </c>
    </row>
    <row r="2021" spans="1:3" ht="15.75" customHeight="1" x14ac:dyDescent="0.25">
      <c r="A2021" s="2" t="str" cm="1">
        <f t="array" ref="A2021">choice(Salles!A:A,1,Settings!$B$16)</f>
        <v>Salle37</v>
      </c>
      <c r="B2021" s="3" cm="1">
        <f t="array" ref="B2021">alea_date(Settings!$B$11,360,-1,Settings!$B$16)</f>
        <v>46073.25</v>
      </c>
      <c r="C2021" s="20" cm="1">
        <f t="array" ref="C2021">B2021+TIME(alea_int(1,4,Settings!$B$16),0,0)</f>
        <v>46073.416666666664</v>
      </c>
    </row>
    <row r="2022" spans="1:3" ht="15.75" customHeight="1" x14ac:dyDescent="0.25">
      <c r="A2022" s="2" t="str" cm="1">
        <f t="array" ref="A2022">choice(Salles!A:A,1,Settings!$B$16)</f>
        <v>Salle62</v>
      </c>
      <c r="B2022" s="3" cm="1">
        <f t="array" ref="B2022">alea_date(Settings!$B$11,360,-1,Settings!$B$16)</f>
        <v>46230.416666666664</v>
      </c>
      <c r="C2022" s="20" cm="1">
        <f t="array" ref="C2022">B2022+TIME(alea_int(1,4,Settings!$B$16),0,0)</f>
        <v>46230.583333333328</v>
      </c>
    </row>
    <row r="2023" spans="1:3" ht="15.75" customHeight="1" x14ac:dyDescent="0.25">
      <c r="A2023" s="2" t="str" cm="1">
        <f t="array" ref="A2023">choice(Salles!A:A,1,Settings!$B$16)</f>
        <v>Salle67</v>
      </c>
      <c r="B2023" s="3" cm="1">
        <f t="array" ref="B2023">alea_date(Settings!$B$11,360,-1,Settings!$B$16)</f>
        <v>46042.5</v>
      </c>
      <c r="C2023" s="20" cm="1">
        <f t="array" ref="C2023">B2023+TIME(alea_int(1,4,Settings!$B$16),0,0)</f>
        <v>46042.666666666664</v>
      </c>
    </row>
    <row r="2024" spans="1:3" ht="15.75" customHeight="1" x14ac:dyDescent="0.25">
      <c r="A2024" s="2" t="str" cm="1">
        <f t="array" ref="A2024">choice(Salles!A:A,1,Settings!$B$16)</f>
        <v>Salle55</v>
      </c>
      <c r="B2024" s="3" cm="1">
        <f t="array" ref="B2024">alea_date(Settings!$B$11,360,-1,Settings!$B$16)</f>
        <v>46298.583333333336</v>
      </c>
      <c r="C2024" s="20" cm="1">
        <f t="array" ref="C2024">B2024+TIME(alea_int(1,4,Settings!$B$16),0,0)</f>
        <v>46298.75</v>
      </c>
    </row>
    <row r="2025" spans="1:3" ht="15.75" customHeight="1" x14ac:dyDescent="0.25">
      <c r="A2025" s="2" t="str" cm="1">
        <f t="array" ref="A2025">choice(Salles!A:A,1,Settings!$B$16)</f>
        <v>Salle7</v>
      </c>
      <c r="B2025" s="3" cm="1">
        <f t="array" ref="B2025">alea_date(Settings!$B$11,360,-1,Settings!$B$16)</f>
        <v>46099.625</v>
      </c>
      <c r="C2025" s="20" cm="1">
        <f t="array" ref="C2025">B2025+TIME(alea_int(1,4,Settings!$B$16),0,0)</f>
        <v>46099.791666666664</v>
      </c>
    </row>
    <row r="2026" spans="1:3" ht="15.75" customHeight="1" x14ac:dyDescent="0.25">
      <c r="A2026" s="2" t="str" cm="1">
        <f t="array" ref="A2026">choice(Salles!A:A,1,Settings!$B$16)</f>
        <v>Salle13</v>
      </c>
      <c r="B2026" s="3" cm="1">
        <f t="array" ref="B2026">alea_date(Settings!$B$11,360,-1,Settings!$B$16)</f>
        <v>46212.375</v>
      </c>
      <c r="C2026" s="20" cm="1">
        <f t="array" ref="C2026">B2026+TIME(alea_int(1,4,Settings!$B$16),0,0)</f>
        <v>46212.541666666664</v>
      </c>
    </row>
    <row r="2027" spans="1:3" ht="15.75" customHeight="1" x14ac:dyDescent="0.25">
      <c r="A2027" s="2" t="str" cm="1">
        <f t="array" ref="A2027">choice(Salles!A:A,1,Settings!$B$16)</f>
        <v>Salle51</v>
      </c>
      <c r="B2027" s="3" cm="1">
        <f t="array" ref="B2027">alea_date(Settings!$B$11,360,-1,Settings!$B$16)</f>
        <v>46140.291666666664</v>
      </c>
      <c r="C2027" s="20" cm="1">
        <f t="array" ref="C2027">B2027+TIME(alea_int(1,4,Settings!$B$16),0,0)</f>
        <v>46140.458333333328</v>
      </c>
    </row>
    <row r="2028" spans="1:3" ht="15.75" customHeight="1" x14ac:dyDescent="0.25">
      <c r="A2028" s="2" t="str" cm="1">
        <f t="array" ref="A2028">choice(Salles!A:A,1,Settings!$B$16)</f>
        <v>Salle20</v>
      </c>
      <c r="B2028" s="3" cm="1">
        <f t="array" ref="B2028">alea_date(Settings!$B$11,360,-1,Settings!$B$16)</f>
        <v>46057.5</v>
      </c>
      <c r="C2028" s="20" cm="1">
        <f t="array" ref="C2028">B2028+TIME(alea_int(1,4,Settings!$B$16),0,0)</f>
        <v>46057.666666666664</v>
      </c>
    </row>
    <row r="2029" spans="1:3" ht="15.75" customHeight="1" x14ac:dyDescent="0.25">
      <c r="A2029" s="2" t="str" cm="1">
        <f t="array" ref="A2029">choice(Salles!A:A,1,Settings!$B$16)</f>
        <v>Salle66</v>
      </c>
      <c r="B2029" s="3" cm="1">
        <f t="array" ref="B2029">alea_date(Settings!$B$11,360,-1,Settings!$B$16)</f>
        <v>46058.333333333336</v>
      </c>
      <c r="C2029" s="20" cm="1">
        <f t="array" ref="C2029">B2029+TIME(alea_int(1,4,Settings!$B$16),0,0)</f>
        <v>46058.5</v>
      </c>
    </row>
    <row r="2030" spans="1:3" ht="15.75" customHeight="1" x14ac:dyDescent="0.25">
      <c r="A2030" s="2" t="str" cm="1">
        <f t="array" ref="A2030">choice(Salles!A:A,1,Settings!$B$16)</f>
        <v>Salle52</v>
      </c>
      <c r="B2030" s="3" cm="1">
        <f t="array" ref="B2030">alea_date(Settings!$B$11,360,-1,Settings!$B$16)</f>
        <v>46325.541666666664</v>
      </c>
      <c r="C2030" s="20" cm="1">
        <f t="array" ref="C2030">B2030+TIME(alea_int(1,4,Settings!$B$16),0,0)</f>
        <v>46325.708333333328</v>
      </c>
    </row>
    <row r="2031" spans="1:3" ht="15.75" customHeight="1" x14ac:dyDescent="0.25">
      <c r="A2031" s="2" t="str" cm="1">
        <f t="array" ref="A2031">choice(Salles!A:A,1,Settings!$B$16)</f>
        <v>Salle24</v>
      </c>
      <c r="B2031" s="3" cm="1">
        <f t="array" ref="B2031">alea_date(Settings!$B$11,360,-1,Settings!$B$16)</f>
        <v>46029.25</v>
      </c>
      <c r="C2031" s="20" cm="1">
        <f t="array" ref="C2031">B2031+TIME(alea_int(1,4,Settings!$B$16),0,0)</f>
        <v>46029.416666666664</v>
      </c>
    </row>
    <row r="2032" spans="1:3" ht="15.75" customHeight="1" x14ac:dyDescent="0.25">
      <c r="A2032" s="2" t="str" cm="1">
        <f t="array" ref="A2032">choice(Salles!A:A,1,Settings!$B$16)</f>
        <v>Salle11</v>
      </c>
      <c r="B2032" s="3" cm="1">
        <f t="array" ref="B2032">alea_date(Settings!$B$11,360,-1,Settings!$B$16)</f>
        <v>46141.416666666664</v>
      </c>
      <c r="C2032" s="20" cm="1">
        <f t="array" ref="C2032">B2032+TIME(alea_int(1,4,Settings!$B$16),0,0)</f>
        <v>46141.583333333328</v>
      </c>
    </row>
    <row r="2033" spans="1:3" ht="15.75" customHeight="1" x14ac:dyDescent="0.25">
      <c r="A2033" s="2" t="str" cm="1">
        <f t="array" ref="A2033">choice(Salles!A:A,1,Settings!$B$16)</f>
        <v>Salle36</v>
      </c>
      <c r="B2033" s="3" cm="1">
        <f t="array" ref="B2033">alea_date(Settings!$B$11,360,-1,Settings!$B$16)</f>
        <v>46186.541666666664</v>
      </c>
      <c r="C2033" s="20" cm="1">
        <f t="array" ref="C2033">B2033+TIME(alea_int(1,4,Settings!$B$16),0,0)</f>
        <v>46186.708333333328</v>
      </c>
    </row>
    <row r="2034" spans="1:3" ht="15.75" customHeight="1" x14ac:dyDescent="0.25">
      <c r="A2034" s="2" t="str" cm="1">
        <f t="array" ref="A2034">choice(Salles!A:A,1,Settings!$B$16)</f>
        <v>Salle65</v>
      </c>
      <c r="B2034" s="3" cm="1">
        <f t="array" ref="B2034">alea_date(Settings!$B$11,360,-1,Settings!$B$16)</f>
        <v>46294.333333333336</v>
      </c>
      <c r="C2034" s="20" cm="1">
        <f t="array" ref="C2034">B2034+TIME(alea_int(1,4,Settings!$B$16),0,0)</f>
        <v>46294.5</v>
      </c>
    </row>
    <row r="2035" spans="1:3" ht="15.75" customHeight="1" x14ac:dyDescent="0.25">
      <c r="A2035" s="2" t="str" cm="1">
        <f t="array" ref="A2035">choice(Salles!A:A,1,Settings!$B$16)</f>
        <v>Salle66</v>
      </c>
      <c r="B2035" s="3" cm="1">
        <f t="array" ref="B2035">alea_date(Settings!$B$11,360,-1,Settings!$B$16)</f>
        <v>46328.333333333336</v>
      </c>
      <c r="C2035" s="20" cm="1">
        <f t="array" ref="C2035">B2035+TIME(alea_int(1,4,Settings!$B$16),0,0)</f>
        <v>46328.5</v>
      </c>
    </row>
    <row r="2036" spans="1:3" ht="15.75" customHeight="1" x14ac:dyDescent="0.25">
      <c r="A2036" s="2" t="str" cm="1">
        <f t="array" ref="A2036">choice(Salles!A:A,1,Settings!$B$16)</f>
        <v>Salle58</v>
      </c>
      <c r="B2036" s="3" cm="1">
        <f t="array" ref="B2036">alea_date(Settings!$B$11,360,-1,Settings!$B$16)</f>
        <v>46114.5</v>
      </c>
      <c r="C2036" s="20" cm="1">
        <f t="array" ref="C2036">B2036+TIME(alea_int(1,4,Settings!$B$16),0,0)</f>
        <v>46114.666666666664</v>
      </c>
    </row>
    <row r="2037" spans="1:3" ht="15.75" customHeight="1" x14ac:dyDescent="0.25">
      <c r="A2037" s="2" t="str" cm="1">
        <f t="array" ref="A2037">choice(Salles!A:A,1,Settings!$B$16)</f>
        <v>Salle12</v>
      </c>
      <c r="B2037" s="3" cm="1">
        <f t="array" ref="B2037">alea_date(Settings!$B$11,360,-1,Settings!$B$16)</f>
        <v>46379.583333333336</v>
      </c>
      <c r="C2037" s="20" cm="1">
        <f t="array" ref="C2037">B2037+TIME(alea_int(1,4,Settings!$B$16),0,0)</f>
        <v>46379.75</v>
      </c>
    </row>
    <row r="2038" spans="1:3" ht="15.75" customHeight="1" x14ac:dyDescent="0.25">
      <c r="A2038" s="2" t="str" cm="1">
        <f t="array" ref="A2038">choice(Salles!A:A,1,Settings!$B$16)</f>
        <v>Salle51</v>
      </c>
      <c r="B2038" s="3" cm="1">
        <f t="array" ref="B2038">alea_date(Settings!$B$11,360,-1,Settings!$B$16)</f>
        <v>46266.375</v>
      </c>
      <c r="C2038" s="20" cm="1">
        <f t="array" ref="C2038">B2038+TIME(alea_int(1,4,Settings!$B$16),0,0)</f>
        <v>46266.541666666664</v>
      </c>
    </row>
    <row r="2039" spans="1:3" ht="15.75" customHeight="1" x14ac:dyDescent="0.25">
      <c r="A2039" s="2" t="str" cm="1">
        <f t="array" ref="A2039">choice(Salles!A:A,1,Settings!$B$16)</f>
        <v>Salle53</v>
      </c>
      <c r="B2039" s="3" cm="1">
        <f t="array" ref="B2039">alea_date(Settings!$B$11,360,-1,Settings!$B$16)</f>
        <v>46080.625</v>
      </c>
      <c r="C2039" s="20" cm="1">
        <f t="array" ref="C2039">B2039+TIME(alea_int(1,4,Settings!$B$16),0,0)</f>
        <v>46080.791666666664</v>
      </c>
    </row>
    <row r="2040" spans="1:3" ht="15.75" customHeight="1" x14ac:dyDescent="0.25">
      <c r="A2040" s="2" t="str" cm="1">
        <f t="array" ref="A2040">choice(Salles!A:A,1,Settings!$B$16)</f>
        <v>Salle56</v>
      </c>
      <c r="B2040" s="3" cm="1">
        <f t="array" ref="B2040">alea_date(Settings!$B$11,360,-1,Settings!$B$16)</f>
        <v>46337.583333333336</v>
      </c>
      <c r="C2040" s="20" cm="1">
        <f t="array" ref="C2040">B2040+TIME(alea_int(1,4,Settings!$B$16),0,0)</f>
        <v>46337.75</v>
      </c>
    </row>
    <row r="2041" spans="1:3" ht="15.75" customHeight="1" x14ac:dyDescent="0.25">
      <c r="A2041" s="2" t="str" cm="1">
        <f t="array" ref="A2041">choice(Salles!A:A,1,Settings!$B$16)</f>
        <v>Salle41</v>
      </c>
      <c r="B2041" s="3" cm="1">
        <f t="array" ref="B2041">alea_date(Settings!$B$11,360,-1,Settings!$B$16)</f>
        <v>46152.291666666664</v>
      </c>
      <c r="C2041" s="20" cm="1">
        <f t="array" ref="C2041">B2041+TIME(alea_int(1,4,Settings!$B$16),0,0)</f>
        <v>46152.458333333328</v>
      </c>
    </row>
    <row r="2042" spans="1:3" ht="15.75" customHeight="1" x14ac:dyDescent="0.25">
      <c r="A2042" s="2" t="str" cm="1">
        <f t="array" ref="A2042">choice(Salles!A:A,1,Settings!$B$16)</f>
        <v>Salle17</v>
      </c>
      <c r="B2042" s="3" cm="1">
        <f t="array" ref="B2042">alea_date(Settings!$B$11,360,-1,Settings!$B$16)</f>
        <v>46290.541666666664</v>
      </c>
      <c r="C2042" s="20" cm="1">
        <f t="array" ref="C2042">B2042+TIME(alea_int(1,4,Settings!$B$16),0,0)</f>
        <v>46290.708333333328</v>
      </c>
    </row>
    <row r="2043" spans="1:3" ht="15.75" customHeight="1" x14ac:dyDescent="0.25">
      <c r="A2043" s="2" t="str" cm="1">
        <f t="array" ref="A2043">choice(Salles!A:A,1,Settings!$B$16)</f>
        <v>Salle13</v>
      </c>
      <c r="B2043" s="3" cm="1">
        <f t="array" ref="B2043">alea_date(Settings!$B$11,360,-1,Settings!$B$16)</f>
        <v>46366.541666666664</v>
      </c>
      <c r="C2043" s="20" cm="1">
        <f t="array" ref="C2043">B2043+TIME(alea_int(1,4,Settings!$B$16),0,0)</f>
        <v>46366.708333333328</v>
      </c>
    </row>
    <row r="2044" spans="1:3" ht="15.75" customHeight="1" x14ac:dyDescent="0.25">
      <c r="A2044" s="2" t="str" cm="1">
        <f t="array" ref="A2044">choice(Salles!A:A,1,Settings!$B$16)</f>
        <v>Salle12</v>
      </c>
      <c r="B2044" s="3" cm="1">
        <f t="array" ref="B2044">alea_date(Settings!$B$11,360,-1,Settings!$B$16)</f>
        <v>46182.625</v>
      </c>
      <c r="C2044" s="20" cm="1">
        <f t="array" ref="C2044">B2044+TIME(alea_int(1,4,Settings!$B$16),0,0)</f>
        <v>46182.791666666664</v>
      </c>
    </row>
    <row r="2045" spans="1:3" ht="15.75" customHeight="1" x14ac:dyDescent="0.25">
      <c r="A2045" s="2" t="str" cm="1">
        <f t="array" ref="A2045">choice(Salles!A:A,1,Settings!$B$16)</f>
        <v>Salle17</v>
      </c>
      <c r="B2045" s="3" cm="1">
        <f t="array" ref="B2045">alea_date(Settings!$B$11,360,-1,Settings!$B$16)</f>
        <v>46315.583333333336</v>
      </c>
      <c r="C2045" s="20" cm="1">
        <f t="array" ref="C2045">B2045+TIME(alea_int(1,4,Settings!$B$16),0,0)</f>
        <v>46315.75</v>
      </c>
    </row>
    <row r="2046" spans="1:3" ht="15.75" customHeight="1" x14ac:dyDescent="0.25">
      <c r="A2046" s="2" t="str" cm="1">
        <f t="array" ref="A2046">choice(Salles!A:A,1,Settings!$B$16)</f>
        <v>Salle32</v>
      </c>
      <c r="B2046" s="3" cm="1">
        <f t="array" ref="B2046">alea_date(Settings!$B$11,360,-1,Settings!$B$16)</f>
        <v>46151.416666666664</v>
      </c>
      <c r="C2046" s="20" cm="1">
        <f t="array" ref="C2046">B2046+TIME(alea_int(1,4,Settings!$B$16),0,0)</f>
        <v>46151.583333333328</v>
      </c>
    </row>
    <row r="2047" spans="1:3" ht="15.75" customHeight="1" x14ac:dyDescent="0.25">
      <c r="A2047" s="2" t="str" cm="1">
        <f t="array" ref="A2047">choice(Salles!A:A,1,Settings!$B$16)</f>
        <v>Salle45</v>
      </c>
      <c r="B2047" s="3" cm="1">
        <f t="array" ref="B2047">alea_date(Settings!$B$11,360,-1,Settings!$B$16)</f>
        <v>46352.333333333336</v>
      </c>
      <c r="C2047" s="20" cm="1">
        <f t="array" ref="C2047">B2047+TIME(alea_int(1,4,Settings!$B$16),0,0)</f>
        <v>46352.5</v>
      </c>
    </row>
    <row r="2048" spans="1:3" ht="15.75" customHeight="1" x14ac:dyDescent="0.25">
      <c r="A2048" s="2" t="str" cm="1">
        <f t="array" ref="A2048">choice(Salles!A:A,1,Settings!$B$16)</f>
        <v>Salle32</v>
      </c>
      <c r="B2048" s="3" cm="1">
        <f t="array" ref="B2048">alea_date(Settings!$B$11,360,-1,Settings!$B$16)</f>
        <v>46207.375</v>
      </c>
      <c r="C2048" s="20" cm="1">
        <f t="array" ref="C2048">B2048+TIME(alea_int(1,4,Settings!$B$16),0,0)</f>
        <v>46207.541666666664</v>
      </c>
    </row>
    <row r="2049" spans="1:3" ht="15.75" customHeight="1" x14ac:dyDescent="0.25">
      <c r="A2049" s="2" t="str" cm="1">
        <f t="array" ref="A2049">choice(Salles!A:A,1,Settings!$B$16)</f>
        <v>Salle64</v>
      </c>
      <c r="B2049" s="3" cm="1">
        <f t="array" ref="B2049">alea_date(Settings!$B$11,360,-1,Settings!$B$16)</f>
        <v>46102.416666666664</v>
      </c>
      <c r="C2049" s="20" cm="1">
        <f t="array" ref="C2049">B2049+TIME(alea_int(1,4,Settings!$B$16),0,0)</f>
        <v>46102.583333333328</v>
      </c>
    </row>
    <row r="2050" spans="1:3" ht="15.75" customHeight="1" x14ac:dyDescent="0.25">
      <c r="A2050" s="2" t="str" cm="1">
        <f t="array" ref="A2050">choice(Salles!A:A,1,Settings!$B$16)</f>
        <v>Salle65</v>
      </c>
      <c r="B2050" s="3" cm="1">
        <f t="array" ref="B2050">alea_date(Settings!$B$11,360,-1,Settings!$B$16)</f>
        <v>46130.5</v>
      </c>
      <c r="C2050" s="20" cm="1">
        <f t="array" ref="C2050">B2050+TIME(alea_int(1,4,Settings!$B$16),0,0)</f>
        <v>46130.666666666664</v>
      </c>
    </row>
    <row r="2051" spans="1:3" ht="15.75" customHeight="1" x14ac:dyDescent="0.25">
      <c r="A2051" s="2" t="str" cm="1">
        <f t="array" ref="A2051">choice(Salles!A:A,1,Settings!$B$16)</f>
        <v>Salle64</v>
      </c>
      <c r="B2051" s="3" cm="1">
        <f t="array" ref="B2051">alea_date(Settings!$B$11,360,-1,Settings!$B$16)</f>
        <v>46059.25</v>
      </c>
      <c r="C2051" s="20" cm="1">
        <f t="array" ref="C2051">B2051+TIME(alea_int(1,4,Settings!$B$16),0,0)</f>
        <v>46059.416666666664</v>
      </c>
    </row>
    <row r="2052" spans="1:3" ht="15.75" customHeight="1" x14ac:dyDescent="0.25">
      <c r="A2052" s="2" t="str" cm="1">
        <f t="array" ref="A2052">choice(Salles!A:A,1,Settings!$B$16)</f>
        <v>Salle28</v>
      </c>
      <c r="B2052" s="3" cm="1">
        <f t="array" ref="B2052">alea_date(Settings!$B$11,360,-1,Settings!$B$16)</f>
        <v>46054.416666666664</v>
      </c>
      <c r="C2052" s="20" cm="1">
        <f t="array" ref="C2052">B2052+TIME(alea_int(1,4,Settings!$B$16),0,0)</f>
        <v>46054.583333333328</v>
      </c>
    </row>
    <row r="2053" spans="1:3" ht="15.75" customHeight="1" x14ac:dyDescent="0.25">
      <c r="A2053" s="2" t="str" cm="1">
        <f t="array" ref="A2053">choice(Salles!A:A,1,Settings!$B$16)</f>
        <v>Salle10</v>
      </c>
      <c r="B2053" s="3" cm="1">
        <f t="array" ref="B2053">alea_date(Settings!$B$11,360,-1,Settings!$B$16)</f>
        <v>46248.375</v>
      </c>
      <c r="C2053" s="20" cm="1">
        <f t="array" ref="C2053">B2053+TIME(alea_int(1,4,Settings!$B$16),0,0)</f>
        <v>46248.541666666664</v>
      </c>
    </row>
    <row r="2054" spans="1:3" ht="15.75" customHeight="1" x14ac:dyDescent="0.25">
      <c r="A2054" s="2" t="str" cm="1">
        <f t="array" ref="A2054">choice(Salles!A:A,1,Settings!$B$16)</f>
        <v>Salle29</v>
      </c>
      <c r="B2054" s="3" cm="1">
        <f t="array" ref="B2054">alea_date(Settings!$B$11,360,-1,Settings!$B$16)</f>
        <v>46361.291666666664</v>
      </c>
      <c r="C2054" s="20" cm="1">
        <f t="array" ref="C2054">B2054+TIME(alea_int(1,4,Settings!$B$16),0,0)</f>
        <v>46361.458333333328</v>
      </c>
    </row>
    <row r="2055" spans="1:3" ht="15.75" customHeight="1" x14ac:dyDescent="0.25">
      <c r="A2055" s="2" t="str" cm="1">
        <f t="array" ref="A2055">choice(Salles!A:A,1,Settings!$B$16)</f>
        <v>Salle57</v>
      </c>
      <c r="B2055" s="3" cm="1">
        <f t="array" ref="B2055">alea_date(Settings!$B$11,360,-1,Settings!$B$16)</f>
        <v>46345.291666666664</v>
      </c>
      <c r="C2055" s="20" cm="1">
        <f t="array" ref="C2055">B2055+TIME(alea_int(1,4,Settings!$B$16),0,0)</f>
        <v>46345.458333333328</v>
      </c>
    </row>
    <row r="2056" spans="1:3" ht="15.75" customHeight="1" x14ac:dyDescent="0.25">
      <c r="A2056" s="2" t="str" cm="1">
        <f t="array" ref="A2056">choice(Salles!A:A,1,Settings!$B$16)</f>
        <v>Salle10</v>
      </c>
      <c r="B2056" s="3" cm="1">
        <f t="array" ref="B2056">alea_date(Settings!$B$11,360,-1,Settings!$B$16)</f>
        <v>46165.541666666664</v>
      </c>
      <c r="C2056" s="20" cm="1">
        <f t="array" ref="C2056">B2056+TIME(alea_int(1,4,Settings!$B$16),0,0)</f>
        <v>46165.708333333328</v>
      </c>
    </row>
    <row r="2057" spans="1:3" ht="15.75" customHeight="1" x14ac:dyDescent="0.25">
      <c r="A2057" s="2" t="str" cm="1">
        <f t="array" ref="A2057">choice(Salles!A:A,1,Settings!$B$16)</f>
        <v>Salle30</v>
      </c>
      <c r="B2057" s="3" cm="1">
        <f t="array" ref="B2057">alea_date(Settings!$B$11,360,-1,Settings!$B$16)</f>
        <v>46063.625</v>
      </c>
      <c r="C2057" s="20" cm="1">
        <f t="array" ref="C2057">B2057+TIME(alea_int(1,4,Settings!$B$16),0,0)</f>
        <v>46063.791666666664</v>
      </c>
    </row>
    <row r="2058" spans="1:3" ht="15.75" customHeight="1" x14ac:dyDescent="0.25">
      <c r="A2058" s="2" t="str" cm="1">
        <f t="array" ref="A2058">choice(Salles!A:A,1,Settings!$B$16)</f>
        <v>Salle61</v>
      </c>
      <c r="B2058" s="3" cm="1">
        <f t="array" ref="B2058">alea_date(Settings!$B$11,360,-1,Settings!$B$16)</f>
        <v>46042.333333333336</v>
      </c>
      <c r="C2058" s="20" cm="1">
        <f t="array" ref="C2058">B2058+TIME(alea_int(1,4,Settings!$B$16),0,0)</f>
        <v>46042.5</v>
      </c>
    </row>
    <row r="2059" spans="1:3" ht="15.75" customHeight="1" x14ac:dyDescent="0.25">
      <c r="A2059" s="2" t="str" cm="1">
        <f t="array" ref="A2059">choice(Salles!A:A,1,Settings!$B$16)</f>
        <v>Salle36</v>
      </c>
      <c r="B2059" s="3" cm="1">
        <f t="array" ref="B2059">alea_date(Settings!$B$11,360,-1,Settings!$B$16)</f>
        <v>46131.375</v>
      </c>
      <c r="C2059" s="20" cm="1">
        <f t="array" ref="C2059">B2059+TIME(alea_int(1,4,Settings!$B$16),0,0)</f>
        <v>46131.541666666664</v>
      </c>
    </row>
    <row r="2060" spans="1:3" ht="15.75" customHeight="1" x14ac:dyDescent="0.25">
      <c r="A2060" s="2" t="str" cm="1">
        <f t="array" ref="A2060">choice(Salles!A:A,1,Settings!$B$16)</f>
        <v>Salle42</v>
      </c>
      <c r="B2060" s="3" cm="1">
        <f t="array" ref="B2060">alea_date(Settings!$B$11,360,-1,Settings!$B$16)</f>
        <v>46219.291666666664</v>
      </c>
      <c r="C2060" s="20" cm="1">
        <f t="array" ref="C2060">B2060+TIME(alea_int(1,4,Settings!$B$16),0,0)</f>
        <v>46219.458333333328</v>
      </c>
    </row>
    <row r="2061" spans="1:3" ht="15.75" customHeight="1" x14ac:dyDescent="0.25">
      <c r="A2061" s="2" t="str" cm="1">
        <f t="array" ref="A2061">choice(Salles!A:A,1,Settings!$B$16)</f>
        <v>Salle42</v>
      </c>
      <c r="B2061" s="3" cm="1">
        <f t="array" ref="B2061">alea_date(Settings!$B$11,360,-1,Settings!$B$16)</f>
        <v>46146.333333333336</v>
      </c>
      <c r="C2061" s="20" cm="1">
        <f t="array" ref="C2061">B2061+TIME(alea_int(1,4,Settings!$B$16),0,0)</f>
        <v>46146.5</v>
      </c>
    </row>
    <row r="2062" spans="1:3" ht="15.75" customHeight="1" x14ac:dyDescent="0.25">
      <c r="A2062" s="2" t="str" cm="1">
        <f t="array" ref="A2062">choice(Salles!A:A,1,Settings!$B$16)</f>
        <v>Salle21</v>
      </c>
      <c r="B2062" s="3" cm="1">
        <f t="array" ref="B2062">alea_date(Settings!$B$11,360,-1,Settings!$B$16)</f>
        <v>46290.5</v>
      </c>
      <c r="C2062" s="20" cm="1">
        <f t="array" ref="C2062">B2062+TIME(alea_int(1,4,Settings!$B$16),0,0)</f>
        <v>46290.666666666664</v>
      </c>
    </row>
    <row r="2063" spans="1:3" ht="15.75" customHeight="1" x14ac:dyDescent="0.25">
      <c r="A2063" s="2" t="str" cm="1">
        <f t="array" ref="A2063">choice(Salles!A:A,1,Settings!$B$16)</f>
        <v>Salle16</v>
      </c>
      <c r="B2063" s="3" cm="1">
        <f t="array" ref="B2063">alea_date(Settings!$B$11,360,-1,Settings!$B$16)</f>
        <v>46144.625</v>
      </c>
      <c r="C2063" s="20" cm="1">
        <f t="array" ref="C2063">B2063+TIME(alea_int(1,4,Settings!$B$16),0,0)</f>
        <v>46144.791666666664</v>
      </c>
    </row>
    <row r="2064" spans="1:3" ht="15.75" customHeight="1" x14ac:dyDescent="0.25">
      <c r="A2064" s="2" t="str" cm="1">
        <f t="array" ref="A2064">choice(Salles!A:A,1,Settings!$B$16)</f>
        <v>Salle31</v>
      </c>
      <c r="B2064" s="3" cm="1">
        <f t="array" ref="B2064">alea_date(Settings!$B$11,360,-1,Settings!$B$16)</f>
        <v>46193.416666666664</v>
      </c>
      <c r="C2064" s="20" cm="1">
        <f t="array" ref="C2064">B2064+TIME(alea_int(1,4,Settings!$B$16),0,0)</f>
        <v>46193.583333333328</v>
      </c>
    </row>
    <row r="2065" spans="1:3" ht="15.75" customHeight="1" x14ac:dyDescent="0.25">
      <c r="A2065" s="2" t="str" cm="1">
        <f t="array" ref="A2065">choice(Salles!A:A,1,Settings!$B$16)</f>
        <v>Salle50</v>
      </c>
      <c r="B2065" s="3" cm="1">
        <f t="array" ref="B2065">alea_date(Settings!$B$11,360,-1,Settings!$B$16)</f>
        <v>46154.541666666664</v>
      </c>
      <c r="C2065" s="20" cm="1">
        <f t="array" ref="C2065">B2065+TIME(alea_int(1,4,Settings!$B$16),0,0)</f>
        <v>46154.708333333328</v>
      </c>
    </row>
    <row r="2066" spans="1:3" ht="15.75" customHeight="1" x14ac:dyDescent="0.25">
      <c r="A2066" s="2" t="str" cm="1">
        <f t="array" ref="A2066">choice(Salles!A:A,1,Settings!$B$16)</f>
        <v>Salle64</v>
      </c>
      <c r="B2066" s="3" cm="1">
        <f t="array" ref="B2066">alea_date(Settings!$B$11,360,-1,Settings!$B$16)</f>
        <v>46150.5</v>
      </c>
      <c r="C2066" s="20" cm="1">
        <f t="array" ref="C2066">B2066+TIME(alea_int(1,4,Settings!$B$16),0,0)</f>
        <v>46150.666666666664</v>
      </c>
    </row>
    <row r="2067" spans="1:3" ht="15.75" customHeight="1" x14ac:dyDescent="0.25">
      <c r="A2067" s="2" t="str" cm="1">
        <f t="array" ref="A2067">choice(Salles!A:A,1,Settings!$B$16)</f>
        <v>Salle35</v>
      </c>
      <c r="B2067" s="3" cm="1">
        <f t="array" ref="B2067">alea_date(Settings!$B$11,360,-1,Settings!$B$16)</f>
        <v>46171.5</v>
      </c>
      <c r="C2067" s="20" cm="1">
        <f t="array" ref="C2067">B2067+TIME(alea_int(1,4,Settings!$B$16),0,0)</f>
        <v>46171.666666666664</v>
      </c>
    </row>
    <row r="2068" spans="1:3" ht="15.75" customHeight="1" x14ac:dyDescent="0.25">
      <c r="A2068" s="2" t="str" cm="1">
        <f t="array" ref="A2068">choice(Salles!A:A,1,Settings!$B$16)</f>
        <v>Salle52</v>
      </c>
      <c r="B2068" s="3" cm="1">
        <f t="array" ref="B2068">alea_date(Settings!$B$11,360,-1,Settings!$B$16)</f>
        <v>46170.541666666664</v>
      </c>
      <c r="C2068" s="20" cm="1">
        <f t="array" ref="C2068">B2068+TIME(alea_int(1,4,Settings!$B$16),0,0)</f>
        <v>46170.708333333328</v>
      </c>
    </row>
    <row r="2069" spans="1:3" ht="15.75" customHeight="1" x14ac:dyDescent="0.25">
      <c r="A2069" s="2" t="str" cm="1">
        <f t="array" ref="A2069">choice(Salles!A:A,1,Settings!$B$16)</f>
        <v>Salle40</v>
      </c>
      <c r="B2069" s="3" cm="1">
        <f t="array" ref="B2069">alea_date(Settings!$B$11,360,-1,Settings!$B$16)</f>
        <v>46060.458333333336</v>
      </c>
      <c r="C2069" s="20" cm="1">
        <f t="array" ref="C2069">B2069+TIME(alea_int(1,4,Settings!$B$16),0,0)</f>
        <v>46060.625</v>
      </c>
    </row>
    <row r="2070" spans="1:3" ht="15.75" customHeight="1" x14ac:dyDescent="0.25">
      <c r="A2070" s="2" t="str" cm="1">
        <f t="array" ref="A2070">choice(Salles!A:A,1,Settings!$B$16)</f>
        <v>Salle22</v>
      </c>
      <c r="B2070" s="3" cm="1">
        <f t="array" ref="B2070">alea_date(Settings!$B$11,360,-1,Settings!$B$16)</f>
        <v>46155.541666666664</v>
      </c>
      <c r="C2070" s="20" cm="1">
        <f t="array" ref="C2070">B2070+TIME(alea_int(1,4,Settings!$B$16),0,0)</f>
        <v>46155.708333333328</v>
      </c>
    </row>
    <row r="2071" spans="1:3" ht="15.75" customHeight="1" x14ac:dyDescent="0.25">
      <c r="A2071" s="2" t="str" cm="1">
        <f t="array" ref="A2071">choice(Salles!A:A,1,Settings!$B$16)</f>
        <v>Salle54</v>
      </c>
      <c r="B2071" s="3" cm="1">
        <f t="array" ref="B2071">alea_date(Settings!$B$11,360,-1,Settings!$B$16)</f>
        <v>46144.541666666664</v>
      </c>
      <c r="C2071" s="20" cm="1">
        <f t="array" ref="C2071">B2071+TIME(alea_int(1,4,Settings!$B$16),0,0)</f>
        <v>46144.708333333328</v>
      </c>
    </row>
    <row r="2072" spans="1:3" ht="15.75" customHeight="1" x14ac:dyDescent="0.25">
      <c r="A2072" s="2" t="str" cm="1">
        <f t="array" ref="A2072">choice(Salles!A:A,1,Settings!$B$16)</f>
        <v>Salle55</v>
      </c>
      <c r="B2072" s="3" cm="1">
        <f t="array" ref="B2072">alea_date(Settings!$B$11,360,-1,Settings!$B$16)</f>
        <v>46145.541666666664</v>
      </c>
      <c r="C2072" s="20" cm="1">
        <f t="array" ref="C2072">B2072+TIME(alea_int(1,4,Settings!$B$16),0,0)</f>
        <v>46145.708333333328</v>
      </c>
    </row>
    <row r="2073" spans="1:3" ht="15.75" customHeight="1" x14ac:dyDescent="0.25">
      <c r="A2073" s="2" t="str" cm="1">
        <f t="array" ref="A2073">choice(Salles!A:A,1,Settings!$B$16)</f>
        <v>Salle22</v>
      </c>
      <c r="B2073" s="3" cm="1">
        <f t="array" ref="B2073">alea_date(Settings!$B$11,360,-1,Settings!$B$16)</f>
        <v>46034.25</v>
      </c>
      <c r="C2073" s="20" cm="1">
        <f t="array" ref="C2073">B2073+TIME(alea_int(1,4,Settings!$B$16),0,0)</f>
        <v>46034.416666666664</v>
      </c>
    </row>
    <row r="2074" spans="1:3" ht="15.75" customHeight="1" x14ac:dyDescent="0.25">
      <c r="A2074" s="2" t="str" cm="1">
        <f t="array" ref="A2074">choice(Salles!A:A,1,Settings!$B$16)</f>
        <v>Salle30</v>
      </c>
      <c r="B2074" s="3" cm="1">
        <f t="array" ref="B2074">alea_date(Settings!$B$11,360,-1,Settings!$B$16)</f>
        <v>46096.625</v>
      </c>
      <c r="C2074" s="20" cm="1">
        <f t="array" ref="C2074">B2074+TIME(alea_int(1,4,Settings!$B$16),0,0)</f>
        <v>46096.791666666664</v>
      </c>
    </row>
    <row r="2075" spans="1:3" ht="15.75" customHeight="1" x14ac:dyDescent="0.25">
      <c r="A2075" s="2" t="str" cm="1">
        <f t="array" ref="A2075">choice(Salles!A:A,1,Settings!$B$16)</f>
        <v>Salle12</v>
      </c>
      <c r="B2075" s="3" cm="1">
        <f t="array" ref="B2075">alea_date(Settings!$B$11,360,-1,Settings!$B$16)</f>
        <v>46226.541666666664</v>
      </c>
      <c r="C2075" s="20" cm="1">
        <f t="array" ref="C2075">B2075+TIME(alea_int(1,4,Settings!$B$16),0,0)</f>
        <v>46226.708333333328</v>
      </c>
    </row>
    <row r="2076" spans="1:3" ht="15.75" customHeight="1" x14ac:dyDescent="0.25">
      <c r="A2076" s="2" t="str" cm="1">
        <f t="array" ref="A2076">choice(Salles!A:A,1,Settings!$B$16)</f>
        <v>Salle16</v>
      </c>
      <c r="B2076" s="3" cm="1">
        <f t="array" ref="B2076">alea_date(Settings!$B$11,360,-1,Settings!$B$16)</f>
        <v>46368.333333333336</v>
      </c>
      <c r="C2076" s="20" cm="1">
        <f t="array" ref="C2076">B2076+TIME(alea_int(1,4,Settings!$B$16),0,0)</f>
        <v>46368.5</v>
      </c>
    </row>
    <row r="2077" spans="1:3" ht="15.75" customHeight="1" x14ac:dyDescent="0.25">
      <c r="A2077" s="2" t="str" cm="1">
        <f t="array" ref="A2077">choice(Salles!A:A,1,Settings!$B$16)</f>
        <v>Salle26</v>
      </c>
      <c r="B2077" s="3" cm="1">
        <f t="array" ref="B2077">alea_date(Settings!$B$11,360,-1,Settings!$B$16)</f>
        <v>46310.541666666664</v>
      </c>
      <c r="C2077" s="20" cm="1">
        <f t="array" ref="C2077">B2077+TIME(alea_int(1,4,Settings!$B$16),0,0)</f>
        <v>46310.708333333328</v>
      </c>
    </row>
    <row r="2078" spans="1:3" ht="15.75" customHeight="1" x14ac:dyDescent="0.25">
      <c r="A2078" s="2" t="str" cm="1">
        <f t="array" ref="A2078">choice(Salles!A:A,1,Settings!$B$16)</f>
        <v>Salle52</v>
      </c>
      <c r="B2078" s="3" cm="1">
        <f t="array" ref="B2078">alea_date(Settings!$B$11,360,-1,Settings!$B$16)</f>
        <v>46030.458333333336</v>
      </c>
      <c r="C2078" s="20" cm="1">
        <f t="array" ref="C2078">B2078+TIME(alea_int(1,4,Settings!$B$16),0,0)</f>
        <v>46030.625</v>
      </c>
    </row>
    <row r="2079" spans="1:3" ht="15.75" customHeight="1" x14ac:dyDescent="0.25">
      <c r="A2079" s="2" t="str" cm="1">
        <f t="array" ref="A2079">choice(Salles!A:A,1,Settings!$B$16)</f>
        <v>Salle48</v>
      </c>
      <c r="B2079" s="3" cm="1">
        <f t="array" ref="B2079">alea_date(Settings!$B$11,360,-1,Settings!$B$16)</f>
        <v>46382.583333333336</v>
      </c>
      <c r="C2079" s="20" cm="1">
        <f t="array" ref="C2079">B2079+TIME(alea_int(1,4,Settings!$B$16),0,0)</f>
        <v>46382.75</v>
      </c>
    </row>
    <row r="2080" spans="1:3" ht="15.75" customHeight="1" x14ac:dyDescent="0.25">
      <c r="A2080" s="2" t="str" cm="1">
        <f t="array" ref="A2080">choice(Salles!A:A,1,Settings!$B$16)</f>
        <v>Salle13</v>
      </c>
      <c r="B2080" s="3" cm="1">
        <f t="array" ref="B2080">alea_date(Settings!$B$11,360,-1,Settings!$B$16)</f>
        <v>46185.458333333336</v>
      </c>
      <c r="C2080" s="20" cm="1">
        <f t="array" ref="C2080">B2080+TIME(alea_int(1,4,Settings!$B$16),0,0)</f>
        <v>46185.625</v>
      </c>
    </row>
    <row r="2081" spans="1:3" ht="15.75" customHeight="1" x14ac:dyDescent="0.25">
      <c r="A2081" s="2" t="str" cm="1">
        <f t="array" ref="A2081">choice(Salles!A:A,1,Settings!$B$16)</f>
        <v>Salle19</v>
      </c>
      <c r="B2081" s="3" cm="1">
        <f t="array" ref="B2081">alea_date(Settings!$B$11,360,-1,Settings!$B$16)</f>
        <v>46036.458333333336</v>
      </c>
      <c r="C2081" s="20" cm="1">
        <f t="array" ref="C2081">B2081+TIME(alea_int(1,4,Settings!$B$16),0,0)</f>
        <v>46036.625</v>
      </c>
    </row>
    <row r="2082" spans="1:3" ht="15.75" customHeight="1" x14ac:dyDescent="0.25">
      <c r="A2082" s="2" t="str" cm="1">
        <f t="array" ref="A2082">choice(Salles!A:A,1,Settings!$B$16)</f>
        <v>Salle56</v>
      </c>
      <c r="B2082" s="3" cm="1">
        <f t="array" ref="B2082">alea_date(Settings!$B$11,360,-1,Settings!$B$16)</f>
        <v>46159.625</v>
      </c>
      <c r="C2082" s="20" cm="1">
        <f t="array" ref="C2082">B2082+TIME(alea_int(1,4,Settings!$B$16),0,0)</f>
        <v>46159.791666666664</v>
      </c>
    </row>
    <row r="2083" spans="1:3" ht="15.75" customHeight="1" x14ac:dyDescent="0.25">
      <c r="A2083" s="2" t="str" cm="1">
        <f t="array" ref="A2083">choice(Salles!A:A,1,Settings!$B$16)</f>
        <v>Salle45</v>
      </c>
      <c r="B2083" s="3" cm="1">
        <f t="array" ref="B2083">alea_date(Settings!$B$11,360,-1,Settings!$B$16)</f>
        <v>46311.333333333336</v>
      </c>
      <c r="C2083" s="20" cm="1">
        <f t="array" ref="C2083">B2083+TIME(alea_int(1,4,Settings!$B$16),0,0)</f>
        <v>46311.5</v>
      </c>
    </row>
    <row r="2084" spans="1:3" ht="15.75" customHeight="1" x14ac:dyDescent="0.25">
      <c r="A2084" s="2" t="str" cm="1">
        <f t="array" ref="A2084">choice(Salles!A:A,1,Settings!$B$16)</f>
        <v>Salle17</v>
      </c>
      <c r="B2084" s="3" cm="1">
        <f t="array" ref="B2084">alea_date(Settings!$B$11,360,-1,Settings!$B$16)</f>
        <v>46102.25</v>
      </c>
      <c r="C2084" s="20" cm="1">
        <f t="array" ref="C2084">B2084+TIME(alea_int(1,4,Settings!$B$16),0,0)</f>
        <v>46102.416666666664</v>
      </c>
    </row>
    <row r="2085" spans="1:3" ht="15.75" customHeight="1" x14ac:dyDescent="0.25">
      <c r="A2085" s="2" t="str" cm="1">
        <f t="array" ref="A2085">choice(Salles!A:A,1,Settings!$B$16)</f>
        <v>Salle30</v>
      </c>
      <c r="B2085" s="3" cm="1">
        <f t="array" ref="B2085">alea_date(Settings!$B$11,360,-1,Settings!$B$16)</f>
        <v>46087.291666666664</v>
      </c>
      <c r="C2085" s="20" cm="1">
        <f t="array" ref="C2085">B2085+TIME(alea_int(1,4,Settings!$B$16),0,0)</f>
        <v>46087.458333333328</v>
      </c>
    </row>
    <row r="2086" spans="1:3" ht="15.75" customHeight="1" x14ac:dyDescent="0.25">
      <c r="A2086" s="2" t="str" cm="1">
        <f t="array" ref="A2086">choice(Salles!A:A,1,Settings!$B$16)</f>
        <v>Salle63</v>
      </c>
      <c r="B2086" s="3" cm="1">
        <f t="array" ref="B2086">alea_date(Settings!$B$11,360,-1,Settings!$B$16)</f>
        <v>46248.416666666664</v>
      </c>
      <c r="C2086" s="20" cm="1">
        <f t="array" ref="C2086">B2086+TIME(alea_int(1,4,Settings!$B$16),0,0)</f>
        <v>46248.583333333328</v>
      </c>
    </row>
    <row r="2087" spans="1:3" ht="15.75" customHeight="1" x14ac:dyDescent="0.25">
      <c r="A2087" s="2" t="str" cm="1">
        <f t="array" ref="A2087">choice(Salles!A:A,1,Settings!$B$16)</f>
        <v>Salle44</v>
      </c>
      <c r="B2087" s="3" cm="1">
        <f t="array" ref="B2087">alea_date(Settings!$B$11,360,-1,Settings!$B$16)</f>
        <v>46158.333333333336</v>
      </c>
      <c r="C2087" s="20" cm="1">
        <f t="array" ref="C2087">B2087+TIME(alea_int(1,4,Settings!$B$16),0,0)</f>
        <v>46158.5</v>
      </c>
    </row>
    <row r="2088" spans="1:3" ht="15.75" customHeight="1" x14ac:dyDescent="0.25">
      <c r="A2088" s="2" t="str" cm="1">
        <f t="array" ref="A2088">choice(Salles!A:A,1,Settings!$B$16)</f>
        <v>Salle56</v>
      </c>
      <c r="B2088" s="3" cm="1">
        <f t="array" ref="B2088">alea_date(Settings!$B$11,360,-1,Settings!$B$16)</f>
        <v>46043.5</v>
      </c>
      <c r="C2088" s="20" cm="1">
        <f t="array" ref="C2088">B2088+TIME(alea_int(1,4,Settings!$B$16),0,0)</f>
        <v>46043.666666666664</v>
      </c>
    </row>
    <row r="2089" spans="1:3" ht="15.75" customHeight="1" x14ac:dyDescent="0.25">
      <c r="A2089" s="2" t="str" cm="1">
        <f t="array" ref="A2089">choice(Salles!A:A,1,Settings!$B$16)</f>
        <v>Salle10</v>
      </c>
      <c r="B2089" s="3" cm="1">
        <f t="array" ref="B2089">alea_date(Settings!$B$11,360,-1,Settings!$B$16)</f>
        <v>46157.291666666664</v>
      </c>
      <c r="C2089" s="20" cm="1">
        <f t="array" ref="C2089">B2089+TIME(alea_int(1,4,Settings!$B$16),0,0)</f>
        <v>46157.458333333328</v>
      </c>
    </row>
    <row r="2090" spans="1:3" ht="15.75" customHeight="1" x14ac:dyDescent="0.25">
      <c r="A2090" s="2" t="str" cm="1">
        <f t="array" ref="A2090">choice(Salles!A:A,1,Settings!$B$16)</f>
        <v>Salle7</v>
      </c>
      <c r="B2090" s="3" cm="1">
        <f t="array" ref="B2090">alea_date(Settings!$B$11,360,-1,Settings!$B$16)</f>
        <v>46376.333333333336</v>
      </c>
      <c r="C2090" s="20" cm="1">
        <f t="array" ref="C2090">B2090+TIME(alea_int(1,4,Settings!$B$16),0,0)</f>
        <v>46376.5</v>
      </c>
    </row>
    <row r="2091" spans="1:3" ht="15.75" customHeight="1" x14ac:dyDescent="0.25">
      <c r="A2091" s="2" t="str" cm="1">
        <f t="array" ref="A2091">choice(Salles!A:A,1,Settings!$B$16)</f>
        <v>Salle26</v>
      </c>
      <c r="B2091" s="3" cm="1">
        <f t="array" ref="B2091">alea_date(Settings!$B$11,360,-1,Settings!$B$16)</f>
        <v>46246.5</v>
      </c>
      <c r="C2091" s="20" cm="1">
        <f t="array" ref="C2091">B2091+TIME(alea_int(1,4,Settings!$B$16),0,0)</f>
        <v>46246.666666666664</v>
      </c>
    </row>
    <row r="2092" spans="1:3" ht="15.75" customHeight="1" x14ac:dyDescent="0.25">
      <c r="A2092" s="2" t="str" cm="1">
        <f t="array" ref="A2092">choice(Salles!A:A,1,Settings!$B$16)</f>
        <v>Salle8</v>
      </c>
      <c r="B2092" s="3" cm="1">
        <f t="array" ref="B2092">alea_date(Settings!$B$11,360,-1,Settings!$B$16)</f>
        <v>46307.625</v>
      </c>
      <c r="C2092" s="20" cm="1">
        <f t="array" ref="C2092">B2092+TIME(alea_int(1,4,Settings!$B$16),0,0)</f>
        <v>46307.791666666664</v>
      </c>
    </row>
    <row r="2093" spans="1:3" ht="15.75" customHeight="1" x14ac:dyDescent="0.25">
      <c r="A2093" s="2" t="str" cm="1">
        <f t="array" ref="A2093">choice(Salles!A:A,1,Settings!$B$16)</f>
        <v>Salle13</v>
      </c>
      <c r="B2093" s="3" cm="1">
        <f t="array" ref="B2093">alea_date(Settings!$B$11,360,-1,Settings!$B$16)</f>
        <v>46035.5</v>
      </c>
      <c r="C2093" s="20" cm="1">
        <f t="array" ref="C2093">B2093+TIME(alea_int(1,4,Settings!$B$16),0,0)</f>
        <v>46035.666666666664</v>
      </c>
    </row>
    <row r="2094" spans="1:3" ht="15.75" customHeight="1" x14ac:dyDescent="0.25">
      <c r="A2094" s="2" t="str" cm="1">
        <f t="array" ref="A2094">choice(Salles!A:A,1,Settings!$B$16)</f>
        <v>Salle34</v>
      </c>
      <c r="B2094" s="3" cm="1">
        <f t="array" ref="B2094">alea_date(Settings!$B$11,360,-1,Settings!$B$16)</f>
        <v>46349.25</v>
      </c>
      <c r="C2094" s="20" cm="1">
        <f t="array" ref="C2094">B2094+TIME(alea_int(1,4,Settings!$B$16),0,0)</f>
        <v>46349.416666666664</v>
      </c>
    </row>
    <row r="2095" spans="1:3" ht="15.75" customHeight="1" x14ac:dyDescent="0.25">
      <c r="A2095" s="2" t="str" cm="1">
        <f t="array" ref="A2095">choice(Salles!A:A,1,Settings!$B$16)</f>
        <v>Salle6</v>
      </c>
      <c r="B2095" s="3" cm="1">
        <f t="array" ref="B2095">alea_date(Settings!$B$11,360,-1,Settings!$B$16)</f>
        <v>46324.458333333336</v>
      </c>
      <c r="C2095" s="20" cm="1">
        <f t="array" ref="C2095">B2095+TIME(alea_int(1,4,Settings!$B$16),0,0)</f>
        <v>46324.625</v>
      </c>
    </row>
    <row r="2096" spans="1:3" ht="15.75" customHeight="1" x14ac:dyDescent="0.25">
      <c r="A2096" s="2" t="str" cm="1">
        <f t="array" ref="A2096">choice(Salles!A:A,1,Settings!$B$16)</f>
        <v>Salle45</v>
      </c>
      <c r="B2096" s="3" cm="1">
        <f t="array" ref="B2096">alea_date(Settings!$B$11,360,-1,Settings!$B$16)</f>
        <v>46023.458333333336</v>
      </c>
      <c r="C2096" s="20" cm="1">
        <f t="array" ref="C2096">B2096+TIME(alea_int(1,4,Settings!$B$16),0,0)</f>
        <v>46023.625</v>
      </c>
    </row>
    <row r="2097" spans="1:3" ht="15.75" customHeight="1" x14ac:dyDescent="0.25">
      <c r="A2097" s="2" t="str" cm="1">
        <f t="array" ref="A2097">choice(Salles!A:A,1,Settings!$B$16)</f>
        <v>Salle58</v>
      </c>
      <c r="B2097" s="3" cm="1">
        <f t="array" ref="B2097">alea_date(Settings!$B$11,360,-1,Settings!$B$16)</f>
        <v>46049.625</v>
      </c>
      <c r="C2097" s="20" cm="1">
        <f t="array" ref="C2097">B2097+TIME(alea_int(1,4,Settings!$B$16),0,0)</f>
        <v>46049.791666666664</v>
      </c>
    </row>
    <row r="2098" spans="1:3" ht="15.75" customHeight="1" x14ac:dyDescent="0.25">
      <c r="A2098" s="2" t="str" cm="1">
        <f t="array" ref="A2098">choice(Salles!A:A,1,Settings!$B$16)</f>
        <v>Salle13</v>
      </c>
      <c r="B2098" s="3" cm="1">
        <f t="array" ref="B2098">alea_date(Settings!$B$11,360,-1,Settings!$B$16)</f>
        <v>46302.25</v>
      </c>
      <c r="C2098" s="20" cm="1">
        <f t="array" ref="C2098">B2098+TIME(alea_int(1,4,Settings!$B$16),0,0)</f>
        <v>46302.416666666664</v>
      </c>
    </row>
    <row r="2099" spans="1:3" ht="15.75" customHeight="1" x14ac:dyDescent="0.25">
      <c r="A2099" s="2" t="str" cm="1">
        <f t="array" ref="A2099">choice(Salles!A:A,1,Settings!$B$16)</f>
        <v>Salle2</v>
      </c>
      <c r="B2099" s="3" cm="1">
        <f t="array" ref="B2099">alea_date(Settings!$B$11,360,-1,Settings!$B$16)</f>
        <v>46071.291666666664</v>
      </c>
      <c r="C2099" s="20" cm="1">
        <f t="array" ref="C2099">B2099+TIME(alea_int(1,4,Settings!$B$16),0,0)</f>
        <v>46071.458333333328</v>
      </c>
    </row>
    <row r="2100" spans="1:3" ht="15.75" customHeight="1" x14ac:dyDescent="0.25">
      <c r="A2100" s="2" t="str" cm="1">
        <f t="array" ref="A2100">choice(Salles!A:A,1,Settings!$B$16)</f>
        <v>Salle53</v>
      </c>
      <c r="B2100" s="3" cm="1">
        <f t="array" ref="B2100">alea_date(Settings!$B$11,360,-1,Settings!$B$16)</f>
        <v>46081.583333333336</v>
      </c>
      <c r="C2100" s="20" cm="1">
        <f t="array" ref="C2100">B2100+TIME(alea_int(1,4,Settings!$B$16),0,0)</f>
        <v>46081.75</v>
      </c>
    </row>
    <row r="2101" spans="1:3" ht="15.75" customHeight="1" x14ac:dyDescent="0.25">
      <c r="A2101" s="2" t="str" cm="1">
        <f t="array" ref="A2101">choice(Salles!A:A,1,Settings!$B$16)</f>
        <v>Salle40</v>
      </c>
      <c r="B2101" s="3" cm="1">
        <f t="array" ref="B2101">alea_date(Settings!$B$11,360,-1,Settings!$B$16)</f>
        <v>46269.583333333336</v>
      </c>
      <c r="C2101" s="20" cm="1">
        <f t="array" ref="C2101">B2101+TIME(alea_int(1,4,Settings!$B$16),0,0)</f>
        <v>46269.75</v>
      </c>
    </row>
    <row r="2102" spans="1:3" ht="15.75" customHeight="1" x14ac:dyDescent="0.25">
      <c r="A2102" s="2" t="str" cm="1">
        <f t="array" ref="A2102">choice(Salles!A:A,1,Settings!$B$16)</f>
        <v>Salle20</v>
      </c>
      <c r="B2102" s="3" cm="1">
        <f t="array" ref="B2102">alea_date(Settings!$B$11,360,-1,Settings!$B$16)</f>
        <v>46134.583333333336</v>
      </c>
      <c r="C2102" s="20" cm="1">
        <f t="array" ref="C2102">B2102+TIME(alea_int(1,4,Settings!$B$16),0,0)</f>
        <v>46134.75</v>
      </c>
    </row>
    <row r="2103" spans="1:3" ht="15.75" customHeight="1" x14ac:dyDescent="0.25">
      <c r="A2103" s="2" t="str" cm="1">
        <f t="array" ref="A2103">choice(Salles!A:A,1,Settings!$B$16)</f>
        <v>Salle30</v>
      </c>
      <c r="B2103" s="3" cm="1">
        <f t="array" ref="B2103">alea_date(Settings!$B$11,360,-1,Settings!$B$16)</f>
        <v>46303.541666666664</v>
      </c>
      <c r="C2103" s="20" cm="1">
        <f t="array" ref="C2103">B2103+TIME(alea_int(1,4,Settings!$B$16),0,0)</f>
        <v>46303.708333333328</v>
      </c>
    </row>
    <row r="2104" spans="1:3" ht="15.75" customHeight="1" x14ac:dyDescent="0.25">
      <c r="A2104" s="2" t="str" cm="1">
        <f t="array" ref="A2104">choice(Salles!A:A,1,Settings!$B$16)</f>
        <v>Salle26</v>
      </c>
      <c r="B2104" s="3" cm="1">
        <f t="array" ref="B2104">alea_date(Settings!$B$11,360,-1,Settings!$B$16)</f>
        <v>46059.375</v>
      </c>
      <c r="C2104" s="20" cm="1">
        <f t="array" ref="C2104">B2104+TIME(alea_int(1,4,Settings!$B$16),0,0)</f>
        <v>46059.541666666664</v>
      </c>
    </row>
    <row r="2105" spans="1:3" ht="15.75" customHeight="1" x14ac:dyDescent="0.25">
      <c r="A2105" s="2" t="str" cm="1">
        <f t="array" ref="A2105">choice(Salles!A:A,1,Settings!$B$16)</f>
        <v>Salle9</v>
      </c>
      <c r="B2105" s="3" cm="1">
        <f t="array" ref="B2105">alea_date(Settings!$B$11,360,-1,Settings!$B$16)</f>
        <v>46382.541666666664</v>
      </c>
      <c r="C2105" s="20" cm="1">
        <f t="array" ref="C2105">B2105+TIME(alea_int(1,4,Settings!$B$16),0,0)</f>
        <v>46382.708333333328</v>
      </c>
    </row>
    <row r="2106" spans="1:3" ht="15.75" customHeight="1" x14ac:dyDescent="0.25">
      <c r="A2106" s="2" t="str" cm="1">
        <f t="array" ref="A2106">choice(Salles!A:A,1,Settings!$B$16)</f>
        <v>Salle52</v>
      </c>
      <c r="B2106" s="3" cm="1">
        <f t="array" ref="B2106">alea_date(Settings!$B$11,360,-1,Settings!$B$16)</f>
        <v>46240.25</v>
      </c>
      <c r="C2106" s="20" cm="1">
        <f t="array" ref="C2106">B2106+TIME(alea_int(1,4,Settings!$B$16),0,0)</f>
        <v>46240.416666666664</v>
      </c>
    </row>
    <row r="2107" spans="1:3" ht="15.75" customHeight="1" x14ac:dyDescent="0.25">
      <c r="A2107" s="2" t="str" cm="1">
        <f t="array" ref="A2107">choice(Salles!A:A,1,Settings!$B$16)</f>
        <v>Salle35</v>
      </c>
      <c r="B2107" s="3" cm="1">
        <f t="array" ref="B2107">alea_date(Settings!$B$11,360,-1,Settings!$B$16)</f>
        <v>46172.333333333336</v>
      </c>
      <c r="C2107" s="20" cm="1">
        <f t="array" ref="C2107">B2107+TIME(alea_int(1,4,Settings!$B$16),0,0)</f>
        <v>46172.5</v>
      </c>
    </row>
    <row r="2108" spans="1:3" ht="15.75" customHeight="1" x14ac:dyDescent="0.25">
      <c r="A2108" s="2" t="str" cm="1">
        <f t="array" ref="A2108">choice(Salles!A:A,1,Settings!$B$16)</f>
        <v>Salle60</v>
      </c>
      <c r="B2108" s="3" cm="1">
        <f t="array" ref="B2108">alea_date(Settings!$B$11,360,-1,Settings!$B$16)</f>
        <v>46213.458333333336</v>
      </c>
      <c r="C2108" s="20" cm="1">
        <f t="array" ref="C2108">B2108+TIME(alea_int(1,4,Settings!$B$16),0,0)</f>
        <v>46213.625</v>
      </c>
    </row>
    <row r="2109" spans="1:3" ht="15.75" customHeight="1" x14ac:dyDescent="0.25">
      <c r="A2109" s="2" t="str" cm="1">
        <f t="array" ref="A2109">choice(Salles!A:A,1,Settings!$B$16)</f>
        <v>Salle41</v>
      </c>
      <c r="B2109" s="3" cm="1">
        <f t="array" ref="B2109">alea_date(Settings!$B$11,360,-1,Settings!$B$16)</f>
        <v>46038.541666666664</v>
      </c>
      <c r="C2109" s="20" cm="1">
        <f t="array" ref="C2109">B2109+TIME(alea_int(1,4,Settings!$B$16),0,0)</f>
        <v>46038.708333333328</v>
      </c>
    </row>
    <row r="2110" spans="1:3" ht="15.75" customHeight="1" x14ac:dyDescent="0.25">
      <c r="A2110" s="2" t="str" cm="1">
        <f t="array" ref="A2110">choice(Salles!A:A,1,Settings!$B$16)</f>
        <v>Salle4</v>
      </c>
      <c r="B2110" s="3" cm="1">
        <f t="array" ref="B2110">alea_date(Settings!$B$11,360,-1,Settings!$B$16)</f>
        <v>46249.625</v>
      </c>
      <c r="C2110" s="20" cm="1">
        <f t="array" ref="C2110">B2110+TIME(alea_int(1,4,Settings!$B$16),0,0)</f>
        <v>46249.791666666664</v>
      </c>
    </row>
    <row r="2111" spans="1:3" ht="15.75" customHeight="1" x14ac:dyDescent="0.25">
      <c r="A2111" s="2" t="str" cm="1">
        <f t="array" ref="A2111">choice(Salles!A:A,1,Settings!$B$16)</f>
        <v>Salle43</v>
      </c>
      <c r="B2111" s="3" cm="1">
        <f t="array" ref="B2111">alea_date(Settings!$B$11,360,-1,Settings!$B$16)</f>
        <v>46071.25</v>
      </c>
      <c r="C2111" s="20" cm="1">
        <f t="array" ref="C2111">B2111+TIME(alea_int(1,4,Settings!$B$16),0,0)</f>
        <v>46071.416666666664</v>
      </c>
    </row>
    <row r="2112" spans="1:3" ht="15.75" customHeight="1" x14ac:dyDescent="0.25">
      <c r="A2112" s="2" t="str" cm="1">
        <f t="array" ref="A2112">choice(Salles!A:A,1,Settings!$B$16)</f>
        <v>Salle4</v>
      </c>
      <c r="B2112" s="3" cm="1">
        <f t="array" ref="B2112">alea_date(Settings!$B$11,360,-1,Settings!$B$16)</f>
        <v>46344.25</v>
      </c>
      <c r="C2112" s="20" cm="1">
        <f t="array" ref="C2112">B2112+TIME(alea_int(1,4,Settings!$B$16),0,0)</f>
        <v>46344.416666666664</v>
      </c>
    </row>
    <row r="2113" spans="1:3" ht="15.75" customHeight="1" x14ac:dyDescent="0.25">
      <c r="A2113" s="2" t="str" cm="1">
        <f t="array" ref="A2113">choice(Salles!A:A,1,Settings!$B$16)</f>
        <v>Salle7</v>
      </c>
      <c r="B2113" s="3" cm="1">
        <f t="array" ref="B2113">alea_date(Settings!$B$11,360,-1,Settings!$B$16)</f>
        <v>46322.625</v>
      </c>
      <c r="C2113" s="20" cm="1">
        <f t="array" ref="C2113">B2113+TIME(alea_int(1,4,Settings!$B$16),0,0)</f>
        <v>46322.791666666664</v>
      </c>
    </row>
    <row r="2114" spans="1:3" ht="15.75" customHeight="1" x14ac:dyDescent="0.25">
      <c r="A2114" s="2" t="str" cm="1">
        <f t="array" ref="A2114">choice(Salles!A:A,1,Settings!$B$16)</f>
        <v>Salle8</v>
      </c>
      <c r="B2114" s="3" cm="1">
        <f t="array" ref="B2114">alea_date(Settings!$B$11,360,-1,Settings!$B$16)</f>
        <v>46336.416666666664</v>
      </c>
      <c r="C2114" s="20" cm="1">
        <f t="array" ref="C2114">B2114+TIME(alea_int(1,4,Settings!$B$16),0,0)</f>
        <v>46336.583333333328</v>
      </c>
    </row>
    <row r="2115" spans="1:3" ht="15.75" customHeight="1" x14ac:dyDescent="0.25">
      <c r="A2115" s="2" t="str" cm="1">
        <f t="array" ref="A2115">choice(Salles!A:A,1,Settings!$B$16)</f>
        <v>Salle6</v>
      </c>
      <c r="B2115" s="3" cm="1">
        <f t="array" ref="B2115">alea_date(Settings!$B$11,360,-1,Settings!$B$16)</f>
        <v>46029.583333333336</v>
      </c>
      <c r="C2115" s="20" cm="1">
        <f t="array" ref="C2115">B2115+TIME(alea_int(1,4,Settings!$B$16),0,0)</f>
        <v>46029.75</v>
      </c>
    </row>
    <row r="2116" spans="1:3" ht="15.75" customHeight="1" x14ac:dyDescent="0.25">
      <c r="A2116" s="2" t="str" cm="1">
        <f t="array" ref="A2116">choice(Salles!A:A,1,Settings!$B$16)</f>
        <v>Salle34</v>
      </c>
      <c r="B2116" s="3" cm="1">
        <f t="array" ref="B2116">alea_date(Settings!$B$11,360,-1,Settings!$B$16)</f>
        <v>46125.625</v>
      </c>
      <c r="C2116" s="20" cm="1">
        <f t="array" ref="C2116">B2116+TIME(alea_int(1,4,Settings!$B$16),0,0)</f>
        <v>46125.791666666664</v>
      </c>
    </row>
    <row r="2117" spans="1:3" ht="15.75" customHeight="1" x14ac:dyDescent="0.25">
      <c r="A2117" s="2" t="str" cm="1">
        <f t="array" ref="A2117">choice(Salles!A:A,1,Settings!$B$16)</f>
        <v>Salle43</v>
      </c>
      <c r="B2117" s="3" cm="1">
        <f t="array" ref="B2117">alea_date(Settings!$B$11,360,-1,Settings!$B$16)</f>
        <v>46252.5</v>
      </c>
      <c r="C2117" s="20" cm="1">
        <f t="array" ref="C2117">B2117+TIME(alea_int(1,4,Settings!$B$16),0,0)</f>
        <v>46252.666666666664</v>
      </c>
    </row>
    <row r="2118" spans="1:3" ht="15.75" customHeight="1" x14ac:dyDescent="0.25">
      <c r="A2118" s="2" t="str" cm="1">
        <f t="array" ref="A2118">choice(Salles!A:A,1,Settings!$B$16)</f>
        <v>Salle7</v>
      </c>
      <c r="B2118" s="3" cm="1">
        <f t="array" ref="B2118">alea_date(Settings!$B$11,360,-1,Settings!$B$16)</f>
        <v>46110.333333333336</v>
      </c>
      <c r="C2118" s="20" cm="1">
        <f t="array" ref="C2118">B2118+TIME(alea_int(1,4,Settings!$B$16),0,0)</f>
        <v>46110.5</v>
      </c>
    </row>
    <row r="2119" spans="1:3" ht="15.75" customHeight="1" x14ac:dyDescent="0.25">
      <c r="A2119" s="2" t="str" cm="1">
        <f t="array" ref="A2119">choice(Salles!A:A,1,Settings!$B$16)</f>
        <v>Salle7</v>
      </c>
      <c r="B2119" s="3" cm="1">
        <f t="array" ref="B2119">alea_date(Settings!$B$11,360,-1,Settings!$B$16)</f>
        <v>46151.291666666664</v>
      </c>
      <c r="C2119" s="20" cm="1">
        <f t="array" ref="C2119">B2119+TIME(alea_int(1,4,Settings!$B$16),0,0)</f>
        <v>46151.458333333328</v>
      </c>
    </row>
    <row r="2120" spans="1:3" ht="15.75" customHeight="1" x14ac:dyDescent="0.25">
      <c r="A2120" s="2" t="str" cm="1">
        <f t="array" ref="A2120">choice(Salles!A:A,1,Settings!$B$16)</f>
        <v>Salle26</v>
      </c>
      <c r="B2120" s="3" cm="1">
        <f t="array" ref="B2120">alea_date(Settings!$B$11,360,-1,Settings!$B$16)</f>
        <v>46267.375</v>
      </c>
      <c r="C2120" s="20" cm="1">
        <f t="array" ref="C2120">B2120+TIME(alea_int(1,4,Settings!$B$16),0,0)</f>
        <v>46267.541666666664</v>
      </c>
    </row>
    <row r="2121" spans="1:3" ht="15.75" customHeight="1" x14ac:dyDescent="0.25">
      <c r="A2121" s="2" t="str" cm="1">
        <f t="array" ref="A2121">choice(Salles!A:A,1,Settings!$B$16)</f>
        <v>Salle48</v>
      </c>
      <c r="B2121" s="3" cm="1">
        <f t="array" ref="B2121">alea_date(Settings!$B$11,360,-1,Settings!$B$16)</f>
        <v>46309.375</v>
      </c>
      <c r="C2121" s="20" cm="1">
        <f t="array" ref="C2121">B2121+TIME(alea_int(1,4,Settings!$B$16),0,0)</f>
        <v>46309.541666666664</v>
      </c>
    </row>
    <row r="2122" spans="1:3" ht="15.75" customHeight="1" x14ac:dyDescent="0.25">
      <c r="A2122" s="2" t="str" cm="1">
        <f t="array" ref="A2122">choice(Salles!A:A,1,Settings!$B$16)</f>
        <v>Salle52</v>
      </c>
      <c r="B2122" s="3" cm="1">
        <f t="array" ref="B2122">alea_date(Settings!$B$11,360,-1,Settings!$B$16)</f>
        <v>46331.625</v>
      </c>
      <c r="C2122" s="20" cm="1">
        <f t="array" ref="C2122">B2122+TIME(alea_int(1,4,Settings!$B$16),0,0)</f>
        <v>46331.791666666664</v>
      </c>
    </row>
    <row r="2123" spans="1:3" ht="15.75" customHeight="1" x14ac:dyDescent="0.25">
      <c r="A2123" s="2" t="str" cm="1">
        <f t="array" ref="A2123">choice(Salles!A:A,1,Settings!$B$16)</f>
        <v>Salle57</v>
      </c>
      <c r="B2123" s="3" cm="1">
        <f t="array" ref="B2123">alea_date(Settings!$B$11,360,-1,Settings!$B$16)</f>
        <v>46199.583333333336</v>
      </c>
      <c r="C2123" s="20" cm="1">
        <f t="array" ref="C2123">B2123+TIME(alea_int(1,4,Settings!$B$16),0,0)</f>
        <v>46199.75</v>
      </c>
    </row>
    <row r="2124" spans="1:3" ht="15.75" customHeight="1" x14ac:dyDescent="0.25">
      <c r="A2124" s="2" t="str" cm="1">
        <f t="array" ref="A2124">choice(Salles!A:A,1,Settings!$B$16)</f>
        <v>Salle48</v>
      </c>
      <c r="B2124" s="3" cm="1">
        <f t="array" ref="B2124">alea_date(Settings!$B$11,360,-1,Settings!$B$16)</f>
        <v>46205.291666666664</v>
      </c>
      <c r="C2124" s="20" cm="1">
        <f t="array" ref="C2124">B2124+TIME(alea_int(1,4,Settings!$B$16),0,0)</f>
        <v>46205.458333333328</v>
      </c>
    </row>
    <row r="2125" spans="1:3" ht="15.75" customHeight="1" x14ac:dyDescent="0.25">
      <c r="A2125" s="2" t="str" cm="1">
        <f t="array" ref="A2125">choice(Salles!A:A,1,Settings!$B$16)</f>
        <v>Salle36</v>
      </c>
      <c r="B2125" s="3" cm="1">
        <f t="array" ref="B2125">alea_date(Settings!$B$11,360,-1,Settings!$B$16)</f>
        <v>46263.416666666664</v>
      </c>
      <c r="C2125" s="20" cm="1">
        <f t="array" ref="C2125">B2125+TIME(alea_int(1,4,Settings!$B$16),0,0)</f>
        <v>46263.583333333328</v>
      </c>
    </row>
    <row r="2126" spans="1:3" ht="15.75" customHeight="1" x14ac:dyDescent="0.25">
      <c r="A2126" s="2" t="str" cm="1">
        <f t="array" ref="A2126">choice(Salles!A:A,1,Settings!$B$16)</f>
        <v>Salle7</v>
      </c>
      <c r="B2126" s="3" cm="1">
        <f t="array" ref="B2126">alea_date(Settings!$B$11,360,-1,Settings!$B$16)</f>
        <v>46274.25</v>
      </c>
      <c r="C2126" s="20" cm="1">
        <f t="array" ref="C2126">B2126+TIME(alea_int(1,4,Settings!$B$16),0,0)</f>
        <v>46274.416666666664</v>
      </c>
    </row>
    <row r="2127" spans="1:3" ht="15.75" customHeight="1" x14ac:dyDescent="0.25">
      <c r="A2127" s="2" t="str" cm="1">
        <f t="array" ref="A2127">choice(Salles!A:A,1,Settings!$B$16)</f>
        <v>Salle65</v>
      </c>
      <c r="B2127" s="3" cm="1">
        <f t="array" ref="B2127">alea_date(Settings!$B$11,360,-1,Settings!$B$16)</f>
        <v>46326.416666666664</v>
      </c>
      <c r="C2127" s="20" cm="1">
        <f t="array" ref="C2127">B2127+TIME(alea_int(1,4,Settings!$B$16),0,0)</f>
        <v>46326.583333333328</v>
      </c>
    </row>
    <row r="2128" spans="1:3" ht="15.75" customHeight="1" x14ac:dyDescent="0.25">
      <c r="A2128" s="2" t="str" cm="1">
        <f t="array" ref="A2128">choice(Salles!A:A,1,Settings!$B$16)</f>
        <v>Salle11</v>
      </c>
      <c r="B2128" s="3" cm="1">
        <f t="array" ref="B2128">alea_date(Settings!$B$11,360,-1,Settings!$B$16)</f>
        <v>46289.5</v>
      </c>
      <c r="C2128" s="20" cm="1">
        <f t="array" ref="C2128">B2128+TIME(alea_int(1,4,Settings!$B$16),0,0)</f>
        <v>46289.666666666664</v>
      </c>
    </row>
    <row r="2129" spans="1:3" ht="15.75" customHeight="1" x14ac:dyDescent="0.25">
      <c r="A2129" s="2" t="str" cm="1">
        <f t="array" ref="A2129">choice(Salles!A:A,1,Settings!$B$16)</f>
        <v>Salle28</v>
      </c>
      <c r="B2129" s="3" cm="1">
        <f t="array" ref="B2129">alea_date(Settings!$B$11,360,-1,Settings!$B$16)</f>
        <v>46357.333333333336</v>
      </c>
      <c r="C2129" s="20" cm="1">
        <f t="array" ref="C2129">B2129+TIME(alea_int(1,4,Settings!$B$16),0,0)</f>
        <v>46357.5</v>
      </c>
    </row>
    <row r="2130" spans="1:3" ht="15.75" customHeight="1" x14ac:dyDescent="0.25">
      <c r="A2130" s="2" t="str" cm="1">
        <f t="array" ref="A2130">choice(Salles!A:A,1,Settings!$B$16)</f>
        <v>Salle54</v>
      </c>
      <c r="B2130" s="3" cm="1">
        <f t="array" ref="B2130">alea_date(Settings!$B$11,360,-1,Settings!$B$16)</f>
        <v>46310.416666666664</v>
      </c>
      <c r="C2130" s="20" cm="1">
        <f t="array" ref="C2130">B2130+TIME(alea_int(1,4,Settings!$B$16),0,0)</f>
        <v>46310.583333333328</v>
      </c>
    </row>
    <row r="2131" spans="1:3" ht="15.75" customHeight="1" x14ac:dyDescent="0.25">
      <c r="A2131" s="2" t="str" cm="1">
        <f t="array" ref="A2131">choice(Salles!A:A,1,Settings!$B$16)</f>
        <v>Salle12</v>
      </c>
      <c r="B2131" s="3" cm="1">
        <f t="array" ref="B2131">alea_date(Settings!$B$11,360,-1,Settings!$B$16)</f>
        <v>46161.5</v>
      </c>
      <c r="C2131" s="20" cm="1">
        <f t="array" ref="C2131">B2131+TIME(alea_int(1,4,Settings!$B$16),0,0)</f>
        <v>46161.666666666664</v>
      </c>
    </row>
    <row r="2132" spans="1:3" ht="15.75" customHeight="1" x14ac:dyDescent="0.25">
      <c r="A2132" s="2" t="str" cm="1">
        <f t="array" ref="A2132">choice(Salles!A:A,1,Settings!$B$16)</f>
        <v>Salle29</v>
      </c>
      <c r="B2132" s="3" cm="1">
        <f t="array" ref="B2132">alea_date(Settings!$B$11,360,-1,Settings!$B$16)</f>
        <v>46121.541666666664</v>
      </c>
      <c r="C2132" s="20" cm="1">
        <f t="array" ref="C2132">B2132+TIME(alea_int(1,4,Settings!$B$16),0,0)</f>
        <v>46121.708333333328</v>
      </c>
    </row>
    <row r="2133" spans="1:3" ht="15.75" customHeight="1" x14ac:dyDescent="0.25">
      <c r="A2133" s="2" t="str" cm="1">
        <f t="array" ref="A2133">choice(Salles!A:A,1,Settings!$B$16)</f>
        <v>Salle28</v>
      </c>
      <c r="B2133" s="3" cm="1">
        <f t="array" ref="B2133">alea_date(Settings!$B$11,360,-1,Settings!$B$16)</f>
        <v>46340.375</v>
      </c>
      <c r="C2133" s="20" cm="1">
        <f t="array" ref="C2133">B2133+TIME(alea_int(1,4,Settings!$B$16),0,0)</f>
        <v>46340.541666666664</v>
      </c>
    </row>
    <row r="2134" spans="1:3" ht="15.75" customHeight="1" x14ac:dyDescent="0.25">
      <c r="A2134" s="2" t="str" cm="1">
        <f t="array" ref="A2134">choice(Salles!A:A,1,Settings!$B$16)</f>
        <v>Salle44</v>
      </c>
      <c r="B2134" s="3" cm="1">
        <f t="array" ref="B2134">alea_date(Settings!$B$11,360,-1,Settings!$B$16)</f>
        <v>46288.375</v>
      </c>
      <c r="C2134" s="20" cm="1">
        <f t="array" ref="C2134">B2134+TIME(alea_int(1,4,Settings!$B$16),0,0)</f>
        <v>46288.541666666664</v>
      </c>
    </row>
    <row r="2135" spans="1:3" ht="15.75" customHeight="1" x14ac:dyDescent="0.25">
      <c r="A2135" s="2" t="str" cm="1">
        <f t="array" ref="A2135">choice(Salles!A:A,1,Settings!$B$16)</f>
        <v>Salle17</v>
      </c>
      <c r="B2135" s="3" cm="1">
        <f t="array" ref="B2135">alea_date(Settings!$B$11,360,-1,Settings!$B$16)</f>
        <v>46206.625</v>
      </c>
      <c r="C2135" s="20" cm="1">
        <f t="array" ref="C2135">B2135+TIME(alea_int(1,4,Settings!$B$16),0,0)</f>
        <v>46206.791666666664</v>
      </c>
    </row>
    <row r="2136" spans="1:3" ht="15.75" customHeight="1" x14ac:dyDescent="0.25">
      <c r="A2136" s="2" t="str" cm="1">
        <f t="array" ref="A2136">choice(Salles!A:A,1,Settings!$B$16)</f>
        <v>Salle31</v>
      </c>
      <c r="B2136" s="3" cm="1">
        <f t="array" ref="B2136">alea_date(Settings!$B$11,360,-1,Settings!$B$16)</f>
        <v>46120.625</v>
      </c>
      <c r="C2136" s="20" cm="1">
        <f t="array" ref="C2136">B2136+TIME(alea_int(1,4,Settings!$B$16),0,0)</f>
        <v>46120.791666666664</v>
      </c>
    </row>
    <row r="2137" spans="1:3" ht="15.75" customHeight="1" x14ac:dyDescent="0.25">
      <c r="A2137" s="2" t="str" cm="1">
        <f t="array" ref="A2137">choice(Salles!A:A,1,Settings!$B$16)</f>
        <v>Salle48</v>
      </c>
      <c r="B2137" s="3" cm="1">
        <f t="array" ref="B2137">alea_date(Settings!$B$11,360,-1,Settings!$B$16)</f>
        <v>46109.375</v>
      </c>
      <c r="C2137" s="20" cm="1">
        <f t="array" ref="C2137">B2137+TIME(alea_int(1,4,Settings!$B$16),0,0)</f>
        <v>46109.541666666664</v>
      </c>
    </row>
    <row r="2138" spans="1:3" ht="15.75" customHeight="1" x14ac:dyDescent="0.25">
      <c r="A2138" s="2" t="str" cm="1">
        <f t="array" ref="A2138">choice(Salles!A:A,1,Settings!$B$16)</f>
        <v>Salle65</v>
      </c>
      <c r="B2138" s="3" cm="1">
        <f t="array" ref="B2138">alea_date(Settings!$B$11,360,-1,Settings!$B$16)</f>
        <v>46054.625</v>
      </c>
      <c r="C2138" s="20" cm="1">
        <f t="array" ref="C2138">B2138+TIME(alea_int(1,4,Settings!$B$16),0,0)</f>
        <v>46054.791666666664</v>
      </c>
    </row>
    <row r="2139" spans="1:3" ht="15.75" customHeight="1" x14ac:dyDescent="0.25">
      <c r="A2139" s="2" t="str" cm="1">
        <f t="array" ref="A2139">choice(Salles!A:A,1,Settings!$B$16)</f>
        <v>Salle12</v>
      </c>
      <c r="B2139" s="3" cm="1">
        <f t="array" ref="B2139">alea_date(Settings!$B$11,360,-1,Settings!$B$16)</f>
        <v>46221.291666666664</v>
      </c>
      <c r="C2139" s="20" cm="1">
        <f t="array" ref="C2139">B2139+TIME(alea_int(1,4,Settings!$B$16),0,0)</f>
        <v>46221.458333333328</v>
      </c>
    </row>
    <row r="2140" spans="1:3" ht="15.75" customHeight="1" x14ac:dyDescent="0.25">
      <c r="A2140" s="2" t="str" cm="1">
        <f t="array" ref="A2140">choice(Salles!A:A,1,Settings!$B$16)</f>
        <v>Salle49</v>
      </c>
      <c r="B2140" s="3" cm="1">
        <f t="array" ref="B2140">alea_date(Settings!$B$11,360,-1,Settings!$B$16)</f>
        <v>46125.25</v>
      </c>
      <c r="C2140" s="20" cm="1">
        <f t="array" ref="C2140">B2140+TIME(alea_int(1,4,Settings!$B$16),0,0)</f>
        <v>46125.416666666664</v>
      </c>
    </row>
    <row r="2141" spans="1:3" ht="15.75" customHeight="1" x14ac:dyDescent="0.25">
      <c r="A2141" s="2" t="str" cm="1">
        <f t="array" ref="A2141">choice(Salles!A:A,1,Settings!$B$16)</f>
        <v>Salle22</v>
      </c>
      <c r="B2141" s="3" cm="1">
        <f t="array" ref="B2141">alea_date(Settings!$B$11,360,-1,Settings!$B$16)</f>
        <v>46285.416666666664</v>
      </c>
      <c r="C2141" s="20" cm="1">
        <f t="array" ref="C2141">B2141+TIME(alea_int(1,4,Settings!$B$16),0,0)</f>
        <v>46285.583333333328</v>
      </c>
    </row>
    <row r="2142" spans="1:3" ht="15.75" customHeight="1" x14ac:dyDescent="0.25">
      <c r="A2142" s="2" t="str" cm="1">
        <f t="array" ref="A2142">choice(Salles!A:A,1,Settings!$B$16)</f>
        <v>Salle52</v>
      </c>
      <c r="B2142" s="3" cm="1">
        <f t="array" ref="B2142">alea_date(Settings!$B$11,360,-1,Settings!$B$16)</f>
        <v>46360.375</v>
      </c>
      <c r="C2142" s="20" cm="1">
        <f t="array" ref="C2142">B2142+TIME(alea_int(1,4,Settings!$B$16),0,0)</f>
        <v>46360.541666666664</v>
      </c>
    </row>
    <row r="2143" spans="1:3" ht="15.75" customHeight="1" x14ac:dyDescent="0.25">
      <c r="A2143" s="2" t="str" cm="1">
        <f t="array" ref="A2143">choice(Salles!A:A,1,Settings!$B$16)</f>
        <v>Salle40</v>
      </c>
      <c r="B2143" s="3" cm="1">
        <f t="array" ref="B2143">alea_date(Settings!$B$11,360,-1,Settings!$B$16)</f>
        <v>46068.583333333336</v>
      </c>
      <c r="C2143" s="20" cm="1">
        <f t="array" ref="C2143">B2143+TIME(alea_int(1,4,Settings!$B$16),0,0)</f>
        <v>46068.75</v>
      </c>
    </row>
    <row r="2144" spans="1:3" ht="15.75" customHeight="1" x14ac:dyDescent="0.25">
      <c r="A2144" s="2" t="str" cm="1">
        <f t="array" ref="A2144">choice(Salles!A:A,1,Settings!$B$16)</f>
        <v>Salle33</v>
      </c>
      <c r="B2144" s="3" cm="1">
        <f t="array" ref="B2144">alea_date(Settings!$B$11,360,-1,Settings!$B$16)</f>
        <v>46256.25</v>
      </c>
      <c r="C2144" s="20" cm="1">
        <f t="array" ref="C2144">B2144+TIME(alea_int(1,4,Settings!$B$16),0,0)</f>
        <v>46256.416666666664</v>
      </c>
    </row>
    <row r="2145" spans="1:3" ht="15.75" customHeight="1" x14ac:dyDescent="0.25">
      <c r="A2145" s="2" t="str" cm="1">
        <f t="array" ref="A2145">choice(Salles!A:A,1,Settings!$B$16)</f>
        <v>Salle10</v>
      </c>
      <c r="B2145" s="3" cm="1">
        <f t="array" ref="B2145">alea_date(Settings!$B$11,360,-1,Settings!$B$16)</f>
        <v>46229.541666666664</v>
      </c>
      <c r="C2145" s="20" cm="1">
        <f t="array" ref="C2145">B2145+TIME(alea_int(1,4,Settings!$B$16),0,0)</f>
        <v>46229.708333333328</v>
      </c>
    </row>
    <row r="2146" spans="1:3" ht="15.75" customHeight="1" x14ac:dyDescent="0.25">
      <c r="A2146" s="2" t="str" cm="1">
        <f t="array" ref="A2146">choice(Salles!A:A,1,Settings!$B$16)</f>
        <v>Salle7</v>
      </c>
      <c r="B2146" s="3" cm="1">
        <f t="array" ref="B2146">alea_date(Settings!$B$11,360,-1,Settings!$B$16)</f>
        <v>46365.458333333336</v>
      </c>
      <c r="C2146" s="20" cm="1">
        <f t="array" ref="C2146">B2146+TIME(alea_int(1,4,Settings!$B$16),0,0)</f>
        <v>46365.625</v>
      </c>
    </row>
    <row r="2147" spans="1:3" ht="15.75" customHeight="1" x14ac:dyDescent="0.25">
      <c r="A2147" s="2" t="str" cm="1">
        <f t="array" ref="A2147">choice(Salles!A:A,1,Settings!$B$16)</f>
        <v>Salle20</v>
      </c>
      <c r="B2147" s="3" cm="1">
        <f t="array" ref="B2147">alea_date(Settings!$B$11,360,-1,Settings!$B$16)</f>
        <v>46283.458333333336</v>
      </c>
      <c r="C2147" s="20" cm="1">
        <f t="array" ref="C2147">B2147+TIME(alea_int(1,4,Settings!$B$16),0,0)</f>
        <v>46283.625</v>
      </c>
    </row>
    <row r="2148" spans="1:3" ht="15.75" customHeight="1" x14ac:dyDescent="0.25">
      <c r="A2148" s="2" t="str" cm="1">
        <f t="array" ref="A2148">choice(Salles!A:A,1,Settings!$B$16)</f>
        <v>Salle69</v>
      </c>
      <c r="B2148" s="3" cm="1">
        <f t="array" ref="B2148">alea_date(Settings!$B$11,360,-1,Settings!$B$16)</f>
        <v>46036.541666666664</v>
      </c>
      <c r="C2148" s="20" cm="1">
        <f t="array" ref="C2148">B2148+TIME(alea_int(1,4,Settings!$B$16),0,0)</f>
        <v>46036.708333333328</v>
      </c>
    </row>
    <row r="2149" spans="1:3" ht="15.75" customHeight="1" x14ac:dyDescent="0.25">
      <c r="A2149" s="2" t="str" cm="1">
        <f t="array" ref="A2149">choice(Salles!A:A,1,Settings!$B$16)</f>
        <v>Salle46</v>
      </c>
      <c r="B2149" s="3" cm="1">
        <f t="array" ref="B2149">alea_date(Settings!$B$11,360,-1,Settings!$B$16)</f>
        <v>46041.291666666664</v>
      </c>
      <c r="C2149" s="20" cm="1">
        <f t="array" ref="C2149">B2149+TIME(alea_int(1,4,Settings!$B$16),0,0)</f>
        <v>46041.458333333328</v>
      </c>
    </row>
    <row r="2150" spans="1:3" ht="15.75" customHeight="1" x14ac:dyDescent="0.25">
      <c r="A2150" s="2" t="str" cm="1">
        <f t="array" ref="A2150">choice(Salles!A:A,1,Settings!$B$16)</f>
        <v>Salle67</v>
      </c>
      <c r="B2150" s="3" cm="1">
        <f t="array" ref="B2150">alea_date(Settings!$B$11,360,-1,Settings!$B$16)</f>
        <v>46094.375</v>
      </c>
      <c r="C2150" s="20" cm="1">
        <f t="array" ref="C2150">B2150+TIME(alea_int(1,4,Settings!$B$16),0,0)</f>
        <v>46094.541666666664</v>
      </c>
    </row>
    <row r="2151" spans="1:3" ht="15.75" customHeight="1" x14ac:dyDescent="0.25">
      <c r="A2151" s="2" t="str" cm="1">
        <f t="array" ref="A2151">choice(Salles!A:A,1,Settings!$B$16)</f>
        <v>Salle31</v>
      </c>
      <c r="B2151" s="3" cm="1">
        <f t="array" ref="B2151">alea_date(Settings!$B$11,360,-1,Settings!$B$16)</f>
        <v>46272.625</v>
      </c>
      <c r="C2151" s="20" cm="1">
        <f t="array" ref="C2151">B2151+TIME(alea_int(1,4,Settings!$B$16),0,0)</f>
        <v>46272.791666666664</v>
      </c>
    </row>
    <row r="2152" spans="1:3" ht="15.75" customHeight="1" x14ac:dyDescent="0.25">
      <c r="A2152" s="2" t="str" cm="1">
        <f t="array" ref="A2152">choice(Salles!A:A,1,Settings!$B$16)</f>
        <v>Salle48</v>
      </c>
      <c r="B2152" s="3" cm="1">
        <f t="array" ref="B2152">alea_date(Settings!$B$11,360,-1,Settings!$B$16)</f>
        <v>46316.458333333336</v>
      </c>
      <c r="C2152" s="20" cm="1">
        <f t="array" ref="C2152">B2152+TIME(alea_int(1,4,Settings!$B$16),0,0)</f>
        <v>46316.625</v>
      </c>
    </row>
    <row r="2153" spans="1:3" ht="15.75" customHeight="1" x14ac:dyDescent="0.25">
      <c r="A2153" s="2" t="str" cm="1">
        <f t="array" ref="A2153">choice(Salles!A:A,1,Settings!$B$16)</f>
        <v>Salle11</v>
      </c>
      <c r="B2153" s="3" cm="1">
        <f t="array" ref="B2153">alea_date(Settings!$B$11,360,-1,Settings!$B$16)</f>
        <v>46246.291666666664</v>
      </c>
      <c r="C2153" s="20" cm="1">
        <f t="array" ref="C2153">B2153+TIME(alea_int(1,4,Settings!$B$16),0,0)</f>
        <v>46246.458333333328</v>
      </c>
    </row>
    <row r="2154" spans="1:3" ht="15.75" customHeight="1" x14ac:dyDescent="0.25">
      <c r="A2154" s="2" t="str" cm="1">
        <f t="array" ref="A2154">choice(Salles!A:A,1,Settings!$B$16)</f>
        <v>Salle42</v>
      </c>
      <c r="B2154" s="3" cm="1">
        <f t="array" ref="B2154">alea_date(Settings!$B$11,360,-1,Settings!$B$16)</f>
        <v>46319.458333333336</v>
      </c>
      <c r="C2154" s="20" cm="1">
        <f t="array" ref="C2154">B2154+TIME(alea_int(1,4,Settings!$B$16),0,0)</f>
        <v>46319.625</v>
      </c>
    </row>
    <row r="2155" spans="1:3" ht="15.75" customHeight="1" x14ac:dyDescent="0.25">
      <c r="A2155" s="2" t="str" cm="1">
        <f t="array" ref="A2155">choice(Salles!A:A,1,Settings!$B$16)</f>
        <v>Salle60</v>
      </c>
      <c r="B2155" s="3" cm="1">
        <f t="array" ref="B2155">alea_date(Settings!$B$11,360,-1,Settings!$B$16)</f>
        <v>46298.416666666664</v>
      </c>
      <c r="C2155" s="20" cm="1">
        <f t="array" ref="C2155">B2155+TIME(alea_int(1,4,Settings!$B$16),0,0)</f>
        <v>46298.583333333328</v>
      </c>
    </row>
    <row r="2156" spans="1:3" ht="15.75" customHeight="1" x14ac:dyDescent="0.25">
      <c r="A2156" s="2" t="str" cm="1">
        <f t="array" ref="A2156">choice(Salles!A:A,1,Settings!$B$16)</f>
        <v>Salle7</v>
      </c>
      <c r="B2156" s="3" cm="1">
        <f t="array" ref="B2156">alea_date(Settings!$B$11,360,-1,Settings!$B$16)</f>
        <v>46067.333333333336</v>
      </c>
      <c r="C2156" s="20" cm="1">
        <f t="array" ref="C2156">B2156+TIME(alea_int(1,4,Settings!$B$16),0,0)</f>
        <v>46067.5</v>
      </c>
    </row>
    <row r="2157" spans="1:3" ht="15.75" customHeight="1" x14ac:dyDescent="0.25">
      <c r="A2157" s="2" t="str" cm="1">
        <f t="array" ref="A2157">choice(Salles!A:A,1,Settings!$B$16)</f>
        <v>Salle25</v>
      </c>
      <c r="B2157" s="3" cm="1">
        <f t="array" ref="B2157">alea_date(Settings!$B$11,360,-1,Settings!$B$16)</f>
        <v>46279.5</v>
      </c>
      <c r="C2157" s="20" cm="1">
        <f t="array" ref="C2157">B2157+TIME(alea_int(1,4,Settings!$B$16),0,0)</f>
        <v>46279.666666666664</v>
      </c>
    </row>
    <row r="2158" spans="1:3" ht="15.75" customHeight="1" x14ac:dyDescent="0.25">
      <c r="A2158" s="2" t="str" cm="1">
        <f t="array" ref="A2158">choice(Salles!A:A,1,Settings!$B$16)</f>
        <v>Salle55</v>
      </c>
      <c r="B2158" s="3" cm="1">
        <f t="array" ref="B2158">alea_date(Settings!$B$11,360,-1,Settings!$B$16)</f>
        <v>46200.5</v>
      </c>
      <c r="C2158" s="20" cm="1">
        <f t="array" ref="C2158">B2158+TIME(alea_int(1,4,Settings!$B$16),0,0)</f>
        <v>46200.666666666664</v>
      </c>
    </row>
    <row r="2159" spans="1:3" ht="15.75" customHeight="1" x14ac:dyDescent="0.25">
      <c r="A2159" s="2" t="str" cm="1">
        <f t="array" ref="A2159">choice(Salles!A:A,1,Settings!$B$16)</f>
        <v>Salle50</v>
      </c>
      <c r="B2159" s="3" cm="1">
        <f t="array" ref="B2159">alea_date(Settings!$B$11,360,-1,Settings!$B$16)</f>
        <v>46089.583333333336</v>
      </c>
      <c r="C2159" s="20" cm="1">
        <f t="array" ref="C2159">B2159+TIME(alea_int(1,4,Settings!$B$16),0,0)</f>
        <v>46089.75</v>
      </c>
    </row>
    <row r="2160" spans="1:3" ht="15.75" customHeight="1" x14ac:dyDescent="0.25">
      <c r="A2160" s="2" t="str" cm="1">
        <f t="array" ref="A2160">choice(Salles!A:A,1,Settings!$B$16)</f>
        <v>Salle3</v>
      </c>
      <c r="B2160" s="3" cm="1">
        <f t="array" ref="B2160">alea_date(Settings!$B$11,360,-1,Settings!$B$16)</f>
        <v>46331.458333333336</v>
      </c>
      <c r="C2160" s="20" cm="1">
        <f t="array" ref="C2160">B2160+TIME(alea_int(1,4,Settings!$B$16),0,0)</f>
        <v>46331.625</v>
      </c>
    </row>
    <row r="2161" spans="1:3" ht="15.75" customHeight="1" x14ac:dyDescent="0.25">
      <c r="A2161" s="2" t="str" cm="1">
        <f t="array" ref="A2161">choice(Salles!A:A,1,Settings!$B$16)</f>
        <v>Salle34</v>
      </c>
      <c r="B2161" s="3" cm="1">
        <f t="array" ref="B2161">alea_date(Settings!$B$11,360,-1,Settings!$B$16)</f>
        <v>46271.541666666664</v>
      </c>
      <c r="C2161" s="20" cm="1">
        <f t="array" ref="C2161">B2161+TIME(alea_int(1,4,Settings!$B$16),0,0)</f>
        <v>46271.708333333328</v>
      </c>
    </row>
    <row r="2162" spans="1:3" ht="15.75" customHeight="1" x14ac:dyDescent="0.25">
      <c r="A2162" s="2" t="str" cm="1">
        <f t="array" ref="A2162">choice(Salles!A:A,1,Settings!$B$16)</f>
        <v>Salle10</v>
      </c>
      <c r="B2162" s="3" cm="1">
        <f t="array" ref="B2162">alea_date(Settings!$B$11,360,-1,Settings!$B$16)</f>
        <v>46205.5</v>
      </c>
      <c r="C2162" s="20" cm="1">
        <f t="array" ref="C2162">B2162+TIME(alea_int(1,4,Settings!$B$16),0,0)</f>
        <v>46205.666666666664</v>
      </c>
    </row>
    <row r="2163" spans="1:3" ht="15.75" customHeight="1" x14ac:dyDescent="0.25">
      <c r="A2163" s="2" t="str" cm="1">
        <f t="array" ref="A2163">choice(Salles!A:A,1,Settings!$B$16)</f>
        <v>Salle35</v>
      </c>
      <c r="B2163" s="3" cm="1">
        <f t="array" ref="B2163">alea_date(Settings!$B$11,360,-1,Settings!$B$16)</f>
        <v>46166.291666666664</v>
      </c>
      <c r="C2163" s="20" cm="1">
        <f t="array" ref="C2163">B2163+TIME(alea_int(1,4,Settings!$B$16),0,0)</f>
        <v>46166.458333333328</v>
      </c>
    </row>
    <row r="2164" spans="1:3" ht="15.75" customHeight="1" x14ac:dyDescent="0.25">
      <c r="A2164" s="2" t="str" cm="1">
        <f t="array" ref="A2164">choice(Salles!A:A,1,Settings!$B$16)</f>
        <v>Salle67</v>
      </c>
      <c r="B2164" s="3" cm="1">
        <f t="array" ref="B2164">alea_date(Settings!$B$11,360,-1,Settings!$B$16)</f>
        <v>46258.25</v>
      </c>
      <c r="C2164" s="20" cm="1">
        <f t="array" ref="C2164">B2164+TIME(alea_int(1,4,Settings!$B$16),0,0)</f>
        <v>46258.416666666664</v>
      </c>
    </row>
    <row r="2165" spans="1:3" ht="15.75" customHeight="1" x14ac:dyDescent="0.25">
      <c r="A2165" s="2" t="str" cm="1">
        <f t="array" ref="A2165">choice(Salles!A:A,1,Settings!$B$16)</f>
        <v>Salle62</v>
      </c>
      <c r="B2165" s="3" cm="1">
        <f t="array" ref="B2165">alea_date(Settings!$B$11,360,-1,Settings!$B$16)</f>
        <v>46355.583333333336</v>
      </c>
      <c r="C2165" s="20" cm="1">
        <f t="array" ref="C2165">B2165+TIME(alea_int(1,4,Settings!$B$16),0,0)</f>
        <v>46355.75</v>
      </c>
    </row>
    <row r="2166" spans="1:3" ht="15.75" customHeight="1" x14ac:dyDescent="0.25">
      <c r="A2166" s="2" t="str" cm="1">
        <f t="array" ref="A2166">choice(Salles!A:A,1,Settings!$B$16)</f>
        <v>Salle64</v>
      </c>
      <c r="B2166" s="3" cm="1">
        <f t="array" ref="B2166">alea_date(Settings!$B$11,360,-1,Settings!$B$16)</f>
        <v>46050.625</v>
      </c>
      <c r="C2166" s="20" cm="1">
        <f t="array" ref="C2166">B2166+TIME(alea_int(1,4,Settings!$B$16),0,0)</f>
        <v>46050.791666666664</v>
      </c>
    </row>
    <row r="2167" spans="1:3" ht="15.75" customHeight="1" x14ac:dyDescent="0.25">
      <c r="A2167" s="2" t="str" cm="1">
        <f t="array" ref="A2167">choice(Salles!A:A,1,Settings!$B$16)</f>
        <v>Salle52</v>
      </c>
      <c r="B2167" s="3" cm="1">
        <f t="array" ref="B2167">alea_date(Settings!$B$11,360,-1,Settings!$B$16)</f>
        <v>46185.625</v>
      </c>
      <c r="C2167" s="20" cm="1">
        <f t="array" ref="C2167">B2167+TIME(alea_int(1,4,Settings!$B$16),0,0)</f>
        <v>46185.791666666664</v>
      </c>
    </row>
    <row r="2168" spans="1:3" ht="15.75" customHeight="1" x14ac:dyDescent="0.25">
      <c r="A2168" s="2" t="str" cm="1">
        <f t="array" ref="A2168">choice(Salles!A:A,1,Settings!$B$16)</f>
        <v>Salle41</v>
      </c>
      <c r="B2168" s="3" cm="1">
        <f t="array" ref="B2168">alea_date(Settings!$B$11,360,-1,Settings!$B$16)</f>
        <v>46286.583333333336</v>
      </c>
      <c r="C2168" s="20" cm="1">
        <f t="array" ref="C2168">B2168+TIME(alea_int(1,4,Settings!$B$16),0,0)</f>
        <v>46286.75</v>
      </c>
    </row>
    <row r="2169" spans="1:3" ht="15.75" customHeight="1" x14ac:dyDescent="0.25">
      <c r="A2169" s="2" t="str" cm="1">
        <f t="array" ref="A2169">choice(Salles!A:A,1,Settings!$B$16)</f>
        <v>Salle49</v>
      </c>
      <c r="B2169" s="3" cm="1">
        <f t="array" ref="B2169">alea_date(Settings!$B$11,360,-1,Settings!$B$16)</f>
        <v>46141.541666666664</v>
      </c>
      <c r="C2169" s="20" cm="1">
        <f t="array" ref="C2169">B2169+TIME(alea_int(1,4,Settings!$B$16),0,0)</f>
        <v>46141.708333333328</v>
      </c>
    </row>
    <row r="2170" spans="1:3" ht="15.75" customHeight="1" x14ac:dyDescent="0.25">
      <c r="A2170" s="2" t="str" cm="1">
        <f t="array" ref="A2170">choice(Salles!A:A,1,Settings!$B$16)</f>
        <v>Salle22</v>
      </c>
      <c r="B2170" s="3" cm="1">
        <f t="array" ref="B2170">alea_date(Settings!$B$11,360,-1,Settings!$B$16)</f>
        <v>46383.583333333336</v>
      </c>
      <c r="C2170" s="20" cm="1">
        <f t="array" ref="C2170">B2170+TIME(alea_int(1,4,Settings!$B$16),0,0)</f>
        <v>46383.75</v>
      </c>
    </row>
    <row r="2171" spans="1:3" ht="15.75" customHeight="1" x14ac:dyDescent="0.25">
      <c r="A2171" s="2" t="str" cm="1">
        <f t="array" ref="A2171">choice(Salles!A:A,1,Settings!$B$16)</f>
        <v>Salle22</v>
      </c>
      <c r="B2171" s="3" cm="1">
        <f t="array" ref="B2171">alea_date(Settings!$B$11,360,-1,Settings!$B$16)</f>
        <v>46082.583333333336</v>
      </c>
      <c r="C2171" s="20" cm="1">
        <f t="array" ref="C2171">B2171+TIME(alea_int(1,4,Settings!$B$16),0,0)</f>
        <v>46082.75</v>
      </c>
    </row>
    <row r="2172" spans="1:3" ht="15.75" customHeight="1" x14ac:dyDescent="0.25">
      <c r="A2172" s="2" t="str" cm="1">
        <f t="array" ref="A2172">choice(Salles!A:A,1,Settings!$B$16)</f>
        <v>Salle3</v>
      </c>
      <c r="B2172" s="3" cm="1">
        <f t="array" ref="B2172">alea_date(Settings!$B$11,360,-1,Settings!$B$16)</f>
        <v>46082.458333333336</v>
      </c>
      <c r="C2172" s="20" cm="1">
        <f t="array" ref="C2172">B2172+TIME(alea_int(1,4,Settings!$B$16),0,0)</f>
        <v>46082.625</v>
      </c>
    </row>
    <row r="2173" spans="1:3" ht="15.75" customHeight="1" x14ac:dyDescent="0.25">
      <c r="A2173" s="2" t="str" cm="1">
        <f t="array" ref="A2173">choice(Salles!A:A,1,Settings!$B$16)</f>
        <v>Salle20</v>
      </c>
      <c r="B2173" s="3" cm="1">
        <f t="array" ref="B2173">alea_date(Settings!$B$11,360,-1,Settings!$B$16)</f>
        <v>46300.333333333336</v>
      </c>
      <c r="C2173" s="20" cm="1">
        <f t="array" ref="C2173">B2173+TIME(alea_int(1,4,Settings!$B$16),0,0)</f>
        <v>46300.5</v>
      </c>
    </row>
    <row r="2174" spans="1:3" ht="15.75" customHeight="1" x14ac:dyDescent="0.25">
      <c r="A2174" s="2" t="str" cm="1">
        <f t="array" ref="A2174">choice(Salles!A:A,1,Settings!$B$16)</f>
        <v>Salle15</v>
      </c>
      <c r="B2174" s="3" cm="1">
        <f t="array" ref="B2174">alea_date(Settings!$B$11,360,-1,Settings!$B$16)</f>
        <v>46132.375</v>
      </c>
      <c r="C2174" s="20" cm="1">
        <f t="array" ref="C2174">B2174+TIME(alea_int(1,4,Settings!$B$16),0,0)</f>
        <v>46132.541666666664</v>
      </c>
    </row>
    <row r="2175" spans="1:3" ht="15.75" customHeight="1" x14ac:dyDescent="0.25">
      <c r="A2175" s="2" t="str" cm="1">
        <f t="array" ref="A2175">choice(Salles!A:A,1,Settings!$B$16)</f>
        <v>Salle60</v>
      </c>
      <c r="B2175" s="3" cm="1">
        <f t="array" ref="B2175">alea_date(Settings!$B$11,360,-1,Settings!$B$16)</f>
        <v>46165.583333333336</v>
      </c>
      <c r="C2175" s="20" cm="1">
        <f t="array" ref="C2175">B2175+TIME(alea_int(1,4,Settings!$B$16),0,0)</f>
        <v>46165.75</v>
      </c>
    </row>
    <row r="2176" spans="1:3" ht="15.75" customHeight="1" x14ac:dyDescent="0.25">
      <c r="A2176" s="2" t="str" cm="1">
        <f t="array" ref="A2176">choice(Salles!A:A,1,Settings!$B$16)</f>
        <v>Salle37</v>
      </c>
      <c r="B2176" s="3" cm="1">
        <f t="array" ref="B2176">alea_date(Settings!$B$11,360,-1,Settings!$B$16)</f>
        <v>46373.416666666664</v>
      </c>
      <c r="C2176" s="20" cm="1">
        <f t="array" ref="C2176">B2176+TIME(alea_int(1,4,Settings!$B$16),0,0)</f>
        <v>46373.583333333328</v>
      </c>
    </row>
    <row r="2177" spans="1:3" ht="15.75" customHeight="1" x14ac:dyDescent="0.25">
      <c r="A2177" s="2" t="str" cm="1">
        <f t="array" ref="A2177">choice(Salles!A:A,1,Settings!$B$16)</f>
        <v>Salle8</v>
      </c>
      <c r="B2177" s="3" cm="1">
        <f t="array" ref="B2177">alea_date(Settings!$B$11,360,-1,Settings!$B$16)</f>
        <v>46076.291666666664</v>
      </c>
      <c r="C2177" s="20" cm="1">
        <f t="array" ref="C2177">B2177+TIME(alea_int(1,4,Settings!$B$16),0,0)</f>
        <v>46076.458333333328</v>
      </c>
    </row>
    <row r="2178" spans="1:3" ht="15.75" customHeight="1" x14ac:dyDescent="0.25">
      <c r="A2178" s="2" t="str" cm="1">
        <f t="array" ref="A2178">choice(Salles!A:A,1,Settings!$B$16)</f>
        <v>Salle23</v>
      </c>
      <c r="B2178" s="3" cm="1">
        <f t="array" ref="B2178">alea_date(Settings!$B$11,360,-1,Settings!$B$16)</f>
        <v>46102.625</v>
      </c>
      <c r="C2178" s="20" cm="1">
        <f t="array" ref="C2178">B2178+TIME(alea_int(1,4,Settings!$B$16),0,0)</f>
        <v>46102.791666666664</v>
      </c>
    </row>
    <row r="2179" spans="1:3" ht="15.75" customHeight="1" x14ac:dyDescent="0.25">
      <c r="A2179" s="2" t="str" cm="1">
        <f t="array" ref="A2179">choice(Salles!A:A,1,Settings!$B$16)</f>
        <v>Salle10</v>
      </c>
      <c r="B2179" s="3" cm="1">
        <f t="array" ref="B2179">alea_date(Settings!$B$11,360,-1,Settings!$B$16)</f>
        <v>46310.25</v>
      </c>
      <c r="C2179" s="20" cm="1">
        <f t="array" ref="C2179">B2179+TIME(alea_int(1,4,Settings!$B$16),0,0)</f>
        <v>46310.416666666664</v>
      </c>
    </row>
    <row r="2180" spans="1:3" ht="15.75" customHeight="1" x14ac:dyDescent="0.25">
      <c r="A2180" s="2" t="str" cm="1">
        <f t="array" ref="A2180">choice(Salles!A:A,1,Settings!$B$16)</f>
        <v>Salle1</v>
      </c>
      <c r="B2180" s="3" cm="1">
        <f t="array" ref="B2180">alea_date(Settings!$B$11,360,-1,Settings!$B$16)</f>
        <v>46343.416666666664</v>
      </c>
      <c r="C2180" s="20" cm="1">
        <f t="array" ref="C2180">B2180+TIME(alea_int(1,4,Settings!$B$16),0,0)</f>
        <v>46343.583333333328</v>
      </c>
    </row>
    <row r="2181" spans="1:3" ht="15.75" customHeight="1" x14ac:dyDescent="0.25">
      <c r="A2181" s="2" t="str" cm="1">
        <f t="array" ref="A2181">choice(Salles!A:A,1,Settings!$B$16)</f>
        <v>Salle47</v>
      </c>
      <c r="B2181" s="3" cm="1">
        <f t="array" ref="B2181">alea_date(Settings!$B$11,360,-1,Settings!$B$16)</f>
        <v>46379.625</v>
      </c>
      <c r="C2181" s="20" cm="1">
        <f t="array" ref="C2181">B2181+TIME(alea_int(1,4,Settings!$B$16),0,0)</f>
        <v>46379.791666666664</v>
      </c>
    </row>
    <row r="2182" spans="1:3" ht="15.75" customHeight="1" x14ac:dyDescent="0.25">
      <c r="A2182" s="2" t="str" cm="1">
        <f t="array" ref="A2182">choice(Salles!A:A,1,Settings!$B$16)</f>
        <v>Salle63</v>
      </c>
      <c r="B2182" s="3" cm="1">
        <f t="array" ref="B2182">alea_date(Settings!$B$11,360,-1,Settings!$B$16)</f>
        <v>46215.333333333336</v>
      </c>
      <c r="C2182" s="20" cm="1">
        <f t="array" ref="C2182">B2182+TIME(alea_int(1,4,Settings!$B$16),0,0)</f>
        <v>46215.5</v>
      </c>
    </row>
    <row r="2183" spans="1:3" ht="15.75" customHeight="1" x14ac:dyDescent="0.25">
      <c r="A2183" s="2" t="str" cm="1">
        <f t="array" ref="A2183">choice(Salles!A:A,1,Settings!$B$16)</f>
        <v>Salle46</v>
      </c>
      <c r="B2183" s="3" cm="1">
        <f t="array" ref="B2183">alea_date(Settings!$B$11,360,-1,Settings!$B$16)</f>
        <v>46140.583333333336</v>
      </c>
      <c r="C2183" s="20" cm="1">
        <f t="array" ref="C2183">B2183+TIME(alea_int(1,4,Settings!$B$16),0,0)</f>
        <v>46140.75</v>
      </c>
    </row>
    <row r="2184" spans="1:3" ht="15.75" customHeight="1" x14ac:dyDescent="0.25">
      <c r="A2184" s="2" t="str" cm="1">
        <f t="array" ref="A2184">choice(Salles!A:A,1,Settings!$B$16)</f>
        <v>Salle16</v>
      </c>
      <c r="B2184" s="3" cm="1">
        <f t="array" ref="B2184">alea_date(Settings!$B$11,360,-1,Settings!$B$16)</f>
        <v>46176.416666666664</v>
      </c>
      <c r="C2184" s="20" cm="1">
        <f t="array" ref="C2184">B2184+TIME(alea_int(1,4,Settings!$B$16),0,0)</f>
        <v>46176.583333333328</v>
      </c>
    </row>
    <row r="2185" spans="1:3" ht="15.75" customHeight="1" x14ac:dyDescent="0.25">
      <c r="A2185" s="2" t="str" cm="1">
        <f t="array" ref="A2185">choice(Salles!A:A,1,Settings!$B$16)</f>
        <v>Salle34</v>
      </c>
      <c r="B2185" s="3" cm="1">
        <f t="array" ref="B2185">alea_date(Settings!$B$11,360,-1,Settings!$B$16)</f>
        <v>46332.25</v>
      </c>
      <c r="C2185" s="20" cm="1">
        <f t="array" ref="C2185">B2185+TIME(alea_int(1,4,Settings!$B$16),0,0)</f>
        <v>46332.416666666664</v>
      </c>
    </row>
    <row r="2186" spans="1:3" ht="15.75" customHeight="1" x14ac:dyDescent="0.25">
      <c r="A2186" s="2" t="str" cm="1">
        <f t="array" ref="A2186">choice(Salles!A:A,1,Settings!$B$16)</f>
        <v>Salle2</v>
      </c>
      <c r="B2186" s="3" cm="1">
        <f t="array" ref="B2186">alea_date(Settings!$B$11,360,-1,Settings!$B$16)</f>
        <v>46091.416666666664</v>
      </c>
      <c r="C2186" s="20" cm="1">
        <f t="array" ref="C2186">B2186+TIME(alea_int(1,4,Settings!$B$16),0,0)</f>
        <v>46091.583333333328</v>
      </c>
    </row>
    <row r="2187" spans="1:3" ht="15.75" customHeight="1" x14ac:dyDescent="0.25">
      <c r="A2187" s="2" t="str" cm="1">
        <f t="array" ref="A2187">choice(Salles!A:A,1,Settings!$B$16)</f>
        <v>Salle20</v>
      </c>
      <c r="B2187" s="3" cm="1">
        <f t="array" ref="B2187">alea_date(Settings!$B$11,360,-1,Settings!$B$16)</f>
        <v>46373.291666666664</v>
      </c>
      <c r="C2187" s="20" cm="1">
        <f t="array" ref="C2187">B2187+TIME(alea_int(1,4,Settings!$B$16),0,0)</f>
        <v>46373.458333333328</v>
      </c>
    </row>
    <row r="2188" spans="1:3" ht="15.75" customHeight="1" x14ac:dyDescent="0.25">
      <c r="A2188" s="2" t="str" cm="1">
        <f t="array" ref="A2188">choice(Salles!A:A,1,Settings!$B$16)</f>
        <v>Salle37</v>
      </c>
      <c r="B2188" s="3" cm="1">
        <f t="array" ref="B2188">alea_date(Settings!$B$11,360,-1,Settings!$B$16)</f>
        <v>46116.291666666664</v>
      </c>
      <c r="C2188" s="20" cm="1">
        <f t="array" ref="C2188">B2188+TIME(alea_int(1,4,Settings!$B$16),0,0)</f>
        <v>46116.458333333328</v>
      </c>
    </row>
    <row r="2189" spans="1:3" ht="15.75" customHeight="1" x14ac:dyDescent="0.25">
      <c r="A2189" s="2" t="str" cm="1">
        <f t="array" ref="A2189">choice(Salles!A:A,1,Settings!$B$16)</f>
        <v>Salle27</v>
      </c>
      <c r="B2189" s="3" cm="1">
        <f t="array" ref="B2189">alea_date(Settings!$B$11,360,-1,Settings!$B$16)</f>
        <v>46169.625</v>
      </c>
      <c r="C2189" s="20" cm="1">
        <f t="array" ref="C2189">B2189+TIME(alea_int(1,4,Settings!$B$16),0,0)</f>
        <v>46169.791666666664</v>
      </c>
    </row>
    <row r="2190" spans="1:3" ht="15.75" customHeight="1" x14ac:dyDescent="0.25">
      <c r="A2190" s="2" t="str" cm="1">
        <f t="array" ref="A2190">choice(Salles!A:A,1,Settings!$B$16)</f>
        <v>Salle38</v>
      </c>
      <c r="B2190" s="3" cm="1">
        <f t="array" ref="B2190">alea_date(Settings!$B$11,360,-1,Settings!$B$16)</f>
        <v>46375.333333333336</v>
      </c>
      <c r="C2190" s="20" cm="1">
        <f t="array" ref="C2190">B2190+TIME(alea_int(1,4,Settings!$B$16),0,0)</f>
        <v>46375.5</v>
      </c>
    </row>
    <row r="2191" spans="1:3" ht="15.75" customHeight="1" x14ac:dyDescent="0.25">
      <c r="A2191" s="2" t="str" cm="1">
        <f t="array" ref="A2191">choice(Salles!A:A,1,Settings!$B$16)</f>
        <v>Salle2</v>
      </c>
      <c r="B2191" s="3" cm="1">
        <f t="array" ref="B2191">alea_date(Settings!$B$11,360,-1,Settings!$B$16)</f>
        <v>46371.333333333336</v>
      </c>
      <c r="C2191" s="20" cm="1">
        <f t="array" ref="C2191">B2191+TIME(alea_int(1,4,Settings!$B$16),0,0)</f>
        <v>46371.5</v>
      </c>
    </row>
    <row r="2192" spans="1:3" ht="15.75" customHeight="1" x14ac:dyDescent="0.25">
      <c r="A2192" s="2" t="str" cm="1">
        <f t="array" ref="A2192">choice(Salles!A:A,1,Settings!$B$16)</f>
        <v>Salle49</v>
      </c>
      <c r="B2192" s="3" cm="1">
        <f t="array" ref="B2192">alea_date(Settings!$B$11,360,-1,Settings!$B$16)</f>
        <v>46244.375</v>
      </c>
      <c r="C2192" s="20" cm="1">
        <f t="array" ref="C2192">B2192+TIME(alea_int(1,4,Settings!$B$16),0,0)</f>
        <v>46244.541666666664</v>
      </c>
    </row>
    <row r="2193" spans="1:3" ht="15.75" customHeight="1" x14ac:dyDescent="0.25">
      <c r="A2193" s="2" t="str" cm="1">
        <f t="array" ref="A2193">choice(Salles!A:A,1,Settings!$B$16)</f>
        <v>Salle53</v>
      </c>
      <c r="B2193" s="3" cm="1">
        <f t="array" ref="B2193">alea_date(Settings!$B$11,360,-1,Settings!$B$16)</f>
        <v>46098.25</v>
      </c>
      <c r="C2193" s="20" cm="1">
        <f t="array" ref="C2193">B2193+TIME(alea_int(1,4,Settings!$B$16),0,0)</f>
        <v>46098.416666666664</v>
      </c>
    </row>
    <row r="2194" spans="1:3" ht="15.75" customHeight="1" x14ac:dyDescent="0.25">
      <c r="A2194" s="2" t="str" cm="1">
        <f t="array" ref="A2194">choice(Salles!A:A,1,Settings!$B$16)</f>
        <v>Salle59</v>
      </c>
      <c r="B2194" s="3" cm="1">
        <f t="array" ref="B2194">alea_date(Settings!$B$11,360,-1,Settings!$B$16)</f>
        <v>46044.291666666664</v>
      </c>
      <c r="C2194" s="20" cm="1">
        <f t="array" ref="C2194">B2194+TIME(alea_int(1,4,Settings!$B$16),0,0)</f>
        <v>46044.458333333328</v>
      </c>
    </row>
    <row r="2195" spans="1:3" ht="15.75" customHeight="1" x14ac:dyDescent="0.25">
      <c r="A2195" s="2" t="str" cm="1">
        <f t="array" ref="A2195">choice(Salles!A:A,1,Settings!$B$16)</f>
        <v>Salle56</v>
      </c>
      <c r="B2195" s="3" cm="1">
        <f t="array" ref="B2195">alea_date(Settings!$B$11,360,-1,Settings!$B$16)</f>
        <v>46238.333333333336</v>
      </c>
      <c r="C2195" s="20" cm="1">
        <f t="array" ref="C2195">B2195+TIME(alea_int(1,4,Settings!$B$16),0,0)</f>
        <v>46238.5</v>
      </c>
    </row>
    <row r="2196" spans="1:3" ht="15.75" customHeight="1" x14ac:dyDescent="0.25">
      <c r="A2196" s="2" t="str" cm="1">
        <f t="array" ref="A2196">choice(Salles!A:A,1,Settings!$B$16)</f>
        <v>Salle19</v>
      </c>
      <c r="B2196" s="3" cm="1">
        <f t="array" ref="B2196">alea_date(Settings!$B$11,360,-1,Settings!$B$16)</f>
        <v>46307.291666666664</v>
      </c>
      <c r="C2196" s="20" cm="1">
        <f t="array" ref="C2196">B2196+TIME(alea_int(1,4,Settings!$B$16),0,0)</f>
        <v>46307.458333333328</v>
      </c>
    </row>
    <row r="2197" spans="1:3" ht="15.75" customHeight="1" x14ac:dyDescent="0.25">
      <c r="A2197" s="2" t="str" cm="1">
        <f t="array" ref="A2197">choice(Salles!A:A,1,Settings!$B$16)</f>
        <v>Salle57</v>
      </c>
      <c r="B2197" s="3" cm="1">
        <f t="array" ref="B2197">alea_date(Settings!$B$11,360,-1,Settings!$B$16)</f>
        <v>46277.5</v>
      </c>
      <c r="C2197" s="20" cm="1">
        <f t="array" ref="C2197">B2197+TIME(alea_int(1,4,Settings!$B$16),0,0)</f>
        <v>46277.666666666664</v>
      </c>
    </row>
    <row r="2198" spans="1:3" ht="15.75" customHeight="1" x14ac:dyDescent="0.25">
      <c r="A2198" s="2" t="str" cm="1">
        <f t="array" ref="A2198">choice(Salles!A:A,1,Settings!$B$16)</f>
        <v>Salle37</v>
      </c>
      <c r="B2198" s="3" cm="1">
        <f t="array" ref="B2198">alea_date(Settings!$B$11,360,-1,Settings!$B$16)</f>
        <v>46342.25</v>
      </c>
      <c r="C2198" s="20" cm="1">
        <f t="array" ref="C2198">B2198+TIME(alea_int(1,4,Settings!$B$16),0,0)</f>
        <v>46342.416666666664</v>
      </c>
    </row>
    <row r="2199" spans="1:3" ht="15.75" customHeight="1" x14ac:dyDescent="0.25">
      <c r="A2199" s="2" t="str" cm="1">
        <f t="array" ref="A2199">choice(Salles!A:A,1,Settings!$B$16)</f>
        <v>Salle46</v>
      </c>
      <c r="B2199" s="3" cm="1">
        <f t="array" ref="B2199">alea_date(Settings!$B$11,360,-1,Settings!$B$16)</f>
        <v>46268.458333333336</v>
      </c>
      <c r="C2199" s="20" cm="1">
        <f t="array" ref="C2199">B2199+TIME(alea_int(1,4,Settings!$B$16),0,0)</f>
        <v>46268.625</v>
      </c>
    </row>
    <row r="2200" spans="1:3" ht="15.75" customHeight="1" x14ac:dyDescent="0.25">
      <c r="A2200" s="2" t="str" cm="1">
        <f t="array" ref="A2200">choice(Salles!A:A,1,Settings!$B$16)</f>
        <v>Salle15</v>
      </c>
      <c r="B2200" s="3" cm="1">
        <f t="array" ref="B2200">alea_date(Settings!$B$11,360,-1,Settings!$B$16)</f>
        <v>46205.583333333336</v>
      </c>
      <c r="C2200" s="20" cm="1">
        <f t="array" ref="C2200">B2200+TIME(alea_int(1,4,Settings!$B$16),0,0)</f>
        <v>46205.75</v>
      </c>
    </row>
    <row r="2201" spans="1:3" ht="15.75" customHeight="1" x14ac:dyDescent="0.25">
      <c r="A2201" s="2" t="str" cm="1">
        <f t="array" ref="A2201">choice(Salles!A:A,1,Settings!$B$16)</f>
        <v>Salle64</v>
      </c>
      <c r="B2201" s="3" cm="1">
        <f t="array" ref="B2201">alea_date(Settings!$B$11,360,-1,Settings!$B$16)</f>
        <v>46337.458333333336</v>
      </c>
      <c r="C2201" s="20" cm="1">
        <f t="array" ref="C2201">B2201+TIME(alea_int(1,4,Settings!$B$16),0,0)</f>
        <v>46337.625</v>
      </c>
    </row>
    <row r="2202" spans="1:3" ht="15.75" customHeight="1" x14ac:dyDescent="0.25">
      <c r="A2202" s="2" t="str" cm="1">
        <f t="array" ref="A2202">choice(Salles!A:A,1,Settings!$B$16)</f>
        <v>Salle15</v>
      </c>
      <c r="B2202" s="3" cm="1">
        <f t="array" ref="B2202">alea_date(Settings!$B$11,360,-1,Settings!$B$16)</f>
        <v>46088.291666666664</v>
      </c>
      <c r="C2202" s="20" cm="1">
        <f t="array" ref="C2202">B2202+TIME(alea_int(1,4,Settings!$B$16),0,0)</f>
        <v>46088.458333333328</v>
      </c>
    </row>
    <row r="2203" spans="1:3" ht="15.75" customHeight="1" x14ac:dyDescent="0.25">
      <c r="A2203" s="2" t="str" cm="1">
        <f t="array" ref="A2203">choice(Salles!A:A,1,Settings!$B$16)</f>
        <v>Salle1</v>
      </c>
      <c r="B2203" s="3" cm="1">
        <f t="array" ref="B2203">alea_date(Settings!$B$11,360,-1,Settings!$B$16)</f>
        <v>46047.541666666664</v>
      </c>
      <c r="C2203" s="20" cm="1">
        <f t="array" ref="C2203">B2203+TIME(alea_int(1,4,Settings!$B$16),0,0)</f>
        <v>46047.708333333328</v>
      </c>
    </row>
    <row r="2204" spans="1:3" ht="15.75" customHeight="1" x14ac:dyDescent="0.25">
      <c r="A2204" s="2" t="str" cm="1">
        <f t="array" ref="A2204">choice(Salles!A:A,1,Settings!$B$16)</f>
        <v>Salle5</v>
      </c>
      <c r="B2204" s="3" cm="1">
        <f t="array" ref="B2204">alea_date(Settings!$B$11,360,-1,Settings!$B$16)</f>
        <v>46299.541666666664</v>
      </c>
      <c r="C2204" s="20" cm="1">
        <f t="array" ref="C2204">B2204+TIME(alea_int(1,4,Settings!$B$16),0,0)</f>
        <v>46299.708333333328</v>
      </c>
    </row>
    <row r="2205" spans="1:3" ht="15.75" customHeight="1" x14ac:dyDescent="0.25">
      <c r="A2205" s="2" t="str" cm="1">
        <f t="array" ref="A2205">choice(Salles!A:A,1,Settings!$B$16)</f>
        <v>Salle29</v>
      </c>
      <c r="B2205" s="3" cm="1">
        <f t="array" ref="B2205">alea_date(Settings!$B$11,360,-1,Settings!$B$16)</f>
        <v>46318.625</v>
      </c>
      <c r="C2205" s="20" cm="1">
        <f t="array" ref="C2205">B2205+TIME(alea_int(1,4,Settings!$B$16),0,0)</f>
        <v>46318.791666666664</v>
      </c>
    </row>
    <row r="2206" spans="1:3" ht="15.75" customHeight="1" x14ac:dyDescent="0.25">
      <c r="A2206" s="2" t="str" cm="1">
        <f t="array" ref="A2206">choice(Salles!A:A,1,Settings!$B$16)</f>
        <v>Salle53</v>
      </c>
      <c r="B2206" s="3" cm="1">
        <f t="array" ref="B2206">alea_date(Settings!$B$11,360,-1,Settings!$B$16)</f>
        <v>46124.541666666664</v>
      </c>
      <c r="C2206" s="20" cm="1">
        <f t="array" ref="C2206">B2206+TIME(alea_int(1,4,Settings!$B$16),0,0)</f>
        <v>46124.708333333328</v>
      </c>
    </row>
    <row r="2207" spans="1:3" ht="15.75" customHeight="1" x14ac:dyDescent="0.25">
      <c r="A2207" s="2" t="str" cm="1">
        <f t="array" ref="A2207">choice(Salles!A:A,1,Settings!$B$16)</f>
        <v>Salle55</v>
      </c>
      <c r="B2207" s="3" cm="1">
        <f t="array" ref="B2207">alea_date(Settings!$B$11,360,-1,Settings!$B$16)</f>
        <v>46154.25</v>
      </c>
      <c r="C2207" s="20" cm="1">
        <f t="array" ref="C2207">B2207+TIME(alea_int(1,4,Settings!$B$16),0,0)</f>
        <v>46154.416666666664</v>
      </c>
    </row>
    <row r="2208" spans="1:3" ht="15.75" customHeight="1" x14ac:dyDescent="0.25">
      <c r="A2208" s="2" t="str" cm="1">
        <f t="array" ref="A2208">choice(Salles!A:A,1,Settings!$B$16)</f>
        <v>Salle22</v>
      </c>
      <c r="B2208" s="3" cm="1">
        <f t="array" ref="B2208">alea_date(Settings!$B$11,360,-1,Settings!$B$16)</f>
        <v>46115.583333333336</v>
      </c>
      <c r="C2208" s="20" cm="1">
        <f t="array" ref="C2208">B2208+TIME(alea_int(1,4,Settings!$B$16),0,0)</f>
        <v>46115.75</v>
      </c>
    </row>
    <row r="2209" spans="1:3" ht="15.75" customHeight="1" x14ac:dyDescent="0.25">
      <c r="A2209" s="2" t="str" cm="1">
        <f t="array" ref="A2209">choice(Salles!A:A,1,Settings!$B$16)</f>
        <v>Salle17</v>
      </c>
      <c r="B2209" s="3" cm="1">
        <f t="array" ref="B2209">alea_date(Settings!$B$11,360,-1,Settings!$B$16)</f>
        <v>46061.541666666664</v>
      </c>
      <c r="C2209" s="20" cm="1">
        <f t="array" ref="C2209">B2209+TIME(alea_int(1,4,Settings!$B$16),0,0)</f>
        <v>46061.708333333328</v>
      </c>
    </row>
    <row r="2210" spans="1:3" ht="15.75" customHeight="1" x14ac:dyDescent="0.25">
      <c r="A2210" s="2" t="str" cm="1">
        <f t="array" ref="A2210">choice(Salles!A:A,1,Settings!$B$16)</f>
        <v>Salle32</v>
      </c>
      <c r="B2210" s="3" cm="1">
        <f t="array" ref="B2210">alea_date(Settings!$B$11,360,-1,Settings!$B$16)</f>
        <v>46296.416666666664</v>
      </c>
      <c r="C2210" s="20" cm="1">
        <f t="array" ref="C2210">B2210+TIME(alea_int(1,4,Settings!$B$16),0,0)</f>
        <v>46296.583333333328</v>
      </c>
    </row>
    <row r="2211" spans="1:3" ht="15.75" customHeight="1" x14ac:dyDescent="0.25">
      <c r="A2211" s="2" t="str" cm="1">
        <f t="array" ref="A2211">choice(Salles!A:A,1,Settings!$B$16)</f>
        <v>Salle52</v>
      </c>
      <c r="B2211" s="3" cm="1">
        <f t="array" ref="B2211">alea_date(Settings!$B$11,360,-1,Settings!$B$16)</f>
        <v>46275.333333333336</v>
      </c>
      <c r="C2211" s="20" cm="1">
        <f t="array" ref="C2211">B2211+TIME(alea_int(1,4,Settings!$B$16),0,0)</f>
        <v>46275.5</v>
      </c>
    </row>
    <row r="2212" spans="1:3" ht="15.75" customHeight="1" x14ac:dyDescent="0.25">
      <c r="A2212" s="2" t="str" cm="1">
        <f t="array" ref="A2212">choice(Salles!A:A,1,Settings!$B$16)</f>
        <v>Salle47</v>
      </c>
      <c r="B2212" s="3" cm="1">
        <f t="array" ref="B2212">alea_date(Settings!$B$11,360,-1,Settings!$B$16)</f>
        <v>46142.416666666664</v>
      </c>
      <c r="C2212" s="20" cm="1">
        <f t="array" ref="C2212">B2212+TIME(alea_int(1,4,Settings!$B$16),0,0)</f>
        <v>46142.583333333328</v>
      </c>
    </row>
    <row r="2213" spans="1:3" ht="15.75" customHeight="1" x14ac:dyDescent="0.25">
      <c r="A2213" s="2" t="str" cm="1">
        <f t="array" ref="A2213">choice(Salles!A:A,1,Settings!$B$16)</f>
        <v>Salle28</v>
      </c>
      <c r="B2213" s="3" cm="1">
        <f t="array" ref="B2213">alea_date(Settings!$B$11,360,-1,Settings!$B$16)</f>
        <v>46293.625</v>
      </c>
      <c r="C2213" s="20" cm="1">
        <f t="array" ref="C2213">B2213+TIME(alea_int(1,4,Settings!$B$16),0,0)</f>
        <v>46293.791666666664</v>
      </c>
    </row>
    <row r="2214" spans="1:3" ht="15.75" customHeight="1" x14ac:dyDescent="0.25">
      <c r="A2214" s="2" t="str" cm="1">
        <f t="array" ref="A2214">choice(Salles!A:A,1,Settings!$B$16)</f>
        <v>Salle31</v>
      </c>
      <c r="B2214" s="3" cm="1">
        <f t="array" ref="B2214">alea_date(Settings!$B$11,360,-1,Settings!$B$16)</f>
        <v>46112.333333333336</v>
      </c>
      <c r="C2214" s="20" cm="1">
        <f t="array" ref="C2214">B2214+TIME(alea_int(1,4,Settings!$B$16),0,0)</f>
        <v>46112.5</v>
      </c>
    </row>
    <row r="2215" spans="1:3" ht="15.75" customHeight="1" x14ac:dyDescent="0.25">
      <c r="A2215" s="2" t="str" cm="1">
        <f t="array" ref="A2215">choice(Salles!A:A,1,Settings!$B$16)</f>
        <v>Salle51</v>
      </c>
      <c r="B2215" s="3" cm="1">
        <f t="array" ref="B2215">alea_date(Settings!$B$11,360,-1,Settings!$B$16)</f>
        <v>46180.416666666664</v>
      </c>
      <c r="C2215" s="20" cm="1">
        <f t="array" ref="C2215">B2215+TIME(alea_int(1,4,Settings!$B$16),0,0)</f>
        <v>46180.583333333328</v>
      </c>
    </row>
    <row r="2216" spans="1:3" ht="15.75" customHeight="1" x14ac:dyDescent="0.25">
      <c r="A2216" s="2" t="str" cm="1">
        <f t="array" ref="A2216">choice(Salles!A:A,1,Settings!$B$16)</f>
        <v>Salle45</v>
      </c>
      <c r="B2216" s="3" cm="1">
        <f t="array" ref="B2216">alea_date(Settings!$B$11,360,-1,Settings!$B$16)</f>
        <v>46069.25</v>
      </c>
      <c r="C2216" s="20" cm="1">
        <f t="array" ref="C2216">B2216+TIME(alea_int(1,4,Settings!$B$16),0,0)</f>
        <v>46069.416666666664</v>
      </c>
    </row>
    <row r="2217" spans="1:3" ht="15.75" customHeight="1" x14ac:dyDescent="0.25">
      <c r="A2217" s="2" t="str" cm="1">
        <f t="array" ref="A2217">choice(Salles!A:A,1,Settings!$B$16)</f>
        <v>Salle20</v>
      </c>
      <c r="B2217" s="3" cm="1">
        <f t="array" ref="B2217">alea_date(Settings!$B$11,360,-1,Settings!$B$16)</f>
        <v>46375.416666666664</v>
      </c>
      <c r="C2217" s="20" cm="1">
        <f t="array" ref="C2217">B2217+TIME(alea_int(1,4,Settings!$B$16),0,0)</f>
        <v>46375.583333333328</v>
      </c>
    </row>
    <row r="2218" spans="1:3" ht="15.75" customHeight="1" x14ac:dyDescent="0.25">
      <c r="A2218" s="2" t="str" cm="1">
        <f t="array" ref="A2218">choice(Salles!A:A,1,Settings!$B$16)</f>
        <v>Salle57</v>
      </c>
      <c r="B2218" s="3" cm="1">
        <f t="array" ref="B2218">alea_date(Settings!$B$11,360,-1,Settings!$B$16)</f>
        <v>46104.25</v>
      </c>
      <c r="C2218" s="20" cm="1">
        <f t="array" ref="C2218">B2218+TIME(alea_int(1,4,Settings!$B$16),0,0)</f>
        <v>46104.416666666664</v>
      </c>
    </row>
    <row r="2219" spans="1:3" ht="15.75" customHeight="1" x14ac:dyDescent="0.25">
      <c r="A2219" s="2" t="str" cm="1">
        <f t="array" ref="A2219">choice(Salles!A:A,1,Settings!$B$16)</f>
        <v>Salle38</v>
      </c>
      <c r="B2219" s="3" cm="1">
        <f t="array" ref="B2219">alea_date(Settings!$B$11,360,-1,Settings!$B$16)</f>
        <v>46367.333333333336</v>
      </c>
      <c r="C2219" s="20" cm="1">
        <f t="array" ref="C2219">B2219+TIME(alea_int(1,4,Settings!$B$16),0,0)</f>
        <v>46367.5</v>
      </c>
    </row>
    <row r="2220" spans="1:3" ht="15.75" customHeight="1" x14ac:dyDescent="0.25">
      <c r="A2220" s="2" t="str" cm="1">
        <f t="array" ref="A2220">choice(Salles!A:A,1,Settings!$B$16)</f>
        <v>Salle1</v>
      </c>
      <c r="B2220" s="3" cm="1">
        <f t="array" ref="B2220">alea_date(Settings!$B$11,360,-1,Settings!$B$16)</f>
        <v>46291.625</v>
      </c>
      <c r="C2220" s="20" cm="1">
        <f t="array" ref="C2220">B2220+TIME(alea_int(1,4,Settings!$B$16),0,0)</f>
        <v>46291.791666666664</v>
      </c>
    </row>
    <row r="2221" spans="1:3" ht="15.75" customHeight="1" x14ac:dyDescent="0.25">
      <c r="A2221" s="2" t="str" cm="1">
        <f t="array" ref="A2221">choice(Salles!A:A,1,Settings!$B$16)</f>
        <v>Salle27</v>
      </c>
      <c r="B2221" s="3" cm="1">
        <f t="array" ref="B2221">alea_date(Settings!$B$11,360,-1,Settings!$B$16)</f>
        <v>46123.625</v>
      </c>
      <c r="C2221" s="20" cm="1">
        <f t="array" ref="C2221">B2221+TIME(alea_int(1,4,Settings!$B$16),0,0)</f>
        <v>46123.791666666664</v>
      </c>
    </row>
    <row r="2222" spans="1:3" ht="15.75" customHeight="1" x14ac:dyDescent="0.25">
      <c r="A2222" s="2" t="str" cm="1">
        <f t="array" ref="A2222">choice(Salles!A:A,1,Settings!$B$16)</f>
        <v>Salle16</v>
      </c>
      <c r="B2222" s="3" cm="1">
        <f t="array" ref="B2222">alea_date(Settings!$B$11,360,-1,Settings!$B$16)</f>
        <v>46213.333333333336</v>
      </c>
      <c r="C2222" s="20" cm="1">
        <f t="array" ref="C2222">B2222+TIME(alea_int(1,4,Settings!$B$16),0,0)</f>
        <v>46213.5</v>
      </c>
    </row>
    <row r="2223" spans="1:3" ht="15.75" customHeight="1" x14ac:dyDescent="0.25">
      <c r="A2223" s="2" t="str" cm="1">
        <f t="array" ref="A2223">choice(Salles!A:A,1,Settings!$B$16)</f>
        <v>Salle55</v>
      </c>
      <c r="B2223" s="3" cm="1">
        <f t="array" ref="B2223">alea_date(Settings!$B$11,360,-1,Settings!$B$16)</f>
        <v>46177.416666666664</v>
      </c>
      <c r="C2223" s="20" cm="1">
        <f t="array" ref="C2223">B2223+TIME(alea_int(1,4,Settings!$B$16),0,0)</f>
        <v>46177.583333333328</v>
      </c>
    </row>
    <row r="2224" spans="1:3" ht="15.75" customHeight="1" x14ac:dyDescent="0.25">
      <c r="A2224" s="2" t="str" cm="1">
        <f t="array" ref="A2224">choice(Salles!A:A,1,Settings!$B$16)</f>
        <v>Salle10</v>
      </c>
      <c r="B2224" s="3" cm="1">
        <f t="array" ref="B2224">alea_date(Settings!$B$11,360,-1,Settings!$B$16)</f>
        <v>46289.291666666664</v>
      </c>
      <c r="C2224" s="20" cm="1">
        <f t="array" ref="C2224">B2224+TIME(alea_int(1,4,Settings!$B$16),0,0)</f>
        <v>46289.458333333328</v>
      </c>
    </row>
    <row r="2225" spans="1:3" ht="15.75" customHeight="1" x14ac:dyDescent="0.25">
      <c r="A2225" s="2" t="str" cm="1">
        <f t="array" ref="A2225">choice(Salles!A:A,1,Settings!$B$16)</f>
        <v>Salle43</v>
      </c>
      <c r="B2225" s="3" cm="1">
        <f t="array" ref="B2225">alea_date(Settings!$B$11,360,-1,Settings!$B$16)</f>
        <v>46348.583333333336</v>
      </c>
      <c r="C2225" s="20" cm="1">
        <f t="array" ref="C2225">B2225+TIME(alea_int(1,4,Settings!$B$16),0,0)</f>
        <v>46348.75</v>
      </c>
    </row>
    <row r="2226" spans="1:3" ht="15.75" customHeight="1" x14ac:dyDescent="0.25">
      <c r="A2226" s="2" t="str" cm="1">
        <f t="array" ref="A2226">choice(Salles!A:A,1,Settings!$B$16)</f>
        <v>Salle3</v>
      </c>
      <c r="B2226" s="3" cm="1">
        <f t="array" ref="B2226">alea_date(Settings!$B$11,360,-1,Settings!$B$16)</f>
        <v>46201.625</v>
      </c>
      <c r="C2226" s="20" cm="1">
        <f t="array" ref="C2226">B2226+TIME(alea_int(1,4,Settings!$B$16),0,0)</f>
        <v>46201.791666666664</v>
      </c>
    </row>
    <row r="2227" spans="1:3" ht="15.75" customHeight="1" x14ac:dyDescent="0.25">
      <c r="A2227" s="2" t="str" cm="1">
        <f t="array" ref="A2227">choice(Salles!A:A,1,Settings!$B$16)</f>
        <v>Salle38</v>
      </c>
      <c r="B2227" s="3" cm="1">
        <f t="array" ref="B2227">alea_date(Settings!$B$11,360,-1,Settings!$B$16)</f>
        <v>46038.541666666664</v>
      </c>
      <c r="C2227" s="20" cm="1">
        <f t="array" ref="C2227">B2227+TIME(alea_int(1,4,Settings!$B$16),0,0)</f>
        <v>46038.708333333328</v>
      </c>
    </row>
    <row r="2228" spans="1:3" ht="15.75" customHeight="1" x14ac:dyDescent="0.25">
      <c r="A2228" s="2" t="str" cm="1">
        <f t="array" ref="A2228">choice(Salles!A:A,1,Settings!$B$16)</f>
        <v>Salle51</v>
      </c>
      <c r="B2228" s="3" cm="1">
        <f t="array" ref="B2228">alea_date(Settings!$B$11,360,-1,Settings!$B$16)</f>
        <v>46189.541666666664</v>
      </c>
      <c r="C2228" s="20" cm="1">
        <f t="array" ref="C2228">B2228+TIME(alea_int(1,4,Settings!$B$16),0,0)</f>
        <v>46189.708333333328</v>
      </c>
    </row>
    <row r="2229" spans="1:3" ht="15.75" customHeight="1" x14ac:dyDescent="0.25">
      <c r="A2229" s="2" t="str" cm="1">
        <f t="array" ref="A2229">choice(Salles!A:A,1,Settings!$B$16)</f>
        <v>Salle63</v>
      </c>
      <c r="B2229" s="3" cm="1">
        <f t="array" ref="B2229">alea_date(Settings!$B$11,360,-1,Settings!$B$16)</f>
        <v>46207.5</v>
      </c>
      <c r="C2229" s="20" cm="1">
        <f t="array" ref="C2229">B2229+TIME(alea_int(1,4,Settings!$B$16),0,0)</f>
        <v>46207.666666666664</v>
      </c>
    </row>
    <row r="2230" spans="1:3" ht="15.75" customHeight="1" x14ac:dyDescent="0.25">
      <c r="A2230" s="2" t="str" cm="1">
        <f t="array" ref="A2230">choice(Salles!A:A,1,Settings!$B$16)</f>
        <v>Salle44</v>
      </c>
      <c r="B2230" s="3" cm="1">
        <f t="array" ref="B2230">alea_date(Settings!$B$11,360,-1,Settings!$B$16)</f>
        <v>46191.458333333336</v>
      </c>
      <c r="C2230" s="20" cm="1">
        <f t="array" ref="C2230">B2230+TIME(alea_int(1,4,Settings!$B$16),0,0)</f>
        <v>46191.625</v>
      </c>
    </row>
    <row r="2231" spans="1:3" ht="15.75" customHeight="1" x14ac:dyDescent="0.25">
      <c r="A2231" s="2" t="str" cm="1">
        <f t="array" ref="A2231">choice(Salles!A:A,1,Settings!$B$16)</f>
        <v>Salle24</v>
      </c>
      <c r="B2231" s="3" cm="1">
        <f t="array" ref="B2231">alea_date(Settings!$B$11,360,-1,Settings!$B$16)</f>
        <v>46321.291666666664</v>
      </c>
      <c r="C2231" s="20" cm="1">
        <f t="array" ref="C2231">B2231+TIME(alea_int(1,4,Settings!$B$16),0,0)</f>
        <v>46321.458333333328</v>
      </c>
    </row>
    <row r="2232" spans="1:3" ht="15.75" customHeight="1" x14ac:dyDescent="0.25">
      <c r="A2232" s="2" t="str" cm="1">
        <f t="array" ref="A2232">choice(Salles!A:A,1,Settings!$B$16)</f>
        <v>Salle35</v>
      </c>
      <c r="B2232" s="3" cm="1">
        <f t="array" ref="B2232">alea_date(Settings!$B$11,360,-1,Settings!$B$16)</f>
        <v>46166.375</v>
      </c>
      <c r="C2232" s="20" cm="1">
        <f t="array" ref="C2232">B2232+TIME(alea_int(1,4,Settings!$B$16),0,0)</f>
        <v>46166.541666666664</v>
      </c>
    </row>
    <row r="2233" spans="1:3" ht="15.75" customHeight="1" x14ac:dyDescent="0.25">
      <c r="A2233" s="2" t="str" cm="1">
        <f t="array" ref="A2233">choice(Salles!A:A,1,Settings!$B$16)</f>
        <v>Salle64</v>
      </c>
      <c r="B2233" s="3" cm="1">
        <f t="array" ref="B2233">alea_date(Settings!$B$11,360,-1,Settings!$B$16)</f>
        <v>46259.625</v>
      </c>
      <c r="C2233" s="20" cm="1">
        <f t="array" ref="C2233">B2233+TIME(alea_int(1,4,Settings!$B$16),0,0)</f>
        <v>46259.791666666664</v>
      </c>
    </row>
    <row r="2234" spans="1:3" ht="15.75" customHeight="1" x14ac:dyDescent="0.25">
      <c r="A2234" s="2" t="str" cm="1">
        <f t="array" ref="A2234">choice(Salles!A:A,1,Settings!$B$16)</f>
        <v>Salle29</v>
      </c>
      <c r="B2234" s="3" cm="1">
        <f t="array" ref="B2234">alea_date(Settings!$B$11,360,-1,Settings!$B$16)</f>
        <v>46381.5</v>
      </c>
      <c r="C2234" s="20" cm="1">
        <f t="array" ref="C2234">B2234+TIME(alea_int(1,4,Settings!$B$16),0,0)</f>
        <v>46381.666666666664</v>
      </c>
    </row>
    <row r="2235" spans="1:3" ht="15.75" customHeight="1" x14ac:dyDescent="0.25">
      <c r="A2235" s="2" t="str" cm="1">
        <f t="array" ref="A2235">choice(Salles!A:A,1,Settings!$B$16)</f>
        <v>Salle24</v>
      </c>
      <c r="B2235" s="3" cm="1">
        <f t="array" ref="B2235">alea_date(Settings!$B$11,360,-1,Settings!$B$16)</f>
        <v>46380.25</v>
      </c>
      <c r="C2235" s="20" cm="1">
        <f t="array" ref="C2235">B2235+TIME(alea_int(1,4,Settings!$B$16),0,0)</f>
        <v>46380.416666666664</v>
      </c>
    </row>
    <row r="2236" spans="1:3" ht="15.75" customHeight="1" x14ac:dyDescent="0.25">
      <c r="A2236" s="2" t="str" cm="1">
        <f t="array" ref="A2236">choice(Salles!A:A,1,Settings!$B$16)</f>
        <v>Salle59</v>
      </c>
      <c r="B2236" s="3" cm="1">
        <f t="array" ref="B2236">alea_date(Settings!$B$11,360,-1,Settings!$B$16)</f>
        <v>46153.458333333336</v>
      </c>
      <c r="C2236" s="20" cm="1">
        <f t="array" ref="C2236">B2236+TIME(alea_int(1,4,Settings!$B$16),0,0)</f>
        <v>46153.625</v>
      </c>
    </row>
    <row r="2237" spans="1:3" ht="15.75" customHeight="1" x14ac:dyDescent="0.25">
      <c r="A2237" s="2" t="str" cm="1">
        <f t="array" ref="A2237">choice(Salles!A:A,1,Settings!$B$16)</f>
        <v>Salle16</v>
      </c>
      <c r="B2237" s="3" cm="1">
        <f t="array" ref="B2237">alea_date(Settings!$B$11,360,-1,Settings!$B$16)</f>
        <v>46192.333333333336</v>
      </c>
      <c r="C2237" s="20" cm="1">
        <f t="array" ref="C2237">B2237+TIME(alea_int(1,4,Settings!$B$16),0,0)</f>
        <v>46192.5</v>
      </c>
    </row>
    <row r="2238" spans="1:3" ht="15.75" customHeight="1" x14ac:dyDescent="0.25">
      <c r="A2238" s="2" t="str" cm="1">
        <f t="array" ref="A2238">choice(Salles!A:A,1,Settings!$B$16)</f>
        <v>Salle25</v>
      </c>
      <c r="B2238" s="3" cm="1">
        <f t="array" ref="B2238">alea_date(Settings!$B$11,360,-1,Settings!$B$16)</f>
        <v>46315.375</v>
      </c>
      <c r="C2238" s="20" cm="1">
        <f t="array" ref="C2238">B2238+TIME(alea_int(1,4,Settings!$B$16),0,0)</f>
        <v>46315.541666666664</v>
      </c>
    </row>
    <row r="2239" spans="1:3" ht="15.75" customHeight="1" x14ac:dyDescent="0.25">
      <c r="A2239" s="2" t="str" cm="1">
        <f t="array" ref="A2239">choice(Salles!A:A,1,Settings!$B$16)</f>
        <v>Salle34</v>
      </c>
      <c r="B2239" s="3" cm="1">
        <f t="array" ref="B2239">alea_date(Settings!$B$11,360,-1,Settings!$B$16)</f>
        <v>46363.458333333336</v>
      </c>
      <c r="C2239" s="20" cm="1">
        <f t="array" ref="C2239">B2239+TIME(alea_int(1,4,Settings!$B$16),0,0)</f>
        <v>46363.625</v>
      </c>
    </row>
    <row r="2240" spans="1:3" ht="15.75" customHeight="1" x14ac:dyDescent="0.25">
      <c r="A2240" s="2" t="str" cm="1">
        <f t="array" ref="A2240">choice(Salles!A:A,1,Settings!$B$16)</f>
        <v>Salle53</v>
      </c>
      <c r="B2240" s="3" cm="1">
        <f t="array" ref="B2240">alea_date(Settings!$B$11,360,-1,Settings!$B$16)</f>
        <v>46287.625</v>
      </c>
      <c r="C2240" s="20" cm="1">
        <f t="array" ref="C2240">B2240+TIME(alea_int(1,4,Settings!$B$16),0,0)</f>
        <v>46287.791666666664</v>
      </c>
    </row>
    <row r="2241" spans="1:3" ht="15.75" customHeight="1" x14ac:dyDescent="0.25">
      <c r="A2241" s="2" t="str" cm="1">
        <f t="array" ref="A2241">choice(Salles!A:A,1,Settings!$B$16)</f>
        <v>Salle50</v>
      </c>
      <c r="B2241" s="3" cm="1">
        <f t="array" ref="B2241">alea_date(Settings!$B$11,360,-1,Settings!$B$16)</f>
        <v>46031.5</v>
      </c>
      <c r="C2241" s="20" cm="1">
        <f t="array" ref="C2241">B2241+TIME(alea_int(1,4,Settings!$B$16),0,0)</f>
        <v>46031.666666666664</v>
      </c>
    </row>
    <row r="2242" spans="1:3" ht="15.75" customHeight="1" x14ac:dyDescent="0.25">
      <c r="A2242" s="2" t="str" cm="1">
        <f t="array" ref="A2242">choice(Salles!A:A,1,Settings!$B$16)</f>
        <v>Salle58</v>
      </c>
      <c r="B2242" s="3" cm="1">
        <f t="array" ref="B2242">alea_date(Settings!$B$11,360,-1,Settings!$B$16)</f>
        <v>46073.583333333336</v>
      </c>
      <c r="C2242" s="20" cm="1">
        <f t="array" ref="C2242">B2242+TIME(alea_int(1,4,Settings!$B$16),0,0)</f>
        <v>46073.75</v>
      </c>
    </row>
    <row r="2243" spans="1:3" ht="15.75" customHeight="1" x14ac:dyDescent="0.25">
      <c r="A2243" s="2" t="str" cm="1">
        <f t="array" ref="A2243">choice(Salles!A:A,1,Settings!$B$16)</f>
        <v>Salle45</v>
      </c>
      <c r="B2243" s="3" cm="1">
        <f t="array" ref="B2243">alea_date(Settings!$B$11,360,-1,Settings!$B$16)</f>
        <v>46230.291666666664</v>
      </c>
      <c r="C2243" s="20" cm="1">
        <f t="array" ref="C2243">B2243+TIME(alea_int(1,4,Settings!$B$16),0,0)</f>
        <v>46230.458333333328</v>
      </c>
    </row>
    <row r="2244" spans="1:3" ht="15.75" customHeight="1" x14ac:dyDescent="0.25">
      <c r="A2244" s="2" t="str" cm="1">
        <f t="array" ref="A2244">choice(Salles!A:A,1,Settings!$B$16)</f>
        <v>Salle34</v>
      </c>
      <c r="B2244" s="3" cm="1">
        <f t="array" ref="B2244">alea_date(Settings!$B$11,360,-1,Settings!$B$16)</f>
        <v>46096.25</v>
      </c>
      <c r="C2244" s="20" cm="1">
        <f t="array" ref="C2244">B2244+TIME(alea_int(1,4,Settings!$B$16),0,0)</f>
        <v>46096.416666666664</v>
      </c>
    </row>
    <row r="2245" spans="1:3" ht="15.75" customHeight="1" x14ac:dyDescent="0.25">
      <c r="A2245" s="2" t="str" cm="1">
        <f t="array" ref="A2245">choice(Salles!A:A,1,Settings!$B$16)</f>
        <v>Salle68</v>
      </c>
      <c r="B2245" s="3" cm="1">
        <f t="array" ref="B2245">alea_date(Settings!$B$11,360,-1,Settings!$B$16)</f>
        <v>46373.5</v>
      </c>
      <c r="C2245" s="20" cm="1">
        <f t="array" ref="C2245">B2245+TIME(alea_int(1,4,Settings!$B$16),0,0)</f>
        <v>46373.666666666664</v>
      </c>
    </row>
    <row r="2246" spans="1:3" ht="15.75" customHeight="1" x14ac:dyDescent="0.25">
      <c r="A2246" s="2" t="str" cm="1">
        <f t="array" ref="A2246">choice(Salles!A:A,1,Settings!$B$16)</f>
        <v>Salle53</v>
      </c>
      <c r="B2246" s="3" cm="1">
        <f t="array" ref="B2246">alea_date(Settings!$B$11,360,-1,Settings!$B$16)</f>
        <v>46026.25</v>
      </c>
      <c r="C2246" s="20" cm="1">
        <f t="array" ref="C2246">B2246+TIME(alea_int(1,4,Settings!$B$16),0,0)</f>
        <v>46026.416666666664</v>
      </c>
    </row>
    <row r="2247" spans="1:3" ht="15.75" customHeight="1" x14ac:dyDescent="0.25">
      <c r="A2247" s="2" t="str" cm="1">
        <f t="array" ref="A2247">choice(Salles!A:A,1,Settings!$B$16)</f>
        <v>Salle19</v>
      </c>
      <c r="B2247" s="3" cm="1">
        <f t="array" ref="B2247">alea_date(Settings!$B$11,360,-1,Settings!$B$16)</f>
        <v>46027.583333333336</v>
      </c>
      <c r="C2247" s="20" cm="1">
        <f t="array" ref="C2247">B2247+TIME(alea_int(1,4,Settings!$B$16),0,0)</f>
        <v>46027.75</v>
      </c>
    </row>
    <row r="2248" spans="1:3" ht="15.75" customHeight="1" x14ac:dyDescent="0.25">
      <c r="A2248" s="2" t="str" cm="1">
        <f t="array" ref="A2248">choice(Salles!A:A,1,Settings!$B$16)</f>
        <v>Salle28</v>
      </c>
      <c r="B2248" s="3" cm="1">
        <f t="array" ref="B2248">alea_date(Settings!$B$11,360,-1,Settings!$B$16)</f>
        <v>46349.416666666664</v>
      </c>
      <c r="C2248" s="20" cm="1">
        <f t="array" ref="C2248">B2248+TIME(alea_int(1,4,Settings!$B$16),0,0)</f>
        <v>46349.583333333328</v>
      </c>
    </row>
    <row r="2249" spans="1:3" ht="15.75" customHeight="1" x14ac:dyDescent="0.25">
      <c r="A2249" s="2" t="str" cm="1">
        <f t="array" ref="A2249">choice(Salles!A:A,1,Settings!$B$16)</f>
        <v>Salle24</v>
      </c>
      <c r="B2249" s="3" cm="1">
        <f t="array" ref="B2249">alea_date(Settings!$B$11,360,-1,Settings!$B$16)</f>
        <v>46081.416666666664</v>
      </c>
      <c r="C2249" s="20" cm="1">
        <f t="array" ref="C2249">B2249+TIME(alea_int(1,4,Settings!$B$16),0,0)</f>
        <v>46081.583333333328</v>
      </c>
    </row>
    <row r="2250" spans="1:3" ht="15.75" customHeight="1" x14ac:dyDescent="0.25">
      <c r="A2250" s="2" t="str" cm="1">
        <f t="array" ref="A2250">choice(Salles!A:A,1,Settings!$B$16)</f>
        <v>Salle17</v>
      </c>
      <c r="B2250" s="3" cm="1">
        <f t="array" ref="B2250">alea_date(Settings!$B$11,360,-1,Settings!$B$16)</f>
        <v>46371.25</v>
      </c>
      <c r="C2250" s="20" cm="1">
        <f t="array" ref="C2250">B2250+TIME(alea_int(1,4,Settings!$B$16),0,0)</f>
        <v>46371.416666666664</v>
      </c>
    </row>
    <row r="2251" spans="1:3" ht="15.75" customHeight="1" x14ac:dyDescent="0.25">
      <c r="A2251" s="2" t="str" cm="1">
        <f t="array" ref="A2251">choice(Salles!A:A,1,Settings!$B$16)</f>
        <v>Salle55</v>
      </c>
      <c r="B2251" s="3" cm="1">
        <f t="array" ref="B2251">alea_date(Settings!$B$11,360,-1,Settings!$B$16)</f>
        <v>46306.541666666664</v>
      </c>
      <c r="C2251" s="20" cm="1">
        <f t="array" ref="C2251">B2251+TIME(alea_int(1,4,Settings!$B$16),0,0)</f>
        <v>46306.708333333328</v>
      </c>
    </row>
    <row r="2252" spans="1:3" ht="15.75" customHeight="1" x14ac:dyDescent="0.25">
      <c r="A2252" s="2" t="str" cm="1">
        <f t="array" ref="A2252">choice(Salles!A:A,1,Settings!$B$16)</f>
        <v>Salle33</v>
      </c>
      <c r="B2252" s="3" cm="1">
        <f t="array" ref="B2252">alea_date(Settings!$B$11,360,-1,Settings!$B$16)</f>
        <v>46043.625</v>
      </c>
      <c r="C2252" s="20" cm="1">
        <f t="array" ref="C2252">B2252+TIME(alea_int(1,4,Settings!$B$16),0,0)</f>
        <v>46043.791666666664</v>
      </c>
    </row>
    <row r="2253" spans="1:3" ht="15.75" customHeight="1" x14ac:dyDescent="0.25">
      <c r="A2253" s="2" t="str" cm="1">
        <f t="array" ref="A2253">choice(Salles!A:A,1,Settings!$B$16)</f>
        <v>Salle5</v>
      </c>
      <c r="B2253" s="3" cm="1">
        <f t="array" ref="B2253">alea_date(Settings!$B$11,360,-1,Settings!$B$16)</f>
        <v>46148.416666666664</v>
      </c>
      <c r="C2253" s="20" cm="1">
        <f t="array" ref="C2253">B2253+TIME(alea_int(1,4,Settings!$B$16),0,0)</f>
        <v>46148.583333333328</v>
      </c>
    </row>
    <row r="2254" spans="1:3" ht="15.75" customHeight="1" x14ac:dyDescent="0.25">
      <c r="A2254" s="2" t="str" cm="1">
        <f t="array" ref="A2254">choice(Salles!A:A,1,Settings!$B$16)</f>
        <v>Salle33</v>
      </c>
      <c r="B2254" s="3" cm="1">
        <f t="array" ref="B2254">alea_date(Settings!$B$11,360,-1,Settings!$B$16)</f>
        <v>46110.333333333336</v>
      </c>
      <c r="C2254" s="20" cm="1">
        <f t="array" ref="C2254">B2254+TIME(alea_int(1,4,Settings!$B$16),0,0)</f>
        <v>46110.5</v>
      </c>
    </row>
    <row r="2255" spans="1:3" ht="15.75" customHeight="1" x14ac:dyDescent="0.25">
      <c r="A2255" s="2" t="str" cm="1">
        <f t="array" ref="A2255">choice(Salles!A:A,1,Settings!$B$16)</f>
        <v>Salle47</v>
      </c>
      <c r="B2255" s="3" cm="1">
        <f t="array" ref="B2255">alea_date(Settings!$B$11,360,-1,Settings!$B$16)</f>
        <v>46220.291666666664</v>
      </c>
      <c r="C2255" s="20" cm="1">
        <f t="array" ref="C2255">B2255+TIME(alea_int(1,4,Settings!$B$16),0,0)</f>
        <v>46220.458333333328</v>
      </c>
    </row>
    <row r="2256" spans="1:3" ht="15.75" customHeight="1" x14ac:dyDescent="0.25">
      <c r="A2256" s="2" t="str" cm="1">
        <f t="array" ref="A2256">choice(Salles!A:A,1,Settings!$B$16)</f>
        <v>Salle44</v>
      </c>
      <c r="B2256" s="3" cm="1">
        <f t="array" ref="B2256">alea_date(Settings!$B$11,360,-1,Settings!$B$16)</f>
        <v>46046.458333333336</v>
      </c>
      <c r="C2256" s="20" cm="1">
        <f t="array" ref="C2256">B2256+TIME(alea_int(1,4,Settings!$B$16),0,0)</f>
        <v>46046.625</v>
      </c>
    </row>
    <row r="2257" spans="1:3" ht="15.75" customHeight="1" x14ac:dyDescent="0.25">
      <c r="A2257" s="2" t="str" cm="1">
        <f t="array" ref="A2257">choice(Salles!A:A,1,Settings!$B$16)</f>
        <v>Salle52</v>
      </c>
      <c r="B2257" s="3" cm="1">
        <f t="array" ref="B2257">alea_date(Settings!$B$11,360,-1,Settings!$B$16)</f>
        <v>46074.375</v>
      </c>
      <c r="C2257" s="20" cm="1">
        <f t="array" ref="C2257">B2257+TIME(alea_int(1,4,Settings!$B$16),0,0)</f>
        <v>46074.541666666664</v>
      </c>
    </row>
    <row r="2258" spans="1:3" ht="15.75" customHeight="1" x14ac:dyDescent="0.25">
      <c r="A2258" s="2" t="str" cm="1">
        <f t="array" ref="A2258">choice(Salles!A:A,1,Settings!$B$16)</f>
        <v>Salle40</v>
      </c>
      <c r="B2258" s="3" cm="1">
        <f t="array" ref="B2258">alea_date(Settings!$B$11,360,-1,Settings!$B$16)</f>
        <v>46241.333333333336</v>
      </c>
      <c r="C2258" s="20" cm="1">
        <f t="array" ref="C2258">B2258+TIME(alea_int(1,4,Settings!$B$16),0,0)</f>
        <v>46241.5</v>
      </c>
    </row>
    <row r="2259" spans="1:3" ht="15.75" customHeight="1" x14ac:dyDescent="0.25">
      <c r="A2259" s="2" t="str" cm="1">
        <f t="array" ref="A2259">choice(Salles!A:A,1,Settings!$B$16)</f>
        <v>Salle36</v>
      </c>
      <c r="B2259" s="3" cm="1">
        <f t="array" ref="B2259">alea_date(Settings!$B$11,360,-1,Settings!$B$16)</f>
        <v>46174.625</v>
      </c>
      <c r="C2259" s="20" cm="1">
        <f t="array" ref="C2259">B2259+TIME(alea_int(1,4,Settings!$B$16),0,0)</f>
        <v>46174.791666666664</v>
      </c>
    </row>
    <row r="2260" spans="1:3" ht="15.75" customHeight="1" x14ac:dyDescent="0.25">
      <c r="A2260" s="2" t="str" cm="1">
        <f t="array" ref="A2260">choice(Salles!A:A,1,Settings!$B$16)</f>
        <v>Salle4</v>
      </c>
      <c r="B2260" s="3" cm="1">
        <f t="array" ref="B2260">alea_date(Settings!$B$11,360,-1,Settings!$B$16)</f>
        <v>46299.583333333336</v>
      </c>
      <c r="C2260" s="20" cm="1">
        <f t="array" ref="C2260">B2260+TIME(alea_int(1,4,Settings!$B$16),0,0)</f>
        <v>46299.75</v>
      </c>
    </row>
    <row r="2261" spans="1:3" ht="15.75" customHeight="1" x14ac:dyDescent="0.25">
      <c r="A2261" s="2" t="str" cm="1">
        <f t="array" ref="A2261">choice(Salles!A:A,1,Settings!$B$16)</f>
        <v>Salle58</v>
      </c>
      <c r="B2261" s="3" cm="1">
        <f t="array" ref="B2261">alea_date(Settings!$B$11,360,-1,Settings!$B$16)</f>
        <v>46136.541666666664</v>
      </c>
      <c r="C2261" s="20" cm="1">
        <f t="array" ref="C2261">B2261+TIME(alea_int(1,4,Settings!$B$16),0,0)</f>
        <v>46136.708333333328</v>
      </c>
    </row>
    <row r="2262" spans="1:3" ht="15.75" customHeight="1" x14ac:dyDescent="0.25">
      <c r="A2262" s="2" t="str" cm="1">
        <f t="array" ref="A2262">choice(Salles!A:A,1,Settings!$B$16)</f>
        <v>Salle35</v>
      </c>
      <c r="B2262" s="3" cm="1">
        <f t="array" ref="B2262">alea_date(Settings!$B$11,360,-1,Settings!$B$16)</f>
        <v>46357.375</v>
      </c>
      <c r="C2262" s="20" cm="1">
        <f t="array" ref="C2262">B2262+TIME(alea_int(1,4,Settings!$B$16),0,0)</f>
        <v>46357.541666666664</v>
      </c>
    </row>
    <row r="2263" spans="1:3" ht="15.75" customHeight="1" x14ac:dyDescent="0.25">
      <c r="A2263" s="2" t="str" cm="1">
        <f t="array" ref="A2263">choice(Salles!A:A,1,Settings!$B$16)</f>
        <v>Salle51</v>
      </c>
      <c r="B2263" s="3" cm="1">
        <f t="array" ref="B2263">alea_date(Settings!$B$11,360,-1,Settings!$B$16)</f>
        <v>46303.291666666664</v>
      </c>
      <c r="C2263" s="20" cm="1">
        <f t="array" ref="C2263">B2263+TIME(alea_int(1,4,Settings!$B$16),0,0)</f>
        <v>46303.458333333328</v>
      </c>
    </row>
    <row r="2264" spans="1:3" ht="15.75" customHeight="1" x14ac:dyDescent="0.25">
      <c r="A2264" s="2" t="str" cm="1">
        <f t="array" ref="A2264">choice(Salles!A:A,1,Settings!$B$16)</f>
        <v>Salle44</v>
      </c>
      <c r="B2264" s="3" cm="1">
        <f t="array" ref="B2264">alea_date(Settings!$B$11,360,-1,Settings!$B$16)</f>
        <v>46305.375</v>
      </c>
      <c r="C2264" s="20" cm="1">
        <f t="array" ref="C2264">B2264+TIME(alea_int(1,4,Settings!$B$16),0,0)</f>
        <v>46305.541666666664</v>
      </c>
    </row>
    <row r="2265" spans="1:3" ht="15.75" customHeight="1" x14ac:dyDescent="0.25">
      <c r="A2265" s="2" t="str" cm="1">
        <f t="array" ref="A2265">choice(Salles!A:A,1,Settings!$B$16)</f>
        <v>Salle33</v>
      </c>
      <c r="B2265" s="3" cm="1">
        <f t="array" ref="B2265">alea_date(Settings!$B$11,360,-1,Settings!$B$16)</f>
        <v>46089.333333333336</v>
      </c>
      <c r="C2265" s="20" cm="1">
        <f t="array" ref="C2265">B2265+TIME(alea_int(1,4,Settings!$B$16),0,0)</f>
        <v>46089.5</v>
      </c>
    </row>
    <row r="2266" spans="1:3" ht="15.75" customHeight="1" x14ac:dyDescent="0.25">
      <c r="A2266" s="2" t="str" cm="1">
        <f t="array" ref="A2266">choice(Salles!A:A,1,Settings!$B$16)</f>
        <v>Salle54</v>
      </c>
      <c r="B2266" s="3" cm="1">
        <f t="array" ref="B2266">alea_date(Settings!$B$11,360,-1,Settings!$B$16)</f>
        <v>46339.25</v>
      </c>
      <c r="C2266" s="20" cm="1">
        <f t="array" ref="C2266">B2266+TIME(alea_int(1,4,Settings!$B$16),0,0)</f>
        <v>46339.416666666664</v>
      </c>
    </row>
    <row r="2267" spans="1:3" ht="15.75" customHeight="1" x14ac:dyDescent="0.25">
      <c r="A2267" s="2" t="str" cm="1">
        <f t="array" ref="A2267">choice(Salles!A:A,1,Settings!$B$16)</f>
        <v>Salle45</v>
      </c>
      <c r="B2267" s="3" cm="1">
        <f t="array" ref="B2267">alea_date(Settings!$B$11,360,-1,Settings!$B$16)</f>
        <v>46061.375</v>
      </c>
      <c r="C2267" s="20" cm="1">
        <f t="array" ref="C2267">B2267+TIME(alea_int(1,4,Settings!$B$16),0,0)</f>
        <v>46061.541666666664</v>
      </c>
    </row>
    <row r="2268" spans="1:3" ht="15.75" customHeight="1" x14ac:dyDescent="0.25">
      <c r="A2268" s="2" t="str" cm="1">
        <f t="array" ref="A2268">choice(Salles!A:A,1,Settings!$B$16)</f>
        <v>Salle37</v>
      </c>
      <c r="B2268" s="3" cm="1">
        <f t="array" ref="B2268">alea_date(Settings!$B$11,360,-1,Settings!$B$16)</f>
        <v>46125.541666666664</v>
      </c>
      <c r="C2268" s="20" cm="1">
        <f t="array" ref="C2268">B2268+TIME(alea_int(1,4,Settings!$B$16),0,0)</f>
        <v>46125.708333333328</v>
      </c>
    </row>
    <row r="2269" spans="1:3" ht="15.75" customHeight="1" x14ac:dyDescent="0.25">
      <c r="A2269" s="2" t="str" cm="1">
        <f t="array" ref="A2269">choice(Salles!A:A,1,Settings!$B$16)</f>
        <v>Salle52</v>
      </c>
      <c r="B2269" s="3" cm="1">
        <f t="array" ref="B2269">alea_date(Settings!$B$11,360,-1,Settings!$B$16)</f>
        <v>46073.291666666664</v>
      </c>
      <c r="C2269" s="20" cm="1">
        <f t="array" ref="C2269">B2269+TIME(alea_int(1,4,Settings!$B$16),0,0)</f>
        <v>46073.458333333328</v>
      </c>
    </row>
    <row r="2270" spans="1:3" ht="15.75" customHeight="1" x14ac:dyDescent="0.25">
      <c r="A2270" s="2" t="str" cm="1">
        <f t="array" ref="A2270">choice(Salles!A:A,1,Settings!$B$16)</f>
        <v>Salle62</v>
      </c>
      <c r="B2270" s="3" cm="1">
        <f t="array" ref="B2270">alea_date(Settings!$B$11,360,-1,Settings!$B$16)</f>
        <v>46313.333333333336</v>
      </c>
      <c r="C2270" s="20" cm="1">
        <f t="array" ref="C2270">B2270+TIME(alea_int(1,4,Settings!$B$16),0,0)</f>
        <v>46313.5</v>
      </c>
    </row>
    <row r="2271" spans="1:3" ht="15.75" customHeight="1" x14ac:dyDescent="0.25">
      <c r="A2271" s="2" t="str" cm="1">
        <f t="array" ref="A2271">choice(Salles!A:A,1,Settings!$B$16)</f>
        <v>Salle58</v>
      </c>
      <c r="B2271" s="3" cm="1">
        <f t="array" ref="B2271">alea_date(Settings!$B$11,360,-1,Settings!$B$16)</f>
        <v>46057.25</v>
      </c>
      <c r="C2271" s="20" cm="1">
        <f t="array" ref="C2271">B2271+TIME(alea_int(1,4,Settings!$B$16),0,0)</f>
        <v>46057.416666666664</v>
      </c>
    </row>
    <row r="2272" spans="1:3" ht="15.75" customHeight="1" x14ac:dyDescent="0.25">
      <c r="A2272" s="2" t="str" cm="1">
        <f t="array" ref="A2272">choice(Salles!A:A,1,Settings!$B$16)</f>
        <v>Salle51</v>
      </c>
      <c r="B2272" s="3" cm="1">
        <f t="array" ref="B2272">alea_date(Settings!$B$11,360,-1,Settings!$B$16)</f>
        <v>46343.25</v>
      </c>
      <c r="C2272" s="20" cm="1">
        <f t="array" ref="C2272">B2272+TIME(alea_int(1,4,Settings!$B$16),0,0)</f>
        <v>46343.416666666664</v>
      </c>
    </row>
    <row r="2273" spans="1:3" ht="15.75" customHeight="1" x14ac:dyDescent="0.25">
      <c r="A2273" s="2" t="str" cm="1">
        <f t="array" ref="A2273">choice(Salles!A:A,1,Settings!$B$16)</f>
        <v>Salle11</v>
      </c>
      <c r="B2273" s="3" cm="1">
        <f t="array" ref="B2273">alea_date(Settings!$B$11,360,-1,Settings!$B$16)</f>
        <v>46317.375</v>
      </c>
      <c r="C2273" s="20" cm="1">
        <f t="array" ref="C2273">B2273+TIME(alea_int(1,4,Settings!$B$16),0,0)</f>
        <v>46317.541666666664</v>
      </c>
    </row>
    <row r="2274" spans="1:3" ht="15.75" customHeight="1" x14ac:dyDescent="0.25">
      <c r="A2274" s="2" t="str" cm="1">
        <f t="array" ref="A2274">choice(Salles!A:A,1,Settings!$B$16)</f>
        <v>Salle30</v>
      </c>
      <c r="B2274" s="3" cm="1">
        <f t="array" ref="B2274">alea_date(Settings!$B$11,360,-1,Settings!$B$16)</f>
        <v>46138.541666666664</v>
      </c>
      <c r="C2274" s="20" cm="1">
        <f t="array" ref="C2274">B2274+TIME(alea_int(1,4,Settings!$B$16),0,0)</f>
        <v>46138.708333333328</v>
      </c>
    </row>
    <row r="2275" spans="1:3" ht="15.75" customHeight="1" x14ac:dyDescent="0.25">
      <c r="A2275" s="2" t="str" cm="1">
        <f t="array" ref="A2275">choice(Salles!A:A,1,Settings!$B$16)</f>
        <v>Salle19</v>
      </c>
      <c r="B2275" s="3" cm="1">
        <f t="array" ref="B2275">alea_date(Settings!$B$11,360,-1,Settings!$B$16)</f>
        <v>46331.416666666664</v>
      </c>
      <c r="C2275" s="20" cm="1">
        <f t="array" ref="C2275">B2275+TIME(alea_int(1,4,Settings!$B$16),0,0)</f>
        <v>46331.583333333328</v>
      </c>
    </row>
    <row r="2276" spans="1:3" ht="15.75" customHeight="1" x14ac:dyDescent="0.25">
      <c r="A2276" s="2" t="str" cm="1">
        <f t="array" ref="A2276">choice(Salles!A:A,1,Settings!$B$16)</f>
        <v>Salle38</v>
      </c>
      <c r="B2276" s="3" cm="1">
        <f t="array" ref="B2276">alea_date(Settings!$B$11,360,-1,Settings!$B$16)</f>
        <v>46313.625</v>
      </c>
      <c r="C2276" s="20" cm="1">
        <f t="array" ref="C2276">B2276+TIME(alea_int(1,4,Settings!$B$16),0,0)</f>
        <v>46313.791666666664</v>
      </c>
    </row>
    <row r="2277" spans="1:3" ht="15.75" customHeight="1" x14ac:dyDescent="0.25">
      <c r="A2277" s="2" t="str" cm="1">
        <f t="array" ref="A2277">choice(Salles!A:A,1,Settings!$B$16)</f>
        <v>Salle46</v>
      </c>
      <c r="B2277" s="3" cm="1">
        <f t="array" ref="B2277">alea_date(Settings!$B$11,360,-1,Settings!$B$16)</f>
        <v>46051.25</v>
      </c>
      <c r="C2277" s="20" cm="1">
        <f t="array" ref="C2277">B2277+TIME(alea_int(1,4,Settings!$B$16),0,0)</f>
        <v>46051.416666666664</v>
      </c>
    </row>
    <row r="2278" spans="1:3" ht="15.75" customHeight="1" x14ac:dyDescent="0.25">
      <c r="A2278" s="2" t="str" cm="1">
        <f t="array" ref="A2278">choice(Salles!A:A,1,Settings!$B$16)</f>
        <v>Salle56</v>
      </c>
      <c r="B2278" s="3" cm="1">
        <f t="array" ref="B2278">alea_date(Settings!$B$11,360,-1,Settings!$B$16)</f>
        <v>46130.583333333336</v>
      </c>
      <c r="C2278" s="20" cm="1">
        <f t="array" ref="C2278">B2278+TIME(alea_int(1,4,Settings!$B$16),0,0)</f>
        <v>46130.75</v>
      </c>
    </row>
    <row r="2279" spans="1:3" ht="15.75" customHeight="1" x14ac:dyDescent="0.25">
      <c r="A2279" s="2" t="str" cm="1">
        <f t="array" ref="A2279">choice(Salles!A:A,1,Settings!$B$16)</f>
        <v>Salle58</v>
      </c>
      <c r="B2279" s="3" cm="1">
        <f t="array" ref="B2279">alea_date(Settings!$B$11,360,-1,Settings!$B$16)</f>
        <v>46111.5</v>
      </c>
      <c r="C2279" s="20" cm="1">
        <f t="array" ref="C2279">B2279+TIME(alea_int(1,4,Settings!$B$16),0,0)</f>
        <v>46111.666666666664</v>
      </c>
    </row>
    <row r="2280" spans="1:3" ht="15.75" customHeight="1" x14ac:dyDescent="0.25">
      <c r="A2280" s="2" t="str" cm="1">
        <f t="array" ref="A2280">choice(Salles!A:A,1,Settings!$B$16)</f>
        <v>Salle32</v>
      </c>
      <c r="B2280" s="3" cm="1">
        <f t="array" ref="B2280">alea_date(Settings!$B$11,360,-1,Settings!$B$16)</f>
        <v>46090.416666666664</v>
      </c>
      <c r="C2280" s="20" cm="1">
        <f t="array" ref="C2280">B2280+TIME(alea_int(1,4,Settings!$B$16),0,0)</f>
        <v>46090.583333333328</v>
      </c>
    </row>
    <row r="2281" spans="1:3" ht="15.75" customHeight="1" x14ac:dyDescent="0.25">
      <c r="A2281" s="2" t="str" cm="1">
        <f t="array" ref="A2281">choice(Salles!A:A,1,Settings!$B$16)</f>
        <v>Salle65</v>
      </c>
      <c r="B2281" s="3" cm="1">
        <f t="array" ref="B2281">alea_date(Settings!$B$11,360,-1,Settings!$B$16)</f>
        <v>46252.541666666664</v>
      </c>
      <c r="C2281" s="20" cm="1">
        <f t="array" ref="C2281">B2281+TIME(alea_int(1,4,Settings!$B$16),0,0)</f>
        <v>46252.708333333328</v>
      </c>
    </row>
    <row r="2282" spans="1:3" ht="15.75" customHeight="1" x14ac:dyDescent="0.25">
      <c r="A2282" s="2" t="str" cm="1">
        <f t="array" ref="A2282">choice(Salles!A:A,1,Settings!$B$16)</f>
        <v>Salle15</v>
      </c>
      <c r="B2282" s="3" cm="1">
        <f t="array" ref="B2282">alea_date(Settings!$B$11,360,-1,Settings!$B$16)</f>
        <v>46187.333333333336</v>
      </c>
      <c r="C2282" s="20" cm="1">
        <f t="array" ref="C2282">B2282+TIME(alea_int(1,4,Settings!$B$16),0,0)</f>
        <v>46187.5</v>
      </c>
    </row>
    <row r="2283" spans="1:3" ht="15.75" customHeight="1" x14ac:dyDescent="0.25">
      <c r="A2283" s="2" t="str" cm="1">
        <f t="array" ref="A2283">choice(Salles!A:A,1,Settings!$B$16)</f>
        <v>Salle15</v>
      </c>
      <c r="B2283" s="3" cm="1">
        <f t="array" ref="B2283">alea_date(Settings!$B$11,360,-1,Settings!$B$16)</f>
        <v>46112.583333333336</v>
      </c>
      <c r="C2283" s="20" cm="1">
        <f t="array" ref="C2283">B2283+TIME(alea_int(1,4,Settings!$B$16),0,0)</f>
        <v>46112.75</v>
      </c>
    </row>
    <row r="2284" spans="1:3" ht="15.75" customHeight="1" x14ac:dyDescent="0.25">
      <c r="A2284" s="2" t="str" cm="1">
        <f t="array" ref="A2284">choice(Salles!A:A,1,Settings!$B$16)</f>
        <v>Salle56</v>
      </c>
      <c r="B2284" s="3" cm="1">
        <f t="array" ref="B2284">alea_date(Settings!$B$11,360,-1,Settings!$B$16)</f>
        <v>46278.416666666664</v>
      </c>
      <c r="C2284" s="20" cm="1">
        <f t="array" ref="C2284">B2284+TIME(alea_int(1,4,Settings!$B$16),0,0)</f>
        <v>46278.583333333328</v>
      </c>
    </row>
    <row r="2285" spans="1:3" ht="15.75" customHeight="1" x14ac:dyDescent="0.25">
      <c r="A2285" s="2" t="str" cm="1">
        <f t="array" ref="A2285">choice(Salles!A:A,1,Settings!$B$16)</f>
        <v>Salle51</v>
      </c>
      <c r="B2285" s="3" cm="1">
        <f t="array" ref="B2285">alea_date(Settings!$B$11,360,-1,Settings!$B$16)</f>
        <v>46023.5</v>
      </c>
      <c r="C2285" s="20" cm="1">
        <f t="array" ref="C2285">B2285+TIME(alea_int(1,4,Settings!$B$16),0,0)</f>
        <v>46023.666666666664</v>
      </c>
    </row>
    <row r="2286" spans="1:3" ht="15.75" customHeight="1" x14ac:dyDescent="0.25">
      <c r="A2286" s="2" t="str" cm="1">
        <f t="array" ref="A2286">choice(Salles!A:A,1,Settings!$B$16)</f>
        <v>Salle35</v>
      </c>
      <c r="B2286" s="3" cm="1">
        <f t="array" ref="B2286">alea_date(Settings!$B$11,360,-1,Settings!$B$16)</f>
        <v>46205.5</v>
      </c>
      <c r="C2286" s="20" cm="1">
        <f t="array" ref="C2286">B2286+TIME(alea_int(1,4,Settings!$B$16),0,0)</f>
        <v>46205.666666666664</v>
      </c>
    </row>
    <row r="2287" spans="1:3" ht="15.75" customHeight="1" x14ac:dyDescent="0.25">
      <c r="A2287" s="2" t="str" cm="1">
        <f t="array" ref="A2287">choice(Salles!A:A,1,Settings!$B$16)</f>
        <v>Salle12</v>
      </c>
      <c r="B2287" s="3" cm="1">
        <f t="array" ref="B2287">alea_date(Settings!$B$11,360,-1,Settings!$B$16)</f>
        <v>46382.291666666664</v>
      </c>
      <c r="C2287" s="20" cm="1">
        <f t="array" ref="C2287">B2287+TIME(alea_int(1,4,Settings!$B$16),0,0)</f>
        <v>46382.458333333328</v>
      </c>
    </row>
    <row r="2288" spans="1:3" ht="15.75" customHeight="1" x14ac:dyDescent="0.25">
      <c r="A2288" s="2" t="str" cm="1">
        <f t="array" ref="A2288">choice(Salles!A:A,1,Settings!$B$16)</f>
        <v>Salle13</v>
      </c>
      <c r="B2288" s="3" cm="1">
        <f t="array" ref="B2288">alea_date(Settings!$B$11,360,-1,Settings!$B$16)</f>
        <v>46103.458333333336</v>
      </c>
      <c r="C2288" s="20" cm="1">
        <f t="array" ref="C2288">B2288+TIME(alea_int(1,4,Settings!$B$16),0,0)</f>
        <v>46103.625</v>
      </c>
    </row>
    <row r="2289" spans="1:3" ht="15.75" customHeight="1" x14ac:dyDescent="0.25">
      <c r="A2289" s="2" t="str" cm="1">
        <f t="array" ref="A2289">choice(Salles!A:A,1,Settings!$B$16)</f>
        <v>Salle10</v>
      </c>
      <c r="B2289" s="3" cm="1">
        <f t="array" ref="B2289">alea_date(Settings!$B$11,360,-1,Settings!$B$16)</f>
        <v>46220.541666666664</v>
      </c>
      <c r="C2289" s="20" cm="1">
        <f t="array" ref="C2289">B2289+TIME(alea_int(1,4,Settings!$B$16),0,0)</f>
        <v>46220.708333333328</v>
      </c>
    </row>
    <row r="2290" spans="1:3" ht="15.75" customHeight="1" x14ac:dyDescent="0.25">
      <c r="A2290" s="2" t="str" cm="1">
        <f t="array" ref="A2290">choice(Salles!A:A,1,Settings!$B$16)</f>
        <v>Salle44</v>
      </c>
      <c r="B2290" s="3" cm="1">
        <f t="array" ref="B2290">alea_date(Settings!$B$11,360,-1,Settings!$B$16)</f>
        <v>46131.375</v>
      </c>
      <c r="C2290" s="20" cm="1">
        <f t="array" ref="C2290">B2290+TIME(alea_int(1,4,Settings!$B$16),0,0)</f>
        <v>46131.541666666664</v>
      </c>
    </row>
    <row r="2291" spans="1:3" ht="15.75" customHeight="1" x14ac:dyDescent="0.25">
      <c r="A2291" s="2" t="str" cm="1">
        <f t="array" ref="A2291">choice(Salles!A:A,1,Settings!$B$16)</f>
        <v>Salle40</v>
      </c>
      <c r="B2291" s="3" cm="1">
        <f t="array" ref="B2291">alea_date(Settings!$B$11,360,-1,Settings!$B$16)</f>
        <v>46112.625</v>
      </c>
      <c r="C2291" s="20" cm="1">
        <f t="array" ref="C2291">B2291+TIME(alea_int(1,4,Settings!$B$16),0,0)</f>
        <v>46112.791666666664</v>
      </c>
    </row>
    <row r="2292" spans="1:3" ht="15.75" customHeight="1" x14ac:dyDescent="0.25">
      <c r="A2292" s="2" t="str" cm="1">
        <f t="array" ref="A2292">choice(Salles!A:A,1,Settings!$B$16)</f>
        <v>Salle7</v>
      </c>
      <c r="B2292" s="3" cm="1">
        <f t="array" ref="B2292">alea_date(Settings!$B$11,360,-1,Settings!$B$16)</f>
        <v>46270.541666666664</v>
      </c>
      <c r="C2292" s="20" cm="1">
        <f t="array" ref="C2292">B2292+TIME(alea_int(1,4,Settings!$B$16),0,0)</f>
        <v>46270.708333333328</v>
      </c>
    </row>
    <row r="2293" spans="1:3" ht="15.75" customHeight="1" x14ac:dyDescent="0.25">
      <c r="A2293" s="2" t="str" cm="1">
        <f t="array" ref="A2293">choice(Salles!A:A,1,Settings!$B$16)</f>
        <v>Salle24</v>
      </c>
      <c r="B2293" s="3" cm="1">
        <f t="array" ref="B2293">alea_date(Settings!$B$11,360,-1,Settings!$B$16)</f>
        <v>46232.25</v>
      </c>
      <c r="C2293" s="20" cm="1">
        <f t="array" ref="C2293">B2293+TIME(alea_int(1,4,Settings!$B$16),0,0)</f>
        <v>46232.416666666664</v>
      </c>
    </row>
    <row r="2294" spans="1:3" ht="15.75" customHeight="1" x14ac:dyDescent="0.25">
      <c r="A2294" s="2" t="str" cm="1">
        <f t="array" ref="A2294">choice(Salles!A:A,1,Settings!$B$16)</f>
        <v>Salle22</v>
      </c>
      <c r="B2294" s="3" cm="1">
        <f t="array" ref="B2294">alea_date(Settings!$B$11,360,-1,Settings!$B$16)</f>
        <v>46227.25</v>
      </c>
      <c r="C2294" s="20" cm="1">
        <f t="array" ref="C2294">B2294+TIME(alea_int(1,4,Settings!$B$16),0,0)</f>
        <v>46227.416666666664</v>
      </c>
    </row>
    <row r="2295" spans="1:3" ht="15.75" customHeight="1" x14ac:dyDescent="0.25">
      <c r="A2295" s="2" t="str" cm="1">
        <f t="array" ref="A2295">choice(Salles!A:A,1,Settings!$B$16)</f>
        <v>Salle27</v>
      </c>
      <c r="B2295" s="3" cm="1">
        <f t="array" ref="B2295">alea_date(Settings!$B$11,360,-1,Settings!$B$16)</f>
        <v>46162.333333333336</v>
      </c>
      <c r="C2295" s="20" cm="1">
        <f t="array" ref="C2295">B2295+TIME(alea_int(1,4,Settings!$B$16),0,0)</f>
        <v>46162.5</v>
      </c>
    </row>
    <row r="2296" spans="1:3" ht="15.75" customHeight="1" x14ac:dyDescent="0.25">
      <c r="A2296" s="2" t="str" cm="1">
        <f t="array" ref="A2296">choice(Salles!A:A,1,Settings!$B$16)</f>
        <v>Salle66</v>
      </c>
      <c r="B2296" s="3" cm="1">
        <f t="array" ref="B2296">alea_date(Settings!$B$11,360,-1,Settings!$B$16)</f>
        <v>46370.583333333336</v>
      </c>
      <c r="C2296" s="20" cm="1">
        <f t="array" ref="C2296">B2296+TIME(alea_int(1,4,Settings!$B$16),0,0)</f>
        <v>46370.75</v>
      </c>
    </row>
    <row r="2297" spans="1:3" ht="15.75" customHeight="1" x14ac:dyDescent="0.25">
      <c r="A2297" s="2" t="str" cm="1">
        <f t="array" ref="A2297">choice(Salles!A:A,1,Settings!$B$16)</f>
        <v>Salle32</v>
      </c>
      <c r="B2297" s="3" cm="1">
        <f t="array" ref="B2297">alea_date(Settings!$B$11,360,-1,Settings!$B$16)</f>
        <v>46354.333333333336</v>
      </c>
      <c r="C2297" s="20" cm="1">
        <f t="array" ref="C2297">B2297+TIME(alea_int(1,4,Settings!$B$16),0,0)</f>
        <v>46354.5</v>
      </c>
    </row>
    <row r="2298" spans="1:3" ht="15.75" customHeight="1" x14ac:dyDescent="0.25">
      <c r="A2298" s="2" t="str" cm="1">
        <f t="array" ref="A2298">choice(Salles!A:A,1,Settings!$B$16)</f>
        <v>Salle35</v>
      </c>
      <c r="B2298" s="3" cm="1">
        <f t="array" ref="B2298">alea_date(Settings!$B$11,360,-1,Settings!$B$16)</f>
        <v>46329.458333333336</v>
      </c>
      <c r="C2298" s="20" cm="1">
        <f t="array" ref="C2298">B2298+TIME(alea_int(1,4,Settings!$B$16),0,0)</f>
        <v>46329.625</v>
      </c>
    </row>
    <row r="2299" spans="1:3" ht="15.75" customHeight="1" x14ac:dyDescent="0.25">
      <c r="A2299" s="2" t="str" cm="1">
        <f t="array" ref="A2299">choice(Salles!A:A,1,Settings!$B$16)</f>
        <v>Salle3</v>
      </c>
      <c r="B2299" s="3" cm="1">
        <f t="array" ref="B2299">alea_date(Settings!$B$11,360,-1,Settings!$B$16)</f>
        <v>46138.625</v>
      </c>
      <c r="C2299" s="20" cm="1">
        <f t="array" ref="C2299">B2299+TIME(alea_int(1,4,Settings!$B$16),0,0)</f>
        <v>46138.791666666664</v>
      </c>
    </row>
    <row r="2300" spans="1:3" ht="15.75" customHeight="1" x14ac:dyDescent="0.25">
      <c r="A2300" s="2" t="str" cm="1">
        <f t="array" ref="A2300">choice(Salles!A:A,1,Settings!$B$16)</f>
        <v>Salle6</v>
      </c>
      <c r="B2300" s="3" cm="1">
        <f t="array" ref="B2300">alea_date(Settings!$B$11,360,-1,Settings!$B$16)</f>
        <v>46182.458333333336</v>
      </c>
      <c r="C2300" s="20" cm="1">
        <f t="array" ref="C2300">B2300+TIME(alea_int(1,4,Settings!$B$16),0,0)</f>
        <v>46182.625</v>
      </c>
    </row>
    <row r="2301" spans="1:3" ht="15.75" customHeight="1" x14ac:dyDescent="0.25">
      <c r="A2301" s="2" t="str" cm="1">
        <f t="array" ref="A2301">choice(Salles!A:A,1,Settings!$B$16)</f>
        <v>Salle31</v>
      </c>
      <c r="B2301" s="3" cm="1">
        <f t="array" ref="B2301">alea_date(Settings!$B$11,360,-1,Settings!$B$16)</f>
        <v>46064.541666666664</v>
      </c>
      <c r="C2301" s="20" cm="1">
        <f t="array" ref="C2301">B2301+TIME(alea_int(1,4,Settings!$B$16),0,0)</f>
        <v>46064.708333333328</v>
      </c>
    </row>
    <row r="2302" spans="1:3" ht="15.75" customHeight="1" x14ac:dyDescent="0.25">
      <c r="A2302" s="2" t="str" cm="1">
        <f t="array" ref="A2302">choice(Salles!A:A,1,Settings!$B$16)</f>
        <v>Salle22</v>
      </c>
      <c r="B2302" s="3" cm="1">
        <f t="array" ref="B2302">alea_date(Settings!$B$11,360,-1,Settings!$B$16)</f>
        <v>46349.625</v>
      </c>
      <c r="C2302" s="20" cm="1">
        <f t="array" ref="C2302">B2302+TIME(alea_int(1,4,Settings!$B$16),0,0)</f>
        <v>46349.791666666664</v>
      </c>
    </row>
    <row r="2303" spans="1:3" ht="15.75" customHeight="1" x14ac:dyDescent="0.25">
      <c r="A2303" s="2" t="str" cm="1">
        <f t="array" ref="A2303">choice(Salles!A:A,1,Settings!$B$16)</f>
        <v>Salle14</v>
      </c>
      <c r="B2303" s="3" cm="1">
        <f t="array" ref="B2303">alea_date(Settings!$B$11,360,-1,Settings!$B$16)</f>
        <v>46209.583333333336</v>
      </c>
      <c r="C2303" s="20" cm="1">
        <f t="array" ref="C2303">B2303+TIME(alea_int(1,4,Settings!$B$16),0,0)</f>
        <v>46209.75</v>
      </c>
    </row>
    <row r="2304" spans="1:3" ht="15.75" customHeight="1" x14ac:dyDescent="0.25">
      <c r="A2304" s="2" t="str" cm="1">
        <f t="array" ref="A2304">choice(Salles!A:A,1,Settings!$B$16)</f>
        <v>Salle10</v>
      </c>
      <c r="B2304" s="3" cm="1">
        <f t="array" ref="B2304">alea_date(Settings!$B$11,360,-1,Settings!$B$16)</f>
        <v>46278.583333333336</v>
      </c>
      <c r="C2304" s="20" cm="1">
        <f t="array" ref="C2304">B2304+TIME(alea_int(1,4,Settings!$B$16),0,0)</f>
        <v>46278.75</v>
      </c>
    </row>
    <row r="2305" spans="1:3" ht="15.75" customHeight="1" x14ac:dyDescent="0.25">
      <c r="A2305" s="2" t="str" cm="1">
        <f t="array" ref="A2305">choice(Salles!A:A,1,Settings!$B$16)</f>
        <v>Salle10</v>
      </c>
      <c r="B2305" s="3" cm="1">
        <f t="array" ref="B2305">alea_date(Settings!$B$11,360,-1,Settings!$B$16)</f>
        <v>46313.25</v>
      </c>
      <c r="C2305" s="20" cm="1">
        <f t="array" ref="C2305">B2305+TIME(alea_int(1,4,Settings!$B$16),0,0)</f>
        <v>46313.416666666664</v>
      </c>
    </row>
    <row r="2306" spans="1:3" ht="15.75" customHeight="1" x14ac:dyDescent="0.25">
      <c r="A2306" s="2" t="str" cm="1">
        <f t="array" ref="A2306">choice(Salles!A:A,1,Settings!$B$16)</f>
        <v>Salle47</v>
      </c>
      <c r="B2306" s="3" cm="1">
        <f t="array" ref="B2306">alea_date(Settings!$B$11,360,-1,Settings!$B$16)</f>
        <v>46300.583333333336</v>
      </c>
      <c r="C2306" s="20" cm="1">
        <f t="array" ref="C2306">B2306+TIME(alea_int(1,4,Settings!$B$16),0,0)</f>
        <v>46300.75</v>
      </c>
    </row>
    <row r="2307" spans="1:3" ht="15.75" customHeight="1" x14ac:dyDescent="0.25">
      <c r="A2307" s="2" t="str" cm="1">
        <f t="array" ref="A2307">choice(Salles!A:A,1,Settings!$B$16)</f>
        <v>Salle39</v>
      </c>
      <c r="B2307" s="3" cm="1">
        <f t="array" ref="B2307">alea_date(Settings!$B$11,360,-1,Settings!$B$16)</f>
        <v>46094.458333333336</v>
      </c>
      <c r="C2307" s="20" cm="1">
        <f t="array" ref="C2307">B2307+TIME(alea_int(1,4,Settings!$B$16),0,0)</f>
        <v>46094.625</v>
      </c>
    </row>
    <row r="2308" spans="1:3" ht="15.75" customHeight="1" x14ac:dyDescent="0.25">
      <c r="A2308" s="2" t="str" cm="1">
        <f t="array" ref="A2308">choice(Salles!A:A,1,Settings!$B$16)</f>
        <v>Salle16</v>
      </c>
      <c r="B2308" s="3" cm="1">
        <f t="array" ref="B2308">alea_date(Settings!$B$11,360,-1,Settings!$B$16)</f>
        <v>46209.583333333336</v>
      </c>
      <c r="C2308" s="20" cm="1">
        <f t="array" ref="C2308">B2308+TIME(alea_int(1,4,Settings!$B$16),0,0)</f>
        <v>46209.75</v>
      </c>
    </row>
    <row r="2309" spans="1:3" ht="15.75" customHeight="1" x14ac:dyDescent="0.25">
      <c r="A2309" s="2" t="str" cm="1">
        <f t="array" ref="A2309">choice(Salles!A:A,1,Settings!$B$16)</f>
        <v>Salle63</v>
      </c>
      <c r="B2309" s="3" cm="1">
        <f t="array" ref="B2309">alea_date(Settings!$B$11,360,-1,Settings!$B$16)</f>
        <v>46081.291666666664</v>
      </c>
      <c r="C2309" s="20" cm="1">
        <f t="array" ref="C2309">B2309+TIME(alea_int(1,4,Settings!$B$16),0,0)</f>
        <v>46081.458333333328</v>
      </c>
    </row>
    <row r="2310" spans="1:3" ht="15.75" customHeight="1" x14ac:dyDescent="0.25">
      <c r="A2310" s="2" t="str" cm="1">
        <f t="array" ref="A2310">choice(Salles!A:A,1,Settings!$B$16)</f>
        <v>Salle37</v>
      </c>
      <c r="B2310" s="3" cm="1">
        <f t="array" ref="B2310">alea_date(Settings!$B$11,360,-1,Settings!$B$16)</f>
        <v>46312.291666666664</v>
      </c>
      <c r="C2310" s="20" cm="1">
        <f t="array" ref="C2310">B2310+TIME(alea_int(1,4,Settings!$B$16),0,0)</f>
        <v>46312.458333333328</v>
      </c>
    </row>
    <row r="2311" spans="1:3" ht="15.75" customHeight="1" x14ac:dyDescent="0.25">
      <c r="A2311" s="2" t="str" cm="1">
        <f t="array" ref="A2311">choice(Salles!A:A,1,Settings!$B$16)</f>
        <v>Salle47</v>
      </c>
      <c r="B2311" s="3" cm="1">
        <f t="array" ref="B2311">alea_date(Settings!$B$11,360,-1,Settings!$B$16)</f>
        <v>46267.583333333336</v>
      </c>
      <c r="C2311" s="20" cm="1">
        <f t="array" ref="C2311">B2311+TIME(alea_int(1,4,Settings!$B$16),0,0)</f>
        <v>46267.75</v>
      </c>
    </row>
    <row r="2312" spans="1:3" ht="15.75" customHeight="1" x14ac:dyDescent="0.25">
      <c r="A2312" s="2" t="str" cm="1">
        <f t="array" ref="A2312">choice(Salles!A:A,1,Settings!$B$16)</f>
        <v>Salle25</v>
      </c>
      <c r="B2312" s="3" cm="1">
        <f t="array" ref="B2312">alea_date(Settings!$B$11,360,-1,Settings!$B$16)</f>
        <v>46239.458333333336</v>
      </c>
      <c r="C2312" s="20" cm="1">
        <f t="array" ref="C2312">B2312+TIME(alea_int(1,4,Settings!$B$16),0,0)</f>
        <v>46239.625</v>
      </c>
    </row>
    <row r="2313" spans="1:3" ht="15.75" customHeight="1" x14ac:dyDescent="0.25">
      <c r="A2313" s="2" t="str" cm="1">
        <f t="array" ref="A2313">choice(Salles!A:A,1,Settings!$B$16)</f>
        <v>Salle23</v>
      </c>
      <c r="B2313" s="3" cm="1">
        <f t="array" ref="B2313">alea_date(Settings!$B$11,360,-1,Settings!$B$16)</f>
        <v>46043.541666666664</v>
      </c>
      <c r="C2313" s="20" cm="1">
        <f t="array" ref="C2313">B2313+TIME(alea_int(1,4,Settings!$B$16),0,0)</f>
        <v>46043.708333333328</v>
      </c>
    </row>
    <row r="2314" spans="1:3" ht="15.75" customHeight="1" x14ac:dyDescent="0.25">
      <c r="A2314" s="2" t="str" cm="1">
        <f t="array" ref="A2314">choice(Salles!A:A,1,Settings!$B$16)</f>
        <v>Salle56</v>
      </c>
      <c r="B2314" s="3" cm="1">
        <f t="array" ref="B2314">alea_date(Settings!$B$11,360,-1,Settings!$B$16)</f>
        <v>46066.625</v>
      </c>
      <c r="C2314" s="20" cm="1">
        <f t="array" ref="C2314">B2314+TIME(alea_int(1,4,Settings!$B$16),0,0)</f>
        <v>46066.791666666664</v>
      </c>
    </row>
    <row r="2315" spans="1:3" ht="15.75" customHeight="1" x14ac:dyDescent="0.25">
      <c r="A2315" s="2" t="str" cm="1">
        <f t="array" ref="A2315">choice(Salles!A:A,1,Settings!$B$16)</f>
        <v>Salle68</v>
      </c>
      <c r="B2315" s="3" cm="1">
        <f t="array" ref="B2315">alea_date(Settings!$B$11,360,-1,Settings!$B$16)</f>
        <v>46230.375</v>
      </c>
      <c r="C2315" s="20" cm="1">
        <f t="array" ref="C2315">B2315+TIME(alea_int(1,4,Settings!$B$16),0,0)</f>
        <v>46230.541666666664</v>
      </c>
    </row>
    <row r="2316" spans="1:3" ht="15.75" customHeight="1" x14ac:dyDescent="0.25">
      <c r="A2316" s="2" t="str" cm="1">
        <f t="array" ref="A2316">choice(Salles!A:A,1,Settings!$B$16)</f>
        <v>Salle7</v>
      </c>
      <c r="B2316" s="3" cm="1">
        <f t="array" ref="B2316">alea_date(Settings!$B$11,360,-1,Settings!$B$16)</f>
        <v>46128.291666666664</v>
      </c>
      <c r="C2316" s="20" cm="1">
        <f t="array" ref="C2316">B2316+TIME(alea_int(1,4,Settings!$B$16),0,0)</f>
        <v>46128.458333333328</v>
      </c>
    </row>
    <row r="2317" spans="1:3" ht="15.75" customHeight="1" x14ac:dyDescent="0.25">
      <c r="A2317" s="2" t="str" cm="1">
        <f t="array" ref="A2317">choice(Salles!A:A,1,Settings!$B$16)</f>
        <v>Salle33</v>
      </c>
      <c r="B2317" s="3" cm="1">
        <f t="array" ref="B2317">alea_date(Settings!$B$11,360,-1,Settings!$B$16)</f>
        <v>46221.5</v>
      </c>
      <c r="C2317" s="20" cm="1">
        <f t="array" ref="C2317">B2317+TIME(alea_int(1,4,Settings!$B$16),0,0)</f>
        <v>46221.666666666664</v>
      </c>
    </row>
    <row r="2318" spans="1:3" ht="15.75" customHeight="1" x14ac:dyDescent="0.25">
      <c r="A2318" s="2" t="str" cm="1">
        <f t="array" ref="A2318">choice(Salles!A:A,1,Settings!$B$16)</f>
        <v>Salle56</v>
      </c>
      <c r="B2318" s="3" cm="1">
        <f t="array" ref="B2318">alea_date(Settings!$B$11,360,-1,Settings!$B$16)</f>
        <v>46178.25</v>
      </c>
      <c r="C2318" s="20" cm="1">
        <f t="array" ref="C2318">B2318+TIME(alea_int(1,4,Settings!$B$16),0,0)</f>
        <v>46178.416666666664</v>
      </c>
    </row>
    <row r="2319" spans="1:3" ht="15.75" customHeight="1" x14ac:dyDescent="0.25">
      <c r="A2319" s="2" t="str" cm="1">
        <f t="array" ref="A2319">choice(Salles!A:A,1,Settings!$B$16)</f>
        <v>Salle17</v>
      </c>
      <c r="B2319" s="3" cm="1">
        <f t="array" ref="B2319">alea_date(Settings!$B$11,360,-1,Settings!$B$16)</f>
        <v>46197.375</v>
      </c>
      <c r="C2319" s="20" cm="1">
        <f t="array" ref="C2319">B2319+TIME(alea_int(1,4,Settings!$B$16),0,0)</f>
        <v>46197.541666666664</v>
      </c>
    </row>
    <row r="2320" spans="1:3" ht="15.75" customHeight="1" x14ac:dyDescent="0.25">
      <c r="A2320" s="2" t="str" cm="1">
        <f t="array" ref="A2320">choice(Salles!A:A,1,Settings!$B$16)</f>
        <v>Salle26</v>
      </c>
      <c r="B2320" s="3" cm="1">
        <f t="array" ref="B2320">alea_date(Settings!$B$11,360,-1,Settings!$B$16)</f>
        <v>46328.458333333336</v>
      </c>
      <c r="C2320" s="20" cm="1">
        <f t="array" ref="C2320">B2320+TIME(alea_int(1,4,Settings!$B$16),0,0)</f>
        <v>46328.625</v>
      </c>
    </row>
    <row r="2321" spans="1:3" ht="15.75" customHeight="1" x14ac:dyDescent="0.25">
      <c r="A2321" s="2" t="str" cm="1">
        <f t="array" ref="A2321">choice(Salles!A:A,1,Settings!$B$16)</f>
        <v>Salle19</v>
      </c>
      <c r="B2321" s="3" cm="1">
        <f t="array" ref="B2321">alea_date(Settings!$B$11,360,-1,Settings!$B$16)</f>
        <v>46173.375</v>
      </c>
      <c r="C2321" s="20" cm="1">
        <f t="array" ref="C2321">B2321+TIME(alea_int(1,4,Settings!$B$16),0,0)</f>
        <v>46173.541666666664</v>
      </c>
    </row>
    <row r="2322" spans="1:3" ht="15.75" customHeight="1" x14ac:dyDescent="0.25">
      <c r="A2322" s="2" t="str" cm="1">
        <f t="array" ref="A2322">choice(Salles!A:A,1,Settings!$B$16)</f>
        <v>Salle64</v>
      </c>
      <c r="B2322" s="3" cm="1">
        <f t="array" ref="B2322">alea_date(Settings!$B$11,360,-1,Settings!$B$16)</f>
        <v>46341.458333333336</v>
      </c>
      <c r="C2322" s="20" cm="1">
        <f t="array" ref="C2322">B2322+TIME(alea_int(1,4,Settings!$B$16),0,0)</f>
        <v>46341.625</v>
      </c>
    </row>
    <row r="2323" spans="1:3" ht="15.75" customHeight="1" x14ac:dyDescent="0.25">
      <c r="A2323" s="2" t="str" cm="1">
        <f t="array" ref="A2323">choice(Salles!A:A,1,Settings!$B$16)</f>
        <v>Salle14</v>
      </c>
      <c r="B2323" s="3" cm="1">
        <f t="array" ref="B2323">alea_date(Settings!$B$11,360,-1,Settings!$B$16)</f>
        <v>46218.541666666664</v>
      </c>
      <c r="C2323" s="20" cm="1">
        <f t="array" ref="C2323">B2323+TIME(alea_int(1,4,Settings!$B$16),0,0)</f>
        <v>46218.708333333328</v>
      </c>
    </row>
    <row r="2324" spans="1:3" ht="15.75" customHeight="1" x14ac:dyDescent="0.25">
      <c r="A2324" s="2" t="str" cm="1">
        <f t="array" ref="A2324">choice(Salles!A:A,1,Settings!$B$16)</f>
        <v>Salle57</v>
      </c>
      <c r="B2324" s="3" cm="1">
        <f t="array" ref="B2324">alea_date(Settings!$B$11,360,-1,Settings!$B$16)</f>
        <v>46044.583333333336</v>
      </c>
      <c r="C2324" s="20" cm="1">
        <f t="array" ref="C2324">B2324+TIME(alea_int(1,4,Settings!$B$16),0,0)</f>
        <v>46044.75</v>
      </c>
    </row>
    <row r="2325" spans="1:3" ht="15.75" customHeight="1" x14ac:dyDescent="0.25">
      <c r="A2325" s="2" t="str" cm="1">
        <f t="array" ref="A2325">choice(Salles!A:A,1,Settings!$B$16)</f>
        <v>Salle47</v>
      </c>
      <c r="B2325" s="3" cm="1">
        <f t="array" ref="B2325">alea_date(Settings!$B$11,360,-1,Settings!$B$16)</f>
        <v>46258.416666666664</v>
      </c>
      <c r="C2325" s="20" cm="1">
        <f t="array" ref="C2325">B2325+TIME(alea_int(1,4,Settings!$B$16),0,0)</f>
        <v>46258.583333333328</v>
      </c>
    </row>
    <row r="2326" spans="1:3" ht="15.75" customHeight="1" x14ac:dyDescent="0.25">
      <c r="A2326" s="2" t="str" cm="1">
        <f t="array" ref="A2326">choice(Salles!A:A,1,Settings!$B$16)</f>
        <v>Salle51</v>
      </c>
      <c r="B2326" s="3" cm="1">
        <f t="array" ref="B2326">alea_date(Settings!$B$11,360,-1,Settings!$B$16)</f>
        <v>46112.375</v>
      </c>
      <c r="C2326" s="20" cm="1">
        <f t="array" ref="C2326">B2326+TIME(alea_int(1,4,Settings!$B$16),0,0)</f>
        <v>46112.541666666664</v>
      </c>
    </row>
    <row r="2327" spans="1:3" ht="15.75" customHeight="1" x14ac:dyDescent="0.25">
      <c r="A2327" s="2" t="str" cm="1">
        <f t="array" ref="A2327">choice(Salles!A:A,1,Settings!$B$16)</f>
        <v>Salle63</v>
      </c>
      <c r="B2327" s="3" cm="1">
        <f t="array" ref="B2327">alea_date(Settings!$B$11,360,-1,Settings!$B$16)</f>
        <v>46321.25</v>
      </c>
      <c r="C2327" s="20" cm="1">
        <f t="array" ref="C2327">B2327+TIME(alea_int(1,4,Settings!$B$16),0,0)</f>
        <v>46321.416666666664</v>
      </c>
    </row>
    <row r="2328" spans="1:3" ht="15.75" customHeight="1" x14ac:dyDescent="0.25">
      <c r="A2328" s="2" t="str" cm="1">
        <f t="array" ref="A2328">choice(Salles!A:A,1,Settings!$B$16)</f>
        <v>Salle53</v>
      </c>
      <c r="B2328" s="3" cm="1">
        <f t="array" ref="B2328">alea_date(Settings!$B$11,360,-1,Settings!$B$16)</f>
        <v>46050.25</v>
      </c>
      <c r="C2328" s="20" cm="1">
        <f t="array" ref="C2328">B2328+TIME(alea_int(1,4,Settings!$B$16),0,0)</f>
        <v>46050.416666666664</v>
      </c>
    </row>
    <row r="2329" spans="1:3" ht="15.75" customHeight="1" x14ac:dyDescent="0.25">
      <c r="A2329" s="2" t="str" cm="1">
        <f t="array" ref="A2329">choice(Salles!A:A,1,Settings!$B$16)</f>
        <v>Salle59</v>
      </c>
      <c r="B2329" s="3" cm="1">
        <f t="array" ref="B2329">alea_date(Settings!$B$11,360,-1,Settings!$B$16)</f>
        <v>46251.541666666664</v>
      </c>
      <c r="C2329" s="20" cm="1">
        <f t="array" ref="C2329">B2329+TIME(alea_int(1,4,Settings!$B$16),0,0)</f>
        <v>46251.708333333328</v>
      </c>
    </row>
    <row r="2330" spans="1:3" ht="15.75" customHeight="1" x14ac:dyDescent="0.25">
      <c r="A2330" s="2" t="str" cm="1">
        <f t="array" ref="A2330">choice(Salles!A:A,1,Settings!$B$16)</f>
        <v>Salle29</v>
      </c>
      <c r="B2330" s="3" cm="1">
        <f t="array" ref="B2330">alea_date(Settings!$B$11,360,-1,Settings!$B$16)</f>
        <v>46226.625</v>
      </c>
      <c r="C2330" s="20" cm="1">
        <f t="array" ref="C2330">B2330+TIME(alea_int(1,4,Settings!$B$16),0,0)</f>
        <v>46226.791666666664</v>
      </c>
    </row>
    <row r="2331" spans="1:3" ht="15.75" customHeight="1" x14ac:dyDescent="0.25">
      <c r="A2331" s="2" t="str" cm="1">
        <f t="array" ref="A2331">choice(Salles!A:A,1,Settings!$B$16)</f>
        <v>Salle50</v>
      </c>
      <c r="B2331" s="3" cm="1">
        <f t="array" ref="B2331">alea_date(Settings!$B$11,360,-1,Settings!$B$16)</f>
        <v>46319.333333333336</v>
      </c>
      <c r="C2331" s="20" cm="1">
        <f t="array" ref="C2331">B2331+TIME(alea_int(1,4,Settings!$B$16),0,0)</f>
        <v>46319.5</v>
      </c>
    </row>
    <row r="2332" spans="1:3" ht="15.75" customHeight="1" x14ac:dyDescent="0.25">
      <c r="A2332" s="2" t="str" cm="1">
        <f t="array" ref="A2332">choice(Salles!A:A,1,Settings!$B$16)</f>
        <v>Salle29</v>
      </c>
      <c r="B2332" s="3" cm="1">
        <f t="array" ref="B2332">alea_date(Settings!$B$11,360,-1,Settings!$B$16)</f>
        <v>46332.458333333336</v>
      </c>
      <c r="C2332" s="20" cm="1">
        <f t="array" ref="C2332">B2332+TIME(alea_int(1,4,Settings!$B$16),0,0)</f>
        <v>46332.625</v>
      </c>
    </row>
    <row r="2333" spans="1:3" ht="15.75" customHeight="1" x14ac:dyDescent="0.25">
      <c r="A2333" s="2" t="str" cm="1">
        <f t="array" ref="A2333">choice(Salles!A:A,1,Settings!$B$16)</f>
        <v>Salle61</v>
      </c>
      <c r="B2333" s="3" cm="1">
        <f t="array" ref="B2333">alea_date(Settings!$B$11,360,-1,Settings!$B$16)</f>
        <v>46351.291666666664</v>
      </c>
      <c r="C2333" s="20" cm="1">
        <f t="array" ref="C2333">B2333+TIME(alea_int(1,4,Settings!$B$16),0,0)</f>
        <v>46351.458333333328</v>
      </c>
    </row>
    <row r="2334" spans="1:3" ht="15.75" customHeight="1" x14ac:dyDescent="0.25">
      <c r="A2334" s="2" t="str" cm="1">
        <f t="array" ref="A2334">choice(Salles!A:A,1,Settings!$B$16)</f>
        <v>Salle61</v>
      </c>
      <c r="B2334" s="3" cm="1">
        <f t="array" ref="B2334">alea_date(Settings!$B$11,360,-1,Settings!$B$16)</f>
        <v>46238.5</v>
      </c>
      <c r="C2334" s="20" cm="1">
        <f t="array" ref="C2334">B2334+TIME(alea_int(1,4,Settings!$B$16),0,0)</f>
        <v>46238.666666666664</v>
      </c>
    </row>
    <row r="2335" spans="1:3" ht="15.75" customHeight="1" x14ac:dyDescent="0.25">
      <c r="A2335" s="2" t="str" cm="1">
        <f t="array" ref="A2335">choice(Salles!A:A,1,Settings!$B$16)</f>
        <v>Salle64</v>
      </c>
      <c r="B2335" s="3" cm="1">
        <f t="array" ref="B2335">alea_date(Settings!$B$11,360,-1,Settings!$B$16)</f>
        <v>46145.541666666664</v>
      </c>
      <c r="C2335" s="20" cm="1">
        <f t="array" ref="C2335">B2335+TIME(alea_int(1,4,Settings!$B$16),0,0)</f>
        <v>46145.708333333328</v>
      </c>
    </row>
    <row r="2336" spans="1:3" ht="15.75" customHeight="1" x14ac:dyDescent="0.25">
      <c r="A2336" s="2" t="str" cm="1">
        <f t="array" ref="A2336">choice(Salles!A:A,1,Settings!$B$16)</f>
        <v>Salle65</v>
      </c>
      <c r="B2336" s="3" cm="1">
        <f t="array" ref="B2336">alea_date(Settings!$B$11,360,-1,Settings!$B$16)</f>
        <v>46135.625</v>
      </c>
      <c r="C2336" s="20" cm="1">
        <f t="array" ref="C2336">B2336+TIME(alea_int(1,4,Settings!$B$16),0,0)</f>
        <v>46135.791666666664</v>
      </c>
    </row>
    <row r="2337" spans="1:3" ht="15.75" customHeight="1" x14ac:dyDescent="0.25">
      <c r="A2337" s="2" t="str" cm="1">
        <f t="array" ref="A2337">choice(Salles!A:A,1,Settings!$B$16)</f>
        <v>Salle12</v>
      </c>
      <c r="B2337" s="3" cm="1">
        <f t="array" ref="B2337">alea_date(Settings!$B$11,360,-1,Settings!$B$16)</f>
        <v>46233.333333333336</v>
      </c>
      <c r="C2337" s="20" cm="1">
        <f t="array" ref="C2337">B2337+TIME(alea_int(1,4,Settings!$B$16),0,0)</f>
        <v>46233.5</v>
      </c>
    </row>
    <row r="2338" spans="1:3" ht="15.75" customHeight="1" x14ac:dyDescent="0.25">
      <c r="A2338" s="2" t="str" cm="1">
        <f t="array" ref="A2338">choice(Salles!A:A,1,Settings!$B$16)</f>
        <v>Salle54</v>
      </c>
      <c r="B2338" s="3" cm="1">
        <f t="array" ref="B2338">alea_date(Settings!$B$11,360,-1,Settings!$B$16)</f>
        <v>46203.583333333336</v>
      </c>
      <c r="C2338" s="20" cm="1">
        <f t="array" ref="C2338">B2338+TIME(alea_int(1,4,Settings!$B$16),0,0)</f>
        <v>46203.75</v>
      </c>
    </row>
    <row r="2339" spans="1:3" ht="15.75" customHeight="1" x14ac:dyDescent="0.25">
      <c r="A2339" s="2" t="str" cm="1">
        <f t="array" ref="A2339">choice(Salles!A:A,1,Settings!$B$16)</f>
        <v>Salle22</v>
      </c>
      <c r="B2339" s="3" cm="1">
        <f t="array" ref="B2339">alea_date(Settings!$B$11,360,-1,Settings!$B$16)</f>
        <v>46239.25</v>
      </c>
      <c r="C2339" s="20" cm="1">
        <f t="array" ref="C2339">B2339+TIME(alea_int(1,4,Settings!$B$16),0,0)</f>
        <v>46239.416666666664</v>
      </c>
    </row>
    <row r="2340" spans="1:3" ht="15.75" customHeight="1" x14ac:dyDescent="0.25">
      <c r="A2340" s="2" t="str" cm="1">
        <f t="array" ref="A2340">choice(Salles!A:A,1,Settings!$B$16)</f>
        <v>Salle10</v>
      </c>
      <c r="B2340" s="3" cm="1">
        <f t="array" ref="B2340">alea_date(Settings!$B$11,360,-1,Settings!$B$16)</f>
        <v>46112.458333333336</v>
      </c>
      <c r="C2340" s="20" cm="1">
        <f t="array" ref="C2340">B2340+TIME(alea_int(1,4,Settings!$B$16),0,0)</f>
        <v>46112.625</v>
      </c>
    </row>
    <row r="2341" spans="1:3" ht="15.75" customHeight="1" x14ac:dyDescent="0.25">
      <c r="A2341" s="2" t="str" cm="1">
        <f t="array" ref="A2341">choice(Salles!A:A,1,Settings!$B$16)</f>
        <v>Salle55</v>
      </c>
      <c r="B2341" s="3" cm="1">
        <f t="array" ref="B2341">alea_date(Settings!$B$11,360,-1,Settings!$B$16)</f>
        <v>46365.375</v>
      </c>
      <c r="C2341" s="20" cm="1">
        <f t="array" ref="C2341">B2341+TIME(alea_int(1,4,Settings!$B$16),0,0)</f>
        <v>46365.541666666664</v>
      </c>
    </row>
    <row r="2342" spans="1:3" ht="15.75" customHeight="1" x14ac:dyDescent="0.25">
      <c r="A2342" s="2"/>
      <c r="B2342" s="3"/>
      <c r="C2342" s="20"/>
    </row>
    <row r="2343" spans="1:3" ht="15.75" customHeight="1" x14ac:dyDescent="0.25">
      <c r="A2343" s="2"/>
      <c r="B2343" s="3"/>
      <c r="C2343" s="20"/>
    </row>
    <row r="2344" spans="1:3" ht="15.75" customHeight="1" x14ac:dyDescent="0.25">
      <c r="A2344" s="2"/>
      <c r="B2344" s="3"/>
      <c r="C2344" s="20"/>
    </row>
    <row r="2345" spans="1:3" ht="15.75" customHeight="1" x14ac:dyDescent="0.25">
      <c r="A2345" s="2"/>
      <c r="B2345" s="3"/>
      <c r="C2345" s="20"/>
    </row>
    <row r="2346" spans="1:3" ht="15.75" customHeight="1" x14ac:dyDescent="0.25">
      <c r="A2346" s="2"/>
      <c r="B2346" s="3"/>
      <c r="C2346" s="20"/>
    </row>
    <row r="2347" spans="1:3" ht="15.75" customHeight="1" x14ac:dyDescent="0.25">
      <c r="A2347" s="2"/>
      <c r="B2347" s="3"/>
      <c r="C2347" s="20"/>
    </row>
    <row r="2348" spans="1:3" ht="15.75" customHeight="1" x14ac:dyDescent="0.25">
      <c r="A2348" s="2"/>
      <c r="B2348" s="3"/>
      <c r="C2348" s="20"/>
    </row>
    <row r="2349" spans="1:3" ht="15.75" customHeight="1" x14ac:dyDescent="0.25">
      <c r="A2349" s="2"/>
      <c r="B2349" s="3"/>
      <c r="C2349" s="20"/>
    </row>
    <row r="2350" spans="1:3" ht="15.75" customHeight="1" x14ac:dyDescent="0.25">
      <c r="A2350" s="2"/>
      <c r="B2350" s="3"/>
      <c r="C2350" s="20"/>
    </row>
    <row r="2351" spans="1:3" ht="15.75" customHeight="1" x14ac:dyDescent="0.25">
      <c r="A2351" s="2"/>
      <c r="B2351" s="3"/>
      <c r="C2351" s="20"/>
    </row>
    <row r="2352" spans="1:3" ht="15.75" customHeight="1" x14ac:dyDescent="0.25">
      <c r="A2352" s="2"/>
      <c r="B2352" s="3"/>
      <c r="C2352" s="20"/>
    </row>
    <row r="2353" spans="1:3" ht="15.75" customHeight="1" x14ac:dyDescent="0.25">
      <c r="A2353" s="2"/>
      <c r="B2353" s="3"/>
      <c r="C2353" s="20"/>
    </row>
    <row r="2354" spans="1:3" ht="15.75" customHeight="1" x14ac:dyDescent="0.25">
      <c r="A2354" s="2"/>
      <c r="B2354" s="3"/>
      <c r="C2354" s="20"/>
    </row>
    <row r="2355" spans="1:3" ht="15.75" customHeight="1" x14ac:dyDescent="0.25">
      <c r="A2355" s="2"/>
      <c r="B2355" s="3"/>
      <c r="C2355" s="20"/>
    </row>
    <row r="2356" spans="1:3" ht="15.75" customHeight="1" x14ac:dyDescent="0.25">
      <c r="A2356" s="2"/>
      <c r="B2356" s="3"/>
      <c r="C2356" s="20"/>
    </row>
    <row r="2357" spans="1:3" ht="15.75" customHeight="1" x14ac:dyDescent="0.25">
      <c r="A2357" s="2"/>
      <c r="B2357" s="3"/>
      <c r="C2357" s="20"/>
    </row>
    <row r="2358" spans="1:3" ht="15.75" customHeight="1" x14ac:dyDescent="0.25">
      <c r="A2358" s="2"/>
      <c r="B2358" s="3"/>
      <c r="C2358" s="20"/>
    </row>
    <row r="2359" spans="1:3" ht="15.75" customHeight="1" x14ac:dyDescent="0.25">
      <c r="A2359" s="2"/>
      <c r="B2359" s="3"/>
      <c r="C2359" s="20"/>
    </row>
    <row r="2360" spans="1:3" ht="15.75" customHeight="1" x14ac:dyDescent="0.25">
      <c r="A2360" s="2"/>
      <c r="B2360" s="3"/>
      <c r="C2360" s="20"/>
    </row>
    <row r="2361" spans="1:3" ht="15.75" customHeight="1" x14ac:dyDescent="0.25">
      <c r="A2361" s="2"/>
      <c r="B2361" s="3"/>
      <c r="C2361" s="20"/>
    </row>
    <row r="2362" spans="1:3" ht="15.75" customHeight="1" x14ac:dyDescent="0.25">
      <c r="A2362" s="2"/>
      <c r="B2362" s="3"/>
      <c r="C2362" s="20"/>
    </row>
    <row r="2363" spans="1:3" ht="15.75" customHeight="1" x14ac:dyDescent="0.25">
      <c r="A2363" s="2"/>
      <c r="B2363" s="3"/>
      <c r="C2363" s="20"/>
    </row>
    <row r="2364" spans="1:3" ht="15.75" customHeight="1" x14ac:dyDescent="0.25">
      <c r="A2364" s="2"/>
      <c r="B2364" s="3"/>
      <c r="C2364" s="20"/>
    </row>
    <row r="2365" spans="1:3" ht="15.75" customHeight="1" x14ac:dyDescent="0.25">
      <c r="A2365" s="2"/>
      <c r="B2365" s="3"/>
      <c r="C2365" s="20"/>
    </row>
    <row r="2366" spans="1:3" ht="15.75" customHeight="1" x14ac:dyDescent="0.25">
      <c r="A2366" s="2"/>
      <c r="B2366" s="3"/>
      <c r="C2366" s="20"/>
    </row>
    <row r="2367" spans="1:3" ht="15.75" customHeight="1" x14ac:dyDescent="0.25">
      <c r="A2367" s="2"/>
      <c r="B2367" s="3"/>
      <c r="C2367" s="20"/>
    </row>
    <row r="2368" spans="1:3" ht="15.75" customHeight="1" x14ac:dyDescent="0.25">
      <c r="A2368" s="2"/>
      <c r="B2368" s="3"/>
      <c r="C2368" s="20"/>
    </row>
    <row r="2369" spans="1:3" ht="15.75" customHeight="1" x14ac:dyDescent="0.25">
      <c r="A2369" s="2"/>
      <c r="B2369" s="3"/>
      <c r="C2369" s="20"/>
    </row>
    <row r="2370" spans="1:3" ht="15.75" customHeight="1" x14ac:dyDescent="0.25">
      <c r="A2370" s="2"/>
      <c r="B2370" s="3"/>
      <c r="C2370" s="20"/>
    </row>
    <row r="2371" spans="1:3" ht="15.75" customHeight="1" x14ac:dyDescent="0.25">
      <c r="A2371" s="2"/>
      <c r="B2371" s="3"/>
      <c r="C2371" s="20"/>
    </row>
    <row r="2372" spans="1:3" ht="15.75" customHeight="1" x14ac:dyDescent="0.25">
      <c r="A2372" s="2"/>
      <c r="B2372" s="3"/>
      <c r="C2372" s="20"/>
    </row>
    <row r="2373" spans="1:3" ht="15.75" customHeight="1" x14ac:dyDescent="0.25">
      <c r="A2373" s="2"/>
      <c r="B2373" s="3"/>
      <c r="C2373" s="20"/>
    </row>
    <row r="2374" spans="1:3" ht="15.75" customHeight="1" x14ac:dyDescent="0.25">
      <c r="A2374" s="2"/>
      <c r="B2374" s="3"/>
      <c r="C2374" s="20"/>
    </row>
    <row r="2375" spans="1:3" ht="15.75" customHeight="1" x14ac:dyDescent="0.25">
      <c r="A2375" s="2"/>
      <c r="B2375" s="3"/>
      <c r="C2375" s="20"/>
    </row>
    <row r="2376" spans="1:3" ht="15.75" customHeight="1" x14ac:dyDescent="0.25">
      <c r="A2376" s="2"/>
      <c r="B2376" s="3"/>
      <c r="C2376" s="20"/>
    </row>
    <row r="2377" spans="1:3" ht="15.75" customHeight="1" x14ac:dyDescent="0.25">
      <c r="A2377" s="2"/>
      <c r="B2377" s="3"/>
      <c r="C2377" s="20"/>
    </row>
    <row r="2378" spans="1:3" ht="15.75" customHeight="1" x14ac:dyDescent="0.25">
      <c r="A2378" s="2"/>
      <c r="B2378" s="3"/>
      <c r="C2378" s="20"/>
    </row>
    <row r="2379" spans="1:3" ht="15.75" customHeight="1" x14ac:dyDescent="0.25">
      <c r="A2379" s="2"/>
      <c r="B2379" s="3"/>
      <c r="C2379" s="20"/>
    </row>
    <row r="2380" spans="1:3" ht="15.75" customHeight="1" x14ac:dyDescent="0.25">
      <c r="A2380" s="2"/>
      <c r="B2380" s="3"/>
      <c r="C2380" s="20"/>
    </row>
    <row r="2381" spans="1:3" ht="15.75" customHeight="1" x14ac:dyDescent="0.25">
      <c r="A2381" s="2"/>
      <c r="B2381" s="3"/>
      <c r="C2381" s="20"/>
    </row>
    <row r="2382" spans="1:3" ht="15.75" customHeight="1" x14ac:dyDescent="0.25">
      <c r="A2382" s="2"/>
      <c r="B2382" s="3"/>
      <c r="C2382" s="20"/>
    </row>
    <row r="2383" spans="1:3" ht="15.75" customHeight="1" x14ac:dyDescent="0.25">
      <c r="A2383" s="2"/>
      <c r="B2383" s="3"/>
      <c r="C2383" s="20"/>
    </row>
    <row r="2384" spans="1:3" ht="15.75" customHeight="1" x14ac:dyDescent="0.25">
      <c r="A2384" s="2"/>
      <c r="B2384" s="3"/>
      <c r="C2384" s="20"/>
    </row>
    <row r="2385" spans="1:3" ht="15.75" customHeight="1" x14ac:dyDescent="0.25">
      <c r="A2385" s="2"/>
      <c r="B2385" s="3"/>
      <c r="C2385" s="20"/>
    </row>
    <row r="2386" spans="1:3" ht="15.75" customHeight="1" x14ac:dyDescent="0.25">
      <c r="A2386" s="2"/>
      <c r="B2386" s="3"/>
      <c r="C2386" s="20"/>
    </row>
    <row r="2387" spans="1:3" ht="15.75" customHeight="1" x14ac:dyDescent="0.25">
      <c r="A2387" s="2"/>
      <c r="B2387" s="3"/>
      <c r="C2387" s="20"/>
    </row>
    <row r="2388" spans="1:3" ht="15.75" customHeight="1" x14ac:dyDescent="0.25">
      <c r="A2388" s="2"/>
      <c r="B2388" s="3"/>
      <c r="C2388" s="20"/>
    </row>
    <row r="2389" spans="1:3" ht="15.75" customHeight="1" x14ac:dyDescent="0.25">
      <c r="A2389" s="2"/>
      <c r="B2389" s="3"/>
      <c r="C2389" s="20"/>
    </row>
    <row r="2390" spans="1:3" ht="15.75" customHeight="1" x14ac:dyDescent="0.25">
      <c r="A2390" s="2"/>
      <c r="B2390" s="3"/>
      <c r="C2390" s="20"/>
    </row>
    <row r="2391" spans="1:3" ht="15.75" customHeight="1" x14ac:dyDescent="0.25">
      <c r="A2391" s="2"/>
      <c r="B2391" s="3"/>
      <c r="C2391" s="20"/>
    </row>
    <row r="2392" spans="1:3" ht="15.75" customHeight="1" x14ac:dyDescent="0.25">
      <c r="A2392" s="2"/>
      <c r="B2392" s="3"/>
      <c r="C2392" s="20"/>
    </row>
    <row r="2393" spans="1:3" ht="15.75" customHeight="1" x14ac:dyDescent="0.25">
      <c r="A2393" s="2"/>
      <c r="B2393" s="3"/>
      <c r="C2393" s="20"/>
    </row>
    <row r="2394" spans="1:3" ht="15.75" customHeight="1" x14ac:dyDescent="0.25">
      <c r="A2394" s="2"/>
      <c r="B2394" s="3"/>
      <c r="C2394" s="20"/>
    </row>
    <row r="2395" spans="1:3" ht="15.75" customHeight="1" x14ac:dyDescent="0.25">
      <c r="A2395" s="2"/>
      <c r="B2395" s="3"/>
      <c r="C2395" s="20"/>
    </row>
    <row r="2396" spans="1:3" ht="15.75" customHeight="1" x14ac:dyDescent="0.25">
      <c r="A2396" s="2"/>
      <c r="B2396" s="3"/>
      <c r="C2396" s="20"/>
    </row>
    <row r="2397" spans="1:3" ht="15.75" customHeight="1" x14ac:dyDescent="0.25">
      <c r="A2397" s="2"/>
      <c r="B2397" s="3"/>
      <c r="C2397" s="20"/>
    </row>
    <row r="2398" spans="1:3" ht="15.75" customHeight="1" x14ac:dyDescent="0.25">
      <c r="A2398" s="2"/>
      <c r="B2398" s="3"/>
      <c r="C2398" s="20"/>
    </row>
    <row r="2399" spans="1:3" ht="15.75" customHeight="1" x14ac:dyDescent="0.25">
      <c r="A2399" s="2"/>
      <c r="B2399" s="3"/>
      <c r="C2399" s="20"/>
    </row>
    <row r="2400" spans="1:3" ht="15.75" customHeight="1" x14ac:dyDescent="0.25">
      <c r="A2400" s="2"/>
      <c r="B2400" s="3"/>
      <c r="C2400" s="20"/>
    </row>
    <row r="2401" spans="1:3" ht="15.75" customHeight="1" x14ac:dyDescent="0.25">
      <c r="A2401" s="2"/>
      <c r="B2401" s="3"/>
      <c r="C2401" s="20"/>
    </row>
    <row r="2402" spans="1:3" ht="15.75" customHeight="1" x14ac:dyDescent="0.25">
      <c r="A2402" s="2"/>
      <c r="B2402" s="3"/>
      <c r="C2402" s="20"/>
    </row>
    <row r="2403" spans="1:3" ht="15.75" customHeight="1" x14ac:dyDescent="0.25">
      <c r="A2403" s="2"/>
      <c r="B2403" s="3"/>
      <c r="C2403" s="20"/>
    </row>
    <row r="2404" spans="1:3" ht="15.75" customHeight="1" x14ac:dyDescent="0.25">
      <c r="A2404" s="2"/>
      <c r="B2404" s="3"/>
      <c r="C2404" s="20"/>
    </row>
    <row r="2405" spans="1:3" ht="15.75" customHeight="1" x14ac:dyDescent="0.25">
      <c r="A2405" s="2"/>
      <c r="B2405" s="3"/>
      <c r="C2405" s="20"/>
    </row>
    <row r="2406" spans="1:3" ht="15.75" customHeight="1" x14ac:dyDescent="0.25">
      <c r="A2406" s="2"/>
      <c r="B2406" s="3"/>
      <c r="C2406" s="20"/>
    </row>
    <row r="2407" spans="1:3" ht="15.75" customHeight="1" x14ac:dyDescent="0.25">
      <c r="A2407" s="2"/>
      <c r="B2407" s="3"/>
      <c r="C2407" s="20"/>
    </row>
    <row r="2408" spans="1:3" ht="15.75" customHeight="1" x14ac:dyDescent="0.25">
      <c r="A2408" s="2"/>
      <c r="B2408" s="3"/>
      <c r="C2408" s="20"/>
    </row>
    <row r="2409" spans="1:3" ht="15.75" customHeight="1" x14ac:dyDescent="0.25">
      <c r="A2409" s="2"/>
      <c r="B2409" s="3"/>
      <c r="C2409" s="20"/>
    </row>
    <row r="2410" spans="1:3" ht="15.75" customHeight="1" x14ac:dyDescent="0.25">
      <c r="A2410" s="2"/>
      <c r="B2410" s="3"/>
      <c r="C2410" s="20"/>
    </row>
    <row r="2411" spans="1:3" ht="15.75" customHeight="1" x14ac:dyDescent="0.25">
      <c r="A2411" s="2"/>
      <c r="B2411" s="3"/>
      <c r="C2411" s="20"/>
    </row>
    <row r="2412" spans="1:3" ht="15.75" customHeight="1" x14ac:dyDescent="0.25">
      <c r="A2412" s="2"/>
      <c r="B2412" s="3"/>
      <c r="C2412" s="20"/>
    </row>
    <row r="2413" spans="1:3" ht="15.75" customHeight="1" x14ac:dyDescent="0.25">
      <c r="A2413" s="2"/>
      <c r="B2413" s="3"/>
      <c r="C2413" s="20"/>
    </row>
    <row r="2414" spans="1:3" ht="15.75" customHeight="1" x14ac:dyDescent="0.25">
      <c r="A2414" s="2"/>
      <c r="B2414" s="3"/>
      <c r="C2414" s="20"/>
    </row>
    <row r="2415" spans="1:3" ht="15.75" customHeight="1" x14ac:dyDescent="0.25">
      <c r="A2415" s="2"/>
      <c r="B2415" s="3"/>
      <c r="C2415" s="20"/>
    </row>
    <row r="2416" spans="1:3" ht="15.75" customHeight="1" x14ac:dyDescent="0.25">
      <c r="A2416" s="2"/>
      <c r="B2416" s="3"/>
      <c r="C2416" s="20"/>
    </row>
    <row r="2417" spans="1:3" ht="15.75" customHeight="1" x14ac:dyDescent="0.25">
      <c r="A2417" s="2"/>
      <c r="B2417" s="3"/>
      <c r="C2417" s="20"/>
    </row>
    <row r="2418" spans="1:3" ht="15.75" customHeight="1" x14ac:dyDescent="0.25">
      <c r="A2418" s="2"/>
      <c r="B2418" s="3"/>
      <c r="C2418" s="20"/>
    </row>
    <row r="2419" spans="1:3" ht="15.75" customHeight="1" x14ac:dyDescent="0.25">
      <c r="A2419" s="2"/>
      <c r="B2419" s="3"/>
      <c r="C2419" s="20"/>
    </row>
    <row r="2420" spans="1:3" ht="15.75" customHeight="1" x14ac:dyDescent="0.25">
      <c r="A2420" s="2"/>
      <c r="B2420" s="3"/>
      <c r="C2420" s="20"/>
    </row>
    <row r="2421" spans="1:3" ht="15.75" customHeight="1" x14ac:dyDescent="0.25">
      <c r="A2421" s="2"/>
      <c r="B2421" s="3"/>
      <c r="C2421" s="20"/>
    </row>
    <row r="2422" spans="1:3" ht="15.75" customHeight="1" x14ac:dyDescent="0.25">
      <c r="A2422" s="2"/>
      <c r="B2422" s="3"/>
      <c r="C2422" s="20"/>
    </row>
    <row r="2423" spans="1:3" ht="15.75" customHeight="1" x14ac:dyDescent="0.25">
      <c r="A2423" s="2"/>
      <c r="B2423" s="3"/>
      <c r="C2423" s="20"/>
    </row>
    <row r="2424" spans="1:3" ht="15.75" customHeight="1" x14ac:dyDescent="0.25">
      <c r="A2424" s="2"/>
      <c r="B2424" s="3"/>
      <c r="C2424" s="20"/>
    </row>
    <row r="2425" spans="1:3" ht="15.75" customHeight="1" x14ac:dyDescent="0.25">
      <c r="A2425" s="2"/>
      <c r="B2425" s="3"/>
      <c r="C2425" s="20"/>
    </row>
    <row r="2426" spans="1:3" ht="15.75" customHeight="1" x14ac:dyDescent="0.25">
      <c r="A2426" s="2"/>
      <c r="B2426" s="3"/>
      <c r="C2426" s="20"/>
    </row>
    <row r="2427" spans="1:3" ht="15.75" customHeight="1" x14ac:dyDescent="0.25">
      <c r="A2427" s="2"/>
      <c r="B2427" s="3"/>
      <c r="C2427" s="20"/>
    </row>
    <row r="2428" spans="1:3" ht="15.75" customHeight="1" x14ac:dyDescent="0.25">
      <c r="A2428" s="2"/>
      <c r="B2428" s="3"/>
      <c r="C2428" s="20"/>
    </row>
    <row r="2429" spans="1:3" ht="15.75" customHeight="1" x14ac:dyDescent="0.25">
      <c r="A2429" s="2"/>
      <c r="B2429" s="3"/>
      <c r="C2429" s="20"/>
    </row>
    <row r="2430" spans="1:3" ht="15.75" customHeight="1" x14ac:dyDescent="0.25">
      <c r="A2430" s="2"/>
      <c r="B2430" s="3"/>
      <c r="C2430" s="20"/>
    </row>
    <row r="2431" spans="1:3" ht="15.75" customHeight="1" x14ac:dyDescent="0.25">
      <c r="A2431" s="2"/>
      <c r="B2431" s="3"/>
      <c r="C2431" s="20"/>
    </row>
    <row r="2432" spans="1:3" ht="15.75" customHeight="1" x14ac:dyDescent="0.25">
      <c r="A2432" s="2"/>
      <c r="B2432" s="3"/>
      <c r="C2432" s="20"/>
    </row>
    <row r="2433" spans="1:3" ht="15.75" customHeight="1" x14ac:dyDescent="0.25">
      <c r="A2433" s="2"/>
      <c r="B2433" s="3"/>
      <c r="C2433" s="20"/>
    </row>
    <row r="2434" spans="1:3" ht="15.75" customHeight="1" x14ac:dyDescent="0.25">
      <c r="A2434" s="2"/>
      <c r="B2434" s="3"/>
      <c r="C2434" s="20"/>
    </row>
    <row r="2435" spans="1:3" ht="15.75" customHeight="1" x14ac:dyDescent="0.25">
      <c r="A2435" s="2"/>
      <c r="B2435" s="3"/>
      <c r="C2435" s="20"/>
    </row>
    <row r="2436" spans="1:3" ht="15.75" customHeight="1" x14ac:dyDescent="0.25">
      <c r="A2436" s="2"/>
      <c r="B2436" s="3"/>
      <c r="C2436" s="20"/>
    </row>
    <row r="2437" spans="1:3" ht="15.75" customHeight="1" x14ac:dyDescent="0.25">
      <c r="A2437" s="2"/>
      <c r="B2437" s="3"/>
      <c r="C2437" s="20"/>
    </row>
    <row r="2438" spans="1:3" ht="15.75" customHeight="1" x14ac:dyDescent="0.25">
      <c r="A2438" s="2"/>
      <c r="B2438" s="3"/>
      <c r="C2438" s="20"/>
    </row>
    <row r="2439" spans="1:3" ht="15.75" customHeight="1" x14ac:dyDescent="0.25">
      <c r="A2439" s="2"/>
      <c r="B2439" s="3"/>
      <c r="C2439" s="20"/>
    </row>
    <row r="2440" spans="1:3" ht="15.75" customHeight="1" x14ac:dyDescent="0.25">
      <c r="A2440" s="2"/>
      <c r="B2440" s="3"/>
      <c r="C2440" s="20"/>
    </row>
    <row r="2441" spans="1:3" ht="15.75" customHeight="1" x14ac:dyDescent="0.25">
      <c r="A2441" s="2"/>
      <c r="B2441" s="3"/>
      <c r="C2441" s="20"/>
    </row>
    <row r="2442" spans="1:3" ht="15.75" customHeight="1" x14ac:dyDescent="0.25">
      <c r="A2442" s="2"/>
      <c r="B2442" s="3"/>
      <c r="C2442" s="20"/>
    </row>
    <row r="2443" spans="1:3" ht="15.75" customHeight="1" x14ac:dyDescent="0.25">
      <c r="A2443" s="2"/>
      <c r="B2443" s="3"/>
      <c r="C2443" s="20"/>
    </row>
    <row r="2444" spans="1:3" ht="15.75" customHeight="1" x14ac:dyDescent="0.25">
      <c r="A2444" s="2"/>
      <c r="B2444" s="3"/>
      <c r="C2444" s="20"/>
    </row>
    <row r="2445" spans="1:3" ht="15.75" customHeight="1" x14ac:dyDescent="0.25">
      <c r="A2445" s="2"/>
      <c r="B2445" s="3"/>
      <c r="C2445" s="20"/>
    </row>
    <row r="2446" spans="1:3" ht="15.75" customHeight="1" x14ac:dyDescent="0.25">
      <c r="A2446" s="2"/>
      <c r="B2446" s="3"/>
      <c r="C2446" s="20"/>
    </row>
    <row r="2447" spans="1:3" ht="15.75" customHeight="1" x14ac:dyDescent="0.25">
      <c r="A2447" s="2"/>
      <c r="B2447" s="3"/>
      <c r="C2447" s="20"/>
    </row>
    <row r="2448" spans="1:3" ht="15.75" customHeight="1" x14ac:dyDescent="0.25">
      <c r="A2448" s="2"/>
      <c r="B2448" s="3"/>
      <c r="C2448" s="20"/>
    </row>
    <row r="2449" spans="1:3" ht="15.75" customHeight="1" x14ac:dyDescent="0.25">
      <c r="A2449" s="2"/>
      <c r="B2449" s="3"/>
      <c r="C2449" s="20"/>
    </row>
    <row r="2450" spans="1:3" ht="15.75" customHeight="1" x14ac:dyDescent="0.25">
      <c r="A2450" s="2"/>
      <c r="B2450" s="3"/>
      <c r="C2450" s="20"/>
    </row>
    <row r="2451" spans="1:3" ht="15.75" customHeight="1" x14ac:dyDescent="0.25">
      <c r="A2451" s="2"/>
      <c r="B2451" s="3"/>
      <c r="C2451" s="20"/>
    </row>
    <row r="2452" spans="1:3" ht="15.75" customHeight="1" x14ac:dyDescent="0.25">
      <c r="A2452" s="2"/>
      <c r="B2452" s="3"/>
      <c r="C2452" s="20"/>
    </row>
    <row r="2453" spans="1:3" ht="15.75" customHeight="1" x14ac:dyDescent="0.25">
      <c r="A2453" s="2"/>
      <c r="B2453" s="3"/>
      <c r="C2453" s="20"/>
    </row>
    <row r="2454" spans="1:3" ht="15.75" customHeight="1" x14ac:dyDescent="0.25">
      <c r="A2454" s="2"/>
      <c r="B2454" s="3"/>
      <c r="C2454" s="20"/>
    </row>
    <row r="2455" spans="1:3" ht="15.75" customHeight="1" x14ac:dyDescent="0.25">
      <c r="A2455" s="2"/>
      <c r="B2455" s="3"/>
      <c r="C2455" s="20"/>
    </row>
    <row r="2456" spans="1:3" ht="15.75" customHeight="1" x14ac:dyDescent="0.25">
      <c r="A2456" s="2"/>
      <c r="B2456" s="3"/>
      <c r="C2456" s="20"/>
    </row>
    <row r="2457" spans="1:3" ht="15.75" customHeight="1" x14ac:dyDescent="0.25">
      <c r="A2457" s="2"/>
      <c r="B2457" s="3"/>
      <c r="C2457" s="20"/>
    </row>
    <row r="2458" spans="1:3" ht="15.75" customHeight="1" x14ac:dyDescent="0.25">
      <c r="A2458" s="2"/>
      <c r="B2458" s="3"/>
      <c r="C2458" s="20"/>
    </row>
    <row r="2459" spans="1:3" ht="15.75" customHeight="1" x14ac:dyDescent="0.25">
      <c r="A2459" s="2"/>
      <c r="B2459" s="3"/>
      <c r="C2459" s="20"/>
    </row>
    <row r="2460" spans="1:3" ht="15.75" customHeight="1" x14ac:dyDescent="0.25">
      <c r="A2460" s="2"/>
      <c r="B2460" s="3"/>
      <c r="C2460" s="20"/>
    </row>
    <row r="2461" spans="1:3" ht="15.75" customHeight="1" x14ac:dyDescent="0.25">
      <c r="A2461" s="2"/>
      <c r="B2461" s="3"/>
      <c r="C2461" s="20"/>
    </row>
    <row r="2462" spans="1:3" ht="15.75" customHeight="1" x14ac:dyDescent="0.25">
      <c r="A2462" s="2"/>
      <c r="B2462" s="3"/>
      <c r="C2462" s="20"/>
    </row>
    <row r="2463" spans="1:3" ht="15.75" customHeight="1" x14ac:dyDescent="0.25">
      <c r="A2463" s="2"/>
      <c r="B2463" s="3"/>
      <c r="C2463" s="20"/>
    </row>
    <row r="2464" spans="1:3" ht="15.75" customHeight="1" x14ac:dyDescent="0.25">
      <c r="A2464" s="2"/>
      <c r="B2464" s="3"/>
      <c r="C2464" s="20"/>
    </row>
    <row r="2465" spans="1:3" ht="15.75" customHeight="1" x14ac:dyDescent="0.25">
      <c r="A2465" s="2"/>
      <c r="B2465" s="3"/>
      <c r="C2465" s="20"/>
    </row>
    <row r="2466" spans="1:3" ht="15.75" customHeight="1" x14ac:dyDescent="0.25">
      <c r="A2466" s="2"/>
      <c r="B2466" s="3"/>
      <c r="C2466" s="20"/>
    </row>
    <row r="2467" spans="1:3" ht="15.75" customHeight="1" x14ac:dyDescent="0.25">
      <c r="A2467" s="2"/>
      <c r="B2467" s="3"/>
      <c r="C2467" s="20"/>
    </row>
    <row r="2468" spans="1:3" ht="15.75" customHeight="1" x14ac:dyDescent="0.25">
      <c r="A2468" s="2"/>
      <c r="B2468" s="3"/>
      <c r="C2468" s="20"/>
    </row>
    <row r="2469" spans="1:3" ht="15.75" customHeight="1" x14ac:dyDescent="0.25">
      <c r="A2469" s="2"/>
      <c r="B2469" s="3"/>
      <c r="C2469" s="20"/>
    </row>
    <row r="2470" spans="1:3" ht="15.75" customHeight="1" x14ac:dyDescent="0.25">
      <c r="A2470" s="2"/>
      <c r="B2470" s="3"/>
      <c r="C2470" s="20"/>
    </row>
    <row r="2471" spans="1:3" ht="15.75" customHeight="1" x14ac:dyDescent="0.25">
      <c r="A2471" s="2"/>
      <c r="B2471" s="3"/>
      <c r="C2471" s="20"/>
    </row>
    <row r="2472" spans="1:3" ht="15.75" customHeight="1" x14ac:dyDescent="0.25">
      <c r="A2472" s="2"/>
      <c r="B2472" s="3"/>
      <c r="C2472" s="20"/>
    </row>
    <row r="2473" spans="1:3" ht="15.75" customHeight="1" x14ac:dyDescent="0.25">
      <c r="A2473" s="2"/>
      <c r="B2473" s="3"/>
      <c r="C2473" s="20"/>
    </row>
    <row r="2474" spans="1:3" ht="15.75" customHeight="1" x14ac:dyDescent="0.25">
      <c r="A2474" s="2"/>
      <c r="B2474" s="3"/>
      <c r="C2474" s="20"/>
    </row>
    <row r="2475" spans="1:3" ht="15.75" customHeight="1" x14ac:dyDescent="0.25">
      <c r="A2475" s="2"/>
      <c r="B2475" s="3"/>
      <c r="C2475" s="20"/>
    </row>
    <row r="2476" spans="1:3" ht="15.75" customHeight="1" x14ac:dyDescent="0.25">
      <c r="A2476" s="2"/>
      <c r="B2476" s="3"/>
      <c r="C2476" s="20"/>
    </row>
    <row r="2477" spans="1:3" ht="15.75" customHeight="1" x14ac:dyDescent="0.25">
      <c r="A2477" s="2"/>
      <c r="B2477" s="3"/>
      <c r="C2477" s="20"/>
    </row>
    <row r="2478" spans="1:3" ht="15.75" customHeight="1" x14ac:dyDescent="0.25">
      <c r="A2478" s="2"/>
      <c r="B2478" s="3"/>
      <c r="C2478" s="20"/>
    </row>
    <row r="2479" spans="1:3" ht="15.75" customHeight="1" x14ac:dyDescent="0.25">
      <c r="A2479" s="2"/>
      <c r="B2479" s="3"/>
      <c r="C2479" s="20"/>
    </row>
    <row r="2480" spans="1:3" ht="15.75" customHeight="1" x14ac:dyDescent="0.25">
      <c r="A2480" s="2"/>
      <c r="B2480" s="3"/>
      <c r="C2480" s="20"/>
    </row>
    <row r="2481" spans="1:3" ht="15.75" customHeight="1" x14ac:dyDescent="0.25">
      <c r="A2481" s="2"/>
      <c r="B2481" s="3"/>
      <c r="C2481" s="20"/>
    </row>
    <row r="2482" spans="1:3" ht="15.75" customHeight="1" x14ac:dyDescent="0.25">
      <c r="A2482" s="2"/>
      <c r="B2482" s="3"/>
      <c r="C2482" s="20"/>
    </row>
    <row r="2483" spans="1:3" ht="15.75" customHeight="1" x14ac:dyDescent="0.25">
      <c r="A2483" s="2"/>
      <c r="B2483" s="3"/>
      <c r="C2483" s="20"/>
    </row>
    <row r="2484" spans="1:3" ht="15.75" customHeight="1" x14ac:dyDescent="0.25">
      <c r="A2484" s="2"/>
      <c r="B2484" s="3"/>
      <c r="C2484" s="20"/>
    </row>
    <row r="2485" spans="1:3" ht="15.75" customHeight="1" x14ac:dyDescent="0.25">
      <c r="A2485" s="2"/>
      <c r="B2485" s="3"/>
      <c r="C2485" s="20"/>
    </row>
    <row r="2486" spans="1:3" ht="15.75" customHeight="1" x14ac:dyDescent="0.25">
      <c r="A2486" s="2"/>
      <c r="B2486" s="3"/>
      <c r="C2486" s="20"/>
    </row>
    <row r="2487" spans="1:3" ht="15.75" customHeight="1" x14ac:dyDescent="0.25">
      <c r="A2487" s="2"/>
      <c r="B2487" s="3"/>
      <c r="C2487" s="20"/>
    </row>
    <row r="2488" spans="1:3" ht="15.75" customHeight="1" x14ac:dyDescent="0.25">
      <c r="A2488" s="2"/>
      <c r="B2488" s="3"/>
      <c r="C2488" s="20"/>
    </row>
    <row r="2489" spans="1:3" ht="15.75" customHeight="1" x14ac:dyDescent="0.25">
      <c r="A2489" s="2"/>
      <c r="B2489" s="3"/>
      <c r="C2489" s="20"/>
    </row>
    <row r="2490" spans="1:3" ht="15.75" customHeight="1" x14ac:dyDescent="0.25">
      <c r="A2490" s="2"/>
      <c r="B2490" s="3"/>
      <c r="C2490" s="20"/>
    </row>
    <row r="2491" spans="1:3" ht="15.75" customHeight="1" x14ac:dyDescent="0.25">
      <c r="A2491" s="2"/>
      <c r="B2491" s="3"/>
      <c r="C2491" s="20"/>
    </row>
    <row r="2492" spans="1:3" ht="15.75" customHeight="1" x14ac:dyDescent="0.25">
      <c r="A2492" s="2"/>
      <c r="B2492" s="3"/>
      <c r="C2492" s="20"/>
    </row>
    <row r="2493" spans="1:3" ht="15.75" customHeight="1" x14ac:dyDescent="0.25">
      <c r="A2493" s="2"/>
      <c r="B2493" s="3"/>
      <c r="C2493" s="20"/>
    </row>
    <row r="2494" spans="1:3" ht="15.75" customHeight="1" x14ac:dyDescent="0.25">
      <c r="A2494" s="2"/>
      <c r="B2494" s="3"/>
      <c r="C2494" s="20"/>
    </row>
    <row r="2495" spans="1:3" ht="15.75" customHeight="1" x14ac:dyDescent="0.25">
      <c r="A2495" s="2"/>
      <c r="B2495" s="3"/>
      <c r="C2495" s="20"/>
    </row>
    <row r="2496" spans="1:3" ht="15.75" customHeight="1" x14ac:dyDescent="0.25">
      <c r="A2496" s="2"/>
      <c r="B2496" s="3"/>
      <c r="C2496" s="20"/>
    </row>
    <row r="2497" spans="1:3" ht="15.75" customHeight="1" x14ac:dyDescent="0.25">
      <c r="A2497" s="2"/>
      <c r="B2497" s="3"/>
      <c r="C2497" s="20"/>
    </row>
    <row r="2498" spans="1:3" ht="15.75" customHeight="1" x14ac:dyDescent="0.25">
      <c r="A2498" s="2"/>
      <c r="B2498" s="3"/>
      <c r="C2498" s="20"/>
    </row>
    <row r="2499" spans="1:3" ht="15.75" customHeight="1" x14ac:dyDescent="0.25">
      <c r="A2499" s="2"/>
      <c r="B2499" s="3"/>
      <c r="C2499" s="20"/>
    </row>
    <row r="2500" spans="1:3" ht="15.75" customHeight="1" x14ac:dyDescent="0.25">
      <c r="A2500" s="2"/>
      <c r="B2500" s="3"/>
      <c r="C2500" s="20"/>
    </row>
    <row r="2501" spans="1:3" ht="15.75" customHeight="1" x14ac:dyDescent="0.25">
      <c r="A2501" s="2"/>
      <c r="B2501" s="3"/>
      <c r="C2501" s="20"/>
    </row>
    <row r="2502" spans="1:3" ht="15.75" customHeight="1" x14ac:dyDescent="0.25">
      <c r="A2502" s="2"/>
      <c r="B2502" s="3"/>
      <c r="C2502" s="20"/>
    </row>
    <row r="2503" spans="1:3" ht="15.75" customHeight="1" x14ac:dyDescent="0.25">
      <c r="A2503" s="2"/>
      <c r="B2503" s="3"/>
      <c r="C2503" s="20"/>
    </row>
    <row r="2504" spans="1:3" ht="15.75" customHeight="1" x14ac:dyDescent="0.25">
      <c r="A2504" s="2"/>
      <c r="B2504" s="3"/>
      <c r="C2504" s="20"/>
    </row>
    <row r="2505" spans="1:3" ht="15.75" customHeight="1" x14ac:dyDescent="0.25">
      <c r="A2505" s="2"/>
      <c r="B2505" s="3"/>
      <c r="C2505" s="20"/>
    </row>
    <row r="2506" spans="1:3" ht="15.75" customHeight="1" x14ac:dyDescent="0.25">
      <c r="A2506" s="2"/>
      <c r="B2506" s="3"/>
      <c r="C2506" s="20"/>
    </row>
    <row r="2507" spans="1:3" ht="15.75" customHeight="1" x14ac:dyDescent="0.25">
      <c r="A2507" s="2"/>
      <c r="B2507" s="3"/>
      <c r="C2507" s="20"/>
    </row>
    <row r="2508" spans="1:3" ht="15.75" customHeight="1" x14ac:dyDescent="0.25">
      <c r="A2508" s="2"/>
      <c r="B2508" s="3"/>
      <c r="C2508" s="20"/>
    </row>
    <row r="2509" spans="1:3" ht="15.75" customHeight="1" x14ac:dyDescent="0.25">
      <c r="A2509" s="2"/>
      <c r="B2509" s="3"/>
      <c r="C2509" s="20"/>
    </row>
    <row r="2510" spans="1:3" ht="15.75" customHeight="1" x14ac:dyDescent="0.25">
      <c r="A2510" s="2"/>
      <c r="B2510" s="3"/>
      <c r="C2510" s="20"/>
    </row>
    <row r="2511" spans="1:3" ht="15.75" customHeight="1" x14ac:dyDescent="0.25">
      <c r="A2511" s="2"/>
      <c r="B2511" s="3"/>
      <c r="C2511" s="20"/>
    </row>
    <row r="2512" spans="1:3" ht="15.75" customHeight="1" x14ac:dyDescent="0.25">
      <c r="A2512" s="2"/>
      <c r="B2512" s="3"/>
      <c r="C2512" s="20"/>
    </row>
    <row r="2513" spans="1:3" ht="15.75" customHeight="1" x14ac:dyDescent="0.25">
      <c r="A2513" s="2"/>
      <c r="B2513" s="3"/>
      <c r="C2513" s="20"/>
    </row>
    <row r="2514" spans="1:3" ht="15.75" customHeight="1" x14ac:dyDescent="0.25">
      <c r="A2514" s="2"/>
      <c r="B2514" s="3"/>
      <c r="C2514" s="20"/>
    </row>
    <row r="2515" spans="1:3" ht="15.75" customHeight="1" x14ac:dyDescent="0.25">
      <c r="A2515" s="2"/>
      <c r="B2515" s="3"/>
      <c r="C2515" s="20"/>
    </row>
    <row r="2516" spans="1:3" ht="15.75" customHeight="1" x14ac:dyDescent="0.25">
      <c r="A2516" s="2"/>
      <c r="B2516" s="3"/>
      <c r="C2516" s="20"/>
    </row>
    <row r="2517" spans="1:3" ht="15.75" customHeight="1" x14ac:dyDescent="0.25">
      <c r="A2517" s="2"/>
      <c r="B2517" s="3"/>
      <c r="C2517" s="20"/>
    </row>
    <row r="2518" spans="1:3" ht="15.75" customHeight="1" x14ac:dyDescent="0.25">
      <c r="A2518" s="2"/>
      <c r="B2518" s="3"/>
      <c r="C2518" s="20"/>
    </row>
    <row r="2519" spans="1:3" ht="15.75" customHeight="1" x14ac:dyDescent="0.25">
      <c r="A2519" s="2"/>
      <c r="B2519" s="3"/>
      <c r="C2519" s="20"/>
    </row>
    <row r="2520" spans="1:3" ht="15.75" customHeight="1" x14ac:dyDescent="0.25">
      <c r="A2520" s="2"/>
      <c r="B2520" s="3"/>
      <c r="C2520" s="20"/>
    </row>
    <row r="2521" spans="1:3" ht="15.75" customHeight="1" x14ac:dyDescent="0.25">
      <c r="A2521" s="2"/>
      <c r="B2521" s="3"/>
      <c r="C2521" s="20"/>
    </row>
    <row r="2522" spans="1:3" ht="15.75" customHeight="1" x14ac:dyDescent="0.25">
      <c r="A2522" s="2"/>
      <c r="B2522" s="3"/>
      <c r="C2522" s="20"/>
    </row>
    <row r="2523" spans="1:3" ht="15.75" customHeight="1" x14ac:dyDescent="0.25">
      <c r="A2523" s="2"/>
      <c r="B2523" s="3"/>
      <c r="C2523" s="20"/>
    </row>
    <row r="2524" spans="1:3" ht="15.75" customHeight="1" x14ac:dyDescent="0.25">
      <c r="A2524" s="2"/>
      <c r="B2524" s="3"/>
      <c r="C2524" s="20"/>
    </row>
    <row r="2525" spans="1:3" ht="15.75" customHeight="1" x14ac:dyDescent="0.25">
      <c r="A2525" s="2"/>
      <c r="B2525" s="3"/>
      <c r="C2525" s="20"/>
    </row>
    <row r="2526" spans="1:3" ht="15.75" customHeight="1" x14ac:dyDescent="0.25">
      <c r="A2526" s="2"/>
      <c r="B2526" s="3"/>
      <c r="C2526" s="20"/>
    </row>
    <row r="2527" spans="1:3" ht="15.75" customHeight="1" x14ac:dyDescent="0.25">
      <c r="A2527" s="2"/>
      <c r="B2527" s="3"/>
      <c r="C2527" s="20"/>
    </row>
    <row r="2528" spans="1:3" ht="15.75" customHeight="1" x14ac:dyDescent="0.25">
      <c r="A2528" s="2"/>
      <c r="B2528" s="3"/>
      <c r="C2528" s="20"/>
    </row>
    <row r="2529" spans="1:3" ht="15.75" customHeight="1" x14ac:dyDescent="0.25">
      <c r="A2529" s="2"/>
      <c r="B2529" s="3"/>
      <c r="C2529" s="20"/>
    </row>
    <row r="2530" spans="1:3" ht="15.75" customHeight="1" x14ac:dyDescent="0.25">
      <c r="A2530" s="2"/>
      <c r="B2530" s="3"/>
      <c r="C2530" s="20"/>
    </row>
    <row r="2531" spans="1:3" ht="15.75" customHeight="1" x14ac:dyDescent="0.25">
      <c r="A2531" s="2"/>
      <c r="B2531" s="3"/>
      <c r="C2531" s="20"/>
    </row>
    <row r="2532" spans="1:3" ht="15.75" customHeight="1" x14ac:dyDescent="0.25">
      <c r="A2532" s="2"/>
      <c r="B2532" s="3"/>
      <c r="C2532" s="20"/>
    </row>
    <row r="2533" spans="1:3" ht="15.75" customHeight="1" x14ac:dyDescent="0.25">
      <c r="A2533" s="2"/>
      <c r="B2533" s="3"/>
      <c r="C2533" s="20"/>
    </row>
    <row r="2534" spans="1:3" ht="15.75" customHeight="1" x14ac:dyDescent="0.25">
      <c r="A2534" s="2"/>
      <c r="B2534" s="3"/>
      <c r="C2534" s="20"/>
    </row>
    <row r="2535" spans="1:3" ht="15.75" customHeight="1" x14ac:dyDescent="0.25">
      <c r="A2535" s="2"/>
      <c r="B2535" s="3"/>
      <c r="C2535" s="20"/>
    </row>
    <row r="2536" spans="1:3" ht="15.75" customHeight="1" x14ac:dyDescent="0.25">
      <c r="A2536" s="2"/>
      <c r="B2536" s="3"/>
      <c r="C2536" s="20"/>
    </row>
    <row r="2537" spans="1:3" ht="15.75" customHeight="1" x14ac:dyDescent="0.25">
      <c r="A2537" s="2"/>
      <c r="B2537" s="3"/>
      <c r="C2537" s="20"/>
    </row>
    <row r="2538" spans="1:3" ht="15.75" customHeight="1" x14ac:dyDescent="0.25">
      <c r="A2538" s="2"/>
      <c r="B2538" s="3"/>
      <c r="C2538" s="20"/>
    </row>
    <row r="2539" spans="1:3" ht="15.75" customHeight="1" x14ac:dyDescent="0.25">
      <c r="A2539" s="2"/>
      <c r="B2539" s="3"/>
      <c r="C2539" s="20"/>
    </row>
    <row r="2540" spans="1:3" ht="15.75" customHeight="1" x14ac:dyDescent="0.25">
      <c r="A2540" s="2"/>
      <c r="B2540" s="3"/>
      <c r="C2540" s="20"/>
    </row>
    <row r="2541" spans="1:3" ht="15.75" customHeight="1" x14ac:dyDescent="0.25">
      <c r="A2541" s="2"/>
      <c r="B2541" s="3"/>
      <c r="C2541" s="20"/>
    </row>
    <row r="2542" spans="1:3" ht="15.75" customHeight="1" x14ac:dyDescent="0.25">
      <c r="A2542" s="2"/>
      <c r="B2542" s="3"/>
      <c r="C2542" s="20"/>
    </row>
    <row r="2543" spans="1:3" ht="15.75" customHeight="1" x14ac:dyDescent="0.25">
      <c r="A2543" s="2"/>
      <c r="B2543" s="3"/>
      <c r="C2543" s="20"/>
    </row>
    <row r="2544" spans="1:3" ht="15.75" customHeight="1" x14ac:dyDescent="0.25">
      <c r="A2544" s="2"/>
      <c r="B2544" s="3"/>
      <c r="C2544" s="20"/>
    </row>
    <row r="2545" spans="1:3" ht="15.75" customHeight="1" x14ac:dyDescent="0.25">
      <c r="A2545" s="2"/>
      <c r="B2545" s="3"/>
      <c r="C2545" s="20"/>
    </row>
    <row r="2546" spans="1:3" ht="15.75" customHeight="1" x14ac:dyDescent="0.25">
      <c r="A2546" s="2"/>
      <c r="B2546" s="3"/>
      <c r="C2546" s="20"/>
    </row>
    <row r="2547" spans="1:3" ht="15.75" customHeight="1" x14ac:dyDescent="0.25">
      <c r="A2547" s="2"/>
      <c r="B2547" s="3"/>
      <c r="C2547" s="20"/>
    </row>
    <row r="2548" spans="1:3" ht="15.75" customHeight="1" x14ac:dyDescent="0.25">
      <c r="A2548" s="2"/>
      <c r="B2548" s="3"/>
      <c r="C2548" s="20"/>
    </row>
    <row r="2549" spans="1:3" ht="15.75" customHeight="1" x14ac:dyDescent="0.25">
      <c r="A2549" s="2"/>
      <c r="B2549" s="3"/>
      <c r="C2549" s="20"/>
    </row>
    <row r="2550" spans="1:3" ht="15.75" customHeight="1" x14ac:dyDescent="0.25">
      <c r="A2550" s="2"/>
      <c r="B2550" s="3"/>
      <c r="C2550" s="20"/>
    </row>
    <row r="2551" spans="1:3" ht="15.75" customHeight="1" x14ac:dyDescent="0.25">
      <c r="A2551" s="2"/>
      <c r="B2551" s="3"/>
      <c r="C2551" s="20"/>
    </row>
    <row r="2552" spans="1:3" ht="15.75" customHeight="1" x14ac:dyDescent="0.25">
      <c r="A2552" s="2"/>
      <c r="B2552" s="3"/>
      <c r="C2552" s="20"/>
    </row>
    <row r="2553" spans="1:3" ht="15.75" customHeight="1" x14ac:dyDescent="0.25">
      <c r="A2553" s="2"/>
      <c r="B2553" s="3"/>
      <c r="C2553" s="20"/>
    </row>
    <row r="2554" spans="1:3" ht="15.75" customHeight="1" x14ac:dyDescent="0.25">
      <c r="A2554" s="2"/>
      <c r="B2554" s="3"/>
      <c r="C2554" s="20"/>
    </row>
    <row r="2555" spans="1:3" ht="15.75" customHeight="1" x14ac:dyDescent="0.25">
      <c r="A2555" s="2"/>
      <c r="B2555" s="3"/>
      <c r="C2555" s="20"/>
    </row>
    <row r="2556" spans="1:3" ht="15.75" customHeight="1" x14ac:dyDescent="0.25">
      <c r="A2556" s="2"/>
      <c r="B2556" s="3"/>
      <c r="C2556" s="3"/>
    </row>
    <row r="2557" spans="1:3" ht="15.75" customHeight="1" x14ac:dyDescent="0.25">
      <c r="A2557" s="2"/>
      <c r="B2557" s="3"/>
      <c r="C2557" s="3"/>
    </row>
    <row r="2558" spans="1:3" ht="15.75" customHeight="1" x14ac:dyDescent="0.25">
      <c r="A2558" s="2"/>
      <c r="B2558" s="3"/>
      <c r="C2558" s="3"/>
    </row>
    <row r="2559" spans="1:3" ht="15.75" customHeight="1" x14ac:dyDescent="0.25">
      <c r="A2559" s="2"/>
      <c r="B2559" s="3"/>
      <c r="C2559" s="3"/>
    </row>
    <row r="2560" spans="1:3" ht="15.75" customHeight="1" x14ac:dyDescent="0.25">
      <c r="A2560" s="2"/>
      <c r="B2560" s="3"/>
      <c r="C2560" s="3"/>
    </row>
    <row r="2561" spans="1:3" ht="15.75" customHeight="1" x14ac:dyDescent="0.25">
      <c r="A2561" s="2"/>
      <c r="B2561" s="3"/>
      <c r="C2561" s="3"/>
    </row>
    <row r="2562" spans="1:3" ht="15.75" customHeight="1" x14ac:dyDescent="0.25">
      <c r="A2562" s="2"/>
      <c r="B2562" s="3"/>
      <c r="C2562" s="3"/>
    </row>
    <row r="2563" spans="1:3" ht="15.75" customHeight="1" x14ac:dyDescent="0.25">
      <c r="A2563" s="2"/>
      <c r="B2563" s="3"/>
      <c r="C2563" s="3"/>
    </row>
    <row r="2564" spans="1:3" ht="15.75" customHeight="1" x14ac:dyDescent="0.25">
      <c r="A2564" s="2"/>
      <c r="B2564" s="3"/>
      <c r="C2564" s="3"/>
    </row>
    <row r="2565" spans="1:3" ht="15.75" customHeight="1" x14ac:dyDescent="0.25">
      <c r="A2565" s="2"/>
      <c r="B2565" s="3"/>
      <c r="C2565" s="3"/>
    </row>
    <row r="2566" spans="1:3" ht="15.75" customHeight="1" x14ac:dyDescent="0.25">
      <c r="A2566" s="2"/>
      <c r="B2566" s="3"/>
      <c r="C2566" s="3"/>
    </row>
    <row r="2567" spans="1:3" ht="15.75" customHeight="1" x14ac:dyDescent="0.25">
      <c r="A2567" s="2"/>
      <c r="B2567" s="3"/>
      <c r="C2567" s="3"/>
    </row>
    <row r="2568" spans="1:3" ht="15.75" customHeight="1" x14ac:dyDescent="0.25">
      <c r="A2568" s="2"/>
      <c r="B2568" s="3"/>
      <c r="C2568" s="3"/>
    </row>
    <row r="2569" spans="1:3" ht="15.75" customHeight="1" x14ac:dyDescent="0.25">
      <c r="A2569" s="2"/>
      <c r="B2569" s="3"/>
      <c r="C2569" s="3"/>
    </row>
    <row r="2570" spans="1:3" ht="15.75" customHeight="1" x14ac:dyDescent="0.25">
      <c r="A2570" s="2"/>
      <c r="B2570" s="3"/>
      <c r="C2570" s="3"/>
    </row>
    <row r="2571" spans="1:3" ht="15.75" customHeight="1" x14ac:dyDescent="0.25">
      <c r="A2571" s="2"/>
      <c r="B2571" s="3"/>
      <c r="C2571" s="3"/>
    </row>
    <row r="2572" spans="1:3" ht="15.75" customHeight="1" x14ac:dyDescent="0.25">
      <c r="A2572" s="2"/>
      <c r="B2572" s="3"/>
      <c r="C2572" s="3"/>
    </row>
    <row r="2573" spans="1:3" ht="15.75" customHeight="1" x14ac:dyDescent="0.25">
      <c r="A2573" s="2"/>
      <c r="B2573" s="3"/>
      <c r="C2573" s="3"/>
    </row>
    <row r="2574" spans="1:3" ht="15.75" customHeight="1" x14ac:dyDescent="0.25">
      <c r="A2574" s="2"/>
      <c r="B2574" s="3"/>
      <c r="C2574" s="3"/>
    </row>
    <row r="2575" spans="1:3" ht="15.75" customHeight="1" x14ac:dyDescent="0.25">
      <c r="A2575" s="2"/>
      <c r="B2575" s="3"/>
      <c r="C2575" s="3"/>
    </row>
    <row r="2576" spans="1:3" ht="15.75" customHeight="1" x14ac:dyDescent="0.25">
      <c r="A2576" s="2"/>
      <c r="B2576" s="3"/>
      <c r="C2576" s="3"/>
    </row>
    <row r="2577" spans="1:3" ht="15.75" customHeight="1" x14ac:dyDescent="0.25">
      <c r="A2577" s="2"/>
      <c r="B2577" s="3"/>
      <c r="C2577" s="3"/>
    </row>
    <row r="2578" spans="1:3" ht="15.75" customHeight="1" x14ac:dyDescent="0.25">
      <c r="A2578" s="2"/>
      <c r="B2578" s="3"/>
      <c r="C2578" s="3"/>
    </row>
    <row r="2579" spans="1:3" ht="15.75" customHeight="1" x14ac:dyDescent="0.25">
      <c r="A2579" s="2"/>
      <c r="B2579" s="3"/>
      <c r="C2579" s="3"/>
    </row>
    <row r="2580" spans="1:3" ht="15.75" customHeight="1" x14ac:dyDescent="0.25">
      <c r="A2580" s="2"/>
      <c r="B2580" s="3"/>
      <c r="C2580" s="3"/>
    </row>
    <row r="2581" spans="1:3" ht="15.75" customHeight="1" x14ac:dyDescent="0.25">
      <c r="A2581" s="2"/>
      <c r="B2581" s="3"/>
      <c r="C2581" s="3"/>
    </row>
    <row r="2582" spans="1:3" ht="15.75" customHeight="1" x14ac:dyDescent="0.25">
      <c r="A2582" s="2"/>
      <c r="B2582" s="3"/>
      <c r="C2582" s="3"/>
    </row>
    <row r="2583" spans="1:3" ht="15.75" customHeight="1" x14ac:dyDescent="0.25">
      <c r="A2583" s="2"/>
      <c r="B2583" s="3"/>
      <c r="C2583" s="3"/>
    </row>
    <row r="2584" spans="1:3" ht="15.75" customHeight="1" x14ac:dyDescent="0.25">
      <c r="A2584" s="2"/>
      <c r="B2584" s="3"/>
      <c r="C2584" s="3"/>
    </row>
    <row r="2585" spans="1:3" ht="15.75" customHeight="1" x14ac:dyDescent="0.25">
      <c r="A2585" s="2"/>
      <c r="B2585" s="3"/>
      <c r="C2585" s="3"/>
    </row>
    <row r="2586" spans="1:3" ht="15.75" customHeight="1" x14ac:dyDescent="0.25">
      <c r="A2586" s="2"/>
      <c r="B2586" s="3"/>
      <c r="C2586" s="3"/>
    </row>
    <row r="2587" spans="1:3" ht="15.75" customHeight="1" x14ac:dyDescent="0.25">
      <c r="A2587" s="2"/>
      <c r="B2587" s="3"/>
      <c r="C2587" s="3"/>
    </row>
    <row r="2588" spans="1:3" ht="15.75" customHeight="1" x14ac:dyDescent="0.25">
      <c r="A2588" s="2"/>
      <c r="B2588" s="3"/>
      <c r="C2588" s="3"/>
    </row>
    <row r="2589" spans="1:3" ht="15.75" customHeight="1" x14ac:dyDescent="0.25">
      <c r="A2589" s="2"/>
      <c r="B2589" s="3"/>
      <c r="C2589" s="3"/>
    </row>
    <row r="2590" spans="1:3" ht="15.75" customHeight="1" x14ac:dyDescent="0.25">
      <c r="A2590" s="2"/>
      <c r="B2590" s="3"/>
      <c r="C2590" s="3"/>
    </row>
    <row r="2591" spans="1:3" ht="15.75" customHeight="1" x14ac:dyDescent="0.25">
      <c r="A2591" s="2"/>
      <c r="B2591" s="3"/>
      <c r="C2591" s="3"/>
    </row>
    <row r="2592" spans="1:3" ht="15.75" customHeight="1" x14ac:dyDescent="0.25">
      <c r="A2592" s="2"/>
      <c r="B2592" s="3"/>
      <c r="C2592" s="3"/>
    </row>
    <row r="2593" spans="1:3" ht="15.75" customHeight="1" x14ac:dyDescent="0.25">
      <c r="A2593" s="2"/>
      <c r="B2593" s="3"/>
      <c r="C2593" s="3"/>
    </row>
    <row r="2594" spans="1:3" ht="15.75" customHeight="1" x14ac:dyDescent="0.25">
      <c r="A2594" s="2"/>
      <c r="B2594" s="3"/>
      <c r="C2594" s="3"/>
    </row>
    <row r="2595" spans="1:3" ht="15.75" customHeight="1" x14ac:dyDescent="0.25">
      <c r="A2595" s="2"/>
      <c r="B2595" s="3"/>
      <c r="C2595" s="3"/>
    </row>
    <row r="2596" spans="1:3" ht="15.75" customHeight="1" x14ac:dyDescent="0.25">
      <c r="A2596" s="2"/>
      <c r="B2596" s="3"/>
      <c r="C2596" s="3"/>
    </row>
    <row r="2597" spans="1:3" ht="15.75" customHeight="1" x14ac:dyDescent="0.25">
      <c r="A2597" s="2"/>
      <c r="B2597" s="3"/>
      <c r="C2597" s="3"/>
    </row>
    <row r="2598" spans="1:3" ht="15.75" customHeight="1" x14ac:dyDescent="0.25">
      <c r="A2598" s="2"/>
      <c r="B2598" s="3"/>
      <c r="C2598" s="3"/>
    </row>
    <row r="2599" spans="1:3" ht="15.75" customHeight="1" x14ac:dyDescent="0.25">
      <c r="A2599" s="2"/>
      <c r="B2599" s="3"/>
      <c r="C2599" s="3"/>
    </row>
    <row r="2600" spans="1:3" ht="15.75" customHeight="1" x14ac:dyDescent="0.25">
      <c r="A2600" s="2"/>
      <c r="B2600" s="3"/>
      <c r="C2600" s="3"/>
    </row>
    <row r="2601" spans="1:3" ht="15.75" customHeight="1" x14ac:dyDescent="0.25">
      <c r="A2601" s="2"/>
      <c r="B2601" s="3"/>
      <c r="C2601" s="3"/>
    </row>
    <row r="2602" spans="1:3" ht="15.75" customHeight="1" x14ac:dyDescent="0.25">
      <c r="A2602" s="2"/>
      <c r="B2602" s="3"/>
      <c r="C2602" s="3"/>
    </row>
    <row r="2603" spans="1:3" ht="15.75" customHeight="1" x14ac:dyDescent="0.25">
      <c r="A2603" s="2"/>
      <c r="B2603" s="3"/>
      <c r="C2603" s="3"/>
    </row>
    <row r="2604" spans="1:3" ht="15.75" customHeight="1" x14ac:dyDescent="0.25">
      <c r="A2604" s="2"/>
      <c r="B2604" s="3"/>
      <c r="C2604" s="3"/>
    </row>
    <row r="2605" spans="1:3" ht="15.75" customHeight="1" x14ac:dyDescent="0.25">
      <c r="A2605" s="2"/>
      <c r="B2605" s="3"/>
      <c r="C2605" s="3"/>
    </row>
    <row r="2606" spans="1:3" ht="15.75" customHeight="1" x14ac:dyDescent="0.25">
      <c r="A2606" s="2"/>
      <c r="B2606" s="3"/>
      <c r="C2606" s="3"/>
    </row>
    <row r="2607" spans="1:3" ht="15.75" customHeight="1" x14ac:dyDescent="0.25">
      <c r="A2607" s="2"/>
      <c r="B2607" s="3"/>
      <c r="C2607" s="3"/>
    </row>
    <row r="2608" spans="1:3" ht="15.75" customHeight="1" x14ac:dyDescent="0.25">
      <c r="A2608" s="2"/>
      <c r="B2608" s="3"/>
      <c r="C2608" s="3"/>
    </row>
    <row r="2609" spans="1:3" ht="15.75" customHeight="1" x14ac:dyDescent="0.25">
      <c r="A2609" s="2"/>
      <c r="B2609" s="3"/>
      <c r="C2609" s="3"/>
    </row>
    <row r="2610" spans="1:3" ht="15.75" customHeight="1" x14ac:dyDescent="0.25">
      <c r="A2610" s="2"/>
      <c r="B2610" s="3"/>
      <c r="C2610" s="3"/>
    </row>
    <row r="2611" spans="1:3" ht="15.75" customHeight="1" x14ac:dyDescent="0.25">
      <c r="A2611" s="2"/>
      <c r="B2611" s="3"/>
      <c r="C2611" s="3"/>
    </row>
    <row r="2612" spans="1:3" ht="15.75" customHeight="1" x14ac:dyDescent="0.25">
      <c r="A2612" s="2"/>
      <c r="B2612" s="3"/>
      <c r="C2612" s="3"/>
    </row>
    <row r="2613" spans="1:3" ht="15.75" customHeight="1" x14ac:dyDescent="0.25">
      <c r="A2613" s="2"/>
      <c r="B2613" s="3"/>
      <c r="C2613" s="3"/>
    </row>
    <row r="2614" spans="1:3" ht="15.75" customHeight="1" x14ac:dyDescent="0.25">
      <c r="A2614" s="2"/>
      <c r="B2614" s="3"/>
      <c r="C2614" s="3"/>
    </row>
    <row r="2615" spans="1:3" ht="15.75" customHeight="1" x14ac:dyDescent="0.25">
      <c r="A2615" s="2"/>
      <c r="B2615" s="3"/>
      <c r="C2615" s="3"/>
    </row>
    <row r="2616" spans="1:3" ht="15.75" customHeight="1" x14ac:dyDescent="0.25">
      <c r="A2616" s="2"/>
      <c r="B2616" s="3"/>
      <c r="C2616" s="3"/>
    </row>
    <row r="2617" spans="1:3" ht="15.75" customHeight="1" x14ac:dyDescent="0.25">
      <c r="A2617" s="2"/>
      <c r="B2617" s="3"/>
      <c r="C2617" s="3"/>
    </row>
    <row r="2618" spans="1:3" ht="15.75" customHeight="1" x14ac:dyDescent="0.25">
      <c r="A2618" s="2"/>
      <c r="B2618" s="3"/>
      <c r="C2618" s="3"/>
    </row>
    <row r="2619" spans="1:3" ht="15.75" customHeight="1" x14ac:dyDescent="0.25">
      <c r="A2619" s="2"/>
      <c r="B2619" s="3"/>
      <c r="C2619" s="3"/>
    </row>
    <row r="2620" spans="1:3" ht="15.75" customHeight="1" x14ac:dyDescent="0.25">
      <c r="A2620" s="2"/>
      <c r="B2620" s="3"/>
      <c r="C2620" s="3"/>
    </row>
    <row r="2621" spans="1:3" ht="15.75" customHeight="1" x14ac:dyDescent="0.25">
      <c r="A2621" s="2"/>
      <c r="B2621" s="3"/>
      <c r="C2621" s="3"/>
    </row>
    <row r="2622" spans="1:3" ht="15.75" customHeight="1" x14ac:dyDescent="0.25">
      <c r="A2622" s="2"/>
      <c r="B2622" s="3"/>
      <c r="C2622" s="3"/>
    </row>
    <row r="2623" spans="1:3" ht="15.75" customHeight="1" x14ac:dyDescent="0.25">
      <c r="A2623" s="2"/>
      <c r="B2623" s="3"/>
      <c r="C2623" s="3"/>
    </row>
    <row r="2624" spans="1:3" ht="15.75" customHeight="1" x14ac:dyDescent="0.25">
      <c r="A2624" s="2"/>
      <c r="B2624" s="3"/>
      <c r="C2624" s="3"/>
    </row>
    <row r="2625" spans="1:3" ht="15.75" customHeight="1" x14ac:dyDescent="0.25">
      <c r="A2625" s="2"/>
      <c r="B2625" s="3"/>
      <c r="C2625" s="3"/>
    </row>
    <row r="2626" spans="1:3" ht="15.75" customHeight="1" x14ac:dyDescent="0.25">
      <c r="A2626" s="2"/>
      <c r="B2626" s="3"/>
      <c r="C2626" s="3"/>
    </row>
    <row r="2627" spans="1:3" ht="15.75" customHeight="1" x14ac:dyDescent="0.25">
      <c r="A2627" s="2"/>
      <c r="B2627" s="3"/>
      <c r="C2627" s="3"/>
    </row>
    <row r="2628" spans="1:3" ht="15.75" customHeight="1" x14ac:dyDescent="0.25">
      <c r="A2628" s="2"/>
      <c r="B2628" s="3"/>
      <c r="C2628" s="3"/>
    </row>
    <row r="2629" spans="1:3" ht="15.75" customHeight="1" x14ac:dyDescent="0.25">
      <c r="A2629" s="2"/>
      <c r="B2629" s="3"/>
      <c r="C2629" s="3"/>
    </row>
    <row r="2630" spans="1:3" ht="15.75" customHeight="1" x14ac:dyDescent="0.25">
      <c r="A2630" s="2"/>
      <c r="B2630" s="3"/>
      <c r="C2630" s="3"/>
    </row>
    <row r="2631" spans="1:3" ht="15.75" customHeight="1" x14ac:dyDescent="0.25">
      <c r="A2631" s="2"/>
      <c r="B2631" s="3"/>
      <c r="C2631" s="3"/>
    </row>
    <row r="2632" spans="1:3" ht="15.75" customHeight="1" x14ac:dyDescent="0.25">
      <c r="A2632" s="2"/>
      <c r="B2632" s="3"/>
      <c r="C2632" s="3"/>
    </row>
    <row r="2633" spans="1:3" ht="15.75" customHeight="1" x14ac:dyDescent="0.25">
      <c r="A2633" s="2"/>
      <c r="B2633" s="3"/>
      <c r="C2633" s="3"/>
    </row>
    <row r="2634" spans="1:3" ht="15.75" customHeight="1" x14ac:dyDescent="0.25">
      <c r="A2634" s="2"/>
      <c r="B2634" s="3"/>
      <c r="C2634" s="3"/>
    </row>
    <row r="2635" spans="1:3" ht="15.75" customHeight="1" x14ac:dyDescent="0.25">
      <c r="A2635" s="2"/>
      <c r="B2635" s="3"/>
      <c r="C2635" s="3"/>
    </row>
    <row r="2636" spans="1:3" ht="15.75" customHeight="1" x14ac:dyDescent="0.25">
      <c r="A2636" s="2"/>
      <c r="B2636" s="3"/>
      <c r="C2636" s="3"/>
    </row>
    <row r="2637" spans="1:3" ht="15.75" customHeight="1" x14ac:dyDescent="0.25">
      <c r="A2637" s="2"/>
      <c r="B2637" s="3"/>
      <c r="C2637" s="3"/>
    </row>
    <row r="2638" spans="1:3" ht="15.75" customHeight="1" x14ac:dyDescent="0.25">
      <c r="A2638" s="2"/>
      <c r="B2638" s="3"/>
      <c r="C2638" s="3"/>
    </row>
    <row r="2639" spans="1:3" ht="15.75" customHeight="1" x14ac:dyDescent="0.25">
      <c r="A2639" s="2"/>
      <c r="B2639" s="3"/>
      <c r="C2639" s="3"/>
    </row>
    <row r="2640" spans="1:3" ht="15.75" customHeight="1" x14ac:dyDescent="0.25">
      <c r="A2640" s="2"/>
      <c r="B2640" s="3"/>
      <c r="C2640" s="3"/>
    </row>
    <row r="2641" spans="1:3" ht="15.75" customHeight="1" x14ac:dyDescent="0.25">
      <c r="A2641" s="2"/>
      <c r="B2641" s="3"/>
      <c r="C2641" s="3"/>
    </row>
    <row r="2642" spans="1:3" ht="15.75" customHeight="1" x14ac:dyDescent="0.25">
      <c r="A2642" s="2"/>
      <c r="B2642" s="3"/>
      <c r="C2642" s="3"/>
    </row>
    <row r="2643" spans="1:3" ht="15.75" customHeight="1" x14ac:dyDescent="0.25">
      <c r="A2643" s="2"/>
      <c r="B2643" s="3"/>
      <c r="C2643" s="3"/>
    </row>
    <row r="2644" spans="1:3" ht="15.75" customHeight="1" x14ac:dyDescent="0.25">
      <c r="A2644" s="2"/>
      <c r="B2644" s="3"/>
      <c r="C2644" s="3"/>
    </row>
    <row r="2645" spans="1:3" ht="15.75" customHeight="1" x14ac:dyDescent="0.25">
      <c r="A2645" s="2"/>
      <c r="B2645" s="3"/>
      <c r="C2645" s="3"/>
    </row>
    <row r="2646" spans="1:3" ht="15.75" customHeight="1" x14ac:dyDescent="0.25">
      <c r="A2646" s="2"/>
      <c r="B2646" s="3"/>
      <c r="C2646" s="3"/>
    </row>
    <row r="2647" spans="1:3" ht="15.75" customHeight="1" x14ac:dyDescent="0.25">
      <c r="A2647" s="2"/>
      <c r="B2647" s="3"/>
      <c r="C2647" s="3"/>
    </row>
    <row r="2648" spans="1:3" ht="15.75" customHeight="1" x14ac:dyDescent="0.25">
      <c r="A2648" s="2"/>
      <c r="B2648" s="3"/>
      <c r="C2648" s="3"/>
    </row>
    <row r="2649" spans="1:3" ht="15.75" customHeight="1" x14ac:dyDescent="0.25">
      <c r="A2649" s="2"/>
      <c r="B2649" s="3"/>
      <c r="C2649" s="3"/>
    </row>
    <row r="2650" spans="1:3" ht="15.75" customHeight="1" x14ac:dyDescent="0.25">
      <c r="A2650" s="2"/>
      <c r="B2650" s="3"/>
      <c r="C2650" s="3"/>
    </row>
    <row r="2651" spans="1:3" ht="15.75" customHeight="1" x14ac:dyDescent="0.25">
      <c r="A2651" s="2"/>
      <c r="B2651" s="3"/>
      <c r="C2651" s="3"/>
    </row>
    <row r="2652" spans="1:3" ht="15.75" customHeight="1" x14ac:dyDescent="0.25">
      <c r="A2652" s="2"/>
      <c r="B2652" s="3"/>
      <c r="C2652" s="3"/>
    </row>
    <row r="2653" spans="1:3" ht="15.75" customHeight="1" x14ac:dyDescent="0.25">
      <c r="A2653" s="2"/>
      <c r="B2653" s="3"/>
      <c r="C2653" s="3"/>
    </row>
    <row r="2654" spans="1:3" ht="15.75" customHeight="1" x14ac:dyDescent="0.25">
      <c r="A2654" s="2"/>
      <c r="B2654" s="3"/>
      <c r="C2654" s="3"/>
    </row>
    <row r="2655" spans="1:3" ht="15.75" customHeight="1" x14ac:dyDescent="0.25">
      <c r="A2655" s="2"/>
      <c r="B2655" s="3"/>
      <c r="C2655" s="3"/>
    </row>
    <row r="2656" spans="1:3" ht="15.75" customHeight="1" x14ac:dyDescent="0.25">
      <c r="A2656" s="2"/>
      <c r="B2656" s="3"/>
      <c r="C2656" s="3"/>
    </row>
    <row r="2657" spans="1:3" ht="15.75" customHeight="1" x14ac:dyDescent="0.25">
      <c r="A2657" s="2"/>
      <c r="B2657" s="3"/>
      <c r="C2657" s="3"/>
    </row>
    <row r="2658" spans="1:3" ht="15.75" customHeight="1" x14ac:dyDescent="0.25">
      <c r="A2658" s="2"/>
      <c r="B2658" s="3"/>
      <c r="C2658" s="3"/>
    </row>
    <row r="2659" spans="1:3" ht="15.75" customHeight="1" x14ac:dyDescent="0.25">
      <c r="A2659" s="2"/>
      <c r="B2659" s="3"/>
      <c r="C2659" s="3"/>
    </row>
    <row r="2660" spans="1:3" ht="15.75" customHeight="1" x14ac:dyDescent="0.25">
      <c r="A2660" s="2"/>
      <c r="B2660" s="3"/>
      <c r="C2660" s="3"/>
    </row>
    <row r="2661" spans="1:3" ht="15.75" customHeight="1" x14ac:dyDescent="0.25">
      <c r="A2661" s="2"/>
      <c r="B2661" s="3"/>
      <c r="C2661" s="3"/>
    </row>
    <row r="2662" spans="1:3" ht="15.75" customHeight="1" x14ac:dyDescent="0.25">
      <c r="A2662" s="2"/>
      <c r="B2662" s="3"/>
      <c r="C2662" s="3"/>
    </row>
    <row r="2663" spans="1:3" ht="15.75" customHeight="1" x14ac:dyDescent="0.25">
      <c r="A2663" s="2"/>
      <c r="B2663" s="3"/>
      <c r="C2663" s="3"/>
    </row>
    <row r="2664" spans="1:3" ht="15.75" customHeight="1" x14ac:dyDescent="0.25">
      <c r="A2664" s="2"/>
      <c r="B2664" s="3"/>
      <c r="C2664" s="3"/>
    </row>
    <row r="2665" spans="1:3" ht="15.75" customHeight="1" x14ac:dyDescent="0.25">
      <c r="A2665" s="2"/>
      <c r="B2665" s="3"/>
      <c r="C2665" s="3"/>
    </row>
    <row r="2666" spans="1:3" ht="15.75" customHeight="1" x14ac:dyDescent="0.25">
      <c r="A2666" s="2"/>
      <c r="B2666" s="3"/>
      <c r="C2666" s="3"/>
    </row>
    <row r="2667" spans="1:3" ht="15.75" customHeight="1" x14ac:dyDescent="0.25">
      <c r="A2667" s="2"/>
      <c r="B2667" s="3"/>
      <c r="C2667" s="3"/>
    </row>
    <row r="2668" spans="1:3" ht="15.75" customHeight="1" x14ac:dyDescent="0.25">
      <c r="A2668" s="2"/>
      <c r="B2668" s="3"/>
      <c r="C2668" s="3"/>
    </row>
    <row r="2669" spans="1:3" ht="15.75" customHeight="1" x14ac:dyDescent="0.25">
      <c r="A2669" s="2"/>
      <c r="B2669" s="3"/>
      <c r="C2669" s="3"/>
    </row>
    <row r="2670" spans="1:3" ht="15.75" customHeight="1" x14ac:dyDescent="0.25">
      <c r="A2670" s="2"/>
      <c r="B2670" s="3"/>
      <c r="C2670" s="3"/>
    </row>
    <row r="2671" spans="1:3" ht="15.75" customHeight="1" x14ac:dyDescent="0.25">
      <c r="A2671" s="2"/>
      <c r="B2671" s="3"/>
      <c r="C2671" s="3"/>
    </row>
    <row r="2672" spans="1:3" ht="15.75" customHeight="1" x14ac:dyDescent="0.25">
      <c r="A2672" s="2"/>
      <c r="B2672" s="3"/>
      <c r="C2672" s="3"/>
    </row>
    <row r="2673" spans="1:3" ht="15.75" customHeight="1" x14ac:dyDescent="0.25">
      <c r="A2673" s="2"/>
      <c r="B2673" s="3"/>
      <c r="C2673" s="3"/>
    </row>
    <row r="2674" spans="1:3" ht="15.75" customHeight="1" x14ac:dyDescent="0.25">
      <c r="A2674" s="2"/>
      <c r="B2674" s="3"/>
      <c r="C2674" s="3"/>
    </row>
    <row r="2675" spans="1:3" ht="15.75" customHeight="1" x14ac:dyDescent="0.25">
      <c r="A2675" s="2"/>
      <c r="B2675" s="3"/>
      <c r="C2675" s="3"/>
    </row>
    <row r="2676" spans="1:3" ht="15.75" customHeight="1" x14ac:dyDescent="0.25">
      <c r="A2676" s="2"/>
      <c r="B2676" s="3"/>
      <c r="C2676" s="3"/>
    </row>
    <row r="2677" spans="1:3" ht="15.75" customHeight="1" x14ac:dyDescent="0.25">
      <c r="A2677" s="2"/>
      <c r="B2677" s="3"/>
      <c r="C2677" s="3"/>
    </row>
    <row r="2678" spans="1:3" ht="15.75" customHeight="1" x14ac:dyDescent="0.25">
      <c r="A2678" s="2"/>
      <c r="B2678" s="3"/>
      <c r="C2678" s="3"/>
    </row>
    <row r="2679" spans="1:3" ht="15.75" customHeight="1" x14ac:dyDescent="0.25">
      <c r="A2679" s="2"/>
      <c r="B2679" s="3"/>
      <c r="C2679" s="3"/>
    </row>
    <row r="2680" spans="1:3" ht="15.75" customHeight="1" x14ac:dyDescent="0.25">
      <c r="A2680" s="2"/>
      <c r="B2680" s="3"/>
      <c r="C2680" s="3"/>
    </row>
    <row r="2681" spans="1:3" ht="15.75" customHeight="1" x14ac:dyDescent="0.25">
      <c r="A2681" s="2"/>
      <c r="B2681" s="3"/>
      <c r="C2681" s="3"/>
    </row>
    <row r="2682" spans="1:3" ht="15.75" customHeight="1" x14ac:dyDescent="0.25">
      <c r="A2682" s="2"/>
      <c r="B2682" s="3"/>
      <c r="C2682" s="3"/>
    </row>
    <row r="2683" spans="1:3" ht="15.75" customHeight="1" x14ac:dyDescent="0.25">
      <c r="A2683" s="2"/>
      <c r="B2683" s="3"/>
      <c r="C2683" s="3"/>
    </row>
    <row r="2684" spans="1:3" ht="15.75" customHeight="1" x14ac:dyDescent="0.25">
      <c r="A2684" s="2"/>
      <c r="B2684" s="3"/>
      <c r="C2684" s="3"/>
    </row>
    <row r="2685" spans="1:3" ht="15.75" customHeight="1" x14ac:dyDescent="0.25">
      <c r="A2685" s="2"/>
      <c r="B2685" s="3"/>
      <c r="C2685" s="3"/>
    </row>
    <row r="2686" spans="1:3" ht="15.75" customHeight="1" x14ac:dyDescent="0.25">
      <c r="A2686" s="2"/>
      <c r="B2686" s="3"/>
      <c r="C2686" s="3"/>
    </row>
    <row r="2687" spans="1:3" ht="15.75" customHeight="1" x14ac:dyDescent="0.25">
      <c r="A2687" s="2"/>
      <c r="B2687" s="3"/>
      <c r="C2687" s="3"/>
    </row>
    <row r="2688" spans="1:3" ht="15.75" customHeight="1" x14ac:dyDescent="0.25">
      <c r="A2688" s="2"/>
      <c r="B2688" s="3"/>
      <c r="C2688" s="3"/>
    </row>
    <row r="2689" spans="1:3" ht="15.75" customHeight="1" x14ac:dyDescent="0.25">
      <c r="A2689" s="2"/>
      <c r="B2689" s="3"/>
      <c r="C2689" s="3"/>
    </row>
    <row r="2690" spans="1:3" ht="15.75" customHeight="1" x14ac:dyDescent="0.25">
      <c r="A2690" s="2"/>
      <c r="B2690" s="3"/>
      <c r="C2690" s="3"/>
    </row>
    <row r="2691" spans="1:3" ht="15.75" customHeight="1" x14ac:dyDescent="0.25">
      <c r="A2691" s="2"/>
      <c r="B2691" s="3"/>
      <c r="C2691" s="3"/>
    </row>
    <row r="2692" spans="1:3" ht="15.75" customHeight="1" x14ac:dyDescent="0.25">
      <c r="A2692" s="2"/>
      <c r="B2692" s="3"/>
      <c r="C2692" s="3"/>
    </row>
    <row r="2693" spans="1:3" ht="15.75" customHeight="1" x14ac:dyDescent="0.25">
      <c r="A2693" s="2"/>
      <c r="B2693" s="3"/>
      <c r="C2693" s="3"/>
    </row>
    <row r="2694" spans="1:3" ht="15.75" customHeight="1" x14ac:dyDescent="0.25">
      <c r="A2694" s="2"/>
      <c r="B2694" s="3"/>
      <c r="C2694" s="3"/>
    </row>
    <row r="2695" spans="1:3" ht="15.75" customHeight="1" x14ac:dyDescent="0.25">
      <c r="A2695" s="2"/>
      <c r="B2695" s="3"/>
      <c r="C2695" s="3"/>
    </row>
    <row r="2696" spans="1:3" ht="15.75" customHeight="1" x14ac:dyDescent="0.25">
      <c r="A2696" s="2"/>
      <c r="B2696" s="3"/>
      <c r="C2696" s="3"/>
    </row>
    <row r="2697" spans="1:3" ht="15.75" customHeight="1" x14ac:dyDescent="0.25">
      <c r="A2697" s="2"/>
      <c r="B2697" s="3"/>
      <c r="C2697" s="3"/>
    </row>
    <row r="2698" spans="1:3" ht="15.75" customHeight="1" x14ac:dyDescent="0.25">
      <c r="A2698" s="2"/>
      <c r="B2698" s="3"/>
      <c r="C2698" s="3"/>
    </row>
    <row r="2699" spans="1:3" ht="15.75" customHeight="1" x14ac:dyDescent="0.25">
      <c r="A2699" s="2"/>
      <c r="B2699" s="3"/>
      <c r="C2699" s="3"/>
    </row>
    <row r="2700" spans="1:3" ht="15.75" customHeight="1" x14ac:dyDescent="0.25">
      <c r="A2700" s="2"/>
      <c r="B2700" s="3"/>
      <c r="C2700" s="3"/>
    </row>
    <row r="2701" spans="1:3" ht="15.75" customHeight="1" x14ac:dyDescent="0.25">
      <c r="A2701" s="2"/>
      <c r="B2701" s="3"/>
      <c r="C2701" s="3"/>
    </row>
    <row r="2702" spans="1:3" ht="15.75" customHeight="1" x14ac:dyDescent="0.25">
      <c r="A2702" s="2"/>
      <c r="B2702" s="3"/>
      <c r="C2702" s="3"/>
    </row>
    <row r="2703" spans="1:3" ht="15.75" customHeight="1" x14ac:dyDescent="0.25">
      <c r="A2703" s="2"/>
      <c r="B2703" s="3"/>
      <c r="C2703" s="3"/>
    </row>
    <row r="2704" spans="1:3" ht="15.75" customHeight="1" x14ac:dyDescent="0.25">
      <c r="A2704" s="2"/>
      <c r="B2704" s="3"/>
      <c r="C2704" s="3"/>
    </row>
    <row r="2705" spans="1:3" ht="15.75" customHeight="1" x14ac:dyDescent="0.25">
      <c r="A2705" s="2"/>
      <c r="B2705" s="3"/>
      <c r="C2705" s="3"/>
    </row>
    <row r="2706" spans="1:3" ht="15.75" customHeight="1" x14ac:dyDescent="0.25">
      <c r="A2706" s="2"/>
      <c r="B2706" s="3"/>
      <c r="C2706" s="3"/>
    </row>
    <row r="2707" spans="1:3" ht="15.75" customHeight="1" x14ac:dyDescent="0.25">
      <c r="A2707" s="2"/>
      <c r="B2707" s="3"/>
      <c r="C2707" s="3"/>
    </row>
    <row r="2708" spans="1:3" ht="15.75" customHeight="1" x14ac:dyDescent="0.25">
      <c r="A2708" s="2"/>
      <c r="B2708" s="3"/>
      <c r="C2708" s="3"/>
    </row>
    <row r="2709" spans="1:3" ht="15.75" customHeight="1" x14ac:dyDescent="0.25">
      <c r="A2709" s="2"/>
      <c r="B2709" s="3"/>
      <c r="C2709" s="3"/>
    </row>
    <row r="2710" spans="1:3" ht="15.75" customHeight="1" x14ac:dyDescent="0.25">
      <c r="A2710" s="2"/>
      <c r="B2710" s="3"/>
      <c r="C2710" s="3"/>
    </row>
    <row r="2711" spans="1:3" ht="15.75" customHeight="1" x14ac:dyDescent="0.25">
      <c r="A2711" s="2"/>
      <c r="B2711" s="3"/>
      <c r="C2711" s="3"/>
    </row>
    <row r="2712" spans="1:3" ht="15.75" customHeight="1" x14ac:dyDescent="0.25">
      <c r="A2712" s="2"/>
      <c r="B2712" s="3"/>
      <c r="C2712" s="3"/>
    </row>
    <row r="2713" spans="1:3" ht="15.75" customHeight="1" x14ac:dyDescent="0.25">
      <c r="A2713" s="2"/>
      <c r="B2713" s="3"/>
      <c r="C2713" s="3"/>
    </row>
    <row r="2714" spans="1:3" ht="15.75" customHeight="1" x14ac:dyDescent="0.25">
      <c r="A2714" s="2"/>
      <c r="B2714" s="3"/>
      <c r="C2714" s="3"/>
    </row>
    <row r="2715" spans="1:3" ht="15.75" customHeight="1" x14ac:dyDescent="0.25">
      <c r="A2715" s="2"/>
      <c r="B2715" s="3"/>
      <c r="C2715" s="3"/>
    </row>
    <row r="2716" spans="1:3" ht="15.75" customHeight="1" x14ac:dyDescent="0.25">
      <c r="A2716" s="2"/>
      <c r="B2716" s="3"/>
      <c r="C2716" s="3"/>
    </row>
    <row r="2717" spans="1:3" ht="15.75" customHeight="1" x14ac:dyDescent="0.25">
      <c r="A2717" s="2"/>
      <c r="B2717" s="3"/>
      <c r="C2717" s="3"/>
    </row>
    <row r="2718" spans="1:3" ht="15.75" customHeight="1" x14ac:dyDescent="0.25">
      <c r="A2718" s="2"/>
      <c r="B2718" s="3"/>
      <c r="C2718" s="3"/>
    </row>
    <row r="2719" spans="1:3" ht="15.75" customHeight="1" x14ac:dyDescent="0.25">
      <c r="A2719" s="2"/>
      <c r="B2719" s="3"/>
      <c r="C2719" s="3"/>
    </row>
    <row r="2720" spans="1:3" ht="15.75" customHeight="1" x14ac:dyDescent="0.25">
      <c r="A2720" s="2"/>
      <c r="B2720" s="3"/>
      <c r="C2720" s="3"/>
    </row>
    <row r="2721" spans="1:3" ht="15.75" customHeight="1" x14ac:dyDescent="0.25">
      <c r="A2721" s="2"/>
      <c r="B2721" s="3"/>
      <c r="C2721" s="3"/>
    </row>
    <row r="2722" spans="1:3" ht="15.75" customHeight="1" x14ac:dyDescent="0.25">
      <c r="A2722" s="2"/>
      <c r="B2722" s="3"/>
      <c r="C2722" s="3"/>
    </row>
    <row r="2723" spans="1:3" ht="15.75" customHeight="1" x14ac:dyDescent="0.25">
      <c r="A2723" s="2"/>
      <c r="B2723" s="3"/>
      <c r="C2723" s="3"/>
    </row>
    <row r="2724" spans="1:3" ht="15.75" customHeight="1" x14ac:dyDescent="0.25">
      <c r="A2724" s="2"/>
      <c r="B2724" s="3"/>
      <c r="C2724" s="3"/>
    </row>
    <row r="2725" spans="1:3" ht="15.75" customHeight="1" x14ac:dyDescent="0.25">
      <c r="A2725" s="2"/>
      <c r="B2725" s="3"/>
      <c r="C2725" s="3"/>
    </row>
    <row r="2726" spans="1:3" ht="15.75" customHeight="1" x14ac:dyDescent="0.25">
      <c r="A2726" s="2"/>
      <c r="B2726" s="3"/>
      <c r="C2726" s="3"/>
    </row>
    <row r="2727" spans="1:3" ht="15.75" customHeight="1" x14ac:dyDescent="0.25">
      <c r="A2727" s="2"/>
      <c r="B2727" s="3"/>
      <c r="C2727" s="3"/>
    </row>
    <row r="2728" spans="1:3" ht="15.75" customHeight="1" x14ac:dyDescent="0.25">
      <c r="A2728" s="2"/>
      <c r="B2728" s="3"/>
      <c r="C2728" s="3"/>
    </row>
    <row r="2729" spans="1:3" ht="15.75" customHeight="1" x14ac:dyDescent="0.25">
      <c r="A2729" s="2"/>
      <c r="B2729" s="3"/>
      <c r="C2729" s="3"/>
    </row>
    <row r="2730" spans="1:3" ht="15.75" customHeight="1" x14ac:dyDescent="0.25">
      <c r="A2730" s="2"/>
      <c r="B2730" s="3"/>
      <c r="C2730" s="3"/>
    </row>
    <row r="2731" spans="1:3" ht="15.75" customHeight="1" x14ac:dyDescent="0.25">
      <c r="A2731" s="2"/>
      <c r="B2731" s="3"/>
      <c r="C2731" s="3"/>
    </row>
    <row r="2732" spans="1:3" ht="15.75" customHeight="1" x14ac:dyDescent="0.25">
      <c r="A2732" s="2"/>
      <c r="B2732" s="3"/>
      <c r="C2732" s="3"/>
    </row>
    <row r="2733" spans="1:3" ht="15.75" customHeight="1" x14ac:dyDescent="0.25">
      <c r="A2733" s="2"/>
      <c r="B2733" s="3"/>
      <c r="C2733" s="3"/>
    </row>
    <row r="2734" spans="1:3" ht="15.75" customHeight="1" x14ac:dyDescent="0.25">
      <c r="A2734" s="2"/>
      <c r="B2734" s="3"/>
      <c r="C2734" s="3"/>
    </row>
    <row r="2735" spans="1:3" ht="15.75" customHeight="1" x14ac:dyDescent="0.25">
      <c r="A2735" s="2"/>
      <c r="B2735" s="3"/>
      <c r="C2735" s="3"/>
    </row>
    <row r="2736" spans="1:3" ht="15.75" customHeight="1" x14ac:dyDescent="0.25">
      <c r="A2736" s="2"/>
      <c r="B2736" s="3"/>
      <c r="C2736" s="3"/>
    </row>
    <row r="2737" spans="1:3" ht="15.75" customHeight="1" x14ac:dyDescent="0.25">
      <c r="A2737" s="2"/>
      <c r="B2737" s="3"/>
      <c r="C2737" s="3"/>
    </row>
    <row r="2738" spans="1:3" ht="15.75" customHeight="1" x14ac:dyDescent="0.25">
      <c r="A2738" s="2"/>
      <c r="B2738" s="3"/>
      <c r="C2738" s="3"/>
    </row>
    <row r="2739" spans="1:3" ht="15.75" customHeight="1" x14ac:dyDescent="0.25">
      <c r="A2739" s="2"/>
      <c r="B2739" s="3"/>
      <c r="C2739" s="3"/>
    </row>
    <row r="2740" spans="1:3" ht="15.75" customHeight="1" x14ac:dyDescent="0.25">
      <c r="A2740" s="2"/>
      <c r="B2740" s="3"/>
      <c r="C2740" s="3"/>
    </row>
    <row r="2741" spans="1:3" ht="15.75" customHeight="1" x14ac:dyDescent="0.25">
      <c r="A2741" s="2"/>
      <c r="B2741" s="3"/>
      <c r="C2741" s="3"/>
    </row>
    <row r="2742" spans="1:3" ht="15.75" customHeight="1" x14ac:dyDescent="0.25">
      <c r="A2742" s="2"/>
      <c r="B2742" s="3"/>
      <c r="C2742" s="3"/>
    </row>
    <row r="2743" spans="1:3" ht="15.75" customHeight="1" x14ac:dyDescent="0.25">
      <c r="A2743" s="2"/>
      <c r="B2743" s="3"/>
      <c r="C2743" s="3"/>
    </row>
    <row r="2744" spans="1:3" ht="15.75" customHeight="1" x14ac:dyDescent="0.25">
      <c r="A2744" s="2"/>
      <c r="B2744" s="3"/>
      <c r="C2744" s="3"/>
    </row>
    <row r="2745" spans="1:3" ht="15.75" customHeight="1" x14ac:dyDescent="0.25">
      <c r="A2745" s="2"/>
      <c r="B2745" s="3"/>
      <c r="C2745" s="3"/>
    </row>
    <row r="2746" spans="1:3" ht="15.75" customHeight="1" x14ac:dyDescent="0.25">
      <c r="A2746" s="2"/>
      <c r="B2746" s="3"/>
      <c r="C2746" s="3"/>
    </row>
    <row r="2747" spans="1:3" ht="15.75" customHeight="1" x14ac:dyDescent="0.25">
      <c r="A2747" s="2"/>
      <c r="B2747" s="3"/>
      <c r="C2747" s="3"/>
    </row>
    <row r="2748" spans="1:3" ht="15.75" customHeight="1" x14ac:dyDescent="0.25">
      <c r="A2748" s="2"/>
      <c r="B2748" s="3"/>
      <c r="C2748" s="3"/>
    </row>
    <row r="2749" spans="1:3" ht="15.75" customHeight="1" x14ac:dyDescent="0.25">
      <c r="A2749" s="2"/>
      <c r="B2749" s="3"/>
      <c r="C2749" s="3"/>
    </row>
    <row r="2750" spans="1:3" ht="15.75" customHeight="1" x14ac:dyDescent="0.25">
      <c r="A2750" s="2"/>
      <c r="B2750" s="3"/>
      <c r="C2750" s="3"/>
    </row>
    <row r="2751" spans="1:3" ht="15.75" customHeight="1" x14ac:dyDescent="0.25">
      <c r="A2751" s="2"/>
      <c r="B2751" s="3"/>
      <c r="C2751" s="3"/>
    </row>
    <row r="2752" spans="1:3" ht="15.75" customHeight="1" x14ac:dyDescent="0.25">
      <c r="A2752" s="2"/>
      <c r="B2752" s="3"/>
      <c r="C2752" s="3"/>
    </row>
    <row r="2753" spans="1:3" ht="15.75" customHeight="1" x14ac:dyDescent="0.25">
      <c r="A2753" s="2"/>
      <c r="B2753" s="3"/>
      <c r="C2753" s="3"/>
    </row>
    <row r="2754" spans="1:3" ht="15.75" customHeight="1" x14ac:dyDescent="0.25">
      <c r="A2754" s="2"/>
      <c r="B2754" s="3"/>
      <c r="C2754" s="3"/>
    </row>
    <row r="2755" spans="1:3" ht="15.75" customHeight="1" x14ac:dyDescent="0.25">
      <c r="A2755" s="2"/>
      <c r="B2755" s="3"/>
      <c r="C2755" s="3"/>
    </row>
    <row r="2756" spans="1:3" ht="15.75" customHeight="1" x14ac:dyDescent="0.25">
      <c r="A2756" s="2"/>
      <c r="B2756" s="3"/>
      <c r="C2756" s="3"/>
    </row>
    <row r="2757" spans="1:3" ht="15.75" customHeight="1" x14ac:dyDescent="0.25">
      <c r="A2757" s="2"/>
      <c r="B2757" s="3"/>
      <c r="C2757" s="3"/>
    </row>
    <row r="2758" spans="1:3" ht="15.75" customHeight="1" x14ac:dyDescent="0.25">
      <c r="A2758" s="2"/>
      <c r="B2758" s="3"/>
      <c r="C2758" s="3"/>
    </row>
    <row r="2759" spans="1:3" ht="15.75" customHeight="1" x14ac:dyDescent="0.25">
      <c r="A2759" s="2"/>
      <c r="B2759" s="3"/>
      <c r="C2759" s="3"/>
    </row>
    <row r="2760" spans="1:3" ht="15.75" customHeight="1" x14ac:dyDescent="0.25">
      <c r="A2760" s="2"/>
      <c r="B2760" s="3"/>
      <c r="C2760" s="3"/>
    </row>
    <row r="2761" spans="1:3" ht="15.75" customHeight="1" x14ac:dyDescent="0.25">
      <c r="A2761" s="2"/>
      <c r="B2761" s="3"/>
      <c r="C2761" s="3"/>
    </row>
    <row r="2762" spans="1:3" ht="15.75" customHeight="1" x14ac:dyDescent="0.25">
      <c r="A2762" s="2"/>
      <c r="B2762" s="3"/>
      <c r="C2762" s="3"/>
    </row>
    <row r="2763" spans="1:3" ht="15.75" customHeight="1" x14ac:dyDescent="0.25">
      <c r="A2763" s="2"/>
      <c r="B2763" s="3"/>
      <c r="C2763" s="3"/>
    </row>
    <row r="2764" spans="1:3" ht="15.75" customHeight="1" x14ac:dyDescent="0.25">
      <c r="A2764" s="2"/>
      <c r="B2764" s="3"/>
      <c r="C2764" s="3"/>
    </row>
    <row r="2765" spans="1:3" ht="15.75" customHeight="1" x14ac:dyDescent="0.25">
      <c r="A2765" s="2"/>
      <c r="B2765" s="3"/>
      <c r="C2765" s="3"/>
    </row>
    <row r="2766" spans="1:3" ht="15.75" customHeight="1" x14ac:dyDescent="0.25">
      <c r="A2766" s="2"/>
      <c r="B2766" s="3"/>
      <c r="C2766" s="3"/>
    </row>
    <row r="2767" spans="1:3" ht="15.75" customHeight="1" x14ac:dyDescent="0.25">
      <c r="A2767" s="2"/>
      <c r="B2767" s="3"/>
      <c r="C2767" s="3"/>
    </row>
    <row r="2768" spans="1:3" ht="15.75" customHeight="1" x14ac:dyDescent="0.25">
      <c r="A2768" s="2"/>
      <c r="B2768" s="3"/>
      <c r="C2768" s="3"/>
    </row>
    <row r="2769" spans="1:3" ht="15.75" customHeight="1" x14ac:dyDescent="0.25">
      <c r="A2769" s="2"/>
      <c r="B2769" s="3"/>
      <c r="C2769" s="3"/>
    </row>
    <row r="2770" spans="1:3" ht="15.75" customHeight="1" x14ac:dyDescent="0.25">
      <c r="A2770" s="2"/>
      <c r="B2770" s="3"/>
      <c r="C2770" s="3"/>
    </row>
    <row r="2771" spans="1:3" ht="15.75" customHeight="1" x14ac:dyDescent="0.25">
      <c r="A2771" s="2"/>
      <c r="B2771" s="3"/>
      <c r="C2771" s="3"/>
    </row>
    <row r="2772" spans="1:3" ht="15.75" customHeight="1" x14ac:dyDescent="0.25">
      <c r="A2772" s="2"/>
      <c r="B2772" s="3"/>
      <c r="C2772" s="3"/>
    </row>
    <row r="2773" spans="1:3" ht="15.75" customHeight="1" x14ac:dyDescent="0.25">
      <c r="A2773" s="2"/>
      <c r="B2773" s="3"/>
      <c r="C2773" s="3"/>
    </row>
    <row r="2774" spans="1:3" ht="15.75" customHeight="1" x14ac:dyDescent="0.25">
      <c r="A2774" s="2"/>
      <c r="B2774" s="3"/>
      <c r="C2774" s="3"/>
    </row>
    <row r="2775" spans="1:3" ht="15.75" customHeight="1" x14ac:dyDescent="0.25">
      <c r="A2775" s="2"/>
      <c r="B2775" s="3"/>
      <c r="C2775" s="3"/>
    </row>
    <row r="2776" spans="1:3" ht="15.75" customHeight="1" x14ac:dyDescent="0.25">
      <c r="A2776" s="2"/>
      <c r="B2776" s="3"/>
      <c r="C2776" s="3"/>
    </row>
    <row r="2777" spans="1:3" ht="15.75" customHeight="1" x14ac:dyDescent="0.25">
      <c r="A2777" s="2"/>
      <c r="B2777" s="3"/>
      <c r="C2777" s="3"/>
    </row>
    <row r="2778" spans="1:3" ht="15.75" customHeight="1" x14ac:dyDescent="0.25">
      <c r="A2778" s="2"/>
      <c r="B2778" s="3"/>
      <c r="C2778" s="3"/>
    </row>
    <row r="2779" spans="1:3" ht="15.75" customHeight="1" x14ac:dyDescent="0.25">
      <c r="A2779" s="2"/>
      <c r="B2779" s="3"/>
      <c r="C2779" s="3"/>
    </row>
    <row r="2780" spans="1:3" ht="15.75" customHeight="1" x14ac:dyDescent="0.25">
      <c r="A2780" s="2"/>
      <c r="B2780" s="3"/>
      <c r="C2780" s="3"/>
    </row>
    <row r="2781" spans="1:3" ht="15.75" customHeight="1" x14ac:dyDescent="0.25">
      <c r="A2781" s="2"/>
      <c r="B2781" s="3"/>
      <c r="C2781" s="3"/>
    </row>
    <row r="2782" spans="1:3" ht="15.75" customHeight="1" x14ac:dyDescent="0.25">
      <c r="A2782" s="2"/>
      <c r="B2782" s="3"/>
      <c r="C2782" s="3"/>
    </row>
    <row r="2783" spans="1:3" ht="15.75" customHeight="1" x14ac:dyDescent="0.25">
      <c r="A2783" s="2"/>
      <c r="B2783" s="3"/>
      <c r="C2783" s="3"/>
    </row>
    <row r="2784" spans="1:3" ht="15.75" customHeight="1" x14ac:dyDescent="0.25">
      <c r="A2784" s="2"/>
      <c r="B2784" s="3"/>
      <c r="C2784" s="3"/>
    </row>
    <row r="2785" spans="1:3" ht="15.75" customHeight="1" x14ac:dyDescent="0.25">
      <c r="A2785" s="2"/>
      <c r="B2785" s="3"/>
      <c r="C2785" s="3"/>
    </row>
    <row r="2786" spans="1:3" ht="15.75" customHeight="1" x14ac:dyDescent="0.25">
      <c r="A2786" s="2"/>
      <c r="B2786" s="3"/>
      <c r="C2786" s="3"/>
    </row>
    <row r="2787" spans="1:3" ht="15.75" customHeight="1" x14ac:dyDescent="0.25">
      <c r="A2787" s="2"/>
      <c r="B2787" s="3"/>
      <c r="C2787" s="3"/>
    </row>
    <row r="2788" spans="1:3" ht="15.75" customHeight="1" x14ac:dyDescent="0.25">
      <c r="A2788" s="2"/>
      <c r="B2788" s="3"/>
      <c r="C2788" s="3"/>
    </row>
    <row r="2789" spans="1:3" ht="15.75" customHeight="1" x14ac:dyDescent="0.25">
      <c r="A2789" s="2"/>
      <c r="B2789" s="3"/>
      <c r="C2789" s="3"/>
    </row>
    <row r="2790" spans="1:3" ht="15.75" customHeight="1" x14ac:dyDescent="0.25">
      <c r="A2790" s="2"/>
      <c r="B2790" s="3"/>
      <c r="C2790" s="3"/>
    </row>
    <row r="2791" spans="1:3" ht="15.75" customHeight="1" x14ac:dyDescent="0.25">
      <c r="A2791" s="2"/>
      <c r="B2791" s="3"/>
      <c r="C2791" s="3"/>
    </row>
    <row r="2792" spans="1:3" ht="15.75" customHeight="1" x14ac:dyDescent="0.25">
      <c r="A2792" s="2"/>
      <c r="B2792" s="3"/>
      <c r="C2792" s="3"/>
    </row>
    <row r="2793" spans="1:3" ht="15.75" customHeight="1" x14ac:dyDescent="0.25">
      <c r="A2793" s="2"/>
      <c r="B2793" s="3"/>
      <c r="C2793" s="3"/>
    </row>
    <row r="2794" spans="1:3" ht="15.75" customHeight="1" x14ac:dyDescent="0.25">
      <c r="A2794" s="2"/>
      <c r="B2794" s="3"/>
      <c r="C2794" s="3"/>
    </row>
    <row r="2795" spans="1:3" ht="15.75" customHeight="1" x14ac:dyDescent="0.25">
      <c r="A2795" s="2"/>
      <c r="B2795" s="3"/>
      <c r="C2795" s="3"/>
    </row>
    <row r="2796" spans="1:3" ht="15.75" customHeight="1" x14ac:dyDescent="0.25">
      <c r="A2796" s="2"/>
      <c r="B2796" s="3"/>
      <c r="C2796" s="3"/>
    </row>
    <row r="2797" spans="1:3" ht="15.75" customHeight="1" x14ac:dyDescent="0.25">
      <c r="A2797" s="2"/>
      <c r="B2797" s="3"/>
      <c r="C2797" s="3"/>
    </row>
    <row r="2798" spans="1:3" ht="15.75" customHeight="1" x14ac:dyDescent="0.25">
      <c r="A2798" s="2"/>
      <c r="B2798" s="3"/>
      <c r="C2798" s="3"/>
    </row>
    <row r="2799" spans="1:3" ht="15.75" customHeight="1" x14ac:dyDescent="0.25">
      <c r="A2799" s="2"/>
      <c r="B2799" s="3"/>
      <c r="C2799" s="3"/>
    </row>
    <row r="2800" spans="1:3" ht="15.75" customHeight="1" x14ac:dyDescent="0.25">
      <c r="A2800" s="2"/>
      <c r="B2800" s="3"/>
      <c r="C2800" s="3"/>
    </row>
    <row r="2801" spans="1:3" ht="15.75" customHeight="1" x14ac:dyDescent="0.25">
      <c r="A2801" s="2"/>
      <c r="B2801" s="3"/>
      <c r="C2801" s="3"/>
    </row>
    <row r="2802" spans="1:3" ht="15.75" customHeight="1" x14ac:dyDescent="0.25">
      <c r="A2802" s="2"/>
      <c r="B2802" s="3"/>
      <c r="C2802" s="3"/>
    </row>
    <row r="2803" spans="1:3" ht="15.75" customHeight="1" x14ac:dyDescent="0.25">
      <c r="A2803" s="2"/>
      <c r="B2803" s="3"/>
      <c r="C2803" s="3"/>
    </row>
    <row r="2804" spans="1:3" ht="15.75" customHeight="1" x14ac:dyDescent="0.25">
      <c r="A2804" s="2"/>
      <c r="B2804" s="3"/>
      <c r="C2804" s="3"/>
    </row>
    <row r="2805" spans="1:3" ht="15.75" customHeight="1" x14ac:dyDescent="0.25">
      <c r="A2805" s="2"/>
      <c r="B2805" s="3"/>
      <c r="C2805" s="3"/>
    </row>
    <row r="2806" spans="1:3" ht="15.75" customHeight="1" x14ac:dyDescent="0.25">
      <c r="A2806" s="2"/>
      <c r="B2806" s="3"/>
      <c r="C2806" s="3"/>
    </row>
    <row r="2807" spans="1:3" ht="15.75" customHeight="1" x14ac:dyDescent="0.25">
      <c r="A2807" s="2"/>
      <c r="B2807" s="3"/>
      <c r="C2807" s="3"/>
    </row>
    <row r="2808" spans="1:3" ht="15.75" customHeight="1" x14ac:dyDescent="0.25">
      <c r="A2808" s="2"/>
      <c r="B2808" s="3"/>
      <c r="C2808" s="3"/>
    </row>
    <row r="2809" spans="1:3" ht="15.75" customHeight="1" x14ac:dyDescent="0.25">
      <c r="A2809" s="2"/>
      <c r="B2809" s="3"/>
      <c r="C2809" s="3"/>
    </row>
    <row r="2810" spans="1:3" ht="15.75" customHeight="1" x14ac:dyDescent="0.25">
      <c r="A2810" s="2"/>
      <c r="B2810" s="3"/>
      <c r="C2810" s="3"/>
    </row>
    <row r="2811" spans="1:3" ht="15.75" customHeight="1" x14ac:dyDescent="0.25">
      <c r="A2811" s="2"/>
      <c r="B2811" s="3"/>
      <c r="C2811" s="3"/>
    </row>
    <row r="2812" spans="1:3" ht="15.75" customHeight="1" x14ac:dyDescent="0.25">
      <c r="A2812" s="2"/>
      <c r="B2812" s="3"/>
      <c r="C2812" s="3"/>
    </row>
    <row r="2813" spans="1:3" ht="15.75" customHeight="1" x14ac:dyDescent="0.25">
      <c r="A2813" s="2"/>
      <c r="B2813" s="3"/>
      <c r="C2813" s="3"/>
    </row>
    <row r="2814" spans="1:3" ht="15.75" customHeight="1" x14ac:dyDescent="0.25">
      <c r="A2814" s="2"/>
      <c r="B2814" s="3"/>
      <c r="C2814" s="3"/>
    </row>
    <row r="2815" spans="1:3" ht="15.75" customHeight="1" x14ac:dyDescent="0.25">
      <c r="A2815" s="2"/>
      <c r="B2815" s="3"/>
      <c r="C2815" s="3"/>
    </row>
    <row r="2816" spans="1:3" ht="15.75" customHeight="1" x14ac:dyDescent="0.25">
      <c r="A2816" s="2"/>
      <c r="B2816" s="3"/>
      <c r="C2816" s="3"/>
    </row>
    <row r="2817" spans="1:3" ht="15.75" customHeight="1" x14ac:dyDescent="0.25">
      <c r="A2817" s="2"/>
      <c r="B2817" s="3"/>
      <c r="C2817" s="3"/>
    </row>
    <row r="2818" spans="1:3" ht="15.75" customHeight="1" x14ac:dyDescent="0.25">
      <c r="A2818" s="2"/>
      <c r="B2818" s="3"/>
      <c r="C2818" s="3"/>
    </row>
    <row r="2819" spans="1:3" ht="15.75" customHeight="1" x14ac:dyDescent="0.25">
      <c r="A2819" s="2"/>
      <c r="B2819" s="3"/>
      <c r="C2819" s="3"/>
    </row>
    <row r="2820" spans="1:3" ht="15.75" customHeight="1" x14ac:dyDescent="0.25">
      <c r="A2820" s="2"/>
      <c r="B2820" s="3"/>
      <c r="C2820" s="3"/>
    </row>
    <row r="2821" spans="1:3" ht="15.75" customHeight="1" x14ac:dyDescent="0.25">
      <c r="A2821" s="2"/>
      <c r="B2821" s="3"/>
      <c r="C2821" s="3"/>
    </row>
    <row r="2822" spans="1:3" ht="15.75" customHeight="1" x14ac:dyDescent="0.25">
      <c r="A2822" s="2"/>
      <c r="B2822" s="3"/>
      <c r="C2822" s="3"/>
    </row>
    <row r="2823" spans="1:3" ht="15.75" customHeight="1" x14ac:dyDescent="0.25">
      <c r="A2823" s="2"/>
      <c r="B2823" s="3"/>
      <c r="C2823" s="3"/>
    </row>
    <row r="2824" spans="1:3" ht="15.75" customHeight="1" x14ac:dyDescent="0.25">
      <c r="A2824" s="2"/>
      <c r="B2824" s="3"/>
      <c r="C2824" s="3"/>
    </row>
    <row r="2825" spans="1:3" ht="15.75" customHeight="1" x14ac:dyDescent="0.25">
      <c r="A2825" s="2"/>
      <c r="B2825" s="3"/>
      <c r="C2825" s="3"/>
    </row>
    <row r="2826" spans="1:3" ht="15.75" customHeight="1" x14ac:dyDescent="0.25">
      <c r="A2826" s="2"/>
      <c r="B2826" s="3"/>
      <c r="C2826" s="3"/>
    </row>
    <row r="2827" spans="1:3" ht="15.75" customHeight="1" x14ac:dyDescent="0.25">
      <c r="A2827" s="2"/>
      <c r="B2827" s="3"/>
      <c r="C2827" s="3"/>
    </row>
    <row r="2828" spans="1:3" ht="15.75" customHeight="1" x14ac:dyDescent="0.25">
      <c r="A2828" s="2"/>
      <c r="B2828" s="3"/>
      <c r="C2828" s="3"/>
    </row>
    <row r="2829" spans="1:3" ht="15.75" customHeight="1" x14ac:dyDescent="0.25">
      <c r="A2829" s="2"/>
      <c r="B2829" s="3"/>
      <c r="C2829" s="3"/>
    </row>
    <row r="2830" spans="1:3" ht="15.75" customHeight="1" x14ac:dyDescent="0.25">
      <c r="A2830" s="2"/>
      <c r="B2830" s="3"/>
      <c r="C2830" s="3"/>
    </row>
    <row r="2831" spans="1:3" ht="15.75" customHeight="1" x14ac:dyDescent="0.25">
      <c r="A2831" s="2"/>
      <c r="B2831" s="3"/>
      <c r="C2831" s="3"/>
    </row>
    <row r="2832" spans="1:3" ht="15.75" customHeight="1" x14ac:dyDescent="0.25">
      <c r="A2832" s="2"/>
      <c r="B2832" s="3"/>
      <c r="C2832" s="3"/>
    </row>
    <row r="2833" spans="1:3" ht="15.75" customHeight="1" x14ac:dyDescent="0.25">
      <c r="A2833" s="2"/>
      <c r="B2833" s="3"/>
      <c r="C2833" s="3"/>
    </row>
    <row r="2834" spans="1:3" ht="15.75" customHeight="1" x14ac:dyDescent="0.25">
      <c r="A2834" s="2"/>
      <c r="B2834" s="3"/>
      <c r="C2834" s="3"/>
    </row>
    <row r="2835" spans="1:3" ht="15.75" customHeight="1" x14ac:dyDescent="0.25">
      <c r="A2835" s="2"/>
      <c r="B2835" s="3"/>
      <c r="C2835" s="3"/>
    </row>
    <row r="2836" spans="1:3" ht="15.75" customHeight="1" x14ac:dyDescent="0.25">
      <c r="A2836" s="2"/>
      <c r="B2836" s="3"/>
      <c r="C2836" s="3"/>
    </row>
    <row r="2837" spans="1:3" ht="15.75" customHeight="1" x14ac:dyDescent="0.25">
      <c r="A2837" s="2"/>
      <c r="B2837" s="3"/>
      <c r="C2837" s="3"/>
    </row>
    <row r="2838" spans="1:3" ht="15.75" customHeight="1" x14ac:dyDescent="0.25">
      <c r="A2838" s="2"/>
      <c r="B2838" s="3"/>
      <c r="C2838" s="3"/>
    </row>
    <row r="2839" spans="1:3" ht="15.75" customHeight="1" x14ac:dyDescent="0.25">
      <c r="A2839" s="2"/>
      <c r="B2839" s="3"/>
      <c r="C2839" s="3"/>
    </row>
    <row r="2840" spans="1:3" ht="15.75" customHeight="1" x14ac:dyDescent="0.25">
      <c r="A2840" s="2"/>
      <c r="B2840" s="3"/>
      <c r="C2840" s="3"/>
    </row>
    <row r="2841" spans="1:3" ht="15.75" customHeight="1" x14ac:dyDescent="0.25">
      <c r="A2841" s="2"/>
      <c r="B2841" s="3"/>
      <c r="C2841" s="3"/>
    </row>
    <row r="2842" spans="1:3" ht="15.75" customHeight="1" x14ac:dyDescent="0.25">
      <c r="A2842" s="2"/>
      <c r="B2842" s="3"/>
      <c r="C2842" s="3"/>
    </row>
    <row r="2843" spans="1:3" ht="15.75" customHeight="1" x14ac:dyDescent="0.25">
      <c r="A2843" s="2"/>
      <c r="B2843" s="3"/>
      <c r="C2843" s="3"/>
    </row>
    <row r="2844" spans="1:3" ht="15.75" customHeight="1" x14ac:dyDescent="0.25">
      <c r="A2844" s="2"/>
      <c r="B2844" s="3"/>
      <c r="C2844" s="3"/>
    </row>
    <row r="2845" spans="1:3" ht="15.75" customHeight="1" x14ac:dyDescent="0.25">
      <c r="A2845" s="2"/>
      <c r="B2845" s="3"/>
      <c r="C2845" s="3"/>
    </row>
    <row r="2846" spans="1:3" ht="15.75" customHeight="1" x14ac:dyDescent="0.25">
      <c r="A2846" s="2"/>
      <c r="B2846" s="3"/>
      <c r="C2846" s="3"/>
    </row>
    <row r="2847" spans="1:3" ht="15.75" customHeight="1" x14ac:dyDescent="0.25">
      <c r="A2847" s="2"/>
      <c r="B2847" s="3"/>
      <c r="C2847" s="3"/>
    </row>
    <row r="2848" spans="1:3" ht="15.75" customHeight="1" x14ac:dyDescent="0.25">
      <c r="A2848" s="2"/>
      <c r="B2848" s="3"/>
      <c r="C2848" s="3"/>
    </row>
    <row r="2849" spans="1:3" ht="15.75" customHeight="1" x14ac:dyDescent="0.25">
      <c r="A2849" s="2"/>
      <c r="B2849" s="3"/>
      <c r="C2849" s="3"/>
    </row>
    <row r="2850" spans="1:3" ht="15.75" customHeight="1" x14ac:dyDescent="0.25">
      <c r="A2850" s="2"/>
      <c r="B2850" s="3"/>
      <c r="C2850" s="3"/>
    </row>
    <row r="2851" spans="1:3" ht="15.75" customHeight="1" x14ac:dyDescent="0.25">
      <c r="A2851" s="2"/>
      <c r="B2851" s="3"/>
      <c r="C2851" s="3"/>
    </row>
    <row r="2852" spans="1:3" ht="15.75" customHeight="1" x14ac:dyDescent="0.25">
      <c r="A2852" s="2"/>
      <c r="B2852" s="3"/>
      <c r="C2852" s="3"/>
    </row>
    <row r="2853" spans="1:3" ht="15.75" customHeight="1" x14ac:dyDescent="0.25">
      <c r="A2853" s="2"/>
      <c r="B2853" s="3"/>
      <c r="C2853" s="3"/>
    </row>
    <row r="2854" spans="1:3" ht="15.75" customHeight="1" x14ac:dyDescent="0.25">
      <c r="A2854" s="2"/>
      <c r="B2854" s="3"/>
      <c r="C2854" s="3"/>
    </row>
    <row r="2855" spans="1:3" ht="15.75" customHeight="1" x14ac:dyDescent="0.25">
      <c r="A2855" s="2"/>
      <c r="B2855" s="3"/>
      <c r="C2855" s="3"/>
    </row>
    <row r="2856" spans="1:3" ht="15.75" customHeight="1" x14ac:dyDescent="0.25">
      <c r="A2856" s="2"/>
      <c r="B2856" s="3"/>
      <c r="C2856" s="3"/>
    </row>
    <row r="2857" spans="1:3" ht="15.75" customHeight="1" x14ac:dyDescent="0.25">
      <c r="A2857" s="2"/>
      <c r="B2857" s="3"/>
      <c r="C2857" s="3"/>
    </row>
    <row r="2858" spans="1:3" ht="15.75" customHeight="1" x14ac:dyDescent="0.25">
      <c r="A2858" s="2"/>
      <c r="B2858" s="3"/>
      <c r="C2858" s="3"/>
    </row>
    <row r="2859" spans="1:3" ht="15.75" customHeight="1" x14ac:dyDescent="0.25">
      <c r="A2859" s="2"/>
      <c r="B2859" s="3"/>
      <c r="C2859" s="3"/>
    </row>
    <row r="2860" spans="1:3" ht="15.75" customHeight="1" x14ac:dyDescent="0.25">
      <c r="A2860" s="2"/>
      <c r="B2860" s="3"/>
      <c r="C2860" s="3"/>
    </row>
    <row r="2861" spans="1:3" ht="15.75" customHeight="1" x14ac:dyDescent="0.25">
      <c r="A2861" s="2"/>
      <c r="B2861" s="3"/>
      <c r="C2861" s="3"/>
    </row>
    <row r="2862" spans="1:3" ht="15.75" customHeight="1" x14ac:dyDescent="0.25">
      <c r="A2862" s="2"/>
      <c r="B2862" s="3"/>
      <c r="C2862" s="3"/>
    </row>
    <row r="2863" spans="1:3" ht="15.75" customHeight="1" x14ac:dyDescent="0.25">
      <c r="A2863" s="2"/>
      <c r="B2863" s="3"/>
      <c r="C2863" s="3"/>
    </row>
    <row r="2864" spans="1:3" ht="15.75" customHeight="1" x14ac:dyDescent="0.25">
      <c r="A2864" s="2"/>
      <c r="B2864" s="3"/>
      <c r="C2864" s="3"/>
    </row>
    <row r="2865" spans="1:3" ht="15.75" customHeight="1" x14ac:dyDescent="0.25">
      <c r="A2865" s="2"/>
      <c r="B2865" s="3"/>
      <c r="C2865" s="3"/>
    </row>
    <row r="2866" spans="1:3" ht="15.75" customHeight="1" x14ac:dyDescent="0.25">
      <c r="A2866" s="2"/>
      <c r="B2866" s="3"/>
      <c r="C2866" s="3"/>
    </row>
    <row r="2867" spans="1:3" ht="15.75" customHeight="1" x14ac:dyDescent="0.25">
      <c r="A2867" s="2"/>
      <c r="B2867" s="3"/>
      <c r="C2867" s="3"/>
    </row>
    <row r="2868" spans="1:3" ht="15.75" customHeight="1" x14ac:dyDescent="0.25">
      <c r="A2868" s="2"/>
      <c r="B2868" s="3"/>
      <c r="C2868" s="3"/>
    </row>
    <row r="2869" spans="1:3" ht="15.75" customHeight="1" x14ac:dyDescent="0.25">
      <c r="A2869" s="2"/>
      <c r="B2869" s="3"/>
      <c r="C2869" s="3"/>
    </row>
    <row r="2870" spans="1:3" ht="15.75" customHeight="1" x14ac:dyDescent="0.25">
      <c r="A2870" s="2"/>
      <c r="B2870" s="3"/>
      <c r="C2870" s="3"/>
    </row>
    <row r="2871" spans="1:3" ht="15.75" customHeight="1" x14ac:dyDescent="0.25">
      <c r="A2871" s="2"/>
      <c r="B2871" s="3"/>
      <c r="C2871" s="3"/>
    </row>
    <row r="2872" spans="1:3" ht="15.75" customHeight="1" x14ac:dyDescent="0.25">
      <c r="A2872" s="2"/>
      <c r="B2872" s="3"/>
      <c r="C2872" s="3"/>
    </row>
    <row r="2873" spans="1:3" ht="15.75" customHeight="1" x14ac:dyDescent="0.25">
      <c r="A2873" s="2"/>
      <c r="B2873" s="3"/>
      <c r="C2873" s="3"/>
    </row>
    <row r="2874" spans="1:3" ht="15.75" customHeight="1" x14ac:dyDescent="0.25">
      <c r="A2874" s="2"/>
      <c r="B2874" s="3"/>
      <c r="C2874" s="3"/>
    </row>
    <row r="2875" spans="1:3" ht="15.75" customHeight="1" x14ac:dyDescent="0.25">
      <c r="A2875" s="2"/>
      <c r="B2875" s="3"/>
      <c r="C2875" s="3"/>
    </row>
    <row r="2876" spans="1:3" ht="15.75" customHeight="1" x14ac:dyDescent="0.25">
      <c r="A2876" s="2"/>
      <c r="B2876" s="3"/>
      <c r="C2876" s="3"/>
    </row>
    <row r="2877" spans="1:3" ht="15.75" customHeight="1" x14ac:dyDescent="0.25">
      <c r="A2877" s="2"/>
      <c r="B2877" s="3"/>
      <c r="C2877" s="3"/>
    </row>
    <row r="2878" spans="1:3" ht="15.75" customHeight="1" x14ac:dyDescent="0.25">
      <c r="A2878" s="2"/>
      <c r="B2878" s="3"/>
      <c r="C2878" s="3"/>
    </row>
    <row r="2879" spans="1:3" ht="15.75" customHeight="1" x14ac:dyDescent="0.25">
      <c r="A2879" s="2"/>
      <c r="B2879" s="3"/>
      <c r="C2879" s="3"/>
    </row>
    <row r="2880" spans="1:3" ht="15.75" customHeight="1" x14ac:dyDescent="0.25">
      <c r="A2880" s="2"/>
      <c r="B2880" s="3"/>
      <c r="C2880" s="3"/>
    </row>
    <row r="2881" spans="1:3" ht="15.75" customHeight="1" x14ac:dyDescent="0.25">
      <c r="A2881" s="2"/>
      <c r="B2881" s="3"/>
      <c r="C2881" s="3"/>
    </row>
    <row r="2882" spans="1:3" ht="15.75" customHeight="1" x14ac:dyDescent="0.25">
      <c r="A2882" s="2"/>
      <c r="B2882" s="3"/>
      <c r="C2882" s="3"/>
    </row>
    <row r="2883" spans="1:3" ht="15.75" customHeight="1" x14ac:dyDescent="0.25">
      <c r="A2883" s="2"/>
      <c r="B2883" s="3"/>
      <c r="C2883" s="3"/>
    </row>
    <row r="2884" spans="1:3" ht="15.75" customHeight="1" x14ac:dyDescent="0.25">
      <c r="A2884" s="2"/>
      <c r="B2884" s="3"/>
      <c r="C2884" s="3"/>
    </row>
    <row r="2885" spans="1:3" ht="15.75" customHeight="1" x14ac:dyDescent="0.25">
      <c r="A2885" s="2"/>
      <c r="B2885" s="3"/>
      <c r="C2885" s="3"/>
    </row>
    <row r="2886" spans="1:3" ht="15.75" customHeight="1" x14ac:dyDescent="0.25">
      <c r="A2886" s="2"/>
      <c r="B2886" s="3"/>
      <c r="C2886" s="3"/>
    </row>
    <row r="2887" spans="1:3" ht="15.75" customHeight="1" x14ac:dyDescent="0.25">
      <c r="A2887" s="2"/>
      <c r="B2887" s="3"/>
      <c r="C2887" s="3"/>
    </row>
    <row r="2888" spans="1:3" ht="15.75" customHeight="1" x14ac:dyDescent="0.25">
      <c r="A2888" s="2"/>
      <c r="B2888" s="3"/>
      <c r="C2888" s="3"/>
    </row>
    <row r="2889" spans="1:3" ht="15.75" customHeight="1" x14ac:dyDescent="0.25">
      <c r="A2889" s="2"/>
      <c r="B2889" s="3"/>
      <c r="C2889" s="3"/>
    </row>
    <row r="2890" spans="1:3" ht="15.75" customHeight="1" x14ac:dyDescent="0.25">
      <c r="A2890" s="2"/>
      <c r="B2890" s="3"/>
      <c r="C2890" s="3"/>
    </row>
    <row r="2891" spans="1:3" ht="15.75" customHeight="1" x14ac:dyDescent="0.25">
      <c r="A2891" s="2"/>
      <c r="B2891" s="3"/>
      <c r="C2891" s="3"/>
    </row>
    <row r="2892" spans="1:3" ht="15.75" customHeight="1" x14ac:dyDescent="0.25">
      <c r="A2892" s="2"/>
      <c r="B2892" s="3"/>
      <c r="C2892" s="3"/>
    </row>
    <row r="2893" spans="1:3" ht="15.75" customHeight="1" x14ac:dyDescent="0.25">
      <c r="A2893" s="2"/>
      <c r="B2893" s="3"/>
      <c r="C2893" s="3"/>
    </row>
    <row r="2894" spans="1:3" ht="15.75" customHeight="1" x14ac:dyDescent="0.25">
      <c r="A2894" s="2"/>
      <c r="B2894" s="3"/>
      <c r="C2894" s="3"/>
    </row>
    <row r="2895" spans="1:3" ht="15.75" customHeight="1" x14ac:dyDescent="0.25">
      <c r="A2895" s="2"/>
      <c r="B2895" s="3"/>
      <c r="C2895" s="3"/>
    </row>
    <row r="2896" spans="1:3" ht="15.75" customHeight="1" x14ac:dyDescent="0.25">
      <c r="A2896" s="2"/>
      <c r="B2896" s="3"/>
      <c r="C2896" s="3"/>
    </row>
    <row r="2897" spans="1:3" ht="15.75" customHeight="1" x14ac:dyDescent="0.25">
      <c r="A2897" s="2"/>
      <c r="B2897" s="3"/>
      <c r="C2897" s="3"/>
    </row>
    <row r="2898" spans="1:3" ht="15.75" customHeight="1" x14ac:dyDescent="0.25">
      <c r="A2898" s="2"/>
      <c r="B2898" s="3"/>
      <c r="C2898" s="3"/>
    </row>
    <row r="2899" spans="1:3" ht="15.75" customHeight="1" x14ac:dyDescent="0.25">
      <c r="A2899" s="2"/>
      <c r="B2899" s="3"/>
      <c r="C2899" s="3"/>
    </row>
    <row r="2900" spans="1:3" ht="15.75" customHeight="1" x14ac:dyDescent="0.25">
      <c r="A2900" s="2"/>
      <c r="B2900" s="3"/>
      <c r="C2900" s="3"/>
    </row>
    <row r="2901" spans="1:3" ht="15.75" customHeight="1" x14ac:dyDescent="0.25">
      <c r="A2901" s="2"/>
      <c r="B2901" s="3"/>
      <c r="C2901" s="3"/>
    </row>
    <row r="2902" spans="1:3" ht="15.75" customHeight="1" x14ac:dyDescent="0.25">
      <c r="A2902" s="2"/>
      <c r="B2902" s="3"/>
      <c r="C2902" s="3"/>
    </row>
    <row r="2903" spans="1:3" ht="15.75" customHeight="1" x14ac:dyDescent="0.25">
      <c r="A2903" s="2"/>
      <c r="B2903" s="3"/>
      <c r="C2903" s="3"/>
    </row>
    <row r="2904" spans="1:3" ht="15.75" customHeight="1" x14ac:dyDescent="0.25">
      <c r="A2904" s="2"/>
      <c r="B2904" s="3"/>
      <c r="C2904" s="3"/>
    </row>
    <row r="2905" spans="1:3" ht="15.75" customHeight="1" x14ac:dyDescent="0.25">
      <c r="A2905" s="2"/>
      <c r="B2905" s="3"/>
      <c r="C2905" s="3"/>
    </row>
    <row r="2906" spans="1:3" ht="15.75" customHeight="1" x14ac:dyDescent="0.25">
      <c r="A2906" s="2"/>
      <c r="B2906" s="3"/>
      <c r="C2906" s="3"/>
    </row>
    <row r="2907" spans="1:3" ht="15.75" customHeight="1" x14ac:dyDescent="0.25">
      <c r="A2907" s="2"/>
      <c r="B2907" s="3"/>
      <c r="C2907" s="3"/>
    </row>
    <row r="2908" spans="1:3" ht="15.75" customHeight="1" x14ac:dyDescent="0.25">
      <c r="A2908" s="2"/>
      <c r="B2908" s="3"/>
      <c r="C2908" s="3"/>
    </row>
    <row r="2909" spans="1:3" ht="15.75" customHeight="1" x14ac:dyDescent="0.25">
      <c r="A2909" s="2"/>
      <c r="B2909" s="3"/>
      <c r="C2909" s="3"/>
    </row>
    <row r="2910" spans="1:3" ht="15.75" customHeight="1" x14ac:dyDescent="0.25">
      <c r="A2910" s="2"/>
      <c r="B2910" s="3"/>
      <c r="C2910" s="3"/>
    </row>
    <row r="2911" spans="1:3" ht="15.75" customHeight="1" x14ac:dyDescent="0.25">
      <c r="A2911" s="2"/>
      <c r="B2911" s="3"/>
      <c r="C2911" s="3"/>
    </row>
    <row r="2912" spans="1:3" ht="15.75" customHeight="1" x14ac:dyDescent="0.25">
      <c r="A2912" s="2"/>
      <c r="B2912" s="3"/>
      <c r="C2912" s="3"/>
    </row>
    <row r="2913" spans="1:3" ht="15.75" customHeight="1" x14ac:dyDescent="0.25">
      <c r="A2913" s="2"/>
      <c r="B2913" s="3"/>
      <c r="C2913" s="3"/>
    </row>
    <row r="2914" spans="1:3" ht="15.75" customHeight="1" x14ac:dyDescent="0.25">
      <c r="A2914" s="2"/>
      <c r="B2914" s="3"/>
      <c r="C2914" s="3"/>
    </row>
    <row r="2915" spans="1:3" ht="15.75" customHeight="1" x14ac:dyDescent="0.25">
      <c r="A2915" s="2"/>
      <c r="B2915" s="3"/>
      <c r="C2915" s="3"/>
    </row>
    <row r="2916" spans="1:3" ht="15.75" customHeight="1" x14ac:dyDescent="0.25">
      <c r="A2916" s="2"/>
      <c r="B2916" s="3"/>
      <c r="C2916" s="3"/>
    </row>
    <row r="2917" spans="1:3" ht="15.75" customHeight="1" x14ac:dyDescent="0.25">
      <c r="A2917" s="2"/>
      <c r="B2917" s="3"/>
      <c r="C2917" s="3"/>
    </row>
    <row r="2918" spans="1:3" ht="15.75" customHeight="1" x14ac:dyDescent="0.25">
      <c r="A2918" s="2"/>
      <c r="B2918" s="3"/>
      <c r="C2918" s="3"/>
    </row>
    <row r="2919" spans="1:3" ht="15.75" customHeight="1" x14ac:dyDescent="0.25">
      <c r="A2919" s="2"/>
      <c r="B2919" s="3"/>
      <c r="C2919" s="3"/>
    </row>
    <row r="2920" spans="1:3" ht="15.75" customHeight="1" x14ac:dyDescent="0.25">
      <c r="A2920" s="2"/>
      <c r="B2920" s="3"/>
      <c r="C2920" s="3"/>
    </row>
    <row r="2921" spans="1:3" ht="15.75" customHeight="1" x14ac:dyDescent="0.25">
      <c r="A2921" s="2"/>
      <c r="B2921" s="3"/>
      <c r="C2921" s="3"/>
    </row>
    <row r="2922" spans="1:3" ht="15.75" customHeight="1" x14ac:dyDescent="0.25">
      <c r="A2922" s="2"/>
      <c r="B2922" s="3"/>
      <c r="C2922" s="3"/>
    </row>
    <row r="2923" spans="1:3" ht="15.75" customHeight="1" x14ac:dyDescent="0.25">
      <c r="A2923" s="2"/>
      <c r="B2923" s="3"/>
      <c r="C2923" s="3"/>
    </row>
    <row r="2924" spans="1:3" ht="15.75" customHeight="1" x14ac:dyDescent="0.25">
      <c r="A2924" s="2"/>
      <c r="B2924" s="3"/>
      <c r="C2924" s="3"/>
    </row>
    <row r="2925" spans="1:3" ht="15.75" customHeight="1" x14ac:dyDescent="0.25">
      <c r="A2925" s="2"/>
      <c r="B2925" s="3"/>
      <c r="C2925" s="3"/>
    </row>
    <row r="2926" spans="1:3" ht="15.75" customHeight="1" x14ac:dyDescent="0.25">
      <c r="A2926" s="2"/>
      <c r="B2926" s="3"/>
      <c r="C2926" s="3"/>
    </row>
    <row r="2927" spans="1:3" ht="15.75" customHeight="1" x14ac:dyDescent="0.25">
      <c r="A2927" s="2"/>
      <c r="B2927" s="3"/>
      <c r="C2927" s="3"/>
    </row>
    <row r="2928" spans="1:3" ht="15.75" customHeight="1" x14ac:dyDescent="0.25">
      <c r="A2928" s="2"/>
      <c r="B2928" s="3"/>
      <c r="C2928" s="3"/>
    </row>
    <row r="2929" spans="1:3" ht="15.75" customHeight="1" x14ac:dyDescent="0.25">
      <c r="A2929" s="2"/>
      <c r="B2929" s="3"/>
      <c r="C2929" s="3"/>
    </row>
    <row r="2930" spans="1:3" ht="15.75" customHeight="1" x14ac:dyDescent="0.25">
      <c r="A2930" s="2"/>
      <c r="B2930" s="3"/>
      <c r="C2930" s="3"/>
    </row>
    <row r="2931" spans="1:3" ht="15.75" customHeight="1" x14ac:dyDescent="0.25">
      <c r="A2931" s="2"/>
      <c r="B2931" s="3"/>
      <c r="C2931" s="3"/>
    </row>
    <row r="2932" spans="1:3" ht="15.75" customHeight="1" x14ac:dyDescent="0.25">
      <c r="A2932" s="2"/>
      <c r="B2932" s="3"/>
      <c r="C2932" s="3"/>
    </row>
    <row r="2933" spans="1:3" ht="15.75" customHeight="1" x14ac:dyDescent="0.25">
      <c r="A2933" s="2"/>
      <c r="B2933" s="3"/>
      <c r="C2933" s="3"/>
    </row>
    <row r="2934" spans="1:3" ht="15.75" customHeight="1" x14ac:dyDescent="0.25">
      <c r="A2934" s="2"/>
      <c r="B2934" s="3"/>
      <c r="C2934" s="3"/>
    </row>
    <row r="2935" spans="1:3" ht="15.75" customHeight="1" x14ac:dyDescent="0.25">
      <c r="A2935" s="2"/>
      <c r="B2935" s="3"/>
      <c r="C2935" s="3"/>
    </row>
    <row r="2936" spans="1:3" ht="15.75" customHeight="1" x14ac:dyDescent="0.25">
      <c r="A2936" s="2"/>
      <c r="B2936" s="3"/>
      <c r="C2936" s="3"/>
    </row>
    <row r="2937" spans="1:3" ht="15.75" customHeight="1" x14ac:dyDescent="0.25">
      <c r="A2937" s="2"/>
      <c r="B2937" s="3"/>
      <c r="C2937" s="3"/>
    </row>
    <row r="2938" spans="1:3" ht="15.75" customHeight="1" x14ac:dyDescent="0.25">
      <c r="A2938" s="2"/>
      <c r="B2938" s="3"/>
      <c r="C2938" s="3"/>
    </row>
    <row r="2939" spans="1:3" ht="15.75" customHeight="1" x14ac:dyDescent="0.25">
      <c r="A2939" s="2"/>
      <c r="B2939" s="3"/>
      <c r="C2939" s="3"/>
    </row>
    <row r="2940" spans="1:3" ht="15.75" customHeight="1" x14ac:dyDescent="0.25">
      <c r="A2940" s="2"/>
      <c r="B2940" s="3"/>
      <c r="C2940" s="3"/>
    </row>
    <row r="2941" spans="1:3" ht="15.75" customHeight="1" x14ac:dyDescent="0.25">
      <c r="A2941" s="2"/>
      <c r="B2941" s="3"/>
      <c r="C2941" s="3"/>
    </row>
    <row r="2942" spans="1:3" ht="15.75" customHeight="1" x14ac:dyDescent="0.25">
      <c r="A2942" s="2"/>
      <c r="B2942" s="3"/>
      <c r="C2942" s="3"/>
    </row>
    <row r="2943" spans="1:3" ht="15.75" customHeight="1" x14ac:dyDescent="0.25">
      <c r="A2943" s="2"/>
      <c r="B2943" s="3"/>
      <c r="C2943" s="3"/>
    </row>
    <row r="2944" spans="1:3" ht="15.75" customHeight="1" x14ac:dyDescent="0.25">
      <c r="A2944" s="2"/>
      <c r="B2944" s="3"/>
      <c r="C2944" s="3"/>
    </row>
    <row r="2945" spans="1:3" ht="15.75" customHeight="1" x14ac:dyDescent="0.25">
      <c r="A2945" s="2"/>
      <c r="B2945" s="3"/>
      <c r="C2945" s="3"/>
    </row>
    <row r="2946" spans="1:3" ht="15.75" customHeight="1" x14ac:dyDescent="0.25">
      <c r="A2946" s="2"/>
      <c r="B2946" s="3"/>
      <c r="C2946" s="3"/>
    </row>
    <row r="2947" spans="1:3" ht="15.75" customHeight="1" x14ac:dyDescent="0.25">
      <c r="A2947" s="2"/>
      <c r="B2947" s="3"/>
      <c r="C2947" s="3"/>
    </row>
    <row r="2948" spans="1:3" ht="15.75" customHeight="1" x14ac:dyDescent="0.25">
      <c r="A2948" s="2"/>
      <c r="B2948" s="3"/>
      <c r="C2948" s="3"/>
    </row>
    <row r="2949" spans="1:3" ht="15.75" customHeight="1" x14ac:dyDescent="0.25">
      <c r="A2949" s="2"/>
      <c r="B2949" s="3"/>
      <c r="C2949" s="3"/>
    </row>
    <row r="2950" spans="1:3" ht="15.75" customHeight="1" x14ac:dyDescent="0.25">
      <c r="A2950" s="2"/>
      <c r="B2950" s="3"/>
      <c r="C2950" s="3"/>
    </row>
    <row r="2951" spans="1:3" ht="15.75" customHeight="1" x14ac:dyDescent="0.25">
      <c r="A2951" s="2"/>
      <c r="B2951" s="3"/>
      <c r="C2951" s="3"/>
    </row>
    <row r="2952" spans="1:3" ht="15.75" customHeight="1" x14ac:dyDescent="0.25">
      <c r="A2952" s="2"/>
      <c r="B2952" s="3"/>
      <c r="C2952" s="3"/>
    </row>
    <row r="2953" spans="1:3" ht="15.75" customHeight="1" x14ac:dyDescent="0.25">
      <c r="A2953" s="2"/>
      <c r="B2953" s="3"/>
      <c r="C2953" s="3"/>
    </row>
    <row r="2954" spans="1:3" ht="15.75" customHeight="1" x14ac:dyDescent="0.25">
      <c r="A2954" s="2"/>
      <c r="B2954" s="3"/>
      <c r="C2954" s="3"/>
    </row>
    <row r="2955" spans="1:3" ht="15.75" customHeight="1" x14ac:dyDescent="0.25">
      <c r="A2955" s="2"/>
      <c r="B2955" s="3"/>
      <c r="C2955" s="3"/>
    </row>
    <row r="2956" spans="1:3" ht="15.75" customHeight="1" x14ac:dyDescent="0.25">
      <c r="A2956" s="2"/>
      <c r="B2956" s="3"/>
      <c r="C2956" s="3"/>
    </row>
    <row r="2957" spans="1:3" ht="15.75" customHeight="1" x14ac:dyDescent="0.25">
      <c r="A2957" s="2"/>
      <c r="B2957" s="3"/>
      <c r="C2957" s="3"/>
    </row>
    <row r="2958" spans="1:3" ht="15.75" customHeight="1" x14ac:dyDescent="0.25">
      <c r="A2958" s="2"/>
      <c r="B2958" s="3"/>
      <c r="C2958" s="3"/>
    </row>
    <row r="2959" spans="1:3" ht="15.75" customHeight="1" x14ac:dyDescent="0.25">
      <c r="A2959" s="2"/>
      <c r="B2959" s="3"/>
      <c r="C2959" s="3"/>
    </row>
    <row r="2960" spans="1:3" ht="15.75" customHeight="1" x14ac:dyDescent="0.25">
      <c r="A2960" s="2"/>
      <c r="B2960" s="3"/>
      <c r="C2960" s="3"/>
    </row>
    <row r="2961" spans="1:3" ht="15.75" customHeight="1" x14ac:dyDescent="0.25">
      <c r="A2961" s="2"/>
      <c r="B2961" s="3"/>
      <c r="C2961" s="3"/>
    </row>
    <row r="2962" spans="1:3" ht="15.75" customHeight="1" x14ac:dyDescent="0.25">
      <c r="A2962" s="2"/>
      <c r="B2962" s="3"/>
      <c r="C2962" s="3"/>
    </row>
    <row r="2963" spans="1:3" ht="15.75" customHeight="1" x14ac:dyDescent="0.25">
      <c r="A2963" s="2"/>
      <c r="B2963" s="3"/>
      <c r="C2963" s="3"/>
    </row>
    <row r="2964" spans="1:3" ht="15.75" customHeight="1" x14ac:dyDescent="0.25">
      <c r="A2964" s="2"/>
      <c r="B2964" s="3"/>
      <c r="C2964" s="3"/>
    </row>
    <row r="2965" spans="1:3" ht="15.75" customHeight="1" x14ac:dyDescent="0.25">
      <c r="A2965" s="2"/>
      <c r="B2965" s="3"/>
      <c r="C2965" s="3"/>
    </row>
    <row r="2966" spans="1:3" ht="15.75" customHeight="1" x14ac:dyDescent="0.25">
      <c r="A2966" s="2"/>
      <c r="B2966" s="3"/>
      <c r="C2966" s="3"/>
    </row>
    <row r="2967" spans="1:3" ht="15.75" customHeight="1" x14ac:dyDescent="0.25">
      <c r="A2967" s="2"/>
      <c r="B2967" s="3"/>
      <c r="C2967" s="3"/>
    </row>
    <row r="2968" spans="1:3" ht="15.75" customHeight="1" x14ac:dyDescent="0.25">
      <c r="A2968" s="2"/>
      <c r="B2968" s="3"/>
      <c r="C2968" s="3"/>
    </row>
    <row r="2969" spans="1:3" ht="15.75" customHeight="1" x14ac:dyDescent="0.25">
      <c r="A2969" s="2"/>
      <c r="B2969" s="3"/>
      <c r="C2969" s="3"/>
    </row>
    <row r="2970" spans="1:3" ht="15.75" customHeight="1" x14ac:dyDescent="0.25">
      <c r="A2970" s="2"/>
      <c r="B2970" s="3"/>
      <c r="C2970" s="3"/>
    </row>
    <row r="2971" spans="1:3" ht="15.75" customHeight="1" x14ac:dyDescent="0.25">
      <c r="A2971" s="2"/>
      <c r="B2971" s="3"/>
      <c r="C2971" s="3"/>
    </row>
    <row r="2972" spans="1:3" ht="15.75" customHeight="1" x14ac:dyDescent="0.25">
      <c r="A2972" s="2"/>
      <c r="B2972" s="3"/>
      <c r="C2972" s="3"/>
    </row>
    <row r="2973" spans="1:3" ht="15.75" customHeight="1" x14ac:dyDescent="0.25">
      <c r="A2973" s="2"/>
      <c r="B2973" s="3"/>
      <c r="C2973" s="3"/>
    </row>
    <row r="2974" spans="1:3" ht="15.75" customHeight="1" x14ac:dyDescent="0.25">
      <c r="A2974" s="2"/>
      <c r="B2974" s="3"/>
      <c r="C2974" s="3"/>
    </row>
    <row r="2975" spans="1:3" ht="15.75" customHeight="1" x14ac:dyDescent="0.25">
      <c r="A2975" s="2"/>
      <c r="B2975" s="3"/>
      <c r="C2975" s="3"/>
    </row>
    <row r="2976" spans="1:3" ht="15.75" customHeight="1" x14ac:dyDescent="0.25">
      <c r="A2976" s="2"/>
      <c r="B2976" s="3"/>
      <c r="C2976" s="3"/>
    </row>
    <row r="2977" spans="1:3" ht="15.75" customHeight="1" x14ac:dyDescent="0.25">
      <c r="A2977" s="2"/>
      <c r="B2977" s="3"/>
      <c r="C2977" s="3"/>
    </row>
    <row r="2978" spans="1:3" ht="15.75" customHeight="1" x14ac:dyDescent="0.25">
      <c r="A2978" s="2"/>
      <c r="B2978" s="3"/>
      <c r="C2978" s="3"/>
    </row>
    <row r="2979" spans="1:3" ht="15.75" customHeight="1" x14ac:dyDescent="0.25">
      <c r="A2979" s="2"/>
      <c r="B2979" s="3"/>
      <c r="C2979" s="3"/>
    </row>
    <row r="2980" spans="1:3" ht="15.75" customHeight="1" x14ac:dyDescent="0.25">
      <c r="A2980" s="2"/>
      <c r="B2980" s="3"/>
      <c r="C2980" s="3"/>
    </row>
    <row r="2981" spans="1:3" ht="15.75" customHeight="1" x14ac:dyDescent="0.25">
      <c r="A2981" s="2"/>
      <c r="B2981" s="3"/>
      <c r="C2981" s="3"/>
    </row>
    <row r="2982" spans="1:3" ht="15.75" customHeight="1" x14ac:dyDescent="0.25">
      <c r="A2982" s="2"/>
      <c r="B2982" s="3"/>
      <c r="C2982" s="3"/>
    </row>
    <row r="2983" spans="1:3" ht="15.75" customHeight="1" x14ac:dyDescent="0.25">
      <c r="A2983" s="2"/>
      <c r="B2983" s="3"/>
      <c r="C2983" s="3"/>
    </row>
    <row r="2984" spans="1:3" ht="15.75" customHeight="1" x14ac:dyDescent="0.25">
      <c r="A2984" s="2"/>
      <c r="B2984" s="3"/>
      <c r="C2984" s="3"/>
    </row>
    <row r="2985" spans="1:3" ht="15.75" customHeight="1" x14ac:dyDescent="0.25">
      <c r="A2985" s="2"/>
      <c r="B2985" s="3"/>
      <c r="C2985" s="3"/>
    </row>
    <row r="2986" spans="1:3" ht="15.75" customHeight="1" x14ac:dyDescent="0.25">
      <c r="A2986" s="2"/>
      <c r="B2986" s="3"/>
      <c r="C2986" s="3"/>
    </row>
    <row r="2987" spans="1:3" ht="15.75" customHeight="1" x14ac:dyDescent="0.25">
      <c r="A2987" s="2"/>
      <c r="B2987" s="3"/>
      <c r="C2987" s="3"/>
    </row>
    <row r="2988" spans="1:3" ht="15.75" customHeight="1" x14ac:dyDescent="0.25">
      <c r="A2988" s="2"/>
      <c r="B2988" s="3"/>
      <c r="C2988" s="3"/>
    </row>
    <row r="2989" spans="1:3" ht="15.75" customHeight="1" x14ac:dyDescent="0.25">
      <c r="A2989" s="2"/>
      <c r="B2989" s="3"/>
      <c r="C2989" s="3"/>
    </row>
    <row r="2990" spans="1:3" ht="15.75" customHeight="1" x14ac:dyDescent="0.25">
      <c r="A2990" s="2"/>
      <c r="B2990" s="3"/>
      <c r="C2990" s="3"/>
    </row>
    <row r="2991" spans="1:3" ht="15.75" customHeight="1" x14ac:dyDescent="0.25">
      <c r="A2991" s="2"/>
      <c r="B2991" s="3"/>
      <c r="C2991" s="3"/>
    </row>
    <row r="2992" spans="1:3" ht="15.75" customHeight="1" x14ac:dyDescent="0.25">
      <c r="A2992" s="2"/>
      <c r="B2992" s="3"/>
      <c r="C2992" s="3"/>
    </row>
    <row r="2993" spans="1:3" ht="15.75" customHeight="1" x14ac:dyDescent="0.25">
      <c r="A2993" s="2"/>
      <c r="B2993" s="3"/>
      <c r="C2993" s="3"/>
    </row>
    <row r="2994" spans="1:3" ht="15.75" customHeight="1" x14ac:dyDescent="0.25">
      <c r="A2994" s="2"/>
      <c r="B2994" s="3"/>
      <c r="C2994" s="3"/>
    </row>
    <row r="2995" spans="1:3" ht="15.75" customHeight="1" x14ac:dyDescent="0.25">
      <c r="A2995" s="2"/>
      <c r="B2995" s="3"/>
      <c r="C2995" s="3"/>
    </row>
    <row r="2996" spans="1:3" ht="15.75" customHeight="1" x14ac:dyDescent="0.25">
      <c r="A2996" s="2"/>
      <c r="B2996" s="3"/>
      <c r="C2996" s="3"/>
    </row>
    <row r="2997" spans="1:3" ht="15.75" customHeight="1" x14ac:dyDescent="0.25">
      <c r="A2997" s="2"/>
      <c r="B2997" s="3"/>
      <c r="C2997" s="3"/>
    </row>
    <row r="2998" spans="1:3" ht="15.75" customHeight="1" x14ac:dyDescent="0.25">
      <c r="A2998" s="2"/>
      <c r="B2998" s="3"/>
      <c r="C2998" s="3"/>
    </row>
    <row r="2999" spans="1:3" ht="15.75" customHeight="1" x14ac:dyDescent="0.25">
      <c r="A2999" s="2"/>
      <c r="B2999" s="3"/>
      <c r="C2999" s="3"/>
    </row>
    <row r="3000" spans="1:3" ht="15.75" customHeight="1" x14ac:dyDescent="0.25">
      <c r="A3000" s="2"/>
      <c r="B3000" s="3"/>
      <c r="C3000" s="3"/>
    </row>
    <row r="3001" spans="1:3" ht="15.75" customHeight="1" x14ac:dyDescent="0.25">
      <c r="A3001" s="2"/>
      <c r="B3001" s="3"/>
      <c r="C3001" s="3"/>
    </row>
    <row r="3002" spans="1:3" ht="15.75" customHeight="1" x14ac:dyDescent="0.25">
      <c r="A3002" s="2"/>
      <c r="B3002" s="3"/>
      <c r="C3002" s="3"/>
    </row>
    <row r="3003" spans="1:3" ht="15.75" customHeight="1" x14ac:dyDescent="0.25">
      <c r="A3003" s="2"/>
      <c r="B3003" s="3"/>
      <c r="C3003" s="3"/>
    </row>
    <row r="3004" spans="1:3" ht="15.75" customHeight="1" x14ac:dyDescent="0.25">
      <c r="A3004" s="2"/>
      <c r="B3004" s="3"/>
      <c r="C3004" s="3"/>
    </row>
    <row r="3005" spans="1:3" ht="15.75" customHeight="1" x14ac:dyDescent="0.25">
      <c r="A3005" s="2"/>
      <c r="B3005" s="3"/>
      <c r="C3005" s="3"/>
    </row>
    <row r="3006" spans="1:3" ht="15.75" customHeight="1" x14ac:dyDescent="0.25">
      <c r="A3006" s="2"/>
      <c r="B3006" s="3"/>
      <c r="C3006" s="3"/>
    </row>
    <row r="3007" spans="1:3" ht="15.75" customHeight="1" x14ac:dyDescent="0.25">
      <c r="A3007" s="2"/>
      <c r="B3007" s="3"/>
      <c r="C3007" s="3"/>
    </row>
    <row r="3008" spans="1:3" ht="15.75" customHeight="1" x14ac:dyDescent="0.25">
      <c r="A3008" s="2"/>
      <c r="B3008" s="3"/>
      <c r="C3008" s="3"/>
    </row>
    <row r="3009" spans="1:3" ht="15.75" customHeight="1" x14ac:dyDescent="0.25">
      <c r="A3009" s="2"/>
      <c r="B3009" s="3"/>
      <c r="C3009" s="3"/>
    </row>
    <row r="3010" spans="1:3" ht="15.75" customHeight="1" x14ac:dyDescent="0.25">
      <c r="A3010" s="2"/>
      <c r="B3010" s="3"/>
      <c r="C3010" s="3"/>
    </row>
    <row r="3011" spans="1:3" ht="15.75" customHeight="1" x14ac:dyDescent="0.25">
      <c r="A3011" s="2"/>
      <c r="B3011" s="3"/>
      <c r="C3011" s="3"/>
    </row>
    <row r="3012" spans="1:3" ht="15.75" customHeight="1" x14ac:dyDescent="0.25">
      <c r="A3012" s="2"/>
      <c r="B3012" s="3"/>
      <c r="C3012" s="3"/>
    </row>
    <row r="3013" spans="1:3" ht="15.75" customHeight="1" x14ac:dyDescent="0.25">
      <c r="A3013" s="2"/>
      <c r="B3013" s="3"/>
      <c r="C3013" s="3"/>
    </row>
    <row r="3014" spans="1:3" ht="15.75" customHeight="1" x14ac:dyDescent="0.25">
      <c r="A3014" s="2"/>
      <c r="B3014" s="3"/>
      <c r="C3014" s="3"/>
    </row>
    <row r="3015" spans="1:3" ht="15.75" customHeight="1" x14ac:dyDescent="0.25">
      <c r="A3015" s="2"/>
      <c r="B3015" s="3"/>
      <c r="C3015" s="3"/>
    </row>
    <row r="3016" spans="1:3" ht="15.75" customHeight="1" x14ac:dyDescent="0.25">
      <c r="A3016" s="2"/>
      <c r="B3016" s="3"/>
      <c r="C3016" s="3"/>
    </row>
    <row r="3017" spans="1:3" ht="15.75" customHeight="1" x14ac:dyDescent="0.25">
      <c r="A3017" s="2"/>
      <c r="B3017" s="3"/>
      <c r="C3017" s="3"/>
    </row>
    <row r="3018" spans="1:3" ht="15.75" customHeight="1" x14ac:dyDescent="0.25">
      <c r="A3018" s="2"/>
      <c r="B3018" s="3"/>
      <c r="C3018" s="3"/>
    </row>
    <row r="3019" spans="1:3" ht="15.75" customHeight="1" x14ac:dyDescent="0.25">
      <c r="A3019" s="2"/>
      <c r="B3019" s="3"/>
      <c r="C3019" s="3"/>
    </row>
    <row r="3020" spans="1:3" ht="15.75" customHeight="1" x14ac:dyDescent="0.25">
      <c r="A3020" s="2"/>
      <c r="B3020" s="3"/>
      <c r="C3020" s="3"/>
    </row>
    <row r="3021" spans="1:3" ht="15.75" customHeight="1" x14ac:dyDescent="0.25">
      <c r="A3021" s="2"/>
      <c r="B3021" s="3"/>
      <c r="C3021" s="3"/>
    </row>
    <row r="3022" spans="1:3" ht="15.75" customHeight="1" x14ac:dyDescent="0.25">
      <c r="A3022" s="2"/>
      <c r="B3022" s="3"/>
      <c r="C3022" s="3"/>
    </row>
    <row r="3023" spans="1:3" ht="15.75" customHeight="1" x14ac:dyDescent="0.25">
      <c r="A3023" s="2"/>
      <c r="B3023" s="3"/>
      <c r="C3023" s="3"/>
    </row>
    <row r="3024" spans="1:3" ht="15.75" customHeight="1" x14ac:dyDescent="0.25">
      <c r="A3024" s="2"/>
      <c r="B3024" s="3"/>
      <c r="C3024" s="3"/>
    </row>
    <row r="3025" spans="1:3" ht="15.75" customHeight="1" x14ac:dyDescent="0.25">
      <c r="A3025" s="2"/>
      <c r="B3025" s="3"/>
      <c r="C3025" s="3"/>
    </row>
    <row r="3026" spans="1:3" ht="15.75" customHeight="1" x14ac:dyDescent="0.25">
      <c r="A3026" s="2"/>
      <c r="B3026" s="3"/>
      <c r="C3026" s="3"/>
    </row>
    <row r="3027" spans="1:3" ht="15.75" customHeight="1" x14ac:dyDescent="0.25">
      <c r="A3027" s="2"/>
      <c r="B3027" s="3"/>
      <c r="C3027" s="3"/>
    </row>
    <row r="3028" spans="1:3" ht="15.75" customHeight="1" x14ac:dyDescent="0.25">
      <c r="A3028" s="2"/>
      <c r="B3028" s="3"/>
      <c r="C3028" s="3"/>
    </row>
    <row r="3029" spans="1:3" ht="15.75" customHeight="1" x14ac:dyDescent="0.25">
      <c r="A3029" s="2"/>
      <c r="B3029" s="3"/>
      <c r="C3029" s="3"/>
    </row>
    <row r="3030" spans="1:3" ht="15.75" customHeight="1" x14ac:dyDescent="0.25">
      <c r="A3030" s="2"/>
      <c r="B3030" s="3"/>
      <c r="C3030" s="3"/>
    </row>
    <row r="3031" spans="1:3" ht="15.75" customHeight="1" x14ac:dyDescent="0.25">
      <c r="A3031" s="2"/>
      <c r="B3031" s="3"/>
      <c r="C3031" s="3"/>
    </row>
    <row r="3032" spans="1:3" ht="15.75" customHeight="1" x14ac:dyDescent="0.25">
      <c r="A3032" s="2"/>
      <c r="B3032" s="3"/>
      <c r="C3032" s="3"/>
    </row>
    <row r="3033" spans="1:3" ht="15.75" customHeight="1" x14ac:dyDescent="0.25">
      <c r="A3033" s="2"/>
      <c r="B3033" s="3"/>
      <c r="C3033" s="3"/>
    </row>
    <row r="3034" spans="1:3" ht="15.75" customHeight="1" x14ac:dyDescent="0.25">
      <c r="A3034" s="2"/>
      <c r="B3034" s="3"/>
      <c r="C3034" s="3"/>
    </row>
    <row r="3035" spans="1:3" ht="15.75" customHeight="1" x14ac:dyDescent="0.25">
      <c r="A3035" s="2"/>
      <c r="B3035" s="3"/>
      <c r="C3035" s="3"/>
    </row>
    <row r="3036" spans="1:3" ht="15.75" customHeight="1" x14ac:dyDescent="0.25">
      <c r="A3036" s="2"/>
      <c r="B3036" s="3"/>
      <c r="C3036" s="3"/>
    </row>
    <row r="3037" spans="1:3" ht="15.75" customHeight="1" x14ac:dyDescent="0.25">
      <c r="A3037" s="2"/>
      <c r="B3037" s="3"/>
      <c r="C3037" s="3"/>
    </row>
    <row r="3038" spans="1:3" ht="15.75" customHeight="1" x14ac:dyDescent="0.25">
      <c r="A3038" s="2"/>
      <c r="B3038" s="3"/>
      <c r="C3038" s="3"/>
    </row>
    <row r="3039" spans="1:3" ht="15.75" customHeight="1" x14ac:dyDescent="0.25">
      <c r="A3039" s="2"/>
      <c r="B3039" s="3"/>
      <c r="C3039" s="3"/>
    </row>
    <row r="3040" spans="1:3" ht="15.75" customHeight="1" x14ac:dyDescent="0.25">
      <c r="A3040" s="2"/>
      <c r="B3040" s="3"/>
      <c r="C3040" s="3"/>
    </row>
    <row r="3041" spans="1:3" ht="15.75" customHeight="1" x14ac:dyDescent="0.25">
      <c r="A3041" s="2"/>
      <c r="B3041" s="3"/>
      <c r="C3041" s="3"/>
    </row>
    <row r="3042" spans="1:3" ht="15.75" customHeight="1" x14ac:dyDescent="0.25">
      <c r="A3042" s="2"/>
      <c r="B3042" s="3"/>
      <c r="C3042" s="3"/>
    </row>
    <row r="3043" spans="1:3" ht="15.75" customHeight="1" x14ac:dyDescent="0.25">
      <c r="A3043" s="2"/>
      <c r="B3043" s="3"/>
      <c r="C3043" s="3"/>
    </row>
    <row r="3044" spans="1:3" ht="15.75" customHeight="1" x14ac:dyDescent="0.25">
      <c r="A3044" s="2"/>
      <c r="B3044" s="3"/>
      <c r="C3044" s="3"/>
    </row>
    <row r="3045" spans="1:3" ht="15.75" customHeight="1" x14ac:dyDescent="0.25">
      <c r="A3045" s="2"/>
      <c r="B3045" s="3"/>
      <c r="C3045" s="3"/>
    </row>
    <row r="3046" spans="1:3" ht="15.75" customHeight="1" x14ac:dyDescent="0.25">
      <c r="A3046" s="2"/>
      <c r="B3046" s="3"/>
      <c r="C3046" s="3"/>
    </row>
    <row r="3047" spans="1:3" ht="15.75" customHeight="1" x14ac:dyDescent="0.25">
      <c r="A3047" s="2"/>
      <c r="B3047" s="3"/>
      <c r="C3047" s="3"/>
    </row>
    <row r="3048" spans="1:3" ht="15.75" customHeight="1" x14ac:dyDescent="0.25">
      <c r="A3048" s="2"/>
      <c r="B3048" s="3"/>
      <c r="C3048" s="3"/>
    </row>
    <row r="3049" spans="1:3" ht="15.75" customHeight="1" x14ac:dyDescent="0.25">
      <c r="A3049" s="2"/>
      <c r="B3049" s="3"/>
      <c r="C3049" s="3"/>
    </row>
    <row r="3050" spans="1:3" ht="15.75" customHeight="1" x14ac:dyDescent="0.25">
      <c r="A3050" s="2"/>
      <c r="B3050" s="3"/>
      <c r="C3050" s="3"/>
    </row>
    <row r="3051" spans="1:3" ht="15.75" customHeight="1" x14ac:dyDescent="0.25">
      <c r="A3051" s="2"/>
      <c r="B3051" s="3"/>
      <c r="C3051" s="3"/>
    </row>
    <row r="3052" spans="1:3" ht="15.75" customHeight="1" x14ac:dyDescent="0.25">
      <c r="A3052" s="2"/>
      <c r="B3052" s="3"/>
      <c r="C3052" s="3"/>
    </row>
    <row r="3053" spans="1:3" ht="15.75" customHeight="1" x14ac:dyDescent="0.25">
      <c r="A3053" s="2"/>
      <c r="B3053" s="3"/>
      <c r="C3053" s="3"/>
    </row>
    <row r="3054" spans="1:3" ht="15.75" customHeight="1" x14ac:dyDescent="0.25">
      <c r="A3054" s="2"/>
      <c r="B3054" s="3"/>
      <c r="C3054" s="3"/>
    </row>
    <row r="3055" spans="1:3" ht="15.75" customHeight="1" x14ac:dyDescent="0.25">
      <c r="A3055" s="2"/>
      <c r="B3055" s="3"/>
      <c r="C3055" s="3"/>
    </row>
    <row r="3056" spans="1:3" ht="15.75" customHeight="1" x14ac:dyDescent="0.25">
      <c r="A3056" s="2"/>
      <c r="B3056" s="3"/>
      <c r="C3056" s="3"/>
    </row>
    <row r="3057" spans="1:3" ht="15.75" customHeight="1" x14ac:dyDescent="0.25">
      <c r="A3057" s="2"/>
      <c r="B3057" s="3"/>
      <c r="C3057" s="3"/>
    </row>
    <row r="3058" spans="1:3" ht="15.75" customHeight="1" x14ac:dyDescent="0.25">
      <c r="A3058" s="2"/>
      <c r="B3058" s="3"/>
      <c r="C3058" s="3"/>
    </row>
    <row r="3059" spans="1:3" ht="15.75" customHeight="1" x14ac:dyDescent="0.25">
      <c r="A3059" s="2"/>
      <c r="B3059" s="3"/>
      <c r="C3059" s="3"/>
    </row>
    <row r="3060" spans="1:3" ht="15.75" customHeight="1" x14ac:dyDescent="0.25">
      <c r="A3060" s="2"/>
      <c r="B3060" s="3"/>
      <c r="C3060" s="3"/>
    </row>
    <row r="3061" spans="1:3" ht="15.75" customHeight="1" x14ac:dyDescent="0.25">
      <c r="A3061" s="2"/>
      <c r="B3061" s="3"/>
      <c r="C3061" s="3"/>
    </row>
    <row r="3062" spans="1:3" ht="15.75" customHeight="1" x14ac:dyDescent="0.25">
      <c r="A3062" s="2"/>
      <c r="B3062" s="3"/>
      <c r="C3062" s="3"/>
    </row>
    <row r="3063" spans="1:3" ht="15.75" customHeight="1" x14ac:dyDescent="0.25">
      <c r="A3063" s="2"/>
      <c r="B3063" s="3"/>
      <c r="C3063" s="3"/>
    </row>
    <row r="3064" spans="1:3" ht="15.75" customHeight="1" x14ac:dyDescent="0.25">
      <c r="A3064" s="2"/>
      <c r="B3064" s="3"/>
      <c r="C3064" s="3"/>
    </row>
    <row r="3065" spans="1:3" ht="15.75" customHeight="1" x14ac:dyDescent="0.25">
      <c r="A3065" s="2"/>
      <c r="B3065" s="3"/>
      <c r="C3065" s="3"/>
    </row>
    <row r="3066" spans="1:3" ht="15.75" customHeight="1" x14ac:dyDescent="0.25">
      <c r="A3066" s="2"/>
      <c r="B3066" s="3"/>
      <c r="C3066" s="3"/>
    </row>
    <row r="3067" spans="1:3" ht="15.75" customHeight="1" x14ac:dyDescent="0.25">
      <c r="A3067" s="2"/>
      <c r="B3067" s="3"/>
      <c r="C3067" s="3"/>
    </row>
    <row r="3068" spans="1:3" ht="15.75" customHeight="1" x14ac:dyDescent="0.25">
      <c r="A3068" s="2"/>
      <c r="B3068" s="3"/>
      <c r="C3068" s="3"/>
    </row>
    <row r="3069" spans="1:3" ht="15.75" customHeight="1" x14ac:dyDescent="0.25">
      <c r="A3069" s="2"/>
      <c r="B3069" s="3"/>
      <c r="C3069" s="3"/>
    </row>
    <row r="3070" spans="1:3" ht="15.75" customHeight="1" x14ac:dyDescent="0.25">
      <c r="A3070" s="2"/>
      <c r="B3070" s="3"/>
      <c r="C3070" s="3"/>
    </row>
    <row r="3071" spans="1:3" ht="15.75" customHeight="1" x14ac:dyDescent="0.25">
      <c r="A3071" s="2"/>
      <c r="B3071" s="3"/>
      <c r="C3071" s="3"/>
    </row>
    <row r="3072" spans="1:3" ht="15.75" customHeight="1" x14ac:dyDescent="0.25">
      <c r="A3072" s="2"/>
      <c r="B3072" s="3"/>
      <c r="C3072" s="3"/>
    </row>
    <row r="3073" spans="1:3" ht="15.75" customHeight="1" x14ac:dyDescent="0.25">
      <c r="A3073" s="2"/>
      <c r="B3073" s="3"/>
      <c r="C3073" s="3"/>
    </row>
    <row r="3074" spans="1:3" ht="15.75" customHeight="1" x14ac:dyDescent="0.25">
      <c r="A3074" s="2"/>
      <c r="B3074" s="3"/>
      <c r="C3074" s="3"/>
    </row>
    <row r="3075" spans="1:3" ht="15.75" customHeight="1" x14ac:dyDescent="0.25">
      <c r="A3075" s="2"/>
      <c r="B3075" s="3"/>
      <c r="C3075" s="3"/>
    </row>
    <row r="3076" spans="1:3" ht="15.75" customHeight="1" x14ac:dyDescent="0.25">
      <c r="A3076" s="2"/>
      <c r="B3076" s="3"/>
      <c r="C3076" s="3"/>
    </row>
    <row r="3077" spans="1:3" ht="15.75" customHeight="1" x14ac:dyDescent="0.25">
      <c r="A3077" s="2"/>
      <c r="B3077" s="3"/>
      <c r="C3077" s="3"/>
    </row>
    <row r="3078" spans="1:3" ht="15.75" customHeight="1" x14ac:dyDescent="0.25">
      <c r="A3078" s="2"/>
      <c r="B3078" s="3"/>
      <c r="C3078" s="3"/>
    </row>
    <row r="3079" spans="1:3" ht="15.75" customHeight="1" x14ac:dyDescent="0.25">
      <c r="A3079" s="2"/>
      <c r="B3079" s="3"/>
      <c r="C3079" s="3"/>
    </row>
    <row r="3080" spans="1:3" ht="15.75" customHeight="1" x14ac:dyDescent="0.25">
      <c r="A3080" s="2"/>
      <c r="B3080" s="3"/>
      <c r="C3080" s="3"/>
    </row>
    <row r="3081" spans="1:3" ht="15.75" customHeight="1" x14ac:dyDescent="0.25">
      <c r="A3081" s="2"/>
      <c r="B3081" s="3"/>
      <c r="C3081" s="3"/>
    </row>
    <row r="3082" spans="1:3" ht="15.75" customHeight="1" x14ac:dyDescent="0.25">
      <c r="A3082" s="2"/>
      <c r="B3082" s="3"/>
      <c r="C3082" s="3"/>
    </row>
    <row r="3083" spans="1:3" ht="15.75" customHeight="1" x14ac:dyDescent="0.25">
      <c r="A3083" s="2"/>
      <c r="B3083" s="3"/>
      <c r="C3083" s="3"/>
    </row>
    <row r="3084" spans="1:3" ht="15.75" customHeight="1" x14ac:dyDescent="0.25">
      <c r="A3084" s="2"/>
      <c r="B3084" s="3"/>
      <c r="C3084" s="3"/>
    </row>
    <row r="3085" spans="1:3" ht="15.75" customHeight="1" x14ac:dyDescent="0.25">
      <c r="A3085" s="2"/>
      <c r="B3085" s="3"/>
      <c r="C3085" s="3"/>
    </row>
    <row r="3086" spans="1:3" ht="15.75" customHeight="1" x14ac:dyDescent="0.25">
      <c r="A3086" s="2"/>
      <c r="B3086" s="3"/>
      <c r="C3086" s="3"/>
    </row>
    <row r="3087" spans="1:3" ht="15.75" customHeight="1" x14ac:dyDescent="0.25">
      <c r="A3087" s="2"/>
      <c r="B3087" s="3"/>
      <c r="C3087" s="3"/>
    </row>
    <row r="3088" spans="1:3" ht="15.75" customHeight="1" x14ac:dyDescent="0.25">
      <c r="A3088" s="2"/>
      <c r="B3088" s="3"/>
      <c r="C3088" s="3"/>
    </row>
    <row r="3089" spans="1:3" ht="15.75" customHeight="1" x14ac:dyDescent="0.25">
      <c r="A3089" s="2"/>
      <c r="B3089" s="3"/>
      <c r="C3089" s="3"/>
    </row>
    <row r="3090" spans="1:3" ht="15.75" customHeight="1" x14ac:dyDescent="0.25">
      <c r="A3090" s="2"/>
      <c r="B3090" s="3"/>
      <c r="C3090" s="3"/>
    </row>
    <row r="3091" spans="1:3" ht="15.75" customHeight="1" x14ac:dyDescent="0.25">
      <c r="A3091" s="2"/>
      <c r="B3091" s="3"/>
      <c r="C3091" s="3"/>
    </row>
    <row r="3092" spans="1:3" ht="15.75" customHeight="1" x14ac:dyDescent="0.25">
      <c r="A3092" s="2"/>
      <c r="B3092" s="3"/>
      <c r="C3092" s="3"/>
    </row>
    <row r="3093" spans="1:3" ht="15.75" customHeight="1" x14ac:dyDescent="0.25">
      <c r="A3093" s="2"/>
      <c r="B3093" s="3"/>
      <c r="C3093" s="3"/>
    </row>
    <row r="3094" spans="1:3" ht="15.75" customHeight="1" x14ac:dyDescent="0.25">
      <c r="A3094" s="2"/>
      <c r="B3094" s="3"/>
      <c r="C3094" s="3"/>
    </row>
    <row r="3095" spans="1:3" ht="15.75" customHeight="1" x14ac:dyDescent="0.25">
      <c r="A3095" s="2"/>
      <c r="B3095" s="3"/>
      <c r="C3095" s="3"/>
    </row>
    <row r="3096" spans="1:3" ht="15.75" customHeight="1" x14ac:dyDescent="0.25">
      <c r="A3096" s="2"/>
      <c r="B3096" s="3"/>
      <c r="C3096" s="3"/>
    </row>
    <row r="3097" spans="1:3" ht="15.75" customHeight="1" x14ac:dyDescent="0.25">
      <c r="A3097" s="2"/>
      <c r="B3097" s="3"/>
      <c r="C3097" s="3"/>
    </row>
    <row r="3098" spans="1:3" ht="15.75" customHeight="1" x14ac:dyDescent="0.25">
      <c r="A3098" s="2"/>
      <c r="B3098" s="3"/>
      <c r="C3098" s="3"/>
    </row>
    <row r="3099" spans="1:3" ht="15.75" customHeight="1" x14ac:dyDescent="0.25">
      <c r="A3099" s="2"/>
      <c r="B3099" s="3"/>
      <c r="C3099" s="3"/>
    </row>
    <row r="3100" spans="1:3" ht="15.75" customHeight="1" x14ac:dyDescent="0.25">
      <c r="A3100" s="2"/>
      <c r="B3100" s="3"/>
      <c r="C3100" s="3"/>
    </row>
    <row r="3101" spans="1:3" ht="15.75" customHeight="1" x14ac:dyDescent="0.25">
      <c r="A3101" s="2"/>
      <c r="B3101" s="3"/>
      <c r="C3101" s="3"/>
    </row>
    <row r="3102" spans="1:3" ht="15.75" customHeight="1" x14ac:dyDescent="0.25">
      <c r="A3102" s="2"/>
      <c r="B3102" s="3"/>
      <c r="C3102" s="3"/>
    </row>
    <row r="3103" spans="1:3" ht="15.75" customHeight="1" x14ac:dyDescent="0.25">
      <c r="A3103" s="2"/>
      <c r="B3103" s="3"/>
      <c r="C3103" s="3"/>
    </row>
    <row r="3104" spans="1:3" ht="15.75" customHeight="1" x14ac:dyDescent="0.25">
      <c r="A3104" s="2"/>
      <c r="B3104" s="3"/>
      <c r="C3104" s="3"/>
    </row>
    <row r="3105" spans="1:3" ht="15.75" customHeight="1" x14ac:dyDescent="0.25">
      <c r="A3105" s="2"/>
      <c r="B3105" s="3"/>
      <c r="C3105" s="3"/>
    </row>
    <row r="3106" spans="1:3" ht="15.75" customHeight="1" x14ac:dyDescent="0.25">
      <c r="A3106" s="2"/>
      <c r="B3106" s="3"/>
      <c r="C3106" s="3"/>
    </row>
    <row r="3107" spans="1:3" ht="15.75" customHeight="1" x14ac:dyDescent="0.25">
      <c r="A3107" s="2"/>
      <c r="B3107" s="3"/>
      <c r="C3107" s="3"/>
    </row>
    <row r="3108" spans="1:3" ht="15.75" customHeight="1" x14ac:dyDescent="0.25">
      <c r="A3108" s="2"/>
      <c r="B3108" s="3"/>
      <c r="C3108" s="3"/>
    </row>
    <row r="3109" spans="1:3" ht="15.75" customHeight="1" x14ac:dyDescent="0.25">
      <c r="A3109" s="2"/>
      <c r="B3109" s="3"/>
      <c r="C3109" s="3"/>
    </row>
    <row r="3110" spans="1:3" ht="15.75" customHeight="1" x14ac:dyDescent="0.25">
      <c r="A3110" s="2"/>
      <c r="B3110" s="3"/>
      <c r="C3110" s="3"/>
    </row>
    <row r="3111" spans="1:3" ht="15.75" customHeight="1" x14ac:dyDescent="0.25">
      <c r="A3111" s="2"/>
      <c r="B3111" s="3"/>
      <c r="C3111" s="3"/>
    </row>
    <row r="3112" spans="1:3" ht="15.75" customHeight="1" x14ac:dyDescent="0.25">
      <c r="A3112" s="2"/>
      <c r="B3112" s="3"/>
      <c r="C3112" s="3"/>
    </row>
    <row r="3113" spans="1:3" ht="15.75" customHeight="1" x14ac:dyDescent="0.25">
      <c r="A3113" s="2"/>
      <c r="B3113" s="3"/>
      <c r="C3113" s="3"/>
    </row>
    <row r="3114" spans="1:3" ht="15.75" customHeight="1" x14ac:dyDescent="0.25">
      <c r="A3114" s="2"/>
      <c r="B3114" s="3"/>
      <c r="C3114" s="3"/>
    </row>
    <row r="3115" spans="1:3" ht="15.75" customHeight="1" x14ac:dyDescent="0.25">
      <c r="A3115" s="2"/>
      <c r="B3115" s="3"/>
      <c r="C3115" s="3"/>
    </row>
    <row r="3116" spans="1:3" ht="15.75" customHeight="1" x14ac:dyDescent="0.25">
      <c r="A3116" s="2"/>
      <c r="B3116" s="3"/>
      <c r="C3116" s="3"/>
    </row>
    <row r="3117" spans="1:3" ht="15.75" customHeight="1" x14ac:dyDescent="0.25">
      <c r="A3117" s="2"/>
      <c r="B3117" s="3"/>
      <c r="C3117" s="3"/>
    </row>
    <row r="3118" spans="1:3" ht="15.75" customHeight="1" x14ac:dyDescent="0.25">
      <c r="A3118" s="2"/>
      <c r="B3118" s="3"/>
      <c r="C3118" s="3"/>
    </row>
    <row r="3119" spans="1:3" ht="15.75" customHeight="1" x14ac:dyDescent="0.25">
      <c r="A3119" s="2"/>
      <c r="B3119" s="3"/>
      <c r="C3119" s="3"/>
    </row>
    <row r="3120" spans="1:3" ht="15.75" customHeight="1" x14ac:dyDescent="0.25">
      <c r="A3120" s="2"/>
      <c r="B3120" s="3"/>
      <c r="C3120" s="3"/>
    </row>
    <row r="3121" spans="1:3" ht="15.75" customHeight="1" x14ac:dyDescent="0.25">
      <c r="A3121" s="2"/>
      <c r="B3121" s="3"/>
      <c r="C3121" s="3"/>
    </row>
    <row r="3122" spans="1:3" ht="15.75" customHeight="1" x14ac:dyDescent="0.25">
      <c r="A3122" s="2"/>
      <c r="B3122" s="3"/>
      <c r="C3122" s="3"/>
    </row>
    <row r="3123" spans="1:3" ht="15.75" customHeight="1" x14ac:dyDescent="0.25">
      <c r="A3123" s="2"/>
      <c r="B3123" s="3"/>
      <c r="C3123" s="3"/>
    </row>
    <row r="3124" spans="1:3" ht="15.75" customHeight="1" x14ac:dyDescent="0.25">
      <c r="A3124" s="2"/>
      <c r="B3124" s="3"/>
      <c r="C3124" s="3"/>
    </row>
    <row r="3125" spans="1:3" ht="15.75" customHeight="1" x14ac:dyDescent="0.25">
      <c r="A3125" s="2"/>
      <c r="B3125" s="3"/>
      <c r="C3125" s="3"/>
    </row>
    <row r="3126" spans="1:3" ht="15.75" customHeight="1" x14ac:dyDescent="0.25">
      <c r="A3126" s="2"/>
      <c r="B3126" s="3"/>
      <c r="C3126" s="3"/>
    </row>
    <row r="3127" spans="1:3" ht="15.75" customHeight="1" x14ac:dyDescent="0.25">
      <c r="A3127" s="2"/>
      <c r="B3127" s="3"/>
      <c r="C3127" s="3"/>
    </row>
    <row r="3128" spans="1:3" ht="15.75" customHeight="1" x14ac:dyDescent="0.25">
      <c r="A3128" s="2"/>
      <c r="B3128" s="3"/>
      <c r="C3128" s="3"/>
    </row>
    <row r="3129" spans="1:3" ht="15.75" customHeight="1" x14ac:dyDescent="0.25">
      <c r="A3129" s="2"/>
      <c r="B3129" s="3"/>
      <c r="C3129" s="3"/>
    </row>
    <row r="3130" spans="1:3" ht="15.75" customHeight="1" x14ac:dyDescent="0.25">
      <c r="A3130" s="2"/>
      <c r="B3130" s="3"/>
      <c r="C3130" s="3"/>
    </row>
    <row r="3131" spans="1:3" ht="15.75" customHeight="1" x14ac:dyDescent="0.25">
      <c r="A3131" s="2"/>
      <c r="B3131" s="3"/>
      <c r="C3131" s="3"/>
    </row>
    <row r="3132" spans="1:3" ht="15.75" customHeight="1" x14ac:dyDescent="0.25">
      <c r="A3132" s="2"/>
      <c r="B3132" s="3"/>
      <c r="C3132" s="3"/>
    </row>
    <row r="3133" spans="1:3" ht="15.75" customHeight="1" x14ac:dyDescent="0.25">
      <c r="A3133" s="2"/>
      <c r="B3133" s="3"/>
      <c r="C3133" s="3"/>
    </row>
    <row r="3134" spans="1:3" ht="15.75" customHeight="1" x14ac:dyDescent="0.25">
      <c r="A3134" s="2"/>
      <c r="B3134" s="3"/>
      <c r="C3134" s="3"/>
    </row>
    <row r="3135" spans="1:3" ht="15.75" customHeight="1" x14ac:dyDescent="0.25">
      <c r="A3135" s="2"/>
      <c r="B3135" s="3"/>
      <c r="C3135" s="3"/>
    </row>
    <row r="3136" spans="1:3" ht="15.75" customHeight="1" x14ac:dyDescent="0.25">
      <c r="A3136" s="2"/>
      <c r="B3136" s="3"/>
      <c r="C3136" s="3"/>
    </row>
    <row r="3137" spans="1:3" ht="15.75" customHeight="1" x14ac:dyDescent="0.25">
      <c r="A3137" s="2"/>
      <c r="B3137" s="3"/>
      <c r="C3137" s="3"/>
    </row>
    <row r="3138" spans="1:3" ht="15.75" customHeight="1" x14ac:dyDescent="0.25">
      <c r="A3138" s="2"/>
      <c r="B3138" s="3"/>
      <c r="C3138" s="3"/>
    </row>
    <row r="3139" spans="1:3" ht="15.75" customHeight="1" x14ac:dyDescent="0.25">
      <c r="A3139" s="2"/>
      <c r="B3139" s="3"/>
      <c r="C3139" s="3"/>
    </row>
    <row r="3140" spans="1:3" ht="15.75" customHeight="1" x14ac:dyDescent="0.25">
      <c r="A3140" s="2"/>
      <c r="B3140" s="3"/>
      <c r="C3140" s="3"/>
    </row>
    <row r="3141" spans="1:3" ht="15.75" customHeight="1" x14ac:dyDescent="0.25">
      <c r="A3141" s="2"/>
      <c r="B3141" s="3"/>
      <c r="C3141" s="3"/>
    </row>
    <row r="3142" spans="1:3" ht="15.75" customHeight="1" x14ac:dyDescent="0.25">
      <c r="A3142" s="2"/>
      <c r="B3142" s="3"/>
      <c r="C3142" s="3"/>
    </row>
    <row r="3143" spans="1:3" ht="15.75" customHeight="1" x14ac:dyDescent="0.25">
      <c r="A3143" s="2"/>
      <c r="B3143" s="3"/>
      <c r="C3143" s="3"/>
    </row>
    <row r="3144" spans="1:3" ht="15.75" customHeight="1" x14ac:dyDescent="0.25">
      <c r="A3144" s="2"/>
      <c r="B3144" s="3"/>
      <c r="C3144" s="3"/>
    </row>
    <row r="3145" spans="1:3" ht="15.75" customHeight="1" x14ac:dyDescent="0.25">
      <c r="A3145" s="2"/>
      <c r="B3145" s="3"/>
      <c r="C3145" s="3"/>
    </row>
    <row r="3146" spans="1:3" ht="15.75" customHeight="1" x14ac:dyDescent="0.25">
      <c r="A3146" s="2"/>
      <c r="B3146" s="3"/>
      <c r="C3146" s="3"/>
    </row>
    <row r="3147" spans="1:3" ht="15.75" customHeight="1" x14ac:dyDescent="0.25">
      <c r="A3147" s="2"/>
      <c r="B3147" s="3"/>
      <c r="C3147" s="3"/>
    </row>
    <row r="3148" spans="1:3" ht="15.75" customHeight="1" x14ac:dyDescent="0.25">
      <c r="A3148" s="2"/>
      <c r="B3148" s="3"/>
      <c r="C3148" s="3"/>
    </row>
    <row r="3149" spans="1:3" ht="15.75" customHeight="1" x14ac:dyDescent="0.25">
      <c r="A3149" s="2"/>
      <c r="B3149" s="3"/>
      <c r="C3149" s="3"/>
    </row>
    <row r="3150" spans="1:3" ht="15.75" customHeight="1" x14ac:dyDescent="0.25">
      <c r="A3150" s="2"/>
      <c r="B3150" s="3"/>
      <c r="C3150" s="3"/>
    </row>
    <row r="3151" spans="1:3" ht="15.75" customHeight="1" x14ac:dyDescent="0.25">
      <c r="A3151" s="2"/>
      <c r="B3151" s="3"/>
      <c r="C3151" s="3"/>
    </row>
    <row r="3152" spans="1:3" ht="15.75" customHeight="1" x14ac:dyDescent="0.25">
      <c r="A3152" s="2"/>
      <c r="B3152" s="3"/>
      <c r="C3152" s="3"/>
    </row>
    <row r="3153" spans="1:3" ht="15.75" customHeight="1" x14ac:dyDescent="0.25">
      <c r="A3153" s="2"/>
      <c r="B3153" s="3"/>
      <c r="C3153" s="3"/>
    </row>
    <row r="3154" spans="1:3" ht="15.75" customHeight="1" x14ac:dyDescent="0.25">
      <c r="A3154" s="2"/>
      <c r="B3154" s="3"/>
      <c r="C3154" s="3"/>
    </row>
    <row r="3155" spans="1:3" ht="15.75" customHeight="1" x14ac:dyDescent="0.25">
      <c r="A3155" s="2"/>
      <c r="B3155" s="3"/>
      <c r="C3155" s="3"/>
    </row>
    <row r="3156" spans="1:3" ht="15.75" customHeight="1" x14ac:dyDescent="0.25">
      <c r="A3156" s="2"/>
      <c r="B3156" s="3"/>
      <c r="C3156" s="3"/>
    </row>
    <row r="3157" spans="1:3" ht="15.75" customHeight="1" x14ac:dyDescent="0.25">
      <c r="A3157" s="2"/>
      <c r="B3157" s="3"/>
      <c r="C3157" s="3"/>
    </row>
    <row r="3158" spans="1:3" ht="15.75" customHeight="1" x14ac:dyDescent="0.25">
      <c r="A3158" s="2"/>
      <c r="B3158" s="3"/>
      <c r="C3158" s="3"/>
    </row>
    <row r="3159" spans="1:3" ht="15.75" customHeight="1" x14ac:dyDescent="0.25">
      <c r="A3159" s="2"/>
      <c r="B3159" s="3"/>
      <c r="C3159" s="3"/>
    </row>
    <row r="3160" spans="1:3" ht="15.75" customHeight="1" x14ac:dyDescent="0.25">
      <c r="A3160" s="2"/>
      <c r="B3160" s="3"/>
      <c r="C3160" s="3"/>
    </row>
    <row r="3161" spans="1:3" ht="15.75" customHeight="1" x14ac:dyDescent="0.25">
      <c r="A3161" s="2"/>
      <c r="B3161" s="3"/>
      <c r="C3161" s="3"/>
    </row>
    <row r="3162" spans="1:3" ht="15.75" customHeight="1" x14ac:dyDescent="0.25">
      <c r="A3162" s="2"/>
      <c r="B3162" s="3"/>
      <c r="C3162" s="3"/>
    </row>
    <row r="3163" spans="1:3" ht="15.75" customHeight="1" x14ac:dyDescent="0.25">
      <c r="A3163" s="2"/>
      <c r="B3163" s="3"/>
      <c r="C3163" s="3"/>
    </row>
    <row r="3164" spans="1:3" ht="15.75" customHeight="1" x14ac:dyDescent="0.25">
      <c r="A3164" s="2"/>
      <c r="B3164" s="3"/>
      <c r="C3164" s="3"/>
    </row>
    <row r="3165" spans="1:3" ht="15.75" customHeight="1" x14ac:dyDescent="0.25">
      <c r="A3165" s="2"/>
      <c r="B3165" s="3"/>
      <c r="C3165" s="3"/>
    </row>
    <row r="3166" spans="1:3" ht="15.75" customHeight="1" x14ac:dyDescent="0.25">
      <c r="A3166" s="2"/>
      <c r="B3166" s="3"/>
      <c r="C3166" s="3"/>
    </row>
    <row r="3167" spans="1:3" ht="15.75" customHeight="1" x14ac:dyDescent="0.25">
      <c r="A3167" s="2"/>
      <c r="B3167" s="3"/>
      <c r="C3167" s="3"/>
    </row>
    <row r="3168" spans="1:3" ht="15.75" customHeight="1" x14ac:dyDescent="0.25">
      <c r="A3168" s="2"/>
      <c r="B3168" s="3"/>
      <c r="C3168" s="3"/>
    </row>
    <row r="3169" spans="1:3" ht="15.75" customHeight="1" x14ac:dyDescent="0.25">
      <c r="A3169" s="2"/>
      <c r="B3169" s="3"/>
      <c r="C3169" s="3"/>
    </row>
    <row r="3170" spans="1:3" ht="15.75" customHeight="1" x14ac:dyDescent="0.25">
      <c r="A3170" s="2"/>
      <c r="B3170" s="3"/>
      <c r="C3170" s="3"/>
    </row>
    <row r="3171" spans="1:3" ht="15.75" customHeight="1" x14ac:dyDescent="0.25">
      <c r="A3171" s="2"/>
      <c r="B3171" s="3"/>
      <c r="C3171" s="3"/>
    </row>
    <row r="3172" spans="1:3" ht="15.75" customHeight="1" x14ac:dyDescent="0.25">
      <c r="A3172" s="2"/>
      <c r="B3172" s="3"/>
      <c r="C3172" s="3"/>
    </row>
    <row r="3173" spans="1:3" ht="15.75" customHeight="1" x14ac:dyDescent="0.25">
      <c r="A3173" s="2"/>
      <c r="B3173" s="3"/>
      <c r="C3173" s="3"/>
    </row>
    <row r="3174" spans="1:3" ht="15.75" customHeight="1" x14ac:dyDescent="0.25">
      <c r="A3174" s="2"/>
      <c r="B3174" s="3"/>
      <c r="C3174" s="3"/>
    </row>
    <row r="3175" spans="1:3" ht="15.75" customHeight="1" x14ac:dyDescent="0.25">
      <c r="A3175" s="2"/>
      <c r="B3175" s="3"/>
      <c r="C3175" s="3"/>
    </row>
    <row r="3176" spans="1:3" ht="15.75" customHeight="1" x14ac:dyDescent="0.25">
      <c r="A3176" s="2"/>
      <c r="B3176" s="3"/>
      <c r="C3176" s="3"/>
    </row>
    <row r="3177" spans="1:3" ht="15.75" customHeight="1" x14ac:dyDescent="0.25">
      <c r="A3177" s="2"/>
      <c r="B3177" s="3"/>
      <c r="C3177" s="3"/>
    </row>
    <row r="3178" spans="1:3" ht="15.75" customHeight="1" x14ac:dyDescent="0.25">
      <c r="A3178" s="2"/>
      <c r="B3178" s="3"/>
      <c r="C3178" s="3"/>
    </row>
    <row r="3179" spans="1:3" ht="15.75" customHeight="1" x14ac:dyDescent="0.25">
      <c r="A3179" s="2"/>
      <c r="B3179" s="3"/>
      <c r="C3179" s="3"/>
    </row>
    <row r="3180" spans="1:3" ht="15.75" customHeight="1" x14ac:dyDescent="0.25">
      <c r="A3180" s="2"/>
      <c r="B3180" s="3"/>
      <c r="C3180" s="3"/>
    </row>
    <row r="3181" spans="1:3" ht="15.75" customHeight="1" x14ac:dyDescent="0.25">
      <c r="A3181" s="2"/>
      <c r="B3181" s="3"/>
      <c r="C3181" s="3"/>
    </row>
    <row r="3182" spans="1:3" ht="15.75" customHeight="1" x14ac:dyDescent="0.25">
      <c r="A3182" s="2"/>
      <c r="B3182" s="3"/>
      <c r="C3182" s="3"/>
    </row>
    <row r="3183" spans="1:3" ht="15.75" customHeight="1" x14ac:dyDescent="0.25">
      <c r="A3183" s="2"/>
      <c r="B3183" s="3"/>
      <c r="C3183" s="3"/>
    </row>
    <row r="3184" spans="1:3" ht="15.75" customHeight="1" x14ac:dyDescent="0.25">
      <c r="A3184" s="2"/>
      <c r="B3184" s="3"/>
      <c r="C3184" s="3"/>
    </row>
    <row r="3185" spans="1:3" ht="15.75" customHeight="1" x14ac:dyDescent="0.25">
      <c r="A3185" s="2"/>
      <c r="B3185" s="3"/>
      <c r="C3185" s="3"/>
    </row>
    <row r="3186" spans="1:3" ht="15.75" customHeight="1" x14ac:dyDescent="0.25">
      <c r="A3186" s="2"/>
      <c r="B3186" s="3"/>
      <c r="C3186" s="3"/>
    </row>
    <row r="3187" spans="1:3" ht="15.75" customHeight="1" x14ac:dyDescent="0.25">
      <c r="A3187" s="2"/>
      <c r="B3187" s="3"/>
      <c r="C3187" s="3"/>
    </row>
    <row r="3188" spans="1:3" ht="15.75" customHeight="1" x14ac:dyDescent="0.25">
      <c r="A3188" s="2"/>
      <c r="B3188" s="3"/>
      <c r="C3188" s="3"/>
    </row>
    <row r="3189" spans="1:3" ht="15.75" customHeight="1" x14ac:dyDescent="0.25">
      <c r="A3189" s="2"/>
      <c r="B3189" s="3"/>
      <c r="C3189" s="3"/>
    </row>
    <row r="3190" spans="1:3" ht="15.75" customHeight="1" x14ac:dyDescent="0.25">
      <c r="A3190" s="2"/>
      <c r="B3190" s="3"/>
      <c r="C3190" s="3"/>
    </row>
    <row r="3191" spans="1:3" ht="15.75" customHeight="1" x14ac:dyDescent="0.25">
      <c r="A3191" s="2"/>
      <c r="B3191" s="3"/>
      <c r="C3191" s="3"/>
    </row>
    <row r="3192" spans="1:3" ht="15.75" customHeight="1" x14ac:dyDescent="0.25">
      <c r="A3192" s="2"/>
      <c r="B3192" s="3"/>
      <c r="C3192" s="3"/>
    </row>
    <row r="3193" spans="1:3" ht="15.75" customHeight="1" x14ac:dyDescent="0.25">
      <c r="A3193" s="2"/>
      <c r="B3193" s="3"/>
      <c r="C3193" s="3"/>
    </row>
    <row r="3194" spans="1:3" ht="15.75" customHeight="1" x14ac:dyDescent="0.25">
      <c r="A3194" s="2"/>
      <c r="B3194" s="3"/>
      <c r="C3194" s="3"/>
    </row>
    <row r="3195" spans="1:3" ht="15.75" customHeight="1" x14ac:dyDescent="0.25">
      <c r="A3195" s="2"/>
      <c r="B3195" s="3"/>
      <c r="C3195" s="3"/>
    </row>
    <row r="3196" spans="1:3" ht="15.75" customHeight="1" x14ac:dyDescent="0.25">
      <c r="A3196" s="2"/>
      <c r="B3196" s="3"/>
      <c r="C3196" s="3"/>
    </row>
    <row r="3197" spans="1:3" ht="15.75" customHeight="1" x14ac:dyDescent="0.25">
      <c r="A3197" s="2"/>
      <c r="B3197" s="3"/>
      <c r="C3197" s="3"/>
    </row>
    <row r="3198" spans="1:3" ht="15.75" customHeight="1" x14ac:dyDescent="0.25">
      <c r="A3198" s="2"/>
      <c r="B3198" s="3"/>
      <c r="C3198" s="3"/>
    </row>
    <row r="3199" spans="1:3" ht="15.75" customHeight="1" x14ac:dyDescent="0.25">
      <c r="A3199" s="2"/>
      <c r="B3199" s="3"/>
      <c r="C3199" s="3"/>
    </row>
    <row r="3200" spans="1:3" ht="15.75" customHeight="1" x14ac:dyDescent="0.25">
      <c r="A3200" s="2"/>
      <c r="B3200" s="3"/>
      <c r="C3200" s="3"/>
    </row>
    <row r="3201" spans="1:3" ht="15.75" customHeight="1" x14ac:dyDescent="0.25">
      <c r="A3201" s="2"/>
      <c r="B3201" s="3"/>
      <c r="C3201" s="3"/>
    </row>
    <row r="3202" spans="1:3" ht="15.75" customHeight="1" x14ac:dyDescent="0.25">
      <c r="A3202" s="2"/>
      <c r="B3202" s="3"/>
      <c r="C3202" s="3"/>
    </row>
    <row r="3203" spans="1:3" ht="15.75" customHeight="1" x14ac:dyDescent="0.25">
      <c r="A3203" s="2"/>
      <c r="B3203" s="3"/>
      <c r="C3203" s="3"/>
    </row>
    <row r="3204" spans="1:3" ht="15.75" customHeight="1" x14ac:dyDescent="0.25">
      <c r="A3204" s="2"/>
      <c r="B3204" s="3"/>
      <c r="C3204" s="3"/>
    </row>
    <row r="3205" spans="1:3" ht="15.75" customHeight="1" x14ac:dyDescent="0.25">
      <c r="A3205" s="2"/>
      <c r="B3205" s="3"/>
      <c r="C3205" s="3"/>
    </row>
    <row r="3206" spans="1:3" ht="15.75" customHeight="1" x14ac:dyDescent="0.25">
      <c r="A3206" s="2"/>
      <c r="B3206" s="3"/>
      <c r="C3206" s="3"/>
    </row>
    <row r="3207" spans="1:3" ht="15.75" customHeight="1" x14ac:dyDescent="0.25">
      <c r="A3207" s="2"/>
      <c r="B3207" s="3"/>
      <c r="C3207" s="3"/>
    </row>
    <row r="3208" spans="1:3" ht="15.75" customHeight="1" x14ac:dyDescent="0.25">
      <c r="A3208" s="2"/>
      <c r="B3208" s="3"/>
      <c r="C3208" s="3"/>
    </row>
    <row r="3209" spans="1:3" ht="15.75" customHeight="1" x14ac:dyDescent="0.25">
      <c r="A3209" s="2"/>
      <c r="B3209" s="3"/>
      <c r="C3209" s="3"/>
    </row>
    <row r="3210" spans="1:3" ht="15.75" customHeight="1" x14ac:dyDescent="0.25">
      <c r="A3210" s="2"/>
      <c r="B3210" s="3"/>
      <c r="C3210" s="3"/>
    </row>
    <row r="3211" spans="1:3" ht="15.75" customHeight="1" x14ac:dyDescent="0.25">
      <c r="A3211" s="2"/>
      <c r="B3211" s="3"/>
      <c r="C3211" s="3"/>
    </row>
    <row r="3212" spans="1:3" ht="15.75" customHeight="1" x14ac:dyDescent="0.25">
      <c r="A3212" s="2"/>
      <c r="B3212" s="3"/>
      <c r="C3212" s="3"/>
    </row>
    <row r="3213" spans="1:3" ht="15.75" customHeight="1" x14ac:dyDescent="0.25">
      <c r="A3213" s="2"/>
      <c r="B3213" s="3"/>
      <c r="C3213" s="3"/>
    </row>
    <row r="3214" spans="1:3" ht="15.75" customHeight="1" x14ac:dyDescent="0.25">
      <c r="A3214" s="2"/>
      <c r="B3214" s="3"/>
      <c r="C3214" s="3"/>
    </row>
    <row r="3215" spans="1:3" ht="15.75" customHeight="1" x14ac:dyDescent="0.25">
      <c r="A3215" s="2"/>
      <c r="B3215" s="3"/>
      <c r="C3215" s="3"/>
    </row>
    <row r="3216" spans="1:3" ht="15.75" customHeight="1" x14ac:dyDescent="0.25">
      <c r="A3216" s="2"/>
      <c r="B3216" s="3"/>
      <c r="C3216" s="3"/>
    </row>
    <row r="3217" spans="1:3" ht="15.75" customHeight="1" x14ac:dyDescent="0.25">
      <c r="A3217" s="2"/>
      <c r="B3217" s="3"/>
      <c r="C3217" s="3"/>
    </row>
    <row r="3218" spans="1:3" ht="15.75" customHeight="1" x14ac:dyDescent="0.25">
      <c r="A3218" s="2"/>
      <c r="B3218" s="3"/>
      <c r="C3218" s="3"/>
    </row>
    <row r="3219" spans="1:3" ht="15.75" customHeight="1" x14ac:dyDescent="0.25">
      <c r="A3219" s="2"/>
      <c r="B3219" s="3"/>
      <c r="C3219" s="3"/>
    </row>
    <row r="3220" spans="1:3" ht="15.75" customHeight="1" x14ac:dyDescent="0.25">
      <c r="A3220" s="2"/>
      <c r="B3220" s="3"/>
      <c r="C3220" s="3"/>
    </row>
    <row r="3221" spans="1:3" ht="15.75" customHeight="1" x14ac:dyDescent="0.25">
      <c r="A3221" s="2"/>
      <c r="B3221" s="3"/>
      <c r="C3221" s="3"/>
    </row>
    <row r="3222" spans="1:3" ht="15.75" customHeight="1" x14ac:dyDescent="0.25">
      <c r="A3222" s="2"/>
      <c r="B3222" s="3"/>
      <c r="C3222" s="3"/>
    </row>
    <row r="3223" spans="1:3" ht="15.75" customHeight="1" x14ac:dyDescent="0.25">
      <c r="A3223" s="2"/>
      <c r="B3223" s="3"/>
      <c r="C3223" s="3"/>
    </row>
    <row r="3224" spans="1:3" ht="15.75" customHeight="1" x14ac:dyDescent="0.25">
      <c r="A3224" s="2"/>
      <c r="B3224" s="3"/>
      <c r="C3224" s="3"/>
    </row>
    <row r="3225" spans="1:3" ht="15.75" customHeight="1" x14ac:dyDescent="0.25">
      <c r="A3225" s="2"/>
      <c r="B3225" s="3"/>
      <c r="C3225" s="3"/>
    </row>
    <row r="3226" spans="1:3" ht="15.75" customHeight="1" x14ac:dyDescent="0.25">
      <c r="A3226" s="2"/>
      <c r="B3226" s="3"/>
      <c r="C3226" s="3"/>
    </row>
    <row r="3227" spans="1:3" ht="15.75" customHeight="1" x14ac:dyDescent="0.25">
      <c r="A3227" s="2"/>
      <c r="B3227" s="3"/>
      <c r="C3227" s="3"/>
    </row>
    <row r="3228" spans="1:3" ht="15.75" customHeight="1" x14ac:dyDescent="0.25">
      <c r="A3228" s="2"/>
      <c r="B3228" s="3"/>
      <c r="C3228" s="3"/>
    </row>
    <row r="3229" spans="1:3" ht="15.75" customHeight="1" x14ac:dyDescent="0.25">
      <c r="A3229" s="2"/>
      <c r="B3229" s="3"/>
      <c r="C3229" s="3"/>
    </row>
    <row r="3230" spans="1:3" ht="15.75" customHeight="1" x14ac:dyDescent="0.25">
      <c r="A3230" s="2"/>
      <c r="B3230" s="3"/>
      <c r="C3230" s="3"/>
    </row>
    <row r="3231" spans="1:3" ht="15.75" customHeight="1" x14ac:dyDescent="0.25">
      <c r="A3231" s="2"/>
      <c r="B3231" s="3"/>
      <c r="C3231" s="3"/>
    </row>
    <row r="3232" spans="1:3" ht="15.75" customHeight="1" x14ac:dyDescent="0.25">
      <c r="A3232" s="2"/>
      <c r="B3232" s="3"/>
      <c r="C3232" s="3"/>
    </row>
    <row r="3233" spans="1:3" ht="15.75" customHeight="1" x14ac:dyDescent="0.25">
      <c r="A3233" s="2"/>
      <c r="B3233" s="3"/>
      <c r="C3233" s="3"/>
    </row>
    <row r="3234" spans="1:3" ht="15.75" customHeight="1" x14ac:dyDescent="0.25">
      <c r="A3234" s="2"/>
      <c r="B3234" s="3"/>
      <c r="C3234" s="3"/>
    </row>
    <row r="3235" spans="1:3" ht="15.75" customHeight="1" x14ac:dyDescent="0.25">
      <c r="A3235" s="2"/>
      <c r="B3235" s="3"/>
      <c r="C3235" s="3"/>
    </row>
    <row r="3236" spans="1:3" ht="15.75" customHeight="1" x14ac:dyDescent="0.25">
      <c r="A3236" s="2"/>
      <c r="B3236" s="3"/>
      <c r="C3236" s="3"/>
    </row>
    <row r="3237" spans="1:3" ht="15.75" customHeight="1" x14ac:dyDescent="0.25">
      <c r="A3237" s="2"/>
      <c r="B3237" s="3"/>
      <c r="C3237" s="3"/>
    </row>
    <row r="3238" spans="1:3" ht="15.75" customHeight="1" x14ac:dyDescent="0.25">
      <c r="A3238" s="2"/>
      <c r="B3238" s="3"/>
      <c r="C3238" s="3"/>
    </row>
    <row r="3239" spans="1:3" ht="15.75" customHeight="1" x14ac:dyDescent="0.25">
      <c r="A3239" s="2"/>
      <c r="B3239" s="3"/>
      <c r="C3239" s="3"/>
    </row>
    <row r="3240" spans="1:3" ht="15.75" customHeight="1" x14ac:dyDescent="0.25">
      <c r="A3240" s="2"/>
      <c r="B3240" s="3"/>
      <c r="C3240" s="3"/>
    </row>
    <row r="3241" spans="1:3" ht="15.75" customHeight="1" x14ac:dyDescent="0.25">
      <c r="A3241" s="2"/>
      <c r="B3241" s="3"/>
      <c r="C3241" s="3"/>
    </row>
    <row r="3242" spans="1:3" ht="15.75" customHeight="1" x14ac:dyDescent="0.25">
      <c r="A3242" s="2"/>
      <c r="B3242" s="3"/>
      <c r="C3242" s="3"/>
    </row>
    <row r="3243" spans="1:3" ht="15.75" customHeight="1" x14ac:dyDescent="0.25">
      <c r="A3243" s="2"/>
      <c r="B3243" s="3"/>
      <c r="C3243" s="3"/>
    </row>
    <row r="3244" spans="1:3" ht="15.75" customHeight="1" x14ac:dyDescent="0.25">
      <c r="A3244" s="2"/>
      <c r="B3244" s="3"/>
      <c r="C3244" s="3"/>
    </row>
    <row r="3245" spans="1:3" ht="15.75" customHeight="1" x14ac:dyDescent="0.25">
      <c r="A3245" s="2"/>
      <c r="B3245" s="3"/>
      <c r="C3245" s="3"/>
    </row>
    <row r="3246" spans="1:3" ht="15.75" customHeight="1" x14ac:dyDescent="0.25">
      <c r="A3246" s="2"/>
      <c r="B3246" s="3"/>
      <c r="C3246" s="3"/>
    </row>
    <row r="3247" spans="1:3" ht="15.75" customHeight="1" x14ac:dyDescent="0.25">
      <c r="A3247" s="2"/>
      <c r="B3247" s="3"/>
      <c r="C3247" s="3"/>
    </row>
    <row r="3248" spans="1:3" ht="15.75" customHeight="1" x14ac:dyDescent="0.25">
      <c r="A3248" s="2"/>
      <c r="B3248" s="3"/>
      <c r="C3248" s="3"/>
    </row>
    <row r="3249" spans="1:3" ht="15.75" customHeight="1" x14ac:dyDescent="0.25">
      <c r="A3249" s="2"/>
      <c r="B3249" s="3"/>
      <c r="C3249" s="3"/>
    </row>
    <row r="3250" spans="1:3" ht="15.75" customHeight="1" x14ac:dyDescent="0.25">
      <c r="A3250" s="2"/>
      <c r="B3250" s="3"/>
      <c r="C3250" s="3"/>
    </row>
    <row r="3251" spans="1:3" ht="15.75" customHeight="1" x14ac:dyDescent="0.25">
      <c r="A3251" s="2"/>
      <c r="B3251" s="3"/>
      <c r="C3251" s="3"/>
    </row>
    <row r="3252" spans="1:3" ht="15.75" customHeight="1" x14ac:dyDescent="0.25">
      <c r="A3252" s="2"/>
      <c r="B3252" s="3"/>
      <c r="C3252" s="3"/>
    </row>
    <row r="3253" spans="1:3" ht="15.75" customHeight="1" x14ac:dyDescent="0.25">
      <c r="A3253" s="2"/>
      <c r="B3253" s="3"/>
      <c r="C3253" s="3"/>
    </row>
    <row r="3254" spans="1:3" ht="15.75" customHeight="1" x14ac:dyDescent="0.25">
      <c r="A3254" s="2"/>
      <c r="B3254" s="3"/>
      <c r="C3254" s="3"/>
    </row>
    <row r="3255" spans="1:3" ht="15.75" customHeight="1" x14ac:dyDescent="0.25">
      <c r="A3255" s="2"/>
      <c r="B3255" s="3"/>
      <c r="C3255" s="3"/>
    </row>
    <row r="3256" spans="1:3" ht="15.75" customHeight="1" x14ac:dyDescent="0.25">
      <c r="A3256" s="2"/>
      <c r="B3256" s="3"/>
      <c r="C3256" s="3"/>
    </row>
    <row r="3257" spans="1:3" ht="15.75" customHeight="1" x14ac:dyDescent="0.25">
      <c r="A3257" s="2"/>
      <c r="B3257" s="3"/>
      <c r="C3257" s="3"/>
    </row>
    <row r="3258" spans="1:3" ht="15.75" customHeight="1" x14ac:dyDescent="0.25">
      <c r="A3258" s="2"/>
      <c r="B3258" s="3"/>
      <c r="C3258" s="3"/>
    </row>
    <row r="3259" spans="1:3" ht="15.75" customHeight="1" x14ac:dyDescent="0.25">
      <c r="A3259" s="2"/>
      <c r="B3259" s="3"/>
      <c r="C3259" s="3"/>
    </row>
    <row r="3260" spans="1:3" ht="15.75" customHeight="1" x14ac:dyDescent="0.25">
      <c r="A3260" s="2"/>
      <c r="B3260" s="3"/>
      <c r="C3260" s="3"/>
    </row>
    <row r="3261" spans="1:3" ht="15.75" customHeight="1" x14ac:dyDescent="0.25">
      <c r="A3261" s="2"/>
      <c r="B3261" s="3"/>
      <c r="C3261" s="3"/>
    </row>
    <row r="3262" spans="1:3" ht="15.75" customHeight="1" x14ac:dyDescent="0.25">
      <c r="A3262" s="2"/>
      <c r="B3262" s="3"/>
      <c r="C3262" s="3"/>
    </row>
    <row r="3263" spans="1:3" ht="15.75" customHeight="1" x14ac:dyDescent="0.25">
      <c r="A3263" s="2"/>
      <c r="B3263" s="3"/>
      <c r="C3263" s="3"/>
    </row>
    <row r="3264" spans="1:3" ht="15.75" customHeight="1" x14ac:dyDescent="0.25">
      <c r="A3264" s="2"/>
      <c r="B3264" s="3"/>
      <c r="C3264" s="3"/>
    </row>
    <row r="3265" spans="1:3" ht="15.75" customHeight="1" x14ac:dyDescent="0.25">
      <c r="A3265" s="2"/>
      <c r="B3265" s="3"/>
      <c r="C3265" s="3"/>
    </row>
    <row r="3266" spans="1:3" ht="15.75" customHeight="1" x14ac:dyDescent="0.25">
      <c r="A3266" s="2"/>
      <c r="B3266" s="3"/>
      <c r="C3266" s="3"/>
    </row>
    <row r="3267" spans="1:3" ht="15.75" customHeight="1" x14ac:dyDescent="0.25">
      <c r="A3267" s="2"/>
      <c r="B3267" s="3"/>
      <c r="C3267" s="3"/>
    </row>
    <row r="3268" spans="1:3" ht="15.75" customHeight="1" x14ac:dyDescent="0.25">
      <c r="A3268" s="2"/>
      <c r="B3268" s="3"/>
      <c r="C3268" s="3"/>
    </row>
    <row r="3269" spans="1:3" ht="15.75" customHeight="1" x14ac:dyDescent="0.25">
      <c r="A3269" s="2"/>
      <c r="B3269" s="3"/>
      <c r="C3269" s="3"/>
    </row>
    <row r="3270" spans="1:3" ht="15.75" customHeight="1" x14ac:dyDescent="0.25">
      <c r="A3270" s="2"/>
      <c r="B3270" s="3"/>
      <c r="C3270" s="3"/>
    </row>
    <row r="3271" spans="1:3" ht="15.75" customHeight="1" x14ac:dyDescent="0.25">
      <c r="A3271" s="2"/>
      <c r="B3271" s="3"/>
      <c r="C3271" s="3"/>
    </row>
    <row r="3272" spans="1:3" ht="15.75" customHeight="1" x14ac:dyDescent="0.25">
      <c r="A3272" s="2"/>
      <c r="B3272" s="3"/>
      <c r="C3272" s="3"/>
    </row>
    <row r="3273" spans="1:3" ht="15.75" customHeight="1" x14ac:dyDescent="0.25">
      <c r="A3273" s="2"/>
      <c r="B3273" s="3"/>
      <c r="C3273" s="3"/>
    </row>
    <row r="3274" spans="1:3" ht="15.75" customHeight="1" x14ac:dyDescent="0.25">
      <c r="A3274" s="2"/>
      <c r="B3274" s="3"/>
      <c r="C3274" s="3"/>
    </row>
    <row r="3275" spans="1:3" ht="15.75" customHeight="1" x14ac:dyDescent="0.25">
      <c r="A3275" s="2"/>
      <c r="B3275" s="3"/>
      <c r="C3275" s="3"/>
    </row>
    <row r="3276" spans="1:3" ht="15.75" customHeight="1" x14ac:dyDescent="0.25">
      <c r="A3276" s="2"/>
      <c r="B3276" s="3"/>
      <c r="C3276" s="3"/>
    </row>
    <row r="3277" spans="1:3" ht="15.75" customHeight="1" x14ac:dyDescent="0.25">
      <c r="A3277" s="2"/>
      <c r="B3277" s="3"/>
      <c r="C3277" s="3"/>
    </row>
    <row r="3278" spans="1:3" ht="15.75" customHeight="1" x14ac:dyDescent="0.25">
      <c r="A3278" s="2"/>
      <c r="B3278" s="3"/>
      <c r="C3278" s="3"/>
    </row>
    <row r="3279" spans="1:3" ht="15.75" customHeight="1" x14ac:dyDescent="0.25">
      <c r="A3279" s="2"/>
      <c r="B3279" s="3"/>
      <c r="C3279" s="3"/>
    </row>
    <row r="3280" spans="1:3" ht="15.75" customHeight="1" x14ac:dyDescent="0.25">
      <c r="A3280" s="2"/>
      <c r="B3280" s="3"/>
      <c r="C3280" s="3"/>
    </row>
    <row r="3281" spans="1:3" ht="15.75" customHeight="1" x14ac:dyDescent="0.25">
      <c r="A3281" s="2"/>
      <c r="B3281" s="3"/>
      <c r="C3281" s="3"/>
    </row>
    <row r="3282" spans="1:3" ht="15.75" customHeight="1" x14ac:dyDescent="0.25">
      <c r="A3282" s="2"/>
      <c r="B3282" s="3"/>
      <c r="C3282" s="3"/>
    </row>
    <row r="3283" spans="1:3" ht="15.75" customHeight="1" x14ac:dyDescent="0.25">
      <c r="A3283" s="2"/>
      <c r="B3283" s="3"/>
      <c r="C3283" s="3"/>
    </row>
    <row r="3284" spans="1:3" ht="15.75" customHeight="1" x14ac:dyDescent="0.25">
      <c r="A3284" s="2"/>
      <c r="B3284" s="3"/>
      <c r="C3284" s="3"/>
    </row>
    <row r="3285" spans="1:3" ht="15.75" customHeight="1" x14ac:dyDescent="0.25">
      <c r="A3285" s="2"/>
      <c r="B3285" s="3"/>
      <c r="C3285" s="3"/>
    </row>
    <row r="3286" spans="1:3" ht="15.75" customHeight="1" x14ac:dyDescent="0.25">
      <c r="A3286" s="2"/>
      <c r="B3286" s="3"/>
      <c r="C3286" s="3"/>
    </row>
    <row r="3287" spans="1:3" ht="15.75" customHeight="1" x14ac:dyDescent="0.25">
      <c r="A3287" s="2"/>
      <c r="B3287" s="3"/>
      <c r="C3287" s="3"/>
    </row>
    <row r="3288" spans="1:3" ht="15.75" customHeight="1" x14ac:dyDescent="0.25">
      <c r="A3288" s="2"/>
      <c r="B3288" s="3"/>
      <c r="C3288" s="3"/>
    </row>
    <row r="3289" spans="1:3" ht="15.75" customHeight="1" x14ac:dyDescent="0.25">
      <c r="A3289" s="2"/>
      <c r="B3289" s="3"/>
      <c r="C3289" s="3"/>
    </row>
    <row r="3290" spans="1:3" ht="15.75" customHeight="1" x14ac:dyDescent="0.25">
      <c r="A3290" s="2"/>
      <c r="B3290" s="3"/>
      <c r="C3290" s="3"/>
    </row>
    <row r="3291" spans="1:3" ht="15.75" customHeight="1" x14ac:dyDescent="0.25">
      <c r="A3291" s="2"/>
      <c r="B3291" s="3"/>
      <c r="C3291" s="3"/>
    </row>
    <row r="3292" spans="1:3" ht="15.75" customHeight="1" x14ac:dyDescent="0.25">
      <c r="A3292" s="2"/>
      <c r="B3292" s="3"/>
      <c r="C3292" s="3"/>
    </row>
    <row r="3293" spans="1:3" ht="15.75" customHeight="1" x14ac:dyDescent="0.25">
      <c r="A3293" s="2"/>
      <c r="B3293" s="3"/>
      <c r="C3293" s="3"/>
    </row>
    <row r="3294" spans="1:3" ht="15.75" customHeight="1" x14ac:dyDescent="0.25">
      <c r="A3294" s="2"/>
      <c r="B3294" s="3"/>
      <c r="C3294" s="3"/>
    </row>
    <row r="3295" spans="1:3" ht="15.75" customHeight="1" x14ac:dyDescent="0.25">
      <c r="A3295" s="2"/>
      <c r="B3295" s="3"/>
      <c r="C3295" s="3"/>
    </row>
    <row r="3296" spans="1:3" ht="15.75" customHeight="1" x14ac:dyDescent="0.25">
      <c r="A3296" s="2"/>
      <c r="B3296" s="3"/>
      <c r="C3296" s="3"/>
    </row>
    <row r="3297" spans="1:3" ht="15.75" customHeight="1" x14ac:dyDescent="0.25">
      <c r="A3297" s="2"/>
      <c r="B3297" s="3"/>
      <c r="C3297" s="3"/>
    </row>
    <row r="3298" spans="1:3" ht="15.75" customHeight="1" x14ac:dyDescent="0.25">
      <c r="A3298" s="2"/>
      <c r="B3298" s="3"/>
      <c r="C3298" s="3"/>
    </row>
    <row r="3299" spans="1:3" ht="15.75" customHeight="1" x14ac:dyDescent="0.25">
      <c r="A3299" s="2"/>
      <c r="B3299" s="3"/>
      <c r="C3299" s="3"/>
    </row>
    <row r="3300" spans="1:3" ht="15.75" customHeight="1" x14ac:dyDescent="0.25">
      <c r="A3300" s="2"/>
      <c r="B3300" s="3"/>
      <c r="C3300" s="3"/>
    </row>
    <row r="3301" spans="1:3" ht="15.75" customHeight="1" x14ac:dyDescent="0.25">
      <c r="A3301" s="2"/>
      <c r="B3301" s="3"/>
      <c r="C3301" s="3"/>
    </row>
    <row r="3302" spans="1:3" ht="15.75" customHeight="1" x14ac:dyDescent="0.25">
      <c r="A3302" s="2"/>
      <c r="B3302" s="3"/>
      <c r="C3302" s="3"/>
    </row>
    <row r="3303" spans="1:3" ht="15.75" customHeight="1" x14ac:dyDescent="0.25">
      <c r="A3303" s="2"/>
      <c r="B3303" s="3"/>
      <c r="C3303" s="3"/>
    </row>
    <row r="3304" spans="1:3" ht="15.75" customHeight="1" x14ac:dyDescent="0.25">
      <c r="A3304" s="2"/>
      <c r="B3304" s="3"/>
      <c r="C3304" s="3"/>
    </row>
    <row r="3305" spans="1:3" ht="15.75" customHeight="1" x14ac:dyDescent="0.25">
      <c r="A3305" s="2"/>
      <c r="B3305" s="3"/>
      <c r="C3305" s="3"/>
    </row>
    <row r="3306" spans="1:3" ht="15.75" customHeight="1" x14ac:dyDescent="0.25">
      <c r="A3306" s="2"/>
      <c r="B3306" s="3"/>
      <c r="C3306" s="3"/>
    </row>
    <row r="3307" spans="1:3" ht="15.75" customHeight="1" x14ac:dyDescent="0.25">
      <c r="A3307" s="2"/>
      <c r="B3307" s="3"/>
      <c r="C3307" s="3"/>
    </row>
    <row r="3308" spans="1:3" ht="15.75" customHeight="1" x14ac:dyDescent="0.25">
      <c r="A3308" s="2"/>
      <c r="B3308" s="3"/>
      <c r="C3308" s="3"/>
    </row>
    <row r="3309" spans="1:3" ht="15.75" customHeight="1" x14ac:dyDescent="0.25">
      <c r="A3309" s="2"/>
      <c r="B3309" s="3"/>
      <c r="C3309" s="3"/>
    </row>
    <row r="3310" spans="1:3" ht="15.75" customHeight="1" x14ac:dyDescent="0.25">
      <c r="A3310" s="2"/>
      <c r="B3310" s="3"/>
      <c r="C3310" s="3"/>
    </row>
    <row r="3311" spans="1:3" ht="15.75" customHeight="1" x14ac:dyDescent="0.25">
      <c r="A3311" s="2"/>
      <c r="B3311" s="3"/>
      <c r="C3311" s="3"/>
    </row>
    <row r="3312" spans="1:3" ht="15.75" customHeight="1" x14ac:dyDescent="0.25">
      <c r="A3312" s="2"/>
      <c r="B3312" s="3"/>
      <c r="C3312" s="3"/>
    </row>
    <row r="3313" spans="1:3" ht="15.75" customHeight="1" x14ac:dyDescent="0.25">
      <c r="A3313" s="2"/>
      <c r="B3313" s="3"/>
      <c r="C3313" s="3"/>
    </row>
    <row r="3314" spans="1:3" ht="15.75" customHeight="1" x14ac:dyDescent="0.25">
      <c r="A3314" s="2"/>
      <c r="B3314" s="3"/>
      <c r="C3314" s="3"/>
    </row>
    <row r="3315" spans="1:3" ht="15.75" customHeight="1" x14ac:dyDescent="0.25">
      <c r="A3315" s="2"/>
      <c r="B3315" s="3"/>
      <c r="C3315" s="3"/>
    </row>
    <row r="3316" spans="1:3" ht="15.75" customHeight="1" x14ac:dyDescent="0.25">
      <c r="A3316" s="2"/>
      <c r="B3316" s="3"/>
      <c r="C3316" s="3"/>
    </row>
    <row r="3317" spans="1:3" ht="15.75" customHeight="1" x14ac:dyDescent="0.25">
      <c r="A3317" s="2"/>
      <c r="B3317" s="3"/>
      <c r="C3317" s="3"/>
    </row>
    <row r="3318" spans="1:3" ht="15.75" customHeight="1" x14ac:dyDescent="0.25">
      <c r="A3318" s="2"/>
      <c r="B3318" s="3"/>
      <c r="C3318" s="3"/>
    </row>
    <row r="3319" spans="1:3" ht="15.75" customHeight="1" x14ac:dyDescent="0.25">
      <c r="A3319" s="2"/>
      <c r="B3319" s="3"/>
      <c r="C3319" s="3"/>
    </row>
    <row r="3320" spans="1:3" ht="15.75" customHeight="1" x14ac:dyDescent="0.25">
      <c r="A3320" s="2"/>
      <c r="B3320" s="3"/>
      <c r="C3320" s="3"/>
    </row>
    <row r="3321" spans="1:3" ht="15.75" customHeight="1" x14ac:dyDescent="0.25">
      <c r="A3321" s="2"/>
      <c r="B3321" s="3"/>
      <c r="C3321" s="3"/>
    </row>
    <row r="3322" spans="1:3" ht="15.75" customHeight="1" x14ac:dyDescent="0.25">
      <c r="A3322" s="2"/>
      <c r="B3322" s="3"/>
      <c r="C3322" s="3"/>
    </row>
    <row r="3323" spans="1:3" ht="15.75" customHeight="1" x14ac:dyDescent="0.25">
      <c r="A3323" s="2"/>
      <c r="B3323" s="3"/>
      <c r="C3323" s="3"/>
    </row>
    <row r="3324" spans="1:3" ht="15.75" customHeight="1" x14ac:dyDescent="0.25">
      <c r="A3324" s="2"/>
      <c r="B3324" s="3"/>
      <c r="C3324" s="3"/>
    </row>
    <row r="3325" spans="1:3" ht="15.75" customHeight="1" x14ac:dyDescent="0.25">
      <c r="A3325" s="2"/>
      <c r="B3325" s="3"/>
      <c r="C3325" s="3"/>
    </row>
    <row r="3326" spans="1:3" ht="15.75" customHeight="1" x14ac:dyDescent="0.25">
      <c r="A3326" s="2"/>
      <c r="B3326" s="3"/>
      <c r="C3326" s="3"/>
    </row>
    <row r="3327" spans="1:3" ht="15.75" customHeight="1" x14ac:dyDescent="0.25">
      <c r="A3327" s="2"/>
      <c r="B3327" s="3"/>
      <c r="C3327" s="3"/>
    </row>
    <row r="3328" spans="1:3" ht="15.75" customHeight="1" x14ac:dyDescent="0.25">
      <c r="A3328" s="2"/>
      <c r="B3328" s="3"/>
      <c r="C3328" s="3"/>
    </row>
    <row r="3329" spans="1:3" ht="15.75" customHeight="1" x14ac:dyDescent="0.25">
      <c r="A3329" s="2"/>
      <c r="B3329" s="3"/>
      <c r="C3329" s="3"/>
    </row>
    <row r="3330" spans="1:3" ht="15.75" customHeight="1" x14ac:dyDescent="0.25">
      <c r="A3330" s="2"/>
      <c r="B3330" s="3"/>
      <c r="C3330" s="3"/>
    </row>
    <row r="3331" spans="1:3" ht="15.75" customHeight="1" x14ac:dyDescent="0.25">
      <c r="A3331" s="2"/>
      <c r="B3331" s="3"/>
      <c r="C3331" s="3"/>
    </row>
    <row r="3332" spans="1:3" ht="15.75" customHeight="1" x14ac:dyDescent="0.25">
      <c r="A3332" s="2"/>
      <c r="B3332" s="3"/>
      <c r="C3332" s="3"/>
    </row>
    <row r="3333" spans="1:3" ht="15.75" customHeight="1" x14ac:dyDescent="0.25">
      <c r="A3333" s="2"/>
      <c r="B3333" s="3"/>
      <c r="C3333" s="3"/>
    </row>
    <row r="3334" spans="1:3" ht="15.75" customHeight="1" x14ac:dyDescent="0.25">
      <c r="A3334" s="2"/>
      <c r="B3334" s="3"/>
      <c r="C3334" s="3"/>
    </row>
    <row r="3335" spans="1:3" ht="15.75" customHeight="1" x14ac:dyDescent="0.25">
      <c r="A3335" s="2"/>
      <c r="B3335" s="3"/>
      <c r="C3335" s="3"/>
    </row>
    <row r="3336" spans="1:3" ht="15.75" customHeight="1" x14ac:dyDescent="0.25">
      <c r="A3336" s="2"/>
      <c r="B3336" s="3"/>
      <c r="C3336" s="3"/>
    </row>
    <row r="3337" spans="1:3" ht="15.75" customHeight="1" x14ac:dyDescent="0.25">
      <c r="A3337" s="2"/>
      <c r="B3337" s="3"/>
      <c r="C3337" s="3"/>
    </row>
    <row r="3338" spans="1:3" ht="15.75" customHeight="1" x14ac:dyDescent="0.25">
      <c r="A3338" s="2"/>
      <c r="B3338" s="3"/>
      <c r="C3338" s="3"/>
    </row>
    <row r="3339" spans="1:3" ht="15.75" customHeight="1" x14ac:dyDescent="0.25">
      <c r="A3339" s="2"/>
      <c r="B3339" s="3"/>
      <c r="C3339" s="3"/>
    </row>
    <row r="3340" spans="1:3" ht="15.75" customHeight="1" x14ac:dyDescent="0.25">
      <c r="A3340" s="2"/>
      <c r="B3340" s="3"/>
      <c r="C3340" s="3"/>
    </row>
    <row r="3341" spans="1:3" ht="15.75" customHeight="1" x14ac:dyDescent="0.25">
      <c r="A3341" s="2"/>
      <c r="B3341" s="3"/>
      <c r="C3341" s="3"/>
    </row>
    <row r="3342" spans="1:3" ht="15.75" customHeight="1" x14ac:dyDescent="0.25">
      <c r="A3342" s="2"/>
      <c r="B3342" s="3"/>
      <c r="C3342" s="3"/>
    </row>
    <row r="3343" spans="1:3" ht="15.75" customHeight="1" x14ac:dyDescent="0.25">
      <c r="A3343" s="2"/>
      <c r="B3343" s="3"/>
      <c r="C3343" s="3"/>
    </row>
    <row r="3344" spans="1:3" ht="15.75" customHeight="1" x14ac:dyDescent="0.25">
      <c r="A3344" s="2"/>
      <c r="B3344" s="3"/>
      <c r="C3344" s="3"/>
    </row>
    <row r="3345" spans="1:3" ht="15.75" customHeight="1" x14ac:dyDescent="0.25">
      <c r="A3345" s="2"/>
      <c r="B3345" s="3"/>
      <c r="C3345" s="3"/>
    </row>
    <row r="3346" spans="1:3" ht="15.75" customHeight="1" x14ac:dyDescent="0.25">
      <c r="A3346" s="2"/>
      <c r="B3346" s="3"/>
      <c r="C3346" s="3"/>
    </row>
    <row r="3347" spans="1:3" ht="15.75" customHeight="1" x14ac:dyDescent="0.25">
      <c r="A3347" s="2"/>
      <c r="B3347" s="3"/>
      <c r="C3347" s="3"/>
    </row>
    <row r="3348" spans="1:3" ht="15.75" customHeight="1" x14ac:dyDescent="0.25">
      <c r="A3348" s="2"/>
      <c r="B3348" s="3"/>
      <c r="C3348" s="3"/>
    </row>
    <row r="3349" spans="1:3" ht="15.75" customHeight="1" x14ac:dyDescent="0.25">
      <c r="A3349" s="2"/>
      <c r="B3349" s="3"/>
      <c r="C3349" s="3"/>
    </row>
    <row r="3350" spans="1:3" ht="15.75" customHeight="1" x14ac:dyDescent="0.25">
      <c r="A3350" s="2"/>
      <c r="B3350" s="3"/>
      <c r="C3350" s="3"/>
    </row>
    <row r="3351" spans="1:3" ht="15.75" customHeight="1" x14ac:dyDescent="0.25">
      <c r="A3351" s="2"/>
      <c r="B3351" s="3"/>
      <c r="C3351" s="3"/>
    </row>
    <row r="3352" spans="1:3" ht="15.75" customHeight="1" x14ac:dyDescent="0.25">
      <c r="A3352" s="2"/>
      <c r="B3352" s="3"/>
      <c r="C3352" s="3"/>
    </row>
    <row r="3353" spans="1:3" ht="15.75" customHeight="1" x14ac:dyDescent="0.25">
      <c r="A3353" s="2"/>
      <c r="B3353" s="3"/>
      <c r="C3353" s="3"/>
    </row>
    <row r="3354" spans="1:3" ht="15.75" customHeight="1" x14ac:dyDescent="0.25">
      <c r="A3354" s="2"/>
      <c r="B3354" s="3"/>
      <c r="C3354" s="3"/>
    </row>
    <row r="3355" spans="1:3" ht="15.75" customHeight="1" x14ac:dyDescent="0.25">
      <c r="A3355" s="2"/>
      <c r="B3355" s="3"/>
      <c r="C3355" s="3"/>
    </row>
    <row r="3356" spans="1:3" ht="15.75" customHeight="1" x14ac:dyDescent="0.25">
      <c r="A3356" s="2"/>
      <c r="B3356" s="3"/>
      <c r="C3356" s="3"/>
    </row>
    <row r="3357" spans="1:3" ht="15.75" customHeight="1" x14ac:dyDescent="0.25">
      <c r="A3357" s="2"/>
      <c r="B3357" s="3"/>
      <c r="C3357" s="3"/>
    </row>
    <row r="3358" spans="1:3" ht="15.75" customHeight="1" x14ac:dyDescent="0.25">
      <c r="A3358" s="2"/>
      <c r="B3358" s="3"/>
      <c r="C3358" s="3"/>
    </row>
    <row r="3359" spans="1:3" ht="15.75" customHeight="1" x14ac:dyDescent="0.25">
      <c r="A3359" s="2"/>
      <c r="B3359" s="3"/>
      <c r="C3359" s="3"/>
    </row>
    <row r="3360" spans="1:3" ht="15.75" customHeight="1" x14ac:dyDescent="0.25">
      <c r="A3360" s="2"/>
      <c r="B3360" s="3"/>
      <c r="C3360" s="3"/>
    </row>
    <row r="3361" spans="1:3" ht="15.75" customHeight="1" x14ac:dyDescent="0.25">
      <c r="A3361" s="2"/>
      <c r="B3361" s="3"/>
      <c r="C3361" s="3"/>
    </row>
    <row r="3362" spans="1:3" ht="15.75" customHeight="1" x14ac:dyDescent="0.25">
      <c r="A3362" s="2"/>
      <c r="B3362" s="3"/>
      <c r="C3362" s="3"/>
    </row>
    <row r="3363" spans="1:3" ht="15.75" customHeight="1" x14ac:dyDescent="0.25">
      <c r="A3363" s="2"/>
      <c r="B3363" s="3"/>
      <c r="C3363" s="3"/>
    </row>
    <row r="3364" spans="1:3" ht="15.75" customHeight="1" x14ac:dyDescent="0.25">
      <c r="A3364" s="2"/>
      <c r="B3364" s="3"/>
      <c r="C3364" s="3"/>
    </row>
    <row r="3365" spans="1:3" ht="15.75" customHeight="1" x14ac:dyDescent="0.25">
      <c r="A3365" s="2"/>
      <c r="B3365" s="3"/>
      <c r="C3365" s="3"/>
    </row>
    <row r="3366" spans="1:3" ht="15.75" customHeight="1" x14ac:dyDescent="0.25">
      <c r="A3366" s="2"/>
      <c r="B3366" s="3"/>
      <c r="C3366" s="3"/>
    </row>
    <row r="3367" spans="1:3" ht="15.75" customHeight="1" x14ac:dyDescent="0.25">
      <c r="A3367" s="2"/>
      <c r="B3367" s="3"/>
      <c r="C3367" s="3"/>
    </row>
    <row r="3368" spans="1:3" ht="15.75" customHeight="1" x14ac:dyDescent="0.25">
      <c r="A3368" s="2"/>
      <c r="B3368" s="3"/>
      <c r="C3368" s="3"/>
    </row>
    <row r="3369" spans="1:3" ht="15.75" customHeight="1" x14ac:dyDescent="0.25">
      <c r="A3369" s="2"/>
      <c r="B3369" s="3"/>
      <c r="C3369" s="3"/>
    </row>
    <row r="3370" spans="1:3" ht="15.75" customHeight="1" x14ac:dyDescent="0.25">
      <c r="A3370" s="2"/>
      <c r="B3370" s="3"/>
      <c r="C3370" s="3"/>
    </row>
    <row r="3371" spans="1:3" ht="15.75" customHeight="1" x14ac:dyDescent="0.25">
      <c r="A3371" s="2"/>
      <c r="B3371" s="3"/>
      <c r="C3371" s="3"/>
    </row>
    <row r="3372" spans="1:3" ht="15.75" customHeight="1" x14ac:dyDescent="0.25">
      <c r="A3372" s="2"/>
      <c r="B3372" s="3"/>
      <c r="C3372" s="3"/>
    </row>
    <row r="3373" spans="1:3" ht="15.75" customHeight="1" x14ac:dyDescent="0.25">
      <c r="A3373" s="2"/>
      <c r="B3373" s="3"/>
      <c r="C3373" s="3"/>
    </row>
    <row r="3374" spans="1:3" ht="15.75" customHeight="1" x14ac:dyDescent="0.25">
      <c r="A3374" s="2"/>
      <c r="B3374" s="3"/>
      <c r="C3374" s="3"/>
    </row>
    <row r="3375" spans="1:3" ht="15.75" customHeight="1" x14ac:dyDescent="0.25">
      <c r="A3375" s="2"/>
      <c r="B3375" s="3"/>
      <c r="C3375" s="3"/>
    </row>
    <row r="3376" spans="1:3" ht="15.75" customHeight="1" x14ac:dyDescent="0.25">
      <c r="A3376" s="2"/>
      <c r="B3376" s="3"/>
      <c r="C3376" s="3"/>
    </row>
    <row r="3377" spans="1:3" ht="15.75" customHeight="1" x14ac:dyDescent="0.25">
      <c r="A3377" s="2"/>
      <c r="B3377" s="3"/>
      <c r="C3377" s="3"/>
    </row>
    <row r="3378" spans="1:3" ht="15.75" customHeight="1" x14ac:dyDescent="0.25">
      <c r="A3378" s="2"/>
      <c r="B3378" s="3"/>
      <c r="C3378" s="3"/>
    </row>
    <row r="3379" spans="1:3" ht="15.75" customHeight="1" x14ac:dyDescent="0.25">
      <c r="A3379" s="2"/>
      <c r="B3379" s="3"/>
      <c r="C3379" s="3"/>
    </row>
    <row r="3380" spans="1:3" ht="15.75" customHeight="1" x14ac:dyDescent="0.25">
      <c r="A3380" s="2"/>
      <c r="B3380" s="3"/>
      <c r="C3380" s="3"/>
    </row>
    <row r="3381" spans="1:3" ht="15.75" customHeight="1" x14ac:dyDescent="0.25">
      <c r="A3381" s="2"/>
      <c r="B3381" s="3"/>
      <c r="C3381" s="3"/>
    </row>
    <row r="3382" spans="1:3" ht="15.75" customHeight="1" x14ac:dyDescent="0.25">
      <c r="A3382" s="2"/>
      <c r="B3382" s="3"/>
      <c r="C3382" s="3"/>
    </row>
    <row r="3383" spans="1:3" ht="15.75" customHeight="1" x14ac:dyDescent="0.25">
      <c r="A3383" s="2"/>
      <c r="B3383" s="3"/>
      <c r="C3383" s="3"/>
    </row>
    <row r="3384" spans="1:3" ht="15.75" customHeight="1" x14ac:dyDescent="0.25">
      <c r="A3384" s="2"/>
      <c r="B3384" s="3"/>
      <c r="C3384" s="3"/>
    </row>
    <row r="3385" spans="1:3" ht="15.75" customHeight="1" x14ac:dyDescent="0.25">
      <c r="A3385" s="2"/>
      <c r="B3385" s="3"/>
      <c r="C3385" s="3"/>
    </row>
    <row r="3386" spans="1:3" ht="15.75" customHeight="1" x14ac:dyDescent="0.25">
      <c r="A3386" s="2"/>
      <c r="B3386" s="3"/>
      <c r="C3386" s="3"/>
    </row>
    <row r="3387" spans="1:3" ht="15.75" customHeight="1" x14ac:dyDescent="0.25">
      <c r="A3387" s="2"/>
      <c r="B3387" s="3"/>
      <c r="C3387" s="3"/>
    </row>
    <row r="3388" spans="1:3" ht="15.75" customHeight="1" x14ac:dyDescent="0.25">
      <c r="A3388" s="2"/>
      <c r="B3388" s="3"/>
      <c r="C3388" s="3"/>
    </row>
    <row r="3389" spans="1:3" ht="15.75" customHeight="1" x14ac:dyDescent="0.25">
      <c r="A3389" s="2"/>
      <c r="B3389" s="3"/>
      <c r="C3389" s="3"/>
    </row>
    <row r="3390" spans="1:3" ht="15.75" customHeight="1" x14ac:dyDescent="0.25">
      <c r="A3390" s="2"/>
      <c r="B3390" s="3"/>
      <c r="C3390" s="3"/>
    </row>
    <row r="3391" spans="1:3" ht="15.75" customHeight="1" x14ac:dyDescent="0.25">
      <c r="A3391" s="2"/>
      <c r="B3391" s="3"/>
      <c r="C3391" s="3"/>
    </row>
    <row r="3392" spans="1:3" ht="15.75" customHeight="1" x14ac:dyDescent="0.25">
      <c r="A3392" s="2"/>
      <c r="B3392" s="3"/>
      <c r="C3392" s="3"/>
    </row>
    <row r="3393" spans="1:3" ht="15.75" customHeight="1" x14ac:dyDescent="0.25">
      <c r="A3393" s="2"/>
      <c r="B3393" s="3"/>
      <c r="C3393" s="3"/>
    </row>
    <row r="3394" spans="1:3" ht="15.75" customHeight="1" x14ac:dyDescent="0.25">
      <c r="A3394" s="2"/>
      <c r="B3394" s="3"/>
      <c r="C3394" s="3"/>
    </row>
    <row r="3395" spans="1:3" ht="15.75" customHeight="1" x14ac:dyDescent="0.25">
      <c r="A3395" s="2"/>
      <c r="B3395" s="3"/>
      <c r="C3395" s="3"/>
    </row>
    <row r="3396" spans="1:3" ht="15.75" customHeight="1" x14ac:dyDescent="0.25">
      <c r="A3396" s="2"/>
      <c r="B3396" s="3"/>
      <c r="C3396" s="3"/>
    </row>
    <row r="3397" spans="1:3" ht="15.75" customHeight="1" x14ac:dyDescent="0.25">
      <c r="A3397" s="2"/>
      <c r="B3397" s="3"/>
      <c r="C3397" s="3"/>
    </row>
    <row r="3398" spans="1:3" ht="15.75" customHeight="1" x14ac:dyDescent="0.25">
      <c r="A3398" s="2"/>
      <c r="B3398" s="3"/>
      <c r="C3398" s="3"/>
    </row>
    <row r="3399" spans="1:3" ht="15.75" customHeight="1" x14ac:dyDescent="0.25">
      <c r="A3399" s="2"/>
      <c r="B3399" s="3"/>
      <c r="C3399" s="3"/>
    </row>
    <row r="3400" spans="1:3" ht="15.75" customHeight="1" x14ac:dyDescent="0.25">
      <c r="A3400" s="2"/>
      <c r="B3400" s="3"/>
      <c r="C3400" s="3"/>
    </row>
    <row r="3401" spans="1:3" ht="15.75" customHeight="1" x14ac:dyDescent="0.25">
      <c r="A3401" s="2"/>
      <c r="B3401" s="3"/>
      <c r="C3401" s="3"/>
    </row>
    <row r="3402" spans="1:3" ht="15.75" customHeight="1" x14ac:dyDescent="0.25">
      <c r="A3402" s="2"/>
      <c r="B3402" s="3"/>
      <c r="C3402" s="3"/>
    </row>
    <row r="3403" spans="1:3" ht="15.75" customHeight="1" x14ac:dyDescent="0.25">
      <c r="A3403" s="2"/>
      <c r="B3403" s="3"/>
      <c r="C3403" s="3"/>
    </row>
    <row r="3404" spans="1:3" ht="15.75" customHeight="1" x14ac:dyDescent="0.25">
      <c r="A3404" s="2"/>
      <c r="B3404" s="3"/>
      <c r="C3404" s="3"/>
    </row>
    <row r="3405" spans="1:3" ht="15.75" customHeight="1" x14ac:dyDescent="0.25">
      <c r="A3405" s="2"/>
      <c r="B3405" s="3"/>
      <c r="C3405" s="3"/>
    </row>
    <row r="3406" spans="1:3" ht="15.75" customHeight="1" x14ac:dyDescent="0.25">
      <c r="A3406" s="2"/>
      <c r="B3406" s="3"/>
      <c r="C3406" s="3"/>
    </row>
    <row r="3407" spans="1:3" ht="15.75" customHeight="1" x14ac:dyDescent="0.25">
      <c r="A3407" s="2"/>
      <c r="B3407" s="3"/>
      <c r="C3407" s="3"/>
    </row>
    <row r="3408" spans="1:3" ht="15.75" customHeight="1" x14ac:dyDescent="0.25">
      <c r="A3408" s="2"/>
      <c r="B3408" s="3"/>
      <c r="C3408" s="3"/>
    </row>
    <row r="3409" spans="1:3" ht="15.75" customHeight="1" x14ac:dyDescent="0.25">
      <c r="A3409" s="2"/>
      <c r="B3409" s="3"/>
      <c r="C3409" s="3"/>
    </row>
    <row r="3410" spans="1:3" ht="15.75" customHeight="1" x14ac:dyDescent="0.25">
      <c r="A3410" s="2"/>
      <c r="B3410" s="3"/>
      <c r="C3410" s="3"/>
    </row>
    <row r="3411" spans="1:3" ht="15.75" customHeight="1" x14ac:dyDescent="0.25">
      <c r="A3411" s="2"/>
      <c r="B3411" s="3"/>
      <c r="C3411" s="3"/>
    </row>
    <row r="3412" spans="1:3" ht="15.75" customHeight="1" x14ac:dyDescent="0.25">
      <c r="A3412" s="2"/>
      <c r="B3412" s="3"/>
      <c r="C3412" s="3"/>
    </row>
    <row r="3413" spans="1:3" ht="15.75" customHeight="1" x14ac:dyDescent="0.25">
      <c r="A3413" s="2"/>
      <c r="B3413" s="3"/>
      <c r="C3413" s="3"/>
    </row>
    <row r="3414" spans="1:3" ht="15.75" customHeight="1" x14ac:dyDescent="0.25">
      <c r="A3414" s="2"/>
      <c r="B3414" s="3"/>
      <c r="C3414" s="3"/>
    </row>
    <row r="3415" spans="1:3" ht="15.75" customHeight="1" x14ac:dyDescent="0.25">
      <c r="A3415" s="2"/>
      <c r="B3415" s="3"/>
      <c r="C3415" s="3"/>
    </row>
    <row r="3416" spans="1:3" ht="15.75" customHeight="1" x14ac:dyDescent="0.25">
      <c r="A3416" s="2"/>
      <c r="B3416" s="3"/>
      <c r="C3416" s="3"/>
    </row>
    <row r="3417" spans="1:3" ht="15.75" customHeight="1" x14ac:dyDescent="0.25">
      <c r="A3417" s="2"/>
      <c r="B3417" s="3"/>
      <c r="C3417" s="3"/>
    </row>
    <row r="3418" spans="1:3" ht="15.75" customHeight="1" x14ac:dyDescent="0.25">
      <c r="A3418" s="2"/>
      <c r="B3418" s="3"/>
      <c r="C3418" s="3"/>
    </row>
    <row r="3419" spans="1:3" ht="15.75" customHeight="1" x14ac:dyDescent="0.25">
      <c r="A3419" s="2"/>
      <c r="B3419" s="3"/>
      <c r="C3419" s="3"/>
    </row>
    <row r="3420" spans="1:3" ht="15.75" customHeight="1" x14ac:dyDescent="0.25">
      <c r="A3420" s="2"/>
      <c r="B3420" s="3"/>
      <c r="C3420" s="3"/>
    </row>
    <row r="3421" spans="1:3" ht="15.75" customHeight="1" x14ac:dyDescent="0.25">
      <c r="A3421" s="2"/>
      <c r="B3421" s="3"/>
      <c r="C3421" s="3"/>
    </row>
    <row r="3422" spans="1:3" ht="15.75" customHeight="1" x14ac:dyDescent="0.25">
      <c r="A3422" s="2"/>
      <c r="B3422" s="3"/>
      <c r="C3422" s="3"/>
    </row>
    <row r="3423" spans="1:3" ht="15.75" customHeight="1" x14ac:dyDescent="0.25">
      <c r="A3423" s="2"/>
      <c r="B3423" s="3"/>
      <c r="C3423" s="3"/>
    </row>
    <row r="3424" spans="1:3" ht="15.75" customHeight="1" x14ac:dyDescent="0.25">
      <c r="A3424" s="2"/>
      <c r="B3424" s="3"/>
      <c r="C3424" s="3"/>
    </row>
    <row r="3425" spans="1:3" ht="15.75" customHeight="1" x14ac:dyDescent="0.25">
      <c r="A3425" s="2"/>
      <c r="B3425" s="3"/>
      <c r="C3425" s="3"/>
    </row>
    <row r="3426" spans="1:3" ht="15.75" customHeight="1" x14ac:dyDescent="0.25">
      <c r="A3426" s="2"/>
      <c r="B3426" s="3"/>
      <c r="C3426" s="3"/>
    </row>
    <row r="3427" spans="1:3" ht="15.75" customHeight="1" x14ac:dyDescent="0.25">
      <c r="A3427" s="2"/>
      <c r="B3427" s="3"/>
      <c r="C3427" s="3"/>
    </row>
    <row r="3428" spans="1:3" ht="15.75" customHeight="1" x14ac:dyDescent="0.25">
      <c r="A3428" s="2"/>
      <c r="B3428" s="3"/>
      <c r="C3428" s="3"/>
    </row>
    <row r="3429" spans="1:3" ht="15.75" customHeight="1" x14ac:dyDescent="0.25">
      <c r="A3429" s="2"/>
      <c r="B3429" s="3"/>
      <c r="C3429" s="3"/>
    </row>
    <row r="3430" spans="1:3" ht="15.75" customHeight="1" x14ac:dyDescent="0.25">
      <c r="A3430" s="2"/>
      <c r="B3430" s="3"/>
      <c r="C3430" s="3"/>
    </row>
    <row r="3431" spans="1:3" ht="15.75" customHeight="1" x14ac:dyDescent="0.25">
      <c r="A3431" s="2"/>
      <c r="B3431" s="3"/>
      <c r="C3431" s="3"/>
    </row>
    <row r="3432" spans="1:3" ht="15.75" customHeight="1" x14ac:dyDescent="0.25">
      <c r="A3432" s="2"/>
      <c r="B3432" s="3"/>
      <c r="C3432" s="3"/>
    </row>
    <row r="3433" spans="1:3" ht="15.75" customHeight="1" x14ac:dyDescent="0.25">
      <c r="A3433" s="2"/>
      <c r="B3433" s="3"/>
      <c r="C3433" s="3"/>
    </row>
    <row r="3434" spans="1:3" ht="15.75" customHeight="1" x14ac:dyDescent="0.25">
      <c r="A3434" s="2"/>
      <c r="B3434" s="3"/>
      <c r="C3434" s="3"/>
    </row>
    <row r="3435" spans="1:3" ht="15.75" customHeight="1" x14ac:dyDescent="0.25">
      <c r="A3435" s="2"/>
      <c r="B3435" s="3"/>
      <c r="C3435" s="3"/>
    </row>
    <row r="3436" spans="1:3" ht="15.75" customHeight="1" x14ac:dyDescent="0.25">
      <c r="A3436" s="2"/>
      <c r="B3436" s="3"/>
      <c r="C3436" s="3"/>
    </row>
    <row r="3437" spans="1:3" ht="15.75" customHeight="1" x14ac:dyDescent="0.25">
      <c r="A3437" s="2"/>
      <c r="B3437" s="3"/>
      <c r="C3437" s="3"/>
    </row>
    <row r="3438" spans="1:3" ht="15.75" customHeight="1" x14ac:dyDescent="0.25">
      <c r="A3438" s="2"/>
      <c r="B3438" s="3"/>
      <c r="C3438" s="3"/>
    </row>
    <row r="3439" spans="1:3" ht="15.75" customHeight="1" x14ac:dyDescent="0.25">
      <c r="A3439" s="2"/>
      <c r="B3439" s="3"/>
      <c r="C3439" s="3"/>
    </row>
    <row r="3440" spans="1:3" ht="15.75" customHeight="1" x14ac:dyDescent="0.25">
      <c r="A3440" s="2"/>
      <c r="B3440" s="3"/>
      <c r="C3440" s="3"/>
    </row>
    <row r="3441" spans="1:3" ht="15.75" customHeight="1" x14ac:dyDescent="0.25">
      <c r="A3441" s="2"/>
      <c r="B3441" s="3"/>
      <c r="C3441" s="3"/>
    </row>
    <row r="3442" spans="1:3" ht="15.75" customHeight="1" x14ac:dyDescent="0.25">
      <c r="A3442" s="2"/>
      <c r="B3442" s="3"/>
      <c r="C3442" s="3"/>
    </row>
    <row r="3443" spans="1:3" ht="15.75" customHeight="1" x14ac:dyDescent="0.25">
      <c r="A3443" s="2"/>
      <c r="B3443" s="3"/>
      <c r="C3443" s="3"/>
    </row>
    <row r="3444" spans="1:3" ht="15.75" customHeight="1" x14ac:dyDescent="0.25">
      <c r="A3444" s="2"/>
      <c r="B3444" s="3"/>
      <c r="C3444" s="3"/>
    </row>
    <row r="3445" spans="1:3" ht="15.75" customHeight="1" x14ac:dyDescent="0.25">
      <c r="A3445" s="2"/>
      <c r="B3445" s="3"/>
      <c r="C3445" s="3"/>
    </row>
    <row r="3446" spans="1:3" ht="15.75" customHeight="1" x14ac:dyDescent="0.25">
      <c r="A3446" s="2"/>
      <c r="B3446" s="3"/>
      <c r="C3446" s="3"/>
    </row>
    <row r="3447" spans="1:3" ht="15.75" customHeight="1" x14ac:dyDescent="0.25">
      <c r="A3447" s="2"/>
      <c r="B3447" s="3"/>
      <c r="C3447" s="3"/>
    </row>
    <row r="3448" spans="1:3" ht="15.75" customHeight="1" x14ac:dyDescent="0.25">
      <c r="A3448" s="2"/>
      <c r="B3448" s="3"/>
      <c r="C3448" s="3"/>
    </row>
    <row r="3449" spans="1:3" ht="15.75" customHeight="1" x14ac:dyDescent="0.25">
      <c r="A3449" s="2"/>
      <c r="B3449" s="3"/>
      <c r="C3449" s="3"/>
    </row>
    <row r="3450" spans="1:3" ht="15.75" customHeight="1" x14ac:dyDescent="0.25">
      <c r="A3450" s="2"/>
      <c r="B3450" s="3"/>
      <c r="C3450" s="3"/>
    </row>
    <row r="3451" spans="1:3" ht="15.75" customHeight="1" x14ac:dyDescent="0.25">
      <c r="A3451" s="2"/>
      <c r="B3451" s="3"/>
      <c r="C3451" s="3"/>
    </row>
    <row r="3452" spans="1:3" ht="15.75" customHeight="1" x14ac:dyDescent="0.25">
      <c r="A3452" s="2"/>
      <c r="B3452" s="3"/>
      <c r="C3452" s="3"/>
    </row>
    <row r="3453" spans="1:3" ht="15.75" customHeight="1" x14ac:dyDescent="0.25">
      <c r="A3453" s="2"/>
      <c r="B3453" s="3"/>
      <c r="C3453" s="3"/>
    </row>
    <row r="3454" spans="1:3" ht="15.75" customHeight="1" x14ac:dyDescent="0.25">
      <c r="A3454" s="2"/>
      <c r="B3454" s="3"/>
      <c r="C3454" s="3"/>
    </row>
    <row r="3455" spans="1:3" ht="15.75" customHeight="1" x14ac:dyDescent="0.25">
      <c r="A3455" s="2"/>
      <c r="B3455" s="3"/>
      <c r="C3455" s="3"/>
    </row>
    <row r="3456" spans="1:3" ht="15.75" customHeight="1" x14ac:dyDescent="0.25">
      <c r="A3456" s="2"/>
      <c r="B3456" s="3"/>
      <c r="C3456" s="3"/>
    </row>
    <row r="3457" spans="1:3" ht="15.75" customHeight="1" x14ac:dyDescent="0.25">
      <c r="A3457" s="2"/>
      <c r="B3457" s="3"/>
      <c r="C3457" s="3"/>
    </row>
    <row r="3458" spans="1:3" ht="15.75" customHeight="1" x14ac:dyDescent="0.25">
      <c r="A3458" s="2"/>
      <c r="B3458" s="3"/>
      <c r="C3458" s="3"/>
    </row>
    <row r="3459" spans="1:3" ht="15.75" customHeight="1" x14ac:dyDescent="0.25">
      <c r="A3459" s="2"/>
      <c r="B3459" s="3"/>
      <c r="C3459" s="3"/>
    </row>
    <row r="3460" spans="1:3" ht="15.75" customHeight="1" x14ac:dyDescent="0.25">
      <c r="A3460" s="2"/>
      <c r="B3460" s="3"/>
      <c r="C3460" s="3"/>
    </row>
    <row r="3461" spans="1:3" ht="15.75" customHeight="1" x14ac:dyDescent="0.25">
      <c r="A3461" s="2"/>
      <c r="B3461" s="3"/>
      <c r="C3461" s="3"/>
    </row>
    <row r="3462" spans="1:3" ht="15.75" customHeight="1" x14ac:dyDescent="0.25">
      <c r="A3462" s="2"/>
      <c r="B3462" s="3"/>
      <c r="C3462" s="3"/>
    </row>
    <row r="3463" spans="1:3" ht="15.75" customHeight="1" x14ac:dyDescent="0.25">
      <c r="A3463" s="2"/>
      <c r="B3463" s="3"/>
      <c r="C3463" s="3"/>
    </row>
    <row r="3464" spans="1:3" ht="15.75" customHeight="1" x14ac:dyDescent="0.25">
      <c r="A3464" s="2"/>
      <c r="B3464" s="3"/>
      <c r="C3464" s="3"/>
    </row>
    <row r="3465" spans="1:3" ht="15.75" customHeight="1" x14ac:dyDescent="0.25">
      <c r="A3465" s="2"/>
      <c r="B3465" s="3"/>
      <c r="C3465" s="3"/>
    </row>
    <row r="3466" spans="1:3" ht="15.75" customHeight="1" x14ac:dyDescent="0.25">
      <c r="A3466" s="2"/>
      <c r="B3466" s="3"/>
      <c r="C3466" s="3"/>
    </row>
    <row r="3467" spans="1:3" ht="15.75" customHeight="1" x14ac:dyDescent="0.25">
      <c r="A3467" s="2"/>
      <c r="B3467" s="3"/>
      <c r="C3467" s="3"/>
    </row>
    <row r="3468" spans="1:3" ht="15.75" customHeight="1" x14ac:dyDescent="0.25">
      <c r="A3468" s="2"/>
      <c r="B3468" s="3"/>
      <c r="C3468" s="3"/>
    </row>
    <row r="3469" spans="1:3" ht="15.75" customHeight="1" x14ac:dyDescent="0.25">
      <c r="A3469" s="2"/>
      <c r="B3469" s="3"/>
      <c r="C3469" s="3"/>
    </row>
    <row r="3470" spans="1:3" ht="15.75" customHeight="1" x14ac:dyDescent="0.25">
      <c r="A3470" s="2"/>
      <c r="B3470" s="3"/>
      <c r="C3470" s="3"/>
    </row>
    <row r="3471" spans="1:3" ht="15.75" customHeight="1" x14ac:dyDescent="0.25">
      <c r="A3471" s="2"/>
      <c r="B3471" s="3"/>
      <c r="C3471" s="3"/>
    </row>
    <row r="3472" spans="1:3" ht="15.75" customHeight="1" x14ac:dyDescent="0.25">
      <c r="A3472" s="2"/>
      <c r="B3472" s="3"/>
      <c r="C3472" s="3"/>
    </row>
    <row r="3473" spans="1:3" ht="15.75" customHeight="1" x14ac:dyDescent="0.25">
      <c r="A3473" s="2"/>
      <c r="B3473" s="3"/>
      <c r="C3473" s="3"/>
    </row>
    <row r="3474" spans="1:3" ht="15.75" customHeight="1" x14ac:dyDescent="0.25">
      <c r="A3474" s="2"/>
      <c r="B3474" s="3"/>
      <c r="C3474" s="3"/>
    </row>
    <row r="3475" spans="1:3" ht="15.75" customHeight="1" x14ac:dyDescent="0.25">
      <c r="A3475" s="2"/>
      <c r="B3475" s="3"/>
      <c r="C3475" s="3"/>
    </row>
    <row r="3476" spans="1:3" ht="15.75" customHeight="1" x14ac:dyDescent="0.25">
      <c r="A3476" s="2"/>
      <c r="B3476" s="3"/>
      <c r="C3476" s="3"/>
    </row>
    <row r="3477" spans="1:3" ht="15.75" customHeight="1" x14ac:dyDescent="0.25">
      <c r="A3477" s="2"/>
      <c r="B3477" s="3"/>
      <c r="C3477" s="3"/>
    </row>
    <row r="3478" spans="1:3" ht="15.75" customHeight="1" x14ac:dyDescent="0.25">
      <c r="A3478" s="2"/>
      <c r="B3478" s="3"/>
      <c r="C3478" s="3"/>
    </row>
    <row r="3479" spans="1:3" ht="15.75" customHeight="1" x14ac:dyDescent="0.25">
      <c r="A3479" s="2"/>
      <c r="B3479" s="3"/>
      <c r="C3479" s="3"/>
    </row>
    <row r="3480" spans="1:3" ht="15.75" customHeight="1" x14ac:dyDescent="0.25">
      <c r="A3480" s="2"/>
      <c r="B3480" s="3"/>
      <c r="C3480" s="3"/>
    </row>
    <row r="3481" spans="1:3" ht="15.75" customHeight="1" x14ac:dyDescent="0.25">
      <c r="A3481" s="2"/>
      <c r="B3481" s="3"/>
      <c r="C3481" s="3"/>
    </row>
    <row r="3482" spans="1:3" ht="15.75" customHeight="1" x14ac:dyDescent="0.25">
      <c r="A3482" s="2"/>
      <c r="B3482" s="3"/>
      <c r="C3482" s="3"/>
    </row>
    <row r="3483" spans="1:3" ht="15.75" customHeight="1" x14ac:dyDescent="0.25">
      <c r="A3483" s="2"/>
      <c r="B3483" s="3"/>
      <c r="C3483" s="3"/>
    </row>
    <row r="3484" spans="1:3" ht="15.75" customHeight="1" x14ac:dyDescent="0.25">
      <c r="A3484" s="2"/>
      <c r="B3484" s="3"/>
      <c r="C3484" s="3"/>
    </row>
    <row r="3485" spans="1:3" ht="15.75" customHeight="1" x14ac:dyDescent="0.25">
      <c r="A3485" s="2"/>
      <c r="B3485" s="3"/>
      <c r="C3485" s="3"/>
    </row>
    <row r="3486" spans="1:3" ht="15.75" customHeight="1" x14ac:dyDescent="0.25">
      <c r="A3486" s="2"/>
      <c r="B3486" s="3"/>
      <c r="C3486" s="3"/>
    </row>
    <row r="3487" spans="1:3" ht="15.75" customHeight="1" x14ac:dyDescent="0.25">
      <c r="A3487" s="2"/>
      <c r="B3487" s="3"/>
      <c r="C3487" s="3"/>
    </row>
    <row r="3488" spans="1:3" ht="15.75" customHeight="1" x14ac:dyDescent="0.25">
      <c r="A3488" s="2"/>
      <c r="B3488" s="3"/>
      <c r="C3488" s="3"/>
    </row>
    <row r="3489" spans="1:3" ht="15.75" customHeight="1" x14ac:dyDescent="0.25">
      <c r="A3489" s="2"/>
      <c r="B3489" s="3"/>
      <c r="C3489" s="3"/>
    </row>
    <row r="3490" spans="1:3" ht="15.75" customHeight="1" x14ac:dyDescent="0.25">
      <c r="A3490" s="2"/>
      <c r="B3490" s="3"/>
      <c r="C3490" s="3"/>
    </row>
    <row r="3491" spans="1:3" ht="15.75" customHeight="1" x14ac:dyDescent="0.25">
      <c r="A3491" s="2"/>
      <c r="B3491" s="3"/>
      <c r="C3491" s="3"/>
    </row>
    <row r="3492" spans="1:3" ht="15.75" customHeight="1" x14ac:dyDescent="0.25">
      <c r="A3492" s="2"/>
      <c r="B3492" s="3"/>
      <c r="C3492" s="3"/>
    </row>
    <row r="3493" spans="1:3" ht="15.75" customHeight="1" x14ac:dyDescent="0.25">
      <c r="A3493" s="2"/>
      <c r="B3493" s="3"/>
      <c r="C3493" s="3"/>
    </row>
    <row r="3494" spans="1:3" ht="15.75" customHeight="1" x14ac:dyDescent="0.25">
      <c r="A3494" s="2"/>
      <c r="B3494" s="3"/>
      <c r="C3494" s="3"/>
    </row>
    <row r="3495" spans="1:3" ht="15.75" customHeight="1" x14ac:dyDescent="0.25">
      <c r="A3495" s="2"/>
      <c r="B3495" s="3"/>
      <c r="C3495" s="3"/>
    </row>
    <row r="3496" spans="1:3" ht="15.75" customHeight="1" x14ac:dyDescent="0.25">
      <c r="A3496" s="2"/>
      <c r="B3496" s="3"/>
      <c r="C3496" s="3"/>
    </row>
    <row r="3497" spans="1:3" ht="15.75" customHeight="1" x14ac:dyDescent="0.25">
      <c r="A3497" s="2"/>
      <c r="B3497" s="3"/>
      <c r="C3497" s="3"/>
    </row>
    <row r="3498" spans="1:3" ht="15.75" customHeight="1" x14ac:dyDescent="0.25">
      <c r="A3498" s="2"/>
      <c r="B3498" s="3"/>
      <c r="C3498" s="3"/>
    </row>
    <row r="3499" spans="1:3" ht="15.75" customHeight="1" x14ac:dyDescent="0.25">
      <c r="A3499" s="2"/>
      <c r="B3499" s="3"/>
      <c r="C3499" s="3"/>
    </row>
    <row r="3500" spans="1:3" ht="15.75" customHeight="1" x14ac:dyDescent="0.25">
      <c r="A3500" s="2"/>
      <c r="B3500" s="3"/>
      <c r="C3500" s="3"/>
    </row>
    <row r="3501" spans="1:3" ht="15.75" customHeight="1" x14ac:dyDescent="0.25">
      <c r="A3501" s="2"/>
      <c r="B3501" s="3"/>
      <c r="C3501" s="3"/>
    </row>
    <row r="3502" spans="1:3" ht="15.75" customHeight="1" x14ac:dyDescent="0.25">
      <c r="A3502" s="2"/>
      <c r="B3502" s="3"/>
      <c r="C3502" s="3"/>
    </row>
    <row r="3503" spans="1:3" ht="15.75" customHeight="1" x14ac:dyDescent="0.25">
      <c r="A3503" s="2"/>
      <c r="B3503" s="3"/>
      <c r="C3503" s="3"/>
    </row>
    <row r="3504" spans="1:3" ht="15.75" customHeight="1" x14ac:dyDescent="0.25">
      <c r="A3504" s="2"/>
      <c r="B3504" s="3"/>
      <c r="C3504" s="3"/>
    </row>
    <row r="3505" spans="1:3" ht="15.75" customHeight="1" x14ac:dyDescent="0.25">
      <c r="A3505" s="2"/>
      <c r="B3505" s="3"/>
      <c r="C3505" s="3"/>
    </row>
    <row r="3506" spans="1:3" ht="15.75" customHeight="1" x14ac:dyDescent="0.25">
      <c r="A3506" s="2"/>
      <c r="B3506" s="3"/>
      <c r="C3506" s="3"/>
    </row>
    <row r="3507" spans="1:3" ht="15.75" customHeight="1" x14ac:dyDescent="0.25">
      <c r="A3507" s="2"/>
      <c r="B3507" s="3"/>
      <c r="C3507" s="3"/>
    </row>
    <row r="3508" spans="1:3" ht="15.75" customHeight="1" x14ac:dyDescent="0.25">
      <c r="A3508" s="2"/>
      <c r="B3508" s="3"/>
      <c r="C3508" s="3"/>
    </row>
    <row r="3509" spans="1:3" ht="15.75" customHeight="1" x14ac:dyDescent="0.25">
      <c r="A3509" s="2"/>
      <c r="B3509" s="3"/>
      <c r="C3509" s="3"/>
    </row>
    <row r="3510" spans="1:3" ht="15.75" customHeight="1" x14ac:dyDescent="0.25">
      <c r="A3510" s="2"/>
      <c r="B3510" s="3"/>
      <c r="C3510" s="3"/>
    </row>
    <row r="3511" spans="1:3" ht="15.75" customHeight="1" x14ac:dyDescent="0.25">
      <c r="A3511" s="2"/>
      <c r="B3511" s="3"/>
      <c r="C3511" s="3"/>
    </row>
    <row r="3512" spans="1:3" ht="15.75" customHeight="1" x14ac:dyDescent="0.25">
      <c r="A3512" s="2"/>
      <c r="B3512" s="3"/>
      <c r="C3512" s="3"/>
    </row>
    <row r="3513" spans="1:3" ht="15.75" customHeight="1" x14ac:dyDescent="0.25">
      <c r="A3513" s="2"/>
      <c r="B3513" s="3"/>
      <c r="C3513" s="3"/>
    </row>
    <row r="3514" spans="1:3" ht="15.75" customHeight="1" x14ac:dyDescent="0.25">
      <c r="A3514" s="2"/>
      <c r="B3514" s="3"/>
      <c r="C3514" s="3"/>
    </row>
    <row r="3515" spans="1:3" ht="15.75" customHeight="1" x14ac:dyDescent="0.25">
      <c r="A3515" s="2"/>
      <c r="B3515" s="3"/>
      <c r="C3515" s="3"/>
    </row>
    <row r="3516" spans="1:3" ht="15.75" customHeight="1" x14ac:dyDescent="0.25">
      <c r="A3516" s="2"/>
      <c r="B3516" s="3"/>
      <c r="C3516" s="3"/>
    </row>
    <row r="3517" spans="1:3" ht="15.75" customHeight="1" x14ac:dyDescent="0.25">
      <c r="A3517" s="2"/>
      <c r="B3517" s="3"/>
      <c r="C3517" s="3"/>
    </row>
    <row r="3518" spans="1:3" ht="15.75" customHeight="1" x14ac:dyDescent="0.25">
      <c r="A3518" s="2"/>
      <c r="B3518" s="3"/>
      <c r="C3518" s="3"/>
    </row>
    <row r="3519" spans="1:3" ht="15.75" customHeight="1" x14ac:dyDescent="0.25">
      <c r="A3519" s="2"/>
      <c r="B3519" s="3"/>
      <c r="C3519" s="3"/>
    </row>
    <row r="3520" spans="1:3" ht="15.75" customHeight="1" x14ac:dyDescent="0.25">
      <c r="A3520" s="2"/>
      <c r="B3520" s="3"/>
      <c r="C3520" s="3"/>
    </row>
    <row r="3521" spans="1:3" ht="15.75" customHeight="1" x14ac:dyDescent="0.25">
      <c r="A3521" s="2"/>
      <c r="B3521" s="3"/>
      <c r="C3521" s="3"/>
    </row>
    <row r="3522" spans="1:3" ht="15.75" customHeight="1" x14ac:dyDescent="0.25">
      <c r="A3522" s="2"/>
      <c r="B3522" s="3"/>
      <c r="C3522" s="3"/>
    </row>
    <row r="3523" spans="1:3" ht="15.75" customHeight="1" x14ac:dyDescent="0.25">
      <c r="A3523" s="2"/>
      <c r="B3523" s="3"/>
      <c r="C3523" s="3"/>
    </row>
    <row r="3524" spans="1:3" ht="15.75" customHeight="1" x14ac:dyDescent="0.25">
      <c r="A3524" s="2"/>
      <c r="B3524" s="3"/>
      <c r="C3524" s="3"/>
    </row>
    <row r="3525" spans="1:3" ht="15.75" customHeight="1" x14ac:dyDescent="0.25">
      <c r="A3525" s="2"/>
      <c r="B3525" s="3"/>
      <c r="C3525" s="3"/>
    </row>
    <row r="3526" spans="1:3" ht="15.75" customHeight="1" x14ac:dyDescent="0.25">
      <c r="A3526" s="2"/>
      <c r="B3526" s="3"/>
      <c r="C3526" s="3"/>
    </row>
    <row r="3527" spans="1:3" ht="15.75" customHeight="1" x14ac:dyDescent="0.25">
      <c r="A3527" s="2"/>
      <c r="B3527" s="3"/>
      <c r="C3527" s="3"/>
    </row>
    <row r="3528" spans="1:3" ht="15.75" customHeight="1" x14ac:dyDescent="0.25">
      <c r="A3528" s="2"/>
      <c r="B3528" s="3"/>
      <c r="C3528" s="3"/>
    </row>
    <row r="3529" spans="1:3" ht="15.75" customHeight="1" x14ac:dyDescent="0.25">
      <c r="A3529" s="2"/>
      <c r="B3529" s="3"/>
      <c r="C3529" s="3"/>
    </row>
    <row r="3530" spans="1:3" ht="15.75" customHeight="1" x14ac:dyDescent="0.25">
      <c r="A3530" s="2"/>
      <c r="B3530" s="3"/>
      <c r="C3530" s="3"/>
    </row>
    <row r="3531" spans="1:3" ht="15.75" customHeight="1" x14ac:dyDescent="0.25">
      <c r="A3531" s="2"/>
      <c r="B3531" s="3"/>
      <c r="C3531" s="3"/>
    </row>
    <row r="3532" spans="1:3" ht="15.75" customHeight="1" x14ac:dyDescent="0.25">
      <c r="A3532" s="2"/>
      <c r="B3532" s="3"/>
      <c r="C3532" s="3"/>
    </row>
    <row r="3533" spans="1:3" ht="15.75" customHeight="1" x14ac:dyDescent="0.25">
      <c r="A3533" s="2"/>
      <c r="B3533" s="3"/>
      <c r="C3533" s="3"/>
    </row>
    <row r="3534" spans="1:3" ht="15.75" customHeight="1" x14ac:dyDescent="0.25">
      <c r="A3534" s="2"/>
      <c r="B3534" s="3"/>
      <c r="C3534" s="3"/>
    </row>
    <row r="3535" spans="1:3" ht="15.75" customHeight="1" x14ac:dyDescent="0.25">
      <c r="A3535" s="2"/>
      <c r="B3535" s="3"/>
      <c r="C3535" s="3"/>
    </row>
    <row r="3536" spans="1:3" ht="15.75" customHeight="1" x14ac:dyDescent="0.25">
      <c r="A3536" s="2"/>
      <c r="B3536" s="3"/>
      <c r="C3536" s="3"/>
    </row>
    <row r="3537" spans="1:3" ht="15.75" customHeight="1" x14ac:dyDescent="0.25">
      <c r="A3537" s="2"/>
      <c r="B3537" s="3"/>
      <c r="C3537" s="3"/>
    </row>
    <row r="3538" spans="1:3" ht="15.75" customHeight="1" x14ac:dyDescent="0.25">
      <c r="A3538" s="2"/>
      <c r="B3538" s="3"/>
      <c r="C3538" s="3"/>
    </row>
    <row r="3539" spans="1:3" ht="15.75" customHeight="1" x14ac:dyDescent="0.25">
      <c r="A3539" s="2"/>
      <c r="B3539" s="3"/>
      <c r="C3539" s="3"/>
    </row>
    <row r="3540" spans="1:3" ht="15.75" customHeight="1" x14ac:dyDescent="0.25">
      <c r="A3540" s="2"/>
      <c r="B3540" s="3"/>
      <c r="C3540" s="3"/>
    </row>
    <row r="3541" spans="1:3" ht="15.75" customHeight="1" x14ac:dyDescent="0.25">
      <c r="A3541" s="2"/>
      <c r="B3541" s="3"/>
      <c r="C3541" s="3"/>
    </row>
    <row r="3542" spans="1:3" ht="15.75" customHeight="1" x14ac:dyDescent="0.25">
      <c r="A3542" s="2"/>
      <c r="B3542" s="3"/>
      <c r="C3542" s="3"/>
    </row>
    <row r="3543" spans="1:3" ht="15.75" customHeight="1" x14ac:dyDescent="0.25">
      <c r="A3543" s="2"/>
      <c r="B3543" s="3"/>
      <c r="C3543" s="3"/>
    </row>
    <row r="3544" spans="1:3" ht="15.75" customHeight="1" x14ac:dyDescent="0.25">
      <c r="A3544" s="2"/>
      <c r="B3544" s="3"/>
      <c r="C3544" s="3"/>
    </row>
    <row r="3545" spans="1:3" ht="15.75" customHeight="1" x14ac:dyDescent="0.25">
      <c r="A3545" s="2"/>
      <c r="B3545" s="3"/>
      <c r="C3545" s="3"/>
    </row>
    <row r="3546" spans="1:3" ht="15.75" customHeight="1" x14ac:dyDescent="0.25">
      <c r="A3546" s="2"/>
      <c r="B3546" s="3"/>
      <c r="C3546" s="3"/>
    </row>
    <row r="3547" spans="1:3" ht="15.75" customHeight="1" x14ac:dyDescent="0.25">
      <c r="A3547" s="2"/>
      <c r="B3547" s="3"/>
      <c r="C3547" s="3"/>
    </row>
    <row r="3548" spans="1:3" ht="15.75" customHeight="1" x14ac:dyDescent="0.25">
      <c r="A3548" s="2"/>
      <c r="B3548" s="3"/>
      <c r="C3548" s="3"/>
    </row>
    <row r="3549" spans="1:3" ht="15.75" customHeight="1" x14ac:dyDescent="0.25">
      <c r="A3549" s="2"/>
      <c r="B3549" s="3"/>
      <c r="C3549" s="3"/>
    </row>
    <row r="3550" spans="1:3" ht="15.75" customHeight="1" x14ac:dyDescent="0.25">
      <c r="A3550" s="2"/>
      <c r="B3550" s="3"/>
      <c r="C3550" s="3"/>
    </row>
    <row r="3551" spans="1:3" ht="15.75" customHeight="1" x14ac:dyDescent="0.25">
      <c r="A3551" s="2"/>
      <c r="B3551" s="3"/>
      <c r="C3551" s="3"/>
    </row>
    <row r="3552" spans="1:3" ht="15.75" customHeight="1" x14ac:dyDescent="0.25">
      <c r="A3552" s="2"/>
      <c r="B3552" s="3"/>
      <c r="C3552" s="3"/>
    </row>
    <row r="3553" spans="1:3" ht="15.75" customHeight="1" x14ac:dyDescent="0.25">
      <c r="A3553" s="2"/>
      <c r="B3553" s="3"/>
      <c r="C3553" s="3"/>
    </row>
    <row r="3554" spans="1:3" ht="15.75" customHeight="1" x14ac:dyDescent="0.25">
      <c r="A3554" s="2"/>
      <c r="B3554" s="3"/>
      <c r="C3554" s="3"/>
    </row>
    <row r="3555" spans="1:3" ht="15.75" customHeight="1" x14ac:dyDescent="0.25">
      <c r="A3555" s="2"/>
      <c r="B3555" s="3"/>
      <c r="C3555" s="3"/>
    </row>
    <row r="3556" spans="1:3" ht="15.75" customHeight="1" x14ac:dyDescent="0.25">
      <c r="A3556" s="2"/>
      <c r="B3556" s="3"/>
      <c r="C3556" s="3"/>
    </row>
    <row r="3557" spans="1:3" ht="15.75" customHeight="1" x14ac:dyDescent="0.25">
      <c r="A3557" s="2"/>
      <c r="B3557" s="3"/>
      <c r="C3557" s="3"/>
    </row>
    <row r="3558" spans="1:3" ht="15.75" customHeight="1" x14ac:dyDescent="0.25">
      <c r="A3558" s="2"/>
      <c r="B3558" s="3"/>
      <c r="C3558" s="3"/>
    </row>
    <row r="3559" spans="1:3" ht="15.75" customHeight="1" x14ac:dyDescent="0.25">
      <c r="A3559" s="2"/>
      <c r="B3559" s="3"/>
      <c r="C3559" s="3"/>
    </row>
    <row r="3560" spans="1:3" ht="15.75" customHeight="1" x14ac:dyDescent="0.25">
      <c r="A3560" s="2"/>
      <c r="B3560" s="3"/>
      <c r="C3560" s="3"/>
    </row>
    <row r="3561" spans="1:3" ht="15.75" customHeight="1" x14ac:dyDescent="0.25">
      <c r="A3561" s="2"/>
      <c r="B3561" s="3"/>
      <c r="C3561" s="3"/>
    </row>
    <row r="3562" spans="1:3" ht="15.75" customHeight="1" x14ac:dyDescent="0.25">
      <c r="A3562" s="2"/>
      <c r="B3562" s="3"/>
      <c r="C3562" s="3"/>
    </row>
    <row r="3563" spans="1:3" ht="15.75" customHeight="1" x14ac:dyDescent="0.25">
      <c r="A3563" s="2"/>
      <c r="B3563" s="3"/>
      <c r="C3563" s="3"/>
    </row>
    <row r="3564" spans="1:3" ht="15.75" customHeight="1" x14ac:dyDescent="0.25">
      <c r="A3564" s="2"/>
      <c r="B3564" s="3"/>
      <c r="C3564" s="3"/>
    </row>
    <row r="3565" spans="1:3" ht="15.75" customHeight="1" x14ac:dyDescent="0.25">
      <c r="A3565" s="2"/>
      <c r="B3565" s="3"/>
      <c r="C3565" s="3"/>
    </row>
    <row r="3566" spans="1:3" ht="15.75" customHeight="1" x14ac:dyDescent="0.25">
      <c r="A3566" s="2"/>
      <c r="B3566" s="3"/>
      <c r="C3566" s="3"/>
    </row>
    <row r="3567" spans="1:3" ht="15.75" customHeight="1" x14ac:dyDescent="0.25">
      <c r="A3567" s="2"/>
      <c r="B3567" s="3"/>
      <c r="C3567" s="3"/>
    </row>
    <row r="3568" spans="1:3" ht="15.75" customHeight="1" x14ac:dyDescent="0.25">
      <c r="A3568" s="2"/>
      <c r="B3568" s="3"/>
      <c r="C3568" s="3"/>
    </row>
    <row r="3569" spans="1:3" ht="15.75" customHeight="1" x14ac:dyDescent="0.25">
      <c r="A3569" s="2"/>
      <c r="B3569" s="3"/>
      <c r="C3569" s="3"/>
    </row>
    <row r="3570" spans="1:3" ht="15.75" customHeight="1" x14ac:dyDescent="0.25">
      <c r="A3570" s="2"/>
      <c r="B3570" s="3"/>
      <c r="C3570" s="3"/>
    </row>
    <row r="3571" spans="1:3" ht="15.75" customHeight="1" x14ac:dyDescent="0.25">
      <c r="A3571" s="2"/>
      <c r="B3571" s="3"/>
      <c r="C3571" s="3"/>
    </row>
    <row r="3572" spans="1:3" ht="15.75" customHeight="1" x14ac:dyDescent="0.25">
      <c r="A3572" s="2"/>
      <c r="B3572" s="3"/>
      <c r="C3572" s="3"/>
    </row>
    <row r="3573" spans="1:3" ht="15.75" customHeight="1" x14ac:dyDescent="0.25">
      <c r="A3573" s="2"/>
      <c r="B3573" s="3"/>
      <c r="C3573" s="3"/>
    </row>
    <row r="3574" spans="1:3" ht="15.75" customHeight="1" x14ac:dyDescent="0.25">
      <c r="A3574" s="2"/>
      <c r="B3574" s="3"/>
      <c r="C3574" s="3"/>
    </row>
    <row r="3575" spans="1:3" ht="15.75" customHeight="1" x14ac:dyDescent="0.25">
      <c r="A3575" s="2"/>
      <c r="B3575" s="3"/>
      <c r="C3575" s="3"/>
    </row>
    <row r="3576" spans="1:3" ht="15.75" customHeight="1" x14ac:dyDescent="0.25">
      <c r="A3576" s="2"/>
      <c r="B3576" s="3"/>
      <c r="C3576" s="3"/>
    </row>
    <row r="3577" spans="1:3" ht="15.75" customHeight="1" x14ac:dyDescent="0.25">
      <c r="A3577" s="2"/>
      <c r="B3577" s="3"/>
      <c r="C3577" s="3"/>
    </row>
    <row r="3578" spans="1:3" ht="15.75" customHeight="1" x14ac:dyDescent="0.25">
      <c r="A3578" s="2"/>
      <c r="B3578" s="3"/>
      <c r="C3578" s="3"/>
    </row>
    <row r="3579" spans="1:3" ht="15.75" customHeight="1" x14ac:dyDescent="0.25">
      <c r="A3579" s="2"/>
      <c r="B3579" s="3"/>
      <c r="C3579" s="3"/>
    </row>
    <row r="3580" spans="1:3" ht="15.75" customHeight="1" x14ac:dyDescent="0.25">
      <c r="A3580" s="2"/>
      <c r="B3580" s="3"/>
      <c r="C3580" s="3"/>
    </row>
    <row r="3581" spans="1:3" ht="15.75" customHeight="1" x14ac:dyDescent="0.25">
      <c r="A3581" s="2"/>
      <c r="B3581" s="3"/>
      <c r="C3581" s="3"/>
    </row>
    <row r="3582" spans="1:3" ht="15.75" customHeight="1" x14ac:dyDescent="0.25">
      <c r="A3582" s="2"/>
      <c r="B3582" s="3"/>
      <c r="C3582" s="3"/>
    </row>
    <row r="3583" spans="1:3" ht="15.75" customHeight="1" x14ac:dyDescent="0.25">
      <c r="A3583" s="2"/>
      <c r="B3583" s="3"/>
      <c r="C3583" s="3"/>
    </row>
    <row r="3584" spans="1:3" ht="15.75" customHeight="1" x14ac:dyDescent="0.25">
      <c r="A3584" s="2"/>
      <c r="B3584" s="3"/>
      <c r="C3584" s="3"/>
    </row>
    <row r="3585" spans="1:3" ht="15.75" customHeight="1" x14ac:dyDescent="0.25">
      <c r="A3585" s="2"/>
      <c r="B3585" s="3"/>
      <c r="C3585" s="3"/>
    </row>
    <row r="3586" spans="1:3" ht="15.75" customHeight="1" x14ac:dyDescent="0.25">
      <c r="A3586" s="2"/>
      <c r="B3586" s="3"/>
      <c r="C3586" s="3"/>
    </row>
    <row r="3587" spans="1:3" ht="15.75" customHeight="1" x14ac:dyDescent="0.25">
      <c r="A3587" s="2"/>
      <c r="B3587" s="3"/>
      <c r="C3587" s="3"/>
    </row>
    <row r="3588" spans="1:3" ht="15.75" customHeight="1" x14ac:dyDescent="0.25">
      <c r="A3588" s="2"/>
      <c r="B3588" s="3"/>
      <c r="C3588" s="3"/>
    </row>
    <row r="3589" spans="1:3" ht="15.75" customHeight="1" x14ac:dyDescent="0.25">
      <c r="A3589" s="2"/>
      <c r="B3589" s="3"/>
      <c r="C3589" s="3"/>
    </row>
    <row r="3590" spans="1:3" ht="15.75" customHeight="1" x14ac:dyDescent="0.25">
      <c r="A3590" s="2"/>
      <c r="B3590" s="3"/>
      <c r="C3590" s="3"/>
    </row>
    <row r="3591" spans="1:3" ht="15.75" customHeight="1" x14ac:dyDescent="0.25">
      <c r="A3591" s="2"/>
      <c r="B3591" s="3"/>
      <c r="C3591" s="3"/>
    </row>
    <row r="3592" spans="1:3" ht="15.75" customHeight="1" x14ac:dyDescent="0.25">
      <c r="A3592" s="2"/>
      <c r="B3592" s="3"/>
      <c r="C3592" s="3"/>
    </row>
    <row r="3593" spans="1:3" ht="15.75" customHeight="1" x14ac:dyDescent="0.25">
      <c r="A3593" s="2"/>
      <c r="B3593" s="3"/>
      <c r="C3593" s="3"/>
    </row>
    <row r="3594" spans="1:3" ht="15.75" customHeight="1" x14ac:dyDescent="0.25">
      <c r="A3594" s="2"/>
      <c r="B3594" s="3"/>
      <c r="C3594" s="3"/>
    </row>
    <row r="3595" spans="1:3" ht="15.75" customHeight="1" x14ac:dyDescent="0.25">
      <c r="A3595" s="2"/>
      <c r="B3595" s="3"/>
      <c r="C3595" s="3"/>
    </row>
    <row r="3596" spans="1:3" ht="15.75" customHeight="1" x14ac:dyDescent="0.25">
      <c r="A3596" s="2"/>
      <c r="B3596" s="3"/>
      <c r="C3596" s="3"/>
    </row>
    <row r="3597" spans="1:3" ht="15.75" customHeight="1" x14ac:dyDescent="0.25">
      <c r="A3597" s="2"/>
      <c r="B3597" s="3"/>
      <c r="C3597" s="3"/>
    </row>
    <row r="3598" spans="1:3" ht="15.75" customHeight="1" x14ac:dyDescent="0.25">
      <c r="A3598" s="2"/>
      <c r="B3598" s="3"/>
      <c r="C3598" s="3"/>
    </row>
    <row r="3599" spans="1:3" ht="15.75" customHeight="1" x14ac:dyDescent="0.25">
      <c r="A3599" s="2"/>
      <c r="B3599" s="3"/>
      <c r="C3599" s="3"/>
    </row>
    <row r="3600" spans="1:3" ht="15.75" customHeight="1" x14ac:dyDescent="0.25">
      <c r="A3600" s="2"/>
      <c r="B3600" s="3"/>
      <c r="C3600" s="3"/>
    </row>
    <row r="3601" spans="1:3" ht="15.75" customHeight="1" x14ac:dyDescent="0.25">
      <c r="A3601" s="2"/>
      <c r="B3601" s="3"/>
      <c r="C3601" s="3"/>
    </row>
    <row r="3602" spans="1:3" ht="15.75" customHeight="1" x14ac:dyDescent="0.25">
      <c r="A3602" s="2"/>
      <c r="B3602" s="3"/>
      <c r="C3602" s="3"/>
    </row>
    <row r="3603" spans="1:3" ht="15.75" customHeight="1" x14ac:dyDescent="0.25">
      <c r="A3603" s="2"/>
      <c r="B3603" s="3"/>
      <c r="C3603" s="3"/>
    </row>
    <row r="3604" spans="1:3" ht="15.75" customHeight="1" x14ac:dyDescent="0.25">
      <c r="A3604" s="2"/>
      <c r="B3604" s="3"/>
      <c r="C3604" s="3"/>
    </row>
    <row r="3605" spans="1:3" ht="15.75" customHeight="1" x14ac:dyDescent="0.25">
      <c r="A3605" s="2"/>
      <c r="B3605" s="3"/>
      <c r="C3605" s="3"/>
    </row>
    <row r="3606" spans="1:3" ht="15.75" customHeight="1" x14ac:dyDescent="0.25">
      <c r="A3606" s="2"/>
      <c r="B3606" s="3"/>
      <c r="C3606" s="3"/>
    </row>
    <row r="3607" spans="1:3" ht="15.75" customHeight="1" x14ac:dyDescent="0.25">
      <c r="A3607" s="2"/>
      <c r="B3607" s="3"/>
      <c r="C3607" s="3"/>
    </row>
    <row r="3608" spans="1:3" ht="15.75" customHeight="1" x14ac:dyDescent="0.25">
      <c r="A3608" s="2"/>
      <c r="B3608" s="3"/>
      <c r="C3608" s="3"/>
    </row>
    <row r="3609" spans="1:3" ht="15.75" customHeight="1" x14ac:dyDescent="0.25">
      <c r="A3609" s="2"/>
      <c r="B3609" s="3"/>
      <c r="C3609" s="3"/>
    </row>
    <row r="3610" spans="1:3" ht="15.75" customHeight="1" x14ac:dyDescent="0.25">
      <c r="A3610" s="2"/>
      <c r="B3610" s="3"/>
      <c r="C3610" s="3"/>
    </row>
    <row r="3611" spans="1:3" ht="15.75" customHeight="1" x14ac:dyDescent="0.25">
      <c r="A3611" s="2"/>
      <c r="B3611" s="3"/>
      <c r="C3611" s="3"/>
    </row>
    <row r="3612" spans="1:3" ht="15.75" customHeight="1" x14ac:dyDescent="0.25">
      <c r="A3612" s="2"/>
      <c r="B3612" s="3"/>
      <c r="C3612" s="3"/>
    </row>
    <row r="3613" spans="1:3" ht="15.75" customHeight="1" x14ac:dyDescent="0.25">
      <c r="A3613" s="2"/>
      <c r="B3613" s="3"/>
      <c r="C3613" s="3"/>
    </row>
    <row r="3614" spans="1:3" ht="15.75" customHeight="1" x14ac:dyDescent="0.25">
      <c r="A3614" s="2"/>
      <c r="B3614" s="3"/>
      <c r="C3614" s="3"/>
    </row>
    <row r="3615" spans="1:3" ht="15.75" customHeight="1" x14ac:dyDescent="0.25">
      <c r="A3615" s="2"/>
      <c r="B3615" s="3"/>
      <c r="C3615" s="3"/>
    </row>
    <row r="3616" spans="1:3" ht="15.75" customHeight="1" x14ac:dyDescent="0.25">
      <c r="A3616" s="2"/>
      <c r="B3616" s="3"/>
      <c r="C3616" s="3"/>
    </row>
    <row r="3617" spans="1:3" ht="15.75" customHeight="1" x14ac:dyDescent="0.25">
      <c r="A3617" s="2"/>
      <c r="B3617" s="3"/>
      <c r="C3617" s="3"/>
    </row>
    <row r="3618" spans="1:3" ht="15.75" customHeight="1" x14ac:dyDescent="0.25">
      <c r="A3618" s="2"/>
      <c r="B3618" s="3"/>
      <c r="C3618" s="3"/>
    </row>
    <row r="3619" spans="1:3" ht="15.75" customHeight="1" x14ac:dyDescent="0.25">
      <c r="A3619" s="2"/>
      <c r="B3619" s="3"/>
      <c r="C3619" s="3"/>
    </row>
    <row r="3620" spans="1:3" ht="15.75" customHeight="1" x14ac:dyDescent="0.25">
      <c r="A3620" s="2"/>
      <c r="B3620" s="3"/>
      <c r="C3620" s="3"/>
    </row>
    <row r="3621" spans="1:3" ht="15.75" customHeight="1" x14ac:dyDescent="0.25">
      <c r="A3621" s="2"/>
      <c r="B3621" s="3"/>
      <c r="C3621" s="3"/>
    </row>
    <row r="3622" spans="1:3" ht="15.75" customHeight="1" x14ac:dyDescent="0.25">
      <c r="A3622" s="2"/>
      <c r="B3622" s="3"/>
      <c r="C3622" s="3"/>
    </row>
    <row r="3623" spans="1:3" ht="15.75" customHeight="1" x14ac:dyDescent="0.25">
      <c r="A3623" s="2"/>
      <c r="B3623" s="3"/>
      <c r="C3623" s="3"/>
    </row>
    <row r="3624" spans="1:3" ht="15.75" customHeight="1" x14ac:dyDescent="0.25">
      <c r="A3624" s="2"/>
      <c r="B3624" s="3"/>
      <c r="C3624" s="3"/>
    </row>
    <row r="3625" spans="1:3" ht="15.75" customHeight="1" x14ac:dyDescent="0.25">
      <c r="A3625" s="2"/>
      <c r="B3625" s="3"/>
      <c r="C3625" s="3"/>
    </row>
    <row r="3626" spans="1:3" ht="15.75" customHeight="1" x14ac:dyDescent="0.25">
      <c r="A3626" s="2"/>
      <c r="B3626" s="3"/>
      <c r="C3626" s="3"/>
    </row>
    <row r="3627" spans="1:3" ht="15.75" customHeight="1" x14ac:dyDescent="0.25">
      <c r="A3627" s="2"/>
      <c r="B3627" s="3"/>
      <c r="C3627" s="3"/>
    </row>
    <row r="3628" spans="1:3" ht="15.75" customHeight="1" x14ac:dyDescent="0.25">
      <c r="A3628" s="2"/>
      <c r="B3628" s="3"/>
      <c r="C3628" s="3"/>
    </row>
    <row r="3629" spans="1:3" ht="15.75" customHeight="1" x14ac:dyDescent="0.25">
      <c r="A3629" s="2"/>
      <c r="B3629" s="3"/>
      <c r="C3629" s="3"/>
    </row>
    <row r="3630" spans="1:3" ht="15.75" customHeight="1" x14ac:dyDescent="0.25">
      <c r="A3630" s="2"/>
      <c r="B3630" s="3"/>
      <c r="C3630" s="3"/>
    </row>
    <row r="3631" spans="1:3" ht="15.75" customHeight="1" x14ac:dyDescent="0.25">
      <c r="A3631" s="2"/>
      <c r="B3631" s="3"/>
      <c r="C3631" s="3"/>
    </row>
    <row r="3632" spans="1:3" ht="15.75" customHeight="1" x14ac:dyDescent="0.25">
      <c r="A3632" s="2"/>
      <c r="B3632" s="3"/>
      <c r="C3632" s="3"/>
    </row>
    <row r="3633" spans="1:3" ht="15.75" customHeight="1" x14ac:dyDescent="0.25">
      <c r="A3633" s="2"/>
      <c r="B3633" s="3"/>
      <c r="C3633" s="3"/>
    </row>
    <row r="3634" spans="1:3" ht="15.75" customHeight="1" x14ac:dyDescent="0.25">
      <c r="A3634" s="2"/>
      <c r="B3634" s="3"/>
      <c r="C3634" s="3"/>
    </row>
    <row r="3635" spans="1:3" ht="15.75" customHeight="1" x14ac:dyDescent="0.25">
      <c r="A3635" s="2"/>
      <c r="B3635" s="3"/>
      <c r="C3635" s="3"/>
    </row>
    <row r="3636" spans="1:3" ht="15.75" customHeight="1" x14ac:dyDescent="0.25">
      <c r="A3636" s="2"/>
      <c r="B3636" s="3"/>
      <c r="C3636" s="3"/>
    </row>
    <row r="3637" spans="1:3" ht="15.75" customHeight="1" x14ac:dyDescent="0.25">
      <c r="A3637" s="2"/>
      <c r="B3637" s="3"/>
      <c r="C3637" s="3"/>
    </row>
    <row r="3638" spans="1:3" ht="15.75" customHeight="1" x14ac:dyDescent="0.25">
      <c r="A3638" s="2"/>
      <c r="B3638" s="3"/>
      <c r="C3638" s="3"/>
    </row>
    <row r="3639" spans="1:3" ht="15.75" customHeight="1" x14ac:dyDescent="0.25">
      <c r="A3639" s="2"/>
      <c r="B3639" s="3"/>
      <c r="C3639" s="3"/>
    </row>
    <row r="3640" spans="1:3" ht="15.75" customHeight="1" x14ac:dyDescent="0.25">
      <c r="A3640" s="2"/>
      <c r="B3640" s="3"/>
      <c r="C3640" s="3"/>
    </row>
    <row r="3641" spans="1:3" ht="15.75" customHeight="1" x14ac:dyDescent="0.25">
      <c r="A3641" s="2"/>
      <c r="B3641" s="3"/>
      <c r="C3641" s="3"/>
    </row>
    <row r="3642" spans="1:3" ht="15.75" customHeight="1" x14ac:dyDescent="0.25">
      <c r="A3642" s="2"/>
      <c r="B3642" s="3"/>
      <c r="C3642" s="3"/>
    </row>
    <row r="3643" spans="1:3" ht="15.75" customHeight="1" x14ac:dyDescent="0.25">
      <c r="A3643" s="2"/>
      <c r="B3643" s="3"/>
      <c r="C3643" s="3"/>
    </row>
    <row r="3644" spans="1:3" ht="15.75" customHeight="1" x14ac:dyDescent="0.25">
      <c r="A3644" s="2"/>
      <c r="B3644" s="3"/>
      <c r="C3644" s="3"/>
    </row>
    <row r="3645" spans="1:3" ht="15.75" customHeight="1" x14ac:dyDescent="0.25">
      <c r="A3645" s="2"/>
      <c r="B3645" s="3"/>
      <c r="C3645" s="3"/>
    </row>
    <row r="3646" spans="1:3" ht="15.75" customHeight="1" x14ac:dyDescent="0.25">
      <c r="A3646" s="2"/>
      <c r="B3646" s="3"/>
      <c r="C3646" s="3"/>
    </row>
    <row r="3647" spans="1:3" ht="15.75" customHeight="1" x14ac:dyDescent="0.25">
      <c r="A3647" s="2"/>
      <c r="B3647" s="3"/>
      <c r="C3647" s="3"/>
    </row>
    <row r="3648" spans="1:3" ht="15.75" customHeight="1" x14ac:dyDescent="0.25">
      <c r="A3648" s="2"/>
      <c r="B3648" s="3"/>
      <c r="C3648" s="3"/>
    </row>
    <row r="3649" spans="1:3" ht="15.75" customHeight="1" x14ac:dyDescent="0.25">
      <c r="A3649" s="2"/>
      <c r="B3649" s="3"/>
      <c r="C3649" s="3"/>
    </row>
    <row r="3650" spans="1:3" ht="15.75" customHeight="1" x14ac:dyDescent="0.25">
      <c r="A3650" s="2"/>
      <c r="B3650" s="3"/>
      <c r="C3650" s="3"/>
    </row>
    <row r="3651" spans="1:3" ht="15.75" customHeight="1" x14ac:dyDescent="0.25">
      <c r="A3651" s="2"/>
      <c r="B3651" s="3"/>
      <c r="C3651" s="3"/>
    </row>
    <row r="3652" spans="1:3" ht="15.75" customHeight="1" x14ac:dyDescent="0.25">
      <c r="A3652" s="2"/>
      <c r="B3652" s="3"/>
      <c r="C3652" s="3"/>
    </row>
    <row r="3653" spans="1:3" ht="15.75" customHeight="1" x14ac:dyDescent="0.25">
      <c r="A3653" s="2"/>
      <c r="B3653" s="3"/>
      <c r="C3653" s="3"/>
    </row>
    <row r="3654" spans="1:3" ht="15.75" customHeight="1" x14ac:dyDescent="0.25">
      <c r="A3654" s="2"/>
      <c r="B3654" s="3"/>
      <c r="C3654" s="3"/>
    </row>
    <row r="3655" spans="1:3" ht="15.75" customHeight="1" x14ac:dyDescent="0.25">
      <c r="A3655" s="2"/>
      <c r="B3655" s="3"/>
      <c r="C3655" s="3"/>
    </row>
    <row r="3656" spans="1:3" ht="15.75" customHeight="1" x14ac:dyDescent="0.25">
      <c r="A3656" s="2"/>
      <c r="B3656" s="3"/>
      <c r="C3656" s="3"/>
    </row>
    <row r="3657" spans="1:3" ht="15.75" customHeight="1" x14ac:dyDescent="0.25">
      <c r="A3657" s="2"/>
      <c r="B3657" s="3"/>
      <c r="C3657" s="3"/>
    </row>
    <row r="3658" spans="1:3" ht="15.75" customHeight="1" x14ac:dyDescent="0.25">
      <c r="A3658" s="2"/>
      <c r="B3658" s="3"/>
      <c r="C3658" s="3"/>
    </row>
    <row r="3659" spans="1:3" ht="15.75" customHeight="1" x14ac:dyDescent="0.25">
      <c r="A3659" s="2"/>
      <c r="B3659" s="3"/>
      <c r="C3659" s="3"/>
    </row>
    <row r="3660" spans="1:3" ht="15.75" customHeight="1" x14ac:dyDescent="0.25">
      <c r="A3660" s="2"/>
      <c r="B3660" s="3"/>
      <c r="C3660" s="3"/>
    </row>
    <row r="3661" spans="1:3" ht="15.75" customHeight="1" x14ac:dyDescent="0.25">
      <c r="A3661" s="2"/>
      <c r="B3661" s="3"/>
      <c r="C3661" s="3"/>
    </row>
    <row r="3662" spans="1:3" ht="15.75" customHeight="1" x14ac:dyDescent="0.25">
      <c r="A3662" s="2"/>
      <c r="B3662" s="3"/>
      <c r="C3662" s="3"/>
    </row>
    <row r="3663" spans="1:3" ht="15.75" customHeight="1" x14ac:dyDescent="0.25">
      <c r="A3663" s="2"/>
      <c r="B3663" s="3"/>
      <c r="C3663" s="3"/>
    </row>
    <row r="3664" spans="1:3" ht="15.75" customHeight="1" x14ac:dyDescent="0.25">
      <c r="A3664" s="2"/>
      <c r="B3664" s="3"/>
      <c r="C3664" s="3"/>
    </row>
    <row r="3665" spans="1:3" ht="15.75" customHeight="1" x14ac:dyDescent="0.25">
      <c r="A3665" s="2"/>
      <c r="B3665" s="3"/>
      <c r="C3665" s="3"/>
    </row>
    <row r="3666" spans="1:3" ht="15.75" customHeight="1" x14ac:dyDescent="0.25">
      <c r="A3666" s="2"/>
      <c r="B3666" s="3"/>
      <c r="C3666" s="3"/>
    </row>
    <row r="3667" spans="1:3" ht="15.75" customHeight="1" x14ac:dyDescent="0.25">
      <c r="A3667" s="2"/>
      <c r="B3667" s="3"/>
      <c r="C3667" s="3"/>
    </row>
    <row r="3668" spans="1:3" ht="15.75" customHeight="1" x14ac:dyDescent="0.25">
      <c r="A3668" s="2"/>
      <c r="B3668" s="3"/>
      <c r="C3668" s="3"/>
    </row>
    <row r="3669" spans="1:3" ht="15.75" customHeight="1" x14ac:dyDescent="0.25">
      <c r="A3669" s="2"/>
      <c r="B3669" s="3"/>
      <c r="C3669" s="3"/>
    </row>
    <row r="3670" spans="1:3" ht="15.75" customHeight="1" x14ac:dyDescent="0.25">
      <c r="A3670" s="2"/>
      <c r="B3670" s="3"/>
      <c r="C3670" s="3"/>
    </row>
    <row r="3671" spans="1:3" ht="15.75" customHeight="1" x14ac:dyDescent="0.25">
      <c r="A3671" s="2"/>
      <c r="B3671" s="3"/>
      <c r="C3671" s="3"/>
    </row>
    <row r="3672" spans="1:3" ht="15.75" customHeight="1" x14ac:dyDescent="0.25">
      <c r="A3672" s="2"/>
      <c r="B3672" s="3"/>
      <c r="C3672" s="3"/>
    </row>
    <row r="3673" spans="1:3" ht="15.75" customHeight="1" x14ac:dyDescent="0.25">
      <c r="A3673" s="2"/>
      <c r="B3673" s="3"/>
      <c r="C3673" s="3"/>
    </row>
    <row r="3674" spans="1:3" ht="15.75" customHeight="1" x14ac:dyDescent="0.25">
      <c r="A3674" s="2"/>
      <c r="B3674" s="3"/>
      <c r="C3674" s="3"/>
    </row>
    <row r="3675" spans="1:3" ht="15.75" customHeight="1" x14ac:dyDescent="0.25">
      <c r="A3675" s="2"/>
      <c r="B3675" s="3"/>
      <c r="C3675" s="3"/>
    </row>
    <row r="3676" spans="1:3" ht="15.75" customHeight="1" x14ac:dyDescent="0.25">
      <c r="A3676" s="2"/>
      <c r="B3676" s="3"/>
      <c r="C3676" s="3"/>
    </row>
    <row r="3677" spans="1:3" ht="15.75" customHeight="1" x14ac:dyDescent="0.25">
      <c r="A3677" s="2"/>
      <c r="B3677" s="3"/>
      <c r="C3677" s="3"/>
    </row>
    <row r="3678" spans="1:3" ht="15.75" customHeight="1" x14ac:dyDescent="0.25">
      <c r="A3678" s="2"/>
      <c r="B3678" s="3"/>
      <c r="C3678" s="3"/>
    </row>
    <row r="3679" spans="1:3" ht="15.75" customHeight="1" x14ac:dyDescent="0.25">
      <c r="A3679" s="2"/>
      <c r="B3679" s="3"/>
      <c r="C3679" s="3"/>
    </row>
    <row r="3680" spans="1:3" ht="15.75" customHeight="1" x14ac:dyDescent="0.25">
      <c r="A3680" s="2"/>
      <c r="B3680" s="3"/>
      <c r="C3680" s="3"/>
    </row>
    <row r="3681" spans="1:3" ht="15.75" customHeight="1" x14ac:dyDescent="0.25">
      <c r="A3681" s="2"/>
      <c r="B3681" s="3"/>
      <c r="C3681" s="3"/>
    </row>
    <row r="3682" spans="1:3" ht="15.75" customHeight="1" x14ac:dyDescent="0.25">
      <c r="A3682" s="2"/>
      <c r="B3682" s="3"/>
      <c r="C3682" s="3"/>
    </row>
    <row r="3683" spans="1:3" ht="15.75" customHeight="1" x14ac:dyDescent="0.25">
      <c r="A3683" s="2"/>
      <c r="B3683" s="3"/>
      <c r="C3683" s="3"/>
    </row>
    <row r="3684" spans="1:3" ht="15.75" customHeight="1" x14ac:dyDescent="0.25">
      <c r="A3684" s="2"/>
      <c r="B3684" s="3"/>
      <c r="C3684" s="3"/>
    </row>
    <row r="3685" spans="1:3" ht="15.75" customHeight="1" x14ac:dyDescent="0.25">
      <c r="A3685" s="2"/>
      <c r="B3685" s="3"/>
      <c r="C3685" s="3"/>
    </row>
    <row r="3686" spans="1:3" ht="15.75" customHeight="1" x14ac:dyDescent="0.25">
      <c r="A3686" s="2"/>
      <c r="B3686" s="3"/>
      <c r="C3686" s="3"/>
    </row>
    <row r="3687" spans="1:3" ht="15.75" customHeight="1" x14ac:dyDescent="0.25">
      <c r="A3687" s="2"/>
      <c r="B3687" s="3"/>
      <c r="C3687" s="3"/>
    </row>
    <row r="3688" spans="1:3" ht="15.75" customHeight="1" x14ac:dyDescent="0.25">
      <c r="A3688" s="2"/>
      <c r="B3688" s="3"/>
      <c r="C3688" s="3"/>
    </row>
    <row r="3689" spans="1:3" ht="15.75" customHeight="1" x14ac:dyDescent="0.25">
      <c r="A3689" s="2"/>
      <c r="B3689" s="3"/>
      <c r="C3689" s="3"/>
    </row>
    <row r="3690" spans="1:3" ht="15.75" customHeight="1" x14ac:dyDescent="0.25">
      <c r="A3690" s="2"/>
      <c r="B3690" s="3"/>
      <c r="C3690" s="3"/>
    </row>
    <row r="3691" spans="1:3" ht="15.75" customHeight="1" x14ac:dyDescent="0.25">
      <c r="A3691" s="2"/>
      <c r="B3691" s="3"/>
      <c r="C3691" s="3"/>
    </row>
    <row r="3692" spans="1:3" ht="15.75" customHeight="1" x14ac:dyDescent="0.25">
      <c r="A3692" s="2"/>
      <c r="B3692" s="3"/>
      <c r="C3692" s="3"/>
    </row>
    <row r="3693" spans="1:3" ht="15.75" customHeight="1" x14ac:dyDescent="0.25">
      <c r="A3693" s="2"/>
      <c r="B3693" s="3"/>
      <c r="C3693" s="3"/>
    </row>
    <row r="3694" spans="1:3" ht="15.75" customHeight="1" x14ac:dyDescent="0.25">
      <c r="A3694" s="2"/>
      <c r="B3694" s="3"/>
      <c r="C3694" s="3"/>
    </row>
    <row r="3695" spans="1:3" ht="15.75" customHeight="1" x14ac:dyDescent="0.25">
      <c r="A3695" s="2"/>
      <c r="B3695" s="3"/>
      <c r="C3695" s="3"/>
    </row>
    <row r="3696" spans="1:3" ht="15.75" customHeight="1" x14ac:dyDescent="0.25">
      <c r="A3696" s="2"/>
      <c r="B3696" s="3"/>
      <c r="C3696" s="3"/>
    </row>
    <row r="3697" spans="1:3" ht="15.75" customHeight="1" x14ac:dyDescent="0.25">
      <c r="A3697" s="2"/>
      <c r="B3697" s="3"/>
      <c r="C3697" s="3"/>
    </row>
    <row r="3698" spans="1:3" ht="15.75" customHeight="1" x14ac:dyDescent="0.25">
      <c r="A3698" s="2"/>
      <c r="B3698" s="3"/>
      <c r="C3698" s="3"/>
    </row>
    <row r="3699" spans="1:3" ht="15.75" customHeight="1" x14ac:dyDescent="0.25">
      <c r="A3699" s="2"/>
      <c r="B3699" s="3"/>
      <c r="C3699" s="3"/>
    </row>
    <row r="3700" spans="1:3" ht="15.75" customHeight="1" x14ac:dyDescent="0.25">
      <c r="A3700" s="2"/>
      <c r="B3700" s="3"/>
      <c r="C3700" s="3"/>
    </row>
    <row r="3701" spans="1:3" ht="15.75" customHeight="1" x14ac:dyDescent="0.25">
      <c r="A3701" s="2"/>
      <c r="B3701" s="3"/>
      <c r="C3701" s="3"/>
    </row>
    <row r="3702" spans="1:3" ht="15.75" customHeight="1" x14ac:dyDescent="0.25">
      <c r="A3702" s="2"/>
      <c r="B3702" s="3"/>
      <c r="C3702" s="3"/>
    </row>
    <row r="3703" spans="1:3" ht="15.75" customHeight="1" x14ac:dyDescent="0.25">
      <c r="A3703" s="2"/>
      <c r="B3703" s="3"/>
      <c r="C3703" s="3"/>
    </row>
    <row r="3704" spans="1:3" ht="15.75" customHeight="1" x14ac:dyDescent="0.25">
      <c r="A3704" s="2"/>
      <c r="B3704" s="3"/>
      <c r="C3704" s="3"/>
    </row>
    <row r="3705" spans="1:3" ht="15.75" customHeight="1" x14ac:dyDescent="0.25">
      <c r="A3705" s="2"/>
      <c r="B3705" s="3"/>
      <c r="C3705" s="3"/>
    </row>
    <row r="3706" spans="1:3" ht="15.75" customHeight="1" x14ac:dyDescent="0.25">
      <c r="A3706" s="2"/>
      <c r="B3706" s="3"/>
      <c r="C3706" s="3"/>
    </row>
    <row r="3707" spans="1:3" ht="15.75" customHeight="1" x14ac:dyDescent="0.25">
      <c r="A3707" s="2"/>
      <c r="B3707" s="3"/>
      <c r="C3707" s="3"/>
    </row>
    <row r="3708" spans="1:3" ht="15.75" customHeight="1" x14ac:dyDescent="0.25">
      <c r="A3708" s="2"/>
      <c r="B3708" s="3"/>
      <c r="C3708" s="3"/>
    </row>
    <row r="3709" spans="1:3" ht="15.75" customHeight="1" x14ac:dyDescent="0.25">
      <c r="A3709" s="2"/>
      <c r="B3709" s="3"/>
      <c r="C3709" s="3"/>
    </row>
    <row r="3710" spans="1:3" ht="15.75" customHeight="1" x14ac:dyDescent="0.25">
      <c r="A3710" s="2"/>
      <c r="B3710" s="3"/>
      <c r="C3710" s="3"/>
    </row>
    <row r="3711" spans="1:3" ht="15.75" customHeight="1" x14ac:dyDescent="0.25">
      <c r="A3711" s="2"/>
      <c r="B3711" s="3"/>
      <c r="C3711" s="3"/>
    </row>
    <row r="3712" spans="1:3" ht="15.75" customHeight="1" x14ac:dyDescent="0.25">
      <c r="A3712" s="2"/>
      <c r="B3712" s="3"/>
      <c r="C3712" s="3"/>
    </row>
    <row r="3713" spans="1:3" ht="15.75" customHeight="1" x14ac:dyDescent="0.25">
      <c r="A3713" s="2"/>
      <c r="B3713" s="3"/>
      <c r="C3713" s="3"/>
    </row>
    <row r="3714" spans="1:3" ht="15.75" customHeight="1" x14ac:dyDescent="0.25">
      <c r="A3714" s="2"/>
      <c r="B3714" s="3"/>
      <c r="C3714" s="3"/>
    </row>
    <row r="3715" spans="1:3" ht="15.75" customHeight="1" x14ac:dyDescent="0.25">
      <c r="A3715" s="2"/>
      <c r="B3715" s="3"/>
      <c r="C3715" s="3"/>
    </row>
    <row r="3716" spans="1:3" ht="15.75" customHeight="1" x14ac:dyDescent="0.25">
      <c r="A3716" s="2"/>
      <c r="B3716" s="3"/>
      <c r="C3716" s="3"/>
    </row>
    <row r="3717" spans="1:3" ht="15.75" customHeight="1" x14ac:dyDescent="0.25">
      <c r="A3717" s="2"/>
      <c r="B3717" s="3"/>
      <c r="C3717" s="3"/>
    </row>
    <row r="3718" spans="1:3" ht="15.75" customHeight="1" x14ac:dyDescent="0.25">
      <c r="A3718" s="2"/>
      <c r="B3718" s="3"/>
      <c r="C3718" s="3"/>
    </row>
    <row r="3719" spans="1:3" ht="15.75" customHeight="1" x14ac:dyDescent="0.25">
      <c r="A3719" s="2"/>
      <c r="B3719" s="3"/>
      <c r="C3719" s="3"/>
    </row>
    <row r="3720" spans="1:3" ht="15.75" customHeight="1" x14ac:dyDescent="0.25">
      <c r="A3720" s="2"/>
      <c r="B3720" s="3"/>
      <c r="C3720" s="3"/>
    </row>
    <row r="3721" spans="1:3" ht="15.75" customHeight="1" x14ac:dyDescent="0.25">
      <c r="A3721" s="2"/>
      <c r="B3721" s="3"/>
      <c r="C3721" s="3"/>
    </row>
    <row r="3722" spans="1:3" ht="15.75" customHeight="1" x14ac:dyDescent="0.25">
      <c r="A3722" s="2"/>
      <c r="B3722" s="3"/>
      <c r="C3722" s="3"/>
    </row>
    <row r="3723" spans="1:3" ht="15.75" customHeight="1" x14ac:dyDescent="0.25">
      <c r="A3723" s="2"/>
      <c r="B3723" s="3"/>
      <c r="C3723" s="3"/>
    </row>
    <row r="3724" spans="1:3" ht="15.75" customHeight="1" x14ac:dyDescent="0.25">
      <c r="A3724" s="2"/>
      <c r="B3724" s="3"/>
      <c r="C3724" s="3"/>
    </row>
    <row r="3725" spans="1:3" ht="15.75" customHeight="1" x14ac:dyDescent="0.25">
      <c r="A3725" s="2"/>
      <c r="B3725" s="3"/>
      <c r="C3725" s="3"/>
    </row>
    <row r="3726" spans="1:3" ht="15.75" customHeight="1" x14ac:dyDescent="0.25">
      <c r="A3726" s="2"/>
      <c r="B3726" s="3"/>
      <c r="C3726" s="3"/>
    </row>
    <row r="3727" spans="1:3" ht="15.75" customHeight="1" x14ac:dyDescent="0.25">
      <c r="A3727" s="2"/>
      <c r="B3727" s="3"/>
      <c r="C3727" s="3"/>
    </row>
    <row r="3728" spans="1:3" ht="15.75" customHeight="1" x14ac:dyDescent="0.25">
      <c r="A3728" s="2"/>
      <c r="B3728" s="3"/>
      <c r="C3728" s="3"/>
    </row>
    <row r="3729" spans="1:3" ht="15.75" customHeight="1" x14ac:dyDescent="0.25">
      <c r="A3729" s="2"/>
      <c r="B3729" s="3"/>
      <c r="C3729" s="3"/>
    </row>
    <row r="3730" spans="1:3" ht="15.75" customHeight="1" x14ac:dyDescent="0.25">
      <c r="A3730" s="2"/>
      <c r="B3730" s="3"/>
      <c r="C3730" s="3"/>
    </row>
    <row r="3731" spans="1:3" ht="15.75" customHeight="1" x14ac:dyDescent="0.25">
      <c r="A3731" s="2"/>
      <c r="B3731" s="3"/>
      <c r="C3731" s="3"/>
    </row>
    <row r="3732" spans="1:3" ht="15.75" customHeight="1" x14ac:dyDescent="0.25">
      <c r="A3732" s="2"/>
      <c r="B3732" s="3"/>
      <c r="C3732" s="3"/>
    </row>
    <row r="3733" spans="1:3" ht="15.75" customHeight="1" x14ac:dyDescent="0.25">
      <c r="A3733" s="2"/>
      <c r="B3733" s="3"/>
      <c r="C3733" s="3"/>
    </row>
    <row r="3734" spans="1:3" ht="15.75" customHeight="1" x14ac:dyDescent="0.25">
      <c r="A3734" s="2"/>
      <c r="B3734" s="3"/>
      <c r="C3734" s="3"/>
    </row>
    <row r="3735" spans="1:3" ht="15.75" customHeight="1" x14ac:dyDescent="0.25">
      <c r="A3735" s="2"/>
      <c r="B3735" s="3"/>
      <c r="C3735" s="3"/>
    </row>
    <row r="3736" spans="1:3" ht="15.75" customHeight="1" x14ac:dyDescent="0.25">
      <c r="A3736" s="2"/>
      <c r="B3736" s="3"/>
      <c r="C3736" s="3"/>
    </row>
    <row r="3737" spans="1:3" ht="15.75" customHeight="1" x14ac:dyDescent="0.25">
      <c r="A3737" s="2"/>
      <c r="B3737" s="3"/>
      <c r="C3737" s="3"/>
    </row>
    <row r="3738" spans="1:3" ht="15.75" customHeight="1" x14ac:dyDescent="0.25">
      <c r="A3738" s="2"/>
      <c r="B3738" s="3"/>
      <c r="C3738" s="3"/>
    </row>
    <row r="3739" spans="1:3" ht="15.75" customHeight="1" x14ac:dyDescent="0.25">
      <c r="A3739" s="2"/>
      <c r="B3739" s="3"/>
      <c r="C3739" s="3"/>
    </row>
    <row r="3740" spans="1:3" ht="15.75" customHeight="1" x14ac:dyDescent="0.25">
      <c r="A3740" s="2"/>
      <c r="B3740" s="3"/>
      <c r="C3740" s="3"/>
    </row>
    <row r="3741" spans="1:3" ht="15.75" customHeight="1" x14ac:dyDescent="0.25">
      <c r="A3741" s="2"/>
      <c r="B3741" s="3"/>
      <c r="C3741" s="3"/>
    </row>
    <row r="3742" spans="1:3" ht="15.75" customHeight="1" x14ac:dyDescent="0.25">
      <c r="A3742" s="2"/>
      <c r="B3742" s="3"/>
      <c r="C3742" s="3"/>
    </row>
    <row r="3743" spans="1:3" ht="15.75" customHeight="1" x14ac:dyDescent="0.25">
      <c r="A3743" s="2"/>
      <c r="B3743" s="3"/>
      <c r="C3743" s="3"/>
    </row>
    <row r="3744" spans="1:3" ht="15.75" customHeight="1" x14ac:dyDescent="0.25">
      <c r="A3744" s="2"/>
      <c r="B3744" s="3"/>
      <c r="C3744" s="3"/>
    </row>
    <row r="3745" spans="1:3" ht="15.75" customHeight="1" x14ac:dyDescent="0.25">
      <c r="A3745" s="2"/>
      <c r="B3745" s="3"/>
      <c r="C3745" s="3"/>
    </row>
    <row r="3746" spans="1:3" ht="15.75" customHeight="1" x14ac:dyDescent="0.25">
      <c r="A3746" s="2"/>
      <c r="B3746" s="3"/>
      <c r="C3746" s="3"/>
    </row>
    <row r="3747" spans="1:3" ht="15.75" customHeight="1" x14ac:dyDescent="0.25">
      <c r="A3747" s="2"/>
      <c r="B3747" s="3"/>
      <c r="C3747" s="3"/>
    </row>
    <row r="3748" spans="1:3" ht="15.75" customHeight="1" x14ac:dyDescent="0.25">
      <c r="A3748" s="2"/>
      <c r="B3748" s="3"/>
      <c r="C3748" s="3"/>
    </row>
    <row r="3749" spans="1:3" ht="15.75" customHeight="1" x14ac:dyDescent="0.25">
      <c r="A3749" s="2"/>
      <c r="B3749" s="3"/>
      <c r="C3749" s="3"/>
    </row>
    <row r="3750" spans="1:3" ht="15.75" customHeight="1" x14ac:dyDescent="0.25">
      <c r="A3750" s="2"/>
      <c r="B3750" s="3"/>
      <c r="C3750" s="3"/>
    </row>
    <row r="3751" spans="1:3" ht="15.75" customHeight="1" x14ac:dyDescent="0.25">
      <c r="A3751" s="2"/>
      <c r="B3751" s="3"/>
      <c r="C3751" s="3"/>
    </row>
    <row r="3752" spans="1:3" ht="15.75" customHeight="1" x14ac:dyDescent="0.25">
      <c r="A3752" s="2"/>
      <c r="B3752" s="3"/>
      <c r="C3752" s="3"/>
    </row>
    <row r="3753" spans="1:3" ht="15.75" customHeight="1" x14ac:dyDescent="0.25">
      <c r="A3753" s="2"/>
      <c r="B3753" s="3"/>
      <c r="C3753" s="3"/>
    </row>
    <row r="3754" spans="1:3" ht="15.75" customHeight="1" x14ac:dyDescent="0.25">
      <c r="A3754" s="2"/>
      <c r="B3754" s="3"/>
      <c r="C3754" s="3"/>
    </row>
    <row r="3755" spans="1:3" ht="15.75" customHeight="1" x14ac:dyDescent="0.25">
      <c r="A3755" s="2"/>
      <c r="B3755" s="3"/>
      <c r="C3755" s="3"/>
    </row>
    <row r="3756" spans="1:3" ht="15.75" customHeight="1" x14ac:dyDescent="0.25">
      <c r="A3756" s="2"/>
      <c r="B3756" s="3"/>
      <c r="C3756" s="3"/>
    </row>
    <row r="3757" spans="1:3" ht="15.75" customHeight="1" x14ac:dyDescent="0.25">
      <c r="A3757" s="2"/>
      <c r="B3757" s="3"/>
      <c r="C3757" s="3"/>
    </row>
    <row r="3758" spans="1:3" ht="15.75" customHeight="1" x14ac:dyDescent="0.25">
      <c r="A3758" s="2"/>
      <c r="B3758" s="3"/>
      <c r="C3758" s="3"/>
    </row>
    <row r="3759" spans="1:3" ht="15.75" customHeight="1" x14ac:dyDescent="0.25">
      <c r="A3759" s="2"/>
      <c r="B3759" s="3"/>
      <c r="C3759" s="3"/>
    </row>
    <row r="3760" spans="1:3" ht="15.75" customHeight="1" x14ac:dyDescent="0.25">
      <c r="A3760" s="2"/>
      <c r="B3760" s="3"/>
      <c r="C3760" s="3"/>
    </row>
    <row r="3761" spans="1:3" ht="15.75" customHeight="1" x14ac:dyDescent="0.25">
      <c r="A3761" s="2"/>
      <c r="B3761" s="3"/>
      <c r="C3761" s="3"/>
    </row>
    <row r="3762" spans="1:3" ht="15.75" customHeight="1" x14ac:dyDescent="0.25">
      <c r="A3762" s="2"/>
      <c r="B3762" s="3"/>
      <c r="C3762" s="3"/>
    </row>
    <row r="3763" spans="1:3" ht="15.75" customHeight="1" x14ac:dyDescent="0.25">
      <c r="A3763" s="2"/>
      <c r="B3763" s="3"/>
      <c r="C3763" s="3"/>
    </row>
    <row r="3764" spans="1:3" ht="15.75" customHeight="1" x14ac:dyDescent="0.25">
      <c r="A3764" s="2"/>
      <c r="B3764" s="3"/>
      <c r="C3764" s="3"/>
    </row>
    <row r="3765" spans="1:3" ht="15.75" customHeight="1" x14ac:dyDescent="0.25">
      <c r="A3765" s="2"/>
      <c r="B3765" s="3"/>
      <c r="C3765" s="3"/>
    </row>
    <row r="3766" spans="1:3" ht="15.75" customHeight="1" x14ac:dyDescent="0.25">
      <c r="A3766" s="2"/>
      <c r="B3766" s="3"/>
      <c r="C3766" s="3"/>
    </row>
    <row r="3767" spans="1:3" ht="15.75" customHeight="1" x14ac:dyDescent="0.25">
      <c r="A3767" s="2"/>
      <c r="B3767" s="3"/>
      <c r="C3767" s="3"/>
    </row>
    <row r="3768" spans="1:3" ht="15.75" customHeight="1" x14ac:dyDescent="0.25">
      <c r="A3768" s="2"/>
      <c r="B3768" s="3"/>
      <c r="C3768" s="3"/>
    </row>
    <row r="3769" spans="1:3" ht="15.75" customHeight="1" x14ac:dyDescent="0.25">
      <c r="A3769" s="2"/>
      <c r="B3769" s="3"/>
      <c r="C3769" s="3"/>
    </row>
    <row r="3770" spans="1:3" ht="15.75" customHeight="1" x14ac:dyDescent="0.25">
      <c r="A3770" s="2"/>
      <c r="B3770" s="3"/>
      <c r="C3770" s="3"/>
    </row>
    <row r="3771" spans="1:3" ht="15.75" customHeight="1" x14ac:dyDescent="0.25">
      <c r="A3771" s="2"/>
      <c r="B3771" s="3"/>
      <c r="C3771" s="3"/>
    </row>
    <row r="3772" spans="1:3" ht="15.75" customHeight="1" x14ac:dyDescent="0.25">
      <c r="A3772" s="2"/>
      <c r="B3772" s="3"/>
      <c r="C3772" s="3"/>
    </row>
    <row r="3773" spans="1:3" ht="15.75" customHeight="1" x14ac:dyDescent="0.25">
      <c r="A3773" s="2"/>
      <c r="B3773" s="3"/>
      <c r="C3773" s="3"/>
    </row>
    <row r="3774" spans="1:3" ht="15.75" customHeight="1" x14ac:dyDescent="0.25">
      <c r="A3774" s="2"/>
      <c r="B3774" s="3"/>
      <c r="C3774" s="3"/>
    </row>
    <row r="3775" spans="1:3" ht="15.75" customHeight="1" x14ac:dyDescent="0.25">
      <c r="A3775" s="2"/>
      <c r="B3775" s="3"/>
      <c r="C3775" s="3"/>
    </row>
    <row r="3776" spans="1:3" ht="15.75" customHeight="1" x14ac:dyDescent="0.25">
      <c r="A3776" s="2"/>
      <c r="B3776" s="3"/>
      <c r="C3776" s="3"/>
    </row>
    <row r="3777" spans="1:3" ht="15.75" customHeight="1" x14ac:dyDescent="0.25">
      <c r="A3777" s="2"/>
      <c r="B3777" s="3"/>
      <c r="C3777" s="3"/>
    </row>
    <row r="3778" spans="1:3" ht="15.75" customHeight="1" x14ac:dyDescent="0.25">
      <c r="A3778" s="2"/>
      <c r="B3778" s="3"/>
      <c r="C3778" s="3"/>
    </row>
    <row r="3779" spans="1:3" ht="15.75" customHeight="1" x14ac:dyDescent="0.25">
      <c r="A3779" s="2"/>
      <c r="B3779" s="3"/>
      <c r="C3779" s="3"/>
    </row>
    <row r="3780" spans="1:3" ht="15.75" customHeight="1" x14ac:dyDescent="0.25">
      <c r="A3780" s="2"/>
      <c r="B3780" s="3"/>
      <c r="C3780" s="3"/>
    </row>
    <row r="3781" spans="1:3" ht="15.75" customHeight="1" x14ac:dyDescent="0.25">
      <c r="A3781" s="2"/>
      <c r="B3781" s="3"/>
      <c r="C3781" s="3"/>
    </row>
    <row r="3782" spans="1:3" ht="15.75" customHeight="1" x14ac:dyDescent="0.25">
      <c r="A3782" s="2"/>
      <c r="B3782" s="3"/>
      <c r="C3782" s="3"/>
    </row>
    <row r="3783" spans="1:3" ht="15.75" customHeight="1" x14ac:dyDescent="0.25">
      <c r="A3783" s="2"/>
      <c r="B3783" s="3"/>
      <c r="C3783" s="3"/>
    </row>
    <row r="3784" spans="1:3" ht="15.75" customHeight="1" x14ac:dyDescent="0.25">
      <c r="A3784" s="2"/>
      <c r="B3784" s="3"/>
      <c r="C3784" s="3"/>
    </row>
    <row r="3785" spans="1:3" ht="15.75" customHeight="1" x14ac:dyDescent="0.25">
      <c r="A3785" s="2"/>
      <c r="B3785" s="3"/>
      <c r="C3785" s="3"/>
    </row>
    <row r="3786" spans="1:3" ht="15.75" customHeight="1" x14ac:dyDescent="0.25">
      <c r="A3786" s="2"/>
      <c r="B3786" s="3"/>
      <c r="C3786" s="3"/>
    </row>
    <row r="3787" spans="1:3" ht="15.75" customHeight="1" x14ac:dyDescent="0.25">
      <c r="A3787" s="2"/>
      <c r="B3787" s="3"/>
      <c r="C3787" s="3"/>
    </row>
    <row r="3788" spans="1:3" ht="15.75" customHeight="1" x14ac:dyDescent="0.25">
      <c r="A3788" s="2"/>
      <c r="B3788" s="3"/>
      <c r="C3788" s="3"/>
    </row>
    <row r="3789" spans="1:3" ht="15.75" customHeight="1" x14ac:dyDescent="0.25">
      <c r="A3789" s="2"/>
      <c r="B3789" s="3"/>
      <c r="C3789" s="3"/>
    </row>
    <row r="3790" spans="1:3" ht="15.75" customHeight="1" x14ac:dyDescent="0.25">
      <c r="A3790" s="2"/>
      <c r="B3790" s="3"/>
      <c r="C3790" s="3"/>
    </row>
    <row r="3791" spans="1:3" ht="15.75" customHeight="1" x14ac:dyDescent="0.25">
      <c r="A3791" s="2"/>
      <c r="B3791" s="3"/>
      <c r="C3791" s="3"/>
    </row>
    <row r="3792" spans="1:3" ht="15.75" customHeight="1" x14ac:dyDescent="0.25">
      <c r="A3792" s="2"/>
      <c r="B3792" s="3"/>
      <c r="C3792" s="3"/>
    </row>
    <row r="3793" spans="1:3" ht="15.75" customHeight="1" x14ac:dyDescent="0.25">
      <c r="A3793" s="2"/>
      <c r="B3793" s="3"/>
      <c r="C3793" s="3"/>
    </row>
    <row r="3794" spans="1:3" ht="15.75" customHeight="1" x14ac:dyDescent="0.25">
      <c r="A3794" s="2"/>
      <c r="B3794" s="3"/>
      <c r="C3794" s="3"/>
    </row>
    <row r="3795" spans="1:3" ht="15.75" customHeight="1" x14ac:dyDescent="0.25">
      <c r="A3795" s="2"/>
      <c r="B3795" s="3"/>
      <c r="C3795" s="3"/>
    </row>
    <row r="3796" spans="1:3" ht="15.75" customHeight="1" x14ac:dyDescent="0.25">
      <c r="A3796" s="2"/>
      <c r="B3796" s="3"/>
      <c r="C3796" s="3"/>
    </row>
    <row r="3797" spans="1:3" ht="15.75" customHeight="1" x14ac:dyDescent="0.25">
      <c r="A3797" s="2"/>
      <c r="B3797" s="3"/>
      <c r="C3797" s="3"/>
    </row>
    <row r="3798" spans="1:3" ht="15.75" customHeight="1" x14ac:dyDescent="0.25">
      <c r="A3798" s="2"/>
      <c r="B3798" s="3"/>
      <c r="C3798" s="3"/>
    </row>
    <row r="3799" spans="1:3" ht="15.75" customHeight="1" x14ac:dyDescent="0.25">
      <c r="A3799" s="2"/>
      <c r="B3799" s="3"/>
      <c r="C3799" s="3"/>
    </row>
    <row r="3800" spans="1:3" ht="15.75" customHeight="1" x14ac:dyDescent="0.25">
      <c r="A3800" s="2"/>
      <c r="B3800" s="3"/>
      <c r="C3800" s="3"/>
    </row>
    <row r="3801" spans="1:3" ht="15.75" customHeight="1" x14ac:dyDescent="0.25">
      <c r="A3801" s="2"/>
      <c r="B3801" s="3"/>
      <c r="C3801" s="3"/>
    </row>
    <row r="3802" spans="1:3" ht="15.75" customHeight="1" x14ac:dyDescent="0.25">
      <c r="A3802" s="2"/>
      <c r="B3802" s="3"/>
      <c r="C3802" s="3"/>
    </row>
    <row r="3803" spans="1:3" ht="15.75" customHeight="1" x14ac:dyDescent="0.25">
      <c r="A3803" s="2"/>
      <c r="B3803" s="3"/>
      <c r="C3803" s="3"/>
    </row>
    <row r="3804" spans="1:3" ht="15.75" customHeight="1" x14ac:dyDescent="0.25">
      <c r="A3804" s="2"/>
      <c r="B3804" s="3"/>
      <c r="C3804" s="3"/>
    </row>
    <row r="3805" spans="1:3" ht="15.75" customHeight="1" x14ac:dyDescent="0.25">
      <c r="A3805" s="2"/>
      <c r="B3805" s="3"/>
      <c r="C3805" s="3"/>
    </row>
    <row r="3806" spans="1:3" ht="15.75" customHeight="1" x14ac:dyDescent="0.25">
      <c r="A3806" s="2"/>
      <c r="B3806" s="3"/>
      <c r="C3806" s="3"/>
    </row>
    <row r="3807" spans="1:3" ht="15.75" customHeight="1" x14ac:dyDescent="0.25">
      <c r="A3807" s="2"/>
      <c r="B3807" s="3"/>
      <c r="C3807" s="3"/>
    </row>
    <row r="3808" spans="1:3" ht="15.75" customHeight="1" x14ac:dyDescent="0.25">
      <c r="A3808" s="2"/>
      <c r="B3808" s="3"/>
      <c r="C3808" s="3"/>
    </row>
    <row r="3809" spans="1:3" ht="15.75" customHeight="1" x14ac:dyDescent="0.25">
      <c r="A3809" s="2"/>
      <c r="B3809" s="3"/>
      <c r="C3809" s="3"/>
    </row>
    <row r="3810" spans="1:3" ht="15.75" customHeight="1" x14ac:dyDescent="0.25">
      <c r="A3810" s="2"/>
      <c r="B3810" s="3"/>
      <c r="C3810" s="3"/>
    </row>
    <row r="3811" spans="1:3" ht="15.75" customHeight="1" x14ac:dyDescent="0.25">
      <c r="A3811" s="2"/>
      <c r="B3811" s="3"/>
      <c r="C3811" s="3"/>
    </row>
    <row r="3812" spans="1:3" ht="15.75" customHeight="1" x14ac:dyDescent="0.25">
      <c r="A3812" s="2"/>
      <c r="B3812" s="3"/>
      <c r="C3812" s="3"/>
    </row>
    <row r="3813" spans="1:3" ht="15.75" customHeight="1" x14ac:dyDescent="0.25">
      <c r="A3813" s="2"/>
      <c r="B3813" s="3"/>
      <c r="C3813" s="3"/>
    </row>
    <row r="3814" spans="1:3" ht="15.75" customHeight="1" x14ac:dyDescent="0.25">
      <c r="A3814" s="2"/>
      <c r="B3814" s="3"/>
      <c r="C3814" s="3"/>
    </row>
    <row r="3815" spans="1:3" ht="15.75" customHeight="1" x14ac:dyDescent="0.25">
      <c r="A3815" s="2"/>
      <c r="B3815" s="3"/>
      <c r="C3815" s="3"/>
    </row>
    <row r="3816" spans="1:3" ht="15.75" customHeight="1" x14ac:dyDescent="0.25">
      <c r="A3816" s="2"/>
      <c r="B3816" s="3"/>
      <c r="C3816" s="3"/>
    </row>
    <row r="3817" spans="1:3" ht="15.75" customHeight="1" x14ac:dyDescent="0.25">
      <c r="A3817" s="2"/>
      <c r="B3817" s="3"/>
      <c r="C3817" s="3"/>
    </row>
    <row r="3818" spans="1:3" ht="15.75" customHeight="1" x14ac:dyDescent="0.25">
      <c r="A3818" s="2"/>
      <c r="B3818" s="3"/>
      <c r="C3818" s="3"/>
    </row>
    <row r="3819" spans="1:3" ht="15.75" customHeight="1" x14ac:dyDescent="0.25">
      <c r="A3819" s="2"/>
      <c r="B3819" s="3"/>
      <c r="C3819" s="3"/>
    </row>
    <row r="3820" spans="1:3" ht="15.75" customHeight="1" x14ac:dyDescent="0.25">
      <c r="A3820" s="2"/>
      <c r="B3820" s="3"/>
      <c r="C3820" s="3"/>
    </row>
    <row r="3821" spans="1:3" ht="15.75" customHeight="1" x14ac:dyDescent="0.25">
      <c r="A3821" s="2"/>
      <c r="B3821" s="3"/>
      <c r="C3821" s="3"/>
    </row>
    <row r="3822" spans="1:3" ht="15.75" customHeight="1" x14ac:dyDescent="0.25">
      <c r="A3822" s="2"/>
      <c r="B3822" s="3"/>
      <c r="C3822" s="3"/>
    </row>
    <row r="3823" spans="1:3" ht="15.75" customHeight="1" x14ac:dyDescent="0.25">
      <c r="A3823" s="2"/>
      <c r="B3823" s="3"/>
      <c r="C3823" s="3"/>
    </row>
    <row r="3824" spans="1:3" ht="15.75" customHeight="1" x14ac:dyDescent="0.25">
      <c r="A3824" s="2"/>
      <c r="B3824" s="3"/>
      <c r="C3824" s="3"/>
    </row>
    <row r="3825" spans="1:3" ht="15.75" customHeight="1" x14ac:dyDescent="0.25">
      <c r="A3825" s="2"/>
      <c r="B3825" s="3"/>
      <c r="C3825" s="3"/>
    </row>
    <row r="3826" spans="1:3" ht="15.75" customHeight="1" x14ac:dyDescent="0.25">
      <c r="A3826" s="2"/>
      <c r="B3826" s="3"/>
      <c r="C3826" s="3"/>
    </row>
    <row r="3827" spans="1:3" ht="15.75" customHeight="1" x14ac:dyDescent="0.25">
      <c r="A3827" s="2"/>
      <c r="B3827" s="3"/>
      <c r="C3827" s="3"/>
    </row>
    <row r="3828" spans="1:3" ht="15.75" customHeight="1" x14ac:dyDescent="0.25">
      <c r="A3828" s="2"/>
      <c r="B3828" s="3"/>
      <c r="C3828" s="3"/>
    </row>
    <row r="3829" spans="1:3" ht="15.75" customHeight="1" x14ac:dyDescent="0.25">
      <c r="A3829" s="2"/>
      <c r="B3829" s="3"/>
      <c r="C3829" s="3"/>
    </row>
    <row r="3830" spans="1:3" ht="15.75" customHeight="1" x14ac:dyDescent="0.25">
      <c r="A3830" s="2"/>
      <c r="B3830" s="3"/>
      <c r="C3830" s="3"/>
    </row>
    <row r="3831" spans="1:3" ht="15.75" customHeight="1" x14ac:dyDescent="0.25">
      <c r="A3831" s="2"/>
      <c r="B3831" s="3"/>
      <c r="C3831" s="3"/>
    </row>
    <row r="3832" spans="1:3" ht="15.75" customHeight="1" x14ac:dyDescent="0.25">
      <c r="A3832" s="2"/>
      <c r="B3832" s="3"/>
      <c r="C3832" s="3"/>
    </row>
    <row r="3833" spans="1:3" ht="15.75" customHeight="1" x14ac:dyDescent="0.25">
      <c r="A3833" s="2"/>
      <c r="B3833" s="3"/>
      <c r="C3833" s="3"/>
    </row>
    <row r="3834" spans="1:3" ht="15.75" customHeight="1" x14ac:dyDescent="0.25">
      <c r="A3834" s="2"/>
      <c r="B3834" s="3"/>
      <c r="C3834" s="3"/>
    </row>
    <row r="3835" spans="1:3" ht="15.75" customHeight="1" x14ac:dyDescent="0.25">
      <c r="A3835" s="2"/>
      <c r="B3835" s="3"/>
      <c r="C3835" s="3"/>
    </row>
    <row r="3836" spans="1:3" ht="15.75" customHeight="1" x14ac:dyDescent="0.25">
      <c r="A3836" s="2"/>
      <c r="B3836" s="3"/>
      <c r="C3836" s="3"/>
    </row>
    <row r="3837" spans="1:3" ht="15.75" customHeight="1" x14ac:dyDescent="0.25">
      <c r="A3837" s="2"/>
      <c r="B3837" s="3"/>
      <c r="C3837" s="3"/>
    </row>
    <row r="3838" spans="1:3" ht="15.75" customHeight="1" x14ac:dyDescent="0.25">
      <c r="A3838" s="2"/>
      <c r="B3838" s="3"/>
      <c r="C3838" s="3"/>
    </row>
    <row r="3839" spans="1:3" ht="15.75" customHeight="1" x14ac:dyDescent="0.25">
      <c r="A3839" s="2"/>
      <c r="B3839" s="3"/>
      <c r="C3839" s="3"/>
    </row>
    <row r="3840" spans="1:3" ht="15.75" customHeight="1" x14ac:dyDescent="0.25">
      <c r="A3840" s="2"/>
      <c r="B3840" s="3"/>
      <c r="C3840" s="3"/>
    </row>
    <row r="3841" spans="1:3" ht="15.75" customHeight="1" x14ac:dyDescent="0.25">
      <c r="A3841" s="2"/>
      <c r="B3841" s="3"/>
      <c r="C3841" s="3"/>
    </row>
    <row r="3842" spans="1:3" ht="15.75" customHeight="1" x14ac:dyDescent="0.25">
      <c r="A3842" s="2"/>
      <c r="B3842" s="3"/>
      <c r="C3842" s="3"/>
    </row>
    <row r="3843" spans="1:3" ht="15.75" customHeight="1" x14ac:dyDescent="0.25">
      <c r="A3843" s="2"/>
      <c r="B3843" s="3"/>
      <c r="C3843" s="3"/>
    </row>
    <row r="3844" spans="1:3" ht="15.75" customHeight="1" x14ac:dyDescent="0.25">
      <c r="A3844" s="2"/>
      <c r="B3844" s="3"/>
      <c r="C3844" s="3"/>
    </row>
    <row r="3845" spans="1:3" ht="15.75" customHeight="1" x14ac:dyDescent="0.25">
      <c r="A3845" s="2"/>
      <c r="B3845" s="3"/>
      <c r="C3845" s="3"/>
    </row>
    <row r="3846" spans="1:3" ht="15.75" customHeight="1" x14ac:dyDescent="0.25">
      <c r="A3846" s="2"/>
      <c r="B3846" s="3"/>
      <c r="C3846" s="3"/>
    </row>
    <row r="3847" spans="1:3" ht="15.75" customHeight="1" x14ac:dyDescent="0.25">
      <c r="A3847" s="2"/>
      <c r="B3847" s="3"/>
      <c r="C3847" s="3"/>
    </row>
    <row r="3848" spans="1:3" ht="15.75" customHeight="1" x14ac:dyDescent="0.25">
      <c r="A3848" s="2"/>
      <c r="B3848" s="3"/>
      <c r="C3848" s="3"/>
    </row>
    <row r="3849" spans="1:3" ht="15.75" customHeight="1" x14ac:dyDescent="0.25">
      <c r="A3849" s="2"/>
      <c r="B3849" s="3"/>
      <c r="C3849" s="3"/>
    </row>
    <row r="3850" spans="1:3" ht="15.75" customHeight="1" x14ac:dyDescent="0.25">
      <c r="A3850" s="2"/>
      <c r="B3850" s="3"/>
      <c r="C3850" s="3"/>
    </row>
    <row r="3851" spans="1:3" ht="15.75" customHeight="1" x14ac:dyDescent="0.25">
      <c r="A3851" s="2"/>
      <c r="B3851" s="3"/>
      <c r="C3851" s="3"/>
    </row>
    <row r="3852" spans="1:3" ht="15.75" customHeight="1" x14ac:dyDescent="0.25">
      <c r="A3852" s="2"/>
      <c r="B3852" s="3"/>
      <c r="C3852" s="3"/>
    </row>
    <row r="3853" spans="1:3" ht="15.75" customHeight="1" x14ac:dyDescent="0.25">
      <c r="A3853" s="2"/>
      <c r="B3853" s="3"/>
      <c r="C3853" s="3"/>
    </row>
    <row r="3854" spans="1:3" ht="15.75" customHeight="1" x14ac:dyDescent="0.25">
      <c r="A3854" s="2"/>
      <c r="B3854" s="3"/>
      <c r="C3854" s="3"/>
    </row>
    <row r="3855" spans="1:3" ht="15.75" customHeight="1" x14ac:dyDescent="0.25">
      <c r="A3855" s="2"/>
      <c r="B3855" s="3"/>
      <c r="C3855" s="3"/>
    </row>
    <row r="3856" spans="1:3" ht="15.75" customHeight="1" x14ac:dyDescent="0.25">
      <c r="A3856" s="2"/>
      <c r="B3856" s="3"/>
      <c r="C3856" s="3"/>
    </row>
    <row r="3857" spans="1:3" ht="15.75" customHeight="1" x14ac:dyDescent="0.25">
      <c r="A3857" s="2"/>
      <c r="B3857" s="3"/>
      <c r="C3857" s="3"/>
    </row>
    <row r="3858" spans="1:3" ht="15.75" customHeight="1" x14ac:dyDescent="0.25">
      <c r="A3858" s="2"/>
      <c r="B3858" s="3"/>
      <c r="C3858" s="3"/>
    </row>
    <row r="3859" spans="1:3" ht="15.75" customHeight="1" x14ac:dyDescent="0.25">
      <c r="A3859" s="2"/>
      <c r="B3859" s="3"/>
      <c r="C3859" s="3"/>
    </row>
    <row r="3860" spans="1:3" ht="15.75" customHeight="1" x14ac:dyDescent="0.25">
      <c r="A3860" s="2"/>
      <c r="B3860" s="3"/>
      <c r="C3860" s="3"/>
    </row>
    <row r="3861" spans="1:3" ht="15.75" customHeight="1" x14ac:dyDescent="0.25">
      <c r="A3861" s="2"/>
      <c r="B3861" s="3"/>
      <c r="C3861" s="3"/>
    </row>
    <row r="3862" spans="1:3" ht="15.75" customHeight="1" x14ac:dyDescent="0.25">
      <c r="A3862" s="2"/>
      <c r="B3862" s="3"/>
      <c r="C3862" s="3"/>
    </row>
    <row r="3863" spans="1:3" ht="15.75" customHeight="1" x14ac:dyDescent="0.25">
      <c r="A3863" s="2"/>
      <c r="B3863" s="3"/>
      <c r="C3863" s="3"/>
    </row>
    <row r="3864" spans="1:3" ht="15.75" customHeight="1" x14ac:dyDescent="0.25">
      <c r="A3864" s="2"/>
      <c r="B3864" s="3"/>
      <c r="C3864" s="3"/>
    </row>
    <row r="3865" spans="1:3" ht="15.75" customHeight="1" x14ac:dyDescent="0.25">
      <c r="A3865" s="2"/>
      <c r="B3865" s="3"/>
      <c r="C3865" s="3"/>
    </row>
    <row r="3866" spans="1:3" ht="15.75" customHeight="1" x14ac:dyDescent="0.25">
      <c r="A3866" s="2"/>
      <c r="B3866" s="3"/>
      <c r="C3866" s="3"/>
    </row>
    <row r="3867" spans="1:3" ht="15.75" customHeight="1" x14ac:dyDescent="0.25">
      <c r="A3867" s="2"/>
      <c r="B3867" s="3"/>
      <c r="C3867" s="3"/>
    </row>
    <row r="3868" spans="1:3" ht="15.75" customHeight="1" x14ac:dyDescent="0.25">
      <c r="A3868" s="2"/>
      <c r="B3868" s="3"/>
      <c r="C3868" s="3"/>
    </row>
    <row r="3869" spans="1:3" ht="15.75" customHeight="1" x14ac:dyDescent="0.25">
      <c r="A3869" s="2"/>
      <c r="B3869" s="3"/>
      <c r="C3869" s="3"/>
    </row>
    <row r="3870" spans="1:3" ht="15.75" customHeight="1" x14ac:dyDescent="0.25">
      <c r="A3870" s="2"/>
      <c r="B3870" s="3"/>
      <c r="C3870" s="3"/>
    </row>
    <row r="3871" spans="1:3" ht="15.75" customHeight="1" x14ac:dyDescent="0.25">
      <c r="A3871" s="2"/>
      <c r="B3871" s="3"/>
      <c r="C3871" s="3"/>
    </row>
    <row r="3872" spans="1:3" ht="15.75" customHeight="1" x14ac:dyDescent="0.25">
      <c r="A3872" s="2"/>
      <c r="B3872" s="3"/>
      <c r="C3872" s="3"/>
    </row>
    <row r="3873" spans="1:3" ht="15.75" customHeight="1" x14ac:dyDescent="0.25">
      <c r="A3873" s="2"/>
      <c r="B3873" s="3"/>
      <c r="C3873" s="3"/>
    </row>
    <row r="3874" spans="1:3" ht="15.75" customHeight="1" x14ac:dyDescent="0.25">
      <c r="A3874" s="2"/>
      <c r="B3874" s="3"/>
      <c r="C3874" s="3"/>
    </row>
    <row r="3875" spans="1:3" ht="15.75" customHeight="1" x14ac:dyDescent="0.25">
      <c r="A3875" s="2"/>
      <c r="B3875" s="3"/>
      <c r="C3875" s="3"/>
    </row>
    <row r="3876" spans="1:3" ht="15.75" customHeight="1" x14ac:dyDescent="0.25">
      <c r="A3876" s="2"/>
      <c r="B3876" s="3"/>
      <c r="C3876" s="3"/>
    </row>
    <row r="3877" spans="1:3" ht="15.75" customHeight="1" x14ac:dyDescent="0.25">
      <c r="A3877" s="2"/>
      <c r="B3877" s="3"/>
      <c r="C3877" s="3"/>
    </row>
    <row r="3878" spans="1:3" ht="15.75" customHeight="1" x14ac:dyDescent="0.25">
      <c r="A3878" s="2"/>
      <c r="B3878" s="3"/>
      <c r="C3878" s="3"/>
    </row>
    <row r="3879" spans="1:3" ht="15.75" customHeight="1" x14ac:dyDescent="0.25">
      <c r="A3879" s="2"/>
      <c r="B3879" s="3"/>
      <c r="C3879" s="3"/>
    </row>
    <row r="3880" spans="1:3" ht="15.75" customHeight="1" x14ac:dyDescent="0.25">
      <c r="A3880" s="2"/>
      <c r="B3880" s="3"/>
      <c r="C3880" s="3"/>
    </row>
    <row r="3881" spans="1:3" ht="15.75" customHeight="1" x14ac:dyDescent="0.25">
      <c r="A3881" s="2"/>
      <c r="B3881" s="3"/>
      <c r="C3881" s="3"/>
    </row>
    <row r="3882" spans="1:3" ht="15.75" customHeight="1" x14ac:dyDescent="0.25">
      <c r="A3882" s="2"/>
      <c r="B3882" s="3"/>
      <c r="C3882" s="3"/>
    </row>
    <row r="3883" spans="1:3" ht="15.75" customHeight="1" x14ac:dyDescent="0.25">
      <c r="A3883" s="2"/>
      <c r="B3883" s="3"/>
      <c r="C3883" s="3"/>
    </row>
    <row r="3884" spans="1:3" ht="15.75" customHeight="1" x14ac:dyDescent="0.25">
      <c r="A3884" s="2"/>
      <c r="B3884" s="3"/>
      <c r="C3884" s="3"/>
    </row>
    <row r="3885" spans="1:3" ht="15.75" customHeight="1" x14ac:dyDescent="0.25">
      <c r="A3885" s="2"/>
      <c r="B3885" s="3"/>
      <c r="C3885" s="3"/>
    </row>
    <row r="3886" spans="1:3" ht="15.75" customHeight="1" x14ac:dyDescent="0.25">
      <c r="A3886" s="2"/>
      <c r="B3886" s="3"/>
      <c r="C3886" s="3"/>
    </row>
    <row r="3887" spans="1:3" ht="15.75" customHeight="1" x14ac:dyDescent="0.25">
      <c r="A3887" s="2"/>
      <c r="B3887" s="3"/>
      <c r="C3887" s="3"/>
    </row>
    <row r="3888" spans="1:3" ht="15.75" customHeight="1" x14ac:dyDescent="0.25">
      <c r="A3888" s="2"/>
      <c r="B3888" s="3"/>
      <c r="C3888" s="3"/>
    </row>
    <row r="3889" spans="1:3" ht="15.75" customHeight="1" x14ac:dyDescent="0.25">
      <c r="A3889" s="2"/>
      <c r="B3889" s="3"/>
      <c r="C3889" s="3"/>
    </row>
    <row r="3890" spans="1:3" ht="15.75" customHeight="1" x14ac:dyDescent="0.25">
      <c r="A3890" s="2"/>
      <c r="B3890" s="3"/>
      <c r="C3890" s="3"/>
    </row>
    <row r="3891" spans="1:3" ht="15.75" customHeight="1" x14ac:dyDescent="0.25">
      <c r="A3891" s="2"/>
      <c r="B3891" s="3"/>
      <c r="C3891" s="3"/>
    </row>
    <row r="3892" spans="1:3" ht="15.75" customHeight="1" x14ac:dyDescent="0.25">
      <c r="A3892" s="2"/>
      <c r="B3892" s="3"/>
      <c r="C3892" s="3"/>
    </row>
    <row r="3893" spans="1:3" ht="15.75" customHeight="1" x14ac:dyDescent="0.25">
      <c r="A3893" s="2"/>
      <c r="B3893" s="3"/>
      <c r="C3893" s="3"/>
    </row>
    <row r="3894" spans="1:3" ht="15.75" customHeight="1" x14ac:dyDescent="0.25">
      <c r="A3894" s="2"/>
      <c r="B3894" s="3"/>
      <c r="C3894" s="3"/>
    </row>
    <row r="3895" spans="1:3" ht="15.75" customHeight="1" x14ac:dyDescent="0.25">
      <c r="A3895" s="2"/>
      <c r="B3895" s="3"/>
      <c r="C3895" s="3"/>
    </row>
    <row r="3896" spans="1:3" ht="15.75" customHeight="1" x14ac:dyDescent="0.25">
      <c r="A3896" s="2"/>
      <c r="B3896" s="3"/>
      <c r="C3896" s="3"/>
    </row>
    <row r="3897" spans="1:3" ht="15.75" customHeight="1" x14ac:dyDescent="0.25">
      <c r="A3897" s="2"/>
      <c r="B3897" s="3"/>
      <c r="C3897" s="3"/>
    </row>
    <row r="3898" spans="1:3" ht="15.75" customHeight="1" x14ac:dyDescent="0.25">
      <c r="A3898" s="2"/>
      <c r="B3898" s="3"/>
      <c r="C3898" s="3"/>
    </row>
    <row r="3899" spans="1:3" ht="15.75" customHeight="1" x14ac:dyDescent="0.25">
      <c r="A3899" s="2"/>
      <c r="B3899" s="3"/>
      <c r="C3899" s="3"/>
    </row>
    <row r="3900" spans="1:3" ht="15.75" customHeight="1" x14ac:dyDescent="0.25">
      <c r="A3900" s="2"/>
      <c r="B3900" s="3"/>
      <c r="C3900" s="3"/>
    </row>
    <row r="3901" spans="1:3" ht="15.75" customHeight="1" x14ac:dyDescent="0.25">
      <c r="A3901" s="2"/>
      <c r="B3901" s="3"/>
      <c r="C3901" s="3"/>
    </row>
    <row r="3902" spans="1:3" ht="15.75" customHeight="1" x14ac:dyDescent="0.25">
      <c r="A3902" s="2"/>
      <c r="B3902" s="3"/>
      <c r="C3902" s="3"/>
    </row>
    <row r="3903" spans="1:3" ht="15.75" customHeight="1" x14ac:dyDescent="0.25">
      <c r="A3903" s="2"/>
      <c r="B3903" s="3"/>
      <c r="C3903" s="3"/>
    </row>
    <row r="3904" spans="1:3" ht="15.75" customHeight="1" x14ac:dyDescent="0.25">
      <c r="A3904" s="2"/>
      <c r="B3904" s="3"/>
      <c r="C3904" s="3"/>
    </row>
    <row r="3905" spans="1:3" ht="15.75" customHeight="1" x14ac:dyDescent="0.25">
      <c r="A3905" s="2"/>
      <c r="B3905" s="3"/>
      <c r="C3905" s="3"/>
    </row>
    <row r="3906" spans="1:3" ht="15.75" customHeight="1" x14ac:dyDescent="0.25">
      <c r="A3906" s="2"/>
      <c r="B3906" s="3"/>
      <c r="C3906" s="3"/>
    </row>
    <row r="3907" spans="1:3" ht="15.75" customHeight="1" x14ac:dyDescent="0.25">
      <c r="A3907" s="2"/>
      <c r="B3907" s="3"/>
      <c r="C3907" s="3"/>
    </row>
    <row r="3908" spans="1:3" ht="15.75" customHeight="1" x14ac:dyDescent="0.25">
      <c r="A3908" s="2"/>
      <c r="B3908" s="3"/>
      <c r="C3908" s="3"/>
    </row>
    <row r="3909" spans="1:3" ht="15.75" customHeight="1" x14ac:dyDescent="0.25">
      <c r="A3909" s="2"/>
      <c r="B3909" s="3"/>
      <c r="C3909" s="3"/>
    </row>
    <row r="3910" spans="1:3" ht="15.75" customHeight="1" x14ac:dyDescent="0.25">
      <c r="A3910" s="2"/>
      <c r="B3910" s="3"/>
      <c r="C3910" s="3"/>
    </row>
    <row r="3911" spans="1:3" ht="15.75" customHeight="1" x14ac:dyDescent="0.25">
      <c r="A3911" s="2"/>
      <c r="B3911" s="3"/>
      <c r="C3911" s="3"/>
    </row>
    <row r="3912" spans="1:3" ht="15.75" customHeight="1" x14ac:dyDescent="0.25">
      <c r="A3912" s="2"/>
      <c r="B3912" s="3"/>
      <c r="C3912" s="3"/>
    </row>
    <row r="3913" spans="1:3" ht="15.75" customHeight="1" x14ac:dyDescent="0.25">
      <c r="A3913" s="2"/>
      <c r="B3913" s="3"/>
      <c r="C3913" s="3"/>
    </row>
    <row r="3914" spans="1:3" ht="15.75" customHeight="1" x14ac:dyDescent="0.25">
      <c r="A3914" s="2"/>
      <c r="B3914" s="3"/>
      <c r="C3914" s="3"/>
    </row>
    <row r="3915" spans="1:3" ht="15.75" customHeight="1" x14ac:dyDescent="0.25">
      <c r="A3915" s="2"/>
      <c r="B3915" s="3"/>
      <c r="C3915" s="3"/>
    </row>
    <row r="3916" spans="1:3" ht="15.75" customHeight="1" x14ac:dyDescent="0.25">
      <c r="A3916" s="2"/>
      <c r="B3916" s="3"/>
      <c r="C3916" s="3"/>
    </row>
    <row r="3917" spans="1:3" ht="15.75" customHeight="1" x14ac:dyDescent="0.25">
      <c r="A3917" s="2"/>
      <c r="B3917" s="3"/>
      <c r="C3917" s="3"/>
    </row>
    <row r="3918" spans="1:3" ht="15.75" customHeight="1" x14ac:dyDescent="0.25">
      <c r="A3918" s="2"/>
      <c r="B3918" s="3"/>
      <c r="C3918" s="3"/>
    </row>
    <row r="3919" spans="1:3" ht="15.75" customHeight="1" x14ac:dyDescent="0.25">
      <c r="A3919" s="2"/>
      <c r="B3919" s="3"/>
      <c r="C3919" s="3"/>
    </row>
    <row r="3920" spans="1:3" ht="15.75" customHeight="1" x14ac:dyDescent="0.25">
      <c r="A3920" s="2"/>
      <c r="B3920" s="3"/>
      <c r="C3920" s="3"/>
    </row>
    <row r="3921" spans="1:3" ht="15.75" customHeight="1" x14ac:dyDescent="0.25">
      <c r="A3921" s="2"/>
      <c r="B3921" s="3"/>
      <c r="C3921" s="3"/>
    </row>
    <row r="3922" spans="1:3" ht="15.75" customHeight="1" x14ac:dyDescent="0.25">
      <c r="A3922" s="2"/>
      <c r="B3922" s="3"/>
      <c r="C3922" s="3"/>
    </row>
    <row r="3923" spans="1:3" ht="15.75" customHeight="1" x14ac:dyDescent="0.25">
      <c r="A3923" s="2"/>
      <c r="B3923" s="3"/>
      <c r="C3923" s="3"/>
    </row>
    <row r="3924" spans="1:3" ht="15.75" customHeight="1" x14ac:dyDescent="0.25">
      <c r="A3924" s="2"/>
      <c r="B3924" s="3"/>
      <c r="C3924" s="3"/>
    </row>
    <row r="3925" spans="1:3" ht="15.75" customHeight="1" x14ac:dyDescent="0.25">
      <c r="A3925" s="2"/>
      <c r="B3925" s="3"/>
      <c r="C3925" s="3"/>
    </row>
    <row r="3926" spans="1:3" ht="15.75" customHeight="1" x14ac:dyDescent="0.25">
      <c r="A3926" s="2"/>
      <c r="B3926" s="3"/>
      <c r="C3926" s="3"/>
    </row>
    <row r="3927" spans="1:3" ht="15.75" customHeight="1" x14ac:dyDescent="0.25">
      <c r="A3927" s="2"/>
      <c r="B3927" s="3"/>
      <c r="C3927" s="3"/>
    </row>
    <row r="3928" spans="1:3" ht="15.75" customHeight="1" x14ac:dyDescent="0.25">
      <c r="A3928" s="2"/>
      <c r="B3928" s="3"/>
      <c r="C3928" s="3"/>
    </row>
    <row r="3929" spans="1:3" ht="15.75" customHeight="1" x14ac:dyDescent="0.25">
      <c r="A3929" s="2"/>
      <c r="B3929" s="3"/>
      <c r="C3929" s="3"/>
    </row>
    <row r="3930" spans="1:3" ht="15.75" customHeight="1" x14ac:dyDescent="0.25">
      <c r="A3930" s="2"/>
      <c r="B3930" s="3"/>
      <c r="C3930" s="3"/>
    </row>
    <row r="3931" spans="1:3" ht="15.75" customHeight="1" x14ac:dyDescent="0.25">
      <c r="A3931" s="2"/>
      <c r="B3931" s="3"/>
      <c r="C3931" s="3"/>
    </row>
    <row r="3932" spans="1:3" ht="15.75" customHeight="1" x14ac:dyDescent="0.25">
      <c r="A3932" s="2"/>
      <c r="B3932" s="3"/>
      <c r="C3932" s="3"/>
    </row>
    <row r="3933" spans="1:3" ht="15.75" customHeight="1" x14ac:dyDescent="0.25">
      <c r="A3933" s="2"/>
      <c r="B3933" s="3"/>
      <c r="C3933" s="3"/>
    </row>
    <row r="3934" spans="1:3" ht="15.75" customHeight="1" x14ac:dyDescent="0.25">
      <c r="A3934" s="2"/>
      <c r="B3934" s="3"/>
      <c r="C3934" s="3"/>
    </row>
    <row r="3935" spans="1:3" ht="15.75" customHeight="1" x14ac:dyDescent="0.25">
      <c r="A3935" s="2"/>
      <c r="B3935" s="3"/>
      <c r="C3935" s="3"/>
    </row>
    <row r="3936" spans="1:3" ht="15.75" customHeight="1" x14ac:dyDescent="0.25">
      <c r="A3936" s="2"/>
      <c r="B3936" s="3"/>
      <c r="C3936" s="3"/>
    </row>
    <row r="3937" spans="1:3" ht="15.75" customHeight="1" x14ac:dyDescent="0.25">
      <c r="A3937" s="2"/>
      <c r="B3937" s="3"/>
      <c r="C3937" s="3"/>
    </row>
    <row r="3938" spans="1:3" ht="15.75" customHeight="1" x14ac:dyDescent="0.25">
      <c r="A3938" s="2"/>
      <c r="B3938" s="3"/>
      <c r="C3938" s="3"/>
    </row>
    <row r="3939" spans="1:3" ht="15.75" customHeight="1" x14ac:dyDescent="0.25">
      <c r="A3939" s="2"/>
      <c r="B3939" s="3"/>
      <c r="C3939" s="3"/>
    </row>
    <row r="3940" spans="1:3" ht="15.75" customHeight="1" x14ac:dyDescent="0.25">
      <c r="A3940" s="2"/>
      <c r="B3940" s="3"/>
      <c r="C3940" s="3"/>
    </row>
    <row r="3941" spans="1:3" ht="15.75" customHeight="1" x14ac:dyDescent="0.25">
      <c r="A3941" s="2"/>
      <c r="B3941" s="3"/>
      <c r="C3941" s="3"/>
    </row>
    <row r="3942" spans="1:3" ht="15.75" customHeight="1" x14ac:dyDescent="0.25">
      <c r="A3942" s="2"/>
      <c r="B3942" s="3"/>
      <c r="C3942" s="3"/>
    </row>
    <row r="3943" spans="1:3" ht="15.75" customHeight="1" x14ac:dyDescent="0.25">
      <c r="A3943" s="2"/>
      <c r="B3943" s="3"/>
      <c r="C3943" s="3"/>
    </row>
    <row r="3944" spans="1:3" ht="15.75" customHeight="1" x14ac:dyDescent="0.25">
      <c r="A3944" s="2"/>
      <c r="B3944" s="3"/>
      <c r="C3944" s="3"/>
    </row>
    <row r="3945" spans="1:3" ht="15.75" customHeight="1" x14ac:dyDescent="0.25">
      <c r="A3945" s="2"/>
      <c r="B3945" s="3"/>
      <c r="C3945" s="3"/>
    </row>
    <row r="3946" spans="1:3" ht="15.75" customHeight="1" x14ac:dyDescent="0.25">
      <c r="A3946" s="2"/>
      <c r="B3946" s="3"/>
      <c r="C3946" s="3"/>
    </row>
    <row r="3947" spans="1:3" ht="15.75" customHeight="1" x14ac:dyDescent="0.25">
      <c r="A3947" s="2"/>
      <c r="B3947" s="3"/>
      <c r="C3947" s="3"/>
    </row>
    <row r="3948" spans="1:3" ht="15.75" customHeight="1" x14ac:dyDescent="0.25">
      <c r="A3948" s="2"/>
      <c r="B3948" s="3"/>
      <c r="C3948" s="3"/>
    </row>
    <row r="3949" spans="1:3" ht="15.75" customHeight="1" x14ac:dyDescent="0.25">
      <c r="A3949" s="2"/>
      <c r="B3949" s="3"/>
      <c r="C3949" s="3"/>
    </row>
    <row r="3950" spans="1:3" ht="15.75" customHeight="1" x14ac:dyDescent="0.25">
      <c r="A3950" s="2"/>
      <c r="B3950" s="3"/>
      <c r="C3950" s="3"/>
    </row>
    <row r="3951" spans="1:3" ht="15.75" customHeight="1" x14ac:dyDescent="0.25">
      <c r="A3951" s="2"/>
      <c r="B3951" s="3"/>
      <c r="C3951" s="3"/>
    </row>
    <row r="3952" spans="1:3" ht="15.75" customHeight="1" x14ac:dyDescent="0.25">
      <c r="A3952" s="2"/>
      <c r="B3952" s="3"/>
      <c r="C3952" s="3"/>
    </row>
    <row r="3953" spans="1:3" ht="15.75" customHeight="1" x14ac:dyDescent="0.25">
      <c r="A3953" s="2"/>
      <c r="B3953" s="3"/>
      <c r="C3953" s="3"/>
    </row>
    <row r="3954" spans="1:3" ht="15.75" customHeight="1" x14ac:dyDescent="0.25">
      <c r="A3954" s="2"/>
      <c r="B3954" s="3"/>
      <c r="C3954" s="3"/>
    </row>
    <row r="3955" spans="1:3" ht="15.75" customHeight="1" x14ac:dyDescent="0.25">
      <c r="A3955" s="2"/>
      <c r="B3955" s="3"/>
      <c r="C3955" s="3"/>
    </row>
    <row r="3956" spans="1:3" ht="15.75" customHeight="1" x14ac:dyDescent="0.25">
      <c r="A3956" s="2"/>
      <c r="B3956" s="3"/>
      <c r="C3956" s="3"/>
    </row>
    <row r="3957" spans="1:3" ht="15.75" customHeight="1" x14ac:dyDescent="0.25">
      <c r="A3957" s="2"/>
      <c r="B3957" s="3"/>
      <c r="C3957" s="3"/>
    </row>
    <row r="3958" spans="1:3" ht="15.75" customHeight="1" x14ac:dyDescent="0.25">
      <c r="A3958" s="2"/>
      <c r="B3958" s="3"/>
      <c r="C3958" s="3"/>
    </row>
    <row r="3959" spans="1:3" ht="15.75" customHeight="1" x14ac:dyDescent="0.25">
      <c r="A3959" s="2"/>
      <c r="B3959" s="3"/>
      <c r="C3959" s="3"/>
    </row>
    <row r="3960" spans="1:3" ht="15.75" customHeight="1" x14ac:dyDescent="0.25">
      <c r="A3960" s="2"/>
      <c r="B3960" s="3"/>
      <c r="C3960" s="3"/>
    </row>
    <row r="3961" spans="1:3" ht="15.75" customHeight="1" x14ac:dyDescent="0.25">
      <c r="A3961" s="2"/>
      <c r="B3961" s="3"/>
      <c r="C3961" s="3"/>
    </row>
    <row r="3962" spans="1:3" ht="15.75" customHeight="1" x14ac:dyDescent="0.25">
      <c r="A3962" s="2"/>
      <c r="B3962" s="3"/>
      <c r="C3962" s="3"/>
    </row>
    <row r="3963" spans="1:3" ht="15.75" customHeight="1" x14ac:dyDescent="0.25">
      <c r="A3963" s="2"/>
      <c r="B3963" s="3"/>
      <c r="C3963" s="3"/>
    </row>
    <row r="3964" spans="1:3" ht="15.75" customHeight="1" x14ac:dyDescent="0.25">
      <c r="A3964" s="2"/>
      <c r="B3964" s="3"/>
      <c r="C3964" s="3"/>
    </row>
    <row r="3965" spans="1:3" ht="15.75" customHeight="1" x14ac:dyDescent="0.25">
      <c r="A3965" s="2"/>
      <c r="B3965" s="3"/>
      <c r="C3965" s="3"/>
    </row>
    <row r="3966" spans="1:3" ht="15.75" customHeight="1" x14ac:dyDescent="0.25">
      <c r="A3966" s="2"/>
      <c r="B3966" s="3"/>
      <c r="C3966" s="3"/>
    </row>
    <row r="3967" spans="1:3" ht="15.75" customHeight="1" x14ac:dyDescent="0.25">
      <c r="A3967" s="2"/>
      <c r="B3967" s="3"/>
      <c r="C3967" s="3"/>
    </row>
    <row r="3968" spans="1:3" ht="15.75" customHeight="1" x14ac:dyDescent="0.25">
      <c r="A3968" s="2"/>
      <c r="B3968" s="3"/>
      <c r="C3968" s="3"/>
    </row>
    <row r="3969" spans="1:3" ht="15.75" customHeight="1" x14ac:dyDescent="0.25">
      <c r="A3969" s="2"/>
      <c r="B3969" s="3"/>
      <c r="C3969" s="3"/>
    </row>
    <row r="3970" spans="1:3" ht="15.75" customHeight="1" x14ac:dyDescent="0.25">
      <c r="A3970" s="2"/>
      <c r="B3970" s="3"/>
      <c r="C3970" s="3"/>
    </row>
    <row r="3971" spans="1:3" ht="15.75" customHeight="1" x14ac:dyDescent="0.25">
      <c r="A3971" s="2"/>
      <c r="B3971" s="3"/>
      <c r="C3971" s="3"/>
    </row>
    <row r="3972" spans="1:3" ht="15.75" customHeight="1" x14ac:dyDescent="0.25">
      <c r="A3972" s="2"/>
      <c r="B3972" s="3"/>
      <c r="C3972" s="3"/>
    </row>
    <row r="3973" spans="1:3" ht="15.75" customHeight="1" x14ac:dyDescent="0.25">
      <c r="A3973" s="2"/>
      <c r="B3973" s="3"/>
      <c r="C3973" s="3"/>
    </row>
    <row r="3974" spans="1:3" ht="15.75" customHeight="1" x14ac:dyDescent="0.25">
      <c r="A3974" s="2"/>
      <c r="B3974" s="3"/>
      <c r="C3974" s="3"/>
    </row>
    <row r="3975" spans="1:3" ht="15.75" customHeight="1" x14ac:dyDescent="0.25">
      <c r="A3975" s="2"/>
      <c r="B3975" s="3"/>
      <c r="C3975" s="3"/>
    </row>
    <row r="3976" spans="1:3" ht="15.75" customHeight="1" x14ac:dyDescent="0.25">
      <c r="A3976" s="2"/>
      <c r="B3976" s="3"/>
      <c r="C3976" s="3"/>
    </row>
    <row r="3977" spans="1:3" ht="15.75" customHeight="1" x14ac:dyDescent="0.25">
      <c r="A3977" s="2"/>
      <c r="B3977" s="3"/>
      <c r="C3977" s="3"/>
    </row>
    <row r="3978" spans="1:3" ht="15.75" customHeight="1" x14ac:dyDescent="0.25">
      <c r="A3978" s="2"/>
      <c r="B3978" s="3"/>
      <c r="C3978" s="3"/>
    </row>
    <row r="3979" spans="1:3" ht="15.75" customHeight="1" x14ac:dyDescent="0.25">
      <c r="A3979" s="2"/>
      <c r="B3979" s="3"/>
      <c r="C3979" s="3"/>
    </row>
    <row r="3980" spans="1:3" ht="15.75" customHeight="1" x14ac:dyDescent="0.25">
      <c r="A3980" s="2"/>
      <c r="B3980" s="3"/>
      <c r="C3980" s="3"/>
    </row>
    <row r="3981" spans="1:3" ht="15.75" customHeight="1" x14ac:dyDescent="0.25">
      <c r="A3981" s="2"/>
      <c r="B3981" s="3"/>
      <c r="C3981" s="3"/>
    </row>
    <row r="3982" spans="1:3" ht="15.75" customHeight="1" x14ac:dyDescent="0.25">
      <c r="A3982" s="2"/>
      <c r="B3982" s="3"/>
      <c r="C3982" s="3"/>
    </row>
    <row r="3983" spans="1:3" ht="15.75" customHeight="1" x14ac:dyDescent="0.25">
      <c r="A3983" s="2"/>
      <c r="B3983" s="3"/>
      <c r="C3983" s="3"/>
    </row>
    <row r="3984" spans="1:3" ht="15.75" customHeight="1" x14ac:dyDescent="0.25">
      <c r="A3984" s="2"/>
      <c r="B3984" s="3"/>
      <c r="C3984" s="3"/>
    </row>
    <row r="3985" spans="1:3" ht="15.75" customHeight="1" x14ac:dyDescent="0.25">
      <c r="A3985" s="2"/>
      <c r="B3985" s="3"/>
      <c r="C3985" s="3"/>
    </row>
    <row r="3986" spans="1:3" ht="15.75" customHeight="1" x14ac:dyDescent="0.25">
      <c r="A3986" s="2"/>
      <c r="B3986" s="3"/>
      <c r="C3986" s="3"/>
    </row>
    <row r="3987" spans="1:3" ht="15.75" customHeight="1" x14ac:dyDescent="0.25">
      <c r="A3987" s="2"/>
      <c r="B3987" s="3"/>
      <c r="C3987" s="3"/>
    </row>
    <row r="3988" spans="1:3" ht="15.75" customHeight="1" x14ac:dyDescent="0.25">
      <c r="A3988" s="2"/>
      <c r="B3988" s="3"/>
      <c r="C3988" s="3"/>
    </row>
    <row r="3989" spans="1:3" ht="15.75" customHeight="1" x14ac:dyDescent="0.25">
      <c r="A3989" s="2"/>
      <c r="B3989" s="3"/>
      <c r="C3989" s="3"/>
    </row>
    <row r="3990" spans="1:3" ht="15.75" customHeight="1" x14ac:dyDescent="0.25">
      <c r="A3990" s="2"/>
      <c r="B3990" s="3"/>
      <c r="C3990" s="3"/>
    </row>
    <row r="3991" spans="1:3" ht="15.75" customHeight="1" x14ac:dyDescent="0.25">
      <c r="A3991" s="2"/>
      <c r="B3991" s="3"/>
      <c r="C3991" s="3"/>
    </row>
    <row r="3992" spans="1:3" ht="15.75" customHeight="1" x14ac:dyDescent="0.25">
      <c r="A3992" s="2"/>
      <c r="B3992" s="3"/>
      <c r="C3992" s="3"/>
    </row>
    <row r="3993" spans="1:3" ht="15.75" customHeight="1" x14ac:dyDescent="0.25">
      <c r="A3993" s="2"/>
      <c r="B3993" s="3"/>
      <c r="C3993" s="3"/>
    </row>
    <row r="3994" spans="1:3" ht="15.75" customHeight="1" x14ac:dyDescent="0.25">
      <c r="A3994" s="2"/>
      <c r="B3994" s="3"/>
      <c r="C3994" s="3"/>
    </row>
    <row r="3995" spans="1:3" ht="15.75" customHeight="1" x14ac:dyDescent="0.25">
      <c r="A3995" s="2"/>
      <c r="B3995" s="3"/>
      <c r="C3995" s="3"/>
    </row>
    <row r="3996" spans="1:3" ht="15.75" customHeight="1" x14ac:dyDescent="0.25">
      <c r="A3996" s="2"/>
      <c r="B3996" s="3"/>
      <c r="C3996" s="3"/>
    </row>
    <row r="3997" spans="1:3" ht="15.75" customHeight="1" x14ac:dyDescent="0.25">
      <c r="A3997" s="2"/>
      <c r="B3997" s="3"/>
      <c r="C3997" s="3"/>
    </row>
    <row r="3998" spans="1:3" ht="15.75" customHeight="1" x14ac:dyDescent="0.25">
      <c r="A3998" s="2"/>
      <c r="B3998" s="3"/>
      <c r="C3998" s="3"/>
    </row>
    <row r="3999" spans="1:3" ht="15.75" customHeight="1" x14ac:dyDescent="0.25">
      <c r="A3999" s="2"/>
      <c r="B3999" s="3"/>
      <c r="C3999" s="3"/>
    </row>
    <row r="4000" spans="1:3" ht="15.75" customHeight="1" x14ac:dyDescent="0.25">
      <c r="A4000" s="2"/>
      <c r="B4000" s="3"/>
      <c r="C4000" s="3"/>
    </row>
    <row r="4001" spans="1:3" ht="15.75" customHeight="1" x14ac:dyDescent="0.25">
      <c r="A4001" s="2"/>
      <c r="B4001" s="3"/>
      <c r="C4001" s="3"/>
    </row>
    <row r="4002" spans="1:3" ht="15.75" customHeight="1" x14ac:dyDescent="0.25">
      <c r="A4002" s="2"/>
      <c r="B4002" s="3"/>
      <c r="C4002" s="3"/>
    </row>
    <row r="4003" spans="1:3" ht="15.75" customHeight="1" x14ac:dyDescent="0.25">
      <c r="A4003" s="2"/>
      <c r="B4003" s="3"/>
      <c r="C4003" s="3"/>
    </row>
    <row r="4004" spans="1:3" ht="15.75" customHeight="1" x14ac:dyDescent="0.25">
      <c r="A4004" s="2"/>
      <c r="B4004" s="3"/>
      <c r="C4004" s="3"/>
    </row>
    <row r="4005" spans="1:3" ht="15.75" customHeight="1" x14ac:dyDescent="0.25">
      <c r="A4005" s="2"/>
      <c r="B4005" s="3"/>
      <c r="C4005" s="3"/>
    </row>
    <row r="4006" spans="1:3" ht="15.75" customHeight="1" x14ac:dyDescent="0.25">
      <c r="A4006" s="2"/>
      <c r="B4006" s="3"/>
      <c r="C4006" s="3"/>
    </row>
    <row r="4007" spans="1:3" ht="15.75" customHeight="1" x14ac:dyDescent="0.25">
      <c r="A4007" s="2"/>
      <c r="B4007" s="3"/>
      <c r="C4007" s="3"/>
    </row>
    <row r="4008" spans="1:3" ht="15.75" customHeight="1" x14ac:dyDescent="0.25">
      <c r="A4008" s="2"/>
      <c r="B4008" s="3"/>
      <c r="C4008" s="3"/>
    </row>
    <row r="4009" spans="1:3" ht="15.75" customHeight="1" x14ac:dyDescent="0.25">
      <c r="A4009" s="2"/>
      <c r="B4009" s="3"/>
      <c r="C4009" s="3"/>
    </row>
    <row r="4010" spans="1:3" ht="15.75" customHeight="1" x14ac:dyDescent="0.25">
      <c r="A4010" s="2"/>
      <c r="B4010" s="3"/>
      <c r="C4010" s="3"/>
    </row>
    <row r="4011" spans="1:3" ht="15.75" customHeight="1" x14ac:dyDescent="0.25">
      <c r="A4011" s="2"/>
      <c r="B4011" s="3"/>
      <c r="C4011" s="3"/>
    </row>
    <row r="4012" spans="1:3" ht="15.75" customHeight="1" x14ac:dyDescent="0.25">
      <c r="A4012" s="2"/>
      <c r="B4012" s="3"/>
      <c r="C4012" s="3"/>
    </row>
    <row r="4013" spans="1:3" ht="15.75" customHeight="1" x14ac:dyDescent="0.25">
      <c r="A4013" s="2"/>
      <c r="B4013" s="3"/>
      <c r="C4013" s="3"/>
    </row>
    <row r="4014" spans="1:3" ht="15.75" customHeight="1" x14ac:dyDescent="0.25">
      <c r="A4014" s="2"/>
      <c r="B4014" s="3"/>
      <c r="C4014" s="3"/>
    </row>
    <row r="4015" spans="1:3" ht="15.75" customHeight="1" x14ac:dyDescent="0.25">
      <c r="A4015" s="2"/>
      <c r="B4015" s="3"/>
      <c r="C4015" s="3"/>
    </row>
    <row r="4016" spans="1:3" ht="15.75" customHeight="1" x14ac:dyDescent="0.25">
      <c r="A4016" s="2"/>
      <c r="B4016" s="3"/>
      <c r="C4016" s="3"/>
    </row>
    <row r="4017" spans="1:3" ht="15.75" customHeight="1" x14ac:dyDescent="0.25">
      <c r="A4017" s="2"/>
      <c r="B4017" s="3"/>
      <c r="C4017" s="3"/>
    </row>
    <row r="4018" spans="1:3" ht="15.75" customHeight="1" x14ac:dyDescent="0.25">
      <c r="A4018" s="2"/>
      <c r="B4018" s="3"/>
      <c r="C4018" s="3"/>
    </row>
    <row r="4019" spans="1:3" ht="15.75" customHeight="1" x14ac:dyDescent="0.25">
      <c r="A4019" s="2"/>
      <c r="B4019" s="3"/>
      <c r="C4019" s="3"/>
    </row>
    <row r="4020" spans="1:3" ht="15.75" customHeight="1" x14ac:dyDescent="0.25">
      <c r="A4020" s="2"/>
      <c r="B4020" s="3"/>
      <c r="C4020" s="3"/>
    </row>
    <row r="4021" spans="1:3" ht="15.75" customHeight="1" x14ac:dyDescent="0.25">
      <c r="A4021" s="2"/>
      <c r="B4021" s="3"/>
      <c r="C4021" s="3"/>
    </row>
    <row r="4022" spans="1:3" ht="15.75" customHeight="1" x14ac:dyDescent="0.25">
      <c r="A4022" s="2"/>
      <c r="B4022" s="3"/>
      <c r="C4022" s="3"/>
    </row>
    <row r="4023" spans="1:3" ht="15.75" customHeight="1" x14ac:dyDescent="0.25">
      <c r="A4023" s="2"/>
      <c r="B4023" s="3"/>
      <c r="C4023" s="3"/>
    </row>
    <row r="4024" spans="1:3" ht="15.75" customHeight="1" x14ac:dyDescent="0.25">
      <c r="A4024" s="2"/>
      <c r="B4024" s="3"/>
      <c r="C4024" s="3"/>
    </row>
    <row r="4025" spans="1:3" ht="15.75" customHeight="1" x14ac:dyDescent="0.25">
      <c r="A4025" s="2"/>
      <c r="B4025" s="3"/>
      <c r="C4025" s="3"/>
    </row>
    <row r="4026" spans="1:3" ht="15.75" customHeight="1" x14ac:dyDescent="0.25">
      <c r="A4026" s="2"/>
      <c r="B4026" s="3"/>
      <c r="C4026" s="3"/>
    </row>
    <row r="4027" spans="1:3" ht="15.75" customHeight="1" x14ac:dyDescent="0.25">
      <c r="A4027" s="2"/>
      <c r="B4027" s="3"/>
      <c r="C4027" s="3"/>
    </row>
    <row r="4028" spans="1:3" ht="15.75" customHeight="1" x14ac:dyDescent="0.25">
      <c r="A4028" s="2"/>
      <c r="B4028" s="3"/>
      <c r="C4028" s="3"/>
    </row>
    <row r="4029" spans="1:3" ht="15.75" customHeight="1" x14ac:dyDescent="0.25">
      <c r="A4029" s="2"/>
      <c r="B4029" s="3"/>
      <c r="C4029" s="3"/>
    </row>
    <row r="4030" spans="1:3" ht="15.75" customHeight="1" x14ac:dyDescent="0.25">
      <c r="A4030" s="2"/>
      <c r="B4030" s="3"/>
      <c r="C4030" s="3"/>
    </row>
    <row r="4031" spans="1:3" ht="15.75" customHeight="1" x14ac:dyDescent="0.25">
      <c r="A4031" s="2"/>
      <c r="B4031" s="3"/>
      <c r="C4031" s="3"/>
    </row>
    <row r="4032" spans="1:3" ht="15.75" customHeight="1" x14ac:dyDescent="0.25">
      <c r="A4032" s="2"/>
      <c r="B4032" s="3"/>
      <c r="C4032" s="3"/>
    </row>
    <row r="4033" spans="1:3" ht="15.75" customHeight="1" x14ac:dyDescent="0.25">
      <c r="A4033" s="2"/>
      <c r="B4033" s="3"/>
      <c r="C4033" s="3"/>
    </row>
    <row r="4034" spans="1:3" ht="15.75" customHeight="1" x14ac:dyDescent="0.25">
      <c r="A4034" s="2"/>
      <c r="B4034" s="3"/>
      <c r="C4034" s="3"/>
    </row>
    <row r="4035" spans="1:3" ht="15.75" customHeight="1" x14ac:dyDescent="0.25">
      <c r="A4035" s="2"/>
      <c r="B4035" s="3"/>
      <c r="C4035" s="3"/>
    </row>
    <row r="4036" spans="1:3" ht="15.75" customHeight="1" x14ac:dyDescent="0.25">
      <c r="A4036" s="2"/>
      <c r="B4036" s="3"/>
      <c r="C4036" s="3"/>
    </row>
    <row r="4037" spans="1:3" ht="15.75" customHeight="1" x14ac:dyDescent="0.25">
      <c r="A4037" s="2"/>
      <c r="B4037" s="3"/>
      <c r="C4037" s="3"/>
    </row>
    <row r="4038" spans="1:3" ht="15.75" customHeight="1" x14ac:dyDescent="0.25">
      <c r="A4038" s="2"/>
      <c r="B4038" s="3"/>
      <c r="C4038" s="3"/>
    </row>
    <row r="4039" spans="1:3" ht="15.75" customHeight="1" x14ac:dyDescent="0.25">
      <c r="A4039" s="2"/>
      <c r="B4039" s="3"/>
      <c r="C4039" s="3"/>
    </row>
    <row r="4040" spans="1:3" ht="15.75" customHeight="1" x14ac:dyDescent="0.25">
      <c r="A4040" s="2"/>
      <c r="B4040" s="3"/>
      <c r="C4040" s="3"/>
    </row>
    <row r="4041" spans="1:3" ht="15.75" customHeight="1" x14ac:dyDescent="0.25">
      <c r="A4041" s="2"/>
      <c r="B4041" s="3"/>
      <c r="C4041" s="3"/>
    </row>
    <row r="4042" spans="1:3" ht="15.75" customHeight="1" x14ac:dyDescent="0.25">
      <c r="A4042" s="2"/>
      <c r="B4042" s="3"/>
      <c r="C4042" s="3"/>
    </row>
    <row r="4043" spans="1:3" ht="15.75" customHeight="1" x14ac:dyDescent="0.25">
      <c r="A4043" s="2"/>
      <c r="B4043" s="3"/>
      <c r="C4043" s="3"/>
    </row>
    <row r="4044" spans="1:3" ht="15.75" customHeight="1" x14ac:dyDescent="0.25">
      <c r="A4044" s="2"/>
      <c r="B4044" s="3"/>
      <c r="C4044" s="3"/>
    </row>
    <row r="4045" spans="1:3" ht="15.75" customHeight="1" x14ac:dyDescent="0.25">
      <c r="A4045" s="2"/>
      <c r="B4045" s="3"/>
      <c r="C4045" s="3"/>
    </row>
    <row r="4046" spans="1:3" ht="15.75" customHeight="1" x14ac:dyDescent="0.25">
      <c r="A4046" s="2"/>
      <c r="B4046" s="3"/>
      <c r="C4046" s="3"/>
    </row>
    <row r="4047" spans="1:3" ht="15.75" customHeight="1" x14ac:dyDescent="0.25">
      <c r="A4047" s="2"/>
      <c r="B4047" s="3"/>
      <c r="C4047" s="3"/>
    </row>
    <row r="4048" spans="1:3" ht="15.75" customHeight="1" x14ac:dyDescent="0.25">
      <c r="A4048" s="2"/>
      <c r="B4048" s="3"/>
      <c r="C4048" s="3"/>
    </row>
    <row r="4049" spans="1:3" ht="15.75" customHeight="1" x14ac:dyDescent="0.25">
      <c r="A4049" s="2"/>
      <c r="B4049" s="3"/>
      <c r="C4049" s="3"/>
    </row>
    <row r="4050" spans="1:3" ht="15.75" customHeight="1" x14ac:dyDescent="0.25">
      <c r="A4050" s="2"/>
      <c r="B4050" s="3"/>
      <c r="C4050" s="3"/>
    </row>
    <row r="4051" spans="1:3" ht="15.75" customHeight="1" x14ac:dyDescent="0.25">
      <c r="A4051" s="2"/>
      <c r="B4051" s="3"/>
      <c r="C4051" s="3"/>
    </row>
    <row r="4052" spans="1:3" ht="15.75" customHeight="1" x14ac:dyDescent="0.25">
      <c r="A4052" s="2"/>
      <c r="B4052" s="3"/>
      <c r="C4052" s="3"/>
    </row>
    <row r="4053" spans="1:3" ht="15.75" customHeight="1" x14ac:dyDescent="0.25">
      <c r="A4053" s="2"/>
      <c r="B4053" s="3"/>
      <c r="C4053" s="3"/>
    </row>
    <row r="4054" spans="1:3" ht="15.75" customHeight="1" x14ac:dyDescent="0.25">
      <c r="A4054" s="2"/>
      <c r="B4054" s="3"/>
      <c r="C4054" s="3"/>
    </row>
    <row r="4055" spans="1:3" ht="15.75" customHeight="1" x14ac:dyDescent="0.25">
      <c r="A4055" s="2"/>
      <c r="B4055" s="3"/>
      <c r="C4055" s="3"/>
    </row>
    <row r="4056" spans="1:3" ht="15.75" customHeight="1" x14ac:dyDescent="0.25">
      <c r="A4056" s="2"/>
      <c r="B4056" s="3"/>
      <c r="C4056" s="3"/>
    </row>
    <row r="4057" spans="1:3" ht="15.75" customHeight="1" x14ac:dyDescent="0.25">
      <c r="A4057" s="2"/>
      <c r="B4057" s="3"/>
      <c r="C4057" s="3"/>
    </row>
    <row r="4058" spans="1:3" ht="15.75" customHeight="1" x14ac:dyDescent="0.25">
      <c r="A4058" s="2"/>
      <c r="B4058" s="3"/>
      <c r="C4058" s="3"/>
    </row>
    <row r="4059" spans="1:3" ht="15.75" customHeight="1" x14ac:dyDescent="0.25">
      <c r="A4059" s="2"/>
      <c r="B4059" s="3"/>
      <c r="C4059" s="3"/>
    </row>
    <row r="4060" spans="1:3" ht="15.75" customHeight="1" x14ac:dyDescent="0.25">
      <c r="A4060" s="2"/>
      <c r="B4060" s="3"/>
      <c r="C4060" s="3"/>
    </row>
    <row r="4061" spans="1:3" ht="15.75" customHeight="1" x14ac:dyDescent="0.25">
      <c r="A4061" s="2"/>
      <c r="B4061" s="3"/>
      <c r="C4061" s="3"/>
    </row>
    <row r="4062" spans="1:3" ht="15.75" customHeight="1" x14ac:dyDescent="0.25">
      <c r="A4062" s="2"/>
      <c r="B4062" s="3"/>
      <c r="C4062" s="3"/>
    </row>
    <row r="4063" spans="1:3" ht="15.75" customHeight="1" x14ac:dyDescent="0.25">
      <c r="A4063" s="2"/>
      <c r="B4063" s="3"/>
      <c r="C4063" s="3"/>
    </row>
    <row r="4064" spans="1:3" ht="15.75" customHeight="1" x14ac:dyDescent="0.25">
      <c r="A4064" s="2"/>
      <c r="B4064" s="3"/>
      <c r="C4064" s="3"/>
    </row>
    <row r="4065" spans="1:3" ht="15.75" customHeight="1" x14ac:dyDescent="0.25">
      <c r="A4065" s="2"/>
      <c r="B4065" s="3"/>
      <c r="C4065" s="3"/>
    </row>
    <row r="4066" spans="1:3" ht="15.75" customHeight="1" x14ac:dyDescent="0.25">
      <c r="A4066" s="2"/>
      <c r="B4066" s="3"/>
      <c r="C4066" s="3"/>
    </row>
    <row r="4067" spans="1:3" ht="15.75" customHeight="1" x14ac:dyDescent="0.25">
      <c r="A4067" s="2"/>
      <c r="B4067" s="3"/>
      <c r="C4067" s="3"/>
    </row>
    <row r="4068" spans="1:3" ht="15.75" customHeight="1" x14ac:dyDescent="0.25">
      <c r="A4068" s="2"/>
      <c r="B4068" s="3"/>
      <c r="C4068" s="3"/>
    </row>
    <row r="4069" spans="1:3" ht="15.75" customHeight="1" x14ac:dyDescent="0.25">
      <c r="A4069" s="2"/>
      <c r="B4069" s="3"/>
      <c r="C4069" s="3"/>
    </row>
    <row r="4070" spans="1:3" ht="15.75" customHeight="1" x14ac:dyDescent="0.25">
      <c r="A4070" s="2"/>
      <c r="B4070" s="3"/>
      <c r="C4070" s="3"/>
    </row>
    <row r="4071" spans="1:3" ht="15.75" customHeight="1" x14ac:dyDescent="0.25">
      <c r="A4071" s="2"/>
      <c r="B4071" s="3"/>
      <c r="C4071" s="3"/>
    </row>
    <row r="4072" spans="1:3" ht="15.75" customHeight="1" x14ac:dyDescent="0.25">
      <c r="A4072" s="2"/>
      <c r="B4072" s="3"/>
      <c r="C4072" s="3"/>
    </row>
    <row r="4073" spans="1:3" ht="15.75" customHeight="1" x14ac:dyDescent="0.25">
      <c r="A4073" s="2"/>
      <c r="B4073" s="3"/>
      <c r="C4073" s="3"/>
    </row>
    <row r="4074" spans="1:3" ht="15.75" customHeight="1" x14ac:dyDescent="0.25">
      <c r="A4074" s="2"/>
      <c r="B4074" s="3"/>
      <c r="C4074" s="3"/>
    </row>
    <row r="4075" spans="1:3" ht="15.75" customHeight="1" x14ac:dyDescent="0.25">
      <c r="A4075" s="2"/>
      <c r="B4075" s="3"/>
      <c r="C4075" s="3"/>
    </row>
    <row r="4076" spans="1:3" ht="15.75" customHeight="1" x14ac:dyDescent="0.25">
      <c r="A4076" s="2"/>
      <c r="B4076" s="3"/>
      <c r="C4076" s="3"/>
    </row>
    <row r="4077" spans="1:3" ht="15.75" customHeight="1" x14ac:dyDescent="0.25">
      <c r="A4077" s="2"/>
      <c r="B4077" s="3"/>
      <c r="C4077" s="3"/>
    </row>
    <row r="4078" spans="1:3" ht="15.75" customHeight="1" x14ac:dyDescent="0.25">
      <c r="A4078" s="2"/>
      <c r="B4078" s="3"/>
      <c r="C4078" s="3"/>
    </row>
    <row r="4079" spans="1:3" ht="15.75" customHeight="1" x14ac:dyDescent="0.25">
      <c r="A4079" s="2"/>
      <c r="B4079" s="3"/>
      <c r="C4079" s="3"/>
    </row>
    <row r="4080" spans="1:3" ht="15.75" customHeight="1" x14ac:dyDescent="0.25">
      <c r="A4080" s="2"/>
      <c r="B4080" s="3"/>
      <c r="C4080" s="3"/>
    </row>
    <row r="4081" spans="1:3" ht="15.75" customHeight="1" x14ac:dyDescent="0.25">
      <c r="A4081" s="2"/>
      <c r="B4081" s="3"/>
      <c r="C4081" s="3"/>
    </row>
    <row r="4082" spans="1:3" ht="15.75" customHeight="1" x14ac:dyDescent="0.25">
      <c r="A4082" s="2"/>
      <c r="B4082" s="3"/>
      <c r="C4082" s="3"/>
    </row>
    <row r="4083" spans="1:3" ht="15.75" customHeight="1" x14ac:dyDescent="0.25">
      <c r="A4083" s="2"/>
      <c r="B4083" s="3"/>
      <c r="C4083" s="3"/>
    </row>
    <row r="4084" spans="1:3" ht="15.75" customHeight="1" x14ac:dyDescent="0.25">
      <c r="A4084" s="2"/>
      <c r="B4084" s="3"/>
      <c r="C4084" s="3"/>
    </row>
    <row r="4085" spans="1:3" ht="15.75" customHeight="1" x14ac:dyDescent="0.25">
      <c r="A4085" s="2"/>
      <c r="B4085" s="3"/>
      <c r="C4085" s="3"/>
    </row>
    <row r="4086" spans="1:3" ht="15.75" customHeight="1" x14ac:dyDescent="0.25">
      <c r="A4086" s="2"/>
      <c r="B4086" s="3"/>
      <c r="C4086" s="3"/>
    </row>
    <row r="4087" spans="1:3" ht="15.75" customHeight="1" x14ac:dyDescent="0.25">
      <c r="A4087" s="2"/>
      <c r="B4087" s="3"/>
      <c r="C4087" s="3"/>
    </row>
    <row r="4088" spans="1:3" ht="15.75" customHeight="1" x14ac:dyDescent="0.25">
      <c r="A4088" s="2"/>
      <c r="B4088" s="3"/>
      <c r="C4088" s="3"/>
    </row>
    <row r="4089" spans="1:3" ht="15.75" customHeight="1" x14ac:dyDescent="0.25">
      <c r="A4089" s="2"/>
      <c r="B4089" s="3"/>
      <c r="C4089" s="3"/>
    </row>
    <row r="4090" spans="1:3" ht="15.75" customHeight="1" x14ac:dyDescent="0.25">
      <c r="A4090" s="2"/>
      <c r="B4090" s="3"/>
      <c r="C4090" s="3"/>
    </row>
    <row r="4091" spans="1:3" ht="15.75" customHeight="1" x14ac:dyDescent="0.25">
      <c r="A4091" s="2"/>
      <c r="B4091" s="3"/>
      <c r="C4091" s="3"/>
    </row>
    <row r="4092" spans="1:3" ht="15.75" customHeight="1" x14ac:dyDescent="0.25">
      <c r="A4092" s="2"/>
      <c r="B4092" s="3"/>
      <c r="C4092" s="3"/>
    </row>
    <row r="4093" spans="1:3" ht="15.75" customHeight="1" x14ac:dyDescent="0.25">
      <c r="A4093" s="2"/>
      <c r="B4093" s="3"/>
      <c r="C4093" s="3"/>
    </row>
    <row r="4094" spans="1:3" ht="15.75" customHeight="1" x14ac:dyDescent="0.25">
      <c r="A4094" s="2"/>
      <c r="B4094" s="3"/>
      <c r="C4094" s="3"/>
    </row>
    <row r="4095" spans="1:3" ht="15.75" customHeight="1" x14ac:dyDescent="0.25">
      <c r="A4095" s="2"/>
      <c r="B4095" s="3"/>
      <c r="C4095" s="3"/>
    </row>
    <row r="4096" spans="1:3" ht="15.75" customHeight="1" x14ac:dyDescent="0.25">
      <c r="A4096" s="2"/>
      <c r="B4096" s="3"/>
      <c r="C4096" s="3"/>
    </row>
    <row r="4097" spans="1:3" ht="15.75" customHeight="1" x14ac:dyDescent="0.25">
      <c r="A4097" s="2"/>
      <c r="B4097" s="3"/>
      <c r="C4097" s="3"/>
    </row>
    <row r="4098" spans="1:3" ht="15.75" customHeight="1" x14ac:dyDescent="0.25">
      <c r="A4098" s="2"/>
      <c r="B4098" s="3"/>
      <c r="C4098" s="3"/>
    </row>
    <row r="4099" spans="1:3" ht="15.75" customHeight="1" x14ac:dyDescent="0.25">
      <c r="A4099" s="2"/>
      <c r="B4099" s="3"/>
      <c r="C4099" s="3"/>
    </row>
    <row r="4100" spans="1:3" ht="15.75" customHeight="1" x14ac:dyDescent="0.25">
      <c r="A4100" s="2"/>
      <c r="B4100" s="3"/>
      <c r="C4100" s="3"/>
    </row>
    <row r="4101" spans="1:3" ht="15.75" customHeight="1" x14ac:dyDescent="0.25">
      <c r="A4101" s="2"/>
      <c r="B4101" s="3"/>
      <c r="C4101" s="3"/>
    </row>
    <row r="4102" spans="1:3" ht="15.75" customHeight="1" x14ac:dyDescent="0.25">
      <c r="A4102" s="2"/>
      <c r="B4102" s="3"/>
      <c r="C4102" s="3"/>
    </row>
    <row r="4103" spans="1:3" ht="15.75" customHeight="1" x14ac:dyDescent="0.25">
      <c r="A4103" s="2"/>
      <c r="B4103" s="3"/>
      <c r="C4103" s="3"/>
    </row>
    <row r="4104" spans="1:3" ht="15.75" customHeight="1" x14ac:dyDescent="0.25">
      <c r="A4104" s="2"/>
      <c r="B4104" s="3"/>
      <c r="C4104" s="3"/>
    </row>
    <row r="4105" spans="1:3" ht="15.75" customHeight="1" x14ac:dyDescent="0.25">
      <c r="A4105" s="2"/>
      <c r="B4105" s="3"/>
      <c r="C4105" s="3"/>
    </row>
    <row r="4106" spans="1:3" ht="15.75" customHeight="1" x14ac:dyDescent="0.25">
      <c r="A4106" s="2"/>
      <c r="B4106" s="3"/>
      <c r="C4106" s="3"/>
    </row>
    <row r="4107" spans="1:3" ht="15.75" customHeight="1" x14ac:dyDescent="0.25">
      <c r="A4107" s="2"/>
      <c r="B4107" s="3"/>
      <c r="C4107" s="3"/>
    </row>
    <row r="4108" spans="1:3" ht="15.75" customHeight="1" x14ac:dyDescent="0.25">
      <c r="A4108" s="2"/>
      <c r="B4108" s="3"/>
      <c r="C4108" s="3"/>
    </row>
    <row r="4109" spans="1:3" ht="15.75" customHeight="1" x14ac:dyDescent="0.25">
      <c r="A4109" s="2"/>
      <c r="B4109" s="3"/>
      <c r="C4109" s="3"/>
    </row>
    <row r="4110" spans="1:3" ht="15.75" customHeight="1" x14ac:dyDescent="0.25">
      <c r="A4110" s="2"/>
      <c r="B4110" s="3"/>
      <c r="C4110" s="3"/>
    </row>
    <row r="4111" spans="1:3" ht="15.75" customHeight="1" x14ac:dyDescent="0.25">
      <c r="A4111" s="2"/>
      <c r="B4111" s="3"/>
      <c r="C4111" s="3"/>
    </row>
    <row r="4112" spans="1:3" ht="15.75" customHeight="1" x14ac:dyDescent="0.25">
      <c r="A4112" s="2"/>
      <c r="B4112" s="3"/>
      <c r="C4112" s="3"/>
    </row>
    <row r="4113" spans="1:3" ht="15.75" customHeight="1" x14ac:dyDescent="0.25">
      <c r="A4113" s="2"/>
      <c r="B4113" s="3"/>
      <c r="C4113" s="3"/>
    </row>
    <row r="4114" spans="1:3" ht="15.75" customHeight="1" x14ac:dyDescent="0.25">
      <c r="A4114" s="2"/>
      <c r="B4114" s="3"/>
      <c r="C4114" s="3"/>
    </row>
    <row r="4115" spans="1:3" ht="15.75" customHeight="1" x14ac:dyDescent="0.25">
      <c r="A4115" s="2"/>
      <c r="B4115" s="3"/>
      <c r="C4115" s="3"/>
    </row>
    <row r="4116" spans="1:3" ht="15.75" customHeight="1" x14ac:dyDescent="0.25">
      <c r="A4116" s="2"/>
      <c r="B4116" s="3"/>
      <c r="C4116" s="3"/>
    </row>
    <row r="4117" spans="1:3" ht="15.75" customHeight="1" x14ac:dyDescent="0.25">
      <c r="A4117" s="2"/>
      <c r="B4117" s="3"/>
      <c r="C4117" s="3"/>
    </row>
    <row r="4118" spans="1:3" ht="15.75" customHeight="1" x14ac:dyDescent="0.25">
      <c r="A4118" s="2"/>
      <c r="B4118" s="3"/>
      <c r="C4118" s="3"/>
    </row>
    <row r="4119" spans="1:3" ht="15.75" customHeight="1" x14ac:dyDescent="0.25">
      <c r="A4119" s="2"/>
      <c r="B4119" s="3"/>
      <c r="C4119" s="3"/>
    </row>
    <row r="4120" spans="1:3" ht="15.75" customHeight="1" x14ac:dyDescent="0.25">
      <c r="A4120" s="2"/>
      <c r="B4120" s="3"/>
      <c r="C4120" s="3"/>
    </row>
    <row r="4121" spans="1:3" ht="15.75" customHeight="1" x14ac:dyDescent="0.25">
      <c r="A4121" s="2"/>
      <c r="B4121" s="3"/>
      <c r="C4121" s="3"/>
    </row>
    <row r="4122" spans="1:3" ht="15.75" customHeight="1" x14ac:dyDescent="0.25">
      <c r="A4122" s="2"/>
      <c r="B4122" s="3"/>
      <c r="C4122" s="3"/>
    </row>
    <row r="4123" spans="1:3" ht="15.75" customHeight="1" x14ac:dyDescent="0.25">
      <c r="A4123" s="2"/>
      <c r="B4123" s="3"/>
      <c r="C4123" s="3"/>
    </row>
    <row r="4124" spans="1:3" ht="15.75" customHeight="1" x14ac:dyDescent="0.25">
      <c r="A4124" s="2"/>
      <c r="B4124" s="3"/>
      <c r="C4124" s="3"/>
    </row>
    <row r="4125" spans="1:3" ht="15.75" customHeight="1" x14ac:dyDescent="0.25">
      <c r="A4125" s="2"/>
      <c r="B4125" s="3"/>
      <c r="C4125" s="3"/>
    </row>
    <row r="4126" spans="1:3" ht="15.75" customHeight="1" x14ac:dyDescent="0.25">
      <c r="A4126" s="2"/>
      <c r="B4126" s="3"/>
      <c r="C4126" s="3"/>
    </row>
    <row r="4127" spans="1:3" ht="15.75" customHeight="1" x14ac:dyDescent="0.25">
      <c r="A4127" s="2"/>
      <c r="B4127" s="3"/>
      <c r="C4127" s="3"/>
    </row>
    <row r="4128" spans="1:3" ht="15.75" customHeight="1" x14ac:dyDescent="0.25">
      <c r="A4128" s="2"/>
      <c r="B4128" s="3"/>
      <c r="C4128" s="3"/>
    </row>
    <row r="4129" spans="1:3" ht="15.75" customHeight="1" x14ac:dyDescent="0.25">
      <c r="A4129" s="2"/>
      <c r="B4129" s="3"/>
      <c r="C4129" s="3"/>
    </row>
    <row r="4130" spans="1:3" ht="15.75" customHeight="1" x14ac:dyDescent="0.25">
      <c r="A4130" s="2"/>
      <c r="B4130" s="3"/>
      <c r="C4130" s="3"/>
    </row>
    <row r="4131" spans="1:3" ht="15.75" customHeight="1" x14ac:dyDescent="0.25">
      <c r="A4131" s="2"/>
      <c r="B4131" s="3"/>
      <c r="C4131" s="3"/>
    </row>
    <row r="4132" spans="1:3" ht="15.75" customHeight="1" x14ac:dyDescent="0.25">
      <c r="A4132" s="2"/>
      <c r="B4132" s="3"/>
      <c r="C4132" s="3"/>
    </row>
    <row r="4133" spans="1:3" ht="15.75" customHeight="1" x14ac:dyDescent="0.25">
      <c r="A4133" s="2"/>
      <c r="B4133" s="3"/>
      <c r="C4133" s="3"/>
    </row>
    <row r="4134" spans="1:3" ht="15.75" customHeight="1" x14ac:dyDescent="0.25">
      <c r="A4134" s="2"/>
      <c r="B4134" s="3"/>
      <c r="C4134" s="3"/>
    </row>
    <row r="4135" spans="1:3" ht="15.75" customHeight="1" x14ac:dyDescent="0.25">
      <c r="A4135" s="2"/>
      <c r="B4135" s="3"/>
      <c r="C4135" s="3"/>
    </row>
    <row r="4136" spans="1:3" ht="15.75" customHeight="1" x14ac:dyDescent="0.25">
      <c r="A4136" s="2"/>
      <c r="B4136" s="3"/>
      <c r="C4136" s="3"/>
    </row>
    <row r="4137" spans="1:3" ht="15.75" customHeight="1" x14ac:dyDescent="0.25">
      <c r="A4137" s="2"/>
      <c r="B4137" s="3"/>
      <c r="C4137" s="3"/>
    </row>
    <row r="4138" spans="1:3" ht="15.75" customHeight="1" x14ac:dyDescent="0.25">
      <c r="A4138" s="2"/>
      <c r="B4138" s="3"/>
      <c r="C4138" s="3"/>
    </row>
    <row r="4139" spans="1:3" ht="15.75" customHeight="1" x14ac:dyDescent="0.25">
      <c r="A4139" s="2"/>
      <c r="B4139" s="3"/>
      <c r="C4139" s="3"/>
    </row>
    <row r="4140" spans="1:3" ht="15.75" customHeight="1" x14ac:dyDescent="0.25">
      <c r="A4140" s="2"/>
      <c r="B4140" s="3"/>
      <c r="C4140" s="3"/>
    </row>
    <row r="4141" spans="1:3" ht="15.75" customHeight="1" x14ac:dyDescent="0.25">
      <c r="A4141" s="2"/>
      <c r="B4141" s="3"/>
      <c r="C4141" s="3"/>
    </row>
    <row r="4142" spans="1:3" ht="15.75" customHeight="1" x14ac:dyDescent="0.25">
      <c r="A4142" s="2"/>
      <c r="B4142" s="3"/>
      <c r="C4142" s="3"/>
    </row>
    <row r="4143" spans="1:3" ht="15.75" customHeight="1" x14ac:dyDescent="0.25">
      <c r="A4143" s="2"/>
      <c r="B4143" s="3"/>
      <c r="C4143" s="3"/>
    </row>
    <row r="4144" spans="1:3" ht="15.75" customHeight="1" x14ac:dyDescent="0.25">
      <c r="A4144" s="2"/>
      <c r="B4144" s="3"/>
      <c r="C4144" s="3"/>
    </row>
    <row r="4145" spans="1:3" ht="15.75" customHeight="1" x14ac:dyDescent="0.25">
      <c r="A4145" s="2"/>
      <c r="B4145" s="3"/>
      <c r="C4145" s="3"/>
    </row>
    <row r="4146" spans="1:3" ht="15.75" customHeight="1" x14ac:dyDescent="0.25">
      <c r="A4146" s="2"/>
      <c r="B4146" s="3"/>
      <c r="C4146" s="3"/>
    </row>
    <row r="4147" spans="1:3" ht="15.75" customHeight="1" x14ac:dyDescent="0.25">
      <c r="A4147" s="2"/>
      <c r="B4147" s="3"/>
      <c r="C4147" s="3"/>
    </row>
    <row r="4148" spans="1:3" ht="15.75" customHeight="1" x14ac:dyDescent="0.25">
      <c r="A4148" s="2"/>
      <c r="B4148" s="3"/>
      <c r="C4148" s="3"/>
    </row>
    <row r="4149" spans="1:3" ht="15.75" customHeight="1" x14ac:dyDescent="0.25">
      <c r="A4149" s="2"/>
      <c r="B4149" s="3"/>
      <c r="C4149" s="3"/>
    </row>
    <row r="4150" spans="1:3" ht="15.75" customHeight="1" x14ac:dyDescent="0.25">
      <c r="A4150" s="2"/>
      <c r="B4150" s="3"/>
      <c r="C4150" s="3"/>
    </row>
    <row r="4151" spans="1:3" ht="15.75" customHeight="1" x14ac:dyDescent="0.25">
      <c r="A4151" s="2"/>
      <c r="B4151" s="3"/>
      <c r="C4151" s="3"/>
    </row>
    <row r="4152" spans="1:3" ht="15.75" customHeight="1" x14ac:dyDescent="0.25">
      <c r="A4152" s="2"/>
      <c r="B4152" s="3"/>
      <c r="C4152" s="3"/>
    </row>
    <row r="4153" spans="1:3" ht="15.75" customHeight="1" x14ac:dyDescent="0.25">
      <c r="A4153" s="2"/>
      <c r="B4153" s="3"/>
      <c r="C4153" s="3"/>
    </row>
    <row r="4154" spans="1:3" ht="15.75" customHeight="1" x14ac:dyDescent="0.25">
      <c r="A4154" s="2"/>
      <c r="B4154" s="3"/>
      <c r="C4154" s="3"/>
    </row>
    <row r="4155" spans="1:3" ht="15.75" customHeight="1" x14ac:dyDescent="0.25">
      <c r="A4155" s="2"/>
      <c r="B4155" s="3"/>
      <c r="C4155" s="3"/>
    </row>
    <row r="4156" spans="1:3" ht="15.75" customHeight="1" x14ac:dyDescent="0.25">
      <c r="A4156" s="2"/>
      <c r="B4156" s="3"/>
      <c r="C4156" s="3"/>
    </row>
    <row r="4157" spans="1:3" ht="15.75" customHeight="1" x14ac:dyDescent="0.25">
      <c r="A4157" s="2"/>
      <c r="B4157" s="3"/>
      <c r="C4157" s="3"/>
    </row>
    <row r="4158" spans="1:3" ht="15.75" customHeight="1" x14ac:dyDescent="0.25">
      <c r="A4158" s="2"/>
      <c r="B4158" s="3"/>
      <c r="C4158" s="3"/>
    </row>
    <row r="4159" spans="1:3" ht="15.75" customHeight="1" x14ac:dyDescent="0.25">
      <c r="A4159" s="2"/>
      <c r="B4159" s="3"/>
      <c r="C4159" s="3"/>
    </row>
    <row r="4160" spans="1:3" ht="15.75" customHeight="1" x14ac:dyDescent="0.25">
      <c r="A4160" s="2"/>
      <c r="B4160" s="3"/>
      <c r="C4160" s="3"/>
    </row>
    <row r="4161" spans="1:3" ht="15.75" customHeight="1" x14ac:dyDescent="0.25">
      <c r="A4161" s="2"/>
      <c r="B4161" s="3"/>
      <c r="C4161" s="3"/>
    </row>
    <row r="4162" spans="1:3" ht="15.75" customHeight="1" x14ac:dyDescent="0.25">
      <c r="A4162" s="2"/>
      <c r="B4162" s="3"/>
      <c r="C4162" s="3"/>
    </row>
    <row r="4163" spans="1:3" ht="15.75" customHeight="1" x14ac:dyDescent="0.25">
      <c r="A4163" s="2"/>
      <c r="B4163" s="3"/>
      <c r="C4163" s="3"/>
    </row>
    <row r="4164" spans="1:3" ht="15.75" customHeight="1" x14ac:dyDescent="0.25">
      <c r="A4164" s="2"/>
      <c r="B4164" s="3"/>
      <c r="C4164" s="3"/>
    </row>
    <row r="4165" spans="1:3" ht="15.75" customHeight="1" x14ac:dyDescent="0.25">
      <c r="A4165" s="2"/>
      <c r="B4165" s="3"/>
      <c r="C4165" s="3"/>
    </row>
    <row r="4166" spans="1:3" ht="15.75" customHeight="1" x14ac:dyDescent="0.25">
      <c r="A4166" s="2"/>
      <c r="B4166" s="3"/>
      <c r="C4166" s="3"/>
    </row>
    <row r="4167" spans="1:3" ht="15.75" customHeight="1" x14ac:dyDescent="0.25">
      <c r="A4167" s="2"/>
      <c r="B4167" s="3"/>
      <c r="C4167" s="3"/>
    </row>
    <row r="4168" spans="1:3" ht="15.75" customHeight="1" x14ac:dyDescent="0.25">
      <c r="A4168" s="2"/>
      <c r="B4168" s="3"/>
      <c r="C4168" s="3"/>
    </row>
    <row r="4169" spans="1:3" ht="15.75" customHeight="1" x14ac:dyDescent="0.25">
      <c r="A4169" s="2"/>
      <c r="B4169" s="3"/>
      <c r="C4169" s="3"/>
    </row>
    <row r="4170" spans="1:3" ht="15.75" customHeight="1" x14ac:dyDescent="0.25">
      <c r="A4170" s="2"/>
      <c r="B4170" s="3"/>
      <c r="C4170" s="3"/>
    </row>
    <row r="4171" spans="1:3" ht="15.75" customHeight="1" x14ac:dyDescent="0.25">
      <c r="A4171" s="2"/>
      <c r="B4171" s="3"/>
      <c r="C4171" s="3"/>
    </row>
    <row r="4172" spans="1:3" ht="15.75" customHeight="1" x14ac:dyDescent="0.25">
      <c r="A4172" s="2"/>
      <c r="B4172" s="3"/>
      <c r="C4172" s="3"/>
    </row>
    <row r="4173" spans="1:3" ht="15.75" customHeight="1" x14ac:dyDescent="0.25">
      <c r="A4173" s="2"/>
      <c r="B4173" s="3"/>
      <c r="C4173" s="3"/>
    </row>
    <row r="4174" spans="1:3" ht="15.75" customHeight="1" x14ac:dyDescent="0.25">
      <c r="A4174" s="2"/>
      <c r="B4174" s="3"/>
      <c r="C4174" s="3"/>
    </row>
    <row r="4175" spans="1:3" ht="15.75" customHeight="1" x14ac:dyDescent="0.25">
      <c r="A4175" s="2"/>
      <c r="B4175" s="3"/>
      <c r="C4175" s="3"/>
    </row>
    <row r="4176" spans="1:3" ht="15.75" customHeight="1" x14ac:dyDescent="0.25">
      <c r="A4176" s="2"/>
      <c r="B4176" s="3"/>
      <c r="C4176" s="3"/>
    </row>
    <row r="4177" spans="1:3" ht="15.75" customHeight="1" x14ac:dyDescent="0.25">
      <c r="A4177" s="2"/>
      <c r="B4177" s="3"/>
      <c r="C4177" s="3"/>
    </row>
    <row r="4178" spans="1:3" ht="15.75" customHeight="1" x14ac:dyDescent="0.25">
      <c r="A4178" s="2"/>
      <c r="B4178" s="3"/>
      <c r="C4178" s="3"/>
    </row>
    <row r="4179" spans="1:3" ht="15.75" customHeight="1" x14ac:dyDescent="0.25">
      <c r="A4179" s="2"/>
      <c r="B4179" s="3"/>
      <c r="C4179" s="3"/>
    </row>
    <row r="4180" spans="1:3" ht="15.75" customHeight="1" x14ac:dyDescent="0.25">
      <c r="A4180" s="2"/>
      <c r="B4180" s="3"/>
      <c r="C4180" s="3"/>
    </row>
    <row r="4181" spans="1:3" ht="15.75" customHeight="1" x14ac:dyDescent="0.25">
      <c r="A4181" s="2"/>
      <c r="B4181" s="3"/>
      <c r="C4181" s="3"/>
    </row>
    <row r="4182" spans="1:3" ht="15.75" customHeight="1" x14ac:dyDescent="0.25">
      <c r="A4182" s="2"/>
      <c r="B4182" s="3"/>
      <c r="C4182" s="3"/>
    </row>
    <row r="4183" spans="1:3" ht="15.75" customHeight="1" x14ac:dyDescent="0.25">
      <c r="A4183" s="2"/>
      <c r="B4183" s="3"/>
      <c r="C4183" s="3"/>
    </row>
    <row r="4184" spans="1:3" ht="15.75" customHeight="1" x14ac:dyDescent="0.25">
      <c r="A4184" s="2"/>
      <c r="B4184" s="3"/>
      <c r="C4184" s="3"/>
    </row>
    <row r="4185" spans="1:3" ht="15.75" customHeight="1" x14ac:dyDescent="0.25">
      <c r="A4185" s="2"/>
      <c r="B4185" s="3"/>
      <c r="C4185" s="3"/>
    </row>
    <row r="4186" spans="1:3" ht="15.75" customHeight="1" x14ac:dyDescent="0.25">
      <c r="A4186" s="2"/>
      <c r="B4186" s="3"/>
      <c r="C4186" s="3"/>
    </row>
    <row r="4187" spans="1:3" ht="15.75" customHeight="1" x14ac:dyDescent="0.25">
      <c r="A4187" s="2"/>
      <c r="B4187" s="3"/>
      <c r="C4187" s="3"/>
    </row>
    <row r="4188" spans="1:3" ht="15.75" customHeight="1" x14ac:dyDescent="0.25">
      <c r="A4188" s="2"/>
      <c r="B4188" s="3"/>
      <c r="C4188" s="3"/>
    </row>
    <row r="4189" spans="1:3" ht="15.75" customHeight="1" x14ac:dyDescent="0.25">
      <c r="A4189" s="2"/>
      <c r="B4189" s="3"/>
      <c r="C4189" s="3"/>
    </row>
    <row r="4190" spans="1:3" ht="15.75" customHeight="1" x14ac:dyDescent="0.25">
      <c r="A4190" s="2"/>
      <c r="B4190" s="3"/>
      <c r="C4190" s="3"/>
    </row>
    <row r="4191" spans="1:3" ht="15.75" customHeight="1" x14ac:dyDescent="0.25">
      <c r="A4191" s="2"/>
      <c r="B4191" s="3"/>
      <c r="C4191" s="3"/>
    </row>
    <row r="4192" spans="1:3" ht="15.75" customHeight="1" x14ac:dyDescent="0.25">
      <c r="A4192" s="2"/>
      <c r="B4192" s="3"/>
      <c r="C4192" s="3"/>
    </row>
    <row r="4193" spans="1:3" ht="15.75" customHeight="1" x14ac:dyDescent="0.25">
      <c r="A4193" s="2"/>
      <c r="B4193" s="3"/>
      <c r="C4193" s="3"/>
    </row>
    <row r="4194" spans="1:3" ht="15.75" customHeight="1" x14ac:dyDescent="0.25">
      <c r="A4194" s="2"/>
      <c r="B4194" s="3"/>
      <c r="C4194" s="3"/>
    </row>
    <row r="4195" spans="1:3" ht="15.75" customHeight="1" x14ac:dyDescent="0.25">
      <c r="A4195" s="2"/>
      <c r="B4195" s="3"/>
      <c r="C4195" s="3"/>
    </row>
    <row r="4196" spans="1:3" ht="15.75" customHeight="1" x14ac:dyDescent="0.25">
      <c r="A4196" s="2"/>
      <c r="B4196" s="3"/>
      <c r="C4196" s="3"/>
    </row>
    <row r="4197" spans="1:3" ht="15.75" customHeight="1" x14ac:dyDescent="0.25">
      <c r="A4197" s="2"/>
      <c r="B4197" s="3"/>
      <c r="C4197" s="3"/>
    </row>
    <row r="4198" spans="1:3" ht="15.75" customHeight="1" x14ac:dyDescent="0.25">
      <c r="A4198" s="2"/>
      <c r="B4198" s="3"/>
      <c r="C4198" s="3"/>
    </row>
    <row r="4199" spans="1:3" ht="15.75" customHeight="1" x14ac:dyDescent="0.25">
      <c r="A4199" s="2"/>
      <c r="B4199" s="3"/>
      <c r="C4199" s="3"/>
    </row>
    <row r="4200" spans="1:3" ht="15.75" customHeight="1" x14ac:dyDescent="0.25">
      <c r="A4200" s="2"/>
      <c r="B4200" s="3"/>
      <c r="C4200" s="3"/>
    </row>
    <row r="4201" spans="1:3" ht="15.75" customHeight="1" x14ac:dyDescent="0.25">
      <c r="A4201" s="2"/>
      <c r="B4201" s="3"/>
      <c r="C4201" s="3"/>
    </row>
    <row r="4202" spans="1:3" ht="15.75" customHeight="1" x14ac:dyDescent="0.25">
      <c r="A4202" s="2"/>
      <c r="B4202" s="3"/>
      <c r="C4202" s="3"/>
    </row>
    <row r="4203" spans="1:3" ht="15.75" customHeight="1" x14ac:dyDescent="0.25">
      <c r="A4203" s="2"/>
      <c r="B4203" s="3"/>
      <c r="C4203" s="3"/>
    </row>
    <row r="4204" spans="1:3" ht="15.75" customHeight="1" x14ac:dyDescent="0.25">
      <c r="A4204" s="2"/>
      <c r="B4204" s="3"/>
      <c r="C4204" s="3"/>
    </row>
    <row r="4205" spans="1:3" ht="15.75" customHeight="1" x14ac:dyDescent="0.25">
      <c r="A4205" s="2"/>
      <c r="B4205" s="3"/>
      <c r="C4205" s="3"/>
    </row>
    <row r="4206" spans="1:3" ht="15.75" customHeight="1" x14ac:dyDescent="0.25">
      <c r="A4206" s="2"/>
      <c r="B4206" s="3"/>
      <c r="C4206" s="3"/>
    </row>
    <row r="4207" spans="1:3" ht="15.75" customHeight="1" x14ac:dyDescent="0.25">
      <c r="A4207" s="2"/>
      <c r="B4207" s="3"/>
      <c r="C4207" s="3"/>
    </row>
    <row r="4208" spans="1:3" ht="15.75" customHeight="1" x14ac:dyDescent="0.25">
      <c r="A4208" s="2"/>
      <c r="B4208" s="3"/>
      <c r="C4208" s="3"/>
    </row>
    <row r="4209" spans="1:3" ht="15.75" customHeight="1" x14ac:dyDescent="0.25">
      <c r="A4209" s="2"/>
      <c r="B4209" s="3"/>
      <c r="C4209" s="3"/>
    </row>
    <row r="4210" spans="1:3" ht="15.75" customHeight="1" x14ac:dyDescent="0.25">
      <c r="A4210" s="2"/>
      <c r="B4210" s="3"/>
      <c r="C4210" s="3"/>
    </row>
    <row r="4211" spans="1:3" ht="15.75" customHeight="1" x14ac:dyDescent="0.25">
      <c r="A4211" s="2"/>
      <c r="B4211" s="3"/>
      <c r="C4211" s="3"/>
    </row>
    <row r="4212" spans="1:3" ht="15.75" customHeight="1" x14ac:dyDescent="0.25">
      <c r="A4212" s="2"/>
      <c r="B4212" s="3"/>
      <c r="C4212" s="3"/>
    </row>
    <row r="4213" spans="1:3" ht="15.75" customHeight="1" x14ac:dyDescent="0.25">
      <c r="A4213" s="2"/>
      <c r="B4213" s="3"/>
      <c r="C4213" s="3"/>
    </row>
    <row r="4214" spans="1:3" ht="15.75" customHeight="1" x14ac:dyDescent="0.25">
      <c r="A4214" s="2"/>
      <c r="B4214" s="3"/>
      <c r="C4214" s="3"/>
    </row>
    <row r="4215" spans="1:3" ht="15.75" customHeight="1" x14ac:dyDescent="0.25">
      <c r="A4215" s="2"/>
      <c r="B4215" s="3"/>
      <c r="C4215" s="3"/>
    </row>
    <row r="4216" spans="1:3" ht="15.75" customHeight="1" x14ac:dyDescent="0.25">
      <c r="A4216" s="2"/>
      <c r="B4216" s="3"/>
      <c r="C4216" s="3"/>
    </row>
    <row r="4217" spans="1:3" ht="15.75" customHeight="1" x14ac:dyDescent="0.25">
      <c r="A4217" s="2"/>
      <c r="B4217" s="3"/>
      <c r="C4217" s="3"/>
    </row>
    <row r="4218" spans="1:3" ht="15.75" customHeight="1" x14ac:dyDescent="0.25">
      <c r="A4218" s="2"/>
      <c r="B4218" s="3"/>
      <c r="C4218" s="3"/>
    </row>
    <row r="4219" spans="1:3" ht="15.75" customHeight="1" x14ac:dyDescent="0.25">
      <c r="A4219" s="2"/>
      <c r="B4219" s="3"/>
      <c r="C4219" s="3"/>
    </row>
    <row r="4220" spans="1:3" ht="15.75" customHeight="1" x14ac:dyDescent="0.25">
      <c r="A4220" s="2"/>
      <c r="B4220" s="3"/>
      <c r="C4220" s="3"/>
    </row>
    <row r="4221" spans="1:3" ht="15.75" customHeight="1" x14ac:dyDescent="0.25">
      <c r="A4221" s="2"/>
      <c r="B4221" s="3"/>
      <c r="C4221" s="3"/>
    </row>
    <row r="4222" spans="1:3" ht="15.75" customHeight="1" x14ac:dyDescent="0.25">
      <c r="A4222" s="2"/>
      <c r="B4222" s="3"/>
      <c r="C4222" s="3"/>
    </row>
    <row r="4223" spans="1:3" ht="15.75" customHeight="1" x14ac:dyDescent="0.25">
      <c r="A4223" s="2"/>
      <c r="B4223" s="3"/>
      <c r="C4223" s="3"/>
    </row>
    <row r="4224" spans="1:3" ht="15.75" customHeight="1" x14ac:dyDescent="0.25">
      <c r="A4224" s="2"/>
      <c r="B4224" s="3"/>
      <c r="C4224" s="3"/>
    </row>
    <row r="4225" spans="1:3" ht="15.75" customHeight="1" x14ac:dyDescent="0.25">
      <c r="A4225" s="2"/>
      <c r="B4225" s="3"/>
      <c r="C4225" s="3"/>
    </row>
    <row r="4226" spans="1:3" ht="15.75" customHeight="1" x14ac:dyDescent="0.25">
      <c r="A4226" s="2"/>
      <c r="B4226" s="3"/>
      <c r="C4226" s="3"/>
    </row>
    <row r="4227" spans="1:3" ht="15.75" customHeight="1" x14ac:dyDescent="0.25">
      <c r="A4227" s="2"/>
      <c r="B4227" s="3"/>
      <c r="C4227" s="3"/>
    </row>
    <row r="4228" spans="1:3" ht="15.75" customHeight="1" x14ac:dyDescent="0.25">
      <c r="A4228" s="2"/>
      <c r="B4228" s="3"/>
      <c r="C4228" s="3"/>
    </row>
    <row r="4229" spans="1:3" ht="15.75" customHeight="1" x14ac:dyDescent="0.25">
      <c r="A4229" s="2"/>
      <c r="B4229" s="3"/>
      <c r="C4229" s="3"/>
    </row>
    <row r="4230" spans="1:3" ht="15.75" customHeight="1" x14ac:dyDescent="0.25">
      <c r="A4230" s="2"/>
      <c r="B4230" s="3"/>
      <c r="C4230" s="3"/>
    </row>
    <row r="4231" spans="1:3" ht="15.75" customHeight="1" x14ac:dyDescent="0.25">
      <c r="A4231" s="2"/>
      <c r="B4231" s="3"/>
      <c r="C4231" s="3"/>
    </row>
    <row r="4232" spans="1:3" ht="15.75" customHeight="1" x14ac:dyDescent="0.25">
      <c r="A4232" s="2"/>
      <c r="B4232" s="3"/>
      <c r="C4232" s="3"/>
    </row>
    <row r="4233" spans="1:3" ht="15.75" customHeight="1" x14ac:dyDescent="0.25">
      <c r="A4233" s="2"/>
      <c r="B4233" s="3"/>
      <c r="C4233" s="3"/>
    </row>
    <row r="4234" spans="1:3" ht="15.75" customHeight="1" x14ac:dyDescent="0.25">
      <c r="A4234" s="2"/>
      <c r="B4234" s="3"/>
      <c r="C4234" s="3"/>
    </row>
    <row r="4235" spans="1:3" ht="15.75" customHeight="1" x14ac:dyDescent="0.25">
      <c r="A4235" s="2"/>
      <c r="B4235" s="3"/>
      <c r="C4235" s="3"/>
    </row>
    <row r="4236" spans="1:3" ht="15.75" customHeight="1" x14ac:dyDescent="0.25">
      <c r="A4236" s="2"/>
      <c r="B4236" s="3"/>
      <c r="C4236" s="3"/>
    </row>
    <row r="4237" spans="1:3" ht="15.75" customHeight="1" x14ac:dyDescent="0.25">
      <c r="A4237" s="2"/>
      <c r="B4237" s="3"/>
      <c r="C4237" s="3"/>
    </row>
    <row r="4238" spans="1:3" ht="15.75" customHeight="1" x14ac:dyDescent="0.25">
      <c r="A4238" s="2"/>
      <c r="B4238" s="3"/>
      <c r="C4238" s="3"/>
    </row>
    <row r="4239" spans="1:3" ht="15.75" customHeight="1" x14ac:dyDescent="0.25">
      <c r="A4239" s="2"/>
      <c r="B4239" s="3"/>
      <c r="C4239" s="3"/>
    </row>
    <row r="4240" spans="1:3" ht="15.75" customHeight="1" x14ac:dyDescent="0.25">
      <c r="A4240" s="2"/>
      <c r="B4240" s="3"/>
      <c r="C4240" s="3"/>
    </row>
    <row r="4241" spans="1:3" ht="15.75" customHeight="1" x14ac:dyDescent="0.25">
      <c r="A4241" s="2"/>
      <c r="B4241" s="3"/>
      <c r="C4241" s="3"/>
    </row>
    <row r="4242" spans="1:3" ht="15.75" customHeight="1" x14ac:dyDescent="0.25">
      <c r="A4242" s="2"/>
      <c r="B4242" s="3"/>
      <c r="C4242" s="3"/>
    </row>
    <row r="4243" spans="1:3" ht="15.75" customHeight="1" x14ac:dyDescent="0.25">
      <c r="A4243" s="2"/>
      <c r="B4243" s="3"/>
      <c r="C4243" s="3"/>
    </row>
    <row r="4244" spans="1:3" ht="15.75" customHeight="1" x14ac:dyDescent="0.25">
      <c r="A4244" s="2"/>
      <c r="B4244" s="3"/>
      <c r="C4244" s="3"/>
    </row>
    <row r="4245" spans="1:3" ht="15.75" customHeight="1" x14ac:dyDescent="0.25">
      <c r="A4245" s="2"/>
      <c r="B4245" s="3"/>
      <c r="C4245" s="3"/>
    </row>
    <row r="4246" spans="1:3" ht="15.75" customHeight="1" x14ac:dyDescent="0.25">
      <c r="A4246" s="2"/>
      <c r="B4246" s="3"/>
      <c r="C4246" s="3"/>
    </row>
    <row r="4247" spans="1:3" ht="15.75" customHeight="1" x14ac:dyDescent="0.25">
      <c r="A4247" s="2"/>
      <c r="B4247" s="3"/>
      <c r="C4247" s="3"/>
    </row>
    <row r="4248" spans="1:3" ht="15.75" customHeight="1" x14ac:dyDescent="0.25">
      <c r="A4248" s="2"/>
      <c r="B4248" s="3"/>
      <c r="C4248" s="3"/>
    </row>
    <row r="4249" spans="1:3" ht="15.75" customHeight="1" x14ac:dyDescent="0.25">
      <c r="A4249" s="2"/>
      <c r="B4249" s="3"/>
      <c r="C4249" s="3"/>
    </row>
    <row r="4250" spans="1:3" ht="15.75" customHeight="1" x14ac:dyDescent="0.25">
      <c r="A4250" s="2"/>
      <c r="B4250" s="3"/>
      <c r="C4250" s="3"/>
    </row>
    <row r="4251" spans="1:3" ht="15.75" customHeight="1" x14ac:dyDescent="0.25">
      <c r="A4251" s="2"/>
      <c r="B4251" s="3"/>
      <c r="C4251" s="3"/>
    </row>
    <row r="4252" spans="1:3" ht="15.75" customHeight="1" x14ac:dyDescent="0.25">
      <c r="A4252" s="2"/>
      <c r="B4252" s="3"/>
      <c r="C4252" s="3"/>
    </row>
    <row r="4253" spans="1:3" ht="15.75" customHeight="1" x14ac:dyDescent="0.25">
      <c r="A4253" s="2"/>
      <c r="B4253" s="3"/>
      <c r="C4253" s="3"/>
    </row>
    <row r="4254" spans="1:3" ht="15.75" customHeight="1" x14ac:dyDescent="0.25">
      <c r="A4254" s="2"/>
      <c r="B4254" s="3"/>
      <c r="C4254" s="3"/>
    </row>
    <row r="4255" spans="1:3" ht="15.75" customHeight="1" x14ac:dyDescent="0.25">
      <c r="A4255" s="2"/>
      <c r="B4255" s="3"/>
      <c r="C4255" s="3"/>
    </row>
    <row r="4256" spans="1:3" ht="15.75" customHeight="1" x14ac:dyDescent="0.25">
      <c r="A4256" s="2"/>
      <c r="B4256" s="3"/>
      <c r="C4256" s="3"/>
    </row>
    <row r="4257" spans="1:3" ht="15.75" customHeight="1" x14ac:dyDescent="0.25">
      <c r="A4257" s="2"/>
      <c r="B4257" s="3"/>
      <c r="C4257" s="3"/>
    </row>
    <row r="4258" spans="1:3" ht="15.75" customHeight="1" x14ac:dyDescent="0.25">
      <c r="A4258" s="2"/>
      <c r="B4258" s="3"/>
      <c r="C4258" s="3"/>
    </row>
    <row r="4259" spans="1:3" ht="15.75" customHeight="1" x14ac:dyDescent="0.25">
      <c r="A4259" s="2"/>
      <c r="B4259" s="3"/>
      <c r="C4259" s="3"/>
    </row>
    <row r="4260" spans="1:3" ht="15.75" customHeight="1" x14ac:dyDescent="0.25">
      <c r="A4260" s="2"/>
      <c r="B4260" s="3"/>
      <c r="C4260" s="3"/>
    </row>
    <row r="4261" spans="1:3" ht="15.75" customHeight="1" x14ac:dyDescent="0.25">
      <c r="A4261" s="2"/>
      <c r="B4261" s="3"/>
      <c r="C4261" s="3"/>
    </row>
    <row r="4262" spans="1:3" ht="15.75" customHeight="1" x14ac:dyDescent="0.25">
      <c r="A4262" s="2"/>
      <c r="B4262" s="3"/>
      <c r="C4262" s="3"/>
    </row>
    <row r="4263" spans="1:3" ht="15.75" customHeight="1" x14ac:dyDescent="0.25">
      <c r="A4263" s="2"/>
      <c r="B4263" s="3"/>
      <c r="C4263" s="3"/>
    </row>
    <row r="4264" spans="1:3" ht="15.75" customHeight="1" x14ac:dyDescent="0.25">
      <c r="A4264" s="2"/>
      <c r="B4264" s="3"/>
      <c r="C4264" s="3"/>
    </row>
    <row r="4265" spans="1:3" ht="15.75" customHeight="1" x14ac:dyDescent="0.25">
      <c r="A4265" s="2"/>
      <c r="B4265" s="3"/>
      <c r="C4265" s="3"/>
    </row>
    <row r="4266" spans="1:3" ht="15.75" customHeight="1" x14ac:dyDescent="0.25">
      <c r="A4266" s="2"/>
      <c r="B4266" s="3"/>
      <c r="C4266" s="3"/>
    </row>
    <row r="4267" spans="1:3" ht="15.75" customHeight="1" x14ac:dyDescent="0.25">
      <c r="A4267" s="2"/>
      <c r="B4267" s="3"/>
      <c r="C4267" s="3"/>
    </row>
    <row r="4268" spans="1:3" ht="15.75" customHeight="1" x14ac:dyDescent="0.25">
      <c r="A4268" s="2"/>
      <c r="B4268" s="3"/>
      <c r="C4268" s="3"/>
    </row>
    <row r="4269" spans="1:3" ht="15.75" customHeight="1" x14ac:dyDescent="0.25">
      <c r="A4269" s="2"/>
      <c r="B4269" s="3"/>
      <c r="C4269" s="3"/>
    </row>
    <row r="4270" spans="1:3" ht="15.75" customHeight="1" x14ac:dyDescent="0.25">
      <c r="A4270" s="2"/>
      <c r="B4270" s="3"/>
      <c r="C4270" s="3"/>
    </row>
    <row r="4271" spans="1:3" ht="15.75" customHeight="1" x14ac:dyDescent="0.25">
      <c r="A4271" s="2"/>
      <c r="B4271" s="3"/>
      <c r="C4271" s="3"/>
    </row>
    <row r="4272" spans="1:3" ht="15.75" customHeight="1" x14ac:dyDescent="0.25">
      <c r="A4272" s="2"/>
      <c r="B4272" s="3"/>
      <c r="C4272" s="3"/>
    </row>
    <row r="4273" spans="1:3" ht="15.75" customHeight="1" x14ac:dyDescent="0.25">
      <c r="A4273" s="2"/>
      <c r="B4273" s="3"/>
      <c r="C4273" s="3"/>
    </row>
    <row r="4274" spans="1:3" ht="15.75" customHeight="1" x14ac:dyDescent="0.25">
      <c r="A4274" s="2"/>
      <c r="B4274" s="3"/>
      <c r="C4274" s="3"/>
    </row>
    <row r="4275" spans="1:3" ht="15.75" customHeight="1" x14ac:dyDescent="0.25">
      <c r="A4275" s="2"/>
      <c r="B4275" s="3"/>
      <c r="C4275" s="3"/>
    </row>
    <row r="4276" spans="1:3" ht="15.75" customHeight="1" x14ac:dyDescent="0.25">
      <c r="A4276" s="2"/>
      <c r="B4276" s="3"/>
      <c r="C4276" s="3"/>
    </row>
    <row r="4277" spans="1:3" ht="15.75" customHeight="1" x14ac:dyDescent="0.25">
      <c r="A4277" s="2"/>
      <c r="B4277" s="3"/>
      <c r="C4277" s="3"/>
    </row>
    <row r="4278" spans="1:3" ht="15.75" customHeight="1" x14ac:dyDescent="0.25">
      <c r="A4278" s="2"/>
      <c r="B4278" s="3"/>
      <c r="C4278" s="3"/>
    </row>
    <row r="4279" spans="1:3" ht="15.75" customHeight="1" x14ac:dyDescent="0.25">
      <c r="A4279" s="2"/>
      <c r="B4279" s="3"/>
      <c r="C4279" s="3"/>
    </row>
    <row r="4280" spans="1:3" ht="15.75" customHeight="1" x14ac:dyDescent="0.25">
      <c r="A4280" s="2"/>
      <c r="B4280" s="3"/>
      <c r="C4280" s="3"/>
    </row>
    <row r="4281" spans="1:3" ht="15.75" customHeight="1" x14ac:dyDescent="0.25">
      <c r="A4281" s="2"/>
      <c r="B4281" s="3"/>
      <c r="C4281" s="3"/>
    </row>
    <row r="4282" spans="1:3" ht="15.75" customHeight="1" x14ac:dyDescent="0.25">
      <c r="A4282" s="2"/>
      <c r="B4282" s="3"/>
      <c r="C4282" s="3"/>
    </row>
    <row r="4283" spans="1:3" ht="15.75" customHeight="1" x14ac:dyDescent="0.25">
      <c r="A4283" s="2"/>
      <c r="B4283" s="3"/>
      <c r="C4283" s="3"/>
    </row>
    <row r="4284" spans="1:3" ht="15.75" customHeight="1" x14ac:dyDescent="0.25">
      <c r="A4284" s="2"/>
      <c r="B4284" s="3"/>
      <c r="C4284" s="3"/>
    </row>
    <row r="4285" spans="1:3" ht="15.75" customHeight="1" x14ac:dyDescent="0.25">
      <c r="A4285" s="2"/>
      <c r="B4285" s="3"/>
      <c r="C4285" s="3"/>
    </row>
    <row r="4286" spans="1:3" ht="15.75" customHeight="1" x14ac:dyDescent="0.25">
      <c r="A4286" s="2"/>
      <c r="B4286" s="3"/>
      <c r="C4286" s="3"/>
    </row>
    <row r="4287" spans="1:3" ht="15.75" customHeight="1" x14ac:dyDescent="0.25">
      <c r="A4287" s="2"/>
      <c r="B4287" s="3"/>
      <c r="C4287" s="3"/>
    </row>
    <row r="4288" spans="1:3" ht="15.75" customHeight="1" x14ac:dyDescent="0.25">
      <c r="A4288" s="2"/>
      <c r="B4288" s="3"/>
      <c r="C4288" s="3"/>
    </row>
    <row r="4289" spans="1:3" ht="15.75" customHeight="1" x14ac:dyDescent="0.25">
      <c r="A4289" s="2"/>
      <c r="B4289" s="3"/>
      <c r="C4289" s="3"/>
    </row>
    <row r="4290" spans="1:3" ht="15.75" customHeight="1" x14ac:dyDescent="0.25">
      <c r="A4290" s="2"/>
      <c r="B4290" s="3"/>
      <c r="C4290" s="3"/>
    </row>
    <row r="4291" spans="1:3" ht="15.75" customHeight="1" x14ac:dyDescent="0.25">
      <c r="A4291" s="2"/>
      <c r="B4291" s="3"/>
      <c r="C4291" s="3"/>
    </row>
    <row r="4292" spans="1:3" ht="15.75" customHeight="1" x14ac:dyDescent="0.25">
      <c r="A4292" s="2"/>
      <c r="B4292" s="3"/>
      <c r="C4292" s="3"/>
    </row>
    <row r="4293" spans="1:3" ht="15.75" customHeight="1" x14ac:dyDescent="0.25">
      <c r="A4293" s="2"/>
      <c r="B4293" s="3"/>
      <c r="C4293" s="3"/>
    </row>
    <row r="4294" spans="1:3" ht="15.75" customHeight="1" x14ac:dyDescent="0.25">
      <c r="A4294" s="2"/>
      <c r="B4294" s="3"/>
      <c r="C4294" s="3"/>
    </row>
    <row r="4295" spans="1:3" ht="15.75" customHeight="1" x14ac:dyDescent="0.25">
      <c r="A4295" s="2"/>
      <c r="B4295" s="3"/>
      <c r="C4295" s="3"/>
    </row>
    <row r="4296" spans="1:3" ht="15.75" customHeight="1" x14ac:dyDescent="0.25">
      <c r="A4296" s="2"/>
      <c r="B4296" s="3"/>
      <c r="C4296" s="3"/>
    </row>
    <row r="4297" spans="1:3" ht="15.75" customHeight="1" x14ac:dyDescent="0.25">
      <c r="A4297" s="2"/>
      <c r="B4297" s="3"/>
      <c r="C4297" s="3"/>
    </row>
    <row r="4298" spans="1:3" ht="15.75" customHeight="1" x14ac:dyDescent="0.25">
      <c r="A4298" s="2"/>
      <c r="B4298" s="3"/>
      <c r="C4298" s="3"/>
    </row>
    <row r="4299" spans="1:3" ht="15.75" customHeight="1" x14ac:dyDescent="0.25">
      <c r="A4299" s="2"/>
      <c r="B4299" s="3"/>
      <c r="C4299" s="3"/>
    </row>
    <row r="4300" spans="1:3" ht="15.75" customHeight="1" x14ac:dyDescent="0.25">
      <c r="A4300" s="2"/>
      <c r="B4300" s="3"/>
      <c r="C4300" s="3"/>
    </row>
    <row r="4301" spans="1:3" ht="15.75" customHeight="1" x14ac:dyDescent="0.25">
      <c r="A4301" s="2"/>
      <c r="B4301" s="3"/>
      <c r="C4301" s="3"/>
    </row>
    <row r="4302" spans="1:3" ht="15.75" customHeight="1" x14ac:dyDescent="0.25">
      <c r="A4302" s="2"/>
      <c r="B4302" s="3"/>
      <c r="C4302" s="3"/>
    </row>
    <row r="4303" spans="1:3" ht="15.75" customHeight="1" x14ac:dyDescent="0.25">
      <c r="A4303" s="2"/>
      <c r="B4303" s="3"/>
      <c r="C4303" s="3"/>
    </row>
    <row r="4304" spans="1:3" ht="15.75" customHeight="1" x14ac:dyDescent="0.25">
      <c r="A4304" s="2"/>
      <c r="B4304" s="3"/>
      <c r="C4304" s="3"/>
    </row>
    <row r="4305" spans="1:3" ht="15.75" customHeight="1" x14ac:dyDescent="0.25">
      <c r="A4305" s="2"/>
      <c r="B4305" s="3"/>
      <c r="C4305" s="3"/>
    </row>
    <row r="4306" spans="1:3" ht="15.75" customHeight="1" x14ac:dyDescent="0.25">
      <c r="A4306" s="2"/>
      <c r="B4306" s="3"/>
      <c r="C4306" s="3"/>
    </row>
    <row r="4307" spans="1:3" ht="15.75" customHeight="1" x14ac:dyDescent="0.25">
      <c r="A4307" s="2"/>
      <c r="B4307" s="3"/>
      <c r="C4307" s="3"/>
    </row>
    <row r="4308" spans="1:3" ht="15.75" customHeight="1" x14ac:dyDescent="0.25">
      <c r="A4308" s="2"/>
      <c r="B4308" s="3"/>
      <c r="C4308" s="3"/>
    </row>
    <row r="4309" spans="1:3" ht="15.75" customHeight="1" x14ac:dyDescent="0.25">
      <c r="A4309" s="2"/>
      <c r="B4309" s="3"/>
      <c r="C4309" s="3"/>
    </row>
    <row r="4310" spans="1:3" ht="15.75" customHeight="1" x14ac:dyDescent="0.25">
      <c r="A4310" s="2"/>
      <c r="B4310" s="3"/>
      <c r="C4310" s="3"/>
    </row>
    <row r="4311" spans="1:3" ht="15.75" customHeight="1" x14ac:dyDescent="0.25">
      <c r="A4311" s="2"/>
      <c r="B4311" s="3"/>
      <c r="C4311" s="3"/>
    </row>
    <row r="4312" spans="1:3" ht="15.75" customHeight="1" x14ac:dyDescent="0.25">
      <c r="A4312" s="2"/>
      <c r="B4312" s="3"/>
      <c r="C4312" s="3"/>
    </row>
    <row r="4313" spans="1:3" ht="15.75" customHeight="1" x14ac:dyDescent="0.25">
      <c r="A4313" s="2"/>
      <c r="B4313" s="3"/>
      <c r="C4313" s="3"/>
    </row>
    <row r="4314" spans="1:3" ht="15.75" customHeight="1" x14ac:dyDescent="0.25">
      <c r="A4314" s="2"/>
      <c r="B4314" s="3"/>
      <c r="C4314" s="3"/>
    </row>
    <row r="4315" spans="1:3" ht="15.75" customHeight="1" x14ac:dyDescent="0.25">
      <c r="A4315" s="2"/>
      <c r="B4315" s="3"/>
      <c r="C4315" s="3"/>
    </row>
    <row r="4316" spans="1:3" ht="15.75" customHeight="1" x14ac:dyDescent="0.25">
      <c r="A4316" s="2"/>
      <c r="B4316" s="3"/>
      <c r="C4316" s="3"/>
    </row>
    <row r="4317" spans="1:3" ht="15.75" customHeight="1" x14ac:dyDescent="0.25">
      <c r="A4317" s="2"/>
      <c r="B4317" s="3"/>
      <c r="C4317" s="3"/>
    </row>
    <row r="4318" spans="1:3" ht="15.75" customHeight="1" x14ac:dyDescent="0.25">
      <c r="A4318" s="2"/>
      <c r="B4318" s="3"/>
      <c r="C4318" s="3"/>
    </row>
    <row r="4319" spans="1:3" ht="15.75" customHeight="1" x14ac:dyDescent="0.25">
      <c r="A4319" s="2"/>
      <c r="B4319" s="3"/>
      <c r="C4319" s="3"/>
    </row>
    <row r="4320" spans="1:3" ht="15.75" customHeight="1" x14ac:dyDescent="0.25">
      <c r="A4320" s="2"/>
      <c r="B4320" s="3"/>
      <c r="C4320" s="3"/>
    </row>
    <row r="4321" spans="1:3" ht="15.75" customHeight="1" x14ac:dyDescent="0.25">
      <c r="A4321" s="2"/>
      <c r="B4321" s="3"/>
      <c r="C4321" s="3"/>
    </row>
    <row r="4322" spans="1:3" ht="15.75" customHeight="1" x14ac:dyDescent="0.25">
      <c r="A4322" s="2"/>
      <c r="B4322" s="3"/>
      <c r="C4322" s="3"/>
    </row>
    <row r="4323" spans="1:3" ht="15.75" customHeight="1" x14ac:dyDescent="0.25">
      <c r="A4323" s="2"/>
      <c r="B4323" s="3"/>
      <c r="C4323" s="3"/>
    </row>
    <row r="4324" spans="1:3" ht="15.75" customHeight="1" x14ac:dyDescent="0.25">
      <c r="A4324" s="2"/>
      <c r="B4324" s="3"/>
      <c r="C4324" s="3"/>
    </row>
    <row r="4325" spans="1:3" ht="15.75" customHeight="1" x14ac:dyDescent="0.25">
      <c r="A4325" s="2"/>
      <c r="B4325" s="3"/>
      <c r="C4325" s="3"/>
    </row>
    <row r="4326" spans="1:3" ht="15.75" customHeight="1" x14ac:dyDescent="0.25">
      <c r="A4326" s="2"/>
      <c r="B4326" s="3"/>
      <c r="C4326" s="3"/>
    </row>
    <row r="4327" spans="1:3" ht="15.75" customHeight="1" x14ac:dyDescent="0.25">
      <c r="A4327" s="2"/>
      <c r="B4327" s="3"/>
      <c r="C4327" s="3"/>
    </row>
    <row r="4328" spans="1:3" ht="15.75" customHeight="1" x14ac:dyDescent="0.25">
      <c r="A4328" s="2"/>
      <c r="B4328" s="3"/>
      <c r="C4328" s="3"/>
    </row>
    <row r="4329" spans="1:3" ht="15.75" customHeight="1" x14ac:dyDescent="0.25">
      <c r="A4329" s="2"/>
      <c r="B4329" s="3"/>
      <c r="C4329" s="3"/>
    </row>
    <row r="4330" spans="1:3" ht="15.75" customHeight="1" x14ac:dyDescent="0.25">
      <c r="A4330" s="2"/>
      <c r="B4330" s="3"/>
      <c r="C4330" s="3"/>
    </row>
    <row r="4331" spans="1:3" ht="15.75" customHeight="1" x14ac:dyDescent="0.25">
      <c r="A4331" s="2"/>
      <c r="B4331" s="3"/>
      <c r="C4331" s="3"/>
    </row>
    <row r="4332" spans="1:3" ht="15.75" customHeight="1" x14ac:dyDescent="0.25">
      <c r="A4332" s="2"/>
      <c r="B4332" s="3"/>
      <c r="C4332" s="3"/>
    </row>
    <row r="4333" spans="1:3" ht="15.75" customHeight="1" x14ac:dyDescent="0.25">
      <c r="A4333" s="2"/>
      <c r="B4333" s="3"/>
      <c r="C4333" s="3"/>
    </row>
    <row r="4334" spans="1:3" ht="15.75" customHeight="1" x14ac:dyDescent="0.25">
      <c r="A4334" s="2"/>
      <c r="B4334" s="3"/>
      <c r="C4334" s="3"/>
    </row>
    <row r="4335" spans="1:3" ht="15.75" customHeight="1" x14ac:dyDescent="0.25">
      <c r="A4335" s="2"/>
      <c r="B4335" s="3"/>
      <c r="C4335" s="3"/>
    </row>
    <row r="4336" spans="1:3" ht="15.75" customHeight="1" x14ac:dyDescent="0.25">
      <c r="A4336" s="2"/>
      <c r="B4336" s="3"/>
      <c r="C4336" s="3"/>
    </row>
    <row r="4337" spans="1:3" ht="15.75" customHeight="1" x14ac:dyDescent="0.25">
      <c r="A4337" s="2"/>
      <c r="B4337" s="3"/>
      <c r="C4337" s="3"/>
    </row>
    <row r="4338" spans="1:3" ht="15.75" customHeight="1" x14ac:dyDescent="0.25">
      <c r="A4338" s="2"/>
      <c r="B4338" s="3"/>
      <c r="C4338" s="3"/>
    </row>
    <row r="4339" spans="1:3" ht="15.75" customHeight="1" x14ac:dyDescent="0.25">
      <c r="A4339" s="2"/>
      <c r="B4339" s="3"/>
      <c r="C4339" s="3"/>
    </row>
    <row r="4340" spans="1:3" ht="15.75" customHeight="1" x14ac:dyDescent="0.25">
      <c r="A4340" s="2"/>
      <c r="B4340" s="3"/>
      <c r="C4340" s="3"/>
    </row>
    <row r="4341" spans="1:3" ht="15.75" customHeight="1" x14ac:dyDescent="0.25">
      <c r="A4341" s="2"/>
      <c r="B4341" s="3"/>
      <c r="C4341" s="3"/>
    </row>
    <row r="4342" spans="1:3" ht="15.75" customHeight="1" x14ac:dyDescent="0.25">
      <c r="A4342" s="2"/>
      <c r="B4342" s="3"/>
      <c r="C4342" s="3"/>
    </row>
    <row r="4343" spans="1:3" ht="15.75" customHeight="1" x14ac:dyDescent="0.25">
      <c r="A4343" s="2"/>
      <c r="B4343" s="3"/>
      <c r="C4343" s="3"/>
    </row>
    <row r="4344" spans="1:3" ht="15.75" customHeight="1" x14ac:dyDescent="0.25">
      <c r="A4344" s="2"/>
      <c r="B4344" s="3"/>
      <c r="C4344" s="3"/>
    </row>
    <row r="4345" spans="1:3" ht="15.75" customHeight="1" x14ac:dyDescent="0.25">
      <c r="A4345" s="2"/>
      <c r="B4345" s="3"/>
      <c r="C4345" s="3"/>
    </row>
    <row r="4346" spans="1:3" ht="15.75" customHeight="1" x14ac:dyDescent="0.25">
      <c r="A4346" s="2"/>
      <c r="B4346" s="3"/>
      <c r="C4346" s="3"/>
    </row>
    <row r="4347" spans="1:3" ht="15.75" customHeight="1" x14ac:dyDescent="0.25">
      <c r="A4347" s="2"/>
      <c r="B4347" s="3"/>
      <c r="C4347" s="3"/>
    </row>
    <row r="4348" spans="1:3" ht="15.75" customHeight="1" x14ac:dyDescent="0.25">
      <c r="A4348" s="2"/>
      <c r="B4348" s="3"/>
      <c r="C4348" s="3"/>
    </row>
    <row r="4349" spans="1:3" ht="15.75" customHeight="1" x14ac:dyDescent="0.25">
      <c r="A4349" s="2"/>
      <c r="B4349" s="3"/>
      <c r="C4349" s="3"/>
    </row>
    <row r="4350" spans="1:3" ht="15.75" customHeight="1" x14ac:dyDescent="0.25">
      <c r="A4350" s="2"/>
      <c r="B4350" s="3"/>
      <c r="C4350" s="3"/>
    </row>
    <row r="4351" spans="1:3" ht="15.75" customHeight="1" x14ac:dyDescent="0.25">
      <c r="A4351" s="2"/>
      <c r="B4351" s="3"/>
      <c r="C4351" s="3"/>
    </row>
    <row r="4352" spans="1:3" ht="15.75" customHeight="1" x14ac:dyDescent="0.25">
      <c r="A4352" s="2"/>
      <c r="B4352" s="3"/>
      <c r="C4352" s="3"/>
    </row>
    <row r="4353" spans="1:3" ht="15.75" customHeight="1" x14ac:dyDescent="0.25">
      <c r="A4353" s="2"/>
      <c r="B4353" s="3"/>
      <c r="C4353" s="3"/>
    </row>
    <row r="4354" spans="1:3" ht="15.75" customHeight="1" x14ac:dyDescent="0.25">
      <c r="A4354" s="2"/>
      <c r="B4354" s="3"/>
      <c r="C4354" s="3"/>
    </row>
    <row r="4355" spans="1:3" ht="15.75" customHeight="1" x14ac:dyDescent="0.25">
      <c r="A4355" s="2"/>
      <c r="B4355" s="3"/>
      <c r="C4355" s="3"/>
    </row>
    <row r="4356" spans="1:3" ht="15.75" customHeight="1" x14ac:dyDescent="0.25">
      <c r="A4356" s="2"/>
      <c r="B4356" s="3"/>
      <c r="C4356" s="3"/>
    </row>
    <row r="4357" spans="1:3" ht="15.75" customHeight="1" x14ac:dyDescent="0.25">
      <c r="A4357" s="2"/>
      <c r="B4357" s="3"/>
      <c r="C4357" s="3"/>
    </row>
    <row r="4358" spans="1:3" ht="15.75" customHeight="1" x14ac:dyDescent="0.25">
      <c r="A4358" s="2"/>
      <c r="B4358" s="3"/>
      <c r="C4358" s="3"/>
    </row>
    <row r="4359" spans="1:3" ht="15.75" customHeight="1" x14ac:dyDescent="0.25">
      <c r="A4359" s="2"/>
      <c r="B4359" s="3"/>
      <c r="C4359" s="3"/>
    </row>
    <row r="4360" spans="1:3" ht="15.75" customHeight="1" x14ac:dyDescent="0.25">
      <c r="A4360" s="2"/>
      <c r="B4360" s="3"/>
      <c r="C4360" s="3"/>
    </row>
    <row r="4361" spans="1:3" ht="15.75" customHeight="1" x14ac:dyDescent="0.25">
      <c r="A4361" s="2"/>
      <c r="B4361" s="3"/>
      <c r="C4361" s="3"/>
    </row>
    <row r="4362" spans="1:3" ht="15.75" customHeight="1" x14ac:dyDescent="0.25">
      <c r="A4362" s="2"/>
      <c r="B4362" s="3"/>
      <c r="C4362" s="3"/>
    </row>
    <row r="4363" spans="1:3" ht="15.75" customHeight="1" x14ac:dyDescent="0.25">
      <c r="A4363" s="2"/>
      <c r="B4363" s="3"/>
      <c r="C4363" s="3"/>
    </row>
    <row r="4364" spans="1:3" ht="15.75" customHeight="1" x14ac:dyDescent="0.25">
      <c r="A4364" s="2"/>
      <c r="B4364" s="3"/>
      <c r="C4364" s="3"/>
    </row>
    <row r="4365" spans="1:3" ht="15.75" customHeight="1" x14ac:dyDescent="0.25">
      <c r="A4365" s="2"/>
      <c r="B4365" s="3"/>
      <c r="C4365" s="3"/>
    </row>
    <row r="4366" spans="1:3" ht="15.75" customHeight="1" x14ac:dyDescent="0.25">
      <c r="A4366" s="2"/>
      <c r="B4366" s="3"/>
      <c r="C4366" s="3"/>
    </row>
    <row r="4367" spans="1:3" ht="15.75" customHeight="1" x14ac:dyDescent="0.25">
      <c r="A4367" s="2"/>
      <c r="B4367" s="3"/>
      <c r="C4367" s="3"/>
    </row>
    <row r="4368" spans="1:3" ht="15.75" customHeight="1" x14ac:dyDescent="0.25">
      <c r="A4368" s="2"/>
      <c r="B4368" s="3"/>
      <c r="C4368" s="3"/>
    </row>
    <row r="4369" spans="1:3" ht="15.75" customHeight="1" x14ac:dyDescent="0.25">
      <c r="A4369" s="2"/>
      <c r="B4369" s="3"/>
      <c r="C4369" s="3"/>
    </row>
    <row r="4370" spans="1:3" ht="15.75" customHeight="1" x14ac:dyDescent="0.25">
      <c r="A4370" s="2"/>
      <c r="B4370" s="3"/>
      <c r="C4370" s="3"/>
    </row>
    <row r="4371" spans="1:3" ht="15.75" customHeight="1" x14ac:dyDescent="0.25">
      <c r="A4371" s="2"/>
      <c r="B4371" s="3"/>
      <c r="C4371" s="3"/>
    </row>
    <row r="4372" spans="1:3" ht="15.75" customHeight="1" x14ac:dyDescent="0.25">
      <c r="A4372" s="2"/>
      <c r="B4372" s="3"/>
      <c r="C4372" s="3"/>
    </row>
    <row r="4373" spans="1:3" ht="15.75" customHeight="1" x14ac:dyDescent="0.25">
      <c r="A4373" s="2"/>
      <c r="B4373" s="3"/>
      <c r="C4373" s="3"/>
    </row>
    <row r="4374" spans="1:3" ht="15.75" customHeight="1" x14ac:dyDescent="0.25">
      <c r="A4374" s="2"/>
      <c r="B4374" s="3"/>
      <c r="C4374" s="3"/>
    </row>
    <row r="4375" spans="1:3" ht="15.75" customHeight="1" x14ac:dyDescent="0.25">
      <c r="A4375" s="2"/>
      <c r="B4375" s="3"/>
      <c r="C4375" s="3"/>
    </row>
    <row r="4376" spans="1:3" ht="15.75" customHeight="1" x14ac:dyDescent="0.25">
      <c r="A4376" s="2"/>
      <c r="B4376" s="3"/>
      <c r="C4376" s="3"/>
    </row>
    <row r="4377" spans="1:3" ht="15.75" customHeight="1" x14ac:dyDescent="0.25">
      <c r="A4377" s="2"/>
      <c r="B4377" s="3"/>
      <c r="C4377" s="3"/>
    </row>
    <row r="4378" spans="1:3" ht="15.75" customHeight="1" x14ac:dyDescent="0.25">
      <c r="A4378" s="2"/>
      <c r="B4378" s="3"/>
      <c r="C4378" s="3"/>
    </row>
    <row r="4379" spans="1:3" ht="15.75" customHeight="1" x14ac:dyDescent="0.25">
      <c r="A4379" s="2"/>
      <c r="B4379" s="3"/>
      <c r="C4379" s="3"/>
    </row>
    <row r="4380" spans="1:3" ht="15.75" customHeight="1" x14ac:dyDescent="0.25">
      <c r="A4380" s="2"/>
      <c r="B4380" s="3"/>
      <c r="C4380" s="3"/>
    </row>
    <row r="4381" spans="1:3" ht="15.75" customHeight="1" x14ac:dyDescent="0.25">
      <c r="A4381" s="2"/>
      <c r="B4381" s="3"/>
      <c r="C4381" s="3"/>
    </row>
    <row r="4382" spans="1:3" ht="15.75" customHeight="1" x14ac:dyDescent="0.25">
      <c r="A4382" s="2"/>
      <c r="B4382" s="3"/>
      <c r="C4382" s="3"/>
    </row>
    <row r="4383" spans="1:3" ht="15.75" customHeight="1" x14ac:dyDescent="0.25">
      <c r="A4383" s="2"/>
      <c r="B4383" s="3"/>
      <c r="C4383" s="3"/>
    </row>
    <row r="4384" spans="1:3" ht="15.75" customHeight="1" x14ac:dyDescent="0.25">
      <c r="A4384" s="2"/>
      <c r="B4384" s="3"/>
      <c r="C4384" s="3"/>
    </row>
    <row r="4385" spans="1:3" ht="15.75" customHeight="1" x14ac:dyDescent="0.25">
      <c r="A4385" s="2"/>
      <c r="B4385" s="3"/>
      <c r="C4385" s="3"/>
    </row>
    <row r="4386" spans="1:3" ht="15.75" customHeight="1" x14ac:dyDescent="0.25">
      <c r="A4386" s="2"/>
      <c r="B4386" s="3"/>
      <c r="C4386" s="3"/>
    </row>
    <row r="4387" spans="1:3" ht="15.75" customHeight="1" x14ac:dyDescent="0.25">
      <c r="A4387" s="2"/>
      <c r="B4387" s="3"/>
      <c r="C4387" s="3"/>
    </row>
    <row r="4388" spans="1:3" ht="15.75" customHeight="1" x14ac:dyDescent="0.25">
      <c r="A4388" s="2"/>
      <c r="B4388" s="3"/>
      <c r="C4388" s="3"/>
    </row>
    <row r="4389" spans="1:3" ht="15.75" customHeight="1" x14ac:dyDescent="0.25">
      <c r="A4389" s="2"/>
      <c r="B4389" s="3"/>
      <c r="C4389" s="3"/>
    </row>
    <row r="4390" spans="1:3" ht="15.75" customHeight="1" x14ac:dyDescent="0.25">
      <c r="A4390" s="2"/>
      <c r="B4390" s="3"/>
      <c r="C4390" s="3"/>
    </row>
    <row r="4391" spans="1:3" ht="15.75" customHeight="1" x14ac:dyDescent="0.25">
      <c r="A4391" s="2"/>
      <c r="B4391" s="3"/>
      <c r="C4391" s="3"/>
    </row>
    <row r="4392" spans="1:3" ht="15.75" customHeight="1" x14ac:dyDescent="0.25">
      <c r="A4392" s="2"/>
      <c r="B4392" s="3"/>
      <c r="C4392" s="3"/>
    </row>
    <row r="4393" spans="1:3" ht="15.75" customHeight="1" x14ac:dyDescent="0.25">
      <c r="A4393" s="2"/>
      <c r="B4393" s="3"/>
      <c r="C4393" s="3"/>
    </row>
    <row r="4394" spans="1:3" ht="15.75" customHeight="1" x14ac:dyDescent="0.25">
      <c r="A4394" s="2"/>
      <c r="B4394" s="3"/>
      <c r="C4394" s="3"/>
    </row>
    <row r="4395" spans="1:3" ht="15.75" customHeight="1" x14ac:dyDescent="0.25">
      <c r="A4395" s="2"/>
      <c r="B4395" s="3"/>
      <c r="C4395" s="3"/>
    </row>
    <row r="4396" spans="1:3" ht="15.75" customHeight="1" x14ac:dyDescent="0.25">
      <c r="A4396" s="2"/>
      <c r="B4396" s="3"/>
      <c r="C4396" s="3"/>
    </row>
    <row r="4397" spans="1:3" ht="15.75" customHeight="1" x14ac:dyDescent="0.25">
      <c r="A4397" s="2"/>
      <c r="B4397" s="3"/>
      <c r="C4397" s="3"/>
    </row>
    <row r="4398" spans="1:3" ht="15.75" customHeight="1" x14ac:dyDescent="0.25">
      <c r="A4398" s="2"/>
      <c r="B4398" s="3"/>
      <c r="C4398" s="3"/>
    </row>
    <row r="4399" spans="1:3" ht="15.75" customHeight="1" x14ac:dyDescent="0.25">
      <c r="A4399" s="2"/>
      <c r="B4399" s="3"/>
      <c r="C4399" s="3"/>
    </row>
    <row r="4400" spans="1:3" ht="15.75" customHeight="1" x14ac:dyDescent="0.25">
      <c r="A4400" s="2"/>
      <c r="B4400" s="3"/>
      <c r="C4400" s="3"/>
    </row>
    <row r="4401" spans="1:3" ht="15.75" customHeight="1" x14ac:dyDescent="0.25">
      <c r="A4401" s="2"/>
      <c r="B4401" s="3"/>
      <c r="C4401" s="3"/>
    </row>
    <row r="4402" spans="1:3" ht="15.75" customHeight="1" x14ac:dyDescent="0.25">
      <c r="A4402" s="2"/>
      <c r="B4402" s="3"/>
      <c r="C4402" s="3"/>
    </row>
    <row r="4403" spans="1:3" ht="15.75" customHeight="1" x14ac:dyDescent="0.25">
      <c r="A4403" s="2"/>
      <c r="B4403" s="3"/>
      <c r="C4403" s="3"/>
    </row>
    <row r="4404" spans="1:3" ht="15.75" customHeight="1" x14ac:dyDescent="0.25">
      <c r="A4404" s="2"/>
      <c r="B4404" s="3"/>
      <c r="C4404" s="3"/>
    </row>
    <row r="4405" spans="1:3" ht="15.75" customHeight="1" x14ac:dyDescent="0.25">
      <c r="A4405" s="2"/>
      <c r="B4405" s="3"/>
      <c r="C4405" s="3"/>
    </row>
    <row r="4406" spans="1:3" ht="15.75" customHeight="1" x14ac:dyDescent="0.25">
      <c r="A4406" s="2"/>
      <c r="B4406" s="3"/>
      <c r="C4406" s="3"/>
    </row>
    <row r="4407" spans="1:3" ht="15.75" customHeight="1" x14ac:dyDescent="0.25">
      <c r="A4407" s="2"/>
      <c r="B4407" s="3"/>
      <c r="C4407" s="3"/>
    </row>
    <row r="4408" spans="1:3" ht="15.75" customHeight="1" x14ac:dyDescent="0.25">
      <c r="A4408" s="2"/>
      <c r="B4408" s="3"/>
      <c r="C4408" s="3"/>
    </row>
    <row r="4409" spans="1:3" ht="15.75" customHeight="1" x14ac:dyDescent="0.25">
      <c r="A4409" s="2"/>
      <c r="B4409" s="3"/>
      <c r="C4409" s="3"/>
    </row>
    <row r="4410" spans="1:3" ht="15.75" customHeight="1" x14ac:dyDescent="0.25">
      <c r="A4410" s="2"/>
      <c r="B4410" s="3"/>
      <c r="C4410" s="3"/>
    </row>
    <row r="4411" spans="1:3" ht="15.75" customHeight="1" x14ac:dyDescent="0.25">
      <c r="A4411" s="2"/>
      <c r="B4411" s="3"/>
      <c r="C4411" s="3"/>
    </row>
    <row r="4412" spans="1:3" ht="15.75" customHeight="1" x14ac:dyDescent="0.25">
      <c r="A4412" s="2"/>
      <c r="B4412" s="3"/>
      <c r="C4412" s="3"/>
    </row>
    <row r="4413" spans="1:3" ht="15.75" customHeight="1" x14ac:dyDescent="0.25">
      <c r="A4413" s="2"/>
      <c r="B4413" s="3"/>
      <c r="C4413" s="3"/>
    </row>
    <row r="4414" spans="1:3" ht="15.75" customHeight="1" x14ac:dyDescent="0.25">
      <c r="A4414" s="2"/>
      <c r="B4414" s="3"/>
      <c r="C4414" s="3"/>
    </row>
    <row r="4415" spans="1:3" ht="15.75" customHeight="1" x14ac:dyDescent="0.25">
      <c r="A4415" s="2"/>
      <c r="B4415" s="3"/>
      <c r="C4415" s="3"/>
    </row>
    <row r="4416" spans="1:3" ht="15.75" customHeight="1" x14ac:dyDescent="0.25">
      <c r="A4416" s="2"/>
      <c r="B4416" s="3"/>
      <c r="C4416" s="3"/>
    </row>
    <row r="4417" spans="1:3" ht="15.75" customHeight="1" x14ac:dyDescent="0.25">
      <c r="A4417" s="2"/>
      <c r="B4417" s="3"/>
      <c r="C4417" s="3"/>
    </row>
    <row r="4418" spans="1:3" ht="15.75" customHeight="1" x14ac:dyDescent="0.25">
      <c r="A4418" s="2"/>
      <c r="B4418" s="3"/>
      <c r="C4418" s="3"/>
    </row>
    <row r="4419" spans="1:3" ht="15.75" customHeight="1" x14ac:dyDescent="0.25">
      <c r="A4419" s="2"/>
      <c r="B4419" s="3"/>
      <c r="C4419" s="3"/>
    </row>
    <row r="4420" spans="1:3" ht="15.75" customHeight="1" x14ac:dyDescent="0.25">
      <c r="A4420" s="2"/>
      <c r="B4420" s="3"/>
      <c r="C4420" s="3"/>
    </row>
    <row r="4421" spans="1:3" ht="15.75" customHeight="1" x14ac:dyDescent="0.25">
      <c r="A4421" s="2"/>
      <c r="B4421" s="3"/>
      <c r="C4421" s="3"/>
    </row>
    <row r="4422" spans="1:3" ht="15.75" customHeight="1" x14ac:dyDescent="0.25">
      <c r="A4422" s="2"/>
      <c r="B4422" s="3"/>
      <c r="C4422" s="3"/>
    </row>
    <row r="4423" spans="1:3" ht="15.75" customHeight="1" x14ac:dyDescent="0.25">
      <c r="A4423" s="2"/>
      <c r="B4423" s="3"/>
      <c r="C4423" s="3"/>
    </row>
    <row r="4424" spans="1:3" ht="15.75" customHeight="1" x14ac:dyDescent="0.25">
      <c r="A4424" s="2"/>
      <c r="B4424" s="3"/>
      <c r="C4424" s="3"/>
    </row>
    <row r="4425" spans="1:3" ht="15.75" customHeight="1" x14ac:dyDescent="0.25">
      <c r="A4425" s="2"/>
      <c r="B4425" s="3"/>
      <c r="C4425" s="3"/>
    </row>
    <row r="4426" spans="1:3" ht="15.75" customHeight="1" x14ac:dyDescent="0.25">
      <c r="A4426" s="2"/>
      <c r="B4426" s="3"/>
      <c r="C4426" s="3"/>
    </row>
    <row r="4427" spans="1:3" ht="15.75" customHeight="1" x14ac:dyDescent="0.25">
      <c r="A4427" s="2"/>
      <c r="B4427" s="3"/>
      <c r="C4427" s="3"/>
    </row>
    <row r="4428" spans="1:3" ht="15.75" customHeight="1" x14ac:dyDescent="0.25">
      <c r="A4428" s="2"/>
      <c r="B4428" s="3"/>
      <c r="C4428" s="3"/>
    </row>
    <row r="4429" spans="1:3" ht="15.75" customHeight="1" x14ac:dyDescent="0.25">
      <c r="A4429" s="2"/>
      <c r="B4429" s="3"/>
      <c r="C4429" s="3"/>
    </row>
    <row r="4430" spans="1:3" ht="15.75" customHeight="1" x14ac:dyDescent="0.25">
      <c r="A4430" s="2"/>
      <c r="B4430" s="3"/>
      <c r="C4430" s="3"/>
    </row>
    <row r="4431" spans="1:3" ht="15.75" customHeight="1" x14ac:dyDescent="0.25">
      <c r="A4431" s="2"/>
      <c r="B4431" s="3"/>
      <c r="C4431" s="3"/>
    </row>
    <row r="4432" spans="1:3" ht="15.75" customHeight="1" x14ac:dyDescent="0.25">
      <c r="A4432" s="2"/>
      <c r="B4432" s="3"/>
      <c r="C4432" s="3"/>
    </row>
    <row r="4433" spans="1:3" ht="15.75" customHeight="1" x14ac:dyDescent="0.25">
      <c r="A4433" s="2"/>
      <c r="B4433" s="3"/>
      <c r="C4433" s="3"/>
    </row>
    <row r="4434" spans="1:3" ht="15.75" customHeight="1" x14ac:dyDescent="0.25">
      <c r="A4434" s="2"/>
      <c r="B4434" s="3"/>
      <c r="C4434" s="3"/>
    </row>
    <row r="4435" spans="1:3" ht="15.75" customHeight="1" x14ac:dyDescent="0.25">
      <c r="A4435" s="2"/>
      <c r="B4435" s="3"/>
      <c r="C4435" s="3"/>
    </row>
    <row r="4436" spans="1:3" ht="15.75" customHeight="1" x14ac:dyDescent="0.25">
      <c r="A4436" s="2"/>
      <c r="B4436" s="3"/>
      <c r="C4436" s="3"/>
    </row>
    <row r="4437" spans="1:3" ht="15.75" customHeight="1" x14ac:dyDescent="0.25">
      <c r="A4437" s="2"/>
      <c r="B4437" s="3"/>
      <c r="C4437" s="3"/>
    </row>
    <row r="4438" spans="1:3" ht="15.75" customHeight="1" x14ac:dyDescent="0.25">
      <c r="A4438" s="2"/>
      <c r="B4438" s="3"/>
      <c r="C4438" s="3"/>
    </row>
    <row r="4439" spans="1:3" ht="15.75" customHeight="1" x14ac:dyDescent="0.25">
      <c r="A4439" s="2"/>
      <c r="B4439" s="3"/>
      <c r="C4439" s="3"/>
    </row>
    <row r="4440" spans="1:3" ht="15.75" customHeight="1" x14ac:dyDescent="0.25">
      <c r="A4440" s="2"/>
      <c r="B4440" s="3"/>
      <c r="C4440" s="3"/>
    </row>
    <row r="4441" spans="1:3" ht="15.75" customHeight="1" x14ac:dyDescent="0.25">
      <c r="A4441" s="2"/>
      <c r="B4441" s="3"/>
      <c r="C4441" s="3"/>
    </row>
    <row r="4442" spans="1:3" ht="15.75" customHeight="1" x14ac:dyDescent="0.25">
      <c r="A4442" s="2"/>
      <c r="B4442" s="3"/>
      <c r="C4442" s="3"/>
    </row>
    <row r="4443" spans="1:3" ht="15.75" customHeight="1" x14ac:dyDescent="0.25">
      <c r="A4443" s="2"/>
      <c r="B4443" s="3"/>
      <c r="C4443" s="3"/>
    </row>
    <row r="4444" spans="1:3" ht="15.75" customHeight="1" x14ac:dyDescent="0.25">
      <c r="A4444" s="2"/>
      <c r="B4444" s="3"/>
      <c r="C4444" s="3"/>
    </row>
    <row r="4445" spans="1:3" ht="15.75" customHeight="1" x14ac:dyDescent="0.25">
      <c r="A4445" s="2"/>
      <c r="B4445" s="3"/>
      <c r="C4445" s="3"/>
    </row>
    <row r="4446" spans="1:3" ht="15.75" customHeight="1" x14ac:dyDescent="0.25">
      <c r="A4446" s="2"/>
      <c r="B4446" s="3"/>
      <c r="C4446" s="3"/>
    </row>
    <row r="4447" spans="1:3" ht="15.75" customHeight="1" x14ac:dyDescent="0.25">
      <c r="A4447" s="2"/>
      <c r="B4447" s="3"/>
      <c r="C4447" s="3"/>
    </row>
    <row r="4448" spans="1:3" ht="15.75" customHeight="1" x14ac:dyDescent="0.25">
      <c r="A4448" s="2"/>
      <c r="B4448" s="3"/>
      <c r="C4448" s="3"/>
    </row>
    <row r="4449" spans="1:3" ht="15.75" customHeight="1" x14ac:dyDescent="0.25">
      <c r="A4449" s="2"/>
      <c r="B4449" s="3"/>
      <c r="C4449" s="3"/>
    </row>
    <row r="4450" spans="1:3" ht="15.75" customHeight="1" x14ac:dyDescent="0.25">
      <c r="A4450" s="2"/>
      <c r="B4450" s="3"/>
      <c r="C4450" s="3"/>
    </row>
    <row r="4451" spans="1:3" ht="15.75" customHeight="1" x14ac:dyDescent="0.25">
      <c r="A4451" s="2"/>
      <c r="B4451" s="3"/>
      <c r="C4451" s="3"/>
    </row>
    <row r="4452" spans="1:3" ht="15.75" customHeight="1" x14ac:dyDescent="0.25">
      <c r="A4452" s="2"/>
      <c r="B4452" s="3"/>
      <c r="C4452" s="3"/>
    </row>
    <row r="4453" spans="1:3" ht="15.75" customHeight="1" x14ac:dyDescent="0.25">
      <c r="A4453" s="2"/>
      <c r="B4453" s="3"/>
      <c r="C4453" s="3"/>
    </row>
    <row r="4454" spans="1:3" ht="15.75" customHeight="1" x14ac:dyDescent="0.25">
      <c r="A4454" s="2"/>
      <c r="B4454" s="3"/>
      <c r="C4454" s="3"/>
    </row>
    <row r="4455" spans="1:3" ht="15.75" customHeight="1" x14ac:dyDescent="0.25">
      <c r="A4455" s="2"/>
      <c r="B4455" s="3"/>
      <c r="C4455" s="3"/>
    </row>
    <row r="4456" spans="1:3" ht="15.75" customHeight="1" x14ac:dyDescent="0.25">
      <c r="A4456" s="2"/>
      <c r="B4456" s="3"/>
      <c r="C4456" s="3"/>
    </row>
    <row r="4457" spans="1:3" ht="15.75" customHeight="1" x14ac:dyDescent="0.25">
      <c r="A4457" s="2"/>
      <c r="B4457" s="3"/>
      <c r="C4457" s="3"/>
    </row>
    <row r="4458" spans="1:3" ht="15.75" customHeight="1" x14ac:dyDescent="0.25">
      <c r="A4458" s="2"/>
      <c r="B4458" s="3"/>
      <c r="C4458" s="3"/>
    </row>
    <row r="4459" spans="1:3" ht="15.75" customHeight="1" x14ac:dyDescent="0.25">
      <c r="A4459" s="2"/>
      <c r="B4459" s="3"/>
      <c r="C4459" s="3"/>
    </row>
    <row r="4460" spans="1:3" ht="15.75" customHeight="1" x14ac:dyDescent="0.25">
      <c r="A4460" s="2"/>
      <c r="B4460" s="3"/>
      <c r="C4460" s="3"/>
    </row>
    <row r="4461" spans="1:3" ht="15.75" customHeight="1" x14ac:dyDescent="0.25">
      <c r="A4461" s="2"/>
      <c r="B4461" s="3"/>
      <c r="C4461" s="3"/>
    </row>
    <row r="4462" spans="1:3" ht="15.75" customHeight="1" x14ac:dyDescent="0.25">
      <c r="A4462" s="2"/>
      <c r="B4462" s="3"/>
      <c r="C4462" s="3"/>
    </row>
    <row r="4463" spans="1:3" ht="15.75" customHeight="1" x14ac:dyDescent="0.25">
      <c r="A4463" s="2"/>
      <c r="B4463" s="3"/>
      <c r="C4463" s="3"/>
    </row>
    <row r="4464" spans="1:3" ht="15.75" customHeight="1" x14ac:dyDescent="0.25">
      <c r="A4464" s="2"/>
      <c r="B4464" s="3"/>
      <c r="C4464" s="3"/>
    </row>
    <row r="4465" spans="1:3" ht="15.75" customHeight="1" x14ac:dyDescent="0.25">
      <c r="A4465" s="2"/>
      <c r="B4465" s="3"/>
      <c r="C4465" s="3"/>
    </row>
    <row r="4466" spans="1:3" ht="15.75" customHeight="1" x14ac:dyDescent="0.25">
      <c r="A4466" s="2"/>
      <c r="B4466" s="3"/>
      <c r="C4466" s="3"/>
    </row>
    <row r="4467" spans="1:3" ht="15.75" customHeight="1" x14ac:dyDescent="0.25">
      <c r="A4467" s="2"/>
      <c r="B4467" s="3"/>
      <c r="C4467" s="3"/>
    </row>
    <row r="4468" spans="1:3" ht="15.75" customHeight="1" x14ac:dyDescent="0.25">
      <c r="A4468" s="2"/>
      <c r="B4468" s="3"/>
      <c r="C4468" s="3"/>
    </row>
    <row r="4469" spans="1:3" ht="15.75" customHeight="1" x14ac:dyDescent="0.25">
      <c r="A4469" s="2"/>
      <c r="B4469" s="3"/>
      <c r="C4469" s="3"/>
    </row>
    <row r="4470" spans="1:3" ht="15.75" customHeight="1" x14ac:dyDescent="0.25">
      <c r="A4470" s="2"/>
      <c r="B4470" s="3"/>
      <c r="C4470" s="3"/>
    </row>
    <row r="4471" spans="1:3" ht="15.75" customHeight="1" x14ac:dyDescent="0.25">
      <c r="A4471" s="2"/>
      <c r="B4471" s="3"/>
      <c r="C4471" s="3"/>
    </row>
    <row r="4472" spans="1:3" ht="15.75" customHeight="1" x14ac:dyDescent="0.25">
      <c r="A4472" s="2"/>
      <c r="B4472" s="3"/>
      <c r="C4472" s="3"/>
    </row>
    <row r="4473" spans="1:3" ht="15.75" customHeight="1" x14ac:dyDescent="0.25">
      <c r="A4473" s="2"/>
      <c r="B4473" s="3"/>
      <c r="C4473" s="3"/>
    </row>
    <row r="4474" spans="1:3" ht="15.75" customHeight="1" x14ac:dyDescent="0.25">
      <c r="A4474" s="2"/>
      <c r="B4474" s="3"/>
      <c r="C4474" s="3"/>
    </row>
    <row r="4475" spans="1:3" ht="15.75" customHeight="1" x14ac:dyDescent="0.25">
      <c r="A4475" s="2"/>
      <c r="B4475" s="3"/>
      <c r="C4475" s="3"/>
    </row>
    <row r="4476" spans="1:3" ht="15.75" customHeight="1" x14ac:dyDescent="0.25">
      <c r="A4476" s="2"/>
      <c r="B4476" s="3"/>
      <c r="C4476" s="3"/>
    </row>
    <row r="4477" spans="1:3" ht="15.75" customHeight="1" x14ac:dyDescent="0.25">
      <c r="A4477" s="2"/>
      <c r="B4477" s="3"/>
      <c r="C4477" s="3"/>
    </row>
    <row r="4478" spans="1:3" ht="15.75" customHeight="1" x14ac:dyDescent="0.25">
      <c r="A4478" s="2"/>
      <c r="B4478" s="3"/>
      <c r="C4478" s="3"/>
    </row>
    <row r="4479" spans="1:3" ht="15.75" customHeight="1" x14ac:dyDescent="0.25">
      <c r="A4479" s="2"/>
      <c r="B4479" s="3"/>
      <c r="C4479" s="3"/>
    </row>
    <row r="4480" spans="1:3" ht="15.75" customHeight="1" x14ac:dyDescent="0.25">
      <c r="A4480" s="2"/>
      <c r="B4480" s="3"/>
      <c r="C4480" s="3"/>
    </row>
    <row r="4481" spans="1:3" ht="15.75" customHeight="1" x14ac:dyDescent="0.25">
      <c r="A4481" s="2"/>
      <c r="B4481" s="3"/>
      <c r="C4481" s="3"/>
    </row>
    <row r="4482" spans="1:3" ht="15.75" customHeight="1" x14ac:dyDescent="0.25">
      <c r="A4482" s="2"/>
      <c r="B4482" s="3"/>
      <c r="C4482" s="3"/>
    </row>
    <row r="4483" spans="1:3" ht="15.75" customHeight="1" x14ac:dyDescent="0.25">
      <c r="A4483" s="2"/>
      <c r="B4483" s="3"/>
      <c r="C4483" s="3"/>
    </row>
    <row r="4484" spans="1:3" ht="15.75" customHeight="1" x14ac:dyDescent="0.25">
      <c r="A4484" s="2"/>
      <c r="B4484" s="3"/>
      <c r="C4484" s="3"/>
    </row>
    <row r="4485" spans="1:3" ht="15.75" customHeight="1" x14ac:dyDescent="0.25">
      <c r="A4485" s="2"/>
      <c r="B4485" s="3"/>
      <c r="C4485" s="3"/>
    </row>
    <row r="4486" spans="1:3" ht="15.75" customHeight="1" x14ac:dyDescent="0.25">
      <c r="A4486" s="2"/>
      <c r="B4486" s="3"/>
      <c r="C4486" s="3"/>
    </row>
    <row r="4487" spans="1:3" ht="15.75" customHeight="1" x14ac:dyDescent="0.25">
      <c r="A4487" s="2"/>
      <c r="B4487" s="3"/>
      <c r="C4487" s="3"/>
    </row>
    <row r="4488" spans="1:3" ht="15.75" customHeight="1" x14ac:dyDescent="0.25">
      <c r="A4488" s="2"/>
      <c r="B4488" s="3"/>
      <c r="C4488" s="3"/>
    </row>
    <row r="4489" spans="1:3" ht="15.75" customHeight="1" x14ac:dyDescent="0.25">
      <c r="A4489" s="2"/>
      <c r="B4489" s="3"/>
      <c r="C4489" s="3"/>
    </row>
    <row r="4490" spans="1:3" ht="15.75" customHeight="1" x14ac:dyDescent="0.25">
      <c r="A4490" s="2"/>
      <c r="B4490" s="3"/>
      <c r="C4490" s="3"/>
    </row>
    <row r="4491" spans="1:3" ht="15.75" customHeight="1" x14ac:dyDescent="0.25">
      <c r="A4491" s="2"/>
      <c r="B4491" s="3"/>
      <c r="C4491" s="3"/>
    </row>
    <row r="4492" spans="1:3" ht="15.75" customHeight="1" x14ac:dyDescent="0.25">
      <c r="A4492" s="2"/>
      <c r="B4492" s="3"/>
      <c r="C4492" s="3"/>
    </row>
    <row r="4493" spans="1:3" ht="15.75" customHeight="1" x14ac:dyDescent="0.25">
      <c r="A4493" s="2"/>
      <c r="B4493" s="3"/>
      <c r="C4493" s="3"/>
    </row>
    <row r="4494" spans="1:3" ht="15.75" customHeight="1" x14ac:dyDescent="0.25">
      <c r="A4494" s="2"/>
      <c r="B4494" s="3"/>
      <c r="C4494" s="3"/>
    </row>
    <row r="4495" spans="1:3" ht="15.75" customHeight="1" x14ac:dyDescent="0.25">
      <c r="A4495" s="2"/>
      <c r="B4495" s="3"/>
      <c r="C4495" s="3"/>
    </row>
    <row r="4496" spans="1:3" ht="15.75" customHeight="1" x14ac:dyDescent="0.25">
      <c r="A4496" s="2"/>
      <c r="B4496" s="3"/>
      <c r="C4496" s="3"/>
    </row>
    <row r="4497" spans="1:3" ht="15.75" customHeight="1" x14ac:dyDescent="0.25">
      <c r="A4497" s="2"/>
      <c r="B4497" s="3"/>
      <c r="C4497" s="3"/>
    </row>
    <row r="4498" spans="1:3" ht="15.75" customHeight="1" x14ac:dyDescent="0.25">
      <c r="A4498" s="2"/>
      <c r="B4498" s="3"/>
      <c r="C4498" s="3"/>
    </row>
    <row r="4499" spans="1:3" ht="15.75" customHeight="1" x14ac:dyDescent="0.25">
      <c r="A4499" s="2"/>
      <c r="B4499" s="3"/>
      <c r="C4499" s="3"/>
    </row>
    <row r="4500" spans="1:3" ht="15.75" customHeight="1" x14ac:dyDescent="0.25">
      <c r="A4500" s="2"/>
      <c r="B4500" s="3"/>
      <c r="C4500" s="3"/>
    </row>
    <row r="4501" spans="1:3" ht="15.75" customHeight="1" x14ac:dyDescent="0.25">
      <c r="A4501" s="2"/>
      <c r="B4501" s="3"/>
      <c r="C4501" s="3"/>
    </row>
    <row r="4502" spans="1:3" ht="15.75" customHeight="1" x14ac:dyDescent="0.25">
      <c r="A4502" s="2"/>
      <c r="B4502" s="3"/>
      <c r="C4502" s="3"/>
    </row>
    <row r="4503" spans="1:3" ht="15.75" customHeight="1" x14ac:dyDescent="0.25">
      <c r="A4503" s="2"/>
      <c r="B4503" s="3"/>
      <c r="C4503" s="3"/>
    </row>
    <row r="4504" spans="1:3" ht="15.75" customHeight="1" x14ac:dyDescent="0.25">
      <c r="A4504" s="2"/>
      <c r="B4504" s="3"/>
      <c r="C4504" s="3"/>
    </row>
    <row r="4505" spans="1:3" ht="15.75" customHeight="1" x14ac:dyDescent="0.25">
      <c r="A4505" s="2"/>
      <c r="B4505" s="3"/>
      <c r="C4505" s="3"/>
    </row>
    <row r="4506" spans="1:3" ht="15.75" customHeight="1" x14ac:dyDescent="0.25">
      <c r="A4506" s="2"/>
      <c r="B4506" s="3"/>
      <c r="C4506" s="3"/>
    </row>
    <row r="4507" spans="1:3" ht="15.75" customHeight="1" x14ac:dyDescent="0.25">
      <c r="A4507" s="2"/>
      <c r="B4507" s="3"/>
      <c r="C4507" s="3"/>
    </row>
    <row r="4508" spans="1:3" ht="15.75" customHeight="1" x14ac:dyDescent="0.25">
      <c r="A4508" s="2"/>
      <c r="B4508" s="3"/>
      <c r="C4508" s="3"/>
    </row>
    <row r="4509" spans="1:3" ht="15.75" customHeight="1" x14ac:dyDescent="0.25">
      <c r="A4509" s="2"/>
      <c r="B4509" s="3"/>
      <c r="C4509" s="3"/>
    </row>
    <row r="4510" spans="1:3" ht="15.75" customHeight="1" x14ac:dyDescent="0.25">
      <c r="A4510" s="2"/>
      <c r="B4510" s="3"/>
      <c r="C4510" s="3"/>
    </row>
    <row r="4511" spans="1:3" ht="15.75" customHeight="1" x14ac:dyDescent="0.25">
      <c r="A4511" s="2"/>
      <c r="B4511" s="3"/>
      <c r="C4511" s="3"/>
    </row>
    <row r="4512" spans="1:3" ht="15.75" customHeight="1" x14ac:dyDescent="0.25">
      <c r="A4512" s="2"/>
      <c r="B4512" s="3"/>
      <c r="C4512" s="3"/>
    </row>
    <row r="4513" spans="1:3" ht="15.75" customHeight="1" x14ac:dyDescent="0.25">
      <c r="A4513" s="2"/>
      <c r="B4513" s="3"/>
      <c r="C4513" s="3"/>
    </row>
    <row r="4514" spans="1:3" ht="15.75" customHeight="1" x14ac:dyDescent="0.25">
      <c r="A4514" s="2"/>
      <c r="B4514" s="3"/>
      <c r="C4514" s="3"/>
    </row>
    <row r="4515" spans="1:3" ht="15.75" customHeight="1" x14ac:dyDescent="0.25">
      <c r="A4515" s="2"/>
      <c r="B4515" s="3"/>
      <c r="C4515" s="3"/>
    </row>
    <row r="4516" spans="1:3" ht="15.75" customHeight="1" x14ac:dyDescent="0.25">
      <c r="A4516" s="2"/>
      <c r="B4516" s="3"/>
      <c r="C4516" s="3"/>
    </row>
    <row r="4517" spans="1:3" ht="15.75" customHeight="1" x14ac:dyDescent="0.25">
      <c r="A4517" s="2"/>
      <c r="B4517" s="3"/>
      <c r="C4517" s="3"/>
    </row>
    <row r="4518" spans="1:3" ht="15.75" customHeight="1" x14ac:dyDescent="0.25">
      <c r="A4518" s="2"/>
      <c r="B4518" s="3"/>
      <c r="C4518" s="3"/>
    </row>
    <row r="4519" spans="1:3" ht="15.75" customHeight="1" x14ac:dyDescent="0.25">
      <c r="A4519" s="2"/>
      <c r="B4519" s="3"/>
      <c r="C4519" s="3"/>
    </row>
    <row r="4520" spans="1:3" ht="15.75" customHeight="1" x14ac:dyDescent="0.25">
      <c r="A4520" s="2"/>
      <c r="B4520" s="3"/>
      <c r="C4520" s="3"/>
    </row>
    <row r="4521" spans="1:3" ht="15.75" customHeight="1" x14ac:dyDescent="0.25">
      <c r="A4521" s="2"/>
      <c r="B4521" s="3"/>
      <c r="C4521" s="3"/>
    </row>
    <row r="4522" spans="1:3" ht="15.75" customHeight="1" x14ac:dyDescent="0.25">
      <c r="A4522" s="2"/>
      <c r="B4522" s="3"/>
      <c r="C4522" s="3"/>
    </row>
    <row r="4523" spans="1:3" ht="15.75" customHeight="1" x14ac:dyDescent="0.25">
      <c r="A4523" s="2"/>
      <c r="B4523" s="3"/>
      <c r="C4523" s="3"/>
    </row>
    <row r="4524" spans="1:3" ht="15.75" customHeight="1" x14ac:dyDescent="0.25">
      <c r="A4524" s="2"/>
      <c r="B4524" s="3"/>
      <c r="C4524" s="3"/>
    </row>
    <row r="4525" spans="1:3" ht="15.75" customHeight="1" x14ac:dyDescent="0.25">
      <c r="A4525" s="2"/>
      <c r="B4525" s="3"/>
      <c r="C4525" s="3"/>
    </row>
    <row r="4526" spans="1:3" ht="15.75" customHeight="1" x14ac:dyDescent="0.25">
      <c r="A4526" s="2"/>
      <c r="B4526" s="3"/>
      <c r="C4526" s="3"/>
    </row>
    <row r="4527" spans="1:3" ht="15.75" customHeight="1" x14ac:dyDescent="0.25">
      <c r="A4527" s="2"/>
      <c r="B4527" s="3"/>
      <c r="C4527" s="3"/>
    </row>
    <row r="4528" spans="1:3" ht="15.75" customHeight="1" x14ac:dyDescent="0.25">
      <c r="A4528" s="2"/>
      <c r="B4528" s="3"/>
      <c r="C4528" s="3"/>
    </row>
    <row r="4529" spans="1:3" ht="15.75" customHeight="1" x14ac:dyDescent="0.25">
      <c r="A4529" s="2"/>
      <c r="B4529" s="3"/>
      <c r="C4529" s="3"/>
    </row>
    <row r="4530" spans="1:3" ht="15.75" customHeight="1" x14ac:dyDescent="0.25">
      <c r="A4530" s="2"/>
      <c r="B4530" s="3"/>
      <c r="C4530" s="3"/>
    </row>
    <row r="4531" spans="1:3" ht="15.75" customHeight="1" x14ac:dyDescent="0.25">
      <c r="A4531" s="2"/>
      <c r="B4531" s="3"/>
      <c r="C4531" s="3"/>
    </row>
    <row r="4532" spans="1:3" ht="15.75" customHeight="1" x14ac:dyDescent="0.25">
      <c r="A4532" s="2"/>
      <c r="B4532" s="3"/>
      <c r="C4532" s="3"/>
    </row>
    <row r="4533" spans="1:3" ht="15.75" customHeight="1" x14ac:dyDescent="0.25">
      <c r="A4533" s="2"/>
      <c r="B4533" s="3"/>
      <c r="C4533" s="3"/>
    </row>
    <row r="4534" spans="1:3" ht="15.75" customHeight="1" x14ac:dyDescent="0.25">
      <c r="A4534" s="2"/>
      <c r="B4534" s="3"/>
      <c r="C4534" s="3"/>
    </row>
    <row r="4535" spans="1:3" ht="15.75" customHeight="1" x14ac:dyDescent="0.25">
      <c r="A4535" s="2"/>
      <c r="B4535" s="3"/>
      <c r="C4535" s="3"/>
    </row>
    <row r="4536" spans="1:3" ht="15.75" customHeight="1" x14ac:dyDescent="0.25">
      <c r="A4536" s="2"/>
      <c r="B4536" s="3"/>
      <c r="C4536" s="3"/>
    </row>
    <row r="4537" spans="1:3" ht="15.75" customHeight="1" x14ac:dyDescent="0.25">
      <c r="A4537" s="2"/>
      <c r="B4537" s="3"/>
      <c r="C4537" s="3"/>
    </row>
    <row r="4538" spans="1:3" ht="15.75" customHeight="1" x14ac:dyDescent="0.25">
      <c r="A4538" s="2"/>
      <c r="B4538" s="3"/>
      <c r="C4538" s="3"/>
    </row>
    <row r="4539" spans="1:3" ht="15.75" customHeight="1" x14ac:dyDescent="0.25">
      <c r="A4539" s="2"/>
      <c r="B4539" s="3"/>
      <c r="C4539" s="3"/>
    </row>
    <row r="4540" spans="1:3" ht="15.75" customHeight="1" x14ac:dyDescent="0.25">
      <c r="A4540" s="2"/>
      <c r="B4540" s="3"/>
      <c r="C4540" s="3"/>
    </row>
    <row r="4541" spans="1:3" ht="15.75" customHeight="1" x14ac:dyDescent="0.25">
      <c r="A4541" s="2"/>
      <c r="B4541" s="3"/>
      <c r="C4541" s="3"/>
    </row>
    <row r="4542" spans="1:3" ht="15.75" customHeight="1" x14ac:dyDescent="0.25">
      <c r="A4542" s="2"/>
      <c r="B4542" s="3"/>
      <c r="C4542" s="3"/>
    </row>
    <row r="4543" spans="1:3" ht="15.75" customHeight="1" x14ac:dyDescent="0.25">
      <c r="A4543" s="2"/>
      <c r="B4543" s="3"/>
      <c r="C4543" s="3"/>
    </row>
    <row r="4544" spans="1:3" ht="15.75" customHeight="1" x14ac:dyDescent="0.25">
      <c r="A4544" s="2"/>
      <c r="B4544" s="3"/>
      <c r="C4544" s="3"/>
    </row>
    <row r="4545" spans="1:3" ht="15.75" customHeight="1" x14ac:dyDescent="0.25">
      <c r="A4545" s="2"/>
      <c r="B4545" s="3"/>
      <c r="C4545" s="3"/>
    </row>
    <row r="4546" spans="1:3" ht="15.75" customHeight="1" x14ac:dyDescent="0.25">
      <c r="A4546" s="2"/>
      <c r="B4546" s="3"/>
      <c r="C4546" s="3"/>
    </row>
    <row r="4547" spans="1:3" ht="15.75" customHeight="1" x14ac:dyDescent="0.25">
      <c r="A4547" s="2"/>
      <c r="B4547" s="3"/>
      <c r="C4547" s="3"/>
    </row>
    <row r="4548" spans="1:3" ht="15.75" customHeight="1" x14ac:dyDescent="0.25">
      <c r="A4548" s="2"/>
      <c r="B4548" s="3"/>
      <c r="C4548" s="3"/>
    </row>
    <row r="4549" spans="1:3" ht="15.75" customHeight="1" x14ac:dyDescent="0.25">
      <c r="A4549" s="2"/>
      <c r="B4549" s="3"/>
      <c r="C4549" s="3"/>
    </row>
    <row r="4550" spans="1:3" ht="15.75" customHeight="1" x14ac:dyDescent="0.25">
      <c r="A4550" s="2"/>
      <c r="B4550" s="3"/>
      <c r="C4550" s="3"/>
    </row>
    <row r="4551" spans="1:3" ht="15.75" customHeight="1" x14ac:dyDescent="0.25">
      <c r="A4551" s="2"/>
      <c r="B4551" s="3"/>
      <c r="C4551" s="3"/>
    </row>
    <row r="4552" spans="1:3" ht="15.75" customHeight="1" x14ac:dyDescent="0.25">
      <c r="A4552" s="2"/>
      <c r="B4552" s="3"/>
      <c r="C4552" s="3"/>
    </row>
    <row r="4553" spans="1:3" ht="15.75" customHeight="1" x14ac:dyDescent="0.25">
      <c r="A4553" s="2"/>
      <c r="B4553" s="3"/>
      <c r="C4553" s="3"/>
    </row>
    <row r="4554" spans="1:3" ht="15.75" customHeight="1" x14ac:dyDescent="0.25">
      <c r="A4554" s="2"/>
      <c r="B4554" s="3"/>
      <c r="C4554" s="3"/>
    </row>
    <row r="4555" spans="1:3" ht="15.75" customHeight="1" x14ac:dyDescent="0.25">
      <c r="A4555" s="2"/>
      <c r="B4555" s="3"/>
      <c r="C4555" s="3"/>
    </row>
    <row r="4556" spans="1:3" ht="15.75" customHeight="1" x14ac:dyDescent="0.25">
      <c r="A4556" s="2"/>
      <c r="B4556" s="3"/>
      <c r="C4556" s="3"/>
    </row>
    <row r="4557" spans="1:3" ht="15.75" customHeight="1" x14ac:dyDescent="0.25">
      <c r="A4557" s="2"/>
      <c r="B4557" s="3"/>
      <c r="C4557" s="3"/>
    </row>
    <row r="4558" spans="1:3" ht="15.75" customHeight="1" x14ac:dyDescent="0.25">
      <c r="A4558" s="2"/>
      <c r="B4558" s="3"/>
      <c r="C4558" s="3"/>
    </row>
    <row r="4559" spans="1:3" ht="15.75" customHeight="1" x14ac:dyDescent="0.25">
      <c r="A4559" s="2"/>
      <c r="B4559" s="3"/>
      <c r="C4559" s="3"/>
    </row>
    <row r="4560" spans="1:3" ht="15.75" customHeight="1" x14ac:dyDescent="0.25">
      <c r="A4560" s="2"/>
      <c r="B4560" s="3"/>
      <c r="C4560" s="3"/>
    </row>
    <row r="4561" spans="1:3" ht="15.75" customHeight="1" x14ac:dyDescent="0.25">
      <c r="A4561" s="2"/>
      <c r="B4561" s="3"/>
      <c r="C4561" s="3"/>
    </row>
    <row r="4562" spans="1:3" ht="15.75" customHeight="1" x14ac:dyDescent="0.25">
      <c r="A4562" s="2"/>
      <c r="B4562" s="3"/>
      <c r="C4562" s="3"/>
    </row>
    <row r="4563" spans="1:3" ht="15.75" customHeight="1" x14ac:dyDescent="0.25">
      <c r="A4563" s="2"/>
      <c r="B4563" s="3"/>
      <c r="C4563" s="3"/>
    </row>
    <row r="4564" spans="1:3" ht="15.75" customHeight="1" x14ac:dyDescent="0.25">
      <c r="A4564" s="2"/>
      <c r="B4564" s="3"/>
      <c r="C4564" s="3"/>
    </row>
    <row r="4565" spans="1:3" ht="15.75" customHeight="1" x14ac:dyDescent="0.25">
      <c r="A4565" s="2"/>
      <c r="B4565" s="3"/>
      <c r="C4565" s="3"/>
    </row>
    <row r="4566" spans="1:3" ht="15.75" customHeight="1" x14ac:dyDescent="0.25">
      <c r="A4566" s="2"/>
      <c r="B4566" s="3"/>
      <c r="C4566" s="3"/>
    </row>
    <row r="4567" spans="1:3" ht="15.75" customHeight="1" x14ac:dyDescent="0.25">
      <c r="A4567" s="2"/>
      <c r="B4567" s="3"/>
      <c r="C4567" s="3"/>
    </row>
    <row r="4568" spans="1:3" ht="15.75" customHeight="1" x14ac:dyDescent="0.25">
      <c r="A4568" s="2"/>
      <c r="B4568" s="3"/>
      <c r="C4568" s="3"/>
    </row>
    <row r="4569" spans="1:3" ht="15.75" customHeight="1" x14ac:dyDescent="0.25">
      <c r="A4569" s="2"/>
      <c r="B4569" s="3"/>
      <c r="C4569" s="3"/>
    </row>
    <row r="4570" spans="1:3" ht="15.75" customHeight="1" x14ac:dyDescent="0.25">
      <c r="A4570" s="2"/>
      <c r="B4570" s="3"/>
      <c r="C4570" s="3"/>
    </row>
    <row r="4571" spans="1:3" ht="15.75" customHeight="1" x14ac:dyDescent="0.25">
      <c r="A4571" s="2"/>
      <c r="B4571" s="3"/>
      <c r="C4571" s="3"/>
    </row>
    <row r="4572" spans="1:3" ht="15.75" customHeight="1" x14ac:dyDescent="0.25">
      <c r="A4572" s="2"/>
      <c r="B4572" s="3"/>
      <c r="C4572" s="3"/>
    </row>
    <row r="4573" spans="1:3" ht="15.75" customHeight="1" x14ac:dyDescent="0.25">
      <c r="A4573" s="2"/>
      <c r="B4573" s="3"/>
      <c r="C4573" s="3"/>
    </row>
    <row r="4574" spans="1:3" ht="15.75" customHeight="1" x14ac:dyDescent="0.25">
      <c r="A4574" s="2"/>
      <c r="B4574" s="3"/>
      <c r="C4574" s="3"/>
    </row>
    <row r="4575" spans="1:3" ht="15.75" customHeight="1" x14ac:dyDescent="0.25">
      <c r="A4575" s="2"/>
      <c r="B4575" s="3"/>
      <c r="C4575" s="3"/>
    </row>
    <row r="4576" spans="1:3" ht="15.75" customHeight="1" x14ac:dyDescent="0.25">
      <c r="A4576" s="2"/>
      <c r="B4576" s="3"/>
      <c r="C4576" s="3"/>
    </row>
    <row r="4577" spans="1:3" ht="15.75" customHeight="1" x14ac:dyDescent="0.25">
      <c r="A4577" s="2"/>
      <c r="B4577" s="3"/>
      <c r="C4577" s="3"/>
    </row>
    <row r="4578" spans="1:3" ht="15.75" customHeight="1" x14ac:dyDescent="0.25">
      <c r="A4578" s="2"/>
      <c r="B4578" s="3"/>
      <c r="C4578" s="3"/>
    </row>
    <row r="4579" spans="1:3" ht="15.75" customHeight="1" x14ac:dyDescent="0.25">
      <c r="A4579" s="2"/>
      <c r="B4579" s="3"/>
      <c r="C4579" s="3"/>
    </row>
    <row r="4580" spans="1:3" ht="15.75" customHeight="1" x14ac:dyDescent="0.25">
      <c r="A4580" s="2"/>
      <c r="B4580" s="3"/>
      <c r="C4580" s="3"/>
    </row>
    <row r="4581" spans="1:3" ht="15.75" customHeight="1" x14ac:dyDescent="0.25">
      <c r="A4581" s="2"/>
      <c r="B4581" s="3"/>
      <c r="C4581" s="3"/>
    </row>
    <row r="4582" spans="1:3" ht="15.75" customHeight="1" x14ac:dyDescent="0.25">
      <c r="A4582" s="2"/>
      <c r="B4582" s="3"/>
      <c r="C4582" s="3"/>
    </row>
    <row r="4583" spans="1:3" ht="15.75" customHeight="1" x14ac:dyDescent="0.25">
      <c r="A4583" s="2"/>
      <c r="B4583" s="3"/>
      <c r="C4583" s="3"/>
    </row>
    <row r="4584" spans="1:3" ht="15.75" customHeight="1" x14ac:dyDescent="0.25">
      <c r="A4584" s="2"/>
      <c r="B4584" s="3"/>
      <c r="C4584" s="3"/>
    </row>
    <row r="4585" spans="1:3" ht="15.75" customHeight="1" x14ac:dyDescent="0.25">
      <c r="A4585" s="2"/>
      <c r="B4585" s="3"/>
      <c r="C4585" s="3"/>
    </row>
    <row r="4586" spans="1:3" ht="15.75" customHeight="1" x14ac:dyDescent="0.25">
      <c r="A4586" s="2"/>
      <c r="B4586" s="3"/>
      <c r="C4586" s="3"/>
    </row>
    <row r="4587" spans="1:3" ht="15.75" customHeight="1" x14ac:dyDescent="0.25">
      <c r="A4587" s="2"/>
      <c r="B4587" s="3"/>
      <c r="C4587" s="3"/>
    </row>
    <row r="4588" spans="1:3" ht="15.75" customHeight="1" x14ac:dyDescent="0.25">
      <c r="A4588" s="2"/>
      <c r="B4588" s="3"/>
      <c r="C4588" s="3"/>
    </row>
    <row r="4589" spans="1:3" ht="15.75" customHeight="1" x14ac:dyDescent="0.25">
      <c r="A4589" s="2"/>
      <c r="B4589" s="3"/>
      <c r="C4589" s="3"/>
    </row>
    <row r="4590" spans="1:3" ht="15.75" customHeight="1" x14ac:dyDescent="0.25">
      <c r="A4590" s="2"/>
      <c r="B4590" s="3"/>
      <c r="C4590" s="3"/>
    </row>
    <row r="4591" spans="1:3" ht="15.75" customHeight="1" x14ac:dyDescent="0.25">
      <c r="A4591" s="2"/>
      <c r="B4591" s="3"/>
      <c r="C4591" s="3"/>
    </row>
    <row r="4592" spans="1:3" ht="15.75" customHeight="1" x14ac:dyDescent="0.25">
      <c r="A4592" s="2"/>
      <c r="B4592" s="3"/>
      <c r="C4592" s="3"/>
    </row>
    <row r="4593" spans="1:3" ht="15.75" customHeight="1" x14ac:dyDescent="0.25">
      <c r="A4593" s="2"/>
      <c r="B4593" s="3"/>
      <c r="C4593" s="3"/>
    </row>
    <row r="4594" spans="1:3" ht="15.75" customHeight="1" x14ac:dyDescent="0.25">
      <c r="A4594" s="2"/>
      <c r="B4594" s="3"/>
      <c r="C4594" s="3"/>
    </row>
    <row r="4595" spans="1:3" ht="15.75" customHeight="1" x14ac:dyDescent="0.25">
      <c r="A4595" s="2"/>
      <c r="B4595" s="3"/>
      <c r="C4595" s="3"/>
    </row>
    <row r="4596" spans="1:3" ht="15.75" customHeight="1" x14ac:dyDescent="0.25">
      <c r="A4596" s="2"/>
      <c r="B4596" s="3"/>
      <c r="C4596" s="3"/>
    </row>
    <row r="4597" spans="1:3" ht="15.75" customHeight="1" x14ac:dyDescent="0.25">
      <c r="A4597" s="2"/>
      <c r="B4597" s="3"/>
      <c r="C4597" s="3"/>
    </row>
    <row r="4598" spans="1:3" ht="15.75" customHeight="1" x14ac:dyDescent="0.25">
      <c r="A4598" s="2"/>
      <c r="B4598" s="3"/>
      <c r="C4598" s="3"/>
    </row>
    <row r="4599" spans="1:3" ht="15.75" customHeight="1" x14ac:dyDescent="0.25">
      <c r="A4599" s="2"/>
      <c r="B4599" s="3"/>
      <c r="C4599" s="3"/>
    </row>
    <row r="4600" spans="1:3" ht="15.75" customHeight="1" x14ac:dyDescent="0.25">
      <c r="A4600" s="2"/>
      <c r="B4600" s="3"/>
      <c r="C4600" s="3"/>
    </row>
    <row r="4601" spans="1:3" ht="15.75" customHeight="1" x14ac:dyDescent="0.25">
      <c r="A4601" s="2"/>
      <c r="B4601" s="3"/>
      <c r="C4601" s="3"/>
    </row>
    <row r="4602" spans="1:3" ht="15.75" customHeight="1" x14ac:dyDescent="0.25">
      <c r="A4602" s="2"/>
      <c r="B4602" s="3"/>
      <c r="C4602" s="3"/>
    </row>
    <row r="4603" spans="1:3" ht="15.75" customHeight="1" x14ac:dyDescent="0.25">
      <c r="A4603" s="2"/>
      <c r="B4603" s="3"/>
      <c r="C4603" s="3"/>
    </row>
    <row r="4604" spans="1:3" ht="15.75" customHeight="1" x14ac:dyDescent="0.25">
      <c r="A4604" s="2"/>
      <c r="B4604" s="3"/>
      <c r="C4604" s="3"/>
    </row>
    <row r="4605" spans="1:3" ht="15.75" customHeight="1" x14ac:dyDescent="0.25">
      <c r="A4605" s="2"/>
      <c r="B4605" s="3"/>
      <c r="C4605" s="3"/>
    </row>
    <row r="4606" spans="1:3" ht="15.75" customHeight="1" x14ac:dyDescent="0.25">
      <c r="A4606" s="2"/>
      <c r="B4606" s="3"/>
      <c r="C4606" s="3"/>
    </row>
    <row r="4607" spans="1:3" ht="15.75" customHeight="1" x14ac:dyDescent="0.25">
      <c r="A4607" s="2"/>
      <c r="B4607" s="3"/>
      <c r="C4607" s="3"/>
    </row>
    <row r="4608" spans="1:3" ht="15.75" customHeight="1" x14ac:dyDescent="0.25">
      <c r="A4608" s="2"/>
      <c r="B4608" s="3"/>
      <c r="C4608" s="3"/>
    </row>
    <row r="4609" spans="1:3" ht="15.75" customHeight="1" x14ac:dyDescent="0.25">
      <c r="A4609" s="2"/>
      <c r="B4609" s="3"/>
      <c r="C4609" s="3"/>
    </row>
    <row r="4610" spans="1:3" ht="15.75" customHeight="1" x14ac:dyDescent="0.25">
      <c r="A4610" s="2"/>
      <c r="B4610" s="3"/>
      <c r="C4610" s="3"/>
    </row>
    <row r="4611" spans="1:3" ht="15.75" customHeight="1" x14ac:dyDescent="0.25">
      <c r="A4611" s="2"/>
      <c r="B4611" s="3"/>
      <c r="C4611" s="3"/>
    </row>
    <row r="4612" spans="1:3" ht="15.75" customHeight="1" x14ac:dyDescent="0.25">
      <c r="A4612" s="2"/>
      <c r="B4612" s="3"/>
      <c r="C4612" s="3"/>
    </row>
    <row r="4613" spans="1:3" ht="15.75" customHeight="1" x14ac:dyDescent="0.25">
      <c r="A4613" s="2"/>
      <c r="B4613" s="3"/>
      <c r="C4613" s="3"/>
    </row>
    <row r="4614" spans="1:3" ht="15.75" customHeight="1" x14ac:dyDescent="0.25">
      <c r="A4614" s="2"/>
      <c r="B4614" s="3"/>
      <c r="C4614" s="3"/>
    </row>
    <row r="4615" spans="1:3" ht="15.75" customHeight="1" x14ac:dyDescent="0.25">
      <c r="A4615" s="2"/>
      <c r="B4615" s="3"/>
      <c r="C4615" s="3"/>
    </row>
    <row r="4616" spans="1:3" ht="15.75" customHeight="1" x14ac:dyDescent="0.25">
      <c r="A4616" s="2"/>
      <c r="B4616" s="3"/>
      <c r="C4616" s="3"/>
    </row>
    <row r="4617" spans="1:3" ht="15.75" customHeight="1" x14ac:dyDescent="0.25">
      <c r="A4617" s="2"/>
      <c r="B4617" s="3"/>
      <c r="C4617" s="3"/>
    </row>
    <row r="4618" spans="1:3" ht="15.75" customHeight="1" x14ac:dyDescent="0.25">
      <c r="A4618" s="2"/>
      <c r="B4618" s="3"/>
      <c r="C4618" s="3"/>
    </row>
    <row r="4619" spans="1:3" ht="15.75" customHeight="1" x14ac:dyDescent="0.25">
      <c r="A4619" s="2"/>
      <c r="B4619" s="3"/>
      <c r="C4619" s="3"/>
    </row>
    <row r="4620" spans="1:3" ht="15.75" customHeight="1" x14ac:dyDescent="0.25">
      <c r="A4620" s="2"/>
      <c r="B4620" s="3"/>
      <c r="C4620" s="3"/>
    </row>
    <row r="4621" spans="1:3" ht="15.75" customHeight="1" x14ac:dyDescent="0.25">
      <c r="A4621" s="2"/>
      <c r="B4621" s="3"/>
      <c r="C4621" s="3"/>
    </row>
    <row r="4622" spans="1:3" ht="15.75" customHeight="1" x14ac:dyDescent="0.25">
      <c r="A4622" s="2"/>
      <c r="B4622" s="3"/>
      <c r="C4622" s="3"/>
    </row>
    <row r="4623" spans="1:3" ht="15.75" customHeight="1" x14ac:dyDescent="0.25">
      <c r="A4623" s="2"/>
      <c r="B4623" s="3"/>
      <c r="C4623" s="3"/>
    </row>
    <row r="4624" spans="1:3" ht="15.75" customHeight="1" x14ac:dyDescent="0.25">
      <c r="A4624" s="2"/>
      <c r="B4624" s="3"/>
      <c r="C4624" s="3"/>
    </row>
    <row r="4625" spans="1:3" ht="15.75" customHeight="1" x14ac:dyDescent="0.25">
      <c r="A4625" s="2"/>
      <c r="B4625" s="3"/>
      <c r="C4625" s="3"/>
    </row>
    <row r="4626" spans="1:3" ht="15.75" customHeight="1" x14ac:dyDescent="0.25">
      <c r="A4626" s="2"/>
      <c r="B4626" s="3"/>
      <c r="C4626" s="3"/>
    </row>
    <row r="4627" spans="1:3" ht="15.75" customHeight="1" x14ac:dyDescent="0.25">
      <c r="A4627" s="2"/>
      <c r="B4627" s="3"/>
      <c r="C4627" s="3"/>
    </row>
    <row r="4628" spans="1:3" ht="15.75" customHeight="1" x14ac:dyDescent="0.25">
      <c r="A4628" s="2"/>
      <c r="B4628" s="3"/>
      <c r="C4628" s="3"/>
    </row>
    <row r="4629" spans="1:3" ht="15.75" customHeight="1" x14ac:dyDescent="0.25">
      <c r="A4629" s="2"/>
      <c r="B4629" s="3"/>
      <c r="C4629" s="3"/>
    </row>
    <row r="4630" spans="1:3" ht="15.75" customHeight="1" x14ac:dyDescent="0.25">
      <c r="A4630" s="2"/>
      <c r="B4630" s="3"/>
      <c r="C4630" s="3"/>
    </row>
    <row r="4631" spans="1:3" ht="15.75" customHeight="1" x14ac:dyDescent="0.25">
      <c r="A4631" s="2"/>
      <c r="B4631" s="3"/>
      <c r="C4631" s="3"/>
    </row>
    <row r="4632" spans="1:3" ht="15.75" customHeight="1" x14ac:dyDescent="0.25">
      <c r="A4632" s="2"/>
      <c r="B4632" s="3"/>
      <c r="C4632" s="3"/>
    </row>
    <row r="4633" spans="1:3" ht="15.75" customHeight="1" x14ac:dyDescent="0.25">
      <c r="A4633" s="2"/>
      <c r="B4633" s="3"/>
      <c r="C4633" s="3"/>
    </row>
    <row r="4634" spans="1:3" ht="15.75" customHeight="1" x14ac:dyDescent="0.25">
      <c r="A4634" s="2"/>
      <c r="B4634" s="3"/>
      <c r="C4634" s="3"/>
    </row>
    <row r="4635" spans="1:3" ht="15.75" customHeight="1" x14ac:dyDescent="0.25">
      <c r="A4635" s="2"/>
      <c r="B4635" s="3"/>
      <c r="C4635" s="3"/>
    </row>
    <row r="4636" spans="1:3" ht="15.75" customHeight="1" x14ac:dyDescent="0.25">
      <c r="A4636" s="2"/>
      <c r="B4636" s="3"/>
      <c r="C4636" s="3"/>
    </row>
    <row r="4637" spans="1:3" ht="15.75" customHeight="1" x14ac:dyDescent="0.25">
      <c r="A4637" s="2"/>
      <c r="B4637" s="3"/>
      <c r="C4637" s="3"/>
    </row>
    <row r="4638" spans="1:3" ht="15.75" customHeight="1" x14ac:dyDescent="0.25">
      <c r="A4638" s="2"/>
      <c r="B4638" s="3"/>
      <c r="C4638" s="3"/>
    </row>
    <row r="4639" spans="1:3" ht="15.75" customHeight="1" x14ac:dyDescent="0.25">
      <c r="A4639" s="2"/>
      <c r="B4639" s="3"/>
      <c r="C4639" s="3"/>
    </row>
    <row r="4640" spans="1:3" ht="15.75" customHeight="1" x14ac:dyDescent="0.25">
      <c r="A4640" s="2"/>
      <c r="B4640" s="3"/>
      <c r="C4640" s="3"/>
    </row>
    <row r="4641" spans="1:3" ht="15.75" customHeight="1" x14ac:dyDescent="0.25">
      <c r="A4641" s="2"/>
      <c r="B4641" s="3"/>
      <c r="C4641" s="3"/>
    </row>
    <row r="4642" spans="1:3" ht="15.75" customHeight="1" x14ac:dyDescent="0.25">
      <c r="A4642" s="2"/>
      <c r="B4642" s="3"/>
      <c r="C4642" s="3"/>
    </row>
    <row r="4643" spans="1:3" ht="15.75" customHeight="1" x14ac:dyDescent="0.25">
      <c r="A4643" s="2"/>
      <c r="B4643" s="3"/>
      <c r="C4643" s="3"/>
    </row>
    <row r="4644" spans="1:3" ht="15.75" customHeight="1" x14ac:dyDescent="0.25">
      <c r="A4644" s="2"/>
      <c r="B4644" s="3"/>
      <c r="C4644" s="3"/>
    </row>
    <row r="4645" spans="1:3" ht="15.75" customHeight="1" x14ac:dyDescent="0.25">
      <c r="A4645" s="2"/>
      <c r="B4645" s="3"/>
      <c r="C4645" s="3"/>
    </row>
    <row r="4646" spans="1:3" ht="15.75" customHeight="1" x14ac:dyDescent="0.25">
      <c r="A4646" s="2"/>
      <c r="B4646" s="3"/>
      <c r="C4646" s="3"/>
    </row>
    <row r="4647" spans="1:3" ht="15.75" customHeight="1" x14ac:dyDescent="0.25">
      <c r="A4647" s="2"/>
      <c r="B4647" s="3"/>
      <c r="C4647" s="3"/>
    </row>
    <row r="4648" spans="1:3" ht="15.75" customHeight="1" x14ac:dyDescent="0.25">
      <c r="A4648" s="2"/>
      <c r="B4648" s="3"/>
      <c r="C4648" s="3"/>
    </row>
    <row r="4649" spans="1:3" ht="15.75" customHeight="1" x14ac:dyDescent="0.25">
      <c r="A4649" s="2"/>
      <c r="B4649" s="3"/>
      <c r="C4649" s="3"/>
    </row>
    <row r="4650" spans="1:3" ht="15.75" customHeight="1" x14ac:dyDescent="0.25">
      <c r="A4650" s="2"/>
      <c r="B4650" s="3"/>
      <c r="C4650" s="3"/>
    </row>
    <row r="4651" spans="1:3" ht="15.75" customHeight="1" x14ac:dyDescent="0.25">
      <c r="A4651" s="2"/>
      <c r="B4651" s="3"/>
      <c r="C4651" s="3"/>
    </row>
    <row r="4652" spans="1:3" ht="15.75" customHeight="1" x14ac:dyDescent="0.25">
      <c r="A4652" s="2"/>
      <c r="B4652" s="3"/>
      <c r="C4652" s="3"/>
    </row>
    <row r="4653" spans="1:3" ht="15.75" customHeight="1" x14ac:dyDescent="0.25">
      <c r="A4653" s="2"/>
      <c r="B4653" s="3"/>
      <c r="C4653" s="3"/>
    </row>
    <row r="4654" spans="1:3" ht="15.75" customHeight="1" x14ac:dyDescent="0.25">
      <c r="A4654" s="2"/>
      <c r="B4654" s="3"/>
      <c r="C4654" s="3"/>
    </row>
    <row r="4655" spans="1:3" ht="15.75" customHeight="1" x14ac:dyDescent="0.25">
      <c r="A4655" s="2"/>
      <c r="B4655" s="3"/>
      <c r="C4655" s="3"/>
    </row>
    <row r="4656" spans="1:3" ht="15.75" customHeight="1" x14ac:dyDescent="0.25">
      <c r="A4656" s="2"/>
      <c r="B4656" s="3"/>
      <c r="C4656" s="3"/>
    </row>
    <row r="4657" spans="1:3" ht="15.75" customHeight="1" x14ac:dyDescent="0.25">
      <c r="A4657" s="2"/>
      <c r="B4657" s="3"/>
      <c r="C4657" s="3"/>
    </row>
    <row r="4658" spans="1:3" ht="15.75" customHeight="1" x14ac:dyDescent="0.25">
      <c r="A4658" s="2"/>
      <c r="B4658" s="3"/>
      <c r="C4658" s="3"/>
    </row>
    <row r="4659" spans="1:3" ht="15.75" customHeight="1" x14ac:dyDescent="0.25">
      <c r="A4659" s="2"/>
      <c r="B4659" s="3"/>
      <c r="C4659" s="3"/>
    </row>
    <row r="4660" spans="1:3" ht="15.75" customHeight="1" x14ac:dyDescent="0.25">
      <c r="A4660" s="2"/>
      <c r="B4660" s="3"/>
      <c r="C4660" s="3"/>
    </row>
    <row r="4661" spans="1:3" ht="15.75" customHeight="1" x14ac:dyDescent="0.25">
      <c r="A4661" s="2"/>
      <c r="B4661" s="3"/>
      <c r="C4661" s="3"/>
    </row>
    <row r="4662" spans="1:3" ht="15.75" customHeight="1" x14ac:dyDescent="0.25">
      <c r="A4662" s="2"/>
      <c r="B4662" s="3"/>
      <c r="C4662" s="3"/>
    </row>
    <row r="4663" spans="1:3" ht="15.75" customHeight="1" x14ac:dyDescent="0.25">
      <c r="A4663" s="2"/>
      <c r="B4663" s="3"/>
      <c r="C4663" s="3"/>
    </row>
    <row r="4664" spans="1:3" ht="15.75" customHeight="1" x14ac:dyDescent="0.25">
      <c r="A4664" s="2"/>
      <c r="B4664" s="3"/>
      <c r="C4664" s="3"/>
    </row>
    <row r="4665" spans="1:3" ht="15.75" customHeight="1" x14ac:dyDescent="0.25">
      <c r="A4665" s="2"/>
      <c r="B4665" s="3"/>
      <c r="C4665" s="3"/>
    </row>
    <row r="4666" spans="1:3" ht="15.75" customHeight="1" x14ac:dyDescent="0.25">
      <c r="A4666" s="2"/>
      <c r="B4666" s="3"/>
      <c r="C4666" s="3"/>
    </row>
    <row r="4667" spans="1:3" ht="15.75" customHeight="1" x14ac:dyDescent="0.25">
      <c r="A4667" s="2"/>
      <c r="B4667" s="3"/>
      <c r="C4667" s="3"/>
    </row>
    <row r="4668" spans="1:3" ht="15.75" customHeight="1" x14ac:dyDescent="0.25">
      <c r="A4668" s="2"/>
      <c r="B4668" s="3"/>
      <c r="C4668" s="3"/>
    </row>
    <row r="4669" spans="1:3" ht="15.75" customHeight="1" x14ac:dyDescent="0.25">
      <c r="A4669" s="2"/>
      <c r="B4669" s="3"/>
      <c r="C4669" s="3"/>
    </row>
    <row r="4670" spans="1:3" ht="15.75" customHeight="1" x14ac:dyDescent="0.25">
      <c r="A4670" s="2"/>
      <c r="B4670" s="3"/>
      <c r="C4670" s="3"/>
    </row>
    <row r="4671" spans="1:3" ht="15.75" customHeight="1" x14ac:dyDescent="0.25">
      <c r="A4671" s="2"/>
      <c r="B4671" s="3"/>
      <c r="C4671" s="3"/>
    </row>
    <row r="4672" spans="1:3" ht="15.75" customHeight="1" x14ac:dyDescent="0.25">
      <c r="A4672" s="2"/>
      <c r="B4672" s="3"/>
      <c r="C4672" s="3"/>
    </row>
    <row r="4673" spans="1:3" ht="15.75" customHeight="1" x14ac:dyDescent="0.25">
      <c r="A4673" s="2"/>
      <c r="B4673" s="3"/>
      <c r="C4673" s="3"/>
    </row>
    <row r="4674" spans="1:3" ht="15.75" customHeight="1" x14ac:dyDescent="0.25">
      <c r="A4674" s="2"/>
      <c r="B4674" s="3"/>
      <c r="C4674" s="3"/>
    </row>
    <row r="4675" spans="1:3" ht="15.75" customHeight="1" x14ac:dyDescent="0.25">
      <c r="A4675" s="2"/>
      <c r="B4675" s="3"/>
      <c r="C4675" s="3"/>
    </row>
    <row r="4676" spans="1:3" ht="15.75" customHeight="1" x14ac:dyDescent="0.25">
      <c r="A4676" s="2"/>
      <c r="B4676" s="3"/>
      <c r="C4676" s="3"/>
    </row>
    <row r="4677" spans="1:3" ht="15.75" customHeight="1" x14ac:dyDescent="0.25">
      <c r="A4677" s="2"/>
      <c r="B4677" s="3"/>
      <c r="C4677" s="3"/>
    </row>
    <row r="4678" spans="1:3" ht="15.75" customHeight="1" x14ac:dyDescent="0.25">
      <c r="A4678" s="2"/>
      <c r="B4678" s="3"/>
      <c r="C4678" s="3"/>
    </row>
    <row r="4679" spans="1:3" ht="15.75" customHeight="1" x14ac:dyDescent="0.25">
      <c r="A4679" s="2"/>
      <c r="B4679" s="3"/>
      <c r="C4679" s="3"/>
    </row>
    <row r="4680" spans="1:3" ht="15.75" customHeight="1" x14ac:dyDescent="0.25">
      <c r="A4680" s="2"/>
      <c r="B4680" s="3"/>
      <c r="C4680" s="3"/>
    </row>
    <row r="4681" spans="1:3" ht="15.75" customHeight="1" x14ac:dyDescent="0.25">
      <c r="A4681" s="2"/>
      <c r="B4681" s="3"/>
      <c r="C4681" s="3"/>
    </row>
    <row r="4682" spans="1:3" ht="15.75" customHeight="1" x14ac:dyDescent="0.25">
      <c r="A4682" s="2"/>
      <c r="B4682" s="3"/>
      <c r="C4682" s="3"/>
    </row>
    <row r="4683" spans="1:3" ht="15.75" customHeight="1" x14ac:dyDescent="0.25">
      <c r="A4683" s="2"/>
      <c r="B4683" s="3"/>
      <c r="C4683" s="3"/>
    </row>
    <row r="4684" spans="1:3" ht="15.75" customHeight="1" x14ac:dyDescent="0.25">
      <c r="A4684" s="2"/>
      <c r="B4684" s="3"/>
      <c r="C4684" s="3"/>
    </row>
    <row r="4685" spans="1:3" ht="15.75" customHeight="1" x14ac:dyDescent="0.25">
      <c r="A4685" s="2"/>
      <c r="B4685" s="3"/>
      <c r="C4685" s="3"/>
    </row>
    <row r="4686" spans="1:3" ht="15.75" customHeight="1" x14ac:dyDescent="0.25">
      <c r="A4686" s="2"/>
      <c r="B4686" s="3"/>
      <c r="C4686" s="3"/>
    </row>
    <row r="4687" spans="1:3" ht="15.75" customHeight="1" x14ac:dyDescent="0.25">
      <c r="A4687" s="2"/>
      <c r="B4687" s="3"/>
      <c r="C4687" s="3"/>
    </row>
    <row r="4688" spans="1:3" ht="15.75" customHeight="1" x14ac:dyDescent="0.25">
      <c r="A4688" s="2"/>
      <c r="B4688" s="3"/>
      <c r="C4688" s="3"/>
    </row>
    <row r="4689" spans="1:3" ht="15.75" customHeight="1" x14ac:dyDescent="0.25">
      <c r="A4689" s="2"/>
      <c r="B4689" s="3"/>
      <c r="C4689" s="3"/>
    </row>
    <row r="4690" spans="1:3" ht="15.75" customHeight="1" x14ac:dyDescent="0.25">
      <c r="A4690" s="2"/>
      <c r="B4690" s="3"/>
      <c r="C4690" s="3"/>
    </row>
    <row r="4691" spans="1:3" ht="15.75" customHeight="1" x14ac:dyDescent="0.25">
      <c r="A4691" s="2"/>
      <c r="B4691" s="3"/>
      <c r="C4691" s="3"/>
    </row>
    <row r="4692" spans="1:3" ht="15.75" customHeight="1" x14ac:dyDescent="0.25">
      <c r="A4692" s="2"/>
      <c r="B4692" s="3"/>
      <c r="C4692" s="3"/>
    </row>
    <row r="4693" spans="1:3" ht="15.75" customHeight="1" x14ac:dyDescent="0.25">
      <c r="A4693" s="2"/>
      <c r="B4693" s="3"/>
      <c r="C4693" s="3"/>
    </row>
    <row r="4694" spans="1:3" ht="15.75" customHeight="1" x14ac:dyDescent="0.25">
      <c r="A4694" s="2"/>
      <c r="B4694" s="3"/>
      <c r="C4694" s="3"/>
    </row>
    <row r="4695" spans="1:3" ht="15.75" customHeight="1" x14ac:dyDescent="0.25">
      <c r="A4695" s="2"/>
      <c r="B4695" s="3"/>
      <c r="C4695" s="3"/>
    </row>
    <row r="4696" spans="1:3" ht="15.75" customHeight="1" x14ac:dyDescent="0.25">
      <c r="A4696" s="2"/>
      <c r="B4696" s="3"/>
      <c r="C4696" s="3"/>
    </row>
    <row r="4697" spans="1:3" ht="15.75" customHeight="1" x14ac:dyDescent="0.25">
      <c r="A4697" s="2"/>
      <c r="B4697" s="3"/>
      <c r="C4697" s="3"/>
    </row>
    <row r="4698" spans="1:3" ht="15.75" customHeight="1" x14ac:dyDescent="0.25">
      <c r="A4698" s="2"/>
      <c r="B4698" s="3"/>
      <c r="C4698" s="3"/>
    </row>
    <row r="4699" spans="1:3" ht="15.75" customHeight="1" x14ac:dyDescent="0.25">
      <c r="A4699" s="2"/>
      <c r="B4699" s="3"/>
      <c r="C4699" s="3"/>
    </row>
    <row r="4700" spans="1:3" ht="15.75" customHeight="1" x14ac:dyDescent="0.25">
      <c r="A4700" s="2"/>
      <c r="B4700" s="3"/>
      <c r="C4700" s="3"/>
    </row>
    <row r="4701" spans="1:3" ht="15.75" customHeight="1" x14ac:dyDescent="0.25">
      <c r="A4701" s="2"/>
      <c r="B4701" s="3"/>
      <c r="C4701" s="3"/>
    </row>
    <row r="4702" spans="1:3" ht="15.75" customHeight="1" x14ac:dyDescent="0.25">
      <c r="A4702" s="2"/>
      <c r="B4702" s="3"/>
      <c r="C4702" s="3"/>
    </row>
    <row r="4703" spans="1:3" ht="15.75" customHeight="1" x14ac:dyDescent="0.25">
      <c r="A4703" s="2"/>
      <c r="B4703" s="3"/>
      <c r="C4703" s="3"/>
    </row>
    <row r="4704" spans="1:3" ht="15.75" customHeight="1" x14ac:dyDescent="0.25">
      <c r="A4704" s="2"/>
      <c r="B4704" s="3"/>
      <c r="C4704" s="3"/>
    </row>
    <row r="4705" spans="1:3" ht="15.75" customHeight="1" x14ac:dyDescent="0.25">
      <c r="A4705" s="2"/>
      <c r="B4705" s="3"/>
      <c r="C4705" s="3"/>
    </row>
    <row r="4706" spans="1:3" ht="15.75" customHeight="1" x14ac:dyDescent="0.25">
      <c r="A4706" s="2"/>
      <c r="B4706" s="3"/>
      <c r="C4706" s="3"/>
    </row>
    <row r="4707" spans="1:3" ht="15.75" customHeight="1" x14ac:dyDescent="0.25">
      <c r="A4707" s="2"/>
      <c r="B4707" s="3"/>
      <c r="C4707" s="3"/>
    </row>
    <row r="4708" spans="1:3" ht="15.75" customHeight="1" x14ac:dyDescent="0.25">
      <c r="A4708" s="2"/>
      <c r="B4708" s="3"/>
      <c r="C4708" s="3"/>
    </row>
    <row r="4709" spans="1:3" ht="15.75" customHeight="1" x14ac:dyDescent="0.25">
      <c r="A4709" s="2"/>
      <c r="B4709" s="3"/>
      <c r="C4709" s="3"/>
    </row>
    <row r="4710" spans="1:3" ht="15.75" customHeight="1" x14ac:dyDescent="0.25">
      <c r="A4710" s="2"/>
      <c r="B4710" s="3"/>
      <c r="C4710" s="3"/>
    </row>
    <row r="4711" spans="1:3" ht="15.75" customHeight="1" x14ac:dyDescent="0.25">
      <c r="A4711" s="2"/>
      <c r="B4711" s="3"/>
      <c r="C4711" s="3"/>
    </row>
    <row r="4712" spans="1:3" ht="15.75" customHeight="1" x14ac:dyDescent="0.25">
      <c r="A4712" s="2"/>
      <c r="B4712" s="3"/>
      <c r="C4712" s="3"/>
    </row>
    <row r="4713" spans="1:3" ht="15.75" customHeight="1" x14ac:dyDescent="0.25">
      <c r="A4713" s="2"/>
      <c r="B4713" s="3"/>
      <c r="C4713" s="3"/>
    </row>
    <row r="4714" spans="1:3" ht="15.75" customHeight="1" x14ac:dyDescent="0.25">
      <c r="A4714" s="2"/>
      <c r="B4714" s="3"/>
      <c r="C4714" s="3"/>
    </row>
    <row r="4715" spans="1:3" ht="15.75" customHeight="1" x14ac:dyDescent="0.25">
      <c r="A4715" s="2"/>
      <c r="B4715" s="3"/>
      <c r="C4715" s="3"/>
    </row>
    <row r="4716" spans="1:3" ht="15.75" customHeight="1" x14ac:dyDescent="0.25">
      <c r="A4716" s="2"/>
      <c r="B4716" s="3"/>
      <c r="C4716" s="3"/>
    </row>
    <row r="4717" spans="1:3" ht="15.75" customHeight="1" x14ac:dyDescent="0.25">
      <c r="A4717" s="2"/>
      <c r="B4717" s="3"/>
      <c r="C4717" s="3"/>
    </row>
    <row r="4718" spans="1:3" ht="15.75" customHeight="1" x14ac:dyDescent="0.25">
      <c r="A4718" s="2"/>
      <c r="B4718" s="3"/>
      <c r="C4718" s="3"/>
    </row>
    <row r="4719" spans="1:3" ht="15.75" customHeight="1" x14ac:dyDescent="0.25">
      <c r="A4719" s="2"/>
      <c r="B4719" s="3"/>
      <c r="C4719" s="3"/>
    </row>
    <row r="4720" spans="1:3" ht="15.75" customHeight="1" x14ac:dyDescent="0.25">
      <c r="A4720" s="2"/>
      <c r="B4720" s="3"/>
      <c r="C4720" s="3"/>
    </row>
    <row r="4721" spans="1:3" ht="15.75" customHeight="1" x14ac:dyDescent="0.25">
      <c r="A4721" s="2"/>
      <c r="B4721" s="3"/>
      <c r="C4721" s="3"/>
    </row>
    <row r="4722" spans="1:3" ht="15.75" customHeight="1" x14ac:dyDescent="0.25">
      <c r="A4722" s="2"/>
      <c r="B4722" s="3"/>
      <c r="C4722" s="3"/>
    </row>
    <row r="4723" spans="1:3" ht="15.75" customHeight="1" x14ac:dyDescent="0.25">
      <c r="A4723" s="2"/>
      <c r="B4723" s="3"/>
      <c r="C4723" s="3"/>
    </row>
    <row r="4724" spans="1:3" ht="15.75" customHeight="1" x14ac:dyDescent="0.25">
      <c r="A4724" s="2"/>
      <c r="B4724" s="3"/>
      <c r="C4724" s="3"/>
    </row>
    <row r="4725" spans="1:3" ht="15.75" customHeight="1" x14ac:dyDescent="0.25">
      <c r="A4725" s="2"/>
      <c r="B4725" s="3"/>
      <c r="C4725" s="3"/>
    </row>
    <row r="4726" spans="1:3" ht="15.75" customHeight="1" x14ac:dyDescent="0.25">
      <c r="A4726" s="2"/>
      <c r="B4726" s="3"/>
      <c r="C4726" s="3"/>
    </row>
    <row r="4727" spans="1:3" ht="15.75" customHeight="1" x14ac:dyDescent="0.25">
      <c r="A4727" s="2"/>
      <c r="B4727" s="3"/>
      <c r="C4727" s="3"/>
    </row>
    <row r="4728" spans="1:3" ht="15.75" customHeight="1" x14ac:dyDescent="0.25">
      <c r="A4728" s="2"/>
      <c r="B4728" s="3"/>
      <c r="C4728" s="3"/>
    </row>
    <row r="4729" spans="1:3" ht="15.75" customHeight="1" x14ac:dyDescent="0.25">
      <c r="A4729" s="2"/>
      <c r="B4729" s="3"/>
      <c r="C4729" s="3"/>
    </row>
    <row r="4730" spans="1:3" ht="15.75" customHeight="1" x14ac:dyDescent="0.25">
      <c r="A4730" s="2"/>
      <c r="B4730" s="3"/>
      <c r="C4730" s="3"/>
    </row>
    <row r="4731" spans="1:3" ht="15.75" customHeight="1" x14ac:dyDescent="0.25">
      <c r="A4731" s="2"/>
      <c r="B4731" s="3"/>
      <c r="C4731" s="3"/>
    </row>
    <row r="4732" spans="1:3" ht="15.75" customHeight="1" x14ac:dyDescent="0.25">
      <c r="A4732" s="2"/>
      <c r="B4732" s="3"/>
      <c r="C4732" s="3"/>
    </row>
    <row r="4733" spans="1:3" ht="15.75" customHeight="1" x14ac:dyDescent="0.25">
      <c r="A4733" s="2"/>
      <c r="B4733" s="3"/>
      <c r="C4733" s="3"/>
    </row>
    <row r="4734" spans="1:3" ht="15.75" customHeight="1" x14ac:dyDescent="0.25">
      <c r="A4734" s="2"/>
      <c r="B4734" s="3"/>
      <c r="C4734" s="3"/>
    </row>
    <row r="4735" spans="1:3" ht="15.75" customHeight="1" x14ac:dyDescent="0.25">
      <c r="A4735" s="2"/>
      <c r="B4735" s="3"/>
      <c r="C4735" s="3"/>
    </row>
    <row r="4736" spans="1:3" ht="15.75" customHeight="1" x14ac:dyDescent="0.25">
      <c r="A4736" s="2"/>
      <c r="B4736" s="3"/>
      <c r="C4736" s="3"/>
    </row>
    <row r="4737" spans="1:3" ht="15.75" customHeight="1" x14ac:dyDescent="0.25">
      <c r="A4737" s="2"/>
      <c r="B4737" s="3"/>
      <c r="C4737" s="3"/>
    </row>
    <row r="4738" spans="1:3" ht="15.75" customHeight="1" x14ac:dyDescent="0.25">
      <c r="A4738" s="2"/>
      <c r="B4738" s="3"/>
      <c r="C4738" s="3"/>
    </row>
    <row r="4739" spans="1:3" ht="15.75" customHeight="1" x14ac:dyDescent="0.25">
      <c r="A4739" s="2"/>
      <c r="B4739" s="3"/>
      <c r="C4739" s="3"/>
    </row>
    <row r="4740" spans="1:3" ht="15.75" customHeight="1" x14ac:dyDescent="0.25">
      <c r="A4740" s="2"/>
      <c r="B4740" s="3"/>
      <c r="C4740" s="3"/>
    </row>
    <row r="4741" spans="1:3" ht="15.75" customHeight="1" x14ac:dyDescent="0.25">
      <c r="A4741" s="2"/>
      <c r="B4741" s="3"/>
      <c r="C4741" s="3"/>
    </row>
    <row r="4742" spans="1:3" ht="15.75" customHeight="1" x14ac:dyDescent="0.25">
      <c r="A4742" s="2"/>
      <c r="B4742" s="3"/>
      <c r="C4742" s="3"/>
    </row>
    <row r="4743" spans="1:3" ht="15.75" customHeight="1" x14ac:dyDescent="0.25">
      <c r="A4743" s="2"/>
      <c r="B4743" s="3"/>
      <c r="C4743" s="3"/>
    </row>
    <row r="4744" spans="1:3" ht="15.75" customHeight="1" x14ac:dyDescent="0.25">
      <c r="A4744" s="2"/>
      <c r="B4744" s="3"/>
      <c r="C4744" s="3"/>
    </row>
    <row r="4745" spans="1:3" ht="15.75" customHeight="1" x14ac:dyDescent="0.25">
      <c r="A4745" s="2"/>
      <c r="B4745" s="3"/>
      <c r="C4745" s="3"/>
    </row>
    <row r="4746" spans="1:3" ht="15.75" customHeight="1" x14ac:dyDescent="0.25">
      <c r="A4746" s="2"/>
      <c r="B4746" s="3"/>
      <c r="C4746" s="3"/>
    </row>
    <row r="4747" spans="1:3" ht="15.75" customHeight="1" x14ac:dyDescent="0.25">
      <c r="A4747" s="2"/>
      <c r="B4747" s="3"/>
      <c r="C4747" s="3"/>
    </row>
    <row r="4748" spans="1:3" ht="15.75" customHeight="1" x14ac:dyDescent="0.25">
      <c r="A4748" s="2"/>
      <c r="B4748" s="3"/>
      <c r="C4748" s="3"/>
    </row>
    <row r="4749" spans="1:3" ht="15.75" customHeight="1" x14ac:dyDescent="0.25">
      <c r="A4749" s="2"/>
      <c r="B4749" s="3"/>
      <c r="C4749" s="3"/>
    </row>
    <row r="4750" spans="1:3" ht="15.75" customHeight="1" x14ac:dyDescent="0.25">
      <c r="A4750" s="2"/>
      <c r="B4750" s="3"/>
      <c r="C4750" s="3"/>
    </row>
    <row r="4751" spans="1:3" ht="15.75" customHeight="1" x14ac:dyDescent="0.25">
      <c r="A4751" s="2"/>
      <c r="B4751" s="3"/>
      <c r="C4751" s="3"/>
    </row>
    <row r="4752" spans="1:3" ht="15.75" customHeight="1" x14ac:dyDescent="0.25">
      <c r="A4752" s="2"/>
      <c r="B4752" s="3"/>
      <c r="C4752" s="3"/>
    </row>
    <row r="4753" spans="1:3" ht="15.75" customHeight="1" x14ac:dyDescent="0.25">
      <c r="A4753" s="2"/>
      <c r="B4753" s="3"/>
      <c r="C4753" s="3"/>
    </row>
    <row r="4754" spans="1:3" ht="15.75" customHeight="1" x14ac:dyDescent="0.25">
      <c r="A4754" s="2"/>
      <c r="B4754" s="3"/>
      <c r="C4754" s="3"/>
    </row>
    <row r="4755" spans="1:3" ht="15.75" customHeight="1" x14ac:dyDescent="0.25">
      <c r="A4755" s="2"/>
      <c r="B4755" s="3"/>
      <c r="C4755" s="3"/>
    </row>
    <row r="4756" spans="1:3" ht="15.75" customHeight="1" x14ac:dyDescent="0.25">
      <c r="A4756" s="2"/>
      <c r="B4756" s="3"/>
      <c r="C4756" s="3"/>
    </row>
    <row r="4757" spans="1:3" ht="15.75" customHeight="1" x14ac:dyDescent="0.25">
      <c r="A4757" s="2"/>
      <c r="B4757" s="3"/>
      <c r="C4757" s="3"/>
    </row>
    <row r="4758" spans="1:3" ht="15.75" customHeight="1" x14ac:dyDescent="0.25">
      <c r="A4758" s="2"/>
      <c r="B4758" s="3"/>
      <c r="C4758" s="3"/>
    </row>
    <row r="4759" spans="1:3" ht="15.75" customHeight="1" x14ac:dyDescent="0.25">
      <c r="A4759" s="2"/>
      <c r="B4759" s="3"/>
      <c r="C4759" s="3"/>
    </row>
    <row r="4760" spans="1:3" ht="15.75" customHeight="1" x14ac:dyDescent="0.25">
      <c r="A4760" s="2"/>
      <c r="B4760" s="3"/>
      <c r="C4760" s="3"/>
    </row>
    <row r="4761" spans="1:3" ht="15.75" customHeight="1" x14ac:dyDescent="0.25">
      <c r="A4761" s="2"/>
      <c r="B4761" s="3"/>
      <c r="C4761" s="3"/>
    </row>
    <row r="4762" spans="1:3" ht="15.75" customHeight="1" x14ac:dyDescent="0.25">
      <c r="A4762" s="2"/>
      <c r="B4762" s="3"/>
      <c r="C4762" s="3"/>
    </row>
    <row r="4763" spans="1:3" ht="15.75" customHeight="1" x14ac:dyDescent="0.25">
      <c r="A4763" s="2"/>
      <c r="B4763" s="3"/>
      <c r="C4763" s="3"/>
    </row>
    <row r="4764" spans="1:3" ht="15.75" customHeight="1" x14ac:dyDescent="0.25">
      <c r="A4764" s="2"/>
      <c r="B4764" s="3"/>
      <c r="C4764" s="3"/>
    </row>
    <row r="4765" spans="1:3" ht="15.75" customHeight="1" x14ac:dyDescent="0.25">
      <c r="A4765" s="2"/>
      <c r="B4765" s="3"/>
      <c r="C4765" s="3"/>
    </row>
    <row r="4766" spans="1:3" ht="15.75" customHeight="1" x14ac:dyDescent="0.25">
      <c r="A4766" s="2"/>
      <c r="B4766" s="3"/>
      <c r="C4766" s="3"/>
    </row>
    <row r="4767" spans="1:3" ht="15.75" customHeight="1" x14ac:dyDescent="0.25">
      <c r="A4767" s="2"/>
      <c r="B4767" s="3"/>
      <c r="C4767" s="3"/>
    </row>
    <row r="4768" spans="1:3" ht="15.75" customHeight="1" x14ac:dyDescent="0.25">
      <c r="A4768" s="2"/>
      <c r="B4768" s="3"/>
      <c r="C4768" s="3"/>
    </row>
    <row r="4769" spans="1:3" ht="15.75" customHeight="1" x14ac:dyDescent="0.25">
      <c r="A4769" s="2"/>
      <c r="B4769" s="3"/>
      <c r="C4769" s="3"/>
    </row>
    <row r="4770" spans="1:3" ht="15.75" customHeight="1" x14ac:dyDescent="0.25">
      <c r="A4770" s="2"/>
      <c r="B4770" s="3"/>
      <c r="C4770" s="3"/>
    </row>
    <row r="4771" spans="1:3" ht="15.75" customHeight="1" x14ac:dyDescent="0.25">
      <c r="A4771" s="2"/>
      <c r="B4771" s="3"/>
      <c r="C4771" s="3"/>
    </row>
    <row r="4772" spans="1:3" ht="15.75" customHeight="1" x14ac:dyDescent="0.25">
      <c r="A4772" s="2"/>
      <c r="B4772" s="3"/>
      <c r="C4772" s="3"/>
    </row>
    <row r="4773" spans="1:3" ht="15.75" customHeight="1" x14ac:dyDescent="0.25">
      <c r="A4773" s="2"/>
      <c r="B4773" s="3"/>
      <c r="C4773" s="3"/>
    </row>
    <row r="4774" spans="1:3" ht="15.75" customHeight="1" x14ac:dyDescent="0.25">
      <c r="A4774" s="2"/>
      <c r="B4774" s="3"/>
      <c r="C4774" s="3"/>
    </row>
    <row r="4775" spans="1:3" ht="15.75" customHeight="1" x14ac:dyDescent="0.25">
      <c r="A4775" s="2"/>
      <c r="B4775" s="3"/>
      <c r="C4775" s="3"/>
    </row>
    <row r="4776" spans="1:3" ht="15.75" customHeight="1" x14ac:dyDescent="0.25">
      <c r="A4776" s="2"/>
      <c r="B4776" s="3"/>
      <c r="C4776" s="3"/>
    </row>
    <row r="4777" spans="1:3" ht="15.75" customHeight="1" x14ac:dyDescent="0.25">
      <c r="A4777" s="2"/>
      <c r="B4777" s="3"/>
      <c r="C4777" s="3"/>
    </row>
    <row r="4778" spans="1:3" ht="15.75" customHeight="1" x14ac:dyDescent="0.25">
      <c r="A4778" s="2"/>
      <c r="B4778" s="3"/>
      <c r="C4778" s="3"/>
    </row>
    <row r="4779" spans="1:3" ht="15.75" customHeight="1" x14ac:dyDescent="0.25">
      <c r="A4779" s="2"/>
      <c r="B4779" s="3"/>
      <c r="C4779" s="3"/>
    </row>
    <row r="4780" spans="1:3" ht="15.75" customHeight="1" x14ac:dyDescent="0.25">
      <c r="A4780" s="2"/>
      <c r="B4780" s="3"/>
      <c r="C4780" s="3"/>
    </row>
    <row r="4781" spans="1:3" ht="15.75" customHeight="1" x14ac:dyDescent="0.25">
      <c r="A4781" s="2"/>
      <c r="B4781" s="3"/>
      <c r="C4781" s="3"/>
    </row>
    <row r="4782" spans="1:3" ht="15.75" customHeight="1" x14ac:dyDescent="0.25">
      <c r="A4782" s="2"/>
      <c r="B4782" s="3"/>
      <c r="C4782" s="3"/>
    </row>
    <row r="4783" spans="1:3" ht="15.75" customHeight="1" x14ac:dyDescent="0.25">
      <c r="A4783" s="2"/>
      <c r="B4783" s="3"/>
      <c r="C4783" s="3"/>
    </row>
    <row r="4784" spans="1:3" ht="15.75" customHeight="1" x14ac:dyDescent="0.25">
      <c r="A4784" s="2"/>
      <c r="B4784" s="3"/>
      <c r="C4784" s="3"/>
    </row>
    <row r="4785" spans="1:3" ht="15.75" customHeight="1" x14ac:dyDescent="0.25">
      <c r="A4785" s="2"/>
      <c r="B4785" s="3"/>
      <c r="C4785" s="3"/>
    </row>
    <row r="4786" spans="1:3" ht="15.75" customHeight="1" x14ac:dyDescent="0.25">
      <c r="A4786" s="2"/>
      <c r="B4786" s="3"/>
      <c r="C4786" s="3"/>
    </row>
    <row r="4787" spans="1:3" ht="15.75" customHeight="1" x14ac:dyDescent="0.25">
      <c r="A4787" s="2"/>
      <c r="B4787" s="3"/>
      <c r="C4787" s="3"/>
    </row>
    <row r="4788" spans="1:3" ht="15.75" customHeight="1" x14ac:dyDescent="0.25">
      <c r="A4788" s="2"/>
      <c r="B4788" s="3"/>
      <c r="C4788" s="3"/>
    </row>
    <row r="4789" spans="1:3" ht="15.75" customHeight="1" x14ac:dyDescent="0.25">
      <c r="A4789" s="2"/>
      <c r="B4789" s="3"/>
      <c r="C4789" s="3"/>
    </row>
    <row r="4790" spans="1:3" ht="15.75" customHeight="1" x14ac:dyDescent="0.25">
      <c r="A4790" s="2"/>
      <c r="B4790" s="3"/>
      <c r="C4790" s="3"/>
    </row>
    <row r="4791" spans="1:3" ht="15.75" customHeight="1" x14ac:dyDescent="0.25">
      <c r="A4791" s="2"/>
      <c r="B4791" s="3"/>
      <c r="C4791" s="3"/>
    </row>
    <row r="4792" spans="1:3" ht="15.75" customHeight="1" x14ac:dyDescent="0.25">
      <c r="A4792" s="2"/>
      <c r="B4792" s="3"/>
      <c r="C4792" s="3"/>
    </row>
    <row r="4793" spans="1:3" ht="15.75" customHeight="1" x14ac:dyDescent="0.25">
      <c r="A4793" s="2"/>
      <c r="B4793" s="3"/>
      <c r="C4793" s="3"/>
    </row>
    <row r="4794" spans="1:3" ht="15.75" customHeight="1" x14ac:dyDescent="0.25">
      <c r="A4794" s="2"/>
      <c r="B4794" s="3"/>
      <c r="C479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F4163"/>
  <sheetViews>
    <sheetView zoomScale="115" zoomScaleNormal="115" workbookViewId="0">
      <selection activeCell="H7" sqref="H7"/>
    </sheetView>
  </sheetViews>
  <sheetFormatPr baseColWidth="10" defaultColWidth="12.6640625" defaultRowHeight="15.75" customHeight="1" x14ac:dyDescent="0.25"/>
  <cols>
    <col min="1" max="1" width="12.6640625" style="5"/>
    <col min="2" max="2" width="8.88671875" style="5" customWidth="1"/>
    <col min="3" max="3" width="12.33203125" style="10" customWidth="1"/>
    <col min="4" max="4" width="11.109375" style="10" customWidth="1"/>
    <col min="5" max="6" width="10.6640625" style="5" customWidth="1"/>
    <col min="7" max="7" width="14.77734375" style="5" customWidth="1"/>
    <col min="8" max="8" width="26" style="5" customWidth="1"/>
    <col min="9" max="9" width="17.88671875" style="5" customWidth="1"/>
    <col min="10" max="10" width="14.77734375" style="5" customWidth="1"/>
    <col min="11" max="11" width="12.6640625" style="5"/>
    <col min="12" max="12" width="15.21875" style="5" customWidth="1"/>
    <col min="13" max="13" width="19.21875" style="5" customWidth="1"/>
    <col min="14" max="16384" width="12.6640625" style="5"/>
  </cols>
  <sheetData>
    <row r="1" spans="1:32" ht="15.75" customHeight="1" x14ac:dyDescent="0.25">
      <c r="A1" s="4" t="s">
        <v>17</v>
      </c>
      <c r="B1" s="4" t="s">
        <v>18</v>
      </c>
      <c r="C1" s="9" t="s">
        <v>124</v>
      </c>
      <c r="D1" s="9" t="s">
        <v>125</v>
      </c>
      <c r="E1" s="4" t="s">
        <v>100</v>
      </c>
      <c r="F1" s="4" t="s">
        <v>128</v>
      </c>
      <c r="G1" s="4" t="s">
        <v>253</v>
      </c>
      <c r="H1" s="4" t="s">
        <v>129</v>
      </c>
      <c r="I1" s="4" t="s">
        <v>252</v>
      </c>
      <c r="J1" s="4" t="s">
        <v>130</v>
      </c>
      <c r="K1" s="4" t="s">
        <v>0</v>
      </c>
      <c r="L1" s="4" t="s">
        <v>61</v>
      </c>
      <c r="M1" s="4" t="s">
        <v>310</v>
      </c>
      <c r="N1" s="4" t="s">
        <v>311</v>
      </c>
      <c r="O1" s="4" t="s">
        <v>291</v>
      </c>
      <c r="P1" s="4" t="s">
        <v>303</v>
      </c>
      <c r="Q1" s="4" t="s">
        <v>323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.75" customHeight="1" x14ac:dyDescent="0.25">
      <c r="A2" s="6" t="s">
        <v>265</v>
      </c>
      <c r="B2" s="6" cm="1">
        <f t="array" ref="B2">alea_int(Settings!$B$10,1,Settings!$B$16)</f>
        <v>3</v>
      </c>
      <c r="C2" s="8">
        <v>46023</v>
      </c>
      <c r="D2" s="8">
        <f>C2+364</f>
        <v>46387</v>
      </c>
      <c r="E2" s="6" t="str" cm="1">
        <f t="array" ref="E2">choice(Groupes!A:A,1,Settings!$B$16)</f>
        <v>G1</v>
      </c>
      <c r="F2" s="6" t="str">
        <f t="shared" ref="F2" si="0">E2</f>
        <v>G1</v>
      </c>
      <c r="G2" s="6" t="str">
        <f>K2</f>
        <v>Prof28</v>
      </c>
      <c r="H2" s="6" t="str" cm="1">
        <f t="array" ref="H2">choice(Referentiel!A:A,1,Settings!$B$16)</f>
        <v>Design Objet</v>
      </c>
      <c r="I2" s="6" t="str" cm="1">
        <f t="array" ref="I2">choice(Referentiel!B:B,1,Settings!$B$16)</f>
        <v>2ème année Art-Espace S1</v>
      </c>
      <c r="J2" s="6" t="str" cm="1">
        <f t="array" ref="J2">choice(Referentiel!D:D,1,Settings!$B$16)</f>
        <v>L1</v>
      </c>
      <c r="K2" s="6" t="str" cm="1">
        <f t="array" ref="K2">choice(Professeurs!B:B,1,Settings!$B$16)</f>
        <v>Prof28</v>
      </c>
      <c r="L2" s="5" t="str" cm="1">
        <f t="array" ref="L2">choice(Referentiel!C:C,1,Settings!$B$16)</f>
        <v/>
      </c>
      <c r="M2" s="5" t="str" cm="1">
        <f t="array" ref="M2">choice(Referentiel!E:E,1,Settings!$B$16)</f>
        <v>Salle6</v>
      </c>
      <c r="N2" s="5" t="str" cm="1">
        <f t="array" ref="N2">choice(Settings!K:K,1,Settings!$B$16)</f>
        <v/>
      </c>
      <c r="P2" s="5">
        <f>B2+IF(M2&lt;&gt;"",2,0)+IF(N2&lt;&gt;"",2,0)</f>
        <v>5</v>
      </c>
      <c r="Q2" s="24"/>
    </row>
    <row r="3" spans="1:32" ht="15.75" customHeight="1" x14ac:dyDescent="0.25">
      <c r="A3" s="6" t="s">
        <v>355</v>
      </c>
      <c r="B3" s="6" cm="1">
        <f t="array" ref="B3">alea_int(Settings!$B$10,1,Settings!$B$16)</f>
        <v>2</v>
      </c>
      <c r="C3" s="8">
        <v>46023</v>
      </c>
      <c r="D3" s="8">
        <f t="shared" ref="D3:D66" si="1">C3+364</f>
        <v>46387</v>
      </c>
      <c r="E3" s="6" t="str" cm="1">
        <f t="array" ref="E3">choice(Groupes!A:A,1,Settings!$B$16)</f>
        <v>G22</v>
      </c>
      <c r="F3" s="6" t="str">
        <f t="shared" ref="F3:F66" si="2">E3</f>
        <v>G22</v>
      </c>
      <c r="G3" s="6" t="str">
        <f t="shared" ref="G3:G66" si="3">K3</f>
        <v>Prof28</v>
      </c>
      <c r="H3" s="6" t="str" cm="1">
        <f t="array" ref="H3">choice(Referentiel!A:A,1,Settings!$B$16)</f>
        <v>Gr REFLECTIVE INTERACTION</v>
      </c>
      <c r="I3" s="6" t="str" cm="1">
        <f t="array" ref="I3">choice(Referentiel!B:B,1,Settings!$B$16)</f>
        <v>2ème année Cinéma d'Animation S1</v>
      </c>
      <c r="J3" s="6" t="str" cm="1">
        <f t="array" ref="J3">choice(Referentiel!D:D,1,Settings!$B$16)</f>
        <v>M1</v>
      </c>
      <c r="K3" s="6" t="str" cm="1">
        <f t="array" ref="K3">choice(Professeurs!B:B,1,Settings!$B$16)</f>
        <v>Prof28</v>
      </c>
      <c r="L3" s="5" t="str" cm="1">
        <f t="array" ref="L3">choice(Referentiel!C:C,1,Settings!$B$16)</f>
        <v/>
      </c>
      <c r="M3" s="5" t="str" cm="1">
        <f t="array" ref="M3">choice(Referentiel!E:E,1,Settings!$B$16)</f>
        <v/>
      </c>
      <c r="N3" s="5" t="str" cm="1">
        <f t="array" ref="N3">choice(Settings!K:K,1,Settings!$B$16)</f>
        <v>jeudi am</v>
      </c>
      <c r="P3" s="5">
        <f t="shared" ref="P3:P66" si="4">B3+IF(M3&lt;&gt;"",2,0)+IF(N3&lt;&gt;"",2,0)</f>
        <v>4</v>
      </c>
    </row>
    <row r="4" spans="1:32" ht="15.75" customHeight="1" x14ac:dyDescent="0.25">
      <c r="A4" s="6" t="s">
        <v>356</v>
      </c>
      <c r="B4" s="6" cm="1">
        <f t="array" ref="B4">alea_int(Settings!$B$10,1,Settings!$B$16)</f>
        <v>3</v>
      </c>
      <c r="C4" s="8">
        <v>46023</v>
      </c>
      <c r="D4" s="8">
        <f t="shared" si="1"/>
        <v>46387</v>
      </c>
      <c r="E4" s="6" t="str" cm="1">
        <f t="array" ref="E4">choice(Groupes!A:A,1,Settings!$B$16)</f>
        <v>G15</v>
      </c>
      <c r="F4" s="6" t="str">
        <f t="shared" si="2"/>
        <v>G15</v>
      </c>
      <c r="G4" s="6" t="str">
        <f t="shared" si="3"/>
        <v>Prof9</v>
      </c>
      <c r="H4" s="6" t="str" cm="1">
        <f t="array" ref="H4">choice(Referentiel!A:A,1,Settings!$B$16)</f>
        <v>Gr SYMBIOSE</v>
      </c>
      <c r="I4" s="6" t="str" cm="1">
        <f t="array" ref="I4">choice(Referentiel!B:B,1,Settings!$B$16)</f>
        <v>3ème année Design Graphique S1</v>
      </c>
      <c r="J4" s="6" t="str" cm="1">
        <f t="array" ref="J4">choice(Referentiel!D:D,1,Settings!$B$16)</f>
        <v>L2</v>
      </c>
      <c r="K4" s="6" t="str" cm="1">
        <f t="array" ref="K4">choice(Professeurs!B:B,1,Settings!$B$16)</f>
        <v>Prof9</v>
      </c>
      <c r="L4" s="5" t="str" cm="1">
        <f t="array" ref="L4">choice(Referentiel!C:C,1,Settings!$B$16)</f>
        <v/>
      </c>
      <c r="M4" s="5" t="str" cm="1">
        <f t="array" ref="M4">choice(Referentiel!E:E,1,Settings!$B$16)</f>
        <v/>
      </c>
      <c r="N4" s="5" t="str" cm="1">
        <f t="array" ref="N4">choice(Settings!K:K,1,Settings!$B$16)</f>
        <v>lundi pm</v>
      </c>
      <c r="P4" s="5">
        <f t="shared" si="4"/>
        <v>5</v>
      </c>
    </row>
    <row r="5" spans="1:32" ht="15.75" customHeight="1" x14ac:dyDescent="0.25">
      <c r="A5" s="6" t="s">
        <v>357</v>
      </c>
      <c r="B5" s="6" cm="1">
        <f t="array" ref="B5">alea_int(Settings!$B$10,1,Settings!$B$16)</f>
        <v>3</v>
      </c>
      <c r="C5" s="8">
        <v>46023</v>
      </c>
      <c r="D5" s="8">
        <f t="shared" si="1"/>
        <v>46387</v>
      </c>
      <c r="E5" s="6" t="str" cm="1">
        <f t="array" ref="E5">choice(Groupes!A:A,1,Settings!$B$16)</f>
        <v>G22</v>
      </c>
      <c r="F5" s="6" t="str">
        <f t="shared" si="2"/>
        <v>G22</v>
      </c>
      <c r="G5" s="6" t="str">
        <f t="shared" si="3"/>
        <v>Prof5</v>
      </c>
      <c r="H5" s="6" t="str" cm="1">
        <f t="array" ref="H5">choice(Referentiel!A:A,1,Settings!$B$16)</f>
        <v>Gr REFLECTIVE INTERACTION</v>
      </c>
      <c r="I5" s="6" t="str" cm="1">
        <f t="array" ref="I5">choice(Referentiel!B:B,1,Settings!$B$16)</f>
        <v>4ème année Photo / Vidéo S1</v>
      </c>
      <c r="J5" s="6" t="str" cm="1">
        <f t="array" ref="J5">choice(Referentiel!D:D,1,Settings!$B$16)</f>
        <v>M2</v>
      </c>
      <c r="K5" s="6" t="str" cm="1">
        <f t="array" ref="K5">choice(Professeurs!B:B,1,Settings!$B$16)</f>
        <v>Prof5</v>
      </c>
      <c r="L5" s="5" t="str" cm="1">
        <f t="array" ref="L5">choice(Referentiel!C:C,1,Settings!$B$16)</f>
        <v/>
      </c>
      <c r="M5" s="5" t="str" cm="1">
        <f t="array" ref="M5">choice(Referentiel!E:E,1,Settings!$B$16)</f>
        <v/>
      </c>
      <c r="N5" s="5" t="str" cm="1">
        <f t="array" ref="N5">choice(Settings!K:K,1,Settings!$B$16)</f>
        <v/>
      </c>
      <c r="P5" s="5">
        <f t="shared" si="4"/>
        <v>3</v>
      </c>
    </row>
    <row r="6" spans="1:32" ht="15.75" customHeight="1" x14ac:dyDescent="0.25">
      <c r="A6" s="6" t="s">
        <v>358</v>
      </c>
      <c r="B6" s="6" cm="1">
        <f t="array" ref="B6">alea_int(Settings!$B$10,1,Settings!$B$16)</f>
        <v>1</v>
      </c>
      <c r="C6" s="8">
        <v>46023</v>
      </c>
      <c r="D6" s="8">
        <f t="shared" si="1"/>
        <v>46387</v>
      </c>
      <c r="E6" s="6" t="str" cm="1">
        <f t="array" ref="E6">choice(Groupes!A:A,1,Settings!$B$16)</f>
        <v>G19</v>
      </c>
      <c r="F6" s="6" t="str">
        <f t="shared" si="2"/>
        <v>G19</v>
      </c>
      <c r="G6" s="6" t="str">
        <f t="shared" si="3"/>
        <v>Prof5</v>
      </c>
      <c r="H6" s="6" t="str" cm="1">
        <f t="array" ref="H6">choice(Referentiel!A:A,1,Settings!$B$16)</f>
        <v>Cinéma d'Animation</v>
      </c>
      <c r="I6" s="6" t="str" cm="1">
        <f t="array" ref="I6">choice(Referentiel!B:B,1,Settings!$B$16)</f>
        <v>5ème année Design Vêtement S2</v>
      </c>
      <c r="J6" s="6" t="str" cm="1">
        <f t="array" ref="J6">choice(Referentiel!D:D,1,Settings!$B$16)</f>
        <v>M2</v>
      </c>
      <c r="K6" s="6" t="str" cm="1">
        <f t="array" ref="K6">choice(Professeurs!B:B,1,Settings!$B$16)</f>
        <v>Prof5</v>
      </c>
      <c r="L6" s="5" t="str" cm="1">
        <f t="array" ref="L6">choice(Referentiel!C:C,1,Settings!$B$16)</f>
        <v/>
      </c>
      <c r="M6" s="5" t="str" cm="1">
        <f t="array" ref="M6">choice(Referentiel!E:E,1,Settings!$B$16)</f>
        <v/>
      </c>
      <c r="N6" s="5" t="str" cm="1">
        <f t="array" ref="N6">choice(Settings!K:K,1,Settings!$B$16)</f>
        <v/>
      </c>
      <c r="P6" s="5">
        <f t="shared" si="4"/>
        <v>1</v>
      </c>
    </row>
    <row r="7" spans="1:32" ht="15.75" customHeight="1" x14ac:dyDescent="0.25">
      <c r="A7" s="6" t="s">
        <v>359</v>
      </c>
      <c r="B7" s="6" cm="1">
        <f t="array" ref="B7">alea_int(Settings!$B$10,1,Settings!$B$16)</f>
        <v>3</v>
      </c>
      <c r="C7" s="8">
        <v>46023</v>
      </c>
      <c r="D7" s="8">
        <f t="shared" si="1"/>
        <v>46387</v>
      </c>
      <c r="E7" s="6" t="str" cm="1">
        <f t="array" ref="E7">choice(Groupes!A:A,1,Settings!$B$16)</f>
        <v>G16</v>
      </c>
      <c r="F7" s="6" t="str">
        <f t="shared" si="2"/>
        <v>G16</v>
      </c>
      <c r="G7" s="6" t="str">
        <f t="shared" si="3"/>
        <v>Prof54</v>
      </c>
      <c r="H7" s="6" t="str" cm="1">
        <f t="array" ref="H7">choice(Referentiel!A:A,1,Settings!$B$16)</f>
        <v>Scénographie</v>
      </c>
      <c r="I7" s="6" t="str" cm="1">
        <f t="array" ref="I7">choice(Referentiel!B:B,1,Settings!$B$16)</f>
        <v>5ème année Design Objet S2</v>
      </c>
      <c r="J7" s="6" t="str" cm="1">
        <f t="array" ref="J7">choice(Referentiel!D:D,1,Settings!$B$16)</f>
        <v>M1</v>
      </c>
      <c r="K7" s="6" t="str" cm="1">
        <f t="array" ref="K7">choice(Professeurs!B:B,1,Settings!$B$16)</f>
        <v>Prof54</v>
      </c>
      <c r="L7" s="5" t="str" cm="1">
        <f t="array" ref="L7">choice(Referentiel!C:C,1,Settings!$B$16)</f>
        <v/>
      </c>
      <c r="M7" s="5" t="str" cm="1">
        <f t="array" ref="M7">choice(Referentiel!E:E,1,Settings!$B$16)</f>
        <v/>
      </c>
      <c r="N7" s="5" t="str" cm="1">
        <f t="array" ref="N7">choice(Settings!K:K,1,Settings!$B$16)</f>
        <v/>
      </c>
      <c r="P7" s="5">
        <f t="shared" si="4"/>
        <v>3</v>
      </c>
    </row>
    <row r="8" spans="1:32" ht="15.75" customHeight="1" x14ac:dyDescent="0.25">
      <c r="A8" s="6" t="s">
        <v>360</v>
      </c>
      <c r="B8" s="6" cm="1">
        <f t="array" ref="B8">alea_int(Settings!$B$10,1,Settings!$B$16)</f>
        <v>2</v>
      </c>
      <c r="C8" s="8">
        <v>46023</v>
      </c>
      <c r="D8" s="8">
        <f t="shared" si="1"/>
        <v>46387</v>
      </c>
      <c r="E8" s="6" t="str" cm="1">
        <f t="array" ref="E8">choice(Groupes!A:A,1,Settings!$B$16)</f>
        <v>G3</v>
      </c>
      <c r="F8" s="6" t="str">
        <f t="shared" si="2"/>
        <v>G3</v>
      </c>
      <c r="G8" s="6" t="str">
        <f t="shared" si="3"/>
        <v>Prof24</v>
      </c>
      <c r="H8" s="6" t="str" cm="1">
        <f t="array" ref="H8">choice(Referentiel!A:A,1,Settings!$B$16)</f>
        <v>1ère année Groupe 2</v>
      </c>
      <c r="I8" s="6" t="str" cm="1">
        <f t="array" ref="I8">choice(Referentiel!B:B,1,Settings!$B$16)</f>
        <v>2ème année Scénographie S1</v>
      </c>
      <c r="J8" s="6" t="str" cm="1">
        <f t="array" ref="J8">choice(Referentiel!D:D,1,Settings!$B$16)</f>
        <v>L3</v>
      </c>
      <c r="K8" s="6" t="str" cm="1">
        <f t="array" ref="K8">choice(Professeurs!B:B,1,Settings!$B$16)</f>
        <v>Prof24</v>
      </c>
      <c r="L8" s="5" t="str" cm="1">
        <f t="array" ref="L8">choice(Referentiel!C:C,1,Settings!$B$16)</f>
        <v/>
      </c>
      <c r="M8" s="5" t="str" cm="1">
        <f t="array" ref="M8">choice(Referentiel!E:E,1,Settings!$B$16)</f>
        <v/>
      </c>
      <c r="N8" s="5" t="str" cm="1">
        <f t="array" ref="N8">choice(Settings!K:K,1,Settings!$B$16)</f>
        <v/>
      </c>
      <c r="P8" s="5">
        <f t="shared" si="4"/>
        <v>2</v>
      </c>
    </row>
    <row r="9" spans="1:32" ht="15.75" customHeight="1" x14ac:dyDescent="0.25">
      <c r="A9" s="6" t="s">
        <v>361</v>
      </c>
      <c r="B9" s="6" cm="1">
        <f t="array" ref="B9">alea_int(Settings!$B$10,1,Settings!$B$16)</f>
        <v>2</v>
      </c>
      <c r="C9" s="8">
        <v>46023</v>
      </c>
      <c r="D9" s="8">
        <f t="shared" si="1"/>
        <v>46387</v>
      </c>
      <c r="E9" s="6" t="str" cm="1">
        <f t="array" ref="E9">choice(Groupes!A:A,1,Settings!$B$16)</f>
        <v>G21</v>
      </c>
      <c r="F9" s="6" t="str">
        <f t="shared" si="2"/>
        <v>G21</v>
      </c>
      <c r="G9" s="6" t="str">
        <f t="shared" si="3"/>
        <v>Prof22</v>
      </c>
      <c r="H9" s="6" t="str" cm="1">
        <f t="array" ref="H9">choice(Referentiel!A:A,1,Settings!$B$16)</f>
        <v>6ème année atelier</v>
      </c>
      <c r="I9" s="6" t="str" cm="1">
        <f t="array" ref="I9">choice(Referentiel!B:B,1,Settings!$B$16)</f>
        <v>4ème année Art-Espace S2</v>
      </c>
      <c r="J9" s="6" t="str" cm="1">
        <f t="array" ref="J9">choice(Referentiel!D:D,1,Settings!$B$16)</f>
        <v>L2</v>
      </c>
      <c r="K9" s="6" t="str" cm="1">
        <f t="array" ref="K9">choice(Professeurs!B:B,1,Settings!$B$16)</f>
        <v>Prof22</v>
      </c>
      <c r="L9" s="5" t="str" cm="1">
        <f t="array" ref="L9">choice(Referentiel!C:C,1,Settings!$B$16)</f>
        <v>fenetre</v>
      </c>
      <c r="M9" s="5" t="str" cm="1">
        <f t="array" ref="M9">choice(Referentiel!E:E,1,Settings!$B$16)</f>
        <v/>
      </c>
      <c r="N9" s="5" t="str" cm="1">
        <f t="array" ref="N9">choice(Settings!K:K,1,Settings!$B$16)</f>
        <v>semaine</v>
      </c>
      <c r="P9" s="5">
        <f t="shared" si="4"/>
        <v>4</v>
      </c>
    </row>
    <row r="10" spans="1:32" ht="15.75" customHeight="1" x14ac:dyDescent="0.25">
      <c r="A10" s="6" t="s">
        <v>362</v>
      </c>
      <c r="B10" s="6" cm="1">
        <f t="array" ref="B10">alea_int(Settings!$B$10,1,Settings!$B$16)</f>
        <v>2</v>
      </c>
      <c r="C10" s="8">
        <v>46023</v>
      </c>
      <c r="D10" s="8">
        <f t="shared" si="1"/>
        <v>46387</v>
      </c>
      <c r="E10" s="6" t="str" cm="1">
        <f t="array" ref="E10">choice(Groupes!A:A,1,Settings!$B$16)</f>
        <v>G20</v>
      </c>
      <c r="F10" s="6" t="str">
        <f t="shared" si="2"/>
        <v>G20</v>
      </c>
      <c r="G10" s="6" t="str">
        <f t="shared" si="3"/>
        <v>Prof51</v>
      </c>
      <c r="H10" s="6" t="str" cm="1">
        <f t="array" ref="H10">choice(Referentiel!A:A,1,Settings!$B$16)</f>
        <v>Gr SYMBIOSE</v>
      </c>
      <c r="I10" s="6" t="str" cm="1">
        <f t="array" ref="I10">choice(Referentiel!B:B,1,Settings!$B$16)</f>
        <v>5ème année Cinéma d'Animation S2</v>
      </c>
      <c r="J10" s="6" t="str" cm="1">
        <f t="array" ref="J10">choice(Referentiel!D:D,1,Settings!$B$16)</f>
        <v>L1</v>
      </c>
      <c r="K10" s="6" t="str" cm="1">
        <f t="array" ref="K10">choice(Professeurs!B:B,1,Settings!$B$16)</f>
        <v>Prof51</v>
      </c>
      <c r="L10" s="5" t="str" cm="1">
        <f t="array" ref="L10">choice(Referentiel!C:C,1,Settings!$B$16)</f>
        <v/>
      </c>
      <c r="M10" s="5" t="str" cm="1">
        <f t="array" ref="M10">choice(Referentiel!E:E,1,Settings!$B$16)</f>
        <v/>
      </c>
      <c r="N10" s="5" t="str" cm="1">
        <f t="array" ref="N10">choice(Settings!K:K,1,Settings!$B$16)</f>
        <v/>
      </c>
      <c r="P10" s="5">
        <f t="shared" si="4"/>
        <v>2</v>
      </c>
    </row>
    <row r="11" spans="1:32" ht="15.75" customHeight="1" x14ac:dyDescent="0.25">
      <c r="A11" s="6" t="s">
        <v>363</v>
      </c>
      <c r="B11" s="6" cm="1">
        <f t="array" ref="B11">alea_int(Settings!$B$10,1,Settings!$B$16)</f>
        <v>3</v>
      </c>
      <c r="C11" s="8">
        <v>46023</v>
      </c>
      <c r="D11" s="8">
        <f t="shared" si="1"/>
        <v>46387</v>
      </c>
      <c r="E11" s="6" t="str" cm="1">
        <f t="array" ref="E11">choice(Groupes!A:A,1,Settings!$B$16)</f>
        <v>G17</v>
      </c>
      <c r="F11" s="6" t="str">
        <f t="shared" si="2"/>
        <v>G17</v>
      </c>
      <c r="G11" s="6" t="str">
        <f t="shared" si="3"/>
        <v>Prof34</v>
      </c>
      <c r="H11" s="6" t="str" cm="1">
        <f t="array" ref="H11">choice(Referentiel!A:A,1,Settings!$B$16)</f>
        <v>Architecture Intérieure</v>
      </c>
      <c r="I11" s="6" t="str" cm="1">
        <f t="array" ref="I11">choice(Referentiel!B:B,1,Settings!$B$16)</f>
        <v>3ème année Design Graphique S2</v>
      </c>
      <c r="J11" s="6" t="str" cm="1">
        <f t="array" ref="J11">choice(Referentiel!D:D,1,Settings!$B$16)</f>
        <v>L3</v>
      </c>
      <c r="K11" s="6" t="str" cm="1">
        <f t="array" ref="K11">choice(Professeurs!B:B,1,Settings!$B$16)</f>
        <v>Prof34</v>
      </c>
      <c r="L11" s="5" t="str" cm="1">
        <f t="array" ref="L11">choice(Referentiel!C:C,1,Settings!$B$16)</f>
        <v/>
      </c>
      <c r="M11" s="5" t="str" cm="1">
        <f t="array" ref="M11">choice(Referentiel!E:E,1,Settings!$B$16)</f>
        <v/>
      </c>
      <c r="N11" s="5" t="str" cm="1">
        <f t="array" ref="N11">choice(Settings!K:K,1,Settings!$B$16)</f>
        <v/>
      </c>
      <c r="P11" s="5">
        <f t="shared" si="4"/>
        <v>3</v>
      </c>
    </row>
    <row r="12" spans="1:32" ht="15.75" customHeight="1" x14ac:dyDescent="0.25">
      <c r="A12" s="6" t="s">
        <v>364</v>
      </c>
      <c r="B12" s="6" cm="1">
        <f t="array" ref="B12">alea_int(Settings!$B$10,1,Settings!$B$16)</f>
        <v>3</v>
      </c>
      <c r="C12" s="8">
        <v>46023</v>
      </c>
      <c r="D12" s="8">
        <f t="shared" si="1"/>
        <v>46387</v>
      </c>
      <c r="E12" s="6" t="str" cm="1">
        <f t="array" ref="E12">choice(Groupes!A:A,1,Settings!$B$16)</f>
        <v>G17</v>
      </c>
      <c r="F12" s="6" t="str">
        <f t="shared" si="2"/>
        <v>G17</v>
      </c>
      <c r="G12" s="6" t="str">
        <f t="shared" si="3"/>
        <v>Prof7</v>
      </c>
      <c r="H12" s="6" t="str" cm="1">
        <f t="array" ref="H12">choice(Referentiel!A:A,1,Settings!$B$16)</f>
        <v>6ème ANNÉE STAGE</v>
      </c>
      <c r="I12" s="6" t="str" cm="1">
        <f t="array" ref="I12">choice(Referentiel!B:B,1,Settings!$B$16)</f>
        <v>2ème année Design Objet S2</v>
      </c>
      <c r="J12" s="6" t="str" cm="1">
        <f t="array" ref="J12">choice(Referentiel!D:D,1,Settings!$B$16)</f>
        <v>M2</v>
      </c>
      <c r="K12" s="6" t="str" cm="1">
        <f t="array" ref="K12">choice(Professeurs!B:B,1,Settings!$B$16)</f>
        <v>Prof7</v>
      </c>
      <c r="L12" s="5" t="str" cm="1">
        <f t="array" ref="L12">choice(Referentiel!C:C,1,Settings!$B$16)</f>
        <v/>
      </c>
      <c r="M12" s="5" t="str" cm="1">
        <f t="array" ref="M12">choice(Referentiel!E:E,1,Settings!$B$16)</f>
        <v/>
      </c>
      <c r="N12" s="5" t="str" cm="1">
        <f t="array" ref="N12">choice(Settings!K:K,1,Settings!$B$16)</f>
        <v/>
      </c>
      <c r="P12" s="5">
        <f t="shared" si="4"/>
        <v>3</v>
      </c>
    </row>
    <row r="13" spans="1:32" ht="15.75" customHeight="1" x14ac:dyDescent="0.25">
      <c r="A13" s="6" t="s">
        <v>365</v>
      </c>
      <c r="B13" s="6" cm="1">
        <f t="array" ref="B13">alea_int(Settings!$B$10,1,Settings!$B$16)</f>
        <v>1</v>
      </c>
      <c r="C13" s="8">
        <v>46023</v>
      </c>
      <c r="D13" s="8">
        <f t="shared" si="1"/>
        <v>46387</v>
      </c>
      <c r="E13" s="6" t="str" cm="1">
        <f t="array" ref="E13">choice(Groupes!A:A,1,Settings!$B$16)</f>
        <v>G15</v>
      </c>
      <c r="F13" s="6" t="str">
        <f t="shared" si="2"/>
        <v>G15</v>
      </c>
      <c r="G13" s="6" t="str">
        <f t="shared" si="3"/>
        <v>Prof30</v>
      </c>
      <c r="H13" s="6" t="str" cm="1">
        <f t="array" ref="H13">choice(Referentiel!A:A,1,Settings!$B$16)</f>
        <v>1ère année Groupe 4</v>
      </c>
      <c r="I13" s="6" t="str" cm="1">
        <f t="array" ref="I13">choice(Referentiel!B:B,1,Settings!$B$16)</f>
        <v>4ème année Design Graphique S2</v>
      </c>
      <c r="J13" s="6" t="str" cm="1">
        <f t="array" ref="J13">choice(Referentiel!D:D,1,Settings!$B$16)</f>
        <v>L1</v>
      </c>
      <c r="K13" s="6" t="str" cm="1">
        <f t="array" ref="K13">choice(Professeurs!B:B,1,Settings!$B$16)</f>
        <v>Prof30</v>
      </c>
      <c r="L13" s="5" t="str" cm="1">
        <f t="array" ref="L13">choice(Referentiel!C:C,1,Settings!$B$16)</f>
        <v/>
      </c>
      <c r="M13" s="5" t="str" cm="1">
        <f t="array" ref="M13">choice(Referentiel!E:E,1,Settings!$B$16)</f>
        <v/>
      </c>
      <c r="N13" s="5" t="str" cm="1">
        <f t="array" ref="N13">choice(Settings!K:K,1,Settings!$B$16)</f>
        <v>vendredi am</v>
      </c>
      <c r="P13" s="5">
        <f t="shared" si="4"/>
        <v>3</v>
      </c>
    </row>
    <row r="14" spans="1:32" ht="15.75" customHeight="1" x14ac:dyDescent="0.25">
      <c r="A14" s="6" t="s">
        <v>366</v>
      </c>
      <c r="B14" s="6" cm="1">
        <f t="array" ref="B14">alea_int(Settings!$B$10,1,Settings!$B$16)</f>
        <v>2</v>
      </c>
      <c r="C14" s="8">
        <v>46023</v>
      </c>
      <c r="D14" s="8">
        <f t="shared" si="1"/>
        <v>46387</v>
      </c>
      <c r="E14" s="6" t="str" cm="1">
        <f t="array" ref="E14">choice(Groupes!A:A,1,Settings!$B$16)</f>
        <v>G12</v>
      </c>
      <c r="F14" s="6" t="str">
        <f t="shared" si="2"/>
        <v>G12</v>
      </c>
      <c r="G14" s="6" t="str">
        <f t="shared" si="3"/>
        <v>Prof11</v>
      </c>
      <c r="H14" s="6" t="str" cm="1">
        <f t="array" ref="H14">choice(Referentiel!A:A,1,Settings!$B$16)</f>
        <v>Photo / Vidéo</v>
      </c>
      <c r="I14" s="6" t="str" cm="1">
        <f t="array" ref="I14">choice(Referentiel!B:B,1,Settings!$B$16)</f>
        <v>5ème année Cinéma d'Animation S1</v>
      </c>
      <c r="J14" s="6" t="str" cm="1">
        <f t="array" ref="J14">choice(Referentiel!D:D,1,Settings!$B$16)</f>
        <v>L2</v>
      </c>
      <c r="K14" s="6" t="str" cm="1">
        <f t="array" ref="K14">choice(Professeurs!B:B,1,Settings!$B$16)</f>
        <v>Prof11</v>
      </c>
      <c r="L14" s="5" t="str" cm="1">
        <f t="array" ref="L14">choice(Referentiel!C:C,1,Settings!$B$16)</f>
        <v/>
      </c>
      <c r="M14" s="5" t="str" cm="1">
        <f t="array" ref="M14">choice(Referentiel!E:E,1,Settings!$B$16)</f>
        <v/>
      </c>
      <c r="N14" s="5" t="str" cm="1">
        <f t="array" ref="N14">choice(Settings!K:K,1,Settings!$B$16)</f>
        <v/>
      </c>
      <c r="P14" s="5">
        <f t="shared" si="4"/>
        <v>2</v>
      </c>
    </row>
    <row r="15" spans="1:32" ht="15.75" customHeight="1" x14ac:dyDescent="0.25">
      <c r="A15" s="6" t="s">
        <v>367</v>
      </c>
      <c r="B15" s="6" cm="1">
        <f t="array" ref="B15">alea_int(Settings!$B$10,1,Settings!$B$16)</f>
        <v>2</v>
      </c>
      <c r="C15" s="8">
        <v>46023</v>
      </c>
      <c r="D15" s="8">
        <f t="shared" si="1"/>
        <v>46387</v>
      </c>
      <c r="E15" s="6" t="str" cm="1">
        <f t="array" ref="E15">choice(Groupes!A:A,1,Settings!$B$16)</f>
        <v>G4</v>
      </c>
      <c r="F15" s="6" t="str">
        <f t="shared" si="2"/>
        <v>G4</v>
      </c>
      <c r="G15" s="6" t="str">
        <f t="shared" si="3"/>
        <v>Prof5</v>
      </c>
      <c r="H15" s="6" t="str" cm="1">
        <f t="array" ref="H15">choice(Referentiel!A:A,1,Settings!$B$16)</f>
        <v>Scénographie</v>
      </c>
      <c r="I15" s="6" t="str" cm="1">
        <f t="array" ref="I15">choice(Referentiel!B:B,1,Settings!$B$16)</f>
        <v>4ème année Photo / Vidéo S2</v>
      </c>
      <c r="J15" s="6" t="str" cm="1">
        <f t="array" ref="J15">choice(Referentiel!D:D,1,Settings!$B$16)</f>
        <v>L2</v>
      </c>
      <c r="K15" s="6" t="str" cm="1">
        <f t="array" ref="K15">choice(Professeurs!B:B,1,Settings!$B$16)</f>
        <v>Prof5</v>
      </c>
      <c r="L15" s="5" t="str" cm="1">
        <f t="array" ref="L15">choice(Referentiel!C:C,1,Settings!$B$16)</f>
        <v/>
      </c>
      <c r="M15" s="5" t="str" cm="1">
        <f t="array" ref="M15">choice(Referentiel!E:E,1,Settings!$B$16)</f>
        <v/>
      </c>
      <c r="N15" s="5" t="str" cm="1">
        <f t="array" ref="N15">choice(Settings!K:K,1,Settings!$B$16)</f>
        <v/>
      </c>
      <c r="P15" s="5">
        <f t="shared" si="4"/>
        <v>2</v>
      </c>
    </row>
    <row r="16" spans="1:32" ht="15.75" customHeight="1" x14ac:dyDescent="0.25">
      <c r="A16" s="6" t="s">
        <v>368</v>
      </c>
      <c r="B16" s="6" cm="1">
        <f t="array" ref="B16">alea_int(Settings!$B$10,1,Settings!$B$16)</f>
        <v>3</v>
      </c>
      <c r="C16" s="8">
        <v>46023</v>
      </c>
      <c r="D16" s="8">
        <f t="shared" si="1"/>
        <v>46387</v>
      </c>
      <c r="E16" s="6" t="str" cm="1">
        <f t="array" ref="E16">choice(Groupes!A:A,1,Settings!$B$16)</f>
        <v>G14</v>
      </c>
      <c r="F16" s="6" t="str">
        <f t="shared" si="2"/>
        <v>G14</v>
      </c>
      <c r="G16" s="6" t="str">
        <f t="shared" si="3"/>
        <v>Prof44</v>
      </c>
      <c r="H16" s="6" t="str" cm="1">
        <f t="array" ref="H16">choice(Referentiel!A:A,1,Settings!$B$16)</f>
        <v>Gr ART, DESIGN, SOCIETE</v>
      </c>
      <c r="I16" s="6" t="str" cm="1">
        <f t="array" ref="I16">choice(Referentiel!B:B,1,Settings!$B$16)</f>
        <v>2ème année Design Textile et Matière S2</v>
      </c>
      <c r="J16" s="6" t="str" cm="1">
        <f t="array" ref="J16">choice(Referentiel!D:D,1,Settings!$B$16)</f>
        <v>L3</v>
      </c>
      <c r="K16" s="6" t="str" cm="1">
        <f t="array" ref="K16">choice(Professeurs!B:B,1,Settings!$B$16)</f>
        <v>Prof44</v>
      </c>
      <c r="L16" s="5" t="str" cm="1">
        <f t="array" ref="L16">choice(Referentiel!C:C,1,Settings!$B$16)</f>
        <v/>
      </c>
      <c r="M16" s="5" t="str" cm="1">
        <f t="array" ref="M16">choice(Referentiel!E:E,1,Settings!$B$16)</f>
        <v/>
      </c>
      <c r="N16" s="5" t="str" cm="1">
        <f t="array" ref="N16">choice(Settings!K:K,1,Settings!$B$16)</f>
        <v/>
      </c>
      <c r="P16" s="5">
        <f t="shared" si="4"/>
        <v>3</v>
      </c>
    </row>
    <row r="17" spans="1:16" ht="15.75" customHeight="1" x14ac:dyDescent="0.25">
      <c r="A17" s="6" t="s">
        <v>369</v>
      </c>
      <c r="B17" s="6" cm="1">
        <f t="array" ref="B17">alea_int(Settings!$B$10,1,Settings!$B$16)</f>
        <v>2</v>
      </c>
      <c r="C17" s="8">
        <v>46023</v>
      </c>
      <c r="D17" s="8">
        <f t="shared" si="1"/>
        <v>46387</v>
      </c>
      <c r="E17" s="6" t="str" cm="1">
        <f t="array" ref="E17">choice(Groupes!A:A,1,Settings!$B$16)</f>
        <v>G5</v>
      </c>
      <c r="F17" s="6" t="str">
        <f t="shared" si="2"/>
        <v>G5</v>
      </c>
      <c r="G17" s="6" t="str">
        <f t="shared" si="3"/>
        <v>Prof21</v>
      </c>
      <c r="H17" s="6" t="str" cm="1">
        <f t="array" ref="H17">choice(Referentiel!A:A,1,Settings!$B$16)</f>
        <v>Scénographie</v>
      </c>
      <c r="I17" s="6" t="str" cm="1">
        <f t="array" ref="I17">choice(Referentiel!B:B,1,Settings!$B$16)</f>
        <v>2ème année Image Imprimée S1</v>
      </c>
      <c r="J17" s="6" t="str" cm="1">
        <f t="array" ref="J17">choice(Referentiel!D:D,1,Settings!$B$16)</f>
        <v>L1</v>
      </c>
      <c r="K17" s="6" t="str" cm="1">
        <f t="array" ref="K17">choice(Professeurs!B:B,1,Settings!$B$16)</f>
        <v>Prof21</v>
      </c>
      <c r="L17" s="5" t="str" cm="1">
        <f t="array" ref="L17">choice(Referentiel!C:C,1,Settings!$B$16)</f>
        <v/>
      </c>
      <c r="M17" s="5" t="str" cm="1">
        <f t="array" ref="M17">choice(Referentiel!E:E,1,Settings!$B$16)</f>
        <v/>
      </c>
      <c r="N17" s="5" t="str" cm="1">
        <f t="array" ref="N17">choice(Settings!K:K,1,Settings!$B$16)</f>
        <v>jeudi pm</v>
      </c>
      <c r="P17" s="5">
        <f t="shared" si="4"/>
        <v>4</v>
      </c>
    </row>
    <row r="18" spans="1:16" ht="15.75" customHeight="1" x14ac:dyDescent="0.25">
      <c r="A18" s="6" t="s">
        <v>370</v>
      </c>
      <c r="B18" s="6" cm="1">
        <f t="array" ref="B18">alea_int(Settings!$B$10,1,Settings!$B$16)</f>
        <v>3</v>
      </c>
      <c r="C18" s="8">
        <v>46023</v>
      </c>
      <c r="D18" s="8">
        <f t="shared" si="1"/>
        <v>46387</v>
      </c>
      <c r="E18" s="6" t="str" cm="1">
        <f t="array" ref="E18">choice(Groupes!A:A,1,Settings!$B$16)</f>
        <v>G26</v>
      </c>
      <c r="F18" s="6" t="str">
        <f t="shared" si="2"/>
        <v>G26</v>
      </c>
      <c r="G18" s="6" t="str">
        <f t="shared" si="3"/>
        <v>Prof39</v>
      </c>
      <c r="H18" s="6" t="str" cm="1">
        <f t="array" ref="H18">choice(Referentiel!A:A,1,Settings!$B$16)</f>
        <v>Gr SYMBIOSE</v>
      </c>
      <c r="I18" s="6" t="str" cm="1">
        <f t="array" ref="I18">choice(Referentiel!B:B,1,Settings!$B$16)</f>
        <v>2ème année Photo / Vidéo S1</v>
      </c>
      <c r="J18" s="6" t="str" cm="1">
        <f t="array" ref="J18">choice(Referentiel!D:D,1,Settings!$B$16)</f>
        <v>L1</v>
      </c>
      <c r="K18" s="6" t="str" cm="1">
        <f t="array" ref="K18">choice(Professeurs!B:B,1,Settings!$B$16)</f>
        <v>Prof39</v>
      </c>
      <c r="L18" s="5" t="str" cm="1">
        <f t="array" ref="L18">choice(Referentiel!C:C,1,Settings!$B$16)</f>
        <v/>
      </c>
      <c r="M18" s="5" t="str" cm="1">
        <f t="array" ref="M18">choice(Referentiel!E:E,1,Settings!$B$16)</f>
        <v/>
      </c>
      <c r="N18" s="5" t="str" cm="1">
        <f t="array" ref="N18">choice(Settings!K:K,1,Settings!$B$16)</f>
        <v/>
      </c>
      <c r="P18" s="5">
        <f t="shared" si="4"/>
        <v>3</v>
      </c>
    </row>
    <row r="19" spans="1:16" ht="15.75" customHeight="1" x14ac:dyDescent="0.25">
      <c r="A19" s="6" t="s">
        <v>371</v>
      </c>
      <c r="B19" s="6" cm="1">
        <f t="array" ref="B19">alea_int(Settings!$B$10,1,Settings!$B$16)</f>
        <v>3</v>
      </c>
      <c r="C19" s="8">
        <v>46023</v>
      </c>
      <c r="D19" s="8">
        <f t="shared" si="1"/>
        <v>46387</v>
      </c>
      <c r="E19" s="6" t="str" cm="1">
        <f t="array" ref="E19">choice(Groupes!A:A,1,Settings!$B$16)</f>
        <v>G13</v>
      </c>
      <c r="F19" s="6" t="str">
        <f t="shared" si="2"/>
        <v>G13</v>
      </c>
      <c r="G19" s="6" t="str">
        <f t="shared" si="3"/>
        <v>Prof5</v>
      </c>
      <c r="H19" s="6" t="str" cm="1">
        <f t="array" ref="H19">choice(Referentiel!A:A,1,Settings!$B$16)</f>
        <v>1ère année Groupe 1</v>
      </c>
      <c r="I19" s="6" t="str" cm="1">
        <f t="array" ref="I19">choice(Referentiel!B:B,1,Settings!$B$16)</f>
        <v>3ème année Scénographie S1</v>
      </c>
      <c r="J19" s="6" t="str" cm="1">
        <f t="array" ref="J19">choice(Referentiel!D:D,1,Settings!$B$16)</f>
        <v>L3</v>
      </c>
      <c r="K19" s="6" t="str" cm="1">
        <f t="array" ref="K19">choice(Professeurs!B:B,1,Settings!$B$16)</f>
        <v>Prof5</v>
      </c>
      <c r="L19" s="5" t="str" cm="1">
        <f t="array" ref="L19">choice(Referentiel!C:C,1,Settings!$B$16)</f>
        <v>ordinateur</v>
      </c>
      <c r="M19" s="5" t="str" cm="1">
        <f t="array" ref="M19">choice(Referentiel!E:E,1,Settings!$B$16)</f>
        <v/>
      </c>
      <c r="N19" s="5" t="str" cm="1">
        <f t="array" ref="N19">choice(Settings!K:K,1,Settings!$B$16)</f>
        <v/>
      </c>
      <c r="P19" s="5">
        <f t="shared" si="4"/>
        <v>3</v>
      </c>
    </row>
    <row r="20" spans="1:16" ht="15.75" customHeight="1" x14ac:dyDescent="0.25">
      <c r="A20" s="6" t="s">
        <v>372</v>
      </c>
      <c r="B20" s="6" cm="1">
        <f t="array" ref="B20">alea_int(Settings!$B$10,1,Settings!$B$16)</f>
        <v>2</v>
      </c>
      <c r="C20" s="8">
        <v>46023</v>
      </c>
      <c r="D20" s="8">
        <f t="shared" si="1"/>
        <v>46387</v>
      </c>
      <c r="E20" s="6" t="str" cm="1">
        <f t="array" ref="E20">choice(Groupes!A:A,1,Settings!$B$16)</f>
        <v>G7</v>
      </c>
      <c r="F20" s="6" t="str">
        <f t="shared" si="2"/>
        <v>G7</v>
      </c>
      <c r="G20" s="6" t="str">
        <f t="shared" si="3"/>
        <v>Prof13</v>
      </c>
      <c r="H20" s="6" t="str" cm="1">
        <f t="array" ref="H20">choice(Referentiel!A:A,1,Settings!$B$16)</f>
        <v>Gr REFLECTIVE INTERACTION</v>
      </c>
      <c r="I20" s="6" t="str" cm="1">
        <f t="array" ref="I20">choice(Referentiel!B:B,1,Settings!$B$16)</f>
        <v>3ème année Scénographie S2</v>
      </c>
      <c r="J20" s="6" t="str" cm="1">
        <f t="array" ref="J20">choice(Referentiel!D:D,1,Settings!$B$16)</f>
        <v>L3</v>
      </c>
      <c r="K20" s="6" t="str" cm="1">
        <f t="array" ref="K20">choice(Professeurs!B:B,1,Settings!$B$16)</f>
        <v>Prof13</v>
      </c>
      <c r="L20" s="5" t="str" cm="1">
        <f t="array" ref="L20">choice(Referentiel!C:C,1,Settings!$B$16)</f>
        <v>ordinateur</v>
      </c>
      <c r="M20" s="5" t="str" cm="1">
        <f t="array" ref="M20">choice(Referentiel!E:E,1,Settings!$B$16)</f>
        <v/>
      </c>
      <c r="N20" s="5" t="str" cm="1">
        <f t="array" ref="N20">choice(Settings!K:K,1,Settings!$B$16)</f>
        <v/>
      </c>
      <c r="P20" s="5">
        <f t="shared" si="4"/>
        <v>2</v>
      </c>
    </row>
    <row r="21" spans="1:16" ht="15.75" customHeight="1" x14ac:dyDescent="0.25">
      <c r="A21" s="6" t="s">
        <v>373</v>
      </c>
      <c r="B21" s="6" cm="1">
        <f t="array" ref="B21">alea_int(Settings!$B$10,1,Settings!$B$16)</f>
        <v>3</v>
      </c>
      <c r="C21" s="8">
        <v>46023</v>
      </c>
      <c r="D21" s="8">
        <f t="shared" si="1"/>
        <v>46387</v>
      </c>
      <c r="E21" s="6" t="str" cm="1">
        <f t="array" ref="E21">choice(Groupes!A:A,1,Settings!$B$16)</f>
        <v>G20</v>
      </c>
      <c r="F21" s="6" t="str">
        <f t="shared" si="2"/>
        <v>G20</v>
      </c>
      <c r="G21" s="6" t="str">
        <f t="shared" si="3"/>
        <v>Prof12</v>
      </c>
      <c r="H21" s="6" t="str" cm="1">
        <f t="array" ref="H21">choice(Referentiel!A:A,1,Settings!$B$16)</f>
        <v>Design des mondes ruraux</v>
      </c>
      <c r="I21" s="6" t="str" cm="1">
        <f t="array" ref="I21">choice(Referentiel!B:B,1,Settings!$B$16)</f>
        <v>1ère Année Groupe 1 S1</v>
      </c>
      <c r="J21" s="6" t="str" cm="1">
        <f t="array" ref="J21">choice(Referentiel!D:D,1,Settings!$B$16)</f>
        <v>M2</v>
      </c>
      <c r="K21" s="6" t="str" cm="1">
        <f t="array" ref="K21">choice(Professeurs!B:B,1,Settings!$B$16)</f>
        <v>Prof12</v>
      </c>
      <c r="L21" s="5" t="str" cm="1">
        <f t="array" ref="L21">choice(Referentiel!C:C,1,Settings!$B$16)</f>
        <v/>
      </c>
      <c r="M21" s="5" t="str" cm="1">
        <f t="array" ref="M21">choice(Referentiel!E:E,1,Settings!$B$16)</f>
        <v/>
      </c>
      <c r="N21" s="5" t="str" cm="1">
        <f t="array" ref="N21">choice(Settings!K:K,1,Settings!$B$16)</f>
        <v/>
      </c>
      <c r="P21" s="5">
        <f t="shared" si="4"/>
        <v>3</v>
      </c>
    </row>
    <row r="22" spans="1:16" ht="15.75" customHeight="1" x14ac:dyDescent="0.25">
      <c r="A22" s="6" t="s">
        <v>374</v>
      </c>
      <c r="B22" s="6" cm="1">
        <f t="array" ref="B22">alea_int(Settings!$B$10,1,Settings!$B$16)</f>
        <v>2</v>
      </c>
      <c r="C22" s="8">
        <v>46023</v>
      </c>
      <c r="D22" s="8">
        <f t="shared" si="1"/>
        <v>46387</v>
      </c>
      <c r="E22" s="6" t="str" cm="1">
        <f t="array" ref="E22">choice(Groupes!A:A,1,Settings!$B$16)</f>
        <v>G10</v>
      </c>
      <c r="F22" s="6" t="str">
        <f t="shared" si="2"/>
        <v>G10</v>
      </c>
      <c r="G22" s="6" t="str">
        <f t="shared" si="3"/>
        <v>Prof53</v>
      </c>
      <c r="H22" s="6" t="str" cm="1">
        <f t="array" ref="H22">choice(Referentiel!A:A,1,Settings!$B$16)</f>
        <v>Gr SPATIAL MEDIA</v>
      </c>
      <c r="I22" s="6" t="str" cm="1">
        <f t="array" ref="I22">choice(Referentiel!B:B,1,Settings!$B$16)</f>
        <v>5ème année Image Imprimée S2</v>
      </c>
      <c r="J22" s="6" t="str" cm="1">
        <f t="array" ref="J22">choice(Referentiel!D:D,1,Settings!$B$16)</f>
        <v>L2</v>
      </c>
      <c r="K22" s="6" t="str" cm="1">
        <f t="array" ref="K22">choice(Professeurs!B:B,1,Settings!$B$16)</f>
        <v>Prof53</v>
      </c>
      <c r="L22" s="5" t="str" cm="1">
        <f t="array" ref="L22">choice(Referentiel!C:C,1,Settings!$B$16)</f>
        <v/>
      </c>
      <c r="M22" s="5" t="str" cm="1">
        <f t="array" ref="M22">choice(Referentiel!E:E,1,Settings!$B$16)</f>
        <v/>
      </c>
      <c r="N22" s="5" t="str" cm="1">
        <f t="array" ref="N22">choice(Settings!K:K,1,Settings!$B$16)</f>
        <v/>
      </c>
      <c r="P22" s="5">
        <f t="shared" si="4"/>
        <v>2</v>
      </c>
    </row>
    <row r="23" spans="1:16" ht="15.75" customHeight="1" x14ac:dyDescent="0.25">
      <c r="A23" s="6" t="s">
        <v>375</v>
      </c>
      <c r="B23" s="6" cm="1">
        <f t="array" ref="B23">alea_int(Settings!$B$10,1,Settings!$B$16)</f>
        <v>2</v>
      </c>
      <c r="C23" s="8">
        <v>46023</v>
      </c>
      <c r="D23" s="8">
        <f t="shared" si="1"/>
        <v>46387</v>
      </c>
      <c r="E23" s="6" t="str" cm="1">
        <f t="array" ref="E23">choice(Groupes!A:A,1,Settings!$B$16)</f>
        <v>G9</v>
      </c>
      <c r="F23" s="6" t="str">
        <f t="shared" si="2"/>
        <v>G9</v>
      </c>
      <c r="G23" s="6" t="str">
        <f t="shared" si="3"/>
        <v>Prof53</v>
      </c>
      <c r="H23" s="6" t="str" cm="1">
        <f t="array" ref="H23">choice(Referentiel!A:A,1,Settings!$B$16)</f>
        <v>Design des mondes littoraux</v>
      </c>
      <c r="I23" s="6" t="str" cm="1">
        <f t="array" ref="I23">choice(Referentiel!B:B,1,Settings!$B$16)</f>
        <v>5ème année Scénographie S1</v>
      </c>
      <c r="J23" s="6" t="str" cm="1">
        <f t="array" ref="J23">choice(Referentiel!D:D,1,Settings!$B$16)</f>
        <v>L1</v>
      </c>
      <c r="K23" s="6" t="str" cm="1">
        <f t="array" ref="K23">choice(Professeurs!B:B,1,Settings!$B$16)</f>
        <v>Prof53</v>
      </c>
      <c r="L23" s="5" t="str" cm="1">
        <f t="array" ref="L23">choice(Referentiel!C:C,1,Settings!$B$16)</f>
        <v/>
      </c>
      <c r="M23" s="5" t="str" cm="1">
        <f t="array" ref="M23">choice(Referentiel!E:E,1,Settings!$B$16)</f>
        <v/>
      </c>
      <c r="N23" s="5" t="str" cm="1">
        <f t="array" ref="N23">choice(Settings!K:K,1,Settings!$B$16)</f>
        <v>semaine</v>
      </c>
      <c r="P23" s="5">
        <f t="shared" si="4"/>
        <v>4</v>
      </c>
    </row>
    <row r="24" spans="1:16" ht="15.75" customHeight="1" x14ac:dyDescent="0.25">
      <c r="A24" s="6" t="s">
        <v>376</v>
      </c>
      <c r="B24" s="6" cm="1">
        <f t="array" ref="B24">alea_int(Settings!$B$10,1,Settings!$B$16)</f>
        <v>3</v>
      </c>
      <c r="C24" s="8">
        <v>46023</v>
      </c>
      <c r="D24" s="8">
        <f t="shared" si="1"/>
        <v>46387</v>
      </c>
      <c r="E24" s="6" t="str" cm="1">
        <f t="array" ref="E24">choice(Groupes!A:A,1,Settings!$B$16)</f>
        <v>G20</v>
      </c>
      <c r="F24" s="6" t="str">
        <f t="shared" si="2"/>
        <v>G20</v>
      </c>
      <c r="G24" s="6" t="str">
        <f t="shared" si="3"/>
        <v>Prof20</v>
      </c>
      <c r="H24" s="6" t="str" cm="1">
        <f t="array" ref="H24">choice(Referentiel!A:A,1,Settings!$B$16)</f>
        <v>1ère année Groupe 4</v>
      </c>
      <c r="I24" s="6" t="str" cm="1">
        <f t="array" ref="I24">choice(Referentiel!B:B,1,Settings!$B$16)</f>
        <v>3ème année Image Imprimée S1</v>
      </c>
      <c r="J24" s="6" t="str" cm="1">
        <f t="array" ref="J24">choice(Referentiel!D:D,1,Settings!$B$16)</f>
        <v>M2</v>
      </c>
      <c r="K24" s="6" t="str" cm="1">
        <f t="array" ref="K24">choice(Professeurs!B:B,1,Settings!$B$16)</f>
        <v>Prof20</v>
      </c>
      <c r="L24" s="5" t="str" cm="1">
        <f t="array" ref="L24">choice(Referentiel!C:C,1,Settings!$B$16)</f>
        <v/>
      </c>
      <c r="M24" s="5" t="str" cm="1">
        <f t="array" ref="M24">choice(Referentiel!E:E,1,Settings!$B$16)</f>
        <v/>
      </c>
      <c r="N24" s="5" t="str" cm="1">
        <f t="array" ref="N24">choice(Settings!K:K,1,Settings!$B$16)</f>
        <v/>
      </c>
      <c r="P24" s="5">
        <f t="shared" si="4"/>
        <v>3</v>
      </c>
    </row>
    <row r="25" spans="1:16" ht="15.75" customHeight="1" x14ac:dyDescent="0.25">
      <c r="A25" s="6" t="s">
        <v>377</v>
      </c>
      <c r="B25" s="6" cm="1">
        <f t="array" ref="B25">alea_int(Settings!$B$10,1,Settings!$B$16)</f>
        <v>1</v>
      </c>
      <c r="C25" s="8">
        <v>46023</v>
      </c>
      <c r="D25" s="8">
        <f t="shared" si="1"/>
        <v>46387</v>
      </c>
      <c r="E25" s="6" t="str" cm="1">
        <f t="array" ref="E25">choice(Groupes!A:A,1,Settings!$B$16)</f>
        <v>G16</v>
      </c>
      <c r="F25" s="6" t="str">
        <f t="shared" si="2"/>
        <v>G16</v>
      </c>
      <c r="G25" s="6" t="str">
        <f t="shared" si="3"/>
        <v>Prof11</v>
      </c>
      <c r="H25" s="6" t="str" cm="1">
        <f t="array" ref="H25">choice(Referentiel!A:A,1,Settings!$B$16)</f>
        <v>Design des mondes montagneux</v>
      </c>
      <c r="I25" s="6" t="str" cm="1">
        <f t="array" ref="I25">choice(Referentiel!B:B,1,Settings!$B$16)</f>
        <v>4ème année Design Vêtement S2</v>
      </c>
      <c r="J25" s="6" t="str" cm="1">
        <f t="array" ref="J25">choice(Referentiel!D:D,1,Settings!$B$16)</f>
        <v>M2</v>
      </c>
      <c r="K25" s="6" t="str" cm="1">
        <f t="array" ref="K25">choice(Professeurs!B:B,1,Settings!$B$16)</f>
        <v>Prof11</v>
      </c>
      <c r="L25" s="5" t="str" cm="1">
        <f t="array" ref="L25">choice(Referentiel!C:C,1,Settings!$B$16)</f>
        <v/>
      </c>
      <c r="M25" s="5" t="str" cm="1">
        <f t="array" ref="M25">choice(Referentiel!E:E,1,Settings!$B$16)</f>
        <v/>
      </c>
      <c r="N25" s="5" t="str" cm="1">
        <f t="array" ref="N25">choice(Settings!K:K,1,Settings!$B$16)</f>
        <v/>
      </c>
      <c r="P25" s="5">
        <f t="shared" si="4"/>
        <v>1</v>
      </c>
    </row>
    <row r="26" spans="1:16" ht="15.75" customHeight="1" x14ac:dyDescent="0.25">
      <c r="A26" s="6" t="s">
        <v>378</v>
      </c>
      <c r="B26" s="6" cm="1">
        <f t="array" ref="B26">alea_int(Settings!$B$10,1,Settings!$B$16)</f>
        <v>2</v>
      </c>
      <c r="C26" s="8">
        <v>46023</v>
      </c>
      <c r="D26" s="8">
        <f t="shared" si="1"/>
        <v>46387</v>
      </c>
      <c r="E26" s="6" t="str" cm="1">
        <f t="array" ref="E26">choice(Groupes!A:A,1,Settings!$B$16)</f>
        <v>G3</v>
      </c>
      <c r="F26" s="6" t="str">
        <f t="shared" si="2"/>
        <v>G3</v>
      </c>
      <c r="G26" s="6" t="str">
        <f t="shared" si="3"/>
        <v>Prof55</v>
      </c>
      <c r="H26" s="6" t="str" cm="1">
        <f t="array" ref="H26">choice(Referentiel!A:A,1,Settings!$B$16)</f>
        <v>Cinéma d'Animation</v>
      </c>
      <c r="I26" s="6" t="str" cm="1">
        <f t="array" ref="I26">choice(Referentiel!B:B,1,Settings!$B$16)</f>
        <v>4ème année Design Objet S1</v>
      </c>
      <c r="J26" s="6" t="str" cm="1">
        <f t="array" ref="J26">choice(Referentiel!D:D,1,Settings!$B$16)</f>
        <v>L3</v>
      </c>
      <c r="K26" s="6" t="str" cm="1">
        <f t="array" ref="K26">choice(Professeurs!B:B,1,Settings!$B$16)</f>
        <v>Prof55</v>
      </c>
      <c r="L26" s="5" t="str" cm="1">
        <f t="array" ref="L26">choice(Referentiel!C:C,1,Settings!$B$16)</f>
        <v/>
      </c>
      <c r="M26" s="5" t="str" cm="1">
        <f t="array" ref="M26">choice(Referentiel!E:E,1,Settings!$B$16)</f>
        <v/>
      </c>
      <c r="N26" s="5" t="str" cm="1">
        <f t="array" ref="N26">choice(Settings!K:K,1,Settings!$B$16)</f>
        <v/>
      </c>
      <c r="P26" s="5">
        <f t="shared" si="4"/>
        <v>2</v>
      </c>
    </row>
    <row r="27" spans="1:16" ht="15.75" customHeight="1" x14ac:dyDescent="0.25">
      <c r="A27" s="6" t="s">
        <v>379</v>
      </c>
      <c r="B27" s="6" cm="1">
        <f t="array" ref="B27">alea_int(Settings!$B$10,1,Settings!$B$16)</f>
        <v>1</v>
      </c>
      <c r="C27" s="8">
        <v>46023</v>
      </c>
      <c r="D27" s="8">
        <f t="shared" si="1"/>
        <v>46387</v>
      </c>
      <c r="E27" s="6" t="str" cm="1">
        <f t="array" ref="E27">choice(Groupes!A:A,1,Settings!$B$16)</f>
        <v>G9</v>
      </c>
      <c r="F27" s="6" t="str">
        <f t="shared" si="2"/>
        <v>G9</v>
      </c>
      <c r="G27" s="6" t="str">
        <f t="shared" si="3"/>
        <v>Prof44</v>
      </c>
      <c r="H27" s="6" t="str" cm="1">
        <f t="array" ref="H27">choice(Referentiel!A:A,1,Settings!$B$16)</f>
        <v>Design des mondes montagneux</v>
      </c>
      <c r="I27" s="6" t="str" cm="1">
        <f t="array" ref="I27">choice(Referentiel!B:B,1,Settings!$B$16)</f>
        <v>1ère Année Groupe 3 S1</v>
      </c>
      <c r="J27" s="6" t="str" cm="1">
        <f t="array" ref="J27">choice(Referentiel!D:D,1,Settings!$B$16)</f>
        <v>M2</v>
      </c>
      <c r="K27" s="6" t="str" cm="1">
        <f t="array" ref="K27">choice(Professeurs!B:B,1,Settings!$B$16)</f>
        <v>Prof44</v>
      </c>
      <c r="L27" s="5" t="str" cm="1">
        <f t="array" ref="L27">choice(Referentiel!C:C,1,Settings!$B$16)</f>
        <v/>
      </c>
      <c r="M27" s="5" t="str" cm="1">
        <f t="array" ref="M27">choice(Referentiel!E:E,1,Settings!$B$16)</f>
        <v/>
      </c>
      <c r="N27" s="5" t="str" cm="1">
        <f t="array" ref="N27">choice(Settings!K:K,1,Settings!$B$16)</f>
        <v/>
      </c>
      <c r="P27" s="5">
        <f t="shared" si="4"/>
        <v>1</v>
      </c>
    </row>
    <row r="28" spans="1:16" ht="15.75" customHeight="1" x14ac:dyDescent="0.25">
      <c r="A28" s="6" t="s">
        <v>380</v>
      </c>
      <c r="B28" s="6" cm="1">
        <f t="array" ref="B28">alea_int(Settings!$B$10,1,Settings!$B$16)</f>
        <v>1</v>
      </c>
      <c r="C28" s="8">
        <v>46023</v>
      </c>
      <c r="D28" s="8">
        <f t="shared" si="1"/>
        <v>46387</v>
      </c>
      <c r="E28" s="6" t="str" cm="1">
        <f t="array" ref="E28">choice(Groupes!A:A,1,Settings!$B$16)</f>
        <v>G21</v>
      </c>
      <c r="F28" s="6" t="str">
        <f t="shared" si="2"/>
        <v>G21</v>
      </c>
      <c r="G28" s="6" t="str">
        <f t="shared" si="3"/>
        <v>Prof18</v>
      </c>
      <c r="H28" s="6" t="str" cm="1">
        <f t="array" ref="H28">choice(Referentiel!A:A,1,Settings!$B$16)</f>
        <v>Architecture Intérieure</v>
      </c>
      <c r="I28" s="6" t="str" cm="1">
        <f t="array" ref="I28">choice(Referentiel!B:B,1,Settings!$B$16)</f>
        <v>4ème année Design Graphique S2</v>
      </c>
      <c r="J28" s="6" t="str" cm="1">
        <f t="array" ref="J28">choice(Referentiel!D:D,1,Settings!$B$16)</f>
        <v>L3</v>
      </c>
      <c r="K28" s="6" t="str" cm="1">
        <f t="array" ref="K28">choice(Professeurs!B:B,1,Settings!$B$16)</f>
        <v>Prof18</v>
      </c>
      <c r="L28" s="5" t="str" cm="1">
        <f t="array" ref="L28">choice(Referentiel!C:C,1,Settings!$B$16)</f>
        <v/>
      </c>
      <c r="M28" s="5" t="str" cm="1">
        <f t="array" ref="M28">choice(Referentiel!E:E,1,Settings!$B$16)</f>
        <v/>
      </c>
      <c r="N28" s="5" t="str" cm="1">
        <f t="array" ref="N28">choice(Settings!K:K,1,Settings!$B$16)</f>
        <v>jeudi pm</v>
      </c>
      <c r="P28" s="5">
        <f t="shared" si="4"/>
        <v>3</v>
      </c>
    </row>
    <row r="29" spans="1:16" ht="15.75" customHeight="1" x14ac:dyDescent="0.25">
      <c r="A29" s="6" t="s">
        <v>381</v>
      </c>
      <c r="B29" s="6" cm="1">
        <f t="array" ref="B29">alea_int(Settings!$B$10,1,Settings!$B$16)</f>
        <v>3</v>
      </c>
      <c r="C29" s="8">
        <v>46023</v>
      </c>
      <c r="D29" s="8">
        <f t="shared" si="1"/>
        <v>46387</v>
      </c>
      <c r="E29" s="6" t="str" cm="1">
        <f t="array" ref="E29">choice(Groupes!A:A,1,Settings!$B$16)</f>
        <v>G18</v>
      </c>
      <c r="F29" s="6" t="str">
        <f t="shared" si="2"/>
        <v>G18</v>
      </c>
      <c r="G29" s="6" t="str">
        <f t="shared" si="3"/>
        <v>Prof41</v>
      </c>
      <c r="H29" s="6" t="str" cm="1">
        <f t="array" ref="H29">choice(Referentiel!A:A,1,Settings!$B$16)</f>
        <v>1ère année Groupe 1</v>
      </c>
      <c r="I29" s="6" t="str" cm="1">
        <f t="array" ref="I29">choice(Referentiel!B:B,1,Settings!$B$16)</f>
        <v>3ème année Photo / Vidéo S1</v>
      </c>
      <c r="J29" s="6" t="str" cm="1">
        <f t="array" ref="J29">choice(Referentiel!D:D,1,Settings!$B$16)</f>
        <v>M2</v>
      </c>
      <c r="K29" s="6" t="str" cm="1">
        <f t="array" ref="K29">choice(Professeurs!B:B,1,Settings!$B$16)</f>
        <v>Prof41</v>
      </c>
      <c r="L29" s="5" t="str" cm="1">
        <f t="array" ref="L29">choice(Referentiel!C:C,1,Settings!$B$16)</f>
        <v/>
      </c>
      <c r="M29" s="5" t="str" cm="1">
        <f t="array" ref="M29">choice(Referentiel!E:E,1,Settings!$B$16)</f>
        <v/>
      </c>
      <c r="N29" s="5" t="str" cm="1">
        <f t="array" ref="N29">choice(Settings!K:K,1,Settings!$B$16)</f>
        <v/>
      </c>
      <c r="P29" s="5">
        <f t="shared" si="4"/>
        <v>3</v>
      </c>
    </row>
    <row r="30" spans="1:16" ht="15.75" customHeight="1" x14ac:dyDescent="0.25">
      <c r="A30" s="6" t="s">
        <v>382</v>
      </c>
      <c r="B30" s="6" cm="1">
        <f t="array" ref="B30">alea_int(Settings!$B$10,1,Settings!$B$16)</f>
        <v>3</v>
      </c>
      <c r="C30" s="8">
        <v>46023</v>
      </c>
      <c r="D30" s="8">
        <f t="shared" si="1"/>
        <v>46387</v>
      </c>
      <c r="E30" s="6" t="str" cm="1">
        <f t="array" ref="E30">choice(Groupes!A:A,1,Settings!$B$16)</f>
        <v>G23</v>
      </c>
      <c r="F30" s="6" t="str">
        <f t="shared" si="2"/>
        <v>G23</v>
      </c>
      <c r="G30" s="6" t="str">
        <f t="shared" si="3"/>
        <v>Prof50</v>
      </c>
      <c r="H30" s="6" t="str" cm="1">
        <f t="array" ref="H30">choice(Referentiel!A:A,1,Settings!$B$16)</f>
        <v>Design des mondes ruraux</v>
      </c>
      <c r="I30" s="6" t="str" cm="1">
        <f t="array" ref="I30">choice(Referentiel!B:B,1,Settings!$B$16)</f>
        <v>3ème année Design Objet S1</v>
      </c>
      <c r="J30" s="6" t="str" cm="1">
        <f t="array" ref="J30">choice(Referentiel!D:D,1,Settings!$B$16)</f>
        <v>L3</v>
      </c>
      <c r="K30" s="6" t="str" cm="1">
        <f t="array" ref="K30">choice(Professeurs!B:B,1,Settings!$B$16)</f>
        <v>Prof50</v>
      </c>
      <c r="L30" s="5" t="str" cm="1">
        <f t="array" ref="L30">choice(Referentiel!C:C,1,Settings!$B$16)</f>
        <v>ordinateur</v>
      </c>
      <c r="M30" s="5" t="str" cm="1">
        <f t="array" ref="M30">choice(Referentiel!E:E,1,Settings!$B$16)</f>
        <v/>
      </c>
      <c r="N30" s="5" t="str" cm="1">
        <f t="array" ref="N30">choice(Settings!K:K,1,Settings!$B$16)</f>
        <v/>
      </c>
      <c r="P30" s="5">
        <f t="shared" si="4"/>
        <v>3</v>
      </c>
    </row>
    <row r="31" spans="1:16" ht="15.75" customHeight="1" x14ac:dyDescent="0.25">
      <c r="A31" s="6" t="s">
        <v>383</v>
      </c>
      <c r="B31" s="6" cm="1">
        <f t="array" ref="B31">alea_int(Settings!$B$10,1,Settings!$B$16)</f>
        <v>3</v>
      </c>
      <c r="C31" s="8">
        <v>46023</v>
      </c>
      <c r="D31" s="8">
        <f t="shared" si="1"/>
        <v>46387</v>
      </c>
      <c r="E31" s="6" t="str" cm="1">
        <f t="array" ref="E31">choice(Groupes!A:A,1,Settings!$B$16)</f>
        <v>G18</v>
      </c>
      <c r="F31" s="6" t="str">
        <f t="shared" si="2"/>
        <v>G18</v>
      </c>
      <c r="G31" s="6" t="str">
        <f t="shared" si="3"/>
        <v>Prof44</v>
      </c>
      <c r="H31" s="6" t="str" cm="1">
        <f t="array" ref="H31">choice(Referentiel!A:A,1,Settings!$B$16)</f>
        <v>Design des mondes ruraux</v>
      </c>
      <c r="I31" s="6" t="str" cm="1">
        <f t="array" ref="I31">choice(Referentiel!B:B,1,Settings!$B$16)</f>
        <v>5ème année Design Textile et Matière S2</v>
      </c>
      <c r="J31" s="6" t="str" cm="1">
        <f t="array" ref="J31">choice(Referentiel!D:D,1,Settings!$B$16)</f>
        <v>L1</v>
      </c>
      <c r="K31" s="6" t="str" cm="1">
        <f t="array" ref="K31">choice(Professeurs!B:B,1,Settings!$B$16)</f>
        <v>Prof44</v>
      </c>
      <c r="L31" s="5" t="str" cm="1">
        <f t="array" ref="L31">choice(Referentiel!C:C,1,Settings!$B$16)</f>
        <v/>
      </c>
      <c r="M31" s="5" t="str" cm="1">
        <f t="array" ref="M31">choice(Referentiel!E:E,1,Settings!$B$16)</f>
        <v/>
      </c>
      <c r="N31" s="5" t="str" cm="1">
        <f t="array" ref="N31">choice(Settings!K:K,1,Settings!$B$16)</f>
        <v/>
      </c>
      <c r="P31" s="5">
        <f t="shared" si="4"/>
        <v>3</v>
      </c>
    </row>
    <row r="32" spans="1:16" ht="15.75" customHeight="1" x14ac:dyDescent="0.25">
      <c r="A32" s="6" t="s">
        <v>384</v>
      </c>
      <c r="B32" s="6" cm="1">
        <f t="array" ref="B32">alea_int(Settings!$B$10,1,Settings!$B$16)</f>
        <v>1</v>
      </c>
      <c r="C32" s="8">
        <v>46023</v>
      </c>
      <c r="D32" s="8">
        <f t="shared" si="1"/>
        <v>46387</v>
      </c>
      <c r="E32" s="6" t="str" cm="1">
        <f t="array" ref="E32">choice(Groupes!A:A,1,Settings!$B$16)</f>
        <v>G15</v>
      </c>
      <c r="F32" s="6" t="str">
        <f t="shared" si="2"/>
        <v>G15</v>
      </c>
      <c r="G32" s="6" t="str">
        <f t="shared" si="3"/>
        <v>Prof11</v>
      </c>
      <c r="H32" s="6" t="str" cm="1">
        <f t="array" ref="H32">choice(Referentiel!A:A,1,Settings!$B$16)</f>
        <v>Design des mondes littoraux</v>
      </c>
      <c r="I32" s="6" t="str" cm="1">
        <f t="array" ref="I32">choice(Referentiel!B:B,1,Settings!$B$16)</f>
        <v>2ème année Scénographie S1</v>
      </c>
      <c r="J32" s="6" t="str" cm="1">
        <f t="array" ref="J32">choice(Referentiel!D:D,1,Settings!$B$16)</f>
        <v>M2</v>
      </c>
      <c r="K32" s="6" t="str" cm="1">
        <f t="array" ref="K32">choice(Professeurs!B:B,1,Settings!$B$16)</f>
        <v>Prof11</v>
      </c>
      <c r="L32" s="5" t="str" cm="1">
        <f t="array" ref="L32">choice(Referentiel!C:C,1,Settings!$B$16)</f>
        <v/>
      </c>
      <c r="M32" s="5" t="str" cm="1">
        <f t="array" ref="M32">choice(Referentiel!E:E,1,Settings!$B$16)</f>
        <v/>
      </c>
      <c r="N32" s="5" t="str" cm="1">
        <f t="array" ref="N32">choice(Settings!K:K,1,Settings!$B$16)</f>
        <v>lundi pm</v>
      </c>
      <c r="P32" s="5">
        <f t="shared" si="4"/>
        <v>3</v>
      </c>
    </row>
    <row r="33" spans="1:16" ht="15.75" customHeight="1" x14ac:dyDescent="0.25">
      <c r="A33" s="6" t="s">
        <v>385</v>
      </c>
      <c r="B33" s="6" cm="1">
        <f t="array" ref="B33">alea_int(Settings!$B$10,1,Settings!$B$16)</f>
        <v>1</v>
      </c>
      <c r="C33" s="8">
        <v>46023</v>
      </c>
      <c r="D33" s="8">
        <f t="shared" si="1"/>
        <v>46387</v>
      </c>
      <c r="E33" s="6" t="str" cm="1">
        <f t="array" ref="E33">choice(Groupes!A:A,1,Settings!$B$16)</f>
        <v>G30</v>
      </c>
      <c r="F33" s="6" t="str">
        <f t="shared" si="2"/>
        <v>G30</v>
      </c>
      <c r="G33" s="6" t="str">
        <f t="shared" si="3"/>
        <v>Prof2</v>
      </c>
      <c r="H33" s="6" t="str" cm="1">
        <f t="array" ref="H33">choice(Referentiel!A:A,1,Settings!$B$16)</f>
        <v>Design des mondes montagneux</v>
      </c>
      <c r="I33" s="6" t="str" cm="1">
        <f t="array" ref="I33">choice(Referentiel!B:B,1,Settings!$B$16)</f>
        <v>5ème année Architecture Intérieure S2</v>
      </c>
      <c r="J33" s="6" t="str" cm="1">
        <f t="array" ref="J33">choice(Referentiel!D:D,1,Settings!$B$16)</f>
        <v>L3</v>
      </c>
      <c r="K33" s="6" t="str" cm="1">
        <f t="array" ref="K33">choice(Professeurs!B:B,1,Settings!$B$16)</f>
        <v>Prof2</v>
      </c>
      <c r="L33" s="5" t="str" cm="1">
        <f t="array" ref="L33">choice(Referentiel!C:C,1,Settings!$B$16)</f>
        <v/>
      </c>
      <c r="M33" s="5" t="str" cm="1">
        <f t="array" ref="M33">choice(Referentiel!E:E,1,Settings!$B$16)</f>
        <v/>
      </c>
      <c r="N33" s="5" t="str" cm="1">
        <f t="array" ref="N33">choice(Settings!K:K,1,Settings!$B$16)</f>
        <v>semaine</v>
      </c>
      <c r="P33" s="5">
        <f t="shared" si="4"/>
        <v>3</v>
      </c>
    </row>
    <row r="34" spans="1:16" ht="15.75" customHeight="1" x14ac:dyDescent="0.25">
      <c r="A34" s="6" t="s">
        <v>386</v>
      </c>
      <c r="B34" s="6" cm="1">
        <f t="array" ref="B34">alea_int(Settings!$B$10,1,Settings!$B$16)</f>
        <v>1</v>
      </c>
      <c r="C34" s="8">
        <v>46023</v>
      </c>
      <c r="D34" s="8">
        <f t="shared" si="1"/>
        <v>46387</v>
      </c>
      <c r="E34" s="6" t="str" cm="1">
        <f t="array" ref="E34">choice(Groupes!A:A,1,Settings!$B$16)</f>
        <v>G10</v>
      </c>
      <c r="F34" s="6" t="str">
        <f t="shared" si="2"/>
        <v>G10</v>
      </c>
      <c r="G34" s="6" t="str">
        <f t="shared" si="3"/>
        <v>Prof47</v>
      </c>
      <c r="H34" s="6" t="str" cm="1">
        <f t="array" ref="H34">choice(Referentiel!A:A,1,Settings!$B$16)</f>
        <v>Scénographie</v>
      </c>
      <c r="I34" s="6" t="str" cm="1">
        <f t="array" ref="I34">choice(Referentiel!B:B,1,Settings!$B$16)</f>
        <v>3ème année Image Imprimée S1</v>
      </c>
      <c r="J34" s="6" t="str" cm="1">
        <f t="array" ref="J34">choice(Referentiel!D:D,1,Settings!$B$16)</f>
        <v>L1</v>
      </c>
      <c r="K34" s="6" t="str" cm="1">
        <f t="array" ref="K34">choice(Professeurs!B:B,1,Settings!$B$16)</f>
        <v>Prof47</v>
      </c>
      <c r="L34" s="5" t="str" cm="1">
        <f t="array" ref="L34">choice(Referentiel!C:C,1,Settings!$B$16)</f>
        <v/>
      </c>
      <c r="M34" s="5" t="str" cm="1">
        <f t="array" ref="M34">choice(Referentiel!E:E,1,Settings!$B$16)</f>
        <v/>
      </c>
      <c r="N34" s="5" t="str" cm="1">
        <f t="array" ref="N34">choice(Settings!K:K,1,Settings!$B$16)</f>
        <v/>
      </c>
      <c r="P34" s="5">
        <f t="shared" si="4"/>
        <v>1</v>
      </c>
    </row>
    <row r="35" spans="1:16" ht="15.75" customHeight="1" x14ac:dyDescent="0.25">
      <c r="A35" s="6" t="s">
        <v>387</v>
      </c>
      <c r="B35" s="6" cm="1">
        <f t="array" ref="B35">alea_int(Settings!$B$10,1,Settings!$B$16)</f>
        <v>2</v>
      </c>
      <c r="C35" s="8">
        <v>46023</v>
      </c>
      <c r="D35" s="8">
        <f t="shared" si="1"/>
        <v>46387</v>
      </c>
      <c r="E35" s="6" t="str" cm="1">
        <f t="array" ref="E35">choice(Groupes!A:A,1,Settings!$B$16)</f>
        <v>G22</v>
      </c>
      <c r="F35" s="6" t="str">
        <f t="shared" si="2"/>
        <v>G22</v>
      </c>
      <c r="G35" s="6" t="str">
        <f t="shared" si="3"/>
        <v>Prof18</v>
      </c>
      <c r="H35" s="6" t="str" cm="1">
        <f t="array" ref="H35">choice(Referentiel!A:A,1,Settings!$B$16)</f>
        <v>1ère année Groupe 1</v>
      </c>
      <c r="I35" s="6" t="str" cm="1">
        <f t="array" ref="I35">choice(Referentiel!B:B,1,Settings!$B$16)</f>
        <v>2ème année Scénographie S2</v>
      </c>
      <c r="J35" s="6" t="str" cm="1">
        <f t="array" ref="J35">choice(Referentiel!D:D,1,Settings!$B$16)</f>
        <v>L1</v>
      </c>
      <c r="K35" s="6" t="str" cm="1">
        <f t="array" ref="K35">choice(Professeurs!B:B,1,Settings!$B$16)</f>
        <v>Prof18</v>
      </c>
      <c r="L35" s="5" t="str" cm="1">
        <f t="array" ref="L35">choice(Referentiel!C:C,1,Settings!$B$16)</f>
        <v/>
      </c>
      <c r="M35" s="5" t="str" cm="1">
        <f t="array" ref="M35">choice(Referentiel!E:E,1,Settings!$B$16)</f>
        <v/>
      </c>
      <c r="N35" s="5" t="str" cm="1">
        <f t="array" ref="N35">choice(Settings!K:K,1,Settings!$B$16)</f>
        <v>mercredi pm</v>
      </c>
      <c r="P35" s="5">
        <f t="shared" si="4"/>
        <v>4</v>
      </c>
    </row>
    <row r="36" spans="1:16" ht="15.75" customHeight="1" x14ac:dyDescent="0.25">
      <c r="A36" s="6" t="s">
        <v>388</v>
      </c>
      <c r="B36" s="6" cm="1">
        <f t="array" ref="B36">alea_int(Settings!$B$10,1,Settings!$B$16)</f>
        <v>3</v>
      </c>
      <c r="C36" s="8">
        <v>46023</v>
      </c>
      <c r="D36" s="8">
        <f t="shared" si="1"/>
        <v>46387</v>
      </c>
      <c r="E36" s="6" t="str" cm="1">
        <f t="array" ref="E36">choice(Groupes!A:A,1,Settings!$B$16)</f>
        <v>G8</v>
      </c>
      <c r="F36" s="6" t="str">
        <f t="shared" si="2"/>
        <v>G8</v>
      </c>
      <c r="G36" s="6" t="str">
        <f t="shared" si="3"/>
        <v>Prof47</v>
      </c>
      <c r="H36" s="6" t="str" cm="1">
        <f t="array" ref="H36">choice(Referentiel!A:A,1,Settings!$B$16)</f>
        <v>Design Objet</v>
      </c>
      <c r="I36" s="6" t="str" cm="1">
        <f t="array" ref="I36">choice(Referentiel!B:B,1,Settings!$B$16)</f>
        <v>2ème année Design Textile et Matière S1</v>
      </c>
      <c r="J36" s="6" t="str" cm="1">
        <f t="array" ref="J36">choice(Referentiel!D:D,1,Settings!$B$16)</f>
        <v>L2</v>
      </c>
      <c r="K36" s="6" t="str" cm="1">
        <f t="array" ref="K36">choice(Professeurs!B:B,1,Settings!$B$16)</f>
        <v>Prof47</v>
      </c>
      <c r="L36" s="5" t="str" cm="1">
        <f t="array" ref="L36">choice(Referentiel!C:C,1,Settings!$B$16)</f>
        <v/>
      </c>
      <c r="M36" s="5" t="str" cm="1">
        <f t="array" ref="M36">choice(Referentiel!E:E,1,Settings!$B$16)</f>
        <v/>
      </c>
      <c r="N36" s="5" t="str" cm="1">
        <f t="array" ref="N36">choice(Settings!K:K,1,Settings!$B$16)</f>
        <v/>
      </c>
      <c r="P36" s="5">
        <f t="shared" si="4"/>
        <v>3</v>
      </c>
    </row>
    <row r="37" spans="1:16" ht="15.75" customHeight="1" x14ac:dyDescent="0.25">
      <c r="A37" s="6" t="s">
        <v>389</v>
      </c>
      <c r="B37" s="6" cm="1">
        <f t="array" ref="B37">alea_int(Settings!$B$10,1,Settings!$B$16)</f>
        <v>3</v>
      </c>
      <c r="C37" s="8">
        <v>46023</v>
      </c>
      <c r="D37" s="8">
        <f t="shared" si="1"/>
        <v>46387</v>
      </c>
      <c r="E37" s="6" t="str" cm="1">
        <f t="array" ref="E37">choice(Groupes!A:A,1,Settings!$B$16)</f>
        <v>G29</v>
      </c>
      <c r="F37" s="6" t="str">
        <f t="shared" si="2"/>
        <v>G29</v>
      </c>
      <c r="G37" s="6" t="str">
        <f t="shared" si="3"/>
        <v>Prof41</v>
      </c>
      <c r="H37" s="6" t="str" cm="1">
        <f t="array" ref="H37">choice(Referentiel!A:A,1,Settings!$B$16)</f>
        <v>Image Imprimée</v>
      </c>
      <c r="I37" s="6" t="str" cm="1">
        <f t="array" ref="I37">choice(Referentiel!B:B,1,Settings!$B$16)</f>
        <v>5ème année Design Graphique S1</v>
      </c>
      <c r="J37" s="6" t="str" cm="1">
        <f t="array" ref="J37">choice(Referentiel!D:D,1,Settings!$B$16)</f>
        <v>M1</v>
      </c>
      <c r="K37" s="6" t="str" cm="1">
        <f t="array" ref="K37">choice(Professeurs!B:B,1,Settings!$B$16)</f>
        <v>Prof41</v>
      </c>
      <c r="L37" s="5" t="str" cm="1">
        <f t="array" ref="L37">choice(Referentiel!C:C,1,Settings!$B$16)</f>
        <v/>
      </c>
      <c r="M37" s="5" t="str" cm="1">
        <f t="array" ref="M37">choice(Referentiel!E:E,1,Settings!$B$16)</f>
        <v/>
      </c>
      <c r="N37" s="5" t="str" cm="1">
        <f t="array" ref="N37">choice(Settings!K:K,1,Settings!$B$16)</f>
        <v/>
      </c>
      <c r="P37" s="5">
        <f t="shared" si="4"/>
        <v>3</v>
      </c>
    </row>
    <row r="38" spans="1:16" ht="15.75" customHeight="1" x14ac:dyDescent="0.25">
      <c r="A38" s="6" t="s">
        <v>390</v>
      </c>
      <c r="B38" s="6" cm="1">
        <f t="array" ref="B38">alea_int(Settings!$B$10,1,Settings!$B$16)</f>
        <v>2</v>
      </c>
      <c r="C38" s="8">
        <v>46023</v>
      </c>
      <c r="D38" s="8">
        <f t="shared" si="1"/>
        <v>46387</v>
      </c>
      <c r="E38" s="6" t="str" cm="1">
        <f t="array" ref="E38">choice(Groupes!A:A,1,Settings!$B$16)</f>
        <v>G8</v>
      </c>
      <c r="F38" s="6" t="str">
        <f t="shared" si="2"/>
        <v>G8</v>
      </c>
      <c r="G38" s="6" t="str">
        <f t="shared" si="3"/>
        <v>Prof52</v>
      </c>
      <c r="H38" s="6" t="str" cm="1">
        <f t="array" ref="H38">choice(Referentiel!A:A,1,Settings!$B$16)</f>
        <v>Scénographie</v>
      </c>
      <c r="I38" s="6" t="str" cm="1">
        <f t="array" ref="I38">choice(Referentiel!B:B,1,Settings!$B$16)</f>
        <v>4ème année Cinéma d'Animation S1</v>
      </c>
      <c r="J38" s="6" t="str" cm="1">
        <f t="array" ref="J38">choice(Referentiel!D:D,1,Settings!$B$16)</f>
        <v>M1</v>
      </c>
      <c r="K38" s="6" t="str" cm="1">
        <f t="array" ref="K38">choice(Professeurs!B:B,1,Settings!$B$16)</f>
        <v>Prof52</v>
      </c>
      <c r="L38" s="5" t="str" cm="1">
        <f t="array" ref="L38">choice(Referentiel!C:C,1,Settings!$B$16)</f>
        <v/>
      </c>
      <c r="M38" s="5" t="str" cm="1">
        <f t="array" ref="M38">choice(Referentiel!E:E,1,Settings!$B$16)</f>
        <v/>
      </c>
      <c r="N38" s="5" t="str" cm="1">
        <f t="array" ref="N38">choice(Settings!K:K,1,Settings!$B$16)</f>
        <v/>
      </c>
      <c r="P38" s="5">
        <f t="shared" si="4"/>
        <v>2</v>
      </c>
    </row>
    <row r="39" spans="1:16" ht="15.75" customHeight="1" x14ac:dyDescent="0.25">
      <c r="A39" s="6" t="s">
        <v>391</v>
      </c>
      <c r="B39" s="6" cm="1">
        <f t="array" ref="B39">alea_int(Settings!$B$10,1,Settings!$B$16)</f>
        <v>2</v>
      </c>
      <c r="C39" s="8">
        <v>46023</v>
      </c>
      <c r="D39" s="8">
        <f t="shared" si="1"/>
        <v>46387</v>
      </c>
      <c r="E39" s="6" t="str" cm="1">
        <f t="array" ref="E39">choice(Groupes!A:A,1,Settings!$B$16)</f>
        <v>G19</v>
      </c>
      <c r="F39" s="6" t="str">
        <f t="shared" si="2"/>
        <v>G19</v>
      </c>
      <c r="G39" s="6" t="str">
        <f t="shared" si="3"/>
        <v>Prof24</v>
      </c>
      <c r="H39" s="6" t="str" cm="1">
        <f t="array" ref="H39">choice(Referentiel!A:A,1,Settings!$B$16)</f>
        <v>1ère année Groupe 2</v>
      </c>
      <c r="I39" s="6" t="str" cm="1">
        <f t="array" ref="I39">choice(Referentiel!B:B,1,Settings!$B$16)</f>
        <v>2ème année Design Textile et Matière S1</v>
      </c>
      <c r="J39" s="6" t="str" cm="1">
        <f t="array" ref="J39">choice(Referentiel!D:D,1,Settings!$B$16)</f>
        <v>M2</v>
      </c>
      <c r="K39" s="6" t="str" cm="1">
        <f t="array" ref="K39">choice(Professeurs!B:B,1,Settings!$B$16)</f>
        <v>Prof24</v>
      </c>
      <c r="L39" s="5" t="str" cm="1">
        <f t="array" ref="L39">choice(Referentiel!C:C,1,Settings!$B$16)</f>
        <v/>
      </c>
      <c r="M39" s="5" t="str" cm="1">
        <f t="array" ref="M39">choice(Referentiel!E:E,1,Settings!$B$16)</f>
        <v/>
      </c>
      <c r="N39" s="5" t="str" cm="1">
        <f t="array" ref="N39">choice(Settings!K:K,1,Settings!$B$16)</f>
        <v/>
      </c>
      <c r="P39" s="5">
        <f t="shared" si="4"/>
        <v>2</v>
      </c>
    </row>
    <row r="40" spans="1:16" ht="15.75" customHeight="1" x14ac:dyDescent="0.25">
      <c r="A40" s="6" t="s">
        <v>392</v>
      </c>
      <c r="B40" s="6" cm="1">
        <f t="array" ref="B40">alea_int(Settings!$B$10,1,Settings!$B$16)</f>
        <v>2</v>
      </c>
      <c r="C40" s="8">
        <v>46023</v>
      </c>
      <c r="D40" s="8">
        <f t="shared" si="1"/>
        <v>46387</v>
      </c>
      <c r="E40" s="6" t="str" cm="1">
        <f t="array" ref="E40">choice(Groupes!A:A,1,Settings!$B$16)</f>
        <v>G6</v>
      </c>
      <c r="F40" s="6" t="str">
        <f t="shared" si="2"/>
        <v>G6</v>
      </c>
      <c r="G40" s="6" t="str">
        <f t="shared" si="3"/>
        <v>Prof52</v>
      </c>
      <c r="H40" s="6" t="str" cm="1">
        <f t="array" ref="H40">choice(Referentiel!A:A,1,Settings!$B$16)</f>
        <v>Image Imprimée</v>
      </c>
      <c r="I40" s="6" t="str" cm="1">
        <f t="array" ref="I40">choice(Referentiel!B:B,1,Settings!$B$16)</f>
        <v>5ème année Design Objet S2</v>
      </c>
      <c r="J40" s="6" t="str" cm="1">
        <f t="array" ref="J40">choice(Referentiel!D:D,1,Settings!$B$16)</f>
        <v>M1</v>
      </c>
      <c r="K40" s="6" t="str" cm="1">
        <f t="array" ref="K40">choice(Professeurs!B:B,1,Settings!$B$16)</f>
        <v>Prof52</v>
      </c>
      <c r="L40" s="5" t="str" cm="1">
        <f t="array" ref="L40">choice(Referentiel!C:C,1,Settings!$B$16)</f>
        <v/>
      </c>
      <c r="M40" s="5" t="str" cm="1">
        <f t="array" ref="M40">choice(Referentiel!E:E,1,Settings!$B$16)</f>
        <v/>
      </c>
      <c r="N40" s="5" t="str" cm="1">
        <f t="array" ref="N40">choice(Settings!K:K,1,Settings!$B$16)</f>
        <v/>
      </c>
      <c r="P40" s="5">
        <f t="shared" si="4"/>
        <v>2</v>
      </c>
    </row>
    <row r="41" spans="1:16" ht="15.75" customHeight="1" x14ac:dyDescent="0.25">
      <c r="A41" s="6" t="s">
        <v>393</v>
      </c>
      <c r="B41" s="6" cm="1">
        <f t="array" ref="B41">alea_int(Settings!$B$10,1,Settings!$B$16)</f>
        <v>3</v>
      </c>
      <c r="C41" s="8">
        <v>46023</v>
      </c>
      <c r="D41" s="8">
        <f t="shared" si="1"/>
        <v>46387</v>
      </c>
      <c r="E41" s="6" t="str" cm="1">
        <f t="array" ref="E41">choice(Groupes!A:A,1,Settings!$B$16)</f>
        <v>G15</v>
      </c>
      <c r="F41" s="6" t="str">
        <f t="shared" si="2"/>
        <v>G15</v>
      </c>
      <c r="G41" s="6" t="str">
        <f t="shared" si="3"/>
        <v>Prof33</v>
      </c>
      <c r="H41" s="6" t="str" cm="1">
        <f t="array" ref="H41">choice(Referentiel!A:A,1,Settings!$B$16)</f>
        <v>Architecture Intérieure</v>
      </c>
      <c r="I41" s="6" t="str" cm="1">
        <f t="array" ref="I41">choice(Referentiel!B:B,1,Settings!$B$16)</f>
        <v>3ème année Photo / Vidéo S2</v>
      </c>
      <c r="J41" s="6" t="str" cm="1">
        <f t="array" ref="J41">choice(Referentiel!D:D,1,Settings!$B$16)</f>
        <v>L3</v>
      </c>
      <c r="K41" s="6" t="str" cm="1">
        <f t="array" ref="K41">choice(Professeurs!B:B,1,Settings!$B$16)</f>
        <v>Prof33</v>
      </c>
      <c r="L41" s="5" t="str" cm="1">
        <f t="array" ref="L41">choice(Referentiel!C:C,1,Settings!$B$16)</f>
        <v/>
      </c>
      <c r="M41" s="5" t="str" cm="1">
        <f t="array" ref="M41">choice(Referentiel!E:E,1,Settings!$B$16)</f>
        <v/>
      </c>
      <c r="N41" s="5" t="str" cm="1">
        <f t="array" ref="N41">choice(Settings!K:K,1,Settings!$B$16)</f>
        <v>jeudi pm</v>
      </c>
      <c r="P41" s="5">
        <f t="shared" si="4"/>
        <v>5</v>
      </c>
    </row>
    <row r="42" spans="1:16" ht="15.75" customHeight="1" x14ac:dyDescent="0.25">
      <c r="A42" s="6" t="s">
        <v>394</v>
      </c>
      <c r="B42" s="6" cm="1">
        <f t="array" ref="B42">alea_int(Settings!$B$10,1,Settings!$B$16)</f>
        <v>3</v>
      </c>
      <c r="C42" s="8">
        <v>46023</v>
      </c>
      <c r="D42" s="8">
        <f t="shared" si="1"/>
        <v>46387</v>
      </c>
      <c r="E42" s="6" t="str" cm="1">
        <f t="array" ref="E42">choice(Groupes!A:A,1,Settings!$B$16)</f>
        <v>G8</v>
      </c>
      <c r="F42" s="6" t="str">
        <f t="shared" si="2"/>
        <v>G8</v>
      </c>
      <c r="G42" s="6" t="str">
        <f t="shared" si="3"/>
        <v>Prof34</v>
      </c>
      <c r="H42" s="6" t="str" cm="1">
        <f t="array" ref="H42">choice(Referentiel!A:A,1,Settings!$B$16)</f>
        <v>1ère année Groupe 4</v>
      </c>
      <c r="I42" s="6" t="str" cm="1">
        <f t="array" ref="I42">choice(Referentiel!B:B,1,Settings!$B$16)</f>
        <v>5ème année Design Graphique S1</v>
      </c>
      <c r="J42" s="6" t="str" cm="1">
        <f t="array" ref="J42">choice(Referentiel!D:D,1,Settings!$B$16)</f>
        <v>M2</v>
      </c>
      <c r="K42" s="6" t="str" cm="1">
        <f t="array" ref="K42">choice(Professeurs!B:B,1,Settings!$B$16)</f>
        <v>Prof34</v>
      </c>
      <c r="L42" s="5" t="str" cm="1">
        <f t="array" ref="L42">choice(Referentiel!C:C,1,Settings!$B$16)</f>
        <v/>
      </c>
      <c r="M42" s="5" t="str" cm="1">
        <f t="array" ref="M42">choice(Referentiel!E:E,1,Settings!$B$16)</f>
        <v/>
      </c>
      <c r="N42" s="5" t="str" cm="1">
        <f t="array" ref="N42">choice(Settings!K:K,1,Settings!$B$16)</f>
        <v/>
      </c>
      <c r="P42" s="5">
        <f t="shared" si="4"/>
        <v>3</v>
      </c>
    </row>
    <row r="43" spans="1:16" ht="15.75" customHeight="1" x14ac:dyDescent="0.25">
      <c r="A43" s="6" t="s">
        <v>395</v>
      </c>
      <c r="B43" s="6" cm="1">
        <f t="array" ref="B43">alea_int(Settings!$B$10,1,Settings!$B$16)</f>
        <v>3</v>
      </c>
      <c r="C43" s="8">
        <v>46023</v>
      </c>
      <c r="D43" s="8">
        <f t="shared" si="1"/>
        <v>46387</v>
      </c>
      <c r="E43" s="6" t="str" cm="1">
        <f t="array" ref="E43">choice(Groupes!A:A,1,Settings!$B$16)</f>
        <v>G11</v>
      </c>
      <c r="F43" s="6" t="str">
        <f t="shared" si="2"/>
        <v>G11</v>
      </c>
      <c r="G43" s="6" t="str">
        <f t="shared" si="3"/>
        <v>Prof35</v>
      </c>
      <c r="H43" s="6" t="str" cm="1">
        <f t="array" ref="H43">choice(Referentiel!A:A,1,Settings!$B$16)</f>
        <v>Gr SYMBIOSE</v>
      </c>
      <c r="I43" s="6" t="str" cm="1">
        <f t="array" ref="I43">choice(Referentiel!B:B,1,Settings!$B$16)</f>
        <v>3ème année Art-Espace S1</v>
      </c>
      <c r="J43" s="6" t="str" cm="1">
        <f t="array" ref="J43">choice(Referentiel!D:D,1,Settings!$B$16)</f>
        <v>L3</v>
      </c>
      <c r="K43" s="6" t="str" cm="1">
        <f t="array" ref="K43">choice(Professeurs!B:B,1,Settings!$B$16)</f>
        <v>Prof35</v>
      </c>
      <c r="L43" s="5" t="str" cm="1">
        <f t="array" ref="L43">choice(Referentiel!C:C,1,Settings!$B$16)</f>
        <v/>
      </c>
      <c r="M43" s="5" t="str" cm="1">
        <f t="array" ref="M43">choice(Referentiel!E:E,1,Settings!$B$16)</f>
        <v/>
      </c>
      <c r="N43" s="5" t="str" cm="1">
        <f t="array" ref="N43">choice(Settings!K:K,1,Settings!$B$16)</f>
        <v>lundi am</v>
      </c>
      <c r="P43" s="5">
        <f t="shared" si="4"/>
        <v>5</v>
      </c>
    </row>
    <row r="44" spans="1:16" ht="15.75" customHeight="1" x14ac:dyDescent="0.25">
      <c r="A44" s="6" t="s">
        <v>396</v>
      </c>
      <c r="B44" s="6" cm="1">
        <f t="array" ref="B44">alea_int(Settings!$B$10,1,Settings!$B$16)</f>
        <v>2</v>
      </c>
      <c r="C44" s="8">
        <v>46023</v>
      </c>
      <c r="D44" s="8">
        <f t="shared" si="1"/>
        <v>46387</v>
      </c>
      <c r="E44" s="6" t="str" cm="1">
        <f t="array" ref="E44">choice(Groupes!A:A,1,Settings!$B$16)</f>
        <v>G10</v>
      </c>
      <c r="F44" s="6" t="str">
        <f t="shared" si="2"/>
        <v>G10</v>
      </c>
      <c r="G44" s="6" t="str">
        <f t="shared" si="3"/>
        <v>Prof51</v>
      </c>
      <c r="H44" s="6" t="str" cm="1">
        <f t="array" ref="H44">choice(Referentiel!A:A,1,Settings!$B$16)</f>
        <v>Photo / Vidéo</v>
      </c>
      <c r="I44" s="6" t="str" cm="1">
        <f t="array" ref="I44">choice(Referentiel!B:B,1,Settings!$B$16)</f>
        <v>4ème année Image Imprimée S1</v>
      </c>
      <c r="J44" s="6" t="str" cm="1">
        <f t="array" ref="J44">choice(Referentiel!D:D,1,Settings!$B$16)</f>
        <v>M2</v>
      </c>
      <c r="K44" s="6" t="str" cm="1">
        <f t="array" ref="K44">choice(Professeurs!B:B,1,Settings!$B$16)</f>
        <v>Prof51</v>
      </c>
      <c r="L44" s="5" t="str" cm="1">
        <f t="array" ref="L44">choice(Referentiel!C:C,1,Settings!$B$16)</f>
        <v/>
      </c>
      <c r="M44" s="5" t="str" cm="1">
        <f t="array" ref="M44">choice(Referentiel!E:E,1,Settings!$B$16)</f>
        <v/>
      </c>
      <c r="N44" s="5" t="str" cm="1">
        <f t="array" ref="N44">choice(Settings!K:K,1,Settings!$B$16)</f>
        <v/>
      </c>
      <c r="P44" s="5">
        <f t="shared" si="4"/>
        <v>2</v>
      </c>
    </row>
    <row r="45" spans="1:16" ht="15.75" customHeight="1" x14ac:dyDescent="0.25">
      <c r="A45" s="6" t="s">
        <v>397</v>
      </c>
      <c r="B45" s="6" cm="1">
        <f t="array" ref="B45">alea_int(Settings!$B$10,1,Settings!$B$16)</f>
        <v>3</v>
      </c>
      <c r="C45" s="8">
        <v>46023</v>
      </c>
      <c r="D45" s="8">
        <f t="shared" si="1"/>
        <v>46387</v>
      </c>
      <c r="E45" s="6" t="str" cm="1">
        <f t="array" ref="E45">choice(Groupes!A:A,1,Settings!$B$16)</f>
        <v>G17</v>
      </c>
      <c r="F45" s="6" t="str">
        <f t="shared" si="2"/>
        <v>G17</v>
      </c>
      <c r="G45" s="6" t="str">
        <f t="shared" si="3"/>
        <v>Prof39</v>
      </c>
      <c r="H45" s="6" t="str" cm="1">
        <f t="array" ref="H45">choice(Referentiel!A:A,1,Settings!$B$16)</f>
        <v>Design Textile et Matière</v>
      </c>
      <c r="I45" s="6" t="str" cm="1">
        <f t="array" ref="I45">choice(Referentiel!B:B,1,Settings!$B$16)</f>
        <v>2ème année Art-Espace S2</v>
      </c>
      <c r="J45" s="6" t="str" cm="1">
        <f t="array" ref="J45">choice(Referentiel!D:D,1,Settings!$B$16)</f>
        <v>M1</v>
      </c>
      <c r="K45" s="6" t="str" cm="1">
        <f t="array" ref="K45">choice(Professeurs!B:B,1,Settings!$B$16)</f>
        <v>Prof39</v>
      </c>
      <c r="L45" s="5" t="str" cm="1">
        <f t="array" ref="L45">choice(Referentiel!C:C,1,Settings!$B$16)</f>
        <v/>
      </c>
      <c r="M45" s="5" t="str" cm="1">
        <f t="array" ref="M45">choice(Referentiel!E:E,1,Settings!$B$16)</f>
        <v/>
      </c>
      <c r="N45" s="5" t="str" cm="1">
        <f t="array" ref="N45">choice(Settings!K:K,1,Settings!$B$16)</f>
        <v/>
      </c>
      <c r="P45" s="5">
        <f t="shared" si="4"/>
        <v>3</v>
      </c>
    </row>
    <row r="46" spans="1:16" ht="15.75" customHeight="1" x14ac:dyDescent="0.25">
      <c r="A46" s="6" t="s">
        <v>398</v>
      </c>
      <c r="B46" s="6" cm="1">
        <f t="array" ref="B46">alea_int(Settings!$B$10,1,Settings!$B$16)</f>
        <v>2</v>
      </c>
      <c r="C46" s="8">
        <v>46023</v>
      </c>
      <c r="D46" s="8">
        <f t="shared" si="1"/>
        <v>46387</v>
      </c>
      <c r="E46" s="6" t="str" cm="1">
        <f t="array" ref="E46">choice(Groupes!A:A,1,Settings!$B$16)</f>
        <v>G4</v>
      </c>
      <c r="F46" s="6" t="str">
        <f t="shared" si="2"/>
        <v>G4</v>
      </c>
      <c r="G46" s="6" t="str">
        <f t="shared" si="3"/>
        <v>Prof24</v>
      </c>
      <c r="H46" s="6" t="str" cm="1">
        <f t="array" ref="H46">choice(Referentiel!A:A,1,Settings!$B$16)</f>
        <v>Gr TERRITOIRES</v>
      </c>
      <c r="I46" s="6" t="str" cm="1">
        <f t="array" ref="I46">choice(Referentiel!B:B,1,Settings!$B$16)</f>
        <v>3ème année Cinéma d'Animation S2</v>
      </c>
      <c r="J46" s="6" t="str" cm="1">
        <f t="array" ref="J46">choice(Referentiel!D:D,1,Settings!$B$16)</f>
        <v>L3</v>
      </c>
      <c r="K46" s="6" t="str" cm="1">
        <f t="array" ref="K46">choice(Professeurs!B:B,1,Settings!$B$16)</f>
        <v>Prof24</v>
      </c>
      <c r="L46" s="5" t="str" cm="1">
        <f t="array" ref="L46">choice(Referentiel!C:C,1,Settings!$B$16)</f>
        <v/>
      </c>
      <c r="M46" s="5" t="str" cm="1">
        <f t="array" ref="M46">choice(Referentiel!E:E,1,Settings!$B$16)</f>
        <v/>
      </c>
      <c r="N46" s="5" t="str" cm="1">
        <f t="array" ref="N46">choice(Settings!K:K,1,Settings!$B$16)</f>
        <v/>
      </c>
      <c r="P46" s="5">
        <f t="shared" si="4"/>
        <v>2</v>
      </c>
    </row>
    <row r="47" spans="1:16" ht="15.75" customHeight="1" x14ac:dyDescent="0.25">
      <c r="A47" s="6" t="s">
        <v>399</v>
      </c>
      <c r="B47" s="6" cm="1">
        <f t="array" ref="B47">alea_int(Settings!$B$10,1,Settings!$B$16)</f>
        <v>1</v>
      </c>
      <c r="C47" s="8">
        <v>46023</v>
      </c>
      <c r="D47" s="8">
        <f t="shared" si="1"/>
        <v>46387</v>
      </c>
      <c r="E47" s="6" t="str" cm="1">
        <f t="array" ref="E47">choice(Groupes!A:A,1,Settings!$B$16)</f>
        <v>G30</v>
      </c>
      <c r="F47" s="6" t="str">
        <f t="shared" si="2"/>
        <v>G30</v>
      </c>
      <c r="G47" s="6" t="str">
        <f t="shared" si="3"/>
        <v>Prof20</v>
      </c>
      <c r="H47" s="6" t="str" cm="1">
        <f t="array" ref="H47">choice(Referentiel!A:A,1,Settings!$B$16)</f>
        <v>Design Vêtement</v>
      </c>
      <c r="I47" s="6" t="str" cm="1">
        <f t="array" ref="I47">choice(Referentiel!B:B,1,Settings!$B$16)</f>
        <v>4ème année Design Vêtement S2</v>
      </c>
      <c r="J47" s="6" t="str" cm="1">
        <f t="array" ref="J47">choice(Referentiel!D:D,1,Settings!$B$16)</f>
        <v>M1</v>
      </c>
      <c r="K47" s="6" t="str" cm="1">
        <f t="array" ref="K47">choice(Professeurs!B:B,1,Settings!$B$16)</f>
        <v>Prof20</v>
      </c>
      <c r="L47" s="5" t="str" cm="1">
        <f t="array" ref="L47">choice(Referentiel!C:C,1,Settings!$B$16)</f>
        <v/>
      </c>
      <c r="M47" s="5" t="str" cm="1">
        <f t="array" ref="M47">choice(Referentiel!E:E,1,Settings!$B$16)</f>
        <v/>
      </c>
      <c r="N47" s="5" t="str" cm="1">
        <f t="array" ref="N47">choice(Settings!K:K,1,Settings!$B$16)</f>
        <v/>
      </c>
      <c r="P47" s="5">
        <f t="shared" si="4"/>
        <v>1</v>
      </c>
    </row>
    <row r="48" spans="1:16" ht="15.75" customHeight="1" x14ac:dyDescent="0.25">
      <c r="A48" s="6" t="s">
        <v>400</v>
      </c>
      <c r="B48" s="6" cm="1">
        <f t="array" ref="B48">alea_int(Settings!$B$10,1,Settings!$B$16)</f>
        <v>1</v>
      </c>
      <c r="C48" s="8">
        <v>46023</v>
      </c>
      <c r="D48" s="8">
        <f t="shared" si="1"/>
        <v>46387</v>
      </c>
      <c r="E48" s="6" t="str" cm="1">
        <f t="array" ref="E48">choice(Groupes!A:A,1,Settings!$B$16)</f>
        <v>G7</v>
      </c>
      <c r="F48" s="6" t="str">
        <f t="shared" si="2"/>
        <v>G7</v>
      </c>
      <c r="G48" s="6" t="str">
        <f t="shared" si="3"/>
        <v>Prof7</v>
      </c>
      <c r="H48" s="6" t="str" cm="1">
        <f t="array" ref="H48">choice(Referentiel!A:A,1,Settings!$B$16)</f>
        <v>6ème année atelier</v>
      </c>
      <c r="I48" s="6" t="str" cm="1">
        <f t="array" ref="I48">choice(Referentiel!B:B,1,Settings!$B$16)</f>
        <v>4ème année Design Objet S1</v>
      </c>
      <c r="J48" s="6" t="str" cm="1">
        <f t="array" ref="J48">choice(Referentiel!D:D,1,Settings!$B$16)</f>
        <v>L2</v>
      </c>
      <c r="K48" s="6" t="str" cm="1">
        <f t="array" ref="K48">choice(Professeurs!B:B,1,Settings!$B$16)</f>
        <v>Prof7</v>
      </c>
      <c r="L48" s="5" t="str" cm="1">
        <f t="array" ref="L48">choice(Referentiel!C:C,1,Settings!$B$16)</f>
        <v/>
      </c>
      <c r="M48" s="5" t="str" cm="1">
        <f t="array" ref="M48">choice(Referentiel!E:E,1,Settings!$B$16)</f>
        <v/>
      </c>
      <c r="N48" s="5" t="str" cm="1">
        <f t="array" ref="N48">choice(Settings!K:K,1,Settings!$B$16)</f>
        <v/>
      </c>
      <c r="P48" s="5">
        <f t="shared" si="4"/>
        <v>1</v>
      </c>
    </row>
    <row r="49" spans="1:16" ht="15.75" customHeight="1" x14ac:dyDescent="0.25">
      <c r="A49" s="6" t="s">
        <v>401</v>
      </c>
      <c r="B49" s="6" cm="1">
        <f t="array" ref="B49">alea_int(Settings!$B$10,1,Settings!$B$16)</f>
        <v>1</v>
      </c>
      <c r="C49" s="8">
        <v>46023</v>
      </c>
      <c r="D49" s="8">
        <f t="shared" si="1"/>
        <v>46387</v>
      </c>
      <c r="E49" s="6" t="str" cm="1">
        <f t="array" ref="E49">choice(Groupes!A:A,1,Settings!$B$16)</f>
        <v>G27</v>
      </c>
      <c r="F49" s="6" t="str">
        <f t="shared" si="2"/>
        <v>G27</v>
      </c>
      <c r="G49" s="6" t="str">
        <f t="shared" si="3"/>
        <v>Prof44</v>
      </c>
      <c r="H49" s="6" t="str" cm="1">
        <f t="array" ref="H49">choice(Referentiel!A:A,1,Settings!$B$16)</f>
        <v>Gr SPATIAL MEDIA</v>
      </c>
      <c r="I49" s="6" t="str" cm="1">
        <f t="array" ref="I49">choice(Referentiel!B:B,1,Settings!$B$16)</f>
        <v>2ème année Photo / Vidéo S1</v>
      </c>
      <c r="J49" s="6" t="str" cm="1">
        <f t="array" ref="J49">choice(Referentiel!D:D,1,Settings!$B$16)</f>
        <v>L2</v>
      </c>
      <c r="K49" s="6" t="str" cm="1">
        <f t="array" ref="K49">choice(Professeurs!B:B,1,Settings!$B$16)</f>
        <v>Prof44</v>
      </c>
      <c r="L49" s="5" t="str" cm="1">
        <f t="array" ref="L49">choice(Referentiel!C:C,1,Settings!$B$16)</f>
        <v/>
      </c>
      <c r="M49" s="5" t="str" cm="1">
        <f t="array" ref="M49">choice(Referentiel!E:E,1,Settings!$B$16)</f>
        <v/>
      </c>
      <c r="N49" s="5" t="str" cm="1">
        <f t="array" ref="N49">choice(Settings!K:K,1,Settings!$B$16)</f>
        <v/>
      </c>
      <c r="P49" s="5">
        <f t="shared" si="4"/>
        <v>1</v>
      </c>
    </row>
    <row r="50" spans="1:16" ht="15.75" customHeight="1" x14ac:dyDescent="0.25">
      <c r="A50" s="6" t="s">
        <v>402</v>
      </c>
      <c r="B50" s="6" cm="1">
        <f t="array" ref="B50">alea_int(Settings!$B$10,1,Settings!$B$16)</f>
        <v>1</v>
      </c>
      <c r="C50" s="8">
        <v>46023</v>
      </c>
      <c r="D50" s="8">
        <f t="shared" si="1"/>
        <v>46387</v>
      </c>
      <c r="E50" s="6" t="str" cm="1">
        <f t="array" ref="E50">choice(Groupes!A:A,1,Settings!$B$16)</f>
        <v>G27</v>
      </c>
      <c r="F50" s="6" t="str">
        <f t="shared" si="2"/>
        <v>G27</v>
      </c>
      <c r="G50" s="6" t="str">
        <f t="shared" si="3"/>
        <v>Prof31</v>
      </c>
      <c r="H50" s="6" t="str" cm="1">
        <f t="array" ref="H50">choice(Referentiel!A:A,1,Settings!$B$16)</f>
        <v>1ère année Groupe 1</v>
      </c>
      <c r="I50" s="6" t="str" cm="1">
        <f t="array" ref="I50">choice(Referentiel!B:B,1,Settings!$B$16)</f>
        <v>1ère Année Groupe 1 S2</v>
      </c>
      <c r="J50" s="6" t="str" cm="1">
        <f t="array" ref="J50">choice(Referentiel!D:D,1,Settings!$B$16)</f>
        <v>L2</v>
      </c>
      <c r="K50" s="6" t="str" cm="1">
        <f t="array" ref="K50">choice(Professeurs!B:B,1,Settings!$B$16)</f>
        <v>Prof31</v>
      </c>
      <c r="L50" s="5" t="str" cm="1">
        <f t="array" ref="L50">choice(Referentiel!C:C,1,Settings!$B$16)</f>
        <v/>
      </c>
      <c r="M50" s="5" t="str" cm="1">
        <f t="array" ref="M50">choice(Referentiel!E:E,1,Settings!$B$16)</f>
        <v/>
      </c>
      <c r="N50" s="5" t="str" cm="1">
        <f t="array" ref="N50">choice(Settings!K:K,1,Settings!$B$16)</f>
        <v/>
      </c>
      <c r="P50" s="5">
        <f t="shared" si="4"/>
        <v>1</v>
      </c>
    </row>
    <row r="51" spans="1:16" ht="15.75" customHeight="1" x14ac:dyDescent="0.25">
      <c r="A51" s="6" t="s">
        <v>403</v>
      </c>
      <c r="B51" s="6" cm="1">
        <f t="array" ref="B51">alea_int(Settings!$B$10,1,Settings!$B$16)</f>
        <v>2</v>
      </c>
      <c r="C51" s="8">
        <v>46023</v>
      </c>
      <c r="D51" s="8">
        <f t="shared" si="1"/>
        <v>46387</v>
      </c>
      <c r="E51" s="6" t="str" cm="1">
        <f t="array" ref="E51">choice(Groupes!A:A,1,Settings!$B$16)</f>
        <v>G23</v>
      </c>
      <c r="F51" s="6" t="str">
        <f t="shared" si="2"/>
        <v>G23</v>
      </c>
      <c r="G51" s="6" t="str">
        <f t="shared" si="3"/>
        <v>Prof43</v>
      </c>
      <c r="H51" s="6" t="str" cm="1">
        <f t="array" ref="H51">choice(Referentiel!A:A,1,Settings!$B$16)</f>
        <v>Gr SPATIAL MEDIA</v>
      </c>
      <c r="I51" s="6" t="str" cm="1">
        <f t="array" ref="I51">choice(Referentiel!B:B,1,Settings!$B$16)</f>
        <v>4ème année Art-Espace S1</v>
      </c>
      <c r="J51" s="6" t="str" cm="1">
        <f t="array" ref="J51">choice(Referentiel!D:D,1,Settings!$B$16)</f>
        <v>M1</v>
      </c>
      <c r="K51" s="6" t="str" cm="1">
        <f t="array" ref="K51">choice(Professeurs!B:B,1,Settings!$B$16)</f>
        <v>Prof43</v>
      </c>
      <c r="L51" s="5" t="str" cm="1">
        <f t="array" ref="L51">choice(Referentiel!C:C,1,Settings!$B$16)</f>
        <v/>
      </c>
      <c r="M51" s="5" t="str" cm="1">
        <f t="array" ref="M51">choice(Referentiel!E:E,1,Settings!$B$16)</f>
        <v/>
      </c>
      <c r="N51" s="5" t="str" cm="1">
        <f t="array" ref="N51">choice(Settings!K:K,1,Settings!$B$16)</f>
        <v/>
      </c>
      <c r="P51" s="5">
        <f t="shared" si="4"/>
        <v>2</v>
      </c>
    </row>
    <row r="52" spans="1:16" ht="15.75" customHeight="1" x14ac:dyDescent="0.25">
      <c r="A52" s="6" t="s">
        <v>404</v>
      </c>
      <c r="B52" s="6" cm="1">
        <f t="array" ref="B52">alea_int(Settings!$B$10,1,Settings!$B$16)</f>
        <v>1</v>
      </c>
      <c r="C52" s="8">
        <v>46023</v>
      </c>
      <c r="D52" s="8">
        <f t="shared" si="1"/>
        <v>46387</v>
      </c>
      <c r="E52" s="6" t="str" cm="1">
        <f t="array" ref="E52">choice(Groupes!A:A,1,Settings!$B$16)</f>
        <v>G17</v>
      </c>
      <c r="F52" s="6" t="str">
        <f t="shared" si="2"/>
        <v>G17</v>
      </c>
      <c r="G52" s="6" t="str">
        <f t="shared" si="3"/>
        <v>Prof10</v>
      </c>
      <c r="H52" s="6" t="str" cm="1">
        <f t="array" ref="H52">choice(Referentiel!A:A,1,Settings!$B$16)</f>
        <v>Gr SPATIAL MEDIA</v>
      </c>
      <c r="I52" s="6" t="str" cm="1">
        <f t="array" ref="I52">choice(Referentiel!B:B,1,Settings!$B$16)</f>
        <v>5ème année Photo / Vidéo S2</v>
      </c>
      <c r="J52" s="6" t="str" cm="1">
        <f t="array" ref="J52">choice(Referentiel!D:D,1,Settings!$B$16)</f>
        <v>M1</v>
      </c>
      <c r="K52" s="6" t="str" cm="1">
        <f t="array" ref="K52">choice(Professeurs!B:B,1,Settings!$B$16)</f>
        <v>Prof10</v>
      </c>
      <c r="L52" s="5" t="str" cm="1">
        <f t="array" ref="L52">choice(Referentiel!C:C,1,Settings!$B$16)</f>
        <v/>
      </c>
      <c r="M52" s="5" t="str" cm="1">
        <f t="array" ref="M52">choice(Referentiel!E:E,1,Settings!$B$16)</f>
        <v/>
      </c>
      <c r="N52" s="5" t="str" cm="1">
        <f t="array" ref="N52">choice(Settings!K:K,1,Settings!$B$16)</f>
        <v/>
      </c>
      <c r="P52" s="5">
        <f t="shared" si="4"/>
        <v>1</v>
      </c>
    </row>
    <row r="53" spans="1:16" ht="15.75" customHeight="1" x14ac:dyDescent="0.25">
      <c r="A53" s="6" t="s">
        <v>405</v>
      </c>
      <c r="B53" s="6" cm="1">
        <f t="array" ref="B53">alea_int(Settings!$B$10,1,Settings!$B$16)</f>
        <v>2</v>
      </c>
      <c r="C53" s="8">
        <v>46023</v>
      </c>
      <c r="D53" s="8">
        <f t="shared" si="1"/>
        <v>46387</v>
      </c>
      <c r="E53" s="6" t="str" cm="1">
        <f t="array" ref="E53">choice(Groupes!A:A,1,Settings!$B$16)</f>
        <v>G7</v>
      </c>
      <c r="F53" s="6" t="str">
        <f t="shared" si="2"/>
        <v>G7</v>
      </c>
      <c r="G53" s="6" t="str">
        <f t="shared" si="3"/>
        <v>Prof13</v>
      </c>
      <c r="H53" s="6" t="str" cm="1">
        <f t="array" ref="H53">choice(Referentiel!A:A,1,Settings!$B$16)</f>
        <v>Gr SPATIAL MEDIA</v>
      </c>
      <c r="I53" s="6" t="str" cm="1">
        <f t="array" ref="I53">choice(Referentiel!B:B,1,Settings!$B$16)</f>
        <v>3ème année Photo / Vidéo S2</v>
      </c>
      <c r="J53" s="6" t="str" cm="1">
        <f t="array" ref="J53">choice(Referentiel!D:D,1,Settings!$B$16)</f>
        <v>L3</v>
      </c>
      <c r="K53" s="6" t="str" cm="1">
        <f t="array" ref="K53">choice(Professeurs!B:B,1,Settings!$B$16)</f>
        <v>Prof13</v>
      </c>
      <c r="L53" s="5" t="str" cm="1">
        <f t="array" ref="L53">choice(Referentiel!C:C,1,Settings!$B$16)</f>
        <v/>
      </c>
      <c r="M53" s="5" t="str" cm="1">
        <f t="array" ref="M53">choice(Referentiel!E:E,1,Settings!$B$16)</f>
        <v/>
      </c>
      <c r="N53" s="5" t="str" cm="1">
        <f t="array" ref="N53">choice(Settings!K:K,1,Settings!$B$16)</f>
        <v/>
      </c>
      <c r="P53" s="5">
        <f t="shared" si="4"/>
        <v>2</v>
      </c>
    </row>
    <row r="54" spans="1:16" ht="15.75" customHeight="1" x14ac:dyDescent="0.25">
      <c r="A54" s="6" t="s">
        <v>406</v>
      </c>
      <c r="B54" s="6" cm="1">
        <f t="array" ref="B54">alea_int(Settings!$B$10,1,Settings!$B$16)</f>
        <v>1</v>
      </c>
      <c r="C54" s="8">
        <v>46023</v>
      </c>
      <c r="D54" s="8">
        <f t="shared" si="1"/>
        <v>46387</v>
      </c>
      <c r="E54" s="6" t="str" cm="1">
        <f t="array" ref="E54">choice(Groupes!A:A,1,Settings!$B$16)</f>
        <v>G30</v>
      </c>
      <c r="F54" s="6" t="str">
        <f t="shared" si="2"/>
        <v>G30</v>
      </c>
      <c r="G54" s="6" t="str">
        <f t="shared" si="3"/>
        <v>Prof38</v>
      </c>
      <c r="H54" s="6" t="str" cm="1">
        <f t="array" ref="H54">choice(Referentiel!A:A,1,Settings!$B$16)</f>
        <v>Design des mondes forestiers</v>
      </c>
      <c r="I54" s="6" t="str" cm="1">
        <f t="array" ref="I54">choice(Referentiel!B:B,1,Settings!$B$16)</f>
        <v>2ème année Architecture Intérieure S1</v>
      </c>
      <c r="J54" s="6" t="str" cm="1">
        <f t="array" ref="J54">choice(Referentiel!D:D,1,Settings!$B$16)</f>
        <v>L1</v>
      </c>
      <c r="K54" s="6" t="str" cm="1">
        <f t="array" ref="K54">choice(Professeurs!B:B,1,Settings!$B$16)</f>
        <v>Prof38</v>
      </c>
      <c r="L54" s="5" t="str" cm="1">
        <f t="array" ref="L54">choice(Referentiel!C:C,1,Settings!$B$16)</f>
        <v/>
      </c>
      <c r="M54" s="5" t="str" cm="1">
        <f t="array" ref="M54">choice(Referentiel!E:E,1,Settings!$B$16)</f>
        <v>Salle2</v>
      </c>
      <c r="N54" s="5" t="str" cm="1">
        <f t="array" ref="N54">choice(Settings!K:K,1,Settings!$B$16)</f>
        <v/>
      </c>
      <c r="P54" s="5">
        <f t="shared" si="4"/>
        <v>3</v>
      </c>
    </row>
    <row r="55" spans="1:16" ht="15.75" customHeight="1" x14ac:dyDescent="0.25">
      <c r="A55" s="6" t="s">
        <v>407</v>
      </c>
      <c r="B55" s="6" cm="1">
        <f t="array" ref="B55">alea_int(Settings!$B$10,1,Settings!$B$16)</f>
        <v>1</v>
      </c>
      <c r="C55" s="8">
        <v>46023</v>
      </c>
      <c r="D55" s="8">
        <f t="shared" si="1"/>
        <v>46387</v>
      </c>
      <c r="E55" s="6" t="str" cm="1">
        <f t="array" ref="E55">choice(Groupes!A:A,1,Settings!$B$16)</f>
        <v>G29</v>
      </c>
      <c r="F55" s="6" t="str">
        <f t="shared" si="2"/>
        <v>G29</v>
      </c>
      <c r="G55" s="6" t="str">
        <f t="shared" si="3"/>
        <v>Prof6</v>
      </c>
      <c r="H55" s="6" t="str" cm="1">
        <f t="array" ref="H55">choice(Referentiel!A:A,1,Settings!$B$16)</f>
        <v>Gr SPATIAL MEDIA</v>
      </c>
      <c r="I55" s="6" t="str" cm="1">
        <f t="array" ref="I55">choice(Referentiel!B:B,1,Settings!$B$16)</f>
        <v>Césure S1</v>
      </c>
      <c r="J55" s="6" t="str" cm="1">
        <f t="array" ref="J55">choice(Referentiel!D:D,1,Settings!$B$16)</f>
        <v>M1</v>
      </c>
      <c r="K55" s="6" t="str" cm="1">
        <f t="array" ref="K55">choice(Professeurs!B:B,1,Settings!$B$16)</f>
        <v>Prof6</v>
      </c>
      <c r="L55" s="5" t="str" cm="1">
        <f t="array" ref="L55">choice(Referentiel!C:C,1,Settings!$B$16)</f>
        <v/>
      </c>
      <c r="M55" s="5" t="str" cm="1">
        <f t="array" ref="M55">choice(Referentiel!E:E,1,Settings!$B$16)</f>
        <v/>
      </c>
      <c r="N55" s="5" t="str" cm="1">
        <f t="array" ref="N55">choice(Settings!K:K,1,Settings!$B$16)</f>
        <v/>
      </c>
      <c r="P55" s="5">
        <f t="shared" si="4"/>
        <v>1</v>
      </c>
    </row>
    <row r="56" spans="1:16" ht="15.75" customHeight="1" x14ac:dyDescent="0.25">
      <c r="A56" s="6" t="s">
        <v>408</v>
      </c>
      <c r="B56" s="6" cm="1">
        <f t="array" ref="B56">alea_int(Settings!$B$10,1,Settings!$B$16)</f>
        <v>1</v>
      </c>
      <c r="C56" s="8">
        <v>46023</v>
      </c>
      <c r="D56" s="8">
        <f t="shared" si="1"/>
        <v>46387</v>
      </c>
      <c r="E56" s="6" t="str" cm="1">
        <f t="array" ref="E56">choice(Groupes!A:A,1,Settings!$B$16)</f>
        <v>G22</v>
      </c>
      <c r="F56" s="6" t="str">
        <f t="shared" si="2"/>
        <v>G22</v>
      </c>
      <c r="G56" s="6" t="str">
        <f t="shared" si="3"/>
        <v>Prof11</v>
      </c>
      <c r="H56" s="6" t="str" cm="1">
        <f t="array" ref="H56">choice(Referentiel!A:A,1,Settings!$B$16)</f>
        <v>Gr SPATIAL MEDIA</v>
      </c>
      <c r="I56" s="6" t="str" cm="1">
        <f t="array" ref="I56">choice(Referentiel!B:B,1,Settings!$B$16)</f>
        <v>3ème année Art-Espace S2</v>
      </c>
      <c r="J56" s="6" t="str" cm="1">
        <f t="array" ref="J56">choice(Referentiel!D:D,1,Settings!$B$16)</f>
        <v>M1</v>
      </c>
      <c r="K56" s="6" t="str" cm="1">
        <f t="array" ref="K56">choice(Professeurs!B:B,1,Settings!$B$16)</f>
        <v>Prof11</v>
      </c>
      <c r="L56" s="5" t="str" cm="1">
        <f t="array" ref="L56">choice(Referentiel!C:C,1,Settings!$B$16)</f>
        <v/>
      </c>
      <c r="M56" s="5" t="str" cm="1">
        <f t="array" ref="M56">choice(Referentiel!E:E,1,Settings!$B$16)</f>
        <v/>
      </c>
      <c r="N56" s="5" t="str" cm="1">
        <f t="array" ref="N56">choice(Settings!K:K,1,Settings!$B$16)</f>
        <v/>
      </c>
      <c r="P56" s="5">
        <f t="shared" si="4"/>
        <v>1</v>
      </c>
    </row>
    <row r="57" spans="1:16" ht="15.75" customHeight="1" x14ac:dyDescent="0.25">
      <c r="A57" s="6" t="s">
        <v>409</v>
      </c>
      <c r="B57" s="6" cm="1">
        <f t="array" ref="B57">alea_int(Settings!$B$10,1,Settings!$B$16)</f>
        <v>2</v>
      </c>
      <c r="C57" s="8">
        <v>46023</v>
      </c>
      <c r="D57" s="8">
        <f t="shared" si="1"/>
        <v>46387</v>
      </c>
      <c r="E57" s="6" t="str" cm="1">
        <f t="array" ref="E57">choice(Groupes!A:A,1,Settings!$B$16)</f>
        <v>G28</v>
      </c>
      <c r="F57" s="6" t="str">
        <f t="shared" si="2"/>
        <v>G28</v>
      </c>
      <c r="G57" s="6" t="str">
        <f t="shared" si="3"/>
        <v>Prof44</v>
      </c>
      <c r="H57" s="6" t="str" cm="1">
        <f t="array" ref="H57">choice(Referentiel!A:A,1,Settings!$B$16)</f>
        <v>Design Textile et Matière</v>
      </c>
      <c r="I57" s="6" t="str" cm="1">
        <f t="array" ref="I57">choice(Referentiel!B:B,1,Settings!$B$16)</f>
        <v>5ème année Design Textile et Matière S1</v>
      </c>
      <c r="J57" s="6" t="str" cm="1">
        <f t="array" ref="J57">choice(Referentiel!D:D,1,Settings!$B$16)</f>
        <v>M2</v>
      </c>
      <c r="K57" s="6" t="str" cm="1">
        <f t="array" ref="K57">choice(Professeurs!B:B,1,Settings!$B$16)</f>
        <v>Prof44</v>
      </c>
      <c r="L57" s="5" t="str" cm="1">
        <f t="array" ref="L57">choice(Referentiel!C:C,1,Settings!$B$16)</f>
        <v>projecteur</v>
      </c>
      <c r="M57" s="5" t="str" cm="1">
        <f t="array" ref="M57">choice(Referentiel!E:E,1,Settings!$B$16)</f>
        <v/>
      </c>
      <c r="N57" s="5" t="str" cm="1">
        <f t="array" ref="N57">choice(Settings!K:K,1,Settings!$B$16)</f>
        <v/>
      </c>
      <c r="P57" s="5">
        <f t="shared" si="4"/>
        <v>2</v>
      </c>
    </row>
    <row r="58" spans="1:16" ht="15.75" customHeight="1" x14ac:dyDescent="0.25">
      <c r="A58" s="6" t="s">
        <v>410</v>
      </c>
      <c r="B58" s="6" cm="1">
        <f t="array" ref="B58">alea_int(Settings!$B$10,1,Settings!$B$16)</f>
        <v>1</v>
      </c>
      <c r="C58" s="8">
        <v>46023</v>
      </c>
      <c r="D58" s="8">
        <f t="shared" si="1"/>
        <v>46387</v>
      </c>
      <c r="E58" s="6" t="str" cm="1">
        <f t="array" ref="E58">choice(Groupes!A:A,1,Settings!$B$16)</f>
        <v>G1</v>
      </c>
      <c r="F58" s="6" t="str">
        <f t="shared" si="2"/>
        <v>G1</v>
      </c>
      <c r="G58" s="6" t="str">
        <f t="shared" si="3"/>
        <v>Prof31</v>
      </c>
      <c r="H58" s="6" t="str" cm="1">
        <f t="array" ref="H58">choice(Referentiel!A:A,1,Settings!$B$16)</f>
        <v>Mode et Matière</v>
      </c>
      <c r="I58" s="6" t="str" cm="1">
        <f t="array" ref="I58">choice(Referentiel!B:B,1,Settings!$B$16)</f>
        <v>1ère Année Groupe 2 S2</v>
      </c>
      <c r="J58" s="6" t="str" cm="1">
        <f t="array" ref="J58">choice(Referentiel!D:D,1,Settings!$B$16)</f>
        <v>L3</v>
      </c>
      <c r="K58" s="6" t="str" cm="1">
        <f t="array" ref="K58">choice(Professeurs!B:B,1,Settings!$B$16)</f>
        <v>Prof31</v>
      </c>
      <c r="L58" s="5" t="str" cm="1">
        <f t="array" ref="L58">choice(Referentiel!C:C,1,Settings!$B$16)</f>
        <v/>
      </c>
      <c r="M58" s="5" t="str" cm="1">
        <f t="array" ref="M58">choice(Referentiel!E:E,1,Settings!$B$16)</f>
        <v/>
      </c>
      <c r="N58" s="5" t="str" cm="1">
        <f t="array" ref="N58">choice(Settings!K:K,1,Settings!$B$16)</f>
        <v/>
      </c>
      <c r="P58" s="5">
        <f t="shared" si="4"/>
        <v>1</v>
      </c>
    </row>
    <row r="59" spans="1:16" ht="15.75" customHeight="1" x14ac:dyDescent="0.25">
      <c r="A59" s="6" t="s">
        <v>411</v>
      </c>
      <c r="B59" s="6" cm="1">
        <f t="array" ref="B59">alea_int(Settings!$B$10,1,Settings!$B$16)</f>
        <v>3</v>
      </c>
      <c r="C59" s="8">
        <v>46023</v>
      </c>
      <c r="D59" s="8">
        <f t="shared" si="1"/>
        <v>46387</v>
      </c>
      <c r="E59" s="6" t="str" cm="1">
        <f t="array" ref="E59">choice(Groupes!A:A,1,Settings!$B$16)</f>
        <v>G29</v>
      </c>
      <c r="F59" s="6" t="str">
        <f t="shared" si="2"/>
        <v>G29</v>
      </c>
      <c r="G59" s="6" t="str">
        <f t="shared" si="3"/>
        <v>Prof41</v>
      </c>
      <c r="H59" s="6" t="str" cm="1">
        <f t="array" ref="H59">choice(Referentiel!A:A,1,Settings!$B$16)</f>
        <v>Design des mondes littoraux</v>
      </c>
      <c r="I59" s="6" t="str" cm="1">
        <f t="array" ref="I59">choice(Referentiel!B:B,1,Settings!$B$16)</f>
        <v>3ème année Photo / Vidéo S2</v>
      </c>
      <c r="J59" s="6" t="str" cm="1">
        <f t="array" ref="J59">choice(Referentiel!D:D,1,Settings!$B$16)</f>
        <v>M2</v>
      </c>
      <c r="K59" s="6" t="str" cm="1">
        <f t="array" ref="K59">choice(Professeurs!B:B,1,Settings!$B$16)</f>
        <v>Prof41</v>
      </c>
      <c r="L59" s="5" t="str" cm="1">
        <f t="array" ref="L59">choice(Referentiel!C:C,1,Settings!$B$16)</f>
        <v/>
      </c>
      <c r="M59" s="5" t="str" cm="1">
        <f t="array" ref="M59">choice(Referentiel!E:E,1,Settings!$B$16)</f>
        <v/>
      </c>
      <c r="N59" s="5" t="str" cm="1">
        <f t="array" ref="N59">choice(Settings!K:K,1,Settings!$B$16)</f>
        <v/>
      </c>
      <c r="P59" s="5">
        <f t="shared" si="4"/>
        <v>3</v>
      </c>
    </row>
    <row r="60" spans="1:16" ht="15.75" customHeight="1" x14ac:dyDescent="0.25">
      <c r="A60" s="6" t="s">
        <v>412</v>
      </c>
      <c r="B60" s="6" cm="1">
        <f t="array" ref="B60">alea_int(Settings!$B$10,1,Settings!$B$16)</f>
        <v>2</v>
      </c>
      <c r="C60" s="8">
        <v>46023</v>
      </c>
      <c r="D60" s="8">
        <f t="shared" si="1"/>
        <v>46387</v>
      </c>
      <c r="E60" s="6" t="str" cm="1">
        <f t="array" ref="E60">choice(Groupes!A:A,1,Settings!$B$16)</f>
        <v>G28</v>
      </c>
      <c r="F60" s="6" t="str">
        <f t="shared" si="2"/>
        <v>G28</v>
      </c>
      <c r="G60" s="6" t="str">
        <f t="shared" si="3"/>
        <v>Prof11</v>
      </c>
      <c r="H60" s="6" t="str" cm="1">
        <f t="array" ref="H60">choice(Referentiel!A:A,1,Settings!$B$16)</f>
        <v>Design des mondes montagneux</v>
      </c>
      <c r="I60" s="6" t="str" cm="1">
        <f t="array" ref="I60">choice(Referentiel!B:B,1,Settings!$B$16)</f>
        <v>5ème année Design Graphique S2</v>
      </c>
      <c r="J60" s="6" t="str" cm="1">
        <f t="array" ref="J60">choice(Referentiel!D:D,1,Settings!$B$16)</f>
        <v>M1</v>
      </c>
      <c r="K60" s="6" t="str" cm="1">
        <f t="array" ref="K60">choice(Professeurs!B:B,1,Settings!$B$16)</f>
        <v>Prof11</v>
      </c>
      <c r="L60" s="5" t="str" cm="1">
        <f t="array" ref="L60">choice(Referentiel!C:C,1,Settings!$B$16)</f>
        <v/>
      </c>
      <c r="M60" s="5" t="str" cm="1">
        <f t="array" ref="M60">choice(Referentiel!E:E,1,Settings!$B$16)</f>
        <v/>
      </c>
      <c r="N60" s="5" t="str" cm="1">
        <f t="array" ref="N60">choice(Settings!K:K,1,Settings!$B$16)</f>
        <v/>
      </c>
      <c r="P60" s="5">
        <f t="shared" si="4"/>
        <v>2</v>
      </c>
    </row>
    <row r="61" spans="1:16" ht="15.75" customHeight="1" x14ac:dyDescent="0.25">
      <c r="A61" s="6" t="s">
        <v>413</v>
      </c>
      <c r="B61" s="6" cm="1">
        <f t="array" ref="B61">alea_int(Settings!$B$10,1,Settings!$B$16)</f>
        <v>3</v>
      </c>
      <c r="C61" s="8">
        <v>46023</v>
      </c>
      <c r="D61" s="8">
        <f t="shared" si="1"/>
        <v>46387</v>
      </c>
      <c r="E61" s="6" t="str" cm="1">
        <f t="array" ref="E61">choice(Groupes!A:A,1,Settings!$B$16)</f>
        <v>G27</v>
      </c>
      <c r="F61" s="6" t="str">
        <f t="shared" si="2"/>
        <v>G27</v>
      </c>
      <c r="G61" s="6" t="str">
        <f t="shared" si="3"/>
        <v>Prof22</v>
      </c>
      <c r="H61" s="6" t="str" cm="1">
        <f t="array" ref="H61">choice(Referentiel!A:A,1,Settings!$B$16)</f>
        <v>Design des mondes urbains</v>
      </c>
      <c r="I61" s="6" t="str" cm="1">
        <f t="array" ref="I61">choice(Referentiel!B:B,1,Settings!$B$16)</f>
        <v>2ème année Design Vêtement S2</v>
      </c>
      <c r="J61" s="6" t="str" cm="1">
        <f t="array" ref="J61">choice(Referentiel!D:D,1,Settings!$B$16)</f>
        <v>M1</v>
      </c>
      <c r="K61" s="6" t="str" cm="1">
        <f t="array" ref="K61">choice(Professeurs!B:B,1,Settings!$B$16)</f>
        <v>Prof22</v>
      </c>
      <c r="L61" s="5" t="str" cm="1">
        <f t="array" ref="L61">choice(Referentiel!C:C,1,Settings!$B$16)</f>
        <v/>
      </c>
      <c r="M61" s="5" t="str" cm="1">
        <f t="array" ref="M61">choice(Referentiel!E:E,1,Settings!$B$16)</f>
        <v/>
      </c>
      <c r="N61" s="5" t="str" cm="1">
        <f t="array" ref="N61">choice(Settings!K:K,1,Settings!$B$16)</f>
        <v>vendredi am</v>
      </c>
      <c r="P61" s="5">
        <f t="shared" si="4"/>
        <v>5</v>
      </c>
    </row>
    <row r="62" spans="1:16" ht="15.75" customHeight="1" x14ac:dyDescent="0.25">
      <c r="A62" s="6" t="s">
        <v>414</v>
      </c>
      <c r="B62" s="6" cm="1">
        <f t="array" ref="B62">alea_int(Settings!$B$10,1,Settings!$B$16)</f>
        <v>2</v>
      </c>
      <c r="C62" s="8">
        <v>46023</v>
      </c>
      <c r="D62" s="8">
        <f t="shared" si="1"/>
        <v>46387</v>
      </c>
      <c r="E62" s="6" t="str" cm="1">
        <f t="array" ref="E62">choice(Groupes!A:A,1,Settings!$B$16)</f>
        <v>G6</v>
      </c>
      <c r="F62" s="6" t="str">
        <f t="shared" si="2"/>
        <v>G6</v>
      </c>
      <c r="G62" s="6" t="str">
        <f t="shared" si="3"/>
        <v>Prof53</v>
      </c>
      <c r="H62" s="6" t="str" cm="1">
        <f t="array" ref="H62">choice(Referentiel!A:A,1,Settings!$B$16)</f>
        <v>Design Graphique</v>
      </c>
      <c r="I62" s="6" t="str" cm="1">
        <f t="array" ref="I62">choice(Referentiel!B:B,1,Settings!$B$16)</f>
        <v>4ème année Photo / Vidéo S1</v>
      </c>
      <c r="J62" s="6" t="str" cm="1">
        <f t="array" ref="J62">choice(Referentiel!D:D,1,Settings!$B$16)</f>
        <v>M2</v>
      </c>
      <c r="K62" s="6" t="str" cm="1">
        <f t="array" ref="K62">choice(Professeurs!B:B,1,Settings!$B$16)</f>
        <v>Prof53</v>
      </c>
      <c r="L62" s="5" t="str" cm="1">
        <f t="array" ref="L62">choice(Referentiel!C:C,1,Settings!$B$16)</f>
        <v/>
      </c>
      <c r="M62" s="5" t="str" cm="1">
        <f t="array" ref="M62">choice(Referentiel!E:E,1,Settings!$B$16)</f>
        <v/>
      </c>
      <c r="N62" s="5" t="str" cm="1">
        <f t="array" ref="N62">choice(Settings!K:K,1,Settings!$B$16)</f>
        <v/>
      </c>
      <c r="P62" s="5">
        <f t="shared" si="4"/>
        <v>2</v>
      </c>
    </row>
    <row r="63" spans="1:16" ht="15.75" customHeight="1" x14ac:dyDescent="0.25">
      <c r="A63" s="6" t="s">
        <v>415</v>
      </c>
      <c r="B63" s="6" cm="1">
        <f t="array" ref="B63">alea_int(Settings!$B$10,1,Settings!$B$16)</f>
        <v>2</v>
      </c>
      <c r="C63" s="8">
        <v>46023</v>
      </c>
      <c r="D63" s="8">
        <f t="shared" si="1"/>
        <v>46387</v>
      </c>
      <c r="E63" s="6" t="str" cm="1">
        <f t="array" ref="E63">choice(Groupes!A:A,1,Settings!$B$16)</f>
        <v>G5</v>
      </c>
      <c r="F63" s="6" t="str">
        <f t="shared" si="2"/>
        <v>G5</v>
      </c>
      <c r="G63" s="6" t="str">
        <f t="shared" si="3"/>
        <v>Prof10</v>
      </c>
      <c r="H63" s="6" t="str" cm="1">
        <f t="array" ref="H63">choice(Referentiel!A:A,1,Settings!$B$16)</f>
        <v>Gr SPATIAL MEDIA</v>
      </c>
      <c r="I63" s="6" t="str" cm="1">
        <f t="array" ref="I63">choice(Referentiel!B:B,1,Settings!$B$16)</f>
        <v>5ème année Photo / Vidéo S1</v>
      </c>
      <c r="J63" s="6" t="str" cm="1">
        <f t="array" ref="J63">choice(Referentiel!D:D,1,Settings!$B$16)</f>
        <v>L3</v>
      </c>
      <c r="K63" s="6" t="str" cm="1">
        <f t="array" ref="K63">choice(Professeurs!B:B,1,Settings!$B$16)</f>
        <v>Prof10</v>
      </c>
      <c r="L63" s="5" t="str" cm="1">
        <f t="array" ref="L63">choice(Referentiel!C:C,1,Settings!$B$16)</f>
        <v/>
      </c>
      <c r="M63" s="5" t="str" cm="1">
        <f t="array" ref="M63">choice(Referentiel!E:E,1,Settings!$B$16)</f>
        <v/>
      </c>
      <c r="N63" s="5" t="str" cm="1">
        <f t="array" ref="N63">choice(Settings!K:K,1,Settings!$B$16)</f>
        <v>jeudi pm</v>
      </c>
      <c r="P63" s="5">
        <f t="shared" si="4"/>
        <v>4</v>
      </c>
    </row>
    <row r="64" spans="1:16" ht="15.75" customHeight="1" x14ac:dyDescent="0.25">
      <c r="A64" s="6" t="s">
        <v>416</v>
      </c>
      <c r="B64" s="6" cm="1">
        <f t="array" ref="B64">alea_int(Settings!$B$10,1,Settings!$B$16)</f>
        <v>3</v>
      </c>
      <c r="C64" s="8">
        <v>46023</v>
      </c>
      <c r="D64" s="8">
        <f t="shared" si="1"/>
        <v>46387</v>
      </c>
      <c r="E64" s="6" t="str" cm="1">
        <f t="array" ref="E64">choice(Groupes!A:A,1,Settings!$B$16)</f>
        <v>G19</v>
      </c>
      <c r="F64" s="6" t="str">
        <f t="shared" si="2"/>
        <v>G19</v>
      </c>
      <c r="G64" s="6" t="str">
        <f t="shared" si="3"/>
        <v>Prof20</v>
      </c>
      <c r="H64" s="6" t="str" cm="1">
        <f t="array" ref="H64">choice(Referentiel!A:A,1,Settings!$B$16)</f>
        <v>Gr SPATIAL MEDIA</v>
      </c>
      <c r="I64" s="6" t="str" cm="1">
        <f t="array" ref="I64">choice(Referentiel!B:B,1,Settings!$B$16)</f>
        <v>4ème année Scénographie S2</v>
      </c>
      <c r="J64" s="6" t="str" cm="1">
        <f t="array" ref="J64">choice(Referentiel!D:D,1,Settings!$B$16)</f>
        <v>L2</v>
      </c>
      <c r="K64" s="6" t="str" cm="1">
        <f t="array" ref="K64">choice(Professeurs!B:B,1,Settings!$B$16)</f>
        <v>Prof20</v>
      </c>
      <c r="L64" s="5" t="str" cm="1">
        <f t="array" ref="L64">choice(Referentiel!C:C,1,Settings!$B$16)</f>
        <v/>
      </c>
      <c r="M64" s="5" t="str" cm="1">
        <f t="array" ref="M64">choice(Referentiel!E:E,1,Settings!$B$16)</f>
        <v/>
      </c>
      <c r="N64" s="5" t="str" cm="1">
        <f t="array" ref="N64">choice(Settings!K:K,1,Settings!$B$16)</f>
        <v>semaine</v>
      </c>
      <c r="P64" s="5">
        <f t="shared" si="4"/>
        <v>5</v>
      </c>
    </row>
    <row r="65" spans="1:16" ht="15.75" customHeight="1" x14ac:dyDescent="0.25">
      <c r="A65" s="6" t="s">
        <v>417</v>
      </c>
      <c r="B65" s="6" cm="1">
        <f t="array" ref="B65">alea_int(Settings!$B$10,1,Settings!$B$16)</f>
        <v>1</v>
      </c>
      <c r="C65" s="8">
        <v>46023</v>
      </c>
      <c r="D65" s="8">
        <f t="shared" si="1"/>
        <v>46387</v>
      </c>
      <c r="E65" s="6" t="str" cm="1">
        <f t="array" ref="E65">choice(Groupes!A:A,1,Settings!$B$16)</f>
        <v>G20</v>
      </c>
      <c r="F65" s="6" t="str">
        <f t="shared" si="2"/>
        <v>G20</v>
      </c>
      <c r="G65" s="6" t="str">
        <f t="shared" si="3"/>
        <v>Prof39</v>
      </c>
      <c r="H65" s="6" t="str" cm="1">
        <f t="array" ref="H65">choice(Referentiel!A:A,1,Settings!$B$16)</f>
        <v>Photo / Vidéo</v>
      </c>
      <c r="I65" s="6" t="str" cm="1">
        <f t="array" ref="I65">choice(Referentiel!B:B,1,Settings!$B$16)</f>
        <v>1ère Année Groupe 3 S1</v>
      </c>
      <c r="J65" s="6" t="str" cm="1">
        <f t="array" ref="J65">choice(Referentiel!D:D,1,Settings!$B$16)</f>
        <v>M1</v>
      </c>
      <c r="K65" s="6" t="str" cm="1">
        <f t="array" ref="K65">choice(Professeurs!B:B,1,Settings!$B$16)</f>
        <v>Prof39</v>
      </c>
      <c r="L65" s="5" t="str" cm="1">
        <f t="array" ref="L65">choice(Referentiel!C:C,1,Settings!$B$16)</f>
        <v/>
      </c>
      <c r="M65" s="5" t="str" cm="1">
        <f t="array" ref="M65">choice(Referentiel!E:E,1,Settings!$B$16)</f>
        <v/>
      </c>
      <c r="N65" s="5" t="str" cm="1">
        <f t="array" ref="N65">choice(Settings!K:K,1,Settings!$B$16)</f>
        <v/>
      </c>
      <c r="P65" s="5">
        <f t="shared" si="4"/>
        <v>1</v>
      </c>
    </row>
    <row r="66" spans="1:16" ht="15.75" customHeight="1" x14ac:dyDescent="0.25">
      <c r="A66" s="6" t="s">
        <v>418</v>
      </c>
      <c r="B66" s="6" cm="1">
        <f t="array" ref="B66">alea_int(Settings!$B$10,1,Settings!$B$16)</f>
        <v>2</v>
      </c>
      <c r="C66" s="8">
        <v>46023</v>
      </c>
      <c r="D66" s="8">
        <f t="shared" si="1"/>
        <v>46387</v>
      </c>
      <c r="E66" s="6" t="str" cm="1">
        <f t="array" ref="E66">choice(Groupes!A:A,1,Settings!$B$16)</f>
        <v>G27</v>
      </c>
      <c r="F66" s="6" t="str">
        <f t="shared" si="2"/>
        <v>G27</v>
      </c>
      <c r="G66" s="6" t="str">
        <f t="shared" si="3"/>
        <v>Prof20</v>
      </c>
      <c r="H66" s="6" t="str" cm="1">
        <f t="array" ref="H66">choice(Referentiel!A:A,1,Settings!$B$16)</f>
        <v>6ème ANNÉE STAGE</v>
      </c>
      <c r="I66" s="6" t="str" cm="1">
        <f t="array" ref="I66">choice(Referentiel!B:B,1,Settings!$B$16)</f>
        <v>4ème année Design Graphique S1</v>
      </c>
      <c r="J66" s="6" t="str" cm="1">
        <f t="array" ref="J66">choice(Referentiel!D:D,1,Settings!$B$16)</f>
        <v>M2</v>
      </c>
      <c r="K66" s="6" t="str" cm="1">
        <f t="array" ref="K66">choice(Professeurs!B:B,1,Settings!$B$16)</f>
        <v>Prof20</v>
      </c>
      <c r="L66" s="5" t="str" cm="1">
        <f t="array" ref="L66">choice(Referentiel!C:C,1,Settings!$B$16)</f>
        <v/>
      </c>
      <c r="M66" s="5" t="str" cm="1">
        <f t="array" ref="M66">choice(Referentiel!E:E,1,Settings!$B$16)</f>
        <v/>
      </c>
      <c r="N66" s="5" t="str" cm="1">
        <f t="array" ref="N66">choice(Settings!K:K,1,Settings!$B$16)</f>
        <v/>
      </c>
      <c r="P66" s="5">
        <f t="shared" si="4"/>
        <v>2</v>
      </c>
    </row>
    <row r="67" spans="1:16" ht="15.75" customHeight="1" x14ac:dyDescent="0.25">
      <c r="A67" s="6" t="s">
        <v>419</v>
      </c>
      <c r="B67" s="6" cm="1">
        <f t="array" ref="B67">alea_int(Settings!$B$10,1,Settings!$B$16)</f>
        <v>2</v>
      </c>
      <c r="C67" s="8">
        <v>46023</v>
      </c>
      <c r="D67" s="8">
        <f t="shared" ref="D67:D130" si="5">C67+364</f>
        <v>46387</v>
      </c>
      <c r="E67" s="6" t="str" cm="1">
        <f t="array" ref="E67">choice(Groupes!A:A,1,Settings!$B$16)</f>
        <v>G12</v>
      </c>
      <c r="F67" s="6" t="str">
        <f t="shared" ref="F67:F130" si="6">E67</f>
        <v>G12</v>
      </c>
      <c r="G67" s="6" t="str">
        <f t="shared" ref="G67:G130" si="7">K67</f>
        <v>Prof50</v>
      </c>
      <c r="H67" s="6" t="str" cm="1">
        <f t="array" ref="H67">choice(Referentiel!A:A,1,Settings!$B$16)</f>
        <v>1ère année Groupe 4</v>
      </c>
      <c r="I67" s="6" t="str" cm="1">
        <f t="array" ref="I67">choice(Referentiel!B:B,1,Settings!$B$16)</f>
        <v>5ème année Scénographie S1</v>
      </c>
      <c r="J67" s="6" t="str" cm="1">
        <f t="array" ref="J67">choice(Referentiel!D:D,1,Settings!$B$16)</f>
        <v>M1</v>
      </c>
      <c r="K67" s="6" t="str" cm="1">
        <f t="array" ref="K67">choice(Professeurs!B:B,1,Settings!$B$16)</f>
        <v>Prof50</v>
      </c>
      <c r="L67" s="5" t="str" cm="1">
        <f t="array" ref="L67">choice(Referentiel!C:C,1,Settings!$B$16)</f>
        <v/>
      </c>
      <c r="M67" s="5" t="str" cm="1">
        <f t="array" ref="M67">choice(Referentiel!E:E,1,Settings!$B$16)</f>
        <v/>
      </c>
      <c r="N67" s="5" t="str" cm="1">
        <f t="array" ref="N67">choice(Settings!K:K,1,Settings!$B$16)</f>
        <v/>
      </c>
      <c r="P67" s="5">
        <f t="shared" ref="P67:P130" si="8">B67+IF(M67&lt;&gt;"",2,0)+IF(N67&lt;&gt;"",2,0)</f>
        <v>2</v>
      </c>
    </row>
    <row r="68" spans="1:16" ht="15.75" customHeight="1" x14ac:dyDescent="0.25">
      <c r="A68" s="6" t="s">
        <v>420</v>
      </c>
      <c r="B68" s="6" cm="1">
        <f t="array" ref="B68">alea_int(Settings!$B$10,1,Settings!$B$16)</f>
        <v>1</v>
      </c>
      <c r="C68" s="8">
        <v>46023</v>
      </c>
      <c r="D68" s="8">
        <f t="shared" si="5"/>
        <v>46387</v>
      </c>
      <c r="E68" s="6" t="str" cm="1">
        <f t="array" ref="E68">choice(Groupes!A:A,1,Settings!$B$16)</f>
        <v>G3</v>
      </c>
      <c r="F68" s="6" t="str">
        <f t="shared" si="6"/>
        <v>G3</v>
      </c>
      <c r="G68" s="6" t="str">
        <f t="shared" si="7"/>
        <v>Prof33</v>
      </c>
      <c r="H68" s="6" t="str" cm="1">
        <f t="array" ref="H68">choice(Referentiel!A:A,1,Settings!$B$16)</f>
        <v>Design Textile et Matière</v>
      </c>
      <c r="I68" s="6" t="str" cm="1">
        <f t="array" ref="I68">choice(Referentiel!B:B,1,Settings!$B$16)</f>
        <v>1ère Année Groupe 3 S2</v>
      </c>
      <c r="J68" s="6" t="str" cm="1">
        <f t="array" ref="J68">choice(Referentiel!D:D,1,Settings!$B$16)</f>
        <v>M1</v>
      </c>
      <c r="K68" s="6" t="str" cm="1">
        <f t="array" ref="K68">choice(Professeurs!B:B,1,Settings!$B$16)</f>
        <v>Prof33</v>
      </c>
      <c r="L68" s="5" t="str" cm="1">
        <f t="array" ref="L68">choice(Referentiel!C:C,1,Settings!$B$16)</f>
        <v/>
      </c>
      <c r="M68" s="5" t="str" cm="1">
        <f t="array" ref="M68">choice(Referentiel!E:E,1,Settings!$B$16)</f>
        <v/>
      </c>
      <c r="N68" s="5" t="str" cm="1">
        <f t="array" ref="N68">choice(Settings!K:K,1,Settings!$B$16)</f>
        <v/>
      </c>
      <c r="P68" s="5">
        <f t="shared" si="8"/>
        <v>1</v>
      </c>
    </row>
    <row r="69" spans="1:16" ht="15.75" customHeight="1" x14ac:dyDescent="0.25">
      <c r="A69" s="6" t="s">
        <v>421</v>
      </c>
      <c r="B69" s="6" cm="1">
        <f t="array" ref="B69">alea_int(Settings!$B$10,1,Settings!$B$16)</f>
        <v>3</v>
      </c>
      <c r="C69" s="8">
        <v>46023</v>
      </c>
      <c r="D69" s="8">
        <f t="shared" si="5"/>
        <v>46387</v>
      </c>
      <c r="E69" s="6" t="str" cm="1">
        <f t="array" ref="E69">choice(Groupes!A:A,1,Settings!$B$16)</f>
        <v>G28</v>
      </c>
      <c r="F69" s="6" t="str">
        <f t="shared" si="6"/>
        <v>G28</v>
      </c>
      <c r="G69" s="6" t="str">
        <f t="shared" si="7"/>
        <v>Prof40</v>
      </c>
      <c r="H69" s="6" t="str" cm="1">
        <f t="array" ref="H69">choice(Referentiel!A:A,1,Settings!$B$16)</f>
        <v>Design Graphique</v>
      </c>
      <c r="I69" s="6" t="str" cm="1">
        <f t="array" ref="I69">choice(Referentiel!B:B,1,Settings!$B$16)</f>
        <v>3ème année Design Textile et Matière S2</v>
      </c>
      <c r="J69" s="6" t="str" cm="1">
        <f t="array" ref="J69">choice(Referentiel!D:D,1,Settings!$B$16)</f>
        <v>M2</v>
      </c>
      <c r="K69" s="6" t="str" cm="1">
        <f t="array" ref="K69">choice(Professeurs!B:B,1,Settings!$B$16)</f>
        <v>Prof40</v>
      </c>
      <c r="L69" s="5" t="str" cm="1">
        <f t="array" ref="L69">choice(Referentiel!C:C,1,Settings!$B$16)</f>
        <v/>
      </c>
      <c r="M69" s="5" t="str" cm="1">
        <f t="array" ref="M69">choice(Referentiel!E:E,1,Settings!$B$16)</f>
        <v/>
      </c>
      <c r="N69" s="5" t="str" cm="1">
        <f t="array" ref="N69">choice(Settings!K:K,1,Settings!$B$16)</f>
        <v/>
      </c>
      <c r="P69" s="5">
        <f t="shared" si="8"/>
        <v>3</v>
      </c>
    </row>
    <row r="70" spans="1:16" ht="15.75" customHeight="1" x14ac:dyDescent="0.25">
      <c r="A70" s="6" t="s">
        <v>422</v>
      </c>
      <c r="B70" s="6" cm="1">
        <f t="array" ref="B70">alea_int(Settings!$B$10,1,Settings!$B$16)</f>
        <v>1</v>
      </c>
      <c r="C70" s="8">
        <v>46023</v>
      </c>
      <c r="D70" s="8">
        <f t="shared" si="5"/>
        <v>46387</v>
      </c>
      <c r="E70" s="6" t="str" cm="1">
        <f t="array" ref="E70">choice(Groupes!A:A,1,Settings!$B$16)</f>
        <v>G11</v>
      </c>
      <c r="F70" s="6" t="str">
        <f t="shared" si="6"/>
        <v>G11</v>
      </c>
      <c r="G70" s="6" t="str">
        <f t="shared" si="7"/>
        <v>Prof35</v>
      </c>
      <c r="H70" s="6" t="str" cm="1">
        <f t="array" ref="H70">choice(Referentiel!A:A,1,Settings!$B$16)</f>
        <v>Design des mondes littoraux</v>
      </c>
      <c r="I70" s="6" t="str" cm="1">
        <f t="array" ref="I70">choice(Referentiel!B:B,1,Settings!$B$16)</f>
        <v>4ème année Scénographie S2</v>
      </c>
      <c r="J70" s="6" t="str" cm="1">
        <f t="array" ref="J70">choice(Referentiel!D:D,1,Settings!$B$16)</f>
        <v>M1</v>
      </c>
      <c r="K70" s="6" t="str" cm="1">
        <f t="array" ref="K70">choice(Professeurs!B:B,1,Settings!$B$16)</f>
        <v>Prof35</v>
      </c>
      <c r="L70" s="5" t="str" cm="1">
        <f t="array" ref="L70">choice(Referentiel!C:C,1,Settings!$B$16)</f>
        <v/>
      </c>
      <c r="M70" s="5" t="str" cm="1">
        <f t="array" ref="M70">choice(Referentiel!E:E,1,Settings!$B$16)</f>
        <v/>
      </c>
      <c r="N70" s="5" t="str" cm="1">
        <f t="array" ref="N70">choice(Settings!K:K,1,Settings!$B$16)</f>
        <v/>
      </c>
      <c r="P70" s="5">
        <f t="shared" si="8"/>
        <v>1</v>
      </c>
    </row>
    <row r="71" spans="1:16" ht="15.75" customHeight="1" x14ac:dyDescent="0.25">
      <c r="A71" s="6" t="s">
        <v>423</v>
      </c>
      <c r="B71" s="6" cm="1">
        <f t="array" ref="B71">alea_int(Settings!$B$10,1,Settings!$B$16)</f>
        <v>3</v>
      </c>
      <c r="C71" s="8">
        <v>46023</v>
      </c>
      <c r="D71" s="8">
        <f t="shared" si="5"/>
        <v>46387</v>
      </c>
      <c r="E71" s="6" t="str" cm="1">
        <f t="array" ref="E71">choice(Groupes!A:A,1,Settings!$B$16)</f>
        <v>G13</v>
      </c>
      <c r="F71" s="6" t="str">
        <f t="shared" si="6"/>
        <v>G13</v>
      </c>
      <c r="G71" s="6" t="str">
        <f t="shared" si="7"/>
        <v>Prof13</v>
      </c>
      <c r="H71" s="6" t="str" cm="1">
        <f t="array" ref="H71">choice(Referentiel!A:A,1,Settings!$B$16)</f>
        <v>Gr ART, DESIGN, SOCIETE</v>
      </c>
      <c r="I71" s="6" t="str" cm="1">
        <f t="array" ref="I71">choice(Referentiel!B:B,1,Settings!$B$16)</f>
        <v>3ème année Cinéma d'Animation S2</v>
      </c>
      <c r="J71" s="6" t="str" cm="1">
        <f t="array" ref="J71">choice(Referentiel!D:D,1,Settings!$B$16)</f>
        <v>L3</v>
      </c>
      <c r="K71" s="6" t="str" cm="1">
        <f t="array" ref="K71">choice(Professeurs!B:B,1,Settings!$B$16)</f>
        <v>Prof13</v>
      </c>
      <c r="L71" s="5" t="str" cm="1">
        <f t="array" ref="L71">choice(Referentiel!C:C,1,Settings!$B$16)</f>
        <v/>
      </c>
      <c r="M71" s="5" t="str" cm="1">
        <f t="array" ref="M71">choice(Referentiel!E:E,1,Settings!$B$16)</f>
        <v/>
      </c>
      <c r="N71" s="5" t="str" cm="1">
        <f t="array" ref="N71">choice(Settings!K:K,1,Settings!$B$16)</f>
        <v>mardi pm</v>
      </c>
      <c r="P71" s="5">
        <f t="shared" si="8"/>
        <v>5</v>
      </c>
    </row>
    <row r="72" spans="1:16" ht="15.75" customHeight="1" x14ac:dyDescent="0.25">
      <c r="A72" s="6" t="s">
        <v>424</v>
      </c>
      <c r="B72" s="6" cm="1">
        <f t="array" ref="B72">alea_int(Settings!$B$10,1,Settings!$B$16)</f>
        <v>1</v>
      </c>
      <c r="C72" s="8">
        <v>46023</v>
      </c>
      <c r="D72" s="8">
        <f t="shared" si="5"/>
        <v>46387</v>
      </c>
      <c r="E72" s="6" t="str" cm="1">
        <f t="array" ref="E72">choice(Groupes!A:A,1,Settings!$B$16)</f>
        <v>G24</v>
      </c>
      <c r="F72" s="6" t="str">
        <f t="shared" si="6"/>
        <v>G24</v>
      </c>
      <c r="G72" s="6" t="str">
        <f t="shared" si="7"/>
        <v>Prof2</v>
      </c>
      <c r="H72" s="6" t="str" cm="1">
        <f t="array" ref="H72">choice(Referentiel!A:A,1,Settings!$B$16)</f>
        <v>Mode et Matière</v>
      </c>
      <c r="I72" s="6" t="str" cm="1">
        <f t="array" ref="I72">choice(Referentiel!B:B,1,Settings!$B$16)</f>
        <v>2ème année Scénographie S1</v>
      </c>
      <c r="J72" s="6" t="str" cm="1">
        <f t="array" ref="J72">choice(Referentiel!D:D,1,Settings!$B$16)</f>
        <v>M2</v>
      </c>
      <c r="K72" s="6" t="str" cm="1">
        <f t="array" ref="K72">choice(Professeurs!B:B,1,Settings!$B$16)</f>
        <v>Prof2</v>
      </c>
      <c r="L72" s="5" t="str" cm="1">
        <f t="array" ref="L72">choice(Referentiel!C:C,1,Settings!$B$16)</f>
        <v>projecteur</v>
      </c>
      <c r="M72" s="5" t="str" cm="1">
        <f t="array" ref="M72">choice(Referentiel!E:E,1,Settings!$B$16)</f>
        <v/>
      </c>
      <c r="N72" s="5" t="str" cm="1">
        <f t="array" ref="N72">choice(Settings!K:K,1,Settings!$B$16)</f>
        <v/>
      </c>
      <c r="P72" s="5">
        <f t="shared" si="8"/>
        <v>1</v>
      </c>
    </row>
    <row r="73" spans="1:16" ht="15.75" customHeight="1" x14ac:dyDescent="0.25">
      <c r="A73" s="6" t="s">
        <v>425</v>
      </c>
      <c r="B73" s="6" cm="1">
        <f t="array" ref="B73">alea_int(Settings!$B$10,1,Settings!$B$16)</f>
        <v>2</v>
      </c>
      <c r="C73" s="8">
        <v>46023</v>
      </c>
      <c r="D73" s="8">
        <f t="shared" si="5"/>
        <v>46387</v>
      </c>
      <c r="E73" s="6" t="str" cm="1">
        <f t="array" ref="E73">choice(Groupes!A:A,1,Settings!$B$16)</f>
        <v>G4</v>
      </c>
      <c r="F73" s="6" t="str">
        <f t="shared" si="6"/>
        <v>G4</v>
      </c>
      <c r="G73" s="6" t="str">
        <f t="shared" si="7"/>
        <v>Prof50</v>
      </c>
      <c r="H73" s="6" t="str" cm="1">
        <f t="array" ref="H73">choice(Referentiel!A:A,1,Settings!$B$16)</f>
        <v>Photo / Vidéo</v>
      </c>
      <c r="I73" s="6" t="str" cm="1">
        <f t="array" ref="I73">choice(Referentiel!B:B,1,Settings!$B$16)</f>
        <v>3ème année Architecture Intérieure S1</v>
      </c>
      <c r="J73" s="6" t="str" cm="1">
        <f t="array" ref="J73">choice(Referentiel!D:D,1,Settings!$B$16)</f>
        <v>L2</v>
      </c>
      <c r="K73" s="6" t="str" cm="1">
        <f t="array" ref="K73">choice(Professeurs!B:B,1,Settings!$B$16)</f>
        <v>Prof50</v>
      </c>
      <c r="L73" s="5" t="str" cm="1">
        <f t="array" ref="L73">choice(Referentiel!C:C,1,Settings!$B$16)</f>
        <v/>
      </c>
      <c r="M73" s="5" t="str" cm="1">
        <f t="array" ref="M73">choice(Referentiel!E:E,1,Settings!$B$16)</f>
        <v/>
      </c>
      <c r="N73" s="5" t="str" cm="1">
        <f t="array" ref="N73">choice(Settings!K:K,1,Settings!$B$16)</f>
        <v>mardi pm</v>
      </c>
      <c r="P73" s="5">
        <f t="shared" si="8"/>
        <v>4</v>
      </c>
    </row>
    <row r="74" spans="1:16" ht="15.75" customHeight="1" x14ac:dyDescent="0.25">
      <c r="A74" s="6" t="s">
        <v>426</v>
      </c>
      <c r="B74" s="6" cm="1">
        <f t="array" ref="B74">alea_int(Settings!$B$10,1,Settings!$B$16)</f>
        <v>1</v>
      </c>
      <c r="C74" s="8">
        <v>46023</v>
      </c>
      <c r="D74" s="8">
        <f t="shared" si="5"/>
        <v>46387</v>
      </c>
      <c r="E74" s="6" t="str" cm="1">
        <f t="array" ref="E74">choice(Groupes!A:A,1,Settings!$B$16)</f>
        <v>G13</v>
      </c>
      <c r="F74" s="6" t="str">
        <f t="shared" si="6"/>
        <v>G13</v>
      </c>
      <c r="G74" s="6" t="str">
        <f t="shared" si="7"/>
        <v>Prof49</v>
      </c>
      <c r="H74" s="6" t="str" cm="1">
        <f t="array" ref="H74">choice(Referentiel!A:A,1,Settings!$B$16)</f>
        <v>Design des mondes ruraux</v>
      </c>
      <c r="I74" s="6" t="str" cm="1">
        <f t="array" ref="I74">choice(Referentiel!B:B,1,Settings!$B$16)</f>
        <v>3ème année Design Objet S2</v>
      </c>
      <c r="J74" s="6" t="str" cm="1">
        <f t="array" ref="J74">choice(Referentiel!D:D,1,Settings!$B$16)</f>
        <v>M1</v>
      </c>
      <c r="K74" s="6" t="str" cm="1">
        <f t="array" ref="K74">choice(Professeurs!B:B,1,Settings!$B$16)</f>
        <v>Prof49</v>
      </c>
      <c r="L74" s="5" t="str" cm="1">
        <f t="array" ref="L74">choice(Referentiel!C:C,1,Settings!$B$16)</f>
        <v/>
      </c>
      <c r="M74" s="5" t="str" cm="1">
        <f t="array" ref="M74">choice(Referentiel!E:E,1,Settings!$B$16)</f>
        <v/>
      </c>
      <c r="N74" s="5" t="str" cm="1">
        <f t="array" ref="N74">choice(Settings!K:K,1,Settings!$B$16)</f>
        <v/>
      </c>
      <c r="P74" s="5">
        <f t="shared" si="8"/>
        <v>1</v>
      </c>
    </row>
    <row r="75" spans="1:16" ht="15.75" customHeight="1" x14ac:dyDescent="0.25">
      <c r="A75" s="6" t="s">
        <v>427</v>
      </c>
      <c r="B75" s="6" cm="1">
        <f t="array" ref="B75">alea_int(Settings!$B$10,1,Settings!$B$16)</f>
        <v>1</v>
      </c>
      <c r="C75" s="8">
        <v>46023</v>
      </c>
      <c r="D75" s="8">
        <f t="shared" si="5"/>
        <v>46387</v>
      </c>
      <c r="E75" s="6" t="str" cm="1">
        <f t="array" ref="E75">choice(Groupes!A:A,1,Settings!$B$16)</f>
        <v>G7</v>
      </c>
      <c r="F75" s="6" t="str">
        <f t="shared" si="6"/>
        <v>G7</v>
      </c>
      <c r="G75" s="6" t="str">
        <f t="shared" si="7"/>
        <v>Prof21</v>
      </c>
      <c r="H75" s="6" t="str" cm="1">
        <f t="array" ref="H75">choice(Referentiel!A:A,1,Settings!$B$16)</f>
        <v>1ère année Groupe 2</v>
      </c>
      <c r="I75" s="6" t="str" cm="1">
        <f t="array" ref="I75">choice(Referentiel!B:B,1,Settings!$B$16)</f>
        <v>5ème année Design Textile et Matière S2</v>
      </c>
      <c r="J75" s="6" t="str" cm="1">
        <f t="array" ref="J75">choice(Referentiel!D:D,1,Settings!$B$16)</f>
        <v>M2</v>
      </c>
      <c r="K75" s="6" t="str" cm="1">
        <f t="array" ref="K75">choice(Professeurs!B:B,1,Settings!$B$16)</f>
        <v>Prof21</v>
      </c>
      <c r="L75" s="5" t="str" cm="1">
        <f t="array" ref="L75">choice(Referentiel!C:C,1,Settings!$B$16)</f>
        <v/>
      </c>
      <c r="M75" s="5" t="str" cm="1">
        <f t="array" ref="M75">choice(Referentiel!E:E,1,Settings!$B$16)</f>
        <v/>
      </c>
      <c r="N75" s="5" t="str" cm="1">
        <f t="array" ref="N75">choice(Settings!K:K,1,Settings!$B$16)</f>
        <v>mercredi pm</v>
      </c>
      <c r="P75" s="5">
        <f t="shared" si="8"/>
        <v>3</v>
      </c>
    </row>
    <row r="76" spans="1:16" ht="15.75" customHeight="1" x14ac:dyDescent="0.25">
      <c r="A76" s="6" t="s">
        <v>428</v>
      </c>
      <c r="B76" s="6" cm="1">
        <f t="array" ref="B76">alea_int(Settings!$B$10,1,Settings!$B$16)</f>
        <v>1</v>
      </c>
      <c r="C76" s="8">
        <v>46023</v>
      </c>
      <c r="D76" s="8">
        <f t="shared" si="5"/>
        <v>46387</v>
      </c>
      <c r="E76" s="6" t="str" cm="1">
        <f t="array" ref="E76">choice(Groupes!A:A,1,Settings!$B$16)</f>
        <v>G12</v>
      </c>
      <c r="F76" s="6" t="str">
        <f t="shared" si="6"/>
        <v>G12</v>
      </c>
      <c r="G76" s="6" t="str">
        <f t="shared" si="7"/>
        <v>Prof3</v>
      </c>
      <c r="H76" s="6" t="str" cm="1">
        <f t="array" ref="H76">choice(Referentiel!A:A,1,Settings!$B$16)</f>
        <v>Design Graphique</v>
      </c>
      <c r="I76" s="6" t="str" cm="1">
        <f t="array" ref="I76">choice(Referentiel!B:B,1,Settings!$B$16)</f>
        <v>3ème année Cinéma d'Animation S1</v>
      </c>
      <c r="J76" s="6" t="str" cm="1">
        <f t="array" ref="J76">choice(Referentiel!D:D,1,Settings!$B$16)</f>
        <v>L2</v>
      </c>
      <c r="K76" s="6" t="str" cm="1">
        <f t="array" ref="K76">choice(Professeurs!B:B,1,Settings!$B$16)</f>
        <v>Prof3</v>
      </c>
      <c r="L76" s="5" t="str" cm="1">
        <f t="array" ref="L76">choice(Referentiel!C:C,1,Settings!$B$16)</f>
        <v/>
      </c>
      <c r="M76" s="5" t="str" cm="1">
        <f t="array" ref="M76">choice(Referentiel!E:E,1,Settings!$B$16)</f>
        <v/>
      </c>
      <c r="N76" s="5" t="str" cm="1">
        <f t="array" ref="N76">choice(Settings!K:K,1,Settings!$B$16)</f>
        <v>jeudi am</v>
      </c>
      <c r="P76" s="5">
        <f t="shared" si="8"/>
        <v>3</v>
      </c>
    </row>
    <row r="77" spans="1:16" ht="15.75" customHeight="1" x14ac:dyDescent="0.25">
      <c r="A77" s="6" t="s">
        <v>429</v>
      </c>
      <c r="B77" s="6" cm="1">
        <f t="array" ref="B77">alea_int(Settings!$B$10,1,Settings!$B$16)</f>
        <v>3</v>
      </c>
      <c r="C77" s="8">
        <v>46023</v>
      </c>
      <c r="D77" s="8">
        <f t="shared" si="5"/>
        <v>46387</v>
      </c>
      <c r="E77" s="6" t="str" cm="1">
        <f t="array" ref="E77">choice(Groupes!A:A,1,Settings!$B$16)</f>
        <v>G4</v>
      </c>
      <c r="F77" s="6" t="str">
        <f t="shared" si="6"/>
        <v>G4</v>
      </c>
      <c r="G77" s="6" t="str">
        <f t="shared" si="7"/>
        <v>Prof7</v>
      </c>
      <c r="H77" s="6" t="str" cm="1">
        <f t="array" ref="H77">choice(Referentiel!A:A,1,Settings!$B$16)</f>
        <v>Scénographie</v>
      </c>
      <c r="I77" s="6" t="str" cm="1">
        <f t="array" ref="I77">choice(Referentiel!B:B,1,Settings!$B$16)</f>
        <v>1ère Année Groupe 3 S2</v>
      </c>
      <c r="J77" s="6" t="str" cm="1">
        <f t="array" ref="J77">choice(Referentiel!D:D,1,Settings!$B$16)</f>
        <v>L2</v>
      </c>
      <c r="K77" s="6" t="str" cm="1">
        <f t="array" ref="K77">choice(Professeurs!B:B,1,Settings!$B$16)</f>
        <v>Prof7</v>
      </c>
      <c r="L77" s="5" t="str" cm="1">
        <f t="array" ref="L77">choice(Referentiel!C:C,1,Settings!$B$16)</f>
        <v/>
      </c>
      <c r="M77" s="5" t="str" cm="1">
        <f t="array" ref="M77">choice(Referentiel!E:E,1,Settings!$B$16)</f>
        <v/>
      </c>
      <c r="N77" s="5" t="str" cm="1">
        <f t="array" ref="N77">choice(Settings!K:K,1,Settings!$B$16)</f>
        <v>vendredi pm</v>
      </c>
      <c r="P77" s="5">
        <f t="shared" si="8"/>
        <v>5</v>
      </c>
    </row>
    <row r="78" spans="1:16" ht="15.75" customHeight="1" x14ac:dyDescent="0.25">
      <c r="A78" s="6" t="s">
        <v>430</v>
      </c>
      <c r="B78" s="6" cm="1">
        <f t="array" ref="B78">alea_int(Settings!$B$10,1,Settings!$B$16)</f>
        <v>3</v>
      </c>
      <c r="C78" s="8">
        <v>46023</v>
      </c>
      <c r="D78" s="8">
        <f t="shared" si="5"/>
        <v>46387</v>
      </c>
      <c r="E78" s="6" t="str" cm="1">
        <f t="array" ref="E78">choice(Groupes!A:A,1,Settings!$B$16)</f>
        <v>G29</v>
      </c>
      <c r="F78" s="6" t="str">
        <f t="shared" si="6"/>
        <v>G29</v>
      </c>
      <c r="G78" s="6" t="str">
        <f t="shared" si="7"/>
        <v>Prof25</v>
      </c>
      <c r="H78" s="6" t="str" cm="1">
        <f t="array" ref="H78">choice(Referentiel!A:A,1,Settings!$B$16)</f>
        <v>1ère année Groupe 4</v>
      </c>
      <c r="I78" s="6" t="str" cm="1">
        <f t="array" ref="I78">choice(Referentiel!B:B,1,Settings!$B$16)</f>
        <v>4ème année Photo / Vidéo S1</v>
      </c>
      <c r="J78" s="6" t="str" cm="1">
        <f t="array" ref="J78">choice(Referentiel!D:D,1,Settings!$B$16)</f>
        <v>M2</v>
      </c>
      <c r="K78" s="6" t="str" cm="1">
        <f t="array" ref="K78">choice(Professeurs!B:B,1,Settings!$B$16)</f>
        <v>Prof25</v>
      </c>
      <c r="L78" s="5" t="str" cm="1">
        <f t="array" ref="L78">choice(Referentiel!C:C,1,Settings!$B$16)</f>
        <v>ordinateur</v>
      </c>
      <c r="M78" s="5" t="str" cm="1">
        <f t="array" ref="M78">choice(Referentiel!E:E,1,Settings!$B$16)</f>
        <v/>
      </c>
      <c r="N78" s="5" t="str" cm="1">
        <f t="array" ref="N78">choice(Settings!K:K,1,Settings!$B$16)</f>
        <v/>
      </c>
      <c r="P78" s="5">
        <f t="shared" si="8"/>
        <v>3</v>
      </c>
    </row>
    <row r="79" spans="1:16" ht="15.75" customHeight="1" x14ac:dyDescent="0.25">
      <c r="A79" s="6" t="s">
        <v>431</v>
      </c>
      <c r="B79" s="6" cm="1">
        <f t="array" ref="B79">alea_int(Settings!$B$10,1,Settings!$B$16)</f>
        <v>2</v>
      </c>
      <c r="C79" s="8">
        <v>46023</v>
      </c>
      <c r="D79" s="8">
        <f t="shared" si="5"/>
        <v>46387</v>
      </c>
      <c r="E79" s="6" t="str" cm="1">
        <f t="array" ref="E79">choice(Groupes!A:A,1,Settings!$B$16)</f>
        <v>G7</v>
      </c>
      <c r="F79" s="6" t="str">
        <f t="shared" si="6"/>
        <v>G7</v>
      </c>
      <c r="G79" s="6" t="str">
        <f t="shared" si="7"/>
        <v>Prof42</v>
      </c>
      <c r="H79" s="6" t="str" cm="1">
        <f t="array" ref="H79">choice(Referentiel!A:A,1,Settings!$B$16)</f>
        <v>1ère année Groupe 2</v>
      </c>
      <c r="I79" s="6" t="str" cm="1">
        <f t="array" ref="I79">choice(Referentiel!B:B,1,Settings!$B$16)</f>
        <v>5ème année Scénographie S2</v>
      </c>
      <c r="J79" s="6" t="str" cm="1">
        <f t="array" ref="J79">choice(Referentiel!D:D,1,Settings!$B$16)</f>
        <v>L3</v>
      </c>
      <c r="K79" s="6" t="str" cm="1">
        <f t="array" ref="K79">choice(Professeurs!B:B,1,Settings!$B$16)</f>
        <v>Prof42</v>
      </c>
      <c r="L79" s="5" t="str" cm="1">
        <f t="array" ref="L79">choice(Referentiel!C:C,1,Settings!$B$16)</f>
        <v/>
      </c>
      <c r="M79" s="5" t="str" cm="1">
        <f t="array" ref="M79">choice(Referentiel!E:E,1,Settings!$B$16)</f>
        <v/>
      </c>
      <c r="N79" s="5" t="str" cm="1">
        <f t="array" ref="N79">choice(Settings!K:K,1,Settings!$B$16)</f>
        <v/>
      </c>
      <c r="P79" s="5">
        <f t="shared" si="8"/>
        <v>2</v>
      </c>
    </row>
    <row r="80" spans="1:16" ht="15.75" customHeight="1" x14ac:dyDescent="0.25">
      <c r="A80" s="6" t="s">
        <v>432</v>
      </c>
      <c r="B80" s="6" cm="1">
        <f t="array" ref="B80">alea_int(Settings!$B$10,1,Settings!$B$16)</f>
        <v>2</v>
      </c>
      <c r="C80" s="8">
        <v>46023</v>
      </c>
      <c r="D80" s="8">
        <f t="shared" si="5"/>
        <v>46387</v>
      </c>
      <c r="E80" s="6" t="str" cm="1">
        <f t="array" ref="E80">choice(Groupes!A:A,1,Settings!$B$16)</f>
        <v>G4</v>
      </c>
      <c r="F80" s="6" t="str">
        <f t="shared" si="6"/>
        <v>G4</v>
      </c>
      <c r="G80" s="6" t="str">
        <f t="shared" si="7"/>
        <v>Prof9</v>
      </c>
      <c r="H80" s="6" t="str" cm="1">
        <f t="array" ref="H80">choice(Referentiel!A:A,1,Settings!$B$16)</f>
        <v>Design Textile et Matière</v>
      </c>
      <c r="I80" s="6" t="str" cm="1">
        <f t="array" ref="I80">choice(Referentiel!B:B,1,Settings!$B$16)</f>
        <v>3ème année Cinéma d'Animation S1</v>
      </c>
      <c r="J80" s="6" t="str" cm="1">
        <f t="array" ref="J80">choice(Referentiel!D:D,1,Settings!$B$16)</f>
        <v>L2</v>
      </c>
      <c r="K80" s="6" t="str" cm="1">
        <f t="array" ref="K80">choice(Professeurs!B:B,1,Settings!$B$16)</f>
        <v>Prof9</v>
      </c>
      <c r="L80" s="5" t="str" cm="1">
        <f t="array" ref="L80">choice(Referentiel!C:C,1,Settings!$B$16)</f>
        <v/>
      </c>
      <c r="M80" s="5" t="str" cm="1">
        <f t="array" ref="M80">choice(Referentiel!E:E,1,Settings!$B$16)</f>
        <v/>
      </c>
      <c r="N80" s="5" t="str" cm="1">
        <f t="array" ref="N80">choice(Settings!K:K,1,Settings!$B$16)</f>
        <v/>
      </c>
      <c r="P80" s="5">
        <f t="shared" si="8"/>
        <v>2</v>
      </c>
    </row>
    <row r="81" spans="1:16" ht="15.75" customHeight="1" x14ac:dyDescent="0.25">
      <c r="A81" s="6" t="s">
        <v>433</v>
      </c>
      <c r="B81" s="6" cm="1">
        <f t="array" ref="B81">alea_int(Settings!$B$10,1,Settings!$B$16)</f>
        <v>2</v>
      </c>
      <c r="C81" s="8">
        <v>46023</v>
      </c>
      <c r="D81" s="8">
        <f t="shared" si="5"/>
        <v>46387</v>
      </c>
      <c r="E81" s="6" t="str" cm="1">
        <f t="array" ref="E81">choice(Groupes!A:A,1,Settings!$B$16)</f>
        <v>G18</v>
      </c>
      <c r="F81" s="6" t="str">
        <f t="shared" si="6"/>
        <v>G18</v>
      </c>
      <c r="G81" s="6" t="str">
        <f t="shared" si="7"/>
        <v>Prof22</v>
      </c>
      <c r="H81" s="6" t="str" cm="1">
        <f t="array" ref="H81">choice(Referentiel!A:A,1,Settings!$B$16)</f>
        <v>Design Graphique</v>
      </c>
      <c r="I81" s="6" t="str" cm="1">
        <f t="array" ref="I81">choice(Referentiel!B:B,1,Settings!$B$16)</f>
        <v>5ème année Design Objet S1</v>
      </c>
      <c r="J81" s="6" t="str" cm="1">
        <f t="array" ref="J81">choice(Referentiel!D:D,1,Settings!$B$16)</f>
        <v>M2</v>
      </c>
      <c r="K81" s="6" t="str" cm="1">
        <f t="array" ref="K81">choice(Professeurs!B:B,1,Settings!$B$16)</f>
        <v>Prof22</v>
      </c>
      <c r="L81" s="5" t="str" cm="1">
        <f t="array" ref="L81">choice(Referentiel!C:C,1,Settings!$B$16)</f>
        <v/>
      </c>
      <c r="M81" s="5" t="str" cm="1">
        <f t="array" ref="M81">choice(Referentiel!E:E,1,Settings!$B$16)</f>
        <v/>
      </c>
      <c r="N81" s="5" t="str" cm="1">
        <f t="array" ref="N81">choice(Settings!K:K,1,Settings!$B$16)</f>
        <v>vendredi pm</v>
      </c>
      <c r="P81" s="5">
        <f t="shared" si="8"/>
        <v>4</v>
      </c>
    </row>
    <row r="82" spans="1:16" ht="15.75" customHeight="1" x14ac:dyDescent="0.25">
      <c r="A82" s="6" t="s">
        <v>434</v>
      </c>
      <c r="B82" s="6" cm="1">
        <f t="array" ref="B82">alea_int(Settings!$B$10,1,Settings!$B$16)</f>
        <v>2</v>
      </c>
      <c r="C82" s="8">
        <v>46023</v>
      </c>
      <c r="D82" s="8">
        <f t="shared" si="5"/>
        <v>46387</v>
      </c>
      <c r="E82" s="6" t="str" cm="1">
        <f t="array" ref="E82">choice(Groupes!A:A,1,Settings!$B$16)</f>
        <v>G10</v>
      </c>
      <c r="F82" s="6" t="str">
        <f t="shared" si="6"/>
        <v>G10</v>
      </c>
      <c r="G82" s="6" t="str">
        <f t="shared" si="7"/>
        <v>Prof37</v>
      </c>
      <c r="H82" s="6" t="str" cm="1">
        <f t="array" ref="H82">choice(Referentiel!A:A,1,Settings!$B$16)</f>
        <v>1ère année Groupe 2</v>
      </c>
      <c r="I82" s="6" t="str" cm="1">
        <f t="array" ref="I82">choice(Referentiel!B:B,1,Settings!$B$16)</f>
        <v>3ème année Design Textile et Matière S2</v>
      </c>
      <c r="J82" s="6" t="str" cm="1">
        <f t="array" ref="J82">choice(Referentiel!D:D,1,Settings!$B$16)</f>
        <v>L2</v>
      </c>
      <c r="K82" s="6" t="str" cm="1">
        <f t="array" ref="K82">choice(Professeurs!B:B,1,Settings!$B$16)</f>
        <v>Prof37</v>
      </c>
      <c r="L82" s="5" t="str" cm="1">
        <f t="array" ref="L82">choice(Referentiel!C:C,1,Settings!$B$16)</f>
        <v>tablette</v>
      </c>
      <c r="M82" s="5" t="str" cm="1">
        <f t="array" ref="M82">choice(Referentiel!E:E,1,Settings!$B$16)</f>
        <v/>
      </c>
      <c r="N82" s="5" t="str" cm="1">
        <f t="array" ref="N82">choice(Settings!K:K,1,Settings!$B$16)</f>
        <v/>
      </c>
      <c r="P82" s="5">
        <f t="shared" si="8"/>
        <v>2</v>
      </c>
    </row>
    <row r="83" spans="1:16" ht="15.75" customHeight="1" x14ac:dyDescent="0.25">
      <c r="A83" s="6" t="s">
        <v>435</v>
      </c>
      <c r="B83" s="6" cm="1">
        <f t="array" ref="B83">alea_int(Settings!$B$10,1,Settings!$B$16)</f>
        <v>3</v>
      </c>
      <c r="C83" s="8">
        <v>46023</v>
      </c>
      <c r="D83" s="8">
        <f t="shared" si="5"/>
        <v>46387</v>
      </c>
      <c r="E83" s="6" t="str" cm="1">
        <f t="array" ref="E83">choice(Groupes!A:A,1,Settings!$B$16)</f>
        <v>G12</v>
      </c>
      <c r="F83" s="6" t="str">
        <f t="shared" si="6"/>
        <v>G12</v>
      </c>
      <c r="G83" s="6" t="str">
        <f t="shared" si="7"/>
        <v>Prof43</v>
      </c>
      <c r="H83" s="6" t="str" cm="1">
        <f t="array" ref="H83">choice(Referentiel!A:A,1,Settings!$B$16)</f>
        <v>Gr SOFT MATTERS</v>
      </c>
      <c r="I83" s="6" t="str" cm="1">
        <f t="array" ref="I83">choice(Referentiel!B:B,1,Settings!$B$16)</f>
        <v>4ème année Architecture Intérieure S1</v>
      </c>
      <c r="J83" s="6" t="str" cm="1">
        <f t="array" ref="J83">choice(Referentiel!D:D,1,Settings!$B$16)</f>
        <v>M1</v>
      </c>
      <c r="K83" s="6" t="str" cm="1">
        <f t="array" ref="K83">choice(Professeurs!B:B,1,Settings!$B$16)</f>
        <v>Prof43</v>
      </c>
      <c r="L83" s="5" t="str" cm="1">
        <f t="array" ref="L83">choice(Referentiel!C:C,1,Settings!$B$16)</f>
        <v/>
      </c>
      <c r="M83" s="5" t="str" cm="1">
        <f t="array" ref="M83">choice(Referentiel!E:E,1,Settings!$B$16)</f>
        <v/>
      </c>
      <c r="N83" s="5" t="str" cm="1">
        <f t="array" ref="N83">choice(Settings!K:K,1,Settings!$B$16)</f>
        <v/>
      </c>
      <c r="P83" s="5">
        <f t="shared" si="8"/>
        <v>3</v>
      </c>
    </row>
    <row r="84" spans="1:16" ht="15.75" customHeight="1" x14ac:dyDescent="0.25">
      <c r="A84" s="6" t="s">
        <v>436</v>
      </c>
      <c r="B84" s="6" cm="1">
        <f t="array" ref="B84">alea_int(Settings!$B$10,1,Settings!$B$16)</f>
        <v>1</v>
      </c>
      <c r="C84" s="8">
        <v>46023</v>
      </c>
      <c r="D84" s="8">
        <f t="shared" si="5"/>
        <v>46387</v>
      </c>
      <c r="E84" s="6" t="str" cm="1">
        <f t="array" ref="E84">choice(Groupes!A:A,1,Settings!$B$16)</f>
        <v>G11</v>
      </c>
      <c r="F84" s="6" t="str">
        <f t="shared" si="6"/>
        <v>G11</v>
      </c>
      <c r="G84" s="6" t="str">
        <f t="shared" si="7"/>
        <v>Prof48</v>
      </c>
      <c r="H84" s="6" t="str" cm="1">
        <f t="array" ref="H84">choice(Referentiel!A:A,1,Settings!$B$16)</f>
        <v>Gr REFLECTIVE INTERACTION</v>
      </c>
      <c r="I84" s="6" t="str" cm="1">
        <f t="array" ref="I84">choice(Referentiel!B:B,1,Settings!$B$16)</f>
        <v>2ème année Scénographie S1</v>
      </c>
      <c r="J84" s="6" t="str" cm="1">
        <f t="array" ref="J84">choice(Referentiel!D:D,1,Settings!$B$16)</f>
        <v>L2</v>
      </c>
      <c r="K84" s="6" t="str" cm="1">
        <f t="array" ref="K84">choice(Professeurs!B:B,1,Settings!$B$16)</f>
        <v>Prof48</v>
      </c>
      <c r="L84" s="5" t="str" cm="1">
        <f t="array" ref="L84">choice(Referentiel!C:C,1,Settings!$B$16)</f>
        <v/>
      </c>
      <c r="M84" s="5" t="str" cm="1">
        <f t="array" ref="M84">choice(Referentiel!E:E,1,Settings!$B$16)</f>
        <v/>
      </c>
      <c r="N84" s="5" t="str" cm="1">
        <f t="array" ref="N84">choice(Settings!K:K,1,Settings!$B$16)</f>
        <v>vendredi pm</v>
      </c>
      <c r="P84" s="5">
        <f t="shared" si="8"/>
        <v>3</v>
      </c>
    </row>
    <row r="85" spans="1:16" ht="15.75" customHeight="1" x14ac:dyDescent="0.25">
      <c r="A85" s="6" t="s">
        <v>437</v>
      </c>
      <c r="B85" s="6" cm="1">
        <f t="array" ref="B85">alea_int(Settings!$B$10,1,Settings!$B$16)</f>
        <v>3</v>
      </c>
      <c r="C85" s="8">
        <v>46023</v>
      </c>
      <c r="D85" s="8">
        <f t="shared" si="5"/>
        <v>46387</v>
      </c>
      <c r="E85" s="6" t="str" cm="1">
        <f t="array" ref="E85">choice(Groupes!A:A,1,Settings!$B$16)</f>
        <v>G24</v>
      </c>
      <c r="F85" s="6" t="str">
        <f t="shared" si="6"/>
        <v>G24</v>
      </c>
      <c r="G85" s="6" t="str">
        <f t="shared" si="7"/>
        <v>Prof8</v>
      </c>
      <c r="H85" s="6" t="str" cm="1">
        <f t="array" ref="H85">choice(Referentiel!A:A,1,Settings!$B$16)</f>
        <v>1ère année Groupe 3</v>
      </c>
      <c r="I85" s="6" t="str" cm="1">
        <f t="array" ref="I85">choice(Referentiel!B:B,1,Settings!$B$16)</f>
        <v>3ème année Design Graphique S2</v>
      </c>
      <c r="J85" s="6" t="str" cm="1">
        <f t="array" ref="J85">choice(Referentiel!D:D,1,Settings!$B$16)</f>
        <v>M2</v>
      </c>
      <c r="K85" s="6" t="str" cm="1">
        <f t="array" ref="K85">choice(Professeurs!B:B,1,Settings!$B$16)</f>
        <v>Prof8</v>
      </c>
      <c r="L85" s="5" t="str" cm="1">
        <f t="array" ref="L85">choice(Referentiel!C:C,1,Settings!$B$16)</f>
        <v/>
      </c>
      <c r="M85" s="5" t="str" cm="1">
        <f t="array" ref="M85">choice(Referentiel!E:E,1,Settings!$B$16)</f>
        <v/>
      </c>
      <c r="N85" s="5" t="str" cm="1">
        <f t="array" ref="N85">choice(Settings!K:K,1,Settings!$B$16)</f>
        <v>mercredi pm</v>
      </c>
      <c r="P85" s="5">
        <f t="shared" si="8"/>
        <v>5</v>
      </c>
    </row>
    <row r="86" spans="1:16" ht="15.75" customHeight="1" x14ac:dyDescent="0.25">
      <c r="A86" s="6" t="s">
        <v>438</v>
      </c>
      <c r="B86" s="6" cm="1">
        <f t="array" ref="B86">alea_int(Settings!$B$10,1,Settings!$B$16)</f>
        <v>1</v>
      </c>
      <c r="C86" s="8">
        <v>46023</v>
      </c>
      <c r="D86" s="8">
        <f t="shared" si="5"/>
        <v>46387</v>
      </c>
      <c r="E86" s="6" t="str" cm="1">
        <f t="array" ref="E86">choice(Groupes!A:A,1,Settings!$B$16)</f>
        <v>G13</v>
      </c>
      <c r="F86" s="6" t="str">
        <f t="shared" si="6"/>
        <v>G13</v>
      </c>
      <c r="G86" s="6" t="str">
        <f t="shared" si="7"/>
        <v>Prof53</v>
      </c>
      <c r="H86" s="6" t="str" cm="1">
        <f t="array" ref="H86">choice(Referentiel!A:A,1,Settings!$B$16)</f>
        <v>Image Imprimée</v>
      </c>
      <c r="I86" s="6" t="str" cm="1">
        <f t="array" ref="I86">choice(Referentiel!B:B,1,Settings!$B$16)</f>
        <v>2ème année Design Objet S1</v>
      </c>
      <c r="J86" s="6" t="str" cm="1">
        <f t="array" ref="J86">choice(Referentiel!D:D,1,Settings!$B$16)</f>
        <v>L3</v>
      </c>
      <c r="K86" s="6" t="str" cm="1">
        <f t="array" ref="K86">choice(Professeurs!B:B,1,Settings!$B$16)</f>
        <v>Prof53</v>
      </c>
      <c r="L86" s="5" t="str" cm="1">
        <f t="array" ref="L86">choice(Referentiel!C:C,1,Settings!$B$16)</f>
        <v/>
      </c>
      <c r="M86" s="5" t="str" cm="1">
        <f t="array" ref="M86">choice(Referentiel!E:E,1,Settings!$B$16)</f>
        <v/>
      </c>
      <c r="N86" s="5" t="str" cm="1">
        <f t="array" ref="N86">choice(Settings!K:K,1,Settings!$B$16)</f>
        <v/>
      </c>
      <c r="P86" s="5">
        <f t="shared" si="8"/>
        <v>1</v>
      </c>
    </row>
    <row r="87" spans="1:16" ht="15.75" customHeight="1" x14ac:dyDescent="0.25">
      <c r="A87" s="6" t="s">
        <v>439</v>
      </c>
      <c r="B87" s="6" cm="1">
        <f t="array" ref="B87">alea_int(Settings!$B$10,1,Settings!$B$16)</f>
        <v>2</v>
      </c>
      <c r="C87" s="8">
        <v>46023</v>
      </c>
      <c r="D87" s="8">
        <f t="shared" si="5"/>
        <v>46387</v>
      </c>
      <c r="E87" s="6" t="str" cm="1">
        <f t="array" ref="E87">choice(Groupes!A:A,1,Settings!$B$16)</f>
        <v>G24</v>
      </c>
      <c r="F87" s="6" t="str">
        <f t="shared" si="6"/>
        <v>G24</v>
      </c>
      <c r="G87" s="6" t="str">
        <f t="shared" si="7"/>
        <v>Prof47</v>
      </c>
      <c r="H87" s="6" t="str" cm="1">
        <f t="array" ref="H87">choice(Referentiel!A:A,1,Settings!$B$16)</f>
        <v>Design Textile et Matière</v>
      </c>
      <c r="I87" s="6" t="str" cm="1">
        <f t="array" ref="I87">choice(Referentiel!B:B,1,Settings!$B$16)</f>
        <v>5ème année Design Graphique S2</v>
      </c>
      <c r="J87" s="6" t="str" cm="1">
        <f t="array" ref="J87">choice(Referentiel!D:D,1,Settings!$B$16)</f>
        <v>L1</v>
      </c>
      <c r="K87" s="6" t="str" cm="1">
        <f t="array" ref="K87">choice(Professeurs!B:B,1,Settings!$B$16)</f>
        <v>Prof47</v>
      </c>
      <c r="L87" s="5" t="str" cm="1">
        <f t="array" ref="L87">choice(Referentiel!C:C,1,Settings!$B$16)</f>
        <v/>
      </c>
      <c r="M87" s="5" t="str" cm="1">
        <f t="array" ref="M87">choice(Referentiel!E:E,1,Settings!$B$16)</f>
        <v/>
      </c>
      <c r="N87" s="5" t="str" cm="1">
        <f t="array" ref="N87">choice(Settings!K:K,1,Settings!$B$16)</f>
        <v/>
      </c>
      <c r="P87" s="5">
        <f t="shared" si="8"/>
        <v>2</v>
      </c>
    </row>
    <row r="88" spans="1:16" ht="15.75" customHeight="1" x14ac:dyDescent="0.25">
      <c r="A88" s="6" t="s">
        <v>440</v>
      </c>
      <c r="B88" s="6" cm="1">
        <f t="array" ref="B88">alea_int(Settings!$B$10,1,Settings!$B$16)</f>
        <v>3</v>
      </c>
      <c r="C88" s="8">
        <v>46023</v>
      </c>
      <c r="D88" s="8">
        <f t="shared" si="5"/>
        <v>46387</v>
      </c>
      <c r="E88" s="6" t="str" cm="1">
        <f t="array" ref="E88">choice(Groupes!A:A,1,Settings!$B$16)</f>
        <v>G16</v>
      </c>
      <c r="F88" s="6" t="str">
        <f t="shared" si="6"/>
        <v>G16</v>
      </c>
      <c r="G88" s="6" t="str">
        <f t="shared" si="7"/>
        <v>Prof26</v>
      </c>
      <c r="H88" s="6" t="str" cm="1">
        <f t="array" ref="H88">choice(Referentiel!A:A,1,Settings!$B$16)</f>
        <v>Art-Espace</v>
      </c>
      <c r="I88" s="6" t="str" cm="1">
        <f t="array" ref="I88">choice(Referentiel!B:B,1,Settings!$B$16)</f>
        <v>4ème année Design Graphique S1</v>
      </c>
      <c r="J88" s="6" t="str" cm="1">
        <f t="array" ref="J88">choice(Referentiel!D:D,1,Settings!$B$16)</f>
        <v>L2</v>
      </c>
      <c r="K88" s="6" t="str" cm="1">
        <f t="array" ref="K88">choice(Professeurs!B:B,1,Settings!$B$16)</f>
        <v>Prof26</v>
      </c>
      <c r="L88" s="5" t="str" cm="1">
        <f t="array" ref="L88">choice(Referentiel!C:C,1,Settings!$B$16)</f>
        <v/>
      </c>
      <c r="M88" s="5" t="str" cm="1">
        <f t="array" ref="M88">choice(Referentiel!E:E,1,Settings!$B$16)</f>
        <v/>
      </c>
      <c r="N88" s="5" t="str" cm="1">
        <f t="array" ref="N88">choice(Settings!K:K,1,Settings!$B$16)</f>
        <v>mardi pm</v>
      </c>
      <c r="P88" s="5">
        <f t="shared" si="8"/>
        <v>5</v>
      </c>
    </row>
    <row r="89" spans="1:16" ht="15.75" customHeight="1" x14ac:dyDescent="0.25">
      <c r="A89" s="6" t="s">
        <v>441</v>
      </c>
      <c r="B89" s="6" cm="1">
        <f t="array" ref="B89">alea_int(Settings!$B$10,1,Settings!$B$16)</f>
        <v>2</v>
      </c>
      <c r="C89" s="8">
        <v>46023</v>
      </c>
      <c r="D89" s="8">
        <f t="shared" si="5"/>
        <v>46387</v>
      </c>
      <c r="E89" s="6" t="str" cm="1">
        <f t="array" ref="E89">choice(Groupes!A:A,1,Settings!$B$16)</f>
        <v>G12</v>
      </c>
      <c r="F89" s="6" t="str">
        <f t="shared" si="6"/>
        <v>G12</v>
      </c>
      <c r="G89" s="6" t="str">
        <f t="shared" si="7"/>
        <v>Prof36</v>
      </c>
      <c r="H89" s="6" t="str" cm="1">
        <f t="array" ref="H89">choice(Referentiel!A:A,1,Settings!$B$16)</f>
        <v>Design des mondes ruraux</v>
      </c>
      <c r="I89" s="6" t="str" cm="1">
        <f t="array" ref="I89">choice(Referentiel!B:B,1,Settings!$B$16)</f>
        <v>5ème année Design Objet S2</v>
      </c>
      <c r="J89" s="6" t="str" cm="1">
        <f t="array" ref="J89">choice(Referentiel!D:D,1,Settings!$B$16)</f>
        <v>L1</v>
      </c>
      <c r="K89" s="6" t="str" cm="1">
        <f t="array" ref="K89">choice(Professeurs!B:B,1,Settings!$B$16)</f>
        <v>Prof36</v>
      </c>
      <c r="L89" s="5" t="str" cm="1">
        <f t="array" ref="L89">choice(Referentiel!C:C,1,Settings!$B$16)</f>
        <v>ordinateur</v>
      </c>
      <c r="M89" s="5" t="str" cm="1">
        <f t="array" ref="M89">choice(Referentiel!E:E,1,Settings!$B$16)</f>
        <v/>
      </c>
      <c r="N89" s="5" t="str" cm="1">
        <f t="array" ref="N89">choice(Settings!K:K,1,Settings!$B$16)</f>
        <v/>
      </c>
      <c r="P89" s="5">
        <f t="shared" si="8"/>
        <v>2</v>
      </c>
    </row>
    <row r="90" spans="1:16" ht="15.75" customHeight="1" x14ac:dyDescent="0.25">
      <c r="A90" s="6" t="s">
        <v>442</v>
      </c>
      <c r="B90" s="6" cm="1">
        <f t="array" ref="B90">alea_int(Settings!$B$10,1,Settings!$B$16)</f>
        <v>1</v>
      </c>
      <c r="C90" s="8">
        <v>46023</v>
      </c>
      <c r="D90" s="8">
        <f t="shared" si="5"/>
        <v>46387</v>
      </c>
      <c r="E90" s="6" t="str" cm="1">
        <f t="array" ref="E90">choice(Groupes!A:A,1,Settings!$B$16)</f>
        <v>G17</v>
      </c>
      <c r="F90" s="6" t="str">
        <f t="shared" si="6"/>
        <v>G17</v>
      </c>
      <c r="G90" s="6" t="str">
        <f t="shared" si="7"/>
        <v>Prof52</v>
      </c>
      <c r="H90" s="6" t="str" cm="1">
        <f t="array" ref="H90">choice(Referentiel!A:A,1,Settings!$B$16)</f>
        <v>1ère année Groupe 3</v>
      </c>
      <c r="I90" s="6" t="str" cm="1">
        <f t="array" ref="I90">choice(Referentiel!B:B,1,Settings!$B$16)</f>
        <v>2ème année Design Vêtement S2</v>
      </c>
      <c r="J90" s="6" t="str" cm="1">
        <f t="array" ref="J90">choice(Referentiel!D:D,1,Settings!$B$16)</f>
        <v>L1</v>
      </c>
      <c r="K90" s="6" t="str" cm="1">
        <f t="array" ref="K90">choice(Professeurs!B:B,1,Settings!$B$16)</f>
        <v>Prof52</v>
      </c>
      <c r="L90" s="5" t="str" cm="1">
        <f t="array" ref="L90">choice(Referentiel!C:C,1,Settings!$B$16)</f>
        <v/>
      </c>
      <c r="M90" s="5" t="str" cm="1">
        <f t="array" ref="M90">choice(Referentiel!E:E,1,Settings!$B$16)</f>
        <v/>
      </c>
      <c r="N90" s="5" t="str" cm="1">
        <f t="array" ref="N90">choice(Settings!K:K,1,Settings!$B$16)</f>
        <v>jeudi pm</v>
      </c>
      <c r="P90" s="5">
        <f t="shared" si="8"/>
        <v>3</v>
      </c>
    </row>
    <row r="91" spans="1:16" ht="15.75" customHeight="1" x14ac:dyDescent="0.25">
      <c r="A91" s="6" t="s">
        <v>443</v>
      </c>
      <c r="B91" s="6" cm="1">
        <f t="array" ref="B91">alea_int(Settings!$B$10,1,Settings!$B$16)</f>
        <v>2</v>
      </c>
      <c r="C91" s="8">
        <v>46023</v>
      </c>
      <c r="D91" s="8">
        <f t="shared" si="5"/>
        <v>46387</v>
      </c>
      <c r="E91" s="6" t="str" cm="1">
        <f t="array" ref="E91">choice(Groupes!A:A,1,Settings!$B$16)</f>
        <v>G14</v>
      </c>
      <c r="F91" s="6" t="str">
        <f t="shared" si="6"/>
        <v>G14</v>
      </c>
      <c r="G91" s="6" t="str">
        <f t="shared" si="7"/>
        <v>Prof18</v>
      </c>
      <c r="H91" s="6" t="str" cm="1">
        <f t="array" ref="H91">choice(Referentiel!A:A,1,Settings!$B$16)</f>
        <v>1ère année Groupe 1</v>
      </c>
      <c r="I91" s="6" t="str" cm="1">
        <f t="array" ref="I91">choice(Referentiel!B:B,1,Settings!$B$16)</f>
        <v>5ème année Design Textile et Matière S2</v>
      </c>
      <c r="J91" s="6" t="str" cm="1">
        <f t="array" ref="J91">choice(Referentiel!D:D,1,Settings!$B$16)</f>
        <v>M1</v>
      </c>
      <c r="K91" s="6" t="str" cm="1">
        <f t="array" ref="K91">choice(Professeurs!B:B,1,Settings!$B$16)</f>
        <v>Prof18</v>
      </c>
      <c r="L91" s="5" t="str" cm="1">
        <f t="array" ref="L91">choice(Referentiel!C:C,1,Settings!$B$16)</f>
        <v/>
      </c>
      <c r="M91" s="5" t="str" cm="1">
        <f t="array" ref="M91">choice(Referentiel!E:E,1,Settings!$B$16)</f>
        <v/>
      </c>
      <c r="N91" s="5" t="str" cm="1">
        <f t="array" ref="N91">choice(Settings!K:K,1,Settings!$B$16)</f>
        <v/>
      </c>
      <c r="P91" s="5">
        <f t="shared" si="8"/>
        <v>2</v>
      </c>
    </row>
    <row r="92" spans="1:16" ht="15.75" customHeight="1" x14ac:dyDescent="0.25">
      <c r="A92" s="6" t="s">
        <v>444</v>
      </c>
      <c r="B92" s="6" cm="1">
        <f t="array" ref="B92">alea_int(Settings!$B$10,1,Settings!$B$16)</f>
        <v>1</v>
      </c>
      <c r="C92" s="8">
        <v>46023</v>
      </c>
      <c r="D92" s="8">
        <f t="shared" si="5"/>
        <v>46387</v>
      </c>
      <c r="E92" s="6" t="str" cm="1">
        <f t="array" ref="E92">choice(Groupes!A:A,1,Settings!$B$16)</f>
        <v>G17</v>
      </c>
      <c r="F92" s="6" t="str">
        <f t="shared" si="6"/>
        <v>G17</v>
      </c>
      <c r="G92" s="6" t="str">
        <f t="shared" si="7"/>
        <v>Prof23</v>
      </c>
      <c r="H92" s="6" t="str" cm="1">
        <f t="array" ref="H92">choice(Referentiel!A:A,1,Settings!$B$16)</f>
        <v>Design des mondes urbains</v>
      </c>
      <c r="I92" s="6" t="str" cm="1">
        <f t="array" ref="I92">choice(Referentiel!B:B,1,Settings!$B$16)</f>
        <v>4ème année Design Textile et Matière S2</v>
      </c>
      <c r="J92" s="6" t="str" cm="1">
        <f t="array" ref="J92">choice(Referentiel!D:D,1,Settings!$B$16)</f>
        <v>L3</v>
      </c>
      <c r="K92" s="6" t="str" cm="1">
        <f t="array" ref="K92">choice(Professeurs!B:B,1,Settings!$B$16)</f>
        <v>Prof23</v>
      </c>
      <c r="L92" s="5" t="str" cm="1">
        <f t="array" ref="L92">choice(Referentiel!C:C,1,Settings!$B$16)</f>
        <v/>
      </c>
      <c r="M92" s="5" t="str" cm="1">
        <f t="array" ref="M92">choice(Referentiel!E:E,1,Settings!$B$16)</f>
        <v/>
      </c>
      <c r="N92" s="5" t="str" cm="1">
        <f t="array" ref="N92">choice(Settings!K:K,1,Settings!$B$16)</f>
        <v/>
      </c>
      <c r="P92" s="5">
        <f t="shared" si="8"/>
        <v>1</v>
      </c>
    </row>
    <row r="93" spans="1:16" ht="15.75" customHeight="1" x14ac:dyDescent="0.25">
      <c r="A93" s="6" t="s">
        <v>445</v>
      </c>
      <c r="B93" s="6" cm="1">
        <f t="array" ref="B93">alea_int(Settings!$B$10,1,Settings!$B$16)</f>
        <v>2</v>
      </c>
      <c r="C93" s="8">
        <v>46023</v>
      </c>
      <c r="D93" s="8">
        <f t="shared" si="5"/>
        <v>46387</v>
      </c>
      <c r="E93" s="6" t="str" cm="1">
        <f t="array" ref="E93">choice(Groupes!A:A,1,Settings!$B$16)</f>
        <v>G29</v>
      </c>
      <c r="F93" s="6" t="str">
        <f t="shared" si="6"/>
        <v>G29</v>
      </c>
      <c r="G93" s="6" t="str">
        <f t="shared" si="7"/>
        <v>Prof26</v>
      </c>
      <c r="H93" s="6" t="str" cm="1">
        <f t="array" ref="H93">choice(Referentiel!A:A,1,Settings!$B$16)</f>
        <v>Art-Espace</v>
      </c>
      <c r="I93" s="6" t="str" cm="1">
        <f t="array" ref="I93">choice(Referentiel!B:B,1,Settings!$B$16)</f>
        <v>3ème année Design Textile et Matière S1</v>
      </c>
      <c r="J93" s="6" t="str" cm="1">
        <f t="array" ref="J93">choice(Referentiel!D:D,1,Settings!$B$16)</f>
        <v>L3</v>
      </c>
      <c r="K93" s="6" t="str" cm="1">
        <f t="array" ref="K93">choice(Professeurs!B:B,1,Settings!$B$16)</f>
        <v>Prof26</v>
      </c>
      <c r="L93" s="5" t="str" cm="1">
        <f t="array" ref="L93">choice(Referentiel!C:C,1,Settings!$B$16)</f>
        <v/>
      </c>
      <c r="M93" s="5" t="str" cm="1">
        <f t="array" ref="M93">choice(Referentiel!E:E,1,Settings!$B$16)</f>
        <v/>
      </c>
      <c r="N93" s="5" t="str" cm="1">
        <f t="array" ref="N93">choice(Settings!K:K,1,Settings!$B$16)</f>
        <v/>
      </c>
      <c r="P93" s="5">
        <f t="shared" si="8"/>
        <v>2</v>
      </c>
    </row>
    <row r="94" spans="1:16" ht="15.75" customHeight="1" x14ac:dyDescent="0.25">
      <c r="A94" s="6" t="s">
        <v>446</v>
      </c>
      <c r="B94" s="6" cm="1">
        <f t="array" ref="B94">alea_int(Settings!$B$10,1,Settings!$B$16)</f>
        <v>2</v>
      </c>
      <c r="C94" s="8">
        <v>46023</v>
      </c>
      <c r="D94" s="8">
        <f t="shared" si="5"/>
        <v>46387</v>
      </c>
      <c r="E94" s="6" t="str" cm="1">
        <f t="array" ref="E94">choice(Groupes!A:A,1,Settings!$B$16)</f>
        <v>G5</v>
      </c>
      <c r="F94" s="6" t="str">
        <f t="shared" si="6"/>
        <v>G5</v>
      </c>
      <c r="G94" s="6" t="str">
        <f t="shared" si="7"/>
        <v>Prof22</v>
      </c>
      <c r="H94" s="6" t="str" cm="1">
        <f t="array" ref="H94">choice(Referentiel!A:A,1,Settings!$B$16)</f>
        <v>Image Imprimée</v>
      </c>
      <c r="I94" s="6" t="str" cm="1">
        <f t="array" ref="I94">choice(Referentiel!B:B,1,Settings!$B$16)</f>
        <v>3ème année Design Vêtement S2</v>
      </c>
      <c r="J94" s="6" t="str" cm="1">
        <f t="array" ref="J94">choice(Referentiel!D:D,1,Settings!$B$16)</f>
        <v>L3</v>
      </c>
      <c r="K94" s="6" t="str" cm="1">
        <f t="array" ref="K94">choice(Professeurs!B:B,1,Settings!$B$16)</f>
        <v>Prof22</v>
      </c>
      <c r="L94" s="5" t="str" cm="1">
        <f t="array" ref="L94">choice(Referentiel!C:C,1,Settings!$B$16)</f>
        <v/>
      </c>
      <c r="M94" s="5" t="str" cm="1">
        <f t="array" ref="M94">choice(Referentiel!E:E,1,Settings!$B$16)</f>
        <v/>
      </c>
      <c r="N94" s="5" t="str" cm="1">
        <f t="array" ref="N94">choice(Settings!K:K,1,Settings!$B$16)</f>
        <v/>
      </c>
      <c r="P94" s="5">
        <f t="shared" si="8"/>
        <v>2</v>
      </c>
    </row>
    <row r="95" spans="1:16" ht="15.75" customHeight="1" x14ac:dyDescent="0.25">
      <c r="A95" s="6" t="s">
        <v>447</v>
      </c>
      <c r="B95" s="6" cm="1">
        <f t="array" ref="B95">alea_int(Settings!$B$10,1,Settings!$B$16)</f>
        <v>3</v>
      </c>
      <c r="C95" s="8">
        <v>46023</v>
      </c>
      <c r="D95" s="8">
        <f t="shared" si="5"/>
        <v>46387</v>
      </c>
      <c r="E95" s="6" t="str" cm="1">
        <f t="array" ref="E95">choice(Groupes!A:A,1,Settings!$B$16)</f>
        <v>G11</v>
      </c>
      <c r="F95" s="6" t="str">
        <f t="shared" si="6"/>
        <v>G11</v>
      </c>
      <c r="G95" s="6" t="str">
        <f t="shared" si="7"/>
        <v>Prof5</v>
      </c>
      <c r="H95" s="6" t="str" cm="1">
        <f t="array" ref="H95">choice(Referentiel!A:A,1,Settings!$B$16)</f>
        <v>Photo / Vidéo</v>
      </c>
      <c r="I95" s="6" t="str" cm="1">
        <f t="array" ref="I95">choice(Referentiel!B:B,1,Settings!$B$16)</f>
        <v>5ème année Scénographie S2</v>
      </c>
      <c r="J95" s="6" t="str" cm="1">
        <f t="array" ref="J95">choice(Referentiel!D:D,1,Settings!$B$16)</f>
        <v>L3</v>
      </c>
      <c r="K95" s="6" t="str" cm="1">
        <f t="array" ref="K95">choice(Professeurs!B:B,1,Settings!$B$16)</f>
        <v>Prof5</v>
      </c>
      <c r="L95" s="5" t="str" cm="1">
        <f t="array" ref="L95">choice(Referentiel!C:C,1,Settings!$B$16)</f>
        <v/>
      </c>
      <c r="M95" s="5" t="str" cm="1">
        <f t="array" ref="M95">choice(Referentiel!E:E,1,Settings!$B$16)</f>
        <v/>
      </c>
      <c r="N95" s="5" t="str" cm="1">
        <f t="array" ref="N95">choice(Settings!K:K,1,Settings!$B$16)</f>
        <v>semaine</v>
      </c>
      <c r="P95" s="5">
        <f t="shared" si="8"/>
        <v>5</v>
      </c>
    </row>
    <row r="96" spans="1:16" ht="15.75" customHeight="1" x14ac:dyDescent="0.25">
      <c r="A96" s="6" t="s">
        <v>448</v>
      </c>
      <c r="B96" s="6" cm="1">
        <f t="array" ref="B96">alea_int(Settings!$B$10,1,Settings!$B$16)</f>
        <v>1</v>
      </c>
      <c r="C96" s="8">
        <v>46023</v>
      </c>
      <c r="D96" s="8">
        <f t="shared" si="5"/>
        <v>46387</v>
      </c>
      <c r="E96" s="6" t="str" cm="1">
        <f t="array" ref="E96">choice(Groupes!A:A,1,Settings!$B$16)</f>
        <v>G5</v>
      </c>
      <c r="F96" s="6" t="str">
        <f t="shared" si="6"/>
        <v>G5</v>
      </c>
      <c r="G96" s="6" t="str">
        <f t="shared" si="7"/>
        <v>Prof7</v>
      </c>
      <c r="H96" s="6" t="str" cm="1">
        <f t="array" ref="H96">choice(Referentiel!A:A,1,Settings!$B$16)</f>
        <v>Gr SYMBIOSE</v>
      </c>
      <c r="I96" s="6" t="str" cm="1">
        <f t="array" ref="I96">choice(Referentiel!B:B,1,Settings!$B$16)</f>
        <v>5ème année Scénographie S2</v>
      </c>
      <c r="J96" s="6" t="str" cm="1">
        <f t="array" ref="J96">choice(Referentiel!D:D,1,Settings!$B$16)</f>
        <v>M2</v>
      </c>
      <c r="K96" s="6" t="str" cm="1">
        <f t="array" ref="K96">choice(Professeurs!B:B,1,Settings!$B$16)</f>
        <v>Prof7</v>
      </c>
      <c r="L96" s="5" t="str" cm="1">
        <f t="array" ref="L96">choice(Referentiel!C:C,1,Settings!$B$16)</f>
        <v/>
      </c>
      <c r="M96" s="5" t="str" cm="1">
        <f t="array" ref="M96">choice(Referentiel!E:E,1,Settings!$B$16)</f>
        <v/>
      </c>
      <c r="N96" s="5" t="str" cm="1">
        <f t="array" ref="N96">choice(Settings!K:K,1,Settings!$B$16)</f>
        <v>mardi am</v>
      </c>
      <c r="P96" s="5">
        <f t="shared" si="8"/>
        <v>3</v>
      </c>
    </row>
    <row r="97" spans="1:16" ht="15.75" customHeight="1" x14ac:dyDescent="0.25">
      <c r="A97" s="6" t="s">
        <v>449</v>
      </c>
      <c r="B97" s="6" cm="1">
        <f t="array" ref="B97">alea_int(Settings!$B$10,1,Settings!$B$16)</f>
        <v>1</v>
      </c>
      <c r="C97" s="8">
        <v>46023</v>
      </c>
      <c r="D97" s="8">
        <f t="shared" si="5"/>
        <v>46387</v>
      </c>
      <c r="E97" s="6" t="str" cm="1">
        <f t="array" ref="E97">choice(Groupes!A:A,1,Settings!$B$16)</f>
        <v>G15</v>
      </c>
      <c r="F97" s="6" t="str">
        <f t="shared" si="6"/>
        <v>G15</v>
      </c>
      <c r="G97" s="6" t="str">
        <f t="shared" si="7"/>
        <v>Prof51</v>
      </c>
      <c r="H97" s="6" t="str" cm="1">
        <f t="array" ref="H97">choice(Referentiel!A:A,1,Settings!$B$16)</f>
        <v>1ère année Groupe 2</v>
      </c>
      <c r="I97" s="6" t="str" cm="1">
        <f t="array" ref="I97">choice(Referentiel!B:B,1,Settings!$B$16)</f>
        <v>3ème année Scénographie S1</v>
      </c>
      <c r="J97" s="6" t="str" cm="1">
        <f t="array" ref="J97">choice(Referentiel!D:D,1,Settings!$B$16)</f>
        <v>M1</v>
      </c>
      <c r="K97" s="6" t="str" cm="1">
        <f t="array" ref="K97">choice(Professeurs!B:B,1,Settings!$B$16)</f>
        <v>Prof51</v>
      </c>
      <c r="L97" s="5" t="str" cm="1">
        <f t="array" ref="L97">choice(Referentiel!C:C,1,Settings!$B$16)</f>
        <v/>
      </c>
      <c r="M97" s="5" t="str" cm="1">
        <f t="array" ref="M97">choice(Referentiel!E:E,1,Settings!$B$16)</f>
        <v/>
      </c>
      <c r="N97" s="5" t="str" cm="1">
        <f t="array" ref="N97">choice(Settings!K:K,1,Settings!$B$16)</f>
        <v/>
      </c>
      <c r="P97" s="5">
        <f t="shared" si="8"/>
        <v>1</v>
      </c>
    </row>
    <row r="98" spans="1:16" ht="15.75" customHeight="1" x14ac:dyDescent="0.25">
      <c r="A98" s="6" t="s">
        <v>450</v>
      </c>
      <c r="B98" s="6" cm="1">
        <f t="array" ref="B98">alea_int(Settings!$B$10,1,Settings!$B$16)</f>
        <v>3</v>
      </c>
      <c r="C98" s="8">
        <v>46023</v>
      </c>
      <c r="D98" s="8">
        <f t="shared" si="5"/>
        <v>46387</v>
      </c>
      <c r="E98" s="6" t="str" cm="1">
        <f t="array" ref="E98">choice(Groupes!A:A,1,Settings!$B$16)</f>
        <v>G2</v>
      </c>
      <c r="F98" s="6" t="str">
        <f t="shared" si="6"/>
        <v>G2</v>
      </c>
      <c r="G98" s="6" t="str">
        <f t="shared" si="7"/>
        <v>Prof41</v>
      </c>
      <c r="H98" s="6" t="str" cm="1">
        <f t="array" ref="H98">choice(Referentiel!A:A,1,Settings!$B$16)</f>
        <v>Design Textile et Matière</v>
      </c>
      <c r="I98" s="6" t="str" cm="1">
        <f t="array" ref="I98">choice(Referentiel!B:B,1,Settings!$B$16)</f>
        <v>2ème année Design Vêtement S2</v>
      </c>
      <c r="J98" s="6" t="str" cm="1">
        <f t="array" ref="J98">choice(Referentiel!D:D,1,Settings!$B$16)</f>
        <v>M1</v>
      </c>
      <c r="K98" s="6" t="str" cm="1">
        <f t="array" ref="K98">choice(Professeurs!B:B,1,Settings!$B$16)</f>
        <v>Prof41</v>
      </c>
      <c r="L98" s="5" t="str" cm="1">
        <f t="array" ref="L98">choice(Referentiel!C:C,1,Settings!$B$16)</f>
        <v/>
      </c>
      <c r="M98" s="5" t="str" cm="1">
        <f t="array" ref="M98">choice(Referentiel!E:E,1,Settings!$B$16)</f>
        <v/>
      </c>
      <c r="N98" s="5" t="str" cm="1">
        <f t="array" ref="N98">choice(Settings!K:K,1,Settings!$B$16)</f>
        <v/>
      </c>
      <c r="P98" s="5">
        <f t="shared" si="8"/>
        <v>3</v>
      </c>
    </row>
    <row r="99" spans="1:16" ht="15.75" customHeight="1" x14ac:dyDescent="0.25">
      <c r="A99" s="6" t="s">
        <v>451</v>
      </c>
      <c r="B99" s="6" cm="1">
        <f t="array" ref="B99">alea_int(Settings!$B$10,1,Settings!$B$16)</f>
        <v>2</v>
      </c>
      <c r="C99" s="8">
        <v>46023</v>
      </c>
      <c r="D99" s="8">
        <f t="shared" si="5"/>
        <v>46387</v>
      </c>
      <c r="E99" s="6" t="str" cm="1">
        <f t="array" ref="E99">choice(Groupes!A:A,1,Settings!$B$16)</f>
        <v>G12</v>
      </c>
      <c r="F99" s="6" t="str">
        <f t="shared" si="6"/>
        <v>G12</v>
      </c>
      <c r="G99" s="6" t="str">
        <f t="shared" si="7"/>
        <v>Prof49</v>
      </c>
      <c r="H99" s="6" t="str" cm="1">
        <f t="array" ref="H99">choice(Referentiel!A:A,1,Settings!$B$16)</f>
        <v>Photo / Vidéo</v>
      </c>
      <c r="I99" s="6" t="str" cm="1">
        <f t="array" ref="I99">choice(Referentiel!B:B,1,Settings!$B$16)</f>
        <v>3ème année Photo / Vidéo S2</v>
      </c>
      <c r="J99" s="6" t="str" cm="1">
        <f t="array" ref="J99">choice(Referentiel!D:D,1,Settings!$B$16)</f>
        <v>M1</v>
      </c>
      <c r="K99" s="6" t="str" cm="1">
        <f t="array" ref="K99">choice(Professeurs!B:B,1,Settings!$B$16)</f>
        <v>Prof49</v>
      </c>
      <c r="L99" s="5" t="str" cm="1">
        <f t="array" ref="L99">choice(Referentiel!C:C,1,Settings!$B$16)</f>
        <v/>
      </c>
      <c r="M99" s="5" t="str" cm="1">
        <f t="array" ref="M99">choice(Referentiel!E:E,1,Settings!$B$16)</f>
        <v/>
      </c>
      <c r="N99" s="5" t="str" cm="1">
        <f t="array" ref="N99">choice(Settings!K:K,1,Settings!$B$16)</f>
        <v>mardi pm</v>
      </c>
      <c r="P99" s="5">
        <f t="shared" si="8"/>
        <v>4</v>
      </c>
    </row>
    <row r="100" spans="1:16" ht="15.75" customHeight="1" x14ac:dyDescent="0.25">
      <c r="A100" s="6" t="s">
        <v>452</v>
      </c>
      <c r="B100" s="6" cm="1">
        <f t="array" ref="B100">alea_int(Settings!$B$10,1,Settings!$B$16)</f>
        <v>1</v>
      </c>
      <c r="C100" s="8">
        <v>46023</v>
      </c>
      <c r="D100" s="8">
        <f t="shared" si="5"/>
        <v>46387</v>
      </c>
      <c r="E100" s="6" t="str" cm="1">
        <f t="array" ref="E100">choice(Groupes!A:A,1,Settings!$B$16)</f>
        <v>G8</v>
      </c>
      <c r="F100" s="6" t="str">
        <f t="shared" si="6"/>
        <v>G8</v>
      </c>
      <c r="G100" s="6" t="str">
        <f t="shared" si="7"/>
        <v>Prof33</v>
      </c>
      <c r="H100" s="6" t="str" cm="1">
        <f t="array" ref="H100">choice(Referentiel!A:A,1,Settings!$B$16)</f>
        <v>Art-Espace</v>
      </c>
      <c r="I100" s="6" t="str" cm="1">
        <f t="array" ref="I100">choice(Referentiel!B:B,1,Settings!$B$16)</f>
        <v>2ème année Design Vêtement S1</v>
      </c>
      <c r="J100" s="6" t="str" cm="1">
        <f t="array" ref="J100">choice(Referentiel!D:D,1,Settings!$B$16)</f>
        <v>L2</v>
      </c>
      <c r="K100" s="6" t="str" cm="1">
        <f t="array" ref="K100">choice(Professeurs!B:B,1,Settings!$B$16)</f>
        <v>Prof33</v>
      </c>
      <c r="L100" s="5" t="str" cm="1">
        <f t="array" ref="L100">choice(Referentiel!C:C,1,Settings!$B$16)</f>
        <v/>
      </c>
      <c r="M100" s="5" t="str" cm="1">
        <f t="array" ref="M100">choice(Referentiel!E:E,1,Settings!$B$16)</f>
        <v/>
      </c>
      <c r="N100" s="5" t="str" cm="1">
        <f t="array" ref="N100">choice(Settings!K:K,1,Settings!$B$16)</f>
        <v/>
      </c>
      <c r="P100" s="5">
        <f t="shared" si="8"/>
        <v>1</v>
      </c>
    </row>
    <row r="101" spans="1:16" ht="15.75" customHeight="1" x14ac:dyDescent="0.25">
      <c r="A101" s="6" t="s">
        <v>453</v>
      </c>
      <c r="B101" s="6" cm="1">
        <f t="array" ref="B101">alea_int(Settings!$B$10,1,Settings!$B$16)</f>
        <v>1</v>
      </c>
      <c r="C101" s="8">
        <v>46023</v>
      </c>
      <c r="D101" s="8">
        <f t="shared" si="5"/>
        <v>46387</v>
      </c>
      <c r="E101" s="6" t="str" cm="1">
        <f t="array" ref="E101">choice(Groupes!A:A,1,Settings!$B$16)</f>
        <v>G24</v>
      </c>
      <c r="F101" s="6" t="str">
        <f t="shared" si="6"/>
        <v>G24</v>
      </c>
      <c r="G101" s="6" t="str">
        <f t="shared" si="7"/>
        <v>Prof14</v>
      </c>
      <c r="H101" s="6" t="str" cm="1">
        <f t="array" ref="H101">choice(Referentiel!A:A,1,Settings!$B$16)</f>
        <v>Gr SYMBIOSE</v>
      </c>
      <c r="I101" s="6" t="str" cm="1">
        <f t="array" ref="I101">choice(Referentiel!B:B,1,Settings!$B$16)</f>
        <v>5ème année Art-Espace S1</v>
      </c>
      <c r="J101" s="6" t="str" cm="1">
        <f t="array" ref="J101">choice(Referentiel!D:D,1,Settings!$B$16)</f>
        <v>M2</v>
      </c>
      <c r="K101" s="6" t="str" cm="1">
        <f t="array" ref="K101">choice(Professeurs!B:B,1,Settings!$B$16)</f>
        <v>Prof14</v>
      </c>
      <c r="L101" s="5" t="str" cm="1">
        <f t="array" ref="L101">choice(Referentiel!C:C,1,Settings!$B$16)</f>
        <v/>
      </c>
      <c r="M101" s="5" t="str" cm="1">
        <f t="array" ref="M101">choice(Referentiel!E:E,1,Settings!$B$16)</f>
        <v/>
      </c>
      <c r="N101" s="5" t="str" cm="1">
        <f t="array" ref="N101">choice(Settings!K:K,1,Settings!$B$16)</f>
        <v>jeudi pm</v>
      </c>
      <c r="P101" s="5">
        <f t="shared" si="8"/>
        <v>3</v>
      </c>
    </row>
    <row r="102" spans="1:16" ht="15.75" customHeight="1" x14ac:dyDescent="0.25">
      <c r="A102" s="6" t="s">
        <v>454</v>
      </c>
      <c r="B102" s="6" cm="1">
        <f t="array" ref="B102">alea_int(Settings!$B$10,1,Settings!$B$16)</f>
        <v>1</v>
      </c>
      <c r="C102" s="8">
        <v>46023</v>
      </c>
      <c r="D102" s="8">
        <f t="shared" si="5"/>
        <v>46387</v>
      </c>
      <c r="E102" s="6" t="str" cm="1">
        <f t="array" ref="E102">choice(Groupes!A:A,1,Settings!$B$16)</f>
        <v>G4</v>
      </c>
      <c r="F102" s="6" t="str">
        <f t="shared" si="6"/>
        <v>G4</v>
      </c>
      <c r="G102" s="6" t="str">
        <f t="shared" si="7"/>
        <v>Prof35</v>
      </c>
      <c r="H102" s="6" t="str" cm="1">
        <f t="array" ref="H102">choice(Referentiel!A:A,1,Settings!$B$16)</f>
        <v>Design Textile et Matière</v>
      </c>
      <c r="I102" s="6" t="str" cm="1">
        <f t="array" ref="I102">choice(Referentiel!B:B,1,Settings!$B$16)</f>
        <v>5ème année Photo / Vidéo S2</v>
      </c>
      <c r="J102" s="6" t="str" cm="1">
        <f t="array" ref="J102">choice(Referentiel!D:D,1,Settings!$B$16)</f>
        <v>M1</v>
      </c>
      <c r="K102" s="6" t="str" cm="1">
        <f t="array" ref="K102">choice(Professeurs!B:B,1,Settings!$B$16)</f>
        <v>Prof35</v>
      </c>
      <c r="L102" s="5" t="str" cm="1">
        <f t="array" ref="L102">choice(Referentiel!C:C,1,Settings!$B$16)</f>
        <v/>
      </c>
      <c r="M102" s="5" t="str" cm="1">
        <f t="array" ref="M102">choice(Referentiel!E:E,1,Settings!$B$16)</f>
        <v/>
      </c>
      <c r="N102" s="5" t="str" cm="1">
        <f t="array" ref="N102">choice(Settings!K:K,1,Settings!$B$16)</f>
        <v>lundi am</v>
      </c>
      <c r="P102" s="5">
        <f t="shared" si="8"/>
        <v>3</v>
      </c>
    </row>
    <row r="103" spans="1:16" ht="15.75" customHeight="1" x14ac:dyDescent="0.25">
      <c r="A103" s="6" t="s">
        <v>455</v>
      </c>
      <c r="B103" s="6" cm="1">
        <f t="array" ref="B103">alea_int(Settings!$B$10,1,Settings!$B$16)</f>
        <v>3</v>
      </c>
      <c r="C103" s="8">
        <v>46023</v>
      </c>
      <c r="D103" s="8">
        <f t="shared" si="5"/>
        <v>46387</v>
      </c>
      <c r="E103" s="6" t="str" cm="1">
        <f t="array" ref="E103">choice(Groupes!A:A,1,Settings!$B$16)</f>
        <v>G17</v>
      </c>
      <c r="F103" s="6" t="str">
        <f t="shared" si="6"/>
        <v>G17</v>
      </c>
      <c r="G103" s="6" t="str">
        <f t="shared" si="7"/>
        <v>Prof25</v>
      </c>
      <c r="H103" s="6" t="str" cm="1">
        <f t="array" ref="H103">choice(Referentiel!A:A,1,Settings!$B$16)</f>
        <v>Gr REFLECTIVE INTERACTION</v>
      </c>
      <c r="I103" s="6" t="str" cm="1">
        <f t="array" ref="I103">choice(Referentiel!B:B,1,Settings!$B$16)</f>
        <v>2ème année Design Objet S2</v>
      </c>
      <c r="J103" s="6" t="str" cm="1">
        <f t="array" ref="J103">choice(Referentiel!D:D,1,Settings!$B$16)</f>
        <v>L3</v>
      </c>
      <c r="K103" s="6" t="str" cm="1">
        <f t="array" ref="K103">choice(Professeurs!B:B,1,Settings!$B$16)</f>
        <v>Prof25</v>
      </c>
      <c r="L103" s="5" t="str" cm="1">
        <f t="array" ref="L103">choice(Referentiel!C:C,1,Settings!$B$16)</f>
        <v/>
      </c>
      <c r="M103" s="5" t="str" cm="1">
        <f t="array" ref="M103">choice(Referentiel!E:E,1,Settings!$B$16)</f>
        <v/>
      </c>
      <c r="N103" s="5" t="str" cm="1">
        <f t="array" ref="N103">choice(Settings!K:K,1,Settings!$B$16)</f>
        <v>mercredi ap</v>
      </c>
      <c r="P103" s="5">
        <f t="shared" si="8"/>
        <v>5</v>
      </c>
    </row>
    <row r="104" spans="1:16" ht="15.75" customHeight="1" x14ac:dyDescent="0.25">
      <c r="A104" s="6" t="s">
        <v>456</v>
      </c>
      <c r="B104" s="6" cm="1">
        <f t="array" ref="B104">alea_int(Settings!$B$10,1,Settings!$B$16)</f>
        <v>2</v>
      </c>
      <c r="C104" s="8">
        <v>46023</v>
      </c>
      <c r="D104" s="8">
        <f t="shared" si="5"/>
        <v>46387</v>
      </c>
      <c r="E104" s="6" t="str" cm="1">
        <f t="array" ref="E104">choice(Groupes!A:A,1,Settings!$B$16)</f>
        <v>G28</v>
      </c>
      <c r="F104" s="6" t="str">
        <f t="shared" si="6"/>
        <v>G28</v>
      </c>
      <c r="G104" s="6" t="str">
        <f t="shared" si="7"/>
        <v>Prof39</v>
      </c>
      <c r="H104" s="6" t="str" cm="1">
        <f t="array" ref="H104">choice(Referentiel!A:A,1,Settings!$B$16)</f>
        <v>Image Imprimée</v>
      </c>
      <c r="I104" s="6" t="str" cm="1">
        <f t="array" ref="I104">choice(Referentiel!B:B,1,Settings!$B$16)</f>
        <v>3ème année Image Imprimée S2</v>
      </c>
      <c r="J104" s="6" t="str" cm="1">
        <f t="array" ref="J104">choice(Referentiel!D:D,1,Settings!$B$16)</f>
        <v>M2</v>
      </c>
      <c r="K104" s="6" t="str" cm="1">
        <f t="array" ref="K104">choice(Professeurs!B:B,1,Settings!$B$16)</f>
        <v>Prof39</v>
      </c>
      <c r="L104" s="5" t="str" cm="1">
        <f t="array" ref="L104">choice(Referentiel!C:C,1,Settings!$B$16)</f>
        <v/>
      </c>
      <c r="M104" s="5" t="str" cm="1">
        <f t="array" ref="M104">choice(Referentiel!E:E,1,Settings!$B$16)</f>
        <v/>
      </c>
      <c r="N104" s="5" t="str" cm="1">
        <f t="array" ref="N104">choice(Settings!K:K,1,Settings!$B$16)</f>
        <v>lundi pm</v>
      </c>
      <c r="P104" s="5">
        <f t="shared" si="8"/>
        <v>4</v>
      </c>
    </row>
    <row r="105" spans="1:16" ht="15.75" customHeight="1" x14ac:dyDescent="0.25">
      <c r="A105" s="6" t="s">
        <v>457</v>
      </c>
      <c r="B105" s="6" cm="1">
        <f t="array" ref="B105">alea_int(Settings!$B$10,1,Settings!$B$16)</f>
        <v>3</v>
      </c>
      <c r="C105" s="8">
        <v>46023</v>
      </c>
      <c r="D105" s="8">
        <f t="shared" si="5"/>
        <v>46387</v>
      </c>
      <c r="E105" s="6" t="str" cm="1">
        <f t="array" ref="E105">choice(Groupes!A:A,1,Settings!$B$16)</f>
        <v>G11</v>
      </c>
      <c r="F105" s="6" t="str">
        <f t="shared" si="6"/>
        <v>G11</v>
      </c>
      <c r="G105" s="6" t="str">
        <f t="shared" si="7"/>
        <v>Prof30</v>
      </c>
      <c r="H105" s="6" t="str" cm="1">
        <f t="array" ref="H105">choice(Referentiel!A:A,1,Settings!$B$16)</f>
        <v>Image Imprimée</v>
      </c>
      <c r="I105" s="6" t="str" cm="1">
        <f t="array" ref="I105">choice(Referentiel!B:B,1,Settings!$B$16)</f>
        <v>4ème année Design Graphique S2</v>
      </c>
      <c r="J105" s="6" t="str" cm="1">
        <f t="array" ref="J105">choice(Referentiel!D:D,1,Settings!$B$16)</f>
        <v>M2</v>
      </c>
      <c r="K105" s="6" t="str" cm="1">
        <f t="array" ref="K105">choice(Professeurs!B:B,1,Settings!$B$16)</f>
        <v>Prof30</v>
      </c>
      <c r="L105" s="5" t="str" cm="1">
        <f t="array" ref="L105">choice(Referentiel!C:C,1,Settings!$B$16)</f>
        <v/>
      </c>
      <c r="M105" s="5" t="str" cm="1">
        <f t="array" ref="M105">choice(Referentiel!E:E,1,Settings!$B$16)</f>
        <v/>
      </c>
      <c r="N105" s="5" t="str" cm="1">
        <f t="array" ref="N105">choice(Settings!K:K,1,Settings!$B$16)</f>
        <v/>
      </c>
      <c r="P105" s="5">
        <f t="shared" si="8"/>
        <v>3</v>
      </c>
    </row>
    <row r="106" spans="1:16" ht="15.75" customHeight="1" x14ac:dyDescent="0.25">
      <c r="A106" s="6" t="s">
        <v>458</v>
      </c>
      <c r="B106" s="6" cm="1">
        <f t="array" ref="B106">alea_int(Settings!$B$10,1,Settings!$B$16)</f>
        <v>2</v>
      </c>
      <c r="C106" s="8">
        <v>46023</v>
      </c>
      <c r="D106" s="8">
        <f t="shared" si="5"/>
        <v>46387</v>
      </c>
      <c r="E106" s="6" t="str" cm="1">
        <f t="array" ref="E106">choice(Groupes!A:A,1,Settings!$B$16)</f>
        <v>G30</v>
      </c>
      <c r="F106" s="6" t="str">
        <f t="shared" si="6"/>
        <v>G30</v>
      </c>
      <c r="G106" s="6" t="str">
        <f t="shared" si="7"/>
        <v>Prof48</v>
      </c>
      <c r="H106" s="6" t="str" cm="1">
        <f t="array" ref="H106">choice(Referentiel!A:A,1,Settings!$B$16)</f>
        <v>Design des mondes ruraux</v>
      </c>
      <c r="I106" s="6" t="str" cm="1">
        <f t="array" ref="I106">choice(Referentiel!B:B,1,Settings!$B$16)</f>
        <v>1ère Année Groupe 3 S1</v>
      </c>
      <c r="J106" s="6" t="str" cm="1">
        <f t="array" ref="J106">choice(Referentiel!D:D,1,Settings!$B$16)</f>
        <v>L2</v>
      </c>
      <c r="K106" s="6" t="str" cm="1">
        <f t="array" ref="K106">choice(Professeurs!B:B,1,Settings!$B$16)</f>
        <v>Prof48</v>
      </c>
      <c r="L106" s="5" t="str" cm="1">
        <f t="array" ref="L106">choice(Referentiel!C:C,1,Settings!$B$16)</f>
        <v/>
      </c>
      <c r="M106" s="5" t="str" cm="1">
        <f t="array" ref="M106">choice(Referentiel!E:E,1,Settings!$B$16)</f>
        <v/>
      </c>
      <c r="N106" s="5" t="str" cm="1">
        <f t="array" ref="N106">choice(Settings!K:K,1,Settings!$B$16)</f>
        <v/>
      </c>
      <c r="P106" s="5">
        <f t="shared" si="8"/>
        <v>2</v>
      </c>
    </row>
    <row r="107" spans="1:16" ht="15.75" customHeight="1" x14ac:dyDescent="0.25">
      <c r="A107" s="6" t="s">
        <v>459</v>
      </c>
      <c r="B107" s="6" cm="1">
        <f t="array" ref="B107">alea_int(Settings!$B$10,1,Settings!$B$16)</f>
        <v>3</v>
      </c>
      <c r="C107" s="8">
        <v>46023</v>
      </c>
      <c r="D107" s="8">
        <f t="shared" si="5"/>
        <v>46387</v>
      </c>
      <c r="E107" s="6" t="str" cm="1">
        <f t="array" ref="E107">choice(Groupes!A:A,1,Settings!$B$16)</f>
        <v>G5</v>
      </c>
      <c r="F107" s="6" t="str">
        <f t="shared" si="6"/>
        <v>G5</v>
      </c>
      <c r="G107" s="6" t="str">
        <f t="shared" si="7"/>
        <v>Prof37</v>
      </c>
      <c r="H107" s="6" t="str" cm="1">
        <f t="array" ref="H107">choice(Referentiel!A:A,1,Settings!$B$16)</f>
        <v>Design des mondes urbains</v>
      </c>
      <c r="I107" s="6" t="str" cm="1">
        <f t="array" ref="I107">choice(Referentiel!B:B,1,Settings!$B$16)</f>
        <v>2ème année Photo / Vidéo S1</v>
      </c>
      <c r="J107" s="6" t="str" cm="1">
        <f t="array" ref="J107">choice(Referentiel!D:D,1,Settings!$B$16)</f>
        <v>M1</v>
      </c>
      <c r="K107" s="6" t="str" cm="1">
        <f t="array" ref="K107">choice(Professeurs!B:B,1,Settings!$B$16)</f>
        <v>Prof37</v>
      </c>
      <c r="L107" s="5" t="str" cm="1">
        <f t="array" ref="L107">choice(Referentiel!C:C,1,Settings!$B$16)</f>
        <v/>
      </c>
      <c r="M107" s="5" t="str" cm="1">
        <f t="array" ref="M107">choice(Referentiel!E:E,1,Settings!$B$16)</f>
        <v/>
      </c>
      <c r="N107" s="5" t="str" cm="1">
        <f t="array" ref="N107">choice(Settings!K:K,1,Settings!$B$16)</f>
        <v>jeudi am</v>
      </c>
      <c r="P107" s="5">
        <f t="shared" si="8"/>
        <v>5</v>
      </c>
    </row>
    <row r="108" spans="1:16" ht="15.75" customHeight="1" x14ac:dyDescent="0.25">
      <c r="A108" s="6" t="s">
        <v>460</v>
      </c>
      <c r="B108" s="6" cm="1">
        <f t="array" ref="B108">alea_int(Settings!$B$10,1,Settings!$B$16)</f>
        <v>3</v>
      </c>
      <c r="C108" s="8">
        <v>46023</v>
      </c>
      <c r="D108" s="8">
        <f t="shared" si="5"/>
        <v>46387</v>
      </c>
      <c r="E108" s="6" t="str" cm="1">
        <f t="array" ref="E108">choice(Groupes!A:A,1,Settings!$B$16)</f>
        <v>G28</v>
      </c>
      <c r="F108" s="6" t="str">
        <f t="shared" si="6"/>
        <v>G28</v>
      </c>
      <c r="G108" s="6" t="str">
        <f t="shared" si="7"/>
        <v>Prof3</v>
      </c>
      <c r="H108" s="6" t="str" cm="1">
        <f t="array" ref="H108">choice(Referentiel!A:A,1,Settings!$B$16)</f>
        <v>Design des mondes forestiers</v>
      </c>
      <c r="I108" s="6" t="str" cm="1">
        <f t="array" ref="I108">choice(Referentiel!B:B,1,Settings!$B$16)</f>
        <v>5ème année Art-Espace S2</v>
      </c>
      <c r="J108" s="6" t="str" cm="1">
        <f t="array" ref="J108">choice(Referentiel!D:D,1,Settings!$B$16)</f>
        <v>L3</v>
      </c>
      <c r="K108" s="6" t="str" cm="1">
        <f t="array" ref="K108">choice(Professeurs!B:B,1,Settings!$B$16)</f>
        <v>Prof3</v>
      </c>
      <c r="L108" s="5" t="str" cm="1">
        <f t="array" ref="L108">choice(Referentiel!C:C,1,Settings!$B$16)</f>
        <v/>
      </c>
      <c r="M108" s="5" t="str" cm="1">
        <f t="array" ref="M108">choice(Referentiel!E:E,1,Settings!$B$16)</f>
        <v/>
      </c>
      <c r="N108" s="5" t="str" cm="1">
        <f t="array" ref="N108">choice(Settings!K:K,1,Settings!$B$16)</f>
        <v/>
      </c>
      <c r="P108" s="5">
        <f t="shared" si="8"/>
        <v>3</v>
      </c>
    </row>
    <row r="109" spans="1:16" ht="15.75" customHeight="1" x14ac:dyDescent="0.25">
      <c r="A109" s="6" t="s">
        <v>461</v>
      </c>
      <c r="B109" s="6" cm="1">
        <f t="array" ref="B109">alea_int(Settings!$B$10,1,Settings!$B$16)</f>
        <v>2</v>
      </c>
      <c r="C109" s="8">
        <v>46023</v>
      </c>
      <c r="D109" s="8">
        <f t="shared" si="5"/>
        <v>46387</v>
      </c>
      <c r="E109" s="6" t="str" cm="1">
        <f t="array" ref="E109">choice(Groupes!A:A,1,Settings!$B$16)</f>
        <v>G17</v>
      </c>
      <c r="F109" s="6" t="str">
        <f t="shared" si="6"/>
        <v>G17</v>
      </c>
      <c r="G109" s="6" t="str">
        <f t="shared" si="7"/>
        <v>Prof49</v>
      </c>
      <c r="H109" s="6" t="str" cm="1">
        <f t="array" ref="H109">choice(Referentiel!A:A,1,Settings!$B$16)</f>
        <v>1ère année Groupe 2</v>
      </c>
      <c r="I109" s="6" t="str" cm="1">
        <f t="array" ref="I109">choice(Referentiel!B:B,1,Settings!$B$16)</f>
        <v>4ème année Design Graphique S1</v>
      </c>
      <c r="J109" s="6" t="str" cm="1">
        <f t="array" ref="J109">choice(Referentiel!D:D,1,Settings!$B$16)</f>
        <v>L2</v>
      </c>
      <c r="K109" s="6" t="str" cm="1">
        <f t="array" ref="K109">choice(Professeurs!B:B,1,Settings!$B$16)</f>
        <v>Prof49</v>
      </c>
      <c r="L109" s="5" t="str" cm="1">
        <f t="array" ref="L109">choice(Referentiel!C:C,1,Settings!$B$16)</f>
        <v/>
      </c>
      <c r="M109" s="5" t="str" cm="1">
        <f t="array" ref="M109">choice(Referentiel!E:E,1,Settings!$B$16)</f>
        <v/>
      </c>
      <c r="N109" s="5" t="str" cm="1">
        <f t="array" ref="N109">choice(Settings!K:K,1,Settings!$B$16)</f>
        <v/>
      </c>
      <c r="P109" s="5">
        <f t="shared" si="8"/>
        <v>2</v>
      </c>
    </row>
    <row r="110" spans="1:16" ht="15.75" customHeight="1" x14ac:dyDescent="0.25">
      <c r="A110" s="6" t="s">
        <v>462</v>
      </c>
      <c r="B110" s="6" cm="1">
        <f t="array" ref="B110">alea_int(Settings!$B$10,1,Settings!$B$16)</f>
        <v>2</v>
      </c>
      <c r="C110" s="8">
        <v>46023</v>
      </c>
      <c r="D110" s="8">
        <f t="shared" si="5"/>
        <v>46387</v>
      </c>
      <c r="E110" s="6" t="str" cm="1">
        <f t="array" ref="E110">choice(Groupes!A:A,1,Settings!$B$16)</f>
        <v>G21</v>
      </c>
      <c r="F110" s="6" t="str">
        <f t="shared" si="6"/>
        <v>G21</v>
      </c>
      <c r="G110" s="6" t="str">
        <f t="shared" si="7"/>
        <v>Prof54</v>
      </c>
      <c r="H110" s="6" t="str" cm="1">
        <f t="array" ref="H110">choice(Referentiel!A:A,1,Settings!$B$16)</f>
        <v>Gr SOFT MATTERS</v>
      </c>
      <c r="I110" s="6" t="str" cm="1">
        <f t="array" ref="I110">choice(Referentiel!B:B,1,Settings!$B$16)</f>
        <v>5ème année Architecture Intérieure S2</v>
      </c>
      <c r="J110" s="6" t="str" cm="1">
        <f t="array" ref="J110">choice(Referentiel!D:D,1,Settings!$B$16)</f>
        <v>L1</v>
      </c>
      <c r="K110" s="6" t="str" cm="1">
        <f t="array" ref="K110">choice(Professeurs!B:B,1,Settings!$B$16)</f>
        <v>Prof54</v>
      </c>
      <c r="L110" s="5" t="str" cm="1">
        <f t="array" ref="L110">choice(Referentiel!C:C,1,Settings!$B$16)</f>
        <v/>
      </c>
      <c r="M110" s="5" t="str" cm="1">
        <f t="array" ref="M110">choice(Referentiel!E:E,1,Settings!$B$16)</f>
        <v/>
      </c>
      <c r="N110" s="5" t="str" cm="1">
        <f t="array" ref="N110">choice(Settings!K:K,1,Settings!$B$16)</f>
        <v/>
      </c>
      <c r="P110" s="5">
        <f t="shared" si="8"/>
        <v>2</v>
      </c>
    </row>
    <row r="111" spans="1:16" ht="15.75" customHeight="1" x14ac:dyDescent="0.25">
      <c r="A111" s="6" t="s">
        <v>463</v>
      </c>
      <c r="B111" s="6" cm="1">
        <f t="array" ref="B111">alea_int(Settings!$B$10,1,Settings!$B$16)</f>
        <v>2</v>
      </c>
      <c r="C111" s="8">
        <v>46023</v>
      </c>
      <c r="D111" s="8">
        <f t="shared" si="5"/>
        <v>46387</v>
      </c>
      <c r="E111" s="6" t="str" cm="1">
        <f t="array" ref="E111">choice(Groupes!A:A,1,Settings!$B$16)</f>
        <v>G28</v>
      </c>
      <c r="F111" s="6" t="str">
        <f t="shared" si="6"/>
        <v>G28</v>
      </c>
      <c r="G111" s="6" t="str">
        <f t="shared" si="7"/>
        <v>Prof27</v>
      </c>
      <c r="H111" s="6" t="str" cm="1">
        <f t="array" ref="H111">choice(Referentiel!A:A,1,Settings!$B$16)</f>
        <v>Gr SPATIAL MEDIA</v>
      </c>
      <c r="I111" s="6" t="str" cm="1">
        <f t="array" ref="I111">choice(Referentiel!B:B,1,Settings!$B$16)</f>
        <v>4ème année Design Textile et Matière S1</v>
      </c>
      <c r="J111" s="6" t="str" cm="1">
        <f t="array" ref="J111">choice(Referentiel!D:D,1,Settings!$B$16)</f>
        <v>L1</v>
      </c>
      <c r="K111" s="6" t="str" cm="1">
        <f t="array" ref="K111">choice(Professeurs!B:B,1,Settings!$B$16)</f>
        <v>Prof27</v>
      </c>
      <c r="L111" s="5" t="str" cm="1">
        <f t="array" ref="L111">choice(Referentiel!C:C,1,Settings!$B$16)</f>
        <v/>
      </c>
      <c r="M111" s="5" t="str" cm="1">
        <f t="array" ref="M111">choice(Referentiel!E:E,1,Settings!$B$16)</f>
        <v/>
      </c>
      <c r="N111" s="5" t="str" cm="1">
        <f t="array" ref="N111">choice(Settings!K:K,1,Settings!$B$16)</f>
        <v>lundi pm</v>
      </c>
      <c r="P111" s="5">
        <f t="shared" si="8"/>
        <v>4</v>
      </c>
    </row>
    <row r="112" spans="1:16" ht="15.75" customHeight="1" x14ac:dyDescent="0.25">
      <c r="A112" s="6" t="s">
        <v>464</v>
      </c>
      <c r="B112" s="6" cm="1">
        <f t="array" ref="B112">alea_int(Settings!$B$10,1,Settings!$B$16)</f>
        <v>2</v>
      </c>
      <c r="C112" s="8">
        <v>46023</v>
      </c>
      <c r="D112" s="8">
        <f t="shared" si="5"/>
        <v>46387</v>
      </c>
      <c r="E112" s="6" t="str" cm="1">
        <f t="array" ref="E112">choice(Groupes!A:A,1,Settings!$B$16)</f>
        <v>G25</v>
      </c>
      <c r="F112" s="6" t="str">
        <f t="shared" si="6"/>
        <v>G25</v>
      </c>
      <c r="G112" s="6" t="str">
        <f t="shared" si="7"/>
        <v>Prof50</v>
      </c>
      <c r="H112" s="6" t="str" cm="1">
        <f t="array" ref="H112">choice(Referentiel!A:A,1,Settings!$B$16)</f>
        <v>Scénographie</v>
      </c>
      <c r="I112" s="6" t="str" cm="1">
        <f t="array" ref="I112">choice(Referentiel!B:B,1,Settings!$B$16)</f>
        <v>1ère Année Groupe 3 S1</v>
      </c>
      <c r="J112" s="6" t="str" cm="1">
        <f t="array" ref="J112">choice(Referentiel!D:D,1,Settings!$B$16)</f>
        <v>M1</v>
      </c>
      <c r="K112" s="6" t="str" cm="1">
        <f t="array" ref="K112">choice(Professeurs!B:B,1,Settings!$B$16)</f>
        <v>Prof50</v>
      </c>
      <c r="L112" s="5" t="str" cm="1">
        <f t="array" ref="L112">choice(Referentiel!C:C,1,Settings!$B$16)</f>
        <v/>
      </c>
      <c r="M112" s="5" t="str" cm="1">
        <f t="array" ref="M112">choice(Referentiel!E:E,1,Settings!$B$16)</f>
        <v/>
      </c>
      <c r="N112" s="5" t="str" cm="1">
        <f t="array" ref="N112">choice(Settings!K:K,1,Settings!$B$16)</f>
        <v>mardi pm</v>
      </c>
      <c r="P112" s="5">
        <f t="shared" si="8"/>
        <v>4</v>
      </c>
    </row>
    <row r="113" spans="1:16" ht="15.75" customHeight="1" x14ac:dyDescent="0.25">
      <c r="A113" s="6" t="s">
        <v>465</v>
      </c>
      <c r="B113" s="6" cm="1">
        <f t="array" ref="B113">alea_int(Settings!$B$10,1,Settings!$B$16)</f>
        <v>2</v>
      </c>
      <c r="C113" s="8">
        <v>46023</v>
      </c>
      <c r="D113" s="8">
        <f t="shared" si="5"/>
        <v>46387</v>
      </c>
      <c r="E113" s="6" t="str" cm="1">
        <f t="array" ref="E113">choice(Groupes!A:A,1,Settings!$B$16)</f>
        <v>G18</v>
      </c>
      <c r="F113" s="6" t="str">
        <f t="shared" si="6"/>
        <v>G18</v>
      </c>
      <c r="G113" s="6" t="str">
        <f t="shared" si="7"/>
        <v>Prof10</v>
      </c>
      <c r="H113" s="6" t="str" cm="1">
        <f t="array" ref="H113">choice(Referentiel!A:A,1,Settings!$B$16)</f>
        <v>Design des mondes urbains</v>
      </c>
      <c r="I113" s="6" t="str" cm="1">
        <f t="array" ref="I113">choice(Referentiel!B:B,1,Settings!$B$16)</f>
        <v>4ème année Design Textile et Matière S2</v>
      </c>
      <c r="J113" s="6" t="str" cm="1">
        <f t="array" ref="J113">choice(Referentiel!D:D,1,Settings!$B$16)</f>
        <v>L2</v>
      </c>
      <c r="K113" s="6" t="str" cm="1">
        <f t="array" ref="K113">choice(Professeurs!B:B,1,Settings!$B$16)</f>
        <v>Prof10</v>
      </c>
      <c r="L113" s="5" t="str" cm="1">
        <f t="array" ref="L113">choice(Referentiel!C:C,1,Settings!$B$16)</f>
        <v/>
      </c>
      <c r="M113" s="5" t="str" cm="1">
        <f t="array" ref="M113">choice(Referentiel!E:E,1,Settings!$B$16)</f>
        <v/>
      </c>
      <c r="N113" s="5" t="str" cm="1">
        <f t="array" ref="N113">choice(Settings!K:K,1,Settings!$B$16)</f>
        <v>jeudi am</v>
      </c>
      <c r="P113" s="5">
        <f t="shared" si="8"/>
        <v>4</v>
      </c>
    </row>
    <row r="114" spans="1:16" ht="15.75" customHeight="1" x14ac:dyDescent="0.25">
      <c r="A114" s="6" t="s">
        <v>466</v>
      </c>
      <c r="B114" s="6" cm="1">
        <f t="array" ref="B114">alea_int(Settings!$B$10,1,Settings!$B$16)</f>
        <v>1</v>
      </c>
      <c r="C114" s="8">
        <v>46023</v>
      </c>
      <c r="D114" s="8">
        <f t="shared" si="5"/>
        <v>46387</v>
      </c>
      <c r="E114" s="6" t="str" cm="1">
        <f t="array" ref="E114">choice(Groupes!A:A,1,Settings!$B$16)</f>
        <v>G17</v>
      </c>
      <c r="F114" s="6" t="str">
        <f t="shared" si="6"/>
        <v>G17</v>
      </c>
      <c r="G114" s="6" t="str">
        <f t="shared" si="7"/>
        <v>Prof33</v>
      </c>
      <c r="H114" s="6" t="str" cm="1">
        <f t="array" ref="H114">choice(Referentiel!A:A,1,Settings!$B$16)</f>
        <v>Scénographie</v>
      </c>
      <c r="I114" s="6" t="str" cm="1">
        <f t="array" ref="I114">choice(Referentiel!B:B,1,Settings!$B$16)</f>
        <v>2ème année Design Vêtement S2</v>
      </c>
      <c r="J114" s="6" t="str" cm="1">
        <f t="array" ref="J114">choice(Referentiel!D:D,1,Settings!$B$16)</f>
        <v>M1</v>
      </c>
      <c r="K114" s="6" t="str" cm="1">
        <f t="array" ref="K114">choice(Professeurs!B:B,1,Settings!$B$16)</f>
        <v>Prof33</v>
      </c>
      <c r="L114" s="5" t="str" cm="1">
        <f t="array" ref="L114">choice(Referentiel!C:C,1,Settings!$B$16)</f>
        <v/>
      </c>
      <c r="M114" s="5" t="str" cm="1">
        <f t="array" ref="M114">choice(Referentiel!E:E,1,Settings!$B$16)</f>
        <v>Salle11</v>
      </c>
      <c r="N114" s="5" t="str" cm="1">
        <f t="array" ref="N114">choice(Settings!K:K,1,Settings!$B$16)</f>
        <v/>
      </c>
      <c r="P114" s="5">
        <f t="shared" si="8"/>
        <v>3</v>
      </c>
    </row>
    <row r="115" spans="1:16" ht="15.75" customHeight="1" x14ac:dyDescent="0.25">
      <c r="A115" s="6" t="s">
        <v>467</v>
      </c>
      <c r="B115" s="6" cm="1">
        <f t="array" ref="B115">alea_int(Settings!$B$10,1,Settings!$B$16)</f>
        <v>1</v>
      </c>
      <c r="C115" s="8">
        <v>46023</v>
      </c>
      <c r="D115" s="8">
        <f t="shared" si="5"/>
        <v>46387</v>
      </c>
      <c r="E115" s="6" t="str" cm="1">
        <f t="array" ref="E115">choice(Groupes!A:A,1,Settings!$B$16)</f>
        <v>G14</v>
      </c>
      <c r="F115" s="6" t="str">
        <f t="shared" si="6"/>
        <v>G14</v>
      </c>
      <c r="G115" s="6" t="str">
        <f t="shared" si="7"/>
        <v>Prof33</v>
      </c>
      <c r="H115" s="6" t="str" cm="1">
        <f t="array" ref="H115">choice(Referentiel!A:A,1,Settings!$B$16)</f>
        <v>1ère année Groupe 2</v>
      </c>
      <c r="I115" s="6" t="str" cm="1">
        <f t="array" ref="I115">choice(Referentiel!B:B,1,Settings!$B$16)</f>
        <v>3ème année Cinéma d'Animation S1</v>
      </c>
      <c r="J115" s="6" t="str" cm="1">
        <f t="array" ref="J115">choice(Referentiel!D:D,1,Settings!$B$16)</f>
        <v>M2</v>
      </c>
      <c r="K115" s="6" t="str" cm="1">
        <f t="array" ref="K115">choice(Professeurs!B:B,1,Settings!$B$16)</f>
        <v>Prof33</v>
      </c>
      <c r="L115" s="5" t="str" cm="1">
        <f t="array" ref="L115">choice(Referentiel!C:C,1,Settings!$B$16)</f>
        <v/>
      </c>
      <c r="M115" s="5" t="str" cm="1">
        <f t="array" ref="M115">choice(Referentiel!E:E,1,Settings!$B$16)</f>
        <v/>
      </c>
      <c r="N115" s="5" t="str" cm="1">
        <f t="array" ref="N115">choice(Settings!K:K,1,Settings!$B$16)</f>
        <v>mercredi ap</v>
      </c>
      <c r="P115" s="5">
        <f t="shared" si="8"/>
        <v>3</v>
      </c>
    </row>
    <row r="116" spans="1:16" ht="15.75" customHeight="1" x14ac:dyDescent="0.25">
      <c r="A116" s="6" t="s">
        <v>468</v>
      </c>
      <c r="B116" s="6" cm="1">
        <f t="array" ref="B116">alea_int(Settings!$B$10,1,Settings!$B$16)</f>
        <v>2</v>
      </c>
      <c r="C116" s="8">
        <v>46023</v>
      </c>
      <c r="D116" s="8">
        <f t="shared" si="5"/>
        <v>46387</v>
      </c>
      <c r="E116" s="6" t="str" cm="1">
        <f t="array" ref="E116">choice(Groupes!A:A,1,Settings!$B$16)</f>
        <v>G5</v>
      </c>
      <c r="F116" s="6" t="str">
        <f t="shared" si="6"/>
        <v>G5</v>
      </c>
      <c r="G116" s="6" t="str">
        <f t="shared" si="7"/>
        <v>Prof23</v>
      </c>
      <c r="H116" s="6" t="str" cm="1">
        <f t="array" ref="H116">choice(Referentiel!A:A,1,Settings!$B$16)</f>
        <v>Cinéma d'Animation</v>
      </c>
      <c r="I116" s="6" t="str" cm="1">
        <f t="array" ref="I116">choice(Referentiel!B:B,1,Settings!$B$16)</f>
        <v>5ème année Art-Espace S1</v>
      </c>
      <c r="J116" s="6" t="str" cm="1">
        <f t="array" ref="J116">choice(Referentiel!D:D,1,Settings!$B$16)</f>
        <v>M2</v>
      </c>
      <c r="K116" s="6" t="str" cm="1">
        <f t="array" ref="K116">choice(Professeurs!B:B,1,Settings!$B$16)</f>
        <v>Prof23</v>
      </c>
      <c r="L116" s="5" t="str" cm="1">
        <f t="array" ref="L116">choice(Referentiel!C:C,1,Settings!$B$16)</f>
        <v/>
      </c>
      <c r="M116" s="5" t="str" cm="1">
        <f t="array" ref="M116">choice(Referentiel!E:E,1,Settings!$B$16)</f>
        <v/>
      </c>
      <c r="N116" s="5" t="str" cm="1">
        <f t="array" ref="N116">choice(Settings!K:K,1,Settings!$B$16)</f>
        <v/>
      </c>
      <c r="P116" s="5">
        <f t="shared" si="8"/>
        <v>2</v>
      </c>
    </row>
    <row r="117" spans="1:16" ht="15.75" customHeight="1" x14ac:dyDescent="0.25">
      <c r="A117" s="6" t="s">
        <v>469</v>
      </c>
      <c r="B117" s="6" cm="1">
        <f t="array" ref="B117">alea_int(Settings!$B$10,1,Settings!$B$16)</f>
        <v>3</v>
      </c>
      <c r="C117" s="8">
        <v>46023</v>
      </c>
      <c r="D117" s="8">
        <f t="shared" si="5"/>
        <v>46387</v>
      </c>
      <c r="E117" s="6" t="str" cm="1">
        <f t="array" ref="E117">choice(Groupes!A:A,1,Settings!$B$16)</f>
        <v>G2</v>
      </c>
      <c r="F117" s="6" t="str">
        <f t="shared" si="6"/>
        <v>G2</v>
      </c>
      <c r="G117" s="6" t="str">
        <f t="shared" si="7"/>
        <v>Prof25</v>
      </c>
      <c r="H117" s="6" t="str" cm="1">
        <f t="array" ref="H117">choice(Referentiel!A:A,1,Settings!$B$16)</f>
        <v>Design des mondes littoraux</v>
      </c>
      <c r="I117" s="6" t="str" cm="1">
        <f t="array" ref="I117">choice(Referentiel!B:B,1,Settings!$B$16)</f>
        <v>2ème année Design Objet S1</v>
      </c>
      <c r="J117" s="6" t="str" cm="1">
        <f t="array" ref="J117">choice(Referentiel!D:D,1,Settings!$B$16)</f>
        <v>L3</v>
      </c>
      <c r="K117" s="6" t="str" cm="1">
        <f t="array" ref="K117">choice(Professeurs!B:B,1,Settings!$B$16)</f>
        <v>Prof25</v>
      </c>
      <c r="L117" s="5" t="str" cm="1">
        <f t="array" ref="L117">choice(Referentiel!C:C,1,Settings!$B$16)</f>
        <v/>
      </c>
      <c r="M117" s="5" t="str" cm="1">
        <f t="array" ref="M117">choice(Referentiel!E:E,1,Settings!$B$16)</f>
        <v/>
      </c>
      <c r="N117" s="5" t="str" cm="1">
        <f t="array" ref="N117">choice(Settings!K:K,1,Settings!$B$16)</f>
        <v/>
      </c>
      <c r="P117" s="5">
        <f t="shared" si="8"/>
        <v>3</v>
      </c>
    </row>
    <row r="118" spans="1:16" ht="15.75" customHeight="1" x14ac:dyDescent="0.25">
      <c r="A118" s="6" t="s">
        <v>470</v>
      </c>
      <c r="B118" s="6" cm="1">
        <f t="array" ref="B118">alea_int(Settings!$B$10,1,Settings!$B$16)</f>
        <v>3</v>
      </c>
      <c r="C118" s="8">
        <v>46023</v>
      </c>
      <c r="D118" s="8">
        <f t="shared" si="5"/>
        <v>46387</v>
      </c>
      <c r="E118" s="6" t="str" cm="1">
        <f t="array" ref="E118">choice(Groupes!A:A,1,Settings!$B$16)</f>
        <v>G13</v>
      </c>
      <c r="F118" s="6" t="str">
        <f t="shared" si="6"/>
        <v>G13</v>
      </c>
      <c r="G118" s="6" t="str">
        <f t="shared" si="7"/>
        <v>Prof39</v>
      </c>
      <c r="H118" s="6" t="str" cm="1">
        <f t="array" ref="H118">choice(Referentiel!A:A,1,Settings!$B$16)</f>
        <v>Gr ART, DESIGN, SOCIETE</v>
      </c>
      <c r="I118" s="6" t="str" cm="1">
        <f t="array" ref="I118">choice(Referentiel!B:B,1,Settings!$B$16)</f>
        <v>3ème année Design Graphique S2</v>
      </c>
      <c r="J118" s="6" t="str" cm="1">
        <f t="array" ref="J118">choice(Referentiel!D:D,1,Settings!$B$16)</f>
        <v>L2</v>
      </c>
      <c r="K118" s="6" t="str" cm="1">
        <f t="array" ref="K118">choice(Professeurs!B:B,1,Settings!$B$16)</f>
        <v>Prof39</v>
      </c>
      <c r="L118" s="5" t="str" cm="1">
        <f t="array" ref="L118">choice(Referentiel!C:C,1,Settings!$B$16)</f>
        <v/>
      </c>
      <c r="M118" s="5" t="str" cm="1">
        <f t="array" ref="M118">choice(Referentiel!E:E,1,Settings!$B$16)</f>
        <v/>
      </c>
      <c r="N118" s="5" t="str" cm="1">
        <f t="array" ref="N118">choice(Settings!K:K,1,Settings!$B$16)</f>
        <v/>
      </c>
      <c r="P118" s="5">
        <f t="shared" si="8"/>
        <v>3</v>
      </c>
    </row>
    <row r="119" spans="1:16" ht="15.75" customHeight="1" x14ac:dyDescent="0.25">
      <c r="A119" s="6" t="s">
        <v>471</v>
      </c>
      <c r="B119" s="6" cm="1">
        <f t="array" ref="B119">alea_int(Settings!$B$10,1,Settings!$B$16)</f>
        <v>1</v>
      </c>
      <c r="C119" s="8">
        <v>46023</v>
      </c>
      <c r="D119" s="8">
        <f t="shared" si="5"/>
        <v>46387</v>
      </c>
      <c r="E119" s="6" t="str" cm="1">
        <f t="array" ref="E119">choice(Groupes!A:A,1,Settings!$B$16)</f>
        <v>G13</v>
      </c>
      <c r="F119" s="6" t="str">
        <f t="shared" si="6"/>
        <v>G13</v>
      </c>
      <c r="G119" s="6" t="str">
        <f t="shared" si="7"/>
        <v>Prof5</v>
      </c>
      <c r="H119" s="6" t="str" cm="1">
        <f t="array" ref="H119">choice(Referentiel!A:A,1,Settings!$B$16)</f>
        <v>Design des mondes montagneux</v>
      </c>
      <c r="I119" s="6" t="str" cm="1">
        <f t="array" ref="I119">choice(Referentiel!B:B,1,Settings!$B$16)</f>
        <v>4ème année Cinéma d'Animation S1</v>
      </c>
      <c r="J119" s="6" t="str" cm="1">
        <f t="array" ref="J119">choice(Referentiel!D:D,1,Settings!$B$16)</f>
        <v>L2</v>
      </c>
      <c r="K119" s="6" t="str" cm="1">
        <f t="array" ref="K119">choice(Professeurs!B:B,1,Settings!$B$16)</f>
        <v>Prof5</v>
      </c>
      <c r="L119" s="5" t="str" cm="1">
        <f t="array" ref="L119">choice(Referentiel!C:C,1,Settings!$B$16)</f>
        <v/>
      </c>
      <c r="M119" s="5" t="str" cm="1">
        <f t="array" ref="M119">choice(Referentiel!E:E,1,Settings!$B$16)</f>
        <v/>
      </c>
      <c r="N119" s="5" t="str" cm="1">
        <f t="array" ref="N119">choice(Settings!K:K,1,Settings!$B$16)</f>
        <v/>
      </c>
      <c r="P119" s="5">
        <f t="shared" si="8"/>
        <v>1</v>
      </c>
    </row>
    <row r="120" spans="1:16" ht="15.75" customHeight="1" x14ac:dyDescent="0.25">
      <c r="A120" s="6" t="s">
        <v>472</v>
      </c>
      <c r="B120" s="6" cm="1">
        <f t="array" ref="B120">alea_int(Settings!$B$10,1,Settings!$B$16)</f>
        <v>2</v>
      </c>
      <c r="C120" s="8">
        <v>46023</v>
      </c>
      <c r="D120" s="8">
        <f t="shared" si="5"/>
        <v>46387</v>
      </c>
      <c r="E120" s="6" t="str" cm="1">
        <f t="array" ref="E120">choice(Groupes!A:A,1,Settings!$B$16)</f>
        <v>G9</v>
      </c>
      <c r="F120" s="6" t="str">
        <f t="shared" si="6"/>
        <v>G9</v>
      </c>
      <c r="G120" s="6" t="str">
        <f t="shared" si="7"/>
        <v>Prof10</v>
      </c>
      <c r="H120" s="6" t="str" cm="1">
        <f t="array" ref="H120">choice(Referentiel!A:A,1,Settings!$B$16)</f>
        <v>Design des mondes littoraux</v>
      </c>
      <c r="I120" s="6" t="str" cm="1">
        <f t="array" ref="I120">choice(Referentiel!B:B,1,Settings!$B$16)</f>
        <v>3ème année Art-Espace S2</v>
      </c>
      <c r="J120" s="6" t="str" cm="1">
        <f t="array" ref="J120">choice(Referentiel!D:D,1,Settings!$B$16)</f>
        <v>L1</v>
      </c>
      <c r="K120" s="6" t="str" cm="1">
        <f t="array" ref="K120">choice(Professeurs!B:B,1,Settings!$B$16)</f>
        <v>Prof10</v>
      </c>
      <c r="L120" s="5" t="str" cm="1">
        <f t="array" ref="L120">choice(Referentiel!C:C,1,Settings!$B$16)</f>
        <v/>
      </c>
      <c r="M120" s="5" t="str" cm="1">
        <f t="array" ref="M120">choice(Referentiel!E:E,1,Settings!$B$16)</f>
        <v/>
      </c>
      <c r="N120" s="5" t="str" cm="1">
        <f t="array" ref="N120">choice(Settings!K:K,1,Settings!$B$16)</f>
        <v>mardi am</v>
      </c>
      <c r="P120" s="5">
        <f t="shared" si="8"/>
        <v>4</v>
      </c>
    </row>
    <row r="121" spans="1:16" ht="15.75" customHeight="1" x14ac:dyDescent="0.25">
      <c r="A121" s="6" t="s">
        <v>473</v>
      </c>
      <c r="B121" s="6" cm="1">
        <f t="array" ref="B121">alea_int(Settings!$B$10,1,Settings!$B$16)</f>
        <v>2</v>
      </c>
      <c r="C121" s="8">
        <v>46023</v>
      </c>
      <c r="D121" s="8">
        <f t="shared" si="5"/>
        <v>46387</v>
      </c>
      <c r="E121" s="6" t="str" cm="1">
        <f t="array" ref="E121">choice(Groupes!A:A,1,Settings!$B$16)</f>
        <v>G5</v>
      </c>
      <c r="F121" s="6" t="str">
        <f t="shared" si="6"/>
        <v>G5</v>
      </c>
      <c r="G121" s="6" t="str">
        <f t="shared" si="7"/>
        <v>Prof49</v>
      </c>
      <c r="H121" s="6" t="str" cm="1">
        <f t="array" ref="H121">choice(Referentiel!A:A,1,Settings!$B$16)</f>
        <v>6ème année atelier</v>
      </c>
      <c r="I121" s="6" t="str" cm="1">
        <f t="array" ref="I121">choice(Referentiel!B:B,1,Settings!$B$16)</f>
        <v>2ème année Design Objet S1</v>
      </c>
      <c r="J121" s="6" t="str" cm="1">
        <f t="array" ref="J121">choice(Referentiel!D:D,1,Settings!$B$16)</f>
        <v>M1</v>
      </c>
      <c r="K121" s="6" t="str" cm="1">
        <f t="array" ref="K121">choice(Professeurs!B:B,1,Settings!$B$16)</f>
        <v>Prof49</v>
      </c>
      <c r="L121" s="5" t="str" cm="1">
        <f t="array" ref="L121">choice(Referentiel!C:C,1,Settings!$B$16)</f>
        <v/>
      </c>
      <c r="M121" s="5" t="str" cm="1">
        <f t="array" ref="M121">choice(Referentiel!E:E,1,Settings!$B$16)</f>
        <v/>
      </c>
      <c r="N121" s="5" t="str" cm="1">
        <f t="array" ref="N121">choice(Settings!K:K,1,Settings!$B$16)</f>
        <v/>
      </c>
      <c r="P121" s="5">
        <f t="shared" si="8"/>
        <v>2</v>
      </c>
    </row>
    <row r="122" spans="1:16" ht="15.75" customHeight="1" x14ac:dyDescent="0.25">
      <c r="A122" s="6" t="s">
        <v>474</v>
      </c>
      <c r="B122" s="6" cm="1">
        <f t="array" ref="B122">alea_int(Settings!$B$10,1,Settings!$B$16)</f>
        <v>1</v>
      </c>
      <c r="C122" s="8">
        <v>46023</v>
      </c>
      <c r="D122" s="8">
        <f t="shared" si="5"/>
        <v>46387</v>
      </c>
      <c r="E122" s="6" t="str" cm="1">
        <f t="array" ref="E122">choice(Groupes!A:A,1,Settings!$B$16)</f>
        <v>G18</v>
      </c>
      <c r="F122" s="6" t="str">
        <f t="shared" si="6"/>
        <v>G18</v>
      </c>
      <c r="G122" s="6" t="str">
        <f t="shared" si="7"/>
        <v>Prof45</v>
      </c>
      <c r="H122" s="6" t="str" cm="1">
        <f t="array" ref="H122">choice(Referentiel!A:A,1,Settings!$B$16)</f>
        <v>Photo / Vidéo</v>
      </c>
      <c r="I122" s="6" t="str" cm="1">
        <f t="array" ref="I122">choice(Referentiel!B:B,1,Settings!$B$16)</f>
        <v>3ème année Architecture Intérieure S2</v>
      </c>
      <c r="J122" s="6" t="str" cm="1">
        <f t="array" ref="J122">choice(Referentiel!D:D,1,Settings!$B$16)</f>
        <v>L2</v>
      </c>
      <c r="K122" s="6" t="str" cm="1">
        <f t="array" ref="K122">choice(Professeurs!B:B,1,Settings!$B$16)</f>
        <v>Prof45</v>
      </c>
      <c r="L122" s="5" t="str" cm="1">
        <f t="array" ref="L122">choice(Referentiel!C:C,1,Settings!$B$16)</f>
        <v/>
      </c>
      <c r="M122" s="5" t="str" cm="1">
        <f t="array" ref="M122">choice(Referentiel!E:E,1,Settings!$B$16)</f>
        <v/>
      </c>
      <c r="N122" s="5" t="str" cm="1">
        <f t="array" ref="N122">choice(Settings!K:K,1,Settings!$B$16)</f>
        <v>jeudi am</v>
      </c>
      <c r="P122" s="5">
        <f t="shared" si="8"/>
        <v>3</v>
      </c>
    </row>
    <row r="123" spans="1:16" ht="15.75" customHeight="1" x14ac:dyDescent="0.25">
      <c r="A123" s="6" t="s">
        <v>475</v>
      </c>
      <c r="B123" s="6" cm="1">
        <f t="array" ref="B123">alea_int(Settings!$B$10,1,Settings!$B$16)</f>
        <v>2</v>
      </c>
      <c r="C123" s="8">
        <v>46023</v>
      </c>
      <c r="D123" s="8">
        <f t="shared" si="5"/>
        <v>46387</v>
      </c>
      <c r="E123" s="6" t="str" cm="1">
        <f t="array" ref="E123">choice(Groupes!A:A,1,Settings!$B$16)</f>
        <v>G24</v>
      </c>
      <c r="F123" s="6" t="str">
        <f t="shared" si="6"/>
        <v>G24</v>
      </c>
      <c r="G123" s="6" t="str">
        <f t="shared" si="7"/>
        <v>Prof51</v>
      </c>
      <c r="H123" s="6" t="str" cm="1">
        <f t="array" ref="H123">choice(Referentiel!A:A,1,Settings!$B$16)</f>
        <v>6ème année atelier</v>
      </c>
      <c r="I123" s="6" t="str" cm="1">
        <f t="array" ref="I123">choice(Referentiel!B:B,1,Settings!$B$16)</f>
        <v>4ème année Art-Espace S2</v>
      </c>
      <c r="J123" s="6" t="str" cm="1">
        <f t="array" ref="J123">choice(Referentiel!D:D,1,Settings!$B$16)</f>
        <v>L2</v>
      </c>
      <c r="K123" s="6" t="str" cm="1">
        <f t="array" ref="K123">choice(Professeurs!B:B,1,Settings!$B$16)</f>
        <v>Prof51</v>
      </c>
      <c r="L123" s="5" t="str" cm="1">
        <f t="array" ref="L123">choice(Referentiel!C:C,1,Settings!$B$16)</f>
        <v/>
      </c>
      <c r="M123" s="5" t="str" cm="1">
        <f t="array" ref="M123">choice(Referentiel!E:E,1,Settings!$B$16)</f>
        <v/>
      </c>
      <c r="N123" s="5" t="str" cm="1">
        <f t="array" ref="N123">choice(Settings!K:K,1,Settings!$B$16)</f>
        <v>mardi pm</v>
      </c>
      <c r="P123" s="5">
        <f t="shared" si="8"/>
        <v>4</v>
      </c>
    </row>
    <row r="124" spans="1:16" ht="15.75" customHeight="1" x14ac:dyDescent="0.25">
      <c r="A124" s="6" t="s">
        <v>476</v>
      </c>
      <c r="B124" s="6" cm="1">
        <f t="array" ref="B124">alea_int(Settings!$B$10,1,Settings!$B$16)</f>
        <v>1</v>
      </c>
      <c r="C124" s="8">
        <v>46023</v>
      </c>
      <c r="D124" s="8">
        <f t="shared" si="5"/>
        <v>46387</v>
      </c>
      <c r="E124" s="6" t="str" cm="1">
        <f t="array" ref="E124">choice(Groupes!A:A,1,Settings!$B$16)</f>
        <v>G15</v>
      </c>
      <c r="F124" s="6" t="str">
        <f t="shared" si="6"/>
        <v>G15</v>
      </c>
      <c r="G124" s="6" t="str">
        <f t="shared" si="7"/>
        <v>Prof41</v>
      </c>
      <c r="H124" s="6" t="str" cm="1">
        <f t="array" ref="H124">choice(Referentiel!A:A,1,Settings!$B$16)</f>
        <v>Design des mondes urbains</v>
      </c>
      <c r="I124" s="6" t="str" cm="1">
        <f t="array" ref="I124">choice(Referentiel!B:B,1,Settings!$B$16)</f>
        <v>4ème année Architecture Intérieure S2</v>
      </c>
      <c r="J124" s="6" t="str" cm="1">
        <f t="array" ref="J124">choice(Referentiel!D:D,1,Settings!$B$16)</f>
        <v>L2</v>
      </c>
      <c r="K124" s="6" t="str" cm="1">
        <f t="array" ref="K124">choice(Professeurs!B:B,1,Settings!$B$16)</f>
        <v>Prof41</v>
      </c>
      <c r="L124" s="5" t="str" cm="1">
        <f t="array" ref="L124">choice(Referentiel!C:C,1,Settings!$B$16)</f>
        <v/>
      </c>
      <c r="M124" s="5" t="str" cm="1">
        <f t="array" ref="M124">choice(Referentiel!E:E,1,Settings!$B$16)</f>
        <v/>
      </c>
      <c r="N124" s="5" t="str" cm="1">
        <f t="array" ref="N124">choice(Settings!K:K,1,Settings!$B$16)</f>
        <v>jeudi pm</v>
      </c>
      <c r="P124" s="5">
        <f t="shared" si="8"/>
        <v>3</v>
      </c>
    </row>
    <row r="125" spans="1:16" ht="15.75" customHeight="1" x14ac:dyDescent="0.25">
      <c r="A125" s="6" t="s">
        <v>477</v>
      </c>
      <c r="B125" s="6" cm="1">
        <f t="array" ref="B125">alea_int(Settings!$B$10,1,Settings!$B$16)</f>
        <v>3</v>
      </c>
      <c r="C125" s="8">
        <v>46023</v>
      </c>
      <c r="D125" s="8">
        <f t="shared" si="5"/>
        <v>46387</v>
      </c>
      <c r="E125" s="6" t="str" cm="1">
        <f t="array" ref="E125">choice(Groupes!A:A,1,Settings!$B$16)</f>
        <v>G2</v>
      </c>
      <c r="F125" s="6" t="str">
        <f t="shared" si="6"/>
        <v>G2</v>
      </c>
      <c r="G125" s="6" t="str">
        <f t="shared" si="7"/>
        <v>Prof31</v>
      </c>
      <c r="H125" s="6" t="str" cm="1">
        <f t="array" ref="H125">choice(Referentiel!A:A,1,Settings!$B$16)</f>
        <v>Gr SYMBIOSE</v>
      </c>
      <c r="I125" s="6" t="str" cm="1">
        <f t="array" ref="I125">choice(Referentiel!B:B,1,Settings!$B$16)</f>
        <v>5ème année Design Objet S1</v>
      </c>
      <c r="J125" s="6" t="str" cm="1">
        <f t="array" ref="J125">choice(Referentiel!D:D,1,Settings!$B$16)</f>
        <v>L2</v>
      </c>
      <c r="K125" s="6" t="str" cm="1">
        <f t="array" ref="K125">choice(Professeurs!B:B,1,Settings!$B$16)</f>
        <v>Prof31</v>
      </c>
      <c r="L125" s="5" t="str" cm="1">
        <f t="array" ref="L125">choice(Referentiel!C:C,1,Settings!$B$16)</f>
        <v/>
      </c>
      <c r="M125" s="5" t="str" cm="1">
        <f t="array" ref="M125">choice(Referentiel!E:E,1,Settings!$B$16)</f>
        <v/>
      </c>
      <c r="N125" s="5" t="str" cm="1">
        <f t="array" ref="N125">choice(Settings!K:K,1,Settings!$B$16)</f>
        <v>jeudi am</v>
      </c>
      <c r="P125" s="5">
        <f t="shared" si="8"/>
        <v>5</v>
      </c>
    </row>
    <row r="126" spans="1:16" ht="15.75" customHeight="1" x14ac:dyDescent="0.25">
      <c r="A126" s="6" t="s">
        <v>478</v>
      </c>
      <c r="B126" s="6" cm="1">
        <f t="array" ref="B126">alea_int(Settings!$B$10,1,Settings!$B$16)</f>
        <v>1</v>
      </c>
      <c r="C126" s="8">
        <v>46023</v>
      </c>
      <c r="D126" s="8">
        <f t="shared" si="5"/>
        <v>46387</v>
      </c>
      <c r="E126" s="6" t="str" cm="1">
        <f t="array" ref="E126">choice(Groupes!A:A,1,Settings!$B$16)</f>
        <v>G16</v>
      </c>
      <c r="F126" s="6" t="str">
        <f t="shared" si="6"/>
        <v>G16</v>
      </c>
      <c r="G126" s="6" t="str">
        <f t="shared" si="7"/>
        <v>Prof50</v>
      </c>
      <c r="H126" s="6" t="str" cm="1">
        <f t="array" ref="H126">choice(Referentiel!A:A,1,Settings!$B$16)</f>
        <v>Design des mondes ruraux</v>
      </c>
      <c r="I126" s="6" t="str" cm="1">
        <f t="array" ref="I126">choice(Referentiel!B:B,1,Settings!$B$16)</f>
        <v>5ème année Design Textile et Matière S1</v>
      </c>
      <c r="J126" s="6" t="str" cm="1">
        <f t="array" ref="J126">choice(Referentiel!D:D,1,Settings!$B$16)</f>
        <v>L1</v>
      </c>
      <c r="K126" s="6" t="str" cm="1">
        <f t="array" ref="K126">choice(Professeurs!B:B,1,Settings!$B$16)</f>
        <v>Prof50</v>
      </c>
      <c r="L126" s="5" t="str" cm="1">
        <f t="array" ref="L126">choice(Referentiel!C:C,1,Settings!$B$16)</f>
        <v/>
      </c>
      <c r="M126" s="5" t="str" cm="1">
        <f t="array" ref="M126">choice(Referentiel!E:E,1,Settings!$B$16)</f>
        <v/>
      </c>
      <c r="N126" s="5" t="str" cm="1">
        <f t="array" ref="N126">choice(Settings!K:K,1,Settings!$B$16)</f>
        <v/>
      </c>
      <c r="P126" s="5">
        <f t="shared" si="8"/>
        <v>1</v>
      </c>
    </row>
    <row r="127" spans="1:16" ht="15.75" customHeight="1" x14ac:dyDescent="0.25">
      <c r="A127" s="6" t="s">
        <v>479</v>
      </c>
      <c r="B127" s="6" cm="1">
        <f t="array" ref="B127">alea_int(Settings!$B$10,1,Settings!$B$16)</f>
        <v>2</v>
      </c>
      <c r="C127" s="8">
        <v>46023</v>
      </c>
      <c r="D127" s="8">
        <f t="shared" si="5"/>
        <v>46387</v>
      </c>
      <c r="E127" s="6" t="str" cm="1">
        <f t="array" ref="E127">choice(Groupes!A:A,1,Settings!$B$16)</f>
        <v>G9</v>
      </c>
      <c r="F127" s="6" t="str">
        <f t="shared" si="6"/>
        <v>G9</v>
      </c>
      <c r="G127" s="6" t="str">
        <f t="shared" si="7"/>
        <v>Prof47</v>
      </c>
      <c r="H127" s="6" t="str" cm="1">
        <f t="array" ref="H127">choice(Referentiel!A:A,1,Settings!$B$16)</f>
        <v>Gr TERRITOIRES</v>
      </c>
      <c r="I127" s="6" t="str" cm="1">
        <f t="array" ref="I127">choice(Referentiel!B:B,1,Settings!$B$16)</f>
        <v>2ème année Photo / Vidéo S2</v>
      </c>
      <c r="J127" s="6" t="str" cm="1">
        <f t="array" ref="J127">choice(Referentiel!D:D,1,Settings!$B$16)</f>
        <v>M2</v>
      </c>
      <c r="K127" s="6" t="str" cm="1">
        <f t="array" ref="K127">choice(Professeurs!B:B,1,Settings!$B$16)</f>
        <v>Prof47</v>
      </c>
      <c r="L127" s="5" t="str" cm="1">
        <f t="array" ref="L127">choice(Referentiel!C:C,1,Settings!$B$16)</f>
        <v/>
      </c>
      <c r="M127" s="5" t="str" cm="1">
        <f t="array" ref="M127">choice(Referentiel!E:E,1,Settings!$B$16)</f>
        <v/>
      </c>
      <c r="N127" s="5" t="str" cm="1">
        <f t="array" ref="N127">choice(Settings!K:K,1,Settings!$B$16)</f>
        <v>mercredi ap</v>
      </c>
      <c r="P127" s="5">
        <f t="shared" si="8"/>
        <v>4</v>
      </c>
    </row>
    <row r="128" spans="1:16" ht="15.75" customHeight="1" x14ac:dyDescent="0.25">
      <c r="A128" s="6" t="s">
        <v>480</v>
      </c>
      <c r="B128" s="6" cm="1">
        <f t="array" ref="B128">alea_int(Settings!$B$10,1,Settings!$B$16)</f>
        <v>1</v>
      </c>
      <c r="C128" s="8">
        <v>46023</v>
      </c>
      <c r="D128" s="8">
        <f t="shared" si="5"/>
        <v>46387</v>
      </c>
      <c r="E128" s="6" t="str" cm="1">
        <f t="array" ref="E128">choice(Groupes!A:A,1,Settings!$B$16)</f>
        <v>G19</v>
      </c>
      <c r="F128" s="6" t="str">
        <f t="shared" si="6"/>
        <v>G19</v>
      </c>
      <c r="G128" s="6" t="str">
        <f t="shared" si="7"/>
        <v>Prof2</v>
      </c>
      <c r="H128" s="6" t="str" cm="1">
        <f t="array" ref="H128">choice(Referentiel!A:A,1,Settings!$B$16)</f>
        <v>Design des mondes littoraux</v>
      </c>
      <c r="I128" s="6" t="str" cm="1">
        <f t="array" ref="I128">choice(Referentiel!B:B,1,Settings!$B$16)</f>
        <v>5ème année Design Objet S1</v>
      </c>
      <c r="J128" s="6" t="str" cm="1">
        <f t="array" ref="J128">choice(Referentiel!D:D,1,Settings!$B$16)</f>
        <v>M2</v>
      </c>
      <c r="K128" s="6" t="str" cm="1">
        <f t="array" ref="K128">choice(Professeurs!B:B,1,Settings!$B$16)</f>
        <v>Prof2</v>
      </c>
      <c r="L128" s="5" t="str" cm="1">
        <f t="array" ref="L128">choice(Referentiel!C:C,1,Settings!$B$16)</f>
        <v/>
      </c>
      <c r="M128" s="5" t="str" cm="1">
        <f t="array" ref="M128">choice(Referentiel!E:E,1,Settings!$B$16)</f>
        <v/>
      </c>
      <c r="N128" s="5" t="str" cm="1">
        <f t="array" ref="N128">choice(Settings!K:K,1,Settings!$B$16)</f>
        <v/>
      </c>
      <c r="P128" s="5">
        <f t="shared" si="8"/>
        <v>1</v>
      </c>
    </row>
    <row r="129" spans="1:16" ht="15.75" customHeight="1" x14ac:dyDescent="0.25">
      <c r="A129" s="6" t="s">
        <v>481</v>
      </c>
      <c r="B129" s="6" cm="1">
        <f t="array" ref="B129">alea_int(Settings!$B$10,1,Settings!$B$16)</f>
        <v>3</v>
      </c>
      <c r="C129" s="8">
        <v>46023</v>
      </c>
      <c r="D129" s="8">
        <f t="shared" si="5"/>
        <v>46387</v>
      </c>
      <c r="E129" s="6" t="str" cm="1">
        <f t="array" ref="E129">choice(Groupes!A:A,1,Settings!$B$16)</f>
        <v>G26</v>
      </c>
      <c r="F129" s="6" t="str">
        <f t="shared" si="6"/>
        <v>G26</v>
      </c>
      <c r="G129" s="6" t="str">
        <f t="shared" si="7"/>
        <v>Prof51</v>
      </c>
      <c r="H129" s="6" t="str" cm="1">
        <f t="array" ref="H129">choice(Referentiel!A:A,1,Settings!$B$16)</f>
        <v>Design des mondes forestiers</v>
      </c>
      <c r="I129" s="6" t="str" cm="1">
        <f t="array" ref="I129">choice(Referentiel!B:B,1,Settings!$B$16)</f>
        <v>3ème année Image Imprimée S1</v>
      </c>
      <c r="J129" s="6" t="str" cm="1">
        <f t="array" ref="J129">choice(Referentiel!D:D,1,Settings!$B$16)</f>
        <v>L2</v>
      </c>
      <c r="K129" s="6" t="str" cm="1">
        <f t="array" ref="K129">choice(Professeurs!B:B,1,Settings!$B$16)</f>
        <v>Prof51</v>
      </c>
      <c r="L129" s="5" t="str" cm="1">
        <f t="array" ref="L129">choice(Referentiel!C:C,1,Settings!$B$16)</f>
        <v/>
      </c>
      <c r="M129" s="5" t="str" cm="1">
        <f t="array" ref="M129">choice(Referentiel!E:E,1,Settings!$B$16)</f>
        <v/>
      </c>
      <c r="N129" s="5" t="str" cm="1">
        <f t="array" ref="N129">choice(Settings!K:K,1,Settings!$B$16)</f>
        <v/>
      </c>
      <c r="P129" s="5">
        <f t="shared" si="8"/>
        <v>3</v>
      </c>
    </row>
    <row r="130" spans="1:16" ht="15.75" customHeight="1" x14ac:dyDescent="0.25">
      <c r="A130" s="6" t="s">
        <v>482</v>
      </c>
      <c r="B130" s="6" cm="1">
        <f t="array" ref="B130">alea_int(Settings!$B$10,1,Settings!$B$16)</f>
        <v>1</v>
      </c>
      <c r="C130" s="8">
        <v>46023</v>
      </c>
      <c r="D130" s="8">
        <f t="shared" si="5"/>
        <v>46387</v>
      </c>
      <c r="E130" s="6" t="str" cm="1">
        <f t="array" ref="E130">choice(Groupes!A:A,1,Settings!$B$16)</f>
        <v>G20</v>
      </c>
      <c r="F130" s="6" t="str">
        <f t="shared" si="6"/>
        <v>G20</v>
      </c>
      <c r="G130" s="6" t="str">
        <f t="shared" si="7"/>
        <v>Prof9</v>
      </c>
      <c r="H130" s="6" t="str" cm="1">
        <f t="array" ref="H130">choice(Referentiel!A:A,1,Settings!$B$16)</f>
        <v>Design des mondes montagneux</v>
      </c>
      <c r="I130" s="6" t="str" cm="1">
        <f t="array" ref="I130">choice(Referentiel!B:B,1,Settings!$B$16)</f>
        <v>4ème année Design Objet S1</v>
      </c>
      <c r="J130" s="6" t="str" cm="1">
        <f t="array" ref="J130">choice(Referentiel!D:D,1,Settings!$B$16)</f>
        <v>L1</v>
      </c>
      <c r="K130" s="6" t="str" cm="1">
        <f t="array" ref="K130">choice(Professeurs!B:B,1,Settings!$B$16)</f>
        <v>Prof9</v>
      </c>
      <c r="L130" s="5" t="str" cm="1">
        <f t="array" ref="L130">choice(Referentiel!C:C,1,Settings!$B$16)</f>
        <v/>
      </c>
      <c r="M130" s="5" t="str" cm="1">
        <f t="array" ref="M130">choice(Referentiel!E:E,1,Settings!$B$16)</f>
        <v>Salle14</v>
      </c>
      <c r="N130" s="5" t="str" cm="1">
        <f t="array" ref="N130">choice(Settings!K:K,1,Settings!$B$16)</f>
        <v/>
      </c>
      <c r="P130" s="5">
        <f t="shared" si="8"/>
        <v>3</v>
      </c>
    </row>
    <row r="131" spans="1:16" ht="15.75" customHeight="1" x14ac:dyDescent="0.25">
      <c r="A131" s="6" t="s">
        <v>483</v>
      </c>
      <c r="B131" s="6" cm="1">
        <f t="array" ref="B131">alea_int(Settings!$B$10,1,Settings!$B$16)</f>
        <v>3</v>
      </c>
      <c r="C131" s="8">
        <v>46023</v>
      </c>
      <c r="D131" s="8">
        <f t="shared" ref="D131:D194" si="9">C131+364</f>
        <v>46387</v>
      </c>
      <c r="E131" s="6" t="str" cm="1">
        <f t="array" ref="E131">choice(Groupes!A:A,1,Settings!$B$16)</f>
        <v>G18</v>
      </c>
      <c r="F131" s="6" t="str">
        <f t="shared" ref="F131:F194" si="10">E131</f>
        <v>G18</v>
      </c>
      <c r="G131" s="6" t="str">
        <f t="shared" ref="G131:G194" si="11">K131</f>
        <v>Prof22</v>
      </c>
      <c r="H131" s="6" t="str" cm="1">
        <f t="array" ref="H131">choice(Referentiel!A:A,1,Settings!$B$16)</f>
        <v>Design des mondes insulaires</v>
      </c>
      <c r="I131" s="6" t="str" cm="1">
        <f t="array" ref="I131">choice(Referentiel!B:B,1,Settings!$B$16)</f>
        <v>2ème année Scénographie S1</v>
      </c>
      <c r="J131" s="6" t="str" cm="1">
        <f t="array" ref="J131">choice(Referentiel!D:D,1,Settings!$B$16)</f>
        <v>M1</v>
      </c>
      <c r="K131" s="6" t="str" cm="1">
        <f t="array" ref="K131">choice(Professeurs!B:B,1,Settings!$B$16)</f>
        <v>Prof22</v>
      </c>
      <c r="L131" s="5" t="str" cm="1">
        <f t="array" ref="L131">choice(Referentiel!C:C,1,Settings!$B$16)</f>
        <v/>
      </c>
      <c r="M131" s="5" t="str" cm="1">
        <f t="array" ref="M131">choice(Referentiel!E:E,1,Settings!$B$16)</f>
        <v/>
      </c>
      <c r="N131" s="5" t="str" cm="1">
        <f t="array" ref="N131">choice(Settings!K:K,1,Settings!$B$16)</f>
        <v>vendredi am</v>
      </c>
      <c r="P131" s="5">
        <f t="shared" ref="P131:P194" si="12">B131+IF(M131&lt;&gt;"",2,0)+IF(N131&lt;&gt;"",2,0)</f>
        <v>5</v>
      </c>
    </row>
    <row r="132" spans="1:16" ht="15.75" customHeight="1" x14ac:dyDescent="0.25">
      <c r="A132" s="6" t="s">
        <v>484</v>
      </c>
      <c r="B132" s="6" cm="1">
        <f t="array" ref="B132">alea_int(Settings!$B$10,1,Settings!$B$16)</f>
        <v>3</v>
      </c>
      <c r="C132" s="8">
        <v>46023</v>
      </c>
      <c r="D132" s="8">
        <f t="shared" si="9"/>
        <v>46387</v>
      </c>
      <c r="E132" s="6" t="str" cm="1">
        <f t="array" ref="E132">choice(Groupes!A:A,1,Settings!$B$16)</f>
        <v>G19</v>
      </c>
      <c r="F132" s="6" t="str">
        <f t="shared" si="10"/>
        <v>G19</v>
      </c>
      <c r="G132" s="6" t="str">
        <f t="shared" si="11"/>
        <v>Prof49</v>
      </c>
      <c r="H132" s="6" t="str" cm="1">
        <f t="array" ref="H132">choice(Referentiel!A:A,1,Settings!$B$16)</f>
        <v>Design des mondes ruraux</v>
      </c>
      <c r="I132" s="6" t="str" cm="1">
        <f t="array" ref="I132">choice(Referentiel!B:B,1,Settings!$B$16)</f>
        <v>4ème année Cinéma d'Animation S1</v>
      </c>
      <c r="J132" s="6" t="str" cm="1">
        <f t="array" ref="J132">choice(Referentiel!D:D,1,Settings!$B$16)</f>
        <v>M2</v>
      </c>
      <c r="K132" s="6" t="str" cm="1">
        <f t="array" ref="K132">choice(Professeurs!B:B,1,Settings!$B$16)</f>
        <v>Prof49</v>
      </c>
      <c r="L132" s="5" t="str" cm="1">
        <f t="array" ref="L132">choice(Referentiel!C:C,1,Settings!$B$16)</f>
        <v/>
      </c>
      <c r="M132" s="5" t="str" cm="1">
        <f t="array" ref="M132">choice(Referentiel!E:E,1,Settings!$B$16)</f>
        <v/>
      </c>
      <c r="N132" s="5" t="str" cm="1">
        <f t="array" ref="N132">choice(Settings!K:K,1,Settings!$B$16)</f>
        <v/>
      </c>
      <c r="P132" s="5">
        <f t="shared" si="12"/>
        <v>3</v>
      </c>
    </row>
    <row r="133" spans="1:16" ht="15.75" customHeight="1" x14ac:dyDescent="0.25">
      <c r="A133" s="6" t="s">
        <v>485</v>
      </c>
      <c r="B133" s="6" cm="1">
        <f t="array" ref="B133">alea_int(Settings!$B$10,1,Settings!$B$16)</f>
        <v>3</v>
      </c>
      <c r="C133" s="8">
        <v>46023</v>
      </c>
      <c r="D133" s="8">
        <f t="shared" si="9"/>
        <v>46387</v>
      </c>
      <c r="E133" s="6" t="str" cm="1">
        <f t="array" ref="E133">choice(Groupes!A:A,1,Settings!$B$16)</f>
        <v>G20</v>
      </c>
      <c r="F133" s="6" t="str">
        <f t="shared" si="10"/>
        <v>G20</v>
      </c>
      <c r="G133" s="6" t="str">
        <f t="shared" si="11"/>
        <v>Prof39</v>
      </c>
      <c r="H133" s="6" t="str" cm="1">
        <f t="array" ref="H133">choice(Referentiel!A:A,1,Settings!$B$16)</f>
        <v>Gr REFLECTIVE INTERACTION</v>
      </c>
      <c r="I133" s="6" t="str" cm="1">
        <f t="array" ref="I133">choice(Referentiel!B:B,1,Settings!$B$16)</f>
        <v>3ème année Architecture Intérieure S1</v>
      </c>
      <c r="J133" s="6" t="str" cm="1">
        <f t="array" ref="J133">choice(Referentiel!D:D,1,Settings!$B$16)</f>
        <v>L3</v>
      </c>
      <c r="K133" s="6" t="str" cm="1">
        <f t="array" ref="K133">choice(Professeurs!B:B,1,Settings!$B$16)</f>
        <v>Prof39</v>
      </c>
      <c r="L133" s="5" t="str" cm="1">
        <f t="array" ref="L133">choice(Referentiel!C:C,1,Settings!$B$16)</f>
        <v/>
      </c>
      <c r="M133" s="5" t="str" cm="1">
        <f t="array" ref="M133">choice(Referentiel!E:E,1,Settings!$B$16)</f>
        <v/>
      </c>
      <c r="N133" s="5" t="str" cm="1">
        <f t="array" ref="N133">choice(Settings!K:K,1,Settings!$B$16)</f>
        <v/>
      </c>
      <c r="P133" s="5">
        <f t="shared" si="12"/>
        <v>3</v>
      </c>
    </row>
    <row r="134" spans="1:16" ht="15.75" customHeight="1" x14ac:dyDescent="0.25">
      <c r="A134" s="6" t="s">
        <v>486</v>
      </c>
      <c r="B134" s="6" cm="1">
        <f t="array" ref="B134">alea_int(Settings!$B$10,1,Settings!$B$16)</f>
        <v>1</v>
      </c>
      <c r="C134" s="8">
        <v>46023</v>
      </c>
      <c r="D134" s="8">
        <f t="shared" si="9"/>
        <v>46387</v>
      </c>
      <c r="E134" s="6" t="str" cm="1">
        <f t="array" ref="E134">choice(Groupes!A:A,1,Settings!$B$16)</f>
        <v>G14</v>
      </c>
      <c r="F134" s="6" t="str">
        <f t="shared" si="10"/>
        <v>G14</v>
      </c>
      <c r="G134" s="6" t="str">
        <f t="shared" si="11"/>
        <v>Prof9</v>
      </c>
      <c r="H134" s="6" t="str" cm="1">
        <f t="array" ref="H134">choice(Referentiel!A:A,1,Settings!$B$16)</f>
        <v>Design Objet</v>
      </c>
      <c r="I134" s="6" t="str" cm="1">
        <f t="array" ref="I134">choice(Referentiel!B:B,1,Settings!$B$16)</f>
        <v>4ème année Art-Espace S2</v>
      </c>
      <c r="J134" s="6" t="str" cm="1">
        <f t="array" ref="J134">choice(Referentiel!D:D,1,Settings!$B$16)</f>
        <v>M2</v>
      </c>
      <c r="K134" s="6" t="str" cm="1">
        <f t="array" ref="K134">choice(Professeurs!B:B,1,Settings!$B$16)</f>
        <v>Prof9</v>
      </c>
      <c r="L134" s="5" t="str" cm="1">
        <f t="array" ref="L134">choice(Referentiel!C:C,1,Settings!$B$16)</f>
        <v/>
      </c>
      <c r="M134" s="5" t="str" cm="1">
        <f t="array" ref="M134">choice(Referentiel!E:E,1,Settings!$B$16)</f>
        <v/>
      </c>
      <c r="N134" s="5" t="str" cm="1">
        <f t="array" ref="N134">choice(Settings!K:K,1,Settings!$B$16)</f>
        <v/>
      </c>
      <c r="P134" s="5">
        <f t="shared" si="12"/>
        <v>1</v>
      </c>
    </row>
    <row r="135" spans="1:16" ht="15.75" customHeight="1" x14ac:dyDescent="0.25">
      <c r="A135" s="6" t="s">
        <v>487</v>
      </c>
      <c r="B135" s="6" cm="1">
        <f t="array" ref="B135">alea_int(Settings!$B$10,1,Settings!$B$16)</f>
        <v>1</v>
      </c>
      <c r="C135" s="8">
        <v>46023</v>
      </c>
      <c r="D135" s="8">
        <f t="shared" si="9"/>
        <v>46387</v>
      </c>
      <c r="E135" s="6" t="str" cm="1">
        <f t="array" ref="E135">choice(Groupes!A:A,1,Settings!$B$16)</f>
        <v>G25</v>
      </c>
      <c r="F135" s="6" t="str">
        <f t="shared" si="10"/>
        <v>G25</v>
      </c>
      <c r="G135" s="6" t="str">
        <f t="shared" si="11"/>
        <v>Prof11</v>
      </c>
      <c r="H135" s="6" t="str" cm="1">
        <f t="array" ref="H135">choice(Referentiel!A:A,1,Settings!$B$16)</f>
        <v>Design Graphique</v>
      </c>
      <c r="I135" s="6" t="str" cm="1">
        <f t="array" ref="I135">choice(Referentiel!B:B,1,Settings!$B$16)</f>
        <v>4ème année Art-Espace S1</v>
      </c>
      <c r="J135" s="6" t="str" cm="1">
        <f t="array" ref="J135">choice(Referentiel!D:D,1,Settings!$B$16)</f>
        <v>L2</v>
      </c>
      <c r="K135" s="6" t="str" cm="1">
        <f t="array" ref="K135">choice(Professeurs!B:B,1,Settings!$B$16)</f>
        <v>Prof11</v>
      </c>
      <c r="L135" s="5" t="str" cm="1">
        <f t="array" ref="L135">choice(Referentiel!C:C,1,Settings!$B$16)</f>
        <v/>
      </c>
      <c r="M135" s="5" t="str" cm="1">
        <f t="array" ref="M135">choice(Referentiel!E:E,1,Settings!$B$16)</f>
        <v>Salle7</v>
      </c>
      <c r="N135" s="5" t="str" cm="1">
        <f t="array" ref="N135">choice(Settings!K:K,1,Settings!$B$16)</f>
        <v>vendredi pm</v>
      </c>
      <c r="P135" s="5">
        <f t="shared" si="12"/>
        <v>5</v>
      </c>
    </row>
    <row r="136" spans="1:16" ht="15.75" customHeight="1" x14ac:dyDescent="0.25">
      <c r="A136" s="6" t="s">
        <v>488</v>
      </c>
      <c r="B136" s="6" cm="1">
        <f t="array" ref="B136">alea_int(Settings!$B$10,1,Settings!$B$16)</f>
        <v>1</v>
      </c>
      <c r="C136" s="8">
        <v>46023</v>
      </c>
      <c r="D136" s="8">
        <f t="shared" si="9"/>
        <v>46387</v>
      </c>
      <c r="E136" s="6" t="str" cm="1">
        <f t="array" ref="E136">choice(Groupes!A:A,1,Settings!$B$16)</f>
        <v>G23</v>
      </c>
      <c r="F136" s="6" t="str">
        <f t="shared" si="10"/>
        <v>G23</v>
      </c>
      <c r="G136" s="6" t="str">
        <f t="shared" si="11"/>
        <v>Prof46</v>
      </c>
      <c r="H136" s="6" t="str" cm="1">
        <f t="array" ref="H136">choice(Referentiel!A:A,1,Settings!$B$16)</f>
        <v>Art-Espace</v>
      </c>
      <c r="I136" s="6" t="str" cm="1">
        <f t="array" ref="I136">choice(Referentiel!B:B,1,Settings!$B$16)</f>
        <v>2ème année Design Objet S1</v>
      </c>
      <c r="J136" s="6" t="str" cm="1">
        <f t="array" ref="J136">choice(Referentiel!D:D,1,Settings!$B$16)</f>
        <v>L2</v>
      </c>
      <c r="K136" s="6" t="str" cm="1">
        <f t="array" ref="K136">choice(Professeurs!B:B,1,Settings!$B$16)</f>
        <v>Prof46</v>
      </c>
      <c r="L136" s="5" t="str" cm="1">
        <f t="array" ref="L136">choice(Referentiel!C:C,1,Settings!$B$16)</f>
        <v/>
      </c>
      <c r="M136" s="5" t="str" cm="1">
        <f t="array" ref="M136">choice(Referentiel!E:E,1,Settings!$B$16)</f>
        <v/>
      </c>
      <c r="N136" s="5" t="str" cm="1">
        <f t="array" ref="N136">choice(Settings!K:K,1,Settings!$B$16)</f>
        <v>vendredi pm</v>
      </c>
      <c r="P136" s="5">
        <f t="shared" si="12"/>
        <v>3</v>
      </c>
    </row>
    <row r="137" spans="1:16" ht="15.75" customHeight="1" x14ac:dyDescent="0.25">
      <c r="A137" s="6" t="s">
        <v>489</v>
      </c>
      <c r="B137" s="6" cm="1">
        <f t="array" ref="B137">alea_int(Settings!$B$10,1,Settings!$B$16)</f>
        <v>3</v>
      </c>
      <c r="C137" s="8">
        <v>46023</v>
      </c>
      <c r="D137" s="8">
        <f t="shared" si="9"/>
        <v>46387</v>
      </c>
      <c r="E137" s="6" t="str" cm="1">
        <f t="array" ref="E137">choice(Groupes!A:A,1,Settings!$B$16)</f>
        <v>G27</v>
      </c>
      <c r="F137" s="6" t="str">
        <f t="shared" si="10"/>
        <v>G27</v>
      </c>
      <c r="G137" s="6" t="str">
        <f t="shared" si="11"/>
        <v>Prof5</v>
      </c>
      <c r="H137" s="6" t="str" cm="1">
        <f t="array" ref="H137">choice(Referentiel!A:A,1,Settings!$B$16)</f>
        <v>1ère année Groupe 3</v>
      </c>
      <c r="I137" s="6" t="str" cm="1">
        <f t="array" ref="I137">choice(Referentiel!B:B,1,Settings!$B$16)</f>
        <v>5ème année Architecture Intérieure S2</v>
      </c>
      <c r="J137" s="6" t="str" cm="1">
        <f t="array" ref="J137">choice(Referentiel!D:D,1,Settings!$B$16)</f>
        <v>L2</v>
      </c>
      <c r="K137" s="6" t="str" cm="1">
        <f t="array" ref="K137">choice(Professeurs!B:B,1,Settings!$B$16)</f>
        <v>Prof5</v>
      </c>
      <c r="L137" s="5" t="str" cm="1">
        <f t="array" ref="L137">choice(Referentiel!C:C,1,Settings!$B$16)</f>
        <v/>
      </c>
      <c r="M137" s="5" t="str" cm="1">
        <f t="array" ref="M137">choice(Referentiel!E:E,1,Settings!$B$16)</f>
        <v/>
      </c>
      <c r="N137" s="5" t="str" cm="1">
        <f t="array" ref="N137">choice(Settings!K:K,1,Settings!$B$16)</f>
        <v>jeudi pm</v>
      </c>
      <c r="P137" s="5">
        <f t="shared" si="12"/>
        <v>5</v>
      </c>
    </row>
    <row r="138" spans="1:16" ht="15.75" customHeight="1" x14ac:dyDescent="0.25">
      <c r="A138" s="6" t="s">
        <v>490</v>
      </c>
      <c r="B138" s="6" cm="1">
        <f t="array" ref="B138">alea_int(Settings!$B$10,1,Settings!$B$16)</f>
        <v>3</v>
      </c>
      <c r="C138" s="8">
        <v>46023</v>
      </c>
      <c r="D138" s="8">
        <f t="shared" si="9"/>
        <v>46387</v>
      </c>
      <c r="E138" s="6" t="str" cm="1">
        <f t="array" ref="E138">choice(Groupes!A:A,1,Settings!$B$16)</f>
        <v>G13</v>
      </c>
      <c r="F138" s="6" t="str">
        <f t="shared" si="10"/>
        <v>G13</v>
      </c>
      <c r="G138" s="6" t="str">
        <f t="shared" si="11"/>
        <v>Prof20</v>
      </c>
      <c r="H138" s="6" t="str" cm="1">
        <f t="array" ref="H138">choice(Referentiel!A:A,1,Settings!$B$16)</f>
        <v>Design des mondes ruraux</v>
      </c>
      <c r="I138" s="6" t="str" cm="1">
        <f t="array" ref="I138">choice(Referentiel!B:B,1,Settings!$B$16)</f>
        <v>4ème année Scénographie S1</v>
      </c>
      <c r="J138" s="6" t="str" cm="1">
        <f t="array" ref="J138">choice(Referentiel!D:D,1,Settings!$B$16)</f>
        <v>M1</v>
      </c>
      <c r="K138" s="6" t="str" cm="1">
        <f t="array" ref="K138">choice(Professeurs!B:B,1,Settings!$B$16)</f>
        <v>Prof20</v>
      </c>
      <c r="L138" s="5" t="str" cm="1">
        <f t="array" ref="L138">choice(Referentiel!C:C,1,Settings!$B$16)</f>
        <v/>
      </c>
      <c r="M138" s="5" t="str" cm="1">
        <f t="array" ref="M138">choice(Referentiel!E:E,1,Settings!$B$16)</f>
        <v/>
      </c>
      <c r="N138" s="5" t="str" cm="1">
        <f t="array" ref="N138">choice(Settings!K:K,1,Settings!$B$16)</f>
        <v>mardi am</v>
      </c>
      <c r="P138" s="5">
        <f t="shared" si="12"/>
        <v>5</v>
      </c>
    </row>
    <row r="139" spans="1:16" ht="15.75" customHeight="1" x14ac:dyDescent="0.25">
      <c r="A139" s="6" t="s">
        <v>491</v>
      </c>
      <c r="B139" s="6" cm="1">
        <f t="array" ref="B139">alea_int(Settings!$B$10,1,Settings!$B$16)</f>
        <v>1</v>
      </c>
      <c r="C139" s="8">
        <v>46023</v>
      </c>
      <c r="D139" s="8">
        <f t="shared" si="9"/>
        <v>46387</v>
      </c>
      <c r="E139" s="6" t="str" cm="1">
        <f t="array" ref="E139">choice(Groupes!A:A,1,Settings!$B$16)</f>
        <v>G18</v>
      </c>
      <c r="F139" s="6" t="str">
        <f t="shared" si="10"/>
        <v>G18</v>
      </c>
      <c r="G139" s="6" t="str">
        <f t="shared" si="11"/>
        <v>Prof44</v>
      </c>
      <c r="H139" s="6" t="str" cm="1">
        <f t="array" ref="H139">choice(Referentiel!A:A,1,Settings!$B$16)</f>
        <v>1ère année Groupe 2</v>
      </c>
      <c r="I139" s="6" t="str" cm="1">
        <f t="array" ref="I139">choice(Referentiel!B:B,1,Settings!$B$16)</f>
        <v>5ème année Photo / Vidéo S2</v>
      </c>
      <c r="J139" s="6" t="str" cm="1">
        <f t="array" ref="J139">choice(Referentiel!D:D,1,Settings!$B$16)</f>
        <v>L1</v>
      </c>
      <c r="K139" s="6" t="str" cm="1">
        <f t="array" ref="K139">choice(Professeurs!B:B,1,Settings!$B$16)</f>
        <v>Prof44</v>
      </c>
      <c r="L139" s="5" t="str" cm="1">
        <f t="array" ref="L139">choice(Referentiel!C:C,1,Settings!$B$16)</f>
        <v/>
      </c>
      <c r="M139" s="5" t="str" cm="1">
        <f t="array" ref="M139">choice(Referentiel!E:E,1,Settings!$B$16)</f>
        <v/>
      </c>
      <c r="N139" s="5" t="str" cm="1">
        <f t="array" ref="N139">choice(Settings!K:K,1,Settings!$B$16)</f>
        <v/>
      </c>
      <c r="P139" s="5">
        <f t="shared" si="12"/>
        <v>1</v>
      </c>
    </row>
    <row r="140" spans="1:16" ht="15.75" customHeight="1" x14ac:dyDescent="0.25">
      <c r="A140" s="6" t="s">
        <v>492</v>
      </c>
      <c r="B140" s="6" cm="1">
        <f t="array" ref="B140">alea_int(Settings!$B$10,1,Settings!$B$16)</f>
        <v>2</v>
      </c>
      <c r="C140" s="8">
        <v>46023</v>
      </c>
      <c r="D140" s="8">
        <f t="shared" si="9"/>
        <v>46387</v>
      </c>
      <c r="E140" s="6" t="str" cm="1">
        <f t="array" ref="E140">choice(Groupes!A:A,1,Settings!$B$16)</f>
        <v>G13</v>
      </c>
      <c r="F140" s="6" t="str">
        <f t="shared" si="10"/>
        <v>G13</v>
      </c>
      <c r="G140" s="6" t="str">
        <f t="shared" si="11"/>
        <v>Prof5</v>
      </c>
      <c r="H140" s="6" t="str" cm="1">
        <f t="array" ref="H140">choice(Referentiel!A:A,1,Settings!$B$16)</f>
        <v>Image Imprimée</v>
      </c>
      <c r="I140" s="6" t="str" cm="1">
        <f t="array" ref="I140">choice(Referentiel!B:B,1,Settings!$B$16)</f>
        <v>5ème année Architecture Intérieure S2</v>
      </c>
      <c r="J140" s="6" t="str" cm="1">
        <f t="array" ref="J140">choice(Referentiel!D:D,1,Settings!$B$16)</f>
        <v>L2</v>
      </c>
      <c r="K140" s="6" t="str" cm="1">
        <f t="array" ref="K140">choice(Professeurs!B:B,1,Settings!$B$16)</f>
        <v>Prof5</v>
      </c>
      <c r="L140" s="5" t="str" cm="1">
        <f t="array" ref="L140">choice(Referentiel!C:C,1,Settings!$B$16)</f>
        <v/>
      </c>
      <c r="M140" s="5" t="str" cm="1">
        <f t="array" ref="M140">choice(Referentiel!E:E,1,Settings!$B$16)</f>
        <v/>
      </c>
      <c r="N140" s="5" t="str" cm="1">
        <f t="array" ref="N140">choice(Settings!K:K,1,Settings!$B$16)</f>
        <v/>
      </c>
      <c r="P140" s="5">
        <f t="shared" si="12"/>
        <v>2</v>
      </c>
    </row>
    <row r="141" spans="1:16" ht="15.75" customHeight="1" x14ac:dyDescent="0.25">
      <c r="A141" s="6" t="s">
        <v>493</v>
      </c>
      <c r="B141" s="6" cm="1">
        <f t="array" ref="B141">alea_int(Settings!$B$10,1,Settings!$B$16)</f>
        <v>1</v>
      </c>
      <c r="C141" s="8">
        <v>46023</v>
      </c>
      <c r="D141" s="8">
        <f t="shared" si="9"/>
        <v>46387</v>
      </c>
      <c r="E141" s="6" t="str" cm="1">
        <f t="array" ref="E141">choice(Groupes!A:A,1,Settings!$B$16)</f>
        <v>G28</v>
      </c>
      <c r="F141" s="6" t="str">
        <f t="shared" si="10"/>
        <v>G28</v>
      </c>
      <c r="G141" s="6" t="str">
        <f t="shared" si="11"/>
        <v>Prof52</v>
      </c>
      <c r="H141" s="6" t="str" cm="1">
        <f t="array" ref="H141">choice(Referentiel!A:A,1,Settings!$B$16)</f>
        <v>Scénographie</v>
      </c>
      <c r="I141" s="6" t="str" cm="1">
        <f t="array" ref="I141">choice(Referentiel!B:B,1,Settings!$B$16)</f>
        <v>5ème année Design Textile et Matière S1</v>
      </c>
      <c r="J141" s="6" t="str" cm="1">
        <f t="array" ref="J141">choice(Referentiel!D:D,1,Settings!$B$16)</f>
        <v>M2</v>
      </c>
      <c r="K141" s="6" t="str" cm="1">
        <f t="array" ref="K141">choice(Professeurs!B:B,1,Settings!$B$16)</f>
        <v>Prof52</v>
      </c>
      <c r="L141" s="5" t="str" cm="1">
        <f t="array" ref="L141">choice(Referentiel!C:C,1,Settings!$B$16)</f>
        <v/>
      </c>
      <c r="M141" s="5" t="str" cm="1">
        <f t="array" ref="M141">choice(Referentiel!E:E,1,Settings!$B$16)</f>
        <v/>
      </c>
      <c r="N141" s="5" t="str" cm="1">
        <f t="array" ref="N141">choice(Settings!K:K,1,Settings!$B$16)</f>
        <v/>
      </c>
      <c r="P141" s="5">
        <f t="shared" si="12"/>
        <v>1</v>
      </c>
    </row>
    <row r="142" spans="1:16" ht="15.75" customHeight="1" x14ac:dyDescent="0.25">
      <c r="A142" s="6" t="s">
        <v>494</v>
      </c>
      <c r="B142" s="6" cm="1">
        <f t="array" ref="B142">alea_int(Settings!$B$10,1,Settings!$B$16)</f>
        <v>1</v>
      </c>
      <c r="C142" s="8">
        <v>46023</v>
      </c>
      <c r="D142" s="8">
        <f t="shared" si="9"/>
        <v>46387</v>
      </c>
      <c r="E142" s="6" t="str" cm="1">
        <f t="array" ref="E142">choice(Groupes!A:A,1,Settings!$B$16)</f>
        <v>G25</v>
      </c>
      <c r="F142" s="6" t="str">
        <f t="shared" si="10"/>
        <v>G25</v>
      </c>
      <c r="G142" s="6" t="str">
        <f t="shared" si="11"/>
        <v>Prof49</v>
      </c>
      <c r="H142" s="6" t="str" cm="1">
        <f t="array" ref="H142">choice(Referentiel!A:A,1,Settings!$B$16)</f>
        <v>Design des mondes forestiers</v>
      </c>
      <c r="I142" s="6" t="str" cm="1">
        <f t="array" ref="I142">choice(Referentiel!B:B,1,Settings!$B$16)</f>
        <v>4ème année Art-Espace S2</v>
      </c>
      <c r="J142" s="6" t="str" cm="1">
        <f t="array" ref="J142">choice(Referentiel!D:D,1,Settings!$B$16)</f>
        <v>M2</v>
      </c>
      <c r="K142" s="6" t="str" cm="1">
        <f t="array" ref="K142">choice(Professeurs!B:B,1,Settings!$B$16)</f>
        <v>Prof49</v>
      </c>
      <c r="L142" s="5" t="str" cm="1">
        <f t="array" ref="L142">choice(Referentiel!C:C,1,Settings!$B$16)</f>
        <v/>
      </c>
      <c r="M142" s="5" t="str" cm="1">
        <f t="array" ref="M142">choice(Referentiel!E:E,1,Settings!$B$16)</f>
        <v/>
      </c>
      <c r="N142" s="5" t="str" cm="1">
        <f t="array" ref="N142">choice(Settings!K:K,1,Settings!$B$16)</f>
        <v/>
      </c>
      <c r="P142" s="5">
        <f t="shared" si="12"/>
        <v>1</v>
      </c>
    </row>
    <row r="143" spans="1:16" ht="15.75" customHeight="1" x14ac:dyDescent="0.25">
      <c r="A143" s="6" t="s">
        <v>495</v>
      </c>
      <c r="B143" s="6" cm="1">
        <f t="array" ref="B143">alea_int(Settings!$B$10,1,Settings!$B$16)</f>
        <v>2</v>
      </c>
      <c r="C143" s="8">
        <v>46023</v>
      </c>
      <c r="D143" s="8">
        <f t="shared" si="9"/>
        <v>46387</v>
      </c>
      <c r="E143" s="6" t="str" cm="1">
        <f t="array" ref="E143">choice(Groupes!A:A,1,Settings!$B$16)</f>
        <v>G9</v>
      </c>
      <c r="F143" s="6" t="str">
        <f t="shared" si="10"/>
        <v>G9</v>
      </c>
      <c r="G143" s="6" t="str">
        <f t="shared" si="11"/>
        <v>Prof8</v>
      </c>
      <c r="H143" s="6" t="str" cm="1">
        <f t="array" ref="H143">choice(Referentiel!A:A,1,Settings!$B$16)</f>
        <v>Design des mondes montagneux</v>
      </c>
      <c r="I143" s="6" t="str" cm="1">
        <f t="array" ref="I143">choice(Referentiel!B:B,1,Settings!$B$16)</f>
        <v>5ème année Image Imprimée S1</v>
      </c>
      <c r="J143" s="6" t="str" cm="1">
        <f t="array" ref="J143">choice(Referentiel!D:D,1,Settings!$B$16)</f>
        <v>L2</v>
      </c>
      <c r="K143" s="6" t="str" cm="1">
        <f t="array" ref="K143">choice(Professeurs!B:B,1,Settings!$B$16)</f>
        <v>Prof8</v>
      </c>
      <c r="L143" s="5" t="str" cm="1">
        <f t="array" ref="L143">choice(Referentiel!C:C,1,Settings!$B$16)</f>
        <v/>
      </c>
      <c r="M143" s="5" t="str" cm="1">
        <f t="array" ref="M143">choice(Referentiel!E:E,1,Settings!$B$16)</f>
        <v/>
      </c>
      <c r="N143" s="5" t="str" cm="1">
        <f t="array" ref="N143">choice(Settings!K:K,1,Settings!$B$16)</f>
        <v>vendredi am</v>
      </c>
      <c r="P143" s="5">
        <f t="shared" si="12"/>
        <v>4</v>
      </c>
    </row>
    <row r="144" spans="1:16" ht="15.75" customHeight="1" x14ac:dyDescent="0.25">
      <c r="A144" s="6" t="s">
        <v>496</v>
      </c>
      <c r="B144" s="6" cm="1">
        <f t="array" ref="B144">alea_int(Settings!$B$10,1,Settings!$B$16)</f>
        <v>1</v>
      </c>
      <c r="C144" s="8">
        <v>46023</v>
      </c>
      <c r="D144" s="8">
        <f t="shared" si="9"/>
        <v>46387</v>
      </c>
      <c r="E144" s="6" t="str" cm="1">
        <f t="array" ref="E144">choice(Groupes!A:A,1,Settings!$B$16)</f>
        <v>G14</v>
      </c>
      <c r="F144" s="6" t="str">
        <f t="shared" si="10"/>
        <v>G14</v>
      </c>
      <c r="G144" s="6" t="str">
        <f t="shared" si="11"/>
        <v>Prof26</v>
      </c>
      <c r="H144" s="6" t="str" cm="1">
        <f t="array" ref="H144">choice(Referentiel!A:A,1,Settings!$B$16)</f>
        <v>Design des mondes forestiers</v>
      </c>
      <c r="I144" s="6" t="str" cm="1">
        <f t="array" ref="I144">choice(Referentiel!B:B,1,Settings!$B$16)</f>
        <v>2ème année Art-Espace S2</v>
      </c>
      <c r="J144" s="6" t="str" cm="1">
        <f t="array" ref="J144">choice(Referentiel!D:D,1,Settings!$B$16)</f>
        <v>M1</v>
      </c>
      <c r="K144" s="6" t="str" cm="1">
        <f t="array" ref="K144">choice(Professeurs!B:B,1,Settings!$B$16)</f>
        <v>Prof26</v>
      </c>
      <c r="L144" s="5" t="str" cm="1">
        <f t="array" ref="L144">choice(Referentiel!C:C,1,Settings!$B$16)</f>
        <v/>
      </c>
      <c r="M144" s="5" t="str" cm="1">
        <f t="array" ref="M144">choice(Referentiel!E:E,1,Settings!$B$16)</f>
        <v/>
      </c>
      <c r="N144" s="5" t="str" cm="1">
        <f t="array" ref="N144">choice(Settings!K:K,1,Settings!$B$16)</f>
        <v/>
      </c>
      <c r="P144" s="5">
        <f t="shared" si="12"/>
        <v>1</v>
      </c>
    </row>
    <row r="145" spans="1:16" ht="15.75" customHeight="1" x14ac:dyDescent="0.25">
      <c r="A145" s="6" t="s">
        <v>497</v>
      </c>
      <c r="B145" s="6" cm="1">
        <f t="array" ref="B145">alea_int(Settings!$B$10,1,Settings!$B$16)</f>
        <v>3</v>
      </c>
      <c r="C145" s="8">
        <v>46023</v>
      </c>
      <c r="D145" s="8">
        <f t="shared" si="9"/>
        <v>46387</v>
      </c>
      <c r="E145" s="6" t="str" cm="1">
        <f t="array" ref="E145">choice(Groupes!A:A,1,Settings!$B$16)</f>
        <v>G21</v>
      </c>
      <c r="F145" s="6" t="str">
        <f t="shared" si="10"/>
        <v>G21</v>
      </c>
      <c r="G145" s="6" t="str">
        <f t="shared" si="11"/>
        <v>Prof12</v>
      </c>
      <c r="H145" s="6" t="str" cm="1">
        <f t="array" ref="H145">choice(Referentiel!A:A,1,Settings!$B$16)</f>
        <v>Gr REFLECTIVE INTERACTION</v>
      </c>
      <c r="I145" s="6" t="str" cm="1">
        <f t="array" ref="I145">choice(Referentiel!B:B,1,Settings!$B$16)</f>
        <v>1ère Année Groupe 2 S1</v>
      </c>
      <c r="J145" s="6" t="str" cm="1">
        <f t="array" ref="J145">choice(Referentiel!D:D,1,Settings!$B$16)</f>
        <v>L3</v>
      </c>
      <c r="K145" s="6" t="str" cm="1">
        <f t="array" ref="K145">choice(Professeurs!B:B,1,Settings!$B$16)</f>
        <v>Prof12</v>
      </c>
      <c r="L145" s="5" t="str" cm="1">
        <f t="array" ref="L145">choice(Referentiel!C:C,1,Settings!$B$16)</f>
        <v/>
      </c>
      <c r="M145" s="5" t="str" cm="1">
        <f t="array" ref="M145">choice(Referentiel!E:E,1,Settings!$B$16)</f>
        <v/>
      </c>
      <c r="N145" s="5" t="str" cm="1">
        <f t="array" ref="N145">choice(Settings!K:K,1,Settings!$B$16)</f>
        <v/>
      </c>
      <c r="P145" s="5">
        <f t="shared" si="12"/>
        <v>3</v>
      </c>
    </row>
    <row r="146" spans="1:16" ht="15.75" customHeight="1" x14ac:dyDescent="0.25">
      <c r="A146" s="6" t="s">
        <v>498</v>
      </c>
      <c r="B146" s="6" cm="1">
        <f t="array" ref="B146">alea_int(Settings!$B$10,1,Settings!$B$16)</f>
        <v>3</v>
      </c>
      <c r="C146" s="8">
        <v>46023</v>
      </c>
      <c r="D146" s="8">
        <f t="shared" si="9"/>
        <v>46387</v>
      </c>
      <c r="E146" s="6" t="str" cm="1">
        <f t="array" ref="E146">choice(Groupes!A:A,1,Settings!$B$16)</f>
        <v>G22</v>
      </c>
      <c r="F146" s="6" t="str">
        <f t="shared" si="10"/>
        <v>G22</v>
      </c>
      <c r="G146" s="6" t="str">
        <f t="shared" si="11"/>
        <v>Prof49</v>
      </c>
      <c r="H146" s="6" t="str" cm="1">
        <f t="array" ref="H146">choice(Referentiel!A:A,1,Settings!$B$16)</f>
        <v>1ère année Groupe 4</v>
      </c>
      <c r="I146" s="6" t="str" cm="1">
        <f t="array" ref="I146">choice(Referentiel!B:B,1,Settings!$B$16)</f>
        <v>2ème année Design Textile et Matière S2</v>
      </c>
      <c r="J146" s="6" t="str" cm="1">
        <f t="array" ref="J146">choice(Referentiel!D:D,1,Settings!$B$16)</f>
        <v>L2</v>
      </c>
      <c r="K146" s="6" t="str" cm="1">
        <f t="array" ref="K146">choice(Professeurs!B:B,1,Settings!$B$16)</f>
        <v>Prof49</v>
      </c>
      <c r="L146" s="5" t="str" cm="1">
        <f t="array" ref="L146">choice(Referentiel!C:C,1,Settings!$B$16)</f>
        <v/>
      </c>
      <c r="M146" s="5" t="str" cm="1">
        <f t="array" ref="M146">choice(Referentiel!E:E,1,Settings!$B$16)</f>
        <v/>
      </c>
      <c r="N146" s="5" t="str" cm="1">
        <f t="array" ref="N146">choice(Settings!K:K,1,Settings!$B$16)</f>
        <v/>
      </c>
      <c r="P146" s="5">
        <f t="shared" si="12"/>
        <v>3</v>
      </c>
    </row>
    <row r="147" spans="1:16" ht="15.75" customHeight="1" x14ac:dyDescent="0.25">
      <c r="A147" s="6" t="s">
        <v>499</v>
      </c>
      <c r="B147" s="6" cm="1">
        <f t="array" ref="B147">alea_int(Settings!$B$10,1,Settings!$B$16)</f>
        <v>1</v>
      </c>
      <c r="C147" s="8">
        <v>46023</v>
      </c>
      <c r="D147" s="8">
        <f t="shared" si="9"/>
        <v>46387</v>
      </c>
      <c r="E147" s="6" t="str" cm="1">
        <f t="array" ref="E147">choice(Groupes!A:A,1,Settings!$B$16)</f>
        <v>G25</v>
      </c>
      <c r="F147" s="6" t="str">
        <f t="shared" si="10"/>
        <v>G25</v>
      </c>
      <c r="G147" s="6" t="str">
        <f t="shared" si="11"/>
        <v>Prof55</v>
      </c>
      <c r="H147" s="6" t="str" cm="1">
        <f t="array" ref="H147">choice(Referentiel!A:A,1,Settings!$B$16)</f>
        <v>Design des mondes montagneux</v>
      </c>
      <c r="I147" s="6" t="str" cm="1">
        <f t="array" ref="I147">choice(Referentiel!B:B,1,Settings!$B$16)</f>
        <v>2ème année Photo / Vidéo S1</v>
      </c>
      <c r="J147" s="6" t="str" cm="1">
        <f t="array" ref="J147">choice(Referentiel!D:D,1,Settings!$B$16)</f>
        <v>M1</v>
      </c>
      <c r="K147" s="6" t="str" cm="1">
        <f t="array" ref="K147">choice(Professeurs!B:B,1,Settings!$B$16)</f>
        <v>Prof55</v>
      </c>
      <c r="L147" s="5" t="str" cm="1">
        <f t="array" ref="L147">choice(Referentiel!C:C,1,Settings!$B$16)</f>
        <v/>
      </c>
      <c r="M147" s="5" t="str" cm="1">
        <f t="array" ref="M147">choice(Referentiel!E:E,1,Settings!$B$16)</f>
        <v/>
      </c>
      <c r="N147" s="5" t="str" cm="1">
        <f t="array" ref="N147">choice(Settings!K:K,1,Settings!$B$16)</f>
        <v/>
      </c>
      <c r="P147" s="5">
        <f t="shared" si="12"/>
        <v>1</v>
      </c>
    </row>
    <row r="148" spans="1:16" ht="15.75" customHeight="1" x14ac:dyDescent="0.25">
      <c r="A148" s="6" t="s">
        <v>500</v>
      </c>
      <c r="B148" s="6" cm="1">
        <f t="array" ref="B148">alea_int(Settings!$B$10,1,Settings!$B$16)</f>
        <v>1</v>
      </c>
      <c r="C148" s="8">
        <v>46023</v>
      </c>
      <c r="D148" s="8">
        <f t="shared" si="9"/>
        <v>46387</v>
      </c>
      <c r="E148" s="6" t="str" cm="1">
        <f t="array" ref="E148">choice(Groupes!A:A,1,Settings!$B$16)</f>
        <v>G9</v>
      </c>
      <c r="F148" s="6" t="str">
        <f t="shared" si="10"/>
        <v>G9</v>
      </c>
      <c r="G148" s="6" t="str">
        <f t="shared" si="11"/>
        <v>Prof38</v>
      </c>
      <c r="H148" s="6" t="str" cm="1">
        <f t="array" ref="H148">choice(Referentiel!A:A,1,Settings!$B$16)</f>
        <v>Gr SPATIAL MEDIA</v>
      </c>
      <c r="I148" s="6" t="str" cm="1">
        <f t="array" ref="I148">choice(Referentiel!B:B,1,Settings!$B$16)</f>
        <v>3ème année Scénographie S1</v>
      </c>
      <c r="J148" s="6" t="str" cm="1">
        <f t="array" ref="J148">choice(Referentiel!D:D,1,Settings!$B$16)</f>
        <v>M2</v>
      </c>
      <c r="K148" s="6" t="str" cm="1">
        <f t="array" ref="K148">choice(Professeurs!B:B,1,Settings!$B$16)</f>
        <v>Prof38</v>
      </c>
      <c r="L148" s="5" t="str" cm="1">
        <f t="array" ref="L148">choice(Referentiel!C:C,1,Settings!$B$16)</f>
        <v/>
      </c>
      <c r="M148" s="5" t="str" cm="1">
        <f t="array" ref="M148">choice(Referentiel!E:E,1,Settings!$B$16)</f>
        <v/>
      </c>
      <c r="N148" s="5" t="str" cm="1">
        <f t="array" ref="N148">choice(Settings!K:K,1,Settings!$B$16)</f>
        <v/>
      </c>
      <c r="P148" s="5">
        <f t="shared" si="12"/>
        <v>1</v>
      </c>
    </row>
    <row r="149" spans="1:16" ht="15.75" customHeight="1" x14ac:dyDescent="0.25">
      <c r="A149" s="6" t="s">
        <v>501</v>
      </c>
      <c r="B149" s="6" cm="1">
        <f t="array" ref="B149">alea_int(Settings!$B$10,1,Settings!$B$16)</f>
        <v>3</v>
      </c>
      <c r="C149" s="8">
        <v>46023</v>
      </c>
      <c r="D149" s="8">
        <f t="shared" si="9"/>
        <v>46387</v>
      </c>
      <c r="E149" s="6" t="str" cm="1">
        <f t="array" ref="E149">choice(Groupes!A:A,1,Settings!$B$16)</f>
        <v>G26</v>
      </c>
      <c r="F149" s="6" t="str">
        <f t="shared" si="10"/>
        <v>G26</v>
      </c>
      <c r="G149" s="6" t="str">
        <f t="shared" si="11"/>
        <v>Prof17</v>
      </c>
      <c r="H149" s="6" t="str" cm="1">
        <f t="array" ref="H149">choice(Referentiel!A:A,1,Settings!$B$16)</f>
        <v>Design Vêtement</v>
      </c>
      <c r="I149" s="6" t="str" cm="1">
        <f t="array" ref="I149">choice(Referentiel!B:B,1,Settings!$B$16)</f>
        <v>2ème année Photo / Vidéo S1</v>
      </c>
      <c r="J149" s="6" t="str" cm="1">
        <f t="array" ref="J149">choice(Referentiel!D:D,1,Settings!$B$16)</f>
        <v>L1</v>
      </c>
      <c r="K149" s="6" t="str" cm="1">
        <f t="array" ref="K149">choice(Professeurs!B:B,1,Settings!$B$16)</f>
        <v>Prof17</v>
      </c>
      <c r="L149" s="5" t="str" cm="1">
        <f t="array" ref="L149">choice(Referentiel!C:C,1,Settings!$B$16)</f>
        <v/>
      </c>
      <c r="M149" s="5" t="str" cm="1">
        <f t="array" ref="M149">choice(Referentiel!E:E,1,Settings!$B$16)</f>
        <v/>
      </c>
      <c r="N149" s="5" t="str" cm="1">
        <f t="array" ref="N149">choice(Settings!K:K,1,Settings!$B$16)</f>
        <v/>
      </c>
      <c r="P149" s="5">
        <f t="shared" si="12"/>
        <v>3</v>
      </c>
    </row>
    <row r="150" spans="1:16" ht="15.75" customHeight="1" x14ac:dyDescent="0.25">
      <c r="A150" s="6" t="s">
        <v>502</v>
      </c>
      <c r="B150" s="6" cm="1">
        <f t="array" ref="B150">alea_int(Settings!$B$10,1,Settings!$B$16)</f>
        <v>2</v>
      </c>
      <c r="C150" s="8">
        <v>46023</v>
      </c>
      <c r="D150" s="8">
        <f t="shared" si="9"/>
        <v>46387</v>
      </c>
      <c r="E150" s="6" t="str" cm="1">
        <f t="array" ref="E150">choice(Groupes!A:A,1,Settings!$B$16)</f>
        <v>G7</v>
      </c>
      <c r="F150" s="6" t="str">
        <f t="shared" si="10"/>
        <v>G7</v>
      </c>
      <c r="G150" s="6" t="str">
        <f t="shared" si="11"/>
        <v>Prof1</v>
      </c>
      <c r="H150" s="6" t="str" cm="1">
        <f t="array" ref="H150">choice(Referentiel!A:A,1,Settings!$B$16)</f>
        <v>Gr REFLECTIVE INTERACTION</v>
      </c>
      <c r="I150" s="6" t="str" cm="1">
        <f t="array" ref="I150">choice(Referentiel!B:B,1,Settings!$B$16)</f>
        <v>2ème année Scénographie S2</v>
      </c>
      <c r="J150" s="6" t="str" cm="1">
        <f t="array" ref="J150">choice(Referentiel!D:D,1,Settings!$B$16)</f>
        <v>L2</v>
      </c>
      <c r="K150" s="6" t="str" cm="1">
        <f t="array" ref="K150">choice(Professeurs!B:B,1,Settings!$B$16)</f>
        <v>Prof1</v>
      </c>
      <c r="L150" s="5" t="str" cm="1">
        <f t="array" ref="L150">choice(Referentiel!C:C,1,Settings!$B$16)</f>
        <v/>
      </c>
      <c r="M150" s="5" t="str" cm="1">
        <f t="array" ref="M150">choice(Referentiel!E:E,1,Settings!$B$16)</f>
        <v/>
      </c>
      <c r="N150" s="5" t="str" cm="1">
        <f t="array" ref="N150">choice(Settings!K:K,1,Settings!$B$16)</f>
        <v>vendredi pm</v>
      </c>
      <c r="P150" s="5">
        <f t="shared" si="12"/>
        <v>4</v>
      </c>
    </row>
    <row r="151" spans="1:16" ht="15.75" customHeight="1" x14ac:dyDescent="0.25">
      <c r="A151" s="6" t="s">
        <v>503</v>
      </c>
      <c r="B151" s="6" cm="1">
        <f t="array" ref="B151">alea_int(Settings!$B$10,1,Settings!$B$16)</f>
        <v>1</v>
      </c>
      <c r="C151" s="8">
        <v>46023</v>
      </c>
      <c r="D151" s="8">
        <f t="shared" si="9"/>
        <v>46387</v>
      </c>
      <c r="E151" s="6" t="str" cm="1">
        <f t="array" ref="E151">choice(Groupes!A:A,1,Settings!$B$16)</f>
        <v>G27</v>
      </c>
      <c r="F151" s="6" t="str">
        <f t="shared" si="10"/>
        <v>G27</v>
      </c>
      <c r="G151" s="6" t="str">
        <f t="shared" si="11"/>
        <v>Prof27</v>
      </c>
      <c r="H151" s="6" t="str" cm="1">
        <f t="array" ref="H151">choice(Referentiel!A:A,1,Settings!$B$16)</f>
        <v>Scénographie</v>
      </c>
      <c r="I151" s="6" t="str" cm="1">
        <f t="array" ref="I151">choice(Referentiel!B:B,1,Settings!$B$16)</f>
        <v>3ème année Photo / Vidéo S2</v>
      </c>
      <c r="J151" s="6" t="str" cm="1">
        <f t="array" ref="J151">choice(Referentiel!D:D,1,Settings!$B$16)</f>
        <v>L3</v>
      </c>
      <c r="K151" s="6" t="str" cm="1">
        <f t="array" ref="K151">choice(Professeurs!B:B,1,Settings!$B$16)</f>
        <v>Prof27</v>
      </c>
      <c r="L151" s="5" t="str" cm="1">
        <f t="array" ref="L151">choice(Referentiel!C:C,1,Settings!$B$16)</f>
        <v/>
      </c>
      <c r="M151" s="5" t="str" cm="1">
        <f t="array" ref="M151">choice(Referentiel!E:E,1,Settings!$B$16)</f>
        <v/>
      </c>
      <c r="N151" s="5" t="str" cm="1">
        <f t="array" ref="N151">choice(Settings!K:K,1,Settings!$B$16)</f>
        <v/>
      </c>
      <c r="P151" s="5">
        <f t="shared" si="12"/>
        <v>1</v>
      </c>
    </row>
    <row r="152" spans="1:16" ht="15.75" customHeight="1" x14ac:dyDescent="0.25">
      <c r="A152" s="6" t="s">
        <v>504</v>
      </c>
      <c r="B152" s="6" cm="1">
        <f t="array" ref="B152">alea_int(Settings!$B$10,1,Settings!$B$16)</f>
        <v>3</v>
      </c>
      <c r="C152" s="8">
        <v>46023</v>
      </c>
      <c r="D152" s="8">
        <f t="shared" si="9"/>
        <v>46387</v>
      </c>
      <c r="E152" s="6" t="str" cm="1">
        <f t="array" ref="E152">choice(Groupes!A:A,1,Settings!$B$16)</f>
        <v>G5</v>
      </c>
      <c r="F152" s="6" t="str">
        <f t="shared" si="10"/>
        <v>G5</v>
      </c>
      <c r="G152" s="6" t="str">
        <f t="shared" si="11"/>
        <v>Prof53</v>
      </c>
      <c r="H152" s="6" t="str" cm="1">
        <f t="array" ref="H152">choice(Referentiel!A:A,1,Settings!$B$16)</f>
        <v>Art-Espace</v>
      </c>
      <c r="I152" s="6" t="str" cm="1">
        <f t="array" ref="I152">choice(Referentiel!B:B,1,Settings!$B$16)</f>
        <v>2ème année Architecture Intérieure S1</v>
      </c>
      <c r="J152" s="6" t="str" cm="1">
        <f t="array" ref="J152">choice(Referentiel!D:D,1,Settings!$B$16)</f>
        <v>L3</v>
      </c>
      <c r="K152" s="6" t="str" cm="1">
        <f t="array" ref="K152">choice(Professeurs!B:B,1,Settings!$B$16)</f>
        <v>Prof53</v>
      </c>
      <c r="L152" s="5" t="str" cm="1">
        <f t="array" ref="L152">choice(Referentiel!C:C,1,Settings!$B$16)</f>
        <v/>
      </c>
      <c r="M152" s="5" t="str" cm="1">
        <f t="array" ref="M152">choice(Referentiel!E:E,1,Settings!$B$16)</f>
        <v/>
      </c>
      <c r="N152" s="5" t="str" cm="1">
        <f t="array" ref="N152">choice(Settings!K:K,1,Settings!$B$16)</f>
        <v/>
      </c>
      <c r="P152" s="5">
        <f t="shared" si="12"/>
        <v>3</v>
      </c>
    </row>
    <row r="153" spans="1:16" ht="15.75" customHeight="1" x14ac:dyDescent="0.25">
      <c r="A153" s="6" t="s">
        <v>505</v>
      </c>
      <c r="B153" s="6" cm="1">
        <f t="array" ref="B153">alea_int(Settings!$B$10,1,Settings!$B$16)</f>
        <v>1</v>
      </c>
      <c r="C153" s="8">
        <v>46023</v>
      </c>
      <c r="D153" s="8">
        <f t="shared" si="9"/>
        <v>46387</v>
      </c>
      <c r="E153" s="6" t="str" cm="1">
        <f t="array" ref="E153">choice(Groupes!A:A,1,Settings!$B$16)</f>
        <v>G6</v>
      </c>
      <c r="F153" s="6" t="str">
        <f t="shared" si="10"/>
        <v>G6</v>
      </c>
      <c r="G153" s="6" t="str">
        <f t="shared" si="11"/>
        <v>Prof17</v>
      </c>
      <c r="H153" s="6" t="str" cm="1">
        <f t="array" ref="H153">choice(Referentiel!A:A,1,Settings!$B$16)</f>
        <v>Mode et Matière</v>
      </c>
      <c r="I153" s="6" t="str" cm="1">
        <f t="array" ref="I153">choice(Referentiel!B:B,1,Settings!$B$16)</f>
        <v>2ème année Design Textile et Matière S1</v>
      </c>
      <c r="J153" s="6" t="str" cm="1">
        <f t="array" ref="J153">choice(Referentiel!D:D,1,Settings!$B$16)</f>
        <v>M1</v>
      </c>
      <c r="K153" s="6" t="str" cm="1">
        <f t="array" ref="K153">choice(Professeurs!B:B,1,Settings!$B$16)</f>
        <v>Prof17</v>
      </c>
      <c r="L153" s="5" t="str" cm="1">
        <f t="array" ref="L153">choice(Referentiel!C:C,1,Settings!$B$16)</f>
        <v/>
      </c>
      <c r="M153" s="5" t="str" cm="1">
        <f t="array" ref="M153">choice(Referentiel!E:E,1,Settings!$B$16)</f>
        <v/>
      </c>
      <c r="N153" s="5" t="str" cm="1">
        <f t="array" ref="N153">choice(Settings!K:K,1,Settings!$B$16)</f>
        <v>jeudi am</v>
      </c>
      <c r="P153" s="5">
        <f t="shared" si="12"/>
        <v>3</v>
      </c>
    </row>
    <row r="154" spans="1:16" ht="15.75" customHeight="1" x14ac:dyDescent="0.25">
      <c r="A154" s="6" t="s">
        <v>506</v>
      </c>
      <c r="B154" s="6" cm="1">
        <f t="array" ref="B154">alea_int(Settings!$B$10,1,Settings!$B$16)</f>
        <v>3</v>
      </c>
      <c r="C154" s="8">
        <v>46023</v>
      </c>
      <c r="D154" s="8">
        <f t="shared" si="9"/>
        <v>46387</v>
      </c>
      <c r="E154" s="6" t="str" cm="1">
        <f t="array" ref="E154">choice(Groupes!A:A,1,Settings!$B$16)</f>
        <v>G21</v>
      </c>
      <c r="F154" s="6" t="str">
        <f t="shared" si="10"/>
        <v>G21</v>
      </c>
      <c r="G154" s="6" t="str">
        <f t="shared" si="11"/>
        <v>Prof22</v>
      </c>
      <c r="H154" s="6" t="str" cm="1">
        <f t="array" ref="H154">choice(Referentiel!A:A,1,Settings!$B$16)</f>
        <v>Design Graphique</v>
      </c>
      <c r="I154" s="6" t="str" cm="1">
        <f t="array" ref="I154">choice(Referentiel!B:B,1,Settings!$B$16)</f>
        <v>4ème année Art-Espace S1</v>
      </c>
      <c r="J154" s="6" t="str" cm="1">
        <f t="array" ref="J154">choice(Referentiel!D:D,1,Settings!$B$16)</f>
        <v>M2</v>
      </c>
      <c r="K154" s="6" t="str" cm="1">
        <f t="array" ref="K154">choice(Professeurs!B:B,1,Settings!$B$16)</f>
        <v>Prof22</v>
      </c>
      <c r="L154" s="5" t="str" cm="1">
        <f t="array" ref="L154">choice(Referentiel!C:C,1,Settings!$B$16)</f>
        <v/>
      </c>
      <c r="M154" s="5" t="str" cm="1">
        <f t="array" ref="M154">choice(Referentiel!E:E,1,Settings!$B$16)</f>
        <v/>
      </c>
      <c r="N154" s="5" t="str" cm="1">
        <f t="array" ref="N154">choice(Settings!K:K,1,Settings!$B$16)</f>
        <v/>
      </c>
      <c r="P154" s="5">
        <f t="shared" si="12"/>
        <v>3</v>
      </c>
    </row>
    <row r="155" spans="1:16" ht="15.75" customHeight="1" x14ac:dyDescent="0.25">
      <c r="A155" s="6" t="s">
        <v>507</v>
      </c>
      <c r="B155" s="6" cm="1">
        <f t="array" ref="B155">alea_int(Settings!$B$10,1,Settings!$B$16)</f>
        <v>3</v>
      </c>
      <c r="C155" s="8">
        <v>46023</v>
      </c>
      <c r="D155" s="8">
        <f t="shared" si="9"/>
        <v>46387</v>
      </c>
      <c r="E155" s="6" t="str" cm="1">
        <f t="array" ref="E155">choice(Groupes!A:A,1,Settings!$B$16)</f>
        <v>G10</v>
      </c>
      <c r="F155" s="6" t="str">
        <f t="shared" si="10"/>
        <v>G10</v>
      </c>
      <c r="G155" s="6" t="str">
        <f t="shared" si="11"/>
        <v>Prof46</v>
      </c>
      <c r="H155" s="6" t="str" cm="1">
        <f t="array" ref="H155">choice(Referentiel!A:A,1,Settings!$B$16)</f>
        <v>Art-Espace</v>
      </c>
      <c r="I155" s="6" t="str" cm="1">
        <f t="array" ref="I155">choice(Referentiel!B:B,1,Settings!$B$16)</f>
        <v>1ère Année Groupe 2 S1</v>
      </c>
      <c r="J155" s="6" t="str" cm="1">
        <f t="array" ref="J155">choice(Referentiel!D:D,1,Settings!$B$16)</f>
        <v>L3</v>
      </c>
      <c r="K155" s="6" t="str" cm="1">
        <f t="array" ref="K155">choice(Professeurs!B:B,1,Settings!$B$16)</f>
        <v>Prof46</v>
      </c>
      <c r="L155" s="5" t="str" cm="1">
        <f t="array" ref="L155">choice(Referentiel!C:C,1,Settings!$B$16)</f>
        <v/>
      </c>
      <c r="M155" s="5" t="str" cm="1">
        <f t="array" ref="M155">choice(Referentiel!E:E,1,Settings!$B$16)</f>
        <v/>
      </c>
      <c r="N155" s="5" t="str" cm="1">
        <f t="array" ref="N155">choice(Settings!K:K,1,Settings!$B$16)</f>
        <v/>
      </c>
      <c r="P155" s="5">
        <f t="shared" si="12"/>
        <v>3</v>
      </c>
    </row>
    <row r="156" spans="1:16" ht="15.75" customHeight="1" x14ac:dyDescent="0.25">
      <c r="A156" s="6" t="s">
        <v>508</v>
      </c>
      <c r="B156" s="6" cm="1">
        <f t="array" ref="B156">alea_int(Settings!$B$10,1,Settings!$B$16)</f>
        <v>3</v>
      </c>
      <c r="C156" s="8">
        <v>46023</v>
      </c>
      <c r="D156" s="8">
        <f t="shared" si="9"/>
        <v>46387</v>
      </c>
      <c r="E156" s="6" t="str" cm="1">
        <f t="array" ref="E156">choice(Groupes!A:A,1,Settings!$B$16)</f>
        <v>G5</v>
      </c>
      <c r="F156" s="6" t="str">
        <f t="shared" si="10"/>
        <v>G5</v>
      </c>
      <c r="G156" s="6" t="str">
        <f t="shared" si="11"/>
        <v>Prof6</v>
      </c>
      <c r="H156" s="6" t="str" cm="1">
        <f t="array" ref="H156">choice(Referentiel!A:A,1,Settings!$B$16)</f>
        <v>Gr ART, DESIGN, SOCIETE</v>
      </c>
      <c r="I156" s="6" t="str" cm="1">
        <f t="array" ref="I156">choice(Referentiel!B:B,1,Settings!$B$16)</f>
        <v>2ème année Cinéma d'Animation S1</v>
      </c>
      <c r="J156" s="6" t="str" cm="1">
        <f t="array" ref="J156">choice(Referentiel!D:D,1,Settings!$B$16)</f>
        <v>M2</v>
      </c>
      <c r="K156" s="6" t="str" cm="1">
        <f t="array" ref="K156">choice(Professeurs!B:B,1,Settings!$B$16)</f>
        <v>Prof6</v>
      </c>
      <c r="L156" s="5" t="str" cm="1">
        <f t="array" ref="L156">choice(Referentiel!C:C,1,Settings!$B$16)</f>
        <v/>
      </c>
      <c r="M156" s="5" t="str" cm="1">
        <f t="array" ref="M156">choice(Referentiel!E:E,1,Settings!$B$16)</f>
        <v/>
      </c>
      <c r="N156" s="5" t="str" cm="1">
        <f t="array" ref="N156">choice(Settings!K:K,1,Settings!$B$16)</f>
        <v>jeudi am</v>
      </c>
      <c r="P156" s="5">
        <f t="shared" si="12"/>
        <v>5</v>
      </c>
    </row>
    <row r="157" spans="1:16" ht="15.75" customHeight="1" x14ac:dyDescent="0.25">
      <c r="A157" s="6" t="s">
        <v>509</v>
      </c>
      <c r="B157" s="6" cm="1">
        <f t="array" ref="B157">alea_int(Settings!$B$10,1,Settings!$B$16)</f>
        <v>3</v>
      </c>
      <c r="C157" s="8">
        <v>46023</v>
      </c>
      <c r="D157" s="8">
        <f t="shared" si="9"/>
        <v>46387</v>
      </c>
      <c r="E157" s="6" t="str" cm="1">
        <f t="array" ref="E157">choice(Groupes!A:A,1,Settings!$B$16)</f>
        <v>G24</v>
      </c>
      <c r="F157" s="6" t="str">
        <f t="shared" si="10"/>
        <v>G24</v>
      </c>
      <c r="G157" s="6" t="str">
        <f t="shared" si="11"/>
        <v>Prof21</v>
      </c>
      <c r="H157" s="6" t="str" cm="1">
        <f t="array" ref="H157">choice(Referentiel!A:A,1,Settings!$B$16)</f>
        <v>Photo / Vidéo</v>
      </c>
      <c r="I157" s="6" t="str" cm="1">
        <f t="array" ref="I157">choice(Referentiel!B:B,1,Settings!$B$16)</f>
        <v>5ème année Art-Espace S1</v>
      </c>
      <c r="J157" s="6" t="str" cm="1">
        <f t="array" ref="J157">choice(Referentiel!D:D,1,Settings!$B$16)</f>
        <v>L3</v>
      </c>
      <c r="K157" s="6" t="str" cm="1">
        <f t="array" ref="K157">choice(Professeurs!B:B,1,Settings!$B$16)</f>
        <v>Prof21</v>
      </c>
      <c r="L157" s="5" t="str" cm="1">
        <f t="array" ref="L157">choice(Referentiel!C:C,1,Settings!$B$16)</f>
        <v/>
      </c>
      <c r="M157" s="5" t="str" cm="1">
        <f t="array" ref="M157">choice(Referentiel!E:E,1,Settings!$B$16)</f>
        <v/>
      </c>
      <c r="N157" s="5" t="str" cm="1">
        <f t="array" ref="N157">choice(Settings!K:K,1,Settings!$B$16)</f>
        <v>jeudi pm</v>
      </c>
      <c r="P157" s="5">
        <f t="shared" si="12"/>
        <v>5</v>
      </c>
    </row>
    <row r="158" spans="1:16" ht="15.75" customHeight="1" x14ac:dyDescent="0.25">
      <c r="A158" s="6" t="s">
        <v>510</v>
      </c>
      <c r="B158" s="6" cm="1">
        <f t="array" ref="B158">alea_int(Settings!$B$10,1,Settings!$B$16)</f>
        <v>3</v>
      </c>
      <c r="C158" s="8">
        <v>46023</v>
      </c>
      <c r="D158" s="8">
        <f t="shared" si="9"/>
        <v>46387</v>
      </c>
      <c r="E158" s="6" t="str" cm="1">
        <f t="array" ref="E158">choice(Groupes!A:A,1,Settings!$B$16)</f>
        <v>G12</v>
      </c>
      <c r="F158" s="6" t="str">
        <f t="shared" si="10"/>
        <v>G12</v>
      </c>
      <c r="G158" s="6" t="str">
        <f t="shared" si="11"/>
        <v>Prof30</v>
      </c>
      <c r="H158" s="6" t="str" cm="1">
        <f t="array" ref="H158">choice(Referentiel!A:A,1,Settings!$B$16)</f>
        <v>Design des mondes montagneux</v>
      </c>
      <c r="I158" s="6" t="str" cm="1">
        <f t="array" ref="I158">choice(Referentiel!B:B,1,Settings!$B$16)</f>
        <v>2ème année Design Graphique S1</v>
      </c>
      <c r="J158" s="6" t="str" cm="1">
        <f t="array" ref="J158">choice(Referentiel!D:D,1,Settings!$B$16)</f>
        <v>M1</v>
      </c>
      <c r="K158" s="6" t="str" cm="1">
        <f t="array" ref="K158">choice(Professeurs!B:B,1,Settings!$B$16)</f>
        <v>Prof30</v>
      </c>
      <c r="L158" s="5" t="str" cm="1">
        <f t="array" ref="L158">choice(Referentiel!C:C,1,Settings!$B$16)</f>
        <v/>
      </c>
      <c r="M158" s="5" t="str" cm="1">
        <f t="array" ref="M158">choice(Referentiel!E:E,1,Settings!$B$16)</f>
        <v/>
      </c>
      <c r="N158" s="5" t="str" cm="1">
        <f t="array" ref="N158">choice(Settings!K:K,1,Settings!$B$16)</f>
        <v/>
      </c>
      <c r="P158" s="5">
        <f t="shared" si="12"/>
        <v>3</v>
      </c>
    </row>
    <row r="159" spans="1:16" ht="15.75" customHeight="1" x14ac:dyDescent="0.25">
      <c r="A159" s="6" t="s">
        <v>511</v>
      </c>
      <c r="B159" s="6" cm="1">
        <f t="array" ref="B159">alea_int(Settings!$B$10,1,Settings!$B$16)</f>
        <v>3</v>
      </c>
      <c r="C159" s="8">
        <v>46023</v>
      </c>
      <c r="D159" s="8">
        <f t="shared" si="9"/>
        <v>46387</v>
      </c>
      <c r="E159" s="6" t="str" cm="1">
        <f t="array" ref="E159">choice(Groupes!A:A,1,Settings!$B$16)</f>
        <v>G1</v>
      </c>
      <c r="F159" s="6" t="str">
        <f t="shared" si="10"/>
        <v>G1</v>
      </c>
      <c r="G159" s="6" t="str">
        <f t="shared" si="11"/>
        <v>Prof38</v>
      </c>
      <c r="H159" s="6" t="str" cm="1">
        <f t="array" ref="H159">choice(Referentiel!A:A,1,Settings!$B$16)</f>
        <v>Image Imprimée</v>
      </c>
      <c r="I159" s="6" t="str" cm="1">
        <f t="array" ref="I159">choice(Referentiel!B:B,1,Settings!$B$16)</f>
        <v>4ème année Scénographie S2</v>
      </c>
      <c r="J159" s="6" t="str" cm="1">
        <f t="array" ref="J159">choice(Referentiel!D:D,1,Settings!$B$16)</f>
        <v>L1</v>
      </c>
      <c r="K159" s="6" t="str" cm="1">
        <f t="array" ref="K159">choice(Professeurs!B:B,1,Settings!$B$16)</f>
        <v>Prof38</v>
      </c>
      <c r="L159" s="5" t="str" cm="1">
        <f t="array" ref="L159">choice(Referentiel!C:C,1,Settings!$B$16)</f>
        <v/>
      </c>
      <c r="M159" s="5" t="str" cm="1">
        <f t="array" ref="M159">choice(Referentiel!E:E,1,Settings!$B$16)</f>
        <v/>
      </c>
      <c r="N159" s="5" t="str" cm="1">
        <f t="array" ref="N159">choice(Settings!K:K,1,Settings!$B$16)</f>
        <v/>
      </c>
      <c r="P159" s="5">
        <f t="shared" si="12"/>
        <v>3</v>
      </c>
    </row>
    <row r="160" spans="1:16" ht="15.75" customHeight="1" x14ac:dyDescent="0.25">
      <c r="A160" s="6" t="s">
        <v>512</v>
      </c>
      <c r="B160" s="6" cm="1">
        <f t="array" ref="B160">alea_int(Settings!$B$10,1,Settings!$B$16)</f>
        <v>1</v>
      </c>
      <c r="C160" s="8">
        <v>46023</v>
      </c>
      <c r="D160" s="8">
        <f t="shared" si="9"/>
        <v>46387</v>
      </c>
      <c r="E160" s="6" t="str" cm="1">
        <f t="array" ref="E160">choice(Groupes!A:A,1,Settings!$B$16)</f>
        <v>G8</v>
      </c>
      <c r="F160" s="6" t="str">
        <f t="shared" si="10"/>
        <v>G8</v>
      </c>
      <c r="G160" s="6" t="str">
        <f t="shared" si="11"/>
        <v>Prof27</v>
      </c>
      <c r="H160" s="6" t="str" cm="1">
        <f t="array" ref="H160">choice(Referentiel!A:A,1,Settings!$B$16)</f>
        <v>Design des mondes ruraux</v>
      </c>
      <c r="I160" s="6" t="str" cm="1">
        <f t="array" ref="I160">choice(Referentiel!B:B,1,Settings!$B$16)</f>
        <v>2ème année Scénographie S2</v>
      </c>
      <c r="J160" s="6" t="str" cm="1">
        <f t="array" ref="J160">choice(Referentiel!D:D,1,Settings!$B$16)</f>
        <v>M2</v>
      </c>
      <c r="K160" s="6" t="str" cm="1">
        <f t="array" ref="K160">choice(Professeurs!B:B,1,Settings!$B$16)</f>
        <v>Prof27</v>
      </c>
      <c r="L160" s="5" t="str" cm="1">
        <f t="array" ref="L160">choice(Referentiel!C:C,1,Settings!$B$16)</f>
        <v/>
      </c>
      <c r="M160" s="5" t="str" cm="1">
        <f t="array" ref="M160">choice(Referentiel!E:E,1,Settings!$B$16)</f>
        <v/>
      </c>
      <c r="N160" s="5" t="str" cm="1">
        <f t="array" ref="N160">choice(Settings!K:K,1,Settings!$B$16)</f>
        <v/>
      </c>
      <c r="P160" s="5">
        <f t="shared" si="12"/>
        <v>1</v>
      </c>
    </row>
    <row r="161" spans="1:16" ht="15.75" customHeight="1" x14ac:dyDescent="0.25">
      <c r="A161" s="6" t="s">
        <v>513</v>
      </c>
      <c r="B161" s="6" cm="1">
        <f t="array" ref="B161">alea_int(Settings!$B$10,1,Settings!$B$16)</f>
        <v>1</v>
      </c>
      <c r="C161" s="8">
        <v>46023</v>
      </c>
      <c r="D161" s="8">
        <f t="shared" si="9"/>
        <v>46387</v>
      </c>
      <c r="E161" s="6" t="str" cm="1">
        <f t="array" ref="E161">choice(Groupes!A:A,1,Settings!$B$16)</f>
        <v>G12</v>
      </c>
      <c r="F161" s="6" t="str">
        <f t="shared" si="10"/>
        <v>G12</v>
      </c>
      <c r="G161" s="6" t="str">
        <f t="shared" si="11"/>
        <v>Prof24</v>
      </c>
      <c r="H161" s="6" t="str" cm="1">
        <f t="array" ref="H161">choice(Referentiel!A:A,1,Settings!$B$16)</f>
        <v>6ème ANNÉE STAGE</v>
      </c>
      <c r="I161" s="6" t="str" cm="1">
        <f t="array" ref="I161">choice(Referentiel!B:B,1,Settings!$B$16)</f>
        <v>4ème année Design Graphique S1</v>
      </c>
      <c r="J161" s="6" t="str" cm="1">
        <f t="array" ref="J161">choice(Referentiel!D:D,1,Settings!$B$16)</f>
        <v>L2</v>
      </c>
      <c r="K161" s="6" t="str" cm="1">
        <f t="array" ref="K161">choice(Professeurs!B:B,1,Settings!$B$16)</f>
        <v>Prof24</v>
      </c>
      <c r="L161" s="5" t="str" cm="1">
        <f t="array" ref="L161">choice(Referentiel!C:C,1,Settings!$B$16)</f>
        <v/>
      </c>
      <c r="M161" s="5" t="str" cm="1">
        <f t="array" ref="M161">choice(Referentiel!E:E,1,Settings!$B$16)</f>
        <v>Salle2</v>
      </c>
      <c r="N161" s="5" t="str" cm="1">
        <f t="array" ref="N161">choice(Settings!K:K,1,Settings!$B$16)</f>
        <v/>
      </c>
      <c r="P161" s="5">
        <f t="shared" si="12"/>
        <v>3</v>
      </c>
    </row>
    <row r="162" spans="1:16" ht="15.75" customHeight="1" x14ac:dyDescent="0.25">
      <c r="A162" s="6" t="s">
        <v>514</v>
      </c>
      <c r="B162" s="6" cm="1">
        <f t="array" ref="B162">alea_int(Settings!$B$10,1,Settings!$B$16)</f>
        <v>2</v>
      </c>
      <c r="C162" s="8">
        <v>46023</v>
      </c>
      <c r="D162" s="8">
        <f t="shared" si="9"/>
        <v>46387</v>
      </c>
      <c r="E162" s="6" t="str" cm="1">
        <f t="array" ref="E162">choice(Groupes!A:A,1,Settings!$B$16)</f>
        <v>G25</v>
      </c>
      <c r="F162" s="6" t="str">
        <f t="shared" si="10"/>
        <v>G25</v>
      </c>
      <c r="G162" s="6" t="str">
        <f t="shared" si="11"/>
        <v>Prof12</v>
      </c>
      <c r="H162" s="6" t="str" cm="1">
        <f t="array" ref="H162">choice(Referentiel!A:A,1,Settings!$B$16)</f>
        <v>1ère année Groupe 1</v>
      </c>
      <c r="I162" s="6" t="str" cm="1">
        <f t="array" ref="I162">choice(Referentiel!B:B,1,Settings!$B$16)</f>
        <v>3ème année Scénographie S2</v>
      </c>
      <c r="J162" s="6" t="str" cm="1">
        <f t="array" ref="J162">choice(Referentiel!D:D,1,Settings!$B$16)</f>
        <v>M1</v>
      </c>
      <c r="K162" s="6" t="str" cm="1">
        <f t="array" ref="K162">choice(Professeurs!B:B,1,Settings!$B$16)</f>
        <v>Prof12</v>
      </c>
      <c r="L162" s="5" t="str" cm="1">
        <f t="array" ref="L162">choice(Referentiel!C:C,1,Settings!$B$16)</f>
        <v/>
      </c>
      <c r="M162" s="5" t="str" cm="1">
        <f t="array" ref="M162">choice(Referentiel!E:E,1,Settings!$B$16)</f>
        <v/>
      </c>
      <c r="N162" s="5" t="str" cm="1">
        <f t="array" ref="N162">choice(Settings!K:K,1,Settings!$B$16)</f>
        <v>vendredi pm</v>
      </c>
      <c r="P162" s="5">
        <f t="shared" si="12"/>
        <v>4</v>
      </c>
    </row>
    <row r="163" spans="1:16" ht="15.75" customHeight="1" x14ac:dyDescent="0.25">
      <c r="A163" s="6" t="s">
        <v>515</v>
      </c>
      <c r="B163" s="6" cm="1">
        <f t="array" ref="B163">alea_int(Settings!$B$10,1,Settings!$B$16)</f>
        <v>2</v>
      </c>
      <c r="C163" s="8">
        <v>46023</v>
      </c>
      <c r="D163" s="8">
        <f t="shared" si="9"/>
        <v>46387</v>
      </c>
      <c r="E163" s="6" t="str" cm="1">
        <f t="array" ref="E163">choice(Groupes!A:A,1,Settings!$B$16)</f>
        <v>G27</v>
      </c>
      <c r="F163" s="6" t="str">
        <f t="shared" si="10"/>
        <v>G27</v>
      </c>
      <c r="G163" s="6" t="str">
        <f t="shared" si="11"/>
        <v>Prof3</v>
      </c>
      <c r="H163" s="6" t="str" cm="1">
        <f t="array" ref="H163">choice(Referentiel!A:A,1,Settings!$B$16)</f>
        <v>Art-Espace</v>
      </c>
      <c r="I163" s="6" t="str" cm="1">
        <f t="array" ref="I163">choice(Referentiel!B:B,1,Settings!$B$16)</f>
        <v>4ème année Art-Espace S2</v>
      </c>
      <c r="J163" s="6" t="str" cm="1">
        <f t="array" ref="J163">choice(Referentiel!D:D,1,Settings!$B$16)</f>
        <v>M2</v>
      </c>
      <c r="K163" s="6" t="str" cm="1">
        <f t="array" ref="K163">choice(Professeurs!B:B,1,Settings!$B$16)</f>
        <v>Prof3</v>
      </c>
      <c r="L163" s="5" t="str" cm="1">
        <f t="array" ref="L163">choice(Referentiel!C:C,1,Settings!$B$16)</f>
        <v/>
      </c>
      <c r="M163" s="5" t="str" cm="1">
        <f t="array" ref="M163">choice(Referentiel!E:E,1,Settings!$B$16)</f>
        <v/>
      </c>
      <c r="N163" s="5" t="str" cm="1">
        <f t="array" ref="N163">choice(Settings!K:K,1,Settings!$B$16)</f>
        <v>mercredi ap</v>
      </c>
      <c r="P163" s="5">
        <f t="shared" si="12"/>
        <v>4</v>
      </c>
    </row>
    <row r="164" spans="1:16" ht="15.75" customHeight="1" x14ac:dyDescent="0.25">
      <c r="A164" s="6" t="s">
        <v>516</v>
      </c>
      <c r="B164" s="6" cm="1">
        <f t="array" ref="B164">alea_int(Settings!$B$10,1,Settings!$B$16)</f>
        <v>1</v>
      </c>
      <c r="C164" s="8">
        <v>46023</v>
      </c>
      <c r="D164" s="8">
        <f t="shared" si="9"/>
        <v>46387</v>
      </c>
      <c r="E164" s="6" t="str" cm="1">
        <f t="array" ref="E164">choice(Groupes!A:A,1,Settings!$B$16)</f>
        <v>G28</v>
      </c>
      <c r="F164" s="6" t="str">
        <f t="shared" si="10"/>
        <v>G28</v>
      </c>
      <c r="G164" s="6" t="str">
        <f t="shared" si="11"/>
        <v>Prof8</v>
      </c>
      <c r="H164" s="6" t="str" cm="1">
        <f t="array" ref="H164">choice(Referentiel!A:A,1,Settings!$B$16)</f>
        <v>Gr ART, DESIGN, SOCIETE</v>
      </c>
      <c r="I164" s="6" t="str" cm="1">
        <f t="array" ref="I164">choice(Referentiel!B:B,1,Settings!$B$16)</f>
        <v>4ème année Design Vêtement S1</v>
      </c>
      <c r="J164" s="6" t="str" cm="1">
        <f t="array" ref="J164">choice(Referentiel!D:D,1,Settings!$B$16)</f>
        <v>L3</v>
      </c>
      <c r="K164" s="6" t="str" cm="1">
        <f t="array" ref="K164">choice(Professeurs!B:B,1,Settings!$B$16)</f>
        <v>Prof8</v>
      </c>
      <c r="L164" s="5" t="str" cm="1">
        <f t="array" ref="L164">choice(Referentiel!C:C,1,Settings!$B$16)</f>
        <v/>
      </c>
      <c r="M164" s="5" t="str" cm="1">
        <f t="array" ref="M164">choice(Referentiel!E:E,1,Settings!$B$16)</f>
        <v/>
      </c>
      <c r="N164" s="5" t="str" cm="1">
        <f t="array" ref="N164">choice(Settings!K:K,1,Settings!$B$16)</f>
        <v>lundi pm</v>
      </c>
      <c r="P164" s="5">
        <f t="shared" si="12"/>
        <v>3</v>
      </c>
    </row>
    <row r="165" spans="1:16" ht="15.75" customHeight="1" x14ac:dyDescent="0.25">
      <c r="A165" s="6" t="s">
        <v>517</v>
      </c>
      <c r="B165" s="6" cm="1">
        <f t="array" ref="B165">alea_int(Settings!$B$10,1,Settings!$B$16)</f>
        <v>2</v>
      </c>
      <c r="C165" s="8">
        <v>46023</v>
      </c>
      <c r="D165" s="8">
        <f t="shared" si="9"/>
        <v>46387</v>
      </c>
      <c r="E165" s="6" t="str" cm="1">
        <f t="array" ref="E165">choice(Groupes!A:A,1,Settings!$B$16)</f>
        <v>G27</v>
      </c>
      <c r="F165" s="6" t="str">
        <f t="shared" si="10"/>
        <v>G27</v>
      </c>
      <c r="G165" s="6" t="str">
        <f t="shared" si="11"/>
        <v>Prof33</v>
      </c>
      <c r="H165" s="6" t="str" cm="1">
        <f t="array" ref="H165">choice(Referentiel!A:A,1,Settings!$B$16)</f>
        <v>6ème année atelier</v>
      </c>
      <c r="I165" s="6" t="str" cm="1">
        <f t="array" ref="I165">choice(Referentiel!B:B,1,Settings!$B$16)</f>
        <v>5ème année Architecture Intérieure S1</v>
      </c>
      <c r="J165" s="6" t="str" cm="1">
        <f t="array" ref="J165">choice(Referentiel!D:D,1,Settings!$B$16)</f>
        <v>L2</v>
      </c>
      <c r="K165" s="6" t="str" cm="1">
        <f t="array" ref="K165">choice(Professeurs!B:B,1,Settings!$B$16)</f>
        <v>Prof33</v>
      </c>
      <c r="L165" s="5" t="str" cm="1">
        <f t="array" ref="L165">choice(Referentiel!C:C,1,Settings!$B$16)</f>
        <v/>
      </c>
      <c r="M165" s="5" t="str" cm="1">
        <f t="array" ref="M165">choice(Referentiel!E:E,1,Settings!$B$16)</f>
        <v/>
      </c>
      <c r="N165" s="5" t="str" cm="1">
        <f t="array" ref="N165">choice(Settings!K:K,1,Settings!$B$16)</f>
        <v>semaine</v>
      </c>
      <c r="P165" s="5">
        <f t="shared" si="12"/>
        <v>4</v>
      </c>
    </row>
    <row r="166" spans="1:16" ht="15.75" customHeight="1" x14ac:dyDescent="0.25">
      <c r="A166" s="6" t="s">
        <v>518</v>
      </c>
      <c r="B166" s="6" cm="1">
        <f t="array" ref="B166">alea_int(Settings!$B$10,1,Settings!$B$16)</f>
        <v>2</v>
      </c>
      <c r="C166" s="8">
        <v>46023</v>
      </c>
      <c r="D166" s="8">
        <f t="shared" si="9"/>
        <v>46387</v>
      </c>
      <c r="E166" s="6" t="str" cm="1">
        <f t="array" ref="E166">choice(Groupes!A:A,1,Settings!$B$16)</f>
        <v>G5</v>
      </c>
      <c r="F166" s="6" t="str">
        <f t="shared" si="10"/>
        <v>G5</v>
      </c>
      <c r="G166" s="6" t="str">
        <f t="shared" si="11"/>
        <v>Prof1</v>
      </c>
      <c r="H166" s="6" t="str" cm="1">
        <f t="array" ref="H166">choice(Referentiel!A:A,1,Settings!$B$16)</f>
        <v>Design des mondes forestiers</v>
      </c>
      <c r="I166" s="6" t="str" cm="1">
        <f t="array" ref="I166">choice(Referentiel!B:B,1,Settings!$B$16)</f>
        <v>4ème année Design Vêtement S2</v>
      </c>
      <c r="J166" s="6" t="str" cm="1">
        <f t="array" ref="J166">choice(Referentiel!D:D,1,Settings!$B$16)</f>
        <v>M2</v>
      </c>
      <c r="K166" s="6" t="str" cm="1">
        <f t="array" ref="K166">choice(Professeurs!B:B,1,Settings!$B$16)</f>
        <v>Prof1</v>
      </c>
      <c r="L166" s="5" t="str" cm="1">
        <f t="array" ref="L166">choice(Referentiel!C:C,1,Settings!$B$16)</f>
        <v/>
      </c>
      <c r="M166" s="5" t="str" cm="1">
        <f t="array" ref="M166">choice(Referentiel!E:E,1,Settings!$B$16)</f>
        <v/>
      </c>
      <c r="N166" s="5" t="str" cm="1">
        <f t="array" ref="N166">choice(Settings!K:K,1,Settings!$B$16)</f>
        <v/>
      </c>
      <c r="P166" s="5">
        <f t="shared" si="12"/>
        <v>2</v>
      </c>
    </row>
    <row r="167" spans="1:16" ht="15.75" customHeight="1" x14ac:dyDescent="0.25">
      <c r="A167" s="6" t="s">
        <v>519</v>
      </c>
      <c r="B167" s="6" cm="1">
        <f t="array" ref="B167">alea_int(Settings!$B$10,1,Settings!$B$16)</f>
        <v>2</v>
      </c>
      <c r="C167" s="8">
        <v>46023</v>
      </c>
      <c r="D167" s="8">
        <f t="shared" si="9"/>
        <v>46387</v>
      </c>
      <c r="E167" s="6" t="str" cm="1">
        <f t="array" ref="E167">choice(Groupes!A:A,1,Settings!$B$16)</f>
        <v>G26</v>
      </c>
      <c r="F167" s="6" t="str">
        <f t="shared" si="10"/>
        <v>G26</v>
      </c>
      <c r="G167" s="6" t="str">
        <f t="shared" si="11"/>
        <v>Prof54</v>
      </c>
      <c r="H167" s="6" t="str" cm="1">
        <f t="array" ref="H167">choice(Referentiel!A:A,1,Settings!$B$16)</f>
        <v>Design des mondes ruraux</v>
      </c>
      <c r="I167" s="6" t="str" cm="1">
        <f t="array" ref="I167">choice(Referentiel!B:B,1,Settings!$B$16)</f>
        <v>2ème année Scénographie S2</v>
      </c>
      <c r="J167" s="6" t="str" cm="1">
        <f t="array" ref="J167">choice(Referentiel!D:D,1,Settings!$B$16)</f>
        <v>M2</v>
      </c>
      <c r="K167" s="6" t="str" cm="1">
        <f t="array" ref="K167">choice(Professeurs!B:B,1,Settings!$B$16)</f>
        <v>Prof54</v>
      </c>
      <c r="L167" s="5" t="str" cm="1">
        <f t="array" ref="L167">choice(Referentiel!C:C,1,Settings!$B$16)</f>
        <v/>
      </c>
      <c r="M167" s="5" t="str" cm="1">
        <f t="array" ref="M167">choice(Referentiel!E:E,1,Settings!$B$16)</f>
        <v/>
      </c>
      <c r="N167" s="5" t="str" cm="1">
        <f t="array" ref="N167">choice(Settings!K:K,1,Settings!$B$16)</f>
        <v/>
      </c>
      <c r="P167" s="5">
        <f t="shared" si="12"/>
        <v>2</v>
      </c>
    </row>
    <row r="168" spans="1:16" ht="15.75" customHeight="1" x14ac:dyDescent="0.25">
      <c r="A168" s="6" t="s">
        <v>520</v>
      </c>
      <c r="B168" s="6" cm="1">
        <f t="array" ref="B168">alea_int(Settings!$B$10,1,Settings!$B$16)</f>
        <v>2</v>
      </c>
      <c r="C168" s="8">
        <v>46023</v>
      </c>
      <c r="D168" s="8">
        <f t="shared" si="9"/>
        <v>46387</v>
      </c>
      <c r="E168" s="6" t="str" cm="1">
        <f t="array" ref="E168">choice(Groupes!A:A,1,Settings!$B$16)</f>
        <v>G24</v>
      </c>
      <c r="F168" s="6" t="str">
        <f t="shared" si="10"/>
        <v>G24</v>
      </c>
      <c r="G168" s="6" t="str">
        <f t="shared" si="11"/>
        <v>Prof50</v>
      </c>
      <c r="H168" s="6" t="str" cm="1">
        <f t="array" ref="H168">choice(Referentiel!A:A,1,Settings!$B$16)</f>
        <v>Design Vêtement</v>
      </c>
      <c r="I168" s="6" t="str" cm="1">
        <f t="array" ref="I168">choice(Referentiel!B:B,1,Settings!$B$16)</f>
        <v>5ème année Design Graphique S1</v>
      </c>
      <c r="J168" s="6" t="str" cm="1">
        <f t="array" ref="J168">choice(Referentiel!D:D,1,Settings!$B$16)</f>
        <v>L2</v>
      </c>
      <c r="K168" s="6" t="str" cm="1">
        <f t="array" ref="K168">choice(Professeurs!B:B,1,Settings!$B$16)</f>
        <v>Prof50</v>
      </c>
      <c r="L168" s="5" t="str" cm="1">
        <f t="array" ref="L168">choice(Referentiel!C:C,1,Settings!$B$16)</f>
        <v/>
      </c>
      <c r="M168" s="5" t="str" cm="1">
        <f t="array" ref="M168">choice(Referentiel!E:E,1,Settings!$B$16)</f>
        <v/>
      </c>
      <c r="N168" s="5" t="str" cm="1">
        <f t="array" ref="N168">choice(Settings!K:K,1,Settings!$B$16)</f>
        <v/>
      </c>
      <c r="P168" s="5">
        <f t="shared" si="12"/>
        <v>2</v>
      </c>
    </row>
    <row r="169" spans="1:16" ht="15.75" customHeight="1" x14ac:dyDescent="0.25">
      <c r="A169" s="6" t="s">
        <v>521</v>
      </c>
      <c r="B169" s="6" cm="1">
        <f t="array" ref="B169">alea_int(Settings!$B$10,1,Settings!$B$16)</f>
        <v>3</v>
      </c>
      <c r="C169" s="8">
        <v>46023</v>
      </c>
      <c r="D169" s="8">
        <f t="shared" si="9"/>
        <v>46387</v>
      </c>
      <c r="E169" s="6" t="str" cm="1">
        <f t="array" ref="E169">choice(Groupes!A:A,1,Settings!$B$16)</f>
        <v>G13</v>
      </c>
      <c r="F169" s="6" t="str">
        <f t="shared" si="10"/>
        <v>G13</v>
      </c>
      <c r="G169" s="6" t="str">
        <f t="shared" si="11"/>
        <v>Prof11</v>
      </c>
      <c r="H169" s="6" t="str" cm="1">
        <f t="array" ref="H169">choice(Referentiel!A:A,1,Settings!$B$16)</f>
        <v>Gr SPATIAL MEDIA</v>
      </c>
      <c r="I169" s="6" t="str" cm="1">
        <f t="array" ref="I169">choice(Referentiel!B:B,1,Settings!$B$16)</f>
        <v>1ère Année Groupe 1 S1</v>
      </c>
      <c r="J169" s="6" t="str" cm="1">
        <f t="array" ref="J169">choice(Referentiel!D:D,1,Settings!$B$16)</f>
        <v>M2</v>
      </c>
      <c r="K169" s="6" t="str" cm="1">
        <f t="array" ref="K169">choice(Professeurs!B:B,1,Settings!$B$16)</f>
        <v>Prof11</v>
      </c>
      <c r="L169" s="5" t="str" cm="1">
        <f t="array" ref="L169">choice(Referentiel!C:C,1,Settings!$B$16)</f>
        <v>ordinateur</v>
      </c>
      <c r="M169" s="5" t="str" cm="1">
        <f t="array" ref="M169">choice(Referentiel!E:E,1,Settings!$B$16)</f>
        <v/>
      </c>
      <c r="N169" s="5" t="str" cm="1">
        <f t="array" ref="N169">choice(Settings!K:K,1,Settings!$B$16)</f>
        <v/>
      </c>
      <c r="P169" s="5">
        <f t="shared" si="12"/>
        <v>3</v>
      </c>
    </row>
    <row r="170" spans="1:16" ht="15.75" customHeight="1" x14ac:dyDescent="0.25">
      <c r="A170" s="6" t="s">
        <v>522</v>
      </c>
      <c r="B170" s="6" cm="1">
        <f t="array" ref="B170">alea_int(Settings!$B$10,1,Settings!$B$16)</f>
        <v>2</v>
      </c>
      <c r="C170" s="8">
        <v>46023</v>
      </c>
      <c r="D170" s="8">
        <f t="shared" si="9"/>
        <v>46387</v>
      </c>
      <c r="E170" s="6" t="str" cm="1">
        <f t="array" ref="E170">choice(Groupes!A:A,1,Settings!$B$16)</f>
        <v>G16</v>
      </c>
      <c r="F170" s="6" t="str">
        <f t="shared" si="10"/>
        <v>G16</v>
      </c>
      <c r="G170" s="6" t="str">
        <f t="shared" si="11"/>
        <v>Prof39</v>
      </c>
      <c r="H170" s="6" t="str" cm="1">
        <f t="array" ref="H170">choice(Referentiel!A:A,1,Settings!$B$16)</f>
        <v>Photo / Vidéo</v>
      </c>
      <c r="I170" s="6" t="str" cm="1">
        <f t="array" ref="I170">choice(Referentiel!B:B,1,Settings!$B$16)</f>
        <v>3ème année Design Vêtement S1</v>
      </c>
      <c r="J170" s="6" t="str" cm="1">
        <f t="array" ref="J170">choice(Referentiel!D:D,1,Settings!$B$16)</f>
        <v>L2</v>
      </c>
      <c r="K170" s="6" t="str" cm="1">
        <f t="array" ref="K170">choice(Professeurs!B:B,1,Settings!$B$16)</f>
        <v>Prof39</v>
      </c>
      <c r="L170" s="5" t="str" cm="1">
        <f t="array" ref="L170">choice(Referentiel!C:C,1,Settings!$B$16)</f>
        <v/>
      </c>
      <c r="M170" s="5" t="str" cm="1">
        <f t="array" ref="M170">choice(Referentiel!E:E,1,Settings!$B$16)</f>
        <v/>
      </c>
      <c r="N170" s="5" t="str" cm="1">
        <f t="array" ref="N170">choice(Settings!K:K,1,Settings!$B$16)</f>
        <v/>
      </c>
      <c r="P170" s="5">
        <f t="shared" si="12"/>
        <v>2</v>
      </c>
    </row>
    <row r="171" spans="1:16" ht="15.75" customHeight="1" x14ac:dyDescent="0.25">
      <c r="A171" s="6" t="s">
        <v>523</v>
      </c>
      <c r="B171" s="6" cm="1">
        <f t="array" ref="B171">alea_int(Settings!$B$10,1,Settings!$B$16)</f>
        <v>1</v>
      </c>
      <c r="C171" s="8">
        <v>46023</v>
      </c>
      <c r="D171" s="8">
        <f t="shared" si="9"/>
        <v>46387</v>
      </c>
      <c r="E171" s="6" t="str" cm="1">
        <f t="array" ref="E171">choice(Groupes!A:A,1,Settings!$B$16)</f>
        <v>G12</v>
      </c>
      <c r="F171" s="6" t="str">
        <f t="shared" si="10"/>
        <v>G12</v>
      </c>
      <c r="G171" s="6" t="str">
        <f t="shared" si="11"/>
        <v>Prof3</v>
      </c>
      <c r="H171" s="6" t="str" cm="1">
        <f t="array" ref="H171">choice(Referentiel!A:A,1,Settings!$B$16)</f>
        <v>Image Imprimée</v>
      </c>
      <c r="I171" s="6" t="str" cm="1">
        <f t="array" ref="I171">choice(Referentiel!B:B,1,Settings!$B$16)</f>
        <v>4ème année Design Objet S2</v>
      </c>
      <c r="J171" s="6" t="str" cm="1">
        <f t="array" ref="J171">choice(Referentiel!D:D,1,Settings!$B$16)</f>
        <v>L3</v>
      </c>
      <c r="K171" s="6" t="str" cm="1">
        <f t="array" ref="K171">choice(Professeurs!B:B,1,Settings!$B$16)</f>
        <v>Prof3</v>
      </c>
      <c r="L171" s="5" t="str" cm="1">
        <f t="array" ref="L171">choice(Referentiel!C:C,1,Settings!$B$16)</f>
        <v/>
      </c>
      <c r="M171" s="5" t="str" cm="1">
        <f t="array" ref="M171">choice(Referentiel!E:E,1,Settings!$B$16)</f>
        <v/>
      </c>
      <c r="N171" s="5" t="str" cm="1">
        <f t="array" ref="N171">choice(Settings!K:K,1,Settings!$B$16)</f>
        <v/>
      </c>
      <c r="P171" s="5">
        <f t="shared" si="12"/>
        <v>1</v>
      </c>
    </row>
    <row r="172" spans="1:16" ht="15.75" customHeight="1" x14ac:dyDescent="0.25">
      <c r="A172" s="6" t="s">
        <v>524</v>
      </c>
      <c r="B172" s="6" cm="1">
        <f t="array" ref="B172">alea_int(Settings!$B$10,1,Settings!$B$16)</f>
        <v>3</v>
      </c>
      <c r="C172" s="8">
        <v>46023</v>
      </c>
      <c r="D172" s="8">
        <f t="shared" si="9"/>
        <v>46387</v>
      </c>
      <c r="E172" s="6" t="str" cm="1">
        <f t="array" ref="E172">choice(Groupes!A:A,1,Settings!$B$16)</f>
        <v>G17</v>
      </c>
      <c r="F172" s="6" t="str">
        <f t="shared" si="10"/>
        <v>G17</v>
      </c>
      <c r="G172" s="6" t="str">
        <f t="shared" si="11"/>
        <v>Prof22</v>
      </c>
      <c r="H172" s="6" t="str" cm="1">
        <f t="array" ref="H172">choice(Referentiel!A:A,1,Settings!$B$16)</f>
        <v>Design des mondes littoraux</v>
      </c>
      <c r="I172" s="6" t="str" cm="1">
        <f t="array" ref="I172">choice(Referentiel!B:B,1,Settings!$B$16)</f>
        <v>3ème année Scénographie S2</v>
      </c>
      <c r="J172" s="6" t="str" cm="1">
        <f t="array" ref="J172">choice(Referentiel!D:D,1,Settings!$B$16)</f>
        <v>L2</v>
      </c>
      <c r="K172" s="6" t="str" cm="1">
        <f t="array" ref="K172">choice(Professeurs!B:B,1,Settings!$B$16)</f>
        <v>Prof22</v>
      </c>
      <c r="L172" s="5" t="str" cm="1">
        <f t="array" ref="L172">choice(Referentiel!C:C,1,Settings!$B$16)</f>
        <v/>
      </c>
      <c r="M172" s="5" t="str" cm="1">
        <f t="array" ref="M172">choice(Referentiel!E:E,1,Settings!$B$16)</f>
        <v/>
      </c>
      <c r="N172" s="5" t="str" cm="1">
        <f t="array" ref="N172">choice(Settings!K:K,1,Settings!$B$16)</f>
        <v>jeudi pm</v>
      </c>
      <c r="P172" s="5">
        <f t="shared" si="12"/>
        <v>5</v>
      </c>
    </row>
    <row r="173" spans="1:16" ht="15.75" customHeight="1" x14ac:dyDescent="0.25">
      <c r="A173" s="6" t="s">
        <v>525</v>
      </c>
      <c r="B173" s="6" cm="1">
        <f t="array" ref="B173">alea_int(Settings!$B$10,1,Settings!$B$16)</f>
        <v>1</v>
      </c>
      <c r="C173" s="8">
        <v>46023</v>
      </c>
      <c r="D173" s="8">
        <f t="shared" si="9"/>
        <v>46387</v>
      </c>
      <c r="E173" s="6" t="str" cm="1">
        <f t="array" ref="E173">choice(Groupes!A:A,1,Settings!$B$16)</f>
        <v>G5</v>
      </c>
      <c r="F173" s="6" t="str">
        <f t="shared" si="10"/>
        <v>G5</v>
      </c>
      <c r="G173" s="6" t="str">
        <f t="shared" si="11"/>
        <v>Prof11</v>
      </c>
      <c r="H173" s="6" t="str" cm="1">
        <f t="array" ref="H173">choice(Referentiel!A:A,1,Settings!$B$16)</f>
        <v>Gr TERRITOIRES</v>
      </c>
      <c r="I173" s="6" t="str" cm="1">
        <f t="array" ref="I173">choice(Referentiel!B:B,1,Settings!$B$16)</f>
        <v>4ème année Scénographie S2</v>
      </c>
      <c r="J173" s="6" t="str" cm="1">
        <f t="array" ref="J173">choice(Referentiel!D:D,1,Settings!$B$16)</f>
        <v>M1</v>
      </c>
      <c r="K173" s="6" t="str" cm="1">
        <f t="array" ref="K173">choice(Professeurs!B:B,1,Settings!$B$16)</f>
        <v>Prof11</v>
      </c>
      <c r="L173" s="5" t="str" cm="1">
        <f t="array" ref="L173">choice(Referentiel!C:C,1,Settings!$B$16)</f>
        <v/>
      </c>
      <c r="M173" s="5" t="str" cm="1">
        <f t="array" ref="M173">choice(Referentiel!E:E,1,Settings!$B$16)</f>
        <v/>
      </c>
      <c r="N173" s="5" t="str" cm="1">
        <f t="array" ref="N173">choice(Settings!K:K,1,Settings!$B$16)</f>
        <v/>
      </c>
      <c r="P173" s="5">
        <f t="shared" si="12"/>
        <v>1</v>
      </c>
    </row>
    <row r="174" spans="1:16" ht="15.75" customHeight="1" x14ac:dyDescent="0.25">
      <c r="A174" s="6" t="s">
        <v>526</v>
      </c>
      <c r="B174" s="6" cm="1">
        <f t="array" ref="B174">alea_int(Settings!$B$10,1,Settings!$B$16)</f>
        <v>2</v>
      </c>
      <c r="C174" s="8">
        <v>46023</v>
      </c>
      <c r="D174" s="8">
        <f t="shared" si="9"/>
        <v>46387</v>
      </c>
      <c r="E174" s="6" t="str" cm="1">
        <f t="array" ref="E174">choice(Groupes!A:A,1,Settings!$B$16)</f>
        <v>G5</v>
      </c>
      <c r="F174" s="6" t="str">
        <f t="shared" si="10"/>
        <v>G5</v>
      </c>
      <c r="G174" s="6" t="str">
        <f t="shared" si="11"/>
        <v>Prof40</v>
      </c>
      <c r="H174" s="6" t="str" cm="1">
        <f t="array" ref="H174">choice(Referentiel!A:A,1,Settings!$B$16)</f>
        <v>1ère année Groupe 3</v>
      </c>
      <c r="I174" s="6" t="str" cm="1">
        <f t="array" ref="I174">choice(Referentiel!B:B,1,Settings!$B$16)</f>
        <v>2ème année Design Graphique S2</v>
      </c>
      <c r="J174" s="6" t="str" cm="1">
        <f t="array" ref="J174">choice(Referentiel!D:D,1,Settings!$B$16)</f>
        <v>L3</v>
      </c>
      <c r="K174" s="6" t="str" cm="1">
        <f t="array" ref="K174">choice(Professeurs!B:B,1,Settings!$B$16)</f>
        <v>Prof40</v>
      </c>
      <c r="L174" s="5" t="str" cm="1">
        <f t="array" ref="L174">choice(Referentiel!C:C,1,Settings!$B$16)</f>
        <v/>
      </c>
      <c r="M174" s="5" t="str" cm="1">
        <f t="array" ref="M174">choice(Referentiel!E:E,1,Settings!$B$16)</f>
        <v>Salle12</v>
      </c>
      <c r="N174" s="5" t="str" cm="1">
        <f t="array" ref="N174">choice(Settings!K:K,1,Settings!$B$16)</f>
        <v/>
      </c>
      <c r="P174" s="5">
        <f t="shared" si="12"/>
        <v>4</v>
      </c>
    </row>
    <row r="175" spans="1:16" ht="15.75" customHeight="1" x14ac:dyDescent="0.25">
      <c r="A175" s="6" t="s">
        <v>527</v>
      </c>
      <c r="B175" s="6" cm="1">
        <f t="array" ref="B175">alea_int(Settings!$B$10,1,Settings!$B$16)</f>
        <v>1</v>
      </c>
      <c r="C175" s="8">
        <v>46023</v>
      </c>
      <c r="D175" s="8">
        <f t="shared" si="9"/>
        <v>46387</v>
      </c>
      <c r="E175" s="6" t="str" cm="1">
        <f t="array" ref="E175">choice(Groupes!A:A,1,Settings!$B$16)</f>
        <v>G8</v>
      </c>
      <c r="F175" s="6" t="str">
        <f t="shared" si="10"/>
        <v>G8</v>
      </c>
      <c r="G175" s="6" t="str">
        <f t="shared" si="11"/>
        <v>Prof10</v>
      </c>
      <c r="H175" s="6" t="str" cm="1">
        <f t="array" ref="H175">choice(Referentiel!A:A,1,Settings!$B$16)</f>
        <v>Design des mondes montagneux</v>
      </c>
      <c r="I175" s="6" t="str" cm="1">
        <f t="array" ref="I175">choice(Referentiel!B:B,1,Settings!$B$16)</f>
        <v>3ème année Design Textile et Matière S1</v>
      </c>
      <c r="J175" s="6" t="str" cm="1">
        <f t="array" ref="J175">choice(Referentiel!D:D,1,Settings!$B$16)</f>
        <v>M2</v>
      </c>
      <c r="K175" s="6" t="str" cm="1">
        <f t="array" ref="K175">choice(Professeurs!B:B,1,Settings!$B$16)</f>
        <v>Prof10</v>
      </c>
      <c r="L175" s="5" t="str" cm="1">
        <f t="array" ref="L175">choice(Referentiel!C:C,1,Settings!$B$16)</f>
        <v>pupitre</v>
      </c>
      <c r="M175" s="5" t="str" cm="1">
        <f t="array" ref="M175">choice(Referentiel!E:E,1,Settings!$B$16)</f>
        <v/>
      </c>
      <c r="N175" s="5" t="str" cm="1">
        <f t="array" ref="N175">choice(Settings!K:K,1,Settings!$B$16)</f>
        <v/>
      </c>
      <c r="P175" s="5">
        <f t="shared" si="12"/>
        <v>1</v>
      </c>
    </row>
    <row r="176" spans="1:16" ht="15.75" customHeight="1" x14ac:dyDescent="0.25">
      <c r="A176" s="6" t="s">
        <v>528</v>
      </c>
      <c r="B176" s="6" cm="1">
        <f t="array" ref="B176">alea_int(Settings!$B$10,1,Settings!$B$16)</f>
        <v>1</v>
      </c>
      <c r="C176" s="8">
        <v>46023</v>
      </c>
      <c r="D176" s="8">
        <f t="shared" si="9"/>
        <v>46387</v>
      </c>
      <c r="E176" s="6" t="str" cm="1">
        <f t="array" ref="E176">choice(Groupes!A:A,1,Settings!$B$16)</f>
        <v>G8</v>
      </c>
      <c r="F176" s="6" t="str">
        <f t="shared" si="10"/>
        <v>G8</v>
      </c>
      <c r="G176" s="6" t="str">
        <f t="shared" si="11"/>
        <v>Prof13</v>
      </c>
      <c r="H176" s="6" t="str" cm="1">
        <f t="array" ref="H176">choice(Referentiel!A:A,1,Settings!$B$16)</f>
        <v>Gr REFLECTIVE INTERACTION</v>
      </c>
      <c r="I176" s="6" t="str" cm="1">
        <f t="array" ref="I176">choice(Referentiel!B:B,1,Settings!$B$16)</f>
        <v>2ème année Cinéma d'Animation S2</v>
      </c>
      <c r="J176" s="6" t="str" cm="1">
        <f t="array" ref="J176">choice(Referentiel!D:D,1,Settings!$B$16)</f>
        <v>M2</v>
      </c>
      <c r="K176" s="6" t="str" cm="1">
        <f t="array" ref="K176">choice(Professeurs!B:B,1,Settings!$B$16)</f>
        <v>Prof13</v>
      </c>
      <c r="L176" s="5" t="str" cm="1">
        <f t="array" ref="L176">choice(Referentiel!C:C,1,Settings!$B$16)</f>
        <v/>
      </c>
      <c r="M176" s="5" t="str" cm="1">
        <f t="array" ref="M176">choice(Referentiel!E:E,1,Settings!$B$16)</f>
        <v/>
      </c>
      <c r="N176" s="5" t="str" cm="1">
        <f t="array" ref="N176">choice(Settings!K:K,1,Settings!$B$16)</f>
        <v/>
      </c>
      <c r="P176" s="5">
        <f t="shared" si="12"/>
        <v>1</v>
      </c>
    </row>
    <row r="177" spans="1:16" ht="15.75" customHeight="1" x14ac:dyDescent="0.25">
      <c r="A177" s="6" t="s">
        <v>529</v>
      </c>
      <c r="B177" s="6" cm="1">
        <f t="array" ref="B177">alea_int(Settings!$B$10,1,Settings!$B$16)</f>
        <v>1</v>
      </c>
      <c r="C177" s="8">
        <v>46023</v>
      </c>
      <c r="D177" s="8">
        <f t="shared" si="9"/>
        <v>46387</v>
      </c>
      <c r="E177" s="6" t="str" cm="1">
        <f t="array" ref="E177">choice(Groupes!A:A,1,Settings!$B$16)</f>
        <v>G1</v>
      </c>
      <c r="F177" s="6" t="str">
        <f t="shared" si="10"/>
        <v>G1</v>
      </c>
      <c r="G177" s="6" t="str">
        <f t="shared" si="11"/>
        <v>Prof26</v>
      </c>
      <c r="H177" s="6" t="str" cm="1">
        <f t="array" ref="H177">choice(Referentiel!A:A,1,Settings!$B$16)</f>
        <v>Image Imprimée</v>
      </c>
      <c r="I177" s="6" t="str" cm="1">
        <f t="array" ref="I177">choice(Referentiel!B:B,1,Settings!$B$16)</f>
        <v>4ème année Photo / Vidéo S2</v>
      </c>
      <c r="J177" s="6" t="str" cm="1">
        <f t="array" ref="J177">choice(Referentiel!D:D,1,Settings!$B$16)</f>
        <v>L3</v>
      </c>
      <c r="K177" s="6" t="str" cm="1">
        <f t="array" ref="K177">choice(Professeurs!B:B,1,Settings!$B$16)</f>
        <v>Prof26</v>
      </c>
      <c r="L177" s="5" t="str" cm="1">
        <f t="array" ref="L177">choice(Referentiel!C:C,1,Settings!$B$16)</f>
        <v/>
      </c>
      <c r="M177" s="5" t="str" cm="1">
        <f t="array" ref="M177">choice(Referentiel!E:E,1,Settings!$B$16)</f>
        <v/>
      </c>
      <c r="N177" s="5" t="str" cm="1">
        <f t="array" ref="N177">choice(Settings!K:K,1,Settings!$B$16)</f>
        <v/>
      </c>
      <c r="P177" s="5">
        <f t="shared" si="12"/>
        <v>1</v>
      </c>
    </row>
    <row r="178" spans="1:16" ht="15.75" customHeight="1" x14ac:dyDescent="0.25">
      <c r="A178" s="6" t="s">
        <v>530</v>
      </c>
      <c r="B178" s="6" cm="1">
        <f t="array" ref="B178">alea_int(Settings!$B$10,1,Settings!$B$16)</f>
        <v>2</v>
      </c>
      <c r="C178" s="8">
        <v>46023</v>
      </c>
      <c r="D178" s="8">
        <f t="shared" si="9"/>
        <v>46387</v>
      </c>
      <c r="E178" s="6" t="str" cm="1">
        <f t="array" ref="E178">choice(Groupes!A:A,1,Settings!$B$16)</f>
        <v>G28</v>
      </c>
      <c r="F178" s="6" t="str">
        <f t="shared" si="10"/>
        <v>G28</v>
      </c>
      <c r="G178" s="6" t="str">
        <f t="shared" si="11"/>
        <v>Prof18</v>
      </c>
      <c r="H178" s="6" t="str" cm="1">
        <f t="array" ref="H178">choice(Referentiel!A:A,1,Settings!$B$16)</f>
        <v>1ère année Groupe 2</v>
      </c>
      <c r="I178" s="6" t="str" cm="1">
        <f t="array" ref="I178">choice(Referentiel!B:B,1,Settings!$B$16)</f>
        <v>5ème année Art-Espace S2</v>
      </c>
      <c r="J178" s="6" t="str" cm="1">
        <f t="array" ref="J178">choice(Referentiel!D:D,1,Settings!$B$16)</f>
        <v>M2</v>
      </c>
      <c r="K178" s="6" t="str" cm="1">
        <f t="array" ref="K178">choice(Professeurs!B:B,1,Settings!$B$16)</f>
        <v>Prof18</v>
      </c>
      <c r="L178" s="5" t="str" cm="1">
        <f t="array" ref="L178">choice(Referentiel!C:C,1,Settings!$B$16)</f>
        <v/>
      </c>
      <c r="M178" s="5" t="str" cm="1">
        <f t="array" ref="M178">choice(Referentiel!E:E,1,Settings!$B$16)</f>
        <v/>
      </c>
      <c r="N178" s="5" t="str" cm="1">
        <f t="array" ref="N178">choice(Settings!K:K,1,Settings!$B$16)</f>
        <v>vendredi pm</v>
      </c>
      <c r="P178" s="5">
        <f t="shared" si="12"/>
        <v>4</v>
      </c>
    </row>
    <row r="179" spans="1:16" ht="15.75" customHeight="1" x14ac:dyDescent="0.25">
      <c r="A179" s="6" t="s">
        <v>531</v>
      </c>
      <c r="B179" s="6" cm="1">
        <f t="array" ref="B179">alea_int(Settings!$B$10,1,Settings!$B$16)</f>
        <v>1</v>
      </c>
      <c r="C179" s="8">
        <v>46023</v>
      </c>
      <c r="D179" s="8">
        <f t="shared" si="9"/>
        <v>46387</v>
      </c>
      <c r="E179" s="6" t="str" cm="1">
        <f t="array" ref="E179">choice(Groupes!A:A,1,Settings!$B$16)</f>
        <v>G21</v>
      </c>
      <c r="F179" s="6" t="str">
        <f t="shared" si="10"/>
        <v>G21</v>
      </c>
      <c r="G179" s="6" t="str">
        <f t="shared" si="11"/>
        <v>Prof44</v>
      </c>
      <c r="H179" s="6" t="str" cm="1">
        <f t="array" ref="H179">choice(Referentiel!A:A,1,Settings!$B$16)</f>
        <v>Mode et Matière</v>
      </c>
      <c r="I179" s="6" t="str" cm="1">
        <f t="array" ref="I179">choice(Referentiel!B:B,1,Settings!$B$16)</f>
        <v>1ère Année Groupe 4 S1</v>
      </c>
      <c r="J179" s="6" t="str" cm="1">
        <f t="array" ref="J179">choice(Referentiel!D:D,1,Settings!$B$16)</f>
        <v>M2</v>
      </c>
      <c r="K179" s="6" t="str" cm="1">
        <f t="array" ref="K179">choice(Professeurs!B:B,1,Settings!$B$16)</f>
        <v>Prof44</v>
      </c>
      <c r="L179" s="5" t="str" cm="1">
        <f t="array" ref="L179">choice(Referentiel!C:C,1,Settings!$B$16)</f>
        <v/>
      </c>
      <c r="M179" s="5" t="str" cm="1">
        <f t="array" ref="M179">choice(Referentiel!E:E,1,Settings!$B$16)</f>
        <v/>
      </c>
      <c r="N179" s="5" t="str" cm="1">
        <f t="array" ref="N179">choice(Settings!K:K,1,Settings!$B$16)</f>
        <v>lundi am</v>
      </c>
      <c r="P179" s="5">
        <f t="shared" si="12"/>
        <v>3</v>
      </c>
    </row>
    <row r="180" spans="1:16" ht="15.75" customHeight="1" x14ac:dyDescent="0.25">
      <c r="A180" s="6" t="s">
        <v>532</v>
      </c>
      <c r="B180" s="6" cm="1">
        <f t="array" ref="B180">alea_int(Settings!$B$10,1,Settings!$B$16)</f>
        <v>1</v>
      </c>
      <c r="C180" s="8">
        <v>46023</v>
      </c>
      <c r="D180" s="8">
        <f t="shared" si="9"/>
        <v>46387</v>
      </c>
      <c r="E180" s="6" t="str" cm="1">
        <f t="array" ref="E180">choice(Groupes!A:A,1,Settings!$B$16)</f>
        <v>G21</v>
      </c>
      <c r="F180" s="6" t="str">
        <f t="shared" si="10"/>
        <v>G21</v>
      </c>
      <c r="G180" s="6" t="str">
        <f t="shared" si="11"/>
        <v>Prof19</v>
      </c>
      <c r="H180" s="6" t="str" cm="1">
        <f t="array" ref="H180">choice(Referentiel!A:A,1,Settings!$B$16)</f>
        <v>Gr SYMBIOSE</v>
      </c>
      <c r="I180" s="6" t="str" cm="1">
        <f t="array" ref="I180">choice(Referentiel!B:B,1,Settings!$B$16)</f>
        <v>4ème année Scénographie S1</v>
      </c>
      <c r="J180" s="6" t="str" cm="1">
        <f t="array" ref="J180">choice(Referentiel!D:D,1,Settings!$B$16)</f>
        <v>M1</v>
      </c>
      <c r="K180" s="6" t="str" cm="1">
        <f t="array" ref="K180">choice(Professeurs!B:B,1,Settings!$B$16)</f>
        <v>Prof19</v>
      </c>
      <c r="L180" s="5" t="str" cm="1">
        <f t="array" ref="L180">choice(Referentiel!C:C,1,Settings!$B$16)</f>
        <v/>
      </c>
      <c r="M180" s="5" t="str" cm="1">
        <f t="array" ref="M180">choice(Referentiel!E:E,1,Settings!$B$16)</f>
        <v/>
      </c>
      <c r="N180" s="5" t="str" cm="1">
        <f t="array" ref="N180">choice(Settings!K:K,1,Settings!$B$16)</f>
        <v/>
      </c>
      <c r="P180" s="5">
        <f t="shared" si="12"/>
        <v>1</v>
      </c>
    </row>
    <row r="181" spans="1:16" ht="15.75" customHeight="1" x14ac:dyDescent="0.25">
      <c r="A181" s="6" t="s">
        <v>533</v>
      </c>
      <c r="B181" s="6" cm="1">
        <f t="array" ref="B181">alea_int(Settings!$B$10,1,Settings!$B$16)</f>
        <v>2</v>
      </c>
      <c r="C181" s="8">
        <v>46023</v>
      </c>
      <c r="D181" s="8">
        <f t="shared" si="9"/>
        <v>46387</v>
      </c>
      <c r="E181" s="6" t="str" cm="1">
        <f t="array" ref="E181">choice(Groupes!A:A,1,Settings!$B$16)</f>
        <v>G10</v>
      </c>
      <c r="F181" s="6" t="str">
        <f t="shared" si="10"/>
        <v>G10</v>
      </c>
      <c r="G181" s="6" t="str">
        <f t="shared" si="11"/>
        <v>Prof28</v>
      </c>
      <c r="H181" s="6" t="str" cm="1">
        <f t="array" ref="H181">choice(Referentiel!A:A,1,Settings!$B$16)</f>
        <v>Gr ART, DESIGN, SOCIETE</v>
      </c>
      <c r="I181" s="6" t="str" cm="1">
        <f t="array" ref="I181">choice(Referentiel!B:B,1,Settings!$B$16)</f>
        <v>3ème année Art-Espace S1</v>
      </c>
      <c r="J181" s="6" t="str" cm="1">
        <f t="array" ref="J181">choice(Referentiel!D:D,1,Settings!$B$16)</f>
        <v>M2</v>
      </c>
      <c r="K181" s="6" t="str" cm="1">
        <f t="array" ref="K181">choice(Professeurs!B:B,1,Settings!$B$16)</f>
        <v>Prof28</v>
      </c>
      <c r="L181" s="5" t="str" cm="1">
        <f t="array" ref="L181">choice(Referentiel!C:C,1,Settings!$B$16)</f>
        <v/>
      </c>
      <c r="M181" s="5" t="str" cm="1">
        <f t="array" ref="M181">choice(Referentiel!E:E,1,Settings!$B$16)</f>
        <v/>
      </c>
      <c r="N181" s="5" t="str" cm="1">
        <f t="array" ref="N181">choice(Settings!K:K,1,Settings!$B$16)</f>
        <v/>
      </c>
      <c r="P181" s="5">
        <f t="shared" si="12"/>
        <v>2</v>
      </c>
    </row>
    <row r="182" spans="1:16" ht="15.75" customHeight="1" x14ac:dyDescent="0.25">
      <c r="A182" s="6" t="s">
        <v>534</v>
      </c>
      <c r="B182" s="6" cm="1">
        <f t="array" ref="B182">alea_int(Settings!$B$10,1,Settings!$B$16)</f>
        <v>3</v>
      </c>
      <c r="C182" s="8">
        <v>46023</v>
      </c>
      <c r="D182" s="8">
        <f t="shared" si="9"/>
        <v>46387</v>
      </c>
      <c r="E182" s="6" t="str" cm="1">
        <f t="array" ref="E182">choice(Groupes!A:A,1,Settings!$B$16)</f>
        <v>G14</v>
      </c>
      <c r="F182" s="6" t="str">
        <f t="shared" si="10"/>
        <v>G14</v>
      </c>
      <c r="G182" s="6" t="str">
        <f t="shared" si="11"/>
        <v>Prof47</v>
      </c>
      <c r="H182" s="6" t="str" cm="1">
        <f t="array" ref="H182">choice(Referentiel!A:A,1,Settings!$B$16)</f>
        <v>1ère année Groupe 3</v>
      </c>
      <c r="I182" s="6" t="str" cm="1">
        <f t="array" ref="I182">choice(Referentiel!B:B,1,Settings!$B$16)</f>
        <v>4ème année Art-Espace S2</v>
      </c>
      <c r="J182" s="6" t="str" cm="1">
        <f t="array" ref="J182">choice(Referentiel!D:D,1,Settings!$B$16)</f>
        <v>M2</v>
      </c>
      <c r="K182" s="6" t="str" cm="1">
        <f t="array" ref="K182">choice(Professeurs!B:B,1,Settings!$B$16)</f>
        <v>Prof47</v>
      </c>
      <c r="L182" s="5" t="str" cm="1">
        <f t="array" ref="L182">choice(Referentiel!C:C,1,Settings!$B$16)</f>
        <v/>
      </c>
      <c r="M182" s="5" t="str" cm="1">
        <f t="array" ref="M182">choice(Referentiel!E:E,1,Settings!$B$16)</f>
        <v/>
      </c>
      <c r="N182" s="5" t="str" cm="1">
        <f t="array" ref="N182">choice(Settings!K:K,1,Settings!$B$16)</f>
        <v/>
      </c>
      <c r="P182" s="5">
        <f t="shared" si="12"/>
        <v>3</v>
      </c>
    </row>
    <row r="183" spans="1:16" ht="15.75" customHeight="1" x14ac:dyDescent="0.25">
      <c r="A183" s="6" t="s">
        <v>535</v>
      </c>
      <c r="B183" s="6" cm="1">
        <f t="array" ref="B183">alea_int(Settings!$B$10,1,Settings!$B$16)</f>
        <v>2</v>
      </c>
      <c r="C183" s="8">
        <v>46023</v>
      </c>
      <c r="D183" s="8">
        <f t="shared" si="9"/>
        <v>46387</v>
      </c>
      <c r="E183" s="6" t="str" cm="1">
        <f t="array" ref="E183">choice(Groupes!A:A,1,Settings!$B$16)</f>
        <v>G23</v>
      </c>
      <c r="F183" s="6" t="str">
        <f t="shared" si="10"/>
        <v>G23</v>
      </c>
      <c r="G183" s="6" t="str">
        <f t="shared" si="11"/>
        <v>Prof22</v>
      </c>
      <c r="H183" s="6" t="str" cm="1">
        <f t="array" ref="H183">choice(Referentiel!A:A,1,Settings!$B$16)</f>
        <v>Design des mondes insulaires</v>
      </c>
      <c r="I183" s="6" t="str" cm="1">
        <f t="array" ref="I183">choice(Referentiel!B:B,1,Settings!$B$16)</f>
        <v>2ème année Photo / Vidéo S1</v>
      </c>
      <c r="J183" s="6" t="str" cm="1">
        <f t="array" ref="J183">choice(Referentiel!D:D,1,Settings!$B$16)</f>
        <v>L1</v>
      </c>
      <c r="K183" s="6" t="str" cm="1">
        <f t="array" ref="K183">choice(Professeurs!B:B,1,Settings!$B$16)</f>
        <v>Prof22</v>
      </c>
      <c r="L183" s="5" t="str" cm="1">
        <f t="array" ref="L183">choice(Referentiel!C:C,1,Settings!$B$16)</f>
        <v/>
      </c>
      <c r="M183" s="5" t="str" cm="1">
        <f t="array" ref="M183">choice(Referentiel!E:E,1,Settings!$B$16)</f>
        <v/>
      </c>
      <c r="N183" s="5" t="str" cm="1">
        <f t="array" ref="N183">choice(Settings!K:K,1,Settings!$B$16)</f>
        <v>jeudi pm</v>
      </c>
      <c r="P183" s="5">
        <f t="shared" si="12"/>
        <v>4</v>
      </c>
    </row>
    <row r="184" spans="1:16" ht="15.75" customHeight="1" x14ac:dyDescent="0.25">
      <c r="A184" s="6" t="s">
        <v>536</v>
      </c>
      <c r="B184" s="6" cm="1">
        <f t="array" ref="B184">alea_int(Settings!$B$10,1,Settings!$B$16)</f>
        <v>3</v>
      </c>
      <c r="C184" s="8">
        <v>46023</v>
      </c>
      <c r="D184" s="8">
        <f t="shared" si="9"/>
        <v>46387</v>
      </c>
      <c r="E184" s="6" t="str" cm="1">
        <f t="array" ref="E184">choice(Groupes!A:A,1,Settings!$B$16)</f>
        <v>G22</v>
      </c>
      <c r="F184" s="6" t="str">
        <f t="shared" si="10"/>
        <v>G22</v>
      </c>
      <c r="G184" s="6" t="str">
        <f t="shared" si="11"/>
        <v>Prof3</v>
      </c>
      <c r="H184" s="6" t="str" cm="1">
        <f t="array" ref="H184">choice(Referentiel!A:A,1,Settings!$B$16)</f>
        <v>Gr SYMBIOSE</v>
      </c>
      <c r="I184" s="6" t="str" cm="1">
        <f t="array" ref="I184">choice(Referentiel!B:B,1,Settings!$B$16)</f>
        <v>5ème année Design Objet S1</v>
      </c>
      <c r="J184" s="6" t="str" cm="1">
        <f t="array" ref="J184">choice(Referentiel!D:D,1,Settings!$B$16)</f>
        <v>L1</v>
      </c>
      <c r="K184" s="6" t="str" cm="1">
        <f t="array" ref="K184">choice(Professeurs!B:B,1,Settings!$B$16)</f>
        <v>Prof3</v>
      </c>
      <c r="L184" s="5" t="str" cm="1">
        <f t="array" ref="L184">choice(Referentiel!C:C,1,Settings!$B$16)</f>
        <v/>
      </c>
      <c r="M184" s="5" t="str" cm="1">
        <f t="array" ref="M184">choice(Referentiel!E:E,1,Settings!$B$16)</f>
        <v>Salle2</v>
      </c>
      <c r="N184" s="5" t="str" cm="1">
        <f t="array" ref="N184">choice(Settings!K:K,1,Settings!$B$16)</f>
        <v/>
      </c>
      <c r="P184" s="5">
        <f t="shared" si="12"/>
        <v>5</v>
      </c>
    </row>
    <row r="185" spans="1:16" ht="15.75" customHeight="1" x14ac:dyDescent="0.25">
      <c r="A185" s="6" t="s">
        <v>537</v>
      </c>
      <c r="B185" s="6" cm="1">
        <f t="array" ref="B185">alea_int(Settings!$B$10,1,Settings!$B$16)</f>
        <v>1</v>
      </c>
      <c r="C185" s="8">
        <v>46023</v>
      </c>
      <c r="D185" s="8">
        <f t="shared" si="9"/>
        <v>46387</v>
      </c>
      <c r="E185" s="6" t="str" cm="1">
        <f t="array" ref="E185">choice(Groupes!A:A,1,Settings!$B$16)</f>
        <v>G12</v>
      </c>
      <c r="F185" s="6" t="str">
        <f t="shared" si="10"/>
        <v>G12</v>
      </c>
      <c r="G185" s="6" t="str">
        <f t="shared" si="11"/>
        <v>Prof7</v>
      </c>
      <c r="H185" s="6" t="str" cm="1">
        <f t="array" ref="H185">choice(Referentiel!A:A,1,Settings!$B$16)</f>
        <v>1ère année Groupe 2</v>
      </c>
      <c r="I185" s="6" t="str" cm="1">
        <f t="array" ref="I185">choice(Referentiel!B:B,1,Settings!$B$16)</f>
        <v>3ème année Image Imprimée S1</v>
      </c>
      <c r="J185" s="6" t="str" cm="1">
        <f t="array" ref="J185">choice(Referentiel!D:D,1,Settings!$B$16)</f>
        <v>L3</v>
      </c>
      <c r="K185" s="6" t="str" cm="1">
        <f t="array" ref="K185">choice(Professeurs!B:B,1,Settings!$B$16)</f>
        <v>Prof7</v>
      </c>
      <c r="L185" s="5" t="str" cm="1">
        <f t="array" ref="L185">choice(Referentiel!C:C,1,Settings!$B$16)</f>
        <v/>
      </c>
      <c r="M185" s="5" t="str" cm="1">
        <f t="array" ref="M185">choice(Referentiel!E:E,1,Settings!$B$16)</f>
        <v/>
      </c>
      <c r="N185" s="5" t="str" cm="1">
        <f t="array" ref="N185">choice(Settings!K:K,1,Settings!$B$16)</f>
        <v/>
      </c>
      <c r="P185" s="5">
        <f t="shared" si="12"/>
        <v>1</v>
      </c>
    </row>
    <row r="186" spans="1:16" ht="15.75" customHeight="1" x14ac:dyDescent="0.25">
      <c r="A186" s="6" t="s">
        <v>538</v>
      </c>
      <c r="B186" s="6" cm="1">
        <f t="array" ref="B186">alea_int(Settings!$B$10,1,Settings!$B$16)</f>
        <v>3</v>
      </c>
      <c r="C186" s="8">
        <v>46023</v>
      </c>
      <c r="D186" s="8">
        <f t="shared" si="9"/>
        <v>46387</v>
      </c>
      <c r="E186" s="6" t="str" cm="1">
        <f t="array" ref="E186">choice(Groupes!A:A,1,Settings!$B$16)</f>
        <v>G22</v>
      </c>
      <c r="F186" s="6" t="str">
        <f t="shared" si="10"/>
        <v>G22</v>
      </c>
      <c r="G186" s="6" t="str">
        <f t="shared" si="11"/>
        <v>Prof25</v>
      </c>
      <c r="H186" s="6" t="str" cm="1">
        <f t="array" ref="H186">choice(Referentiel!A:A,1,Settings!$B$16)</f>
        <v>Art-Espace</v>
      </c>
      <c r="I186" s="6" t="str" cm="1">
        <f t="array" ref="I186">choice(Referentiel!B:B,1,Settings!$B$16)</f>
        <v>4ème année Scénographie S1</v>
      </c>
      <c r="J186" s="6" t="str" cm="1">
        <f t="array" ref="J186">choice(Referentiel!D:D,1,Settings!$B$16)</f>
        <v>L3</v>
      </c>
      <c r="K186" s="6" t="str" cm="1">
        <f t="array" ref="K186">choice(Professeurs!B:B,1,Settings!$B$16)</f>
        <v>Prof25</v>
      </c>
      <c r="L186" s="5" t="str" cm="1">
        <f t="array" ref="L186">choice(Referentiel!C:C,1,Settings!$B$16)</f>
        <v/>
      </c>
      <c r="M186" s="5" t="str" cm="1">
        <f t="array" ref="M186">choice(Referentiel!E:E,1,Settings!$B$16)</f>
        <v/>
      </c>
      <c r="N186" s="5" t="str" cm="1">
        <f t="array" ref="N186">choice(Settings!K:K,1,Settings!$B$16)</f>
        <v/>
      </c>
      <c r="P186" s="5">
        <f t="shared" si="12"/>
        <v>3</v>
      </c>
    </row>
    <row r="187" spans="1:16" ht="15.75" customHeight="1" x14ac:dyDescent="0.25">
      <c r="A187" s="6" t="s">
        <v>539</v>
      </c>
      <c r="B187" s="6" cm="1">
        <f t="array" ref="B187">alea_int(Settings!$B$10,1,Settings!$B$16)</f>
        <v>2</v>
      </c>
      <c r="C187" s="8">
        <v>46023</v>
      </c>
      <c r="D187" s="8">
        <f t="shared" si="9"/>
        <v>46387</v>
      </c>
      <c r="E187" s="6" t="str" cm="1">
        <f t="array" ref="E187">choice(Groupes!A:A,1,Settings!$B$16)</f>
        <v>G22</v>
      </c>
      <c r="F187" s="6" t="str">
        <f t="shared" si="10"/>
        <v>G22</v>
      </c>
      <c r="G187" s="6" t="str">
        <f t="shared" si="11"/>
        <v>Prof51</v>
      </c>
      <c r="H187" s="6" t="str" cm="1">
        <f t="array" ref="H187">choice(Referentiel!A:A,1,Settings!$B$16)</f>
        <v>1ère année Groupe 3</v>
      </c>
      <c r="I187" s="6" t="str" cm="1">
        <f t="array" ref="I187">choice(Referentiel!B:B,1,Settings!$B$16)</f>
        <v>5ème année Design Vêtement S2</v>
      </c>
      <c r="J187" s="6" t="str" cm="1">
        <f t="array" ref="J187">choice(Referentiel!D:D,1,Settings!$B$16)</f>
        <v>L3</v>
      </c>
      <c r="K187" s="6" t="str" cm="1">
        <f t="array" ref="K187">choice(Professeurs!B:B,1,Settings!$B$16)</f>
        <v>Prof51</v>
      </c>
      <c r="L187" s="5" t="str" cm="1">
        <f t="array" ref="L187">choice(Referentiel!C:C,1,Settings!$B$16)</f>
        <v/>
      </c>
      <c r="M187" s="5" t="str" cm="1">
        <f t="array" ref="M187">choice(Referentiel!E:E,1,Settings!$B$16)</f>
        <v/>
      </c>
      <c r="N187" s="5" t="str" cm="1">
        <f t="array" ref="N187">choice(Settings!K:K,1,Settings!$B$16)</f>
        <v/>
      </c>
      <c r="P187" s="5">
        <f t="shared" si="12"/>
        <v>2</v>
      </c>
    </row>
    <row r="188" spans="1:16" ht="15.75" customHeight="1" x14ac:dyDescent="0.25">
      <c r="A188" s="6" t="s">
        <v>540</v>
      </c>
      <c r="B188" s="6" cm="1">
        <f t="array" ref="B188">alea_int(Settings!$B$10,1,Settings!$B$16)</f>
        <v>1</v>
      </c>
      <c r="C188" s="8">
        <v>46023</v>
      </c>
      <c r="D188" s="8">
        <f t="shared" si="9"/>
        <v>46387</v>
      </c>
      <c r="E188" s="6" t="str" cm="1">
        <f t="array" ref="E188">choice(Groupes!A:A,1,Settings!$B$16)</f>
        <v>G11</v>
      </c>
      <c r="F188" s="6" t="str">
        <f t="shared" si="10"/>
        <v>G11</v>
      </c>
      <c r="G188" s="6" t="str">
        <f t="shared" si="11"/>
        <v>Prof53</v>
      </c>
      <c r="H188" s="6" t="str" cm="1">
        <f t="array" ref="H188">choice(Referentiel!A:A,1,Settings!$B$16)</f>
        <v>1ère année Groupe 2</v>
      </c>
      <c r="I188" s="6" t="str" cm="1">
        <f t="array" ref="I188">choice(Referentiel!B:B,1,Settings!$B$16)</f>
        <v>2ème année Architecture Intérieure S2</v>
      </c>
      <c r="J188" s="6" t="str" cm="1">
        <f t="array" ref="J188">choice(Referentiel!D:D,1,Settings!$B$16)</f>
        <v>L2</v>
      </c>
      <c r="K188" s="6" t="str" cm="1">
        <f t="array" ref="K188">choice(Professeurs!B:B,1,Settings!$B$16)</f>
        <v>Prof53</v>
      </c>
      <c r="L188" s="5" t="str" cm="1">
        <f t="array" ref="L188">choice(Referentiel!C:C,1,Settings!$B$16)</f>
        <v/>
      </c>
      <c r="M188" s="5" t="str" cm="1">
        <f t="array" ref="M188">choice(Referentiel!E:E,1,Settings!$B$16)</f>
        <v/>
      </c>
      <c r="N188" s="5" t="str" cm="1">
        <f t="array" ref="N188">choice(Settings!K:K,1,Settings!$B$16)</f>
        <v/>
      </c>
      <c r="P188" s="5">
        <f t="shared" si="12"/>
        <v>1</v>
      </c>
    </row>
    <row r="189" spans="1:16" ht="15.75" customHeight="1" x14ac:dyDescent="0.25">
      <c r="A189" s="6" t="s">
        <v>541</v>
      </c>
      <c r="B189" s="6" cm="1">
        <f t="array" ref="B189">alea_int(Settings!$B$10,1,Settings!$B$16)</f>
        <v>3</v>
      </c>
      <c r="C189" s="8">
        <v>46023</v>
      </c>
      <c r="D189" s="8">
        <f t="shared" si="9"/>
        <v>46387</v>
      </c>
      <c r="E189" s="6" t="str" cm="1">
        <f t="array" ref="E189">choice(Groupes!A:A,1,Settings!$B$16)</f>
        <v>G30</v>
      </c>
      <c r="F189" s="6" t="str">
        <f t="shared" si="10"/>
        <v>G30</v>
      </c>
      <c r="G189" s="6" t="str">
        <f t="shared" si="11"/>
        <v>Prof9</v>
      </c>
      <c r="H189" s="6" t="str" cm="1">
        <f t="array" ref="H189">choice(Referentiel!A:A,1,Settings!$B$16)</f>
        <v>1ère année Groupe 3</v>
      </c>
      <c r="I189" s="6" t="str" cm="1">
        <f t="array" ref="I189">choice(Referentiel!B:B,1,Settings!$B$16)</f>
        <v>3ème année Architecture Intérieure S2</v>
      </c>
      <c r="J189" s="6" t="str" cm="1">
        <f t="array" ref="J189">choice(Referentiel!D:D,1,Settings!$B$16)</f>
        <v>L3</v>
      </c>
      <c r="K189" s="6" t="str" cm="1">
        <f t="array" ref="K189">choice(Professeurs!B:B,1,Settings!$B$16)</f>
        <v>Prof9</v>
      </c>
      <c r="L189" s="5" t="str" cm="1">
        <f t="array" ref="L189">choice(Referentiel!C:C,1,Settings!$B$16)</f>
        <v/>
      </c>
      <c r="M189" s="5" t="str" cm="1">
        <f t="array" ref="M189">choice(Referentiel!E:E,1,Settings!$B$16)</f>
        <v/>
      </c>
      <c r="N189" s="5" t="str" cm="1">
        <f t="array" ref="N189">choice(Settings!K:K,1,Settings!$B$16)</f>
        <v>lundi pm</v>
      </c>
      <c r="P189" s="5">
        <f t="shared" si="12"/>
        <v>5</v>
      </c>
    </row>
    <row r="190" spans="1:16" ht="15.75" customHeight="1" x14ac:dyDescent="0.25">
      <c r="A190" s="6" t="s">
        <v>542</v>
      </c>
      <c r="B190" s="6" cm="1">
        <f t="array" ref="B190">alea_int(Settings!$B$10,1,Settings!$B$16)</f>
        <v>3</v>
      </c>
      <c r="C190" s="8">
        <v>46023</v>
      </c>
      <c r="D190" s="8">
        <f t="shared" si="9"/>
        <v>46387</v>
      </c>
      <c r="E190" s="6" t="str" cm="1">
        <f t="array" ref="E190">choice(Groupes!A:A,1,Settings!$B$16)</f>
        <v>G20</v>
      </c>
      <c r="F190" s="6" t="str">
        <f t="shared" si="10"/>
        <v>G20</v>
      </c>
      <c r="G190" s="6" t="str">
        <f t="shared" si="11"/>
        <v>Prof27</v>
      </c>
      <c r="H190" s="6" t="str" cm="1">
        <f t="array" ref="H190">choice(Referentiel!A:A,1,Settings!$B$16)</f>
        <v>Architecture Intérieure</v>
      </c>
      <c r="I190" s="6" t="str" cm="1">
        <f t="array" ref="I190">choice(Referentiel!B:B,1,Settings!$B$16)</f>
        <v>5ème année Image Imprimée S2</v>
      </c>
      <c r="J190" s="6" t="str" cm="1">
        <f t="array" ref="J190">choice(Referentiel!D:D,1,Settings!$B$16)</f>
        <v>M1</v>
      </c>
      <c r="K190" s="6" t="str" cm="1">
        <f t="array" ref="K190">choice(Professeurs!B:B,1,Settings!$B$16)</f>
        <v>Prof27</v>
      </c>
      <c r="L190" s="5" t="str" cm="1">
        <f t="array" ref="L190">choice(Referentiel!C:C,1,Settings!$B$16)</f>
        <v/>
      </c>
      <c r="M190" s="5" t="str" cm="1">
        <f t="array" ref="M190">choice(Referentiel!E:E,1,Settings!$B$16)</f>
        <v/>
      </c>
      <c r="N190" s="5" t="str" cm="1">
        <f t="array" ref="N190">choice(Settings!K:K,1,Settings!$B$16)</f>
        <v/>
      </c>
      <c r="P190" s="5">
        <f t="shared" si="12"/>
        <v>3</v>
      </c>
    </row>
    <row r="191" spans="1:16" ht="15.75" customHeight="1" x14ac:dyDescent="0.25">
      <c r="A191" s="6" t="s">
        <v>543</v>
      </c>
      <c r="B191" s="6" cm="1">
        <f t="array" ref="B191">alea_int(Settings!$B$10,1,Settings!$B$16)</f>
        <v>1</v>
      </c>
      <c r="C191" s="8">
        <v>46023</v>
      </c>
      <c r="D191" s="8">
        <f t="shared" si="9"/>
        <v>46387</v>
      </c>
      <c r="E191" s="6" t="str" cm="1">
        <f t="array" ref="E191">choice(Groupes!A:A,1,Settings!$B$16)</f>
        <v>G11</v>
      </c>
      <c r="F191" s="6" t="str">
        <f t="shared" si="10"/>
        <v>G11</v>
      </c>
      <c r="G191" s="6" t="str">
        <f t="shared" si="11"/>
        <v>Prof4</v>
      </c>
      <c r="H191" s="6" t="str" cm="1">
        <f t="array" ref="H191">choice(Referentiel!A:A,1,Settings!$B$16)</f>
        <v>1ère année Groupe 3</v>
      </c>
      <c r="I191" s="6" t="str" cm="1">
        <f t="array" ref="I191">choice(Referentiel!B:B,1,Settings!$B$16)</f>
        <v>2ème année Image Imprimée S1</v>
      </c>
      <c r="J191" s="6" t="str" cm="1">
        <f t="array" ref="J191">choice(Referentiel!D:D,1,Settings!$B$16)</f>
        <v>M2</v>
      </c>
      <c r="K191" s="6" t="str" cm="1">
        <f t="array" ref="K191">choice(Professeurs!B:B,1,Settings!$B$16)</f>
        <v>Prof4</v>
      </c>
      <c r="L191" s="5" t="str" cm="1">
        <f t="array" ref="L191">choice(Referentiel!C:C,1,Settings!$B$16)</f>
        <v/>
      </c>
      <c r="M191" s="5" t="str" cm="1">
        <f t="array" ref="M191">choice(Referentiel!E:E,1,Settings!$B$16)</f>
        <v/>
      </c>
      <c r="N191" s="5" t="str" cm="1">
        <f t="array" ref="N191">choice(Settings!K:K,1,Settings!$B$16)</f>
        <v/>
      </c>
      <c r="P191" s="5">
        <f t="shared" si="12"/>
        <v>1</v>
      </c>
    </row>
    <row r="192" spans="1:16" ht="15.75" customHeight="1" x14ac:dyDescent="0.25">
      <c r="A192" s="6" t="s">
        <v>544</v>
      </c>
      <c r="B192" s="6" cm="1">
        <f t="array" ref="B192">alea_int(Settings!$B$10,1,Settings!$B$16)</f>
        <v>3</v>
      </c>
      <c r="C192" s="8">
        <v>46023</v>
      </c>
      <c r="D192" s="8">
        <f t="shared" si="9"/>
        <v>46387</v>
      </c>
      <c r="E192" s="6" t="str" cm="1">
        <f t="array" ref="E192">choice(Groupes!A:A,1,Settings!$B$16)</f>
        <v>G24</v>
      </c>
      <c r="F192" s="6" t="str">
        <f t="shared" si="10"/>
        <v>G24</v>
      </c>
      <c r="G192" s="6" t="str">
        <f t="shared" si="11"/>
        <v>Prof7</v>
      </c>
      <c r="H192" s="6" t="str" cm="1">
        <f t="array" ref="H192">choice(Referentiel!A:A,1,Settings!$B$16)</f>
        <v>Design des mondes forestiers</v>
      </c>
      <c r="I192" s="6" t="str" cm="1">
        <f t="array" ref="I192">choice(Referentiel!B:B,1,Settings!$B$16)</f>
        <v>5ème année Art-Espace S1</v>
      </c>
      <c r="J192" s="6" t="str" cm="1">
        <f t="array" ref="J192">choice(Referentiel!D:D,1,Settings!$B$16)</f>
        <v>M2</v>
      </c>
      <c r="K192" s="6" t="str" cm="1">
        <f t="array" ref="K192">choice(Professeurs!B:B,1,Settings!$B$16)</f>
        <v>Prof7</v>
      </c>
      <c r="L192" s="5" t="str" cm="1">
        <f t="array" ref="L192">choice(Referentiel!C:C,1,Settings!$B$16)</f>
        <v/>
      </c>
      <c r="M192" s="5" t="str" cm="1">
        <f t="array" ref="M192">choice(Referentiel!E:E,1,Settings!$B$16)</f>
        <v/>
      </c>
      <c r="N192" s="5" t="str" cm="1">
        <f t="array" ref="N192">choice(Settings!K:K,1,Settings!$B$16)</f>
        <v/>
      </c>
      <c r="P192" s="5">
        <f t="shared" si="12"/>
        <v>3</v>
      </c>
    </row>
    <row r="193" spans="1:16" ht="15.75" customHeight="1" x14ac:dyDescent="0.25">
      <c r="A193" s="6" t="s">
        <v>545</v>
      </c>
      <c r="B193" s="6" cm="1">
        <f t="array" ref="B193">alea_int(Settings!$B$10,1,Settings!$B$16)</f>
        <v>1</v>
      </c>
      <c r="C193" s="8">
        <v>46023</v>
      </c>
      <c r="D193" s="8">
        <f t="shared" si="9"/>
        <v>46387</v>
      </c>
      <c r="E193" s="6" t="str" cm="1">
        <f t="array" ref="E193">choice(Groupes!A:A,1,Settings!$B$16)</f>
        <v>G13</v>
      </c>
      <c r="F193" s="6" t="str">
        <f t="shared" si="10"/>
        <v>G13</v>
      </c>
      <c r="G193" s="6" t="str">
        <f t="shared" si="11"/>
        <v>Prof14</v>
      </c>
      <c r="H193" s="6" t="str" cm="1">
        <f t="array" ref="H193">choice(Referentiel!A:A,1,Settings!$B$16)</f>
        <v>Architecture Intérieure</v>
      </c>
      <c r="I193" s="6" t="str" cm="1">
        <f t="array" ref="I193">choice(Referentiel!B:B,1,Settings!$B$16)</f>
        <v>2ème année Architecture Intérieure S1</v>
      </c>
      <c r="J193" s="6" t="str" cm="1">
        <f t="array" ref="J193">choice(Referentiel!D:D,1,Settings!$B$16)</f>
        <v>M1</v>
      </c>
      <c r="K193" s="6" t="str" cm="1">
        <f t="array" ref="K193">choice(Professeurs!B:B,1,Settings!$B$16)</f>
        <v>Prof14</v>
      </c>
      <c r="L193" s="5" t="str" cm="1">
        <f t="array" ref="L193">choice(Referentiel!C:C,1,Settings!$B$16)</f>
        <v/>
      </c>
      <c r="M193" s="5" t="str" cm="1">
        <f t="array" ref="M193">choice(Referentiel!E:E,1,Settings!$B$16)</f>
        <v/>
      </c>
      <c r="N193" s="5" t="str" cm="1">
        <f t="array" ref="N193">choice(Settings!K:K,1,Settings!$B$16)</f>
        <v/>
      </c>
      <c r="P193" s="5">
        <f t="shared" si="12"/>
        <v>1</v>
      </c>
    </row>
    <row r="194" spans="1:16" ht="15.75" customHeight="1" x14ac:dyDescent="0.25">
      <c r="A194" s="6" t="s">
        <v>546</v>
      </c>
      <c r="B194" s="6" cm="1">
        <f t="array" ref="B194">alea_int(Settings!$B$10,1,Settings!$B$16)</f>
        <v>2</v>
      </c>
      <c r="C194" s="8">
        <v>46023</v>
      </c>
      <c r="D194" s="8">
        <f t="shared" si="9"/>
        <v>46387</v>
      </c>
      <c r="E194" s="6" t="str" cm="1">
        <f t="array" ref="E194">choice(Groupes!A:A,1,Settings!$B$16)</f>
        <v>G19</v>
      </c>
      <c r="F194" s="6" t="str">
        <f t="shared" si="10"/>
        <v>G19</v>
      </c>
      <c r="G194" s="6" t="str">
        <f t="shared" si="11"/>
        <v>Prof20</v>
      </c>
      <c r="H194" s="6" t="str" cm="1">
        <f t="array" ref="H194">choice(Referentiel!A:A,1,Settings!$B$16)</f>
        <v>1ère année Groupe 1</v>
      </c>
      <c r="I194" s="6" t="str" cm="1">
        <f t="array" ref="I194">choice(Referentiel!B:B,1,Settings!$B$16)</f>
        <v>5ème année Design Graphique S2</v>
      </c>
      <c r="J194" s="6" t="str" cm="1">
        <f t="array" ref="J194">choice(Referentiel!D:D,1,Settings!$B$16)</f>
        <v>M2</v>
      </c>
      <c r="K194" s="6" t="str" cm="1">
        <f t="array" ref="K194">choice(Professeurs!B:B,1,Settings!$B$16)</f>
        <v>Prof20</v>
      </c>
      <c r="L194" s="5" t="str" cm="1">
        <f t="array" ref="L194">choice(Referentiel!C:C,1,Settings!$B$16)</f>
        <v/>
      </c>
      <c r="M194" s="5" t="str" cm="1">
        <f t="array" ref="M194">choice(Referentiel!E:E,1,Settings!$B$16)</f>
        <v/>
      </c>
      <c r="N194" s="5" t="str" cm="1">
        <f t="array" ref="N194">choice(Settings!K:K,1,Settings!$B$16)</f>
        <v/>
      </c>
      <c r="P194" s="5">
        <f t="shared" si="12"/>
        <v>2</v>
      </c>
    </row>
    <row r="195" spans="1:16" ht="15.75" customHeight="1" x14ac:dyDescent="0.25">
      <c r="A195" s="6" t="s">
        <v>547</v>
      </c>
      <c r="B195" s="6" cm="1">
        <f t="array" ref="B195">alea_int(Settings!$B$10,1,Settings!$B$16)</f>
        <v>1</v>
      </c>
      <c r="C195" s="8">
        <v>46023</v>
      </c>
      <c r="D195" s="8">
        <f t="shared" ref="D195:D258" si="13">C195+364</f>
        <v>46387</v>
      </c>
      <c r="E195" s="6" t="str" cm="1">
        <f t="array" ref="E195">choice(Groupes!A:A,1,Settings!$B$16)</f>
        <v>G29</v>
      </c>
      <c r="F195" s="6" t="str">
        <f t="shared" ref="F195:F258" si="14">E195</f>
        <v>G29</v>
      </c>
      <c r="G195" s="6" t="str">
        <f t="shared" ref="G195:G258" si="15">K195</f>
        <v>Prof7</v>
      </c>
      <c r="H195" s="6" t="str" cm="1">
        <f t="array" ref="H195">choice(Referentiel!A:A,1,Settings!$B$16)</f>
        <v>1ère année Groupe 4</v>
      </c>
      <c r="I195" s="6" t="str" cm="1">
        <f t="array" ref="I195">choice(Referentiel!B:B,1,Settings!$B$16)</f>
        <v>4ème année Photo / Vidéo S2</v>
      </c>
      <c r="J195" s="6" t="str" cm="1">
        <f t="array" ref="J195">choice(Referentiel!D:D,1,Settings!$B$16)</f>
        <v>L3</v>
      </c>
      <c r="K195" s="6" t="str" cm="1">
        <f t="array" ref="K195">choice(Professeurs!B:B,1,Settings!$B$16)</f>
        <v>Prof7</v>
      </c>
      <c r="L195" s="5" t="str" cm="1">
        <f t="array" ref="L195">choice(Referentiel!C:C,1,Settings!$B$16)</f>
        <v/>
      </c>
      <c r="M195" s="5" t="str" cm="1">
        <f t="array" ref="M195">choice(Referentiel!E:E,1,Settings!$B$16)</f>
        <v/>
      </c>
      <c r="N195" s="5" t="str" cm="1">
        <f t="array" ref="N195">choice(Settings!K:K,1,Settings!$B$16)</f>
        <v/>
      </c>
      <c r="P195" s="5">
        <f t="shared" ref="P195:P258" si="16">B195+IF(M195&lt;&gt;"",2,0)+IF(N195&lt;&gt;"",2,0)</f>
        <v>1</v>
      </c>
    </row>
    <row r="196" spans="1:16" ht="15.75" customHeight="1" x14ac:dyDescent="0.25">
      <c r="A196" s="6" t="s">
        <v>548</v>
      </c>
      <c r="B196" s="6" cm="1">
        <f t="array" ref="B196">alea_int(Settings!$B$10,1,Settings!$B$16)</f>
        <v>1</v>
      </c>
      <c r="C196" s="8">
        <v>46023</v>
      </c>
      <c r="D196" s="8">
        <f t="shared" si="13"/>
        <v>46387</v>
      </c>
      <c r="E196" s="6" t="str" cm="1">
        <f t="array" ref="E196">choice(Groupes!A:A,1,Settings!$B$16)</f>
        <v>G13</v>
      </c>
      <c r="F196" s="6" t="str">
        <f t="shared" si="14"/>
        <v>G13</v>
      </c>
      <c r="G196" s="6" t="str">
        <f t="shared" si="15"/>
        <v>Prof35</v>
      </c>
      <c r="H196" s="6" t="str" cm="1">
        <f t="array" ref="H196">choice(Referentiel!A:A,1,Settings!$B$16)</f>
        <v>Gr REFLECTIVE INTERACTION</v>
      </c>
      <c r="I196" s="6" t="str" cm="1">
        <f t="array" ref="I196">choice(Referentiel!B:B,1,Settings!$B$16)</f>
        <v>5ème année Architecture Intérieure S2</v>
      </c>
      <c r="J196" s="6" t="str" cm="1">
        <f t="array" ref="J196">choice(Referentiel!D:D,1,Settings!$B$16)</f>
        <v>L2</v>
      </c>
      <c r="K196" s="6" t="str" cm="1">
        <f t="array" ref="K196">choice(Professeurs!B:B,1,Settings!$B$16)</f>
        <v>Prof35</v>
      </c>
      <c r="L196" s="5" t="str" cm="1">
        <f t="array" ref="L196">choice(Referentiel!C:C,1,Settings!$B$16)</f>
        <v/>
      </c>
      <c r="M196" s="5" t="str" cm="1">
        <f t="array" ref="M196">choice(Referentiel!E:E,1,Settings!$B$16)</f>
        <v/>
      </c>
      <c r="N196" s="5" t="str" cm="1">
        <f t="array" ref="N196">choice(Settings!K:K,1,Settings!$B$16)</f>
        <v/>
      </c>
      <c r="P196" s="5">
        <f t="shared" si="16"/>
        <v>1</v>
      </c>
    </row>
    <row r="197" spans="1:16" ht="15.75" customHeight="1" x14ac:dyDescent="0.25">
      <c r="A197" s="6" t="s">
        <v>549</v>
      </c>
      <c r="B197" s="6" cm="1">
        <f t="array" ref="B197">alea_int(Settings!$B$10,1,Settings!$B$16)</f>
        <v>2</v>
      </c>
      <c r="C197" s="8">
        <v>46023</v>
      </c>
      <c r="D197" s="8">
        <f t="shared" si="13"/>
        <v>46387</v>
      </c>
      <c r="E197" s="6" t="str" cm="1">
        <f t="array" ref="E197">choice(Groupes!A:A,1,Settings!$B$16)</f>
        <v>G16</v>
      </c>
      <c r="F197" s="6" t="str">
        <f t="shared" si="14"/>
        <v>G16</v>
      </c>
      <c r="G197" s="6" t="str">
        <f t="shared" si="15"/>
        <v>Prof32</v>
      </c>
      <c r="H197" s="6" t="str" cm="1">
        <f t="array" ref="H197">choice(Referentiel!A:A,1,Settings!$B$16)</f>
        <v>Cinéma d'Animation</v>
      </c>
      <c r="I197" s="6" t="str" cm="1">
        <f t="array" ref="I197">choice(Referentiel!B:B,1,Settings!$B$16)</f>
        <v>4ème année Art-Espace S2</v>
      </c>
      <c r="J197" s="6" t="str" cm="1">
        <f t="array" ref="J197">choice(Referentiel!D:D,1,Settings!$B$16)</f>
        <v>M1</v>
      </c>
      <c r="K197" s="6" t="str" cm="1">
        <f t="array" ref="K197">choice(Professeurs!B:B,1,Settings!$B$16)</f>
        <v>Prof32</v>
      </c>
      <c r="L197" s="5" t="str" cm="1">
        <f t="array" ref="L197">choice(Referentiel!C:C,1,Settings!$B$16)</f>
        <v/>
      </c>
      <c r="M197" s="5" t="str" cm="1">
        <f t="array" ref="M197">choice(Referentiel!E:E,1,Settings!$B$16)</f>
        <v/>
      </c>
      <c r="N197" s="5" t="str" cm="1">
        <f t="array" ref="N197">choice(Settings!K:K,1,Settings!$B$16)</f>
        <v/>
      </c>
      <c r="P197" s="5">
        <f t="shared" si="16"/>
        <v>2</v>
      </c>
    </row>
    <row r="198" spans="1:16" ht="15.75" customHeight="1" x14ac:dyDescent="0.25">
      <c r="A198" s="6" t="s">
        <v>550</v>
      </c>
      <c r="B198" s="6" cm="1">
        <f t="array" ref="B198">alea_int(Settings!$B$10,1,Settings!$B$16)</f>
        <v>2</v>
      </c>
      <c r="C198" s="8">
        <v>46023</v>
      </c>
      <c r="D198" s="8">
        <f t="shared" si="13"/>
        <v>46387</v>
      </c>
      <c r="E198" s="6" t="str" cm="1">
        <f t="array" ref="E198">choice(Groupes!A:A,1,Settings!$B$16)</f>
        <v>G3</v>
      </c>
      <c r="F198" s="6" t="str">
        <f t="shared" si="14"/>
        <v>G3</v>
      </c>
      <c r="G198" s="6" t="str">
        <f t="shared" si="15"/>
        <v>Prof13</v>
      </c>
      <c r="H198" s="6" t="str" cm="1">
        <f t="array" ref="H198">choice(Referentiel!A:A,1,Settings!$B$16)</f>
        <v>6ème ANNÉE STAGE</v>
      </c>
      <c r="I198" s="6" t="str" cm="1">
        <f t="array" ref="I198">choice(Referentiel!B:B,1,Settings!$B$16)</f>
        <v>5ème année Photo / Vidéo S1</v>
      </c>
      <c r="J198" s="6" t="str" cm="1">
        <f t="array" ref="J198">choice(Referentiel!D:D,1,Settings!$B$16)</f>
        <v>L1</v>
      </c>
      <c r="K198" s="6" t="str" cm="1">
        <f t="array" ref="K198">choice(Professeurs!B:B,1,Settings!$B$16)</f>
        <v>Prof13</v>
      </c>
      <c r="L198" s="5" t="str" cm="1">
        <f t="array" ref="L198">choice(Referentiel!C:C,1,Settings!$B$16)</f>
        <v/>
      </c>
      <c r="M198" s="5" t="str" cm="1">
        <f t="array" ref="M198">choice(Referentiel!E:E,1,Settings!$B$16)</f>
        <v/>
      </c>
      <c r="N198" s="5" t="str" cm="1">
        <f t="array" ref="N198">choice(Settings!K:K,1,Settings!$B$16)</f>
        <v>mardi am</v>
      </c>
      <c r="P198" s="5">
        <f t="shared" si="16"/>
        <v>4</v>
      </c>
    </row>
    <row r="199" spans="1:16" ht="15.75" customHeight="1" x14ac:dyDescent="0.25">
      <c r="A199" s="6" t="s">
        <v>551</v>
      </c>
      <c r="B199" s="6" cm="1">
        <f t="array" ref="B199">alea_int(Settings!$B$10,1,Settings!$B$16)</f>
        <v>3</v>
      </c>
      <c r="C199" s="8">
        <v>46023</v>
      </c>
      <c r="D199" s="8">
        <f t="shared" si="13"/>
        <v>46387</v>
      </c>
      <c r="E199" s="6" t="str" cm="1">
        <f t="array" ref="E199">choice(Groupes!A:A,1,Settings!$B$16)</f>
        <v>G27</v>
      </c>
      <c r="F199" s="6" t="str">
        <f t="shared" si="14"/>
        <v>G27</v>
      </c>
      <c r="G199" s="6" t="str">
        <f t="shared" si="15"/>
        <v>Prof46</v>
      </c>
      <c r="H199" s="6" t="str" cm="1">
        <f t="array" ref="H199">choice(Referentiel!A:A,1,Settings!$B$16)</f>
        <v>Design des mondes littoraux</v>
      </c>
      <c r="I199" s="6" t="str" cm="1">
        <f t="array" ref="I199">choice(Referentiel!B:B,1,Settings!$B$16)</f>
        <v>5ème année Design Vêtement S2</v>
      </c>
      <c r="J199" s="6" t="str" cm="1">
        <f t="array" ref="J199">choice(Referentiel!D:D,1,Settings!$B$16)</f>
        <v>M2</v>
      </c>
      <c r="K199" s="6" t="str" cm="1">
        <f t="array" ref="K199">choice(Professeurs!B:B,1,Settings!$B$16)</f>
        <v>Prof46</v>
      </c>
      <c r="L199" s="5" t="str" cm="1">
        <f t="array" ref="L199">choice(Referentiel!C:C,1,Settings!$B$16)</f>
        <v/>
      </c>
      <c r="M199" s="5" t="str" cm="1">
        <f t="array" ref="M199">choice(Referentiel!E:E,1,Settings!$B$16)</f>
        <v/>
      </c>
      <c r="N199" s="5" t="str" cm="1">
        <f t="array" ref="N199">choice(Settings!K:K,1,Settings!$B$16)</f>
        <v/>
      </c>
      <c r="P199" s="5">
        <f t="shared" si="16"/>
        <v>3</v>
      </c>
    </row>
    <row r="200" spans="1:16" ht="15.75" customHeight="1" x14ac:dyDescent="0.25">
      <c r="A200" s="6" t="s">
        <v>552</v>
      </c>
      <c r="B200" s="6" cm="1">
        <f t="array" ref="B200">alea_int(Settings!$B$10,1,Settings!$B$16)</f>
        <v>3</v>
      </c>
      <c r="C200" s="8">
        <v>46023</v>
      </c>
      <c r="D200" s="8">
        <f t="shared" si="13"/>
        <v>46387</v>
      </c>
      <c r="E200" s="6" t="str" cm="1">
        <f t="array" ref="E200">choice(Groupes!A:A,1,Settings!$B$16)</f>
        <v>G17</v>
      </c>
      <c r="F200" s="6" t="str">
        <f t="shared" si="14"/>
        <v>G17</v>
      </c>
      <c r="G200" s="6" t="str">
        <f t="shared" si="15"/>
        <v>Prof52</v>
      </c>
      <c r="H200" s="6" t="str" cm="1">
        <f t="array" ref="H200">choice(Referentiel!A:A,1,Settings!$B$16)</f>
        <v>Design des mondes littoraux</v>
      </c>
      <c r="I200" s="6" t="str" cm="1">
        <f t="array" ref="I200">choice(Referentiel!B:B,1,Settings!$B$16)</f>
        <v>4ème année Scénographie S1</v>
      </c>
      <c r="J200" s="6" t="str" cm="1">
        <f t="array" ref="J200">choice(Referentiel!D:D,1,Settings!$B$16)</f>
        <v>L1</v>
      </c>
      <c r="K200" s="6" t="str" cm="1">
        <f t="array" ref="K200">choice(Professeurs!B:B,1,Settings!$B$16)</f>
        <v>Prof52</v>
      </c>
      <c r="L200" s="5" t="str" cm="1">
        <f t="array" ref="L200">choice(Referentiel!C:C,1,Settings!$B$16)</f>
        <v/>
      </c>
      <c r="M200" s="5" t="str" cm="1">
        <f t="array" ref="M200">choice(Referentiel!E:E,1,Settings!$B$16)</f>
        <v/>
      </c>
      <c r="N200" s="5" t="str" cm="1">
        <f t="array" ref="N200">choice(Settings!K:K,1,Settings!$B$16)</f>
        <v/>
      </c>
      <c r="P200" s="5">
        <f t="shared" si="16"/>
        <v>3</v>
      </c>
    </row>
    <row r="201" spans="1:16" ht="15.75" customHeight="1" x14ac:dyDescent="0.25">
      <c r="A201" s="6" t="s">
        <v>553</v>
      </c>
      <c r="B201" s="6" cm="1">
        <f t="array" ref="B201">alea_int(Settings!$B$10,1,Settings!$B$16)</f>
        <v>2</v>
      </c>
      <c r="C201" s="8">
        <v>46023</v>
      </c>
      <c r="D201" s="8">
        <f t="shared" si="13"/>
        <v>46387</v>
      </c>
      <c r="E201" s="6" t="str" cm="1">
        <f t="array" ref="E201">choice(Groupes!A:A,1,Settings!$B$16)</f>
        <v>G8</v>
      </c>
      <c r="F201" s="6" t="str">
        <f t="shared" si="14"/>
        <v>G8</v>
      </c>
      <c r="G201" s="6" t="str">
        <f t="shared" si="15"/>
        <v>Prof26</v>
      </c>
      <c r="H201" s="6" t="str" cm="1">
        <f t="array" ref="H201">choice(Referentiel!A:A,1,Settings!$B$16)</f>
        <v>Design des mondes forestiers</v>
      </c>
      <c r="I201" s="6" t="str" cm="1">
        <f t="array" ref="I201">choice(Referentiel!B:B,1,Settings!$B$16)</f>
        <v>3ème année Scénographie S2</v>
      </c>
      <c r="J201" s="6" t="str" cm="1">
        <f t="array" ref="J201">choice(Referentiel!D:D,1,Settings!$B$16)</f>
        <v>L3</v>
      </c>
      <c r="K201" s="6" t="str" cm="1">
        <f t="array" ref="K201">choice(Professeurs!B:B,1,Settings!$B$16)</f>
        <v>Prof26</v>
      </c>
      <c r="L201" s="5" t="str" cm="1">
        <f t="array" ref="L201">choice(Referentiel!C:C,1,Settings!$B$16)</f>
        <v/>
      </c>
      <c r="M201" s="5" t="str" cm="1">
        <f t="array" ref="M201">choice(Referentiel!E:E,1,Settings!$B$16)</f>
        <v/>
      </c>
      <c r="N201" s="5" t="str" cm="1">
        <f t="array" ref="N201">choice(Settings!K:K,1,Settings!$B$16)</f>
        <v>mercredi ap</v>
      </c>
      <c r="P201" s="5">
        <f t="shared" si="16"/>
        <v>4</v>
      </c>
    </row>
    <row r="202" spans="1:16" ht="15.75" customHeight="1" x14ac:dyDescent="0.25">
      <c r="A202" s="6" t="s">
        <v>554</v>
      </c>
      <c r="B202" s="6" cm="1">
        <f t="array" ref="B202">alea_int(Settings!$B$10,1,Settings!$B$16)</f>
        <v>2</v>
      </c>
      <c r="C202" s="8">
        <v>46023</v>
      </c>
      <c r="D202" s="8">
        <f t="shared" si="13"/>
        <v>46387</v>
      </c>
      <c r="E202" s="6" t="str" cm="1">
        <f t="array" ref="E202">choice(Groupes!A:A,1,Settings!$B$16)</f>
        <v>G5</v>
      </c>
      <c r="F202" s="6" t="str">
        <f t="shared" si="14"/>
        <v>G5</v>
      </c>
      <c r="G202" s="6" t="str">
        <f t="shared" si="15"/>
        <v>Prof40</v>
      </c>
      <c r="H202" s="6" t="str" cm="1">
        <f t="array" ref="H202">choice(Referentiel!A:A,1,Settings!$B$16)</f>
        <v>Art-Espace</v>
      </c>
      <c r="I202" s="6" t="str" cm="1">
        <f t="array" ref="I202">choice(Referentiel!B:B,1,Settings!$B$16)</f>
        <v>5ème année Cinéma d'Animation S1</v>
      </c>
      <c r="J202" s="6" t="str" cm="1">
        <f t="array" ref="J202">choice(Referentiel!D:D,1,Settings!$B$16)</f>
        <v>L3</v>
      </c>
      <c r="K202" s="6" t="str" cm="1">
        <f t="array" ref="K202">choice(Professeurs!B:B,1,Settings!$B$16)</f>
        <v>Prof40</v>
      </c>
      <c r="L202" s="5" t="str" cm="1">
        <f t="array" ref="L202">choice(Referentiel!C:C,1,Settings!$B$16)</f>
        <v/>
      </c>
      <c r="M202" s="5" t="str" cm="1">
        <f t="array" ref="M202">choice(Referentiel!E:E,1,Settings!$B$16)</f>
        <v/>
      </c>
      <c r="N202" s="5" t="str" cm="1">
        <f t="array" ref="N202">choice(Settings!K:K,1,Settings!$B$16)</f>
        <v/>
      </c>
      <c r="P202" s="5">
        <f t="shared" si="16"/>
        <v>2</v>
      </c>
    </row>
    <row r="203" spans="1:16" ht="15.75" customHeight="1" x14ac:dyDescent="0.25">
      <c r="A203" s="6" t="s">
        <v>555</v>
      </c>
      <c r="B203" s="6" cm="1">
        <f t="array" ref="B203">alea_int(Settings!$B$10,1,Settings!$B$16)</f>
        <v>2</v>
      </c>
      <c r="C203" s="8">
        <v>46023</v>
      </c>
      <c r="D203" s="8">
        <f t="shared" si="13"/>
        <v>46387</v>
      </c>
      <c r="E203" s="6" t="str" cm="1">
        <f t="array" ref="E203">choice(Groupes!A:A,1,Settings!$B$16)</f>
        <v>G20</v>
      </c>
      <c r="F203" s="6" t="str">
        <f t="shared" si="14"/>
        <v>G20</v>
      </c>
      <c r="G203" s="6" t="str">
        <f t="shared" si="15"/>
        <v>Prof10</v>
      </c>
      <c r="H203" s="6" t="str" cm="1">
        <f t="array" ref="H203">choice(Referentiel!A:A,1,Settings!$B$16)</f>
        <v>Gr TERRITOIRES</v>
      </c>
      <c r="I203" s="6" t="str" cm="1">
        <f t="array" ref="I203">choice(Referentiel!B:B,1,Settings!$B$16)</f>
        <v>5ème année Design Vêtement S1</v>
      </c>
      <c r="J203" s="6" t="str" cm="1">
        <f t="array" ref="J203">choice(Referentiel!D:D,1,Settings!$B$16)</f>
        <v>L3</v>
      </c>
      <c r="K203" s="6" t="str" cm="1">
        <f t="array" ref="K203">choice(Professeurs!B:B,1,Settings!$B$16)</f>
        <v>Prof10</v>
      </c>
      <c r="L203" s="5" t="str" cm="1">
        <f t="array" ref="L203">choice(Referentiel!C:C,1,Settings!$B$16)</f>
        <v/>
      </c>
      <c r="M203" s="5" t="str" cm="1">
        <f t="array" ref="M203">choice(Referentiel!E:E,1,Settings!$B$16)</f>
        <v/>
      </c>
      <c r="N203" s="5" t="str" cm="1">
        <f t="array" ref="N203">choice(Settings!K:K,1,Settings!$B$16)</f>
        <v/>
      </c>
      <c r="P203" s="5">
        <f t="shared" si="16"/>
        <v>2</v>
      </c>
    </row>
    <row r="204" spans="1:16" ht="15.75" customHeight="1" x14ac:dyDescent="0.25">
      <c r="A204" s="6" t="s">
        <v>556</v>
      </c>
      <c r="B204" s="6" cm="1">
        <f t="array" ref="B204">alea_int(Settings!$B$10,1,Settings!$B$16)</f>
        <v>1</v>
      </c>
      <c r="C204" s="8">
        <v>46023</v>
      </c>
      <c r="D204" s="8">
        <f t="shared" si="13"/>
        <v>46387</v>
      </c>
      <c r="E204" s="6" t="str" cm="1">
        <f t="array" ref="E204">choice(Groupes!A:A,1,Settings!$B$16)</f>
        <v>G30</v>
      </c>
      <c r="F204" s="6" t="str">
        <f t="shared" si="14"/>
        <v>G30</v>
      </c>
      <c r="G204" s="6" t="str">
        <f t="shared" si="15"/>
        <v>Prof24</v>
      </c>
      <c r="H204" s="6" t="str" cm="1">
        <f t="array" ref="H204">choice(Referentiel!A:A,1,Settings!$B$16)</f>
        <v>Gr SPATIAL MEDIA</v>
      </c>
      <c r="I204" s="6" t="str" cm="1">
        <f t="array" ref="I204">choice(Referentiel!B:B,1,Settings!$B$16)</f>
        <v>4ème année Architecture Intérieure S2</v>
      </c>
      <c r="J204" s="6" t="str" cm="1">
        <f t="array" ref="J204">choice(Referentiel!D:D,1,Settings!$B$16)</f>
        <v>M1</v>
      </c>
      <c r="K204" s="6" t="str" cm="1">
        <f t="array" ref="K204">choice(Professeurs!B:B,1,Settings!$B$16)</f>
        <v>Prof24</v>
      </c>
      <c r="L204" s="5" t="str" cm="1">
        <f t="array" ref="L204">choice(Referentiel!C:C,1,Settings!$B$16)</f>
        <v>tablette</v>
      </c>
      <c r="M204" s="5" t="str" cm="1">
        <f t="array" ref="M204">choice(Referentiel!E:E,1,Settings!$B$16)</f>
        <v/>
      </c>
      <c r="N204" s="5" t="str" cm="1">
        <f t="array" ref="N204">choice(Settings!K:K,1,Settings!$B$16)</f>
        <v/>
      </c>
      <c r="P204" s="5">
        <f t="shared" si="16"/>
        <v>1</v>
      </c>
    </row>
    <row r="205" spans="1:16" ht="15.75" customHeight="1" x14ac:dyDescent="0.25">
      <c r="A205" s="6" t="s">
        <v>557</v>
      </c>
      <c r="B205" s="6" cm="1">
        <f t="array" ref="B205">alea_int(Settings!$B$10,1,Settings!$B$16)</f>
        <v>1</v>
      </c>
      <c r="C205" s="8">
        <v>46023</v>
      </c>
      <c r="D205" s="8">
        <f t="shared" si="13"/>
        <v>46387</v>
      </c>
      <c r="E205" s="6" t="str" cm="1">
        <f t="array" ref="E205">choice(Groupes!A:A,1,Settings!$B$16)</f>
        <v>G12</v>
      </c>
      <c r="F205" s="6" t="str">
        <f t="shared" si="14"/>
        <v>G12</v>
      </c>
      <c r="G205" s="6" t="str">
        <f t="shared" si="15"/>
        <v>Prof9</v>
      </c>
      <c r="H205" s="6" t="str" cm="1">
        <f t="array" ref="H205">choice(Referentiel!A:A,1,Settings!$B$16)</f>
        <v>Gr SPATIAL MEDIA</v>
      </c>
      <c r="I205" s="6" t="str" cm="1">
        <f t="array" ref="I205">choice(Referentiel!B:B,1,Settings!$B$16)</f>
        <v>4ème année Art-Espace S1</v>
      </c>
      <c r="J205" s="6" t="str" cm="1">
        <f t="array" ref="J205">choice(Referentiel!D:D,1,Settings!$B$16)</f>
        <v>M1</v>
      </c>
      <c r="K205" s="6" t="str" cm="1">
        <f t="array" ref="K205">choice(Professeurs!B:B,1,Settings!$B$16)</f>
        <v>Prof9</v>
      </c>
      <c r="L205" s="5" t="str" cm="1">
        <f t="array" ref="L205">choice(Referentiel!C:C,1,Settings!$B$16)</f>
        <v/>
      </c>
      <c r="M205" s="5" t="str" cm="1">
        <f t="array" ref="M205">choice(Referentiel!E:E,1,Settings!$B$16)</f>
        <v/>
      </c>
      <c r="N205" s="5" t="str" cm="1">
        <f t="array" ref="N205">choice(Settings!K:K,1,Settings!$B$16)</f>
        <v/>
      </c>
      <c r="P205" s="5">
        <f t="shared" si="16"/>
        <v>1</v>
      </c>
    </row>
    <row r="206" spans="1:16" ht="15.75" customHeight="1" x14ac:dyDescent="0.25">
      <c r="A206" s="6" t="s">
        <v>558</v>
      </c>
      <c r="B206" s="6" cm="1">
        <f t="array" ref="B206">alea_int(Settings!$B$10,1,Settings!$B$16)</f>
        <v>2</v>
      </c>
      <c r="C206" s="8">
        <v>46023</v>
      </c>
      <c r="D206" s="8">
        <f t="shared" si="13"/>
        <v>46387</v>
      </c>
      <c r="E206" s="6" t="str" cm="1">
        <f t="array" ref="E206">choice(Groupes!A:A,1,Settings!$B$16)</f>
        <v>G25</v>
      </c>
      <c r="F206" s="6" t="str">
        <f t="shared" si="14"/>
        <v>G25</v>
      </c>
      <c r="G206" s="6" t="str">
        <f t="shared" si="15"/>
        <v>Prof22</v>
      </c>
      <c r="H206" s="6" t="str" cm="1">
        <f t="array" ref="H206">choice(Referentiel!A:A,1,Settings!$B$16)</f>
        <v>1ère année Groupe 1</v>
      </c>
      <c r="I206" s="6" t="str" cm="1">
        <f t="array" ref="I206">choice(Referentiel!B:B,1,Settings!$B$16)</f>
        <v>3ème année Photo / Vidéo S2</v>
      </c>
      <c r="J206" s="6" t="str" cm="1">
        <f t="array" ref="J206">choice(Referentiel!D:D,1,Settings!$B$16)</f>
        <v>L2</v>
      </c>
      <c r="K206" s="6" t="str" cm="1">
        <f t="array" ref="K206">choice(Professeurs!B:B,1,Settings!$B$16)</f>
        <v>Prof22</v>
      </c>
      <c r="L206" s="5" t="str" cm="1">
        <f t="array" ref="L206">choice(Referentiel!C:C,1,Settings!$B$16)</f>
        <v/>
      </c>
      <c r="M206" s="5" t="str" cm="1">
        <f t="array" ref="M206">choice(Referentiel!E:E,1,Settings!$B$16)</f>
        <v/>
      </c>
      <c r="N206" s="5" t="str" cm="1">
        <f t="array" ref="N206">choice(Settings!K:K,1,Settings!$B$16)</f>
        <v/>
      </c>
      <c r="P206" s="5">
        <f t="shared" si="16"/>
        <v>2</v>
      </c>
    </row>
    <row r="207" spans="1:16" ht="15.75" customHeight="1" x14ac:dyDescent="0.25">
      <c r="A207" s="6" t="s">
        <v>559</v>
      </c>
      <c r="B207" s="6" cm="1">
        <f t="array" ref="B207">alea_int(Settings!$B$10,1,Settings!$B$16)</f>
        <v>1</v>
      </c>
      <c r="C207" s="8">
        <v>46023</v>
      </c>
      <c r="D207" s="8">
        <f t="shared" si="13"/>
        <v>46387</v>
      </c>
      <c r="E207" s="6" t="str" cm="1">
        <f t="array" ref="E207">choice(Groupes!A:A,1,Settings!$B$16)</f>
        <v>G30</v>
      </c>
      <c r="F207" s="6" t="str">
        <f t="shared" si="14"/>
        <v>G30</v>
      </c>
      <c r="G207" s="6" t="str">
        <f t="shared" si="15"/>
        <v>Prof32</v>
      </c>
      <c r="H207" s="6" t="str" cm="1">
        <f t="array" ref="H207">choice(Referentiel!A:A,1,Settings!$B$16)</f>
        <v>1ère année Groupe 4</v>
      </c>
      <c r="I207" s="6" t="str" cm="1">
        <f t="array" ref="I207">choice(Referentiel!B:B,1,Settings!$B$16)</f>
        <v>1ère Année Groupe 2 S1</v>
      </c>
      <c r="J207" s="6" t="str" cm="1">
        <f t="array" ref="J207">choice(Referentiel!D:D,1,Settings!$B$16)</f>
        <v>M1</v>
      </c>
      <c r="K207" s="6" t="str" cm="1">
        <f t="array" ref="K207">choice(Professeurs!B:B,1,Settings!$B$16)</f>
        <v>Prof32</v>
      </c>
      <c r="L207" s="5" t="str" cm="1">
        <f t="array" ref="L207">choice(Referentiel!C:C,1,Settings!$B$16)</f>
        <v/>
      </c>
      <c r="M207" s="5" t="str" cm="1">
        <f t="array" ref="M207">choice(Referentiel!E:E,1,Settings!$B$16)</f>
        <v/>
      </c>
      <c r="N207" s="5" t="str" cm="1">
        <f t="array" ref="N207">choice(Settings!K:K,1,Settings!$B$16)</f>
        <v>mardi pm</v>
      </c>
      <c r="P207" s="5">
        <f t="shared" si="16"/>
        <v>3</v>
      </c>
    </row>
    <row r="208" spans="1:16" ht="15.75" customHeight="1" x14ac:dyDescent="0.25">
      <c r="A208" s="6" t="s">
        <v>560</v>
      </c>
      <c r="B208" s="6" cm="1">
        <f t="array" ref="B208">alea_int(Settings!$B$10,1,Settings!$B$16)</f>
        <v>1</v>
      </c>
      <c r="C208" s="8">
        <v>46023</v>
      </c>
      <c r="D208" s="8">
        <f t="shared" si="13"/>
        <v>46387</v>
      </c>
      <c r="E208" s="6" t="str" cm="1">
        <f t="array" ref="E208">choice(Groupes!A:A,1,Settings!$B$16)</f>
        <v>G28</v>
      </c>
      <c r="F208" s="6" t="str">
        <f t="shared" si="14"/>
        <v>G28</v>
      </c>
      <c r="G208" s="6" t="str">
        <f t="shared" si="15"/>
        <v>Prof18</v>
      </c>
      <c r="H208" s="6" t="str" cm="1">
        <f t="array" ref="H208">choice(Referentiel!A:A,1,Settings!$B$16)</f>
        <v>Design Textile et Matière</v>
      </c>
      <c r="I208" s="6" t="str" cm="1">
        <f t="array" ref="I208">choice(Referentiel!B:B,1,Settings!$B$16)</f>
        <v>1ère Année Groupe 4 S1</v>
      </c>
      <c r="J208" s="6" t="str" cm="1">
        <f t="array" ref="J208">choice(Referentiel!D:D,1,Settings!$B$16)</f>
        <v>M1</v>
      </c>
      <c r="K208" s="6" t="str" cm="1">
        <f t="array" ref="K208">choice(Professeurs!B:B,1,Settings!$B$16)</f>
        <v>Prof18</v>
      </c>
      <c r="L208" s="5" t="str" cm="1">
        <f t="array" ref="L208">choice(Referentiel!C:C,1,Settings!$B$16)</f>
        <v/>
      </c>
      <c r="M208" s="5" t="str" cm="1">
        <f t="array" ref="M208">choice(Referentiel!E:E,1,Settings!$B$16)</f>
        <v/>
      </c>
      <c r="N208" s="5" t="str" cm="1">
        <f t="array" ref="N208">choice(Settings!K:K,1,Settings!$B$16)</f>
        <v/>
      </c>
      <c r="P208" s="5">
        <f t="shared" si="16"/>
        <v>1</v>
      </c>
    </row>
    <row r="209" spans="1:16" ht="15.75" customHeight="1" x14ac:dyDescent="0.25">
      <c r="A209" s="6" t="s">
        <v>561</v>
      </c>
      <c r="B209" s="6" cm="1">
        <f t="array" ref="B209">alea_int(Settings!$B$10,1,Settings!$B$16)</f>
        <v>2</v>
      </c>
      <c r="C209" s="8">
        <v>46023</v>
      </c>
      <c r="D209" s="8">
        <f t="shared" si="13"/>
        <v>46387</v>
      </c>
      <c r="E209" s="6" t="str" cm="1">
        <f t="array" ref="E209">choice(Groupes!A:A,1,Settings!$B$16)</f>
        <v>G21</v>
      </c>
      <c r="F209" s="6" t="str">
        <f t="shared" si="14"/>
        <v>G21</v>
      </c>
      <c r="G209" s="6" t="str">
        <f t="shared" si="15"/>
        <v>Prof29</v>
      </c>
      <c r="H209" s="6" t="str" cm="1">
        <f t="array" ref="H209">choice(Referentiel!A:A,1,Settings!$B$16)</f>
        <v>Scénographie</v>
      </c>
      <c r="I209" s="6" t="str" cm="1">
        <f t="array" ref="I209">choice(Referentiel!B:B,1,Settings!$B$16)</f>
        <v>Césure S1</v>
      </c>
      <c r="J209" s="6" t="str" cm="1">
        <f t="array" ref="J209">choice(Referentiel!D:D,1,Settings!$B$16)</f>
        <v>L1</v>
      </c>
      <c r="K209" s="6" t="str" cm="1">
        <f t="array" ref="K209">choice(Professeurs!B:B,1,Settings!$B$16)</f>
        <v>Prof29</v>
      </c>
      <c r="L209" s="5" t="str" cm="1">
        <f t="array" ref="L209">choice(Referentiel!C:C,1,Settings!$B$16)</f>
        <v/>
      </c>
      <c r="M209" s="5" t="str" cm="1">
        <f t="array" ref="M209">choice(Referentiel!E:E,1,Settings!$B$16)</f>
        <v/>
      </c>
      <c r="N209" s="5" t="str" cm="1">
        <f t="array" ref="N209">choice(Settings!K:K,1,Settings!$B$16)</f>
        <v/>
      </c>
      <c r="P209" s="5">
        <f t="shared" si="16"/>
        <v>2</v>
      </c>
    </row>
    <row r="210" spans="1:16" ht="15.75" customHeight="1" x14ac:dyDescent="0.25">
      <c r="A210" s="6" t="s">
        <v>562</v>
      </c>
      <c r="B210" s="6" cm="1">
        <f t="array" ref="B210">alea_int(Settings!$B$10,1,Settings!$B$16)</f>
        <v>1</v>
      </c>
      <c r="C210" s="8">
        <v>46023</v>
      </c>
      <c r="D210" s="8">
        <f t="shared" si="13"/>
        <v>46387</v>
      </c>
      <c r="E210" s="6" t="str" cm="1">
        <f t="array" ref="E210">choice(Groupes!A:A,1,Settings!$B$16)</f>
        <v>G28</v>
      </c>
      <c r="F210" s="6" t="str">
        <f t="shared" si="14"/>
        <v>G28</v>
      </c>
      <c r="G210" s="6" t="str">
        <f t="shared" si="15"/>
        <v>Prof18</v>
      </c>
      <c r="H210" s="6" t="str" cm="1">
        <f t="array" ref="H210">choice(Referentiel!A:A,1,Settings!$B$16)</f>
        <v>Gr SPATIAL MEDIA</v>
      </c>
      <c r="I210" s="6" t="str" cm="1">
        <f t="array" ref="I210">choice(Referentiel!B:B,1,Settings!$B$16)</f>
        <v>Césure S2</v>
      </c>
      <c r="J210" s="6" t="str" cm="1">
        <f t="array" ref="J210">choice(Referentiel!D:D,1,Settings!$B$16)</f>
        <v>M1</v>
      </c>
      <c r="K210" s="6" t="str" cm="1">
        <f t="array" ref="K210">choice(Professeurs!B:B,1,Settings!$B$16)</f>
        <v>Prof18</v>
      </c>
      <c r="L210" s="5" t="str" cm="1">
        <f t="array" ref="L210">choice(Referentiel!C:C,1,Settings!$B$16)</f>
        <v>fenetre</v>
      </c>
      <c r="M210" s="5" t="str" cm="1">
        <f t="array" ref="M210">choice(Referentiel!E:E,1,Settings!$B$16)</f>
        <v/>
      </c>
      <c r="N210" s="5" t="str" cm="1">
        <f t="array" ref="N210">choice(Settings!K:K,1,Settings!$B$16)</f>
        <v/>
      </c>
      <c r="P210" s="5">
        <f t="shared" si="16"/>
        <v>1</v>
      </c>
    </row>
    <row r="211" spans="1:16" ht="15.75" customHeight="1" x14ac:dyDescent="0.25">
      <c r="A211" s="6" t="s">
        <v>563</v>
      </c>
      <c r="B211" s="6" cm="1">
        <f t="array" ref="B211">alea_int(Settings!$B$10,1,Settings!$B$16)</f>
        <v>2</v>
      </c>
      <c r="C211" s="8">
        <v>46023</v>
      </c>
      <c r="D211" s="8">
        <f t="shared" si="13"/>
        <v>46387</v>
      </c>
      <c r="E211" s="6" t="str" cm="1">
        <f t="array" ref="E211">choice(Groupes!A:A,1,Settings!$B$16)</f>
        <v>G23</v>
      </c>
      <c r="F211" s="6" t="str">
        <f t="shared" si="14"/>
        <v>G23</v>
      </c>
      <c r="G211" s="6" t="str">
        <f t="shared" si="15"/>
        <v>Prof11</v>
      </c>
      <c r="H211" s="6" t="str" cm="1">
        <f t="array" ref="H211">choice(Referentiel!A:A,1,Settings!$B$16)</f>
        <v>Architecture Intérieure</v>
      </c>
      <c r="I211" s="6" t="str" cm="1">
        <f t="array" ref="I211">choice(Referentiel!B:B,1,Settings!$B$16)</f>
        <v>5ème année Design Graphique S2</v>
      </c>
      <c r="J211" s="6" t="str" cm="1">
        <f t="array" ref="J211">choice(Referentiel!D:D,1,Settings!$B$16)</f>
        <v>M2</v>
      </c>
      <c r="K211" s="6" t="str" cm="1">
        <f t="array" ref="K211">choice(Professeurs!B:B,1,Settings!$B$16)</f>
        <v>Prof11</v>
      </c>
      <c r="L211" s="5" t="str" cm="1">
        <f t="array" ref="L211">choice(Referentiel!C:C,1,Settings!$B$16)</f>
        <v/>
      </c>
      <c r="M211" s="5" t="str" cm="1">
        <f t="array" ref="M211">choice(Referentiel!E:E,1,Settings!$B$16)</f>
        <v>Salle7</v>
      </c>
      <c r="N211" s="5" t="str" cm="1">
        <f t="array" ref="N211">choice(Settings!K:K,1,Settings!$B$16)</f>
        <v/>
      </c>
      <c r="P211" s="5">
        <f t="shared" si="16"/>
        <v>4</v>
      </c>
    </row>
    <row r="212" spans="1:16" ht="15.75" customHeight="1" x14ac:dyDescent="0.25">
      <c r="A212" s="6" t="s">
        <v>564</v>
      </c>
      <c r="B212" s="6" cm="1">
        <f t="array" ref="B212">alea_int(Settings!$B$10,1,Settings!$B$16)</f>
        <v>1</v>
      </c>
      <c r="C212" s="8">
        <v>46023</v>
      </c>
      <c r="D212" s="8">
        <f t="shared" si="13"/>
        <v>46387</v>
      </c>
      <c r="E212" s="6" t="str" cm="1">
        <f t="array" ref="E212">choice(Groupes!A:A,1,Settings!$B$16)</f>
        <v>G9</v>
      </c>
      <c r="F212" s="6" t="str">
        <f t="shared" si="14"/>
        <v>G9</v>
      </c>
      <c r="G212" s="6" t="str">
        <f t="shared" si="15"/>
        <v>Prof41</v>
      </c>
      <c r="H212" s="6" t="str" cm="1">
        <f t="array" ref="H212">choice(Referentiel!A:A,1,Settings!$B$16)</f>
        <v>Design Vêtement</v>
      </c>
      <c r="I212" s="6" t="str" cm="1">
        <f t="array" ref="I212">choice(Referentiel!B:B,1,Settings!$B$16)</f>
        <v>1ère Année Groupe 1 S2</v>
      </c>
      <c r="J212" s="6" t="str" cm="1">
        <f t="array" ref="J212">choice(Referentiel!D:D,1,Settings!$B$16)</f>
        <v>M1</v>
      </c>
      <c r="K212" s="6" t="str" cm="1">
        <f t="array" ref="K212">choice(Professeurs!B:B,1,Settings!$B$16)</f>
        <v>Prof41</v>
      </c>
      <c r="L212" s="5" t="str" cm="1">
        <f t="array" ref="L212">choice(Referentiel!C:C,1,Settings!$B$16)</f>
        <v/>
      </c>
      <c r="M212" s="5" t="str" cm="1">
        <f t="array" ref="M212">choice(Referentiel!E:E,1,Settings!$B$16)</f>
        <v/>
      </c>
      <c r="N212" s="5" t="str" cm="1">
        <f t="array" ref="N212">choice(Settings!K:K,1,Settings!$B$16)</f>
        <v/>
      </c>
      <c r="P212" s="5">
        <f t="shared" si="16"/>
        <v>1</v>
      </c>
    </row>
    <row r="213" spans="1:16" ht="15.75" customHeight="1" x14ac:dyDescent="0.25">
      <c r="A213" s="6" t="s">
        <v>565</v>
      </c>
      <c r="B213" s="6" cm="1">
        <f t="array" ref="B213">alea_int(Settings!$B$10,1,Settings!$B$16)</f>
        <v>3</v>
      </c>
      <c r="C213" s="8">
        <v>46023</v>
      </c>
      <c r="D213" s="8">
        <f t="shared" si="13"/>
        <v>46387</v>
      </c>
      <c r="E213" s="6" t="str" cm="1">
        <f t="array" ref="E213">choice(Groupes!A:A,1,Settings!$B$16)</f>
        <v>G22</v>
      </c>
      <c r="F213" s="6" t="str">
        <f t="shared" si="14"/>
        <v>G22</v>
      </c>
      <c r="G213" s="6" t="str">
        <f t="shared" si="15"/>
        <v>Prof36</v>
      </c>
      <c r="H213" s="6" t="str" cm="1">
        <f t="array" ref="H213">choice(Referentiel!A:A,1,Settings!$B$16)</f>
        <v>1ère année Groupe 2</v>
      </c>
      <c r="I213" s="6" t="str" cm="1">
        <f t="array" ref="I213">choice(Referentiel!B:B,1,Settings!$B$16)</f>
        <v>Césure S1</v>
      </c>
      <c r="J213" s="6" t="str" cm="1">
        <f t="array" ref="J213">choice(Referentiel!D:D,1,Settings!$B$16)</f>
        <v>M2</v>
      </c>
      <c r="K213" s="6" t="str" cm="1">
        <f t="array" ref="K213">choice(Professeurs!B:B,1,Settings!$B$16)</f>
        <v>Prof36</v>
      </c>
      <c r="L213" s="5" t="str" cm="1">
        <f t="array" ref="L213">choice(Referentiel!C:C,1,Settings!$B$16)</f>
        <v>ordinateur</v>
      </c>
      <c r="M213" s="5" t="str" cm="1">
        <f t="array" ref="M213">choice(Referentiel!E:E,1,Settings!$B$16)</f>
        <v/>
      </c>
      <c r="N213" s="5" t="str" cm="1">
        <f t="array" ref="N213">choice(Settings!K:K,1,Settings!$B$16)</f>
        <v/>
      </c>
      <c r="P213" s="5">
        <f t="shared" si="16"/>
        <v>3</v>
      </c>
    </row>
    <row r="214" spans="1:16" ht="15.75" customHeight="1" x14ac:dyDescent="0.25">
      <c r="A214" s="6" t="s">
        <v>566</v>
      </c>
      <c r="B214" s="6" cm="1">
        <f t="array" ref="B214">alea_int(Settings!$B$10,1,Settings!$B$16)</f>
        <v>3</v>
      </c>
      <c r="C214" s="8">
        <v>46023</v>
      </c>
      <c r="D214" s="8">
        <f t="shared" si="13"/>
        <v>46387</v>
      </c>
      <c r="E214" s="6" t="str" cm="1">
        <f t="array" ref="E214">choice(Groupes!A:A,1,Settings!$B$16)</f>
        <v>G29</v>
      </c>
      <c r="F214" s="6" t="str">
        <f t="shared" si="14"/>
        <v>G29</v>
      </c>
      <c r="G214" s="6" t="str">
        <f t="shared" si="15"/>
        <v>Prof47</v>
      </c>
      <c r="H214" s="6" t="str" cm="1">
        <f t="array" ref="H214">choice(Referentiel!A:A,1,Settings!$B$16)</f>
        <v>1ère année Groupe 2</v>
      </c>
      <c r="I214" s="6" t="str" cm="1">
        <f t="array" ref="I214">choice(Referentiel!B:B,1,Settings!$B$16)</f>
        <v>4ème année Image Imprimée S1</v>
      </c>
      <c r="J214" s="6" t="str" cm="1">
        <f t="array" ref="J214">choice(Referentiel!D:D,1,Settings!$B$16)</f>
        <v>L2</v>
      </c>
      <c r="K214" s="6" t="str" cm="1">
        <f t="array" ref="K214">choice(Professeurs!B:B,1,Settings!$B$16)</f>
        <v>Prof47</v>
      </c>
      <c r="L214" s="5" t="str" cm="1">
        <f t="array" ref="L214">choice(Referentiel!C:C,1,Settings!$B$16)</f>
        <v/>
      </c>
      <c r="M214" s="5" t="str" cm="1">
        <f t="array" ref="M214">choice(Referentiel!E:E,1,Settings!$B$16)</f>
        <v/>
      </c>
      <c r="N214" s="5" t="str" cm="1">
        <f t="array" ref="N214">choice(Settings!K:K,1,Settings!$B$16)</f>
        <v>lundi am</v>
      </c>
      <c r="P214" s="5">
        <f t="shared" si="16"/>
        <v>5</v>
      </c>
    </row>
    <row r="215" spans="1:16" ht="15.75" customHeight="1" x14ac:dyDescent="0.25">
      <c r="A215" s="6" t="s">
        <v>567</v>
      </c>
      <c r="B215" s="6" cm="1">
        <f t="array" ref="B215">alea_int(Settings!$B$10,1,Settings!$B$16)</f>
        <v>2</v>
      </c>
      <c r="C215" s="8">
        <v>46023</v>
      </c>
      <c r="D215" s="8">
        <f t="shared" si="13"/>
        <v>46387</v>
      </c>
      <c r="E215" s="6" t="str" cm="1">
        <f t="array" ref="E215">choice(Groupes!A:A,1,Settings!$B$16)</f>
        <v>G20</v>
      </c>
      <c r="F215" s="6" t="str">
        <f t="shared" si="14"/>
        <v>G20</v>
      </c>
      <c r="G215" s="6" t="str">
        <f t="shared" si="15"/>
        <v>Prof34</v>
      </c>
      <c r="H215" s="6" t="str" cm="1">
        <f t="array" ref="H215">choice(Referentiel!A:A,1,Settings!$B$16)</f>
        <v>Mode et Matière</v>
      </c>
      <c r="I215" s="6" t="str" cm="1">
        <f t="array" ref="I215">choice(Referentiel!B:B,1,Settings!$B$16)</f>
        <v>4ème année Design Vêtement S2</v>
      </c>
      <c r="J215" s="6" t="str" cm="1">
        <f t="array" ref="J215">choice(Referentiel!D:D,1,Settings!$B$16)</f>
        <v>L3</v>
      </c>
      <c r="K215" s="6" t="str" cm="1">
        <f t="array" ref="K215">choice(Professeurs!B:B,1,Settings!$B$16)</f>
        <v>Prof34</v>
      </c>
      <c r="L215" s="5" t="str" cm="1">
        <f t="array" ref="L215">choice(Referentiel!C:C,1,Settings!$B$16)</f>
        <v/>
      </c>
      <c r="M215" s="5" t="str" cm="1">
        <f t="array" ref="M215">choice(Referentiel!E:E,1,Settings!$B$16)</f>
        <v/>
      </c>
      <c r="N215" s="5" t="str" cm="1">
        <f t="array" ref="N215">choice(Settings!K:K,1,Settings!$B$16)</f>
        <v/>
      </c>
      <c r="P215" s="5">
        <f t="shared" si="16"/>
        <v>2</v>
      </c>
    </row>
    <row r="216" spans="1:16" ht="15.75" customHeight="1" x14ac:dyDescent="0.25">
      <c r="A216" s="6" t="s">
        <v>568</v>
      </c>
      <c r="B216" s="6" cm="1">
        <f t="array" ref="B216">alea_int(Settings!$B$10,1,Settings!$B$16)</f>
        <v>1</v>
      </c>
      <c r="C216" s="8">
        <v>46023</v>
      </c>
      <c r="D216" s="8">
        <f t="shared" si="13"/>
        <v>46387</v>
      </c>
      <c r="E216" s="6" t="str" cm="1">
        <f t="array" ref="E216">choice(Groupes!A:A,1,Settings!$B$16)</f>
        <v>G15</v>
      </c>
      <c r="F216" s="6" t="str">
        <f t="shared" si="14"/>
        <v>G15</v>
      </c>
      <c r="G216" s="6" t="str">
        <f t="shared" si="15"/>
        <v>Prof10</v>
      </c>
      <c r="H216" s="6" t="str" cm="1">
        <f t="array" ref="H216">choice(Referentiel!A:A,1,Settings!$B$16)</f>
        <v>Mode et Matière</v>
      </c>
      <c r="I216" s="6" t="str" cm="1">
        <f t="array" ref="I216">choice(Referentiel!B:B,1,Settings!$B$16)</f>
        <v>5ème année Scénographie S2</v>
      </c>
      <c r="J216" s="6" t="str" cm="1">
        <f t="array" ref="J216">choice(Referentiel!D:D,1,Settings!$B$16)</f>
        <v>M1</v>
      </c>
      <c r="K216" s="6" t="str" cm="1">
        <f t="array" ref="K216">choice(Professeurs!B:B,1,Settings!$B$16)</f>
        <v>Prof10</v>
      </c>
      <c r="L216" s="5" t="str" cm="1">
        <f t="array" ref="L216">choice(Referentiel!C:C,1,Settings!$B$16)</f>
        <v/>
      </c>
      <c r="M216" s="5" t="str" cm="1">
        <f t="array" ref="M216">choice(Referentiel!E:E,1,Settings!$B$16)</f>
        <v/>
      </c>
      <c r="N216" s="5" t="str" cm="1">
        <f t="array" ref="N216">choice(Settings!K:K,1,Settings!$B$16)</f>
        <v/>
      </c>
      <c r="P216" s="5">
        <f t="shared" si="16"/>
        <v>1</v>
      </c>
    </row>
    <row r="217" spans="1:16" ht="15.75" customHeight="1" x14ac:dyDescent="0.25">
      <c r="A217" s="6" t="s">
        <v>569</v>
      </c>
      <c r="B217" s="6" cm="1">
        <f t="array" ref="B217">alea_int(Settings!$B$10,1,Settings!$B$16)</f>
        <v>3</v>
      </c>
      <c r="C217" s="8">
        <v>46023</v>
      </c>
      <c r="D217" s="8">
        <f t="shared" si="13"/>
        <v>46387</v>
      </c>
      <c r="E217" s="6" t="str" cm="1">
        <f t="array" ref="E217">choice(Groupes!A:A,1,Settings!$B$16)</f>
        <v>G5</v>
      </c>
      <c r="F217" s="6" t="str">
        <f t="shared" si="14"/>
        <v>G5</v>
      </c>
      <c r="G217" s="6" t="str">
        <f t="shared" si="15"/>
        <v>Prof36</v>
      </c>
      <c r="H217" s="6" t="str" cm="1">
        <f t="array" ref="H217">choice(Referentiel!A:A,1,Settings!$B$16)</f>
        <v>Image Imprimée</v>
      </c>
      <c r="I217" s="6" t="str" cm="1">
        <f t="array" ref="I217">choice(Referentiel!B:B,1,Settings!$B$16)</f>
        <v>5ème année Scénographie S1</v>
      </c>
      <c r="J217" s="6" t="str" cm="1">
        <f t="array" ref="J217">choice(Referentiel!D:D,1,Settings!$B$16)</f>
        <v>L2</v>
      </c>
      <c r="K217" s="6" t="str" cm="1">
        <f t="array" ref="K217">choice(Professeurs!B:B,1,Settings!$B$16)</f>
        <v>Prof36</v>
      </c>
      <c r="L217" s="5" t="str" cm="1">
        <f t="array" ref="L217">choice(Referentiel!C:C,1,Settings!$B$16)</f>
        <v>tablette</v>
      </c>
      <c r="M217" s="5" t="str" cm="1">
        <f t="array" ref="M217">choice(Referentiel!E:E,1,Settings!$B$16)</f>
        <v/>
      </c>
      <c r="N217" s="5" t="str" cm="1">
        <f t="array" ref="N217">choice(Settings!K:K,1,Settings!$B$16)</f>
        <v/>
      </c>
      <c r="P217" s="5">
        <f t="shared" si="16"/>
        <v>3</v>
      </c>
    </row>
    <row r="218" spans="1:16" ht="15.75" customHeight="1" x14ac:dyDescent="0.25">
      <c r="A218" s="6" t="s">
        <v>570</v>
      </c>
      <c r="B218" s="6" cm="1">
        <f t="array" ref="B218">alea_int(Settings!$B$10,1,Settings!$B$16)</f>
        <v>3</v>
      </c>
      <c r="C218" s="8">
        <v>46023</v>
      </c>
      <c r="D218" s="8">
        <f t="shared" si="13"/>
        <v>46387</v>
      </c>
      <c r="E218" s="6" t="str" cm="1">
        <f t="array" ref="E218">choice(Groupes!A:A,1,Settings!$B$16)</f>
        <v>G13</v>
      </c>
      <c r="F218" s="6" t="str">
        <f t="shared" si="14"/>
        <v>G13</v>
      </c>
      <c r="G218" s="6" t="str">
        <f t="shared" si="15"/>
        <v>Prof5</v>
      </c>
      <c r="H218" s="6" t="str" cm="1">
        <f t="array" ref="H218">choice(Referentiel!A:A,1,Settings!$B$16)</f>
        <v>Art-Espace</v>
      </c>
      <c r="I218" s="6" t="str" cm="1">
        <f t="array" ref="I218">choice(Referentiel!B:B,1,Settings!$B$16)</f>
        <v>3ème année Cinéma d'Animation S1</v>
      </c>
      <c r="J218" s="6" t="str" cm="1">
        <f t="array" ref="J218">choice(Referentiel!D:D,1,Settings!$B$16)</f>
        <v>M1</v>
      </c>
      <c r="K218" s="6" t="str" cm="1">
        <f t="array" ref="K218">choice(Professeurs!B:B,1,Settings!$B$16)</f>
        <v>Prof5</v>
      </c>
      <c r="L218" s="5" t="str" cm="1">
        <f t="array" ref="L218">choice(Referentiel!C:C,1,Settings!$B$16)</f>
        <v/>
      </c>
      <c r="M218" s="5" t="str" cm="1">
        <f t="array" ref="M218">choice(Referentiel!E:E,1,Settings!$B$16)</f>
        <v/>
      </c>
      <c r="N218" s="5" t="str" cm="1">
        <f t="array" ref="N218">choice(Settings!K:K,1,Settings!$B$16)</f>
        <v/>
      </c>
      <c r="P218" s="5">
        <f t="shared" si="16"/>
        <v>3</v>
      </c>
    </row>
    <row r="219" spans="1:16" ht="15.75" customHeight="1" x14ac:dyDescent="0.25">
      <c r="A219" s="6" t="s">
        <v>571</v>
      </c>
      <c r="B219" s="6" cm="1">
        <f t="array" ref="B219">alea_int(Settings!$B$10,1,Settings!$B$16)</f>
        <v>2</v>
      </c>
      <c r="C219" s="8">
        <v>46023</v>
      </c>
      <c r="D219" s="8">
        <f t="shared" si="13"/>
        <v>46387</v>
      </c>
      <c r="E219" s="6" t="str" cm="1">
        <f t="array" ref="E219">choice(Groupes!A:A,1,Settings!$B$16)</f>
        <v>G1</v>
      </c>
      <c r="F219" s="6" t="str">
        <f t="shared" si="14"/>
        <v>G1</v>
      </c>
      <c r="G219" s="6" t="str">
        <f t="shared" si="15"/>
        <v>Prof11</v>
      </c>
      <c r="H219" s="6" t="str" cm="1">
        <f t="array" ref="H219">choice(Referentiel!A:A,1,Settings!$B$16)</f>
        <v>1ère année Groupe 4</v>
      </c>
      <c r="I219" s="6" t="str" cm="1">
        <f t="array" ref="I219">choice(Referentiel!B:B,1,Settings!$B$16)</f>
        <v>4ème année Design Objet S1</v>
      </c>
      <c r="J219" s="6" t="str" cm="1">
        <f t="array" ref="J219">choice(Referentiel!D:D,1,Settings!$B$16)</f>
        <v>L3</v>
      </c>
      <c r="K219" s="6" t="str" cm="1">
        <f t="array" ref="K219">choice(Professeurs!B:B,1,Settings!$B$16)</f>
        <v>Prof11</v>
      </c>
      <c r="L219" s="5" t="str" cm="1">
        <f t="array" ref="L219">choice(Referentiel!C:C,1,Settings!$B$16)</f>
        <v/>
      </c>
      <c r="M219" s="5" t="str" cm="1">
        <f t="array" ref="M219">choice(Referentiel!E:E,1,Settings!$B$16)</f>
        <v/>
      </c>
      <c r="N219" s="5" t="str" cm="1">
        <f t="array" ref="N219">choice(Settings!K:K,1,Settings!$B$16)</f>
        <v>mardi am</v>
      </c>
      <c r="P219" s="5">
        <f t="shared" si="16"/>
        <v>4</v>
      </c>
    </row>
    <row r="220" spans="1:16" ht="15.75" customHeight="1" x14ac:dyDescent="0.25">
      <c r="A220" s="6" t="s">
        <v>572</v>
      </c>
      <c r="B220" s="6" cm="1">
        <f t="array" ref="B220">alea_int(Settings!$B$10,1,Settings!$B$16)</f>
        <v>3</v>
      </c>
      <c r="C220" s="8">
        <v>46023</v>
      </c>
      <c r="D220" s="8">
        <f t="shared" si="13"/>
        <v>46387</v>
      </c>
      <c r="E220" s="6" t="str" cm="1">
        <f t="array" ref="E220">choice(Groupes!A:A,1,Settings!$B$16)</f>
        <v>G12</v>
      </c>
      <c r="F220" s="6" t="str">
        <f t="shared" si="14"/>
        <v>G12</v>
      </c>
      <c r="G220" s="6" t="str">
        <f t="shared" si="15"/>
        <v>Prof32</v>
      </c>
      <c r="H220" s="6" t="str" cm="1">
        <f t="array" ref="H220">choice(Referentiel!A:A,1,Settings!$B$16)</f>
        <v>Design des mondes insulaires</v>
      </c>
      <c r="I220" s="6" t="str" cm="1">
        <f t="array" ref="I220">choice(Referentiel!B:B,1,Settings!$B$16)</f>
        <v>4ème année Art-Espace S2</v>
      </c>
      <c r="J220" s="6" t="str" cm="1">
        <f t="array" ref="J220">choice(Referentiel!D:D,1,Settings!$B$16)</f>
        <v>L3</v>
      </c>
      <c r="K220" s="6" t="str" cm="1">
        <f t="array" ref="K220">choice(Professeurs!B:B,1,Settings!$B$16)</f>
        <v>Prof32</v>
      </c>
      <c r="L220" s="5" t="str" cm="1">
        <f t="array" ref="L220">choice(Referentiel!C:C,1,Settings!$B$16)</f>
        <v/>
      </c>
      <c r="M220" s="5" t="str" cm="1">
        <f t="array" ref="M220">choice(Referentiel!E:E,1,Settings!$B$16)</f>
        <v/>
      </c>
      <c r="N220" s="5" t="str" cm="1">
        <f t="array" ref="N220">choice(Settings!K:K,1,Settings!$B$16)</f>
        <v>lundi am</v>
      </c>
      <c r="P220" s="5">
        <f t="shared" si="16"/>
        <v>5</v>
      </c>
    </row>
    <row r="221" spans="1:16" ht="15.75" customHeight="1" x14ac:dyDescent="0.25">
      <c r="A221" s="6" t="s">
        <v>573</v>
      </c>
      <c r="B221" s="6" cm="1">
        <f t="array" ref="B221">alea_int(Settings!$B$10,1,Settings!$B$16)</f>
        <v>3</v>
      </c>
      <c r="C221" s="8">
        <v>46023</v>
      </c>
      <c r="D221" s="8">
        <f t="shared" si="13"/>
        <v>46387</v>
      </c>
      <c r="E221" s="6" t="str" cm="1">
        <f t="array" ref="E221">choice(Groupes!A:A,1,Settings!$B$16)</f>
        <v>G7</v>
      </c>
      <c r="F221" s="6" t="str">
        <f t="shared" si="14"/>
        <v>G7</v>
      </c>
      <c r="G221" s="6" t="str">
        <f t="shared" si="15"/>
        <v>Prof48</v>
      </c>
      <c r="H221" s="6" t="str" cm="1">
        <f t="array" ref="H221">choice(Referentiel!A:A,1,Settings!$B$16)</f>
        <v>1ère année Groupe 1</v>
      </c>
      <c r="I221" s="6" t="str" cm="1">
        <f t="array" ref="I221">choice(Referentiel!B:B,1,Settings!$B$16)</f>
        <v>3ème année Image Imprimée S2</v>
      </c>
      <c r="J221" s="6" t="str" cm="1">
        <f t="array" ref="J221">choice(Referentiel!D:D,1,Settings!$B$16)</f>
        <v>L3</v>
      </c>
      <c r="K221" s="6" t="str" cm="1">
        <f t="array" ref="K221">choice(Professeurs!B:B,1,Settings!$B$16)</f>
        <v>Prof48</v>
      </c>
      <c r="L221" s="5" t="str" cm="1">
        <f t="array" ref="L221">choice(Referentiel!C:C,1,Settings!$B$16)</f>
        <v/>
      </c>
      <c r="M221" s="5" t="str" cm="1">
        <f t="array" ref="M221">choice(Referentiel!E:E,1,Settings!$B$16)</f>
        <v/>
      </c>
      <c r="N221" s="5" t="str" cm="1">
        <f t="array" ref="N221">choice(Settings!K:K,1,Settings!$B$16)</f>
        <v/>
      </c>
      <c r="P221" s="5">
        <f t="shared" si="16"/>
        <v>3</v>
      </c>
    </row>
    <row r="222" spans="1:16" ht="15.75" customHeight="1" x14ac:dyDescent="0.25">
      <c r="A222" s="6" t="s">
        <v>574</v>
      </c>
      <c r="B222" s="6" cm="1">
        <f t="array" ref="B222">alea_int(Settings!$B$10,1,Settings!$B$16)</f>
        <v>2</v>
      </c>
      <c r="C222" s="8">
        <v>46023</v>
      </c>
      <c r="D222" s="8">
        <f t="shared" si="13"/>
        <v>46387</v>
      </c>
      <c r="E222" s="6" t="str" cm="1">
        <f t="array" ref="E222">choice(Groupes!A:A,1,Settings!$B$16)</f>
        <v>G18</v>
      </c>
      <c r="F222" s="6" t="str">
        <f t="shared" si="14"/>
        <v>G18</v>
      </c>
      <c r="G222" s="6" t="str">
        <f t="shared" si="15"/>
        <v>Prof42</v>
      </c>
      <c r="H222" s="6" t="str" cm="1">
        <f t="array" ref="H222">choice(Referentiel!A:A,1,Settings!$B$16)</f>
        <v>6ème ANNÉE STAGE</v>
      </c>
      <c r="I222" s="6" t="str" cm="1">
        <f t="array" ref="I222">choice(Referentiel!B:B,1,Settings!$B$16)</f>
        <v>Césure S2</v>
      </c>
      <c r="J222" s="6" t="str" cm="1">
        <f t="array" ref="J222">choice(Referentiel!D:D,1,Settings!$B$16)</f>
        <v>L1</v>
      </c>
      <c r="K222" s="6" t="str" cm="1">
        <f t="array" ref="K222">choice(Professeurs!B:B,1,Settings!$B$16)</f>
        <v>Prof42</v>
      </c>
      <c r="L222" s="5" t="str" cm="1">
        <f t="array" ref="L222">choice(Referentiel!C:C,1,Settings!$B$16)</f>
        <v/>
      </c>
      <c r="M222" s="5" t="str" cm="1">
        <f t="array" ref="M222">choice(Referentiel!E:E,1,Settings!$B$16)</f>
        <v/>
      </c>
      <c r="N222" s="5" t="str" cm="1">
        <f t="array" ref="N222">choice(Settings!K:K,1,Settings!$B$16)</f>
        <v/>
      </c>
      <c r="P222" s="5">
        <f t="shared" si="16"/>
        <v>2</v>
      </c>
    </row>
    <row r="223" spans="1:16" ht="15.75" customHeight="1" x14ac:dyDescent="0.25">
      <c r="A223" s="6" t="s">
        <v>575</v>
      </c>
      <c r="B223" s="6" cm="1">
        <f t="array" ref="B223">alea_int(Settings!$B$10,1,Settings!$B$16)</f>
        <v>1</v>
      </c>
      <c r="C223" s="8">
        <v>46023</v>
      </c>
      <c r="D223" s="8">
        <f t="shared" si="13"/>
        <v>46387</v>
      </c>
      <c r="E223" s="6" t="str" cm="1">
        <f t="array" ref="E223">choice(Groupes!A:A,1,Settings!$B$16)</f>
        <v>G3</v>
      </c>
      <c r="F223" s="6" t="str">
        <f t="shared" si="14"/>
        <v>G3</v>
      </c>
      <c r="G223" s="6" t="str">
        <f t="shared" si="15"/>
        <v>Prof48</v>
      </c>
      <c r="H223" s="6" t="str" cm="1">
        <f t="array" ref="H223">choice(Referentiel!A:A,1,Settings!$B$16)</f>
        <v>Architecture Intérieure</v>
      </c>
      <c r="I223" s="6" t="str" cm="1">
        <f t="array" ref="I223">choice(Referentiel!B:B,1,Settings!$B$16)</f>
        <v>2ème année Design Graphique S1</v>
      </c>
      <c r="J223" s="6" t="str" cm="1">
        <f t="array" ref="J223">choice(Referentiel!D:D,1,Settings!$B$16)</f>
        <v>L2</v>
      </c>
      <c r="K223" s="6" t="str" cm="1">
        <f t="array" ref="K223">choice(Professeurs!B:B,1,Settings!$B$16)</f>
        <v>Prof48</v>
      </c>
      <c r="L223" s="5" t="str" cm="1">
        <f t="array" ref="L223">choice(Referentiel!C:C,1,Settings!$B$16)</f>
        <v/>
      </c>
      <c r="M223" s="5" t="str" cm="1">
        <f t="array" ref="M223">choice(Referentiel!E:E,1,Settings!$B$16)</f>
        <v/>
      </c>
      <c r="N223" s="5" t="str" cm="1">
        <f t="array" ref="N223">choice(Settings!K:K,1,Settings!$B$16)</f>
        <v/>
      </c>
      <c r="P223" s="5">
        <f t="shared" si="16"/>
        <v>1</v>
      </c>
    </row>
    <row r="224" spans="1:16" ht="15.75" customHeight="1" x14ac:dyDescent="0.25">
      <c r="A224" s="6" t="s">
        <v>576</v>
      </c>
      <c r="B224" s="6" cm="1">
        <f t="array" ref="B224">alea_int(Settings!$B$10,1,Settings!$B$16)</f>
        <v>1</v>
      </c>
      <c r="C224" s="8">
        <v>46023</v>
      </c>
      <c r="D224" s="8">
        <f t="shared" si="13"/>
        <v>46387</v>
      </c>
      <c r="E224" s="6" t="str" cm="1">
        <f t="array" ref="E224">choice(Groupes!A:A,1,Settings!$B$16)</f>
        <v>G2</v>
      </c>
      <c r="F224" s="6" t="str">
        <f t="shared" si="14"/>
        <v>G2</v>
      </c>
      <c r="G224" s="6" t="str">
        <f t="shared" si="15"/>
        <v>Prof10</v>
      </c>
      <c r="H224" s="6" t="str" cm="1">
        <f t="array" ref="H224">choice(Referentiel!A:A,1,Settings!$B$16)</f>
        <v>Gr SPATIAL MEDIA</v>
      </c>
      <c r="I224" s="6" t="str" cm="1">
        <f t="array" ref="I224">choice(Referentiel!B:B,1,Settings!$B$16)</f>
        <v>4ème année Design Objet S1</v>
      </c>
      <c r="J224" s="6" t="str" cm="1">
        <f t="array" ref="J224">choice(Referentiel!D:D,1,Settings!$B$16)</f>
        <v>L1</v>
      </c>
      <c r="K224" s="6" t="str" cm="1">
        <f t="array" ref="K224">choice(Professeurs!B:B,1,Settings!$B$16)</f>
        <v>Prof10</v>
      </c>
      <c r="L224" s="5" t="str" cm="1">
        <f t="array" ref="L224">choice(Referentiel!C:C,1,Settings!$B$16)</f>
        <v/>
      </c>
      <c r="M224" s="5" t="str" cm="1">
        <f t="array" ref="M224">choice(Referentiel!E:E,1,Settings!$B$16)</f>
        <v/>
      </c>
      <c r="N224" s="5" t="str" cm="1">
        <f t="array" ref="N224">choice(Settings!K:K,1,Settings!$B$16)</f>
        <v/>
      </c>
      <c r="P224" s="5">
        <f t="shared" si="16"/>
        <v>1</v>
      </c>
    </row>
    <row r="225" spans="1:16" ht="15.75" customHeight="1" x14ac:dyDescent="0.25">
      <c r="A225" s="6" t="s">
        <v>577</v>
      </c>
      <c r="B225" s="6" cm="1">
        <f t="array" ref="B225">alea_int(Settings!$B$10,1,Settings!$B$16)</f>
        <v>2</v>
      </c>
      <c r="C225" s="8">
        <v>46023</v>
      </c>
      <c r="D225" s="8">
        <f t="shared" si="13"/>
        <v>46387</v>
      </c>
      <c r="E225" s="6" t="str" cm="1">
        <f t="array" ref="E225">choice(Groupes!A:A,1,Settings!$B$16)</f>
        <v>G13</v>
      </c>
      <c r="F225" s="6" t="str">
        <f t="shared" si="14"/>
        <v>G13</v>
      </c>
      <c r="G225" s="6" t="str">
        <f t="shared" si="15"/>
        <v>Prof16</v>
      </c>
      <c r="H225" s="6" t="str" cm="1">
        <f t="array" ref="H225">choice(Referentiel!A:A,1,Settings!$B$16)</f>
        <v>Design Textile et Matière</v>
      </c>
      <c r="I225" s="6" t="str" cm="1">
        <f t="array" ref="I225">choice(Referentiel!B:B,1,Settings!$B$16)</f>
        <v>5ème année Image Imprimée S2</v>
      </c>
      <c r="J225" s="6" t="str" cm="1">
        <f t="array" ref="J225">choice(Referentiel!D:D,1,Settings!$B$16)</f>
        <v>L1</v>
      </c>
      <c r="K225" s="6" t="str" cm="1">
        <f t="array" ref="K225">choice(Professeurs!B:B,1,Settings!$B$16)</f>
        <v>Prof16</v>
      </c>
      <c r="L225" s="5" t="str" cm="1">
        <f t="array" ref="L225">choice(Referentiel!C:C,1,Settings!$B$16)</f>
        <v/>
      </c>
      <c r="M225" s="5" t="str" cm="1">
        <f t="array" ref="M225">choice(Referentiel!E:E,1,Settings!$B$16)</f>
        <v/>
      </c>
      <c r="N225" s="5" t="str" cm="1">
        <f t="array" ref="N225">choice(Settings!K:K,1,Settings!$B$16)</f>
        <v/>
      </c>
      <c r="P225" s="5">
        <f t="shared" si="16"/>
        <v>2</v>
      </c>
    </row>
    <row r="226" spans="1:16" ht="15.75" customHeight="1" x14ac:dyDescent="0.25">
      <c r="A226" s="6" t="s">
        <v>578</v>
      </c>
      <c r="B226" s="6" cm="1">
        <f t="array" ref="B226">alea_int(Settings!$B$10,1,Settings!$B$16)</f>
        <v>3</v>
      </c>
      <c r="C226" s="8">
        <v>46023</v>
      </c>
      <c r="D226" s="8">
        <f t="shared" si="13"/>
        <v>46387</v>
      </c>
      <c r="E226" s="6" t="str" cm="1">
        <f t="array" ref="E226">choice(Groupes!A:A,1,Settings!$B$16)</f>
        <v>G4</v>
      </c>
      <c r="F226" s="6" t="str">
        <f t="shared" si="14"/>
        <v>G4</v>
      </c>
      <c r="G226" s="6" t="str">
        <f t="shared" si="15"/>
        <v>Prof28</v>
      </c>
      <c r="H226" s="6" t="str" cm="1">
        <f t="array" ref="H226">choice(Referentiel!A:A,1,Settings!$B$16)</f>
        <v>Design des mondes urbains</v>
      </c>
      <c r="I226" s="6" t="str" cm="1">
        <f t="array" ref="I226">choice(Referentiel!B:B,1,Settings!$B$16)</f>
        <v>2ème année Art-Espace S2</v>
      </c>
      <c r="J226" s="6" t="str" cm="1">
        <f t="array" ref="J226">choice(Referentiel!D:D,1,Settings!$B$16)</f>
        <v>M1</v>
      </c>
      <c r="K226" s="6" t="str" cm="1">
        <f t="array" ref="K226">choice(Professeurs!B:B,1,Settings!$B$16)</f>
        <v>Prof28</v>
      </c>
      <c r="L226" s="5" t="str" cm="1">
        <f t="array" ref="L226">choice(Referentiel!C:C,1,Settings!$B$16)</f>
        <v/>
      </c>
      <c r="M226" s="5" t="str" cm="1">
        <f t="array" ref="M226">choice(Referentiel!E:E,1,Settings!$B$16)</f>
        <v/>
      </c>
      <c r="N226" s="5" t="str" cm="1">
        <f t="array" ref="N226">choice(Settings!K:K,1,Settings!$B$16)</f>
        <v>jeudi pm</v>
      </c>
      <c r="P226" s="5">
        <f t="shared" si="16"/>
        <v>5</v>
      </c>
    </row>
    <row r="227" spans="1:16" ht="15.75" customHeight="1" x14ac:dyDescent="0.25">
      <c r="A227" s="6" t="s">
        <v>579</v>
      </c>
      <c r="B227" s="6" cm="1">
        <f t="array" ref="B227">alea_int(Settings!$B$10,1,Settings!$B$16)</f>
        <v>3</v>
      </c>
      <c r="C227" s="8">
        <v>46023</v>
      </c>
      <c r="D227" s="8">
        <f t="shared" si="13"/>
        <v>46387</v>
      </c>
      <c r="E227" s="6" t="str" cm="1">
        <f t="array" ref="E227">choice(Groupes!A:A,1,Settings!$B$16)</f>
        <v>G13</v>
      </c>
      <c r="F227" s="6" t="str">
        <f t="shared" si="14"/>
        <v>G13</v>
      </c>
      <c r="G227" s="6" t="str">
        <f t="shared" si="15"/>
        <v>Prof53</v>
      </c>
      <c r="H227" s="6" t="str" cm="1">
        <f t="array" ref="H227">choice(Referentiel!A:A,1,Settings!$B$16)</f>
        <v>Photo / Vidéo</v>
      </c>
      <c r="I227" s="6" t="str" cm="1">
        <f t="array" ref="I227">choice(Referentiel!B:B,1,Settings!$B$16)</f>
        <v>2ème année Image Imprimée S2</v>
      </c>
      <c r="J227" s="6" t="str" cm="1">
        <f t="array" ref="J227">choice(Referentiel!D:D,1,Settings!$B$16)</f>
        <v>L3</v>
      </c>
      <c r="K227" s="6" t="str" cm="1">
        <f t="array" ref="K227">choice(Professeurs!B:B,1,Settings!$B$16)</f>
        <v>Prof53</v>
      </c>
      <c r="L227" s="5" t="str" cm="1">
        <f t="array" ref="L227">choice(Referentiel!C:C,1,Settings!$B$16)</f>
        <v/>
      </c>
      <c r="M227" s="5" t="str" cm="1">
        <f t="array" ref="M227">choice(Referentiel!E:E,1,Settings!$B$16)</f>
        <v/>
      </c>
      <c r="N227" s="5" t="str" cm="1">
        <f t="array" ref="N227">choice(Settings!K:K,1,Settings!$B$16)</f>
        <v>jeudi pm</v>
      </c>
      <c r="P227" s="5">
        <f t="shared" si="16"/>
        <v>5</v>
      </c>
    </row>
    <row r="228" spans="1:16" ht="15.75" customHeight="1" x14ac:dyDescent="0.25">
      <c r="A228" s="6" t="s">
        <v>580</v>
      </c>
      <c r="B228" s="6" cm="1">
        <f t="array" ref="B228">alea_int(Settings!$B$10,1,Settings!$B$16)</f>
        <v>3</v>
      </c>
      <c r="C228" s="8">
        <v>46023</v>
      </c>
      <c r="D228" s="8">
        <f t="shared" si="13"/>
        <v>46387</v>
      </c>
      <c r="E228" s="6" t="str" cm="1">
        <f t="array" ref="E228">choice(Groupes!A:A,1,Settings!$B$16)</f>
        <v>G8</v>
      </c>
      <c r="F228" s="6" t="str">
        <f t="shared" si="14"/>
        <v>G8</v>
      </c>
      <c r="G228" s="6" t="str">
        <f t="shared" si="15"/>
        <v>Prof11</v>
      </c>
      <c r="H228" s="6" t="str" cm="1">
        <f t="array" ref="H228">choice(Referentiel!A:A,1,Settings!$B$16)</f>
        <v>Design Textile et Matière</v>
      </c>
      <c r="I228" s="6" t="str" cm="1">
        <f t="array" ref="I228">choice(Referentiel!B:B,1,Settings!$B$16)</f>
        <v>1ère Année Groupe 3 S1</v>
      </c>
      <c r="J228" s="6" t="str" cm="1">
        <f t="array" ref="J228">choice(Referentiel!D:D,1,Settings!$B$16)</f>
        <v>M1</v>
      </c>
      <c r="K228" s="6" t="str" cm="1">
        <f t="array" ref="K228">choice(Professeurs!B:B,1,Settings!$B$16)</f>
        <v>Prof11</v>
      </c>
      <c r="L228" s="5" t="str" cm="1">
        <f t="array" ref="L228">choice(Referentiel!C:C,1,Settings!$B$16)</f>
        <v>fenetre</v>
      </c>
      <c r="M228" s="5" t="str" cm="1">
        <f t="array" ref="M228">choice(Referentiel!E:E,1,Settings!$B$16)</f>
        <v/>
      </c>
      <c r="N228" s="5" t="str" cm="1">
        <f t="array" ref="N228">choice(Settings!K:K,1,Settings!$B$16)</f>
        <v>mercredi ap</v>
      </c>
      <c r="P228" s="5">
        <f t="shared" si="16"/>
        <v>5</v>
      </c>
    </row>
    <row r="229" spans="1:16" ht="15.75" customHeight="1" x14ac:dyDescent="0.25">
      <c r="A229" s="6" t="s">
        <v>581</v>
      </c>
      <c r="B229" s="6" cm="1">
        <f t="array" ref="B229">alea_int(Settings!$B$10,1,Settings!$B$16)</f>
        <v>1</v>
      </c>
      <c r="C229" s="8">
        <v>46023</v>
      </c>
      <c r="D229" s="8">
        <f t="shared" si="13"/>
        <v>46387</v>
      </c>
      <c r="E229" s="6" t="str" cm="1">
        <f t="array" ref="E229">choice(Groupes!A:A,1,Settings!$B$16)</f>
        <v>G11</v>
      </c>
      <c r="F229" s="6" t="str">
        <f t="shared" si="14"/>
        <v>G11</v>
      </c>
      <c r="G229" s="6" t="str">
        <f t="shared" si="15"/>
        <v>Prof45</v>
      </c>
      <c r="H229" s="6" t="str" cm="1">
        <f t="array" ref="H229">choice(Referentiel!A:A,1,Settings!$B$16)</f>
        <v>Photo / Vidéo</v>
      </c>
      <c r="I229" s="6" t="str" cm="1">
        <f t="array" ref="I229">choice(Referentiel!B:B,1,Settings!$B$16)</f>
        <v>3ème année Design Graphique S1</v>
      </c>
      <c r="J229" s="6" t="str" cm="1">
        <f t="array" ref="J229">choice(Referentiel!D:D,1,Settings!$B$16)</f>
        <v>M2</v>
      </c>
      <c r="K229" s="6" t="str" cm="1">
        <f t="array" ref="K229">choice(Professeurs!B:B,1,Settings!$B$16)</f>
        <v>Prof45</v>
      </c>
      <c r="L229" s="5" t="str" cm="1">
        <f t="array" ref="L229">choice(Referentiel!C:C,1,Settings!$B$16)</f>
        <v/>
      </c>
      <c r="M229" s="5" t="str" cm="1">
        <f t="array" ref="M229">choice(Referentiel!E:E,1,Settings!$B$16)</f>
        <v/>
      </c>
      <c r="N229" s="5" t="str" cm="1">
        <f t="array" ref="N229">choice(Settings!K:K,1,Settings!$B$16)</f>
        <v>vendredi am</v>
      </c>
      <c r="P229" s="5">
        <f t="shared" si="16"/>
        <v>3</v>
      </c>
    </row>
    <row r="230" spans="1:16" ht="15.75" customHeight="1" x14ac:dyDescent="0.25">
      <c r="A230" s="6" t="s">
        <v>582</v>
      </c>
      <c r="B230" s="6" cm="1">
        <f t="array" ref="B230">alea_int(Settings!$B$10,1,Settings!$B$16)</f>
        <v>2</v>
      </c>
      <c r="C230" s="8">
        <v>46023</v>
      </c>
      <c r="D230" s="8">
        <f t="shared" si="13"/>
        <v>46387</v>
      </c>
      <c r="E230" s="6" t="str" cm="1">
        <f t="array" ref="E230">choice(Groupes!A:A,1,Settings!$B$16)</f>
        <v>G8</v>
      </c>
      <c r="F230" s="6" t="str">
        <f t="shared" si="14"/>
        <v>G8</v>
      </c>
      <c r="G230" s="6" t="str">
        <f t="shared" si="15"/>
        <v>Prof54</v>
      </c>
      <c r="H230" s="6" t="str" cm="1">
        <f t="array" ref="H230">choice(Referentiel!A:A,1,Settings!$B$16)</f>
        <v>Design Graphique</v>
      </c>
      <c r="I230" s="6" t="str" cm="1">
        <f t="array" ref="I230">choice(Referentiel!B:B,1,Settings!$B$16)</f>
        <v>1ère Année Groupe 4 S2</v>
      </c>
      <c r="J230" s="6" t="str" cm="1">
        <f t="array" ref="J230">choice(Referentiel!D:D,1,Settings!$B$16)</f>
        <v>M1</v>
      </c>
      <c r="K230" s="6" t="str" cm="1">
        <f t="array" ref="K230">choice(Professeurs!B:B,1,Settings!$B$16)</f>
        <v>Prof54</v>
      </c>
      <c r="L230" s="5" t="str" cm="1">
        <f t="array" ref="L230">choice(Referentiel!C:C,1,Settings!$B$16)</f>
        <v/>
      </c>
      <c r="M230" s="5" t="str" cm="1">
        <f t="array" ref="M230">choice(Referentiel!E:E,1,Settings!$B$16)</f>
        <v/>
      </c>
      <c r="N230" s="5" t="str" cm="1">
        <f t="array" ref="N230">choice(Settings!K:K,1,Settings!$B$16)</f>
        <v/>
      </c>
      <c r="P230" s="5">
        <f t="shared" si="16"/>
        <v>2</v>
      </c>
    </row>
    <row r="231" spans="1:16" ht="15.75" customHeight="1" x14ac:dyDescent="0.25">
      <c r="A231" s="6" t="s">
        <v>583</v>
      </c>
      <c r="B231" s="6" cm="1">
        <f t="array" ref="B231">alea_int(Settings!$B$10,1,Settings!$B$16)</f>
        <v>2</v>
      </c>
      <c r="C231" s="8">
        <v>46023</v>
      </c>
      <c r="D231" s="8">
        <f t="shared" si="13"/>
        <v>46387</v>
      </c>
      <c r="E231" s="6" t="str" cm="1">
        <f t="array" ref="E231">choice(Groupes!A:A,1,Settings!$B$16)</f>
        <v>G12</v>
      </c>
      <c r="F231" s="6" t="str">
        <f t="shared" si="14"/>
        <v>G12</v>
      </c>
      <c r="G231" s="6" t="str">
        <f t="shared" si="15"/>
        <v>Prof46</v>
      </c>
      <c r="H231" s="6" t="str" cm="1">
        <f t="array" ref="H231">choice(Referentiel!A:A,1,Settings!$B$16)</f>
        <v>Scénographie</v>
      </c>
      <c r="I231" s="6" t="str" cm="1">
        <f t="array" ref="I231">choice(Referentiel!B:B,1,Settings!$B$16)</f>
        <v>2ème année Image Imprimée S1</v>
      </c>
      <c r="J231" s="6" t="str" cm="1">
        <f t="array" ref="J231">choice(Referentiel!D:D,1,Settings!$B$16)</f>
        <v>L3</v>
      </c>
      <c r="K231" s="6" t="str" cm="1">
        <f t="array" ref="K231">choice(Professeurs!B:B,1,Settings!$B$16)</f>
        <v>Prof46</v>
      </c>
      <c r="L231" s="5" t="str" cm="1">
        <f t="array" ref="L231">choice(Referentiel!C:C,1,Settings!$B$16)</f>
        <v/>
      </c>
      <c r="M231" s="5" t="str" cm="1">
        <f t="array" ref="M231">choice(Referentiel!E:E,1,Settings!$B$16)</f>
        <v/>
      </c>
      <c r="N231" s="5" t="str" cm="1">
        <f t="array" ref="N231">choice(Settings!K:K,1,Settings!$B$16)</f>
        <v/>
      </c>
      <c r="P231" s="5">
        <f t="shared" si="16"/>
        <v>2</v>
      </c>
    </row>
    <row r="232" spans="1:16" ht="15.75" customHeight="1" x14ac:dyDescent="0.25">
      <c r="A232" s="6" t="s">
        <v>584</v>
      </c>
      <c r="B232" s="6" cm="1">
        <f t="array" ref="B232">alea_int(Settings!$B$10,1,Settings!$B$16)</f>
        <v>3</v>
      </c>
      <c r="C232" s="8">
        <v>46023</v>
      </c>
      <c r="D232" s="8">
        <f t="shared" si="13"/>
        <v>46387</v>
      </c>
      <c r="E232" s="6" t="str" cm="1">
        <f t="array" ref="E232">choice(Groupes!A:A,1,Settings!$B$16)</f>
        <v>G24</v>
      </c>
      <c r="F232" s="6" t="str">
        <f t="shared" si="14"/>
        <v>G24</v>
      </c>
      <c r="G232" s="6" t="str">
        <f t="shared" si="15"/>
        <v>Prof45</v>
      </c>
      <c r="H232" s="6" t="str" cm="1">
        <f t="array" ref="H232">choice(Referentiel!A:A,1,Settings!$B$16)</f>
        <v>6ème ANNÉE STAGE</v>
      </c>
      <c r="I232" s="6" t="str" cm="1">
        <f t="array" ref="I232">choice(Referentiel!B:B,1,Settings!$B$16)</f>
        <v>3ème année Design Textile et Matière S1</v>
      </c>
      <c r="J232" s="6" t="str" cm="1">
        <f t="array" ref="J232">choice(Referentiel!D:D,1,Settings!$B$16)</f>
        <v>L3</v>
      </c>
      <c r="K232" s="6" t="str" cm="1">
        <f t="array" ref="K232">choice(Professeurs!B:B,1,Settings!$B$16)</f>
        <v>Prof45</v>
      </c>
      <c r="L232" s="5" t="str" cm="1">
        <f t="array" ref="L232">choice(Referentiel!C:C,1,Settings!$B$16)</f>
        <v/>
      </c>
      <c r="M232" s="5" t="str" cm="1">
        <f t="array" ref="M232">choice(Referentiel!E:E,1,Settings!$B$16)</f>
        <v/>
      </c>
      <c r="N232" s="5" t="str" cm="1">
        <f t="array" ref="N232">choice(Settings!K:K,1,Settings!$B$16)</f>
        <v/>
      </c>
      <c r="P232" s="5">
        <f t="shared" si="16"/>
        <v>3</v>
      </c>
    </row>
    <row r="233" spans="1:16" ht="15.75" customHeight="1" x14ac:dyDescent="0.25">
      <c r="A233" s="6" t="s">
        <v>585</v>
      </c>
      <c r="B233" s="6" cm="1">
        <f t="array" ref="B233">alea_int(Settings!$B$10,1,Settings!$B$16)</f>
        <v>1</v>
      </c>
      <c r="C233" s="8">
        <v>46023</v>
      </c>
      <c r="D233" s="8">
        <f t="shared" si="13"/>
        <v>46387</v>
      </c>
      <c r="E233" s="6" t="str" cm="1">
        <f t="array" ref="E233">choice(Groupes!A:A,1,Settings!$B$16)</f>
        <v>G2</v>
      </c>
      <c r="F233" s="6" t="str">
        <f t="shared" si="14"/>
        <v>G2</v>
      </c>
      <c r="G233" s="6" t="str">
        <f t="shared" si="15"/>
        <v>Prof51</v>
      </c>
      <c r="H233" s="6" t="str" cm="1">
        <f t="array" ref="H233">choice(Referentiel!A:A,1,Settings!$B$16)</f>
        <v>Photo / Vidéo</v>
      </c>
      <c r="I233" s="6" t="str" cm="1">
        <f t="array" ref="I233">choice(Referentiel!B:B,1,Settings!$B$16)</f>
        <v>4ème année Cinéma d'Animation S1</v>
      </c>
      <c r="J233" s="6" t="str" cm="1">
        <f t="array" ref="J233">choice(Referentiel!D:D,1,Settings!$B$16)</f>
        <v>L2</v>
      </c>
      <c r="K233" s="6" t="str" cm="1">
        <f t="array" ref="K233">choice(Professeurs!B:B,1,Settings!$B$16)</f>
        <v>Prof51</v>
      </c>
      <c r="L233" s="5" t="str" cm="1">
        <f t="array" ref="L233">choice(Referentiel!C:C,1,Settings!$B$16)</f>
        <v/>
      </c>
      <c r="M233" s="5" t="str" cm="1">
        <f t="array" ref="M233">choice(Referentiel!E:E,1,Settings!$B$16)</f>
        <v/>
      </c>
      <c r="N233" s="5" t="str" cm="1">
        <f t="array" ref="N233">choice(Settings!K:K,1,Settings!$B$16)</f>
        <v/>
      </c>
      <c r="P233" s="5">
        <f t="shared" si="16"/>
        <v>1</v>
      </c>
    </row>
    <row r="234" spans="1:16" ht="15.75" customHeight="1" x14ac:dyDescent="0.25">
      <c r="A234" s="6" t="s">
        <v>586</v>
      </c>
      <c r="B234" s="6" cm="1">
        <f t="array" ref="B234">alea_int(Settings!$B$10,1,Settings!$B$16)</f>
        <v>3</v>
      </c>
      <c r="C234" s="8">
        <v>46023</v>
      </c>
      <c r="D234" s="8">
        <f t="shared" si="13"/>
        <v>46387</v>
      </c>
      <c r="E234" s="6" t="str" cm="1">
        <f t="array" ref="E234">choice(Groupes!A:A,1,Settings!$B$16)</f>
        <v>G15</v>
      </c>
      <c r="F234" s="6" t="str">
        <f t="shared" si="14"/>
        <v>G15</v>
      </c>
      <c r="G234" s="6" t="str">
        <f t="shared" si="15"/>
        <v>Prof41</v>
      </c>
      <c r="H234" s="6" t="str" cm="1">
        <f t="array" ref="H234">choice(Referentiel!A:A,1,Settings!$B$16)</f>
        <v>Gr TERRITOIRES</v>
      </c>
      <c r="I234" s="6" t="str" cm="1">
        <f t="array" ref="I234">choice(Referentiel!B:B,1,Settings!$B$16)</f>
        <v>5ème année Scénographie S2</v>
      </c>
      <c r="J234" s="6" t="str" cm="1">
        <f t="array" ref="J234">choice(Referentiel!D:D,1,Settings!$B$16)</f>
        <v>L3</v>
      </c>
      <c r="K234" s="6" t="str" cm="1">
        <f t="array" ref="K234">choice(Professeurs!B:B,1,Settings!$B$16)</f>
        <v>Prof41</v>
      </c>
      <c r="L234" s="5" t="str" cm="1">
        <f t="array" ref="L234">choice(Referentiel!C:C,1,Settings!$B$16)</f>
        <v/>
      </c>
      <c r="M234" s="5" t="str" cm="1">
        <f t="array" ref="M234">choice(Referentiel!E:E,1,Settings!$B$16)</f>
        <v/>
      </c>
      <c r="N234" s="5" t="str" cm="1">
        <f t="array" ref="N234">choice(Settings!K:K,1,Settings!$B$16)</f>
        <v/>
      </c>
      <c r="P234" s="5">
        <f t="shared" si="16"/>
        <v>3</v>
      </c>
    </row>
    <row r="235" spans="1:16" ht="15.75" customHeight="1" x14ac:dyDescent="0.25">
      <c r="A235" s="6" t="s">
        <v>587</v>
      </c>
      <c r="B235" s="6" cm="1">
        <f t="array" ref="B235">alea_int(Settings!$B$10,1,Settings!$B$16)</f>
        <v>3</v>
      </c>
      <c r="C235" s="8">
        <v>46023</v>
      </c>
      <c r="D235" s="8">
        <f t="shared" si="13"/>
        <v>46387</v>
      </c>
      <c r="E235" s="6" t="str" cm="1">
        <f t="array" ref="E235">choice(Groupes!A:A,1,Settings!$B$16)</f>
        <v>G25</v>
      </c>
      <c r="F235" s="6" t="str">
        <f t="shared" si="14"/>
        <v>G25</v>
      </c>
      <c r="G235" s="6" t="str">
        <f t="shared" si="15"/>
        <v>Prof6</v>
      </c>
      <c r="H235" s="6" t="str" cm="1">
        <f t="array" ref="H235">choice(Referentiel!A:A,1,Settings!$B$16)</f>
        <v>Gr SPATIAL MEDIA</v>
      </c>
      <c r="I235" s="6" t="str" cm="1">
        <f t="array" ref="I235">choice(Referentiel!B:B,1,Settings!$B$16)</f>
        <v>2ème année Art-Espace S1</v>
      </c>
      <c r="J235" s="6" t="str" cm="1">
        <f t="array" ref="J235">choice(Referentiel!D:D,1,Settings!$B$16)</f>
        <v>L1</v>
      </c>
      <c r="K235" s="6" t="str" cm="1">
        <f t="array" ref="K235">choice(Professeurs!B:B,1,Settings!$B$16)</f>
        <v>Prof6</v>
      </c>
      <c r="L235" s="5" t="str" cm="1">
        <f t="array" ref="L235">choice(Referentiel!C:C,1,Settings!$B$16)</f>
        <v/>
      </c>
      <c r="M235" s="5" t="str" cm="1">
        <f t="array" ref="M235">choice(Referentiel!E:E,1,Settings!$B$16)</f>
        <v/>
      </c>
      <c r="N235" s="5" t="str" cm="1">
        <f t="array" ref="N235">choice(Settings!K:K,1,Settings!$B$16)</f>
        <v/>
      </c>
      <c r="P235" s="5">
        <f t="shared" si="16"/>
        <v>3</v>
      </c>
    </row>
    <row r="236" spans="1:16" ht="15.75" customHeight="1" x14ac:dyDescent="0.25">
      <c r="A236" s="6" t="s">
        <v>588</v>
      </c>
      <c r="B236" s="6" cm="1">
        <f t="array" ref="B236">alea_int(Settings!$B$10,1,Settings!$B$16)</f>
        <v>3</v>
      </c>
      <c r="C236" s="8">
        <v>46023</v>
      </c>
      <c r="D236" s="8">
        <f t="shared" si="13"/>
        <v>46387</v>
      </c>
      <c r="E236" s="6" t="str" cm="1">
        <f t="array" ref="E236">choice(Groupes!A:A,1,Settings!$B$16)</f>
        <v>G4</v>
      </c>
      <c r="F236" s="6" t="str">
        <f t="shared" si="14"/>
        <v>G4</v>
      </c>
      <c r="G236" s="6" t="str">
        <f t="shared" si="15"/>
        <v>Prof38</v>
      </c>
      <c r="H236" s="6" t="str" cm="1">
        <f t="array" ref="H236">choice(Referentiel!A:A,1,Settings!$B$16)</f>
        <v>Art-Espace</v>
      </c>
      <c r="I236" s="6" t="str" cm="1">
        <f t="array" ref="I236">choice(Referentiel!B:B,1,Settings!$B$16)</f>
        <v>1ère Année Groupe 3 S1</v>
      </c>
      <c r="J236" s="6" t="str" cm="1">
        <f t="array" ref="J236">choice(Referentiel!D:D,1,Settings!$B$16)</f>
        <v>M2</v>
      </c>
      <c r="K236" s="6" t="str" cm="1">
        <f t="array" ref="K236">choice(Professeurs!B:B,1,Settings!$B$16)</f>
        <v>Prof38</v>
      </c>
      <c r="L236" s="5" t="str" cm="1">
        <f t="array" ref="L236">choice(Referentiel!C:C,1,Settings!$B$16)</f>
        <v/>
      </c>
      <c r="M236" s="5" t="str" cm="1">
        <f t="array" ref="M236">choice(Referentiel!E:E,1,Settings!$B$16)</f>
        <v/>
      </c>
      <c r="N236" s="5" t="str" cm="1">
        <f t="array" ref="N236">choice(Settings!K:K,1,Settings!$B$16)</f>
        <v/>
      </c>
      <c r="P236" s="5">
        <f t="shared" si="16"/>
        <v>3</v>
      </c>
    </row>
    <row r="237" spans="1:16" ht="15.75" customHeight="1" x14ac:dyDescent="0.25">
      <c r="A237" s="6" t="s">
        <v>589</v>
      </c>
      <c r="B237" s="6" cm="1">
        <f t="array" ref="B237">alea_int(Settings!$B$10,1,Settings!$B$16)</f>
        <v>1</v>
      </c>
      <c r="C237" s="8">
        <v>46023</v>
      </c>
      <c r="D237" s="8">
        <f t="shared" si="13"/>
        <v>46387</v>
      </c>
      <c r="E237" s="6" t="str" cm="1">
        <f t="array" ref="E237">choice(Groupes!A:A,1,Settings!$B$16)</f>
        <v>G18</v>
      </c>
      <c r="F237" s="6" t="str">
        <f t="shared" si="14"/>
        <v>G18</v>
      </c>
      <c r="G237" s="6" t="str">
        <f t="shared" si="15"/>
        <v>Prof30</v>
      </c>
      <c r="H237" s="6" t="str" cm="1">
        <f t="array" ref="H237">choice(Referentiel!A:A,1,Settings!$B$16)</f>
        <v>1ère année Groupe 3</v>
      </c>
      <c r="I237" s="6" t="str" cm="1">
        <f t="array" ref="I237">choice(Referentiel!B:B,1,Settings!$B$16)</f>
        <v>5ème année Design Textile et Matière S1</v>
      </c>
      <c r="J237" s="6" t="str" cm="1">
        <f t="array" ref="J237">choice(Referentiel!D:D,1,Settings!$B$16)</f>
        <v>L1</v>
      </c>
      <c r="K237" s="6" t="str" cm="1">
        <f t="array" ref="K237">choice(Professeurs!B:B,1,Settings!$B$16)</f>
        <v>Prof30</v>
      </c>
      <c r="L237" s="5" t="str" cm="1">
        <f t="array" ref="L237">choice(Referentiel!C:C,1,Settings!$B$16)</f>
        <v/>
      </c>
      <c r="M237" s="5" t="str" cm="1">
        <f t="array" ref="M237">choice(Referentiel!E:E,1,Settings!$B$16)</f>
        <v/>
      </c>
      <c r="N237" s="5" t="str" cm="1">
        <f t="array" ref="N237">choice(Settings!K:K,1,Settings!$B$16)</f>
        <v/>
      </c>
      <c r="P237" s="5">
        <f t="shared" si="16"/>
        <v>1</v>
      </c>
    </row>
    <row r="238" spans="1:16" ht="15.75" customHeight="1" x14ac:dyDescent="0.25">
      <c r="A238" s="6" t="s">
        <v>590</v>
      </c>
      <c r="B238" s="6" cm="1">
        <f t="array" ref="B238">alea_int(Settings!$B$10,1,Settings!$B$16)</f>
        <v>1</v>
      </c>
      <c r="C238" s="8">
        <v>46023</v>
      </c>
      <c r="D238" s="8">
        <f t="shared" si="13"/>
        <v>46387</v>
      </c>
      <c r="E238" s="6" t="str" cm="1">
        <f t="array" ref="E238">choice(Groupes!A:A,1,Settings!$B$16)</f>
        <v>G18</v>
      </c>
      <c r="F238" s="6" t="str">
        <f t="shared" si="14"/>
        <v>G18</v>
      </c>
      <c r="G238" s="6" t="str">
        <f t="shared" si="15"/>
        <v>Prof27</v>
      </c>
      <c r="H238" s="6" t="str" cm="1">
        <f t="array" ref="H238">choice(Referentiel!A:A,1,Settings!$B$16)</f>
        <v>Design des mondes forestiers</v>
      </c>
      <c r="I238" s="6" t="str" cm="1">
        <f t="array" ref="I238">choice(Referentiel!B:B,1,Settings!$B$16)</f>
        <v>5ème année Architecture Intérieure S2</v>
      </c>
      <c r="J238" s="6" t="str" cm="1">
        <f t="array" ref="J238">choice(Referentiel!D:D,1,Settings!$B$16)</f>
        <v>M1</v>
      </c>
      <c r="K238" s="6" t="str" cm="1">
        <f t="array" ref="K238">choice(Professeurs!B:B,1,Settings!$B$16)</f>
        <v>Prof27</v>
      </c>
      <c r="L238" s="5" t="str" cm="1">
        <f t="array" ref="L238">choice(Referentiel!C:C,1,Settings!$B$16)</f>
        <v/>
      </c>
      <c r="M238" s="5" t="str" cm="1">
        <f t="array" ref="M238">choice(Referentiel!E:E,1,Settings!$B$16)</f>
        <v/>
      </c>
      <c r="N238" s="5" t="str" cm="1">
        <f t="array" ref="N238">choice(Settings!K:K,1,Settings!$B$16)</f>
        <v/>
      </c>
      <c r="P238" s="5">
        <f t="shared" si="16"/>
        <v>1</v>
      </c>
    </row>
    <row r="239" spans="1:16" ht="15.75" customHeight="1" x14ac:dyDescent="0.25">
      <c r="A239" s="6" t="s">
        <v>591</v>
      </c>
      <c r="B239" s="6" cm="1">
        <f t="array" ref="B239">alea_int(Settings!$B$10,1,Settings!$B$16)</f>
        <v>2</v>
      </c>
      <c r="C239" s="8">
        <v>46023</v>
      </c>
      <c r="D239" s="8">
        <f t="shared" si="13"/>
        <v>46387</v>
      </c>
      <c r="E239" s="6" t="str" cm="1">
        <f t="array" ref="E239">choice(Groupes!A:A,1,Settings!$B$16)</f>
        <v>G22</v>
      </c>
      <c r="F239" s="6" t="str">
        <f t="shared" si="14"/>
        <v>G22</v>
      </c>
      <c r="G239" s="6" t="str">
        <f t="shared" si="15"/>
        <v>Prof20</v>
      </c>
      <c r="H239" s="6" t="str" cm="1">
        <f t="array" ref="H239">choice(Referentiel!A:A,1,Settings!$B$16)</f>
        <v>Cinéma d'Animation</v>
      </c>
      <c r="I239" s="6" t="str" cm="1">
        <f t="array" ref="I239">choice(Referentiel!B:B,1,Settings!$B$16)</f>
        <v>5ème année Design Vêtement S1</v>
      </c>
      <c r="J239" s="6" t="str" cm="1">
        <f t="array" ref="J239">choice(Referentiel!D:D,1,Settings!$B$16)</f>
        <v>L2</v>
      </c>
      <c r="K239" s="6" t="str" cm="1">
        <f t="array" ref="K239">choice(Professeurs!B:B,1,Settings!$B$16)</f>
        <v>Prof20</v>
      </c>
      <c r="L239" s="5" t="str" cm="1">
        <f t="array" ref="L239">choice(Referentiel!C:C,1,Settings!$B$16)</f>
        <v/>
      </c>
      <c r="M239" s="5" t="str" cm="1">
        <f t="array" ref="M239">choice(Referentiel!E:E,1,Settings!$B$16)</f>
        <v/>
      </c>
      <c r="N239" s="5" t="str" cm="1">
        <f t="array" ref="N239">choice(Settings!K:K,1,Settings!$B$16)</f>
        <v>semaine</v>
      </c>
      <c r="P239" s="5">
        <f t="shared" si="16"/>
        <v>4</v>
      </c>
    </row>
    <row r="240" spans="1:16" ht="15.75" customHeight="1" x14ac:dyDescent="0.25">
      <c r="A240" s="6" t="s">
        <v>592</v>
      </c>
      <c r="B240" s="6" cm="1">
        <f t="array" ref="B240">alea_int(Settings!$B$10,1,Settings!$B$16)</f>
        <v>2</v>
      </c>
      <c r="C240" s="8">
        <v>46023</v>
      </c>
      <c r="D240" s="8">
        <f t="shared" si="13"/>
        <v>46387</v>
      </c>
      <c r="E240" s="6" t="str" cm="1">
        <f t="array" ref="E240">choice(Groupes!A:A,1,Settings!$B$16)</f>
        <v>G29</v>
      </c>
      <c r="F240" s="6" t="str">
        <f t="shared" si="14"/>
        <v>G29</v>
      </c>
      <c r="G240" s="6" t="str">
        <f t="shared" si="15"/>
        <v>Prof51</v>
      </c>
      <c r="H240" s="6" t="str" cm="1">
        <f t="array" ref="H240">choice(Referentiel!A:A,1,Settings!$B$16)</f>
        <v>1ère année Groupe 1</v>
      </c>
      <c r="I240" s="6" t="str" cm="1">
        <f t="array" ref="I240">choice(Referentiel!B:B,1,Settings!$B$16)</f>
        <v>2ème année Scénographie S1</v>
      </c>
      <c r="J240" s="6" t="str" cm="1">
        <f t="array" ref="J240">choice(Referentiel!D:D,1,Settings!$B$16)</f>
        <v>M1</v>
      </c>
      <c r="K240" s="6" t="str" cm="1">
        <f t="array" ref="K240">choice(Professeurs!B:B,1,Settings!$B$16)</f>
        <v>Prof51</v>
      </c>
      <c r="L240" s="5" t="str" cm="1">
        <f t="array" ref="L240">choice(Referentiel!C:C,1,Settings!$B$16)</f>
        <v/>
      </c>
      <c r="M240" s="5" t="str" cm="1">
        <f t="array" ref="M240">choice(Referentiel!E:E,1,Settings!$B$16)</f>
        <v/>
      </c>
      <c r="N240" s="5" t="str" cm="1">
        <f t="array" ref="N240">choice(Settings!K:K,1,Settings!$B$16)</f>
        <v/>
      </c>
      <c r="P240" s="5">
        <f t="shared" si="16"/>
        <v>2</v>
      </c>
    </row>
    <row r="241" spans="1:16" ht="15.75" customHeight="1" x14ac:dyDescent="0.25">
      <c r="A241" s="6" t="s">
        <v>593</v>
      </c>
      <c r="B241" s="6" cm="1">
        <f t="array" ref="B241">alea_int(Settings!$B$10,1,Settings!$B$16)</f>
        <v>2</v>
      </c>
      <c r="C241" s="8">
        <v>46023</v>
      </c>
      <c r="D241" s="8">
        <f t="shared" si="13"/>
        <v>46387</v>
      </c>
      <c r="E241" s="6" t="str" cm="1">
        <f t="array" ref="E241">choice(Groupes!A:A,1,Settings!$B$16)</f>
        <v>G12</v>
      </c>
      <c r="F241" s="6" t="str">
        <f t="shared" si="14"/>
        <v>G12</v>
      </c>
      <c r="G241" s="6" t="str">
        <f t="shared" si="15"/>
        <v>Prof37</v>
      </c>
      <c r="H241" s="6" t="str" cm="1">
        <f t="array" ref="H241">choice(Referentiel!A:A,1,Settings!$B$16)</f>
        <v>Gr REFLECTIVE INTERACTION</v>
      </c>
      <c r="I241" s="6" t="str" cm="1">
        <f t="array" ref="I241">choice(Referentiel!B:B,1,Settings!$B$16)</f>
        <v>5ème année Cinéma d'Animation S2</v>
      </c>
      <c r="J241" s="6" t="str" cm="1">
        <f t="array" ref="J241">choice(Referentiel!D:D,1,Settings!$B$16)</f>
        <v>M2</v>
      </c>
      <c r="K241" s="6" t="str" cm="1">
        <f t="array" ref="K241">choice(Professeurs!B:B,1,Settings!$B$16)</f>
        <v>Prof37</v>
      </c>
      <c r="L241" s="5" t="str" cm="1">
        <f t="array" ref="L241">choice(Referentiel!C:C,1,Settings!$B$16)</f>
        <v/>
      </c>
      <c r="M241" s="5" t="str" cm="1">
        <f t="array" ref="M241">choice(Referentiel!E:E,1,Settings!$B$16)</f>
        <v/>
      </c>
      <c r="N241" s="5" t="str" cm="1">
        <f t="array" ref="N241">choice(Settings!K:K,1,Settings!$B$16)</f>
        <v/>
      </c>
      <c r="P241" s="5">
        <f t="shared" si="16"/>
        <v>2</v>
      </c>
    </row>
    <row r="242" spans="1:16" ht="15.75" customHeight="1" x14ac:dyDescent="0.25">
      <c r="A242" s="6" t="s">
        <v>594</v>
      </c>
      <c r="B242" s="6" cm="1">
        <f t="array" ref="B242">alea_int(Settings!$B$10,1,Settings!$B$16)</f>
        <v>3</v>
      </c>
      <c r="C242" s="8">
        <v>46023</v>
      </c>
      <c r="D242" s="8">
        <f t="shared" si="13"/>
        <v>46387</v>
      </c>
      <c r="E242" s="6" t="str" cm="1">
        <f t="array" ref="E242">choice(Groupes!A:A,1,Settings!$B$16)</f>
        <v>G14</v>
      </c>
      <c r="F242" s="6" t="str">
        <f t="shared" si="14"/>
        <v>G14</v>
      </c>
      <c r="G242" s="6" t="str">
        <f t="shared" si="15"/>
        <v>Prof43</v>
      </c>
      <c r="H242" s="6" t="str" cm="1">
        <f t="array" ref="H242">choice(Referentiel!A:A,1,Settings!$B$16)</f>
        <v>Cinéma d'Animation</v>
      </c>
      <c r="I242" s="6" t="str" cm="1">
        <f t="array" ref="I242">choice(Referentiel!B:B,1,Settings!$B$16)</f>
        <v>5ème année Design Vêtement S1</v>
      </c>
      <c r="J242" s="6" t="str" cm="1">
        <f t="array" ref="J242">choice(Referentiel!D:D,1,Settings!$B$16)</f>
        <v>L1</v>
      </c>
      <c r="K242" s="6" t="str" cm="1">
        <f t="array" ref="K242">choice(Professeurs!B:B,1,Settings!$B$16)</f>
        <v>Prof43</v>
      </c>
      <c r="L242" s="5" t="str" cm="1">
        <f t="array" ref="L242">choice(Referentiel!C:C,1,Settings!$B$16)</f>
        <v/>
      </c>
      <c r="M242" s="5" t="str" cm="1">
        <f t="array" ref="M242">choice(Referentiel!E:E,1,Settings!$B$16)</f>
        <v>Salle5</v>
      </c>
      <c r="N242" s="5" t="str" cm="1">
        <f t="array" ref="N242">choice(Settings!K:K,1,Settings!$B$16)</f>
        <v/>
      </c>
      <c r="P242" s="5">
        <f t="shared" si="16"/>
        <v>5</v>
      </c>
    </row>
    <row r="243" spans="1:16" ht="15.75" customHeight="1" x14ac:dyDescent="0.25">
      <c r="A243" s="6" t="s">
        <v>595</v>
      </c>
      <c r="B243" s="6" cm="1">
        <f t="array" ref="B243">alea_int(Settings!$B$10,1,Settings!$B$16)</f>
        <v>3</v>
      </c>
      <c r="C243" s="8">
        <v>46023</v>
      </c>
      <c r="D243" s="8">
        <f t="shared" si="13"/>
        <v>46387</v>
      </c>
      <c r="E243" s="6" t="str" cm="1">
        <f t="array" ref="E243">choice(Groupes!A:A,1,Settings!$B$16)</f>
        <v>G8</v>
      </c>
      <c r="F243" s="6" t="str">
        <f t="shared" si="14"/>
        <v>G8</v>
      </c>
      <c r="G243" s="6" t="str">
        <f t="shared" si="15"/>
        <v>Prof29</v>
      </c>
      <c r="H243" s="6" t="str" cm="1">
        <f t="array" ref="H243">choice(Referentiel!A:A,1,Settings!$B$16)</f>
        <v>Cinéma d'Animation</v>
      </c>
      <c r="I243" s="6" t="str" cm="1">
        <f t="array" ref="I243">choice(Referentiel!B:B,1,Settings!$B$16)</f>
        <v>5ème année Image Imprimée S2</v>
      </c>
      <c r="J243" s="6" t="str" cm="1">
        <f t="array" ref="J243">choice(Referentiel!D:D,1,Settings!$B$16)</f>
        <v>M1</v>
      </c>
      <c r="K243" s="6" t="str" cm="1">
        <f t="array" ref="K243">choice(Professeurs!B:B,1,Settings!$B$16)</f>
        <v>Prof29</v>
      </c>
      <c r="L243" s="5" t="str" cm="1">
        <f t="array" ref="L243">choice(Referentiel!C:C,1,Settings!$B$16)</f>
        <v/>
      </c>
      <c r="M243" s="5" t="str" cm="1">
        <f t="array" ref="M243">choice(Referentiel!E:E,1,Settings!$B$16)</f>
        <v/>
      </c>
      <c r="N243" s="5" t="str" cm="1">
        <f t="array" ref="N243">choice(Settings!K:K,1,Settings!$B$16)</f>
        <v/>
      </c>
      <c r="P243" s="5">
        <f t="shared" si="16"/>
        <v>3</v>
      </c>
    </row>
    <row r="244" spans="1:16" ht="15.75" customHeight="1" x14ac:dyDescent="0.25">
      <c r="A244" s="6" t="s">
        <v>596</v>
      </c>
      <c r="B244" s="6" cm="1">
        <f t="array" ref="B244">alea_int(Settings!$B$10,1,Settings!$B$16)</f>
        <v>1</v>
      </c>
      <c r="C244" s="8">
        <v>46023</v>
      </c>
      <c r="D244" s="8">
        <f t="shared" si="13"/>
        <v>46387</v>
      </c>
      <c r="E244" s="6" t="str" cm="1">
        <f t="array" ref="E244">choice(Groupes!A:A,1,Settings!$B$16)</f>
        <v>G13</v>
      </c>
      <c r="F244" s="6" t="str">
        <f t="shared" si="14"/>
        <v>G13</v>
      </c>
      <c r="G244" s="6" t="str">
        <f t="shared" si="15"/>
        <v>Prof48</v>
      </c>
      <c r="H244" s="6" t="str" cm="1">
        <f t="array" ref="H244">choice(Referentiel!A:A,1,Settings!$B$16)</f>
        <v>Design des mondes montagneux</v>
      </c>
      <c r="I244" s="6" t="str" cm="1">
        <f t="array" ref="I244">choice(Referentiel!B:B,1,Settings!$B$16)</f>
        <v>2ème année Scénographie S2</v>
      </c>
      <c r="J244" s="6" t="str" cm="1">
        <f t="array" ref="J244">choice(Referentiel!D:D,1,Settings!$B$16)</f>
        <v>M2</v>
      </c>
      <c r="K244" s="6" t="str" cm="1">
        <f t="array" ref="K244">choice(Professeurs!B:B,1,Settings!$B$16)</f>
        <v>Prof48</v>
      </c>
      <c r="L244" s="5" t="str" cm="1">
        <f t="array" ref="L244">choice(Referentiel!C:C,1,Settings!$B$16)</f>
        <v/>
      </c>
      <c r="M244" s="5" t="str" cm="1">
        <f t="array" ref="M244">choice(Referentiel!E:E,1,Settings!$B$16)</f>
        <v/>
      </c>
      <c r="N244" s="5" t="str" cm="1">
        <f t="array" ref="N244">choice(Settings!K:K,1,Settings!$B$16)</f>
        <v/>
      </c>
      <c r="P244" s="5">
        <f t="shared" si="16"/>
        <v>1</v>
      </c>
    </row>
    <row r="245" spans="1:16" ht="15.75" customHeight="1" x14ac:dyDescent="0.25">
      <c r="A245" s="6" t="s">
        <v>597</v>
      </c>
      <c r="B245" s="6" cm="1">
        <f t="array" ref="B245">alea_int(Settings!$B$10,1,Settings!$B$16)</f>
        <v>2</v>
      </c>
      <c r="C245" s="8">
        <v>46023</v>
      </c>
      <c r="D245" s="8">
        <f t="shared" si="13"/>
        <v>46387</v>
      </c>
      <c r="E245" s="6" t="str" cm="1">
        <f t="array" ref="E245">choice(Groupes!A:A,1,Settings!$B$16)</f>
        <v>G23</v>
      </c>
      <c r="F245" s="6" t="str">
        <f t="shared" si="14"/>
        <v>G23</v>
      </c>
      <c r="G245" s="6" t="str">
        <f t="shared" si="15"/>
        <v>Prof44</v>
      </c>
      <c r="H245" s="6" t="str" cm="1">
        <f t="array" ref="H245">choice(Referentiel!A:A,1,Settings!$B$16)</f>
        <v>Gr SOFT MATTERS</v>
      </c>
      <c r="I245" s="6" t="str" cm="1">
        <f t="array" ref="I245">choice(Referentiel!B:B,1,Settings!$B$16)</f>
        <v>4ème année Photo / Vidéo S2</v>
      </c>
      <c r="J245" s="6" t="str" cm="1">
        <f t="array" ref="J245">choice(Referentiel!D:D,1,Settings!$B$16)</f>
        <v>L2</v>
      </c>
      <c r="K245" s="6" t="str" cm="1">
        <f t="array" ref="K245">choice(Professeurs!B:B,1,Settings!$B$16)</f>
        <v>Prof44</v>
      </c>
      <c r="L245" s="5" t="str" cm="1">
        <f t="array" ref="L245">choice(Referentiel!C:C,1,Settings!$B$16)</f>
        <v/>
      </c>
      <c r="M245" s="5" t="str" cm="1">
        <f t="array" ref="M245">choice(Referentiel!E:E,1,Settings!$B$16)</f>
        <v/>
      </c>
      <c r="N245" s="5" t="str" cm="1">
        <f t="array" ref="N245">choice(Settings!K:K,1,Settings!$B$16)</f>
        <v/>
      </c>
      <c r="P245" s="5">
        <f t="shared" si="16"/>
        <v>2</v>
      </c>
    </row>
    <row r="246" spans="1:16" ht="15.75" customHeight="1" x14ac:dyDescent="0.25">
      <c r="A246" s="6" t="s">
        <v>598</v>
      </c>
      <c r="B246" s="6" cm="1">
        <f t="array" ref="B246">alea_int(Settings!$B$10,1,Settings!$B$16)</f>
        <v>1</v>
      </c>
      <c r="C246" s="8">
        <v>46023</v>
      </c>
      <c r="D246" s="8">
        <f t="shared" si="13"/>
        <v>46387</v>
      </c>
      <c r="E246" s="6" t="str" cm="1">
        <f t="array" ref="E246">choice(Groupes!A:A,1,Settings!$B$16)</f>
        <v>G9</v>
      </c>
      <c r="F246" s="6" t="str">
        <f t="shared" si="14"/>
        <v>G9</v>
      </c>
      <c r="G246" s="6" t="str">
        <f t="shared" si="15"/>
        <v>Prof37</v>
      </c>
      <c r="H246" s="6" t="str" cm="1">
        <f t="array" ref="H246">choice(Referentiel!A:A,1,Settings!$B$16)</f>
        <v>Gr TERRITOIRES</v>
      </c>
      <c r="I246" s="6" t="str" cm="1">
        <f t="array" ref="I246">choice(Referentiel!B:B,1,Settings!$B$16)</f>
        <v>5ème année Cinéma d'Animation S1</v>
      </c>
      <c r="J246" s="6" t="str" cm="1">
        <f t="array" ref="J246">choice(Referentiel!D:D,1,Settings!$B$16)</f>
        <v>L1</v>
      </c>
      <c r="K246" s="6" t="str" cm="1">
        <f t="array" ref="K246">choice(Professeurs!B:B,1,Settings!$B$16)</f>
        <v>Prof37</v>
      </c>
      <c r="L246" s="5" t="str" cm="1">
        <f t="array" ref="L246">choice(Referentiel!C:C,1,Settings!$B$16)</f>
        <v/>
      </c>
      <c r="M246" s="5" t="str" cm="1">
        <f t="array" ref="M246">choice(Referentiel!E:E,1,Settings!$B$16)</f>
        <v/>
      </c>
      <c r="N246" s="5" t="str" cm="1">
        <f t="array" ref="N246">choice(Settings!K:K,1,Settings!$B$16)</f>
        <v/>
      </c>
      <c r="P246" s="5">
        <f t="shared" si="16"/>
        <v>1</v>
      </c>
    </row>
    <row r="247" spans="1:16" ht="15.75" customHeight="1" x14ac:dyDescent="0.25">
      <c r="A247" s="6" t="s">
        <v>599</v>
      </c>
      <c r="B247" s="6" cm="1">
        <f t="array" ref="B247">alea_int(Settings!$B$10,1,Settings!$B$16)</f>
        <v>1</v>
      </c>
      <c r="C247" s="8">
        <v>46023</v>
      </c>
      <c r="D247" s="8">
        <f t="shared" si="13"/>
        <v>46387</v>
      </c>
      <c r="E247" s="6" t="str" cm="1">
        <f t="array" ref="E247">choice(Groupes!A:A,1,Settings!$B$16)</f>
        <v>G25</v>
      </c>
      <c r="F247" s="6" t="str">
        <f t="shared" si="14"/>
        <v>G25</v>
      </c>
      <c r="G247" s="6" t="str">
        <f t="shared" si="15"/>
        <v>Prof38</v>
      </c>
      <c r="H247" s="6" t="str" cm="1">
        <f t="array" ref="H247">choice(Referentiel!A:A,1,Settings!$B$16)</f>
        <v>Design Objet</v>
      </c>
      <c r="I247" s="6" t="str" cm="1">
        <f t="array" ref="I247">choice(Referentiel!B:B,1,Settings!$B$16)</f>
        <v>3ème année Scénographie S2</v>
      </c>
      <c r="J247" s="6" t="str" cm="1">
        <f t="array" ref="J247">choice(Referentiel!D:D,1,Settings!$B$16)</f>
        <v>M1</v>
      </c>
      <c r="K247" s="6" t="str" cm="1">
        <f t="array" ref="K247">choice(Professeurs!B:B,1,Settings!$B$16)</f>
        <v>Prof38</v>
      </c>
      <c r="L247" s="5" t="str" cm="1">
        <f t="array" ref="L247">choice(Referentiel!C:C,1,Settings!$B$16)</f>
        <v/>
      </c>
      <c r="M247" s="5" t="str" cm="1">
        <f t="array" ref="M247">choice(Referentiel!E:E,1,Settings!$B$16)</f>
        <v/>
      </c>
      <c r="N247" s="5" t="str" cm="1">
        <f t="array" ref="N247">choice(Settings!K:K,1,Settings!$B$16)</f>
        <v>semaine</v>
      </c>
      <c r="P247" s="5">
        <f t="shared" si="16"/>
        <v>3</v>
      </c>
    </row>
    <row r="248" spans="1:16" ht="15.75" customHeight="1" x14ac:dyDescent="0.25">
      <c r="A248" s="6" t="s">
        <v>600</v>
      </c>
      <c r="B248" s="6" cm="1">
        <f t="array" ref="B248">alea_int(Settings!$B$10,1,Settings!$B$16)</f>
        <v>3</v>
      </c>
      <c r="C248" s="8">
        <v>46023</v>
      </c>
      <c r="D248" s="8">
        <f t="shared" si="13"/>
        <v>46387</v>
      </c>
      <c r="E248" s="6" t="str" cm="1">
        <f t="array" ref="E248">choice(Groupes!A:A,1,Settings!$B$16)</f>
        <v>G30</v>
      </c>
      <c r="F248" s="6" t="str">
        <f t="shared" si="14"/>
        <v>G30</v>
      </c>
      <c r="G248" s="6" t="str">
        <f t="shared" si="15"/>
        <v>Prof28</v>
      </c>
      <c r="H248" s="6" t="str" cm="1">
        <f t="array" ref="H248">choice(Referentiel!A:A,1,Settings!$B$16)</f>
        <v>Design des mondes ruraux</v>
      </c>
      <c r="I248" s="6" t="str" cm="1">
        <f t="array" ref="I248">choice(Referentiel!B:B,1,Settings!$B$16)</f>
        <v>2ème année Architecture Intérieure S2</v>
      </c>
      <c r="J248" s="6" t="str" cm="1">
        <f t="array" ref="J248">choice(Referentiel!D:D,1,Settings!$B$16)</f>
        <v>M1</v>
      </c>
      <c r="K248" s="6" t="str" cm="1">
        <f t="array" ref="K248">choice(Professeurs!B:B,1,Settings!$B$16)</f>
        <v>Prof28</v>
      </c>
      <c r="L248" s="5" t="str" cm="1">
        <f t="array" ref="L248">choice(Referentiel!C:C,1,Settings!$B$16)</f>
        <v/>
      </c>
      <c r="M248" s="5" t="str" cm="1">
        <f t="array" ref="M248">choice(Referentiel!E:E,1,Settings!$B$16)</f>
        <v/>
      </c>
      <c r="N248" s="5" t="str" cm="1">
        <f t="array" ref="N248">choice(Settings!K:K,1,Settings!$B$16)</f>
        <v/>
      </c>
      <c r="P248" s="5">
        <f t="shared" si="16"/>
        <v>3</v>
      </c>
    </row>
    <row r="249" spans="1:16" ht="15.75" customHeight="1" x14ac:dyDescent="0.25">
      <c r="A249" s="6" t="s">
        <v>601</v>
      </c>
      <c r="B249" s="6" cm="1">
        <f t="array" ref="B249">alea_int(Settings!$B$10,1,Settings!$B$16)</f>
        <v>3</v>
      </c>
      <c r="C249" s="8">
        <v>46023</v>
      </c>
      <c r="D249" s="8">
        <f t="shared" si="13"/>
        <v>46387</v>
      </c>
      <c r="E249" s="6" t="str" cm="1">
        <f t="array" ref="E249">choice(Groupes!A:A,1,Settings!$B$16)</f>
        <v>G13</v>
      </c>
      <c r="F249" s="6" t="str">
        <f t="shared" si="14"/>
        <v>G13</v>
      </c>
      <c r="G249" s="6" t="str">
        <f t="shared" si="15"/>
        <v>Prof16</v>
      </c>
      <c r="H249" s="6" t="str" cm="1">
        <f t="array" ref="H249">choice(Referentiel!A:A,1,Settings!$B$16)</f>
        <v>Design des mondes forestiers</v>
      </c>
      <c r="I249" s="6" t="str" cm="1">
        <f t="array" ref="I249">choice(Referentiel!B:B,1,Settings!$B$16)</f>
        <v>1ère Année Groupe 4 S2</v>
      </c>
      <c r="J249" s="6" t="str" cm="1">
        <f t="array" ref="J249">choice(Referentiel!D:D,1,Settings!$B$16)</f>
        <v>M2</v>
      </c>
      <c r="K249" s="6" t="str" cm="1">
        <f t="array" ref="K249">choice(Professeurs!B:B,1,Settings!$B$16)</f>
        <v>Prof16</v>
      </c>
      <c r="L249" s="5" t="str" cm="1">
        <f t="array" ref="L249">choice(Referentiel!C:C,1,Settings!$B$16)</f>
        <v/>
      </c>
      <c r="M249" s="5" t="str" cm="1">
        <f t="array" ref="M249">choice(Referentiel!E:E,1,Settings!$B$16)</f>
        <v/>
      </c>
      <c r="N249" s="5" t="str" cm="1">
        <f t="array" ref="N249">choice(Settings!K:K,1,Settings!$B$16)</f>
        <v/>
      </c>
      <c r="P249" s="5">
        <f t="shared" si="16"/>
        <v>3</v>
      </c>
    </row>
    <row r="250" spans="1:16" ht="15.75" customHeight="1" x14ac:dyDescent="0.25">
      <c r="A250" s="6" t="s">
        <v>602</v>
      </c>
      <c r="B250" s="6" cm="1">
        <f t="array" ref="B250">alea_int(Settings!$B$10,1,Settings!$B$16)</f>
        <v>2</v>
      </c>
      <c r="C250" s="8">
        <v>46023</v>
      </c>
      <c r="D250" s="8">
        <f t="shared" si="13"/>
        <v>46387</v>
      </c>
      <c r="E250" s="6" t="str" cm="1">
        <f t="array" ref="E250">choice(Groupes!A:A,1,Settings!$B$16)</f>
        <v>G4</v>
      </c>
      <c r="F250" s="6" t="str">
        <f t="shared" si="14"/>
        <v>G4</v>
      </c>
      <c r="G250" s="6" t="str">
        <f t="shared" si="15"/>
        <v>Prof9</v>
      </c>
      <c r="H250" s="6" t="str" cm="1">
        <f t="array" ref="H250">choice(Referentiel!A:A,1,Settings!$B$16)</f>
        <v>Design Objet</v>
      </c>
      <c r="I250" s="6" t="str" cm="1">
        <f t="array" ref="I250">choice(Referentiel!B:B,1,Settings!$B$16)</f>
        <v>1ère Année Groupe 4 S2</v>
      </c>
      <c r="J250" s="6" t="str" cm="1">
        <f t="array" ref="J250">choice(Referentiel!D:D,1,Settings!$B$16)</f>
        <v>M2</v>
      </c>
      <c r="K250" s="6" t="str" cm="1">
        <f t="array" ref="K250">choice(Professeurs!B:B,1,Settings!$B$16)</f>
        <v>Prof9</v>
      </c>
      <c r="L250" s="5" t="str" cm="1">
        <f t="array" ref="L250">choice(Referentiel!C:C,1,Settings!$B$16)</f>
        <v/>
      </c>
      <c r="M250" s="5" t="str" cm="1">
        <f t="array" ref="M250">choice(Referentiel!E:E,1,Settings!$B$16)</f>
        <v/>
      </c>
      <c r="N250" s="5" t="str" cm="1">
        <f t="array" ref="N250">choice(Settings!K:K,1,Settings!$B$16)</f>
        <v/>
      </c>
      <c r="P250" s="5">
        <f t="shared" si="16"/>
        <v>2</v>
      </c>
    </row>
    <row r="251" spans="1:16" ht="15.75" customHeight="1" x14ac:dyDescent="0.25">
      <c r="A251" s="6" t="s">
        <v>603</v>
      </c>
      <c r="B251" s="6" cm="1">
        <f t="array" ref="B251">alea_int(Settings!$B$10,1,Settings!$B$16)</f>
        <v>1</v>
      </c>
      <c r="C251" s="8">
        <v>46023</v>
      </c>
      <c r="D251" s="8">
        <f t="shared" si="13"/>
        <v>46387</v>
      </c>
      <c r="E251" s="6" t="str" cm="1">
        <f t="array" ref="E251">choice(Groupes!A:A,1,Settings!$B$16)</f>
        <v>G29</v>
      </c>
      <c r="F251" s="6" t="str">
        <f t="shared" si="14"/>
        <v>G29</v>
      </c>
      <c r="G251" s="6" t="str">
        <f t="shared" si="15"/>
        <v>Prof19</v>
      </c>
      <c r="H251" s="6" t="str" cm="1">
        <f t="array" ref="H251">choice(Referentiel!A:A,1,Settings!$B$16)</f>
        <v>Design Vêtement</v>
      </c>
      <c r="I251" s="6" t="str" cm="1">
        <f t="array" ref="I251">choice(Referentiel!B:B,1,Settings!$B$16)</f>
        <v>2ème année Design Objet S1</v>
      </c>
      <c r="J251" s="6" t="str" cm="1">
        <f t="array" ref="J251">choice(Referentiel!D:D,1,Settings!$B$16)</f>
        <v>M2</v>
      </c>
      <c r="K251" s="6" t="str" cm="1">
        <f t="array" ref="K251">choice(Professeurs!B:B,1,Settings!$B$16)</f>
        <v>Prof19</v>
      </c>
      <c r="L251" s="5" t="str" cm="1">
        <f t="array" ref="L251">choice(Referentiel!C:C,1,Settings!$B$16)</f>
        <v/>
      </c>
      <c r="M251" s="5" t="str" cm="1">
        <f t="array" ref="M251">choice(Referentiel!E:E,1,Settings!$B$16)</f>
        <v/>
      </c>
      <c r="N251" s="5" t="str" cm="1">
        <f t="array" ref="N251">choice(Settings!K:K,1,Settings!$B$16)</f>
        <v>lundi am</v>
      </c>
      <c r="P251" s="5">
        <f t="shared" si="16"/>
        <v>3</v>
      </c>
    </row>
    <row r="252" spans="1:16" ht="15.75" customHeight="1" x14ac:dyDescent="0.25">
      <c r="A252" s="6" t="s">
        <v>604</v>
      </c>
      <c r="B252" s="6" cm="1">
        <f t="array" ref="B252">alea_int(Settings!$B$10,1,Settings!$B$16)</f>
        <v>3</v>
      </c>
      <c r="C252" s="8">
        <v>46023</v>
      </c>
      <c r="D252" s="8">
        <f t="shared" si="13"/>
        <v>46387</v>
      </c>
      <c r="E252" s="6" t="str" cm="1">
        <f t="array" ref="E252">choice(Groupes!A:A,1,Settings!$B$16)</f>
        <v>G6</v>
      </c>
      <c r="F252" s="6" t="str">
        <f t="shared" si="14"/>
        <v>G6</v>
      </c>
      <c r="G252" s="6" t="str">
        <f t="shared" si="15"/>
        <v>Prof26</v>
      </c>
      <c r="H252" s="6" t="str" cm="1">
        <f t="array" ref="H252">choice(Referentiel!A:A,1,Settings!$B$16)</f>
        <v>Gr ART, DESIGN, SOCIETE</v>
      </c>
      <c r="I252" s="6" t="str" cm="1">
        <f t="array" ref="I252">choice(Referentiel!B:B,1,Settings!$B$16)</f>
        <v>2ème année Art-Espace S1</v>
      </c>
      <c r="J252" s="6" t="str" cm="1">
        <f t="array" ref="J252">choice(Referentiel!D:D,1,Settings!$B$16)</f>
        <v>M2</v>
      </c>
      <c r="K252" s="6" t="str" cm="1">
        <f t="array" ref="K252">choice(Professeurs!B:B,1,Settings!$B$16)</f>
        <v>Prof26</v>
      </c>
      <c r="L252" s="5" t="str" cm="1">
        <f t="array" ref="L252">choice(Referentiel!C:C,1,Settings!$B$16)</f>
        <v/>
      </c>
      <c r="M252" s="5" t="str" cm="1">
        <f t="array" ref="M252">choice(Referentiel!E:E,1,Settings!$B$16)</f>
        <v/>
      </c>
      <c r="N252" s="5" t="str" cm="1">
        <f t="array" ref="N252">choice(Settings!K:K,1,Settings!$B$16)</f>
        <v>jeudi am</v>
      </c>
      <c r="P252" s="5">
        <f t="shared" si="16"/>
        <v>5</v>
      </c>
    </row>
    <row r="253" spans="1:16" ht="15.75" customHeight="1" x14ac:dyDescent="0.25">
      <c r="A253" s="6" t="s">
        <v>605</v>
      </c>
      <c r="B253" s="6" cm="1">
        <f t="array" ref="B253">alea_int(Settings!$B$10,1,Settings!$B$16)</f>
        <v>3</v>
      </c>
      <c r="C253" s="8">
        <v>46023</v>
      </c>
      <c r="D253" s="8">
        <f t="shared" si="13"/>
        <v>46387</v>
      </c>
      <c r="E253" s="6" t="str" cm="1">
        <f t="array" ref="E253">choice(Groupes!A:A,1,Settings!$B$16)</f>
        <v>G1</v>
      </c>
      <c r="F253" s="6" t="str">
        <f t="shared" si="14"/>
        <v>G1</v>
      </c>
      <c r="G253" s="6" t="str">
        <f t="shared" si="15"/>
        <v>Prof26</v>
      </c>
      <c r="H253" s="6" t="str" cm="1">
        <f t="array" ref="H253">choice(Referentiel!A:A,1,Settings!$B$16)</f>
        <v>Design Vêtement</v>
      </c>
      <c r="I253" s="6" t="str" cm="1">
        <f t="array" ref="I253">choice(Referentiel!B:B,1,Settings!$B$16)</f>
        <v>4ème année Design Vêtement S2</v>
      </c>
      <c r="J253" s="6" t="str" cm="1">
        <f t="array" ref="J253">choice(Referentiel!D:D,1,Settings!$B$16)</f>
        <v>M1</v>
      </c>
      <c r="K253" s="6" t="str" cm="1">
        <f t="array" ref="K253">choice(Professeurs!B:B,1,Settings!$B$16)</f>
        <v>Prof26</v>
      </c>
      <c r="L253" s="5" t="str" cm="1">
        <f t="array" ref="L253">choice(Referentiel!C:C,1,Settings!$B$16)</f>
        <v/>
      </c>
      <c r="M253" s="5" t="str" cm="1">
        <f t="array" ref="M253">choice(Referentiel!E:E,1,Settings!$B$16)</f>
        <v/>
      </c>
      <c r="N253" s="5" t="str" cm="1">
        <f t="array" ref="N253">choice(Settings!K:K,1,Settings!$B$16)</f>
        <v/>
      </c>
      <c r="P253" s="5">
        <f t="shared" si="16"/>
        <v>3</v>
      </c>
    </row>
    <row r="254" spans="1:16" ht="15.75" customHeight="1" x14ac:dyDescent="0.25">
      <c r="A254" s="6" t="s">
        <v>606</v>
      </c>
      <c r="B254" s="6" cm="1">
        <f t="array" ref="B254">alea_int(Settings!$B$10,1,Settings!$B$16)</f>
        <v>1</v>
      </c>
      <c r="C254" s="8">
        <v>46023</v>
      </c>
      <c r="D254" s="8">
        <f t="shared" si="13"/>
        <v>46387</v>
      </c>
      <c r="E254" s="6" t="str" cm="1">
        <f t="array" ref="E254">choice(Groupes!A:A,1,Settings!$B$16)</f>
        <v>G26</v>
      </c>
      <c r="F254" s="6" t="str">
        <f t="shared" si="14"/>
        <v>G26</v>
      </c>
      <c r="G254" s="6" t="str">
        <f t="shared" si="15"/>
        <v>Prof21</v>
      </c>
      <c r="H254" s="6" t="str" cm="1">
        <f t="array" ref="H254">choice(Referentiel!A:A,1,Settings!$B$16)</f>
        <v>Photo / Vidéo</v>
      </c>
      <c r="I254" s="6" t="str" cm="1">
        <f t="array" ref="I254">choice(Referentiel!B:B,1,Settings!$B$16)</f>
        <v>4ème année Architecture Intérieure S1</v>
      </c>
      <c r="J254" s="6" t="str" cm="1">
        <f t="array" ref="J254">choice(Referentiel!D:D,1,Settings!$B$16)</f>
        <v>L1</v>
      </c>
      <c r="K254" s="6" t="str" cm="1">
        <f t="array" ref="K254">choice(Professeurs!B:B,1,Settings!$B$16)</f>
        <v>Prof21</v>
      </c>
      <c r="L254" s="5" t="str" cm="1">
        <f t="array" ref="L254">choice(Referentiel!C:C,1,Settings!$B$16)</f>
        <v/>
      </c>
      <c r="M254" s="5" t="str" cm="1">
        <f t="array" ref="M254">choice(Referentiel!E:E,1,Settings!$B$16)</f>
        <v/>
      </c>
      <c r="N254" s="5" t="str" cm="1">
        <f t="array" ref="N254">choice(Settings!K:K,1,Settings!$B$16)</f>
        <v/>
      </c>
      <c r="P254" s="5">
        <f t="shared" si="16"/>
        <v>1</v>
      </c>
    </row>
    <row r="255" spans="1:16" ht="15.75" customHeight="1" x14ac:dyDescent="0.25">
      <c r="A255" s="6" t="s">
        <v>607</v>
      </c>
      <c r="B255" s="6" cm="1">
        <f t="array" ref="B255">alea_int(Settings!$B$10,1,Settings!$B$16)</f>
        <v>1</v>
      </c>
      <c r="C255" s="8">
        <v>46023</v>
      </c>
      <c r="D255" s="8">
        <f t="shared" si="13"/>
        <v>46387</v>
      </c>
      <c r="E255" s="6" t="str" cm="1">
        <f t="array" ref="E255">choice(Groupes!A:A,1,Settings!$B$16)</f>
        <v>G25</v>
      </c>
      <c r="F255" s="6" t="str">
        <f t="shared" si="14"/>
        <v>G25</v>
      </c>
      <c r="G255" s="6" t="str">
        <f t="shared" si="15"/>
        <v>Prof43</v>
      </c>
      <c r="H255" s="6" t="str" cm="1">
        <f t="array" ref="H255">choice(Referentiel!A:A,1,Settings!$B$16)</f>
        <v>Design Graphique</v>
      </c>
      <c r="I255" s="6" t="str" cm="1">
        <f t="array" ref="I255">choice(Referentiel!B:B,1,Settings!$B$16)</f>
        <v>3ème année Image Imprimée S2</v>
      </c>
      <c r="J255" s="6" t="str" cm="1">
        <f t="array" ref="J255">choice(Referentiel!D:D,1,Settings!$B$16)</f>
        <v>L2</v>
      </c>
      <c r="K255" s="6" t="str" cm="1">
        <f t="array" ref="K255">choice(Professeurs!B:B,1,Settings!$B$16)</f>
        <v>Prof43</v>
      </c>
      <c r="L255" s="5" t="str" cm="1">
        <f t="array" ref="L255">choice(Referentiel!C:C,1,Settings!$B$16)</f>
        <v/>
      </c>
      <c r="M255" s="5" t="str" cm="1">
        <f t="array" ref="M255">choice(Referentiel!E:E,1,Settings!$B$16)</f>
        <v/>
      </c>
      <c r="N255" s="5" t="str" cm="1">
        <f t="array" ref="N255">choice(Settings!K:K,1,Settings!$B$16)</f>
        <v>lundi pm</v>
      </c>
      <c r="P255" s="5">
        <f t="shared" si="16"/>
        <v>3</v>
      </c>
    </row>
    <row r="256" spans="1:16" ht="15.75" customHeight="1" x14ac:dyDescent="0.25">
      <c r="A256" s="6" t="s">
        <v>608</v>
      </c>
      <c r="B256" s="6" cm="1">
        <f t="array" ref="B256">alea_int(Settings!$B$10,1,Settings!$B$16)</f>
        <v>2</v>
      </c>
      <c r="C256" s="8">
        <v>46023</v>
      </c>
      <c r="D256" s="8">
        <f t="shared" si="13"/>
        <v>46387</v>
      </c>
      <c r="E256" s="6" t="str" cm="1">
        <f t="array" ref="E256">choice(Groupes!A:A,1,Settings!$B$16)</f>
        <v>G3</v>
      </c>
      <c r="F256" s="6" t="str">
        <f t="shared" si="14"/>
        <v>G3</v>
      </c>
      <c r="G256" s="6" t="str">
        <f t="shared" si="15"/>
        <v>Prof10</v>
      </c>
      <c r="H256" s="6" t="str" cm="1">
        <f t="array" ref="H256">choice(Referentiel!A:A,1,Settings!$B$16)</f>
        <v>Gr SPATIAL MEDIA</v>
      </c>
      <c r="I256" s="6" t="str" cm="1">
        <f t="array" ref="I256">choice(Referentiel!B:B,1,Settings!$B$16)</f>
        <v>2ème année Design Vêtement S1</v>
      </c>
      <c r="J256" s="6" t="str" cm="1">
        <f t="array" ref="J256">choice(Referentiel!D:D,1,Settings!$B$16)</f>
        <v>L2</v>
      </c>
      <c r="K256" s="6" t="str" cm="1">
        <f t="array" ref="K256">choice(Professeurs!B:B,1,Settings!$B$16)</f>
        <v>Prof10</v>
      </c>
      <c r="L256" s="5" t="str" cm="1">
        <f t="array" ref="L256">choice(Referentiel!C:C,1,Settings!$B$16)</f>
        <v/>
      </c>
      <c r="M256" s="5" t="str" cm="1">
        <f t="array" ref="M256">choice(Referentiel!E:E,1,Settings!$B$16)</f>
        <v/>
      </c>
      <c r="N256" s="5" t="str" cm="1">
        <f t="array" ref="N256">choice(Settings!K:K,1,Settings!$B$16)</f>
        <v>lundi pm</v>
      </c>
      <c r="P256" s="5">
        <f t="shared" si="16"/>
        <v>4</v>
      </c>
    </row>
    <row r="257" spans="1:16" ht="15.75" customHeight="1" x14ac:dyDescent="0.25">
      <c r="A257" s="6" t="s">
        <v>609</v>
      </c>
      <c r="B257" s="6" cm="1">
        <f t="array" ref="B257">alea_int(Settings!$B$10,1,Settings!$B$16)</f>
        <v>3</v>
      </c>
      <c r="C257" s="8">
        <v>46023</v>
      </c>
      <c r="D257" s="8">
        <f t="shared" si="13"/>
        <v>46387</v>
      </c>
      <c r="E257" s="6" t="str" cm="1">
        <f t="array" ref="E257">choice(Groupes!A:A,1,Settings!$B$16)</f>
        <v>G21</v>
      </c>
      <c r="F257" s="6" t="str">
        <f t="shared" si="14"/>
        <v>G21</v>
      </c>
      <c r="G257" s="6" t="str">
        <f t="shared" si="15"/>
        <v>Prof50</v>
      </c>
      <c r="H257" s="6" t="str" cm="1">
        <f t="array" ref="H257">choice(Referentiel!A:A,1,Settings!$B$16)</f>
        <v>1ère année Groupe 2</v>
      </c>
      <c r="I257" s="6" t="str" cm="1">
        <f t="array" ref="I257">choice(Referentiel!B:B,1,Settings!$B$16)</f>
        <v>4ème année Cinéma d'Animation S1</v>
      </c>
      <c r="J257" s="6" t="str" cm="1">
        <f t="array" ref="J257">choice(Referentiel!D:D,1,Settings!$B$16)</f>
        <v>L2</v>
      </c>
      <c r="K257" s="6" t="str" cm="1">
        <f t="array" ref="K257">choice(Professeurs!B:B,1,Settings!$B$16)</f>
        <v>Prof50</v>
      </c>
      <c r="L257" s="5" t="str" cm="1">
        <f t="array" ref="L257">choice(Referentiel!C:C,1,Settings!$B$16)</f>
        <v/>
      </c>
      <c r="M257" s="5" t="str" cm="1">
        <f t="array" ref="M257">choice(Referentiel!E:E,1,Settings!$B$16)</f>
        <v/>
      </c>
      <c r="N257" s="5" t="str" cm="1">
        <f t="array" ref="N257">choice(Settings!K:K,1,Settings!$B$16)</f>
        <v/>
      </c>
      <c r="P257" s="5">
        <f t="shared" si="16"/>
        <v>3</v>
      </c>
    </row>
    <row r="258" spans="1:16" ht="15.75" customHeight="1" x14ac:dyDescent="0.25">
      <c r="A258" s="6" t="s">
        <v>610</v>
      </c>
      <c r="B258" s="6" cm="1">
        <f t="array" ref="B258">alea_int(Settings!$B$10,1,Settings!$B$16)</f>
        <v>2</v>
      </c>
      <c r="C258" s="8">
        <v>46023</v>
      </c>
      <c r="D258" s="8">
        <f t="shared" si="13"/>
        <v>46387</v>
      </c>
      <c r="E258" s="6" t="str" cm="1">
        <f t="array" ref="E258">choice(Groupes!A:A,1,Settings!$B$16)</f>
        <v>G23</v>
      </c>
      <c r="F258" s="6" t="str">
        <f t="shared" si="14"/>
        <v>G23</v>
      </c>
      <c r="G258" s="6" t="str">
        <f t="shared" si="15"/>
        <v>Prof40</v>
      </c>
      <c r="H258" s="6" t="str" cm="1">
        <f t="array" ref="H258">choice(Referentiel!A:A,1,Settings!$B$16)</f>
        <v>Gr SYMBIOSE</v>
      </c>
      <c r="I258" s="6" t="str" cm="1">
        <f t="array" ref="I258">choice(Referentiel!B:B,1,Settings!$B$16)</f>
        <v>2ème année Design Vêtement S1</v>
      </c>
      <c r="J258" s="6" t="str" cm="1">
        <f t="array" ref="J258">choice(Referentiel!D:D,1,Settings!$B$16)</f>
        <v>L2</v>
      </c>
      <c r="K258" s="6" t="str" cm="1">
        <f t="array" ref="K258">choice(Professeurs!B:B,1,Settings!$B$16)</f>
        <v>Prof40</v>
      </c>
      <c r="L258" s="5" t="str" cm="1">
        <f t="array" ref="L258">choice(Referentiel!C:C,1,Settings!$B$16)</f>
        <v/>
      </c>
      <c r="M258" s="5" t="str" cm="1">
        <f t="array" ref="M258">choice(Referentiel!E:E,1,Settings!$B$16)</f>
        <v/>
      </c>
      <c r="N258" s="5" t="str" cm="1">
        <f t="array" ref="N258">choice(Settings!K:K,1,Settings!$B$16)</f>
        <v/>
      </c>
      <c r="P258" s="5">
        <f t="shared" si="16"/>
        <v>2</v>
      </c>
    </row>
    <row r="259" spans="1:16" ht="15.75" customHeight="1" x14ac:dyDescent="0.25">
      <c r="A259" s="6" t="s">
        <v>611</v>
      </c>
      <c r="B259" s="6" cm="1">
        <f t="array" ref="B259">alea_int(Settings!$B$10,1,Settings!$B$16)</f>
        <v>1</v>
      </c>
      <c r="C259" s="8">
        <v>46023</v>
      </c>
      <c r="D259" s="8">
        <f t="shared" ref="D259:D322" si="17">C259+364</f>
        <v>46387</v>
      </c>
      <c r="E259" s="6" t="str" cm="1">
        <f t="array" ref="E259">choice(Groupes!A:A,1,Settings!$B$16)</f>
        <v>G11</v>
      </c>
      <c r="F259" s="6" t="str">
        <f t="shared" ref="F259:F322" si="18">E259</f>
        <v>G11</v>
      </c>
      <c r="G259" s="6" t="str">
        <f t="shared" ref="G259:G322" si="19">K259</f>
        <v>Prof27</v>
      </c>
      <c r="H259" s="6" t="str" cm="1">
        <f t="array" ref="H259">choice(Referentiel!A:A,1,Settings!$B$16)</f>
        <v>1ère année Groupe 4</v>
      </c>
      <c r="I259" s="6" t="str" cm="1">
        <f t="array" ref="I259">choice(Referentiel!B:B,1,Settings!$B$16)</f>
        <v>5ème année Design Textile et Matière S2</v>
      </c>
      <c r="J259" s="6" t="str" cm="1">
        <f t="array" ref="J259">choice(Referentiel!D:D,1,Settings!$B$16)</f>
        <v>L3</v>
      </c>
      <c r="K259" s="6" t="str" cm="1">
        <f t="array" ref="K259">choice(Professeurs!B:B,1,Settings!$B$16)</f>
        <v>Prof27</v>
      </c>
      <c r="L259" s="5" t="str" cm="1">
        <f t="array" ref="L259">choice(Referentiel!C:C,1,Settings!$B$16)</f>
        <v/>
      </c>
      <c r="M259" s="5" t="str" cm="1">
        <f t="array" ref="M259">choice(Referentiel!E:E,1,Settings!$B$16)</f>
        <v>Salle12</v>
      </c>
      <c r="N259" s="5" t="str" cm="1">
        <f t="array" ref="N259">choice(Settings!K:K,1,Settings!$B$16)</f>
        <v/>
      </c>
      <c r="P259" s="5">
        <f t="shared" ref="P259:P322" si="20">B259+IF(M259&lt;&gt;"",2,0)+IF(N259&lt;&gt;"",2,0)</f>
        <v>3</v>
      </c>
    </row>
    <row r="260" spans="1:16" ht="15.75" customHeight="1" x14ac:dyDescent="0.25">
      <c r="A260" s="6" t="s">
        <v>612</v>
      </c>
      <c r="B260" s="6" cm="1">
        <f t="array" ref="B260">alea_int(Settings!$B$10,1,Settings!$B$16)</f>
        <v>2</v>
      </c>
      <c r="C260" s="8">
        <v>46023</v>
      </c>
      <c r="D260" s="8">
        <f t="shared" si="17"/>
        <v>46387</v>
      </c>
      <c r="E260" s="6" t="str" cm="1">
        <f t="array" ref="E260">choice(Groupes!A:A,1,Settings!$B$16)</f>
        <v>G8</v>
      </c>
      <c r="F260" s="6" t="str">
        <f t="shared" si="18"/>
        <v>G8</v>
      </c>
      <c r="G260" s="6" t="str">
        <f t="shared" si="19"/>
        <v>Prof13</v>
      </c>
      <c r="H260" s="6" t="str" cm="1">
        <f t="array" ref="H260">choice(Referentiel!A:A,1,Settings!$B$16)</f>
        <v>Design Graphique</v>
      </c>
      <c r="I260" s="6" t="str" cm="1">
        <f t="array" ref="I260">choice(Referentiel!B:B,1,Settings!$B$16)</f>
        <v>4ème année Design Textile et Matière S1</v>
      </c>
      <c r="J260" s="6" t="str" cm="1">
        <f t="array" ref="J260">choice(Referentiel!D:D,1,Settings!$B$16)</f>
        <v>M1</v>
      </c>
      <c r="K260" s="6" t="str" cm="1">
        <f t="array" ref="K260">choice(Professeurs!B:B,1,Settings!$B$16)</f>
        <v>Prof13</v>
      </c>
      <c r="L260" s="5" t="str" cm="1">
        <f t="array" ref="L260">choice(Referentiel!C:C,1,Settings!$B$16)</f>
        <v/>
      </c>
      <c r="M260" s="5" t="str" cm="1">
        <f t="array" ref="M260">choice(Referentiel!E:E,1,Settings!$B$16)</f>
        <v/>
      </c>
      <c r="N260" s="5" t="str" cm="1">
        <f t="array" ref="N260">choice(Settings!K:K,1,Settings!$B$16)</f>
        <v>mercredi ap</v>
      </c>
      <c r="P260" s="5">
        <f t="shared" si="20"/>
        <v>4</v>
      </c>
    </row>
    <row r="261" spans="1:16" ht="15.75" customHeight="1" x14ac:dyDescent="0.25">
      <c r="A261" s="6" t="s">
        <v>613</v>
      </c>
      <c r="B261" s="6" cm="1">
        <f t="array" ref="B261">alea_int(Settings!$B$10,1,Settings!$B$16)</f>
        <v>2</v>
      </c>
      <c r="C261" s="8">
        <v>46023</v>
      </c>
      <c r="D261" s="8">
        <f t="shared" si="17"/>
        <v>46387</v>
      </c>
      <c r="E261" s="6" t="str" cm="1">
        <f t="array" ref="E261">choice(Groupes!A:A,1,Settings!$B$16)</f>
        <v>G25</v>
      </c>
      <c r="F261" s="6" t="str">
        <f t="shared" si="18"/>
        <v>G25</v>
      </c>
      <c r="G261" s="6" t="str">
        <f t="shared" si="19"/>
        <v>Prof52</v>
      </c>
      <c r="H261" s="6" t="str" cm="1">
        <f t="array" ref="H261">choice(Referentiel!A:A,1,Settings!$B$16)</f>
        <v>Art-Espace</v>
      </c>
      <c r="I261" s="6" t="str" cm="1">
        <f t="array" ref="I261">choice(Referentiel!B:B,1,Settings!$B$16)</f>
        <v>3ème année Scénographie S2</v>
      </c>
      <c r="J261" s="6" t="str" cm="1">
        <f t="array" ref="J261">choice(Referentiel!D:D,1,Settings!$B$16)</f>
        <v>M1</v>
      </c>
      <c r="K261" s="6" t="str" cm="1">
        <f t="array" ref="K261">choice(Professeurs!B:B,1,Settings!$B$16)</f>
        <v>Prof52</v>
      </c>
      <c r="L261" s="5" t="str" cm="1">
        <f t="array" ref="L261">choice(Referentiel!C:C,1,Settings!$B$16)</f>
        <v/>
      </c>
      <c r="M261" s="5" t="str" cm="1">
        <f t="array" ref="M261">choice(Referentiel!E:E,1,Settings!$B$16)</f>
        <v/>
      </c>
      <c r="N261" s="5" t="str" cm="1">
        <f t="array" ref="N261">choice(Settings!K:K,1,Settings!$B$16)</f>
        <v/>
      </c>
      <c r="P261" s="5">
        <f t="shared" si="20"/>
        <v>2</v>
      </c>
    </row>
    <row r="262" spans="1:16" ht="15.75" customHeight="1" x14ac:dyDescent="0.25">
      <c r="A262" s="6" t="s">
        <v>614</v>
      </c>
      <c r="B262" s="6" cm="1">
        <f t="array" ref="B262">alea_int(Settings!$B$10,1,Settings!$B$16)</f>
        <v>2</v>
      </c>
      <c r="C262" s="8">
        <v>46023</v>
      </c>
      <c r="D262" s="8">
        <f t="shared" si="17"/>
        <v>46387</v>
      </c>
      <c r="E262" s="6" t="str" cm="1">
        <f t="array" ref="E262">choice(Groupes!A:A,1,Settings!$B$16)</f>
        <v>G15</v>
      </c>
      <c r="F262" s="6" t="str">
        <f t="shared" si="18"/>
        <v>G15</v>
      </c>
      <c r="G262" s="6" t="str">
        <f t="shared" si="19"/>
        <v>Prof47</v>
      </c>
      <c r="H262" s="6" t="str" cm="1">
        <f t="array" ref="H262">choice(Referentiel!A:A,1,Settings!$B$16)</f>
        <v>Art-Espace</v>
      </c>
      <c r="I262" s="6" t="str" cm="1">
        <f t="array" ref="I262">choice(Referentiel!B:B,1,Settings!$B$16)</f>
        <v>Césure S2</v>
      </c>
      <c r="J262" s="6" t="str" cm="1">
        <f t="array" ref="J262">choice(Referentiel!D:D,1,Settings!$B$16)</f>
        <v>L1</v>
      </c>
      <c r="K262" s="6" t="str" cm="1">
        <f t="array" ref="K262">choice(Professeurs!B:B,1,Settings!$B$16)</f>
        <v>Prof47</v>
      </c>
      <c r="L262" s="5" t="str" cm="1">
        <f t="array" ref="L262">choice(Referentiel!C:C,1,Settings!$B$16)</f>
        <v/>
      </c>
      <c r="M262" s="5" t="str" cm="1">
        <f t="array" ref="M262">choice(Referentiel!E:E,1,Settings!$B$16)</f>
        <v/>
      </c>
      <c r="N262" s="5" t="str" cm="1">
        <f t="array" ref="N262">choice(Settings!K:K,1,Settings!$B$16)</f>
        <v/>
      </c>
      <c r="P262" s="5">
        <f t="shared" si="20"/>
        <v>2</v>
      </c>
    </row>
    <row r="263" spans="1:16" ht="15.75" customHeight="1" x14ac:dyDescent="0.25">
      <c r="A263" s="6" t="s">
        <v>615</v>
      </c>
      <c r="B263" s="6" cm="1">
        <f t="array" ref="B263">alea_int(Settings!$B$10,1,Settings!$B$16)</f>
        <v>1</v>
      </c>
      <c r="C263" s="8">
        <v>46023</v>
      </c>
      <c r="D263" s="8">
        <f t="shared" si="17"/>
        <v>46387</v>
      </c>
      <c r="E263" s="6" t="str" cm="1">
        <f t="array" ref="E263">choice(Groupes!A:A,1,Settings!$B$16)</f>
        <v>G30</v>
      </c>
      <c r="F263" s="6" t="str">
        <f t="shared" si="18"/>
        <v>G30</v>
      </c>
      <c r="G263" s="6" t="str">
        <f t="shared" si="19"/>
        <v>Prof4</v>
      </c>
      <c r="H263" s="6" t="str" cm="1">
        <f t="array" ref="H263">choice(Referentiel!A:A,1,Settings!$B$16)</f>
        <v>Gr SYMBIOSE</v>
      </c>
      <c r="I263" s="6" t="str" cm="1">
        <f t="array" ref="I263">choice(Referentiel!B:B,1,Settings!$B$16)</f>
        <v>1ère Année Groupe 1 S1</v>
      </c>
      <c r="J263" s="6" t="str" cm="1">
        <f t="array" ref="J263">choice(Referentiel!D:D,1,Settings!$B$16)</f>
        <v>M2</v>
      </c>
      <c r="K263" s="6" t="str" cm="1">
        <f t="array" ref="K263">choice(Professeurs!B:B,1,Settings!$B$16)</f>
        <v>Prof4</v>
      </c>
      <c r="L263" s="5" t="str" cm="1">
        <f t="array" ref="L263">choice(Referentiel!C:C,1,Settings!$B$16)</f>
        <v>projecteur</v>
      </c>
      <c r="M263" s="5" t="str" cm="1">
        <f t="array" ref="M263">choice(Referentiel!E:E,1,Settings!$B$16)</f>
        <v/>
      </c>
      <c r="N263" s="5" t="str" cm="1">
        <f t="array" ref="N263">choice(Settings!K:K,1,Settings!$B$16)</f>
        <v/>
      </c>
      <c r="P263" s="5">
        <f t="shared" si="20"/>
        <v>1</v>
      </c>
    </row>
    <row r="264" spans="1:16" ht="15.75" customHeight="1" x14ac:dyDescent="0.25">
      <c r="A264" s="6" t="s">
        <v>616</v>
      </c>
      <c r="B264" s="6" cm="1">
        <f t="array" ref="B264">alea_int(Settings!$B$10,1,Settings!$B$16)</f>
        <v>2</v>
      </c>
      <c r="C264" s="8">
        <v>46023</v>
      </c>
      <c r="D264" s="8">
        <f t="shared" si="17"/>
        <v>46387</v>
      </c>
      <c r="E264" s="6" t="str" cm="1">
        <f t="array" ref="E264">choice(Groupes!A:A,1,Settings!$B$16)</f>
        <v>G14</v>
      </c>
      <c r="F264" s="6" t="str">
        <f t="shared" si="18"/>
        <v>G14</v>
      </c>
      <c r="G264" s="6" t="str">
        <f t="shared" si="19"/>
        <v>Prof24</v>
      </c>
      <c r="H264" s="6" t="str" cm="1">
        <f t="array" ref="H264">choice(Referentiel!A:A,1,Settings!$B$16)</f>
        <v>Photo / Vidéo</v>
      </c>
      <c r="I264" s="6" t="str" cm="1">
        <f t="array" ref="I264">choice(Referentiel!B:B,1,Settings!$B$16)</f>
        <v>2ème année Architecture Intérieure S1</v>
      </c>
      <c r="J264" s="6" t="str" cm="1">
        <f t="array" ref="J264">choice(Referentiel!D:D,1,Settings!$B$16)</f>
        <v>L2</v>
      </c>
      <c r="K264" s="6" t="str" cm="1">
        <f t="array" ref="K264">choice(Professeurs!B:B,1,Settings!$B$16)</f>
        <v>Prof24</v>
      </c>
      <c r="L264" s="5" t="str" cm="1">
        <f t="array" ref="L264">choice(Referentiel!C:C,1,Settings!$B$16)</f>
        <v/>
      </c>
      <c r="M264" s="5" t="str" cm="1">
        <f t="array" ref="M264">choice(Referentiel!E:E,1,Settings!$B$16)</f>
        <v/>
      </c>
      <c r="N264" s="5" t="str" cm="1">
        <f t="array" ref="N264">choice(Settings!K:K,1,Settings!$B$16)</f>
        <v/>
      </c>
      <c r="P264" s="5">
        <f t="shared" si="20"/>
        <v>2</v>
      </c>
    </row>
    <row r="265" spans="1:16" ht="15.75" customHeight="1" x14ac:dyDescent="0.25">
      <c r="A265" s="6" t="s">
        <v>617</v>
      </c>
      <c r="B265" s="6" cm="1">
        <f t="array" ref="B265">alea_int(Settings!$B$10,1,Settings!$B$16)</f>
        <v>3</v>
      </c>
      <c r="C265" s="8">
        <v>46023</v>
      </c>
      <c r="D265" s="8">
        <f t="shared" si="17"/>
        <v>46387</v>
      </c>
      <c r="E265" s="6" t="str" cm="1">
        <f t="array" ref="E265">choice(Groupes!A:A,1,Settings!$B$16)</f>
        <v>G16</v>
      </c>
      <c r="F265" s="6" t="str">
        <f t="shared" si="18"/>
        <v>G16</v>
      </c>
      <c r="G265" s="6" t="str">
        <f t="shared" si="19"/>
        <v>Prof28</v>
      </c>
      <c r="H265" s="6" t="str" cm="1">
        <f t="array" ref="H265">choice(Referentiel!A:A,1,Settings!$B$16)</f>
        <v>Design Objet</v>
      </c>
      <c r="I265" s="6" t="str" cm="1">
        <f t="array" ref="I265">choice(Referentiel!B:B,1,Settings!$B$16)</f>
        <v>2ème année Scénographie S1</v>
      </c>
      <c r="J265" s="6" t="str" cm="1">
        <f t="array" ref="J265">choice(Referentiel!D:D,1,Settings!$B$16)</f>
        <v>L1</v>
      </c>
      <c r="K265" s="6" t="str" cm="1">
        <f t="array" ref="K265">choice(Professeurs!B:B,1,Settings!$B$16)</f>
        <v>Prof28</v>
      </c>
      <c r="L265" s="5" t="str" cm="1">
        <f t="array" ref="L265">choice(Referentiel!C:C,1,Settings!$B$16)</f>
        <v/>
      </c>
      <c r="M265" s="5" t="str" cm="1">
        <f t="array" ref="M265">choice(Referentiel!E:E,1,Settings!$B$16)</f>
        <v/>
      </c>
      <c r="N265" s="5" t="str" cm="1">
        <f t="array" ref="N265">choice(Settings!K:K,1,Settings!$B$16)</f>
        <v>jeudi pm</v>
      </c>
      <c r="P265" s="5">
        <f t="shared" si="20"/>
        <v>5</v>
      </c>
    </row>
    <row r="266" spans="1:16" ht="15.75" customHeight="1" x14ac:dyDescent="0.25">
      <c r="A266" s="6" t="s">
        <v>618</v>
      </c>
      <c r="B266" s="6" cm="1">
        <f t="array" ref="B266">alea_int(Settings!$B$10,1,Settings!$B$16)</f>
        <v>2</v>
      </c>
      <c r="C266" s="8">
        <v>46023</v>
      </c>
      <c r="D266" s="8">
        <f t="shared" si="17"/>
        <v>46387</v>
      </c>
      <c r="E266" s="6" t="str" cm="1">
        <f t="array" ref="E266">choice(Groupes!A:A,1,Settings!$B$16)</f>
        <v>G21</v>
      </c>
      <c r="F266" s="6" t="str">
        <f t="shared" si="18"/>
        <v>G21</v>
      </c>
      <c r="G266" s="6" t="str">
        <f t="shared" si="19"/>
        <v>Prof23</v>
      </c>
      <c r="H266" s="6" t="str" cm="1">
        <f t="array" ref="H266">choice(Referentiel!A:A,1,Settings!$B$16)</f>
        <v>Design des mondes urbains</v>
      </c>
      <c r="I266" s="6" t="str" cm="1">
        <f t="array" ref="I266">choice(Referentiel!B:B,1,Settings!$B$16)</f>
        <v>5ème année Design Textile et Matière S1</v>
      </c>
      <c r="J266" s="6" t="str" cm="1">
        <f t="array" ref="J266">choice(Referentiel!D:D,1,Settings!$B$16)</f>
        <v>L2</v>
      </c>
      <c r="K266" s="6" t="str" cm="1">
        <f t="array" ref="K266">choice(Professeurs!B:B,1,Settings!$B$16)</f>
        <v>Prof23</v>
      </c>
      <c r="L266" s="5" t="str" cm="1">
        <f t="array" ref="L266">choice(Referentiel!C:C,1,Settings!$B$16)</f>
        <v/>
      </c>
      <c r="M266" s="5" t="str" cm="1">
        <f t="array" ref="M266">choice(Referentiel!E:E,1,Settings!$B$16)</f>
        <v/>
      </c>
      <c r="N266" s="5" t="str" cm="1">
        <f t="array" ref="N266">choice(Settings!K:K,1,Settings!$B$16)</f>
        <v/>
      </c>
      <c r="P266" s="5">
        <f t="shared" si="20"/>
        <v>2</v>
      </c>
    </row>
    <row r="267" spans="1:16" ht="15.75" customHeight="1" x14ac:dyDescent="0.25">
      <c r="A267" s="6" t="s">
        <v>619</v>
      </c>
      <c r="B267" s="6" cm="1">
        <f t="array" ref="B267">alea_int(Settings!$B$10,1,Settings!$B$16)</f>
        <v>1</v>
      </c>
      <c r="C267" s="8">
        <v>46023</v>
      </c>
      <c r="D267" s="8">
        <f t="shared" si="17"/>
        <v>46387</v>
      </c>
      <c r="E267" s="6" t="str" cm="1">
        <f t="array" ref="E267">choice(Groupes!A:A,1,Settings!$B$16)</f>
        <v>G24</v>
      </c>
      <c r="F267" s="6" t="str">
        <f t="shared" si="18"/>
        <v>G24</v>
      </c>
      <c r="G267" s="6" t="str">
        <f t="shared" si="19"/>
        <v>Prof3</v>
      </c>
      <c r="H267" s="6" t="str" cm="1">
        <f t="array" ref="H267">choice(Referentiel!A:A,1,Settings!$B$16)</f>
        <v>Cinéma d'Animation</v>
      </c>
      <c r="I267" s="6" t="str" cm="1">
        <f t="array" ref="I267">choice(Referentiel!B:B,1,Settings!$B$16)</f>
        <v>4ème année Design Vêtement S1</v>
      </c>
      <c r="J267" s="6" t="str" cm="1">
        <f t="array" ref="J267">choice(Referentiel!D:D,1,Settings!$B$16)</f>
        <v>L1</v>
      </c>
      <c r="K267" s="6" t="str" cm="1">
        <f t="array" ref="K267">choice(Professeurs!B:B,1,Settings!$B$16)</f>
        <v>Prof3</v>
      </c>
      <c r="L267" s="5" t="str" cm="1">
        <f t="array" ref="L267">choice(Referentiel!C:C,1,Settings!$B$16)</f>
        <v/>
      </c>
      <c r="M267" s="5" t="str" cm="1">
        <f t="array" ref="M267">choice(Referentiel!E:E,1,Settings!$B$16)</f>
        <v/>
      </c>
      <c r="N267" s="5" t="str" cm="1">
        <f t="array" ref="N267">choice(Settings!K:K,1,Settings!$B$16)</f>
        <v/>
      </c>
      <c r="P267" s="5">
        <f t="shared" si="20"/>
        <v>1</v>
      </c>
    </row>
    <row r="268" spans="1:16" ht="15.75" customHeight="1" x14ac:dyDescent="0.25">
      <c r="A268" s="6" t="s">
        <v>620</v>
      </c>
      <c r="B268" s="6" cm="1">
        <f t="array" ref="B268">alea_int(Settings!$B$10,1,Settings!$B$16)</f>
        <v>1</v>
      </c>
      <c r="C268" s="8">
        <v>46023</v>
      </c>
      <c r="D268" s="8">
        <f t="shared" si="17"/>
        <v>46387</v>
      </c>
      <c r="E268" s="6" t="str" cm="1">
        <f t="array" ref="E268">choice(Groupes!A:A,1,Settings!$B$16)</f>
        <v>G12</v>
      </c>
      <c r="F268" s="6" t="str">
        <f t="shared" si="18"/>
        <v>G12</v>
      </c>
      <c r="G268" s="6" t="str">
        <f t="shared" si="19"/>
        <v>Prof35</v>
      </c>
      <c r="H268" s="6" t="str" cm="1">
        <f t="array" ref="H268">choice(Referentiel!A:A,1,Settings!$B$16)</f>
        <v>Design des mondes littoraux</v>
      </c>
      <c r="I268" s="6" t="str" cm="1">
        <f t="array" ref="I268">choice(Referentiel!B:B,1,Settings!$B$16)</f>
        <v>4ème année Cinéma d'Animation S2</v>
      </c>
      <c r="J268" s="6" t="str" cm="1">
        <f t="array" ref="J268">choice(Referentiel!D:D,1,Settings!$B$16)</f>
        <v>M1</v>
      </c>
      <c r="K268" s="6" t="str" cm="1">
        <f t="array" ref="K268">choice(Professeurs!B:B,1,Settings!$B$16)</f>
        <v>Prof35</v>
      </c>
      <c r="L268" s="5" t="str" cm="1">
        <f t="array" ref="L268">choice(Referentiel!C:C,1,Settings!$B$16)</f>
        <v/>
      </c>
      <c r="M268" s="5" t="str" cm="1">
        <f t="array" ref="M268">choice(Referentiel!E:E,1,Settings!$B$16)</f>
        <v/>
      </c>
      <c r="N268" s="5" t="str" cm="1">
        <f t="array" ref="N268">choice(Settings!K:K,1,Settings!$B$16)</f>
        <v/>
      </c>
      <c r="P268" s="5">
        <f t="shared" si="20"/>
        <v>1</v>
      </c>
    </row>
    <row r="269" spans="1:16" ht="15.75" customHeight="1" x14ac:dyDescent="0.25">
      <c r="A269" s="6" t="s">
        <v>621</v>
      </c>
      <c r="B269" s="6" cm="1">
        <f t="array" ref="B269">alea_int(Settings!$B$10,1,Settings!$B$16)</f>
        <v>1</v>
      </c>
      <c r="C269" s="8">
        <v>46023</v>
      </c>
      <c r="D269" s="8">
        <f t="shared" si="17"/>
        <v>46387</v>
      </c>
      <c r="E269" s="6" t="str" cm="1">
        <f t="array" ref="E269">choice(Groupes!A:A,1,Settings!$B$16)</f>
        <v>G13</v>
      </c>
      <c r="F269" s="6" t="str">
        <f t="shared" si="18"/>
        <v>G13</v>
      </c>
      <c r="G269" s="6" t="str">
        <f t="shared" si="19"/>
        <v>Prof30</v>
      </c>
      <c r="H269" s="6" t="str" cm="1">
        <f t="array" ref="H269">choice(Referentiel!A:A,1,Settings!$B$16)</f>
        <v>Design des mondes littoraux</v>
      </c>
      <c r="I269" s="6" t="str" cm="1">
        <f t="array" ref="I269">choice(Referentiel!B:B,1,Settings!$B$16)</f>
        <v>2ème année Architecture Intérieure S2</v>
      </c>
      <c r="J269" s="6" t="str" cm="1">
        <f t="array" ref="J269">choice(Referentiel!D:D,1,Settings!$B$16)</f>
        <v>M1</v>
      </c>
      <c r="K269" s="6" t="str" cm="1">
        <f t="array" ref="K269">choice(Professeurs!B:B,1,Settings!$B$16)</f>
        <v>Prof30</v>
      </c>
      <c r="L269" s="5" t="str" cm="1">
        <f t="array" ref="L269">choice(Referentiel!C:C,1,Settings!$B$16)</f>
        <v/>
      </c>
      <c r="M269" s="5" t="str" cm="1">
        <f t="array" ref="M269">choice(Referentiel!E:E,1,Settings!$B$16)</f>
        <v>Salle1</v>
      </c>
      <c r="N269" s="5" t="str" cm="1">
        <f t="array" ref="N269">choice(Settings!K:K,1,Settings!$B$16)</f>
        <v/>
      </c>
      <c r="P269" s="5">
        <f t="shared" si="20"/>
        <v>3</v>
      </c>
    </row>
    <row r="270" spans="1:16" ht="15.75" customHeight="1" x14ac:dyDescent="0.25">
      <c r="A270" s="6" t="s">
        <v>622</v>
      </c>
      <c r="B270" s="6" cm="1">
        <f t="array" ref="B270">alea_int(Settings!$B$10,1,Settings!$B$16)</f>
        <v>3</v>
      </c>
      <c r="C270" s="8">
        <v>46023</v>
      </c>
      <c r="D270" s="8">
        <f t="shared" si="17"/>
        <v>46387</v>
      </c>
      <c r="E270" s="6" t="str" cm="1">
        <f t="array" ref="E270">choice(Groupes!A:A,1,Settings!$B$16)</f>
        <v>G12</v>
      </c>
      <c r="F270" s="6" t="str">
        <f t="shared" si="18"/>
        <v>G12</v>
      </c>
      <c r="G270" s="6" t="str">
        <f t="shared" si="19"/>
        <v>Prof2</v>
      </c>
      <c r="H270" s="6" t="str" cm="1">
        <f t="array" ref="H270">choice(Referentiel!A:A,1,Settings!$B$16)</f>
        <v>Design Graphique</v>
      </c>
      <c r="I270" s="6" t="str" cm="1">
        <f t="array" ref="I270">choice(Referentiel!B:B,1,Settings!$B$16)</f>
        <v>5ème année Cinéma d'Animation S2</v>
      </c>
      <c r="J270" s="6" t="str" cm="1">
        <f t="array" ref="J270">choice(Referentiel!D:D,1,Settings!$B$16)</f>
        <v>M1</v>
      </c>
      <c r="K270" s="6" t="str" cm="1">
        <f t="array" ref="K270">choice(Professeurs!B:B,1,Settings!$B$16)</f>
        <v>Prof2</v>
      </c>
      <c r="L270" s="5" t="str" cm="1">
        <f t="array" ref="L270">choice(Referentiel!C:C,1,Settings!$B$16)</f>
        <v/>
      </c>
      <c r="M270" s="5" t="str" cm="1">
        <f t="array" ref="M270">choice(Referentiel!E:E,1,Settings!$B$16)</f>
        <v/>
      </c>
      <c r="N270" s="5" t="str" cm="1">
        <f t="array" ref="N270">choice(Settings!K:K,1,Settings!$B$16)</f>
        <v>mardi am</v>
      </c>
      <c r="P270" s="5">
        <f t="shared" si="20"/>
        <v>5</v>
      </c>
    </row>
    <row r="271" spans="1:16" ht="15.75" customHeight="1" x14ac:dyDescent="0.25">
      <c r="A271" s="6" t="s">
        <v>623</v>
      </c>
      <c r="B271" s="6" cm="1">
        <f t="array" ref="B271">alea_int(Settings!$B$10,1,Settings!$B$16)</f>
        <v>2</v>
      </c>
      <c r="C271" s="8">
        <v>46023</v>
      </c>
      <c r="D271" s="8">
        <f t="shared" si="17"/>
        <v>46387</v>
      </c>
      <c r="E271" s="6" t="str" cm="1">
        <f t="array" ref="E271">choice(Groupes!A:A,1,Settings!$B$16)</f>
        <v>G1</v>
      </c>
      <c r="F271" s="6" t="str">
        <f t="shared" si="18"/>
        <v>G1</v>
      </c>
      <c r="G271" s="6" t="str">
        <f t="shared" si="19"/>
        <v>Prof17</v>
      </c>
      <c r="H271" s="6" t="str" cm="1">
        <f t="array" ref="H271">choice(Referentiel!A:A,1,Settings!$B$16)</f>
        <v>Design des mondes ruraux</v>
      </c>
      <c r="I271" s="6" t="str" cm="1">
        <f t="array" ref="I271">choice(Referentiel!B:B,1,Settings!$B$16)</f>
        <v>4ème année Architecture Intérieure S1</v>
      </c>
      <c r="J271" s="6" t="str" cm="1">
        <f t="array" ref="J271">choice(Referentiel!D:D,1,Settings!$B$16)</f>
        <v>M1</v>
      </c>
      <c r="K271" s="6" t="str" cm="1">
        <f t="array" ref="K271">choice(Professeurs!B:B,1,Settings!$B$16)</f>
        <v>Prof17</v>
      </c>
      <c r="L271" s="5" t="str" cm="1">
        <f t="array" ref="L271">choice(Referentiel!C:C,1,Settings!$B$16)</f>
        <v/>
      </c>
      <c r="M271" s="5" t="str" cm="1">
        <f t="array" ref="M271">choice(Referentiel!E:E,1,Settings!$B$16)</f>
        <v/>
      </c>
      <c r="N271" s="5" t="str" cm="1">
        <f t="array" ref="N271">choice(Settings!K:K,1,Settings!$B$16)</f>
        <v/>
      </c>
      <c r="P271" s="5">
        <f t="shared" si="20"/>
        <v>2</v>
      </c>
    </row>
    <row r="272" spans="1:16" ht="15.75" customHeight="1" x14ac:dyDescent="0.25">
      <c r="A272" s="6" t="s">
        <v>624</v>
      </c>
      <c r="B272" s="6" cm="1">
        <f t="array" ref="B272">alea_int(Settings!$B$10,1,Settings!$B$16)</f>
        <v>3</v>
      </c>
      <c r="C272" s="8">
        <v>46023</v>
      </c>
      <c r="D272" s="8">
        <f t="shared" si="17"/>
        <v>46387</v>
      </c>
      <c r="E272" s="6" t="str" cm="1">
        <f t="array" ref="E272">choice(Groupes!A:A,1,Settings!$B$16)</f>
        <v>G10</v>
      </c>
      <c r="F272" s="6" t="str">
        <f t="shared" si="18"/>
        <v>G10</v>
      </c>
      <c r="G272" s="6" t="str">
        <f t="shared" si="19"/>
        <v>Prof31</v>
      </c>
      <c r="H272" s="6" t="str" cm="1">
        <f t="array" ref="H272">choice(Referentiel!A:A,1,Settings!$B$16)</f>
        <v>Gr SPATIAL MEDIA</v>
      </c>
      <c r="I272" s="6" t="str" cm="1">
        <f t="array" ref="I272">choice(Referentiel!B:B,1,Settings!$B$16)</f>
        <v>3ème année Design Vêtement S1</v>
      </c>
      <c r="J272" s="6" t="str" cm="1">
        <f t="array" ref="J272">choice(Referentiel!D:D,1,Settings!$B$16)</f>
        <v>M1</v>
      </c>
      <c r="K272" s="6" t="str" cm="1">
        <f t="array" ref="K272">choice(Professeurs!B:B,1,Settings!$B$16)</f>
        <v>Prof31</v>
      </c>
      <c r="L272" s="5" t="str" cm="1">
        <f t="array" ref="L272">choice(Referentiel!C:C,1,Settings!$B$16)</f>
        <v/>
      </c>
      <c r="M272" s="5" t="str" cm="1">
        <f t="array" ref="M272">choice(Referentiel!E:E,1,Settings!$B$16)</f>
        <v/>
      </c>
      <c r="N272" s="5" t="str" cm="1">
        <f t="array" ref="N272">choice(Settings!K:K,1,Settings!$B$16)</f>
        <v>vendredi pm</v>
      </c>
      <c r="P272" s="5">
        <f t="shared" si="20"/>
        <v>5</v>
      </c>
    </row>
    <row r="273" spans="1:16" ht="15.75" customHeight="1" x14ac:dyDescent="0.25">
      <c r="A273" s="6" t="s">
        <v>625</v>
      </c>
      <c r="B273" s="6" cm="1">
        <f t="array" ref="B273">alea_int(Settings!$B$10,1,Settings!$B$16)</f>
        <v>3</v>
      </c>
      <c r="C273" s="8">
        <v>46023</v>
      </c>
      <c r="D273" s="8">
        <f t="shared" si="17"/>
        <v>46387</v>
      </c>
      <c r="E273" s="6" t="str" cm="1">
        <f t="array" ref="E273">choice(Groupes!A:A,1,Settings!$B$16)</f>
        <v>G14</v>
      </c>
      <c r="F273" s="6" t="str">
        <f t="shared" si="18"/>
        <v>G14</v>
      </c>
      <c r="G273" s="6" t="str">
        <f t="shared" si="19"/>
        <v>Prof39</v>
      </c>
      <c r="H273" s="6" t="str" cm="1">
        <f t="array" ref="H273">choice(Referentiel!A:A,1,Settings!$B$16)</f>
        <v>Design des mondes montagneux</v>
      </c>
      <c r="I273" s="6" t="str" cm="1">
        <f t="array" ref="I273">choice(Referentiel!B:B,1,Settings!$B$16)</f>
        <v>5ème année Design Textile et Matière S2</v>
      </c>
      <c r="J273" s="6" t="str" cm="1">
        <f t="array" ref="J273">choice(Referentiel!D:D,1,Settings!$B$16)</f>
        <v>L1</v>
      </c>
      <c r="K273" s="6" t="str" cm="1">
        <f t="array" ref="K273">choice(Professeurs!B:B,1,Settings!$B$16)</f>
        <v>Prof39</v>
      </c>
      <c r="L273" s="5" t="str" cm="1">
        <f t="array" ref="L273">choice(Referentiel!C:C,1,Settings!$B$16)</f>
        <v/>
      </c>
      <c r="M273" s="5" t="str" cm="1">
        <f t="array" ref="M273">choice(Referentiel!E:E,1,Settings!$B$16)</f>
        <v/>
      </c>
      <c r="N273" s="5" t="str" cm="1">
        <f t="array" ref="N273">choice(Settings!K:K,1,Settings!$B$16)</f>
        <v/>
      </c>
      <c r="P273" s="5">
        <f t="shared" si="20"/>
        <v>3</v>
      </c>
    </row>
    <row r="274" spans="1:16" ht="15.75" customHeight="1" x14ac:dyDescent="0.25">
      <c r="A274" s="6" t="s">
        <v>626</v>
      </c>
      <c r="B274" s="6" cm="1">
        <f t="array" ref="B274">alea_int(Settings!$B$10,1,Settings!$B$16)</f>
        <v>3</v>
      </c>
      <c r="C274" s="8">
        <v>46023</v>
      </c>
      <c r="D274" s="8">
        <f t="shared" si="17"/>
        <v>46387</v>
      </c>
      <c r="E274" s="6" t="str" cm="1">
        <f t="array" ref="E274">choice(Groupes!A:A,1,Settings!$B$16)</f>
        <v>G16</v>
      </c>
      <c r="F274" s="6" t="str">
        <f t="shared" si="18"/>
        <v>G16</v>
      </c>
      <c r="G274" s="6" t="str">
        <f t="shared" si="19"/>
        <v>Prof53</v>
      </c>
      <c r="H274" s="6" t="str" cm="1">
        <f t="array" ref="H274">choice(Referentiel!A:A,1,Settings!$B$16)</f>
        <v>Design Objet</v>
      </c>
      <c r="I274" s="6" t="str" cm="1">
        <f t="array" ref="I274">choice(Referentiel!B:B,1,Settings!$B$16)</f>
        <v>3ème année Design Vêtement S2</v>
      </c>
      <c r="J274" s="6" t="str" cm="1">
        <f t="array" ref="J274">choice(Referentiel!D:D,1,Settings!$B$16)</f>
        <v>M2</v>
      </c>
      <c r="K274" s="6" t="str" cm="1">
        <f t="array" ref="K274">choice(Professeurs!B:B,1,Settings!$B$16)</f>
        <v>Prof53</v>
      </c>
      <c r="L274" s="5" t="str" cm="1">
        <f t="array" ref="L274">choice(Referentiel!C:C,1,Settings!$B$16)</f>
        <v/>
      </c>
      <c r="M274" s="5" t="str" cm="1">
        <f t="array" ref="M274">choice(Referentiel!E:E,1,Settings!$B$16)</f>
        <v/>
      </c>
      <c r="N274" s="5" t="str" cm="1">
        <f t="array" ref="N274">choice(Settings!K:K,1,Settings!$B$16)</f>
        <v>lundi am</v>
      </c>
      <c r="P274" s="5">
        <f t="shared" si="20"/>
        <v>5</v>
      </c>
    </row>
    <row r="275" spans="1:16" ht="15.75" customHeight="1" x14ac:dyDescent="0.25">
      <c r="A275" s="6" t="s">
        <v>627</v>
      </c>
      <c r="B275" s="6" cm="1">
        <f t="array" ref="B275">alea_int(Settings!$B$10,1,Settings!$B$16)</f>
        <v>3</v>
      </c>
      <c r="C275" s="8">
        <v>46023</v>
      </c>
      <c r="D275" s="8">
        <f t="shared" si="17"/>
        <v>46387</v>
      </c>
      <c r="E275" s="6" t="str" cm="1">
        <f t="array" ref="E275">choice(Groupes!A:A,1,Settings!$B$16)</f>
        <v>G7</v>
      </c>
      <c r="F275" s="6" t="str">
        <f t="shared" si="18"/>
        <v>G7</v>
      </c>
      <c r="G275" s="6" t="str">
        <f t="shared" si="19"/>
        <v>Prof52</v>
      </c>
      <c r="H275" s="6" t="str" cm="1">
        <f t="array" ref="H275">choice(Referentiel!A:A,1,Settings!$B$16)</f>
        <v>Cinéma d'Animation</v>
      </c>
      <c r="I275" s="6" t="str" cm="1">
        <f t="array" ref="I275">choice(Referentiel!B:B,1,Settings!$B$16)</f>
        <v>3ème année Design Vêtement S2</v>
      </c>
      <c r="J275" s="6" t="str" cm="1">
        <f t="array" ref="J275">choice(Referentiel!D:D,1,Settings!$B$16)</f>
        <v>M2</v>
      </c>
      <c r="K275" s="6" t="str" cm="1">
        <f t="array" ref="K275">choice(Professeurs!B:B,1,Settings!$B$16)</f>
        <v>Prof52</v>
      </c>
      <c r="L275" s="5" t="str" cm="1">
        <f t="array" ref="L275">choice(Referentiel!C:C,1,Settings!$B$16)</f>
        <v/>
      </c>
      <c r="M275" s="5" t="str" cm="1">
        <f t="array" ref="M275">choice(Referentiel!E:E,1,Settings!$B$16)</f>
        <v/>
      </c>
      <c r="N275" s="5" t="str" cm="1">
        <f t="array" ref="N275">choice(Settings!K:K,1,Settings!$B$16)</f>
        <v/>
      </c>
      <c r="P275" s="5">
        <f t="shared" si="20"/>
        <v>3</v>
      </c>
    </row>
    <row r="276" spans="1:16" ht="15.75" customHeight="1" x14ac:dyDescent="0.25">
      <c r="A276" s="6" t="s">
        <v>628</v>
      </c>
      <c r="B276" s="6" cm="1">
        <f t="array" ref="B276">alea_int(Settings!$B$10,1,Settings!$B$16)</f>
        <v>3</v>
      </c>
      <c r="C276" s="8">
        <v>46023</v>
      </c>
      <c r="D276" s="8">
        <f t="shared" si="17"/>
        <v>46387</v>
      </c>
      <c r="E276" s="6" t="str" cm="1">
        <f t="array" ref="E276">choice(Groupes!A:A,1,Settings!$B$16)</f>
        <v>G1</v>
      </c>
      <c r="F276" s="6" t="str">
        <f t="shared" si="18"/>
        <v>G1</v>
      </c>
      <c r="G276" s="6" t="str">
        <f t="shared" si="19"/>
        <v>Prof42</v>
      </c>
      <c r="H276" s="6" t="str" cm="1">
        <f t="array" ref="H276">choice(Referentiel!A:A,1,Settings!$B$16)</f>
        <v>Design des mondes littoraux</v>
      </c>
      <c r="I276" s="6" t="str" cm="1">
        <f t="array" ref="I276">choice(Referentiel!B:B,1,Settings!$B$16)</f>
        <v>4ème année Design Graphique S1</v>
      </c>
      <c r="J276" s="6" t="str" cm="1">
        <f t="array" ref="J276">choice(Referentiel!D:D,1,Settings!$B$16)</f>
        <v>L3</v>
      </c>
      <c r="K276" s="6" t="str" cm="1">
        <f t="array" ref="K276">choice(Professeurs!B:B,1,Settings!$B$16)</f>
        <v>Prof42</v>
      </c>
      <c r="L276" s="5" t="str" cm="1">
        <f t="array" ref="L276">choice(Referentiel!C:C,1,Settings!$B$16)</f>
        <v/>
      </c>
      <c r="M276" s="5" t="str" cm="1">
        <f t="array" ref="M276">choice(Referentiel!E:E,1,Settings!$B$16)</f>
        <v/>
      </c>
      <c r="N276" s="5" t="str" cm="1">
        <f t="array" ref="N276">choice(Settings!K:K,1,Settings!$B$16)</f>
        <v/>
      </c>
      <c r="P276" s="5">
        <f t="shared" si="20"/>
        <v>3</v>
      </c>
    </row>
    <row r="277" spans="1:16" ht="15.75" customHeight="1" x14ac:dyDescent="0.25">
      <c r="A277" s="6" t="s">
        <v>629</v>
      </c>
      <c r="B277" s="6" cm="1">
        <f t="array" ref="B277">alea_int(Settings!$B$10,1,Settings!$B$16)</f>
        <v>3</v>
      </c>
      <c r="C277" s="8">
        <v>46023</v>
      </c>
      <c r="D277" s="8">
        <f t="shared" si="17"/>
        <v>46387</v>
      </c>
      <c r="E277" s="6" t="str" cm="1">
        <f t="array" ref="E277">choice(Groupes!A:A,1,Settings!$B$16)</f>
        <v>G22</v>
      </c>
      <c r="F277" s="6" t="str">
        <f t="shared" si="18"/>
        <v>G22</v>
      </c>
      <c r="G277" s="6" t="str">
        <f t="shared" si="19"/>
        <v>Prof5</v>
      </c>
      <c r="H277" s="6" t="str" cm="1">
        <f t="array" ref="H277">choice(Referentiel!A:A,1,Settings!$B$16)</f>
        <v>Design des mondes montagneux</v>
      </c>
      <c r="I277" s="6" t="str" cm="1">
        <f t="array" ref="I277">choice(Referentiel!B:B,1,Settings!$B$16)</f>
        <v>1ère Année Groupe 3 S2</v>
      </c>
      <c r="J277" s="6" t="str" cm="1">
        <f t="array" ref="J277">choice(Referentiel!D:D,1,Settings!$B$16)</f>
        <v>L2</v>
      </c>
      <c r="K277" s="6" t="str" cm="1">
        <f t="array" ref="K277">choice(Professeurs!B:B,1,Settings!$B$16)</f>
        <v>Prof5</v>
      </c>
      <c r="L277" s="5" t="str" cm="1">
        <f t="array" ref="L277">choice(Referentiel!C:C,1,Settings!$B$16)</f>
        <v/>
      </c>
      <c r="M277" s="5" t="str" cm="1">
        <f t="array" ref="M277">choice(Referentiel!E:E,1,Settings!$B$16)</f>
        <v/>
      </c>
      <c r="N277" s="5" t="str" cm="1">
        <f t="array" ref="N277">choice(Settings!K:K,1,Settings!$B$16)</f>
        <v>jeudi pm</v>
      </c>
      <c r="P277" s="5">
        <f t="shared" si="20"/>
        <v>5</v>
      </c>
    </row>
    <row r="278" spans="1:16" ht="15.75" customHeight="1" x14ac:dyDescent="0.25">
      <c r="A278" s="6" t="s">
        <v>630</v>
      </c>
      <c r="B278" s="6" cm="1">
        <f t="array" ref="B278">alea_int(Settings!$B$10,1,Settings!$B$16)</f>
        <v>3</v>
      </c>
      <c r="C278" s="8">
        <v>46023</v>
      </c>
      <c r="D278" s="8">
        <f t="shared" si="17"/>
        <v>46387</v>
      </c>
      <c r="E278" s="6" t="str" cm="1">
        <f t="array" ref="E278">choice(Groupes!A:A,1,Settings!$B$16)</f>
        <v>G13</v>
      </c>
      <c r="F278" s="6" t="str">
        <f t="shared" si="18"/>
        <v>G13</v>
      </c>
      <c r="G278" s="6" t="str">
        <f t="shared" si="19"/>
        <v>Prof7</v>
      </c>
      <c r="H278" s="6" t="str" cm="1">
        <f t="array" ref="H278">choice(Referentiel!A:A,1,Settings!$B$16)</f>
        <v>1ère année Groupe 2</v>
      </c>
      <c r="I278" s="6" t="str" cm="1">
        <f t="array" ref="I278">choice(Referentiel!B:B,1,Settings!$B$16)</f>
        <v>3ème année Image Imprimée S2</v>
      </c>
      <c r="J278" s="6" t="str" cm="1">
        <f t="array" ref="J278">choice(Referentiel!D:D,1,Settings!$B$16)</f>
        <v>M2</v>
      </c>
      <c r="K278" s="6" t="str" cm="1">
        <f t="array" ref="K278">choice(Professeurs!B:B,1,Settings!$B$16)</f>
        <v>Prof7</v>
      </c>
      <c r="L278" s="5" t="str" cm="1">
        <f t="array" ref="L278">choice(Referentiel!C:C,1,Settings!$B$16)</f>
        <v>ordinateur</v>
      </c>
      <c r="M278" s="5" t="str" cm="1">
        <f t="array" ref="M278">choice(Referentiel!E:E,1,Settings!$B$16)</f>
        <v/>
      </c>
      <c r="N278" s="5" t="str" cm="1">
        <f t="array" ref="N278">choice(Settings!K:K,1,Settings!$B$16)</f>
        <v>mardi am</v>
      </c>
      <c r="P278" s="5">
        <f t="shared" si="20"/>
        <v>5</v>
      </c>
    </row>
    <row r="279" spans="1:16" ht="15.75" customHeight="1" x14ac:dyDescent="0.25">
      <c r="A279" s="6" t="s">
        <v>631</v>
      </c>
      <c r="B279" s="6" cm="1">
        <f t="array" ref="B279">alea_int(Settings!$B$10,1,Settings!$B$16)</f>
        <v>1</v>
      </c>
      <c r="C279" s="8">
        <v>46023</v>
      </c>
      <c r="D279" s="8">
        <f t="shared" si="17"/>
        <v>46387</v>
      </c>
      <c r="E279" s="6" t="str" cm="1">
        <f t="array" ref="E279">choice(Groupes!A:A,1,Settings!$B$16)</f>
        <v>G20</v>
      </c>
      <c r="F279" s="6" t="str">
        <f t="shared" si="18"/>
        <v>G20</v>
      </c>
      <c r="G279" s="6" t="str">
        <f t="shared" si="19"/>
        <v>Prof16</v>
      </c>
      <c r="H279" s="6" t="str" cm="1">
        <f t="array" ref="H279">choice(Referentiel!A:A,1,Settings!$B$16)</f>
        <v>Design Vêtement</v>
      </c>
      <c r="I279" s="6" t="str" cm="1">
        <f t="array" ref="I279">choice(Referentiel!B:B,1,Settings!$B$16)</f>
        <v>4ème année Cinéma d'Animation S2</v>
      </c>
      <c r="J279" s="6" t="str" cm="1">
        <f t="array" ref="J279">choice(Referentiel!D:D,1,Settings!$B$16)</f>
        <v>L3</v>
      </c>
      <c r="K279" s="6" t="str" cm="1">
        <f t="array" ref="K279">choice(Professeurs!B:B,1,Settings!$B$16)</f>
        <v>Prof16</v>
      </c>
      <c r="L279" s="5" t="str" cm="1">
        <f t="array" ref="L279">choice(Referentiel!C:C,1,Settings!$B$16)</f>
        <v/>
      </c>
      <c r="M279" s="5" t="str" cm="1">
        <f t="array" ref="M279">choice(Referentiel!E:E,1,Settings!$B$16)</f>
        <v/>
      </c>
      <c r="N279" s="5" t="str" cm="1">
        <f t="array" ref="N279">choice(Settings!K:K,1,Settings!$B$16)</f>
        <v/>
      </c>
      <c r="P279" s="5">
        <f t="shared" si="20"/>
        <v>1</v>
      </c>
    </row>
    <row r="280" spans="1:16" ht="15.75" customHeight="1" x14ac:dyDescent="0.25">
      <c r="A280" s="6" t="s">
        <v>632</v>
      </c>
      <c r="B280" s="6" cm="1">
        <f t="array" ref="B280">alea_int(Settings!$B$10,1,Settings!$B$16)</f>
        <v>1</v>
      </c>
      <c r="C280" s="8">
        <v>46023</v>
      </c>
      <c r="D280" s="8">
        <f t="shared" si="17"/>
        <v>46387</v>
      </c>
      <c r="E280" s="6" t="str" cm="1">
        <f t="array" ref="E280">choice(Groupes!A:A,1,Settings!$B$16)</f>
        <v>G22</v>
      </c>
      <c r="F280" s="6" t="str">
        <f t="shared" si="18"/>
        <v>G22</v>
      </c>
      <c r="G280" s="6" t="str">
        <f t="shared" si="19"/>
        <v>Prof5</v>
      </c>
      <c r="H280" s="6" t="str" cm="1">
        <f t="array" ref="H280">choice(Referentiel!A:A,1,Settings!$B$16)</f>
        <v>Design Graphique</v>
      </c>
      <c r="I280" s="6" t="str" cm="1">
        <f t="array" ref="I280">choice(Referentiel!B:B,1,Settings!$B$16)</f>
        <v>3ème année Design Objet S2</v>
      </c>
      <c r="J280" s="6" t="str" cm="1">
        <f t="array" ref="J280">choice(Referentiel!D:D,1,Settings!$B$16)</f>
        <v>M1</v>
      </c>
      <c r="K280" s="6" t="str" cm="1">
        <f t="array" ref="K280">choice(Professeurs!B:B,1,Settings!$B$16)</f>
        <v>Prof5</v>
      </c>
      <c r="L280" s="5" t="str" cm="1">
        <f t="array" ref="L280">choice(Referentiel!C:C,1,Settings!$B$16)</f>
        <v/>
      </c>
      <c r="M280" s="5" t="str" cm="1">
        <f t="array" ref="M280">choice(Referentiel!E:E,1,Settings!$B$16)</f>
        <v/>
      </c>
      <c r="N280" s="5" t="str" cm="1">
        <f t="array" ref="N280">choice(Settings!K:K,1,Settings!$B$16)</f>
        <v/>
      </c>
      <c r="P280" s="5">
        <f t="shared" si="20"/>
        <v>1</v>
      </c>
    </row>
    <row r="281" spans="1:16" ht="15.75" customHeight="1" x14ac:dyDescent="0.25">
      <c r="A281" s="6" t="s">
        <v>633</v>
      </c>
      <c r="B281" s="6" cm="1">
        <f t="array" ref="B281">alea_int(Settings!$B$10,1,Settings!$B$16)</f>
        <v>1</v>
      </c>
      <c r="C281" s="8">
        <v>46023</v>
      </c>
      <c r="D281" s="8">
        <f t="shared" si="17"/>
        <v>46387</v>
      </c>
      <c r="E281" s="6" t="str" cm="1">
        <f t="array" ref="E281">choice(Groupes!A:A,1,Settings!$B$16)</f>
        <v>G23</v>
      </c>
      <c r="F281" s="6" t="str">
        <f t="shared" si="18"/>
        <v>G23</v>
      </c>
      <c r="G281" s="6" t="str">
        <f t="shared" si="19"/>
        <v>Prof37</v>
      </c>
      <c r="H281" s="6" t="str" cm="1">
        <f t="array" ref="H281">choice(Referentiel!A:A,1,Settings!$B$16)</f>
        <v>Cinéma d'Animation</v>
      </c>
      <c r="I281" s="6" t="str" cm="1">
        <f t="array" ref="I281">choice(Referentiel!B:B,1,Settings!$B$16)</f>
        <v>1ère Année Groupe 3 S2</v>
      </c>
      <c r="J281" s="6" t="str" cm="1">
        <f t="array" ref="J281">choice(Referentiel!D:D,1,Settings!$B$16)</f>
        <v>L2</v>
      </c>
      <c r="K281" s="6" t="str" cm="1">
        <f t="array" ref="K281">choice(Professeurs!B:B,1,Settings!$B$16)</f>
        <v>Prof37</v>
      </c>
      <c r="L281" s="5" t="str" cm="1">
        <f t="array" ref="L281">choice(Referentiel!C:C,1,Settings!$B$16)</f>
        <v/>
      </c>
      <c r="M281" s="5" t="str" cm="1">
        <f t="array" ref="M281">choice(Referentiel!E:E,1,Settings!$B$16)</f>
        <v/>
      </c>
      <c r="N281" s="5" t="str" cm="1">
        <f t="array" ref="N281">choice(Settings!K:K,1,Settings!$B$16)</f>
        <v>mercredi pm</v>
      </c>
      <c r="P281" s="5">
        <f t="shared" si="20"/>
        <v>3</v>
      </c>
    </row>
    <row r="282" spans="1:16" ht="15.75" customHeight="1" x14ac:dyDescent="0.25">
      <c r="A282" s="6" t="s">
        <v>634</v>
      </c>
      <c r="B282" s="6" cm="1">
        <f t="array" ref="B282">alea_int(Settings!$B$10,1,Settings!$B$16)</f>
        <v>2</v>
      </c>
      <c r="C282" s="8">
        <v>46023</v>
      </c>
      <c r="D282" s="8">
        <f t="shared" si="17"/>
        <v>46387</v>
      </c>
      <c r="E282" s="6" t="str" cm="1">
        <f t="array" ref="E282">choice(Groupes!A:A,1,Settings!$B$16)</f>
        <v>G28</v>
      </c>
      <c r="F282" s="6" t="str">
        <f t="shared" si="18"/>
        <v>G28</v>
      </c>
      <c r="G282" s="6" t="str">
        <f t="shared" si="19"/>
        <v>Prof20</v>
      </c>
      <c r="H282" s="6" t="str" cm="1">
        <f t="array" ref="H282">choice(Referentiel!A:A,1,Settings!$B$16)</f>
        <v>Design Textile et Matière</v>
      </c>
      <c r="I282" s="6" t="str" cm="1">
        <f t="array" ref="I282">choice(Referentiel!B:B,1,Settings!$B$16)</f>
        <v>3ème année Cinéma d'Animation S2</v>
      </c>
      <c r="J282" s="6" t="str" cm="1">
        <f t="array" ref="J282">choice(Referentiel!D:D,1,Settings!$B$16)</f>
        <v>L2</v>
      </c>
      <c r="K282" s="6" t="str" cm="1">
        <f t="array" ref="K282">choice(Professeurs!B:B,1,Settings!$B$16)</f>
        <v>Prof20</v>
      </c>
      <c r="L282" s="5" t="str" cm="1">
        <f t="array" ref="L282">choice(Referentiel!C:C,1,Settings!$B$16)</f>
        <v/>
      </c>
      <c r="M282" s="5" t="str" cm="1">
        <f t="array" ref="M282">choice(Referentiel!E:E,1,Settings!$B$16)</f>
        <v/>
      </c>
      <c r="N282" s="5" t="str" cm="1">
        <f t="array" ref="N282">choice(Settings!K:K,1,Settings!$B$16)</f>
        <v>mardi am</v>
      </c>
      <c r="P282" s="5">
        <f t="shared" si="20"/>
        <v>4</v>
      </c>
    </row>
    <row r="283" spans="1:16" ht="15.75" customHeight="1" x14ac:dyDescent="0.25">
      <c r="A283" s="6" t="s">
        <v>635</v>
      </c>
      <c r="B283" s="6" cm="1">
        <f t="array" ref="B283">alea_int(Settings!$B$10,1,Settings!$B$16)</f>
        <v>2</v>
      </c>
      <c r="C283" s="8">
        <v>46023</v>
      </c>
      <c r="D283" s="8">
        <f t="shared" si="17"/>
        <v>46387</v>
      </c>
      <c r="E283" s="6" t="str" cm="1">
        <f t="array" ref="E283">choice(Groupes!A:A,1,Settings!$B$16)</f>
        <v>G23</v>
      </c>
      <c r="F283" s="6" t="str">
        <f t="shared" si="18"/>
        <v>G23</v>
      </c>
      <c r="G283" s="6" t="str">
        <f t="shared" si="19"/>
        <v>Prof52</v>
      </c>
      <c r="H283" s="6" t="str" cm="1">
        <f t="array" ref="H283">choice(Referentiel!A:A,1,Settings!$B$16)</f>
        <v>Architecture Intérieure</v>
      </c>
      <c r="I283" s="6" t="str" cm="1">
        <f t="array" ref="I283">choice(Referentiel!B:B,1,Settings!$B$16)</f>
        <v>1ère Année Groupe 4 S2</v>
      </c>
      <c r="J283" s="6" t="str" cm="1">
        <f t="array" ref="J283">choice(Referentiel!D:D,1,Settings!$B$16)</f>
        <v>L3</v>
      </c>
      <c r="K283" s="6" t="str" cm="1">
        <f t="array" ref="K283">choice(Professeurs!B:B,1,Settings!$B$16)</f>
        <v>Prof52</v>
      </c>
      <c r="L283" s="5" t="str" cm="1">
        <f t="array" ref="L283">choice(Referentiel!C:C,1,Settings!$B$16)</f>
        <v/>
      </c>
      <c r="M283" s="5" t="str" cm="1">
        <f t="array" ref="M283">choice(Referentiel!E:E,1,Settings!$B$16)</f>
        <v/>
      </c>
      <c r="N283" s="5" t="str" cm="1">
        <f t="array" ref="N283">choice(Settings!K:K,1,Settings!$B$16)</f>
        <v/>
      </c>
      <c r="P283" s="5">
        <f t="shared" si="20"/>
        <v>2</v>
      </c>
    </row>
    <row r="284" spans="1:16" ht="15.75" customHeight="1" x14ac:dyDescent="0.25">
      <c r="A284" s="6" t="s">
        <v>636</v>
      </c>
      <c r="B284" s="6" cm="1">
        <f t="array" ref="B284">alea_int(Settings!$B$10,1,Settings!$B$16)</f>
        <v>1</v>
      </c>
      <c r="C284" s="8">
        <v>46023</v>
      </c>
      <c r="D284" s="8">
        <f t="shared" si="17"/>
        <v>46387</v>
      </c>
      <c r="E284" s="6" t="str" cm="1">
        <f t="array" ref="E284">choice(Groupes!A:A,1,Settings!$B$16)</f>
        <v>G8</v>
      </c>
      <c r="F284" s="6" t="str">
        <f t="shared" si="18"/>
        <v>G8</v>
      </c>
      <c r="G284" s="6" t="str">
        <f t="shared" si="19"/>
        <v>Prof55</v>
      </c>
      <c r="H284" s="6" t="str" cm="1">
        <f t="array" ref="H284">choice(Referentiel!A:A,1,Settings!$B$16)</f>
        <v>1ère année Groupe 2</v>
      </c>
      <c r="I284" s="6" t="str" cm="1">
        <f t="array" ref="I284">choice(Referentiel!B:B,1,Settings!$B$16)</f>
        <v>5ème année Art-Espace S2</v>
      </c>
      <c r="J284" s="6" t="str" cm="1">
        <f t="array" ref="J284">choice(Referentiel!D:D,1,Settings!$B$16)</f>
        <v>L3</v>
      </c>
      <c r="K284" s="6" t="str" cm="1">
        <f t="array" ref="K284">choice(Professeurs!B:B,1,Settings!$B$16)</f>
        <v>Prof55</v>
      </c>
      <c r="L284" s="5" t="str" cm="1">
        <f t="array" ref="L284">choice(Referentiel!C:C,1,Settings!$B$16)</f>
        <v/>
      </c>
      <c r="M284" s="5" t="str" cm="1">
        <f t="array" ref="M284">choice(Referentiel!E:E,1,Settings!$B$16)</f>
        <v/>
      </c>
      <c r="N284" s="5" t="str" cm="1">
        <f t="array" ref="N284">choice(Settings!K:K,1,Settings!$B$16)</f>
        <v/>
      </c>
      <c r="P284" s="5">
        <f t="shared" si="20"/>
        <v>1</v>
      </c>
    </row>
    <row r="285" spans="1:16" ht="15.75" customHeight="1" x14ac:dyDescent="0.25">
      <c r="A285" s="6" t="s">
        <v>637</v>
      </c>
      <c r="B285" s="6" cm="1">
        <f t="array" ref="B285">alea_int(Settings!$B$10,1,Settings!$B$16)</f>
        <v>1</v>
      </c>
      <c r="C285" s="8">
        <v>46023</v>
      </c>
      <c r="D285" s="8">
        <f t="shared" si="17"/>
        <v>46387</v>
      </c>
      <c r="E285" s="6" t="str" cm="1">
        <f t="array" ref="E285">choice(Groupes!A:A,1,Settings!$B$16)</f>
        <v>G3</v>
      </c>
      <c r="F285" s="6" t="str">
        <f t="shared" si="18"/>
        <v>G3</v>
      </c>
      <c r="G285" s="6" t="str">
        <f t="shared" si="19"/>
        <v>Prof55</v>
      </c>
      <c r="H285" s="6" t="str" cm="1">
        <f t="array" ref="H285">choice(Referentiel!A:A,1,Settings!$B$16)</f>
        <v>Gr SYMBIOSE</v>
      </c>
      <c r="I285" s="6" t="str" cm="1">
        <f t="array" ref="I285">choice(Referentiel!B:B,1,Settings!$B$16)</f>
        <v>Césure S2</v>
      </c>
      <c r="J285" s="6" t="str" cm="1">
        <f t="array" ref="J285">choice(Referentiel!D:D,1,Settings!$B$16)</f>
        <v>M2</v>
      </c>
      <c r="K285" s="6" t="str" cm="1">
        <f t="array" ref="K285">choice(Professeurs!B:B,1,Settings!$B$16)</f>
        <v>Prof55</v>
      </c>
      <c r="L285" s="5" t="str" cm="1">
        <f t="array" ref="L285">choice(Referentiel!C:C,1,Settings!$B$16)</f>
        <v/>
      </c>
      <c r="M285" s="5" t="str" cm="1">
        <f t="array" ref="M285">choice(Referentiel!E:E,1,Settings!$B$16)</f>
        <v/>
      </c>
      <c r="N285" s="5" t="str" cm="1">
        <f t="array" ref="N285">choice(Settings!K:K,1,Settings!$B$16)</f>
        <v/>
      </c>
      <c r="P285" s="5">
        <f t="shared" si="20"/>
        <v>1</v>
      </c>
    </row>
    <row r="286" spans="1:16" ht="15.75" customHeight="1" x14ac:dyDescent="0.25">
      <c r="A286" s="6" t="s">
        <v>638</v>
      </c>
      <c r="B286" s="6" cm="1">
        <f t="array" ref="B286">alea_int(Settings!$B$10,1,Settings!$B$16)</f>
        <v>3</v>
      </c>
      <c r="C286" s="8">
        <v>46023</v>
      </c>
      <c r="D286" s="8">
        <f t="shared" si="17"/>
        <v>46387</v>
      </c>
      <c r="E286" s="6" t="str" cm="1">
        <f t="array" ref="E286">choice(Groupes!A:A,1,Settings!$B$16)</f>
        <v>G7</v>
      </c>
      <c r="F286" s="6" t="str">
        <f t="shared" si="18"/>
        <v>G7</v>
      </c>
      <c r="G286" s="6" t="str">
        <f t="shared" si="19"/>
        <v>Prof50</v>
      </c>
      <c r="H286" s="6" t="str" cm="1">
        <f t="array" ref="H286">choice(Referentiel!A:A,1,Settings!$B$16)</f>
        <v>1ère année Groupe 1</v>
      </c>
      <c r="I286" s="6" t="str" cm="1">
        <f t="array" ref="I286">choice(Referentiel!B:B,1,Settings!$B$16)</f>
        <v>1ère Année Groupe 4 S1</v>
      </c>
      <c r="J286" s="6" t="str" cm="1">
        <f t="array" ref="J286">choice(Referentiel!D:D,1,Settings!$B$16)</f>
        <v>L2</v>
      </c>
      <c r="K286" s="6" t="str" cm="1">
        <f t="array" ref="K286">choice(Professeurs!B:B,1,Settings!$B$16)</f>
        <v>Prof50</v>
      </c>
      <c r="L286" s="5" t="str" cm="1">
        <f t="array" ref="L286">choice(Referentiel!C:C,1,Settings!$B$16)</f>
        <v/>
      </c>
      <c r="M286" s="5" t="str" cm="1">
        <f t="array" ref="M286">choice(Referentiel!E:E,1,Settings!$B$16)</f>
        <v/>
      </c>
      <c r="N286" s="5" t="str" cm="1">
        <f t="array" ref="N286">choice(Settings!K:K,1,Settings!$B$16)</f>
        <v/>
      </c>
      <c r="P286" s="5">
        <f t="shared" si="20"/>
        <v>3</v>
      </c>
    </row>
    <row r="287" spans="1:16" ht="15.75" customHeight="1" x14ac:dyDescent="0.25">
      <c r="A287" s="6" t="s">
        <v>639</v>
      </c>
      <c r="B287" s="6" cm="1">
        <f t="array" ref="B287">alea_int(Settings!$B$10,1,Settings!$B$16)</f>
        <v>3</v>
      </c>
      <c r="C287" s="8">
        <v>46023</v>
      </c>
      <c r="D287" s="8">
        <f t="shared" si="17"/>
        <v>46387</v>
      </c>
      <c r="E287" s="6" t="str" cm="1">
        <f t="array" ref="E287">choice(Groupes!A:A,1,Settings!$B$16)</f>
        <v>G12</v>
      </c>
      <c r="F287" s="6" t="str">
        <f t="shared" si="18"/>
        <v>G12</v>
      </c>
      <c r="G287" s="6" t="str">
        <f t="shared" si="19"/>
        <v>Prof25</v>
      </c>
      <c r="H287" s="6" t="str" cm="1">
        <f t="array" ref="H287">choice(Referentiel!A:A,1,Settings!$B$16)</f>
        <v>Gr SYMBIOSE</v>
      </c>
      <c r="I287" s="6" t="str" cm="1">
        <f t="array" ref="I287">choice(Referentiel!B:B,1,Settings!$B$16)</f>
        <v>3ème année Photo / Vidéo S1</v>
      </c>
      <c r="J287" s="6" t="str" cm="1">
        <f t="array" ref="J287">choice(Referentiel!D:D,1,Settings!$B$16)</f>
        <v>L2</v>
      </c>
      <c r="K287" s="6" t="str" cm="1">
        <f t="array" ref="K287">choice(Professeurs!B:B,1,Settings!$B$16)</f>
        <v>Prof25</v>
      </c>
      <c r="L287" s="5" t="str" cm="1">
        <f t="array" ref="L287">choice(Referentiel!C:C,1,Settings!$B$16)</f>
        <v/>
      </c>
      <c r="M287" s="5" t="str" cm="1">
        <f t="array" ref="M287">choice(Referentiel!E:E,1,Settings!$B$16)</f>
        <v/>
      </c>
      <c r="N287" s="5" t="str" cm="1">
        <f t="array" ref="N287">choice(Settings!K:K,1,Settings!$B$16)</f>
        <v>vendredi am</v>
      </c>
      <c r="P287" s="5">
        <f t="shared" si="20"/>
        <v>5</v>
      </c>
    </row>
    <row r="288" spans="1:16" ht="15.75" customHeight="1" x14ac:dyDescent="0.25">
      <c r="A288" s="6" t="s">
        <v>640</v>
      </c>
      <c r="B288" s="6" cm="1">
        <f t="array" ref="B288">alea_int(Settings!$B$10,1,Settings!$B$16)</f>
        <v>3</v>
      </c>
      <c r="C288" s="8">
        <v>46023</v>
      </c>
      <c r="D288" s="8">
        <f t="shared" si="17"/>
        <v>46387</v>
      </c>
      <c r="E288" s="6" t="str" cm="1">
        <f t="array" ref="E288">choice(Groupes!A:A,1,Settings!$B$16)</f>
        <v>G30</v>
      </c>
      <c r="F288" s="6" t="str">
        <f t="shared" si="18"/>
        <v>G30</v>
      </c>
      <c r="G288" s="6" t="str">
        <f t="shared" si="19"/>
        <v>Prof2</v>
      </c>
      <c r="H288" s="6" t="str" cm="1">
        <f t="array" ref="H288">choice(Referentiel!A:A,1,Settings!$B$16)</f>
        <v>Design des mondes insulaires</v>
      </c>
      <c r="I288" s="6" t="str" cm="1">
        <f t="array" ref="I288">choice(Referentiel!B:B,1,Settings!$B$16)</f>
        <v>2ème année Image Imprimée S2</v>
      </c>
      <c r="J288" s="6" t="str" cm="1">
        <f t="array" ref="J288">choice(Referentiel!D:D,1,Settings!$B$16)</f>
        <v>M1</v>
      </c>
      <c r="K288" s="6" t="str" cm="1">
        <f t="array" ref="K288">choice(Professeurs!B:B,1,Settings!$B$16)</f>
        <v>Prof2</v>
      </c>
      <c r="L288" s="5" t="str" cm="1">
        <f t="array" ref="L288">choice(Referentiel!C:C,1,Settings!$B$16)</f>
        <v/>
      </c>
      <c r="M288" s="5" t="str" cm="1">
        <f t="array" ref="M288">choice(Referentiel!E:E,1,Settings!$B$16)</f>
        <v/>
      </c>
      <c r="N288" s="5" t="str" cm="1">
        <f t="array" ref="N288">choice(Settings!K:K,1,Settings!$B$16)</f>
        <v/>
      </c>
      <c r="P288" s="5">
        <f t="shared" si="20"/>
        <v>3</v>
      </c>
    </row>
    <row r="289" spans="1:16" ht="15.75" customHeight="1" x14ac:dyDescent="0.25">
      <c r="A289" s="6" t="s">
        <v>641</v>
      </c>
      <c r="B289" s="6" cm="1">
        <f t="array" ref="B289">alea_int(Settings!$B$10,1,Settings!$B$16)</f>
        <v>1</v>
      </c>
      <c r="C289" s="8">
        <v>46023</v>
      </c>
      <c r="D289" s="8">
        <f t="shared" si="17"/>
        <v>46387</v>
      </c>
      <c r="E289" s="6" t="str" cm="1">
        <f t="array" ref="E289">choice(Groupes!A:A,1,Settings!$B$16)</f>
        <v>G11</v>
      </c>
      <c r="F289" s="6" t="str">
        <f t="shared" si="18"/>
        <v>G11</v>
      </c>
      <c r="G289" s="6" t="str">
        <f t="shared" si="19"/>
        <v>Prof24</v>
      </c>
      <c r="H289" s="6" t="str" cm="1">
        <f t="array" ref="H289">choice(Referentiel!A:A,1,Settings!$B$16)</f>
        <v>Art-Espace</v>
      </c>
      <c r="I289" s="6" t="str" cm="1">
        <f t="array" ref="I289">choice(Referentiel!B:B,1,Settings!$B$16)</f>
        <v>5ème année Design Graphique S1</v>
      </c>
      <c r="J289" s="6" t="str" cm="1">
        <f t="array" ref="J289">choice(Referentiel!D:D,1,Settings!$B$16)</f>
        <v>M1</v>
      </c>
      <c r="K289" s="6" t="str" cm="1">
        <f t="array" ref="K289">choice(Professeurs!B:B,1,Settings!$B$16)</f>
        <v>Prof24</v>
      </c>
      <c r="L289" s="5" t="str" cm="1">
        <f t="array" ref="L289">choice(Referentiel!C:C,1,Settings!$B$16)</f>
        <v/>
      </c>
      <c r="M289" s="5" t="str" cm="1">
        <f t="array" ref="M289">choice(Referentiel!E:E,1,Settings!$B$16)</f>
        <v/>
      </c>
      <c r="N289" s="5" t="str" cm="1">
        <f t="array" ref="N289">choice(Settings!K:K,1,Settings!$B$16)</f>
        <v>jeudi am</v>
      </c>
      <c r="P289" s="5">
        <f t="shared" si="20"/>
        <v>3</v>
      </c>
    </row>
    <row r="290" spans="1:16" ht="15.75" customHeight="1" x14ac:dyDescent="0.25">
      <c r="A290" s="6" t="s">
        <v>642</v>
      </c>
      <c r="B290" s="6" cm="1">
        <f t="array" ref="B290">alea_int(Settings!$B$10,1,Settings!$B$16)</f>
        <v>2</v>
      </c>
      <c r="C290" s="8">
        <v>46023</v>
      </c>
      <c r="D290" s="8">
        <f t="shared" si="17"/>
        <v>46387</v>
      </c>
      <c r="E290" s="6" t="str" cm="1">
        <f t="array" ref="E290">choice(Groupes!A:A,1,Settings!$B$16)</f>
        <v>G8</v>
      </c>
      <c r="F290" s="6" t="str">
        <f t="shared" si="18"/>
        <v>G8</v>
      </c>
      <c r="G290" s="6" t="str">
        <f t="shared" si="19"/>
        <v>Prof3</v>
      </c>
      <c r="H290" s="6" t="str" cm="1">
        <f t="array" ref="H290">choice(Referentiel!A:A,1,Settings!$B$16)</f>
        <v>Mode et Matière</v>
      </c>
      <c r="I290" s="6" t="str" cm="1">
        <f t="array" ref="I290">choice(Referentiel!B:B,1,Settings!$B$16)</f>
        <v>5ème année Cinéma d'Animation S2</v>
      </c>
      <c r="J290" s="6" t="str" cm="1">
        <f t="array" ref="J290">choice(Referentiel!D:D,1,Settings!$B$16)</f>
        <v>L3</v>
      </c>
      <c r="K290" s="6" t="str" cm="1">
        <f t="array" ref="K290">choice(Professeurs!B:B,1,Settings!$B$16)</f>
        <v>Prof3</v>
      </c>
      <c r="L290" s="5" t="str" cm="1">
        <f t="array" ref="L290">choice(Referentiel!C:C,1,Settings!$B$16)</f>
        <v/>
      </c>
      <c r="M290" s="5" t="str" cm="1">
        <f t="array" ref="M290">choice(Referentiel!E:E,1,Settings!$B$16)</f>
        <v/>
      </c>
      <c r="N290" s="5" t="str" cm="1">
        <f t="array" ref="N290">choice(Settings!K:K,1,Settings!$B$16)</f>
        <v>mercredi ap</v>
      </c>
      <c r="P290" s="5">
        <f t="shared" si="20"/>
        <v>4</v>
      </c>
    </row>
    <row r="291" spans="1:16" ht="15.75" customHeight="1" x14ac:dyDescent="0.25">
      <c r="A291" s="6" t="s">
        <v>643</v>
      </c>
      <c r="B291" s="6" cm="1">
        <f t="array" ref="B291">alea_int(Settings!$B$10,1,Settings!$B$16)</f>
        <v>2</v>
      </c>
      <c r="C291" s="8">
        <v>46023</v>
      </c>
      <c r="D291" s="8">
        <f t="shared" si="17"/>
        <v>46387</v>
      </c>
      <c r="E291" s="6" t="str" cm="1">
        <f t="array" ref="E291">choice(Groupes!A:A,1,Settings!$B$16)</f>
        <v>G25</v>
      </c>
      <c r="F291" s="6" t="str">
        <f t="shared" si="18"/>
        <v>G25</v>
      </c>
      <c r="G291" s="6" t="str">
        <f t="shared" si="19"/>
        <v>Prof30</v>
      </c>
      <c r="H291" s="6" t="str" cm="1">
        <f t="array" ref="H291">choice(Referentiel!A:A,1,Settings!$B$16)</f>
        <v>6ème ANNÉE STAGE</v>
      </c>
      <c r="I291" s="6" t="str" cm="1">
        <f t="array" ref="I291">choice(Referentiel!B:B,1,Settings!$B$16)</f>
        <v>4ème année Art-Espace S2</v>
      </c>
      <c r="J291" s="6" t="str" cm="1">
        <f t="array" ref="J291">choice(Referentiel!D:D,1,Settings!$B$16)</f>
        <v>L1</v>
      </c>
      <c r="K291" s="6" t="str" cm="1">
        <f t="array" ref="K291">choice(Professeurs!B:B,1,Settings!$B$16)</f>
        <v>Prof30</v>
      </c>
      <c r="L291" s="5" t="str" cm="1">
        <f t="array" ref="L291">choice(Referentiel!C:C,1,Settings!$B$16)</f>
        <v/>
      </c>
      <c r="M291" s="5" t="str" cm="1">
        <f t="array" ref="M291">choice(Referentiel!E:E,1,Settings!$B$16)</f>
        <v/>
      </c>
      <c r="N291" s="5" t="str" cm="1">
        <f t="array" ref="N291">choice(Settings!K:K,1,Settings!$B$16)</f>
        <v>vendredi pm</v>
      </c>
      <c r="P291" s="5">
        <f t="shared" si="20"/>
        <v>4</v>
      </c>
    </row>
    <row r="292" spans="1:16" ht="15.75" customHeight="1" x14ac:dyDescent="0.25">
      <c r="A292" s="6" t="s">
        <v>644</v>
      </c>
      <c r="B292" s="6" cm="1">
        <f t="array" ref="B292">alea_int(Settings!$B$10,1,Settings!$B$16)</f>
        <v>1</v>
      </c>
      <c r="C292" s="8">
        <v>46023</v>
      </c>
      <c r="D292" s="8">
        <f t="shared" si="17"/>
        <v>46387</v>
      </c>
      <c r="E292" s="6" t="str" cm="1">
        <f t="array" ref="E292">choice(Groupes!A:A,1,Settings!$B$16)</f>
        <v>G30</v>
      </c>
      <c r="F292" s="6" t="str">
        <f t="shared" si="18"/>
        <v>G30</v>
      </c>
      <c r="G292" s="6" t="str">
        <f t="shared" si="19"/>
        <v>Prof15</v>
      </c>
      <c r="H292" s="6" t="str" cm="1">
        <f t="array" ref="H292">choice(Referentiel!A:A,1,Settings!$B$16)</f>
        <v>Scénographie</v>
      </c>
      <c r="I292" s="6" t="str" cm="1">
        <f t="array" ref="I292">choice(Referentiel!B:B,1,Settings!$B$16)</f>
        <v>5ème année Photo / Vidéo S2</v>
      </c>
      <c r="J292" s="6" t="str" cm="1">
        <f t="array" ref="J292">choice(Referentiel!D:D,1,Settings!$B$16)</f>
        <v>L3</v>
      </c>
      <c r="K292" s="6" t="str" cm="1">
        <f t="array" ref="K292">choice(Professeurs!B:B,1,Settings!$B$16)</f>
        <v>Prof15</v>
      </c>
      <c r="L292" s="5" t="str" cm="1">
        <f t="array" ref="L292">choice(Referentiel!C:C,1,Settings!$B$16)</f>
        <v/>
      </c>
      <c r="M292" s="5" t="str" cm="1">
        <f t="array" ref="M292">choice(Referentiel!E:E,1,Settings!$B$16)</f>
        <v>Salle8</v>
      </c>
      <c r="N292" s="5" t="str" cm="1">
        <f t="array" ref="N292">choice(Settings!K:K,1,Settings!$B$16)</f>
        <v/>
      </c>
      <c r="P292" s="5">
        <f t="shared" si="20"/>
        <v>3</v>
      </c>
    </row>
    <row r="293" spans="1:16" ht="15.75" customHeight="1" x14ac:dyDescent="0.25">
      <c r="A293" s="6" t="s">
        <v>645</v>
      </c>
      <c r="B293" s="6" cm="1">
        <f t="array" ref="B293">alea_int(Settings!$B$10,1,Settings!$B$16)</f>
        <v>2</v>
      </c>
      <c r="C293" s="8">
        <v>46023</v>
      </c>
      <c r="D293" s="8">
        <f t="shared" si="17"/>
        <v>46387</v>
      </c>
      <c r="E293" s="6" t="str" cm="1">
        <f t="array" ref="E293">choice(Groupes!A:A,1,Settings!$B$16)</f>
        <v>G22</v>
      </c>
      <c r="F293" s="6" t="str">
        <f t="shared" si="18"/>
        <v>G22</v>
      </c>
      <c r="G293" s="6" t="str">
        <f t="shared" si="19"/>
        <v>Prof33</v>
      </c>
      <c r="H293" s="6" t="str" cm="1">
        <f t="array" ref="H293">choice(Referentiel!A:A,1,Settings!$B$16)</f>
        <v>Design Vêtement</v>
      </c>
      <c r="I293" s="6" t="str" cm="1">
        <f t="array" ref="I293">choice(Referentiel!B:B,1,Settings!$B$16)</f>
        <v>5ème année Photo / Vidéo S1</v>
      </c>
      <c r="J293" s="6" t="str" cm="1">
        <f t="array" ref="J293">choice(Referentiel!D:D,1,Settings!$B$16)</f>
        <v>L1</v>
      </c>
      <c r="K293" s="6" t="str" cm="1">
        <f t="array" ref="K293">choice(Professeurs!B:B,1,Settings!$B$16)</f>
        <v>Prof33</v>
      </c>
      <c r="L293" s="5" t="str" cm="1">
        <f t="array" ref="L293">choice(Referentiel!C:C,1,Settings!$B$16)</f>
        <v/>
      </c>
      <c r="M293" s="5" t="str" cm="1">
        <f t="array" ref="M293">choice(Referentiel!E:E,1,Settings!$B$16)</f>
        <v/>
      </c>
      <c r="N293" s="5" t="str" cm="1">
        <f t="array" ref="N293">choice(Settings!K:K,1,Settings!$B$16)</f>
        <v>semaine</v>
      </c>
      <c r="P293" s="5">
        <f t="shared" si="20"/>
        <v>4</v>
      </c>
    </row>
    <row r="294" spans="1:16" ht="15.75" customHeight="1" x14ac:dyDescent="0.25">
      <c r="A294" s="6" t="s">
        <v>646</v>
      </c>
      <c r="B294" s="6" cm="1">
        <f t="array" ref="B294">alea_int(Settings!$B$10,1,Settings!$B$16)</f>
        <v>2</v>
      </c>
      <c r="C294" s="8">
        <v>46023</v>
      </c>
      <c r="D294" s="8">
        <f t="shared" si="17"/>
        <v>46387</v>
      </c>
      <c r="E294" s="6" t="str" cm="1">
        <f t="array" ref="E294">choice(Groupes!A:A,1,Settings!$B$16)</f>
        <v>G28</v>
      </c>
      <c r="F294" s="6" t="str">
        <f t="shared" si="18"/>
        <v>G28</v>
      </c>
      <c r="G294" s="6" t="str">
        <f t="shared" si="19"/>
        <v>Prof32</v>
      </c>
      <c r="H294" s="6" t="str" cm="1">
        <f t="array" ref="H294">choice(Referentiel!A:A,1,Settings!$B$16)</f>
        <v>1ère année Groupe 4</v>
      </c>
      <c r="I294" s="6" t="str" cm="1">
        <f t="array" ref="I294">choice(Referentiel!B:B,1,Settings!$B$16)</f>
        <v>4ème année Image Imprimée S2</v>
      </c>
      <c r="J294" s="6" t="str" cm="1">
        <f t="array" ref="J294">choice(Referentiel!D:D,1,Settings!$B$16)</f>
        <v>M1</v>
      </c>
      <c r="K294" s="6" t="str" cm="1">
        <f t="array" ref="K294">choice(Professeurs!B:B,1,Settings!$B$16)</f>
        <v>Prof32</v>
      </c>
      <c r="L294" s="5" t="str" cm="1">
        <f t="array" ref="L294">choice(Referentiel!C:C,1,Settings!$B$16)</f>
        <v/>
      </c>
      <c r="M294" s="5" t="str" cm="1">
        <f t="array" ref="M294">choice(Referentiel!E:E,1,Settings!$B$16)</f>
        <v/>
      </c>
      <c r="N294" s="5" t="str" cm="1">
        <f t="array" ref="N294">choice(Settings!K:K,1,Settings!$B$16)</f>
        <v/>
      </c>
      <c r="P294" s="5">
        <f t="shared" si="20"/>
        <v>2</v>
      </c>
    </row>
    <row r="295" spans="1:16" ht="15.75" customHeight="1" x14ac:dyDescent="0.25">
      <c r="A295" s="6" t="s">
        <v>647</v>
      </c>
      <c r="B295" s="6" cm="1">
        <f t="array" ref="B295">alea_int(Settings!$B$10,1,Settings!$B$16)</f>
        <v>1</v>
      </c>
      <c r="C295" s="8">
        <v>46023</v>
      </c>
      <c r="D295" s="8">
        <f t="shared" si="17"/>
        <v>46387</v>
      </c>
      <c r="E295" s="6" t="str" cm="1">
        <f t="array" ref="E295">choice(Groupes!A:A,1,Settings!$B$16)</f>
        <v>G15</v>
      </c>
      <c r="F295" s="6" t="str">
        <f t="shared" si="18"/>
        <v>G15</v>
      </c>
      <c r="G295" s="6" t="str">
        <f t="shared" si="19"/>
        <v>Prof2</v>
      </c>
      <c r="H295" s="6" t="str" cm="1">
        <f t="array" ref="H295">choice(Referentiel!A:A,1,Settings!$B$16)</f>
        <v>6ème ANNÉE STAGE</v>
      </c>
      <c r="I295" s="6" t="str" cm="1">
        <f t="array" ref="I295">choice(Referentiel!B:B,1,Settings!$B$16)</f>
        <v>3ème année Image Imprimée S1</v>
      </c>
      <c r="J295" s="6" t="str" cm="1">
        <f t="array" ref="J295">choice(Referentiel!D:D,1,Settings!$B$16)</f>
        <v>M1</v>
      </c>
      <c r="K295" s="6" t="str" cm="1">
        <f t="array" ref="K295">choice(Professeurs!B:B,1,Settings!$B$16)</f>
        <v>Prof2</v>
      </c>
      <c r="L295" s="5" t="str" cm="1">
        <f t="array" ref="L295">choice(Referentiel!C:C,1,Settings!$B$16)</f>
        <v/>
      </c>
      <c r="M295" s="5" t="str" cm="1">
        <f t="array" ref="M295">choice(Referentiel!E:E,1,Settings!$B$16)</f>
        <v/>
      </c>
      <c r="N295" s="5" t="str" cm="1">
        <f t="array" ref="N295">choice(Settings!K:K,1,Settings!$B$16)</f>
        <v>jeudi am</v>
      </c>
      <c r="P295" s="5">
        <f t="shared" si="20"/>
        <v>3</v>
      </c>
    </row>
    <row r="296" spans="1:16" ht="15.75" customHeight="1" x14ac:dyDescent="0.25">
      <c r="A296" s="6" t="s">
        <v>648</v>
      </c>
      <c r="B296" s="6" cm="1">
        <f t="array" ref="B296">alea_int(Settings!$B$10,1,Settings!$B$16)</f>
        <v>3</v>
      </c>
      <c r="C296" s="8">
        <v>46023</v>
      </c>
      <c r="D296" s="8">
        <f t="shared" si="17"/>
        <v>46387</v>
      </c>
      <c r="E296" s="6" t="str" cm="1">
        <f t="array" ref="E296">choice(Groupes!A:A,1,Settings!$B$16)</f>
        <v>G27</v>
      </c>
      <c r="F296" s="6" t="str">
        <f t="shared" si="18"/>
        <v>G27</v>
      </c>
      <c r="G296" s="6" t="str">
        <f t="shared" si="19"/>
        <v>Prof42</v>
      </c>
      <c r="H296" s="6" t="str" cm="1">
        <f t="array" ref="H296">choice(Referentiel!A:A,1,Settings!$B$16)</f>
        <v>6ème ANNÉE STAGE</v>
      </c>
      <c r="I296" s="6" t="str" cm="1">
        <f t="array" ref="I296">choice(Referentiel!B:B,1,Settings!$B$16)</f>
        <v>3ème année Design Textile et Matière S1</v>
      </c>
      <c r="J296" s="6" t="str" cm="1">
        <f t="array" ref="J296">choice(Referentiel!D:D,1,Settings!$B$16)</f>
        <v>L3</v>
      </c>
      <c r="K296" s="6" t="str" cm="1">
        <f t="array" ref="K296">choice(Professeurs!B:B,1,Settings!$B$16)</f>
        <v>Prof42</v>
      </c>
      <c r="L296" s="5" t="str" cm="1">
        <f t="array" ref="L296">choice(Referentiel!C:C,1,Settings!$B$16)</f>
        <v/>
      </c>
      <c r="M296" s="5" t="str" cm="1">
        <f t="array" ref="M296">choice(Referentiel!E:E,1,Settings!$B$16)</f>
        <v/>
      </c>
      <c r="N296" s="5" t="str" cm="1">
        <f t="array" ref="N296">choice(Settings!K:K,1,Settings!$B$16)</f>
        <v/>
      </c>
      <c r="P296" s="5">
        <f t="shared" si="20"/>
        <v>3</v>
      </c>
    </row>
    <row r="297" spans="1:16" ht="15.75" customHeight="1" x14ac:dyDescent="0.25">
      <c r="A297" s="6" t="s">
        <v>649</v>
      </c>
      <c r="B297" s="6" cm="1">
        <f t="array" ref="B297">alea_int(Settings!$B$10,1,Settings!$B$16)</f>
        <v>2</v>
      </c>
      <c r="C297" s="8">
        <v>46023</v>
      </c>
      <c r="D297" s="8">
        <f t="shared" si="17"/>
        <v>46387</v>
      </c>
      <c r="E297" s="6" t="str" cm="1">
        <f t="array" ref="E297">choice(Groupes!A:A,1,Settings!$B$16)</f>
        <v>G15</v>
      </c>
      <c r="F297" s="6" t="str">
        <f t="shared" si="18"/>
        <v>G15</v>
      </c>
      <c r="G297" s="6" t="str">
        <f t="shared" si="19"/>
        <v>Prof23</v>
      </c>
      <c r="H297" s="6" t="str" cm="1">
        <f t="array" ref="H297">choice(Referentiel!A:A,1,Settings!$B$16)</f>
        <v>Design des mondes insulaires</v>
      </c>
      <c r="I297" s="6" t="str" cm="1">
        <f t="array" ref="I297">choice(Referentiel!B:B,1,Settings!$B$16)</f>
        <v>4ème année Architecture Intérieure S2</v>
      </c>
      <c r="J297" s="6" t="str" cm="1">
        <f t="array" ref="J297">choice(Referentiel!D:D,1,Settings!$B$16)</f>
        <v>M2</v>
      </c>
      <c r="K297" s="6" t="str" cm="1">
        <f t="array" ref="K297">choice(Professeurs!B:B,1,Settings!$B$16)</f>
        <v>Prof23</v>
      </c>
      <c r="L297" s="5" t="str" cm="1">
        <f t="array" ref="L297">choice(Referentiel!C:C,1,Settings!$B$16)</f>
        <v/>
      </c>
      <c r="M297" s="5" t="str" cm="1">
        <f t="array" ref="M297">choice(Referentiel!E:E,1,Settings!$B$16)</f>
        <v/>
      </c>
      <c r="N297" s="5" t="str" cm="1">
        <f t="array" ref="N297">choice(Settings!K:K,1,Settings!$B$16)</f>
        <v>mercredi ap</v>
      </c>
      <c r="P297" s="5">
        <f t="shared" si="20"/>
        <v>4</v>
      </c>
    </row>
    <row r="298" spans="1:16" ht="15.75" customHeight="1" x14ac:dyDescent="0.25">
      <c r="A298" s="6" t="s">
        <v>650</v>
      </c>
      <c r="B298" s="6" cm="1">
        <f t="array" ref="B298">alea_int(Settings!$B$10,1,Settings!$B$16)</f>
        <v>1</v>
      </c>
      <c r="C298" s="8">
        <v>46023</v>
      </c>
      <c r="D298" s="8">
        <f t="shared" si="17"/>
        <v>46387</v>
      </c>
      <c r="E298" s="6" t="str" cm="1">
        <f t="array" ref="E298">choice(Groupes!A:A,1,Settings!$B$16)</f>
        <v>G20</v>
      </c>
      <c r="F298" s="6" t="str">
        <f t="shared" si="18"/>
        <v>G20</v>
      </c>
      <c r="G298" s="6" t="str">
        <f t="shared" si="19"/>
        <v>Prof12</v>
      </c>
      <c r="H298" s="6" t="str" cm="1">
        <f t="array" ref="H298">choice(Referentiel!A:A,1,Settings!$B$16)</f>
        <v>Scénographie</v>
      </c>
      <c r="I298" s="6" t="str" cm="1">
        <f t="array" ref="I298">choice(Referentiel!B:B,1,Settings!$B$16)</f>
        <v>2ème année Scénographie S1</v>
      </c>
      <c r="J298" s="6" t="str" cm="1">
        <f t="array" ref="J298">choice(Referentiel!D:D,1,Settings!$B$16)</f>
        <v>L2</v>
      </c>
      <c r="K298" s="6" t="str" cm="1">
        <f t="array" ref="K298">choice(Professeurs!B:B,1,Settings!$B$16)</f>
        <v>Prof12</v>
      </c>
      <c r="L298" s="5" t="str" cm="1">
        <f t="array" ref="L298">choice(Referentiel!C:C,1,Settings!$B$16)</f>
        <v/>
      </c>
      <c r="M298" s="5" t="str" cm="1">
        <f t="array" ref="M298">choice(Referentiel!E:E,1,Settings!$B$16)</f>
        <v>Salle9</v>
      </c>
      <c r="N298" s="5" t="str" cm="1">
        <f t="array" ref="N298">choice(Settings!K:K,1,Settings!$B$16)</f>
        <v>mercredi ap</v>
      </c>
      <c r="P298" s="5">
        <f t="shared" si="20"/>
        <v>5</v>
      </c>
    </row>
    <row r="299" spans="1:16" ht="15.75" customHeight="1" x14ac:dyDescent="0.25">
      <c r="A299" s="6" t="s">
        <v>651</v>
      </c>
      <c r="B299" s="6" cm="1">
        <f t="array" ref="B299">alea_int(Settings!$B$10,1,Settings!$B$16)</f>
        <v>1</v>
      </c>
      <c r="C299" s="8">
        <v>46023</v>
      </c>
      <c r="D299" s="8">
        <f t="shared" si="17"/>
        <v>46387</v>
      </c>
      <c r="E299" s="6" t="str" cm="1">
        <f t="array" ref="E299">choice(Groupes!A:A,1,Settings!$B$16)</f>
        <v>G10</v>
      </c>
      <c r="F299" s="6" t="str">
        <f t="shared" si="18"/>
        <v>G10</v>
      </c>
      <c r="G299" s="6" t="str">
        <f t="shared" si="19"/>
        <v>Prof33</v>
      </c>
      <c r="H299" s="6" t="str" cm="1">
        <f t="array" ref="H299">choice(Referentiel!A:A,1,Settings!$B$16)</f>
        <v>1ère année Groupe 3</v>
      </c>
      <c r="I299" s="6" t="str" cm="1">
        <f t="array" ref="I299">choice(Referentiel!B:B,1,Settings!$B$16)</f>
        <v>2ème année Design Objet S1</v>
      </c>
      <c r="J299" s="6" t="str" cm="1">
        <f t="array" ref="J299">choice(Referentiel!D:D,1,Settings!$B$16)</f>
        <v>L2</v>
      </c>
      <c r="K299" s="6" t="str" cm="1">
        <f t="array" ref="K299">choice(Professeurs!B:B,1,Settings!$B$16)</f>
        <v>Prof33</v>
      </c>
      <c r="L299" s="5" t="str" cm="1">
        <f t="array" ref="L299">choice(Referentiel!C:C,1,Settings!$B$16)</f>
        <v/>
      </c>
      <c r="M299" s="5" t="str" cm="1">
        <f t="array" ref="M299">choice(Referentiel!E:E,1,Settings!$B$16)</f>
        <v/>
      </c>
      <c r="N299" s="5" t="str" cm="1">
        <f t="array" ref="N299">choice(Settings!K:K,1,Settings!$B$16)</f>
        <v/>
      </c>
      <c r="P299" s="5">
        <f t="shared" si="20"/>
        <v>1</v>
      </c>
    </row>
    <row r="300" spans="1:16" ht="15.75" customHeight="1" x14ac:dyDescent="0.25">
      <c r="A300" s="6" t="s">
        <v>652</v>
      </c>
      <c r="B300" s="6" cm="1">
        <f t="array" ref="B300">alea_int(Settings!$B$10,1,Settings!$B$16)</f>
        <v>1</v>
      </c>
      <c r="C300" s="8">
        <v>46023</v>
      </c>
      <c r="D300" s="8">
        <f t="shared" si="17"/>
        <v>46387</v>
      </c>
      <c r="E300" s="6" t="str" cm="1">
        <f t="array" ref="E300">choice(Groupes!A:A,1,Settings!$B$16)</f>
        <v>G2</v>
      </c>
      <c r="F300" s="6" t="str">
        <f t="shared" si="18"/>
        <v>G2</v>
      </c>
      <c r="G300" s="6" t="str">
        <f t="shared" si="19"/>
        <v>Prof36</v>
      </c>
      <c r="H300" s="6" t="str" cm="1">
        <f t="array" ref="H300">choice(Referentiel!A:A,1,Settings!$B$16)</f>
        <v>1ère année Groupe 3</v>
      </c>
      <c r="I300" s="6" t="str" cm="1">
        <f t="array" ref="I300">choice(Referentiel!B:B,1,Settings!$B$16)</f>
        <v>4ème année Cinéma d'Animation S1</v>
      </c>
      <c r="J300" s="6" t="str" cm="1">
        <f t="array" ref="J300">choice(Referentiel!D:D,1,Settings!$B$16)</f>
        <v>M2</v>
      </c>
      <c r="K300" s="6" t="str" cm="1">
        <f t="array" ref="K300">choice(Professeurs!B:B,1,Settings!$B$16)</f>
        <v>Prof36</v>
      </c>
      <c r="L300" s="5" t="str" cm="1">
        <f t="array" ref="L300">choice(Referentiel!C:C,1,Settings!$B$16)</f>
        <v/>
      </c>
      <c r="M300" s="5" t="str" cm="1">
        <f t="array" ref="M300">choice(Referentiel!E:E,1,Settings!$B$16)</f>
        <v/>
      </c>
      <c r="N300" s="5" t="str" cm="1">
        <f t="array" ref="N300">choice(Settings!K:K,1,Settings!$B$16)</f>
        <v/>
      </c>
      <c r="P300" s="5">
        <f t="shared" si="20"/>
        <v>1</v>
      </c>
    </row>
    <row r="301" spans="1:16" ht="15.75" customHeight="1" x14ac:dyDescent="0.25">
      <c r="A301" s="6" t="s">
        <v>653</v>
      </c>
      <c r="B301" s="6" cm="1">
        <f t="array" ref="B301">alea_int(Settings!$B$10,1,Settings!$B$16)</f>
        <v>3</v>
      </c>
      <c r="C301" s="8">
        <v>46023</v>
      </c>
      <c r="D301" s="8">
        <f t="shared" si="17"/>
        <v>46387</v>
      </c>
      <c r="E301" s="6" t="str" cm="1">
        <f t="array" ref="E301">choice(Groupes!A:A,1,Settings!$B$16)</f>
        <v>G29</v>
      </c>
      <c r="F301" s="6" t="str">
        <f t="shared" si="18"/>
        <v>G29</v>
      </c>
      <c r="G301" s="6" t="str">
        <f t="shared" si="19"/>
        <v>Prof48</v>
      </c>
      <c r="H301" s="6" t="str" cm="1">
        <f t="array" ref="H301">choice(Referentiel!A:A,1,Settings!$B$16)</f>
        <v>Gr TERRITOIRES</v>
      </c>
      <c r="I301" s="6" t="str" cm="1">
        <f t="array" ref="I301">choice(Referentiel!B:B,1,Settings!$B$16)</f>
        <v>4ème année Design Vêtement S1</v>
      </c>
      <c r="J301" s="6" t="str" cm="1">
        <f t="array" ref="J301">choice(Referentiel!D:D,1,Settings!$B$16)</f>
        <v>M2</v>
      </c>
      <c r="K301" s="6" t="str" cm="1">
        <f t="array" ref="K301">choice(Professeurs!B:B,1,Settings!$B$16)</f>
        <v>Prof48</v>
      </c>
      <c r="L301" s="5" t="str" cm="1">
        <f t="array" ref="L301">choice(Referentiel!C:C,1,Settings!$B$16)</f>
        <v/>
      </c>
      <c r="M301" s="5" t="str" cm="1">
        <f t="array" ref="M301">choice(Referentiel!E:E,1,Settings!$B$16)</f>
        <v/>
      </c>
      <c r="N301" s="5" t="str" cm="1">
        <f t="array" ref="N301">choice(Settings!K:K,1,Settings!$B$16)</f>
        <v>jeudi pm</v>
      </c>
      <c r="P301" s="5">
        <f t="shared" si="20"/>
        <v>5</v>
      </c>
    </row>
    <row r="302" spans="1:16" ht="15.75" customHeight="1" x14ac:dyDescent="0.25">
      <c r="A302" s="6" t="s">
        <v>654</v>
      </c>
      <c r="B302" s="6" cm="1">
        <f t="array" ref="B302">alea_int(Settings!$B$10,1,Settings!$B$16)</f>
        <v>2</v>
      </c>
      <c r="C302" s="8">
        <v>46023</v>
      </c>
      <c r="D302" s="8">
        <f t="shared" si="17"/>
        <v>46387</v>
      </c>
      <c r="E302" s="6" t="str" cm="1">
        <f t="array" ref="E302">choice(Groupes!A:A,1,Settings!$B$16)</f>
        <v>G18</v>
      </c>
      <c r="F302" s="6" t="str">
        <f t="shared" si="18"/>
        <v>G18</v>
      </c>
      <c r="G302" s="6" t="str">
        <f t="shared" si="19"/>
        <v>Prof8</v>
      </c>
      <c r="H302" s="6" t="str" cm="1">
        <f t="array" ref="H302">choice(Referentiel!A:A,1,Settings!$B$16)</f>
        <v>Design des mondes forestiers</v>
      </c>
      <c r="I302" s="6" t="str" cm="1">
        <f t="array" ref="I302">choice(Referentiel!B:B,1,Settings!$B$16)</f>
        <v>2ème année Scénographie S1</v>
      </c>
      <c r="J302" s="6" t="str" cm="1">
        <f t="array" ref="J302">choice(Referentiel!D:D,1,Settings!$B$16)</f>
        <v>M2</v>
      </c>
      <c r="K302" s="6" t="str" cm="1">
        <f t="array" ref="K302">choice(Professeurs!B:B,1,Settings!$B$16)</f>
        <v>Prof8</v>
      </c>
      <c r="L302" s="5" t="str" cm="1">
        <f t="array" ref="L302">choice(Referentiel!C:C,1,Settings!$B$16)</f>
        <v/>
      </c>
      <c r="M302" s="5" t="str" cm="1">
        <f t="array" ref="M302">choice(Referentiel!E:E,1,Settings!$B$16)</f>
        <v/>
      </c>
      <c r="N302" s="5" t="str" cm="1">
        <f t="array" ref="N302">choice(Settings!K:K,1,Settings!$B$16)</f>
        <v>semaine</v>
      </c>
      <c r="P302" s="5">
        <f t="shared" si="20"/>
        <v>4</v>
      </c>
    </row>
    <row r="303" spans="1:16" ht="15.75" customHeight="1" x14ac:dyDescent="0.25">
      <c r="A303" s="6" t="s">
        <v>655</v>
      </c>
      <c r="B303" s="6" cm="1">
        <f t="array" ref="B303">alea_int(Settings!$B$10,1,Settings!$B$16)</f>
        <v>3</v>
      </c>
      <c r="C303" s="8">
        <v>46023</v>
      </c>
      <c r="D303" s="8">
        <f t="shared" si="17"/>
        <v>46387</v>
      </c>
      <c r="E303" s="6" t="str" cm="1">
        <f t="array" ref="E303">choice(Groupes!A:A,1,Settings!$B$16)</f>
        <v>G21</v>
      </c>
      <c r="F303" s="6" t="str">
        <f t="shared" si="18"/>
        <v>G21</v>
      </c>
      <c r="G303" s="6" t="str">
        <f t="shared" si="19"/>
        <v>Prof25</v>
      </c>
      <c r="H303" s="6" t="str" cm="1">
        <f t="array" ref="H303">choice(Referentiel!A:A,1,Settings!$B$16)</f>
        <v>Gr ART, DESIGN, SOCIETE</v>
      </c>
      <c r="I303" s="6" t="str" cm="1">
        <f t="array" ref="I303">choice(Referentiel!B:B,1,Settings!$B$16)</f>
        <v>3ème année Image Imprimée S2</v>
      </c>
      <c r="J303" s="6" t="str" cm="1">
        <f t="array" ref="J303">choice(Referentiel!D:D,1,Settings!$B$16)</f>
        <v>L2</v>
      </c>
      <c r="K303" s="6" t="str" cm="1">
        <f t="array" ref="K303">choice(Professeurs!B:B,1,Settings!$B$16)</f>
        <v>Prof25</v>
      </c>
      <c r="L303" s="5" t="str" cm="1">
        <f t="array" ref="L303">choice(Referentiel!C:C,1,Settings!$B$16)</f>
        <v/>
      </c>
      <c r="M303" s="5" t="str" cm="1">
        <f t="array" ref="M303">choice(Referentiel!E:E,1,Settings!$B$16)</f>
        <v/>
      </c>
      <c r="N303" s="5" t="str" cm="1">
        <f t="array" ref="N303">choice(Settings!K:K,1,Settings!$B$16)</f>
        <v>lundi am</v>
      </c>
      <c r="P303" s="5">
        <f t="shared" si="20"/>
        <v>5</v>
      </c>
    </row>
    <row r="304" spans="1:16" ht="15.75" customHeight="1" x14ac:dyDescent="0.25">
      <c r="A304" s="6" t="s">
        <v>656</v>
      </c>
      <c r="B304" s="6" cm="1">
        <f t="array" ref="B304">alea_int(Settings!$B$10,1,Settings!$B$16)</f>
        <v>3</v>
      </c>
      <c r="C304" s="8">
        <v>46023</v>
      </c>
      <c r="D304" s="8">
        <f t="shared" si="17"/>
        <v>46387</v>
      </c>
      <c r="E304" s="6" t="str" cm="1">
        <f t="array" ref="E304">choice(Groupes!A:A,1,Settings!$B$16)</f>
        <v>G4</v>
      </c>
      <c r="F304" s="6" t="str">
        <f t="shared" si="18"/>
        <v>G4</v>
      </c>
      <c r="G304" s="6" t="str">
        <f t="shared" si="19"/>
        <v>Prof49</v>
      </c>
      <c r="H304" s="6" t="str" cm="1">
        <f t="array" ref="H304">choice(Referentiel!A:A,1,Settings!$B$16)</f>
        <v>Art-Espace</v>
      </c>
      <c r="I304" s="6" t="str" cm="1">
        <f t="array" ref="I304">choice(Referentiel!B:B,1,Settings!$B$16)</f>
        <v>4ème année Design Graphique S1</v>
      </c>
      <c r="J304" s="6" t="str" cm="1">
        <f t="array" ref="J304">choice(Referentiel!D:D,1,Settings!$B$16)</f>
        <v>M1</v>
      </c>
      <c r="K304" s="6" t="str" cm="1">
        <f t="array" ref="K304">choice(Professeurs!B:B,1,Settings!$B$16)</f>
        <v>Prof49</v>
      </c>
      <c r="L304" s="5" t="str" cm="1">
        <f t="array" ref="L304">choice(Referentiel!C:C,1,Settings!$B$16)</f>
        <v/>
      </c>
      <c r="M304" s="5" t="str" cm="1">
        <f t="array" ref="M304">choice(Referentiel!E:E,1,Settings!$B$16)</f>
        <v/>
      </c>
      <c r="N304" s="5" t="str" cm="1">
        <f t="array" ref="N304">choice(Settings!K:K,1,Settings!$B$16)</f>
        <v/>
      </c>
      <c r="P304" s="5">
        <f t="shared" si="20"/>
        <v>3</v>
      </c>
    </row>
    <row r="305" spans="1:16" ht="15.75" customHeight="1" x14ac:dyDescent="0.25">
      <c r="A305" s="6" t="s">
        <v>657</v>
      </c>
      <c r="B305" s="6" cm="1">
        <f t="array" ref="B305">alea_int(Settings!$B$10,1,Settings!$B$16)</f>
        <v>3</v>
      </c>
      <c r="C305" s="8">
        <v>46023</v>
      </c>
      <c r="D305" s="8">
        <f t="shared" si="17"/>
        <v>46387</v>
      </c>
      <c r="E305" s="6" t="str" cm="1">
        <f t="array" ref="E305">choice(Groupes!A:A,1,Settings!$B$16)</f>
        <v>G30</v>
      </c>
      <c r="F305" s="6" t="str">
        <f t="shared" si="18"/>
        <v>G30</v>
      </c>
      <c r="G305" s="6" t="str">
        <f t="shared" si="19"/>
        <v>Prof39</v>
      </c>
      <c r="H305" s="6" t="str" cm="1">
        <f t="array" ref="H305">choice(Referentiel!A:A,1,Settings!$B$16)</f>
        <v>Photo / Vidéo</v>
      </c>
      <c r="I305" s="6" t="str" cm="1">
        <f t="array" ref="I305">choice(Referentiel!B:B,1,Settings!$B$16)</f>
        <v>5ème année Architecture Intérieure S2</v>
      </c>
      <c r="J305" s="6" t="str" cm="1">
        <f t="array" ref="J305">choice(Referentiel!D:D,1,Settings!$B$16)</f>
        <v>M1</v>
      </c>
      <c r="K305" s="6" t="str" cm="1">
        <f t="array" ref="K305">choice(Professeurs!B:B,1,Settings!$B$16)</f>
        <v>Prof39</v>
      </c>
      <c r="L305" s="5" t="str" cm="1">
        <f t="array" ref="L305">choice(Referentiel!C:C,1,Settings!$B$16)</f>
        <v/>
      </c>
      <c r="M305" s="5" t="str" cm="1">
        <f t="array" ref="M305">choice(Referentiel!E:E,1,Settings!$B$16)</f>
        <v>Salle3</v>
      </c>
      <c r="N305" s="5" t="str" cm="1">
        <f t="array" ref="N305">choice(Settings!K:K,1,Settings!$B$16)</f>
        <v>mercredi pm</v>
      </c>
      <c r="P305" s="5">
        <f t="shared" si="20"/>
        <v>7</v>
      </c>
    </row>
    <row r="306" spans="1:16" ht="15.75" customHeight="1" x14ac:dyDescent="0.25">
      <c r="A306" s="6" t="s">
        <v>658</v>
      </c>
      <c r="B306" s="6" cm="1">
        <f t="array" ref="B306">alea_int(Settings!$B$10,1,Settings!$B$16)</f>
        <v>2</v>
      </c>
      <c r="C306" s="8">
        <v>46023</v>
      </c>
      <c r="D306" s="8">
        <f t="shared" si="17"/>
        <v>46387</v>
      </c>
      <c r="E306" s="6" t="str" cm="1">
        <f t="array" ref="E306">choice(Groupes!A:A,1,Settings!$B$16)</f>
        <v>G10</v>
      </c>
      <c r="F306" s="6" t="str">
        <f t="shared" si="18"/>
        <v>G10</v>
      </c>
      <c r="G306" s="6" t="str">
        <f t="shared" si="19"/>
        <v>Prof44</v>
      </c>
      <c r="H306" s="6" t="str" cm="1">
        <f t="array" ref="H306">choice(Referentiel!A:A,1,Settings!$B$16)</f>
        <v>Scénographie</v>
      </c>
      <c r="I306" s="6" t="str" cm="1">
        <f t="array" ref="I306">choice(Referentiel!B:B,1,Settings!$B$16)</f>
        <v>2ème année Scénographie S1</v>
      </c>
      <c r="J306" s="6" t="str" cm="1">
        <f t="array" ref="J306">choice(Referentiel!D:D,1,Settings!$B$16)</f>
        <v>M2</v>
      </c>
      <c r="K306" s="6" t="str" cm="1">
        <f t="array" ref="K306">choice(Professeurs!B:B,1,Settings!$B$16)</f>
        <v>Prof44</v>
      </c>
      <c r="L306" s="5" t="str" cm="1">
        <f t="array" ref="L306">choice(Referentiel!C:C,1,Settings!$B$16)</f>
        <v/>
      </c>
      <c r="M306" s="5" t="str" cm="1">
        <f t="array" ref="M306">choice(Referentiel!E:E,1,Settings!$B$16)</f>
        <v/>
      </c>
      <c r="N306" s="5" t="str" cm="1">
        <f t="array" ref="N306">choice(Settings!K:K,1,Settings!$B$16)</f>
        <v/>
      </c>
      <c r="P306" s="5">
        <f t="shared" si="20"/>
        <v>2</v>
      </c>
    </row>
    <row r="307" spans="1:16" ht="15.75" customHeight="1" x14ac:dyDescent="0.25">
      <c r="A307" s="6" t="s">
        <v>659</v>
      </c>
      <c r="B307" s="6" cm="1">
        <f t="array" ref="B307">alea_int(Settings!$B$10,1,Settings!$B$16)</f>
        <v>2</v>
      </c>
      <c r="C307" s="8">
        <v>46023</v>
      </c>
      <c r="D307" s="8">
        <f t="shared" si="17"/>
        <v>46387</v>
      </c>
      <c r="E307" s="6" t="str" cm="1">
        <f t="array" ref="E307">choice(Groupes!A:A,1,Settings!$B$16)</f>
        <v>G7</v>
      </c>
      <c r="F307" s="6" t="str">
        <f t="shared" si="18"/>
        <v>G7</v>
      </c>
      <c r="G307" s="6" t="str">
        <f t="shared" si="19"/>
        <v>Prof46</v>
      </c>
      <c r="H307" s="6" t="str" cm="1">
        <f t="array" ref="H307">choice(Referentiel!A:A,1,Settings!$B$16)</f>
        <v>Architecture Intérieure</v>
      </c>
      <c r="I307" s="6" t="str" cm="1">
        <f t="array" ref="I307">choice(Referentiel!B:B,1,Settings!$B$16)</f>
        <v>2ème année Art-Espace S2</v>
      </c>
      <c r="J307" s="6" t="str" cm="1">
        <f t="array" ref="J307">choice(Referentiel!D:D,1,Settings!$B$16)</f>
        <v>M2</v>
      </c>
      <c r="K307" s="6" t="str" cm="1">
        <f t="array" ref="K307">choice(Professeurs!B:B,1,Settings!$B$16)</f>
        <v>Prof46</v>
      </c>
      <c r="L307" s="5" t="str" cm="1">
        <f t="array" ref="L307">choice(Referentiel!C:C,1,Settings!$B$16)</f>
        <v/>
      </c>
      <c r="M307" s="5" t="str" cm="1">
        <f t="array" ref="M307">choice(Referentiel!E:E,1,Settings!$B$16)</f>
        <v/>
      </c>
      <c r="N307" s="5" t="str" cm="1">
        <f t="array" ref="N307">choice(Settings!K:K,1,Settings!$B$16)</f>
        <v/>
      </c>
      <c r="P307" s="5">
        <f t="shared" si="20"/>
        <v>2</v>
      </c>
    </row>
    <row r="308" spans="1:16" ht="15.75" customHeight="1" x14ac:dyDescent="0.25">
      <c r="A308" s="6" t="s">
        <v>660</v>
      </c>
      <c r="B308" s="6" cm="1">
        <f t="array" ref="B308">alea_int(Settings!$B$10,1,Settings!$B$16)</f>
        <v>1</v>
      </c>
      <c r="C308" s="8">
        <v>46023</v>
      </c>
      <c r="D308" s="8">
        <f t="shared" si="17"/>
        <v>46387</v>
      </c>
      <c r="E308" s="6" t="str" cm="1">
        <f t="array" ref="E308">choice(Groupes!A:A,1,Settings!$B$16)</f>
        <v>G4</v>
      </c>
      <c r="F308" s="6" t="str">
        <f t="shared" si="18"/>
        <v>G4</v>
      </c>
      <c r="G308" s="6" t="str">
        <f t="shared" si="19"/>
        <v>Prof4</v>
      </c>
      <c r="H308" s="6" t="str" cm="1">
        <f t="array" ref="H308">choice(Referentiel!A:A,1,Settings!$B$16)</f>
        <v>Gr TERRITOIRES</v>
      </c>
      <c r="I308" s="6" t="str" cm="1">
        <f t="array" ref="I308">choice(Referentiel!B:B,1,Settings!$B$16)</f>
        <v>5ème année Design Objet S2</v>
      </c>
      <c r="J308" s="6" t="str" cm="1">
        <f t="array" ref="J308">choice(Referentiel!D:D,1,Settings!$B$16)</f>
        <v>L2</v>
      </c>
      <c r="K308" s="6" t="str" cm="1">
        <f t="array" ref="K308">choice(Professeurs!B:B,1,Settings!$B$16)</f>
        <v>Prof4</v>
      </c>
      <c r="L308" s="5" t="str" cm="1">
        <f t="array" ref="L308">choice(Referentiel!C:C,1,Settings!$B$16)</f>
        <v/>
      </c>
      <c r="M308" s="5" t="str" cm="1">
        <f t="array" ref="M308">choice(Referentiel!E:E,1,Settings!$B$16)</f>
        <v/>
      </c>
      <c r="N308" s="5" t="str" cm="1">
        <f t="array" ref="N308">choice(Settings!K:K,1,Settings!$B$16)</f>
        <v/>
      </c>
      <c r="P308" s="5">
        <f t="shared" si="20"/>
        <v>1</v>
      </c>
    </row>
    <row r="309" spans="1:16" ht="15.75" customHeight="1" x14ac:dyDescent="0.25">
      <c r="A309" s="6" t="s">
        <v>661</v>
      </c>
      <c r="B309" s="6" cm="1">
        <f t="array" ref="B309">alea_int(Settings!$B$10,1,Settings!$B$16)</f>
        <v>1</v>
      </c>
      <c r="C309" s="8">
        <v>46023</v>
      </c>
      <c r="D309" s="8">
        <f t="shared" si="17"/>
        <v>46387</v>
      </c>
      <c r="E309" s="6" t="str" cm="1">
        <f t="array" ref="E309">choice(Groupes!A:A,1,Settings!$B$16)</f>
        <v>G8</v>
      </c>
      <c r="F309" s="6" t="str">
        <f t="shared" si="18"/>
        <v>G8</v>
      </c>
      <c r="G309" s="6" t="str">
        <f t="shared" si="19"/>
        <v>Prof22</v>
      </c>
      <c r="H309" s="6" t="str" cm="1">
        <f t="array" ref="H309">choice(Referentiel!A:A,1,Settings!$B$16)</f>
        <v>1ère année Groupe 2</v>
      </c>
      <c r="I309" s="6" t="str" cm="1">
        <f t="array" ref="I309">choice(Referentiel!B:B,1,Settings!$B$16)</f>
        <v>4ème année Scénographie S2</v>
      </c>
      <c r="J309" s="6" t="str" cm="1">
        <f t="array" ref="J309">choice(Referentiel!D:D,1,Settings!$B$16)</f>
        <v>L1</v>
      </c>
      <c r="K309" s="6" t="str" cm="1">
        <f t="array" ref="K309">choice(Professeurs!B:B,1,Settings!$B$16)</f>
        <v>Prof22</v>
      </c>
      <c r="L309" s="5" t="str" cm="1">
        <f t="array" ref="L309">choice(Referentiel!C:C,1,Settings!$B$16)</f>
        <v/>
      </c>
      <c r="M309" s="5" t="str" cm="1">
        <f t="array" ref="M309">choice(Referentiel!E:E,1,Settings!$B$16)</f>
        <v/>
      </c>
      <c r="N309" s="5" t="str" cm="1">
        <f t="array" ref="N309">choice(Settings!K:K,1,Settings!$B$16)</f>
        <v>mercredi pm</v>
      </c>
      <c r="P309" s="5">
        <f t="shared" si="20"/>
        <v>3</v>
      </c>
    </row>
    <row r="310" spans="1:16" ht="15.75" customHeight="1" x14ac:dyDescent="0.25">
      <c r="A310" s="6" t="s">
        <v>662</v>
      </c>
      <c r="B310" s="6" cm="1">
        <f t="array" ref="B310">alea_int(Settings!$B$10,1,Settings!$B$16)</f>
        <v>2</v>
      </c>
      <c r="C310" s="8">
        <v>46023</v>
      </c>
      <c r="D310" s="8">
        <f t="shared" si="17"/>
        <v>46387</v>
      </c>
      <c r="E310" s="6" t="str" cm="1">
        <f t="array" ref="E310">choice(Groupes!A:A,1,Settings!$B$16)</f>
        <v>G16</v>
      </c>
      <c r="F310" s="6" t="str">
        <f t="shared" si="18"/>
        <v>G16</v>
      </c>
      <c r="G310" s="6" t="str">
        <f t="shared" si="19"/>
        <v>Prof20</v>
      </c>
      <c r="H310" s="6" t="str" cm="1">
        <f t="array" ref="H310">choice(Referentiel!A:A,1,Settings!$B$16)</f>
        <v>Architecture Intérieure</v>
      </c>
      <c r="I310" s="6" t="str" cm="1">
        <f t="array" ref="I310">choice(Referentiel!B:B,1,Settings!$B$16)</f>
        <v>3ème année Scénographie S2</v>
      </c>
      <c r="J310" s="6" t="str" cm="1">
        <f t="array" ref="J310">choice(Referentiel!D:D,1,Settings!$B$16)</f>
        <v>L3</v>
      </c>
      <c r="K310" s="6" t="str" cm="1">
        <f t="array" ref="K310">choice(Professeurs!B:B,1,Settings!$B$16)</f>
        <v>Prof20</v>
      </c>
      <c r="L310" s="5" t="str" cm="1">
        <f t="array" ref="L310">choice(Referentiel!C:C,1,Settings!$B$16)</f>
        <v/>
      </c>
      <c r="M310" s="5" t="str" cm="1">
        <f t="array" ref="M310">choice(Referentiel!E:E,1,Settings!$B$16)</f>
        <v/>
      </c>
      <c r="N310" s="5" t="str" cm="1">
        <f t="array" ref="N310">choice(Settings!K:K,1,Settings!$B$16)</f>
        <v/>
      </c>
      <c r="P310" s="5">
        <f t="shared" si="20"/>
        <v>2</v>
      </c>
    </row>
    <row r="311" spans="1:16" ht="15.75" customHeight="1" x14ac:dyDescent="0.25">
      <c r="A311" s="6" t="s">
        <v>663</v>
      </c>
      <c r="B311" s="6" cm="1">
        <f t="array" ref="B311">alea_int(Settings!$B$10,1,Settings!$B$16)</f>
        <v>1</v>
      </c>
      <c r="C311" s="8">
        <v>46023</v>
      </c>
      <c r="D311" s="8">
        <f t="shared" si="17"/>
        <v>46387</v>
      </c>
      <c r="E311" s="6" t="str" cm="1">
        <f t="array" ref="E311">choice(Groupes!A:A,1,Settings!$B$16)</f>
        <v>G27</v>
      </c>
      <c r="F311" s="6" t="str">
        <f t="shared" si="18"/>
        <v>G27</v>
      </c>
      <c r="G311" s="6" t="str">
        <f t="shared" si="19"/>
        <v>Prof48</v>
      </c>
      <c r="H311" s="6" t="str" cm="1">
        <f t="array" ref="H311">choice(Referentiel!A:A,1,Settings!$B$16)</f>
        <v>Design des mondes forestiers</v>
      </c>
      <c r="I311" s="6" t="str" cm="1">
        <f t="array" ref="I311">choice(Referentiel!B:B,1,Settings!$B$16)</f>
        <v>2ème année Design Vêtement S1</v>
      </c>
      <c r="J311" s="6" t="str" cm="1">
        <f t="array" ref="J311">choice(Referentiel!D:D,1,Settings!$B$16)</f>
        <v>M2</v>
      </c>
      <c r="K311" s="6" t="str" cm="1">
        <f t="array" ref="K311">choice(Professeurs!B:B,1,Settings!$B$16)</f>
        <v>Prof48</v>
      </c>
      <c r="L311" s="5" t="str" cm="1">
        <f t="array" ref="L311">choice(Referentiel!C:C,1,Settings!$B$16)</f>
        <v/>
      </c>
      <c r="M311" s="5" t="str" cm="1">
        <f t="array" ref="M311">choice(Referentiel!E:E,1,Settings!$B$16)</f>
        <v/>
      </c>
      <c r="N311" s="5" t="str" cm="1">
        <f t="array" ref="N311">choice(Settings!K:K,1,Settings!$B$16)</f>
        <v/>
      </c>
      <c r="P311" s="5">
        <f t="shared" si="20"/>
        <v>1</v>
      </c>
    </row>
    <row r="312" spans="1:16" ht="15.75" customHeight="1" x14ac:dyDescent="0.25">
      <c r="A312" s="6" t="s">
        <v>664</v>
      </c>
      <c r="B312" s="6" cm="1">
        <f t="array" ref="B312">alea_int(Settings!$B$10,1,Settings!$B$16)</f>
        <v>1</v>
      </c>
      <c r="C312" s="8">
        <v>46023</v>
      </c>
      <c r="D312" s="8">
        <f t="shared" si="17"/>
        <v>46387</v>
      </c>
      <c r="E312" s="6" t="str" cm="1">
        <f t="array" ref="E312">choice(Groupes!A:A,1,Settings!$B$16)</f>
        <v>G4</v>
      </c>
      <c r="F312" s="6" t="str">
        <f t="shared" si="18"/>
        <v>G4</v>
      </c>
      <c r="G312" s="6" t="str">
        <f t="shared" si="19"/>
        <v>Prof11</v>
      </c>
      <c r="H312" s="6" t="str" cm="1">
        <f t="array" ref="H312">choice(Referentiel!A:A,1,Settings!$B$16)</f>
        <v>Art-Espace</v>
      </c>
      <c r="I312" s="6" t="str" cm="1">
        <f t="array" ref="I312">choice(Referentiel!B:B,1,Settings!$B$16)</f>
        <v>2ème année Cinéma d'Animation S1</v>
      </c>
      <c r="J312" s="6" t="str" cm="1">
        <f t="array" ref="J312">choice(Referentiel!D:D,1,Settings!$B$16)</f>
        <v>M1</v>
      </c>
      <c r="K312" s="6" t="str" cm="1">
        <f t="array" ref="K312">choice(Professeurs!B:B,1,Settings!$B$16)</f>
        <v>Prof11</v>
      </c>
      <c r="L312" s="5" t="str" cm="1">
        <f t="array" ref="L312">choice(Referentiel!C:C,1,Settings!$B$16)</f>
        <v/>
      </c>
      <c r="M312" s="5" t="str" cm="1">
        <f t="array" ref="M312">choice(Referentiel!E:E,1,Settings!$B$16)</f>
        <v/>
      </c>
      <c r="N312" s="5" t="str" cm="1">
        <f t="array" ref="N312">choice(Settings!K:K,1,Settings!$B$16)</f>
        <v/>
      </c>
      <c r="P312" s="5">
        <f t="shared" si="20"/>
        <v>1</v>
      </c>
    </row>
    <row r="313" spans="1:16" ht="15.75" customHeight="1" x14ac:dyDescent="0.25">
      <c r="A313" s="6" t="s">
        <v>665</v>
      </c>
      <c r="B313" s="6" cm="1">
        <f t="array" ref="B313">alea_int(Settings!$B$10,1,Settings!$B$16)</f>
        <v>1</v>
      </c>
      <c r="C313" s="8">
        <v>46023</v>
      </c>
      <c r="D313" s="8">
        <f t="shared" si="17"/>
        <v>46387</v>
      </c>
      <c r="E313" s="6" t="str" cm="1">
        <f t="array" ref="E313">choice(Groupes!A:A,1,Settings!$B$16)</f>
        <v>G6</v>
      </c>
      <c r="F313" s="6" t="str">
        <f t="shared" si="18"/>
        <v>G6</v>
      </c>
      <c r="G313" s="6" t="str">
        <f t="shared" si="19"/>
        <v>Prof10</v>
      </c>
      <c r="H313" s="6" t="str" cm="1">
        <f t="array" ref="H313">choice(Referentiel!A:A,1,Settings!$B$16)</f>
        <v>Design Objet</v>
      </c>
      <c r="I313" s="6" t="str" cm="1">
        <f t="array" ref="I313">choice(Referentiel!B:B,1,Settings!$B$16)</f>
        <v>4ème année Cinéma d'Animation S2</v>
      </c>
      <c r="J313" s="6" t="str" cm="1">
        <f t="array" ref="J313">choice(Referentiel!D:D,1,Settings!$B$16)</f>
        <v>L2</v>
      </c>
      <c r="K313" s="6" t="str" cm="1">
        <f t="array" ref="K313">choice(Professeurs!B:B,1,Settings!$B$16)</f>
        <v>Prof10</v>
      </c>
      <c r="L313" s="5" t="str" cm="1">
        <f t="array" ref="L313">choice(Referentiel!C:C,1,Settings!$B$16)</f>
        <v/>
      </c>
      <c r="M313" s="5" t="str" cm="1">
        <f t="array" ref="M313">choice(Referentiel!E:E,1,Settings!$B$16)</f>
        <v/>
      </c>
      <c r="N313" s="5" t="str" cm="1">
        <f t="array" ref="N313">choice(Settings!K:K,1,Settings!$B$16)</f>
        <v/>
      </c>
      <c r="P313" s="5">
        <f t="shared" si="20"/>
        <v>1</v>
      </c>
    </row>
    <row r="314" spans="1:16" ht="15.75" customHeight="1" x14ac:dyDescent="0.25">
      <c r="A314" s="6" t="s">
        <v>666</v>
      </c>
      <c r="B314" s="6" cm="1">
        <f t="array" ref="B314">alea_int(Settings!$B$10,1,Settings!$B$16)</f>
        <v>2</v>
      </c>
      <c r="C314" s="8">
        <v>46023</v>
      </c>
      <c r="D314" s="8">
        <f t="shared" si="17"/>
        <v>46387</v>
      </c>
      <c r="E314" s="6" t="str" cm="1">
        <f t="array" ref="E314">choice(Groupes!A:A,1,Settings!$B$16)</f>
        <v>G7</v>
      </c>
      <c r="F314" s="6" t="str">
        <f t="shared" si="18"/>
        <v>G7</v>
      </c>
      <c r="G314" s="6" t="str">
        <f t="shared" si="19"/>
        <v>Prof32</v>
      </c>
      <c r="H314" s="6" t="str" cm="1">
        <f t="array" ref="H314">choice(Referentiel!A:A,1,Settings!$B$16)</f>
        <v>Design des mondes ruraux</v>
      </c>
      <c r="I314" s="6" t="str" cm="1">
        <f t="array" ref="I314">choice(Referentiel!B:B,1,Settings!$B$16)</f>
        <v>Césure S1</v>
      </c>
      <c r="J314" s="6" t="str" cm="1">
        <f t="array" ref="J314">choice(Referentiel!D:D,1,Settings!$B$16)</f>
        <v>M1</v>
      </c>
      <c r="K314" s="6" t="str" cm="1">
        <f t="array" ref="K314">choice(Professeurs!B:B,1,Settings!$B$16)</f>
        <v>Prof32</v>
      </c>
      <c r="L314" s="5" t="str" cm="1">
        <f t="array" ref="L314">choice(Referentiel!C:C,1,Settings!$B$16)</f>
        <v>pupitre</v>
      </c>
      <c r="M314" s="5" t="str" cm="1">
        <f t="array" ref="M314">choice(Referentiel!E:E,1,Settings!$B$16)</f>
        <v/>
      </c>
      <c r="N314" s="5" t="str" cm="1">
        <f t="array" ref="N314">choice(Settings!K:K,1,Settings!$B$16)</f>
        <v/>
      </c>
      <c r="P314" s="5">
        <f t="shared" si="20"/>
        <v>2</v>
      </c>
    </row>
    <row r="315" spans="1:16" ht="15.75" customHeight="1" x14ac:dyDescent="0.25">
      <c r="A315" s="6" t="s">
        <v>667</v>
      </c>
      <c r="B315" s="6" cm="1">
        <f t="array" ref="B315">alea_int(Settings!$B$10,1,Settings!$B$16)</f>
        <v>3</v>
      </c>
      <c r="C315" s="8">
        <v>46023</v>
      </c>
      <c r="D315" s="8">
        <f t="shared" si="17"/>
        <v>46387</v>
      </c>
      <c r="E315" s="6" t="str" cm="1">
        <f t="array" ref="E315">choice(Groupes!A:A,1,Settings!$B$16)</f>
        <v>G21</v>
      </c>
      <c r="F315" s="6" t="str">
        <f t="shared" si="18"/>
        <v>G21</v>
      </c>
      <c r="G315" s="6" t="str">
        <f t="shared" si="19"/>
        <v>Prof27</v>
      </c>
      <c r="H315" s="6" t="str" cm="1">
        <f t="array" ref="H315">choice(Referentiel!A:A,1,Settings!$B$16)</f>
        <v>Scénographie</v>
      </c>
      <c r="I315" s="6" t="str" cm="1">
        <f t="array" ref="I315">choice(Referentiel!B:B,1,Settings!$B$16)</f>
        <v>1ère Année Groupe 1 S2</v>
      </c>
      <c r="J315" s="6" t="str" cm="1">
        <f t="array" ref="J315">choice(Referentiel!D:D,1,Settings!$B$16)</f>
        <v>M1</v>
      </c>
      <c r="K315" s="6" t="str" cm="1">
        <f t="array" ref="K315">choice(Professeurs!B:B,1,Settings!$B$16)</f>
        <v>Prof27</v>
      </c>
      <c r="L315" s="5" t="str" cm="1">
        <f t="array" ref="L315">choice(Referentiel!C:C,1,Settings!$B$16)</f>
        <v/>
      </c>
      <c r="M315" s="5" t="str" cm="1">
        <f t="array" ref="M315">choice(Referentiel!E:E,1,Settings!$B$16)</f>
        <v/>
      </c>
      <c r="N315" s="5" t="str" cm="1">
        <f t="array" ref="N315">choice(Settings!K:K,1,Settings!$B$16)</f>
        <v/>
      </c>
      <c r="P315" s="5">
        <f t="shared" si="20"/>
        <v>3</v>
      </c>
    </row>
    <row r="316" spans="1:16" ht="15.75" customHeight="1" x14ac:dyDescent="0.25">
      <c r="A316" s="6" t="s">
        <v>668</v>
      </c>
      <c r="B316" s="6" cm="1">
        <f t="array" ref="B316">alea_int(Settings!$B$10,1,Settings!$B$16)</f>
        <v>1</v>
      </c>
      <c r="C316" s="8">
        <v>46023</v>
      </c>
      <c r="D316" s="8">
        <f t="shared" si="17"/>
        <v>46387</v>
      </c>
      <c r="E316" s="6" t="str" cm="1">
        <f t="array" ref="E316">choice(Groupes!A:A,1,Settings!$B$16)</f>
        <v>G14</v>
      </c>
      <c r="F316" s="6" t="str">
        <f t="shared" si="18"/>
        <v>G14</v>
      </c>
      <c r="G316" s="6" t="str">
        <f t="shared" si="19"/>
        <v>Prof11</v>
      </c>
      <c r="H316" s="6" t="str" cm="1">
        <f t="array" ref="H316">choice(Referentiel!A:A,1,Settings!$B$16)</f>
        <v>6ème ANNÉE STAGE</v>
      </c>
      <c r="I316" s="6" t="str" cm="1">
        <f t="array" ref="I316">choice(Referentiel!B:B,1,Settings!$B$16)</f>
        <v>2ème année Design Objet S2</v>
      </c>
      <c r="J316" s="6" t="str" cm="1">
        <f t="array" ref="J316">choice(Referentiel!D:D,1,Settings!$B$16)</f>
        <v>M2</v>
      </c>
      <c r="K316" s="6" t="str" cm="1">
        <f t="array" ref="K316">choice(Professeurs!B:B,1,Settings!$B$16)</f>
        <v>Prof11</v>
      </c>
      <c r="L316" s="5" t="str" cm="1">
        <f t="array" ref="L316">choice(Referentiel!C:C,1,Settings!$B$16)</f>
        <v/>
      </c>
      <c r="M316" s="5" t="str" cm="1">
        <f t="array" ref="M316">choice(Referentiel!E:E,1,Settings!$B$16)</f>
        <v/>
      </c>
      <c r="N316" s="5" t="str" cm="1">
        <f t="array" ref="N316">choice(Settings!K:K,1,Settings!$B$16)</f>
        <v>lundi pm</v>
      </c>
      <c r="P316" s="5">
        <f t="shared" si="20"/>
        <v>3</v>
      </c>
    </row>
    <row r="317" spans="1:16" ht="15.75" customHeight="1" x14ac:dyDescent="0.25">
      <c r="A317" s="6" t="s">
        <v>669</v>
      </c>
      <c r="B317" s="6" cm="1">
        <f t="array" ref="B317">alea_int(Settings!$B$10,1,Settings!$B$16)</f>
        <v>2</v>
      </c>
      <c r="C317" s="8">
        <v>46023</v>
      </c>
      <c r="D317" s="8">
        <f t="shared" si="17"/>
        <v>46387</v>
      </c>
      <c r="E317" s="6" t="str" cm="1">
        <f t="array" ref="E317">choice(Groupes!A:A,1,Settings!$B$16)</f>
        <v>G12</v>
      </c>
      <c r="F317" s="6" t="str">
        <f t="shared" si="18"/>
        <v>G12</v>
      </c>
      <c r="G317" s="6" t="str">
        <f t="shared" si="19"/>
        <v>Prof19</v>
      </c>
      <c r="H317" s="6" t="str" cm="1">
        <f t="array" ref="H317">choice(Referentiel!A:A,1,Settings!$B$16)</f>
        <v>Design des mondes insulaires</v>
      </c>
      <c r="I317" s="6" t="str" cm="1">
        <f t="array" ref="I317">choice(Referentiel!B:B,1,Settings!$B$16)</f>
        <v>4ème année Design Vêtement S2</v>
      </c>
      <c r="J317" s="6" t="str" cm="1">
        <f t="array" ref="J317">choice(Referentiel!D:D,1,Settings!$B$16)</f>
        <v>M1</v>
      </c>
      <c r="K317" s="6" t="str" cm="1">
        <f t="array" ref="K317">choice(Professeurs!B:B,1,Settings!$B$16)</f>
        <v>Prof19</v>
      </c>
      <c r="L317" s="5" t="str" cm="1">
        <f t="array" ref="L317">choice(Referentiel!C:C,1,Settings!$B$16)</f>
        <v/>
      </c>
      <c r="M317" s="5" t="str" cm="1">
        <f t="array" ref="M317">choice(Referentiel!E:E,1,Settings!$B$16)</f>
        <v/>
      </c>
      <c r="N317" s="5" t="str" cm="1">
        <f t="array" ref="N317">choice(Settings!K:K,1,Settings!$B$16)</f>
        <v>jeudi am</v>
      </c>
      <c r="P317" s="5">
        <f t="shared" si="20"/>
        <v>4</v>
      </c>
    </row>
    <row r="318" spans="1:16" ht="15.75" customHeight="1" x14ac:dyDescent="0.25">
      <c r="A318" s="6" t="s">
        <v>670</v>
      </c>
      <c r="B318" s="6" cm="1">
        <f t="array" ref="B318">alea_int(Settings!$B$10,1,Settings!$B$16)</f>
        <v>3</v>
      </c>
      <c r="C318" s="8">
        <v>46023</v>
      </c>
      <c r="D318" s="8">
        <f t="shared" si="17"/>
        <v>46387</v>
      </c>
      <c r="E318" s="6" t="str" cm="1">
        <f t="array" ref="E318">choice(Groupes!A:A,1,Settings!$B$16)</f>
        <v>G24</v>
      </c>
      <c r="F318" s="6" t="str">
        <f t="shared" si="18"/>
        <v>G24</v>
      </c>
      <c r="G318" s="6" t="str">
        <f t="shared" si="19"/>
        <v>Prof4</v>
      </c>
      <c r="H318" s="6" t="str" cm="1">
        <f t="array" ref="H318">choice(Referentiel!A:A,1,Settings!$B$16)</f>
        <v>Mode et Matière</v>
      </c>
      <c r="I318" s="6" t="str" cm="1">
        <f t="array" ref="I318">choice(Referentiel!B:B,1,Settings!$B$16)</f>
        <v>2ème année Architecture Intérieure S1</v>
      </c>
      <c r="J318" s="6" t="str" cm="1">
        <f t="array" ref="J318">choice(Referentiel!D:D,1,Settings!$B$16)</f>
        <v>L1</v>
      </c>
      <c r="K318" s="6" t="str" cm="1">
        <f t="array" ref="K318">choice(Professeurs!B:B,1,Settings!$B$16)</f>
        <v>Prof4</v>
      </c>
      <c r="L318" s="5" t="str" cm="1">
        <f t="array" ref="L318">choice(Referentiel!C:C,1,Settings!$B$16)</f>
        <v/>
      </c>
      <c r="M318" s="5" t="str" cm="1">
        <f t="array" ref="M318">choice(Referentiel!E:E,1,Settings!$B$16)</f>
        <v/>
      </c>
      <c r="N318" s="5" t="str" cm="1">
        <f t="array" ref="N318">choice(Settings!K:K,1,Settings!$B$16)</f>
        <v/>
      </c>
      <c r="P318" s="5">
        <f t="shared" si="20"/>
        <v>3</v>
      </c>
    </row>
    <row r="319" spans="1:16" ht="15.75" customHeight="1" x14ac:dyDescent="0.25">
      <c r="A319" s="6" t="s">
        <v>671</v>
      </c>
      <c r="B319" s="6" cm="1">
        <f t="array" ref="B319">alea_int(Settings!$B$10,1,Settings!$B$16)</f>
        <v>1</v>
      </c>
      <c r="C319" s="8">
        <v>46023</v>
      </c>
      <c r="D319" s="8">
        <f t="shared" si="17"/>
        <v>46387</v>
      </c>
      <c r="E319" s="6" t="str" cm="1">
        <f t="array" ref="E319">choice(Groupes!A:A,1,Settings!$B$16)</f>
        <v>G2</v>
      </c>
      <c r="F319" s="6" t="str">
        <f t="shared" si="18"/>
        <v>G2</v>
      </c>
      <c r="G319" s="6" t="str">
        <f t="shared" si="19"/>
        <v>Prof14</v>
      </c>
      <c r="H319" s="6" t="str" cm="1">
        <f t="array" ref="H319">choice(Referentiel!A:A,1,Settings!$B$16)</f>
        <v>Design des mondes montagneux</v>
      </c>
      <c r="I319" s="6" t="str" cm="1">
        <f t="array" ref="I319">choice(Referentiel!B:B,1,Settings!$B$16)</f>
        <v>4ème année Design Graphique S2</v>
      </c>
      <c r="J319" s="6" t="str" cm="1">
        <f t="array" ref="J319">choice(Referentiel!D:D,1,Settings!$B$16)</f>
        <v>M1</v>
      </c>
      <c r="K319" s="6" t="str" cm="1">
        <f t="array" ref="K319">choice(Professeurs!B:B,1,Settings!$B$16)</f>
        <v>Prof14</v>
      </c>
      <c r="L319" s="5" t="str" cm="1">
        <f t="array" ref="L319">choice(Referentiel!C:C,1,Settings!$B$16)</f>
        <v/>
      </c>
      <c r="M319" s="5" t="str" cm="1">
        <f t="array" ref="M319">choice(Referentiel!E:E,1,Settings!$B$16)</f>
        <v/>
      </c>
      <c r="N319" s="5" t="str" cm="1">
        <f t="array" ref="N319">choice(Settings!K:K,1,Settings!$B$16)</f>
        <v/>
      </c>
      <c r="P319" s="5">
        <f t="shared" si="20"/>
        <v>1</v>
      </c>
    </row>
    <row r="320" spans="1:16" ht="15.75" customHeight="1" x14ac:dyDescent="0.25">
      <c r="A320" s="6" t="s">
        <v>672</v>
      </c>
      <c r="B320" s="6" cm="1">
        <f t="array" ref="B320">alea_int(Settings!$B$10,1,Settings!$B$16)</f>
        <v>1</v>
      </c>
      <c r="C320" s="8">
        <v>46023</v>
      </c>
      <c r="D320" s="8">
        <f t="shared" si="17"/>
        <v>46387</v>
      </c>
      <c r="E320" s="6" t="str" cm="1">
        <f t="array" ref="E320">choice(Groupes!A:A,1,Settings!$B$16)</f>
        <v>G10</v>
      </c>
      <c r="F320" s="6" t="str">
        <f t="shared" si="18"/>
        <v>G10</v>
      </c>
      <c r="G320" s="6" t="str">
        <f t="shared" si="19"/>
        <v>Prof48</v>
      </c>
      <c r="H320" s="6" t="str" cm="1">
        <f t="array" ref="H320">choice(Referentiel!A:A,1,Settings!$B$16)</f>
        <v>Design des mondes urbains</v>
      </c>
      <c r="I320" s="6" t="str" cm="1">
        <f t="array" ref="I320">choice(Referentiel!B:B,1,Settings!$B$16)</f>
        <v>5ème année Design Objet S1</v>
      </c>
      <c r="J320" s="6" t="str" cm="1">
        <f t="array" ref="J320">choice(Referentiel!D:D,1,Settings!$B$16)</f>
        <v>L2</v>
      </c>
      <c r="K320" s="6" t="str" cm="1">
        <f t="array" ref="K320">choice(Professeurs!B:B,1,Settings!$B$16)</f>
        <v>Prof48</v>
      </c>
      <c r="L320" s="5" t="str" cm="1">
        <f t="array" ref="L320">choice(Referentiel!C:C,1,Settings!$B$16)</f>
        <v/>
      </c>
      <c r="M320" s="5" t="str" cm="1">
        <f t="array" ref="M320">choice(Referentiel!E:E,1,Settings!$B$16)</f>
        <v/>
      </c>
      <c r="N320" s="5" t="str" cm="1">
        <f t="array" ref="N320">choice(Settings!K:K,1,Settings!$B$16)</f>
        <v/>
      </c>
      <c r="P320" s="5">
        <f t="shared" si="20"/>
        <v>1</v>
      </c>
    </row>
    <row r="321" spans="1:16" ht="15.75" customHeight="1" x14ac:dyDescent="0.25">
      <c r="A321" s="6" t="s">
        <v>673</v>
      </c>
      <c r="B321" s="6" cm="1">
        <f t="array" ref="B321">alea_int(Settings!$B$10,1,Settings!$B$16)</f>
        <v>3</v>
      </c>
      <c r="C321" s="8">
        <v>46023</v>
      </c>
      <c r="D321" s="8">
        <f t="shared" si="17"/>
        <v>46387</v>
      </c>
      <c r="E321" s="6" t="str" cm="1">
        <f t="array" ref="E321">choice(Groupes!A:A,1,Settings!$B$16)</f>
        <v>G2</v>
      </c>
      <c r="F321" s="6" t="str">
        <f t="shared" si="18"/>
        <v>G2</v>
      </c>
      <c r="G321" s="6" t="str">
        <f t="shared" si="19"/>
        <v>Prof14</v>
      </c>
      <c r="H321" s="6" t="str" cm="1">
        <f t="array" ref="H321">choice(Referentiel!A:A,1,Settings!$B$16)</f>
        <v>Architecture Intérieure</v>
      </c>
      <c r="I321" s="6" t="str" cm="1">
        <f t="array" ref="I321">choice(Referentiel!B:B,1,Settings!$B$16)</f>
        <v>3ème année Architecture Intérieure S1</v>
      </c>
      <c r="J321" s="6" t="str" cm="1">
        <f t="array" ref="J321">choice(Referentiel!D:D,1,Settings!$B$16)</f>
        <v>M2</v>
      </c>
      <c r="K321" s="6" t="str" cm="1">
        <f t="array" ref="K321">choice(Professeurs!B:B,1,Settings!$B$16)</f>
        <v>Prof14</v>
      </c>
      <c r="L321" s="5" t="str" cm="1">
        <f t="array" ref="L321">choice(Referentiel!C:C,1,Settings!$B$16)</f>
        <v>ordinateur</v>
      </c>
      <c r="M321" s="5" t="str" cm="1">
        <f t="array" ref="M321">choice(Referentiel!E:E,1,Settings!$B$16)</f>
        <v/>
      </c>
      <c r="N321" s="5" t="str" cm="1">
        <f t="array" ref="N321">choice(Settings!K:K,1,Settings!$B$16)</f>
        <v/>
      </c>
      <c r="P321" s="5">
        <f t="shared" si="20"/>
        <v>3</v>
      </c>
    </row>
    <row r="322" spans="1:16" ht="15.75" customHeight="1" x14ac:dyDescent="0.25">
      <c r="A322" s="6" t="s">
        <v>674</v>
      </c>
      <c r="B322" s="6" cm="1">
        <f t="array" ref="B322">alea_int(Settings!$B$10,1,Settings!$B$16)</f>
        <v>2</v>
      </c>
      <c r="C322" s="8">
        <v>46023</v>
      </c>
      <c r="D322" s="8">
        <f t="shared" si="17"/>
        <v>46387</v>
      </c>
      <c r="E322" s="6" t="str" cm="1">
        <f t="array" ref="E322">choice(Groupes!A:A,1,Settings!$B$16)</f>
        <v>G2</v>
      </c>
      <c r="F322" s="6" t="str">
        <f t="shared" si="18"/>
        <v>G2</v>
      </c>
      <c r="G322" s="6" t="str">
        <f t="shared" si="19"/>
        <v>Prof14</v>
      </c>
      <c r="H322" s="6" t="str" cm="1">
        <f t="array" ref="H322">choice(Referentiel!A:A,1,Settings!$B$16)</f>
        <v>Design Graphique</v>
      </c>
      <c r="I322" s="6" t="str" cm="1">
        <f t="array" ref="I322">choice(Referentiel!B:B,1,Settings!$B$16)</f>
        <v>2ème année Image Imprimée S2</v>
      </c>
      <c r="J322" s="6" t="str" cm="1">
        <f t="array" ref="J322">choice(Referentiel!D:D,1,Settings!$B$16)</f>
        <v>L2</v>
      </c>
      <c r="K322" s="6" t="str" cm="1">
        <f t="array" ref="K322">choice(Professeurs!B:B,1,Settings!$B$16)</f>
        <v>Prof14</v>
      </c>
      <c r="L322" s="5" t="str" cm="1">
        <f t="array" ref="L322">choice(Referentiel!C:C,1,Settings!$B$16)</f>
        <v/>
      </c>
      <c r="M322" s="5" t="str" cm="1">
        <f t="array" ref="M322">choice(Referentiel!E:E,1,Settings!$B$16)</f>
        <v/>
      </c>
      <c r="N322" s="5" t="str" cm="1">
        <f t="array" ref="N322">choice(Settings!K:K,1,Settings!$B$16)</f>
        <v/>
      </c>
      <c r="P322" s="5">
        <f t="shared" si="20"/>
        <v>2</v>
      </c>
    </row>
    <row r="323" spans="1:16" ht="15.75" customHeight="1" x14ac:dyDescent="0.25">
      <c r="A323" s="6" t="s">
        <v>675</v>
      </c>
      <c r="B323" s="6" cm="1">
        <f t="array" ref="B323">alea_int(Settings!$B$10,1,Settings!$B$16)</f>
        <v>1</v>
      </c>
      <c r="C323" s="8">
        <v>46023</v>
      </c>
      <c r="D323" s="8">
        <f t="shared" ref="D323:D386" si="21">C323+364</f>
        <v>46387</v>
      </c>
      <c r="E323" s="6" t="str" cm="1">
        <f t="array" ref="E323">choice(Groupes!A:A,1,Settings!$B$16)</f>
        <v>G22</v>
      </c>
      <c r="F323" s="6" t="str">
        <f t="shared" ref="F323:F386" si="22">E323</f>
        <v>G22</v>
      </c>
      <c r="G323" s="6" t="str">
        <f t="shared" ref="G323:G386" si="23">K323</f>
        <v>Prof26</v>
      </c>
      <c r="H323" s="6" t="str" cm="1">
        <f t="array" ref="H323">choice(Referentiel!A:A,1,Settings!$B$16)</f>
        <v>Design Graphique</v>
      </c>
      <c r="I323" s="6" t="str" cm="1">
        <f t="array" ref="I323">choice(Referentiel!B:B,1,Settings!$B$16)</f>
        <v>4ème année Scénographie S1</v>
      </c>
      <c r="J323" s="6" t="str" cm="1">
        <f t="array" ref="J323">choice(Referentiel!D:D,1,Settings!$B$16)</f>
        <v>L1</v>
      </c>
      <c r="K323" s="6" t="str" cm="1">
        <f t="array" ref="K323">choice(Professeurs!B:B,1,Settings!$B$16)</f>
        <v>Prof26</v>
      </c>
      <c r="L323" s="5" t="str" cm="1">
        <f t="array" ref="L323">choice(Referentiel!C:C,1,Settings!$B$16)</f>
        <v/>
      </c>
      <c r="M323" s="5" t="str" cm="1">
        <f t="array" ref="M323">choice(Referentiel!E:E,1,Settings!$B$16)</f>
        <v/>
      </c>
      <c r="N323" s="5" t="str" cm="1">
        <f t="array" ref="N323">choice(Settings!K:K,1,Settings!$B$16)</f>
        <v>jeudi am</v>
      </c>
      <c r="P323" s="5">
        <f t="shared" ref="P323:P386" si="24">B323+IF(M323&lt;&gt;"",2,0)+IF(N323&lt;&gt;"",2,0)</f>
        <v>3</v>
      </c>
    </row>
    <row r="324" spans="1:16" ht="15.75" customHeight="1" x14ac:dyDescent="0.25">
      <c r="A324" s="6" t="s">
        <v>676</v>
      </c>
      <c r="B324" s="6" cm="1">
        <f t="array" ref="B324">alea_int(Settings!$B$10,1,Settings!$B$16)</f>
        <v>3</v>
      </c>
      <c r="C324" s="8">
        <v>46023</v>
      </c>
      <c r="D324" s="8">
        <f t="shared" si="21"/>
        <v>46387</v>
      </c>
      <c r="E324" s="6" t="str" cm="1">
        <f t="array" ref="E324">choice(Groupes!A:A,1,Settings!$B$16)</f>
        <v>G16</v>
      </c>
      <c r="F324" s="6" t="str">
        <f t="shared" si="22"/>
        <v>G16</v>
      </c>
      <c r="G324" s="6" t="str">
        <f t="shared" si="23"/>
        <v>Prof17</v>
      </c>
      <c r="H324" s="6" t="str" cm="1">
        <f t="array" ref="H324">choice(Referentiel!A:A,1,Settings!$B$16)</f>
        <v>1ère année Groupe 4</v>
      </c>
      <c r="I324" s="6" t="str" cm="1">
        <f t="array" ref="I324">choice(Referentiel!B:B,1,Settings!$B$16)</f>
        <v>2ème année Cinéma d'Animation S2</v>
      </c>
      <c r="J324" s="6" t="str" cm="1">
        <f t="array" ref="J324">choice(Referentiel!D:D,1,Settings!$B$16)</f>
        <v>L3</v>
      </c>
      <c r="K324" s="6" t="str" cm="1">
        <f t="array" ref="K324">choice(Professeurs!B:B,1,Settings!$B$16)</f>
        <v>Prof17</v>
      </c>
      <c r="L324" s="5" t="str" cm="1">
        <f t="array" ref="L324">choice(Referentiel!C:C,1,Settings!$B$16)</f>
        <v/>
      </c>
      <c r="M324" s="5" t="str" cm="1">
        <f t="array" ref="M324">choice(Referentiel!E:E,1,Settings!$B$16)</f>
        <v/>
      </c>
      <c r="N324" s="5" t="str" cm="1">
        <f t="array" ref="N324">choice(Settings!K:K,1,Settings!$B$16)</f>
        <v/>
      </c>
      <c r="P324" s="5">
        <f t="shared" si="24"/>
        <v>3</v>
      </c>
    </row>
    <row r="325" spans="1:16" ht="15.75" customHeight="1" x14ac:dyDescent="0.25">
      <c r="A325" s="6" t="s">
        <v>677</v>
      </c>
      <c r="B325" s="6" cm="1">
        <f t="array" ref="B325">alea_int(Settings!$B$10,1,Settings!$B$16)</f>
        <v>1</v>
      </c>
      <c r="C325" s="8">
        <v>46023</v>
      </c>
      <c r="D325" s="8">
        <f t="shared" si="21"/>
        <v>46387</v>
      </c>
      <c r="E325" s="6" t="str" cm="1">
        <f t="array" ref="E325">choice(Groupes!A:A,1,Settings!$B$16)</f>
        <v>G12</v>
      </c>
      <c r="F325" s="6" t="str">
        <f t="shared" si="22"/>
        <v>G12</v>
      </c>
      <c r="G325" s="6" t="str">
        <f t="shared" si="23"/>
        <v>Prof5</v>
      </c>
      <c r="H325" s="6" t="str" cm="1">
        <f t="array" ref="H325">choice(Referentiel!A:A,1,Settings!$B$16)</f>
        <v>Design des mondes littoraux</v>
      </c>
      <c r="I325" s="6" t="str" cm="1">
        <f t="array" ref="I325">choice(Referentiel!B:B,1,Settings!$B$16)</f>
        <v>1ère Année Groupe 2 S2</v>
      </c>
      <c r="J325" s="6" t="str" cm="1">
        <f t="array" ref="J325">choice(Referentiel!D:D,1,Settings!$B$16)</f>
        <v>L2</v>
      </c>
      <c r="K325" s="6" t="str" cm="1">
        <f t="array" ref="K325">choice(Professeurs!B:B,1,Settings!$B$16)</f>
        <v>Prof5</v>
      </c>
      <c r="L325" s="5" t="str" cm="1">
        <f t="array" ref="L325">choice(Referentiel!C:C,1,Settings!$B$16)</f>
        <v>ordinateur</v>
      </c>
      <c r="M325" s="5" t="str" cm="1">
        <f t="array" ref="M325">choice(Referentiel!E:E,1,Settings!$B$16)</f>
        <v/>
      </c>
      <c r="N325" s="5" t="str" cm="1">
        <f t="array" ref="N325">choice(Settings!K:K,1,Settings!$B$16)</f>
        <v/>
      </c>
      <c r="P325" s="5">
        <f t="shared" si="24"/>
        <v>1</v>
      </c>
    </row>
    <row r="326" spans="1:16" ht="15.75" customHeight="1" x14ac:dyDescent="0.25">
      <c r="A326" s="6" t="s">
        <v>678</v>
      </c>
      <c r="B326" s="6" cm="1">
        <f t="array" ref="B326">alea_int(Settings!$B$10,1,Settings!$B$16)</f>
        <v>2</v>
      </c>
      <c r="C326" s="8">
        <v>46023</v>
      </c>
      <c r="D326" s="8">
        <f t="shared" si="21"/>
        <v>46387</v>
      </c>
      <c r="E326" s="6" t="str" cm="1">
        <f t="array" ref="E326">choice(Groupes!A:A,1,Settings!$B$16)</f>
        <v>G22</v>
      </c>
      <c r="F326" s="6" t="str">
        <f t="shared" si="22"/>
        <v>G22</v>
      </c>
      <c r="G326" s="6" t="str">
        <f t="shared" si="23"/>
        <v>Prof8</v>
      </c>
      <c r="H326" s="6" t="str" cm="1">
        <f t="array" ref="H326">choice(Referentiel!A:A,1,Settings!$B$16)</f>
        <v>Gr SYMBIOSE</v>
      </c>
      <c r="I326" s="6" t="str" cm="1">
        <f t="array" ref="I326">choice(Referentiel!B:B,1,Settings!$B$16)</f>
        <v>1ère Année Groupe 2 S2</v>
      </c>
      <c r="J326" s="6" t="str" cm="1">
        <f t="array" ref="J326">choice(Referentiel!D:D,1,Settings!$B$16)</f>
        <v>L3</v>
      </c>
      <c r="K326" s="6" t="str" cm="1">
        <f t="array" ref="K326">choice(Professeurs!B:B,1,Settings!$B$16)</f>
        <v>Prof8</v>
      </c>
      <c r="L326" s="5" t="str" cm="1">
        <f t="array" ref="L326">choice(Referentiel!C:C,1,Settings!$B$16)</f>
        <v/>
      </c>
      <c r="M326" s="5" t="str" cm="1">
        <f t="array" ref="M326">choice(Referentiel!E:E,1,Settings!$B$16)</f>
        <v/>
      </c>
      <c r="N326" s="5" t="str" cm="1">
        <f t="array" ref="N326">choice(Settings!K:K,1,Settings!$B$16)</f>
        <v>lundi pm</v>
      </c>
      <c r="P326" s="5">
        <f t="shared" si="24"/>
        <v>4</v>
      </c>
    </row>
    <row r="327" spans="1:16" ht="15.75" customHeight="1" x14ac:dyDescent="0.25">
      <c r="A327" s="6" t="s">
        <v>679</v>
      </c>
      <c r="B327" s="6" cm="1">
        <f t="array" ref="B327">alea_int(Settings!$B$10,1,Settings!$B$16)</f>
        <v>1</v>
      </c>
      <c r="C327" s="8">
        <v>46023</v>
      </c>
      <c r="D327" s="8">
        <f t="shared" si="21"/>
        <v>46387</v>
      </c>
      <c r="E327" s="6" t="str" cm="1">
        <f t="array" ref="E327">choice(Groupes!A:A,1,Settings!$B$16)</f>
        <v>G1</v>
      </c>
      <c r="F327" s="6" t="str">
        <f t="shared" si="22"/>
        <v>G1</v>
      </c>
      <c r="G327" s="6" t="str">
        <f t="shared" si="23"/>
        <v>Prof3</v>
      </c>
      <c r="H327" s="6" t="str" cm="1">
        <f t="array" ref="H327">choice(Referentiel!A:A,1,Settings!$B$16)</f>
        <v>6ème année atelier</v>
      </c>
      <c r="I327" s="6" t="str" cm="1">
        <f t="array" ref="I327">choice(Referentiel!B:B,1,Settings!$B$16)</f>
        <v>3ème année Design Vêtement S2</v>
      </c>
      <c r="J327" s="6" t="str" cm="1">
        <f t="array" ref="J327">choice(Referentiel!D:D,1,Settings!$B$16)</f>
        <v>M2</v>
      </c>
      <c r="K327" s="6" t="str" cm="1">
        <f t="array" ref="K327">choice(Professeurs!B:B,1,Settings!$B$16)</f>
        <v>Prof3</v>
      </c>
      <c r="L327" s="5" t="str" cm="1">
        <f t="array" ref="L327">choice(Referentiel!C:C,1,Settings!$B$16)</f>
        <v/>
      </c>
      <c r="M327" s="5" t="str" cm="1">
        <f t="array" ref="M327">choice(Referentiel!E:E,1,Settings!$B$16)</f>
        <v/>
      </c>
      <c r="N327" s="5" t="str" cm="1">
        <f t="array" ref="N327">choice(Settings!K:K,1,Settings!$B$16)</f>
        <v>semaine</v>
      </c>
      <c r="P327" s="5">
        <f t="shared" si="24"/>
        <v>3</v>
      </c>
    </row>
    <row r="328" spans="1:16" ht="15.75" customHeight="1" x14ac:dyDescent="0.25">
      <c r="A328" s="6" t="s">
        <v>680</v>
      </c>
      <c r="B328" s="6" cm="1">
        <f t="array" ref="B328">alea_int(Settings!$B$10,1,Settings!$B$16)</f>
        <v>2</v>
      </c>
      <c r="C328" s="8">
        <v>46023</v>
      </c>
      <c r="D328" s="8">
        <f t="shared" si="21"/>
        <v>46387</v>
      </c>
      <c r="E328" s="6" t="str" cm="1">
        <f t="array" ref="E328">choice(Groupes!A:A,1,Settings!$B$16)</f>
        <v>G20</v>
      </c>
      <c r="F328" s="6" t="str">
        <f t="shared" si="22"/>
        <v>G20</v>
      </c>
      <c r="G328" s="6" t="str">
        <f t="shared" si="23"/>
        <v>Prof53</v>
      </c>
      <c r="H328" s="6" t="str" cm="1">
        <f t="array" ref="H328">choice(Referentiel!A:A,1,Settings!$B$16)</f>
        <v>Gr SYMBIOSE</v>
      </c>
      <c r="I328" s="6" t="str" cm="1">
        <f t="array" ref="I328">choice(Referentiel!B:B,1,Settings!$B$16)</f>
        <v>2ème année Art-Espace S1</v>
      </c>
      <c r="J328" s="6" t="str" cm="1">
        <f t="array" ref="J328">choice(Referentiel!D:D,1,Settings!$B$16)</f>
        <v>L1</v>
      </c>
      <c r="K328" s="6" t="str" cm="1">
        <f t="array" ref="K328">choice(Professeurs!B:B,1,Settings!$B$16)</f>
        <v>Prof53</v>
      </c>
      <c r="L328" s="5" t="str" cm="1">
        <f t="array" ref="L328">choice(Referentiel!C:C,1,Settings!$B$16)</f>
        <v/>
      </c>
      <c r="M328" s="5" t="str" cm="1">
        <f t="array" ref="M328">choice(Referentiel!E:E,1,Settings!$B$16)</f>
        <v/>
      </c>
      <c r="N328" s="5" t="str" cm="1">
        <f t="array" ref="N328">choice(Settings!K:K,1,Settings!$B$16)</f>
        <v/>
      </c>
      <c r="P328" s="5">
        <f t="shared" si="24"/>
        <v>2</v>
      </c>
    </row>
    <row r="329" spans="1:16" ht="15.75" customHeight="1" x14ac:dyDescent="0.25">
      <c r="A329" s="6" t="s">
        <v>681</v>
      </c>
      <c r="B329" s="6" cm="1">
        <f t="array" ref="B329">alea_int(Settings!$B$10,1,Settings!$B$16)</f>
        <v>2</v>
      </c>
      <c r="C329" s="8">
        <v>46023</v>
      </c>
      <c r="D329" s="8">
        <f t="shared" si="21"/>
        <v>46387</v>
      </c>
      <c r="E329" s="6" t="str" cm="1">
        <f t="array" ref="E329">choice(Groupes!A:A,1,Settings!$B$16)</f>
        <v>G16</v>
      </c>
      <c r="F329" s="6" t="str">
        <f t="shared" si="22"/>
        <v>G16</v>
      </c>
      <c r="G329" s="6" t="str">
        <f t="shared" si="23"/>
        <v>Prof46</v>
      </c>
      <c r="H329" s="6" t="str" cm="1">
        <f t="array" ref="H329">choice(Referentiel!A:A,1,Settings!$B$16)</f>
        <v>Gr TERRITOIRES</v>
      </c>
      <c r="I329" s="6" t="str" cm="1">
        <f t="array" ref="I329">choice(Referentiel!B:B,1,Settings!$B$16)</f>
        <v>5ème année Image Imprimée S2</v>
      </c>
      <c r="J329" s="6" t="str" cm="1">
        <f t="array" ref="J329">choice(Referentiel!D:D,1,Settings!$B$16)</f>
        <v>L2</v>
      </c>
      <c r="K329" s="6" t="str" cm="1">
        <f t="array" ref="K329">choice(Professeurs!B:B,1,Settings!$B$16)</f>
        <v>Prof46</v>
      </c>
      <c r="L329" s="5" t="str" cm="1">
        <f t="array" ref="L329">choice(Referentiel!C:C,1,Settings!$B$16)</f>
        <v/>
      </c>
      <c r="M329" s="5" t="str" cm="1">
        <f t="array" ref="M329">choice(Referentiel!E:E,1,Settings!$B$16)</f>
        <v/>
      </c>
      <c r="N329" s="5" t="str" cm="1">
        <f t="array" ref="N329">choice(Settings!K:K,1,Settings!$B$16)</f>
        <v>mercredi ap</v>
      </c>
      <c r="P329" s="5">
        <f t="shared" si="24"/>
        <v>4</v>
      </c>
    </row>
    <row r="330" spans="1:16" ht="15.75" customHeight="1" x14ac:dyDescent="0.25">
      <c r="A330" s="6" t="s">
        <v>682</v>
      </c>
      <c r="B330" s="6" cm="1">
        <f t="array" ref="B330">alea_int(Settings!$B$10,1,Settings!$B$16)</f>
        <v>1</v>
      </c>
      <c r="C330" s="8">
        <v>46023</v>
      </c>
      <c r="D330" s="8">
        <f t="shared" si="21"/>
        <v>46387</v>
      </c>
      <c r="E330" s="6" t="str" cm="1">
        <f t="array" ref="E330">choice(Groupes!A:A,1,Settings!$B$16)</f>
        <v>G22</v>
      </c>
      <c r="F330" s="6" t="str">
        <f t="shared" si="22"/>
        <v>G22</v>
      </c>
      <c r="G330" s="6" t="str">
        <f t="shared" si="23"/>
        <v>Prof30</v>
      </c>
      <c r="H330" s="6" t="str" cm="1">
        <f t="array" ref="H330">choice(Referentiel!A:A,1,Settings!$B$16)</f>
        <v>Gr ART, DESIGN, SOCIETE</v>
      </c>
      <c r="I330" s="6" t="str" cm="1">
        <f t="array" ref="I330">choice(Referentiel!B:B,1,Settings!$B$16)</f>
        <v>1ère Année Groupe 2 S1</v>
      </c>
      <c r="J330" s="6" t="str" cm="1">
        <f t="array" ref="J330">choice(Referentiel!D:D,1,Settings!$B$16)</f>
        <v>L2</v>
      </c>
      <c r="K330" s="6" t="str" cm="1">
        <f t="array" ref="K330">choice(Professeurs!B:B,1,Settings!$B$16)</f>
        <v>Prof30</v>
      </c>
      <c r="L330" s="5" t="str" cm="1">
        <f t="array" ref="L330">choice(Referentiel!C:C,1,Settings!$B$16)</f>
        <v/>
      </c>
      <c r="M330" s="5" t="str" cm="1">
        <f t="array" ref="M330">choice(Referentiel!E:E,1,Settings!$B$16)</f>
        <v/>
      </c>
      <c r="N330" s="5" t="str" cm="1">
        <f t="array" ref="N330">choice(Settings!K:K,1,Settings!$B$16)</f>
        <v/>
      </c>
      <c r="P330" s="5">
        <f t="shared" si="24"/>
        <v>1</v>
      </c>
    </row>
    <row r="331" spans="1:16" ht="15.75" customHeight="1" x14ac:dyDescent="0.25">
      <c r="A331" s="6" t="s">
        <v>683</v>
      </c>
      <c r="B331" s="6" cm="1">
        <f t="array" ref="B331">alea_int(Settings!$B$10,1,Settings!$B$16)</f>
        <v>1</v>
      </c>
      <c r="C331" s="8">
        <v>46023</v>
      </c>
      <c r="D331" s="8">
        <f t="shared" si="21"/>
        <v>46387</v>
      </c>
      <c r="E331" s="6" t="str" cm="1">
        <f t="array" ref="E331">choice(Groupes!A:A,1,Settings!$B$16)</f>
        <v>G29</v>
      </c>
      <c r="F331" s="6" t="str">
        <f t="shared" si="22"/>
        <v>G29</v>
      </c>
      <c r="G331" s="6" t="str">
        <f t="shared" si="23"/>
        <v>Prof27</v>
      </c>
      <c r="H331" s="6" t="str" cm="1">
        <f t="array" ref="H331">choice(Referentiel!A:A,1,Settings!$B$16)</f>
        <v>Gr SOFT MATTERS</v>
      </c>
      <c r="I331" s="6" t="str" cm="1">
        <f t="array" ref="I331">choice(Referentiel!B:B,1,Settings!$B$16)</f>
        <v>4ème année Design Objet S2</v>
      </c>
      <c r="J331" s="6" t="str" cm="1">
        <f t="array" ref="J331">choice(Referentiel!D:D,1,Settings!$B$16)</f>
        <v>L3</v>
      </c>
      <c r="K331" s="6" t="str" cm="1">
        <f t="array" ref="K331">choice(Professeurs!B:B,1,Settings!$B$16)</f>
        <v>Prof27</v>
      </c>
      <c r="L331" s="5" t="str" cm="1">
        <f t="array" ref="L331">choice(Referentiel!C:C,1,Settings!$B$16)</f>
        <v/>
      </c>
      <c r="M331" s="5" t="str" cm="1">
        <f t="array" ref="M331">choice(Referentiel!E:E,1,Settings!$B$16)</f>
        <v/>
      </c>
      <c r="N331" s="5" t="str" cm="1">
        <f t="array" ref="N331">choice(Settings!K:K,1,Settings!$B$16)</f>
        <v/>
      </c>
      <c r="P331" s="5">
        <f t="shared" si="24"/>
        <v>1</v>
      </c>
    </row>
    <row r="332" spans="1:16" ht="15.75" customHeight="1" x14ac:dyDescent="0.25">
      <c r="A332" s="6" t="s">
        <v>684</v>
      </c>
      <c r="B332" s="6" cm="1">
        <f t="array" ref="B332">alea_int(Settings!$B$10,1,Settings!$B$16)</f>
        <v>2</v>
      </c>
      <c r="C332" s="8">
        <v>46023</v>
      </c>
      <c r="D332" s="8">
        <f t="shared" si="21"/>
        <v>46387</v>
      </c>
      <c r="E332" s="6" t="str" cm="1">
        <f t="array" ref="E332">choice(Groupes!A:A,1,Settings!$B$16)</f>
        <v>G8</v>
      </c>
      <c r="F332" s="6" t="str">
        <f t="shared" si="22"/>
        <v>G8</v>
      </c>
      <c r="G332" s="6" t="str">
        <f t="shared" si="23"/>
        <v>Prof3</v>
      </c>
      <c r="H332" s="6" t="str" cm="1">
        <f t="array" ref="H332">choice(Referentiel!A:A,1,Settings!$B$16)</f>
        <v>Mode et Matière</v>
      </c>
      <c r="I332" s="6" t="str" cm="1">
        <f t="array" ref="I332">choice(Referentiel!B:B,1,Settings!$B$16)</f>
        <v>2ème année Art-Espace S1</v>
      </c>
      <c r="J332" s="6" t="str" cm="1">
        <f t="array" ref="J332">choice(Referentiel!D:D,1,Settings!$B$16)</f>
        <v>M1</v>
      </c>
      <c r="K332" s="6" t="str" cm="1">
        <f t="array" ref="K332">choice(Professeurs!B:B,1,Settings!$B$16)</f>
        <v>Prof3</v>
      </c>
      <c r="L332" s="5" t="str" cm="1">
        <f t="array" ref="L332">choice(Referentiel!C:C,1,Settings!$B$16)</f>
        <v/>
      </c>
      <c r="M332" s="5" t="str" cm="1">
        <f t="array" ref="M332">choice(Referentiel!E:E,1,Settings!$B$16)</f>
        <v/>
      </c>
      <c r="N332" s="5" t="str" cm="1">
        <f t="array" ref="N332">choice(Settings!K:K,1,Settings!$B$16)</f>
        <v/>
      </c>
      <c r="P332" s="5">
        <f t="shared" si="24"/>
        <v>2</v>
      </c>
    </row>
    <row r="333" spans="1:16" ht="15.75" customHeight="1" x14ac:dyDescent="0.25">
      <c r="A333" s="6" t="s">
        <v>685</v>
      </c>
      <c r="B333" s="6" cm="1">
        <f t="array" ref="B333">alea_int(Settings!$B$10,1,Settings!$B$16)</f>
        <v>3</v>
      </c>
      <c r="C333" s="8">
        <v>46023</v>
      </c>
      <c r="D333" s="8">
        <f t="shared" si="21"/>
        <v>46387</v>
      </c>
      <c r="E333" s="6" t="str" cm="1">
        <f t="array" ref="E333">choice(Groupes!A:A,1,Settings!$B$16)</f>
        <v>G7</v>
      </c>
      <c r="F333" s="6" t="str">
        <f t="shared" si="22"/>
        <v>G7</v>
      </c>
      <c r="G333" s="6" t="str">
        <f t="shared" si="23"/>
        <v>Prof3</v>
      </c>
      <c r="H333" s="6" t="str" cm="1">
        <f t="array" ref="H333">choice(Referentiel!A:A,1,Settings!$B$16)</f>
        <v>Design des mondes forestiers</v>
      </c>
      <c r="I333" s="6" t="str" cm="1">
        <f t="array" ref="I333">choice(Referentiel!B:B,1,Settings!$B$16)</f>
        <v>5ème année Image Imprimée S1</v>
      </c>
      <c r="J333" s="6" t="str" cm="1">
        <f t="array" ref="J333">choice(Referentiel!D:D,1,Settings!$B$16)</f>
        <v>L2</v>
      </c>
      <c r="K333" s="6" t="str" cm="1">
        <f t="array" ref="K333">choice(Professeurs!B:B,1,Settings!$B$16)</f>
        <v>Prof3</v>
      </c>
      <c r="L333" s="5" t="str" cm="1">
        <f t="array" ref="L333">choice(Referentiel!C:C,1,Settings!$B$16)</f>
        <v/>
      </c>
      <c r="M333" s="5" t="str" cm="1">
        <f t="array" ref="M333">choice(Referentiel!E:E,1,Settings!$B$16)</f>
        <v/>
      </c>
      <c r="N333" s="5" t="str" cm="1">
        <f t="array" ref="N333">choice(Settings!K:K,1,Settings!$B$16)</f>
        <v>vendredi pm</v>
      </c>
      <c r="P333" s="5">
        <f t="shared" si="24"/>
        <v>5</v>
      </c>
    </row>
    <row r="334" spans="1:16" ht="15.75" customHeight="1" x14ac:dyDescent="0.25">
      <c r="A334" s="6" t="s">
        <v>686</v>
      </c>
      <c r="B334" s="6" cm="1">
        <f t="array" ref="B334">alea_int(Settings!$B$10,1,Settings!$B$16)</f>
        <v>1</v>
      </c>
      <c r="C334" s="8">
        <v>46023</v>
      </c>
      <c r="D334" s="8">
        <f t="shared" si="21"/>
        <v>46387</v>
      </c>
      <c r="E334" s="6" t="str" cm="1">
        <f t="array" ref="E334">choice(Groupes!A:A,1,Settings!$B$16)</f>
        <v>G3</v>
      </c>
      <c r="F334" s="6" t="str">
        <f t="shared" si="22"/>
        <v>G3</v>
      </c>
      <c r="G334" s="6" t="str">
        <f t="shared" si="23"/>
        <v>Prof11</v>
      </c>
      <c r="H334" s="6" t="str" cm="1">
        <f t="array" ref="H334">choice(Referentiel!A:A,1,Settings!$B$16)</f>
        <v>Design des mondes insulaires</v>
      </c>
      <c r="I334" s="6" t="str" cm="1">
        <f t="array" ref="I334">choice(Referentiel!B:B,1,Settings!$B$16)</f>
        <v>2ème année Design Objet S1</v>
      </c>
      <c r="J334" s="6" t="str" cm="1">
        <f t="array" ref="J334">choice(Referentiel!D:D,1,Settings!$B$16)</f>
        <v>M2</v>
      </c>
      <c r="K334" s="6" t="str" cm="1">
        <f t="array" ref="K334">choice(Professeurs!B:B,1,Settings!$B$16)</f>
        <v>Prof11</v>
      </c>
      <c r="L334" s="5" t="str" cm="1">
        <f t="array" ref="L334">choice(Referentiel!C:C,1,Settings!$B$16)</f>
        <v/>
      </c>
      <c r="M334" s="5" t="str" cm="1">
        <f t="array" ref="M334">choice(Referentiel!E:E,1,Settings!$B$16)</f>
        <v/>
      </c>
      <c r="N334" s="5" t="str" cm="1">
        <f t="array" ref="N334">choice(Settings!K:K,1,Settings!$B$16)</f>
        <v>mercredi pm</v>
      </c>
      <c r="P334" s="5">
        <f t="shared" si="24"/>
        <v>3</v>
      </c>
    </row>
    <row r="335" spans="1:16" ht="15.75" customHeight="1" x14ac:dyDescent="0.25">
      <c r="A335" s="6" t="s">
        <v>687</v>
      </c>
      <c r="B335" s="6" cm="1">
        <f t="array" ref="B335">alea_int(Settings!$B$10,1,Settings!$B$16)</f>
        <v>3</v>
      </c>
      <c r="C335" s="8">
        <v>46023</v>
      </c>
      <c r="D335" s="8">
        <f t="shared" si="21"/>
        <v>46387</v>
      </c>
      <c r="E335" s="6" t="str" cm="1">
        <f t="array" ref="E335">choice(Groupes!A:A,1,Settings!$B$16)</f>
        <v>G23</v>
      </c>
      <c r="F335" s="6" t="str">
        <f t="shared" si="22"/>
        <v>G23</v>
      </c>
      <c r="G335" s="6" t="str">
        <f t="shared" si="23"/>
        <v>Prof52</v>
      </c>
      <c r="H335" s="6" t="str" cm="1">
        <f t="array" ref="H335">choice(Referentiel!A:A,1,Settings!$B$16)</f>
        <v>Design Graphique</v>
      </c>
      <c r="I335" s="6" t="str" cm="1">
        <f t="array" ref="I335">choice(Referentiel!B:B,1,Settings!$B$16)</f>
        <v>4ème année Image Imprimée S1</v>
      </c>
      <c r="J335" s="6" t="str" cm="1">
        <f t="array" ref="J335">choice(Referentiel!D:D,1,Settings!$B$16)</f>
        <v>M1</v>
      </c>
      <c r="K335" s="6" t="str" cm="1">
        <f t="array" ref="K335">choice(Professeurs!B:B,1,Settings!$B$16)</f>
        <v>Prof52</v>
      </c>
      <c r="L335" s="5" t="str" cm="1">
        <f t="array" ref="L335">choice(Referentiel!C:C,1,Settings!$B$16)</f>
        <v/>
      </c>
      <c r="M335" s="5" t="str" cm="1">
        <f t="array" ref="M335">choice(Referentiel!E:E,1,Settings!$B$16)</f>
        <v/>
      </c>
      <c r="N335" s="5" t="str" cm="1">
        <f t="array" ref="N335">choice(Settings!K:K,1,Settings!$B$16)</f>
        <v/>
      </c>
      <c r="P335" s="5">
        <f t="shared" si="24"/>
        <v>3</v>
      </c>
    </row>
    <row r="336" spans="1:16" ht="15.75" customHeight="1" x14ac:dyDescent="0.25">
      <c r="A336" s="6" t="s">
        <v>688</v>
      </c>
      <c r="B336" s="6" cm="1">
        <f t="array" ref="B336">alea_int(Settings!$B$10,1,Settings!$B$16)</f>
        <v>1</v>
      </c>
      <c r="C336" s="8">
        <v>46023</v>
      </c>
      <c r="D336" s="8">
        <f t="shared" si="21"/>
        <v>46387</v>
      </c>
      <c r="E336" s="6" t="str" cm="1">
        <f t="array" ref="E336">choice(Groupes!A:A,1,Settings!$B$16)</f>
        <v>G18</v>
      </c>
      <c r="F336" s="6" t="str">
        <f t="shared" si="22"/>
        <v>G18</v>
      </c>
      <c r="G336" s="6" t="str">
        <f t="shared" si="23"/>
        <v>Prof46</v>
      </c>
      <c r="H336" s="6" t="str" cm="1">
        <f t="array" ref="H336">choice(Referentiel!A:A,1,Settings!$B$16)</f>
        <v>Art-Espace</v>
      </c>
      <c r="I336" s="6" t="str" cm="1">
        <f t="array" ref="I336">choice(Referentiel!B:B,1,Settings!$B$16)</f>
        <v>4ème année Design Objet S2</v>
      </c>
      <c r="J336" s="6" t="str" cm="1">
        <f t="array" ref="J336">choice(Referentiel!D:D,1,Settings!$B$16)</f>
        <v>L1</v>
      </c>
      <c r="K336" s="6" t="str" cm="1">
        <f t="array" ref="K336">choice(Professeurs!B:B,1,Settings!$B$16)</f>
        <v>Prof46</v>
      </c>
      <c r="L336" s="5" t="str" cm="1">
        <f t="array" ref="L336">choice(Referentiel!C:C,1,Settings!$B$16)</f>
        <v/>
      </c>
      <c r="M336" s="5" t="str" cm="1">
        <f t="array" ref="M336">choice(Referentiel!E:E,1,Settings!$B$16)</f>
        <v/>
      </c>
      <c r="N336" s="5" t="str" cm="1">
        <f t="array" ref="N336">choice(Settings!K:K,1,Settings!$B$16)</f>
        <v/>
      </c>
      <c r="P336" s="5">
        <f t="shared" si="24"/>
        <v>1</v>
      </c>
    </row>
    <row r="337" spans="1:16" ht="15.75" customHeight="1" x14ac:dyDescent="0.25">
      <c r="A337" s="6" t="s">
        <v>689</v>
      </c>
      <c r="B337" s="6" cm="1">
        <f t="array" ref="B337">alea_int(Settings!$B$10,1,Settings!$B$16)</f>
        <v>3</v>
      </c>
      <c r="C337" s="8">
        <v>46023</v>
      </c>
      <c r="D337" s="8">
        <f t="shared" si="21"/>
        <v>46387</v>
      </c>
      <c r="E337" s="6" t="str" cm="1">
        <f t="array" ref="E337">choice(Groupes!A:A,1,Settings!$B$16)</f>
        <v>G3</v>
      </c>
      <c r="F337" s="6" t="str">
        <f t="shared" si="22"/>
        <v>G3</v>
      </c>
      <c r="G337" s="6" t="str">
        <f t="shared" si="23"/>
        <v>Prof32</v>
      </c>
      <c r="H337" s="6" t="str" cm="1">
        <f t="array" ref="H337">choice(Referentiel!A:A,1,Settings!$B$16)</f>
        <v>Design des mondes montagneux</v>
      </c>
      <c r="I337" s="6" t="str" cm="1">
        <f t="array" ref="I337">choice(Referentiel!B:B,1,Settings!$B$16)</f>
        <v>2ème année Cinéma d'Animation S1</v>
      </c>
      <c r="J337" s="6" t="str" cm="1">
        <f t="array" ref="J337">choice(Referentiel!D:D,1,Settings!$B$16)</f>
        <v>L3</v>
      </c>
      <c r="K337" s="6" t="str" cm="1">
        <f t="array" ref="K337">choice(Professeurs!B:B,1,Settings!$B$16)</f>
        <v>Prof32</v>
      </c>
      <c r="L337" s="5" t="str" cm="1">
        <f t="array" ref="L337">choice(Referentiel!C:C,1,Settings!$B$16)</f>
        <v/>
      </c>
      <c r="M337" s="5" t="str" cm="1">
        <f t="array" ref="M337">choice(Referentiel!E:E,1,Settings!$B$16)</f>
        <v/>
      </c>
      <c r="N337" s="5" t="str" cm="1">
        <f t="array" ref="N337">choice(Settings!K:K,1,Settings!$B$16)</f>
        <v/>
      </c>
      <c r="P337" s="5">
        <f t="shared" si="24"/>
        <v>3</v>
      </c>
    </row>
    <row r="338" spans="1:16" ht="15.75" customHeight="1" x14ac:dyDescent="0.25">
      <c r="A338" s="6" t="s">
        <v>690</v>
      </c>
      <c r="B338" s="6" cm="1">
        <f t="array" ref="B338">alea_int(Settings!$B$10,1,Settings!$B$16)</f>
        <v>3</v>
      </c>
      <c r="C338" s="8">
        <v>46023</v>
      </c>
      <c r="D338" s="8">
        <f t="shared" si="21"/>
        <v>46387</v>
      </c>
      <c r="E338" s="6" t="str" cm="1">
        <f t="array" ref="E338">choice(Groupes!A:A,1,Settings!$B$16)</f>
        <v>G28</v>
      </c>
      <c r="F338" s="6" t="str">
        <f t="shared" si="22"/>
        <v>G28</v>
      </c>
      <c r="G338" s="6" t="str">
        <f t="shared" si="23"/>
        <v>Prof48</v>
      </c>
      <c r="H338" s="6" t="str" cm="1">
        <f t="array" ref="H338">choice(Referentiel!A:A,1,Settings!$B$16)</f>
        <v>6ème ANNÉE STAGE</v>
      </c>
      <c r="I338" s="6" t="str" cm="1">
        <f t="array" ref="I338">choice(Referentiel!B:B,1,Settings!$B$16)</f>
        <v>2ème année Design Textile et Matière S1</v>
      </c>
      <c r="J338" s="6" t="str" cm="1">
        <f t="array" ref="J338">choice(Referentiel!D:D,1,Settings!$B$16)</f>
        <v>L1</v>
      </c>
      <c r="K338" s="6" t="str" cm="1">
        <f t="array" ref="K338">choice(Professeurs!B:B,1,Settings!$B$16)</f>
        <v>Prof48</v>
      </c>
      <c r="L338" s="5" t="str" cm="1">
        <f t="array" ref="L338">choice(Referentiel!C:C,1,Settings!$B$16)</f>
        <v/>
      </c>
      <c r="M338" s="5" t="str" cm="1">
        <f t="array" ref="M338">choice(Referentiel!E:E,1,Settings!$B$16)</f>
        <v/>
      </c>
      <c r="N338" s="5" t="str" cm="1">
        <f t="array" ref="N338">choice(Settings!K:K,1,Settings!$B$16)</f>
        <v/>
      </c>
      <c r="P338" s="5">
        <f t="shared" si="24"/>
        <v>3</v>
      </c>
    </row>
    <row r="339" spans="1:16" ht="15.75" customHeight="1" x14ac:dyDescent="0.25">
      <c r="A339" s="6" t="s">
        <v>691</v>
      </c>
      <c r="B339" s="6" cm="1">
        <f t="array" ref="B339">alea_int(Settings!$B$10,1,Settings!$B$16)</f>
        <v>2</v>
      </c>
      <c r="C339" s="8">
        <v>46023</v>
      </c>
      <c r="D339" s="8">
        <f t="shared" si="21"/>
        <v>46387</v>
      </c>
      <c r="E339" s="6" t="str" cm="1">
        <f t="array" ref="E339">choice(Groupes!A:A,1,Settings!$B$16)</f>
        <v>G23</v>
      </c>
      <c r="F339" s="6" t="str">
        <f t="shared" si="22"/>
        <v>G23</v>
      </c>
      <c r="G339" s="6" t="str">
        <f t="shared" si="23"/>
        <v>Prof7</v>
      </c>
      <c r="H339" s="6" t="str" cm="1">
        <f t="array" ref="H339">choice(Referentiel!A:A,1,Settings!$B$16)</f>
        <v>Design des mondes forestiers</v>
      </c>
      <c r="I339" s="6" t="str" cm="1">
        <f t="array" ref="I339">choice(Referentiel!B:B,1,Settings!$B$16)</f>
        <v>4ème année Design Graphique S2</v>
      </c>
      <c r="J339" s="6" t="str" cm="1">
        <f t="array" ref="J339">choice(Referentiel!D:D,1,Settings!$B$16)</f>
        <v>M2</v>
      </c>
      <c r="K339" s="6" t="str" cm="1">
        <f t="array" ref="K339">choice(Professeurs!B:B,1,Settings!$B$16)</f>
        <v>Prof7</v>
      </c>
      <c r="L339" s="5" t="str" cm="1">
        <f t="array" ref="L339">choice(Referentiel!C:C,1,Settings!$B$16)</f>
        <v/>
      </c>
      <c r="M339" s="5" t="str" cm="1">
        <f t="array" ref="M339">choice(Referentiel!E:E,1,Settings!$B$16)</f>
        <v/>
      </c>
      <c r="N339" s="5" t="str" cm="1">
        <f t="array" ref="N339">choice(Settings!K:K,1,Settings!$B$16)</f>
        <v>jeudi pm</v>
      </c>
      <c r="P339" s="5">
        <f t="shared" si="24"/>
        <v>4</v>
      </c>
    </row>
    <row r="340" spans="1:16" ht="15.75" customHeight="1" x14ac:dyDescent="0.25">
      <c r="A340" s="6" t="s">
        <v>692</v>
      </c>
      <c r="B340" s="6" cm="1">
        <f t="array" ref="B340">alea_int(Settings!$B$10,1,Settings!$B$16)</f>
        <v>3</v>
      </c>
      <c r="C340" s="8">
        <v>46023</v>
      </c>
      <c r="D340" s="8">
        <f t="shared" si="21"/>
        <v>46387</v>
      </c>
      <c r="E340" s="6" t="str" cm="1">
        <f t="array" ref="E340">choice(Groupes!A:A,1,Settings!$B$16)</f>
        <v>G7</v>
      </c>
      <c r="F340" s="6" t="str">
        <f t="shared" si="22"/>
        <v>G7</v>
      </c>
      <c r="G340" s="6" t="str">
        <f t="shared" si="23"/>
        <v>Prof21</v>
      </c>
      <c r="H340" s="6" t="str" cm="1">
        <f t="array" ref="H340">choice(Referentiel!A:A,1,Settings!$B$16)</f>
        <v>Mode et Matière</v>
      </c>
      <c r="I340" s="6" t="str" cm="1">
        <f t="array" ref="I340">choice(Referentiel!B:B,1,Settings!$B$16)</f>
        <v>5ème année Scénographie S1</v>
      </c>
      <c r="J340" s="6" t="str" cm="1">
        <f t="array" ref="J340">choice(Referentiel!D:D,1,Settings!$B$16)</f>
        <v>L3</v>
      </c>
      <c r="K340" s="6" t="str" cm="1">
        <f t="array" ref="K340">choice(Professeurs!B:B,1,Settings!$B$16)</f>
        <v>Prof21</v>
      </c>
      <c r="L340" s="5" t="str" cm="1">
        <f t="array" ref="L340">choice(Referentiel!C:C,1,Settings!$B$16)</f>
        <v/>
      </c>
      <c r="M340" s="5" t="str" cm="1">
        <f t="array" ref="M340">choice(Referentiel!E:E,1,Settings!$B$16)</f>
        <v/>
      </c>
      <c r="N340" s="5" t="str" cm="1">
        <f t="array" ref="N340">choice(Settings!K:K,1,Settings!$B$16)</f>
        <v/>
      </c>
      <c r="P340" s="5">
        <f t="shared" si="24"/>
        <v>3</v>
      </c>
    </row>
    <row r="341" spans="1:16" ht="15.75" customHeight="1" x14ac:dyDescent="0.25">
      <c r="A341" s="6" t="s">
        <v>693</v>
      </c>
      <c r="B341" s="6" cm="1">
        <f t="array" ref="B341">alea_int(Settings!$B$10,1,Settings!$B$16)</f>
        <v>3</v>
      </c>
      <c r="C341" s="8">
        <v>46023</v>
      </c>
      <c r="D341" s="8">
        <f t="shared" si="21"/>
        <v>46387</v>
      </c>
      <c r="E341" s="6" t="str" cm="1">
        <f t="array" ref="E341">choice(Groupes!A:A,1,Settings!$B$16)</f>
        <v>G21</v>
      </c>
      <c r="F341" s="6" t="str">
        <f t="shared" si="22"/>
        <v>G21</v>
      </c>
      <c r="G341" s="6" t="str">
        <f t="shared" si="23"/>
        <v>Prof22</v>
      </c>
      <c r="H341" s="6" t="str" cm="1">
        <f t="array" ref="H341">choice(Referentiel!A:A,1,Settings!$B$16)</f>
        <v>Architecture Intérieure</v>
      </c>
      <c r="I341" s="6" t="str" cm="1">
        <f t="array" ref="I341">choice(Referentiel!B:B,1,Settings!$B$16)</f>
        <v>4ème année Design Vêtement S1</v>
      </c>
      <c r="J341" s="6" t="str" cm="1">
        <f t="array" ref="J341">choice(Referentiel!D:D,1,Settings!$B$16)</f>
        <v>M1</v>
      </c>
      <c r="K341" s="6" t="str" cm="1">
        <f t="array" ref="K341">choice(Professeurs!B:B,1,Settings!$B$16)</f>
        <v>Prof22</v>
      </c>
      <c r="L341" s="5" t="str" cm="1">
        <f t="array" ref="L341">choice(Referentiel!C:C,1,Settings!$B$16)</f>
        <v/>
      </c>
      <c r="M341" s="5" t="str" cm="1">
        <f t="array" ref="M341">choice(Referentiel!E:E,1,Settings!$B$16)</f>
        <v/>
      </c>
      <c r="N341" s="5" t="str" cm="1">
        <f t="array" ref="N341">choice(Settings!K:K,1,Settings!$B$16)</f>
        <v/>
      </c>
      <c r="P341" s="5">
        <f t="shared" si="24"/>
        <v>3</v>
      </c>
    </row>
    <row r="342" spans="1:16" ht="15.75" customHeight="1" x14ac:dyDescent="0.25">
      <c r="A342" s="6" t="s">
        <v>694</v>
      </c>
      <c r="B342" s="6" cm="1">
        <f t="array" ref="B342">alea_int(Settings!$B$10,1,Settings!$B$16)</f>
        <v>1</v>
      </c>
      <c r="C342" s="8">
        <v>46023</v>
      </c>
      <c r="D342" s="8">
        <f t="shared" si="21"/>
        <v>46387</v>
      </c>
      <c r="E342" s="6" t="str" cm="1">
        <f t="array" ref="E342">choice(Groupes!A:A,1,Settings!$B$16)</f>
        <v>G29</v>
      </c>
      <c r="F342" s="6" t="str">
        <f t="shared" si="22"/>
        <v>G29</v>
      </c>
      <c r="G342" s="6" t="str">
        <f t="shared" si="23"/>
        <v>Prof5</v>
      </c>
      <c r="H342" s="6" t="str" cm="1">
        <f t="array" ref="H342">choice(Referentiel!A:A,1,Settings!$B$16)</f>
        <v>6ème ANNÉE STAGE</v>
      </c>
      <c r="I342" s="6" t="str" cm="1">
        <f t="array" ref="I342">choice(Referentiel!B:B,1,Settings!$B$16)</f>
        <v>4ème année Scénographie S2</v>
      </c>
      <c r="J342" s="6" t="str" cm="1">
        <f t="array" ref="J342">choice(Referentiel!D:D,1,Settings!$B$16)</f>
        <v>M1</v>
      </c>
      <c r="K342" s="6" t="str" cm="1">
        <f t="array" ref="K342">choice(Professeurs!B:B,1,Settings!$B$16)</f>
        <v>Prof5</v>
      </c>
      <c r="L342" s="5" t="str" cm="1">
        <f t="array" ref="L342">choice(Referentiel!C:C,1,Settings!$B$16)</f>
        <v/>
      </c>
      <c r="M342" s="5" t="str" cm="1">
        <f t="array" ref="M342">choice(Referentiel!E:E,1,Settings!$B$16)</f>
        <v/>
      </c>
      <c r="N342" s="5" t="str" cm="1">
        <f t="array" ref="N342">choice(Settings!K:K,1,Settings!$B$16)</f>
        <v/>
      </c>
      <c r="P342" s="5">
        <f t="shared" si="24"/>
        <v>1</v>
      </c>
    </row>
    <row r="343" spans="1:16" ht="15.75" customHeight="1" x14ac:dyDescent="0.25">
      <c r="A343" s="6" t="s">
        <v>695</v>
      </c>
      <c r="B343" s="6" cm="1">
        <f t="array" ref="B343">alea_int(Settings!$B$10,1,Settings!$B$16)</f>
        <v>2</v>
      </c>
      <c r="C343" s="8">
        <v>46023</v>
      </c>
      <c r="D343" s="8">
        <f t="shared" si="21"/>
        <v>46387</v>
      </c>
      <c r="E343" s="6" t="str" cm="1">
        <f t="array" ref="E343">choice(Groupes!A:A,1,Settings!$B$16)</f>
        <v>G26</v>
      </c>
      <c r="F343" s="6" t="str">
        <f t="shared" si="22"/>
        <v>G26</v>
      </c>
      <c r="G343" s="6" t="str">
        <f t="shared" si="23"/>
        <v>Prof21</v>
      </c>
      <c r="H343" s="6" t="str" cm="1">
        <f t="array" ref="H343">choice(Referentiel!A:A,1,Settings!$B$16)</f>
        <v>Gr SPATIAL MEDIA</v>
      </c>
      <c r="I343" s="6" t="str" cm="1">
        <f t="array" ref="I343">choice(Referentiel!B:B,1,Settings!$B$16)</f>
        <v>4ème année Design Textile et Matière S2</v>
      </c>
      <c r="J343" s="6" t="str" cm="1">
        <f t="array" ref="J343">choice(Referentiel!D:D,1,Settings!$B$16)</f>
        <v>L3</v>
      </c>
      <c r="K343" s="6" t="str" cm="1">
        <f t="array" ref="K343">choice(Professeurs!B:B,1,Settings!$B$16)</f>
        <v>Prof21</v>
      </c>
      <c r="L343" s="5" t="str" cm="1">
        <f t="array" ref="L343">choice(Referentiel!C:C,1,Settings!$B$16)</f>
        <v/>
      </c>
      <c r="M343" s="5" t="str" cm="1">
        <f t="array" ref="M343">choice(Referentiel!E:E,1,Settings!$B$16)</f>
        <v/>
      </c>
      <c r="N343" s="5" t="str" cm="1">
        <f t="array" ref="N343">choice(Settings!K:K,1,Settings!$B$16)</f>
        <v/>
      </c>
      <c r="P343" s="5">
        <f t="shared" si="24"/>
        <v>2</v>
      </c>
    </row>
    <row r="344" spans="1:16" ht="15.75" customHeight="1" x14ac:dyDescent="0.25">
      <c r="A344" s="6" t="s">
        <v>696</v>
      </c>
      <c r="B344" s="6" cm="1">
        <f t="array" ref="B344">alea_int(Settings!$B$10,1,Settings!$B$16)</f>
        <v>3</v>
      </c>
      <c r="C344" s="8">
        <v>46023</v>
      </c>
      <c r="D344" s="8">
        <f t="shared" si="21"/>
        <v>46387</v>
      </c>
      <c r="E344" s="6" t="str" cm="1">
        <f t="array" ref="E344">choice(Groupes!A:A,1,Settings!$B$16)</f>
        <v>G20</v>
      </c>
      <c r="F344" s="6" t="str">
        <f t="shared" si="22"/>
        <v>G20</v>
      </c>
      <c r="G344" s="6" t="str">
        <f t="shared" si="23"/>
        <v>Prof27</v>
      </c>
      <c r="H344" s="6" t="str" cm="1">
        <f t="array" ref="H344">choice(Referentiel!A:A,1,Settings!$B$16)</f>
        <v>Design des mondes forestiers</v>
      </c>
      <c r="I344" s="6" t="str" cm="1">
        <f t="array" ref="I344">choice(Referentiel!B:B,1,Settings!$B$16)</f>
        <v>2ème année Cinéma d'Animation S2</v>
      </c>
      <c r="J344" s="6" t="str" cm="1">
        <f t="array" ref="J344">choice(Referentiel!D:D,1,Settings!$B$16)</f>
        <v>L1</v>
      </c>
      <c r="K344" s="6" t="str" cm="1">
        <f t="array" ref="K344">choice(Professeurs!B:B,1,Settings!$B$16)</f>
        <v>Prof27</v>
      </c>
      <c r="L344" s="5" t="str" cm="1">
        <f t="array" ref="L344">choice(Referentiel!C:C,1,Settings!$B$16)</f>
        <v/>
      </c>
      <c r="M344" s="5" t="str" cm="1">
        <f t="array" ref="M344">choice(Referentiel!E:E,1,Settings!$B$16)</f>
        <v/>
      </c>
      <c r="N344" s="5" t="str" cm="1">
        <f t="array" ref="N344">choice(Settings!K:K,1,Settings!$B$16)</f>
        <v/>
      </c>
      <c r="P344" s="5">
        <f t="shared" si="24"/>
        <v>3</v>
      </c>
    </row>
    <row r="345" spans="1:16" ht="15.75" customHeight="1" x14ac:dyDescent="0.25">
      <c r="A345" s="6" t="s">
        <v>697</v>
      </c>
      <c r="B345" s="6" cm="1">
        <f t="array" ref="B345">alea_int(Settings!$B$10,1,Settings!$B$16)</f>
        <v>2</v>
      </c>
      <c r="C345" s="8">
        <v>46023</v>
      </c>
      <c r="D345" s="8">
        <f t="shared" si="21"/>
        <v>46387</v>
      </c>
      <c r="E345" s="6" t="str" cm="1">
        <f t="array" ref="E345">choice(Groupes!A:A,1,Settings!$B$16)</f>
        <v>G1</v>
      </c>
      <c r="F345" s="6" t="str">
        <f t="shared" si="22"/>
        <v>G1</v>
      </c>
      <c r="G345" s="6" t="str">
        <f t="shared" si="23"/>
        <v>Prof48</v>
      </c>
      <c r="H345" s="6" t="str" cm="1">
        <f t="array" ref="H345">choice(Referentiel!A:A,1,Settings!$B$16)</f>
        <v>Gr ART, DESIGN, SOCIETE</v>
      </c>
      <c r="I345" s="6" t="str" cm="1">
        <f t="array" ref="I345">choice(Referentiel!B:B,1,Settings!$B$16)</f>
        <v>4ème année Photo / Vidéo S2</v>
      </c>
      <c r="J345" s="6" t="str" cm="1">
        <f t="array" ref="J345">choice(Referentiel!D:D,1,Settings!$B$16)</f>
        <v>M2</v>
      </c>
      <c r="K345" s="6" t="str" cm="1">
        <f t="array" ref="K345">choice(Professeurs!B:B,1,Settings!$B$16)</f>
        <v>Prof48</v>
      </c>
      <c r="L345" s="5" t="str" cm="1">
        <f t="array" ref="L345">choice(Referentiel!C:C,1,Settings!$B$16)</f>
        <v/>
      </c>
      <c r="M345" s="5" t="str" cm="1">
        <f t="array" ref="M345">choice(Referentiel!E:E,1,Settings!$B$16)</f>
        <v/>
      </c>
      <c r="N345" s="5" t="str" cm="1">
        <f t="array" ref="N345">choice(Settings!K:K,1,Settings!$B$16)</f>
        <v/>
      </c>
      <c r="P345" s="5">
        <f t="shared" si="24"/>
        <v>2</v>
      </c>
    </row>
    <row r="346" spans="1:16" ht="15.75" customHeight="1" x14ac:dyDescent="0.25">
      <c r="A346" s="6" t="s">
        <v>698</v>
      </c>
      <c r="B346" s="6" cm="1">
        <f t="array" ref="B346">alea_int(Settings!$B$10,1,Settings!$B$16)</f>
        <v>3</v>
      </c>
      <c r="C346" s="8">
        <v>46023</v>
      </c>
      <c r="D346" s="8">
        <f t="shared" si="21"/>
        <v>46387</v>
      </c>
      <c r="E346" s="6" t="str" cm="1">
        <f t="array" ref="E346">choice(Groupes!A:A,1,Settings!$B$16)</f>
        <v>G28</v>
      </c>
      <c r="F346" s="6" t="str">
        <f t="shared" si="22"/>
        <v>G28</v>
      </c>
      <c r="G346" s="6" t="str">
        <f t="shared" si="23"/>
        <v>Prof23</v>
      </c>
      <c r="H346" s="6" t="str" cm="1">
        <f t="array" ref="H346">choice(Referentiel!A:A,1,Settings!$B$16)</f>
        <v>1ère année Groupe 4</v>
      </c>
      <c r="I346" s="6" t="str" cm="1">
        <f t="array" ref="I346">choice(Referentiel!B:B,1,Settings!$B$16)</f>
        <v>5ème année Cinéma d'Animation S2</v>
      </c>
      <c r="J346" s="6" t="str" cm="1">
        <f t="array" ref="J346">choice(Referentiel!D:D,1,Settings!$B$16)</f>
        <v>L2</v>
      </c>
      <c r="K346" s="6" t="str" cm="1">
        <f t="array" ref="K346">choice(Professeurs!B:B,1,Settings!$B$16)</f>
        <v>Prof23</v>
      </c>
      <c r="L346" s="5" t="str" cm="1">
        <f t="array" ref="L346">choice(Referentiel!C:C,1,Settings!$B$16)</f>
        <v/>
      </c>
      <c r="M346" s="5" t="str" cm="1">
        <f t="array" ref="M346">choice(Referentiel!E:E,1,Settings!$B$16)</f>
        <v/>
      </c>
      <c r="N346" s="5" t="str" cm="1">
        <f t="array" ref="N346">choice(Settings!K:K,1,Settings!$B$16)</f>
        <v>semaine</v>
      </c>
      <c r="P346" s="5">
        <f t="shared" si="24"/>
        <v>5</v>
      </c>
    </row>
    <row r="347" spans="1:16" ht="15.75" customHeight="1" x14ac:dyDescent="0.25">
      <c r="A347" s="6" t="s">
        <v>699</v>
      </c>
      <c r="B347" s="6" cm="1">
        <f t="array" ref="B347">alea_int(Settings!$B$10,1,Settings!$B$16)</f>
        <v>1</v>
      </c>
      <c r="C347" s="8">
        <v>46023</v>
      </c>
      <c r="D347" s="8">
        <f t="shared" si="21"/>
        <v>46387</v>
      </c>
      <c r="E347" s="6" t="str" cm="1">
        <f t="array" ref="E347">choice(Groupes!A:A,1,Settings!$B$16)</f>
        <v>G1</v>
      </c>
      <c r="F347" s="6" t="str">
        <f t="shared" si="22"/>
        <v>G1</v>
      </c>
      <c r="G347" s="6" t="str">
        <f t="shared" si="23"/>
        <v>Prof11</v>
      </c>
      <c r="H347" s="6" t="str" cm="1">
        <f t="array" ref="H347">choice(Referentiel!A:A,1,Settings!$B$16)</f>
        <v>Design des mondes littoraux</v>
      </c>
      <c r="I347" s="6" t="str" cm="1">
        <f t="array" ref="I347">choice(Referentiel!B:B,1,Settings!$B$16)</f>
        <v>4ème année Design Textile et Matière S2</v>
      </c>
      <c r="J347" s="6" t="str" cm="1">
        <f t="array" ref="J347">choice(Referentiel!D:D,1,Settings!$B$16)</f>
        <v>L1</v>
      </c>
      <c r="K347" s="6" t="str" cm="1">
        <f t="array" ref="K347">choice(Professeurs!B:B,1,Settings!$B$16)</f>
        <v>Prof11</v>
      </c>
      <c r="L347" s="5" t="str" cm="1">
        <f t="array" ref="L347">choice(Referentiel!C:C,1,Settings!$B$16)</f>
        <v/>
      </c>
      <c r="M347" s="5" t="str" cm="1">
        <f t="array" ref="M347">choice(Referentiel!E:E,1,Settings!$B$16)</f>
        <v/>
      </c>
      <c r="N347" s="5" t="str" cm="1">
        <f t="array" ref="N347">choice(Settings!K:K,1,Settings!$B$16)</f>
        <v>vendredi am</v>
      </c>
      <c r="P347" s="5">
        <f t="shared" si="24"/>
        <v>3</v>
      </c>
    </row>
    <row r="348" spans="1:16" ht="15.75" customHeight="1" x14ac:dyDescent="0.25">
      <c r="A348" s="6" t="s">
        <v>700</v>
      </c>
      <c r="B348" s="6" cm="1">
        <f t="array" ref="B348">alea_int(Settings!$B$10,1,Settings!$B$16)</f>
        <v>3</v>
      </c>
      <c r="C348" s="8">
        <v>46023</v>
      </c>
      <c r="D348" s="8">
        <f t="shared" si="21"/>
        <v>46387</v>
      </c>
      <c r="E348" s="6" t="str" cm="1">
        <f t="array" ref="E348">choice(Groupes!A:A,1,Settings!$B$16)</f>
        <v>G10</v>
      </c>
      <c r="F348" s="6" t="str">
        <f t="shared" si="22"/>
        <v>G10</v>
      </c>
      <c r="G348" s="6" t="str">
        <f t="shared" si="23"/>
        <v>Prof11</v>
      </c>
      <c r="H348" s="6" t="str" cm="1">
        <f t="array" ref="H348">choice(Referentiel!A:A,1,Settings!$B$16)</f>
        <v>Design des mondes urbains</v>
      </c>
      <c r="I348" s="6" t="str" cm="1">
        <f t="array" ref="I348">choice(Referentiel!B:B,1,Settings!$B$16)</f>
        <v>Césure S2</v>
      </c>
      <c r="J348" s="6" t="str" cm="1">
        <f t="array" ref="J348">choice(Referentiel!D:D,1,Settings!$B$16)</f>
        <v>L2</v>
      </c>
      <c r="K348" s="6" t="str" cm="1">
        <f t="array" ref="K348">choice(Professeurs!B:B,1,Settings!$B$16)</f>
        <v>Prof11</v>
      </c>
      <c r="L348" s="5" t="str" cm="1">
        <f t="array" ref="L348">choice(Referentiel!C:C,1,Settings!$B$16)</f>
        <v/>
      </c>
      <c r="M348" s="5" t="str" cm="1">
        <f t="array" ref="M348">choice(Referentiel!E:E,1,Settings!$B$16)</f>
        <v/>
      </c>
      <c r="N348" s="5" t="str" cm="1">
        <f t="array" ref="N348">choice(Settings!K:K,1,Settings!$B$16)</f>
        <v/>
      </c>
      <c r="P348" s="5">
        <f t="shared" si="24"/>
        <v>3</v>
      </c>
    </row>
    <row r="349" spans="1:16" ht="15.75" customHeight="1" x14ac:dyDescent="0.25">
      <c r="A349" s="6" t="s">
        <v>701</v>
      </c>
      <c r="B349" s="6" cm="1">
        <f t="array" ref="B349">alea_int(Settings!$B$10,1,Settings!$B$16)</f>
        <v>1</v>
      </c>
      <c r="C349" s="8">
        <v>46023</v>
      </c>
      <c r="D349" s="8">
        <f t="shared" si="21"/>
        <v>46387</v>
      </c>
      <c r="E349" s="6" t="str" cm="1">
        <f t="array" ref="E349">choice(Groupes!A:A,1,Settings!$B$16)</f>
        <v>G28</v>
      </c>
      <c r="F349" s="6" t="str">
        <f t="shared" si="22"/>
        <v>G28</v>
      </c>
      <c r="G349" s="6" t="str">
        <f t="shared" si="23"/>
        <v>Prof8</v>
      </c>
      <c r="H349" s="6" t="str" cm="1">
        <f t="array" ref="H349">choice(Referentiel!A:A,1,Settings!$B$16)</f>
        <v>6ème année atelier</v>
      </c>
      <c r="I349" s="6" t="str" cm="1">
        <f t="array" ref="I349">choice(Referentiel!B:B,1,Settings!$B$16)</f>
        <v>3ème année Image Imprimée S2</v>
      </c>
      <c r="J349" s="6" t="str" cm="1">
        <f t="array" ref="J349">choice(Referentiel!D:D,1,Settings!$B$16)</f>
        <v>M2</v>
      </c>
      <c r="K349" s="6" t="str" cm="1">
        <f t="array" ref="K349">choice(Professeurs!B:B,1,Settings!$B$16)</f>
        <v>Prof8</v>
      </c>
      <c r="L349" s="5" t="str" cm="1">
        <f t="array" ref="L349">choice(Referentiel!C:C,1,Settings!$B$16)</f>
        <v/>
      </c>
      <c r="M349" s="5" t="str" cm="1">
        <f t="array" ref="M349">choice(Referentiel!E:E,1,Settings!$B$16)</f>
        <v/>
      </c>
      <c r="N349" s="5" t="str" cm="1">
        <f t="array" ref="N349">choice(Settings!K:K,1,Settings!$B$16)</f>
        <v/>
      </c>
      <c r="P349" s="5">
        <f t="shared" si="24"/>
        <v>1</v>
      </c>
    </row>
    <row r="350" spans="1:16" ht="15.75" customHeight="1" x14ac:dyDescent="0.25">
      <c r="A350" s="6" t="s">
        <v>702</v>
      </c>
      <c r="B350" s="6" cm="1">
        <f t="array" ref="B350">alea_int(Settings!$B$10,1,Settings!$B$16)</f>
        <v>1</v>
      </c>
      <c r="C350" s="8">
        <v>46023</v>
      </c>
      <c r="D350" s="8">
        <f t="shared" si="21"/>
        <v>46387</v>
      </c>
      <c r="E350" s="6" t="str" cm="1">
        <f t="array" ref="E350">choice(Groupes!A:A,1,Settings!$B$16)</f>
        <v>G18</v>
      </c>
      <c r="F350" s="6" t="str">
        <f t="shared" si="22"/>
        <v>G18</v>
      </c>
      <c r="G350" s="6" t="str">
        <f t="shared" si="23"/>
        <v>Prof22</v>
      </c>
      <c r="H350" s="6" t="str" cm="1">
        <f t="array" ref="H350">choice(Referentiel!A:A,1,Settings!$B$16)</f>
        <v>Cinéma d'Animation</v>
      </c>
      <c r="I350" s="6" t="str" cm="1">
        <f t="array" ref="I350">choice(Referentiel!B:B,1,Settings!$B$16)</f>
        <v>2ème année Architecture Intérieure S1</v>
      </c>
      <c r="J350" s="6" t="str" cm="1">
        <f t="array" ref="J350">choice(Referentiel!D:D,1,Settings!$B$16)</f>
        <v>L1</v>
      </c>
      <c r="K350" s="6" t="str" cm="1">
        <f t="array" ref="K350">choice(Professeurs!B:B,1,Settings!$B$16)</f>
        <v>Prof22</v>
      </c>
      <c r="L350" s="5" t="str" cm="1">
        <f t="array" ref="L350">choice(Referentiel!C:C,1,Settings!$B$16)</f>
        <v/>
      </c>
      <c r="M350" s="5" t="str" cm="1">
        <f t="array" ref="M350">choice(Referentiel!E:E,1,Settings!$B$16)</f>
        <v/>
      </c>
      <c r="N350" s="5" t="str" cm="1">
        <f t="array" ref="N350">choice(Settings!K:K,1,Settings!$B$16)</f>
        <v>semaine</v>
      </c>
      <c r="P350" s="5">
        <f t="shared" si="24"/>
        <v>3</v>
      </c>
    </row>
    <row r="351" spans="1:16" ht="15.75" customHeight="1" x14ac:dyDescent="0.25">
      <c r="A351" s="6" t="s">
        <v>703</v>
      </c>
      <c r="B351" s="6" cm="1">
        <f t="array" ref="B351">alea_int(Settings!$B$10,1,Settings!$B$16)</f>
        <v>3</v>
      </c>
      <c r="C351" s="8">
        <v>46023</v>
      </c>
      <c r="D351" s="8">
        <f t="shared" si="21"/>
        <v>46387</v>
      </c>
      <c r="E351" s="6" t="str" cm="1">
        <f t="array" ref="E351">choice(Groupes!A:A,1,Settings!$B$16)</f>
        <v>G25</v>
      </c>
      <c r="F351" s="6" t="str">
        <f t="shared" si="22"/>
        <v>G25</v>
      </c>
      <c r="G351" s="6" t="str">
        <f t="shared" si="23"/>
        <v>Prof2</v>
      </c>
      <c r="H351" s="6" t="str" cm="1">
        <f t="array" ref="H351">choice(Referentiel!A:A,1,Settings!$B$16)</f>
        <v>Design des mondes forestiers</v>
      </c>
      <c r="I351" s="6" t="str" cm="1">
        <f t="array" ref="I351">choice(Referentiel!B:B,1,Settings!$B$16)</f>
        <v>1ère Année Groupe 1 S1</v>
      </c>
      <c r="J351" s="6" t="str" cm="1">
        <f t="array" ref="J351">choice(Referentiel!D:D,1,Settings!$B$16)</f>
        <v>L2</v>
      </c>
      <c r="K351" s="6" t="str" cm="1">
        <f t="array" ref="K351">choice(Professeurs!B:B,1,Settings!$B$16)</f>
        <v>Prof2</v>
      </c>
      <c r="L351" s="5" t="str" cm="1">
        <f t="array" ref="L351">choice(Referentiel!C:C,1,Settings!$B$16)</f>
        <v/>
      </c>
      <c r="M351" s="5" t="str" cm="1">
        <f t="array" ref="M351">choice(Referentiel!E:E,1,Settings!$B$16)</f>
        <v/>
      </c>
      <c r="N351" s="5" t="str" cm="1">
        <f t="array" ref="N351">choice(Settings!K:K,1,Settings!$B$16)</f>
        <v>jeudi pm</v>
      </c>
      <c r="P351" s="5">
        <f t="shared" si="24"/>
        <v>5</v>
      </c>
    </row>
    <row r="352" spans="1:16" ht="15.75" customHeight="1" x14ac:dyDescent="0.25">
      <c r="A352" s="6" t="s">
        <v>704</v>
      </c>
      <c r="B352" s="6" cm="1">
        <f t="array" ref="B352">alea_int(Settings!$B$10,1,Settings!$B$16)</f>
        <v>1</v>
      </c>
      <c r="C352" s="8">
        <v>46023</v>
      </c>
      <c r="D352" s="8">
        <f t="shared" si="21"/>
        <v>46387</v>
      </c>
      <c r="E352" s="6" t="str" cm="1">
        <f t="array" ref="E352">choice(Groupes!A:A,1,Settings!$B$16)</f>
        <v>G19</v>
      </c>
      <c r="F352" s="6" t="str">
        <f t="shared" si="22"/>
        <v>G19</v>
      </c>
      <c r="G352" s="6" t="str">
        <f t="shared" si="23"/>
        <v>Prof39</v>
      </c>
      <c r="H352" s="6" t="str" cm="1">
        <f t="array" ref="H352">choice(Referentiel!A:A,1,Settings!$B$16)</f>
        <v>Mode et Matière</v>
      </c>
      <c r="I352" s="6" t="str" cm="1">
        <f t="array" ref="I352">choice(Referentiel!B:B,1,Settings!$B$16)</f>
        <v>5ème année Cinéma d'Animation S2</v>
      </c>
      <c r="J352" s="6" t="str" cm="1">
        <f t="array" ref="J352">choice(Referentiel!D:D,1,Settings!$B$16)</f>
        <v>L2</v>
      </c>
      <c r="K352" s="6" t="str" cm="1">
        <f t="array" ref="K352">choice(Professeurs!B:B,1,Settings!$B$16)</f>
        <v>Prof39</v>
      </c>
      <c r="L352" s="5" t="str" cm="1">
        <f t="array" ref="L352">choice(Referentiel!C:C,1,Settings!$B$16)</f>
        <v/>
      </c>
      <c r="M352" s="5" t="str" cm="1">
        <f t="array" ref="M352">choice(Referentiel!E:E,1,Settings!$B$16)</f>
        <v/>
      </c>
      <c r="N352" s="5" t="str" cm="1">
        <f t="array" ref="N352">choice(Settings!K:K,1,Settings!$B$16)</f>
        <v/>
      </c>
      <c r="P352" s="5">
        <f t="shared" si="24"/>
        <v>1</v>
      </c>
    </row>
    <row r="353" spans="1:16" ht="15.75" customHeight="1" x14ac:dyDescent="0.25">
      <c r="A353" s="6" t="s">
        <v>705</v>
      </c>
      <c r="B353" s="6" cm="1">
        <f t="array" ref="B353">alea_int(Settings!$B$10,1,Settings!$B$16)</f>
        <v>1</v>
      </c>
      <c r="C353" s="8">
        <v>46023</v>
      </c>
      <c r="D353" s="8">
        <f t="shared" si="21"/>
        <v>46387</v>
      </c>
      <c r="E353" s="6" t="str" cm="1">
        <f t="array" ref="E353">choice(Groupes!A:A,1,Settings!$B$16)</f>
        <v>G16</v>
      </c>
      <c r="F353" s="6" t="str">
        <f t="shared" si="22"/>
        <v>G16</v>
      </c>
      <c r="G353" s="6" t="str">
        <f t="shared" si="23"/>
        <v>Prof18</v>
      </c>
      <c r="H353" s="6" t="str" cm="1">
        <f t="array" ref="H353">choice(Referentiel!A:A,1,Settings!$B$16)</f>
        <v>6ème ANNÉE STAGE</v>
      </c>
      <c r="I353" s="6" t="str" cm="1">
        <f t="array" ref="I353">choice(Referentiel!B:B,1,Settings!$B$16)</f>
        <v>5ème année Image Imprimée S1</v>
      </c>
      <c r="J353" s="6" t="str" cm="1">
        <f t="array" ref="J353">choice(Referentiel!D:D,1,Settings!$B$16)</f>
        <v>M2</v>
      </c>
      <c r="K353" s="6" t="str" cm="1">
        <f t="array" ref="K353">choice(Professeurs!B:B,1,Settings!$B$16)</f>
        <v>Prof18</v>
      </c>
      <c r="L353" s="5" t="str" cm="1">
        <f t="array" ref="L353">choice(Referentiel!C:C,1,Settings!$B$16)</f>
        <v/>
      </c>
      <c r="M353" s="5" t="str" cm="1">
        <f t="array" ref="M353">choice(Referentiel!E:E,1,Settings!$B$16)</f>
        <v/>
      </c>
      <c r="N353" s="5" t="str" cm="1">
        <f t="array" ref="N353">choice(Settings!K:K,1,Settings!$B$16)</f>
        <v/>
      </c>
      <c r="P353" s="5">
        <f t="shared" si="24"/>
        <v>1</v>
      </c>
    </row>
    <row r="354" spans="1:16" ht="15.75" customHeight="1" x14ac:dyDescent="0.25">
      <c r="A354" s="6" t="s">
        <v>706</v>
      </c>
      <c r="B354" s="6" cm="1">
        <f t="array" ref="B354">alea_int(Settings!$B$10,1,Settings!$B$16)</f>
        <v>1</v>
      </c>
      <c r="C354" s="8">
        <v>46023</v>
      </c>
      <c r="D354" s="8">
        <f t="shared" si="21"/>
        <v>46387</v>
      </c>
      <c r="E354" s="6" t="str" cm="1">
        <f t="array" ref="E354">choice(Groupes!A:A,1,Settings!$B$16)</f>
        <v>G28</v>
      </c>
      <c r="F354" s="6" t="str">
        <f t="shared" si="22"/>
        <v>G28</v>
      </c>
      <c r="G354" s="6" t="str">
        <f t="shared" si="23"/>
        <v>Prof33</v>
      </c>
      <c r="H354" s="6" t="str" cm="1">
        <f t="array" ref="H354">choice(Referentiel!A:A,1,Settings!$B$16)</f>
        <v>Design des mondes ruraux</v>
      </c>
      <c r="I354" s="6" t="str" cm="1">
        <f t="array" ref="I354">choice(Referentiel!B:B,1,Settings!$B$16)</f>
        <v>3ème année Architecture Intérieure S2</v>
      </c>
      <c r="J354" s="6" t="str" cm="1">
        <f t="array" ref="J354">choice(Referentiel!D:D,1,Settings!$B$16)</f>
        <v>L3</v>
      </c>
      <c r="K354" s="6" t="str" cm="1">
        <f t="array" ref="K354">choice(Professeurs!B:B,1,Settings!$B$16)</f>
        <v>Prof33</v>
      </c>
      <c r="L354" s="5" t="str" cm="1">
        <f t="array" ref="L354">choice(Referentiel!C:C,1,Settings!$B$16)</f>
        <v/>
      </c>
      <c r="M354" s="5" t="str" cm="1">
        <f t="array" ref="M354">choice(Referentiel!E:E,1,Settings!$B$16)</f>
        <v/>
      </c>
      <c r="N354" s="5" t="str" cm="1">
        <f t="array" ref="N354">choice(Settings!K:K,1,Settings!$B$16)</f>
        <v/>
      </c>
      <c r="P354" s="5">
        <f t="shared" si="24"/>
        <v>1</v>
      </c>
    </row>
    <row r="355" spans="1:16" ht="15.75" customHeight="1" x14ac:dyDescent="0.25">
      <c r="A355" s="6" t="s">
        <v>707</v>
      </c>
      <c r="B355" s="6" cm="1">
        <f t="array" ref="B355">alea_int(Settings!$B$10,1,Settings!$B$16)</f>
        <v>2</v>
      </c>
      <c r="C355" s="8">
        <v>46023</v>
      </c>
      <c r="D355" s="8">
        <f t="shared" si="21"/>
        <v>46387</v>
      </c>
      <c r="E355" s="6" t="str" cm="1">
        <f t="array" ref="E355">choice(Groupes!A:A,1,Settings!$B$16)</f>
        <v>G16</v>
      </c>
      <c r="F355" s="6" t="str">
        <f t="shared" si="22"/>
        <v>G16</v>
      </c>
      <c r="G355" s="6" t="str">
        <f t="shared" si="23"/>
        <v>Prof43</v>
      </c>
      <c r="H355" s="6" t="str" cm="1">
        <f t="array" ref="H355">choice(Referentiel!A:A,1,Settings!$B$16)</f>
        <v>Design des mondes forestiers</v>
      </c>
      <c r="I355" s="6" t="str" cm="1">
        <f t="array" ref="I355">choice(Referentiel!B:B,1,Settings!$B$16)</f>
        <v>1ère Année Groupe 4 S1</v>
      </c>
      <c r="J355" s="6" t="str" cm="1">
        <f t="array" ref="J355">choice(Referentiel!D:D,1,Settings!$B$16)</f>
        <v>L1</v>
      </c>
      <c r="K355" s="6" t="str" cm="1">
        <f t="array" ref="K355">choice(Professeurs!B:B,1,Settings!$B$16)</f>
        <v>Prof43</v>
      </c>
      <c r="L355" s="5" t="str" cm="1">
        <f t="array" ref="L355">choice(Referentiel!C:C,1,Settings!$B$16)</f>
        <v/>
      </c>
      <c r="M355" s="5" t="str" cm="1">
        <f t="array" ref="M355">choice(Referentiel!E:E,1,Settings!$B$16)</f>
        <v/>
      </c>
      <c r="N355" s="5" t="str" cm="1">
        <f t="array" ref="N355">choice(Settings!K:K,1,Settings!$B$16)</f>
        <v>jeudi am</v>
      </c>
      <c r="P355" s="5">
        <f t="shared" si="24"/>
        <v>4</v>
      </c>
    </row>
    <row r="356" spans="1:16" ht="15.75" customHeight="1" x14ac:dyDescent="0.25">
      <c r="A356" s="6" t="s">
        <v>708</v>
      </c>
      <c r="B356" s="6" cm="1">
        <f t="array" ref="B356">alea_int(Settings!$B$10,1,Settings!$B$16)</f>
        <v>1</v>
      </c>
      <c r="C356" s="8">
        <v>46023</v>
      </c>
      <c r="D356" s="8">
        <f t="shared" si="21"/>
        <v>46387</v>
      </c>
      <c r="E356" s="6" t="str" cm="1">
        <f t="array" ref="E356">choice(Groupes!A:A,1,Settings!$B$16)</f>
        <v>G17</v>
      </c>
      <c r="F356" s="6" t="str">
        <f t="shared" si="22"/>
        <v>G17</v>
      </c>
      <c r="G356" s="6" t="str">
        <f t="shared" si="23"/>
        <v>Prof30</v>
      </c>
      <c r="H356" s="6" t="str" cm="1">
        <f t="array" ref="H356">choice(Referentiel!A:A,1,Settings!$B$16)</f>
        <v>Scénographie</v>
      </c>
      <c r="I356" s="6" t="str" cm="1">
        <f t="array" ref="I356">choice(Referentiel!B:B,1,Settings!$B$16)</f>
        <v>3ème année Cinéma d'Animation S1</v>
      </c>
      <c r="J356" s="6" t="str" cm="1">
        <f t="array" ref="J356">choice(Referentiel!D:D,1,Settings!$B$16)</f>
        <v>L3</v>
      </c>
      <c r="K356" s="6" t="str" cm="1">
        <f t="array" ref="K356">choice(Professeurs!B:B,1,Settings!$B$16)</f>
        <v>Prof30</v>
      </c>
      <c r="L356" s="5" t="str" cm="1">
        <f t="array" ref="L356">choice(Referentiel!C:C,1,Settings!$B$16)</f>
        <v/>
      </c>
      <c r="M356" s="5" t="str" cm="1">
        <f t="array" ref="M356">choice(Referentiel!E:E,1,Settings!$B$16)</f>
        <v/>
      </c>
      <c r="N356" s="5" t="str" cm="1">
        <f t="array" ref="N356">choice(Settings!K:K,1,Settings!$B$16)</f>
        <v/>
      </c>
      <c r="P356" s="5">
        <f t="shared" si="24"/>
        <v>1</v>
      </c>
    </row>
    <row r="357" spans="1:16" ht="15.75" customHeight="1" x14ac:dyDescent="0.25">
      <c r="A357" s="6" t="s">
        <v>709</v>
      </c>
      <c r="B357" s="6" cm="1">
        <f t="array" ref="B357">alea_int(Settings!$B$10,1,Settings!$B$16)</f>
        <v>3</v>
      </c>
      <c r="C357" s="8">
        <v>46023</v>
      </c>
      <c r="D357" s="8">
        <f t="shared" si="21"/>
        <v>46387</v>
      </c>
      <c r="E357" s="6" t="str" cm="1">
        <f t="array" ref="E357">choice(Groupes!A:A,1,Settings!$B$16)</f>
        <v>G10</v>
      </c>
      <c r="F357" s="6" t="str">
        <f t="shared" si="22"/>
        <v>G10</v>
      </c>
      <c r="G357" s="6" t="str">
        <f t="shared" si="23"/>
        <v>Prof48</v>
      </c>
      <c r="H357" s="6" t="str" cm="1">
        <f t="array" ref="H357">choice(Referentiel!A:A,1,Settings!$B$16)</f>
        <v>6ème année atelier</v>
      </c>
      <c r="I357" s="6" t="str" cm="1">
        <f t="array" ref="I357">choice(Referentiel!B:B,1,Settings!$B$16)</f>
        <v>5ème année Design Vêtement S1</v>
      </c>
      <c r="J357" s="6" t="str" cm="1">
        <f t="array" ref="J357">choice(Referentiel!D:D,1,Settings!$B$16)</f>
        <v>L1</v>
      </c>
      <c r="K357" s="6" t="str" cm="1">
        <f t="array" ref="K357">choice(Professeurs!B:B,1,Settings!$B$16)</f>
        <v>Prof48</v>
      </c>
      <c r="L357" s="5" t="str" cm="1">
        <f t="array" ref="L357">choice(Referentiel!C:C,1,Settings!$B$16)</f>
        <v/>
      </c>
      <c r="M357" s="5" t="str" cm="1">
        <f t="array" ref="M357">choice(Referentiel!E:E,1,Settings!$B$16)</f>
        <v/>
      </c>
      <c r="N357" s="5" t="str" cm="1">
        <f t="array" ref="N357">choice(Settings!K:K,1,Settings!$B$16)</f>
        <v>lundi am</v>
      </c>
      <c r="P357" s="5">
        <f t="shared" si="24"/>
        <v>5</v>
      </c>
    </row>
    <row r="358" spans="1:16" ht="15.75" customHeight="1" x14ac:dyDescent="0.25">
      <c r="A358" s="6" t="s">
        <v>710</v>
      </c>
      <c r="B358" s="6" cm="1">
        <f t="array" ref="B358">alea_int(Settings!$B$10,1,Settings!$B$16)</f>
        <v>3</v>
      </c>
      <c r="C358" s="8">
        <v>46023</v>
      </c>
      <c r="D358" s="8">
        <f t="shared" si="21"/>
        <v>46387</v>
      </c>
      <c r="E358" s="6" t="str" cm="1">
        <f t="array" ref="E358">choice(Groupes!A:A,1,Settings!$B$16)</f>
        <v>G27</v>
      </c>
      <c r="F358" s="6" t="str">
        <f t="shared" si="22"/>
        <v>G27</v>
      </c>
      <c r="G358" s="6" t="str">
        <f t="shared" si="23"/>
        <v>Prof39</v>
      </c>
      <c r="H358" s="6" t="str" cm="1">
        <f t="array" ref="H358">choice(Referentiel!A:A,1,Settings!$B$16)</f>
        <v>Design Textile et Matière</v>
      </c>
      <c r="I358" s="6" t="str" cm="1">
        <f t="array" ref="I358">choice(Referentiel!B:B,1,Settings!$B$16)</f>
        <v>3ème année Design Textile et Matière S2</v>
      </c>
      <c r="J358" s="6" t="str" cm="1">
        <f t="array" ref="J358">choice(Referentiel!D:D,1,Settings!$B$16)</f>
        <v>M2</v>
      </c>
      <c r="K358" s="6" t="str" cm="1">
        <f t="array" ref="K358">choice(Professeurs!B:B,1,Settings!$B$16)</f>
        <v>Prof39</v>
      </c>
      <c r="L358" s="5" t="str" cm="1">
        <f t="array" ref="L358">choice(Referentiel!C:C,1,Settings!$B$16)</f>
        <v/>
      </c>
      <c r="M358" s="5" t="str" cm="1">
        <f t="array" ref="M358">choice(Referentiel!E:E,1,Settings!$B$16)</f>
        <v/>
      </c>
      <c r="N358" s="5" t="str" cm="1">
        <f t="array" ref="N358">choice(Settings!K:K,1,Settings!$B$16)</f>
        <v>mercredi ap</v>
      </c>
      <c r="P358" s="5">
        <f t="shared" si="24"/>
        <v>5</v>
      </c>
    </row>
    <row r="359" spans="1:16" ht="15.75" customHeight="1" x14ac:dyDescent="0.25">
      <c r="A359" s="6" t="s">
        <v>711</v>
      </c>
      <c r="B359" s="6" cm="1">
        <f t="array" ref="B359">alea_int(Settings!$B$10,1,Settings!$B$16)</f>
        <v>2</v>
      </c>
      <c r="C359" s="8">
        <v>46023</v>
      </c>
      <c r="D359" s="8">
        <f t="shared" si="21"/>
        <v>46387</v>
      </c>
      <c r="E359" s="6" t="str" cm="1">
        <f t="array" ref="E359">choice(Groupes!A:A,1,Settings!$B$16)</f>
        <v>G10</v>
      </c>
      <c r="F359" s="6" t="str">
        <f t="shared" si="22"/>
        <v>G10</v>
      </c>
      <c r="G359" s="6" t="str">
        <f t="shared" si="23"/>
        <v>Prof1</v>
      </c>
      <c r="H359" s="6" t="str" cm="1">
        <f t="array" ref="H359">choice(Referentiel!A:A,1,Settings!$B$16)</f>
        <v>1ère année Groupe 3</v>
      </c>
      <c r="I359" s="6" t="str" cm="1">
        <f t="array" ref="I359">choice(Referentiel!B:B,1,Settings!$B$16)</f>
        <v>1ère Année Groupe 1 S1</v>
      </c>
      <c r="J359" s="6" t="str" cm="1">
        <f t="array" ref="J359">choice(Referentiel!D:D,1,Settings!$B$16)</f>
        <v>M2</v>
      </c>
      <c r="K359" s="6" t="str" cm="1">
        <f t="array" ref="K359">choice(Professeurs!B:B,1,Settings!$B$16)</f>
        <v>Prof1</v>
      </c>
      <c r="L359" s="5" t="str" cm="1">
        <f t="array" ref="L359">choice(Referentiel!C:C,1,Settings!$B$16)</f>
        <v/>
      </c>
      <c r="M359" s="5" t="str" cm="1">
        <f t="array" ref="M359">choice(Referentiel!E:E,1,Settings!$B$16)</f>
        <v/>
      </c>
      <c r="N359" s="5" t="str" cm="1">
        <f t="array" ref="N359">choice(Settings!K:K,1,Settings!$B$16)</f>
        <v/>
      </c>
      <c r="P359" s="5">
        <f t="shared" si="24"/>
        <v>2</v>
      </c>
    </row>
    <row r="360" spans="1:16" ht="15.75" customHeight="1" x14ac:dyDescent="0.25">
      <c r="A360" s="6" t="s">
        <v>712</v>
      </c>
      <c r="B360" s="6" cm="1">
        <f t="array" ref="B360">alea_int(Settings!$B$10,1,Settings!$B$16)</f>
        <v>1</v>
      </c>
      <c r="C360" s="8">
        <v>46023</v>
      </c>
      <c r="D360" s="8">
        <f t="shared" si="21"/>
        <v>46387</v>
      </c>
      <c r="E360" s="6" t="str" cm="1">
        <f t="array" ref="E360">choice(Groupes!A:A,1,Settings!$B$16)</f>
        <v>G15</v>
      </c>
      <c r="F360" s="6" t="str">
        <f t="shared" si="22"/>
        <v>G15</v>
      </c>
      <c r="G360" s="6" t="str">
        <f t="shared" si="23"/>
        <v>Prof55</v>
      </c>
      <c r="H360" s="6" t="str" cm="1">
        <f t="array" ref="H360">choice(Referentiel!A:A,1,Settings!$B$16)</f>
        <v>1ère année Groupe 4</v>
      </c>
      <c r="I360" s="6" t="str" cm="1">
        <f t="array" ref="I360">choice(Referentiel!B:B,1,Settings!$B$16)</f>
        <v>2ème année Scénographie S1</v>
      </c>
      <c r="J360" s="6" t="str" cm="1">
        <f t="array" ref="J360">choice(Referentiel!D:D,1,Settings!$B$16)</f>
        <v>L1</v>
      </c>
      <c r="K360" s="6" t="str" cm="1">
        <f t="array" ref="K360">choice(Professeurs!B:B,1,Settings!$B$16)</f>
        <v>Prof55</v>
      </c>
      <c r="L360" s="5" t="str" cm="1">
        <f t="array" ref="L360">choice(Referentiel!C:C,1,Settings!$B$16)</f>
        <v/>
      </c>
      <c r="M360" s="5" t="str" cm="1">
        <f t="array" ref="M360">choice(Referentiel!E:E,1,Settings!$B$16)</f>
        <v/>
      </c>
      <c r="N360" s="5" t="str" cm="1">
        <f t="array" ref="N360">choice(Settings!K:K,1,Settings!$B$16)</f>
        <v>mardi pm</v>
      </c>
      <c r="P360" s="5">
        <f t="shared" si="24"/>
        <v>3</v>
      </c>
    </row>
    <row r="361" spans="1:16" ht="15.75" customHeight="1" x14ac:dyDescent="0.25">
      <c r="A361" s="6" t="s">
        <v>713</v>
      </c>
      <c r="B361" s="6" cm="1">
        <f t="array" ref="B361">alea_int(Settings!$B$10,1,Settings!$B$16)</f>
        <v>3</v>
      </c>
      <c r="C361" s="8">
        <v>46023</v>
      </c>
      <c r="D361" s="8">
        <f t="shared" si="21"/>
        <v>46387</v>
      </c>
      <c r="E361" s="6" t="str" cm="1">
        <f t="array" ref="E361">choice(Groupes!A:A,1,Settings!$B$16)</f>
        <v>G27</v>
      </c>
      <c r="F361" s="6" t="str">
        <f t="shared" si="22"/>
        <v>G27</v>
      </c>
      <c r="G361" s="6" t="str">
        <f t="shared" si="23"/>
        <v>Prof51</v>
      </c>
      <c r="H361" s="6" t="str" cm="1">
        <f t="array" ref="H361">choice(Referentiel!A:A,1,Settings!$B$16)</f>
        <v>Architecture Intérieure</v>
      </c>
      <c r="I361" s="6" t="str" cm="1">
        <f t="array" ref="I361">choice(Referentiel!B:B,1,Settings!$B$16)</f>
        <v>4ème année Art-Espace S1</v>
      </c>
      <c r="J361" s="6" t="str" cm="1">
        <f t="array" ref="J361">choice(Referentiel!D:D,1,Settings!$B$16)</f>
        <v>L3</v>
      </c>
      <c r="K361" s="6" t="str" cm="1">
        <f t="array" ref="K361">choice(Professeurs!B:B,1,Settings!$B$16)</f>
        <v>Prof51</v>
      </c>
      <c r="L361" s="5" t="str" cm="1">
        <f t="array" ref="L361">choice(Referentiel!C:C,1,Settings!$B$16)</f>
        <v/>
      </c>
      <c r="M361" s="5" t="str" cm="1">
        <f t="array" ref="M361">choice(Referentiel!E:E,1,Settings!$B$16)</f>
        <v/>
      </c>
      <c r="N361" s="5" t="str" cm="1">
        <f t="array" ref="N361">choice(Settings!K:K,1,Settings!$B$16)</f>
        <v/>
      </c>
      <c r="P361" s="5">
        <f t="shared" si="24"/>
        <v>3</v>
      </c>
    </row>
    <row r="362" spans="1:16" ht="15.75" customHeight="1" x14ac:dyDescent="0.25">
      <c r="A362" s="6" t="s">
        <v>714</v>
      </c>
      <c r="B362" s="6" cm="1">
        <f t="array" ref="B362">alea_int(Settings!$B$10,1,Settings!$B$16)</f>
        <v>2</v>
      </c>
      <c r="C362" s="8">
        <v>46023</v>
      </c>
      <c r="D362" s="8">
        <f t="shared" si="21"/>
        <v>46387</v>
      </c>
      <c r="E362" s="6" t="str" cm="1">
        <f t="array" ref="E362">choice(Groupes!A:A,1,Settings!$B$16)</f>
        <v>G9</v>
      </c>
      <c r="F362" s="6" t="str">
        <f t="shared" si="22"/>
        <v>G9</v>
      </c>
      <c r="G362" s="6" t="str">
        <f t="shared" si="23"/>
        <v>Prof12</v>
      </c>
      <c r="H362" s="6" t="str" cm="1">
        <f t="array" ref="H362">choice(Referentiel!A:A,1,Settings!$B$16)</f>
        <v>1ère année Groupe 3</v>
      </c>
      <c r="I362" s="6" t="str" cm="1">
        <f t="array" ref="I362">choice(Referentiel!B:B,1,Settings!$B$16)</f>
        <v>2ème année Design Graphique S1</v>
      </c>
      <c r="J362" s="6" t="str" cm="1">
        <f t="array" ref="J362">choice(Referentiel!D:D,1,Settings!$B$16)</f>
        <v>M2</v>
      </c>
      <c r="K362" s="6" t="str" cm="1">
        <f t="array" ref="K362">choice(Professeurs!B:B,1,Settings!$B$16)</f>
        <v>Prof12</v>
      </c>
      <c r="L362" s="5" t="str" cm="1">
        <f t="array" ref="L362">choice(Referentiel!C:C,1,Settings!$B$16)</f>
        <v/>
      </c>
      <c r="M362" s="5" t="str" cm="1">
        <f t="array" ref="M362">choice(Referentiel!E:E,1,Settings!$B$16)</f>
        <v/>
      </c>
      <c r="N362" s="5" t="str" cm="1">
        <f t="array" ref="N362">choice(Settings!K:K,1,Settings!$B$16)</f>
        <v>jeudi pm</v>
      </c>
      <c r="P362" s="5">
        <f t="shared" si="24"/>
        <v>4</v>
      </c>
    </row>
    <row r="363" spans="1:16" ht="15.75" customHeight="1" x14ac:dyDescent="0.25">
      <c r="A363" s="6" t="s">
        <v>715</v>
      </c>
      <c r="B363" s="6" cm="1">
        <f t="array" ref="B363">alea_int(Settings!$B$10,1,Settings!$B$16)</f>
        <v>1</v>
      </c>
      <c r="C363" s="8">
        <v>46023</v>
      </c>
      <c r="D363" s="8">
        <f t="shared" si="21"/>
        <v>46387</v>
      </c>
      <c r="E363" s="6" t="str" cm="1">
        <f t="array" ref="E363">choice(Groupes!A:A,1,Settings!$B$16)</f>
        <v>G25</v>
      </c>
      <c r="F363" s="6" t="str">
        <f t="shared" si="22"/>
        <v>G25</v>
      </c>
      <c r="G363" s="6" t="str">
        <f t="shared" si="23"/>
        <v>Prof32</v>
      </c>
      <c r="H363" s="6" t="str" cm="1">
        <f t="array" ref="H363">choice(Referentiel!A:A,1,Settings!$B$16)</f>
        <v>Image Imprimée</v>
      </c>
      <c r="I363" s="6" t="str" cm="1">
        <f t="array" ref="I363">choice(Referentiel!B:B,1,Settings!$B$16)</f>
        <v>2ème année Design Vêtement S2</v>
      </c>
      <c r="J363" s="6" t="str" cm="1">
        <f t="array" ref="J363">choice(Referentiel!D:D,1,Settings!$B$16)</f>
        <v>L1</v>
      </c>
      <c r="K363" s="6" t="str" cm="1">
        <f t="array" ref="K363">choice(Professeurs!B:B,1,Settings!$B$16)</f>
        <v>Prof32</v>
      </c>
      <c r="L363" s="5" t="str" cm="1">
        <f t="array" ref="L363">choice(Referentiel!C:C,1,Settings!$B$16)</f>
        <v/>
      </c>
      <c r="M363" s="5" t="str" cm="1">
        <f t="array" ref="M363">choice(Referentiel!E:E,1,Settings!$B$16)</f>
        <v/>
      </c>
      <c r="N363" s="5" t="str" cm="1">
        <f t="array" ref="N363">choice(Settings!K:K,1,Settings!$B$16)</f>
        <v/>
      </c>
      <c r="P363" s="5">
        <f t="shared" si="24"/>
        <v>1</v>
      </c>
    </row>
    <row r="364" spans="1:16" ht="15.75" customHeight="1" x14ac:dyDescent="0.25">
      <c r="A364" s="6" t="s">
        <v>716</v>
      </c>
      <c r="B364" s="6" cm="1">
        <f t="array" ref="B364">alea_int(Settings!$B$10,1,Settings!$B$16)</f>
        <v>1</v>
      </c>
      <c r="C364" s="8">
        <v>46023</v>
      </c>
      <c r="D364" s="8">
        <f t="shared" si="21"/>
        <v>46387</v>
      </c>
      <c r="E364" s="6" t="str" cm="1">
        <f t="array" ref="E364">choice(Groupes!A:A,1,Settings!$B$16)</f>
        <v>G12</v>
      </c>
      <c r="F364" s="6" t="str">
        <f t="shared" si="22"/>
        <v>G12</v>
      </c>
      <c r="G364" s="6" t="str">
        <f t="shared" si="23"/>
        <v>Prof38</v>
      </c>
      <c r="H364" s="6" t="str" cm="1">
        <f t="array" ref="H364">choice(Referentiel!A:A,1,Settings!$B$16)</f>
        <v>Gr REFLECTIVE INTERACTION</v>
      </c>
      <c r="I364" s="6" t="str" cm="1">
        <f t="array" ref="I364">choice(Referentiel!B:B,1,Settings!$B$16)</f>
        <v>2ème année Design Objet S2</v>
      </c>
      <c r="J364" s="6" t="str" cm="1">
        <f t="array" ref="J364">choice(Referentiel!D:D,1,Settings!$B$16)</f>
        <v>M1</v>
      </c>
      <c r="K364" s="6" t="str" cm="1">
        <f t="array" ref="K364">choice(Professeurs!B:B,1,Settings!$B$16)</f>
        <v>Prof38</v>
      </c>
      <c r="L364" s="5" t="str" cm="1">
        <f t="array" ref="L364">choice(Referentiel!C:C,1,Settings!$B$16)</f>
        <v/>
      </c>
      <c r="M364" s="5" t="str" cm="1">
        <f t="array" ref="M364">choice(Referentiel!E:E,1,Settings!$B$16)</f>
        <v/>
      </c>
      <c r="N364" s="5" t="str" cm="1">
        <f t="array" ref="N364">choice(Settings!K:K,1,Settings!$B$16)</f>
        <v/>
      </c>
      <c r="P364" s="5">
        <f t="shared" si="24"/>
        <v>1</v>
      </c>
    </row>
    <row r="365" spans="1:16" ht="15.75" customHeight="1" x14ac:dyDescent="0.25">
      <c r="A365" s="6" t="s">
        <v>717</v>
      </c>
      <c r="B365" s="6" cm="1">
        <f t="array" ref="B365">alea_int(Settings!$B$10,1,Settings!$B$16)</f>
        <v>2</v>
      </c>
      <c r="C365" s="8">
        <v>46023</v>
      </c>
      <c r="D365" s="8">
        <f t="shared" si="21"/>
        <v>46387</v>
      </c>
      <c r="E365" s="6" t="str" cm="1">
        <f t="array" ref="E365">choice(Groupes!A:A,1,Settings!$B$16)</f>
        <v>G8</v>
      </c>
      <c r="F365" s="6" t="str">
        <f t="shared" si="22"/>
        <v>G8</v>
      </c>
      <c r="G365" s="6" t="str">
        <f t="shared" si="23"/>
        <v>Prof51</v>
      </c>
      <c r="H365" s="6" t="str" cm="1">
        <f t="array" ref="H365">choice(Referentiel!A:A,1,Settings!$B$16)</f>
        <v>6ème ANNÉE STAGE</v>
      </c>
      <c r="I365" s="6" t="str" cm="1">
        <f t="array" ref="I365">choice(Referentiel!B:B,1,Settings!$B$16)</f>
        <v>5ème année Photo / Vidéo S2</v>
      </c>
      <c r="J365" s="6" t="str" cm="1">
        <f t="array" ref="J365">choice(Referentiel!D:D,1,Settings!$B$16)</f>
        <v>M1</v>
      </c>
      <c r="K365" s="6" t="str" cm="1">
        <f t="array" ref="K365">choice(Professeurs!B:B,1,Settings!$B$16)</f>
        <v>Prof51</v>
      </c>
      <c r="L365" s="5" t="str" cm="1">
        <f t="array" ref="L365">choice(Referentiel!C:C,1,Settings!$B$16)</f>
        <v/>
      </c>
      <c r="M365" s="5" t="str" cm="1">
        <f t="array" ref="M365">choice(Referentiel!E:E,1,Settings!$B$16)</f>
        <v/>
      </c>
      <c r="N365" s="5" t="str" cm="1">
        <f t="array" ref="N365">choice(Settings!K:K,1,Settings!$B$16)</f>
        <v>lundi am</v>
      </c>
      <c r="P365" s="5">
        <f t="shared" si="24"/>
        <v>4</v>
      </c>
    </row>
    <row r="366" spans="1:16" ht="15.75" customHeight="1" x14ac:dyDescent="0.25">
      <c r="A366" s="6" t="s">
        <v>718</v>
      </c>
      <c r="B366" s="6" cm="1">
        <f t="array" ref="B366">alea_int(Settings!$B$10,1,Settings!$B$16)</f>
        <v>1</v>
      </c>
      <c r="C366" s="8">
        <v>46023</v>
      </c>
      <c r="D366" s="8">
        <f t="shared" si="21"/>
        <v>46387</v>
      </c>
      <c r="E366" s="6" t="str" cm="1">
        <f t="array" ref="E366">choice(Groupes!A:A,1,Settings!$B$16)</f>
        <v>G12</v>
      </c>
      <c r="F366" s="6" t="str">
        <f t="shared" si="22"/>
        <v>G12</v>
      </c>
      <c r="G366" s="6" t="str">
        <f t="shared" si="23"/>
        <v>Prof49</v>
      </c>
      <c r="H366" s="6" t="str" cm="1">
        <f t="array" ref="H366">choice(Referentiel!A:A,1,Settings!$B$16)</f>
        <v>Design des mondes montagneux</v>
      </c>
      <c r="I366" s="6" t="str" cm="1">
        <f t="array" ref="I366">choice(Referentiel!B:B,1,Settings!$B$16)</f>
        <v>4ème année Scénographie S1</v>
      </c>
      <c r="J366" s="6" t="str" cm="1">
        <f t="array" ref="J366">choice(Referentiel!D:D,1,Settings!$B$16)</f>
        <v>L2</v>
      </c>
      <c r="K366" s="6" t="str" cm="1">
        <f t="array" ref="K366">choice(Professeurs!B:B,1,Settings!$B$16)</f>
        <v>Prof49</v>
      </c>
      <c r="L366" s="5" t="str" cm="1">
        <f t="array" ref="L366">choice(Referentiel!C:C,1,Settings!$B$16)</f>
        <v/>
      </c>
      <c r="M366" s="5" t="str" cm="1">
        <f t="array" ref="M366">choice(Referentiel!E:E,1,Settings!$B$16)</f>
        <v/>
      </c>
      <c r="N366" s="5" t="str" cm="1">
        <f t="array" ref="N366">choice(Settings!K:K,1,Settings!$B$16)</f>
        <v/>
      </c>
      <c r="P366" s="5">
        <f t="shared" si="24"/>
        <v>1</v>
      </c>
    </row>
    <row r="367" spans="1:16" ht="15.75" customHeight="1" x14ac:dyDescent="0.25">
      <c r="A367" s="6" t="s">
        <v>719</v>
      </c>
      <c r="B367" s="6" cm="1">
        <f t="array" ref="B367">alea_int(Settings!$B$10,1,Settings!$B$16)</f>
        <v>3</v>
      </c>
      <c r="C367" s="8">
        <v>46023</v>
      </c>
      <c r="D367" s="8">
        <f t="shared" si="21"/>
        <v>46387</v>
      </c>
      <c r="E367" s="6" t="str" cm="1">
        <f t="array" ref="E367">choice(Groupes!A:A,1,Settings!$B$16)</f>
        <v>G3</v>
      </c>
      <c r="F367" s="6" t="str">
        <f t="shared" si="22"/>
        <v>G3</v>
      </c>
      <c r="G367" s="6" t="str">
        <f t="shared" si="23"/>
        <v>Prof44</v>
      </c>
      <c r="H367" s="6" t="str" cm="1">
        <f t="array" ref="H367">choice(Referentiel!A:A,1,Settings!$B$16)</f>
        <v>Art-Espace</v>
      </c>
      <c r="I367" s="6" t="str" cm="1">
        <f t="array" ref="I367">choice(Referentiel!B:B,1,Settings!$B$16)</f>
        <v>4ème année Cinéma d'Animation S2</v>
      </c>
      <c r="J367" s="6" t="str" cm="1">
        <f t="array" ref="J367">choice(Referentiel!D:D,1,Settings!$B$16)</f>
        <v>L3</v>
      </c>
      <c r="K367" s="6" t="str" cm="1">
        <f t="array" ref="K367">choice(Professeurs!B:B,1,Settings!$B$16)</f>
        <v>Prof44</v>
      </c>
      <c r="L367" s="5" t="str" cm="1">
        <f t="array" ref="L367">choice(Referentiel!C:C,1,Settings!$B$16)</f>
        <v/>
      </c>
      <c r="M367" s="5" t="str" cm="1">
        <f t="array" ref="M367">choice(Referentiel!E:E,1,Settings!$B$16)</f>
        <v/>
      </c>
      <c r="N367" s="5" t="str" cm="1">
        <f t="array" ref="N367">choice(Settings!K:K,1,Settings!$B$16)</f>
        <v/>
      </c>
      <c r="P367" s="5">
        <f t="shared" si="24"/>
        <v>3</v>
      </c>
    </row>
    <row r="368" spans="1:16" ht="15.75" customHeight="1" x14ac:dyDescent="0.25">
      <c r="A368" s="6" t="s">
        <v>720</v>
      </c>
      <c r="B368" s="6" cm="1">
        <f t="array" ref="B368">alea_int(Settings!$B$10,1,Settings!$B$16)</f>
        <v>3</v>
      </c>
      <c r="C368" s="8">
        <v>46023</v>
      </c>
      <c r="D368" s="8">
        <f t="shared" si="21"/>
        <v>46387</v>
      </c>
      <c r="E368" s="6" t="str" cm="1">
        <f t="array" ref="E368">choice(Groupes!A:A,1,Settings!$B$16)</f>
        <v>G8</v>
      </c>
      <c r="F368" s="6" t="str">
        <f t="shared" si="22"/>
        <v>G8</v>
      </c>
      <c r="G368" s="6" t="str">
        <f t="shared" si="23"/>
        <v>Prof47</v>
      </c>
      <c r="H368" s="6" t="str" cm="1">
        <f t="array" ref="H368">choice(Referentiel!A:A,1,Settings!$B$16)</f>
        <v>1ère année Groupe 1</v>
      </c>
      <c r="I368" s="6" t="str" cm="1">
        <f t="array" ref="I368">choice(Referentiel!B:B,1,Settings!$B$16)</f>
        <v>3ème année Cinéma d'Animation S2</v>
      </c>
      <c r="J368" s="6" t="str" cm="1">
        <f t="array" ref="J368">choice(Referentiel!D:D,1,Settings!$B$16)</f>
        <v>L1</v>
      </c>
      <c r="K368" s="6" t="str" cm="1">
        <f t="array" ref="K368">choice(Professeurs!B:B,1,Settings!$B$16)</f>
        <v>Prof47</v>
      </c>
      <c r="L368" s="5" t="str" cm="1">
        <f t="array" ref="L368">choice(Referentiel!C:C,1,Settings!$B$16)</f>
        <v/>
      </c>
      <c r="M368" s="5" t="str" cm="1">
        <f t="array" ref="M368">choice(Referentiel!E:E,1,Settings!$B$16)</f>
        <v/>
      </c>
      <c r="N368" s="5" t="str" cm="1">
        <f t="array" ref="N368">choice(Settings!K:K,1,Settings!$B$16)</f>
        <v>lundi am</v>
      </c>
      <c r="P368" s="5">
        <f t="shared" si="24"/>
        <v>5</v>
      </c>
    </row>
    <row r="369" spans="1:16" ht="15.75" customHeight="1" x14ac:dyDescent="0.25">
      <c r="A369" s="6" t="s">
        <v>721</v>
      </c>
      <c r="B369" s="6" cm="1">
        <f t="array" ref="B369">alea_int(Settings!$B$10,1,Settings!$B$16)</f>
        <v>1</v>
      </c>
      <c r="C369" s="8">
        <v>46023</v>
      </c>
      <c r="D369" s="8">
        <f t="shared" si="21"/>
        <v>46387</v>
      </c>
      <c r="E369" s="6" t="str" cm="1">
        <f t="array" ref="E369">choice(Groupes!A:A,1,Settings!$B$16)</f>
        <v>G18</v>
      </c>
      <c r="F369" s="6" t="str">
        <f t="shared" si="22"/>
        <v>G18</v>
      </c>
      <c r="G369" s="6" t="str">
        <f t="shared" si="23"/>
        <v>Prof45</v>
      </c>
      <c r="H369" s="6" t="str" cm="1">
        <f t="array" ref="H369">choice(Referentiel!A:A,1,Settings!$B$16)</f>
        <v>6ème année atelier</v>
      </c>
      <c r="I369" s="6" t="str" cm="1">
        <f t="array" ref="I369">choice(Referentiel!B:B,1,Settings!$B$16)</f>
        <v>5ème année Cinéma d'Animation S1</v>
      </c>
      <c r="J369" s="6" t="str" cm="1">
        <f t="array" ref="J369">choice(Referentiel!D:D,1,Settings!$B$16)</f>
        <v>L2</v>
      </c>
      <c r="K369" s="6" t="str" cm="1">
        <f t="array" ref="K369">choice(Professeurs!B:B,1,Settings!$B$16)</f>
        <v>Prof45</v>
      </c>
      <c r="L369" s="5" t="str" cm="1">
        <f t="array" ref="L369">choice(Referentiel!C:C,1,Settings!$B$16)</f>
        <v/>
      </c>
      <c r="M369" s="5" t="str" cm="1">
        <f t="array" ref="M369">choice(Referentiel!E:E,1,Settings!$B$16)</f>
        <v/>
      </c>
      <c r="N369" s="5" t="str" cm="1">
        <f t="array" ref="N369">choice(Settings!K:K,1,Settings!$B$16)</f>
        <v/>
      </c>
      <c r="P369" s="5">
        <f t="shared" si="24"/>
        <v>1</v>
      </c>
    </row>
    <row r="370" spans="1:16" ht="15.75" customHeight="1" x14ac:dyDescent="0.25">
      <c r="A370" s="6" t="s">
        <v>722</v>
      </c>
      <c r="B370" s="6" cm="1">
        <f t="array" ref="B370">alea_int(Settings!$B$10,1,Settings!$B$16)</f>
        <v>1</v>
      </c>
      <c r="C370" s="8">
        <v>46023</v>
      </c>
      <c r="D370" s="8">
        <f t="shared" si="21"/>
        <v>46387</v>
      </c>
      <c r="E370" s="6" t="str" cm="1">
        <f t="array" ref="E370">choice(Groupes!A:A,1,Settings!$B$16)</f>
        <v>G24</v>
      </c>
      <c r="F370" s="6" t="str">
        <f t="shared" si="22"/>
        <v>G24</v>
      </c>
      <c r="G370" s="6" t="str">
        <f t="shared" si="23"/>
        <v>Prof3</v>
      </c>
      <c r="H370" s="6" t="str" cm="1">
        <f t="array" ref="H370">choice(Referentiel!A:A,1,Settings!$B$16)</f>
        <v>Art-Espace</v>
      </c>
      <c r="I370" s="6" t="str" cm="1">
        <f t="array" ref="I370">choice(Referentiel!B:B,1,Settings!$B$16)</f>
        <v>5ème année Cinéma d'Animation S2</v>
      </c>
      <c r="J370" s="6" t="str" cm="1">
        <f t="array" ref="J370">choice(Referentiel!D:D,1,Settings!$B$16)</f>
        <v>L1</v>
      </c>
      <c r="K370" s="6" t="str" cm="1">
        <f t="array" ref="K370">choice(Professeurs!B:B,1,Settings!$B$16)</f>
        <v>Prof3</v>
      </c>
      <c r="L370" s="5" t="str" cm="1">
        <f t="array" ref="L370">choice(Referentiel!C:C,1,Settings!$B$16)</f>
        <v/>
      </c>
      <c r="M370" s="5" t="str" cm="1">
        <f t="array" ref="M370">choice(Referentiel!E:E,1,Settings!$B$16)</f>
        <v/>
      </c>
      <c r="N370" s="5" t="str" cm="1">
        <f t="array" ref="N370">choice(Settings!K:K,1,Settings!$B$16)</f>
        <v/>
      </c>
      <c r="P370" s="5">
        <f t="shared" si="24"/>
        <v>1</v>
      </c>
    </row>
    <row r="371" spans="1:16" ht="15.75" customHeight="1" x14ac:dyDescent="0.25">
      <c r="A371" s="6" t="s">
        <v>723</v>
      </c>
      <c r="B371" s="6" cm="1">
        <f t="array" ref="B371">alea_int(Settings!$B$10,1,Settings!$B$16)</f>
        <v>1</v>
      </c>
      <c r="C371" s="8">
        <v>46023</v>
      </c>
      <c r="D371" s="8">
        <f t="shared" si="21"/>
        <v>46387</v>
      </c>
      <c r="E371" s="6" t="str" cm="1">
        <f t="array" ref="E371">choice(Groupes!A:A,1,Settings!$B$16)</f>
        <v>G17</v>
      </c>
      <c r="F371" s="6" t="str">
        <f t="shared" si="22"/>
        <v>G17</v>
      </c>
      <c r="G371" s="6" t="str">
        <f t="shared" si="23"/>
        <v>Prof7</v>
      </c>
      <c r="H371" s="6" t="str" cm="1">
        <f t="array" ref="H371">choice(Referentiel!A:A,1,Settings!$B$16)</f>
        <v>Design Textile et Matière</v>
      </c>
      <c r="I371" s="6" t="str" cm="1">
        <f t="array" ref="I371">choice(Referentiel!B:B,1,Settings!$B$16)</f>
        <v>2ème année Image Imprimée S2</v>
      </c>
      <c r="J371" s="6" t="str" cm="1">
        <f t="array" ref="J371">choice(Referentiel!D:D,1,Settings!$B$16)</f>
        <v>L2</v>
      </c>
      <c r="K371" s="6" t="str" cm="1">
        <f t="array" ref="K371">choice(Professeurs!B:B,1,Settings!$B$16)</f>
        <v>Prof7</v>
      </c>
      <c r="L371" s="5" t="str" cm="1">
        <f t="array" ref="L371">choice(Referentiel!C:C,1,Settings!$B$16)</f>
        <v/>
      </c>
      <c r="M371" s="5" t="str" cm="1">
        <f t="array" ref="M371">choice(Referentiel!E:E,1,Settings!$B$16)</f>
        <v/>
      </c>
      <c r="N371" s="5" t="str" cm="1">
        <f t="array" ref="N371">choice(Settings!K:K,1,Settings!$B$16)</f>
        <v/>
      </c>
      <c r="P371" s="5">
        <f t="shared" si="24"/>
        <v>1</v>
      </c>
    </row>
    <row r="372" spans="1:16" ht="15.75" customHeight="1" x14ac:dyDescent="0.25">
      <c r="A372" s="6" t="s">
        <v>724</v>
      </c>
      <c r="B372" s="6" cm="1">
        <f t="array" ref="B372">alea_int(Settings!$B$10,1,Settings!$B$16)</f>
        <v>1</v>
      </c>
      <c r="C372" s="8">
        <v>46023</v>
      </c>
      <c r="D372" s="8">
        <f t="shared" si="21"/>
        <v>46387</v>
      </c>
      <c r="E372" s="6" t="str" cm="1">
        <f t="array" ref="E372">choice(Groupes!A:A,1,Settings!$B$16)</f>
        <v>G13</v>
      </c>
      <c r="F372" s="6" t="str">
        <f t="shared" si="22"/>
        <v>G13</v>
      </c>
      <c r="G372" s="6" t="str">
        <f t="shared" si="23"/>
        <v>Prof41</v>
      </c>
      <c r="H372" s="6" t="str" cm="1">
        <f t="array" ref="H372">choice(Referentiel!A:A,1,Settings!$B$16)</f>
        <v>6ème ANNÉE STAGE</v>
      </c>
      <c r="I372" s="6" t="str" cm="1">
        <f t="array" ref="I372">choice(Referentiel!B:B,1,Settings!$B$16)</f>
        <v>2ème année Design Graphique S1</v>
      </c>
      <c r="J372" s="6" t="str" cm="1">
        <f t="array" ref="J372">choice(Referentiel!D:D,1,Settings!$B$16)</f>
        <v>M1</v>
      </c>
      <c r="K372" s="6" t="str" cm="1">
        <f t="array" ref="K372">choice(Professeurs!B:B,1,Settings!$B$16)</f>
        <v>Prof41</v>
      </c>
      <c r="L372" s="5" t="str" cm="1">
        <f t="array" ref="L372">choice(Referentiel!C:C,1,Settings!$B$16)</f>
        <v/>
      </c>
      <c r="M372" s="5" t="str" cm="1">
        <f t="array" ref="M372">choice(Referentiel!E:E,1,Settings!$B$16)</f>
        <v/>
      </c>
      <c r="N372" s="5" t="str" cm="1">
        <f t="array" ref="N372">choice(Settings!K:K,1,Settings!$B$16)</f>
        <v/>
      </c>
      <c r="P372" s="5">
        <f t="shared" si="24"/>
        <v>1</v>
      </c>
    </row>
    <row r="373" spans="1:16" ht="15.75" customHeight="1" x14ac:dyDescent="0.25">
      <c r="A373" s="6" t="s">
        <v>725</v>
      </c>
      <c r="B373" s="6" cm="1">
        <f t="array" ref="B373">alea_int(Settings!$B$10,1,Settings!$B$16)</f>
        <v>3</v>
      </c>
      <c r="C373" s="8">
        <v>46023</v>
      </c>
      <c r="D373" s="8">
        <f t="shared" si="21"/>
        <v>46387</v>
      </c>
      <c r="E373" s="6" t="str" cm="1">
        <f t="array" ref="E373">choice(Groupes!A:A,1,Settings!$B$16)</f>
        <v>G27</v>
      </c>
      <c r="F373" s="6" t="str">
        <f t="shared" si="22"/>
        <v>G27</v>
      </c>
      <c r="G373" s="6" t="str">
        <f t="shared" si="23"/>
        <v>Prof34</v>
      </c>
      <c r="H373" s="6" t="str" cm="1">
        <f t="array" ref="H373">choice(Referentiel!A:A,1,Settings!$B$16)</f>
        <v>Gr SPATIAL MEDIA</v>
      </c>
      <c r="I373" s="6" t="str" cm="1">
        <f t="array" ref="I373">choice(Referentiel!B:B,1,Settings!$B$16)</f>
        <v>3ème année Cinéma d'Animation S1</v>
      </c>
      <c r="J373" s="6" t="str" cm="1">
        <f t="array" ref="J373">choice(Referentiel!D:D,1,Settings!$B$16)</f>
        <v>M2</v>
      </c>
      <c r="K373" s="6" t="str" cm="1">
        <f t="array" ref="K373">choice(Professeurs!B:B,1,Settings!$B$16)</f>
        <v>Prof34</v>
      </c>
      <c r="L373" s="5" t="str" cm="1">
        <f t="array" ref="L373">choice(Referentiel!C:C,1,Settings!$B$16)</f>
        <v/>
      </c>
      <c r="M373" s="5" t="str" cm="1">
        <f t="array" ref="M373">choice(Referentiel!E:E,1,Settings!$B$16)</f>
        <v>Salle13</v>
      </c>
      <c r="N373" s="5" t="str" cm="1">
        <f t="array" ref="N373">choice(Settings!K:K,1,Settings!$B$16)</f>
        <v>mardi pm</v>
      </c>
      <c r="P373" s="5">
        <f t="shared" si="24"/>
        <v>7</v>
      </c>
    </row>
    <row r="374" spans="1:16" ht="15.75" customHeight="1" x14ac:dyDescent="0.25">
      <c r="A374" s="6" t="s">
        <v>726</v>
      </c>
      <c r="B374" s="6" cm="1">
        <f t="array" ref="B374">alea_int(Settings!$B$10,1,Settings!$B$16)</f>
        <v>2</v>
      </c>
      <c r="C374" s="8">
        <v>46023</v>
      </c>
      <c r="D374" s="8">
        <f t="shared" si="21"/>
        <v>46387</v>
      </c>
      <c r="E374" s="6" t="str" cm="1">
        <f t="array" ref="E374">choice(Groupes!A:A,1,Settings!$B$16)</f>
        <v>G5</v>
      </c>
      <c r="F374" s="6" t="str">
        <f t="shared" si="22"/>
        <v>G5</v>
      </c>
      <c r="G374" s="6" t="str">
        <f t="shared" si="23"/>
        <v>Prof39</v>
      </c>
      <c r="H374" s="6" t="str" cm="1">
        <f t="array" ref="H374">choice(Referentiel!A:A,1,Settings!$B$16)</f>
        <v>Scénographie</v>
      </c>
      <c r="I374" s="6" t="str" cm="1">
        <f t="array" ref="I374">choice(Referentiel!B:B,1,Settings!$B$16)</f>
        <v>5ème année Architecture Intérieure S1</v>
      </c>
      <c r="J374" s="6" t="str" cm="1">
        <f t="array" ref="J374">choice(Referentiel!D:D,1,Settings!$B$16)</f>
        <v>M2</v>
      </c>
      <c r="K374" s="6" t="str" cm="1">
        <f t="array" ref="K374">choice(Professeurs!B:B,1,Settings!$B$16)</f>
        <v>Prof39</v>
      </c>
      <c r="L374" s="5" t="str" cm="1">
        <f t="array" ref="L374">choice(Referentiel!C:C,1,Settings!$B$16)</f>
        <v/>
      </c>
      <c r="M374" s="5" t="str" cm="1">
        <f t="array" ref="M374">choice(Referentiel!E:E,1,Settings!$B$16)</f>
        <v/>
      </c>
      <c r="N374" s="5" t="str" cm="1">
        <f t="array" ref="N374">choice(Settings!K:K,1,Settings!$B$16)</f>
        <v>jeudi am</v>
      </c>
      <c r="P374" s="5">
        <f t="shared" si="24"/>
        <v>4</v>
      </c>
    </row>
    <row r="375" spans="1:16" ht="15.75" customHeight="1" x14ac:dyDescent="0.25">
      <c r="A375" s="6" t="s">
        <v>727</v>
      </c>
      <c r="B375" s="6" cm="1">
        <f t="array" ref="B375">alea_int(Settings!$B$10,1,Settings!$B$16)</f>
        <v>2</v>
      </c>
      <c r="C375" s="8">
        <v>46023</v>
      </c>
      <c r="D375" s="8">
        <f t="shared" si="21"/>
        <v>46387</v>
      </c>
      <c r="E375" s="6" t="str" cm="1">
        <f t="array" ref="E375">choice(Groupes!A:A,1,Settings!$B$16)</f>
        <v>G10</v>
      </c>
      <c r="F375" s="6" t="str">
        <f t="shared" si="22"/>
        <v>G10</v>
      </c>
      <c r="G375" s="6" t="str">
        <f t="shared" si="23"/>
        <v>Prof18</v>
      </c>
      <c r="H375" s="6" t="str" cm="1">
        <f t="array" ref="H375">choice(Referentiel!A:A,1,Settings!$B$16)</f>
        <v>Gr SYMBIOSE</v>
      </c>
      <c r="I375" s="6" t="str" cm="1">
        <f t="array" ref="I375">choice(Referentiel!B:B,1,Settings!$B$16)</f>
        <v>3ème année Design Objet S2</v>
      </c>
      <c r="J375" s="6" t="str" cm="1">
        <f t="array" ref="J375">choice(Referentiel!D:D,1,Settings!$B$16)</f>
        <v>M1</v>
      </c>
      <c r="K375" s="6" t="str" cm="1">
        <f t="array" ref="K375">choice(Professeurs!B:B,1,Settings!$B$16)</f>
        <v>Prof18</v>
      </c>
      <c r="L375" s="5" t="str" cm="1">
        <f t="array" ref="L375">choice(Referentiel!C:C,1,Settings!$B$16)</f>
        <v/>
      </c>
      <c r="M375" s="5" t="str" cm="1">
        <f t="array" ref="M375">choice(Referentiel!E:E,1,Settings!$B$16)</f>
        <v/>
      </c>
      <c r="N375" s="5" t="str" cm="1">
        <f t="array" ref="N375">choice(Settings!K:K,1,Settings!$B$16)</f>
        <v/>
      </c>
      <c r="P375" s="5">
        <f t="shared" si="24"/>
        <v>2</v>
      </c>
    </row>
    <row r="376" spans="1:16" ht="15.75" customHeight="1" x14ac:dyDescent="0.25">
      <c r="A376" s="6" t="s">
        <v>728</v>
      </c>
      <c r="B376" s="6" cm="1">
        <f t="array" ref="B376">alea_int(Settings!$B$10,1,Settings!$B$16)</f>
        <v>2</v>
      </c>
      <c r="C376" s="8">
        <v>46023</v>
      </c>
      <c r="D376" s="8">
        <f t="shared" si="21"/>
        <v>46387</v>
      </c>
      <c r="E376" s="6" t="str" cm="1">
        <f t="array" ref="E376">choice(Groupes!A:A,1,Settings!$B$16)</f>
        <v>G26</v>
      </c>
      <c r="F376" s="6" t="str">
        <f t="shared" si="22"/>
        <v>G26</v>
      </c>
      <c r="G376" s="6" t="str">
        <f t="shared" si="23"/>
        <v>Prof42</v>
      </c>
      <c r="H376" s="6" t="str" cm="1">
        <f t="array" ref="H376">choice(Referentiel!A:A,1,Settings!$B$16)</f>
        <v>Architecture Intérieure</v>
      </c>
      <c r="I376" s="6" t="str" cm="1">
        <f t="array" ref="I376">choice(Referentiel!B:B,1,Settings!$B$16)</f>
        <v>4ème année Photo / Vidéo S1</v>
      </c>
      <c r="J376" s="6" t="str" cm="1">
        <f t="array" ref="J376">choice(Referentiel!D:D,1,Settings!$B$16)</f>
        <v>L3</v>
      </c>
      <c r="K376" s="6" t="str" cm="1">
        <f t="array" ref="K376">choice(Professeurs!B:B,1,Settings!$B$16)</f>
        <v>Prof42</v>
      </c>
      <c r="L376" s="5" t="str" cm="1">
        <f t="array" ref="L376">choice(Referentiel!C:C,1,Settings!$B$16)</f>
        <v/>
      </c>
      <c r="M376" s="5" t="str" cm="1">
        <f t="array" ref="M376">choice(Referentiel!E:E,1,Settings!$B$16)</f>
        <v/>
      </c>
      <c r="N376" s="5" t="str" cm="1">
        <f t="array" ref="N376">choice(Settings!K:K,1,Settings!$B$16)</f>
        <v>jeudi am</v>
      </c>
      <c r="P376" s="5">
        <f t="shared" si="24"/>
        <v>4</v>
      </c>
    </row>
    <row r="377" spans="1:16" ht="15.75" customHeight="1" x14ac:dyDescent="0.25">
      <c r="A377" s="6" t="s">
        <v>729</v>
      </c>
      <c r="B377" s="6" cm="1">
        <f t="array" ref="B377">alea_int(Settings!$B$10,1,Settings!$B$16)</f>
        <v>3</v>
      </c>
      <c r="C377" s="8">
        <v>46023</v>
      </c>
      <c r="D377" s="8">
        <f t="shared" si="21"/>
        <v>46387</v>
      </c>
      <c r="E377" s="6" t="str" cm="1">
        <f t="array" ref="E377">choice(Groupes!A:A,1,Settings!$B$16)</f>
        <v>G28</v>
      </c>
      <c r="F377" s="6" t="str">
        <f t="shared" si="22"/>
        <v>G28</v>
      </c>
      <c r="G377" s="6" t="str">
        <f t="shared" si="23"/>
        <v>Prof21</v>
      </c>
      <c r="H377" s="6" t="str" cm="1">
        <f t="array" ref="H377">choice(Referentiel!A:A,1,Settings!$B$16)</f>
        <v>Gr SOFT MATTERS</v>
      </c>
      <c r="I377" s="6" t="str" cm="1">
        <f t="array" ref="I377">choice(Referentiel!B:B,1,Settings!$B$16)</f>
        <v>2ème année Scénographie S1</v>
      </c>
      <c r="J377" s="6" t="str" cm="1">
        <f t="array" ref="J377">choice(Referentiel!D:D,1,Settings!$B$16)</f>
        <v>M2</v>
      </c>
      <c r="K377" s="6" t="str" cm="1">
        <f t="array" ref="K377">choice(Professeurs!B:B,1,Settings!$B$16)</f>
        <v>Prof21</v>
      </c>
      <c r="L377" s="5" t="str" cm="1">
        <f t="array" ref="L377">choice(Referentiel!C:C,1,Settings!$B$16)</f>
        <v/>
      </c>
      <c r="M377" s="5" t="str" cm="1">
        <f t="array" ref="M377">choice(Referentiel!E:E,1,Settings!$B$16)</f>
        <v/>
      </c>
      <c r="N377" s="5" t="str" cm="1">
        <f t="array" ref="N377">choice(Settings!K:K,1,Settings!$B$16)</f>
        <v/>
      </c>
      <c r="P377" s="5">
        <f t="shared" si="24"/>
        <v>3</v>
      </c>
    </row>
    <row r="378" spans="1:16" ht="15.75" customHeight="1" x14ac:dyDescent="0.25">
      <c r="A378" s="6" t="s">
        <v>730</v>
      </c>
      <c r="B378" s="6" cm="1">
        <f t="array" ref="B378">alea_int(Settings!$B$10,1,Settings!$B$16)</f>
        <v>3</v>
      </c>
      <c r="C378" s="8">
        <v>46023</v>
      </c>
      <c r="D378" s="8">
        <f t="shared" si="21"/>
        <v>46387</v>
      </c>
      <c r="E378" s="6" t="str" cm="1">
        <f t="array" ref="E378">choice(Groupes!A:A,1,Settings!$B$16)</f>
        <v>G27</v>
      </c>
      <c r="F378" s="6" t="str">
        <f t="shared" si="22"/>
        <v>G27</v>
      </c>
      <c r="G378" s="6" t="str">
        <f t="shared" si="23"/>
        <v>Prof4</v>
      </c>
      <c r="H378" s="6" t="str" cm="1">
        <f t="array" ref="H378">choice(Referentiel!A:A,1,Settings!$B$16)</f>
        <v>Mode et Matière</v>
      </c>
      <c r="I378" s="6" t="str" cm="1">
        <f t="array" ref="I378">choice(Referentiel!B:B,1,Settings!$B$16)</f>
        <v>2ème année Scénographie S2</v>
      </c>
      <c r="J378" s="6" t="str" cm="1">
        <f t="array" ref="J378">choice(Referentiel!D:D,1,Settings!$B$16)</f>
        <v>M2</v>
      </c>
      <c r="K378" s="6" t="str" cm="1">
        <f t="array" ref="K378">choice(Professeurs!B:B,1,Settings!$B$16)</f>
        <v>Prof4</v>
      </c>
      <c r="L378" s="5" t="str" cm="1">
        <f t="array" ref="L378">choice(Referentiel!C:C,1,Settings!$B$16)</f>
        <v/>
      </c>
      <c r="M378" s="5" t="str" cm="1">
        <f t="array" ref="M378">choice(Referentiel!E:E,1,Settings!$B$16)</f>
        <v/>
      </c>
      <c r="N378" s="5" t="str" cm="1">
        <f t="array" ref="N378">choice(Settings!K:K,1,Settings!$B$16)</f>
        <v/>
      </c>
      <c r="P378" s="5">
        <f t="shared" si="24"/>
        <v>3</v>
      </c>
    </row>
    <row r="379" spans="1:16" ht="15.75" customHeight="1" x14ac:dyDescent="0.25">
      <c r="A379" s="6" t="s">
        <v>731</v>
      </c>
      <c r="B379" s="6" cm="1">
        <f t="array" ref="B379">alea_int(Settings!$B$10,1,Settings!$B$16)</f>
        <v>1</v>
      </c>
      <c r="C379" s="8">
        <v>46023</v>
      </c>
      <c r="D379" s="8">
        <f t="shared" si="21"/>
        <v>46387</v>
      </c>
      <c r="E379" s="6" t="str" cm="1">
        <f t="array" ref="E379">choice(Groupes!A:A,1,Settings!$B$16)</f>
        <v>G17</v>
      </c>
      <c r="F379" s="6" t="str">
        <f t="shared" si="22"/>
        <v>G17</v>
      </c>
      <c r="G379" s="6" t="str">
        <f t="shared" si="23"/>
        <v>Prof25</v>
      </c>
      <c r="H379" s="6" t="str" cm="1">
        <f t="array" ref="H379">choice(Referentiel!A:A,1,Settings!$B$16)</f>
        <v>6ème ANNÉE STAGE</v>
      </c>
      <c r="I379" s="6" t="str" cm="1">
        <f t="array" ref="I379">choice(Referentiel!B:B,1,Settings!$B$16)</f>
        <v>3ème année Scénographie S2</v>
      </c>
      <c r="J379" s="6" t="str" cm="1">
        <f t="array" ref="J379">choice(Referentiel!D:D,1,Settings!$B$16)</f>
        <v>M1</v>
      </c>
      <c r="K379" s="6" t="str" cm="1">
        <f t="array" ref="K379">choice(Professeurs!B:B,1,Settings!$B$16)</f>
        <v>Prof25</v>
      </c>
      <c r="L379" s="5" t="str" cm="1">
        <f t="array" ref="L379">choice(Referentiel!C:C,1,Settings!$B$16)</f>
        <v/>
      </c>
      <c r="M379" s="5" t="str" cm="1">
        <f t="array" ref="M379">choice(Referentiel!E:E,1,Settings!$B$16)</f>
        <v/>
      </c>
      <c r="N379" s="5" t="str" cm="1">
        <f t="array" ref="N379">choice(Settings!K:K,1,Settings!$B$16)</f>
        <v/>
      </c>
      <c r="P379" s="5">
        <f t="shared" si="24"/>
        <v>1</v>
      </c>
    </row>
    <row r="380" spans="1:16" ht="15.75" customHeight="1" x14ac:dyDescent="0.25">
      <c r="A380" s="6" t="s">
        <v>732</v>
      </c>
      <c r="B380" s="6" cm="1">
        <f t="array" ref="B380">alea_int(Settings!$B$10,1,Settings!$B$16)</f>
        <v>2</v>
      </c>
      <c r="C380" s="8">
        <v>46023</v>
      </c>
      <c r="D380" s="8">
        <f t="shared" si="21"/>
        <v>46387</v>
      </c>
      <c r="E380" s="6" t="str" cm="1">
        <f t="array" ref="E380">choice(Groupes!A:A,1,Settings!$B$16)</f>
        <v>G9</v>
      </c>
      <c r="F380" s="6" t="str">
        <f t="shared" si="22"/>
        <v>G9</v>
      </c>
      <c r="G380" s="6" t="str">
        <f t="shared" si="23"/>
        <v>Prof9</v>
      </c>
      <c r="H380" s="6" t="str" cm="1">
        <f t="array" ref="H380">choice(Referentiel!A:A,1,Settings!$B$16)</f>
        <v>Design des mondes insulaires</v>
      </c>
      <c r="I380" s="6" t="str" cm="1">
        <f t="array" ref="I380">choice(Referentiel!B:B,1,Settings!$B$16)</f>
        <v>5ème année Cinéma d'Animation S1</v>
      </c>
      <c r="J380" s="6" t="str" cm="1">
        <f t="array" ref="J380">choice(Referentiel!D:D,1,Settings!$B$16)</f>
        <v>L2</v>
      </c>
      <c r="K380" s="6" t="str" cm="1">
        <f t="array" ref="K380">choice(Professeurs!B:B,1,Settings!$B$16)</f>
        <v>Prof9</v>
      </c>
      <c r="L380" s="5" t="str" cm="1">
        <f t="array" ref="L380">choice(Referentiel!C:C,1,Settings!$B$16)</f>
        <v/>
      </c>
      <c r="M380" s="5" t="str" cm="1">
        <f t="array" ref="M380">choice(Referentiel!E:E,1,Settings!$B$16)</f>
        <v/>
      </c>
      <c r="N380" s="5" t="str" cm="1">
        <f t="array" ref="N380">choice(Settings!K:K,1,Settings!$B$16)</f>
        <v>jeudi pm</v>
      </c>
      <c r="P380" s="5">
        <f t="shared" si="24"/>
        <v>4</v>
      </c>
    </row>
    <row r="381" spans="1:16" ht="15.75" customHeight="1" x14ac:dyDescent="0.25">
      <c r="A381" s="6" t="s">
        <v>733</v>
      </c>
      <c r="B381" s="6" cm="1">
        <f t="array" ref="B381">alea_int(Settings!$B$10,1,Settings!$B$16)</f>
        <v>3</v>
      </c>
      <c r="C381" s="8">
        <v>46023</v>
      </c>
      <c r="D381" s="8">
        <f t="shared" si="21"/>
        <v>46387</v>
      </c>
      <c r="E381" s="6" t="str" cm="1">
        <f t="array" ref="E381">choice(Groupes!A:A,1,Settings!$B$16)</f>
        <v>G26</v>
      </c>
      <c r="F381" s="6" t="str">
        <f t="shared" si="22"/>
        <v>G26</v>
      </c>
      <c r="G381" s="6" t="str">
        <f t="shared" si="23"/>
        <v>Prof18</v>
      </c>
      <c r="H381" s="6" t="str" cm="1">
        <f t="array" ref="H381">choice(Referentiel!A:A,1,Settings!$B$16)</f>
        <v>Design des mondes forestiers</v>
      </c>
      <c r="I381" s="6" t="str" cm="1">
        <f t="array" ref="I381">choice(Referentiel!B:B,1,Settings!$B$16)</f>
        <v>3ème année Architecture Intérieure S2</v>
      </c>
      <c r="J381" s="6" t="str" cm="1">
        <f t="array" ref="J381">choice(Referentiel!D:D,1,Settings!$B$16)</f>
        <v>L2</v>
      </c>
      <c r="K381" s="6" t="str" cm="1">
        <f t="array" ref="K381">choice(Professeurs!B:B,1,Settings!$B$16)</f>
        <v>Prof18</v>
      </c>
      <c r="L381" s="5" t="str" cm="1">
        <f t="array" ref="L381">choice(Referentiel!C:C,1,Settings!$B$16)</f>
        <v/>
      </c>
      <c r="M381" s="5" t="str" cm="1">
        <f t="array" ref="M381">choice(Referentiel!E:E,1,Settings!$B$16)</f>
        <v/>
      </c>
      <c r="N381" s="5" t="str" cm="1">
        <f t="array" ref="N381">choice(Settings!K:K,1,Settings!$B$16)</f>
        <v>semaine</v>
      </c>
      <c r="P381" s="5">
        <f t="shared" si="24"/>
        <v>5</v>
      </c>
    </row>
    <row r="382" spans="1:16" ht="15.75" customHeight="1" x14ac:dyDescent="0.25">
      <c r="A382" s="6" t="s">
        <v>734</v>
      </c>
      <c r="B382" s="6" cm="1">
        <f t="array" ref="B382">alea_int(Settings!$B$10,1,Settings!$B$16)</f>
        <v>2</v>
      </c>
      <c r="C382" s="8">
        <v>46023</v>
      </c>
      <c r="D382" s="8">
        <f t="shared" si="21"/>
        <v>46387</v>
      </c>
      <c r="E382" s="6" t="str" cm="1">
        <f t="array" ref="E382">choice(Groupes!A:A,1,Settings!$B$16)</f>
        <v>G1</v>
      </c>
      <c r="F382" s="6" t="str">
        <f t="shared" si="22"/>
        <v>G1</v>
      </c>
      <c r="G382" s="6" t="str">
        <f t="shared" si="23"/>
        <v>Prof30</v>
      </c>
      <c r="H382" s="6" t="str" cm="1">
        <f t="array" ref="H382">choice(Referentiel!A:A,1,Settings!$B$16)</f>
        <v>Image Imprimée</v>
      </c>
      <c r="I382" s="6" t="str" cm="1">
        <f t="array" ref="I382">choice(Referentiel!B:B,1,Settings!$B$16)</f>
        <v>5ème année Photo / Vidéo S2</v>
      </c>
      <c r="J382" s="6" t="str" cm="1">
        <f t="array" ref="J382">choice(Referentiel!D:D,1,Settings!$B$16)</f>
        <v>L3</v>
      </c>
      <c r="K382" s="6" t="str" cm="1">
        <f t="array" ref="K382">choice(Professeurs!B:B,1,Settings!$B$16)</f>
        <v>Prof30</v>
      </c>
      <c r="L382" s="5" t="str" cm="1">
        <f t="array" ref="L382">choice(Referentiel!C:C,1,Settings!$B$16)</f>
        <v/>
      </c>
      <c r="M382" s="5" t="str" cm="1">
        <f t="array" ref="M382">choice(Referentiel!E:E,1,Settings!$B$16)</f>
        <v/>
      </c>
      <c r="N382" s="5" t="str" cm="1">
        <f t="array" ref="N382">choice(Settings!K:K,1,Settings!$B$16)</f>
        <v/>
      </c>
      <c r="P382" s="5">
        <f t="shared" si="24"/>
        <v>2</v>
      </c>
    </row>
    <row r="383" spans="1:16" ht="15.75" customHeight="1" x14ac:dyDescent="0.25">
      <c r="A383" s="6" t="s">
        <v>735</v>
      </c>
      <c r="B383" s="6" cm="1">
        <f t="array" ref="B383">alea_int(Settings!$B$10,1,Settings!$B$16)</f>
        <v>1</v>
      </c>
      <c r="C383" s="8">
        <v>46023</v>
      </c>
      <c r="D383" s="8">
        <f t="shared" si="21"/>
        <v>46387</v>
      </c>
      <c r="E383" s="6" t="str" cm="1">
        <f t="array" ref="E383">choice(Groupes!A:A,1,Settings!$B$16)</f>
        <v>G13</v>
      </c>
      <c r="F383" s="6" t="str">
        <f t="shared" si="22"/>
        <v>G13</v>
      </c>
      <c r="G383" s="6" t="str">
        <f t="shared" si="23"/>
        <v>Prof20</v>
      </c>
      <c r="H383" s="6" t="str" cm="1">
        <f t="array" ref="H383">choice(Referentiel!A:A,1,Settings!$B$16)</f>
        <v>Design des mondes urbains</v>
      </c>
      <c r="I383" s="6" t="str" cm="1">
        <f t="array" ref="I383">choice(Referentiel!B:B,1,Settings!$B$16)</f>
        <v>5ème année Architecture Intérieure S2</v>
      </c>
      <c r="J383" s="6" t="str" cm="1">
        <f t="array" ref="J383">choice(Referentiel!D:D,1,Settings!$B$16)</f>
        <v>L3</v>
      </c>
      <c r="K383" s="6" t="str" cm="1">
        <f t="array" ref="K383">choice(Professeurs!B:B,1,Settings!$B$16)</f>
        <v>Prof20</v>
      </c>
      <c r="L383" s="5" t="str" cm="1">
        <f t="array" ref="L383">choice(Referentiel!C:C,1,Settings!$B$16)</f>
        <v/>
      </c>
      <c r="M383" s="5" t="str" cm="1">
        <f t="array" ref="M383">choice(Referentiel!E:E,1,Settings!$B$16)</f>
        <v/>
      </c>
      <c r="N383" s="5" t="str" cm="1">
        <f t="array" ref="N383">choice(Settings!K:K,1,Settings!$B$16)</f>
        <v/>
      </c>
      <c r="P383" s="5">
        <f t="shared" si="24"/>
        <v>1</v>
      </c>
    </row>
    <row r="384" spans="1:16" ht="15.75" customHeight="1" x14ac:dyDescent="0.25">
      <c r="A384" s="6" t="s">
        <v>736</v>
      </c>
      <c r="B384" s="6" cm="1">
        <f t="array" ref="B384">alea_int(Settings!$B$10,1,Settings!$B$16)</f>
        <v>3</v>
      </c>
      <c r="C384" s="8">
        <v>46023</v>
      </c>
      <c r="D384" s="8">
        <f t="shared" si="21"/>
        <v>46387</v>
      </c>
      <c r="E384" s="6" t="str" cm="1">
        <f t="array" ref="E384">choice(Groupes!A:A,1,Settings!$B$16)</f>
        <v>G21</v>
      </c>
      <c r="F384" s="6" t="str">
        <f t="shared" si="22"/>
        <v>G21</v>
      </c>
      <c r="G384" s="6" t="str">
        <f t="shared" si="23"/>
        <v>Prof13</v>
      </c>
      <c r="H384" s="6" t="str" cm="1">
        <f t="array" ref="H384">choice(Referentiel!A:A,1,Settings!$B$16)</f>
        <v>1ère année Groupe 1</v>
      </c>
      <c r="I384" s="6" t="str" cm="1">
        <f t="array" ref="I384">choice(Referentiel!B:B,1,Settings!$B$16)</f>
        <v>1ère Année Groupe 2 S1</v>
      </c>
      <c r="J384" s="6" t="str" cm="1">
        <f t="array" ref="J384">choice(Referentiel!D:D,1,Settings!$B$16)</f>
        <v>M1</v>
      </c>
      <c r="K384" s="6" t="str" cm="1">
        <f t="array" ref="K384">choice(Professeurs!B:B,1,Settings!$B$16)</f>
        <v>Prof13</v>
      </c>
      <c r="L384" s="5" t="str" cm="1">
        <f t="array" ref="L384">choice(Referentiel!C:C,1,Settings!$B$16)</f>
        <v/>
      </c>
      <c r="M384" s="5" t="str" cm="1">
        <f t="array" ref="M384">choice(Referentiel!E:E,1,Settings!$B$16)</f>
        <v/>
      </c>
      <c r="N384" s="5" t="str" cm="1">
        <f t="array" ref="N384">choice(Settings!K:K,1,Settings!$B$16)</f>
        <v/>
      </c>
      <c r="P384" s="5">
        <f t="shared" si="24"/>
        <v>3</v>
      </c>
    </row>
    <row r="385" spans="1:16" ht="15.75" customHeight="1" x14ac:dyDescent="0.25">
      <c r="A385" s="6" t="s">
        <v>737</v>
      </c>
      <c r="B385" s="6" cm="1">
        <f t="array" ref="B385">alea_int(Settings!$B$10,1,Settings!$B$16)</f>
        <v>2</v>
      </c>
      <c r="C385" s="8">
        <v>46023</v>
      </c>
      <c r="D385" s="8">
        <f t="shared" si="21"/>
        <v>46387</v>
      </c>
      <c r="E385" s="6" t="str" cm="1">
        <f t="array" ref="E385">choice(Groupes!A:A,1,Settings!$B$16)</f>
        <v>G29</v>
      </c>
      <c r="F385" s="6" t="str">
        <f t="shared" si="22"/>
        <v>G29</v>
      </c>
      <c r="G385" s="6" t="str">
        <f t="shared" si="23"/>
        <v>Prof23</v>
      </c>
      <c r="H385" s="6" t="str" cm="1">
        <f t="array" ref="H385">choice(Referentiel!A:A,1,Settings!$B$16)</f>
        <v>Gr SPATIAL MEDIA</v>
      </c>
      <c r="I385" s="6" t="str" cm="1">
        <f t="array" ref="I385">choice(Referentiel!B:B,1,Settings!$B$16)</f>
        <v>4ème année Scénographie S1</v>
      </c>
      <c r="J385" s="6" t="str" cm="1">
        <f t="array" ref="J385">choice(Referentiel!D:D,1,Settings!$B$16)</f>
        <v>L3</v>
      </c>
      <c r="K385" s="6" t="str" cm="1">
        <f t="array" ref="K385">choice(Professeurs!B:B,1,Settings!$B$16)</f>
        <v>Prof23</v>
      </c>
      <c r="L385" s="5" t="str" cm="1">
        <f t="array" ref="L385">choice(Referentiel!C:C,1,Settings!$B$16)</f>
        <v/>
      </c>
      <c r="M385" s="5" t="str" cm="1">
        <f t="array" ref="M385">choice(Referentiel!E:E,1,Settings!$B$16)</f>
        <v/>
      </c>
      <c r="N385" s="5" t="str" cm="1">
        <f t="array" ref="N385">choice(Settings!K:K,1,Settings!$B$16)</f>
        <v/>
      </c>
      <c r="P385" s="5">
        <f t="shared" si="24"/>
        <v>2</v>
      </c>
    </row>
    <row r="386" spans="1:16" ht="15.75" customHeight="1" x14ac:dyDescent="0.25">
      <c r="A386" s="6" t="s">
        <v>738</v>
      </c>
      <c r="B386" s="6" cm="1">
        <f t="array" ref="B386">alea_int(Settings!$B$10,1,Settings!$B$16)</f>
        <v>3</v>
      </c>
      <c r="C386" s="8">
        <v>46023</v>
      </c>
      <c r="D386" s="8">
        <f t="shared" si="21"/>
        <v>46387</v>
      </c>
      <c r="E386" s="6" t="str" cm="1">
        <f t="array" ref="E386">choice(Groupes!A:A,1,Settings!$B$16)</f>
        <v>G21</v>
      </c>
      <c r="F386" s="6" t="str">
        <f t="shared" si="22"/>
        <v>G21</v>
      </c>
      <c r="G386" s="6" t="str">
        <f t="shared" si="23"/>
        <v>Prof20</v>
      </c>
      <c r="H386" s="6" t="str" cm="1">
        <f t="array" ref="H386">choice(Referentiel!A:A,1,Settings!$B$16)</f>
        <v>6ème ANNÉE STAGE</v>
      </c>
      <c r="I386" s="6" t="str" cm="1">
        <f t="array" ref="I386">choice(Referentiel!B:B,1,Settings!$B$16)</f>
        <v>3ème année Architecture Intérieure S2</v>
      </c>
      <c r="J386" s="6" t="str" cm="1">
        <f t="array" ref="J386">choice(Referentiel!D:D,1,Settings!$B$16)</f>
        <v>L1</v>
      </c>
      <c r="K386" s="6" t="str" cm="1">
        <f t="array" ref="K386">choice(Professeurs!B:B,1,Settings!$B$16)</f>
        <v>Prof20</v>
      </c>
      <c r="L386" s="5" t="str" cm="1">
        <f t="array" ref="L386">choice(Referentiel!C:C,1,Settings!$B$16)</f>
        <v/>
      </c>
      <c r="M386" s="5" t="str" cm="1">
        <f t="array" ref="M386">choice(Referentiel!E:E,1,Settings!$B$16)</f>
        <v/>
      </c>
      <c r="N386" s="5" t="str" cm="1">
        <f t="array" ref="N386">choice(Settings!K:K,1,Settings!$B$16)</f>
        <v/>
      </c>
      <c r="P386" s="5">
        <f t="shared" si="24"/>
        <v>3</v>
      </c>
    </row>
    <row r="387" spans="1:16" ht="15.75" customHeight="1" x14ac:dyDescent="0.25">
      <c r="A387" s="6" t="s">
        <v>739</v>
      </c>
      <c r="B387" s="6" cm="1">
        <f t="array" ref="B387">alea_int(Settings!$B$10,1,Settings!$B$16)</f>
        <v>3</v>
      </c>
      <c r="C387" s="8">
        <v>46023</v>
      </c>
      <c r="D387" s="8">
        <f t="shared" ref="D387:D450" si="25">C387+364</f>
        <v>46387</v>
      </c>
      <c r="E387" s="6" t="str" cm="1">
        <f t="array" ref="E387">choice(Groupes!A:A,1,Settings!$B$16)</f>
        <v>G19</v>
      </c>
      <c r="F387" s="6" t="str">
        <f t="shared" ref="F387:F450" si="26">E387</f>
        <v>G19</v>
      </c>
      <c r="G387" s="6" t="str">
        <f t="shared" ref="G387:G450" si="27">K387</f>
        <v>Prof22</v>
      </c>
      <c r="H387" s="6" t="str" cm="1">
        <f t="array" ref="H387">choice(Referentiel!A:A,1,Settings!$B$16)</f>
        <v>Design des mondes urbains</v>
      </c>
      <c r="I387" s="6" t="str" cm="1">
        <f t="array" ref="I387">choice(Referentiel!B:B,1,Settings!$B$16)</f>
        <v>2ème année Scénographie S1</v>
      </c>
      <c r="J387" s="6" t="str" cm="1">
        <f t="array" ref="J387">choice(Referentiel!D:D,1,Settings!$B$16)</f>
        <v>L3</v>
      </c>
      <c r="K387" s="6" t="str" cm="1">
        <f t="array" ref="K387">choice(Professeurs!B:B,1,Settings!$B$16)</f>
        <v>Prof22</v>
      </c>
      <c r="L387" s="5" t="str" cm="1">
        <f t="array" ref="L387">choice(Referentiel!C:C,1,Settings!$B$16)</f>
        <v/>
      </c>
      <c r="M387" s="5" t="str" cm="1">
        <f t="array" ref="M387">choice(Referentiel!E:E,1,Settings!$B$16)</f>
        <v/>
      </c>
      <c r="N387" s="5" t="str" cm="1">
        <f t="array" ref="N387">choice(Settings!K:K,1,Settings!$B$16)</f>
        <v/>
      </c>
      <c r="P387" s="5">
        <f t="shared" ref="P387:P450" si="28">B387+IF(M387&lt;&gt;"",2,0)+IF(N387&lt;&gt;"",2,0)</f>
        <v>3</v>
      </c>
    </row>
    <row r="388" spans="1:16" ht="15.75" customHeight="1" x14ac:dyDescent="0.25">
      <c r="A388" s="6" t="s">
        <v>740</v>
      </c>
      <c r="B388" s="6" cm="1">
        <f t="array" ref="B388">alea_int(Settings!$B$10,1,Settings!$B$16)</f>
        <v>3</v>
      </c>
      <c r="C388" s="8">
        <v>46023</v>
      </c>
      <c r="D388" s="8">
        <f t="shared" si="25"/>
        <v>46387</v>
      </c>
      <c r="E388" s="6" t="str" cm="1">
        <f t="array" ref="E388">choice(Groupes!A:A,1,Settings!$B$16)</f>
        <v>G5</v>
      </c>
      <c r="F388" s="6" t="str">
        <f t="shared" si="26"/>
        <v>G5</v>
      </c>
      <c r="G388" s="6" t="str">
        <f t="shared" si="27"/>
        <v>Prof19</v>
      </c>
      <c r="H388" s="6" t="str" cm="1">
        <f t="array" ref="H388">choice(Referentiel!A:A,1,Settings!$B$16)</f>
        <v>6ème année atelier</v>
      </c>
      <c r="I388" s="6" t="str" cm="1">
        <f t="array" ref="I388">choice(Referentiel!B:B,1,Settings!$B$16)</f>
        <v>3ème année Art-Espace S1</v>
      </c>
      <c r="J388" s="6" t="str" cm="1">
        <f t="array" ref="J388">choice(Referentiel!D:D,1,Settings!$B$16)</f>
        <v>L2</v>
      </c>
      <c r="K388" s="6" t="str" cm="1">
        <f t="array" ref="K388">choice(Professeurs!B:B,1,Settings!$B$16)</f>
        <v>Prof19</v>
      </c>
      <c r="L388" s="5" t="str" cm="1">
        <f t="array" ref="L388">choice(Referentiel!C:C,1,Settings!$B$16)</f>
        <v/>
      </c>
      <c r="M388" s="5" t="str" cm="1">
        <f t="array" ref="M388">choice(Referentiel!E:E,1,Settings!$B$16)</f>
        <v/>
      </c>
      <c r="N388" s="5" t="str" cm="1">
        <f t="array" ref="N388">choice(Settings!K:K,1,Settings!$B$16)</f>
        <v/>
      </c>
      <c r="P388" s="5">
        <f t="shared" si="28"/>
        <v>3</v>
      </c>
    </row>
    <row r="389" spans="1:16" ht="15.75" customHeight="1" x14ac:dyDescent="0.25">
      <c r="A389" s="6" t="s">
        <v>741</v>
      </c>
      <c r="B389" s="6" cm="1">
        <f t="array" ref="B389">alea_int(Settings!$B$10,1,Settings!$B$16)</f>
        <v>3</v>
      </c>
      <c r="C389" s="8">
        <v>46023</v>
      </c>
      <c r="D389" s="8">
        <f t="shared" si="25"/>
        <v>46387</v>
      </c>
      <c r="E389" s="6" t="str" cm="1">
        <f t="array" ref="E389">choice(Groupes!A:A,1,Settings!$B$16)</f>
        <v>G28</v>
      </c>
      <c r="F389" s="6" t="str">
        <f t="shared" si="26"/>
        <v>G28</v>
      </c>
      <c r="G389" s="6" t="str">
        <f t="shared" si="27"/>
        <v>Prof21</v>
      </c>
      <c r="H389" s="6" t="str" cm="1">
        <f t="array" ref="H389">choice(Referentiel!A:A,1,Settings!$B$16)</f>
        <v>1ère année Groupe 3</v>
      </c>
      <c r="I389" s="6" t="str" cm="1">
        <f t="array" ref="I389">choice(Referentiel!B:B,1,Settings!$B$16)</f>
        <v>3ème année Architecture Intérieure S1</v>
      </c>
      <c r="J389" s="6" t="str" cm="1">
        <f t="array" ref="J389">choice(Referentiel!D:D,1,Settings!$B$16)</f>
        <v>M1</v>
      </c>
      <c r="K389" s="6" t="str" cm="1">
        <f t="array" ref="K389">choice(Professeurs!B:B,1,Settings!$B$16)</f>
        <v>Prof21</v>
      </c>
      <c r="L389" s="5" t="str" cm="1">
        <f t="array" ref="L389">choice(Referentiel!C:C,1,Settings!$B$16)</f>
        <v/>
      </c>
      <c r="M389" s="5" t="str" cm="1">
        <f t="array" ref="M389">choice(Referentiel!E:E,1,Settings!$B$16)</f>
        <v/>
      </c>
      <c r="N389" s="5" t="str" cm="1">
        <f t="array" ref="N389">choice(Settings!K:K,1,Settings!$B$16)</f>
        <v/>
      </c>
      <c r="P389" s="5">
        <f t="shared" si="28"/>
        <v>3</v>
      </c>
    </row>
    <row r="390" spans="1:16" ht="15.75" customHeight="1" x14ac:dyDescent="0.25">
      <c r="A390" s="6" t="s">
        <v>742</v>
      </c>
      <c r="B390" s="6" cm="1">
        <f t="array" ref="B390">alea_int(Settings!$B$10,1,Settings!$B$16)</f>
        <v>3</v>
      </c>
      <c r="C390" s="8">
        <v>46023</v>
      </c>
      <c r="D390" s="8">
        <f t="shared" si="25"/>
        <v>46387</v>
      </c>
      <c r="E390" s="6" t="str" cm="1">
        <f t="array" ref="E390">choice(Groupes!A:A,1,Settings!$B$16)</f>
        <v>G29</v>
      </c>
      <c r="F390" s="6" t="str">
        <f t="shared" si="26"/>
        <v>G29</v>
      </c>
      <c r="G390" s="6" t="str">
        <f t="shared" si="27"/>
        <v>Prof53</v>
      </c>
      <c r="H390" s="6" t="str" cm="1">
        <f t="array" ref="H390">choice(Referentiel!A:A,1,Settings!$B$16)</f>
        <v>Photo / Vidéo</v>
      </c>
      <c r="I390" s="6" t="str" cm="1">
        <f t="array" ref="I390">choice(Referentiel!B:B,1,Settings!$B$16)</f>
        <v>5ème année Design Vêtement S2</v>
      </c>
      <c r="J390" s="6" t="str" cm="1">
        <f t="array" ref="J390">choice(Referentiel!D:D,1,Settings!$B$16)</f>
        <v>M2</v>
      </c>
      <c r="K390" s="6" t="str" cm="1">
        <f t="array" ref="K390">choice(Professeurs!B:B,1,Settings!$B$16)</f>
        <v>Prof53</v>
      </c>
      <c r="L390" s="5" t="str" cm="1">
        <f t="array" ref="L390">choice(Referentiel!C:C,1,Settings!$B$16)</f>
        <v/>
      </c>
      <c r="M390" s="5" t="str" cm="1">
        <f t="array" ref="M390">choice(Referentiel!E:E,1,Settings!$B$16)</f>
        <v/>
      </c>
      <c r="N390" s="5" t="str" cm="1">
        <f t="array" ref="N390">choice(Settings!K:K,1,Settings!$B$16)</f>
        <v/>
      </c>
      <c r="P390" s="5">
        <f t="shared" si="28"/>
        <v>3</v>
      </c>
    </row>
    <row r="391" spans="1:16" ht="15.75" customHeight="1" x14ac:dyDescent="0.25">
      <c r="A391" s="6" t="s">
        <v>743</v>
      </c>
      <c r="B391" s="6" cm="1">
        <f t="array" ref="B391">alea_int(Settings!$B$10,1,Settings!$B$16)</f>
        <v>2</v>
      </c>
      <c r="C391" s="8">
        <v>46023</v>
      </c>
      <c r="D391" s="8">
        <f t="shared" si="25"/>
        <v>46387</v>
      </c>
      <c r="E391" s="6" t="str" cm="1">
        <f t="array" ref="E391">choice(Groupes!A:A,1,Settings!$B$16)</f>
        <v>G8</v>
      </c>
      <c r="F391" s="6" t="str">
        <f t="shared" si="26"/>
        <v>G8</v>
      </c>
      <c r="G391" s="6" t="str">
        <f t="shared" si="27"/>
        <v>Prof48</v>
      </c>
      <c r="H391" s="6" t="str" cm="1">
        <f t="array" ref="H391">choice(Referentiel!A:A,1,Settings!$B$16)</f>
        <v>6ème ANNÉE STAGE</v>
      </c>
      <c r="I391" s="6" t="str" cm="1">
        <f t="array" ref="I391">choice(Referentiel!B:B,1,Settings!$B$16)</f>
        <v>3ème année Design Vêtement S2</v>
      </c>
      <c r="J391" s="6" t="str" cm="1">
        <f t="array" ref="J391">choice(Referentiel!D:D,1,Settings!$B$16)</f>
        <v>L3</v>
      </c>
      <c r="K391" s="6" t="str" cm="1">
        <f t="array" ref="K391">choice(Professeurs!B:B,1,Settings!$B$16)</f>
        <v>Prof48</v>
      </c>
      <c r="L391" s="5" t="str" cm="1">
        <f t="array" ref="L391">choice(Referentiel!C:C,1,Settings!$B$16)</f>
        <v/>
      </c>
      <c r="M391" s="5" t="str" cm="1">
        <f t="array" ref="M391">choice(Referentiel!E:E,1,Settings!$B$16)</f>
        <v/>
      </c>
      <c r="N391" s="5" t="str" cm="1">
        <f t="array" ref="N391">choice(Settings!K:K,1,Settings!$B$16)</f>
        <v/>
      </c>
      <c r="P391" s="5">
        <f t="shared" si="28"/>
        <v>2</v>
      </c>
    </row>
    <row r="392" spans="1:16" ht="15.75" customHeight="1" x14ac:dyDescent="0.25">
      <c r="A392" s="6" t="s">
        <v>744</v>
      </c>
      <c r="B392" s="6" cm="1">
        <f t="array" ref="B392">alea_int(Settings!$B$10,1,Settings!$B$16)</f>
        <v>3</v>
      </c>
      <c r="C392" s="8">
        <v>46023</v>
      </c>
      <c r="D392" s="8">
        <f t="shared" si="25"/>
        <v>46387</v>
      </c>
      <c r="E392" s="6" t="str" cm="1">
        <f t="array" ref="E392">choice(Groupes!A:A,1,Settings!$B$16)</f>
        <v>G17</v>
      </c>
      <c r="F392" s="6" t="str">
        <f t="shared" si="26"/>
        <v>G17</v>
      </c>
      <c r="G392" s="6" t="str">
        <f t="shared" si="27"/>
        <v>Prof48</v>
      </c>
      <c r="H392" s="6" t="str" cm="1">
        <f t="array" ref="H392">choice(Referentiel!A:A,1,Settings!$B$16)</f>
        <v>1ère année Groupe 1</v>
      </c>
      <c r="I392" s="6" t="str" cm="1">
        <f t="array" ref="I392">choice(Referentiel!B:B,1,Settings!$B$16)</f>
        <v>3ème année Design Graphique S1</v>
      </c>
      <c r="J392" s="6" t="str" cm="1">
        <f t="array" ref="J392">choice(Referentiel!D:D,1,Settings!$B$16)</f>
        <v>M2</v>
      </c>
      <c r="K392" s="6" t="str" cm="1">
        <f t="array" ref="K392">choice(Professeurs!B:B,1,Settings!$B$16)</f>
        <v>Prof48</v>
      </c>
      <c r="L392" s="5" t="str" cm="1">
        <f t="array" ref="L392">choice(Referentiel!C:C,1,Settings!$B$16)</f>
        <v/>
      </c>
      <c r="M392" s="5" t="str" cm="1">
        <f t="array" ref="M392">choice(Referentiel!E:E,1,Settings!$B$16)</f>
        <v/>
      </c>
      <c r="N392" s="5" t="str" cm="1">
        <f t="array" ref="N392">choice(Settings!K:K,1,Settings!$B$16)</f>
        <v/>
      </c>
      <c r="P392" s="5">
        <f t="shared" si="28"/>
        <v>3</v>
      </c>
    </row>
    <row r="393" spans="1:16" ht="15.75" customHeight="1" x14ac:dyDescent="0.25">
      <c r="A393" s="6" t="s">
        <v>745</v>
      </c>
      <c r="B393" s="6" cm="1">
        <f t="array" ref="B393">alea_int(Settings!$B$10,1,Settings!$B$16)</f>
        <v>1</v>
      </c>
      <c r="C393" s="8">
        <v>46023</v>
      </c>
      <c r="D393" s="8">
        <f t="shared" si="25"/>
        <v>46387</v>
      </c>
      <c r="E393" s="6" t="str" cm="1">
        <f t="array" ref="E393">choice(Groupes!A:A,1,Settings!$B$16)</f>
        <v>G24</v>
      </c>
      <c r="F393" s="6" t="str">
        <f t="shared" si="26"/>
        <v>G24</v>
      </c>
      <c r="G393" s="6" t="str">
        <f t="shared" si="27"/>
        <v>Prof34</v>
      </c>
      <c r="H393" s="6" t="str" cm="1">
        <f t="array" ref="H393">choice(Referentiel!A:A,1,Settings!$B$16)</f>
        <v>Gr SPATIAL MEDIA</v>
      </c>
      <c r="I393" s="6" t="str" cm="1">
        <f t="array" ref="I393">choice(Referentiel!B:B,1,Settings!$B$16)</f>
        <v>5ème année Design Objet S1</v>
      </c>
      <c r="J393" s="6" t="str" cm="1">
        <f t="array" ref="J393">choice(Referentiel!D:D,1,Settings!$B$16)</f>
        <v>L3</v>
      </c>
      <c r="K393" s="6" t="str" cm="1">
        <f t="array" ref="K393">choice(Professeurs!B:B,1,Settings!$B$16)</f>
        <v>Prof34</v>
      </c>
      <c r="L393" s="5" t="str" cm="1">
        <f t="array" ref="L393">choice(Referentiel!C:C,1,Settings!$B$16)</f>
        <v/>
      </c>
      <c r="M393" s="5" t="str" cm="1">
        <f t="array" ref="M393">choice(Referentiel!E:E,1,Settings!$B$16)</f>
        <v/>
      </c>
      <c r="N393" s="5" t="str" cm="1">
        <f t="array" ref="N393">choice(Settings!K:K,1,Settings!$B$16)</f>
        <v/>
      </c>
      <c r="P393" s="5">
        <f t="shared" si="28"/>
        <v>1</v>
      </c>
    </row>
    <row r="394" spans="1:16" ht="15.75" customHeight="1" x14ac:dyDescent="0.25">
      <c r="A394" s="6" t="s">
        <v>746</v>
      </c>
      <c r="B394" s="6" cm="1">
        <f t="array" ref="B394">alea_int(Settings!$B$10,1,Settings!$B$16)</f>
        <v>2</v>
      </c>
      <c r="C394" s="8">
        <v>46023</v>
      </c>
      <c r="D394" s="8">
        <f t="shared" si="25"/>
        <v>46387</v>
      </c>
      <c r="E394" s="6" t="str" cm="1">
        <f t="array" ref="E394">choice(Groupes!A:A,1,Settings!$B$16)</f>
        <v>G24</v>
      </c>
      <c r="F394" s="6" t="str">
        <f t="shared" si="26"/>
        <v>G24</v>
      </c>
      <c r="G394" s="6" t="str">
        <f t="shared" si="27"/>
        <v>Prof2</v>
      </c>
      <c r="H394" s="6" t="str" cm="1">
        <f t="array" ref="H394">choice(Referentiel!A:A,1,Settings!$B$16)</f>
        <v>Gr SOFT MATTERS</v>
      </c>
      <c r="I394" s="6" t="str" cm="1">
        <f t="array" ref="I394">choice(Referentiel!B:B,1,Settings!$B$16)</f>
        <v>3ème année Photo / Vidéo S2</v>
      </c>
      <c r="J394" s="6" t="str" cm="1">
        <f t="array" ref="J394">choice(Referentiel!D:D,1,Settings!$B$16)</f>
        <v>L1</v>
      </c>
      <c r="K394" s="6" t="str" cm="1">
        <f t="array" ref="K394">choice(Professeurs!B:B,1,Settings!$B$16)</f>
        <v>Prof2</v>
      </c>
      <c r="L394" s="5" t="str" cm="1">
        <f t="array" ref="L394">choice(Referentiel!C:C,1,Settings!$B$16)</f>
        <v/>
      </c>
      <c r="M394" s="5" t="str" cm="1">
        <f t="array" ref="M394">choice(Referentiel!E:E,1,Settings!$B$16)</f>
        <v/>
      </c>
      <c r="N394" s="5" t="str" cm="1">
        <f t="array" ref="N394">choice(Settings!K:K,1,Settings!$B$16)</f>
        <v/>
      </c>
      <c r="P394" s="5">
        <f t="shared" si="28"/>
        <v>2</v>
      </c>
    </row>
    <row r="395" spans="1:16" ht="15.75" customHeight="1" x14ac:dyDescent="0.25">
      <c r="A395" s="6" t="s">
        <v>747</v>
      </c>
      <c r="B395" s="6" cm="1">
        <f t="array" ref="B395">alea_int(Settings!$B$10,1,Settings!$B$16)</f>
        <v>3</v>
      </c>
      <c r="C395" s="8">
        <v>46023</v>
      </c>
      <c r="D395" s="8">
        <f t="shared" si="25"/>
        <v>46387</v>
      </c>
      <c r="E395" s="6" t="str" cm="1">
        <f t="array" ref="E395">choice(Groupes!A:A,1,Settings!$B$16)</f>
        <v>G24</v>
      </c>
      <c r="F395" s="6" t="str">
        <f t="shared" si="26"/>
        <v>G24</v>
      </c>
      <c r="G395" s="6" t="str">
        <f t="shared" si="27"/>
        <v>Prof12</v>
      </c>
      <c r="H395" s="6" t="str" cm="1">
        <f t="array" ref="H395">choice(Referentiel!A:A,1,Settings!$B$16)</f>
        <v>1ère année Groupe 2</v>
      </c>
      <c r="I395" s="6" t="str" cm="1">
        <f t="array" ref="I395">choice(Referentiel!B:B,1,Settings!$B$16)</f>
        <v>2ème année Scénographie S1</v>
      </c>
      <c r="J395" s="6" t="str" cm="1">
        <f t="array" ref="J395">choice(Referentiel!D:D,1,Settings!$B$16)</f>
        <v>M1</v>
      </c>
      <c r="K395" s="6" t="str" cm="1">
        <f t="array" ref="K395">choice(Professeurs!B:B,1,Settings!$B$16)</f>
        <v>Prof12</v>
      </c>
      <c r="L395" s="5" t="str" cm="1">
        <f t="array" ref="L395">choice(Referentiel!C:C,1,Settings!$B$16)</f>
        <v/>
      </c>
      <c r="M395" s="5" t="str" cm="1">
        <f t="array" ref="M395">choice(Referentiel!E:E,1,Settings!$B$16)</f>
        <v/>
      </c>
      <c r="N395" s="5" t="str" cm="1">
        <f t="array" ref="N395">choice(Settings!K:K,1,Settings!$B$16)</f>
        <v/>
      </c>
      <c r="P395" s="5">
        <f t="shared" si="28"/>
        <v>3</v>
      </c>
    </row>
    <row r="396" spans="1:16" ht="15.75" customHeight="1" x14ac:dyDescent="0.25">
      <c r="A396" s="6" t="s">
        <v>748</v>
      </c>
      <c r="B396" s="6" cm="1">
        <f t="array" ref="B396">alea_int(Settings!$B$10,1,Settings!$B$16)</f>
        <v>2</v>
      </c>
      <c r="C396" s="8">
        <v>46023</v>
      </c>
      <c r="D396" s="8">
        <f t="shared" si="25"/>
        <v>46387</v>
      </c>
      <c r="E396" s="6" t="str" cm="1">
        <f t="array" ref="E396">choice(Groupes!A:A,1,Settings!$B$16)</f>
        <v>G2</v>
      </c>
      <c r="F396" s="6" t="str">
        <f t="shared" si="26"/>
        <v>G2</v>
      </c>
      <c r="G396" s="6" t="str">
        <f t="shared" si="27"/>
        <v>Prof52</v>
      </c>
      <c r="H396" s="6" t="str" cm="1">
        <f t="array" ref="H396">choice(Referentiel!A:A,1,Settings!$B$16)</f>
        <v>1ère année Groupe 1</v>
      </c>
      <c r="I396" s="6" t="str" cm="1">
        <f t="array" ref="I396">choice(Referentiel!B:B,1,Settings!$B$16)</f>
        <v>4ème année Cinéma d'Animation S1</v>
      </c>
      <c r="J396" s="6" t="str" cm="1">
        <f t="array" ref="J396">choice(Referentiel!D:D,1,Settings!$B$16)</f>
        <v>M1</v>
      </c>
      <c r="K396" s="6" t="str" cm="1">
        <f t="array" ref="K396">choice(Professeurs!B:B,1,Settings!$B$16)</f>
        <v>Prof52</v>
      </c>
      <c r="L396" s="5" t="str" cm="1">
        <f t="array" ref="L396">choice(Referentiel!C:C,1,Settings!$B$16)</f>
        <v/>
      </c>
      <c r="M396" s="5" t="str" cm="1">
        <f t="array" ref="M396">choice(Referentiel!E:E,1,Settings!$B$16)</f>
        <v/>
      </c>
      <c r="N396" s="5" t="str" cm="1">
        <f t="array" ref="N396">choice(Settings!K:K,1,Settings!$B$16)</f>
        <v/>
      </c>
      <c r="P396" s="5">
        <f t="shared" si="28"/>
        <v>2</v>
      </c>
    </row>
    <row r="397" spans="1:16" ht="15.75" customHeight="1" x14ac:dyDescent="0.25">
      <c r="A397" s="6" t="s">
        <v>749</v>
      </c>
      <c r="B397" s="6" cm="1">
        <f t="array" ref="B397">alea_int(Settings!$B$10,1,Settings!$B$16)</f>
        <v>1</v>
      </c>
      <c r="C397" s="8">
        <v>46023</v>
      </c>
      <c r="D397" s="8">
        <f t="shared" si="25"/>
        <v>46387</v>
      </c>
      <c r="E397" s="6" t="str" cm="1">
        <f t="array" ref="E397">choice(Groupes!A:A,1,Settings!$B$16)</f>
        <v>G10</v>
      </c>
      <c r="F397" s="6" t="str">
        <f t="shared" si="26"/>
        <v>G10</v>
      </c>
      <c r="G397" s="6" t="str">
        <f t="shared" si="27"/>
        <v>Prof27</v>
      </c>
      <c r="H397" s="6" t="str" cm="1">
        <f t="array" ref="H397">choice(Referentiel!A:A,1,Settings!$B$16)</f>
        <v>Cinéma d'Animation</v>
      </c>
      <c r="I397" s="6" t="str" cm="1">
        <f t="array" ref="I397">choice(Referentiel!B:B,1,Settings!$B$16)</f>
        <v>3ème année Cinéma d'Animation S2</v>
      </c>
      <c r="J397" s="6" t="str" cm="1">
        <f t="array" ref="J397">choice(Referentiel!D:D,1,Settings!$B$16)</f>
        <v>L2</v>
      </c>
      <c r="K397" s="6" t="str" cm="1">
        <f t="array" ref="K397">choice(Professeurs!B:B,1,Settings!$B$16)</f>
        <v>Prof27</v>
      </c>
      <c r="L397" s="5" t="str" cm="1">
        <f t="array" ref="L397">choice(Referentiel!C:C,1,Settings!$B$16)</f>
        <v/>
      </c>
      <c r="M397" s="5" t="str" cm="1">
        <f t="array" ref="M397">choice(Referentiel!E:E,1,Settings!$B$16)</f>
        <v/>
      </c>
      <c r="N397" s="5" t="str" cm="1">
        <f t="array" ref="N397">choice(Settings!K:K,1,Settings!$B$16)</f>
        <v/>
      </c>
      <c r="P397" s="5">
        <f t="shared" si="28"/>
        <v>1</v>
      </c>
    </row>
    <row r="398" spans="1:16" ht="15.75" customHeight="1" x14ac:dyDescent="0.25">
      <c r="A398" s="6" t="s">
        <v>750</v>
      </c>
      <c r="B398" s="6" cm="1">
        <f t="array" ref="B398">alea_int(Settings!$B$10,1,Settings!$B$16)</f>
        <v>3</v>
      </c>
      <c r="C398" s="8">
        <v>46023</v>
      </c>
      <c r="D398" s="8">
        <f t="shared" si="25"/>
        <v>46387</v>
      </c>
      <c r="E398" s="6" t="str" cm="1">
        <f t="array" ref="E398">choice(Groupes!A:A,1,Settings!$B$16)</f>
        <v>G15</v>
      </c>
      <c r="F398" s="6" t="str">
        <f t="shared" si="26"/>
        <v>G15</v>
      </c>
      <c r="G398" s="6" t="str">
        <f t="shared" si="27"/>
        <v>Prof38</v>
      </c>
      <c r="H398" s="6" t="str" cm="1">
        <f t="array" ref="H398">choice(Referentiel!A:A,1,Settings!$B$16)</f>
        <v>Art-Espace</v>
      </c>
      <c r="I398" s="6" t="str" cm="1">
        <f t="array" ref="I398">choice(Referentiel!B:B,1,Settings!$B$16)</f>
        <v>2ème année Design Vêtement S2</v>
      </c>
      <c r="J398" s="6" t="str" cm="1">
        <f t="array" ref="J398">choice(Referentiel!D:D,1,Settings!$B$16)</f>
        <v>L2</v>
      </c>
      <c r="K398" s="6" t="str" cm="1">
        <f t="array" ref="K398">choice(Professeurs!B:B,1,Settings!$B$16)</f>
        <v>Prof38</v>
      </c>
      <c r="L398" s="5" t="str" cm="1">
        <f t="array" ref="L398">choice(Referentiel!C:C,1,Settings!$B$16)</f>
        <v/>
      </c>
      <c r="M398" s="5" t="str" cm="1">
        <f t="array" ref="M398">choice(Referentiel!E:E,1,Settings!$B$16)</f>
        <v/>
      </c>
      <c r="N398" s="5" t="str" cm="1">
        <f t="array" ref="N398">choice(Settings!K:K,1,Settings!$B$16)</f>
        <v>mercredi pm</v>
      </c>
      <c r="P398" s="5">
        <f t="shared" si="28"/>
        <v>5</v>
      </c>
    </row>
    <row r="399" spans="1:16" ht="15.75" customHeight="1" x14ac:dyDescent="0.25">
      <c r="A399" s="6" t="s">
        <v>751</v>
      </c>
      <c r="B399" s="6" cm="1">
        <f t="array" ref="B399">alea_int(Settings!$B$10,1,Settings!$B$16)</f>
        <v>3</v>
      </c>
      <c r="C399" s="8">
        <v>46023</v>
      </c>
      <c r="D399" s="8">
        <f t="shared" si="25"/>
        <v>46387</v>
      </c>
      <c r="E399" s="6" t="str" cm="1">
        <f t="array" ref="E399">choice(Groupes!A:A,1,Settings!$B$16)</f>
        <v>G14</v>
      </c>
      <c r="F399" s="6" t="str">
        <f t="shared" si="26"/>
        <v>G14</v>
      </c>
      <c r="G399" s="6" t="str">
        <f t="shared" si="27"/>
        <v>Prof42</v>
      </c>
      <c r="H399" s="6" t="str" cm="1">
        <f t="array" ref="H399">choice(Referentiel!A:A,1,Settings!$B$16)</f>
        <v>Design des mondes ruraux</v>
      </c>
      <c r="I399" s="6" t="str" cm="1">
        <f t="array" ref="I399">choice(Referentiel!B:B,1,Settings!$B$16)</f>
        <v>3ème année Design Graphique S1</v>
      </c>
      <c r="J399" s="6" t="str" cm="1">
        <f t="array" ref="J399">choice(Referentiel!D:D,1,Settings!$B$16)</f>
        <v>L1</v>
      </c>
      <c r="K399" s="6" t="str" cm="1">
        <f t="array" ref="K399">choice(Professeurs!B:B,1,Settings!$B$16)</f>
        <v>Prof42</v>
      </c>
      <c r="L399" s="5" t="str" cm="1">
        <f t="array" ref="L399">choice(Referentiel!C:C,1,Settings!$B$16)</f>
        <v/>
      </c>
      <c r="M399" s="5" t="str" cm="1">
        <f t="array" ref="M399">choice(Referentiel!E:E,1,Settings!$B$16)</f>
        <v/>
      </c>
      <c r="N399" s="5" t="str" cm="1">
        <f t="array" ref="N399">choice(Settings!K:K,1,Settings!$B$16)</f>
        <v/>
      </c>
      <c r="P399" s="5">
        <f t="shared" si="28"/>
        <v>3</v>
      </c>
    </row>
    <row r="400" spans="1:16" ht="15.75" customHeight="1" x14ac:dyDescent="0.25">
      <c r="A400" s="6" t="s">
        <v>752</v>
      </c>
      <c r="B400" s="6" cm="1">
        <f t="array" ref="B400">alea_int(Settings!$B$10,1,Settings!$B$16)</f>
        <v>3</v>
      </c>
      <c r="C400" s="8">
        <v>46023</v>
      </c>
      <c r="D400" s="8">
        <f t="shared" si="25"/>
        <v>46387</v>
      </c>
      <c r="E400" s="6" t="str" cm="1">
        <f t="array" ref="E400">choice(Groupes!A:A,1,Settings!$B$16)</f>
        <v>G6</v>
      </c>
      <c r="F400" s="6" t="str">
        <f t="shared" si="26"/>
        <v>G6</v>
      </c>
      <c r="G400" s="6" t="str">
        <f t="shared" si="27"/>
        <v>Prof52</v>
      </c>
      <c r="H400" s="6" t="str" cm="1">
        <f t="array" ref="H400">choice(Referentiel!A:A,1,Settings!$B$16)</f>
        <v>Design Objet</v>
      </c>
      <c r="I400" s="6" t="str" cm="1">
        <f t="array" ref="I400">choice(Referentiel!B:B,1,Settings!$B$16)</f>
        <v>4ème année Design Graphique S2</v>
      </c>
      <c r="J400" s="6" t="str" cm="1">
        <f t="array" ref="J400">choice(Referentiel!D:D,1,Settings!$B$16)</f>
        <v>M1</v>
      </c>
      <c r="K400" s="6" t="str" cm="1">
        <f t="array" ref="K400">choice(Professeurs!B:B,1,Settings!$B$16)</f>
        <v>Prof52</v>
      </c>
      <c r="L400" s="5" t="str" cm="1">
        <f t="array" ref="L400">choice(Referentiel!C:C,1,Settings!$B$16)</f>
        <v/>
      </c>
      <c r="M400" s="5" t="str" cm="1">
        <f t="array" ref="M400">choice(Referentiel!E:E,1,Settings!$B$16)</f>
        <v/>
      </c>
      <c r="N400" s="5" t="str" cm="1">
        <f t="array" ref="N400">choice(Settings!K:K,1,Settings!$B$16)</f>
        <v>lundi pm</v>
      </c>
      <c r="P400" s="5">
        <f t="shared" si="28"/>
        <v>5</v>
      </c>
    </row>
    <row r="401" spans="1:16" ht="15.75" customHeight="1" x14ac:dyDescent="0.25">
      <c r="A401" s="6" t="s">
        <v>753</v>
      </c>
      <c r="B401" s="6" cm="1">
        <f t="array" ref="B401">alea_int(Settings!$B$10,1,Settings!$B$16)</f>
        <v>2</v>
      </c>
      <c r="C401" s="8">
        <v>46023</v>
      </c>
      <c r="D401" s="8">
        <f t="shared" si="25"/>
        <v>46387</v>
      </c>
      <c r="E401" s="6" t="str" cm="1">
        <f t="array" ref="E401">choice(Groupes!A:A,1,Settings!$B$16)</f>
        <v>G27</v>
      </c>
      <c r="F401" s="6" t="str">
        <f t="shared" si="26"/>
        <v>G27</v>
      </c>
      <c r="G401" s="6" t="str">
        <f t="shared" si="27"/>
        <v>Prof20</v>
      </c>
      <c r="H401" s="6" t="str" cm="1">
        <f t="array" ref="H401">choice(Referentiel!A:A,1,Settings!$B$16)</f>
        <v>Design des mondes ruraux</v>
      </c>
      <c r="I401" s="6" t="str" cm="1">
        <f t="array" ref="I401">choice(Referentiel!B:B,1,Settings!$B$16)</f>
        <v>1ère Année Groupe 2 S1</v>
      </c>
      <c r="J401" s="6" t="str" cm="1">
        <f t="array" ref="J401">choice(Referentiel!D:D,1,Settings!$B$16)</f>
        <v>L1</v>
      </c>
      <c r="K401" s="6" t="str" cm="1">
        <f t="array" ref="K401">choice(Professeurs!B:B,1,Settings!$B$16)</f>
        <v>Prof20</v>
      </c>
      <c r="L401" s="5" t="str" cm="1">
        <f t="array" ref="L401">choice(Referentiel!C:C,1,Settings!$B$16)</f>
        <v/>
      </c>
      <c r="M401" s="5" t="str" cm="1">
        <f t="array" ref="M401">choice(Referentiel!E:E,1,Settings!$B$16)</f>
        <v/>
      </c>
      <c r="N401" s="5" t="str" cm="1">
        <f t="array" ref="N401">choice(Settings!K:K,1,Settings!$B$16)</f>
        <v/>
      </c>
      <c r="P401" s="5">
        <f t="shared" si="28"/>
        <v>2</v>
      </c>
    </row>
    <row r="402" spans="1:16" ht="15.75" customHeight="1" x14ac:dyDescent="0.25">
      <c r="A402" s="6" t="s">
        <v>754</v>
      </c>
      <c r="B402" s="6" cm="1">
        <f t="array" ref="B402">alea_int(Settings!$B$10,1,Settings!$B$16)</f>
        <v>2</v>
      </c>
      <c r="C402" s="8">
        <v>46023</v>
      </c>
      <c r="D402" s="8">
        <f t="shared" si="25"/>
        <v>46387</v>
      </c>
      <c r="E402" s="6" t="str" cm="1">
        <f t="array" ref="E402">choice(Groupes!A:A,1,Settings!$B$16)</f>
        <v>G11</v>
      </c>
      <c r="F402" s="6" t="str">
        <f t="shared" si="26"/>
        <v>G11</v>
      </c>
      <c r="G402" s="6" t="str">
        <f t="shared" si="27"/>
        <v>Prof33</v>
      </c>
      <c r="H402" s="6" t="str" cm="1">
        <f t="array" ref="H402">choice(Referentiel!A:A,1,Settings!$B$16)</f>
        <v>Cinéma d'Animation</v>
      </c>
      <c r="I402" s="6" t="str" cm="1">
        <f t="array" ref="I402">choice(Referentiel!B:B,1,Settings!$B$16)</f>
        <v>1ère Année Groupe 2 S1</v>
      </c>
      <c r="J402" s="6" t="str" cm="1">
        <f t="array" ref="J402">choice(Referentiel!D:D,1,Settings!$B$16)</f>
        <v>M1</v>
      </c>
      <c r="K402" s="6" t="str" cm="1">
        <f t="array" ref="K402">choice(Professeurs!B:B,1,Settings!$B$16)</f>
        <v>Prof33</v>
      </c>
      <c r="L402" s="5" t="str" cm="1">
        <f t="array" ref="L402">choice(Referentiel!C:C,1,Settings!$B$16)</f>
        <v/>
      </c>
      <c r="M402" s="5" t="str" cm="1">
        <f t="array" ref="M402">choice(Referentiel!E:E,1,Settings!$B$16)</f>
        <v/>
      </c>
      <c r="N402" s="5" t="str" cm="1">
        <f t="array" ref="N402">choice(Settings!K:K,1,Settings!$B$16)</f>
        <v/>
      </c>
      <c r="P402" s="5">
        <f t="shared" si="28"/>
        <v>2</v>
      </c>
    </row>
    <row r="403" spans="1:16" ht="15.75" customHeight="1" x14ac:dyDescent="0.25">
      <c r="A403" s="6" t="s">
        <v>755</v>
      </c>
      <c r="B403" s="6" cm="1">
        <f t="array" ref="B403">alea_int(Settings!$B$10,1,Settings!$B$16)</f>
        <v>1</v>
      </c>
      <c r="C403" s="8">
        <v>46023</v>
      </c>
      <c r="D403" s="8">
        <f t="shared" si="25"/>
        <v>46387</v>
      </c>
      <c r="E403" s="6" t="str" cm="1">
        <f t="array" ref="E403">choice(Groupes!A:A,1,Settings!$B$16)</f>
        <v>G23</v>
      </c>
      <c r="F403" s="6" t="str">
        <f t="shared" si="26"/>
        <v>G23</v>
      </c>
      <c r="G403" s="6" t="str">
        <f t="shared" si="27"/>
        <v>Prof51</v>
      </c>
      <c r="H403" s="6" t="str" cm="1">
        <f t="array" ref="H403">choice(Referentiel!A:A,1,Settings!$B$16)</f>
        <v>Design Objet</v>
      </c>
      <c r="I403" s="6" t="str" cm="1">
        <f t="array" ref="I403">choice(Referentiel!B:B,1,Settings!$B$16)</f>
        <v>1ère Année Groupe 2 S2</v>
      </c>
      <c r="J403" s="6" t="str" cm="1">
        <f t="array" ref="J403">choice(Referentiel!D:D,1,Settings!$B$16)</f>
        <v>M2</v>
      </c>
      <c r="K403" s="6" t="str" cm="1">
        <f t="array" ref="K403">choice(Professeurs!B:B,1,Settings!$B$16)</f>
        <v>Prof51</v>
      </c>
      <c r="L403" s="5" t="str" cm="1">
        <f t="array" ref="L403">choice(Referentiel!C:C,1,Settings!$B$16)</f>
        <v/>
      </c>
      <c r="M403" s="5" t="str" cm="1">
        <f t="array" ref="M403">choice(Referentiel!E:E,1,Settings!$B$16)</f>
        <v/>
      </c>
      <c r="N403" s="5" t="str" cm="1">
        <f t="array" ref="N403">choice(Settings!K:K,1,Settings!$B$16)</f>
        <v/>
      </c>
      <c r="P403" s="5">
        <f t="shared" si="28"/>
        <v>1</v>
      </c>
    </row>
    <row r="404" spans="1:16" ht="15.75" customHeight="1" x14ac:dyDescent="0.25">
      <c r="A404" s="6" t="s">
        <v>756</v>
      </c>
      <c r="B404" s="6" cm="1">
        <f t="array" ref="B404">alea_int(Settings!$B$10,1,Settings!$B$16)</f>
        <v>2</v>
      </c>
      <c r="C404" s="8">
        <v>46023</v>
      </c>
      <c r="D404" s="8">
        <f t="shared" si="25"/>
        <v>46387</v>
      </c>
      <c r="E404" s="6" t="str" cm="1">
        <f t="array" ref="E404">choice(Groupes!A:A,1,Settings!$B$16)</f>
        <v>G12</v>
      </c>
      <c r="F404" s="6" t="str">
        <f t="shared" si="26"/>
        <v>G12</v>
      </c>
      <c r="G404" s="6" t="str">
        <f t="shared" si="27"/>
        <v>Prof53</v>
      </c>
      <c r="H404" s="6" t="str" cm="1">
        <f t="array" ref="H404">choice(Referentiel!A:A,1,Settings!$B$16)</f>
        <v>1ère année Groupe 4</v>
      </c>
      <c r="I404" s="6" t="str" cm="1">
        <f t="array" ref="I404">choice(Referentiel!B:B,1,Settings!$B$16)</f>
        <v>3ème année Design Objet S2</v>
      </c>
      <c r="J404" s="6" t="str" cm="1">
        <f t="array" ref="J404">choice(Referentiel!D:D,1,Settings!$B$16)</f>
        <v>M2</v>
      </c>
      <c r="K404" s="6" t="str" cm="1">
        <f t="array" ref="K404">choice(Professeurs!B:B,1,Settings!$B$16)</f>
        <v>Prof53</v>
      </c>
      <c r="L404" s="5" t="str" cm="1">
        <f t="array" ref="L404">choice(Referentiel!C:C,1,Settings!$B$16)</f>
        <v/>
      </c>
      <c r="M404" s="5" t="str" cm="1">
        <f t="array" ref="M404">choice(Referentiel!E:E,1,Settings!$B$16)</f>
        <v/>
      </c>
      <c r="N404" s="5" t="str" cm="1">
        <f t="array" ref="N404">choice(Settings!K:K,1,Settings!$B$16)</f>
        <v>jeudi am</v>
      </c>
      <c r="P404" s="5">
        <f t="shared" si="28"/>
        <v>4</v>
      </c>
    </row>
    <row r="405" spans="1:16" ht="15.75" customHeight="1" x14ac:dyDescent="0.25">
      <c r="A405" s="6" t="s">
        <v>757</v>
      </c>
      <c r="B405" s="6" cm="1">
        <f t="array" ref="B405">alea_int(Settings!$B$10,1,Settings!$B$16)</f>
        <v>1</v>
      </c>
      <c r="C405" s="8">
        <v>46023</v>
      </c>
      <c r="D405" s="8">
        <f t="shared" si="25"/>
        <v>46387</v>
      </c>
      <c r="E405" s="6" t="str" cm="1">
        <f t="array" ref="E405">choice(Groupes!A:A,1,Settings!$B$16)</f>
        <v>G27</v>
      </c>
      <c r="F405" s="6" t="str">
        <f t="shared" si="26"/>
        <v>G27</v>
      </c>
      <c r="G405" s="6" t="str">
        <f t="shared" si="27"/>
        <v>Prof19</v>
      </c>
      <c r="H405" s="6" t="str" cm="1">
        <f t="array" ref="H405">choice(Referentiel!A:A,1,Settings!$B$16)</f>
        <v>Scénographie</v>
      </c>
      <c r="I405" s="6" t="str" cm="1">
        <f t="array" ref="I405">choice(Referentiel!B:B,1,Settings!$B$16)</f>
        <v>2ème année Design Objet S1</v>
      </c>
      <c r="J405" s="6" t="str" cm="1">
        <f t="array" ref="J405">choice(Referentiel!D:D,1,Settings!$B$16)</f>
        <v>M2</v>
      </c>
      <c r="K405" s="6" t="str" cm="1">
        <f t="array" ref="K405">choice(Professeurs!B:B,1,Settings!$B$16)</f>
        <v>Prof19</v>
      </c>
      <c r="L405" s="5" t="str" cm="1">
        <f t="array" ref="L405">choice(Referentiel!C:C,1,Settings!$B$16)</f>
        <v/>
      </c>
      <c r="M405" s="5" t="str" cm="1">
        <f t="array" ref="M405">choice(Referentiel!E:E,1,Settings!$B$16)</f>
        <v/>
      </c>
      <c r="N405" s="5" t="str" cm="1">
        <f t="array" ref="N405">choice(Settings!K:K,1,Settings!$B$16)</f>
        <v>mercredi pm</v>
      </c>
      <c r="P405" s="5">
        <f t="shared" si="28"/>
        <v>3</v>
      </c>
    </row>
    <row r="406" spans="1:16" ht="15.75" customHeight="1" x14ac:dyDescent="0.25">
      <c r="A406" s="6" t="s">
        <v>758</v>
      </c>
      <c r="B406" s="6" cm="1">
        <f t="array" ref="B406">alea_int(Settings!$B$10,1,Settings!$B$16)</f>
        <v>2</v>
      </c>
      <c r="C406" s="8">
        <v>46023</v>
      </c>
      <c r="D406" s="8">
        <f t="shared" si="25"/>
        <v>46387</v>
      </c>
      <c r="E406" s="6" t="str" cm="1">
        <f t="array" ref="E406">choice(Groupes!A:A,1,Settings!$B$16)</f>
        <v>G7</v>
      </c>
      <c r="F406" s="6" t="str">
        <f t="shared" si="26"/>
        <v>G7</v>
      </c>
      <c r="G406" s="6" t="str">
        <f t="shared" si="27"/>
        <v>Prof10</v>
      </c>
      <c r="H406" s="6" t="str" cm="1">
        <f t="array" ref="H406">choice(Referentiel!A:A,1,Settings!$B$16)</f>
        <v>Gr REFLECTIVE INTERACTION</v>
      </c>
      <c r="I406" s="6" t="str" cm="1">
        <f t="array" ref="I406">choice(Referentiel!B:B,1,Settings!$B$16)</f>
        <v>3ème année Design Vêtement S2</v>
      </c>
      <c r="J406" s="6" t="str" cm="1">
        <f t="array" ref="J406">choice(Referentiel!D:D,1,Settings!$B$16)</f>
        <v>M1</v>
      </c>
      <c r="K406" s="6" t="str" cm="1">
        <f t="array" ref="K406">choice(Professeurs!B:B,1,Settings!$B$16)</f>
        <v>Prof10</v>
      </c>
      <c r="L406" s="5" t="str" cm="1">
        <f t="array" ref="L406">choice(Referentiel!C:C,1,Settings!$B$16)</f>
        <v/>
      </c>
      <c r="M406" s="5" t="str" cm="1">
        <f t="array" ref="M406">choice(Referentiel!E:E,1,Settings!$B$16)</f>
        <v>Salle8</v>
      </c>
      <c r="N406" s="5" t="str" cm="1">
        <f t="array" ref="N406">choice(Settings!K:K,1,Settings!$B$16)</f>
        <v>mercredi ap</v>
      </c>
      <c r="P406" s="5">
        <f t="shared" si="28"/>
        <v>6</v>
      </c>
    </row>
    <row r="407" spans="1:16" ht="15.75" customHeight="1" x14ac:dyDescent="0.25">
      <c r="A407" s="6" t="s">
        <v>759</v>
      </c>
      <c r="B407" s="6" cm="1">
        <f t="array" ref="B407">alea_int(Settings!$B$10,1,Settings!$B$16)</f>
        <v>1</v>
      </c>
      <c r="C407" s="8">
        <v>46023</v>
      </c>
      <c r="D407" s="8">
        <f t="shared" si="25"/>
        <v>46387</v>
      </c>
      <c r="E407" s="6" t="str" cm="1">
        <f t="array" ref="E407">choice(Groupes!A:A,1,Settings!$B$16)</f>
        <v>G17</v>
      </c>
      <c r="F407" s="6" t="str">
        <f t="shared" si="26"/>
        <v>G17</v>
      </c>
      <c r="G407" s="6" t="str">
        <f t="shared" si="27"/>
        <v>Prof34</v>
      </c>
      <c r="H407" s="6" t="str" cm="1">
        <f t="array" ref="H407">choice(Referentiel!A:A,1,Settings!$B$16)</f>
        <v>1ère année Groupe 2</v>
      </c>
      <c r="I407" s="6" t="str" cm="1">
        <f t="array" ref="I407">choice(Referentiel!B:B,1,Settings!$B$16)</f>
        <v>1ère Année Groupe 4 S2</v>
      </c>
      <c r="J407" s="6" t="str" cm="1">
        <f t="array" ref="J407">choice(Referentiel!D:D,1,Settings!$B$16)</f>
        <v>L1</v>
      </c>
      <c r="K407" s="6" t="str" cm="1">
        <f t="array" ref="K407">choice(Professeurs!B:B,1,Settings!$B$16)</f>
        <v>Prof34</v>
      </c>
      <c r="L407" s="5" t="str" cm="1">
        <f t="array" ref="L407">choice(Referentiel!C:C,1,Settings!$B$16)</f>
        <v/>
      </c>
      <c r="M407" s="5" t="str" cm="1">
        <f t="array" ref="M407">choice(Referentiel!E:E,1,Settings!$B$16)</f>
        <v/>
      </c>
      <c r="N407" s="5" t="str" cm="1">
        <f t="array" ref="N407">choice(Settings!K:K,1,Settings!$B$16)</f>
        <v/>
      </c>
      <c r="P407" s="5">
        <f t="shared" si="28"/>
        <v>1</v>
      </c>
    </row>
    <row r="408" spans="1:16" ht="15.75" customHeight="1" x14ac:dyDescent="0.25">
      <c r="A408" s="6" t="s">
        <v>760</v>
      </c>
      <c r="B408" s="6" cm="1">
        <f t="array" ref="B408">alea_int(Settings!$B$10,1,Settings!$B$16)</f>
        <v>1</v>
      </c>
      <c r="C408" s="8">
        <v>46023</v>
      </c>
      <c r="D408" s="8">
        <f t="shared" si="25"/>
        <v>46387</v>
      </c>
      <c r="E408" s="6" t="str" cm="1">
        <f t="array" ref="E408">choice(Groupes!A:A,1,Settings!$B$16)</f>
        <v>G20</v>
      </c>
      <c r="F408" s="6" t="str">
        <f t="shared" si="26"/>
        <v>G20</v>
      </c>
      <c r="G408" s="6" t="str">
        <f t="shared" si="27"/>
        <v>Prof41</v>
      </c>
      <c r="H408" s="6" t="str" cm="1">
        <f t="array" ref="H408">choice(Referentiel!A:A,1,Settings!$B$16)</f>
        <v>1ère année Groupe 4</v>
      </c>
      <c r="I408" s="6" t="str" cm="1">
        <f t="array" ref="I408">choice(Referentiel!B:B,1,Settings!$B$16)</f>
        <v>4ème année Architecture Intérieure S2</v>
      </c>
      <c r="J408" s="6" t="str" cm="1">
        <f t="array" ref="J408">choice(Referentiel!D:D,1,Settings!$B$16)</f>
        <v>M1</v>
      </c>
      <c r="K408" s="6" t="str" cm="1">
        <f t="array" ref="K408">choice(Professeurs!B:B,1,Settings!$B$16)</f>
        <v>Prof41</v>
      </c>
      <c r="L408" s="5" t="str" cm="1">
        <f t="array" ref="L408">choice(Referentiel!C:C,1,Settings!$B$16)</f>
        <v/>
      </c>
      <c r="M408" s="5" t="str" cm="1">
        <f t="array" ref="M408">choice(Referentiel!E:E,1,Settings!$B$16)</f>
        <v/>
      </c>
      <c r="N408" s="5" t="str" cm="1">
        <f t="array" ref="N408">choice(Settings!K:K,1,Settings!$B$16)</f>
        <v>lundi am</v>
      </c>
      <c r="P408" s="5">
        <f t="shared" si="28"/>
        <v>3</v>
      </c>
    </row>
    <row r="409" spans="1:16" ht="15.75" customHeight="1" x14ac:dyDescent="0.25">
      <c r="A409" s="6" t="s">
        <v>761</v>
      </c>
      <c r="B409" s="6" cm="1">
        <f t="array" ref="B409">alea_int(Settings!$B$10,1,Settings!$B$16)</f>
        <v>1</v>
      </c>
      <c r="C409" s="8">
        <v>46023</v>
      </c>
      <c r="D409" s="8">
        <f t="shared" si="25"/>
        <v>46387</v>
      </c>
      <c r="E409" s="6" t="str" cm="1">
        <f t="array" ref="E409">choice(Groupes!A:A,1,Settings!$B$16)</f>
        <v>G12</v>
      </c>
      <c r="F409" s="6" t="str">
        <f t="shared" si="26"/>
        <v>G12</v>
      </c>
      <c r="G409" s="6" t="str">
        <f t="shared" si="27"/>
        <v>Prof20</v>
      </c>
      <c r="H409" s="6" t="str" cm="1">
        <f t="array" ref="H409">choice(Referentiel!A:A,1,Settings!$B$16)</f>
        <v>Design Textile et Matière</v>
      </c>
      <c r="I409" s="6" t="str" cm="1">
        <f t="array" ref="I409">choice(Referentiel!B:B,1,Settings!$B$16)</f>
        <v>4ème année Design Textile et Matière S1</v>
      </c>
      <c r="J409" s="6" t="str" cm="1">
        <f t="array" ref="J409">choice(Referentiel!D:D,1,Settings!$B$16)</f>
        <v>M2</v>
      </c>
      <c r="K409" s="6" t="str" cm="1">
        <f t="array" ref="K409">choice(Professeurs!B:B,1,Settings!$B$16)</f>
        <v>Prof20</v>
      </c>
      <c r="L409" s="5" t="str" cm="1">
        <f t="array" ref="L409">choice(Referentiel!C:C,1,Settings!$B$16)</f>
        <v/>
      </c>
      <c r="M409" s="5" t="str" cm="1">
        <f t="array" ref="M409">choice(Referentiel!E:E,1,Settings!$B$16)</f>
        <v/>
      </c>
      <c r="N409" s="5" t="str" cm="1">
        <f t="array" ref="N409">choice(Settings!K:K,1,Settings!$B$16)</f>
        <v>jeudi pm</v>
      </c>
      <c r="P409" s="5">
        <f t="shared" si="28"/>
        <v>3</v>
      </c>
    </row>
    <row r="410" spans="1:16" ht="15.75" customHeight="1" x14ac:dyDescent="0.25">
      <c r="A410" s="6" t="s">
        <v>762</v>
      </c>
      <c r="B410" s="6" cm="1">
        <f t="array" ref="B410">alea_int(Settings!$B$10,1,Settings!$B$16)</f>
        <v>3</v>
      </c>
      <c r="C410" s="8">
        <v>46023</v>
      </c>
      <c r="D410" s="8">
        <f t="shared" si="25"/>
        <v>46387</v>
      </c>
      <c r="E410" s="6" t="str" cm="1">
        <f t="array" ref="E410">choice(Groupes!A:A,1,Settings!$B$16)</f>
        <v>G16</v>
      </c>
      <c r="F410" s="6" t="str">
        <f t="shared" si="26"/>
        <v>G16</v>
      </c>
      <c r="G410" s="6" t="str">
        <f t="shared" si="27"/>
        <v>Prof28</v>
      </c>
      <c r="H410" s="6" t="str" cm="1">
        <f t="array" ref="H410">choice(Referentiel!A:A,1,Settings!$B$16)</f>
        <v>1ère année Groupe 1</v>
      </c>
      <c r="I410" s="6" t="str" cm="1">
        <f t="array" ref="I410">choice(Referentiel!B:B,1,Settings!$B$16)</f>
        <v>5ème année Cinéma d'Animation S2</v>
      </c>
      <c r="J410" s="6" t="str" cm="1">
        <f t="array" ref="J410">choice(Referentiel!D:D,1,Settings!$B$16)</f>
        <v>L1</v>
      </c>
      <c r="K410" s="6" t="str" cm="1">
        <f t="array" ref="K410">choice(Professeurs!B:B,1,Settings!$B$16)</f>
        <v>Prof28</v>
      </c>
      <c r="L410" s="5" t="str" cm="1">
        <f t="array" ref="L410">choice(Referentiel!C:C,1,Settings!$B$16)</f>
        <v/>
      </c>
      <c r="M410" s="5" t="str" cm="1">
        <f t="array" ref="M410">choice(Referentiel!E:E,1,Settings!$B$16)</f>
        <v/>
      </c>
      <c r="N410" s="5" t="str" cm="1">
        <f t="array" ref="N410">choice(Settings!K:K,1,Settings!$B$16)</f>
        <v/>
      </c>
      <c r="P410" s="5">
        <f t="shared" si="28"/>
        <v>3</v>
      </c>
    </row>
    <row r="411" spans="1:16" ht="15.75" customHeight="1" x14ac:dyDescent="0.25">
      <c r="A411" s="6" t="s">
        <v>763</v>
      </c>
      <c r="B411" s="6" cm="1">
        <f t="array" ref="B411">alea_int(Settings!$B$10,1,Settings!$B$16)</f>
        <v>3</v>
      </c>
      <c r="C411" s="8">
        <v>46023</v>
      </c>
      <c r="D411" s="8">
        <f t="shared" si="25"/>
        <v>46387</v>
      </c>
      <c r="E411" s="6" t="str" cm="1">
        <f t="array" ref="E411">choice(Groupes!A:A,1,Settings!$B$16)</f>
        <v>G3</v>
      </c>
      <c r="F411" s="6" t="str">
        <f t="shared" si="26"/>
        <v>G3</v>
      </c>
      <c r="G411" s="6" t="str">
        <f t="shared" si="27"/>
        <v>Prof55</v>
      </c>
      <c r="H411" s="6" t="str" cm="1">
        <f t="array" ref="H411">choice(Referentiel!A:A,1,Settings!$B$16)</f>
        <v>Gr SOFT MATTERS</v>
      </c>
      <c r="I411" s="6" t="str" cm="1">
        <f t="array" ref="I411">choice(Referentiel!B:B,1,Settings!$B$16)</f>
        <v>2ème année Design Textile et Matière S1</v>
      </c>
      <c r="J411" s="6" t="str" cm="1">
        <f t="array" ref="J411">choice(Referentiel!D:D,1,Settings!$B$16)</f>
        <v>L3</v>
      </c>
      <c r="K411" s="6" t="str" cm="1">
        <f t="array" ref="K411">choice(Professeurs!B:B,1,Settings!$B$16)</f>
        <v>Prof55</v>
      </c>
      <c r="L411" s="5" t="str" cm="1">
        <f t="array" ref="L411">choice(Referentiel!C:C,1,Settings!$B$16)</f>
        <v/>
      </c>
      <c r="M411" s="5" t="str" cm="1">
        <f t="array" ref="M411">choice(Referentiel!E:E,1,Settings!$B$16)</f>
        <v/>
      </c>
      <c r="N411" s="5" t="str" cm="1">
        <f t="array" ref="N411">choice(Settings!K:K,1,Settings!$B$16)</f>
        <v>lundi am</v>
      </c>
      <c r="P411" s="5">
        <f t="shared" si="28"/>
        <v>5</v>
      </c>
    </row>
    <row r="412" spans="1:16" ht="15.75" customHeight="1" x14ac:dyDescent="0.25">
      <c r="A412" s="6" t="s">
        <v>764</v>
      </c>
      <c r="B412" s="6" cm="1">
        <f t="array" ref="B412">alea_int(Settings!$B$10,1,Settings!$B$16)</f>
        <v>3</v>
      </c>
      <c r="C412" s="8">
        <v>46023</v>
      </c>
      <c r="D412" s="8">
        <f t="shared" si="25"/>
        <v>46387</v>
      </c>
      <c r="E412" s="6" t="str" cm="1">
        <f t="array" ref="E412">choice(Groupes!A:A,1,Settings!$B$16)</f>
        <v>G15</v>
      </c>
      <c r="F412" s="6" t="str">
        <f t="shared" si="26"/>
        <v>G15</v>
      </c>
      <c r="G412" s="6" t="str">
        <f t="shared" si="27"/>
        <v>Prof37</v>
      </c>
      <c r="H412" s="6" t="str" cm="1">
        <f t="array" ref="H412">choice(Referentiel!A:A,1,Settings!$B$16)</f>
        <v>Gr SPATIAL MEDIA</v>
      </c>
      <c r="I412" s="6" t="str" cm="1">
        <f t="array" ref="I412">choice(Referentiel!B:B,1,Settings!$B$16)</f>
        <v>1ère Année Groupe 3 S1</v>
      </c>
      <c r="J412" s="6" t="str" cm="1">
        <f t="array" ref="J412">choice(Referentiel!D:D,1,Settings!$B$16)</f>
        <v>M2</v>
      </c>
      <c r="K412" s="6" t="str" cm="1">
        <f t="array" ref="K412">choice(Professeurs!B:B,1,Settings!$B$16)</f>
        <v>Prof37</v>
      </c>
      <c r="L412" s="5" t="str" cm="1">
        <f t="array" ref="L412">choice(Referentiel!C:C,1,Settings!$B$16)</f>
        <v>ordinateur</v>
      </c>
      <c r="M412" s="5" t="str" cm="1">
        <f t="array" ref="M412">choice(Referentiel!E:E,1,Settings!$B$16)</f>
        <v/>
      </c>
      <c r="N412" s="5" t="str" cm="1">
        <f t="array" ref="N412">choice(Settings!K:K,1,Settings!$B$16)</f>
        <v>mardi am</v>
      </c>
      <c r="P412" s="5">
        <f t="shared" si="28"/>
        <v>5</v>
      </c>
    </row>
    <row r="413" spans="1:16" ht="15.75" customHeight="1" x14ac:dyDescent="0.25">
      <c r="A413" s="6" t="s">
        <v>765</v>
      </c>
      <c r="B413" s="6" cm="1">
        <f t="array" ref="B413">alea_int(Settings!$B$10,1,Settings!$B$16)</f>
        <v>3</v>
      </c>
      <c r="C413" s="8">
        <v>46023</v>
      </c>
      <c r="D413" s="8">
        <f t="shared" si="25"/>
        <v>46387</v>
      </c>
      <c r="E413" s="6" t="str" cm="1">
        <f t="array" ref="E413">choice(Groupes!A:A,1,Settings!$B$16)</f>
        <v>G27</v>
      </c>
      <c r="F413" s="6" t="str">
        <f t="shared" si="26"/>
        <v>G27</v>
      </c>
      <c r="G413" s="6" t="str">
        <f t="shared" si="27"/>
        <v>Prof5</v>
      </c>
      <c r="H413" s="6" t="str" cm="1">
        <f t="array" ref="H413">choice(Referentiel!A:A,1,Settings!$B$16)</f>
        <v>Design Textile et Matière</v>
      </c>
      <c r="I413" s="6" t="str" cm="1">
        <f t="array" ref="I413">choice(Referentiel!B:B,1,Settings!$B$16)</f>
        <v>1ère Année Groupe 2 S2</v>
      </c>
      <c r="J413" s="6" t="str" cm="1">
        <f t="array" ref="J413">choice(Referentiel!D:D,1,Settings!$B$16)</f>
        <v>L3</v>
      </c>
      <c r="K413" s="6" t="str" cm="1">
        <f t="array" ref="K413">choice(Professeurs!B:B,1,Settings!$B$16)</f>
        <v>Prof5</v>
      </c>
      <c r="L413" s="5" t="str" cm="1">
        <f t="array" ref="L413">choice(Referentiel!C:C,1,Settings!$B$16)</f>
        <v/>
      </c>
      <c r="M413" s="5" t="str" cm="1">
        <f t="array" ref="M413">choice(Referentiel!E:E,1,Settings!$B$16)</f>
        <v/>
      </c>
      <c r="N413" s="5" t="str" cm="1">
        <f t="array" ref="N413">choice(Settings!K:K,1,Settings!$B$16)</f>
        <v/>
      </c>
      <c r="P413" s="5">
        <f t="shared" si="28"/>
        <v>3</v>
      </c>
    </row>
    <row r="414" spans="1:16" ht="15.75" customHeight="1" x14ac:dyDescent="0.25">
      <c r="A414" s="6" t="s">
        <v>766</v>
      </c>
      <c r="B414" s="6" cm="1">
        <f t="array" ref="B414">alea_int(Settings!$B$10,1,Settings!$B$16)</f>
        <v>3</v>
      </c>
      <c r="C414" s="8">
        <v>46023</v>
      </c>
      <c r="D414" s="8">
        <f t="shared" si="25"/>
        <v>46387</v>
      </c>
      <c r="E414" s="6" t="str" cm="1">
        <f t="array" ref="E414">choice(Groupes!A:A,1,Settings!$B$16)</f>
        <v>G4</v>
      </c>
      <c r="F414" s="6" t="str">
        <f t="shared" si="26"/>
        <v>G4</v>
      </c>
      <c r="G414" s="6" t="str">
        <f t="shared" si="27"/>
        <v>Prof19</v>
      </c>
      <c r="H414" s="6" t="str" cm="1">
        <f t="array" ref="H414">choice(Referentiel!A:A,1,Settings!$B$16)</f>
        <v>1ère année Groupe 3</v>
      </c>
      <c r="I414" s="6" t="str" cm="1">
        <f t="array" ref="I414">choice(Referentiel!B:B,1,Settings!$B$16)</f>
        <v>Césure S1</v>
      </c>
      <c r="J414" s="6" t="str" cm="1">
        <f t="array" ref="J414">choice(Referentiel!D:D,1,Settings!$B$16)</f>
        <v>M2</v>
      </c>
      <c r="K414" s="6" t="str" cm="1">
        <f t="array" ref="K414">choice(Professeurs!B:B,1,Settings!$B$16)</f>
        <v>Prof19</v>
      </c>
      <c r="L414" s="5" t="str" cm="1">
        <f t="array" ref="L414">choice(Referentiel!C:C,1,Settings!$B$16)</f>
        <v/>
      </c>
      <c r="M414" s="5" t="str" cm="1">
        <f t="array" ref="M414">choice(Referentiel!E:E,1,Settings!$B$16)</f>
        <v/>
      </c>
      <c r="N414" s="5" t="str" cm="1">
        <f t="array" ref="N414">choice(Settings!K:K,1,Settings!$B$16)</f>
        <v>lundi am</v>
      </c>
      <c r="P414" s="5">
        <f t="shared" si="28"/>
        <v>5</v>
      </c>
    </row>
    <row r="415" spans="1:16" ht="15.75" customHeight="1" x14ac:dyDescent="0.25">
      <c r="A415" s="6" t="s">
        <v>767</v>
      </c>
      <c r="B415" s="6" cm="1">
        <f t="array" ref="B415">alea_int(Settings!$B$10,1,Settings!$B$16)</f>
        <v>2</v>
      </c>
      <c r="C415" s="8">
        <v>46023</v>
      </c>
      <c r="D415" s="8">
        <f t="shared" si="25"/>
        <v>46387</v>
      </c>
      <c r="E415" s="6" t="str" cm="1">
        <f t="array" ref="E415">choice(Groupes!A:A,1,Settings!$B$16)</f>
        <v>G11</v>
      </c>
      <c r="F415" s="6" t="str">
        <f t="shared" si="26"/>
        <v>G11</v>
      </c>
      <c r="G415" s="6" t="str">
        <f t="shared" si="27"/>
        <v>Prof39</v>
      </c>
      <c r="H415" s="6" t="str" cm="1">
        <f t="array" ref="H415">choice(Referentiel!A:A,1,Settings!$B$16)</f>
        <v>Gr TERRITOIRES</v>
      </c>
      <c r="I415" s="6" t="str" cm="1">
        <f t="array" ref="I415">choice(Referentiel!B:B,1,Settings!$B$16)</f>
        <v>Césure S1</v>
      </c>
      <c r="J415" s="6" t="str" cm="1">
        <f t="array" ref="J415">choice(Referentiel!D:D,1,Settings!$B$16)</f>
        <v>L2</v>
      </c>
      <c r="K415" s="6" t="str" cm="1">
        <f t="array" ref="K415">choice(Professeurs!B:B,1,Settings!$B$16)</f>
        <v>Prof39</v>
      </c>
      <c r="L415" s="5" t="str" cm="1">
        <f t="array" ref="L415">choice(Referentiel!C:C,1,Settings!$B$16)</f>
        <v/>
      </c>
      <c r="M415" s="5" t="str" cm="1">
        <f t="array" ref="M415">choice(Referentiel!E:E,1,Settings!$B$16)</f>
        <v/>
      </c>
      <c r="N415" s="5" t="str" cm="1">
        <f t="array" ref="N415">choice(Settings!K:K,1,Settings!$B$16)</f>
        <v/>
      </c>
      <c r="P415" s="5">
        <f t="shared" si="28"/>
        <v>2</v>
      </c>
    </row>
    <row r="416" spans="1:16" ht="15.75" customHeight="1" x14ac:dyDescent="0.25">
      <c r="A416" s="6" t="s">
        <v>768</v>
      </c>
      <c r="B416" s="6" cm="1">
        <f t="array" ref="B416">alea_int(Settings!$B$10,1,Settings!$B$16)</f>
        <v>3</v>
      </c>
      <c r="C416" s="8">
        <v>46023</v>
      </c>
      <c r="D416" s="8">
        <f t="shared" si="25"/>
        <v>46387</v>
      </c>
      <c r="E416" s="6" t="str" cm="1">
        <f t="array" ref="E416">choice(Groupes!A:A,1,Settings!$B$16)</f>
        <v>G19</v>
      </c>
      <c r="F416" s="6" t="str">
        <f t="shared" si="26"/>
        <v>G19</v>
      </c>
      <c r="G416" s="6" t="str">
        <f t="shared" si="27"/>
        <v>Prof33</v>
      </c>
      <c r="H416" s="6" t="str" cm="1">
        <f t="array" ref="H416">choice(Referentiel!A:A,1,Settings!$B$16)</f>
        <v>Scénographie</v>
      </c>
      <c r="I416" s="6" t="str" cm="1">
        <f t="array" ref="I416">choice(Referentiel!B:B,1,Settings!$B$16)</f>
        <v>4ème année Architecture Intérieure S1</v>
      </c>
      <c r="J416" s="6" t="str" cm="1">
        <f t="array" ref="J416">choice(Referentiel!D:D,1,Settings!$B$16)</f>
        <v>L3</v>
      </c>
      <c r="K416" s="6" t="str" cm="1">
        <f t="array" ref="K416">choice(Professeurs!B:B,1,Settings!$B$16)</f>
        <v>Prof33</v>
      </c>
      <c r="L416" s="5" t="str" cm="1">
        <f t="array" ref="L416">choice(Referentiel!C:C,1,Settings!$B$16)</f>
        <v/>
      </c>
      <c r="M416" s="5" t="str" cm="1">
        <f t="array" ref="M416">choice(Referentiel!E:E,1,Settings!$B$16)</f>
        <v/>
      </c>
      <c r="N416" s="5" t="str" cm="1">
        <f t="array" ref="N416">choice(Settings!K:K,1,Settings!$B$16)</f>
        <v/>
      </c>
      <c r="P416" s="5">
        <f t="shared" si="28"/>
        <v>3</v>
      </c>
    </row>
    <row r="417" spans="1:16" ht="15.75" customHeight="1" x14ac:dyDescent="0.25">
      <c r="A417" s="6" t="s">
        <v>769</v>
      </c>
      <c r="B417" s="6" cm="1">
        <f t="array" ref="B417">alea_int(Settings!$B$10,1,Settings!$B$16)</f>
        <v>1</v>
      </c>
      <c r="C417" s="8">
        <v>46023</v>
      </c>
      <c r="D417" s="8">
        <f t="shared" si="25"/>
        <v>46387</v>
      </c>
      <c r="E417" s="6" t="str" cm="1">
        <f t="array" ref="E417">choice(Groupes!A:A,1,Settings!$B$16)</f>
        <v>G23</v>
      </c>
      <c r="F417" s="6" t="str">
        <f t="shared" si="26"/>
        <v>G23</v>
      </c>
      <c r="G417" s="6" t="str">
        <f t="shared" si="27"/>
        <v>Prof21</v>
      </c>
      <c r="H417" s="6" t="str" cm="1">
        <f t="array" ref="H417">choice(Referentiel!A:A,1,Settings!$B$16)</f>
        <v>Image Imprimée</v>
      </c>
      <c r="I417" s="6" t="str" cm="1">
        <f t="array" ref="I417">choice(Referentiel!B:B,1,Settings!$B$16)</f>
        <v>3ème année Architecture Intérieure S1</v>
      </c>
      <c r="J417" s="6" t="str" cm="1">
        <f t="array" ref="J417">choice(Referentiel!D:D,1,Settings!$B$16)</f>
        <v>M2</v>
      </c>
      <c r="K417" s="6" t="str" cm="1">
        <f t="array" ref="K417">choice(Professeurs!B:B,1,Settings!$B$16)</f>
        <v>Prof21</v>
      </c>
      <c r="L417" s="5" t="str" cm="1">
        <f t="array" ref="L417">choice(Referentiel!C:C,1,Settings!$B$16)</f>
        <v/>
      </c>
      <c r="M417" s="5" t="str" cm="1">
        <f t="array" ref="M417">choice(Referentiel!E:E,1,Settings!$B$16)</f>
        <v/>
      </c>
      <c r="N417" s="5" t="str" cm="1">
        <f t="array" ref="N417">choice(Settings!K:K,1,Settings!$B$16)</f>
        <v/>
      </c>
      <c r="P417" s="5">
        <f t="shared" si="28"/>
        <v>1</v>
      </c>
    </row>
    <row r="418" spans="1:16" ht="15.75" customHeight="1" x14ac:dyDescent="0.25">
      <c r="A418" s="6" t="s">
        <v>770</v>
      </c>
      <c r="B418" s="6" cm="1">
        <f t="array" ref="B418">alea_int(Settings!$B$10,1,Settings!$B$16)</f>
        <v>3</v>
      </c>
      <c r="C418" s="8">
        <v>46023</v>
      </c>
      <c r="D418" s="8">
        <f t="shared" si="25"/>
        <v>46387</v>
      </c>
      <c r="E418" s="6" t="str" cm="1">
        <f t="array" ref="E418">choice(Groupes!A:A,1,Settings!$B$16)</f>
        <v>G8</v>
      </c>
      <c r="F418" s="6" t="str">
        <f t="shared" si="26"/>
        <v>G8</v>
      </c>
      <c r="G418" s="6" t="str">
        <f t="shared" si="27"/>
        <v>Prof42</v>
      </c>
      <c r="H418" s="6" t="str" cm="1">
        <f t="array" ref="H418">choice(Referentiel!A:A,1,Settings!$B$16)</f>
        <v>Gr SPATIAL MEDIA</v>
      </c>
      <c r="I418" s="6" t="str" cm="1">
        <f t="array" ref="I418">choice(Referentiel!B:B,1,Settings!$B$16)</f>
        <v>2ème année Scénographie S2</v>
      </c>
      <c r="J418" s="6" t="str" cm="1">
        <f t="array" ref="J418">choice(Referentiel!D:D,1,Settings!$B$16)</f>
        <v>M1</v>
      </c>
      <c r="K418" s="6" t="str" cm="1">
        <f t="array" ref="K418">choice(Professeurs!B:B,1,Settings!$B$16)</f>
        <v>Prof42</v>
      </c>
      <c r="L418" s="5" t="str" cm="1">
        <f t="array" ref="L418">choice(Referentiel!C:C,1,Settings!$B$16)</f>
        <v/>
      </c>
      <c r="M418" s="5" t="str" cm="1">
        <f t="array" ref="M418">choice(Referentiel!E:E,1,Settings!$B$16)</f>
        <v/>
      </c>
      <c r="N418" s="5" t="str" cm="1">
        <f t="array" ref="N418">choice(Settings!K:K,1,Settings!$B$16)</f>
        <v/>
      </c>
      <c r="P418" s="5">
        <f t="shared" si="28"/>
        <v>3</v>
      </c>
    </row>
    <row r="419" spans="1:16" ht="15.75" customHeight="1" x14ac:dyDescent="0.25">
      <c r="A419" s="6" t="s">
        <v>771</v>
      </c>
      <c r="B419" s="6" cm="1">
        <f t="array" ref="B419">alea_int(Settings!$B$10,1,Settings!$B$16)</f>
        <v>2</v>
      </c>
      <c r="C419" s="8">
        <v>46023</v>
      </c>
      <c r="D419" s="8">
        <f t="shared" si="25"/>
        <v>46387</v>
      </c>
      <c r="E419" s="6" t="str" cm="1">
        <f t="array" ref="E419">choice(Groupes!A:A,1,Settings!$B$16)</f>
        <v>G11</v>
      </c>
      <c r="F419" s="6" t="str">
        <f t="shared" si="26"/>
        <v>G11</v>
      </c>
      <c r="G419" s="6" t="str">
        <f t="shared" si="27"/>
        <v>Prof30</v>
      </c>
      <c r="H419" s="6" t="str" cm="1">
        <f t="array" ref="H419">choice(Referentiel!A:A,1,Settings!$B$16)</f>
        <v>Design des mondes insulaires</v>
      </c>
      <c r="I419" s="6" t="str" cm="1">
        <f t="array" ref="I419">choice(Referentiel!B:B,1,Settings!$B$16)</f>
        <v>4ème année Design Vêtement S2</v>
      </c>
      <c r="J419" s="6" t="str" cm="1">
        <f t="array" ref="J419">choice(Referentiel!D:D,1,Settings!$B$16)</f>
        <v>L3</v>
      </c>
      <c r="K419" s="6" t="str" cm="1">
        <f t="array" ref="K419">choice(Professeurs!B:B,1,Settings!$B$16)</f>
        <v>Prof30</v>
      </c>
      <c r="L419" s="5" t="str" cm="1">
        <f t="array" ref="L419">choice(Referentiel!C:C,1,Settings!$B$16)</f>
        <v/>
      </c>
      <c r="M419" s="5" t="str" cm="1">
        <f t="array" ref="M419">choice(Referentiel!E:E,1,Settings!$B$16)</f>
        <v/>
      </c>
      <c r="N419" s="5" t="str" cm="1">
        <f t="array" ref="N419">choice(Settings!K:K,1,Settings!$B$16)</f>
        <v/>
      </c>
      <c r="P419" s="5">
        <f t="shared" si="28"/>
        <v>2</v>
      </c>
    </row>
    <row r="420" spans="1:16" ht="15.75" customHeight="1" x14ac:dyDescent="0.25">
      <c r="A420" s="6" t="s">
        <v>772</v>
      </c>
      <c r="B420" s="6" cm="1">
        <f t="array" ref="B420">alea_int(Settings!$B$10,1,Settings!$B$16)</f>
        <v>3</v>
      </c>
      <c r="C420" s="8">
        <v>46023</v>
      </c>
      <c r="D420" s="8">
        <f t="shared" si="25"/>
        <v>46387</v>
      </c>
      <c r="E420" s="6" t="str" cm="1">
        <f t="array" ref="E420">choice(Groupes!A:A,1,Settings!$B$16)</f>
        <v>G22</v>
      </c>
      <c r="F420" s="6" t="str">
        <f t="shared" si="26"/>
        <v>G22</v>
      </c>
      <c r="G420" s="6" t="str">
        <f t="shared" si="27"/>
        <v>Prof28</v>
      </c>
      <c r="H420" s="6" t="str" cm="1">
        <f t="array" ref="H420">choice(Referentiel!A:A,1,Settings!$B$16)</f>
        <v>Gr SOFT MATTERS</v>
      </c>
      <c r="I420" s="6" t="str" cm="1">
        <f t="array" ref="I420">choice(Referentiel!B:B,1,Settings!$B$16)</f>
        <v>1ère Année Groupe 2 S1</v>
      </c>
      <c r="J420" s="6" t="str" cm="1">
        <f t="array" ref="J420">choice(Referentiel!D:D,1,Settings!$B$16)</f>
        <v>M2</v>
      </c>
      <c r="K420" s="6" t="str" cm="1">
        <f t="array" ref="K420">choice(Professeurs!B:B,1,Settings!$B$16)</f>
        <v>Prof28</v>
      </c>
      <c r="L420" s="5" t="str" cm="1">
        <f t="array" ref="L420">choice(Referentiel!C:C,1,Settings!$B$16)</f>
        <v/>
      </c>
      <c r="M420" s="5" t="str" cm="1">
        <f t="array" ref="M420">choice(Referentiel!E:E,1,Settings!$B$16)</f>
        <v/>
      </c>
      <c r="N420" s="5" t="str" cm="1">
        <f t="array" ref="N420">choice(Settings!K:K,1,Settings!$B$16)</f>
        <v/>
      </c>
      <c r="P420" s="5">
        <f t="shared" si="28"/>
        <v>3</v>
      </c>
    </row>
    <row r="421" spans="1:16" ht="15.75" customHeight="1" x14ac:dyDescent="0.25">
      <c r="A421" s="6" t="s">
        <v>773</v>
      </c>
      <c r="B421" s="6" cm="1">
        <f t="array" ref="B421">alea_int(Settings!$B$10,1,Settings!$B$16)</f>
        <v>3</v>
      </c>
      <c r="C421" s="8">
        <v>46023</v>
      </c>
      <c r="D421" s="8">
        <f t="shared" si="25"/>
        <v>46387</v>
      </c>
      <c r="E421" s="6" t="str" cm="1">
        <f t="array" ref="E421">choice(Groupes!A:A,1,Settings!$B$16)</f>
        <v>G26</v>
      </c>
      <c r="F421" s="6" t="str">
        <f t="shared" si="26"/>
        <v>G26</v>
      </c>
      <c r="G421" s="6" t="str">
        <f t="shared" si="27"/>
        <v>Prof3</v>
      </c>
      <c r="H421" s="6" t="str" cm="1">
        <f t="array" ref="H421">choice(Referentiel!A:A,1,Settings!$B$16)</f>
        <v>Gr SPATIAL MEDIA</v>
      </c>
      <c r="I421" s="6" t="str" cm="1">
        <f t="array" ref="I421">choice(Referentiel!B:B,1,Settings!$B$16)</f>
        <v>3ème année Design Graphique S1</v>
      </c>
      <c r="J421" s="6" t="str" cm="1">
        <f t="array" ref="J421">choice(Referentiel!D:D,1,Settings!$B$16)</f>
        <v>L1</v>
      </c>
      <c r="K421" s="6" t="str" cm="1">
        <f t="array" ref="K421">choice(Professeurs!B:B,1,Settings!$B$16)</f>
        <v>Prof3</v>
      </c>
      <c r="L421" s="5" t="str" cm="1">
        <f t="array" ref="L421">choice(Referentiel!C:C,1,Settings!$B$16)</f>
        <v/>
      </c>
      <c r="M421" s="5" t="str" cm="1">
        <f t="array" ref="M421">choice(Referentiel!E:E,1,Settings!$B$16)</f>
        <v/>
      </c>
      <c r="N421" s="5" t="str" cm="1">
        <f t="array" ref="N421">choice(Settings!K:K,1,Settings!$B$16)</f>
        <v/>
      </c>
      <c r="P421" s="5">
        <f t="shared" si="28"/>
        <v>3</v>
      </c>
    </row>
    <row r="422" spans="1:16" ht="15.75" customHeight="1" x14ac:dyDescent="0.25">
      <c r="A422" s="6" t="s">
        <v>774</v>
      </c>
      <c r="B422" s="6" cm="1">
        <f t="array" ref="B422">alea_int(Settings!$B$10,1,Settings!$B$16)</f>
        <v>1</v>
      </c>
      <c r="C422" s="8">
        <v>46023</v>
      </c>
      <c r="D422" s="8">
        <f t="shared" si="25"/>
        <v>46387</v>
      </c>
      <c r="E422" s="6" t="str" cm="1">
        <f t="array" ref="E422">choice(Groupes!A:A,1,Settings!$B$16)</f>
        <v>G17</v>
      </c>
      <c r="F422" s="6" t="str">
        <f t="shared" si="26"/>
        <v>G17</v>
      </c>
      <c r="G422" s="6" t="str">
        <f t="shared" si="27"/>
        <v>Prof13</v>
      </c>
      <c r="H422" s="6" t="str" cm="1">
        <f t="array" ref="H422">choice(Referentiel!A:A,1,Settings!$B$16)</f>
        <v>Design Objet</v>
      </c>
      <c r="I422" s="6" t="str" cm="1">
        <f t="array" ref="I422">choice(Referentiel!B:B,1,Settings!$B$16)</f>
        <v>4ème année Cinéma d'Animation S1</v>
      </c>
      <c r="J422" s="6" t="str" cm="1">
        <f t="array" ref="J422">choice(Referentiel!D:D,1,Settings!$B$16)</f>
        <v>M1</v>
      </c>
      <c r="K422" s="6" t="str" cm="1">
        <f t="array" ref="K422">choice(Professeurs!B:B,1,Settings!$B$16)</f>
        <v>Prof13</v>
      </c>
      <c r="L422" s="5" t="str" cm="1">
        <f t="array" ref="L422">choice(Referentiel!C:C,1,Settings!$B$16)</f>
        <v/>
      </c>
      <c r="M422" s="5" t="str" cm="1">
        <f t="array" ref="M422">choice(Referentiel!E:E,1,Settings!$B$16)</f>
        <v/>
      </c>
      <c r="N422" s="5" t="str" cm="1">
        <f t="array" ref="N422">choice(Settings!K:K,1,Settings!$B$16)</f>
        <v/>
      </c>
      <c r="P422" s="5">
        <f t="shared" si="28"/>
        <v>1</v>
      </c>
    </row>
    <row r="423" spans="1:16" ht="15.75" customHeight="1" x14ac:dyDescent="0.25">
      <c r="A423" s="6" t="s">
        <v>775</v>
      </c>
      <c r="B423" s="6" cm="1">
        <f t="array" ref="B423">alea_int(Settings!$B$10,1,Settings!$B$16)</f>
        <v>2</v>
      </c>
      <c r="C423" s="8">
        <v>46023</v>
      </c>
      <c r="D423" s="8">
        <f t="shared" si="25"/>
        <v>46387</v>
      </c>
      <c r="E423" s="6" t="str" cm="1">
        <f t="array" ref="E423">choice(Groupes!A:A,1,Settings!$B$16)</f>
        <v>G18</v>
      </c>
      <c r="F423" s="6" t="str">
        <f t="shared" si="26"/>
        <v>G18</v>
      </c>
      <c r="G423" s="6" t="str">
        <f t="shared" si="27"/>
        <v>Prof23</v>
      </c>
      <c r="H423" s="6" t="str" cm="1">
        <f t="array" ref="H423">choice(Referentiel!A:A,1,Settings!$B$16)</f>
        <v>Design des mondes littoraux</v>
      </c>
      <c r="I423" s="6" t="str" cm="1">
        <f t="array" ref="I423">choice(Referentiel!B:B,1,Settings!$B$16)</f>
        <v>2ème année Design Textile et Matière S1</v>
      </c>
      <c r="J423" s="6" t="str" cm="1">
        <f t="array" ref="J423">choice(Referentiel!D:D,1,Settings!$B$16)</f>
        <v>M1</v>
      </c>
      <c r="K423" s="6" t="str" cm="1">
        <f t="array" ref="K423">choice(Professeurs!B:B,1,Settings!$B$16)</f>
        <v>Prof23</v>
      </c>
      <c r="L423" s="5" t="str" cm="1">
        <f t="array" ref="L423">choice(Referentiel!C:C,1,Settings!$B$16)</f>
        <v/>
      </c>
      <c r="M423" s="5" t="str" cm="1">
        <f t="array" ref="M423">choice(Referentiel!E:E,1,Settings!$B$16)</f>
        <v/>
      </c>
      <c r="N423" s="5" t="str" cm="1">
        <f t="array" ref="N423">choice(Settings!K:K,1,Settings!$B$16)</f>
        <v/>
      </c>
      <c r="P423" s="5">
        <f t="shared" si="28"/>
        <v>2</v>
      </c>
    </row>
    <row r="424" spans="1:16" ht="15.75" customHeight="1" x14ac:dyDescent="0.25">
      <c r="A424" s="6" t="s">
        <v>776</v>
      </c>
      <c r="B424" s="6" cm="1">
        <f t="array" ref="B424">alea_int(Settings!$B$10,1,Settings!$B$16)</f>
        <v>2</v>
      </c>
      <c r="C424" s="8">
        <v>46023</v>
      </c>
      <c r="D424" s="8">
        <f t="shared" si="25"/>
        <v>46387</v>
      </c>
      <c r="E424" s="6" t="str" cm="1">
        <f t="array" ref="E424">choice(Groupes!A:A,1,Settings!$B$16)</f>
        <v>G22</v>
      </c>
      <c r="F424" s="6" t="str">
        <f t="shared" si="26"/>
        <v>G22</v>
      </c>
      <c r="G424" s="6" t="str">
        <f t="shared" si="27"/>
        <v>Prof37</v>
      </c>
      <c r="H424" s="6" t="str" cm="1">
        <f t="array" ref="H424">choice(Referentiel!A:A,1,Settings!$B$16)</f>
        <v>Mode et Matière</v>
      </c>
      <c r="I424" s="6" t="str" cm="1">
        <f t="array" ref="I424">choice(Referentiel!B:B,1,Settings!$B$16)</f>
        <v>3ème année Architecture Intérieure S2</v>
      </c>
      <c r="J424" s="6" t="str" cm="1">
        <f t="array" ref="J424">choice(Referentiel!D:D,1,Settings!$B$16)</f>
        <v>L3</v>
      </c>
      <c r="K424" s="6" t="str" cm="1">
        <f t="array" ref="K424">choice(Professeurs!B:B,1,Settings!$B$16)</f>
        <v>Prof37</v>
      </c>
      <c r="L424" s="5" t="str" cm="1">
        <f t="array" ref="L424">choice(Referentiel!C:C,1,Settings!$B$16)</f>
        <v/>
      </c>
      <c r="M424" s="5" t="str" cm="1">
        <f t="array" ref="M424">choice(Referentiel!E:E,1,Settings!$B$16)</f>
        <v/>
      </c>
      <c r="N424" s="5" t="str" cm="1">
        <f t="array" ref="N424">choice(Settings!K:K,1,Settings!$B$16)</f>
        <v/>
      </c>
      <c r="P424" s="5">
        <f t="shared" si="28"/>
        <v>2</v>
      </c>
    </row>
    <row r="425" spans="1:16" ht="15.75" customHeight="1" x14ac:dyDescent="0.25">
      <c r="A425" s="6" t="s">
        <v>777</v>
      </c>
      <c r="B425" s="6" cm="1">
        <f t="array" ref="B425">alea_int(Settings!$B$10,1,Settings!$B$16)</f>
        <v>1</v>
      </c>
      <c r="C425" s="8">
        <v>46023</v>
      </c>
      <c r="D425" s="8">
        <f t="shared" si="25"/>
        <v>46387</v>
      </c>
      <c r="E425" s="6" t="str" cm="1">
        <f t="array" ref="E425">choice(Groupes!A:A,1,Settings!$B$16)</f>
        <v>G22</v>
      </c>
      <c r="F425" s="6" t="str">
        <f t="shared" si="26"/>
        <v>G22</v>
      </c>
      <c r="G425" s="6" t="str">
        <f t="shared" si="27"/>
        <v>Prof2</v>
      </c>
      <c r="H425" s="6" t="str" cm="1">
        <f t="array" ref="H425">choice(Referentiel!A:A,1,Settings!$B$16)</f>
        <v>Scénographie</v>
      </c>
      <c r="I425" s="6" t="str" cm="1">
        <f t="array" ref="I425">choice(Referentiel!B:B,1,Settings!$B$16)</f>
        <v>4ème année Art-Espace S1</v>
      </c>
      <c r="J425" s="6" t="str" cm="1">
        <f t="array" ref="J425">choice(Referentiel!D:D,1,Settings!$B$16)</f>
        <v>M1</v>
      </c>
      <c r="K425" s="6" t="str" cm="1">
        <f t="array" ref="K425">choice(Professeurs!B:B,1,Settings!$B$16)</f>
        <v>Prof2</v>
      </c>
      <c r="L425" s="5" t="str" cm="1">
        <f t="array" ref="L425">choice(Referentiel!C:C,1,Settings!$B$16)</f>
        <v/>
      </c>
      <c r="M425" s="5" t="str" cm="1">
        <f t="array" ref="M425">choice(Referentiel!E:E,1,Settings!$B$16)</f>
        <v/>
      </c>
      <c r="N425" s="5" t="str" cm="1">
        <f t="array" ref="N425">choice(Settings!K:K,1,Settings!$B$16)</f>
        <v/>
      </c>
      <c r="P425" s="5">
        <f t="shared" si="28"/>
        <v>1</v>
      </c>
    </row>
    <row r="426" spans="1:16" ht="15.75" customHeight="1" x14ac:dyDescent="0.25">
      <c r="A426" s="6" t="s">
        <v>778</v>
      </c>
      <c r="B426" s="6" cm="1">
        <f t="array" ref="B426">alea_int(Settings!$B$10,1,Settings!$B$16)</f>
        <v>2</v>
      </c>
      <c r="C426" s="8">
        <v>46023</v>
      </c>
      <c r="D426" s="8">
        <f t="shared" si="25"/>
        <v>46387</v>
      </c>
      <c r="E426" s="6" t="str" cm="1">
        <f t="array" ref="E426">choice(Groupes!A:A,1,Settings!$B$16)</f>
        <v>G24</v>
      </c>
      <c r="F426" s="6" t="str">
        <f t="shared" si="26"/>
        <v>G24</v>
      </c>
      <c r="G426" s="6" t="str">
        <f t="shared" si="27"/>
        <v>Prof7</v>
      </c>
      <c r="H426" s="6" t="str" cm="1">
        <f t="array" ref="H426">choice(Referentiel!A:A,1,Settings!$B$16)</f>
        <v>6ème ANNÉE STAGE</v>
      </c>
      <c r="I426" s="6" t="str" cm="1">
        <f t="array" ref="I426">choice(Referentiel!B:B,1,Settings!$B$16)</f>
        <v>5ème année Scénographie S1</v>
      </c>
      <c r="J426" s="6" t="str" cm="1">
        <f t="array" ref="J426">choice(Referentiel!D:D,1,Settings!$B$16)</f>
        <v>L2</v>
      </c>
      <c r="K426" s="6" t="str" cm="1">
        <f t="array" ref="K426">choice(Professeurs!B:B,1,Settings!$B$16)</f>
        <v>Prof7</v>
      </c>
      <c r="L426" s="5" t="str" cm="1">
        <f t="array" ref="L426">choice(Referentiel!C:C,1,Settings!$B$16)</f>
        <v/>
      </c>
      <c r="M426" s="5" t="str" cm="1">
        <f t="array" ref="M426">choice(Referentiel!E:E,1,Settings!$B$16)</f>
        <v/>
      </c>
      <c r="N426" s="5" t="str" cm="1">
        <f t="array" ref="N426">choice(Settings!K:K,1,Settings!$B$16)</f>
        <v>mardi am</v>
      </c>
      <c r="P426" s="5">
        <f t="shared" si="28"/>
        <v>4</v>
      </c>
    </row>
    <row r="427" spans="1:16" ht="15.75" customHeight="1" x14ac:dyDescent="0.25">
      <c r="A427" s="6" t="s">
        <v>779</v>
      </c>
      <c r="B427" s="6" cm="1">
        <f t="array" ref="B427">alea_int(Settings!$B$10,1,Settings!$B$16)</f>
        <v>3</v>
      </c>
      <c r="C427" s="8">
        <v>46023</v>
      </c>
      <c r="D427" s="8">
        <f t="shared" si="25"/>
        <v>46387</v>
      </c>
      <c r="E427" s="6" t="str" cm="1">
        <f t="array" ref="E427">choice(Groupes!A:A,1,Settings!$B$16)</f>
        <v>G1</v>
      </c>
      <c r="F427" s="6" t="str">
        <f t="shared" si="26"/>
        <v>G1</v>
      </c>
      <c r="G427" s="6" t="str">
        <f t="shared" si="27"/>
        <v>Prof49</v>
      </c>
      <c r="H427" s="6" t="str" cm="1">
        <f t="array" ref="H427">choice(Referentiel!A:A,1,Settings!$B$16)</f>
        <v>Gr TERRITOIRES</v>
      </c>
      <c r="I427" s="6" t="str" cm="1">
        <f t="array" ref="I427">choice(Referentiel!B:B,1,Settings!$B$16)</f>
        <v>3ème année Architecture Intérieure S2</v>
      </c>
      <c r="J427" s="6" t="str" cm="1">
        <f t="array" ref="J427">choice(Referentiel!D:D,1,Settings!$B$16)</f>
        <v>M1</v>
      </c>
      <c r="K427" s="6" t="str" cm="1">
        <f t="array" ref="K427">choice(Professeurs!B:B,1,Settings!$B$16)</f>
        <v>Prof49</v>
      </c>
      <c r="L427" s="5" t="str" cm="1">
        <f t="array" ref="L427">choice(Referentiel!C:C,1,Settings!$B$16)</f>
        <v/>
      </c>
      <c r="M427" s="5" t="str" cm="1">
        <f t="array" ref="M427">choice(Referentiel!E:E,1,Settings!$B$16)</f>
        <v/>
      </c>
      <c r="N427" s="5" t="str" cm="1">
        <f t="array" ref="N427">choice(Settings!K:K,1,Settings!$B$16)</f>
        <v>mercredi pm</v>
      </c>
      <c r="P427" s="5">
        <f t="shared" si="28"/>
        <v>5</v>
      </c>
    </row>
    <row r="428" spans="1:16" ht="15.75" customHeight="1" x14ac:dyDescent="0.25">
      <c r="A428" s="6" t="s">
        <v>780</v>
      </c>
      <c r="B428" s="6" cm="1">
        <f t="array" ref="B428">alea_int(Settings!$B$10,1,Settings!$B$16)</f>
        <v>1</v>
      </c>
      <c r="C428" s="8">
        <v>46023</v>
      </c>
      <c r="D428" s="8">
        <f t="shared" si="25"/>
        <v>46387</v>
      </c>
      <c r="E428" s="6" t="str" cm="1">
        <f t="array" ref="E428">choice(Groupes!A:A,1,Settings!$B$16)</f>
        <v>G22</v>
      </c>
      <c r="F428" s="6" t="str">
        <f t="shared" si="26"/>
        <v>G22</v>
      </c>
      <c r="G428" s="6" t="str">
        <f t="shared" si="27"/>
        <v>Prof3</v>
      </c>
      <c r="H428" s="6" t="str" cm="1">
        <f t="array" ref="H428">choice(Referentiel!A:A,1,Settings!$B$16)</f>
        <v>Design des mondes ruraux</v>
      </c>
      <c r="I428" s="6" t="str" cm="1">
        <f t="array" ref="I428">choice(Referentiel!B:B,1,Settings!$B$16)</f>
        <v>1ère Année Groupe 1 S2</v>
      </c>
      <c r="J428" s="6" t="str" cm="1">
        <f t="array" ref="J428">choice(Referentiel!D:D,1,Settings!$B$16)</f>
        <v>M2</v>
      </c>
      <c r="K428" s="6" t="str" cm="1">
        <f t="array" ref="K428">choice(Professeurs!B:B,1,Settings!$B$16)</f>
        <v>Prof3</v>
      </c>
      <c r="L428" s="5" t="str" cm="1">
        <f t="array" ref="L428">choice(Referentiel!C:C,1,Settings!$B$16)</f>
        <v/>
      </c>
      <c r="M428" s="5" t="str" cm="1">
        <f t="array" ref="M428">choice(Referentiel!E:E,1,Settings!$B$16)</f>
        <v/>
      </c>
      <c r="N428" s="5" t="str" cm="1">
        <f t="array" ref="N428">choice(Settings!K:K,1,Settings!$B$16)</f>
        <v>jeudi am</v>
      </c>
      <c r="P428" s="5">
        <f t="shared" si="28"/>
        <v>3</v>
      </c>
    </row>
    <row r="429" spans="1:16" ht="15.75" customHeight="1" x14ac:dyDescent="0.25">
      <c r="A429" s="6" t="s">
        <v>781</v>
      </c>
      <c r="B429" s="6" cm="1">
        <f t="array" ref="B429">alea_int(Settings!$B$10,1,Settings!$B$16)</f>
        <v>1</v>
      </c>
      <c r="C429" s="8">
        <v>46023</v>
      </c>
      <c r="D429" s="8">
        <f t="shared" si="25"/>
        <v>46387</v>
      </c>
      <c r="E429" s="6" t="str" cm="1">
        <f t="array" ref="E429">choice(Groupes!A:A,1,Settings!$B$16)</f>
        <v>G24</v>
      </c>
      <c r="F429" s="6" t="str">
        <f t="shared" si="26"/>
        <v>G24</v>
      </c>
      <c r="G429" s="6" t="str">
        <f t="shared" si="27"/>
        <v>Prof1</v>
      </c>
      <c r="H429" s="6" t="str" cm="1">
        <f t="array" ref="H429">choice(Referentiel!A:A,1,Settings!$B$16)</f>
        <v>Design des mondes insulaires</v>
      </c>
      <c r="I429" s="6" t="str" cm="1">
        <f t="array" ref="I429">choice(Referentiel!B:B,1,Settings!$B$16)</f>
        <v>Césure S2</v>
      </c>
      <c r="J429" s="6" t="str" cm="1">
        <f t="array" ref="J429">choice(Referentiel!D:D,1,Settings!$B$16)</f>
        <v>M2</v>
      </c>
      <c r="K429" s="6" t="str" cm="1">
        <f t="array" ref="K429">choice(Professeurs!B:B,1,Settings!$B$16)</f>
        <v>Prof1</v>
      </c>
      <c r="L429" s="5" t="str" cm="1">
        <f t="array" ref="L429">choice(Referentiel!C:C,1,Settings!$B$16)</f>
        <v/>
      </c>
      <c r="M429" s="5" t="str" cm="1">
        <f t="array" ref="M429">choice(Referentiel!E:E,1,Settings!$B$16)</f>
        <v/>
      </c>
      <c r="N429" s="5" t="str" cm="1">
        <f t="array" ref="N429">choice(Settings!K:K,1,Settings!$B$16)</f>
        <v>jeudi pm</v>
      </c>
      <c r="P429" s="5">
        <f t="shared" si="28"/>
        <v>3</v>
      </c>
    </row>
    <row r="430" spans="1:16" ht="15.75" customHeight="1" x14ac:dyDescent="0.25">
      <c r="A430" s="6" t="s">
        <v>782</v>
      </c>
      <c r="B430" s="6" cm="1">
        <f t="array" ref="B430">alea_int(Settings!$B$10,1,Settings!$B$16)</f>
        <v>2</v>
      </c>
      <c r="C430" s="8">
        <v>46023</v>
      </c>
      <c r="D430" s="8">
        <f t="shared" si="25"/>
        <v>46387</v>
      </c>
      <c r="E430" s="6" t="str" cm="1">
        <f t="array" ref="E430">choice(Groupes!A:A,1,Settings!$B$16)</f>
        <v>G7</v>
      </c>
      <c r="F430" s="6" t="str">
        <f t="shared" si="26"/>
        <v>G7</v>
      </c>
      <c r="G430" s="6" t="str">
        <f t="shared" si="27"/>
        <v>Prof43</v>
      </c>
      <c r="H430" s="6" t="str" cm="1">
        <f t="array" ref="H430">choice(Referentiel!A:A,1,Settings!$B$16)</f>
        <v>1ère année Groupe 4</v>
      </c>
      <c r="I430" s="6" t="str" cm="1">
        <f t="array" ref="I430">choice(Referentiel!B:B,1,Settings!$B$16)</f>
        <v>3ème année Design Objet S2</v>
      </c>
      <c r="J430" s="6" t="str" cm="1">
        <f t="array" ref="J430">choice(Referentiel!D:D,1,Settings!$B$16)</f>
        <v>L1</v>
      </c>
      <c r="K430" s="6" t="str" cm="1">
        <f t="array" ref="K430">choice(Professeurs!B:B,1,Settings!$B$16)</f>
        <v>Prof43</v>
      </c>
      <c r="L430" s="5" t="str" cm="1">
        <f t="array" ref="L430">choice(Referentiel!C:C,1,Settings!$B$16)</f>
        <v/>
      </c>
      <c r="M430" s="5" t="str" cm="1">
        <f t="array" ref="M430">choice(Referentiel!E:E,1,Settings!$B$16)</f>
        <v/>
      </c>
      <c r="N430" s="5" t="str" cm="1">
        <f t="array" ref="N430">choice(Settings!K:K,1,Settings!$B$16)</f>
        <v/>
      </c>
      <c r="P430" s="5">
        <f t="shared" si="28"/>
        <v>2</v>
      </c>
    </row>
    <row r="431" spans="1:16" ht="15.75" customHeight="1" x14ac:dyDescent="0.25">
      <c r="A431" s="6" t="s">
        <v>783</v>
      </c>
      <c r="B431" s="6" cm="1">
        <f t="array" ref="B431">alea_int(Settings!$B$10,1,Settings!$B$16)</f>
        <v>1</v>
      </c>
      <c r="C431" s="8">
        <v>46023</v>
      </c>
      <c r="D431" s="8">
        <f t="shared" si="25"/>
        <v>46387</v>
      </c>
      <c r="E431" s="6" t="str" cm="1">
        <f t="array" ref="E431">choice(Groupes!A:A,1,Settings!$B$16)</f>
        <v>G7</v>
      </c>
      <c r="F431" s="6" t="str">
        <f t="shared" si="26"/>
        <v>G7</v>
      </c>
      <c r="G431" s="6" t="str">
        <f t="shared" si="27"/>
        <v>Prof6</v>
      </c>
      <c r="H431" s="6" t="str" cm="1">
        <f t="array" ref="H431">choice(Referentiel!A:A,1,Settings!$B$16)</f>
        <v>Gr SYMBIOSE</v>
      </c>
      <c r="I431" s="6" t="str" cm="1">
        <f t="array" ref="I431">choice(Referentiel!B:B,1,Settings!$B$16)</f>
        <v>5ème année Scénographie S2</v>
      </c>
      <c r="J431" s="6" t="str" cm="1">
        <f t="array" ref="J431">choice(Referentiel!D:D,1,Settings!$B$16)</f>
        <v>M2</v>
      </c>
      <c r="K431" s="6" t="str" cm="1">
        <f t="array" ref="K431">choice(Professeurs!B:B,1,Settings!$B$16)</f>
        <v>Prof6</v>
      </c>
      <c r="L431" s="5" t="str" cm="1">
        <f t="array" ref="L431">choice(Referentiel!C:C,1,Settings!$B$16)</f>
        <v/>
      </c>
      <c r="M431" s="5" t="str" cm="1">
        <f t="array" ref="M431">choice(Referentiel!E:E,1,Settings!$B$16)</f>
        <v/>
      </c>
      <c r="N431" s="5" t="str" cm="1">
        <f t="array" ref="N431">choice(Settings!K:K,1,Settings!$B$16)</f>
        <v/>
      </c>
      <c r="P431" s="5">
        <f t="shared" si="28"/>
        <v>1</v>
      </c>
    </row>
    <row r="432" spans="1:16" ht="15.75" customHeight="1" x14ac:dyDescent="0.25">
      <c r="A432" s="6" t="s">
        <v>784</v>
      </c>
      <c r="B432" s="6" cm="1">
        <f t="array" ref="B432">alea_int(Settings!$B$10,1,Settings!$B$16)</f>
        <v>3</v>
      </c>
      <c r="C432" s="8">
        <v>46023</v>
      </c>
      <c r="D432" s="8">
        <f t="shared" si="25"/>
        <v>46387</v>
      </c>
      <c r="E432" s="6" t="str" cm="1">
        <f t="array" ref="E432">choice(Groupes!A:A,1,Settings!$B$16)</f>
        <v>G25</v>
      </c>
      <c r="F432" s="6" t="str">
        <f t="shared" si="26"/>
        <v>G25</v>
      </c>
      <c r="G432" s="6" t="str">
        <f t="shared" si="27"/>
        <v>Prof33</v>
      </c>
      <c r="H432" s="6" t="str" cm="1">
        <f t="array" ref="H432">choice(Referentiel!A:A,1,Settings!$B$16)</f>
        <v>Gr REFLECTIVE INTERACTION</v>
      </c>
      <c r="I432" s="6" t="str" cm="1">
        <f t="array" ref="I432">choice(Referentiel!B:B,1,Settings!$B$16)</f>
        <v>2ème année Scénographie S1</v>
      </c>
      <c r="J432" s="6" t="str" cm="1">
        <f t="array" ref="J432">choice(Referentiel!D:D,1,Settings!$B$16)</f>
        <v>M2</v>
      </c>
      <c r="K432" s="6" t="str" cm="1">
        <f t="array" ref="K432">choice(Professeurs!B:B,1,Settings!$B$16)</f>
        <v>Prof33</v>
      </c>
      <c r="L432" s="5" t="str" cm="1">
        <f t="array" ref="L432">choice(Referentiel!C:C,1,Settings!$B$16)</f>
        <v/>
      </c>
      <c r="M432" s="5" t="str" cm="1">
        <f t="array" ref="M432">choice(Referentiel!E:E,1,Settings!$B$16)</f>
        <v/>
      </c>
      <c r="N432" s="5" t="str" cm="1">
        <f t="array" ref="N432">choice(Settings!K:K,1,Settings!$B$16)</f>
        <v/>
      </c>
      <c r="P432" s="5">
        <f t="shared" si="28"/>
        <v>3</v>
      </c>
    </row>
    <row r="433" spans="1:16" ht="15.75" customHeight="1" x14ac:dyDescent="0.25">
      <c r="A433" s="6" t="s">
        <v>785</v>
      </c>
      <c r="B433" s="6" cm="1">
        <f t="array" ref="B433">alea_int(Settings!$B$10,1,Settings!$B$16)</f>
        <v>1</v>
      </c>
      <c r="C433" s="8">
        <v>46023</v>
      </c>
      <c r="D433" s="8">
        <f t="shared" si="25"/>
        <v>46387</v>
      </c>
      <c r="E433" s="6" t="str" cm="1">
        <f t="array" ref="E433">choice(Groupes!A:A,1,Settings!$B$16)</f>
        <v>G6</v>
      </c>
      <c r="F433" s="6" t="str">
        <f t="shared" si="26"/>
        <v>G6</v>
      </c>
      <c r="G433" s="6" t="str">
        <f t="shared" si="27"/>
        <v>Prof18</v>
      </c>
      <c r="H433" s="6" t="str" cm="1">
        <f t="array" ref="H433">choice(Referentiel!A:A,1,Settings!$B$16)</f>
        <v>Gr REFLECTIVE INTERACTION</v>
      </c>
      <c r="I433" s="6" t="str" cm="1">
        <f t="array" ref="I433">choice(Referentiel!B:B,1,Settings!$B$16)</f>
        <v>2ème année Art-Espace S1</v>
      </c>
      <c r="J433" s="6" t="str" cm="1">
        <f t="array" ref="J433">choice(Referentiel!D:D,1,Settings!$B$16)</f>
        <v>L2</v>
      </c>
      <c r="K433" s="6" t="str" cm="1">
        <f t="array" ref="K433">choice(Professeurs!B:B,1,Settings!$B$16)</f>
        <v>Prof18</v>
      </c>
      <c r="L433" s="5" t="str" cm="1">
        <f t="array" ref="L433">choice(Referentiel!C:C,1,Settings!$B$16)</f>
        <v/>
      </c>
      <c r="M433" s="5" t="str" cm="1">
        <f t="array" ref="M433">choice(Referentiel!E:E,1,Settings!$B$16)</f>
        <v/>
      </c>
      <c r="N433" s="5" t="str" cm="1">
        <f t="array" ref="N433">choice(Settings!K:K,1,Settings!$B$16)</f>
        <v/>
      </c>
      <c r="P433" s="5">
        <f t="shared" si="28"/>
        <v>1</v>
      </c>
    </row>
    <row r="434" spans="1:16" ht="15.75" customHeight="1" x14ac:dyDescent="0.25">
      <c r="A434" s="6" t="s">
        <v>786</v>
      </c>
      <c r="B434" s="6" cm="1">
        <f t="array" ref="B434">alea_int(Settings!$B$10,1,Settings!$B$16)</f>
        <v>2</v>
      </c>
      <c r="C434" s="8">
        <v>46023</v>
      </c>
      <c r="D434" s="8">
        <f t="shared" si="25"/>
        <v>46387</v>
      </c>
      <c r="E434" s="6" t="str" cm="1">
        <f t="array" ref="E434">choice(Groupes!A:A,1,Settings!$B$16)</f>
        <v>G8</v>
      </c>
      <c r="F434" s="6" t="str">
        <f t="shared" si="26"/>
        <v>G8</v>
      </c>
      <c r="G434" s="6" t="str">
        <f t="shared" si="27"/>
        <v>Prof24</v>
      </c>
      <c r="H434" s="6" t="str" cm="1">
        <f t="array" ref="H434">choice(Referentiel!A:A,1,Settings!$B$16)</f>
        <v>Gr SOFT MATTERS</v>
      </c>
      <c r="I434" s="6" t="str" cm="1">
        <f t="array" ref="I434">choice(Referentiel!B:B,1,Settings!$B$16)</f>
        <v>5ème année Art-Espace S1</v>
      </c>
      <c r="J434" s="6" t="str" cm="1">
        <f t="array" ref="J434">choice(Referentiel!D:D,1,Settings!$B$16)</f>
        <v>L2</v>
      </c>
      <c r="K434" s="6" t="str" cm="1">
        <f t="array" ref="K434">choice(Professeurs!B:B,1,Settings!$B$16)</f>
        <v>Prof24</v>
      </c>
      <c r="L434" s="5" t="str" cm="1">
        <f t="array" ref="L434">choice(Referentiel!C:C,1,Settings!$B$16)</f>
        <v/>
      </c>
      <c r="M434" s="5" t="str" cm="1">
        <f t="array" ref="M434">choice(Referentiel!E:E,1,Settings!$B$16)</f>
        <v/>
      </c>
      <c r="N434" s="5" t="str" cm="1">
        <f t="array" ref="N434">choice(Settings!K:K,1,Settings!$B$16)</f>
        <v/>
      </c>
      <c r="P434" s="5">
        <f t="shared" si="28"/>
        <v>2</v>
      </c>
    </row>
    <row r="435" spans="1:16" ht="15.75" customHeight="1" x14ac:dyDescent="0.25">
      <c r="A435" s="6" t="s">
        <v>787</v>
      </c>
      <c r="B435" s="6" cm="1">
        <f t="array" ref="B435">alea_int(Settings!$B$10,1,Settings!$B$16)</f>
        <v>3</v>
      </c>
      <c r="C435" s="8">
        <v>46023</v>
      </c>
      <c r="D435" s="8">
        <f t="shared" si="25"/>
        <v>46387</v>
      </c>
      <c r="E435" s="6" t="str" cm="1">
        <f t="array" ref="E435">choice(Groupes!A:A,1,Settings!$B$16)</f>
        <v>G19</v>
      </c>
      <c r="F435" s="6" t="str">
        <f t="shared" si="26"/>
        <v>G19</v>
      </c>
      <c r="G435" s="6" t="str">
        <f t="shared" si="27"/>
        <v>Prof51</v>
      </c>
      <c r="H435" s="6" t="str" cm="1">
        <f t="array" ref="H435">choice(Referentiel!A:A,1,Settings!$B$16)</f>
        <v>Gr SOFT MATTERS</v>
      </c>
      <c r="I435" s="6" t="str" cm="1">
        <f t="array" ref="I435">choice(Referentiel!B:B,1,Settings!$B$16)</f>
        <v>3ème année Design Textile et Matière S2</v>
      </c>
      <c r="J435" s="6" t="str" cm="1">
        <f t="array" ref="J435">choice(Referentiel!D:D,1,Settings!$B$16)</f>
        <v>L2</v>
      </c>
      <c r="K435" s="6" t="str" cm="1">
        <f t="array" ref="K435">choice(Professeurs!B:B,1,Settings!$B$16)</f>
        <v>Prof51</v>
      </c>
      <c r="L435" s="5" t="str" cm="1">
        <f t="array" ref="L435">choice(Referentiel!C:C,1,Settings!$B$16)</f>
        <v>projecteur</v>
      </c>
      <c r="M435" s="5" t="str" cm="1">
        <f t="array" ref="M435">choice(Referentiel!E:E,1,Settings!$B$16)</f>
        <v/>
      </c>
      <c r="N435" s="5" t="str" cm="1">
        <f t="array" ref="N435">choice(Settings!K:K,1,Settings!$B$16)</f>
        <v>mercredi ap</v>
      </c>
      <c r="P435" s="5">
        <f t="shared" si="28"/>
        <v>5</v>
      </c>
    </row>
    <row r="436" spans="1:16" ht="15.75" customHeight="1" x14ac:dyDescent="0.25">
      <c r="A436" s="6" t="s">
        <v>788</v>
      </c>
      <c r="B436" s="6" cm="1">
        <f t="array" ref="B436">alea_int(Settings!$B$10,1,Settings!$B$16)</f>
        <v>2</v>
      </c>
      <c r="C436" s="8">
        <v>46023</v>
      </c>
      <c r="D436" s="8">
        <f t="shared" si="25"/>
        <v>46387</v>
      </c>
      <c r="E436" s="6" t="str" cm="1">
        <f t="array" ref="E436">choice(Groupes!A:A,1,Settings!$B$16)</f>
        <v>G29</v>
      </c>
      <c r="F436" s="6" t="str">
        <f t="shared" si="26"/>
        <v>G29</v>
      </c>
      <c r="G436" s="6" t="str">
        <f t="shared" si="27"/>
        <v>Prof43</v>
      </c>
      <c r="H436" s="6" t="str" cm="1">
        <f t="array" ref="H436">choice(Referentiel!A:A,1,Settings!$B$16)</f>
        <v>Design des mondes forestiers</v>
      </c>
      <c r="I436" s="6" t="str" cm="1">
        <f t="array" ref="I436">choice(Referentiel!B:B,1,Settings!$B$16)</f>
        <v>5ème année Design Objet S2</v>
      </c>
      <c r="J436" s="6" t="str" cm="1">
        <f t="array" ref="J436">choice(Referentiel!D:D,1,Settings!$B$16)</f>
        <v>M1</v>
      </c>
      <c r="K436" s="6" t="str" cm="1">
        <f t="array" ref="K436">choice(Professeurs!B:B,1,Settings!$B$16)</f>
        <v>Prof43</v>
      </c>
      <c r="L436" s="5" t="str" cm="1">
        <f t="array" ref="L436">choice(Referentiel!C:C,1,Settings!$B$16)</f>
        <v/>
      </c>
      <c r="M436" s="5" t="str" cm="1">
        <f t="array" ref="M436">choice(Referentiel!E:E,1,Settings!$B$16)</f>
        <v/>
      </c>
      <c r="N436" s="5" t="str" cm="1">
        <f t="array" ref="N436">choice(Settings!K:K,1,Settings!$B$16)</f>
        <v/>
      </c>
      <c r="P436" s="5">
        <f t="shared" si="28"/>
        <v>2</v>
      </c>
    </row>
    <row r="437" spans="1:16" ht="15.75" customHeight="1" x14ac:dyDescent="0.25">
      <c r="A437" s="6" t="s">
        <v>789</v>
      </c>
      <c r="B437" s="6" cm="1">
        <f t="array" ref="B437">alea_int(Settings!$B$10,1,Settings!$B$16)</f>
        <v>1</v>
      </c>
      <c r="C437" s="8">
        <v>46023</v>
      </c>
      <c r="D437" s="8">
        <f t="shared" si="25"/>
        <v>46387</v>
      </c>
      <c r="E437" s="6" t="str" cm="1">
        <f t="array" ref="E437">choice(Groupes!A:A,1,Settings!$B$16)</f>
        <v>G26</v>
      </c>
      <c r="F437" s="6" t="str">
        <f t="shared" si="26"/>
        <v>G26</v>
      </c>
      <c r="G437" s="6" t="str">
        <f t="shared" si="27"/>
        <v>Prof8</v>
      </c>
      <c r="H437" s="6" t="str" cm="1">
        <f t="array" ref="H437">choice(Referentiel!A:A,1,Settings!$B$16)</f>
        <v>Cinéma d'Animation</v>
      </c>
      <c r="I437" s="6" t="str" cm="1">
        <f t="array" ref="I437">choice(Referentiel!B:B,1,Settings!$B$16)</f>
        <v>4ème année Art-Espace S2</v>
      </c>
      <c r="J437" s="6" t="str" cm="1">
        <f t="array" ref="J437">choice(Referentiel!D:D,1,Settings!$B$16)</f>
        <v>M2</v>
      </c>
      <c r="K437" s="6" t="str" cm="1">
        <f t="array" ref="K437">choice(Professeurs!B:B,1,Settings!$B$16)</f>
        <v>Prof8</v>
      </c>
      <c r="L437" s="5" t="str" cm="1">
        <f t="array" ref="L437">choice(Referentiel!C:C,1,Settings!$B$16)</f>
        <v/>
      </c>
      <c r="M437" s="5" t="str" cm="1">
        <f t="array" ref="M437">choice(Referentiel!E:E,1,Settings!$B$16)</f>
        <v/>
      </c>
      <c r="N437" s="5" t="str" cm="1">
        <f t="array" ref="N437">choice(Settings!K:K,1,Settings!$B$16)</f>
        <v/>
      </c>
      <c r="P437" s="5">
        <f t="shared" si="28"/>
        <v>1</v>
      </c>
    </row>
    <row r="438" spans="1:16" ht="15.75" customHeight="1" x14ac:dyDescent="0.25">
      <c r="A438" s="6" t="s">
        <v>790</v>
      </c>
      <c r="B438" s="6" cm="1">
        <f t="array" ref="B438">alea_int(Settings!$B$10,1,Settings!$B$16)</f>
        <v>1</v>
      </c>
      <c r="C438" s="8">
        <v>46023</v>
      </c>
      <c r="D438" s="8">
        <f t="shared" si="25"/>
        <v>46387</v>
      </c>
      <c r="E438" s="6" t="str" cm="1">
        <f t="array" ref="E438">choice(Groupes!A:A,1,Settings!$B$16)</f>
        <v>G1</v>
      </c>
      <c r="F438" s="6" t="str">
        <f t="shared" si="26"/>
        <v>G1</v>
      </c>
      <c r="G438" s="6" t="str">
        <f t="shared" si="27"/>
        <v>Prof50</v>
      </c>
      <c r="H438" s="6" t="str" cm="1">
        <f t="array" ref="H438">choice(Referentiel!A:A,1,Settings!$B$16)</f>
        <v>6ème année atelier</v>
      </c>
      <c r="I438" s="6" t="str" cm="1">
        <f t="array" ref="I438">choice(Referentiel!B:B,1,Settings!$B$16)</f>
        <v>5ème année Scénographie S1</v>
      </c>
      <c r="J438" s="6" t="str" cm="1">
        <f t="array" ref="J438">choice(Referentiel!D:D,1,Settings!$B$16)</f>
        <v>L2</v>
      </c>
      <c r="K438" s="6" t="str" cm="1">
        <f t="array" ref="K438">choice(Professeurs!B:B,1,Settings!$B$16)</f>
        <v>Prof50</v>
      </c>
      <c r="L438" s="5" t="str" cm="1">
        <f t="array" ref="L438">choice(Referentiel!C:C,1,Settings!$B$16)</f>
        <v/>
      </c>
      <c r="M438" s="5" t="str" cm="1">
        <f t="array" ref="M438">choice(Referentiel!E:E,1,Settings!$B$16)</f>
        <v/>
      </c>
      <c r="N438" s="5" t="str" cm="1">
        <f t="array" ref="N438">choice(Settings!K:K,1,Settings!$B$16)</f>
        <v/>
      </c>
      <c r="P438" s="5">
        <f t="shared" si="28"/>
        <v>1</v>
      </c>
    </row>
    <row r="439" spans="1:16" ht="15.75" customHeight="1" x14ac:dyDescent="0.25">
      <c r="A439" s="6" t="s">
        <v>791</v>
      </c>
      <c r="B439" s="6" cm="1">
        <f t="array" ref="B439">alea_int(Settings!$B$10,1,Settings!$B$16)</f>
        <v>3</v>
      </c>
      <c r="C439" s="8">
        <v>46023</v>
      </c>
      <c r="D439" s="8">
        <f t="shared" si="25"/>
        <v>46387</v>
      </c>
      <c r="E439" s="6" t="str" cm="1">
        <f t="array" ref="E439">choice(Groupes!A:A,1,Settings!$B$16)</f>
        <v>G29</v>
      </c>
      <c r="F439" s="6" t="str">
        <f t="shared" si="26"/>
        <v>G29</v>
      </c>
      <c r="G439" s="6" t="str">
        <f t="shared" si="27"/>
        <v>Prof43</v>
      </c>
      <c r="H439" s="6" t="str" cm="1">
        <f t="array" ref="H439">choice(Referentiel!A:A,1,Settings!$B$16)</f>
        <v>Design des mondes montagneux</v>
      </c>
      <c r="I439" s="6" t="str" cm="1">
        <f t="array" ref="I439">choice(Referentiel!B:B,1,Settings!$B$16)</f>
        <v>3ème année Architecture Intérieure S1</v>
      </c>
      <c r="J439" s="6" t="str" cm="1">
        <f t="array" ref="J439">choice(Referentiel!D:D,1,Settings!$B$16)</f>
        <v>L1</v>
      </c>
      <c r="K439" s="6" t="str" cm="1">
        <f t="array" ref="K439">choice(Professeurs!B:B,1,Settings!$B$16)</f>
        <v>Prof43</v>
      </c>
      <c r="L439" s="5" t="str" cm="1">
        <f t="array" ref="L439">choice(Referentiel!C:C,1,Settings!$B$16)</f>
        <v>pupitre</v>
      </c>
      <c r="M439" s="5" t="str" cm="1">
        <f t="array" ref="M439">choice(Referentiel!E:E,1,Settings!$B$16)</f>
        <v/>
      </c>
      <c r="N439" s="5" t="str" cm="1">
        <f t="array" ref="N439">choice(Settings!K:K,1,Settings!$B$16)</f>
        <v/>
      </c>
      <c r="P439" s="5">
        <f t="shared" si="28"/>
        <v>3</v>
      </c>
    </row>
    <row r="440" spans="1:16" ht="15.75" customHeight="1" x14ac:dyDescent="0.25">
      <c r="A440" s="6" t="s">
        <v>792</v>
      </c>
      <c r="B440" s="6" cm="1">
        <f t="array" ref="B440">alea_int(Settings!$B$10,1,Settings!$B$16)</f>
        <v>2</v>
      </c>
      <c r="C440" s="8">
        <v>46023</v>
      </c>
      <c r="D440" s="8">
        <f t="shared" si="25"/>
        <v>46387</v>
      </c>
      <c r="E440" s="6" t="str" cm="1">
        <f t="array" ref="E440">choice(Groupes!A:A,1,Settings!$B$16)</f>
        <v>G20</v>
      </c>
      <c r="F440" s="6" t="str">
        <f t="shared" si="26"/>
        <v>G20</v>
      </c>
      <c r="G440" s="6" t="str">
        <f t="shared" si="27"/>
        <v>Prof2</v>
      </c>
      <c r="H440" s="6" t="str" cm="1">
        <f t="array" ref="H440">choice(Referentiel!A:A,1,Settings!$B$16)</f>
        <v>Gr SOFT MATTERS</v>
      </c>
      <c r="I440" s="6" t="str" cm="1">
        <f t="array" ref="I440">choice(Referentiel!B:B,1,Settings!$B$16)</f>
        <v>3ème année Design Objet S1</v>
      </c>
      <c r="J440" s="6" t="str" cm="1">
        <f t="array" ref="J440">choice(Referentiel!D:D,1,Settings!$B$16)</f>
        <v>L3</v>
      </c>
      <c r="K440" s="6" t="str" cm="1">
        <f t="array" ref="K440">choice(Professeurs!B:B,1,Settings!$B$16)</f>
        <v>Prof2</v>
      </c>
      <c r="L440" s="5" t="str" cm="1">
        <f t="array" ref="L440">choice(Referentiel!C:C,1,Settings!$B$16)</f>
        <v/>
      </c>
      <c r="M440" s="5" t="str" cm="1">
        <f t="array" ref="M440">choice(Referentiel!E:E,1,Settings!$B$16)</f>
        <v/>
      </c>
      <c r="N440" s="5" t="str" cm="1">
        <f t="array" ref="N440">choice(Settings!K:K,1,Settings!$B$16)</f>
        <v/>
      </c>
      <c r="P440" s="5">
        <f t="shared" si="28"/>
        <v>2</v>
      </c>
    </row>
    <row r="441" spans="1:16" ht="15.75" customHeight="1" x14ac:dyDescent="0.25">
      <c r="A441" s="6" t="s">
        <v>793</v>
      </c>
      <c r="B441" s="6" cm="1">
        <f t="array" ref="B441">alea_int(Settings!$B$10,1,Settings!$B$16)</f>
        <v>3</v>
      </c>
      <c r="C441" s="8">
        <v>46023</v>
      </c>
      <c r="D441" s="8">
        <f t="shared" si="25"/>
        <v>46387</v>
      </c>
      <c r="E441" s="6" t="str" cm="1">
        <f t="array" ref="E441">choice(Groupes!A:A,1,Settings!$B$16)</f>
        <v>G11</v>
      </c>
      <c r="F441" s="6" t="str">
        <f t="shared" si="26"/>
        <v>G11</v>
      </c>
      <c r="G441" s="6" t="str">
        <f t="shared" si="27"/>
        <v>Prof29</v>
      </c>
      <c r="H441" s="6" t="str" cm="1">
        <f t="array" ref="H441">choice(Referentiel!A:A,1,Settings!$B$16)</f>
        <v>Design Graphique</v>
      </c>
      <c r="I441" s="6" t="str" cm="1">
        <f t="array" ref="I441">choice(Referentiel!B:B,1,Settings!$B$16)</f>
        <v>3ème année Design Vêtement S1</v>
      </c>
      <c r="J441" s="6" t="str" cm="1">
        <f t="array" ref="J441">choice(Referentiel!D:D,1,Settings!$B$16)</f>
        <v>L2</v>
      </c>
      <c r="K441" s="6" t="str" cm="1">
        <f t="array" ref="K441">choice(Professeurs!B:B,1,Settings!$B$16)</f>
        <v>Prof29</v>
      </c>
      <c r="L441" s="5" t="str" cm="1">
        <f t="array" ref="L441">choice(Referentiel!C:C,1,Settings!$B$16)</f>
        <v/>
      </c>
      <c r="M441" s="5" t="str" cm="1">
        <f t="array" ref="M441">choice(Referentiel!E:E,1,Settings!$B$16)</f>
        <v/>
      </c>
      <c r="N441" s="5" t="str" cm="1">
        <f t="array" ref="N441">choice(Settings!K:K,1,Settings!$B$16)</f>
        <v/>
      </c>
      <c r="P441" s="5">
        <f t="shared" si="28"/>
        <v>3</v>
      </c>
    </row>
    <row r="442" spans="1:16" ht="15.75" customHeight="1" x14ac:dyDescent="0.25">
      <c r="A442" s="6" t="s">
        <v>794</v>
      </c>
      <c r="B442" s="6" cm="1">
        <f t="array" ref="B442">alea_int(Settings!$B$10,1,Settings!$B$16)</f>
        <v>2</v>
      </c>
      <c r="C442" s="8">
        <v>46023</v>
      </c>
      <c r="D442" s="8">
        <f t="shared" si="25"/>
        <v>46387</v>
      </c>
      <c r="E442" s="6" t="str" cm="1">
        <f t="array" ref="E442">choice(Groupes!A:A,1,Settings!$B$16)</f>
        <v>G19</v>
      </c>
      <c r="F442" s="6" t="str">
        <f t="shared" si="26"/>
        <v>G19</v>
      </c>
      <c r="G442" s="6" t="str">
        <f t="shared" si="27"/>
        <v>Prof47</v>
      </c>
      <c r="H442" s="6" t="str" cm="1">
        <f t="array" ref="H442">choice(Referentiel!A:A,1,Settings!$B$16)</f>
        <v>Design des mondes littoraux</v>
      </c>
      <c r="I442" s="6" t="str" cm="1">
        <f t="array" ref="I442">choice(Referentiel!B:B,1,Settings!$B$16)</f>
        <v>4ème année Art-Espace S1</v>
      </c>
      <c r="J442" s="6" t="str" cm="1">
        <f t="array" ref="J442">choice(Referentiel!D:D,1,Settings!$B$16)</f>
        <v>M2</v>
      </c>
      <c r="K442" s="6" t="str" cm="1">
        <f t="array" ref="K442">choice(Professeurs!B:B,1,Settings!$B$16)</f>
        <v>Prof47</v>
      </c>
      <c r="L442" s="5" t="str" cm="1">
        <f t="array" ref="L442">choice(Referentiel!C:C,1,Settings!$B$16)</f>
        <v/>
      </c>
      <c r="M442" s="5" t="str" cm="1">
        <f t="array" ref="M442">choice(Referentiel!E:E,1,Settings!$B$16)</f>
        <v/>
      </c>
      <c r="N442" s="5" t="str" cm="1">
        <f t="array" ref="N442">choice(Settings!K:K,1,Settings!$B$16)</f>
        <v>mardi am</v>
      </c>
      <c r="P442" s="5">
        <f t="shared" si="28"/>
        <v>4</v>
      </c>
    </row>
    <row r="443" spans="1:16" ht="15.75" customHeight="1" x14ac:dyDescent="0.25">
      <c r="A443" s="6" t="s">
        <v>795</v>
      </c>
      <c r="B443" s="6" cm="1">
        <f t="array" ref="B443">alea_int(Settings!$B$10,1,Settings!$B$16)</f>
        <v>2</v>
      </c>
      <c r="C443" s="8">
        <v>46023</v>
      </c>
      <c r="D443" s="8">
        <f t="shared" si="25"/>
        <v>46387</v>
      </c>
      <c r="E443" s="6" t="str" cm="1">
        <f t="array" ref="E443">choice(Groupes!A:A,1,Settings!$B$16)</f>
        <v>G22</v>
      </c>
      <c r="F443" s="6" t="str">
        <f t="shared" si="26"/>
        <v>G22</v>
      </c>
      <c r="G443" s="6" t="str">
        <f t="shared" si="27"/>
        <v>Prof16</v>
      </c>
      <c r="H443" s="6" t="str" cm="1">
        <f t="array" ref="H443">choice(Referentiel!A:A,1,Settings!$B$16)</f>
        <v>Design Vêtement</v>
      </c>
      <c r="I443" s="6" t="str" cm="1">
        <f t="array" ref="I443">choice(Referentiel!B:B,1,Settings!$B$16)</f>
        <v>1ère Année Groupe 4 S2</v>
      </c>
      <c r="J443" s="6" t="str" cm="1">
        <f t="array" ref="J443">choice(Referentiel!D:D,1,Settings!$B$16)</f>
        <v>L1</v>
      </c>
      <c r="K443" s="6" t="str" cm="1">
        <f t="array" ref="K443">choice(Professeurs!B:B,1,Settings!$B$16)</f>
        <v>Prof16</v>
      </c>
      <c r="L443" s="5" t="str" cm="1">
        <f t="array" ref="L443">choice(Referentiel!C:C,1,Settings!$B$16)</f>
        <v/>
      </c>
      <c r="M443" s="5" t="str" cm="1">
        <f t="array" ref="M443">choice(Referentiel!E:E,1,Settings!$B$16)</f>
        <v/>
      </c>
      <c r="N443" s="5" t="str" cm="1">
        <f t="array" ref="N443">choice(Settings!K:K,1,Settings!$B$16)</f>
        <v>jeudi pm</v>
      </c>
      <c r="P443" s="5">
        <f t="shared" si="28"/>
        <v>4</v>
      </c>
    </row>
    <row r="444" spans="1:16" ht="15.75" customHeight="1" x14ac:dyDescent="0.25">
      <c r="A444" s="6" t="s">
        <v>796</v>
      </c>
      <c r="B444" s="6" cm="1">
        <f t="array" ref="B444">alea_int(Settings!$B$10,1,Settings!$B$16)</f>
        <v>2</v>
      </c>
      <c r="C444" s="8">
        <v>46023</v>
      </c>
      <c r="D444" s="8">
        <f t="shared" si="25"/>
        <v>46387</v>
      </c>
      <c r="E444" s="6" t="str" cm="1">
        <f t="array" ref="E444">choice(Groupes!A:A,1,Settings!$B$16)</f>
        <v>G28</v>
      </c>
      <c r="F444" s="6" t="str">
        <f t="shared" si="26"/>
        <v>G28</v>
      </c>
      <c r="G444" s="6" t="str">
        <f t="shared" si="27"/>
        <v>Prof30</v>
      </c>
      <c r="H444" s="6" t="str" cm="1">
        <f t="array" ref="H444">choice(Referentiel!A:A,1,Settings!$B$16)</f>
        <v>Cinéma d'Animation</v>
      </c>
      <c r="I444" s="6" t="str" cm="1">
        <f t="array" ref="I444">choice(Referentiel!B:B,1,Settings!$B$16)</f>
        <v>3ème année Photo / Vidéo S1</v>
      </c>
      <c r="J444" s="6" t="str" cm="1">
        <f t="array" ref="J444">choice(Referentiel!D:D,1,Settings!$B$16)</f>
        <v>L2</v>
      </c>
      <c r="K444" s="6" t="str" cm="1">
        <f t="array" ref="K444">choice(Professeurs!B:B,1,Settings!$B$16)</f>
        <v>Prof30</v>
      </c>
      <c r="L444" s="5" t="str" cm="1">
        <f t="array" ref="L444">choice(Referentiel!C:C,1,Settings!$B$16)</f>
        <v/>
      </c>
      <c r="M444" s="5" t="str" cm="1">
        <f t="array" ref="M444">choice(Referentiel!E:E,1,Settings!$B$16)</f>
        <v/>
      </c>
      <c r="N444" s="5" t="str" cm="1">
        <f t="array" ref="N444">choice(Settings!K:K,1,Settings!$B$16)</f>
        <v/>
      </c>
      <c r="P444" s="5">
        <f t="shared" si="28"/>
        <v>2</v>
      </c>
    </row>
    <row r="445" spans="1:16" ht="15.75" customHeight="1" x14ac:dyDescent="0.25">
      <c r="A445" s="6" t="s">
        <v>797</v>
      </c>
      <c r="B445" s="6" cm="1">
        <f t="array" ref="B445">alea_int(Settings!$B$10,1,Settings!$B$16)</f>
        <v>3</v>
      </c>
      <c r="C445" s="8">
        <v>46023</v>
      </c>
      <c r="D445" s="8">
        <f t="shared" si="25"/>
        <v>46387</v>
      </c>
      <c r="E445" s="6" t="str" cm="1">
        <f t="array" ref="E445">choice(Groupes!A:A,1,Settings!$B$16)</f>
        <v>G16</v>
      </c>
      <c r="F445" s="6" t="str">
        <f t="shared" si="26"/>
        <v>G16</v>
      </c>
      <c r="G445" s="6" t="str">
        <f t="shared" si="27"/>
        <v>Prof27</v>
      </c>
      <c r="H445" s="6" t="str" cm="1">
        <f t="array" ref="H445">choice(Referentiel!A:A,1,Settings!$B$16)</f>
        <v>1ère année Groupe 2</v>
      </c>
      <c r="I445" s="6" t="str" cm="1">
        <f t="array" ref="I445">choice(Referentiel!B:B,1,Settings!$B$16)</f>
        <v>3ème année Scénographie S2</v>
      </c>
      <c r="J445" s="6" t="str" cm="1">
        <f t="array" ref="J445">choice(Referentiel!D:D,1,Settings!$B$16)</f>
        <v>L2</v>
      </c>
      <c r="K445" s="6" t="str" cm="1">
        <f t="array" ref="K445">choice(Professeurs!B:B,1,Settings!$B$16)</f>
        <v>Prof27</v>
      </c>
      <c r="L445" s="5" t="str" cm="1">
        <f t="array" ref="L445">choice(Referentiel!C:C,1,Settings!$B$16)</f>
        <v/>
      </c>
      <c r="M445" s="5" t="str" cm="1">
        <f t="array" ref="M445">choice(Referentiel!E:E,1,Settings!$B$16)</f>
        <v/>
      </c>
      <c r="N445" s="5" t="str" cm="1">
        <f t="array" ref="N445">choice(Settings!K:K,1,Settings!$B$16)</f>
        <v/>
      </c>
      <c r="P445" s="5">
        <f t="shared" si="28"/>
        <v>3</v>
      </c>
    </row>
    <row r="446" spans="1:16" ht="15.75" customHeight="1" x14ac:dyDescent="0.25">
      <c r="A446" s="6" t="s">
        <v>798</v>
      </c>
      <c r="B446" s="6" cm="1">
        <f t="array" ref="B446">alea_int(Settings!$B$10,1,Settings!$B$16)</f>
        <v>3</v>
      </c>
      <c r="C446" s="8">
        <v>46023</v>
      </c>
      <c r="D446" s="8">
        <f t="shared" si="25"/>
        <v>46387</v>
      </c>
      <c r="E446" s="6" t="str" cm="1">
        <f t="array" ref="E446">choice(Groupes!A:A,1,Settings!$B$16)</f>
        <v>G24</v>
      </c>
      <c r="F446" s="6" t="str">
        <f t="shared" si="26"/>
        <v>G24</v>
      </c>
      <c r="G446" s="6" t="str">
        <f t="shared" si="27"/>
        <v>Prof43</v>
      </c>
      <c r="H446" s="6" t="str" cm="1">
        <f t="array" ref="H446">choice(Referentiel!A:A,1,Settings!$B$16)</f>
        <v>Gr REFLECTIVE INTERACTION</v>
      </c>
      <c r="I446" s="6" t="str" cm="1">
        <f t="array" ref="I446">choice(Referentiel!B:B,1,Settings!$B$16)</f>
        <v>4ème année Scénographie S1</v>
      </c>
      <c r="J446" s="6" t="str" cm="1">
        <f t="array" ref="J446">choice(Referentiel!D:D,1,Settings!$B$16)</f>
        <v>M1</v>
      </c>
      <c r="K446" s="6" t="str" cm="1">
        <f t="array" ref="K446">choice(Professeurs!B:B,1,Settings!$B$16)</f>
        <v>Prof43</v>
      </c>
      <c r="L446" s="5" t="str" cm="1">
        <f t="array" ref="L446">choice(Referentiel!C:C,1,Settings!$B$16)</f>
        <v/>
      </c>
      <c r="M446" s="5" t="str" cm="1">
        <f t="array" ref="M446">choice(Referentiel!E:E,1,Settings!$B$16)</f>
        <v/>
      </c>
      <c r="N446" s="5" t="str" cm="1">
        <f t="array" ref="N446">choice(Settings!K:K,1,Settings!$B$16)</f>
        <v>jeudi pm</v>
      </c>
      <c r="P446" s="5">
        <f t="shared" si="28"/>
        <v>5</v>
      </c>
    </row>
    <row r="447" spans="1:16" ht="15.75" customHeight="1" x14ac:dyDescent="0.25">
      <c r="A447" s="6" t="s">
        <v>799</v>
      </c>
      <c r="B447" s="6" cm="1">
        <f t="array" ref="B447">alea_int(Settings!$B$10,1,Settings!$B$16)</f>
        <v>3</v>
      </c>
      <c r="C447" s="8">
        <v>46023</v>
      </c>
      <c r="D447" s="8">
        <f t="shared" si="25"/>
        <v>46387</v>
      </c>
      <c r="E447" s="6" t="str" cm="1">
        <f t="array" ref="E447">choice(Groupes!A:A,1,Settings!$B$16)</f>
        <v>G20</v>
      </c>
      <c r="F447" s="6" t="str">
        <f t="shared" si="26"/>
        <v>G20</v>
      </c>
      <c r="G447" s="6" t="str">
        <f t="shared" si="27"/>
        <v>Prof39</v>
      </c>
      <c r="H447" s="6" t="str" cm="1">
        <f t="array" ref="H447">choice(Referentiel!A:A,1,Settings!$B$16)</f>
        <v>Photo / Vidéo</v>
      </c>
      <c r="I447" s="6" t="str" cm="1">
        <f t="array" ref="I447">choice(Referentiel!B:B,1,Settings!$B$16)</f>
        <v>2ème année Architecture Intérieure S2</v>
      </c>
      <c r="J447" s="6" t="str" cm="1">
        <f t="array" ref="J447">choice(Referentiel!D:D,1,Settings!$B$16)</f>
        <v>L1</v>
      </c>
      <c r="K447" s="6" t="str" cm="1">
        <f t="array" ref="K447">choice(Professeurs!B:B,1,Settings!$B$16)</f>
        <v>Prof39</v>
      </c>
      <c r="L447" s="5" t="str" cm="1">
        <f t="array" ref="L447">choice(Referentiel!C:C,1,Settings!$B$16)</f>
        <v/>
      </c>
      <c r="M447" s="5" t="str" cm="1">
        <f t="array" ref="M447">choice(Referentiel!E:E,1,Settings!$B$16)</f>
        <v/>
      </c>
      <c r="N447" s="5" t="str" cm="1">
        <f t="array" ref="N447">choice(Settings!K:K,1,Settings!$B$16)</f>
        <v>jeudi am</v>
      </c>
      <c r="P447" s="5">
        <f t="shared" si="28"/>
        <v>5</v>
      </c>
    </row>
    <row r="448" spans="1:16" ht="15.75" customHeight="1" x14ac:dyDescent="0.25">
      <c r="A448" s="6" t="s">
        <v>800</v>
      </c>
      <c r="B448" s="6" cm="1">
        <f t="array" ref="B448">alea_int(Settings!$B$10,1,Settings!$B$16)</f>
        <v>2</v>
      </c>
      <c r="C448" s="8">
        <v>46023</v>
      </c>
      <c r="D448" s="8">
        <f t="shared" si="25"/>
        <v>46387</v>
      </c>
      <c r="E448" s="6" t="str" cm="1">
        <f t="array" ref="E448">choice(Groupes!A:A,1,Settings!$B$16)</f>
        <v>G14</v>
      </c>
      <c r="F448" s="6" t="str">
        <f t="shared" si="26"/>
        <v>G14</v>
      </c>
      <c r="G448" s="6" t="str">
        <f t="shared" si="27"/>
        <v>Prof43</v>
      </c>
      <c r="H448" s="6" t="str" cm="1">
        <f t="array" ref="H448">choice(Referentiel!A:A,1,Settings!$B$16)</f>
        <v>Gr REFLECTIVE INTERACTION</v>
      </c>
      <c r="I448" s="6" t="str" cm="1">
        <f t="array" ref="I448">choice(Referentiel!B:B,1,Settings!$B$16)</f>
        <v>2ème année Design Objet S1</v>
      </c>
      <c r="J448" s="6" t="str" cm="1">
        <f t="array" ref="J448">choice(Referentiel!D:D,1,Settings!$B$16)</f>
        <v>L2</v>
      </c>
      <c r="K448" s="6" t="str" cm="1">
        <f t="array" ref="K448">choice(Professeurs!B:B,1,Settings!$B$16)</f>
        <v>Prof43</v>
      </c>
      <c r="L448" s="5" t="str" cm="1">
        <f t="array" ref="L448">choice(Referentiel!C:C,1,Settings!$B$16)</f>
        <v/>
      </c>
      <c r="M448" s="5" t="str" cm="1">
        <f t="array" ref="M448">choice(Referentiel!E:E,1,Settings!$B$16)</f>
        <v/>
      </c>
      <c r="N448" s="5" t="str" cm="1">
        <f t="array" ref="N448">choice(Settings!K:K,1,Settings!$B$16)</f>
        <v/>
      </c>
      <c r="P448" s="5">
        <f t="shared" si="28"/>
        <v>2</v>
      </c>
    </row>
    <row r="449" spans="1:16" ht="15.75" customHeight="1" x14ac:dyDescent="0.25">
      <c r="A449" s="6" t="s">
        <v>801</v>
      </c>
      <c r="B449" s="6" cm="1">
        <f t="array" ref="B449">alea_int(Settings!$B$10,1,Settings!$B$16)</f>
        <v>2</v>
      </c>
      <c r="C449" s="8">
        <v>46023</v>
      </c>
      <c r="D449" s="8">
        <f t="shared" si="25"/>
        <v>46387</v>
      </c>
      <c r="E449" s="6" t="str" cm="1">
        <f t="array" ref="E449">choice(Groupes!A:A,1,Settings!$B$16)</f>
        <v>G3</v>
      </c>
      <c r="F449" s="6" t="str">
        <f t="shared" si="26"/>
        <v>G3</v>
      </c>
      <c r="G449" s="6" t="str">
        <f t="shared" si="27"/>
        <v>Prof49</v>
      </c>
      <c r="H449" s="6" t="str" cm="1">
        <f t="array" ref="H449">choice(Referentiel!A:A,1,Settings!$B$16)</f>
        <v>Scénographie</v>
      </c>
      <c r="I449" s="6" t="str" cm="1">
        <f t="array" ref="I449">choice(Referentiel!B:B,1,Settings!$B$16)</f>
        <v>5ème année Art-Espace S1</v>
      </c>
      <c r="J449" s="6" t="str" cm="1">
        <f t="array" ref="J449">choice(Referentiel!D:D,1,Settings!$B$16)</f>
        <v>M2</v>
      </c>
      <c r="K449" s="6" t="str" cm="1">
        <f t="array" ref="K449">choice(Professeurs!B:B,1,Settings!$B$16)</f>
        <v>Prof49</v>
      </c>
      <c r="L449" s="5" t="str" cm="1">
        <f t="array" ref="L449">choice(Referentiel!C:C,1,Settings!$B$16)</f>
        <v/>
      </c>
      <c r="M449" s="5" t="str" cm="1">
        <f t="array" ref="M449">choice(Referentiel!E:E,1,Settings!$B$16)</f>
        <v/>
      </c>
      <c r="N449" s="5" t="str" cm="1">
        <f t="array" ref="N449">choice(Settings!K:K,1,Settings!$B$16)</f>
        <v/>
      </c>
      <c r="P449" s="5">
        <f t="shared" si="28"/>
        <v>2</v>
      </c>
    </row>
    <row r="450" spans="1:16" ht="15.75" customHeight="1" x14ac:dyDescent="0.25">
      <c r="A450" s="6" t="s">
        <v>802</v>
      </c>
      <c r="B450" s="6" cm="1">
        <f t="array" ref="B450">alea_int(Settings!$B$10,1,Settings!$B$16)</f>
        <v>1</v>
      </c>
      <c r="C450" s="8">
        <v>46023</v>
      </c>
      <c r="D450" s="8">
        <f t="shared" si="25"/>
        <v>46387</v>
      </c>
      <c r="E450" s="6" t="str" cm="1">
        <f t="array" ref="E450">choice(Groupes!A:A,1,Settings!$B$16)</f>
        <v>G26</v>
      </c>
      <c r="F450" s="6" t="str">
        <f t="shared" si="26"/>
        <v>G26</v>
      </c>
      <c r="G450" s="6" t="str">
        <f t="shared" si="27"/>
        <v>Prof23</v>
      </c>
      <c r="H450" s="6" t="str" cm="1">
        <f t="array" ref="H450">choice(Referentiel!A:A,1,Settings!$B$16)</f>
        <v>Gr ART, DESIGN, SOCIETE</v>
      </c>
      <c r="I450" s="6" t="str" cm="1">
        <f t="array" ref="I450">choice(Referentiel!B:B,1,Settings!$B$16)</f>
        <v>5ème année Design Objet S1</v>
      </c>
      <c r="J450" s="6" t="str" cm="1">
        <f t="array" ref="J450">choice(Referentiel!D:D,1,Settings!$B$16)</f>
        <v>L3</v>
      </c>
      <c r="K450" s="6" t="str" cm="1">
        <f t="array" ref="K450">choice(Professeurs!B:B,1,Settings!$B$16)</f>
        <v>Prof23</v>
      </c>
      <c r="L450" s="5" t="str" cm="1">
        <f t="array" ref="L450">choice(Referentiel!C:C,1,Settings!$B$16)</f>
        <v/>
      </c>
      <c r="M450" s="5" t="str" cm="1">
        <f t="array" ref="M450">choice(Referentiel!E:E,1,Settings!$B$16)</f>
        <v/>
      </c>
      <c r="N450" s="5" t="str" cm="1">
        <f t="array" ref="N450">choice(Settings!K:K,1,Settings!$B$16)</f>
        <v/>
      </c>
      <c r="P450" s="5">
        <f t="shared" si="28"/>
        <v>1</v>
      </c>
    </row>
    <row r="451" spans="1:16" ht="15.75" customHeight="1" x14ac:dyDescent="0.25">
      <c r="A451" s="6" t="s">
        <v>803</v>
      </c>
      <c r="B451" s="6" cm="1">
        <f t="array" ref="B451">alea_int(Settings!$B$10,1,Settings!$B$16)</f>
        <v>3</v>
      </c>
      <c r="C451" s="8">
        <v>46023</v>
      </c>
      <c r="D451" s="8">
        <f t="shared" ref="D451:D514" si="29">C451+364</f>
        <v>46387</v>
      </c>
      <c r="E451" s="6" t="str" cm="1">
        <f t="array" ref="E451">choice(Groupes!A:A,1,Settings!$B$16)</f>
        <v>G16</v>
      </c>
      <c r="F451" s="6" t="str">
        <f t="shared" ref="F451:F514" si="30">E451</f>
        <v>G16</v>
      </c>
      <c r="G451" s="6" t="str">
        <f t="shared" ref="G451:G514" si="31">K451</f>
        <v>Prof44</v>
      </c>
      <c r="H451" s="6" t="str" cm="1">
        <f t="array" ref="H451">choice(Referentiel!A:A,1,Settings!$B$16)</f>
        <v>Gr ART, DESIGN, SOCIETE</v>
      </c>
      <c r="I451" s="6" t="str" cm="1">
        <f t="array" ref="I451">choice(Referentiel!B:B,1,Settings!$B$16)</f>
        <v>5ème année Design Objet S1</v>
      </c>
      <c r="J451" s="6" t="str" cm="1">
        <f t="array" ref="J451">choice(Referentiel!D:D,1,Settings!$B$16)</f>
        <v>M1</v>
      </c>
      <c r="K451" s="6" t="str" cm="1">
        <f t="array" ref="K451">choice(Professeurs!B:B,1,Settings!$B$16)</f>
        <v>Prof44</v>
      </c>
      <c r="L451" s="5" t="str" cm="1">
        <f t="array" ref="L451">choice(Referentiel!C:C,1,Settings!$B$16)</f>
        <v/>
      </c>
      <c r="M451" s="5" t="str" cm="1">
        <f t="array" ref="M451">choice(Referentiel!E:E,1,Settings!$B$16)</f>
        <v/>
      </c>
      <c r="N451" s="5" t="str" cm="1">
        <f t="array" ref="N451">choice(Settings!K:K,1,Settings!$B$16)</f>
        <v/>
      </c>
      <c r="P451" s="5">
        <f t="shared" ref="P451:P514" si="32">B451+IF(M451&lt;&gt;"",2,0)+IF(N451&lt;&gt;"",2,0)</f>
        <v>3</v>
      </c>
    </row>
    <row r="452" spans="1:16" ht="15.75" customHeight="1" x14ac:dyDescent="0.25">
      <c r="A452" s="6" t="s">
        <v>804</v>
      </c>
      <c r="B452" s="6" cm="1">
        <f t="array" ref="B452">alea_int(Settings!$B$10,1,Settings!$B$16)</f>
        <v>3</v>
      </c>
      <c r="C452" s="8">
        <v>46023</v>
      </c>
      <c r="D452" s="8">
        <f t="shared" si="29"/>
        <v>46387</v>
      </c>
      <c r="E452" s="6" t="str" cm="1">
        <f t="array" ref="E452">choice(Groupes!A:A,1,Settings!$B$16)</f>
        <v>G24</v>
      </c>
      <c r="F452" s="6" t="str">
        <f t="shared" si="30"/>
        <v>G24</v>
      </c>
      <c r="G452" s="6" t="str">
        <f t="shared" si="31"/>
        <v>Prof18</v>
      </c>
      <c r="H452" s="6" t="str" cm="1">
        <f t="array" ref="H452">choice(Referentiel!A:A,1,Settings!$B$16)</f>
        <v>Design des mondes ruraux</v>
      </c>
      <c r="I452" s="6" t="str" cm="1">
        <f t="array" ref="I452">choice(Referentiel!B:B,1,Settings!$B$16)</f>
        <v>4ème année Image Imprimée S1</v>
      </c>
      <c r="J452" s="6" t="str" cm="1">
        <f t="array" ref="J452">choice(Referentiel!D:D,1,Settings!$B$16)</f>
        <v>M1</v>
      </c>
      <c r="K452" s="6" t="str" cm="1">
        <f t="array" ref="K452">choice(Professeurs!B:B,1,Settings!$B$16)</f>
        <v>Prof18</v>
      </c>
      <c r="L452" s="5" t="str" cm="1">
        <f t="array" ref="L452">choice(Referentiel!C:C,1,Settings!$B$16)</f>
        <v/>
      </c>
      <c r="M452" s="5" t="str" cm="1">
        <f t="array" ref="M452">choice(Referentiel!E:E,1,Settings!$B$16)</f>
        <v/>
      </c>
      <c r="N452" s="5" t="str" cm="1">
        <f t="array" ref="N452">choice(Settings!K:K,1,Settings!$B$16)</f>
        <v/>
      </c>
      <c r="P452" s="5">
        <f t="shared" si="32"/>
        <v>3</v>
      </c>
    </row>
    <row r="453" spans="1:16" ht="15.75" customHeight="1" x14ac:dyDescent="0.25">
      <c r="A453" s="6" t="s">
        <v>805</v>
      </c>
      <c r="B453" s="6" cm="1">
        <f t="array" ref="B453">alea_int(Settings!$B$10,1,Settings!$B$16)</f>
        <v>3</v>
      </c>
      <c r="C453" s="8">
        <v>46023</v>
      </c>
      <c r="D453" s="8">
        <f t="shared" si="29"/>
        <v>46387</v>
      </c>
      <c r="E453" s="6" t="str" cm="1">
        <f t="array" ref="E453">choice(Groupes!A:A,1,Settings!$B$16)</f>
        <v>G4</v>
      </c>
      <c r="F453" s="6" t="str">
        <f t="shared" si="30"/>
        <v>G4</v>
      </c>
      <c r="G453" s="6" t="str">
        <f t="shared" si="31"/>
        <v>Prof31</v>
      </c>
      <c r="H453" s="6" t="str" cm="1">
        <f t="array" ref="H453">choice(Referentiel!A:A,1,Settings!$B$16)</f>
        <v>Design des mondes insulaires</v>
      </c>
      <c r="I453" s="6" t="str" cm="1">
        <f t="array" ref="I453">choice(Referentiel!B:B,1,Settings!$B$16)</f>
        <v>2ème année Design Vêtement S1</v>
      </c>
      <c r="J453" s="6" t="str" cm="1">
        <f t="array" ref="J453">choice(Referentiel!D:D,1,Settings!$B$16)</f>
        <v>M1</v>
      </c>
      <c r="K453" s="6" t="str" cm="1">
        <f t="array" ref="K453">choice(Professeurs!B:B,1,Settings!$B$16)</f>
        <v>Prof31</v>
      </c>
      <c r="L453" s="5" t="str" cm="1">
        <f t="array" ref="L453">choice(Referentiel!C:C,1,Settings!$B$16)</f>
        <v/>
      </c>
      <c r="M453" s="5" t="str" cm="1">
        <f t="array" ref="M453">choice(Referentiel!E:E,1,Settings!$B$16)</f>
        <v/>
      </c>
      <c r="N453" s="5" t="str" cm="1">
        <f t="array" ref="N453">choice(Settings!K:K,1,Settings!$B$16)</f>
        <v/>
      </c>
      <c r="P453" s="5">
        <f t="shared" si="32"/>
        <v>3</v>
      </c>
    </row>
    <row r="454" spans="1:16" ht="15.75" customHeight="1" x14ac:dyDescent="0.25">
      <c r="A454" s="6" t="s">
        <v>806</v>
      </c>
      <c r="B454" s="6" cm="1">
        <f t="array" ref="B454">alea_int(Settings!$B$10,1,Settings!$B$16)</f>
        <v>2</v>
      </c>
      <c r="C454" s="8">
        <v>46023</v>
      </c>
      <c r="D454" s="8">
        <f t="shared" si="29"/>
        <v>46387</v>
      </c>
      <c r="E454" s="6" t="str" cm="1">
        <f t="array" ref="E454">choice(Groupes!A:A,1,Settings!$B$16)</f>
        <v>G16</v>
      </c>
      <c r="F454" s="6" t="str">
        <f t="shared" si="30"/>
        <v>G16</v>
      </c>
      <c r="G454" s="6" t="str">
        <f t="shared" si="31"/>
        <v>Prof4</v>
      </c>
      <c r="H454" s="6" t="str" cm="1">
        <f t="array" ref="H454">choice(Referentiel!A:A,1,Settings!$B$16)</f>
        <v>Gr TERRITOIRES</v>
      </c>
      <c r="I454" s="6" t="str" cm="1">
        <f t="array" ref="I454">choice(Referentiel!B:B,1,Settings!$B$16)</f>
        <v>4ème année Design Graphique S2</v>
      </c>
      <c r="J454" s="6" t="str" cm="1">
        <f t="array" ref="J454">choice(Referentiel!D:D,1,Settings!$B$16)</f>
        <v>M1</v>
      </c>
      <c r="K454" s="6" t="str" cm="1">
        <f t="array" ref="K454">choice(Professeurs!B:B,1,Settings!$B$16)</f>
        <v>Prof4</v>
      </c>
      <c r="L454" s="5" t="str" cm="1">
        <f t="array" ref="L454">choice(Referentiel!C:C,1,Settings!$B$16)</f>
        <v/>
      </c>
      <c r="M454" s="5" t="str" cm="1">
        <f t="array" ref="M454">choice(Referentiel!E:E,1,Settings!$B$16)</f>
        <v/>
      </c>
      <c r="N454" s="5" t="str" cm="1">
        <f t="array" ref="N454">choice(Settings!K:K,1,Settings!$B$16)</f>
        <v/>
      </c>
      <c r="P454" s="5">
        <f t="shared" si="32"/>
        <v>2</v>
      </c>
    </row>
    <row r="455" spans="1:16" ht="15.75" customHeight="1" x14ac:dyDescent="0.25">
      <c r="A455" s="6" t="s">
        <v>807</v>
      </c>
      <c r="B455" s="6" cm="1">
        <f t="array" ref="B455">alea_int(Settings!$B$10,1,Settings!$B$16)</f>
        <v>3</v>
      </c>
      <c r="C455" s="8">
        <v>46023</v>
      </c>
      <c r="D455" s="8">
        <f t="shared" si="29"/>
        <v>46387</v>
      </c>
      <c r="E455" s="6" t="str" cm="1">
        <f t="array" ref="E455">choice(Groupes!A:A,1,Settings!$B$16)</f>
        <v>G7</v>
      </c>
      <c r="F455" s="6" t="str">
        <f t="shared" si="30"/>
        <v>G7</v>
      </c>
      <c r="G455" s="6" t="str">
        <f t="shared" si="31"/>
        <v>Prof32</v>
      </c>
      <c r="H455" s="6" t="str" cm="1">
        <f t="array" ref="H455">choice(Referentiel!A:A,1,Settings!$B$16)</f>
        <v>Gr ART, DESIGN, SOCIETE</v>
      </c>
      <c r="I455" s="6" t="str" cm="1">
        <f t="array" ref="I455">choice(Referentiel!B:B,1,Settings!$B$16)</f>
        <v>1ère Année Groupe 3 S1</v>
      </c>
      <c r="J455" s="6" t="str" cm="1">
        <f t="array" ref="J455">choice(Referentiel!D:D,1,Settings!$B$16)</f>
        <v>M1</v>
      </c>
      <c r="K455" s="6" t="str" cm="1">
        <f t="array" ref="K455">choice(Professeurs!B:B,1,Settings!$B$16)</f>
        <v>Prof32</v>
      </c>
      <c r="L455" s="5" t="str" cm="1">
        <f t="array" ref="L455">choice(Referentiel!C:C,1,Settings!$B$16)</f>
        <v/>
      </c>
      <c r="M455" s="5" t="str" cm="1">
        <f t="array" ref="M455">choice(Referentiel!E:E,1,Settings!$B$16)</f>
        <v/>
      </c>
      <c r="N455" s="5" t="str" cm="1">
        <f t="array" ref="N455">choice(Settings!K:K,1,Settings!$B$16)</f>
        <v/>
      </c>
      <c r="P455" s="5">
        <f t="shared" si="32"/>
        <v>3</v>
      </c>
    </row>
    <row r="456" spans="1:16" ht="15.75" customHeight="1" x14ac:dyDescent="0.25">
      <c r="A456" s="6" t="s">
        <v>808</v>
      </c>
      <c r="B456" s="6" cm="1">
        <f t="array" ref="B456">alea_int(Settings!$B$10,1,Settings!$B$16)</f>
        <v>3</v>
      </c>
      <c r="C456" s="8">
        <v>46023</v>
      </c>
      <c r="D456" s="8">
        <f t="shared" si="29"/>
        <v>46387</v>
      </c>
      <c r="E456" s="6" t="str" cm="1">
        <f t="array" ref="E456">choice(Groupes!A:A,1,Settings!$B$16)</f>
        <v>G13</v>
      </c>
      <c r="F456" s="6" t="str">
        <f t="shared" si="30"/>
        <v>G13</v>
      </c>
      <c r="G456" s="6" t="str">
        <f t="shared" si="31"/>
        <v>Prof29</v>
      </c>
      <c r="H456" s="6" t="str" cm="1">
        <f t="array" ref="H456">choice(Referentiel!A:A,1,Settings!$B$16)</f>
        <v>Design des mondes ruraux</v>
      </c>
      <c r="I456" s="6" t="str" cm="1">
        <f t="array" ref="I456">choice(Referentiel!B:B,1,Settings!$B$16)</f>
        <v>1ère Année Groupe 1 S2</v>
      </c>
      <c r="J456" s="6" t="str" cm="1">
        <f t="array" ref="J456">choice(Referentiel!D:D,1,Settings!$B$16)</f>
        <v>L3</v>
      </c>
      <c r="K456" s="6" t="str" cm="1">
        <f t="array" ref="K456">choice(Professeurs!B:B,1,Settings!$B$16)</f>
        <v>Prof29</v>
      </c>
      <c r="L456" s="5" t="str" cm="1">
        <f t="array" ref="L456">choice(Referentiel!C:C,1,Settings!$B$16)</f>
        <v/>
      </c>
      <c r="M456" s="5" t="str" cm="1">
        <f t="array" ref="M456">choice(Referentiel!E:E,1,Settings!$B$16)</f>
        <v/>
      </c>
      <c r="N456" s="5" t="str" cm="1">
        <f t="array" ref="N456">choice(Settings!K:K,1,Settings!$B$16)</f>
        <v>jeudi pm</v>
      </c>
      <c r="P456" s="5">
        <f t="shared" si="32"/>
        <v>5</v>
      </c>
    </row>
    <row r="457" spans="1:16" ht="15.75" customHeight="1" x14ac:dyDescent="0.25">
      <c r="A457" s="6" t="s">
        <v>809</v>
      </c>
      <c r="B457" s="6" cm="1">
        <f t="array" ref="B457">alea_int(Settings!$B$10,1,Settings!$B$16)</f>
        <v>1</v>
      </c>
      <c r="C457" s="8">
        <v>46023</v>
      </c>
      <c r="D457" s="8">
        <f t="shared" si="29"/>
        <v>46387</v>
      </c>
      <c r="E457" s="6" t="str" cm="1">
        <f t="array" ref="E457">choice(Groupes!A:A,1,Settings!$B$16)</f>
        <v>G22</v>
      </c>
      <c r="F457" s="6" t="str">
        <f t="shared" si="30"/>
        <v>G22</v>
      </c>
      <c r="G457" s="6" t="str">
        <f t="shared" si="31"/>
        <v>Prof12</v>
      </c>
      <c r="H457" s="6" t="str" cm="1">
        <f t="array" ref="H457">choice(Referentiel!A:A,1,Settings!$B$16)</f>
        <v>Design des mondes littoraux</v>
      </c>
      <c r="I457" s="6" t="str" cm="1">
        <f t="array" ref="I457">choice(Referentiel!B:B,1,Settings!$B$16)</f>
        <v>2ème année Design Vêtement S1</v>
      </c>
      <c r="J457" s="6" t="str" cm="1">
        <f t="array" ref="J457">choice(Referentiel!D:D,1,Settings!$B$16)</f>
        <v>L1</v>
      </c>
      <c r="K457" s="6" t="str" cm="1">
        <f t="array" ref="K457">choice(Professeurs!B:B,1,Settings!$B$16)</f>
        <v>Prof12</v>
      </c>
      <c r="L457" s="5" t="str" cm="1">
        <f t="array" ref="L457">choice(Referentiel!C:C,1,Settings!$B$16)</f>
        <v/>
      </c>
      <c r="M457" s="5" t="str" cm="1">
        <f t="array" ref="M457">choice(Referentiel!E:E,1,Settings!$B$16)</f>
        <v/>
      </c>
      <c r="N457" s="5" t="str" cm="1">
        <f t="array" ref="N457">choice(Settings!K:K,1,Settings!$B$16)</f>
        <v/>
      </c>
      <c r="P457" s="5">
        <f t="shared" si="32"/>
        <v>1</v>
      </c>
    </row>
    <row r="458" spans="1:16" ht="15.75" customHeight="1" x14ac:dyDescent="0.25">
      <c r="A458" s="6" t="s">
        <v>810</v>
      </c>
      <c r="B458" s="6" cm="1">
        <f t="array" ref="B458">alea_int(Settings!$B$10,1,Settings!$B$16)</f>
        <v>2</v>
      </c>
      <c r="C458" s="8">
        <v>46023</v>
      </c>
      <c r="D458" s="8">
        <f t="shared" si="29"/>
        <v>46387</v>
      </c>
      <c r="E458" s="6" t="str" cm="1">
        <f t="array" ref="E458">choice(Groupes!A:A,1,Settings!$B$16)</f>
        <v>G14</v>
      </c>
      <c r="F458" s="6" t="str">
        <f t="shared" si="30"/>
        <v>G14</v>
      </c>
      <c r="G458" s="6" t="str">
        <f t="shared" si="31"/>
        <v>Prof30</v>
      </c>
      <c r="H458" s="6" t="str" cm="1">
        <f t="array" ref="H458">choice(Referentiel!A:A,1,Settings!$B$16)</f>
        <v>Design des mondes littoraux</v>
      </c>
      <c r="I458" s="6" t="str" cm="1">
        <f t="array" ref="I458">choice(Referentiel!B:B,1,Settings!$B$16)</f>
        <v>2ème année Scénographie S1</v>
      </c>
      <c r="J458" s="6" t="str" cm="1">
        <f t="array" ref="J458">choice(Referentiel!D:D,1,Settings!$B$16)</f>
        <v>L2</v>
      </c>
      <c r="K458" s="6" t="str" cm="1">
        <f t="array" ref="K458">choice(Professeurs!B:B,1,Settings!$B$16)</f>
        <v>Prof30</v>
      </c>
      <c r="L458" s="5" t="str" cm="1">
        <f t="array" ref="L458">choice(Referentiel!C:C,1,Settings!$B$16)</f>
        <v/>
      </c>
      <c r="M458" s="5" t="str" cm="1">
        <f t="array" ref="M458">choice(Referentiel!E:E,1,Settings!$B$16)</f>
        <v/>
      </c>
      <c r="N458" s="5" t="str" cm="1">
        <f t="array" ref="N458">choice(Settings!K:K,1,Settings!$B$16)</f>
        <v>mardi am</v>
      </c>
      <c r="P458" s="5">
        <f t="shared" si="32"/>
        <v>4</v>
      </c>
    </row>
    <row r="459" spans="1:16" ht="15.75" customHeight="1" x14ac:dyDescent="0.25">
      <c r="A459" s="6" t="s">
        <v>811</v>
      </c>
      <c r="B459" s="6" cm="1">
        <f t="array" ref="B459">alea_int(Settings!$B$10,1,Settings!$B$16)</f>
        <v>2</v>
      </c>
      <c r="C459" s="8">
        <v>46023</v>
      </c>
      <c r="D459" s="8">
        <f t="shared" si="29"/>
        <v>46387</v>
      </c>
      <c r="E459" s="6" t="str" cm="1">
        <f t="array" ref="E459">choice(Groupes!A:A,1,Settings!$B$16)</f>
        <v>G24</v>
      </c>
      <c r="F459" s="6" t="str">
        <f t="shared" si="30"/>
        <v>G24</v>
      </c>
      <c r="G459" s="6" t="str">
        <f t="shared" si="31"/>
        <v>Prof26</v>
      </c>
      <c r="H459" s="6" t="str" cm="1">
        <f t="array" ref="H459">choice(Referentiel!A:A,1,Settings!$B$16)</f>
        <v>1ère année Groupe 1</v>
      </c>
      <c r="I459" s="6" t="str" cm="1">
        <f t="array" ref="I459">choice(Referentiel!B:B,1,Settings!$B$16)</f>
        <v>5ème année Design Textile et Matière S1</v>
      </c>
      <c r="J459" s="6" t="str" cm="1">
        <f t="array" ref="J459">choice(Referentiel!D:D,1,Settings!$B$16)</f>
        <v>M2</v>
      </c>
      <c r="K459" s="6" t="str" cm="1">
        <f t="array" ref="K459">choice(Professeurs!B:B,1,Settings!$B$16)</f>
        <v>Prof26</v>
      </c>
      <c r="L459" s="5" t="str" cm="1">
        <f t="array" ref="L459">choice(Referentiel!C:C,1,Settings!$B$16)</f>
        <v/>
      </c>
      <c r="M459" s="5" t="str" cm="1">
        <f t="array" ref="M459">choice(Referentiel!E:E,1,Settings!$B$16)</f>
        <v/>
      </c>
      <c r="N459" s="5" t="str" cm="1">
        <f t="array" ref="N459">choice(Settings!K:K,1,Settings!$B$16)</f>
        <v/>
      </c>
      <c r="P459" s="5">
        <f t="shared" si="32"/>
        <v>2</v>
      </c>
    </row>
    <row r="460" spans="1:16" ht="15.75" customHeight="1" x14ac:dyDescent="0.25">
      <c r="A460" s="6" t="s">
        <v>812</v>
      </c>
      <c r="B460" s="6" cm="1">
        <f t="array" ref="B460">alea_int(Settings!$B$10,1,Settings!$B$16)</f>
        <v>1</v>
      </c>
      <c r="C460" s="8">
        <v>46023</v>
      </c>
      <c r="D460" s="8">
        <f t="shared" si="29"/>
        <v>46387</v>
      </c>
      <c r="E460" s="6" t="str" cm="1">
        <f t="array" ref="E460">choice(Groupes!A:A,1,Settings!$B$16)</f>
        <v>G12</v>
      </c>
      <c r="F460" s="6" t="str">
        <f t="shared" si="30"/>
        <v>G12</v>
      </c>
      <c r="G460" s="6" t="str">
        <f t="shared" si="31"/>
        <v>Prof20</v>
      </c>
      <c r="H460" s="6" t="str" cm="1">
        <f t="array" ref="H460">choice(Referentiel!A:A,1,Settings!$B$16)</f>
        <v>Design Textile et Matière</v>
      </c>
      <c r="I460" s="6" t="str" cm="1">
        <f t="array" ref="I460">choice(Referentiel!B:B,1,Settings!$B$16)</f>
        <v>4ème année Design Textile et Matière S1</v>
      </c>
      <c r="J460" s="6" t="str" cm="1">
        <f t="array" ref="J460">choice(Referentiel!D:D,1,Settings!$B$16)</f>
        <v>M1</v>
      </c>
      <c r="K460" s="6" t="str" cm="1">
        <f t="array" ref="K460">choice(Professeurs!B:B,1,Settings!$B$16)</f>
        <v>Prof20</v>
      </c>
      <c r="L460" s="5" t="str" cm="1">
        <f t="array" ref="L460">choice(Referentiel!C:C,1,Settings!$B$16)</f>
        <v/>
      </c>
      <c r="M460" s="5" t="str" cm="1">
        <f t="array" ref="M460">choice(Referentiel!E:E,1,Settings!$B$16)</f>
        <v/>
      </c>
      <c r="N460" s="5" t="str" cm="1">
        <f t="array" ref="N460">choice(Settings!K:K,1,Settings!$B$16)</f>
        <v/>
      </c>
      <c r="P460" s="5">
        <f t="shared" si="32"/>
        <v>1</v>
      </c>
    </row>
    <row r="461" spans="1:16" ht="15.75" customHeight="1" x14ac:dyDescent="0.25">
      <c r="A461" s="6" t="s">
        <v>813</v>
      </c>
      <c r="B461" s="6" cm="1">
        <f t="array" ref="B461">alea_int(Settings!$B$10,1,Settings!$B$16)</f>
        <v>3</v>
      </c>
      <c r="C461" s="8">
        <v>46023</v>
      </c>
      <c r="D461" s="8">
        <f t="shared" si="29"/>
        <v>46387</v>
      </c>
      <c r="E461" s="6" t="str" cm="1">
        <f t="array" ref="E461">choice(Groupes!A:A,1,Settings!$B$16)</f>
        <v>G22</v>
      </c>
      <c r="F461" s="6" t="str">
        <f t="shared" si="30"/>
        <v>G22</v>
      </c>
      <c r="G461" s="6" t="str">
        <f t="shared" si="31"/>
        <v>Prof44</v>
      </c>
      <c r="H461" s="6" t="str" cm="1">
        <f t="array" ref="H461">choice(Referentiel!A:A,1,Settings!$B$16)</f>
        <v>Design des mondes littoraux</v>
      </c>
      <c r="I461" s="6" t="str" cm="1">
        <f t="array" ref="I461">choice(Referentiel!B:B,1,Settings!$B$16)</f>
        <v>3ème année Architecture Intérieure S1</v>
      </c>
      <c r="J461" s="6" t="str" cm="1">
        <f t="array" ref="J461">choice(Referentiel!D:D,1,Settings!$B$16)</f>
        <v>L1</v>
      </c>
      <c r="K461" s="6" t="str" cm="1">
        <f t="array" ref="K461">choice(Professeurs!B:B,1,Settings!$B$16)</f>
        <v>Prof44</v>
      </c>
      <c r="L461" s="5" t="str" cm="1">
        <f t="array" ref="L461">choice(Referentiel!C:C,1,Settings!$B$16)</f>
        <v/>
      </c>
      <c r="M461" s="5" t="str" cm="1">
        <f t="array" ref="M461">choice(Referentiel!E:E,1,Settings!$B$16)</f>
        <v>Salle5</v>
      </c>
      <c r="N461" s="5" t="str" cm="1">
        <f t="array" ref="N461">choice(Settings!K:K,1,Settings!$B$16)</f>
        <v>mercredi ap</v>
      </c>
      <c r="P461" s="5">
        <f t="shared" si="32"/>
        <v>7</v>
      </c>
    </row>
    <row r="462" spans="1:16" ht="15.75" customHeight="1" x14ac:dyDescent="0.25">
      <c r="A462" s="6" t="s">
        <v>814</v>
      </c>
      <c r="B462" s="6" cm="1">
        <f t="array" ref="B462">alea_int(Settings!$B$10,1,Settings!$B$16)</f>
        <v>3</v>
      </c>
      <c r="C462" s="8">
        <v>46023</v>
      </c>
      <c r="D462" s="8">
        <f t="shared" si="29"/>
        <v>46387</v>
      </c>
      <c r="E462" s="6" t="str" cm="1">
        <f t="array" ref="E462">choice(Groupes!A:A,1,Settings!$B$16)</f>
        <v>G12</v>
      </c>
      <c r="F462" s="6" t="str">
        <f t="shared" si="30"/>
        <v>G12</v>
      </c>
      <c r="G462" s="6" t="str">
        <f t="shared" si="31"/>
        <v>Prof50</v>
      </c>
      <c r="H462" s="6" t="str" cm="1">
        <f t="array" ref="H462">choice(Referentiel!A:A,1,Settings!$B$16)</f>
        <v>Art-Espace</v>
      </c>
      <c r="I462" s="6" t="str" cm="1">
        <f t="array" ref="I462">choice(Referentiel!B:B,1,Settings!$B$16)</f>
        <v>5ème année Design Vêtement S2</v>
      </c>
      <c r="J462" s="6" t="str" cm="1">
        <f t="array" ref="J462">choice(Referentiel!D:D,1,Settings!$B$16)</f>
        <v>M2</v>
      </c>
      <c r="K462" s="6" t="str" cm="1">
        <f t="array" ref="K462">choice(Professeurs!B:B,1,Settings!$B$16)</f>
        <v>Prof50</v>
      </c>
      <c r="L462" s="5" t="str" cm="1">
        <f t="array" ref="L462">choice(Referentiel!C:C,1,Settings!$B$16)</f>
        <v/>
      </c>
      <c r="M462" s="5" t="str" cm="1">
        <f t="array" ref="M462">choice(Referentiel!E:E,1,Settings!$B$16)</f>
        <v/>
      </c>
      <c r="N462" s="5" t="str" cm="1">
        <f t="array" ref="N462">choice(Settings!K:K,1,Settings!$B$16)</f>
        <v/>
      </c>
      <c r="P462" s="5">
        <f t="shared" si="32"/>
        <v>3</v>
      </c>
    </row>
    <row r="463" spans="1:16" ht="15.75" customHeight="1" x14ac:dyDescent="0.25">
      <c r="A463" s="6" t="s">
        <v>815</v>
      </c>
      <c r="B463" s="6" cm="1">
        <f t="array" ref="B463">alea_int(Settings!$B$10,1,Settings!$B$16)</f>
        <v>2</v>
      </c>
      <c r="C463" s="8">
        <v>46023</v>
      </c>
      <c r="D463" s="8">
        <f t="shared" si="29"/>
        <v>46387</v>
      </c>
      <c r="E463" s="6" t="str" cm="1">
        <f t="array" ref="E463">choice(Groupes!A:A,1,Settings!$B$16)</f>
        <v>G3</v>
      </c>
      <c r="F463" s="6" t="str">
        <f t="shared" si="30"/>
        <v>G3</v>
      </c>
      <c r="G463" s="6" t="str">
        <f t="shared" si="31"/>
        <v>Prof19</v>
      </c>
      <c r="H463" s="6" t="str" cm="1">
        <f t="array" ref="H463">choice(Referentiel!A:A,1,Settings!$B$16)</f>
        <v>Photo / Vidéo</v>
      </c>
      <c r="I463" s="6" t="str" cm="1">
        <f t="array" ref="I463">choice(Referentiel!B:B,1,Settings!$B$16)</f>
        <v>4ème année Art-Espace S2</v>
      </c>
      <c r="J463" s="6" t="str" cm="1">
        <f t="array" ref="J463">choice(Referentiel!D:D,1,Settings!$B$16)</f>
        <v>L2</v>
      </c>
      <c r="K463" s="6" t="str" cm="1">
        <f t="array" ref="K463">choice(Professeurs!B:B,1,Settings!$B$16)</f>
        <v>Prof19</v>
      </c>
      <c r="L463" s="5" t="str" cm="1">
        <f t="array" ref="L463">choice(Referentiel!C:C,1,Settings!$B$16)</f>
        <v/>
      </c>
      <c r="M463" s="5" t="str" cm="1">
        <f t="array" ref="M463">choice(Referentiel!E:E,1,Settings!$B$16)</f>
        <v/>
      </c>
      <c r="N463" s="5" t="str" cm="1">
        <f t="array" ref="N463">choice(Settings!K:K,1,Settings!$B$16)</f>
        <v>jeudi pm</v>
      </c>
      <c r="P463" s="5">
        <f t="shared" si="32"/>
        <v>4</v>
      </c>
    </row>
    <row r="464" spans="1:16" ht="15.75" customHeight="1" x14ac:dyDescent="0.25">
      <c r="A464" s="6" t="s">
        <v>816</v>
      </c>
      <c r="B464" s="6" cm="1">
        <f t="array" ref="B464">alea_int(Settings!$B$10,1,Settings!$B$16)</f>
        <v>2</v>
      </c>
      <c r="C464" s="8">
        <v>46023</v>
      </c>
      <c r="D464" s="8">
        <f t="shared" si="29"/>
        <v>46387</v>
      </c>
      <c r="E464" s="6" t="str" cm="1">
        <f t="array" ref="E464">choice(Groupes!A:A,1,Settings!$B$16)</f>
        <v>G7</v>
      </c>
      <c r="F464" s="6" t="str">
        <f t="shared" si="30"/>
        <v>G7</v>
      </c>
      <c r="G464" s="6" t="str">
        <f t="shared" si="31"/>
        <v>Prof39</v>
      </c>
      <c r="H464" s="6" t="str" cm="1">
        <f t="array" ref="H464">choice(Referentiel!A:A,1,Settings!$B$16)</f>
        <v>Design des mondes urbains</v>
      </c>
      <c r="I464" s="6" t="str" cm="1">
        <f t="array" ref="I464">choice(Referentiel!B:B,1,Settings!$B$16)</f>
        <v>3ème année Image Imprimée S1</v>
      </c>
      <c r="J464" s="6" t="str" cm="1">
        <f t="array" ref="J464">choice(Referentiel!D:D,1,Settings!$B$16)</f>
        <v>L3</v>
      </c>
      <c r="K464" s="6" t="str" cm="1">
        <f t="array" ref="K464">choice(Professeurs!B:B,1,Settings!$B$16)</f>
        <v>Prof39</v>
      </c>
      <c r="L464" s="5" t="str" cm="1">
        <f t="array" ref="L464">choice(Referentiel!C:C,1,Settings!$B$16)</f>
        <v/>
      </c>
      <c r="M464" s="5" t="str" cm="1">
        <f t="array" ref="M464">choice(Referentiel!E:E,1,Settings!$B$16)</f>
        <v/>
      </c>
      <c r="N464" s="5" t="str" cm="1">
        <f t="array" ref="N464">choice(Settings!K:K,1,Settings!$B$16)</f>
        <v/>
      </c>
      <c r="P464" s="5">
        <f t="shared" si="32"/>
        <v>2</v>
      </c>
    </row>
    <row r="465" spans="1:16" ht="15.75" customHeight="1" x14ac:dyDescent="0.25">
      <c r="A465" s="6" t="s">
        <v>817</v>
      </c>
      <c r="B465" s="6" cm="1">
        <f t="array" ref="B465">alea_int(Settings!$B$10,1,Settings!$B$16)</f>
        <v>1</v>
      </c>
      <c r="C465" s="8">
        <v>46023</v>
      </c>
      <c r="D465" s="8">
        <f t="shared" si="29"/>
        <v>46387</v>
      </c>
      <c r="E465" s="6" t="str" cm="1">
        <f t="array" ref="E465">choice(Groupes!A:A,1,Settings!$B$16)</f>
        <v>G23</v>
      </c>
      <c r="F465" s="6" t="str">
        <f t="shared" si="30"/>
        <v>G23</v>
      </c>
      <c r="G465" s="6" t="str">
        <f t="shared" si="31"/>
        <v>Prof5</v>
      </c>
      <c r="H465" s="6" t="str" cm="1">
        <f t="array" ref="H465">choice(Referentiel!A:A,1,Settings!$B$16)</f>
        <v>Design Graphique</v>
      </c>
      <c r="I465" s="6" t="str" cm="1">
        <f t="array" ref="I465">choice(Referentiel!B:B,1,Settings!$B$16)</f>
        <v>3ème année Architecture Intérieure S1</v>
      </c>
      <c r="J465" s="6" t="str" cm="1">
        <f t="array" ref="J465">choice(Referentiel!D:D,1,Settings!$B$16)</f>
        <v>L2</v>
      </c>
      <c r="K465" s="6" t="str" cm="1">
        <f t="array" ref="K465">choice(Professeurs!B:B,1,Settings!$B$16)</f>
        <v>Prof5</v>
      </c>
      <c r="L465" s="5" t="str" cm="1">
        <f t="array" ref="L465">choice(Referentiel!C:C,1,Settings!$B$16)</f>
        <v/>
      </c>
      <c r="M465" s="5" t="str" cm="1">
        <f t="array" ref="M465">choice(Referentiel!E:E,1,Settings!$B$16)</f>
        <v/>
      </c>
      <c r="N465" s="5" t="str" cm="1">
        <f t="array" ref="N465">choice(Settings!K:K,1,Settings!$B$16)</f>
        <v>jeudi am</v>
      </c>
      <c r="P465" s="5">
        <f t="shared" si="32"/>
        <v>3</v>
      </c>
    </row>
    <row r="466" spans="1:16" ht="15.75" customHeight="1" x14ac:dyDescent="0.25">
      <c r="A466" s="6" t="s">
        <v>818</v>
      </c>
      <c r="B466" s="6" cm="1">
        <f t="array" ref="B466">alea_int(Settings!$B$10,1,Settings!$B$16)</f>
        <v>3</v>
      </c>
      <c r="C466" s="8">
        <v>46023</v>
      </c>
      <c r="D466" s="8">
        <f t="shared" si="29"/>
        <v>46387</v>
      </c>
      <c r="E466" s="6" t="str" cm="1">
        <f t="array" ref="E466">choice(Groupes!A:A,1,Settings!$B$16)</f>
        <v>G23</v>
      </c>
      <c r="F466" s="6" t="str">
        <f t="shared" si="30"/>
        <v>G23</v>
      </c>
      <c r="G466" s="6" t="str">
        <f t="shared" si="31"/>
        <v>Prof13</v>
      </c>
      <c r="H466" s="6" t="str" cm="1">
        <f t="array" ref="H466">choice(Referentiel!A:A,1,Settings!$B$16)</f>
        <v>Design des mondes forestiers</v>
      </c>
      <c r="I466" s="6" t="str" cm="1">
        <f t="array" ref="I466">choice(Referentiel!B:B,1,Settings!$B$16)</f>
        <v>1ère Année Groupe 3 S2</v>
      </c>
      <c r="J466" s="6" t="str" cm="1">
        <f t="array" ref="J466">choice(Referentiel!D:D,1,Settings!$B$16)</f>
        <v>L3</v>
      </c>
      <c r="K466" s="6" t="str" cm="1">
        <f t="array" ref="K466">choice(Professeurs!B:B,1,Settings!$B$16)</f>
        <v>Prof13</v>
      </c>
      <c r="L466" s="5" t="str" cm="1">
        <f t="array" ref="L466">choice(Referentiel!C:C,1,Settings!$B$16)</f>
        <v/>
      </c>
      <c r="M466" s="5" t="str" cm="1">
        <f t="array" ref="M466">choice(Referentiel!E:E,1,Settings!$B$16)</f>
        <v/>
      </c>
      <c r="N466" s="5" t="str" cm="1">
        <f t="array" ref="N466">choice(Settings!K:K,1,Settings!$B$16)</f>
        <v/>
      </c>
      <c r="P466" s="5">
        <f t="shared" si="32"/>
        <v>3</v>
      </c>
    </row>
    <row r="467" spans="1:16" ht="15.75" customHeight="1" x14ac:dyDescent="0.25">
      <c r="A467" s="6" t="s">
        <v>819</v>
      </c>
      <c r="B467" s="6" cm="1">
        <f t="array" ref="B467">alea_int(Settings!$B$10,1,Settings!$B$16)</f>
        <v>3</v>
      </c>
      <c r="C467" s="8">
        <v>46023</v>
      </c>
      <c r="D467" s="8">
        <f t="shared" si="29"/>
        <v>46387</v>
      </c>
      <c r="E467" s="6" t="str" cm="1">
        <f t="array" ref="E467">choice(Groupes!A:A,1,Settings!$B$16)</f>
        <v>G15</v>
      </c>
      <c r="F467" s="6" t="str">
        <f t="shared" si="30"/>
        <v>G15</v>
      </c>
      <c r="G467" s="6" t="str">
        <f t="shared" si="31"/>
        <v>Prof34</v>
      </c>
      <c r="H467" s="6" t="str" cm="1">
        <f t="array" ref="H467">choice(Referentiel!A:A,1,Settings!$B$16)</f>
        <v>6ème année atelier</v>
      </c>
      <c r="I467" s="6" t="str" cm="1">
        <f t="array" ref="I467">choice(Referentiel!B:B,1,Settings!$B$16)</f>
        <v>5ème année Art-Espace S2</v>
      </c>
      <c r="J467" s="6" t="str" cm="1">
        <f t="array" ref="J467">choice(Referentiel!D:D,1,Settings!$B$16)</f>
        <v>L3</v>
      </c>
      <c r="K467" s="6" t="str" cm="1">
        <f t="array" ref="K467">choice(Professeurs!B:B,1,Settings!$B$16)</f>
        <v>Prof34</v>
      </c>
      <c r="L467" s="5" t="str" cm="1">
        <f t="array" ref="L467">choice(Referentiel!C:C,1,Settings!$B$16)</f>
        <v/>
      </c>
      <c r="M467" s="5" t="str" cm="1">
        <f t="array" ref="M467">choice(Referentiel!E:E,1,Settings!$B$16)</f>
        <v/>
      </c>
      <c r="N467" s="5" t="str" cm="1">
        <f t="array" ref="N467">choice(Settings!K:K,1,Settings!$B$16)</f>
        <v>mardi am</v>
      </c>
      <c r="P467" s="5">
        <f t="shared" si="32"/>
        <v>5</v>
      </c>
    </row>
    <row r="468" spans="1:16" ht="15.75" customHeight="1" x14ac:dyDescent="0.25">
      <c r="A468" s="6" t="s">
        <v>820</v>
      </c>
      <c r="B468" s="6" cm="1">
        <f t="array" ref="B468">alea_int(Settings!$B$10,1,Settings!$B$16)</f>
        <v>2</v>
      </c>
      <c r="C468" s="8">
        <v>46023</v>
      </c>
      <c r="D468" s="8">
        <f t="shared" si="29"/>
        <v>46387</v>
      </c>
      <c r="E468" s="6" t="str" cm="1">
        <f t="array" ref="E468">choice(Groupes!A:A,1,Settings!$B$16)</f>
        <v>G9</v>
      </c>
      <c r="F468" s="6" t="str">
        <f t="shared" si="30"/>
        <v>G9</v>
      </c>
      <c r="G468" s="6" t="str">
        <f t="shared" si="31"/>
        <v>Prof12</v>
      </c>
      <c r="H468" s="6" t="str" cm="1">
        <f t="array" ref="H468">choice(Referentiel!A:A,1,Settings!$B$16)</f>
        <v>1ère année Groupe 4</v>
      </c>
      <c r="I468" s="6" t="str" cm="1">
        <f t="array" ref="I468">choice(Referentiel!B:B,1,Settings!$B$16)</f>
        <v>4ème année Image Imprimée S2</v>
      </c>
      <c r="J468" s="6" t="str" cm="1">
        <f t="array" ref="J468">choice(Referentiel!D:D,1,Settings!$B$16)</f>
        <v>L2</v>
      </c>
      <c r="K468" s="6" t="str" cm="1">
        <f t="array" ref="K468">choice(Professeurs!B:B,1,Settings!$B$16)</f>
        <v>Prof12</v>
      </c>
      <c r="L468" s="5" t="str" cm="1">
        <f t="array" ref="L468">choice(Referentiel!C:C,1,Settings!$B$16)</f>
        <v/>
      </c>
      <c r="M468" s="5" t="str" cm="1">
        <f t="array" ref="M468">choice(Referentiel!E:E,1,Settings!$B$16)</f>
        <v/>
      </c>
      <c r="N468" s="5" t="str" cm="1">
        <f t="array" ref="N468">choice(Settings!K:K,1,Settings!$B$16)</f>
        <v/>
      </c>
      <c r="P468" s="5">
        <f t="shared" si="32"/>
        <v>2</v>
      </c>
    </row>
    <row r="469" spans="1:16" ht="15.75" customHeight="1" x14ac:dyDescent="0.25">
      <c r="A469" s="6" t="s">
        <v>821</v>
      </c>
      <c r="B469" s="6" cm="1">
        <f t="array" ref="B469">alea_int(Settings!$B$10,1,Settings!$B$16)</f>
        <v>2</v>
      </c>
      <c r="C469" s="8">
        <v>46023</v>
      </c>
      <c r="D469" s="8">
        <f t="shared" si="29"/>
        <v>46387</v>
      </c>
      <c r="E469" s="6" t="str" cm="1">
        <f t="array" ref="E469">choice(Groupes!A:A,1,Settings!$B$16)</f>
        <v>G13</v>
      </c>
      <c r="F469" s="6" t="str">
        <f t="shared" si="30"/>
        <v>G13</v>
      </c>
      <c r="G469" s="6" t="str">
        <f t="shared" si="31"/>
        <v>Prof36</v>
      </c>
      <c r="H469" s="6" t="str" cm="1">
        <f t="array" ref="H469">choice(Referentiel!A:A,1,Settings!$B$16)</f>
        <v>1ère année Groupe 1</v>
      </c>
      <c r="I469" s="6" t="str" cm="1">
        <f t="array" ref="I469">choice(Referentiel!B:B,1,Settings!$B$16)</f>
        <v>5ème année Image Imprimée S1</v>
      </c>
      <c r="J469" s="6" t="str" cm="1">
        <f t="array" ref="J469">choice(Referentiel!D:D,1,Settings!$B$16)</f>
        <v>M2</v>
      </c>
      <c r="K469" s="6" t="str" cm="1">
        <f t="array" ref="K469">choice(Professeurs!B:B,1,Settings!$B$16)</f>
        <v>Prof36</v>
      </c>
      <c r="L469" s="5" t="str" cm="1">
        <f t="array" ref="L469">choice(Referentiel!C:C,1,Settings!$B$16)</f>
        <v/>
      </c>
      <c r="M469" s="5" t="str" cm="1">
        <f t="array" ref="M469">choice(Referentiel!E:E,1,Settings!$B$16)</f>
        <v/>
      </c>
      <c r="N469" s="5" t="str" cm="1">
        <f t="array" ref="N469">choice(Settings!K:K,1,Settings!$B$16)</f>
        <v/>
      </c>
      <c r="P469" s="5">
        <f t="shared" si="32"/>
        <v>2</v>
      </c>
    </row>
    <row r="470" spans="1:16" ht="15.75" customHeight="1" x14ac:dyDescent="0.25">
      <c r="A470" s="6" t="s">
        <v>822</v>
      </c>
      <c r="B470" s="6" cm="1">
        <f t="array" ref="B470">alea_int(Settings!$B$10,1,Settings!$B$16)</f>
        <v>2</v>
      </c>
      <c r="C470" s="8">
        <v>46023</v>
      </c>
      <c r="D470" s="8">
        <f t="shared" si="29"/>
        <v>46387</v>
      </c>
      <c r="E470" s="6" t="str" cm="1">
        <f t="array" ref="E470">choice(Groupes!A:A,1,Settings!$B$16)</f>
        <v>G10</v>
      </c>
      <c r="F470" s="6" t="str">
        <f t="shared" si="30"/>
        <v>G10</v>
      </c>
      <c r="G470" s="6" t="str">
        <f t="shared" si="31"/>
        <v>Prof10</v>
      </c>
      <c r="H470" s="6" t="str" cm="1">
        <f t="array" ref="H470">choice(Referentiel!A:A,1,Settings!$B$16)</f>
        <v>Gr SPATIAL MEDIA</v>
      </c>
      <c r="I470" s="6" t="str" cm="1">
        <f t="array" ref="I470">choice(Referentiel!B:B,1,Settings!$B$16)</f>
        <v>4ème année Image Imprimée S1</v>
      </c>
      <c r="J470" s="6" t="str" cm="1">
        <f t="array" ref="J470">choice(Referentiel!D:D,1,Settings!$B$16)</f>
        <v>L3</v>
      </c>
      <c r="K470" s="6" t="str" cm="1">
        <f t="array" ref="K470">choice(Professeurs!B:B,1,Settings!$B$16)</f>
        <v>Prof10</v>
      </c>
      <c r="L470" s="5" t="str" cm="1">
        <f t="array" ref="L470">choice(Referentiel!C:C,1,Settings!$B$16)</f>
        <v>fenetre</v>
      </c>
      <c r="M470" s="5" t="str" cm="1">
        <f t="array" ref="M470">choice(Referentiel!E:E,1,Settings!$B$16)</f>
        <v>Salle13</v>
      </c>
      <c r="N470" s="5" t="str" cm="1">
        <f t="array" ref="N470">choice(Settings!K:K,1,Settings!$B$16)</f>
        <v/>
      </c>
      <c r="P470" s="5">
        <f t="shared" si="32"/>
        <v>4</v>
      </c>
    </row>
    <row r="471" spans="1:16" ht="15.75" customHeight="1" x14ac:dyDescent="0.25">
      <c r="A471" s="6" t="s">
        <v>823</v>
      </c>
      <c r="B471" s="6" cm="1">
        <f t="array" ref="B471">alea_int(Settings!$B$10,1,Settings!$B$16)</f>
        <v>2</v>
      </c>
      <c r="C471" s="8">
        <v>46023</v>
      </c>
      <c r="D471" s="8">
        <f t="shared" si="29"/>
        <v>46387</v>
      </c>
      <c r="E471" s="6" t="str" cm="1">
        <f t="array" ref="E471">choice(Groupes!A:A,1,Settings!$B$16)</f>
        <v>G16</v>
      </c>
      <c r="F471" s="6" t="str">
        <f t="shared" si="30"/>
        <v>G16</v>
      </c>
      <c r="G471" s="6" t="str">
        <f t="shared" si="31"/>
        <v>Prof4</v>
      </c>
      <c r="H471" s="6" t="str" cm="1">
        <f t="array" ref="H471">choice(Referentiel!A:A,1,Settings!$B$16)</f>
        <v>1ère année Groupe 3</v>
      </c>
      <c r="I471" s="6" t="str" cm="1">
        <f t="array" ref="I471">choice(Referentiel!B:B,1,Settings!$B$16)</f>
        <v>2ème année Design Objet S2</v>
      </c>
      <c r="J471" s="6" t="str" cm="1">
        <f t="array" ref="J471">choice(Referentiel!D:D,1,Settings!$B$16)</f>
        <v>M1</v>
      </c>
      <c r="K471" s="6" t="str" cm="1">
        <f t="array" ref="K471">choice(Professeurs!B:B,1,Settings!$B$16)</f>
        <v>Prof4</v>
      </c>
      <c r="L471" s="5" t="str" cm="1">
        <f t="array" ref="L471">choice(Referentiel!C:C,1,Settings!$B$16)</f>
        <v/>
      </c>
      <c r="M471" s="5" t="str" cm="1">
        <f t="array" ref="M471">choice(Referentiel!E:E,1,Settings!$B$16)</f>
        <v/>
      </c>
      <c r="N471" s="5" t="str" cm="1">
        <f t="array" ref="N471">choice(Settings!K:K,1,Settings!$B$16)</f>
        <v>mercredi ap</v>
      </c>
      <c r="P471" s="5">
        <f t="shared" si="32"/>
        <v>4</v>
      </c>
    </row>
    <row r="472" spans="1:16" ht="15.75" customHeight="1" x14ac:dyDescent="0.25">
      <c r="A472" s="6" t="s">
        <v>824</v>
      </c>
      <c r="B472" s="6" cm="1">
        <f t="array" ref="B472">alea_int(Settings!$B$10,1,Settings!$B$16)</f>
        <v>1</v>
      </c>
      <c r="C472" s="8">
        <v>46023</v>
      </c>
      <c r="D472" s="8">
        <f t="shared" si="29"/>
        <v>46387</v>
      </c>
      <c r="E472" s="6" t="str" cm="1">
        <f t="array" ref="E472">choice(Groupes!A:A,1,Settings!$B$16)</f>
        <v>G9</v>
      </c>
      <c r="F472" s="6" t="str">
        <f t="shared" si="30"/>
        <v>G9</v>
      </c>
      <c r="G472" s="6" t="str">
        <f t="shared" si="31"/>
        <v>Prof49</v>
      </c>
      <c r="H472" s="6" t="str" cm="1">
        <f t="array" ref="H472">choice(Referentiel!A:A,1,Settings!$B$16)</f>
        <v>Gr SOFT MATTERS</v>
      </c>
      <c r="I472" s="6" t="str" cm="1">
        <f t="array" ref="I472">choice(Referentiel!B:B,1,Settings!$B$16)</f>
        <v>5ème année Architecture Intérieure S2</v>
      </c>
      <c r="J472" s="6" t="str" cm="1">
        <f t="array" ref="J472">choice(Referentiel!D:D,1,Settings!$B$16)</f>
        <v>L3</v>
      </c>
      <c r="K472" s="6" t="str" cm="1">
        <f t="array" ref="K472">choice(Professeurs!B:B,1,Settings!$B$16)</f>
        <v>Prof49</v>
      </c>
      <c r="L472" s="5" t="str" cm="1">
        <f t="array" ref="L472">choice(Referentiel!C:C,1,Settings!$B$16)</f>
        <v/>
      </c>
      <c r="M472" s="5" t="str" cm="1">
        <f t="array" ref="M472">choice(Referentiel!E:E,1,Settings!$B$16)</f>
        <v/>
      </c>
      <c r="N472" s="5" t="str" cm="1">
        <f t="array" ref="N472">choice(Settings!K:K,1,Settings!$B$16)</f>
        <v/>
      </c>
      <c r="P472" s="5">
        <f t="shared" si="32"/>
        <v>1</v>
      </c>
    </row>
    <row r="473" spans="1:16" ht="15.75" customHeight="1" x14ac:dyDescent="0.25">
      <c r="A473" s="6" t="s">
        <v>825</v>
      </c>
      <c r="B473" s="6" cm="1">
        <f t="array" ref="B473">alea_int(Settings!$B$10,1,Settings!$B$16)</f>
        <v>1</v>
      </c>
      <c r="C473" s="8">
        <v>46023</v>
      </c>
      <c r="D473" s="8">
        <f t="shared" si="29"/>
        <v>46387</v>
      </c>
      <c r="E473" s="6" t="str" cm="1">
        <f t="array" ref="E473">choice(Groupes!A:A,1,Settings!$B$16)</f>
        <v>G25</v>
      </c>
      <c r="F473" s="6" t="str">
        <f t="shared" si="30"/>
        <v>G25</v>
      </c>
      <c r="G473" s="6" t="str">
        <f t="shared" si="31"/>
        <v>Prof13</v>
      </c>
      <c r="H473" s="6" t="str" cm="1">
        <f t="array" ref="H473">choice(Referentiel!A:A,1,Settings!$B$16)</f>
        <v>Cinéma d'Animation</v>
      </c>
      <c r="I473" s="6" t="str" cm="1">
        <f t="array" ref="I473">choice(Referentiel!B:B,1,Settings!$B$16)</f>
        <v>2ème année Art-Espace S2</v>
      </c>
      <c r="J473" s="6" t="str" cm="1">
        <f t="array" ref="J473">choice(Referentiel!D:D,1,Settings!$B$16)</f>
        <v>M1</v>
      </c>
      <c r="K473" s="6" t="str" cm="1">
        <f t="array" ref="K473">choice(Professeurs!B:B,1,Settings!$B$16)</f>
        <v>Prof13</v>
      </c>
      <c r="L473" s="5" t="str" cm="1">
        <f t="array" ref="L473">choice(Referentiel!C:C,1,Settings!$B$16)</f>
        <v/>
      </c>
      <c r="M473" s="5" t="str" cm="1">
        <f t="array" ref="M473">choice(Referentiel!E:E,1,Settings!$B$16)</f>
        <v/>
      </c>
      <c r="N473" s="5" t="str" cm="1">
        <f t="array" ref="N473">choice(Settings!K:K,1,Settings!$B$16)</f>
        <v/>
      </c>
      <c r="P473" s="5">
        <f t="shared" si="32"/>
        <v>1</v>
      </c>
    </row>
    <row r="474" spans="1:16" ht="15.75" customHeight="1" x14ac:dyDescent="0.25">
      <c r="A474" s="6" t="s">
        <v>826</v>
      </c>
      <c r="B474" s="6" cm="1">
        <f t="array" ref="B474">alea_int(Settings!$B$10,1,Settings!$B$16)</f>
        <v>3</v>
      </c>
      <c r="C474" s="8">
        <v>46023</v>
      </c>
      <c r="D474" s="8">
        <f t="shared" si="29"/>
        <v>46387</v>
      </c>
      <c r="E474" s="6" t="str" cm="1">
        <f t="array" ref="E474">choice(Groupes!A:A,1,Settings!$B$16)</f>
        <v>G8</v>
      </c>
      <c r="F474" s="6" t="str">
        <f t="shared" si="30"/>
        <v>G8</v>
      </c>
      <c r="G474" s="6" t="str">
        <f t="shared" si="31"/>
        <v>Prof50</v>
      </c>
      <c r="H474" s="6" t="str" cm="1">
        <f t="array" ref="H474">choice(Referentiel!A:A,1,Settings!$B$16)</f>
        <v>Design Objet</v>
      </c>
      <c r="I474" s="6" t="str" cm="1">
        <f t="array" ref="I474">choice(Referentiel!B:B,1,Settings!$B$16)</f>
        <v>Césure S1</v>
      </c>
      <c r="J474" s="6" t="str" cm="1">
        <f t="array" ref="J474">choice(Referentiel!D:D,1,Settings!$B$16)</f>
        <v>L3</v>
      </c>
      <c r="K474" s="6" t="str" cm="1">
        <f t="array" ref="K474">choice(Professeurs!B:B,1,Settings!$B$16)</f>
        <v>Prof50</v>
      </c>
      <c r="L474" s="5" t="str" cm="1">
        <f t="array" ref="L474">choice(Referentiel!C:C,1,Settings!$B$16)</f>
        <v/>
      </c>
      <c r="M474" s="5" t="str" cm="1">
        <f t="array" ref="M474">choice(Referentiel!E:E,1,Settings!$B$16)</f>
        <v/>
      </c>
      <c r="N474" s="5" t="str" cm="1">
        <f t="array" ref="N474">choice(Settings!K:K,1,Settings!$B$16)</f>
        <v>jeudi am</v>
      </c>
      <c r="P474" s="5">
        <f t="shared" si="32"/>
        <v>5</v>
      </c>
    </row>
    <row r="475" spans="1:16" ht="15.75" customHeight="1" x14ac:dyDescent="0.25">
      <c r="A475" s="6" t="s">
        <v>827</v>
      </c>
      <c r="B475" s="6" cm="1">
        <f t="array" ref="B475">alea_int(Settings!$B$10,1,Settings!$B$16)</f>
        <v>2</v>
      </c>
      <c r="C475" s="8">
        <v>46023</v>
      </c>
      <c r="D475" s="8">
        <f t="shared" si="29"/>
        <v>46387</v>
      </c>
      <c r="E475" s="6" t="str" cm="1">
        <f t="array" ref="E475">choice(Groupes!A:A,1,Settings!$B$16)</f>
        <v>G16</v>
      </c>
      <c r="F475" s="6" t="str">
        <f t="shared" si="30"/>
        <v>G16</v>
      </c>
      <c r="G475" s="6" t="str">
        <f t="shared" si="31"/>
        <v>Prof4</v>
      </c>
      <c r="H475" s="6" t="str" cm="1">
        <f t="array" ref="H475">choice(Referentiel!A:A,1,Settings!$B$16)</f>
        <v>1ère année Groupe 1</v>
      </c>
      <c r="I475" s="6" t="str" cm="1">
        <f t="array" ref="I475">choice(Referentiel!B:B,1,Settings!$B$16)</f>
        <v>4ème année Photo / Vidéo S1</v>
      </c>
      <c r="J475" s="6" t="str" cm="1">
        <f t="array" ref="J475">choice(Referentiel!D:D,1,Settings!$B$16)</f>
        <v>L1</v>
      </c>
      <c r="K475" s="6" t="str" cm="1">
        <f t="array" ref="K475">choice(Professeurs!B:B,1,Settings!$B$16)</f>
        <v>Prof4</v>
      </c>
      <c r="L475" s="5" t="str" cm="1">
        <f t="array" ref="L475">choice(Referentiel!C:C,1,Settings!$B$16)</f>
        <v>pupitre</v>
      </c>
      <c r="M475" s="5" t="str" cm="1">
        <f t="array" ref="M475">choice(Referentiel!E:E,1,Settings!$B$16)</f>
        <v/>
      </c>
      <c r="N475" s="5" t="str" cm="1">
        <f t="array" ref="N475">choice(Settings!K:K,1,Settings!$B$16)</f>
        <v/>
      </c>
      <c r="P475" s="5">
        <f t="shared" si="32"/>
        <v>2</v>
      </c>
    </row>
    <row r="476" spans="1:16" ht="15.75" customHeight="1" x14ac:dyDescent="0.25">
      <c r="A476" s="6" t="s">
        <v>828</v>
      </c>
      <c r="B476" s="6" cm="1">
        <f t="array" ref="B476">alea_int(Settings!$B$10,1,Settings!$B$16)</f>
        <v>3</v>
      </c>
      <c r="C476" s="8">
        <v>46023</v>
      </c>
      <c r="D476" s="8">
        <f t="shared" si="29"/>
        <v>46387</v>
      </c>
      <c r="E476" s="6" t="str" cm="1">
        <f t="array" ref="E476">choice(Groupes!A:A,1,Settings!$B$16)</f>
        <v>G7</v>
      </c>
      <c r="F476" s="6" t="str">
        <f t="shared" si="30"/>
        <v>G7</v>
      </c>
      <c r="G476" s="6" t="str">
        <f t="shared" si="31"/>
        <v>Prof11</v>
      </c>
      <c r="H476" s="6" t="str" cm="1">
        <f t="array" ref="H476">choice(Referentiel!A:A,1,Settings!$B$16)</f>
        <v>Design Vêtement</v>
      </c>
      <c r="I476" s="6" t="str" cm="1">
        <f t="array" ref="I476">choice(Referentiel!B:B,1,Settings!$B$16)</f>
        <v>5ème année Architecture Intérieure S2</v>
      </c>
      <c r="J476" s="6" t="str" cm="1">
        <f t="array" ref="J476">choice(Referentiel!D:D,1,Settings!$B$16)</f>
        <v>L3</v>
      </c>
      <c r="K476" s="6" t="str" cm="1">
        <f t="array" ref="K476">choice(Professeurs!B:B,1,Settings!$B$16)</f>
        <v>Prof11</v>
      </c>
      <c r="L476" s="5" t="str" cm="1">
        <f t="array" ref="L476">choice(Referentiel!C:C,1,Settings!$B$16)</f>
        <v/>
      </c>
      <c r="M476" s="5" t="str" cm="1">
        <f t="array" ref="M476">choice(Referentiel!E:E,1,Settings!$B$16)</f>
        <v/>
      </c>
      <c r="N476" s="5" t="str" cm="1">
        <f t="array" ref="N476">choice(Settings!K:K,1,Settings!$B$16)</f>
        <v>mercredi pm</v>
      </c>
      <c r="P476" s="5">
        <f t="shared" si="32"/>
        <v>5</v>
      </c>
    </row>
    <row r="477" spans="1:16" ht="15.75" customHeight="1" x14ac:dyDescent="0.25">
      <c r="A477" s="6" t="s">
        <v>829</v>
      </c>
      <c r="B477" s="6" cm="1">
        <f t="array" ref="B477">alea_int(Settings!$B$10,1,Settings!$B$16)</f>
        <v>2</v>
      </c>
      <c r="C477" s="8">
        <v>46023</v>
      </c>
      <c r="D477" s="8">
        <f t="shared" si="29"/>
        <v>46387</v>
      </c>
      <c r="E477" s="6" t="str" cm="1">
        <f t="array" ref="E477">choice(Groupes!A:A,1,Settings!$B$16)</f>
        <v>G1</v>
      </c>
      <c r="F477" s="6" t="str">
        <f t="shared" si="30"/>
        <v>G1</v>
      </c>
      <c r="G477" s="6" t="str">
        <f t="shared" si="31"/>
        <v>Prof31</v>
      </c>
      <c r="H477" s="6" t="str" cm="1">
        <f t="array" ref="H477">choice(Referentiel!A:A,1,Settings!$B$16)</f>
        <v>1ère année Groupe 3</v>
      </c>
      <c r="I477" s="6" t="str" cm="1">
        <f t="array" ref="I477">choice(Referentiel!B:B,1,Settings!$B$16)</f>
        <v>4ème année Architecture Intérieure S2</v>
      </c>
      <c r="J477" s="6" t="str" cm="1">
        <f t="array" ref="J477">choice(Referentiel!D:D,1,Settings!$B$16)</f>
        <v>M1</v>
      </c>
      <c r="K477" s="6" t="str" cm="1">
        <f t="array" ref="K477">choice(Professeurs!B:B,1,Settings!$B$16)</f>
        <v>Prof31</v>
      </c>
      <c r="L477" s="5" t="str" cm="1">
        <f t="array" ref="L477">choice(Referentiel!C:C,1,Settings!$B$16)</f>
        <v>tablette</v>
      </c>
      <c r="M477" s="5" t="str" cm="1">
        <f t="array" ref="M477">choice(Referentiel!E:E,1,Settings!$B$16)</f>
        <v/>
      </c>
      <c r="N477" s="5" t="str" cm="1">
        <f t="array" ref="N477">choice(Settings!K:K,1,Settings!$B$16)</f>
        <v>jeudi am</v>
      </c>
      <c r="P477" s="5">
        <f t="shared" si="32"/>
        <v>4</v>
      </c>
    </row>
    <row r="478" spans="1:16" ht="15.75" customHeight="1" x14ac:dyDescent="0.25">
      <c r="A478" s="6" t="s">
        <v>830</v>
      </c>
      <c r="B478" s="6" cm="1">
        <f t="array" ref="B478">alea_int(Settings!$B$10,1,Settings!$B$16)</f>
        <v>1</v>
      </c>
      <c r="C478" s="8">
        <v>46023</v>
      </c>
      <c r="D478" s="8">
        <f t="shared" si="29"/>
        <v>46387</v>
      </c>
      <c r="E478" s="6" t="str" cm="1">
        <f t="array" ref="E478">choice(Groupes!A:A,1,Settings!$B$16)</f>
        <v>G19</v>
      </c>
      <c r="F478" s="6" t="str">
        <f t="shared" si="30"/>
        <v>G19</v>
      </c>
      <c r="G478" s="6" t="str">
        <f t="shared" si="31"/>
        <v>Prof50</v>
      </c>
      <c r="H478" s="6" t="str" cm="1">
        <f t="array" ref="H478">choice(Referentiel!A:A,1,Settings!$B$16)</f>
        <v>Image Imprimée</v>
      </c>
      <c r="I478" s="6" t="str" cm="1">
        <f t="array" ref="I478">choice(Referentiel!B:B,1,Settings!$B$16)</f>
        <v>3ème année Art-Espace S1</v>
      </c>
      <c r="J478" s="6" t="str" cm="1">
        <f t="array" ref="J478">choice(Referentiel!D:D,1,Settings!$B$16)</f>
        <v>L1</v>
      </c>
      <c r="K478" s="6" t="str" cm="1">
        <f t="array" ref="K478">choice(Professeurs!B:B,1,Settings!$B$16)</f>
        <v>Prof50</v>
      </c>
      <c r="L478" s="5" t="str" cm="1">
        <f t="array" ref="L478">choice(Referentiel!C:C,1,Settings!$B$16)</f>
        <v/>
      </c>
      <c r="M478" s="5" t="str" cm="1">
        <f t="array" ref="M478">choice(Referentiel!E:E,1,Settings!$B$16)</f>
        <v/>
      </c>
      <c r="N478" s="5" t="str" cm="1">
        <f t="array" ref="N478">choice(Settings!K:K,1,Settings!$B$16)</f>
        <v/>
      </c>
      <c r="P478" s="5">
        <f t="shared" si="32"/>
        <v>1</v>
      </c>
    </row>
    <row r="479" spans="1:16" ht="15.75" customHeight="1" x14ac:dyDescent="0.25">
      <c r="A479" s="6" t="s">
        <v>831</v>
      </c>
      <c r="B479" s="6" cm="1">
        <f t="array" ref="B479">alea_int(Settings!$B$10,1,Settings!$B$16)</f>
        <v>2</v>
      </c>
      <c r="C479" s="8">
        <v>46023</v>
      </c>
      <c r="D479" s="8">
        <f t="shared" si="29"/>
        <v>46387</v>
      </c>
      <c r="E479" s="6" t="str" cm="1">
        <f t="array" ref="E479">choice(Groupes!A:A,1,Settings!$B$16)</f>
        <v>G11</v>
      </c>
      <c r="F479" s="6" t="str">
        <f t="shared" si="30"/>
        <v>G11</v>
      </c>
      <c r="G479" s="6" t="str">
        <f t="shared" si="31"/>
        <v>Prof17</v>
      </c>
      <c r="H479" s="6" t="str" cm="1">
        <f t="array" ref="H479">choice(Referentiel!A:A,1,Settings!$B$16)</f>
        <v>Design des mondes insulaires</v>
      </c>
      <c r="I479" s="6" t="str" cm="1">
        <f t="array" ref="I479">choice(Referentiel!B:B,1,Settings!$B$16)</f>
        <v>4ème année Architecture Intérieure S1</v>
      </c>
      <c r="J479" s="6" t="str" cm="1">
        <f t="array" ref="J479">choice(Referentiel!D:D,1,Settings!$B$16)</f>
        <v>L1</v>
      </c>
      <c r="K479" s="6" t="str" cm="1">
        <f t="array" ref="K479">choice(Professeurs!B:B,1,Settings!$B$16)</f>
        <v>Prof17</v>
      </c>
      <c r="L479" s="5" t="str" cm="1">
        <f t="array" ref="L479">choice(Referentiel!C:C,1,Settings!$B$16)</f>
        <v/>
      </c>
      <c r="M479" s="5" t="str" cm="1">
        <f t="array" ref="M479">choice(Referentiel!E:E,1,Settings!$B$16)</f>
        <v/>
      </c>
      <c r="N479" s="5" t="str" cm="1">
        <f t="array" ref="N479">choice(Settings!K:K,1,Settings!$B$16)</f>
        <v/>
      </c>
      <c r="P479" s="5">
        <f t="shared" si="32"/>
        <v>2</v>
      </c>
    </row>
    <row r="480" spans="1:16" ht="15.75" customHeight="1" x14ac:dyDescent="0.25">
      <c r="A480" s="6" t="s">
        <v>832</v>
      </c>
      <c r="B480" s="6" cm="1">
        <f t="array" ref="B480">alea_int(Settings!$B$10,1,Settings!$B$16)</f>
        <v>2</v>
      </c>
      <c r="C480" s="8">
        <v>46023</v>
      </c>
      <c r="D480" s="8">
        <f t="shared" si="29"/>
        <v>46387</v>
      </c>
      <c r="E480" s="6" t="str" cm="1">
        <f t="array" ref="E480">choice(Groupes!A:A,1,Settings!$B$16)</f>
        <v>G27</v>
      </c>
      <c r="F480" s="6" t="str">
        <f t="shared" si="30"/>
        <v>G27</v>
      </c>
      <c r="G480" s="6" t="str">
        <f t="shared" si="31"/>
        <v>Prof32</v>
      </c>
      <c r="H480" s="6" t="str" cm="1">
        <f t="array" ref="H480">choice(Referentiel!A:A,1,Settings!$B$16)</f>
        <v>Gr SYMBIOSE</v>
      </c>
      <c r="I480" s="6" t="str" cm="1">
        <f t="array" ref="I480">choice(Referentiel!B:B,1,Settings!$B$16)</f>
        <v>4ème année Design Objet S1</v>
      </c>
      <c r="J480" s="6" t="str" cm="1">
        <f t="array" ref="J480">choice(Referentiel!D:D,1,Settings!$B$16)</f>
        <v>M2</v>
      </c>
      <c r="K480" s="6" t="str" cm="1">
        <f t="array" ref="K480">choice(Professeurs!B:B,1,Settings!$B$16)</f>
        <v>Prof32</v>
      </c>
      <c r="L480" s="5" t="str" cm="1">
        <f t="array" ref="L480">choice(Referentiel!C:C,1,Settings!$B$16)</f>
        <v>projecteur</v>
      </c>
      <c r="M480" s="5" t="str" cm="1">
        <f t="array" ref="M480">choice(Referentiel!E:E,1,Settings!$B$16)</f>
        <v>Salle3</v>
      </c>
      <c r="N480" s="5" t="str" cm="1">
        <f t="array" ref="N480">choice(Settings!K:K,1,Settings!$B$16)</f>
        <v>mercredi pm</v>
      </c>
      <c r="P480" s="5">
        <f t="shared" si="32"/>
        <v>6</v>
      </c>
    </row>
    <row r="481" spans="1:16" ht="15.75" customHeight="1" x14ac:dyDescent="0.25">
      <c r="A481" s="6" t="s">
        <v>833</v>
      </c>
      <c r="B481" s="6" cm="1">
        <f t="array" ref="B481">alea_int(Settings!$B$10,1,Settings!$B$16)</f>
        <v>3</v>
      </c>
      <c r="C481" s="8">
        <v>46023</v>
      </c>
      <c r="D481" s="8">
        <f t="shared" si="29"/>
        <v>46387</v>
      </c>
      <c r="E481" s="6" t="str" cm="1">
        <f t="array" ref="E481">choice(Groupes!A:A,1,Settings!$B$16)</f>
        <v>G18</v>
      </c>
      <c r="F481" s="6" t="str">
        <f t="shared" si="30"/>
        <v>G18</v>
      </c>
      <c r="G481" s="6" t="str">
        <f t="shared" si="31"/>
        <v>Prof21</v>
      </c>
      <c r="H481" s="6" t="str" cm="1">
        <f t="array" ref="H481">choice(Referentiel!A:A,1,Settings!$B$16)</f>
        <v>Design Textile et Matière</v>
      </c>
      <c r="I481" s="6" t="str" cm="1">
        <f t="array" ref="I481">choice(Referentiel!B:B,1,Settings!$B$16)</f>
        <v>2ème année Design Vêtement S2</v>
      </c>
      <c r="J481" s="6" t="str" cm="1">
        <f t="array" ref="J481">choice(Referentiel!D:D,1,Settings!$B$16)</f>
        <v>L2</v>
      </c>
      <c r="K481" s="6" t="str" cm="1">
        <f t="array" ref="K481">choice(Professeurs!B:B,1,Settings!$B$16)</f>
        <v>Prof21</v>
      </c>
      <c r="L481" s="5" t="str" cm="1">
        <f t="array" ref="L481">choice(Referentiel!C:C,1,Settings!$B$16)</f>
        <v/>
      </c>
      <c r="M481" s="5" t="str" cm="1">
        <f t="array" ref="M481">choice(Referentiel!E:E,1,Settings!$B$16)</f>
        <v/>
      </c>
      <c r="N481" s="5" t="str" cm="1">
        <f t="array" ref="N481">choice(Settings!K:K,1,Settings!$B$16)</f>
        <v>mercredi pm</v>
      </c>
      <c r="P481" s="5">
        <f t="shared" si="32"/>
        <v>5</v>
      </c>
    </row>
    <row r="482" spans="1:16" ht="15.75" customHeight="1" x14ac:dyDescent="0.25">
      <c r="A482" s="6" t="s">
        <v>834</v>
      </c>
      <c r="B482" s="6" cm="1">
        <f t="array" ref="B482">alea_int(Settings!$B$10,1,Settings!$B$16)</f>
        <v>2</v>
      </c>
      <c r="C482" s="8">
        <v>46023</v>
      </c>
      <c r="D482" s="8">
        <f t="shared" si="29"/>
        <v>46387</v>
      </c>
      <c r="E482" s="6" t="str" cm="1">
        <f t="array" ref="E482">choice(Groupes!A:A,1,Settings!$B$16)</f>
        <v>G13</v>
      </c>
      <c r="F482" s="6" t="str">
        <f t="shared" si="30"/>
        <v>G13</v>
      </c>
      <c r="G482" s="6" t="str">
        <f t="shared" si="31"/>
        <v>Prof1</v>
      </c>
      <c r="H482" s="6" t="str" cm="1">
        <f t="array" ref="H482">choice(Referentiel!A:A,1,Settings!$B$16)</f>
        <v>Gr TERRITOIRES</v>
      </c>
      <c r="I482" s="6" t="str" cm="1">
        <f t="array" ref="I482">choice(Referentiel!B:B,1,Settings!$B$16)</f>
        <v>3ème année Architecture Intérieure S2</v>
      </c>
      <c r="J482" s="6" t="str" cm="1">
        <f t="array" ref="J482">choice(Referentiel!D:D,1,Settings!$B$16)</f>
        <v>M2</v>
      </c>
      <c r="K482" s="6" t="str" cm="1">
        <f t="array" ref="K482">choice(Professeurs!B:B,1,Settings!$B$16)</f>
        <v>Prof1</v>
      </c>
      <c r="L482" s="5" t="str" cm="1">
        <f t="array" ref="L482">choice(Referentiel!C:C,1,Settings!$B$16)</f>
        <v/>
      </c>
      <c r="M482" s="5" t="str" cm="1">
        <f t="array" ref="M482">choice(Referentiel!E:E,1,Settings!$B$16)</f>
        <v/>
      </c>
      <c r="N482" s="5" t="str" cm="1">
        <f t="array" ref="N482">choice(Settings!K:K,1,Settings!$B$16)</f>
        <v>vendredi am</v>
      </c>
      <c r="P482" s="5">
        <f t="shared" si="32"/>
        <v>4</v>
      </c>
    </row>
    <row r="483" spans="1:16" ht="15.75" customHeight="1" x14ac:dyDescent="0.25">
      <c r="A483" s="6" t="s">
        <v>835</v>
      </c>
      <c r="B483" s="6" cm="1">
        <f t="array" ref="B483">alea_int(Settings!$B$10,1,Settings!$B$16)</f>
        <v>1</v>
      </c>
      <c r="C483" s="8">
        <v>46023</v>
      </c>
      <c r="D483" s="8">
        <f t="shared" si="29"/>
        <v>46387</v>
      </c>
      <c r="E483" s="6" t="str" cm="1">
        <f t="array" ref="E483">choice(Groupes!A:A,1,Settings!$B$16)</f>
        <v>G6</v>
      </c>
      <c r="F483" s="6" t="str">
        <f t="shared" si="30"/>
        <v>G6</v>
      </c>
      <c r="G483" s="6" t="str">
        <f t="shared" si="31"/>
        <v>Prof35</v>
      </c>
      <c r="H483" s="6" t="str" cm="1">
        <f t="array" ref="H483">choice(Referentiel!A:A,1,Settings!$B$16)</f>
        <v>Gr SOFT MATTERS</v>
      </c>
      <c r="I483" s="6" t="str" cm="1">
        <f t="array" ref="I483">choice(Referentiel!B:B,1,Settings!$B$16)</f>
        <v>4ème année Architecture Intérieure S2</v>
      </c>
      <c r="J483" s="6" t="str" cm="1">
        <f t="array" ref="J483">choice(Referentiel!D:D,1,Settings!$B$16)</f>
        <v>M1</v>
      </c>
      <c r="K483" s="6" t="str" cm="1">
        <f t="array" ref="K483">choice(Professeurs!B:B,1,Settings!$B$16)</f>
        <v>Prof35</v>
      </c>
      <c r="L483" s="5" t="str" cm="1">
        <f t="array" ref="L483">choice(Referentiel!C:C,1,Settings!$B$16)</f>
        <v/>
      </c>
      <c r="M483" s="5" t="str" cm="1">
        <f t="array" ref="M483">choice(Referentiel!E:E,1,Settings!$B$16)</f>
        <v/>
      </c>
      <c r="N483" s="5" t="str" cm="1">
        <f t="array" ref="N483">choice(Settings!K:K,1,Settings!$B$16)</f>
        <v>lundi pm</v>
      </c>
      <c r="P483" s="5">
        <f t="shared" si="32"/>
        <v>3</v>
      </c>
    </row>
    <row r="484" spans="1:16" ht="15.75" customHeight="1" x14ac:dyDescent="0.25">
      <c r="A484" s="6" t="s">
        <v>836</v>
      </c>
      <c r="B484" s="6" cm="1">
        <f t="array" ref="B484">alea_int(Settings!$B$10,1,Settings!$B$16)</f>
        <v>1</v>
      </c>
      <c r="C484" s="8">
        <v>46023</v>
      </c>
      <c r="D484" s="8">
        <f t="shared" si="29"/>
        <v>46387</v>
      </c>
      <c r="E484" s="6" t="str" cm="1">
        <f t="array" ref="E484">choice(Groupes!A:A,1,Settings!$B$16)</f>
        <v>G23</v>
      </c>
      <c r="F484" s="6" t="str">
        <f t="shared" si="30"/>
        <v>G23</v>
      </c>
      <c r="G484" s="6" t="str">
        <f t="shared" si="31"/>
        <v>Prof37</v>
      </c>
      <c r="H484" s="6" t="str" cm="1">
        <f t="array" ref="H484">choice(Referentiel!A:A,1,Settings!$B$16)</f>
        <v>Gr REFLECTIVE INTERACTION</v>
      </c>
      <c r="I484" s="6" t="str" cm="1">
        <f t="array" ref="I484">choice(Referentiel!B:B,1,Settings!$B$16)</f>
        <v>5ème année Photo / Vidéo S1</v>
      </c>
      <c r="J484" s="6" t="str" cm="1">
        <f t="array" ref="J484">choice(Referentiel!D:D,1,Settings!$B$16)</f>
        <v>L3</v>
      </c>
      <c r="K484" s="6" t="str" cm="1">
        <f t="array" ref="K484">choice(Professeurs!B:B,1,Settings!$B$16)</f>
        <v>Prof37</v>
      </c>
      <c r="L484" s="5" t="str" cm="1">
        <f t="array" ref="L484">choice(Referentiel!C:C,1,Settings!$B$16)</f>
        <v>pupitre</v>
      </c>
      <c r="M484" s="5" t="str" cm="1">
        <f t="array" ref="M484">choice(Referentiel!E:E,1,Settings!$B$16)</f>
        <v/>
      </c>
      <c r="N484" s="5" t="str" cm="1">
        <f t="array" ref="N484">choice(Settings!K:K,1,Settings!$B$16)</f>
        <v/>
      </c>
      <c r="P484" s="5">
        <f t="shared" si="32"/>
        <v>1</v>
      </c>
    </row>
    <row r="485" spans="1:16" ht="15.75" customHeight="1" x14ac:dyDescent="0.25">
      <c r="A485" s="6" t="s">
        <v>837</v>
      </c>
      <c r="B485" s="6" cm="1">
        <f t="array" ref="B485">alea_int(Settings!$B$10,1,Settings!$B$16)</f>
        <v>2</v>
      </c>
      <c r="C485" s="8">
        <v>46023</v>
      </c>
      <c r="D485" s="8">
        <f t="shared" si="29"/>
        <v>46387</v>
      </c>
      <c r="E485" s="6" t="str" cm="1">
        <f t="array" ref="E485">choice(Groupes!A:A,1,Settings!$B$16)</f>
        <v>G5</v>
      </c>
      <c r="F485" s="6" t="str">
        <f t="shared" si="30"/>
        <v>G5</v>
      </c>
      <c r="G485" s="6" t="str">
        <f t="shared" si="31"/>
        <v>Prof44</v>
      </c>
      <c r="H485" s="6" t="str" cm="1">
        <f t="array" ref="H485">choice(Referentiel!A:A,1,Settings!$B$16)</f>
        <v>6ème ANNÉE STAGE</v>
      </c>
      <c r="I485" s="6" t="str" cm="1">
        <f t="array" ref="I485">choice(Referentiel!B:B,1,Settings!$B$16)</f>
        <v>4ème année Scénographie S1</v>
      </c>
      <c r="J485" s="6" t="str" cm="1">
        <f t="array" ref="J485">choice(Referentiel!D:D,1,Settings!$B$16)</f>
        <v>M1</v>
      </c>
      <c r="K485" s="6" t="str" cm="1">
        <f t="array" ref="K485">choice(Professeurs!B:B,1,Settings!$B$16)</f>
        <v>Prof44</v>
      </c>
      <c r="L485" s="5" t="str" cm="1">
        <f t="array" ref="L485">choice(Referentiel!C:C,1,Settings!$B$16)</f>
        <v/>
      </c>
      <c r="M485" s="5" t="str" cm="1">
        <f t="array" ref="M485">choice(Referentiel!E:E,1,Settings!$B$16)</f>
        <v/>
      </c>
      <c r="N485" s="5" t="str" cm="1">
        <f t="array" ref="N485">choice(Settings!K:K,1,Settings!$B$16)</f>
        <v/>
      </c>
      <c r="P485" s="5">
        <f t="shared" si="32"/>
        <v>2</v>
      </c>
    </row>
    <row r="486" spans="1:16" ht="15.75" customHeight="1" x14ac:dyDescent="0.25">
      <c r="A486" s="6" t="s">
        <v>838</v>
      </c>
      <c r="B486" s="6" cm="1">
        <f t="array" ref="B486">alea_int(Settings!$B$10,1,Settings!$B$16)</f>
        <v>1</v>
      </c>
      <c r="C486" s="8">
        <v>46023</v>
      </c>
      <c r="D486" s="8">
        <f t="shared" si="29"/>
        <v>46387</v>
      </c>
      <c r="E486" s="6" t="str" cm="1">
        <f t="array" ref="E486">choice(Groupes!A:A,1,Settings!$B$16)</f>
        <v>G10</v>
      </c>
      <c r="F486" s="6" t="str">
        <f t="shared" si="30"/>
        <v>G10</v>
      </c>
      <c r="G486" s="6" t="str">
        <f t="shared" si="31"/>
        <v>Prof27</v>
      </c>
      <c r="H486" s="6" t="str" cm="1">
        <f t="array" ref="H486">choice(Referentiel!A:A,1,Settings!$B$16)</f>
        <v>Architecture Intérieure</v>
      </c>
      <c r="I486" s="6" t="str" cm="1">
        <f t="array" ref="I486">choice(Referentiel!B:B,1,Settings!$B$16)</f>
        <v>3ème année Design Textile et Matière S1</v>
      </c>
      <c r="J486" s="6" t="str" cm="1">
        <f t="array" ref="J486">choice(Referentiel!D:D,1,Settings!$B$16)</f>
        <v>L2</v>
      </c>
      <c r="K486" s="6" t="str" cm="1">
        <f t="array" ref="K486">choice(Professeurs!B:B,1,Settings!$B$16)</f>
        <v>Prof27</v>
      </c>
      <c r="L486" s="5" t="str" cm="1">
        <f t="array" ref="L486">choice(Referentiel!C:C,1,Settings!$B$16)</f>
        <v/>
      </c>
      <c r="M486" s="5" t="str" cm="1">
        <f t="array" ref="M486">choice(Referentiel!E:E,1,Settings!$B$16)</f>
        <v/>
      </c>
      <c r="N486" s="5" t="str" cm="1">
        <f t="array" ref="N486">choice(Settings!K:K,1,Settings!$B$16)</f>
        <v/>
      </c>
      <c r="P486" s="5">
        <f t="shared" si="32"/>
        <v>1</v>
      </c>
    </row>
    <row r="487" spans="1:16" ht="15.75" customHeight="1" x14ac:dyDescent="0.25">
      <c r="A487" s="6" t="s">
        <v>839</v>
      </c>
      <c r="B487" s="6" cm="1">
        <f t="array" ref="B487">alea_int(Settings!$B$10,1,Settings!$B$16)</f>
        <v>1</v>
      </c>
      <c r="C487" s="8">
        <v>46023</v>
      </c>
      <c r="D487" s="8">
        <f t="shared" si="29"/>
        <v>46387</v>
      </c>
      <c r="E487" s="6" t="str" cm="1">
        <f t="array" ref="E487">choice(Groupes!A:A,1,Settings!$B$16)</f>
        <v>G16</v>
      </c>
      <c r="F487" s="6" t="str">
        <f t="shared" si="30"/>
        <v>G16</v>
      </c>
      <c r="G487" s="6" t="str">
        <f t="shared" si="31"/>
        <v>Prof55</v>
      </c>
      <c r="H487" s="6" t="str" cm="1">
        <f t="array" ref="H487">choice(Referentiel!A:A,1,Settings!$B$16)</f>
        <v>Design Objet</v>
      </c>
      <c r="I487" s="6" t="str" cm="1">
        <f t="array" ref="I487">choice(Referentiel!B:B,1,Settings!$B$16)</f>
        <v>3ème année Architecture Intérieure S1</v>
      </c>
      <c r="J487" s="6" t="str" cm="1">
        <f t="array" ref="J487">choice(Referentiel!D:D,1,Settings!$B$16)</f>
        <v>M1</v>
      </c>
      <c r="K487" s="6" t="str" cm="1">
        <f t="array" ref="K487">choice(Professeurs!B:B,1,Settings!$B$16)</f>
        <v>Prof55</v>
      </c>
      <c r="L487" s="5" t="str" cm="1">
        <f t="array" ref="L487">choice(Referentiel!C:C,1,Settings!$B$16)</f>
        <v/>
      </c>
      <c r="M487" s="5" t="str" cm="1">
        <f t="array" ref="M487">choice(Referentiel!E:E,1,Settings!$B$16)</f>
        <v/>
      </c>
      <c r="N487" s="5" t="str" cm="1">
        <f t="array" ref="N487">choice(Settings!K:K,1,Settings!$B$16)</f>
        <v>lundi am</v>
      </c>
      <c r="P487" s="5">
        <f t="shared" si="32"/>
        <v>3</v>
      </c>
    </row>
    <row r="488" spans="1:16" ht="15.75" customHeight="1" x14ac:dyDescent="0.25">
      <c r="A488" s="6" t="s">
        <v>840</v>
      </c>
      <c r="B488" s="6" cm="1">
        <f t="array" ref="B488">alea_int(Settings!$B$10,1,Settings!$B$16)</f>
        <v>3</v>
      </c>
      <c r="C488" s="8">
        <v>46023</v>
      </c>
      <c r="D488" s="8">
        <f t="shared" si="29"/>
        <v>46387</v>
      </c>
      <c r="E488" s="6" t="str" cm="1">
        <f t="array" ref="E488">choice(Groupes!A:A,1,Settings!$B$16)</f>
        <v>G19</v>
      </c>
      <c r="F488" s="6" t="str">
        <f t="shared" si="30"/>
        <v>G19</v>
      </c>
      <c r="G488" s="6" t="str">
        <f t="shared" si="31"/>
        <v>Prof27</v>
      </c>
      <c r="H488" s="6" t="str" cm="1">
        <f t="array" ref="H488">choice(Referentiel!A:A,1,Settings!$B$16)</f>
        <v>1ère année Groupe 4</v>
      </c>
      <c r="I488" s="6" t="str" cm="1">
        <f t="array" ref="I488">choice(Referentiel!B:B,1,Settings!$B$16)</f>
        <v>5ème année Image Imprimée S1</v>
      </c>
      <c r="J488" s="6" t="str" cm="1">
        <f t="array" ref="J488">choice(Referentiel!D:D,1,Settings!$B$16)</f>
        <v>L2</v>
      </c>
      <c r="K488" s="6" t="str" cm="1">
        <f t="array" ref="K488">choice(Professeurs!B:B,1,Settings!$B$16)</f>
        <v>Prof27</v>
      </c>
      <c r="L488" s="5" t="str" cm="1">
        <f t="array" ref="L488">choice(Referentiel!C:C,1,Settings!$B$16)</f>
        <v/>
      </c>
      <c r="M488" s="5" t="str" cm="1">
        <f t="array" ref="M488">choice(Referentiel!E:E,1,Settings!$B$16)</f>
        <v/>
      </c>
      <c r="N488" s="5" t="str" cm="1">
        <f t="array" ref="N488">choice(Settings!K:K,1,Settings!$B$16)</f>
        <v>jeudi pm</v>
      </c>
      <c r="P488" s="5">
        <f t="shared" si="32"/>
        <v>5</v>
      </c>
    </row>
    <row r="489" spans="1:16" ht="15.75" customHeight="1" x14ac:dyDescent="0.25">
      <c r="A489" s="6" t="s">
        <v>841</v>
      </c>
      <c r="B489" s="6" cm="1">
        <f t="array" ref="B489">alea_int(Settings!$B$10,1,Settings!$B$16)</f>
        <v>3</v>
      </c>
      <c r="C489" s="8">
        <v>46023</v>
      </c>
      <c r="D489" s="8">
        <f t="shared" si="29"/>
        <v>46387</v>
      </c>
      <c r="E489" s="6" t="str" cm="1">
        <f t="array" ref="E489">choice(Groupes!A:A,1,Settings!$B$16)</f>
        <v>G12</v>
      </c>
      <c r="F489" s="6" t="str">
        <f t="shared" si="30"/>
        <v>G12</v>
      </c>
      <c r="G489" s="6" t="str">
        <f t="shared" si="31"/>
        <v>Prof3</v>
      </c>
      <c r="H489" s="6" t="str" cm="1">
        <f t="array" ref="H489">choice(Referentiel!A:A,1,Settings!$B$16)</f>
        <v>Design des mondes forestiers</v>
      </c>
      <c r="I489" s="6" t="str" cm="1">
        <f t="array" ref="I489">choice(Referentiel!B:B,1,Settings!$B$16)</f>
        <v>3ème année Design Vêtement S2</v>
      </c>
      <c r="J489" s="6" t="str" cm="1">
        <f t="array" ref="J489">choice(Referentiel!D:D,1,Settings!$B$16)</f>
        <v>L3</v>
      </c>
      <c r="K489" s="6" t="str" cm="1">
        <f t="array" ref="K489">choice(Professeurs!B:B,1,Settings!$B$16)</f>
        <v>Prof3</v>
      </c>
      <c r="L489" s="5" t="str" cm="1">
        <f t="array" ref="L489">choice(Referentiel!C:C,1,Settings!$B$16)</f>
        <v>ordinateur</v>
      </c>
      <c r="M489" s="5" t="str" cm="1">
        <f t="array" ref="M489">choice(Referentiel!E:E,1,Settings!$B$16)</f>
        <v/>
      </c>
      <c r="N489" s="5" t="str" cm="1">
        <f t="array" ref="N489">choice(Settings!K:K,1,Settings!$B$16)</f>
        <v>mercredi pm</v>
      </c>
      <c r="P489" s="5">
        <f t="shared" si="32"/>
        <v>5</v>
      </c>
    </row>
    <row r="490" spans="1:16" ht="15.75" customHeight="1" x14ac:dyDescent="0.25">
      <c r="A490" s="6" t="s">
        <v>842</v>
      </c>
      <c r="B490" s="6" cm="1">
        <f t="array" ref="B490">alea_int(Settings!$B$10,1,Settings!$B$16)</f>
        <v>2</v>
      </c>
      <c r="C490" s="8">
        <v>46023</v>
      </c>
      <c r="D490" s="8">
        <f t="shared" si="29"/>
        <v>46387</v>
      </c>
      <c r="E490" s="6" t="str" cm="1">
        <f t="array" ref="E490">choice(Groupes!A:A,1,Settings!$B$16)</f>
        <v>G7</v>
      </c>
      <c r="F490" s="6" t="str">
        <f t="shared" si="30"/>
        <v>G7</v>
      </c>
      <c r="G490" s="6" t="str">
        <f t="shared" si="31"/>
        <v>Prof36</v>
      </c>
      <c r="H490" s="6" t="str" cm="1">
        <f t="array" ref="H490">choice(Referentiel!A:A,1,Settings!$B$16)</f>
        <v>Design des mondes insulaires</v>
      </c>
      <c r="I490" s="6" t="str" cm="1">
        <f t="array" ref="I490">choice(Referentiel!B:B,1,Settings!$B$16)</f>
        <v>4ème année Design Vêtement S2</v>
      </c>
      <c r="J490" s="6" t="str" cm="1">
        <f t="array" ref="J490">choice(Referentiel!D:D,1,Settings!$B$16)</f>
        <v>M2</v>
      </c>
      <c r="K490" s="6" t="str" cm="1">
        <f t="array" ref="K490">choice(Professeurs!B:B,1,Settings!$B$16)</f>
        <v>Prof36</v>
      </c>
      <c r="L490" s="5" t="str" cm="1">
        <f t="array" ref="L490">choice(Referentiel!C:C,1,Settings!$B$16)</f>
        <v/>
      </c>
      <c r="M490" s="5" t="str" cm="1">
        <f t="array" ref="M490">choice(Referentiel!E:E,1,Settings!$B$16)</f>
        <v/>
      </c>
      <c r="N490" s="5" t="str" cm="1">
        <f t="array" ref="N490">choice(Settings!K:K,1,Settings!$B$16)</f>
        <v>vendredi am</v>
      </c>
      <c r="P490" s="5">
        <f t="shared" si="32"/>
        <v>4</v>
      </c>
    </row>
    <row r="491" spans="1:16" ht="15.75" customHeight="1" x14ac:dyDescent="0.25">
      <c r="A491" s="6" t="s">
        <v>843</v>
      </c>
      <c r="B491" s="6" cm="1">
        <f t="array" ref="B491">alea_int(Settings!$B$10,1,Settings!$B$16)</f>
        <v>2</v>
      </c>
      <c r="C491" s="8">
        <v>46023</v>
      </c>
      <c r="D491" s="8">
        <f t="shared" si="29"/>
        <v>46387</v>
      </c>
      <c r="E491" s="6" t="str" cm="1">
        <f t="array" ref="E491">choice(Groupes!A:A,1,Settings!$B$16)</f>
        <v>G21</v>
      </c>
      <c r="F491" s="6" t="str">
        <f t="shared" si="30"/>
        <v>G21</v>
      </c>
      <c r="G491" s="6" t="str">
        <f t="shared" si="31"/>
        <v>Prof44</v>
      </c>
      <c r="H491" s="6" t="str" cm="1">
        <f t="array" ref="H491">choice(Referentiel!A:A,1,Settings!$B$16)</f>
        <v>6ème année atelier</v>
      </c>
      <c r="I491" s="6" t="str" cm="1">
        <f t="array" ref="I491">choice(Referentiel!B:B,1,Settings!$B$16)</f>
        <v>2ème année Design Graphique S2</v>
      </c>
      <c r="J491" s="6" t="str" cm="1">
        <f t="array" ref="J491">choice(Referentiel!D:D,1,Settings!$B$16)</f>
        <v>L1</v>
      </c>
      <c r="K491" s="6" t="str" cm="1">
        <f t="array" ref="K491">choice(Professeurs!B:B,1,Settings!$B$16)</f>
        <v>Prof44</v>
      </c>
      <c r="L491" s="5" t="str" cm="1">
        <f t="array" ref="L491">choice(Referentiel!C:C,1,Settings!$B$16)</f>
        <v/>
      </c>
      <c r="M491" s="5" t="str" cm="1">
        <f t="array" ref="M491">choice(Referentiel!E:E,1,Settings!$B$16)</f>
        <v/>
      </c>
      <c r="N491" s="5" t="str" cm="1">
        <f t="array" ref="N491">choice(Settings!K:K,1,Settings!$B$16)</f>
        <v/>
      </c>
      <c r="P491" s="5">
        <f t="shared" si="32"/>
        <v>2</v>
      </c>
    </row>
    <row r="492" spans="1:16" ht="15.75" customHeight="1" x14ac:dyDescent="0.25">
      <c r="A492" s="6" t="s">
        <v>844</v>
      </c>
      <c r="B492" s="6" cm="1">
        <f t="array" ref="B492">alea_int(Settings!$B$10,1,Settings!$B$16)</f>
        <v>1</v>
      </c>
      <c r="C492" s="8">
        <v>46023</v>
      </c>
      <c r="D492" s="8">
        <f t="shared" si="29"/>
        <v>46387</v>
      </c>
      <c r="E492" s="6" t="str" cm="1">
        <f t="array" ref="E492">choice(Groupes!A:A,1,Settings!$B$16)</f>
        <v>G8</v>
      </c>
      <c r="F492" s="6" t="str">
        <f t="shared" si="30"/>
        <v>G8</v>
      </c>
      <c r="G492" s="6" t="str">
        <f t="shared" si="31"/>
        <v>Prof14</v>
      </c>
      <c r="H492" s="6" t="str" cm="1">
        <f t="array" ref="H492">choice(Referentiel!A:A,1,Settings!$B$16)</f>
        <v>Cinéma d'Animation</v>
      </c>
      <c r="I492" s="6" t="str" cm="1">
        <f t="array" ref="I492">choice(Referentiel!B:B,1,Settings!$B$16)</f>
        <v>2ème année Architecture Intérieure S1</v>
      </c>
      <c r="J492" s="6" t="str" cm="1">
        <f t="array" ref="J492">choice(Referentiel!D:D,1,Settings!$B$16)</f>
        <v>M1</v>
      </c>
      <c r="K492" s="6" t="str" cm="1">
        <f t="array" ref="K492">choice(Professeurs!B:B,1,Settings!$B$16)</f>
        <v>Prof14</v>
      </c>
      <c r="L492" s="5" t="str" cm="1">
        <f t="array" ref="L492">choice(Referentiel!C:C,1,Settings!$B$16)</f>
        <v/>
      </c>
      <c r="M492" s="5" t="str" cm="1">
        <f t="array" ref="M492">choice(Referentiel!E:E,1,Settings!$B$16)</f>
        <v/>
      </c>
      <c r="N492" s="5" t="str" cm="1">
        <f t="array" ref="N492">choice(Settings!K:K,1,Settings!$B$16)</f>
        <v/>
      </c>
      <c r="P492" s="5">
        <f t="shared" si="32"/>
        <v>1</v>
      </c>
    </row>
    <row r="493" spans="1:16" ht="15.75" customHeight="1" x14ac:dyDescent="0.25">
      <c r="A493" s="6" t="s">
        <v>845</v>
      </c>
      <c r="B493" s="6" cm="1">
        <f t="array" ref="B493">alea_int(Settings!$B$10,1,Settings!$B$16)</f>
        <v>3</v>
      </c>
      <c r="C493" s="8">
        <v>46023</v>
      </c>
      <c r="D493" s="8">
        <f t="shared" si="29"/>
        <v>46387</v>
      </c>
      <c r="E493" s="6" t="str" cm="1">
        <f t="array" ref="E493">choice(Groupes!A:A,1,Settings!$B$16)</f>
        <v>G7</v>
      </c>
      <c r="F493" s="6" t="str">
        <f t="shared" si="30"/>
        <v>G7</v>
      </c>
      <c r="G493" s="6" t="str">
        <f t="shared" si="31"/>
        <v>Prof44</v>
      </c>
      <c r="H493" s="6" t="str" cm="1">
        <f t="array" ref="H493">choice(Referentiel!A:A,1,Settings!$B$16)</f>
        <v>Design des mondes insulaires</v>
      </c>
      <c r="I493" s="6" t="str" cm="1">
        <f t="array" ref="I493">choice(Referentiel!B:B,1,Settings!$B$16)</f>
        <v>3ème année Art-Espace S2</v>
      </c>
      <c r="J493" s="6" t="str" cm="1">
        <f t="array" ref="J493">choice(Referentiel!D:D,1,Settings!$B$16)</f>
        <v>L1</v>
      </c>
      <c r="K493" s="6" t="str" cm="1">
        <f t="array" ref="K493">choice(Professeurs!B:B,1,Settings!$B$16)</f>
        <v>Prof44</v>
      </c>
      <c r="L493" s="5" t="str" cm="1">
        <f t="array" ref="L493">choice(Referentiel!C:C,1,Settings!$B$16)</f>
        <v/>
      </c>
      <c r="M493" s="5" t="str" cm="1">
        <f t="array" ref="M493">choice(Referentiel!E:E,1,Settings!$B$16)</f>
        <v/>
      </c>
      <c r="N493" s="5" t="str" cm="1">
        <f t="array" ref="N493">choice(Settings!K:K,1,Settings!$B$16)</f>
        <v>jeudi am</v>
      </c>
      <c r="P493" s="5">
        <f t="shared" si="32"/>
        <v>5</v>
      </c>
    </row>
    <row r="494" spans="1:16" ht="15.75" customHeight="1" x14ac:dyDescent="0.25">
      <c r="A494" s="6" t="s">
        <v>846</v>
      </c>
      <c r="B494" s="6" cm="1">
        <f t="array" ref="B494">alea_int(Settings!$B$10,1,Settings!$B$16)</f>
        <v>1</v>
      </c>
      <c r="C494" s="8">
        <v>46023</v>
      </c>
      <c r="D494" s="8">
        <f t="shared" si="29"/>
        <v>46387</v>
      </c>
      <c r="E494" s="6" t="str" cm="1">
        <f t="array" ref="E494">choice(Groupes!A:A,1,Settings!$B$16)</f>
        <v>G20</v>
      </c>
      <c r="F494" s="6" t="str">
        <f t="shared" si="30"/>
        <v>G20</v>
      </c>
      <c r="G494" s="6" t="str">
        <f t="shared" si="31"/>
        <v>Prof36</v>
      </c>
      <c r="H494" s="6" t="str" cm="1">
        <f t="array" ref="H494">choice(Referentiel!A:A,1,Settings!$B$16)</f>
        <v>Gr SOFT MATTERS</v>
      </c>
      <c r="I494" s="6" t="str" cm="1">
        <f t="array" ref="I494">choice(Referentiel!B:B,1,Settings!$B$16)</f>
        <v>5ème année Scénographie S2</v>
      </c>
      <c r="J494" s="6" t="str" cm="1">
        <f t="array" ref="J494">choice(Referentiel!D:D,1,Settings!$B$16)</f>
        <v>L2</v>
      </c>
      <c r="K494" s="6" t="str" cm="1">
        <f t="array" ref="K494">choice(Professeurs!B:B,1,Settings!$B$16)</f>
        <v>Prof36</v>
      </c>
      <c r="L494" s="5" t="str" cm="1">
        <f t="array" ref="L494">choice(Referentiel!C:C,1,Settings!$B$16)</f>
        <v/>
      </c>
      <c r="M494" s="5" t="str" cm="1">
        <f t="array" ref="M494">choice(Referentiel!E:E,1,Settings!$B$16)</f>
        <v/>
      </c>
      <c r="N494" s="5" t="str" cm="1">
        <f t="array" ref="N494">choice(Settings!K:K,1,Settings!$B$16)</f>
        <v>jeudi pm</v>
      </c>
      <c r="P494" s="5">
        <f t="shared" si="32"/>
        <v>3</v>
      </c>
    </row>
    <row r="495" spans="1:16" ht="15.75" customHeight="1" x14ac:dyDescent="0.25">
      <c r="A495" s="6" t="s">
        <v>847</v>
      </c>
      <c r="B495" s="6" cm="1">
        <f t="array" ref="B495">alea_int(Settings!$B$10,1,Settings!$B$16)</f>
        <v>2</v>
      </c>
      <c r="C495" s="8">
        <v>46023</v>
      </c>
      <c r="D495" s="8">
        <f t="shared" si="29"/>
        <v>46387</v>
      </c>
      <c r="E495" s="6" t="str" cm="1">
        <f t="array" ref="E495">choice(Groupes!A:A,1,Settings!$B$16)</f>
        <v>G19</v>
      </c>
      <c r="F495" s="6" t="str">
        <f t="shared" si="30"/>
        <v>G19</v>
      </c>
      <c r="G495" s="6" t="str">
        <f t="shared" si="31"/>
        <v>Prof53</v>
      </c>
      <c r="H495" s="6" t="str" cm="1">
        <f t="array" ref="H495">choice(Referentiel!A:A,1,Settings!$B$16)</f>
        <v>Gr SYMBIOSE</v>
      </c>
      <c r="I495" s="6" t="str" cm="1">
        <f t="array" ref="I495">choice(Referentiel!B:B,1,Settings!$B$16)</f>
        <v>5ème année Scénographie S1</v>
      </c>
      <c r="J495" s="6" t="str" cm="1">
        <f t="array" ref="J495">choice(Referentiel!D:D,1,Settings!$B$16)</f>
        <v>L1</v>
      </c>
      <c r="K495" s="6" t="str" cm="1">
        <f t="array" ref="K495">choice(Professeurs!B:B,1,Settings!$B$16)</f>
        <v>Prof53</v>
      </c>
      <c r="L495" s="5" t="str" cm="1">
        <f t="array" ref="L495">choice(Referentiel!C:C,1,Settings!$B$16)</f>
        <v/>
      </c>
      <c r="M495" s="5" t="str" cm="1">
        <f t="array" ref="M495">choice(Referentiel!E:E,1,Settings!$B$16)</f>
        <v/>
      </c>
      <c r="N495" s="5" t="str" cm="1">
        <f t="array" ref="N495">choice(Settings!K:K,1,Settings!$B$16)</f>
        <v>semaine</v>
      </c>
      <c r="P495" s="5">
        <f t="shared" si="32"/>
        <v>4</v>
      </c>
    </row>
    <row r="496" spans="1:16" ht="15.75" customHeight="1" x14ac:dyDescent="0.25">
      <c r="A496" s="6" t="s">
        <v>848</v>
      </c>
      <c r="B496" s="6" cm="1">
        <f t="array" ref="B496">alea_int(Settings!$B$10,1,Settings!$B$16)</f>
        <v>1</v>
      </c>
      <c r="C496" s="8">
        <v>46023</v>
      </c>
      <c r="D496" s="8">
        <f t="shared" si="29"/>
        <v>46387</v>
      </c>
      <c r="E496" s="6" t="str" cm="1">
        <f t="array" ref="E496">choice(Groupes!A:A,1,Settings!$B$16)</f>
        <v>G4</v>
      </c>
      <c r="F496" s="6" t="str">
        <f t="shared" si="30"/>
        <v>G4</v>
      </c>
      <c r="G496" s="6" t="str">
        <f t="shared" si="31"/>
        <v>Prof8</v>
      </c>
      <c r="H496" s="6" t="str" cm="1">
        <f t="array" ref="H496">choice(Referentiel!A:A,1,Settings!$B$16)</f>
        <v>Mode et Matière</v>
      </c>
      <c r="I496" s="6" t="str" cm="1">
        <f t="array" ref="I496">choice(Referentiel!B:B,1,Settings!$B$16)</f>
        <v>2ème année Scénographie S2</v>
      </c>
      <c r="J496" s="6" t="str" cm="1">
        <f t="array" ref="J496">choice(Referentiel!D:D,1,Settings!$B$16)</f>
        <v>L3</v>
      </c>
      <c r="K496" s="6" t="str" cm="1">
        <f t="array" ref="K496">choice(Professeurs!B:B,1,Settings!$B$16)</f>
        <v>Prof8</v>
      </c>
      <c r="L496" s="5" t="str" cm="1">
        <f t="array" ref="L496">choice(Referentiel!C:C,1,Settings!$B$16)</f>
        <v/>
      </c>
      <c r="M496" s="5" t="str" cm="1">
        <f t="array" ref="M496">choice(Referentiel!E:E,1,Settings!$B$16)</f>
        <v/>
      </c>
      <c r="N496" s="5" t="str" cm="1">
        <f t="array" ref="N496">choice(Settings!K:K,1,Settings!$B$16)</f>
        <v>semaine</v>
      </c>
      <c r="P496" s="5">
        <f t="shared" si="32"/>
        <v>3</v>
      </c>
    </row>
    <row r="497" spans="1:16" ht="15.75" customHeight="1" x14ac:dyDescent="0.25">
      <c r="A497" s="6" t="s">
        <v>849</v>
      </c>
      <c r="B497" s="6" cm="1">
        <f t="array" ref="B497">alea_int(Settings!$B$10,1,Settings!$B$16)</f>
        <v>1</v>
      </c>
      <c r="C497" s="8">
        <v>46023</v>
      </c>
      <c r="D497" s="8">
        <f t="shared" si="29"/>
        <v>46387</v>
      </c>
      <c r="E497" s="6" t="str" cm="1">
        <f t="array" ref="E497">choice(Groupes!A:A,1,Settings!$B$16)</f>
        <v>G11</v>
      </c>
      <c r="F497" s="6" t="str">
        <f t="shared" si="30"/>
        <v>G11</v>
      </c>
      <c r="G497" s="6" t="str">
        <f t="shared" si="31"/>
        <v>Prof5</v>
      </c>
      <c r="H497" s="6" t="str" cm="1">
        <f t="array" ref="H497">choice(Referentiel!A:A,1,Settings!$B$16)</f>
        <v>6ème année atelier</v>
      </c>
      <c r="I497" s="6" t="str" cm="1">
        <f t="array" ref="I497">choice(Referentiel!B:B,1,Settings!$B$16)</f>
        <v>2ème année Image Imprimée S1</v>
      </c>
      <c r="J497" s="6" t="str" cm="1">
        <f t="array" ref="J497">choice(Referentiel!D:D,1,Settings!$B$16)</f>
        <v>M1</v>
      </c>
      <c r="K497" s="6" t="str" cm="1">
        <f t="array" ref="K497">choice(Professeurs!B:B,1,Settings!$B$16)</f>
        <v>Prof5</v>
      </c>
      <c r="L497" s="5" t="str" cm="1">
        <f t="array" ref="L497">choice(Referentiel!C:C,1,Settings!$B$16)</f>
        <v/>
      </c>
      <c r="M497" s="5" t="str" cm="1">
        <f t="array" ref="M497">choice(Referentiel!E:E,1,Settings!$B$16)</f>
        <v/>
      </c>
      <c r="N497" s="5" t="str" cm="1">
        <f t="array" ref="N497">choice(Settings!K:K,1,Settings!$B$16)</f>
        <v/>
      </c>
      <c r="P497" s="5">
        <f t="shared" si="32"/>
        <v>1</v>
      </c>
    </row>
    <row r="498" spans="1:16" ht="15.75" customHeight="1" x14ac:dyDescent="0.25">
      <c r="A498" s="6" t="s">
        <v>850</v>
      </c>
      <c r="B498" s="6" cm="1">
        <f t="array" ref="B498">alea_int(Settings!$B$10,1,Settings!$B$16)</f>
        <v>3</v>
      </c>
      <c r="C498" s="8">
        <v>46023</v>
      </c>
      <c r="D498" s="8">
        <f t="shared" si="29"/>
        <v>46387</v>
      </c>
      <c r="E498" s="6" t="str" cm="1">
        <f t="array" ref="E498">choice(Groupes!A:A,1,Settings!$B$16)</f>
        <v>G26</v>
      </c>
      <c r="F498" s="6" t="str">
        <f t="shared" si="30"/>
        <v>G26</v>
      </c>
      <c r="G498" s="6" t="str">
        <f t="shared" si="31"/>
        <v>Prof2</v>
      </c>
      <c r="H498" s="6" t="str" cm="1">
        <f t="array" ref="H498">choice(Referentiel!A:A,1,Settings!$B$16)</f>
        <v>Image Imprimée</v>
      </c>
      <c r="I498" s="6" t="str" cm="1">
        <f t="array" ref="I498">choice(Referentiel!B:B,1,Settings!$B$16)</f>
        <v>1ère Année Groupe 2 S2</v>
      </c>
      <c r="J498" s="6" t="str" cm="1">
        <f t="array" ref="J498">choice(Referentiel!D:D,1,Settings!$B$16)</f>
        <v>M1</v>
      </c>
      <c r="K498" s="6" t="str" cm="1">
        <f t="array" ref="K498">choice(Professeurs!B:B,1,Settings!$B$16)</f>
        <v>Prof2</v>
      </c>
      <c r="L498" s="5" t="str" cm="1">
        <f t="array" ref="L498">choice(Referentiel!C:C,1,Settings!$B$16)</f>
        <v/>
      </c>
      <c r="M498" s="5" t="str" cm="1">
        <f t="array" ref="M498">choice(Referentiel!E:E,1,Settings!$B$16)</f>
        <v/>
      </c>
      <c r="N498" s="5" t="str" cm="1">
        <f t="array" ref="N498">choice(Settings!K:K,1,Settings!$B$16)</f>
        <v/>
      </c>
      <c r="P498" s="5">
        <f t="shared" si="32"/>
        <v>3</v>
      </c>
    </row>
    <row r="499" spans="1:16" ht="15.75" customHeight="1" x14ac:dyDescent="0.25">
      <c r="A499" s="6" t="s">
        <v>851</v>
      </c>
      <c r="B499" s="6" cm="1">
        <f t="array" ref="B499">alea_int(Settings!$B$10,1,Settings!$B$16)</f>
        <v>1</v>
      </c>
      <c r="C499" s="8">
        <v>46023</v>
      </c>
      <c r="D499" s="8">
        <f t="shared" si="29"/>
        <v>46387</v>
      </c>
      <c r="E499" s="6" t="str" cm="1">
        <f t="array" ref="E499">choice(Groupes!A:A,1,Settings!$B$16)</f>
        <v>G10</v>
      </c>
      <c r="F499" s="6" t="str">
        <f t="shared" si="30"/>
        <v>G10</v>
      </c>
      <c r="G499" s="6" t="str">
        <f t="shared" si="31"/>
        <v>Prof5</v>
      </c>
      <c r="H499" s="6" t="str" cm="1">
        <f t="array" ref="H499">choice(Referentiel!A:A,1,Settings!$B$16)</f>
        <v>1ère année Groupe 4</v>
      </c>
      <c r="I499" s="6" t="str" cm="1">
        <f t="array" ref="I499">choice(Referentiel!B:B,1,Settings!$B$16)</f>
        <v>2ème année Image Imprimée S2</v>
      </c>
      <c r="J499" s="6" t="str" cm="1">
        <f t="array" ref="J499">choice(Referentiel!D:D,1,Settings!$B$16)</f>
        <v>L1</v>
      </c>
      <c r="K499" s="6" t="str" cm="1">
        <f t="array" ref="K499">choice(Professeurs!B:B,1,Settings!$B$16)</f>
        <v>Prof5</v>
      </c>
      <c r="L499" s="5" t="str" cm="1">
        <f t="array" ref="L499">choice(Referentiel!C:C,1,Settings!$B$16)</f>
        <v/>
      </c>
      <c r="M499" s="5" t="str" cm="1">
        <f t="array" ref="M499">choice(Referentiel!E:E,1,Settings!$B$16)</f>
        <v/>
      </c>
      <c r="N499" s="5" t="str" cm="1">
        <f t="array" ref="N499">choice(Settings!K:K,1,Settings!$B$16)</f>
        <v/>
      </c>
      <c r="P499" s="5">
        <f t="shared" si="32"/>
        <v>1</v>
      </c>
    </row>
    <row r="500" spans="1:16" ht="15.75" customHeight="1" x14ac:dyDescent="0.25">
      <c r="A500" s="6" t="s">
        <v>852</v>
      </c>
      <c r="B500" s="6" cm="1">
        <f t="array" ref="B500">alea_int(Settings!$B$10,1,Settings!$B$16)</f>
        <v>2</v>
      </c>
      <c r="C500" s="8">
        <v>46023</v>
      </c>
      <c r="D500" s="8">
        <f t="shared" si="29"/>
        <v>46387</v>
      </c>
      <c r="E500" s="6" t="str" cm="1">
        <f t="array" ref="E500">choice(Groupes!A:A,1,Settings!$B$16)</f>
        <v>G8</v>
      </c>
      <c r="F500" s="6" t="str">
        <f t="shared" si="30"/>
        <v>G8</v>
      </c>
      <c r="G500" s="6" t="str">
        <f t="shared" si="31"/>
        <v>Prof54</v>
      </c>
      <c r="H500" s="6" t="str" cm="1">
        <f t="array" ref="H500">choice(Referentiel!A:A,1,Settings!$B$16)</f>
        <v>Design Vêtement</v>
      </c>
      <c r="I500" s="6" t="str" cm="1">
        <f t="array" ref="I500">choice(Referentiel!B:B,1,Settings!$B$16)</f>
        <v>1ère Année Groupe 4 S1</v>
      </c>
      <c r="J500" s="6" t="str" cm="1">
        <f t="array" ref="J500">choice(Referentiel!D:D,1,Settings!$B$16)</f>
        <v>L3</v>
      </c>
      <c r="K500" s="6" t="str" cm="1">
        <f t="array" ref="K500">choice(Professeurs!B:B,1,Settings!$B$16)</f>
        <v>Prof54</v>
      </c>
      <c r="L500" s="5" t="str" cm="1">
        <f t="array" ref="L500">choice(Referentiel!C:C,1,Settings!$B$16)</f>
        <v/>
      </c>
      <c r="M500" s="5" t="str" cm="1">
        <f t="array" ref="M500">choice(Referentiel!E:E,1,Settings!$B$16)</f>
        <v/>
      </c>
      <c r="N500" s="5" t="str" cm="1">
        <f t="array" ref="N500">choice(Settings!K:K,1,Settings!$B$16)</f>
        <v/>
      </c>
      <c r="P500" s="5">
        <f t="shared" si="32"/>
        <v>2</v>
      </c>
    </row>
    <row r="501" spans="1:16" ht="15.75" customHeight="1" x14ac:dyDescent="0.25">
      <c r="A501" s="6" t="s">
        <v>853</v>
      </c>
      <c r="B501" s="6" cm="1">
        <f t="array" ref="B501">alea_int(Settings!$B$10,1,Settings!$B$16)</f>
        <v>2</v>
      </c>
      <c r="C501" s="8">
        <v>46023</v>
      </c>
      <c r="D501" s="8">
        <f t="shared" si="29"/>
        <v>46387</v>
      </c>
      <c r="E501" s="6" t="str" cm="1">
        <f t="array" ref="E501">choice(Groupes!A:A,1,Settings!$B$16)</f>
        <v>G10</v>
      </c>
      <c r="F501" s="6" t="str">
        <f t="shared" si="30"/>
        <v>G10</v>
      </c>
      <c r="G501" s="6" t="str">
        <f t="shared" si="31"/>
        <v>Prof48</v>
      </c>
      <c r="H501" s="6" t="str" cm="1">
        <f t="array" ref="H501">choice(Referentiel!A:A,1,Settings!$B$16)</f>
        <v>Cinéma d'Animation</v>
      </c>
      <c r="I501" s="6" t="str" cm="1">
        <f t="array" ref="I501">choice(Referentiel!B:B,1,Settings!$B$16)</f>
        <v>1ère Année Groupe 2 S1</v>
      </c>
      <c r="J501" s="6" t="str" cm="1">
        <f t="array" ref="J501">choice(Referentiel!D:D,1,Settings!$B$16)</f>
        <v>M1</v>
      </c>
      <c r="K501" s="6" t="str" cm="1">
        <f t="array" ref="K501">choice(Professeurs!B:B,1,Settings!$B$16)</f>
        <v>Prof48</v>
      </c>
      <c r="L501" s="5" t="str" cm="1">
        <f t="array" ref="L501">choice(Referentiel!C:C,1,Settings!$B$16)</f>
        <v/>
      </c>
      <c r="M501" s="5" t="str" cm="1">
        <f t="array" ref="M501">choice(Referentiel!E:E,1,Settings!$B$16)</f>
        <v/>
      </c>
      <c r="N501" s="5" t="str" cm="1">
        <f t="array" ref="N501">choice(Settings!K:K,1,Settings!$B$16)</f>
        <v/>
      </c>
      <c r="P501" s="5">
        <f t="shared" si="32"/>
        <v>2</v>
      </c>
    </row>
    <row r="502" spans="1:16" ht="15.75" customHeight="1" x14ac:dyDescent="0.25">
      <c r="A502" s="6" t="s">
        <v>854</v>
      </c>
      <c r="B502" s="6" cm="1">
        <f t="array" ref="B502">alea_int(Settings!$B$10,1,Settings!$B$16)</f>
        <v>1</v>
      </c>
      <c r="C502" s="8">
        <v>46023</v>
      </c>
      <c r="D502" s="8">
        <f t="shared" si="29"/>
        <v>46387</v>
      </c>
      <c r="E502" s="6" t="str" cm="1">
        <f t="array" ref="E502">choice(Groupes!A:A,1,Settings!$B$16)</f>
        <v>G18</v>
      </c>
      <c r="F502" s="6" t="str">
        <f t="shared" si="30"/>
        <v>G18</v>
      </c>
      <c r="G502" s="6" t="str">
        <f t="shared" si="31"/>
        <v>Prof29</v>
      </c>
      <c r="H502" s="6" t="str" cm="1">
        <f t="array" ref="H502">choice(Referentiel!A:A,1,Settings!$B$16)</f>
        <v>Gr SYMBIOSE</v>
      </c>
      <c r="I502" s="6" t="str" cm="1">
        <f t="array" ref="I502">choice(Referentiel!B:B,1,Settings!$B$16)</f>
        <v>5ème année Design Objet S2</v>
      </c>
      <c r="J502" s="6" t="str" cm="1">
        <f t="array" ref="J502">choice(Referentiel!D:D,1,Settings!$B$16)</f>
        <v>L2</v>
      </c>
      <c r="K502" s="6" t="str" cm="1">
        <f t="array" ref="K502">choice(Professeurs!B:B,1,Settings!$B$16)</f>
        <v>Prof29</v>
      </c>
      <c r="L502" s="5" t="str" cm="1">
        <f t="array" ref="L502">choice(Referentiel!C:C,1,Settings!$B$16)</f>
        <v/>
      </c>
      <c r="M502" s="5" t="str" cm="1">
        <f t="array" ref="M502">choice(Referentiel!E:E,1,Settings!$B$16)</f>
        <v/>
      </c>
      <c r="N502" s="5" t="str" cm="1">
        <f t="array" ref="N502">choice(Settings!K:K,1,Settings!$B$16)</f>
        <v/>
      </c>
      <c r="P502" s="5">
        <f t="shared" si="32"/>
        <v>1</v>
      </c>
    </row>
    <row r="503" spans="1:16" ht="15.75" customHeight="1" x14ac:dyDescent="0.25">
      <c r="A503" s="6" t="s">
        <v>855</v>
      </c>
      <c r="B503" s="6" cm="1">
        <f t="array" ref="B503">alea_int(Settings!$B$10,1,Settings!$B$16)</f>
        <v>3</v>
      </c>
      <c r="C503" s="8">
        <v>46023</v>
      </c>
      <c r="D503" s="8">
        <f t="shared" si="29"/>
        <v>46387</v>
      </c>
      <c r="E503" s="6" t="str" cm="1">
        <f t="array" ref="E503">choice(Groupes!A:A,1,Settings!$B$16)</f>
        <v>G6</v>
      </c>
      <c r="F503" s="6" t="str">
        <f t="shared" si="30"/>
        <v>G6</v>
      </c>
      <c r="G503" s="6" t="str">
        <f t="shared" si="31"/>
        <v>Prof10</v>
      </c>
      <c r="H503" s="6" t="str" cm="1">
        <f t="array" ref="H503">choice(Referentiel!A:A,1,Settings!$B$16)</f>
        <v>Design Vêtement</v>
      </c>
      <c r="I503" s="6" t="str" cm="1">
        <f t="array" ref="I503">choice(Referentiel!B:B,1,Settings!$B$16)</f>
        <v>2ème année Design Objet S1</v>
      </c>
      <c r="J503" s="6" t="str" cm="1">
        <f t="array" ref="J503">choice(Referentiel!D:D,1,Settings!$B$16)</f>
        <v>M1</v>
      </c>
      <c r="K503" s="6" t="str" cm="1">
        <f t="array" ref="K503">choice(Professeurs!B:B,1,Settings!$B$16)</f>
        <v>Prof10</v>
      </c>
      <c r="L503" s="5" t="str" cm="1">
        <f t="array" ref="L503">choice(Referentiel!C:C,1,Settings!$B$16)</f>
        <v/>
      </c>
      <c r="M503" s="5" t="str" cm="1">
        <f t="array" ref="M503">choice(Referentiel!E:E,1,Settings!$B$16)</f>
        <v/>
      </c>
      <c r="N503" s="5" t="str" cm="1">
        <f t="array" ref="N503">choice(Settings!K:K,1,Settings!$B$16)</f>
        <v/>
      </c>
      <c r="P503" s="5">
        <f t="shared" si="32"/>
        <v>3</v>
      </c>
    </row>
    <row r="504" spans="1:16" ht="15.75" customHeight="1" x14ac:dyDescent="0.25">
      <c r="A504" s="6" t="s">
        <v>856</v>
      </c>
      <c r="B504" s="6" cm="1">
        <f t="array" ref="B504">alea_int(Settings!$B$10,1,Settings!$B$16)</f>
        <v>3</v>
      </c>
      <c r="C504" s="8">
        <v>46023</v>
      </c>
      <c r="D504" s="8">
        <f t="shared" si="29"/>
        <v>46387</v>
      </c>
      <c r="E504" s="6" t="str" cm="1">
        <f t="array" ref="E504">choice(Groupes!A:A,1,Settings!$B$16)</f>
        <v>G15</v>
      </c>
      <c r="F504" s="6" t="str">
        <f t="shared" si="30"/>
        <v>G15</v>
      </c>
      <c r="G504" s="6" t="str">
        <f t="shared" si="31"/>
        <v>Prof2</v>
      </c>
      <c r="H504" s="6" t="str" cm="1">
        <f t="array" ref="H504">choice(Referentiel!A:A,1,Settings!$B$16)</f>
        <v>Design des mondes urbains</v>
      </c>
      <c r="I504" s="6" t="str" cm="1">
        <f t="array" ref="I504">choice(Referentiel!B:B,1,Settings!$B$16)</f>
        <v>2ème année Design Textile et Matière S1</v>
      </c>
      <c r="J504" s="6" t="str" cm="1">
        <f t="array" ref="J504">choice(Referentiel!D:D,1,Settings!$B$16)</f>
        <v>L1</v>
      </c>
      <c r="K504" s="6" t="str" cm="1">
        <f t="array" ref="K504">choice(Professeurs!B:B,1,Settings!$B$16)</f>
        <v>Prof2</v>
      </c>
      <c r="L504" s="5" t="str" cm="1">
        <f t="array" ref="L504">choice(Referentiel!C:C,1,Settings!$B$16)</f>
        <v/>
      </c>
      <c r="M504" s="5" t="str" cm="1">
        <f t="array" ref="M504">choice(Referentiel!E:E,1,Settings!$B$16)</f>
        <v/>
      </c>
      <c r="N504" s="5" t="str" cm="1">
        <f t="array" ref="N504">choice(Settings!K:K,1,Settings!$B$16)</f>
        <v>vendredi am</v>
      </c>
      <c r="P504" s="5">
        <f t="shared" si="32"/>
        <v>5</v>
      </c>
    </row>
    <row r="505" spans="1:16" ht="15.75" customHeight="1" x14ac:dyDescent="0.25">
      <c r="A505" s="6" t="s">
        <v>857</v>
      </c>
      <c r="B505" s="6" cm="1">
        <f t="array" ref="B505">alea_int(Settings!$B$10,1,Settings!$B$16)</f>
        <v>2</v>
      </c>
      <c r="C505" s="8">
        <v>46023</v>
      </c>
      <c r="D505" s="8">
        <f t="shared" si="29"/>
        <v>46387</v>
      </c>
      <c r="E505" s="6" t="str" cm="1">
        <f t="array" ref="E505">choice(Groupes!A:A,1,Settings!$B$16)</f>
        <v>G24</v>
      </c>
      <c r="F505" s="6" t="str">
        <f t="shared" si="30"/>
        <v>G24</v>
      </c>
      <c r="G505" s="6" t="str">
        <f t="shared" si="31"/>
        <v>Prof46</v>
      </c>
      <c r="H505" s="6" t="str" cm="1">
        <f t="array" ref="H505">choice(Referentiel!A:A,1,Settings!$B$16)</f>
        <v>Design des mondes littoraux</v>
      </c>
      <c r="I505" s="6" t="str" cm="1">
        <f t="array" ref="I505">choice(Referentiel!B:B,1,Settings!$B$16)</f>
        <v>4ème année Design Graphique S2</v>
      </c>
      <c r="J505" s="6" t="str" cm="1">
        <f t="array" ref="J505">choice(Referentiel!D:D,1,Settings!$B$16)</f>
        <v>M1</v>
      </c>
      <c r="K505" s="6" t="str" cm="1">
        <f t="array" ref="K505">choice(Professeurs!B:B,1,Settings!$B$16)</f>
        <v>Prof46</v>
      </c>
      <c r="L505" s="5" t="str" cm="1">
        <f t="array" ref="L505">choice(Referentiel!C:C,1,Settings!$B$16)</f>
        <v/>
      </c>
      <c r="M505" s="5" t="str" cm="1">
        <f t="array" ref="M505">choice(Referentiel!E:E,1,Settings!$B$16)</f>
        <v>Salle12</v>
      </c>
      <c r="N505" s="5" t="str" cm="1">
        <f t="array" ref="N505">choice(Settings!K:K,1,Settings!$B$16)</f>
        <v/>
      </c>
      <c r="P505" s="5">
        <f t="shared" si="32"/>
        <v>4</v>
      </c>
    </row>
    <row r="506" spans="1:16" ht="15.75" customHeight="1" x14ac:dyDescent="0.25">
      <c r="A506" s="6" t="s">
        <v>858</v>
      </c>
      <c r="B506" s="6" cm="1">
        <f t="array" ref="B506">alea_int(Settings!$B$10,1,Settings!$B$16)</f>
        <v>3</v>
      </c>
      <c r="C506" s="8">
        <v>46023</v>
      </c>
      <c r="D506" s="8">
        <f t="shared" si="29"/>
        <v>46387</v>
      </c>
      <c r="E506" s="6" t="str" cm="1">
        <f t="array" ref="E506">choice(Groupes!A:A,1,Settings!$B$16)</f>
        <v>G20</v>
      </c>
      <c r="F506" s="6" t="str">
        <f t="shared" si="30"/>
        <v>G20</v>
      </c>
      <c r="G506" s="6" t="str">
        <f t="shared" si="31"/>
        <v>Prof14</v>
      </c>
      <c r="H506" s="6" t="str" cm="1">
        <f t="array" ref="H506">choice(Referentiel!A:A,1,Settings!$B$16)</f>
        <v>Design des mondes ruraux</v>
      </c>
      <c r="I506" s="6" t="str" cm="1">
        <f t="array" ref="I506">choice(Referentiel!B:B,1,Settings!$B$16)</f>
        <v>4ème année Design Graphique S2</v>
      </c>
      <c r="J506" s="6" t="str" cm="1">
        <f t="array" ref="J506">choice(Referentiel!D:D,1,Settings!$B$16)</f>
        <v>L2</v>
      </c>
      <c r="K506" s="6" t="str" cm="1">
        <f t="array" ref="K506">choice(Professeurs!B:B,1,Settings!$B$16)</f>
        <v>Prof14</v>
      </c>
      <c r="L506" s="5" t="str" cm="1">
        <f t="array" ref="L506">choice(Referentiel!C:C,1,Settings!$B$16)</f>
        <v/>
      </c>
      <c r="M506" s="5" t="str" cm="1">
        <f t="array" ref="M506">choice(Referentiel!E:E,1,Settings!$B$16)</f>
        <v/>
      </c>
      <c r="N506" s="5" t="str" cm="1">
        <f t="array" ref="N506">choice(Settings!K:K,1,Settings!$B$16)</f>
        <v>mardi am</v>
      </c>
      <c r="P506" s="5">
        <f t="shared" si="32"/>
        <v>5</v>
      </c>
    </row>
    <row r="507" spans="1:16" ht="15.75" customHeight="1" x14ac:dyDescent="0.25">
      <c r="A507" s="6" t="s">
        <v>859</v>
      </c>
      <c r="B507" s="6" cm="1">
        <f t="array" ref="B507">alea_int(Settings!$B$10,1,Settings!$B$16)</f>
        <v>1</v>
      </c>
      <c r="C507" s="8">
        <v>46023</v>
      </c>
      <c r="D507" s="8">
        <f t="shared" si="29"/>
        <v>46387</v>
      </c>
      <c r="E507" s="6" t="str" cm="1">
        <f t="array" ref="E507">choice(Groupes!A:A,1,Settings!$B$16)</f>
        <v>G16</v>
      </c>
      <c r="F507" s="6" t="str">
        <f t="shared" si="30"/>
        <v>G16</v>
      </c>
      <c r="G507" s="6" t="str">
        <f t="shared" si="31"/>
        <v>Prof2</v>
      </c>
      <c r="H507" s="6" t="str" cm="1">
        <f t="array" ref="H507">choice(Referentiel!A:A,1,Settings!$B$16)</f>
        <v>Design des mondes ruraux</v>
      </c>
      <c r="I507" s="6" t="str" cm="1">
        <f t="array" ref="I507">choice(Referentiel!B:B,1,Settings!$B$16)</f>
        <v>2ème année Design Objet S2</v>
      </c>
      <c r="J507" s="6" t="str" cm="1">
        <f t="array" ref="J507">choice(Referentiel!D:D,1,Settings!$B$16)</f>
        <v>L1</v>
      </c>
      <c r="K507" s="6" t="str" cm="1">
        <f t="array" ref="K507">choice(Professeurs!B:B,1,Settings!$B$16)</f>
        <v>Prof2</v>
      </c>
      <c r="L507" s="5" t="str" cm="1">
        <f t="array" ref="L507">choice(Referentiel!C:C,1,Settings!$B$16)</f>
        <v/>
      </c>
      <c r="M507" s="5" t="str" cm="1">
        <f t="array" ref="M507">choice(Referentiel!E:E,1,Settings!$B$16)</f>
        <v/>
      </c>
      <c r="N507" s="5" t="str" cm="1">
        <f t="array" ref="N507">choice(Settings!K:K,1,Settings!$B$16)</f>
        <v/>
      </c>
      <c r="P507" s="5">
        <f t="shared" si="32"/>
        <v>1</v>
      </c>
    </row>
    <row r="508" spans="1:16" ht="15.75" customHeight="1" x14ac:dyDescent="0.25">
      <c r="A508" s="6" t="s">
        <v>860</v>
      </c>
      <c r="B508" s="6" cm="1">
        <f t="array" ref="B508">alea_int(Settings!$B$10,1,Settings!$B$16)</f>
        <v>1</v>
      </c>
      <c r="C508" s="8">
        <v>46023</v>
      </c>
      <c r="D508" s="8">
        <f t="shared" si="29"/>
        <v>46387</v>
      </c>
      <c r="E508" s="6" t="str" cm="1">
        <f t="array" ref="E508">choice(Groupes!A:A,1,Settings!$B$16)</f>
        <v>G5</v>
      </c>
      <c r="F508" s="6" t="str">
        <f t="shared" si="30"/>
        <v>G5</v>
      </c>
      <c r="G508" s="6" t="str">
        <f t="shared" si="31"/>
        <v>Prof36</v>
      </c>
      <c r="H508" s="6" t="str" cm="1">
        <f t="array" ref="H508">choice(Referentiel!A:A,1,Settings!$B$16)</f>
        <v>Design des mondes insulaires</v>
      </c>
      <c r="I508" s="6" t="str" cm="1">
        <f t="array" ref="I508">choice(Referentiel!B:B,1,Settings!$B$16)</f>
        <v>4ème année Cinéma d'Animation S1</v>
      </c>
      <c r="J508" s="6" t="str" cm="1">
        <f t="array" ref="J508">choice(Referentiel!D:D,1,Settings!$B$16)</f>
        <v>L1</v>
      </c>
      <c r="K508" s="6" t="str" cm="1">
        <f t="array" ref="K508">choice(Professeurs!B:B,1,Settings!$B$16)</f>
        <v>Prof36</v>
      </c>
      <c r="L508" s="5" t="str" cm="1">
        <f t="array" ref="L508">choice(Referentiel!C:C,1,Settings!$B$16)</f>
        <v/>
      </c>
      <c r="M508" s="5" t="str" cm="1">
        <f t="array" ref="M508">choice(Referentiel!E:E,1,Settings!$B$16)</f>
        <v/>
      </c>
      <c r="N508" s="5" t="str" cm="1">
        <f t="array" ref="N508">choice(Settings!K:K,1,Settings!$B$16)</f>
        <v/>
      </c>
      <c r="P508" s="5">
        <f t="shared" si="32"/>
        <v>1</v>
      </c>
    </row>
    <row r="509" spans="1:16" ht="15.75" customHeight="1" x14ac:dyDescent="0.25">
      <c r="A509" s="6" t="s">
        <v>861</v>
      </c>
      <c r="B509" s="6" cm="1">
        <f t="array" ref="B509">alea_int(Settings!$B$10,1,Settings!$B$16)</f>
        <v>3</v>
      </c>
      <c r="C509" s="8">
        <v>46023</v>
      </c>
      <c r="D509" s="8">
        <f t="shared" si="29"/>
        <v>46387</v>
      </c>
      <c r="E509" s="6" t="str" cm="1">
        <f t="array" ref="E509">choice(Groupes!A:A,1,Settings!$B$16)</f>
        <v>G5</v>
      </c>
      <c r="F509" s="6" t="str">
        <f t="shared" si="30"/>
        <v>G5</v>
      </c>
      <c r="G509" s="6" t="str">
        <f t="shared" si="31"/>
        <v>Prof39</v>
      </c>
      <c r="H509" s="6" t="str" cm="1">
        <f t="array" ref="H509">choice(Referentiel!A:A,1,Settings!$B$16)</f>
        <v>Gr SYMBIOSE</v>
      </c>
      <c r="I509" s="6" t="str" cm="1">
        <f t="array" ref="I509">choice(Referentiel!B:B,1,Settings!$B$16)</f>
        <v>3ème année Photo / Vidéo S2</v>
      </c>
      <c r="J509" s="6" t="str" cm="1">
        <f t="array" ref="J509">choice(Referentiel!D:D,1,Settings!$B$16)</f>
        <v>L2</v>
      </c>
      <c r="K509" s="6" t="str" cm="1">
        <f t="array" ref="K509">choice(Professeurs!B:B,1,Settings!$B$16)</f>
        <v>Prof39</v>
      </c>
      <c r="L509" s="5" t="str" cm="1">
        <f t="array" ref="L509">choice(Referentiel!C:C,1,Settings!$B$16)</f>
        <v/>
      </c>
      <c r="M509" s="5" t="str" cm="1">
        <f t="array" ref="M509">choice(Referentiel!E:E,1,Settings!$B$16)</f>
        <v/>
      </c>
      <c r="N509" s="5" t="str" cm="1">
        <f t="array" ref="N509">choice(Settings!K:K,1,Settings!$B$16)</f>
        <v/>
      </c>
      <c r="P509" s="5">
        <f t="shared" si="32"/>
        <v>3</v>
      </c>
    </row>
    <row r="510" spans="1:16" ht="15.75" customHeight="1" x14ac:dyDescent="0.25">
      <c r="A510" s="6" t="s">
        <v>862</v>
      </c>
      <c r="B510" s="6" cm="1">
        <f t="array" ref="B510">alea_int(Settings!$B$10,1,Settings!$B$16)</f>
        <v>3</v>
      </c>
      <c r="C510" s="8">
        <v>46023</v>
      </c>
      <c r="D510" s="8">
        <f t="shared" si="29"/>
        <v>46387</v>
      </c>
      <c r="E510" s="6" t="str" cm="1">
        <f t="array" ref="E510">choice(Groupes!A:A,1,Settings!$B$16)</f>
        <v>G15</v>
      </c>
      <c r="F510" s="6" t="str">
        <f t="shared" si="30"/>
        <v>G15</v>
      </c>
      <c r="G510" s="6" t="str">
        <f t="shared" si="31"/>
        <v>Prof2</v>
      </c>
      <c r="H510" s="6" t="str" cm="1">
        <f t="array" ref="H510">choice(Referentiel!A:A,1,Settings!$B$16)</f>
        <v>Scénographie</v>
      </c>
      <c r="I510" s="6" t="str" cm="1">
        <f t="array" ref="I510">choice(Referentiel!B:B,1,Settings!$B$16)</f>
        <v>2ème année Scénographie S1</v>
      </c>
      <c r="J510" s="6" t="str" cm="1">
        <f t="array" ref="J510">choice(Referentiel!D:D,1,Settings!$B$16)</f>
        <v>M2</v>
      </c>
      <c r="K510" s="6" t="str" cm="1">
        <f t="array" ref="K510">choice(Professeurs!B:B,1,Settings!$B$16)</f>
        <v>Prof2</v>
      </c>
      <c r="L510" s="5" t="str" cm="1">
        <f t="array" ref="L510">choice(Referentiel!C:C,1,Settings!$B$16)</f>
        <v/>
      </c>
      <c r="M510" s="5" t="str" cm="1">
        <f t="array" ref="M510">choice(Referentiel!E:E,1,Settings!$B$16)</f>
        <v/>
      </c>
      <c r="N510" s="5" t="str" cm="1">
        <f t="array" ref="N510">choice(Settings!K:K,1,Settings!$B$16)</f>
        <v>mercredi pm</v>
      </c>
      <c r="P510" s="5">
        <f t="shared" si="32"/>
        <v>5</v>
      </c>
    </row>
    <row r="511" spans="1:16" ht="15.75" customHeight="1" x14ac:dyDescent="0.25">
      <c r="A511" s="6" t="s">
        <v>863</v>
      </c>
      <c r="B511" s="6" cm="1">
        <f t="array" ref="B511">alea_int(Settings!$B$10,1,Settings!$B$16)</f>
        <v>3</v>
      </c>
      <c r="C511" s="8">
        <v>46023</v>
      </c>
      <c r="D511" s="8">
        <f t="shared" si="29"/>
        <v>46387</v>
      </c>
      <c r="E511" s="6" t="str" cm="1">
        <f t="array" ref="E511">choice(Groupes!A:A,1,Settings!$B$16)</f>
        <v>G13</v>
      </c>
      <c r="F511" s="6" t="str">
        <f t="shared" si="30"/>
        <v>G13</v>
      </c>
      <c r="G511" s="6" t="str">
        <f t="shared" si="31"/>
        <v>Prof51</v>
      </c>
      <c r="H511" s="6" t="str" cm="1">
        <f t="array" ref="H511">choice(Referentiel!A:A,1,Settings!$B$16)</f>
        <v>Image Imprimée</v>
      </c>
      <c r="I511" s="6" t="str" cm="1">
        <f t="array" ref="I511">choice(Referentiel!B:B,1,Settings!$B$16)</f>
        <v>4ème année Design Vêtement S2</v>
      </c>
      <c r="J511" s="6" t="str" cm="1">
        <f t="array" ref="J511">choice(Referentiel!D:D,1,Settings!$B$16)</f>
        <v>L2</v>
      </c>
      <c r="K511" s="6" t="str" cm="1">
        <f t="array" ref="K511">choice(Professeurs!B:B,1,Settings!$B$16)</f>
        <v>Prof51</v>
      </c>
      <c r="L511" s="5" t="str" cm="1">
        <f t="array" ref="L511">choice(Referentiel!C:C,1,Settings!$B$16)</f>
        <v/>
      </c>
      <c r="M511" s="5" t="str" cm="1">
        <f t="array" ref="M511">choice(Referentiel!E:E,1,Settings!$B$16)</f>
        <v/>
      </c>
      <c r="N511" s="5" t="str" cm="1">
        <f t="array" ref="N511">choice(Settings!K:K,1,Settings!$B$16)</f>
        <v>jeudi am</v>
      </c>
      <c r="P511" s="5">
        <f t="shared" si="32"/>
        <v>5</v>
      </c>
    </row>
    <row r="512" spans="1:16" ht="15.75" customHeight="1" x14ac:dyDescent="0.25">
      <c r="A512" s="6" t="s">
        <v>864</v>
      </c>
      <c r="B512" s="6" cm="1">
        <f t="array" ref="B512">alea_int(Settings!$B$10,1,Settings!$B$16)</f>
        <v>3</v>
      </c>
      <c r="C512" s="8">
        <v>46023</v>
      </c>
      <c r="D512" s="8">
        <f t="shared" si="29"/>
        <v>46387</v>
      </c>
      <c r="E512" s="6" t="str" cm="1">
        <f t="array" ref="E512">choice(Groupes!A:A,1,Settings!$B$16)</f>
        <v>G24</v>
      </c>
      <c r="F512" s="6" t="str">
        <f t="shared" si="30"/>
        <v>G24</v>
      </c>
      <c r="G512" s="6" t="str">
        <f t="shared" si="31"/>
        <v>Prof35</v>
      </c>
      <c r="H512" s="6" t="str" cm="1">
        <f t="array" ref="H512">choice(Referentiel!A:A,1,Settings!$B$16)</f>
        <v>Design des mondes littoraux</v>
      </c>
      <c r="I512" s="6" t="str" cm="1">
        <f t="array" ref="I512">choice(Referentiel!B:B,1,Settings!$B$16)</f>
        <v>Césure S2</v>
      </c>
      <c r="J512" s="6" t="str" cm="1">
        <f t="array" ref="J512">choice(Referentiel!D:D,1,Settings!$B$16)</f>
        <v>L1</v>
      </c>
      <c r="K512" s="6" t="str" cm="1">
        <f t="array" ref="K512">choice(Professeurs!B:B,1,Settings!$B$16)</f>
        <v>Prof35</v>
      </c>
      <c r="L512" s="5" t="str" cm="1">
        <f t="array" ref="L512">choice(Referentiel!C:C,1,Settings!$B$16)</f>
        <v/>
      </c>
      <c r="M512" s="5" t="str" cm="1">
        <f t="array" ref="M512">choice(Referentiel!E:E,1,Settings!$B$16)</f>
        <v/>
      </c>
      <c r="N512" s="5" t="str" cm="1">
        <f t="array" ref="N512">choice(Settings!K:K,1,Settings!$B$16)</f>
        <v/>
      </c>
      <c r="P512" s="5">
        <f t="shared" si="32"/>
        <v>3</v>
      </c>
    </row>
    <row r="513" spans="1:16" ht="15.75" customHeight="1" x14ac:dyDescent="0.25">
      <c r="A513" s="6" t="s">
        <v>865</v>
      </c>
      <c r="B513" s="6" cm="1">
        <f t="array" ref="B513">alea_int(Settings!$B$10,1,Settings!$B$16)</f>
        <v>1</v>
      </c>
      <c r="C513" s="8">
        <v>46023</v>
      </c>
      <c r="D513" s="8">
        <f t="shared" si="29"/>
        <v>46387</v>
      </c>
      <c r="E513" s="6" t="str" cm="1">
        <f t="array" ref="E513">choice(Groupes!A:A,1,Settings!$B$16)</f>
        <v>G14</v>
      </c>
      <c r="F513" s="6" t="str">
        <f t="shared" si="30"/>
        <v>G14</v>
      </c>
      <c r="G513" s="6" t="str">
        <f t="shared" si="31"/>
        <v>Prof18</v>
      </c>
      <c r="H513" s="6" t="str" cm="1">
        <f t="array" ref="H513">choice(Referentiel!A:A,1,Settings!$B$16)</f>
        <v>Scénographie</v>
      </c>
      <c r="I513" s="6" t="str" cm="1">
        <f t="array" ref="I513">choice(Referentiel!B:B,1,Settings!$B$16)</f>
        <v>4ème année Image Imprimée S2</v>
      </c>
      <c r="J513" s="6" t="str" cm="1">
        <f t="array" ref="J513">choice(Referentiel!D:D,1,Settings!$B$16)</f>
        <v>L3</v>
      </c>
      <c r="K513" s="6" t="str" cm="1">
        <f t="array" ref="K513">choice(Professeurs!B:B,1,Settings!$B$16)</f>
        <v>Prof18</v>
      </c>
      <c r="L513" s="5" t="str" cm="1">
        <f t="array" ref="L513">choice(Referentiel!C:C,1,Settings!$B$16)</f>
        <v/>
      </c>
      <c r="M513" s="5" t="str" cm="1">
        <f t="array" ref="M513">choice(Referentiel!E:E,1,Settings!$B$16)</f>
        <v/>
      </c>
      <c r="N513" s="5" t="str" cm="1">
        <f t="array" ref="N513">choice(Settings!K:K,1,Settings!$B$16)</f>
        <v>mercredi ap</v>
      </c>
      <c r="P513" s="5">
        <f t="shared" si="32"/>
        <v>3</v>
      </c>
    </row>
    <row r="514" spans="1:16" ht="15.75" customHeight="1" x14ac:dyDescent="0.25">
      <c r="A514" s="6" t="s">
        <v>866</v>
      </c>
      <c r="B514" s="6" cm="1">
        <f t="array" ref="B514">alea_int(Settings!$B$10,1,Settings!$B$16)</f>
        <v>3</v>
      </c>
      <c r="C514" s="8">
        <v>46023</v>
      </c>
      <c r="D514" s="8">
        <f t="shared" si="29"/>
        <v>46387</v>
      </c>
      <c r="E514" s="6" t="str" cm="1">
        <f t="array" ref="E514">choice(Groupes!A:A,1,Settings!$B$16)</f>
        <v>G8</v>
      </c>
      <c r="F514" s="6" t="str">
        <f t="shared" si="30"/>
        <v>G8</v>
      </c>
      <c r="G514" s="6" t="str">
        <f t="shared" si="31"/>
        <v>Prof17</v>
      </c>
      <c r="H514" s="6" t="str" cm="1">
        <f t="array" ref="H514">choice(Referentiel!A:A,1,Settings!$B$16)</f>
        <v>1ère année Groupe 3</v>
      </c>
      <c r="I514" s="6" t="str" cm="1">
        <f t="array" ref="I514">choice(Referentiel!B:B,1,Settings!$B$16)</f>
        <v>4ème année Cinéma d'Animation S2</v>
      </c>
      <c r="J514" s="6" t="str" cm="1">
        <f t="array" ref="J514">choice(Referentiel!D:D,1,Settings!$B$16)</f>
        <v>M1</v>
      </c>
      <c r="K514" s="6" t="str" cm="1">
        <f t="array" ref="K514">choice(Professeurs!B:B,1,Settings!$B$16)</f>
        <v>Prof17</v>
      </c>
      <c r="L514" s="5" t="str" cm="1">
        <f t="array" ref="L514">choice(Referentiel!C:C,1,Settings!$B$16)</f>
        <v/>
      </c>
      <c r="M514" s="5" t="str" cm="1">
        <f t="array" ref="M514">choice(Referentiel!E:E,1,Settings!$B$16)</f>
        <v/>
      </c>
      <c r="N514" s="5" t="str" cm="1">
        <f t="array" ref="N514">choice(Settings!K:K,1,Settings!$B$16)</f>
        <v>mercredi ap</v>
      </c>
      <c r="P514" s="5">
        <f t="shared" si="32"/>
        <v>5</v>
      </c>
    </row>
    <row r="515" spans="1:16" ht="15.75" customHeight="1" x14ac:dyDescent="0.25">
      <c r="A515" s="6" t="s">
        <v>867</v>
      </c>
      <c r="B515" s="6" cm="1">
        <f t="array" ref="B515">alea_int(Settings!$B$10,1,Settings!$B$16)</f>
        <v>1</v>
      </c>
      <c r="C515" s="8">
        <v>46023</v>
      </c>
      <c r="D515" s="8">
        <f t="shared" ref="D515:D578" si="33">C515+364</f>
        <v>46387</v>
      </c>
      <c r="E515" s="6" t="str" cm="1">
        <f t="array" ref="E515">choice(Groupes!A:A,1,Settings!$B$16)</f>
        <v>G17</v>
      </c>
      <c r="F515" s="6" t="str">
        <f t="shared" ref="F515:F578" si="34">E515</f>
        <v>G17</v>
      </c>
      <c r="G515" s="6" t="str">
        <f t="shared" ref="G515:G578" si="35">K515</f>
        <v>Prof16</v>
      </c>
      <c r="H515" s="6" t="str" cm="1">
        <f t="array" ref="H515">choice(Referentiel!A:A,1,Settings!$B$16)</f>
        <v>Design Graphique</v>
      </c>
      <c r="I515" s="6" t="str" cm="1">
        <f t="array" ref="I515">choice(Referentiel!B:B,1,Settings!$B$16)</f>
        <v>5ème année Architecture Intérieure S2</v>
      </c>
      <c r="J515" s="6" t="str" cm="1">
        <f t="array" ref="J515">choice(Referentiel!D:D,1,Settings!$B$16)</f>
        <v>M2</v>
      </c>
      <c r="K515" s="6" t="str" cm="1">
        <f t="array" ref="K515">choice(Professeurs!B:B,1,Settings!$B$16)</f>
        <v>Prof16</v>
      </c>
      <c r="L515" s="5" t="str" cm="1">
        <f t="array" ref="L515">choice(Referentiel!C:C,1,Settings!$B$16)</f>
        <v/>
      </c>
      <c r="M515" s="5" t="str" cm="1">
        <f t="array" ref="M515">choice(Referentiel!E:E,1,Settings!$B$16)</f>
        <v/>
      </c>
      <c r="N515" s="5" t="str" cm="1">
        <f t="array" ref="N515">choice(Settings!K:K,1,Settings!$B$16)</f>
        <v/>
      </c>
      <c r="P515" s="5">
        <f t="shared" ref="P515:P578" si="36">B515+IF(M515&lt;&gt;"",2,0)+IF(N515&lt;&gt;"",2,0)</f>
        <v>1</v>
      </c>
    </row>
    <row r="516" spans="1:16" ht="15.75" customHeight="1" x14ac:dyDescent="0.25">
      <c r="A516" s="6" t="s">
        <v>868</v>
      </c>
      <c r="B516" s="6" cm="1">
        <f t="array" ref="B516">alea_int(Settings!$B$10,1,Settings!$B$16)</f>
        <v>3</v>
      </c>
      <c r="C516" s="8">
        <v>46023</v>
      </c>
      <c r="D516" s="8">
        <f t="shared" si="33"/>
        <v>46387</v>
      </c>
      <c r="E516" s="6" t="str" cm="1">
        <f t="array" ref="E516">choice(Groupes!A:A,1,Settings!$B$16)</f>
        <v>G29</v>
      </c>
      <c r="F516" s="6" t="str">
        <f t="shared" si="34"/>
        <v>G29</v>
      </c>
      <c r="G516" s="6" t="str">
        <f t="shared" si="35"/>
        <v>Prof13</v>
      </c>
      <c r="H516" s="6" t="str" cm="1">
        <f t="array" ref="H516">choice(Referentiel!A:A,1,Settings!$B$16)</f>
        <v>Design des mondes forestiers</v>
      </c>
      <c r="I516" s="6" t="str" cm="1">
        <f t="array" ref="I516">choice(Referentiel!B:B,1,Settings!$B$16)</f>
        <v>4ème année Design Textile et Matière S1</v>
      </c>
      <c r="J516" s="6" t="str" cm="1">
        <f t="array" ref="J516">choice(Referentiel!D:D,1,Settings!$B$16)</f>
        <v>L2</v>
      </c>
      <c r="K516" s="6" t="str" cm="1">
        <f t="array" ref="K516">choice(Professeurs!B:B,1,Settings!$B$16)</f>
        <v>Prof13</v>
      </c>
      <c r="L516" s="5" t="str" cm="1">
        <f t="array" ref="L516">choice(Referentiel!C:C,1,Settings!$B$16)</f>
        <v/>
      </c>
      <c r="M516" s="5" t="str" cm="1">
        <f t="array" ref="M516">choice(Referentiel!E:E,1,Settings!$B$16)</f>
        <v/>
      </c>
      <c r="N516" s="5" t="str" cm="1">
        <f t="array" ref="N516">choice(Settings!K:K,1,Settings!$B$16)</f>
        <v/>
      </c>
      <c r="P516" s="5">
        <f t="shared" si="36"/>
        <v>3</v>
      </c>
    </row>
    <row r="517" spans="1:16" ht="15.75" customHeight="1" x14ac:dyDescent="0.25">
      <c r="A517" s="6" t="s">
        <v>869</v>
      </c>
      <c r="B517" s="6" cm="1">
        <f t="array" ref="B517">alea_int(Settings!$B$10,1,Settings!$B$16)</f>
        <v>1</v>
      </c>
      <c r="C517" s="8">
        <v>46023</v>
      </c>
      <c r="D517" s="8">
        <f t="shared" si="33"/>
        <v>46387</v>
      </c>
      <c r="E517" s="6" t="str" cm="1">
        <f t="array" ref="E517">choice(Groupes!A:A,1,Settings!$B$16)</f>
        <v>G2</v>
      </c>
      <c r="F517" s="6" t="str">
        <f t="shared" si="34"/>
        <v>G2</v>
      </c>
      <c r="G517" s="6" t="str">
        <f t="shared" si="35"/>
        <v>Prof26</v>
      </c>
      <c r="H517" s="6" t="str" cm="1">
        <f t="array" ref="H517">choice(Referentiel!A:A,1,Settings!$B$16)</f>
        <v>1ère année Groupe 1</v>
      </c>
      <c r="I517" s="6" t="str" cm="1">
        <f t="array" ref="I517">choice(Referentiel!B:B,1,Settings!$B$16)</f>
        <v>2ème année Art-Espace S2</v>
      </c>
      <c r="J517" s="6" t="str" cm="1">
        <f t="array" ref="J517">choice(Referentiel!D:D,1,Settings!$B$16)</f>
        <v>L3</v>
      </c>
      <c r="K517" s="6" t="str" cm="1">
        <f t="array" ref="K517">choice(Professeurs!B:B,1,Settings!$B$16)</f>
        <v>Prof26</v>
      </c>
      <c r="L517" s="5" t="str" cm="1">
        <f t="array" ref="L517">choice(Referentiel!C:C,1,Settings!$B$16)</f>
        <v/>
      </c>
      <c r="M517" s="5" t="str" cm="1">
        <f t="array" ref="M517">choice(Referentiel!E:E,1,Settings!$B$16)</f>
        <v/>
      </c>
      <c r="N517" s="5" t="str" cm="1">
        <f t="array" ref="N517">choice(Settings!K:K,1,Settings!$B$16)</f>
        <v>lundi pm</v>
      </c>
      <c r="P517" s="5">
        <f t="shared" si="36"/>
        <v>3</v>
      </c>
    </row>
    <row r="518" spans="1:16" ht="15.75" customHeight="1" x14ac:dyDescent="0.25">
      <c r="A518" s="6" t="s">
        <v>870</v>
      </c>
      <c r="B518" s="6" cm="1">
        <f t="array" ref="B518">alea_int(Settings!$B$10,1,Settings!$B$16)</f>
        <v>1</v>
      </c>
      <c r="C518" s="8">
        <v>46023</v>
      </c>
      <c r="D518" s="8">
        <f t="shared" si="33"/>
        <v>46387</v>
      </c>
      <c r="E518" s="6" t="str" cm="1">
        <f t="array" ref="E518">choice(Groupes!A:A,1,Settings!$B$16)</f>
        <v>G10</v>
      </c>
      <c r="F518" s="6" t="str">
        <f t="shared" si="34"/>
        <v>G10</v>
      </c>
      <c r="G518" s="6" t="str">
        <f t="shared" si="35"/>
        <v>Prof31</v>
      </c>
      <c r="H518" s="6" t="str" cm="1">
        <f t="array" ref="H518">choice(Referentiel!A:A,1,Settings!$B$16)</f>
        <v>Design Graphique</v>
      </c>
      <c r="I518" s="6" t="str" cm="1">
        <f t="array" ref="I518">choice(Referentiel!B:B,1,Settings!$B$16)</f>
        <v>2ème année Cinéma d'Animation S1</v>
      </c>
      <c r="J518" s="6" t="str" cm="1">
        <f t="array" ref="J518">choice(Referentiel!D:D,1,Settings!$B$16)</f>
        <v>M2</v>
      </c>
      <c r="K518" s="6" t="str" cm="1">
        <f t="array" ref="K518">choice(Professeurs!B:B,1,Settings!$B$16)</f>
        <v>Prof31</v>
      </c>
      <c r="L518" s="5" t="str" cm="1">
        <f t="array" ref="L518">choice(Referentiel!C:C,1,Settings!$B$16)</f>
        <v/>
      </c>
      <c r="M518" s="5" t="str" cm="1">
        <f t="array" ref="M518">choice(Referentiel!E:E,1,Settings!$B$16)</f>
        <v/>
      </c>
      <c r="N518" s="5" t="str" cm="1">
        <f t="array" ref="N518">choice(Settings!K:K,1,Settings!$B$16)</f>
        <v/>
      </c>
      <c r="P518" s="5">
        <f t="shared" si="36"/>
        <v>1</v>
      </c>
    </row>
    <row r="519" spans="1:16" ht="15.75" customHeight="1" x14ac:dyDescent="0.25">
      <c r="A519" s="6" t="s">
        <v>871</v>
      </c>
      <c r="B519" s="6" cm="1">
        <f t="array" ref="B519">alea_int(Settings!$B$10,1,Settings!$B$16)</f>
        <v>3</v>
      </c>
      <c r="C519" s="8">
        <v>46023</v>
      </c>
      <c r="D519" s="8">
        <f t="shared" si="33"/>
        <v>46387</v>
      </c>
      <c r="E519" s="6" t="str" cm="1">
        <f t="array" ref="E519">choice(Groupes!A:A,1,Settings!$B$16)</f>
        <v>G13</v>
      </c>
      <c r="F519" s="6" t="str">
        <f t="shared" si="34"/>
        <v>G13</v>
      </c>
      <c r="G519" s="6" t="str">
        <f t="shared" si="35"/>
        <v>Prof3</v>
      </c>
      <c r="H519" s="6" t="str" cm="1">
        <f t="array" ref="H519">choice(Referentiel!A:A,1,Settings!$B$16)</f>
        <v>Gr SPATIAL MEDIA</v>
      </c>
      <c r="I519" s="6" t="str" cm="1">
        <f t="array" ref="I519">choice(Referentiel!B:B,1,Settings!$B$16)</f>
        <v>4ème année Design Textile et Matière S1</v>
      </c>
      <c r="J519" s="6" t="str" cm="1">
        <f t="array" ref="J519">choice(Referentiel!D:D,1,Settings!$B$16)</f>
        <v>L1</v>
      </c>
      <c r="K519" s="6" t="str" cm="1">
        <f t="array" ref="K519">choice(Professeurs!B:B,1,Settings!$B$16)</f>
        <v>Prof3</v>
      </c>
      <c r="L519" s="5" t="str" cm="1">
        <f t="array" ref="L519">choice(Referentiel!C:C,1,Settings!$B$16)</f>
        <v/>
      </c>
      <c r="M519" s="5" t="str" cm="1">
        <f t="array" ref="M519">choice(Referentiel!E:E,1,Settings!$B$16)</f>
        <v/>
      </c>
      <c r="N519" s="5" t="str" cm="1">
        <f t="array" ref="N519">choice(Settings!K:K,1,Settings!$B$16)</f>
        <v>lundi pm</v>
      </c>
      <c r="P519" s="5">
        <f t="shared" si="36"/>
        <v>5</v>
      </c>
    </row>
    <row r="520" spans="1:16" ht="15.75" customHeight="1" x14ac:dyDescent="0.25">
      <c r="A520" s="6" t="s">
        <v>872</v>
      </c>
      <c r="B520" s="6" cm="1">
        <f t="array" ref="B520">alea_int(Settings!$B$10,1,Settings!$B$16)</f>
        <v>2</v>
      </c>
      <c r="C520" s="8">
        <v>46023</v>
      </c>
      <c r="D520" s="8">
        <f t="shared" si="33"/>
        <v>46387</v>
      </c>
      <c r="E520" s="6" t="str" cm="1">
        <f t="array" ref="E520">choice(Groupes!A:A,1,Settings!$B$16)</f>
        <v>G7</v>
      </c>
      <c r="F520" s="6" t="str">
        <f t="shared" si="34"/>
        <v>G7</v>
      </c>
      <c r="G520" s="6" t="str">
        <f t="shared" si="35"/>
        <v>Prof12</v>
      </c>
      <c r="H520" s="6" t="str" cm="1">
        <f t="array" ref="H520">choice(Referentiel!A:A,1,Settings!$B$16)</f>
        <v>Gr SYMBIOSE</v>
      </c>
      <c r="I520" s="6" t="str" cm="1">
        <f t="array" ref="I520">choice(Referentiel!B:B,1,Settings!$B$16)</f>
        <v>3ème année Design Objet S2</v>
      </c>
      <c r="J520" s="6" t="str" cm="1">
        <f t="array" ref="J520">choice(Referentiel!D:D,1,Settings!$B$16)</f>
        <v>L2</v>
      </c>
      <c r="K520" s="6" t="str" cm="1">
        <f t="array" ref="K520">choice(Professeurs!B:B,1,Settings!$B$16)</f>
        <v>Prof12</v>
      </c>
      <c r="L520" s="5" t="str" cm="1">
        <f t="array" ref="L520">choice(Referentiel!C:C,1,Settings!$B$16)</f>
        <v/>
      </c>
      <c r="M520" s="5" t="str" cm="1">
        <f t="array" ref="M520">choice(Referentiel!E:E,1,Settings!$B$16)</f>
        <v/>
      </c>
      <c r="N520" s="5" t="str" cm="1">
        <f t="array" ref="N520">choice(Settings!K:K,1,Settings!$B$16)</f>
        <v/>
      </c>
      <c r="P520" s="5">
        <f t="shared" si="36"/>
        <v>2</v>
      </c>
    </row>
    <row r="521" spans="1:16" ht="15.75" customHeight="1" x14ac:dyDescent="0.25">
      <c r="A521" s="6" t="s">
        <v>873</v>
      </c>
      <c r="B521" s="6" cm="1">
        <f t="array" ref="B521">alea_int(Settings!$B$10,1,Settings!$B$16)</f>
        <v>3</v>
      </c>
      <c r="C521" s="8">
        <v>46023</v>
      </c>
      <c r="D521" s="8">
        <f t="shared" si="33"/>
        <v>46387</v>
      </c>
      <c r="E521" s="6" t="str" cm="1">
        <f t="array" ref="E521">choice(Groupes!A:A,1,Settings!$B$16)</f>
        <v>G1</v>
      </c>
      <c r="F521" s="6" t="str">
        <f t="shared" si="34"/>
        <v>G1</v>
      </c>
      <c r="G521" s="6" t="str">
        <f t="shared" si="35"/>
        <v>Prof46</v>
      </c>
      <c r="H521" s="6" t="str" cm="1">
        <f t="array" ref="H521">choice(Referentiel!A:A,1,Settings!$B$16)</f>
        <v>Design des mondes insulaires</v>
      </c>
      <c r="I521" s="6" t="str" cm="1">
        <f t="array" ref="I521">choice(Referentiel!B:B,1,Settings!$B$16)</f>
        <v>2ème année Photo / Vidéo S2</v>
      </c>
      <c r="J521" s="6" t="str" cm="1">
        <f t="array" ref="J521">choice(Referentiel!D:D,1,Settings!$B$16)</f>
        <v>L2</v>
      </c>
      <c r="K521" s="6" t="str" cm="1">
        <f t="array" ref="K521">choice(Professeurs!B:B,1,Settings!$B$16)</f>
        <v>Prof46</v>
      </c>
      <c r="L521" s="5" t="str" cm="1">
        <f t="array" ref="L521">choice(Referentiel!C:C,1,Settings!$B$16)</f>
        <v/>
      </c>
      <c r="M521" s="5" t="str" cm="1">
        <f t="array" ref="M521">choice(Referentiel!E:E,1,Settings!$B$16)</f>
        <v/>
      </c>
      <c r="N521" s="5" t="str" cm="1">
        <f t="array" ref="N521">choice(Settings!K:K,1,Settings!$B$16)</f>
        <v/>
      </c>
      <c r="P521" s="5">
        <f t="shared" si="36"/>
        <v>3</v>
      </c>
    </row>
    <row r="522" spans="1:16" ht="15.75" customHeight="1" x14ac:dyDescent="0.25">
      <c r="A522" s="6" t="s">
        <v>874</v>
      </c>
      <c r="B522" s="6" cm="1">
        <f t="array" ref="B522">alea_int(Settings!$B$10,1,Settings!$B$16)</f>
        <v>2</v>
      </c>
      <c r="C522" s="8">
        <v>46023</v>
      </c>
      <c r="D522" s="8">
        <f t="shared" si="33"/>
        <v>46387</v>
      </c>
      <c r="E522" s="6" t="str" cm="1">
        <f t="array" ref="E522">choice(Groupes!A:A,1,Settings!$B$16)</f>
        <v>G29</v>
      </c>
      <c r="F522" s="6" t="str">
        <f t="shared" si="34"/>
        <v>G29</v>
      </c>
      <c r="G522" s="6" t="str">
        <f t="shared" si="35"/>
        <v>Prof11</v>
      </c>
      <c r="H522" s="6" t="str" cm="1">
        <f t="array" ref="H522">choice(Referentiel!A:A,1,Settings!$B$16)</f>
        <v>Architecture Intérieure</v>
      </c>
      <c r="I522" s="6" t="str" cm="1">
        <f t="array" ref="I522">choice(Referentiel!B:B,1,Settings!$B$16)</f>
        <v>2ème année Design Objet S2</v>
      </c>
      <c r="J522" s="6" t="str" cm="1">
        <f t="array" ref="J522">choice(Referentiel!D:D,1,Settings!$B$16)</f>
        <v>L2</v>
      </c>
      <c r="K522" s="6" t="str" cm="1">
        <f t="array" ref="K522">choice(Professeurs!B:B,1,Settings!$B$16)</f>
        <v>Prof11</v>
      </c>
      <c r="L522" s="5" t="str" cm="1">
        <f t="array" ref="L522">choice(Referentiel!C:C,1,Settings!$B$16)</f>
        <v/>
      </c>
      <c r="M522" s="5" t="str" cm="1">
        <f t="array" ref="M522">choice(Referentiel!E:E,1,Settings!$B$16)</f>
        <v/>
      </c>
      <c r="N522" s="5" t="str" cm="1">
        <f t="array" ref="N522">choice(Settings!K:K,1,Settings!$B$16)</f>
        <v/>
      </c>
      <c r="P522" s="5">
        <f t="shared" si="36"/>
        <v>2</v>
      </c>
    </row>
    <row r="523" spans="1:16" ht="15.75" customHeight="1" x14ac:dyDescent="0.25">
      <c r="A523" s="6" t="s">
        <v>875</v>
      </c>
      <c r="B523" s="6" cm="1">
        <f t="array" ref="B523">alea_int(Settings!$B$10,1,Settings!$B$16)</f>
        <v>2</v>
      </c>
      <c r="C523" s="8">
        <v>46023</v>
      </c>
      <c r="D523" s="8">
        <f t="shared" si="33"/>
        <v>46387</v>
      </c>
      <c r="E523" s="6" t="str" cm="1">
        <f t="array" ref="E523">choice(Groupes!A:A,1,Settings!$B$16)</f>
        <v>G3</v>
      </c>
      <c r="F523" s="6" t="str">
        <f t="shared" si="34"/>
        <v>G3</v>
      </c>
      <c r="G523" s="6" t="str">
        <f t="shared" si="35"/>
        <v>Prof34</v>
      </c>
      <c r="H523" s="6" t="str" cm="1">
        <f t="array" ref="H523">choice(Referentiel!A:A,1,Settings!$B$16)</f>
        <v>Gr SOFT MATTERS</v>
      </c>
      <c r="I523" s="6" t="str" cm="1">
        <f t="array" ref="I523">choice(Referentiel!B:B,1,Settings!$B$16)</f>
        <v>3ème année Cinéma d'Animation S2</v>
      </c>
      <c r="J523" s="6" t="str" cm="1">
        <f t="array" ref="J523">choice(Referentiel!D:D,1,Settings!$B$16)</f>
        <v>L1</v>
      </c>
      <c r="K523" s="6" t="str" cm="1">
        <f t="array" ref="K523">choice(Professeurs!B:B,1,Settings!$B$16)</f>
        <v>Prof34</v>
      </c>
      <c r="L523" s="5" t="str" cm="1">
        <f t="array" ref="L523">choice(Referentiel!C:C,1,Settings!$B$16)</f>
        <v>projecteur</v>
      </c>
      <c r="M523" s="5" t="str" cm="1">
        <f t="array" ref="M523">choice(Referentiel!E:E,1,Settings!$B$16)</f>
        <v/>
      </c>
      <c r="N523" s="5" t="str" cm="1">
        <f t="array" ref="N523">choice(Settings!K:K,1,Settings!$B$16)</f>
        <v/>
      </c>
      <c r="P523" s="5">
        <f t="shared" si="36"/>
        <v>2</v>
      </c>
    </row>
    <row r="524" spans="1:16" ht="15.75" customHeight="1" x14ac:dyDescent="0.25">
      <c r="A524" s="6" t="s">
        <v>876</v>
      </c>
      <c r="B524" s="6" cm="1">
        <f t="array" ref="B524">alea_int(Settings!$B$10,1,Settings!$B$16)</f>
        <v>2</v>
      </c>
      <c r="C524" s="8">
        <v>46023</v>
      </c>
      <c r="D524" s="8">
        <f t="shared" si="33"/>
        <v>46387</v>
      </c>
      <c r="E524" s="6" t="str" cm="1">
        <f t="array" ref="E524">choice(Groupes!A:A,1,Settings!$B$16)</f>
        <v>G4</v>
      </c>
      <c r="F524" s="6" t="str">
        <f t="shared" si="34"/>
        <v>G4</v>
      </c>
      <c r="G524" s="6" t="str">
        <f t="shared" si="35"/>
        <v>Prof24</v>
      </c>
      <c r="H524" s="6" t="str" cm="1">
        <f t="array" ref="H524">choice(Referentiel!A:A,1,Settings!$B$16)</f>
        <v>Photo / Vidéo</v>
      </c>
      <c r="I524" s="6" t="str" cm="1">
        <f t="array" ref="I524">choice(Referentiel!B:B,1,Settings!$B$16)</f>
        <v>3ème année Design Vêtement S2</v>
      </c>
      <c r="J524" s="6" t="str" cm="1">
        <f t="array" ref="J524">choice(Referentiel!D:D,1,Settings!$B$16)</f>
        <v>L3</v>
      </c>
      <c r="K524" s="6" t="str" cm="1">
        <f t="array" ref="K524">choice(Professeurs!B:B,1,Settings!$B$16)</f>
        <v>Prof24</v>
      </c>
      <c r="L524" s="5" t="str" cm="1">
        <f t="array" ref="L524">choice(Referentiel!C:C,1,Settings!$B$16)</f>
        <v/>
      </c>
      <c r="M524" s="5" t="str" cm="1">
        <f t="array" ref="M524">choice(Referentiel!E:E,1,Settings!$B$16)</f>
        <v/>
      </c>
      <c r="N524" s="5" t="str" cm="1">
        <f t="array" ref="N524">choice(Settings!K:K,1,Settings!$B$16)</f>
        <v/>
      </c>
      <c r="P524" s="5">
        <f t="shared" si="36"/>
        <v>2</v>
      </c>
    </row>
    <row r="525" spans="1:16" ht="15.75" customHeight="1" x14ac:dyDescent="0.25">
      <c r="A525" s="6" t="s">
        <v>877</v>
      </c>
      <c r="B525" s="6" cm="1">
        <f t="array" ref="B525">alea_int(Settings!$B$10,1,Settings!$B$16)</f>
        <v>3</v>
      </c>
      <c r="C525" s="8">
        <v>46023</v>
      </c>
      <c r="D525" s="8">
        <f t="shared" si="33"/>
        <v>46387</v>
      </c>
      <c r="E525" s="6" t="str" cm="1">
        <f t="array" ref="E525">choice(Groupes!A:A,1,Settings!$B$16)</f>
        <v>G3</v>
      </c>
      <c r="F525" s="6" t="str">
        <f t="shared" si="34"/>
        <v>G3</v>
      </c>
      <c r="G525" s="6" t="str">
        <f t="shared" si="35"/>
        <v>Prof20</v>
      </c>
      <c r="H525" s="6" t="str" cm="1">
        <f t="array" ref="H525">choice(Referentiel!A:A,1,Settings!$B$16)</f>
        <v>Gr REFLECTIVE INTERACTION</v>
      </c>
      <c r="I525" s="6" t="str" cm="1">
        <f t="array" ref="I525">choice(Referentiel!B:B,1,Settings!$B$16)</f>
        <v>3ème année Design Objet S1</v>
      </c>
      <c r="J525" s="6" t="str" cm="1">
        <f t="array" ref="J525">choice(Referentiel!D:D,1,Settings!$B$16)</f>
        <v>L2</v>
      </c>
      <c r="K525" s="6" t="str" cm="1">
        <f t="array" ref="K525">choice(Professeurs!B:B,1,Settings!$B$16)</f>
        <v>Prof20</v>
      </c>
      <c r="L525" s="5" t="str" cm="1">
        <f t="array" ref="L525">choice(Referentiel!C:C,1,Settings!$B$16)</f>
        <v/>
      </c>
      <c r="M525" s="5" t="str" cm="1">
        <f t="array" ref="M525">choice(Referentiel!E:E,1,Settings!$B$16)</f>
        <v/>
      </c>
      <c r="N525" s="5" t="str" cm="1">
        <f t="array" ref="N525">choice(Settings!K:K,1,Settings!$B$16)</f>
        <v/>
      </c>
      <c r="P525" s="5">
        <f t="shared" si="36"/>
        <v>3</v>
      </c>
    </row>
    <row r="526" spans="1:16" ht="15.75" customHeight="1" x14ac:dyDescent="0.25">
      <c r="A526" s="6" t="s">
        <v>878</v>
      </c>
      <c r="B526" s="6" cm="1">
        <f t="array" ref="B526">alea_int(Settings!$B$10,1,Settings!$B$16)</f>
        <v>3</v>
      </c>
      <c r="C526" s="8">
        <v>46023</v>
      </c>
      <c r="D526" s="8">
        <f t="shared" si="33"/>
        <v>46387</v>
      </c>
      <c r="E526" s="6" t="str" cm="1">
        <f t="array" ref="E526">choice(Groupes!A:A,1,Settings!$B$16)</f>
        <v>G1</v>
      </c>
      <c r="F526" s="6" t="str">
        <f t="shared" si="34"/>
        <v>G1</v>
      </c>
      <c r="G526" s="6" t="str">
        <f t="shared" si="35"/>
        <v>Prof47</v>
      </c>
      <c r="H526" s="6" t="str" cm="1">
        <f t="array" ref="H526">choice(Referentiel!A:A,1,Settings!$B$16)</f>
        <v>Design Textile et Matière</v>
      </c>
      <c r="I526" s="6" t="str" cm="1">
        <f t="array" ref="I526">choice(Referentiel!B:B,1,Settings!$B$16)</f>
        <v>5ème année Image Imprimée S1</v>
      </c>
      <c r="J526" s="6" t="str" cm="1">
        <f t="array" ref="J526">choice(Referentiel!D:D,1,Settings!$B$16)</f>
        <v>L2</v>
      </c>
      <c r="K526" s="6" t="str" cm="1">
        <f t="array" ref="K526">choice(Professeurs!B:B,1,Settings!$B$16)</f>
        <v>Prof47</v>
      </c>
      <c r="L526" s="5" t="str" cm="1">
        <f t="array" ref="L526">choice(Referentiel!C:C,1,Settings!$B$16)</f>
        <v/>
      </c>
      <c r="M526" s="5" t="str" cm="1">
        <f t="array" ref="M526">choice(Referentiel!E:E,1,Settings!$B$16)</f>
        <v/>
      </c>
      <c r="N526" s="5" t="str" cm="1">
        <f t="array" ref="N526">choice(Settings!K:K,1,Settings!$B$16)</f>
        <v/>
      </c>
      <c r="P526" s="5">
        <f t="shared" si="36"/>
        <v>3</v>
      </c>
    </row>
    <row r="527" spans="1:16" ht="15.75" customHeight="1" x14ac:dyDescent="0.25">
      <c r="A527" s="6" t="s">
        <v>879</v>
      </c>
      <c r="B527" s="6" cm="1">
        <f t="array" ref="B527">alea_int(Settings!$B$10,1,Settings!$B$16)</f>
        <v>2</v>
      </c>
      <c r="C527" s="8">
        <v>46023</v>
      </c>
      <c r="D527" s="8">
        <f t="shared" si="33"/>
        <v>46387</v>
      </c>
      <c r="E527" s="6" t="str" cm="1">
        <f t="array" ref="E527">choice(Groupes!A:A,1,Settings!$B$16)</f>
        <v>G25</v>
      </c>
      <c r="F527" s="6" t="str">
        <f t="shared" si="34"/>
        <v>G25</v>
      </c>
      <c r="G527" s="6" t="str">
        <f t="shared" si="35"/>
        <v>Prof55</v>
      </c>
      <c r="H527" s="6" t="str" cm="1">
        <f t="array" ref="H527">choice(Referentiel!A:A,1,Settings!$B$16)</f>
        <v>6ème ANNÉE STAGE</v>
      </c>
      <c r="I527" s="6" t="str" cm="1">
        <f t="array" ref="I527">choice(Referentiel!B:B,1,Settings!$B$16)</f>
        <v>3ème année Art-Espace S2</v>
      </c>
      <c r="J527" s="6" t="str" cm="1">
        <f t="array" ref="J527">choice(Referentiel!D:D,1,Settings!$B$16)</f>
        <v>L2</v>
      </c>
      <c r="K527" s="6" t="str" cm="1">
        <f t="array" ref="K527">choice(Professeurs!B:B,1,Settings!$B$16)</f>
        <v>Prof55</v>
      </c>
      <c r="L527" s="5" t="str" cm="1">
        <f t="array" ref="L527">choice(Referentiel!C:C,1,Settings!$B$16)</f>
        <v/>
      </c>
      <c r="M527" s="5" t="str" cm="1">
        <f t="array" ref="M527">choice(Referentiel!E:E,1,Settings!$B$16)</f>
        <v/>
      </c>
      <c r="N527" s="5" t="str" cm="1">
        <f t="array" ref="N527">choice(Settings!K:K,1,Settings!$B$16)</f>
        <v/>
      </c>
      <c r="P527" s="5">
        <f t="shared" si="36"/>
        <v>2</v>
      </c>
    </row>
    <row r="528" spans="1:16" ht="15.75" customHeight="1" x14ac:dyDescent="0.25">
      <c r="A528" s="6" t="s">
        <v>880</v>
      </c>
      <c r="B528" s="6" cm="1">
        <f t="array" ref="B528">alea_int(Settings!$B$10,1,Settings!$B$16)</f>
        <v>1</v>
      </c>
      <c r="C528" s="8">
        <v>46023</v>
      </c>
      <c r="D528" s="8">
        <f t="shared" si="33"/>
        <v>46387</v>
      </c>
      <c r="E528" s="6" t="str" cm="1">
        <f t="array" ref="E528">choice(Groupes!A:A,1,Settings!$B$16)</f>
        <v>G1</v>
      </c>
      <c r="F528" s="6" t="str">
        <f t="shared" si="34"/>
        <v>G1</v>
      </c>
      <c r="G528" s="6" t="str">
        <f t="shared" si="35"/>
        <v>Prof33</v>
      </c>
      <c r="H528" s="6" t="str" cm="1">
        <f t="array" ref="H528">choice(Referentiel!A:A,1,Settings!$B$16)</f>
        <v>Image Imprimée</v>
      </c>
      <c r="I528" s="6" t="str" cm="1">
        <f t="array" ref="I528">choice(Referentiel!B:B,1,Settings!$B$16)</f>
        <v>2ème année Cinéma d'Animation S1</v>
      </c>
      <c r="J528" s="6" t="str" cm="1">
        <f t="array" ref="J528">choice(Referentiel!D:D,1,Settings!$B$16)</f>
        <v>M2</v>
      </c>
      <c r="K528" s="6" t="str" cm="1">
        <f t="array" ref="K528">choice(Professeurs!B:B,1,Settings!$B$16)</f>
        <v>Prof33</v>
      </c>
      <c r="L528" s="5" t="str" cm="1">
        <f t="array" ref="L528">choice(Referentiel!C:C,1,Settings!$B$16)</f>
        <v/>
      </c>
      <c r="M528" s="5" t="str" cm="1">
        <f t="array" ref="M528">choice(Referentiel!E:E,1,Settings!$B$16)</f>
        <v/>
      </c>
      <c r="N528" s="5" t="str" cm="1">
        <f t="array" ref="N528">choice(Settings!K:K,1,Settings!$B$16)</f>
        <v>jeudi am</v>
      </c>
      <c r="P528" s="5">
        <f t="shared" si="36"/>
        <v>3</v>
      </c>
    </row>
    <row r="529" spans="1:16" ht="15.75" customHeight="1" x14ac:dyDescent="0.25">
      <c r="A529" s="6" t="s">
        <v>881</v>
      </c>
      <c r="B529" s="6" cm="1">
        <f t="array" ref="B529">alea_int(Settings!$B$10,1,Settings!$B$16)</f>
        <v>2</v>
      </c>
      <c r="C529" s="8">
        <v>46023</v>
      </c>
      <c r="D529" s="8">
        <f t="shared" si="33"/>
        <v>46387</v>
      </c>
      <c r="E529" s="6" t="str" cm="1">
        <f t="array" ref="E529">choice(Groupes!A:A,1,Settings!$B$16)</f>
        <v>G1</v>
      </c>
      <c r="F529" s="6" t="str">
        <f t="shared" si="34"/>
        <v>G1</v>
      </c>
      <c r="G529" s="6" t="str">
        <f t="shared" si="35"/>
        <v>Prof24</v>
      </c>
      <c r="H529" s="6" t="str" cm="1">
        <f t="array" ref="H529">choice(Referentiel!A:A,1,Settings!$B$16)</f>
        <v>Design Textile et Matière</v>
      </c>
      <c r="I529" s="6" t="str" cm="1">
        <f t="array" ref="I529">choice(Referentiel!B:B,1,Settings!$B$16)</f>
        <v>2ème année Art-Espace S2</v>
      </c>
      <c r="J529" s="6" t="str" cm="1">
        <f t="array" ref="J529">choice(Referentiel!D:D,1,Settings!$B$16)</f>
        <v>L1</v>
      </c>
      <c r="K529" s="6" t="str" cm="1">
        <f t="array" ref="K529">choice(Professeurs!B:B,1,Settings!$B$16)</f>
        <v>Prof24</v>
      </c>
      <c r="L529" s="5" t="str" cm="1">
        <f t="array" ref="L529">choice(Referentiel!C:C,1,Settings!$B$16)</f>
        <v/>
      </c>
      <c r="M529" s="5" t="str" cm="1">
        <f t="array" ref="M529">choice(Referentiel!E:E,1,Settings!$B$16)</f>
        <v/>
      </c>
      <c r="N529" s="5" t="str" cm="1">
        <f t="array" ref="N529">choice(Settings!K:K,1,Settings!$B$16)</f>
        <v>semaine</v>
      </c>
      <c r="P529" s="5">
        <f t="shared" si="36"/>
        <v>4</v>
      </c>
    </row>
    <row r="530" spans="1:16" ht="15.75" customHeight="1" x14ac:dyDescent="0.25">
      <c r="A530" s="6" t="s">
        <v>882</v>
      </c>
      <c r="B530" s="6" cm="1">
        <f t="array" ref="B530">alea_int(Settings!$B$10,1,Settings!$B$16)</f>
        <v>3</v>
      </c>
      <c r="C530" s="8">
        <v>46023</v>
      </c>
      <c r="D530" s="8">
        <f t="shared" si="33"/>
        <v>46387</v>
      </c>
      <c r="E530" s="6" t="str" cm="1">
        <f t="array" ref="E530">choice(Groupes!A:A,1,Settings!$B$16)</f>
        <v>G21</v>
      </c>
      <c r="F530" s="6" t="str">
        <f t="shared" si="34"/>
        <v>G21</v>
      </c>
      <c r="G530" s="6" t="str">
        <f t="shared" si="35"/>
        <v>Prof14</v>
      </c>
      <c r="H530" s="6" t="str" cm="1">
        <f t="array" ref="H530">choice(Referentiel!A:A,1,Settings!$B$16)</f>
        <v>1ère année Groupe 2</v>
      </c>
      <c r="I530" s="6" t="str" cm="1">
        <f t="array" ref="I530">choice(Referentiel!B:B,1,Settings!$B$16)</f>
        <v>2ème année Cinéma d'Animation S2</v>
      </c>
      <c r="J530" s="6" t="str" cm="1">
        <f t="array" ref="J530">choice(Referentiel!D:D,1,Settings!$B$16)</f>
        <v>L2</v>
      </c>
      <c r="K530" s="6" t="str" cm="1">
        <f t="array" ref="K530">choice(Professeurs!B:B,1,Settings!$B$16)</f>
        <v>Prof14</v>
      </c>
      <c r="L530" s="5" t="str" cm="1">
        <f t="array" ref="L530">choice(Referentiel!C:C,1,Settings!$B$16)</f>
        <v/>
      </c>
      <c r="M530" s="5" t="str" cm="1">
        <f t="array" ref="M530">choice(Referentiel!E:E,1,Settings!$B$16)</f>
        <v/>
      </c>
      <c r="N530" s="5" t="str" cm="1">
        <f t="array" ref="N530">choice(Settings!K:K,1,Settings!$B$16)</f>
        <v/>
      </c>
      <c r="P530" s="5">
        <f t="shared" si="36"/>
        <v>3</v>
      </c>
    </row>
    <row r="531" spans="1:16" ht="15.75" customHeight="1" x14ac:dyDescent="0.25">
      <c r="A531" s="6" t="s">
        <v>883</v>
      </c>
      <c r="B531" s="6" cm="1">
        <f t="array" ref="B531">alea_int(Settings!$B$10,1,Settings!$B$16)</f>
        <v>2</v>
      </c>
      <c r="C531" s="8">
        <v>46023</v>
      </c>
      <c r="D531" s="8">
        <f t="shared" si="33"/>
        <v>46387</v>
      </c>
      <c r="E531" s="6" t="str" cm="1">
        <f t="array" ref="E531">choice(Groupes!A:A,1,Settings!$B$16)</f>
        <v>G1</v>
      </c>
      <c r="F531" s="6" t="str">
        <f t="shared" si="34"/>
        <v>G1</v>
      </c>
      <c r="G531" s="6" t="str">
        <f t="shared" si="35"/>
        <v>Prof50</v>
      </c>
      <c r="H531" s="6" t="str" cm="1">
        <f t="array" ref="H531">choice(Referentiel!A:A,1,Settings!$B$16)</f>
        <v>Gr ART, DESIGN, SOCIETE</v>
      </c>
      <c r="I531" s="6" t="str" cm="1">
        <f t="array" ref="I531">choice(Referentiel!B:B,1,Settings!$B$16)</f>
        <v>2ème année Design Graphique S2</v>
      </c>
      <c r="J531" s="6" t="str" cm="1">
        <f t="array" ref="J531">choice(Referentiel!D:D,1,Settings!$B$16)</f>
        <v>L3</v>
      </c>
      <c r="K531" s="6" t="str" cm="1">
        <f t="array" ref="K531">choice(Professeurs!B:B,1,Settings!$B$16)</f>
        <v>Prof50</v>
      </c>
      <c r="L531" s="5" t="str" cm="1">
        <f t="array" ref="L531">choice(Referentiel!C:C,1,Settings!$B$16)</f>
        <v/>
      </c>
      <c r="M531" s="5" t="str" cm="1">
        <f t="array" ref="M531">choice(Referentiel!E:E,1,Settings!$B$16)</f>
        <v>Salle4</v>
      </c>
      <c r="N531" s="5" t="str" cm="1">
        <f t="array" ref="N531">choice(Settings!K:K,1,Settings!$B$16)</f>
        <v/>
      </c>
      <c r="P531" s="5">
        <f t="shared" si="36"/>
        <v>4</v>
      </c>
    </row>
    <row r="532" spans="1:16" ht="15.75" customHeight="1" x14ac:dyDescent="0.25">
      <c r="A532" s="6" t="s">
        <v>884</v>
      </c>
      <c r="B532" s="6" cm="1">
        <f t="array" ref="B532">alea_int(Settings!$B$10,1,Settings!$B$16)</f>
        <v>3</v>
      </c>
      <c r="C532" s="8">
        <v>46023</v>
      </c>
      <c r="D532" s="8">
        <f t="shared" si="33"/>
        <v>46387</v>
      </c>
      <c r="E532" s="6" t="str" cm="1">
        <f t="array" ref="E532">choice(Groupes!A:A,1,Settings!$B$16)</f>
        <v>G5</v>
      </c>
      <c r="F532" s="6" t="str">
        <f t="shared" si="34"/>
        <v>G5</v>
      </c>
      <c r="G532" s="6" t="str">
        <f t="shared" si="35"/>
        <v>Prof41</v>
      </c>
      <c r="H532" s="6" t="str" cm="1">
        <f t="array" ref="H532">choice(Referentiel!A:A,1,Settings!$B$16)</f>
        <v>Scénographie</v>
      </c>
      <c r="I532" s="6" t="str" cm="1">
        <f t="array" ref="I532">choice(Referentiel!B:B,1,Settings!$B$16)</f>
        <v>2ème année Design Textile et Matière S1</v>
      </c>
      <c r="J532" s="6" t="str" cm="1">
        <f t="array" ref="J532">choice(Referentiel!D:D,1,Settings!$B$16)</f>
        <v>M1</v>
      </c>
      <c r="K532" s="6" t="str" cm="1">
        <f t="array" ref="K532">choice(Professeurs!B:B,1,Settings!$B$16)</f>
        <v>Prof41</v>
      </c>
      <c r="L532" s="5" t="str" cm="1">
        <f t="array" ref="L532">choice(Referentiel!C:C,1,Settings!$B$16)</f>
        <v/>
      </c>
      <c r="M532" s="5" t="str" cm="1">
        <f t="array" ref="M532">choice(Referentiel!E:E,1,Settings!$B$16)</f>
        <v/>
      </c>
      <c r="N532" s="5" t="str" cm="1">
        <f t="array" ref="N532">choice(Settings!K:K,1,Settings!$B$16)</f>
        <v/>
      </c>
      <c r="P532" s="5">
        <f t="shared" si="36"/>
        <v>3</v>
      </c>
    </row>
    <row r="533" spans="1:16" ht="15.75" customHeight="1" x14ac:dyDescent="0.25">
      <c r="A533" s="6" t="s">
        <v>885</v>
      </c>
      <c r="B533" s="6" cm="1">
        <f t="array" ref="B533">alea_int(Settings!$B$10,1,Settings!$B$16)</f>
        <v>1</v>
      </c>
      <c r="C533" s="8">
        <v>46023</v>
      </c>
      <c r="D533" s="8">
        <f t="shared" si="33"/>
        <v>46387</v>
      </c>
      <c r="E533" s="6" t="str" cm="1">
        <f t="array" ref="E533">choice(Groupes!A:A,1,Settings!$B$16)</f>
        <v>G19</v>
      </c>
      <c r="F533" s="6" t="str">
        <f t="shared" si="34"/>
        <v>G19</v>
      </c>
      <c r="G533" s="6" t="str">
        <f t="shared" si="35"/>
        <v>Prof3</v>
      </c>
      <c r="H533" s="6" t="str" cm="1">
        <f t="array" ref="H533">choice(Referentiel!A:A,1,Settings!$B$16)</f>
        <v>1ère année Groupe 1</v>
      </c>
      <c r="I533" s="6" t="str" cm="1">
        <f t="array" ref="I533">choice(Referentiel!B:B,1,Settings!$B$16)</f>
        <v>5ème année Design Textile et Matière S2</v>
      </c>
      <c r="J533" s="6" t="str" cm="1">
        <f t="array" ref="J533">choice(Referentiel!D:D,1,Settings!$B$16)</f>
        <v>L2</v>
      </c>
      <c r="K533" s="6" t="str" cm="1">
        <f t="array" ref="K533">choice(Professeurs!B:B,1,Settings!$B$16)</f>
        <v>Prof3</v>
      </c>
      <c r="L533" s="5" t="str" cm="1">
        <f t="array" ref="L533">choice(Referentiel!C:C,1,Settings!$B$16)</f>
        <v/>
      </c>
      <c r="M533" s="5" t="str" cm="1">
        <f t="array" ref="M533">choice(Referentiel!E:E,1,Settings!$B$16)</f>
        <v/>
      </c>
      <c r="N533" s="5" t="str" cm="1">
        <f t="array" ref="N533">choice(Settings!K:K,1,Settings!$B$16)</f>
        <v/>
      </c>
      <c r="P533" s="5">
        <f t="shared" si="36"/>
        <v>1</v>
      </c>
    </row>
    <row r="534" spans="1:16" ht="15.75" customHeight="1" x14ac:dyDescent="0.25">
      <c r="A534" s="6" t="s">
        <v>886</v>
      </c>
      <c r="B534" s="6" cm="1">
        <f t="array" ref="B534">alea_int(Settings!$B$10,1,Settings!$B$16)</f>
        <v>1</v>
      </c>
      <c r="C534" s="8">
        <v>46023</v>
      </c>
      <c r="D534" s="8">
        <f t="shared" si="33"/>
        <v>46387</v>
      </c>
      <c r="E534" s="6" t="str" cm="1">
        <f t="array" ref="E534">choice(Groupes!A:A,1,Settings!$B$16)</f>
        <v>G18</v>
      </c>
      <c r="F534" s="6" t="str">
        <f t="shared" si="34"/>
        <v>G18</v>
      </c>
      <c r="G534" s="6" t="str">
        <f t="shared" si="35"/>
        <v>Prof31</v>
      </c>
      <c r="H534" s="6" t="str" cm="1">
        <f t="array" ref="H534">choice(Referentiel!A:A,1,Settings!$B$16)</f>
        <v>1ère année Groupe 2</v>
      </c>
      <c r="I534" s="6" t="str" cm="1">
        <f t="array" ref="I534">choice(Referentiel!B:B,1,Settings!$B$16)</f>
        <v>5ème année Image Imprimée S1</v>
      </c>
      <c r="J534" s="6" t="str" cm="1">
        <f t="array" ref="J534">choice(Referentiel!D:D,1,Settings!$B$16)</f>
        <v>L3</v>
      </c>
      <c r="K534" s="6" t="str" cm="1">
        <f t="array" ref="K534">choice(Professeurs!B:B,1,Settings!$B$16)</f>
        <v>Prof31</v>
      </c>
      <c r="L534" s="5" t="str" cm="1">
        <f t="array" ref="L534">choice(Referentiel!C:C,1,Settings!$B$16)</f>
        <v/>
      </c>
      <c r="M534" s="5" t="str" cm="1">
        <f t="array" ref="M534">choice(Referentiel!E:E,1,Settings!$B$16)</f>
        <v/>
      </c>
      <c r="N534" s="5" t="str" cm="1">
        <f t="array" ref="N534">choice(Settings!K:K,1,Settings!$B$16)</f>
        <v>mercredi pm</v>
      </c>
      <c r="P534" s="5">
        <f t="shared" si="36"/>
        <v>3</v>
      </c>
    </row>
    <row r="535" spans="1:16" ht="15.75" customHeight="1" x14ac:dyDescent="0.25">
      <c r="A535" s="6" t="s">
        <v>887</v>
      </c>
      <c r="B535" s="6" cm="1">
        <f t="array" ref="B535">alea_int(Settings!$B$10,1,Settings!$B$16)</f>
        <v>2</v>
      </c>
      <c r="C535" s="8">
        <v>46023</v>
      </c>
      <c r="D535" s="8">
        <f t="shared" si="33"/>
        <v>46387</v>
      </c>
      <c r="E535" s="6" t="str" cm="1">
        <f t="array" ref="E535">choice(Groupes!A:A,1,Settings!$B$16)</f>
        <v>G19</v>
      </c>
      <c r="F535" s="6" t="str">
        <f t="shared" si="34"/>
        <v>G19</v>
      </c>
      <c r="G535" s="6" t="str">
        <f t="shared" si="35"/>
        <v>Prof5</v>
      </c>
      <c r="H535" s="6" t="str" cm="1">
        <f t="array" ref="H535">choice(Referentiel!A:A,1,Settings!$B$16)</f>
        <v>6ème ANNÉE STAGE</v>
      </c>
      <c r="I535" s="6" t="str" cm="1">
        <f t="array" ref="I535">choice(Referentiel!B:B,1,Settings!$B$16)</f>
        <v>2ème année Image Imprimée S2</v>
      </c>
      <c r="J535" s="6" t="str" cm="1">
        <f t="array" ref="J535">choice(Referentiel!D:D,1,Settings!$B$16)</f>
        <v>L2</v>
      </c>
      <c r="K535" s="6" t="str" cm="1">
        <f t="array" ref="K535">choice(Professeurs!B:B,1,Settings!$B$16)</f>
        <v>Prof5</v>
      </c>
      <c r="L535" s="5" t="str" cm="1">
        <f t="array" ref="L535">choice(Referentiel!C:C,1,Settings!$B$16)</f>
        <v/>
      </c>
      <c r="M535" s="5" t="str" cm="1">
        <f t="array" ref="M535">choice(Referentiel!E:E,1,Settings!$B$16)</f>
        <v/>
      </c>
      <c r="N535" s="5" t="str" cm="1">
        <f t="array" ref="N535">choice(Settings!K:K,1,Settings!$B$16)</f>
        <v/>
      </c>
      <c r="P535" s="5">
        <f t="shared" si="36"/>
        <v>2</v>
      </c>
    </row>
    <row r="536" spans="1:16" ht="15.75" customHeight="1" x14ac:dyDescent="0.25">
      <c r="A536" s="6" t="s">
        <v>888</v>
      </c>
      <c r="B536" s="6" cm="1">
        <f t="array" ref="B536">alea_int(Settings!$B$10,1,Settings!$B$16)</f>
        <v>2</v>
      </c>
      <c r="C536" s="8">
        <v>46023</v>
      </c>
      <c r="D536" s="8">
        <f t="shared" si="33"/>
        <v>46387</v>
      </c>
      <c r="E536" s="6" t="str" cm="1">
        <f t="array" ref="E536">choice(Groupes!A:A,1,Settings!$B$16)</f>
        <v>G15</v>
      </c>
      <c r="F536" s="6" t="str">
        <f t="shared" si="34"/>
        <v>G15</v>
      </c>
      <c r="G536" s="6" t="str">
        <f t="shared" si="35"/>
        <v>Prof26</v>
      </c>
      <c r="H536" s="6" t="str" cm="1">
        <f t="array" ref="H536">choice(Referentiel!A:A,1,Settings!$B$16)</f>
        <v>Gr TERRITOIRES</v>
      </c>
      <c r="I536" s="6" t="str" cm="1">
        <f t="array" ref="I536">choice(Referentiel!B:B,1,Settings!$B$16)</f>
        <v>2ème année Design Objet S1</v>
      </c>
      <c r="J536" s="6" t="str" cm="1">
        <f t="array" ref="J536">choice(Referentiel!D:D,1,Settings!$B$16)</f>
        <v>M2</v>
      </c>
      <c r="K536" s="6" t="str" cm="1">
        <f t="array" ref="K536">choice(Professeurs!B:B,1,Settings!$B$16)</f>
        <v>Prof26</v>
      </c>
      <c r="L536" s="5" t="str" cm="1">
        <f t="array" ref="L536">choice(Referentiel!C:C,1,Settings!$B$16)</f>
        <v/>
      </c>
      <c r="M536" s="5" t="str" cm="1">
        <f t="array" ref="M536">choice(Referentiel!E:E,1,Settings!$B$16)</f>
        <v/>
      </c>
      <c r="N536" s="5" t="str" cm="1">
        <f t="array" ref="N536">choice(Settings!K:K,1,Settings!$B$16)</f>
        <v/>
      </c>
      <c r="P536" s="5">
        <f t="shared" si="36"/>
        <v>2</v>
      </c>
    </row>
    <row r="537" spans="1:16" ht="15.75" customHeight="1" x14ac:dyDescent="0.25">
      <c r="A537" s="6" t="s">
        <v>889</v>
      </c>
      <c r="B537" s="6" cm="1">
        <f t="array" ref="B537">alea_int(Settings!$B$10,1,Settings!$B$16)</f>
        <v>3</v>
      </c>
      <c r="C537" s="8">
        <v>46023</v>
      </c>
      <c r="D537" s="8">
        <f t="shared" si="33"/>
        <v>46387</v>
      </c>
      <c r="E537" s="6" t="str" cm="1">
        <f t="array" ref="E537">choice(Groupes!A:A,1,Settings!$B$16)</f>
        <v>G20</v>
      </c>
      <c r="F537" s="6" t="str">
        <f t="shared" si="34"/>
        <v>G20</v>
      </c>
      <c r="G537" s="6" t="str">
        <f t="shared" si="35"/>
        <v>Prof47</v>
      </c>
      <c r="H537" s="6" t="str" cm="1">
        <f t="array" ref="H537">choice(Referentiel!A:A,1,Settings!$B$16)</f>
        <v>6ème année atelier</v>
      </c>
      <c r="I537" s="6" t="str" cm="1">
        <f t="array" ref="I537">choice(Referentiel!B:B,1,Settings!$B$16)</f>
        <v>1ère Année Groupe 4 S2</v>
      </c>
      <c r="J537" s="6" t="str" cm="1">
        <f t="array" ref="J537">choice(Referentiel!D:D,1,Settings!$B$16)</f>
        <v>L3</v>
      </c>
      <c r="K537" s="6" t="str" cm="1">
        <f t="array" ref="K537">choice(Professeurs!B:B,1,Settings!$B$16)</f>
        <v>Prof47</v>
      </c>
      <c r="L537" s="5" t="str" cm="1">
        <f t="array" ref="L537">choice(Referentiel!C:C,1,Settings!$B$16)</f>
        <v/>
      </c>
      <c r="M537" s="5" t="str" cm="1">
        <f t="array" ref="M537">choice(Referentiel!E:E,1,Settings!$B$16)</f>
        <v/>
      </c>
      <c r="N537" s="5" t="str" cm="1">
        <f t="array" ref="N537">choice(Settings!K:K,1,Settings!$B$16)</f>
        <v/>
      </c>
      <c r="P537" s="5">
        <f t="shared" si="36"/>
        <v>3</v>
      </c>
    </row>
    <row r="538" spans="1:16" ht="15.75" customHeight="1" x14ac:dyDescent="0.25">
      <c r="A538" s="6" t="s">
        <v>890</v>
      </c>
      <c r="B538" s="6" cm="1">
        <f t="array" ref="B538">alea_int(Settings!$B$10,1,Settings!$B$16)</f>
        <v>3</v>
      </c>
      <c r="C538" s="8">
        <v>46023</v>
      </c>
      <c r="D538" s="8">
        <f t="shared" si="33"/>
        <v>46387</v>
      </c>
      <c r="E538" s="6" t="str" cm="1">
        <f t="array" ref="E538">choice(Groupes!A:A,1,Settings!$B$16)</f>
        <v>G13</v>
      </c>
      <c r="F538" s="6" t="str">
        <f t="shared" si="34"/>
        <v>G13</v>
      </c>
      <c r="G538" s="6" t="str">
        <f t="shared" si="35"/>
        <v>Prof5</v>
      </c>
      <c r="H538" s="6" t="str" cm="1">
        <f t="array" ref="H538">choice(Referentiel!A:A,1,Settings!$B$16)</f>
        <v>Design des mondes insulaires</v>
      </c>
      <c r="I538" s="6" t="str" cm="1">
        <f t="array" ref="I538">choice(Referentiel!B:B,1,Settings!$B$16)</f>
        <v>5ème année Design Vêtement S2</v>
      </c>
      <c r="J538" s="6" t="str" cm="1">
        <f t="array" ref="J538">choice(Referentiel!D:D,1,Settings!$B$16)</f>
        <v>L1</v>
      </c>
      <c r="K538" s="6" t="str" cm="1">
        <f t="array" ref="K538">choice(Professeurs!B:B,1,Settings!$B$16)</f>
        <v>Prof5</v>
      </c>
      <c r="L538" s="5" t="str" cm="1">
        <f t="array" ref="L538">choice(Referentiel!C:C,1,Settings!$B$16)</f>
        <v/>
      </c>
      <c r="M538" s="5" t="str" cm="1">
        <f t="array" ref="M538">choice(Referentiel!E:E,1,Settings!$B$16)</f>
        <v/>
      </c>
      <c r="N538" s="5" t="str" cm="1">
        <f t="array" ref="N538">choice(Settings!K:K,1,Settings!$B$16)</f>
        <v/>
      </c>
      <c r="P538" s="5">
        <f t="shared" si="36"/>
        <v>3</v>
      </c>
    </row>
    <row r="539" spans="1:16" ht="15.75" customHeight="1" x14ac:dyDescent="0.25">
      <c r="A539" s="6" t="s">
        <v>891</v>
      </c>
      <c r="B539" s="6" cm="1">
        <f t="array" ref="B539">alea_int(Settings!$B$10,1,Settings!$B$16)</f>
        <v>3</v>
      </c>
      <c r="C539" s="8">
        <v>46023</v>
      </c>
      <c r="D539" s="8">
        <f t="shared" si="33"/>
        <v>46387</v>
      </c>
      <c r="E539" s="6" t="str" cm="1">
        <f t="array" ref="E539">choice(Groupes!A:A,1,Settings!$B$16)</f>
        <v>G14</v>
      </c>
      <c r="F539" s="6" t="str">
        <f t="shared" si="34"/>
        <v>G14</v>
      </c>
      <c r="G539" s="6" t="str">
        <f t="shared" si="35"/>
        <v>Prof26</v>
      </c>
      <c r="H539" s="6" t="str" cm="1">
        <f t="array" ref="H539">choice(Referentiel!A:A,1,Settings!$B$16)</f>
        <v>1ère année Groupe 3</v>
      </c>
      <c r="I539" s="6" t="str" cm="1">
        <f t="array" ref="I539">choice(Referentiel!B:B,1,Settings!$B$16)</f>
        <v>2ème année Design Graphique S1</v>
      </c>
      <c r="J539" s="6" t="str" cm="1">
        <f t="array" ref="J539">choice(Referentiel!D:D,1,Settings!$B$16)</f>
        <v>M1</v>
      </c>
      <c r="K539" s="6" t="str" cm="1">
        <f t="array" ref="K539">choice(Professeurs!B:B,1,Settings!$B$16)</f>
        <v>Prof26</v>
      </c>
      <c r="L539" s="5" t="str" cm="1">
        <f t="array" ref="L539">choice(Referentiel!C:C,1,Settings!$B$16)</f>
        <v/>
      </c>
      <c r="M539" s="5" t="str" cm="1">
        <f t="array" ref="M539">choice(Referentiel!E:E,1,Settings!$B$16)</f>
        <v/>
      </c>
      <c r="N539" s="5" t="str" cm="1">
        <f t="array" ref="N539">choice(Settings!K:K,1,Settings!$B$16)</f>
        <v/>
      </c>
      <c r="P539" s="5">
        <f t="shared" si="36"/>
        <v>3</v>
      </c>
    </row>
    <row r="540" spans="1:16" ht="15.75" customHeight="1" x14ac:dyDescent="0.25">
      <c r="A540" s="6" t="s">
        <v>892</v>
      </c>
      <c r="B540" s="6" cm="1">
        <f t="array" ref="B540">alea_int(Settings!$B$10,1,Settings!$B$16)</f>
        <v>2</v>
      </c>
      <c r="C540" s="8">
        <v>46023</v>
      </c>
      <c r="D540" s="8">
        <f t="shared" si="33"/>
        <v>46387</v>
      </c>
      <c r="E540" s="6" t="str" cm="1">
        <f t="array" ref="E540">choice(Groupes!A:A,1,Settings!$B$16)</f>
        <v>G21</v>
      </c>
      <c r="F540" s="6" t="str">
        <f t="shared" si="34"/>
        <v>G21</v>
      </c>
      <c r="G540" s="6" t="str">
        <f t="shared" si="35"/>
        <v>Prof18</v>
      </c>
      <c r="H540" s="6" t="str" cm="1">
        <f t="array" ref="H540">choice(Referentiel!A:A,1,Settings!$B$16)</f>
        <v>Design des mondes insulaires</v>
      </c>
      <c r="I540" s="6" t="str" cm="1">
        <f t="array" ref="I540">choice(Referentiel!B:B,1,Settings!$B$16)</f>
        <v>4ème année Architecture Intérieure S2</v>
      </c>
      <c r="J540" s="6" t="str" cm="1">
        <f t="array" ref="J540">choice(Referentiel!D:D,1,Settings!$B$16)</f>
        <v>L1</v>
      </c>
      <c r="K540" s="6" t="str" cm="1">
        <f t="array" ref="K540">choice(Professeurs!B:B,1,Settings!$B$16)</f>
        <v>Prof18</v>
      </c>
      <c r="L540" s="5" t="str" cm="1">
        <f t="array" ref="L540">choice(Referentiel!C:C,1,Settings!$B$16)</f>
        <v/>
      </c>
      <c r="M540" s="5" t="str" cm="1">
        <f t="array" ref="M540">choice(Referentiel!E:E,1,Settings!$B$16)</f>
        <v/>
      </c>
      <c r="N540" s="5" t="str" cm="1">
        <f t="array" ref="N540">choice(Settings!K:K,1,Settings!$B$16)</f>
        <v/>
      </c>
      <c r="P540" s="5">
        <f t="shared" si="36"/>
        <v>2</v>
      </c>
    </row>
    <row r="541" spans="1:16" ht="15.75" customHeight="1" x14ac:dyDescent="0.25">
      <c r="A541" s="6" t="s">
        <v>893</v>
      </c>
      <c r="B541" s="6" cm="1">
        <f t="array" ref="B541">alea_int(Settings!$B$10,1,Settings!$B$16)</f>
        <v>2</v>
      </c>
      <c r="C541" s="8">
        <v>46023</v>
      </c>
      <c r="D541" s="8">
        <f t="shared" si="33"/>
        <v>46387</v>
      </c>
      <c r="E541" s="6" t="str" cm="1">
        <f t="array" ref="E541">choice(Groupes!A:A,1,Settings!$B$16)</f>
        <v>G1</v>
      </c>
      <c r="F541" s="6" t="str">
        <f t="shared" si="34"/>
        <v>G1</v>
      </c>
      <c r="G541" s="6" t="str">
        <f t="shared" si="35"/>
        <v>Prof13</v>
      </c>
      <c r="H541" s="6" t="str" cm="1">
        <f t="array" ref="H541">choice(Referentiel!A:A,1,Settings!$B$16)</f>
        <v>Scénographie</v>
      </c>
      <c r="I541" s="6" t="str" cm="1">
        <f t="array" ref="I541">choice(Referentiel!B:B,1,Settings!$B$16)</f>
        <v>3ème année Image Imprimée S2</v>
      </c>
      <c r="J541" s="6" t="str" cm="1">
        <f t="array" ref="J541">choice(Referentiel!D:D,1,Settings!$B$16)</f>
        <v>M2</v>
      </c>
      <c r="K541" s="6" t="str" cm="1">
        <f t="array" ref="K541">choice(Professeurs!B:B,1,Settings!$B$16)</f>
        <v>Prof13</v>
      </c>
      <c r="L541" s="5" t="str" cm="1">
        <f t="array" ref="L541">choice(Referentiel!C:C,1,Settings!$B$16)</f>
        <v/>
      </c>
      <c r="M541" s="5" t="str" cm="1">
        <f t="array" ref="M541">choice(Referentiel!E:E,1,Settings!$B$16)</f>
        <v/>
      </c>
      <c r="N541" s="5" t="str" cm="1">
        <f t="array" ref="N541">choice(Settings!K:K,1,Settings!$B$16)</f>
        <v/>
      </c>
      <c r="P541" s="5">
        <f t="shared" si="36"/>
        <v>2</v>
      </c>
    </row>
    <row r="542" spans="1:16" ht="15.75" customHeight="1" x14ac:dyDescent="0.25">
      <c r="A542" s="6" t="s">
        <v>894</v>
      </c>
      <c r="B542" s="6" cm="1">
        <f t="array" ref="B542">alea_int(Settings!$B$10,1,Settings!$B$16)</f>
        <v>3</v>
      </c>
      <c r="C542" s="8">
        <v>46023</v>
      </c>
      <c r="D542" s="8">
        <f t="shared" si="33"/>
        <v>46387</v>
      </c>
      <c r="E542" s="6" t="str" cm="1">
        <f t="array" ref="E542">choice(Groupes!A:A,1,Settings!$B$16)</f>
        <v>G20</v>
      </c>
      <c r="F542" s="6" t="str">
        <f t="shared" si="34"/>
        <v>G20</v>
      </c>
      <c r="G542" s="6" t="str">
        <f t="shared" si="35"/>
        <v>Prof28</v>
      </c>
      <c r="H542" s="6" t="str" cm="1">
        <f t="array" ref="H542">choice(Referentiel!A:A,1,Settings!$B$16)</f>
        <v>Mode et Matière</v>
      </c>
      <c r="I542" s="6" t="str" cm="1">
        <f t="array" ref="I542">choice(Referentiel!B:B,1,Settings!$B$16)</f>
        <v>3ème année Image Imprimée S1</v>
      </c>
      <c r="J542" s="6" t="str" cm="1">
        <f t="array" ref="J542">choice(Referentiel!D:D,1,Settings!$B$16)</f>
        <v>M2</v>
      </c>
      <c r="K542" s="6" t="str" cm="1">
        <f t="array" ref="K542">choice(Professeurs!B:B,1,Settings!$B$16)</f>
        <v>Prof28</v>
      </c>
      <c r="L542" s="5" t="str" cm="1">
        <f t="array" ref="L542">choice(Referentiel!C:C,1,Settings!$B$16)</f>
        <v/>
      </c>
      <c r="M542" s="5" t="str" cm="1">
        <f t="array" ref="M542">choice(Referentiel!E:E,1,Settings!$B$16)</f>
        <v/>
      </c>
      <c r="N542" s="5" t="str" cm="1">
        <f t="array" ref="N542">choice(Settings!K:K,1,Settings!$B$16)</f>
        <v/>
      </c>
      <c r="P542" s="5">
        <f t="shared" si="36"/>
        <v>3</v>
      </c>
    </row>
    <row r="543" spans="1:16" ht="15.75" customHeight="1" x14ac:dyDescent="0.25">
      <c r="A543" s="6" t="s">
        <v>895</v>
      </c>
      <c r="B543" s="6" cm="1">
        <f t="array" ref="B543">alea_int(Settings!$B$10,1,Settings!$B$16)</f>
        <v>3</v>
      </c>
      <c r="C543" s="8">
        <v>46023</v>
      </c>
      <c r="D543" s="8">
        <f t="shared" si="33"/>
        <v>46387</v>
      </c>
      <c r="E543" s="6" t="str" cm="1">
        <f t="array" ref="E543">choice(Groupes!A:A,1,Settings!$B$16)</f>
        <v>G22</v>
      </c>
      <c r="F543" s="6" t="str">
        <f t="shared" si="34"/>
        <v>G22</v>
      </c>
      <c r="G543" s="6" t="str">
        <f t="shared" si="35"/>
        <v>Prof30</v>
      </c>
      <c r="H543" s="6" t="str" cm="1">
        <f t="array" ref="H543">choice(Referentiel!A:A,1,Settings!$B$16)</f>
        <v>Design des mondes insulaires</v>
      </c>
      <c r="I543" s="6" t="str" cm="1">
        <f t="array" ref="I543">choice(Referentiel!B:B,1,Settings!$B$16)</f>
        <v>4ème année Image Imprimée S2</v>
      </c>
      <c r="J543" s="6" t="str" cm="1">
        <f t="array" ref="J543">choice(Referentiel!D:D,1,Settings!$B$16)</f>
        <v>L2</v>
      </c>
      <c r="K543" s="6" t="str" cm="1">
        <f t="array" ref="K543">choice(Professeurs!B:B,1,Settings!$B$16)</f>
        <v>Prof30</v>
      </c>
      <c r="L543" s="5" t="str" cm="1">
        <f t="array" ref="L543">choice(Referentiel!C:C,1,Settings!$B$16)</f>
        <v/>
      </c>
      <c r="M543" s="5" t="str" cm="1">
        <f t="array" ref="M543">choice(Referentiel!E:E,1,Settings!$B$16)</f>
        <v/>
      </c>
      <c r="N543" s="5" t="str" cm="1">
        <f t="array" ref="N543">choice(Settings!K:K,1,Settings!$B$16)</f>
        <v/>
      </c>
      <c r="P543" s="5">
        <f t="shared" si="36"/>
        <v>3</v>
      </c>
    </row>
    <row r="544" spans="1:16" ht="15.75" customHeight="1" x14ac:dyDescent="0.25">
      <c r="A544" s="6" t="s">
        <v>896</v>
      </c>
      <c r="B544" s="6" cm="1">
        <f t="array" ref="B544">alea_int(Settings!$B$10,1,Settings!$B$16)</f>
        <v>2</v>
      </c>
      <c r="C544" s="8">
        <v>46023</v>
      </c>
      <c r="D544" s="8">
        <f t="shared" si="33"/>
        <v>46387</v>
      </c>
      <c r="E544" s="6" t="str" cm="1">
        <f t="array" ref="E544">choice(Groupes!A:A,1,Settings!$B$16)</f>
        <v>G25</v>
      </c>
      <c r="F544" s="6" t="str">
        <f t="shared" si="34"/>
        <v>G25</v>
      </c>
      <c r="G544" s="6" t="str">
        <f t="shared" si="35"/>
        <v>Prof36</v>
      </c>
      <c r="H544" s="6" t="str" cm="1">
        <f t="array" ref="H544">choice(Referentiel!A:A,1,Settings!$B$16)</f>
        <v>Scénographie</v>
      </c>
      <c r="I544" s="6" t="str" cm="1">
        <f t="array" ref="I544">choice(Referentiel!B:B,1,Settings!$B$16)</f>
        <v>3ème année Design Objet S2</v>
      </c>
      <c r="J544" s="6" t="str" cm="1">
        <f t="array" ref="J544">choice(Referentiel!D:D,1,Settings!$B$16)</f>
        <v>M1</v>
      </c>
      <c r="K544" s="6" t="str" cm="1">
        <f t="array" ref="K544">choice(Professeurs!B:B,1,Settings!$B$16)</f>
        <v>Prof36</v>
      </c>
      <c r="L544" s="5" t="str" cm="1">
        <f t="array" ref="L544">choice(Referentiel!C:C,1,Settings!$B$16)</f>
        <v/>
      </c>
      <c r="M544" s="5" t="str" cm="1">
        <f t="array" ref="M544">choice(Referentiel!E:E,1,Settings!$B$16)</f>
        <v/>
      </c>
      <c r="N544" s="5" t="str" cm="1">
        <f t="array" ref="N544">choice(Settings!K:K,1,Settings!$B$16)</f>
        <v>vendredi pm</v>
      </c>
      <c r="P544" s="5">
        <f t="shared" si="36"/>
        <v>4</v>
      </c>
    </row>
    <row r="545" spans="1:16" ht="15.75" customHeight="1" x14ac:dyDescent="0.25">
      <c r="A545" s="6" t="s">
        <v>897</v>
      </c>
      <c r="B545" s="6" cm="1">
        <f t="array" ref="B545">alea_int(Settings!$B$10,1,Settings!$B$16)</f>
        <v>2</v>
      </c>
      <c r="C545" s="8">
        <v>46023</v>
      </c>
      <c r="D545" s="8">
        <f t="shared" si="33"/>
        <v>46387</v>
      </c>
      <c r="E545" s="6" t="str" cm="1">
        <f t="array" ref="E545">choice(Groupes!A:A,1,Settings!$B$16)</f>
        <v>G8</v>
      </c>
      <c r="F545" s="6" t="str">
        <f t="shared" si="34"/>
        <v>G8</v>
      </c>
      <c r="G545" s="6" t="str">
        <f t="shared" si="35"/>
        <v>Prof31</v>
      </c>
      <c r="H545" s="6" t="str" cm="1">
        <f t="array" ref="H545">choice(Referentiel!A:A,1,Settings!$B$16)</f>
        <v>Design Graphique</v>
      </c>
      <c r="I545" s="6" t="str" cm="1">
        <f t="array" ref="I545">choice(Referentiel!B:B,1,Settings!$B$16)</f>
        <v>2ème année Architecture Intérieure S1</v>
      </c>
      <c r="J545" s="6" t="str" cm="1">
        <f t="array" ref="J545">choice(Referentiel!D:D,1,Settings!$B$16)</f>
        <v>L3</v>
      </c>
      <c r="K545" s="6" t="str" cm="1">
        <f t="array" ref="K545">choice(Professeurs!B:B,1,Settings!$B$16)</f>
        <v>Prof31</v>
      </c>
      <c r="L545" s="5" t="str" cm="1">
        <f t="array" ref="L545">choice(Referentiel!C:C,1,Settings!$B$16)</f>
        <v/>
      </c>
      <c r="M545" s="5" t="str" cm="1">
        <f t="array" ref="M545">choice(Referentiel!E:E,1,Settings!$B$16)</f>
        <v/>
      </c>
      <c r="N545" s="5" t="str" cm="1">
        <f t="array" ref="N545">choice(Settings!K:K,1,Settings!$B$16)</f>
        <v/>
      </c>
      <c r="P545" s="5">
        <f t="shared" si="36"/>
        <v>2</v>
      </c>
    </row>
    <row r="546" spans="1:16" ht="15.75" customHeight="1" x14ac:dyDescent="0.25">
      <c r="A546" s="6" t="s">
        <v>898</v>
      </c>
      <c r="B546" s="6" cm="1">
        <f t="array" ref="B546">alea_int(Settings!$B$10,1,Settings!$B$16)</f>
        <v>1</v>
      </c>
      <c r="C546" s="8">
        <v>46023</v>
      </c>
      <c r="D546" s="8">
        <f t="shared" si="33"/>
        <v>46387</v>
      </c>
      <c r="E546" s="6" t="str" cm="1">
        <f t="array" ref="E546">choice(Groupes!A:A,1,Settings!$B$16)</f>
        <v>G13</v>
      </c>
      <c r="F546" s="6" t="str">
        <f t="shared" si="34"/>
        <v>G13</v>
      </c>
      <c r="G546" s="6" t="str">
        <f t="shared" si="35"/>
        <v>Prof27</v>
      </c>
      <c r="H546" s="6" t="str" cm="1">
        <f t="array" ref="H546">choice(Referentiel!A:A,1,Settings!$B$16)</f>
        <v>1ère année Groupe 2</v>
      </c>
      <c r="I546" s="6" t="str" cm="1">
        <f t="array" ref="I546">choice(Referentiel!B:B,1,Settings!$B$16)</f>
        <v>5ème année Image Imprimée S1</v>
      </c>
      <c r="J546" s="6" t="str" cm="1">
        <f t="array" ref="J546">choice(Referentiel!D:D,1,Settings!$B$16)</f>
        <v>L3</v>
      </c>
      <c r="K546" s="6" t="str" cm="1">
        <f t="array" ref="K546">choice(Professeurs!B:B,1,Settings!$B$16)</f>
        <v>Prof27</v>
      </c>
      <c r="L546" s="5" t="str" cm="1">
        <f t="array" ref="L546">choice(Referentiel!C:C,1,Settings!$B$16)</f>
        <v/>
      </c>
      <c r="M546" s="5" t="str" cm="1">
        <f t="array" ref="M546">choice(Referentiel!E:E,1,Settings!$B$16)</f>
        <v/>
      </c>
      <c r="N546" s="5" t="str" cm="1">
        <f t="array" ref="N546">choice(Settings!K:K,1,Settings!$B$16)</f>
        <v>vendredi am</v>
      </c>
      <c r="P546" s="5">
        <f t="shared" si="36"/>
        <v>3</v>
      </c>
    </row>
    <row r="547" spans="1:16" ht="15.75" customHeight="1" x14ac:dyDescent="0.25">
      <c r="A547" s="6" t="s">
        <v>899</v>
      </c>
      <c r="B547" s="6" cm="1">
        <f t="array" ref="B547">alea_int(Settings!$B$10,1,Settings!$B$16)</f>
        <v>3</v>
      </c>
      <c r="C547" s="8">
        <v>46023</v>
      </c>
      <c r="D547" s="8">
        <f t="shared" si="33"/>
        <v>46387</v>
      </c>
      <c r="E547" s="6" t="str" cm="1">
        <f t="array" ref="E547">choice(Groupes!A:A,1,Settings!$B$16)</f>
        <v>G7</v>
      </c>
      <c r="F547" s="6" t="str">
        <f t="shared" si="34"/>
        <v>G7</v>
      </c>
      <c r="G547" s="6" t="str">
        <f t="shared" si="35"/>
        <v>Prof4</v>
      </c>
      <c r="H547" s="6" t="str" cm="1">
        <f t="array" ref="H547">choice(Referentiel!A:A,1,Settings!$B$16)</f>
        <v>Mode et Matière</v>
      </c>
      <c r="I547" s="6" t="str" cm="1">
        <f t="array" ref="I547">choice(Referentiel!B:B,1,Settings!$B$16)</f>
        <v>1ère Année Groupe 4 S2</v>
      </c>
      <c r="J547" s="6" t="str" cm="1">
        <f t="array" ref="J547">choice(Referentiel!D:D,1,Settings!$B$16)</f>
        <v>L1</v>
      </c>
      <c r="K547" s="6" t="str" cm="1">
        <f t="array" ref="K547">choice(Professeurs!B:B,1,Settings!$B$16)</f>
        <v>Prof4</v>
      </c>
      <c r="L547" s="5" t="str" cm="1">
        <f t="array" ref="L547">choice(Referentiel!C:C,1,Settings!$B$16)</f>
        <v/>
      </c>
      <c r="M547" s="5" t="str" cm="1">
        <f t="array" ref="M547">choice(Referentiel!E:E,1,Settings!$B$16)</f>
        <v/>
      </c>
      <c r="N547" s="5" t="str" cm="1">
        <f t="array" ref="N547">choice(Settings!K:K,1,Settings!$B$16)</f>
        <v/>
      </c>
      <c r="P547" s="5">
        <f t="shared" si="36"/>
        <v>3</v>
      </c>
    </row>
    <row r="548" spans="1:16" ht="15.75" customHeight="1" x14ac:dyDescent="0.25">
      <c r="A548" s="6" t="s">
        <v>900</v>
      </c>
      <c r="B548" s="6" cm="1">
        <f t="array" ref="B548">alea_int(Settings!$B$10,1,Settings!$B$16)</f>
        <v>1</v>
      </c>
      <c r="C548" s="8">
        <v>46023</v>
      </c>
      <c r="D548" s="8">
        <f t="shared" si="33"/>
        <v>46387</v>
      </c>
      <c r="E548" s="6" t="str" cm="1">
        <f t="array" ref="E548">choice(Groupes!A:A,1,Settings!$B$16)</f>
        <v>G4</v>
      </c>
      <c r="F548" s="6" t="str">
        <f t="shared" si="34"/>
        <v>G4</v>
      </c>
      <c r="G548" s="6" t="str">
        <f t="shared" si="35"/>
        <v>Prof54</v>
      </c>
      <c r="H548" s="6" t="str" cm="1">
        <f t="array" ref="H548">choice(Referentiel!A:A,1,Settings!$B$16)</f>
        <v>Design des mondes littoraux</v>
      </c>
      <c r="I548" s="6" t="str" cm="1">
        <f t="array" ref="I548">choice(Referentiel!B:B,1,Settings!$B$16)</f>
        <v>4ème année Scénographie S1</v>
      </c>
      <c r="J548" s="6" t="str" cm="1">
        <f t="array" ref="J548">choice(Referentiel!D:D,1,Settings!$B$16)</f>
        <v>L3</v>
      </c>
      <c r="K548" s="6" t="str" cm="1">
        <f t="array" ref="K548">choice(Professeurs!B:B,1,Settings!$B$16)</f>
        <v>Prof54</v>
      </c>
      <c r="L548" s="5" t="str" cm="1">
        <f t="array" ref="L548">choice(Referentiel!C:C,1,Settings!$B$16)</f>
        <v/>
      </c>
      <c r="M548" s="5" t="str" cm="1">
        <f t="array" ref="M548">choice(Referentiel!E:E,1,Settings!$B$16)</f>
        <v/>
      </c>
      <c r="N548" s="5" t="str" cm="1">
        <f t="array" ref="N548">choice(Settings!K:K,1,Settings!$B$16)</f>
        <v>jeudi pm</v>
      </c>
      <c r="P548" s="5">
        <f t="shared" si="36"/>
        <v>3</v>
      </c>
    </row>
    <row r="549" spans="1:16" ht="15.75" customHeight="1" x14ac:dyDescent="0.25">
      <c r="A549" s="6" t="s">
        <v>901</v>
      </c>
      <c r="B549" s="6" cm="1">
        <f t="array" ref="B549">alea_int(Settings!$B$10,1,Settings!$B$16)</f>
        <v>2</v>
      </c>
      <c r="C549" s="8">
        <v>46023</v>
      </c>
      <c r="D549" s="8">
        <f t="shared" si="33"/>
        <v>46387</v>
      </c>
      <c r="E549" s="6" t="str" cm="1">
        <f t="array" ref="E549">choice(Groupes!A:A,1,Settings!$B$16)</f>
        <v>G30</v>
      </c>
      <c r="F549" s="6" t="str">
        <f t="shared" si="34"/>
        <v>G30</v>
      </c>
      <c r="G549" s="6" t="str">
        <f t="shared" si="35"/>
        <v>Prof31</v>
      </c>
      <c r="H549" s="6" t="str" cm="1">
        <f t="array" ref="H549">choice(Referentiel!A:A,1,Settings!$B$16)</f>
        <v>Art-Espace</v>
      </c>
      <c r="I549" s="6" t="str" cm="1">
        <f t="array" ref="I549">choice(Referentiel!B:B,1,Settings!$B$16)</f>
        <v>5ème année Scénographie S1</v>
      </c>
      <c r="J549" s="6" t="str" cm="1">
        <f t="array" ref="J549">choice(Referentiel!D:D,1,Settings!$B$16)</f>
        <v>M2</v>
      </c>
      <c r="K549" s="6" t="str" cm="1">
        <f t="array" ref="K549">choice(Professeurs!B:B,1,Settings!$B$16)</f>
        <v>Prof31</v>
      </c>
      <c r="L549" s="5" t="str" cm="1">
        <f t="array" ref="L549">choice(Referentiel!C:C,1,Settings!$B$16)</f>
        <v/>
      </c>
      <c r="M549" s="5" t="str" cm="1">
        <f t="array" ref="M549">choice(Referentiel!E:E,1,Settings!$B$16)</f>
        <v/>
      </c>
      <c r="N549" s="5" t="str" cm="1">
        <f t="array" ref="N549">choice(Settings!K:K,1,Settings!$B$16)</f>
        <v>mardi am</v>
      </c>
      <c r="P549" s="5">
        <f t="shared" si="36"/>
        <v>4</v>
      </c>
    </row>
    <row r="550" spans="1:16" ht="15.75" customHeight="1" x14ac:dyDescent="0.25">
      <c r="A550" s="6" t="s">
        <v>902</v>
      </c>
      <c r="B550" s="6" cm="1">
        <f t="array" ref="B550">alea_int(Settings!$B$10,1,Settings!$B$16)</f>
        <v>1</v>
      </c>
      <c r="C550" s="8">
        <v>46023</v>
      </c>
      <c r="D550" s="8">
        <f t="shared" si="33"/>
        <v>46387</v>
      </c>
      <c r="E550" s="6" t="str" cm="1">
        <f t="array" ref="E550">choice(Groupes!A:A,1,Settings!$B$16)</f>
        <v>G10</v>
      </c>
      <c r="F550" s="6" t="str">
        <f t="shared" si="34"/>
        <v>G10</v>
      </c>
      <c r="G550" s="6" t="str">
        <f t="shared" si="35"/>
        <v>Prof24</v>
      </c>
      <c r="H550" s="6" t="str" cm="1">
        <f t="array" ref="H550">choice(Referentiel!A:A,1,Settings!$B$16)</f>
        <v>Design des mondes montagneux</v>
      </c>
      <c r="I550" s="6" t="str" cm="1">
        <f t="array" ref="I550">choice(Referentiel!B:B,1,Settings!$B$16)</f>
        <v>2ème année Design Textile et Matière S2</v>
      </c>
      <c r="J550" s="6" t="str" cm="1">
        <f t="array" ref="J550">choice(Referentiel!D:D,1,Settings!$B$16)</f>
        <v>L2</v>
      </c>
      <c r="K550" s="6" t="str" cm="1">
        <f t="array" ref="K550">choice(Professeurs!B:B,1,Settings!$B$16)</f>
        <v>Prof24</v>
      </c>
      <c r="L550" s="5" t="str" cm="1">
        <f t="array" ref="L550">choice(Referentiel!C:C,1,Settings!$B$16)</f>
        <v/>
      </c>
      <c r="M550" s="5" t="str" cm="1">
        <f t="array" ref="M550">choice(Referentiel!E:E,1,Settings!$B$16)</f>
        <v/>
      </c>
      <c r="N550" s="5" t="str" cm="1">
        <f t="array" ref="N550">choice(Settings!K:K,1,Settings!$B$16)</f>
        <v/>
      </c>
      <c r="P550" s="5">
        <f t="shared" si="36"/>
        <v>1</v>
      </c>
    </row>
    <row r="551" spans="1:16" ht="15.75" customHeight="1" x14ac:dyDescent="0.25">
      <c r="A551" s="6" t="s">
        <v>903</v>
      </c>
      <c r="B551" s="6" cm="1">
        <f t="array" ref="B551">alea_int(Settings!$B$10,1,Settings!$B$16)</f>
        <v>1</v>
      </c>
      <c r="C551" s="8">
        <v>46023</v>
      </c>
      <c r="D551" s="8">
        <f t="shared" si="33"/>
        <v>46387</v>
      </c>
      <c r="E551" s="6" t="str" cm="1">
        <f t="array" ref="E551">choice(Groupes!A:A,1,Settings!$B$16)</f>
        <v>G29</v>
      </c>
      <c r="F551" s="6" t="str">
        <f t="shared" si="34"/>
        <v>G29</v>
      </c>
      <c r="G551" s="6" t="str">
        <f t="shared" si="35"/>
        <v>Prof4</v>
      </c>
      <c r="H551" s="6" t="str" cm="1">
        <f t="array" ref="H551">choice(Referentiel!A:A,1,Settings!$B$16)</f>
        <v>Design Vêtement</v>
      </c>
      <c r="I551" s="6" t="str" cm="1">
        <f t="array" ref="I551">choice(Referentiel!B:B,1,Settings!$B$16)</f>
        <v>2ème année Art-Espace S2</v>
      </c>
      <c r="J551" s="6" t="str" cm="1">
        <f t="array" ref="J551">choice(Referentiel!D:D,1,Settings!$B$16)</f>
        <v>L2</v>
      </c>
      <c r="K551" s="6" t="str" cm="1">
        <f t="array" ref="K551">choice(Professeurs!B:B,1,Settings!$B$16)</f>
        <v>Prof4</v>
      </c>
      <c r="L551" s="5" t="str" cm="1">
        <f t="array" ref="L551">choice(Referentiel!C:C,1,Settings!$B$16)</f>
        <v/>
      </c>
      <c r="M551" s="5" t="str" cm="1">
        <f t="array" ref="M551">choice(Referentiel!E:E,1,Settings!$B$16)</f>
        <v/>
      </c>
      <c r="N551" s="5" t="str" cm="1">
        <f t="array" ref="N551">choice(Settings!K:K,1,Settings!$B$16)</f>
        <v/>
      </c>
      <c r="P551" s="5">
        <f t="shared" si="36"/>
        <v>1</v>
      </c>
    </row>
    <row r="552" spans="1:16" ht="15.75" customHeight="1" x14ac:dyDescent="0.25">
      <c r="A552" s="6" t="s">
        <v>904</v>
      </c>
      <c r="B552" s="6" cm="1">
        <f t="array" ref="B552">alea_int(Settings!$B$10,1,Settings!$B$16)</f>
        <v>2</v>
      </c>
      <c r="C552" s="8">
        <v>46023</v>
      </c>
      <c r="D552" s="8">
        <f t="shared" si="33"/>
        <v>46387</v>
      </c>
      <c r="E552" s="6" t="str" cm="1">
        <f t="array" ref="E552">choice(Groupes!A:A,1,Settings!$B$16)</f>
        <v>G18</v>
      </c>
      <c r="F552" s="6" t="str">
        <f t="shared" si="34"/>
        <v>G18</v>
      </c>
      <c r="G552" s="6" t="str">
        <f t="shared" si="35"/>
        <v>Prof11</v>
      </c>
      <c r="H552" s="6" t="str" cm="1">
        <f t="array" ref="H552">choice(Referentiel!A:A,1,Settings!$B$16)</f>
        <v>Architecture Intérieure</v>
      </c>
      <c r="I552" s="6" t="str" cm="1">
        <f t="array" ref="I552">choice(Referentiel!B:B,1,Settings!$B$16)</f>
        <v>5ème année Photo / Vidéo S1</v>
      </c>
      <c r="J552" s="6" t="str" cm="1">
        <f t="array" ref="J552">choice(Referentiel!D:D,1,Settings!$B$16)</f>
        <v>M1</v>
      </c>
      <c r="K552" s="6" t="str" cm="1">
        <f t="array" ref="K552">choice(Professeurs!B:B,1,Settings!$B$16)</f>
        <v>Prof11</v>
      </c>
      <c r="L552" s="5" t="str" cm="1">
        <f t="array" ref="L552">choice(Referentiel!C:C,1,Settings!$B$16)</f>
        <v/>
      </c>
      <c r="M552" s="5" t="str" cm="1">
        <f t="array" ref="M552">choice(Referentiel!E:E,1,Settings!$B$16)</f>
        <v/>
      </c>
      <c r="N552" s="5" t="str" cm="1">
        <f t="array" ref="N552">choice(Settings!K:K,1,Settings!$B$16)</f>
        <v/>
      </c>
      <c r="P552" s="5">
        <f t="shared" si="36"/>
        <v>2</v>
      </c>
    </row>
    <row r="553" spans="1:16" ht="15.75" customHeight="1" x14ac:dyDescent="0.25">
      <c r="A553" s="6" t="s">
        <v>905</v>
      </c>
      <c r="B553" s="6" cm="1">
        <f t="array" ref="B553">alea_int(Settings!$B$10,1,Settings!$B$16)</f>
        <v>1</v>
      </c>
      <c r="C553" s="8">
        <v>46023</v>
      </c>
      <c r="D553" s="8">
        <f t="shared" si="33"/>
        <v>46387</v>
      </c>
      <c r="E553" s="6" t="str" cm="1">
        <f t="array" ref="E553">choice(Groupes!A:A,1,Settings!$B$16)</f>
        <v>G17</v>
      </c>
      <c r="F553" s="6" t="str">
        <f t="shared" si="34"/>
        <v>G17</v>
      </c>
      <c r="G553" s="6" t="str">
        <f t="shared" si="35"/>
        <v>Prof45</v>
      </c>
      <c r="H553" s="6" t="str" cm="1">
        <f t="array" ref="H553">choice(Referentiel!A:A,1,Settings!$B$16)</f>
        <v>Gr ART, DESIGN, SOCIETE</v>
      </c>
      <c r="I553" s="6" t="str" cm="1">
        <f t="array" ref="I553">choice(Referentiel!B:B,1,Settings!$B$16)</f>
        <v>4ème année Scénographie S1</v>
      </c>
      <c r="J553" s="6" t="str" cm="1">
        <f t="array" ref="J553">choice(Referentiel!D:D,1,Settings!$B$16)</f>
        <v>M1</v>
      </c>
      <c r="K553" s="6" t="str" cm="1">
        <f t="array" ref="K553">choice(Professeurs!B:B,1,Settings!$B$16)</f>
        <v>Prof45</v>
      </c>
      <c r="L553" s="5" t="str" cm="1">
        <f t="array" ref="L553">choice(Referentiel!C:C,1,Settings!$B$16)</f>
        <v/>
      </c>
      <c r="M553" s="5" t="str" cm="1">
        <f t="array" ref="M553">choice(Referentiel!E:E,1,Settings!$B$16)</f>
        <v/>
      </c>
      <c r="N553" s="5" t="str" cm="1">
        <f t="array" ref="N553">choice(Settings!K:K,1,Settings!$B$16)</f>
        <v/>
      </c>
      <c r="P553" s="5">
        <f t="shared" si="36"/>
        <v>1</v>
      </c>
    </row>
    <row r="554" spans="1:16" ht="15.75" customHeight="1" x14ac:dyDescent="0.25">
      <c r="A554" s="6" t="s">
        <v>906</v>
      </c>
      <c r="B554" s="6" cm="1">
        <f t="array" ref="B554">alea_int(Settings!$B$10,1,Settings!$B$16)</f>
        <v>2</v>
      </c>
      <c r="C554" s="8">
        <v>46023</v>
      </c>
      <c r="D554" s="8">
        <f t="shared" si="33"/>
        <v>46387</v>
      </c>
      <c r="E554" s="6" t="str" cm="1">
        <f t="array" ref="E554">choice(Groupes!A:A,1,Settings!$B$16)</f>
        <v>G20</v>
      </c>
      <c r="F554" s="6" t="str">
        <f t="shared" si="34"/>
        <v>G20</v>
      </c>
      <c r="G554" s="6" t="str">
        <f t="shared" si="35"/>
        <v>Prof50</v>
      </c>
      <c r="H554" s="6" t="str" cm="1">
        <f t="array" ref="H554">choice(Referentiel!A:A,1,Settings!$B$16)</f>
        <v>Design des mondes insulaires</v>
      </c>
      <c r="I554" s="6" t="str" cm="1">
        <f t="array" ref="I554">choice(Referentiel!B:B,1,Settings!$B$16)</f>
        <v>3ème année Art-Espace S2</v>
      </c>
      <c r="J554" s="6" t="str" cm="1">
        <f t="array" ref="J554">choice(Referentiel!D:D,1,Settings!$B$16)</f>
        <v>L1</v>
      </c>
      <c r="K554" s="6" t="str" cm="1">
        <f t="array" ref="K554">choice(Professeurs!B:B,1,Settings!$B$16)</f>
        <v>Prof50</v>
      </c>
      <c r="L554" s="5" t="str" cm="1">
        <f t="array" ref="L554">choice(Referentiel!C:C,1,Settings!$B$16)</f>
        <v/>
      </c>
      <c r="M554" s="5" t="str" cm="1">
        <f t="array" ref="M554">choice(Referentiel!E:E,1,Settings!$B$16)</f>
        <v/>
      </c>
      <c r="N554" s="5" t="str" cm="1">
        <f t="array" ref="N554">choice(Settings!K:K,1,Settings!$B$16)</f>
        <v>mercredi pm</v>
      </c>
      <c r="P554" s="5">
        <f t="shared" si="36"/>
        <v>4</v>
      </c>
    </row>
    <row r="555" spans="1:16" ht="15.75" customHeight="1" x14ac:dyDescent="0.25">
      <c r="A555" s="6" t="s">
        <v>907</v>
      </c>
      <c r="B555" s="6" cm="1">
        <f t="array" ref="B555">alea_int(Settings!$B$10,1,Settings!$B$16)</f>
        <v>3</v>
      </c>
      <c r="C555" s="8">
        <v>46023</v>
      </c>
      <c r="D555" s="8">
        <f t="shared" si="33"/>
        <v>46387</v>
      </c>
      <c r="E555" s="6" t="str" cm="1">
        <f t="array" ref="E555">choice(Groupes!A:A,1,Settings!$B$16)</f>
        <v>G2</v>
      </c>
      <c r="F555" s="6" t="str">
        <f t="shared" si="34"/>
        <v>G2</v>
      </c>
      <c r="G555" s="6" t="str">
        <f t="shared" si="35"/>
        <v>Prof37</v>
      </c>
      <c r="H555" s="6" t="str" cm="1">
        <f t="array" ref="H555">choice(Referentiel!A:A,1,Settings!$B$16)</f>
        <v>Cinéma d'Animation</v>
      </c>
      <c r="I555" s="6" t="str" cm="1">
        <f t="array" ref="I555">choice(Referentiel!B:B,1,Settings!$B$16)</f>
        <v>1ère Année Groupe 4 S2</v>
      </c>
      <c r="J555" s="6" t="str" cm="1">
        <f t="array" ref="J555">choice(Referentiel!D:D,1,Settings!$B$16)</f>
        <v>L1</v>
      </c>
      <c r="K555" s="6" t="str" cm="1">
        <f t="array" ref="K555">choice(Professeurs!B:B,1,Settings!$B$16)</f>
        <v>Prof37</v>
      </c>
      <c r="L555" s="5" t="str" cm="1">
        <f t="array" ref="L555">choice(Referentiel!C:C,1,Settings!$B$16)</f>
        <v>pupitre</v>
      </c>
      <c r="M555" s="5" t="str" cm="1">
        <f t="array" ref="M555">choice(Referentiel!E:E,1,Settings!$B$16)</f>
        <v/>
      </c>
      <c r="N555" s="5" t="str" cm="1">
        <f t="array" ref="N555">choice(Settings!K:K,1,Settings!$B$16)</f>
        <v>mardi pm</v>
      </c>
      <c r="P555" s="5">
        <f t="shared" si="36"/>
        <v>5</v>
      </c>
    </row>
    <row r="556" spans="1:16" ht="15.75" customHeight="1" x14ac:dyDescent="0.25">
      <c r="A556" s="6" t="s">
        <v>908</v>
      </c>
      <c r="B556" s="6" cm="1">
        <f t="array" ref="B556">alea_int(Settings!$B$10,1,Settings!$B$16)</f>
        <v>3</v>
      </c>
      <c r="C556" s="8">
        <v>46023</v>
      </c>
      <c r="D556" s="8">
        <f t="shared" si="33"/>
        <v>46387</v>
      </c>
      <c r="E556" s="6" t="str" cm="1">
        <f t="array" ref="E556">choice(Groupes!A:A,1,Settings!$B$16)</f>
        <v>G23</v>
      </c>
      <c r="F556" s="6" t="str">
        <f t="shared" si="34"/>
        <v>G23</v>
      </c>
      <c r="G556" s="6" t="str">
        <f t="shared" si="35"/>
        <v>Prof51</v>
      </c>
      <c r="H556" s="6" t="str" cm="1">
        <f t="array" ref="H556">choice(Referentiel!A:A,1,Settings!$B$16)</f>
        <v>Design des mondes insulaires</v>
      </c>
      <c r="I556" s="6" t="str" cm="1">
        <f t="array" ref="I556">choice(Referentiel!B:B,1,Settings!$B$16)</f>
        <v>2ème année Art-Espace S1</v>
      </c>
      <c r="J556" s="6" t="str" cm="1">
        <f t="array" ref="J556">choice(Referentiel!D:D,1,Settings!$B$16)</f>
        <v>L1</v>
      </c>
      <c r="K556" s="6" t="str" cm="1">
        <f t="array" ref="K556">choice(Professeurs!B:B,1,Settings!$B$16)</f>
        <v>Prof51</v>
      </c>
      <c r="L556" s="5" t="str" cm="1">
        <f t="array" ref="L556">choice(Referentiel!C:C,1,Settings!$B$16)</f>
        <v>ordinateur</v>
      </c>
      <c r="M556" s="5" t="str" cm="1">
        <f t="array" ref="M556">choice(Referentiel!E:E,1,Settings!$B$16)</f>
        <v/>
      </c>
      <c r="N556" s="5" t="str" cm="1">
        <f t="array" ref="N556">choice(Settings!K:K,1,Settings!$B$16)</f>
        <v/>
      </c>
      <c r="P556" s="5">
        <f t="shared" si="36"/>
        <v>3</v>
      </c>
    </row>
    <row r="557" spans="1:16" ht="15.75" customHeight="1" x14ac:dyDescent="0.25">
      <c r="A557" s="6" t="s">
        <v>909</v>
      </c>
      <c r="B557" s="6" cm="1">
        <f t="array" ref="B557">alea_int(Settings!$B$10,1,Settings!$B$16)</f>
        <v>2</v>
      </c>
      <c r="C557" s="8">
        <v>46023</v>
      </c>
      <c r="D557" s="8">
        <f t="shared" si="33"/>
        <v>46387</v>
      </c>
      <c r="E557" s="6" t="str" cm="1">
        <f t="array" ref="E557">choice(Groupes!A:A,1,Settings!$B$16)</f>
        <v>G10</v>
      </c>
      <c r="F557" s="6" t="str">
        <f t="shared" si="34"/>
        <v>G10</v>
      </c>
      <c r="G557" s="6" t="str">
        <f t="shared" si="35"/>
        <v>Prof16</v>
      </c>
      <c r="H557" s="6" t="str" cm="1">
        <f t="array" ref="H557">choice(Referentiel!A:A,1,Settings!$B$16)</f>
        <v>Gr SPATIAL MEDIA</v>
      </c>
      <c r="I557" s="6" t="str" cm="1">
        <f t="array" ref="I557">choice(Referentiel!B:B,1,Settings!$B$16)</f>
        <v>4ème année Photo / Vidéo S2</v>
      </c>
      <c r="J557" s="6" t="str" cm="1">
        <f t="array" ref="J557">choice(Referentiel!D:D,1,Settings!$B$16)</f>
        <v>L1</v>
      </c>
      <c r="K557" s="6" t="str" cm="1">
        <f t="array" ref="K557">choice(Professeurs!B:B,1,Settings!$B$16)</f>
        <v>Prof16</v>
      </c>
      <c r="L557" s="5" t="str" cm="1">
        <f t="array" ref="L557">choice(Referentiel!C:C,1,Settings!$B$16)</f>
        <v/>
      </c>
      <c r="M557" s="5" t="str" cm="1">
        <f t="array" ref="M557">choice(Referentiel!E:E,1,Settings!$B$16)</f>
        <v/>
      </c>
      <c r="N557" s="5" t="str" cm="1">
        <f t="array" ref="N557">choice(Settings!K:K,1,Settings!$B$16)</f>
        <v>mardi pm</v>
      </c>
      <c r="P557" s="5">
        <f t="shared" si="36"/>
        <v>4</v>
      </c>
    </row>
    <row r="558" spans="1:16" ht="15.75" customHeight="1" x14ac:dyDescent="0.25">
      <c r="A558" s="6" t="s">
        <v>910</v>
      </c>
      <c r="B558" s="6" cm="1">
        <f t="array" ref="B558">alea_int(Settings!$B$10,1,Settings!$B$16)</f>
        <v>1</v>
      </c>
      <c r="C558" s="8">
        <v>46023</v>
      </c>
      <c r="D558" s="8">
        <f t="shared" si="33"/>
        <v>46387</v>
      </c>
      <c r="E558" s="6" t="str" cm="1">
        <f t="array" ref="E558">choice(Groupes!A:A,1,Settings!$B$16)</f>
        <v>G28</v>
      </c>
      <c r="F558" s="6" t="str">
        <f t="shared" si="34"/>
        <v>G28</v>
      </c>
      <c r="G558" s="6" t="str">
        <f t="shared" si="35"/>
        <v>Prof37</v>
      </c>
      <c r="H558" s="6" t="str" cm="1">
        <f t="array" ref="H558">choice(Referentiel!A:A,1,Settings!$B$16)</f>
        <v>Scénographie</v>
      </c>
      <c r="I558" s="6" t="str" cm="1">
        <f t="array" ref="I558">choice(Referentiel!B:B,1,Settings!$B$16)</f>
        <v>3ème année Design Vêtement S2</v>
      </c>
      <c r="J558" s="6" t="str" cm="1">
        <f t="array" ref="J558">choice(Referentiel!D:D,1,Settings!$B$16)</f>
        <v>L3</v>
      </c>
      <c r="K558" s="6" t="str" cm="1">
        <f t="array" ref="K558">choice(Professeurs!B:B,1,Settings!$B$16)</f>
        <v>Prof37</v>
      </c>
      <c r="L558" s="5" t="str" cm="1">
        <f t="array" ref="L558">choice(Referentiel!C:C,1,Settings!$B$16)</f>
        <v/>
      </c>
      <c r="M558" s="5" t="str" cm="1">
        <f t="array" ref="M558">choice(Referentiel!E:E,1,Settings!$B$16)</f>
        <v/>
      </c>
      <c r="N558" s="5" t="str" cm="1">
        <f t="array" ref="N558">choice(Settings!K:K,1,Settings!$B$16)</f>
        <v>lundi am</v>
      </c>
      <c r="P558" s="5">
        <f t="shared" si="36"/>
        <v>3</v>
      </c>
    </row>
    <row r="559" spans="1:16" ht="15.75" customHeight="1" x14ac:dyDescent="0.25">
      <c r="A559" s="6" t="s">
        <v>911</v>
      </c>
      <c r="B559" s="6" cm="1">
        <f t="array" ref="B559">alea_int(Settings!$B$10,1,Settings!$B$16)</f>
        <v>2</v>
      </c>
      <c r="C559" s="8">
        <v>46023</v>
      </c>
      <c r="D559" s="8">
        <f t="shared" si="33"/>
        <v>46387</v>
      </c>
      <c r="E559" s="6" t="str" cm="1">
        <f t="array" ref="E559">choice(Groupes!A:A,1,Settings!$B$16)</f>
        <v>G18</v>
      </c>
      <c r="F559" s="6" t="str">
        <f t="shared" si="34"/>
        <v>G18</v>
      </c>
      <c r="G559" s="6" t="str">
        <f t="shared" si="35"/>
        <v>Prof52</v>
      </c>
      <c r="H559" s="6" t="str" cm="1">
        <f t="array" ref="H559">choice(Referentiel!A:A,1,Settings!$B$16)</f>
        <v>1ère année Groupe 4</v>
      </c>
      <c r="I559" s="6" t="str" cm="1">
        <f t="array" ref="I559">choice(Referentiel!B:B,1,Settings!$B$16)</f>
        <v>2ème année Art-Espace S1</v>
      </c>
      <c r="J559" s="6" t="str" cm="1">
        <f t="array" ref="J559">choice(Referentiel!D:D,1,Settings!$B$16)</f>
        <v>L2</v>
      </c>
      <c r="K559" s="6" t="str" cm="1">
        <f t="array" ref="K559">choice(Professeurs!B:B,1,Settings!$B$16)</f>
        <v>Prof52</v>
      </c>
      <c r="L559" s="5" t="str" cm="1">
        <f t="array" ref="L559">choice(Referentiel!C:C,1,Settings!$B$16)</f>
        <v/>
      </c>
      <c r="M559" s="5" t="str" cm="1">
        <f t="array" ref="M559">choice(Referentiel!E:E,1,Settings!$B$16)</f>
        <v/>
      </c>
      <c r="N559" s="5" t="str" cm="1">
        <f t="array" ref="N559">choice(Settings!K:K,1,Settings!$B$16)</f>
        <v>vendredi am</v>
      </c>
      <c r="P559" s="5">
        <f t="shared" si="36"/>
        <v>4</v>
      </c>
    </row>
    <row r="560" spans="1:16" ht="15.75" customHeight="1" x14ac:dyDescent="0.25">
      <c r="A560" s="6" t="s">
        <v>912</v>
      </c>
      <c r="B560" s="6" cm="1">
        <f t="array" ref="B560">alea_int(Settings!$B$10,1,Settings!$B$16)</f>
        <v>1</v>
      </c>
      <c r="C560" s="8">
        <v>46023</v>
      </c>
      <c r="D560" s="8">
        <f t="shared" si="33"/>
        <v>46387</v>
      </c>
      <c r="E560" s="6" t="str" cm="1">
        <f t="array" ref="E560">choice(Groupes!A:A,1,Settings!$B$16)</f>
        <v>G26</v>
      </c>
      <c r="F560" s="6" t="str">
        <f t="shared" si="34"/>
        <v>G26</v>
      </c>
      <c r="G560" s="6" t="str">
        <f t="shared" si="35"/>
        <v>Prof34</v>
      </c>
      <c r="H560" s="6" t="str" cm="1">
        <f t="array" ref="H560">choice(Referentiel!A:A,1,Settings!$B$16)</f>
        <v>Gr SOFT MATTERS</v>
      </c>
      <c r="I560" s="6" t="str" cm="1">
        <f t="array" ref="I560">choice(Referentiel!B:B,1,Settings!$B$16)</f>
        <v>4ème année Design Vêtement S1</v>
      </c>
      <c r="J560" s="6" t="str" cm="1">
        <f t="array" ref="J560">choice(Referentiel!D:D,1,Settings!$B$16)</f>
        <v>L1</v>
      </c>
      <c r="K560" s="6" t="str" cm="1">
        <f t="array" ref="K560">choice(Professeurs!B:B,1,Settings!$B$16)</f>
        <v>Prof34</v>
      </c>
      <c r="L560" s="5" t="str" cm="1">
        <f t="array" ref="L560">choice(Referentiel!C:C,1,Settings!$B$16)</f>
        <v/>
      </c>
      <c r="M560" s="5" t="str" cm="1">
        <f t="array" ref="M560">choice(Referentiel!E:E,1,Settings!$B$16)</f>
        <v/>
      </c>
      <c r="N560" s="5" t="str" cm="1">
        <f t="array" ref="N560">choice(Settings!K:K,1,Settings!$B$16)</f>
        <v/>
      </c>
      <c r="P560" s="5">
        <f t="shared" si="36"/>
        <v>1</v>
      </c>
    </row>
    <row r="561" spans="1:16" ht="15.75" customHeight="1" x14ac:dyDescent="0.25">
      <c r="A561" s="6" t="s">
        <v>913</v>
      </c>
      <c r="B561" s="6" cm="1">
        <f t="array" ref="B561">alea_int(Settings!$B$10,1,Settings!$B$16)</f>
        <v>1</v>
      </c>
      <c r="C561" s="8">
        <v>46023</v>
      </c>
      <c r="D561" s="8">
        <f t="shared" si="33"/>
        <v>46387</v>
      </c>
      <c r="E561" s="6" t="str" cm="1">
        <f t="array" ref="E561">choice(Groupes!A:A,1,Settings!$B$16)</f>
        <v>G26</v>
      </c>
      <c r="F561" s="6" t="str">
        <f t="shared" si="34"/>
        <v>G26</v>
      </c>
      <c r="G561" s="6" t="str">
        <f t="shared" si="35"/>
        <v>Prof12</v>
      </c>
      <c r="H561" s="6" t="str" cm="1">
        <f t="array" ref="H561">choice(Referentiel!A:A,1,Settings!$B$16)</f>
        <v>Scénographie</v>
      </c>
      <c r="I561" s="6" t="str" cm="1">
        <f t="array" ref="I561">choice(Referentiel!B:B,1,Settings!$B$16)</f>
        <v>4ème année Scénographie S2</v>
      </c>
      <c r="J561" s="6" t="str" cm="1">
        <f t="array" ref="J561">choice(Referentiel!D:D,1,Settings!$B$16)</f>
        <v>L3</v>
      </c>
      <c r="K561" s="6" t="str" cm="1">
        <f t="array" ref="K561">choice(Professeurs!B:B,1,Settings!$B$16)</f>
        <v>Prof12</v>
      </c>
      <c r="L561" s="5" t="str" cm="1">
        <f t="array" ref="L561">choice(Referentiel!C:C,1,Settings!$B$16)</f>
        <v/>
      </c>
      <c r="M561" s="5" t="str" cm="1">
        <f t="array" ref="M561">choice(Referentiel!E:E,1,Settings!$B$16)</f>
        <v/>
      </c>
      <c r="N561" s="5" t="str" cm="1">
        <f t="array" ref="N561">choice(Settings!K:K,1,Settings!$B$16)</f>
        <v/>
      </c>
      <c r="P561" s="5">
        <f t="shared" si="36"/>
        <v>1</v>
      </c>
    </row>
    <row r="562" spans="1:16" ht="15.75" customHeight="1" x14ac:dyDescent="0.25">
      <c r="A562" s="6" t="s">
        <v>914</v>
      </c>
      <c r="B562" s="6" cm="1">
        <f t="array" ref="B562">alea_int(Settings!$B$10,1,Settings!$B$16)</f>
        <v>1</v>
      </c>
      <c r="C562" s="8">
        <v>46023</v>
      </c>
      <c r="D562" s="8">
        <f t="shared" si="33"/>
        <v>46387</v>
      </c>
      <c r="E562" s="6" t="str" cm="1">
        <f t="array" ref="E562">choice(Groupes!A:A,1,Settings!$B$16)</f>
        <v>G4</v>
      </c>
      <c r="F562" s="6" t="str">
        <f t="shared" si="34"/>
        <v>G4</v>
      </c>
      <c r="G562" s="6" t="str">
        <f t="shared" si="35"/>
        <v>Prof21</v>
      </c>
      <c r="H562" s="6" t="str" cm="1">
        <f t="array" ref="H562">choice(Referentiel!A:A,1,Settings!$B$16)</f>
        <v>Cinéma d'Animation</v>
      </c>
      <c r="I562" s="6" t="str" cm="1">
        <f t="array" ref="I562">choice(Referentiel!B:B,1,Settings!$B$16)</f>
        <v>3ème année Cinéma d'Animation S1</v>
      </c>
      <c r="J562" s="6" t="str" cm="1">
        <f t="array" ref="J562">choice(Referentiel!D:D,1,Settings!$B$16)</f>
        <v>L3</v>
      </c>
      <c r="K562" s="6" t="str" cm="1">
        <f t="array" ref="K562">choice(Professeurs!B:B,1,Settings!$B$16)</f>
        <v>Prof21</v>
      </c>
      <c r="L562" s="5" t="str" cm="1">
        <f t="array" ref="L562">choice(Referentiel!C:C,1,Settings!$B$16)</f>
        <v/>
      </c>
      <c r="M562" s="5" t="str" cm="1">
        <f t="array" ref="M562">choice(Referentiel!E:E,1,Settings!$B$16)</f>
        <v/>
      </c>
      <c r="N562" s="5" t="str" cm="1">
        <f t="array" ref="N562">choice(Settings!K:K,1,Settings!$B$16)</f>
        <v>lundi pm</v>
      </c>
      <c r="P562" s="5">
        <f t="shared" si="36"/>
        <v>3</v>
      </c>
    </row>
    <row r="563" spans="1:16" ht="15.75" customHeight="1" x14ac:dyDescent="0.25">
      <c r="A563" s="6" t="s">
        <v>915</v>
      </c>
      <c r="B563" s="6" cm="1">
        <f t="array" ref="B563">alea_int(Settings!$B$10,1,Settings!$B$16)</f>
        <v>1</v>
      </c>
      <c r="C563" s="8">
        <v>46023</v>
      </c>
      <c r="D563" s="8">
        <f t="shared" si="33"/>
        <v>46387</v>
      </c>
      <c r="E563" s="6" t="str" cm="1">
        <f t="array" ref="E563">choice(Groupes!A:A,1,Settings!$B$16)</f>
        <v>G12</v>
      </c>
      <c r="F563" s="6" t="str">
        <f t="shared" si="34"/>
        <v>G12</v>
      </c>
      <c r="G563" s="6" t="str">
        <f t="shared" si="35"/>
        <v>Prof9</v>
      </c>
      <c r="H563" s="6" t="str" cm="1">
        <f t="array" ref="H563">choice(Referentiel!A:A,1,Settings!$B$16)</f>
        <v>6ème année atelier</v>
      </c>
      <c r="I563" s="6" t="str" cm="1">
        <f t="array" ref="I563">choice(Referentiel!B:B,1,Settings!$B$16)</f>
        <v>5ème année Design Graphique S2</v>
      </c>
      <c r="J563" s="6" t="str" cm="1">
        <f t="array" ref="J563">choice(Referentiel!D:D,1,Settings!$B$16)</f>
        <v>M1</v>
      </c>
      <c r="K563" s="6" t="str" cm="1">
        <f t="array" ref="K563">choice(Professeurs!B:B,1,Settings!$B$16)</f>
        <v>Prof9</v>
      </c>
      <c r="L563" s="5" t="str" cm="1">
        <f t="array" ref="L563">choice(Referentiel!C:C,1,Settings!$B$16)</f>
        <v/>
      </c>
      <c r="M563" s="5" t="str" cm="1">
        <f t="array" ref="M563">choice(Referentiel!E:E,1,Settings!$B$16)</f>
        <v/>
      </c>
      <c r="N563" s="5" t="str" cm="1">
        <f t="array" ref="N563">choice(Settings!K:K,1,Settings!$B$16)</f>
        <v/>
      </c>
      <c r="P563" s="5">
        <f t="shared" si="36"/>
        <v>1</v>
      </c>
    </row>
    <row r="564" spans="1:16" ht="15.75" customHeight="1" x14ac:dyDescent="0.25">
      <c r="A564" s="6" t="s">
        <v>916</v>
      </c>
      <c r="B564" s="6" cm="1">
        <f t="array" ref="B564">alea_int(Settings!$B$10,1,Settings!$B$16)</f>
        <v>2</v>
      </c>
      <c r="C564" s="8">
        <v>46023</v>
      </c>
      <c r="D564" s="8">
        <f t="shared" si="33"/>
        <v>46387</v>
      </c>
      <c r="E564" s="6" t="str" cm="1">
        <f t="array" ref="E564">choice(Groupes!A:A,1,Settings!$B$16)</f>
        <v>G28</v>
      </c>
      <c r="F564" s="6" t="str">
        <f t="shared" si="34"/>
        <v>G28</v>
      </c>
      <c r="G564" s="6" t="str">
        <f t="shared" si="35"/>
        <v>Prof30</v>
      </c>
      <c r="H564" s="6" t="str" cm="1">
        <f t="array" ref="H564">choice(Referentiel!A:A,1,Settings!$B$16)</f>
        <v>Mode et Matière</v>
      </c>
      <c r="I564" s="6" t="str" cm="1">
        <f t="array" ref="I564">choice(Referentiel!B:B,1,Settings!$B$16)</f>
        <v>2ème année Design Graphique S2</v>
      </c>
      <c r="J564" s="6" t="str" cm="1">
        <f t="array" ref="J564">choice(Referentiel!D:D,1,Settings!$B$16)</f>
        <v>L3</v>
      </c>
      <c r="K564" s="6" t="str" cm="1">
        <f t="array" ref="K564">choice(Professeurs!B:B,1,Settings!$B$16)</f>
        <v>Prof30</v>
      </c>
      <c r="L564" s="5" t="str" cm="1">
        <f t="array" ref="L564">choice(Referentiel!C:C,1,Settings!$B$16)</f>
        <v/>
      </c>
      <c r="M564" s="5" t="str" cm="1">
        <f t="array" ref="M564">choice(Referentiel!E:E,1,Settings!$B$16)</f>
        <v/>
      </c>
      <c r="N564" s="5" t="str" cm="1">
        <f t="array" ref="N564">choice(Settings!K:K,1,Settings!$B$16)</f>
        <v>semaine</v>
      </c>
      <c r="P564" s="5">
        <f t="shared" si="36"/>
        <v>4</v>
      </c>
    </row>
    <row r="565" spans="1:16" ht="15.75" customHeight="1" x14ac:dyDescent="0.25">
      <c r="A565" s="6" t="s">
        <v>917</v>
      </c>
      <c r="B565" s="6" cm="1">
        <f t="array" ref="B565">alea_int(Settings!$B$10,1,Settings!$B$16)</f>
        <v>2</v>
      </c>
      <c r="C565" s="8">
        <v>46023</v>
      </c>
      <c r="D565" s="8">
        <f t="shared" si="33"/>
        <v>46387</v>
      </c>
      <c r="E565" s="6" t="str" cm="1">
        <f t="array" ref="E565">choice(Groupes!A:A,1,Settings!$B$16)</f>
        <v>G18</v>
      </c>
      <c r="F565" s="6" t="str">
        <f t="shared" si="34"/>
        <v>G18</v>
      </c>
      <c r="G565" s="6" t="str">
        <f t="shared" si="35"/>
        <v>Prof6</v>
      </c>
      <c r="H565" s="6" t="str" cm="1">
        <f t="array" ref="H565">choice(Referentiel!A:A,1,Settings!$B$16)</f>
        <v>Design des mondes montagneux</v>
      </c>
      <c r="I565" s="6" t="str" cm="1">
        <f t="array" ref="I565">choice(Referentiel!B:B,1,Settings!$B$16)</f>
        <v>5ème année Art-Espace S1</v>
      </c>
      <c r="J565" s="6" t="str" cm="1">
        <f t="array" ref="J565">choice(Referentiel!D:D,1,Settings!$B$16)</f>
        <v>M1</v>
      </c>
      <c r="K565" s="6" t="str" cm="1">
        <f t="array" ref="K565">choice(Professeurs!B:B,1,Settings!$B$16)</f>
        <v>Prof6</v>
      </c>
      <c r="L565" s="5" t="str" cm="1">
        <f t="array" ref="L565">choice(Referentiel!C:C,1,Settings!$B$16)</f>
        <v/>
      </c>
      <c r="M565" s="5" t="str" cm="1">
        <f t="array" ref="M565">choice(Referentiel!E:E,1,Settings!$B$16)</f>
        <v/>
      </c>
      <c r="N565" s="5" t="str" cm="1">
        <f t="array" ref="N565">choice(Settings!K:K,1,Settings!$B$16)</f>
        <v/>
      </c>
      <c r="P565" s="5">
        <f t="shared" si="36"/>
        <v>2</v>
      </c>
    </row>
    <row r="566" spans="1:16" ht="15.75" customHeight="1" x14ac:dyDescent="0.25">
      <c r="A566" s="6" t="s">
        <v>918</v>
      </c>
      <c r="B566" s="6" cm="1">
        <f t="array" ref="B566">alea_int(Settings!$B$10,1,Settings!$B$16)</f>
        <v>2</v>
      </c>
      <c r="C566" s="8">
        <v>46023</v>
      </c>
      <c r="D566" s="8">
        <f t="shared" si="33"/>
        <v>46387</v>
      </c>
      <c r="E566" s="6" t="str" cm="1">
        <f t="array" ref="E566">choice(Groupes!A:A,1,Settings!$B$16)</f>
        <v>G14</v>
      </c>
      <c r="F566" s="6" t="str">
        <f t="shared" si="34"/>
        <v>G14</v>
      </c>
      <c r="G566" s="6" t="str">
        <f t="shared" si="35"/>
        <v>Prof48</v>
      </c>
      <c r="H566" s="6" t="str" cm="1">
        <f t="array" ref="H566">choice(Referentiel!A:A,1,Settings!$B$16)</f>
        <v>Design Graphique</v>
      </c>
      <c r="I566" s="6" t="str" cm="1">
        <f t="array" ref="I566">choice(Referentiel!B:B,1,Settings!$B$16)</f>
        <v>3ème année Image Imprimée S1</v>
      </c>
      <c r="J566" s="6" t="str" cm="1">
        <f t="array" ref="J566">choice(Referentiel!D:D,1,Settings!$B$16)</f>
        <v>L2</v>
      </c>
      <c r="K566" s="6" t="str" cm="1">
        <f t="array" ref="K566">choice(Professeurs!B:B,1,Settings!$B$16)</f>
        <v>Prof48</v>
      </c>
      <c r="L566" s="5" t="str" cm="1">
        <f t="array" ref="L566">choice(Referentiel!C:C,1,Settings!$B$16)</f>
        <v/>
      </c>
      <c r="M566" s="5" t="str" cm="1">
        <f t="array" ref="M566">choice(Referentiel!E:E,1,Settings!$B$16)</f>
        <v/>
      </c>
      <c r="N566" s="5" t="str" cm="1">
        <f t="array" ref="N566">choice(Settings!K:K,1,Settings!$B$16)</f>
        <v/>
      </c>
      <c r="P566" s="5">
        <f t="shared" si="36"/>
        <v>2</v>
      </c>
    </row>
    <row r="567" spans="1:16" ht="15.75" customHeight="1" x14ac:dyDescent="0.25">
      <c r="A567" s="6" t="s">
        <v>919</v>
      </c>
      <c r="B567" s="6" cm="1">
        <f t="array" ref="B567">alea_int(Settings!$B$10,1,Settings!$B$16)</f>
        <v>1</v>
      </c>
      <c r="C567" s="8">
        <v>46023</v>
      </c>
      <c r="D567" s="8">
        <f t="shared" si="33"/>
        <v>46387</v>
      </c>
      <c r="E567" s="6" t="str" cm="1">
        <f t="array" ref="E567">choice(Groupes!A:A,1,Settings!$B$16)</f>
        <v>G27</v>
      </c>
      <c r="F567" s="6" t="str">
        <f t="shared" si="34"/>
        <v>G27</v>
      </c>
      <c r="G567" s="6" t="str">
        <f t="shared" si="35"/>
        <v>Prof41</v>
      </c>
      <c r="H567" s="6" t="str" cm="1">
        <f t="array" ref="H567">choice(Referentiel!A:A,1,Settings!$B$16)</f>
        <v>1ère année Groupe 3</v>
      </c>
      <c r="I567" s="6" t="str" cm="1">
        <f t="array" ref="I567">choice(Referentiel!B:B,1,Settings!$B$16)</f>
        <v>4ème année Scénographie S1</v>
      </c>
      <c r="J567" s="6" t="str" cm="1">
        <f t="array" ref="J567">choice(Referentiel!D:D,1,Settings!$B$16)</f>
        <v>M1</v>
      </c>
      <c r="K567" s="6" t="str" cm="1">
        <f t="array" ref="K567">choice(Professeurs!B:B,1,Settings!$B$16)</f>
        <v>Prof41</v>
      </c>
      <c r="L567" s="5" t="str" cm="1">
        <f t="array" ref="L567">choice(Referentiel!C:C,1,Settings!$B$16)</f>
        <v/>
      </c>
      <c r="M567" s="5" t="str" cm="1">
        <f t="array" ref="M567">choice(Referentiel!E:E,1,Settings!$B$16)</f>
        <v/>
      </c>
      <c r="N567" s="5" t="str" cm="1">
        <f t="array" ref="N567">choice(Settings!K:K,1,Settings!$B$16)</f>
        <v>vendredi pm</v>
      </c>
      <c r="P567" s="5">
        <f t="shared" si="36"/>
        <v>3</v>
      </c>
    </row>
    <row r="568" spans="1:16" ht="15.75" customHeight="1" x14ac:dyDescent="0.25">
      <c r="A568" s="6" t="s">
        <v>920</v>
      </c>
      <c r="B568" s="6" cm="1">
        <f t="array" ref="B568">alea_int(Settings!$B$10,1,Settings!$B$16)</f>
        <v>2</v>
      </c>
      <c r="C568" s="8">
        <v>46023</v>
      </c>
      <c r="D568" s="8">
        <f t="shared" si="33"/>
        <v>46387</v>
      </c>
      <c r="E568" s="6" t="str" cm="1">
        <f t="array" ref="E568">choice(Groupes!A:A,1,Settings!$B$16)</f>
        <v>G30</v>
      </c>
      <c r="F568" s="6" t="str">
        <f t="shared" si="34"/>
        <v>G30</v>
      </c>
      <c r="G568" s="6" t="str">
        <f t="shared" si="35"/>
        <v>Prof43</v>
      </c>
      <c r="H568" s="6" t="str" cm="1">
        <f t="array" ref="H568">choice(Referentiel!A:A,1,Settings!$B$16)</f>
        <v>Design des mondes ruraux</v>
      </c>
      <c r="I568" s="6" t="str" cm="1">
        <f t="array" ref="I568">choice(Referentiel!B:B,1,Settings!$B$16)</f>
        <v>5ème année Design Textile et Matière S2</v>
      </c>
      <c r="J568" s="6" t="str" cm="1">
        <f t="array" ref="J568">choice(Referentiel!D:D,1,Settings!$B$16)</f>
        <v>L3</v>
      </c>
      <c r="K568" s="6" t="str" cm="1">
        <f t="array" ref="K568">choice(Professeurs!B:B,1,Settings!$B$16)</f>
        <v>Prof43</v>
      </c>
      <c r="L568" s="5" t="str" cm="1">
        <f t="array" ref="L568">choice(Referentiel!C:C,1,Settings!$B$16)</f>
        <v/>
      </c>
      <c r="M568" s="5" t="str" cm="1">
        <f t="array" ref="M568">choice(Referentiel!E:E,1,Settings!$B$16)</f>
        <v/>
      </c>
      <c r="N568" s="5" t="str" cm="1">
        <f t="array" ref="N568">choice(Settings!K:K,1,Settings!$B$16)</f>
        <v/>
      </c>
      <c r="P568" s="5">
        <f t="shared" si="36"/>
        <v>2</v>
      </c>
    </row>
    <row r="569" spans="1:16" ht="15.75" customHeight="1" x14ac:dyDescent="0.25">
      <c r="A569" s="6" t="s">
        <v>921</v>
      </c>
      <c r="B569" s="6" cm="1">
        <f t="array" ref="B569">alea_int(Settings!$B$10,1,Settings!$B$16)</f>
        <v>1</v>
      </c>
      <c r="C569" s="8">
        <v>46023</v>
      </c>
      <c r="D569" s="8">
        <f t="shared" si="33"/>
        <v>46387</v>
      </c>
      <c r="E569" s="6" t="str" cm="1">
        <f t="array" ref="E569">choice(Groupes!A:A,1,Settings!$B$16)</f>
        <v>G8</v>
      </c>
      <c r="F569" s="6" t="str">
        <f t="shared" si="34"/>
        <v>G8</v>
      </c>
      <c r="G569" s="6" t="str">
        <f t="shared" si="35"/>
        <v>Prof20</v>
      </c>
      <c r="H569" s="6" t="str" cm="1">
        <f t="array" ref="H569">choice(Referentiel!A:A,1,Settings!$B$16)</f>
        <v>Design des mondes forestiers</v>
      </c>
      <c r="I569" s="6" t="str" cm="1">
        <f t="array" ref="I569">choice(Referentiel!B:B,1,Settings!$B$16)</f>
        <v>4ème année Design Graphique S1</v>
      </c>
      <c r="J569" s="6" t="str" cm="1">
        <f t="array" ref="J569">choice(Referentiel!D:D,1,Settings!$B$16)</f>
        <v>L1</v>
      </c>
      <c r="K569" s="6" t="str" cm="1">
        <f t="array" ref="K569">choice(Professeurs!B:B,1,Settings!$B$16)</f>
        <v>Prof20</v>
      </c>
      <c r="L569" s="5" t="str" cm="1">
        <f t="array" ref="L569">choice(Referentiel!C:C,1,Settings!$B$16)</f>
        <v/>
      </c>
      <c r="M569" s="5" t="str" cm="1">
        <f t="array" ref="M569">choice(Referentiel!E:E,1,Settings!$B$16)</f>
        <v/>
      </c>
      <c r="N569" s="5" t="str" cm="1">
        <f t="array" ref="N569">choice(Settings!K:K,1,Settings!$B$16)</f>
        <v/>
      </c>
      <c r="P569" s="5">
        <f t="shared" si="36"/>
        <v>1</v>
      </c>
    </row>
    <row r="570" spans="1:16" ht="15.75" customHeight="1" x14ac:dyDescent="0.25">
      <c r="A570" s="6" t="s">
        <v>922</v>
      </c>
      <c r="B570" s="6" cm="1">
        <f t="array" ref="B570">alea_int(Settings!$B$10,1,Settings!$B$16)</f>
        <v>1</v>
      </c>
      <c r="C570" s="8">
        <v>46023</v>
      </c>
      <c r="D570" s="8">
        <f t="shared" si="33"/>
        <v>46387</v>
      </c>
      <c r="E570" s="6" t="str" cm="1">
        <f t="array" ref="E570">choice(Groupes!A:A,1,Settings!$B$16)</f>
        <v>G4</v>
      </c>
      <c r="F570" s="6" t="str">
        <f t="shared" si="34"/>
        <v>G4</v>
      </c>
      <c r="G570" s="6" t="str">
        <f t="shared" si="35"/>
        <v>Prof15</v>
      </c>
      <c r="H570" s="6" t="str" cm="1">
        <f t="array" ref="H570">choice(Referentiel!A:A,1,Settings!$B$16)</f>
        <v>Photo / Vidéo</v>
      </c>
      <c r="I570" s="6" t="str" cm="1">
        <f t="array" ref="I570">choice(Referentiel!B:B,1,Settings!$B$16)</f>
        <v>4ème année Design Vêtement S2</v>
      </c>
      <c r="J570" s="6" t="str" cm="1">
        <f t="array" ref="J570">choice(Referentiel!D:D,1,Settings!$B$16)</f>
        <v>M1</v>
      </c>
      <c r="K570" s="6" t="str" cm="1">
        <f t="array" ref="K570">choice(Professeurs!B:B,1,Settings!$B$16)</f>
        <v>Prof15</v>
      </c>
      <c r="L570" s="5" t="str" cm="1">
        <f t="array" ref="L570">choice(Referentiel!C:C,1,Settings!$B$16)</f>
        <v/>
      </c>
      <c r="M570" s="5" t="str" cm="1">
        <f t="array" ref="M570">choice(Referentiel!E:E,1,Settings!$B$16)</f>
        <v/>
      </c>
      <c r="N570" s="5" t="str" cm="1">
        <f t="array" ref="N570">choice(Settings!K:K,1,Settings!$B$16)</f>
        <v>mardi pm</v>
      </c>
      <c r="P570" s="5">
        <f t="shared" si="36"/>
        <v>3</v>
      </c>
    </row>
    <row r="571" spans="1:16" ht="15.75" customHeight="1" x14ac:dyDescent="0.25">
      <c r="A571" s="6" t="s">
        <v>923</v>
      </c>
      <c r="B571" s="6" cm="1">
        <f t="array" ref="B571">alea_int(Settings!$B$10,1,Settings!$B$16)</f>
        <v>1</v>
      </c>
      <c r="C571" s="8">
        <v>46023</v>
      </c>
      <c r="D571" s="8">
        <f t="shared" si="33"/>
        <v>46387</v>
      </c>
      <c r="E571" s="6" t="str" cm="1">
        <f t="array" ref="E571">choice(Groupes!A:A,1,Settings!$B$16)</f>
        <v>G24</v>
      </c>
      <c r="F571" s="6" t="str">
        <f t="shared" si="34"/>
        <v>G24</v>
      </c>
      <c r="G571" s="6" t="str">
        <f t="shared" si="35"/>
        <v>Prof28</v>
      </c>
      <c r="H571" s="6" t="str" cm="1">
        <f t="array" ref="H571">choice(Referentiel!A:A,1,Settings!$B$16)</f>
        <v>Design Textile et Matière</v>
      </c>
      <c r="I571" s="6" t="str" cm="1">
        <f t="array" ref="I571">choice(Referentiel!B:B,1,Settings!$B$16)</f>
        <v>5ème année Design Textile et Matière S1</v>
      </c>
      <c r="J571" s="6" t="str" cm="1">
        <f t="array" ref="J571">choice(Referentiel!D:D,1,Settings!$B$16)</f>
        <v>M2</v>
      </c>
      <c r="K571" s="6" t="str" cm="1">
        <f t="array" ref="K571">choice(Professeurs!B:B,1,Settings!$B$16)</f>
        <v>Prof28</v>
      </c>
      <c r="L571" s="5" t="str" cm="1">
        <f t="array" ref="L571">choice(Referentiel!C:C,1,Settings!$B$16)</f>
        <v/>
      </c>
      <c r="M571" s="5" t="str" cm="1">
        <f t="array" ref="M571">choice(Referentiel!E:E,1,Settings!$B$16)</f>
        <v/>
      </c>
      <c r="N571" s="5" t="str" cm="1">
        <f t="array" ref="N571">choice(Settings!K:K,1,Settings!$B$16)</f>
        <v/>
      </c>
      <c r="P571" s="5">
        <f t="shared" si="36"/>
        <v>1</v>
      </c>
    </row>
    <row r="572" spans="1:16" ht="15.75" customHeight="1" x14ac:dyDescent="0.25">
      <c r="A572" s="6" t="s">
        <v>924</v>
      </c>
      <c r="B572" s="6" cm="1">
        <f t="array" ref="B572">alea_int(Settings!$B$10,1,Settings!$B$16)</f>
        <v>3</v>
      </c>
      <c r="C572" s="8">
        <v>46023</v>
      </c>
      <c r="D572" s="8">
        <f t="shared" si="33"/>
        <v>46387</v>
      </c>
      <c r="E572" s="6" t="str" cm="1">
        <f t="array" ref="E572">choice(Groupes!A:A,1,Settings!$B$16)</f>
        <v>G24</v>
      </c>
      <c r="F572" s="6" t="str">
        <f t="shared" si="34"/>
        <v>G24</v>
      </c>
      <c r="G572" s="6" t="str">
        <f t="shared" si="35"/>
        <v>Prof51</v>
      </c>
      <c r="H572" s="6" t="str" cm="1">
        <f t="array" ref="H572">choice(Referentiel!A:A,1,Settings!$B$16)</f>
        <v>Scénographie</v>
      </c>
      <c r="I572" s="6" t="str" cm="1">
        <f t="array" ref="I572">choice(Referentiel!B:B,1,Settings!$B$16)</f>
        <v>5ème année Scénographie S2</v>
      </c>
      <c r="J572" s="6" t="str" cm="1">
        <f t="array" ref="J572">choice(Referentiel!D:D,1,Settings!$B$16)</f>
        <v>L2</v>
      </c>
      <c r="K572" s="6" t="str" cm="1">
        <f t="array" ref="K572">choice(Professeurs!B:B,1,Settings!$B$16)</f>
        <v>Prof51</v>
      </c>
      <c r="L572" s="5" t="str" cm="1">
        <f t="array" ref="L572">choice(Referentiel!C:C,1,Settings!$B$16)</f>
        <v/>
      </c>
      <c r="M572" s="5" t="str" cm="1">
        <f t="array" ref="M572">choice(Referentiel!E:E,1,Settings!$B$16)</f>
        <v/>
      </c>
      <c r="N572" s="5" t="str" cm="1">
        <f t="array" ref="N572">choice(Settings!K:K,1,Settings!$B$16)</f>
        <v>semaine</v>
      </c>
      <c r="P572" s="5">
        <f t="shared" si="36"/>
        <v>5</v>
      </c>
    </row>
    <row r="573" spans="1:16" ht="15.75" customHeight="1" x14ac:dyDescent="0.25">
      <c r="A573" s="6" t="s">
        <v>925</v>
      </c>
      <c r="B573" s="6" cm="1">
        <f t="array" ref="B573">alea_int(Settings!$B$10,1,Settings!$B$16)</f>
        <v>3</v>
      </c>
      <c r="C573" s="8">
        <v>46023</v>
      </c>
      <c r="D573" s="8">
        <f t="shared" si="33"/>
        <v>46387</v>
      </c>
      <c r="E573" s="6" t="str" cm="1">
        <f t="array" ref="E573">choice(Groupes!A:A,1,Settings!$B$16)</f>
        <v>G22</v>
      </c>
      <c r="F573" s="6" t="str">
        <f t="shared" si="34"/>
        <v>G22</v>
      </c>
      <c r="G573" s="6" t="str">
        <f t="shared" si="35"/>
        <v>Prof55</v>
      </c>
      <c r="H573" s="6" t="str" cm="1">
        <f t="array" ref="H573">choice(Referentiel!A:A,1,Settings!$B$16)</f>
        <v>1ère année Groupe 1</v>
      </c>
      <c r="I573" s="6" t="str" cm="1">
        <f t="array" ref="I573">choice(Referentiel!B:B,1,Settings!$B$16)</f>
        <v>3ème année Design Textile et Matière S2</v>
      </c>
      <c r="J573" s="6" t="str" cm="1">
        <f t="array" ref="J573">choice(Referentiel!D:D,1,Settings!$B$16)</f>
        <v>L1</v>
      </c>
      <c r="K573" s="6" t="str" cm="1">
        <f t="array" ref="K573">choice(Professeurs!B:B,1,Settings!$B$16)</f>
        <v>Prof55</v>
      </c>
      <c r="L573" s="5" t="str" cm="1">
        <f t="array" ref="L573">choice(Referentiel!C:C,1,Settings!$B$16)</f>
        <v/>
      </c>
      <c r="M573" s="5" t="str" cm="1">
        <f t="array" ref="M573">choice(Referentiel!E:E,1,Settings!$B$16)</f>
        <v/>
      </c>
      <c r="N573" s="5" t="str" cm="1">
        <f t="array" ref="N573">choice(Settings!K:K,1,Settings!$B$16)</f>
        <v>vendredi pm</v>
      </c>
      <c r="P573" s="5">
        <f t="shared" si="36"/>
        <v>5</v>
      </c>
    </row>
    <row r="574" spans="1:16" ht="15.75" customHeight="1" x14ac:dyDescent="0.25">
      <c r="A574" s="6" t="s">
        <v>926</v>
      </c>
      <c r="B574" s="6" cm="1">
        <f t="array" ref="B574">alea_int(Settings!$B$10,1,Settings!$B$16)</f>
        <v>3</v>
      </c>
      <c r="C574" s="8">
        <v>46023</v>
      </c>
      <c r="D574" s="8">
        <f t="shared" si="33"/>
        <v>46387</v>
      </c>
      <c r="E574" s="6" t="str" cm="1">
        <f t="array" ref="E574">choice(Groupes!A:A,1,Settings!$B$16)</f>
        <v>G5</v>
      </c>
      <c r="F574" s="6" t="str">
        <f t="shared" si="34"/>
        <v>G5</v>
      </c>
      <c r="G574" s="6" t="str">
        <f t="shared" si="35"/>
        <v>Prof35</v>
      </c>
      <c r="H574" s="6" t="str" cm="1">
        <f t="array" ref="H574">choice(Referentiel!A:A,1,Settings!$B$16)</f>
        <v>Design Textile et Matière</v>
      </c>
      <c r="I574" s="6" t="str" cm="1">
        <f t="array" ref="I574">choice(Referentiel!B:B,1,Settings!$B$16)</f>
        <v>2ème année Architecture Intérieure S2</v>
      </c>
      <c r="J574" s="6" t="str" cm="1">
        <f t="array" ref="J574">choice(Referentiel!D:D,1,Settings!$B$16)</f>
        <v>M2</v>
      </c>
      <c r="K574" s="6" t="str" cm="1">
        <f t="array" ref="K574">choice(Professeurs!B:B,1,Settings!$B$16)</f>
        <v>Prof35</v>
      </c>
      <c r="L574" s="5" t="str" cm="1">
        <f t="array" ref="L574">choice(Referentiel!C:C,1,Settings!$B$16)</f>
        <v/>
      </c>
      <c r="M574" s="5" t="str" cm="1">
        <f t="array" ref="M574">choice(Referentiel!E:E,1,Settings!$B$16)</f>
        <v/>
      </c>
      <c r="N574" s="5" t="str" cm="1">
        <f t="array" ref="N574">choice(Settings!K:K,1,Settings!$B$16)</f>
        <v>lundi pm</v>
      </c>
      <c r="P574" s="5">
        <f t="shared" si="36"/>
        <v>5</v>
      </c>
    </row>
    <row r="575" spans="1:16" ht="15.75" customHeight="1" x14ac:dyDescent="0.25">
      <c r="A575" s="6" t="s">
        <v>927</v>
      </c>
      <c r="B575" s="6" cm="1">
        <f t="array" ref="B575">alea_int(Settings!$B$10,1,Settings!$B$16)</f>
        <v>3</v>
      </c>
      <c r="C575" s="8">
        <v>46023</v>
      </c>
      <c r="D575" s="8">
        <f t="shared" si="33"/>
        <v>46387</v>
      </c>
      <c r="E575" s="6" t="str" cm="1">
        <f t="array" ref="E575">choice(Groupes!A:A,1,Settings!$B$16)</f>
        <v>G13</v>
      </c>
      <c r="F575" s="6" t="str">
        <f t="shared" si="34"/>
        <v>G13</v>
      </c>
      <c r="G575" s="6" t="str">
        <f t="shared" si="35"/>
        <v>Prof46</v>
      </c>
      <c r="H575" s="6" t="str" cm="1">
        <f t="array" ref="H575">choice(Referentiel!A:A,1,Settings!$B$16)</f>
        <v>Gr SOFT MATTERS</v>
      </c>
      <c r="I575" s="6" t="str" cm="1">
        <f t="array" ref="I575">choice(Referentiel!B:B,1,Settings!$B$16)</f>
        <v>5ème année Cinéma d'Animation S1</v>
      </c>
      <c r="J575" s="6" t="str" cm="1">
        <f t="array" ref="J575">choice(Referentiel!D:D,1,Settings!$B$16)</f>
        <v>M1</v>
      </c>
      <c r="K575" s="6" t="str" cm="1">
        <f t="array" ref="K575">choice(Professeurs!B:B,1,Settings!$B$16)</f>
        <v>Prof46</v>
      </c>
      <c r="L575" s="5" t="str" cm="1">
        <f t="array" ref="L575">choice(Referentiel!C:C,1,Settings!$B$16)</f>
        <v/>
      </c>
      <c r="M575" s="5" t="str" cm="1">
        <f t="array" ref="M575">choice(Referentiel!E:E,1,Settings!$B$16)</f>
        <v/>
      </c>
      <c r="N575" s="5" t="str" cm="1">
        <f t="array" ref="N575">choice(Settings!K:K,1,Settings!$B$16)</f>
        <v/>
      </c>
      <c r="P575" s="5">
        <f t="shared" si="36"/>
        <v>3</v>
      </c>
    </row>
    <row r="576" spans="1:16" ht="15.75" customHeight="1" x14ac:dyDescent="0.25">
      <c r="A576" s="6" t="s">
        <v>928</v>
      </c>
      <c r="B576" s="6" cm="1">
        <f t="array" ref="B576">alea_int(Settings!$B$10,1,Settings!$B$16)</f>
        <v>2</v>
      </c>
      <c r="C576" s="8">
        <v>46023</v>
      </c>
      <c r="D576" s="8">
        <f t="shared" si="33"/>
        <v>46387</v>
      </c>
      <c r="E576" s="6" t="str" cm="1">
        <f t="array" ref="E576">choice(Groupes!A:A,1,Settings!$B$16)</f>
        <v>G20</v>
      </c>
      <c r="F576" s="6" t="str">
        <f t="shared" si="34"/>
        <v>G20</v>
      </c>
      <c r="G576" s="6" t="str">
        <f t="shared" si="35"/>
        <v>Prof41</v>
      </c>
      <c r="H576" s="6" t="str" cm="1">
        <f t="array" ref="H576">choice(Referentiel!A:A,1,Settings!$B$16)</f>
        <v>Design des mondes littoraux</v>
      </c>
      <c r="I576" s="6" t="str" cm="1">
        <f t="array" ref="I576">choice(Referentiel!B:B,1,Settings!$B$16)</f>
        <v>4ème année Design Objet S1</v>
      </c>
      <c r="J576" s="6" t="str" cm="1">
        <f t="array" ref="J576">choice(Referentiel!D:D,1,Settings!$B$16)</f>
        <v>L3</v>
      </c>
      <c r="K576" s="6" t="str" cm="1">
        <f t="array" ref="K576">choice(Professeurs!B:B,1,Settings!$B$16)</f>
        <v>Prof41</v>
      </c>
      <c r="L576" s="5" t="str" cm="1">
        <f t="array" ref="L576">choice(Referentiel!C:C,1,Settings!$B$16)</f>
        <v/>
      </c>
      <c r="M576" s="5" t="str" cm="1">
        <f t="array" ref="M576">choice(Referentiel!E:E,1,Settings!$B$16)</f>
        <v/>
      </c>
      <c r="N576" s="5" t="str" cm="1">
        <f t="array" ref="N576">choice(Settings!K:K,1,Settings!$B$16)</f>
        <v/>
      </c>
      <c r="P576" s="5">
        <f t="shared" si="36"/>
        <v>2</v>
      </c>
    </row>
    <row r="577" spans="1:16" ht="15.75" customHeight="1" x14ac:dyDescent="0.25">
      <c r="A577" s="6" t="s">
        <v>929</v>
      </c>
      <c r="B577" s="6" cm="1">
        <f t="array" ref="B577">alea_int(Settings!$B$10,1,Settings!$B$16)</f>
        <v>1</v>
      </c>
      <c r="C577" s="8">
        <v>46023</v>
      </c>
      <c r="D577" s="8">
        <f t="shared" si="33"/>
        <v>46387</v>
      </c>
      <c r="E577" s="6" t="str" cm="1">
        <f t="array" ref="E577">choice(Groupes!A:A,1,Settings!$B$16)</f>
        <v>G2</v>
      </c>
      <c r="F577" s="6" t="str">
        <f t="shared" si="34"/>
        <v>G2</v>
      </c>
      <c r="G577" s="6" t="str">
        <f t="shared" si="35"/>
        <v>Prof49</v>
      </c>
      <c r="H577" s="6" t="str" cm="1">
        <f t="array" ref="H577">choice(Referentiel!A:A,1,Settings!$B$16)</f>
        <v>Cinéma d'Animation</v>
      </c>
      <c r="I577" s="6" t="str" cm="1">
        <f t="array" ref="I577">choice(Referentiel!B:B,1,Settings!$B$16)</f>
        <v>5ème année Architecture Intérieure S1</v>
      </c>
      <c r="J577" s="6" t="str" cm="1">
        <f t="array" ref="J577">choice(Referentiel!D:D,1,Settings!$B$16)</f>
        <v>M1</v>
      </c>
      <c r="K577" s="6" t="str" cm="1">
        <f t="array" ref="K577">choice(Professeurs!B:B,1,Settings!$B$16)</f>
        <v>Prof49</v>
      </c>
      <c r="L577" s="5" t="str" cm="1">
        <f t="array" ref="L577">choice(Referentiel!C:C,1,Settings!$B$16)</f>
        <v/>
      </c>
      <c r="M577" s="5" t="str" cm="1">
        <f t="array" ref="M577">choice(Referentiel!E:E,1,Settings!$B$16)</f>
        <v/>
      </c>
      <c r="N577" s="5" t="str" cm="1">
        <f t="array" ref="N577">choice(Settings!K:K,1,Settings!$B$16)</f>
        <v>jeudi am</v>
      </c>
      <c r="P577" s="5">
        <f t="shared" si="36"/>
        <v>3</v>
      </c>
    </row>
    <row r="578" spans="1:16" ht="15.75" customHeight="1" x14ac:dyDescent="0.25">
      <c r="A578" s="6" t="s">
        <v>930</v>
      </c>
      <c r="B578" s="6" cm="1">
        <f t="array" ref="B578">alea_int(Settings!$B$10,1,Settings!$B$16)</f>
        <v>3</v>
      </c>
      <c r="C578" s="8">
        <v>46023</v>
      </c>
      <c r="D578" s="8">
        <f t="shared" si="33"/>
        <v>46387</v>
      </c>
      <c r="E578" s="6" t="str" cm="1">
        <f t="array" ref="E578">choice(Groupes!A:A,1,Settings!$B$16)</f>
        <v>G14</v>
      </c>
      <c r="F578" s="6" t="str">
        <f t="shared" si="34"/>
        <v>G14</v>
      </c>
      <c r="G578" s="6" t="str">
        <f t="shared" si="35"/>
        <v>Prof37</v>
      </c>
      <c r="H578" s="6" t="str" cm="1">
        <f t="array" ref="H578">choice(Referentiel!A:A,1,Settings!$B$16)</f>
        <v>Design des mondes ruraux</v>
      </c>
      <c r="I578" s="6" t="str" cm="1">
        <f t="array" ref="I578">choice(Referentiel!B:B,1,Settings!$B$16)</f>
        <v>4ème année Design Vêtement S2</v>
      </c>
      <c r="J578" s="6" t="str" cm="1">
        <f t="array" ref="J578">choice(Referentiel!D:D,1,Settings!$B$16)</f>
        <v>L3</v>
      </c>
      <c r="K578" s="6" t="str" cm="1">
        <f t="array" ref="K578">choice(Professeurs!B:B,1,Settings!$B$16)</f>
        <v>Prof37</v>
      </c>
      <c r="L578" s="5" t="str" cm="1">
        <f t="array" ref="L578">choice(Referentiel!C:C,1,Settings!$B$16)</f>
        <v/>
      </c>
      <c r="M578" s="5" t="str" cm="1">
        <f t="array" ref="M578">choice(Referentiel!E:E,1,Settings!$B$16)</f>
        <v/>
      </c>
      <c r="N578" s="5" t="str" cm="1">
        <f t="array" ref="N578">choice(Settings!K:K,1,Settings!$B$16)</f>
        <v/>
      </c>
      <c r="P578" s="5">
        <f t="shared" si="36"/>
        <v>3</v>
      </c>
    </row>
    <row r="579" spans="1:16" ht="15.75" customHeight="1" x14ac:dyDescent="0.25">
      <c r="A579" s="6" t="s">
        <v>931</v>
      </c>
      <c r="B579" s="6" cm="1">
        <f t="array" ref="B579">alea_int(Settings!$B$10,1,Settings!$B$16)</f>
        <v>3</v>
      </c>
      <c r="C579" s="8">
        <v>46023</v>
      </c>
      <c r="D579" s="8">
        <f t="shared" ref="D579:D642" si="37">C579+364</f>
        <v>46387</v>
      </c>
      <c r="E579" s="6" t="str" cm="1">
        <f t="array" ref="E579">choice(Groupes!A:A,1,Settings!$B$16)</f>
        <v>G6</v>
      </c>
      <c r="F579" s="6" t="str">
        <f t="shared" ref="F579:F642" si="38">E579</f>
        <v>G6</v>
      </c>
      <c r="G579" s="6" t="str">
        <f t="shared" ref="G579:G642" si="39">K579</f>
        <v>Prof27</v>
      </c>
      <c r="H579" s="6" t="str" cm="1">
        <f t="array" ref="H579">choice(Referentiel!A:A,1,Settings!$B$16)</f>
        <v>Photo / Vidéo</v>
      </c>
      <c r="I579" s="6" t="str" cm="1">
        <f t="array" ref="I579">choice(Referentiel!B:B,1,Settings!$B$16)</f>
        <v>1ère Année Groupe 1 S1</v>
      </c>
      <c r="J579" s="6" t="str" cm="1">
        <f t="array" ref="J579">choice(Referentiel!D:D,1,Settings!$B$16)</f>
        <v>L3</v>
      </c>
      <c r="K579" s="6" t="str" cm="1">
        <f t="array" ref="K579">choice(Professeurs!B:B,1,Settings!$B$16)</f>
        <v>Prof27</v>
      </c>
      <c r="L579" s="5" t="str" cm="1">
        <f t="array" ref="L579">choice(Referentiel!C:C,1,Settings!$B$16)</f>
        <v/>
      </c>
      <c r="M579" s="5" t="str" cm="1">
        <f t="array" ref="M579">choice(Referentiel!E:E,1,Settings!$B$16)</f>
        <v/>
      </c>
      <c r="N579" s="5" t="str" cm="1">
        <f t="array" ref="N579">choice(Settings!K:K,1,Settings!$B$16)</f>
        <v/>
      </c>
      <c r="P579" s="5">
        <f t="shared" ref="P579:P642" si="40">B579+IF(M579&lt;&gt;"",2,0)+IF(N579&lt;&gt;"",2,0)</f>
        <v>3</v>
      </c>
    </row>
    <row r="580" spans="1:16" ht="15.75" customHeight="1" x14ac:dyDescent="0.25">
      <c r="A580" s="6" t="s">
        <v>932</v>
      </c>
      <c r="B580" s="6" cm="1">
        <f t="array" ref="B580">alea_int(Settings!$B$10,1,Settings!$B$16)</f>
        <v>2</v>
      </c>
      <c r="C580" s="8">
        <v>46023</v>
      </c>
      <c r="D580" s="8">
        <f t="shared" si="37"/>
        <v>46387</v>
      </c>
      <c r="E580" s="6" t="str" cm="1">
        <f t="array" ref="E580">choice(Groupes!A:A,1,Settings!$B$16)</f>
        <v>G13</v>
      </c>
      <c r="F580" s="6" t="str">
        <f t="shared" si="38"/>
        <v>G13</v>
      </c>
      <c r="G580" s="6" t="str">
        <f t="shared" si="39"/>
        <v>Prof20</v>
      </c>
      <c r="H580" s="6" t="str" cm="1">
        <f t="array" ref="H580">choice(Referentiel!A:A,1,Settings!$B$16)</f>
        <v>Gr SYMBIOSE</v>
      </c>
      <c r="I580" s="6" t="str" cm="1">
        <f t="array" ref="I580">choice(Referentiel!B:B,1,Settings!$B$16)</f>
        <v>4ème année Architecture Intérieure S2</v>
      </c>
      <c r="J580" s="6" t="str" cm="1">
        <f t="array" ref="J580">choice(Referentiel!D:D,1,Settings!$B$16)</f>
        <v>L2</v>
      </c>
      <c r="K580" s="6" t="str" cm="1">
        <f t="array" ref="K580">choice(Professeurs!B:B,1,Settings!$B$16)</f>
        <v>Prof20</v>
      </c>
      <c r="L580" s="5" t="str" cm="1">
        <f t="array" ref="L580">choice(Referentiel!C:C,1,Settings!$B$16)</f>
        <v/>
      </c>
      <c r="M580" s="5" t="str" cm="1">
        <f t="array" ref="M580">choice(Referentiel!E:E,1,Settings!$B$16)</f>
        <v/>
      </c>
      <c r="N580" s="5" t="str" cm="1">
        <f t="array" ref="N580">choice(Settings!K:K,1,Settings!$B$16)</f>
        <v/>
      </c>
      <c r="P580" s="5">
        <f t="shared" si="40"/>
        <v>2</v>
      </c>
    </row>
    <row r="581" spans="1:16" ht="15.75" customHeight="1" x14ac:dyDescent="0.25">
      <c r="A581" s="6" t="s">
        <v>933</v>
      </c>
      <c r="B581" s="6" cm="1">
        <f t="array" ref="B581">alea_int(Settings!$B$10,1,Settings!$B$16)</f>
        <v>2</v>
      </c>
      <c r="C581" s="8">
        <v>46023</v>
      </c>
      <c r="D581" s="8">
        <f t="shared" si="37"/>
        <v>46387</v>
      </c>
      <c r="E581" s="6" t="str" cm="1">
        <f t="array" ref="E581">choice(Groupes!A:A,1,Settings!$B$16)</f>
        <v>G30</v>
      </c>
      <c r="F581" s="6" t="str">
        <f t="shared" si="38"/>
        <v>G30</v>
      </c>
      <c r="G581" s="6" t="str">
        <f t="shared" si="39"/>
        <v>Prof17</v>
      </c>
      <c r="H581" s="6" t="str" cm="1">
        <f t="array" ref="H581">choice(Referentiel!A:A,1,Settings!$B$16)</f>
        <v>Art-Espace</v>
      </c>
      <c r="I581" s="6" t="str" cm="1">
        <f t="array" ref="I581">choice(Referentiel!B:B,1,Settings!$B$16)</f>
        <v>5ème année Design Vêtement S1</v>
      </c>
      <c r="J581" s="6" t="str" cm="1">
        <f t="array" ref="J581">choice(Referentiel!D:D,1,Settings!$B$16)</f>
        <v>L1</v>
      </c>
      <c r="K581" s="6" t="str" cm="1">
        <f t="array" ref="K581">choice(Professeurs!B:B,1,Settings!$B$16)</f>
        <v>Prof17</v>
      </c>
      <c r="L581" s="5" t="str" cm="1">
        <f t="array" ref="L581">choice(Referentiel!C:C,1,Settings!$B$16)</f>
        <v/>
      </c>
      <c r="M581" s="5" t="str" cm="1">
        <f t="array" ref="M581">choice(Referentiel!E:E,1,Settings!$B$16)</f>
        <v/>
      </c>
      <c r="N581" s="5" t="str" cm="1">
        <f t="array" ref="N581">choice(Settings!K:K,1,Settings!$B$16)</f>
        <v/>
      </c>
      <c r="P581" s="5">
        <f t="shared" si="40"/>
        <v>2</v>
      </c>
    </row>
    <row r="582" spans="1:16" ht="15.75" customHeight="1" x14ac:dyDescent="0.25">
      <c r="A582" s="6" t="s">
        <v>934</v>
      </c>
      <c r="B582" s="6" cm="1">
        <f t="array" ref="B582">alea_int(Settings!$B$10,1,Settings!$B$16)</f>
        <v>1</v>
      </c>
      <c r="C582" s="8">
        <v>46023</v>
      </c>
      <c r="D582" s="8">
        <f t="shared" si="37"/>
        <v>46387</v>
      </c>
      <c r="E582" s="6" t="str" cm="1">
        <f t="array" ref="E582">choice(Groupes!A:A,1,Settings!$B$16)</f>
        <v>G10</v>
      </c>
      <c r="F582" s="6" t="str">
        <f t="shared" si="38"/>
        <v>G10</v>
      </c>
      <c r="G582" s="6" t="str">
        <f t="shared" si="39"/>
        <v>Prof18</v>
      </c>
      <c r="H582" s="6" t="str" cm="1">
        <f t="array" ref="H582">choice(Referentiel!A:A,1,Settings!$B$16)</f>
        <v>Design des mondes littoraux</v>
      </c>
      <c r="I582" s="6" t="str" cm="1">
        <f t="array" ref="I582">choice(Referentiel!B:B,1,Settings!$B$16)</f>
        <v>4ème année Art-Espace S2</v>
      </c>
      <c r="J582" s="6" t="str" cm="1">
        <f t="array" ref="J582">choice(Referentiel!D:D,1,Settings!$B$16)</f>
        <v>L2</v>
      </c>
      <c r="K582" s="6" t="str" cm="1">
        <f t="array" ref="K582">choice(Professeurs!B:B,1,Settings!$B$16)</f>
        <v>Prof18</v>
      </c>
      <c r="L582" s="5" t="str" cm="1">
        <f t="array" ref="L582">choice(Referentiel!C:C,1,Settings!$B$16)</f>
        <v/>
      </c>
      <c r="M582" s="5" t="str" cm="1">
        <f t="array" ref="M582">choice(Referentiel!E:E,1,Settings!$B$16)</f>
        <v/>
      </c>
      <c r="N582" s="5" t="str" cm="1">
        <f t="array" ref="N582">choice(Settings!K:K,1,Settings!$B$16)</f>
        <v/>
      </c>
      <c r="P582" s="5">
        <f t="shared" si="40"/>
        <v>1</v>
      </c>
    </row>
    <row r="583" spans="1:16" ht="15.75" customHeight="1" x14ac:dyDescent="0.25">
      <c r="A583" s="6" t="s">
        <v>935</v>
      </c>
      <c r="B583" s="6" cm="1">
        <f t="array" ref="B583">alea_int(Settings!$B$10,1,Settings!$B$16)</f>
        <v>1</v>
      </c>
      <c r="C583" s="8">
        <v>46023</v>
      </c>
      <c r="D583" s="8">
        <f t="shared" si="37"/>
        <v>46387</v>
      </c>
      <c r="E583" s="6" t="str" cm="1">
        <f t="array" ref="E583">choice(Groupes!A:A,1,Settings!$B$16)</f>
        <v>G2</v>
      </c>
      <c r="F583" s="6" t="str">
        <f t="shared" si="38"/>
        <v>G2</v>
      </c>
      <c r="G583" s="6" t="str">
        <f t="shared" si="39"/>
        <v>Prof3</v>
      </c>
      <c r="H583" s="6" t="str" cm="1">
        <f t="array" ref="H583">choice(Referentiel!A:A,1,Settings!$B$16)</f>
        <v>Design Objet</v>
      </c>
      <c r="I583" s="6" t="str" cm="1">
        <f t="array" ref="I583">choice(Referentiel!B:B,1,Settings!$B$16)</f>
        <v>5ème année Cinéma d'Animation S2</v>
      </c>
      <c r="J583" s="6" t="str" cm="1">
        <f t="array" ref="J583">choice(Referentiel!D:D,1,Settings!$B$16)</f>
        <v>M2</v>
      </c>
      <c r="K583" s="6" t="str" cm="1">
        <f t="array" ref="K583">choice(Professeurs!B:B,1,Settings!$B$16)</f>
        <v>Prof3</v>
      </c>
      <c r="L583" s="5" t="str" cm="1">
        <f t="array" ref="L583">choice(Referentiel!C:C,1,Settings!$B$16)</f>
        <v/>
      </c>
      <c r="M583" s="5" t="str" cm="1">
        <f t="array" ref="M583">choice(Referentiel!E:E,1,Settings!$B$16)</f>
        <v/>
      </c>
      <c r="N583" s="5" t="str" cm="1">
        <f t="array" ref="N583">choice(Settings!K:K,1,Settings!$B$16)</f>
        <v>semaine</v>
      </c>
      <c r="P583" s="5">
        <f t="shared" si="40"/>
        <v>3</v>
      </c>
    </row>
    <row r="584" spans="1:16" ht="15.75" customHeight="1" x14ac:dyDescent="0.25">
      <c r="A584" s="6" t="s">
        <v>936</v>
      </c>
      <c r="B584" s="6" cm="1">
        <f t="array" ref="B584">alea_int(Settings!$B$10,1,Settings!$B$16)</f>
        <v>1</v>
      </c>
      <c r="C584" s="8">
        <v>46023</v>
      </c>
      <c r="D584" s="8">
        <f t="shared" si="37"/>
        <v>46387</v>
      </c>
      <c r="E584" s="6" t="str" cm="1">
        <f t="array" ref="E584">choice(Groupes!A:A,1,Settings!$B$16)</f>
        <v>G14</v>
      </c>
      <c r="F584" s="6" t="str">
        <f t="shared" si="38"/>
        <v>G14</v>
      </c>
      <c r="G584" s="6" t="str">
        <f t="shared" si="39"/>
        <v>Prof50</v>
      </c>
      <c r="H584" s="6" t="str" cm="1">
        <f t="array" ref="H584">choice(Referentiel!A:A,1,Settings!$B$16)</f>
        <v>Gr SPATIAL MEDIA</v>
      </c>
      <c r="I584" s="6" t="str" cm="1">
        <f t="array" ref="I584">choice(Referentiel!B:B,1,Settings!$B$16)</f>
        <v>3ème année Art-Espace S1</v>
      </c>
      <c r="J584" s="6" t="str" cm="1">
        <f t="array" ref="J584">choice(Referentiel!D:D,1,Settings!$B$16)</f>
        <v>L1</v>
      </c>
      <c r="K584" s="6" t="str" cm="1">
        <f t="array" ref="K584">choice(Professeurs!B:B,1,Settings!$B$16)</f>
        <v>Prof50</v>
      </c>
      <c r="L584" s="5" t="str" cm="1">
        <f t="array" ref="L584">choice(Referentiel!C:C,1,Settings!$B$16)</f>
        <v/>
      </c>
      <c r="M584" s="5" t="str" cm="1">
        <f t="array" ref="M584">choice(Referentiel!E:E,1,Settings!$B$16)</f>
        <v/>
      </c>
      <c r="N584" s="5" t="str" cm="1">
        <f t="array" ref="N584">choice(Settings!K:K,1,Settings!$B$16)</f>
        <v/>
      </c>
      <c r="P584" s="5">
        <f t="shared" si="40"/>
        <v>1</v>
      </c>
    </row>
    <row r="585" spans="1:16" ht="15.75" customHeight="1" x14ac:dyDescent="0.25">
      <c r="A585" s="6" t="s">
        <v>937</v>
      </c>
      <c r="B585" s="6" cm="1">
        <f t="array" ref="B585">alea_int(Settings!$B$10,1,Settings!$B$16)</f>
        <v>1</v>
      </c>
      <c r="C585" s="8">
        <v>46023</v>
      </c>
      <c r="D585" s="8">
        <f t="shared" si="37"/>
        <v>46387</v>
      </c>
      <c r="E585" s="6" t="str" cm="1">
        <f t="array" ref="E585">choice(Groupes!A:A,1,Settings!$B$16)</f>
        <v>G25</v>
      </c>
      <c r="F585" s="6" t="str">
        <f t="shared" si="38"/>
        <v>G25</v>
      </c>
      <c r="G585" s="6" t="str">
        <f t="shared" si="39"/>
        <v>Prof11</v>
      </c>
      <c r="H585" s="6" t="str" cm="1">
        <f t="array" ref="H585">choice(Referentiel!A:A,1,Settings!$B$16)</f>
        <v>1ère année Groupe 3</v>
      </c>
      <c r="I585" s="6" t="str" cm="1">
        <f t="array" ref="I585">choice(Referentiel!B:B,1,Settings!$B$16)</f>
        <v>3ème année Image Imprimée S2</v>
      </c>
      <c r="J585" s="6" t="str" cm="1">
        <f t="array" ref="J585">choice(Referentiel!D:D,1,Settings!$B$16)</f>
        <v>L3</v>
      </c>
      <c r="K585" s="6" t="str" cm="1">
        <f t="array" ref="K585">choice(Professeurs!B:B,1,Settings!$B$16)</f>
        <v>Prof11</v>
      </c>
      <c r="L585" s="5" t="str" cm="1">
        <f t="array" ref="L585">choice(Referentiel!C:C,1,Settings!$B$16)</f>
        <v/>
      </c>
      <c r="M585" s="5" t="str" cm="1">
        <f t="array" ref="M585">choice(Referentiel!E:E,1,Settings!$B$16)</f>
        <v/>
      </c>
      <c r="N585" s="5" t="str" cm="1">
        <f t="array" ref="N585">choice(Settings!K:K,1,Settings!$B$16)</f>
        <v>mardi am</v>
      </c>
      <c r="P585" s="5">
        <f t="shared" si="40"/>
        <v>3</v>
      </c>
    </row>
    <row r="586" spans="1:16" ht="15.75" customHeight="1" x14ac:dyDescent="0.25">
      <c r="A586" s="6" t="s">
        <v>938</v>
      </c>
      <c r="B586" s="6" cm="1">
        <f t="array" ref="B586">alea_int(Settings!$B$10,1,Settings!$B$16)</f>
        <v>1</v>
      </c>
      <c r="C586" s="8">
        <v>46023</v>
      </c>
      <c r="D586" s="8">
        <f t="shared" si="37"/>
        <v>46387</v>
      </c>
      <c r="E586" s="6" t="str" cm="1">
        <f t="array" ref="E586">choice(Groupes!A:A,1,Settings!$B$16)</f>
        <v>G29</v>
      </c>
      <c r="F586" s="6" t="str">
        <f t="shared" si="38"/>
        <v>G29</v>
      </c>
      <c r="G586" s="6" t="str">
        <f t="shared" si="39"/>
        <v>Prof14</v>
      </c>
      <c r="H586" s="6" t="str" cm="1">
        <f t="array" ref="H586">choice(Referentiel!A:A,1,Settings!$B$16)</f>
        <v>1ère année Groupe 3</v>
      </c>
      <c r="I586" s="6" t="str" cm="1">
        <f t="array" ref="I586">choice(Referentiel!B:B,1,Settings!$B$16)</f>
        <v>4ème année Architecture Intérieure S1</v>
      </c>
      <c r="J586" s="6" t="str" cm="1">
        <f t="array" ref="J586">choice(Referentiel!D:D,1,Settings!$B$16)</f>
        <v>L1</v>
      </c>
      <c r="K586" s="6" t="str" cm="1">
        <f t="array" ref="K586">choice(Professeurs!B:B,1,Settings!$B$16)</f>
        <v>Prof14</v>
      </c>
      <c r="L586" s="5" t="str" cm="1">
        <f t="array" ref="L586">choice(Referentiel!C:C,1,Settings!$B$16)</f>
        <v/>
      </c>
      <c r="M586" s="5" t="str" cm="1">
        <f t="array" ref="M586">choice(Referentiel!E:E,1,Settings!$B$16)</f>
        <v/>
      </c>
      <c r="N586" s="5" t="str" cm="1">
        <f t="array" ref="N586">choice(Settings!K:K,1,Settings!$B$16)</f>
        <v/>
      </c>
      <c r="P586" s="5">
        <f t="shared" si="40"/>
        <v>1</v>
      </c>
    </row>
    <row r="587" spans="1:16" ht="15.75" customHeight="1" x14ac:dyDescent="0.25">
      <c r="A587" s="6" t="s">
        <v>939</v>
      </c>
      <c r="B587" s="6" cm="1">
        <f t="array" ref="B587">alea_int(Settings!$B$10,1,Settings!$B$16)</f>
        <v>1</v>
      </c>
      <c r="C587" s="8">
        <v>46023</v>
      </c>
      <c r="D587" s="8">
        <f t="shared" si="37"/>
        <v>46387</v>
      </c>
      <c r="E587" s="6" t="str" cm="1">
        <f t="array" ref="E587">choice(Groupes!A:A,1,Settings!$B$16)</f>
        <v>G22</v>
      </c>
      <c r="F587" s="6" t="str">
        <f t="shared" si="38"/>
        <v>G22</v>
      </c>
      <c r="G587" s="6" t="str">
        <f t="shared" si="39"/>
        <v>Prof38</v>
      </c>
      <c r="H587" s="6" t="str" cm="1">
        <f t="array" ref="H587">choice(Referentiel!A:A,1,Settings!$B$16)</f>
        <v>Design des mondes forestiers</v>
      </c>
      <c r="I587" s="6" t="str" cm="1">
        <f t="array" ref="I587">choice(Referentiel!B:B,1,Settings!$B$16)</f>
        <v>5ème année Scénographie S2</v>
      </c>
      <c r="J587" s="6" t="str" cm="1">
        <f t="array" ref="J587">choice(Referentiel!D:D,1,Settings!$B$16)</f>
        <v>L3</v>
      </c>
      <c r="K587" s="6" t="str" cm="1">
        <f t="array" ref="K587">choice(Professeurs!B:B,1,Settings!$B$16)</f>
        <v>Prof38</v>
      </c>
      <c r="L587" s="5" t="str" cm="1">
        <f t="array" ref="L587">choice(Referentiel!C:C,1,Settings!$B$16)</f>
        <v/>
      </c>
      <c r="M587" s="5" t="str" cm="1">
        <f t="array" ref="M587">choice(Referentiel!E:E,1,Settings!$B$16)</f>
        <v/>
      </c>
      <c r="N587" s="5" t="str" cm="1">
        <f t="array" ref="N587">choice(Settings!K:K,1,Settings!$B$16)</f>
        <v/>
      </c>
      <c r="P587" s="5">
        <f t="shared" si="40"/>
        <v>1</v>
      </c>
    </row>
    <row r="588" spans="1:16" ht="15.75" customHeight="1" x14ac:dyDescent="0.25">
      <c r="A588" s="6" t="s">
        <v>940</v>
      </c>
      <c r="B588" s="6" cm="1">
        <f t="array" ref="B588">alea_int(Settings!$B$10,1,Settings!$B$16)</f>
        <v>3</v>
      </c>
      <c r="C588" s="8">
        <v>46023</v>
      </c>
      <c r="D588" s="8">
        <f t="shared" si="37"/>
        <v>46387</v>
      </c>
      <c r="E588" s="6" t="str" cm="1">
        <f t="array" ref="E588">choice(Groupes!A:A,1,Settings!$B$16)</f>
        <v>G14</v>
      </c>
      <c r="F588" s="6" t="str">
        <f t="shared" si="38"/>
        <v>G14</v>
      </c>
      <c r="G588" s="6" t="str">
        <f t="shared" si="39"/>
        <v>Prof35</v>
      </c>
      <c r="H588" s="6" t="str" cm="1">
        <f t="array" ref="H588">choice(Referentiel!A:A,1,Settings!$B$16)</f>
        <v>Design Vêtement</v>
      </c>
      <c r="I588" s="6" t="str" cm="1">
        <f t="array" ref="I588">choice(Referentiel!B:B,1,Settings!$B$16)</f>
        <v>4ème année Scénographie S2</v>
      </c>
      <c r="J588" s="6" t="str" cm="1">
        <f t="array" ref="J588">choice(Referentiel!D:D,1,Settings!$B$16)</f>
        <v>L2</v>
      </c>
      <c r="K588" s="6" t="str" cm="1">
        <f t="array" ref="K588">choice(Professeurs!B:B,1,Settings!$B$16)</f>
        <v>Prof35</v>
      </c>
      <c r="L588" s="5" t="str" cm="1">
        <f t="array" ref="L588">choice(Referentiel!C:C,1,Settings!$B$16)</f>
        <v/>
      </c>
      <c r="M588" s="5" t="str" cm="1">
        <f t="array" ref="M588">choice(Referentiel!E:E,1,Settings!$B$16)</f>
        <v/>
      </c>
      <c r="N588" s="5" t="str" cm="1">
        <f t="array" ref="N588">choice(Settings!K:K,1,Settings!$B$16)</f>
        <v/>
      </c>
      <c r="P588" s="5">
        <f t="shared" si="40"/>
        <v>3</v>
      </c>
    </row>
    <row r="589" spans="1:16" ht="15.75" customHeight="1" x14ac:dyDescent="0.25">
      <c r="A589" s="6" t="s">
        <v>941</v>
      </c>
      <c r="B589" s="6" cm="1">
        <f t="array" ref="B589">alea_int(Settings!$B$10,1,Settings!$B$16)</f>
        <v>2</v>
      </c>
      <c r="C589" s="8">
        <v>46023</v>
      </c>
      <c r="D589" s="8">
        <f t="shared" si="37"/>
        <v>46387</v>
      </c>
      <c r="E589" s="6" t="str" cm="1">
        <f t="array" ref="E589">choice(Groupes!A:A,1,Settings!$B$16)</f>
        <v>G3</v>
      </c>
      <c r="F589" s="6" t="str">
        <f t="shared" si="38"/>
        <v>G3</v>
      </c>
      <c r="G589" s="6" t="str">
        <f t="shared" si="39"/>
        <v>Prof30</v>
      </c>
      <c r="H589" s="6" t="str" cm="1">
        <f t="array" ref="H589">choice(Referentiel!A:A,1,Settings!$B$16)</f>
        <v>Art-Espace</v>
      </c>
      <c r="I589" s="6" t="str" cm="1">
        <f t="array" ref="I589">choice(Referentiel!B:B,1,Settings!$B$16)</f>
        <v>2ème année Cinéma d'Animation S1</v>
      </c>
      <c r="J589" s="6" t="str" cm="1">
        <f t="array" ref="J589">choice(Referentiel!D:D,1,Settings!$B$16)</f>
        <v>M1</v>
      </c>
      <c r="K589" s="6" t="str" cm="1">
        <f t="array" ref="K589">choice(Professeurs!B:B,1,Settings!$B$16)</f>
        <v>Prof30</v>
      </c>
      <c r="L589" s="5" t="str" cm="1">
        <f t="array" ref="L589">choice(Referentiel!C:C,1,Settings!$B$16)</f>
        <v/>
      </c>
      <c r="M589" s="5" t="str" cm="1">
        <f t="array" ref="M589">choice(Referentiel!E:E,1,Settings!$B$16)</f>
        <v/>
      </c>
      <c r="N589" s="5" t="str" cm="1">
        <f t="array" ref="N589">choice(Settings!K:K,1,Settings!$B$16)</f>
        <v/>
      </c>
      <c r="P589" s="5">
        <f t="shared" si="40"/>
        <v>2</v>
      </c>
    </row>
    <row r="590" spans="1:16" ht="15.75" customHeight="1" x14ac:dyDescent="0.25">
      <c r="A590" s="6" t="s">
        <v>942</v>
      </c>
      <c r="B590" s="6" cm="1">
        <f t="array" ref="B590">alea_int(Settings!$B$10,1,Settings!$B$16)</f>
        <v>2</v>
      </c>
      <c r="C590" s="8">
        <v>46023</v>
      </c>
      <c r="D590" s="8">
        <f t="shared" si="37"/>
        <v>46387</v>
      </c>
      <c r="E590" s="6" t="str" cm="1">
        <f t="array" ref="E590">choice(Groupes!A:A,1,Settings!$B$16)</f>
        <v>G18</v>
      </c>
      <c r="F590" s="6" t="str">
        <f t="shared" si="38"/>
        <v>G18</v>
      </c>
      <c r="G590" s="6" t="str">
        <f t="shared" si="39"/>
        <v>Prof28</v>
      </c>
      <c r="H590" s="6" t="str" cm="1">
        <f t="array" ref="H590">choice(Referentiel!A:A,1,Settings!$B$16)</f>
        <v>Design Graphique</v>
      </c>
      <c r="I590" s="6" t="str" cm="1">
        <f t="array" ref="I590">choice(Referentiel!B:B,1,Settings!$B$16)</f>
        <v>4ème année Design Vêtement S2</v>
      </c>
      <c r="J590" s="6" t="str" cm="1">
        <f t="array" ref="J590">choice(Referentiel!D:D,1,Settings!$B$16)</f>
        <v>M1</v>
      </c>
      <c r="K590" s="6" t="str" cm="1">
        <f t="array" ref="K590">choice(Professeurs!B:B,1,Settings!$B$16)</f>
        <v>Prof28</v>
      </c>
      <c r="L590" s="5" t="str" cm="1">
        <f t="array" ref="L590">choice(Referentiel!C:C,1,Settings!$B$16)</f>
        <v/>
      </c>
      <c r="M590" s="5" t="str" cm="1">
        <f t="array" ref="M590">choice(Referentiel!E:E,1,Settings!$B$16)</f>
        <v/>
      </c>
      <c r="N590" s="5" t="str" cm="1">
        <f t="array" ref="N590">choice(Settings!K:K,1,Settings!$B$16)</f>
        <v>lundi pm</v>
      </c>
      <c r="P590" s="5">
        <f t="shared" si="40"/>
        <v>4</v>
      </c>
    </row>
    <row r="591" spans="1:16" ht="15.75" customHeight="1" x14ac:dyDescent="0.25">
      <c r="A591" s="6" t="s">
        <v>943</v>
      </c>
      <c r="B591" s="6" cm="1">
        <f t="array" ref="B591">alea_int(Settings!$B$10,1,Settings!$B$16)</f>
        <v>1</v>
      </c>
      <c r="C591" s="8">
        <v>46023</v>
      </c>
      <c r="D591" s="8">
        <f t="shared" si="37"/>
        <v>46387</v>
      </c>
      <c r="E591" s="6" t="str" cm="1">
        <f t="array" ref="E591">choice(Groupes!A:A,1,Settings!$B$16)</f>
        <v>G4</v>
      </c>
      <c r="F591" s="6" t="str">
        <f t="shared" si="38"/>
        <v>G4</v>
      </c>
      <c r="G591" s="6" t="str">
        <f t="shared" si="39"/>
        <v>Prof31</v>
      </c>
      <c r="H591" s="6" t="str" cm="1">
        <f t="array" ref="H591">choice(Referentiel!A:A,1,Settings!$B$16)</f>
        <v>Design des mondes urbains</v>
      </c>
      <c r="I591" s="6" t="str" cm="1">
        <f t="array" ref="I591">choice(Referentiel!B:B,1,Settings!$B$16)</f>
        <v>5ème année Design Objet S2</v>
      </c>
      <c r="J591" s="6" t="str" cm="1">
        <f t="array" ref="J591">choice(Referentiel!D:D,1,Settings!$B$16)</f>
        <v>L3</v>
      </c>
      <c r="K591" s="6" t="str" cm="1">
        <f t="array" ref="K591">choice(Professeurs!B:B,1,Settings!$B$16)</f>
        <v>Prof31</v>
      </c>
      <c r="L591" s="5" t="str" cm="1">
        <f t="array" ref="L591">choice(Referentiel!C:C,1,Settings!$B$16)</f>
        <v/>
      </c>
      <c r="M591" s="5" t="str" cm="1">
        <f t="array" ref="M591">choice(Referentiel!E:E,1,Settings!$B$16)</f>
        <v/>
      </c>
      <c r="N591" s="5" t="str" cm="1">
        <f t="array" ref="N591">choice(Settings!K:K,1,Settings!$B$16)</f>
        <v/>
      </c>
      <c r="P591" s="5">
        <f t="shared" si="40"/>
        <v>1</v>
      </c>
    </row>
    <row r="592" spans="1:16" ht="15.75" customHeight="1" x14ac:dyDescent="0.25">
      <c r="A592" s="6" t="s">
        <v>944</v>
      </c>
      <c r="B592" s="6" cm="1">
        <f t="array" ref="B592">alea_int(Settings!$B$10,1,Settings!$B$16)</f>
        <v>1</v>
      </c>
      <c r="C592" s="8">
        <v>46023</v>
      </c>
      <c r="D592" s="8">
        <f t="shared" si="37"/>
        <v>46387</v>
      </c>
      <c r="E592" s="6" t="str" cm="1">
        <f t="array" ref="E592">choice(Groupes!A:A,1,Settings!$B$16)</f>
        <v>G16</v>
      </c>
      <c r="F592" s="6" t="str">
        <f t="shared" si="38"/>
        <v>G16</v>
      </c>
      <c r="G592" s="6" t="str">
        <f t="shared" si="39"/>
        <v>Prof37</v>
      </c>
      <c r="H592" s="6" t="str" cm="1">
        <f t="array" ref="H592">choice(Referentiel!A:A,1,Settings!$B$16)</f>
        <v>Cinéma d'Animation</v>
      </c>
      <c r="I592" s="6" t="str" cm="1">
        <f t="array" ref="I592">choice(Referentiel!B:B,1,Settings!$B$16)</f>
        <v>2ème année Art-Espace S2</v>
      </c>
      <c r="J592" s="6" t="str" cm="1">
        <f t="array" ref="J592">choice(Referentiel!D:D,1,Settings!$B$16)</f>
        <v>L2</v>
      </c>
      <c r="K592" s="6" t="str" cm="1">
        <f t="array" ref="K592">choice(Professeurs!B:B,1,Settings!$B$16)</f>
        <v>Prof37</v>
      </c>
      <c r="L592" s="5" t="str" cm="1">
        <f t="array" ref="L592">choice(Referentiel!C:C,1,Settings!$B$16)</f>
        <v/>
      </c>
      <c r="M592" s="5" t="str" cm="1">
        <f t="array" ref="M592">choice(Referentiel!E:E,1,Settings!$B$16)</f>
        <v/>
      </c>
      <c r="N592" s="5" t="str" cm="1">
        <f t="array" ref="N592">choice(Settings!K:K,1,Settings!$B$16)</f>
        <v/>
      </c>
      <c r="P592" s="5">
        <f t="shared" si="40"/>
        <v>1</v>
      </c>
    </row>
    <row r="593" spans="1:16" ht="15.75" customHeight="1" x14ac:dyDescent="0.25">
      <c r="A593" s="6" t="s">
        <v>945</v>
      </c>
      <c r="B593" s="6" cm="1">
        <f t="array" ref="B593">alea_int(Settings!$B$10,1,Settings!$B$16)</f>
        <v>3</v>
      </c>
      <c r="C593" s="8">
        <v>46023</v>
      </c>
      <c r="D593" s="8">
        <f t="shared" si="37"/>
        <v>46387</v>
      </c>
      <c r="E593" s="6" t="str" cm="1">
        <f t="array" ref="E593">choice(Groupes!A:A,1,Settings!$B$16)</f>
        <v>G30</v>
      </c>
      <c r="F593" s="6" t="str">
        <f t="shared" si="38"/>
        <v>G30</v>
      </c>
      <c r="G593" s="6" t="str">
        <f t="shared" si="39"/>
        <v>Prof39</v>
      </c>
      <c r="H593" s="6" t="str" cm="1">
        <f t="array" ref="H593">choice(Referentiel!A:A,1,Settings!$B$16)</f>
        <v>Gr SPATIAL MEDIA</v>
      </c>
      <c r="I593" s="6" t="str" cm="1">
        <f t="array" ref="I593">choice(Referentiel!B:B,1,Settings!$B$16)</f>
        <v>2ème année Art-Espace S1</v>
      </c>
      <c r="J593" s="6" t="str" cm="1">
        <f t="array" ref="J593">choice(Referentiel!D:D,1,Settings!$B$16)</f>
        <v>L2</v>
      </c>
      <c r="K593" s="6" t="str" cm="1">
        <f t="array" ref="K593">choice(Professeurs!B:B,1,Settings!$B$16)</f>
        <v>Prof39</v>
      </c>
      <c r="L593" s="5" t="str" cm="1">
        <f t="array" ref="L593">choice(Referentiel!C:C,1,Settings!$B$16)</f>
        <v/>
      </c>
      <c r="M593" s="5" t="str" cm="1">
        <f t="array" ref="M593">choice(Referentiel!E:E,1,Settings!$B$16)</f>
        <v/>
      </c>
      <c r="N593" s="5" t="str" cm="1">
        <f t="array" ref="N593">choice(Settings!K:K,1,Settings!$B$16)</f>
        <v>vendredi pm</v>
      </c>
      <c r="P593" s="5">
        <f t="shared" si="40"/>
        <v>5</v>
      </c>
    </row>
    <row r="594" spans="1:16" ht="15.75" customHeight="1" x14ac:dyDescent="0.25">
      <c r="A594" s="6" t="s">
        <v>946</v>
      </c>
      <c r="B594" s="6" cm="1">
        <f t="array" ref="B594">alea_int(Settings!$B$10,1,Settings!$B$16)</f>
        <v>2</v>
      </c>
      <c r="C594" s="8">
        <v>46023</v>
      </c>
      <c r="D594" s="8">
        <f t="shared" si="37"/>
        <v>46387</v>
      </c>
      <c r="E594" s="6" t="str" cm="1">
        <f t="array" ref="E594">choice(Groupes!A:A,1,Settings!$B$16)</f>
        <v>G21</v>
      </c>
      <c r="F594" s="6" t="str">
        <f t="shared" si="38"/>
        <v>G21</v>
      </c>
      <c r="G594" s="6" t="str">
        <f t="shared" si="39"/>
        <v>Prof19</v>
      </c>
      <c r="H594" s="6" t="str" cm="1">
        <f t="array" ref="H594">choice(Referentiel!A:A,1,Settings!$B$16)</f>
        <v>Design Vêtement</v>
      </c>
      <c r="I594" s="6" t="str" cm="1">
        <f t="array" ref="I594">choice(Referentiel!B:B,1,Settings!$B$16)</f>
        <v>5ème année Design Objet S1</v>
      </c>
      <c r="J594" s="6" t="str" cm="1">
        <f t="array" ref="J594">choice(Referentiel!D:D,1,Settings!$B$16)</f>
        <v>M1</v>
      </c>
      <c r="K594" s="6" t="str" cm="1">
        <f t="array" ref="K594">choice(Professeurs!B:B,1,Settings!$B$16)</f>
        <v>Prof19</v>
      </c>
      <c r="L594" s="5" t="str" cm="1">
        <f t="array" ref="L594">choice(Referentiel!C:C,1,Settings!$B$16)</f>
        <v/>
      </c>
      <c r="M594" s="5" t="str" cm="1">
        <f t="array" ref="M594">choice(Referentiel!E:E,1,Settings!$B$16)</f>
        <v/>
      </c>
      <c r="N594" s="5" t="str" cm="1">
        <f t="array" ref="N594">choice(Settings!K:K,1,Settings!$B$16)</f>
        <v/>
      </c>
      <c r="P594" s="5">
        <f t="shared" si="40"/>
        <v>2</v>
      </c>
    </row>
    <row r="595" spans="1:16" ht="15.75" customHeight="1" x14ac:dyDescent="0.25">
      <c r="A595" s="6" t="s">
        <v>947</v>
      </c>
      <c r="B595" s="6" cm="1">
        <f t="array" ref="B595">alea_int(Settings!$B$10,1,Settings!$B$16)</f>
        <v>3</v>
      </c>
      <c r="C595" s="8">
        <v>46023</v>
      </c>
      <c r="D595" s="8">
        <f t="shared" si="37"/>
        <v>46387</v>
      </c>
      <c r="E595" s="6" t="str" cm="1">
        <f t="array" ref="E595">choice(Groupes!A:A,1,Settings!$B$16)</f>
        <v>G30</v>
      </c>
      <c r="F595" s="6" t="str">
        <f t="shared" si="38"/>
        <v>G30</v>
      </c>
      <c r="G595" s="6" t="str">
        <f t="shared" si="39"/>
        <v>Prof48</v>
      </c>
      <c r="H595" s="6" t="str" cm="1">
        <f t="array" ref="H595">choice(Referentiel!A:A,1,Settings!$B$16)</f>
        <v>Design des mondes littoraux</v>
      </c>
      <c r="I595" s="6" t="str" cm="1">
        <f t="array" ref="I595">choice(Referentiel!B:B,1,Settings!$B$16)</f>
        <v>5ème année Cinéma d'Animation S1</v>
      </c>
      <c r="J595" s="6" t="str" cm="1">
        <f t="array" ref="J595">choice(Referentiel!D:D,1,Settings!$B$16)</f>
        <v>L2</v>
      </c>
      <c r="K595" s="6" t="str" cm="1">
        <f t="array" ref="K595">choice(Professeurs!B:B,1,Settings!$B$16)</f>
        <v>Prof48</v>
      </c>
      <c r="L595" s="5" t="str" cm="1">
        <f t="array" ref="L595">choice(Referentiel!C:C,1,Settings!$B$16)</f>
        <v/>
      </c>
      <c r="M595" s="5" t="str" cm="1">
        <f t="array" ref="M595">choice(Referentiel!E:E,1,Settings!$B$16)</f>
        <v/>
      </c>
      <c r="N595" s="5" t="str" cm="1">
        <f t="array" ref="N595">choice(Settings!K:K,1,Settings!$B$16)</f>
        <v>mercredi pm</v>
      </c>
      <c r="P595" s="5">
        <f t="shared" si="40"/>
        <v>5</v>
      </c>
    </row>
    <row r="596" spans="1:16" ht="15.75" customHeight="1" x14ac:dyDescent="0.25">
      <c r="A596" s="6" t="s">
        <v>948</v>
      </c>
      <c r="B596" s="6" cm="1">
        <f t="array" ref="B596">alea_int(Settings!$B$10,1,Settings!$B$16)</f>
        <v>1</v>
      </c>
      <c r="C596" s="8">
        <v>46023</v>
      </c>
      <c r="D596" s="8">
        <f t="shared" si="37"/>
        <v>46387</v>
      </c>
      <c r="E596" s="6" t="str" cm="1">
        <f t="array" ref="E596">choice(Groupes!A:A,1,Settings!$B$16)</f>
        <v>G17</v>
      </c>
      <c r="F596" s="6" t="str">
        <f t="shared" si="38"/>
        <v>G17</v>
      </c>
      <c r="G596" s="6" t="str">
        <f t="shared" si="39"/>
        <v>Prof52</v>
      </c>
      <c r="H596" s="6" t="str" cm="1">
        <f t="array" ref="H596">choice(Referentiel!A:A,1,Settings!$B$16)</f>
        <v>Design des mondes montagneux</v>
      </c>
      <c r="I596" s="6" t="str" cm="1">
        <f t="array" ref="I596">choice(Referentiel!B:B,1,Settings!$B$16)</f>
        <v>2ème année Photo / Vidéo S1</v>
      </c>
      <c r="J596" s="6" t="str" cm="1">
        <f t="array" ref="J596">choice(Referentiel!D:D,1,Settings!$B$16)</f>
        <v>L2</v>
      </c>
      <c r="K596" s="6" t="str" cm="1">
        <f t="array" ref="K596">choice(Professeurs!B:B,1,Settings!$B$16)</f>
        <v>Prof52</v>
      </c>
      <c r="L596" s="5" t="str" cm="1">
        <f t="array" ref="L596">choice(Referentiel!C:C,1,Settings!$B$16)</f>
        <v>ordinateur</v>
      </c>
      <c r="M596" s="5" t="str" cm="1">
        <f t="array" ref="M596">choice(Referentiel!E:E,1,Settings!$B$16)</f>
        <v/>
      </c>
      <c r="N596" s="5" t="str" cm="1">
        <f t="array" ref="N596">choice(Settings!K:K,1,Settings!$B$16)</f>
        <v>vendredi pm</v>
      </c>
      <c r="P596" s="5">
        <f t="shared" si="40"/>
        <v>3</v>
      </c>
    </row>
    <row r="597" spans="1:16" ht="15.75" customHeight="1" x14ac:dyDescent="0.25">
      <c r="A597" s="6" t="s">
        <v>949</v>
      </c>
      <c r="B597" s="6" cm="1">
        <f t="array" ref="B597">alea_int(Settings!$B$10,1,Settings!$B$16)</f>
        <v>1</v>
      </c>
      <c r="C597" s="8">
        <v>46023</v>
      </c>
      <c r="D597" s="8">
        <f t="shared" si="37"/>
        <v>46387</v>
      </c>
      <c r="E597" s="6" t="str" cm="1">
        <f t="array" ref="E597">choice(Groupes!A:A,1,Settings!$B$16)</f>
        <v>G7</v>
      </c>
      <c r="F597" s="6" t="str">
        <f t="shared" si="38"/>
        <v>G7</v>
      </c>
      <c r="G597" s="6" t="str">
        <f t="shared" si="39"/>
        <v>Prof50</v>
      </c>
      <c r="H597" s="6" t="str" cm="1">
        <f t="array" ref="H597">choice(Referentiel!A:A,1,Settings!$B$16)</f>
        <v>Image Imprimée</v>
      </c>
      <c r="I597" s="6" t="str" cm="1">
        <f t="array" ref="I597">choice(Referentiel!B:B,1,Settings!$B$16)</f>
        <v>4ème année Art-Espace S1</v>
      </c>
      <c r="J597" s="6" t="str" cm="1">
        <f t="array" ref="J597">choice(Referentiel!D:D,1,Settings!$B$16)</f>
        <v>M2</v>
      </c>
      <c r="K597" s="6" t="str" cm="1">
        <f t="array" ref="K597">choice(Professeurs!B:B,1,Settings!$B$16)</f>
        <v>Prof50</v>
      </c>
      <c r="L597" s="5" t="str" cm="1">
        <f t="array" ref="L597">choice(Referentiel!C:C,1,Settings!$B$16)</f>
        <v/>
      </c>
      <c r="M597" s="5" t="str" cm="1">
        <f t="array" ref="M597">choice(Referentiel!E:E,1,Settings!$B$16)</f>
        <v/>
      </c>
      <c r="N597" s="5" t="str" cm="1">
        <f t="array" ref="N597">choice(Settings!K:K,1,Settings!$B$16)</f>
        <v>jeudi pm</v>
      </c>
      <c r="P597" s="5">
        <f t="shared" si="40"/>
        <v>3</v>
      </c>
    </row>
    <row r="598" spans="1:16" ht="15.75" customHeight="1" x14ac:dyDescent="0.25">
      <c r="A598" s="6" t="s">
        <v>950</v>
      </c>
      <c r="B598" s="6" cm="1">
        <f t="array" ref="B598">alea_int(Settings!$B$10,1,Settings!$B$16)</f>
        <v>2</v>
      </c>
      <c r="C598" s="8">
        <v>46023</v>
      </c>
      <c r="D598" s="8">
        <f t="shared" si="37"/>
        <v>46387</v>
      </c>
      <c r="E598" s="6" t="str" cm="1">
        <f t="array" ref="E598">choice(Groupes!A:A,1,Settings!$B$16)</f>
        <v>G11</v>
      </c>
      <c r="F598" s="6" t="str">
        <f t="shared" si="38"/>
        <v>G11</v>
      </c>
      <c r="G598" s="6" t="str">
        <f t="shared" si="39"/>
        <v>Prof24</v>
      </c>
      <c r="H598" s="6" t="str" cm="1">
        <f t="array" ref="H598">choice(Referentiel!A:A,1,Settings!$B$16)</f>
        <v>Gr REFLECTIVE INTERACTION</v>
      </c>
      <c r="I598" s="6" t="str" cm="1">
        <f t="array" ref="I598">choice(Referentiel!B:B,1,Settings!$B$16)</f>
        <v>3ème année Image Imprimée S2</v>
      </c>
      <c r="J598" s="6" t="str" cm="1">
        <f t="array" ref="J598">choice(Referentiel!D:D,1,Settings!$B$16)</f>
        <v>L2</v>
      </c>
      <c r="K598" s="6" t="str" cm="1">
        <f t="array" ref="K598">choice(Professeurs!B:B,1,Settings!$B$16)</f>
        <v>Prof24</v>
      </c>
      <c r="L598" s="5" t="str" cm="1">
        <f t="array" ref="L598">choice(Referentiel!C:C,1,Settings!$B$16)</f>
        <v/>
      </c>
      <c r="M598" s="5" t="str" cm="1">
        <f t="array" ref="M598">choice(Referentiel!E:E,1,Settings!$B$16)</f>
        <v/>
      </c>
      <c r="N598" s="5" t="str" cm="1">
        <f t="array" ref="N598">choice(Settings!K:K,1,Settings!$B$16)</f>
        <v/>
      </c>
      <c r="P598" s="5">
        <f t="shared" si="40"/>
        <v>2</v>
      </c>
    </row>
    <row r="599" spans="1:16" ht="15.75" customHeight="1" x14ac:dyDescent="0.25">
      <c r="A599" s="6" t="s">
        <v>951</v>
      </c>
      <c r="B599" s="6" cm="1">
        <f t="array" ref="B599">alea_int(Settings!$B$10,1,Settings!$B$16)</f>
        <v>1</v>
      </c>
      <c r="C599" s="8">
        <v>46023</v>
      </c>
      <c r="D599" s="8">
        <f t="shared" si="37"/>
        <v>46387</v>
      </c>
      <c r="E599" s="6" t="str" cm="1">
        <f t="array" ref="E599">choice(Groupes!A:A,1,Settings!$B$16)</f>
        <v>G15</v>
      </c>
      <c r="F599" s="6" t="str">
        <f t="shared" si="38"/>
        <v>G15</v>
      </c>
      <c r="G599" s="6" t="str">
        <f t="shared" si="39"/>
        <v>Prof32</v>
      </c>
      <c r="H599" s="6" t="str" cm="1">
        <f t="array" ref="H599">choice(Referentiel!A:A,1,Settings!$B$16)</f>
        <v>Design des mondes insulaires</v>
      </c>
      <c r="I599" s="6" t="str" cm="1">
        <f t="array" ref="I599">choice(Referentiel!B:B,1,Settings!$B$16)</f>
        <v>4ème année Design Vêtement S2</v>
      </c>
      <c r="J599" s="6" t="str" cm="1">
        <f t="array" ref="J599">choice(Referentiel!D:D,1,Settings!$B$16)</f>
        <v>M1</v>
      </c>
      <c r="K599" s="6" t="str" cm="1">
        <f t="array" ref="K599">choice(Professeurs!B:B,1,Settings!$B$16)</f>
        <v>Prof32</v>
      </c>
      <c r="L599" s="5" t="str" cm="1">
        <f t="array" ref="L599">choice(Referentiel!C:C,1,Settings!$B$16)</f>
        <v/>
      </c>
      <c r="M599" s="5" t="str" cm="1">
        <f t="array" ref="M599">choice(Referentiel!E:E,1,Settings!$B$16)</f>
        <v/>
      </c>
      <c r="N599" s="5" t="str" cm="1">
        <f t="array" ref="N599">choice(Settings!K:K,1,Settings!$B$16)</f>
        <v/>
      </c>
      <c r="P599" s="5">
        <f t="shared" si="40"/>
        <v>1</v>
      </c>
    </row>
    <row r="600" spans="1:16" ht="15.75" customHeight="1" x14ac:dyDescent="0.25">
      <c r="A600" s="6" t="s">
        <v>952</v>
      </c>
      <c r="B600" s="6" cm="1">
        <f t="array" ref="B600">alea_int(Settings!$B$10,1,Settings!$B$16)</f>
        <v>3</v>
      </c>
      <c r="C600" s="8">
        <v>46023</v>
      </c>
      <c r="D600" s="8">
        <f t="shared" si="37"/>
        <v>46387</v>
      </c>
      <c r="E600" s="6" t="str" cm="1">
        <f t="array" ref="E600">choice(Groupes!A:A,1,Settings!$B$16)</f>
        <v>G23</v>
      </c>
      <c r="F600" s="6" t="str">
        <f t="shared" si="38"/>
        <v>G23</v>
      </c>
      <c r="G600" s="6" t="str">
        <f t="shared" si="39"/>
        <v>Prof33</v>
      </c>
      <c r="H600" s="6" t="str" cm="1">
        <f t="array" ref="H600">choice(Referentiel!A:A,1,Settings!$B$16)</f>
        <v>6ème ANNÉE STAGE</v>
      </c>
      <c r="I600" s="6" t="str" cm="1">
        <f t="array" ref="I600">choice(Referentiel!B:B,1,Settings!$B$16)</f>
        <v>4ème année Design Vêtement S1</v>
      </c>
      <c r="J600" s="6" t="str" cm="1">
        <f t="array" ref="J600">choice(Referentiel!D:D,1,Settings!$B$16)</f>
        <v>M1</v>
      </c>
      <c r="K600" s="6" t="str" cm="1">
        <f t="array" ref="K600">choice(Professeurs!B:B,1,Settings!$B$16)</f>
        <v>Prof33</v>
      </c>
      <c r="L600" s="5" t="str" cm="1">
        <f t="array" ref="L600">choice(Referentiel!C:C,1,Settings!$B$16)</f>
        <v/>
      </c>
      <c r="M600" s="5" t="str" cm="1">
        <f t="array" ref="M600">choice(Referentiel!E:E,1,Settings!$B$16)</f>
        <v/>
      </c>
      <c r="N600" s="5" t="str" cm="1">
        <f t="array" ref="N600">choice(Settings!K:K,1,Settings!$B$16)</f>
        <v/>
      </c>
      <c r="P600" s="5">
        <f t="shared" si="40"/>
        <v>3</v>
      </c>
    </row>
    <row r="601" spans="1:16" ht="15.75" customHeight="1" x14ac:dyDescent="0.25">
      <c r="A601" s="6" t="s">
        <v>953</v>
      </c>
      <c r="B601" s="6" cm="1">
        <f t="array" ref="B601">alea_int(Settings!$B$10,1,Settings!$B$16)</f>
        <v>3</v>
      </c>
      <c r="C601" s="8">
        <v>46023</v>
      </c>
      <c r="D601" s="8">
        <f t="shared" si="37"/>
        <v>46387</v>
      </c>
      <c r="E601" s="6" t="str" cm="1">
        <f t="array" ref="E601">choice(Groupes!A:A,1,Settings!$B$16)</f>
        <v>G3</v>
      </c>
      <c r="F601" s="6" t="str">
        <f t="shared" si="38"/>
        <v>G3</v>
      </c>
      <c r="G601" s="6" t="str">
        <f t="shared" si="39"/>
        <v>Prof43</v>
      </c>
      <c r="H601" s="6" t="str" cm="1">
        <f t="array" ref="H601">choice(Referentiel!A:A,1,Settings!$B$16)</f>
        <v>6ème année atelier</v>
      </c>
      <c r="I601" s="6" t="str" cm="1">
        <f t="array" ref="I601">choice(Referentiel!B:B,1,Settings!$B$16)</f>
        <v>1ère Année Groupe 3 S2</v>
      </c>
      <c r="J601" s="6" t="str" cm="1">
        <f t="array" ref="J601">choice(Referentiel!D:D,1,Settings!$B$16)</f>
        <v>M1</v>
      </c>
      <c r="K601" s="6" t="str" cm="1">
        <f t="array" ref="K601">choice(Professeurs!B:B,1,Settings!$B$16)</f>
        <v>Prof43</v>
      </c>
      <c r="L601" s="5" t="str" cm="1">
        <f t="array" ref="L601">choice(Referentiel!C:C,1,Settings!$B$16)</f>
        <v/>
      </c>
      <c r="M601" s="5" t="str" cm="1">
        <f t="array" ref="M601">choice(Referentiel!E:E,1,Settings!$B$16)</f>
        <v/>
      </c>
      <c r="N601" s="5" t="str" cm="1">
        <f t="array" ref="N601">choice(Settings!K:K,1,Settings!$B$16)</f>
        <v/>
      </c>
      <c r="P601" s="5">
        <f t="shared" si="40"/>
        <v>3</v>
      </c>
    </row>
    <row r="602" spans="1:16" ht="15.75" customHeight="1" x14ac:dyDescent="0.25">
      <c r="A602" s="6" t="s">
        <v>954</v>
      </c>
      <c r="B602" s="6" cm="1">
        <f t="array" ref="B602">alea_int(Settings!$B$10,1,Settings!$B$16)</f>
        <v>1</v>
      </c>
      <c r="C602" s="8">
        <v>46023</v>
      </c>
      <c r="D602" s="8">
        <f t="shared" si="37"/>
        <v>46387</v>
      </c>
      <c r="E602" s="6" t="str" cm="1">
        <f t="array" ref="E602">choice(Groupes!A:A,1,Settings!$B$16)</f>
        <v>G3</v>
      </c>
      <c r="F602" s="6" t="str">
        <f t="shared" si="38"/>
        <v>G3</v>
      </c>
      <c r="G602" s="6" t="str">
        <f t="shared" si="39"/>
        <v>Prof48</v>
      </c>
      <c r="H602" s="6" t="str" cm="1">
        <f t="array" ref="H602">choice(Referentiel!A:A,1,Settings!$B$16)</f>
        <v>Gr REFLECTIVE INTERACTION</v>
      </c>
      <c r="I602" s="6" t="str" cm="1">
        <f t="array" ref="I602">choice(Referentiel!B:B,1,Settings!$B$16)</f>
        <v>5ème année Design Textile et Matière S2</v>
      </c>
      <c r="J602" s="6" t="str" cm="1">
        <f t="array" ref="J602">choice(Referentiel!D:D,1,Settings!$B$16)</f>
        <v>L1</v>
      </c>
      <c r="K602" s="6" t="str" cm="1">
        <f t="array" ref="K602">choice(Professeurs!B:B,1,Settings!$B$16)</f>
        <v>Prof48</v>
      </c>
      <c r="L602" s="5" t="str" cm="1">
        <f t="array" ref="L602">choice(Referentiel!C:C,1,Settings!$B$16)</f>
        <v/>
      </c>
      <c r="M602" s="5" t="str" cm="1">
        <f t="array" ref="M602">choice(Referentiel!E:E,1,Settings!$B$16)</f>
        <v/>
      </c>
      <c r="N602" s="5" t="str" cm="1">
        <f t="array" ref="N602">choice(Settings!K:K,1,Settings!$B$16)</f>
        <v>mercredi pm</v>
      </c>
      <c r="P602" s="5">
        <f t="shared" si="40"/>
        <v>3</v>
      </c>
    </row>
    <row r="603" spans="1:16" ht="15.75" customHeight="1" x14ac:dyDescent="0.25">
      <c r="A603" s="6" t="s">
        <v>955</v>
      </c>
      <c r="B603" s="6" cm="1">
        <f t="array" ref="B603">alea_int(Settings!$B$10,1,Settings!$B$16)</f>
        <v>3</v>
      </c>
      <c r="C603" s="8">
        <v>46023</v>
      </c>
      <c r="D603" s="8">
        <f t="shared" si="37"/>
        <v>46387</v>
      </c>
      <c r="E603" s="6" t="str" cm="1">
        <f t="array" ref="E603">choice(Groupes!A:A,1,Settings!$B$16)</f>
        <v>G14</v>
      </c>
      <c r="F603" s="6" t="str">
        <f t="shared" si="38"/>
        <v>G14</v>
      </c>
      <c r="G603" s="6" t="str">
        <f t="shared" si="39"/>
        <v>Prof32</v>
      </c>
      <c r="H603" s="6" t="str" cm="1">
        <f t="array" ref="H603">choice(Referentiel!A:A,1,Settings!$B$16)</f>
        <v>Design Textile et Matière</v>
      </c>
      <c r="I603" s="6" t="str" cm="1">
        <f t="array" ref="I603">choice(Referentiel!B:B,1,Settings!$B$16)</f>
        <v>5ème année Design Objet S1</v>
      </c>
      <c r="J603" s="6" t="str" cm="1">
        <f t="array" ref="J603">choice(Referentiel!D:D,1,Settings!$B$16)</f>
        <v>L3</v>
      </c>
      <c r="K603" s="6" t="str" cm="1">
        <f t="array" ref="K603">choice(Professeurs!B:B,1,Settings!$B$16)</f>
        <v>Prof32</v>
      </c>
      <c r="L603" s="5" t="str" cm="1">
        <f t="array" ref="L603">choice(Referentiel!C:C,1,Settings!$B$16)</f>
        <v/>
      </c>
      <c r="M603" s="5" t="str" cm="1">
        <f t="array" ref="M603">choice(Referentiel!E:E,1,Settings!$B$16)</f>
        <v/>
      </c>
      <c r="N603" s="5" t="str" cm="1">
        <f t="array" ref="N603">choice(Settings!K:K,1,Settings!$B$16)</f>
        <v/>
      </c>
      <c r="P603" s="5">
        <f t="shared" si="40"/>
        <v>3</v>
      </c>
    </row>
    <row r="604" spans="1:16" ht="15.75" customHeight="1" x14ac:dyDescent="0.25">
      <c r="A604" s="6" t="s">
        <v>956</v>
      </c>
      <c r="B604" s="6" cm="1">
        <f t="array" ref="B604">alea_int(Settings!$B$10,1,Settings!$B$16)</f>
        <v>2</v>
      </c>
      <c r="C604" s="8">
        <v>46023</v>
      </c>
      <c r="D604" s="8">
        <f t="shared" si="37"/>
        <v>46387</v>
      </c>
      <c r="E604" s="6" t="str" cm="1">
        <f t="array" ref="E604">choice(Groupes!A:A,1,Settings!$B$16)</f>
        <v>G3</v>
      </c>
      <c r="F604" s="6" t="str">
        <f t="shared" si="38"/>
        <v>G3</v>
      </c>
      <c r="G604" s="6" t="str">
        <f t="shared" si="39"/>
        <v>Prof13</v>
      </c>
      <c r="H604" s="6" t="str" cm="1">
        <f t="array" ref="H604">choice(Referentiel!A:A,1,Settings!$B$16)</f>
        <v>Design Objet</v>
      </c>
      <c r="I604" s="6" t="str" cm="1">
        <f t="array" ref="I604">choice(Referentiel!B:B,1,Settings!$B$16)</f>
        <v>2ème année Design Vêtement S2</v>
      </c>
      <c r="J604" s="6" t="str" cm="1">
        <f t="array" ref="J604">choice(Referentiel!D:D,1,Settings!$B$16)</f>
        <v>L2</v>
      </c>
      <c r="K604" s="6" t="str" cm="1">
        <f t="array" ref="K604">choice(Professeurs!B:B,1,Settings!$B$16)</f>
        <v>Prof13</v>
      </c>
      <c r="L604" s="5" t="str" cm="1">
        <f t="array" ref="L604">choice(Referentiel!C:C,1,Settings!$B$16)</f>
        <v/>
      </c>
      <c r="M604" s="5" t="str" cm="1">
        <f t="array" ref="M604">choice(Referentiel!E:E,1,Settings!$B$16)</f>
        <v/>
      </c>
      <c r="N604" s="5" t="str" cm="1">
        <f t="array" ref="N604">choice(Settings!K:K,1,Settings!$B$16)</f>
        <v>vendredi pm</v>
      </c>
      <c r="P604" s="5">
        <f t="shared" si="40"/>
        <v>4</v>
      </c>
    </row>
    <row r="605" spans="1:16" ht="15.75" customHeight="1" x14ac:dyDescent="0.25">
      <c r="A605" s="6" t="s">
        <v>957</v>
      </c>
      <c r="B605" s="6" cm="1">
        <f t="array" ref="B605">alea_int(Settings!$B$10,1,Settings!$B$16)</f>
        <v>3</v>
      </c>
      <c r="C605" s="8">
        <v>46023</v>
      </c>
      <c r="D605" s="8">
        <f t="shared" si="37"/>
        <v>46387</v>
      </c>
      <c r="E605" s="6" t="str" cm="1">
        <f t="array" ref="E605">choice(Groupes!A:A,1,Settings!$B$16)</f>
        <v>G16</v>
      </c>
      <c r="F605" s="6" t="str">
        <f t="shared" si="38"/>
        <v>G16</v>
      </c>
      <c r="G605" s="6" t="str">
        <f t="shared" si="39"/>
        <v>Prof22</v>
      </c>
      <c r="H605" s="6" t="str" cm="1">
        <f t="array" ref="H605">choice(Referentiel!A:A,1,Settings!$B$16)</f>
        <v>Design des mondes montagneux</v>
      </c>
      <c r="I605" s="6" t="str" cm="1">
        <f t="array" ref="I605">choice(Referentiel!B:B,1,Settings!$B$16)</f>
        <v>2ème année Design Vêtement S2</v>
      </c>
      <c r="J605" s="6" t="str" cm="1">
        <f t="array" ref="J605">choice(Referentiel!D:D,1,Settings!$B$16)</f>
        <v>L3</v>
      </c>
      <c r="K605" s="6" t="str" cm="1">
        <f t="array" ref="K605">choice(Professeurs!B:B,1,Settings!$B$16)</f>
        <v>Prof22</v>
      </c>
      <c r="L605" s="5" t="str" cm="1">
        <f t="array" ref="L605">choice(Referentiel!C:C,1,Settings!$B$16)</f>
        <v/>
      </c>
      <c r="M605" s="5" t="str" cm="1">
        <f t="array" ref="M605">choice(Referentiel!E:E,1,Settings!$B$16)</f>
        <v/>
      </c>
      <c r="N605" s="5" t="str" cm="1">
        <f t="array" ref="N605">choice(Settings!K:K,1,Settings!$B$16)</f>
        <v/>
      </c>
      <c r="P605" s="5">
        <f t="shared" si="40"/>
        <v>3</v>
      </c>
    </row>
    <row r="606" spans="1:16" ht="15.75" customHeight="1" x14ac:dyDescent="0.25">
      <c r="A606" s="6" t="s">
        <v>958</v>
      </c>
      <c r="B606" s="6" cm="1">
        <f t="array" ref="B606">alea_int(Settings!$B$10,1,Settings!$B$16)</f>
        <v>3</v>
      </c>
      <c r="C606" s="8">
        <v>46023</v>
      </c>
      <c r="D606" s="8">
        <f t="shared" si="37"/>
        <v>46387</v>
      </c>
      <c r="E606" s="6" t="str" cm="1">
        <f t="array" ref="E606">choice(Groupes!A:A,1,Settings!$B$16)</f>
        <v>G24</v>
      </c>
      <c r="F606" s="6" t="str">
        <f t="shared" si="38"/>
        <v>G24</v>
      </c>
      <c r="G606" s="6" t="str">
        <f t="shared" si="39"/>
        <v>Prof23</v>
      </c>
      <c r="H606" s="6" t="str" cm="1">
        <f t="array" ref="H606">choice(Referentiel!A:A,1,Settings!$B$16)</f>
        <v>6ème année atelier</v>
      </c>
      <c r="I606" s="6" t="str" cm="1">
        <f t="array" ref="I606">choice(Referentiel!B:B,1,Settings!$B$16)</f>
        <v>1ère Année Groupe 4 S1</v>
      </c>
      <c r="J606" s="6" t="str" cm="1">
        <f t="array" ref="J606">choice(Referentiel!D:D,1,Settings!$B$16)</f>
        <v>M1</v>
      </c>
      <c r="K606" s="6" t="str" cm="1">
        <f t="array" ref="K606">choice(Professeurs!B:B,1,Settings!$B$16)</f>
        <v>Prof23</v>
      </c>
      <c r="L606" s="5" t="str" cm="1">
        <f t="array" ref="L606">choice(Referentiel!C:C,1,Settings!$B$16)</f>
        <v/>
      </c>
      <c r="M606" s="5" t="str" cm="1">
        <f t="array" ref="M606">choice(Referentiel!E:E,1,Settings!$B$16)</f>
        <v/>
      </c>
      <c r="N606" s="5" t="str" cm="1">
        <f t="array" ref="N606">choice(Settings!K:K,1,Settings!$B$16)</f>
        <v/>
      </c>
      <c r="P606" s="5">
        <f t="shared" si="40"/>
        <v>3</v>
      </c>
    </row>
    <row r="607" spans="1:16" ht="15.75" customHeight="1" x14ac:dyDescent="0.25">
      <c r="A607" s="6" t="s">
        <v>959</v>
      </c>
      <c r="B607" s="6" cm="1">
        <f t="array" ref="B607">alea_int(Settings!$B$10,1,Settings!$B$16)</f>
        <v>2</v>
      </c>
      <c r="C607" s="8">
        <v>46023</v>
      </c>
      <c r="D607" s="8">
        <f t="shared" si="37"/>
        <v>46387</v>
      </c>
      <c r="E607" s="6" t="str" cm="1">
        <f t="array" ref="E607">choice(Groupes!A:A,1,Settings!$B$16)</f>
        <v>G28</v>
      </c>
      <c r="F607" s="6" t="str">
        <f t="shared" si="38"/>
        <v>G28</v>
      </c>
      <c r="G607" s="6" t="str">
        <f t="shared" si="39"/>
        <v>Prof48</v>
      </c>
      <c r="H607" s="6" t="str" cm="1">
        <f t="array" ref="H607">choice(Referentiel!A:A,1,Settings!$B$16)</f>
        <v>Gr SYMBIOSE</v>
      </c>
      <c r="I607" s="6" t="str" cm="1">
        <f t="array" ref="I607">choice(Referentiel!B:B,1,Settings!$B$16)</f>
        <v>5ème année Cinéma d'Animation S2</v>
      </c>
      <c r="J607" s="6" t="str" cm="1">
        <f t="array" ref="J607">choice(Referentiel!D:D,1,Settings!$B$16)</f>
        <v>L1</v>
      </c>
      <c r="K607" s="6" t="str" cm="1">
        <f t="array" ref="K607">choice(Professeurs!B:B,1,Settings!$B$16)</f>
        <v>Prof48</v>
      </c>
      <c r="L607" s="5" t="str" cm="1">
        <f t="array" ref="L607">choice(Referentiel!C:C,1,Settings!$B$16)</f>
        <v/>
      </c>
      <c r="M607" s="5" t="str" cm="1">
        <f t="array" ref="M607">choice(Referentiel!E:E,1,Settings!$B$16)</f>
        <v/>
      </c>
      <c r="N607" s="5" t="str" cm="1">
        <f t="array" ref="N607">choice(Settings!K:K,1,Settings!$B$16)</f>
        <v/>
      </c>
      <c r="P607" s="5">
        <f t="shared" si="40"/>
        <v>2</v>
      </c>
    </row>
    <row r="608" spans="1:16" ht="15.75" customHeight="1" x14ac:dyDescent="0.25">
      <c r="A608" s="6" t="s">
        <v>960</v>
      </c>
      <c r="B608" s="6" cm="1">
        <f t="array" ref="B608">alea_int(Settings!$B$10,1,Settings!$B$16)</f>
        <v>3</v>
      </c>
      <c r="C608" s="8">
        <v>46023</v>
      </c>
      <c r="D608" s="8">
        <f t="shared" si="37"/>
        <v>46387</v>
      </c>
      <c r="E608" s="6" t="str" cm="1">
        <f t="array" ref="E608">choice(Groupes!A:A,1,Settings!$B$16)</f>
        <v>G29</v>
      </c>
      <c r="F608" s="6" t="str">
        <f t="shared" si="38"/>
        <v>G29</v>
      </c>
      <c r="G608" s="6" t="str">
        <f t="shared" si="39"/>
        <v>Prof20</v>
      </c>
      <c r="H608" s="6" t="str" cm="1">
        <f t="array" ref="H608">choice(Referentiel!A:A,1,Settings!$B$16)</f>
        <v>Design Objet</v>
      </c>
      <c r="I608" s="6" t="str" cm="1">
        <f t="array" ref="I608">choice(Referentiel!B:B,1,Settings!$B$16)</f>
        <v>1ère Année Groupe 3 S1</v>
      </c>
      <c r="J608" s="6" t="str" cm="1">
        <f t="array" ref="J608">choice(Referentiel!D:D,1,Settings!$B$16)</f>
        <v>L3</v>
      </c>
      <c r="K608" s="6" t="str" cm="1">
        <f t="array" ref="K608">choice(Professeurs!B:B,1,Settings!$B$16)</f>
        <v>Prof20</v>
      </c>
      <c r="L608" s="5" t="str" cm="1">
        <f t="array" ref="L608">choice(Referentiel!C:C,1,Settings!$B$16)</f>
        <v/>
      </c>
      <c r="M608" s="5" t="str" cm="1">
        <f t="array" ref="M608">choice(Referentiel!E:E,1,Settings!$B$16)</f>
        <v>Salle6</v>
      </c>
      <c r="N608" s="5" t="str" cm="1">
        <f t="array" ref="N608">choice(Settings!K:K,1,Settings!$B$16)</f>
        <v>lundi am</v>
      </c>
      <c r="P608" s="5">
        <f t="shared" si="40"/>
        <v>7</v>
      </c>
    </row>
    <row r="609" spans="1:16" ht="15.75" customHeight="1" x14ac:dyDescent="0.25">
      <c r="A609" s="6" t="s">
        <v>961</v>
      </c>
      <c r="B609" s="6" cm="1">
        <f t="array" ref="B609">alea_int(Settings!$B$10,1,Settings!$B$16)</f>
        <v>3</v>
      </c>
      <c r="C609" s="8">
        <v>46023</v>
      </c>
      <c r="D609" s="8">
        <f t="shared" si="37"/>
        <v>46387</v>
      </c>
      <c r="E609" s="6" t="str" cm="1">
        <f t="array" ref="E609">choice(Groupes!A:A,1,Settings!$B$16)</f>
        <v>G20</v>
      </c>
      <c r="F609" s="6" t="str">
        <f t="shared" si="38"/>
        <v>G20</v>
      </c>
      <c r="G609" s="6" t="str">
        <f t="shared" si="39"/>
        <v>Prof5</v>
      </c>
      <c r="H609" s="6" t="str" cm="1">
        <f t="array" ref="H609">choice(Referentiel!A:A,1,Settings!$B$16)</f>
        <v>Gr SOFT MATTERS</v>
      </c>
      <c r="I609" s="6" t="str" cm="1">
        <f t="array" ref="I609">choice(Referentiel!B:B,1,Settings!$B$16)</f>
        <v>4ème année Design Vêtement S2</v>
      </c>
      <c r="J609" s="6" t="str" cm="1">
        <f t="array" ref="J609">choice(Referentiel!D:D,1,Settings!$B$16)</f>
        <v>L3</v>
      </c>
      <c r="K609" s="6" t="str" cm="1">
        <f t="array" ref="K609">choice(Professeurs!B:B,1,Settings!$B$16)</f>
        <v>Prof5</v>
      </c>
      <c r="L609" s="5" t="str" cm="1">
        <f t="array" ref="L609">choice(Referentiel!C:C,1,Settings!$B$16)</f>
        <v/>
      </c>
      <c r="M609" s="5" t="str" cm="1">
        <f t="array" ref="M609">choice(Referentiel!E:E,1,Settings!$B$16)</f>
        <v/>
      </c>
      <c r="N609" s="5" t="str" cm="1">
        <f t="array" ref="N609">choice(Settings!K:K,1,Settings!$B$16)</f>
        <v/>
      </c>
      <c r="P609" s="5">
        <f t="shared" si="40"/>
        <v>3</v>
      </c>
    </row>
    <row r="610" spans="1:16" ht="15.75" customHeight="1" x14ac:dyDescent="0.25">
      <c r="A610" s="6" t="s">
        <v>962</v>
      </c>
      <c r="B610" s="6" cm="1">
        <f t="array" ref="B610">alea_int(Settings!$B$10,1,Settings!$B$16)</f>
        <v>3</v>
      </c>
      <c r="C610" s="8">
        <v>46023</v>
      </c>
      <c r="D610" s="8">
        <f t="shared" si="37"/>
        <v>46387</v>
      </c>
      <c r="E610" s="6" t="str" cm="1">
        <f t="array" ref="E610">choice(Groupes!A:A,1,Settings!$B$16)</f>
        <v>G10</v>
      </c>
      <c r="F610" s="6" t="str">
        <f t="shared" si="38"/>
        <v>G10</v>
      </c>
      <c r="G610" s="6" t="str">
        <f t="shared" si="39"/>
        <v>Prof11</v>
      </c>
      <c r="H610" s="6" t="str" cm="1">
        <f t="array" ref="H610">choice(Referentiel!A:A,1,Settings!$B$16)</f>
        <v>Design des mondes urbains</v>
      </c>
      <c r="I610" s="6" t="str" cm="1">
        <f t="array" ref="I610">choice(Referentiel!B:B,1,Settings!$B$16)</f>
        <v>2ème année Design Vêtement S1</v>
      </c>
      <c r="J610" s="6" t="str" cm="1">
        <f t="array" ref="J610">choice(Referentiel!D:D,1,Settings!$B$16)</f>
        <v>M1</v>
      </c>
      <c r="K610" s="6" t="str" cm="1">
        <f t="array" ref="K610">choice(Professeurs!B:B,1,Settings!$B$16)</f>
        <v>Prof11</v>
      </c>
      <c r="L610" s="5" t="str" cm="1">
        <f t="array" ref="L610">choice(Referentiel!C:C,1,Settings!$B$16)</f>
        <v/>
      </c>
      <c r="M610" s="5" t="str" cm="1">
        <f t="array" ref="M610">choice(Referentiel!E:E,1,Settings!$B$16)</f>
        <v/>
      </c>
      <c r="N610" s="5" t="str" cm="1">
        <f t="array" ref="N610">choice(Settings!K:K,1,Settings!$B$16)</f>
        <v/>
      </c>
      <c r="P610" s="5">
        <f t="shared" si="40"/>
        <v>3</v>
      </c>
    </row>
    <row r="611" spans="1:16" ht="15.75" customHeight="1" x14ac:dyDescent="0.25">
      <c r="A611" s="6" t="s">
        <v>963</v>
      </c>
      <c r="B611" s="6" cm="1">
        <f t="array" ref="B611">alea_int(Settings!$B$10,1,Settings!$B$16)</f>
        <v>3</v>
      </c>
      <c r="C611" s="8">
        <v>46023</v>
      </c>
      <c r="D611" s="8">
        <f t="shared" si="37"/>
        <v>46387</v>
      </c>
      <c r="E611" s="6" t="str" cm="1">
        <f t="array" ref="E611">choice(Groupes!A:A,1,Settings!$B$16)</f>
        <v>G10</v>
      </c>
      <c r="F611" s="6" t="str">
        <f t="shared" si="38"/>
        <v>G10</v>
      </c>
      <c r="G611" s="6" t="str">
        <f t="shared" si="39"/>
        <v>Prof17</v>
      </c>
      <c r="H611" s="6" t="str" cm="1">
        <f t="array" ref="H611">choice(Referentiel!A:A,1,Settings!$B$16)</f>
        <v>Art-Espace</v>
      </c>
      <c r="I611" s="6" t="str" cm="1">
        <f t="array" ref="I611">choice(Referentiel!B:B,1,Settings!$B$16)</f>
        <v>4ème année Scénographie S2</v>
      </c>
      <c r="J611" s="6" t="str" cm="1">
        <f t="array" ref="J611">choice(Referentiel!D:D,1,Settings!$B$16)</f>
        <v>M1</v>
      </c>
      <c r="K611" s="6" t="str" cm="1">
        <f t="array" ref="K611">choice(Professeurs!B:B,1,Settings!$B$16)</f>
        <v>Prof17</v>
      </c>
      <c r="L611" s="5" t="str" cm="1">
        <f t="array" ref="L611">choice(Referentiel!C:C,1,Settings!$B$16)</f>
        <v/>
      </c>
      <c r="M611" s="5" t="str" cm="1">
        <f t="array" ref="M611">choice(Referentiel!E:E,1,Settings!$B$16)</f>
        <v/>
      </c>
      <c r="N611" s="5" t="str" cm="1">
        <f t="array" ref="N611">choice(Settings!K:K,1,Settings!$B$16)</f>
        <v/>
      </c>
      <c r="P611" s="5">
        <f t="shared" si="40"/>
        <v>3</v>
      </c>
    </row>
    <row r="612" spans="1:16" ht="15.75" customHeight="1" x14ac:dyDescent="0.25">
      <c r="A612" s="6" t="s">
        <v>964</v>
      </c>
      <c r="B612" s="6" cm="1">
        <f t="array" ref="B612">alea_int(Settings!$B$10,1,Settings!$B$16)</f>
        <v>3</v>
      </c>
      <c r="C612" s="8">
        <v>46023</v>
      </c>
      <c r="D612" s="8">
        <f t="shared" si="37"/>
        <v>46387</v>
      </c>
      <c r="E612" s="6" t="str" cm="1">
        <f t="array" ref="E612">choice(Groupes!A:A,1,Settings!$B$16)</f>
        <v>G1</v>
      </c>
      <c r="F612" s="6" t="str">
        <f t="shared" si="38"/>
        <v>G1</v>
      </c>
      <c r="G612" s="6" t="str">
        <f t="shared" si="39"/>
        <v>Prof55</v>
      </c>
      <c r="H612" s="6" t="str" cm="1">
        <f t="array" ref="H612">choice(Referentiel!A:A,1,Settings!$B$16)</f>
        <v>Design des mondes littoraux</v>
      </c>
      <c r="I612" s="6" t="str" cm="1">
        <f t="array" ref="I612">choice(Referentiel!B:B,1,Settings!$B$16)</f>
        <v>3ème année Image Imprimée S2</v>
      </c>
      <c r="J612" s="6" t="str" cm="1">
        <f t="array" ref="J612">choice(Referentiel!D:D,1,Settings!$B$16)</f>
        <v>L3</v>
      </c>
      <c r="K612" s="6" t="str" cm="1">
        <f t="array" ref="K612">choice(Professeurs!B:B,1,Settings!$B$16)</f>
        <v>Prof55</v>
      </c>
      <c r="L612" s="5" t="str" cm="1">
        <f t="array" ref="L612">choice(Referentiel!C:C,1,Settings!$B$16)</f>
        <v/>
      </c>
      <c r="M612" s="5" t="str" cm="1">
        <f t="array" ref="M612">choice(Referentiel!E:E,1,Settings!$B$16)</f>
        <v/>
      </c>
      <c r="N612" s="5" t="str" cm="1">
        <f t="array" ref="N612">choice(Settings!K:K,1,Settings!$B$16)</f>
        <v/>
      </c>
      <c r="P612" s="5">
        <f t="shared" si="40"/>
        <v>3</v>
      </c>
    </row>
    <row r="613" spans="1:16" ht="15.75" customHeight="1" x14ac:dyDescent="0.25">
      <c r="A613" s="6" t="s">
        <v>965</v>
      </c>
      <c r="B613" s="6" cm="1">
        <f t="array" ref="B613">alea_int(Settings!$B$10,1,Settings!$B$16)</f>
        <v>2</v>
      </c>
      <c r="C613" s="8">
        <v>46023</v>
      </c>
      <c r="D613" s="8">
        <f t="shared" si="37"/>
        <v>46387</v>
      </c>
      <c r="E613" s="6" t="str" cm="1">
        <f t="array" ref="E613">choice(Groupes!A:A,1,Settings!$B$16)</f>
        <v>G5</v>
      </c>
      <c r="F613" s="6" t="str">
        <f t="shared" si="38"/>
        <v>G5</v>
      </c>
      <c r="G613" s="6" t="str">
        <f t="shared" si="39"/>
        <v>Prof37</v>
      </c>
      <c r="H613" s="6" t="str" cm="1">
        <f t="array" ref="H613">choice(Referentiel!A:A,1,Settings!$B$16)</f>
        <v>Scénographie</v>
      </c>
      <c r="I613" s="6" t="str" cm="1">
        <f t="array" ref="I613">choice(Referentiel!B:B,1,Settings!$B$16)</f>
        <v>4ème année Design Objet S2</v>
      </c>
      <c r="J613" s="6" t="str" cm="1">
        <f t="array" ref="J613">choice(Referentiel!D:D,1,Settings!$B$16)</f>
        <v>L2</v>
      </c>
      <c r="K613" s="6" t="str" cm="1">
        <f t="array" ref="K613">choice(Professeurs!B:B,1,Settings!$B$16)</f>
        <v>Prof37</v>
      </c>
      <c r="L613" s="5" t="str" cm="1">
        <f t="array" ref="L613">choice(Referentiel!C:C,1,Settings!$B$16)</f>
        <v/>
      </c>
      <c r="M613" s="5" t="str" cm="1">
        <f t="array" ref="M613">choice(Referentiel!E:E,1,Settings!$B$16)</f>
        <v/>
      </c>
      <c r="N613" s="5" t="str" cm="1">
        <f t="array" ref="N613">choice(Settings!K:K,1,Settings!$B$16)</f>
        <v>jeudi am</v>
      </c>
      <c r="P613" s="5">
        <f t="shared" si="40"/>
        <v>4</v>
      </c>
    </row>
    <row r="614" spans="1:16" ht="15.75" customHeight="1" x14ac:dyDescent="0.25">
      <c r="A614" s="6" t="s">
        <v>966</v>
      </c>
      <c r="B614" s="6" cm="1">
        <f t="array" ref="B614">alea_int(Settings!$B$10,1,Settings!$B$16)</f>
        <v>1</v>
      </c>
      <c r="C614" s="8">
        <v>46023</v>
      </c>
      <c r="D614" s="8">
        <f t="shared" si="37"/>
        <v>46387</v>
      </c>
      <c r="E614" s="6" t="str" cm="1">
        <f t="array" ref="E614">choice(Groupes!A:A,1,Settings!$B$16)</f>
        <v>G4</v>
      </c>
      <c r="F614" s="6" t="str">
        <f t="shared" si="38"/>
        <v>G4</v>
      </c>
      <c r="G614" s="6" t="str">
        <f t="shared" si="39"/>
        <v>Prof40</v>
      </c>
      <c r="H614" s="6" t="str" cm="1">
        <f t="array" ref="H614">choice(Referentiel!A:A,1,Settings!$B$16)</f>
        <v>Design des mondes littoraux</v>
      </c>
      <c r="I614" s="6" t="str" cm="1">
        <f t="array" ref="I614">choice(Referentiel!B:B,1,Settings!$B$16)</f>
        <v>4ème année Design Textile et Matière S1</v>
      </c>
      <c r="J614" s="6" t="str" cm="1">
        <f t="array" ref="J614">choice(Referentiel!D:D,1,Settings!$B$16)</f>
        <v>L2</v>
      </c>
      <c r="K614" s="6" t="str" cm="1">
        <f t="array" ref="K614">choice(Professeurs!B:B,1,Settings!$B$16)</f>
        <v>Prof40</v>
      </c>
      <c r="L614" s="5" t="str" cm="1">
        <f t="array" ref="L614">choice(Referentiel!C:C,1,Settings!$B$16)</f>
        <v/>
      </c>
      <c r="M614" s="5" t="str" cm="1">
        <f t="array" ref="M614">choice(Referentiel!E:E,1,Settings!$B$16)</f>
        <v/>
      </c>
      <c r="N614" s="5" t="str" cm="1">
        <f t="array" ref="N614">choice(Settings!K:K,1,Settings!$B$16)</f>
        <v/>
      </c>
      <c r="P614" s="5">
        <f t="shared" si="40"/>
        <v>1</v>
      </c>
    </row>
    <row r="615" spans="1:16" ht="15.75" customHeight="1" x14ac:dyDescent="0.25">
      <c r="A615" s="6" t="s">
        <v>967</v>
      </c>
      <c r="B615" s="6" cm="1">
        <f t="array" ref="B615">alea_int(Settings!$B$10,1,Settings!$B$16)</f>
        <v>2</v>
      </c>
      <c r="C615" s="8">
        <v>46023</v>
      </c>
      <c r="D615" s="8">
        <f t="shared" si="37"/>
        <v>46387</v>
      </c>
      <c r="E615" s="6" t="str" cm="1">
        <f t="array" ref="E615">choice(Groupes!A:A,1,Settings!$B$16)</f>
        <v>G15</v>
      </c>
      <c r="F615" s="6" t="str">
        <f t="shared" si="38"/>
        <v>G15</v>
      </c>
      <c r="G615" s="6" t="str">
        <f t="shared" si="39"/>
        <v>Prof15</v>
      </c>
      <c r="H615" s="6" t="str" cm="1">
        <f t="array" ref="H615">choice(Referentiel!A:A,1,Settings!$B$16)</f>
        <v>Art-Espace</v>
      </c>
      <c r="I615" s="6" t="str" cm="1">
        <f t="array" ref="I615">choice(Referentiel!B:B,1,Settings!$B$16)</f>
        <v>5ème année Design Vêtement S2</v>
      </c>
      <c r="J615" s="6" t="str" cm="1">
        <f t="array" ref="J615">choice(Referentiel!D:D,1,Settings!$B$16)</f>
        <v>M2</v>
      </c>
      <c r="K615" s="6" t="str" cm="1">
        <f t="array" ref="K615">choice(Professeurs!B:B,1,Settings!$B$16)</f>
        <v>Prof15</v>
      </c>
      <c r="L615" s="5" t="str" cm="1">
        <f t="array" ref="L615">choice(Referentiel!C:C,1,Settings!$B$16)</f>
        <v/>
      </c>
      <c r="M615" s="5" t="str" cm="1">
        <f t="array" ref="M615">choice(Referentiel!E:E,1,Settings!$B$16)</f>
        <v/>
      </c>
      <c r="N615" s="5" t="str" cm="1">
        <f t="array" ref="N615">choice(Settings!K:K,1,Settings!$B$16)</f>
        <v/>
      </c>
      <c r="P615" s="5">
        <f t="shared" si="40"/>
        <v>2</v>
      </c>
    </row>
    <row r="616" spans="1:16" ht="15.75" customHeight="1" x14ac:dyDescent="0.25">
      <c r="A616" s="6" t="s">
        <v>968</v>
      </c>
      <c r="B616" s="6" cm="1">
        <f t="array" ref="B616">alea_int(Settings!$B$10,1,Settings!$B$16)</f>
        <v>2</v>
      </c>
      <c r="C616" s="8">
        <v>46023</v>
      </c>
      <c r="D616" s="8">
        <f t="shared" si="37"/>
        <v>46387</v>
      </c>
      <c r="E616" s="6" t="str" cm="1">
        <f t="array" ref="E616">choice(Groupes!A:A,1,Settings!$B$16)</f>
        <v>G30</v>
      </c>
      <c r="F616" s="6" t="str">
        <f t="shared" si="38"/>
        <v>G30</v>
      </c>
      <c r="G616" s="6" t="str">
        <f t="shared" si="39"/>
        <v>Prof52</v>
      </c>
      <c r="H616" s="6" t="str" cm="1">
        <f t="array" ref="H616">choice(Referentiel!A:A,1,Settings!$B$16)</f>
        <v>1ère année Groupe 2</v>
      </c>
      <c r="I616" s="6" t="str" cm="1">
        <f t="array" ref="I616">choice(Referentiel!B:B,1,Settings!$B$16)</f>
        <v>3ème année Photo / Vidéo S2</v>
      </c>
      <c r="J616" s="6" t="str" cm="1">
        <f t="array" ref="J616">choice(Referentiel!D:D,1,Settings!$B$16)</f>
        <v>L2</v>
      </c>
      <c r="K616" s="6" t="str" cm="1">
        <f t="array" ref="K616">choice(Professeurs!B:B,1,Settings!$B$16)</f>
        <v>Prof52</v>
      </c>
      <c r="L616" s="5" t="str" cm="1">
        <f t="array" ref="L616">choice(Referentiel!C:C,1,Settings!$B$16)</f>
        <v/>
      </c>
      <c r="M616" s="5" t="str" cm="1">
        <f t="array" ref="M616">choice(Referentiel!E:E,1,Settings!$B$16)</f>
        <v/>
      </c>
      <c r="N616" s="5" t="str" cm="1">
        <f t="array" ref="N616">choice(Settings!K:K,1,Settings!$B$16)</f>
        <v/>
      </c>
      <c r="P616" s="5">
        <f t="shared" si="40"/>
        <v>2</v>
      </c>
    </row>
    <row r="617" spans="1:16" ht="15.75" customHeight="1" x14ac:dyDescent="0.25">
      <c r="A617" s="6" t="s">
        <v>969</v>
      </c>
      <c r="B617" s="6" cm="1">
        <f t="array" ref="B617">alea_int(Settings!$B$10,1,Settings!$B$16)</f>
        <v>3</v>
      </c>
      <c r="C617" s="8">
        <v>46023</v>
      </c>
      <c r="D617" s="8">
        <f t="shared" si="37"/>
        <v>46387</v>
      </c>
      <c r="E617" s="6" t="str" cm="1">
        <f t="array" ref="E617">choice(Groupes!A:A,1,Settings!$B$16)</f>
        <v>G23</v>
      </c>
      <c r="F617" s="6" t="str">
        <f t="shared" si="38"/>
        <v>G23</v>
      </c>
      <c r="G617" s="6" t="str">
        <f t="shared" si="39"/>
        <v>Prof10</v>
      </c>
      <c r="H617" s="6" t="str" cm="1">
        <f t="array" ref="H617">choice(Referentiel!A:A,1,Settings!$B$16)</f>
        <v>Gr TERRITOIRES</v>
      </c>
      <c r="I617" s="6" t="str" cm="1">
        <f t="array" ref="I617">choice(Referentiel!B:B,1,Settings!$B$16)</f>
        <v>3ème année Photo / Vidéo S1</v>
      </c>
      <c r="J617" s="6" t="str" cm="1">
        <f t="array" ref="J617">choice(Referentiel!D:D,1,Settings!$B$16)</f>
        <v>M2</v>
      </c>
      <c r="K617" s="6" t="str" cm="1">
        <f t="array" ref="K617">choice(Professeurs!B:B,1,Settings!$B$16)</f>
        <v>Prof10</v>
      </c>
      <c r="L617" s="5" t="str" cm="1">
        <f t="array" ref="L617">choice(Referentiel!C:C,1,Settings!$B$16)</f>
        <v/>
      </c>
      <c r="M617" s="5" t="str" cm="1">
        <f t="array" ref="M617">choice(Referentiel!E:E,1,Settings!$B$16)</f>
        <v/>
      </c>
      <c r="N617" s="5" t="str" cm="1">
        <f t="array" ref="N617">choice(Settings!K:K,1,Settings!$B$16)</f>
        <v>lundi am</v>
      </c>
      <c r="P617" s="5">
        <f t="shared" si="40"/>
        <v>5</v>
      </c>
    </row>
    <row r="618" spans="1:16" ht="15.75" customHeight="1" x14ac:dyDescent="0.25">
      <c r="A618" s="6" t="s">
        <v>970</v>
      </c>
      <c r="B618" s="6" cm="1">
        <f t="array" ref="B618">alea_int(Settings!$B$10,1,Settings!$B$16)</f>
        <v>1</v>
      </c>
      <c r="C618" s="8">
        <v>46023</v>
      </c>
      <c r="D618" s="8">
        <f t="shared" si="37"/>
        <v>46387</v>
      </c>
      <c r="E618" s="6" t="str" cm="1">
        <f t="array" ref="E618">choice(Groupes!A:A,1,Settings!$B$16)</f>
        <v>G15</v>
      </c>
      <c r="F618" s="6" t="str">
        <f t="shared" si="38"/>
        <v>G15</v>
      </c>
      <c r="G618" s="6" t="str">
        <f t="shared" si="39"/>
        <v>Prof26</v>
      </c>
      <c r="H618" s="6" t="str" cm="1">
        <f t="array" ref="H618">choice(Referentiel!A:A,1,Settings!$B$16)</f>
        <v>Architecture Intérieure</v>
      </c>
      <c r="I618" s="6" t="str" cm="1">
        <f t="array" ref="I618">choice(Referentiel!B:B,1,Settings!$B$16)</f>
        <v>5ème année Scénographie S2</v>
      </c>
      <c r="J618" s="6" t="str" cm="1">
        <f t="array" ref="J618">choice(Referentiel!D:D,1,Settings!$B$16)</f>
        <v>L3</v>
      </c>
      <c r="K618" s="6" t="str" cm="1">
        <f t="array" ref="K618">choice(Professeurs!B:B,1,Settings!$B$16)</f>
        <v>Prof26</v>
      </c>
      <c r="L618" s="5" t="str" cm="1">
        <f t="array" ref="L618">choice(Referentiel!C:C,1,Settings!$B$16)</f>
        <v/>
      </c>
      <c r="M618" s="5" t="str" cm="1">
        <f t="array" ref="M618">choice(Referentiel!E:E,1,Settings!$B$16)</f>
        <v/>
      </c>
      <c r="N618" s="5" t="str" cm="1">
        <f t="array" ref="N618">choice(Settings!K:K,1,Settings!$B$16)</f>
        <v>vendredi pm</v>
      </c>
      <c r="P618" s="5">
        <f t="shared" si="40"/>
        <v>3</v>
      </c>
    </row>
    <row r="619" spans="1:16" ht="15.75" customHeight="1" x14ac:dyDescent="0.25">
      <c r="A619" s="6" t="s">
        <v>971</v>
      </c>
      <c r="B619" s="6" cm="1">
        <f t="array" ref="B619">alea_int(Settings!$B$10,1,Settings!$B$16)</f>
        <v>1</v>
      </c>
      <c r="C619" s="8">
        <v>46023</v>
      </c>
      <c r="D619" s="8">
        <f t="shared" si="37"/>
        <v>46387</v>
      </c>
      <c r="E619" s="6" t="str" cm="1">
        <f t="array" ref="E619">choice(Groupes!A:A,1,Settings!$B$16)</f>
        <v>G19</v>
      </c>
      <c r="F619" s="6" t="str">
        <f t="shared" si="38"/>
        <v>G19</v>
      </c>
      <c r="G619" s="6" t="str">
        <f t="shared" si="39"/>
        <v>Prof21</v>
      </c>
      <c r="H619" s="6" t="str" cm="1">
        <f t="array" ref="H619">choice(Referentiel!A:A,1,Settings!$B$16)</f>
        <v>1ère année Groupe 3</v>
      </c>
      <c r="I619" s="6" t="str" cm="1">
        <f t="array" ref="I619">choice(Referentiel!B:B,1,Settings!$B$16)</f>
        <v>5ème année Design Objet S2</v>
      </c>
      <c r="J619" s="6" t="str" cm="1">
        <f t="array" ref="J619">choice(Referentiel!D:D,1,Settings!$B$16)</f>
        <v>L3</v>
      </c>
      <c r="K619" s="6" t="str" cm="1">
        <f t="array" ref="K619">choice(Professeurs!B:B,1,Settings!$B$16)</f>
        <v>Prof21</v>
      </c>
      <c r="L619" s="5" t="str" cm="1">
        <f t="array" ref="L619">choice(Referentiel!C:C,1,Settings!$B$16)</f>
        <v/>
      </c>
      <c r="M619" s="5" t="str" cm="1">
        <f t="array" ref="M619">choice(Referentiel!E:E,1,Settings!$B$16)</f>
        <v/>
      </c>
      <c r="N619" s="5" t="str" cm="1">
        <f t="array" ref="N619">choice(Settings!K:K,1,Settings!$B$16)</f>
        <v/>
      </c>
      <c r="P619" s="5">
        <f t="shared" si="40"/>
        <v>1</v>
      </c>
    </row>
    <row r="620" spans="1:16" ht="15.75" customHeight="1" x14ac:dyDescent="0.25">
      <c r="A620" s="6" t="s">
        <v>972</v>
      </c>
      <c r="B620" s="6" cm="1">
        <f t="array" ref="B620">alea_int(Settings!$B$10,1,Settings!$B$16)</f>
        <v>2</v>
      </c>
      <c r="C620" s="8">
        <v>46023</v>
      </c>
      <c r="D620" s="8">
        <f t="shared" si="37"/>
        <v>46387</v>
      </c>
      <c r="E620" s="6" t="str" cm="1">
        <f t="array" ref="E620">choice(Groupes!A:A,1,Settings!$B$16)</f>
        <v>G27</v>
      </c>
      <c r="F620" s="6" t="str">
        <f t="shared" si="38"/>
        <v>G27</v>
      </c>
      <c r="G620" s="6" t="str">
        <f t="shared" si="39"/>
        <v>Prof33</v>
      </c>
      <c r="H620" s="6" t="str" cm="1">
        <f t="array" ref="H620">choice(Referentiel!A:A,1,Settings!$B$16)</f>
        <v>1ère année Groupe 3</v>
      </c>
      <c r="I620" s="6" t="str" cm="1">
        <f t="array" ref="I620">choice(Referentiel!B:B,1,Settings!$B$16)</f>
        <v>3ème année Design Vêtement S1</v>
      </c>
      <c r="J620" s="6" t="str" cm="1">
        <f t="array" ref="J620">choice(Referentiel!D:D,1,Settings!$B$16)</f>
        <v>L1</v>
      </c>
      <c r="K620" s="6" t="str" cm="1">
        <f t="array" ref="K620">choice(Professeurs!B:B,1,Settings!$B$16)</f>
        <v>Prof33</v>
      </c>
      <c r="L620" s="5" t="str" cm="1">
        <f t="array" ref="L620">choice(Referentiel!C:C,1,Settings!$B$16)</f>
        <v/>
      </c>
      <c r="M620" s="5" t="str" cm="1">
        <f t="array" ref="M620">choice(Referentiel!E:E,1,Settings!$B$16)</f>
        <v/>
      </c>
      <c r="N620" s="5" t="str" cm="1">
        <f t="array" ref="N620">choice(Settings!K:K,1,Settings!$B$16)</f>
        <v/>
      </c>
      <c r="P620" s="5">
        <f t="shared" si="40"/>
        <v>2</v>
      </c>
    </row>
    <row r="621" spans="1:16" ht="15.75" customHeight="1" x14ac:dyDescent="0.25">
      <c r="A621" s="6" t="s">
        <v>973</v>
      </c>
      <c r="B621" s="6" cm="1">
        <f t="array" ref="B621">alea_int(Settings!$B$10,1,Settings!$B$16)</f>
        <v>3</v>
      </c>
      <c r="C621" s="8">
        <v>46023</v>
      </c>
      <c r="D621" s="8">
        <f t="shared" si="37"/>
        <v>46387</v>
      </c>
      <c r="E621" s="6" t="str" cm="1">
        <f t="array" ref="E621">choice(Groupes!A:A,1,Settings!$B$16)</f>
        <v>G21</v>
      </c>
      <c r="F621" s="6" t="str">
        <f t="shared" si="38"/>
        <v>G21</v>
      </c>
      <c r="G621" s="6" t="str">
        <f t="shared" si="39"/>
        <v>Prof54</v>
      </c>
      <c r="H621" s="6" t="str" cm="1">
        <f t="array" ref="H621">choice(Referentiel!A:A,1,Settings!$B$16)</f>
        <v>Design des mondes littoraux</v>
      </c>
      <c r="I621" s="6" t="str" cm="1">
        <f t="array" ref="I621">choice(Referentiel!B:B,1,Settings!$B$16)</f>
        <v>2ème année Image Imprimée S2</v>
      </c>
      <c r="J621" s="6" t="str" cm="1">
        <f t="array" ref="J621">choice(Referentiel!D:D,1,Settings!$B$16)</f>
        <v>M1</v>
      </c>
      <c r="K621" s="6" t="str" cm="1">
        <f t="array" ref="K621">choice(Professeurs!B:B,1,Settings!$B$16)</f>
        <v>Prof54</v>
      </c>
      <c r="L621" s="5" t="str" cm="1">
        <f t="array" ref="L621">choice(Referentiel!C:C,1,Settings!$B$16)</f>
        <v/>
      </c>
      <c r="M621" s="5" t="str" cm="1">
        <f t="array" ref="M621">choice(Referentiel!E:E,1,Settings!$B$16)</f>
        <v/>
      </c>
      <c r="N621" s="5" t="str" cm="1">
        <f t="array" ref="N621">choice(Settings!K:K,1,Settings!$B$16)</f>
        <v/>
      </c>
      <c r="P621" s="5">
        <f t="shared" si="40"/>
        <v>3</v>
      </c>
    </row>
    <row r="622" spans="1:16" ht="15.75" customHeight="1" x14ac:dyDescent="0.25">
      <c r="A622" s="6" t="s">
        <v>974</v>
      </c>
      <c r="B622" s="6" cm="1">
        <f t="array" ref="B622">alea_int(Settings!$B$10,1,Settings!$B$16)</f>
        <v>3</v>
      </c>
      <c r="C622" s="8">
        <v>46023</v>
      </c>
      <c r="D622" s="8">
        <f t="shared" si="37"/>
        <v>46387</v>
      </c>
      <c r="E622" s="6" t="str" cm="1">
        <f t="array" ref="E622">choice(Groupes!A:A,1,Settings!$B$16)</f>
        <v>G30</v>
      </c>
      <c r="F622" s="6" t="str">
        <f t="shared" si="38"/>
        <v>G30</v>
      </c>
      <c r="G622" s="6" t="str">
        <f t="shared" si="39"/>
        <v>Prof48</v>
      </c>
      <c r="H622" s="6" t="str" cm="1">
        <f t="array" ref="H622">choice(Referentiel!A:A,1,Settings!$B$16)</f>
        <v>Photo / Vidéo</v>
      </c>
      <c r="I622" s="6" t="str" cm="1">
        <f t="array" ref="I622">choice(Referentiel!B:B,1,Settings!$B$16)</f>
        <v>1ère Année Groupe 1 S2</v>
      </c>
      <c r="J622" s="6" t="str" cm="1">
        <f t="array" ref="J622">choice(Referentiel!D:D,1,Settings!$B$16)</f>
        <v>L3</v>
      </c>
      <c r="K622" s="6" t="str" cm="1">
        <f t="array" ref="K622">choice(Professeurs!B:B,1,Settings!$B$16)</f>
        <v>Prof48</v>
      </c>
      <c r="L622" s="5" t="str" cm="1">
        <f t="array" ref="L622">choice(Referentiel!C:C,1,Settings!$B$16)</f>
        <v/>
      </c>
      <c r="M622" s="5" t="str" cm="1">
        <f t="array" ref="M622">choice(Referentiel!E:E,1,Settings!$B$16)</f>
        <v/>
      </c>
      <c r="N622" s="5" t="str" cm="1">
        <f t="array" ref="N622">choice(Settings!K:K,1,Settings!$B$16)</f>
        <v/>
      </c>
      <c r="P622" s="5">
        <f t="shared" si="40"/>
        <v>3</v>
      </c>
    </row>
    <row r="623" spans="1:16" ht="15.75" customHeight="1" x14ac:dyDescent="0.25">
      <c r="A623" s="6" t="s">
        <v>975</v>
      </c>
      <c r="B623" s="6" cm="1">
        <f t="array" ref="B623">alea_int(Settings!$B$10,1,Settings!$B$16)</f>
        <v>2</v>
      </c>
      <c r="C623" s="8">
        <v>46023</v>
      </c>
      <c r="D623" s="8">
        <f t="shared" si="37"/>
        <v>46387</v>
      </c>
      <c r="E623" s="6" t="str" cm="1">
        <f t="array" ref="E623">choice(Groupes!A:A,1,Settings!$B$16)</f>
        <v>G30</v>
      </c>
      <c r="F623" s="6" t="str">
        <f t="shared" si="38"/>
        <v>G30</v>
      </c>
      <c r="G623" s="6" t="str">
        <f t="shared" si="39"/>
        <v>Prof47</v>
      </c>
      <c r="H623" s="6" t="str" cm="1">
        <f t="array" ref="H623">choice(Referentiel!A:A,1,Settings!$B$16)</f>
        <v>Mode et Matière</v>
      </c>
      <c r="I623" s="6" t="str" cm="1">
        <f t="array" ref="I623">choice(Referentiel!B:B,1,Settings!$B$16)</f>
        <v>2ème année Design Graphique S2</v>
      </c>
      <c r="J623" s="6" t="str" cm="1">
        <f t="array" ref="J623">choice(Referentiel!D:D,1,Settings!$B$16)</f>
        <v>M1</v>
      </c>
      <c r="K623" s="6" t="str" cm="1">
        <f t="array" ref="K623">choice(Professeurs!B:B,1,Settings!$B$16)</f>
        <v>Prof47</v>
      </c>
      <c r="L623" s="5" t="str" cm="1">
        <f t="array" ref="L623">choice(Referentiel!C:C,1,Settings!$B$16)</f>
        <v/>
      </c>
      <c r="M623" s="5" t="str" cm="1">
        <f t="array" ref="M623">choice(Referentiel!E:E,1,Settings!$B$16)</f>
        <v/>
      </c>
      <c r="N623" s="5" t="str" cm="1">
        <f t="array" ref="N623">choice(Settings!K:K,1,Settings!$B$16)</f>
        <v/>
      </c>
      <c r="P623" s="5">
        <f t="shared" si="40"/>
        <v>2</v>
      </c>
    </row>
    <row r="624" spans="1:16" ht="15.75" customHeight="1" x14ac:dyDescent="0.25">
      <c r="A624" s="6" t="s">
        <v>976</v>
      </c>
      <c r="B624" s="6" cm="1">
        <f t="array" ref="B624">alea_int(Settings!$B$10,1,Settings!$B$16)</f>
        <v>3</v>
      </c>
      <c r="C624" s="8">
        <v>46023</v>
      </c>
      <c r="D624" s="8">
        <f t="shared" si="37"/>
        <v>46387</v>
      </c>
      <c r="E624" s="6" t="str" cm="1">
        <f t="array" ref="E624">choice(Groupes!A:A,1,Settings!$B$16)</f>
        <v>G20</v>
      </c>
      <c r="F624" s="6" t="str">
        <f t="shared" si="38"/>
        <v>G20</v>
      </c>
      <c r="G624" s="6" t="str">
        <f t="shared" si="39"/>
        <v>Prof36</v>
      </c>
      <c r="H624" s="6" t="str" cm="1">
        <f t="array" ref="H624">choice(Referentiel!A:A,1,Settings!$B$16)</f>
        <v>Design des mondes insulaires</v>
      </c>
      <c r="I624" s="6" t="str" cm="1">
        <f t="array" ref="I624">choice(Referentiel!B:B,1,Settings!$B$16)</f>
        <v>5ème année Art-Espace S1</v>
      </c>
      <c r="J624" s="6" t="str" cm="1">
        <f t="array" ref="J624">choice(Referentiel!D:D,1,Settings!$B$16)</f>
        <v>M1</v>
      </c>
      <c r="K624" s="6" t="str" cm="1">
        <f t="array" ref="K624">choice(Professeurs!B:B,1,Settings!$B$16)</f>
        <v>Prof36</v>
      </c>
      <c r="L624" s="5" t="str" cm="1">
        <f t="array" ref="L624">choice(Referentiel!C:C,1,Settings!$B$16)</f>
        <v/>
      </c>
      <c r="M624" s="5" t="str" cm="1">
        <f t="array" ref="M624">choice(Referentiel!E:E,1,Settings!$B$16)</f>
        <v/>
      </c>
      <c r="N624" s="5" t="str" cm="1">
        <f t="array" ref="N624">choice(Settings!K:K,1,Settings!$B$16)</f>
        <v>jeudi pm</v>
      </c>
      <c r="P624" s="5">
        <f t="shared" si="40"/>
        <v>5</v>
      </c>
    </row>
    <row r="625" spans="1:16" ht="15.75" customHeight="1" x14ac:dyDescent="0.25">
      <c r="A625" s="6" t="s">
        <v>977</v>
      </c>
      <c r="B625" s="6" cm="1">
        <f t="array" ref="B625">alea_int(Settings!$B$10,1,Settings!$B$16)</f>
        <v>3</v>
      </c>
      <c r="C625" s="8">
        <v>46023</v>
      </c>
      <c r="D625" s="8">
        <f t="shared" si="37"/>
        <v>46387</v>
      </c>
      <c r="E625" s="6" t="str" cm="1">
        <f t="array" ref="E625">choice(Groupes!A:A,1,Settings!$B$16)</f>
        <v>G4</v>
      </c>
      <c r="F625" s="6" t="str">
        <f t="shared" si="38"/>
        <v>G4</v>
      </c>
      <c r="G625" s="6" t="str">
        <f t="shared" si="39"/>
        <v>Prof28</v>
      </c>
      <c r="H625" s="6" t="str" cm="1">
        <f t="array" ref="H625">choice(Referentiel!A:A,1,Settings!$B$16)</f>
        <v>Gr ART, DESIGN, SOCIETE</v>
      </c>
      <c r="I625" s="6" t="str" cm="1">
        <f t="array" ref="I625">choice(Referentiel!B:B,1,Settings!$B$16)</f>
        <v>2ème année Scénographie S1</v>
      </c>
      <c r="J625" s="6" t="str" cm="1">
        <f t="array" ref="J625">choice(Referentiel!D:D,1,Settings!$B$16)</f>
        <v>L3</v>
      </c>
      <c r="K625" s="6" t="str" cm="1">
        <f t="array" ref="K625">choice(Professeurs!B:B,1,Settings!$B$16)</f>
        <v>Prof28</v>
      </c>
      <c r="L625" s="5" t="str" cm="1">
        <f t="array" ref="L625">choice(Referentiel!C:C,1,Settings!$B$16)</f>
        <v/>
      </c>
      <c r="M625" s="5" t="str" cm="1">
        <f t="array" ref="M625">choice(Referentiel!E:E,1,Settings!$B$16)</f>
        <v/>
      </c>
      <c r="N625" s="5" t="str" cm="1">
        <f t="array" ref="N625">choice(Settings!K:K,1,Settings!$B$16)</f>
        <v/>
      </c>
      <c r="P625" s="5">
        <f t="shared" si="40"/>
        <v>3</v>
      </c>
    </row>
    <row r="626" spans="1:16" ht="15.75" customHeight="1" x14ac:dyDescent="0.25">
      <c r="A626" s="6" t="s">
        <v>978</v>
      </c>
      <c r="B626" s="6" cm="1">
        <f t="array" ref="B626">alea_int(Settings!$B$10,1,Settings!$B$16)</f>
        <v>2</v>
      </c>
      <c r="C626" s="8">
        <v>46023</v>
      </c>
      <c r="D626" s="8">
        <f t="shared" si="37"/>
        <v>46387</v>
      </c>
      <c r="E626" s="6" t="str" cm="1">
        <f t="array" ref="E626">choice(Groupes!A:A,1,Settings!$B$16)</f>
        <v>G24</v>
      </c>
      <c r="F626" s="6" t="str">
        <f t="shared" si="38"/>
        <v>G24</v>
      </c>
      <c r="G626" s="6" t="str">
        <f t="shared" si="39"/>
        <v>Prof33</v>
      </c>
      <c r="H626" s="6" t="str" cm="1">
        <f t="array" ref="H626">choice(Referentiel!A:A,1,Settings!$B$16)</f>
        <v>Gr SPATIAL MEDIA</v>
      </c>
      <c r="I626" s="6" t="str" cm="1">
        <f t="array" ref="I626">choice(Referentiel!B:B,1,Settings!$B$16)</f>
        <v>4ème année Photo / Vidéo S1</v>
      </c>
      <c r="J626" s="6" t="str" cm="1">
        <f t="array" ref="J626">choice(Referentiel!D:D,1,Settings!$B$16)</f>
        <v>M1</v>
      </c>
      <c r="K626" s="6" t="str" cm="1">
        <f t="array" ref="K626">choice(Professeurs!B:B,1,Settings!$B$16)</f>
        <v>Prof33</v>
      </c>
      <c r="L626" s="5" t="str" cm="1">
        <f t="array" ref="L626">choice(Referentiel!C:C,1,Settings!$B$16)</f>
        <v/>
      </c>
      <c r="M626" s="5" t="str" cm="1">
        <f t="array" ref="M626">choice(Referentiel!E:E,1,Settings!$B$16)</f>
        <v/>
      </c>
      <c r="N626" s="5" t="str" cm="1">
        <f t="array" ref="N626">choice(Settings!K:K,1,Settings!$B$16)</f>
        <v/>
      </c>
      <c r="P626" s="5">
        <f t="shared" si="40"/>
        <v>2</v>
      </c>
    </row>
    <row r="627" spans="1:16" ht="15.75" customHeight="1" x14ac:dyDescent="0.25">
      <c r="A627" s="6" t="s">
        <v>979</v>
      </c>
      <c r="B627" s="6" cm="1">
        <f t="array" ref="B627">alea_int(Settings!$B$10,1,Settings!$B$16)</f>
        <v>3</v>
      </c>
      <c r="C627" s="8">
        <v>46023</v>
      </c>
      <c r="D627" s="8">
        <f t="shared" si="37"/>
        <v>46387</v>
      </c>
      <c r="E627" s="6" t="str" cm="1">
        <f t="array" ref="E627">choice(Groupes!A:A,1,Settings!$B$16)</f>
        <v>G5</v>
      </c>
      <c r="F627" s="6" t="str">
        <f t="shared" si="38"/>
        <v>G5</v>
      </c>
      <c r="G627" s="6" t="str">
        <f t="shared" si="39"/>
        <v>Prof48</v>
      </c>
      <c r="H627" s="6" t="str" cm="1">
        <f t="array" ref="H627">choice(Referentiel!A:A,1,Settings!$B$16)</f>
        <v>Image Imprimée</v>
      </c>
      <c r="I627" s="6" t="str" cm="1">
        <f t="array" ref="I627">choice(Referentiel!B:B,1,Settings!$B$16)</f>
        <v>2ème année Art-Espace S1</v>
      </c>
      <c r="J627" s="6" t="str" cm="1">
        <f t="array" ref="J627">choice(Referentiel!D:D,1,Settings!$B$16)</f>
        <v>M1</v>
      </c>
      <c r="K627" s="6" t="str" cm="1">
        <f t="array" ref="K627">choice(Professeurs!B:B,1,Settings!$B$16)</f>
        <v>Prof48</v>
      </c>
      <c r="L627" s="5" t="str" cm="1">
        <f t="array" ref="L627">choice(Referentiel!C:C,1,Settings!$B$16)</f>
        <v/>
      </c>
      <c r="M627" s="5" t="str" cm="1">
        <f t="array" ref="M627">choice(Referentiel!E:E,1,Settings!$B$16)</f>
        <v/>
      </c>
      <c r="N627" s="5" t="str" cm="1">
        <f t="array" ref="N627">choice(Settings!K:K,1,Settings!$B$16)</f>
        <v/>
      </c>
      <c r="P627" s="5">
        <f t="shared" si="40"/>
        <v>3</v>
      </c>
    </row>
    <row r="628" spans="1:16" ht="15.75" customHeight="1" x14ac:dyDescent="0.25">
      <c r="A628" s="6" t="s">
        <v>980</v>
      </c>
      <c r="B628" s="6" cm="1">
        <f t="array" ref="B628">alea_int(Settings!$B$10,1,Settings!$B$16)</f>
        <v>1</v>
      </c>
      <c r="C628" s="8">
        <v>46023</v>
      </c>
      <c r="D628" s="8">
        <f t="shared" si="37"/>
        <v>46387</v>
      </c>
      <c r="E628" s="6" t="str" cm="1">
        <f t="array" ref="E628">choice(Groupes!A:A,1,Settings!$B$16)</f>
        <v>G5</v>
      </c>
      <c r="F628" s="6" t="str">
        <f t="shared" si="38"/>
        <v>G5</v>
      </c>
      <c r="G628" s="6" t="str">
        <f t="shared" si="39"/>
        <v>Prof3</v>
      </c>
      <c r="H628" s="6" t="str" cm="1">
        <f t="array" ref="H628">choice(Referentiel!A:A,1,Settings!$B$16)</f>
        <v>Design des mondes montagneux</v>
      </c>
      <c r="I628" s="6" t="str" cm="1">
        <f t="array" ref="I628">choice(Referentiel!B:B,1,Settings!$B$16)</f>
        <v>2ème année Architecture Intérieure S2</v>
      </c>
      <c r="J628" s="6" t="str" cm="1">
        <f t="array" ref="J628">choice(Referentiel!D:D,1,Settings!$B$16)</f>
        <v>M2</v>
      </c>
      <c r="K628" s="6" t="str" cm="1">
        <f t="array" ref="K628">choice(Professeurs!B:B,1,Settings!$B$16)</f>
        <v>Prof3</v>
      </c>
      <c r="L628" s="5" t="str" cm="1">
        <f t="array" ref="L628">choice(Referentiel!C:C,1,Settings!$B$16)</f>
        <v/>
      </c>
      <c r="M628" s="5" t="str" cm="1">
        <f t="array" ref="M628">choice(Referentiel!E:E,1,Settings!$B$16)</f>
        <v/>
      </c>
      <c r="N628" s="5" t="str" cm="1">
        <f t="array" ref="N628">choice(Settings!K:K,1,Settings!$B$16)</f>
        <v>mercredi pm</v>
      </c>
      <c r="P628" s="5">
        <f t="shared" si="40"/>
        <v>3</v>
      </c>
    </row>
    <row r="629" spans="1:16" ht="15.75" customHeight="1" x14ac:dyDescent="0.25">
      <c r="A629" s="6" t="s">
        <v>981</v>
      </c>
      <c r="B629" s="6" cm="1">
        <f t="array" ref="B629">alea_int(Settings!$B$10,1,Settings!$B$16)</f>
        <v>3</v>
      </c>
      <c r="C629" s="8">
        <v>46023</v>
      </c>
      <c r="D629" s="8">
        <f t="shared" si="37"/>
        <v>46387</v>
      </c>
      <c r="E629" s="6" t="str" cm="1">
        <f t="array" ref="E629">choice(Groupes!A:A,1,Settings!$B$16)</f>
        <v>G10</v>
      </c>
      <c r="F629" s="6" t="str">
        <f t="shared" si="38"/>
        <v>G10</v>
      </c>
      <c r="G629" s="6" t="str">
        <f t="shared" si="39"/>
        <v>Prof1</v>
      </c>
      <c r="H629" s="6" t="str" cm="1">
        <f t="array" ref="H629">choice(Referentiel!A:A,1,Settings!$B$16)</f>
        <v>Design des mondes urbains</v>
      </c>
      <c r="I629" s="6" t="str" cm="1">
        <f t="array" ref="I629">choice(Referentiel!B:B,1,Settings!$B$16)</f>
        <v>3ème année Photo / Vidéo S1</v>
      </c>
      <c r="J629" s="6" t="str" cm="1">
        <f t="array" ref="J629">choice(Referentiel!D:D,1,Settings!$B$16)</f>
        <v>M2</v>
      </c>
      <c r="K629" s="6" t="str" cm="1">
        <f t="array" ref="K629">choice(Professeurs!B:B,1,Settings!$B$16)</f>
        <v>Prof1</v>
      </c>
      <c r="L629" s="5" t="str" cm="1">
        <f t="array" ref="L629">choice(Referentiel!C:C,1,Settings!$B$16)</f>
        <v/>
      </c>
      <c r="M629" s="5" t="str" cm="1">
        <f t="array" ref="M629">choice(Referentiel!E:E,1,Settings!$B$16)</f>
        <v/>
      </c>
      <c r="N629" s="5" t="str" cm="1">
        <f t="array" ref="N629">choice(Settings!K:K,1,Settings!$B$16)</f>
        <v/>
      </c>
      <c r="P629" s="5">
        <f t="shared" si="40"/>
        <v>3</v>
      </c>
    </row>
    <row r="630" spans="1:16" ht="15.75" customHeight="1" x14ac:dyDescent="0.25">
      <c r="A630" s="6" t="s">
        <v>982</v>
      </c>
      <c r="B630" s="6" cm="1">
        <f t="array" ref="B630">alea_int(Settings!$B$10,1,Settings!$B$16)</f>
        <v>3</v>
      </c>
      <c r="C630" s="8">
        <v>46023</v>
      </c>
      <c r="D630" s="8">
        <f t="shared" si="37"/>
        <v>46387</v>
      </c>
      <c r="E630" s="6" t="str" cm="1">
        <f t="array" ref="E630">choice(Groupes!A:A,1,Settings!$B$16)</f>
        <v>G9</v>
      </c>
      <c r="F630" s="6" t="str">
        <f t="shared" si="38"/>
        <v>G9</v>
      </c>
      <c r="G630" s="6" t="str">
        <f t="shared" si="39"/>
        <v>Prof41</v>
      </c>
      <c r="H630" s="6" t="str" cm="1">
        <f t="array" ref="H630">choice(Referentiel!A:A,1,Settings!$B$16)</f>
        <v>1ère année Groupe 3</v>
      </c>
      <c r="I630" s="6" t="str" cm="1">
        <f t="array" ref="I630">choice(Referentiel!B:B,1,Settings!$B$16)</f>
        <v>4ème année Architecture Intérieure S1</v>
      </c>
      <c r="J630" s="6" t="str" cm="1">
        <f t="array" ref="J630">choice(Referentiel!D:D,1,Settings!$B$16)</f>
        <v>M2</v>
      </c>
      <c r="K630" s="6" t="str" cm="1">
        <f t="array" ref="K630">choice(Professeurs!B:B,1,Settings!$B$16)</f>
        <v>Prof41</v>
      </c>
      <c r="L630" s="5" t="str" cm="1">
        <f t="array" ref="L630">choice(Referentiel!C:C,1,Settings!$B$16)</f>
        <v/>
      </c>
      <c r="M630" s="5" t="str" cm="1">
        <f t="array" ref="M630">choice(Referentiel!E:E,1,Settings!$B$16)</f>
        <v/>
      </c>
      <c r="N630" s="5" t="str" cm="1">
        <f t="array" ref="N630">choice(Settings!K:K,1,Settings!$B$16)</f>
        <v>jeudi pm</v>
      </c>
      <c r="P630" s="5">
        <f t="shared" si="40"/>
        <v>5</v>
      </c>
    </row>
    <row r="631" spans="1:16" ht="15.75" customHeight="1" x14ac:dyDescent="0.25">
      <c r="A631" s="6" t="s">
        <v>983</v>
      </c>
      <c r="B631" s="6" cm="1">
        <f t="array" ref="B631">alea_int(Settings!$B$10,1,Settings!$B$16)</f>
        <v>3</v>
      </c>
      <c r="C631" s="8">
        <v>46023</v>
      </c>
      <c r="D631" s="8">
        <f t="shared" si="37"/>
        <v>46387</v>
      </c>
      <c r="E631" s="6" t="str" cm="1">
        <f t="array" ref="E631">choice(Groupes!A:A,1,Settings!$B$16)</f>
        <v>G27</v>
      </c>
      <c r="F631" s="6" t="str">
        <f t="shared" si="38"/>
        <v>G27</v>
      </c>
      <c r="G631" s="6" t="str">
        <f t="shared" si="39"/>
        <v>Prof36</v>
      </c>
      <c r="H631" s="6" t="str" cm="1">
        <f t="array" ref="H631">choice(Referentiel!A:A,1,Settings!$B$16)</f>
        <v>1ère année Groupe 2</v>
      </c>
      <c r="I631" s="6" t="str" cm="1">
        <f t="array" ref="I631">choice(Referentiel!B:B,1,Settings!$B$16)</f>
        <v>4ème année Cinéma d'Animation S2</v>
      </c>
      <c r="J631" s="6" t="str" cm="1">
        <f t="array" ref="J631">choice(Referentiel!D:D,1,Settings!$B$16)</f>
        <v>L1</v>
      </c>
      <c r="K631" s="6" t="str" cm="1">
        <f t="array" ref="K631">choice(Professeurs!B:B,1,Settings!$B$16)</f>
        <v>Prof36</v>
      </c>
      <c r="L631" s="5" t="str" cm="1">
        <f t="array" ref="L631">choice(Referentiel!C:C,1,Settings!$B$16)</f>
        <v/>
      </c>
      <c r="M631" s="5" t="str" cm="1">
        <f t="array" ref="M631">choice(Referentiel!E:E,1,Settings!$B$16)</f>
        <v/>
      </c>
      <c r="N631" s="5" t="str" cm="1">
        <f t="array" ref="N631">choice(Settings!K:K,1,Settings!$B$16)</f>
        <v>vendredi am</v>
      </c>
      <c r="P631" s="5">
        <f t="shared" si="40"/>
        <v>5</v>
      </c>
    </row>
    <row r="632" spans="1:16" ht="15.75" customHeight="1" x14ac:dyDescent="0.25">
      <c r="A632" s="6" t="s">
        <v>984</v>
      </c>
      <c r="B632" s="6" cm="1">
        <f t="array" ref="B632">alea_int(Settings!$B$10,1,Settings!$B$16)</f>
        <v>3</v>
      </c>
      <c r="C632" s="8">
        <v>46023</v>
      </c>
      <c r="D632" s="8">
        <f t="shared" si="37"/>
        <v>46387</v>
      </c>
      <c r="E632" s="6" t="str" cm="1">
        <f t="array" ref="E632">choice(Groupes!A:A,1,Settings!$B$16)</f>
        <v>G13</v>
      </c>
      <c r="F632" s="6" t="str">
        <f t="shared" si="38"/>
        <v>G13</v>
      </c>
      <c r="G632" s="6" t="str">
        <f t="shared" si="39"/>
        <v>Prof43</v>
      </c>
      <c r="H632" s="6" t="str" cm="1">
        <f t="array" ref="H632">choice(Referentiel!A:A,1,Settings!$B$16)</f>
        <v>Cinéma d'Animation</v>
      </c>
      <c r="I632" s="6" t="str" cm="1">
        <f t="array" ref="I632">choice(Referentiel!B:B,1,Settings!$B$16)</f>
        <v>4ème année Design Graphique S2</v>
      </c>
      <c r="J632" s="6" t="str" cm="1">
        <f t="array" ref="J632">choice(Referentiel!D:D,1,Settings!$B$16)</f>
        <v>L2</v>
      </c>
      <c r="K632" s="6" t="str" cm="1">
        <f t="array" ref="K632">choice(Professeurs!B:B,1,Settings!$B$16)</f>
        <v>Prof43</v>
      </c>
      <c r="L632" s="5" t="str" cm="1">
        <f t="array" ref="L632">choice(Referentiel!C:C,1,Settings!$B$16)</f>
        <v/>
      </c>
      <c r="M632" s="5" t="str" cm="1">
        <f t="array" ref="M632">choice(Referentiel!E:E,1,Settings!$B$16)</f>
        <v/>
      </c>
      <c r="N632" s="5" t="str" cm="1">
        <f t="array" ref="N632">choice(Settings!K:K,1,Settings!$B$16)</f>
        <v/>
      </c>
      <c r="P632" s="5">
        <f t="shared" si="40"/>
        <v>3</v>
      </c>
    </row>
    <row r="633" spans="1:16" ht="15.75" customHeight="1" x14ac:dyDescent="0.25">
      <c r="A633" s="6" t="s">
        <v>985</v>
      </c>
      <c r="B633" s="6" cm="1">
        <f t="array" ref="B633">alea_int(Settings!$B$10,1,Settings!$B$16)</f>
        <v>2</v>
      </c>
      <c r="C633" s="8">
        <v>46023</v>
      </c>
      <c r="D633" s="8">
        <f t="shared" si="37"/>
        <v>46387</v>
      </c>
      <c r="E633" s="6" t="str" cm="1">
        <f t="array" ref="E633">choice(Groupes!A:A,1,Settings!$B$16)</f>
        <v>G21</v>
      </c>
      <c r="F633" s="6" t="str">
        <f t="shared" si="38"/>
        <v>G21</v>
      </c>
      <c r="G633" s="6" t="str">
        <f t="shared" si="39"/>
        <v>Prof46</v>
      </c>
      <c r="H633" s="6" t="str" cm="1">
        <f t="array" ref="H633">choice(Referentiel!A:A,1,Settings!$B$16)</f>
        <v>Gr SOFT MATTERS</v>
      </c>
      <c r="I633" s="6" t="str" cm="1">
        <f t="array" ref="I633">choice(Referentiel!B:B,1,Settings!$B$16)</f>
        <v>2ème année Image Imprimée S1</v>
      </c>
      <c r="J633" s="6" t="str" cm="1">
        <f t="array" ref="J633">choice(Referentiel!D:D,1,Settings!$B$16)</f>
        <v>L2</v>
      </c>
      <c r="K633" s="6" t="str" cm="1">
        <f t="array" ref="K633">choice(Professeurs!B:B,1,Settings!$B$16)</f>
        <v>Prof46</v>
      </c>
      <c r="L633" s="5" t="str" cm="1">
        <f t="array" ref="L633">choice(Referentiel!C:C,1,Settings!$B$16)</f>
        <v>fenetre</v>
      </c>
      <c r="M633" s="5" t="str" cm="1">
        <f t="array" ref="M633">choice(Referentiel!E:E,1,Settings!$B$16)</f>
        <v/>
      </c>
      <c r="N633" s="5" t="str" cm="1">
        <f t="array" ref="N633">choice(Settings!K:K,1,Settings!$B$16)</f>
        <v>jeudi am</v>
      </c>
      <c r="P633" s="5">
        <f t="shared" si="40"/>
        <v>4</v>
      </c>
    </row>
    <row r="634" spans="1:16" ht="15.75" customHeight="1" x14ac:dyDescent="0.25">
      <c r="A634" s="6" t="s">
        <v>986</v>
      </c>
      <c r="B634" s="6" cm="1">
        <f t="array" ref="B634">alea_int(Settings!$B$10,1,Settings!$B$16)</f>
        <v>1</v>
      </c>
      <c r="C634" s="8">
        <v>46023</v>
      </c>
      <c r="D634" s="8">
        <f t="shared" si="37"/>
        <v>46387</v>
      </c>
      <c r="E634" s="6" t="str" cm="1">
        <f t="array" ref="E634">choice(Groupes!A:A,1,Settings!$B$16)</f>
        <v>G21</v>
      </c>
      <c r="F634" s="6" t="str">
        <f t="shared" si="38"/>
        <v>G21</v>
      </c>
      <c r="G634" s="6" t="str">
        <f t="shared" si="39"/>
        <v>Prof22</v>
      </c>
      <c r="H634" s="6" t="str" cm="1">
        <f t="array" ref="H634">choice(Referentiel!A:A,1,Settings!$B$16)</f>
        <v>Art-Espace</v>
      </c>
      <c r="I634" s="6" t="str" cm="1">
        <f t="array" ref="I634">choice(Referentiel!B:B,1,Settings!$B$16)</f>
        <v>3ème année Scénographie S1</v>
      </c>
      <c r="J634" s="6" t="str" cm="1">
        <f t="array" ref="J634">choice(Referentiel!D:D,1,Settings!$B$16)</f>
        <v>L2</v>
      </c>
      <c r="K634" s="6" t="str" cm="1">
        <f t="array" ref="K634">choice(Professeurs!B:B,1,Settings!$B$16)</f>
        <v>Prof22</v>
      </c>
      <c r="L634" s="5" t="str" cm="1">
        <f t="array" ref="L634">choice(Referentiel!C:C,1,Settings!$B$16)</f>
        <v/>
      </c>
      <c r="M634" s="5" t="str" cm="1">
        <f t="array" ref="M634">choice(Referentiel!E:E,1,Settings!$B$16)</f>
        <v/>
      </c>
      <c r="N634" s="5" t="str" cm="1">
        <f t="array" ref="N634">choice(Settings!K:K,1,Settings!$B$16)</f>
        <v>jeudi am</v>
      </c>
      <c r="P634" s="5">
        <f t="shared" si="40"/>
        <v>3</v>
      </c>
    </row>
    <row r="635" spans="1:16" ht="15.75" customHeight="1" x14ac:dyDescent="0.25">
      <c r="A635" s="6" t="s">
        <v>987</v>
      </c>
      <c r="B635" s="6" cm="1">
        <f t="array" ref="B635">alea_int(Settings!$B$10,1,Settings!$B$16)</f>
        <v>1</v>
      </c>
      <c r="C635" s="8">
        <v>46023</v>
      </c>
      <c r="D635" s="8">
        <f t="shared" si="37"/>
        <v>46387</v>
      </c>
      <c r="E635" s="6" t="str" cm="1">
        <f t="array" ref="E635">choice(Groupes!A:A,1,Settings!$B$16)</f>
        <v>G29</v>
      </c>
      <c r="F635" s="6" t="str">
        <f t="shared" si="38"/>
        <v>G29</v>
      </c>
      <c r="G635" s="6" t="str">
        <f t="shared" si="39"/>
        <v>Prof38</v>
      </c>
      <c r="H635" s="6" t="str" cm="1">
        <f t="array" ref="H635">choice(Referentiel!A:A,1,Settings!$B$16)</f>
        <v>1ère année Groupe 3</v>
      </c>
      <c r="I635" s="6" t="str" cm="1">
        <f t="array" ref="I635">choice(Referentiel!B:B,1,Settings!$B$16)</f>
        <v>3ème année Design Textile et Matière S2</v>
      </c>
      <c r="J635" s="6" t="str" cm="1">
        <f t="array" ref="J635">choice(Referentiel!D:D,1,Settings!$B$16)</f>
        <v>L3</v>
      </c>
      <c r="K635" s="6" t="str" cm="1">
        <f t="array" ref="K635">choice(Professeurs!B:B,1,Settings!$B$16)</f>
        <v>Prof38</v>
      </c>
      <c r="L635" s="5" t="str" cm="1">
        <f t="array" ref="L635">choice(Referentiel!C:C,1,Settings!$B$16)</f>
        <v/>
      </c>
      <c r="M635" s="5" t="str" cm="1">
        <f t="array" ref="M635">choice(Referentiel!E:E,1,Settings!$B$16)</f>
        <v/>
      </c>
      <c r="N635" s="5" t="str" cm="1">
        <f t="array" ref="N635">choice(Settings!K:K,1,Settings!$B$16)</f>
        <v/>
      </c>
      <c r="P635" s="5">
        <f t="shared" si="40"/>
        <v>1</v>
      </c>
    </row>
    <row r="636" spans="1:16" ht="15.75" customHeight="1" x14ac:dyDescent="0.25">
      <c r="A636" s="6" t="s">
        <v>988</v>
      </c>
      <c r="B636" s="6" cm="1">
        <f t="array" ref="B636">alea_int(Settings!$B$10,1,Settings!$B$16)</f>
        <v>3</v>
      </c>
      <c r="C636" s="8">
        <v>46023</v>
      </c>
      <c r="D636" s="8">
        <f t="shared" si="37"/>
        <v>46387</v>
      </c>
      <c r="E636" s="6" t="str" cm="1">
        <f t="array" ref="E636">choice(Groupes!A:A,1,Settings!$B$16)</f>
        <v>G15</v>
      </c>
      <c r="F636" s="6" t="str">
        <f t="shared" si="38"/>
        <v>G15</v>
      </c>
      <c r="G636" s="6" t="str">
        <f t="shared" si="39"/>
        <v>Prof52</v>
      </c>
      <c r="H636" s="6" t="str" cm="1">
        <f t="array" ref="H636">choice(Referentiel!A:A,1,Settings!$B$16)</f>
        <v>Gr SPATIAL MEDIA</v>
      </c>
      <c r="I636" s="6" t="str" cm="1">
        <f t="array" ref="I636">choice(Referentiel!B:B,1,Settings!$B$16)</f>
        <v>2ème année Design Objet S2</v>
      </c>
      <c r="J636" s="6" t="str" cm="1">
        <f t="array" ref="J636">choice(Referentiel!D:D,1,Settings!$B$16)</f>
        <v>M1</v>
      </c>
      <c r="K636" s="6" t="str" cm="1">
        <f t="array" ref="K636">choice(Professeurs!B:B,1,Settings!$B$16)</f>
        <v>Prof52</v>
      </c>
      <c r="L636" s="5" t="str" cm="1">
        <f t="array" ref="L636">choice(Referentiel!C:C,1,Settings!$B$16)</f>
        <v/>
      </c>
      <c r="M636" s="5" t="str" cm="1">
        <f t="array" ref="M636">choice(Referentiel!E:E,1,Settings!$B$16)</f>
        <v/>
      </c>
      <c r="N636" s="5" t="str" cm="1">
        <f t="array" ref="N636">choice(Settings!K:K,1,Settings!$B$16)</f>
        <v>lundi am</v>
      </c>
      <c r="P636" s="5">
        <f t="shared" si="40"/>
        <v>5</v>
      </c>
    </row>
    <row r="637" spans="1:16" ht="15.75" customHeight="1" x14ac:dyDescent="0.25">
      <c r="A637" s="6" t="s">
        <v>989</v>
      </c>
      <c r="B637" s="6" cm="1">
        <f t="array" ref="B637">alea_int(Settings!$B$10,1,Settings!$B$16)</f>
        <v>2</v>
      </c>
      <c r="C637" s="8">
        <v>46023</v>
      </c>
      <c r="D637" s="8">
        <f t="shared" si="37"/>
        <v>46387</v>
      </c>
      <c r="E637" s="6" t="str" cm="1">
        <f t="array" ref="E637">choice(Groupes!A:A,1,Settings!$B$16)</f>
        <v>G26</v>
      </c>
      <c r="F637" s="6" t="str">
        <f t="shared" si="38"/>
        <v>G26</v>
      </c>
      <c r="G637" s="6" t="str">
        <f t="shared" si="39"/>
        <v>Prof42</v>
      </c>
      <c r="H637" s="6" t="str" cm="1">
        <f t="array" ref="H637">choice(Referentiel!A:A,1,Settings!$B$16)</f>
        <v>1ère année Groupe 1</v>
      </c>
      <c r="I637" s="6" t="str" cm="1">
        <f t="array" ref="I637">choice(Referentiel!B:B,1,Settings!$B$16)</f>
        <v>2ème année Art-Espace S2</v>
      </c>
      <c r="J637" s="6" t="str" cm="1">
        <f t="array" ref="J637">choice(Referentiel!D:D,1,Settings!$B$16)</f>
        <v>M1</v>
      </c>
      <c r="K637" s="6" t="str" cm="1">
        <f t="array" ref="K637">choice(Professeurs!B:B,1,Settings!$B$16)</f>
        <v>Prof42</v>
      </c>
      <c r="L637" s="5" t="str" cm="1">
        <f t="array" ref="L637">choice(Referentiel!C:C,1,Settings!$B$16)</f>
        <v/>
      </c>
      <c r="M637" s="5" t="str" cm="1">
        <f t="array" ref="M637">choice(Referentiel!E:E,1,Settings!$B$16)</f>
        <v/>
      </c>
      <c r="N637" s="5" t="str" cm="1">
        <f t="array" ref="N637">choice(Settings!K:K,1,Settings!$B$16)</f>
        <v/>
      </c>
      <c r="P637" s="5">
        <f t="shared" si="40"/>
        <v>2</v>
      </c>
    </row>
    <row r="638" spans="1:16" ht="15.75" customHeight="1" x14ac:dyDescent="0.25">
      <c r="A638" s="6" t="s">
        <v>990</v>
      </c>
      <c r="B638" s="6" cm="1">
        <f t="array" ref="B638">alea_int(Settings!$B$10,1,Settings!$B$16)</f>
        <v>2</v>
      </c>
      <c r="C638" s="8">
        <v>46023</v>
      </c>
      <c r="D638" s="8">
        <f t="shared" si="37"/>
        <v>46387</v>
      </c>
      <c r="E638" s="6" t="str" cm="1">
        <f t="array" ref="E638">choice(Groupes!A:A,1,Settings!$B$16)</f>
        <v>G5</v>
      </c>
      <c r="F638" s="6" t="str">
        <f t="shared" si="38"/>
        <v>G5</v>
      </c>
      <c r="G638" s="6" t="str">
        <f t="shared" si="39"/>
        <v>Prof46</v>
      </c>
      <c r="H638" s="6" t="str" cm="1">
        <f t="array" ref="H638">choice(Referentiel!A:A,1,Settings!$B$16)</f>
        <v>Design des mondes urbains</v>
      </c>
      <c r="I638" s="6" t="str" cm="1">
        <f t="array" ref="I638">choice(Referentiel!B:B,1,Settings!$B$16)</f>
        <v>4ème année Design Objet S2</v>
      </c>
      <c r="J638" s="6" t="str" cm="1">
        <f t="array" ref="J638">choice(Referentiel!D:D,1,Settings!$B$16)</f>
        <v>L3</v>
      </c>
      <c r="K638" s="6" t="str" cm="1">
        <f t="array" ref="K638">choice(Professeurs!B:B,1,Settings!$B$16)</f>
        <v>Prof46</v>
      </c>
      <c r="L638" s="5" t="str" cm="1">
        <f t="array" ref="L638">choice(Referentiel!C:C,1,Settings!$B$16)</f>
        <v/>
      </c>
      <c r="M638" s="5" t="str" cm="1">
        <f t="array" ref="M638">choice(Referentiel!E:E,1,Settings!$B$16)</f>
        <v/>
      </c>
      <c r="N638" s="5" t="str" cm="1">
        <f t="array" ref="N638">choice(Settings!K:K,1,Settings!$B$16)</f>
        <v/>
      </c>
      <c r="P638" s="5">
        <f t="shared" si="40"/>
        <v>2</v>
      </c>
    </row>
    <row r="639" spans="1:16" ht="15.75" customHeight="1" x14ac:dyDescent="0.25">
      <c r="A639" s="6" t="s">
        <v>991</v>
      </c>
      <c r="B639" s="6" cm="1">
        <f t="array" ref="B639">alea_int(Settings!$B$10,1,Settings!$B$16)</f>
        <v>3</v>
      </c>
      <c r="C639" s="8">
        <v>46023</v>
      </c>
      <c r="D639" s="8">
        <f t="shared" si="37"/>
        <v>46387</v>
      </c>
      <c r="E639" s="6" t="str" cm="1">
        <f t="array" ref="E639">choice(Groupes!A:A,1,Settings!$B$16)</f>
        <v>G30</v>
      </c>
      <c r="F639" s="6" t="str">
        <f t="shared" si="38"/>
        <v>G30</v>
      </c>
      <c r="G639" s="6" t="str">
        <f t="shared" si="39"/>
        <v>Prof24</v>
      </c>
      <c r="H639" s="6" t="str" cm="1">
        <f t="array" ref="H639">choice(Referentiel!A:A,1,Settings!$B$16)</f>
        <v>Gr REFLECTIVE INTERACTION</v>
      </c>
      <c r="I639" s="6" t="str" cm="1">
        <f t="array" ref="I639">choice(Referentiel!B:B,1,Settings!$B$16)</f>
        <v>5ème année Art-Espace S2</v>
      </c>
      <c r="J639" s="6" t="str" cm="1">
        <f t="array" ref="J639">choice(Referentiel!D:D,1,Settings!$B$16)</f>
        <v>L1</v>
      </c>
      <c r="K639" s="6" t="str" cm="1">
        <f t="array" ref="K639">choice(Professeurs!B:B,1,Settings!$B$16)</f>
        <v>Prof24</v>
      </c>
      <c r="L639" s="5" t="str" cm="1">
        <f t="array" ref="L639">choice(Referentiel!C:C,1,Settings!$B$16)</f>
        <v/>
      </c>
      <c r="M639" s="5" t="str" cm="1">
        <f t="array" ref="M639">choice(Referentiel!E:E,1,Settings!$B$16)</f>
        <v/>
      </c>
      <c r="N639" s="5" t="str" cm="1">
        <f t="array" ref="N639">choice(Settings!K:K,1,Settings!$B$16)</f>
        <v>lundi pm</v>
      </c>
      <c r="P639" s="5">
        <f t="shared" si="40"/>
        <v>5</v>
      </c>
    </row>
    <row r="640" spans="1:16" ht="15.75" customHeight="1" x14ac:dyDescent="0.25">
      <c r="A640" s="6" t="s">
        <v>992</v>
      </c>
      <c r="B640" s="6" cm="1">
        <f t="array" ref="B640">alea_int(Settings!$B$10,1,Settings!$B$16)</f>
        <v>3</v>
      </c>
      <c r="C640" s="8">
        <v>46023</v>
      </c>
      <c r="D640" s="8">
        <f t="shared" si="37"/>
        <v>46387</v>
      </c>
      <c r="E640" s="6" t="str" cm="1">
        <f t="array" ref="E640">choice(Groupes!A:A,1,Settings!$B$16)</f>
        <v>G9</v>
      </c>
      <c r="F640" s="6" t="str">
        <f t="shared" si="38"/>
        <v>G9</v>
      </c>
      <c r="G640" s="6" t="str">
        <f t="shared" si="39"/>
        <v>Prof27</v>
      </c>
      <c r="H640" s="6" t="str" cm="1">
        <f t="array" ref="H640">choice(Referentiel!A:A,1,Settings!$B$16)</f>
        <v>6ème année atelier</v>
      </c>
      <c r="I640" s="6" t="str" cm="1">
        <f t="array" ref="I640">choice(Referentiel!B:B,1,Settings!$B$16)</f>
        <v>2ème année Design Textile et Matière S1</v>
      </c>
      <c r="J640" s="6" t="str" cm="1">
        <f t="array" ref="J640">choice(Referentiel!D:D,1,Settings!$B$16)</f>
        <v>L2</v>
      </c>
      <c r="K640" s="6" t="str" cm="1">
        <f t="array" ref="K640">choice(Professeurs!B:B,1,Settings!$B$16)</f>
        <v>Prof27</v>
      </c>
      <c r="L640" s="5" t="str" cm="1">
        <f t="array" ref="L640">choice(Referentiel!C:C,1,Settings!$B$16)</f>
        <v/>
      </c>
      <c r="M640" s="5" t="str" cm="1">
        <f t="array" ref="M640">choice(Referentiel!E:E,1,Settings!$B$16)</f>
        <v/>
      </c>
      <c r="N640" s="5" t="str" cm="1">
        <f t="array" ref="N640">choice(Settings!K:K,1,Settings!$B$16)</f>
        <v/>
      </c>
      <c r="P640" s="5">
        <f t="shared" si="40"/>
        <v>3</v>
      </c>
    </row>
    <row r="641" spans="1:16" ht="15.75" customHeight="1" x14ac:dyDescent="0.25">
      <c r="A641" s="6" t="s">
        <v>993</v>
      </c>
      <c r="B641" s="6" cm="1">
        <f t="array" ref="B641">alea_int(Settings!$B$10,1,Settings!$B$16)</f>
        <v>3</v>
      </c>
      <c r="C641" s="8">
        <v>46023</v>
      </c>
      <c r="D641" s="8">
        <f t="shared" si="37"/>
        <v>46387</v>
      </c>
      <c r="E641" s="6" t="str" cm="1">
        <f t="array" ref="E641">choice(Groupes!A:A,1,Settings!$B$16)</f>
        <v>G24</v>
      </c>
      <c r="F641" s="6" t="str">
        <f t="shared" si="38"/>
        <v>G24</v>
      </c>
      <c r="G641" s="6" t="str">
        <f t="shared" si="39"/>
        <v>Prof33</v>
      </c>
      <c r="H641" s="6" t="str" cm="1">
        <f t="array" ref="H641">choice(Referentiel!A:A,1,Settings!$B$16)</f>
        <v>Photo / Vidéo</v>
      </c>
      <c r="I641" s="6" t="str" cm="1">
        <f t="array" ref="I641">choice(Referentiel!B:B,1,Settings!$B$16)</f>
        <v>2ème année Image Imprimée S2</v>
      </c>
      <c r="J641" s="6" t="str" cm="1">
        <f t="array" ref="J641">choice(Referentiel!D:D,1,Settings!$B$16)</f>
        <v>L1</v>
      </c>
      <c r="K641" s="6" t="str" cm="1">
        <f t="array" ref="K641">choice(Professeurs!B:B,1,Settings!$B$16)</f>
        <v>Prof33</v>
      </c>
      <c r="L641" s="5" t="str" cm="1">
        <f t="array" ref="L641">choice(Referentiel!C:C,1,Settings!$B$16)</f>
        <v/>
      </c>
      <c r="M641" s="5" t="str" cm="1">
        <f t="array" ref="M641">choice(Referentiel!E:E,1,Settings!$B$16)</f>
        <v/>
      </c>
      <c r="N641" s="5" t="str" cm="1">
        <f t="array" ref="N641">choice(Settings!K:K,1,Settings!$B$16)</f>
        <v/>
      </c>
      <c r="P641" s="5">
        <f t="shared" si="40"/>
        <v>3</v>
      </c>
    </row>
    <row r="642" spans="1:16" ht="15.75" customHeight="1" x14ac:dyDescent="0.25">
      <c r="A642" s="6" t="s">
        <v>994</v>
      </c>
      <c r="B642" s="6" cm="1">
        <f t="array" ref="B642">alea_int(Settings!$B$10,1,Settings!$B$16)</f>
        <v>3</v>
      </c>
      <c r="C642" s="8">
        <v>46023</v>
      </c>
      <c r="D642" s="8">
        <f t="shared" si="37"/>
        <v>46387</v>
      </c>
      <c r="E642" s="6" t="str" cm="1">
        <f t="array" ref="E642">choice(Groupes!A:A,1,Settings!$B$16)</f>
        <v>G5</v>
      </c>
      <c r="F642" s="6" t="str">
        <f t="shared" si="38"/>
        <v>G5</v>
      </c>
      <c r="G642" s="6" t="str">
        <f t="shared" si="39"/>
        <v>Prof24</v>
      </c>
      <c r="H642" s="6" t="str" cm="1">
        <f t="array" ref="H642">choice(Referentiel!A:A,1,Settings!$B$16)</f>
        <v>Design des mondes montagneux</v>
      </c>
      <c r="I642" s="6" t="str" cm="1">
        <f t="array" ref="I642">choice(Referentiel!B:B,1,Settings!$B$16)</f>
        <v>3ème année Cinéma d'Animation S2</v>
      </c>
      <c r="J642" s="6" t="str" cm="1">
        <f t="array" ref="J642">choice(Referentiel!D:D,1,Settings!$B$16)</f>
        <v>M2</v>
      </c>
      <c r="K642" s="6" t="str" cm="1">
        <f t="array" ref="K642">choice(Professeurs!B:B,1,Settings!$B$16)</f>
        <v>Prof24</v>
      </c>
      <c r="L642" s="5" t="str" cm="1">
        <f t="array" ref="L642">choice(Referentiel!C:C,1,Settings!$B$16)</f>
        <v/>
      </c>
      <c r="M642" s="5" t="str" cm="1">
        <f t="array" ref="M642">choice(Referentiel!E:E,1,Settings!$B$16)</f>
        <v/>
      </c>
      <c r="N642" s="5" t="str" cm="1">
        <f t="array" ref="N642">choice(Settings!K:K,1,Settings!$B$16)</f>
        <v/>
      </c>
      <c r="P642" s="5">
        <f t="shared" si="40"/>
        <v>3</v>
      </c>
    </row>
    <row r="643" spans="1:16" ht="15.75" customHeight="1" x14ac:dyDescent="0.25">
      <c r="A643" s="6" t="s">
        <v>995</v>
      </c>
      <c r="B643" s="6" cm="1">
        <f t="array" ref="B643">alea_int(Settings!$B$10,1,Settings!$B$16)</f>
        <v>1</v>
      </c>
      <c r="C643" s="8">
        <v>46023</v>
      </c>
      <c r="D643" s="8">
        <f t="shared" ref="D643:D706" si="41">C643+364</f>
        <v>46387</v>
      </c>
      <c r="E643" s="6" t="str" cm="1">
        <f t="array" ref="E643">choice(Groupes!A:A,1,Settings!$B$16)</f>
        <v>G2</v>
      </c>
      <c r="F643" s="6" t="str">
        <f t="shared" ref="F643:F706" si="42">E643</f>
        <v>G2</v>
      </c>
      <c r="G643" s="6" t="str">
        <f t="shared" ref="G643:G706" si="43">K643</f>
        <v>Prof9</v>
      </c>
      <c r="H643" s="6" t="str" cm="1">
        <f t="array" ref="H643">choice(Referentiel!A:A,1,Settings!$B$16)</f>
        <v>Gr REFLECTIVE INTERACTION</v>
      </c>
      <c r="I643" s="6" t="str" cm="1">
        <f t="array" ref="I643">choice(Referentiel!B:B,1,Settings!$B$16)</f>
        <v>3ème année Photo / Vidéo S1</v>
      </c>
      <c r="J643" s="6" t="str" cm="1">
        <f t="array" ref="J643">choice(Referentiel!D:D,1,Settings!$B$16)</f>
        <v>M1</v>
      </c>
      <c r="K643" s="6" t="str" cm="1">
        <f t="array" ref="K643">choice(Professeurs!B:B,1,Settings!$B$16)</f>
        <v>Prof9</v>
      </c>
      <c r="L643" s="5" t="str" cm="1">
        <f t="array" ref="L643">choice(Referentiel!C:C,1,Settings!$B$16)</f>
        <v/>
      </c>
      <c r="M643" s="5" t="str" cm="1">
        <f t="array" ref="M643">choice(Referentiel!E:E,1,Settings!$B$16)</f>
        <v/>
      </c>
      <c r="N643" s="5" t="str" cm="1">
        <f t="array" ref="N643">choice(Settings!K:K,1,Settings!$B$16)</f>
        <v/>
      </c>
      <c r="P643" s="5">
        <f t="shared" ref="P643:P706" si="44">B643+IF(M643&lt;&gt;"",2,0)+IF(N643&lt;&gt;"",2,0)</f>
        <v>1</v>
      </c>
    </row>
    <row r="644" spans="1:16" ht="15.75" customHeight="1" x14ac:dyDescent="0.25">
      <c r="A644" s="6" t="s">
        <v>996</v>
      </c>
      <c r="B644" s="6" cm="1">
        <f t="array" ref="B644">alea_int(Settings!$B$10,1,Settings!$B$16)</f>
        <v>2</v>
      </c>
      <c r="C644" s="8">
        <v>46023</v>
      </c>
      <c r="D644" s="8">
        <f t="shared" si="41"/>
        <v>46387</v>
      </c>
      <c r="E644" s="6" t="str" cm="1">
        <f t="array" ref="E644">choice(Groupes!A:A,1,Settings!$B$16)</f>
        <v>G18</v>
      </c>
      <c r="F644" s="6" t="str">
        <f t="shared" si="42"/>
        <v>G18</v>
      </c>
      <c r="G644" s="6" t="str">
        <f t="shared" si="43"/>
        <v>Prof17</v>
      </c>
      <c r="H644" s="6" t="str" cm="1">
        <f t="array" ref="H644">choice(Referentiel!A:A,1,Settings!$B$16)</f>
        <v>Art-Espace</v>
      </c>
      <c r="I644" s="6" t="str" cm="1">
        <f t="array" ref="I644">choice(Referentiel!B:B,1,Settings!$B$16)</f>
        <v>3ème année Design Graphique S2</v>
      </c>
      <c r="J644" s="6" t="str" cm="1">
        <f t="array" ref="J644">choice(Referentiel!D:D,1,Settings!$B$16)</f>
        <v>M1</v>
      </c>
      <c r="K644" s="6" t="str" cm="1">
        <f t="array" ref="K644">choice(Professeurs!B:B,1,Settings!$B$16)</f>
        <v>Prof17</v>
      </c>
      <c r="L644" s="5" t="str" cm="1">
        <f t="array" ref="L644">choice(Referentiel!C:C,1,Settings!$B$16)</f>
        <v/>
      </c>
      <c r="M644" s="5" t="str" cm="1">
        <f t="array" ref="M644">choice(Referentiel!E:E,1,Settings!$B$16)</f>
        <v/>
      </c>
      <c r="N644" s="5" t="str" cm="1">
        <f t="array" ref="N644">choice(Settings!K:K,1,Settings!$B$16)</f>
        <v/>
      </c>
      <c r="P644" s="5">
        <f t="shared" si="44"/>
        <v>2</v>
      </c>
    </row>
    <row r="645" spans="1:16" ht="15.75" customHeight="1" x14ac:dyDescent="0.25">
      <c r="A645" s="6" t="s">
        <v>997</v>
      </c>
      <c r="B645" s="6" cm="1">
        <f t="array" ref="B645">alea_int(Settings!$B$10,1,Settings!$B$16)</f>
        <v>3</v>
      </c>
      <c r="C645" s="8">
        <v>46023</v>
      </c>
      <c r="D645" s="8">
        <f t="shared" si="41"/>
        <v>46387</v>
      </c>
      <c r="E645" s="6" t="str" cm="1">
        <f t="array" ref="E645">choice(Groupes!A:A,1,Settings!$B$16)</f>
        <v>G15</v>
      </c>
      <c r="F645" s="6" t="str">
        <f t="shared" si="42"/>
        <v>G15</v>
      </c>
      <c r="G645" s="6" t="str">
        <f t="shared" si="43"/>
        <v>Prof40</v>
      </c>
      <c r="H645" s="6" t="str" cm="1">
        <f t="array" ref="H645">choice(Referentiel!A:A,1,Settings!$B$16)</f>
        <v>Design des mondes forestiers</v>
      </c>
      <c r="I645" s="6" t="str" cm="1">
        <f t="array" ref="I645">choice(Referentiel!B:B,1,Settings!$B$16)</f>
        <v>3ème année Scénographie S1</v>
      </c>
      <c r="J645" s="6" t="str" cm="1">
        <f t="array" ref="J645">choice(Referentiel!D:D,1,Settings!$B$16)</f>
        <v>L2</v>
      </c>
      <c r="K645" s="6" t="str" cm="1">
        <f t="array" ref="K645">choice(Professeurs!B:B,1,Settings!$B$16)</f>
        <v>Prof40</v>
      </c>
      <c r="L645" s="5" t="str" cm="1">
        <f t="array" ref="L645">choice(Referentiel!C:C,1,Settings!$B$16)</f>
        <v/>
      </c>
      <c r="M645" s="5" t="str" cm="1">
        <f t="array" ref="M645">choice(Referentiel!E:E,1,Settings!$B$16)</f>
        <v/>
      </c>
      <c r="N645" s="5" t="str" cm="1">
        <f t="array" ref="N645">choice(Settings!K:K,1,Settings!$B$16)</f>
        <v/>
      </c>
      <c r="P645" s="5">
        <f t="shared" si="44"/>
        <v>3</v>
      </c>
    </row>
    <row r="646" spans="1:16" ht="15.75" customHeight="1" x14ac:dyDescent="0.25">
      <c r="A646" s="6" t="s">
        <v>998</v>
      </c>
      <c r="B646" s="6" cm="1">
        <f t="array" ref="B646">alea_int(Settings!$B$10,1,Settings!$B$16)</f>
        <v>2</v>
      </c>
      <c r="C646" s="8">
        <v>46023</v>
      </c>
      <c r="D646" s="8">
        <f t="shared" si="41"/>
        <v>46387</v>
      </c>
      <c r="E646" s="6" t="str" cm="1">
        <f t="array" ref="E646">choice(Groupes!A:A,1,Settings!$B$16)</f>
        <v>G27</v>
      </c>
      <c r="F646" s="6" t="str">
        <f t="shared" si="42"/>
        <v>G27</v>
      </c>
      <c r="G646" s="6" t="str">
        <f t="shared" si="43"/>
        <v>Prof29</v>
      </c>
      <c r="H646" s="6" t="str" cm="1">
        <f t="array" ref="H646">choice(Referentiel!A:A,1,Settings!$B$16)</f>
        <v>Gr TERRITOIRES</v>
      </c>
      <c r="I646" s="6" t="str" cm="1">
        <f t="array" ref="I646">choice(Referentiel!B:B,1,Settings!$B$16)</f>
        <v>4ème année Architecture Intérieure S2</v>
      </c>
      <c r="J646" s="6" t="str" cm="1">
        <f t="array" ref="J646">choice(Referentiel!D:D,1,Settings!$B$16)</f>
        <v>L2</v>
      </c>
      <c r="K646" s="6" t="str" cm="1">
        <f t="array" ref="K646">choice(Professeurs!B:B,1,Settings!$B$16)</f>
        <v>Prof29</v>
      </c>
      <c r="L646" s="5" t="str" cm="1">
        <f t="array" ref="L646">choice(Referentiel!C:C,1,Settings!$B$16)</f>
        <v/>
      </c>
      <c r="M646" s="5" t="str" cm="1">
        <f t="array" ref="M646">choice(Referentiel!E:E,1,Settings!$B$16)</f>
        <v/>
      </c>
      <c r="N646" s="5" t="str" cm="1">
        <f t="array" ref="N646">choice(Settings!K:K,1,Settings!$B$16)</f>
        <v>mardi pm</v>
      </c>
      <c r="P646" s="5">
        <f t="shared" si="44"/>
        <v>4</v>
      </c>
    </row>
    <row r="647" spans="1:16" ht="15.75" customHeight="1" x14ac:dyDescent="0.25">
      <c r="A647" s="6" t="s">
        <v>999</v>
      </c>
      <c r="B647" s="6" cm="1">
        <f t="array" ref="B647">alea_int(Settings!$B$10,1,Settings!$B$16)</f>
        <v>3</v>
      </c>
      <c r="C647" s="8">
        <v>46023</v>
      </c>
      <c r="D647" s="8">
        <f t="shared" si="41"/>
        <v>46387</v>
      </c>
      <c r="E647" s="6" t="str" cm="1">
        <f t="array" ref="E647">choice(Groupes!A:A,1,Settings!$B$16)</f>
        <v>G1</v>
      </c>
      <c r="F647" s="6" t="str">
        <f t="shared" si="42"/>
        <v>G1</v>
      </c>
      <c r="G647" s="6" t="str">
        <f t="shared" si="43"/>
        <v>Prof33</v>
      </c>
      <c r="H647" s="6" t="str" cm="1">
        <f t="array" ref="H647">choice(Referentiel!A:A,1,Settings!$B$16)</f>
        <v>Mode et Matière</v>
      </c>
      <c r="I647" s="6" t="str" cm="1">
        <f t="array" ref="I647">choice(Referentiel!B:B,1,Settings!$B$16)</f>
        <v>4ème année Design Graphique S2</v>
      </c>
      <c r="J647" s="6" t="str" cm="1">
        <f t="array" ref="J647">choice(Referentiel!D:D,1,Settings!$B$16)</f>
        <v>L1</v>
      </c>
      <c r="K647" s="6" t="str" cm="1">
        <f t="array" ref="K647">choice(Professeurs!B:B,1,Settings!$B$16)</f>
        <v>Prof33</v>
      </c>
      <c r="L647" s="5" t="str" cm="1">
        <f t="array" ref="L647">choice(Referentiel!C:C,1,Settings!$B$16)</f>
        <v/>
      </c>
      <c r="M647" s="5" t="str" cm="1">
        <f t="array" ref="M647">choice(Referentiel!E:E,1,Settings!$B$16)</f>
        <v/>
      </c>
      <c r="N647" s="5" t="str" cm="1">
        <f t="array" ref="N647">choice(Settings!K:K,1,Settings!$B$16)</f>
        <v/>
      </c>
      <c r="P647" s="5">
        <f t="shared" si="44"/>
        <v>3</v>
      </c>
    </row>
    <row r="648" spans="1:16" ht="15.75" customHeight="1" x14ac:dyDescent="0.25">
      <c r="A648" s="6" t="s">
        <v>1000</v>
      </c>
      <c r="B648" s="6" cm="1">
        <f t="array" ref="B648">alea_int(Settings!$B$10,1,Settings!$B$16)</f>
        <v>1</v>
      </c>
      <c r="C648" s="8">
        <v>46023</v>
      </c>
      <c r="D648" s="8">
        <f t="shared" si="41"/>
        <v>46387</v>
      </c>
      <c r="E648" s="6" t="str" cm="1">
        <f t="array" ref="E648">choice(Groupes!A:A,1,Settings!$B$16)</f>
        <v>G21</v>
      </c>
      <c r="F648" s="6" t="str">
        <f t="shared" si="42"/>
        <v>G21</v>
      </c>
      <c r="G648" s="6" t="str">
        <f t="shared" si="43"/>
        <v>Prof27</v>
      </c>
      <c r="H648" s="6" t="str" cm="1">
        <f t="array" ref="H648">choice(Referentiel!A:A,1,Settings!$B$16)</f>
        <v>Cinéma d'Animation</v>
      </c>
      <c r="I648" s="6" t="str" cm="1">
        <f t="array" ref="I648">choice(Referentiel!B:B,1,Settings!$B$16)</f>
        <v>1ère Année Groupe 2 S2</v>
      </c>
      <c r="J648" s="6" t="str" cm="1">
        <f t="array" ref="J648">choice(Referentiel!D:D,1,Settings!$B$16)</f>
        <v>L2</v>
      </c>
      <c r="K648" s="6" t="str" cm="1">
        <f t="array" ref="K648">choice(Professeurs!B:B,1,Settings!$B$16)</f>
        <v>Prof27</v>
      </c>
      <c r="L648" s="5" t="str" cm="1">
        <f t="array" ref="L648">choice(Referentiel!C:C,1,Settings!$B$16)</f>
        <v/>
      </c>
      <c r="M648" s="5" t="str" cm="1">
        <f t="array" ref="M648">choice(Referentiel!E:E,1,Settings!$B$16)</f>
        <v/>
      </c>
      <c r="N648" s="5" t="str" cm="1">
        <f t="array" ref="N648">choice(Settings!K:K,1,Settings!$B$16)</f>
        <v/>
      </c>
      <c r="P648" s="5">
        <f t="shared" si="44"/>
        <v>1</v>
      </c>
    </row>
    <row r="649" spans="1:16" ht="15.75" customHeight="1" x14ac:dyDescent="0.25">
      <c r="A649" s="6" t="s">
        <v>1001</v>
      </c>
      <c r="B649" s="6" cm="1">
        <f t="array" ref="B649">alea_int(Settings!$B$10,1,Settings!$B$16)</f>
        <v>2</v>
      </c>
      <c r="C649" s="8">
        <v>46023</v>
      </c>
      <c r="D649" s="8">
        <f t="shared" si="41"/>
        <v>46387</v>
      </c>
      <c r="E649" s="6" t="str" cm="1">
        <f t="array" ref="E649">choice(Groupes!A:A,1,Settings!$B$16)</f>
        <v>G15</v>
      </c>
      <c r="F649" s="6" t="str">
        <f t="shared" si="42"/>
        <v>G15</v>
      </c>
      <c r="G649" s="6" t="str">
        <f t="shared" si="43"/>
        <v>Prof29</v>
      </c>
      <c r="H649" s="6" t="str" cm="1">
        <f t="array" ref="H649">choice(Referentiel!A:A,1,Settings!$B$16)</f>
        <v>Design des mondes urbains</v>
      </c>
      <c r="I649" s="6" t="str" cm="1">
        <f t="array" ref="I649">choice(Referentiel!B:B,1,Settings!$B$16)</f>
        <v>3ème année Image Imprimée S2</v>
      </c>
      <c r="J649" s="6" t="str" cm="1">
        <f t="array" ref="J649">choice(Referentiel!D:D,1,Settings!$B$16)</f>
        <v>M2</v>
      </c>
      <c r="K649" s="6" t="str" cm="1">
        <f t="array" ref="K649">choice(Professeurs!B:B,1,Settings!$B$16)</f>
        <v>Prof29</v>
      </c>
      <c r="L649" s="5" t="str" cm="1">
        <f t="array" ref="L649">choice(Referentiel!C:C,1,Settings!$B$16)</f>
        <v/>
      </c>
      <c r="M649" s="5" t="str" cm="1">
        <f t="array" ref="M649">choice(Referentiel!E:E,1,Settings!$B$16)</f>
        <v/>
      </c>
      <c r="N649" s="5" t="str" cm="1">
        <f t="array" ref="N649">choice(Settings!K:K,1,Settings!$B$16)</f>
        <v>jeudi pm</v>
      </c>
      <c r="P649" s="5">
        <f t="shared" si="44"/>
        <v>4</v>
      </c>
    </row>
    <row r="650" spans="1:16" ht="15.75" customHeight="1" x14ac:dyDescent="0.25">
      <c r="A650" s="6" t="s">
        <v>1002</v>
      </c>
      <c r="B650" s="6" cm="1">
        <f t="array" ref="B650">alea_int(Settings!$B$10,1,Settings!$B$16)</f>
        <v>3</v>
      </c>
      <c r="C650" s="8">
        <v>46023</v>
      </c>
      <c r="D650" s="8">
        <f t="shared" si="41"/>
        <v>46387</v>
      </c>
      <c r="E650" s="6" t="str" cm="1">
        <f t="array" ref="E650">choice(Groupes!A:A,1,Settings!$B$16)</f>
        <v>G22</v>
      </c>
      <c r="F650" s="6" t="str">
        <f t="shared" si="42"/>
        <v>G22</v>
      </c>
      <c r="G650" s="6" t="str">
        <f t="shared" si="43"/>
        <v>Prof38</v>
      </c>
      <c r="H650" s="6" t="str" cm="1">
        <f t="array" ref="H650">choice(Referentiel!A:A,1,Settings!$B$16)</f>
        <v>Image Imprimée</v>
      </c>
      <c r="I650" s="6" t="str" cm="1">
        <f t="array" ref="I650">choice(Referentiel!B:B,1,Settings!$B$16)</f>
        <v>5ème année Image Imprimée S1</v>
      </c>
      <c r="J650" s="6" t="str" cm="1">
        <f t="array" ref="J650">choice(Referentiel!D:D,1,Settings!$B$16)</f>
        <v>M2</v>
      </c>
      <c r="K650" s="6" t="str" cm="1">
        <f t="array" ref="K650">choice(Professeurs!B:B,1,Settings!$B$16)</f>
        <v>Prof38</v>
      </c>
      <c r="L650" s="5" t="str" cm="1">
        <f t="array" ref="L650">choice(Referentiel!C:C,1,Settings!$B$16)</f>
        <v>ordinateur</v>
      </c>
      <c r="M650" s="5" t="str" cm="1">
        <f t="array" ref="M650">choice(Referentiel!E:E,1,Settings!$B$16)</f>
        <v/>
      </c>
      <c r="N650" s="5" t="str" cm="1">
        <f t="array" ref="N650">choice(Settings!K:K,1,Settings!$B$16)</f>
        <v>mercredi ap</v>
      </c>
      <c r="P650" s="5">
        <f t="shared" si="44"/>
        <v>5</v>
      </c>
    </row>
    <row r="651" spans="1:16" ht="15.75" customHeight="1" x14ac:dyDescent="0.25">
      <c r="A651" s="6" t="s">
        <v>1003</v>
      </c>
      <c r="B651" s="6" cm="1">
        <f t="array" ref="B651">alea_int(Settings!$B$10,1,Settings!$B$16)</f>
        <v>1</v>
      </c>
      <c r="C651" s="8">
        <v>46023</v>
      </c>
      <c r="D651" s="8">
        <f t="shared" si="41"/>
        <v>46387</v>
      </c>
      <c r="E651" s="6" t="str" cm="1">
        <f t="array" ref="E651">choice(Groupes!A:A,1,Settings!$B$16)</f>
        <v>G28</v>
      </c>
      <c r="F651" s="6" t="str">
        <f t="shared" si="42"/>
        <v>G28</v>
      </c>
      <c r="G651" s="6" t="str">
        <f t="shared" si="43"/>
        <v>Prof15</v>
      </c>
      <c r="H651" s="6" t="str" cm="1">
        <f t="array" ref="H651">choice(Referentiel!A:A,1,Settings!$B$16)</f>
        <v>Mode et Matière</v>
      </c>
      <c r="I651" s="6" t="str" cm="1">
        <f t="array" ref="I651">choice(Referentiel!B:B,1,Settings!$B$16)</f>
        <v>2ème année Architecture Intérieure S2</v>
      </c>
      <c r="J651" s="6" t="str" cm="1">
        <f t="array" ref="J651">choice(Referentiel!D:D,1,Settings!$B$16)</f>
        <v>L1</v>
      </c>
      <c r="K651" s="6" t="str" cm="1">
        <f t="array" ref="K651">choice(Professeurs!B:B,1,Settings!$B$16)</f>
        <v>Prof15</v>
      </c>
      <c r="L651" s="5" t="str" cm="1">
        <f t="array" ref="L651">choice(Referentiel!C:C,1,Settings!$B$16)</f>
        <v/>
      </c>
      <c r="M651" s="5" t="str" cm="1">
        <f t="array" ref="M651">choice(Referentiel!E:E,1,Settings!$B$16)</f>
        <v/>
      </c>
      <c r="N651" s="5" t="str" cm="1">
        <f t="array" ref="N651">choice(Settings!K:K,1,Settings!$B$16)</f>
        <v/>
      </c>
      <c r="P651" s="5">
        <f t="shared" si="44"/>
        <v>1</v>
      </c>
    </row>
    <row r="652" spans="1:16" ht="15.75" customHeight="1" x14ac:dyDescent="0.25">
      <c r="A652" s="6" t="s">
        <v>1004</v>
      </c>
      <c r="B652" s="6" cm="1">
        <f t="array" ref="B652">alea_int(Settings!$B$10,1,Settings!$B$16)</f>
        <v>1</v>
      </c>
      <c r="C652" s="8">
        <v>46023</v>
      </c>
      <c r="D652" s="8">
        <f t="shared" si="41"/>
        <v>46387</v>
      </c>
      <c r="E652" s="6" t="str" cm="1">
        <f t="array" ref="E652">choice(Groupes!A:A,1,Settings!$B$16)</f>
        <v>G5</v>
      </c>
      <c r="F652" s="6" t="str">
        <f t="shared" si="42"/>
        <v>G5</v>
      </c>
      <c r="G652" s="6" t="str">
        <f t="shared" si="43"/>
        <v>Prof33</v>
      </c>
      <c r="H652" s="6" t="str" cm="1">
        <f t="array" ref="H652">choice(Referentiel!A:A,1,Settings!$B$16)</f>
        <v>6ème année atelier</v>
      </c>
      <c r="I652" s="6" t="str" cm="1">
        <f t="array" ref="I652">choice(Referentiel!B:B,1,Settings!$B$16)</f>
        <v>5ème année Design Objet S2</v>
      </c>
      <c r="J652" s="6" t="str" cm="1">
        <f t="array" ref="J652">choice(Referentiel!D:D,1,Settings!$B$16)</f>
        <v>M1</v>
      </c>
      <c r="K652" s="6" t="str" cm="1">
        <f t="array" ref="K652">choice(Professeurs!B:B,1,Settings!$B$16)</f>
        <v>Prof33</v>
      </c>
      <c r="L652" s="5" t="str" cm="1">
        <f t="array" ref="L652">choice(Referentiel!C:C,1,Settings!$B$16)</f>
        <v/>
      </c>
      <c r="M652" s="5" t="str" cm="1">
        <f t="array" ref="M652">choice(Referentiel!E:E,1,Settings!$B$16)</f>
        <v/>
      </c>
      <c r="N652" s="5" t="str" cm="1">
        <f t="array" ref="N652">choice(Settings!K:K,1,Settings!$B$16)</f>
        <v/>
      </c>
      <c r="P652" s="5">
        <f t="shared" si="44"/>
        <v>1</v>
      </c>
    </row>
    <row r="653" spans="1:16" ht="15.75" customHeight="1" x14ac:dyDescent="0.25">
      <c r="A653" s="6" t="s">
        <v>1005</v>
      </c>
      <c r="B653" s="6" cm="1">
        <f t="array" ref="B653">alea_int(Settings!$B$10,1,Settings!$B$16)</f>
        <v>1</v>
      </c>
      <c r="C653" s="8">
        <v>46023</v>
      </c>
      <c r="D653" s="8">
        <f t="shared" si="41"/>
        <v>46387</v>
      </c>
      <c r="E653" s="6" t="str" cm="1">
        <f t="array" ref="E653">choice(Groupes!A:A,1,Settings!$B$16)</f>
        <v>G12</v>
      </c>
      <c r="F653" s="6" t="str">
        <f t="shared" si="42"/>
        <v>G12</v>
      </c>
      <c r="G653" s="6" t="str">
        <f t="shared" si="43"/>
        <v>Prof15</v>
      </c>
      <c r="H653" s="6" t="str" cm="1">
        <f t="array" ref="H653">choice(Referentiel!A:A,1,Settings!$B$16)</f>
        <v>Design Objet</v>
      </c>
      <c r="I653" s="6" t="str" cm="1">
        <f t="array" ref="I653">choice(Referentiel!B:B,1,Settings!$B$16)</f>
        <v>5ème année Art-Espace S2</v>
      </c>
      <c r="J653" s="6" t="str" cm="1">
        <f t="array" ref="J653">choice(Referentiel!D:D,1,Settings!$B$16)</f>
        <v>L1</v>
      </c>
      <c r="K653" s="6" t="str" cm="1">
        <f t="array" ref="K653">choice(Professeurs!B:B,1,Settings!$B$16)</f>
        <v>Prof15</v>
      </c>
      <c r="L653" s="5" t="str" cm="1">
        <f t="array" ref="L653">choice(Referentiel!C:C,1,Settings!$B$16)</f>
        <v/>
      </c>
      <c r="M653" s="5" t="str" cm="1">
        <f t="array" ref="M653">choice(Referentiel!E:E,1,Settings!$B$16)</f>
        <v/>
      </c>
      <c r="N653" s="5" t="str" cm="1">
        <f t="array" ref="N653">choice(Settings!K:K,1,Settings!$B$16)</f>
        <v/>
      </c>
      <c r="P653" s="5">
        <f t="shared" si="44"/>
        <v>1</v>
      </c>
    </row>
    <row r="654" spans="1:16" ht="15.75" customHeight="1" x14ac:dyDescent="0.25">
      <c r="A654" s="6" t="s">
        <v>1006</v>
      </c>
      <c r="B654" s="6" cm="1">
        <f t="array" ref="B654">alea_int(Settings!$B$10,1,Settings!$B$16)</f>
        <v>1</v>
      </c>
      <c r="C654" s="8">
        <v>46023</v>
      </c>
      <c r="D654" s="8">
        <f t="shared" si="41"/>
        <v>46387</v>
      </c>
      <c r="E654" s="6" t="str" cm="1">
        <f t="array" ref="E654">choice(Groupes!A:A,1,Settings!$B$16)</f>
        <v>G3</v>
      </c>
      <c r="F654" s="6" t="str">
        <f t="shared" si="42"/>
        <v>G3</v>
      </c>
      <c r="G654" s="6" t="str">
        <f t="shared" si="43"/>
        <v>Prof42</v>
      </c>
      <c r="H654" s="6" t="str" cm="1">
        <f t="array" ref="H654">choice(Referentiel!A:A,1,Settings!$B$16)</f>
        <v>Design Textile et Matière</v>
      </c>
      <c r="I654" s="6" t="str" cm="1">
        <f t="array" ref="I654">choice(Referentiel!B:B,1,Settings!$B$16)</f>
        <v>2ème année Design Textile et Matière S1</v>
      </c>
      <c r="J654" s="6" t="str" cm="1">
        <f t="array" ref="J654">choice(Referentiel!D:D,1,Settings!$B$16)</f>
        <v>L2</v>
      </c>
      <c r="K654" s="6" t="str" cm="1">
        <f t="array" ref="K654">choice(Professeurs!B:B,1,Settings!$B$16)</f>
        <v>Prof42</v>
      </c>
      <c r="L654" s="5" t="str" cm="1">
        <f t="array" ref="L654">choice(Referentiel!C:C,1,Settings!$B$16)</f>
        <v/>
      </c>
      <c r="M654" s="5" t="str" cm="1">
        <f t="array" ref="M654">choice(Referentiel!E:E,1,Settings!$B$16)</f>
        <v/>
      </c>
      <c r="N654" s="5" t="str" cm="1">
        <f t="array" ref="N654">choice(Settings!K:K,1,Settings!$B$16)</f>
        <v/>
      </c>
      <c r="P654" s="5">
        <f t="shared" si="44"/>
        <v>1</v>
      </c>
    </row>
    <row r="655" spans="1:16" ht="15.75" customHeight="1" x14ac:dyDescent="0.25">
      <c r="A655" s="6" t="s">
        <v>1007</v>
      </c>
      <c r="B655" s="6" cm="1">
        <f t="array" ref="B655">alea_int(Settings!$B$10,1,Settings!$B$16)</f>
        <v>2</v>
      </c>
      <c r="C655" s="8">
        <v>46023</v>
      </c>
      <c r="D655" s="8">
        <f t="shared" si="41"/>
        <v>46387</v>
      </c>
      <c r="E655" s="6" t="str" cm="1">
        <f t="array" ref="E655">choice(Groupes!A:A,1,Settings!$B$16)</f>
        <v>G18</v>
      </c>
      <c r="F655" s="6" t="str">
        <f t="shared" si="42"/>
        <v>G18</v>
      </c>
      <c r="G655" s="6" t="str">
        <f t="shared" si="43"/>
        <v>Prof33</v>
      </c>
      <c r="H655" s="6" t="str" cm="1">
        <f t="array" ref="H655">choice(Referentiel!A:A,1,Settings!$B$16)</f>
        <v>Gr SPATIAL MEDIA</v>
      </c>
      <c r="I655" s="6" t="str" cm="1">
        <f t="array" ref="I655">choice(Referentiel!B:B,1,Settings!$B$16)</f>
        <v>4ème année Photo / Vidéo S1</v>
      </c>
      <c r="J655" s="6" t="str" cm="1">
        <f t="array" ref="J655">choice(Referentiel!D:D,1,Settings!$B$16)</f>
        <v>L1</v>
      </c>
      <c r="K655" s="6" t="str" cm="1">
        <f t="array" ref="K655">choice(Professeurs!B:B,1,Settings!$B$16)</f>
        <v>Prof33</v>
      </c>
      <c r="L655" s="5" t="str" cm="1">
        <f t="array" ref="L655">choice(Referentiel!C:C,1,Settings!$B$16)</f>
        <v/>
      </c>
      <c r="M655" s="5" t="str" cm="1">
        <f t="array" ref="M655">choice(Referentiel!E:E,1,Settings!$B$16)</f>
        <v/>
      </c>
      <c r="N655" s="5" t="str" cm="1">
        <f t="array" ref="N655">choice(Settings!K:K,1,Settings!$B$16)</f>
        <v/>
      </c>
      <c r="P655" s="5">
        <f t="shared" si="44"/>
        <v>2</v>
      </c>
    </row>
    <row r="656" spans="1:16" ht="15.75" customHeight="1" x14ac:dyDescent="0.25">
      <c r="A656" s="6" t="s">
        <v>1008</v>
      </c>
      <c r="B656" s="6" cm="1">
        <f t="array" ref="B656">alea_int(Settings!$B$10,1,Settings!$B$16)</f>
        <v>1</v>
      </c>
      <c r="C656" s="8">
        <v>46023</v>
      </c>
      <c r="D656" s="8">
        <f t="shared" si="41"/>
        <v>46387</v>
      </c>
      <c r="E656" s="6" t="str" cm="1">
        <f t="array" ref="E656">choice(Groupes!A:A,1,Settings!$B$16)</f>
        <v>G22</v>
      </c>
      <c r="F656" s="6" t="str">
        <f t="shared" si="42"/>
        <v>G22</v>
      </c>
      <c r="G656" s="6" t="str">
        <f t="shared" si="43"/>
        <v>Prof4</v>
      </c>
      <c r="H656" s="6" t="str" cm="1">
        <f t="array" ref="H656">choice(Referentiel!A:A,1,Settings!$B$16)</f>
        <v>Gr REFLECTIVE INTERACTION</v>
      </c>
      <c r="I656" s="6" t="str" cm="1">
        <f t="array" ref="I656">choice(Referentiel!B:B,1,Settings!$B$16)</f>
        <v>4ème année Design Graphique S2</v>
      </c>
      <c r="J656" s="6" t="str" cm="1">
        <f t="array" ref="J656">choice(Referentiel!D:D,1,Settings!$B$16)</f>
        <v>L1</v>
      </c>
      <c r="K656" s="6" t="str" cm="1">
        <f t="array" ref="K656">choice(Professeurs!B:B,1,Settings!$B$16)</f>
        <v>Prof4</v>
      </c>
      <c r="L656" s="5" t="str" cm="1">
        <f t="array" ref="L656">choice(Referentiel!C:C,1,Settings!$B$16)</f>
        <v/>
      </c>
      <c r="M656" s="5" t="str" cm="1">
        <f t="array" ref="M656">choice(Referentiel!E:E,1,Settings!$B$16)</f>
        <v/>
      </c>
      <c r="N656" s="5" t="str" cm="1">
        <f t="array" ref="N656">choice(Settings!K:K,1,Settings!$B$16)</f>
        <v/>
      </c>
      <c r="P656" s="5">
        <f t="shared" si="44"/>
        <v>1</v>
      </c>
    </row>
    <row r="657" spans="1:16" ht="15.75" customHeight="1" x14ac:dyDescent="0.25">
      <c r="A657" s="6" t="s">
        <v>1009</v>
      </c>
      <c r="B657" s="6" cm="1">
        <f t="array" ref="B657">alea_int(Settings!$B$10,1,Settings!$B$16)</f>
        <v>1</v>
      </c>
      <c r="C657" s="8">
        <v>46023</v>
      </c>
      <c r="D657" s="8">
        <f t="shared" si="41"/>
        <v>46387</v>
      </c>
      <c r="E657" s="6" t="str" cm="1">
        <f t="array" ref="E657">choice(Groupes!A:A,1,Settings!$B$16)</f>
        <v>G3</v>
      </c>
      <c r="F657" s="6" t="str">
        <f t="shared" si="42"/>
        <v>G3</v>
      </c>
      <c r="G657" s="6" t="str">
        <f t="shared" si="43"/>
        <v>Prof46</v>
      </c>
      <c r="H657" s="6" t="str" cm="1">
        <f t="array" ref="H657">choice(Referentiel!A:A,1,Settings!$B$16)</f>
        <v>Design Textile et Matière</v>
      </c>
      <c r="I657" s="6" t="str" cm="1">
        <f t="array" ref="I657">choice(Referentiel!B:B,1,Settings!$B$16)</f>
        <v>1ère Année Groupe 2 S1</v>
      </c>
      <c r="J657" s="6" t="str" cm="1">
        <f t="array" ref="J657">choice(Referentiel!D:D,1,Settings!$B$16)</f>
        <v>M2</v>
      </c>
      <c r="K657" s="6" t="str" cm="1">
        <f t="array" ref="K657">choice(Professeurs!B:B,1,Settings!$B$16)</f>
        <v>Prof46</v>
      </c>
      <c r="L657" s="5" t="str" cm="1">
        <f t="array" ref="L657">choice(Referentiel!C:C,1,Settings!$B$16)</f>
        <v/>
      </c>
      <c r="M657" s="5" t="str" cm="1">
        <f t="array" ref="M657">choice(Referentiel!E:E,1,Settings!$B$16)</f>
        <v/>
      </c>
      <c r="N657" s="5" t="str" cm="1">
        <f t="array" ref="N657">choice(Settings!K:K,1,Settings!$B$16)</f>
        <v/>
      </c>
      <c r="P657" s="5">
        <f t="shared" si="44"/>
        <v>1</v>
      </c>
    </row>
    <row r="658" spans="1:16" ht="15.75" customHeight="1" x14ac:dyDescent="0.25">
      <c r="A658" s="6" t="s">
        <v>1010</v>
      </c>
      <c r="B658" s="6" cm="1">
        <f t="array" ref="B658">alea_int(Settings!$B$10,1,Settings!$B$16)</f>
        <v>1</v>
      </c>
      <c r="C658" s="8">
        <v>46023</v>
      </c>
      <c r="D658" s="8">
        <f t="shared" si="41"/>
        <v>46387</v>
      </c>
      <c r="E658" s="6" t="str" cm="1">
        <f t="array" ref="E658">choice(Groupes!A:A,1,Settings!$B$16)</f>
        <v>G6</v>
      </c>
      <c r="F658" s="6" t="str">
        <f t="shared" si="42"/>
        <v>G6</v>
      </c>
      <c r="G658" s="6" t="str">
        <f t="shared" si="43"/>
        <v>Prof55</v>
      </c>
      <c r="H658" s="6" t="str" cm="1">
        <f t="array" ref="H658">choice(Referentiel!A:A,1,Settings!$B$16)</f>
        <v>Design des mondes littoraux</v>
      </c>
      <c r="I658" s="6" t="str" cm="1">
        <f t="array" ref="I658">choice(Referentiel!B:B,1,Settings!$B$16)</f>
        <v>2ème année Design Objet S2</v>
      </c>
      <c r="J658" s="6" t="str" cm="1">
        <f t="array" ref="J658">choice(Referentiel!D:D,1,Settings!$B$16)</f>
        <v>L2</v>
      </c>
      <c r="K658" s="6" t="str" cm="1">
        <f t="array" ref="K658">choice(Professeurs!B:B,1,Settings!$B$16)</f>
        <v>Prof55</v>
      </c>
      <c r="L658" s="5" t="str" cm="1">
        <f t="array" ref="L658">choice(Referentiel!C:C,1,Settings!$B$16)</f>
        <v/>
      </c>
      <c r="M658" s="5" t="str" cm="1">
        <f t="array" ref="M658">choice(Referentiel!E:E,1,Settings!$B$16)</f>
        <v/>
      </c>
      <c r="N658" s="5" t="str" cm="1">
        <f t="array" ref="N658">choice(Settings!K:K,1,Settings!$B$16)</f>
        <v>mercredi ap</v>
      </c>
      <c r="P658" s="5">
        <f t="shared" si="44"/>
        <v>3</v>
      </c>
    </row>
    <row r="659" spans="1:16" ht="15.75" customHeight="1" x14ac:dyDescent="0.25">
      <c r="A659" s="6" t="s">
        <v>1011</v>
      </c>
      <c r="B659" s="6" cm="1">
        <f t="array" ref="B659">alea_int(Settings!$B$10,1,Settings!$B$16)</f>
        <v>1</v>
      </c>
      <c r="C659" s="8">
        <v>46023</v>
      </c>
      <c r="D659" s="8">
        <f t="shared" si="41"/>
        <v>46387</v>
      </c>
      <c r="E659" s="6" t="str" cm="1">
        <f t="array" ref="E659">choice(Groupes!A:A,1,Settings!$B$16)</f>
        <v>G2</v>
      </c>
      <c r="F659" s="6" t="str">
        <f t="shared" si="42"/>
        <v>G2</v>
      </c>
      <c r="G659" s="6" t="str">
        <f t="shared" si="43"/>
        <v>Prof33</v>
      </c>
      <c r="H659" s="6" t="str" cm="1">
        <f t="array" ref="H659">choice(Referentiel!A:A,1,Settings!$B$16)</f>
        <v>1ère année Groupe 3</v>
      </c>
      <c r="I659" s="6" t="str" cm="1">
        <f t="array" ref="I659">choice(Referentiel!B:B,1,Settings!$B$16)</f>
        <v>2ème année Design Graphique S1</v>
      </c>
      <c r="J659" s="6" t="str" cm="1">
        <f t="array" ref="J659">choice(Referentiel!D:D,1,Settings!$B$16)</f>
        <v>M2</v>
      </c>
      <c r="K659" s="6" t="str" cm="1">
        <f t="array" ref="K659">choice(Professeurs!B:B,1,Settings!$B$16)</f>
        <v>Prof33</v>
      </c>
      <c r="L659" s="5" t="str" cm="1">
        <f t="array" ref="L659">choice(Referentiel!C:C,1,Settings!$B$16)</f>
        <v/>
      </c>
      <c r="M659" s="5" t="str" cm="1">
        <f t="array" ref="M659">choice(Referentiel!E:E,1,Settings!$B$16)</f>
        <v/>
      </c>
      <c r="N659" s="5" t="str" cm="1">
        <f t="array" ref="N659">choice(Settings!K:K,1,Settings!$B$16)</f>
        <v/>
      </c>
      <c r="P659" s="5">
        <f t="shared" si="44"/>
        <v>1</v>
      </c>
    </row>
    <row r="660" spans="1:16" ht="15.75" customHeight="1" x14ac:dyDescent="0.25">
      <c r="A660" s="6" t="s">
        <v>1012</v>
      </c>
      <c r="B660" s="6" cm="1">
        <f t="array" ref="B660">alea_int(Settings!$B$10,1,Settings!$B$16)</f>
        <v>1</v>
      </c>
      <c r="C660" s="8">
        <v>46023</v>
      </c>
      <c r="D660" s="8">
        <f t="shared" si="41"/>
        <v>46387</v>
      </c>
      <c r="E660" s="6" t="str" cm="1">
        <f t="array" ref="E660">choice(Groupes!A:A,1,Settings!$B$16)</f>
        <v>G8</v>
      </c>
      <c r="F660" s="6" t="str">
        <f t="shared" si="42"/>
        <v>G8</v>
      </c>
      <c r="G660" s="6" t="str">
        <f t="shared" si="43"/>
        <v>Prof35</v>
      </c>
      <c r="H660" s="6" t="str" cm="1">
        <f t="array" ref="H660">choice(Referentiel!A:A,1,Settings!$B$16)</f>
        <v>Design Objet</v>
      </c>
      <c r="I660" s="6" t="str" cm="1">
        <f t="array" ref="I660">choice(Referentiel!B:B,1,Settings!$B$16)</f>
        <v>1ère Année Groupe 1 S1</v>
      </c>
      <c r="J660" s="6" t="str" cm="1">
        <f t="array" ref="J660">choice(Referentiel!D:D,1,Settings!$B$16)</f>
        <v>L2</v>
      </c>
      <c r="K660" s="6" t="str" cm="1">
        <f t="array" ref="K660">choice(Professeurs!B:B,1,Settings!$B$16)</f>
        <v>Prof35</v>
      </c>
      <c r="L660" s="5" t="str" cm="1">
        <f t="array" ref="L660">choice(Referentiel!C:C,1,Settings!$B$16)</f>
        <v/>
      </c>
      <c r="M660" s="5" t="str" cm="1">
        <f t="array" ref="M660">choice(Referentiel!E:E,1,Settings!$B$16)</f>
        <v/>
      </c>
      <c r="N660" s="5" t="str" cm="1">
        <f t="array" ref="N660">choice(Settings!K:K,1,Settings!$B$16)</f>
        <v/>
      </c>
      <c r="P660" s="5">
        <f t="shared" si="44"/>
        <v>1</v>
      </c>
    </row>
    <row r="661" spans="1:16" ht="15.75" customHeight="1" x14ac:dyDescent="0.25">
      <c r="A661" s="6" t="s">
        <v>1013</v>
      </c>
      <c r="B661" s="6" cm="1">
        <f t="array" ref="B661">alea_int(Settings!$B$10,1,Settings!$B$16)</f>
        <v>1</v>
      </c>
      <c r="C661" s="8">
        <v>46023</v>
      </c>
      <c r="D661" s="8">
        <f t="shared" si="41"/>
        <v>46387</v>
      </c>
      <c r="E661" s="6" t="str" cm="1">
        <f t="array" ref="E661">choice(Groupes!A:A,1,Settings!$B$16)</f>
        <v>G16</v>
      </c>
      <c r="F661" s="6" t="str">
        <f t="shared" si="42"/>
        <v>G16</v>
      </c>
      <c r="G661" s="6" t="str">
        <f t="shared" si="43"/>
        <v>Prof29</v>
      </c>
      <c r="H661" s="6" t="str" cm="1">
        <f t="array" ref="H661">choice(Referentiel!A:A,1,Settings!$B$16)</f>
        <v>1ère année Groupe 3</v>
      </c>
      <c r="I661" s="6" t="str" cm="1">
        <f t="array" ref="I661">choice(Referentiel!B:B,1,Settings!$B$16)</f>
        <v>2ème année Architecture Intérieure S1</v>
      </c>
      <c r="J661" s="6" t="str" cm="1">
        <f t="array" ref="J661">choice(Referentiel!D:D,1,Settings!$B$16)</f>
        <v>L3</v>
      </c>
      <c r="K661" s="6" t="str" cm="1">
        <f t="array" ref="K661">choice(Professeurs!B:B,1,Settings!$B$16)</f>
        <v>Prof29</v>
      </c>
      <c r="L661" s="5" t="str" cm="1">
        <f t="array" ref="L661">choice(Referentiel!C:C,1,Settings!$B$16)</f>
        <v/>
      </c>
      <c r="M661" s="5" t="str" cm="1">
        <f t="array" ref="M661">choice(Referentiel!E:E,1,Settings!$B$16)</f>
        <v/>
      </c>
      <c r="N661" s="5" t="str" cm="1">
        <f t="array" ref="N661">choice(Settings!K:K,1,Settings!$B$16)</f>
        <v/>
      </c>
      <c r="P661" s="5">
        <f t="shared" si="44"/>
        <v>1</v>
      </c>
    </row>
    <row r="662" spans="1:16" ht="15.75" customHeight="1" x14ac:dyDescent="0.25">
      <c r="A662" s="6" t="s">
        <v>1014</v>
      </c>
      <c r="B662" s="6" cm="1">
        <f t="array" ref="B662">alea_int(Settings!$B$10,1,Settings!$B$16)</f>
        <v>1</v>
      </c>
      <c r="C662" s="8">
        <v>46023</v>
      </c>
      <c r="D662" s="8">
        <f t="shared" si="41"/>
        <v>46387</v>
      </c>
      <c r="E662" s="6" t="str" cm="1">
        <f t="array" ref="E662">choice(Groupes!A:A,1,Settings!$B$16)</f>
        <v>G20</v>
      </c>
      <c r="F662" s="6" t="str">
        <f t="shared" si="42"/>
        <v>G20</v>
      </c>
      <c r="G662" s="6" t="str">
        <f t="shared" si="43"/>
        <v>Prof4</v>
      </c>
      <c r="H662" s="6" t="str" cm="1">
        <f t="array" ref="H662">choice(Referentiel!A:A,1,Settings!$B$16)</f>
        <v>1ère année Groupe 2</v>
      </c>
      <c r="I662" s="6" t="str" cm="1">
        <f t="array" ref="I662">choice(Referentiel!B:B,1,Settings!$B$16)</f>
        <v>4ème année Image Imprimée S2</v>
      </c>
      <c r="J662" s="6" t="str" cm="1">
        <f t="array" ref="J662">choice(Referentiel!D:D,1,Settings!$B$16)</f>
        <v>M1</v>
      </c>
      <c r="K662" s="6" t="str" cm="1">
        <f t="array" ref="K662">choice(Professeurs!B:B,1,Settings!$B$16)</f>
        <v>Prof4</v>
      </c>
      <c r="L662" s="5" t="str" cm="1">
        <f t="array" ref="L662">choice(Referentiel!C:C,1,Settings!$B$16)</f>
        <v/>
      </c>
      <c r="M662" s="5" t="str" cm="1">
        <f t="array" ref="M662">choice(Referentiel!E:E,1,Settings!$B$16)</f>
        <v>Salle8</v>
      </c>
      <c r="N662" s="5" t="str" cm="1">
        <f t="array" ref="N662">choice(Settings!K:K,1,Settings!$B$16)</f>
        <v/>
      </c>
      <c r="P662" s="5">
        <f t="shared" si="44"/>
        <v>3</v>
      </c>
    </row>
    <row r="663" spans="1:16" ht="15.75" customHeight="1" x14ac:dyDescent="0.25">
      <c r="A663" s="6" t="s">
        <v>1015</v>
      </c>
      <c r="B663" s="6" cm="1">
        <f t="array" ref="B663">alea_int(Settings!$B$10,1,Settings!$B$16)</f>
        <v>2</v>
      </c>
      <c r="C663" s="8">
        <v>46023</v>
      </c>
      <c r="D663" s="8">
        <f t="shared" si="41"/>
        <v>46387</v>
      </c>
      <c r="E663" s="6" t="str" cm="1">
        <f t="array" ref="E663">choice(Groupes!A:A,1,Settings!$B$16)</f>
        <v>G23</v>
      </c>
      <c r="F663" s="6" t="str">
        <f t="shared" si="42"/>
        <v>G23</v>
      </c>
      <c r="G663" s="6" t="str">
        <f t="shared" si="43"/>
        <v>Prof25</v>
      </c>
      <c r="H663" s="6" t="str" cm="1">
        <f t="array" ref="H663">choice(Referentiel!A:A,1,Settings!$B$16)</f>
        <v>Cinéma d'Animation</v>
      </c>
      <c r="I663" s="6" t="str" cm="1">
        <f t="array" ref="I663">choice(Referentiel!B:B,1,Settings!$B$16)</f>
        <v>2ème année Image Imprimée S1</v>
      </c>
      <c r="J663" s="6" t="str" cm="1">
        <f t="array" ref="J663">choice(Referentiel!D:D,1,Settings!$B$16)</f>
        <v>L1</v>
      </c>
      <c r="K663" s="6" t="str" cm="1">
        <f t="array" ref="K663">choice(Professeurs!B:B,1,Settings!$B$16)</f>
        <v>Prof25</v>
      </c>
      <c r="L663" s="5" t="str" cm="1">
        <f t="array" ref="L663">choice(Referentiel!C:C,1,Settings!$B$16)</f>
        <v/>
      </c>
      <c r="M663" s="5" t="str" cm="1">
        <f t="array" ref="M663">choice(Referentiel!E:E,1,Settings!$B$16)</f>
        <v/>
      </c>
      <c r="N663" s="5" t="str" cm="1">
        <f t="array" ref="N663">choice(Settings!K:K,1,Settings!$B$16)</f>
        <v/>
      </c>
      <c r="P663" s="5">
        <f t="shared" si="44"/>
        <v>2</v>
      </c>
    </row>
    <row r="664" spans="1:16" ht="15.75" customHeight="1" x14ac:dyDescent="0.25">
      <c r="A664" s="6" t="s">
        <v>1016</v>
      </c>
      <c r="B664" s="6" cm="1">
        <f t="array" ref="B664">alea_int(Settings!$B$10,1,Settings!$B$16)</f>
        <v>1</v>
      </c>
      <c r="C664" s="8">
        <v>46023</v>
      </c>
      <c r="D664" s="8">
        <f t="shared" si="41"/>
        <v>46387</v>
      </c>
      <c r="E664" s="6" t="str" cm="1">
        <f t="array" ref="E664">choice(Groupes!A:A,1,Settings!$B$16)</f>
        <v>G23</v>
      </c>
      <c r="F664" s="6" t="str">
        <f t="shared" si="42"/>
        <v>G23</v>
      </c>
      <c r="G664" s="6" t="str">
        <f t="shared" si="43"/>
        <v>Prof14</v>
      </c>
      <c r="H664" s="6" t="str" cm="1">
        <f t="array" ref="H664">choice(Referentiel!A:A,1,Settings!$B$16)</f>
        <v>Cinéma d'Animation</v>
      </c>
      <c r="I664" s="6" t="str" cm="1">
        <f t="array" ref="I664">choice(Referentiel!B:B,1,Settings!$B$16)</f>
        <v>4ème année Design Graphique S1</v>
      </c>
      <c r="J664" s="6" t="str" cm="1">
        <f t="array" ref="J664">choice(Referentiel!D:D,1,Settings!$B$16)</f>
        <v>L3</v>
      </c>
      <c r="K664" s="6" t="str" cm="1">
        <f t="array" ref="K664">choice(Professeurs!B:B,1,Settings!$B$16)</f>
        <v>Prof14</v>
      </c>
      <c r="L664" s="5" t="str" cm="1">
        <f t="array" ref="L664">choice(Referentiel!C:C,1,Settings!$B$16)</f>
        <v/>
      </c>
      <c r="M664" s="5" t="str" cm="1">
        <f t="array" ref="M664">choice(Referentiel!E:E,1,Settings!$B$16)</f>
        <v/>
      </c>
      <c r="N664" s="5" t="str" cm="1">
        <f t="array" ref="N664">choice(Settings!K:K,1,Settings!$B$16)</f>
        <v/>
      </c>
      <c r="P664" s="5">
        <f t="shared" si="44"/>
        <v>1</v>
      </c>
    </row>
    <row r="665" spans="1:16" ht="15.75" customHeight="1" x14ac:dyDescent="0.25">
      <c r="A665" s="6" t="s">
        <v>1017</v>
      </c>
      <c r="B665" s="6" cm="1">
        <f t="array" ref="B665">alea_int(Settings!$B$10,1,Settings!$B$16)</f>
        <v>1</v>
      </c>
      <c r="C665" s="8">
        <v>46023</v>
      </c>
      <c r="D665" s="8">
        <f t="shared" si="41"/>
        <v>46387</v>
      </c>
      <c r="E665" s="6" t="str" cm="1">
        <f t="array" ref="E665">choice(Groupes!A:A,1,Settings!$B$16)</f>
        <v>G23</v>
      </c>
      <c r="F665" s="6" t="str">
        <f t="shared" si="42"/>
        <v>G23</v>
      </c>
      <c r="G665" s="6" t="str">
        <f t="shared" si="43"/>
        <v>Prof49</v>
      </c>
      <c r="H665" s="6" t="str" cm="1">
        <f t="array" ref="H665">choice(Referentiel!A:A,1,Settings!$B$16)</f>
        <v>Design Vêtement</v>
      </c>
      <c r="I665" s="6" t="str" cm="1">
        <f t="array" ref="I665">choice(Referentiel!B:B,1,Settings!$B$16)</f>
        <v>5ème année Design Textile et Matière S1</v>
      </c>
      <c r="J665" s="6" t="str" cm="1">
        <f t="array" ref="J665">choice(Referentiel!D:D,1,Settings!$B$16)</f>
        <v>L1</v>
      </c>
      <c r="K665" s="6" t="str" cm="1">
        <f t="array" ref="K665">choice(Professeurs!B:B,1,Settings!$B$16)</f>
        <v>Prof49</v>
      </c>
      <c r="L665" s="5" t="str" cm="1">
        <f t="array" ref="L665">choice(Referentiel!C:C,1,Settings!$B$16)</f>
        <v/>
      </c>
      <c r="M665" s="5" t="str" cm="1">
        <f t="array" ref="M665">choice(Referentiel!E:E,1,Settings!$B$16)</f>
        <v/>
      </c>
      <c r="N665" s="5" t="str" cm="1">
        <f t="array" ref="N665">choice(Settings!K:K,1,Settings!$B$16)</f>
        <v/>
      </c>
      <c r="P665" s="5">
        <f t="shared" si="44"/>
        <v>1</v>
      </c>
    </row>
    <row r="666" spans="1:16" ht="15.75" customHeight="1" x14ac:dyDescent="0.25">
      <c r="A666" s="6" t="s">
        <v>1018</v>
      </c>
      <c r="B666" s="6" cm="1">
        <f t="array" ref="B666">alea_int(Settings!$B$10,1,Settings!$B$16)</f>
        <v>3</v>
      </c>
      <c r="C666" s="8">
        <v>46023</v>
      </c>
      <c r="D666" s="8">
        <f t="shared" si="41"/>
        <v>46387</v>
      </c>
      <c r="E666" s="6" t="str" cm="1">
        <f t="array" ref="E666">choice(Groupes!A:A,1,Settings!$B$16)</f>
        <v>G8</v>
      </c>
      <c r="F666" s="6" t="str">
        <f t="shared" si="42"/>
        <v>G8</v>
      </c>
      <c r="G666" s="6" t="str">
        <f t="shared" si="43"/>
        <v>Prof26</v>
      </c>
      <c r="H666" s="6" t="str" cm="1">
        <f t="array" ref="H666">choice(Referentiel!A:A,1,Settings!$B$16)</f>
        <v>Design des mondes littoraux</v>
      </c>
      <c r="I666" s="6" t="str" cm="1">
        <f t="array" ref="I666">choice(Referentiel!B:B,1,Settings!$B$16)</f>
        <v>5ème année Scénographie S1</v>
      </c>
      <c r="J666" s="6" t="str" cm="1">
        <f t="array" ref="J666">choice(Referentiel!D:D,1,Settings!$B$16)</f>
        <v>L1</v>
      </c>
      <c r="K666" s="6" t="str" cm="1">
        <f t="array" ref="K666">choice(Professeurs!B:B,1,Settings!$B$16)</f>
        <v>Prof26</v>
      </c>
      <c r="L666" s="5" t="str" cm="1">
        <f t="array" ref="L666">choice(Referentiel!C:C,1,Settings!$B$16)</f>
        <v/>
      </c>
      <c r="M666" s="5" t="str" cm="1">
        <f t="array" ref="M666">choice(Referentiel!E:E,1,Settings!$B$16)</f>
        <v/>
      </c>
      <c r="N666" s="5" t="str" cm="1">
        <f t="array" ref="N666">choice(Settings!K:K,1,Settings!$B$16)</f>
        <v/>
      </c>
      <c r="P666" s="5">
        <f t="shared" si="44"/>
        <v>3</v>
      </c>
    </row>
    <row r="667" spans="1:16" ht="15.75" customHeight="1" x14ac:dyDescent="0.25">
      <c r="A667" s="6" t="s">
        <v>1019</v>
      </c>
      <c r="B667" s="6" cm="1">
        <f t="array" ref="B667">alea_int(Settings!$B$10,1,Settings!$B$16)</f>
        <v>3</v>
      </c>
      <c r="C667" s="8">
        <v>46023</v>
      </c>
      <c r="D667" s="8">
        <f t="shared" si="41"/>
        <v>46387</v>
      </c>
      <c r="E667" s="6" t="str" cm="1">
        <f t="array" ref="E667">choice(Groupes!A:A,1,Settings!$B$16)</f>
        <v>G12</v>
      </c>
      <c r="F667" s="6" t="str">
        <f t="shared" si="42"/>
        <v>G12</v>
      </c>
      <c r="G667" s="6" t="str">
        <f t="shared" si="43"/>
        <v>Prof8</v>
      </c>
      <c r="H667" s="6" t="str" cm="1">
        <f t="array" ref="H667">choice(Referentiel!A:A,1,Settings!$B$16)</f>
        <v>1ère année Groupe 3</v>
      </c>
      <c r="I667" s="6" t="str" cm="1">
        <f t="array" ref="I667">choice(Referentiel!B:B,1,Settings!$B$16)</f>
        <v>3ème année Design Textile et Matière S1</v>
      </c>
      <c r="J667" s="6" t="str" cm="1">
        <f t="array" ref="J667">choice(Referentiel!D:D,1,Settings!$B$16)</f>
        <v>M1</v>
      </c>
      <c r="K667" s="6" t="str" cm="1">
        <f t="array" ref="K667">choice(Professeurs!B:B,1,Settings!$B$16)</f>
        <v>Prof8</v>
      </c>
      <c r="L667" s="5" t="str" cm="1">
        <f t="array" ref="L667">choice(Referentiel!C:C,1,Settings!$B$16)</f>
        <v>projecteur</v>
      </c>
      <c r="M667" s="5" t="str" cm="1">
        <f t="array" ref="M667">choice(Referentiel!E:E,1,Settings!$B$16)</f>
        <v/>
      </c>
      <c r="N667" s="5" t="str" cm="1">
        <f t="array" ref="N667">choice(Settings!K:K,1,Settings!$B$16)</f>
        <v/>
      </c>
      <c r="P667" s="5">
        <f t="shared" si="44"/>
        <v>3</v>
      </c>
    </row>
    <row r="668" spans="1:16" ht="15.75" customHeight="1" x14ac:dyDescent="0.25">
      <c r="A668" s="6" t="s">
        <v>1020</v>
      </c>
      <c r="B668" s="6" cm="1">
        <f t="array" ref="B668">alea_int(Settings!$B$10,1,Settings!$B$16)</f>
        <v>1</v>
      </c>
      <c r="C668" s="8">
        <v>46023</v>
      </c>
      <c r="D668" s="8">
        <f t="shared" si="41"/>
        <v>46387</v>
      </c>
      <c r="E668" s="6" t="str" cm="1">
        <f t="array" ref="E668">choice(Groupes!A:A,1,Settings!$B$16)</f>
        <v>G2</v>
      </c>
      <c r="F668" s="6" t="str">
        <f t="shared" si="42"/>
        <v>G2</v>
      </c>
      <c r="G668" s="6" t="str">
        <f t="shared" si="43"/>
        <v>Prof11</v>
      </c>
      <c r="H668" s="6" t="str" cm="1">
        <f t="array" ref="H668">choice(Referentiel!A:A,1,Settings!$B$16)</f>
        <v>Mode et Matière</v>
      </c>
      <c r="I668" s="6" t="str" cm="1">
        <f t="array" ref="I668">choice(Referentiel!B:B,1,Settings!$B$16)</f>
        <v>3ème année Image Imprimée S1</v>
      </c>
      <c r="J668" s="6" t="str" cm="1">
        <f t="array" ref="J668">choice(Referentiel!D:D,1,Settings!$B$16)</f>
        <v>L1</v>
      </c>
      <c r="K668" s="6" t="str" cm="1">
        <f t="array" ref="K668">choice(Professeurs!B:B,1,Settings!$B$16)</f>
        <v>Prof11</v>
      </c>
      <c r="L668" s="5" t="str" cm="1">
        <f t="array" ref="L668">choice(Referentiel!C:C,1,Settings!$B$16)</f>
        <v/>
      </c>
      <c r="M668" s="5" t="str" cm="1">
        <f t="array" ref="M668">choice(Referentiel!E:E,1,Settings!$B$16)</f>
        <v/>
      </c>
      <c r="N668" s="5" t="str" cm="1">
        <f t="array" ref="N668">choice(Settings!K:K,1,Settings!$B$16)</f>
        <v/>
      </c>
      <c r="P668" s="5">
        <f t="shared" si="44"/>
        <v>1</v>
      </c>
    </row>
    <row r="669" spans="1:16" ht="15.75" customHeight="1" x14ac:dyDescent="0.25">
      <c r="A669" s="6" t="s">
        <v>1021</v>
      </c>
      <c r="B669" s="6" cm="1">
        <f t="array" ref="B669">alea_int(Settings!$B$10,1,Settings!$B$16)</f>
        <v>2</v>
      </c>
      <c r="C669" s="8">
        <v>46023</v>
      </c>
      <c r="D669" s="8">
        <f t="shared" si="41"/>
        <v>46387</v>
      </c>
      <c r="E669" s="6" t="str" cm="1">
        <f t="array" ref="E669">choice(Groupes!A:A,1,Settings!$B$16)</f>
        <v>G7</v>
      </c>
      <c r="F669" s="6" t="str">
        <f t="shared" si="42"/>
        <v>G7</v>
      </c>
      <c r="G669" s="6" t="str">
        <f t="shared" si="43"/>
        <v>Prof18</v>
      </c>
      <c r="H669" s="6" t="str" cm="1">
        <f t="array" ref="H669">choice(Referentiel!A:A,1,Settings!$B$16)</f>
        <v>6ème ANNÉE STAGE</v>
      </c>
      <c r="I669" s="6" t="str" cm="1">
        <f t="array" ref="I669">choice(Referentiel!B:B,1,Settings!$B$16)</f>
        <v>5ème année Design Textile et Matière S2</v>
      </c>
      <c r="J669" s="6" t="str" cm="1">
        <f t="array" ref="J669">choice(Referentiel!D:D,1,Settings!$B$16)</f>
        <v>L2</v>
      </c>
      <c r="K669" s="6" t="str" cm="1">
        <f t="array" ref="K669">choice(Professeurs!B:B,1,Settings!$B$16)</f>
        <v>Prof18</v>
      </c>
      <c r="L669" s="5" t="str" cm="1">
        <f t="array" ref="L669">choice(Referentiel!C:C,1,Settings!$B$16)</f>
        <v/>
      </c>
      <c r="M669" s="5" t="str" cm="1">
        <f t="array" ref="M669">choice(Referentiel!E:E,1,Settings!$B$16)</f>
        <v/>
      </c>
      <c r="N669" s="5" t="str" cm="1">
        <f t="array" ref="N669">choice(Settings!K:K,1,Settings!$B$16)</f>
        <v>vendredi pm</v>
      </c>
      <c r="P669" s="5">
        <f t="shared" si="44"/>
        <v>4</v>
      </c>
    </row>
    <row r="670" spans="1:16" ht="15.75" customHeight="1" x14ac:dyDescent="0.25">
      <c r="A670" s="6" t="s">
        <v>1022</v>
      </c>
      <c r="B670" s="6" cm="1">
        <f t="array" ref="B670">alea_int(Settings!$B$10,1,Settings!$B$16)</f>
        <v>3</v>
      </c>
      <c r="C670" s="8">
        <v>46023</v>
      </c>
      <c r="D670" s="8">
        <f t="shared" si="41"/>
        <v>46387</v>
      </c>
      <c r="E670" s="6" t="str" cm="1">
        <f t="array" ref="E670">choice(Groupes!A:A,1,Settings!$B$16)</f>
        <v>G8</v>
      </c>
      <c r="F670" s="6" t="str">
        <f t="shared" si="42"/>
        <v>G8</v>
      </c>
      <c r="G670" s="6" t="str">
        <f t="shared" si="43"/>
        <v>Prof25</v>
      </c>
      <c r="H670" s="6" t="str" cm="1">
        <f t="array" ref="H670">choice(Referentiel!A:A,1,Settings!$B$16)</f>
        <v>1ère année Groupe 3</v>
      </c>
      <c r="I670" s="6" t="str" cm="1">
        <f t="array" ref="I670">choice(Referentiel!B:B,1,Settings!$B$16)</f>
        <v>3ème année Image Imprimée S2</v>
      </c>
      <c r="J670" s="6" t="str" cm="1">
        <f t="array" ref="J670">choice(Referentiel!D:D,1,Settings!$B$16)</f>
        <v>M1</v>
      </c>
      <c r="K670" s="6" t="str" cm="1">
        <f t="array" ref="K670">choice(Professeurs!B:B,1,Settings!$B$16)</f>
        <v>Prof25</v>
      </c>
      <c r="L670" s="5" t="str" cm="1">
        <f t="array" ref="L670">choice(Referentiel!C:C,1,Settings!$B$16)</f>
        <v/>
      </c>
      <c r="M670" s="5" t="str" cm="1">
        <f t="array" ref="M670">choice(Referentiel!E:E,1,Settings!$B$16)</f>
        <v/>
      </c>
      <c r="N670" s="5" t="str" cm="1">
        <f t="array" ref="N670">choice(Settings!K:K,1,Settings!$B$16)</f>
        <v/>
      </c>
      <c r="P670" s="5">
        <f t="shared" si="44"/>
        <v>3</v>
      </c>
    </row>
    <row r="671" spans="1:16" ht="15.75" customHeight="1" x14ac:dyDescent="0.25">
      <c r="A671" s="6" t="s">
        <v>1023</v>
      </c>
      <c r="B671" s="6" cm="1">
        <f t="array" ref="B671">alea_int(Settings!$B$10,1,Settings!$B$16)</f>
        <v>1</v>
      </c>
      <c r="C671" s="8">
        <v>46023</v>
      </c>
      <c r="D671" s="8">
        <f t="shared" si="41"/>
        <v>46387</v>
      </c>
      <c r="E671" s="6" t="str" cm="1">
        <f t="array" ref="E671">choice(Groupes!A:A,1,Settings!$B$16)</f>
        <v>G11</v>
      </c>
      <c r="F671" s="6" t="str">
        <f t="shared" si="42"/>
        <v>G11</v>
      </c>
      <c r="G671" s="6" t="str">
        <f t="shared" si="43"/>
        <v>Prof34</v>
      </c>
      <c r="H671" s="6" t="str" cm="1">
        <f t="array" ref="H671">choice(Referentiel!A:A,1,Settings!$B$16)</f>
        <v>Gr SPATIAL MEDIA</v>
      </c>
      <c r="I671" s="6" t="str" cm="1">
        <f t="array" ref="I671">choice(Referentiel!B:B,1,Settings!$B$16)</f>
        <v>5ème année Cinéma d'Animation S2</v>
      </c>
      <c r="J671" s="6" t="str" cm="1">
        <f t="array" ref="J671">choice(Referentiel!D:D,1,Settings!$B$16)</f>
        <v>L1</v>
      </c>
      <c r="K671" s="6" t="str" cm="1">
        <f t="array" ref="K671">choice(Professeurs!B:B,1,Settings!$B$16)</f>
        <v>Prof34</v>
      </c>
      <c r="L671" s="5" t="str" cm="1">
        <f t="array" ref="L671">choice(Referentiel!C:C,1,Settings!$B$16)</f>
        <v/>
      </c>
      <c r="M671" s="5" t="str" cm="1">
        <f t="array" ref="M671">choice(Referentiel!E:E,1,Settings!$B$16)</f>
        <v/>
      </c>
      <c r="N671" s="5" t="str" cm="1">
        <f t="array" ref="N671">choice(Settings!K:K,1,Settings!$B$16)</f>
        <v/>
      </c>
      <c r="P671" s="5">
        <f t="shared" si="44"/>
        <v>1</v>
      </c>
    </row>
    <row r="672" spans="1:16" ht="15.75" customHeight="1" x14ac:dyDescent="0.25">
      <c r="A672" s="6" t="s">
        <v>1024</v>
      </c>
      <c r="B672" s="6" cm="1">
        <f t="array" ref="B672">alea_int(Settings!$B$10,1,Settings!$B$16)</f>
        <v>2</v>
      </c>
      <c r="C672" s="8">
        <v>46023</v>
      </c>
      <c r="D672" s="8">
        <f t="shared" si="41"/>
        <v>46387</v>
      </c>
      <c r="E672" s="6" t="str" cm="1">
        <f t="array" ref="E672">choice(Groupes!A:A,1,Settings!$B$16)</f>
        <v>G27</v>
      </c>
      <c r="F672" s="6" t="str">
        <f t="shared" si="42"/>
        <v>G27</v>
      </c>
      <c r="G672" s="6" t="str">
        <f t="shared" si="43"/>
        <v>Prof18</v>
      </c>
      <c r="H672" s="6" t="str" cm="1">
        <f t="array" ref="H672">choice(Referentiel!A:A,1,Settings!$B$16)</f>
        <v>Design des mondes insulaires</v>
      </c>
      <c r="I672" s="6" t="str" cm="1">
        <f t="array" ref="I672">choice(Referentiel!B:B,1,Settings!$B$16)</f>
        <v>1ère Année Groupe 2 S2</v>
      </c>
      <c r="J672" s="6" t="str" cm="1">
        <f t="array" ref="J672">choice(Referentiel!D:D,1,Settings!$B$16)</f>
        <v>M2</v>
      </c>
      <c r="K672" s="6" t="str" cm="1">
        <f t="array" ref="K672">choice(Professeurs!B:B,1,Settings!$B$16)</f>
        <v>Prof18</v>
      </c>
      <c r="L672" s="5" t="str" cm="1">
        <f t="array" ref="L672">choice(Referentiel!C:C,1,Settings!$B$16)</f>
        <v/>
      </c>
      <c r="M672" s="5" t="str" cm="1">
        <f t="array" ref="M672">choice(Referentiel!E:E,1,Settings!$B$16)</f>
        <v/>
      </c>
      <c r="N672" s="5" t="str" cm="1">
        <f t="array" ref="N672">choice(Settings!K:K,1,Settings!$B$16)</f>
        <v/>
      </c>
      <c r="P672" s="5">
        <f t="shared" si="44"/>
        <v>2</v>
      </c>
    </row>
    <row r="673" spans="1:16" ht="15.75" customHeight="1" x14ac:dyDescent="0.25">
      <c r="A673" s="6" t="s">
        <v>1025</v>
      </c>
      <c r="B673" s="6" cm="1">
        <f t="array" ref="B673">alea_int(Settings!$B$10,1,Settings!$B$16)</f>
        <v>2</v>
      </c>
      <c r="C673" s="8">
        <v>46023</v>
      </c>
      <c r="D673" s="8">
        <f t="shared" si="41"/>
        <v>46387</v>
      </c>
      <c r="E673" s="6" t="str" cm="1">
        <f t="array" ref="E673">choice(Groupes!A:A,1,Settings!$B$16)</f>
        <v>G3</v>
      </c>
      <c r="F673" s="6" t="str">
        <f t="shared" si="42"/>
        <v>G3</v>
      </c>
      <c r="G673" s="6" t="str">
        <f t="shared" si="43"/>
        <v>Prof52</v>
      </c>
      <c r="H673" s="6" t="str" cm="1">
        <f t="array" ref="H673">choice(Referentiel!A:A,1,Settings!$B$16)</f>
        <v>1ère année Groupe 4</v>
      </c>
      <c r="I673" s="6" t="str" cm="1">
        <f t="array" ref="I673">choice(Referentiel!B:B,1,Settings!$B$16)</f>
        <v>2ème année Design Textile et Matière S2</v>
      </c>
      <c r="J673" s="6" t="str" cm="1">
        <f t="array" ref="J673">choice(Referentiel!D:D,1,Settings!$B$16)</f>
        <v>L3</v>
      </c>
      <c r="K673" s="6" t="str" cm="1">
        <f t="array" ref="K673">choice(Professeurs!B:B,1,Settings!$B$16)</f>
        <v>Prof52</v>
      </c>
      <c r="L673" s="5" t="str" cm="1">
        <f t="array" ref="L673">choice(Referentiel!C:C,1,Settings!$B$16)</f>
        <v/>
      </c>
      <c r="M673" s="5" t="str" cm="1">
        <f t="array" ref="M673">choice(Referentiel!E:E,1,Settings!$B$16)</f>
        <v/>
      </c>
      <c r="N673" s="5" t="str" cm="1">
        <f t="array" ref="N673">choice(Settings!K:K,1,Settings!$B$16)</f>
        <v/>
      </c>
      <c r="P673" s="5">
        <f t="shared" si="44"/>
        <v>2</v>
      </c>
    </row>
    <row r="674" spans="1:16" ht="15.75" customHeight="1" x14ac:dyDescent="0.25">
      <c r="A674" s="6" t="s">
        <v>1026</v>
      </c>
      <c r="B674" s="6" cm="1">
        <f t="array" ref="B674">alea_int(Settings!$B$10,1,Settings!$B$16)</f>
        <v>1</v>
      </c>
      <c r="C674" s="8">
        <v>46023</v>
      </c>
      <c r="D674" s="8">
        <f t="shared" si="41"/>
        <v>46387</v>
      </c>
      <c r="E674" s="6" t="str" cm="1">
        <f t="array" ref="E674">choice(Groupes!A:A,1,Settings!$B$16)</f>
        <v>G30</v>
      </c>
      <c r="F674" s="6" t="str">
        <f t="shared" si="42"/>
        <v>G30</v>
      </c>
      <c r="G674" s="6" t="str">
        <f t="shared" si="43"/>
        <v>Prof25</v>
      </c>
      <c r="H674" s="6" t="str" cm="1">
        <f t="array" ref="H674">choice(Referentiel!A:A,1,Settings!$B$16)</f>
        <v>1ère année Groupe 1</v>
      </c>
      <c r="I674" s="6" t="str" cm="1">
        <f t="array" ref="I674">choice(Referentiel!B:B,1,Settings!$B$16)</f>
        <v>1ère Année Groupe 3 S1</v>
      </c>
      <c r="J674" s="6" t="str" cm="1">
        <f t="array" ref="J674">choice(Referentiel!D:D,1,Settings!$B$16)</f>
        <v>L3</v>
      </c>
      <c r="K674" s="6" t="str" cm="1">
        <f t="array" ref="K674">choice(Professeurs!B:B,1,Settings!$B$16)</f>
        <v>Prof25</v>
      </c>
      <c r="L674" s="5" t="str" cm="1">
        <f t="array" ref="L674">choice(Referentiel!C:C,1,Settings!$B$16)</f>
        <v/>
      </c>
      <c r="M674" s="5" t="str" cm="1">
        <f t="array" ref="M674">choice(Referentiel!E:E,1,Settings!$B$16)</f>
        <v/>
      </c>
      <c r="N674" s="5" t="str" cm="1">
        <f t="array" ref="N674">choice(Settings!K:K,1,Settings!$B$16)</f>
        <v/>
      </c>
      <c r="P674" s="5">
        <f t="shared" si="44"/>
        <v>1</v>
      </c>
    </row>
    <row r="675" spans="1:16" ht="15.75" customHeight="1" x14ac:dyDescent="0.25">
      <c r="A675" s="6" t="s">
        <v>1027</v>
      </c>
      <c r="B675" s="6" cm="1">
        <f t="array" ref="B675">alea_int(Settings!$B$10,1,Settings!$B$16)</f>
        <v>1</v>
      </c>
      <c r="C675" s="8">
        <v>46023</v>
      </c>
      <c r="D675" s="8">
        <f t="shared" si="41"/>
        <v>46387</v>
      </c>
      <c r="E675" s="6" t="str" cm="1">
        <f t="array" ref="E675">choice(Groupes!A:A,1,Settings!$B$16)</f>
        <v>G22</v>
      </c>
      <c r="F675" s="6" t="str">
        <f t="shared" si="42"/>
        <v>G22</v>
      </c>
      <c r="G675" s="6" t="str">
        <f t="shared" si="43"/>
        <v>Prof31</v>
      </c>
      <c r="H675" s="6" t="str" cm="1">
        <f t="array" ref="H675">choice(Referentiel!A:A,1,Settings!$B$16)</f>
        <v>1ère année Groupe 2</v>
      </c>
      <c r="I675" s="6" t="str" cm="1">
        <f t="array" ref="I675">choice(Referentiel!B:B,1,Settings!$B$16)</f>
        <v>2ème année Architecture Intérieure S2</v>
      </c>
      <c r="J675" s="6" t="str" cm="1">
        <f t="array" ref="J675">choice(Referentiel!D:D,1,Settings!$B$16)</f>
        <v>M2</v>
      </c>
      <c r="K675" s="6" t="str" cm="1">
        <f t="array" ref="K675">choice(Professeurs!B:B,1,Settings!$B$16)</f>
        <v>Prof31</v>
      </c>
      <c r="L675" s="5" t="str" cm="1">
        <f t="array" ref="L675">choice(Referentiel!C:C,1,Settings!$B$16)</f>
        <v/>
      </c>
      <c r="M675" s="5" t="str" cm="1">
        <f t="array" ref="M675">choice(Referentiel!E:E,1,Settings!$B$16)</f>
        <v/>
      </c>
      <c r="N675" s="5" t="str" cm="1">
        <f t="array" ref="N675">choice(Settings!K:K,1,Settings!$B$16)</f>
        <v/>
      </c>
      <c r="P675" s="5">
        <f t="shared" si="44"/>
        <v>1</v>
      </c>
    </row>
    <row r="676" spans="1:16" ht="15.75" customHeight="1" x14ac:dyDescent="0.25">
      <c r="A676" s="6" t="s">
        <v>1028</v>
      </c>
      <c r="B676" s="6" cm="1">
        <f t="array" ref="B676">alea_int(Settings!$B$10,1,Settings!$B$16)</f>
        <v>3</v>
      </c>
      <c r="C676" s="8">
        <v>46023</v>
      </c>
      <c r="D676" s="8">
        <f t="shared" si="41"/>
        <v>46387</v>
      </c>
      <c r="E676" s="6" t="str" cm="1">
        <f t="array" ref="E676">choice(Groupes!A:A,1,Settings!$B$16)</f>
        <v>G17</v>
      </c>
      <c r="F676" s="6" t="str">
        <f t="shared" si="42"/>
        <v>G17</v>
      </c>
      <c r="G676" s="6" t="str">
        <f t="shared" si="43"/>
        <v>Prof38</v>
      </c>
      <c r="H676" s="6" t="str" cm="1">
        <f t="array" ref="H676">choice(Referentiel!A:A,1,Settings!$B$16)</f>
        <v>Gr REFLECTIVE INTERACTION</v>
      </c>
      <c r="I676" s="6" t="str" cm="1">
        <f t="array" ref="I676">choice(Referentiel!B:B,1,Settings!$B$16)</f>
        <v>5ème année Cinéma d'Animation S1</v>
      </c>
      <c r="J676" s="6" t="str" cm="1">
        <f t="array" ref="J676">choice(Referentiel!D:D,1,Settings!$B$16)</f>
        <v>M2</v>
      </c>
      <c r="K676" s="6" t="str" cm="1">
        <f t="array" ref="K676">choice(Professeurs!B:B,1,Settings!$B$16)</f>
        <v>Prof38</v>
      </c>
      <c r="L676" s="5" t="str" cm="1">
        <f t="array" ref="L676">choice(Referentiel!C:C,1,Settings!$B$16)</f>
        <v/>
      </c>
      <c r="M676" s="5" t="str" cm="1">
        <f t="array" ref="M676">choice(Referentiel!E:E,1,Settings!$B$16)</f>
        <v/>
      </c>
      <c r="N676" s="5" t="str" cm="1">
        <f t="array" ref="N676">choice(Settings!K:K,1,Settings!$B$16)</f>
        <v/>
      </c>
      <c r="P676" s="5">
        <f t="shared" si="44"/>
        <v>3</v>
      </c>
    </row>
    <row r="677" spans="1:16" ht="15.75" customHeight="1" x14ac:dyDescent="0.25">
      <c r="A677" s="6" t="s">
        <v>1029</v>
      </c>
      <c r="B677" s="6" cm="1">
        <f t="array" ref="B677">alea_int(Settings!$B$10,1,Settings!$B$16)</f>
        <v>3</v>
      </c>
      <c r="C677" s="8">
        <v>46023</v>
      </c>
      <c r="D677" s="8">
        <f t="shared" si="41"/>
        <v>46387</v>
      </c>
      <c r="E677" s="6" t="str" cm="1">
        <f t="array" ref="E677">choice(Groupes!A:A,1,Settings!$B$16)</f>
        <v>G13</v>
      </c>
      <c r="F677" s="6" t="str">
        <f t="shared" si="42"/>
        <v>G13</v>
      </c>
      <c r="G677" s="6" t="str">
        <f t="shared" si="43"/>
        <v>Prof19</v>
      </c>
      <c r="H677" s="6" t="str" cm="1">
        <f t="array" ref="H677">choice(Referentiel!A:A,1,Settings!$B$16)</f>
        <v>Design des mondes insulaires</v>
      </c>
      <c r="I677" s="6" t="str" cm="1">
        <f t="array" ref="I677">choice(Referentiel!B:B,1,Settings!$B$16)</f>
        <v>5ème année Photo / Vidéo S1</v>
      </c>
      <c r="J677" s="6" t="str" cm="1">
        <f t="array" ref="J677">choice(Referentiel!D:D,1,Settings!$B$16)</f>
        <v>M1</v>
      </c>
      <c r="K677" s="6" t="str" cm="1">
        <f t="array" ref="K677">choice(Professeurs!B:B,1,Settings!$B$16)</f>
        <v>Prof19</v>
      </c>
      <c r="L677" s="5" t="str" cm="1">
        <f t="array" ref="L677">choice(Referentiel!C:C,1,Settings!$B$16)</f>
        <v/>
      </c>
      <c r="M677" s="5" t="str" cm="1">
        <f t="array" ref="M677">choice(Referentiel!E:E,1,Settings!$B$16)</f>
        <v/>
      </c>
      <c r="N677" s="5" t="str" cm="1">
        <f t="array" ref="N677">choice(Settings!K:K,1,Settings!$B$16)</f>
        <v/>
      </c>
      <c r="P677" s="5">
        <f t="shared" si="44"/>
        <v>3</v>
      </c>
    </row>
    <row r="678" spans="1:16" ht="15.75" customHeight="1" x14ac:dyDescent="0.25">
      <c r="A678" s="6" t="s">
        <v>1030</v>
      </c>
      <c r="B678" s="6" cm="1">
        <f t="array" ref="B678">alea_int(Settings!$B$10,1,Settings!$B$16)</f>
        <v>1</v>
      </c>
      <c r="C678" s="8">
        <v>46023</v>
      </c>
      <c r="D678" s="8">
        <f t="shared" si="41"/>
        <v>46387</v>
      </c>
      <c r="E678" s="6" t="str" cm="1">
        <f t="array" ref="E678">choice(Groupes!A:A,1,Settings!$B$16)</f>
        <v>G28</v>
      </c>
      <c r="F678" s="6" t="str">
        <f t="shared" si="42"/>
        <v>G28</v>
      </c>
      <c r="G678" s="6" t="str">
        <f t="shared" si="43"/>
        <v>Prof32</v>
      </c>
      <c r="H678" s="6" t="str" cm="1">
        <f t="array" ref="H678">choice(Referentiel!A:A,1,Settings!$B$16)</f>
        <v>Mode et Matière</v>
      </c>
      <c r="I678" s="6" t="str" cm="1">
        <f t="array" ref="I678">choice(Referentiel!B:B,1,Settings!$B$16)</f>
        <v>5ème année Design Vêtement S1</v>
      </c>
      <c r="J678" s="6" t="str" cm="1">
        <f t="array" ref="J678">choice(Referentiel!D:D,1,Settings!$B$16)</f>
        <v>L1</v>
      </c>
      <c r="K678" s="6" t="str" cm="1">
        <f t="array" ref="K678">choice(Professeurs!B:B,1,Settings!$B$16)</f>
        <v>Prof32</v>
      </c>
      <c r="L678" s="5" t="str" cm="1">
        <f t="array" ref="L678">choice(Referentiel!C:C,1,Settings!$B$16)</f>
        <v/>
      </c>
      <c r="M678" s="5" t="str" cm="1">
        <f t="array" ref="M678">choice(Referentiel!E:E,1,Settings!$B$16)</f>
        <v/>
      </c>
      <c r="N678" s="5" t="str" cm="1">
        <f t="array" ref="N678">choice(Settings!K:K,1,Settings!$B$16)</f>
        <v/>
      </c>
      <c r="P678" s="5">
        <f t="shared" si="44"/>
        <v>1</v>
      </c>
    </row>
    <row r="679" spans="1:16" ht="15.75" customHeight="1" x14ac:dyDescent="0.25">
      <c r="A679" s="6" t="s">
        <v>1031</v>
      </c>
      <c r="B679" s="6" cm="1">
        <f t="array" ref="B679">alea_int(Settings!$B$10,1,Settings!$B$16)</f>
        <v>1</v>
      </c>
      <c r="C679" s="8">
        <v>46023</v>
      </c>
      <c r="D679" s="8">
        <f t="shared" si="41"/>
        <v>46387</v>
      </c>
      <c r="E679" s="6" t="str" cm="1">
        <f t="array" ref="E679">choice(Groupes!A:A,1,Settings!$B$16)</f>
        <v>G7</v>
      </c>
      <c r="F679" s="6" t="str">
        <f t="shared" si="42"/>
        <v>G7</v>
      </c>
      <c r="G679" s="6" t="str">
        <f t="shared" si="43"/>
        <v>Prof13</v>
      </c>
      <c r="H679" s="6" t="str" cm="1">
        <f t="array" ref="H679">choice(Referentiel!A:A,1,Settings!$B$16)</f>
        <v>Architecture Intérieure</v>
      </c>
      <c r="I679" s="6" t="str" cm="1">
        <f t="array" ref="I679">choice(Referentiel!B:B,1,Settings!$B$16)</f>
        <v>4ème année Design Graphique S1</v>
      </c>
      <c r="J679" s="6" t="str" cm="1">
        <f t="array" ref="J679">choice(Referentiel!D:D,1,Settings!$B$16)</f>
        <v>L2</v>
      </c>
      <c r="K679" s="6" t="str" cm="1">
        <f t="array" ref="K679">choice(Professeurs!B:B,1,Settings!$B$16)</f>
        <v>Prof13</v>
      </c>
      <c r="L679" s="5" t="str" cm="1">
        <f t="array" ref="L679">choice(Referentiel!C:C,1,Settings!$B$16)</f>
        <v/>
      </c>
      <c r="M679" s="5" t="str" cm="1">
        <f t="array" ref="M679">choice(Referentiel!E:E,1,Settings!$B$16)</f>
        <v/>
      </c>
      <c r="N679" s="5" t="str" cm="1">
        <f t="array" ref="N679">choice(Settings!K:K,1,Settings!$B$16)</f>
        <v/>
      </c>
      <c r="P679" s="5">
        <f t="shared" si="44"/>
        <v>1</v>
      </c>
    </row>
    <row r="680" spans="1:16" ht="15.75" customHeight="1" x14ac:dyDescent="0.25">
      <c r="A680" s="6" t="s">
        <v>1032</v>
      </c>
      <c r="B680" s="6" cm="1">
        <f t="array" ref="B680">alea_int(Settings!$B$10,1,Settings!$B$16)</f>
        <v>3</v>
      </c>
      <c r="C680" s="8">
        <v>46023</v>
      </c>
      <c r="D680" s="8">
        <f t="shared" si="41"/>
        <v>46387</v>
      </c>
      <c r="E680" s="6" t="str" cm="1">
        <f t="array" ref="E680">choice(Groupes!A:A,1,Settings!$B$16)</f>
        <v>G5</v>
      </c>
      <c r="F680" s="6" t="str">
        <f t="shared" si="42"/>
        <v>G5</v>
      </c>
      <c r="G680" s="6" t="str">
        <f t="shared" si="43"/>
        <v>Prof22</v>
      </c>
      <c r="H680" s="6" t="str" cm="1">
        <f t="array" ref="H680">choice(Referentiel!A:A,1,Settings!$B$16)</f>
        <v>Scénographie</v>
      </c>
      <c r="I680" s="6" t="str" cm="1">
        <f t="array" ref="I680">choice(Referentiel!B:B,1,Settings!$B$16)</f>
        <v>2ème année Architecture Intérieure S1</v>
      </c>
      <c r="J680" s="6" t="str" cm="1">
        <f t="array" ref="J680">choice(Referentiel!D:D,1,Settings!$B$16)</f>
        <v>M1</v>
      </c>
      <c r="K680" s="6" t="str" cm="1">
        <f t="array" ref="K680">choice(Professeurs!B:B,1,Settings!$B$16)</f>
        <v>Prof22</v>
      </c>
      <c r="L680" s="5" t="str" cm="1">
        <f t="array" ref="L680">choice(Referentiel!C:C,1,Settings!$B$16)</f>
        <v/>
      </c>
      <c r="M680" s="5" t="str" cm="1">
        <f t="array" ref="M680">choice(Referentiel!E:E,1,Settings!$B$16)</f>
        <v/>
      </c>
      <c r="N680" s="5" t="str" cm="1">
        <f t="array" ref="N680">choice(Settings!K:K,1,Settings!$B$16)</f>
        <v/>
      </c>
      <c r="P680" s="5">
        <f t="shared" si="44"/>
        <v>3</v>
      </c>
    </row>
    <row r="681" spans="1:16" ht="15.75" customHeight="1" x14ac:dyDescent="0.25">
      <c r="A681" s="6" t="s">
        <v>1033</v>
      </c>
      <c r="B681" s="6" cm="1">
        <f t="array" ref="B681">alea_int(Settings!$B$10,1,Settings!$B$16)</f>
        <v>3</v>
      </c>
      <c r="C681" s="8">
        <v>46023</v>
      </c>
      <c r="D681" s="8">
        <f t="shared" si="41"/>
        <v>46387</v>
      </c>
      <c r="E681" s="6" t="str" cm="1">
        <f t="array" ref="E681">choice(Groupes!A:A,1,Settings!$B$16)</f>
        <v>G20</v>
      </c>
      <c r="F681" s="6" t="str">
        <f t="shared" si="42"/>
        <v>G20</v>
      </c>
      <c r="G681" s="6" t="str">
        <f t="shared" si="43"/>
        <v>Prof13</v>
      </c>
      <c r="H681" s="6" t="str" cm="1">
        <f t="array" ref="H681">choice(Referentiel!A:A,1,Settings!$B$16)</f>
        <v>Design Vêtement</v>
      </c>
      <c r="I681" s="6" t="str" cm="1">
        <f t="array" ref="I681">choice(Referentiel!B:B,1,Settings!$B$16)</f>
        <v>3ème année Design Objet S1</v>
      </c>
      <c r="J681" s="6" t="str" cm="1">
        <f t="array" ref="J681">choice(Referentiel!D:D,1,Settings!$B$16)</f>
        <v>M2</v>
      </c>
      <c r="K681" s="6" t="str" cm="1">
        <f t="array" ref="K681">choice(Professeurs!B:B,1,Settings!$B$16)</f>
        <v>Prof13</v>
      </c>
      <c r="L681" s="5" t="str" cm="1">
        <f t="array" ref="L681">choice(Referentiel!C:C,1,Settings!$B$16)</f>
        <v/>
      </c>
      <c r="M681" s="5" t="str" cm="1">
        <f t="array" ref="M681">choice(Referentiel!E:E,1,Settings!$B$16)</f>
        <v/>
      </c>
      <c r="N681" s="5" t="str" cm="1">
        <f t="array" ref="N681">choice(Settings!K:K,1,Settings!$B$16)</f>
        <v>vendredi pm</v>
      </c>
      <c r="P681" s="5">
        <f t="shared" si="44"/>
        <v>5</v>
      </c>
    </row>
    <row r="682" spans="1:16" ht="15.75" customHeight="1" x14ac:dyDescent="0.25">
      <c r="A682" s="6" t="s">
        <v>1034</v>
      </c>
      <c r="B682" s="6" cm="1">
        <f t="array" ref="B682">alea_int(Settings!$B$10,1,Settings!$B$16)</f>
        <v>1</v>
      </c>
      <c r="C682" s="8">
        <v>46023</v>
      </c>
      <c r="D682" s="8">
        <f t="shared" si="41"/>
        <v>46387</v>
      </c>
      <c r="E682" s="6" t="str" cm="1">
        <f t="array" ref="E682">choice(Groupes!A:A,1,Settings!$B$16)</f>
        <v>G27</v>
      </c>
      <c r="F682" s="6" t="str">
        <f t="shared" si="42"/>
        <v>G27</v>
      </c>
      <c r="G682" s="6" t="str">
        <f t="shared" si="43"/>
        <v>Prof16</v>
      </c>
      <c r="H682" s="6" t="str" cm="1">
        <f t="array" ref="H682">choice(Referentiel!A:A,1,Settings!$B$16)</f>
        <v>Scénographie</v>
      </c>
      <c r="I682" s="6" t="str" cm="1">
        <f t="array" ref="I682">choice(Referentiel!B:B,1,Settings!$B$16)</f>
        <v>4ème année Architecture Intérieure S1</v>
      </c>
      <c r="J682" s="6" t="str" cm="1">
        <f t="array" ref="J682">choice(Referentiel!D:D,1,Settings!$B$16)</f>
        <v>L1</v>
      </c>
      <c r="K682" s="6" t="str" cm="1">
        <f t="array" ref="K682">choice(Professeurs!B:B,1,Settings!$B$16)</f>
        <v>Prof16</v>
      </c>
      <c r="L682" s="5" t="str" cm="1">
        <f t="array" ref="L682">choice(Referentiel!C:C,1,Settings!$B$16)</f>
        <v/>
      </c>
      <c r="M682" s="5" t="str" cm="1">
        <f t="array" ref="M682">choice(Referentiel!E:E,1,Settings!$B$16)</f>
        <v/>
      </c>
      <c r="N682" s="5" t="str" cm="1">
        <f t="array" ref="N682">choice(Settings!K:K,1,Settings!$B$16)</f>
        <v/>
      </c>
      <c r="P682" s="5">
        <f t="shared" si="44"/>
        <v>1</v>
      </c>
    </row>
    <row r="683" spans="1:16" ht="15.75" customHeight="1" x14ac:dyDescent="0.25">
      <c r="A683" s="6" t="s">
        <v>1035</v>
      </c>
      <c r="B683" s="6" cm="1">
        <f t="array" ref="B683">alea_int(Settings!$B$10,1,Settings!$B$16)</f>
        <v>2</v>
      </c>
      <c r="C683" s="8">
        <v>46023</v>
      </c>
      <c r="D683" s="8">
        <f t="shared" si="41"/>
        <v>46387</v>
      </c>
      <c r="E683" s="6" t="str" cm="1">
        <f t="array" ref="E683">choice(Groupes!A:A,1,Settings!$B$16)</f>
        <v>G24</v>
      </c>
      <c r="F683" s="6" t="str">
        <f t="shared" si="42"/>
        <v>G24</v>
      </c>
      <c r="G683" s="6" t="str">
        <f t="shared" si="43"/>
        <v>Prof34</v>
      </c>
      <c r="H683" s="6" t="str" cm="1">
        <f t="array" ref="H683">choice(Referentiel!A:A,1,Settings!$B$16)</f>
        <v>1ère année Groupe 1</v>
      </c>
      <c r="I683" s="6" t="str" cm="1">
        <f t="array" ref="I683">choice(Referentiel!B:B,1,Settings!$B$16)</f>
        <v>2ème année Design Vêtement S2</v>
      </c>
      <c r="J683" s="6" t="str" cm="1">
        <f t="array" ref="J683">choice(Referentiel!D:D,1,Settings!$B$16)</f>
        <v>M1</v>
      </c>
      <c r="K683" s="6" t="str" cm="1">
        <f t="array" ref="K683">choice(Professeurs!B:B,1,Settings!$B$16)</f>
        <v>Prof34</v>
      </c>
      <c r="L683" s="5" t="str" cm="1">
        <f t="array" ref="L683">choice(Referentiel!C:C,1,Settings!$B$16)</f>
        <v/>
      </c>
      <c r="M683" s="5" t="str" cm="1">
        <f t="array" ref="M683">choice(Referentiel!E:E,1,Settings!$B$16)</f>
        <v/>
      </c>
      <c r="N683" s="5" t="str" cm="1">
        <f t="array" ref="N683">choice(Settings!K:K,1,Settings!$B$16)</f>
        <v>mardi pm</v>
      </c>
      <c r="P683" s="5">
        <f t="shared" si="44"/>
        <v>4</v>
      </c>
    </row>
    <row r="684" spans="1:16" ht="15.75" customHeight="1" x14ac:dyDescent="0.25">
      <c r="A684" s="6" t="s">
        <v>1036</v>
      </c>
      <c r="B684" s="6" cm="1">
        <f t="array" ref="B684">alea_int(Settings!$B$10,1,Settings!$B$16)</f>
        <v>2</v>
      </c>
      <c r="C684" s="8">
        <v>46023</v>
      </c>
      <c r="D684" s="8">
        <f t="shared" si="41"/>
        <v>46387</v>
      </c>
      <c r="E684" s="6" t="str" cm="1">
        <f t="array" ref="E684">choice(Groupes!A:A,1,Settings!$B$16)</f>
        <v>G19</v>
      </c>
      <c r="F684" s="6" t="str">
        <f t="shared" si="42"/>
        <v>G19</v>
      </c>
      <c r="G684" s="6" t="str">
        <f t="shared" si="43"/>
        <v>Prof9</v>
      </c>
      <c r="H684" s="6" t="str" cm="1">
        <f t="array" ref="H684">choice(Referentiel!A:A,1,Settings!$B$16)</f>
        <v>Gr SYMBIOSE</v>
      </c>
      <c r="I684" s="6" t="str" cm="1">
        <f t="array" ref="I684">choice(Referentiel!B:B,1,Settings!$B$16)</f>
        <v>4ème année Design Vêtement S1</v>
      </c>
      <c r="J684" s="6" t="str" cm="1">
        <f t="array" ref="J684">choice(Referentiel!D:D,1,Settings!$B$16)</f>
        <v>L3</v>
      </c>
      <c r="K684" s="6" t="str" cm="1">
        <f t="array" ref="K684">choice(Professeurs!B:B,1,Settings!$B$16)</f>
        <v>Prof9</v>
      </c>
      <c r="L684" s="5" t="str" cm="1">
        <f t="array" ref="L684">choice(Referentiel!C:C,1,Settings!$B$16)</f>
        <v/>
      </c>
      <c r="M684" s="5" t="str" cm="1">
        <f t="array" ref="M684">choice(Referentiel!E:E,1,Settings!$B$16)</f>
        <v/>
      </c>
      <c r="N684" s="5" t="str" cm="1">
        <f t="array" ref="N684">choice(Settings!K:K,1,Settings!$B$16)</f>
        <v/>
      </c>
      <c r="P684" s="5">
        <f t="shared" si="44"/>
        <v>2</v>
      </c>
    </row>
    <row r="685" spans="1:16" ht="15.75" customHeight="1" x14ac:dyDescent="0.25">
      <c r="A685" s="6" t="s">
        <v>1037</v>
      </c>
      <c r="B685" s="6" cm="1">
        <f t="array" ref="B685">alea_int(Settings!$B$10,1,Settings!$B$16)</f>
        <v>3</v>
      </c>
      <c r="C685" s="8">
        <v>46023</v>
      </c>
      <c r="D685" s="8">
        <f t="shared" si="41"/>
        <v>46387</v>
      </c>
      <c r="E685" s="6" t="str" cm="1">
        <f t="array" ref="E685">choice(Groupes!A:A,1,Settings!$B$16)</f>
        <v>G5</v>
      </c>
      <c r="F685" s="6" t="str">
        <f t="shared" si="42"/>
        <v>G5</v>
      </c>
      <c r="G685" s="6" t="str">
        <f t="shared" si="43"/>
        <v>Prof2</v>
      </c>
      <c r="H685" s="6" t="str" cm="1">
        <f t="array" ref="H685">choice(Referentiel!A:A,1,Settings!$B$16)</f>
        <v>1ère année Groupe 1</v>
      </c>
      <c r="I685" s="6" t="str" cm="1">
        <f t="array" ref="I685">choice(Referentiel!B:B,1,Settings!$B$16)</f>
        <v>3ème année Design Objet S1</v>
      </c>
      <c r="J685" s="6" t="str" cm="1">
        <f t="array" ref="J685">choice(Referentiel!D:D,1,Settings!$B$16)</f>
        <v>M1</v>
      </c>
      <c r="K685" s="6" t="str" cm="1">
        <f t="array" ref="K685">choice(Professeurs!B:B,1,Settings!$B$16)</f>
        <v>Prof2</v>
      </c>
      <c r="L685" s="5" t="str" cm="1">
        <f t="array" ref="L685">choice(Referentiel!C:C,1,Settings!$B$16)</f>
        <v/>
      </c>
      <c r="M685" s="5" t="str" cm="1">
        <f t="array" ref="M685">choice(Referentiel!E:E,1,Settings!$B$16)</f>
        <v/>
      </c>
      <c r="N685" s="5" t="str" cm="1">
        <f t="array" ref="N685">choice(Settings!K:K,1,Settings!$B$16)</f>
        <v/>
      </c>
      <c r="P685" s="5">
        <f t="shared" si="44"/>
        <v>3</v>
      </c>
    </row>
    <row r="686" spans="1:16" ht="15.75" customHeight="1" x14ac:dyDescent="0.25">
      <c r="A686" s="6" t="s">
        <v>1038</v>
      </c>
      <c r="B686" s="6" cm="1">
        <f t="array" ref="B686">alea_int(Settings!$B$10,1,Settings!$B$16)</f>
        <v>3</v>
      </c>
      <c r="C686" s="8">
        <v>46023</v>
      </c>
      <c r="D686" s="8">
        <f t="shared" si="41"/>
        <v>46387</v>
      </c>
      <c r="E686" s="6" t="str" cm="1">
        <f t="array" ref="E686">choice(Groupes!A:A,1,Settings!$B$16)</f>
        <v>G30</v>
      </c>
      <c r="F686" s="6" t="str">
        <f t="shared" si="42"/>
        <v>G30</v>
      </c>
      <c r="G686" s="6" t="str">
        <f t="shared" si="43"/>
        <v>Prof13</v>
      </c>
      <c r="H686" s="6" t="str" cm="1">
        <f t="array" ref="H686">choice(Referentiel!A:A,1,Settings!$B$16)</f>
        <v>Art-Espace</v>
      </c>
      <c r="I686" s="6" t="str" cm="1">
        <f t="array" ref="I686">choice(Referentiel!B:B,1,Settings!$B$16)</f>
        <v>3ème année Photo / Vidéo S1</v>
      </c>
      <c r="J686" s="6" t="str" cm="1">
        <f t="array" ref="J686">choice(Referentiel!D:D,1,Settings!$B$16)</f>
        <v>M1</v>
      </c>
      <c r="K686" s="6" t="str" cm="1">
        <f t="array" ref="K686">choice(Professeurs!B:B,1,Settings!$B$16)</f>
        <v>Prof13</v>
      </c>
      <c r="L686" s="5" t="str" cm="1">
        <f t="array" ref="L686">choice(Referentiel!C:C,1,Settings!$B$16)</f>
        <v/>
      </c>
      <c r="M686" s="5" t="str" cm="1">
        <f t="array" ref="M686">choice(Referentiel!E:E,1,Settings!$B$16)</f>
        <v/>
      </c>
      <c r="N686" s="5" t="str" cm="1">
        <f t="array" ref="N686">choice(Settings!K:K,1,Settings!$B$16)</f>
        <v/>
      </c>
      <c r="P686" s="5">
        <f t="shared" si="44"/>
        <v>3</v>
      </c>
    </row>
    <row r="687" spans="1:16" ht="15.75" customHeight="1" x14ac:dyDescent="0.25">
      <c r="A687" s="6" t="s">
        <v>1039</v>
      </c>
      <c r="B687" s="6" cm="1">
        <f t="array" ref="B687">alea_int(Settings!$B$10,1,Settings!$B$16)</f>
        <v>3</v>
      </c>
      <c r="C687" s="8">
        <v>46023</v>
      </c>
      <c r="D687" s="8">
        <f t="shared" si="41"/>
        <v>46387</v>
      </c>
      <c r="E687" s="6" t="str" cm="1">
        <f t="array" ref="E687">choice(Groupes!A:A,1,Settings!$B$16)</f>
        <v>G21</v>
      </c>
      <c r="F687" s="6" t="str">
        <f t="shared" si="42"/>
        <v>G21</v>
      </c>
      <c r="G687" s="6" t="str">
        <f t="shared" si="43"/>
        <v>Prof8</v>
      </c>
      <c r="H687" s="6" t="str" cm="1">
        <f t="array" ref="H687">choice(Referentiel!A:A,1,Settings!$B$16)</f>
        <v>Cinéma d'Animation</v>
      </c>
      <c r="I687" s="6" t="str" cm="1">
        <f t="array" ref="I687">choice(Referentiel!B:B,1,Settings!$B$16)</f>
        <v>4ème année Art-Espace S2</v>
      </c>
      <c r="J687" s="6" t="str" cm="1">
        <f t="array" ref="J687">choice(Referentiel!D:D,1,Settings!$B$16)</f>
        <v>L1</v>
      </c>
      <c r="K687" s="6" t="str" cm="1">
        <f t="array" ref="K687">choice(Professeurs!B:B,1,Settings!$B$16)</f>
        <v>Prof8</v>
      </c>
      <c r="L687" s="5" t="str" cm="1">
        <f t="array" ref="L687">choice(Referentiel!C:C,1,Settings!$B$16)</f>
        <v/>
      </c>
      <c r="M687" s="5" t="str" cm="1">
        <f t="array" ref="M687">choice(Referentiel!E:E,1,Settings!$B$16)</f>
        <v/>
      </c>
      <c r="N687" s="5" t="str" cm="1">
        <f t="array" ref="N687">choice(Settings!K:K,1,Settings!$B$16)</f>
        <v/>
      </c>
      <c r="P687" s="5">
        <f t="shared" si="44"/>
        <v>3</v>
      </c>
    </row>
    <row r="688" spans="1:16" ht="15.75" customHeight="1" x14ac:dyDescent="0.25">
      <c r="A688" s="6" t="s">
        <v>1040</v>
      </c>
      <c r="B688" s="6" cm="1">
        <f t="array" ref="B688">alea_int(Settings!$B$10,1,Settings!$B$16)</f>
        <v>3</v>
      </c>
      <c r="C688" s="8">
        <v>46023</v>
      </c>
      <c r="D688" s="8">
        <f t="shared" si="41"/>
        <v>46387</v>
      </c>
      <c r="E688" s="6" t="str" cm="1">
        <f t="array" ref="E688">choice(Groupes!A:A,1,Settings!$B$16)</f>
        <v>G14</v>
      </c>
      <c r="F688" s="6" t="str">
        <f t="shared" si="42"/>
        <v>G14</v>
      </c>
      <c r="G688" s="6" t="str">
        <f t="shared" si="43"/>
        <v>Prof5</v>
      </c>
      <c r="H688" s="6" t="str" cm="1">
        <f t="array" ref="H688">choice(Referentiel!A:A,1,Settings!$B$16)</f>
        <v>1ère année Groupe 4</v>
      </c>
      <c r="I688" s="6" t="str" cm="1">
        <f t="array" ref="I688">choice(Referentiel!B:B,1,Settings!$B$16)</f>
        <v>2ème année Scénographie S2</v>
      </c>
      <c r="J688" s="6" t="str" cm="1">
        <f t="array" ref="J688">choice(Referentiel!D:D,1,Settings!$B$16)</f>
        <v>L1</v>
      </c>
      <c r="K688" s="6" t="str" cm="1">
        <f t="array" ref="K688">choice(Professeurs!B:B,1,Settings!$B$16)</f>
        <v>Prof5</v>
      </c>
      <c r="L688" s="5" t="str" cm="1">
        <f t="array" ref="L688">choice(Referentiel!C:C,1,Settings!$B$16)</f>
        <v/>
      </c>
      <c r="M688" s="5" t="str" cm="1">
        <f t="array" ref="M688">choice(Referentiel!E:E,1,Settings!$B$16)</f>
        <v/>
      </c>
      <c r="N688" s="5" t="str" cm="1">
        <f t="array" ref="N688">choice(Settings!K:K,1,Settings!$B$16)</f>
        <v>mardi am</v>
      </c>
      <c r="P688" s="5">
        <f t="shared" si="44"/>
        <v>5</v>
      </c>
    </row>
    <row r="689" spans="1:16" ht="15.75" customHeight="1" x14ac:dyDescent="0.25">
      <c r="A689" s="6" t="s">
        <v>1041</v>
      </c>
      <c r="B689" s="6" cm="1">
        <f t="array" ref="B689">alea_int(Settings!$B$10,1,Settings!$B$16)</f>
        <v>3</v>
      </c>
      <c r="C689" s="8">
        <v>46023</v>
      </c>
      <c r="D689" s="8">
        <f t="shared" si="41"/>
        <v>46387</v>
      </c>
      <c r="E689" s="6" t="str" cm="1">
        <f t="array" ref="E689">choice(Groupes!A:A,1,Settings!$B$16)</f>
        <v>G15</v>
      </c>
      <c r="F689" s="6" t="str">
        <f t="shared" si="42"/>
        <v>G15</v>
      </c>
      <c r="G689" s="6" t="str">
        <f t="shared" si="43"/>
        <v>Prof34</v>
      </c>
      <c r="H689" s="6" t="str" cm="1">
        <f t="array" ref="H689">choice(Referentiel!A:A,1,Settings!$B$16)</f>
        <v>Design des mondes ruraux</v>
      </c>
      <c r="I689" s="6" t="str" cm="1">
        <f t="array" ref="I689">choice(Referentiel!B:B,1,Settings!$B$16)</f>
        <v>2ème année Cinéma d'Animation S1</v>
      </c>
      <c r="J689" s="6" t="str" cm="1">
        <f t="array" ref="J689">choice(Referentiel!D:D,1,Settings!$B$16)</f>
        <v>L1</v>
      </c>
      <c r="K689" s="6" t="str" cm="1">
        <f t="array" ref="K689">choice(Professeurs!B:B,1,Settings!$B$16)</f>
        <v>Prof34</v>
      </c>
      <c r="L689" s="5" t="str" cm="1">
        <f t="array" ref="L689">choice(Referentiel!C:C,1,Settings!$B$16)</f>
        <v/>
      </c>
      <c r="M689" s="5" t="str" cm="1">
        <f t="array" ref="M689">choice(Referentiel!E:E,1,Settings!$B$16)</f>
        <v>Salle13</v>
      </c>
      <c r="N689" s="5" t="str" cm="1">
        <f t="array" ref="N689">choice(Settings!K:K,1,Settings!$B$16)</f>
        <v/>
      </c>
      <c r="P689" s="5">
        <f t="shared" si="44"/>
        <v>5</v>
      </c>
    </row>
    <row r="690" spans="1:16" ht="15.75" customHeight="1" x14ac:dyDescent="0.25">
      <c r="A690" s="6" t="s">
        <v>1042</v>
      </c>
      <c r="B690" s="6" cm="1">
        <f t="array" ref="B690">alea_int(Settings!$B$10,1,Settings!$B$16)</f>
        <v>1</v>
      </c>
      <c r="C690" s="8">
        <v>46023</v>
      </c>
      <c r="D690" s="8">
        <f t="shared" si="41"/>
        <v>46387</v>
      </c>
      <c r="E690" s="6" t="str" cm="1">
        <f t="array" ref="E690">choice(Groupes!A:A,1,Settings!$B$16)</f>
        <v>G14</v>
      </c>
      <c r="F690" s="6" t="str">
        <f t="shared" si="42"/>
        <v>G14</v>
      </c>
      <c r="G690" s="6" t="str">
        <f t="shared" si="43"/>
        <v>Prof42</v>
      </c>
      <c r="H690" s="6" t="str" cm="1">
        <f t="array" ref="H690">choice(Referentiel!A:A,1,Settings!$B$16)</f>
        <v>Mode et Matière</v>
      </c>
      <c r="I690" s="6" t="str" cm="1">
        <f t="array" ref="I690">choice(Referentiel!B:B,1,Settings!$B$16)</f>
        <v>3ème année Image Imprimée S1</v>
      </c>
      <c r="J690" s="6" t="str" cm="1">
        <f t="array" ref="J690">choice(Referentiel!D:D,1,Settings!$B$16)</f>
        <v>M2</v>
      </c>
      <c r="K690" s="6" t="str" cm="1">
        <f t="array" ref="K690">choice(Professeurs!B:B,1,Settings!$B$16)</f>
        <v>Prof42</v>
      </c>
      <c r="L690" s="5" t="str" cm="1">
        <f t="array" ref="L690">choice(Referentiel!C:C,1,Settings!$B$16)</f>
        <v/>
      </c>
      <c r="M690" s="5" t="str" cm="1">
        <f t="array" ref="M690">choice(Referentiel!E:E,1,Settings!$B$16)</f>
        <v/>
      </c>
      <c r="N690" s="5" t="str" cm="1">
        <f t="array" ref="N690">choice(Settings!K:K,1,Settings!$B$16)</f>
        <v/>
      </c>
      <c r="P690" s="5">
        <f t="shared" si="44"/>
        <v>1</v>
      </c>
    </row>
    <row r="691" spans="1:16" ht="15.75" customHeight="1" x14ac:dyDescent="0.25">
      <c r="A691" s="6" t="s">
        <v>1043</v>
      </c>
      <c r="B691" s="6" cm="1">
        <f t="array" ref="B691">alea_int(Settings!$B$10,1,Settings!$B$16)</f>
        <v>1</v>
      </c>
      <c r="C691" s="8">
        <v>46023</v>
      </c>
      <c r="D691" s="8">
        <f t="shared" si="41"/>
        <v>46387</v>
      </c>
      <c r="E691" s="6" t="str" cm="1">
        <f t="array" ref="E691">choice(Groupes!A:A,1,Settings!$B$16)</f>
        <v>G29</v>
      </c>
      <c r="F691" s="6" t="str">
        <f t="shared" si="42"/>
        <v>G29</v>
      </c>
      <c r="G691" s="6" t="str">
        <f t="shared" si="43"/>
        <v>Prof35</v>
      </c>
      <c r="H691" s="6" t="str" cm="1">
        <f t="array" ref="H691">choice(Referentiel!A:A,1,Settings!$B$16)</f>
        <v>Gr ART, DESIGN, SOCIETE</v>
      </c>
      <c r="I691" s="6" t="str" cm="1">
        <f t="array" ref="I691">choice(Referentiel!B:B,1,Settings!$B$16)</f>
        <v>2ème année Art-Espace S1</v>
      </c>
      <c r="J691" s="6" t="str" cm="1">
        <f t="array" ref="J691">choice(Referentiel!D:D,1,Settings!$B$16)</f>
        <v>M2</v>
      </c>
      <c r="K691" s="6" t="str" cm="1">
        <f t="array" ref="K691">choice(Professeurs!B:B,1,Settings!$B$16)</f>
        <v>Prof35</v>
      </c>
      <c r="L691" s="5" t="str" cm="1">
        <f t="array" ref="L691">choice(Referentiel!C:C,1,Settings!$B$16)</f>
        <v>pupitre</v>
      </c>
      <c r="M691" s="5" t="str" cm="1">
        <f t="array" ref="M691">choice(Referentiel!E:E,1,Settings!$B$16)</f>
        <v/>
      </c>
      <c r="N691" s="5" t="str" cm="1">
        <f t="array" ref="N691">choice(Settings!K:K,1,Settings!$B$16)</f>
        <v/>
      </c>
      <c r="P691" s="5">
        <f t="shared" si="44"/>
        <v>1</v>
      </c>
    </row>
    <row r="692" spans="1:16" ht="15.75" customHeight="1" x14ac:dyDescent="0.25">
      <c r="A692" s="6" t="s">
        <v>1044</v>
      </c>
      <c r="B692" s="6" cm="1">
        <f t="array" ref="B692">alea_int(Settings!$B$10,1,Settings!$B$16)</f>
        <v>3</v>
      </c>
      <c r="C692" s="8">
        <v>46023</v>
      </c>
      <c r="D692" s="8">
        <f t="shared" si="41"/>
        <v>46387</v>
      </c>
      <c r="E692" s="6" t="str" cm="1">
        <f t="array" ref="E692">choice(Groupes!A:A,1,Settings!$B$16)</f>
        <v>G6</v>
      </c>
      <c r="F692" s="6" t="str">
        <f t="shared" si="42"/>
        <v>G6</v>
      </c>
      <c r="G692" s="6" t="str">
        <f t="shared" si="43"/>
        <v>Prof40</v>
      </c>
      <c r="H692" s="6" t="str" cm="1">
        <f t="array" ref="H692">choice(Referentiel!A:A,1,Settings!$B$16)</f>
        <v>Mode et Matière</v>
      </c>
      <c r="I692" s="6" t="str" cm="1">
        <f t="array" ref="I692">choice(Referentiel!B:B,1,Settings!$B$16)</f>
        <v>4ème année Photo / Vidéo S1</v>
      </c>
      <c r="J692" s="6" t="str" cm="1">
        <f t="array" ref="J692">choice(Referentiel!D:D,1,Settings!$B$16)</f>
        <v>M1</v>
      </c>
      <c r="K692" s="6" t="str" cm="1">
        <f t="array" ref="K692">choice(Professeurs!B:B,1,Settings!$B$16)</f>
        <v>Prof40</v>
      </c>
      <c r="L692" s="5" t="str" cm="1">
        <f t="array" ref="L692">choice(Referentiel!C:C,1,Settings!$B$16)</f>
        <v/>
      </c>
      <c r="M692" s="5" t="str" cm="1">
        <f t="array" ref="M692">choice(Referentiel!E:E,1,Settings!$B$16)</f>
        <v/>
      </c>
      <c r="N692" s="5" t="str" cm="1">
        <f t="array" ref="N692">choice(Settings!K:K,1,Settings!$B$16)</f>
        <v/>
      </c>
      <c r="P692" s="5">
        <f t="shared" si="44"/>
        <v>3</v>
      </c>
    </row>
    <row r="693" spans="1:16" ht="15.75" customHeight="1" x14ac:dyDescent="0.25">
      <c r="A693" s="6" t="s">
        <v>1045</v>
      </c>
      <c r="B693" s="6" cm="1">
        <f t="array" ref="B693">alea_int(Settings!$B$10,1,Settings!$B$16)</f>
        <v>3</v>
      </c>
      <c r="C693" s="8">
        <v>46023</v>
      </c>
      <c r="D693" s="8">
        <f t="shared" si="41"/>
        <v>46387</v>
      </c>
      <c r="E693" s="6" t="str" cm="1">
        <f t="array" ref="E693">choice(Groupes!A:A,1,Settings!$B$16)</f>
        <v>G30</v>
      </c>
      <c r="F693" s="6" t="str">
        <f t="shared" si="42"/>
        <v>G30</v>
      </c>
      <c r="G693" s="6" t="str">
        <f t="shared" si="43"/>
        <v>Prof28</v>
      </c>
      <c r="H693" s="6" t="str" cm="1">
        <f t="array" ref="H693">choice(Referentiel!A:A,1,Settings!$B$16)</f>
        <v>Photo / Vidéo</v>
      </c>
      <c r="I693" s="6" t="str" cm="1">
        <f t="array" ref="I693">choice(Referentiel!B:B,1,Settings!$B$16)</f>
        <v>3ème année Design Textile et Matière S2</v>
      </c>
      <c r="J693" s="6" t="str" cm="1">
        <f t="array" ref="J693">choice(Referentiel!D:D,1,Settings!$B$16)</f>
        <v>M1</v>
      </c>
      <c r="K693" s="6" t="str" cm="1">
        <f t="array" ref="K693">choice(Professeurs!B:B,1,Settings!$B$16)</f>
        <v>Prof28</v>
      </c>
      <c r="L693" s="5" t="str" cm="1">
        <f t="array" ref="L693">choice(Referentiel!C:C,1,Settings!$B$16)</f>
        <v/>
      </c>
      <c r="M693" s="5" t="str" cm="1">
        <f t="array" ref="M693">choice(Referentiel!E:E,1,Settings!$B$16)</f>
        <v/>
      </c>
      <c r="N693" s="5" t="str" cm="1">
        <f t="array" ref="N693">choice(Settings!K:K,1,Settings!$B$16)</f>
        <v/>
      </c>
      <c r="P693" s="5">
        <f t="shared" si="44"/>
        <v>3</v>
      </c>
    </row>
    <row r="694" spans="1:16" ht="15.75" customHeight="1" x14ac:dyDescent="0.25">
      <c r="A694" s="6" t="s">
        <v>1046</v>
      </c>
      <c r="B694" s="6" cm="1">
        <f t="array" ref="B694">alea_int(Settings!$B$10,1,Settings!$B$16)</f>
        <v>1</v>
      </c>
      <c r="C694" s="8">
        <v>46023</v>
      </c>
      <c r="D694" s="8">
        <f t="shared" si="41"/>
        <v>46387</v>
      </c>
      <c r="E694" s="6" t="str" cm="1">
        <f t="array" ref="E694">choice(Groupes!A:A,1,Settings!$B$16)</f>
        <v>G17</v>
      </c>
      <c r="F694" s="6" t="str">
        <f t="shared" si="42"/>
        <v>G17</v>
      </c>
      <c r="G694" s="6" t="str">
        <f t="shared" si="43"/>
        <v>Prof52</v>
      </c>
      <c r="H694" s="6" t="str" cm="1">
        <f t="array" ref="H694">choice(Referentiel!A:A,1,Settings!$B$16)</f>
        <v>Design des mondes urbains</v>
      </c>
      <c r="I694" s="6" t="str" cm="1">
        <f t="array" ref="I694">choice(Referentiel!B:B,1,Settings!$B$16)</f>
        <v>1ère Année Groupe 3 S2</v>
      </c>
      <c r="J694" s="6" t="str" cm="1">
        <f t="array" ref="J694">choice(Referentiel!D:D,1,Settings!$B$16)</f>
        <v>M1</v>
      </c>
      <c r="K694" s="6" t="str" cm="1">
        <f t="array" ref="K694">choice(Professeurs!B:B,1,Settings!$B$16)</f>
        <v>Prof52</v>
      </c>
      <c r="L694" s="5" t="str" cm="1">
        <f t="array" ref="L694">choice(Referentiel!C:C,1,Settings!$B$16)</f>
        <v/>
      </c>
      <c r="M694" s="5" t="str" cm="1">
        <f t="array" ref="M694">choice(Referentiel!E:E,1,Settings!$B$16)</f>
        <v/>
      </c>
      <c r="N694" s="5" t="str" cm="1">
        <f t="array" ref="N694">choice(Settings!K:K,1,Settings!$B$16)</f>
        <v/>
      </c>
      <c r="P694" s="5">
        <f t="shared" si="44"/>
        <v>1</v>
      </c>
    </row>
    <row r="695" spans="1:16" ht="15.75" customHeight="1" x14ac:dyDescent="0.25">
      <c r="A695" s="6" t="s">
        <v>1047</v>
      </c>
      <c r="B695" s="6" cm="1">
        <f t="array" ref="B695">alea_int(Settings!$B$10,1,Settings!$B$16)</f>
        <v>3</v>
      </c>
      <c r="C695" s="8">
        <v>46023</v>
      </c>
      <c r="D695" s="8">
        <f t="shared" si="41"/>
        <v>46387</v>
      </c>
      <c r="E695" s="6" t="str" cm="1">
        <f t="array" ref="E695">choice(Groupes!A:A,1,Settings!$B$16)</f>
        <v>G6</v>
      </c>
      <c r="F695" s="6" t="str">
        <f t="shared" si="42"/>
        <v>G6</v>
      </c>
      <c r="G695" s="6" t="str">
        <f t="shared" si="43"/>
        <v>Prof26</v>
      </c>
      <c r="H695" s="6" t="str" cm="1">
        <f t="array" ref="H695">choice(Referentiel!A:A,1,Settings!$B$16)</f>
        <v>Photo / Vidéo</v>
      </c>
      <c r="I695" s="6" t="str" cm="1">
        <f t="array" ref="I695">choice(Referentiel!B:B,1,Settings!$B$16)</f>
        <v>3ème année Art-Espace S1</v>
      </c>
      <c r="J695" s="6" t="str" cm="1">
        <f t="array" ref="J695">choice(Referentiel!D:D,1,Settings!$B$16)</f>
        <v>L2</v>
      </c>
      <c r="K695" s="6" t="str" cm="1">
        <f t="array" ref="K695">choice(Professeurs!B:B,1,Settings!$B$16)</f>
        <v>Prof26</v>
      </c>
      <c r="L695" s="5" t="str" cm="1">
        <f t="array" ref="L695">choice(Referentiel!C:C,1,Settings!$B$16)</f>
        <v>ordinateur</v>
      </c>
      <c r="M695" s="5" t="str" cm="1">
        <f t="array" ref="M695">choice(Referentiel!E:E,1,Settings!$B$16)</f>
        <v/>
      </c>
      <c r="N695" s="5" t="str" cm="1">
        <f t="array" ref="N695">choice(Settings!K:K,1,Settings!$B$16)</f>
        <v/>
      </c>
      <c r="P695" s="5">
        <f t="shared" si="44"/>
        <v>3</v>
      </c>
    </row>
    <row r="696" spans="1:16" ht="15.75" customHeight="1" x14ac:dyDescent="0.25">
      <c r="A696" s="6" t="s">
        <v>1048</v>
      </c>
      <c r="B696" s="6" cm="1">
        <f t="array" ref="B696">alea_int(Settings!$B$10,1,Settings!$B$16)</f>
        <v>2</v>
      </c>
      <c r="C696" s="8">
        <v>46023</v>
      </c>
      <c r="D696" s="8">
        <f t="shared" si="41"/>
        <v>46387</v>
      </c>
      <c r="E696" s="6" t="str" cm="1">
        <f t="array" ref="E696">choice(Groupes!A:A,1,Settings!$B$16)</f>
        <v>G25</v>
      </c>
      <c r="F696" s="6" t="str">
        <f t="shared" si="42"/>
        <v>G25</v>
      </c>
      <c r="G696" s="6" t="str">
        <f t="shared" si="43"/>
        <v>Prof9</v>
      </c>
      <c r="H696" s="6" t="str" cm="1">
        <f t="array" ref="H696">choice(Referentiel!A:A,1,Settings!$B$16)</f>
        <v>Gr SPATIAL MEDIA</v>
      </c>
      <c r="I696" s="6" t="str" cm="1">
        <f t="array" ref="I696">choice(Referentiel!B:B,1,Settings!$B$16)</f>
        <v>2ème année Image Imprimée S1</v>
      </c>
      <c r="J696" s="6" t="str" cm="1">
        <f t="array" ref="J696">choice(Referentiel!D:D,1,Settings!$B$16)</f>
        <v>L1</v>
      </c>
      <c r="K696" s="6" t="str" cm="1">
        <f t="array" ref="K696">choice(Professeurs!B:B,1,Settings!$B$16)</f>
        <v>Prof9</v>
      </c>
      <c r="L696" s="5" t="str" cm="1">
        <f t="array" ref="L696">choice(Referentiel!C:C,1,Settings!$B$16)</f>
        <v/>
      </c>
      <c r="M696" s="5" t="str" cm="1">
        <f t="array" ref="M696">choice(Referentiel!E:E,1,Settings!$B$16)</f>
        <v/>
      </c>
      <c r="N696" s="5" t="str" cm="1">
        <f t="array" ref="N696">choice(Settings!K:K,1,Settings!$B$16)</f>
        <v/>
      </c>
      <c r="P696" s="5">
        <f t="shared" si="44"/>
        <v>2</v>
      </c>
    </row>
    <row r="697" spans="1:16" ht="15.75" customHeight="1" x14ac:dyDescent="0.25">
      <c r="A697" s="6" t="s">
        <v>1049</v>
      </c>
      <c r="B697" s="6" cm="1">
        <f t="array" ref="B697">alea_int(Settings!$B$10,1,Settings!$B$16)</f>
        <v>1</v>
      </c>
      <c r="C697" s="8">
        <v>46023</v>
      </c>
      <c r="D697" s="8">
        <f t="shared" si="41"/>
        <v>46387</v>
      </c>
      <c r="E697" s="6" t="str" cm="1">
        <f t="array" ref="E697">choice(Groupes!A:A,1,Settings!$B$16)</f>
        <v>G21</v>
      </c>
      <c r="F697" s="6" t="str">
        <f t="shared" si="42"/>
        <v>G21</v>
      </c>
      <c r="G697" s="6" t="str">
        <f t="shared" si="43"/>
        <v>Prof4</v>
      </c>
      <c r="H697" s="6" t="str" cm="1">
        <f t="array" ref="H697">choice(Referentiel!A:A,1,Settings!$B$16)</f>
        <v>Gr SPATIAL MEDIA</v>
      </c>
      <c r="I697" s="6" t="str" cm="1">
        <f t="array" ref="I697">choice(Referentiel!B:B,1,Settings!$B$16)</f>
        <v>3ème année Design Vêtement S1</v>
      </c>
      <c r="J697" s="6" t="str" cm="1">
        <f t="array" ref="J697">choice(Referentiel!D:D,1,Settings!$B$16)</f>
        <v>L1</v>
      </c>
      <c r="K697" s="6" t="str" cm="1">
        <f t="array" ref="K697">choice(Professeurs!B:B,1,Settings!$B$16)</f>
        <v>Prof4</v>
      </c>
      <c r="L697" s="5" t="str" cm="1">
        <f t="array" ref="L697">choice(Referentiel!C:C,1,Settings!$B$16)</f>
        <v>fenetre</v>
      </c>
      <c r="M697" s="5" t="str" cm="1">
        <f t="array" ref="M697">choice(Referentiel!E:E,1,Settings!$B$16)</f>
        <v/>
      </c>
      <c r="N697" s="5" t="str" cm="1">
        <f t="array" ref="N697">choice(Settings!K:K,1,Settings!$B$16)</f>
        <v>jeudi pm</v>
      </c>
      <c r="P697" s="5">
        <f t="shared" si="44"/>
        <v>3</v>
      </c>
    </row>
    <row r="698" spans="1:16" ht="15.75" customHeight="1" x14ac:dyDescent="0.25">
      <c r="A698" s="6" t="s">
        <v>1050</v>
      </c>
      <c r="B698" s="6" cm="1">
        <f t="array" ref="B698">alea_int(Settings!$B$10,1,Settings!$B$16)</f>
        <v>2</v>
      </c>
      <c r="C698" s="8">
        <v>46023</v>
      </c>
      <c r="D698" s="8">
        <f t="shared" si="41"/>
        <v>46387</v>
      </c>
      <c r="E698" s="6" t="str" cm="1">
        <f t="array" ref="E698">choice(Groupes!A:A,1,Settings!$B$16)</f>
        <v>G9</v>
      </c>
      <c r="F698" s="6" t="str">
        <f t="shared" si="42"/>
        <v>G9</v>
      </c>
      <c r="G698" s="6" t="str">
        <f t="shared" si="43"/>
        <v>Prof53</v>
      </c>
      <c r="H698" s="6" t="str" cm="1">
        <f t="array" ref="H698">choice(Referentiel!A:A,1,Settings!$B$16)</f>
        <v>Design Textile et Matière</v>
      </c>
      <c r="I698" s="6" t="str" cm="1">
        <f t="array" ref="I698">choice(Referentiel!B:B,1,Settings!$B$16)</f>
        <v>4ème année Design Textile et Matière S2</v>
      </c>
      <c r="J698" s="6" t="str" cm="1">
        <f t="array" ref="J698">choice(Referentiel!D:D,1,Settings!$B$16)</f>
        <v>L2</v>
      </c>
      <c r="K698" s="6" t="str" cm="1">
        <f t="array" ref="K698">choice(Professeurs!B:B,1,Settings!$B$16)</f>
        <v>Prof53</v>
      </c>
      <c r="L698" s="5" t="str" cm="1">
        <f t="array" ref="L698">choice(Referentiel!C:C,1,Settings!$B$16)</f>
        <v/>
      </c>
      <c r="M698" s="5" t="str" cm="1">
        <f t="array" ref="M698">choice(Referentiel!E:E,1,Settings!$B$16)</f>
        <v/>
      </c>
      <c r="N698" s="5" t="str" cm="1">
        <f t="array" ref="N698">choice(Settings!K:K,1,Settings!$B$16)</f>
        <v>lundi am</v>
      </c>
      <c r="P698" s="5">
        <f t="shared" si="44"/>
        <v>4</v>
      </c>
    </row>
    <row r="699" spans="1:16" ht="15.75" customHeight="1" x14ac:dyDescent="0.25">
      <c r="A699" s="6" t="s">
        <v>1051</v>
      </c>
      <c r="B699" s="6" cm="1">
        <f t="array" ref="B699">alea_int(Settings!$B$10,1,Settings!$B$16)</f>
        <v>2</v>
      </c>
      <c r="C699" s="8">
        <v>46023</v>
      </c>
      <c r="D699" s="8">
        <f t="shared" si="41"/>
        <v>46387</v>
      </c>
      <c r="E699" s="6" t="str" cm="1">
        <f t="array" ref="E699">choice(Groupes!A:A,1,Settings!$B$16)</f>
        <v>G30</v>
      </c>
      <c r="F699" s="6" t="str">
        <f t="shared" si="42"/>
        <v>G30</v>
      </c>
      <c r="G699" s="6" t="str">
        <f t="shared" si="43"/>
        <v>Prof28</v>
      </c>
      <c r="H699" s="6" t="str" cm="1">
        <f t="array" ref="H699">choice(Referentiel!A:A,1,Settings!$B$16)</f>
        <v>Gr REFLECTIVE INTERACTION</v>
      </c>
      <c r="I699" s="6" t="str" cm="1">
        <f t="array" ref="I699">choice(Referentiel!B:B,1,Settings!$B$16)</f>
        <v>4ème année Architecture Intérieure S2</v>
      </c>
      <c r="J699" s="6" t="str" cm="1">
        <f t="array" ref="J699">choice(Referentiel!D:D,1,Settings!$B$16)</f>
        <v>L2</v>
      </c>
      <c r="K699" s="6" t="str" cm="1">
        <f t="array" ref="K699">choice(Professeurs!B:B,1,Settings!$B$16)</f>
        <v>Prof28</v>
      </c>
      <c r="L699" s="5" t="str" cm="1">
        <f t="array" ref="L699">choice(Referentiel!C:C,1,Settings!$B$16)</f>
        <v/>
      </c>
      <c r="M699" s="5" t="str" cm="1">
        <f t="array" ref="M699">choice(Referentiel!E:E,1,Settings!$B$16)</f>
        <v/>
      </c>
      <c r="N699" s="5" t="str" cm="1">
        <f t="array" ref="N699">choice(Settings!K:K,1,Settings!$B$16)</f>
        <v/>
      </c>
      <c r="P699" s="5">
        <f t="shared" si="44"/>
        <v>2</v>
      </c>
    </row>
    <row r="700" spans="1:16" ht="15.75" customHeight="1" x14ac:dyDescent="0.25">
      <c r="A700" s="6" t="s">
        <v>1052</v>
      </c>
      <c r="B700" s="6" cm="1">
        <f t="array" ref="B700">alea_int(Settings!$B$10,1,Settings!$B$16)</f>
        <v>1</v>
      </c>
      <c r="C700" s="8">
        <v>46023</v>
      </c>
      <c r="D700" s="8">
        <f t="shared" si="41"/>
        <v>46387</v>
      </c>
      <c r="E700" s="6" t="str" cm="1">
        <f t="array" ref="E700">choice(Groupes!A:A,1,Settings!$B$16)</f>
        <v>G10</v>
      </c>
      <c r="F700" s="6" t="str">
        <f t="shared" si="42"/>
        <v>G10</v>
      </c>
      <c r="G700" s="6" t="str">
        <f t="shared" si="43"/>
        <v>Prof50</v>
      </c>
      <c r="H700" s="6" t="str" cm="1">
        <f t="array" ref="H700">choice(Referentiel!A:A,1,Settings!$B$16)</f>
        <v>Cinéma d'Animation</v>
      </c>
      <c r="I700" s="6" t="str" cm="1">
        <f t="array" ref="I700">choice(Referentiel!B:B,1,Settings!$B$16)</f>
        <v>5ème année Design Objet S1</v>
      </c>
      <c r="J700" s="6" t="str" cm="1">
        <f t="array" ref="J700">choice(Referentiel!D:D,1,Settings!$B$16)</f>
        <v>M1</v>
      </c>
      <c r="K700" s="6" t="str" cm="1">
        <f t="array" ref="K700">choice(Professeurs!B:B,1,Settings!$B$16)</f>
        <v>Prof50</v>
      </c>
      <c r="L700" s="5" t="str" cm="1">
        <f t="array" ref="L700">choice(Referentiel!C:C,1,Settings!$B$16)</f>
        <v/>
      </c>
      <c r="M700" s="5" t="str" cm="1">
        <f t="array" ref="M700">choice(Referentiel!E:E,1,Settings!$B$16)</f>
        <v/>
      </c>
      <c r="N700" s="5" t="str" cm="1">
        <f t="array" ref="N700">choice(Settings!K:K,1,Settings!$B$16)</f>
        <v/>
      </c>
      <c r="P700" s="5">
        <f t="shared" si="44"/>
        <v>1</v>
      </c>
    </row>
    <row r="701" spans="1:16" ht="15.75" customHeight="1" x14ac:dyDescent="0.25">
      <c r="A701" s="6" t="s">
        <v>1053</v>
      </c>
      <c r="B701" s="6" cm="1">
        <f t="array" ref="B701">alea_int(Settings!$B$10,1,Settings!$B$16)</f>
        <v>1</v>
      </c>
      <c r="C701" s="8">
        <v>46023</v>
      </c>
      <c r="D701" s="8">
        <f t="shared" si="41"/>
        <v>46387</v>
      </c>
      <c r="E701" s="6" t="str" cm="1">
        <f t="array" ref="E701">choice(Groupes!A:A,1,Settings!$B$16)</f>
        <v>G20</v>
      </c>
      <c r="F701" s="6" t="str">
        <f t="shared" si="42"/>
        <v>G20</v>
      </c>
      <c r="G701" s="6" t="str">
        <f t="shared" si="43"/>
        <v>Prof4</v>
      </c>
      <c r="H701" s="6" t="str" cm="1">
        <f t="array" ref="H701">choice(Referentiel!A:A,1,Settings!$B$16)</f>
        <v>1ère année Groupe 1</v>
      </c>
      <c r="I701" s="6" t="str" cm="1">
        <f t="array" ref="I701">choice(Referentiel!B:B,1,Settings!$B$16)</f>
        <v>2ème année Cinéma d'Animation S1</v>
      </c>
      <c r="J701" s="6" t="str" cm="1">
        <f t="array" ref="J701">choice(Referentiel!D:D,1,Settings!$B$16)</f>
        <v>L3</v>
      </c>
      <c r="K701" s="6" t="str" cm="1">
        <f t="array" ref="K701">choice(Professeurs!B:B,1,Settings!$B$16)</f>
        <v>Prof4</v>
      </c>
      <c r="L701" s="5" t="str" cm="1">
        <f t="array" ref="L701">choice(Referentiel!C:C,1,Settings!$B$16)</f>
        <v/>
      </c>
      <c r="M701" s="5" t="str" cm="1">
        <f t="array" ref="M701">choice(Referentiel!E:E,1,Settings!$B$16)</f>
        <v/>
      </c>
      <c r="N701" s="5" t="str" cm="1">
        <f t="array" ref="N701">choice(Settings!K:K,1,Settings!$B$16)</f>
        <v/>
      </c>
      <c r="P701" s="5">
        <f t="shared" si="44"/>
        <v>1</v>
      </c>
    </row>
    <row r="702" spans="1:16" ht="15.75" customHeight="1" x14ac:dyDescent="0.25">
      <c r="A702" s="6" t="s">
        <v>1054</v>
      </c>
      <c r="B702" s="6" cm="1">
        <f t="array" ref="B702">alea_int(Settings!$B$10,1,Settings!$B$16)</f>
        <v>2</v>
      </c>
      <c r="C702" s="8">
        <v>46023</v>
      </c>
      <c r="D702" s="8">
        <f t="shared" si="41"/>
        <v>46387</v>
      </c>
      <c r="E702" s="6" t="str" cm="1">
        <f t="array" ref="E702">choice(Groupes!A:A,1,Settings!$B$16)</f>
        <v>G3</v>
      </c>
      <c r="F702" s="6" t="str">
        <f t="shared" si="42"/>
        <v>G3</v>
      </c>
      <c r="G702" s="6" t="str">
        <f t="shared" si="43"/>
        <v>Prof4</v>
      </c>
      <c r="H702" s="6" t="str" cm="1">
        <f t="array" ref="H702">choice(Referentiel!A:A,1,Settings!$B$16)</f>
        <v>Photo / Vidéo</v>
      </c>
      <c r="I702" s="6" t="str" cm="1">
        <f t="array" ref="I702">choice(Referentiel!B:B,1,Settings!$B$16)</f>
        <v>5ème année Design Textile et Matière S2</v>
      </c>
      <c r="J702" s="6" t="str" cm="1">
        <f t="array" ref="J702">choice(Referentiel!D:D,1,Settings!$B$16)</f>
        <v>M2</v>
      </c>
      <c r="K702" s="6" t="str" cm="1">
        <f t="array" ref="K702">choice(Professeurs!B:B,1,Settings!$B$16)</f>
        <v>Prof4</v>
      </c>
      <c r="L702" s="5" t="str" cm="1">
        <f t="array" ref="L702">choice(Referentiel!C:C,1,Settings!$B$16)</f>
        <v/>
      </c>
      <c r="M702" s="5" t="str" cm="1">
        <f t="array" ref="M702">choice(Referentiel!E:E,1,Settings!$B$16)</f>
        <v>Salle3</v>
      </c>
      <c r="N702" s="5" t="str" cm="1">
        <f t="array" ref="N702">choice(Settings!K:K,1,Settings!$B$16)</f>
        <v/>
      </c>
      <c r="P702" s="5">
        <f t="shared" si="44"/>
        <v>4</v>
      </c>
    </row>
    <row r="703" spans="1:16" ht="15.75" customHeight="1" x14ac:dyDescent="0.25">
      <c r="A703" s="6" t="s">
        <v>1055</v>
      </c>
      <c r="B703" s="6" cm="1">
        <f t="array" ref="B703">alea_int(Settings!$B$10,1,Settings!$B$16)</f>
        <v>1</v>
      </c>
      <c r="C703" s="8">
        <v>46023</v>
      </c>
      <c r="D703" s="8">
        <f t="shared" si="41"/>
        <v>46387</v>
      </c>
      <c r="E703" s="6" t="str" cm="1">
        <f t="array" ref="E703">choice(Groupes!A:A,1,Settings!$B$16)</f>
        <v>G18</v>
      </c>
      <c r="F703" s="6" t="str">
        <f t="shared" si="42"/>
        <v>G18</v>
      </c>
      <c r="G703" s="6" t="str">
        <f t="shared" si="43"/>
        <v>Prof5</v>
      </c>
      <c r="H703" s="6" t="str" cm="1">
        <f t="array" ref="H703">choice(Referentiel!A:A,1,Settings!$B$16)</f>
        <v>1ère année Groupe 1</v>
      </c>
      <c r="I703" s="6" t="str" cm="1">
        <f t="array" ref="I703">choice(Referentiel!B:B,1,Settings!$B$16)</f>
        <v>2ème année Cinéma d'Animation S2</v>
      </c>
      <c r="J703" s="6" t="str" cm="1">
        <f t="array" ref="J703">choice(Referentiel!D:D,1,Settings!$B$16)</f>
        <v>M1</v>
      </c>
      <c r="K703" s="6" t="str" cm="1">
        <f t="array" ref="K703">choice(Professeurs!B:B,1,Settings!$B$16)</f>
        <v>Prof5</v>
      </c>
      <c r="L703" s="5" t="str" cm="1">
        <f t="array" ref="L703">choice(Referentiel!C:C,1,Settings!$B$16)</f>
        <v/>
      </c>
      <c r="M703" s="5" t="str" cm="1">
        <f t="array" ref="M703">choice(Referentiel!E:E,1,Settings!$B$16)</f>
        <v/>
      </c>
      <c r="N703" s="5" t="str" cm="1">
        <f t="array" ref="N703">choice(Settings!K:K,1,Settings!$B$16)</f>
        <v/>
      </c>
      <c r="P703" s="5">
        <f t="shared" si="44"/>
        <v>1</v>
      </c>
    </row>
    <row r="704" spans="1:16" ht="15.75" customHeight="1" x14ac:dyDescent="0.25">
      <c r="A704" s="6" t="s">
        <v>1056</v>
      </c>
      <c r="B704" s="6" cm="1">
        <f t="array" ref="B704">alea_int(Settings!$B$10,1,Settings!$B$16)</f>
        <v>2</v>
      </c>
      <c r="C704" s="8">
        <v>46023</v>
      </c>
      <c r="D704" s="8">
        <f t="shared" si="41"/>
        <v>46387</v>
      </c>
      <c r="E704" s="6" t="str" cm="1">
        <f t="array" ref="E704">choice(Groupes!A:A,1,Settings!$B$16)</f>
        <v>G16</v>
      </c>
      <c r="F704" s="6" t="str">
        <f t="shared" si="42"/>
        <v>G16</v>
      </c>
      <c r="G704" s="6" t="str">
        <f t="shared" si="43"/>
        <v>Prof44</v>
      </c>
      <c r="H704" s="6" t="str" cm="1">
        <f t="array" ref="H704">choice(Referentiel!A:A,1,Settings!$B$16)</f>
        <v>Design des mondes insulaires</v>
      </c>
      <c r="I704" s="6" t="str" cm="1">
        <f t="array" ref="I704">choice(Referentiel!B:B,1,Settings!$B$16)</f>
        <v>4ème année Image Imprimée S2</v>
      </c>
      <c r="J704" s="6" t="str" cm="1">
        <f t="array" ref="J704">choice(Referentiel!D:D,1,Settings!$B$16)</f>
        <v>L2</v>
      </c>
      <c r="K704" s="6" t="str" cm="1">
        <f t="array" ref="K704">choice(Professeurs!B:B,1,Settings!$B$16)</f>
        <v>Prof44</v>
      </c>
      <c r="L704" s="5" t="str" cm="1">
        <f t="array" ref="L704">choice(Referentiel!C:C,1,Settings!$B$16)</f>
        <v/>
      </c>
      <c r="M704" s="5" t="str" cm="1">
        <f t="array" ref="M704">choice(Referentiel!E:E,1,Settings!$B$16)</f>
        <v/>
      </c>
      <c r="N704" s="5" t="str" cm="1">
        <f t="array" ref="N704">choice(Settings!K:K,1,Settings!$B$16)</f>
        <v>jeudi pm</v>
      </c>
      <c r="P704" s="5">
        <f t="shared" si="44"/>
        <v>4</v>
      </c>
    </row>
    <row r="705" spans="1:16" ht="15.75" customHeight="1" x14ac:dyDescent="0.25">
      <c r="A705" s="6" t="s">
        <v>1057</v>
      </c>
      <c r="B705" s="6" cm="1">
        <f t="array" ref="B705">alea_int(Settings!$B$10,1,Settings!$B$16)</f>
        <v>3</v>
      </c>
      <c r="C705" s="8">
        <v>46023</v>
      </c>
      <c r="D705" s="8">
        <f t="shared" si="41"/>
        <v>46387</v>
      </c>
      <c r="E705" s="6" t="str" cm="1">
        <f t="array" ref="E705">choice(Groupes!A:A,1,Settings!$B$16)</f>
        <v>G17</v>
      </c>
      <c r="F705" s="6" t="str">
        <f t="shared" si="42"/>
        <v>G17</v>
      </c>
      <c r="G705" s="6" t="str">
        <f t="shared" si="43"/>
        <v>Prof12</v>
      </c>
      <c r="H705" s="6" t="str" cm="1">
        <f t="array" ref="H705">choice(Referentiel!A:A,1,Settings!$B$16)</f>
        <v>Design des mondes montagneux</v>
      </c>
      <c r="I705" s="6" t="str" cm="1">
        <f t="array" ref="I705">choice(Referentiel!B:B,1,Settings!$B$16)</f>
        <v>3ème année Scénographie S2</v>
      </c>
      <c r="J705" s="6" t="str" cm="1">
        <f t="array" ref="J705">choice(Referentiel!D:D,1,Settings!$B$16)</f>
        <v>L3</v>
      </c>
      <c r="K705" s="6" t="str" cm="1">
        <f t="array" ref="K705">choice(Professeurs!B:B,1,Settings!$B$16)</f>
        <v>Prof12</v>
      </c>
      <c r="L705" s="5" t="str" cm="1">
        <f t="array" ref="L705">choice(Referentiel!C:C,1,Settings!$B$16)</f>
        <v/>
      </c>
      <c r="M705" s="5" t="str" cm="1">
        <f t="array" ref="M705">choice(Referentiel!E:E,1,Settings!$B$16)</f>
        <v/>
      </c>
      <c r="N705" s="5" t="str" cm="1">
        <f t="array" ref="N705">choice(Settings!K:K,1,Settings!$B$16)</f>
        <v>jeudi pm</v>
      </c>
      <c r="P705" s="5">
        <f t="shared" si="44"/>
        <v>5</v>
      </c>
    </row>
    <row r="706" spans="1:16" ht="15.75" customHeight="1" x14ac:dyDescent="0.25">
      <c r="A706" s="6" t="s">
        <v>1058</v>
      </c>
      <c r="B706" s="6" cm="1">
        <f t="array" ref="B706">alea_int(Settings!$B$10,1,Settings!$B$16)</f>
        <v>3</v>
      </c>
      <c r="C706" s="8">
        <v>46023</v>
      </c>
      <c r="D706" s="8">
        <f t="shared" si="41"/>
        <v>46387</v>
      </c>
      <c r="E706" s="6" t="str" cm="1">
        <f t="array" ref="E706">choice(Groupes!A:A,1,Settings!$B$16)</f>
        <v>G3</v>
      </c>
      <c r="F706" s="6" t="str">
        <f t="shared" si="42"/>
        <v>G3</v>
      </c>
      <c r="G706" s="6" t="str">
        <f t="shared" si="43"/>
        <v>Prof37</v>
      </c>
      <c r="H706" s="6" t="str" cm="1">
        <f t="array" ref="H706">choice(Referentiel!A:A,1,Settings!$B$16)</f>
        <v>Gr REFLECTIVE INTERACTION</v>
      </c>
      <c r="I706" s="6" t="str" cm="1">
        <f t="array" ref="I706">choice(Referentiel!B:B,1,Settings!$B$16)</f>
        <v>4ème année Cinéma d'Animation S2</v>
      </c>
      <c r="J706" s="6" t="str" cm="1">
        <f t="array" ref="J706">choice(Referentiel!D:D,1,Settings!$B$16)</f>
        <v>L1</v>
      </c>
      <c r="K706" s="6" t="str" cm="1">
        <f t="array" ref="K706">choice(Professeurs!B:B,1,Settings!$B$16)</f>
        <v>Prof37</v>
      </c>
      <c r="L706" s="5" t="str" cm="1">
        <f t="array" ref="L706">choice(Referentiel!C:C,1,Settings!$B$16)</f>
        <v/>
      </c>
      <c r="M706" s="5" t="str" cm="1">
        <f t="array" ref="M706">choice(Referentiel!E:E,1,Settings!$B$16)</f>
        <v/>
      </c>
      <c r="N706" s="5" t="str" cm="1">
        <f t="array" ref="N706">choice(Settings!K:K,1,Settings!$B$16)</f>
        <v/>
      </c>
      <c r="P706" s="5">
        <f t="shared" si="44"/>
        <v>3</v>
      </c>
    </row>
    <row r="707" spans="1:16" ht="15.75" customHeight="1" x14ac:dyDescent="0.25">
      <c r="A707" s="6" t="s">
        <v>1059</v>
      </c>
      <c r="B707" s="6" cm="1">
        <f t="array" ref="B707">alea_int(Settings!$B$10,1,Settings!$B$16)</f>
        <v>1</v>
      </c>
      <c r="C707" s="8">
        <v>46023</v>
      </c>
      <c r="D707" s="8">
        <f t="shared" ref="D707:D770" si="45">C707+364</f>
        <v>46387</v>
      </c>
      <c r="E707" s="6" t="str" cm="1">
        <f t="array" ref="E707">choice(Groupes!A:A,1,Settings!$B$16)</f>
        <v>G7</v>
      </c>
      <c r="F707" s="6" t="str">
        <f t="shared" ref="F707:F770" si="46">E707</f>
        <v>G7</v>
      </c>
      <c r="G707" s="6" t="str">
        <f t="shared" ref="G707:G770" si="47">K707</f>
        <v>Prof45</v>
      </c>
      <c r="H707" s="6" t="str" cm="1">
        <f t="array" ref="H707">choice(Referentiel!A:A,1,Settings!$B$16)</f>
        <v>Design Vêtement</v>
      </c>
      <c r="I707" s="6" t="str" cm="1">
        <f t="array" ref="I707">choice(Referentiel!B:B,1,Settings!$B$16)</f>
        <v>3ème année Design Graphique S2</v>
      </c>
      <c r="J707" s="6" t="str" cm="1">
        <f t="array" ref="J707">choice(Referentiel!D:D,1,Settings!$B$16)</f>
        <v>L1</v>
      </c>
      <c r="K707" s="6" t="str" cm="1">
        <f t="array" ref="K707">choice(Professeurs!B:B,1,Settings!$B$16)</f>
        <v>Prof45</v>
      </c>
      <c r="L707" s="5" t="str" cm="1">
        <f t="array" ref="L707">choice(Referentiel!C:C,1,Settings!$B$16)</f>
        <v/>
      </c>
      <c r="M707" s="5" t="str" cm="1">
        <f t="array" ref="M707">choice(Referentiel!E:E,1,Settings!$B$16)</f>
        <v/>
      </c>
      <c r="N707" s="5" t="str" cm="1">
        <f t="array" ref="N707">choice(Settings!K:K,1,Settings!$B$16)</f>
        <v/>
      </c>
      <c r="P707" s="5">
        <f t="shared" ref="P707:P770" si="48">B707+IF(M707&lt;&gt;"",2,0)+IF(N707&lt;&gt;"",2,0)</f>
        <v>1</v>
      </c>
    </row>
    <row r="708" spans="1:16" ht="15.75" customHeight="1" x14ac:dyDescent="0.25">
      <c r="A708" s="6" t="s">
        <v>1060</v>
      </c>
      <c r="B708" s="6" cm="1">
        <f t="array" ref="B708">alea_int(Settings!$B$10,1,Settings!$B$16)</f>
        <v>2</v>
      </c>
      <c r="C708" s="8">
        <v>46023</v>
      </c>
      <c r="D708" s="8">
        <f t="shared" si="45"/>
        <v>46387</v>
      </c>
      <c r="E708" s="6" t="str" cm="1">
        <f t="array" ref="E708">choice(Groupes!A:A,1,Settings!$B$16)</f>
        <v>G19</v>
      </c>
      <c r="F708" s="6" t="str">
        <f t="shared" si="46"/>
        <v>G19</v>
      </c>
      <c r="G708" s="6" t="str">
        <f t="shared" si="47"/>
        <v>Prof44</v>
      </c>
      <c r="H708" s="6" t="str" cm="1">
        <f t="array" ref="H708">choice(Referentiel!A:A,1,Settings!$B$16)</f>
        <v>Scénographie</v>
      </c>
      <c r="I708" s="6" t="str" cm="1">
        <f t="array" ref="I708">choice(Referentiel!B:B,1,Settings!$B$16)</f>
        <v>4ème année Art-Espace S2</v>
      </c>
      <c r="J708" s="6" t="str" cm="1">
        <f t="array" ref="J708">choice(Referentiel!D:D,1,Settings!$B$16)</f>
        <v>L2</v>
      </c>
      <c r="K708" s="6" t="str" cm="1">
        <f t="array" ref="K708">choice(Professeurs!B:B,1,Settings!$B$16)</f>
        <v>Prof44</v>
      </c>
      <c r="L708" s="5" t="str" cm="1">
        <f t="array" ref="L708">choice(Referentiel!C:C,1,Settings!$B$16)</f>
        <v/>
      </c>
      <c r="M708" s="5" t="str" cm="1">
        <f t="array" ref="M708">choice(Referentiel!E:E,1,Settings!$B$16)</f>
        <v/>
      </c>
      <c r="N708" s="5" t="str" cm="1">
        <f t="array" ref="N708">choice(Settings!K:K,1,Settings!$B$16)</f>
        <v/>
      </c>
      <c r="P708" s="5">
        <f t="shared" si="48"/>
        <v>2</v>
      </c>
    </row>
    <row r="709" spans="1:16" ht="15.75" customHeight="1" x14ac:dyDescent="0.25">
      <c r="A709" s="6" t="s">
        <v>1061</v>
      </c>
      <c r="B709" s="6" cm="1">
        <f t="array" ref="B709">alea_int(Settings!$B$10,1,Settings!$B$16)</f>
        <v>2</v>
      </c>
      <c r="C709" s="8">
        <v>46023</v>
      </c>
      <c r="D709" s="8">
        <f t="shared" si="45"/>
        <v>46387</v>
      </c>
      <c r="E709" s="6" t="str" cm="1">
        <f t="array" ref="E709">choice(Groupes!A:A,1,Settings!$B$16)</f>
        <v>G9</v>
      </c>
      <c r="F709" s="6" t="str">
        <f t="shared" si="46"/>
        <v>G9</v>
      </c>
      <c r="G709" s="6" t="str">
        <f t="shared" si="47"/>
        <v>Prof19</v>
      </c>
      <c r="H709" s="6" t="str" cm="1">
        <f t="array" ref="H709">choice(Referentiel!A:A,1,Settings!$B$16)</f>
        <v>6ème ANNÉE STAGE</v>
      </c>
      <c r="I709" s="6" t="str" cm="1">
        <f t="array" ref="I709">choice(Referentiel!B:B,1,Settings!$B$16)</f>
        <v>4ème année Architecture Intérieure S1</v>
      </c>
      <c r="J709" s="6" t="str" cm="1">
        <f t="array" ref="J709">choice(Referentiel!D:D,1,Settings!$B$16)</f>
        <v>L2</v>
      </c>
      <c r="K709" s="6" t="str" cm="1">
        <f t="array" ref="K709">choice(Professeurs!B:B,1,Settings!$B$16)</f>
        <v>Prof19</v>
      </c>
      <c r="L709" s="5" t="str" cm="1">
        <f t="array" ref="L709">choice(Referentiel!C:C,1,Settings!$B$16)</f>
        <v/>
      </c>
      <c r="M709" s="5" t="str" cm="1">
        <f t="array" ref="M709">choice(Referentiel!E:E,1,Settings!$B$16)</f>
        <v>Salle10</v>
      </c>
      <c r="N709" s="5" t="str" cm="1">
        <f t="array" ref="N709">choice(Settings!K:K,1,Settings!$B$16)</f>
        <v/>
      </c>
      <c r="P709" s="5">
        <f t="shared" si="48"/>
        <v>4</v>
      </c>
    </row>
    <row r="710" spans="1:16" ht="15.75" customHeight="1" x14ac:dyDescent="0.25">
      <c r="A710" s="6" t="s">
        <v>1062</v>
      </c>
      <c r="B710" s="6" cm="1">
        <f t="array" ref="B710">alea_int(Settings!$B$10,1,Settings!$B$16)</f>
        <v>1</v>
      </c>
      <c r="C710" s="8">
        <v>46023</v>
      </c>
      <c r="D710" s="8">
        <f t="shared" si="45"/>
        <v>46387</v>
      </c>
      <c r="E710" s="6" t="str" cm="1">
        <f t="array" ref="E710">choice(Groupes!A:A,1,Settings!$B$16)</f>
        <v>G1</v>
      </c>
      <c r="F710" s="6" t="str">
        <f t="shared" si="46"/>
        <v>G1</v>
      </c>
      <c r="G710" s="6" t="str">
        <f t="shared" si="47"/>
        <v>Prof5</v>
      </c>
      <c r="H710" s="6" t="str" cm="1">
        <f t="array" ref="H710">choice(Referentiel!A:A,1,Settings!$B$16)</f>
        <v>Gr SPATIAL MEDIA</v>
      </c>
      <c r="I710" s="6" t="str" cm="1">
        <f t="array" ref="I710">choice(Referentiel!B:B,1,Settings!$B$16)</f>
        <v>4ème année Architecture Intérieure S2</v>
      </c>
      <c r="J710" s="6" t="str" cm="1">
        <f t="array" ref="J710">choice(Referentiel!D:D,1,Settings!$B$16)</f>
        <v>M2</v>
      </c>
      <c r="K710" s="6" t="str" cm="1">
        <f t="array" ref="K710">choice(Professeurs!B:B,1,Settings!$B$16)</f>
        <v>Prof5</v>
      </c>
      <c r="L710" s="5" t="str" cm="1">
        <f t="array" ref="L710">choice(Referentiel!C:C,1,Settings!$B$16)</f>
        <v/>
      </c>
      <c r="M710" s="5" t="str" cm="1">
        <f t="array" ref="M710">choice(Referentiel!E:E,1,Settings!$B$16)</f>
        <v/>
      </c>
      <c r="N710" s="5" t="str" cm="1">
        <f t="array" ref="N710">choice(Settings!K:K,1,Settings!$B$16)</f>
        <v>mardi am</v>
      </c>
      <c r="P710" s="5">
        <f t="shared" si="48"/>
        <v>3</v>
      </c>
    </row>
    <row r="711" spans="1:16" ht="15.75" customHeight="1" x14ac:dyDescent="0.25">
      <c r="A711" s="6" t="s">
        <v>1063</v>
      </c>
      <c r="B711" s="6" cm="1">
        <f t="array" ref="B711">alea_int(Settings!$B$10,1,Settings!$B$16)</f>
        <v>3</v>
      </c>
      <c r="C711" s="8">
        <v>46023</v>
      </c>
      <c r="D711" s="8">
        <f t="shared" si="45"/>
        <v>46387</v>
      </c>
      <c r="E711" s="6" t="str" cm="1">
        <f t="array" ref="E711">choice(Groupes!A:A,1,Settings!$B$16)</f>
        <v>G9</v>
      </c>
      <c r="F711" s="6" t="str">
        <f t="shared" si="46"/>
        <v>G9</v>
      </c>
      <c r="G711" s="6" t="str">
        <f t="shared" si="47"/>
        <v>Prof21</v>
      </c>
      <c r="H711" s="6" t="str" cm="1">
        <f t="array" ref="H711">choice(Referentiel!A:A,1,Settings!$B$16)</f>
        <v>Design des mondes urbains</v>
      </c>
      <c r="I711" s="6" t="str" cm="1">
        <f t="array" ref="I711">choice(Referentiel!B:B,1,Settings!$B$16)</f>
        <v>2ème année Photo / Vidéo S2</v>
      </c>
      <c r="J711" s="6" t="str" cm="1">
        <f t="array" ref="J711">choice(Referentiel!D:D,1,Settings!$B$16)</f>
        <v>L2</v>
      </c>
      <c r="K711" s="6" t="str" cm="1">
        <f t="array" ref="K711">choice(Professeurs!B:B,1,Settings!$B$16)</f>
        <v>Prof21</v>
      </c>
      <c r="L711" s="5" t="str" cm="1">
        <f t="array" ref="L711">choice(Referentiel!C:C,1,Settings!$B$16)</f>
        <v/>
      </c>
      <c r="M711" s="5" t="str" cm="1">
        <f t="array" ref="M711">choice(Referentiel!E:E,1,Settings!$B$16)</f>
        <v/>
      </c>
      <c r="N711" s="5" t="str" cm="1">
        <f t="array" ref="N711">choice(Settings!K:K,1,Settings!$B$16)</f>
        <v/>
      </c>
      <c r="P711" s="5">
        <f t="shared" si="48"/>
        <v>3</v>
      </c>
    </row>
    <row r="712" spans="1:16" ht="15.75" customHeight="1" x14ac:dyDescent="0.25">
      <c r="A712" s="6" t="s">
        <v>1064</v>
      </c>
      <c r="B712" s="6" cm="1">
        <f t="array" ref="B712">alea_int(Settings!$B$10,1,Settings!$B$16)</f>
        <v>2</v>
      </c>
      <c r="C712" s="8">
        <v>46023</v>
      </c>
      <c r="D712" s="8">
        <f t="shared" si="45"/>
        <v>46387</v>
      </c>
      <c r="E712" s="6" t="str" cm="1">
        <f t="array" ref="E712">choice(Groupes!A:A,1,Settings!$B$16)</f>
        <v>G17</v>
      </c>
      <c r="F712" s="6" t="str">
        <f t="shared" si="46"/>
        <v>G17</v>
      </c>
      <c r="G712" s="6" t="str">
        <f t="shared" si="47"/>
        <v>Prof7</v>
      </c>
      <c r="H712" s="6" t="str" cm="1">
        <f t="array" ref="H712">choice(Referentiel!A:A,1,Settings!$B$16)</f>
        <v>Gr REFLECTIVE INTERACTION</v>
      </c>
      <c r="I712" s="6" t="str" cm="1">
        <f t="array" ref="I712">choice(Referentiel!B:B,1,Settings!$B$16)</f>
        <v>5ème année Art-Espace S1</v>
      </c>
      <c r="J712" s="6" t="str" cm="1">
        <f t="array" ref="J712">choice(Referentiel!D:D,1,Settings!$B$16)</f>
        <v>L1</v>
      </c>
      <c r="K712" s="6" t="str" cm="1">
        <f t="array" ref="K712">choice(Professeurs!B:B,1,Settings!$B$16)</f>
        <v>Prof7</v>
      </c>
      <c r="L712" s="5" t="str" cm="1">
        <f t="array" ref="L712">choice(Referentiel!C:C,1,Settings!$B$16)</f>
        <v/>
      </c>
      <c r="M712" s="5" t="str" cm="1">
        <f t="array" ref="M712">choice(Referentiel!E:E,1,Settings!$B$16)</f>
        <v/>
      </c>
      <c r="N712" s="5" t="str" cm="1">
        <f t="array" ref="N712">choice(Settings!K:K,1,Settings!$B$16)</f>
        <v>mardi pm</v>
      </c>
      <c r="P712" s="5">
        <f t="shared" si="48"/>
        <v>4</v>
      </c>
    </row>
    <row r="713" spans="1:16" ht="15.75" customHeight="1" x14ac:dyDescent="0.25">
      <c r="A713" s="6" t="s">
        <v>1065</v>
      </c>
      <c r="B713" s="6" cm="1">
        <f t="array" ref="B713">alea_int(Settings!$B$10,1,Settings!$B$16)</f>
        <v>1</v>
      </c>
      <c r="C713" s="8">
        <v>46023</v>
      </c>
      <c r="D713" s="8">
        <f t="shared" si="45"/>
        <v>46387</v>
      </c>
      <c r="E713" s="6" t="str" cm="1">
        <f t="array" ref="E713">choice(Groupes!A:A,1,Settings!$B$16)</f>
        <v>G22</v>
      </c>
      <c r="F713" s="6" t="str">
        <f t="shared" si="46"/>
        <v>G22</v>
      </c>
      <c r="G713" s="6" t="str">
        <f t="shared" si="47"/>
        <v>Prof6</v>
      </c>
      <c r="H713" s="6" t="str" cm="1">
        <f t="array" ref="H713">choice(Referentiel!A:A,1,Settings!$B$16)</f>
        <v>Mode et Matière</v>
      </c>
      <c r="I713" s="6" t="str" cm="1">
        <f t="array" ref="I713">choice(Referentiel!B:B,1,Settings!$B$16)</f>
        <v>3ème année Design Textile et Matière S2</v>
      </c>
      <c r="J713" s="6" t="str" cm="1">
        <f t="array" ref="J713">choice(Referentiel!D:D,1,Settings!$B$16)</f>
        <v>M2</v>
      </c>
      <c r="K713" s="6" t="str" cm="1">
        <f t="array" ref="K713">choice(Professeurs!B:B,1,Settings!$B$16)</f>
        <v>Prof6</v>
      </c>
      <c r="L713" s="5" t="str" cm="1">
        <f t="array" ref="L713">choice(Referentiel!C:C,1,Settings!$B$16)</f>
        <v/>
      </c>
      <c r="M713" s="5" t="str" cm="1">
        <f t="array" ref="M713">choice(Referentiel!E:E,1,Settings!$B$16)</f>
        <v/>
      </c>
      <c r="N713" s="5" t="str" cm="1">
        <f t="array" ref="N713">choice(Settings!K:K,1,Settings!$B$16)</f>
        <v>jeudi am</v>
      </c>
      <c r="P713" s="5">
        <f t="shared" si="48"/>
        <v>3</v>
      </c>
    </row>
    <row r="714" spans="1:16" ht="15.75" customHeight="1" x14ac:dyDescent="0.25">
      <c r="A714" s="6" t="s">
        <v>1066</v>
      </c>
      <c r="B714" s="6" cm="1">
        <f t="array" ref="B714">alea_int(Settings!$B$10,1,Settings!$B$16)</f>
        <v>1</v>
      </c>
      <c r="C714" s="8">
        <v>46023</v>
      </c>
      <c r="D714" s="8">
        <f t="shared" si="45"/>
        <v>46387</v>
      </c>
      <c r="E714" s="6" t="str" cm="1">
        <f t="array" ref="E714">choice(Groupes!A:A,1,Settings!$B$16)</f>
        <v>G6</v>
      </c>
      <c r="F714" s="6" t="str">
        <f t="shared" si="46"/>
        <v>G6</v>
      </c>
      <c r="G714" s="6" t="str">
        <f t="shared" si="47"/>
        <v>Prof30</v>
      </c>
      <c r="H714" s="6" t="str" cm="1">
        <f t="array" ref="H714">choice(Referentiel!A:A,1,Settings!$B$16)</f>
        <v>Design Textile et Matière</v>
      </c>
      <c r="I714" s="6" t="str" cm="1">
        <f t="array" ref="I714">choice(Referentiel!B:B,1,Settings!$B$16)</f>
        <v>1ère Année Groupe 2 S1</v>
      </c>
      <c r="J714" s="6" t="str" cm="1">
        <f t="array" ref="J714">choice(Referentiel!D:D,1,Settings!$B$16)</f>
        <v>L3</v>
      </c>
      <c r="K714" s="6" t="str" cm="1">
        <f t="array" ref="K714">choice(Professeurs!B:B,1,Settings!$B$16)</f>
        <v>Prof30</v>
      </c>
      <c r="L714" s="5" t="str" cm="1">
        <f t="array" ref="L714">choice(Referentiel!C:C,1,Settings!$B$16)</f>
        <v/>
      </c>
      <c r="M714" s="5" t="str" cm="1">
        <f t="array" ref="M714">choice(Referentiel!E:E,1,Settings!$B$16)</f>
        <v/>
      </c>
      <c r="N714" s="5" t="str" cm="1">
        <f t="array" ref="N714">choice(Settings!K:K,1,Settings!$B$16)</f>
        <v>lundi am</v>
      </c>
      <c r="P714" s="5">
        <f t="shared" si="48"/>
        <v>3</v>
      </c>
    </row>
    <row r="715" spans="1:16" ht="15.75" customHeight="1" x14ac:dyDescent="0.25">
      <c r="A715" s="6" t="s">
        <v>1067</v>
      </c>
      <c r="B715" s="6" cm="1">
        <f t="array" ref="B715">alea_int(Settings!$B$10,1,Settings!$B$16)</f>
        <v>2</v>
      </c>
      <c r="C715" s="8">
        <v>46023</v>
      </c>
      <c r="D715" s="8">
        <f t="shared" si="45"/>
        <v>46387</v>
      </c>
      <c r="E715" s="6" t="str" cm="1">
        <f t="array" ref="E715">choice(Groupes!A:A,1,Settings!$B$16)</f>
        <v>G10</v>
      </c>
      <c r="F715" s="6" t="str">
        <f t="shared" si="46"/>
        <v>G10</v>
      </c>
      <c r="G715" s="6" t="str">
        <f t="shared" si="47"/>
        <v>Prof5</v>
      </c>
      <c r="H715" s="6" t="str" cm="1">
        <f t="array" ref="H715">choice(Referentiel!A:A,1,Settings!$B$16)</f>
        <v>Gr ART, DESIGN, SOCIETE</v>
      </c>
      <c r="I715" s="6" t="str" cm="1">
        <f t="array" ref="I715">choice(Referentiel!B:B,1,Settings!$B$16)</f>
        <v>2ème année Photo / Vidéo S1</v>
      </c>
      <c r="J715" s="6" t="str" cm="1">
        <f t="array" ref="J715">choice(Referentiel!D:D,1,Settings!$B$16)</f>
        <v>M1</v>
      </c>
      <c r="K715" s="6" t="str" cm="1">
        <f t="array" ref="K715">choice(Professeurs!B:B,1,Settings!$B$16)</f>
        <v>Prof5</v>
      </c>
      <c r="L715" s="5" t="str" cm="1">
        <f t="array" ref="L715">choice(Referentiel!C:C,1,Settings!$B$16)</f>
        <v/>
      </c>
      <c r="M715" s="5" t="str" cm="1">
        <f t="array" ref="M715">choice(Referentiel!E:E,1,Settings!$B$16)</f>
        <v/>
      </c>
      <c r="N715" s="5" t="str" cm="1">
        <f t="array" ref="N715">choice(Settings!K:K,1,Settings!$B$16)</f>
        <v/>
      </c>
      <c r="P715" s="5">
        <f t="shared" si="48"/>
        <v>2</v>
      </c>
    </row>
    <row r="716" spans="1:16" ht="15.75" customHeight="1" x14ac:dyDescent="0.25">
      <c r="A716" s="6" t="s">
        <v>1068</v>
      </c>
      <c r="B716" s="6" cm="1">
        <f t="array" ref="B716">alea_int(Settings!$B$10,1,Settings!$B$16)</f>
        <v>2</v>
      </c>
      <c r="C716" s="8">
        <v>46023</v>
      </c>
      <c r="D716" s="8">
        <f t="shared" si="45"/>
        <v>46387</v>
      </c>
      <c r="E716" s="6" t="str" cm="1">
        <f t="array" ref="E716">choice(Groupes!A:A,1,Settings!$B$16)</f>
        <v>G11</v>
      </c>
      <c r="F716" s="6" t="str">
        <f t="shared" si="46"/>
        <v>G11</v>
      </c>
      <c r="G716" s="6" t="str">
        <f t="shared" si="47"/>
        <v>Prof45</v>
      </c>
      <c r="H716" s="6" t="str" cm="1">
        <f t="array" ref="H716">choice(Referentiel!A:A,1,Settings!$B$16)</f>
        <v>Cinéma d'Animation</v>
      </c>
      <c r="I716" s="6" t="str" cm="1">
        <f t="array" ref="I716">choice(Referentiel!B:B,1,Settings!$B$16)</f>
        <v>3ème année Design Graphique S2</v>
      </c>
      <c r="J716" s="6" t="str" cm="1">
        <f t="array" ref="J716">choice(Referentiel!D:D,1,Settings!$B$16)</f>
        <v>L1</v>
      </c>
      <c r="K716" s="6" t="str" cm="1">
        <f t="array" ref="K716">choice(Professeurs!B:B,1,Settings!$B$16)</f>
        <v>Prof45</v>
      </c>
      <c r="L716" s="5" t="str" cm="1">
        <f t="array" ref="L716">choice(Referentiel!C:C,1,Settings!$B$16)</f>
        <v/>
      </c>
      <c r="M716" s="5" t="str" cm="1">
        <f t="array" ref="M716">choice(Referentiel!E:E,1,Settings!$B$16)</f>
        <v/>
      </c>
      <c r="N716" s="5" t="str" cm="1">
        <f t="array" ref="N716">choice(Settings!K:K,1,Settings!$B$16)</f>
        <v/>
      </c>
      <c r="P716" s="5">
        <f t="shared" si="48"/>
        <v>2</v>
      </c>
    </row>
    <row r="717" spans="1:16" ht="15.75" customHeight="1" x14ac:dyDescent="0.25">
      <c r="A717" s="6" t="s">
        <v>1069</v>
      </c>
      <c r="B717" s="6" cm="1">
        <f t="array" ref="B717">alea_int(Settings!$B$10,1,Settings!$B$16)</f>
        <v>3</v>
      </c>
      <c r="C717" s="8">
        <v>46023</v>
      </c>
      <c r="D717" s="8">
        <f t="shared" si="45"/>
        <v>46387</v>
      </c>
      <c r="E717" s="6" t="str" cm="1">
        <f t="array" ref="E717">choice(Groupes!A:A,1,Settings!$B$16)</f>
        <v>G18</v>
      </c>
      <c r="F717" s="6" t="str">
        <f t="shared" si="46"/>
        <v>G18</v>
      </c>
      <c r="G717" s="6" t="str">
        <f t="shared" si="47"/>
        <v>Prof17</v>
      </c>
      <c r="H717" s="6" t="str" cm="1">
        <f t="array" ref="H717">choice(Referentiel!A:A,1,Settings!$B$16)</f>
        <v>1ère année Groupe 2</v>
      </c>
      <c r="I717" s="6" t="str" cm="1">
        <f t="array" ref="I717">choice(Referentiel!B:B,1,Settings!$B$16)</f>
        <v>3ème année Design Graphique S1</v>
      </c>
      <c r="J717" s="6" t="str" cm="1">
        <f t="array" ref="J717">choice(Referentiel!D:D,1,Settings!$B$16)</f>
        <v>L2</v>
      </c>
      <c r="K717" s="6" t="str" cm="1">
        <f t="array" ref="K717">choice(Professeurs!B:B,1,Settings!$B$16)</f>
        <v>Prof17</v>
      </c>
      <c r="L717" s="5" t="str" cm="1">
        <f t="array" ref="L717">choice(Referentiel!C:C,1,Settings!$B$16)</f>
        <v/>
      </c>
      <c r="M717" s="5" t="str" cm="1">
        <f t="array" ref="M717">choice(Referentiel!E:E,1,Settings!$B$16)</f>
        <v/>
      </c>
      <c r="N717" s="5" t="str" cm="1">
        <f t="array" ref="N717">choice(Settings!K:K,1,Settings!$B$16)</f>
        <v>lundi am</v>
      </c>
      <c r="P717" s="5">
        <f t="shared" si="48"/>
        <v>5</v>
      </c>
    </row>
    <row r="718" spans="1:16" ht="15.75" customHeight="1" x14ac:dyDescent="0.25">
      <c r="A718" s="6" t="s">
        <v>1070</v>
      </c>
      <c r="B718" s="6" cm="1">
        <f t="array" ref="B718">alea_int(Settings!$B$10,1,Settings!$B$16)</f>
        <v>2</v>
      </c>
      <c r="C718" s="8">
        <v>46023</v>
      </c>
      <c r="D718" s="8">
        <f t="shared" si="45"/>
        <v>46387</v>
      </c>
      <c r="E718" s="6" t="str" cm="1">
        <f t="array" ref="E718">choice(Groupes!A:A,1,Settings!$B$16)</f>
        <v>G26</v>
      </c>
      <c r="F718" s="6" t="str">
        <f t="shared" si="46"/>
        <v>G26</v>
      </c>
      <c r="G718" s="6" t="str">
        <f t="shared" si="47"/>
        <v>Prof8</v>
      </c>
      <c r="H718" s="6" t="str" cm="1">
        <f t="array" ref="H718">choice(Referentiel!A:A,1,Settings!$B$16)</f>
        <v>Design des mondes forestiers</v>
      </c>
      <c r="I718" s="6" t="str" cm="1">
        <f t="array" ref="I718">choice(Referentiel!B:B,1,Settings!$B$16)</f>
        <v>5ème année Architecture Intérieure S2</v>
      </c>
      <c r="J718" s="6" t="str" cm="1">
        <f t="array" ref="J718">choice(Referentiel!D:D,1,Settings!$B$16)</f>
        <v>L1</v>
      </c>
      <c r="K718" s="6" t="str" cm="1">
        <f t="array" ref="K718">choice(Professeurs!B:B,1,Settings!$B$16)</f>
        <v>Prof8</v>
      </c>
      <c r="L718" s="5" t="str" cm="1">
        <f t="array" ref="L718">choice(Referentiel!C:C,1,Settings!$B$16)</f>
        <v/>
      </c>
      <c r="M718" s="5" t="str" cm="1">
        <f t="array" ref="M718">choice(Referentiel!E:E,1,Settings!$B$16)</f>
        <v/>
      </c>
      <c r="N718" s="5" t="str" cm="1">
        <f t="array" ref="N718">choice(Settings!K:K,1,Settings!$B$16)</f>
        <v/>
      </c>
      <c r="P718" s="5">
        <f t="shared" si="48"/>
        <v>2</v>
      </c>
    </row>
    <row r="719" spans="1:16" ht="15.75" customHeight="1" x14ac:dyDescent="0.25">
      <c r="A719" s="6" t="s">
        <v>1071</v>
      </c>
      <c r="B719" s="6" cm="1">
        <f t="array" ref="B719">alea_int(Settings!$B$10,1,Settings!$B$16)</f>
        <v>3</v>
      </c>
      <c r="C719" s="8">
        <v>46023</v>
      </c>
      <c r="D719" s="8">
        <f t="shared" si="45"/>
        <v>46387</v>
      </c>
      <c r="E719" s="6" t="str" cm="1">
        <f t="array" ref="E719">choice(Groupes!A:A,1,Settings!$B$16)</f>
        <v>G30</v>
      </c>
      <c r="F719" s="6" t="str">
        <f t="shared" si="46"/>
        <v>G30</v>
      </c>
      <c r="G719" s="6" t="str">
        <f t="shared" si="47"/>
        <v>Prof35</v>
      </c>
      <c r="H719" s="6" t="str" cm="1">
        <f t="array" ref="H719">choice(Referentiel!A:A,1,Settings!$B$16)</f>
        <v>Gr ART, DESIGN, SOCIETE</v>
      </c>
      <c r="I719" s="6" t="str" cm="1">
        <f t="array" ref="I719">choice(Referentiel!B:B,1,Settings!$B$16)</f>
        <v>2ème année Design Vêtement S1</v>
      </c>
      <c r="J719" s="6" t="str" cm="1">
        <f t="array" ref="J719">choice(Referentiel!D:D,1,Settings!$B$16)</f>
        <v>L3</v>
      </c>
      <c r="K719" s="6" t="str" cm="1">
        <f t="array" ref="K719">choice(Professeurs!B:B,1,Settings!$B$16)</f>
        <v>Prof35</v>
      </c>
      <c r="L719" s="5" t="str" cm="1">
        <f t="array" ref="L719">choice(Referentiel!C:C,1,Settings!$B$16)</f>
        <v/>
      </c>
      <c r="M719" s="5" t="str" cm="1">
        <f t="array" ref="M719">choice(Referentiel!E:E,1,Settings!$B$16)</f>
        <v/>
      </c>
      <c r="N719" s="5" t="str" cm="1">
        <f t="array" ref="N719">choice(Settings!K:K,1,Settings!$B$16)</f>
        <v/>
      </c>
      <c r="P719" s="5">
        <f t="shared" si="48"/>
        <v>3</v>
      </c>
    </row>
    <row r="720" spans="1:16" ht="15.75" customHeight="1" x14ac:dyDescent="0.25">
      <c r="A720" s="6" t="s">
        <v>1072</v>
      </c>
      <c r="B720" s="6" cm="1">
        <f t="array" ref="B720">alea_int(Settings!$B$10,1,Settings!$B$16)</f>
        <v>2</v>
      </c>
      <c r="C720" s="8">
        <v>46023</v>
      </c>
      <c r="D720" s="8">
        <f t="shared" si="45"/>
        <v>46387</v>
      </c>
      <c r="E720" s="6" t="str" cm="1">
        <f t="array" ref="E720">choice(Groupes!A:A,1,Settings!$B$16)</f>
        <v>G12</v>
      </c>
      <c r="F720" s="6" t="str">
        <f t="shared" si="46"/>
        <v>G12</v>
      </c>
      <c r="G720" s="6" t="str">
        <f t="shared" si="47"/>
        <v>Prof21</v>
      </c>
      <c r="H720" s="6" t="str" cm="1">
        <f t="array" ref="H720">choice(Referentiel!A:A,1,Settings!$B$16)</f>
        <v>1ère année Groupe 1</v>
      </c>
      <c r="I720" s="6" t="str" cm="1">
        <f t="array" ref="I720">choice(Referentiel!B:B,1,Settings!$B$16)</f>
        <v>4ème année Art-Espace S1</v>
      </c>
      <c r="J720" s="6" t="str" cm="1">
        <f t="array" ref="J720">choice(Referentiel!D:D,1,Settings!$B$16)</f>
        <v>M1</v>
      </c>
      <c r="K720" s="6" t="str" cm="1">
        <f t="array" ref="K720">choice(Professeurs!B:B,1,Settings!$B$16)</f>
        <v>Prof21</v>
      </c>
      <c r="L720" s="5" t="str" cm="1">
        <f t="array" ref="L720">choice(Referentiel!C:C,1,Settings!$B$16)</f>
        <v/>
      </c>
      <c r="M720" s="5" t="str" cm="1">
        <f t="array" ref="M720">choice(Referentiel!E:E,1,Settings!$B$16)</f>
        <v/>
      </c>
      <c r="N720" s="5" t="str" cm="1">
        <f t="array" ref="N720">choice(Settings!K:K,1,Settings!$B$16)</f>
        <v/>
      </c>
      <c r="P720" s="5">
        <f t="shared" si="48"/>
        <v>2</v>
      </c>
    </row>
    <row r="721" spans="1:16" ht="15.75" customHeight="1" x14ac:dyDescent="0.25">
      <c r="A721" s="6" t="s">
        <v>1073</v>
      </c>
      <c r="B721" s="6" cm="1">
        <f t="array" ref="B721">alea_int(Settings!$B$10,1,Settings!$B$16)</f>
        <v>1</v>
      </c>
      <c r="C721" s="8">
        <v>46023</v>
      </c>
      <c r="D721" s="8">
        <f t="shared" si="45"/>
        <v>46387</v>
      </c>
      <c r="E721" s="6" t="str" cm="1">
        <f t="array" ref="E721">choice(Groupes!A:A,1,Settings!$B$16)</f>
        <v>G20</v>
      </c>
      <c r="F721" s="6" t="str">
        <f t="shared" si="46"/>
        <v>G20</v>
      </c>
      <c r="G721" s="6" t="str">
        <f t="shared" si="47"/>
        <v>Prof34</v>
      </c>
      <c r="H721" s="6" t="str" cm="1">
        <f t="array" ref="H721">choice(Referentiel!A:A,1,Settings!$B$16)</f>
        <v>Cinéma d'Animation</v>
      </c>
      <c r="I721" s="6" t="str" cm="1">
        <f t="array" ref="I721">choice(Referentiel!B:B,1,Settings!$B$16)</f>
        <v>2ème année Design Objet S1</v>
      </c>
      <c r="J721" s="6" t="str" cm="1">
        <f t="array" ref="J721">choice(Referentiel!D:D,1,Settings!$B$16)</f>
        <v>M2</v>
      </c>
      <c r="K721" s="6" t="str" cm="1">
        <f t="array" ref="K721">choice(Professeurs!B:B,1,Settings!$B$16)</f>
        <v>Prof34</v>
      </c>
      <c r="L721" s="5" t="str" cm="1">
        <f t="array" ref="L721">choice(Referentiel!C:C,1,Settings!$B$16)</f>
        <v/>
      </c>
      <c r="M721" s="5" t="str" cm="1">
        <f t="array" ref="M721">choice(Referentiel!E:E,1,Settings!$B$16)</f>
        <v/>
      </c>
      <c r="N721" s="5" t="str" cm="1">
        <f t="array" ref="N721">choice(Settings!K:K,1,Settings!$B$16)</f>
        <v/>
      </c>
      <c r="P721" s="5">
        <f t="shared" si="48"/>
        <v>1</v>
      </c>
    </row>
    <row r="722" spans="1:16" ht="15.75" customHeight="1" x14ac:dyDescent="0.25">
      <c r="A722" s="6" t="s">
        <v>1074</v>
      </c>
      <c r="B722" s="6" cm="1">
        <f t="array" ref="B722">alea_int(Settings!$B$10,1,Settings!$B$16)</f>
        <v>3</v>
      </c>
      <c r="C722" s="8">
        <v>46023</v>
      </c>
      <c r="D722" s="8">
        <f t="shared" si="45"/>
        <v>46387</v>
      </c>
      <c r="E722" s="6" t="str" cm="1">
        <f t="array" ref="E722">choice(Groupes!A:A,1,Settings!$B$16)</f>
        <v>G6</v>
      </c>
      <c r="F722" s="6" t="str">
        <f t="shared" si="46"/>
        <v>G6</v>
      </c>
      <c r="G722" s="6" t="str">
        <f t="shared" si="47"/>
        <v>Prof8</v>
      </c>
      <c r="H722" s="6" t="str" cm="1">
        <f t="array" ref="H722">choice(Referentiel!A:A,1,Settings!$B$16)</f>
        <v>Design des mondes insulaires</v>
      </c>
      <c r="I722" s="6" t="str" cm="1">
        <f t="array" ref="I722">choice(Referentiel!B:B,1,Settings!$B$16)</f>
        <v>1ère Année Groupe 2 S1</v>
      </c>
      <c r="J722" s="6" t="str" cm="1">
        <f t="array" ref="J722">choice(Referentiel!D:D,1,Settings!$B$16)</f>
        <v>M2</v>
      </c>
      <c r="K722" s="6" t="str" cm="1">
        <f t="array" ref="K722">choice(Professeurs!B:B,1,Settings!$B$16)</f>
        <v>Prof8</v>
      </c>
      <c r="L722" s="5" t="str" cm="1">
        <f t="array" ref="L722">choice(Referentiel!C:C,1,Settings!$B$16)</f>
        <v/>
      </c>
      <c r="M722" s="5" t="str" cm="1">
        <f t="array" ref="M722">choice(Referentiel!E:E,1,Settings!$B$16)</f>
        <v/>
      </c>
      <c r="N722" s="5" t="str" cm="1">
        <f t="array" ref="N722">choice(Settings!K:K,1,Settings!$B$16)</f>
        <v>vendredi am</v>
      </c>
      <c r="P722" s="5">
        <f t="shared" si="48"/>
        <v>5</v>
      </c>
    </row>
    <row r="723" spans="1:16" ht="15.75" customHeight="1" x14ac:dyDescent="0.25">
      <c r="A723" s="6" t="s">
        <v>1075</v>
      </c>
      <c r="B723" s="6" cm="1">
        <f t="array" ref="B723">alea_int(Settings!$B$10,1,Settings!$B$16)</f>
        <v>1</v>
      </c>
      <c r="C723" s="8">
        <v>46023</v>
      </c>
      <c r="D723" s="8">
        <f t="shared" si="45"/>
        <v>46387</v>
      </c>
      <c r="E723" s="6" t="str" cm="1">
        <f t="array" ref="E723">choice(Groupes!A:A,1,Settings!$B$16)</f>
        <v>G23</v>
      </c>
      <c r="F723" s="6" t="str">
        <f t="shared" si="46"/>
        <v>G23</v>
      </c>
      <c r="G723" s="6" t="str">
        <f t="shared" si="47"/>
        <v>Prof1</v>
      </c>
      <c r="H723" s="6" t="str" cm="1">
        <f t="array" ref="H723">choice(Referentiel!A:A,1,Settings!$B$16)</f>
        <v>Gr ART, DESIGN, SOCIETE</v>
      </c>
      <c r="I723" s="6" t="str" cm="1">
        <f t="array" ref="I723">choice(Referentiel!B:B,1,Settings!$B$16)</f>
        <v>3ème année Architecture Intérieure S2</v>
      </c>
      <c r="J723" s="6" t="str" cm="1">
        <f t="array" ref="J723">choice(Referentiel!D:D,1,Settings!$B$16)</f>
        <v>L1</v>
      </c>
      <c r="K723" s="6" t="str" cm="1">
        <f t="array" ref="K723">choice(Professeurs!B:B,1,Settings!$B$16)</f>
        <v>Prof1</v>
      </c>
      <c r="L723" s="5" t="str" cm="1">
        <f t="array" ref="L723">choice(Referentiel!C:C,1,Settings!$B$16)</f>
        <v/>
      </c>
      <c r="M723" s="5" t="str" cm="1">
        <f t="array" ref="M723">choice(Referentiel!E:E,1,Settings!$B$16)</f>
        <v>Salle9</v>
      </c>
      <c r="N723" s="5" t="str" cm="1">
        <f t="array" ref="N723">choice(Settings!K:K,1,Settings!$B$16)</f>
        <v>vendredi am</v>
      </c>
      <c r="P723" s="5">
        <f t="shared" si="48"/>
        <v>5</v>
      </c>
    </row>
    <row r="724" spans="1:16" ht="15.75" customHeight="1" x14ac:dyDescent="0.25">
      <c r="A724" s="6" t="s">
        <v>1076</v>
      </c>
      <c r="B724" s="6" cm="1">
        <f t="array" ref="B724">alea_int(Settings!$B$10,1,Settings!$B$16)</f>
        <v>2</v>
      </c>
      <c r="C724" s="8">
        <v>46023</v>
      </c>
      <c r="D724" s="8">
        <f t="shared" si="45"/>
        <v>46387</v>
      </c>
      <c r="E724" s="6" t="str" cm="1">
        <f t="array" ref="E724">choice(Groupes!A:A,1,Settings!$B$16)</f>
        <v>G3</v>
      </c>
      <c r="F724" s="6" t="str">
        <f t="shared" si="46"/>
        <v>G3</v>
      </c>
      <c r="G724" s="6" t="str">
        <f t="shared" si="47"/>
        <v>Prof33</v>
      </c>
      <c r="H724" s="6" t="str" cm="1">
        <f t="array" ref="H724">choice(Referentiel!A:A,1,Settings!$B$16)</f>
        <v>Art-Espace</v>
      </c>
      <c r="I724" s="6" t="str" cm="1">
        <f t="array" ref="I724">choice(Referentiel!B:B,1,Settings!$B$16)</f>
        <v>2ème année Art-Espace S1</v>
      </c>
      <c r="J724" s="6" t="str" cm="1">
        <f t="array" ref="J724">choice(Referentiel!D:D,1,Settings!$B$16)</f>
        <v>M2</v>
      </c>
      <c r="K724" s="6" t="str" cm="1">
        <f t="array" ref="K724">choice(Professeurs!B:B,1,Settings!$B$16)</f>
        <v>Prof33</v>
      </c>
      <c r="L724" s="5" t="str" cm="1">
        <f t="array" ref="L724">choice(Referentiel!C:C,1,Settings!$B$16)</f>
        <v/>
      </c>
      <c r="M724" s="5" t="str" cm="1">
        <f t="array" ref="M724">choice(Referentiel!E:E,1,Settings!$B$16)</f>
        <v/>
      </c>
      <c r="N724" s="5" t="str" cm="1">
        <f t="array" ref="N724">choice(Settings!K:K,1,Settings!$B$16)</f>
        <v>vendredi pm</v>
      </c>
      <c r="P724" s="5">
        <f t="shared" si="48"/>
        <v>4</v>
      </c>
    </row>
    <row r="725" spans="1:16" ht="15.75" customHeight="1" x14ac:dyDescent="0.25">
      <c r="A725" s="6" t="s">
        <v>1077</v>
      </c>
      <c r="B725" s="6" cm="1">
        <f t="array" ref="B725">alea_int(Settings!$B$10,1,Settings!$B$16)</f>
        <v>3</v>
      </c>
      <c r="C725" s="8">
        <v>46023</v>
      </c>
      <c r="D725" s="8">
        <f t="shared" si="45"/>
        <v>46387</v>
      </c>
      <c r="E725" s="6" t="str" cm="1">
        <f t="array" ref="E725">choice(Groupes!A:A,1,Settings!$B$16)</f>
        <v>G29</v>
      </c>
      <c r="F725" s="6" t="str">
        <f t="shared" si="46"/>
        <v>G29</v>
      </c>
      <c r="G725" s="6" t="str">
        <f t="shared" si="47"/>
        <v>Prof32</v>
      </c>
      <c r="H725" s="6" t="str" cm="1">
        <f t="array" ref="H725">choice(Referentiel!A:A,1,Settings!$B$16)</f>
        <v>Gr SOFT MATTERS</v>
      </c>
      <c r="I725" s="6" t="str" cm="1">
        <f t="array" ref="I725">choice(Referentiel!B:B,1,Settings!$B$16)</f>
        <v>4ème année Scénographie S2</v>
      </c>
      <c r="J725" s="6" t="str" cm="1">
        <f t="array" ref="J725">choice(Referentiel!D:D,1,Settings!$B$16)</f>
        <v>L1</v>
      </c>
      <c r="K725" s="6" t="str" cm="1">
        <f t="array" ref="K725">choice(Professeurs!B:B,1,Settings!$B$16)</f>
        <v>Prof32</v>
      </c>
      <c r="L725" s="5" t="str" cm="1">
        <f t="array" ref="L725">choice(Referentiel!C:C,1,Settings!$B$16)</f>
        <v/>
      </c>
      <c r="M725" s="5" t="str" cm="1">
        <f t="array" ref="M725">choice(Referentiel!E:E,1,Settings!$B$16)</f>
        <v/>
      </c>
      <c r="N725" s="5" t="str" cm="1">
        <f t="array" ref="N725">choice(Settings!K:K,1,Settings!$B$16)</f>
        <v/>
      </c>
      <c r="P725" s="5">
        <f t="shared" si="48"/>
        <v>3</v>
      </c>
    </row>
    <row r="726" spans="1:16" ht="15.75" customHeight="1" x14ac:dyDescent="0.25">
      <c r="A726" s="6" t="s">
        <v>1078</v>
      </c>
      <c r="B726" s="6" cm="1">
        <f t="array" ref="B726">alea_int(Settings!$B$10,1,Settings!$B$16)</f>
        <v>2</v>
      </c>
      <c r="C726" s="8">
        <v>46023</v>
      </c>
      <c r="D726" s="8">
        <f t="shared" si="45"/>
        <v>46387</v>
      </c>
      <c r="E726" s="6" t="str" cm="1">
        <f t="array" ref="E726">choice(Groupes!A:A,1,Settings!$B$16)</f>
        <v>G30</v>
      </c>
      <c r="F726" s="6" t="str">
        <f t="shared" si="46"/>
        <v>G30</v>
      </c>
      <c r="G726" s="6" t="str">
        <f t="shared" si="47"/>
        <v>Prof15</v>
      </c>
      <c r="H726" s="6" t="str" cm="1">
        <f t="array" ref="H726">choice(Referentiel!A:A,1,Settings!$B$16)</f>
        <v>1ère année Groupe 3</v>
      </c>
      <c r="I726" s="6" t="str" cm="1">
        <f t="array" ref="I726">choice(Referentiel!B:B,1,Settings!$B$16)</f>
        <v>Césure S1</v>
      </c>
      <c r="J726" s="6" t="str" cm="1">
        <f t="array" ref="J726">choice(Referentiel!D:D,1,Settings!$B$16)</f>
        <v>L3</v>
      </c>
      <c r="K726" s="6" t="str" cm="1">
        <f t="array" ref="K726">choice(Professeurs!B:B,1,Settings!$B$16)</f>
        <v>Prof15</v>
      </c>
      <c r="L726" s="5" t="str" cm="1">
        <f t="array" ref="L726">choice(Referentiel!C:C,1,Settings!$B$16)</f>
        <v/>
      </c>
      <c r="M726" s="5" t="str" cm="1">
        <f t="array" ref="M726">choice(Referentiel!E:E,1,Settings!$B$16)</f>
        <v/>
      </c>
      <c r="N726" s="5" t="str" cm="1">
        <f t="array" ref="N726">choice(Settings!K:K,1,Settings!$B$16)</f>
        <v/>
      </c>
      <c r="P726" s="5">
        <f t="shared" si="48"/>
        <v>2</v>
      </c>
    </row>
    <row r="727" spans="1:16" ht="15.75" customHeight="1" x14ac:dyDescent="0.25">
      <c r="A727" s="6" t="s">
        <v>1079</v>
      </c>
      <c r="B727" s="6" cm="1">
        <f t="array" ref="B727">alea_int(Settings!$B$10,1,Settings!$B$16)</f>
        <v>2</v>
      </c>
      <c r="C727" s="8">
        <v>46023</v>
      </c>
      <c r="D727" s="8">
        <f t="shared" si="45"/>
        <v>46387</v>
      </c>
      <c r="E727" s="6" t="str" cm="1">
        <f t="array" ref="E727">choice(Groupes!A:A,1,Settings!$B$16)</f>
        <v>G28</v>
      </c>
      <c r="F727" s="6" t="str">
        <f t="shared" si="46"/>
        <v>G28</v>
      </c>
      <c r="G727" s="6" t="str">
        <f t="shared" si="47"/>
        <v>Prof38</v>
      </c>
      <c r="H727" s="6" t="str" cm="1">
        <f t="array" ref="H727">choice(Referentiel!A:A,1,Settings!$B$16)</f>
        <v>Design des mondes urbains</v>
      </c>
      <c r="I727" s="6" t="str" cm="1">
        <f t="array" ref="I727">choice(Referentiel!B:B,1,Settings!$B$16)</f>
        <v>4ème année Image Imprimée S2</v>
      </c>
      <c r="J727" s="6" t="str" cm="1">
        <f t="array" ref="J727">choice(Referentiel!D:D,1,Settings!$B$16)</f>
        <v>L3</v>
      </c>
      <c r="K727" s="6" t="str" cm="1">
        <f t="array" ref="K727">choice(Professeurs!B:B,1,Settings!$B$16)</f>
        <v>Prof38</v>
      </c>
      <c r="L727" s="5" t="str" cm="1">
        <f t="array" ref="L727">choice(Referentiel!C:C,1,Settings!$B$16)</f>
        <v/>
      </c>
      <c r="M727" s="5" t="str" cm="1">
        <f t="array" ref="M727">choice(Referentiel!E:E,1,Settings!$B$16)</f>
        <v/>
      </c>
      <c r="N727" s="5" t="str" cm="1">
        <f t="array" ref="N727">choice(Settings!K:K,1,Settings!$B$16)</f>
        <v>mercredi ap</v>
      </c>
      <c r="P727" s="5">
        <f t="shared" si="48"/>
        <v>4</v>
      </c>
    </row>
    <row r="728" spans="1:16" ht="15.75" customHeight="1" x14ac:dyDescent="0.25">
      <c r="A728" s="6" t="s">
        <v>1080</v>
      </c>
      <c r="B728" s="6" cm="1">
        <f t="array" ref="B728">alea_int(Settings!$B$10,1,Settings!$B$16)</f>
        <v>3</v>
      </c>
      <c r="C728" s="8">
        <v>46023</v>
      </c>
      <c r="D728" s="8">
        <f t="shared" si="45"/>
        <v>46387</v>
      </c>
      <c r="E728" s="6" t="str" cm="1">
        <f t="array" ref="E728">choice(Groupes!A:A,1,Settings!$B$16)</f>
        <v>G16</v>
      </c>
      <c r="F728" s="6" t="str">
        <f t="shared" si="46"/>
        <v>G16</v>
      </c>
      <c r="G728" s="6" t="str">
        <f t="shared" si="47"/>
        <v>Prof19</v>
      </c>
      <c r="H728" s="6" t="str" cm="1">
        <f t="array" ref="H728">choice(Referentiel!A:A,1,Settings!$B$16)</f>
        <v>Design des mondes forestiers</v>
      </c>
      <c r="I728" s="6" t="str" cm="1">
        <f t="array" ref="I728">choice(Referentiel!B:B,1,Settings!$B$16)</f>
        <v>1ère Année Groupe 2 S2</v>
      </c>
      <c r="J728" s="6" t="str" cm="1">
        <f t="array" ref="J728">choice(Referentiel!D:D,1,Settings!$B$16)</f>
        <v>L3</v>
      </c>
      <c r="K728" s="6" t="str" cm="1">
        <f t="array" ref="K728">choice(Professeurs!B:B,1,Settings!$B$16)</f>
        <v>Prof19</v>
      </c>
      <c r="L728" s="5" t="str" cm="1">
        <f t="array" ref="L728">choice(Referentiel!C:C,1,Settings!$B$16)</f>
        <v/>
      </c>
      <c r="M728" s="5" t="str" cm="1">
        <f t="array" ref="M728">choice(Referentiel!E:E,1,Settings!$B$16)</f>
        <v>Salle6</v>
      </c>
      <c r="N728" s="5" t="str" cm="1">
        <f t="array" ref="N728">choice(Settings!K:K,1,Settings!$B$16)</f>
        <v/>
      </c>
      <c r="P728" s="5">
        <f t="shared" si="48"/>
        <v>5</v>
      </c>
    </row>
    <row r="729" spans="1:16" ht="15.75" customHeight="1" x14ac:dyDescent="0.25">
      <c r="A729" s="6" t="s">
        <v>1081</v>
      </c>
      <c r="B729" s="6" cm="1">
        <f t="array" ref="B729">alea_int(Settings!$B$10,1,Settings!$B$16)</f>
        <v>1</v>
      </c>
      <c r="C729" s="8">
        <v>46023</v>
      </c>
      <c r="D729" s="8">
        <f t="shared" si="45"/>
        <v>46387</v>
      </c>
      <c r="E729" s="6" t="str" cm="1">
        <f t="array" ref="E729">choice(Groupes!A:A,1,Settings!$B$16)</f>
        <v>G28</v>
      </c>
      <c r="F729" s="6" t="str">
        <f t="shared" si="46"/>
        <v>G28</v>
      </c>
      <c r="G729" s="6" t="str">
        <f t="shared" si="47"/>
        <v>Prof1</v>
      </c>
      <c r="H729" s="6" t="str" cm="1">
        <f t="array" ref="H729">choice(Referentiel!A:A,1,Settings!$B$16)</f>
        <v>Scénographie</v>
      </c>
      <c r="I729" s="6" t="str" cm="1">
        <f t="array" ref="I729">choice(Referentiel!B:B,1,Settings!$B$16)</f>
        <v>3ème année Cinéma d'Animation S1</v>
      </c>
      <c r="J729" s="6" t="str" cm="1">
        <f t="array" ref="J729">choice(Referentiel!D:D,1,Settings!$B$16)</f>
        <v>M2</v>
      </c>
      <c r="K729" s="6" t="str" cm="1">
        <f t="array" ref="K729">choice(Professeurs!B:B,1,Settings!$B$16)</f>
        <v>Prof1</v>
      </c>
      <c r="L729" s="5" t="str" cm="1">
        <f t="array" ref="L729">choice(Referentiel!C:C,1,Settings!$B$16)</f>
        <v/>
      </c>
      <c r="M729" s="5" t="str" cm="1">
        <f t="array" ref="M729">choice(Referentiel!E:E,1,Settings!$B$16)</f>
        <v/>
      </c>
      <c r="N729" s="5" t="str" cm="1">
        <f t="array" ref="N729">choice(Settings!K:K,1,Settings!$B$16)</f>
        <v>vendredi am</v>
      </c>
      <c r="P729" s="5">
        <f t="shared" si="48"/>
        <v>3</v>
      </c>
    </row>
    <row r="730" spans="1:16" ht="15.75" customHeight="1" x14ac:dyDescent="0.25">
      <c r="A730" s="6" t="s">
        <v>1082</v>
      </c>
      <c r="B730" s="6" cm="1">
        <f t="array" ref="B730">alea_int(Settings!$B$10,1,Settings!$B$16)</f>
        <v>2</v>
      </c>
      <c r="C730" s="8">
        <v>46023</v>
      </c>
      <c r="D730" s="8">
        <f t="shared" si="45"/>
        <v>46387</v>
      </c>
      <c r="E730" s="6" t="str" cm="1">
        <f t="array" ref="E730">choice(Groupes!A:A,1,Settings!$B$16)</f>
        <v>G18</v>
      </c>
      <c r="F730" s="6" t="str">
        <f t="shared" si="46"/>
        <v>G18</v>
      </c>
      <c r="G730" s="6" t="str">
        <f t="shared" si="47"/>
        <v>Prof12</v>
      </c>
      <c r="H730" s="6" t="str" cm="1">
        <f t="array" ref="H730">choice(Referentiel!A:A,1,Settings!$B$16)</f>
        <v>Mode et Matière</v>
      </c>
      <c r="I730" s="6" t="str" cm="1">
        <f t="array" ref="I730">choice(Referentiel!B:B,1,Settings!$B$16)</f>
        <v>4ème année Design Vêtement S1</v>
      </c>
      <c r="J730" s="6" t="str" cm="1">
        <f t="array" ref="J730">choice(Referentiel!D:D,1,Settings!$B$16)</f>
        <v>M2</v>
      </c>
      <c r="K730" s="6" t="str" cm="1">
        <f t="array" ref="K730">choice(Professeurs!B:B,1,Settings!$B$16)</f>
        <v>Prof12</v>
      </c>
      <c r="L730" s="5" t="str" cm="1">
        <f t="array" ref="L730">choice(Referentiel!C:C,1,Settings!$B$16)</f>
        <v/>
      </c>
      <c r="M730" s="5" t="str" cm="1">
        <f t="array" ref="M730">choice(Referentiel!E:E,1,Settings!$B$16)</f>
        <v/>
      </c>
      <c r="N730" s="5" t="str" cm="1">
        <f t="array" ref="N730">choice(Settings!K:K,1,Settings!$B$16)</f>
        <v/>
      </c>
      <c r="P730" s="5">
        <f t="shared" si="48"/>
        <v>2</v>
      </c>
    </row>
    <row r="731" spans="1:16" ht="15.75" customHeight="1" x14ac:dyDescent="0.25">
      <c r="A731" s="6" t="s">
        <v>1083</v>
      </c>
      <c r="B731" s="6" cm="1">
        <f t="array" ref="B731">alea_int(Settings!$B$10,1,Settings!$B$16)</f>
        <v>2</v>
      </c>
      <c r="C731" s="8">
        <v>46023</v>
      </c>
      <c r="D731" s="8">
        <f t="shared" si="45"/>
        <v>46387</v>
      </c>
      <c r="E731" s="6" t="str" cm="1">
        <f t="array" ref="E731">choice(Groupes!A:A,1,Settings!$B$16)</f>
        <v>G12</v>
      </c>
      <c r="F731" s="6" t="str">
        <f t="shared" si="46"/>
        <v>G12</v>
      </c>
      <c r="G731" s="6" t="str">
        <f t="shared" si="47"/>
        <v>Prof4</v>
      </c>
      <c r="H731" s="6" t="str" cm="1">
        <f t="array" ref="H731">choice(Referentiel!A:A,1,Settings!$B$16)</f>
        <v>Design Graphique</v>
      </c>
      <c r="I731" s="6" t="str" cm="1">
        <f t="array" ref="I731">choice(Referentiel!B:B,1,Settings!$B$16)</f>
        <v>4ème année Photo / Vidéo S2</v>
      </c>
      <c r="J731" s="6" t="str" cm="1">
        <f t="array" ref="J731">choice(Referentiel!D:D,1,Settings!$B$16)</f>
        <v>L1</v>
      </c>
      <c r="K731" s="6" t="str" cm="1">
        <f t="array" ref="K731">choice(Professeurs!B:B,1,Settings!$B$16)</f>
        <v>Prof4</v>
      </c>
      <c r="L731" s="5" t="str" cm="1">
        <f t="array" ref="L731">choice(Referentiel!C:C,1,Settings!$B$16)</f>
        <v/>
      </c>
      <c r="M731" s="5" t="str" cm="1">
        <f t="array" ref="M731">choice(Referentiel!E:E,1,Settings!$B$16)</f>
        <v/>
      </c>
      <c r="N731" s="5" t="str" cm="1">
        <f t="array" ref="N731">choice(Settings!K:K,1,Settings!$B$16)</f>
        <v>mardi pm</v>
      </c>
      <c r="P731" s="5">
        <f t="shared" si="48"/>
        <v>4</v>
      </c>
    </row>
    <row r="732" spans="1:16" ht="15.75" customHeight="1" x14ac:dyDescent="0.25">
      <c r="A732" s="6" t="s">
        <v>1084</v>
      </c>
      <c r="B732" s="6" cm="1">
        <f t="array" ref="B732">alea_int(Settings!$B$10,1,Settings!$B$16)</f>
        <v>1</v>
      </c>
      <c r="C732" s="8">
        <v>46023</v>
      </c>
      <c r="D732" s="8">
        <f t="shared" si="45"/>
        <v>46387</v>
      </c>
      <c r="E732" s="6" t="str" cm="1">
        <f t="array" ref="E732">choice(Groupes!A:A,1,Settings!$B$16)</f>
        <v>G1</v>
      </c>
      <c r="F732" s="6" t="str">
        <f t="shared" si="46"/>
        <v>G1</v>
      </c>
      <c r="G732" s="6" t="str">
        <f t="shared" si="47"/>
        <v>Prof7</v>
      </c>
      <c r="H732" s="6" t="str" cm="1">
        <f t="array" ref="H732">choice(Referentiel!A:A,1,Settings!$B$16)</f>
        <v>Design Textile et Matière</v>
      </c>
      <c r="I732" s="6" t="str" cm="1">
        <f t="array" ref="I732">choice(Referentiel!B:B,1,Settings!$B$16)</f>
        <v>5ème année Design Graphique S1</v>
      </c>
      <c r="J732" s="6" t="str" cm="1">
        <f t="array" ref="J732">choice(Referentiel!D:D,1,Settings!$B$16)</f>
        <v>M2</v>
      </c>
      <c r="K732" s="6" t="str" cm="1">
        <f t="array" ref="K732">choice(Professeurs!B:B,1,Settings!$B$16)</f>
        <v>Prof7</v>
      </c>
      <c r="L732" s="5" t="str" cm="1">
        <f t="array" ref="L732">choice(Referentiel!C:C,1,Settings!$B$16)</f>
        <v/>
      </c>
      <c r="M732" s="5" t="str" cm="1">
        <f t="array" ref="M732">choice(Referentiel!E:E,1,Settings!$B$16)</f>
        <v/>
      </c>
      <c r="N732" s="5" t="str" cm="1">
        <f t="array" ref="N732">choice(Settings!K:K,1,Settings!$B$16)</f>
        <v>mercredi ap</v>
      </c>
      <c r="P732" s="5">
        <f t="shared" si="48"/>
        <v>3</v>
      </c>
    </row>
    <row r="733" spans="1:16" ht="15.75" customHeight="1" x14ac:dyDescent="0.25">
      <c r="A733" s="6" t="s">
        <v>1085</v>
      </c>
      <c r="B733" s="6" cm="1">
        <f t="array" ref="B733">alea_int(Settings!$B$10,1,Settings!$B$16)</f>
        <v>3</v>
      </c>
      <c r="C733" s="8">
        <v>46023</v>
      </c>
      <c r="D733" s="8">
        <f t="shared" si="45"/>
        <v>46387</v>
      </c>
      <c r="E733" s="6" t="str" cm="1">
        <f t="array" ref="E733">choice(Groupes!A:A,1,Settings!$B$16)</f>
        <v>G9</v>
      </c>
      <c r="F733" s="6" t="str">
        <f t="shared" si="46"/>
        <v>G9</v>
      </c>
      <c r="G733" s="6" t="str">
        <f t="shared" si="47"/>
        <v>Prof33</v>
      </c>
      <c r="H733" s="6" t="str" cm="1">
        <f t="array" ref="H733">choice(Referentiel!A:A,1,Settings!$B$16)</f>
        <v>Gr SOFT MATTERS</v>
      </c>
      <c r="I733" s="6" t="str" cm="1">
        <f t="array" ref="I733">choice(Referentiel!B:B,1,Settings!$B$16)</f>
        <v>4ème année Image Imprimée S2</v>
      </c>
      <c r="J733" s="6" t="str" cm="1">
        <f t="array" ref="J733">choice(Referentiel!D:D,1,Settings!$B$16)</f>
        <v>L3</v>
      </c>
      <c r="K733" s="6" t="str" cm="1">
        <f t="array" ref="K733">choice(Professeurs!B:B,1,Settings!$B$16)</f>
        <v>Prof33</v>
      </c>
      <c r="L733" s="5" t="str" cm="1">
        <f t="array" ref="L733">choice(Referentiel!C:C,1,Settings!$B$16)</f>
        <v/>
      </c>
      <c r="M733" s="5" t="str" cm="1">
        <f t="array" ref="M733">choice(Referentiel!E:E,1,Settings!$B$16)</f>
        <v/>
      </c>
      <c r="N733" s="5" t="str" cm="1">
        <f t="array" ref="N733">choice(Settings!K:K,1,Settings!$B$16)</f>
        <v>mercredi pm</v>
      </c>
      <c r="P733" s="5">
        <f t="shared" si="48"/>
        <v>5</v>
      </c>
    </row>
    <row r="734" spans="1:16" ht="15.75" customHeight="1" x14ac:dyDescent="0.25">
      <c r="A734" s="6" t="s">
        <v>1086</v>
      </c>
      <c r="B734" s="6" cm="1">
        <f t="array" ref="B734">alea_int(Settings!$B$10,1,Settings!$B$16)</f>
        <v>1</v>
      </c>
      <c r="C734" s="8">
        <v>46023</v>
      </c>
      <c r="D734" s="8">
        <f t="shared" si="45"/>
        <v>46387</v>
      </c>
      <c r="E734" s="6" t="str" cm="1">
        <f t="array" ref="E734">choice(Groupes!A:A,1,Settings!$B$16)</f>
        <v>G7</v>
      </c>
      <c r="F734" s="6" t="str">
        <f t="shared" si="46"/>
        <v>G7</v>
      </c>
      <c r="G734" s="6" t="str">
        <f t="shared" si="47"/>
        <v>Prof29</v>
      </c>
      <c r="H734" s="6" t="str" cm="1">
        <f t="array" ref="H734">choice(Referentiel!A:A,1,Settings!$B$16)</f>
        <v>Image Imprimée</v>
      </c>
      <c r="I734" s="6" t="str" cm="1">
        <f t="array" ref="I734">choice(Referentiel!B:B,1,Settings!$B$16)</f>
        <v>4ème année Design Vêtement S1</v>
      </c>
      <c r="J734" s="6" t="str" cm="1">
        <f t="array" ref="J734">choice(Referentiel!D:D,1,Settings!$B$16)</f>
        <v>M1</v>
      </c>
      <c r="K734" s="6" t="str" cm="1">
        <f t="array" ref="K734">choice(Professeurs!B:B,1,Settings!$B$16)</f>
        <v>Prof29</v>
      </c>
      <c r="L734" s="5" t="str" cm="1">
        <f t="array" ref="L734">choice(Referentiel!C:C,1,Settings!$B$16)</f>
        <v/>
      </c>
      <c r="M734" s="5" t="str" cm="1">
        <f t="array" ref="M734">choice(Referentiel!E:E,1,Settings!$B$16)</f>
        <v/>
      </c>
      <c r="N734" s="5" t="str" cm="1">
        <f t="array" ref="N734">choice(Settings!K:K,1,Settings!$B$16)</f>
        <v/>
      </c>
      <c r="P734" s="5">
        <f t="shared" si="48"/>
        <v>1</v>
      </c>
    </row>
    <row r="735" spans="1:16" ht="15.75" customHeight="1" x14ac:dyDescent="0.25">
      <c r="A735" s="6" t="s">
        <v>1087</v>
      </c>
      <c r="B735" s="6" cm="1">
        <f t="array" ref="B735">alea_int(Settings!$B$10,1,Settings!$B$16)</f>
        <v>3</v>
      </c>
      <c r="C735" s="8">
        <v>46023</v>
      </c>
      <c r="D735" s="8">
        <f t="shared" si="45"/>
        <v>46387</v>
      </c>
      <c r="E735" s="6" t="str" cm="1">
        <f t="array" ref="E735">choice(Groupes!A:A,1,Settings!$B$16)</f>
        <v>G19</v>
      </c>
      <c r="F735" s="6" t="str">
        <f t="shared" si="46"/>
        <v>G19</v>
      </c>
      <c r="G735" s="6" t="str">
        <f t="shared" si="47"/>
        <v>Prof18</v>
      </c>
      <c r="H735" s="6" t="str" cm="1">
        <f t="array" ref="H735">choice(Referentiel!A:A,1,Settings!$B$16)</f>
        <v>6ème année atelier</v>
      </c>
      <c r="I735" s="6" t="str" cm="1">
        <f t="array" ref="I735">choice(Referentiel!B:B,1,Settings!$B$16)</f>
        <v>2ème année Image Imprimée S2</v>
      </c>
      <c r="J735" s="6" t="str" cm="1">
        <f t="array" ref="J735">choice(Referentiel!D:D,1,Settings!$B$16)</f>
        <v>M1</v>
      </c>
      <c r="K735" s="6" t="str" cm="1">
        <f t="array" ref="K735">choice(Professeurs!B:B,1,Settings!$B$16)</f>
        <v>Prof18</v>
      </c>
      <c r="L735" s="5" t="str" cm="1">
        <f t="array" ref="L735">choice(Referentiel!C:C,1,Settings!$B$16)</f>
        <v/>
      </c>
      <c r="M735" s="5" t="str" cm="1">
        <f t="array" ref="M735">choice(Referentiel!E:E,1,Settings!$B$16)</f>
        <v/>
      </c>
      <c r="N735" s="5" t="str" cm="1">
        <f t="array" ref="N735">choice(Settings!K:K,1,Settings!$B$16)</f>
        <v/>
      </c>
      <c r="P735" s="5">
        <f t="shared" si="48"/>
        <v>3</v>
      </c>
    </row>
    <row r="736" spans="1:16" ht="15.75" customHeight="1" x14ac:dyDescent="0.25">
      <c r="A736" s="6" t="s">
        <v>1088</v>
      </c>
      <c r="B736" s="6" cm="1">
        <f t="array" ref="B736">alea_int(Settings!$B$10,1,Settings!$B$16)</f>
        <v>1</v>
      </c>
      <c r="C736" s="8">
        <v>46023</v>
      </c>
      <c r="D736" s="8">
        <f t="shared" si="45"/>
        <v>46387</v>
      </c>
      <c r="E736" s="6" t="str" cm="1">
        <f t="array" ref="E736">choice(Groupes!A:A,1,Settings!$B$16)</f>
        <v>G5</v>
      </c>
      <c r="F736" s="6" t="str">
        <f t="shared" si="46"/>
        <v>G5</v>
      </c>
      <c r="G736" s="6" t="str">
        <f t="shared" si="47"/>
        <v>Prof34</v>
      </c>
      <c r="H736" s="6" t="str" cm="1">
        <f t="array" ref="H736">choice(Referentiel!A:A,1,Settings!$B$16)</f>
        <v>Gr SPATIAL MEDIA</v>
      </c>
      <c r="I736" s="6" t="str" cm="1">
        <f t="array" ref="I736">choice(Referentiel!B:B,1,Settings!$B$16)</f>
        <v>4ème année Design Textile et Matière S1</v>
      </c>
      <c r="J736" s="6" t="str" cm="1">
        <f t="array" ref="J736">choice(Referentiel!D:D,1,Settings!$B$16)</f>
        <v>L1</v>
      </c>
      <c r="K736" s="6" t="str" cm="1">
        <f t="array" ref="K736">choice(Professeurs!B:B,1,Settings!$B$16)</f>
        <v>Prof34</v>
      </c>
      <c r="L736" s="5" t="str" cm="1">
        <f t="array" ref="L736">choice(Referentiel!C:C,1,Settings!$B$16)</f>
        <v/>
      </c>
      <c r="M736" s="5" t="str" cm="1">
        <f t="array" ref="M736">choice(Referentiel!E:E,1,Settings!$B$16)</f>
        <v/>
      </c>
      <c r="N736" s="5" t="str" cm="1">
        <f t="array" ref="N736">choice(Settings!K:K,1,Settings!$B$16)</f>
        <v/>
      </c>
      <c r="P736" s="5">
        <f t="shared" si="48"/>
        <v>1</v>
      </c>
    </row>
    <row r="737" spans="1:16" ht="15.75" customHeight="1" x14ac:dyDescent="0.25">
      <c r="A737" s="6" t="s">
        <v>1089</v>
      </c>
      <c r="B737" s="6" cm="1">
        <f t="array" ref="B737">alea_int(Settings!$B$10,1,Settings!$B$16)</f>
        <v>2</v>
      </c>
      <c r="C737" s="8">
        <v>46023</v>
      </c>
      <c r="D737" s="8">
        <f t="shared" si="45"/>
        <v>46387</v>
      </c>
      <c r="E737" s="6" t="str" cm="1">
        <f t="array" ref="E737">choice(Groupes!A:A,1,Settings!$B$16)</f>
        <v>G22</v>
      </c>
      <c r="F737" s="6" t="str">
        <f t="shared" si="46"/>
        <v>G22</v>
      </c>
      <c r="G737" s="6" t="str">
        <f t="shared" si="47"/>
        <v>Prof9</v>
      </c>
      <c r="H737" s="6" t="str" cm="1">
        <f t="array" ref="H737">choice(Referentiel!A:A,1,Settings!$B$16)</f>
        <v>1ère année Groupe 2</v>
      </c>
      <c r="I737" s="6" t="str" cm="1">
        <f t="array" ref="I737">choice(Referentiel!B:B,1,Settings!$B$16)</f>
        <v>4ème année Design Textile et Matière S1</v>
      </c>
      <c r="J737" s="6" t="str" cm="1">
        <f t="array" ref="J737">choice(Referentiel!D:D,1,Settings!$B$16)</f>
        <v>L2</v>
      </c>
      <c r="K737" s="6" t="str" cm="1">
        <f t="array" ref="K737">choice(Professeurs!B:B,1,Settings!$B$16)</f>
        <v>Prof9</v>
      </c>
      <c r="L737" s="5" t="str" cm="1">
        <f t="array" ref="L737">choice(Referentiel!C:C,1,Settings!$B$16)</f>
        <v/>
      </c>
      <c r="M737" s="5" t="str" cm="1">
        <f t="array" ref="M737">choice(Referentiel!E:E,1,Settings!$B$16)</f>
        <v/>
      </c>
      <c r="N737" s="5" t="str" cm="1">
        <f t="array" ref="N737">choice(Settings!K:K,1,Settings!$B$16)</f>
        <v>mardi pm</v>
      </c>
      <c r="P737" s="5">
        <f t="shared" si="48"/>
        <v>4</v>
      </c>
    </row>
    <row r="738" spans="1:16" ht="15.75" customHeight="1" x14ac:dyDescent="0.25">
      <c r="A738" s="6" t="s">
        <v>1090</v>
      </c>
      <c r="B738" s="6" cm="1">
        <f t="array" ref="B738">alea_int(Settings!$B$10,1,Settings!$B$16)</f>
        <v>2</v>
      </c>
      <c r="C738" s="8">
        <v>46023</v>
      </c>
      <c r="D738" s="8">
        <f t="shared" si="45"/>
        <v>46387</v>
      </c>
      <c r="E738" s="6" t="str" cm="1">
        <f t="array" ref="E738">choice(Groupes!A:A,1,Settings!$B$16)</f>
        <v>G16</v>
      </c>
      <c r="F738" s="6" t="str">
        <f t="shared" si="46"/>
        <v>G16</v>
      </c>
      <c r="G738" s="6" t="str">
        <f t="shared" si="47"/>
        <v>Prof1</v>
      </c>
      <c r="H738" s="6" t="str" cm="1">
        <f t="array" ref="H738">choice(Referentiel!A:A,1,Settings!$B$16)</f>
        <v>Design Objet</v>
      </c>
      <c r="I738" s="6" t="str" cm="1">
        <f t="array" ref="I738">choice(Referentiel!B:B,1,Settings!$B$16)</f>
        <v>3ème année Photo / Vidéo S2</v>
      </c>
      <c r="J738" s="6" t="str" cm="1">
        <f t="array" ref="J738">choice(Referentiel!D:D,1,Settings!$B$16)</f>
        <v>M1</v>
      </c>
      <c r="K738" s="6" t="str" cm="1">
        <f t="array" ref="K738">choice(Professeurs!B:B,1,Settings!$B$16)</f>
        <v>Prof1</v>
      </c>
      <c r="L738" s="5" t="str" cm="1">
        <f t="array" ref="L738">choice(Referentiel!C:C,1,Settings!$B$16)</f>
        <v>tablette</v>
      </c>
      <c r="M738" s="5" t="str" cm="1">
        <f t="array" ref="M738">choice(Referentiel!E:E,1,Settings!$B$16)</f>
        <v/>
      </c>
      <c r="N738" s="5" t="str" cm="1">
        <f t="array" ref="N738">choice(Settings!K:K,1,Settings!$B$16)</f>
        <v/>
      </c>
      <c r="P738" s="5">
        <f t="shared" si="48"/>
        <v>2</v>
      </c>
    </row>
    <row r="739" spans="1:16" ht="15.75" customHeight="1" x14ac:dyDescent="0.25">
      <c r="A739" s="6" t="s">
        <v>1091</v>
      </c>
      <c r="B739" s="6" cm="1">
        <f t="array" ref="B739">alea_int(Settings!$B$10,1,Settings!$B$16)</f>
        <v>3</v>
      </c>
      <c r="C739" s="8">
        <v>46023</v>
      </c>
      <c r="D739" s="8">
        <f t="shared" si="45"/>
        <v>46387</v>
      </c>
      <c r="E739" s="6" t="str" cm="1">
        <f t="array" ref="E739">choice(Groupes!A:A,1,Settings!$B$16)</f>
        <v>G29</v>
      </c>
      <c r="F739" s="6" t="str">
        <f t="shared" si="46"/>
        <v>G29</v>
      </c>
      <c r="G739" s="6" t="str">
        <f t="shared" si="47"/>
        <v>Prof4</v>
      </c>
      <c r="H739" s="6" t="str" cm="1">
        <f t="array" ref="H739">choice(Referentiel!A:A,1,Settings!$B$16)</f>
        <v>Scénographie</v>
      </c>
      <c r="I739" s="6" t="str" cm="1">
        <f t="array" ref="I739">choice(Referentiel!B:B,1,Settings!$B$16)</f>
        <v>4ème année Design Vêtement S1</v>
      </c>
      <c r="J739" s="6" t="str" cm="1">
        <f t="array" ref="J739">choice(Referentiel!D:D,1,Settings!$B$16)</f>
        <v>L2</v>
      </c>
      <c r="K739" s="6" t="str" cm="1">
        <f t="array" ref="K739">choice(Professeurs!B:B,1,Settings!$B$16)</f>
        <v>Prof4</v>
      </c>
      <c r="L739" s="5" t="str" cm="1">
        <f t="array" ref="L739">choice(Referentiel!C:C,1,Settings!$B$16)</f>
        <v/>
      </c>
      <c r="M739" s="5" t="str" cm="1">
        <f t="array" ref="M739">choice(Referentiel!E:E,1,Settings!$B$16)</f>
        <v/>
      </c>
      <c r="N739" s="5" t="str" cm="1">
        <f t="array" ref="N739">choice(Settings!K:K,1,Settings!$B$16)</f>
        <v/>
      </c>
      <c r="P739" s="5">
        <f t="shared" si="48"/>
        <v>3</v>
      </c>
    </row>
    <row r="740" spans="1:16" ht="15.75" customHeight="1" x14ac:dyDescent="0.25">
      <c r="A740" s="6" t="s">
        <v>1092</v>
      </c>
      <c r="B740" s="6" cm="1">
        <f t="array" ref="B740">alea_int(Settings!$B$10,1,Settings!$B$16)</f>
        <v>1</v>
      </c>
      <c r="C740" s="8">
        <v>46023</v>
      </c>
      <c r="D740" s="8">
        <f t="shared" si="45"/>
        <v>46387</v>
      </c>
      <c r="E740" s="6" t="str" cm="1">
        <f t="array" ref="E740">choice(Groupes!A:A,1,Settings!$B$16)</f>
        <v>G8</v>
      </c>
      <c r="F740" s="6" t="str">
        <f t="shared" si="46"/>
        <v>G8</v>
      </c>
      <c r="G740" s="6" t="str">
        <f t="shared" si="47"/>
        <v>Prof33</v>
      </c>
      <c r="H740" s="6" t="str" cm="1">
        <f t="array" ref="H740">choice(Referentiel!A:A,1,Settings!$B$16)</f>
        <v>Design Objet</v>
      </c>
      <c r="I740" s="6" t="str" cm="1">
        <f t="array" ref="I740">choice(Referentiel!B:B,1,Settings!$B$16)</f>
        <v>3ème année Design Objet S2</v>
      </c>
      <c r="J740" s="6" t="str" cm="1">
        <f t="array" ref="J740">choice(Referentiel!D:D,1,Settings!$B$16)</f>
        <v>M2</v>
      </c>
      <c r="K740" s="6" t="str" cm="1">
        <f t="array" ref="K740">choice(Professeurs!B:B,1,Settings!$B$16)</f>
        <v>Prof33</v>
      </c>
      <c r="L740" s="5" t="str" cm="1">
        <f t="array" ref="L740">choice(Referentiel!C:C,1,Settings!$B$16)</f>
        <v/>
      </c>
      <c r="M740" s="5" t="str" cm="1">
        <f t="array" ref="M740">choice(Referentiel!E:E,1,Settings!$B$16)</f>
        <v/>
      </c>
      <c r="N740" s="5" t="str" cm="1">
        <f t="array" ref="N740">choice(Settings!K:K,1,Settings!$B$16)</f>
        <v>vendredi am</v>
      </c>
      <c r="P740" s="5">
        <f t="shared" si="48"/>
        <v>3</v>
      </c>
    </row>
    <row r="741" spans="1:16" ht="15.75" customHeight="1" x14ac:dyDescent="0.25">
      <c r="A741" s="6" t="s">
        <v>1093</v>
      </c>
      <c r="B741" s="6" cm="1">
        <f t="array" ref="B741">alea_int(Settings!$B$10,1,Settings!$B$16)</f>
        <v>2</v>
      </c>
      <c r="C741" s="8">
        <v>46023</v>
      </c>
      <c r="D741" s="8">
        <f t="shared" si="45"/>
        <v>46387</v>
      </c>
      <c r="E741" s="6" t="str" cm="1">
        <f t="array" ref="E741">choice(Groupes!A:A,1,Settings!$B$16)</f>
        <v>G10</v>
      </c>
      <c r="F741" s="6" t="str">
        <f t="shared" si="46"/>
        <v>G10</v>
      </c>
      <c r="G741" s="6" t="str">
        <f t="shared" si="47"/>
        <v>Prof39</v>
      </c>
      <c r="H741" s="6" t="str" cm="1">
        <f t="array" ref="H741">choice(Referentiel!A:A,1,Settings!$B$16)</f>
        <v>Design Objet</v>
      </c>
      <c r="I741" s="6" t="str" cm="1">
        <f t="array" ref="I741">choice(Referentiel!B:B,1,Settings!$B$16)</f>
        <v>4ème année Design Objet S2</v>
      </c>
      <c r="J741" s="6" t="str" cm="1">
        <f t="array" ref="J741">choice(Referentiel!D:D,1,Settings!$B$16)</f>
        <v>M2</v>
      </c>
      <c r="K741" s="6" t="str" cm="1">
        <f t="array" ref="K741">choice(Professeurs!B:B,1,Settings!$B$16)</f>
        <v>Prof39</v>
      </c>
      <c r="L741" s="5" t="str" cm="1">
        <f t="array" ref="L741">choice(Referentiel!C:C,1,Settings!$B$16)</f>
        <v/>
      </c>
      <c r="M741" s="5" t="str" cm="1">
        <f t="array" ref="M741">choice(Referentiel!E:E,1,Settings!$B$16)</f>
        <v/>
      </c>
      <c r="N741" s="5" t="str" cm="1">
        <f t="array" ref="N741">choice(Settings!K:K,1,Settings!$B$16)</f>
        <v>lundi pm</v>
      </c>
      <c r="P741" s="5">
        <f t="shared" si="48"/>
        <v>4</v>
      </c>
    </row>
    <row r="742" spans="1:16" ht="15.75" customHeight="1" x14ac:dyDescent="0.25">
      <c r="A742" s="6" t="s">
        <v>1094</v>
      </c>
      <c r="B742" s="6" cm="1">
        <f t="array" ref="B742">alea_int(Settings!$B$10,1,Settings!$B$16)</f>
        <v>2</v>
      </c>
      <c r="C742" s="8">
        <v>46023</v>
      </c>
      <c r="D742" s="8">
        <f t="shared" si="45"/>
        <v>46387</v>
      </c>
      <c r="E742" s="6" t="str" cm="1">
        <f t="array" ref="E742">choice(Groupes!A:A,1,Settings!$B$16)</f>
        <v>G21</v>
      </c>
      <c r="F742" s="6" t="str">
        <f t="shared" si="46"/>
        <v>G21</v>
      </c>
      <c r="G742" s="6" t="str">
        <f t="shared" si="47"/>
        <v>Prof5</v>
      </c>
      <c r="H742" s="6" t="str" cm="1">
        <f t="array" ref="H742">choice(Referentiel!A:A,1,Settings!$B$16)</f>
        <v>Design Objet</v>
      </c>
      <c r="I742" s="6" t="str" cm="1">
        <f t="array" ref="I742">choice(Referentiel!B:B,1,Settings!$B$16)</f>
        <v>2ème année Architecture Intérieure S1</v>
      </c>
      <c r="J742" s="6" t="str" cm="1">
        <f t="array" ref="J742">choice(Referentiel!D:D,1,Settings!$B$16)</f>
        <v>L3</v>
      </c>
      <c r="K742" s="6" t="str" cm="1">
        <f t="array" ref="K742">choice(Professeurs!B:B,1,Settings!$B$16)</f>
        <v>Prof5</v>
      </c>
      <c r="L742" s="5" t="str" cm="1">
        <f t="array" ref="L742">choice(Referentiel!C:C,1,Settings!$B$16)</f>
        <v/>
      </c>
      <c r="M742" s="5" t="str" cm="1">
        <f t="array" ref="M742">choice(Referentiel!E:E,1,Settings!$B$16)</f>
        <v/>
      </c>
      <c r="N742" s="5" t="str" cm="1">
        <f t="array" ref="N742">choice(Settings!K:K,1,Settings!$B$16)</f>
        <v/>
      </c>
      <c r="P742" s="5">
        <f t="shared" si="48"/>
        <v>2</v>
      </c>
    </row>
    <row r="743" spans="1:16" ht="15.75" customHeight="1" x14ac:dyDescent="0.25">
      <c r="A743" s="6" t="s">
        <v>1095</v>
      </c>
      <c r="B743" s="6" cm="1">
        <f t="array" ref="B743">alea_int(Settings!$B$10,1,Settings!$B$16)</f>
        <v>2</v>
      </c>
      <c r="C743" s="8">
        <v>46023</v>
      </c>
      <c r="D743" s="8">
        <f t="shared" si="45"/>
        <v>46387</v>
      </c>
      <c r="E743" s="6" t="str" cm="1">
        <f t="array" ref="E743">choice(Groupes!A:A,1,Settings!$B$16)</f>
        <v>G21</v>
      </c>
      <c r="F743" s="6" t="str">
        <f t="shared" si="46"/>
        <v>G21</v>
      </c>
      <c r="G743" s="6" t="str">
        <f t="shared" si="47"/>
        <v>Prof17</v>
      </c>
      <c r="H743" s="6" t="str" cm="1">
        <f t="array" ref="H743">choice(Referentiel!A:A,1,Settings!$B$16)</f>
        <v>Image Imprimée</v>
      </c>
      <c r="I743" s="6" t="str" cm="1">
        <f t="array" ref="I743">choice(Referentiel!B:B,1,Settings!$B$16)</f>
        <v>1ère Année Groupe 3 S2</v>
      </c>
      <c r="J743" s="6" t="str" cm="1">
        <f t="array" ref="J743">choice(Referentiel!D:D,1,Settings!$B$16)</f>
        <v>L2</v>
      </c>
      <c r="K743" s="6" t="str" cm="1">
        <f t="array" ref="K743">choice(Professeurs!B:B,1,Settings!$B$16)</f>
        <v>Prof17</v>
      </c>
      <c r="L743" s="5" t="str" cm="1">
        <f t="array" ref="L743">choice(Referentiel!C:C,1,Settings!$B$16)</f>
        <v/>
      </c>
      <c r="M743" s="5" t="str" cm="1">
        <f t="array" ref="M743">choice(Referentiel!E:E,1,Settings!$B$16)</f>
        <v/>
      </c>
      <c r="N743" s="5" t="str" cm="1">
        <f t="array" ref="N743">choice(Settings!K:K,1,Settings!$B$16)</f>
        <v/>
      </c>
      <c r="P743" s="5">
        <f t="shared" si="48"/>
        <v>2</v>
      </c>
    </row>
    <row r="744" spans="1:16" ht="15.75" customHeight="1" x14ac:dyDescent="0.25">
      <c r="A744" s="6" t="s">
        <v>1096</v>
      </c>
      <c r="B744" s="6" cm="1">
        <f t="array" ref="B744">alea_int(Settings!$B$10,1,Settings!$B$16)</f>
        <v>1</v>
      </c>
      <c r="C744" s="8">
        <v>46023</v>
      </c>
      <c r="D744" s="8">
        <f t="shared" si="45"/>
        <v>46387</v>
      </c>
      <c r="E744" s="6" t="str" cm="1">
        <f t="array" ref="E744">choice(Groupes!A:A,1,Settings!$B$16)</f>
        <v>G17</v>
      </c>
      <c r="F744" s="6" t="str">
        <f t="shared" si="46"/>
        <v>G17</v>
      </c>
      <c r="G744" s="6" t="str">
        <f t="shared" si="47"/>
        <v>Prof5</v>
      </c>
      <c r="H744" s="6" t="str" cm="1">
        <f t="array" ref="H744">choice(Referentiel!A:A,1,Settings!$B$16)</f>
        <v>Design des mondes ruraux</v>
      </c>
      <c r="I744" s="6" t="str" cm="1">
        <f t="array" ref="I744">choice(Referentiel!B:B,1,Settings!$B$16)</f>
        <v>2ème année Image Imprimée S2</v>
      </c>
      <c r="J744" s="6" t="str" cm="1">
        <f t="array" ref="J744">choice(Referentiel!D:D,1,Settings!$B$16)</f>
        <v>L1</v>
      </c>
      <c r="K744" s="6" t="str" cm="1">
        <f t="array" ref="K744">choice(Professeurs!B:B,1,Settings!$B$16)</f>
        <v>Prof5</v>
      </c>
      <c r="L744" s="5" t="str" cm="1">
        <f t="array" ref="L744">choice(Referentiel!C:C,1,Settings!$B$16)</f>
        <v/>
      </c>
      <c r="M744" s="5" t="str" cm="1">
        <f t="array" ref="M744">choice(Referentiel!E:E,1,Settings!$B$16)</f>
        <v>Salle2</v>
      </c>
      <c r="N744" s="5" t="str" cm="1">
        <f t="array" ref="N744">choice(Settings!K:K,1,Settings!$B$16)</f>
        <v/>
      </c>
      <c r="P744" s="5">
        <f t="shared" si="48"/>
        <v>3</v>
      </c>
    </row>
    <row r="745" spans="1:16" ht="15.75" customHeight="1" x14ac:dyDescent="0.25">
      <c r="A745" s="6" t="s">
        <v>1097</v>
      </c>
      <c r="B745" s="6" cm="1">
        <f t="array" ref="B745">alea_int(Settings!$B$10,1,Settings!$B$16)</f>
        <v>2</v>
      </c>
      <c r="C745" s="8">
        <v>46023</v>
      </c>
      <c r="D745" s="8">
        <f t="shared" si="45"/>
        <v>46387</v>
      </c>
      <c r="E745" s="6" t="str" cm="1">
        <f t="array" ref="E745">choice(Groupes!A:A,1,Settings!$B$16)</f>
        <v>G4</v>
      </c>
      <c r="F745" s="6" t="str">
        <f t="shared" si="46"/>
        <v>G4</v>
      </c>
      <c r="G745" s="6" t="str">
        <f t="shared" si="47"/>
        <v>Prof2</v>
      </c>
      <c r="H745" s="6" t="str" cm="1">
        <f t="array" ref="H745">choice(Referentiel!A:A,1,Settings!$B$16)</f>
        <v>Scénographie</v>
      </c>
      <c r="I745" s="6" t="str" cm="1">
        <f t="array" ref="I745">choice(Referentiel!B:B,1,Settings!$B$16)</f>
        <v>5ème année Design Objet S2</v>
      </c>
      <c r="J745" s="6" t="str" cm="1">
        <f t="array" ref="J745">choice(Referentiel!D:D,1,Settings!$B$16)</f>
        <v>L1</v>
      </c>
      <c r="K745" s="6" t="str" cm="1">
        <f t="array" ref="K745">choice(Professeurs!B:B,1,Settings!$B$16)</f>
        <v>Prof2</v>
      </c>
      <c r="L745" s="5" t="str" cm="1">
        <f t="array" ref="L745">choice(Referentiel!C:C,1,Settings!$B$16)</f>
        <v/>
      </c>
      <c r="M745" s="5" t="str" cm="1">
        <f t="array" ref="M745">choice(Referentiel!E:E,1,Settings!$B$16)</f>
        <v/>
      </c>
      <c r="N745" s="5" t="str" cm="1">
        <f t="array" ref="N745">choice(Settings!K:K,1,Settings!$B$16)</f>
        <v/>
      </c>
      <c r="P745" s="5">
        <f t="shared" si="48"/>
        <v>2</v>
      </c>
    </row>
    <row r="746" spans="1:16" ht="15.75" customHeight="1" x14ac:dyDescent="0.25">
      <c r="A746" s="6" t="s">
        <v>1098</v>
      </c>
      <c r="B746" s="6" cm="1">
        <f t="array" ref="B746">alea_int(Settings!$B$10,1,Settings!$B$16)</f>
        <v>2</v>
      </c>
      <c r="C746" s="8">
        <v>46023</v>
      </c>
      <c r="D746" s="8">
        <f t="shared" si="45"/>
        <v>46387</v>
      </c>
      <c r="E746" s="6" t="str" cm="1">
        <f t="array" ref="E746">choice(Groupes!A:A,1,Settings!$B$16)</f>
        <v>G12</v>
      </c>
      <c r="F746" s="6" t="str">
        <f t="shared" si="46"/>
        <v>G12</v>
      </c>
      <c r="G746" s="6" t="str">
        <f t="shared" si="47"/>
        <v>Prof18</v>
      </c>
      <c r="H746" s="6" t="str" cm="1">
        <f t="array" ref="H746">choice(Referentiel!A:A,1,Settings!$B$16)</f>
        <v>1ère année Groupe 2</v>
      </c>
      <c r="I746" s="6" t="str" cm="1">
        <f t="array" ref="I746">choice(Referentiel!B:B,1,Settings!$B$16)</f>
        <v>3ème année Photo / Vidéo S1</v>
      </c>
      <c r="J746" s="6" t="str" cm="1">
        <f t="array" ref="J746">choice(Referentiel!D:D,1,Settings!$B$16)</f>
        <v>M1</v>
      </c>
      <c r="K746" s="6" t="str" cm="1">
        <f t="array" ref="K746">choice(Professeurs!B:B,1,Settings!$B$16)</f>
        <v>Prof18</v>
      </c>
      <c r="L746" s="5" t="str" cm="1">
        <f t="array" ref="L746">choice(Referentiel!C:C,1,Settings!$B$16)</f>
        <v/>
      </c>
      <c r="M746" s="5" t="str" cm="1">
        <f t="array" ref="M746">choice(Referentiel!E:E,1,Settings!$B$16)</f>
        <v/>
      </c>
      <c r="N746" s="5" t="str" cm="1">
        <f t="array" ref="N746">choice(Settings!K:K,1,Settings!$B$16)</f>
        <v/>
      </c>
      <c r="P746" s="5">
        <f t="shared" si="48"/>
        <v>2</v>
      </c>
    </row>
    <row r="747" spans="1:16" ht="15.75" customHeight="1" x14ac:dyDescent="0.25">
      <c r="A747" s="6" t="s">
        <v>1099</v>
      </c>
      <c r="B747" s="6" cm="1">
        <f t="array" ref="B747">alea_int(Settings!$B$10,1,Settings!$B$16)</f>
        <v>1</v>
      </c>
      <c r="C747" s="8">
        <v>46023</v>
      </c>
      <c r="D747" s="8">
        <f t="shared" si="45"/>
        <v>46387</v>
      </c>
      <c r="E747" s="6" t="str" cm="1">
        <f t="array" ref="E747">choice(Groupes!A:A,1,Settings!$B$16)</f>
        <v>G21</v>
      </c>
      <c r="F747" s="6" t="str">
        <f t="shared" si="46"/>
        <v>G21</v>
      </c>
      <c r="G747" s="6" t="str">
        <f t="shared" si="47"/>
        <v>Prof10</v>
      </c>
      <c r="H747" s="6" t="str" cm="1">
        <f t="array" ref="H747">choice(Referentiel!A:A,1,Settings!$B$16)</f>
        <v>Gr TERRITOIRES</v>
      </c>
      <c r="I747" s="6" t="str" cm="1">
        <f t="array" ref="I747">choice(Referentiel!B:B,1,Settings!$B$16)</f>
        <v>2ème année Design Vêtement S2</v>
      </c>
      <c r="J747" s="6" t="str" cm="1">
        <f t="array" ref="J747">choice(Referentiel!D:D,1,Settings!$B$16)</f>
        <v>L2</v>
      </c>
      <c r="K747" s="6" t="str" cm="1">
        <f t="array" ref="K747">choice(Professeurs!B:B,1,Settings!$B$16)</f>
        <v>Prof10</v>
      </c>
      <c r="L747" s="5" t="str" cm="1">
        <f t="array" ref="L747">choice(Referentiel!C:C,1,Settings!$B$16)</f>
        <v/>
      </c>
      <c r="M747" s="5" t="str" cm="1">
        <f t="array" ref="M747">choice(Referentiel!E:E,1,Settings!$B$16)</f>
        <v/>
      </c>
      <c r="N747" s="5" t="str" cm="1">
        <f t="array" ref="N747">choice(Settings!K:K,1,Settings!$B$16)</f>
        <v/>
      </c>
      <c r="P747" s="5">
        <f t="shared" si="48"/>
        <v>1</v>
      </c>
    </row>
    <row r="748" spans="1:16" ht="15.75" customHeight="1" x14ac:dyDescent="0.25">
      <c r="A748" s="6" t="s">
        <v>1100</v>
      </c>
      <c r="B748" s="6" cm="1">
        <f t="array" ref="B748">alea_int(Settings!$B$10,1,Settings!$B$16)</f>
        <v>2</v>
      </c>
      <c r="C748" s="8">
        <v>46023</v>
      </c>
      <c r="D748" s="8">
        <f t="shared" si="45"/>
        <v>46387</v>
      </c>
      <c r="E748" s="6" t="str" cm="1">
        <f t="array" ref="E748">choice(Groupes!A:A,1,Settings!$B$16)</f>
        <v>G14</v>
      </c>
      <c r="F748" s="6" t="str">
        <f t="shared" si="46"/>
        <v>G14</v>
      </c>
      <c r="G748" s="6" t="str">
        <f t="shared" si="47"/>
        <v>Prof43</v>
      </c>
      <c r="H748" s="6" t="str" cm="1">
        <f t="array" ref="H748">choice(Referentiel!A:A,1,Settings!$B$16)</f>
        <v>Design Objet</v>
      </c>
      <c r="I748" s="6" t="str" cm="1">
        <f t="array" ref="I748">choice(Referentiel!B:B,1,Settings!$B$16)</f>
        <v>3ème année Design Vêtement S1</v>
      </c>
      <c r="J748" s="6" t="str" cm="1">
        <f t="array" ref="J748">choice(Referentiel!D:D,1,Settings!$B$16)</f>
        <v>M1</v>
      </c>
      <c r="K748" s="6" t="str" cm="1">
        <f t="array" ref="K748">choice(Professeurs!B:B,1,Settings!$B$16)</f>
        <v>Prof43</v>
      </c>
      <c r="L748" s="5" t="str" cm="1">
        <f t="array" ref="L748">choice(Referentiel!C:C,1,Settings!$B$16)</f>
        <v/>
      </c>
      <c r="M748" s="5" t="str" cm="1">
        <f t="array" ref="M748">choice(Referentiel!E:E,1,Settings!$B$16)</f>
        <v/>
      </c>
      <c r="N748" s="5" t="str" cm="1">
        <f t="array" ref="N748">choice(Settings!K:K,1,Settings!$B$16)</f>
        <v>mardi am</v>
      </c>
      <c r="P748" s="5">
        <f t="shared" si="48"/>
        <v>4</v>
      </c>
    </row>
    <row r="749" spans="1:16" ht="15.75" customHeight="1" x14ac:dyDescent="0.25">
      <c r="A749" s="6" t="s">
        <v>1101</v>
      </c>
      <c r="B749" s="6" cm="1">
        <f t="array" ref="B749">alea_int(Settings!$B$10,1,Settings!$B$16)</f>
        <v>2</v>
      </c>
      <c r="C749" s="8">
        <v>46023</v>
      </c>
      <c r="D749" s="8">
        <f t="shared" si="45"/>
        <v>46387</v>
      </c>
      <c r="E749" s="6" t="str" cm="1">
        <f t="array" ref="E749">choice(Groupes!A:A,1,Settings!$B$16)</f>
        <v>G3</v>
      </c>
      <c r="F749" s="6" t="str">
        <f t="shared" si="46"/>
        <v>G3</v>
      </c>
      <c r="G749" s="6" t="str">
        <f t="shared" si="47"/>
        <v>Prof36</v>
      </c>
      <c r="H749" s="6" t="str" cm="1">
        <f t="array" ref="H749">choice(Referentiel!A:A,1,Settings!$B$16)</f>
        <v>Design des mondes ruraux</v>
      </c>
      <c r="I749" s="6" t="str" cm="1">
        <f t="array" ref="I749">choice(Referentiel!B:B,1,Settings!$B$16)</f>
        <v>1ère Année Groupe 1 S1</v>
      </c>
      <c r="J749" s="6" t="str" cm="1">
        <f t="array" ref="J749">choice(Referentiel!D:D,1,Settings!$B$16)</f>
        <v>L2</v>
      </c>
      <c r="K749" s="6" t="str" cm="1">
        <f t="array" ref="K749">choice(Professeurs!B:B,1,Settings!$B$16)</f>
        <v>Prof36</v>
      </c>
      <c r="L749" s="5" t="str" cm="1">
        <f t="array" ref="L749">choice(Referentiel!C:C,1,Settings!$B$16)</f>
        <v/>
      </c>
      <c r="M749" s="5" t="str" cm="1">
        <f t="array" ref="M749">choice(Referentiel!E:E,1,Settings!$B$16)</f>
        <v/>
      </c>
      <c r="N749" s="5" t="str" cm="1">
        <f t="array" ref="N749">choice(Settings!K:K,1,Settings!$B$16)</f>
        <v/>
      </c>
      <c r="P749" s="5">
        <f t="shared" si="48"/>
        <v>2</v>
      </c>
    </row>
    <row r="750" spans="1:16" ht="15.75" customHeight="1" x14ac:dyDescent="0.25">
      <c r="A750" s="6" t="s">
        <v>1102</v>
      </c>
      <c r="B750" s="6" cm="1">
        <f t="array" ref="B750">alea_int(Settings!$B$10,1,Settings!$B$16)</f>
        <v>2</v>
      </c>
      <c r="C750" s="8">
        <v>46023</v>
      </c>
      <c r="D750" s="8">
        <f t="shared" si="45"/>
        <v>46387</v>
      </c>
      <c r="E750" s="6" t="str" cm="1">
        <f t="array" ref="E750">choice(Groupes!A:A,1,Settings!$B$16)</f>
        <v>G3</v>
      </c>
      <c r="F750" s="6" t="str">
        <f t="shared" si="46"/>
        <v>G3</v>
      </c>
      <c r="G750" s="6" t="str">
        <f t="shared" si="47"/>
        <v>Prof39</v>
      </c>
      <c r="H750" s="6" t="str" cm="1">
        <f t="array" ref="H750">choice(Referentiel!A:A,1,Settings!$B$16)</f>
        <v>Design des mondes littoraux</v>
      </c>
      <c r="I750" s="6" t="str" cm="1">
        <f t="array" ref="I750">choice(Referentiel!B:B,1,Settings!$B$16)</f>
        <v>5ème année Image Imprimée S2</v>
      </c>
      <c r="J750" s="6" t="str" cm="1">
        <f t="array" ref="J750">choice(Referentiel!D:D,1,Settings!$B$16)</f>
        <v>L3</v>
      </c>
      <c r="K750" s="6" t="str" cm="1">
        <f t="array" ref="K750">choice(Professeurs!B:B,1,Settings!$B$16)</f>
        <v>Prof39</v>
      </c>
      <c r="L750" s="5" t="str" cm="1">
        <f t="array" ref="L750">choice(Referentiel!C:C,1,Settings!$B$16)</f>
        <v/>
      </c>
      <c r="M750" s="5" t="str" cm="1">
        <f t="array" ref="M750">choice(Referentiel!E:E,1,Settings!$B$16)</f>
        <v/>
      </c>
      <c r="N750" s="5" t="str" cm="1">
        <f t="array" ref="N750">choice(Settings!K:K,1,Settings!$B$16)</f>
        <v/>
      </c>
      <c r="P750" s="5">
        <f t="shared" si="48"/>
        <v>2</v>
      </c>
    </row>
    <row r="751" spans="1:16" ht="15.75" customHeight="1" x14ac:dyDescent="0.25">
      <c r="A751" s="6" t="s">
        <v>1103</v>
      </c>
      <c r="B751" s="6" cm="1">
        <f t="array" ref="B751">alea_int(Settings!$B$10,1,Settings!$B$16)</f>
        <v>1</v>
      </c>
      <c r="C751" s="8">
        <v>46023</v>
      </c>
      <c r="D751" s="8">
        <f t="shared" si="45"/>
        <v>46387</v>
      </c>
      <c r="E751" s="6" t="str" cm="1">
        <f t="array" ref="E751">choice(Groupes!A:A,1,Settings!$B$16)</f>
        <v>G6</v>
      </c>
      <c r="F751" s="6" t="str">
        <f t="shared" si="46"/>
        <v>G6</v>
      </c>
      <c r="G751" s="6" t="str">
        <f t="shared" si="47"/>
        <v>Prof18</v>
      </c>
      <c r="H751" s="6" t="str" cm="1">
        <f t="array" ref="H751">choice(Referentiel!A:A,1,Settings!$B$16)</f>
        <v>1ère année Groupe 2</v>
      </c>
      <c r="I751" s="6" t="str" cm="1">
        <f t="array" ref="I751">choice(Referentiel!B:B,1,Settings!$B$16)</f>
        <v>3ème année Photo / Vidéo S1</v>
      </c>
      <c r="J751" s="6" t="str" cm="1">
        <f t="array" ref="J751">choice(Referentiel!D:D,1,Settings!$B$16)</f>
        <v>L3</v>
      </c>
      <c r="K751" s="6" t="str" cm="1">
        <f t="array" ref="K751">choice(Professeurs!B:B,1,Settings!$B$16)</f>
        <v>Prof18</v>
      </c>
      <c r="L751" s="5" t="str" cm="1">
        <f t="array" ref="L751">choice(Referentiel!C:C,1,Settings!$B$16)</f>
        <v/>
      </c>
      <c r="M751" s="5" t="str" cm="1">
        <f t="array" ref="M751">choice(Referentiel!E:E,1,Settings!$B$16)</f>
        <v/>
      </c>
      <c r="N751" s="5" t="str" cm="1">
        <f t="array" ref="N751">choice(Settings!K:K,1,Settings!$B$16)</f>
        <v/>
      </c>
      <c r="P751" s="5">
        <f t="shared" si="48"/>
        <v>1</v>
      </c>
    </row>
    <row r="752" spans="1:16" ht="15.75" customHeight="1" x14ac:dyDescent="0.25">
      <c r="A752" s="6" t="s">
        <v>1104</v>
      </c>
      <c r="B752" s="6" cm="1">
        <f t="array" ref="B752">alea_int(Settings!$B$10,1,Settings!$B$16)</f>
        <v>2</v>
      </c>
      <c r="C752" s="8">
        <v>46023</v>
      </c>
      <c r="D752" s="8">
        <f t="shared" si="45"/>
        <v>46387</v>
      </c>
      <c r="E752" s="6" t="str" cm="1">
        <f t="array" ref="E752">choice(Groupes!A:A,1,Settings!$B$16)</f>
        <v>G13</v>
      </c>
      <c r="F752" s="6" t="str">
        <f t="shared" si="46"/>
        <v>G13</v>
      </c>
      <c r="G752" s="6" t="str">
        <f t="shared" si="47"/>
        <v>Prof13</v>
      </c>
      <c r="H752" s="6" t="str" cm="1">
        <f t="array" ref="H752">choice(Referentiel!A:A,1,Settings!$B$16)</f>
        <v>6ème année atelier</v>
      </c>
      <c r="I752" s="6" t="str" cm="1">
        <f t="array" ref="I752">choice(Referentiel!B:B,1,Settings!$B$16)</f>
        <v>2ème année Image Imprimée S1</v>
      </c>
      <c r="J752" s="6" t="str" cm="1">
        <f t="array" ref="J752">choice(Referentiel!D:D,1,Settings!$B$16)</f>
        <v>L3</v>
      </c>
      <c r="K752" s="6" t="str" cm="1">
        <f t="array" ref="K752">choice(Professeurs!B:B,1,Settings!$B$16)</f>
        <v>Prof13</v>
      </c>
      <c r="L752" s="5" t="str" cm="1">
        <f t="array" ref="L752">choice(Referentiel!C:C,1,Settings!$B$16)</f>
        <v/>
      </c>
      <c r="M752" s="5" t="str" cm="1">
        <f t="array" ref="M752">choice(Referentiel!E:E,1,Settings!$B$16)</f>
        <v/>
      </c>
      <c r="N752" s="5" t="str" cm="1">
        <f t="array" ref="N752">choice(Settings!K:K,1,Settings!$B$16)</f>
        <v>jeudi pm</v>
      </c>
      <c r="P752" s="5">
        <f t="shared" si="48"/>
        <v>4</v>
      </c>
    </row>
    <row r="753" spans="1:16" ht="15.75" customHeight="1" x14ac:dyDescent="0.25">
      <c r="A753" s="6" t="s">
        <v>1105</v>
      </c>
      <c r="B753" s="6" cm="1">
        <f t="array" ref="B753">alea_int(Settings!$B$10,1,Settings!$B$16)</f>
        <v>2</v>
      </c>
      <c r="C753" s="8">
        <v>46023</v>
      </c>
      <c r="D753" s="8">
        <f t="shared" si="45"/>
        <v>46387</v>
      </c>
      <c r="E753" s="6" t="str" cm="1">
        <f t="array" ref="E753">choice(Groupes!A:A,1,Settings!$B$16)</f>
        <v>G7</v>
      </c>
      <c r="F753" s="6" t="str">
        <f t="shared" si="46"/>
        <v>G7</v>
      </c>
      <c r="G753" s="6" t="str">
        <f t="shared" si="47"/>
        <v>Prof55</v>
      </c>
      <c r="H753" s="6" t="str" cm="1">
        <f t="array" ref="H753">choice(Referentiel!A:A,1,Settings!$B$16)</f>
        <v>6ème ANNÉE STAGE</v>
      </c>
      <c r="I753" s="6" t="str" cm="1">
        <f t="array" ref="I753">choice(Referentiel!B:B,1,Settings!$B$16)</f>
        <v>1ère Année Groupe 1 S2</v>
      </c>
      <c r="J753" s="6" t="str" cm="1">
        <f t="array" ref="J753">choice(Referentiel!D:D,1,Settings!$B$16)</f>
        <v>M1</v>
      </c>
      <c r="K753" s="6" t="str" cm="1">
        <f t="array" ref="K753">choice(Professeurs!B:B,1,Settings!$B$16)</f>
        <v>Prof55</v>
      </c>
      <c r="L753" s="5" t="str" cm="1">
        <f t="array" ref="L753">choice(Referentiel!C:C,1,Settings!$B$16)</f>
        <v/>
      </c>
      <c r="M753" s="5" t="str" cm="1">
        <f t="array" ref="M753">choice(Referentiel!E:E,1,Settings!$B$16)</f>
        <v/>
      </c>
      <c r="N753" s="5" t="str" cm="1">
        <f t="array" ref="N753">choice(Settings!K:K,1,Settings!$B$16)</f>
        <v/>
      </c>
      <c r="P753" s="5">
        <f t="shared" si="48"/>
        <v>2</v>
      </c>
    </row>
    <row r="754" spans="1:16" ht="15.75" customHeight="1" x14ac:dyDescent="0.25">
      <c r="A754" s="6" t="s">
        <v>1106</v>
      </c>
      <c r="B754" s="6" cm="1">
        <f t="array" ref="B754">alea_int(Settings!$B$10,1,Settings!$B$16)</f>
        <v>1</v>
      </c>
      <c r="C754" s="8">
        <v>46023</v>
      </c>
      <c r="D754" s="8">
        <f t="shared" si="45"/>
        <v>46387</v>
      </c>
      <c r="E754" s="6" t="str" cm="1">
        <f t="array" ref="E754">choice(Groupes!A:A,1,Settings!$B$16)</f>
        <v>G6</v>
      </c>
      <c r="F754" s="6" t="str">
        <f t="shared" si="46"/>
        <v>G6</v>
      </c>
      <c r="G754" s="6" t="str">
        <f t="shared" si="47"/>
        <v>Prof16</v>
      </c>
      <c r="H754" s="6" t="str" cm="1">
        <f t="array" ref="H754">choice(Referentiel!A:A,1,Settings!$B$16)</f>
        <v>Architecture Intérieure</v>
      </c>
      <c r="I754" s="6" t="str" cm="1">
        <f t="array" ref="I754">choice(Referentiel!B:B,1,Settings!$B$16)</f>
        <v>5ème année Design Objet S2</v>
      </c>
      <c r="J754" s="6" t="str" cm="1">
        <f t="array" ref="J754">choice(Referentiel!D:D,1,Settings!$B$16)</f>
        <v>M1</v>
      </c>
      <c r="K754" s="6" t="str" cm="1">
        <f t="array" ref="K754">choice(Professeurs!B:B,1,Settings!$B$16)</f>
        <v>Prof16</v>
      </c>
      <c r="L754" s="5" t="str" cm="1">
        <f t="array" ref="L754">choice(Referentiel!C:C,1,Settings!$B$16)</f>
        <v/>
      </c>
      <c r="M754" s="5" t="str" cm="1">
        <f t="array" ref="M754">choice(Referentiel!E:E,1,Settings!$B$16)</f>
        <v/>
      </c>
      <c r="N754" s="5" t="str" cm="1">
        <f t="array" ref="N754">choice(Settings!K:K,1,Settings!$B$16)</f>
        <v>mercredi pm</v>
      </c>
      <c r="P754" s="5">
        <f t="shared" si="48"/>
        <v>3</v>
      </c>
    </row>
    <row r="755" spans="1:16" ht="15.75" customHeight="1" x14ac:dyDescent="0.25">
      <c r="A755" s="6" t="s">
        <v>1107</v>
      </c>
      <c r="B755" s="6" cm="1">
        <f t="array" ref="B755">alea_int(Settings!$B$10,1,Settings!$B$16)</f>
        <v>2</v>
      </c>
      <c r="C755" s="8">
        <v>46023</v>
      </c>
      <c r="D755" s="8">
        <f t="shared" si="45"/>
        <v>46387</v>
      </c>
      <c r="E755" s="6" t="str" cm="1">
        <f t="array" ref="E755">choice(Groupes!A:A,1,Settings!$B$16)</f>
        <v>G24</v>
      </c>
      <c r="F755" s="6" t="str">
        <f t="shared" si="46"/>
        <v>G24</v>
      </c>
      <c r="G755" s="6" t="str">
        <f t="shared" si="47"/>
        <v>Prof36</v>
      </c>
      <c r="H755" s="6" t="str" cm="1">
        <f t="array" ref="H755">choice(Referentiel!A:A,1,Settings!$B$16)</f>
        <v>Image Imprimée</v>
      </c>
      <c r="I755" s="6" t="str" cm="1">
        <f t="array" ref="I755">choice(Referentiel!B:B,1,Settings!$B$16)</f>
        <v>1ère Année Groupe 2 S2</v>
      </c>
      <c r="J755" s="6" t="str" cm="1">
        <f t="array" ref="J755">choice(Referentiel!D:D,1,Settings!$B$16)</f>
        <v>L1</v>
      </c>
      <c r="K755" s="6" t="str" cm="1">
        <f t="array" ref="K755">choice(Professeurs!B:B,1,Settings!$B$16)</f>
        <v>Prof36</v>
      </c>
      <c r="L755" s="5" t="str" cm="1">
        <f t="array" ref="L755">choice(Referentiel!C:C,1,Settings!$B$16)</f>
        <v/>
      </c>
      <c r="M755" s="5" t="str" cm="1">
        <f t="array" ref="M755">choice(Referentiel!E:E,1,Settings!$B$16)</f>
        <v/>
      </c>
      <c r="N755" s="5" t="str" cm="1">
        <f t="array" ref="N755">choice(Settings!K:K,1,Settings!$B$16)</f>
        <v>mardi pm</v>
      </c>
      <c r="P755" s="5">
        <f t="shared" si="48"/>
        <v>4</v>
      </c>
    </row>
    <row r="756" spans="1:16" ht="15.75" customHeight="1" x14ac:dyDescent="0.25">
      <c r="A756" s="6" t="s">
        <v>1108</v>
      </c>
      <c r="B756" s="6" cm="1">
        <f t="array" ref="B756">alea_int(Settings!$B$10,1,Settings!$B$16)</f>
        <v>2</v>
      </c>
      <c r="C756" s="8">
        <v>46023</v>
      </c>
      <c r="D756" s="8">
        <f t="shared" si="45"/>
        <v>46387</v>
      </c>
      <c r="E756" s="6" t="str" cm="1">
        <f t="array" ref="E756">choice(Groupes!A:A,1,Settings!$B$16)</f>
        <v>G5</v>
      </c>
      <c r="F756" s="6" t="str">
        <f t="shared" si="46"/>
        <v>G5</v>
      </c>
      <c r="G756" s="6" t="str">
        <f t="shared" si="47"/>
        <v>Prof9</v>
      </c>
      <c r="H756" s="6" t="str" cm="1">
        <f t="array" ref="H756">choice(Referentiel!A:A,1,Settings!$B$16)</f>
        <v>1ère année Groupe 2</v>
      </c>
      <c r="I756" s="6" t="str" cm="1">
        <f t="array" ref="I756">choice(Referentiel!B:B,1,Settings!$B$16)</f>
        <v>4ème année Art-Espace S1</v>
      </c>
      <c r="J756" s="6" t="str" cm="1">
        <f t="array" ref="J756">choice(Referentiel!D:D,1,Settings!$B$16)</f>
        <v>L3</v>
      </c>
      <c r="K756" s="6" t="str" cm="1">
        <f t="array" ref="K756">choice(Professeurs!B:B,1,Settings!$B$16)</f>
        <v>Prof9</v>
      </c>
      <c r="L756" s="5" t="str" cm="1">
        <f t="array" ref="L756">choice(Referentiel!C:C,1,Settings!$B$16)</f>
        <v/>
      </c>
      <c r="M756" s="5" t="str" cm="1">
        <f t="array" ref="M756">choice(Referentiel!E:E,1,Settings!$B$16)</f>
        <v/>
      </c>
      <c r="N756" s="5" t="str" cm="1">
        <f t="array" ref="N756">choice(Settings!K:K,1,Settings!$B$16)</f>
        <v/>
      </c>
      <c r="P756" s="5">
        <f t="shared" si="48"/>
        <v>2</v>
      </c>
    </row>
    <row r="757" spans="1:16" ht="15.75" customHeight="1" x14ac:dyDescent="0.25">
      <c r="A757" s="6" t="s">
        <v>1109</v>
      </c>
      <c r="B757" s="6" cm="1">
        <f t="array" ref="B757">alea_int(Settings!$B$10,1,Settings!$B$16)</f>
        <v>2</v>
      </c>
      <c r="C757" s="8">
        <v>46023</v>
      </c>
      <c r="D757" s="8">
        <f t="shared" si="45"/>
        <v>46387</v>
      </c>
      <c r="E757" s="6" t="str" cm="1">
        <f t="array" ref="E757">choice(Groupes!A:A,1,Settings!$B$16)</f>
        <v>G6</v>
      </c>
      <c r="F757" s="6" t="str">
        <f t="shared" si="46"/>
        <v>G6</v>
      </c>
      <c r="G757" s="6" t="str">
        <f t="shared" si="47"/>
        <v>Prof6</v>
      </c>
      <c r="H757" s="6" t="str" cm="1">
        <f t="array" ref="H757">choice(Referentiel!A:A,1,Settings!$B$16)</f>
        <v>Design Textile et Matière</v>
      </c>
      <c r="I757" s="6" t="str" cm="1">
        <f t="array" ref="I757">choice(Referentiel!B:B,1,Settings!$B$16)</f>
        <v>4ème année Design Vêtement S1</v>
      </c>
      <c r="J757" s="6" t="str" cm="1">
        <f t="array" ref="J757">choice(Referentiel!D:D,1,Settings!$B$16)</f>
        <v>M2</v>
      </c>
      <c r="K757" s="6" t="str" cm="1">
        <f t="array" ref="K757">choice(Professeurs!B:B,1,Settings!$B$16)</f>
        <v>Prof6</v>
      </c>
      <c r="L757" s="5" t="str" cm="1">
        <f t="array" ref="L757">choice(Referentiel!C:C,1,Settings!$B$16)</f>
        <v>tablette</v>
      </c>
      <c r="M757" s="5" t="str" cm="1">
        <f t="array" ref="M757">choice(Referentiel!E:E,1,Settings!$B$16)</f>
        <v/>
      </c>
      <c r="N757" s="5" t="str" cm="1">
        <f t="array" ref="N757">choice(Settings!K:K,1,Settings!$B$16)</f>
        <v/>
      </c>
      <c r="P757" s="5">
        <f t="shared" si="48"/>
        <v>2</v>
      </c>
    </row>
    <row r="758" spans="1:16" ht="15.75" customHeight="1" x14ac:dyDescent="0.25">
      <c r="A758" s="6" t="s">
        <v>1110</v>
      </c>
      <c r="B758" s="6" cm="1">
        <f t="array" ref="B758">alea_int(Settings!$B$10,1,Settings!$B$16)</f>
        <v>2</v>
      </c>
      <c r="C758" s="8">
        <v>46023</v>
      </c>
      <c r="D758" s="8">
        <f t="shared" si="45"/>
        <v>46387</v>
      </c>
      <c r="E758" s="6" t="str" cm="1">
        <f t="array" ref="E758">choice(Groupes!A:A,1,Settings!$B$16)</f>
        <v>G2</v>
      </c>
      <c r="F758" s="6" t="str">
        <f t="shared" si="46"/>
        <v>G2</v>
      </c>
      <c r="G758" s="6" t="str">
        <f t="shared" si="47"/>
        <v>Prof55</v>
      </c>
      <c r="H758" s="6" t="str" cm="1">
        <f t="array" ref="H758">choice(Referentiel!A:A,1,Settings!$B$16)</f>
        <v>Architecture Intérieure</v>
      </c>
      <c r="I758" s="6" t="str" cm="1">
        <f t="array" ref="I758">choice(Referentiel!B:B,1,Settings!$B$16)</f>
        <v>2ème année Image Imprimée S1</v>
      </c>
      <c r="J758" s="6" t="str" cm="1">
        <f t="array" ref="J758">choice(Referentiel!D:D,1,Settings!$B$16)</f>
        <v>M1</v>
      </c>
      <c r="K758" s="6" t="str" cm="1">
        <f t="array" ref="K758">choice(Professeurs!B:B,1,Settings!$B$16)</f>
        <v>Prof55</v>
      </c>
      <c r="L758" s="5" t="str" cm="1">
        <f t="array" ref="L758">choice(Referentiel!C:C,1,Settings!$B$16)</f>
        <v/>
      </c>
      <c r="M758" s="5" t="str" cm="1">
        <f t="array" ref="M758">choice(Referentiel!E:E,1,Settings!$B$16)</f>
        <v/>
      </c>
      <c r="N758" s="5" t="str" cm="1">
        <f t="array" ref="N758">choice(Settings!K:K,1,Settings!$B$16)</f>
        <v>mardi pm</v>
      </c>
      <c r="P758" s="5">
        <f t="shared" si="48"/>
        <v>4</v>
      </c>
    </row>
    <row r="759" spans="1:16" ht="15.75" customHeight="1" x14ac:dyDescent="0.25">
      <c r="A759" s="6" t="s">
        <v>1111</v>
      </c>
      <c r="B759" s="6" cm="1">
        <f t="array" ref="B759">alea_int(Settings!$B$10,1,Settings!$B$16)</f>
        <v>3</v>
      </c>
      <c r="C759" s="8">
        <v>46023</v>
      </c>
      <c r="D759" s="8">
        <f t="shared" si="45"/>
        <v>46387</v>
      </c>
      <c r="E759" s="6" t="str" cm="1">
        <f t="array" ref="E759">choice(Groupes!A:A,1,Settings!$B$16)</f>
        <v>G27</v>
      </c>
      <c r="F759" s="6" t="str">
        <f t="shared" si="46"/>
        <v>G27</v>
      </c>
      <c r="G759" s="6" t="str">
        <f t="shared" si="47"/>
        <v>Prof21</v>
      </c>
      <c r="H759" s="6" t="str" cm="1">
        <f t="array" ref="H759">choice(Referentiel!A:A,1,Settings!$B$16)</f>
        <v>Design Graphique</v>
      </c>
      <c r="I759" s="6" t="str" cm="1">
        <f t="array" ref="I759">choice(Referentiel!B:B,1,Settings!$B$16)</f>
        <v>3ème année Architecture Intérieure S1</v>
      </c>
      <c r="J759" s="6" t="str" cm="1">
        <f t="array" ref="J759">choice(Referentiel!D:D,1,Settings!$B$16)</f>
        <v>L3</v>
      </c>
      <c r="K759" s="6" t="str" cm="1">
        <f t="array" ref="K759">choice(Professeurs!B:B,1,Settings!$B$16)</f>
        <v>Prof21</v>
      </c>
      <c r="L759" s="5" t="str" cm="1">
        <f t="array" ref="L759">choice(Referentiel!C:C,1,Settings!$B$16)</f>
        <v/>
      </c>
      <c r="M759" s="5" t="str" cm="1">
        <f t="array" ref="M759">choice(Referentiel!E:E,1,Settings!$B$16)</f>
        <v/>
      </c>
      <c r="N759" s="5" t="str" cm="1">
        <f t="array" ref="N759">choice(Settings!K:K,1,Settings!$B$16)</f>
        <v>vendredi pm</v>
      </c>
      <c r="P759" s="5">
        <f t="shared" si="48"/>
        <v>5</v>
      </c>
    </row>
    <row r="760" spans="1:16" ht="15.75" customHeight="1" x14ac:dyDescent="0.25">
      <c r="A760" s="6" t="s">
        <v>1112</v>
      </c>
      <c r="B760" s="6" cm="1">
        <f t="array" ref="B760">alea_int(Settings!$B$10,1,Settings!$B$16)</f>
        <v>1</v>
      </c>
      <c r="C760" s="8">
        <v>46023</v>
      </c>
      <c r="D760" s="8">
        <f t="shared" si="45"/>
        <v>46387</v>
      </c>
      <c r="E760" s="6" t="str" cm="1">
        <f t="array" ref="E760">choice(Groupes!A:A,1,Settings!$B$16)</f>
        <v>G18</v>
      </c>
      <c r="F760" s="6" t="str">
        <f t="shared" si="46"/>
        <v>G18</v>
      </c>
      <c r="G760" s="6" t="str">
        <f t="shared" si="47"/>
        <v>Prof35</v>
      </c>
      <c r="H760" s="6" t="str" cm="1">
        <f t="array" ref="H760">choice(Referentiel!A:A,1,Settings!$B$16)</f>
        <v>Scénographie</v>
      </c>
      <c r="I760" s="6" t="str" cm="1">
        <f t="array" ref="I760">choice(Referentiel!B:B,1,Settings!$B$16)</f>
        <v>5ème année Art-Espace S1</v>
      </c>
      <c r="J760" s="6" t="str" cm="1">
        <f t="array" ref="J760">choice(Referentiel!D:D,1,Settings!$B$16)</f>
        <v>L2</v>
      </c>
      <c r="K760" s="6" t="str" cm="1">
        <f t="array" ref="K760">choice(Professeurs!B:B,1,Settings!$B$16)</f>
        <v>Prof35</v>
      </c>
      <c r="L760" s="5" t="str" cm="1">
        <f t="array" ref="L760">choice(Referentiel!C:C,1,Settings!$B$16)</f>
        <v/>
      </c>
      <c r="M760" s="5" t="str" cm="1">
        <f t="array" ref="M760">choice(Referentiel!E:E,1,Settings!$B$16)</f>
        <v/>
      </c>
      <c r="N760" s="5" t="str" cm="1">
        <f t="array" ref="N760">choice(Settings!K:K,1,Settings!$B$16)</f>
        <v/>
      </c>
      <c r="P760" s="5">
        <f t="shared" si="48"/>
        <v>1</v>
      </c>
    </row>
    <row r="761" spans="1:16" ht="15.75" customHeight="1" x14ac:dyDescent="0.25">
      <c r="A761" s="6" t="s">
        <v>1113</v>
      </c>
      <c r="B761" s="6" cm="1">
        <f t="array" ref="B761">alea_int(Settings!$B$10,1,Settings!$B$16)</f>
        <v>2</v>
      </c>
      <c r="C761" s="8">
        <v>46023</v>
      </c>
      <c r="D761" s="8">
        <f t="shared" si="45"/>
        <v>46387</v>
      </c>
      <c r="E761" s="6" t="str" cm="1">
        <f t="array" ref="E761">choice(Groupes!A:A,1,Settings!$B$16)</f>
        <v>G9</v>
      </c>
      <c r="F761" s="6" t="str">
        <f t="shared" si="46"/>
        <v>G9</v>
      </c>
      <c r="G761" s="6" t="str">
        <f t="shared" si="47"/>
        <v>Prof54</v>
      </c>
      <c r="H761" s="6" t="str" cm="1">
        <f t="array" ref="H761">choice(Referentiel!A:A,1,Settings!$B$16)</f>
        <v>Gr ART, DESIGN, SOCIETE</v>
      </c>
      <c r="I761" s="6" t="str" cm="1">
        <f t="array" ref="I761">choice(Referentiel!B:B,1,Settings!$B$16)</f>
        <v>2ème année Cinéma d'Animation S1</v>
      </c>
      <c r="J761" s="6" t="str" cm="1">
        <f t="array" ref="J761">choice(Referentiel!D:D,1,Settings!$B$16)</f>
        <v>L1</v>
      </c>
      <c r="K761" s="6" t="str" cm="1">
        <f t="array" ref="K761">choice(Professeurs!B:B,1,Settings!$B$16)</f>
        <v>Prof54</v>
      </c>
      <c r="L761" s="5" t="str" cm="1">
        <f t="array" ref="L761">choice(Referentiel!C:C,1,Settings!$B$16)</f>
        <v/>
      </c>
      <c r="M761" s="5" t="str" cm="1">
        <f t="array" ref="M761">choice(Referentiel!E:E,1,Settings!$B$16)</f>
        <v/>
      </c>
      <c r="N761" s="5" t="str" cm="1">
        <f t="array" ref="N761">choice(Settings!K:K,1,Settings!$B$16)</f>
        <v/>
      </c>
      <c r="P761" s="5">
        <f t="shared" si="48"/>
        <v>2</v>
      </c>
    </row>
    <row r="762" spans="1:16" ht="15.75" customHeight="1" x14ac:dyDescent="0.25">
      <c r="A762" s="6" t="s">
        <v>1114</v>
      </c>
      <c r="B762" s="6" cm="1">
        <f t="array" ref="B762">alea_int(Settings!$B$10,1,Settings!$B$16)</f>
        <v>2</v>
      </c>
      <c r="C762" s="8">
        <v>46023</v>
      </c>
      <c r="D762" s="8">
        <f t="shared" si="45"/>
        <v>46387</v>
      </c>
      <c r="E762" s="6" t="str" cm="1">
        <f t="array" ref="E762">choice(Groupes!A:A,1,Settings!$B$16)</f>
        <v>G16</v>
      </c>
      <c r="F762" s="6" t="str">
        <f t="shared" si="46"/>
        <v>G16</v>
      </c>
      <c r="G762" s="6" t="str">
        <f t="shared" si="47"/>
        <v>Prof8</v>
      </c>
      <c r="H762" s="6" t="str" cm="1">
        <f t="array" ref="H762">choice(Referentiel!A:A,1,Settings!$B$16)</f>
        <v>Architecture Intérieure</v>
      </c>
      <c r="I762" s="6" t="str" cm="1">
        <f t="array" ref="I762">choice(Referentiel!B:B,1,Settings!$B$16)</f>
        <v>4ème année Cinéma d'Animation S1</v>
      </c>
      <c r="J762" s="6" t="str" cm="1">
        <f t="array" ref="J762">choice(Referentiel!D:D,1,Settings!$B$16)</f>
        <v>L3</v>
      </c>
      <c r="K762" s="6" t="str" cm="1">
        <f t="array" ref="K762">choice(Professeurs!B:B,1,Settings!$B$16)</f>
        <v>Prof8</v>
      </c>
      <c r="L762" s="5" t="str" cm="1">
        <f t="array" ref="L762">choice(Referentiel!C:C,1,Settings!$B$16)</f>
        <v/>
      </c>
      <c r="M762" s="5" t="str" cm="1">
        <f t="array" ref="M762">choice(Referentiel!E:E,1,Settings!$B$16)</f>
        <v/>
      </c>
      <c r="N762" s="5" t="str" cm="1">
        <f t="array" ref="N762">choice(Settings!K:K,1,Settings!$B$16)</f>
        <v/>
      </c>
      <c r="P762" s="5">
        <f t="shared" si="48"/>
        <v>2</v>
      </c>
    </row>
    <row r="763" spans="1:16" ht="15.75" customHeight="1" x14ac:dyDescent="0.25">
      <c r="A763" s="6" t="s">
        <v>1115</v>
      </c>
      <c r="B763" s="6" cm="1">
        <f t="array" ref="B763">alea_int(Settings!$B$10,1,Settings!$B$16)</f>
        <v>3</v>
      </c>
      <c r="C763" s="8">
        <v>46023</v>
      </c>
      <c r="D763" s="8">
        <f t="shared" si="45"/>
        <v>46387</v>
      </c>
      <c r="E763" s="6" t="str" cm="1">
        <f t="array" ref="E763">choice(Groupes!A:A,1,Settings!$B$16)</f>
        <v>G8</v>
      </c>
      <c r="F763" s="6" t="str">
        <f t="shared" si="46"/>
        <v>G8</v>
      </c>
      <c r="G763" s="6" t="str">
        <f t="shared" si="47"/>
        <v>Prof26</v>
      </c>
      <c r="H763" s="6" t="str" cm="1">
        <f t="array" ref="H763">choice(Referentiel!A:A,1,Settings!$B$16)</f>
        <v>Art-Espace</v>
      </c>
      <c r="I763" s="6" t="str" cm="1">
        <f t="array" ref="I763">choice(Referentiel!B:B,1,Settings!$B$16)</f>
        <v>4ème année Architecture Intérieure S2</v>
      </c>
      <c r="J763" s="6" t="str" cm="1">
        <f t="array" ref="J763">choice(Referentiel!D:D,1,Settings!$B$16)</f>
        <v>M1</v>
      </c>
      <c r="K763" s="6" t="str" cm="1">
        <f t="array" ref="K763">choice(Professeurs!B:B,1,Settings!$B$16)</f>
        <v>Prof26</v>
      </c>
      <c r="L763" s="5" t="str" cm="1">
        <f t="array" ref="L763">choice(Referentiel!C:C,1,Settings!$B$16)</f>
        <v>tablette</v>
      </c>
      <c r="M763" s="5" t="str" cm="1">
        <f t="array" ref="M763">choice(Referentiel!E:E,1,Settings!$B$16)</f>
        <v/>
      </c>
      <c r="N763" s="5" t="str" cm="1">
        <f t="array" ref="N763">choice(Settings!K:K,1,Settings!$B$16)</f>
        <v/>
      </c>
      <c r="P763" s="5">
        <f t="shared" si="48"/>
        <v>3</v>
      </c>
    </row>
    <row r="764" spans="1:16" ht="15.75" customHeight="1" x14ac:dyDescent="0.25">
      <c r="A764" s="6" t="s">
        <v>1116</v>
      </c>
      <c r="B764" s="6" cm="1">
        <f t="array" ref="B764">alea_int(Settings!$B$10,1,Settings!$B$16)</f>
        <v>2</v>
      </c>
      <c r="C764" s="8">
        <v>46023</v>
      </c>
      <c r="D764" s="8">
        <f t="shared" si="45"/>
        <v>46387</v>
      </c>
      <c r="E764" s="6" t="str" cm="1">
        <f t="array" ref="E764">choice(Groupes!A:A,1,Settings!$B$16)</f>
        <v>G20</v>
      </c>
      <c r="F764" s="6" t="str">
        <f t="shared" si="46"/>
        <v>G20</v>
      </c>
      <c r="G764" s="6" t="str">
        <f t="shared" si="47"/>
        <v>Prof31</v>
      </c>
      <c r="H764" s="6" t="str" cm="1">
        <f t="array" ref="H764">choice(Referentiel!A:A,1,Settings!$B$16)</f>
        <v>Photo / Vidéo</v>
      </c>
      <c r="I764" s="6" t="str" cm="1">
        <f t="array" ref="I764">choice(Referentiel!B:B,1,Settings!$B$16)</f>
        <v>3ème année Design Graphique S1</v>
      </c>
      <c r="J764" s="6" t="str" cm="1">
        <f t="array" ref="J764">choice(Referentiel!D:D,1,Settings!$B$16)</f>
        <v>M1</v>
      </c>
      <c r="K764" s="6" t="str" cm="1">
        <f t="array" ref="K764">choice(Professeurs!B:B,1,Settings!$B$16)</f>
        <v>Prof31</v>
      </c>
      <c r="L764" s="5" t="str" cm="1">
        <f t="array" ref="L764">choice(Referentiel!C:C,1,Settings!$B$16)</f>
        <v/>
      </c>
      <c r="M764" s="5" t="str" cm="1">
        <f t="array" ref="M764">choice(Referentiel!E:E,1,Settings!$B$16)</f>
        <v/>
      </c>
      <c r="N764" s="5" t="str" cm="1">
        <f t="array" ref="N764">choice(Settings!K:K,1,Settings!$B$16)</f>
        <v/>
      </c>
      <c r="P764" s="5">
        <f t="shared" si="48"/>
        <v>2</v>
      </c>
    </row>
    <row r="765" spans="1:16" ht="15.75" customHeight="1" x14ac:dyDescent="0.25">
      <c r="A765" s="6" t="s">
        <v>1117</v>
      </c>
      <c r="B765" s="6" cm="1">
        <f t="array" ref="B765">alea_int(Settings!$B$10,1,Settings!$B$16)</f>
        <v>2</v>
      </c>
      <c r="C765" s="8">
        <v>46023</v>
      </c>
      <c r="D765" s="8">
        <f t="shared" si="45"/>
        <v>46387</v>
      </c>
      <c r="E765" s="6" t="str" cm="1">
        <f t="array" ref="E765">choice(Groupes!A:A,1,Settings!$B$16)</f>
        <v>G11</v>
      </c>
      <c r="F765" s="6" t="str">
        <f t="shared" si="46"/>
        <v>G11</v>
      </c>
      <c r="G765" s="6" t="str">
        <f t="shared" si="47"/>
        <v>Prof33</v>
      </c>
      <c r="H765" s="6" t="str" cm="1">
        <f t="array" ref="H765">choice(Referentiel!A:A,1,Settings!$B$16)</f>
        <v>Scénographie</v>
      </c>
      <c r="I765" s="6" t="str" cm="1">
        <f t="array" ref="I765">choice(Referentiel!B:B,1,Settings!$B$16)</f>
        <v>4ème année Design Objet S1</v>
      </c>
      <c r="J765" s="6" t="str" cm="1">
        <f t="array" ref="J765">choice(Referentiel!D:D,1,Settings!$B$16)</f>
        <v>M2</v>
      </c>
      <c r="K765" s="6" t="str" cm="1">
        <f t="array" ref="K765">choice(Professeurs!B:B,1,Settings!$B$16)</f>
        <v>Prof33</v>
      </c>
      <c r="L765" s="5" t="str" cm="1">
        <f t="array" ref="L765">choice(Referentiel!C:C,1,Settings!$B$16)</f>
        <v/>
      </c>
      <c r="M765" s="5" t="str" cm="1">
        <f t="array" ref="M765">choice(Referentiel!E:E,1,Settings!$B$16)</f>
        <v/>
      </c>
      <c r="N765" s="5" t="str" cm="1">
        <f t="array" ref="N765">choice(Settings!K:K,1,Settings!$B$16)</f>
        <v>mardi am</v>
      </c>
      <c r="P765" s="5">
        <f t="shared" si="48"/>
        <v>4</v>
      </c>
    </row>
    <row r="766" spans="1:16" ht="15.75" customHeight="1" x14ac:dyDescent="0.25">
      <c r="A766" s="6" t="s">
        <v>1118</v>
      </c>
      <c r="B766" s="6" cm="1">
        <f t="array" ref="B766">alea_int(Settings!$B$10,1,Settings!$B$16)</f>
        <v>3</v>
      </c>
      <c r="C766" s="8">
        <v>46023</v>
      </c>
      <c r="D766" s="8">
        <f t="shared" si="45"/>
        <v>46387</v>
      </c>
      <c r="E766" s="6" t="str" cm="1">
        <f t="array" ref="E766">choice(Groupes!A:A,1,Settings!$B$16)</f>
        <v>G21</v>
      </c>
      <c r="F766" s="6" t="str">
        <f t="shared" si="46"/>
        <v>G21</v>
      </c>
      <c r="G766" s="6" t="str">
        <f t="shared" si="47"/>
        <v>Prof35</v>
      </c>
      <c r="H766" s="6" t="str" cm="1">
        <f t="array" ref="H766">choice(Referentiel!A:A,1,Settings!$B$16)</f>
        <v>Design Textile et Matière</v>
      </c>
      <c r="I766" s="6" t="str" cm="1">
        <f t="array" ref="I766">choice(Referentiel!B:B,1,Settings!$B$16)</f>
        <v>5ème année Design Textile et Matière S1</v>
      </c>
      <c r="J766" s="6" t="str" cm="1">
        <f t="array" ref="J766">choice(Referentiel!D:D,1,Settings!$B$16)</f>
        <v>L1</v>
      </c>
      <c r="K766" s="6" t="str" cm="1">
        <f t="array" ref="K766">choice(Professeurs!B:B,1,Settings!$B$16)</f>
        <v>Prof35</v>
      </c>
      <c r="L766" s="5" t="str" cm="1">
        <f t="array" ref="L766">choice(Referentiel!C:C,1,Settings!$B$16)</f>
        <v/>
      </c>
      <c r="M766" s="5" t="str" cm="1">
        <f t="array" ref="M766">choice(Referentiel!E:E,1,Settings!$B$16)</f>
        <v/>
      </c>
      <c r="N766" s="5" t="str" cm="1">
        <f t="array" ref="N766">choice(Settings!K:K,1,Settings!$B$16)</f>
        <v/>
      </c>
      <c r="P766" s="5">
        <f t="shared" si="48"/>
        <v>3</v>
      </c>
    </row>
    <row r="767" spans="1:16" ht="15.75" customHeight="1" x14ac:dyDescent="0.25">
      <c r="A767" s="6" t="s">
        <v>1119</v>
      </c>
      <c r="B767" s="6" cm="1">
        <f t="array" ref="B767">alea_int(Settings!$B$10,1,Settings!$B$16)</f>
        <v>3</v>
      </c>
      <c r="C767" s="8">
        <v>46023</v>
      </c>
      <c r="D767" s="8">
        <f t="shared" si="45"/>
        <v>46387</v>
      </c>
      <c r="E767" s="6" t="str" cm="1">
        <f t="array" ref="E767">choice(Groupes!A:A,1,Settings!$B$16)</f>
        <v>G28</v>
      </c>
      <c r="F767" s="6" t="str">
        <f t="shared" si="46"/>
        <v>G28</v>
      </c>
      <c r="G767" s="6" t="str">
        <f t="shared" si="47"/>
        <v>Prof48</v>
      </c>
      <c r="H767" s="6" t="str" cm="1">
        <f t="array" ref="H767">choice(Referentiel!A:A,1,Settings!$B$16)</f>
        <v>6ème année atelier</v>
      </c>
      <c r="I767" s="6" t="str" cm="1">
        <f t="array" ref="I767">choice(Referentiel!B:B,1,Settings!$B$16)</f>
        <v>3ème année Design Objet S2</v>
      </c>
      <c r="J767" s="6" t="str" cm="1">
        <f t="array" ref="J767">choice(Referentiel!D:D,1,Settings!$B$16)</f>
        <v>L3</v>
      </c>
      <c r="K767" s="6" t="str" cm="1">
        <f t="array" ref="K767">choice(Professeurs!B:B,1,Settings!$B$16)</f>
        <v>Prof48</v>
      </c>
      <c r="L767" s="5" t="str" cm="1">
        <f t="array" ref="L767">choice(Referentiel!C:C,1,Settings!$B$16)</f>
        <v/>
      </c>
      <c r="M767" s="5" t="str" cm="1">
        <f t="array" ref="M767">choice(Referentiel!E:E,1,Settings!$B$16)</f>
        <v/>
      </c>
      <c r="N767" s="5" t="str" cm="1">
        <f t="array" ref="N767">choice(Settings!K:K,1,Settings!$B$16)</f>
        <v>mardi pm</v>
      </c>
      <c r="P767" s="5">
        <f t="shared" si="48"/>
        <v>5</v>
      </c>
    </row>
    <row r="768" spans="1:16" ht="15.75" customHeight="1" x14ac:dyDescent="0.25">
      <c r="A768" s="6" t="s">
        <v>1120</v>
      </c>
      <c r="B768" s="6" cm="1">
        <f t="array" ref="B768">alea_int(Settings!$B$10,1,Settings!$B$16)</f>
        <v>3</v>
      </c>
      <c r="C768" s="8">
        <v>46023</v>
      </c>
      <c r="D768" s="8">
        <f t="shared" si="45"/>
        <v>46387</v>
      </c>
      <c r="E768" s="6" t="str" cm="1">
        <f t="array" ref="E768">choice(Groupes!A:A,1,Settings!$B$16)</f>
        <v>G9</v>
      </c>
      <c r="F768" s="6" t="str">
        <f t="shared" si="46"/>
        <v>G9</v>
      </c>
      <c r="G768" s="6" t="str">
        <f t="shared" si="47"/>
        <v>Prof1</v>
      </c>
      <c r="H768" s="6" t="str" cm="1">
        <f t="array" ref="H768">choice(Referentiel!A:A,1,Settings!$B$16)</f>
        <v>Gr ART, DESIGN, SOCIETE</v>
      </c>
      <c r="I768" s="6" t="str" cm="1">
        <f t="array" ref="I768">choice(Referentiel!B:B,1,Settings!$B$16)</f>
        <v>4ème année Design Vêtement S1</v>
      </c>
      <c r="J768" s="6" t="str" cm="1">
        <f t="array" ref="J768">choice(Referentiel!D:D,1,Settings!$B$16)</f>
        <v>L3</v>
      </c>
      <c r="K768" s="6" t="str" cm="1">
        <f t="array" ref="K768">choice(Professeurs!B:B,1,Settings!$B$16)</f>
        <v>Prof1</v>
      </c>
      <c r="L768" s="5" t="str" cm="1">
        <f t="array" ref="L768">choice(Referentiel!C:C,1,Settings!$B$16)</f>
        <v/>
      </c>
      <c r="M768" s="5" t="str" cm="1">
        <f t="array" ref="M768">choice(Referentiel!E:E,1,Settings!$B$16)</f>
        <v/>
      </c>
      <c r="N768" s="5" t="str" cm="1">
        <f t="array" ref="N768">choice(Settings!K:K,1,Settings!$B$16)</f>
        <v/>
      </c>
      <c r="P768" s="5">
        <f t="shared" si="48"/>
        <v>3</v>
      </c>
    </row>
    <row r="769" spans="1:16" ht="15.75" customHeight="1" x14ac:dyDescent="0.25">
      <c r="A769" s="6" t="s">
        <v>1121</v>
      </c>
      <c r="B769" s="6" cm="1">
        <f t="array" ref="B769">alea_int(Settings!$B$10,1,Settings!$B$16)</f>
        <v>3</v>
      </c>
      <c r="C769" s="8">
        <v>46023</v>
      </c>
      <c r="D769" s="8">
        <f t="shared" si="45"/>
        <v>46387</v>
      </c>
      <c r="E769" s="6" t="str" cm="1">
        <f t="array" ref="E769">choice(Groupes!A:A,1,Settings!$B$16)</f>
        <v>G5</v>
      </c>
      <c r="F769" s="6" t="str">
        <f t="shared" si="46"/>
        <v>G5</v>
      </c>
      <c r="G769" s="6" t="str">
        <f t="shared" si="47"/>
        <v>Prof12</v>
      </c>
      <c r="H769" s="6" t="str" cm="1">
        <f t="array" ref="H769">choice(Referentiel!A:A,1,Settings!$B$16)</f>
        <v>Gr REFLECTIVE INTERACTION</v>
      </c>
      <c r="I769" s="6" t="str" cm="1">
        <f t="array" ref="I769">choice(Referentiel!B:B,1,Settings!$B$16)</f>
        <v>3ème année Scénographie S2</v>
      </c>
      <c r="J769" s="6" t="str" cm="1">
        <f t="array" ref="J769">choice(Referentiel!D:D,1,Settings!$B$16)</f>
        <v>L3</v>
      </c>
      <c r="K769" s="6" t="str" cm="1">
        <f t="array" ref="K769">choice(Professeurs!B:B,1,Settings!$B$16)</f>
        <v>Prof12</v>
      </c>
      <c r="L769" s="5" t="str" cm="1">
        <f t="array" ref="L769">choice(Referentiel!C:C,1,Settings!$B$16)</f>
        <v/>
      </c>
      <c r="M769" s="5" t="str" cm="1">
        <f t="array" ref="M769">choice(Referentiel!E:E,1,Settings!$B$16)</f>
        <v/>
      </c>
      <c r="N769" s="5" t="str" cm="1">
        <f t="array" ref="N769">choice(Settings!K:K,1,Settings!$B$16)</f>
        <v/>
      </c>
      <c r="P769" s="5">
        <f t="shared" si="48"/>
        <v>3</v>
      </c>
    </row>
    <row r="770" spans="1:16" ht="15.75" customHeight="1" x14ac:dyDescent="0.25">
      <c r="A770" s="6" t="s">
        <v>1122</v>
      </c>
      <c r="B770" s="6" cm="1">
        <f t="array" ref="B770">alea_int(Settings!$B$10,1,Settings!$B$16)</f>
        <v>2</v>
      </c>
      <c r="C770" s="8">
        <v>46023</v>
      </c>
      <c r="D770" s="8">
        <f t="shared" si="45"/>
        <v>46387</v>
      </c>
      <c r="E770" s="6" t="str" cm="1">
        <f t="array" ref="E770">choice(Groupes!A:A,1,Settings!$B$16)</f>
        <v>G20</v>
      </c>
      <c r="F770" s="6" t="str">
        <f t="shared" si="46"/>
        <v>G20</v>
      </c>
      <c r="G770" s="6" t="str">
        <f t="shared" si="47"/>
        <v>Prof50</v>
      </c>
      <c r="H770" s="6" t="str" cm="1">
        <f t="array" ref="H770">choice(Referentiel!A:A,1,Settings!$B$16)</f>
        <v>1ère année Groupe 1</v>
      </c>
      <c r="I770" s="6" t="str" cm="1">
        <f t="array" ref="I770">choice(Referentiel!B:B,1,Settings!$B$16)</f>
        <v>5ème année Image Imprimée S1</v>
      </c>
      <c r="J770" s="6" t="str" cm="1">
        <f t="array" ref="J770">choice(Referentiel!D:D,1,Settings!$B$16)</f>
        <v>L2</v>
      </c>
      <c r="K770" s="6" t="str" cm="1">
        <f t="array" ref="K770">choice(Professeurs!B:B,1,Settings!$B$16)</f>
        <v>Prof50</v>
      </c>
      <c r="L770" s="5" t="str" cm="1">
        <f t="array" ref="L770">choice(Referentiel!C:C,1,Settings!$B$16)</f>
        <v/>
      </c>
      <c r="M770" s="5" t="str" cm="1">
        <f t="array" ref="M770">choice(Referentiel!E:E,1,Settings!$B$16)</f>
        <v/>
      </c>
      <c r="N770" s="5" t="str" cm="1">
        <f t="array" ref="N770">choice(Settings!K:K,1,Settings!$B$16)</f>
        <v/>
      </c>
      <c r="P770" s="5">
        <f t="shared" si="48"/>
        <v>2</v>
      </c>
    </row>
    <row r="771" spans="1:16" ht="15.75" customHeight="1" x14ac:dyDescent="0.25">
      <c r="A771" s="6" t="s">
        <v>1123</v>
      </c>
      <c r="B771" s="6" cm="1">
        <f t="array" ref="B771">alea_int(Settings!$B$10,1,Settings!$B$16)</f>
        <v>3</v>
      </c>
      <c r="C771" s="8">
        <v>46023</v>
      </c>
      <c r="D771" s="8">
        <f t="shared" ref="D771:D834" si="49">C771+364</f>
        <v>46387</v>
      </c>
      <c r="E771" s="6" t="str" cm="1">
        <f t="array" ref="E771">choice(Groupes!A:A,1,Settings!$B$16)</f>
        <v>G26</v>
      </c>
      <c r="F771" s="6" t="str">
        <f t="shared" ref="F771:F834" si="50">E771</f>
        <v>G26</v>
      </c>
      <c r="G771" s="6" t="str">
        <f t="shared" ref="G771:G834" si="51">K771</f>
        <v>Prof28</v>
      </c>
      <c r="H771" s="6" t="str" cm="1">
        <f t="array" ref="H771">choice(Referentiel!A:A,1,Settings!$B$16)</f>
        <v>Design des mondes urbains</v>
      </c>
      <c r="I771" s="6" t="str" cm="1">
        <f t="array" ref="I771">choice(Referentiel!B:B,1,Settings!$B$16)</f>
        <v>4ème année Design Graphique S1</v>
      </c>
      <c r="J771" s="6" t="str" cm="1">
        <f t="array" ref="J771">choice(Referentiel!D:D,1,Settings!$B$16)</f>
        <v>L1</v>
      </c>
      <c r="K771" s="6" t="str" cm="1">
        <f t="array" ref="K771">choice(Professeurs!B:B,1,Settings!$B$16)</f>
        <v>Prof28</v>
      </c>
      <c r="L771" s="5" t="str" cm="1">
        <f t="array" ref="L771">choice(Referentiel!C:C,1,Settings!$B$16)</f>
        <v/>
      </c>
      <c r="M771" s="5" t="str" cm="1">
        <f t="array" ref="M771">choice(Referentiel!E:E,1,Settings!$B$16)</f>
        <v/>
      </c>
      <c r="N771" s="5" t="str" cm="1">
        <f t="array" ref="N771">choice(Settings!K:K,1,Settings!$B$16)</f>
        <v/>
      </c>
      <c r="P771" s="5">
        <f t="shared" ref="P771:P834" si="52">B771+IF(M771&lt;&gt;"",2,0)+IF(N771&lt;&gt;"",2,0)</f>
        <v>3</v>
      </c>
    </row>
    <row r="772" spans="1:16" ht="15.75" customHeight="1" x14ac:dyDescent="0.25">
      <c r="A772" s="6" t="s">
        <v>1124</v>
      </c>
      <c r="B772" s="6" cm="1">
        <f t="array" ref="B772">alea_int(Settings!$B$10,1,Settings!$B$16)</f>
        <v>1</v>
      </c>
      <c r="C772" s="8">
        <v>46023</v>
      </c>
      <c r="D772" s="8">
        <f t="shared" si="49"/>
        <v>46387</v>
      </c>
      <c r="E772" s="6" t="str" cm="1">
        <f t="array" ref="E772">choice(Groupes!A:A,1,Settings!$B$16)</f>
        <v>G10</v>
      </c>
      <c r="F772" s="6" t="str">
        <f t="shared" si="50"/>
        <v>G10</v>
      </c>
      <c r="G772" s="6" t="str">
        <f t="shared" si="51"/>
        <v>Prof31</v>
      </c>
      <c r="H772" s="6" t="str" cm="1">
        <f t="array" ref="H772">choice(Referentiel!A:A,1,Settings!$B$16)</f>
        <v>Design Graphique</v>
      </c>
      <c r="I772" s="6" t="str" cm="1">
        <f t="array" ref="I772">choice(Referentiel!B:B,1,Settings!$B$16)</f>
        <v>5ème année Scénographie S1</v>
      </c>
      <c r="J772" s="6" t="str" cm="1">
        <f t="array" ref="J772">choice(Referentiel!D:D,1,Settings!$B$16)</f>
        <v>L3</v>
      </c>
      <c r="K772" s="6" t="str" cm="1">
        <f t="array" ref="K772">choice(Professeurs!B:B,1,Settings!$B$16)</f>
        <v>Prof31</v>
      </c>
      <c r="L772" s="5" t="str" cm="1">
        <f t="array" ref="L772">choice(Referentiel!C:C,1,Settings!$B$16)</f>
        <v/>
      </c>
      <c r="M772" s="5" t="str" cm="1">
        <f t="array" ref="M772">choice(Referentiel!E:E,1,Settings!$B$16)</f>
        <v>Salle10</v>
      </c>
      <c r="N772" s="5" t="str" cm="1">
        <f t="array" ref="N772">choice(Settings!K:K,1,Settings!$B$16)</f>
        <v>lundi pm</v>
      </c>
      <c r="P772" s="5">
        <f t="shared" si="52"/>
        <v>5</v>
      </c>
    </row>
    <row r="773" spans="1:16" ht="15.75" customHeight="1" x14ac:dyDescent="0.25">
      <c r="A773" s="6" t="s">
        <v>1125</v>
      </c>
      <c r="B773" s="6" cm="1">
        <f t="array" ref="B773">alea_int(Settings!$B$10,1,Settings!$B$16)</f>
        <v>2</v>
      </c>
      <c r="C773" s="8">
        <v>46023</v>
      </c>
      <c r="D773" s="8">
        <f t="shared" si="49"/>
        <v>46387</v>
      </c>
      <c r="E773" s="6" t="str" cm="1">
        <f t="array" ref="E773">choice(Groupes!A:A,1,Settings!$B$16)</f>
        <v>G16</v>
      </c>
      <c r="F773" s="6" t="str">
        <f t="shared" si="50"/>
        <v>G16</v>
      </c>
      <c r="G773" s="6" t="str">
        <f t="shared" si="51"/>
        <v>Prof25</v>
      </c>
      <c r="H773" s="6" t="str" cm="1">
        <f t="array" ref="H773">choice(Referentiel!A:A,1,Settings!$B$16)</f>
        <v>Mode et Matière</v>
      </c>
      <c r="I773" s="6" t="str" cm="1">
        <f t="array" ref="I773">choice(Referentiel!B:B,1,Settings!$B$16)</f>
        <v>3ème année Photo / Vidéo S1</v>
      </c>
      <c r="J773" s="6" t="str" cm="1">
        <f t="array" ref="J773">choice(Referentiel!D:D,1,Settings!$B$16)</f>
        <v>M1</v>
      </c>
      <c r="K773" s="6" t="str" cm="1">
        <f t="array" ref="K773">choice(Professeurs!B:B,1,Settings!$B$16)</f>
        <v>Prof25</v>
      </c>
      <c r="L773" s="5" t="str" cm="1">
        <f t="array" ref="L773">choice(Referentiel!C:C,1,Settings!$B$16)</f>
        <v/>
      </c>
      <c r="M773" s="5" t="str" cm="1">
        <f t="array" ref="M773">choice(Referentiel!E:E,1,Settings!$B$16)</f>
        <v/>
      </c>
      <c r="N773" s="5" t="str" cm="1">
        <f t="array" ref="N773">choice(Settings!K:K,1,Settings!$B$16)</f>
        <v>semaine</v>
      </c>
      <c r="P773" s="5">
        <f t="shared" si="52"/>
        <v>4</v>
      </c>
    </row>
    <row r="774" spans="1:16" ht="15.75" customHeight="1" x14ac:dyDescent="0.25">
      <c r="A774" s="6" t="s">
        <v>1126</v>
      </c>
      <c r="B774" s="6" cm="1">
        <f t="array" ref="B774">alea_int(Settings!$B$10,1,Settings!$B$16)</f>
        <v>2</v>
      </c>
      <c r="C774" s="8">
        <v>46023</v>
      </c>
      <c r="D774" s="8">
        <f t="shared" si="49"/>
        <v>46387</v>
      </c>
      <c r="E774" s="6" t="str" cm="1">
        <f t="array" ref="E774">choice(Groupes!A:A,1,Settings!$B$16)</f>
        <v>G7</v>
      </c>
      <c r="F774" s="6" t="str">
        <f t="shared" si="50"/>
        <v>G7</v>
      </c>
      <c r="G774" s="6" t="str">
        <f t="shared" si="51"/>
        <v>Prof40</v>
      </c>
      <c r="H774" s="6" t="str" cm="1">
        <f t="array" ref="H774">choice(Referentiel!A:A,1,Settings!$B$16)</f>
        <v>Scénographie</v>
      </c>
      <c r="I774" s="6" t="str" cm="1">
        <f t="array" ref="I774">choice(Referentiel!B:B,1,Settings!$B$16)</f>
        <v>3ème année Design Objet S1</v>
      </c>
      <c r="J774" s="6" t="str" cm="1">
        <f t="array" ref="J774">choice(Referentiel!D:D,1,Settings!$B$16)</f>
        <v>L3</v>
      </c>
      <c r="K774" s="6" t="str" cm="1">
        <f t="array" ref="K774">choice(Professeurs!B:B,1,Settings!$B$16)</f>
        <v>Prof40</v>
      </c>
      <c r="L774" s="5" t="str" cm="1">
        <f t="array" ref="L774">choice(Referentiel!C:C,1,Settings!$B$16)</f>
        <v/>
      </c>
      <c r="M774" s="5" t="str" cm="1">
        <f t="array" ref="M774">choice(Referentiel!E:E,1,Settings!$B$16)</f>
        <v/>
      </c>
      <c r="N774" s="5" t="str" cm="1">
        <f t="array" ref="N774">choice(Settings!K:K,1,Settings!$B$16)</f>
        <v>vendredi pm</v>
      </c>
      <c r="P774" s="5">
        <f t="shared" si="52"/>
        <v>4</v>
      </c>
    </row>
    <row r="775" spans="1:16" ht="15.75" customHeight="1" x14ac:dyDescent="0.25">
      <c r="A775" s="6" t="s">
        <v>1127</v>
      </c>
      <c r="B775" s="6" cm="1">
        <f t="array" ref="B775">alea_int(Settings!$B$10,1,Settings!$B$16)</f>
        <v>3</v>
      </c>
      <c r="C775" s="8">
        <v>46023</v>
      </c>
      <c r="D775" s="8">
        <f t="shared" si="49"/>
        <v>46387</v>
      </c>
      <c r="E775" s="6" t="str" cm="1">
        <f t="array" ref="E775">choice(Groupes!A:A,1,Settings!$B$16)</f>
        <v>G26</v>
      </c>
      <c r="F775" s="6" t="str">
        <f t="shared" si="50"/>
        <v>G26</v>
      </c>
      <c r="G775" s="6" t="str">
        <f t="shared" si="51"/>
        <v>Prof19</v>
      </c>
      <c r="H775" s="6" t="str" cm="1">
        <f t="array" ref="H775">choice(Referentiel!A:A,1,Settings!$B$16)</f>
        <v>Design des mondes urbains</v>
      </c>
      <c r="I775" s="6" t="str" cm="1">
        <f t="array" ref="I775">choice(Referentiel!B:B,1,Settings!$B$16)</f>
        <v>3ème année Art-Espace S1</v>
      </c>
      <c r="J775" s="6" t="str" cm="1">
        <f t="array" ref="J775">choice(Referentiel!D:D,1,Settings!$B$16)</f>
        <v>M1</v>
      </c>
      <c r="K775" s="6" t="str" cm="1">
        <f t="array" ref="K775">choice(Professeurs!B:B,1,Settings!$B$16)</f>
        <v>Prof19</v>
      </c>
      <c r="L775" s="5" t="str" cm="1">
        <f t="array" ref="L775">choice(Referentiel!C:C,1,Settings!$B$16)</f>
        <v>pupitre</v>
      </c>
      <c r="M775" s="5" t="str" cm="1">
        <f t="array" ref="M775">choice(Referentiel!E:E,1,Settings!$B$16)</f>
        <v/>
      </c>
      <c r="N775" s="5" t="str" cm="1">
        <f t="array" ref="N775">choice(Settings!K:K,1,Settings!$B$16)</f>
        <v/>
      </c>
      <c r="P775" s="5">
        <f t="shared" si="52"/>
        <v>3</v>
      </c>
    </row>
    <row r="776" spans="1:16" ht="15.75" customHeight="1" x14ac:dyDescent="0.25">
      <c r="A776" s="6" t="s">
        <v>1128</v>
      </c>
      <c r="B776" s="6" cm="1">
        <f t="array" ref="B776">alea_int(Settings!$B$10,1,Settings!$B$16)</f>
        <v>2</v>
      </c>
      <c r="C776" s="8">
        <v>46023</v>
      </c>
      <c r="D776" s="8">
        <f t="shared" si="49"/>
        <v>46387</v>
      </c>
      <c r="E776" s="6" t="str" cm="1">
        <f t="array" ref="E776">choice(Groupes!A:A,1,Settings!$B$16)</f>
        <v>G7</v>
      </c>
      <c r="F776" s="6" t="str">
        <f t="shared" si="50"/>
        <v>G7</v>
      </c>
      <c r="G776" s="6" t="str">
        <f t="shared" si="51"/>
        <v>Prof6</v>
      </c>
      <c r="H776" s="6" t="str" cm="1">
        <f t="array" ref="H776">choice(Referentiel!A:A,1,Settings!$B$16)</f>
        <v>Gr REFLECTIVE INTERACTION</v>
      </c>
      <c r="I776" s="6" t="str" cm="1">
        <f t="array" ref="I776">choice(Referentiel!B:B,1,Settings!$B$16)</f>
        <v>2ème année Design Textile et Matière S1</v>
      </c>
      <c r="J776" s="6" t="str" cm="1">
        <f t="array" ref="J776">choice(Referentiel!D:D,1,Settings!$B$16)</f>
        <v>L2</v>
      </c>
      <c r="K776" s="6" t="str" cm="1">
        <f t="array" ref="K776">choice(Professeurs!B:B,1,Settings!$B$16)</f>
        <v>Prof6</v>
      </c>
      <c r="L776" s="5" t="str" cm="1">
        <f t="array" ref="L776">choice(Referentiel!C:C,1,Settings!$B$16)</f>
        <v/>
      </c>
      <c r="M776" s="5" t="str" cm="1">
        <f t="array" ref="M776">choice(Referentiel!E:E,1,Settings!$B$16)</f>
        <v/>
      </c>
      <c r="N776" s="5" t="str" cm="1">
        <f t="array" ref="N776">choice(Settings!K:K,1,Settings!$B$16)</f>
        <v/>
      </c>
      <c r="P776" s="5">
        <f t="shared" si="52"/>
        <v>2</v>
      </c>
    </row>
    <row r="777" spans="1:16" ht="15.75" customHeight="1" x14ac:dyDescent="0.25">
      <c r="A777" s="6" t="s">
        <v>1129</v>
      </c>
      <c r="B777" s="6" cm="1">
        <f t="array" ref="B777">alea_int(Settings!$B$10,1,Settings!$B$16)</f>
        <v>1</v>
      </c>
      <c r="C777" s="8">
        <v>46023</v>
      </c>
      <c r="D777" s="8">
        <f t="shared" si="49"/>
        <v>46387</v>
      </c>
      <c r="E777" s="6" t="str" cm="1">
        <f t="array" ref="E777">choice(Groupes!A:A,1,Settings!$B$16)</f>
        <v>G30</v>
      </c>
      <c r="F777" s="6" t="str">
        <f t="shared" si="50"/>
        <v>G30</v>
      </c>
      <c r="G777" s="6" t="str">
        <f t="shared" si="51"/>
        <v>Prof54</v>
      </c>
      <c r="H777" s="6" t="str" cm="1">
        <f t="array" ref="H777">choice(Referentiel!A:A,1,Settings!$B$16)</f>
        <v>Gr TERRITOIRES</v>
      </c>
      <c r="I777" s="6" t="str" cm="1">
        <f t="array" ref="I777">choice(Referentiel!B:B,1,Settings!$B$16)</f>
        <v>5ème année Image Imprimée S2</v>
      </c>
      <c r="J777" s="6" t="str" cm="1">
        <f t="array" ref="J777">choice(Referentiel!D:D,1,Settings!$B$16)</f>
        <v>M2</v>
      </c>
      <c r="K777" s="6" t="str" cm="1">
        <f t="array" ref="K777">choice(Professeurs!B:B,1,Settings!$B$16)</f>
        <v>Prof54</v>
      </c>
      <c r="L777" s="5" t="str" cm="1">
        <f t="array" ref="L777">choice(Referentiel!C:C,1,Settings!$B$16)</f>
        <v/>
      </c>
      <c r="M777" s="5" t="str" cm="1">
        <f t="array" ref="M777">choice(Referentiel!E:E,1,Settings!$B$16)</f>
        <v/>
      </c>
      <c r="N777" s="5" t="str" cm="1">
        <f t="array" ref="N777">choice(Settings!K:K,1,Settings!$B$16)</f>
        <v/>
      </c>
      <c r="P777" s="5">
        <f t="shared" si="52"/>
        <v>1</v>
      </c>
    </row>
    <row r="778" spans="1:16" ht="15.75" customHeight="1" x14ac:dyDescent="0.25">
      <c r="A778" s="6" t="s">
        <v>1130</v>
      </c>
      <c r="B778" s="6" cm="1">
        <f t="array" ref="B778">alea_int(Settings!$B$10,1,Settings!$B$16)</f>
        <v>2</v>
      </c>
      <c r="C778" s="8">
        <v>46023</v>
      </c>
      <c r="D778" s="8">
        <f t="shared" si="49"/>
        <v>46387</v>
      </c>
      <c r="E778" s="6" t="str" cm="1">
        <f t="array" ref="E778">choice(Groupes!A:A,1,Settings!$B$16)</f>
        <v>G23</v>
      </c>
      <c r="F778" s="6" t="str">
        <f t="shared" si="50"/>
        <v>G23</v>
      </c>
      <c r="G778" s="6" t="str">
        <f t="shared" si="51"/>
        <v>Prof4</v>
      </c>
      <c r="H778" s="6" t="str" cm="1">
        <f t="array" ref="H778">choice(Referentiel!A:A,1,Settings!$B$16)</f>
        <v>Gr SOFT MATTERS</v>
      </c>
      <c r="I778" s="6" t="str" cm="1">
        <f t="array" ref="I778">choice(Referentiel!B:B,1,Settings!$B$16)</f>
        <v>5ème année Scénographie S2</v>
      </c>
      <c r="J778" s="6" t="str" cm="1">
        <f t="array" ref="J778">choice(Referentiel!D:D,1,Settings!$B$16)</f>
        <v>L1</v>
      </c>
      <c r="K778" s="6" t="str" cm="1">
        <f t="array" ref="K778">choice(Professeurs!B:B,1,Settings!$B$16)</f>
        <v>Prof4</v>
      </c>
      <c r="L778" s="5" t="str" cm="1">
        <f t="array" ref="L778">choice(Referentiel!C:C,1,Settings!$B$16)</f>
        <v/>
      </c>
      <c r="M778" s="5" t="str" cm="1">
        <f t="array" ref="M778">choice(Referentiel!E:E,1,Settings!$B$16)</f>
        <v/>
      </c>
      <c r="N778" s="5" t="str" cm="1">
        <f t="array" ref="N778">choice(Settings!K:K,1,Settings!$B$16)</f>
        <v/>
      </c>
      <c r="P778" s="5">
        <f t="shared" si="52"/>
        <v>2</v>
      </c>
    </row>
    <row r="779" spans="1:16" ht="15.75" customHeight="1" x14ac:dyDescent="0.25">
      <c r="A779" s="6" t="s">
        <v>1131</v>
      </c>
      <c r="B779" s="6" cm="1">
        <f t="array" ref="B779">alea_int(Settings!$B$10,1,Settings!$B$16)</f>
        <v>1</v>
      </c>
      <c r="C779" s="8">
        <v>46023</v>
      </c>
      <c r="D779" s="8">
        <f t="shared" si="49"/>
        <v>46387</v>
      </c>
      <c r="E779" s="6" t="str" cm="1">
        <f t="array" ref="E779">choice(Groupes!A:A,1,Settings!$B$16)</f>
        <v>G14</v>
      </c>
      <c r="F779" s="6" t="str">
        <f t="shared" si="50"/>
        <v>G14</v>
      </c>
      <c r="G779" s="6" t="str">
        <f t="shared" si="51"/>
        <v>Prof16</v>
      </c>
      <c r="H779" s="6" t="str" cm="1">
        <f t="array" ref="H779">choice(Referentiel!A:A,1,Settings!$B$16)</f>
        <v>Scénographie</v>
      </c>
      <c r="I779" s="6" t="str" cm="1">
        <f t="array" ref="I779">choice(Referentiel!B:B,1,Settings!$B$16)</f>
        <v>5ème année Photo / Vidéo S1</v>
      </c>
      <c r="J779" s="6" t="str" cm="1">
        <f t="array" ref="J779">choice(Referentiel!D:D,1,Settings!$B$16)</f>
        <v>M1</v>
      </c>
      <c r="K779" s="6" t="str" cm="1">
        <f t="array" ref="K779">choice(Professeurs!B:B,1,Settings!$B$16)</f>
        <v>Prof16</v>
      </c>
      <c r="L779" s="5" t="str" cm="1">
        <f t="array" ref="L779">choice(Referentiel!C:C,1,Settings!$B$16)</f>
        <v/>
      </c>
      <c r="M779" s="5" t="str" cm="1">
        <f t="array" ref="M779">choice(Referentiel!E:E,1,Settings!$B$16)</f>
        <v/>
      </c>
      <c r="N779" s="5" t="str" cm="1">
        <f t="array" ref="N779">choice(Settings!K:K,1,Settings!$B$16)</f>
        <v/>
      </c>
      <c r="P779" s="5">
        <f t="shared" si="52"/>
        <v>1</v>
      </c>
    </row>
    <row r="780" spans="1:16" ht="15.75" customHeight="1" x14ac:dyDescent="0.25">
      <c r="A780" s="6" t="s">
        <v>1132</v>
      </c>
      <c r="B780" s="6" cm="1">
        <f t="array" ref="B780">alea_int(Settings!$B$10,1,Settings!$B$16)</f>
        <v>1</v>
      </c>
      <c r="C780" s="8">
        <v>46023</v>
      </c>
      <c r="D780" s="8">
        <f t="shared" si="49"/>
        <v>46387</v>
      </c>
      <c r="E780" s="6" t="str" cm="1">
        <f t="array" ref="E780">choice(Groupes!A:A,1,Settings!$B$16)</f>
        <v>G29</v>
      </c>
      <c r="F780" s="6" t="str">
        <f t="shared" si="50"/>
        <v>G29</v>
      </c>
      <c r="G780" s="6" t="str">
        <f t="shared" si="51"/>
        <v>Prof49</v>
      </c>
      <c r="H780" s="6" t="str" cm="1">
        <f t="array" ref="H780">choice(Referentiel!A:A,1,Settings!$B$16)</f>
        <v>Design Vêtement</v>
      </c>
      <c r="I780" s="6" t="str" cm="1">
        <f t="array" ref="I780">choice(Referentiel!B:B,1,Settings!$B$16)</f>
        <v>2ème année Cinéma d'Animation S1</v>
      </c>
      <c r="J780" s="6" t="str" cm="1">
        <f t="array" ref="J780">choice(Referentiel!D:D,1,Settings!$B$16)</f>
        <v>L3</v>
      </c>
      <c r="K780" s="6" t="str" cm="1">
        <f t="array" ref="K780">choice(Professeurs!B:B,1,Settings!$B$16)</f>
        <v>Prof49</v>
      </c>
      <c r="L780" s="5" t="str" cm="1">
        <f t="array" ref="L780">choice(Referentiel!C:C,1,Settings!$B$16)</f>
        <v/>
      </c>
      <c r="M780" s="5" t="str" cm="1">
        <f t="array" ref="M780">choice(Referentiel!E:E,1,Settings!$B$16)</f>
        <v/>
      </c>
      <c r="N780" s="5" t="str" cm="1">
        <f t="array" ref="N780">choice(Settings!K:K,1,Settings!$B$16)</f>
        <v>mercredi ap</v>
      </c>
      <c r="P780" s="5">
        <f t="shared" si="52"/>
        <v>3</v>
      </c>
    </row>
    <row r="781" spans="1:16" ht="15.75" customHeight="1" x14ac:dyDescent="0.25">
      <c r="A781" s="6" t="s">
        <v>1133</v>
      </c>
      <c r="B781" s="6" cm="1">
        <f t="array" ref="B781">alea_int(Settings!$B$10,1,Settings!$B$16)</f>
        <v>1</v>
      </c>
      <c r="C781" s="8">
        <v>46023</v>
      </c>
      <c r="D781" s="8">
        <f t="shared" si="49"/>
        <v>46387</v>
      </c>
      <c r="E781" s="6" t="str" cm="1">
        <f t="array" ref="E781">choice(Groupes!A:A,1,Settings!$B$16)</f>
        <v>G20</v>
      </c>
      <c r="F781" s="6" t="str">
        <f t="shared" si="50"/>
        <v>G20</v>
      </c>
      <c r="G781" s="6" t="str">
        <f t="shared" si="51"/>
        <v>Prof34</v>
      </c>
      <c r="H781" s="6" t="str" cm="1">
        <f t="array" ref="H781">choice(Referentiel!A:A,1,Settings!$B$16)</f>
        <v>Design des mondes urbains</v>
      </c>
      <c r="I781" s="6" t="str" cm="1">
        <f t="array" ref="I781">choice(Referentiel!B:B,1,Settings!$B$16)</f>
        <v>2ème année Photo / Vidéo S1</v>
      </c>
      <c r="J781" s="6" t="str" cm="1">
        <f t="array" ref="J781">choice(Referentiel!D:D,1,Settings!$B$16)</f>
        <v>M2</v>
      </c>
      <c r="K781" s="6" t="str" cm="1">
        <f t="array" ref="K781">choice(Professeurs!B:B,1,Settings!$B$16)</f>
        <v>Prof34</v>
      </c>
      <c r="L781" s="5" t="str" cm="1">
        <f t="array" ref="L781">choice(Referentiel!C:C,1,Settings!$B$16)</f>
        <v/>
      </c>
      <c r="M781" s="5" t="str" cm="1">
        <f t="array" ref="M781">choice(Referentiel!E:E,1,Settings!$B$16)</f>
        <v/>
      </c>
      <c r="N781" s="5" t="str" cm="1">
        <f t="array" ref="N781">choice(Settings!K:K,1,Settings!$B$16)</f>
        <v>semaine</v>
      </c>
      <c r="P781" s="5">
        <f t="shared" si="52"/>
        <v>3</v>
      </c>
    </row>
    <row r="782" spans="1:16" ht="15.75" customHeight="1" x14ac:dyDescent="0.25">
      <c r="A782" s="6" t="s">
        <v>1134</v>
      </c>
      <c r="B782" s="6" cm="1">
        <f t="array" ref="B782">alea_int(Settings!$B$10,1,Settings!$B$16)</f>
        <v>3</v>
      </c>
      <c r="C782" s="8">
        <v>46023</v>
      </c>
      <c r="D782" s="8">
        <f t="shared" si="49"/>
        <v>46387</v>
      </c>
      <c r="E782" s="6" t="str" cm="1">
        <f t="array" ref="E782">choice(Groupes!A:A,1,Settings!$B$16)</f>
        <v>G13</v>
      </c>
      <c r="F782" s="6" t="str">
        <f t="shared" si="50"/>
        <v>G13</v>
      </c>
      <c r="G782" s="6" t="str">
        <f t="shared" si="51"/>
        <v>Prof11</v>
      </c>
      <c r="H782" s="6" t="str" cm="1">
        <f t="array" ref="H782">choice(Referentiel!A:A,1,Settings!$B$16)</f>
        <v>Architecture Intérieure</v>
      </c>
      <c r="I782" s="6" t="str" cm="1">
        <f t="array" ref="I782">choice(Referentiel!B:B,1,Settings!$B$16)</f>
        <v>3ème année Photo / Vidéo S2</v>
      </c>
      <c r="J782" s="6" t="str" cm="1">
        <f t="array" ref="J782">choice(Referentiel!D:D,1,Settings!$B$16)</f>
        <v>M2</v>
      </c>
      <c r="K782" s="6" t="str" cm="1">
        <f t="array" ref="K782">choice(Professeurs!B:B,1,Settings!$B$16)</f>
        <v>Prof11</v>
      </c>
      <c r="L782" s="5" t="str" cm="1">
        <f t="array" ref="L782">choice(Referentiel!C:C,1,Settings!$B$16)</f>
        <v/>
      </c>
      <c r="M782" s="5" t="str" cm="1">
        <f t="array" ref="M782">choice(Referentiel!E:E,1,Settings!$B$16)</f>
        <v/>
      </c>
      <c r="N782" s="5" t="str" cm="1">
        <f t="array" ref="N782">choice(Settings!K:K,1,Settings!$B$16)</f>
        <v/>
      </c>
      <c r="P782" s="5">
        <f t="shared" si="52"/>
        <v>3</v>
      </c>
    </row>
    <row r="783" spans="1:16" ht="15.75" customHeight="1" x14ac:dyDescent="0.25">
      <c r="A783" s="6" t="s">
        <v>1135</v>
      </c>
      <c r="B783" s="6" cm="1">
        <f t="array" ref="B783">alea_int(Settings!$B$10,1,Settings!$B$16)</f>
        <v>1</v>
      </c>
      <c r="C783" s="8">
        <v>46023</v>
      </c>
      <c r="D783" s="8">
        <f t="shared" si="49"/>
        <v>46387</v>
      </c>
      <c r="E783" s="6" t="str" cm="1">
        <f t="array" ref="E783">choice(Groupes!A:A,1,Settings!$B$16)</f>
        <v>G10</v>
      </c>
      <c r="F783" s="6" t="str">
        <f t="shared" si="50"/>
        <v>G10</v>
      </c>
      <c r="G783" s="6" t="str">
        <f t="shared" si="51"/>
        <v>Prof45</v>
      </c>
      <c r="H783" s="6" t="str" cm="1">
        <f t="array" ref="H783">choice(Referentiel!A:A,1,Settings!$B$16)</f>
        <v>Design Vêtement</v>
      </c>
      <c r="I783" s="6" t="str" cm="1">
        <f t="array" ref="I783">choice(Referentiel!B:B,1,Settings!$B$16)</f>
        <v>2ème année Scénographie S2</v>
      </c>
      <c r="J783" s="6" t="str" cm="1">
        <f t="array" ref="J783">choice(Referentiel!D:D,1,Settings!$B$16)</f>
        <v>M1</v>
      </c>
      <c r="K783" s="6" t="str" cm="1">
        <f t="array" ref="K783">choice(Professeurs!B:B,1,Settings!$B$16)</f>
        <v>Prof45</v>
      </c>
      <c r="L783" s="5" t="str" cm="1">
        <f t="array" ref="L783">choice(Referentiel!C:C,1,Settings!$B$16)</f>
        <v/>
      </c>
      <c r="M783" s="5" t="str" cm="1">
        <f t="array" ref="M783">choice(Referentiel!E:E,1,Settings!$B$16)</f>
        <v/>
      </c>
      <c r="N783" s="5" t="str" cm="1">
        <f t="array" ref="N783">choice(Settings!K:K,1,Settings!$B$16)</f>
        <v>mardi pm</v>
      </c>
      <c r="P783" s="5">
        <f t="shared" si="52"/>
        <v>3</v>
      </c>
    </row>
    <row r="784" spans="1:16" ht="15.75" customHeight="1" x14ac:dyDescent="0.25">
      <c r="A784" s="6" t="s">
        <v>1136</v>
      </c>
      <c r="B784" s="6" cm="1">
        <f t="array" ref="B784">alea_int(Settings!$B$10,1,Settings!$B$16)</f>
        <v>2</v>
      </c>
      <c r="C784" s="8">
        <v>46023</v>
      </c>
      <c r="D784" s="8">
        <f t="shared" si="49"/>
        <v>46387</v>
      </c>
      <c r="E784" s="6" t="str" cm="1">
        <f t="array" ref="E784">choice(Groupes!A:A,1,Settings!$B$16)</f>
        <v>G24</v>
      </c>
      <c r="F784" s="6" t="str">
        <f t="shared" si="50"/>
        <v>G24</v>
      </c>
      <c r="G784" s="6" t="str">
        <f t="shared" si="51"/>
        <v>Prof7</v>
      </c>
      <c r="H784" s="6" t="str" cm="1">
        <f t="array" ref="H784">choice(Referentiel!A:A,1,Settings!$B$16)</f>
        <v>Design des mondes urbains</v>
      </c>
      <c r="I784" s="6" t="str" cm="1">
        <f t="array" ref="I784">choice(Referentiel!B:B,1,Settings!$B$16)</f>
        <v>5ème année Image Imprimée S2</v>
      </c>
      <c r="J784" s="6" t="str" cm="1">
        <f t="array" ref="J784">choice(Referentiel!D:D,1,Settings!$B$16)</f>
        <v>M1</v>
      </c>
      <c r="K784" s="6" t="str" cm="1">
        <f t="array" ref="K784">choice(Professeurs!B:B,1,Settings!$B$16)</f>
        <v>Prof7</v>
      </c>
      <c r="L784" s="5" t="str" cm="1">
        <f t="array" ref="L784">choice(Referentiel!C:C,1,Settings!$B$16)</f>
        <v/>
      </c>
      <c r="M784" s="5" t="str" cm="1">
        <f t="array" ref="M784">choice(Referentiel!E:E,1,Settings!$B$16)</f>
        <v/>
      </c>
      <c r="N784" s="5" t="str" cm="1">
        <f t="array" ref="N784">choice(Settings!K:K,1,Settings!$B$16)</f>
        <v/>
      </c>
      <c r="P784" s="5">
        <f t="shared" si="52"/>
        <v>2</v>
      </c>
    </row>
    <row r="785" spans="1:16" ht="15.75" customHeight="1" x14ac:dyDescent="0.25">
      <c r="A785" s="6" t="s">
        <v>1137</v>
      </c>
      <c r="B785" s="6" cm="1">
        <f t="array" ref="B785">alea_int(Settings!$B$10,1,Settings!$B$16)</f>
        <v>1</v>
      </c>
      <c r="C785" s="8">
        <v>46023</v>
      </c>
      <c r="D785" s="8">
        <f t="shared" si="49"/>
        <v>46387</v>
      </c>
      <c r="E785" s="6" t="str" cm="1">
        <f t="array" ref="E785">choice(Groupes!A:A,1,Settings!$B$16)</f>
        <v>G17</v>
      </c>
      <c r="F785" s="6" t="str">
        <f t="shared" si="50"/>
        <v>G17</v>
      </c>
      <c r="G785" s="6" t="str">
        <f t="shared" si="51"/>
        <v>Prof38</v>
      </c>
      <c r="H785" s="6" t="str" cm="1">
        <f t="array" ref="H785">choice(Referentiel!A:A,1,Settings!$B$16)</f>
        <v>1ère année Groupe 3</v>
      </c>
      <c r="I785" s="6" t="str" cm="1">
        <f t="array" ref="I785">choice(Referentiel!B:B,1,Settings!$B$16)</f>
        <v>1ère Année Groupe 3 S2</v>
      </c>
      <c r="J785" s="6" t="str" cm="1">
        <f t="array" ref="J785">choice(Referentiel!D:D,1,Settings!$B$16)</f>
        <v>L2</v>
      </c>
      <c r="K785" s="6" t="str" cm="1">
        <f t="array" ref="K785">choice(Professeurs!B:B,1,Settings!$B$16)</f>
        <v>Prof38</v>
      </c>
      <c r="L785" s="5" t="str" cm="1">
        <f t="array" ref="L785">choice(Referentiel!C:C,1,Settings!$B$16)</f>
        <v/>
      </c>
      <c r="M785" s="5" t="str" cm="1">
        <f t="array" ref="M785">choice(Referentiel!E:E,1,Settings!$B$16)</f>
        <v/>
      </c>
      <c r="N785" s="5" t="str" cm="1">
        <f t="array" ref="N785">choice(Settings!K:K,1,Settings!$B$16)</f>
        <v>mardi am</v>
      </c>
      <c r="P785" s="5">
        <f t="shared" si="52"/>
        <v>3</v>
      </c>
    </row>
    <row r="786" spans="1:16" ht="15.75" customHeight="1" x14ac:dyDescent="0.25">
      <c r="A786" s="6" t="s">
        <v>1138</v>
      </c>
      <c r="B786" s="6" cm="1">
        <f t="array" ref="B786">alea_int(Settings!$B$10,1,Settings!$B$16)</f>
        <v>2</v>
      </c>
      <c r="C786" s="8">
        <v>46023</v>
      </c>
      <c r="D786" s="8">
        <f t="shared" si="49"/>
        <v>46387</v>
      </c>
      <c r="E786" s="6" t="str" cm="1">
        <f t="array" ref="E786">choice(Groupes!A:A,1,Settings!$B$16)</f>
        <v>G10</v>
      </c>
      <c r="F786" s="6" t="str">
        <f t="shared" si="50"/>
        <v>G10</v>
      </c>
      <c r="G786" s="6" t="str">
        <f t="shared" si="51"/>
        <v>Prof8</v>
      </c>
      <c r="H786" s="6" t="str" cm="1">
        <f t="array" ref="H786">choice(Referentiel!A:A,1,Settings!$B$16)</f>
        <v>Design des mondes ruraux</v>
      </c>
      <c r="I786" s="6" t="str" cm="1">
        <f t="array" ref="I786">choice(Referentiel!B:B,1,Settings!$B$16)</f>
        <v>4ème année Design Textile et Matière S2</v>
      </c>
      <c r="J786" s="6" t="str" cm="1">
        <f t="array" ref="J786">choice(Referentiel!D:D,1,Settings!$B$16)</f>
        <v>L2</v>
      </c>
      <c r="K786" s="6" t="str" cm="1">
        <f t="array" ref="K786">choice(Professeurs!B:B,1,Settings!$B$16)</f>
        <v>Prof8</v>
      </c>
      <c r="L786" s="5" t="str" cm="1">
        <f t="array" ref="L786">choice(Referentiel!C:C,1,Settings!$B$16)</f>
        <v/>
      </c>
      <c r="M786" s="5" t="str" cm="1">
        <f t="array" ref="M786">choice(Referentiel!E:E,1,Settings!$B$16)</f>
        <v/>
      </c>
      <c r="N786" s="5" t="str" cm="1">
        <f t="array" ref="N786">choice(Settings!K:K,1,Settings!$B$16)</f>
        <v/>
      </c>
      <c r="P786" s="5">
        <f t="shared" si="52"/>
        <v>2</v>
      </c>
    </row>
    <row r="787" spans="1:16" ht="15.75" customHeight="1" x14ac:dyDescent="0.25">
      <c r="A787" s="6" t="s">
        <v>1139</v>
      </c>
      <c r="B787" s="6" cm="1">
        <f t="array" ref="B787">alea_int(Settings!$B$10,1,Settings!$B$16)</f>
        <v>1</v>
      </c>
      <c r="C787" s="8">
        <v>46023</v>
      </c>
      <c r="D787" s="8">
        <f t="shared" si="49"/>
        <v>46387</v>
      </c>
      <c r="E787" s="6" t="str" cm="1">
        <f t="array" ref="E787">choice(Groupes!A:A,1,Settings!$B$16)</f>
        <v>G2</v>
      </c>
      <c r="F787" s="6" t="str">
        <f t="shared" si="50"/>
        <v>G2</v>
      </c>
      <c r="G787" s="6" t="str">
        <f t="shared" si="51"/>
        <v>Prof36</v>
      </c>
      <c r="H787" s="6" t="str" cm="1">
        <f t="array" ref="H787">choice(Referentiel!A:A,1,Settings!$B$16)</f>
        <v>Image Imprimée</v>
      </c>
      <c r="I787" s="6" t="str" cm="1">
        <f t="array" ref="I787">choice(Referentiel!B:B,1,Settings!$B$16)</f>
        <v>5ème année Architecture Intérieure S2</v>
      </c>
      <c r="J787" s="6" t="str" cm="1">
        <f t="array" ref="J787">choice(Referentiel!D:D,1,Settings!$B$16)</f>
        <v>L1</v>
      </c>
      <c r="K787" s="6" t="str" cm="1">
        <f t="array" ref="K787">choice(Professeurs!B:B,1,Settings!$B$16)</f>
        <v>Prof36</v>
      </c>
      <c r="L787" s="5" t="str" cm="1">
        <f t="array" ref="L787">choice(Referentiel!C:C,1,Settings!$B$16)</f>
        <v/>
      </c>
      <c r="M787" s="5" t="str" cm="1">
        <f t="array" ref="M787">choice(Referentiel!E:E,1,Settings!$B$16)</f>
        <v/>
      </c>
      <c r="N787" s="5" t="str" cm="1">
        <f t="array" ref="N787">choice(Settings!K:K,1,Settings!$B$16)</f>
        <v/>
      </c>
      <c r="P787" s="5">
        <f t="shared" si="52"/>
        <v>1</v>
      </c>
    </row>
    <row r="788" spans="1:16" ht="15.75" customHeight="1" x14ac:dyDescent="0.25">
      <c r="A788" s="6" t="s">
        <v>1140</v>
      </c>
      <c r="B788" s="6" cm="1">
        <f t="array" ref="B788">alea_int(Settings!$B$10,1,Settings!$B$16)</f>
        <v>1</v>
      </c>
      <c r="C788" s="8">
        <v>46023</v>
      </c>
      <c r="D788" s="8">
        <f t="shared" si="49"/>
        <v>46387</v>
      </c>
      <c r="E788" s="6" t="str" cm="1">
        <f t="array" ref="E788">choice(Groupes!A:A,1,Settings!$B$16)</f>
        <v>G1</v>
      </c>
      <c r="F788" s="6" t="str">
        <f t="shared" si="50"/>
        <v>G1</v>
      </c>
      <c r="G788" s="6" t="str">
        <f t="shared" si="51"/>
        <v>Prof15</v>
      </c>
      <c r="H788" s="6" t="str" cm="1">
        <f t="array" ref="H788">choice(Referentiel!A:A,1,Settings!$B$16)</f>
        <v>Gr TERRITOIRES</v>
      </c>
      <c r="I788" s="6" t="str" cm="1">
        <f t="array" ref="I788">choice(Referentiel!B:B,1,Settings!$B$16)</f>
        <v>2ème année Cinéma d'Animation S1</v>
      </c>
      <c r="J788" s="6" t="str" cm="1">
        <f t="array" ref="J788">choice(Referentiel!D:D,1,Settings!$B$16)</f>
        <v>M2</v>
      </c>
      <c r="K788" s="6" t="str" cm="1">
        <f t="array" ref="K788">choice(Professeurs!B:B,1,Settings!$B$16)</f>
        <v>Prof15</v>
      </c>
      <c r="L788" s="5" t="str" cm="1">
        <f t="array" ref="L788">choice(Referentiel!C:C,1,Settings!$B$16)</f>
        <v/>
      </c>
      <c r="M788" s="5" t="str" cm="1">
        <f t="array" ref="M788">choice(Referentiel!E:E,1,Settings!$B$16)</f>
        <v/>
      </c>
      <c r="N788" s="5" t="str" cm="1">
        <f t="array" ref="N788">choice(Settings!K:K,1,Settings!$B$16)</f>
        <v/>
      </c>
      <c r="P788" s="5">
        <f t="shared" si="52"/>
        <v>1</v>
      </c>
    </row>
    <row r="789" spans="1:16" ht="15.75" customHeight="1" x14ac:dyDescent="0.25">
      <c r="A789" s="6" t="s">
        <v>1141</v>
      </c>
      <c r="B789" s="6" cm="1">
        <f t="array" ref="B789">alea_int(Settings!$B$10,1,Settings!$B$16)</f>
        <v>1</v>
      </c>
      <c r="C789" s="8">
        <v>46023</v>
      </c>
      <c r="D789" s="8">
        <f t="shared" si="49"/>
        <v>46387</v>
      </c>
      <c r="E789" s="6" t="str" cm="1">
        <f t="array" ref="E789">choice(Groupes!A:A,1,Settings!$B$16)</f>
        <v>G7</v>
      </c>
      <c r="F789" s="6" t="str">
        <f t="shared" si="50"/>
        <v>G7</v>
      </c>
      <c r="G789" s="6" t="str">
        <f t="shared" si="51"/>
        <v>Prof16</v>
      </c>
      <c r="H789" s="6" t="str" cm="1">
        <f t="array" ref="H789">choice(Referentiel!A:A,1,Settings!$B$16)</f>
        <v>Gr SPATIAL MEDIA</v>
      </c>
      <c r="I789" s="6" t="str" cm="1">
        <f t="array" ref="I789">choice(Referentiel!B:B,1,Settings!$B$16)</f>
        <v>4ème année Design Objet S2</v>
      </c>
      <c r="J789" s="6" t="str" cm="1">
        <f t="array" ref="J789">choice(Referentiel!D:D,1,Settings!$B$16)</f>
        <v>L3</v>
      </c>
      <c r="K789" s="6" t="str" cm="1">
        <f t="array" ref="K789">choice(Professeurs!B:B,1,Settings!$B$16)</f>
        <v>Prof16</v>
      </c>
      <c r="L789" s="5" t="str" cm="1">
        <f t="array" ref="L789">choice(Referentiel!C:C,1,Settings!$B$16)</f>
        <v/>
      </c>
      <c r="M789" s="5" t="str" cm="1">
        <f t="array" ref="M789">choice(Referentiel!E:E,1,Settings!$B$16)</f>
        <v/>
      </c>
      <c r="N789" s="5" t="str" cm="1">
        <f t="array" ref="N789">choice(Settings!K:K,1,Settings!$B$16)</f>
        <v/>
      </c>
      <c r="P789" s="5">
        <f t="shared" si="52"/>
        <v>1</v>
      </c>
    </row>
    <row r="790" spans="1:16" ht="15.75" customHeight="1" x14ac:dyDescent="0.25">
      <c r="A790" s="6" t="s">
        <v>1142</v>
      </c>
      <c r="B790" s="6" cm="1">
        <f t="array" ref="B790">alea_int(Settings!$B$10,1,Settings!$B$16)</f>
        <v>3</v>
      </c>
      <c r="C790" s="8">
        <v>46023</v>
      </c>
      <c r="D790" s="8">
        <f t="shared" si="49"/>
        <v>46387</v>
      </c>
      <c r="E790" s="6" t="str" cm="1">
        <f t="array" ref="E790">choice(Groupes!A:A,1,Settings!$B$16)</f>
        <v>G13</v>
      </c>
      <c r="F790" s="6" t="str">
        <f t="shared" si="50"/>
        <v>G13</v>
      </c>
      <c r="G790" s="6" t="str">
        <f t="shared" si="51"/>
        <v>Prof55</v>
      </c>
      <c r="H790" s="6" t="str" cm="1">
        <f t="array" ref="H790">choice(Referentiel!A:A,1,Settings!$B$16)</f>
        <v>Scénographie</v>
      </c>
      <c r="I790" s="6" t="str" cm="1">
        <f t="array" ref="I790">choice(Referentiel!B:B,1,Settings!$B$16)</f>
        <v>5ème année Scénographie S2</v>
      </c>
      <c r="J790" s="6" t="str" cm="1">
        <f t="array" ref="J790">choice(Referentiel!D:D,1,Settings!$B$16)</f>
        <v>L2</v>
      </c>
      <c r="K790" s="6" t="str" cm="1">
        <f t="array" ref="K790">choice(Professeurs!B:B,1,Settings!$B$16)</f>
        <v>Prof55</v>
      </c>
      <c r="L790" s="5" t="str" cm="1">
        <f t="array" ref="L790">choice(Referentiel!C:C,1,Settings!$B$16)</f>
        <v/>
      </c>
      <c r="M790" s="5" t="str" cm="1">
        <f t="array" ref="M790">choice(Referentiel!E:E,1,Settings!$B$16)</f>
        <v/>
      </c>
      <c r="N790" s="5" t="str" cm="1">
        <f t="array" ref="N790">choice(Settings!K:K,1,Settings!$B$16)</f>
        <v/>
      </c>
      <c r="P790" s="5">
        <f t="shared" si="52"/>
        <v>3</v>
      </c>
    </row>
    <row r="791" spans="1:16" ht="15.75" customHeight="1" x14ac:dyDescent="0.25">
      <c r="A791" s="6" t="s">
        <v>1143</v>
      </c>
      <c r="B791" s="6" cm="1">
        <f t="array" ref="B791">alea_int(Settings!$B$10,1,Settings!$B$16)</f>
        <v>1</v>
      </c>
      <c r="C791" s="8">
        <v>46023</v>
      </c>
      <c r="D791" s="8">
        <f t="shared" si="49"/>
        <v>46387</v>
      </c>
      <c r="E791" s="6" t="str" cm="1">
        <f t="array" ref="E791">choice(Groupes!A:A,1,Settings!$B$16)</f>
        <v>G18</v>
      </c>
      <c r="F791" s="6" t="str">
        <f t="shared" si="50"/>
        <v>G18</v>
      </c>
      <c r="G791" s="6" t="str">
        <f t="shared" si="51"/>
        <v>Prof45</v>
      </c>
      <c r="H791" s="6" t="str" cm="1">
        <f t="array" ref="H791">choice(Referentiel!A:A,1,Settings!$B$16)</f>
        <v>Scénographie</v>
      </c>
      <c r="I791" s="6" t="str" cm="1">
        <f t="array" ref="I791">choice(Referentiel!B:B,1,Settings!$B$16)</f>
        <v>2ème année Architecture Intérieure S2</v>
      </c>
      <c r="J791" s="6" t="str" cm="1">
        <f t="array" ref="J791">choice(Referentiel!D:D,1,Settings!$B$16)</f>
        <v>L1</v>
      </c>
      <c r="K791" s="6" t="str" cm="1">
        <f t="array" ref="K791">choice(Professeurs!B:B,1,Settings!$B$16)</f>
        <v>Prof45</v>
      </c>
      <c r="L791" s="5" t="str" cm="1">
        <f t="array" ref="L791">choice(Referentiel!C:C,1,Settings!$B$16)</f>
        <v/>
      </c>
      <c r="M791" s="5" t="str" cm="1">
        <f t="array" ref="M791">choice(Referentiel!E:E,1,Settings!$B$16)</f>
        <v/>
      </c>
      <c r="N791" s="5" t="str" cm="1">
        <f t="array" ref="N791">choice(Settings!K:K,1,Settings!$B$16)</f>
        <v/>
      </c>
      <c r="P791" s="5">
        <f t="shared" si="52"/>
        <v>1</v>
      </c>
    </row>
    <row r="792" spans="1:16" ht="15.75" customHeight="1" x14ac:dyDescent="0.25">
      <c r="A792" s="6" t="s">
        <v>1144</v>
      </c>
      <c r="B792" s="6" cm="1">
        <f t="array" ref="B792">alea_int(Settings!$B$10,1,Settings!$B$16)</f>
        <v>3</v>
      </c>
      <c r="C792" s="8">
        <v>46023</v>
      </c>
      <c r="D792" s="8">
        <f t="shared" si="49"/>
        <v>46387</v>
      </c>
      <c r="E792" s="6" t="str" cm="1">
        <f t="array" ref="E792">choice(Groupes!A:A,1,Settings!$B$16)</f>
        <v>G30</v>
      </c>
      <c r="F792" s="6" t="str">
        <f t="shared" si="50"/>
        <v>G30</v>
      </c>
      <c r="G792" s="6" t="str">
        <f t="shared" si="51"/>
        <v>Prof39</v>
      </c>
      <c r="H792" s="6" t="str" cm="1">
        <f t="array" ref="H792">choice(Referentiel!A:A,1,Settings!$B$16)</f>
        <v>Design des mondes littoraux</v>
      </c>
      <c r="I792" s="6" t="str" cm="1">
        <f t="array" ref="I792">choice(Referentiel!B:B,1,Settings!$B$16)</f>
        <v>3ème année Design Objet S1</v>
      </c>
      <c r="J792" s="6" t="str" cm="1">
        <f t="array" ref="J792">choice(Referentiel!D:D,1,Settings!$B$16)</f>
        <v>L3</v>
      </c>
      <c r="K792" s="6" t="str" cm="1">
        <f t="array" ref="K792">choice(Professeurs!B:B,1,Settings!$B$16)</f>
        <v>Prof39</v>
      </c>
      <c r="L792" s="5" t="str" cm="1">
        <f t="array" ref="L792">choice(Referentiel!C:C,1,Settings!$B$16)</f>
        <v/>
      </c>
      <c r="M792" s="5" t="str" cm="1">
        <f t="array" ref="M792">choice(Referentiel!E:E,1,Settings!$B$16)</f>
        <v/>
      </c>
      <c r="N792" s="5" t="str" cm="1">
        <f t="array" ref="N792">choice(Settings!K:K,1,Settings!$B$16)</f>
        <v/>
      </c>
      <c r="P792" s="5">
        <f t="shared" si="52"/>
        <v>3</v>
      </c>
    </row>
    <row r="793" spans="1:16" ht="15.75" customHeight="1" x14ac:dyDescent="0.25">
      <c r="A793" s="6" t="s">
        <v>1145</v>
      </c>
      <c r="B793" s="6" cm="1">
        <f t="array" ref="B793">alea_int(Settings!$B$10,1,Settings!$B$16)</f>
        <v>2</v>
      </c>
      <c r="C793" s="8">
        <v>46023</v>
      </c>
      <c r="D793" s="8">
        <f t="shared" si="49"/>
        <v>46387</v>
      </c>
      <c r="E793" s="6" t="str" cm="1">
        <f t="array" ref="E793">choice(Groupes!A:A,1,Settings!$B$16)</f>
        <v>G9</v>
      </c>
      <c r="F793" s="6" t="str">
        <f t="shared" si="50"/>
        <v>G9</v>
      </c>
      <c r="G793" s="6" t="str">
        <f t="shared" si="51"/>
        <v>Prof5</v>
      </c>
      <c r="H793" s="6" t="str" cm="1">
        <f t="array" ref="H793">choice(Referentiel!A:A,1,Settings!$B$16)</f>
        <v>Design des mondes urbains</v>
      </c>
      <c r="I793" s="6" t="str" cm="1">
        <f t="array" ref="I793">choice(Referentiel!B:B,1,Settings!$B$16)</f>
        <v>3ème année Art-Espace S2</v>
      </c>
      <c r="J793" s="6" t="str" cm="1">
        <f t="array" ref="J793">choice(Referentiel!D:D,1,Settings!$B$16)</f>
        <v>M1</v>
      </c>
      <c r="K793" s="6" t="str" cm="1">
        <f t="array" ref="K793">choice(Professeurs!B:B,1,Settings!$B$16)</f>
        <v>Prof5</v>
      </c>
      <c r="L793" s="5" t="str" cm="1">
        <f t="array" ref="L793">choice(Referentiel!C:C,1,Settings!$B$16)</f>
        <v/>
      </c>
      <c r="M793" s="5" t="str" cm="1">
        <f t="array" ref="M793">choice(Referentiel!E:E,1,Settings!$B$16)</f>
        <v/>
      </c>
      <c r="N793" s="5" t="str" cm="1">
        <f t="array" ref="N793">choice(Settings!K:K,1,Settings!$B$16)</f>
        <v/>
      </c>
      <c r="P793" s="5">
        <f t="shared" si="52"/>
        <v>2</v>
      </c>
    </row>
    <row r="794" spans="1:16" ht="15.75" customHeight="1" x14ac:dyDescent="0.25">
      <c r="A794" s="6" t="s">
        <v>1146</v>
      </c>
      <c r="B794" s="6" cm="1">
        <f t="array" ref="B794">alea_int(Settings!$B$10,1,Settings!$B$16)</f>
        <v>3</v>
      </c>
      <c r="C794" s="8">
        <v>46023</v>
      </c>
      <c r="D794" s="8">
        <f t="shared" si="49"/>
        <v>46387</v>
      </c>
      <c r="E794" s="6" t="str" cm="1">
        <f t="array" ref="E794">choice(Groupes!A:A,1,Settings!$B$16)</f>
        <v>G29</v>
      </c>
      <c r="F794" s="6" t="str">
        <f t="shared" si="50"/>
        <v>G29</v>
      </c>
      <c r="G794" s="6" t="str">
        <f t="shared" si="51"/>
        <v>Prof30</v>
      </c>
      <c r="H794" s="6" t="str" cm="1">
        <f t="array" ref="H794">choice(Referentiel!A:A,1,Settings!$B$16)</f>
        <v>Design Graphique</v>
      </c>
      <c r="I794" s="6" t="str" cm="1">
        <f t="array" ref="I794">choice(Referentiel!B:B,1,Settings!$B$16)</f>
        <v>5ème année Design Objet S2</v>
      </c>
      <c r="J794" s="6" t="str" cm="1">
        <f t="array" ref="J794">choice(Referentiel!D:D,1,Settings!$B$16)</f>
        <v>M2</v>
      </c>
      <c r="K794" s="6" t="str" cm="1">
        <f t="array" ref="K794">choice(Professeurs!B:B,1,Settings!$B$16)</f>
        <v>Prof30</v>
      </c>
      <c r="L794" s="5" t="str" cm="1">
        <f t="array" ref="L794">choice(Referentiel!C:C,1,Settings!$B$16)</f>
        <v/>
      </c>
      <c r="M794" s="5" t="str" cm="1">
        <f t="array" ref="M794">choice(Referentiel!E:E,1,Settings!$B$16)</f>
        <v/>
      </c>
      <c r="N794" s="5" t="str" cm="1">
        <f t="array" ref="N794">choice(Settings!K:K,1,Settings!$B$16)</f>
        <v/>
      </c>
      <c r="P794" s="5">
        <f t="shared" si="52"/>
        <v>3</v>
      </c>
    </row>
    <row r="795" spans="1:16" ht="15.75" customHeight="1" x14ac:dyDescent="0.25">
      <c r="A795" s="6" t="s">
        <v>1147</v>
      </c>
      <c r="B795" s="6" cm="1">
        <f t="array" ref="B795">alea_int(Settings!$B$10,1,Settings!$B$16)</f>
        <v>3</v>
      </c>
      <c r="C795" s="8">
        <v>46023</v>
      </c>
      <c r="D795" s="8">
        <f t="shared" si="49"/>
        <v>46387</v>
      </c>
      <c r="E795" s="6" t="str" cm="1">
        <f t="array" ref="E795">choice(Groupes!A:A,1,Settings!$B$16)</f>
        <v>G6</v>
      </c>
      <c r="F795" s="6" t="str">
        <f t="shared" si="50"/>
        <v>G6</v>
      </c>
      <c r="G795" s="6" t="str">
        <f t="shared" si="51"/>
        <v>Prof10</v>
      </c>
      <c r="H795" s="6" t="str" cm="1">
        <f t="array" ref="H795">choice(Referentiel!A:A,1,Settings!$B$16)</f>
        <v>Design Textile et Matière</v>
      </c>
      <c r="I795" s="6" t="str" cm="1">
        <f t="array" ref="I795">choice(Referentiel!B:B,1,Settings!$B$16)</f>
        <v>4ème année Architecture Intérieure S1</v>
      </c>
      <c r="J795" s="6" t="str" cm="1">
        <f t="array" ref="J795">choice(Referentiel!D:D,1,Settings!$B$16)</f>
        <v>L3</v>
      </c>
      <c r="K795" s="6" t="str" cm="1">
        <f t="array" ref="K795">choice(Professeurs!B:B,1,Settings!$B$16)</f>
        <v>Prof10</v>
      </c>
      <c r="L795" s="5" t="str" cm="1">
        <f t="array" ref="L795">choice(Referentiel!C:C,1,Settings!$B$16)</f>
        <v/>
      </c>
      <c r="M795" s="5" t="str" cm="1">
        <f t="array" ref="M795">choice(Referentiel!E:E,1,Settings!$B$16)</f>
        <v/>
      </c>
      <c r="N795" s="5" t="str" cm="1">
        <f t="array" ref="N795">choice(Settings!K:K,1,Settings!$B$16)</f>
        <v/>
      </c>
      <c r="P795" s="5">
        <f t="shared" si="52"/>
        <v>3</v>
      </c>
    </row>
    <row r="796" spans="1:16" ht="15.75" customHeight="1" x14ac:dyDescent="0.25">
      <c r="A796" s="6" t="s">
        <v>1148</v>
      </c>
      <c r="B796" s="6" cm="1">
        <f t="array" ref="B796">alea_int(Settings!$B$10,1,Settings!$B$16)</f>
        <v>2</v>
      </c>
      <c r="C796" s="8">
        <v>46023</v>
      </c>
      <c r="D796" s="8">
        <f t="shared" si="49"/>
        <v>46387</v>
      </c>
      <c r="E796" s="6" t="str" cm="1">
        <f t="array" ref="E796">choice(Groupes!A:A,1,Settings!$B$16)</f>
        <v>G11</v>
      </c>
      <c r="F796" s="6" t="str">
        <f t="shared" si="50"/>
        <v>G11</v>
      </c>
      <c r="G796" s="6" t="str">
        <f t="shared" si="51"/>
        <v>Prof43</v>
      </c>
      <c r="H796" s="6" t="str" cm="1">
        <f t="array" ref="H796">choice(Referentiel!A:A,1,Settings!$B$16)</f>
        <v>Gr SYMBIOSE</v>
      </c>
      <c r="I796" s="6" t="str" cm="1">
        <f t="array" ref="I796">choice(Referentiel!B:B,1,Settings!$B$16)</f>
        <v>2ème année Design Vêtement S2</v>
      </c>
      <c r="J796" s="6" t="str" cm="1">
        <f t="array" ref="J796">choice(Referentiel!D:D,1,Settings!$B$16)</f>
        <v>M1</v>
      </c>
      <c r="K796" s="6" t="str" cm="1">
        <f t="array" ref="K796">choice(Professeurs!B:B,1,Settings!$B$16)</f>
        <v>Prof43</v>
      </c>
      <c r="L796" s="5" t="str" cm="1">
        <f t="array" ref="L796">choice(Referentiel!C:C,1,Settings!$B$16)</f>
        <v/>
      </c>
      <c r="M796" s="5" t="str" cm="1">
        <f t="array" ref="M796">choice(Referentiel!E:E,1,Settings!$B$16)</f>
        <v/>
      </c>
      <c r="N796" s="5" t="str" cm="1">
        <f t="array" ref="N796">choice(Settings!K:K,1,Settings!$B$16)</f>
        <v/>
      </c>
      <c r="P796" s="5">
        <f t="shared" si="52"/>
        <v>2</v>
      </c>
    </row>
    <row r="797" spans="1:16" ht="15.75" customHeight="1" x14ac:dyDescent="0.25">
      <c r="A797" s="6" t="s">
        <v>1149</v>
      </c>
      <c r="B797" s="6" cm="1">
        <f t="array" ref="B797">alea_int(Settings!$B$10,1,Settings!$B$16)</f>
        <v>3</v>
      </c>
      <c r="C797" s="8">
        <v>46023</v>
      </c>
      <c r="D797" s="8">
        <f t="shared" si="49"/>
        <v>46387</v>
      </c>
      <c r="E797" s="6" t="str" cm="1">
        <f t="array" ref="E797">choice(Groupes!A:A,1,Settings!$B$16)</f>
        <v>G14</v>
      </c>
      <c r="F797" s="6" t="str">
        <f t="shared" si="50"/>
        <v>G14</v>
      </c>
      <c r="G797" s="6" t="str">
        <f t="shared" si="51"/>
        <v>Prof46</v>
      </c>
      <c r="H797" s="6" t="str" cm="1">
        <f t="array" ref="H797">choice(Referentiel!A:A,1,Settings!$B$16)</f>
        <v>Design des mondes ruraux</v>
      </c>
      <c r="I797" s="6" t="str" cm="1">
        <f t="array" ref="I797">choice(Referentiel!B:B,1,Settings!$B$16)</f>
        <v>4ème année Design Textile et Matière S2</v>
      </c>
      <c r="J797" s="6" t="str" cm="1">
        <f t="array" ref="J797">choice(Referentiel!D:D,1,Settings!$B$16)</f>
        <v>L2</v>
      </c>
      <c r="K797" s="6" t="str" cm="1">
        <f t="array" ref="K797">choice(Professeurs!B:B,1,Settings!$B$16)</f>
        <v>Prof46</v>
      </c>
      <c r="L797" s="5" t="str" cm="1">
        <f t="array" ref="L797">choice(Referentiel!C:C,1,Settings!$B$16)</f>
        <v/>
      </c>
      <c r="M797" s="5" t="str" cm="1">
        <f t="array" ref="M797">choice(Referentiel!E:E,1,Settings!$B$16)</f>
        <v/>
      </c>
      <c r="N797" s="5" t="str" cm="1">
        <f t="array" ref="N797">choice(Settings!K:K,1,Settings!$B$16)</f>
        <v/>
      </c>
      <c r="P797" s="5">
        <f t="shared" si="52"/>
        <v>3</v>
      </c>
    </row>
    <row r="798" spans="1:16" ht="15.75" customHeight="1" x14ac:dyDescent="0.25">
      <c r="A798" s="6" t="s">
        <v>1150</v>
      </c>
      <c r="B798" s="6" cm="1">
        <f t="array" ref="B798">alea_int(Settings!$B$10,1,Settings!$B$16)</f>
        <v>1</v>
      </c>
      <c r="C798" s="8">
        <v>46023</v>
      </c>
      <c r="D798" s="8">
        <f t="shared" si="49"/>
        <v>46387</v>
      </c>
      <c r="E798" s="6" t="str" cm="1">
        <f t="array" ref="E798">choice(Groupes!A:A,1,Settings!$B$16)</f>
        <v>G11</v>
      </c>
      <c r="F798" s="6" t="str">
        <f t="shared" si="50"/>
        <v>G11</v>
      </c>
      <c r="G798" s="6" t="str">
        <f t="shared" si="51"/>
        <v>Prof10</v>
      </c>
      <c r="H798" s="6" t="str" cm="1">
        <f t="array" ref="H798">choice(Referentiel!A:A,1,Settings!$B$16)</f>
        <v>1ère année Groupe 4</v>
      </c>
      <c r="I798" s="6" t="str" cm="1">
        <f t="array" ref="I798">choice(Referentiel!B:B,1,Settings!$B$16)</f>
        <v>4ème année Image Imprimée S2</v>
      </c>
      <c r="J798" s="6" t="str" cm="1">
        <f t="array" ref="J798">choice(Referentiel!D:D,1,Settings!$B$16)</f>
        <v>L2</v>
      </c>
      <c r="K798" s="6" t="str" cm="1">
        <f t="array" ref="K798">choice(Professeurs!B:B,1,Settings!$B$16)</f>
        <v>Prof10</v>
      </c>
      <c r="L798" s="5" t="str" cm="1">
        <f t="array" ref="L798">choice(Referentiel!C:C,1,Settings!$B$16)</f>
        <v/>
      </c>
      <c r="M798" s="5" t="str" cm="1">
        <f t="array" ref="M798">choice(Referentiel!E:E,1,Settings!$B$16)</f>
        <v/>
      </c>
      <c r="N798" s="5" t="str" cm="1">
        <f t="array" ref="N798">choice(Settings!K:K,1,Settings!$B$16)</f>
        <v/>
      </c>
      <c r="P798" s="5">
        <f t="shared" si="52"/>
        <v>1</v>
      </c>
    </row>
    <row r="799" spans="1:16" ht="15.75" customHeight="1" x14ac:dyDescent="0.25">
      <c r="A799" s="6" t="s">
        <v>1151</v>
      </c>
      <c r="B799" s="6" cm="1">
        <f t="array" ref="B799">alea_int(Settings!$B$10,1,Settings!$B$16)</f>
        <v>2</v>
      </c>
      <c r="C799" s="8">
        <v>46023</v>
      </c>
      <c r="D799" s="8">
        <f t="shared" si="49"/>
        <v>46387</v>
      </c>
      <c r="E799" s="6" t="str" cm="1">
        <f t="array" ref="E799">choice(Groupes!A:A,1,Settings!$B$16)</f>
        <v>G6</v>
      </c>
      <c r="F799" s="6" t="str">
        <f t="shared" si="50"/>
        <v>G6</v>
      </c>
      <c r="G799" s="6" t="str">
        <f t="shared" si="51"/>
        <v>Prof18</v>
      </c>
      <c r="H799" s="6" t="str" cm="1">
        <f t="array" ref="H799">choice(Referentiel!A:A,1,Settings!$B$16)</f>
        <v>Architecture Intérieure</v>
      </c>
      <c r="I799" s="6" t="str" cm="1">
        <f t="array" ref="I799">choice(Referentiel!B:B,1,Settings!$B$16)</f>
        <v>3ème année Design Vêtement S1</v>
      </c>
      <c r="J799" s="6" t="str" cm="1">
        <f t="array" ref="J799">choice(Referentiel!D:D,1,Settings!$B$16)</f>
        <v>M2</v>
      </c>
      <c r="K799" s="6" t="str" cm="1">
        <f t="array" ref="K799">choice(Professeurs!B:B,1,Settings!$B$16)</f>
        <v>Prof18</v>
      </c>
      <c r="L799" s="5" t="str" cm="1">
        <f t="array" ref="L799">choice(Referentiel!C:C,1,Settings!$B$16)</f>
        <v/>
      </c>
      <c r="M799" s="5" t="str" cm="1">
        <f t="array" ref="M799">choice(Referentiel!E:E,1,Settings!$B$16)</f>
        <v>Salle11</v>
      </c>
      <c r="N799" s="5" t="str" cm="1">
        <f t="array" ref="N799">choice(Settings!K:K,1,Settings!$B$16)</f>
        <v>semaine</v>
      </c>
      <c r="P799" s="5">
        <f t="shared" si="52"/>
        <v>6</v>
      </c>
    </row>
    <row r="800" spans="1:16" ht="15.75" customHeight="1" x14ac:dyDescent="0.25">
      <c r="A800" s="6" t="s">
        <v>1152</v>
      </c>
      <c r="B800" s="6" cm="1">
        <f t="array" ref="B800">alea_int(Settings!$B$10,1,Settings!$B$16)</f>
        <v>1</v>
      </c>
      <c r="C800" s="8">
        <v>46023</v>
      </c>
      <c r="D800" s="8">
        <f t="shared" si="49"/>
        <v>46387</v>
      </c>
      <c r="E800" s="6" t="str" cm="1">
        <f t="array" ref="E800">choice(Groupes!A:A,1,Settings!$B$16)</f>
        <v>G25</v>
      </c>
      <c r="F800" s="6" t="str">
        <f t="shared" si="50"/>
        <v>G25</v>
      </c>
      <c r="G800" s="6" t="str">
        <f t="shared" si="51"/>
        <v>Prof52</v>
      </c>
      <c r="H800" s="6" t="str" cm="1">
        <f t="array" ref="H800">choice(Referentiel!A:A,1,Settings!$B$16)</f>
        <v>1ère année Groupe 3</v>
      </c>
      <c r="I800" s="6" t="str" cm="1">
        <f t="array" ref="I800">choice(Referentiel!B:B,1,Settings!$B$16)</f>
        <v>4ème année Art-Espace S1</v>
      </c>
      <c r="J800" s="6" t="str" cm="1">
        <f t="array" ref="J800">choice(Referentiel!D:D,1,Settings!$B$16)</f>
        <v>L2</v>
      </c>
      <c r="K800" s="6" t="str" cm="1">
        <f t="array" ref="K800">choice(Professeurs!B:B,1,Settings!$B$16)</f>
        <v>Prof52</v>
      </c>
      <c r="L800" s="5" t="str" cm="1">
        <f t="array" ref="L800">choice(Referentiel!C:C,1,Settings!$B$16)</f>
        <v/>
      </c>
      <c r="M800" s="5" t="str" cm="1">
        <f t="array" ref="M800">choice(Referentiel!E:E,1,Settings!$B$16)</f>
        <v/>
      </c>
      <c r="N800" s="5" t="str" cm="1">
        <f t="array" ref="N800">choice(Settings!K:K,1,Settings!$B$16)</f>
        <v>vendredi pm</v>
      </c>
      <c r="P800" s="5">
        <f t="shared" si="52"/>
        <v>3</v>
      </c>
    </row>
    <row r="801" spans="1:16" ht="15.75" customHeight="1" x14ac:dyDescent="0.25">
      <c r="A801" s="6" t="s">
        <v>1153</v>
      </c>
      <c r="B801" s="6" cm="1">
        <f t="array" ref="B801">alea_int(Settings!$B$10,1,Settings!$B$16)</f>
        <v>1</v>
      </c>
      <c r="C801" s="8">
        <v>46023</v>
      </c>
      <c r="D801" s="8">
        <f t="shared" si="49"/>
        <v>46387</v>
      </c>
      <c r="E801" s="6" t="str" cm="1">
        <f t="array" ref="E801">choice(Groupes!A:A,1,Settings!$B$16)</f>
        <v>G4</v>
      </c>
      <c r="F801" s="6" t="str">
        <f t="shared" si="50"/>
        <v>G4</v>
      </c>
      <c r="G801" s="6" t="str">
        <f t="shared" si="51"/>
        <v>Prof38</v>
      </c>
      <c r="H801" s="6" t="str" cm="1">
        <f t="array" ref="H801">choice(Referentiel!A:A,1,Settings!$B$16)</f>
        <v>Design des mondes forestiers</v>
      </c>
      <c r="I801" s="6" t="str" cm="1">
        <f t="array" ref="I801">choice(Referentiel!B:B,1,Settings!$B$16)</f>
        <v>2ème année Architecture Intérieure S1</v>
      </c>
      <c r="J801" s="6" t="str" cm="1">
        <f t="array" ref="J801">choice(Referentiel!D:D,1,Settings!$B$16)</f>
        <v>L1</v>
      </c>
      <c r="K801" s="6" t="str" cm="1">
        <f t="array" ref="K801">choice(Professeurs!B:B,1,Settings!$B$16)</f>
        <v>Prof38</v>
      </c>
      <c r="L801" s="5" t="str" cm="1">
        <f t="array" ref="L801">choice(Referentiel!C:C,1,Settings!$B$16)</f>
        <v/>
      </c>
      <c r="M801" s="5" t="str" cm="1">
        <f t="array" ref="M801">choice(Referentiel!E:E,1,Settings!$B$16)</f>
        <v/>
      </c>
      <c r="N801" s="5" t="str" cm="1">
        <f t="array" ref="N801">choice(Settings!K:K,1,Settings!$B$16)</f>
        <v>vendredi pm</v>
      </c>
      <c r="P801" s="5">
        <f t="shared" si="52"/>
        <v>3</v>
      </c>
    </row>
    <row r="802" spans="1:16" ht="15.75" customHeight="1" x14ac:dyDescent="0.25">
      <c r="A802" s="6" t="s">
        <v>1154</v>
      </c>
      <c r="B802" s="6" cm="1">
        <f t="array" ref="B802">alea_int(Settings!$B$10,1,Settings!$B$16)</f>
        <v>2</v>
      </c>
      <c r="C802" s="8">
        <v>46023</v>
      </c>
      <c r="D802" s="8">
        <f t="shared" si="49"/>
        <v>46387</v>
      </c>
      <c r="E802" s="6" t="str" cm="1">
        <f t="array" ref="E802">choice(Groupes!A:A,1,Settings!$B$16)</f>
        <v>G30</v>
      </c>
      <c r="F802" s="6" t="str">
        <f t="shared" si="50"/>
        <v>G30</v>
      </c>
      <c r="G802" s="6" t="str">
        <f t="shared" si="51"/>
        <v>Prof10</v>
      </c>
      <c r="H802" s="6" t="str" cm="1">
        <f t="array" ref="H802">choice(Referentiel!A:A,1,Settings!$B$16)</f>
        <v>Design Textile et Matière</v>
      </c>
      <c r="I802" s="6" t="str" cm="1">
        <f t="array" ref="I802">choice(Referentiel!B:B,1,Settings!$B$16)</f>
        <v>1ère Année Groupe 2 S2</v>
      </c>
      <c r="J802" s="6" t="str" cm="1">
        <f t="array" ref="J802">choice(Referentiel!D:D,1,Settings!$B$16)</f>
        <v>L2</v>
      </c>
      <c r="K802" s="6" t="str" cm="1">
        <f t="array" ref="K802">choice(Professeurs!B:B,1,Settings!$B$16)</f>
        <v>Prof10</v>
      </c>
      <c r="L802" s="5" t="str" cm="1">
        <f t="array" ref="L802">choice(Referentiel!C:C,1,Settings!$B$16)</f>
        <v/>
      </c>
      <c r="M802" s="5" t="str" cm="1">
        <f t="array" ref="M802">choice(Referentiel!E:E,1,Settings!$B$16)</f>
        <v/>
      </c>
      <c r="N802" s="5" t="str" cm="1">
        <f t="array" ref="N802">choice(Settings!K:K,1,Settings!$B$16)</f>
        <v>jeudi am</v>
      </c>
      <c r="P802" s="5">
        <f t="shared" si="52"/>
        <v>4</v>
      </c>
    </row>
    <row r="803" spans="1:16" ht="15.75" customHeight="1" x14ac:dyDescent="0.25">
      <c r="A803" s="6" t="s">
        <v>1155</v>
      </c>
      <c r="B803" s="6" cm="1">
        <f t="array" ref="B803">alea_int(Settings!$B$10,1,Settings!$B$16)</f>
        <v>3</v>
      </c>
      <c r="C803" s="8">
        <v>46023</v>
      </c>
      <c r="D803" s="8">
        <f t="shared" si="49"/>
        <v>46387</v>
      </c>
      <c r="E803" s="6" t="str" cm="1">
        <f t="array" ref="E803">choice(Groupes!A:A,1,Settings!$B$16)</f>
        <v>G1</v>
      </c>
      <c r="F803" s="6" t="str">
        <f t="shared" si="50"/>
        <v>G1</v>
      </c>
      <c r="G803" s="6" t="str">
        <f t="shared" si="51"/>
        <v>Prof52</v>
      </c>
      <c r="H803" s="6" t="str" cm="1">
        <f t="array" ref="H803">choice(Referentiel!A:A,1,Settings!$B$16)</f>
        <v>Design des mondes littoraux</v>
      </c>
      <c r="I803" s="6" t="str" cm="1">
        <f t="array" ref="I803">choice(Referentiel!B:B,1,Settings!$B$16)</f>
        <v>2ème année Design Vêtement S1</v>
      </c>
      <c r="J803" s="6" t="str" cm="1">
        <f t="array" ref="J803">choice(Referentiel!D:D,1,Settings!$B$16)</f>
        <v>M2</v>
      </c>
      <c r="K803" s="6" t="str" cm="1">
        <f t="array" ref="K803">choice(Professeurs!B:B,1,Settings!$B$16)</f>
        <v>Prof52</v>
      </c>
      <c r="L803" s="5" t="str" cm="1">
        <f t="array" ref="L803">choice(Referentiel!C:C,1,Settings!$B$16)</f>
        <v/>
      </c>
      <c r="M803" s="5" t="str" cm="1">
        <f t="array" ref="M803">choice(Referentiel!E:E,1,Settings!$B$16)</f>
        <v/>
      </c>
      <c r="N803" s="5" t="str" cm="1">
        <f t="array" ref="N803">choice(Settings!K:K,1,Settings!$B$16)</f>
        <v/>
      </c>
      <c r="P803" s="5">
        <f t="shared" si="52"/>
        <v>3</v>
      </c>
    </row>
    <row r="804" spans="1:16" ht="15.75" customHeight="1" x14ac:dyDescent="0.25">
      <c r="A804" s="6" t="s">
        <v>1156</v>
      </c>
      <c r="B804" s="6" cm="1">
        <f t="array" ref="B804">alea_int(Settings!$B$10,1,Settings!$B$16)</f>
        <v>1</v>
      </c>
      <c r="C804" s="8">
        <v>46023</v>
      </c>
      <c r="D804" s="8">
        <f t="shared" si="49"/>
        <v>46387</v>
      </c>
      <c r="E804" s="6" t="str" cm="1">
        <f t="array" ref="E804">choice(Groupes!A:A,1,Settings!$B$16)</f>
        <v>G8</v>
      </c>
      <c r="F804" s="6" t="str">
        <f t="shared" si="50"/>
        <v>G8</v>
      </c>
      <c r="G804" s="6" t="str">
        <f t="shared" si="51"/>
        <v>Prof19</v>
      </c>
      <c r="H804" s="6" t="str" cm="1">
        <f t="array" ref="H804">choice(Referentiel!A:A,1,Settings!$B$16)</f>
        <v>Design des mondes forestiers</v>
      </c>
      <c r="I804" s="6" t="str" cm="1">
        <f t="array" ref="I804">choice(Referentiel!B:B,1,Settings!$B$16)</f>
        <v>4ème année Image Imprimée S2</v>
      </c>
      <c r="J804" s="6" t="str" cm="1">
        <f t="array" ref="J804">choice(Referentiel!D:D,1,Settings!$B$16)</f>
        <v>M2</v>
      </c>
      <c r="K804" s="6" t="str" cm="1">
        <f t="array" ref="K804">choice(Professeurs!B:B,1,Settings!$B$16)</f>
        <v>Prof19</v>
      </c>
      <c r="L804" s="5" t="str" cm="1">
        <f t="array" ref="L804">choice(Referentiel!C:C,1,Settings!$B$16)</f>
        <v/>
      </c>
      <c r="M804" s="5" t="str" cm="1">
        <f t="array" ref="M804">choice(Referentiel!E:E,1,Settings!$B$16)</f>
        <v/>
      </c>
      <c r="N804" s="5" t="str" cm="1">
        <f t="array" ref="N804">choice(Settings!K:K,1,Settings!$B$16)</f>
        <v>vendredi pm</v>
      </c>
      <c r="P804" s="5">
        <f t="shared" si="52"/>
        <v>3</v>
      </c>
    </row>
    <row r="805" spans="1:16" ht="15.75" customHeight="1" x14ac:dyDescent="0.25">
      <c r="A805" s="6" t="s">
        <v>1157</v>
      </c>
      <c r="B805" s="6" cm="1">
        <f t="array" ref="B805">alea_int(Settings!$B$10,1,Settings!$B$16)</f>
        <v>2</v>
      </c>
      <c r="C805" s="8">
        <v>46023</v>
      </c>
      <c r="D805" s="8">
        <f t="shared" si="49"/>
        <v>46387</v>
      </c>
      <c r="E805" s="6" t="str" cm="1">
        <f t="array" ref="E805">choice(Groupes!A:A,1,Settings!$B$16)</f>
        <v>G30</v>
      </c>
      <c r="F805" s="6" t="str">
        <f t="shared" si="50"/>
        <v>G30</v>
      </c>
      <c r="G805" s="6" t="str">
        <f t="shared" si="51"/>
        <v>Prof52</v>
      </c>
      <c r="H805" s="6" t="str" cm="1">
        <f t="array" ref="H805">choice(Referentiel!A:A,1,Settings!$B$16)</f>
        <v>1ère année Groupe 2</v>
      </c>
      <c r="I805" s="6" t="str" cm="1">
        <f t="array" ref="I805">choice(Referentiel!B:B,1,Settings!$B$16)</f>
        <v>2ème année Design Objet S2</v>
      </c>
      <c r="J805" s="6" t="str" cm="1">
        <f t="array" ref="J805">choice(Referentiel!D:D,1,Settings!$B$16)</f>
        <v>L1</v>
      </c>
      <c r="K805" s="6" t="str" cm="1">
        <f t="array" ref="K805">choice(Professeurs!B:B,1,Settings!$B$16)</f>
        <v>Prof52</v>
      </c>
      <c r="L805" s="5" t="str" cm="1">
        <f t="array" ref="L805">choice(Referentiel!C:C,1,Settings!$B$16)</f>
        <v>tablette</v>
      </c>
      <c r="M805" s="5" t="str" cm="1">
        <f t="array" ref="M805">choice(Referentiel!E:E,1,Settings!$B$16)</f>
        <v/>
      </c>
      <c r="N805" s="5" t="str" cm="1">
        <f t="array" ref="N805">choice(Settings!K:K,1,Settings!$B$16)</f>
        <v/>
      </c>
      <c r="P805" s="5">
        <f t="shared" si="52"/>
        <v>2</v>
      </c>
    </row>
    <row r="806" spans="1:16" ht="15.75" customHeight="1" x14ac:dyDescent="0.25">
      <c r="A806" s="6" t="s">
        <v>1158</v>
      </c>
      <c r="B806" s="6" cm="1">
        <f t="array" ref="B806">alea_int(Settings!$B$10,1,Settings!$B$16)</f>
        <v>3</v>
      </c>
      <c r="C806" s="8">
        <v>46023</v>
      </c>
      <c r="D806" s="8">
        <f t="shared" si="49"/>
        <v>46387</v>
      </c>
      <c r="E806" s="6" t="str" cm="1">
        <f t="array" ref="E806">choice(Groupes!A:A,1,Settings!$B$16)</f>
        <v>G21</v>
      </c>
      <c r="F806" s="6" t="str">
        <f t="shared" si="50"/>
        <v>G21</v>
      </c>
      <c r="G806" s="6" t="str">
        <f t="shared" si="51"/>
        <v>Prof8</v>
      </c>
      <c r="H806" s="6" t="str" cm="1">
        <f t="array" ref="H806">choice(Referentiel!A:A,1,Settings!$B$16)</f>
        <v>Art-Espace</v>
      </c>
      <c r="I806" s="6" t="str" cm="1">
        <f t="array" ref="I806">choice(Referentiel!B:B,1,Settings!$B$16)</f>
        <v>3ème année Design Vêtement S2</v>
      </c>
      <c r="J806" s="6" t="str" cm="1">
        <f t="array" ref="J806">choice(Referentiel!D:D,1,Settings!$B$16)</f>
        <v>L3</v>
      </c>
      <c r="K806" s="6" t="str" cm="1">
        <f t="array" ref="K806">choice(Professeurs!B:B,1,Settings!$B$16)</f>
        <v>Prof8</v>
      </c>
      <c r="L806" s="5" t="str" cm="1">
        <f t="array" ref="L806">choice(Referentiel!C:C,1,Settings!$B$16)</f>
        <v/>
      </c>
      <c r="M806" s="5" t="str" cm="1">
        <f t="array" ref="M806">choice(Referentiel!E:E,1,Settings!$B$16)</f>
        <v/>
      </c>
      <c r="N806" s="5" t="str" cm="1">
        <f t="array" ref="N806">choice(Settings!K:K,1,Settings!$B$16)</f>
        <v/>
      </c>
      <c r="P806" s="5">
        <f t="shared" si="52"/>
        <v>3</v>
      </c>
    </row>
    <row r="807" spans="1:16" ht="15.75" customHeight="1" x14ac:dyDescent="0.25">
      <c r="A807" s="6" t="s">
        <v>1159</v>
      </c>
      <c r="B807" s="6" cm="1">
        <f t="array" ref="B807">alea_int(Settings!$B$10,1,Settings!$B$16)</f>
        <v>3</v>
      </c>
      <c r="C807" s="8">
        <v>46023</v>
      </c>
      <c r="D807" s="8">
        <f t="shared" si="49"/>
        <v>46387</v>
      </c>
      <c r="E807" s="6" t="str" cm="1">
        <f t="array" ref="E807">choice(Groupes!A:A,1,Settings!$B$16)</f>
        <v>G5</v>
      </c>
      <c r="F807" s="6" t="str">
        <f t="shared" si="50"/>
        <v>G5</v>
      </c>
      <c r="G807" s="6" t="str">
        <f t="shared" si="51"/>
        <v>Prof9</v>
      </c>
      <c r="H807" s="6" t="str" cm="1">
        <f t="array" ref="H807">choice(Referentiel!A:A,1,Settings!$B$16)</f>
        <v>Design Textile et Matière</v>
      </c>
      <c r="I807" s="6" t="str" cm="1">
        <f t="array" ref="I807">choice(Referentiel!B:B,1,Settings!$B$16)</f>
        <v>4ème année Design Graphique S2</v>
      </c>
      <c r="J807" s="6" t="str" cm="1">
        <f t="array" ref="J807">choice(Referentiel!D:D,1,Settings!$B$16)</f>
        <v>L3</v>
      </c>
      <c r="K807" s="6" t="str" cm="1">
        <f t="array" ref="K807">choice(Professeurs!B:B,1,Settings!$B$16)</f>
        <v>Prof9</v>
      </c>
      <c r="L807" s="5" t="str" cm="1">
        <f t="array" ref="L807">choice(Referentiel!C:C,1,Settings!$B$16)</f>
        <v/>
      </c>
      <c r="M807" s="5" t="str" cm="1">
        <f t="array" ref="M807">choice(Referentiel!E:E,1,Settings!$B$16)</f>
        <v/>
      </c>
      <c r="N807" s="5" t="str" cm="1">
        <f t="array" ref="N807">choice(Settings!K:K,1,Settings!$B$16)</f>
        <v>semaine</v>
      </c>
      <c r="P807" s="5">
        <f t="shared" si="52"/>
        <v>5</v>
      </c>
    </row>
    <row r="808" spans="1:16" ht="15.75" customHeight="1" x14ac:dyDescent="0.25">
      <c r="A808" s="6" t="s">
        <v>1160</v>
      </c>
      <c r="B808" s="6" cm="1">
        <f t="array" ref="B808">alea_int(Settings!$B$10,1,Settings!$B$16)</f>
        <v>1</v>
      </c>
      <c r="C808" s="8">
        <v>46023</v>
      </c>
      <c r="D808" s="8">
        <f t="shared" si="49"/>
        <v>46387</v>
      </c>
      <c r="E808" s="6" t="str" cm="1">
        <f t="array" ref="E808">choice(Groupes!A:A,1,Settings!$B$16)</f>
        <v>G27</v>
      </c>
      <c r="F808" s="6" t="str">
        <f t="shared" si="50"/>
        <v>G27</v>
      </c>
      <c r="G808" s="6" t="str">
        <f t="shared" si="51"/>
        <v>Prof9</v>
      </c>
      <c r="H808" s="6" t="str" cm="1">
        <f t="array" ref="H808">choice(Referentiel!A:A,1,Settings!$B$16)</f>
        <v>1ère année Groupe 4</v>
      </c>
      <c r="I808" s="6" t="str" cm="1">
        <f t="array" ref="I808">choice(Referentiel!B:B,1,Settings!$B$16)</f>
        <v>4ème année Scénographie S1</v>
      </c>
      <c r="J808" s="6" t="str" cm="1">
        <f t="array" ref="J808">choice(Referentiel!D:D,1,Settings!$B$16)</f>
        <v>M1</v>
      </c>
      <c r="K808" s="6" t="str" cm="1">
        <f t="array" ref="K808">choice(Professeurs!B:B,1,Settings!$B$16)</f>
        <v>Prof9</v>
      </c>
      <c r="L808" s="5" t="str" cm="1">
        <f t="array" ref="L808">choice(Referentiel!C:C,1,Settings!$B$16)</f>
        <v/>
      </c>
      <c r="M808" s="5" t="str" cm="1">
        <f t="array" ref="M808">choice(Referentiel!E:E,1,Settings!$B$16)</f>
        <v/>
      </c>
      <c r="N808" s="5" t="str" cm="1">
        <f t="array" ref="N808">choice(Settings!K:K,1,Settings!$B$16)</f>
        <v/>
      </c>
      <c r="P808" s="5">
        <f t="shared" si="52"/>
        <v>1</v>
      </c>
    </row>
    <row r="809" spans="1:16" ht="15.75" customHeight="1" x14ac:dyDescent="0.25">
      <c r="A809" s="6" t="s">
        <v>1161</v>
      </c>
      <c r="B809" s="6" cm="1">
        <f t="array" ref="B809">alea_int(Settings!$B$10,1,Settings!$B$16)</f>
        <v>2</v>
      </c>
      <c r="C809" s="8">
        <v>46023</v>
      </c>
      <c r="D809" s="8">
        <f t="shared" si="49"/>
        <v>46387</v>
      </c>
      <c r="E809" s="6" t="str" cm="1">
        <f t="array" ref="E809">choice(Groupes!A:A,1,Settings!$B$16)</f>
        <v>G26</v>
      </c>
      <c r="F809" s="6" t="str">
        <f t="shared" si="50"/>
        <v>G26</v>
      </c>
      <c r="G809" s="6" t="str">
        <f t="shared" si="51"/>
        <v>Prof25</v>
      </c>
      <c r="H809" s="6" t="str" cm="1">
        <f t="array" ref="H809">choice(Referentiel!A:A,1,Settings!$B$16)</f>
        <v>Design des mondes forestiers</v>
      </c>
      <c r="I809" s="6" t="str" cm="1">
        <f t="array" ref="I809">choice(Referentiel!B:B,1,Settings!$B$16)</f>
        <v>2ème année Design Vêtement S1</v>
      </c>
      <c r="J809" s="6" t="str" cm="1">
        <f t="array" ref="J809">choice(Referentiel!D:D,1,Settings!$B$16)</f>
        <v>L2</v>
      </c>
      <c r="K809" s="6" t="str" cm="1">
        <f t="array" ref="K809">choice(Professeurs!B:B,1,Settings!$B$16)</f>
        <v>Prof25</v>
      </c>
      <c r="L809" s="5" t="str" cm="1">
        <f t="array" ref="L809">choice(Referentiel!C:C,1,Settings!$B$16)</f>
        <v/>
      </c>
      <c r="M809" s="5" t="str" cm="1">
        <f t="array" ref="M809">choice(Referentiel!E:E,1,Settings!$B$16)</f>
        <v/>
      </c>
      <c r="N809" s="5" t="str" cm="1">
        <f t="array" ref="N809">choice(Settings!K:K,1,Settings!$B$16)</f>
        <v>vendredi am</v>
      </c>
      <c r="P809" s="5">
        <f t="shared" si="52"/>
        <v>4</v>
      </c>
    </row>
    <row r="810" spans="1:16" ht="15.75" customHeight="1" x14ac:dyDescent="0.25">
      <c r="A810" s="6" t="s">
        <v>1162</v>
      </c>
      <c r="B810" s="6" cm="1">
        <f t="array" ref="B810">alea_int(Settings!$B$10,1,Settings!$B$16)</f>
        <v>1</v>
      </c>
      <c r="C810" s="8">
        <v>46023</v>
      </c>
      <c r="D810" s="8">
        <f t="shared" si="49"/>
        <v>46387</v>
      </c>
      <c r="E810" s="6" t="str" cm="1">
        <f t="array" ref="E810">choice(Groupes!A:A,1,Settings!$B$16)</f>
        <v>G30</v>
      </c>
      <c r="F810" s="6" t="str">
        <f t="shared" si="50"/>
        <v>G30</v>
      </c>
      <c r="G810" s="6" t="str">
        <f t="shared" si="51"/>
        <v>Prof7</v>
      </c>
      <c r="H810" s="6" t="str" cm="1">
        <f t="array" ref="H810">choice(Referentiel!A:A,1,Settings!$B$16)</f>
        <v>Scénographie</v>
      </c>
      <c r="I810" s="6" t="str" cm="1">
        <f t="array" ref="I810">choice(Referentiel!B:B,1,Settings!$B$16)</f>
        <v>3ème année Photo / Vidéo S2</v>
      </c>
      <c r="J810" s="6" t="str" cm="1">
        <f t="array" ref="J810">choice(Referentiel!D:D,1,Settings!$B$16)</f>
        <v>L1</v>
      </c>
      <c r="K810" s="6" t="str" cm="1">
        <f t="array" ref="K810">choice(Professeurs!B:B,1,Settings!$B$16)</f>
        <v>Prof7</v>
      </c>
      <c r="L810" s="5" t="str" cm="1">
        <f t="array" ref="L810">choice(Referentiel!C:C,1,Settings!$B$16)</f>
        <v/>
      </c>
      <c r="M810" s="5" t="str" cm="1">
        <f t="array" ref="M810">choice(Referentiel!E:E,1,Settings!$B$16)</f>
        <v/>
      </c>
      <c r="N810" s="5" t="str" cm="1">
        <f t="array" ref="N810">choice(Settings!K:K,1,Settings!$B$16)</f>
        <v>jeudi pm</v>
      </c>
      <c r="P810" s="5">
        <f t="shared" si="52"/>
        <v>3</v>
      </c>
    </row>
    <row r="811" spans="1:16" ht="15.75" customHeight="1" x14ac:dyDescent="0.25">
      <c r="A811" s="6" t="s">
        <v>1163</v>
      </c>
      <c r="B811" s="6" cm="1">
        <f t="array" ref="B811">alea_int(Settings!$B$10,1,Settings!$B$16)</f>
        <v>2</v>
      </c>
      <c r="C811" s="8">
        <v>46023</v>
      </c>
      <c r="D811" s="8">
        <f t="shared" si="49"/>
        <v>46387</v>
      </c>
      <c r="E811" s="6" t="str" cm="1">
        <f t="array" ref="E811">choice(Groupes!A:A,1,Settings!$B$16)</f>
        <v>G22</v>
      </c>
      <c r="F811" s="6" t="str">
        <f t="shared" si="50"/>
        <v>G22</v>
      </c>
      <c r="G811" s="6" t="str">
        <f t="shared" si="51"/>
        <v>Prof38</v>
      </c>
      <c r="H811" s="6" t="str" cm="1">
        <f t="array" ref="H811">choice(Referentiel!A:A,1,Settings!$B$16)</f>
        <v>1ère année Groupe 4</v>
      </c>
      <c r="I811" s="6" t="str" cm="1">
        <f t="array" ref="I811">choice(Referentiel!B:B,1,Settings!$B$16)</f>
        <v>4ème année Architecture Intérieure S1</v>
      </c>
      <c r="J811" s="6" t="str" cm="1">
        <f t="array" ref="J811">choice(Referentiel!D:D,1,Settings!$B$16)</f>
        <v>M2</v>
      </c>
      <c r="K811" s="6" t="str" cm="1">
        <f t="array" ref="K811">choice(Professeurs!B:B,1,Settings!$B$16)</f>
        <v>Prof38</v>
      </c>
      <c r="L811" s="5" t="str" cm="1">
        <f t="array" ref="L811">choice(Referentiel!C:C,1,Settings!$B$16)</f>
        <v/>
      </c>
      <c r="M811" s="5" t="str" cm="1">
        <f t="array" ref="M811">choice(Referentiel!E:E,1,Settings!$B$16)</f>
        <v/>
      </c>
      <c r="N811" s="5" t="str" cm="1">
        <f t="array" ref="N811">choice(Settings!K:K,1,Settings!$B$16)</f>
        <v>mercredi pm</v>
      </c>
      <c r="P811" s="5">
        <f t="shared" si="52"/>
        <v>4</v>
      </c>
    </row>
    <row r="812" spans="1:16" ht="15.75" customHeight="1" x14ac:dyDescent="0.25">
      <c r="A812" s="6" t="s">
        <v>1164</v>
      </c>
      <c r="B812" s="6" cm="1">
        <f t="array" ref="B812">alea_int(Settings!$B$10,1,Settings!$B$16)</f>
        <v>1</v>
      </c>
      <c r="C812" s="8">
        <v>46023</v>
      </c>
      <c r="D812" s="8">
        <f t="shared" si="49"/>
        <v>46387</v>
      </c>
      <c r="E812" s="6" t="str" cm="1">
        <f t="array" ref="E812">choice(Groupes!A:A,1,Settings!$B$16)</f>
        <v>G8</v>
      </c>
      <c r="F812" s="6" t="str">
        <f t="shared" si="50"/>
        <v>G8</v>
      </c>
      <c r="G812" s="6" t="str">
        <f t="shared" si="51"/>
        <v>Prof17</v>
      </c>
      <c r="H812" s="6" t="str" cm="1">
        <f t="array" ref="H812">choice(Referentiel!A:A,1,Settings!$B$16)</f>
        <v>Gr ART, DESIGN, SOCIETE</v>
      </c>
      <c r="I812" s="6" t="str" cm="1">
        <f t="array" ref="I812">choice(Referentiel!B:B,1,Settings!$B$16)</f>
        <v>3ème année Architecture Intérieure S2</v>
      </c>
      <c r="J812" s="6" t="str" cm="1">
        <f t="array" ref="J812">choice(Referentiel!D:D,1,Settings!$B$16)</f>
        <v>M1</v>
      </c>
      <c r="K812" s="6" t="str" cm="1">
        <f t="array" ref="K812">choice(Professeurs!B:B,1,Settings!$B$16)</f>
        <v>Prof17</v>
      </c>
      <c r="L812" s="5" t="str" cm="1">
        <f t="array" ref="L812">choice(Referentiel!C:C,1,Settings!$B$16)</f>
        <v/>
      </c>
      <c r="M812" s="5" t="str" cm="1">
        <f t="array" ref="M812">choice(Referentiel!E:E,1,Settings!$B$16)</f>
        <v/>
      </c>
      <c r="N812" s="5" t="str" cm="1">
        <f t="array" ref="N812">choice(Settings!K:K,1,Settings!$B$16)</f>
        <v>jeudi am</v>
      </c>
      <c r="P812" s="5">
        <f t="shared" si="52"/>
        <v>3</v>
      </c>
    </row>
    <row r="813" spans="1:16" ht="15.75" customHeight="1" x14ac:dyDescent="0.25">
      <c r="A813" s="6" t="s">
        <v>1165</v>
      </c>
      <c r="B813" s="6" cm="1">
        <f t="array" ref="B813">alea_int(Settings!$B$10,1,Settings!$B$16)</f>
        <v>3</v>
      </c>
      <c r="C813" s="8">
        <v>46023</v>
      </c>
      <c r="D813" s="8">
        <f t="shared" si="49"/>
        <v>46387</v>
      </c>
      <c r="E813" s="6" t="str" cm="1">
        <f t="array" ref="E813">choice(Groupes!A:A,1,Settings!$B$16)</f>
        <v>G26</v>
      </c>
      <c r="F813" s="6" t="str">
        <f t="shared" si="50"/>
        <v>G26</v>
      </c>
      <c r="G813" s="6" t="str">
        <f t="shared" si="51"/>
        <v>Prof17</v>
      </c>
      <c r="H813" s="6" t="str" cm="1">
        <f t="array" ref="H813">choice(Referentiel!A:A,1,Settings!$B$16)</f>
        <v>Design des mondes ruraux</v>
      </c>
      <c r="I813" s="6" t="str" cm="1">
        <f t="array" ref="I813">choice(Referentiel!B:B,1,Settings!$B$16)</f>
        <v>1ère Année Groupe 3 S1</v>
      </c>
      <c r="J813" s="6" t="str" cm="1">
        <f t="array" ref="J813">choice(Referentiel!D:D,1,Settings!$B$16)</f>
        <v>L1</v>
      </c>
      <c r="K813" s="6" t="str" cm="1">
        <f t="array" ref="K813">choice(Professeurs!B:B,1,Settings!$B$16)</f>
        <v>Prof17</v>
      </c>
      <c r="L813" s="5" t="str" cm="1">
        <f t="array" ref="L813">choice(Referentiel!C:C,1,Settings!$B$16)</f>
        <v/>
      </c>
      <c r="M813" s="5" t="str" cm="1">
        <f t="array" ref="M813">choice(Referentiel!E:E,1,Settings!$B$16)</f>
        <v/>
      </c>
      <c r="N813" s="5" t="str" cm="1">
        <f t="array" ref="N813">choice(Settings!K:K,1,Settings!$B$16)</f>
        <v/>
      </c>
      <c r="P813" s="5">
        <f t="shared" si="52"/>
        <v>3</v>
      </c>
    </row>
    <row r="814" spans="1:16" ht="15.75" customHeight="1" x14ac:dyDescent="0.25">
      <c r="A814" s="6" t="s">
        <v>1166</v>
      </c>
      <c r="B814" s="6" cm="1">
        <f t="array" ref="B814">alea_int(Settings!$B$10,1,Settings!$B$16)</f>
        <v>3</v>
      </c>
      <c r="C814" s="8">
        <v>46023</v>
      </c>
      <c r="D814" s="8">
        <f t="shared" si="49"/>
        <v>46387</v>
      </c>
      <c r="E814" s="6" t="str" cm="1">
        <f t="array" ref="E814">choice(Groupes!A:A,1,Settings!$B$16)</f>
        <v>G27</v>
      </c>
      <c r="F814" s="6" t="str">
        <f t="shared" si="50"/>
        <v>G27</v>
      </c>
      <c r="G814" s="6" t="str">
        <f t="shared" si="51"/>
        <v>Prof54</v>
      </c>
      <c r="H814" s="6" t="str" cm="1">
        <f t="array" ref="H814">choice(Referentiel!A:A,1,Settings!$B$16)</f>
        <v>Design des mondes forestiers</v>
      </c>
      <c r="I814" s="6" t="str" cm="1">
        <f t="array" ref="I814">choice(Referentiel!B:B,1,Settings!$B$16)</f>
        <v>3ème année Design Textile et Matière S2</v>
      </c>
      <c r="J814" s="6" t="str" cm="1">
        <f t="array" ref="J814">choice(Referentiel!D:D,1,Settings!$B$16)</f>
        <v>M1</v>
      </c>
      <c r="K814" s="6" t="str" cm="1">
        <f t="array" ref="K814">choice(Professeurs!B:B,1,Settings!$B$16)</f>
        <v>Prof54</v>
      </c>
      <c r="L814" s="5" t="str" cm="1">
        <f t="array" ref="L814">choice(Referentiel!C:C,1,Settings!$B$16)</f>
        <v/>
      </c>
      <c r="M814" s="5" t="str" cm="1">
        <f t="array" ref="M814">choice(Referentiel!E:E,1,Settings!$B$16)</f>
        <v/>
      </c>
      <c r="N814" s="5" t="str" cm="1">
        <f t="array" ref="N814">choice(Settings!K:K,1,Settings!$B$16)</f>
        <v/>
      </c>
      <c r="P814" s="5">
        <f t="shared" si="52"/>
        <v>3</v>
      </c>
    </row>
    <row r="815" spans="1:16" ht="15.75" customHeight="1" x14ac:dyDescent="0.25">
      <c r="A815" s="6" t="s">
        <v>1167</v>
      </c>
      <c r="B815" s="6" cm="1">
        <f t="array" ref="B815">alea_int(Settings!$B$10,1,Settings!$B$16)</f>
        <v>2</v>
      </c>
      <c r="C815" s="8">
        <v>46023</v>
      </c>
      <c r="D815" s="8">
        <f t="shared" si="49"/>
        <v>46387</v>
      </c>
      <c r="E815" s="6" t="str" cm="1">
        <f t="array" ref="E815">choice(Groupes!A:A,1,Settings!$B$16)</f>
        <v>G12</v>
      </c>
      <c r="F815" s="6" t="str">
        <f t="shared" si="50"/>
        <v>G12</v>
      </c>
      <c r="G815" s="6" t="str">
        <f t="shared" si="51"/>
        <v>Prof48</v>
      </c>
      <c r="H815" s="6" t="str" cm="1">
        <f t="array" ref="H815">choice(Referentiel!A:A,1,Settings!$B$16)</f>
        <v>Architecture Intérieure</v>
      </c>
      <c r="I815" s="6" t="str" cm="1">
        <f t="array" ref="I815">choice(Referentiel!B:B,1,Settings!$B$16)</f>
        <v>1ère Année Groupe 3 S1</v>
      </c>
      <c r="J815" s="6" t="str" cm="1">
        <f t="array" ref="J815">choice(Referentiel!D:D,1,Settings!$B$16)</f>
        <v>L2</v>
      </c>
      <c r="K815" s="6" t="str" cm="1">
        <f t="array" ref="K815">choice(Professeurs!B:B,1,Settings!$B$16)</f>
        <v>Prof48</v>
      </c>
      <c r="L815" s="5" t="str" cm="1">
        <f t="array" ref="L815">choice(Referentiel!C:C,1,Settings!$B$16)</f>
        <v/>
      </c>
      <c r="M815" s="5" t="str" cm="1">
        <f t="array" ref="M815">choice(Referentiel!E:E,1,Settings!$B$16)</f>
        <v/>
      </c>
      <c r="N815" s="5" t="str" cm="1">
        <f t="array" ref="N815">choice(Settings!K:K,1,Settings!$B$16)</f>
        <v>semaine</v>
      </c>
      <c r="P815" s="5">
        <f t="shared" si="52"/>
        <v>4</v>
      </c>
    </row>
    <row r="816" spans="1:16" ht="15.75" customHeight="1" x14ac:dyDescent="0.25">
      <c r="A816" s="6" t="s">
        <v>1168</v>
      </c>
      <c r="B816" s="6" cm="1">
        <f t="array" ref="B816">alea_int(Settings!$B$10,1,Settings!$B$16)</f>
        <v>3</v>
      </c>
      <c r="C816" s="8">
        <v>46023</v>
      </c>
      <c r="D816" s="8">
        <f t="shared" si="49"/>
        <v>46387</v>
      </c>
      <c r="E816" s="6" t="str" cm="1">
        <f t="array" ref="E816">choice(Groupes!A:A,1,Settings!$B$16)</f>
        <v>G29</v>
      </c>
      <c r="F816" s="6" t="str">
        <f t="shared" si="50"/>
        <v>G29</v>
      </c>
      <c r="G816" s="6" t="str">
        <f t="shared" si="51"/>
        <v>Prof15</v>
      </c>
      <c r="H816" s="6" t="str" cm="1">
        <f t="array" ref="H816">choice(Referentiel!A:A,1,Settings!$B$16)</f>
        <v>Architecture Intérieure</v>
      </c>
      <c r="I816" s="6" t="str" cm="1">
        <f t="array" ref="I816">choice(Referentiel!B:B,1,Settings!$B$16)</f>
        <v>4ème année Art-Espace S1</v>
      </c>
      <c r="J816" s="6" t="str" cm="1">
        <f t="array" ref="J816">choice(Referentiel!D:D,1,Settings!$B$16)</f>
        <v>M2</v>
      </c>
      <c r="K816" s="6" t="str" cm="1">
        <f t="array" ref="K816">choice(Professeurs!B:B,1,Settings!$B$16)</f>
        <v>Prof15</v>
      </c>
      <c r="L816" s="5" t="str" cm="1">
        <f t="array" ref="L816">choice(Referentiel!C:C,1,Settings!$B$16)</f>
        <v/>
      </c>
      <c r="M816" s="5" t="str" cm="1">
        <f t="array" ref="M816">choice(Referentiel!E:E,1,Settings!$B$16)</f>
        <v/>
      </c>
      <c r="N816" s="5" t="str" cm="1">
        <f t="array" ref="N816">choice(Settings!K:K,1,Settings!$B$16)</f>
        <v/>
      </c>
      <c r="P816" s="5">
        <f t="shared" si="52"/>
        <v>3</v>
      </c>
    </row>
    <row r="817" spans="1:16" ht="15.75" customHeight="1" x14ac:dyDescent="0.25">
      <c r="A817" s="6" t="s">
        <v>1169</v>
      </c>
      <c r="B817" s="6" cm="1">
        <f t="array" ref="B817">alea_int(Settings!$B$10,1,Settings!$B$16)</f>
        <v>2</v>
      </c>
      <c r="C817" s="8">
        <v>46023</v>
      </c>
      <c r="D817" s="8">
        <f t="shared" si="49"/>
        <v>46387</v>
      </c>
      <c r="E817" s="6" t="str" cm="1">
        <f t="array" ref="E817">choice(Groupes!A:A,1,Settings!$B$16)</f>
        <v>G11</v>
      </c>
      <c r="F817" s="6" t="str">
        <f t="shared" si="50"/>
        <v>G11</v>
      </c>
      <c r="G817" s="6" t="str">
        <f t="shared" si="51"/>
        <v>Prof15</v>
      </c>
      <c r="H817" s="6" t="str" cm="1">
        <f t="array" ref="H817">choice(Referentiel!A:A,1,Settings!$B$16)</f>
        <v>Design des mondes urbains</v>
      </c>
      <c r="I817" s="6" t="str" cm="1">
        <f t="array" ref="I817">choice(Referentiel!B:B,1,Settings!$B$16)</f>
        <v>2ème année Cinéma d'Animation S2</v>
      </c>
      <c r="J817" s="6" t="str" cm="1">
        <f t="array" ref="J817">choice(Referentiel!D:D,1,Settings!$B$16)</f>
        <v>L2</v>
      </c>
      <c r="K817" s="6" t="str" cm="1">
        <f t="array" ref="K817">choice(Professeurs!B:B,1,Settings!$B$16)</f>
        <v>Prof15</v>
      </c>
      <c r="L817" s="5" t="str" cm="1">
        <f t="array" ref="L817">choice(Referentiel!C:C,1,Settings!$B$16)</f>
        <v/>
      </c>
      <c r="M817" s="5" t="str" cm="1">
        <f t="array" ref="M817">choice(Referentiel!E:E,1,Settings!$B$16)</f>
        <v/>
      </c>
      <c r="N817" s="5" t="str" cm="1">
        <f t="array" ref="N817">choice(Settings!K:K,1,Settings!$B$16)</f>
        <v>mardi am</v>
      </c>
      <c r="P817" s="5">
        <f t="shared" si="52"/>
        <v>4</v>
      </c>
    </row>
    <row r="818" spans="1:16" ht="15.75" customHeight="1" x14ac:dyDescent="0.25">
      <c r="A818" s="6" t="s">
        <v>1170</v>
      </c>
      <c r="B818" s="6" cm="1">
        <f t="array" ref="B818">alea_int(Settings!$B$10,1,Settings!$B$16)</f>
        <v>3</v>
      </c>
      <c r="C818" s="8">
        <v>46023</v>
      </c>
      <c r="D818" s="8">
        <f t="shared" si="49"/>
        <v>46387</v>
      </c>
      <c r="E818" s="6" t="str" cm="1">
        <f t="array" ref="E818">choice(Groupes!A:A,1,Settings!$B$16)</f>
        <v>G4</v>
      </c>
      <c r="F818" s="6" t="str">
        <f t="shared" si="50"/>
        <v>G4</v>
      </c>
      <c r="G818" s="6" t="str">
        <f t="shared" si="51"/>
        <v>Prof11</v>
      </c>
      <c r="H818" s="6" t="str" cm="1">
        <f t="array" ref="H818">choice(Referentiel!A:A,1,Settings!$B$16)</f>
        <v>Gr REFLECTIVE INTERACTION</v>
      </c>
      <c r="I818" s="6" t="str" cm="1">
        <f t="array" ref="I818">choice(Referentiel!B:B,1,Settings!$B$16)</f>
        <v>3ème année Image Imprimée S1</v>
      </c>
      <c r="J818" s="6" t="str" cm="1">
        <f t="array" ref="J818">choice(Referentiel!D:D,1,Settings!$B$16)</f>
        <v>L2</v>
      </c>
      <c r="K818" s="6" t="str" cm="1">
        <f t="array" ref="K818">choice(Professeurs!B:B,1,Settings!$B$16)</f>
        <v>Prof11</v>
      </c>
      <c r="L818" s="5" t="str" cm="1">
        <f t="array" ref="L818">choice(Referentiel!C:C,1,Settings!$B$16)</f>
        <v/>
      </c>
      <c r="M818" s="5" t="str" cm="1">
        <f t="array" ref="M818">choice(Referentiel!E:E,1,Settings!$B$16)</f>
        <v/>
      </c>
      <c r="N818" s="5" t="str" cm="1">
        <f t="array" ref="N818">choice(Settings!K:K,1,Settings!$B$16)</f>
        <v/>
      </c>
      <c r="P818" s="5">
        <f t="shared" si="52"/>
        <v>3</v>
      </c>
    </row>
    <row r="819" spans="1:16" ht="15.75" customHeight="1" x14ac:dyDescent="0.25">
      <c r="A819" s="6" t="s">
        <v>1171</v>
      </c>
      <c r="B819" s="6" cm="1">
        <f t="array" ref="B819">alea_int(Settings!$B$10,1,Settings!$B$16)</f>
        <v>3</v>
      </c>
      <c r="C819" s="8">
        <v>46023</v>
      </c>
      <c r="D819" s="8">
        <f t="shared" si="49"/>
        <v>46387</v>
      </c>
      <c r="E819" s="6" t="str" cm="1">
        <f t="array" ref="E819">choice(Groupes!A:A,1,Settings!$B$16)</f>
        <v>G2</v>
      </c>
      <c r="F819" s="6" t="str">
        <f t="shared" si="50"/>
        <v>G2</v>
      </c>
      <c r="G819" s="6" t="str">
        <f t="shared" si="51"/>
        <v>Prof17</v>
      </c>
      <c r="H819" s="6" t="str" cm="1">
        <f t="array" ref="H819">choice(Referentiel!A:A,1,Settings!$B$16)</f>
        <v>6ème année atelier</v>
      </c>
      <c r="I819" s="6" t="str" cm="1">
        <f t="array" ref="I819">choice(Referentiel!B:B,1,Settings!$B$16)</f>
        <v>2ème année Art-Espace S1</v>
      </c>
      <c r="J819" s="6" t="str" cm="1">
        <f t="array" ref="J819">choice(Referentiel!D:D,1,Settings!$B$16)</f>
        <v>M1</v>
      </c>
      <c r="K819" s="6" t="str" cm="1">
        <f t="array" ref="K819">choice(Professeurs!B:B,1,Settings!$B$16)</f>
        <v>Prof17</v>
      </c>
      <c r="L819" s="5" t="str" cm="1">
        <f t="array" ref="L819">choice(Referentiel!C:C,1,Settings!$B$16)</f>
        <v/>
      </c>
      <c r="M819" s="5" t="str" cm="1">
        <f t="array" ref="M819">choice(Referentiel!E:E,1,Settings!$B$16)</f>
        <v/>
      </c>
      <c r="N819" s="5" t="str" cm="1">
        <f t="array" ref="N819">choice(Settings!K:K,1,Settings!$B$16)</f>
        <v>semaine</v>
      </c>
      <c r="P819" s="5">
        <f t="shared" si="52"/>
        <v>5</v>
      </c>
    </row>
    <row r="820" spans="1:16" ht="15.75" customHeight="1" x14ac:dyDescent="0.25">
      <c r="A820" s="6" t="s">
        <v>1172</v>
      </c>
      <c r="B820" s="6" cm="1">
        <f t="array" ref="B820">alea_int(Settings!$B$10,1,Settings!$B$16)</f>
        <v>2</v>
      </c>
      <c r="C820" s="8">
        <v>46023</v>
      </c>
      <c r="D820" s="8">
        <f t="shared" si="49"/>
        <v>46387</v>
      </c>
      <c r="E820" s="6" t="str" cm="1">
        <f t="array" ref="E820">choice(Groupes!A:A,1,Settings!$B$16)</f>
        <v>G7</v>
      </c>
      <c r="F820" s="6" t="str">
        <f t="shared" si="50"/>
        <v>G7</v>
      </c>
      <c r="G820" s="6" t="str">
        <f t="shared" si="51"/>
        <v>Prof43</v>
      </c>
      <c r="H820" s="6" t="str" cm="1">
        <f t="array" ref="H820">choice(Referentiel!A:A,1,Settings!$B$16)</f>
        <v>Gr SOFT MATTERS</v>
      </c>
      <c r="I820" s="6" t="str" cm="1">
        <f t="array" ref="I820">choice(Referentiel!B:B,1,Settings!$B$16)</f>
        <v>5ème année Art-Espace S2</v>
      </c>
      <c r="J820" s="6" t="str" cm="1">
        <f t="array" ref="J820">choice(Referentiel!D:D,1,Settings!$B$16)</f>
        <v>M2</v>
      </c>
      <c r="K820" s="6" t="str" cm="1">
        <f t="array" ref="K820">choice(Professeurs!B:B,1,Settings!$B$16)</f>
        <v>Prof43</v>
      </c>
      <c r="L820" s="5" t="str" cm="1">
        <f t="array" ref="L820">choice(Referentiel!C:C,1,Settings!$B$16)</f>
        <v/>
      </c>
      <c r="M820" s="5" t="str" cm="1">
        <f t="array" ref="M820">choice(Referentiel!E:E,1,Settings!$B$16)</f>
        <v/>
      </c>
      <c r="N820" s="5" t="str" cm="1">
        <f t="array" ref="N820">choice(Settings!K:K,1,Settings!$B$16)</f>
        <v>mardi pm</v>
      </c>
      <c r="P820" s="5">
        <f t="shared" si="52"/>
        <v>4</v>
      </c>
    </row>
    <row r="821" spans="1:16" ht="15.75" customHeight="1" x14ac:dyDescent="0.25">
      <c r="A821" s="6" t="s">
        <v>1173</v>
      </c>
      <c r="B821" s="6" cm="1">
        <f t="array" ref="B821">alea_int(Settings!$B$10,1,Settings!$B$16)</f>
        <v>3</v>
      </c>
      <c r="C821" s="8">
        <v>46023</v>
      </c>
      <c r="D821" s="8">
        <f t="shared" si="49"/>
        <v>46387</v>
      </c>
      <c r="E821" s="6" t="str" cm="1">
        <f t="array" ref="E821">choice(Groupes!A:A,1,Settings!$B$16)</f>
        <v>G28</v>
      </c>
      <c r="F821" s="6" t="str">
        <f t="shared" si="50"/>
        <v>G28</v>
      </c>
      <c r="G821" s="6" t="str">
        <f t="shared" si="51"/>
        <v>Prof18</v>
      </c>
      <c r="H821" s="6" t="str" cm="1">
        <f t="array" ref="H821">choice(Referentiel!A:A,1,Settings!$B$16)</f>
        <v>Mode et Matière</v>
      </c>
      <c r="I821" s="6" t="str" cm="1">
        <f t="array" ref="I821">choice(Referentiel!B:B,1,Settings!$B$16)</f>
        <v>3ème année Design Vêtement S2</v>
      </c>
      <c r="J821" s="6" t="str" cm="1">
        <f t="array" ref="J821">choice(Referentiel!D:D,1,Settings!$B$16)</f>
        <v>L2</v>
      </c>
      <c r="K821" s="6" t="str" cm="1">
        <f t="array" ref="K821">choice(Professeurs!B:B,1,Settings!$B$16)</f>
        <v>Prof18</v>
      </c>
      <c r="L821" s="5" t="str" cm="1">
        <f t="array" ref="L821">choice(Referentiel!C:C,1,Settings!$B$16)</f>
        <v/>
      </c>
      <c r="M821" s="5" t="str" cm="1">
        <f t="array" ref="M821">choice(Referentiel!E:E,1,Settings!$B$16)</f>
        <v/>
      </c>
      <c r="N821" s="5" t="str" cm="1">
        <f t="array" ref="N821">choice(Settings!K:K,1,Settings!$B$16)</f>
        <v/>
      </c>
      <c r="P821" s="5">
        <f t="shared" si="52"/>
        <v>3</v>
      </c>
    </row>
    <row r="822" spans="1:16" ht="15.75" customHeight="1" x14ac:dyDescent="0.25">
      <c r="A822" s="6" t="s">
        <v>1174</v>
      </c>
      <c r="B822" s="6" cm="1">
        <f t="array" ref="B822">alea_int(Settings!$B$10,1,Settings!$B$16)</f>
        <v>3</v>
      </c>
      <c r="C822" s="8">
        <v>46023</v>
      </c>
      <c r="D822" s="8">
        <f t="shared" si="49"/>
        <v>46387</v>
      </c>
      <c r="E822" s="6" t="str" cm="1">
        <f t="array" ref="E822">choice(Groupes!A:A,1,Settings!$B$16)</f>
        <v>G9</v>
      </c>
      <c r="F822" s="6" t="str">
        <f t="shared" si="50"/>
        <v>G9</v>
      </c>
      <c r="G822" s="6" t="str">
        <f t="shared" si="51"/>
        <v>Prof9</v>
      </c>
      <c r="H822" s="6" t="str" cm="1">
        <f t="array" ref="H822">choice(Referentiel!A:A,1,Settings!$B$16)</f>
        <v>Gr REFLECTIVE INTERACTION</v>
      </c>
      <c r="I822" s="6" t="str" cm="1">
        <f t="array" ref="I822">choice(Referentiel!B:B,1,Settings!$B$16)</f>
        <v>3ème année Cinéma d'Animation S1</v>
      </c>
      <c r="J822" s="6" t="str" cm="1">
        <f t="array" ref="J822">choice(Referentiel!D:D,1,Settings!$B$16)</f>
        <v>L2</v>
      </c>
      <c r="K822" s="6" t="str" cm="1">
        <f t="array" ref="K822">choice(Professeurs!B:B,1,Settings!$B$16)</f>
        <v>Prof9</v>
      </c>
      <c r="L822" s="5" t="str" cm="1">
        <f t="array" ref="L822">choice(Referentiel!C:C,1,Settings!$B$16)</f>
        <v/>
      </c>
      <c r="M822" s="5" t="str" cm="1">
        <f t="array" ref="M822">choice(Referentiel!E:E,1,Settings!$B$16)</f>
        <v/>
      </c>
      <c r="N822" s="5" t="str" cm="1">
        <f t="array" ref="N822">choice(Settings!K:K,1,Settings!$B$16)</f>
        <v>mardi am</v>
      </c>
      <c r="P822" s="5">
        <f t="shared" si="52"/>
        <v>5</v>
      </c>
    </row>
    <row r="823" spans="1:16" ht="15.75" customHeight="1" x14ac:dyDescent="0.25">
      <c r="A823" s="6" t="s">
        <v>1175</v>
      </c>
      <c r="B823" s="6" cm="1">
        <f t="array" ref="B823">alea_int(Settings!$B$10,1,Settings!$B$16)</f>
        <v>2</v>
      </c>
      <c r="C823" s="8">
        <v>46023</v>
      </c>
      <c r="D823" s="8">
        <f t="shared" si="49"/>
        <v>46387</v>
      </c>
      <c r="E823" s="6" t="str" cm="1">
        <f t="array" ref="E823">choice(Groupes!A:A,1,Settings!$B$16)</f>
        <v>G27</v>
      </c>
      <c r="F823" s="6" t="str">
        <f t="shared" si="50"/>
        <v>G27</v>
      </c>
      <c r="G823" s="6" t="str">
        <f t="shared" si="51"/>
        <v>Prof41</v>
      </c>
      <c r="H823" s="6" t="str" cm="1">
        <f t="array" ref="H823">choice(Referentiel!A:A,1,Settings!$B$16)</f>
        <v>Gr REFLECTIVE INTERACTION</v>
      </c>
      <c r="I823" s="6" t="str" cm="1">
        <f t="array" ref="I823">choice(Referentiel!B:B,1,Settings!$B$16)</f>
        <v>4ème année Design Objet S2</v>
      </c>
      <c r="J823" s="6" t="str" cm="1">
        <f t="array" ref="J823">choice(Referentiel!D:D,1,Settings!$B$16)</f>
        <v>L2</v>
      </c>
      <c r="K823" s="6" t="str" cm="1">
        <f t="array" ref="K823">choice(Professeurs!B:B,1,Settings!$B$16)</f>
        <v>Prof41</v>
      </c>
      <c r="L823" s="5" t="str" cm="1">
        <f t="array" ref="L823">choice(Referentiel!C:C,1,Settings!$B$16)</f>
        <v/>
      </c>
      <c r="M823" s="5" t="str" cm="1">
        <f t="array" ref="M823">choice(Referentiel!E:E,1,Settings!$B$16)</f>
        <v/>
      </c>
      <c r="N823" s="5" t="str" cm="1">
        <f t="array" ref="N823">choice(Settings!K:K,1,Settings!$B$16)</f>
        <v/>
      </c>
      <c r="P823" s="5">
        <f t="shared" si="52"/>
        <v>2</v>
      </c>
    </row>
    <row r="824" spans="1:16" ht="15.75" customHeight="1" x14ac:dyDescent="0.25">
      <c r="A824" s="6" t="s">
        <v>1176</v>
      </c>
      <c r="B824" s="6" cm="1">
        <f t="array" ref="B824">alea_int(Settings!$B$10,1,Settings!$B$16)</f>
        <v>2</v>
      </c>
      <c r="C824" s="8">
        <v>46023</v>
      </c>
      <c r="D824" s="8">
        <f t="shared" si="49"/>
        <v>46387</v>
      </c>
      <c r="E824" s="6" t="str" cm="1">
        <f t="array" ref="E824">choice(Groupes!A:A,1,Settings!$B$16)</f>
        <v>G28</v>
      </c>
      <c r="F824" s="6" t="str">
        <f t="shared" si="50"/>
        <v>G28</v>
      </c>
      <c r="G824" s="6" t="str">
        <f t="shared" si="51"/>
        <v>Prof21</v>
      </c>
      <c r="H824" s="6" t="str" cm="1">
        <f t="array" ref="H824">choice(Referentiel!A:A,1,Settings!$B$16)</f>
        <v>Gr SOFT MATTERS</v>
      </c>
      <c r="I824" s="6" t="str" cm="1">
        <f t="array" ref="I824">choice(Referentiel!B:B,1,Settings!$B$16)</f>
        <v>2ème année Architecture Intérieure S1</v>
      </c>
      <c r="J824" s="6" t="str" cm="1">
        <f t="array" ref="J824">choice(Referentiel!D:D,1,Settings!$B$16)</f>
        <v>M2</v>
      </c>
      <c r="K824" s="6" t="str" cm="1">
        <f t="array" ref="K824">choice(Professeurs!B:B,1,Settings!$B$16)</f>
        <v>Prof21</v>
      </c>
      <c r="L824" s="5" t="str" cm="1">
        <f t="array" ref="L824">choice(Referentiel!C:C,1,Settings!$B$16)</f>
        <v/>
      </c>
      <c r="M824" s="5" t="str" cm="1">
        <f t="array" ref="M824">choice(Referentiel!E:E,1,Settings!$B$16)</f>
        <v/>
      </c>
      <c r="N824" s="5" t="str" cm="1">
        <f t="array" ref="N824">choice(Settings!K:K,1,Settings!$B$16)</f>
        <v>mercredi pm</v>
      </c>
      <c r="P824" s="5">
        <f t="shared" si="52"/>
        <v>4</v>
      </c>
    </row>
    <row r="825" spans="1:16" ht="15.75" customHeight="1" x14ac:dyDescent="0.25">
      <c r="A825" s="6" t="s">
        <v>1177</v>
      </c>
      <c r="B825" s="6" cm="1">
        <f t="array" ref="B825">alea_int(Settings!$B$10,1,Settings!$B$16)</f>
        <v>3</v>
      </c>
      <c r="C825" s="8">
        <v>46023</v>
      </c>
      <c r="D825" s="8">
        <f t="shared" si="49"/>
        <v>46387</v>
      </c>
      <c r="E825" s="6" t="str" cm="1">
        <f t="array" ref="E825">choice(Groupes!A:A,1,Settings!$B$16)</f>
        <v>G19</v>
      </c>
      <c r="F825" s="6" t="str">
        <f t="shared" si="50"/>
        <v>G19</v>
      </c>
      <c r="G825" s="6" t="str">
        <f t="shared" si="51"/>
        <v>Prof12</v>
      </c>
      <c r="H825" s="6" t="str" cm="1">
        <f t="array" ref="H825">choice(Referentiel!A:A,1,Settings!$B$16)</f>
        <v>Cinéma d'Animation</v>
      </c>
      <c r="I825" s="6" t="str" cm="1">
        <f t="array" ref="I825">choice(Referentiel!B:B,1,Settings!$B$16)</f>
        <v>3ème année Architecture Intérieure S1</v>
      </c>
      <c r="J825" s="6" t="str" cm="1">
        <f t="array" ref="J825">choice(Referentiel!D:D,1,Settings!$B$16)</f>
        <v>M1</v>
      </c>
      <c r="K825" s="6" t="str" cm="1">
        <f t="array" ref="K825">choice(Professeurs!B:B,1,Settings!$B$16)</f>
        <v>Prof12</v>
      </c>
      <c r="L825" s="5" t="str" cm="1">
        <f t="array" ref="L825">choice(Referentiel!C:C,1,Settings!$B$16)</f>
        <v/>
      </c>
      <c r="M825" s="5" t="str" cm="1">
        <f t="array" ref="M825">choice(Referentiel!E:E,1,Settings!$B$16)</f>
        <v/>
      </c>
      <c r="N825" s="5" t="str" cm="1">
        <f t="array" ref="N825">choice(Settings!K:K,1,Settings!$B$16)</f>
        <v/>
      </c>
      <c r="P825" s="5">
        <f t="shared" si="52"/>
        <v>3</v>
      </c>
    </row>
    <row r="826" spans="1:16" ht="15.75" customHeight="1" x14ac:dyDescent="0.25">
      <c r="A826" s="6" t="s">
        <v>1178</v>
      </c>
      <c r="B826" s="6" cm="1">
        <f t="array" ref="B826">alea_int(Settings!$B$10,1,Settings!$B$16)</f>
        <v>3</v>
      </c>
      <c r="C826" s="8">
        <v>46023</v>
      </c>
      <c r="D826" s="8">
        <f t="shared" si="49"/>
        <v>46387</v>
      </c>
      <c r="E826" s="6" t="str" cm="1">
        <f t="array" ref="E826">choice(Groupes!A:A,1,Settings!$B$16)</f>
        <v>G15</v>
      </c>
      <c r="F826" s="6" t="str">
        <f t="shared" si="50"/>
        <v>G15</v>
      </c>
      <c r="G826" s="6" t="str">
        <f t="shared" si="51"/>
        <v>Prof36</v>
      </c>
      <c r="H826" s="6" t="str" cm="1">
        <f t="array" ref="H826">choice(Referentiel!A:A,1,Settings!$B$16)</f>
        <v>Mode et Matière</v>
      </c>
      <c r="I826" s="6" t="str" cm="1">
        <f t="array" ref="I826">choice(Referentiel!B:B,1,Settings!$B$16)</f>
        <v>4ème année Image Imprimée S2</v>
      </c>
      <c r="J826" s="6" t="str" cm="1">
        <f t="array" ref="J826">choice(Referentiel!D:D,1,Settings!$B$16)</f>
        <v>L2</v>
      </c>
      <c r="K826" s="6" t="str" cm="1">
        <f t="array" ref="K826">choice(Professeurs!B:B,1,Settings!$B$16)</f>
        <v>Prof36</v>
      </c>
      <c r="L826" s="5" t="str" cm="1">
        <f t="array" ref="L826">choice(Referentiel!C:C,1,Settings!$B$16)</f>
        <v/>
      </c>
      <c r="M826" s="5" t="str" cm="1">
        <f t="array" ref="M826">choice(Referentiel!E:E,1,Settings!$B$16)</f>
        <v/>
      </c>
      <c r="N826" s="5" t="str" cm="1">
        <f t="array" ref="N826">choice(Settings!K:K,1,Settings!$B$16)</f>
        <v>jeudi pm</v>
      </c>
      <c r="P826" s="5">
        <f t="shared" si="52"/>
        <v>5</v>
      </c>
    </row>
    <row r="827" spans="1:16" ht="15.75" customHeight="1" x14ac:dyDescent="0.25">
      <c r="A827" s="6" t="s">
        <v>1179</v>
      </c>
      <c r="B827" s="6" cm="1">
        <f t="array" ref="B827">alea_int(Settings!$B$10,1,Settings!$B$16)</f>
        <v>2</v>
      </c>
      <c r="C827" s="8">
        <v>46023</v>
      </c>
      <c r="D827" s="8">
        <f t="shared" si="49"/>
        <v>46387</v>
      </c>
      <c r="E827" s="6" t="str" cm="1">
        <f t="array" ref="E827">choice(Groupes!A:A,1,Settings!$B$16)</f>
        <v>G22</v>
      </c>
      <c r="F827" s="6" t="str">
        <f t="shared" si="50"/>
        <v>G22</v>
      </c>
      <c r="G827" s="6" t="str">
        <f t="shared" si="51"/>
        <v>Prof10</v>
      </c>
      <c r="H827" s="6" t="str" cm="1">
        <f t="array" ref="H827">choice(Referentiel!A:A,1,Settings!$B$16)</f>
        <v>Art-Espace</v>
      </c>
      <c r="I827" s="6" t="str" cm="1">
        <f t="array" ref="I827">choice(Referentiel!B:B,1,Settings!$B$16)</f>
        <v>2ème année Architecture Intérieure S1</v>
      </c>
      <c r="J827" s="6" t="str" cm="1">
        <f t="array" ref="J827">choice(Referentiel!D:D,1,Settings!$B$16)</f>
        <v>L1</v>
      </c>
      <c r="K827" s="6" t="str" cm="1">
        <f t="array" ref="K827">choice(Professeurs!B:B,1,Settings!$B$16)</f>
        <v>Prof10</v>
      </c>
      <c r="L827" s="5" t="str" cm="1">
        <f t="array" ref="L827">choice(Referentiel!C:C,1,Settings!$B$16)</f>
        <v/>
      </c>
      <c r="M827" s="5" t="str" cm="1">
        <f t="array" ref="M827">choice(Referentiel!E:E,1,Settings!$B$16)</f>
        <v>Salle6</v>
      </c>
      <c r="N827" s="5" t="str" cm="1">
        <f t="array" ref="N827">choice(Settings!K:K,1,Settings!$B$16)</f>
        <v/>
      </c>
      <c r="P827" s="5">
        <f t="shared" si="52"/>
        <v>4</v>
      </c>
    </row>
    <row r="828" spans="1:16" ht="15.75" customHeight="1" x14ac:dyDescent="0.25">
      <c r="A828" s="6" t="s">
        <v>1180</v>
      </c>
      <c r="B828" s="6" cm="1">
        <f t="array" ref="B828">alea_int(Settings!$B$10,1,Settings!$B$16)</f>
        <v>1</v>
      </c>
      <c r="C828" s="8">
        <v>46023</v>
      </c>
      <c r="D828" s="8">
        <f t="shared" si="49"/>
        <v>46387</v>
      </c>
      <c r="E828" s="6" t="str" cm="1">
        <f t="array" ref="E828">choice(Groupes!A:A,1,Settings!$B$16)</f>
        <v>G13</v>
      </c>
      <c r="F828" s="6" t="str">
        <f t="shared" si="50"/>
        <v>G13</v>
      </c>
      <c r="G828" s="6" t="str">
        <f t="shared" si="51"/>
        <v>Prof49</v>
      </c>
      <c r="H828" s="6" t="str" cm="1">
        <f t="array" ref="H828">choice(Referentiel!A:A,1,Settings!$B$16)</f>
        <v>Gr SPATIAL MEDIA</v>
      </c>
      <c r="I828" s="6" t="str" cm="1">
        <f t="array" ref="I828">choice(Referentiel!B:B,1,Settings!$B$16)</f>
        <v>4ème année Scénographie S1</v>
      </c>
      <c r="J828" s="6" t="str" cm="1">
        <f t="array" ref="J828">choice(Referentiel!D:D,1,Settings!$B$16)</f>
        <v>M1</v>
      </c>
      <c r="K828" s="6" t="str" cm="1">
        <f t="array" ref="K828">choice(Professeurs!B:B,1,Settings!$B$16)</f>
        <v>Prof49</v>
      </c>
      <c r="L828" s="5" t="str" cm="1">
        <f t="array" ref="L828">choice(Referentiel!C:C,1,Settings!$B$16)</f>
        <v/>
      </c>
      <c r="M828" s="5" t="str" cm="1">
        <f t="array" ref="M828">choice(Referentiel!E:E,1,Settings!$B$16)</f>
        <v/>
      </c>
      <c r="N828" s="5" t="str" cm="1">
        <f t="array" ref="N828">choice(Settings!K:K,1,Settings!$B$16)</f>
        <v/>
      </c>
      <c r="P828" s="5">
        <f t="shared" si="52"/>
        <v>1</v>
      </c>
    </row>
    <row r="829" spans="1:16" ht="15.75" customHeight="1" x14ac:dyDescent="0.25">
      <c r="A829" s="6" t="s">
        <v>1181</v>
      </c>
      <c r="B829" s="6" cm="1">
        <f t="array" ref="B829">alea_int(Settings!$B$10,1,Settings!$B$16)</f>
        <v>1</v>
      </c>
      <c r="C829" s="8">
        <v>46023</v>
      </c>
      <c r="D829" s="8">
        <f t="shared" si="49"/>
        <v>46387</v>
      </c>
      <c r="E829" s="6" t="str" cm="1">
        <f t="array" ref="E829">choice(Groupes!A:A,1,Settings!$B$16)</f>
        <v>G20</v>
      </c>
      <c r="F829" s="6" t="str">
        <f t="shared" si="50"/>
        <v>G20</v>
      </c>
      <c r="G829" s="6" t="str">
        <f t="shared" si="51"/>
        <v>Prof25</v>
      </c>
      <c r="H829" s="6" t="str" cm="1">
        <f t="array" ref="H829">choice(Referentiel!A:A,1,Settings!$B$16)</f>
        <v>Scénographie</v>
      </c>
      <c r="I829" s="6" t="str" cm="1">
        <f t="array" ref="I829">choice(Referentiel!B:B,1,Settings!$B$16)</f>
        <v>3ème année Design Vêtement S1</v>
      </c>
      <c r="J829" s="6" t="str" cm="1">
        <f t="array" ref="J829">choice(Referentiel!D:D,1,Settings!$B$16)</f>
        <v>L2</v>
      </c>
      <c r="K829" s="6" t="str" cm="1">
        <f t="array" ref="K829">choice(Professeurs!B:B,1,Settings!$B$16)</f>
        <v>Prof25</v>
      </c>
      <c r="L829" s="5" t="str" cm="1">
        <f t="array" ref="L829">choice(Referentiel!C:C,1,Settings!$B$16)</f>
        <v/>
      </c>
      <c r="M829" s="5" t="str" cm="1">
        <f t="array" ref="M829">choice(Referentiel!E:E,1,Settings!$B$16)</f>
        <v>Salle9</v>
      </c>
      <c r="N829" s="5" t="str" cm="1">
        <f t="array" ref="N829">choice(Settings!K:K,1,Settings!$B$16)</f>
        <v/>
      </c>
      <c r="P829" s="5">
        <f t="shared" si="52"/>
        <v>3</v>
      </c>
    </row>
    <row r="830" spans="1:16" ht="15.75" customHeight="1" x14ac:dyDescent="0.25">
      <c r="A830" s="6" t="s">
        <v>1182</v>
      </c>
      <c r="B830" s="6" cm="1">
        <f t="array" ref="B830">alea_int(Settings!$B$10,1,Settings!$B$16)</f>
        <v>1</v>
      </c>
      <c r="C830" s="8">
        <v>46023</v>
      </c>
      <c r="D830" s="8">
        <f t="shared" si="49"/>
        <v>46387</v>
      </c>
      <c r="E830" s="6" t="str" cm="1">
        <f t="array" ref="E830">choice(Groupes!A:A,1,Settings!$B$16)</f>
        <v>G11</v>
      </c>
      <c r="F830" s="6" t="str">
        <f t="shared" si="50"/>
        <v>G11</v>
      </c>
      <c r="G830" s="6" t="str">
        <f t="shared" si="51"/>
        <v>Prof50</v>
      </c>
      <c r="H830" s="6" t="str" cm="1">
        <f t="array" ref="H830">choice(Referentiel!A:A,1,Settings!$B$16)</f>
        <v>Design des mondes ruraux</v>
      </c>
      <c r="I830" s="6" t="str" cm="1">
        <f t="array" ref="I830">choice(Referentiel!B:B,1,Settings!$B$16)</f>
        <v>3ème année Cinéma d'Animation S2</v>
      </c>
      <c r="J830" s="6" t="str" cm="1">
        <f t="array" ref="J830">choice(Referentiel!D:D,1,Settings!$B$16)</f>
        <v>M1</v>
      </c>
      <c r="K830" s="6" t="str" cm="1">
        <f t="array" ref="K830">choice(Professeurs!B:B,1,Settings!$B$16)</f>
        <v>Prof50</v>
      </c>
      <c r="L830" s="5" t="str" cm="1">
        <f t="array" ref="L830">choice(Referentiel!C:C,1,Settings!$B$16)</f>
        <v/>
      </c>
      <c r="M830" s="5" t="str" cm="1">
        <f t="array" ref="M830">choice(Referentiel!E:E,1,Settings!$B$16)</f>
        <v/>
      </c>
      <c r="N830" s="5" t="str" cm="1">
        <f t="array" ref="N830">choice(Settings!K:K,1,Settings!$B$16)</f>
        <v/>
      </c>
      <c r="P830" s="5">
        <f t="shared" si="52"/>
        <v>1</v>
      </c>
    </row>
    <row r="831" spans="1:16" ht="15.75" customHeight="1" x14ac:dyDescent="0.25">
      <c r="A831" s="6" t="s">
        <v>1183</v>
      </c>
      <c r="B831" s="6" cm="1">
        <f t="array" ref="B831">alea_int(Settings!$B$10,1,Settings!$B$16)</f>
        <v>3</v>
      </c>
      <c r="C831" s="8">
        <v>46023</v>
      </c>
      <c r="D831" s="8">
        <f t="shared" si="49"/>
        <v>46387</v>
      </c>
      <c r="E831" s="6" t="str" cm="1">
        <f t="array" ref="E831">choice(Groupes!A:A,1,Settings!$B$16)</f>
        <v>G19</v>
      </c>
      <c r="F831" s="6" t="str">
        <f t="shared" si="50"/>
        <v>G19</v>
      </c>
      <c r="G831" s="6" t="str">
        <f t="shared" si="51"/>
        <v>Prof45</v>
      </c>
      <c r="H831" s="6" t="str" cm="1">
        <f t="array" ref="H831">choice(Referentiel!A:A,1,Settings!$B$16)</f>
        <v>1ère année Groupe 1</v>
      </c>
      <c r="I831" s="6" t="str" cm="1">
        <f t="array" ref="I831">choice(Referentiel!B:B,1,Settings!$B$16)</f>
        <v>1ère Année Groupe 2 S2</v>
      </c>
      <c r="J831" s="6" t="str" cm="1">
        <f t="array" ref="J831">choice(Referentiel!D:D,1,Settings!$B$16)</f>
        <v>L2</v>
      </c>
      <c r="K831" s="6" t="str" cm="1">
        <f t="array" ref="K831">choice(Professeurs!B:B,1,Settings!$B$16)</f>
        <v>Prof45</v>
      </c>
      <c r="L831" s="5" t="str" cm="1">
        <f t="array" ref="L831">choice(Referentiel!C:C,1,Settings!$B$16)</f>
        <v/>
      </c>
      <c r="M831" s="5" t="str" cm="1">
        <f t="array" ref="M831">choice(Referentiel!E:E,1,Settings!$B$16)</f>
        <v/>
      </c>
      <c r="N831" s="5" t="str" cm="1">
        <f t="array" ref="N831">choice(Settings!K:K,1,Settings!$B$16)</f>
        <v>jeudi am</v>
      </c>
      <c r="P831" s="5">
        <f t="shared" si="52"/>
        <v>5</v>
      </c>
    </row>
    <row r="832" spans="1:16" ht="15.75" customHeight="1" x14ac:dyDescent="0.25">
      <c r="A832" s="6" t="s">
        <v>1184</v>
      </c>
      <c r="B832" s="6" cm="1">
        <f t="array" ref="B832">alea_int(Settings!$B$10,1,Settings!$B$16)</f>
        <v>3</v>
      </c>
      <c r="C832" s="8">
        <v>46023</v>
      </c>
      <c r="D832" s="8">
        <f t="shared" si="49"/>
        <v>46387</v>
      </c>
      <c r="E832" s="6" t="str" cm="1">
        <f t="array" ref="E832">choice(Groupes!A:A,1,Settings!$B$16)</f>
        <v>G24</v>
      </c>
      <c r="F832" s="6" t="str">
        <f t="shared" si="50"/>
        <v>G24</v>
      </c>
      <c r="G832" s="6" t="str">
        <f t="shared" si="51"/>
        <v>Prof7</v>
      </c>
      <c r="H832" s="6" t="str" cm="1">
        <f t="array" ref="H832">choice(Referentiel!A:A,1,Settings!$B$16)</f>
        <v>Cinéma d'Animation</v>
      </c>
      <c r="I832" s="6" t="str" cm="1">
        <f t="array" ref="I832">choice(Referentiel!B:B,1,Settings!$B$16)</f>
        <v>4ème année Architecture Intérieure S2</v>
      </c>
      <c r="J832" s="6" t="str" cm="1">
        <f t="array" ref="J832">choice(Referentiel!D:D,1,Settings!$B$16)</f>
        <v>L1</v>
      </c>
      <c r="K832" s="6" t="str" cm="1">
        <f t="array" ref="K832">choice(Professeurs!B:B,1,Settings!$B$16)</f>
        <v>Prof7</v>
      </c>
      <c r="L832" s="5" t="str" cm="1">
        <f t="array" ref="L832">choice(Referentiel!C:C,1,Settings!$B$16)</f>
        <v/>
      </c>
      <c r="M832" s="5" t="str" cm="1">
        <f t="array" ref="M832">choice(Referentiel!E:E,1,Settings!$B$16)</f>
        <v/>
      </c>
      <c r="N832" s="5" t="str" cm="1">
        <f t="array" ref="N832">choice(Settings!K:K,1,Settings!$B$16)</f>
        <v/>
      </c>
      <c r="P832" s="5">
        <f t="shared" si="52"/>
        <v>3</v>
      </c>
    </row>
    <row r="833" spans="1:16" ht="15.75" customHeight="1" x14ac:dyDescent="0.25">
      <c r="A833" s="6" t="s">
        <v>1185</v>
      </c>
      <c r="B833" s="6" cm="1">
        <f t="array" ref="B833">alea_int(Settings!$B$10,1,Settings!$B$16)</f>
        <v>1</v>
      </c>
      <c r="C833" s="8">
        <v>46023</v>
      </c>
      <c r="D833" s="8">
        <f t="shared" si="49"/>
        <v>46387</v>
      </c>
      <c r="E833" s="6" t="str" cm="1">
        <f t="array" ref="E833">choice(Groupes!A:A,1,Settings!$B$16)</f>
        <v>G18</v>
      </c>
      <c r="F833" s="6" t="str">
        <f t="shared" si="50"/>
        <v>G18</v>
      </c>
      <c r="G833" s="6" t="str">
        <f t="shared" si="51"/>
        <v>Prof42</v>
      </c>
      <c r="H833" s="6" t="str" cm="1">
        <f t="array" ref="H833">choice(Referentiel!A:A,1,Settings!$B$16)</f>
        <v>6ème ANNÉE STAGE</v>
      </c>
      <c r="I833" s="6" t="str" cm="1">
        <f t="array" ref="I833">choice(Referentiel!B:B,1,Settings!$B$16)</f>
        <v>3ème année Image Imprimée S1</v>
      </c>
      <c r="J833" s="6" t="str" cm="1">
        <f t="array" ref="J833">choice(Referentiel!D:D,1,Settings!$B$16)</f>
        <v>L3</v>
      </c>
      <c r="K833" s="6" t="str" cm="1">
        <f t="array" ref="K833">choice(Professeurs!B:B,1,Settings!$B$16)</f>
        <v>Prof42</v>
      </c>
      <c r="L833" s="5" t="str" cm="1">
        <f t="array" ref="L833">choice(Referentiel!C:C,1,Settings!$B$16)</f>
        <v/>
      </c>
      <c r="M833" s="5" t="str" cm="1">
        <f t="array" ref="M833">choice(Referentiel!E:E,1,Settings!$B$16)</f>
        <v/>
      </c>
      <c r="N833" s="5" t="str" cm="1">
        <f t="array" ref="N833">choice(Settings!K:K,1,Settings!$B$16)</f>
        <v>vendredi am</v>
      </c>
      <c r="P833" s="5">
        <f t="shared" si="52"/>
        <v>3</v>
      </c>
    </row>
    <row r="834" spans="1:16" ht="15.75" customHeight="1" x14ac:dyDescent="0.25">
      <c r="A834" s="6" t="s">
        <v>1186</v>
      </c>
      <c r="B834" s="6" cm="1">
        <f t="array" ref="B834">alea_int(Settings!$B$10,1,Settings!$B$16)</f>
        <v>1</v>
      </c>
      <c r="C834" s="8">
        <v>46023</v>
      </c>
      <c r="D834" s="8">
        <f t="shared" si="49"/>
        <v>46387</v>
      </c>
      <c r="E834" s="6" t="str" cm="1">
        <f t="array" ref="E834">choice(Groupes!A:A,1,Settings!$B$16)</f>
        <v>G4</v>
      </c>
      <c r="F834" s="6" t="str">
        <f t="shared" si="50"/>
        <v>G4</v>
      </c>
      <c r="G834" s="6" t="str">
        <f t="shared" si="51"/>
        <v>Prof42</v>
      </c>
      <c r="H834" s="6" t="str" cm="1">
        <f t="array" ref="H834">choice(Referentiel!A:A,1,Settings!$B$16)</f>
        <v>Design des mondes forestiers</v>
      </c>
      <c r="I834" s="6" t="str" cm="1">
        <f t="array" ref="I834">choice(Referentiel!B:B,1,Settings!$B$16)</f>
        <v>2ème année Photo / Vidéo S1</v>
      </c>
      <c r="J834" s="6" t="str" cm="1">
        <f t="array" ref="J834">choice(Referentiel!D:D,1,Settings!$B$16)</f>
        <v>M2</v>
      </c>
      <c r="K834" s="6" t="str" cm="1">
        <f t="array" ref="K834">choice(Professeurs!B:B,1,Settings!$B$16)</f>
        <v>Prof42</v>
      </c>
      <c r="L834" s="5" t="str" cm="1">
        <f t="array" ref="L834">choice(Referentiel!C:C,1,Settings!$B$16)</f>
        <v/>
      </c>
      <c r="M834" s="5" t="str" cm="1">
        <f t="array" ref="M834">choice(Referentiel!E:E,1,Settings!$B$16)</f>
        <v/>
      </c>
      <c r="N834" s="5" t="str" cm="1">
        <f t="array" ref="N834">choice(Settings!K:K,1,Settings!$B$16)</f>
        <v/>
      </c>
      <c r="P834" s="5">
        <f t="shared" si="52"/>
        <v>1</v>
      </c>
    </row>
    <row r="835" spans="1:16" ht="15.75" customHeight="1" x14ac:dyDescent="0.25">
      <c r="A835" s="6" t="s">
        <v>1187</v>
      </c>
      <c r="B835" s="6" cm="1">
        <f t="array" ref="B835">alea_int(Settings!$B$10,1,Settings!$B$16)</f>
        <v>2</v>
      </c>
      <c r="C835" s="8">
        <v>46023</v>
      </c>
      <c r="D835" s="8">
        <f t="shared" ref="D835:D898" si="53">C835+364</f>
        <v>46387</v>
      </c>
      <c r="E835" s="6" t="str" cm="1">
        <f t="array" ref="E835">choice(Groupes!A:A,1,Settings!$B$16)</f>
        <v>G16</v>
      </c>
      <c r="F835" s="6" t="str">
        <f t="shared" ref="F835:F898" si="54">E835</f>
        <v>G16</v>
      </c>
      <c r="G835" s="6" t="str">
        <f t="shared" ref="G835:G898" si="55">K835</f>
        <v>Prof4</v>
      </c>
      <c r="H835" s="6" t="str" cm="1">
        <f t="array" ref="H835">choice(Referentiel!A:A,1,Settings!$B$16)</f>
        <v>Design Vêtement</v>
      </c>
      <c r="I835" s="6" t="str" cm="1">
        <f t="array" ref="I835">choice(Referentiel!B:B,1,Settings!$B$16)</f>
        <v>1ère Année Groupe 4 S2</v>
      </c>
      <c r="J835" s="6" t="str" cm="1">
        <f t="array" ref="J835">choice(Referentiel!D:D,1,Settings!$B$16)</f>
        <v>L1</v>
      </c>
      <c r="K835" s="6" t="str" cm="1">
        <f t="array" ref="K835">choice(Professeurs!B:B,1,Settings!$B$16)</f>
        <v>Prof4</v>
      </c>
      <c r="L835" s="5" t="str" cm="1">
        <f t="array" ref="L835">choice(Referentiel!C:C,1,Settings!$B$16)</f>
        <v>fenetre</v>
      </c>
      <c r="M835" s="5" t="str" cm="1">
        <f t="array" ref="M835">choice(Referentiel!E:E,1,Settings!$B$16)</f>
        <v/>
      </c>
      <c r="N835" s="5" t="str" cm="1">
        <f t="array" ref="N835">choice(Settings!K:K,1,Settings!$B$16)</f>
        <v/>
      </c>
      <c r="P835" s="5">
        <f t="shared" ref="P835:P898" si="56">B835+IF(M835&lt;&gt;"",2,0)+IF(N835&lt;&gt;"",2,0)</f>
        <v>2</v>
      </c>
    </row>
    <row r="836" spans="1:16" ht="15.75" customHeight="1" x14ac:dyDescent="0.25">
      <c r="A836" s="6" t="s">
        <v>1188</v>
      </c>
      <c r="B836" s="6" cm="1">
        <f t="array" ref="B836">alea_int(Settings!$B$10,1,Settings!$B$16)</f>
        <v>1</v>
      </c>
      <c r="C836" s="8">
        <v>46023</v>
      </c>
      <c r="D836" s="8">
        <f t="shared" si="53"/>
        <v>46387</v>
      </c>
      <c r="E836" s="6" t="str" cm="1">
        <f t="array" ref="E836">choice(Groupes!A:A,1,Settings!$B$16)</f>
        <v>G13</v>
      </c>
      <c r="F836" s="6" t="str">
        <f t="shared" si="54"/>
        <v>G13</v>
      </c>
      <c r="G836" s="6" t="str">
        <f t="shared" si="55"/>
        <v>Prof15</v>
      </c>
      <c r="H836" s="6" t="str" cm="1">
        <f t="array" ref="H836">choice(Referentiel!A:A,1,Settings!$B$16)</f>
        <v>Design Graphique</v>
      </c>
      <c r="I836" s="6" t="str" cm="1">
        <f t="array" ref="I836">choice(Referentiel!B:B,1,Settings!$B$16)</f>
        <v>2ème année Design Vêtement S1</v>
      </c>
      <c r="J836" s="6" t="str" cm="1">
        <f t="array" ref="J836">choice(Referentiel!D:D,1,Settings!$B$16)</f>
        <v>M1</v>
      </c>
      <c r="K836" s="6" t="str" cm="1">
        <f t="array" ref="K836">choice(Professeurs!B:B,1,Settings!$B$16)</f>
        <v>Prof15</v>
      </c>
      <c r="L836" s="5" t="str" cm="1">
        <f t="array" ref="L836">choice(Referentiel!C:C,1,Settings!$B$16)</f>
        <v/>
      </c>
      <c r="M836" s="5" t="str" cm="1">
        <f t="array" ref="M836">choice(Referentiel!E:E,1,Settings!$B$16)</f>
        <v/>
      </c>
      <c r="N836" s="5" t="str" cm="1">
        <f t="array" ref="N836">choice(Settings!K:K,1,Settings!$B$16)</f>
        <v>jeudi pm</v>
      </c>
      <c r="P836" s="5">
        <f t="shared" si="56"/>
        <v>3</v>
      </c>
    </row>
    <row r="837" spans="1:16" ht="15.75" customHeight="1" x14ac:dyDescent="0.25">
      <c r="A837" s="6" t="s">
        <v>1189</v>
      </c>
      <c r="B837" s="6" cm="1">
        <f t="array" ref="B837">alea_int(Settings!$B$10,1,Settings!$B$16)</f>
        <v>3</v>
      </c>
      <c r="C837" s="8">
        <v>46023</v>
      </c>
      <c r="D837" s="8">
        <f t="shared" si="53"/>
        <v>46387</v>
      </c>
      <c r="E837" s="6" t="str" cm="1">
        <f t="array" ref="E837">choice(Groupes!A:A,1,Settings!$B$16)</f>
        <v>G23</v>
      </c>
      <c r="F837" s="6" t="str">
        <f t="shared" si="54"/>
        <v>G23</v>
      </c>
      <c r="G837" s="6" t="str">
        <f t="shared" si="55"/>
        <v>Prof35</v>
      </c>
      <c r="H837" s="6" t="str" cm="1">
        <f t="array" ref="H837">choice(Referentiel!A:A,1,Settings!$B$16)</f>
        <v>Design des mondes ruraux</v>
      </c>
      <c r="I837" s="6" t="str" cm="1">
        <f t="array" ref="I837">choice(Referentiel!B:B,1,Settings!$B$16)</f>
        <v>3ème année Cinéma d'Animation S2</v>
      </c>
      <c r="J837" s="6" t="str" cm="1">
        <f t="array" ref="J837">choice(Referentiel!D:D,1,Settings!$B$16)</f>
        <v>M2</v>
      </c>
      <c r="K837" s="6" t="str" cm="1">
        <f t="array" ref="K837">choice(Professeurs!B:B,1,Settings!$B$16)</f>
        <v>Prof35</v>
      </c>
      <c r="L837" s="5" t="str" cm="1">
        <f t="array" ref="L837">choice(Referentiel!C:C,1,Settings!$B$16)</f>
        <v/>
      </c>
      <c r="M837" s="5" t="str" cm="1">
        <f t="array" ref="M837">choice(Referentiel!E:E,1,Settings!$B$16)</f>
        <v/>
      </c>
      <c r="N837" s="5" t="str" cm="1">
        <f t="array" ref="N837">choice(Settings!K:K,1,Settings!$B$16)</f>
        <v>jeudi pm</v>
      </c>
      <c r="P837" s="5">
        <f t="shared" si="56"/>
        <v>5</v>
      </c>
    </row>
    <row r="838" spans="1:16" ht="15.75" customHeight="1" x14ac:dyDescent="0.25">
      <c r="A838" s="6" t="s">
        <v>1190</v>
      </c>
      <c r="B838" s="6" cm="1">
        <f t="array" ref="B838">alea_int(Settings!$B$10,1,Settings!$B$16)</f>
        <v>2</v>
      </c>
      <c r="C838" s="8">
        <v>46023</v>
      </c>
      <c r="D838" s="8">
        <f t="shared" si="53"/>
        <v>46387</v>
      </c>
      <c r="E838" s="6" t="str" cm="1">
        <f t="array" ref="E838">choice(Groupes!A:A,1,Settings!$B$16)</f>
        <v>G24</v>
      </c>
      <c r="F838" s="6" t="str">
        <f t="shared" si="54"/>
        <v>G24</v>
      </c>
      <c r="G838" s="6" t="str">
        <f t="shared" si="55"/>
        <v>Prof8</v>
      </c>
      <c r="H838" s="6" t="str" cm="1">
        <f t="array" ref="H838">choice(Referentiel!A:A,1,Settings!$B$16)</f>
        <v>Mode et Matière</v>
      </c>
      <c r="I838" s="6" t="str" cm="1">
        <f t="array" ref="I838">choice(Referentiel!B:B,1,Settings!$B$16)</f>
        <v>1ère Année Groupe 3 S2</v>
      </c>
      <c r="J838" s="6" t="str" cm="1">
        <f t="array" ref="J838">choice(Referentiel!D:D,1,Settings!$B$16)</f>
        <v>L2</v>
      </c>
      <c r="K838" s="6" t="str" cm="1">
        <f t="array" ref="K838">choice(Professeurs!B:B,1,Settings!$B$16)</f>
        <v>Prof8</v>
      </c>
      <c r="L838" s="5" t="str" cm="1">
        <f t="array" ref="L838">choice(Referentiel!C:C,1,Settings!$B$16)</f>
        <v/>
      </c>
      <c r="M838" s="5" t="str" cm="1">
        <f t="array" ref="M838">choice(Referentiel!E:E,1,Settings!$B$16)</f>
        <v/>
      </c>
      <c r="N838" s="5" t="str" cm="1">
        <f t="array" ref="N838">choice(Settings!K:K,1,Settings!$B$16)</f>
        <v/>
      </c>
      <c r="P838" s="5">
        <f t="shared" si="56"/>
        <v>2</v>
      </c>
    </row>
    <row r="839" spans="1:16" ht="15.75" customHeight="1" x14ac:dyDescent="0.25">
      <c r="A839" s="6" t="s">
        <v>1191</v>
      </c>
      <c r="B839" s="6" cm="1">
        <f t="array" ref="B839">alea_int(Settings!$B$10,1,Settings!$B$16)</f>
        <v>3</v>
      </c>
      <c r="C839" s="8">
        <v>46023</v>
      </c>
      <c r="D839" s="8">
        <f t="shared" si="53"/>
        <v>46387</v>
      </c>
      <c r="E839" s="6" t="str" cm="1">
        <f t="array" ref="E839">choice(Groupes!A:A,1,Settings!$B$16)</f>
        <v>G10</v>
      </c>
      <c r="F839" s="6" t="str">
        <f t="shared" si="54"/>
        <v>G10</v>
      </c>
      <c r="G839" s="6" t="str">
        <f t="shared" si="55"/>
        <v>Prof39</v>
      </c>
      <c r="H839" s="6" t="str" cm="1">
        <f t="array" ref="H839">choice(Referentiel!A:A,1,Settings!$B$16)</f>
        <v>Design des mondes montagneux</v>
      </c>
      <c r="I839" s="6" t="str" cm="1">
        <f t="array" ref="I839">choice(Referentiel!B:B,1,Settings!$B$16)</f>
        <v>2ème année Scénographie S2</v>
      </c>
      <c r="J839" s="6" t="str" cm="1">
        <f t="array" ref="J839">choice(Referentiel!D:D,1,Settings!$B$16)</f>
        <v>L2</v>
      </c>
      <c r="K839" s="6" t="str" cm="1">
        <f t="array" ref="K839">choice(Professeurs!B:B,1,Settings!$B$16)</f>
        <v>Prof39</v>
      </c>
      <c r="L839" s="5" t="str" cm="1">
        <f t="array" ref="L839">choice(Referentiel!C:C,1,Settings!$B$16)</f>
        <v/>
      </c>
      <c r="M839" s="5" t="str" cm="1">
        <f t="array" ref="M839">choice(Referentiel!E:E,1,Settings!$B$16)</f>
        <v/>
      </c>
      <c r="N839" s="5" t="str" cm="1">
        <f t="array" ref="N839">choice(Settings!K:K,1,Settings!$B$16)</f>
        <v/>
      </c>
      <c r="P839" s="5">
        <f t="shared" si="56"/>
        <v>3</v>
      </c>
    </row>
    <row r="840" spans="1:16" ht="15.75" customHeight="1" x14ac:dyDescent="0.25">
      <c r="A840" s="6" t="s">
        <v>1192</v>
      </c>
      <c r="B840" s="6" cm="1">
        <f t="array" ref="B840">alea_int(Settings!$B$10,1,Settings!$B$16)</f>
        <v>2</v>
      </c>
      <c r="C840" s="8">
        <v>46023</v>
      </c>
      <c r="D840" s="8">
        <f t="shared" si="53"/>
        <v>46387</v>
      </c>
      <c r="E840" s="6" t="str" cm="1">
        <f t="array" ref="E840">choice(Groupes!A:A,1,Settings!$B$16)</f>
        <v>G27</v>
      </c>
      <c r="F840" s="6" t="str">
        <f t="shared" si="54"/>
        <v>G27</v>
      </c>
      <c r="G840" s="6" t="str">
        <f t="shared" si="55"/>
        <v>Prof6</v>
      </c>
      <c r="H840" s="6" t="str" cm="1">
        <f t="array" ref="H840">choice(Referentiel!A:A,1,Settings!$B$16)</f>
        <v>Design des mondes forestiers</v>
      </c>
      <c r="I840" s="6" t="str" cm="1">
        <f t="array" ref="I840">choice(Referentiel!B:B,1,Settings!$B$16)</f>
        <v>2ème année Photo / Vidéo S1</v>
      </c>
      <c r="J840" s="6" t="str" cm="1">
        <f t="array" ref="J840">choice(Referentiel!D:D,1,Settings!$B$16)</f>
        <v>M1</v>
      </c>
      <c r="K840" s="6" t="str" cm="1">
        <f t="array" ref="K840">choice(Professeurs!B:B,1,Settings!$B$16)</f>
        <v>Prof6</v>
      </c>
      <c r="L840" s="5" t="str" cm="1">
        <f t="array" ref="L840">choice(Referentiel!C:C,1,Settings!$B$16)</f>
        <v/>
      </c>
      <c r="M840" s="5" t="str" cm="1">
        <f t="array" ref="M840">choice(Referentiel!E:E,1,Settings!$B$16)</f>
        <v/>
      </c>
      <c r="N840" s="5" t="str" cm="1">
        <f t="array" ref="N840">choice(Settings!K:K,1,Settings!$B$16)</f>
        <v/>
      </c>
      <c r="P840" s="5">
        <f t="shared" si="56"/>
        <v>2</v>
      </c>
    </row>
    <row r="841" spans="1:16" ht="15.75" customHeight="1" x14ac:dyDescent="0.25">
      <c r="A841" s="6" t="s">
        <v>1193</v>
      </c>
      <c r="B841" s="6" cm="1">
        <f t="array" ref="B841">alea_int(Settings!$B$10,1,Settings!$B$16)</f>
        <v>2</v>
      </c>
      <c r="C841" s="8">
        <v>46023</v>
      </c>
      <c r="D841" s="8">
        <f t="shared" si="53"/>
        <v>46387</v>
      </c>
      <c r="E841" s="6" t="str" cm="1">
        <f t="array" ref="E841">choice(Groupes!A:A,1,Settings!$B$16)</f>
        <v>G3</v>
      </c>
      <c r="F841" s="6" t="str">
        <f t="shared" si="54"/>
        <v>G3</v>
      </c>
      <c r="G841" s="6" t="str">
        <f t="shared" si="55"/>
        <v>Prof4</v>
      </c>
      <c r="H841" s="6" t="str" cm="1">
        <f t="array" ref="H841">choice(Referentiel!A:A,1,Settings!$B$16)</f>
        <v>Design des mondes insulaires</v>
      </c>
      <c r="I841" s="6" t="str" cm="1">
        <f t="array" ref="I841">choice(Referentiel!B:B,1,Settings!$B$16)</f>
        <v>3ème année Scénographie S2</v>
      </c>
      <c r="J841" s="6" t="str" cm="1">
        <f t="array" ref="J841">choice(Referentiel!D:D,1,Settings!$B$16)</f>
        <v>M2</v>
      </c>
      <c r="K841" s="6" t="str" cm="1">
        <f t="array" ref="K841">choice(Professeurs!B:B,1,Settings!$B$16)</f>
        <v>Prof4</v>
      </c>
      <c r="L841" s="5" t="str" cm="1">
        <f t="array" ref="L841">choice(Referentiel!C:C,1,Settings!$B$16)</f>
        <v/>
      </c>
      <c r="M841" s="5" t="str" cm="1">
        <f t="array" ref="M841">choice(Referentiel!E:E,1,Settings!$B$16)</f>
        <v/>
      </c>
      <c r="N841" s="5" t="str" cm="1">
        <f t="array" ref="N841">choice(Settings!K:K,1,Settings!$B$16)</f>
        <v/>
      </c>
      <c r="P841" s="5">
        <f t="shared" si="56"/>
        <v>2</v>
      </c>
    </row>
    <row r="842" spans="1:16" ht="15.75" customHeight="1" x14ac:dyDescent="0.25">
      <c r="A842" s="6" t="s">
        <v>1194</v>
      </c>
      <c r="B842" s="6" cm="1">
        <f t="array" ref="B842">alea_int(Settings!$B$10,1,Settings!$B$16)</f>
        <v>1</v>
      </c>
      <c r="C842" s="8">
        <v>46023</v>
      </c>
      <c r="D842" s="8">
        <f t="shared" si="53"/>
        <v>46387</v>
      </c>
      <c r="E842" s="6" t="str" cm="1">
        <f t="array" ref="E842">choice(Groupes!A:A,1,Settings!$B$16)</f>
        <v>G16</v>
      </c>
      <c r="F842" s="6" t="str">
        <f t="shared" si="54"/>
        <v>G16</v>
      </c>
      <c r="G842" s="6" t="str">
        <f t="shared" si="55"/>
        <v>Prof53</v>
      </c>
      <c r="H842" s="6" t="str" cm="1">
        <f t="array" ref="H842">choice(Referentiel!A:A,1,Settings!$B$16)</f>
        <v>Art-Espace</v>
      </c>
      <c r="I842" s="6" t="str" cm="1">
        <f t="array" ref="I842">choice(Referentiel!B:B,1,Settings!$B$16)</f>
        <v>3ème année Cinéma d'Animation S2</v>
      </c>
      <c r="J842" s="6" t="str" cm="1">
        <f t="array" ref="J842">choice(Referentiel!D:D,1,Settings!$B$16)</f>
        <v>L3</v>
      </c>
      <c r="K842" s="6" t="str" cm="1">
        <f t="array" ref="K842">choice(Professeurs!B:B,1,Settings!$B$16)</f>
        <v>Prof53</v>
      </c>
      <c r="L842" s="5" t="str" cm="1">
        <f t="array" ref="L842">choice(Referentiel!C:C,1,Settings!$B$16)</f>
        <v>pupitre</v>
      </c>
      <c r="M842" s="5" t="str" cm="1">
        <f t="array" ref="M842">choice(Referentiel!E:E,1,Settings!$B$16)</f>
        <v/>
      </c>
      <c r="N842" s="5" t="str" cm="1">
        <f t="array" ref="N842">choice(Settings!K:K,1,Settings!$B$16)</f>
        <v/>
      </c>
      <c r="P842" s="5">
        <f t="shared" si="56"/>
        <v>1</v>
      </c>
    </row>
    <row r="843" spans="1:16" ht="15.75" customHeight="1" x14ac:dyDescent="0.25">
      <c r="A843" s="6" t="s">
        <v>1195</v>
      </c>
      <c r="B843" s="6" cm="1">
        <f t="array" ref="B843">alea_int(Settings!$B$10,1,Settings!$B$16)</f>
        <v>3</v>
      </c>
      <c r="C843" s="8">
        <v>46023</v>
      </c>
      <c r="D843" s="8">
        <f t="shared" si="53"/>
        <v>46387</v>
      </c>
      <c r="E843" s="6" t="str" cm="1">
        <f t="array" ref="E843">choice(Groupes!A:A,1,Settings!$B$16)</f>
        <v>G17</v>
      </c>
      <c r="F843" s="6" t="str">
        <f t="shared" si="54"/>
        <v>G17</v>
      </c>
      <c r="G843" s="6" t="str">
        <f t="shared" si="55"/>
        <v>Prof9</v>
      </c>
      <c r="H843" s="6" t="str" cm="1">
        <f t="array" ref="H843">choice(Referentiel!A:A,1,Settings!$B$16)</f>
        <v>1ère année Groupe 4</v>
      </c>
      <c r="I843" s="6" t="str" cm="1">
        <f t="array" ref="I843">choice(Referentiel!B:B,1,Settings!$B$16)</f>
        <v>1ère Année Groupe 1 S2</v>
      </c>
      <c r="J843" s="6" t="str" cm="1">
        <f t="array" ref="J843">choice(Referentiel!D:D,1,Settings!$B$16)</f>
        <v>L3</v>
      </c>
      <c r="K843" s="6" t="str" cm="1">
        <f t="array" ref="K843">choice(Professeurs!B:B,1,Settings!$B$16)</f>
        <v>Prof9</v>
      </c>
      <c r="L843" s="5" t="str" cm="1">
        <f t="array" ref="L843">choice(Referentiel!C:C,1,Settings!$B$16)</f>
        <v/>
      </c>
      <c r="M843" s="5" t="str" cm="1">
        <f t="array" ref="M843">choice(Referentiel!E:E,1,Settings!$B$16)</f>
        <v/>
      </c>
      <c r="N843" s="5" t="str" cm="1">
        <f t="array" ref="N843">choice(Settings!K:K,1,Settings!$B$16)</f>
        <v/>
      </c>
      <c r="P843" s="5">
        <f t="shared" si="56"/>
        <v>3</v>
      </c>
    </row>
    <row r="844" spans="1:16" ht="15.75" customHeight="1" x14ac:dyDescent="0.25">
      <c r="A844" s="6" t="s">
        <v>1196</v>
      </c>
      <c r="B844" s="6" cm="1">
        <f t="array" ref="B844">alea_int(Settings!$B$10,1,Settings!$B$16)</f>
        <v>2</v>
      </c>
      <c r="C844" s="8">
        <v>46023</v>
      </c>
      <c r="D844" s="8">
        <f t="shared" si="53"/>
        <v>46387</v>
      </c>
      <c r="E844" s="6" t="str" cm="1">
        <f t="array" ref="E844">choice(Groupes!A:A,1,Settings!$B$16)</f>
        <v>G26</v>
      </c>
      <c r="F844" s="6" t="str">
        <f t="shared" si="54"/>
        <v>G26</v>
      </c>
      <c r="G844" s="6" t="str">
        <f t="shared" si="55"/>
        <v>Prof5</v>
      </c>
      <c r="H844" s="6" t="str" cm="1">
        <f t="array" ref="H844">choice(Referentiel!A:A,1,Settings!$B$16)</f>
        <v>Design des mondes urbains</v>
      </c>
      <c r="I844" s="6" t="str" cm="1">
        <f t="array" ref="I844">choice(Referentiel!B:B,1,Settings!$B$16)</f>
        <v>3ème année Design Graphique S2</v>
      </c>
      <c r="J844" s="6" t="str" cm="1">
        <f t="array" ref="J844">choice(Referentiel!D:D,1,Settings!$B$16)</f>
        <v>L2</v>
      </c>
      <c r="K844" s="6" t="str" cm="1">
        <f t="array" ref="K844">choice(Professeurs!B:B,1,Settings!$B$16)</f>
        <v>Prof5</v>
      </c>
      <c r="L844" s="5" t="str" cm="1">
        <f t="array" ref="L844">choice(Referentiel!C:C,1,Settings!$B$16)</f>
        <v/>
      </c>
      <c r="M844" s="5" t="str" cm="1">
        <f t="array" ref="M844">choice(Referentiel!E:E,1,Settings!$B$16)</f>
        <v/>
      </c>
      <c r="N844" s="5" t="str" cm="1">
        <f t="array" ref="N844">choice(Settings!K:K,1,Settings!$B$16)</f>
        <v/>
      </c>
      <c r="P844" s="5">
        <f t="shared" si="56"/>
        <v>2</v>
      </c>
    </row>
    <row r="845" spans="1:16" ht="15.75" customHeight="1" x14ac:dyDescent="0.25">
      <c r="A845" s="6" t="s">
        <v>1197</v>
      </c>
      <c r="B845" s="6" cm="1">
        <f t="array" ref="B845">alea_int(Settings!$B$10,1,Settings!$B$16)</f>
        <v>3</v>
      </c>
      <c r="C845" s="8">
        <v>46023</v>
      </c>
      <c r="D845" s="8">
        <f t="shared" si="53"/>
        <v>46387</v>
      </c>
      <c r="E845" s="6" t="str" cm="1">
        <f t="array" ref="E845">choice(Groupes!A:A,1,Settings!$B$16)</f>
        <v>G8</v>
      </c>
      <c r="F845" s="6" t="str">
        <f t="shared" si="54"/>
        <v>G8</v>
      </c>
      <c r="G845" s="6" t="str">
        <f t="shared" si="55"/>
        <v>Prof35</v>
      </c>
      <c r="H845" s="6" t="str" cm="1">
        <f t="array" ref="H845">choice(Referentiel!A:A,1,Settings!$B$16)</f>
        <v>Design des mondes forestiers</v>
      </c>
      <c r="I845" s="6" t="str" cm="1">
        <f t="array" ref="I845">choice(Referentiel!B:B,1,Settings!$B$16)</f>
        <v>3ème année Scénographie S1</v>
      </c>
      <c r="J845" s="6" t="str" cm="1">
        <f t="array" ref="J845">choice(Referentiel!D:D,1,Settings!$B$16)</f>
        <v>L3</v>
      </c>
      <c r="K845" s="6" t="str" cm="1">
        <f t="array" ref="K845">choice(Professeurs!B:B,1,Settings!$B$16)</f>
        <v>Prof35</v>
      </c>
      <c r="L845" s="5" t="str" cm="1">
        <f t="array" ref="L845">choice(Referentiel!C:C,1,Settings!$B$16)</f>
        <v/>
      </c>
      <c r="M845" s="5" t="str" cm="1">
        <f t="array" ref="M845">choice(Referentiel!E:E,1,Settings!$B$16)</f>
        <v/>
      </c>
      <c r="N845" s="5" t="str" cm="1">
        <f t="array" ref="N845">choice(Settings!K:K,1,Settings!$B$16)</f>
        <v/>
      </c>
      <c r="P845" s="5">
        <f t="shared" si="56"/>
        <v>3</v>
      </c>
    </row>
    <row r="846" spans="1:16" ht="15.75" customHeight="1" x14ac:dyDescent="0.25">
      <c r="A846" s="6" t="s">
        <v>1198</v>
      </c>
      <c r="B846" s="6" cm="1">
        <f t="array" ref="B846">alea_int(Settings!$B$10,1,Settings!$B$16)</f>
        <v>2</v>
      </c>
      <c r="C846" s="8">
        <v>46023</v>
      </c>
      <c r="D846" s="8">
        <f t="shared" si="53"/>
        <v>46387</v>
      </c>
      <c r="E846" s="6" t="str" cm="1">
        <f t="array" ref="E846">choice(Groupes!A:A,1,Settings!$B$16)</f>
        <v>G25</v>
      </c>
      <c r="F846" s="6" t="str">
        <f t="shared" si="54"/>
        <v>G25</v>
      </c>
      <c r="G846" s="6" t="str">
        <f t="shared" si="55"/>
        <v>Prof26</v>
      </c>
      <c r="H846" s="6" t="str" cm="1">
        <f t="array" ref="H846">choice(Referentiel!A:A,1,Settings!$B$16)</f>
        <v>Design des mondes littoraux</v>
      </c>
      <c r="I846" s="6" t="str" cm="1">
        <f t="array" ref="I846">choice(Referentiel!B:B,1,Settings!$B$16)</f>
        <v>1ère Année Groupe 1 S2</v>
      </c>
      <c r="J846" s="6" t="str" cm="1">
        <f t="array" ref="J846">choice(Referentiel!D:D,1,Settings!$B$16)</f>
        <v>L1</v>
      </c>
      <c r="K846" s="6" t="str" cm="1">
        <f t="array" ref="K846">choice(Professeurs!B:B,1,Settings!$B$16)</f>
        <v>Prof26</v>
      </c>
      <c r="L846" s="5" t="str" cm="1">
        <f t="array" ref="L846">choice(Referentiel!C:C,1,Settings!$B$16)</f>
        <v/>
      </c>
      <c r="M846" s="5" t="str" cm="1">
        <f t="array" ref="M846">choice(Referentiel!E:E,1,Settings!$B$16)</f>
        <v/>
      </c>
      <c r="N846" s="5" t="str" cm="1">
        <f t="array" ref="N846">choice(Settings!K:K,1,Settings!$B$16)</f>
        <v/>
      </c>
      <c r="P846" s="5">
        <f t="shared" si="56"/>
        <v>2</v>
      </c>
    </row>
    <row r="847" spans="1:16" ht="15.75" customHeight="1" x14ac:dyDescent="0.25">
      <c r="A847" s="6" t="s">
        <v>1199</v>
      </c>
      <c r="B847" s="6" cm="1">
        <f t="array" ref="B847">alea_int(Settings!$B$10,1,Settings!$B$16)</f>
        <v>1</v>
      </c>
      <c r="C847" s="8">
        <v>46023</v>
      </c>
      <c r="D847" s="8">
        <f t="shared" si="53"/>
        <v>46387</v>
      </c>
      <c r="E847" s="6" t="str" cm="1">
        <f t="array" ref="E847">choice(Groupes!A:A,1,Settings!$B$16)</f>
        <v>G1</v>
      </c>
      <c r="F847" s="6" t="str">
        <f t="shared" si="54"/>
        <v>G1</v>
      </c>
      <c r="G847" s="6" t="str">
        <f t="shared" si="55"/>
        <v>Prof10</v>
      </c>
      <c r="H847" s="6" t="str" cm="1">
        <f t="array" ref="H847">choice(Referentiel!A:A,1,Settings!$B$16)</f>
        <v>Design Objet</v>
      </c>
      <c r="I847" s="6" t="str" cm="1">
        <f t="array" ref="I847">choice(Referentiel!B:B,1,Settings!$B$16)</f>
        <v>2ème année Cinéma d'Animation S1</v>
      </c>
      <c r="J847" s="6" t="str" cm="1">
        <f t="array" ref="J847">choice(Referentiel!D:D,1,Settings!$B$16)</f>
        <v>L1</v>
      </c>
      <c r="K847" s="6" t="str" cm="1">
        <f t="array" ref="K847">choice(Professeurs!B:B,1,Settings!$B$16)</f>
        <v>Prof10</v>
      </c>
      <c r="L847" s="5" t="str" cm="1">
        <f t="array" ref="L847">choice(Referentiel!C:C,1,Settings!$B$16)</f>
        <v/>
      </c>
      <c r="M847" s="5" t="str" cm="1">
        <f t="array" ref="M847">choice(Referentiel!E:E,1,Settings!$B$16)</f>
        <v/>
      </c>
      <c r="N847" s="5" t="str" cm="1">
        <f t="array" ref="N847">choice(Settings!K:K,1,Settings!$B$16)</f>
        <v>mardi am</v>
      </c>
      <c r="P847" s="5">
        <f t="shared" si="56"/>
        <v>3</v>
      </c>
    </row>
    <row r="848" spans="1:16" ht="15.75" customHeight="1" x14ac:dyDescent="0.25">
      <c r="A848" s="6" t="s">
        <v>1200</v>
      </c>
      <c r="B848" s="6" cm="1">
        <f t="array" ref="B848">alea_int(Settings!$B$10,1,Settings!$B$16)</f>
        <v>3</v>
      </c>
      <c r="C848" s="8">
        <v>46023</v>
      </c>
      <c r="D848" s="8">
        <f t="shared" si="53"/>
        <v>46387</v>
      </c>
      <c r="E848" s="6" t="str" cm="1">
        <f t="array" ref="E848">choice(Groupes!A:A,1,Settings!$B$16)</f>
        <v>G16</v>
      </c>
      <c r="F848" s="6" t="str">
        <f t="shared" si="54"/>
        <v>G16</v>
      </c>
      <c r="G848" s="6" t="str">
        <f t="shared" si="55"/>
        <v>Prof22</v>
      </c>
      <c r="H848" s="6" t="str" cm="1">
        <f t="array" ref="H848">choice(Referentiel!A:A,1,Settings!$B$16)</f>
        <v>6ème ANNÉE STAGE</v>
      </c>
      <c r="I848" s="6" t="str" cm="1">
        <f t="array" ref="I848">choice(Referentiel!B:B,1,Settings!$B$16)</f>
        <v>3ème année Architecture Intérieure S1</v>
      </c>
      <c r="J848" s="6" t="str" cm="1">
        <f t="array" ref="J848">choice(Referentiel!D:D,1,Settings!$B$16)</f>
        <v>M2</v>
      </c>
      <c r="K848" s="6" t="str" cm="1">
        <f t="array" ref="K848">choice(Professeurs!B:B,1,Settings!$B$16)</f>
        <v>Prof22</v>
      </c>
      <c r="L848" s="5" t="str" cm="1">
        <f t="array" ref="L848">choice(Referentiel!C:C,1,Settings!$B$16)</f>
        <v/>
      </c>
      <c r="M848" s="5" t="str" cm="1">
        <f t="array" ref="M848">choice(Referentiel!E:E,1,Settings!$B$16)</f>
        <v/>
      </c>
      <c r="N848" s="5" t="str" cm="1">
        <f t="array" ref="N848">choice(Settings!K:K,1,Settings!$B$16)</f>
        <v>mercredi pm</v>
      </c>
      <c r="P848" s="5">
        <f t="shared" si="56"/>
        <v>5</v>
      </c>
    </row>
    <row r="849" spans="1:16" ht="15.75" customHeight="1" x14ac:dyDescent="0.25">
      <c r="A849" s="6" t="s">
        <v>1201</v>
      </c>
      <c r="B849" s="6" cm="1">
        <f t="array" ref="B849">alea_int(Settings!$B$10,1,Settings!$B$16)</f>
        <v>1</v>
      </c>
      <c r="C849" s="8">
        <v>46023</v>
      </c>
      <c r="D849" s="8">
        <f t="shared" si="53"/>
        <v>46387</v>
      </c>
      <c r="E849" s="6" t="str" cm="1">
        <f t="array" ref="E849">choice(Groupes!A:A,1,Settings!$B$16)</f>
        <v>G21</v>
      </c>
      <c r="F849" s="6" t="str">
        <f t="shared" si="54"/>
        <v>G21</v>
      </c>
      <c r="G849" s="6" t="str">
        <f t="shared" si="55"/>
        <v>Prof11</v>
      </c>
      <c r="H849" s="6" t="str" cm="1">
        <f t="array" ref="H849">choice(Referentiel!A:A,1,Settings!$B$16)</f>
        <v>1ère année Groupe 3</v>
      </c>
      <c r="I849" s="6" t="str" cm="1">
        <f t="array" ref="I849">choice(Referentiel!B:B,1,Settings!$B$16)</f>
        <v>3ème année Image Imprimée S1</v>
      </c>
      <c r="J849" s="6" t="str" cm="1">
        <f t="array" ref="J849">choice(Referentiel!D:D,1,Settings!$B$16)</f>
        <v>L2</v>
      </c>
      <c r="K849" s="6" t="str" cm="1">
        <f t="array" ref="K849">choice(Professeurs!B:B,1,Settings!$B$16)</f>
        <v>Prof11</v>
      </c>
      <c r="L849" s="5" t="str" cm="1">
        <f t="array" ref="L849">choice(Referentiel!C:C,1,Settings!$B$16)</f>
        <v/>
      </c>
      <c r="M849" s="5" t="str" cm="1">
        <f t="array" ref="M849">choice(Referentiel!E:E,1,Settings!$B$16)</f>
        <v/>
      </c>
      <c r="N849" s="5" t="str" cm="1">
        <f t="array" ref="N849">choice(Settings!K:K,1,Settings!$B$16)</f>
        <v/>
      </c>
      <c r="P849" s="5">
        <f t="shared" si="56"/>
        <v>1</v>
      </c>
    </row>
    <row r="850" spans="1:16" ht="15.75" customHeight="1" x14ac:dyDescent="0.25">
      <c r="A850" s="6" t="s">
        <v>1202</v>
      </c>
      <c r="B850" s="6" cm="1">
        <f t="array" ref="B850">alea_int(Settings!$B$10,1,Settings!$B$16)</f>
        <v>1</v>
      </c>
      <c r="C850" s="8">
        <v>46023</v>
      </c>
      <c r="D850" s="8">
        <f t="shared" si="53"/>
        <v>46387</v>
      </c>
      <c r="E850" s="6" t="str" cm="1">
        <f t="array" ref="E850">choice(Groupes!A:A,1,Settings!$B$16)</f>
        <v>G12</v>
      </c>
      <c r="F850" s="6" t="str">
        <f t="shared" si="54"/>
        <v>G12</v>
      </c>
      <c r="G850" s="6" t="str">
        <f t="shared" si="55"/>
        <v>Prof42</v>
      </c>
      <c r="H850" s="6" t="str" cm="1">
        <f t="array" ref="H850">choice(Referentiel!A:A,1,Settings!$B$16)</f>
        <v>Design des mondes insulaires</v>
      </c>
      <c r="I850" s="6" t="str" cm="1">
        <f t="array" ref="I850">choice(Referentiel!B:B,1,Settings!$B$16)</f>
        <v>4ème année Art-Espace S2</v>
      </c>
      <c r="J850" s="6" t="str" cm="1">
        <f t="array" ref="J850">choice(Referentiel!D:D,1,Settings!$B$16)</f>
        <v>L3</v>
      </c>
      <c r="K850" s="6" t="str" cm="1">
        <f t="array" ref="K850">choice(Professeurs!B:B,1,Settings!$B$16)</f>
        <v>Prof42</v>
      </c>
      <c r="L850" s="5" t="str" cm="1">
        <f t="array" ref="L850">choice(Referentiel!C:C,1,Settings!$B$16)</f>
        <v>ordinateur</v>
      </c>
      <c r="M850" s="5" t="str" cm="1">
        <f t="array" ref="M850">choice(Referentiel!E:E,1,Settings!$B$16)</f>
        <v>Salle1</v>
      </c>
      <c r="N850" s="5" t="str" cm="1">
        <f t="array" ref="N850">choice(Settings!K:K,1,Settings!$B$16)</f>
        <v/>
      </c>
      <c r="P850" s="5">
        <f t="shared" si="56"/>
        <v>3</v>
      </c>
    </row>
    <row r="851" spans="1:16" ht="15.75" customHeight="1" x14ac:dyDescent="0.25">
      <c r="A851" s="6" t="s">
        <v>1203</v>
      </c>
      <c r="B851" s="6" cm="1">
        <f t="array" ref="B851">alea_int(Settings!$B$10,1,Settings!$B$16)</f>
        <v>2</v>
      </c>
      <c r="C851" s="8">
        <v>46023</v>
      </c>
      <c r="D851" s="8">
        <f t="shared" si="53"/>
        <v>46387</v>
      </c>
      <c r="E851" s="6" t="str" cm="1">
        <f t="array" ref="E851">choice(Groupes!A:A,1,Settings!$B$16)</f>
        <v>G8</v>
      </c>
      <c r="F851" s="6" t="str">
        <f t="shared" si="54"/>
        <v>G8</v>
      </c>
      <c r="G851" s="6" t="str">
        <f t="shared" si="55"/>
        <v>Prof16</v>
      </c>
      <c r="H851" s="6" t="str" cm="1">
        <f t="array" ref="H851">choice(Referentiel!A:A,1,Settings!$B$16)</f>
        <v>Art-Espace</v>
      </c>
      <c r="I851" s="6" t="str" cm="1">
        <f t="array" ref="I851">choice(Referentiel!B:B,1,Settings!$B$16)</f>
        <v>3ème année Design Textile et Matière S1</v>
      </c>
      <c r="J851" s="6" t="str" cm="1">
        <f t="array" ref="J851">choice(Referentiel!D:D,1,Settings!$B$16)</f>
        <v>L1</v>
      </c>
      <c r="K851" s="6" t="str" cm="1">
        <f t="array" ref="K851">choice(Professeurs!B:B,1,Settings!$B$16)</f>
        <v>Prof16</v>
      </c>
      <c r="L851" s="5" t="str" cm="1">
        <f t="array" ref="L851">choice(Referentiel!C:C,1,Settings!$B$16)</f>
        <v/>
      </c>
      <c r="M851" s="5" t="str" cm="1">
        <f t="array" ref="M851">choice(Referentiel!E:E,1,Settings!$B$16)</f>
        <v/>
      </c>
      <c r="N851" s="5" t="str" cm="1">
        <f t="array" ref="N851">choice(Settings!K:K,1,Settings!$B$16)</f>
        <v/>
      </c>
      <c r="P851" s="5">
        <f t="shared" si="56"/>
        <v>2</v>
      </c>
    </row>
    <row r="852" spans="1:16" ht="15.75" customHeight="1" x14ac:dyDescent="0.25">
      <c r="A852" s="6" t="s">
        <v>1204</v>
      </c>
      <c r="B852" s="6" cm="1">
        <f t="array" ref="B852">alea_int(Settings!$B$10,1,Settings!$B$16)</f>
        <v>3</v>
      </c>
      <c r="C852" s="8">
        <v>46023</v>
      </c>
      <c r="D852" s="8">
        <f t="shared" si="53"/>
        <v>46387</v>
      </c>
      <c r="E852" s="6" t="str" cm="1">
        <f t="array" ref="E852">choice(Groupes!A:A,1,Settings!$B$16)</f>
        <v>G14</v>
      </c>
      <c r="F852" s="6" t="str">
        <f t="shared" si="54"/>
        <v>G14</v>
      </c>
      <c r="G852" s="6" t="str">
        <f t="shared" si="55"/>
        <v>Prof22</v>
      </c>
      <c r="H852" s="6" t="str" cm="1">
        <f t="array" ref="H852">choice(Referentiel!A:A,1,Settings!$B$16)</f>
        <v>Design Graphique</v>
      </c>
      <c r="I852" s="6" t="str" cm="1">
        <f t="array" ref="I852">choice(Referentiel!B:B,1,Settings!$B$16)</f>
        <v>3ème année Design Vêtement S2</v>
      </c>
      <c r="J852" s="6" t="str" cm="1">
        <f t="array" ref="J852">choice(Referentiel!D:D,1,Settings!$B$16)</f>
        <v>M2</v>
      </c>
      <c r="K852" s="6" t="str" cm="1">
        <f t="array" ref="K852">choice(Professeurs!B:B,1,Settings!$B$16)</f>
        <v>Prof22</v>
      </c>
      <c r="L852" s="5" t="str" cm="1">
        <f t="array" ref="L852">choice(Referentiel!C:C,1,Settings!$B$16)</f>
        <v/>
      </c>
      <c r="M852" s="5" t="str" cm="1">
        <f t="array" ref="M852">choice(Referentiel!E:E,1,Settings!$B$16)</f>
        <v>Salle7</v>
      </c>
      <c r="N852" s="5" t="str" cm="1">
        <f t="array" ref="N852">choice(Settings!K:K,1,Settings!$B$16)</f>
        <v>mardi pm</v>
      </c>
      <c r="P852" s="5">
        <f t="shared" si="56"/>
        <v>7</v>
      </c>
    </row>
    <row r="853" spans="1:16" ht="15.75" customHeight="1" x14ac:dyDescent="0.25">
      <c r="A853" s="6" t="s">
        <v>1205</v>
      </c>
      <c r="B853" s="6" cm="1">
        <f t="array" ref="B853">alea_int(Settings!$B$10,1,Settings!$B$16)</f>
        <v>3</v>
      </c>
      <c r="C853" s="8">
        <v>46023</v>
      </c>
      <c r="D853" s="8">
        <f t="shared" si="53"/>
        <v>46387</v>
      </c>
      <c r="E853" s="6" t="str" cm="1">
        <f t="array" ref="E853">choice(Groupes!A:A,1,Settings!$B$16)</f>
        <v>G26</v>
      </c>
      <c r="F853" s="6" t="str">
        <f t="shared" si="54"/>
        <v>G26</v>
      </c>
      <c r="G853" s="6" t="str">
        <f t="shared" si="55"/>
        <v>Prof51</v>
      </c>
      <c r="H853" s="6" t="str" cm="1">
        <f t="array" ref="H853">choice(Referentiel!A:A,1,Settings!$B$16)</f>
        <v>Image Imprimée</v>
      </c>
      <c r="I853" s="6" t="str" cm="1">
        <f t="array" ref="I853">choice(Referentiel!B:B,1,Settings!$B$16)</f>
        <v>3ème année Design Graphique S1</v>
      </c>
      <c r="J853" s="6" t="str" cm="1">
        <f t="array" ref="J853">choice(Referentiel!D:D,1,Settings!$B$16)</f>
        <v>M2</v>
      </c>
      <c r="K853" s="6" t="str" cm="1">
        <f t="array" ref="K853">choice(Professeurs!B:B,1,Settings!$B$16)</f>
        <v>Prof51</v>
      </c>
      <c r="L853" s="5" t="str" cm="1">
        <f t="array" ref="L853">choice(Referentiel!C:C,1,Settings!$B$16)</f>
        <v/>
      </c>
      <c r="M853" s="5" t="str" cm="1">
        <f t="array" ref="M853">choice(Referentiel!E:E,1,Settings!$B$16)</f>
        <v/>
      </c>
      <c r="N853" s="5" t="str" cm="1">
        <f t="array" ref="N853">choice(Settings!K:K,1,Settings!$B$16)</f>
        <v/>
      </c>
      <c r="P853" s="5">
        <f t="shared" si="56"/>
        <v>3</v>
      </c>
    </row>
    <row r="854" spans="1:16" ht="15.75" customHeight="1" x14ac:dyDescent="0.25">
      <c r="A854" s="6" t="s">
        <v>1206</v>
      </c>
      <c r="B854" s="6" cm="1">
        <f t="array" ref="B854">alea_int(Settings!$B$10,1,Settings!$B$16)</f>
        <v>2</v>
      </c>
      <c r="C854" s="8">
        <v>46023</v>
      </c>
      <c r="D854" s="8">
        <f t="shared" si="53"/>
        <v>46387</v>
      </c>
      <c r="E854" s="6" t="str" cm="1">
        <f t="array" ref="E854">choice(Groupes!A:A,1,Settings!$B$16)</f>
        <v>G22</v>
      </c>
      <c r="F854" s="6" t="str">
        <f t="shared" si="54"/>
        <v>G22</v>
      </c>
      <c r="G854" s="6" t="str">
        <f t="shared" si="55"/>
        <v>Prof41</v>
      </c>
      <c r="H854" s="6" t="str" cm="1">
        <f t="array" ref="H854">choice(Referentiel!A:A,1,Settings!$B$16)</f>
        <v>Design des mondes littoraux</v>
      </c>
      <c r="I854" s="6" t="str" cm="1">
        <f t="array" ref="I854">choice(Referentiel!B:B,1,Settings!$B$16)</f>
        <v>1ère Année Groupe 3 S2</v>
      </c>
      <c r="J854" s="6" t="str" cm="1">
        <f t="array" ref="J854">choice(Referentiel!D:D,1,Settings!$B$16)</f>
        <v>M2</v>
      </c>
      <c r="K854" s="6" t="str" cm="1">
        <f t="array" ref="K854">choice(Professeurs!B:B,1,Settings!$B$16)</f>
        <v>Prof41</v>
      </c>
      <c r="L854" s="5" t="str" cm="1">
        <f t="array" ref="L854">choice(Referentiel!C:C,1,Settings!$B$16)</f>
        <v/>
      </c>
      <c r="M854" s="5" t="str" cm="1">
        <f t="array" ref="M854">choice(Referentiel!E:E,1,Settings!$B$16)</f>
        <v/>
      </c>
      <c r="N854" s="5" t="str" cm="1">
        <f t="array" ref="N854">choice(Settings!K:K,1,Settings!$B$16)</f>
        <v>jeudi pm</v>
      </c>
      <c r="P854" s="5">
        <f t="shared" si="56"/>
        <v>4</v>
      </c>
    </row>
    <row r="855" spans="1:16" ht="15.75" customHeight="1" x14ac:dyDescent="0.25">
      <c r="A855" s="6" t="s">
        <v>1207</v>
      </c>
      <c r="B855" s="6" cm="1">
        <f t="array" ref="B855">alea_int(Settings!$B$10,1,Settings!$B$16)</f>
        <v>3</v>
      </c>
      <c r="C855" s="8">
        <v>46023</v>
      </c>
      <c r="D855" s="8">
        <f t="shared" si="53"/>
        <v>46387</v>
      </c>
      <c r="E855" s="6" t="str" cm="1">
        <f t="array" ref="E855">choice(Groupes!A:A,1,Settings!$B$16)</f>
        <v>G30</v>
      </c>
      <c r="F855" s="6" t="str">
        <f t="shared" si="54"/>
        <v>G30</v>
      </c>
      <c r="G855" s="6" t="str">
        <f t="shared" si="55"/>
        <v>Prof21</v>
      </c>
      <c r="H855" s="6" t="str" cm="1">
        <f t="array" ref="H855">choice(Referentiel!A:A,1,Settings!$B$16)</f>
        <v>1ère année Groupe 3</v>
      </c>
      <c r="I855" s="6" t="str" cm="1">
        <f t="array" ref="I855">choice(Referentiel!B:B,1,Settings!$B$16)</f>
        <v>3ème année Scénographie S1</v>
      </c>
      <c r="J855" s="6" t="str" cm="1">
        <f t="array" ref="J855">choice(Referentiel!D:D,1,Settings!$B$16)</f>
        <v>L3</v>
      </c>
      <c r="K855" s="6" t="str" cm="1">
        <f t="array" ref="K855">choice(Professeurs!B:B,1,Settings!$B$16)</f>
        <v>Prof21</v>
      </c>
      <c r="L855" s="5" t="str" cm="1">
        <f t="array" ref="L855">choice(Referentiel!C:C,1,Settings!$B$16)</f>
        <v>ordinateur</v>
      </c>
      <c r="M855" s="5" t="str" cm="1">
        <f t="array" ref="M855">choice(Referentiel!E:E,1,Settings!$B$16)</f>
        <v/>
      </c>
      <c r="N855" s="5" t="str" cm="1">
        <f t="array" ref="N855">choice(Settings!K:K,1,Settings!$B$16)</f>
        <v>vendredi pm</v>
      </c>
      <c r="P855" s="5">
        <f t="shared" si="56"/>
        <v>5</v>
      </c>
    </row>
    <row r="856" spans="1:16" ht="15.75" customHeight="1" x14ac:dyDescent="0.25">
      <c r="A856" s="6" t="s">
        <v>1208</v>
      </c>
      <c r="B856" s="6" cm="1">
        <f t="array" ref="B856">alea_int(Settings!$B$10,1,Settings!$B$16)</f>
        <v>1</v>
      </c>
      <c r="C856" s="8">
        <v>46023</v>
      </c>
      <c r="D856" s="8">
        <f t="shared" si="53"/>
        <v>46387</v>
      </c>
      <c r="E856" s="6" t="str" cm="1">
        <f t="array" ref="E856">choice(Groupes!A:A,1,Settings!$B$16)</f>
        <v>G9</v>
      </c>
      <c r="F856" s="6" t="str">
        <f t="shared" si="54"/>
        <v>G9</v>
      </c>
      <c r="G856" s="6" t="str">
        <f t="shared" si="55"/>
        <v>Prof20</v>
      </c>
      <c r="H856" s="6" t="str" cm="1">
        <f t="array" ref="H856">choice(Referentiel!A:A,1,Settings!$B$16)</f>
        <v>Design des mondes urbains</v>
      </c>
      <c r="I856" s="6" t="str" cm="1">
        <f t="array" ref="I856">choice(Referentiel!B:B,1,Settings!$B$16)</f>
        <v>2ème année Art-Espace S2</v>
      </c>
      <c r="J856" s="6" t="str" cm="1">
        <f t="array" ref="J856">choice(Referentiel!D:D,1,Settings!$B$16)</f>
        <v>L2</v>
      </c>
      <c r="K856" s="6" t="str" cm="1">
        <f t="array" ref="K856">choice(Professeurs!B:B,1,Settings!$B$16)</f>
        <v>Prof20</v>
      </c>
      <c r="L856" s="5" t="str" cm="1">
        <f t="array" ref="L856">choice(Referentiel!C:C,1,Settings!$B$16)</f>
        <v/>
      </c>
      <c r="M856" s="5" t="str" cm="1">
        <f t="array" ref="M856">choice(Referentiel!E:E,1,Settings!$B$16)</f>
        <v/>
      </c>
      <c r="N856" s="5" t="str" cm="1">
        <f t="array" ref="N856">choice(Settings!K:K,1,Settings!$B$16)</f>
        <v/>
      </c>
      <c r="P856" s="5">
        <f t="shared" si="56"/>
        <v>1</v>
      </c>
    </row>
    <row r="857" spans="1:16" ht="15.75" customHeight="1" x14ac:dyDescent="0.25">
      <c r="A857" s="6" t="s">
        <v>1209</v>
      </c>
      <c r="B857" s="6" cm="1">
        <f t="array" ref="B857">alea_int(Settings!$B$10,1,Settings!$B$16)</f>
        <v>2</v>
      </c>
      <c r="C857" s="8">
        <v>46023</v>
      </c>
      <c r="D857" s="8">
        <f t="shared" si="53"/>
        <v>46387</v>
      </c>
      <c r="E857" s="6" t="str" cm="1">
        <f t="array" ref="E857">choice(Groupes!A:A,1,Settings!$B$16)</f>
        <v>G17</v>
      </c>
      <c r="F857" s="6" t="str">
        <f t="shared" si="54"/>
        <v>G17</v>
      </c>
      <c r="G857" s="6" t="str">
        <f t="shared" si="55"/>
        <v>Prof26</v>
      </c>
      <c r="H857" s="6" t="str" cm="1">
        <f t="array" ref="H857">choice(Referentiel!A:A,1,Settings!$B$16)</f>
        <v>Architecture Intérieure</v>
      </c>
      <c r="I857" s="6" t="str" cm="1">
        <f t="array" ref="I857">choice(Referentiel!B:B,1,Settings!$B$16)</f>
        <v>2ème année Design Vêtement S1</v>
      </c>
      <c r="J857" s="6" t="str" cm="1">
        <f t="array" ref="J857">choice(Referentiel!D:D,1,Settings!$B$16)</f>
        <v>M1</v>
      </c>
      <c r="K857" s="6" t="str" cm="1">
        <f t="array" ref="K857">choice(Professeurs!B:B,1,Settings!$B$16)</f>
        <v>Prof26</v>
      </c>
      <c r="L857" s="5" t="str" cm="1">
        <f t="array" ref="L857">choice(Referentiel!C:C,1,Settings!$B$16)</f>
        <v/>
      </c>
      <c r="M857" s="5" t="str" cm="1">
        <f t="array" ref="M857">choice(Referentiel!E:E,1,Settings!$B$16)</f>
        <v/>
      </c>
      <c r="N857" s="5" t="str" cm="1">
        <f t="array" ref="N857">choice(Settings!K:K,1,Settings!$B$16)</f>
        <v>mardi am</v>
      </c>
      <c r="P857" s="5">
        <f t="shared" si="56"/>
        <v>4</v>
      </c>
    </row>
    <row r="858" spans="1:16" ht="15.75" customHeight="1" x14ac:dyDescent="0.25">
      <c r="A858" s="6" t="s">
        <v>1210</v>
      </c>
      <c r="B858" s="6" cm="1">
        <f t="array" ref="B858">alea_int(Settings!$B$10,1,Settings!$B$16)</f>
        <v>1</v>
      </c>
      <c r="C858" s="8">
        <v>46023</v>
      </c>
      <c r="D858" s="8">
        <f t="shared" si="53"/>
        <v>46387</v>
      </c>
      <c r="E858" s="6" t="str" cm="1">
        <f t="array" ref="E858">choice(Groupes!A:A,1,Settings!$B$16)</f>
        <v>G10</v>
      </c>
      <c r="F858" s="6" t="str">
        <f t="shared" si="54"/>
        <v>G10</v>
      </c>
      <c r="G858" s="6" t="str">
        <f t="shared" si="55"/>
        <v>Prof48</v>
      </c>
      <c r="H858" s="6" t="str" cm="1">
        <f t="array" ref="H858">choice(Referentiel!A:A,1,Settings!$B$16)</f>
        <v>Mode et Matière</v>
      </c>
      <c r="I858" s="6" t="str" cm="1">
        <f t="array" ref="I858">choice(Referentiel!B:B,1,Settings!$B$16)</f>
        <v>3ème année Cinéma d'Animation S1</v>
      </c>
      <c r="J858" s="6" t="str" cm="1">
        <f t="array" ref="J858">choice(Referentiel!D:D,1,Settings!$B$16)</f>
        <v>M1</v>
      </c>
      <c r="K858" s="6" t="str" cm="1">
        <f t="array" ref="K858">choice(Professeurs!B:B,1,Settings!$B$16)</f>
        <v>Prof48</v>
      </c>
      <c r="L858" s="5" t="str" cm="1">
        <f t="array" ref="L858">choice(Referentiel!C:C,1,Settings!$B$16)</f>
        <v/>
      </c>
      <c r="M858" s="5" t="str" cm="1">
        <f t="array" ref="M858">choice(Referentiel!E:E,1,Settings!$B$16)</f>
        <v/>
      </c>
      <c r="N858" s="5" t="str" cm="1">
        <f t="array" ref="N858">choice(Settings!K:K,1,Settings!$B$16)</f>
        <v>vendredi am</v>
      </c>
      <c r="P858" s="5">
        <f t="shared" si="56"/>
        <v>3</v>
      </c>
    </row>
    <row r="859" spans="1:16" ht="15.75" customHeight="1" x14ac:dyDescent="0.25">
      <c r="A859" s="6" t="s">
        <v>1211</v>
      </c>
      <c r="B859" s="6" cm="1">
        <f t="array" ref="B859">alea_int(Settings!$B$10,1,Settings!$B$16)</f>
        <v>1</v>
      </c>
      <c r="C859" s="8">
        <v>46023</v>
      </c>
      <c r="D859" s="8">
        <f t="shared" si="53"/>
        <v>46387</v>
      </c>
      <c r="E859" s="6" t="str" cm="1">
        <f t="array" ref="E859">choice(Groupes!A:A,1,Settings!$B$16)</f>
        <v>G12</v>
      </c>
      <c r="F859" s="6" t="str">
        <f t="shared" si="54"/>
        <v>G12</v>
      </c>
      <c r="G859" s="6" t="str">
        <f t="shared" si="55"/>
        <v>Prof13</v>
      </c>
      <c r="H859" s="6" t="str" cm="1">
        <f t="array" ref="H859">choice(Referentiel!A:A,1,Settings!$B$16)</f>
        <v>Design Textile et Matière</v>
      </c>
      <c r="I859" s="6" t="str" cm="1">
        <f t="array" ref="I859">choice(Referentiel!B:B,1,Settings!$B$16)</f>
        <v>2ème année Architecture Intérieure S1</v>
      </c>
      <c r="J859" s="6" t="str" cm="1">
        <f t="array" ref="J859">choice(Referentiel!D:D,1,Settings!$B$16)</f>
        <v>L3</v>
      </c>
      <c r="K859" s="6" t="str" cm="1">
        <f t="array" ref="K859">choice(Professeurs!B:B,1,Settings!$B$16)</f>
        <v>Prof13</v>
      </c>
      <c r="L859" s="5" t="str" cm="1">
        <f t="array" ref="L859">choice(Referentiel!C:C,1,Settings!$B$16)</f>
        <v/>
      </c>
      <c r="M859" s="5" t="str" cm="1">
        <f t="array" ref="M859">choice(Referentiel!E:E,1,Settings!$B$16)</f>
        <v/>
      </c>
      <c r="N859" s="5" t="str" cm="1">
        <f t="array" ref="N859">choice(Settings!K:K,1,Settings!$B$16)</f>
        <v>mardi pm</v>
      </c>
      <c r="P859" s="5">
        <f t="shared" si="56"/>
        <v>3</v>
      </c>
    </row>
    <row r="860" spans="1:16" ht="15.75" customHeight="1" x14ac:dyDescent="0.25">
      <c r="A860" s="6" t="s">
        <v>1212</v>
      </c>
      <c r="B860" s="6" cm="1">
        <f t="array" ref="B860">alea_int(Settings!$B$10,1,Settings!$B$16)</f>
        <v>2</v>
      </c>
      <c r="C860" s="8">
        <v>46023</v>
      </c>
      <c r="D860" s="8">
        <f t="shared" si="53"/>
        <v>46387</v>
      </c>
      <c r="E860" s="6" t="str" cm="1">
        <f t="array" ref="E860">choice(Groupes!A:A,1,Settings!$B$16)</f>
        <v>G26</v>
      </c>
      <c r="F860" s="6" t="str">
        <f t="shared" si="54"/>
        <v>G26</v>
      </c>
      <c r="G860" s="6" t="str">
        <f t="shared" si="55"/>
        <v>Prof55</v>
      </c>
      <c r="H860" s="6" t="str" cm="1">
        <f t="array" ref="H860">choice(Referentiel!A:A,1,Settings!$B$16)</f>
        <v>Scénographie</v>
      </c>
      <c r="I860" s="6" t="str" cm="1">
        <f t="array" ref="I860">choice(Referentiel!B:B,1,Settings!$B$16)</f>
        <v>5ème année Architecture Intérieure S2</v>
      </c>
      <c r="J860" s="6" t="str" cm="1">
        <f t="array" ref="J860">choice(Referentiel!D:D,1,Settings!$B$16)</f>
        <v>L2</v>
      </c>
      <c r="K860" s="6" t="str" cm="1">
        <f t="array" ref="K860">choice(Professeurs!B:B,1,Settings!$B$16)</f>
        <v>Prof55</v>
      </c>
      <c r="L860" s="5" t="str" cm="1">
        <f t="array" ref="L860">choice(Referentiel!C:C,1,Settings!$B$16)</f>
        <v/>
      </c>
      <c r="M860" s="5" t="str" cm="1">
        <f t="array" ref="M860">choice(Referentiel!E:E,1,Settings!$B$16)</f>
        <v/>
      </c>
      <c r="N860" s="5" t="str" cm="1">
        <f t="array" ref="N860">choice(Settings!K:K,1,Settings!$B$16)</f>
        <v/>
      </c>
      <c r="P860" s="5">
        <f t="shared" si="56"/>
        <v>2</v>
      </c>
    </row>
    <row r="861" spans="1:16" ht="15.75" customHeight="1" x14ac:dyDescent="0.25">
      <c r="A861" s="6" t="s">
        <v>1213</v>
      </c>
      <c r="B861" s="6" cm="1">
        <f t="array" ref="B861">alea_int(Settings!$B$10,1,Settings!$B$16)</f>
        <v>3</v>
      </c>
      <c r="C861" s="8">
        <v>46023</v>
      </c>
      <c r="D861" s="8">
        <f t="shared" si="53"/>
        <v>46387</v>
      </c>
      <c r="E861" s="6" t="str" cm="1">
        <f t="array" ref="E861">choice(Groupes!A:A,1,Settings!$B$16)</f>
        <v>G14</v>
      </c>
      <c r="F861" s="6" t="str">
        <f t="shared" si="54"/>
        <v>G14</v>
      </c>
      <c r="G861" s="6" t="str">
        <f t="shared" si="55"/>
        <v>Prof33</v>
      </c>
      <c r="H861" s="6" t="str" cm="1">
        <f t="array" ref="H861">choice(Referentiel!A:A,1,Settings!$B$16)</f>
        <v>6ème ANNÉE STAGE</v>
      </c>
      <c r="I861" s="6" t="str" cm="1">
        <f t="array" ref="I861">choice(Referentiel!B:B,1,Settings!$B$16)</f>
        <v>5ème année Art-Espace S1</v>
      </c>
      <c r="J861" s="6" t="str" cm="1">
        <f t="array" ref="J861">choice(Referentiel!D:D,1,Settings!$B$16)</f>
        <v>L3</v>
      </c>
      <c r="K861" s="6" t="str" cm="1">
        <f t="array" ref="K861">choice(Professeurs!B:B,1,Settings!$B$16)</f>
        <v>Prof33</v>
      </c>
      <c r="L861" s="5" t="str" cm="1">
        <f t="array" ref="L861">choice(Referentiel!C:C,1,Settings!$B$16)</f>
        <v/>
      </c>
      <c r="M861" s="5" t="str" cm="1">
        <f t="array" ref="M861">choice(Referentiel!E:E,1,Settings!$B$16)</f>
        <v/>
      </c>
      <c r="N861" s="5" t="str" cm="1">
        <f t="array" ref="N861">choice(Settings!K:K,1,Settings!$B$16)</f>
        <v/>
      </c>
      <c r="P861" s="5">
        <f t="shared" si="56"/>
        <v>3</v>
      </c>
    </row>
    <row r="862" spans="1:16" ht="15.75" customHeight="1" x14ac:dyDescent="0.25">
      <c r="A862" s="6" t="s">
        <v>1214</v>
      </c>
      <c r="B862" s="6" cm="1">
        <f t="array" ref="B862">alea_int(Settings!$B$10,1,Settings!$B$16)</f>
        <v>1</v>
      </c>
      <c r="C862" s="8">
        <v>46023</v>
      </c>
      <c r="D862" s="8">
        <f t="shared" si="53"/>
        <v>46387</v>
      </c>
      <c r="E862" s="6" t="str" cm="1">
        <f t="array" ref="E862">choice(Groupes!A:A,1,Settings!$B$16)</f>
        <v>G20</v>
      </c>
      <c r="F862" s="6" t="str">
        <f t="shared" si="54"/>
        <v>G20</v>
      </c>
      <c r="G862" s="6" t="str">
        <f t="shared" si="55"/>
        <v>Prof45</v>
      </c>
      <c r="H862" s="6" t="str" cm="1">
        <f t="array" ref="H862">choice(Referentiel!A:A,1,Settings!$B$16)</f>
        <v>Gr REFLECTIVE INTERACTION</v>
      </c>
      <c r="I862" s="6" t="str" cm="1">
        <f t="array" ref="I862">choice(Referentiel!B:B,1,Settings!$B$16)</f>
        <v>2ème année Photo / Vidéo S2</v>
      </c>
      <c r="J862" s="6" t="str" cm="1">
        <f t="array" ref="J862">choice(Referentiel!D:D,1,Settings!$B$16)</f>
        <v>M1</v>
      </c>
      <c r="K862" s="6" t="str" cm="1">
        <f t="array" ref="K862">choice(Professeurs!B:B,1,Settings!$B$16)</f>
        <v>Prof45</v>
      </c>
      <c r="L862" s="5" t="str" cm="1">
        <f t="array" ref="L862">choice(Referentiel!C:C,1,Settings!$B$16)</f>
        <v/>
      </c>
      <c r="M862" s="5" t="str" cm="1">
        <f t="array" ref="M862">choice(Referentiel!E:E,1,Settings!$B$16)</f>
        <v/>
      </c>
      <c r="N862" s="5" t="str" cm="1">
        <f t="array" ref="N862">choice(Settings!K:K,1,Settings!$B$16)</f>
        <v/>
      </c>
      <c r="P862" s="5">
        <f t="shared" si="56"/>
        <v>1</v>
      </c>
    </row>
    <row r="863" spans="1:16" ht="15.75" customHeight="1" x14ac:dyDescent="0.25">
      <c r="A863" s="6" t="s">
        <v>1215</v>
      </c>
      <c r="B863" s="6" cm="1">
        <f t="array" ref="B863">alea_int(Settings!$B$10,1,Settings!$B$16)</f>
        <v>2</v>
      </c>
      <c r="C863" s="8">
        <v>46023</v>
      </c>
      <c r="D863" s="8">
        <f t="shared" si="53"/>
        <v>46387</v>
      </c>
      <c r="E863" s="6" t="str" cm="1">
        <f t="array" ref="E863">choice(Groupes!A:A,1,Settings!$B$16)</f>
        <v>G20</v>
      </c>
      <c r="F863" s="6" t="str">
        <f t="shared" si="54"/>
        <v>G20</v>
      </c>
      <c r="G863" s="6" t="str">
        <f t="shared" si="55"/>
        <v>Prof3</v>
      </c>
      <c r="H863" s="6" t="str" cm="1">
        <f t="array" ref="H863">choice(Referentiel!A:A,1,Settings!$B$16)</f>
        <v>Cinéma d'Animation</v>
      </c>
      <c r="I863" s="6" t="str" cm="1">
        <f t="array" ref="I863">choice(Referentiel!B:B,1,Settings!$B$16)</f>
        <v>3ème année Design Objet S1</v>
      </c>
      <c r="J863" s="6" t="str" cm="1">
        <f t="array" ref="J863">choice(Referentiel!D:D,1,Settings!$B$16)</f>
        <v>L2</v>
      </c>
      <c r="K863" s="6" t="str" cm="1">
        <f t="array" ref="K863">choice(Professeurs!B:B,1,Settings!$B$16)</f>
        <v>Prof3</v>
      </c>
      <c r="L863" s="5" t="str" cm="1">
        <f t="array" ref="L863">choice(Referentiel!C:C,1,Settings!$B$16)</f>
        <v/>
      </c>
      <c r="M863" s="5" t="str" cm="1">
        <f t="array" ref="M863">choice(Referentiel!E:E,1,Settings!$B$16)</f>
        <v/>
      </c>
      <c r="N863" s="5" t="str" cm="1">
        <f t="array" ref="N863">choice(Settings!K:K,1,Settings!$B$16)</f>
        <v/>
      </c>
      <c r="P863" s="5">
        <f t="shared" si="56"/>
        <v>2</v>
      </c>
    </row>
    <row r="864" spans="1:16" ht="15.75" customHeight="1" x14ac:dyDescent="0.25">
      <c r="A864" s="6" t="s">
        <v>1216</v>
      </c>
      <c r="B864" s="6" cm="1">
        <f t="array" ref="B864">alea_int(Settings!$B$10,1,Settings!$B$16)</f>
        <v>1</v>
      </c>
      <c r="C864" s="8">
        <v>46023</v>
      </c>
      <c r="D864" s="8">
        <f t="shared" si="53"/>
        <v>46387</v>
      </c>
      <c r="E864" s="6" t="str" cm="1">
        <f t="array" ref="E864">choice(Groupes!A:A,1,Settings!$B$16)</f>
        <v>G27</v>
      </c>
      <c r="F864" s="6" t="str">
        <f t="shared" si="54"/>
        <v>G27</v>
      </c>
      <c r="G864" s="6" t="str">
        <f t="shared" si="55"/>
        <v>Prof51</v>
      </c>
      <c r="H864" s="6" t="str" cm="1">
        <f t="array" ref="H864">choice(Referentiel!A:A,1,Settings!$B$16)</f>
        <v>Design des mondes forestiers</v>
      </c>
      <c r="I864" s="6" t="str" cm="1">
        <f t="array" ref="I864">choice(Referentiel!B:B,1,Settings!$B$16)</f>
        <v>Césure S1</v>
      </c>
      <c r="J864" s="6" t="str" cm="1">
        <f t="array" ref="J864">choice(Referentiel!D:D,1,Settings!$B$16)</f>
        <v>M1</v>
      </c>
      <c r="K864" s="6" t="str" cm="1">
        <f t="array" ref="K864">choice(Professeurs!B:B,1,Settings!$B$16)</f>
        <v>Prof51</v>
      </c>
      <c r="L864" s="5" t="str" cm="1">
        <f t="array" ref="L864">choice(Referentiel!C:C,1,Settings!$B$16)</f>
        <v/>
      </c>
      <c r="M864" s="5" t="str" cm="1">
        <f t="array" ref="M864">choice(Referentiel!E:E,1,Settings!$B$16)</f>
        <v/>
      </c>
      <c r="N864" s="5" t="str" cm="1">
        <f t="array" ref="N864">choice(Settings!K:K,1,Settings!$B$16)</f>
        <v/>
      </c>
      <c r="P864" s="5">
        <f t="shared" si="56"/>
        <v>1</v>
      </c>
    </row>
    <row r="865" spans="1:16" ht="15.75" customHeight="1" x14ac:dyDescent="0.25">
      <c r="A865" s="6" t="s">
        <v>1217</v>
      </c>
      <c r="B865" s="6" cm="1">
        <f t="array" ref="B865">alea_int(Settings!$B$10,1,Settings!$B$16)</f>
        <v>3</v>
      </c>
      <c r="C865" s="8">
        <v>46023</v>
      </c>
      <c r="D865" s="8">
        <f t="shared" si="53"/>
        <v>46387</v>
      </c>
      <c r="E865" s="6" t="str" cm="1">
        <f t="array" ref="E865">choice(Groupes!A:A,1,Settings!$B$16)</f>
        <v>G10</v>
      </c>
      <c r="F865" s="6" t="str">
        <f t="shared" si="54"/>
        <v>G10</v>
      </c>
      <c r="G865" s="6" t="str">
        <f t="shared" si="55"/>
        <v>Prof39</v>
      </c>
      <c r="H865" s="6" t="str" cm="1">
        <f t="array" ref="H865">choice(Referentiel!A:A,1,Settings!$B$16)</f>
        <v>Design des mondes forestiers</v>
      </c>
      <c r="I865" s="6" t="str" cm="1">
        <f t="array" ref="I865">choice(Referentiel!B:B,1,Settings!$B$16)</f>
        <v>5ème année Image Imprimée S1</v>
      </c>
      <c r="J865" s="6" t="str" cm="1">
        <f t="array" ref="J865">choice(Referentiel!D:D,1,Settings!$B$16)</f>
        <v>M1</v>
      </c>
      <c r="K865" s="6" t="str" cm="1">
        <f t="array" ref="K865">choice(Professeurs!B:B,1,Settings!$B$16)</f>
        <v>Prof39</v>
      </c>
      <c r="L865" s="5" t="str" cm="1">
        <f t="array" ref="L865">choice(Referentiel!C:C,1,Settings!$B$16)</f>
        <v/>
      </c>
      <c r="M865" s="5" t="str" cm="1">
        <f t="array" ref="M865">choice(Referentiel!E:E,1,Settings!$B$16)</f>
        <v/>
      </c>
      <c r="N865" s="5" t="str" cm="1">
        <f t="array" ref="N865">choice(Settings!K:K,1,Settings!$B$16)</f>
        <v/>
      </c>
      <c r="P865" s="5">
        <f t="shared" si="56"/>
        <v>3</v>
      </c>
    </row>
    <row r="866" spans="1:16" ht="15.75" customHeight="1" x14ac:dyDescent="0.25">
      <c r="A866" s="6" t="s">
        <v>1218</v>
      </c>
      <c r="B866" s="6" cm="1">
        <f t="array" ref="B866">alea_int(Settings!$B$10,1,Settings!$B$16)</f>
        <v>3</v>
      </c>
      <c r="C866" s="8">
        <v>46023</v>
      </c>
      <c r="D866" s="8">
        <f t="shared" si="53"/>
        <v>46387</v>
      </c>
      <c r="E866" s="6" t="str" cm="1">
        <f t="array" ref="E866">choice(Groupes!A:A,1,Settings!$B$16)</f>
        <v>G6</v>
      </c>
      <c r="F866" s="6" t="str">
        <f t="shared" si="54"/>
        <v>G6</v>
      </c>
      <c r="G866" s="6" t="str">
        <f t="shared" si="55"/>
        <v>Prof29</v>
      </c>
      <c r="H866" s="6" t="str" cm="1">
        <f t="array" ref="H866">choice(Referentiel!A:A,1,Settings!$B$16)</f>
        <v>Gr SPATIAL MEDIA</v>
      </c>
      <c r="I866" s="6" t="str" cm="1">
        <f t="array" ref="I866">choice(Referentiel!B:B,1,Settings!$B$16)</f>
        <v>2ème année Design Textile et Matière S1</v>
      </c>
      <c r="J866" s="6" t="str" cm="1">
        <f t="array" ref="J866">choice(Referentiel!D:D,1,Settings!$B$16)</f>
        <v>L1</v>
      </c>
      <c r="K866" s="6" t="str" cm="1">
        <f t="array" ref="K866">choice(Professeurs!B:B,1,Settings!$B$16)</f>
        <v>Prof29</v>
      </c>
      <c r="L866" s="5" t="str" cm="1">
        <f t="array" ref="L866">choice(Referentiel!C:C,1,Settings!$B$16)</f>
        <v/>
      </c>
      <c r="M866" s="5" t="str" cm="1">
        <f t="array" ref="M866">choice(Referentiel!E:E,1,Settings!$B$16)</f>
        <v/>
      </c>
      <c r="N866" s="5" t="str" cm="1">
        <f t="array" ref="N866">choice(Settings!K:K,1,Settings!$B$16)</f>
        <v/>
      </c>
      <c r="P866" s="5">
        <f t="shared" si="56"/>
        <v>3</v>
      </c>
    </row>
    <row r="867" spans="1:16" ht="15.75" customHeight="1" x14ac:dyDescent="0.25">
      <c r="A867" s="6" t="s">
        <v>1219</v>
      </c>
      <c r="B867" s="6" cm="1">
        <f t="array" ref="B867">alea_int(Settings!$B$10,1,Settings!$B$16)</f>
        <v>1</v>
      </c>
      <c r="C867" s="8">
        <v>46023</v>
      </c>
      <c r="D867" s="8">
        <f t="shared" si="53"/>
        <v>46387</v>
      </c>
      <c r="E867" s="6" t="str" cm="1">
        <f t="array" ref="E867">choice(Groupes!A:A,1,Settings!$B$16)</f>
        <v>G24</v>
      </c>
      <c r="F867" s="6" t="str">
        <f t="shared" si="54"/>
        <v>G24</v>
      </c>
      <c r="G867" s="6" t="str">
        <f t="shared" si="55"/>
        <v>Prof23</v>
      </c>
      <c r="H867" s="6" t="str" cm="1">
        <f t="array" ref="H867">choice(Referentiel!A:A,1,Settings!$B$16)</f>
        <v>Design des mondes littoraux</v>
      </c>
      <c r="I867" s="6" t="str" cm="1">
        <f t="array" ref="I867">choice(Referentiel!B:B,1,Settings!$B$16)</f>
        <v>5ème année Image Imprimée S1</v>
      </c>
      <c r="J867" s="6" t="str" cm="1">
        <f t="array" ref="J867">choice(Referentiel!D:D,1,Settings!$B$16)</f>
        <v>L3</v>
      </c>
      <c r="K867" s="6" t="str" cm="1">
        <f t="array" ref="K867">choice(Professeurs!B:B,1,Settings!$B$16)</f>
        <v>Prof23</v>
      </c>
      <c r="L867" s="5" t="str" cm="1">
        <f t="array" ref="L867">choice(Referentiel!C:C,1,Settings!$B$16)</f>
        <v/>
      </c>
      <c r="M867" s="5" t="str" cm="1">
        <f t="array" ref="M867">choice(Referentiel!E:E,1,Settings!$B$16)</f>
        <v/>
      </c>
      <c r="N867" s="5" t="str" cm="1">
        <f t="array" ref="N867">choice(Settings!K:K,1,Settings!$B$16)</f>
        <v>vendredi am</v>
      </c>
      <c r="P867" s="5">
        <f t="shared" si="56"/>
        <v>3</v>
      </c>
    </row>
    <row r="868" spans="1:16" ht="15.75" customHeight="1" x14ac:dyDescent="0.25">
      <c r="A868" s="6" t="s">
        <v>1220</v>
      </c>
      <c r="B868" s="6" cm="1">
        <f t="array" ref="B868">alea_int(Settings!$B$10,1,Settings!$B$16)</f>
        <v>1</v>
      </c>
      <c r="C868" s="8">
        <v>46023</v>
      </c>
      <c r="D868" s="8">
        <f t="shared" si="53"/>
        <v>46387</v>
      </c>
      <c r="E868" s="6" t="str" cm="1">
        <f t="array" ref="E868">choice(Groupes!A:A,1,Settings!$B$16)</f>
        <v>G12</v>
      </c>
      <c r="F868" s="6" t="str">
        <f t="shared" si="54"/>
        <v>G12</v>
      </c>
      <c r="G868" s="6" t="str">
        <f t="shared" si="55"/>
        <v>Prof8</v>
      </c>
      <c r="H868" s="6" t="str" cm="1">
        <f t="array" ref="H868">choice(Referentiel!A:A,1,Settings!$B$16)</f>
        <v>Design Vêtement</v>
      </c>
      <c r="I868" s="6" t="str" cm="1">
        <f t="array" ref="I868">choice(Referentiel!B:B,1,Settings!$B$16)</f>
        <v>4ème année Design Textile et Matière S2</v>
      </c>
      <c r="J868" s="6" t="str" cm="1">
        <f t="array" ref="J868">choice(Referentiel!D:D,1,Settings!$B$16)</f>
        <v>M1</v>
      </c>
      <c r="K868" s="6" t="str" cm="1">
        <f t="array" ref="K868">choice(Professeurs!B:B,1,Settings!$B$16)</f>
        <v>Prof8</v>
      </c>
      <c r="L868" s="5" t="str" cm="1">
        <f t="array" ref="L868">choice(Referentiel!C:C,1,Settings!$B$16)</f>
        <v/>
      </c>
      <c r="M868" s="5" t="str" cm="1">
        <f t="array" ref="M868">choice(Referentiel!E:E,1,Settings!$B$16)</f>
        <v/>
      </c>
      <c r="N868" s="5" t="str" cm="1">
        <f t="array" ref="N868">choice(Settings!K:K,1,Settings!$B$16)</f>
        <v>vendredi pm</v>
      </c>
      <c r="P868" s="5">
        <f t="shared" si="56"/>
        <v>3</v>
      </c>
    </row>
    <row r="869" spans="1:16" ht="15.75" customHeight="1" x14ac:dyDescent="0.25">
      <c r="A869" s="6" t="s">
        <v>1221</v>
      </c>
      <c r="B869" s="6" cm="1">
        <f t="array" ref="B869">alea_int(Settings!$B$10,1,Settings!$B$16)</f>
        <v>2</v>
      </c>
      <c r="C869" s="8">
        <v>46023</v>
      </c>
      <c r="D869" s="8">
        <f t="shared" si="53"/>
        <v>46387</v>
      </c>
      <c r="E869" s="6" t="str" cm="1">
        <f t="array" ref="E869">choice(Groupes!A:A,1,Settings!$B$16)</f>
        <v>G26</v>
      </c>
      <c r="F869" s="6" t="str">
        <f t="shared" si="54"/>
        <v>G26</v>
      </c>
      <c r="G869" s="6" t="str">
        <f t="shared" si="55"/>
        <v>Prof34</v>
      </c>
      <c r="H869" s="6" t="str" cm="1">
        <f t="array" ref="H869">choice(Referentiel!A:A,1,Settings!$B$16)</f>
        <v>Photo / Vidéo</v>
      </c>
      <c r="I869" s="6" t="str" cm="1">
        <f t="array" ref="I869">choice(Referentiel!B:B,1,Settings!$B$16)</f>
        <v>2ème année Architecture Intérieure S1</v>
      </c>
      <c r="J869" s="6" t="str" cm="1">
        <f t="array" ref="J869">choice(Referentiel!D:D,1,Settings!$B$16)</f>
        <v>M1</v>
      </c>
      <c r="K869" s="6" t="str" cm="1">
        <f t="array" ref="K869">choice(Professeurs!B:B,1,Settings!$B$16)</f>
        <v>Prof34</v>
      </c>
      <c r="L869" s="5" t="str" cm="1">
        <f t="array" ref="L869">choice(Referentiel!C:C,1,Settings!$B$16)</f>
        <v/>
      </c>
      <c r="M869" s="5" t="str" cm="1">
        <f t="array" ref="M869">choice(Referentiel!E:E,1,Settings!$B$16)</f>
        <v/>
      </c>
      <c r="N869" s="5" t="str" cm="1">
        <f t="array" ref="N869">choice(Settings!K:K,1,Settings!$B$16)</f>
        <v/>
      </c>
      <c r="P869" s="5">
        <f t="shared" si="56"/>
        <v>2</v>
      </c>
    </row>
    <row r="870" spans="1:16" ht="15.75" customHeight="1" x14ac:dyDescent="0.25">
      <c r="A870" s="6" t="s">
        <v>1222</v>
      </c>
      <c r="B870" s="6" cm="1">
        <f t="array" ref="B870">alea_int(Settings!$B$10,1,Settings!$B$16)</f>
        <v>3</v>
      </c>
      <c r="C870" s="8">
        <v>46023</v>
      </c>
      <c r="D870" s="8">
        <f t="shared" si="53"/>
        <v>46387</v>
      </c>
      <c r="E870" s="6" t="str" cm="1">
        <f t="array" ref="E870">choice(Groupes!A:A,1,Settings!$B$16)</f>
        <v>G24</v>
      </c>
      <c r="F870" s="6" t="str">
        <f t="shared" si="54"/>
        <v>G24</v>
      </c>
      <c r="G870" s="6" t="str">
        <f t="shared" si="55"/>
        <v>Prof13</v>
      </c>
      <c r="H870" s="6" t="str" cm="1">
        <f t="array" ref="H870">choice(Referentiel!A:A,1,Settings!$B$16)</f>
        <v>Design des mondes insulaires</v>
      </c>
      <c r="I870" s="6" t="str" cm="1">
        <f t="array" ref="I870">choice(Referentiel!B:B,1,Settings!$B$16)</f>
        <v>4ème année Photo / Vidéo S1</v>
      </c>
      <c r="J870" s="6" t="str" cm="1">
        <f t="array" ref="J870">choice(Referentiel!D:D,1,Settings!$B$16)</f>
        <v>L1</v>
      </c>
      <c r="K870" s="6" t="str" cm="1">
        <f t="array" ref="K870">choice(Professeurs!B:B,1,Settings!$B$16)</f>
        <v>Prof13</v>
      </c>
      <c r="L870" s="5" t="str" cm="1">
        <f t="array" ref="L870">choice(Referentiel!C:C,1,Settings!$B$16)</f>
        <v/>
      </c>
      <c r="M870" s="5" t="str" cm="1">
        <f t="array" ref="M870">choice(Referentiel!E:E,1,Settings!$B$16)</f>
        <v/>
      </c>
      <c r="N870" s="5" t="str" cm="1">
        <f t="array" ref="N870">choice(Settings!K:K,1,Settings!$B$16)</f>
        <v/>
      </c>
      <c r="P870" s="5">
        <f t="shared" si="56"/>
        <v>3</v>
      </c>
    </row>
    <row r="871" spans="1:16" ht="15.75" customHeight="1" x14ac:dyDescent="0.25">
      <c r="A871" s="6" t="s">
        <v>1223</v>
      </c>
      <c r="B871" s="6" cm="1">
        <f t="array" ref="B871">alea_int(Settings!$B$10,1,Settings!$B$16)</f>
        <v>2</v>
      </c>
      <c r="C871" s="8">
        <v>46023</v>
      </c>
      <c r="D871" s="8">
        <f t="shared" si="53"/>
        <v>46387</v>
      </c>
      <c r="E871" s="6" t="str" cm="1">
        <f t="array" ref="E871">choice(Groupes!A:A,1,Settings!$B$16)</f>
        <v>G23</v>
      </c>
      <c r="F871" s="6" t="str">
        <f t="shared" si="54"/>
        <v>G23</v>
      </c>
      <c r="G871" s="6" t="str">
        <f t="shared" si="55"/>
        <v>Prof1</v>
      </c>
      <c r="H871" s="6" t="str" cm="1">
        <f t="array" ref="H871">choice(Referentiel!A:A,1,Settings!$B$16)</f>
        <v>Design des mondes littoraux</v>
      </c>
      <c r="I871" s="6" t="str" cm="1">
        <f t="array" ref="I871">choice(Referentiel!B:B,1,Settings!$B$16)</f>
        <v>3ème année Art-Espace S1</v>
      </c>
      <c r="J871" s="6" t="str" cm="1">
        <f t="array" ref="J871">choice(Referentiel!D:D,1,Settings!$B$16)</f>
        <v>L3</v>
      </c>
      <c r="K871" s="6" t="str" cm="1">
        <f t="array" ref="K871">choice(Professeurs!B:B,1,Settings!$B$16)</f>
        <v>Prof1</v>
      </c>
      <c r="L871" s="5" t="str" cm="1">
        <f t="array" ref="L871">choice(Referentiel!C:C,1,Settings!$B$16)</f>
        <v/>
      </c>
      <c r="M871" s="5" t="str" cm="1">
        <f t="array" ref="M871">choice(Referentiel!E:E,1,Settings!$B$16)</f>
        <v/>
      </c>
      <c r="N871" s="5" t="str" cm="1">
        <f t="array" ref="N871">choice(Settings!K:K,1,Settings!$B$16)</f>
        <v>vendredi pm</v>
      </c>
      <c r="P871" s="5">
        <f t="shared" si="56"/>
        <v>4</v>
      </c>
    </row>
    <row r="872" spans="1:16" ht="15.75" customHeight="1" x14ac:dyDescent="0.25">
      <c r="A872" s="6" t="s">
        <v>1224</v>
      </c>
      <c r="B872" s="6" cm="1">
        <f t="array" ref="B872">alea_int(Settings!$B$10,1,Settings!$B$16)</f>
        <v>3</v>
      </c>
      <c r="C872" s="8">
        <v>46023</v>
      </c>
      <c r="D872" s="8">
        <f t="shared" si="53"/>
        <v>46387</v>
      </c>
      <c r="E872" s="6" t="str" cm="1">
        <f t="array" ref="E872">choice(Groupes!A:A,1,Settings!$B$16)</f>
        <v>G10</v>
      </c>
      <c r="F872" s="6" t="str">
        <f t="shared" si="54"/>
        <v>G10</v>
      </c>
      <c r="G872" s="6" t="str">
        <f t="shared" si="55"/>
        <v>Prof23</v>
      </c>
      <c r="H872" s="6" t="str" cm="1">
        <f t="array" ref="H872">choice(Referentiel!A:A,1,Settings!$B$16)</f>
        <v>Scénographie</v>
      </c>
      <c r="I872" s="6" t="str" cm="1">
        <f t="array" ref="I872">choice(Referentiel!B:B,1,Settings!$B$16)</f>
        <v>2ème année Architecture Intérieure S2</v>
      </c>
      <c r="J872" s="6" t="str" cm="1">
        <f t="array" ref="J872">choice(Referentiel!D:D,1,Settings!$B$16)</f>
        <v>M1</v>
      </c>
      <c r="K872" s="6" t="str" cm="1">
        <f t="array" ref="K872">choice(Professeurs!B:B,1,Settings!$B$16)</f>
        <v>Prof23</v>
      </c>
      <c r="L872" s="5" t="str" cm="1">
        <f t="array" ref="L872">choice(Referentiel!C:C,1,Settings!$B$16)</f>
        <v/>
      </c>
      <c r="M872" s="5" t="str" cm="1">
        <f t="array" ref="M872">choice(Referentiel!E:E,1,Settings!$B$16)</f>
        <v/>
      </c>
      <c r="N872" s="5" t="str" cm="1">
        <f t="array" ref="N872">choice(Settings!K:K,1,Settings!$B$16)</f>
        <v>jeudi pm</v>
      </c>
      <c r="P872" s="5">
        <f t="shared" si="56"/>
        <v>5</v>
      </c>
    </row>
    <row r="873" spans="1:16" ht="15.75" customHeight="1" x14ac:dyDescent="0.25">
      <c r="A873" s="6" t="s">
        <v>1225</v>
      </c>
      <c r="B873" s="6" cm="1">
        <f t="array" ref="B873">alea_int(Settings!$B$10,1,Settings!$B$16)</f>
        <v>3</v>
      </c>
      <c r="C873" s="8">
        <v>46023</v>
      </c>
      <c r="D873" s="8">
        <f t="shared" si="53"/>
        <v>46387</v>
      </c>
      <c r="E873" s="6" t="str" cm="1">
        <f t="array" ref="E873">choice(Groupes!A:A,1,Settings!$B$16)</f>
        <v>G22</v>
      </c>
      <c r="F873" s="6" t="str">
        <f t="shared" si="54"/>
        <v>G22</v>
      </c>
      <c r="G873" s="6" t="str">
        <f t="shared" si="55"/>
        <v>Prof22</v>
      </c>
      <c r="H873" s="6" t="str" cm="1">
        <f t="array" ref="H873">choice(Referentiel!A:A,1,Settings!$B$16)</f>
        <v>Cinéma d'Animation</v>
      </c>
      <c r="I873" s="6" t="str" cm="1">
        <f t="array" ref="I873">choice(Referentiel!B:B,1,Settings!$B$16)</f>
        <v>4ème année Design Objet S1</v>
      </c>
      <c r="J873" s="6" t="str" cm="1">
        <f t="array" ref="J873">choice(Referentiel!D:D,1,Settings!$B$16)</f>
        <v>L3</v>
      </c>
      <c r="K873" s="6" t="str" cm="1">
        <f t="array" ref="K873">choice(Professeurs!B:B,1,Settings!$B$16)</f>
        <v>Prof22</v>
      </c>
      <c r="L873" s="5" t="str" cm="1">
        <f t="array" ref="L873">choice(Referentiel!C:C,1,Settings!$B$16)</f>
        <v/>
      </c>
      <c r="M873" s="5" t="str" cm="1">
        <f t="array" ref="M873">choice(Referentiel!E:E,1,Settings!$B$16)</f>
        <v/>
      </c>
      <c r="N873" s="5" t="str" cm="1">
        <f t="array" ref="N873">choice(Settings!K:K,1,Settings!$B$16)</f>
        <v/>
      </c>
      <c r="P873" s="5">
        <f t="shared" si="56"/>
        <v>3</v>
      </c>
    </row>
    <row r="874" spans="1:16" ht="15.75" customHeight="1" x14ac:dyDescent="0.25">
      <c r="A874" s="6" t="s">
        <v>1226</v>
      </c>
      <c r="B874" s="6" cm="1">
        <f t="array" ref="B874">alea_int(Settings!$B$10,1,Settings!$B$16)</f>
        <v>3</v>
      </c>
      <c r="C874" s="8">
        <v>46023</v>
      </c>
      <c r="D874" s="8">
        <f t="shared" si="53"/>
        <v>46387</v>
      </c>
      <c r="E874" s="6" t="str" cm="1">
        <f t="array" ref="E874">choice(Groupes!A:A,1,Settings!$B$16)</f>
        <v>G10</v>
      </c>
      <c r="F874" s="6" t="str">
        <f t="shared" si="54"/>
        <v>G10</v>
      </c>
      <c r="G874" s="6" t="str">
        <f t="shared" si="55"/>
        <v>Prof37</v>
      </c>
      <c r="H874" s="6" t="str" cm="1">
        <f t="array" ref="H874">choice(Referentiel!A:A,1,Settings!$B$16)</f>
        <v>1ère année Groupe 1</v>
      </c>
      <c r="I874" s="6" t="str" cm="1">
        <f t="array" ref="I874">choice(Referentiel!B:B,1,Settings!$B$16)</f>
        <v>Césure S2</v>
      </c>
      <c r="J874" s="6" t="str" cm="1">
        <f t="array" ref="J874">choice(Referentiel!D:D,1,Settings!$B$16)</f>
        <v>L3</v>
      </c>
      <c r="K874" s="6" t="str" cm="1">
        <f t="array" ref="K874">choice(Professeurs!B:B,1,Settings!$B$16)</f>
        <v>Prof37</v>
      </c>
      <c r="L874" s="5" t="str" cm="1">
        <f t="array" ref="L874">choice(Referentiel!C:C,1,Settings!$B$16)</f>
        <v/>
      </c>
      <c r="M874" s="5" t="str" cm="1">
        <f t="array" ref="M874">choice(Referentiel!E:E,1,Settings!$B$16)</f>
        <v/>
      </c>
      <c r="N874" s="5" t="str" cm="1">
        <f t="array" ref="N874">choice(Settings!K:K,1,Settings!$B$16)</f>
        <v/>
      </c>
      <c r="P874" s="5">
        <f t="shared" si="56"/>
        <v>3</v>
      </c>
    </row>
    <row r="875" spans="1:16" ht="15.75" customHeight="1" x14ac:dyDescent="0.25">
      <c r="A875" s="6" t="s">
        <v>1227</v>
      </c>
      <c r="B875" s="6" cm="1">
        <f t="array" ref="B875">alea_int(Settings!$B$10,1,Settings!$B$16)</f>
        <v>1</v>
      </c>
      <c r="C875" s="8">
        <v>46023</v>
      </c>
      <c r="D875" s="8">
        <f t="shared" si="53"/>
        <v>46387</v>
      </c>
      <c r="E875" s="6" t="str" cm="1">
        <f t="array" ref="E875">choice(Groupes!A:A,1,Settings!$B$16)</f>
        <v>G3</v>
      </c>
      <c r="F875" s="6" t="str">
        <f t="shared" si="54"/>
        <v>G3</v>
      </c>
      <c r="G875" s="6" t="str">
        <f t="shared" si="55"/>
        <v>Prof10</v>
      </c>
      <c r="H875" s="6" t="str" cm="1">
        <f t="array" ref="H875">choice(Referentiel!A:A,1,Settings!$B$16)</f>
        <v>Design Objet</v>
      </c>
      <c r="I875" s="6" t="str" cm="1">
        <f t="array" ref="I875">choice(Referentiel!B:B,1,Settings!$B$16)</f>
        <v>3ème année Scénographie S2</v>
      </c>
      <c r="J875" s="6" t="str" cm="1">
        <f t="array" ref="J875">choice(Referentiel!D:D,1,Settings!$B$16)</f>
        <v>L1</v>
      </c>
      <c r="K875" s="6" t="str" cm="1">
        <f t="array" ref="K875">choice(Professeurs!B:B,1,Settings!$B$16)</f>
        <v>Prof10</v>
      </c>
      <c r="L875" s="5" t="str" cm="1">
        <f t="array" ref="L875">choice(Referentiel!C:C,1,Settings!$B$16)</f>
        <v/>
      </c>
      <c r="M875" s="5" t="str" cm="1">
        <f t="array" ref="M875">choice(Referentiel!E:E,1,Settings!$B$16)</f>
        <v/>
      </c>
      <c r="N875" s="5" t="str" cm="1">
        <f t="array" ref="N875">choice(Settings!K:K,1,Settings!$B$16)</f>
        <v>vendredi am</v>
      </c>
      <c r="P875" s="5">
        <f t="shared" si="56"/>
        <v>3</v>
      </c>
    </row>
    <row r="876" spans="1:16" ht="15.75" customHeight="1" x14ac:dyDescent="0.25">
      <c r="A876" s="6" t="s">
        <v>1228</v>
      </c>
      <c r="B876" s="6" cm="1">
        <f t="array" ref="B876">alea_int(Settings!$B$10,1,Settings!$B$16)</f>
        <v>1</v>
      </c>
      <c r="C876" s="8">
        <v>46023</v>
      </c>
      <c r="D876" s="8">
        <f t="shared" si="53"/>
        <v>46387</v>
      </c>
      <c r="E876" s="6" t="str" cm="1">
        <f t="array" ref="E876">choice(Groupes!A:A,1,Settings!$B$16)</f>
        <v>G8</v>
      </c>
      <c r="F876" s="6" t="str">
        <f t="shared" si="54"/>
        <v>G8</v>
      </c>
      <c r="G876" s="6" t="str">
        <f t="shared" si="55"/>
        <v>Prof25</v>
      </c>
      <c r="H876" s="6" t="str" cm="1">
        <f t="array" ref="H876">choice(Referentiel!A:A,1,Settings!$B$16)</f>
        <v>1ère année Groupe 1</v>
      </c>
      <c r="I876" s="6" t="str" cm="1">
        <f t="array" ref="I876">choice(Referentiel!B:B,1,Settings!$B$16)</f>
        <v>2ème année Cinéma d'Animation S1</v>
      </c>
      <c r="J876" s="6" t="str" cm="1">
        <f t="array" ref="J876">choice(Referentiel!D:D,1,Settings!$B$16)</f>
        <v>L1</v>
      </c>
      <c r="K876" s="6" t="str" cm="1">
        <f t="array" ref="K876">choice(Professeurs!B:B,1,Settings!$B$16)</f>
        <v>Prof25</v>
      </c>
      <c r="L876" s="5" t="str" cm="1">
        <f t="array" ref="L876">choice(Referentiel!C:C,1,Settings!$B$16)</f>
        <v/>
      </c>
      <c r="M876" s="5" t="str" cm="1">
        <f t="array" ref="M876">choice(Referentiel!E:E,1,Settings!$B$16)</f>
        <v/>
      </c>
      <c r="N876" s="5" t="str" cm="1">
        <f t="array" ref="N876">choice(Settings!K:K,1,Settings!$B$16)</f>
        <v/>
      </c>
      <c r="P876" s="5">
        <f t="shared" si="56"/>
        <v>1</v>
      </c>
    </row>
    <row r="877" spans="1:16" ht="15.75" customHeight="1" x14ac:dyDescent="0.25">
      <c r="A877" s="6" t="s">
        <v>1229</v>
      </c>
      <c r="B877" s="6" cm="1">
        <f t="array" ref="B877">alea_int(Settings!$B$10,1,Settings!$B$16)</f>
        <v>3</v>
      </c>
      <c r="C877" s="8">
        <v>46023</v>
      </c>
      <c r="D877" s="8">
        <f t="shared" si="53"/>
        <v>46387</v>
      </c>
      <c r="E877" s="6" t="str" cm="1">
        <f t="array" ref="E877">choice(Groupes!A:A,1,Settings!$B$16)</f>
        <v>G16</v>
      </c>
      <c r="F877" s="6" t="str">
        <f t="shared" si="54"/>
        <v>G16</v>
      </c>
      <c r="G877" s="6" t="str">
        <f t="shared" si="55"/>
        <v>Prof9</v>
      </c>
      <c r="H877" s="6" t="str" cm="1">
        <f t="array" ref="H877">choice(Referentiel!A:A,1,Settings!$B$16)</f>
        <v>Image Imprimée</v>
      </c>
      <c r="I877" s="6" t="str" cm="1">
        <f t="array" ref="I877">choice(Referentiel!B:B,1,Settings!$B$16)</f>
        <v>4ème année Image Imprimée S2</v>
      </c>
      <c r="J877" s="6" t="str" cm="1">
        <f t="array" ref="J877">choice(Referentiel!D:D,1,Settings!$B$16)</f>
        <v>L2</v>
      </c>
      <c r="K877" s="6" t="str" cm="1">
        <f t="array" ref="K877">choice(Professeurs!B:B,1,Settings!$B$16)</f>
        <v>Prof9</v>
      </c>
      <c r="L877" s="5" t="str" cm="1">
        <f t="array" ref="L877">choice(Referentiel!C:C,1,Settings!$B$16)</f>
        <v/>
      </c>
      <c r="M877" s="5" t="str" cm="1">
        <f t="array" ref="M877">choice(Referentiel!E:E,1,Settings!$B$16)</f>
        <v/>
      </c>
      <c r="N877" s="5" t="str" cm="1">
        <f t="array" ref="N877">choice(Settings!K:K,1,Settings!$B$16)</f>
        <v/>
      </c>
      <c r="P877" s="5">
        <f t="shared" si="56"/>
        <v>3</v>
      </c>
    </row>
    <row r="878" spans="1:16" ht="15.75" customHeight="1" x14ac:dyDescent="0.25">
      <c r="A878" s="6" t="s">
        <v>1230</v>
      </c>
      <c r="B878" s="6" cm="1">
        <f t="array" ref="B878">alea_int(Settings!$B$10,1,Settings!$B$16)</f>
        <v>1</v>
      </c>
      <c r="C878" s="8">
        <v>46023</v>
      </c>
      <c r="D878" s="8">
        <f t="shared" si="53"/>
        <v>46387</v>
      </c>
      <c r="E878" s="6" t="str" cm="1">
        <f t="array" ref="E878">choice(Groupes!A:A,1,Settings!$B$16)</f>
        <v>G29</v>
      </c>
      <c r="F878" s="6" t="str">
        <f t="shared" si="54"/>
        <v>G29</v>
      </c>
      <c r="G878" s="6" t="str">
        <f t="shared" si="55"/>
        <v>Prof31</v>
      </c>
      <c r="H878" s="6" t="str" cm="1">
        <f t="array" ref="H878">choice(Referentiel!A:A,1,Settings!$B$16)</f>
        <v>6ème ANNÉE STAGE</v>
      </c>
      <c r="I878" s="6" t="str" cm="1">
        <f t="array" ref="I878">choice(Referentiel!B:B,1,Settings!$B$16)</f>
        <v>5ème année Scénographie S1</v>
      </c>
      <c r="J878" s="6" t="str" cm="1">
        <f t="array" ref="J878">choice(Referentiel!D:D,1,Settings!$B$16)</f>
        <v>M1</v>
      </c>
      <c r="K878" s="6" t="str" cm="1">
        <f t="array" ref="K878">choice(Professeurs!B:B,1,Settings!$B$16)</f>
        <v>Prof31</v>
      </c>
      <c r="L878" s="5" t="str" cm="1">
        <f t="array" ref="L878">choice(Referentiel!C:C,1,Settings!$B$16)</f>
        <v/>
      </c>
      <c r="M878" s="5" t="str" cm="1">
        <f t="array" ref="M878">choice(Referentiel!E:E,1,Settings!$B$16)</f>
        <v/>
      </c>
      <c r="N878" s="5" t="str" cm="1">
        <f t="array" ref="N878">choice(Settings!K:K,1,Settings!$B$16)</f>
        <v>mercredi ap</v>
      </c>
      <c r="P878" s="5">
        <f t="shared" si="56"/>
        <v>3</v>
      </c>
    </row>
    <row r="879" spans="1:16" ht="15.75" customHeight="1" x14ac:dyDescent="0.25">
      <c r="A879" s="6" t="s">
        <v>1231</v>
      </c>
      <c r="B879" s="6" cm="1">
        <f t="array" ref="B879">alea_int(Settings!$B$10,1,Settings!$B$16)</f>
        <v>1</v>
      </c>
      <c r="C879" s="8">
        <v>46023</v>
      </c>
      <c r="D879" s="8">
        <f t="shared" si="53"/>
        <v>46387</v>
      </c>
      <c r="E879" s="6" t="str" cm="1">
        <f t="array" ref="E879">choice(Groupes!A:A,1,Settings!$B$16)</f>
        <v>G23</v>
      </c>
      <c r="F879" s="6" t="str">
        <f t="shared" si="54"/>
        <v>G23</v>
      </c>
      <c r="G879" s="6" t="str">
        <f t="shared" si="55"/>
        <v>Prof11</v>
      </c>
      <c r="H879" s="6" t="str" cm="1">
        <f t="array" ref="H879">choice(Referentiel!A:A,1,Settings!$B$16)</f>
        <v>Design des mondes urbains</v>
      </c>
      <c r="I879" s="6" t="str" cm="1">
        <f t="array" ref="I879">choice(Referentiel!B:B,1,Settings!$B$16)</f>
        <v>3ème année Art-Espace S1</v>
      </c>
      <c r="J879" s="6" t="str" cm="1">
        <f t="array" ref="J879">choice(Referentiel!D:D,1,Settings!$B$16)</f>
        <v>M1</v>
      </c>
      <c r="K879" s="6" t="str" cm="1">
        <f t="array" ref="K879">choice(Professeurs!B:B,1,Settings!$B$16)</f>
        <v>Prof11</v>
      </c>
      <c r="L879" s="5" t="str" cm="1">
        <f t="array" ref="L879">choice(Referentiel!C:C,1,Settings!$B$16)</f>
        <v/>
      </c>
      <c r="M879" s="5" t="str" cm="1">
        <f t="array" ref="M879">choice(Referentiel!E:E,1,Settings!$B$16)</f>
        <v/>
      </c>
      <c r="N879" s="5" t="str" cm="1">
        <f t="array" ref="N879">choice(Settings!K:K,1,Settings!$B$16)</f>
        <v/>
      </c>
      <c r="P879" s="5">
        <f t="shared" si="56"/>
        <v>1</v>
      </c>
    </row>
    <row r="880" spans="1:16" ht="15.75" customHeight="1" x14ac:dyDescent="0.25">
      <c r="A880" s="6" t="s">
        <v>1232</v>
      </c>
      <c r="B880" s="6" cm="1">
        <f t="array" ref="B880">alea_int(Settings!$B$10,1,Settings!$B$16)</f>
        <v>2</v>
      </c>
      <c r="C880" s="8">
        <v>46023</v>
      </c>
      <c r="D880" s="8">
        <f t="shared" si="53"/>
        <v>46387</v>
      </c>
      <c r="E880" s="6" t="str" cm="1">
        <f t="array" ref="E880">choice(Groupes!A:A,1,Settings!$B$16)</f>
        <v>G2</v>
      </c>
      <c r="F880" s="6" t="str">
        <f t="shared" si="54"/>
        <v>G2</v>
      </c>
      <c r="G880" s="6" t="str">
        <f t="shared" si="55"/>
        <v>Prof55</v>
      </c>
      <c r="H880" s="6" t="str" cm="1">
        <f t="array" ref="H880">choice(Referentiel!A:A,1,Settings!$B$16)</f>
        <v>Art-Espace</v>
      </c>
      <c r="I880" s="6" t="str" cm="1">
        <f t="array" ref="I880">choice(Referentiel!B:B,1,Settings!$B$16)</f>
        <v>2ème année Art-Espace S1</v>
      </c>
      <c r="J880" s="6" t="str" cm="1">
        <f t="array" ref="J880">choice(Referentiel!D:D,1,Settings!$B$16)</f>
        <v>L1</v>
      </c>
      <c r="K880" s="6" t="str" cm="1">
        <f t="array" ref="K880">choice(Professeurs!B:B,1,Settings!$B$16)</f>
        <v>Prof55</v>
      </c>
      <c r="L880" s="5" t="str" cm="1">
        <f t="array" ref="L880">choice(Referentiel!C:C,1,Settings!$B$16)</f>
        <v/>
      </c>
      <c r="M880" s="5" t="str" cm="1">
        <f t="array" ref="M880">choice(Referentiel!E:E,1,Settings!$B$16)</f>
        <v/>
      </c>
      <c r="N880" s="5" t="str" cm="1">
        <f t="array" ref="N880">choice(Settings!K:K,1,Settings!$B$16)</f>
        <v>vendredi am</v>
      </c>
      <c r="P880" s="5">
        <f t="shared" si="56"/>
        <v>4</v>
      </c>
    </row>
    <row r="881" spans="1:16" ht="15.75" customHeight="1" x14ac:dyDescent="0.25">
      <c r="A881" s="6" t="s">
        <v>1233</v>
      </c>
      <c r="B881" s="6" cm="1">
        <f t="array" ref="B881">alea_int(Settings!$B$10,1,Settings!$B$16)</f>
        <v>3</v>
      </c>
      <c r="C881" s="8">
        <v>46023</v>
      </c>
      <c r="D881" s="8">
        <f t="shared" si="53"/>
        <v>46387</v>
      </c>
      <c r="E881" s="6" t="str" cm="1">
        <f t="array" ref="E881">choice(Groupes!A:A,1,Settings!$B$16)</f>
        <v>G18</v>
      </c>
      <c r="F881" s="6" t="str">
        <f t="shared" si="54"/>
        <v>G18</v>
      </c>
      <c r="G881" s="6" t="str">
        <f t="shared" si="55"/>
        <v>Prof12</v>
      </c>
      <c r="H881" s="6" t="str" cm="1">
        <f t="array" ref="H881">choice(Referentiel!A:A,1,Settings!$B$16)</f>
        <v>Gr TERRITOIRES</v>
      </c>
      <c r="I881" s="6" t="str" cm="1">
        <f t="array" ref="I881">choice(Referentiel!B:B,1,Settings!$B$16)</f>
        <v>5ème année Design Objet S2</v>
      </c>
      <c r="J881" s="6" t="str" cm="1">
        <f t="array" ref="J881">choice(Referentiel!D:D,1,Settings!$B$16)</f>
        <v>M2</v>
      </c>
      <c r="K881" s="6" t="str" cm="1">
        <f t="array" ref="K881">choice(Professeurs!B:B,1,Settings!$B$16)</f>
        <v>Prof12</v>
      </c>
      <c r="L881" s="5" t="str" cm="1">
        <f t="array" ref="L881">choice(Referentiel!C:C,1,Settings!$B$16)</f>
        <v/>
      </c>
      <c r="M881" s="5" t="str" cm="1">
        <f t="array" ref="M881">choice(Referentiel!E:E,1,Settings!$B$16)</f>
        <v/>
      </c>
      <c r="N881" s="5" t="str" cm="1">
        <f t="array" ref="N881">choice(Settings!K:K,1,Settings!$B$16)</f>
        <v/>
      </c>
      <c r="P881" s="5">
        <f t="shared" si="56"/>
        <v>3</v>
      </c>
    </row>
    <row r="882" spans="1:16" ht="15.75" customHeight="1" x14ac:dyDescent="0.25">
      <c r="A882" s="6" t="s">
        <v>1234</v>
      </c>
      <c r="B882" s="6" cm="1">
        <f t="array" ref="B882">alea_int(Settings!$B$10,1,Settings!$B$16)</f>
        <v>1</v>
      </c>
      <c r="C882" s="8">
        <v>46023</v>
      </c>
      <c r="D882" s="8">
        <f t="shared" si="53"/>
        <v>46387</v>
      </c>
      <c r="E882" s="6" t="str" cm="1">
        <f t="array" ref="E882">choice(Groupes!A:A,1,Settings!$B$16)</f>
        <v>G7</v>
      </c>
      <c r="F882" s="6" t="str">
        <f t="shared" si="54"/>
        <v>G7</v>
      </c>
      <c r="G882" s="6" t="str">
        <f t="shared" si="55"/>
        <v>Prof41</v>
      </c>
      <c r="H882" s="6" t="str" cm="1">
        <f t="array" ref="H882">choice(Referentiel!A:A,1,Settings!$B$16)</f>
        <v>Gr TERRITOIRES</v>
      </c>
      <c r="I882" s="6" t="str" cm="1">
        <f t="array" ref="I882">choice(Referentiel!B:B,1,Settings!$B$16)</f>
        <v>3ème année Image Imprimée S1</v>
      </c>
      <c r="J882" s="6" t="str" cm="1">
        <f t="array" ref="J882">choice(Referentiel!D:D,1,Settings!$B$16)</f>
        <v>L3</v>
      </c>
      <c r="K882" s="6" t="str" cm="1">
        <f t="array" ref="K882">choice(Professeurs!B:B,1,Settings!$B$16)</f>
        <v>Prof41</v>
      </c>
      <c r="L882" s="5" t="str" cm="1">
        <f t="array" ref="L882">choice(Referentiel!C:C,1,Settings!$B$16)</f>
        <v/>
      </c>
      <c r="M882" s="5" t="str" cm="1">
        <f t="array" ref="M882">choice(Referentiel!E:E,1,Settings!$B$16)</f>
        <v/>
      </c>
      <c r="N882" s="5" t="str" cm="1">
        <f t="array" ref="N882">choice(Settings!K:K,1,Settings!$B$16)</f>
        <v>lundi am</v>
      </c>
      <c r="P882" s="5">
        <f t="shared" si="56"/>
        <v>3</v>
      </c>
    </row>
    <row r="883" spans="1:16" ht="15.75" customHeight="1" x14ac:dyDescent="0.25">
      <c r="A883" s="6" t="s">
        <v>1235</v>
      </c>
      <c r="B883" s="6" cm="1">
        <f t="array" ref="B883">alea_int(Settings!$B$10,1,Settings!$B$16)</f>
        <v>2</v>
      </c>
      <c r="C883" s="8">
        <v>46023</v>
      </c>
      <c r="D883" s="8">
        <f t="shared" si="53"/>
        <v>46387</v>
      </c>
      <c r="E883" s="6" t="str" cm="1">
        <f t="array" ref="E883">choice(Groupes!A:A,1,Settings!$B$16)</f>
        <v>G24</v>
      </c>
      <c r="F883" s="6" t="str">
        <f t="shared" si="54"/>
        <v>G24</v>
      </c>
      <c r="G883" s="6" t="str">
        <f t="shared" si="55"/>
        <v>Prof5</v>
      </c>
      <c r="H883" s="6" t="str" cm="1">
        <f t="array" ref="H883">choice(Referentiel!A:A,1,Settings!$B$16)</f>
        <v>Design Graphique</v>
      </c>
      <c r="I883" s="6" t="str" cm="1">
        <f t="array" ref="I883">choice(Referentiel!B:B,1,Settings!$B$16)</f>
        <v>4ème année Design Objet S1</v>
      </c>
      <c r="J883" s="6" t="str" cm="1">
        <f t="array" ref="J883">choice(Referentiel!D:D,1,Settings!$B$16)</f>
        <v>M2</v>
      </c>
      <c r="K883" s="6" t="str" cm="1">
        <f t="array" ref="K883">choice(Professeurs!B:B,1,Settings!$B$16)</f>
        <v>Prof5</v>
      </c>
      <c r="L883" s="5" t="str" cm="1">
        <f t="array" ref="L883">choice(Referentiel!C:C,1,Settings!$B$16)</f>
        <v/>
      </c>
      <c r="M883" s="5" t="str" cm="1">
        <f t="array" ref="M883">choice(Referentiel!E:E,1,Settings!$B$16)</f>
        <v/>
      </c>
      <c r="N883" s="5" t="str" cm="1">
        <f t="array" ref="N883">choice(Settings!K:K,1,Settings!$B$16)</f>
        <v/>
      </c>
      <c r="P883" s="5">
        <f t="shared" si="56"/>
        <v>2</v>
      </c>
    </row>
    <row r="884" spans="1:16" ht="15.75" customHeight="1" x14ac:dyDescent="0.25">
      <c r="A884" s="6" t="s">
        <v>1236</v>
      </c>
      <c r="B884" s="6" cm="1">
        <f t="array" ref="B884">alea_int(Settings!$B$10,1,Settings!$B$16)</f>
        <v>3</v>
      </c>
      <c r="C884" s="8">
        <v>46023</v>
      </c>
      <c r="D884" s="8">
        <f t="shared" si="53"/>
        <v>46387</v>
      </c>
      <c r="E884" s="6" t="str" cm="1">
        <f t="array" ref="E884">choice(Groupes!A:A,1,Settings!$B$16)</f>
        <v>G8</v>
      </c>
      <c r="F884" s="6" t="str">
        <f t="shared" si="54"/>
        <v>G8</v>
      </c>
      <c r="G884" s="6" t="str">
        <f t="shared" si="55"/>
        <v>Prof3</v>
      </c>
      <c r="H884" s="6" t="str" cm="1">
        <f t="array" ref="H884">choice(Referentiel!A:A,1,Settings!$B$16)</f>
        <v>Architecture Intérieure</v>
      </c>
      <c r="I884" s="6" t="str" cm="1">
        <f t="array" ref="I884">choice(Referentiel!B:B,1,Settings!$B$16)</f>
        <v>3ème année Design Graphique S2</v>
      </c>
      <c r="J884" s="6" t="str" cm="1">
        <f t="array" ref="J884">choice(Referentiel!D:D,1,Settings!$B$16)</f>
        <v>L1</v>
      </c>
      <c r="K884" s="6" t="str" cm="1">
        <f t="array" ref="K884">choice(Professeurs!B:B,1,Settings!$B$16)</f>
        <v>Prof3</v>
      </c>
      <c r="L884" s="5" t="str" cm="1">
        <f t="array" ref="L884">choice(Referentiel!C:C,1,Settings!$B$16)</f>
        <v/>
      </c>
      <c r="M884" s="5" t="str" cm="1">
        <f t="array" ref="M884">choice(Referentiel!E:E,1,Settings!$B$16)</f>
        <v/>
      </c>
      <c r="N884" s="5" t="str" cm="1">
        <f t="array" ref="N884">choice(Settings!K:K,1,Settings!$B$16)</f>
        <v>mercredi pm</v>
      </c>
      <c r="P884" s="5">
        <f t="shared" si="56"/>
        <v>5</v>
      </c>
    </row>
    <row r="885" spans="1:16" ht="15.75" customHeight="1" x14ac:dyDescent="0.25">
      <c r="A885" s="6" t="s">
        <v>1237</v>
      </c>
      <c r="B885" s="6" cm="1">
        <f t="array" ref="B885">alea_int(Settings!$B$10,1,Settings!$B$16)</f>
        <v>2</v>
      </c>
      <c r="C885" s="8">
        <v>46023</v>
      </c>
      <c r="D885" s="8">
        <f t="shared" si="53"/>
        <v>46387</v>
      </c>
      <c r="E885" s="6" t="str" cm="1">
        <f t="array" ref="E885">choice(Groupes!A:A,1,Settings!$B$16)</f>
        <v>G23</v>
      </c>
      <c r="F885" s="6" t="str">
        <f t="shared" si="54"/>
        <v>G23</v>
      </c>
      <c r="G885" s="6" t="str">
        <f t="shared" si="55"/>
        <v>Prof4</v>
      </c>
      <c r="H885" s="6" t="str" cm="1">
        <f t="array" ref="H885">choice(Referentiel!A:A,1,Settings!$B$16)</f>
        <v>1ère année Groupe 1</v>
      </c>
      <c r="I885" s="6" t="str" cm="1">
        <f t="array" ref="I885">choice(Referentiel!B:B,1,Settings!$B$16)</f>
        <v>3ème année Design Vêtement S1</v>
      </c>
      <c r="J885" s="6" t="str" cm="1">
        <f t="array" ref="J885">choice(Referentiel!D:D,1,Settings!$B$16)</f>
        <v>L2</v>
      </c>
      <c r="K885" s="6" t="str" cm="1">
        <f t="array" ref="K885">choice(Professeurs!B:B,1,Settings!$B$16)</f>
        <v>Prof4</v>
      </c>
      <c r="L885" s="5" t="str" cm="1">
        <f t="array" ref="L885">choice(Referentiel!C:C,1,Settings!$B$16)</f>
        <v/>
      </c>
      <c r="M885" s="5" t="str" cm="1">
        <f t="array" ref="M885">choice(Referentiel!E:E,1,Settings!$B$16)</f>
        <v/>
      </c>
      <c r="N885" s="5" t="str" cm="1">
        <f t="array" ref="N885">choice(Settings!K:K,1,Settings!$B$16)</f>
        <v>semaine</v>
      </c>
      <c r="P885" s="5">
        <f t="shared" si="56"/>
        <v>4</v>
      </c>
    </row>
    <row r="886" spans="1:16" ht="15.75" customHeight="1" x14ac:dyDescent="0.25">
      <c r="A886" s="6" t="s">
        <v>1238</v>
      </c>
      <c r="B886" s="6" cm="1">
        <f t="array" ref="B886">alea_int(Settings!$B$10,1,Settings!$B$16)</f>
        <v>3</v>
      </c>
      <c r="C886" s="8">
        <v>46023</v>
      </c>
      <c r="D886" s="8">
        <f t="shared" si="53"/>
        <v>46387</v>
      </c>
      <c r="E886" s="6" t="str" cm="1">
        <f t="array" ref="E886">choice(Groupes!A:A,1,Settings!$B$16)</f>
        <v>G22</v>
      </c>
      <c r="F886" s="6" t="str">
        <f t="shared" si="54"/>
        <v>G22</v>
      </c>
      <c r="G886" s="6" t="str">
        <f t="shared" si="55"/>
        <v>Prof29</v>
      </c>
      <c r="H886" s="6" t="str" cm="1">
        <f t="array" ref="H886">choice(Referentiel!A:A,1,Settings!$B$16)</f>
        <v>Design Vêtement</v>
      </c>
      <c r="I886" s="6" t="str" cm="1">
        <f t="array" ref="I886">choice(Referentiel!B:B,1,Settings!$B$16)</f>
        <v>4ème année Art-Espace S2</v>
      </c>
      <c r="J886" s="6" t="str" cm="1">
        <f t="array" ref="J886">choice(Referentiel!D:D,1,Settings!$B$16)</f>
        <v>L2</v>
      </c>
      <c r="K886" s="6" t="str" cm="1">
        <f t="array" ref="K886">choice(Professeurs!B:B,1,Settings!$B$16)</f>
        <v>Prof29</v>
      </c>
      <c r="L886" s="5" t="str" cm="1">
        <f t="array" ref="L886">choice(Referentiel!C:C,1,Settings!$B$16)</f>
        <v/>
      </c>
      <c r="M886" s="5" t="str" cm="1">
        <f t="array" ref="M886">choice(Referentiel!E:E,1,Settings!$B$16)</f>
        <v/>
      </c>
      <c r="N886" s="5" t="str" cm="1">
        <f t="array" ref="N886">choice(Settings!K:K,1,Settings!$B$16)</f>
        <v>vendredi pm</v>
      </c>
      <c r="P886" s="5">
        <f t="shared" si="56"/>
        <v>5</v>
      </c>
    </row>
    <row r="887" spans="1:16" ht="15.75" customHeight="1" x14ac:dyDescent="0.25">
      <c r="A887" s="6" t="s">
        <v>1239</v>
      </c>
      <c r="B887" s="6" cm="1">
        <f t="array" ref="B887">alea_int(Settings!$B$10,1,Settings!$B$16)</f>
        <v>3</v>
      </c>
      <c r="C887" s="8">
        <v>46023</v>
      </c>
      <c r="D887" s="8">
        <f t="shared" si="53"/>
        <v>46387</v>
      </c>
      <c r="E887" s="6" t="str" cm="1">
        <f t="array" ref="E887">choice(Groupes!A:A,1,Settings!$B$16)</f>
        <v>G3</v>
      </c>
      <c r="F887" s="6" t="str">
        <f t="shared" si="54"/>
        <v>G3</v>
      </c>
      <c r="G887" s="6" t="str">
        <f t="shared" si="55"/>
        <v>Prof36</v>
      </c>
      <c r="H887" s="6" t="str" cm="1">
        <f t="array" ref="H887">choice(Referentiel!A:A,1,Settings!$B$16)</f>
        <v>Scénographie</v>
      </c>
      <c r="I887" s="6" t="str" cm="1">
        <f t="array" ref="I887">choice(Referentiel!B:B,1,Settings!$B$16)</f>
        <v>3ème année Design Textile et Matière S2</v>
      </c>
      <c r="J887" s="6" t="str" cm="1">
        <f t="array" ref="J887">choice(Referentiel!D:D,1,Settings!$B$16)</f>
        <v>L3</v>
      </c>
      <c r="K887" s="6" t="str" cm="1">
        <f t="array" ref="K887">choice(Professeurs!B:B,1,Settings!$B$16)</f>
        <v>Prof36</v>
      </c>
      <c r="L887" s="5" t="str" cm="1">
        <f t="array" ref="L887">choice(Referentiel!C:C,1,Settings!$B$16)</f>
        <v/>
      </c>
      <c r="M887" s="5" t="str" cm="1">
        <f t="array" ref="M887">choice(Referentiel!E:E,1,Settings!$B$16)</f>
        <v/>
      </c>
      <c r="N887" s="5" t="str" cm="1">
        <f t="array" ref="N887">choice(Settings!K:K,1,Settings!$B$16)</f>
        <v/>
      </c>
      <c r="P887" s="5">
        <f t="shared" si="56"/>
        <v>3</v>
      </c>
    </row>
    <row r="888" spans="1:16" ht="15.75" customHeight="1" x14ac:dyDescent="0.25">
      <c r="A888" s="6" t="s">
        <v>1240</v>
      </c>
      <c r="B888" s="6" cm="1">
        <f t="array" ref="B888">alea_int(Settings!$B$10,1,Settings!$B$16)</f>
        <v>2</v>
      </c>
      <c r="C888" s="8">
        <v>46023</v>
      </c>
      <c r="D888" s="8">
        <f t="shared" si="53"/>
        <v>46387</v>
      </c>
      <c r="E888" s="6" t="str" cm="1">
        <f t="array" ref="E888">choice(Groupes!A:A,1,Settings!$B$16)</f>
        <v>G28</v>
      </c>
      <c r="F888" s="6" t="str">
        <f t="shared" si="54"/>
        <v>G28</v>
      </c>
      <c r="G888" s="6" t="str">
        <f t="shared" si="55"/>
        <v>Prof31</v>
      </c>
      <c r="H888" s="6" t="str" cm="1">
        <f t="array" ref="H888">choice(Referentiel!A:A,1,Settings!$B$16)</f>
        <v>Photo / Vidéo</v>
      </c>
      <c r="I888" s="6" t="str" cm="1">
        <f t="array" ref="I888">choice(Referentiel!B:B,1,Settings!$B$16)</f>
        <v>5ème année Scénographie S1</v>
      </c>
      <c r="J888" s="6" t="str" cm="1">
        <f t="array" ref="J888">choice(Referentiel!D:D,1,Settings!$B$16)</f>
        <v>M2</v>
      </c>
      <c r="K888" s="6" t="str" cm="1">
        <f t="array" ref="K888">choice(Professeurs!B:B,1,Settings!$B$16)</f>
        <v>Prof31</v>
      </c>
      <c r="L888" s="5" t="str" cm="1">
        <f t="array" ref="L888">choice(Referentiel!C:C,1,Settings!$B$16)</f>
        <v/>
      </c>
      <c r="M888" s="5" t="str" cm="1">
        <f t="array" ref="M888">choice(Referentiel!E:E,1,Settings!$B$16)</f>
        <v/>
      </c>
      <c r="N888" s="5" t="str" cm="1">
        <f t="array" ref="N888">choice(Settings!K:K,1,Settings!$B$16)</f>
        <v/>
      </c>
      <c r="P888" s="5">
        <f t="shared" si="56"/>
        <v>2</v>
      </c>
    </row>
    <row r="889" spans="1:16" ht="15.75" customHeight="1" x14ac:dyDescent="0.25">
      <c r="A889" s="6" t="s">
        <v>1241</v>
      </c>
      <c r="B889" s="6" cm="1">
        <f t="array" ref="B889">alea_int(Settings!$B$10,1,Settings!$B$16)</f>
        <v>1</v>
      </c>
      <c r="C889" s="8">
        <v>46023</v>
      </c>
      <c r="D889" s="8">
        <f t="shared" si="53"/>
        <v>46387</v>
      </c>
      <c r="E889" s="6" t="str" cm="1">
        <f t="array" ref="E889">choice(Groupes!A:A,1,Settings!$B$16)</f>
        <v>G20</v>
      </c>
      <c r="F889" s="6" t="str">
        <f t="shared" si="54"/>
        <v>G20</v>
      </c>
      <c r="G889" s="6" t="str">
        <f t="shared" si="55"/>
        <v>Prof28</v>
      </c>
      <c r="H889" s="6" t="str" cm="1">
        <f t="array" ref="H889">choice(Referentiel!A:A,1,Settings!$B$16)</f>
        <v>6ème année atelier</v>
      </c>
      <c r="I889" s="6" t="str" cm="1">
        <f t="array" ref="I889">choice(Referentiel!B:B,1,Settings!$B$16)</f>
        <v>5ème année Cinéma d'Animation S2</v>
      </c>
      <c r="J889" s="6" t="str" cm="1">
        <f t="array" ref="J889">choice(Referentiel!D:D,1,Settings!$B$16)</f>
        <v>L2</v>
      </c>
      <c r="K889" s="6" t="str" cm="1">
        <f t="array" ref="K889">choice(Professeurs!B:B,1,Settings!$B$16)</f>
        <v>Prof28</v>
      </c>
      <c r="L889" s="5" t="str" cm="1">
        <f t="array" ref="L889">choice(Referentiel!C:C,1,Settings!$B$16)</f>
        <v/>
      </c>
      <c r="M889" s="5" t="str" cm="1">
        <f t="array" ref="M889">choice(Referentiel!E:E,1,Settings!$B$16)</f>
        <v/>
      </c>
      <c r="N889" s="5" t="str" cm="1">
        <f t="array" ref="N889">choice(Settings!K:K,1,Settings!$B$16)</f>
        <v>jeudi pm</v>
      </c>
      <c r="P889" s="5">
        <f t="shared" si="56"/>
        <v>3</v>
      </c>
    </row>
    <row r="890" spans="1:16" ht="15.75" customHeight="1" x14ac:dyDescent="0.25">
      <c r="A890" s="6" t="s">
        <v>1242</v>
      </c>
      <c r="B890" s="6" cm="1">
        <f t="array" ref="B890">alea_int(Settings!$B$10,1,Settings!$B$16)</f>
        <v>2</v>
      </c>
      <c r="C890" s="8">
        <v>46023</v>
      </c>
      <c r="D890" s="8">
        <f t="shared" si="53"/>
        <v>46387</v>
      </c>
      <c r="E890" s="6" t="str" cm="1">
        <f t="array" ref="E890">choice(Groupes!A:A,1,Settings!$B$16)</f>
        <v>G25</v>
      </c>
      <c r="F890" s="6" t="str">
        <f t="shared" si="54"/>
        <v>G25</v>
      </c>
      <c r="G890" s="6" t="str">
        <f t="shared" si="55"/>
        <v>Prof24</v>
      </c>
      <c r="H890" s="6" t="str" cm="1">
        <f t="array" ref="H890">choice(Referentiel!A:A,1,Settings!$B$16)</f>
        <v>Gr ART, DESIGN, SOCIETE</v>
      </c>
      <c r="I890" s="6" t="str" cm="1">
        <f t="array" ref="I890">choice(Referentiel!B:B,1,Settings!$B$16)</f>
        <v>5ème année Scénographie S2</v>
      </c>
      <c r="J890" s="6" t="str" cm="1">
        <f t="array" ref="J890">choice(Referentiel!D:D,1,Settings!$B$16)</f>
        <v>L3</v>
      </c>
      <c r="K890" s="6" t="str" cm="1">
        <f t="array" ref="K890">choice(Professeurs!B:B,1,Settings!$B$16)</f>
        <v>Prof24</v>
      </c>
      <c r="L890" s="5" t="str" cm="1">
        <f t="array" ref="L890">choice(Referentiel!C:C,1,Settings!$B$16)</f>
        <v/>
      </c>
      <c r="M890" s="5" t="str" cm="1">
        <f t="array" ref="M890">choice(Referentiel!E:E,1,Settings!$B$16)</f>
        <v/>
      </c>
      <c r="N890" s="5" t="str" cm="1">
        <f t="array" ref="N890">choice(Settings!K:K,1,Settings!$B$16)</f>
        <v/>
      </c>
      <c r="P890" s="5">
        <f t="shared" si="56"/>
        <v>2</v>
      </c>
    </row>
    <row r="891" spans="1:16" ht="15.75" customHeight="1" x14ac:dyDescent="0.25">
      <c r="A891" s="6" t="s">
        <v>1243</v>
      </c>
      <c r="B891" s="6" cm="1">
        <f t="array" ref="B891">alea_int(Settings!$B$10,1,Settings!$B$16)</f>
        <v>1</v>
      </c>
      <c r="C891" s="8">
        <v>46023</v>
      </c>
      <c r="D891" s="8">
        <f t="shared" si="53"/>
        <v>46387</v>
      </c>
      <c r="E891" s="6" t="str" cm="1">
        <f t="array" ref="E891">choice(Groupes!A:A,1,Settings!$B$16)</f>
        <v>G2</v>
      </c>
      <c r="F891" s="6" t="str">
        <f t="shared" si="54"/>
        <v>G2</v>
      </c>
      <c r="G891" s="6" t="str">
        <f t="shared" si="55"/>
        <v>Prof45</v>
      </c>
      <c r="H891" s="6" t="str" cm="1">
        <f t="array" ref="H891">choice(Referentiel!A:A,1,Settings!$B$16)</f>
        <v>1ère année Groupe 4</v>
      </c>
      <c r="I891" s="6" t="str" cm="1">
        <f t="array" ref="I891">choice(Referentiel!B:B,1,Settings!$B$16)</f>
        <v>3ème année Design Vêtement S1</v>
      </c>
      <c r="J891" s="6" t="str" cm="1">
        <f t="array" ref="J891">choice(Referentiel!D:D,1,Settings!$B$16)</f>
        <v>L2</v>
      </c>
      <c r="K891" s="6" t="str" cm="1">
        <f t="array" ref="K891">choice(Professeurs!B:B,1,Settings!$B$16)</f>
        <v>Prof45</v>
      </c>
      <c r="L891" s="5" t="str" cm="1">
        <f t="array" ref="L891">choice(Referentiel!C:C,1,Settings!$B$16)</f>
        <v/>
      </c>
      <c r="M891" s="5" t="str" cm="1">
        <f t="array" ref="M891">choice(Referentiel!E:E,1,Settings!$B$16)</f>
        <v/>
      </c>
      <c r="N891" s="5" t="str" cm="1">
        <f t="array" ref="N891">choice(Settings!K:K,1,Settings!$B$16)</f>
        <v/>
      </c>
      <c r="P891" s="5">
        <f t="shared" si="56"/>
        <v>1</v>
      </c>
    </row>
    <row r="892" spans="1:16" ht="15.75" customHeight="1" x14ac:dyDescent="0.25">
      <c r="A892" s="6" t="s">
        <v>1244</v>
      </c>
      <c r="B892" s="6" cm="1">
        <f t="array" ref="B892">alea_int(Settings!$B$10,1,Settings!$B$16)</f>
        <v>3</v>
      </c>
      <c r="C892" s="8">
        <v>46023</v>
      </c>
      <c r="D892" s="8">
        <f t="shared" si="53"/>
        <v>46387</v>
      </c>
      <c r="E892" s="6" t="str" cm="1">
        <f t="array" ref="E892">choice(Groupes!A:A,1,Settings!$B$16)</f>
        <v>G1</v>
      </c>
      <c r="F892" s="6" t="str">
        <f t="shared" si="54"/>
        <v>G1</v>
      </c>
      <c r="G892" s="6" t="str">
        <f t="shared" si="55"/>
        <v>Prof27</v>
      </c>
      <c r="H892" s="6" t="str" cm="1">
        <f t="array" ref="H892">choice(Referentiel!A:A,1,Settings!$B$16)</f>
        <v>Gr SYMBIOSE</v>
      </c>
      <c r="I892" s="6" t="str" cm="1">
        <f t="array" ref="I892">choice(Referentiel!B:B,1,Settings!$B$16)</f>
        <v>2ème année Art-Espace S1</v>
      </c>
      <c r="J892" s="6" t="str" cm="1">
        <f t="array" ref="J892">choice(Referentiel!D:D,1,Settings!$B$16)</f>
        <v>L3</v>
      </c>
      <c r="K892" s="6" t="str" cm="1">
        <f t="array" ref="K892">choice(Professeurs!B:B,1,Settings!$B$16)</f>
        <v>Prof27</v>
      </c>
      <c r="L892" s="5" t="str" cm="1">
        <f t="array" ref="L892">choice(Referentiel!C:C,1,Settings!$B$16)</f>
        <v/>
      </c>
      <c r="M892" s="5" t="str" cm="1">
        <f t="array" ref="M892">choice(Referentiel!E:E,1,Settings!$B$16)</f>
        <v/>
      </c>
      <c r="N892" s="5" t="str" cm="1">
        <f t="array" ref="N892">choice(Settings!K:K,1,Settings!$B$16)</f>
        <v/>
      </c>
      <c r="P892" s="5">
        <f t="shared" si="56"/>
        <v>3</v>
      </c>
    </row>
    <row r="893" spans="1:16" ht="15.75" customHeight="1" x14ac:dyDescent="0.25">
      <c r="A893" s="6" t="s">
        <v>1245</v>
      </c>
      <c r="B893" s="6" cm="1">
        <f t="array" ref="B893">alea_int(Settings!$B$10,1,Settings!$B$16)</f>
        <v>3</v>
      </c>
      <c r="C893" s="8">
        <v>46023</v>
      </c>
      <c r="D893" s="8">
        <f t="shared" si="53"/>
        <v>46387</v>
      </c>
      <c r="E893" s="6" t="str" cm="1">
        <f t="array" ref="E893">choice(Groupes!A:A,1,Settings!$B$16)</f>
        <v>G22</v>
      </c>
      <c r="F893" s="6" t="str">
        <f t="shared" si="54"/>
        <v>G22</v>
      </c>
      <c r="G893" s="6" t="str">
        <f t="shared" si="55"/>
        <v>Prof17</v>
      </c>
      <c r="H893" s="6" t="str" cm="1">
        <f t="array" ref="H893">choice(Referentiel!A:A,1,Settings!$B$16)</f>
        <v>Design des mondes ruraux</v>
      </c>
      <c r="I893" s="6" t="str" cm="1">
        <f t="array" ref="I893">choice(Referentiel!B:B,1,Settings!$B$16)</f>
        <v>3ème année Design Textile et Matière S2</v>
      </c>
      <c r="J893" s="6" t="str" cm="1">
        <f t="array" ref="J893">choice(Referentiel!D:D,1,Settings!$B$16)</f>
        <v>L3</v>
      </c>
      <c r="K893" s="6" t="str" cm="1">
        <f t="array" ref="K893">choice(Professeurs!B:B,1,Settings!$B$16)</f>
        <v>Prof17</v>
      </c>
      <c r="L893" s="5" t="str" cm="1">
        <f t="array" ref="L893">choice(Referentiel!C:C,1,Settings!$B$16)</f>
        <v/>
      </c>
      <c r="M893" s="5" t="str" cm="1">
        <f t="array" ref="M893">choice(Referentiel!E:E,1,Settings!$B$16)</f>
        <v/>
      </c>
      <c r="N893" s="5" t="str" cm="1">
        <f t="array" ref="N893">choice(Settings!K:K,1,Settings!$B$16)</f>
        <v/>
      </c>
      <c r="P893" s="5">
        <f t="shared" si="56"/>
        <v>3</v>
      </c>
    </row>
    <row r="894" spans="1:16" ht="15.75" customHeight="1" x14ac:dyDescent="0.25">
      <c r="A894" s="6" t="s">
        <v>1246</v>
      </c>
      <c r="B894" s="6" cm="1">
        <f t="array" ref="B894">alea_int(Settings!$B$10,1,Settings!$B$16)</f>
        <v>3</v>
      </c>
      <c r="C894" s="8">
        <v>46023</v>
      </c>
      <c r="D894" s="8">
        <f t="shared" si="53"/>
        <v>46387</v>
      </c>
      <c r="E894" s="6" t="str" cm="1">
        <f t="array" ref="E894">choice(Groupes!A:A,1,Settings!$B$16)</f>
        <v>G23</v>
      </c>
      <c r="F894" s="6" t="str">
        <f t="shared" si="54"/>
        <v>G23</v>
      </c>
      <c r="G894" s="6" t="str">
        <f t="shared" si="55"/>
        <v>Prof28</v>
      </c>
      <c r="H894" s="6" t="str" cm="1">
        <f t="array" ref="H894">choice(Referentiel!A:A,1,Settings!$B$16)</f>
        <v>Design des mondes ruraux</v>
      </c>
      <c r="I894" s="6" t="str" cm="1">
        <f t="array" ref="I894">choice(Referentiel!B:B,1,Settings!$B$16)</f>
        <v>3ème année Image Imprimée S2</v>
      </c>
      <c r="J894" s="6" t="str" cm="1">
        <f t="array" ref="J894">choice(Referentiel!D:D,1,Settings!$B$16)</f>
        <v>M1</v>
      </c>
      <c r="K894" s="6" t="str" cm="1">
        <f t="array" ref="K894">choice(Professeurs!B:B,1,Settings!$B$16)</f>
        <v>Prof28</v>
      </c>
      <c r="L894" s="5" t="str" cm="1">
        <f t="array" ref="L894">choice(Referentiel!C:C,1,Settings!$B$16)</f>
        <v/>
      </c>
      <c r="M894" s="5" t="str" cm="1">
        <f t="array" ref="M894">choice(Referentiel!E:E,1,Settings!$B$16)</f>
        <v/>
      </c>
      <c r="N894" s="5" t="str" cm="1">
        <f t="array" ref="N894">choice(Settings!K:K,1,Settings!$B$16)</f>
        <v/>
      </c>
      <c r="P894" s="5">
        <f t="shared" si="56"/>
        <v>3</v>
      </c>
    </row>
    <row r="895" spans="1:16" ht="15.75" customHeight="1" x14ac:dyDescent="0.25">
      <c r="A895" s="6" t="s">
        <v>1247</v>
      </c>
      <c r="B895" s="6" cm="1">
        <f t="array" ref="B895">alea_int(Settings!$B$10,1,Settings!$B$16)</f>
        <v>2</v>
      </c>
      <c r="C895" s="8">
        <v>46023</v>
      </c>
      <c r="D895" s="8">
        <f t="shared" si="53"/>
        <v>46387</v>
      </c>
      <c r="E895" s="6" t="str" cm="1">
        <f t="array" ref="E895">choice(Groupes!A:A,1,Settings!$B$16)</f>
        <v>G14</v>
      </c>
      <c r="F895" s="6" t="str">
        <f t="shared" si="54"/>
        <v>G14</v>
      </c>
      <c r="G895" s="6" t="str">
        <f t="shared" si="55"/>
        <v>Prof27</v>
      </c>
      <c r="H895" s="6" t="str" cm="1">
        <f t="array" ref="H895">choice(Referentiel!A:A,1,Settings!$B$16)</f>
        <v>Image Imprimée</v>
      </c>
      <c r="I895" s="6" t="str" cm="1">
        <f t="array" ref="I895">choice(Referentiel!B:B,1,Settings!$B$16)</f>
        <v>5ème année Design Vêtement S1</v>
      </c>
      <c r="J895" s="6" t="str" cm="1">
        <f t="array" ref="J895">choice(Referentiel!D:D,1,Settings!$B$16)</f>
        <v>L2</v>
      </c>
      <c r="K895" s="6" t="str" cm="1">
        <f t="array" ref="K895">choice(Professeurs!B:B,1,Settings!$B$16)</f>
        <v>Prof27</v>
      </c>
      <c r="L895" s="5" t="str" cm="1">
        <f t="array" ref="L895">choice(Referentiel!C:C,1,Settings!$B$16)</f>
        <v/>
      </c>
      <c r="M895" s="5" t="str" cm="1">
        <f t="array" ref="M895">choice(Referentiel!E:E,1,Settings!$B$16)</f>
        <v/>
      </c>
      <c r="N895" s="5" t="str" cm="1">
        <f t="array" ref="N895">choice(Settings!K:K,1,Settings!$B$16)</f>
        <v>jeudi pm</v>
      </c>
      <c r="P895" s="5">
        <f t="shared" si="56"/>
        <v>4</v>
      </c>
    </row>
    <row r="896" spans="1:16" ht="15.75" customHeight="1" x14ac:dyDescent="0.25">
      <c r="A896" s="6" t="s">
        <v>1248</v>
      </c>
      <c r="B896" s="6" cm="1">
        <f t="array" ref="B896">alea_int(Settings!$B$10,1,Settings!$B$16)</f>
        <v>1</v>
      </c>
      <c r="C896" s="8">
        <v>46023</v>
      </c>
      <c r="D896" s="8">
        <f t="shared" si="53"/>
        <v>46387</v>
      </c>
      <c r="E896" s="6" t="str" cm="1">
        <f t="array" ref="E896">choice(Groupes!A:A,1,Settings!$B$16)</f>
        <v>G9</v>
      </c>
      <c r="F896" s="6" t="str">
        <f t="shared" si="54"/>
        <v>G9</v>
      </c>
      <c r="G896" s="6" t="str">
        <f t="shared" si="55"/>
        <v>Prof15</v>
      </c>
      <c r="H896" s="6" t="str" cm="1">
        <f t="array" ref="H896">choice(Referentiel!A:A,1,Settings!$B$16)</f>
        <v>Image Imprimée</v>
      </c>
      <c r="I896" s="6" t="str" cm="1">
        <f t="array" ref="I896">choice(Referentiel!B:B,1,Settings!$B$16)</f>
        <v>5ème année Design Textile et Matière S2</v>
      </c>
      <c r="J896" s="6" t="str" cm="1">
        <f t="array" ref="J896">choice(Referentiel!D:D,1,Settings!$B$16)</f>
        <v>L1</v>
      </c>
      <c r="K896" s="6" t="str" cm="1">
        <f t="array" ref="K896">choice(Professeurs!B:B,1,Settings!$B$16)</f>
        <v>Prof15</v>
      </c>
      <c r="L896" s="5" t="str" cm="1">
        <f t="array" ref="L896">choice(Referentiel!C:C,1,Settings!$B$16)</f>
        <v/>
      </c>
      <c r="M896" s="5" t="str" cm="1">
        <f t="array" ref="M896">choice(Referentiel!E:E,1,Settings!$B$16)</f>
        <v/>
      </c>
      <c r="N896" s="5" t="str" cm="1">
        <f t="array" ref="N896">choice(Settings!K:K,1,Settings!$B$16)</f>
        <v/>
      </c>
      <c r="P896" s="5">
        <f t="shared" si="56"/>
        <v>1</v>
      </c>
    </row>
    <row r="897" spans="1:16" ht="15.75" customHeight="1" x14ac:dyDescent="0.25">
      <c r="A897" s="6" t="s">
        <v>1249</v>
      </c>
      <c r="B897" s="6" cm="1">
        <f t="array" ref="B897">alea_int(Settings!$B$10,1,Settings!$B$16)</f>
        <v>1</v>
      </c>
      <c r="C897" s="8">
        <v>46023</v>
      </c>
      <c r="D897" s="8">
        <f t="shared" si="53"/>
        <v>46387</v>
      </c>
      <c r="E897" s="6" t="str" cm="1">
        <f t="array" ref="E897">choice(Groupes!A:A,1,Settings!$B$16)</f>
        <v>G12</v>
      </c>
      <c r="F897" s="6" t="str">
        <f t="shared" si="54"/>
        <v>G12</v>
      </c>
      <c r="G897" s="6" t="str">
        <f t="shared" si="55"/>
        <v>Prof7</v>
      </c>
      <c r="H897" s="6" t="str" cm="1">
        <f t="array" ref="H897">choice(Referentiel!A:A,1,Settings!$B$16)</f>
        <v>1ère année Groupe 1</v>
      </c>
      <c r="I897" s="6" t="str" cm="1">
        <f t="array" ref="I897">choice(Referentiel!B:B,1,Settings!$B$16)</f>
        <v>3ème année Design Graphique S1</v>
      </c>
      <c r="J897" s="6" t="str" cm="1">
        <f t="array" ref="J897">choice(Referentiel!D:D,1,Settings!$B$16)</f>
        <v>L2</v>
      </c>
      <c r="K897" s="6" t="str" cm="1">
        <f t="array" ref="K897">choice(Professeurs!B:B,1,Settings!$B$16)</f>
        <v>Prof7</v>
      </c>
      <c r="L897" s="5" t="str" cm="1">
        <f t="array" ref="L897">choice(Referentiel!C:C,1,Settings!$B$16)</f>
        <v/>
      </c>
      <c r="M897" s="5" t="str" cm="1">
        <f t="array" ref="M897">choice(Referentiel!E:E,1,Settings!$B$16)</f>
        <v/>
      </c>
      <c r="N897" s="5" t="str" cm="1">
        <f t="array" ref="N897">choice(Settings!K:K,1,Settings!$B$16)</f>
        <v/>
      </c>
      <c r="P897" s="5">
        <f t="shared" si="56"/>
        <v>1</v>
      </c>
    </row>
    <row r="898" spans="1:16" ht="15.75" customHeight="1" x14ac:dyDescent="0.25">
      <c r="A898" s="6" t="s">
        <v>1250</v>
      </c>
      <c r="B898" s="6" cm="1">
        <f t="array" ref="B898">alea_int(Settings!$B$10,1,Settings!$B$16)</f>
        <v>2</v>
      </c>
      <c r="C898" s="8">
        <v>46023</v>
      </c>
      <c r="D898" s="8">
        <f t="shared" si="53"/>
        <v>46387</v>
      </c>
      <c r="E898" s="6" t="str" cm="1">
        <f t="array" ref="E898">choice(Groupes!A:A,1,Settings!$B$16)</f>
        <v>G28</v>
      </c>
      <c r="F898" s="6" t="str">
        <f t="shared" si="54"/>
        <v>G28</v>
      </c>
      <c r="G898" s="6" t="str">
        <f t="shared" si="55"/>
        <v>Prof38</v>
      </c>
      <c r="H898" s="6" t="str" cm="1">
        <f t="array" ref="H898">choice(Referentiel!A:A,1,Settings!$B$16)</f>
        <v>Gr TERRITOIRES</v>
      </c>
      <c r="I898" s="6" t="str" cm="1">
        <f t="array" ref="I898">choice(Referentiel!B:B,1,Settings!$B$16)</f>
        <v>5ème année Design Objet S1</v>
      </c>
      <c r="J898" s="6" t="str" cm="1">
        <f t="array" ref="J898">choice(Referentiel!D:D,1,Settings!$B$16)</f>
        <v>L3</v>
      </c>
      <c r="K898" s="6" t="str" cm="1">
        <f t="array" ref="K898">choice(Professeurs!B:B,1,Settings!$B$16)</f>
        <v>Prof38</v>
      </c>
      <c r="L898" s="5" t="str" cm="1">
        <f t="array" ref="L898">choice(Referentiel!C:C,1,Settings!$B$16)</f>
        <v/>
      </c>
      <c r="M898" s="5" t="str" cm="1">
        <f t="array" ref="M898">choice(Referentiel!E:E,1,Settings!$B$16)</f>
        <v/>
      </c>
      <c r="N898" s="5" t="str" cm="1">
        <f t="array" ref="N898">choice(Settings!K:K,1,Settings!$B$16)</f>
        <v/>
      </c>
      <c r="P898" s="5">
        <f t="shared" si="56"/>
        <v>2</v>
      </c>
    </row>
    <row r="899" spans="1:16" ht="15.75" customHeight="1" x14ac:dyDescent="0.25">
      <c r="A899" s="6" t="s">
        <v>1251</v>
      </c>
      <c r="B899" s="6" cm="1">
        <f t="array" ref="B899">alea_int(Settings!$B$10,1,Settings!$B$16)</f>
        <v>2</v>
      </c>
      <c r="C899" s="8">
        <v>46023</v>
      </c>
      <c r="D899" s="8">
        <f t="shared" ref="D899:D962" si="57">C899+364</f>
        <v>46387</v>
      </c>
      <c r="E899" s="6" t="str" cm="1">
        <f t="array" ref="E899">choice(Groupes!A:A,1,Settings!$B$16)</f>
        <v>G24</v>
      </c>
      <c r="F899" s="6" t="str">
        <f t="shared" ref="F899:F962" si="58">E899</f>
        <v>G24</v>
      </c>
      <c r="G899" s="6" t="str">
        <f t="shared" ref="G899:G962" si="59">K899</f>
        <v>Prof6</v>
      </c>
      <c r="H899" s="6" t="str" cm="1">
        <f t="array" ref="H899">choice(Referentiel!A:A,1,Settings!$B$16)</f>
        <v>1ère année Groupe 1</v>
      </c>
      <c r="I899" s="6" t="str" cm="1">
        <f t="array" ref="I899">choice(Referentiel!B:B,1,Settings!$B$16)</f>
        <v>4ème année Image Imprimée S1</v>
      </c>
      <c r="J899" s="6" t="str" cm="1">
        <f t="array" ref="J899">choice(Referentiel!D:D,1,Settings!$B$16)</f>
        <v>M2</v>
      </c>
      <c r="K899" s="6" t="str" cm="1">
        <f t="array" ref="K899">choice(Professeurs!B:B,1,Settings!$B$16)</f>
        <v>Prof6</v>
      </c>
      <c r="L899" s="5" t="str" cm="1">
        <f t="array" ref="L899">choice(Referentiel!C:C,1,Settings!$B$16)</f>
        <v/>
      </c>
      <c r="M899" s="5" t="str" cm="1">
        <f t="array" ref="M899">choice(Referentiel!E:E,1,Settings!$B$16)</f>
        <v/>
      </c>
      <c r="N899" s="5" t="str" cm="1">
        <f t="array" ref="N899">choice(Settings!K:K,1,Settings!$B$16)</f>
        <v>vendredi am</v>
      </c>
      <c r="P899" s="5">
        <f t="shared" ref="P899:P962" si="60">B899+IF(M899&lt;&gt;"",2,0)+IF(N899&lt;&gt;"",2,0)</f>
        <v>4</v>
      </c>
    </row>
    <row r="900" spans="1:16" ht="15.75" customHeight="1" x14ac:dyDescent="0.25">
      <c r="A900" s="6" t="s">
        <v>1252</v>
      </c>
      <c r="B900" s="6" cm="1">
        <f t="array" ref="B900">alea_int(Settings!$B$10,1,Settings!$B$16)</f>
        <v>1</v>
      </c>
      <c r="C900" s="8">
        <v>46023</v>
      </c>
      <c r="D900" s="8">
        <f t="shared" si="57"/>
        <v>46387</v>
      </c>
      <c r="E900" s="6" t="str" cm="1">
        <f t="array" ref="E900">choice(Groupes!A:A,1,Settings!$B$16)</f>
        <v>G24</v>
      </c>
      <c r="F900" s="6" t="str">
        <f t="shared" si="58"/>
        <v>G24</v>
      </c>
      <c r="G900" s="6" t="str">
        <f t="shared" si="59"/>
        <v>Prof1</v>
      </c>
      <c r="H900" s="6" t="str" cm="1">
        <f t="array" ref="H900">choice(Referentiel!A:A,1,Settings!$B$16)</f>
        <v>Design des mondes urbains</v>
      </c>
      <c r="I900" s="6" t="str" cm="1">
        <f t="array" ref="I900">choice(Referentiel!B:B,1,Settings!$B$16)</f>
        <v>3ème année Art-Espace S1</v>
      </c>
      <c r="J900" s="6" t="str" cm="1">
        <f t="array" ref="J900">choice(Referentiel!D:D,1,Settings!$B$16)</f>
        <v>L3</v>
      </c>
      <c r="K900" s="6" t="str" cm="1">
        <f t="array" ref="K900">choice(Professeurs!B:B,1,Settings!$B$16)</f>
        <v>Prof1</v>
      </c>
      <c r="L900" s="5" t="str" cm="1">
        <f t="array" ref="L900">choice(Referentiel!C:C,1,Settings!$B$16)</f>
        <v/>
      </c>
      <c r="M900" s="5" t="str" cm="1">
        <f t="array" ref="M900">choice(Referentiel!E:E,1,Settings!$B$16)</f>
        <v/>
      </c>
      <c r="N900" s="5" t="str" cm="1">
        <f t="array" ref="N900">choice(Settings!K:K,1,Settings!$B$16)</f>
        <v/>
      </c>
      <c r="P900" s="5">
        <f t="shared" si="60"/>
        <v>1</v>
      </c>
    </row>
    <row r="901" spans="1:16" ht="15.75" customHeight="1" x14ac:dyDescent="0.25">
      <c r="A901" s="6" t="s">
        <v>1253</v>
      </c>
      <c r="B901" s="6" cm="1">
        <f t="array" ref="B901">alea_int(Settings!$B$10,1,Settings!$B$16)</f>
        <v>3</v>
      </c>
      <c r="C901" s="8">
        <v>46023</v>
      </c>
      <c r="D901" s="8">
        <f t="shared" si="57"/>
        <v>46387</v>
      </c>
      <c r="E901" s="6" t="str" cm="1">
        <f t="array" ref="E901">choice(Groupes!A:A,1,Settings!$B$16)</f>
        <v>G8</v>
      </c>
      <c r="F901" s="6" t="str">
        <f t="shared" si="58"/>
        <v>G8</v>
      </c>
      <c r="G901" s="6" t="str">
        <f t="shared" si="59"/>
        <v>Prof47</v>
      </c>
      <c r="H901" s="6" t="str" cm="1">
        <f t="array" ref="H901">choice(Referentiel!A:A,1,Settings!$B$16)</f>
        <v>Gr REFLECTIVE INTERACTION</v>
      </c>
      <c r="I901" s="6" t="str" cm="1">
        <f t="array" ref="I901">choice(Referentiel!B:B,1,Settings!$B$16)</f>
        <v>2ème année Art-Espace S1</v>
      </c>
      <c r="J901" s="6" t="str" cm="1">
        <f t="array" ref="J901">choice(Referentiel!D:D,1,Settings!$B$16)</f>
        <v>M2</v>
      </c>
      <c r="K901" s="6" t="str" cm="1">
        <f t="array" ref="K901">choice(Professeurs!B:B,1,Settings!$B$16)</f>
        <v>Prof47</v>
      </c>
      <c r="L901" s="5" t="str" cm="1">
        <f t="array" ref="L901">choice(Referentiel!C:C,1,Settings!$B$16)</f>
        <v/>
      </c>
      <c r="M901" s="5" t="str" cm="1">
        <f t="array" ref="M901">choice(Referentiel!E:E,1,Settings!$B$16)</f>
        <v/>
      </c>
      <c r="N901" s="5" t="str" cm="1">
        <f t="array" ref="N901">choice(Settings!K:K,1,Settings!$B$16)</f>
        <v>vendredi am</v>
      </c>
      <c r="P901" s="5">
        <f t="shared" si="60"/>
        <v>5</v>
      </c>
    </row>
    <row r="902" spans="1:16" ht="15.75" customHeight="1" x14ac:dyDescent="0.25">
      <c r="A902" s="6" t="s">
        <v>1254</v>
      </c>
      <c r="B902" s="6" cm="1">
        <f t="array" ref="B902">alea_int(Settings!$B$10,1,Settings!$B$16)</f>
        <v>3</v>
      </c>
      <c r="C902" s="8">
        <v>46023</v>
      </c>
      <c r="D902" s="8">
        <f t="shared" si="57"/>
        <v>46387</v>
      </c>
      <c r="E902" s="6" t="str" cm="1">
        <f t="array" ref="E902">choice(Groupes!A:A,1,Settings!$B$16)</f>
        <v>G29</v>
      </c>
      <c r="F902" s="6" t="str">
        <f t="shared" si="58"/>
        <v>G29</v>
      </c>
      <c r="G902" s="6" t="str">
        <f t="shared" si="59"/>
        <v>Prof40</v>
      </c>
      <c r="H902" s="6" t="str" cm="1">
        <f t="array" ref="H902">choice(Referentiel!A:A,1,Settings!$B$16)</f>
        <v>Photo / Vidéo</v>
      </c>
      <c r="I902" s="6" t="str" cm="1">
        <f t="array" ref="I902">choice(Referentiel!B:B,1,Settings!$B$16)</f>
        <v>2ème année Image Imprimée S2</v>
      </c>
      <c r="J902" s="6" t="str" cm="1">
        <f t="array" ref="J902">choice(Referentiel!D:D,1,Settings!$B$16)</f>
        <v>L3</v>
      </c>
      <c r="K902" s="6" t="str" cm="1">
        <f t="array" ref="K902">choice(Professeurs!B:B,1,Settings!$B$16)</f>
        <v>Prof40</v>
      </c>
      <c r="L902" s="5" t="str" cm="1">
        <f t="array" ref="L902">choice(Referentiel!C:C,1,Settings!$B$16)</f>
        <v/>
      </c>
      <c r="M902" s="5" t="str" cm="1">
        <f t="array" ref="M902">choice(Referentiel!E:E,1,Settings!$B$16)</f>
        <v/>
      </c>
      <c r="N902" s="5" t="str" cm="1">
        <f t="array" ref="N902">choice(Settings!K:K,1,Settings!$B$16)</f>
        <v/>
      </c>
      <c r="P902" s="5">
        <f t="shared" si="60"/>
        <v>3</v>
      </c>
    </row>
    <row r="903" spans="1:16" ht="15.75" customHeight="1" x14ac:dyDescent="0.25">
      <c r="A903" s="6" t="s">
        <v>1255</v>
      </c>
      <c r="B903" s="6" cm="1">
        <f t="array" ref="B903">alea_int(Settings!$B$10,1,Settings!$B$16)</f>
        <v>2</v>
      </c>
      <c r="C903" s="8">
        <v>46023</v>
      </c>
      <c r="D903" s="8">
        <f t="shared" si="57"/>
        <v>46387</v>
      </c>
      <c r="E903" s="6" t="str" cm="1">
        <f t="array" ref="E903">choice(Groupes!A:A,1,Settings!$B$16)</f>
        <v>G1</v>
      </c>
      <c r="F903" s="6" t="str">
        <f t="shared" si="58"/>
        <v>G1</v>
      </c>
      <c r="G903" s="6" t="str">
        <f t="shared" si="59"/>
        <v>Prof27</v>
      </c>
      <c r="H903" s="6" t="str" cm="1">
        <f t="array" ref="H903">choice(Referentiel!A:A,1,Settings!$B$16)</f>
        <v>6ème ANNÉE STAGE</v>
      </c>
      <c r="I903" s="6" t="str" cm="1">
        <f t="array" ref="I903">choice(Referentiel!B:B,1,Settings!$B$16)</f>
        <v>4ème année Design Objet S2</v>
      </c>
      <c r="J903" s="6" t="str" cm="1">
        <f t="array" ref="J903">choice(Referentiel!D:D,1,Settings!$B$16)</f>
        <v>L1</v>
      </c>
      <c r="K903" s="6" t="str" cm="1">
        <f t="array" ref="K903">choice(Professeurs!B:B,1,Settings!$B$16)</f>
        <v>Prof27</v>
      </c>
      <c r="L903" s="5" t="str" cm="1">
        <f t="array" ref="L903">choice(Referentiel!C:C,1,Settings!$B$16)</f>
        <v/>
      </c>
      <c r="M903" s="5" t="str" cm="1">
        <f t="array" ref="M903">choice(Referentiel!E:E,1,Settings!$B$16)</f>
        <v/>
      </c>
      <c r="N903" s="5" t="str" cm="1">
        <f t="array" ref="N903">choice(Settings!K:K,1,Settings!$B$16)</f>
        <v>lundi am</v>
      </c>
      <c r="P903" s="5">
        <f t="shared" si="60"/>
        <v>4</v>
      </c>
    </row>
    <row r="904" spans="1:16" ht="15.75" customHeight="1" x14ac:dyDescent="0.25">
      <c r="A904" s="6" t="s">
        <v>1256</v>
      </c>
      <c r="B904" s="6" cm="1">
        <f t="array" ref="B904">alea_int(Settings!$B$10,1,Settings!$B$16)</f>
        <v>3</v>
      </c>
      <c r="C904" s="8">
        <v>46023</v>
      </c>
      <c r="D904" s="8">
        <f t="shared" si="57"/>
        <v>46387</v>
      </c>
      <c r="E904" s="6" t="str" cm="1">
        <f t="array" ref="E904">choice(Groupes!A:A,1,Settings!$B$16)</f>
        <v>G9</v>
      </c>
      <c r="F904" s="6" t="str">
        <f t="shared" si="58"/>
        <v>G9</v>
      </c>
      <c r="G904" s="6" t="str">
        <f t="shared" si="59"/>
        <v>Prof48</v>
      </c>
      <c r="H904" s="6" t="str" cm="1">
        <f t="array" ref="H904">choice(Referentiel!A:A,1,Settings!$B$16)</f>
        <v>Design des mondes insulaires</v>
      </c>
      <c r="I904" s="6" t="str" cm="1">
        <f t="array" ref="I904">choice(Referentiel!B:B,1,Settings!$B$16)</f>
        <v>5ème année Scénographie S1</v>
      </c>
      <c r="J904" s="6" t="str" cm="1">
        <f t="array" ref="J904">choice(Referentiel!D:D,1,Settings!$B$16)</f>
        <v>M2</v>
      </c>
      <c r="K904" s="6" t="str" cm="1">
        <f t="array" ref="K904">choice(Professeurs!B:B,1,Settings!$B$16)</f>
        <v>Prof48</v>
      </c>
      <c r="L904" s="5" t="str" cm="1">
        <f t="array" ref="L904">choice(Referentiel!C:C,1,Settings!$B$16)</f>
        <v>pupitre</v>
      </c>
      <c r="M904" s="5" t="str" cm="1">
        <f t="array" ref="M904">choice(Referentiel!E:E,1,Settings!$B$16)</f>
        <v/>
      </c>
      <c r="N904" s="5" t="str" cm="1">
        <f t="array" ref="N904">choice(Settings!K:K,1,Settings!$B$16)</f>
        <v>mercredi pm</v>
      </c>
      <c r="P904" s="5">
        <f t="shared" si="60"/>
        <v>5</v>
      </c>
    </row>
    <row r="905" spans="1:16" ht="15.75" customHeight="1" x14ac:dyDescent="0.25">
      <c r="A905" s="6" t="s">
        <v>1257</v>
      </c>
      <c r="B905" s="6" cm="1">
        <f t="array" ref="B905">alea_int(Settings!$B$10,1,Settings!$B$16)</f>
        <v>3</v>
      </c>
      <c r="C905" s="8">
        <v>46023</v>
      </c>
      <c r="D905" s="8">
        <f t="shared" si="57"/>
        <v>46387</v>
      </c>
      <c r="E905" s="6" t="str" cm="1">
        <f t="array" ref="E905">choice(Groupes!A:A,1,Settings!$B$16)</f>
        <v>G12</v>
      </c>
      <c r="F905" s="6" t="str">
        <f t="shared" si="58"/>
        <v>G12</v>
      </c>
      <c r="G905" s="6" t="str">
        <f t="shared" si="59"/>
        <v>Prof29</v>
      </c>
      <c r="H905" s="6" t="str" cm="1">
        <f t="array" ref="H905">choice(Referentiel!A:A,1,Settings!$B$16)</f>
        <v>1ère année Groupe 1</v>
      </c>
      <c r="I905" s="6" t="str" cm="1">
        <f t="array" ref="I905">choice(Referentiel!B:B,1,Settings!$B$16)</f>
        <v>2ème année Architecture Intérieure S2</v>
      </c>
      <c r="J905" s="6" t="str" cm="1">
        <f t="array" ref="J905">choice(Referentiel!D:D,1,Settings!$B$16)</f>
        <v>M1</v>
      </c>
      <c r="K905" s="6" t="str" cm="1">
        <f t="array" ref="K905">choice(Professeurs!B:B,1,Settings!$B$16)</f>
        <v>Prof29</v>
      </c>
      <c r="L905" s="5" t="str" cm="1">
        <f t="array" ref="L905">choice(Referentiel!C:C,1,Settings!$B$16)</f>
        <v/>
      </c>
      <c r="M905" s="5" t="str" cm="1">
        <f t="array" ref="M905">choice(Referentiel!E:E,1,Settings!$B$16)</f>
        <v/>
      </c>
      <c r="N905" s="5" t="str" cm="1">
        <f t="array" ref="N905">choice(Settings!K:K,1,Settings!$B$16)</f>
        <v/>
      </c>
      <c r="P905" s="5">
        <f t="shared" si="60"/>
        <v>3</v>
      </c>
    </row>
    <row r="906" spans="1:16" ht="15.75" customHeight="1" x14ac:dyDescent="0.25">
      <c r="A906" s="6" t="s">
        <v>1258</v>
      </c>
      <c r="B906" s="6" cm="1">
        <f t="array" ref="B906">alea_int(Settings!$B$10,1,Settings!$B$16)</f>
        <v>3</v>
      </c>
      <c r="C906" s="8">
        <v>46023</v>
      </c>
      <c r="D906" s="8">
        <f t="shared" si="57"/>
        <v>46387</v>
      </c>
      <c r="E906" s="6" t="str" cm="1">
        <f t="array" ref="E906">choice(Groupes!A:A,1,Settings!$B$16)</f>
        <v>G1</v>
      </c>
      <c r="F906" s="6" t="str">
        <f t="shared" si="58"/>
        <v>G1</v>
      </c>
      <c r="G906" s="6" t="str">
        <f t="shared" si="59"/>
        <v>Prof29</v>
      </c>
      <c r="H906" s="6" t="str" cm="1">
        <f t="array" ref="H906">choice(Referentiel!A:A,1,Settings!$B$16)</f>
        <v>1ère année Groupe 4</v>
      </c>
      <c r="I906" s="6" t="str" cm="1">
        <f t="array" ref="I906">choice(Referentiel!B:B,1,Settings!$B$16)</f>
        <v>5ème année Design Graphique S1</v>
      </c>
      <c r="J906" s="6" t="str" cm="1">
        <f t="array" ref="J906">choice(Referentiel!D:D,1,Settings!$B$16)</f>
        <v>M1</v>
      </c>
      <c r="K906" s="6" t="str" cm="1">
        <f t="array" ref="K906">choice(Professeurs!B:B,1,Settings!$B$16)</f>
        <v>Prof29</v>
      </c>
      <c r="L906" s="5" t="str" cm="1">
        <f t="array" ref="L906">choice(Referentiel!C:C,1,Settings!$B$16)</f>
        <v/>
      </c>
      <c r="M906" s="5" t="str" cm="1">
        <f t="array" ref="M906">choice(Referentiel!E:E,1,Settings!$B$16)</f>
        <v/>
      </c>
      <c r="N906" s="5" t="str" cm="1">
        <f t="array" ref="N906">choice(Settings!K:K,1,Settings!$B$16)</f>
        <v/>
      </c>
      <c r="P906" s="5">
        <f t="shared" si="60"/>
        <v>3</v>
      </c>
    </row>
    <row r="907" spans="1:16" ht="15.75" customHeight="1" x14ac:dyDescent="0.25">
      <c r="A907" s="6" t="s">
        <v>1259</v>
      </c>
      <c r="B907" s="6" cm="1">
        <f t="array" ref="B907">alea_int(Settings!$B$10,1,Settings!$B$16)</f>
        <v>1</v>
      </c>
      <c r="C907" s="8">
        <v>46023</v>
      </c>
      <c r="D907" s="8">
        <f t="shared" si="57"/>
        <v>46387</v>
      </c>
      <c r="E907" s="6" t="str" cm="1">
        <f t="array" ref="E907">choice(Groupes!A:A,1,Settings!$B$16)</f>
        <v>G22</v>
      </c>
      <c r="F907" s="6" t="str">
        <f t="shared" si="58"/>
        <v>G22</v>
      </c>
      <c r="G907" s="6" t="str">
        <f t="shared" si="59"/>
        <v>Prof43</v>
      </c>
      <c r="H907" s="6" t="str" cm="1">
        <f t="array" ref="H907">choice(Referentiel!A:A,1,Settings!$B$16)</f>
        <v>Architecture Intérieure</v>
      </c>
      <c r="I907" s="6" t="str" cm="1">
        <f t="array" ref="I907">choice(Referentiel!B:B,1,Settings!$B$16)</f>
        <v>4ème année Design Objet S1</v>
      </c>
      <c r="J907" s="6" t="str" cm="1">
        <f t="array" ref="J907">choice(Referentiel!D:D,1,Settings!$B$16)</f>
        <v>L3</v>
      </c>
      <c r="K907" s="6" t="str" cm="1">
        <f t="array" ref="K907">choice(Professeurs!B:B,1,Settings!$B$16)</f>
        <v>Prof43</v>
      </c>
      <c r="L907" s="5" t="str" cm="1">
        <f t="array" ref="L907">choice(Referentiel!C:C,1,Settings!$B$16)</f>
        <v/>
      </c>
      <c r="M907" s="5" t="str" cm="1">
        <f t="array" ref="M907">choice(Referentiel!E:E,1,Settings!$B$16)</f>
        <v/>
      </c>
      <c r="N907" s="5" t="str" cm="1">
        <f t="array" ref="N907">choice(Settings!K:K,1,Settings!$B$16)</f>
        <v/>
      </c>
      <c r="P907" s="5">
        <f t="shared" si="60"/>
        <v>1</v>
      </c>
    </row>
    <row r="908" spans="1:16" ht="15.75" customHeight="1" x14ac:dyDescent="0.25">
      <c r="A908" s="6" t="s">
        <v>1260</v>
      </c>
      <c r="B908" s="6" cm="1">
        <f t="array" ref="B908">alea_int(Settings!$B$10,1,Settings!$B$16)</f>
        <v>3</v>
      </c>
      <c r="C908" s="8">
        <v>46023</v>
      </c>
      <c r="D908" s="8">
        <f t="shared" si="57"/>
        <v>46387</v>
      </c>
      <c r="E908" s="6" t="str" cm="1">
        <f t="array" ref="E908">choice(Groupes!A:A,1,Settings!$B$16)</f>
        <v>G7</v>
      </c>
      <c r="F908" s="6" t="str">
        <f t="shared" si="58"/>
        <v>G7</v>
      </c>
      <c r="G908" s="6" t="str">
        <f t="shared" si="59"/>
        <v>Prof19</v>
      </c>
      <c r="H908" s="6" t="str" cm="1">
        <f t="array" ref="H908">choice(Referentiel!A:A,1,Settings!$B$16)</f>
        <v>Design des mondes littoraux</v>
      </c>
      <c r="I908" s="6" t="str" cm="1">
        <f t="array" ref="I908">choice(Referentiel!B:B,1,Settings!$B$16)</f>
        <v>2ème année Scénographie S2</v>
      </c>
      <c r="J908" s="6" t="str" cm="1">
        <f t="array" ref="J908">choice(Referentiel!D:D,1,Settings!$B$16)</f>
        <v>M1</v>
      </c>
      <c r="K908" s="6" t="str" cm="1">
        <f t="array" ref="K908">choice(Professeurs!B:B,1,Settings!$B$16)</f>
        <v>Prof19</v>
      </c>
      <c r="L908" s="5" t="str" cm="1">
        <f t="array" ref="L908">choice(Referentiel!C:C,1,Settings!$B$16)</f>
        <v/>
      </c>
      <c r="M908" s="5" t="str" cm="1">
        <f t="array" ref="M908">choice(Referentiel!E:E,1,Settings!$B$16)</f>
        <v/>
      </c>
      <c r="N908" s="5" t="str" cm="1">
        <f t="array" ref="N908">choice(Settings!K:K,1,Settings!$B$16)</f>
        <v>mercredi ap</v>
      </c>
      <c r="P908" s="5">
        <f t="shared" si="60"/>
        <v>5</v>
      </c>
    </row>
    <row r="909" spans="1:16" ht="15.75" customHeight="1" x14ac:dyDescent="0.25">
      <c r="A909" s="6" t="s">
        <v>1261</v>
      </c>
      <c r="B909" s="6" cm="1">
        <f t="array" ref="B909">alea_int(Settings!$B$10,1,Settings!$B$16)</f>
        <v>3</v>
      </c>
      <c r="C909" s="8">
        <v>46023</v>
      </c>
      <c r="D909" s="8">
        <f t="shared" si="57"/>
        <v>46387</v>
      </c>
      <c r="E909" s="6" t="str" cm="1">
        <f t="array" ref="E909">choice(Groupes!A:A,1,Settings!$B$16)</f>
        <v>G23</v>
      </c>
      <c r="F909" s="6" t="str">
        <f t="shared" si="58"/>
        <v>G23</v>
      </c>
      <c r="G909" s="6" t="str">
        <f t="shared" si="59"/>
        <v>Prof48</v>
      </c>
      <c r="H909" s="6" t="str" cm="1">
        <f t="array" ref="H909">choice(Referentiel!A:A,1,Settings!$B$16)</f>
        <v>Cinéma d'Animation</v>
      </c>
      <c r="I909" s="6" t="str" cm="1">
        <f t="array" ref="I909">choice(Referentiel!B:B,1,Settings!$B$16)</f>
        <v>2ème année Scénographie S1</v>
      </c>
      <c r="J909" s="6" t="str" cm="1">
        <f t="array" ref="J909">choice(Referentiel!D:D,1,Settings!$B$16)</f>
        <v>M2</v>
      </c>
      <c r="K909" s="6" t="str" cm="1">
        <f t="array" ref="K909">choice(Professeurs!B:B,1,Settings!$B$16)</f>
        <v>Prof48</v>
      </c>
      <c r="L909" s="5" t="str" cm="1">
        <f t="array" ref="L909">choice(Referentiel!C:C,1,Settings!$B$16)</f>
        <v/>
      </c>
      <c r="M909" s="5" t="str" cm="1">
        <f t="array" ref="M909">choice(Referentiel!E:E,1,Settings!$B$16)</f>
        <v/>
      </c>
      <c r="N909" s="5" t="str" cm="1">
        <f t="array" ref="N909">choice(Settings!K:K,1,Settings!$B$16)</f>
        <v/>
      </c>
      <c r="P909" s="5">
        <f t="shared" si="60"/>
        <v>3</v>
      </c>
    </row>
    <row r="910" spans="1:16" ht="15.75" customHeight="1" x14ac:dyDescent="0.25">
      <c r="A910" s="6" t="s">
        <v>1262</v>
      </c>
      <c r="B910" s="6" cm="1">
        <f t="array" ref="B910">alea_int(Settings!$B$10,1,Settings!$B$16)</f>
        <v>2</v>
      </c>
      <c r="C910" s="8">
        <v>46023</v>
      </c>
      <c r="D910" s="8">
        <f t="shared" si="57"/>
        <v>46387</v>
      </c>
      <c r="E910" s="6" t="str" cm="1">
        <f t="array" ref="E910">choice(Groupes!A:A,1,Settings!$B$16)</f>
        <v>G1</v>
      </c>
      <c r="F910" s="6" t="str">
        <f t="shared" si="58"/>
        <v>G1</v>
      </c>
      <c r="G910" s="6" t="str">
        <f t="shared" si="59"/>
        <v>Prof27</v>
      </c>
      <c r="H910" s="6" t="str" cm="1">
        <f t="array" ref="H910">choice(Referentiel!A:A,1,Settings!$B$16)</f>
        <v>Cinéma d'Animation</v>
      </c>
      <c r="I910" s="6" t="str" cm="1">
        <f t="array" ref="I910">choice(Referentiel!B:B,1,Settings!$B$16)</f>
        <v>2ème année Design Textile et Matière S1</v>
      </c>
      <c r="J910" s="6" t="str" cm="1">
        <f t="array" ref="J910">choice(Referentiel!D:D,1,Settings!$B$16)</f>
        <v>L3</v>
      </c>
      <c r="K910" s="6" t="str" cm="1">
        <f t="array" ref="K910">choice(Professeurs!B:B,1,Settings!$B$16)</f>
        <v>Prof27</v>
      </c>
      <c r="L910" s="5" t="str" cm="1">
        <f t="array" ref="L910">choice(Referentiel!C:C,1,Settings!$B$16)</f>
        <v/>
      </c>
      <c r="M910" s="5" t="str" cm="1">
        <f t="array" ref="M910">choice(Referentiel!E:E,1,Settings!$B$16)</f>
        <v/>
      </c>
      <c r="N910" s="5" t="str" cm="1">
        <f t="array" ref="N910">choice(Settings!K:K,1,Settings!$B$16)</f>
        <v>mercredi ap</v>
      </c>
      <c r="P910" s="5">
        <f t="shared" si="60"/>
        <v>4</v>
      </c>
    </row>
    <row r="911" spans="1:16" ht="15.75" customHeight="1" x14ac:dyDescent="0.25">
      <c r="A911" s="6" t="s">
        <v>1263</v>
      </c>
      <c r="B911" s="6" cm="1">
        <f t="array" ref="B911">alea_int(Settings!$B$10,1,Settings!$B$16)</f>
        <v>2</v>
      </c>
      <c r="C911" s="8">
        <v>46023</v>
      </c>
      <c r="D911" s="8">
        <f t="shared" si="57"/>
        <v>46387</v>
      </c>
      <c r="E911" s="6" t="str" cm="1">
        <f t="array" ref="E911">choice(Groupes!A:A,1,Settings!$B$16)</f>
        <v>G27</v>
      </c>
      <c r="F911" s="6" t="str">
        <f t="shared" si="58"/>
        <v>G27</v>
      </c>
      <c r="G911" s="6" t="str">
        <f t="shared" si="59"/>
        <v>Prof3</v>
      </c>
      <c r="H911" s="6" t="str" cm="1">
        <f t="array" ref="H911">choice(Referentiel!A:A,1,Settings!$B$16)</f>
        <v>6ème année atelier</v>
      </c>
      <c r="I911" s="6" t="str" cm="1">
        <f t="array" ref="I911">choice(Referentiel!B:B,1,Settings!$B$16)</f>
        <v>2ème année Design Objet S2</v>
      </c>
      <c r="J911" s="6" t="str" cm="1">
        <f t="array" ref="J911">choice(Referentiel!D:D,1,Settings!$B$16)</f>
        <v>L2</v>
      </c>
      <c r="K911" s="6" t="str" cm="1">
        <f t="array" ref="K911">choice(Professeurs!B:B,1,Settings!$B$16)</f>
        <v>Prof3</v>
      </c>
      <c r="L911" s="5" t="str" cm="1">
        <f t="array" ref="L911">choice(Referentiel!C:C,1,Settings!$B$16)</f>
        <v/>
      </c>
      <c r="M911" s="5" t="str" cm="1">
        <f t="array" ref="M911">choice(Referentiel!E:E,1,Settings!$B$16)</f>
        <v/>
      </c>
      <c r="N911" s="5" t="str" cm="1">
        <f t="array" ref="N911">choice(Settings!K:K,1,Settings!$B$16)</f>
        <v/>
      </c>
      <c r="P911" s="5">
        <f t="shared" si="60"/>
        <v>2</v>
      </c>
    </row>
    <row r="912" spans="1:16" ht="15.75" customHeight="1" x14ac:dyDescent="0.25">
      <c r="A912" s="6" t="s">
        <v>1264</v>
      </c>
      <c r="B912" s="6" cm="1">
        <f t="array" ref="B912">alea_int(Settings!$B$10,1,Settings!$B$16)</f>
        <v>3</v>
      </c>
      <c r="C912" s="8">
        <v>46023</v>
      </c>
      <c r="D912" s="8">
        <f t="shared" si="57"/>
        <v>46387</v>
      </c>
      <c r="E912" s="6" t="str" cm="1">
        <f t="array" ref="E912">choice(Groupes!A:A,1,Settings!$B$16)</f>
        <v>G5</v>
      </c>
      <c r="F912" s="6" t="str">
        <f t="shared" si="58"/>
        <v>G5</v>
      </c>
      <c r="G912" s="6" t="str">
        <f t="shared" si="59"/>
        <v>Prof32</v>
      </c>
      <c r="H912" s="6" t="str" cm="1">
        <f t="array" ref="H912">choice(Referentiel!A:A,1,Settings!$B$16)</f>
        <v>Scénographie</v>
      </c>
      <c r="I912" s="6" t="str" cm="1">
        <f t="array" ref="I912">choice(Referentiel!B:B,1,Settings!$B$16)</f>
        <v>4ème année Architecture Intérieure S1</v>
      </c>
      <c r="J912" s="6" t="str" cm="1">
        <f t="array" ref="J912">choice(Referentiel!D:D,1,Settings!$B$16)</f>
        <v>M2</v>
      </c>
      <c r="K912" s="6" t="str" cm="1">
        <f t="array" ref="K912">choice(Professeurs!B:B,1,Settings!$B$16)</f>
        <v>Prof32</v>
      </c>
      <c r="L912" s="5" t="str" cm="1">
        <f t="array" ref="L912">choice(Referentiel!C:C,1,Settings!$B$16)</f>
        <v/>
      </c>
      <c r="M912" s="5" t="str" cm="1">
        <f t="array" ref="M912">choice(Referentiel!E:E,1,Settings!$B$16)</f>
        <v/>
      </c>
      <c r="N912" s="5" t="str" cm="1">
        <f t="array" ref="N912">choice(Settings!K:K,1,Settings!$B$16)</f>
        <v/>
      </c>
      <c r="P912" s="5">
        <f t="shared" si="60"/>
        <v>3</v>
      </c>
    </row>
    <row r="913" spans="1:16" ht="15.75" customHeight="1" x14ac:dyDescent="0.25">
      <c r="A913" s="6" t="s">
        <v>1265</v>
      </c>
      <c r="B913" s="6" cm="1">
        <f t="array" ref="B913">alea_int(Settings!$B$10,1,Settings!$B$16)</f>
        <v>3</v>
      </c>
      <c r="C913" s="8">
        <v>46023</v>
      </c>
      <c r="D913" s="8">
        <f t="shared" si="57"/>
        <v>46387</v>
      </c>
      <c r="E913" s="6" t="str" cm="1">
        <f t="array" ref="E913">choice(Groupes!A:A,1,Settings!$B$16)</f>
        <v>G25</v>
      </c>
      <c r="F913" s="6" t="str">
        <f t="shared" si="58"/>
        <v>G25</v>
      </c>
      <c r="G913" s="6" t="str">
        <f t="shared" si="59"/>
        <v>Prof15</v>
      </c>
      <c r="H913" s="6" t="str" cm="1">
        <f t="array" ref="H913">choice(Referentiel!A:A,1,Settings!$B$16)</f>
        <v>Gr SPATIAL MEDIA</v>
      </c>
      <c r="I913" s="6" t="str" cm="1">
        <f t="array" ref="I913">choice(Referentiel!B:B,1,Settings!$B$16)</f>
        <v>2ème année Art-Espace S2</v>
      </c>
      <c r="J913" s="6" t="str" cm="1">
        <f t="array" ref="J913">choice(Referentiel!D:D,1,Settings!$B$16)</f>
        <v>M2</v>
      </c>
      <c r="K913" s="6" t="str" cm="1">
        <f t="array" ref="K913">choice(Professeurs!B:B,1,Settings!$B$16)</f>
        <v>Prof15</v>
      </c>
      <c r="L913" s="5" t="str" cm="1">
        <f t="array" ref="L913">choice(Referentiel!C:C,1,Settings!$B$16)</f>
        <v/>
      </c>
      <c r="M913" s="5" t="str" cm="1">
        <f t="array" ref="M913">choice(Referentiel!E:E,1,Settings!$B$16)</f>
        <v/>
      </c>
      <c r="N913" s="5" t="str" cm="1">
        <f t="array" ref="N913">choice(Settings!K:K,1,Settings!$B$16)</f>
        <v>jeudi pm</v>
      </c>
      <c r="P913" s="5">
        <f t="shared" si="60"/>
        <v>5</v>
      </c>
    </row>
    <row r="914" spans="1:16" ht="15.75" customHeight="1" x14ac:dyDescent="0.25">
      <c r="A914" s="6" t="s">
        <v>1266</v>
      </c>
      <c r="B914" s="6" cm="1">
        <f t="array" ref="B914">alea_int(Settings!$B$10,1,Settings!$B$16)</f>
        <v>1</v>
      </c>
      <c r="C914" s="8">
        <v>46023</v>
      </c>
      <c r="D914" s="8">
        <f t="shared" si="57"/>
        <v>46387</v>
      </c>
      <c r="E914" s="6" t="str" cm="1">
        <f t="array" ref="E914">choice(Groupes!A:A,1,Settings!$B$16)</f>
        <v>G30</v>
      </c>
      <c r="F914" s="6" t="str">
        <f t="shared" si="58"/>
        <v>G30</v>
      </c>
      <c r="G914" s="6" t="str">
        <f t="shared" si="59"/>
        <v>Prof10</v>
      </c>
      <c r="H914" s="6" t="str" cm="1">
        <f t="array" ref="H914">choice(Referentiel!A:A,1,Settings!$B$16)</f>
        <v>Cinéma d'Animation</v>
      </c>
      <c r="I914" s="6" t="str" cm="1">
        <f t="array" ref="I914">choice(Referentiel!B:B,1,Settings!$B$16)</f>
        <v>3ème année Photo / Vidéo S1</v>
      </c>
      <c r="J914" s="6" t="str" cm="1">
        <f t="array" ref="J914">choice(Referentiel!D:D,1,Settings!$B$16)</f>
        <v>L1</v>
      </c>
      <c r="K914" s="6" t="str" cm="1">
        <f t="array" ref="K914">choice(Professeurs!B:B,1,Settings!$B$16)</f>
        <v>Prof10</v>
      </c>
      <c r="L914" s="5" t="str" cm="1">
        <f t="array" ref="L914">choice(Referentiel!C:C,1,Settings!$B$16)</f>
        <v/>
      </c>
      <c r="M914" s="5" t="str" cm="1">
        <f t="array" ref="M914">choice(Referentiel!E:E,1,Settings!$B$16)</f>
        <v/>
      </c>
      <c r="N914" s="5" t="str" cm="1">
        <f t="array" ref="N914">choice(Settings!K:K,1,Settings!$B$16)</f>
        <v/>
      </c>
      <c r="P914" s="5">
        <f t="shared" si="60"/>
        <v>1</v>
      </c>
    </row>
    <row r="915" spans="1:16" ht="15.75" customHeight="1" x14ac:dyDescent="0.25">
      <c r="A915" s="6" t="s">
        <v>1267</v>
      </c>
      <c r="B915" s="6" cm="1">
        <f t="array" ref="B915">alea_int(Settings!$B$10,1,Settings!$B$16)</f>
        <v>2</v>
      </c>
      <c r="C915" s="8">
        <v>46023</v>
      </c>
      <c r="D915" s="8">
        <f t="shared" si="57"/>
        <v>46387</v>
      </c>
      <c r="E915" s="6" t="str" cm="1">
        <f t="array" ref="E915">choice(Groupes!A:A,1,Settings!$B$16)</f>
        <v>G17</v>
      </c>
      <c r="F915" s="6" t="str">
        <f t="shared" si="58"/>
        <v>G17</v>
      </c>
      <c r="G915" s="6" t="str">
        <f t="shared" si="59"/>
        <v>Prof51</v>
      </c>
      <c r="H915" s="6" t="str" cm="1">
        <f t="array" ref="H915">choice(Referentiel!A:A,1,Settings!$B$16)</f>
        <v>Design des mondes montagneux</v>
      </c>
      <c r="I915" s="6" t="str" cm="1">
        <f t="array" ref="I915">choice(Referentiel!B:B,1,Settings!$B$16)</f>
        <v>Césure S2</v>
      </c>
      <c r="J915" s="6" t="str" cm="1">
        <f t="array" ref="J915">choice(Referentiel!D:D,1,Settings!$B$16)</f>
        <v>M1</v>
      </c>
      <c r="K915" s="6" t="str" cm="1">
        <f t="array" ref="K915">choice(Professeurs!B:B,1,Settings!$B$16)</f>
        <v>Prof51</v>
      </c>
      <c r="L915" s="5" t="str" cm="1">
        <f t="array" ref="L915">choice(Referentiel!C:C,1,Settings!$B$16)</f>
        <v/>
      </c>
      <c r="M915" s="5" t="str" cm="1">
        <f t="array" ref="M915">choice(Referentiel!E:E,1,Settings!$B$16)</f>
        <v/>
      </c>
      <c r="N915" s="5" t="str" cm="1">
        <f t="array" ref="N915">choice(Settings!K:K,1,Settings!$B$16)</f>
        <v/>
      </c>
      <c r="P915" s="5">
        <f t="shared" si="60"/>
        <v>2</v>
      </c>
    </row>
    <row r="916" spans="1:16" ht="15.75" customHeight="1" x14ac:dyDescent="0.25">
      <c r="A916" s="6" t="s">
        <v>1268</v>
      </c>
      <c r="B916" s="6" cm="1">
        <f t="array" ref="B916">alea_int(Settings!$B$10,1,Settings!$B$16)</f>
        <v>2</v>
      </c>
      <c r="C916" s="8">
        <v>46023</v>
      </c>
      <c r="D916" s="8">
        <f t="shared" si="57"/>
        <v>46387</v>
      </c>
      <c r="E916" s="6" t="str" cm="1">
        <f t="array" ref="E916">choice(Groupes!A:A,1,Settings!$B$16)</f>
        <v>G20</v>
      </c>
      <c r="F916" s="6" t="str">
        <f t="shared" si="58"/>
        <v>G20</v>
      </c>
      <c r="G916" s="6" t="str">
        <f t="shared" si="59"/>
        <v>Prof35</v>
      </c>
      <c r="H916" s="6" t="str" cm="1">
        <f t="array" ref="H916">choice(Referentiel!A:A,1,Settings!$B$16)</f>
        <v>Design des mondes insulaires</v>
      </c>
      <c r="I916" s="6" t="str" cm="1">
        <f t="array" ref="I916">choice(Referentiel!B:B,1,Settings!$B$16)</f>
        <v>1ère Année Groupe 2 S2</v>
      </c>
      <c r="J916" s="6" t="str" cm="1">
        <f t="array" ref="J916">choice(Referentiel!D:D,1,Settings!$B$16)</f>
        <v>L3</v>
      </c>
      <c r="K916" s="6" t="str" cm="1">
        <f t="array" ref="K916">choice(Professeurs!B:B,1,Settings!$B$16)</f>
        <v>Prof35</v>
      </c>
      <c r="L916" s="5" t="str" cm="1">
        <f t="array" ref="L916">choice(Referentiel!C:C,1,Settings!$B$16)</f>
        <v/>
      </c>
      <c r="M916" s="5" t="str" cm="1">
        <f t="array" ref="M916">choice(Referentiel!E:E,1,Settings!$B$16)</f>
        <v/>
      </c>
      <c r="N916" s="5" t="str" cm="1">
        <f t="array" ref="N916">choice(Settings!K:K,1,Settings!$B$16)</f>
        <v/>
      </c>
      <c r="P916" s="5">
        <f t="shared" si="60"/>
        <v>2</v>
      </c>
    </row>
    <row r="917" spans="1:16" ht="15.75" customHeight="1" x14ac:dyDescent="0.25">
      <c r="A917" s="6" t="s">
        <v>1269</v>
      </c>
      <c r="B917" s="6" cm="1">
        <f t="array" ref="B917">alea_int(Settings!$B$10,1,Settings!$B$16)</f>
        <v>3</v>
      </c>
      <c r="C917" s="8">
        <v>46023</v>
      </c>
      <c r="D917" s="8">
        <f t="shared" si="57"/>
        <v>46387</v>
      </c>
      <c r="E917" s="6" t="str" cm="1">
        <f t="array" ref="E917">choice(Groupes!A:A,1,Settings!$B$16)</f>
        <v>G9</v>
      </c>
      <c r="F917" s="6" t="str">
        <f t="shared" si="58"/>
        <v>G9</v>
      </c>
      <c r="G917" s="6" t="str">
        <f t="shared" si="59"/>
        <v>Prof36</v>
      </c>
      <c r="H917" s="6" t="str" cm="1">
        <f t="array" ref="H917">choice(Referentiel!A:A,1,Settings!$B$16)</f>
        <v>Scénographie</v>
      </c>
      <c r="I917" s="6" t="str" cm="1">
        <f t="array" ref="I917">choice(Referentiel!B:B,1,Settings!$B$16)</f>
        <v>3ème année Scénographie S2</v>
      </c>
      <c r="J917" s="6" t="str" cm="1">
        <f t="array" ref="J917">choice(Referentiel!D:D,1,Settings!$B$16)</f>
        <v>L3</v>
      </c>
      <c r="K917" s="6" t="str" cm="1">
        <f t="array" ref="K917">choice(Professeurs!B:B,1,Settings!$B$16)</f>
        <v>Prof36</v>
      </c>
      <c r="L917" s="5" t="str" cm="1">
        <f t="array" ref="L917">choice(Referentiel!C:C,1,Settings!$B$16)</f>
        <v/>
      </c>
      <c r="M917" s="5" t="str" cm="1">
        <f t="array" ref="M917">choice(Referentiel!E:E,1,Settings!$B$16)</f>
        <v/>
      </c>
      <c r="N917" s="5" t="str" cm="1">
        <f t="array" ref="N917">choice(Settings!K:K,1,Settings!$B$16)</f>
        <v>lundi pm</v>
      </c>
      <c r="P917" s="5">
        <f t="shared" si="60"/>
        <v>5</v>
      </c>
    </row>
    <row r="918" spans="1:16" ht="15.75" customHeight="1" x14ac:dyDescent="0.25">
      <c r="A918" s="6" t="s">
        <v>1270</v>
      </c>
      <c r="B918" s="6" cm="1">
        <f t="array" ref="B918">alea_int(Settings!$B$10,1,Settings!$B$16)</f>
        <v>3</v>
      </c>
      <c r="C918" s="8">
        <v>46023</v>
      </c>
      <c r="D918" s="8">
        <f t="shared" si="57"/>
        <v>46387</v>
      </c>
      <c r="E918" s="6" t="str" cm="1">
        <f t="array" ref="E918">choice(Groupes!A:A,1,Settings!$B$16)</f>
        <v>G25</v>
      </c>
      <c r="F918" s="6" t="str">
        <f t="shared" si="58"/>
        <v>G25</v>
      </c>
      <c r="G918" s="6" t="str">
        <f t="shared" si="59"/>
        <v>Prof36</v>
      </c>
      <c r="H918" s="6" t="str" cm="1">
        <f t="array" ref="H918">choice(Referentiel!A:A,1,Settings!$B$16)</f>
        <v>1ère année Groupe 1</v>
      </c>
      <c r="I918" s="6" t="str" cm="1">
        <f t="array" ref="I918">choice(Referentiel!B:B,1,Settings!$B$16)</f>
        <v>Césure S1</v>
      </c>
      <c r="J918" s="6" t="str" cm="1">
        <f t="array" ref="J918">choice(Referentiel!D:D,1,Settings!$B$16)</f>
        <v>L2</v>
      </c>
      <c r="K918" s="6" t="str" cm="1">
        <f t="array" ref="K918">choice(Professeurs!B:B,1,Settings!$B$16)</f>
        <v>Prof36</v>
      </c>
      <c r="L918" s="5" t="str" cm="1">
        <f t="array" ref="L918">choice(Referentiel!C:C,1,Settings!$B$16)</f>
        <v/>
      </c>
      <c r="M918" s="5" t="str" cm="1">
        <f t="array" ref="M918">choice(Referentiel!E:E,1,Settings!$B$16)</f>
        <v/>
      </c>
      <c r="N918" s="5" t="str" cm="1">
        <f t="array" ref="N918">choice(Settings!K:K,1,Settings!$B$16)</f>
        <v/>
      </c>
      <c r="P918" s="5">
        <f t="shared" si="60"/>
        <v>3</v>
      </c>
    </row>
    <row r="919" spans="1:16" ht="15.75" customHeight="1" x14ac:dyDescent="0.25">
      <c r="A919" s="6" t="s">
        <v>1271</v>
      </c>
      <c r="B919" s="6" cm="1">
        <f t="array" ref="B919">alea_int(Settings!$B$10,1,Settings!$B$16)</f>
        <v>2</v>
      </c>
      <c r="C919" s="8">
        <v>46023</v>
      </c>
      <c r="D919" s="8">
        <f t="shared" si="57"/>
        <v>46387</v>
      </c>
      <c r="E919" s="6" t="str" cm="1">
        <f t="array" ref="E919">choice(Groupes!A:A,1,Settings!$B$16)</f>
        <v>G4</v>
      </c>
      <c r="F919" s="6" t="str">
        <f t="shared" si="58"/>
        <v>G4</v>
      </c>
      <c r="G919" s="6" t="str">
        <f t="shared" si="59"/>
        <v>Prof8</v>
      </c>
      <c r="H919" s="6" t="str" cm="1">
        <f t="array" ref="H919">choice(Referentiel!A:A,1,Settings!$B$16)</f>
        <v>6ème année atelier</v>
      </c>
      <c r="I919" s="6" t="str" cm="1">
        <f t="array" ref="I919">choice(Referentiel!B:B,1,Settings!$B$16)</f>
        <v>2ème année Design Objet S1</v>
      </c>
      <c r="J919" s="6" t="str" cm="1">
        <f t="array" ref="J919">choice(Referentiel!D:D,1,Settings!$B$16)</f>
        <v>M2</v>
      </c>
      <c r="K919" s="6" t="str" cm="1">
        <f t="array" ref="K919">choice(Professeurs!B:B,1,Settings!$B$16)</f>
        <v>Prof8</v>
      </c>
      <c r="L919" s="5" t="str" cm="1">
        <f t="array" ref="L919">choice(Referentiel!C:C,1,Settings!$B$16)</f>
        <v/>
      </c>
      <c r="M919" s="5" t="str" cm="1">
        <f t="array" ref="M919">choice(Referentiel!E:E,1,Settings!$B$16)</f>
        <v/>
      </c>
      <c r="N919" s="5" t="str" cm="1">
        <f t="array" ref="N919">choice(Settings!K:K,1,Settings!$B$16)</f>
        <v>lundi pm</v>
      </c>
      <c r="P919" s="5">
        <f t="shared" si="60"/>
        <v>4</v>
      </c>
    </row>
    <row r="920" spans="1:16" ht="15.75" customHeight="1" x14ac:dyDescent="0.25">
      <c r="A920" s="6" t="s">
        <v>1272</v>
      </c>
      <c r="B920" s="6" cm="1">
        <f t="array" ref="B920">alea_int(Settings!$B$10,1,Settings!$B$16)</f>
        <v>3</v>
      </c>
      <c r="C920" s="8">
        <v>46023</v>
      </c>
      <c r="D920" s="8">
        <f t="shared" si="57"/>
        <v>46387</v>
      </c>
      <c r="E920" s="6" t="str" cm="1">
        <f t="array" ref="E920">choice(Groupes!A:A,1,Settings!$B$16)</f>
        <v>G24</v>
      </c>
      <c r="F920" s="6" t="str">
        <f t="shared" si="58"/>
        <v>G24</v>
      </c>
      <c r="G920" s="6" t="str">
        <f t="shared" si="59"/>
        <v>Prof41</v>
      </c>
      <c r="H920" s="6" t="str" cm="1">
        <f t="array" ref="H920">choice(Referentiel!A:A,1,Settings!$B$16)</f>
        <v>1ère année Groupe 2</v>
      </c>
      <c r="I920" s="6" t="str" cm="1">
        <f t="array" ref="I920">choice(Referentiel!B:B,1,Settings!$B$16)</f>
        <v>2ème année Architecture Intérieure S2</v>
      </c>
      <c r="J920" s="6" t="str" cm="1">
        <f t="array" ref="J920">choice(Referentiel!D:D,1,Settings!$B$16)</f>
        <v>L2</v>
      </c>
      <c r="K920" s="6" t="str" cm="1">
        <f t="array" ref="K920">choice(Professeurs!B:B,1,Settings!$B$16)</f>
        <v>Prof41</v>
      </c>
      <c r="L920" s="5" t="str" cm="1">
        <f t="array" ref="L920">choice(Referentiel!C:C,1,Settings!$B$16)</f>
        <v/>
      </c>
      <c r="M920" s="5" t="str" cm="1">
        <f t="array" ref="M920">choice(Referentiel!E:E,1,Settings!$B$16)</f>
        <v/>
      </c>
      <c r="N920" s="5" t="str" cm="1">
        <f t="array" ref="N920">choice(Settings!K:K,1,Settings!$B$16)</f>
        <v>jeudi am</v>
      </c>
      <c r="P920" s="5">
        <f t="shared" si="60"/>
        <v>5</v>
      </c>
    </row>
    <row r="921" spans="1:16" ht="15.75" customHeight="1" x14ac:dyDescent="0.25">
      <c r="A921" s="6" t="s">
        <v>1273</v>
      </c>
      <c r="B921" s="6" cm="1">
        <f t="array" ref="B921">alea_int(Settings!$B$10,1,Settings!$B$16)</f>
        <v>2</v>
      </c>
      <c r="C921" s="8">
        <v>46023</v>
      </c>
      <c r="D921" s="8">
        <f t="shared" si="57"/>
        <v>46387</v>
      </c>
      <c r="E921" s="6" t="str" cm="1">
        <f t="array" ref="E921">choice(Groupes!A:A,1,Settings!$B$16)</f>
        <v>G1</v>
      </c>
      <c r="F921" s="6" t="str">
        <f t="shared" si="58"/>
        <v>G1</v>
      </c>
      <c r="G921" s="6" t="str">
        <f t="shared" si="59"/>
        <v>Prof50</v>
      </c>
      <c r="H921" s="6" t="str" cm="1">
        <f t="array" ref="H921">choice(Referentiel!A:A,1,Settings!$B$16)</f>
        <v>Gr SOFT MATTERS</v>
      </c>
      <c r="I921" s="6" t="str" cm="1">
        <f t="array" ref="I921">choice(Referentiel!B:B,1,Settings!$B$16)</f>
        <v>4ème année Architecture Intérieure S1</v>
      </c>
      <c r="J921" s="6" t="str" cm="1">
        <f t="array" ref="J921">choice(Referentiel!D:D,1,Settings!$B$16)</f>
        <v>L2</v>
      </c>
      <c r="K921" s="6" t="str" cm="1">
        <f t="array" ref="K921">choice(Professeurs!B:B,1,Settings!$B$16)</f>
        <v>Prof50</v>
      </c>
      <c r="L921" s="5" t="str" cm="1">
        <f t="array" ref="L921">choice(Referentiel!C:C,1,Settings!$B$16)</f>
        <v/>
      </c>
      <c r="M921" s="5" t="str" cm="1">
        <f t="array" ref="M921">choice(Referentiel!E:E,1,Settings!$B$16)</f>
        <v/>
      </c>
      <c r="N921" s="5" t="str" cm="1">
        <f t="array" ref="N921">choice(Settings!K:K,1,Settings!$B$16)</f>
        <v>vendredi am</v>
      </c>
      <c r="P921" s="5">
        <f t="shared" si="60"/>
        <v>4</v>
      </c>
    </row>
    <row r="922" spans="1:16" ht="15.75" customHeight="1" x14ac:dyDescent="0.25">
      <c r="A922" s="6" t="s">
        <v>1274</v>
      </c>
      <c r="B922" s="6" cm="1">
        <f t="array" ref="B922">alea_int(Settings!$B$10,1,Settings!$B$16)</f>
        <v>2</v>
      </c>
      <c r="C922" s="8">
        <v>46023</v>
      </c>
      <c r="D922" s="8">
        <f t="shared" si="57"/>
        <v>46387</v>
      </c>
      <c r="E922" s="6" t="str" cm="1">
        <f t="array" ref="E922">choice(Groupes!A:A,1,Settings!$B$16)</f>
        <v>G1</v>
      </c>
      <c r="F922" s="6" t="str">
        <f t="shared" si="58"/>
        <v>G1</v>
      </c>
      <c r="G922" s="6" t="str">
        <f t="shared" si="59"/>
        <v>Prof41</v>
      </c>
      <c r="H922" s="6" t="str" cm="1">
        <f t="array" ref="H922">choice(Referentiel!A:A,1,Settings!$B$16)</f>
        <v>Design Textile et Matière</v>
      </c>
      <c r="I922" s="6" t="str" cm="1">
        <f t="array" ref="I922">choice(Referentiel!B:B,1,Settings!$B$16)</f>
        <v>3ème année Photo / Vidéo S1</v>
      </c>
      <c r="J922" s="6" t="str" cm="1">
        <f t="array" ref="J922">choice(Referentiel!D:D,1,Settings!$B$16)</f>
        <v>L1</v>
      </c>
      <c r="K922" s="6" t="str" cm="1">
        <f t="array" ref="K922">choice(Professeurs!B:B,1,Settings!$B$16)</f>
        <v>Prof41</v>
      </c>
      <c r="L922" s="5" t="str" cm="1">
        <f t="array" ref="L922">choice(Referentiel!C:C,1,Settings!$B$16)</f>
        <v/>
      </c>
      <c r="M922" s="5" t="str" cm="1">
        <f t="array" ref="M922">choice(Referentiel!E:E,1,Settings!$B$16)</f>
        <v/>
      </c>
      <c r="N922" s="5" t="str" cm="1">
        <f t="array" ref="N922">choice(Settings!K:K,1,Settings!$B$16)</f>
        <v>mercredi ap</v>
      </c>
      <c r="P922" s="5">
        <f t="shared" si="60"/>
        <v>4</v>
      </c>
    </row>
    <row r="923" spans="1:16" ht="15.75" customHeight="1" x14ac:dyDescent="0.25">
      <c r="A923" s="6" t="s">
        <v>1275</v>
      </c>
      <c r="B923" s="6" cm="1">
        <f t="array" ref="B923">alea_int(Settings!$B$10,1,Settings!$B$16)</f>
        <v>1</v>
      </c>
      <c r="C923" s="8">
        <v>46023</v>
      </c>
      <c r="D923" s="8">
        <f t="shared" si="57"/>
        <v>46387</v>
      </c>
      <c r="E923" s="6" t="str" cm="1">
        <f t="array" ref="E923">choice(Groupes!A:A,1,Settings!$B$16)</f>
        <v>G11</v>
      </c>
      <c r="F923" s="6" t="str">
        <f t="shared" si="58"/>
        <v>G11</v>
      </c>
      <c r="G923" s="6" t="str">
        <f t="shared" si="59"/>
        <v>Prof46</v>
      </c>
      <c r="H923" s="6" t="str" cm="1">
        <f t="array" ref="H923">choice(Referentiel!A:A,1,Settings!$B$16)</f>
        <v>Gr ART, DESIGN, SOCIETE</v>
      </c>
      <c r="I923" s="6" t="str" cm="1">
        <f t="array" ref="I923">choice(Referentiel!B:B,1,Settings!$B$16)</f>
        <v>3ème année Design Objet S1</v>
      </c>
      <c r="J923" s="6" t="str" cm="1">
        <f t="array" ref="J923">choice(Referentiel!D:D,1,Settings!$B$16)</f>
        <v>L3</v>
      </c>
      <c r="K923" s="6" t="str" cm="1">
        <f t="array" ref="K923">choice(Professeurs!B:B,1,Settings!$B$16)</f>
        <v>Prof46</v>
      </c>
      <c r="L923" s="5" t="str" cm="1">
        <f t="array" ref="L923">choice(Referentiel!C:C,1,Settings!$B$16)</f>
        <v/>
      </c>
      <c r="M923" s="5" t="str" cm="1">
        <f t="array" ref="M923">choice(Referentiel!E:E,1,Settings!$B$16)</f>
        <v/>
      </c>
      <c r="N923" s="5" t="str" cm="1">
        <f t="array" ref="N923">choice(Settings!K:K,1,Settings!$B$16)</f>
        <v>lundi am</v>
      </c>
      <c r="P923" s="5">
        <f t="shared" si="60"/>
        <v>3</v>
      </c>
    </row>
    <row r="924" spans="1:16" ht="15.75" customHeight="1" x14ac:dyDescent="0.25">
      <c r="A924" s="6" t="s">
        <v>1276</v>
      </c>
      <c r="B924" s="6" cm="1">
        <f t="array" ref="B924">alea_int(Settings!$B$10,1,Settings!$B$16)</f>
        <v>2</v>
      </c>
      <c r="C924" s="8">
        <v>46023</v>
      </c>
      <c r="D924" s="8">
        <f t="shared" si="57"/>
        <v>46387</v>
      </c>
      <c r="E924" s="6" t="str" cm="1">
        <f t="array" ref="E924">choice(Groupes!A:A,1,Settings!$B$16)</f>
        <v>G15</v>
      </c>
      <c r="F924" s="6" t="str">
        <f t="shared" si="58"/>
        <v>G15</v>
      </c>
      <c r="G924" s="6" t="str">
        <f t="shared" si="59"/>
        <v>Prof48</v>
      </c>
      <c r="H924" s="6" t="str" cm="1">
        <f t="array" ref="H924">choice(Referentiel!A:A,1,Settings!$B$16)</f>
        <v>1ère année Groupe 3</v>
      </c>
      <c r="I924" s="6" t="str" cm="1">
        <f t="array" ref="I924">choice(Referentiel!B:B,1,Settings!$B$16)</f>
        <v>Césure S2</v>
      </c>
      <c r="J924" s="6" t="str" cm="1">
        <f t="array" ref="J924">choice(Referentiel!D:D,1,Settings!$B$16)</f>
        <v>M1</v>
      </c>
      <c r="K924" s="6" t="str" cm="1">
        <f t="array" ref="K924">choice(Professeurs!B:B,1,Settings!$B$16)</f>
        <v>Prof48</v>
      </c>
      <c r="L924" s="5" t="str" cm="1">
        <f t="array" ref="L924">choice(Referentiel!C:C,1,Settings!$B$16)</f>
        <v/>
      </c>
      <c r="M924" s="5" t="str" cm="1">
        <f t="array" ref="M924">choice(Referentiel!E:E,1,Settings!$B$16)</f>
        <v/>
      </c>
      <c r="N924" s="5" t="str" cm="1">
        <f t="array" ref="N924">choice(Settings!K:K,1,Settings!$B$16)</f>
        <v>semaine</v>
      </c>
      <c r="P924" s="5">
        <f t="shared" si="60"/>
        <v>4</v>
      </c>
    </row>
    <row r="925" spans="1:16" ht="15.75" customHeight="1" x14ac:dyDescent="0.25">
      <c r="A925" s="6" t="s">
        <v>1277</v>
      </c>
      <c r="B925" s="6" cm="1">
        <f t="array" ref="B925">alea_int(Settings!$B$10,1,Settings!$B$16)</f>
        <v>1</v>
      </c>
      <c r="C925" s="8">
        <v>46023</v>
      </c>
      <c r="D925" s="8">
        <f t="shared" si="57"/>
        <v>46387</v>
      </c>
      <c r="E925" s="6" t="str" cm="1">
        <f t="array" ref="E925">choice(Groupes!A:A,1,Settings!$B$16)</f>
        <v>G20</v>
      </c>
      <c r="F925" s="6" t="str">
        <f t="shared" si="58"/>
        <v>G20</v>
      </c>
      <c r="G925" s="6" t="str">
        <f t="shared" si="59"/>
        <v>Prof35</v>
      </c>
      <c r="H925" s="6" t="str" cm="1">
        <f t="array" ref="H925">choice(Referentiel!A:A,1,Settings!$B$16)</f>
        <v>Design des mondes montagneux</v>
      </c>
      <c r="I925" s="6" t="str" cm="1">
        <f t="array" ref="I925">choice(Referentiel!B:B,1,Settings!$B$16)</f>
        <v>2ème année Art-Espace S1</v>
      </c>
      <c r="J925" s="6" t="str" cm="1">
        <f t="array" ref="J925">choice(Referentiel!D:D,1,Settings!$B$16)</f>
        <v>M1</v>
      </c>
      <c r="K925" s="6" t="str" cm="1">
        <f t="array" ref="K925">choice(Professeurs!B:B,1,Settings!$B$16)</f>
        <v>Prof35</v>
      </c>
      <c r="L925" s="5" t="str" cm="1">
        <f t="array" ref="L925">choice(Referentiel!C:C,1,Settings!$B$16)</f>
        <v/>
      </c>
      <c r="M925" s="5" t="str" cm="1">
        <f t="array" ref="M925">choice(Referentiel!E:E,1,Settings!$B$16)</f>
        <v/>
      </c>
      <c r="N925" s="5" t="str" cm="1">
        <f t="array" ref="N925">choice(Settings!K:K,1,Settings!$B$16)</f>
        <v/>
      </c>
      <c r="P925" s="5">
        <f t="shared" si="60"/>
        <v>1</v>
      </c>
    </row>
    <row r="926" spans="1:16" ht="15.75" customHeight="1" x14ac:dyDescent="0.25">
      <c r="A926" s="6" t="s">
        <v>1278</v>
      </c>
      <c r="B926" s="6" cm="1">
        <f t="array" ref="B926">alea_int(Settings!$B$10,1,Settings!$B$16)</f>
        <v>3</v>
      </c>
      <c r="C926" s="8">
        <v>46023</v>
      </c>
      <c r="D926" s="8">
        <f t="shared" si="57"/>
        <v>46387</v>
      </c>
      <c r="E926" s="6" t="str" cm="1">
        <f t="array" ref="E926">choice(Groupes!A:A,1,Settings!$B$16)</f>
        <v>G12</v>
      </c>
      <c r="F926" s="6" t="str">
        <f t="shared" si="58"/>
        <v>G12</v>
      </c>
      <c r="G926" s="6" t="str">
        <f t="shared" si="59"/>
        <v>Prof40</v>
      </c>
      <c r="H926" s="6" t="str" cm="1">
        <f t="array" ref="H926">choice(Referentiel!A:A,1,Settings!$B$16)</f>
        <v>Design des mondes ruraux</v>
      </c>
      <c r="I926" s="6" t="str" cm="1">
        <f t="array" ref="I926">choice(Referentiel!B:B,1,Settings!$B$16)</f>
        <v>3ème année Cinéma d'Animation S1</v>
      </c>
      <c r="J926" s="6" t="str" cm="1">
        <f t="array" ref="J926">choice(Referentiel!D:D,1,Settings!$B$16)</f>
        <v>L2</v>
      </c>
      <c r="K926" s="6" t="str" cm="1">
        <f t="array" ref="K926">choice(Professeurs!B:B,1,Settings!$B$16)</f>
        <v>Prof40</v>
      </c>
      <c r="L926" s="5" t="str" cm="1">
        <f t="array" ref="L926">choice(Referentiel!C:C,1,Settings!$B$16)</f>
        <v/>
      </c>
      <c r="M926" s="5" t="str" cm="1">
        <f t="array" ref="M926">choice(Referentiel!E:E,1,Settings!$B$16)</f>
        <v/>
      </c>
      <c r="N926" s="5" t="str" cm="1">
        <f t="array" ref="N926">choice(Settings!K:K,1,Settings!$B$16)</f>
        <v/>
      </c>
      <c r="P926" s="5">
        <f t="shared" si="60"/>
        <v>3</v>
      </c>
    </row>
    <row r="927" spans="1:16" ht="15.75" customHeight="1" x14ac:dyDescent="0.25">
      <c r="A927" s="6" t="s">
        <v>1279</v>
      </c>
      <c r="B927" s="6" cm="1">
        <f t="array" ref="B927">alea_int(Settings!$B$10,1,Settings!$B$16)</f>
        <v>3</v>
      </c>
      <c r="C927" s="8">
        <v>46023</v>
      </c>
      <c r="D927" s="8">
        <f t="shared" si="57"/>
        <v>46387</v>
      </c>
      <c r="E927" s="6" t="str" cm="1">
        <f t="array" ref="E927">choice(Groupes!A:A,1,Settings!$B$16)</f>
        <v>G18</v>
      </c>
      <c r="F927" s="6" t="str">
        <f t="shared" si="58"/>
        <v>G18</v>
      </c>
      <c r="G927" s="6" t="str">
        <f t="shared" si="59"/>
        <v>Prof7</v>
      </c>
      <c r="H927" s="6" t="str" cm="1">
        <f t="array" ref="H927">choice(Referentiel!A:A,1,Settings!$B$16)</f>
        <v>Design Objet</v>
      </c>
      <c r="I927" s="6" t="str" cm="1">
        <f t="array" ref="I927">choice(Referentiel!B:B,1,Settings!$B$16)</f>
        <v>3ème année Photo / Vidéo S2</v>
      </c>
      <c r="J927" s="6" t="str" cm="1">
        <f t="array" ref="J927">choice(Referentiel!D:D,1,Settings!$B$16)</f>
        <v>M1</v>
      </c>
      <c r="K927" s="6" t="str" cm="1">
        <f t="array" ref="K927">choice(Professeurs!B:B,1,Settings!$B$16)</f>
        <v>Prof7</v>
      </c>
      <c r="L927" s="5" t="str" cm="1">
        <f t="array" ref="L927">choice(Referentiel!C:C,1,Settings!$B$16)</f>
        <v/>
      </c>
      <c r="M927" s="5" t="str" cm="1">
        <f t="array" ref="M927">choice(Referentiel!E:E,1,Settings!$B$16)</f>
        <v/>
      </c>
      <c r="N927" s="5" t="str" cm="1">
        <f t="array" ref="N927">choice(Settings!K:K,1,Settings!$B$16)</f>
        <v/>
      </c>
      <c r="P927" s="5">
        <f t="shared" si="60"/>
        <v>3</v>
      </c>
    </row>
    <row r="928" spans="1:16" ht="15.75" customHeight="1" x14ac:dyDescent="0.25">
      <c r="A928" s="6" t="s">
        <v>1280</v>
      </c>
      <c r="B928" s="6" cm="1">
        <f t="array" ref="B928">alea_int(Settings!$B$10,1,Settings!$B$16)</f>
        <v>2</v>
      </c>
      <c r="C928" s="8">
        <v>46023</v>
      </c>
      <c r="D928" s="8">
        <f t="shared" si="57"/>
        <v>46387</v>
      </c>
      <c r="E928" s="6" t="str" cm="1">
        <f t="array" ref="E928">choice(Groupes!A:A,1,Settings!$B$16)</f>
        <v>G30</v>
      </c>
      <c r="F928" s="6" t="str">
        <f t="shared" si="58"/>
        <v>G30</v>
      </c>
      <c r="G928" s="6" t="str">
        <f t="shared" si="59"/>
        <v>Prof5</v>
      </c>
      <c r="H928" s="6" t="str" cm="1">
        <f t="array" ref="H928">choice(Referentiel!A:A,1,Settings!$B$16)</f>
        <v>Gr SYMBIOSE</v>
      </c>
      <c r="I928" s="6" t="str" cm="1">
        <f t="array" ref="I928">choice(Referentiel!B:B,1,Settings!$B$16)</f>
        <v>4ème année Photo / Vidéo S1</v>
      </c>
      <c r="J928" s="6" t="str" cm="1">
        <f t="array" ref="J928">choice(Referentiel!D:D,1,Settings!$B$16)</f>
        <v>L1</v>
      </c>
      <c r="K928" s="6" t="str" cm="1">
        <f t="array" ref="K928">choice(Professeurs!B:B,1,Settings!$B$16)</f>
        <v>Prof5</v>
      </c>
      <c r="L928" s="5" t="str" cm="1">
        <f t="array" ref="L928">choice(Referentiel!C:C,1,Settings!$B$16)</f>
        <v/>
      </c>
      <c r="M928" s="5" t="str" cm="1">
        <f t="array" ref="M928">choice(Referentiel!E:E,1,Settings!$B$16)</f>
        <v/>
      </c>
      <c r="N928" s="5" t="str" cm="1">
        <f t="array" ref="N928">choice(Settings!K:K,1,Settings!$B$16)</f>
        <v>mardi pm</v>
      </c>
      <c r="P928" s="5">
        <f t="shared" si="60"/>
        <v>4</v>
      </c>
    </row>
    <row r="929" spans="1:16" ht="15.75" customHeight="1" x14ac:dyDescent="0.25">
      <c r="A929" s="6" t="s">
        <v>1281</v>
      </c>
      <c r="B929" s="6" cm="1">
        <f t="array" ref="B929">alea_int(Settings!$B$10,1,Settings!$B$16)</f>
        <v>1</v>
      </c>
      <c r="C929" s="8">
        <v>46023</v>
      </c>
      <c r="D929" s="8">
        <f t="shared" si="57"/>
        <v>46387</v>
      </c>
      <c r="E929" s="6" t="str" cm="1">
        <f t="array" ref="E929">choice(Groupes!A:A,1,Settings!$B$16)</f>
        <v>G27</v>
      </c>
      <c r="F929" s="6" t="str">
        <f t="shared" si="58"/>
        <v>G27</v>
      </c>
      <c r="G929" s="6" t="str">
        <f t="shared" si="59"/>
        <v>Prof34</v>
      </c>
      <c r="H929" s="6" t="str" cm="1">
        <f t="array" ref="H929">choice(Referentiel!A:A,1,Settings!$B$16)</f>
        <v>Mode et Matière</v>
      </c>
      <c r="I929" s="6" t="str" cm="1">
        <f t="array" ref="I929">choice(Referentiel!B:B,1,Settings!$B$16)</f>
        <v>4ème année Photo / Vidéo S2</v>
      </c>
      <c r="J929" s="6" t="str" cm="1">
        <f t="array" ref="J929">choice(Referentiel!D:D,1,Settings!$B$16)</f>
        <v>L3</v>
      </c>
      <c r="K929" s="6" t="str" cm="1">
        <f t="array" ref="K929">choice(Professeurs!B:B,1,Settings!$B$16)</f>
        <v>Prof34</v>
      </c>
      <c r="L929" s="5" t="str" cm="1">
        <f t="array" ref="L929">choice(Referentiel!C:C,1,Settings!$B$16)</f>
        <v/>
      </c>
      <c r="M929" s="5" t="str" cm="1">
        <f t="array" ref="M929">choice(Referentiel!E:E,1,Settings!$B$16)</f>
        <v/>
      </c>
      <c r="N929" s="5" t="str" cm="1">
        <f t="array" ref="N929">choice(Settings!K:K,1,Settings!$B$16)</f>
        <v/>
      </c>
      <c r="P929" s="5">
        <f t="shared" si="60"/>
        <v>1</v>
      </c>
    </row>
    <row r="930" spans="1:16" ht="15.75" customHeight="1" x14ac:dyDescent="0.25">
      <c r="A930" s="6" t="s">
        <v>1282</v>
      </c>
      <c r="B930" s="6" cm="1">
        <f t="array" ref="B930">alea_int(Settings!$B$10,1,Settings!$B$16)</f>
        <v>1</v>
      </c>
      <c r="C930" s="8">
        <v>46023</v>
      </c>
      <c r="D930" s="8">
        <f t="shared" si="57"/>
        <v>46387</v>
      </c>
      <c r="E930" s="6" t="str" cm="1">
        <f t="array" ref="E930">choice(Groupes!A:A,1,Settings!$B$16)</f>
        <v>G2</v>
      </c>
      <c r="F930" s="6" t="str">
        <f t="shared" si="58"/>
        <v>G2</v>
      </c>
      <c r="G930" s="6" t="str">
        <f t="shared" si="59"/>
        <v>Prof53</v>
      </c>
      <c r="H930" s="6" t="str" cm="1">
        <f t="array" ref="H930">choice(Referentiel!A:A,1,Settings!$B$16)</f>
        <v>1ère année Groupe 2</v>
      </c>
      <c r="I930" s="6" t="str" cm="1">
        <f t="array" ref="I930">choice(Referentiel!B:B,1,Settings!$B$16)</f>
        <v>2ème année Photo / Vidéo S2</v>
      </c>
      <c r="J930" s="6" t="str" cm="1">
        <f t="array" ref="J930">choice(Referentiel!D:D,1,Settings!$B$16)</f>
        <v>L1</v>
      </c>
      <c r="K930" s="6" t="str" cm="1">
        <f t="array" ref="K930">choice(Professeurs!B:B,1,Settings!$B$16)</f>
        <v>Prof53</v>
      </c>
      <c r="L930" s="5" t="str" cm="1">
        <f t="array" ref="L930">choice(Referentiel!C:C,1,Settings!$B$16)</f>
        <v/>
      </c>
      <c r="M930" s="5" t="str" cm="1">
        <f t="array" ref="M930">choice(Referentiel!E:E,1,Settings!$B$16)</f>
        <v/>
      </c>
      <c r="N930" s="5" t="str" cm="1">
        <f t="array" ref="N930">choice(Settings!K:K,1,Settings!$B$16)</f>
        <v>lundi am</v>
      </c>
      <c r="P930" s="5">
        <f t="shared" si="60"/>
        <v>3</v>
      </c>
    </row>
    <row r="931" spans="1:16" ht="15.75" customHeight="1" x14ac:dyDescent="0.25">
      <c r="A931" s="6" t="s">
        <v>1283</v>
      </c>
      <c r="B931" s="6" cm="1">
        <f t="array" ref="B931">alea_int(Settings!$B$10,1,Settings!$B$16)</f>
        <v>3</v>
      </c>
      <c r="C931" s="8">
        <v>46023</v>
      </c>
      <c r="D931" s="8">
        <f t="shared" si="57"/>
        <v>46387</v>
      </c>
      <c r="E931" s="6" t="str" cm="1">
        <f t="array" ref="E931">choice(Groupes!A:A,1,Settings!$B$16)</f>
        <v>G18</v>
      </c>
      <c r="F931" s="6" t="str">
        <f t="shared" si="58"/>
        <v>G18</v>
      </c>
      <c r="G931" s="6" t="str">
        <f t="shared" si="59"/>
        <v>Prof26</v>
      </c>
      <c r="H931" s="6" t="str" cm="1">
        <f t="array" ref="H931">choice(Referentiel!A:A,1,Settings!$B$16)</f>
        <v>Gr TERRITOIRES</v>
      </c>
      <c r="I931" s="6" t="str" cm="1">
        <f t="array" ref="I931">choice(Referentiel!B:B,1,Settings!$B$16)</f>
        <v>3ème année Design Objet S1</v>
      </c>
      <c r="J931" s="6" t="str" cm="1">
        <f t="array" ref="J931">choice(Referentiel!D:D,1,Settings!$B$16)</f>
        <v>L1</v>
      </c>
      <c r="K931" s="6" t="str" cm="1">
        <f t="array" ref="K931">choice(Professeurs!B:B,1,Settings!$B$16)</f>
        <v>Prof26</v>
      </c>
      <c r="L931" s="5" t="str" cm="1">
        <f t="array" ref="L931">choice(Referentiel!C:C,1,Settings!$B$16)</f>
        <v/>
      </c>
      <c r="M931" s="5" t="str" cm="1">
        <f t="array" ref="M931">choice(Referentiel!E:E,1,Settings!$B$16)</f>
        <v/>
      </c>
      <c r="N931" s="5" t="str" cm="1">
        <f t="array" ref="N931">choice(Settings!K:K,1,Settings!$B$16)</f>
        <v/>
      </c>
      <c r="P931" s="5">
        <f t="shared" si="60"/>
        <v>3</v>
      </c>
    </row>
    <row r="932" spans="1:16" ht="15.75" customHeight="1" x14ac:dyDescent="0.25">
      <c r="A932" s="6" t="s">
        <v>1284</v>
      </c>
      <c r="B932" s="6" cm="1">
        <f t="array" ref="B932">alea_int(Settings!$B$10,1,Settings!$B$16)</f>
        <v>1</v>
      </c>
      <c r="C932" s="8">
        <v>46023</v>
      </c>
      <c r="D932" s="8">
        <f t="shared" si="57"/>
        <v>46387</v>
      </c>
      <c r="E932" s="6" t="str" cm="1">
        <f t="array" ref="E932">choice(Groupes!A:A,1,Settings!$B$16)</f>
        <v>G6</v>
      </c>
      <c r="F932" s="6" t="str">
        <f t="shared" si="58"/>
        <v>G6</v>
      </c>
      <c r="G932" s="6" t="str">
        <f t="shared" si="59"/>
        <v>Prof37</v>
      </c>
      <c r="H932" s="6" t="str" cm="1">
        <f t="array" ref="H932">choice(Referentiel!A:A,1,Settings!$B$16)</f>
        <v>Design des mondes montagneux</v>
      </c>
      <c r="I932" s="6" t="str" cm="1">
        <f t="array" ref="I932">choice(Referentiel!B:B,1,Settings!$B$16)</f>
        <v>5ème année Design Vêtement S1</v>
      </c>
      <c r="J932" s="6" t="str" cm="1">
        <f t="array" ref="J932">choice(Referentiel!D:D,1,Settings!$B$16)</f>
        <v>M2</v>
      </c>
      <c r="K932" s="6" t="str" cm="1">
        <f t="array" ref="K932">choice(Professeurs!B:B,1,Settings!$B$16)</f>
        <v>Prof37</v>
      </c>
      <c r="L932" s="5" t="str" cm="1">
        <f t="array" ref="L932">choice(Referentiel!C:C,1,Settings!$B$16)</f>
        <v/>
      </c>
      <c r="M932" s="5" t="str" cm="1">
        <f t="array" ref="M932">choice(Referentiel!E:E,1,Settings!$B$16)</f>
        <v/>
      </c>
      <c r="N932" s="5" t="str" cm="1">
        <f t="array" ref="N932">choice(Settings!K:K,1,Settings!$B$16)</f>
        <v/>
      </c>
      <c r="P932" s="5">
        <f t="shared" si="60"/>
        <v>1</v>
      </c>
    </row>
    <row r="933" spans="1:16" ht="15.75" customHeight="1" x14ac:dyDescent="0.25">
      <c r="A933" s="6" t="s">
        <v>1285</v>
      </c>
      <c r="B933" s="6" cm="1">
        <f t="array" ref="B933">alea_int(Settings!$B$10,1,Settings!$B$16)</f>
        <v>1</v>
      </c>
      <c r="C933" s="8">
        <v>46023</v>
      </c>
      <c r="D933" s="8">
        <f t="shared" si="57"/>
        <v>46387</v>
      </c>
      <c r="E933" s="6" t="str" cm="1">
        <f t="array" ref="E933">choice(Groupes!A:A,1,Settings!$B$16)</f>
        <v>G9</v>
      </c>
      <c r="F933" s="6" t="str">
        <f t="shared" si="58"/>
        <v>G9</v>
      </c>
      <c r="G933" s="6" t="str">
        <f t="shared" si="59"/>
        <v>Prof4</v>
      </c>
      <c r="H933" s="6" t="str" cm="1">
        <f t="array" ref="H933">choice(Referentiel!A:A,1,Settings!$B$16)</f>
        <v>1ère année Groupe 1</v>
      </c>
      <c r="I933" s="6" t="str" cm="1">
        <f t="array" ref="I933">choice(Referentiel!B:B,1,Settings!$B$16)</f>
        <v>5ème année Design Objet S1</v>
      </c>
      <c r="J933" s="6" t="str" cm="1">
        <f t="array" ref="J933">choice(Referentiel!D:D,1,Settings!$B$16)</f>
        <v>M2</v>
      </c>
      <c r="K933" s="6" t="str" cm="1">
        <f t="array" ref="K933">choice(Professeurs!B:B,1,Settings!$B$16)</f>
        <v>Prof4</v>
      </c>
      <c r="L933" s="5" t="str" cm="1">
        <f t="array" ref="L933">choice(Referentiel!C:C,1,Settings!$B$16)</f>
        <v/>
      </c>
      <c r="M933" s="5" t="str" cm="1">
        <f t="array" ref="M933">choice(Referentiel!E:E,1,Settings!$B$16)</f>
        <v/>
      </c>
      <c r="N933" s="5" t="str" cm="1">
        <f t="array" ref="N933">choice(Settings!K:K,1,Settings!$B$16)</f>
        <v/>
      </c>
      <c r="P933" s="5">
        <f t="shared" si="60"/>
        <v>1</v>
      </c>
    </row>
    <row r="934" spans="1:16" ht="15.75" customHeight="1" x14ac:dyDescent="0.25">
      <c r="A934" s="6" t="s">
        <v>1286</v>
      </c>
      <c r="B934" s="6" cm="1">
        <f t="array" ref="B934">alea_int(Settings!$B$10,1,Settings!$B$16)</f>
        <v>3</v>
      </c>
      <c r="C934" s="8">
        <v>46023</v>
      </c>
      <c r="D934" s="8">
        <f t="shared" si="57"/>
        <v>46387</v>
      </c>
      <c r="E934" s="6" t="str" cm="1">
        <f t="array" ref="E934">choice(Groupes!A:A,1,Settings!$B$16)</f>
        <v>G13</v>
      </c>
      <c r="F934" s="6" t="str">
        <f t="shared" si="58"/>
        <v>G13</v>
      </c>
      <c r="G934" s="6" t="str">
        <f t="shared" si="59"/>
        <v>Prof12</v>
      </c>
      <c r="H934" s="6" t="str" cm="1">
        <f t="array" ref="H934">choice(Referentiel!A:A,1,Settings!$B$16)</f>
        <v>1ère année Groupe 2</v>
      </c>
      <c r="I934" s="6" t="str" cm="1">
        <f t="array" ref="I934">choice(Referentiel!B:B,1,Settings!$B$16)</f>
        <v>3ème année Scénographie S2</v>
      </c>
      <c r="J934" s="6" t="str" cm="1">
        <f t="array" ref="J934">choice(Referentiel!D:D,1,Settings!$B$16)</f>
        <v>L1</v>
      </c>
      <c r="K934" s="6" t="str" cm="1">
        <f t="array" ref="K934">choice(Professeurs!B:B,1,Settings!$B$16)</f>
        <v>Prof12</v>
      </c>
      <c r="L934" s="5" t="str" cm="1">
        <f t="array" ref="L934">choice(Referentiel!C:C,1,Settings!$B$16)</f>
        <v/>
      </c>
      <c r="M934" s="5" t="str" cm="1">
        <f t="array" ref="M934">choice(Referentiel!E:E,1,Settings!$B$16)</f>
        <v/>
      </c>
      <c r="N934" s="5" t="str" cm="1">
        <f t="array" ref="N934">choice(Settings!K:K,1,Settings!$B$16)</f>
        <v/>
      </c>
      <c r="P934" s="5">
        <f t="shared" si="60"/>
        <v>3</v>
      </c>
    </row>
    <row r="935" spans="1:16" ht="15.75" customHeight="1" x14ac:dyDescent="0.25">
      <c r="A935" s="6" t="s">
        <v>1287</v>
      </c>
      <c r="B935" s="6" cm="1">
        <f t="array" ref="B935">alea_int(Settings!$B$10,1,Settings!$B$16)</f>
        <v>1</v>
      </c>
      <c r="C935" s="8">
        <v>46023</v>
      </c>
      <c r="D935" s="8">
        <f t="shared" si="57"/>
        <v>46387</v>
      </c>
      <c r="E935" s="6" t="str" cm="1">
        <f t="array" ref="E935">choice(Groupes!A:A,1,Settings!$B$16)</f>
        <v>G1</v>
      </c>
      <c r="F935" s="6" t="str">
        <f t="shared" si="58"/>
        <v>G1</v>
      </c>
      <c r="G935" s="6" t="str">
        <f t="shared" si="59"/>
        <v>Prof21</v>
      </c>
      <c r="H935" s="6" t="str" cm="1">
        <f t="array" ref="H935">choice(Referentiel!A:A,1,Settings!$B$16)</f>
        <v>Scénographie</v>
      </c>
      <c r="I935" s="6" t="str" cm="1">
        <f t="array" ref="I935">choice(Referentiel!B:B,1,Settings!$B$16)</f>
        <v>4ème année Art-Espace S1</v>
      </c>
      <c r="J935" s="6" t="str" cm="1">
        <f t="array" ref="J935">choice(Referentiel!D:D,1,Settings!$B$16)</f>
        <v>L2</v>
      </c>
      <c r="K935" s="6" t="str" cm="1">
        <f t="array" ref="K935">choice(Professeurs!B:B,1,Settings!$B$16)</f>
        <v>Prof21</v>
      </c>
      <c r="L935" s="5" t="str" cm="1">
        <f t="array" ref="L935">choice(Referentiel!C:C,1,Settings!$B$16)</f>
        <v/>
      </c>
      <c r="M935" s="5" t="str" cm="1">
        <f t="array" ref="M935">choice(Referentiel!E:E,1,Settings!$B$16)</f>
        <v/>
      </c>
      <c r="N935" s="5" t="str" cm="1">
        <f t="array" ref="N935">choice(Settings!K:K,1,Settings!$B$16)</f>
        <v/>
      </c>
      <c r="P935" s="5">
        <f t="shared" si="60"/>
        <v>1</v>
      </c>
    </row>
    <row r="936" spans="1:16" ht="15.75" customHeight="1" x14ac:dyDescent="0.25">
      <c r="A936" s="6" t="s">
        <v>1288</v>
      </c>
      <c r="B936" s="6" cm="1">
        <f t="array" ref="B936">alea_int(Settings!$B$10,1,Settings!$B$16)</f>
        <v>3</v>
      </c>
      <c r="C936" s="8">
        <v>46023</v>
      </c>
      <c r="D936" s="8">
        <f t="shared" si="57"/>
        <v>46387</v>
      </c>
      <c r="E936" s="6" t="str" cm="1">
        <f t="array" ref="E936">choice(Groupes!A:A,1,Settings!$B$16)</f>
        <v>G22</v>
      </c>
      <c r="F936" s="6" t="str">
        <f t="shared" si="58"/>
        <v>G22</v>
      </c>
      <c r="G936" s="6" t="str">
        <f t="shared" si="59"/>
        <v>Prof29</v>
      </c>
      <c r="H936" s="6" t="str" cm="1">
        <f t="array" ref="H936">choice(Referentiel!A:A,1,Settings!$B$16)</f>
        <v>Art-Espace</v>
      </c>
      <c r="I936" s="6" t="str" cm="1">
        <f t="array" ref="I936">choice(Referentiel!B:B,1,Settings!$B$16)</f>
        <v>2ème année Art-Espace S2</v>
      </c>
      <c r="J936" s="6" t="str" cm="1">
        <f t="array" ref="J936">choice(Referentiel!D:D,1,Settings!$B$16)</f>
        <v>L3</v>
      </c>
      <c r="K936" s="6" t="str" cm="1">
        <f t="array" ref="K936">choice(Professeurs!B:B,1,Settings!$B$16)</f>
        <v>Prof29</v>
      </c>
      <c r="L936" s="5" t="str" cm="1">
        <f t="array" ref="L936">choice(Referentiel!C:C,1,Settings!$B$16)</f>
        <v/>
      </c>
      <c r="M936" s="5" t="str" cm="1">
        <f t="array" ref="M936">choice(Referentiel!E:E,1,Settings!$B$16)</f>
        <v/>
      </c>
      <c r="N936" s="5" t="str" cm="1">
        <f t="array" ref="N936">choice(Settings!K:K,1,Settings!$B$16)</f>
        <v/>
      </c>
      <c r="P936" s="5">
        <f t="shared" si="60"/>
        <v>3</v>
      </c>
    </row>
    <row r="937" spans="1:16" ht="15.75" customHeight="1" x14ac:dyDescent="0.25">
      <c r="A937" s="6" t="s">
        <v>1289</v>
      </c>
      <c r="B937" s="6" cm="1">
        <f t="array" ref="B937">alea_int(Settings!$B$10,1,Settings!$B$16)</f>
        <v>1</v>
      </c>
      <c r="C937" s="8">
        <v>46023</v>
      </c>
      <c r="D937" s="8">
        <f t="shared" si="57"/>
        <v>46387</v>
      </c>
      <c r="E937" s="6" t="str" cm="1">
        <f t="array" ref="E937">choice(Groupes!A:A,1,Settings!$B$16)</f>
        <v>G5</v>
      </c>
      <c r="F937" s="6" t="str">
        <f t="shared" si="58"/>
        <v>G5</v>
      </c>
      <c r="G937" s="6" t="str">
        <f t="shared" si="59"/>
        <v>Prof2</v>
      </c>
      <c r="H937" s="6" t="str" cm="1">
        <f t="array" ref="H937">choice(Referentiel!A:A,1,Settings!$B$16)</f>
        <v>1ère année Groupe 1</v>
      </c>
      <c r="I937" s="6" t="str" cm="1">
        <f t="array" ref="I937">choice(Referentiel!B:B,1,Settings!$B$16)</f>
        <v>3ème année Scénographie S1</v>
      </c>
      <c r="J937" s="6" t="str" cm="1">
        <f t="array" ref="J937">choice(Referentiel!D:D,1,Settings!$B$16)</f>
        <v>L2</v>
      </c>
      <c r="K937" s="6" t="str" cm="1">
        <f t="array" ref="K937">choice(Professeurs!B:B,1,Settings!$B$16)</f>
        <v>Prof2</v>
      </c>
      <c r="L937" s="5" t="str" cm="1">
        <f t="array" ref="L937">choice(Referentiel!C:C,1,Settings!$B$16)</f>
        <v/>
      </c>
      <c r="M937" s="5" t="str" cm="1">
        <f t="array" ref="M937">choice(Referentiel!E:E,1,Settings!$B$16)</f>
        <v/>
      </c>
      <c r="N937" s="5" t="str" cm="1">
        <f t="array" ref="N937">choice(Settings!K:K,1,Settings!$B$16)</f>
        <v>mardi pm</v>
      </c>
      <c r="P937" s="5">
        <f t="shared" si="60"/>
        <v>3</v>
      </c>
    </row>
    <row r="938" spans="1:16" ht="15.75" customHeight="1" x14ac:dyDescent="0.25">
      <c r="A938" s="6" t="s">
        <v>1290</v>
      </c>
      <c r="B938" s="6" cm="1">
        <f t="array" ref="B938">alea_int(Settings!$B$10,1,Settings!$B$16)</f>
        <v>1</v>
      </c>
      <c r="C938" s="8">
        <v>46023</v>
      </c>
      <c r="D938" s="8">
        <f t="shared" si="57"/>
        <v>46387</v>
      </c>
      <c r="E938" s="6" t="str" cm="1">
        <f t="array" ref="E938">choice(Groupes!A:A,1,Settings!$B$16)</f>
        <v>G5</v>
      </c>
      <c r="F938" s="6" t="str">
        <f t="shared" si="58"/>
        <v>G5</v>
      </c>
      <c r="G938" s="6" t="str">
        <f t="shared" si="59"/>
        <v>Prof2</v>
      </c>
      <c r="H938" s="6" t="str" cm="1">
        <f t="array" ref="H938">choice(Referentiel!A:A,1,Settings!$B$16)</f>
        <v>1ère année Groupe 1</v>
      </c>
      <c r="I938" s="6" t="str" cm="1">
        <f t="array" ref="I938">choice(Referentiel!B:B,1,Settings!$B$16)</f>
        <v>3ème année Design Textile et Matière S2</v>
      </c>
      <c r="J938" s="6" t="str" cm="1">
        <f t="array" ref="J938">choice(Referentiel!D:D,1,Settings!$B$16)</f>
        <v>M2</v>
      </c>
      <c r="K938" s="6" t="str" cm="1">
        <f t="array" ref="K938">choice(Professeurs!B:B,1,Settings!$B$16)</f>
        <v>Prof2</v>
      </c>
      <c r="L938" s="5" t="str" cm="1">
        <f t="array" ref="L938">choice(Referentiel!C:C,1,Settings!$B$16)</f>
        <v/>
      </c>
      <c r="M938" s="5" t="str" cm="1">
        <f t="array" ref="M938">choice(Referentiel!E:E,1,Settings!$B$16)</f>
        <v/>
      </c>
      <c r="N938" s="5" t="str" cm="1">
        <f t="array" ref="N938">choice(Settings!K:K,1,Settings!$B$16)</f>
        <v/>
      </c>
      <c r="P938" s="5">
        <f t="shared" si="60"/>
        <v>1</v>
      </c>
    </row>
    <row r="939" spans="1:16" ht="15.75" customHeight="1" x14ac:dyDescent="0.25">
      <c r="A939" s="6" t="s">
        <v>1291</v>
      </c>
      <c r="B939" s="6" cm="1">
        <f t="array" ref="B939">alea_int(Settings!$B$10,1,Settings!$B$16)</f>
        <v>3</v>
      </c>
      <c r="C939" s="8">
        <v>46023</v>
      </c>
      <c r="D939" s="8">
        <f t="shared" si="57"/>
        <v>46387</v>
      </c>
      <c r="E939" s="6" t="str" cm="1">
        <f t="array" ref="E939">choice(Groupes!A:A,1,Settings!$B$16)</f>
        <v>G11</v>
      </c>
      <c r="F939" s="6" t="str">
        <f t="shared" si="58"/>
        <v>G11</v>
      </c>
      <c r="G939" s="6" t="str">
        <f t="shared" si="59"/>
        <v>Prof14</v>
      </c>
      <c r="H939" s="6" t="str" cm="1">
        <f t="array" ref="H939">choice(Referentiel!A:A,1,Settings!$B$16)</f>
        <v>Design Graphique</v>
      </c>
      <c r="I939" s="6" t="str" cm="1">
        <f t="array" ref="I939">choice(Referentiel!B:B,1,Settings!$B$16)</f>
        <v>1ère Année Groupe 1 S1</v>
      </c>
      <c r="J939" s="6" t="str" cm="1">
        <f t="array" ref="J939">choice(Referentiel!D:D,1,Settings!$B$16)</f>
        <v>M2</v>
      </c>
      <c r="K939" s="6" t="str" cm="1">
        <f t="array" ref="K939">choice(Professeurs!B:B,1,Settings!$B$16)</f>
        <v>Prof14</v>
      </c>
      <c r="L939" s="5" t="str" cm="1">
        <f t="array" ref="L939">choice(Referentiel!C:C,1,Settings!$B$16)</f>
        <v/>
      </c>
      <c r="M939" s="5" t="str" cm="1">
        <f t="array" ref="M939">choice(Referentiel!E:E,1,Settings!$B$16)</f>
        <v/>
      </c>
      <c r="N939" s="5" t="str" cm="1">
        <f t="array" ref="N939">choice(Settings!K:K,1,Settings!$B$16)</f>
        <v/>
      </c>
      <c r="P939" s="5">
        <f t="shared" si="60"/>
        <v>3</v>
      </c>
    </row>
    <row r="940" spans="1:16" ht="15.75" customHeight="1" x14ac:dyDescent="0.25">
      <c r="A940" s="6" t="s">
        <v>1292</v>
      </c>
      <c r="B940" s="6" cm="1">
        <f t="array" ref="B940">alea_int(Settings!$B$10,1,Settings!$B$16)</f>
        <v>1</v>
      </c>
      <c r="C940" s="8">
        <v>46023</v>
      </c>
      <c r="D940" s="8">
        <f t="shared" si="57"/>
        <v>46387</v>
      </c>
      <c r="E940" s="6" t="str" cm="1">
        <f t="array" ref="E940">choice(Groupes!A:A,1,Settings!$B$16)</f>
        <v>G5</v>
      </c>
      <c r="F940" s="6" t="str">
        <f t="shared" si="58"/>
        <v>G5</v>
      </c>
      <c r="G940" s="6" t="str">
        <f t="shared" si="59"/>
        <v>Prof18</v>
      </c>
      <c r="H940" s="6" t="str" cm="1">
        <f t="array" ref="H940">choice(Referentiel!A:A,1,Settings!$B$16)</f>
        <v>Design des mondes insulaires</v>
      </c>
      <c r="I940" s="6" t="str" cm="1">
        <f t="array" ref="I940">choice(Referentiel!B:B,1,Settings!$B$16)</f>
        <v>3ème année Image Imprimée S1</v>
      </c>
      <c r="J940" s="6" t="str" cm="1">
        <f t="array" ref="J940">choice(Referentiel!D:D,1,Settings!$B$16)</f>
        <v>L2</v>
      </c>
      <c r="K940" s="6" t="str" cm="1">
        <f t="array" ref="K940">choice(Professeurs!B:B,1,Settings!$B$16)</f>
        <v>Prof18</v>
      </c>
      <c r="L940" s="5" t="str" cm="1">
        <f t="array" ref="L940">choice(Referentiel!C:C,1,Settings!$B$16)</f>
        <v/>
      </c>
      <c r="M940" s="5" t="str" cm="1">
        <f t="array" ref="M940">choice(Referentiel!E:E,1,Settings!$B$16)</f>
        <v/>
      </c>
      <c r="N940" s="5" t="str" cm="1">
        <f t="array" ref="N940">choice(Settings!K:K,1,Settings!$B$16)</f>
        <v>mercredi pm</v>
      </c>
      <c r="P940" s="5">
        <f t="shared" si="60"/>
        <v>3</v>
      </c>
    </row>
    <row r="941" spans="1:16" ht="15.75" customHeight="1" x14ac:dyDescent="0.25">
      <c r="A941" s="6" t="s">
        <v>1293</v>
      </c>
      <c r="B941" s="6" cm="1">
        <f t="array" ref="B941">alea_int(Settings!$B$10,1,Settings!$B$16)</f>
        <v>2</v>
      </c>
      <c r="C941" s="8">
        <v>46023</v>
      </c>
      <c r="D941" s="8">
        <f t="shared" si="57"/>
        <v>46387</v>
      </c>
      <c r="E941" s="6" t="str" cm="1">
        <f t="array" ref="E941">choice(Groupes!A:A,1,Settings!$B$16)</f>
        <v>G15</v>
      </c>
      <c r="F941" s="6" t="str">
        <f t="shared" si="58"/>
        <v>G15</v>
      </c>
      <c r="G941" s="6" t="str">
        <f t="shared" si="59"/>
        <v>Prof44</v>
      </c>
      <c r="H941" s="6" t="str" cm="1">
        <f t="array" ref="H941">choice(Referentiel!A:A,1,Settings!$B$16)</f>
        <v>1ère année Groupe 3</v>
      </c>
      <c r="I941" s="6" t="str" cm="1">
        <f t="array" ref="I941">choice(Referentiel!B:B,1,Settings!$B$16)</f>
        <v>2ème année Cinéma d'Animation S2</v>
      </c>
      <c r="J941" s="6" t="str" cm="1">
        <f t="array" ref="J941">choice(Referentiel!D:D,1,Settings!$B$16)</f>
        <v>L3</v>
      </c>
      <c r="K941" s="6" t="str" cm="1">
        <f t="array" ref="K941">choice(Professeurs!B:B,1,Settings!$B$16)</f>
        <v>Prof44</v>
      </c>
      <c r="L941" s="5" t="str" cm="1">
        <f t="array" ref="L941">choice(Referentiel!C:C,1,Settings!$B$16)</f>
        <v/>
      </c>
      <c r="M941" s="5" t="str" cm="1">
        <f t="array" ref="M941">choice(Referentiel!E:E,1,Settings!$B$16)</f>
        <v/>
      </c>
      <c r="N941" s="5" t="str" cm="1">
        <f t="array" ref="N941">choice(Settings!K:K,1,Settings!$B$16)</f>
        <v>lundi pm</v>
      </c>
      <c r="P941" s="5">
        <f t="shared" si="60"/>
        <v>4</v>
      </c>
    </row>
    <row r="942" spans="1:16" ht="15.75" customHeight="1" x14ac:dyDescent="0.25">
      <c r="A942" s="6" t="s">
        <v>1294</v>
      </c>
      <c r="B942" s="6" cm="1">
        <f t="array" ref="B942">alea_int(Settings!$B$10,1,Settings!$B$16)</f>
        <v>2</v>
      </c>
      <c r="C942" s="8">
        <v>46023</v>
      </c>
      <c r="D942" s="8">
        <f t="shared" si="57"/>
        <v>46387</v>
      </c>
      <c r="E942" s="6" t="str" cm="1">
        <f t="array" ref="E942">choice(Groupes!A:A,1,Settings!$B$16)</f>
        <v>G5</v>
      </c>
      <c r="F942" s="6" t="str">
        <f t="shared" si="58"/>
        <v>G5</v>
      </c>
      <c r="G942" s="6" t="str">
        <f t="shared" si="59"/>
        <v>Prof1</v>
      </c>
      <c r="H942" s="6" t="str" cm="1">
        <f t="array" ref="H942">choice(Referentiel!A:A,1,Settings!$B$16)</f>
        <v>Design des mondes insulaires</v>
      </c>
      <c r="I942" s="6" t="str" cm="1">
        <f t="array" ref="I942">choice(Referentiel!B:B,1,Settings!$B$16)</f>
        <v>4ème année Architecture Intérieure S2</v>
      </c>
      <c r="J942" s="6" t="str" cm="1">
        <f t="array" ref="J942">choice(Referentiel!D:D,1,Settings!$B$16)</f>
        <v>L2</v>
      </c>
      <c r="K942" s="6" t="str" cm="1">
        <f t="array" ref="K942">choice(Professeurs!B:B,1,Settings!$B$16)</f>
        <v>Prof1</v>
      </c>
      <c r="L942" s="5" t="str" cm="1">
        <f t="array" ref="L942">choice(Referentiel!C:C,1,Settings!$B$16)</f>
        <v/>
      </c>
      <c r="M942" s="5" t="str" cm="1">
        <f t="array" ref="M942">choice(Referentiel!E:E,1,Settings!$B$16)</f>
        <v/>
      </c>
      <c r="N942" s="5" t="str" cm="1">
        <f t="array" ref="N942">choice(Settings!K:K,1,Settings!$B$16)</f>
        <v/>
      </c>
      <c r="P942" s="5">
        <f t="shared" si="60"/>
        <v>2</v>
      </c>
    </row>
    <row r="943" spans="1:16" ht="15.75" customHeight="1" x14ac:dyDescent="0.25">
      <c r="A943" s="6" t="s">
        <v>1295</v>
      </c>
      <c r="B943" s="6" cm="1">
        <f t="array" ref="B943">alea_int(Settings!$B$10,1,Settings!$B$16)</f>
        <v>3</v>
      </c>
      <c r="C943" s="8">
        <v>46023</v>
      </c>
      <c r="D943" s="8">
        <f t="shared" si="57"/>
        <v>46387</v>
      </c>
      <c r="E943" s="6" t="str" cm="1">
        <f t="array" ref="E943">choice(Groupes!A:A,1,Settings!$B$16)</f>
        <v>G26</v>
      </c>
      <c r="F943" s="6" t="str">
        <f t="shared" si="58"/>
        <v>G26</v>
      </c>
      <c r="G943" s="6" t="str">
        <f t="shared" si="59"/>
        <v>Prof19</v>
      </c>
      <c r="H943" s="6" t="str" cm="1">
        <f t="array" ref="H943">choice(Referentiel!A:A,1,Settings!$B$16)</f>
        <v>Image Imprimée</v>
      </c>
      <c r="I943" s="6" t="str" cm="1">
        <f t="array" ref="I943">choice(Referentiel!B:B,1,Settings!$B$16)</f>
        <v>5ème année Design Graphique S1</v>
      </c>
      <c r="J943" s="6" t="str" cm="1">
        <f t="array" ref="J943">choice(Referentiel!D:D,1,Settings!$B$16)</f>
        <v>M2</v>
      </c>
      <c r="K943" s="6" t="str" cm="1">
        <f t="array" ref="K943">choice(Professeurs!B:B,1,Settings!$B$16)</f>
        <v>Prof19</v>
      </c>
      <c r="L943" s="5" t="str" cm="1">
        <f t="array" ref="L943">choice(Referentiel!C:C,1,Settings!$B$16)</f>
        <v/>
      </c>
      <c r="M943" s="5" t="str" cm="1">
        <f t="array" ref="M943">choice(Referentiel!E:E,1,Settings!$B$16)</f>
        <v/>
      </c>
      <c r="N943" s="5" t="str" cm="1">
        <f t="array" ref="N943">choice(Settings!K:K,1,Settings!$B$16)</f>
        <v/>
      </c>
      <c r="P943" s="5">
        <f t="shared" si="60"/>
        <v>3</v>
      </c>
    </row>
    <row r="944" spans="1:16" ht="15.75" customHeight="1" x14ac:dyDescent="0.25">
      <c r="A944" s="6" t="s">
        <v>1296</v>
      </c>
      <c r="B944" s="6" cm="1">
        <f t="array" ref="B944">alea_int(Settings!$B$10,1,Settings!$B$16)</f>
        <v>3</v>
      </c>
      <c r="C944" s="8">
        <v>46023</v>
      </c>
      <c r="D944" s="8">
        <f t="shared" si="57"/>
        <v>46387</v>
      </c>
      <c r="E944" s="6" t="str" cm="1">
        <f t="array" ref="E944">choice(Groupes!A:A,1,Settings!$B$16)</f>
        <v>G13</v>
      </c>
      <c r="F944" s="6" t="str">
        <f t="shared" si="58"/>
        <v>G13</v>
      </c>
      <c r="G944" s="6" t="str">
        <f t="shared" si="59"/>
        <v>Prof42</v>
      </c>
      <c r="H944" s="6" t="str" cm="1">
        <f t="array" ref="H944">choice(Referentiel!A:A,1,Settings!$B$16)</f>
        <v>Design des mondes forestiers</v>
      </c>
      <c r="I944" s="6" t="str" cm="1">
        <f t="array" ref="I944">choice(Referentiel!B:B,1,Settings!$B$16)</f>
        <v>2ème année Photo / Vidéo S2</v>
      </c>
      <c r="J944" s="6" t="str" cm="1">
        <f t="array" ref="J944">choice(Referentiel!D:D,1,Settings!$B$16)</f>
        <v>L3</v>
      </c>
      <c r="K944" s="6" t="str" cm="1">
        <f t="array" ref="K944">choice(Professeurs!B:B,1,Settings!$B$16)</f>
        <v>Prof42</v>
      </c>
      <c r="L944" s="5" t="str" cm="1">
        <f t="array" ref="L944">choice(Referentiel!C:C,1,Settings!$B$16)</f>
        <v/>
      </c>
      <c r="M944" s="5" t="str" cm="1">
        <f t="array" ref="M944">choice(Referentiel!E:E,1,Settings!$B$16)</f>
        <v/>
      </c>
      <c r="N944" s="5" t="str" cm="1">
        <f t="array" ref="N944">choice(Settings!K:K,1,Settings!$B$16)</f>
        <v/>
      </c>
      <c r="P944" s="5">
        <f t="shared" si="60"/>
        <v>3</v>
      </c>
    </row>
    <row r="945" spans="1:16" ht="15.75" customHeight="1" x14ac:dyDescent="0.25">
      <c r="A945" s="6" t="s">
        <v>1297</v>
      </c>
      <c r="B945" s="6" cm="1">
        <f t="array" ref="B945">alea_int(Settings!$B$10,1,Settings!$B$16)</f>
        <v>1</v>
      </c>
      <c r="C945" s="8">
        <v>46023</v>
      </c>
      <c r="D945" s="8">
        <f t="shared" si="57"/>
        <v>46387</v>
      </c>
      <c r="E945" s="6" t="str" cm="1">
        <f t="array" ref="E945">choice(Groupes!A:A,1,Settings!$B$16)</f>
        <v>G20</v>
      </c>
      <c r="F945" s="6" t="str">
        <f t="shared" si="58"/>
        <v>G20</v>
      </c>
      <c r="G945" s="6" t="str">
        <f t="shared" si="59"/>
        <v>Prof22</v>
      </c>
      <c r="H945" s="6" t="str" cm="1">
        <f t="array" ref="H945">choice(Referentiel!A:A,1,Settings!$B$16)</f>
        <v>Image Imprimée</v>
      </c>
      <c r="I945" s="6" t="str" cm="1">
        <f t="array" ref="I945">choice(Referentiel!B:B,1,Settings!$B$16)</f>
        <v>5ème année Cinéma d'Animation S2</v>
      </c>
      <c r="J945" s="6" t="str" cm="1">
        <f t="array" ref="J945">choice(Referentiel!D:D,1,Settings!$B$16)</f>
        <v>L3</v>
      </c>
      <c r="K945" s="6" t="str" cm="1">
        <f t="array" ref="K945">choice(Professeurs!B:B,1,Settings!$B$16)</f>
        <v>Prof22</v>
      </c>
      <c r="L945" s="5" t="str" cm="1">
        <f t="array" ref="L945">choice(Referentiel!C:C,1,Settings!$B$16)</f>
        <v/>
      </c>
      <c r="M945" s="5" t="str" cm="1">
        <f t="array" ref="M945">choice(Referentiel!E:E,1,Settings!$B$16)</f>
        <v>Salle4</v>
      </c>
      <c r="N945" s="5" t="str" cm="1">
        <f t="array" ref="N945">choice(Settings!K:K,1,Settings!$B$16)</f>
        <v/>
      </c>
      <c r="P945" s="5">
        <f t="shared" si="60"/>
        <v>3</v>
      </c>
    </row>
    <row r="946" spans="1:16" ht="15.75" customHeight="1" x14ac:dyDescent="0.25">
      <c r="A946" s="6" t="s">
        <v>1298</v>
      </c>
      <c r="B946" s="6" cm="1">
        <f t="array" ref="B946">alea_int(Settings!$B$10,1,Settings!$B$16)</f>
        <v>2</v>
      </c>
      <c r="C946" s="8">
        <v>46023</v>
      </c>
      <c r="D946" s="8">
        <f t="shared" si="57"/>
        <v>46387</v>
      </c>
      <c r="E946" s="6" t="str" cm="1">
        <f t="array" ref="E946">choice(Groupes!A:A,1,Settings!$B$16)</f>
        <v>G6</v>
      </c>
      <c r="F946" s="6" t="str">
        <f t="shared" si="58"/>
        <v>G6</v>
      </c>
      <c r="G946" s="6" t="str">
        <f t="shared" si="59"/>
        <v>Prof54</v>
      </c>
      <c r="H946" s="6" t="str" cm="1">
        <f t="array" ref="H946">choice(Referentiel!A:A,1,Settings!$B$16)</f>
        <v>Design des mondes littoraux</v>
      </c>
      <c r="I946" s="6" t="str" cm="1">
        <f t="array" ref="I946">choice(Referentiel!B:B,1,Settings!$B$16)</f>
        <v>3ème année Design Graphique S2</v>
      </c>
      <c r="J946" s="6" t="str" cm="1">
        <f t="array" ref="J946">choice(Referentiel!D:D,1,Settings!$B$16)</f>
        <v>L2</v>
      </c>
      <c r="K946" s="6" t="str" cm="1">
        <f t="array" ref="K946">choice(Professeurs!B:B,1,Settings!$B$16)</f>
        <v>Prof54</v>
      </c>
      <c r="L946" s="5" t="str" cm="1">
        <f t="array" ref="L946">choice(Referentiel!C:C,1,Settings!$B$16)</f>
        <v>pupitre</v>
      </c>
      <c r="M946" s="5" t="str" cm="1">
        <f t="array" ref="M946">choice(Referentiel!E:E,1,Settings!$B$16)</f>
        <v/>
      </c>
      <c r="N946" s="5" t="str" cm="1">
        <f t="array" ref="N946">choice(Settings!K:K,1,Settings!$B$16)</f>
        <v/>
      </c>
      <c r="P946" s="5">
        <f t="shared" si="60"/>
        <v>2</v>
      </c>
    </row>
    <row r="947" spans="1:16" ht="15.75" customHeight="1" x14ac:dyDescent="0.25">
      <c r="A947" s="6" t="s">
        <v>1299</v>
      </c>
      <c r="B947" s="6" cm="1">
        <f t="array" ref="B947">alea_int(Settings!$B$10,1,Settings!$B$16)</f>
        <v>1</v>
      </c>
      <c r="C947" s="8">
        <v>46023</v>
      </c>
      <c r="D947" s="8">
        <f t="shared" si="57"/>
        <v>46387</v>
      </c>
      <c r="E947" s="6" t="str" cm="1">
        <f t="array" ref="E947">choice(Groupes!A:A,1,Settings!$B$16)</f>
        <v>G28</v>
      </c>
      <c r="F947" s="6" t="str">
        <f t="shared" si="58"/>
        <v>G28</v>
      </c>
      <c r="G947" s="6" t="str">
        <f t="shared" si="59"/>
        <v>Prof40</v>
      </c>
      <c r="H947" s="6" t="str" cm="1">
        <f t="array" ref="H947">choice(Referentiel!A:A,1,Settings!$B$16)</f>
        <v>Art-Espace</v>
      </c>
      <c r="I947" s="6" t="str" cm="1">
        <f t="array" ref="I947">choice(Referentiel!B:B,1,Settings!$B$16)</f>
        <v>2ème année Design Vêtement S2</v>
      </c>
      <c r="J947" s="6" t="str" cm="1">
        <f t="array" ref="J947">choice(Referentiel!D:D,1,Settings!$B$16)</f>
        <v>M1</v>
      </c>
      <c r="K947" s="6" t="str" cm="1">
        <f t="array" ref="K947">choice(Professeurs!B:B,1,Settings!$B$16)</f>
        <v>Prof40</v>
      </c>
      <c r="L947" s="5" t="str" cm="1">
        <f t="array" ref="L947">choice(Referentiel!C:C,1,Settings!$B$16)</f>
        <v/>
      </c>
      <c r="M947" s="5" t="str" cm="1">
        <f t="array" ref="M947">choice(Referentiel!E:E,1,Settings!$B$16)</f>
        <v/>
      </c>
      <c r="N947" s="5" t="str" cm="1">
        <f t="array" ref="N947">choice(Settings!K:K,1,Settings!$B$16)</f>
        <v/>
      </c>
      <c r="P947" s="5">
        <f t="shared" si="60"/>
        <v>1</v>
      </c>
    </row>
    <row r="948" spans="1:16" ht="15.75" customHeight="1" x14ac:dyDescent="0.25">
      <c r="A948" s="6" t="s">
        <v>1300</v>
      </c>
      <c r="B948" s="6" cm="1">
        <f t="array" ref="B948">alea_int(Settings!$B$10,1,Settings!$B$16)</f>
        <v>2</v>
      </c>
      <c r="C948" s="8">
        <v>46023</v>
      </c>
      <c r="D948" s="8">
        <f t="shared" si="57"/>
        <v>46387</v>
      </c>
      <c r="E948" s="6" t="str" cm="1">
        <f t="array" ref="E948">choice(Groupes!A:A,1,Settings!$B$16)</f>
        <v>G18</v>
      </c>
      <c r="F948" s="6" t="str">
        <f t="shared" si="58"/>
        <v>G18</v>
      </c>
      <c r="G948" s="6" t="str">
        <f t="shared" si="59"/>
        <v>Prof29</v>
      </c>
      <c r="H948" s="6" t="str" cm="1">
        <f t="array" ref="H948">choice(Referentiel!A:A,1,Settings!$B$16)</f>
        <v>Architecture Intérieure</v>
      </c>
      <c r="I948" s="6" t="str" cm="1">
        <f t="array" ref="I948">choice(Referentiel!B:B,1,Settings!$B$16)</f>
        <v>1ère Année Groupe 1 S1</v>
      </c>
      <c r="J948" s="6" t="str" cm="1">
        <f t="array" ref="J948">choice(Referentiel!D:D,1,Settings!$B$16)</f>
        <v>M1</v>
      </c>
      <c r="K948" s="6" t="str" cm="1">
        <f t="array" ref="K948">choice(Professeurs!B:B,1,Settings!$B$16)</f>
        <v>Prof29</v>
      </c>
      <c r="L948" s="5" t="str" cm="1">
        <f t="array" ref="L948">choice(Referentiel!C:C,1,Settings!$B$16)</f>
        <v/>
      </c>
      <c r="M948" s="5" t="str" cm="1">
        <f t="array" ref="M948">choice(Referentiel!E:E,1,Settings!$B$16)</f>
        <v/>
      </c>
      <c r="N948" s="5" t="str" cm="1">
        <f t="array" ref="N948">choice(Settings!K:K,1,Settings!$B$16)</f>
        <v>semaine</v>
      </c>
      <c r="P948" s="5">
        <f t="shared" si="60"/>
        <v>4</v>
      </c>
    </row>
    <row r="949" spans="1:16" ht="15.75" customHeight="1" x14ac:dyDescent="0.25">
      <c r="A949" s="6" t="s">
        <v>1301</v>
      </c>
      <c r="B949" s="6" cm="1">
        <f t="array" ref="B949">alea_int(Settings!$B$10,1,Settings!$B$16)</f>
        <v>2</v>
      </c>
      <c r="C949" s="8">
        <v>46023</v>
      </c>
      <c r="D949" s="8">
        <f t="shared" si="57"/>
        <v>46387</v>
      </c>
      <c r="E949" s="6" t="str" cm="1">
        <f t="array" ref="E949">choice(Groupes!A:A,1,Settings!$B$16)</f>
        <v>G18</v>
      </c>
      <c r="F949" s="6" t="str">
        <f t="shared" si="58"/>
        <v>G18</v>
      </c>
      <c r="G949" s="6" t="str">
        <f t="shared" si="59"/>
        <v>Prof6</v>
      </c>
      <c r="H949" s="6" t="str" cm="1">
        <f t="array" ref="H949">choice(Referentiel!A:A,1,Settings!$B$16)</f>
        <v>Art-Espace</v>
      </c>
      <c r="I949" s="6" t="str" cm="1">
        <f t="array" ref="I949">choice(Referentiel!B:B,1,Settings!$B$16)</f>
        <v>5ème année Image Imprimée S1</v>
      </c>
      <c r="J949" s="6" t="str" cm="1">
        <f t="array" ref="J949">choice(Referentiel!D:D,1,Settings!$B$16)</f>
        <v>L3</v>
      </c>
      <c r="K949" s="6" t="str" cm="1">
        <f t="array" ref="K949">choice(Professeurs!B:B,1,Settings!$B$16)</f>
        <v>Prof6</v>
      </c>
      <c r="L949" s="5" t="str" cm="1">
        <f t="array" ref="L949">choice(Referentiel!C:C,1,Settings!$B$16)</f>
        <v/>
      </c>
      <c r="M949" s="5" t="str" cm="1">
        <f t="array" ref="M949">choice(Referentiel!E:E,1,Settings!$B$16)</f>
        <v/>
      </c>
      <c r="N949" s="5" t="str" cm="1">
        <f t="array" ref="N949">choice(Settings!K:K,1,Settings!$B$16)</f>
        <v/>
      </c>
      <c r="P949" s="5">
        <f t="shared" si="60"/>
        <v>2</v>
      </c>
    </row>
    <row r="950" spans="1:16" ht="15.75" customHeight="1" x14ac:dyDescent="0.25">
      <c r="A950" s="6" t="s">
        <v>1302</v>
      </c>
      <c r="B950" s="6" cm="1">
        <f t="array" ref="B950">alea_int(Settings!$B$10,1,Settings!$B$16)</f>
        <v>2</v>
      </c>
      <c r="C950" s="8">
        <v>46023</v>
      </c>
      <c r="D950" s="8">
        <f t="shared" si="57"/>
        <v>46387</v>
      </c>
      <c r="E950" s="6" t="str" cm="1">
        <f t="array" ref="E950">choice(Groupes!A:A,1,Settings!$B$16)</f>
        <v>G4</v>
      </c>
      <c r="F950" s="6" t="str">
        <f t="shared" si="58"/>
        <v>G4</v>
      </c>
      <c r="G950" s="6" t="str">
        <f t="shared" si="59"/>
        <v>Prof16</v>
      </c>
      <c r="H950" s="6" t="str" cm="1">
        <f t="array" ref="H950">choice(Referentiel!A:A,1,Settings!$B$16)</f>
        <v>Gr SYMBIOSE</v>
      </c>
      <c r="I950" s="6" t="str" cm="1">
        <f t="array" ref="I950">choice(Referentiel!B:B,1,Settings!$B$16)</f>
        <v>5ème année Architecture Intérieure S2</v>
      </c>
      <c r="J950" s="6" t="str" cm="1">
        <f t="array" ref="J950">choice(Referentiel!D:D,1,Settings!$B$16)</f>
        <v>L2</v>
      </c>
      <c r="K950" s="6" t="str" cm="1">
        <f t="array" ref="K950">choice(Professeurs!B:B,1,Settings!$B$16)</f>
        <v>Prof16</v>
      </c>
      <c r="L950" s="5" t="str" cm="1">
        <f t="array" ref="L950">choice(Referentiel!C:C,1,Settings!$B$16)</f>
        <v/>
      </c>
      <c r="M950" s="5" t="str" cm="1">
        <f t="array" ref="M950">choice(Referentiel!E:E,1,Settings!$B$16)</f>
        <v>Salle6</v>
      </c>
      <c r="N950" s="5" t="str" cm="1">
        <f t="array" ref="N950">choice(Settings!K:K,1,Settings!$B$16)</f>
        <v/>
      </c>
      <c r="P950" s="5">
        <f t="shared" si="60"/>
        <v>4</v>
      </c>
    </row>
    <row r="951" spans="1:16" ht="15.75" customHeight="1" x14ac:dyDescent="0.25">
      <c r="A951" s="6" t="s">
        <v>1303</v>
      </c>
      <c r="B951" s="6" cm="1">
        <f t="array" ref="B951">alea_int(Settings!$B$10,1,Settings!$B$16)</f>
        <v>3</v>
      </c>
      <c r="C951" s="8">
        <v>46023</v>
      </c>
      <c r="D951" s="8">
        <f t="shared" si="57"/>
        <v>46387</v>
      </c>
      <c r="E951" s="6" t="str" cm="1">
        <f t="array" ref="E951">choice(Groupes!A:A,1,Settings!$B$16)</f>
        <v>G13</v>
      </c>
      <c r="F951" s="6" t="str">
        <f t="shared" si="58"/>
        <v>G13</v>
      </c>
      <c r="G951" s="6" t="str">
        <f t="shared" si="59"/>
        <v>Prof29</v>
      </c>
      <c r="H951" s="6" t="str" cm="1">
        <f t="array" ref="H951">choice(Referentiel!A:A,1,Settings!$B$16)</f>
        <v>6ème année atelier</v>
      </c>
      <c r="I951" s="6" t="str" cm="1">
        <f t="array" ref="I951">choice(Referentiel!B:B,1,Settings!$B$16)</f>
        <v>3ème année Art-Espace S2</v>
      </c>
      <c r="J951" s="6" t="str" cm="1">
        <f t="array" ref="J951">choice(Referentiel!D:D,1,Settings!$B$16)</f>
        <v>M2</v>
      </c>
      <c r="K951" s="6" t="str" cm="1">
        <f t="array" ref="K951">choice(Professeurs!B:B,1,Settings!$B$16)</f>
        <v>Prof29</v>
      </c>
      <c r="L951" s="5" t="str" cm="1">
        <f t="array" ref="L951">choice(Referentiel!C:C,1,Settings!$B$16)</f>
        <v/>
      </c>
      <c r="M951" s="5" t="str" cm="1">
        <f t="array" ref="M951">choice(Referentiel!E:E,1,Settings!$B$16)</f>
        <v/>
      </c>
      <c r="N951" s="5" t="str" cm="1">
        <f t="array" ref="N951">choice(Settings!K:K,1,Settings!$B$16)</f>
        <v/>
      </c>
      <c r="P951" s="5">
        <f t="shared" si="60"/>
        <v>3</v>
      </c>
    </row>
    <row r="952" spans="1:16" ht="15.75" customHeight="1" x14ac:dyDescent="0.25">
      <c r="A952" s="6" t="s">
        <v>1304</v>
      </c>
      <c r="B952" s="6" cm="1">
        <f t="array" ref="B952">alea_int(Settings!$B$10,1,Settings!$B$16)</f>
        <v>1</v>
      </c>
      <c r="C952" s="8">
        <v>46023</v>
      </c>
      <c r="D952" s="8">
        <f t="shared" si="57"/>
        <v>46387</v>
      </c>
      <c r="E952" s="6" t="str" cm="1">
        <f t="array" ref="E952">choice(Groupes!A:A,1,Settings!$B$16)</f>
        <v>G23</v>
      </c>
      <c r="F952" s="6" t="str">
        <f t="shared" si="58"/>
        <v>G23</v>
      </c>
      <c r="G952" s="6" t="str">
        <f t="shared" si="59"/>
        <v>Prof10</v>
      </c>
      <c r="H952" s="6" t="str" cm="1">
        <f t="array" ref="H952">choice(Referentiel!A:A,1,Settings!$B$16)</f>
        <v>Scénographie</v>
      </c>
      <c r="I952" s="6" t="str" cm="1">
        <f t="array" ref="I952">choice(Referentiel!B:B,1,Settings!$B$16)</f>
        <v>5ème année Design Objet S2</v>
      </c>
      <c r="J952" s="6" t="str" cm="1">
        <f t="array" ref="J952">choice(Referentiel!D:D,1,Settings!$B$16)</f>
        <v>L2</v>
      </c>
      <c r="K952" s="6" t="str" cm="1">
        <f t="array" ref="K952">choice(Professeurs!B:B,1,Settings!$B$16)</f>
        <v>Prof10</v>
      </c>
      <c r="L952" s="5" t="str" cm="1">
        <f t="array" ref="L952">choice(Referentiel!C:C,1,Settings!$B$16)</f>
        <v/>
      </c>
      <c r="M952" s="5" t="str" cm="1">
        <f t="array" ref="M952">choice(Referentiel!E:E,1,Settings!$B$16)</f>
        <v/>
      </c>
      <c r="N952" s="5" t="str" cm="1">
        <f t="array" ref="N952">choice(Settings!K:K,1,Settings!$B$16)</f>
        <v/>
      </c>
      <c r="P952" s="5">
        <f t="shared" si="60"/>
        <v>1</v>
      </c>
    </row>
    <row r="953" spans="1:16" ht="15.75" customHeight="1" x14ac:dyDescent="0.25">
      <c r="A953" s="6" t="s">
        <v>1305</v>
      </c>
      <c r="B953" s="6" cm="1">
        <f t="array" ref="B953">alea_int(Settings!$B$10,1,Settings!$B$16)</f>
        <v>2</v>
      </c>
      <c r="C953" s="8">
        <v>46023</v>
      </c>
      <c r="D953" s="8">
        <f t="shared" si="57"/>
        <v>46387</v>
      </c>
      <c r="E953" s="6" t="str" cm="1">
        <f t="array" ref="E953">choice(Groupes!A:A,1,Settings!$B$16)</f>
        <v>G24</v>
      </c>
      <c r="F953" s="6" t="str">
        <f t="shared" si="58"/>
        <v>G24</v>
      </c>
      <c r="G953" s="6" t="str">
        <f t="shared" si="59"/>
        <v>Prof54</v>
      </c>
      <c r="H953" s="6" t="str" cm="1">
        <f t="array" ref="H953">choice(Referentiel!A:A,1,Settings!$B$16)</f>
        <v>Architecture Intérieure</v>
      </c>
      <c r="I953" s="6" t="str" cm="1">
        <f t="array" ref="I953">choice(Referentiel!B:B,1,Settings!$B$16)</f>
        <v>3ème année Design Textile et Matière S2</v>
      </c>
      <c r="J953" s="6" t="str" cm="1">
        <f t="array" ref="J953">choice(Referentiel!D:D,1,Settings!$B$16)</f>
        <v>M2</v>
      </c>
      <c r="K953" s="6" t="str" cm="1">
        <f t="array" ref="K953">choice(Professeurs!B:B,1,Settings!$B$16)</f>
        <v>Prof54</v>
      </c>
      <c r="L953" s="5" t="str" cm="1">
        <f t="array" ref="L953">choice(Referentiel!C:C,1,Settings!$B$16)</f>
        <v/>
      </c>
      <c r="M953" s="5" t="str" cm="1">
        <f t="array" ref="M953">choice(Referentiel!E:E,1,Settings!$B$16)</f>
        <v/>
      </c>
      <c r="N953" s="5" t="str" cm="1">
        <f t="array" ref="N953">choice(Settings!K:K,1,Settings!$B$16)</f>
        <v>mercredi pm</v>
      </c>
      <c r="P953" s="5">
        <f t="shared" si="60"/>
        <v>4</v>
      </c>
    </row>
    <row r="954" spans="1:16" ht="15.75" customHeight="1" x14ac:dyDescent="0.25">
      <c r="A954" s="6" t="s">
        <v>1306</v>
      </c>
      <c r="B954" s="6" cm="1">
        <f t="array" ref="B954">alea_int(Settings!$B$10,1,Settings!$B$16)</f>
        <v>2</v>
      </c>
      <c r="C954" s="8">
        <v>46023</v>
      </c>
      <c r="D954" s="8">
        <f t="shared" si="57"/>
        <v>46387</v>
      </c>
      <c r="E954" s="6" t="str" cm="1">
        <f t="array" ref="E954">choice(Groupes!A:A,1,Settings!$B$16)</f>
        <v>G27</v>
      </c>
      <c r="F954" s="6" t="str">
        <f t="shared" si="58"/>
        <v>G27</v>
      </c>
      <c r="G954" s="6" t="str">
        <f t="shared" si="59"/>
        <v>Prof44</v>
      </c>
      <c r="H954" s="6" t="str" cm="1">
        <f t="array" ref="H954">choice(Referentiel!A:A,1,Settings!$B$16)</f>
        <v>Design Textile et Matière</v>
      </c>
      <c r="I954" s="6" t="str" cm="1">
        <f t="array" ref="I954">choice(Referentiel!B:B,1,Settings!$B$16)</f>
        <v>3ème année Design Objet S2</v>
      </c>
      <c r="J954" s="6" t="str" cm="1">
        <f t="array" ref="J954">choice(Referentiel!D:D,1,Settings!$B$16)</f>
        <v>M1</v>
      </c>
      <c r="K954" s="6" t="str" cm="1">
        <f t="array" ref="K954">choice(Professeurs!B:B,1,Settings!$B$16)</f>
        <v>Prof44</v>
      </c>
      <c r="L954" s="5" t="str" cm="1">
        <f t="array" ref="L954">choice(Referentiel!C:C,1,Settings!$B$16)</f>
        <v/>
      </c>
      <c r="M954" s="5" t="str" cm="1">
        <f t="array" ref="M954">choice(Referentiel!E:E,1,Settings!$B$16)</f>
        <v/>
      </c>
      <c r="N954" s="5" t="str" cm="1">
        <f t="array" ref="N954">choice(Settings!K:K,1,Settings!$B$16)</f>
        <v/>
      </c>
      <c r="P954" s="5">
        <f t="shared" si="60"/>
        <v>2</v>
      </c>
    </row>
    <row r="955" spans="1:16" ht="15.75" customHeight="1" x14ac:dyDescent="0.25">
      <c r="A955" s="6" t="s">
        <v>1307</v>
      </c>
      <c r="B955" s="6" cm="1">
        <f t="array" ref="B955">alea_int(Settings!$B$10,1,Settings!$B$16)</f>
        <v>2</v>
      </c>
      <c r="C955" s="8">
        <v>46023</v>
      </c>
      <c r="D955" s="8">
        <f t="shared" si="57"/>
        <v>46387</v>
      </c>
      <c r="E955" s="6" t="str" cm="1">
        <f t="array" ref="E955">choice(Groupes!A:A,1,Settings!$B$16)</f>
        <v>G22</v>
      </c>
      <c r="F955" s="6" t="str">
        <f t="shared" si="58"/>
        <v>G22</v>
      </c>
      <c r="G955" s="6" t="str">
        <f t="shared" si="59"/>
        <v>Prof46</v>
      </c>
      <c r="H955" s="6" t="str" cm="1">
        <f t="array" ref="H955">choice(Referentiel!A:A,1,Settings!$B$16)</f>
        <v>Mode et Matière</v>
      </c>
      <c r="I955" s="6" t="str" cm="1">
        <f t="array" ref="I955">choice(Referentiel!B:B,1,Settings!$B$16)</f>
        <v>4ème année Art-Espace S1</v>
      </c>
      <c r="J955" s="6" t="str" cm="1">
        <f t="array" ref="J955">choice(Referentiel!D:D,1,Settings!$B$16)</f>
        <v>L3</v>
      </c>
      <c r="K955" s="6" t="str" cm="1">
        <f t="array" ref="K955">choice(Professeurs!B:B,1,Settings!$B$16)</f>
        <v>Prof46</v>
      </c>
      <c r="L955" s="5" t="str" cm="1">
        <f t="array" ref="L955">choice(Referentiel!C:C,1,Settings!$B$16)</f>
        <v/>
      </c>
      <c r="M955" s="5" t="str" cm="1">
        <f t="array" ref="M955">choice(Referentiel!E:E,1,Settings!$B$16)</f>
        <v/>
      </c>
      <c r="N955" s="5" t="str" cm="1">
        <f t="array" ref="N955">choice(Settings!K:K,1,Settings!$B$16)</f>
        <v/>
      </c>
      <c r="P955" s="5">
        <f t="shared" si="60"/>
        <v>2</v>
      </c>
    </row>
    <row r="956" spans="1:16" ht="15.75" customHeight="1" x14ac:dyDescent="0.25">
      <c r="A956" s="6" t="s">
        <v>1308</v>
      </c>
      <c r="B956" s="6" cm="1">
        <f t="array" ref="B956">alea_int(Settings!$B$10,1,Settings!$B$16)</f>
        <v>2</v>
      </c>
      <c r="C956" s="8">
        <v>46023</v>
      </c>
      <c r="D956" s="8">
        <f t="shared" si="57"/>
        <v>46387</v>
      </c>
      <c r="E956" s="6" t="str" cm="1">
        <f t="array" ref="E956">choice(Groupes!A:A,1,Settings!$B$16)</f>
        <v>G5</v>
      </c>
      <c r="F956" s="6" t="str">
        <f t="shared" si="58"/>
        <v>G5</v>
      </c>
      <c r="G956" s="6" t="str">
        <f t="shared" si="59"/>
        <v>Prof34</v>
      </c>
      <c r="H956" s="6" t="str" cm="1">
        <f t="array" ref="H956">choice(Referentiel!A:A,1,Settings!$B$16)</f>
        <v>6ème ANNÉE STAGE</v>
      </c>
      <c r="I956" s="6" t="str" cm="1">
        <f t="array" ref="I956">choice(Referentiel!B:B,1,Settings!$B$16)</f>
        <v>5ème année Design Vêtement S2</v>
      </c>
      <c r="J956" s="6" t="str" cm="1">
        <f t="array" ref="J956">choice(Referentiel!D:D,1,Settings!$B$16)</f>
        <v>L2</v>
      </c>
      <c r="K956" s="6" t="str" cm="1">
        <f t="array" ref="K956">choice(Professeurs!B:B,1,Settings!$B$16)</f>
        <v>Prof34</v>
      </c>
      <c r="L956" s="5" t="str" cm="1">
        <f t="array" ref="L956">choice(Referentiel!C:C,1,Settings!$B$16)</f>
        <v/>
      </c>
      <c r="M956" s="5" t="str" cm="1">
        <f t="array" ref="M956">choice(Referentiel!E:E,1,Settings!$B$16)</f>
        <v/>
      </c>
      <c r="N956" s="5" t="str" cm="1">
        <f t="array" ref="N956">choice(Settings!K:K,1,Settings!$B$16)</f>
        <v/>
      </c>
      <c r="P956" s="5">
        <f t="shared" si="60"/>
        <v>2</v>
      </c>
    </row>
    <row r="957" spans="1:16" ht="15.75" customHeight="1" x14ac:dyDescent="0.25">
      <c r="A957" s="6" t="s">
        <v>1309</v>
      </c>
      <c r="B957" s="6" cm="1">
        <f t="array" ref="B957">alea_int(Settings!$B$10,1,Settings!$B$16)</f>
        <v>2</v>
      </c>
      <c r="C957" s="8">
        <v>46023</v>
      </c>
      <c r="D957" s="8">
        <f t="shared" si="57"/>
        <v>46387</v>
      </c>
      <c r="E957" s="6" t="str" cm="1">
        <f t="array" ref="E957">choice(Groupes!A:A,1,Settings!$B$16)</f>
        <v>G10</v>
      </c>
      <c r="F957" s="6" t="str">
        <f t="shared" si="58"/>
        <v>G10</v>
      </c>
      <c r="G957" s="6" t="str">
        <f t="shared" si="59"/>
        <v>Prof5</v>
      </c>
      <c r="H957" s="6" t="str" cm="1">
        <f t="array" ref="H957">choice(Referentiel!A:A,1,Settings!$B$16)</f>
        <v>Gr TERRITOIRES</v>
      </c>
      <c r="I957" s="6" t="str" cm="1">
        <f t="array" ref="I957">choice(Referentiel!B:B,1,Settings!$B$16)</f>
        <v>4ème année Design Textile et Matière S1</v>
      </c>
      <c r="J957" s="6" t="str" cm="1">
        <f t="array" ref="J957">choice(Referentiel!D:D,1,Settings!$B$16)</f>
        <v>M2</v>
      </c>
      <c r="K957" s="6" t="str" cm="1">
        <f t="array" ref="K957">choice(Professeurs!B:B,1,Settings!$B$16)</f>
        <v>Prof5</v>
      </c>
      <c r="L957" s="5" t="str" cm="1">
        <f t="array" ref="L957">choice(Referentiel!C:C,1,Settings!$B$16)</f>
        <v>ordinateur</v>
      </c>
      <c r="M957" s="5" t="str" cm="1">
        <f t="array" ref="M957">choice(Referentiel!E:E,1,Settings!$B$16)</f>
        <v/>
      </c>
      <c r="N957" s="5" t="str" cm="1">
        <f t="array" ref="N957">choice(Settings!K:K,1,Settings!$B$16)</f>
        <v/>
      </c>
      <c r="P957" s="5">
        <f t="shared" si="60"/>
        <v>2</v>
      </c>
    </row>
    <row r="958" spans="1:16" ht="15.75" customHeight="1" x14ac:dyDescent="0.25">
      <c r="A958" s="6" t="s">
        <v>1310</v>
      </c>
      <c r="B958" s="6" cm="1">
        <f t="array" ref="B958">alea_int(Settings!$B$10,1,Settings!$B$16)</f>
        <v>3</v>
      </c>
      <c r="C958" s="8">
        <v>46023</v>
      </c>
      <c r="D958" s="8">
        <f t="shared" si="57"/>
        <v>46387</v>
      </c>
      <c r="E958" s="6" t="str" cm="1">
        <f t="array" ref="E958">choice(Groupes!A:A,1,Settings!$B$16)</f>
        <v>G10</v>
      </c>
      <c r="F958" s="6" t="str">
        <f t="shared" si="58"/>
        <v>G10</v>
      </c>
      <c r="G958" s="6" t="str">
        <f t="shared" si="59"/>
        <v>Prof40</v>
      </c>
      <c r="H958" s="6" t="str" cm="1">
        <f t="array" ref="H958">choice(Referentiel!A:A,1,Settings!$B$16)</f>
        <v>1ère année Groupe 2</v>
      </c>
      <c r="I958" s="6" t="str" cm="1">
        <f t="array" ref="I958">choice(Referentiel!B:B,1,Settings!$B$16)</f>
        <v>5ème année Design Graphique S2</v>
      </c>
      <c r="J958" s="6" t="str" cm="1">
        <f t="array" ref="J958">choice(Referentiel!D:D,1,Settings!$B$16)</f>
        <v>L2</v>
      </c>
      <c r="K958" s="6" t="str" cm="1">
        <f t="array" ref="K958">choice(Professeurs!B:B,1,Settings!$B$16)</f>
        <v>Prof40</v>
      </c>
      <c r="L958" s="5" t="str" cm="1">
        <f t="array" ref="L958">choice(Referentiel!C:C,1,Settings!$B$16)</f>
        <v/>
      </c>
      <c r="M958" s="5" t="str" cm="1">
        <f t="array" ref="M958">choice(Referentiel!E:E,1,Settings!$B$16)</f>
        <v/>
      </c>
      <c r="N958" s="5" t="str" cm="1">
        <f t="array" ref="N958">choice(Settings!K:K,1,Settings!$B$16)</f>
        <v/>
      </c>
      <c r="P958" s="5">
        <f t="shared" si="60"/>
        <v>3</v>
      </c>
    </row>
    <row r="959" spans="1:16" ht="15.75" customHeight="1" x14ac:dyDescent="0.25">
      <c r="A959" s="6" t="s">
        <v>1311</v>
      </c>
      <c r="B959" s="6" cm="1">
        <f t="array" ref="B959">alea_int(Settings!$B$10,1,Settings!$B$16)</f>
        <v>2</v>
      </c>
      <c r="C959" s="8">
        <v>46023</v>
      </c>
      <c r="D959" s="8">
        <f t="shared" si="57"/>
        <v>46387</v>
      </c>
      <c r="E959" s="6" t="str" cm="1">
        <f t="array" ref="E959">choice(Groupes!A:A,1,Settings!$B$16)</f>
        <v>G5</v>
      </c>
      <c r="F959" s="6" t="str">
        <f t="shared" si="58"/>
        <v>G5</v>
      </c>
      <c r="G959" s="6" t="str">
        <f t="shared" si="59"/>
        <v>Prof52</v>
      </c>
      <c r="H959" s="6" t="str" cm="1">
        <f t="array" ref="H959">choice(Referentiel!A:A,1,Settings!$B$16)</f>
        <v>Design des mondes forestiers</v>
      </c>
      <c r="I959" s="6" t="str" cm="1">
        <f t="array" ref="I959">choice(Referentiel!B:B,1,Settings!$B$16)</f>
        <v>2ème année Design Objet S1</v>
      </c>
      <c r="J959" s="6" t="str" cm="1">
        <f t="array" ref="J959">choice(Referentiel!D:D,1,Settings!$B$16)</f>
        <v>L3</v>
      </c>
      <c r="K959" s="6" t="str" cm="1">
        <f t="array" ref="K959">choice(Professeurs!B:B,1,Settings!$B$16)</f>
        <v>Prof52</v>
      </c>
      <c r="L959" s="5" t="str" cm="1">
        <f t="array" ref="L959">choice(Referentiel!C:C,1,Settings!$B$16)</f>
        <v/>
      </c>
      <c r="M959" s="5" t="str" cm="1">
        <f t="array" ref="M959">choice(Referentiel!E:E,1,Settings!$B$16)</f>
        <v/>
      </c>
      <c r="N959" s="5" t="str" cm="1">
        <f t="array" ref="N959">choice(Settings!K:K,1,Settings!$B$16)</f>
        <v/>
      </c>
      <c r="P959" s="5">
        <f t="shared" si="60"/>
        <v>2</v>
      </c>
    </row>
    <row r="960" spans="1:16" ht="15.75" customHeight="1" x14ac:dyDescent="0.25">
      <c r="A960" s="6" t="s">
        <v>1312</v>
      </c>
      <c r="B960" s="6" cm="1">
        <f t="array" ref="B960">alea_int(Settings!$B$10,1,Settings!$B$16)</f>
        <v>1</v>
      </c>
      <c r="C960" s="8">
        <v>46023</v>
      </c>
      <c r="D960" s="8">
        <f t="shared" si="57"/>
        <v>46387</v>
      </c>
      <c r="E960" s="6" t="str" cm="1">
        <f t="array" ref="E960">choice(Groupes!A:A,1,Settings!$B$16)</f>
        <v>G8</v>
      </c>
      <c r="F960" s="6" t="str">
        <f t="shared" si="58"/>
        <v>G8</v>
      </c>
      <c r="G960" s="6" t="str">
        <f t="shared" si="59"/>
        <v>Prof23</v>
      </c>
      <c r="H960" s="6" t="str" cm="1">
        <f t="array" ref="H960">choice(Referentiel!A:A,1,Settings!$B$16)</f>
        <v>Design des mondes montagneux</v>
      </c>
      <c r="I960" s="6" t="str" cm="1">
        <f t="array" ref="I960">choice(Referentiel!B:B,1,Settings!$B$16)</f>
        <v>4ème année Scénographie S1</v>
      </c>
      <c r="J960" s="6" t="str" cm="1">
        <f t="array" ref="J960">choice(Referentiel!D:D,1,Settings!$B$16)</f>
        <v>L3</v>
      </c>
      <c r="K960" s="6" t="str" cm="1">
        <f t="array" ref="K960">choice(Professeurs!B:B,1,Settings!$B$16)</f>
        <v>Prof23</v>
      </c>
      <c r="L960" s="5" t="str" cm="1">
        <f t="array" ref="L960">choice(Referentiel!C:C,1,Settings!$B$16)</f>
        <v/>
      </c>
      <c r="M960" s="5" t="str" cm="1">
        <f t="array" ref="M960">choice(Referentiel!E:E,1,Settings!$B$16)</f>
        <v/>
      </c>
      <c r="N960" s="5" t="str" cm="1">
        <f t="array" ref="N960">choice(Settings!K:K,1,Settings!$B$16)</f>
        <v/>
      </c>
      <c r="P960" s="5">
        <f t="shared" si="60"/>
        <v>1</v>
      </c>
    </row>
    <row r="961" spans="1:16" ht="15.75" customHeight="1" x14ac:dyDescent="0.25">
      <c r="A961" s="6" t="s">
        <v>1313</v>
      </c>
      <c r="B961" s="6" cm="1">
        <f t="array" ref="B961">alea_int(Settings!$B$10,1,Settings!$B$16)</f>
        <v>3</v>
      </c>
      <c r="C961" s="8">
        <v>46023</v>
      </c>
      <c r="D961" s="8">
        <f t="shared" si="57"/>
        <v>46387</v>
      </c>
      <c r="E961" s="6" t="str" cm="1">
        <f t="array" ref="E961">choice(Groupes!A:A,1,Settings!$B$16)</f>
        <v>G13</v>
      </c>
      <c r="F961" s="6" t="str">
        <f t="shared" si="58"/>
        <v>G13</v>
      </c>
      <c r="G961" s="6" t="str">
        <f t="shared" si="59"/>
        <v>Prof43</v>
      </c>
      <c r="H961" s="6" t="str" cm="1">
        <f t="array" ref="H961">choice(Referentiel!A:A,1,Settings!$B$16)</f>
        <v>Photo / Vidéo</v>
      </c>
      <c r="I961" s="6" t="str" cm="1">
        <f t="array" ref="I961">choice(Referentiel!B:B,1,Settings!$B$16)</f>
        <v>4ème année Scénographie S2</v>
      </c>
      <c r="J961" s="6" t="str" cm="1">
        <f t="array" ref="J961">choice(Referentiel!D:D,1,Settings!$B$16)</f>
        <v>M1</v>
      </c>
      <c r="K961" s="6" t="str" cm="1">
        <f t="array" ref="K961">choice(Professeurs!B:B,1,Settings!$B$16)</f>
        <v>Prof43</v>
      </c>
      <c r="L961" s="5" t="str" cm="1">
        <f t="array" ref="L961">choice(Referentiel!C:C,1,Settings!$B$16)</f>
        <v/>
      </c>
      <c r="M961" s="5" t="str" cm="1">
        <f t="array" ref="M961">choice(Referentiel!E:E,1,Settings!$B$16)</f>
        <v/>
      </c>
      <c r="N961" s="5" t="str" cm="1">
        <f t="array" ref="N961">choice(Settings!K:K,1,Settings!$B$16)</f>
        <v/>
      </c>
      <c r="P961" s="5">
        <f t="shared" si="60"/>
        <v>3</v>
      </c>
    </row>
    <row r="962" spans="1:16" ht="15.75" customHeight="1" x14ac:dyDescent="0.25">
      <c r="A962" s="6" t="s">
        <v>1314</v>
      </c>
      <c r="B962" s="6" cm="1">
        <f t="array" ref="B962">alea_int(Settings!$B$10,1,Settings!$B$16)</f>
        <v>2</v>
      </c>
      <c r="C962" s="8">
        <v>46023</v>
      </c>
      <c r="D962" s="8">
        <f t="shared" si="57"/>
        <v>46387</v>
      </c>
      <c r="E962" s="6" t="str" cm="1">
        <f t="array" ref="E962">choice(Groupes!A:A,1,Settings!$B$16)</f>
        <v>G19</v>
      </c>
      <c r="F962" s="6" t="str">
        <f t="shared" si="58"/>
        <v>G19</v>
      </c>
      <c r="G962" s="6" t="str">
        <f t="shared" si="59"/>
        <v>Prof50</v>
      </c>
      <c r="H962" s="6" t="str" cm="1">
        <f t="array" ref="H962">choice(Referentiel!A:A,1,Settings!$B$16)</f>
        <v>Gr ART, DESIGN, SOCIETE</v>
      </c>
      <c r="I962" s="6" t="str" cm="1">
        <f t="array" ref="I962">choice(Referentiel!B:B,1,Settings!$B$16)</f>
        <v>4ème année Art-Espace S2</v>
      </c>
      <c r="J962" s="6" t="str" cm="1">
        <f t="array" ref="J962">choice(Referentiel!D:D,1,Settings!$B$16)</f>
        <v>L1</v>
      </c>
      <c r="K962" s="6" t="str" cm="1">
        <f t="array" ref="K962">choice(Professeurs!B:B,1,Settings!$B$16)</f>
        <v>Prof50</v>
      </c>
      <c r="L962" s="5" t="str" cm="1">
        <f t="array" ref="L962">choice(Referentiel!C:C,1,Settings!$B$16)</f>
        <v/>
      </c>
      <c r="M962" s="5" t="str" cm="1">
        <f t="array" ref="M962">choice(Referentiel!E:E,1,Settings!$B$16)</f>
        <v/>
      </c>
      <c r="N962" s="5" t="str" cm="1">
        <f t="array" ref="N962">choice(Settings!K:K,1,Settings!$B$16)</f>
        <v/>
      </c>
      <c r="P962" s="5">
        <f t="shared" si="60"/>
        <v>2</v>
      </c>
    </row>
    <row r="963" spans="1:16" ht="15.75" customHeight="1" x14ac:dyDescent="0.25">
      <c r="A963" s="6" t="s">
        <v>1315</v>
      </c>
      <c r="B963" s="6" cm="1">
        <f t="array" ref="B963">alea_int(Settings!$B$10,1,Settings!$B$16)</f>
        <v>3</v>
      </c>
      <c r="C963" s="8">
        <v>46023</v>
      </c>
      <c r="D963" s="8">
        <f t="shared" ref="D963:D1026" si="61">C963+364</f>
        <v>46387</v>
      </c>
      <c r="E963" s="6" t="str" cm="1">
        <f t="array" ref="E963">choice(Groupes!A:A,1,Settings!$B$16)</f>
        <v>G28</v>
      </c>
      <c r="F963" s="6" t="str">
        <f t="shared" ref="F963:F1026" si="62">E963</f>
        <v>G28</v>
      </c>
      <c r="G963" s="6" t="str">
        <f t="shared" ref="G963:G1026" si="63">K963</f>
        <v>Prof50</v>
      </c>
      <c r="H963" s="6" t="str" cm="1">
        <f t="array" ref="H963">choice(Referentiel!A:A,1,Settings!$B$16)</f>
        <v>Gr ART, DESIGN, SOCIETE</v>
      </c>
      <c r="I963" s="6" t="str" cm="1">
        <f t="array" ref="I963">choice(Referentiel!B:B,1,Settings!$B$16)</f>
        <v>2ème année Design Vêtement S1</v>
      </c>
      <c r="J963" s="6" t="str" cm="1">
        <f t="array" ref="J963">choice(Referentiel!D:D,1,Settings!$B$16)</f>
        <v>M1</v>
      </c>
      <c r="K963" s="6" t="str" cm="1">
        <f t="array" ref="K963">choice(Professeurs!B:B,1,Settings!$B$16)</f>
        <v>Prof50</v>
      </c>
      <c r="L963" s="5" t="str" cm="1">
        <f t="array" ref="L963">choice(Referentiel!C:C,1,Settings!$B$16)</f>
        <v/>
      </c>
      <c r="M963" s="5" t="str" cm="1">
        <f t="array" ref="M963">choice(Referentiel!E:E,1,Settings!$B$16)</f>
        <v/>
      </c>
      <c r="N963" s="5" t="str" cm="1">
        <f t="array" ref="N963">choice(Settings!K:K,1,Settings!$B$16)</f>
        <v/>
      </c>
      <c r="P963" s="5">
        <f t="shared" ref="P963:P1026" si="64">B963+IF(M963&lt;&gt;"",2,0)+IF(N963&lt;&gt;"",2,0)</f>
        <v>3</v>
      </c>
    </row>
    <row r="964" spans="1:16" ht="15.75" customHeight="1" x14ac:dyDescent="0.25">
      <c r="A964" s="6" t="s">
        <v>1316</v>
      </c>
      <c r="B964" s="6" cm="1">
        <f t="array" ref="B964">alea_int(Settings!$B$10,1,Settings!$B$16)</f>
        <v>1</v>
      </c>
      <c r="C964" s="8">
        <v>46023</v>
      </c>
      <c r="D964" s="8">
        <f t="shared" si="61"/>
        <v>46387</v>
      </c>
      <c r="E964" s="6" t="str" cm="1">
        <f t="array" ref="E964">choice(Groupes!A:A,1,Settings!$B$16)</f>
        <v>G8</v>
      </c>
      <c r="F964" s="6" t="str">
        <f t="shared" si="62"/>
        <v>G8</v>
      </c>
      <c r="G964" s="6" t="str">
        <f t="shared" si="63"/>
        <v>Prof27</v>
      </c>
      <c r="H964" s="6" t="str" cm="1">
        <f t="array" ref="H964">choice(Referentiel!A:A,1,Settings!$B$16)</f>
        <v>1ère année Groupe 2</v>
      </c>
      <c r="I964" s="6" t="str" cm="1">
        <f t="array" ref="I964">choice(Referentiel!B:B,1,Settings!$B$16)</f>
        <v>1ère Année Groupe 2 S1</v>
      </c>
      <c r="J964" s="6" t="str" cm="1">
        <f t="array" ref="J964">choice(Referentiel!D:D,1,Settings!$B$16)</f>
        <v>M2</v>
      </c>
      <c r="K964" s="6" t="str" cm="1">
        <f t="array" ref="K964">choice(Professeurs!B:B,1,Settings!$B$16)</f>
        <v>Prof27</v>
      </c>
      <c r="L964" s="5" t="str" cm="1">
        <f t="array" ref="L964">choice(Referentiel!C:C,1,Settings!$B$16)</f>
        <v/>
      </c>
      <c r="M964" s="5" t="str" cm="1">
        <f t="array" ref="M964">choice(Referentiel!E:E,1,Settings!$B$16)</f>
        <v/>
      </c>
      <c r="N964" s="5" t="str" cm="1">
        <f t="array" ref="N964">choice(Settings!K:K,1,Settings!$B$16)</f>
        <v/>
      </c>
      <c r="P964" s="5">
        <f t="shared" si="64"/>
        <v>1</v>
      </c>
    </row>
    <row r="965" spans="1:16" ht="15.75" customHeight="1" x14ac:dyDescent="0.25">
      <c r="A965" s="6" t="s">
        <v>1317</v>
      </c>
      <c r="B965" s="6" cm="1">
        <f t="array" ref="B965">alea_int(Settings!$B$10,1,Settings!$B$16)</f>
        <v>2</v>
      </c>
      <c r="C965" s="8">
        <v>46023</v>
      </c>
      <c r="D965" s="8">
        <f t="shared" si="61"/>
        <v>46387</v>
      </c>
      <c r="E965" s="6" t="str" cm="1">
        <f t="array" ref="E965">choice(Groupes!A:A,1,Settings!$B$16)</f>
        <v>G14</v>
      </c>
      <c r="F965" s="6" t="str">
        <f t="shared" si="62"/>
        <v>G14</v>
      </c>
      <c r="G965" s="6" t="str">
        <f t="shared" si="63"/>
        <v>Prof33</v>
      </c>
      <c r="H965" s="6" t="str" cm="1">
        <f t="array" ref="H965">choice(Referentiel!A:A,1,Settings!$B$16)</f>
        <v>Gr SPATIAL MEDIA</v>
      </c>
      <c r="I965" s="6" t="str" cm="1">
        <f t="array" ref="I965">choice(Referentiel!B:B,1,Settings!$B$16)</f>
        <v>2ème année Photo / Vidéo S2</v>
      </c>
      <c r="J965" s="6" t="str" cm="1">
        <f t="array" ref="J965">choice(Referentiel!D:D,1,Settings!$B$16)</f>
        <v>M1</v>
      </c>
      <c r="K965" s="6" t="str" cm="1">
        <f t="array" ref="K965">choice(Professeurs!B:B,1,Settings!$B$16)</f>
        <v>Prof33</v>
      </c>
      <c r="L965" s="5" t="str" cm="1">
        <f t="array" ref="L965">choice(Referentiel!C:C,1,Settings!$B$16)</f>
        <v/>
      </c>
      <c r="M965" s="5" t="str" cm="1">
        <f t="array" ref="M965">choice(Referentiel!E:E,1,Settings!$B$16)</f>
        <v/>
      </c>
      <c r="N965" s="5" t="str" cm="1">
        <f t="array" ref="N965">choice(Settings!K:K,1,Settings!$B$16)</f>
        <v/>
      </c>
      <c r="P965" s="5">
        <f t="shared" si="64"/>
        <v>2</v>
      </c>
    </row>
    <row r="966" spans="1:16" ht="15.75" customHeight="1" x14ac:dyDescent="0.25">
      <c r="A966" s="6" t="s">
        <v>1318</v>
      </c>
      <c r="B966" s="6" cm="1">
        <f t="array" ref="B966">alea_int(Settings!$B$10,1,Settings!$B$16)</f>
        <v>3</v>
      </c>
      <c r="C966" s="8">
        <v>46023</v>
      </c>
      <c r="D966" s="8">
        <f t="shared" si="61"/>
        <v>46387</v>
      </c>
      <c r="E966" s="6" t="str" cm="1">
        <f t="array" ref="E966">choice(Groupes!A:A,1,Settings!$B$16)</f>
        <v>G29</v>
      </c>
      <c r="F966" s="6" t="str">
        <f t="shared" si="62"/>
        <v>G29</v>
      </c>
      <c r="G966" s="6" t="str">
        <f t="shared" si="63"/>
        <v>Prof25</v>
      </c>
      <c r="H966" s="6" t="str" cm="1">
        <f t="array" ref="H966">choice(Referentiel!A:A,1,Settings!$B$16)</f>
        <v>1ère année Groupe 1</v>
      </c>
      <c r="I966" s="6" t="str" cm="1">
        <f t="array" ref="I966">choice(Referentiel!B:B,1,Settings!$B$16)</f>
        <v>5ème année Image Imprimée S1</v>
      </c>
      <c r="J966" s="6" t="str" cm="1">
        <f t="array" ref="J966">choice(Referentiel!D:D,1,Settings!$B$16)</f>
        <v>M1</v>
      </c>
      <c r="K966" s="6" t="str" cm="1">
        <f t="array" ref="K966">choice(Professeurs!B:B,1,Settings!$B$16)</f>
        <v>Prof25</v>
      </c>
      <c r="L966" s="5" t="str" cm="1">
        <f t="array" ref="L966">choice(Referentiel!C:C,1,Settings!$B$16)</f>
        <v/>
      </c>
      <c r="M966" s="5" t="str" cm="1">
        <f t="array" ref="M966">choice(Referentiel!E:E,1,Settings!$B$16)</f>
        <v>Salle10</v>
      </c>
      <c r="N966" s="5" t="str" cm="1">
        <f t="array" ref="N966">choice(Settings!K:K,1,Settings!$B$16)</f>
        <v/>
      </c>
      <c r="P966" s="5">
        <f t="shared" si="64"/>
        <v>5</v>
      </c>
    </row>
    <row r="967" spans="1:16" ht="15.75" customHeight="1" x14ac:dyDescent="0.25">
      <c r="A967" s="6" t="s">
        <v>1319</v>
      </c>
      <c r="B967" s="6" cm="1">
        <f t="array" ref="B967">alea_int(Settings!$B$10,1,Settings!$B$16)</f>
        <v>2</v>
      </c>
      <c r="C967" s="8">
        <v>46023</v>
      </c>
      <c r="D967" s="8">
        <f t="shared" si="61"/>
        <v>46387</v>
      </c>
      <c r="E967" s="6" t="str" cm="1">
        <f t="array" ref="E967">choice(Groupes!A:A,1,Settings!$B$16)</f>
        <v>G12</v>
      </c>
      <c r="F967" s="6" t="str">
        <f t="shared" si="62"/>
        <v>G12</v>
      </c>
      <c r="G967" s="6" t="str">
        <f t="shared" si="63"/>
        <v>Prof44</v>
      </c>
      <c r="H967" s="6" t="str" cm="1">
        <f t="array" ref="H967">choice(Referentiel!A:A,1,Settings!$B$16)</f>
        <v>Mode et Matière</v>
      </c>
      <c r="I967" s="6" t="str" cm="1">
        <f t="array" ref="I967">choice(Referentiel!B:B,1,Settings!$B$16)</f>
        <v>4ème année Cinéma d'Animation S2</v>
      </c>
      <c r="J967" s="6" t="str" cm="1">
        <f t="array" ref="J967">choice(Referentiel!D:D,1,Settings!$B$16)</f>
        <v>L3</v>
      </c>
      <c r="K967" s="6" t="str" cm="1">
        <f t="array" ref="K967">choice(Professeurs!B:B,1,Settings!$B$16)</f>
        <v>Prof44</v>
      </c>
      <c r="L967" s="5" t="str" cm="1">
        <f t="array" ref="L967">choice(Referentiel!C:C,1,Settings!$B$16)</f>
        <v/>
      </c>
      <c r="M967" s="5" t="str" cm="1">
        <f t="array" ref="M967">choice(Referentiel!E:E,1,Settings!$B$16)</f>
        <v/>
      </c>
      <c r="N967" s="5" t="str" cm="1">
        <f t="array" ref="N967">choice(Settings!K:K,1,Settings!$B$16)</f>
        <v/>
      </c>
      <c r="P967" s="5">
        <f t="shared" si="64"/>
        <v>2</v>
      </c>
    </row>
    <row r="968" spans="1:16" ht="15.75" customHeight="1" x14ac:dyDescent="0.25">
      <c r="A968" s="6" t="s">
        <v>1320</v>
      </c>
      <c r="B968" s="6" cm="1">
        <f t="array" ref="B968">alea_int(Settings!$B$10,1,Settings!$B$16)</f>
        <v>2</v>
      </c>
      <c r="C968" s="8">
        <v>46023</v>
      </c>
      <c r="D968" s="8">
        <f t="shared" si="61"/>
        <v>46387</v>
      </c>
      <c r="E968" s="6" t="str" cm="1">
        <f t="array" ref="E968">choice(Groupes!A:A,1,Settings!$B$16)</f>
        <v>G16</v>
      </c>
      <c r="F968" s="6" t="str">
        <f t="shared" si="62"/>
        <v>G16</v>
      </c>
      <c r="G968" s="6" t="str">
        <f t="shared" si="63"/>
        <v>Prof22</v>
      </c>
      <c r="H968" s="6" t="str" cm="1">
        <f t="array" ref="H968">choice(Referentiel!A:A,1,Settings!$B$16)</f>
        <v>Design des mondes ruraux</v>
      </c>
      <c r="I968" s="6" t="str" cm="1">
        <f t="array" ref="I968">choice(Referentiel!B:B,1,Settings!$B$16)</f>
        <v>4ème année Art-Espace S2</v>
      </c>
      <c r="J968" s="6" t="str" cm="1">
        <f t="array" ref="J968">choice(Referentiel!D:D,1,Settings!$B$16)</f>
        <v>L1</v>
      </c>
      <c r="K968" s="6" t="str" cm="1">
        <f t="array" ref="K968">choice(Professeurs!B:B,1,Settings!$B$16)</f>
        <v>Prof22</v>
      </c>
      <c r="L968" s="5" t="str" cm="1">
        <f t="array" ref="L968">choice(Referentiel!C:C,1,Settings!$B$16)</f>
        <v>tablette</v>
      </c>
      <c r="M968" s="5" t="str" cm="1">
        <f t="array" ref="M968">choice(Referentiel!E:E,1,Settings!$B$16)</f>
        <v/>
      </c>
      <c r="N968" s="5" t="str" cm="1">
        <f t="array" ref="N968">choice(Settings!K:K,1,Settings!$B$16)</f>
        <v>mercredi pm</v>
      </c>
      <c r="P968" s="5">
        <f t="shared" si="64"/>
        <v>4</v>
      </c>
    </row>
    <row r="969" spans="1:16" ht="15.75" customHeight="1" x14ac:dyDescent="0.25">
      <c r="A969" s="6" t="s">
        <v>1321</v>
      </c>
      <c r="B969" s="6" cm="1">
        <f t="array" ref="B969">alea_int(Settings!$B$10,1,Settings!$B$16)</f>
        <v>1</v>
      </c>
      <c r="C969" s="8">
        <v>46023</v>
      </c>
      <c r="D969" s="8">
        <f t="shared" si="61"/>
        <v>46387</v>
      </c>
      <c r="E969" s="6" t="str" cm="1">
        <f t="array" ref="E969">choice(Groupes!A:A,1,Settings!$B$16)</f>
        <v>G25</v>
      </c>
      <c r="F969" s="6" t="str">
        <f t="shared" si="62"/>
        <v>G25</v>
      </c>
      <c r="G969" s="6" t="str">
        <f t="shared" si="63"/>
        <v>Prof31</v>
      </c>
      <c r="H969" s="6" t="str" cm="1">
        <f t="array" ref="H969">choice(Referentiel!A:A,1,Settings!$B$16)</f>
        <v>Design des mondes littoraux</v>
      </c>
      <c r="I969" s="6" t="str" cm="1">
        <f t="array" ref="I969">choice(Referentiel!B:B,1,Settings!$B$16)</f>
        <v>3ème année Scénographie S1</v>
      </c>
      <c r="J969" s="6" t="str" cm="1">
        <f t="array" ref="J969">choice(Referentiel!D:D,1,Settings!$B$16)</f>
        <v>M1</v>
      </c>
      <c r="K969" s="6" t="str" cm="1">
        <f t="array" ref="K969">choice(Professeurs!B:B,1,Settings!$B$16)</f>
        <v>Prof31</v>
      </c>
      <c r="L969" s="5" t="str" cm="1">
        <f t="array" ref="L969">choice(Referentiel!C:C,1,Settings!$B$16)</f>
        <v/>
      </c>
      <c r="M969" s="5" t="str" cm="1">
        <f t="array" ref="M969">choice(Referentiel!E:E,1,Settings!$B$16)</f>
        <v/>
      </c>
      <c r="N969" s="5" t="str" cm="1">
        <f t="array" ref="N969">choice(Settings!K:K,1,Settings!$B$16)</f>
        <v/>
      </c>
      <c r="P969" s="5">
        <f t="shared" si="64"/>
        <v>1</v>
      </c>
    </row>
    <row r="970" spans="1:16" ht="15.75" customHeight="1" x14ac:dyDescent="0.25">
      <c r="A970" s="6" t="s">
        <v>1322</v>
      </c>
      <c r="B970" s="6" cm="1">
        <f t="array" ref="B970">alea_int(Settings!$B$10,1,Settings!$B$16)</f>
        <v>3</v>
      </c>
      <c r="C970" s="8">
        <v>46023</v>
      </c>
      <c r="D970" s="8">
        <f t="shared" si="61"/>
        <v>46387</v>
      </c>
      <c r="E970" s="6" t="str" cm="1">
        <f t="array" ref="E970">choice(Groupes!A:A,1,Settings!$B$16)</f>
        <v>G11</v>
      </c>
      <c r="F970" s="6" t="str">
        <f t="shared" si="62"/>
        <v>G11</v>
      </c>
      <c r="G970" s="6" t="str">
        <f t="shared" si="63"/>
        <v>Prof21</v>
      </c>
      <c r="H970" s="6" t="str" cm="1">
        <f t="array" ref="H970">choice(Referentiel!A:A,1,Settings!$B$16)</f>
        <v>Design des mondes littoraux</v>
      </c>
      <c r="I970" s="6" t="str" cm="1">
        <f t="array" ref="I970">choice(Referentiel!B:B,1,Settings!$B$16)</f>
        <v>5ème année Image Imprimée S1</v>
      </c>
      <c r="J970" s="6" t="str" cm="1">
        <f t="array" ref="J970">choice(Referentiel!D:D,1,Settings!$B$16)</f>
        <v>L3</v>
      </c>
      <c r="K970" s="6" t="str" cm="1">
        <f t="array" ref="K970">choice(Professeurs!B:B,1,Settings!$B$16)</f>
        <v>Prof21</v>
      </c>
      <c r="L970" s="5" t="str" cm="1">
        <f t="array" ref="L970">choice(Referentiel!C:C,1,Settings!$B$16)</f>
        <v/>
      </c>
      <c r="M970" s="5" t="str" cm="1">
        <f t="array" ref="M970">choice(Referentiel!E:E,1,Settings!$B$16)</f>
        <v/>
      </c>
      <c r="N970" s="5" t="str" cm="1">
        <f t="array" ref="N970">choice(Settings!K:K,1,Settings!$B$16)</f>
        <v>jeudi am</v>
      </c>
      <c r="P970" s="5">
        <f t="shared" si="64"/>
        <v>5</v>
      </c>
    </row>
    <row r="971" spans="1:16" ht="15.75" customHeight="1" x14ac:dyDescent="0.25">
      <c r="A971" s="6" t="s">
        <v>1323</v>
      </c>
      <c r="B971" s="6" cm="1">
        <f t="array" ref="B971">alea_int(Settings!$B$10,1,Settings!$B$16)</f>
        <v>2</v>
      </c>
      <c r="C971" s="8">
        <v>46023</v>
      </c>
      <c r="D971" s="8">
        <f t="shared" si="61"/>
        <v>46387</v>
      </c>
      <c r="E971" s="6" t="str" cm="1">
        <f t="array" ref="E971">choice(Groupes!A:A,1,Settings!$B$16)</f>
        <v>G16</v>
      </c>
      <c r="F971" s="6" t="str">
        <f t="shared" si="62"/>
        <v>G16</v>
      </c>
      <c r="G971" s="6" t="str">
        <f t="shared" si="63"/>
        <v>Prof22</v>
      </c>
      <c r="H971" s="6" t="str" cm="1">
        <f t="array" ref="H971">choice(Referentiel!A:A,1,Settings!$B$16)</f>
        <v>Design des mondes littoraux</v>
      </c>
      <c r="I971" s="6" t="str" cm="1">
        <f t="array" ref="I971">choice(Referentiel!B:B,1,Settings!$B$16)</f>
        <v>3ème année Photo / Vidéo S1</v>
      </c>
      <c r="J971" s="6" t="str" cm="1">
        <f t="array" ref="J971">choice(Referentiel!D:D,1,Settings!$B$16)</f>
        <v>L2</v>
      </c>
      <c r="K971" s="6" t="str" cm="1">
        <f t="array" ref="K971">choice(Professeurs!B:B,1,Settings!$B$16)</f>
        <v>Prof22</v>
      </c>
      <c r="L971" s="5" t="str" cm="1">
        <f t="array" ref="L971">choice(Referentiel!C:C,1,Settings!$B$16)</f>
        <v/>
      </c>
      <c r="M971" s="5" t="str" cm="1">
        <f t="array" ref="M971">choice(Referentiel!E:E,1,Settings!$B$16)</f>
        <v/>
      </c>
      <c r="N971" s="5" t="str" cm="1">
        <f t="array" ref="N971">choice(Settings!K:K,1,Settings!$B$16)</f>
        <v/>
      </c>
      <c r="P971" s="5">
        <f t="shared" si="64"/>
        <v>2</v>
      </c>
    </row>
    <row r="972" spans="1:16" ht="15.75" customHeight="1" x14ac:dyDescent="0.25">
      <c r="A972" s="6" t="s">
        <v>1324</v>
      </c>
      <c r="B972" s="6" cm="1">
        <f t="array" ref="B972">alea_int(Settings!$B$10,1,Settings!$B$16)</f>
        <v>1</v>
      </c>
      <c r="C972" s="8">
        <v>46023</v>
      </c>
      <c r="D972" s="8">
        <f t="shared" si="61"/>
        <v>46387</v>
      </c>
      <c r="E972" s="6" t="str" cm="1">
        <f t="array" ref="E972">choice(Groupes!A:A,1,Settings!$B$16)</f>
        <v>G14</v>
      </c>
      <c r="F972" s="6" t="str">
        <f t="shared" si="62"/>
        <v>G14</v>
      </c>
      <c r="G972" s="6" t="str">
        <f t="shared" si="63"/>
        <v>Prof30</v>
      </c>
      <c r="H972" s="6" t="str" cm="1">
        <f t="array" ref="H972">choice(Referentiel!A:A,1,Settings!$B$16)</f>
        <v>1ère année Groupe 2</v>
      </c>
      <c r="I972" s="6" t="str" cm="1">
        <f t="array" ref="I972">choice(Referentiel!B:B,1,Settings!$B$16)</f>
        <v>4ème année Design Objet S1</v>
      </c>
      <c r="J972" s="6" t="str" cm="1">
        <f t="array" ref="J972">choice(Referentiel!D:D,1,Settings!$B$16)</f>
        <v>L2</v>
      </c>
      <c r="K972" s="6" t="str" cm="1">
        <f t="array" ref="K972">choice(Professeurs!B:B,1,Settings!$B$16)</f>
        <v>Prof30</v>
      </c>
      <c r="L972" s="5" t="str" cm="1">
        <f t="array" ref="L972">choice(Referentiel!C:C,1,Settings!$B$16)</f>
        <v/>
      </c>
      <c r="M972" s="5" t="str" cm="1">
        <f t="array" ref="M972">choice(Referentiel!E:E,1,Settings!$B$16)</f>
        <v/>
      </c>
      <c r="N972" s="5" t="str" cm="1">
        <f t="array" ref="N972">choice(Settings!K:K,1,Settings!$B$16)</f>
        <v/>
      </c>
      <c r="P972" s="5">
        <f t="shared" si="64"/>
        <v>1</v>
      </c>
    </row>
    <row r="973" spans="1:16" ht="15.75" customHeight="1" x14ac:dyDescent="0.25">
      <c r="A973" s="6" t="s">
        <v>1325</v>
      </c>
      <c r="B973" s="6" cm="1">
        <f t="array" ref="B973">alea_int(Settings!$B$10,1,Settings!$B$16)</f>
        <v>2</v>
      </c>
      <c r="C973" s="8">
        <v>46023</v>
      </c>
      <c r="D973" s="8">
        <f t="shared" si="61"/>
        <v>46387</v>
      </c>
      <c r="E973" s="6" t="str" cm="1">
        <f t="array" ref="E973">choice(Groupes!A:A,1,Settings!$B$16)</f>
        <v>G18</v>
      </c>
      <c r="F973" s="6" t="str">
        <f t="shared" si="62"/>
        <v>G18</v>
      </c>
      <c r="G973" s="6" t="str">
        <f t="shared" si="63"/>
        <v>Prof39</v>
      </c>
      <c r="H973" s="6" t="str" cm="1">
        <f t="array" ref="H973">choice(Referentiel!A:A,1,Settings!$B$16)</f>
        <v>6ème ANNÉE STAGE</v>
      </c>
      <c r="I973" s="6" t="str" cm="1">
        <f t="array" ref="I973">choice(Referentiel!B:B,1,Settings!$B$16)</f>
        <v>2ème année Design Textile et Matière S1</v>
      </c>
      <c r="J973" s="6" t="str" cm="1">
        <f t="array" ref="J973">choice(Referentiel!D:D,1,Settings!$B$16)</f>
        <v>M1</v>
      </c>
      <c r="K973" s="6" t="str" cm="1">
        <f t="array" ref="K973">choice(Professeurs!B:B,1,Settings!$B$16)</f>
        <v>Prof39</v>
      </c>
      <c r="L973" s="5" t="str" cm="1">
        <f t="array" ref="L973">choice(Referentiel!C:C,1,Settings!$B$16)</f>
        <v/>
      </c>
      <c r="M973" s="5" t="str" cm="1">
        <f t="array" ref="M973">choice(Referentiel!E:E,1,Settings!$B$16)</f>
        <v/>
      </c>
      <c r="N973" s="5" t="str" cm="1">
        <f t="array" ref="N973">choice(Settings!K:K,1,Settings!$B$16)</f>
        <v/>
      </c>
      <c r="P973" s="5">
        <f t="shared" si="64"/>
        <v>2</v>
      </c>
    </row>
    <row r="974" spans="1:16" ht="15.75" customHeight="1" x14ac:dyDescent="0.25">
      <c r="A974" s="6" t="s">
        <v>1326</v>
      </c>
      <c r="B974" s="6" cm="1">
        <f t="array" ref="B974">alea_int(Settings!$B$10,1,Settings!$B$16)</f>
        <v>2</v>
      </c>
      <c r="C974" s="8">
        <v>46023</v>
      </c>
      <c r="D974" s="8">
        <f t="shared" si="61"/>
        <v>46387</v>
      </c>
      <c r="E974" s="6" t="str" cm="1">
        <f t="array" ref="E974">choice(Groupes!A:A,1,Settings!$B$16)</f>
        <v>G16</v>
      </c>
      <c r="F974" s="6" t="str">
        <f t="shared" si="62"/>
        <v>G16</v>
      </c>
      <c r="G974" s="6" t="str">
        <f t="shared" si="63"/>
        <v>Prof18</v>
      </c>
      <c r="H974" s="6" t="str" cm="1">
        <f t="array" ref="H974">choice(Referentiel!A:A,1,Settings!$B$16)</f>
        <v>Architecture Intérieure</v>
      </c>
      <c r="I974" s="6" t="str" cm="1">
        <f t="array" ref="I974">choice(Referentiel!B:B,1,Settings!$B$16)</f>
        <v>4ème année Scénographie S1</v>
      </c>
      <c r="J974" s="6" t="str" cm="1">
        <f t="array" ref="J974">choice(Referentiel!D:D,1,Settings!$B$16)</f>
        <v>L2</v>
      </c>
      <c r="K974" s="6" t="str" cm="1">
        <f t="array" ref="K974">choice(Professeurs!B:B,1,Settings!$B$16)</f>
        <v>Prof18</v>
      </c>
      <c r="L974" s="5" t="str" cm="1">
        <f t="array" ref="L974">choice(Referentiel!C:C,1,Settings!$B$16)</f>
        <v/>
      </c>
      <c r="M974" s="5" t="str" cm="1">
        <f t="array" ref="M974">choice(Referentiel!E:E,1,Settings!$B$16)</f>
        <v/>
      </c>
      <c r="N974" s="5" t="str" cm="1">
        <f t="array" ref="N974">choice(Settings!K:K,1,Settings!$B$16)</f>
        <v/>
      </c>
      <c r="P974" s="5">
        <f t="shared" si="64"/>
        <v>2</v>
      </c>
    </row>
    <row r="975" spans="1:16" ht="15.75" customHeight="1" x14ac:dyDescent="0.25">
      <c r="A975" s="6" t="s">
        <v>1327</v>
      </c>
      <c r="B975" s="6" cm="1">
        <f t="array" ref="B975">alea_int(Settings!$B$10,1,Settings!$B$16)</f>
        <v>2</v>
      </c>
      <c r="C975" s="8">
        <v>46023</v>
      </c>
      <c r="D975" s="8">
        <f t="shared" si="61"/>
        <v>46387</v>
      </c>
      <c r="E975" s="6" t="str" cm="1">
        <f t="array" ref="E975">choice(Groupes!A:A,1,Settings!$B$16)</f>
        <v>G4</v>
      </c>
      <c r="F975" s="6" t="str">
        <f t="shared" si="62"/>
        <v>G4</v>
      </c>
      <c r="G975" s="6" t="str">
        <f t="shared" si="63"/>
        <v>Prof34</v>
      </c>
      <c r="H975" s="6" t="str" cm="1">
        <f t="array" ref="H975">choice(Referentiel!A:A,1,Settings!$B$16)</f>
        <v>Gr REFLECTIVE INTERACTION</v>
      </c>
      <c r="I975" s="6" t="str" cm="1">
        <f t="array" ref="I975">choice(Referentiel!B:B,1,Settings!$B$16)</f>
        <v>4ème année Design Objet S2</v>
      </c>
      <c r="J975" s="6" t="str" cm="1">
        <f t="array" ref="J975">choice(Referentiel!D:D,1,Settings!$B$16)</f>
        <v>L3</v>
      </c>
      <c r="K975" s="6" t="str" cm="1">
        <f t="array" ref="K975">choice(Professeurs!B:B,1,Settings!$B$16)</f>
        <v>Prof34</v>
      </c>
      <c r="L975" s="5" t="str" cm="1">
        <f t="array" ref="L975">choice(Referentiel!C:C,1,Settings!$B$16)</f>
        <v/>
      </c>
      <c r="M975" s="5" t="str" cm="1">
        <f t="array" ref="M975">choice(Referentiel!E:E,1,Settings!$B$16)</f>
        <v/>
      </c>
      <c r="N975" s="5" t="str" cm="1">
        <f t="array" ref="N975">choice(Settings!K:K,1,Settings!$B$16)</f>
        <v/>
      </c>
      <c r="P975" s="5">
        <f t="shared" si="64"/>
        <v>2</v>
      </c>
    </row>
    <row r="976" spans="1:16" ht="15.75" customHeight="1" x14ac:dyDescent="0.25">
      <c r="A976" s="6" t="s">
        <v>1328</v>
      </c>
      <c r="B976" s="6" cm="1">
        <f t="array" ref="B976">alea_int(Settings!$B$10,1,Settings!$B$16)</f>
        <v>1</v>
      </c>
      <c r="C976" s="8">
        <v>46023</v>
      </c>
      <c r="D976" s="8">
        <f t="shared" si="61"/>
        <v>46387</v>
      </c>
      <c r="E976" s="6" t="str" cm="1">
        <f t="array" ref="E976">choice(Groupes!A:A,1,Settings!$B$16)</f>
        <v>G24</v>
      </c>
      <c r="F976" s="6" t="str">
        <f t="shared" si="62"/>
        <v>G24</v>
      </c>
      <c r="G976" s="6" t="str">
        <f t="shared" si="63"/>
        <v>Prof35</v>
      </c>
      <c r="H976" s="6" t="str" cm="1">
        <f t="array" ref="H976">choice(Referentiel!A:A,1,Settings!$B$16)</f>
        <v>Design Objet</v>
      </c>
      <c r="I976" s="6" t="str" cm="1">
        <f t="array" ref="I976">choice(Referentiel!B:B,1,Settings!$B$16)</f>
        <v>5ème année Architecture Intérieure S1</v>
      </c>
      <c r="J976" s="6" t="str" cm="1">
        <f t="array" ref="J976">choice(Referentiel!D:D,1,Settings!$B$16)</f>
        <v>M2</v>
      </c>
      <c r="K976" s="6" t="str" cm="1">
        <f t="array" ref="K976">choice(Professeurs!B:B,1,Settings!$B$16)</f>
        <v>Prof35</v>
      </c>
      <c r="L976" s="5" t="str" cm="1">
        <f t="array" ref="L976">choice(Referentiel!C:C,1,Settings!$B$16)</f>
        <v>projecteur</v>
      </c>
      <c r="M976" s="5" t="str" cm="1">
        <f t="array" ref="M976">choice(Referentiel!E:E,1,Settings!$B$16)</f>
        <v/>
      </c>
      <c r="N976" s="5" t="str" cm="1">
        <f t="array" ref="N976">choice(Settings!K:K,1,Settings!$B$16)</f>
        <v/>
      </c>
      <c r="P976" s="5">
        <f t="shared" si="64"/>
        <v>1</v>
      </c>
    </row>
    <row r="977" spans="1:16" ht="15.75" customHeight="1" x14ac:dyDescent="0.25">
      <c r="A977" s="6" t="s">
        <v>1329</v>
      </c>
      <c r="B977" s="6" cm="1">
        <f t="array" ref="B977">alea_int(Settings!$B$10,1,Settings!$B$16)</f>
        <v>1</v>
      </c>
      <c r="C977" s="8">
        <v>46023</v>
      </c>
      <c r="D977" s="8">
        <f t="shared" si="61"/>
        <v>46387</v>
      </c>
      <c r="E977" s="6" t="str" cm="1">
        <f t="array" ref="E977">choice(Groupes!A:A,1,Settings!$B$16)</f>
        <v>G6</v>
      </c>
      <c r="F977" s="6" t="str">
        <f t="shared" si="62"/>
        <v>G6</v>
      </c>
      <c r="G977" s="6" t="str">
        <f t="shared" si="63"/>
        <v>Prof33</v>
      </c>
      <c r="H977" s="6" t="str" cm="1">
        <f t="array" ref="H977">choice(Referentiel!A:A,1,Settings!$B$16)</f>
        <v>Cinéma d'Animation</v>
      </c>
      <c r="I977" s="6" t="str" cm="1">
        <f t="array" ref="I977">choice(Referentiel!B:B,1,Settings!$B$16)</f>
        <v>5ème année Design Vêtement S2</v>
      </c>
      <c r="J977" s="6" t="str" cm="1">
        <f t="array" ref="J977">choice(Referentiel!D:D,1,Settings!$B$16)</f>
        <v>L3</v>
      </c>
      <c r="K977" s="6" t="str" cm="1">
        <f t="array" ref="K977">choice(Professeurs!B:B,1,Settings!$B$16)</f>
        <v>Prof33</v>
      </c>
      <c r="L977" s="5" t="str" cm="1">
        <f t="array" ref="L977">choice(Referentiel!C:C,1,Settings!$B$16)</f>
        <v/>
      </c>
      <c r="M977" s="5" t="str" cm="1">
        <f t="array" ref="M977">choice(Referentiel!E:E,1,Settings!$B$16)</f>
        <v/>
      </c>
      <c r="N977" s="5" t="str" cm="1">
        <f t="array" ref="N977">choice(Settings!K:K,1,Settings!$B$16)</f>
        <v/>
      </c>
      <c r="P977" s="5">
        <f t="shared" si="64"/>
        <v>1</v>
      </c>
    </row>
    <row r="978" spans="1:16" ht="15.75" customHeight="1" x14ac:dyDescent="0.25">
      <c r="A978" s="6" t="s">
        <v>1330</v>
      </c>
      <c r="B978" s="6" cm="1">
        <f t="array" ref="B978">alea_int(Settings!$B$10,1,Settings!$B$16)</f>
        <v>3</v>
      </c>
      <c r="C978" s="8">
        <v>46023</v>
      </c>
      <c r="D978" s="8">
        <f t="shared" si="61"/>
        <v>46387</v>
      </c>
      <c r="E978" s="6" t="str" cm="1">
        <f t="array" ref="E978">choice(Groupes!A:A,1,Settings!$B$16)</f>
        <v>G15</v>
      </c>
      <c r="F978" s="6" t="str">
        <f t="shared" si="62"/>
        <v>G15</v>
      </c>
      <c r="G978" s="6" t="str">
        <f t="shared" si="63"/>
        <v>Prof54</v>
      </c>
      <c r="H978" s="6" t="str" cm="1">
        <f t="array" ref="H978">choice(Referentiel!A:A,1,Settings!$B$16)</f>
        <v>Gr TERRITOIRES</v>
      </c>
      <c r="I978" s="6" t="str" cm="1">
        <f t="array" ref="I978">choice(Referentiel!B:B,1,Settings!$B$16)</f>
        <v>5ème année Design Textile et Matière S2</v>
      </c>
      <c r="J978" s="6" t="str" cm="1">
        <f t="array" ref="J978">choice(Referentiel!D:D,1,Settings!$B$16)</f>
        <v>M2</v>
      </c>
      <c r="K978" s="6" t="str" cm="1">
        <f t="array" ref="K978">choice(Professeurs!B:B,1,Settings!$B$16)</f>
        <v>Prof54</v>
      </c>
      <c r="L978" s="5" t="str" cm="1">
        <f t="array" ref="L978">choice(Referentiel!C:C,1,Settings!$B$16)</f>
        <v/>
      </c>
      <c r="M978" s="5" t="str" cm="1">
        <f t="array" ref="M978">choice(Referentiel!E:E,1,Settings!$B$16)</f>
        <v/>
      </c>
      <c r="N978" s="5" t="str" cm="1">
        <f t="array" ref="N978">choice(Settings!K:K,1,Settings!$B$16)</f>
        <v/>
      </c>
      <c r="P978" s="5">
        <f t="shared" si="64"/>
        <v>3</v>
      </c>
    </row>
    <row r="979" spans="1:16" ht="15.75" customHeight="1" x14ac:dyDescent="0.25">
      <c r="A979" s="6" t="s">
        <v>1331</v>
      </c>
      <c r="B979" s="6" cm="1">
        <f t="array" ref="B979">alea_int(Settings!$B$10,1,Settings!$B$16)</f>
        <v>2</v>
      </c>
      <c r="C979" s="8">
        <v>46023</v>
      </c>
      <c r="D979" s="8">
        <f t="shared" si="61"/>
        <v>46387</v>
      </c>
      <c r="E979" s="6" t="str" cm="1">
        <f t="array" ref="E979">choice(Groupes!A:A,1,Settings!$B$16)</f>
        <v>G20</v>
      </c>
      <c r="F979" s="6" t="str">
        <f t="shared" si="62"/>
        <v>G20</v>
      </c>
      <c r="G979" s="6" t="str">
        <f t="shared" si="63"/>
        <v>Prof40</v>
      </c>
      <c r="H979" s="6" t="str" cm="1">
        <f t="array" ref="H979">choice(Referentiel!A:A,1,Settings!$B$16)</f>
        <v>1ère année Groupe 2</v>
      </c>
      <c r="I979" s="6" t="str" cm="1">
        <f t="array" ref="I979">choice(Referentiel!B:B,1,Settings!$B$16)</f>
        <v>2ème année Design Textile et Matière S2</v>
      </c>
      <c r="J979" s="6" t="str" cm="1">
        <f t="array" ref="J979">choice(Referentiel!D:D,1,Settings!$B$16)</f>
        <v>L2</v>
      </c>
      <c r="K979" s="6" t="str" cm="1">
        <f t="array" ref="K979">choice(Professeurs!B:B,1,Settings!$B$16)</f>
        <v>Prof40</v>
      </c>
      <c r="L979" s="5" t="str" cm="1">
        <f t="array" ref="L979">choice(Referentiel!C:C,1,Settings!$B$16)</f>
        <v/>
      </c>
      <c r="M979" s="5" t="str" cm="1">
        <f t="array" ref="M979">choice(Referentiel!E:E,1,Settings!$B$16)</f>
        <v/>
      </c>
      <c r="N979" s="5" t="str" cm="1">
        <f t="array" ref="N979">choice(Settings!K:K,1,Settings!$B$16)</f>
        <v/>
      </c>
      <c r="P979" s="5">
        <f t="shared" si="64"/>
        <v>2</v>
      </c>
    </row>
    <row r="980" spans="1:16" ht="15.75" customHeight="1" x14ac:dyDescent="0.25">
      <c r="A980" s="6" t="s">
        <v>1332</v>
      </c>
      <c r="B980" s="6" cm="1">
        <f t="array" ref="B980">alea_int(Settings!$B$10,1,Settings!$B$16)</f>
        <v>2</v>
      </c>
      <c r="C980" s="8">
        <v>46023</v>
      </c>
      <c r="D980" s="8">
        <f t="shared" si="61"/>
        <v>46387</v>
      </c>
      <c r="E980" s="6" t="str" cm="1">
        <f t="array" ref="E980">choice(Groupes!A:A,1,Settings!$B$16)</f>
        <v>G29</v>
      </c>
      <c r="F980" s="6" t="str">
        <f t="shared" si="62"/>
        <v>G29</v>
      </c>
      <c r="G980" s="6" t="str">
        <f t="shared" si="63"/>
        <v>Prof52</v>
      </c>
      <c r="H980" s="6" t="str" cm="1">
        <f t="array" ref="H980">choice(Referentiel!A:A,1,Settings!$B$16)</f>
        <v>6ème année atelier</v>
      </c>
      <c r="I980" s="6" t="str" cm="1">
        <f t="array" ref="I980">choice(Referentiel!B:B,1,Settings!$B$16)</f>
        <v>3ème année Design Graphique S2</v>
      </c>
      <c r="J980" s="6" t="str" cm="1">
        <f t="array" ref="J980">choice(Referentiel!D:D,1,Settings!$B$16)</f>
        <v>M2</v>
      </c>
      <c r="K980" s="6" t="str" cm="1">
        <f t="array" ref="K980">choice(Professeurs!B:B,1,Settings!$B$16)</f>
        <v>Prof52</v>
      </c>
      <c r="L980" s="5" t="str" cm="1">
        <f t="array" ref="L980">choice(Referentiel!C:C,1,Settings!$B$16)</f>
        <v/>
      </c>
      <c r="M980" s="5" t="str" cm="1">
        <f t="array" ref="M980">choice(Referentiel!E:E,1,Settings!$B$16)</f>
        <v/>
      </c>
      <c r="N980" s="5" t="str" cm="1">
        <f t="array" ref="N980">choice(Settings!K:K,1,Settings!$B$16)</f>
        <v/>
      </c>
      <c r="P980" s="5">
        <f t="shared" si="64"/>
        <v>2</v>
      </c>
    </row>
    <row r="981" spans="1:16" ht="15.75" customHeight="1" x14ac:dyDescent="0.25">
      <c r="A981" s="6" t="s">
        <v>1333</v>
      </c>
      <c r="B981" s="6" cm="1">
        <f t="array" ref="B981">alea_int(Settings!$B$10,1,Settings!$B$16)</f>
        <v>1</v>
      </c>
      <c r="C981" s="8">
        <v>46023</v>
      </c>
      <c r="D981" s="8">
        <f t="shared" si="61"/>
        <v>46387</v>
      </c>
      <c r="E981" s="6" t="str" cm="1">
        <f t="array" ref="E981">choice(Groupes!A:A,1,Settings!$B$16)</f>
        <v>G4</v>
      </c>
      <c r="F981" s="6" t="str">
        <f t="shared" si="62"/>
        <v>G4</v>
      </c>
      <c r="G981" s="6" t="str">
        <f t="shared" si="63"/>
        <v>Prof5</v>
      </c>
      <c r="H981" s="6" t="str" cm="1">
        <f t="array" ref="H981">choice(Referentiel!A:A,1,Settings!$B$16)</f>
        <v>Design des mondes montagneux</v>
      </c>
      <c r="I981" s="6" t="str" cm="1">
        <f t="array" ref="I981">choice(Referentiel!B:B,1,Settings!$B$16)</f>
        <v>2ème année Design Graphique S2</v>
      </c>
      <c r="J981" s="6" t="str" cm="1">
        <f t="array" ref="J981">choice(Referentiel!D:D,1,Settings!$B$16)</f>
        <v>L1</v>
      </c>
      <c r="K981" s="6" t="str" cm="1">
        <f t="array" ref="K981">choice(Professeurs!B:B,1,Settings!$B$16)</f>
        <v>Prof5</v>
      </c>
      <c r="L981" s="5" t="str" cm="1">
        <f t="array" ref="L981">choice(Referentiel!C:C,1,Settings!$B$16)</f>
        <v/>
      </c>
      <c r="M981" s="5" t="str" cm="1">
        <f t="array" ref="M981">choice(Referentiel!E:E,1,Settings!$B$16)</f>
        <v/>
      </c>
      <c r="N981" s="5" t="str" cm="1">
        <f t="array" ref="N981">choice(Settings!K:K,1,Settings!$B$16)</f>
        <v/>
      </c>
      <c r="P981" s="5">
        <f t="shared" si="64"/>
        <v>1</v>
      </c>
    </row>
    <row r="982" spans="1:16" ht="15.75" customHeight="1" x14ac:dyDescent="0.25">
      <c r="A982" s="6" t="s">
        <v>1334</v>
      </c>
      <c r="B982" s="6" cm="1">
        <f t="array" ref="B982">alea_int(Settings!$B$10,1,Settings!$B$16)</f>
        <v>1</v>
      </c>
      <c r="C982" s="8">
        <v>46023</v>
      </c>
      <c r="D982" s="8">
        <f t="shared" si="61"/>
        <v>46387</v>
      </c>
      <c r="E982" s="6" t="str" cm="1">
        <f t="array" ref="E982">choice(Groupes!A:A,1,Settings!$B$16)</f>
        <v>G18</v>
      </c>
      <c r="F982" s="6" t="str">
        <f t="shared" si="62"/>
        <v>G18</v>
      </c>
      <c r="G982" s="6" t="str">
        <f t="shared" si="63"/>
        <v>Prof7</v>
      </c>
      <c r="H982" s="6" t="str" cm="1">
        <f t="array" ref="H982">choice(Referentiel!A:A,1,Settings!$B$16)</f>
        <v>1ère année Groupe 1</v>
      </c>
      <c r="I982" s="6" t="str" cm="1">
        <f t="array" ref="I982">choice(Referentiel!B:B,1,Settings!$B$16)</f>
        <v>5ème année Scénographie S2</v>
      </c>
      <c r="J982" s="6" t="str" cm="1">
        <f t="array" ref="J982">choice(Referentiel!D:D,1,Settings!$B$16)</f>
        <v>L3</v>
      </c>
      <c r="K982" s="6" t="str" cm="1">
        <f t="array" ref="K982">choice(Professeurs!B:B,1,Settings!$B$16)</f>
        <v>Prof7</v>
      </c>
      <c r="L982" s="5" t="str" cm="1">
        <f t="array" ref="L982">choice(Referentiel!C:C,1,Settings!$B$16)</f>
        <v/>
      </c>
      <c r="M982" s="5" t="str" cm="1">
        <f t="array" ref="M982">choice(Referentiel!E:E,1,Settings!$B$16)</f>
        <v/>
      </c>
      <c r="N982" s="5" t="str" cm="1">
        <f t="array" ref="N982">choice(Settings!K:K,1,Settings!$B$16)</f>
        <v/>
      </c>
      <c r="P982" s="5">
        <f t="shared" si="64"/>
        <v>1</v>
      </c>
    </row>
    <row r="983" spans="1:16" ht="15.75" customHeight="1" x14ac:dyDescent="0.25">
      <c r="A983" s="6" t="s">
        <v>1335</v>
      </c>
      <c r="B983" s="6" cm="1">
        <f t="array" ref="B983">alea_int(Settings!$B$10,1,Settings!$B$16)</f>
        <v>3</v>
      </c>
      <c r="C983" s="8">
        <v>46023</v>
      </c>
      <c r="D983" s="8">
        <f t="shared" si="61"/>
        <v>46387</v>
      </c>
      <c r="E983" s="6" t="str" cm="1">
        <f t="array" ref="E983">choice(Groupes!A:A,1,Settings!$B$16)</f>
        <v>G5</v>
      </c>
      <c r="F983" s="6" t="str">
        <f t="shared" si="62"/>
        <v>G5</v>
      </c>
      <c r="G983" s="6" t="str">
        <f t="shared" si="63"/>
        <v>Prof2</v>
      </c>
      <c r="H983" s="6" t="str" cm="1">
        <f t="array" ref="H983">choice(Referentiel!A:A,1,Settings!$B$16)</f>
        <v>Gr SPATIAL MEDIA</v>
      </c>
      <c r="I983" s="6" t="str" cm="1">
        <f t="array" ref="I983">choice(Referentiel!B:B,1,Settings!$B$16)</f>
        <v>3ème année Cinéma d'Animation S1</v>
      </c>
      <c r="J983" s="6" t="str" cm="1">
        <f t="array" ref="J983">choice(Referentiel!D:D,1,Settings!$B$16)</f>
        <v>M2</v>
      </c>
      <c r="K983" s="6" t="str" cm="1">
        <f t="array" ref="K983">choice(Professeurs!B:B,1,Settings!$B$16)</f>
        <v>Prof2</v>
      </c>
      <c r="L983" s="5" t="str" cm="1">
        <f t="array" ref="L983">choice(Referentiel!C:C,1,Settings!$B$16)</f>
        <v/>
      </c>
      <c r="M983" s="5" t="str" cm="1">
        <f t="array" ref="M983">choice(Referentiel!E:E,1,Settings!$B$16)</f>
        <v/>
      </c>
      <c r="N983" s="5" t="str" cm="1">
        <f t="array" ref="N983">choice(Settings!K:K,1,Settings!$B$16)</f>
        <v/>
      </c>
      <c r="P983" s="5">
        <f t="shared" si="64"/>
        <v>3</v>
      </c>
    </row>
    <row r="984" spans="1:16" ht="15.75" customHeight="1" x14ac:dyDescent="0.25">
      <c r="A984" s="6" t="s">
        <v>1336</v>
      </c>
      <c r="B984" s="6" cm="1">
        <f t="array" ref="B984">alea_int(Settings!$B$10,1,Settings!$B$16)</f>
        <v>1</v>
      </c>
      <c r="C984" s="8">
        <v>46023</v>
      </c>
      <c r="D984" s="8">
        <f t="shared" si="61"/>
        <v>46387</v>
      </c>
      <c r="E984" s="6" t="str" cm="1">
        <f t="array" ref="E984">choice(Groupes!A:A,1,Settings!$B$16)</f>
        <v>G28</v>
      </c>
      <c r="F984" s="6" t="str">
        <f t="shared" si="62"/>
        <v>G28</v>
      </c>
      <c r="G984" s="6" t="str">
        <f t="shared" si="63"/>
        <v>Prof12</v>
      </c>
      <c r="H984" s="6" t="str" cm="1">
        <f t="array" ref="H984">choice(Referentiel!A:A,1,Settings!$B$16)</f>
        <v>Scénographie</v>
      </c>
      <c r="I984" s="6" t="str" cm="1">
        <f t="array" ref="I984">choice(Referentiel!B:B,1,Settings!$B$16)</f>
        <v>3ème année Architecture Intérieure S1</v>
      </c>
      <c r="J984" s="6" t="str" cm="1">
        <f t="array" ref="J984">choice(Referentiel!D:D,1,Settings!$B$16)</f>
        <v>M2</v>
      </c>
      <c r="K984" s="6" t="str" cm="1">
        <f t="array" ref="K984">choice(Professeurs!B:B,1,Settings!$B$16)</f>
        <v>Prof12</v>
      </c>
      <c r="L984" s="5" t="str" cm="1">
        <f t="array" ref="L984">choice(Referentiel!C:C,1,Settings!$B$16)</f>
        <v/>
      </c>
      <c r="M984" s="5" t="str" cm="1">
        <f t="array" ref="M984">choice(Referentiel!E:E,1,Settings!$B$16)</f>
        <v/>
      </c>
      <c r="N984" s="5" t="str" cm="1">
        <f t="array" ref="N984">choice(Settings!K:K,1,Settings!$B$16)</f>
        <v/>
      </c>
      <c r="P984" s="5">
        <f t="shared" si="64"/>
        <v>1</v>
      </c>
    </row>
    <row r="985" spans="1:16" ht="15.75" customHeight="1" x14ac:dyDescent="0.25">
      <c r="A985" s="6" t="s">
        <v>1337</v>
      </c>
      <c r="B985" s="6" cm="1">
        <f t="array" ref="B985">alea_int(Settings!$B$10,1,Settings!$B$16)</f>
        <v>1</v>
      </c>
      <c r="C985" s="8">
        <v>46023</v>
      </c>
      <c r="D985" s="8">
        <f t="shared" si="61"/>
        <v>46387</v>
      </c>
      <c r="E985" s="6" t="str" cm="1">
        <f t="array" ref="E985">choice(Groupes!A:A,1,Settings!$B$16)</f>
        <v>G21</v>
      </c>
      <c r="F985" s="6" t="str">
        <f t="shared" si="62"/>
        <v>G21</v>
      </c>
      <c r="G985" s="6" t="str">
        <f t="shared" si="63"/>
        <v>Prof37</v>
      </c>
      <c r="H985" s="6" t="str" cm="1">
        <f t="array" ref="H985">choice(Referentiel!A:A,1,Settings!$B$16)</f>
        <v>Design des mondes littoraux</v>
      </c>
      <c r="I985" s="6" t="str" cm="1">
        <f t="array" ref="I985">choice(Referentiel!B:B,1,Settings!$B$16)</f>
        <v>3ème année Architecture Intérieure S1</v>
      </c>
      <c r="J985" s="6" t="str" cm="1">
        <f t="array" ref="J985">choice(Referentiel!D:D,1,Settings!$B$16)</f>
        <v>M2</v>
      </c>
      <c r="K985" s="6" t="str" cm="1">
        <f t="array" ref="K985">choice(Professeurs!B:B,1,Settings!$B$16)</f>
        <v>Prof37</v>
      </c>
      <c r="L985" s="5" t="str" cm="1">
        <f t="array" ref="L985">choice(Referentiel!C:C,1,Settings!$B$16)</f>
        <v/>
      </c>
      <c r="M985" s="5" t="str" cm="1">
        <f t="array" ref="M985">choice(Referentiel!E:E,1,Settings!$B$16)</f>
        <v/>
      </c>
      <c r="N985" s="5" t="str" cm="1">
        <f t="array" ref="N985">choice(Settings!K:K,1,Settings!$B$16)</f>
        <v/>
      </c>
      <c r="P985" s="5">
        <f t="shared" si="64"/>
        <v>1</v>
      </c>
    </row>
    <row r="986" spans="1:16" ht="15.75" customHeight="1" x14ac:dyDescent="0.25">
      <c r="A986" s="6" t="s">
        <v>1338</v>
      </c>
      <c r="B986" s="6" cm="1">
        <f t="array" ref="B986">alea_int(Settings!$B$10,1,Settings!$B$16)</f>
        <v>1</v>
      </c>
      <c r="C986" s="8">
        <v>46023</v>
      </c>
      <c r="D986" s="8">
        <f t="shared" si="61"/>
        <v>46387</v>
      </c>
      <c r="E986" s="6" t="str" cm="1">
        <f t="array" ref="E986">choice(Groupes!A:A,1,Settings!$B$16)</f>
        <v>G14</v>
      </c>
      <c r="F986" s="6" t="str">
        <f t="shared" si="62"/>
        <v>G14</v>
      </c>
      <c r="G986" s="6" t="str">
        <f t="shared" si="63"/>
        <v>Prof2</v>
      </c>
      <c r="H986" s="6" t="str" cm="1">
        <f t="array" ref="H986">choice(Referentiel!A:A,1,Settings!$B$16)</f>
        <v>Design Graphique</v>
      </c>
      <c r="I986" s="6" t="str" cm="1">
        <f t="array" ref="I986">choice(Referentiel!B:B,1,Settings!$B$16)</f>
        <v>3ème année Architecture Intérieure S2</v>
      </c>
      <c r="J986" s="6" t="str" cm="1">
        <f t="array" ref="J986">choice(Referentiel!D:D,1,Settings!$B$16)</f>
        <v>M1</v>
      </c>
      <c r="K986" s="6" t="str" cm="1">
        <f t="array" ref="K986">choice(Professeurs!B:B,1,Settings!$B$16)</f>
        <v>Prof2</v>
      </c>
      <c r="L986" s="5" t="str" cm="1">
        <f t="array" ref="L986">choice(Referentiel!C:C,1,Settings!$B$16)</f>
        <v/>
      </c>
      <c r="M986" s="5" t="str" cm="1">
        <f t="array" ref="M986">choice(Referentiel!E:E,1,Settings!$B$16)</f>
        <v/>
      </c>
      <c r="N986" s="5" t="str" cm="1">
        <f t="array" ref="N986">choice(Settings!K:K,1,Settings!$B$16)</f>
        <v>semaine</v>
      </c>
      <c r="P986" s="5">
        <f t="shared" si="64"/>
        <v>3</v>
      </c>
    </row>
    <row r="987" spans="1:16" ht="15.75" customHeight="1" x14ac:dyDescent="0.25">
      <c r="A987" s="6" t="s">
        <v>1339</v>
      </c>
      <c r="B987" s="6" cm="1">
        <f t="array" ref="B987">alea_int(Settings!$B$10,1,Settings!$B$16)</f>
        <v>1</v>
      </c>
      <c r="C987" s="8">
        <v>46023</v>
      </c>
      <c r="D987" s="8">
        <f t="shared" si="61"/>
        <v>46387</v>
      </c>
      <c r="E987" s="6" t="str" cm="1">
        <f t="array" ref="E987">choice(Groupes!A:A,1,Settings!$B$16)</f>
        <v>G27</v>
      </c>
      <c r="F987" s="6" t="str">
        <f t="shared" si="62"/>
        <v>G27</v>
      </c>
      <c r="G987" s="6" t="str">
        <f t="shared" si="63"/>
        <v>Prof14</v>
      </c>
      <c r="H987" s="6" t="str" cm="1">
        <f t="array" ref="H987">choice(Referentiel!A:A,1,Settings!$B$16)</f>
        <v>Gr REFLECTIVE INTERACTION</v>
      </c>
      <c r="I987" s="6" t="str" cm="1">
        <f t="array" ref="I987">choice(Referentiel!B:B,1,Settings!$B$16)</f>
        <v>3ème année Photo / Vidéo S2</v>
      </c>
      <c r="J987" s="6" t="str" cm="1">
        <f t="array" ref="J987">choice(Referentiel!D:D,1,Settings!$B$16)</f>
        <v>L1</v>
      </c>
      <c r="K987" s="6" t="str" cm="1">
        <f t="array" ref="K987">choice(Professeurs!B:B,1,Settings!$B$16)</f>
        <v>Prof14</v>
      </c>
      <c r="L987" s="5" t="str" cm="1">
        <f t="array" ref="L987">choice(Referentiel!C:C,1,Settings!$B$16)</f>
        <v/>
      </c>
      <c r="M987" s="5" t="str" cm="1">
        <f t="array" ref="M987">choice(Referentiel!E:E,1,Settings!$B$16)</f>
        <v/>
      </c>
      <c r="N987" s="5" t="str" cm="1">
        <f t="array" ref="N987">choice(Settings!K:K,1,Settings!$B$16)</f>
        <v/>
      </c>
      <c r="P987" s="5">
        <f t="shared" si="64"/>
        <v>1</v>
      </c>
    </row>
    <row r="988" spans="1:16" ht="15.75" customHeight="1" x14ac:dyDescent="0.25">
      <c r="A988" s="6" t="s">
        <v>1340</v>
      </c>
      <c r="B988" s="6" cm="1">
        <f t="array" ref="B988">alea_int(Settings!$B$10,1,Settings!$B$16)</f>
        <v>2</v>
      </c>
      <c r="C988" s="8">
        <v>46023</v>
      </c>
      <c r="D988" s="8">
        <f t="shared" si="61"/>
        <v>46387</v>
      </c>
      <c r="E988" s="6" t="str" cm="1">
        <f t="array" ref="E988">choice(Groupes!A:A,1,Settings!$B$16)</f>
        <v>G14</v>
      </c>
      <c r="F988" s="6" t="str">
        <f t="shared" si="62"/>
        <v>G14</v>
      </c>
      <c r="G988" s="6" t="str">
        <f t="shared" si="63"/>
        <v>Prof33</v>
      </c>
      <c r="H988" s="6" t="str" cm="1">
        <f t="array" ref="H988">choice(Referentiel!A:A,1,Settings!$B$16)</f>
        <v>Gr SPATIAL MEDIA</v>
      </c>
      <c r="I988" s="6" t="str" cm="1">
        <f t="array" ref="I988">choice(Referentiel!B:B,1,Settings!$B$16)</f>
        <v>4ème année Design Graphique S1</v>
      </c>
      <c r="J988" s="6" t="str" cm="1">
        <f t="array" ref="J988">choice(Referentiel!D:D,1,Settings!$B$16)</f>
        <v>M2</v>
      </c>
      <c r="K988" s="6" t="str" cm="1">
        <f t="array" ref="K988">choice(Professeurs!B:B,1,Settings!$B$16)</f>
        <v>Prof33</v>
      </c>
      <c r="L988" s="5" t="str" cm="1">
        <f t="array" ref="L988">choice(Referentiel!C:C,1,Settings!$B$16)</f>
        <v/>
      </c>
      <c r="M988" s="5" t="str" cm="1">
        <f t="array" ref="M988">choice(Referentiel!E:E,1,Settings!$B$16)</f>
        <v/>
      </c>
      <c r="N988" s="5" t="str" cm="1">
        <f t="array" ref="N988">choice(Settings!K:K,1,Settings!$B$16)</f>
        <v/>
      </c>
      <c r="P988" s="5">
        <f t="shared" si="64"/>
        <v>2</v>
      </c>
    </row>
    <row r="989" spans="1:16" ht="15.75" customHeight="1" x14ac:dyDescent="0.25">
      <c r="A989" s="6" t="s">
        <v>1341</v>
      </c>
      <c r="B989" s="6" cm="1">
        <f t="array" ref="B989">alea_int(Settings!$B$10,1,Settings!$B$16)</f>
        <v>3</v>
      </c>
      <c r="C989" s="8">
        <v>46023</v>
      </c>
      <c r="D989" s="8">
        <f t="shared" si="61"/>
        <v>46387</v>
      </c>
      <c r="E989" s="6" t="str" cm="1">
        <f t="array" ref="E989">choice(Groupes!A:A,1,Settings!$B$16)</f>
        <v>G7</v>
      </c>
      <c r="F989" s="6" t="str">
        <f t="shared" si="62"/>
        <v>G7</v>
      </c>
      <c r="G989" s="6" t="str">
        <f t="shared" si="63"/>
        <v>Prof13</v>
      </c>
      <c r="H989" s="6" t="str" cm="1">
        <f t="array" ref="H989">choice(Referentiel!A:A,1,Settings!$B$16)</f>
        <v>Design des mondes ruraux</v>
      </c>
      <c r="I989" s="6" t="str" cm="1">
        <f t="array" ref="I989">choice(Referentiel!B:B,1,Settings!$B$16)</f>
        <v>5ème année Design Vêtement S1</v>
      </c>
      <c r="J989" s="6" t="str" cm="1">
        <f t="array" ref="J989">choice(Referentiel!D:D,1,Settings!$B$16)</f>
        <v>L1</v>
      </c>
      <c r="K989" s="6" t="str" cm="1">
        <f t="array" ref="K989">choice(Professeurs!B:B,1,Settings!$B$16)</f>
        <v>Prof13</v>
      </c>
      <c r="L989" s="5" t="str" cm="1">
        <f t="array" ref="L989">choice(Referentiel!C:C,1,Settings!$B$16)</f>
        <v/>
      </c>
      <c r="M989" s="5" t="str" cm="1">
        <f t="array" ref="M989">choice(Referentiel!E:E,1,Settings!$B$16)</f>
        <v/>
      </c>
      <c r="N989" s="5" t="str" cm="1">
        <f t="array" ref="N989">choice(Settings!K:K,1,Settings!$B$16)</f>
        <v/>
      </c>
      <c r="P989" s="5">
        <f t="shared" si="64"/>
        <v>3</v>
      </c>
    </row>
    <row r="990" spans="1:16" ht="15.75" customHeight="1" x14ac:dyDescent="0.25">
      <c r="A990" s="6" t="s">
        <v>1342</v>
      </c>
      <c r="B990" s="6" cm="1">
        <f t="array" ref="B990">alea_int(Settings!$B$10,1,Settings!$B$16)</f>
        <v>1</v>
      </c>
      <c r="C990" s="8">
        <v>46023</v>
      </c>
      <c r="D990" s="8">
        <f t="shared" si="61"/>
        <v>46387</v>
      </c>
      <c r="E990" s="6" t="str" cm="1">
        <f t="array" ref="E990">choice(Groupes!A:A,1,Settings!$B$16)</f>
        <v>G8</v>
      </c>
      <c r="F990" s="6" t="str">
        <f t="shared" si="62"/>
        <v>G8</v>
      </c>
      <c r="G990" s="6" t="str">
        <f t="shared" si="63"/>
        <v>Prof29</v>
      </c>
      <c r="H990" s="6" t="str" cm="1">
        <f t="array" ref="H990">choice(Referentiel!A:A,1,Settings!$B$16)</f>
        <v>1ère année Groupe 3</v>
      </c>
      <c r="I990" s="6" t="str" cm="1">
        <f t="array" ref="I990">choice(Referentiel!B:B,1,Settings!$B$16)</f>
        <v>3ème année Design Objet S1</v>
      </c>
      <c r="J990" s="6" t="str" cm="1">
        <f t="array" ref="J990">choice(Referentiel!D:D,1,Settings!$B$16)</f>
        <v>L3</v>
      </c>
      <c r="K990" s="6" t="str" cm="1">
        <f t="array" ref="K990">choice(Professeurs!B:B,1,Settings!$B$16)</f>
        <v>Prof29</v>
      </c>
      <c r="L990" s="5" t="str" cm="1">
        <f t="array" ref="L990">choice(Referentiel!C:C,1,Settings!$B$16)</f>
        <v/>
      </c>
      <c r="M990" s="5" t="str" cm="1">
        <f t="array" ref="M990">choice(Referentiel!E:E,1,Settings!$B$16)</f>
        <v/>
      </c>
      <c r="N990" s="5" t="str" cm="1">
        <f t="array" ref="N990">choice(Settings!K:K,1,Settings!$B$16)</f>
        <v/>
      </c>
      <c r="P990" s="5">
        <f t="shared" si="64"/>
        <v>1</v>
      </c>
    </row>
    <row r="991" spans="1:16" ht="15.75" customHeight="1" x14ac:dyDescent="0.25">
      <c r="A991" s="6" t="s">
        <v>1343</v>
      </c>
      <c r="B991" s="6" cm="1">
        <f t="array" ref="B991">alea_int(Settings!$B$10,1,Settings!$B$16)</f>
        <v>2</v>
      </c>
      <c r="C991" s="8">
        <v>46023</v>
      </c>
      <c r="D991" s="8">
        <f t="shared" si="61"/>
        <v>46387</v>
      </c>
      <c r="E991" s="6" t="str" cm="1">
        <f t="array" ref="E991">choice(Groupes!A:A,1,Settings!$B$16)</f>
        <v>G25</v>
      </c>
      <c r="F991" s="6" t="str">
        <f t="shared" si="62"/>
        <v>G25</v>
      </c>
      <c r="G991" s="6" t="str">
        <f t="shared" si="63"/>
        <v>Prof49</v>
      </c>
      <c r="H991" s="6" t="str" cm="1">
        <f t="array" ref="H991">choice(Referentiel!A:A,1,Settings!$B$16)</f>
        <v>1ère année Groupe 2</v>
      </c>
      <c r="I991" s="6" t="str" cm="1">
        <f t="array" ref="I991">choice(Referentiel!B:B,1,Settings!$B$16)</f>
        <v>5ème année Design Objet S1</v>
      </c>
      <c r="J991" s="6" t="str" cm="1">
        <f t="array" ref="J991">choice(Referentiel!D:D,1,Settings!$B$16)</f>
        <v>M2</v>
      </c>
      <c r="K991" s="6" t="str" cm="1">
        <f t="array" ref="K991">choice(Professeurs!B:B,1,Settings!$B$16)</f>
        <v>Prof49</v>
      </c>
      <c r="L991" s="5" t="str" cm="1">
        <f t="array" ref="L991">choice(Referentiel!C:C,1,Settings!$B$16)</f>
        <v/>
      </c>
      <c r="M991" s="5" t="str" cm="1">
        <f t="array" ref="M991">choice(Referentiel!E:E,1,Settings!$B$16)</f>
        <v/>
      </c>
      <c r="N991" s="5" t="str" cm="1">
        <f t="array" ref="N991">choice(Settings!K:K,1,Settings!$B$16)</f>
        <v/>
      </c>
      <c r="P991" s="5">
        <f t="shared" si="64"/>
        <v>2</v>
      </c>
    </row>
    <row r="992" spans="1:16" ht="15.75" customHeight="1" x14ac:dyDescent="0.25">
      <c r="A992" s="6" t="s">
        <v>1344</v>
      </c>
      <c r="B992" s="6" cm="1">
        <f t="array" ref="B992">alea_int(Settings!$B$10,1,Settings!$B$16)</f>
        <v>3</v>
      </c>
      <c r="C992" s="8">
        <v>46023</v>
      </c>
      <c r="D992" s="8">
        <f t="shared" si="61"/>
        <v>46387</v>
      </c>
      <c r="E992" s="6" t="str" cm="1">
        <f t="array" ref="E992">choice(Groupes!A:A,1,Settings!$B$16)</f>
        <v>G9</v>
      </c>
      <c r="F992" s="6" t="str">
        <f t="shared" si="62"/>
        <v>G9</v>
      </c>
      <c r="G992" s="6" t="str">
        <f t="shared" si="63"/>
        <v>Prof39</v>
      </c>
      <c r="H992" s="6" t="str" cm="1">
        <f t="array" ref="H992">choice(Referentiel!A:A,1,Settings!$B$16)</f>
        <v>Gr SYMBIOSE</v>
      </c>
      <c r="I992" s="6" t="str" cm="1">
        <f t="array" ref="I992">choice(Referentiel!B:B,1,Settings!$B$16)</f>
        <v>4ème année Architecture Intérieure S1</v>
      </c>
      <c r="J992" s="6" t="str" cm="1">
        <f t="array" ref="J992">choice(Referentiel!D:D,1,Settings!$B$16)</f>
        <v>L1</v>
      </c>
      <c r="K992" s="6" t="str" cm="1">
        <f t="array" ref="K992">choice(Professeurs!B:B,1,Settings!$B$16)</f>
        <v>Prof39</v>
      </c>
      <c r="L992" s="5" t="str" cm="1">
        <f t="array" ref="L992">choice(Referentiel!C:C,1,Settings!$B$16)</f>
        <v/>
      </c>
      <c r="M992" s="5" t="str" cm="1">
        <f t="array" ref="M992">choice(Referentiel!E:E,1,Settings!$B$16)</f>
        <v>Salle8</v>
      </c>
      <c r="N992" s="5" t="str" cm="1">
        <f t="array" ref="N992">choice(Settings!K:K,1,Settings!$B$16)</f>
        <v/>
      </c>
      <c r="P992" s="5">
        <f t="shared" si="64"/>
        <v>5</v>
      </c>
    </row>
    <row r="993" spans="1:16" ht="15.75" customHeight="1" x14ac:dyDescent="0.25">
      <c r="A993" s="6" t="s">
        <v>1345</v>
      </c>
      <c r="B993" s="6" cm="1">
        <f t="array" ref="B993">alea_int(Settings!$B$10,1,Settings!$B$16)</f>
        <v>1</v>
      </c>
      <c r="C993" s="8">
        <v>46023</v>
      </c>
      <c r="D993" s="8">
        <f t="shared" si="61"/>
        <v>46387</v>
      </c>
      <c r="E993" s="6" t="str" cm="1">
        <f t="array" ref="E993">choice(Groupes!A:A,1,Settings!$B$16)</f>
        <v>G26</v>
      </c>
      <c r="F993" s="6" t="str">
        <f t="shared" si="62"/>
        <v>G26</v>
      </c>
      <c r="G993" s="6" t="str">
        <f t="shared" si="63"/>
        <v>Prof14</v>
      </c>
      <c r="H993" s="6" t="str" cm="1">
        <f t="array" ref="H993">choice(Referentiel!A:A,1,Settings!$B$16)</f>
        <v>Design des mondes insulaires</v>
      </c>
      <c r="I993" s="6" t="str" cm="1">
        <f t="array" ref="I993">choice(Referentiel!B:B,1,Settings!$B$16)</f>
        <v>5ème année Scénographie S2</v>
      </c>
      <c r="J993" s="6" t="str" cm="1">
        <f t="array" ref="J993">choice(Referentiel!D:D,1,Settings!$B$16)</f>
        <v>M1</v>
      </c>
      <c r="K993" s="6" t="str" cm="1">
        <f t="array" ref="K993">choice(Professeurs!B:B,1,Settings!$B$16)</f>
        <v>Prof14</v>
      </c>
      <c r="L993" s="5" t="str" cm="1">
        <f t="array" ref="L993">choice(Referentiel!C:C,1,Settings!$B$16)</f>
        <v/>
      </c>
      <c r="M993" s="5" t="str" cm="1">
        <f t="array" ref="M993">choice(Referentiel!E:E,1,Settings!$B$16)</f>
        <v/>
      </c>
      <c r="N993" s="5" t="str" cm="1">
        <f t="array" ref="N993">choice(Settings!K:K,1,Settings!$B$16)</f>
        <v/>
      </c>
      <c r="P993" s="5">
        <f t="shared" si="64"/>
        <v>1</v>
      </c>
    </row>
    <row r="994" spans="1:16" ht="15.75" customHeight="1" x14ac:dyDescent="0.25">
      <c r="A994" s="6" t="s">
        <v>1346</v>
      </c>
      <c r="B994" s="6" cm="1">
        <f t="array" ref="B994">alea_int(Settings!$B$10,1,Settings!$B$16)</f>
        <v>3</v>
      </c>
      <c r="C994" s="8">
        <v>46023</v>
      </c>
      <c r="D994" s="8">
        <f t="shared" si="61"/>
        <v>46387</v>
      </c>
      <c r="E994" s="6" t="str" cm="1">
        <f t="array" ref="E994">choice(Groupes!A:A,1,Settings!$B$16)</f>
        <v>G20</v>
      </c>
      <c r="F994" s="6" t="str">
        <f t="shared" si="62"/>
        <v>G20</v>
      </c>
      <c r="G994" s="6" t="str">
        <f t="shared" si="63"/>
        <v>Prof12</v>
      </c>
      <c r="H994" s="6" t="str" cm="1">
        <f t="array" ref="H994">choice(Referentiel!A:A,1,Settings!$B$16)</f>
        <v>Mode et Matière</v>
      </c>
      <c r="I994" s="6" t="str" cm="1">
        <f t="array" ref="I994">choice(Referentiel!B:B,1,Settings!$B$16)</f>
        <v>3ème année Design Textile et Matière S2</v>
      </c>
      <c r="J994" s="6" t="str" cm="1">
        <f t="array" ref="J994">choice(Referentiel!D:D,1,Settings!$B$16)</f>
        <v>L1</v>
      </c>
      <c r="K994" s="6" t="str" cm="1">
        <f t="array" ref="K994">choice(Professeurs!B:B,1,Settings!$B$16)</f>
        <v>Prof12</v>
      </c>
      <c r="L994" s="5" t="str" cm="1">
        <f t="array" ref="L994">choice(Referentiel!C:C,1,Settings!$B$16)</f>
        <v/>
      </c>
      <c r="M994" s="5" t="str" cm="1">
        <f t="array" ref="M994">choice(Referentiel!E:E,1,Settings!$B$16)</f>
        <v/>
      </c>
      <c r="N994" s="5" t="str" cm="1">
        <f t="array" ref="N994">choice(Settings!K:K,1,Settings!$B$16)</f>
        <v/>
      </c>
      <c r="P994" s="5">
        <f t="shared" si="64"/>
        <v>3</v>
      </c>
    </row>
    <row r="995" spans="1:16" ht="15.75" customHeight="1" x14ac:dyDescent="0.25">
      <c r="A995" s="6" t="s">
        <v>1347</v>
      </c>
      <c r="B995" s="6" cm="1">
        <f t="array" ref="B995">alea_int(Settings!$B$10,1,Settings!$B$16)</f>
        <v>1</v>
      </c>
      <c r="C995" s="8">
        <v>46023</v>
      </c>
      <c r="D995" s="8">
        <f t="shared" si="61"/>
        <v>46387</v>
      </c>
      <c r="E995" s="6" t="str" cm="1">
        <f t="array" ref="E995">choice(Groupes!A:A,1,Settings!$B$16)</f>
        <v>G6</v>
      </c>
      <c r="F995" s="6" t="str">
        <f t="shared" si="62"/>
        <v>G6</v>
      </c>
      <c r="G995" s="6" t="str">
        <f t="shared" si="63"/>
        <v>Prof1</v>
      </c>
      <c r="H995" s="6" t="str" cm="1">
        <f t="array" ref="H995">choice(Referentiel!A:A,1,Settings!$B$16)</f>
        <v>Gr SPATIAL MEDIA</v>
      </c>
      <c r="I995" s="6" t="str" cm="1">
        <f t="array" ref="I995">choice(Referentiel!B:B,1,Settings!$B$16)</f>
        <v>3ème année Scénographie S2</v>
      </c>
      <c r="J995" s="6" t="str" cm="1">
        <f t="array" ref="J995">choice(Referentiel!D:D,1,Settings!$B$16)</f>
        <v>L1</v>
      </c>
      <c r="K995" s="6" t="str" cm="1">
        <f t="array" ref="K995">choice(Professeurs!B:B,1,Settings!$B$16)</f>
        <v>Prof1</v>
      </c>
      <c r="L995" s="5" t="str" cm="1">
        <f t="array" ref="L995">choice(Referentiel!C:C,1,Settings!$B$16)</f>
        <v/>
      </c>
      <c r="M995" s="5" t="str" cm="1">
        <f t="array" ref="M995">choice(Referentiel!E:E,1,Settings!$B$16)</f>
        <v>Salle7</v>
      </c>
      <c r="N995" s="5" t="str" cm="1">
        <f t="array" ref="N995">choice(Settings!K:K,1,Settings!$B$16)</f>
        <v>lundi pm</v>
      </c>
      <c r="P995" s="5">
        <f t="shared" si="64"/>
        <v>5</v>
      </c>
    </row>
    <row r="996" spans="1:16" ht="15.75" customHeight="1" x14ac:dyDescent="0.25">
      <c r="A996" s="6" t="s">
        <v>1348</v>
      </c>
      <c r="B996" s="6" cm="1">
        <f t="array" ref="B996">alea_int(Settings!$B$10,1,Settings!$B$16)</f>
        <v>2</v>
      </c>
      <c r="C996" s="8">
        <v>46023</v>
      </c>
      <c r="D996" s="8">
        <f t="shared" si="61"/>
        <v>46387</v>
      </c>
      <c r="E996" s="6" t="str" cm="1">
        <f t="array" ref="E996">choice(Groupes!A:A,1,Settings!$B$16)</f>
        <v>G18</v>
      </c>
      <c r="F996" s="6" t="str">
        <f t="shared" si="62"/>
        <v>G18</v>
      </c>
      <c r="G996" s="6" t="str">
        <f t="shared" si="63"/>
        <v>Prof24</v>
      </c>
      <c r="H996" s="6" t="str" cm="1">
        <f t="array" ref="H996">choice(Referentiel!A:A,1,Settings!$B$16)</f>
        <v>Gr REFLECTIVE INTERACTION</v>
      </c>
      <c r="I996" s="6" t="str" cm="1">
        <f t="array" ref="I996">choice(Referentiel!B:B,1,Settings!$B$16)</f>
        <v>2ème année Design Graphique S2</v>
      </c>
      <c r="J996" s="6" t="str" cm="1">
        <f t="array" ref="J996">choice(Referentiel!D:D,1,Settings!$B$16)</f>
        <v>L2</v>
      </c>
      <c r="K996" s="6" t="str" cm="1">
        <f t="array" ref="K996">choice(Professeurs!B:B,1,Settings!$B$16)</f>
        <v>Prof24</v>
      </c>
      <c r="L996" s="5" t="str" cm="1">
        <f t="array" ref="L996">choice(Referentiel!C:C,1,Settings!$B$16)</f>
        <v/>
      </c>
      <c r="M996" s="5" t="str" cm="1">
        <f t="array" ref="M996">choice(Referentiel!E:E,1,Settings!$B$16)</f>
        <v/>
      </c>
      <c r="N996" s="5" t="str" cm="1">
        <f t="array" ref="N996">choice(Settings!K:K,1,Settings!$B$16)</f>
        <v/>
      </c>
      <c r="P996" s="5">
        <f t="shared" si="64"/>
        <v>2</v>
      </c>
    </row>
    <row r="997" spans="1:16" ht="15.75" customHeight="1" x14ac:dyDescent="0.25">
      <c r="A997" s="6" t="s">
        <v>1349</v>
      </c>
      <c r="B997" s="6" cm="1">
        <f t="array" ref="B997">alea_int(Settings!$B$10,1,Settings!$B$16)</f>
        <v>2</v>
      </c>
      <c r="C997" s="8">
        <v>46023</v>
      </c>
      <c r="D997" s="8">
        <f t="shared" si="61"/>
        <v>46387</v>
      </c>
      <c r="E997" s="6" t="str" cm="1">
        <f t="array" ref="E997">choice(Groupes!A:A,1,Settings!$B$16)</f>
        <v>G24</v>
      </c>
      <c r="F997" s="6" t="str">
        <f t="shared" si="62"/>
        <v>G24</v>
      </c>
      <c r="G997" s="6" t="str">
        <f t="shared" si="63"/>
        <v>Prof22</v>
      </c>
      <c r="H997" s="6" t="str" cm="1">
        <f t="array" ref="H997">choice(Referentiel!A:A,1,Settings!$B$16)</f>
        <v>Gr SYMBIOSE</v>
      </c>
      <c r="I997" s="6" t="str" cm="1">
        <f t="array" ref="I997">choice(Referentiel!B:B,1,Settings!$B$16)</f>
        <v>2ème année Design Vêtement S1</v>
      </c>
      <c r="J997" s="6" t="str" cm="1">
        <f t="array" ref="J997">choice(Referentiel!D:D,1,Settings!$B$16)</f>
        <v>M1</v>
      </c>
      <c r="K997" s="6" t="str" cm="1">
        <f t="array" ref="K997">choice(Professeurs!B:B,1,Settings!$B$16)</f>
        <v>Prof22</v>
      </c>
      <c r="L997" s="5" t="str" cm="1">
        <f t="array" ref="L997">choice(Referentiel!C:C,1,Settings!$B$16)</f>
        <v/>
      </c>
      <c r="M997" s="5" t="str" cm="1">
        <f t="array" ref="M997">choice(Referentiel!E:E,1,Settings!$B$16)</f>
        <v/>
      </c>
      <c r="N997" s="5" t="str" cm="1">
        <f t="array" ref="N997">choice(Settings!K:K,1,Settings!$B$16)</f>
        <v>lundi am</v>
      </c>
      <c r="P997" s="5">
        <f t="shared" si="64"/>
        <v>4</v>
      </c>
    </row>
    <row r="998" spans="1:16" ht="15.75" customHeight="1" x14ac:dyDescent="0.25">
      <c r="A998" s="6" t="s">
        <v>1350</v>
      </c>
      <c r="B998" s="6" cm="1">
        <f t="array" ref="B998">alea_int(Settings!$B$10,1,Settings!$B$16)</f>
        <v>2</v>
      </c>
      <c r="C998" s="8">
        <v>46023</v>
      </c>
      <c r="D998" s="8">
        <f t="shared" si="61"/>
        <v>46387</v>
      </c>
      <c r="E998" s="6" t="str" cm="1">
        <f t="array" ref="E998">choice(Groupes!A:A,1,Settings!$B$16)</f>
        <v>G27</v>
      </c>
      <c r="F998" s="6" t="str">
        <f t="shared" si="62"/>
        <v>G27</v>
      </c>
      <c r="G998" s="6" t="str">
        <f t="shared" si="63"/>
        <v>Prof7</v>
      </c>
      <c r="H998" s="6" t="str" cm="1">
        <f t="array" ref="H998">choice(Referentiel!A:A,1,Settings!$B$16)</f>
        <v>Design Vêtement</v>
      </c>
      <c r="I998" s="6" t="str" cm="1">
        <f t="array" ref="I998">choice(Referentiel!B:B,1,Settings!$B$16)</f>
        <v>2ème année Art-Espace S1</v>
      </c>
      <c r="J998" s="6" t="str" cm="1">
        <f t="array" ref="J998">choice(Referentiel!D:D,1,Settings!$B$16)</f>
        <v>L3</v>
      </c>
      <c r="K998" s="6" t="str" cm="1">
        <f t="array" ref="K998">choice(Professeurs!B:B,1,Settings!$B$16)</f>
        <v>Prof7</v>
      </c>
      <c r="L998" s="5" t="str" cm="1">
        <f t="array" ref="L998">choice(Referentiel!C:C,1,Settings!$B$16)</f>
        <v/>
      </c>
      <c r="M998" s="5" t="str" cm="1">
        <f t="array" ref="M998">choice(Referentiel!E:E,1,Settings!$B$16)</f>
        <v/>
      </c>
      <c r="N998" s="5" t="str" cm="1">
        <f t="array" ref="N998">choice(Settings!K:K,1,Settings!$B$16)</f>
        <v/>
      </c>
      <c r="P998" s="5">
        <f t="shared" si="64"/>
        <v>2</v>
      </c>
    </row>
    <row r="999" spans="1:16" ht="15.75" customHeight="1" x14ac:dyDescent="0.25">
      <c r="A999" s="6" t="s">
        <v>1351</v>
      </c>
      <c r="B999" s="6" cm="1">
        <f t="array" ref="B999">alea_int(Settings!$B$10,1,Settings!$B$16)</f>
        <v>1</v>
      </c>
      <c r="C999" s="8">
        <v>46023</v>
      </c>
      <c r="D999" s="8">
        <f t="shared" si="61"/>
        <v>46387</v>
      </c>
      <c r="E999" s="6" t="str" cm="1">
        <f t="array" ref="E999">choice(Groupes!A:A,1,Settings!$B$16)</f>
        <v>G17</v>
      </c>
      <c r="F999" s="6" t="str">
        <f t="shared" si="62"/>
        <v>G17</v>
      </c>
      <c r="G999" s="6" t="str">
        <f t="shared" si="63"/>
        <v>Prof21</v>
      </c>
      <c r="H999" s="6" t="str" cm="1">
        <f t="array" ref="H999">choice(Referentiel!A:A,1,Settings!$B$16)</f>
        <v>1ère année Groupe 2</v>
      </c>
      <c r="I999" s="6" t="str" cm="1">
        <f t="array" ref="I999">choice(Referentiel!B:B,1,Settings!$B$16)</f>
        <v>4ème année Design Textile et Matière S2</v>
      </c>
      <c r="J999" s="6" t="str" cm="1">
        <f t="array" ref="J999">choice(Referentiel!D:D,1,Settings!$B$16)</f>
        <v>M1</v>
      </c>
      <c r="K999" s="6" t="str" cm="1">
        <f t="array" ref="K999">choice(Professeurs!B:B,1,Settings!$B$16)</f>
        <v>Prof21</v>
      </c>
      <c r="L999" s="5" t="str" cm="1">
        <f t="array" ref="L999">choice(Referentiel!C:C,1,Settings!$B$16)</f>
        <v/>
      </c>
      <c r="M999" s="5" t="str" cm="1">
        <f t="array" ref="M999">choice(Referentiel!E:E,1,Settings!$B$16)</f>
        <v/>
      </c>
      <c r="N999" s="5" t="str" cm="1">
        <f t="array" ref="N999">choice(Settings!K:K,1,Settings!$B$16)</f>
        <v>jeudi pm</v>
      </c>
      <c r="P999" s="5">
        <f t="shared" si="64"/>
        <v>3</v>
      </c>
    </row>
    <row r="1000" spans="1:16" ht="15.75" customHeight="1" x14ac:dyDescent="0.25">
      <c r="A1000" s="6" t="s">
        <v>1352</v>
      </c>
      <c r="B1000" s="6" cm="1">
        <f t="array" ref="B1000">alea_int(Settings!$B$10,1,Settings!$B$16)</f>
        <v>1</v>
      </c>
      <c r="C1000" s="8">
        <v>46023</v>
      </c>
      <c r="D1000" s="8">
        <f t="shared" si="61"/>
        <v>46387</v>
      </c>
      <c r="E1000" s="6" t="str" cm="1">
        <f t="array" ref="E1000">choice(Groupes!A:A,1,Settings!$B$16)</f>
        <v>G24</v>
      </c>
      <c r="F1000" s="6" t="str">
        <f t="shared" si="62"/>
        <v>G24</v>
      </c>
      <c r="G1000" s="6" t="str">
        <f t="shared" si="63"/>
        <v>Prof7</v>
      </c>
      <c r="H1000" s="6" t="str" cm="1">
        <f t="array" ref="H1000">choice(Referentiel!A:A,1,Settings!$B$16)</f>
        <v>Design Vêtement</v>
      </c>
      <c r="I1000" s="6" t="str" cm="1">
        <f t="array" ref="I1000">choice(Referentiel!B:B,1,Settings!$B$16)</f>
        <v>5ème année Architecture Intérieure S1</v>
      </c>
      <c r="J1000" s="6" t="str" cm="1">
        <f t="array" ref="J1000">choice(Referentiel!D:D,1,Settings!$B$16)</f>
        <v>L2</v>
      </c>
      <c r="K1000" s="6" t="str" cm="1">
        <f t="array" ref="K1000">choice(Professeurs!B:B,1,Settings!$B$16)</f>
        <v>Prof7</v>
      </c>
      <c r="L1000" s="5" t="str" cm="1">
        <f t="array" ref="L1000">choice(Referentiel!C:C,1,Settings!$B$16)</f>
        <v/>
      </c>
      <c r="M1000" s="5" t="str" cm="1">
        <f t="array" ref="M1000">choice(Referentiel!E:E,1,Settings!$B$16)</f>
        <v>Salle2</v>
      </c>
      <c r="N1000" s="5" t="str" cm="1">
        <f t="array" ref="N1000">choice(Settings!K:K,1,Settings!$B$16)</f>
        <v>mercredi pm</v>
      </c>
      <c r="P1000" s="5">
        <f t="shared" si="64"/>
        <v>5</v>
      </c>
    </row>
    <row r="1001" spans="1:16" ht="15.75" customHeight="1" x14ac:dyDescent="0.25">
      <c r="A1001" s="6" t="s">
        <v>1353</v>
      </c>
      <c r="B1001" s="6" cm="1">
        <f t="array" ref="B1001">alea_int(Settings!$B$10,1,Settings!$B$16)</f>
        <v>3</v>
      </c>
      <c r="C1001" s="8">
        <v>46023</v>
      </c>
      <c r="D1001" s="8">
        <f t="shared" si="61"/>
        <v>46387</v>
      </c>
      <c r="E1001" s="6" t="str" cm="1">
        <f t="array" ref="E1001">choice(Groupes!A:A,1,Settings!$B$16)</f>
        <v>G12</v>
      </c>
      <c r="F1001" s="6" t="str">
        <f t="shared" si="62"/>
        <v>G12</v>
      </c>
      <c r="G1001" s="6" t="str">
        <f t="shared" si="63"/>
        <v>Prof12</v>
      </c>
      <c r="H1001" s="6" t="str" cm="1">
        <f t="array" ref="H1001">choice(Referentiel!A:A,1,Settings!$B$16)</f>
        <v>Mode et Matière</v>
      </c>
      <c r="I1001" s="6" t="str" cm="1">
        <f t="array" ref="I1001">choice(Referentiel!B:B,1,Settings!$B$16)</f>
        <v>4ème année Art-Espace S2</v>
      </c>
      <c r="J1001" s="6" t="str" cm="1">
        <f t="array" ref="J1001">choice(Referentiel!D:D,1,Settings!$B$16)</f>
        <v>L2</v>
      </c>
      <c r="K1001" s="6" t="str" cm="1">
        <f t="array" ref="K1001">choice(Professeurs!B:B,1,Settings!$B$16)</f>
        <v>Prof12</v>
      </c>
      <c r="L1001" s="5" t="str" cm="1">
        <f t="array" ref="L1001">choice(Referentiel!C:C,1,Settings!$B$16)</f>
        <v/>
      </c>
      <c r="M1001" s="5" t="str" cm="1">
        <f t="array" ref="M1001">choice(Referentiel!E:E,1,Settings!$B$16)</f>
        <v/>
      </c>
      <c r="N1001" s="5" t="str" cm="1">
        <f t="array" ref="N1001">choice(Settings!K:K,1,Settings!$B$16)</f>
        <v/>
      </c>
      <c r="P1001" s="5">
        <f t="shared" si="64"/>
        <v>3</v>
      </c>
    </row>
    <row r="1002" spans="1:16" ht="15.75" customHeight="1" x14ac:dyDescent="0.25">
      <c r="A1002" s="6" t="s">
        <v>1354</v>
      </c>
      <c r="B1002" s="6" cm="1">
        <f t="array" ref="B1002">alea_int(Settings!$B$10,1,Settings!$B$16)</f>
        <v>1</v>
      </c>
      <c r="C1002" s="8">
        <v>46023</v>
      </c>
      <c r="D1002" s="8">
        <f t="shared" si="61"/>
        <v>46387</v>
      </c>
      <c r="E1002" s="6" t="str" cm="1">
        <f t="array" ref="E1002">choice(Groupes!A:A,1,Settings!$B$16)</f>
        <v>G6</v>
      </c>
      <c r="F1002" s="6" t="str">
        <f t="shared" si="62"/>
        <v>G6</v>
      </c>
      <c r="G1002" s="6" t="str">
        <f t="shared" si="63"/>
        <v>Prof9</v>
      </c>
      <c r="H1002" s="6" t="str" cm="1">
        <f t="array" ref="H1002">choice(Referentiel!A:A,1,Settings!$B$16)</f>
        <v>Gr REFLECTIVE INTERACTION</v>
      </c>
      <c r="I1002" s="6" t="str" cm="1">
        <f t="array" ref="I1002">choice(Referentiel!B:B,1,Settings!$B$16)</f>
        <v>2ème année Cinéma d'Animation S2</v>
      </c>
      <c r="J1002" s="6" t="str" cm="1">
        <f t="array" ref="J1002">choice(Referentiel!D:D,1,Settings!$B$16)</f>
        <v>L2</v>
      </c>
      <c r="K1002" s="6" t="str" cm="1">
        <f t="array" ref="K1002">choice(Professeurs!B:B,1,Settings!$B$16)</f>
        <v>Prof9</v>
      </c>
      <c r="L1002" s="5" t="str" cm="1">
        <f t="array" ref="L1002">choice(Referentiel!C:C,1,Settings!$B$16)</f>
        <v>pupitre</v>
      </c>
      <c r="M1002" s="5" t="str" cm="1">
        <f t="array" ref="M1002">choice(Referentiel!E:E,1,Settings!$B$16)</f>
        <v/>
      </c>
      <c r="N1002" s="5" t="str" cm="1">
        <f t="array" ref="N1002">choice(Settings!K:K,1,Settings!$B$16)</f>
        <v/>
      </c>
      <c r="P1002" s="5">
        <f t="shared" si="64"/>
        <v>1</v>
      </c>
    </row>
    <row r="1003" spans="1:16" ht="15.75" customHeight="1" x14ac:dyDescent="0.25">
      <c r="A1003" s="6" t="s">
        <v>1355</v>
      </c>
      <c r="B1003" s="6" cm="1">
        <f t="array" ref="B1003">alea_int(Settings!$B$10,1,Settings!$B$16)</f>
        <v>2</v>
      </c>
      <c r="C1003" s="8">
        <v>46023</v>
      </c>
      <c r="D1003" s="8">
        <f t="shared" si="61"/>
        <v>46387</v>
      </c>
      <c r="E1003" s="6" t="str" cm="1">
        <f t="array" ref="E1003">choice(Groupes!A:A,1,Settings!$B$16)</f>
        <v>G24</v>
      </c>
      <c r="F1003" s="6" t="str">
        <f t="shared" si="62"/>
        <v>G24</v>
      </c>
      <c r="G1003" s="6" t="str">
        <f t="shared" si="63"/>
        <v>Prof10</v>
      </c>
      <c r="H1003" s="6" t="str" cm="1">
        <f t="array" ref="H1003">choice(Referentiel!A:A,1,Settings!$B$16)</f>
        <v>1ère année Groupe 4</v>
      </c>
      <c r="I1003" s="6" t="str" cm="1">
        <f t="array" ref="I1003">choice(Referentiel!B:B,1,Settings!$B$16)</f>
        <v>4ème année Design Objet S2</v>
      </c>
      <c r="J1003" s="6" t="str" cm="1">
        <f t="array" ref="J1003">choice(Referentiel!D:D,1,Settings!$B$16)</f>
        <v>M1</v>
      </c>
      <c r="K1003" s="6" t="str" cm="1">
        <f t="array" ref="K1003">choice(Professeurs!B:B,1,Settings!$B$16)</f>
        <v>Prof10</v>
      </c>
      <c r="L1003" s="5" t="str" cm="1">
        <f t="array" ref="L1003">choice(Referentiel!C:C,1,Settings!$B$16)</f>
        <v/>
      </c>
      <c r="M1003" s="5" t="str" cm="1">
        <f t="array" ref="M1003">choice(Referentiel!E:E,1,Settings!$B$16)</f>
        <v/>
      </c>
      <c r="N1003" s="5" t="str" cm="1">
        <f t="array" ref="N1003">choice(Settings!K:K,1,Settings!$B$16)</f>
        <v>vendredi am</v>
      </c>
      <c r="P1003" s="5">
        <f t="shared" si="64"/>
        <v>4</v>
      </c>
    </row>
    <row r="1004" spans="1:16" ht="15.75" customHeight="1" x14ac:dyDescent="0.25">
      <c r="A1004" s="6" t="s">
        <v>1356</v>
      </c>
      <c r="B1004" s="6" cm="1">
        <f t="array" ref="B1004">alea_int(Settings!$B$10,1,Settings!$B$16)</f>
        <v>1</v>
      </c>
      <c r="C1004" s="8">
        <v>46023</v>
      </c>
      <c r="D1004" s="8">
        <f t="shared" si="61"/>
        <v>46387</v>
      </c>
      <c r="E1004" s="6" t="str" cm="1">
        <f t="array" ref="E1004">choice(Groupes!A:A,1,Settings!$B$16)</f>
        <v>G5</v>
      </c>
      <c r="F1004" s="6" t="str">
        <f t="shared" si="62"/>
        <v>G5</v>
      </c>
      <c r="G1004" s="6" t="str">
        <f t="shared" si="63"/>
        <v>Prof44</v>
      </c>
      <c r="H1004" s="6" t="str" cm="1">
        <f t="array" ref="H1004">choice(Referentiel!A:A,1,Settings!$B$16)</f>
        <v>Scénographie</v>
      </c>
      <c r="I1004" s="6" t="str" cm="1">
        <f t="array" ref="I1004">choice(Referentiel!B:B,1,Settings!$B$16)</f>
        <v>4ème année Art-Espace S2</v>
      </c>
      <c r="J1004" s="6" t="str" cm="1">
        <f t="array" ref="J1004">choice(Referentiel!D:D,1,Settings!$B$16)</f>
        <v>M2</v>
      </c>
      <c r="K1004" s="6" t="str" cm="1">
        <f t="array" ref="K1004">choice(Professeurs!B:B,1,Settings!$B$16)</f>
        <v>Prof44</v>
      </c>
      <c r="L1004" s="5" t="str" cm="1">
        <f t="array" ref="L1004">choice(Referentiel!C:C,1,Settings!$B$16)</f>
        <v/>
      </c>
      <c r="M1004" s="5" t="str" cm="1">
        <f t="array" ref="M1004">choice(Referentiel!E:E,1,Settings!$B$16)</f>
        <v/>
      </c>
      <c r="N1004" s="5" t="str" cm="1">
        <f t="array" ref="N1004">choice(Settings!K:K,1,Settings!$B$16)</f>
        <v>mardi am</v>
      </c>
      <c r="P1004" s="5">
        <f t="shared" si="64"/>
        <v>3</v>
      </c>
    </row>
    <row r="1005" spans="1:16" ht="15.75" customHeight="1" x14ac:dyDescent="0.25">
      <c r="A1005" s="6" t="s">
        <v>1357</v>
      </c>
      <c r="B1005" s="6" cm="1">
        <f t="array" ref="B1005">alea_int(Settings!$B$10,1,Settings!$B$16)</f>
        <v>1</v>
      </c>
      <c r="C1005" s="8">
        <v>46023</v>
      </c>
      <c r="D1005" s="8">
        <f t="shared" si="61"/>
        <v>46387</v>
      </c>
      <c r="E1005" s="6" t="str" cm="1">
        <f t="array" ref="E1005">choice(Groupes!A:A,1,Settings!$B$16)</f>
        <v>G29</v>
      </c>
      <c r="F1005" s="6" t="str">
        <f t="shared" si="62"/>
        <v>G29</v>
      </c>
      <c r="G1005" s="6" t="str">
        <f t="shared" si="63"/>
        <v>Prof28</v>
      </c>
      <c r="H1005" s="6" t="str" cm="1">
        <f t="array" ref="H1005">choice(Referentiel!A:A,1,Settings!$B$16)</f>
        <v>Image Imprimée</v>
      </c>
      <c r="I1005" s="6" t="str" cm="1">
        <f t="array" ref="I1005">choice(Referentiel!B:B,1,Settings!$B$16)</f>
        <v>4ème année Design Vêtement S2</v>
      </c>
      <c r="J1005" s="6" t="str" cm="1">
        <f t="array" ref="J1005">choice(Referentiel!D:D,1,Settings!$B$16)</f>
        <v>L3</v>
      </c>
      <c r="K1005" s="6" t="str" cm="1">
        <f t="array" ref="K1005">choice(Professeurs!B:B,1,Settings!$B$16)</f>
        <v>Prof28</v>
      </c>
      <c r="L1005" s="5" t="str" cm="1">
        <f t="array" ref="L1005">choice(Referentiel!C:C,1,Settings!$B$16)</f>
        <v>fenetre</v>
      </c>
      <c r="M1005" s="5" t="str" cm="1">
        <f t="array" ref="M1005">choice(Referentiel!E:E,1,Settings!$B$16)</f>
        <v/>
      </c>
      <c r="N1005" s="5" t="str" cm="1">
        <f t="array" ref="N1005">choice(Settings!K:K,1,Settings!$B$16)</f>
        <v/>
      </c>
      <c r="P1005" s="5">
        <f t="shared" si="64"/>
        <v>1</v>
      </c>
    </row>
    <row r="1006" spans="1:16" ht="15.75" customHeight="1" x14ac:dyDescent="0.25">
      <c r="A1006" s="6" t="s">
        <v>1358</v>
      </c>
      <c r="B1006" s="6" cm="1">
        <f t="array" ref="B1006">alea_int(Settings!$B$10,1,Settings!$B$16)</f>
        <v>2</v>
      </c>
      <c r="C1006" s="8">
        <v>46023</v>
      </c>
      <c r="D1006" s="8">
        <f t="shared" si="61"/>
        <v>46387</v>
      </c>
      <c r="E1006" s="6" t="str" cm="1">
        <f t="array" ref="E1006">choice(Groupes!A:A,1,Settings!$B$16)</f>
        <v>G3</v>
      </c>
      <c r="F1006" s="6" t="str">
        <f t="shared" si="62"/>
        <v>G3</v>
      </c>
      <c r="G1006" s="6" t="str">
        <f t="shared" si="63"/>
        <v>Prof1</v>
      </c>
      <c r="H1006" s="6" t="str" cm="1">
        <f t="array" ref="H1006">choice(Referentiel!A:A,1,Settings!$B$16)</f>
        <v>1ère année Groupe 3</v>
      </c>
      <c r="I1006" s="6" t="str" cm="1">
        <f t="array" ref="I1006">choice(Referentiel!B:B,1,Settings!$B$16)</f>
        <v>5ème année Design Objet S1</v>
      </c>
      <c r="J1006" s="6" t="str" cm="1">
        <f t="array" ref="J1006">choice(Referentiel!D:D,1,Settings!$B$16)</f>
        <v>L1</v>
      </c>
      <c r="K1006" s="6" t="str" cm="1">
        <f t="array" ref="K1006">choice(Professeurs!B:B,1,Settings!$B$16)</f>
        <v>Prof1</v>
      </c>
      <c r="L1006" s="5" t="str" cm="1">
        <f t="array" ref="L1006">choice(Referentiel!C:C,1,Settings!$B$16)</f>
        <v/>
      </c>
      <c r="M1006" s="5" t="str" cm="1">
        <f t="array" ref="M1006">choice(Referentiel!E:E,1,Settings!$B$16)</f>
        <v/>
      </c>
      <c r="N1006" s="5" t="str" cm="1">
        <f t="array" ref="N1006">choice(Settings!K:K,1,Settings!$B$16)</f>
        <v/>
      </c>
      <c r="P1006" s="5">
        <f t="shared" si="64"/>
        <v>2</v>
      </c>
    </row>
    <row r="1007" spans="1:16" ht="15.75" customHeight="1" x14ac:dyDescent="0.25">
      <c r="A1007" s="6" t="s">
        <v>1359</v>
      </c>
      <c r="B1007" s="6" cm="1">
        <f t="array" ref="B1007">alea_int(Settings!$B$10,1,Settings!$B$16)</f>
        <v>2</v>
      </c>
      <c r="C1007" s="8">
        <v>46023</v>
      </c>
      <c r="D1007" s="8">
        <f t="shared" si="61"/>
        <v>46387</v>
      </c>
      <c r="E1007" s="6" t="str" cm="1">
        <f t="array" ref="E1007">choice(Groupes!A:A,1,Settings!$B$16)</f>
        <v>G1</v>
      </c>
      <c r="F1007" s="6" t="str">
        <f t="shared" si="62"/>
        <v>G1</v>
      </c>
      <c r="G1007" s="6" t="str">
        <f t="shared" si="63"/>
        <v>Prof50</v>
      </c>
      <c r="H1007" s="6" t="str" cm="1">
        <f t="array" ref="H1007">choice(Referentiel!A:A,1,Settings!$B$16)</f>
        <v>6ème année atelier</v>
      </c>
      <c r="I1007" s="6" t="str" cm="1">
        <f t="array" ref="I1007">choice(Referentiel!B:B,1,Settings!$B$16)</f>
        <v>5ème année Design Graphique S1</v>
      </c>
      <c r="J1007" s="6" t="str" cm="1">
        <f t="array" ref="J1007">choice(Referentiel!D:D,1,Settings!$B$16)</f>
        <v>M1</v>
      </c>
      <c r="K1007" s="6" t="str" cm="1">
        <f t="array" ref="K1007">choice(Professeurs!B:B,1,Settings!$B$16)</f>
        <v>Prof50</v>
      </c>
      <c r="L1007" s="5" t="str" cm="1">
        <f t="array" ref="L1007">choice(Referentiel!C:C,1,Settings!$B$16)</f>
        <v/>
      </c>
      <c r="M1007" s="5" t="str" cm="1">
        <f t="array" ref="M1007">choice(Referentiel!E:E,1,Settings!$B$16)</f>
        <v/>
      </c>
      <c r="N1007" s="5" t="str" cm="1">
        <f t="array" ref="N1007">choice(Settings!K:K,1,Settings!$B$16)</f>
        <v>mardi am</v>
      </c>
      <c r="P1007" s="5">
        <f t="shared" si="64"/>
        <v>4</v>
      </c>
    </row>
    <row r="1008" spans="1:16" ht="15.75" customHeight="1" x14ac:dyDescent="0.25">
      <c r="A1008" s="6" t="s">
        <v>1360</v>
      </c>
      <c r="B1008" s="6" cm="1">
        <f t="array" ref="B1008">alea_int(Settings!$B$10,1,Settings!$B$16)</f>
        <v>3</v>
      </c>
      <c r="C1008" s="8">
        <v>46023</v>
      </c>
      <c r="D1008" s="8">
        <f t="shared" si="61"/>
        <v>46387</v>
      </c>
      <c r="E1008" s="6" t="str" cm="1">
        <f t="array" ref="E1008">choice(Groupes!A:A,1,Settings!$B$16)</f>
        <v>G22</v>
      </c>
      <c r="F1008" s="6" t="str">
        <f t="shared" si="62"/>
        <v>G22</v>
      </c>
      <c r="G1008" s="6" t="str">
        <f t="shared" si="63"/>
        <v>Prof39</v>
      </c>
      <c r="H1008" s="6" t="str" cm="1">
        <f t="array" ref="H1008">choice(Referentiel!A:A,1,Settings!$B$16)</f>
        <v>Design Graphique</v>
      </c>
      <c r="I1008" s="6" t="str" cm="1">
        <f t="array" ref="I1008">choice(Referentiel!B:B,1,Settings!$B$16)</f>
        <v>2ème année Art-Espace S2</v>
      </c>
      <c r="J1008" s="6" t="str" cm="1">
        <f t="array" ref="J1008">choice(Referentiel!D:D,1,Settings!$B$16)</f>
        <v>L1</v>
      </c>
      <c r="K1008" s="6" t="str" cm="1">
        <f t="array" ref="K1008">choice(Professeurs!B:B,1,Settings!$B$16)</f>
        <v>Prof39</v>
      </c>
      <c r="L1008" s="5" t="str" cm="1">
        <f t="array" ref="L1008">choice(Referentiel!C:C,1,Settings!$B$16)</f>
        <v/>
      </c>
      <c r="M1008" s="5" t="str" cm="1">
        <f t="array" ref="M1008">choice(Referentiel!E:E,1,Settings!$B$16)</f>
        <v/>
      </c>
      <c r="N1008" s="5" t="str" cm="1">
        <f t="array" ref="N1008">choice(Settings!K:K,1,Settings!$B$16)</f>
        <v>jeudi am</v>
      </c>
      <c r="P1008" s="5">
        <f t="shared" si="64"/>
        <v>5</v>
      </c>
    </row>
    <row r="1009" spans="1:16" ht="15.75" customHeight="1" x14ac:dyDescent="0.25">
      <c r="A1009" s="6" t="s">
        <v>1361</v>
      </c>
      <c r="B1009" s="6" cm="1">
        <f t="array" ref="B1009">alea_int(Settings!$B$10,1,Settings!$B$16)</f>
        <v>2</v>
      </c>
      <c r="C1009" s="8">
        <v>46023</v>
      </c>
      <c r="D1009" s="8">
        <f t="shared" si="61"/>
        <v>46387</v>
      </c>
      <c r="E1009" s="6" t="str" cm="1">
        <f t="array" ref="E1009">choice(Groupes!A:A,1,Settings!$B$16)</f>
        <v>G27</v>
      </c>
      <c r="F1009" s="6" t="str">
        <f t="shared" si="62"/>
        <v>G27</v>
      </c>
      <c r="G1009" s="6" t="str">
        <f t="shared" si="63"/>
        <v>Prof4</v>
      </c>
      <c r="H1009" s="6" t="str" cm="1">
        <f t="array" ref="H1009">choice(Referentiel!A:A,1,Settings!$B$16)</f>
        <v>Gr REFLECTIVE INTERACTION</v>
      </c>
      <c r="I1009" s="6" t="str" cm="1">
        <f t="array" ref="I1009">choice(Referentiel!B:B,1,Settings!$B$16)</f>
        <v>3ème année Photo / Vidéo S1</v>
      </c>
      <c r="J1009" s="6" t="str" cm="1">
        <f t="array" ref="J1009">choice(Referentiel!D:D,1,Settings!$B$16)</f>
        <v>L1</v>
      </c>
      <c r="K1009" s="6" t="str" cm="1">
        <f t="array" ref="K1009">choice(Professeurs!B:B,1,Settings!$B$16)</f>
        <v>Prof4</v>
      </c>
      <c r="L1009" s="5" t="str" cm="1">
        <f t="array" ref="L1009">choice(Referentiel!C:C,1,Settings!$B$16)</f>
        <v/>
      </c>
      <c r="M1009" s="5" t="str" cm="1">
        <f t="array" ref="M1009">choice(Referentiel!E:E,1,Settings!$B$16)</f>
        <v/>
      </c>
      <c r="N1009" s="5" t="str" cm="1">
        <f t="array" ref="N1009">choice(Settings!K:K,1,Settings!$B$16)</f>
        <v>lundi pm</v>
      </c>
      <c r="P1009" s="5">
        <f t="shared" si="64"/>
        <v>4</v>
      </c>
    </row>
    <row r="1010" spans="1:16" ht="15.75" customHeight="1" x14ac:dyDescent="0.25">
      <c r="A1010" s="6" t="s">
        <v>1362</v>
      </c>
      <c r="B1010" s="6" cm="1">
        <f t="array" ref="B1010">alea_int(Settings!$B$10,1,Settings!$B$16)</f>
        <v>1</v>
      </c>
      <c r="C1010" s="8">
        <v>46023</v>
      </c>
      <c r="D1010" s="8">
        <f t="shared" si="61"/>
        <v>46387</v>
      </c>
      <c r="E1010" s="6" t="str" cm="1">
        <f t="array" ref="E1010">choice(Groupes!A:A,1,Settings!$B$16)</f>
        <v>G29</v>
      </c>
      <c r="F1010" s="6" t="str">
        <f t="shared" si="62"/>
        <v>G29</v>
      </c>
      <c r="G1010" s="6" t="str">
        <f t="shared" si="63"/>
        <v>Prof23</v>
      </c>
      <c r="H1010" s="6" t="str" cm="1">
        <f t="array" ref="H1010">choice(Referentiel!A:A,1,Settings!$B$16)</f>
        <v>Art-Espace</v>
      </c>
      <c r="I1010" s="6" t="str" cm="1">
        <f t="array" ref="I1010">choice(Referentiel!B:B,1,Settings!$B$16)</f>
        <v>5ème année Design Graphique S1</v>
      </c>
      <c r="J1010" s="6" t="str" cm="1">
        <f t="array" ref="J1010">choice(Referentiel!D:D,1,Settings!$B$16)</f>
        <v>M2</v>
      </c>
      <c r="K1010" s="6" t="str" cm="1">
        <f t="array" ref="K1010">choice(Professeurs!B:B,1,Settings!$B$16)</f>
        <v>Prof23</v>
      </c>
      <c r="L1010" s="5" t="str" cm="1">
        <f t="array" ref="L1010">choice(Referentiel!C:C,1,Settings!$B$16)</f>
        <v/>
      </c>
      <c r="M1010" s="5" t="str" cm="1">
        <f t="array" ref="M1010">choice(Referentiel!E:E,1,Settings!$B$16)</f>
        <v/>
      </c>
      <c r="N1010" s="5" t="str" cm="1">
        <f t="array" ref="N1010">choice(Settings!K:K,1,Settings!$B$16)</f>
        <v>lundi pm</v>
      </c>
      <c r="P1010" s="5">
        <f t="shared" si="64"/>
        <v>3</v>
      </c>
    </row>
    <row r="1011" spans="1:16" ht="15.75" customHeight="1" x14ac:dyDescent="0.25">
      <c r="A1011" s="6" t="s">
        <v>1363</v>
      </c>
      <c r="B1011" s="6" cm="1">
        <f t="array" ref="B1011">alea_int(Settings!$B$10,1,Settings!$B$16)</f>
        <v>3</v>
      </c>
      <c r="C1011" s="8">
        <v>46023</v>
      </c>
      <c r="D1011" s="8">
        <f t="shared" si="61"/>
        <v>46387</v>
      </c>
      <c r="E1011" s="6" t="str" cm="1">
        <f t="array" ref="E1011">choice(Groupes!A:A,1,Settings!$B$16)</f>
        <v>G9</v>
      </c>
      <c r="F1011" s="6" t="str">
        <f t="shared" si="62"/>
        <v>G9</v>
      </c>
      <c r="G1011" s="6" t="str">
        <f t="shared" si="63"/>
        <v>Prof19</v>
      </c>
      <c r="H1011" s="6" t="str" cm="1">
        <f t="array" ref="H1011">choice(Referentiel!A:A,1,Settings!$B$16)</f>
        <v>1ère année Groupe 1</v>
      </c>
      <c r="I1011" s="6" t="str" cm="1">
        <f t="array" ref="I1011">choice(Referentiel!B:B,1,Settings!$B$16)</f>
        <v>5ème année Design Objet S2</v>
      </c>
      <c r="J1011" s="6" t="str" cm="1">
        <f t="array" ref="J1011">choice(Referentiel!D:D,1,Settings!$B$16)</f>
        <v>L3</v>
      </c>
      <c r="K1011" s="6" t="str" cm="1">
        <f t="array" ref="K1011">choice(Professeurs!B:B,1,Settings!$B$16)</f>
        <v>Prof19</v>
      </c>
      <c r="L1011" s="5" t="str" cm="1">
        <f t="array" ref="L1011">choice(Referentiel!C:C,1,Settings!$B$16)</f>
        <v/>
      </c>
      <c r="M1011" s="5" t="str" cm="1">
        <f t="array" ref="M1011">choice(Referentiel!E:E,1,Settings!$B$16)</f>
        <v/>
      </c>
      <c r="N1011" s="5" t="str" cm="1">
        <f t="array" ref="N1011">choice(Settings!K:K,1,Settings!$B$16)</f>
        <v/>
      </c>
      <c r="P1011" s="5">
        <f t="shared" si="64"/>
        <v>3</v>
      </c>
    </row>
    <row r="1012" spans="1:16" ht="15.75" customHeight="1" x14ac:dyDescent="0.25">
      <c r="A1012" s="6" t="s">
        <v>1364</v>
      </c>
      <c r="B1012" s="6" cm="1">
        <f t="array" ref="B1012">alea_int(Settings!$B$10,1,Settings!$B$16)</f>
        <v>3</v>
      </c>
      <c r="C1012" s="8">
        <v>46023</v>
      </c>
      <c r="D1012" s="8">
        <f t="shared" si="61"/>
        <v>46387</v>
      </c>
      <c r="E1012" s="6" t="str" cm="1">
        <f t="array" ref="E1012">choice(Groupes!A:A,1,Settings!$B$16)</f>
        <v>G11</v>
      </c>
      <c r="F1012" s="6" t="str">
        <f t="shared" si="62"/>
        <v>G11</v>
      </c>
      <c r="G1012" s="6" t="str">
        <f t="shared" si="63"/>
        <v>Prof47</v>
      </c>
      <c r="H1012" s="6" t="str" cm="1">
        <f t="array" ref="H1012">choice(Referentiel!A:A,1,Settings!$B$16)</f>
        <v>Design des mondes ruraux</v>
      </c>
      <c r="I1012" s="6" t="str" cm="1">
        <f t="array" ref="I1012">choice(Referentiel!B:B,1,Settings!$B$16)</f>
        <v>1ère Année Groupe 3 S2</v>
      </c>
      <c r="J1012" s="6" t="str" cm="1">
        <f t="array" ref="J1012">choice(Referentiel!D:D,1,Settings!$B$16)</f>
        <v>L1</v>
      </c>
      <c r="K1012" s="6" t="str" cm="1">
        <f t="array" ref="K1012">choice(Professeurs!B:B,1,Settings!$B$16)</f>
        <v>Prof47</v>
      </c>
      <c r="L1012" s="5" t="str" cm="1">
        <f t="array" ref="L1012">choice(Referentiel!C:C,1,Settings!$B$16)</f>
        <v/>
      </c>
      <c r="M1012" s="5" t="str" cm="1">
        <f t="array" ref="M1012">choice(Referentiel!E:E,1,Settings!$B$16)</f>
        <v/>
      </c>
      <c r="N1012" s="5" t="str" cm="1">
        <f t="array" ref="N1012">choice(Settings!K:K,1,Settings!$B$16)</f>
        <v>vendredi pm</v>
      </c>
      <c r="P1012" s="5">
        <f t="shared" si="64"/>
        <v>5</v>
      </c>
    </row>
    <row r="1013" spans="1:16" ht="15.75" customHeight="1" x14ac:dyDescent="0.25">
      <c r="A1013" s="6" t="s">
        <v>1365</v>
      </c>
      <c r="B1013" s="6" cm="1">
        <f t="array" ref="B1013">alea_int(Settings!$B$10,1,Settings!$B$16)</f>
        <v>1</v>
      </c>
      <c r="C1013" s="8">
        <v>46023</v>
      </c>
      <c r="D1013" s="8">
        <f t="shared" si="61"/>
        <v>46387</v>
      </c>
      <c r="E1013" s="6" t="str" cm="1">
        <f t="array" ref="E1013">choice(Groupes!A:A,1,Settings!$B$16)</f>
        <v>G8</v>
      </c>
      <c r="F1013" s="6" t="str">
        <f t="shared" si="62"/>
        <v>G8</v>
      </c>
      <c r="G1013" s="6" t="str">
        <f t="shared" si="63"/>
        <v>Prof43</v>
      </c>
      <c r="H1013" s="6" t="str" cm="1">
        <f t="array" ref="H1013">choice(Referentiel!A:A,1,Settings!$B$16)</f>
        <v>1ère année Groupe 1</v>
      </c>
      <c r="I1013" s="6" t="str" cm="1">
        <f t="array" ref="I1013">choice(Referentiel!B:B,1,Settings!$B$16)</f>
        <v>4ème année Design Textile et Matière S2</v>
      </c>
      <c r="J1013" s="6" t="str" cm="1">
        <f t="array" ref="J1013">choice(Referentiel!D:D,1,Settings!$B$16)</f>
        <v>L2</v>
      </c>
      <c r="K1013" s="6" t="str" cm="1">
        <f t="array" ref="K1013">choice(Professeurs!B:B,1,Settings!$B$16)</f>
        <v>Prof43</v>
      </c>
      <c r="L1013" s="5" t="str" cm="1">
        <f t="array" ref="L1013">choice(Referentiel!C:C,1,Settings!$B$16)</f>
        <v/>
      </c>
      <c r="M1013" s="5" t="str" cm="1">
        <f t="array" ref="M1013">choice(Referentiel!E:E,1,Settings!$B$16)</f>
        <v/>
      </c>
      <c r="N1013" s="5" t="str" cm="1">
        <f t="array" ref="N1013">choice(Settings!K:K,1,Settings!$B$16)</f>
        <v>semaine</v>
      </c>
      <c r="P1013" s="5">
        <f t="shared" si="64"/>
        <v>3</v>
      </c>
    </row>
    <row r="1014" spans="1:16" ht="15.75" customHeight="1" x14ac:dyDescent="0.25">
      <c r="A1014" s="6" t="s">
        <v>1366</v>
      </c>
      <c r="B1014" s="6" cm="1">
        <f t="array" ref="B1014">alea_int(Settings!$B$10,1,Settings!$B$16)</f>
        <v>2</v>
      </c>
      <c r="C1014" s="8">
        <v>46023</v>
      </c>
      <c r="D1014" s="8">
        <f t="shared" si="61"/>
        <v>46387</v>
      </c>
      <c r="E1014" s="6" t="str" cm="1">
        <f t="array" ref="E1014">choice(Groupes!A:A,1,Settings!$B$16)</f>
        <v>G13</v>
      </c>
      <c r="F1014" s="6" t="str">
        <f t="shared" si="62"/>
        <v>G13</v>
      </c>
      <c r="G1014" s="6" t="str">
        <f t="shared" si="63"/>
        <v>Prof50</v>
      </c>
      <c r="H1014" s="6" t="str" cm="1">
        <f t="array" ref="H1014">choice(Referentiel!A:A,1,Settings!$B$16)</f>
        <v>Design Objet</v>
      </c>
      <c r="I1014" s="6" t="str" cm="1">
        <f t="array" ref="I1014">choice(Referentiel!B:B,1,Settings!$B$16)</f>
        <v>1ère Année Groupe 3 S2</v>
      </c>
      <c r="J1014" s="6" t="str" cm="1">
        <f t="array" ref="J1014">choice(Referentiel!D:D,1,Settings!$B$16)</f>
        <v>L1</v>
      </c>
      <c r="K1014" s="6" t="str" cm="1">
        <f t="array" ref="K1014">choice(Professeurs!B:B,1,Settings!$B$16)</f>
        <v>Prof50</v>
      </c>
      <c r="L1014" s="5" t="str" cm="1">
        <f t="array" ref="L1014">choice(Referentiel!C:C,1,Settings!$B$16)</f>
        <v/>
      </c>
      <c r="M1014" s="5" t="str" cm="1">
        <f t="array" ref="M1014">choice(Referentiel!E:E,1,Settings!$B$16)</f>
        <v/>
      </c>
      <c r="N1014" s="5" t="str" cm="1">
        <f t="array" ref="N1014">choice(Settings!K:K,1,Settings!$B$16)</f>
        <v/>
      </c>
      <c r="P1014" s="5">
        <f t="shared" si="64"/>
        <v>2</v>
      </c>
    </row>
    <row r="1015" spans="1:16" ht="15.75" customHeight="1" x14ac:dyDescent="0.25">
      <c r="A1015" s="6" t="s">
        <v>1367</v>
      </c>
      <c r="B1015" s="6" cm="1">
        <f t="array" ref="B1015">alea_int(Settings!$B$10,1,Settings!$B$16)</f>
        <v>1</v>
      </c>
      <c r="C1015" s="8">
        <v>46023</v>
      </c>
      <c r="D1015" s="8">
        <f t="shared" si="61"/>
        <v>46387</v>
      </c>
      <c r="E1015" s="6" t="str" cm="1">
        <f t="array" ref="E1015">choice(Groupes!A:A,1,Settings!$B$16)</f>
        <v>G11</v>
      </c>
      <c r="F1015" s="6" t="str">
        <f t="shared" si="62"/>
        <v>G11</v>
      </c>
      <c r="G1015" s="6" t="str">
        <f t="shared" si="63"/>
        <v>Prof4</v>
      </c>
      <c r="H1015" s="6" t="str" cm="1">
        <f t="array" ref="H1015">choice(Referentiel!A:A,1,Settings!$B$16)</f>
        <v>Mode et Matière</v>
      </c>
      <c r="I1015" s="6" t="str" cm="1">
        <f t="array" ref="I1015">choice(Referentiel!B:B,1,Settings!$B$16)</f>
        <v>4ème année Cinéma d'Animation S2</v>
      </c>
      <c r="J1015" s="6" t="str" cm="1">
        <f t="array" ref="J1015">choice(Referentiel!D:D,1,Settings!$B$16)</f>
        <v>L2</v>
      </c>
      <c r="K1015" s="6" t="str" cm="1">
        <f t="array" ref="K1015">choice(Professeurs!B:B,1,Settings!$B$16)</f>
        <v>Prof4</v>
      </c>
      <c r="L1015" s="5" t="str" cm="1">
        <f t="array" ref="L1015">choice(Referentiel!C:C,1,Settings!$B$16)</f>
        <v/>
      </c>
      <c r="M1015" s="5" t="str" cm="1">
        <f t="array" ref="M1015">choice(Referentiel!E:E,1,Settings!$B$16)</f>
        <v/>
      </c>
      <c r="N1015" s="5" t="str" cm="1">
        <f t="array" ref="N1015">choice(Settings!K:K,1,Settings!$B$16)</f>
        <v/>
      </c>
      <c r="P1015" s="5">
        <f t="shared" si="64"/>
        <v>1</v>
      </c>
    </row>
    <row r="1016" spans="1:16" ht="15.75" customHeight="1" x14ac:dyDescent="0.25">
      <c r="A1016" s="6" t="s">
        <v>1368</v>
      </c>
      <c r="B1016" s="6" cm="1">
        <f t="array" ref="B1016">alea_int(Settings!$B$10,1,Settings!$B$16)</f>
        <v>3</v>
      </c>
      <c r="C1016" s="8">
        <v>46023</v>
      </c>
      <c r="D1016" s="8">
        <f t="shared" si="61"/>
        <v>46387</v>
      </c>
      <c r="E1016" s="6" t="str" cm="1">
        <f t="array" ref="E1016">choice(Groupes!A:A,1,Settings!$B$16)</f>
        <v>G19</v>
      </c>
      <c r="F1016" s="6" t="str">
        <f t="shared" si="62"/>
        <v>G19</v>
      </c>
      <c r="G1016" s="6" t="str">
        <f t="shared" si="63"/>
        <v>Prof17</v>
      </c>
      <c r="H1016" s="6" t="str" cm="1">
        <f t="array" ref="H1016">choice(Referentiel!A:A,1,Settings!$B$16)</f>
        <v>Design des mondes insulaires</v>
      </c>
      <c r="I1016" s="6" t="str" cm="1">
        <f t="array" ref="I1016">choice(Referentiel!B:B,1,Settings!$B$16)</f>
        <v>1ère Année Groupe 1 S1</v>
      </c>
      <c r="J1016" s="6" t="str" cm="1">
        <f t="array" ref="J1016">choice(Referentiel!D:D,1,Settings!$B$16)</f>
        <v>L1</v>
      </c>
      <c r="K1016" s="6" t="str" cm="1">
        <f t="array" ref="K1016">choice(Professeurs!B:B,1,Settings!$B$16)</f>
        <v>Prof17</v>
      </c>
      <c r="L1016" s="5" t="str" cm="1">
        <f t="array" ref="L1016">choice(Referentiel!C:C,1,Settings!$B$16)</f>
        <v/>
      </c>
      <c r="M1016" s="5" t="str" cm="1">
        <f t="array" ref="M1016">choice(Referentiel!E:E,1,Settings!$B$16)</f>
        <v/>
      </c>
      <c r="N1016" s="5" t="str" cm="1">
        <f t="array" ref="N1016">choice(Settings!K:K,1,Settings!$B$16)</f>
        <v/>
      </c>
      <c r="P1016" s="5">
        <f t="shared" si="64"/>
        <v>3</v>
      </c>
    </row>
    <row r="1017" spans="1:16" ht="15.75" customHeight="1" x14ac:dyDescent="0.25">
      <c r="A1017" s="6" t="s">
        <v>1369</v>
      </c>
      <c r="B1017" s="6" cm="1">
        <f t="array" ref="B1017">alea_int(Settings!$B$10,1,Settings!$B$16)</f>
        <v>2</v>
      </c>
      <c r="C1017" s="8">
        <v>46023</v>
      </c>
      <c r="D1017" s="8">
        <f t="shared" si="61"/>
        <v>46387</v>
      </c>
      <c r="E1017" s="6" t="str" cm="1">
        <f t="array" ref="E1017">choice(Groupes!A:A,1,Settings!$B$16)</f>
        <v>G10</v>
      </c>
      <c r="F1017" s="6" t="str">
        <f t="shared" si="62"/>
        <v>G10</v>
      </c>
      <c r="G1017" s="6" t="str">
        <f t="shared" si="63"/>
        <v>Prof21</v>
      </c>
      <c r="H1017" s="6" t="str" cm="1">
        <f t="array" ref="H1017">choice(Referentiel!A:A,1,Settings!$B$16)</f>
        <v>Design des mondes forestiers</v>
      </c>
      <c r="I1017" s="6" t="str" cm="1">
        <f t="array" ref="I1017">choice(Referentiel!B:B,1,Settings!$B$16)</f>
        <v>5ème année Design Textile et Matière S1</v>
      </c>
      <c r="J1017" s="6" t="str" cm="1">
        <f t="array" ref="J1017">choice(Referentiel!D:D,1,Settings!$B$16)</f>
        <v>M2</v>
      </c>
      <c r="K1017" s="6" t="str" cm="1">
        <f t="array" ref="K1017">choice(Professeurs!B:B,1,Settings!$B$16)</f>
        <v>Prof21</v>
      </c>
      <c r="L1017" s="5" t="str" cm="1">
        <f t="array" ref="L1017">choice(Referentiel!C:C,1,Settings!$B$16)</f>
        <v/>
      </c>
      <c r="M1017" s="5" t="str" cm="1">
        <f t="array" ref="M1017">choice(Referentiel!E:E,1,Settings!$B$16)</f>
        <v/>
      </c>
      <c r="N1017" s="5" t="str" cm="1">
        <f t="array" ref="N1017">choice(Settings!K:K,1,Settings!$B$16)</f>
        <v>lundi am</v>
      </c>
      <c r="P1017" s="5">
        <f t="shared" si="64"/>
        <v>4</v>
      </c>
    </row>
    <row r="1018" spans="1:16" ht="15.75" customHeight="1" x14ac:dyDescent="0.25">
      <c r="A1018" s="6" t="s">
        <v>1370</v>
      </c>
      <c r="B1018" s="6" cm="1">
        <f t="array" ref="B1018">alea_int(Settings!$B$10,1,Settings!$B$16)</f>
        <v>2</v>
      </c>
      <c r="C1018" s="8">
        <v>46023</v>
      </c>
      <c r="D1018" s="8">
        <f t="shared" si="61"/>
        <v>46387</v>
      </c>
      <c r="E1018" s="6" t="str" cm="1">
        <f t="array" ref="E1018">choice(Groupes!A:A,1,Settings!$B$16)</f>
        <v>G7</v>
      </c>
      <c r="F1018" s="6" t="str">
        <f t="shared" si="62"/>
        <v>G7</v>
      </c>
      <c r="G1018" s="6" t="str">
        <f t="shared" si="63"/>
        <v>Prof4</v>
      </c>
      <c r="H1018" s="6" t="str" cm="1">
        <f t="array" ref="H1018">choice(Referentiel!A:A,1,Settings!$B$16)</f>
        <v>Design des mondes ruraux</v>
      </c>
      <c r="I1018" s="6" t="str" cm="1">
        <f t="array" ref="I1018">choice(Referentiel!B:B,1,Settings!$B$16)</f>
        <v>3ème année Design Graphique S1</v>
      </c>
      <c r="J1018" s="6" t="str" cm="1">
        <f t="array" ref="J1018">choice(Referentiel!D:D,1,Settings!$B$16)</f>
        <v>L2</v>
      </c>
      <c r="K1018" s="6" t="str" cm="1">
        <f t="array" ref="K1018">choice(Professeurs!B:B,1,Settings!$B$16)</f>
        <v>Prof4</v>
      </c>
      <c r="L1018" s="5" t="str" cm="1">
        <f t="array" ref="L1018">choice(Referentiel!C:C,1,Settings!$B$16)</f>
        <v/>
      </c>
      <c r="M1018" s="5" t="str" cm="1">
        <f t="array" ref="M1018">choice(Referentiel!E:E,1,Settings!$B$16)</f>
        <v/>
      </c>
      <c r="N1018" s="5" t="str" cm="1">
        <f t="array" ref="N1018">choice(Settings!K:K,1,Settings!$B$16)</f>
        <v>mercredi pm</v>
      </c>
      <c r="P1018" s="5">
        <f t="shared" si="64"/>
        <v>4</v>
      </c>
    </row>
    <row r="1019" spans="1:16" ht="15.75" customHeight="1" x14ac:dyDescent="0.25">
      <c r="A1019" s="6" t="s">
        <v>1371</v>
      </c>
      <c r="B1019" s="6" cm="1">
        <f t="array" ref="B1019">alea_int(Settings!$B$10,1,Settings!$B$16)</f>
        <v>1</v>
      </c>
      <c r="C1019" s="8">
        <v>46023</v>
      </c>
      <c r="D1019" s="8">
        <f t="shared" si="61"/>
        <v>46387</v>
      </c>
      <c r="E1019" s="6" t="str" cm="1">
        <f t="array" ref="E1019">choice(Groupes!A:A,1,Settings!$B$16)</f>
        <v>G18</v>
      </c>
      <c r="F1019" s="6" t="str">
        <f t="shared" si="62"/>
        <v>G18</v>
      </c>
      <c r="G1019" s="6" t="str">
        <f t="shared" si="63"/>
        <v>Prof4</v>
      </c>
      <c r="H1019" s="6" t="str" cm="1">
        <f t="array" ref="H1019">choice(Referentiel!A:A,1,Settings!$B$16)</f>
        <v>Scénographie</v>
      </c>
      <c r="I1019" s="6" t="str" cm="1">
        <f t="array" ref="I1019">choice(Referentiel!B:B,1,Settings!$B$16)</f>
        <v>5ème année Architecture Intérieure S1</v>
      </c>
      <c r="J1019" s="6" t="str" cm="1">
        <f t="array" ref="J1019">choice(Referentiel!D:D,1,Settings!$B$16)</f>
        <v>M1</v>
      </c>
      <c r="K1019" s="6" t="str" cm="1">
        <f t="array" ref="K1019">choice(Professeurs!B:B,1,Settings!$B$16)</f>
        <v>Prof4</v>
      </c>
      <c r="L1019" s="5" t="str" cm="1">
        <f t="array" ref="L1019">choice(Referentiel!C:C,1,Settings!$B$16)</f>
        <v/>
      </c>
      <c r="M1019" s="5" t="str" cm="1">
        <f t="array" ref="M1019">choice(Referentiel!E:E,1,Settings!$B$16)</f>
        <v/>
      </c>
      <c r="N1019" s="5" t="str" cm="1">
        <f t="array" ref="N1019">choice(Settings!K:K,1,Settings!$B$16)</f>
        <v/>
      </c>
      <c r="P1019" s="5">
        <f t="shared" si="64"/>
        <v>1</v>
      </c>
    </row>
    <row r="1020" spans="1:16" ht="15.75" customHeight="1" x14ac:dyDescent="0.25">
      <c r="A1020" s="6" t="s">
        <v>1372</v>
      </c>
      <c r="B1020" s="6" cm="1">
        <f t="array" ref="B1020">alea_int(Settings!$B$10,1,Settings!$B$16)</f>
        <v>1</v>
      </c>
      <c r="C1020" s="8">
        <v>46023</v>
      </c>
      <c r="D1020" s="8">
        <f t="shared" si="61"/>
        <v>46387</v>
      </c>
      <c r="E1020" s="6" t="str" cm="1">
        <f t="array" ref="E1020">choice(Groupes!A:A,1,Settings!$B$16)</f>
        <v>G13</v>
      </c>
      <c r="F1020" s="6" t="str">
        <f t="shared" si="62"/>
        <v>G13</v>
      </c>
      <c r="G1020" s="6" t="str">
        <f t="shared" si="63"/>
        <v>Prof29</v>
      </c>
      <c r="H1020" s="6" t="str" cm="1">
        <f t="array" ref="H1020">choice(Referentiel!A:A,1,Settings!$B$16)</f>
        <v>Design Graphique</v>
      </c>
      <c r="I1020" s="6" t="str" cm="1">
        <f t="array" ref="I1020">choice(Referentiel!B:B,1,Settings!$B$16)</f>
        <v>2ème année Design Objet S2</v>
      </c>
      <c r="J1020" s="6" t="str" cm="1">
        <f t="array" ref="J1020">choice(Referentiel!D:D,1,Settings!$B$16)</f>
        <v>L2</v>
      </c>
      <c r="K1020" s="6" t="str" cm="1">
        <f t="array" ref="K1020">choice(Professeurs!B:B,1,Settings!$B$16)</f>
        <v>Prof29</v>
      </c>
      <c r="L1020" s="5" t="str" cm="1">
        <f t="array" ref="L1020">choice(Referentiel!C:C,1,Settings!$B$16)</f>
        <v/>
      </c>
      <c r="M1020" s="5" t="str" cm="1">
        <f t="array" ref="M1020">choice(Referentiel!E:E,1,Settings!$B$16)</f>
        <v/>
      </c>
      <c r="N1020" s="5" t="str" cm="1">
        <f t="array" ref="N1020">choice(Settings!K:K,1,Settings!$B$16)</f>
        <v>lundi pm</v>
      </c>
      <c r="P1020" s="5">
        <f t="shared" si="64"/>
        <v>3</v>
      </c>
    </row>
    <row r="1021" spans="1:16" ht="15.75" customHeight="1" x14ac:dyDescent="0.25">
      <c r="A1021" s="6" t="s">
        <v>1373</v>
      </c>
      <c r="B1021" s="6" cm="1">
        <f t="array" ref="B1021">alea_int(Settings!$B$10,1,Settings!$B$16)</f>
        <v>1</v>
      </c>
      <c r="C1021" s="8">
        <v>46023</v>
      </c>
      <c r="D1021" s="8">
        <f t="shared" si="61"/>
        <v>46387</v>
      </c>
      <c r="E1021" s="6" t="str" cm="1">
        <f t="array" ref="E1021">choice(Groupes!A:A,1,Settings!$B$16)</f>
        <v>G2</v>
      </c>
      <c r="F1021" s="6" t="str">
        <f t="shared" si="62"/>
        <v>G2</v>
      </c>
      <c r="G1021" s="6" t="str">
        <f t="shared" si="63"/>
        <v>Prof50</v>
      </c>
      <c r="H1021" s="6" t="str" cm="1">
        <f t="array" ref="H1021">choice(Referentiel!A:A,1,Settings!$B$16)</f>
        <v>6ème ANNÉE STAGE</v>
      </c>
      <c r="I1021" s="6" t="str" cm="1">
        <f t="array" ref="I1021">choice(Referentiel!B:B,1,Settings!$B$16)</f>
        <v>2ème année Design Graphique S2</v>
      </c>
      <c r="J1021" s="6" t="str" cm="1">
        <f t="array" ref="J1021">choice(Referentiel!D:D,1,Settings!$B$16)</f>
        <v>M1</v>
      </c>
      <c r="K1021" s="6" t="str" cm="1">
        <f t="array" ref="K1021">choice(Professeurs!B:B,1,Settings!$B$16)</f>
        <v>Prof50</v>
      </c>
      <c r="L1021" s="5" t="str" cm="1">
        <f t="array" ref="L1021">choice(Referentiel!C:C,1,Settings!$B$16)</f>
        <v/>
      </c>
      <c r="M1021" s="5" t="str" cm="1">
        <f t="array" ref="M1021">choice(Referentiel!E:E,1,Settings!$B$16)</f>
        <v/>
      </c>
      <c r="N1021" s="5" t="str" cm="1">
        <f t="array" ref="N1021">choice(Settings!K:K,1,Settings!$B$16)</f>
        <v/>
      </c>
      <c r="P1021" s="5">
        <f t="shared" si="64"/>
        <v>1</v>
      </c>
    </row>
    <row r="1022" spans="1:16" ht="15.75" customHeight="1" x14ac:dyDescent="0.25">
      <c r="A1022" s="6" t="s">
        <v>1374</v>
      </c>
      <c r="B1022" s="6" cm="1">
        <f t="array" ref="B1022">alea_int(Settings!$B$10,1,Settings!$B$16)</f>
        <v>3</v>
      </c>
      <c r="C1022" s="8">
        <v>46023</v>
      </c>
      <c r="D1022" s="8">
        <f t="shared" si="61"/>
        <v>46387</v>
      </c>
      <c r="E1022" s="6" t="str" cm="1">
        <f t="array" ref="E1022">choice(Groupes!A:A,1,Settings!$B$16)</f>
        <v>G16</v>
      </c>
      <c r="F1022" s="6" t="str">
        <f t="shared" si="62"/>
        <v>G16</v>
      </c>
      <c r="G1022" s="6" t="str">
        <f t="shared" si="63"/>
        <v>Prof55</v>
      </c>
      <c r="H1022" s="6" t="str" cm="1">
        <f t="array" ref="H1022">choice(Referentiel!A:A,1,Settings!$B$16)</f>
        <v>6ème année atelier</v>
      </c>
      <c r="I1022" s="6" t="str" cm="1">
        <f t="array" ref="I1022">choice(Referentiel!B:B,1,Settings!$B$16)</f>
        <v>2ème année Architecture Intérieure S2</v>
      </c>
      <c r="J1022" s="6" t="str" cm="1">
        <f t="array" ref="J1022">choice(Referentiel!D:D,1,Settings!$B$16)</f>
        <v>L2</v>
      </c>
      <c r="K1022" s="6" t="str" cm="1">
        <f t="array" ref="K1022">choice(Professeurs!B:B,1,Settings!$B$16)</f>
        <v>Prof55</v>
      </c>
      <c r="L1022" s="5" t="str" cm="1">
        <f t="array" ref="L1022">choice(Referentiel!C:C,1,Settings!$B$16)</f>
        <v>fenetre</v>
      </c>
      <c r="M1022" s="5" t="str" cm="1">
        <f t="array" ref="M1022">choice(Referentiel!E:E,1,Settings!$B$16)</f>
        <v/>
      </c>
      <c r="N1022" s="5" t="str" cm="1">
        <f t="array" ref="N1022">choice(Settings!K:K,1,Settings!$B$16)</f>
        <v/>
      </c>
      <c r="P1022" s="5">
        <f t="shared" si="64"/>
        <v>3</v>
      </c>
    </row>
    <row r="1023" spans="1:16" ht="15.75" customHeight="1" x14ac:dyDescent="0.25">
      <c r="A1023" s="6" t="s">
        <v>1375</v>
      </c>
      <c r="B1023" s="6" cm="1">
        <f t="array" ref="B1023">alea_int(Settings!$B$10,1,Settings!$B$16)</f>
        <v>3</v>
      </c>
      <c r="C1023" s="8">
        <v>46023</v>
      </c>
      <c r="D1023" s="8">
        <f t="shared" si="61"/>
        <v>46387</v>
      </c>
      <c r="E1023" s="6" t="str" cm="1">
        <f t="array" ref="E1023">choice(Groupes!A:A,1,Settings!$B$16)</f>
        <v>G6</v>
      </c>
      <c r="F1023" s="6" t="str">
        <f t="shared" si="62"/>
        <v>G6</v>
      </c>
      <c r="G1023" s="6" t="str">
        <f t="shared" si="63"/>
        <v>Prof52</v>
      </c>
      <c r="H1023" s="6" t="str" cm="1">
        <f t="array" ref="H1023">choice(Referentiel!A:A,1,Settings!$B$16)</f>
        <v>Design des mondes urbains</v>
      </c>
      <c r="I1023" s="6" t="str" cm="1">
        <f t="array" ref="I1023">choice(Referentiel!B:B,1,Settings!$B$16)</f>
        <v>Césure S2</v>
      </c>
      <c r="J1023" s="6" t="str" cm="1">
        <f t="array" ref="J1023">choice(Referentiel!D:D,1,Settings!$B$16)</f>
        <v>L3</v>
      </c>
      <c r="K1023" s="6" t="str" cm="1">
        <f t="array" ref="K1023">choice(Professeurs!B:B,1,Settings!$B$16)</f>
        <v>Prof52</v>
      </c>
      <c r="L1023" s="5" t="str" cm="1">
        <f t="array" ref="L1023">choice(Referentiel!C:C,1,Settings!$B$16)</f>
        <v/>
      </c>
      <c r="M1023" s="5" t="str" cm="1">
        <f t="array" ref="M1023">choice(Referentiel!E:E,1,Settings!$B$16)</f>
        <v/>
      </c>
      <c r="N1023" s="5" t="str" cm="1">
        <f t="array" ref="N1023">choice(Settings!K:K,1,Settings!$B$16)</f>
        <v/>
      </c>
      <c r="P1023" s="5">
        <f t="shared" si="64"/>
        <v>3</v>
      </c>
    </row>
    <row r="1024" spans="1:16" ht="15.75" customHeight="1" x14ac:dyDescent="0.25">
      <c r="A1024" s="6" t="s">
        <v>1376</v>
      </c>
      <c r="B1024" s="6" cm="1">
        <f t="array" ref="B1024">alea_int(Settings!$B$10,1,Settings!$B$16)</f>
        <v>1</v>
      </c>
      <c r="C1024" s="8">
        <v>46023</v>
      </c>
      <c r="D1024" s="8">
        <f t="shared" si="61"/>
        <v>46387</v>
      </c>
      <c r="E1024" s="6" t="str" cm="1">
        <f t="array" ref="E1024">choice(Groupes!A:A,1,Settings!$B$16)</f>
        <v>G26</v>
      </c>
      <c r="F1024" s="6" t="str">
        <f t="shared" si="62"/>
        <v>G26</v>
      </c>
      <c r="G1024" s="6" t="str">
        <f t="shared" si="63"/>
        <v>Prof27</v>
      </c>
      <c r="H1024" s="6" t="str" cm="1">
        <f t="array" ref="H1024">choice(Referentiel!A:A,1,Settings!$B$16)</f>
        <v>Design des mondes montagneux</v>
      </c>
      <c r="I1024" s="6" t="str" cm="1">
        <f t="array" ref="I1024">choice(Referentiel!B:B,1,Settings!$B$16)</f>
        <v>4ème année Scénographie S1</v>
      </c>
      <c r="J1024" s="6" t="str" cm="1">
        <f t="array" ref="J1024">choice(Referentiel!D:D,1,Settings!$B$16)</f>
        <v>M1</v>
      </c>
      <c r="K1024" s="6" t="str" cm="1">
        <f t="array" ref="K1024">choice(Professeurs!B:B,1,Settings!$B$16)</f>
        <v>Prof27</v>
      </c>
      <c r="L1024" s="5" t="str" cm="1">
        <f t="array" ref="L1024">choice(Referentiel!C:C,1,Settings!$B$16)</f>
        <v/>
      </c>
      <c r="M1024" s="5" t="str" cm="1">
        <f t="array" ref="M1024">choice(Referentiel!E:E,1,Settings!$B$16)</f>
        <v/>
      </c>
      <c r="N1024" s="5" t="str" cm="1">
        <f t="array" ref="N1024">choice(Settings!K:K,1,Settings!$B$16)</f>
        <v/>
      </c>
      <c r="P1024" s="5">
        <f t="shared" si="64"/>
        <v>1</v>
      </c>
    </row>
    <row r="1025" spans="1:16" ht="15.75" customHeight="1" x14ac:dyDescent="0.25">
      <c r="A1025" s="6" t="s">
        <v>1377</v>
      </c>
      <c r="B1025" s="6" cm="1">
        <f t="array" ref="B1025">alea_int(Settings!$B$10,1,Settings!$B$16)</f>
        <v>1</v>
      </c>
      <c r="C1025" s="8">
        <v>46023</v>
      </c>
      <c r="D1025" s="8">
        <f t="shared" si="61"/>
        <v>46387</v>
      </c>
      <c r="E1025" s="6" t="str" cm="1">
        <f t="array" ref="E1025">choice(Groupes!A:A,1,Settings!$B$16)</f>
        <v>G15</v>
      </c>
      <c r="F1025" s="6" t="str">
        <f t="shared" si="62"/>
        <v>G15</v>
      </c>
      <c r="G1025" s="6" t="str">
        <f t="shared" si="63"/>
        <v>Prof18</v>
      </c>
      <c r="H1025" s="6" t="str" cm="1">
        <f t="array" ref="H1025">choice(Referentiel!A:A,1,Settings!$B$16)</f>
        <v>Design des mondes ruraux</v>
      </c>
      <c r="I1025" s="6" t="str" cm="1">
        <f t="array" ref="I1025">choice(Referentiel!B:B,1,Settings!$B$16)</f>
        <v>1ère Année Groupe 1 S1</v>
      </c>
      <c r="J1025" s="6" t="str" cm="1">
        <f t="array" ref="J1025">choice(Referentiel!D:D,1,Settings!$B$16)</f>
        <v>L2</v>
      </c>
      <c r="K1025" s="6" t="str" cm="1">
        <f t="array" ref="K1025">choice(Professeurs!B:B,1,Settings!$B$16)</f>
        <v>Prof18</v>
      </c>
      <c r="L1025" s="5" t="str" cm="1">
        <f t="array" ref="L1025">choice(Referentiel!C:C,1,Settings!$B$16)</f>
        <v/>
      </c>
      <c r="M1025" s="5" t="str" cm="1">
        <f t="array" ref="M1025">choice(Referentiel!E:E,1,Settings!$B$16)</f>
        <v/>
      </c>
      <c r="N1025" s="5" t="str" cm="1">
        <f t="array" ref="N1025">choice(Settings!K:K,1,Settings!$B$16)</f>
        <v/>
      </c>
      <c r="P1025" s="5">
        <f t="shared" si="64"/>
        <v>1</v>
      </c>
    </row>
    <row r="1026" spans="1:16" ht="15.75" customHeight="1" x14ac:dyDescent="0.25">
      <c r="A1026" s="6" t="s">
        <v>1378</v>
      </c>
      <c r="B1026" s="6" cm="1">
        <f t="array" ref="B1026">alea_int(Settings!$B$10,1,Settings!$B$16)</f>
        <v>2</v>
      </c>
      <c r="C1026" s="8">
        <v>46023</v>
      </c>
      <c r="D1026" s="8">
        <f t="shared" si="61"/>
        <v>46387</v>
      </c>
      <c r="E1026" s="6" t="str" cm="1">
        <f t="array" ref="E1026">choice(Groupes!A:A,1,Settings!$B$16)</f>
        <v>G13</v>
      </c>
      <c r="F1026" s="6" t="str">
        <f t="shared" si="62"/>
        <v>G13</v>
      </c>
      <c r="G1026" s="6" t="str">
        <f t="shared" si="63"/>
        <v>Prof27</v>
      </c>
      <c r="H1026" s="6" t="str" cm="1">
        <f t="array" ref="H1026">choice(Referentiel!A:A,1,Settings!$B$16)</f>
        <v>1ère année Groupe 2</v>
      </c>
      <c r="I1026" s="6" t="str" cm="1">
        <f t="array" ref="I1026">choice(Referentiel!B:B,1,Settings!$B$16)</f>
        <v>1ère Année Groupe 1 S2</v>
      </c>
      <c r="J1026" s="6" t="str" cm="1">
        <f t="array" ref="J1026">choice(Referentiel!D:D,1,Settings!$B$16)</f>
        <v>L2</v>
      </c>
      <c r="K1026" s="6" t="str" cm="1">
        <f t="array" ref="K1026">choice(Professeurs!B:B,1,Settings!$B$16)</f>
        <v>Prof27</v>
      </c>
      <c r="L1026" s="5" t="str" cm="1">
        <f t="array" ref="L1026">choice(Referentiel!C:C,1,Settings!$B$16)</f>
        <v/>
      </c>
      <c r="M1026" s="5" t="str" cm="1">
        <f t="array" ref="M1026">choice(Referentiel!E:E,1,Settings!$B$16)</f>
        <v/>
      </c>
      <c r="N1026" s="5" t="str" cm="1">
        <f t="array" ref="N1026">choice(Settings!K:K,1,Settings!$B$16)</f>
        <v>mardi pm</v>
      </c>
      <c r="P1026" s="5">
        <f t="shared" si="64"/>
        <v>4</v>
      </c>
    </row>
    <row r="1027" spans="1:16" ht="15.75" customHeight="1" x14ac:dyDescent="0.25">
      <c r="A1027" s="6" t="s">
        <v>1379</v>
      </c>
      <c r="B1027" s="6" cm="1">
        <f t="array" ref="B1027">alea_int(Settings!$B$10,1,Settings!$B$16)</f>
        <v>1</v>
      </c>
      <c r="C1027" s="8">
        <v>46023</v>
      </c>
      <c r="D1027" s="8">
        <f t="shared" ref="D1027:D1090" si="65">C1027+364</f>
        <v>46387</v>
      </c>
      <c r="E1027" s="6" t="str" cm="1">
        <f t="array" ref="E1027">choice(Groupes!A:A,1,Settings!$B$16)</f>
        <v>G25</v>
      </c>
      <c r="F1027" s="6" t="str">
        <f t="shared" ref="F1027:F1090" si="66">E1027</f>
        <v>G25</v>
      </c>
      <c r="G1027" s="6" t="str">
        <f t="shared" ref="G1027:G1090" si="67">K1027</f>
        <v>Prof45</v>
      </c>
      <c r="H1027" s="6" t="str" cm="1">
        <f t="array" ref="H1027">choice(Referentiel!A:A,1,Settings!$B$16)</f>
        <v>Gr SOFT MATTERS</v>
      </c>
      <c r="I1027" s="6" t="str" cm="1">
        <f t="array" ref="I1027">choice(Referentiel!B:B,1,Settings!$B$16)</f>
        <v>5ème année Design Objet S1</v>
      </c>
      <c r="J1027" s="6" t="str" cm="1">
        <f t="array" ref="J1027">choice(Referentiel!D:D,1,Settings!$B$16)</f>
        <v>L3</v>
      </c>
      <c r="K1027" s="6" t="str" cm="1">
        <f t="array" ref="K1027">choice(Professeurs!B:B,1,Settings!$B$16)</f>
        <v>Prof45</v>
      </c>
      <c r="L1027" s="5" t="str" cm="1">
        <f t="array" ref="L1027">choice(Referentiel!C:C,1,Settings!$B$16)</f>
        <v/>
      </c>
      <c r="M1027" s="5" t="str" cm="1">
        <f t="array" ref="M1027">choice(Referentiel!E:E,1,Settings!$B$16)</f>
        <v/>
      </c>
      <c r="N1027" s="5" t="str" cm="1">
        <f t="array" ref="N1027">choice(Settings!K:K,1,Settings!$B$16)</f>
        <v/>
      </c>
      <c r="P1027" s="5">
        <f t="shared" ref="P1027:P1090" si="68">B1027+IF(M1027&lt;&gt;"",2,0)+IF(N1027&lt;&gt;"",2,0)</f>
        <v>1</v>
      </c>
    </row>
    <row r="1028" spans="1:16" ht="15.75" customHeight="1" x14ac:dyDescent="0.25">
      <c r="A1028" s="6" t="s">
        <v>1380</v>
      </c>
      <c r="B1028" s="6" cm="1">
        <f t="array" ref="B1028">alea_int(Settings!$B$10,1,Settings!$B$16)</f>
        <v>1</v>
      </c>
      <c r="C1028" s="8">
        <v>46023</v>
      </c>
      <c r="D1028" s="8">
        <f t="shared" si="65"/>
        <v>46387</v>
      </c>
      <c r="E1028" s="6" t="str" cm="1">
        <f t="array" ref="E1028">choice(Groupes!A:A,1,Settings!$B$16)</f>
        <v>G16</v>
      </c>
      <c r="F1028" s="6" t="str">
        <f t="shared" si="66"/>
        <v>G16</v>
      </c>
      <c r="G1028" s="6" t="str">
        <f t="shared" si="67"/>
        <v>Prof52</v>
      </c>
      <c r="H1028" s="6" t="str" cm="1">
        <f t="array" ref="H1028">choice(Referentiel!A:A,1,Settings!$B$16)</f>
        <v>Design Vêtement</v>
      </c>
      <c r="I1028" s="6" t="str" cm="1">
        <f t="array" ref="I1028">choice(Referentiel!B:B,1,Settings!$B$16)</f>
        <v>4ème année Scénographie S2</v>
      </c>
      <c r="J1028" s="6" t="str" cm="1">
        <f t="array" ref="J1028">choice(Referentiel!D:D,1,Settings!$B$16)</f>
        <v>M2</v>
      </c>
      <c r="K1028" s="6" t="str" cm="1">
        <f t="array" ref="K1028">choice(Professeurs!B:B,1,Settings!$B$16)</f>
        <v>Prof52</v>
      </c>
      <c r="L1028" s="5" t="str" cm="1">
        <f t="array" ref="L1028">choice(Referentiel!C:C,1,Settings!$B$16)</f>
        <v/>
      </c>
      <c r="M1028" s="5" t="str" cm="1">
        <f t="array" ref="M1028">choice(Referentiel!E:E,1,Settings!$B$16)</f>
        <v/>
      </c>
      <c r="N1028" s="5" t="str" cm="1">
        <f t="array" ref="N1028">choice(Settings!K:K,1,Settings!$B$16)</f>
        <v>mardi pm</v>
      </c>
      <c r="P1028" s="5">
        <f t="shared" si="68"/>
        <v>3</v>
      </c>
    </row>
    <row r="1029" spans="1:16" ht="15.75" customHeight="1" x14ac:dyDescent="0.25">
      <c r="A1029" s="6" t="s">
        <v>1381</v>
      </c>
      <c r="B1029" s="6" cm="1">
        <f t="array" ref="B1029">alea_int(Settings!$B$10,1,Settings!$B$16)</f>
        <v>1</v>
      </c>
      <c r="C1029" s="8">
        <v>46023</v>
      </c>
      <c r="D1029" s="8">
        <f t="shared" si="65"/>
        <v>46387</v>
      </c>
      <c r="E1029" s="6" t="str" cm="1">
        <f t="array" ref="E1029">choice(Groupes!A:A,1,Settings!$B$16)</f>
        <v>G26</v>
      </c>
      <c r="F1029" s="6" t="str">
        <f t="shared" si="66"/>
        <v>G26</v>
      </c>
      <c r="G1029" s="6" t="str">
        <f t="shared" si="67"/>
        <v>Prof1</v>
      </c>
      <c r="H1029" s="6" t="str" cm="1">
        <f t="array" ref="H1029">choice(Referentiel!A:A,1,Settings!$B$16)</f>
        <v>Art-Espace</v>
      </c>
      <c r="I1029" s="6" t="str" cm="1">
        <f t="array" ref="I1029">choice(Referentiel!B:B,1,Settings!$B$16)</f>
        <v>5ème année Design Graphique S2</v>
      </c>
      <c r="J1029" s="6" t="str" cm="1">
        <f t="array" ref="J1029">choice(Referentiel!D:D,1,Settings!$B$16)</f>
        <v>L3</v>
      </c>
      <c r="K1029" s="6" t="str" cm="1">
        <f t="array" ref="K1029">choice(Professeurs!B:B,1,Settings!$B$16)</f>
        <v>Prof1</v>
      </c>
      <c r="L1029" s="5" t="str" cm="1">
        <f t="array" ref="L1029">choice(Referentiel!C:C,1,Settings!$B$16)</f>
        <v/>
      </c>
      <c r="M1029" s="5" t="str" cm="1">
        <f t="array" ref="M1029">choice(Referentiel!E:E,1,Settings!$B$16)</f>
        <v/>
      </c>
      <c r="N1029" s="5" t="str" cm="1">
        <f t="array" ref="N1029">choice(Settings!K:K,1,Settings!$B$16)</f>
        <v>vendredi am</v>
      </c>
      <c r="P1029" s="5">
        <f t="shared" si="68"/>
        <v>3</v>
      </c>
    </row>
    <row r="1030" spans="1:16" ht="15.75" customHeight="1" x14ac:dyDescent="0.25">
      <c r="A1030" s="6" t="s">
        <v>1382</v>
      </c>
      <c r="B1030" s="6" cm="1">
        <f t="array" ref="B1030">alea_int(Settings!$B$10,1,Settings!$B$16)</f>
        <v>3</v>
      </c>
      <c r="C1030" s="8">
        <v>46023</v>
      </c>
      <c r="D1030" s="8">
        <f t="shared" si="65"/>
        <v>46387</v>
      </c>
      <c r="E1030" s="6" t="str" cm="1">
        <f t="array" ref="E1030">choice(Groupes!A:A,1,Settings!$B$16)</f>
        <v>G2</v>
      </c>
      <c r="F1030" s="6" t="str">
        <f t="shared" si="66"/>
        <v>G2</v>
      </c>
      <c r="G1030" s="6" t="str">
        <f t="shared" si="67"/>
        <v>Prof36</v>
      </c>
      <c r="H1030" s="6" t="str" cm="1">
        <f t="array" ref="H1030">choice(Referentiel!A:A,1,Settings!$B$16)</f>
        <v>Design Objet</v>
      </c>
      <c r="I1030" s="6" t="str" cm="1">
        <f t="array" ref="I1030">choice(Referentiel!B:B,1,Settings!$B$16)</f>
        <v>2ème année Design Objet S1</v>
      </c>
      <c r="J1030" s="6" t="str" cm="1">
        <f t="array" ref="J1030">choice(Referentiel!D:D,1,Settings!$B$16)</f>
        <v>M1</v>
      </c>
      <c r="K1030" s="6" t="str" cm="1">
        <f t="array" ref="K1030">choice(Professeurs!B:B,1,Settings!$B$16)</f>
        <v>Prof36</v>
      </c>
      <c r="L1030" s="5" t="str" cm="1">
        <f t="array" ref="L1030">choice(Referentiel!C:C,1,Settings!$B$16)</f>
        <v/>
      </c>
      <c r="M1030" s="5" t="str" cm="1">
        <f t="array" ref="M1030">choice(Referentiel!E:E,1,Settings!$B$16)</f>
        <v/>
      </c>
      <c r="N1030" s="5" t="str" cm="1">
        <f t="array" ref="N1030">choice(Settings!K:K,1,Settings!$B$16)</f>
        <v>lundi pm</v>
      </c>
      <c r="P1030" s="5">
        <f t="shared" si="68"/>
        <v>5</v>
      </c>
    </row>
    <row r="1031" spans="1:16" ht="15.75" customHeight="1" x14ac:dyDescent="0.25">
      <c r="A1031" s="6" t="s">
        <v>1383</v>
      </c>
      <c r="B1031" s="6" cm="1">
        <f t="array" ref="B1031">alea_int(Settings!$B$10,1,Settings!$B$16)</f>
        <v>2</v>
      </c>
      <c r="C1031" s="8">
        <v>46023</v>
      </c>
      <c r="D1031" s="8">
        <f t="shared" si="65"/>
        <v>46387</v>
      </c>
      <c r="E1031" s="6" t="str" cm="1">
        <f t="array" ref="E1031">choice(Groupes!A:A,1,Settings!$B$16)</f>
        <v>G28</v>
      </c>
      <c r="F1031" s="6" t="str">
        <f t="shared" si="66"/>
        <v>G28</v>
      </c>
      <c r="G1031" s="6" t="str">
        <f t="shared" si="67"/>
        <v>Prof16</v>
      </c>
      <c r="H1031" s="6" t="str" cm="1">
        <f t="array" ref="H1031">choice(Referentiel!A:A,1,Settings!$B$16)</f>
        <v>Gr TERRITOIRES</v>
      </c>
      <c r="I1031" s="6" t="str" cm="1">
        <f t="array" ref="I1031">choice(Referentiel!B:B,1,Settings!$B$16)</f>
        <v>4ème année Design Graphique S2</v>
      </c>
      <c r="J1031" s="6" t="str" cm="1">
        <f t="array" ref="J1031">choice(Referentiel!D:D,1,Settings!$B$16)</f>
        <v>M2</v>
      </c>
      <c r="K1031" s="6" t="str" cm="1">
        <f t="array" ref="K1031">choice(Professeurs!B:B,1,Settings!$B$16)</f>
        <v>Prof16</v>
      </c>
      <c r="L1031" s="5" t="str" cm="1">
        <f t="array" ref="L1031">choice(Referentiel!C:C,1,Settings!$B$16)</f>
        <v/>
      </c>
      <c r="M1031" s="5" t="str" cm="1">
        <f t="array" ref="M1031">choice(Referentiel!E:E,1,Settings!$B$16)</f>
        <v/>
      </c>
      <c r="N1031" s="5" t="str" cm="1">
        <f t="array" ref="N1031">choice(Settings!K:K,1,Settings!$B$16)</f>
        <v/>
      </c>
      <c r="P1031" s="5">
        <f t="shared" si="68"/>
        <v>2</v>
      </c>
    </row>
    <row r="1032" spans="1:16" ht="15.75" customHeight="1" x14ac:dyDescent="0.25">
      <c r="A1032" s="6" t="s">
        <v>1384</v>
      </c>
      <c r="B1032" s="6" cm="1">
        <f t="array" ref="B1032">alea_int(Settings!$B$10,1,Settings!$B$16)</f>
        <v>2</v>
      </c>
      <c r="C1032" s="8">
        <v>46023</v>
      </c>
      <c r="D1032" s="8">
        <f t="shared" si="65"/>
        <v>46387</v>
      </c>
      <c r="E1032" s="6" t="str" cm="1">
        <f t="array" ref="E1032">choice(Groupes!A:A,1,Settings!$B$16)</f>
        <v>G3</v>
      </c>
      <c r="F1032" s="6" t="str">
        <f t="shared" si="66"/>
        <v>G3</v>
      </c>
      <c r="G1032" s="6" t="str">
        <f t="shared" si="67"/>
        <v>Prof7</v>
      </c>
      <c r="H1032" s="6" t="str" cm="1">
        <f t="array" ref="H1032">choice(Referentiel!A:A,1,Settings!$B$16)</f>
        <v>Design Objet</v>
      </c>
      <c r="I1032" s="6" t="str" cm="1">
        <f t="array" ref="I1032">choice(Referentiel!B:B,1,Settings!$B$16)</f>
        <v>5ème année Image Imprimée S1</v>
      </c>
      <c r="J1032" s="6" t="str" cm="1">
        <f t="array" ref="J1032">choice(Referentiel!D:D,1,Settings!$B$16)</f>
        <v>L1</v>
      </c>
      <c r="K1032" s="6" t="str" cm="1">
        <f t="array" ref="K1032">choice(Professeurs!B:B,1,Settings!$B$16)</f>
        <v>Prof7</v>
      </c>
      <c r="L1032" s="5" t="str" cm="1">
        <f t="array" ref="L1032">choice(Referentiel!C:C,1,Settings!$B$16)</f>
        <v/>
      </c>
      <c r="M1032" s="5" t="str" cm="1">
        <f t="array" ref="M1032">choice(Referentiel!E:E,1,Settings!$B$16)</f>
        <v/>
      </c>
      <c r="N1032" s="5" t="str" cm="1">
        <f t="array" ref="N1032">choice(Settings!K:K,1,Settings!$B$16)</f>
        <v/>
      </c>
      <c r="P1032" s="5">
        <f t="shared" si="68"/>
        <v>2</v>
      </c>
    </row>
    <row r="1033" spans="1:16" ht="15.75" customHeight="1" x14ac:dyDescent="0.25">
      <c r="A1033" s="6" t="s">
        <v>1385</v>
      </c>
      <c r="B1033" s="6" cm="1">
        <f t="array" ref="B1033">alea_int(Settings!$B$10,1,Settings!$B$16)</f>
        <v>3</v>
      </c>
      <c r="C1033" s="8">
        <v>46023</v>
      </c>
      <c r="D1033" s="8">
        <f t="shared" si="65"/>
        <v>46387</v>
      </c>
      <c r="E1033" s="6" t="str" cm="1">
        <f t="array" ref="E1033">choice(Groupes!A:A,1,Settings!$B$16)</f>
        <v>G14</v>
      </c>
      <c r="F1033" s="6" t="str">
        <f t="shared" si="66"/>
        <v>G14</v>
      </c>
      <c r="G1033" s="6" t="str">
        <f t="shared" si="67"/>
        <v>Prof16</v>
      </c>
      <c r="H1033" s="6" t="str" cm="1">
        <f t="array" ref="H1033">choice(Referentiel!A:A,1,Settings!$B$16)</f>
        <v>Gr SOFT MATTERS</v>
      </c>
      <c r="I1033" s="6" t="str" cm="1">
        <f t="array" ref="I1033">choice(Referentiel!B:B,1,Settings!$B$16)</f>
        <v>3ème année Design Textile et Matière S1</v>
      </c>
      <c r="J1033" s="6" t="str" cm="1">
        <f t="array" ref="J1033">choice(Referentiel!D:D,1,Settings!$B$16)</f>
        <v>M2</v>
      </c>
      <c r="K1033" s="6" t="str" cm="1">
        <f t="array" ref="K1033">choice(Professeurs!B:B,1,Settings!$B$16)</f>
        <v>Prof16</v>
      </c>
      <c r="L1033" s="5" t="str" cm="1">
        <f t="array" ref="L1033">choice(Referentiel!C:C,1,Settings!$B$16)</f>
        <v/>
      </c>
      <c r="M1033" s="5" t="str" cm="1">
        <f t="array" ref="M1033">choice(Referentiel!E:E,1,Settings!$B$16)</f>
        <v/>
      </c>
      <c r="N1033" s="5" t="str" cm="1">
        <f t="array" ref="N1033">choice(Settings!K:K,1,Settings!$B$16)</f>
        <v/>
      </c>
      <c r="P1033" s="5">
        <f t="shared" si="68"/>
        <v>3</v>
      </c>
    </row>
    <row r="1034" spans="1:16" ht="15.75" customHeight="1" x14ac:dyDescent="0.25">
      <c r="A1034" s="6" t="s">
        <v>1386</v>
      </c>
      <c r="B1034" s="6" cm="1">
        <f t="array" ref="B1034">alea_int(Settings!$B$10,1,Settings!$B$16)</f>
        <v>3</v>
      </c>
      <c r="C1034" s="8">
        <v>46023</v>
      </c>
      <c r="D1034" s="8">
        <f t="shared" si="65"/>
        <v>46387</v>
      </c>
      <c r="E1034" s="6" t="str" cm="1">
        <f t="array" ref="E1034">choice(Groupes!A:A,1,Settings!$B$16)</f>
        <v>G20</v>
      </c>
      <c r="F1034" s="6" t="str">
        <f t="shared" si="66"/>
        <v>G20</v>
      </c>
      <c r="G1034" s="6" t="str">
        <f t="shared" si="67"/>
        <v>Prof1</v>
      </c>
      <c r="H1034" s="6" t="str" cm="1">
        <f t="array" ref="H1034">choice(Referentiel!A:A,1,Settings!$B$16)</f>
        <v>Gr REFLECTIVE INTERACTION</v>
      </c>
      <c r="I1034" s="6" t="str" cm="1">
        <f t="array" ref="I1034">choice(Referentiel!B:B,1,Settings!$B$16)</f>
        <v>2ème année Architecture Intérieure S1</v>
      </c>
      <c r="J1034" s="6" t="str" cm="1">
        <f t="array" ref="J1034">choice(Referentiel!D:D,1,Settings!$B$16)</f>
        <v>L2</v>
      </c>
      <c r="K1034" s="6" t="str" cm="1">
        <f t="array" ref="K1034">choice(Professeurs!B:B,1,Settings!$B$16)</f>
        <v>Prof1</v>
      </c>
      <c r="L1034" s="5" t="str" cm="1">
        <f t="array" ref="L1034">choice(Referentiel!C:C,1,Settings!$B$16)</f>
        <v/>
      </c>
      <c r="M1034" s="5" t="str" cm="1">
        <f t="array" ref="M1034">choice(Referentiel!E:E,1,Settings!$B$16)</f>
        <v/>
      </c>
      <c r="N1034" s="5" t="str" cm="1">
        <f t="array" ref="N1034">choice(Settings!K:K,1,Settings!$B$16)</f>
        <v>mardi pm</v>
      </c>
      <c r="P1034" s="5">
        <f t="shared" si="68"/>
        <v>5</v>
      </c>
    </row>
    <row r="1035" spans="1:16" ht="15.75" customHeight="1" x14ac:dyDescent="0.25">
      <c r="A1035" s="6" t="s">
        <v>1387</v>
      </c>
      <c r="B1035" s="6" cm="1">
        <f t="array" ref="B1035">alea_int(Settings!$B$10,1,Settings!$B$16)</f>
        <v>1</v>
      </c>
      <c r="C1035" s="8">
        <v>46023</v>
      </c>
      <c r="D1035" s="8">
        <f t="shared" si="65"/>
        <v>46387</v>
      </c>
      <c r="E1035" s="6" t="str" cm="1">
        <f t="array" ref="E1035">choice(Groupes!A:A,1,Settings!$B$16)</f>
        <v>G19</v>
      </c>
      <c r="F1035" s="6" t="str">
        <f t="shared" si="66"/>
        <v>G19</v>
      </c>
      <c r="G1035" s="6" t="str">
        <f t="shared" si="67"/>
        <v>Prof25</v>
      </c>
      <c r="H1035" s="6" t="str" cm="1">
        <f t="array" ref="H1035">choice(Referentiel!A:A,1,Settings!$B$16)</f>
        <v>Design des mondes insulaires</v>
      </c>
      <c r="I1035" s="6" t="str" cm="1">
        <f t="array" ref="I1035">choice(Referentiel!B:B,1,Settings!$B$16)</f>
        <v>1ère Année Groupe 3 S2</v>
      </c>
      <c r="J1035" s="6" t="str" cm="1">
        <f t="array" ref="J1035">choice(Referentiel!D:D,1,Settings!$B$16)</f>
        <v>L1</v>
      </c>
      <c r="K1035" s="6" t="str" cm="1">
        <f t="array" ref="K1035">choice(Professeurs!B:B,1,Settings!$B$16)</f>
        <v>Prof25</v>
      </c>
      <c r="L1035" s="5" t="str" cm="1">
        <f t="array" ref="L1035">choice(Referentiel!C:C,1,Settings!$B$16)</f>
        <v/>
      </c>
      <c r="M1035" s="5" t="str" cm="1">
        <f t="array" ref="M1035">choice(Referentiel!E:E,1,Settings!$B$16)</f>
        <v/>
      </c>
      <c r="N1035" s="5" t="str" cm="1">
        <f t="array" ref="N1035">choice(Settings!K:K,1,Settings!$B$16)</f>
        <v>lundi pm</v>
      </c>
      <c r="P1035" s="5">
        <f t="shared" si="68"/>
        <v>3</v>
      </c>
    </row>
    <row r="1036" spans="1:16" ht="15.75" customHeight="1" x14ac:dyDescent="0.25">
      <c r="A1036" s="6" t="s">
        <v>1388</v>
      </c>
      <c r="B1036" s="6" cm="1">
        <f t="array" ref="B1036">alea_int(Settings!$B$10,1,Settings!$B$16)</f>
        <v>1</v>
      </c>
      <c r="C1036" s="8">
        <v>46023</v>
      </c>
      <c r="D1036" s="8">
        <f t="shared" si="65"/>
        <v>46387</v>
      </c>
      <c r="E1036" s="6" t="str" cm="1">
        <f t="array" ref="E1036">choice(Groupes!A:A,1,Settings!$B$16)</f>
        <v>G5</v>
      </c>
      <c r="F1036" s="6" t="str">
        <f t="shared" si="66"/>
        <v>G5</v>
      </c>
      <c r="G1036" s="6" t="str">
        <f t="shared" si="67"/>
        <v>Prof38</v>
      </c>
      <c r="H1036" s="6" t="str" cm="1">
        <f t="array" ref="H1036">choice(Referentiel!A:A,1,Settings!$B$16)</f>
        <v>Scénographie</v>
      </c>
      <c r="I1036" s="6" t="str" cm="1">
        <f t="array" ref="I1036">choice(Referentiel!B:B,1,Settings!$B$16)</f>
        <v>3ème année Art-Espace S2</v>
      </c>
      <c r="J1036" s="6" t="str" cm="1">
        <f t="array" ref="J1036">choice(Referentiel!D:D,1,Settings!$B$16)</f>
        <v>M1</v>
      </c>
      <c r="K1036" s="6" t="str" cm="1">
        <f t="array" ref="K1036">choice(Professeurs!B:B,1,Settings!$B$16)</f>
        <v>Prof38</v>
      </c>
      <c r="L1036" s="5" t="str" cm="1">
        <f t="array" ref="L1036">choice(Referentiel!C:C,1,Settings!$B$16)</f>
        <v/>
      </c>
      <c r="M1036" s="5" t="str" cm="1">
        <f t="array" ref="M1036">choice(Referentiel!E:E,1,Settings!$B$16)</f>
        <v/>
      </c>
      <c r="N1036" s="5" t="str" cm="1">
        <f t="array" ref="N1036">choice(Settings!K:K,1,Settings!$B$16)</f>
        <v/>
      </c>
      <c r="P1036" s="5">
        <f t="shared" si="68"/>
        <v>1</v>
      </c>
    </row>
    <row r="1037" spans="1:16" ht="15.75" customHeight="1" x14ac:dyDescent="0.25">
      <c r="A1037" s="6" t="s">
        <v>1389</v>
      </c>
      <c r="B1037" s="6" cm="1">
        <f t="array" ref="B1037">alea_int(Settings!$B$10,1,Settings!$B$16)</f>
        <v>3</v>
      </c>
      <c r="C1037" s="8">
        <v>46023</v>
      </c>
      <c r="D1037" s="8">
        <f t="shared" si="65"/>
        <v>46387</v>
      </c>
      <c r="E1037" s="6" t="str" cm="1">
        <f t="array" ref="E1037">choice(Groupes!A:A,1,Settings!$B$16)</f>
        <v>G17</v>
      </c>
      <c r="F1037" s="6" t="str">
        <f t="shared" si="66"/>
        <v>G17</v>
      </c>
      <c r="G1037" s="6" t="str">
        <f t="shared" si="67"/>
        <v>Prof51</v>
      </c>
      <c r="H1037" s="6" t="str" cm="1">
        <f t="array" ref="H1037">choice(Referentiel!A:A,1,Settings!$B$16)</f>
        <v>1ère année Groupe 3</v>
      </c>
      <c r="I1037" s="6" t="str" cm="1">
        <f t="array" ref="I1037">choice(Referentiel!B:B,1,Settings!$B$16)</f>
        <v>3ème année Design Textile et Matière S2</v>
      </c>
      <c r="J1037" s="6" t="str" cm="1">
        <f t="array" ref="J1037">choice(Referentiel!D:D,1,Settings!$B$16)</f>
        <v>L2</v>
      </c>
      <c r="K1037" s="6" t="str" cm="1">
        <f t="array" ref="K1037">choice(Professeurs!B:B,1,Settings!$B$16)</f>
        <v>Prof51</v>
      </c>
      <c r="L1037" s="5" t="str" cm="1">
        <f t="array" ref="L1037">choice(Referentiel!C:C,1,Settings!$B$16)</f>
        <v>tablette</v>
      </c>
      <c r="M1037" s="5" t="str" cm="1">
        <f t="array" ref="M1037">choice(Referentiel!E:E,1,Settings!$B$16)</f>
        <v/>
      </c>
      <c r="N1037" s="5" t="str" cm="1">
        <f t="array" ref="N1037">choice(Settings!K:K,1,Settings!$B$16)</f>
        <v>lundi am</v>
      </c>
      <c r="P1037" s="5">
        <f t="shared" si="68"/>
        <v>5</v>
      </c>
    </row>
    <row r="1038" spans="1:16" ht="15.75" customHeight="1" x14ac:dyDescent="0.25">
      <c r="A1038" s="6" t="s">
        <v>1390</v>
      </c>
      <c r="B1038" s="6" cm="1">
        <f t="array" ref="B1038">alea_int(Settings!$B$10,1,Settings!$B$16)</f>
        <v>3</v>
      </c>
      <c r="C1038" s="8">
        <v>46023</v>
      </c>
      <c r="D1038" s="8">
        <f t="shared" si="65"/>
        <v>46387</v>
      </c>
      <c r="E1038" s="6" t="str" cm="1">
        <f t="array" ref="E1038">choice(Groupes!A:A,1,Settings!$B$16)</f>
        <v>G30</v>
      </c>
      <c r="F1038" s="6" t="str">
        <f t="shared" si="66"/>
        <v>G30</v>
      </c>
      <c r="G1038" s="6" t="str">
        <f t="shared" si="67"/>
        <v>Prof17</v>
      </c>
      <c r="H1038" s="6" t="str" cm="1">
        <f t="array" ref="H1038">choice(Referentiel!A:A,1,Settings!$B$16)</f>
        <v>Gr SOFT MATTERS</v>
      </c>
      <c r="I1038" s="6" t="str" cm="1">
        <f t="array" ref="I1038">choice(Referentiel!B:B,1,Settings!$B$16)</f>
        <v>3ème année Design Vêtement S2</v>
      </c>
      <c r="J1038" s="6" t="str" cm="1">
        <f t="array" ref="J1038">choice(Referentiel!D:D,1,Settings!$B$16)</f>
        <v>M1</v>
      </c>
      <c r="K1038" s="6" t="str" cm="1">
        <f t="array" ref="K1038">choice(Professeurs!B:B,1,Settings!$B$16)</f>
        <v>Prof17</v>
      </c>
      <c r="L1038" s="5" t="str" cm="1">
        <f t="array" ref="L1038">choice(Referentiel!C:C,1,Settings!$B$16)</f>
        <v/>
      </c>
      <c r="M1038" s="5" t="str" cm="1">
        <f t="array" ref="M1038">choice(Referentiel!E:E,1,Settings!$B$16)</f>
        <v/>
      </c>
      <c r="N1038" s="5" t="str" cm="1">
        <f t="array" ref="N1038">choice(Settings!K:K,1,Settings!$B$16)</f>
        <v/>
      </c>
      <c r="P1038" s="5">
        <f t="shared" si="68"/>
        <v>3</v>
      </c>
    </row>
    <row r="1039" spans="1:16" ht="15.75" customHeight="1" x14ac:dyDescent="0.25">
      <c r="A1039" s="6" t="s">
        <v>1391</v>
      </c>
      <c r="B1039" s="6" cm="1">
        <f t="array" ref="B1039">alea_int(Settings!$B$10,1,Settings!$B$16)</f>
        <v>3</v>
      </c>
      <c r="C1039" s="8">
        <v>46023</v>
      </c>
      <c r="D1039" s="8">
        <f t="shared" si="65"/>
        <v>46387</v>
      </c>
      <c r="E1039" s="6" t="str" cm="1">
        <f t="array" ref="E1039">choice(Groupes!A:A,1,Settings!$B$16)</f>
        <v>G21</v>
      </c>
      <c r="F1039" s="6" t="str">
        <f t="shared" si="66"/>
        <v>G21</v>
      </c>
      <c r="G1039" s="6" t="str">
        <f t="shared" si="67"/>
        <v>Prof14</v>
      </c>
      <c r="H1039" s="6" t="str" cm="1">
        <f t="array" ref="H1039">choice(Referentiel!A:A,1,Settings!$B$16)</f>
        <v>Image Imprimée</v>
      </c>
      <c r="I1039" s="6" t="str" cm="1">
        <f t="array" ref="I1039">choice(Referentiel!B:B,1,Settings!$B$16)</f>
        <v>2ème année Photo / Vidéo S2</v>
      </c>
      <c r="J1039" s="6" t="str" cm="1">
        <f t="array" ref="J1039">choice(Referentiel!D:D,1,Settings!$B$16)</f>
        <v>L3</v>
      </c>
      <c r="K1039" s="6" t="str" cm="1">
        <f t="array" ref="K1039">choice(Professeurs!B:B,1,Settings!$B$16)</f>
        <v>Prof14</v>
      </c>
      <c r="L1039" s="5" t="str" cm="1">
        <f t="array" ref="L1039">choice(Referentiel!C:C,1,Settings!$B$16)</f>
        <v/>
      </c>
      <c r="M1039" s="5" t="str" cm="1">
        <f t="array" ref="M1039">choice(Referentiel!E:E,1,Settings!$B$16)</f>
        <v>Salle2</v>
      </c>
      <c r="N1039" s="5" t="str" cm="1">
        <f t="array" ref="N1039">choice(Settings!K:K,1,Settings!$B$16)</f>
        <v/>
      </c>
      <c r="P1039" s="5">
        <f t="shared" si="68"/>
        <v>5</v>
      </c>
    </row>
    <row r="1040" spans="1:16" ht="15.75" customHeight="1" x14ac:dyDescent="0.25">
      <c r="A1040" s="6" t="s">
        <v>1392</v>
      </c>
      <c r="B1040" s="6" cm="1">
        <f t="array" ref="B1040">alea_int(Settings!$B$10,1,Settings!$B$16)</f>
        <v>1</v>
      </c>
      <c r="C1040" s="8">
        <v>46023</v>
      </c>
      <c r="D1040" s="8">
        <f t="shared" si="65"/>
        <v>46387</v>
      </c>
      <c r="E1040" s="6" t="str" cm="1">
        <f t="array" ref="E1040">choice(Groupes!A:A,1,Settings!$B$16)</f>
        <v>G6</v>
      </c>
      <c r="F1040" s="6" t="str">
        <f t="shared" si="66"/>
        <v>G6</v>
      </c>
      <c r="G1040" s="6" t="str">
        <f t="shared" si="67"/>
        <v>Prof33</v>
      </c>
      <c r="H1040" s="6" t="str" cm="1">
        <f t="array" ref="H1040">choice(Referentiel!A:A,1,Settings!$B$16)</f>
        <v>Design Textile et Matière</v>
      </c>
      <c r="I1040" s="6" t="str" cm="1">
        <f t="array" ref="I1040">choice(Referentiel!B:B,1,Settings!$B$16)</f>
        <v>5ème année Art-Espace S2</v>
      </c>
      <c r="J1040" s="6" t="str" cm="1">
        <f t="array" ref="J1040">choice(Referentiel!D:D,1,Settings!$B$16)</f>
        <v>L2</v>
      </c>
      <c r="K1040" s="6" t="str" cm="1">
        <f t="array" ref="K1040">choice(Professeurs!B:B,1,Settings!$B$16)</f>
        <v>Prof33</v>
      </c>
      <c r="L1040" s="5" t="str" cm="1">
        <f t="array" ref="L1040">choice(Referentiel!C:C,1,Settings!$B$16)</f>
        <v/>
      </c>
      <c r="M1040" s="5" t="str" cm="1">
        <f t="array" ref="M1040">choice(Referentiel!E:E,1,Settings!$B$16)</f>
        <v/>
      </c>
      <c r="N1040" s="5" t="str" cm="1">
        <f t="array" ref="N1040">choice(Settings!K:K,1,Settings!$B$16)</f>
        <v/>
      </c>
      <c r="P1040" s="5">
        <f t="shared" si="68"/>
        <v>1</v>
      </c>
    </row>
    <row r="1041" spans="1:16" ht="15.75" customHeight="1" x14ac:dyDescent="0.25">
      <c r="A1041" s="6" t="s">
        <v>1393</v>
      </c>
      <c r="B1041" s="6" cm="1">
        <f t="array" ref="B1041">alea_int(Settings!$B$10,1,Settings!$B$16)</f>
        <v>2</v>
      </c>
      <c r="C1041" s="8">
        <v>46023</v>
      </c>
      <c r="D1041" s="8">
        <f t="shared" si="65"/>
        <v>46387</v>
      </c>
      <c r="E1041" s="6" t="str" cm="1">
        <f t="array" ref="E1041">choice(Groupes!A:A,1,Settings!$B$16)</f>
        <v>G20</v>
      </c>
      <c r="F1041" s="6" t="str">
        <f t="shared" si="66"/>
        <v>G20</v>
      </c>
      <c r="G1041" s="6" t="str">
        <f t="shared" si="67"/>
        <v>Prof11</v>
      </c>
      <c r="H1041" s="6" t="str" cm="1">
        <f t="array" ref="H1041">choice(Referentiel!A:A,1,Settings!$B$16)</f>
        <v>Architecture Intérieure</v>
      </c>
      <c r="I1041" s="6" t="str" cm="1">
        <f t="array" ref="I1041">choice(Referentiel!B:B,1,Settings!$B$16)</f>
        <v>5ème année Design Textile et Matière S1</v>
      </c>
      <c r="J1041" s="6" t="str" cm="1">
        <f t="array" ref="J1041">choice(Referentiel!D:D,1,Settings!$B$16)</f>
        <v>L3</v>
      </c>
      <c r="K1041" s="6" t="str" cm="1">
        <f t="array" ref="K1041">choice(Professeurs!B:B,1,Settings!$B$16)</f>
        <v>Prof11</v>
      </c>
      <c r="L1041" s="5" t="str" cm="1">
        <f t="array" ref="L1041">choice(Referentiel!C:C,1,Settings!$B$16)</f>
        <v/>
      </c>
      <c r="M1041" s="5" t="str" cm="1">
        <f t="array" ref="M1041">choice(Referentiel!E:E,1,Settings!$B$16)</f>
        <v/>
      </c>
      <c r="N1041" s="5" t="str" cm="1">
        <f t="array" ref="N1041">choice(Settings!K:K,1,Settings!$B$16)</f>
        <v/>
      </c>
      <c r="P1041" s="5">
        <f t="shared" si="68"/>
        <v>2</v>
      </c>
    </row>
    <row r="1042" spans="1:16" ht="15.75" customHeight="1" x14ac:dyDescent="0.25">
      <c r="A1042" s="6" t="s">
        <v>1394</v>
      </c>
      <c r="B1042" s="6" cm="1">
        <f t="array" ref="B1042">alea_int(Settings!$B$10,1,Settings!$B$16)</f>
        <v>2</v>
      </c>
      <c r="C1042" s="8">
        <v>46023</v>
      </c>
      <c r="D1042" s="8">
        <f t="shared" si="65"/>
        <v>46387</v>
      </c>
      <c r="E1042" s="6" t="str" cm="1">
        <f t="array" ref="E1042">choice(Groupes!A:A,1,Settings!$B$16)</f>
        <v>G28</v>
      </c>
      <c r="F1042" s="6" t="str">
        <f t="shared" si="66"/>
        <v>G28</v>
      </c>
      <c r="G1042" s="6" t="str">
        <f t="shared" si="67"/>
        <v>Prof18</v>
      </c>
      <c r="H1042" s="6" t="str" cm="1">
        <f t="array" ref="H1042">choice(Referentiel!A:A,1,Settings!$B$16)</f>
        <v>Design des mondes littoraux</v>
      </c>
      <c r="I1042" s="6" t="str" cm="1">
        <f t="array" ref="I1042">choice(Referentiel!B:B,1,Settings!$B$16)</f>
        <v>4ème année Scénographie S2</v>
      </c>
      <c r="J1042" s="6" t="str" cm="1">
        <f t="array" ref="J1042">choice(Referentiel!D:D,1,Settings!$B$16)</f>
        <v>L3</v>
      </c>
      <c r="K1042" s="6" t="str" cm="1">
        <f t="array" ref="K1042">choice(Professeurs!B:B,1,Settings!$B$16)</f>
        <v>Prof18</v>
      </c>
      <c r="L1042" s="5" t="str" cm="1">
        <f t="array" ref="L1042">choice(Referentiel!C:C,1,Settings!$B$16)</f>
        <v/>
      </c>
      <c r="M1042" s="5" t="str" cm="1">
        <f t="array" ref="M1042">choice(Referentiel!E:E,1,Settings!$B$16)</f>
        <v/>
      </c>
      <c r="N1042" s="5" t="str" cm="1">
        <f t="array" ref="N1042">choice(Settings!K:K,1,Settings!$B$16)</f>
        <v>mardi pm</v>
      </c>
      <c r="P1042" s="5">
        <f t="shared" si="68"/>
        <v>4</v>
      </c>
    </row>
    <row r="1043" spans="1:16" ht="15.75" customHeight="1" x14ac:dyDescent="0.25">
      <c r="A1043" s="6" t="s">
        <v>1395</v>
      </c>
      <c r="B1043" s="6" cm="1">
        <f t="array" ref="B1043">alea_int(Settings!$B$10,1,Settings!$B$16)</f>
        <v>3</v>
      </c>
      <c r="C1043" s="8">
        <v>46023</v>
      </c>
      <c r="D1043" s="8">
        <f t="shared" si="65"/>
        <v>46387</v>
      </c>
      <c r="E1043" s="6" t="str" cm="1">
        <f t="array" ref="E1043">choice(Groupes!A:A,1,Settings!$B$16)</f>
        <v>G22</v>
      </c>
      <c r="F1043" s="6" t="str">
        <f t="shared" si="66"/>
        <v>G22</v>
      </c>
      <c r="G1043" s="6" t="str">
        <f t="shared" si="67"/>
        <v>Prof4</v>
      </c>
      <c r="H1043" s="6" t="str" cm="1">
        <f t="array" ref="H1043">choice(Referentiel!A:A,1,Settings!$B$16)</f>
        <v>Gr SPATIAL MEDIA</v>
      </c>
      <c r="I1043" s="6" t="str" cm="1">
        <f t="array" ref="I1043">choice(Referentiel!B:B,1,Settings!$B$16)</f>
        <v>4ème année Design Textile et Matière S2</v>
      </c>
      <c r="J1043" s="6" t="str" cm="1">
        <f t="array" ref="J1043">choice(Referentiel!D:D,1,Settings!$B$16)</f>
        <v>M2</v>
      </c>
      <c r="K1043" s="6" t="str" cm="1">
        <f t="array" ref="K1043">choice(Professeurs!B:B,1,Settings!$B$16)</f>
        <v>Prof4</v>
      </c>
      <c r="L1043" s="5" t="str" cm="1">
        <f t="array" ref="L1043">choice(Referentiel!C:C,1,Settings!$B$16)</f>
        <v/>
      </c>
      <c r="M1043" s="5" t="str" cm="1">
        <f t="array" ref="M1043">choice(Referentiel!E:E,1,Settings!$B$16)</f>
        <v/>
      </c>
      <c r="N1043" s="5" t="str" cm="1">
        <f t="array" ref="N1043">choice(Settings!K:K,1,Settings!$B$16)</f>
        <v/>
      </c>
      <c r="P1043" s="5">
        <f t="shared" si="68"/>
        <v>3</v>
      </c>
    </row>
    <row r="1044" spans="1:16" ht="15.75" customHeight="1" x14ac:dyDescent="0.25">
      <c r="A1044" s="6" t="s">
        <v>1396</v>
      </c>
      <c r="B1044" s="6" cm="1">
        <f t="array" ref="B1044">alea_int(Settings!$B$10,1,Settings!$B$16)</f>
        <v>3</v>
      </c>
      <c r="C1044" s="8">
        <v>46023</v>
      </c>
      <c r="D1044" s="8">
        <f t="shared" si="65"/>
        <v>46387</v>
      </c>
      <c r="E1044" s="6" t="str" cm="1">
        <f t="array" ref="E1044">choice(Groupes!A:A,1,Settings!$B$16)</f>
        <v>G16</v>
      </c>
      <c r="F1044" s="6" t="str">
        <f t="shared" si="66"/>
        <v>G16</v>
      </c>
      <c r="G1044" s="6" t="str">
        <f t="shared" si="67"/>
        <v>Prof50</v>
      </c>
      <c r="H1044" s="6" t="str" cm="1">
        <f t="array" ref="H1044">choice(Referentiel!A:A,1,Settings!$B$16)</f>
        <v>Design des mondes montagneux</v>
      </c>
      <c r="I1044" s="6" t="str" cm="1">
        <f t="array" ref="I1044">choice(Referentiel!B:B,1,Settings!$B$16)</f>
        <v>4ème année Scénographie S1</v>
      </c>
      <c r="J1044" s="6" t="str" cm="1">
        <f t="array" ref="J1044">choice(Referentiel!D:D,1,Settings!$B$16)</f>
        <v>L2</v>
      </c>
      <c r="K1044" s="6" t="str" cm="1">
        <f t="array" ref="K1044">choice(Professeurs!B:B,1,Settings!$B$16)</f>
        <v>Prof50</v>
      </c>
      <c r="L1044" s="5" t="str" cm="1">
        <f t="array" ref="L1044">choice(Referentiel!C:C,1,Settings!$B$16)</f>
        <v/>
      </c>
      <c r="M1044" s="5" t="str" cm="1">
        <f t="array" ref="M1044">choice(Referentiel!E:E,1,Settings!$B$16)</f>
        <v/>
      </c>
      <c r="N1044" s="5" t="str" cm="1">
        <f t="array" ref="N1044">choice(Settings!K:K,1,Settings!$B$16)</f>
        <v>mardi am</v>
      </c>
      <c r="P1044" s="5">
        <f t="shared" si="68"/>
        <v>5</v>
      </c>
    </row>
    <row r="1045" spans="1:16" ht="15.75" customHeight="1" x14ac:dyDescent="0.25">
      <c r="A1045" s="6" t="s">
        <v>1397</v>
      </c>
      <c r="B1045" s="6" cm="1">
        <f t="array" ref="B1045">alea_int(Settings!$B$10,1,Settings!$B$16)</f>
        <v>1</v>
      </c>
      <c r="C1045" s="8">
        <v>46023</v>
      </c>
      <c r="D1045" s="8">
        <f t="shared" si="65"/>
        <v>46387</v>
      </c>
      <c r="E1045" s="6" t="str" cm="1">
        <f t="array" ref="E1045">choice(Groupes!A:A,1,Settings!$B$16)</f>
        <v>G9</v>
      </c>
      <c r="F1045" s="6" t="str">
        <f t="shared" si="66"/>
        <v>G9</v>
      </c>
      <c r="G1045" s="6" t="str">
        <f t="shared" si="67"/>
        <v>Prof17</v>
      </c>
      <c r="H1045" s="6" t="str" cm="1">
        <f t="array" ref="H1045">choice(Referentiel!A:A,1,Settings!$B$16)</f>
        <v>1ère année Groupe 1</v>
      </c>
      <c r="I1045" s="6" t="str" cm="1">
        <f t="array" ref="I1045">choice(Referentiel!B:B,1,Settings!$B$16)</f>
        <v>2ème année Design Textile et Matière S2</v>
      </c>
      <c r="J1045" s="6" t="str" cm="1">
        <f t="array" ref="J1045">choice(Referentiel!D:D,1,Settings!$B$16)</f>
        <v>M2</v>
      </c>
      <c r="K1045" s="6" t="str" cm="1">
        <f t="array" ref="K1045">choice(Professeurs!B:B,1,Settings!$B$16)</f>
        <v>Prof17</v>
      </c>
      <c r="L1045" s="5" t="str" cm="1">
        <f t="array" ref="L1045">choice(Referentiel!C:C,1,Settings!$B$16)</f>
        <v/>
      </c>
      <c r="M1045" s="5" t="str" cm="1">
        <f t="array" ref="M1045">choice(Referentiel!E:E,1,Settings!$B$16)</f>
        <v/>
      </c>
      <c r="N1045" s="5" t="str" cm="1">
        <f t="array" ref="N1045">choice(Settings!K:K,1,Settings!$B$16)</f>
        <v/>
      </c>
      <c r="P1045" s="5">
        <f t="shared" si="68"/>
        <v>1</v>
      </c>
    </row>
    <row r="1046" spans="1:16" ht="15.75" customHeight="1" x14ac:dyDescent="0.25">
      <c r="A1046" s="6" t="s">
        <v>1398</v>
      </c>
      <c r="B1046" s="6" cm="1">
        <f t="array" ref="B1046">alea_int(Settings!$B$10,1,Settings!$B$16)</f>
        <v>2</v>
      </c>
      <c r="C1046" s="8">
        <v>46023</v>
      </c>
      <c r="D1046" s="8">
        <f t="shared" si="65"/>
        <v>46387</v>
      </c>
      <c r="E1046" s="6" t="str" cm="1">
        <f t="array" ref="E1046">choice(Groupes!A:A,1,Settings!$B$16)</f>
        <v>G26</v>
      </c>
      <c r="F1046" s="6" t="str">
        <f t="shared" si="66"/>
        <v>G26</v>
      </c>
      <c r="G1046" s="6" t="str">
        <f t="shared" si="67"/>
        <v>Prof33</v>
      </c>
      <c r="H1046" s="6" t="str" cm="1">
        <f t="array" ref="H1046">choice(Referentiel!A:A,1,Settings!$B$16)</f>
        <v>Design des mondes ruraux</v>
      </c>
      <c r="I1046" s="6" t="str" cm="1">
        <f t="array" ref="I1046">choice(Referentiel!B:B,1,Settings!$B$16)</f>
        <v>3ème année Design Graphique S1</v>
      </c>
      <c r="J1046" s="6" t="str" cm="1">
        <f t="array" ref="J1046">choice(Referentiel!D:D,1,Settings!$B$16)</f>
        <v>L2</v>
      </c>
      <c r="K1046" s="6" t="str" cm="1">
        <f t="array" ref="K1046">choice(Professeurs!B:B,1,Settings!$B$16)</f>
        <v>Prof33</v>
      </c>
      <c r="L1046" s="5" t="str" cm="1">
        <f t="array" ref="L1046">choice(Referentiel!C:C,1,Settings!$B$16)</f>
        <v/>
      </c>
      <c r="M1046" s="5" t="str" cm="1">
        <f t="array" ref="M1046">choice(Referentiel!E:E,1,Settings!$B$16)</f>
        <v/>
      </c>
      <c r="N1046" s="5" t="str" cm="1">
        <f t="array" ref="N1046">choice(Settings!K:K,1,Settings!$B$16)</f>
        <v/>
      </c>
      <c r="P1046" s="5">
        <f t="shared" si="68"/>
        <v>2</v>
      </c>
    </row>
    <row r="1047" spans="1:16" ht="15.75" customHeight="1" x14ac:dyDescent="0.25">
      <c r="A1047" s="6" t="s">
        <v>1399</v>
      </c>
      <c r="B1047" s="6" cm="1">
        <f t="array" ref="B1047">alea_int(Settings!$B$10,1,Settings!$B$16)</f>
        <v>1</v>
      </c>
      <c r="C1047" s="8">
        <v>46023</v>
      </c>
      <c r="D1047" s="8">
        <f t="shared" si="65"/>
        <v>46387</v>
      </c>
      <c r="E1047" s="6" t="str" cm="1">
        <f t="array" ref="E1047">choice(Groupes!A:A,1,Settings!$B$16)</f>
        <v>G2</v>
      </c>
      <c r="F1047" s="6" t="str">
        <f t="shared" si="66"/>
        <v>G2</v>
      </c>
      <c r="G1047" s="6" t="str">
        <f t="shared" si="67"/>
        <v>Prof47</v>
      </c>
      <c r="H1047" s="6" t="str" cm="1">
        <f t="array" ref="H1047">choice(Referentiel!A:A,1,Settings!$B$16)</f>
        <v>Design Graphique</v>
      </c>
      <c r="I1047" s="6" t="str" cm="1">
        <f t="array" ref="I1047">choice(Referentiel!B:B,1,Settings!$B$16)</f>
        <v>2ème année Design Graphique S2</v>
      </c>
      <c r="J1047" s="6" t="str" cm="1">
        <f t="array" ref="J1047">choice(Referentiel!D:D,1,Settings!$B$16)</f>
        <v>L3</v>
      </c>
      <c r="K1047" s="6" t="str" cm="1">
        <f t="array" ref="K1047">choice(Professeurs!B:B,1,Settings!$B$16)</f>
        <v>Prof47</v>
      </c>
      <c r="L1047" s="5" t="str" cm="1">
        <f t="array" ref="L1047">choice(Referentiel!C:C,1,Settings!$B$16)</f>
        <v/>
      </c>
      <c r="M1047" s="5" t="str" cm="1">
        <f t="array" ref="M1047">choice(Referentiel!E:E,1,Settings!$B$16)</f>
        <v/>
      </c>
      <c r="N1047" s="5" t="str" cm="1">
        <f t="array" ref="N1047">choice(Settings!K:K,1,Settings!$B$16)</f>
        <v>lundi pm</v>
      </c>
      <c r="P1047" s="5">
        <f t="shared" si="68"/>
        <v>3</v>
      </c>
    </row>
    <row r="1048" spans="1:16" ht="15.75" customHeight="1" x14ac:dyDescent="0.25">
      <c r="A1048" s="6" t="s">
        <v>1400</v>
      </c>
      <c r="B1048" s="6" cm="1">
        <f t="array" ref="B1048">alea_int(Settings!$B$10,1,Settings!$B$16)</f>
        <v>2</v>
      </c>
      <c r="C1048" s="8">
        <v>46023</v>
      </c>
      <c r="D1048" s="8">
        <f t="shared" si="65"/>
        <v>46387</v>
      </c>
      <c r="E1048" s="6" t="str" cm="1">
        <f t="array" ref="E1048">choice(Groupes!A:A,1,Settings!$B$16)</f>
        <v>G8</v>
      </c>
      <c r="F1048" s="6" t="str">
        <f t="shared" si="66"/>
        <v>G8</v>
      </c>
      <c r="G1048" s="6" t="str">
        <f t="shared" si="67"/>
        <v>Prof44</v>
      </c>
      <c r="H1048" s="6" t="str" cm="1">
        <f t="array" ref="H1048">choice(Referentiel!A:A,1,Settings!$B$16)</f>
        <v>Image Imprimée</v>
      </c>
      <c r="I1048" s="6" t="str" cm="1">
        <f t="array" ref="I1048">choice(Referentiel!B:B,1,Settings!$B$16)</f>
        <v>1ère Année Groupe 2 S1</v>
      </c>
      <c r="J1048" s="6" t="str" cm="1">
        <f t="array" ref="J1048">choice(Referentiel!D:D,1,Settings!$B$16)</f>
        <v>M2</v>
      </c>
      <c r="K1048" s="6" t="str" cm="1">
        <f t="array" ref="K1048">choice(Professeurs!B:B,1,Settings!$B$16)</f>
        <v>Prof44</v>
      </c>
      <c r="L1048" s="5" t="str" cm="1">
        <f t="array" ref="L1048">choice(Referentiel!C:C,1,Settings!$B$16)</f>
        <v/>
      </c>
      <c r="M1048" s="5" t="str" cm="1">
        <f t="array" ref="M1048">choice(Referentiel!E:E,1,Settings!$B$16)</f>
        <v/>
      </c>
      <c r="N1048" s="5" t="str" cm="1">
        <f t="array" ref="N1048">choice(Settings!K:K,1,Settings!$B$16)</f>
        <v/>
      </c>
      <c r="P1048" s="5">
        <f t="shared" si="68"/>
        <v>2</v>
      </c>
    </row>
    <row r="1049" spans="1:16" ht="15.75" customHeight="1" x14ac:dyDescent="0.25">
      <c r="A1049" s="6" t="s">
        <v>1401</v>
      </c>
      <c r="B1049" s="6" cm="1">
        <f t="array" ref="B1049">alea_int(Settings!$B$10,1,Settings!$B$16)</f>
        <v>3</v>
      </c>
      <c r="C1049" s="8">
        <v>46023</v>
      </c>
      <c r="D1049" s="8">
        <f t="shared" si="65"/>
        <v>46387</v>
      </c>
      <c r="E1049" s="6" t="str" cm="1">
        <f t="array" ref="E1049">choice(Groupes!A:A,1,Settings!$B$16)</f>
        <v>G18</v>
      </c>
      <c r="F1049" s="6" t="str">
        <f t="shared" si="66"/>
        <v>G18</v>
      </c>
      <c r="G1049" s="6" t="str">
        <f t="shared" si="67"/>
        <v>Prof47</v>
      </c>
      <c r="H1049" s="6" t="str" cm="1">
        <f t="array" ref="H1049">choice(Referentiel!A:A,1,Settings!$B$16)</f>
        <v>Design des mondes ruraux</v>
      </c>
      <c r="I1049" s="6" t="str" cm="1">
        <f t="array" ref="I1049">choice(Referentiel!B:B,1,Settings!$B$16)</f>
        <v>3ème année Cinéma d'Animation S1</v>
      </c>
      <c r="J1049" s="6" t="str" cm="1">
        <f t="array" ref="J1049">choice(Referentiel!D:D,1,Settings!$B$16)</f>
        <v>L2</v>
      </c>
      <c r="K1049" s="6" t="str" cm="1">
        <f t="array" ref="K1049">choice(Professeurs!B:B,1,Settings!$B$16)</f>
        <v>Prof47</v>
      </c>
      <c r="L1049" s="5" t="str" cm="1">
        <f t="array" ref="L1049">choice(Referentiel!C:C,1,Settings!$B$16)</f>
        <v/>
      </c>
      <c r="M1049" s="5" t="str" cm="1">
        <f t="array" ref="M1049">choice(Referentiel!E:E,1,Settings!$B$16)</f>
        <v/>
      </c>
      <c r="N1049" s="5" t="str" cm="1">
        <f t="array" ref="N1049">choice(Settings!K:K,1,Settings!$B$16)</f>
        <v/>
      </c>
      <c r="P1049" s="5">
        <f t="shared" si="68"/>
        <v>3</v>
      </c>
    </row>
    <row r="1050" spans="1:16" ht="15.75" customHeight="1" x14ac:dyDescent="0.25">
      <c r="A1050" s="6" t="s">
        <v>1402</v>
      </c>
      <c r="B1050" s="6" cm="1">
        <f t="array" ref="B1050">alea_int(Settings!$B$10,1,Settings!$B$16)</f>
        <v>3</v>
      </c>
      <c r="C1050" s="8">
        <v>46023</v>
      </c>
      <c r="D1050" s="8">
        <f t="shared" si="65"/>
        <v>46387</v>
      </c>
      <c r="E1050" s="6" t="str" cm="1">
        <f t="array" ref="E1050">choice(Groupes!A:A,1,Settings!$B$16)</f>
        <v>G18</v>
      </c>
      <c r="F1050" s="6" t="str">
        <f t="shared" si="66"/>
        <v>G18</v>
      </c>
      <c r="G1050" s="6" t="str">
        <f t="shared" si="67"/>
        <v>Prof53</v>
      </c>
      <c r="H1050" s="6" t="str" cm="1">
        <f t="array" ref="H1050">choice(Referentiel!A:A,1,Settings!$B$16)</f>
        <v>Design des mondes littoraux</v>
      </c>
      <c r="I1050" s="6" t="str" cm="1">
        <f t="array" ref="I1050">choice(Referentiel!B:B,1,Settings!$B$16)</f>
        <v>2ème année Architecture Intérieure S2</v>
      </c>
      <c r="J1050" s="6" t="str" cm="1">
        <f t="array" ref="J1050">choice(Referentiel!D:D,1,Settings!$B$16)</f>
        <v>L1</v>
      </c>
      <c r="K1050" s="6" t="str" cm="1">
        <f t="array" ref="K1050">choice(Professeurs!B:B,1,Settings!$B$16)</f>
        <v>Prof53</v>
      </c>
      <c r="L1050" s="5" t="str" cm="1">
        <f t="array" ref="L1050">choice(Referentiel!C:C,1,Settings!$B$16)</f>
        <v/>
      </c>
      <c r="M1050" s="5" t="str" cm="1">
        <f t="array" ref="M1050">choice(Referentiel!E:E,1,Settings!$B$16)</f>
        <v/>
      </c>
      <c r="N1050" s="5" t="str" cm="1">
        <f t="array" ref="N1050">choice(Settings!K:K,1,Settings!$B$16)</f>
        <v>lundi am</v>
      </c>
      <c r="P1050" s="5">
        <f t="shared" si="68"/>
        <v>5</v>
      </c>
    </row>
    <row r="1051" spans="1:16" ht="15.75" customHeight="1" x14ac:dyDescent="0.25">
      <c r="A1051" s="6" t="s">
        <v>1403</v>
      </c>
      <c r="B1051" s="6" cm="1">
        <f t="array" ref="B1051">alea_int(Settings!$B$10,1,Settings!$B$16)</f>
        <v>2</v>
      </c>
      <c r="C1051" s="8">
        <v>46023</v>
      </c>
      <c r="D1051" s="8">
        <f t="shared" si="65"/>
        <v>46387</v>
      </c>
      <c r="E1051" s="6" t="str" cm="1">
        <f t="array" ref="E1051">choice(Groupes!A:A,1,Settings!$B$16)</f>
        <v>G16</v>
      </c>
      <c r="F1051" s="6" t="str">
        <f t="shared" si="66"/>
        <v>G16</v>
      </c>
      <c r="G1051" s="6" t="str">
        <f t="shared" si="67"/>
        <v>Prof52</v>
      </c>
      <c r="H1051" s="6" t="str" cm="1">
        <f t="array" ref="H1051">choice(Referentiel!A:A,1,Settings!$B$16)</f>
        <v>Gr REFLECTIVE INTERACTION</v>
      </c>
      <c r="I1051" s="6" t="str" cm="1">
        <f t="array" ref="I1051">choice(Referentiel!B:B,1,Settings!$B$16)</f>
        <v>5ème année Architecture Intérieure S1</v>
      </c>
      <c r="J1051" s="6" t="str" cm="1">
        <f t="array" ref="J1051">choice(Referentiel!D:D,1,Settings!$B$16)</f>
        <v>M1</v>
      </c>
      <c r="K1051" s="6" t="str" cm="1">
        <f t="array" ref="K1051">choice(Professeurs!B:B,1,Settings!$B$16)</f>
        <v>Prof52</v>
      </c>
      <c r="L1051" s="5" t="str" cm="1">
        <f t="array" ref="L1051">choice(Referentiel!C:C,1,Settings!$B$16)</f>
        <v/>
      </c>
      <c r="M1051" s="5" t="str" cm="1">
        <f t="array" ref="M1051">choice(Referentiel!E:E,1,Settings!$B$16)</f>
        <v/>
      </c>
      <c r="N1051" s="5" t="str" cm="1">
        <f t="array" ref="N1051">choice(Settings!K:K,1,Settings!$B$16)</f>
        <v>mardi am</v>
      </c>
      <c r="P1051" s="5">
        <f t="shared" si="68"/>
        <v>4</v>
      </c>
    </row>
    <row r="1052" spans="1:16" ht="15.75" customHeight="1" x14ac:dyDescent="0.25">
      <c r="A1052" s="6" t="s">
        <v>1404</v>
      </c>
      <c r="B1052" s="6" cm="1">
        <f t="array" ref="B1052">alea_int(Settings!$B$10,1,Settings!$B$16)</f>
        <v>2</v>
      </c>
      <c r="C1052" s="8">
        <v>46023</v>
      </c>
      <c r="D1052" s="8">
        <f t="shared" si="65"/>
        <v>46387</v>
      </c>
      <c r="E1052" s="6" t="str" cm="1">
        <f t="array" ref="E1052">choice(Groupes!A:A,1,Settings!$B$16)</f>
        <v>G29</v>
      </c>
      <c r="F1052" s="6" t="str">
        <f t="shared" si="66"/>
        <v>G29</v>
      </c>
      <c r="G1052" s="6" t="str">
        <f t="shared" si="67"/>
        <v>Prof5</v>
      </c>
      <c r="H1052" s="6" t="str" cm="1">
        <f t="array" ref="H1052">choice(Referentiel!A:A,1,Settings!$B$16)</f>
        <v>Gr SOFT MATTERS</v>
      </c>
      <c r="I1052" s="6" t="str" cm="1">
        <f t="array" ref="I1052">choice(Referentiel!B:B,1,Settings!$B$16)</f>
        <v>5ème année Design Objet S2</v>
      </c>
      <c r="J1052" s="6" t="str" cm="1">
        <f t="array" ref="J1052">choice(Referentiel!D:D,1,Settings!$B$16)</f>
        <v>L1</v>
      </c>
      <c r="K1052" s="6" t="str" cm="1">
        <f t="array" ref="K1052">choice(Professeurs!B:B,1,Settings!$B$16)</f>
        <v>Prof5</v>
      </c>
      <c r="L1052" s="5" t="str" cm="1">
        <f t="array" ref="L1052">choice(Referentiel!C:C,1,Settings!$B$16)</f>
        <v/>
      </c>
      <c r="M1052" s="5" t="str" cm="1">
        <f t="array" ref="M1052">choice(Referentiel!E:E,1,Settings!$B$16)</f>
        <v/>
      </c>
      <c r="N1052" s="5" t="str" cm="1">
        <f t="array" ref="N1052">choice(Settings!K:K,1,Settings!$B$16)</f>
        <v/>
      </c>
      <c r="P1052" s="5">
        <f t="shared" si="68"/>
        <v>2</v>
      </c>
    </row>
    <row r="1053" spans="1:16" ht="15.75" customHeight="1" x14ac:dyDescent="0.25">
      <c r="A1053" s="6" t="s">
        <v>1405</v>
      </c>
      <c r="B1053" s="6" cm="1">
        <f t="array" ref="B1053">alea_int(Settings!$B$10,1,Settings!$B$16)</f>
        <v>1</v>
      </c>
      <c r="C1053" s="8">
        <v>46023</v>
      </c>
      <c r="D1053" s="8">
        <f t="shared" si="65"/>
        <v>46387</v>
      </c>
      <c r="E1053" s="6" t="str" cm="1">
        <f t="array" ref="E1053">choice(Groupes!A:A,1,Settings!$B$16)</f>
        <v>G21</v>
      </c>
      <c r="F1053" s="6" t="str">
        <f t="shared" si="66"/>
        <v>G21</v>
      </c>
      <c r="G1053" s="6" t="str">
        <f t="shared" si="67"/>
        <v>Prof55</v>
      </c>
      <c r="H1053" s="6" t="str" cm="1">
        <f t="array" ref="H1053">choice(Referentiel!A:A,1,Settings!$B$16)</f>
        <v>Gr TERRITOIRES</v>
      </c>
      <c r="I1053" s="6" t="str" cm="1">
        <f t="array" ref="I1053">choice(Referentiel!B:B,1,Settings!$B$16)</f>
        <v>4ème année Scénographie S2</v>
      </c>
      <c r="J1053" s="6" t="str" cm="1">
        <f t="array" ref="J1053">choice(Referentiel!D:D,1,Settings!$B$16)</f>
        <v>M2</v>
      </c>
      <c r="K1053" s="6" t="str" cm="1">
        <f t="array" ref="K1053">choice(Professeurs!B:B,1,Settings!$B$16)</f>
        <v>Prof55</v>
      </c>
      <c r="L1053" s="5" t="str" cm="1">
        <f t="array" ref="L1053">choice(Referentiel!C:C,1,Settings!$B$16)</f>
        <v/>
      </c>
      <c r="M1053" s="5" t="str" cm="1">
        <f t="array" ref="M1053">choice(Referentiel!E:E,1,Settings!$B$16)</f>
        <v/>
      </c>
      <c r="N1053" s="5" t="str" cm="1">
        <f t="array" ref="N1053">choice(Settings!K:K,1,Settings!$B$16)</f>
        <v/>
      </c>
      <c r="P1053" s="5">
        <f t="shared" si="68"/>
        <v>1</v>
      </c>
    </row>
    <row r="1054" spans="1:16" ht="15.75" customHeight="1" x14ac:dyDescent="0.25">
      <c r="A1054" s="6" t="s">
        <v>1406</v>
      </c>
      <c r="B1054" s="6" cm="1">
        <f t="array" ref="B1054">alea_int(Settings!$B$10,1,Settings!$B$16)</f>
        <v>2</v>
      </c>
      <c r="C1054" s="8">
        <v>46023</v>
      </c>
      <c r="D1054" s="8">
        <f t="shared" si="65"/>
        <v>46387</v>
      </c>
      <c r="E1054" s="6" t="str" cm="1">
        <f t="array" ref="E1054">choice(Groupes!A:A,1,Settings!$B$16)</f>
        <v>G25</v>
      </c>
      <c r="F1054" s="6" t="str">
        <f t="shared" si="66"/>
        <v>G25</v>
      </c>
      <c r="G1054" s="6" t="str">
        <f t="shared" si="67"/>
        <v>Prof40</v>
      </c>
      <c r="H1054" s="6" t="str" cm="1">
        <f t="array" ref="H1054">choice(Referentiel!A:A,1,Settings!$B$16)</f>
        <v>Design des mondes insulaires</v>
      </c>
      <c r="I1054" s="6" t="str" cm="1">
        <f t="array" ref="I1054">choice(Referentiel!B:B,1,Settings!$B$16)</f>
        <v>2ème année Design Graphique S1</v>
      </c>
      <c r="J1054" s="6" t="str" cm="1">
        <f t="array" ref="J1054">choice(Referentiel!D:D,1,Settings!$B$16)</f>
        <v>L3</v>
      </c>
      <c r="K1054" s="6" t="str" cm="1">
        <f t="array" ref="K1054">choice(Professeurs!B:B,1,Settings!$B$16)</f>
        <v>Prof40</v>
      </c>
      <c r="L1054" s="5" t="str" cm="1">
        <f t="array" ref="L1054">choice(Referentiel!C:C,1,Settings!$B$16)</f>
        <v/>
      </c>
      <c r="M1054" s="5" t="str" cm="1">
        <f t="array" ref="M1054">choice(Referentiel!E:E,1,Settings!$B$16)</f>
        <v/>
      </c>
      <c r="N1054" s="5" t="str" cm="1">
        <f t="array" ref="N1054">choice(Settings!K:K,1,Settings!$B$16)</f>
        <v/>
      </c>
      <c r="P1054" s="5">
        <f t="shared" si="68"/>
        <v>2</v>
      </c>
    </row>
    <row r="1055" spans="1:16" ht="15.75" customHeight="1" x14ac:dyDescent="0.25">
      <c r="A1055" s="6" t="s">
        <v>1407</v>
      </c>
      <c r="B1055" s="6" cm="1">
        <f t="array" ref="B1055">alea_int(Settings!$B$10,1,Settings!$B$16)</f>
        <v>2</v>
      </c>
      <c r="C1055" s="8">
        <v>46023</v>
      </c>
      <c r="D1055" s="8">
        <f t="shared" si="65"/>
        <v>46387</v>
      </c>
      <c r="E1055" s="6" t="str" cm="1">
        <f t="array" ref="E1055">choice(Groupes!A:A,1,Settings!$B$16)</f>
        <v>G14</v>
      </c>
      <c r="F1055" s="6" t="str">
        <f t="shared" si="66"/>
        <v>G14</v>
      </c>
      <c r="G1055" s="6" t="str">
        <f t="shared" si="67"/>
        <v>Prof6</v>
      </c>
      <c r="H1055" s="6" t="str" cm="1">
        <f t="array" ref="H1055">choice(Referentiel!A:A,1,Settings!$B$16)</f>
        <v>1ère année Groupe 3</v>
      </c>
      <c r="I1055" s="6" t="str" cm="1">
        <f t="array" ref="I1055">choice(Referentiel!B:B,1,Settings!$B$16)</f>
        <v>4ème année Scénographie S1</v>
      </c>
      <c r="J1055" s="6" t="str" cm="1">
        <f t="array" ref="J1055">choice(Referentiel!D:D,1,Settings!$B$16)</f>
        <v>L3</v>
      </c>
      <c r="K1055" s="6" t="str" cm="1">
        <f t="array" ref="K1055">choice(Professeurs!B:B,1,Settings!$B$16)</f>
        <v>Prof6</v>
      </c>
      <c r="L1055" s="5" t="str" cm="1">
        <f t="array" ref="L1055">choice(Referentiel!C:C,1,Settings!$B$16)</f>
        <v/>
      </c>
      <c r="M1055" s="5" t="str" cm="1">
        <f t="array" ref="M1055">choice(Referentiel!E:E,1,Settings!$B$16)</f>
        <v>Salle4</v>
      </c>
      <c r="N1055" s="5" t="str" cm="1">
        <f t="array" ref="N1055">choice(Settings!K:K,1,Settings!$B$16)</f>
        <v>lundi am</v>
      </c>
      <c r="P1055" s="5">
        <f t="shared" si="68"/>
        <v>6</v>
      </c>
    </row>
    <row r="1056" spans="1:16" ht="15.75" customHeight="1" x14ac:dyDescent="0.25">
      <c r="A1056" s="6" t="s">
        <v>1408</v>
      </c>
      <c r="B1056" s="6" cm="1">
        <f t="array" ref="B1056">alea_int(Settings!$B$10,1,Settings!$B$16)</f>
        <v>1</v>
      </c>
      <c r="C1056" s="8">
        <v>46023</v>
      </c>
      <c r="D1056" s="8">
        <f t="shared" si="65"/>
        <v>46387</v>
      </c>
      <c r="E1056" s="6" t="str" cm="1">
        <f t="array" ref="E1056">choice(Groupes!A:A,1,Settings!$B$16)</f>
        <v>G8</v>
      </c>
      <c r="F1056" s="6" t="str">
        <f t="shared" si="66"/>
        <v>G8</v>
      </c>
      <c r="G1056" s="6" t="str">
        <f t="shared" si="67"/>
        <v>Prof17</v>
      </c>
      <c r="H1056" s="6" t="str" cm="1">
        <f t="array" ref="H1056">choice(Referentiel!A:A,1,Settings!$B$16)</f>
        <v>Gr SYMBIOSE</v>
      </c>
      <c r="I1056" s="6" t="str" cm="1">
        <f t="array" ref="I1056">choice(Referentiel!B:B,1,Settings!$B$16)</f>
        <v>2ème année Image Imprimée S1</v>
      </c>
      <c r="J1056" s="6" t="str" cm="1">
        <f t="array" ref="J1056">choice(Referentiel!D:D,1,Settings!$B$16)</f>
        <v>M2</v>
      </c>
      <c r="K1056" s="6" t="str" cm="1">
        <f t="array" ref="K1056">choice(Professeurs!B:B,1,Settings!$B$16)</f>
        <v>Prof17</v>
      </c>
      <c r="L1056" s="5" t="str" cm="1">
        <f t="array" ref="L1056">choice(Referentiel!C:C,1,Settings!$B$16)</f>
        <v/>
      </c>
      <c r="M1056" s="5" t="str" cm="1">
        <f t="array" ref="M1056">choice(Referentiel!E:E,1,Settings!$B$16)</f>
        <v/>
      </c>
      <c r="N1056" s="5" t="str" cm="1">
        <f t="array" ref="N1056">choice(Settings!K:K,1,Settings!$B$16)</f>
        <v/>
      </c>
      <c r="P1056" s="5">
        <f t="shared" si="68"/>
        <v>1</v>
      </c>
    </row>
    <row r="1057" spans="1:16" ht="15.75" customHeight="1" x14ac:dyDescent="0.25">
      <c r="A1057" s="6" t="s">
        <v>1409</v>
      </c>
      <c r="B1057" s="6" cm="1">
        <f t="array" ref="B1057">alea_int(Settings!$B$10,1,Settings!$B$16)</f>
        <v>1</v>
      </c>
      <c r="C1057" s="8">
        <v>46023</v>
      </c>
      <c r="D1057" s="8">
        <f t="shared" si="65"/>
        <v>46387</v>
      </c>
      <c r="E1057" s="6" t="str" cm="1">
        <f t="array" ref="E1057">choice(Groupes!A:A,1,Settings!$B$16)</f>
        <v>G20</v>
      </c>
      <c r="F1057" s="6" t="str">
        <f t="shared" si="66"/>
        <v>G20</v>
      </c>
      <c r="G1057" s="6" t="str">
        <f t="shared" si="67"/>
        <v>Prof40</v>
      </c>
      <c r="H1057" s="6" t="str" cm="1">
        <f t="array" ref="H1057">choice(Referentiel!A:A,1,Settings!$B$16)</f>
        <v>Design Objet</v>
      </c>
      <c r="I1057" s="6" t="str" cm="1">
        <f t="array" ref="I1057">choice(Referentiel!B:B,1,Settings!$B$16)</f>
        <v>2ème année Architecture Intérieure S1</v>
      </c>
      <c r="J1057" s="6" t="str" cm="1">
        <f t="array" ref="J1057">choice(Referentiel!D:D,1,Settings!$B$16)</f>
        <v>L2</v>
      </c>
      <c r="K1057" s="6" t="str" cm="1">
        <f t="array" ref="K1057">choice(Professeurs!B:B,1,Settings!$B$16)</f>
        <v>Prof40</v>
      </c>
      <c r="L1057" s="5" t="str" cm="1">
        <f t="array" ref="L1057">choice(Referentiel!C:C,1,Settings!$B$16)</f>
        <v/>
      </c>
      <c r="M1057" s="5" t="str" cm="1">
        <f t="array" ref="M1057">choice(Referentiel!E:E,1,Settings!$B$16)</f>
        <v/>
      </c>
      <c r="N1057" s="5" t="str" cm="1">
        <f t="array" ref="N1057">choice(Settings!K:K,1,Settings!$B$16)</f>
        <v/>
      </c>
      <c r="P1057" s="5">
        <f t="shared" si="68"/>
        <v>1</v>
      </c>
    </row>
    <row r="1058" spans="1:16" ht="15.75" customHeight="1" x14ac:dyDescent="0.25">
      <c r="A1058" s="6" t="s">
        <v>1410</v>
      </c>
      <c r="B1058" s="6" cm="1">
        <f t="array" ref="B1058">alea_int(Settings!$B$10,1,Settings!$B$16)</f>
        <v>2</v>
      </c>
      <c r="C1058" s="8">
        <v>46023</v>
      </c>
      <c r="D1058" s="8">
        <f t="shared" si="65"/>
        <v>46387</v>
      </c>
      <c r="E1058" s="6" t="str" cm="1">
        <f t="array" ref="E1058">choice(Groupes!A:A,1,Settings!$B$16)</f>
        <v>G16</v>
      </c>
      <c r="F1058" s="6" t="str">
        <f t="shared" si="66"/>
        <v>G16</v>
      </c>
      <c r="G1058" s="6" t="str">
        <f t="shared" si="67"/>
        <v>Prof24</v>
      </c>
      <c r="H1058" s="6" t="str" cm="1">
        <f t="array" ref="H1058">choice(Referentiel!A:A,1,Settings!$B$16)</f>
        <v>Image Imprimée</v>
      </c>
      <c r="I1058" s="6" t="str" cm="1">
        <f t="array" ref="I1058">choice(Referentiel!B:B,1,Settings!$B$16)</f>
        <v>4ème année Photo / Vidéo S1</v>
      </c>
      <c r="J1058" s="6" t="str" cm="1">
        <f t="array" ref="J1058">choice(Referentiel!D:D,1,Settings!$B$16)</f>
        <v>M1</v>
      </c>
      <c r="K1058" s="6" t="str" cm="1">
        <f t="array" ref="K1058">choice(Professeurs!B:B,1,Settings!$B$16)</f>
        <v>Prof24</v>
      </c>
      <c r="L1058" s="5" t="str" cm="1">
        <f t="array" ref="L1058">choice(Referentiel!C:C,1,Settings!$B$16)</f>
        <v/>
      </c>
      <c r="M1058" s="5" t="str" cm="1">
        <f t="array" ref="M1058">choice(Referentiel!E:E,1,Settings!$B$16)</f>
        <v/>
      </c>
      <c r="N1058" s="5" t="str" cm="1">
        <f t="array" ref="N1058">choice(Settings!K:K,1,Settings!$B$16)</f>
        <v/>
      </c>
      <c r="P1058" s="5">
        <f t="shared" si="68"/>
        <v>2</v>
      </c>
    </row>
    <row r="1059" spans="1:16" ht="15.75" customHeight="1" x14ac:dyDescent="0.25">
      <c r="A1059" s="6" t="s">
        <v>1411</v>
      </c>
      <c r="B1059" s="6" cm="1">
        <f t="array" ref="B1059">alea_int(Settings!$B$10,1,Settings!$B$16)</f>
        <v>3</v>
      </c>
      <c r="C1059" s="8">
        <v>46023</v>
      </c>
      <c r="D1059" s="8">
        <f t="shared" si="65"/>
        <v>46387</v>
      </c>
      <c r="E1059" s="6" t="str" cm="1">
        <f t="array" ref="E1059">choice(Groupes!A:A,1,Settings!$B$16)</f>
        <v>G24</v>
      </c>
      <c r="F1059" s="6" t="str">
        <f t="shared" si="66"/>
        <v>G24</v>
      </c>
      <c r="G1059" s="6" t="str">
        <f t="shared" si="67"/>
        <v>Prof38</v>
      </c>
      <c r="H1059" s="6" t="str" cm="1">
        <f t="array" ref="H1059">choice(Referentiel!A:A,1,Settings!$B$16)</f>
        <v>6ème année atelier</v>
      </c>
      <c r="I1059" s="6" t="str" cm="1">
        <f t="array" ref="I1059">choice(Referentiel!B:B,1,Settings!$B$16)</f>
        <v>1ère Année Groupe 4 S2</v>
      </c>
      <c r="J1059" s="6" t="str" cm="1">
        <f t="array" ref="J1059">choice(Referentiel!D:D,1,Settings!$B$16)</f>
        <v>L3</v>
      </c>
      <c r="K1059" s="6" t="str" cm="1">
        <f t="array" ref="K1059">choice(Professeurs!B:B,1,Settings!$B$16)</f>
        <v>Prof38</v>
      </c>
      <c r="L1059" s="5" t="str" cm="1">
        <f t="array" ref="L1059">choice(Referentiel!C:C,1,Settings!$B$16)</f>
        <v/>
      </c>
      <c r="M1059" s="5" t="str" cm="1">
        <f t="array" ref="M1059">choice(Referentiel!E:E,1,Settings!$B$16)</f>
        <v/>
      </c>
      <c r="N1059" s="5" t="str" cm="1">
        <f t="array" ref="N1059">choice(Settings!K:K,1,Settings!$B$16)</f>
        <v/>
      </c>
      <c r="P1059" s="5">
        <f t="shared" si="68"/>
        <v>3</v>
      </c>
    </row>
    <row r="1060" spans="1:16" ht="15.75" customHeight="1" x14ac:dyDescent="0.25">
      <c r="A1060" s="6" t="s">
        <v>1412</v>
      </c>
      <c r="B1060" s="6" cm="1">
        <f t="array" ref="B1060">alea_int(Settings!$B$10,1,Settings!$B$16)</f>
        <v>2</v>
      </c>
      <c r="C1060" s="8">
        <v>46023</v>
      </c>
      <c r="D1060" s="8">
        <f t="shared" si="65"/>
        <v>46387</v>
      </c>
      <c r="E1060" s="6" t="str" cm="1">
        <f t="array" ref="E1060">choice(Groupes!A:A,1,Settings!$B$16)</f>
        <v>G28</v>
      </c>
      <c r="F1060" s="6" t="str">
        <f t="shared" si="66"/>
        <v>G28</v>
      </c>
      <c r="G1060" s="6" t="str">
        <f t="shared" si="67"/>
        <v>Prof45</v>
      </c>
      <c r="H1060" s="6" t="str" cm="1">
        <f t="array" ref="H1060">choice(Referentiel!A:A,1,Settings!$B$16)</f>
        <v>Design des mondes forestiers</v>
      </c>
      <c r="I1060" s="6" t="str" cm="1">
        <f t="array" ref="I1060">choice(Referentiel!B:B,1,Settings!$B$16)</f>
        <v>4ème année Design Objet S2</v>
      </c>
      <c r="J1060" s="6" t="str" cm="1">
        <f t="array" ref="J1060">choice(Referentiel!D:D,1,Settings!$B$16)</f>
        <v>M2</v>
      </c>
      <c r="K1060" s="6" t="str" cm="1">
        <f t="array" ref="K1060">choice(Professeurs!B:B,1,Settings!$B$16)</f>
        <v>Prof45</v>
      </c>
      <c r="L1060" s="5" t="str" cm="1">
        <f t="array" ref="L1060">choice(Referentiel!C:C,1,Settings!$B$16)</f>
        <v/>
      </c>
      <c r="M1060" s="5" t="str" cm="1">
        <f t="array" ref="M1060">choice(Referentiel!E:E,1,Settings!$B$16)</f>
        <v/>
      </c>
      <c r="N1060" s="5" t="str" cm="1">
        <f t="array" ref="N1060">choice(Settings!K:K,1,Settings!$B$16)</f>
        <v/>
      </c>
      <c r="P1060" s="5">
        <f t="shared" si="68"/>
        <v>2</v>
      </c>
    </row>
    <row r="1061" spans="1:16" ht="15.75" customHeight="1" x14ac:dyDescent="0.25">
      <c r="A1061" s="6" t="s">
        <v>1413</v>
      </c>
      <c r="B1061" s="6" cm="1">
        <f t="array" ref="B1061">alea_int(Settings!$B$10,1,Settings!$B$16)</f>
        <v>3</v>
      </c>
      <c r="C1061" s="8">
        <v>46023</v>
      </c>
      <c r="D1061" s="8">
        <f t="shared" si="65"/>
        <v>46387</v>
      </c>
      <c r="E1061" s="6" t="str" cm="1">
        <f t="array" ref="E1061">choice(Groupes!A:A,1,Settings!$B$16)</f>
        <v>G8</v>
      </c>
      <c r="F1061" s="6" t="str">
        <f t="shared" si="66"/>
        <v>G8</v>
      </c>
      <c r="G1061" s="6" t="str">
        <f t="shared" si="67"/>
        <v>Prof40</v>
      </c>
      <c r="H1061" s="6" t="str" cm="1">
        <f t="array" ref="H1061">choice(Referentiel!A:A,1,Settings!$B$16)</f>
        <v>Design Textile et Matière</v>
      </c>
      <c r="I1061" s="6" t="str" cm="1">
        <f t="array" ref="I1061">choice(Referentiel!B:B,1,Settings!$B$16)</f>
        <v>5ème année Design Graphique S2</v>
      </c>
      <c r="J1061" s="6" t="str" cm="1">
        <f t="array" ref="J1061">choice(Referentiel!D:D,1,Settings!$B$16)</f>
        <v>L2</v>
      </c>
      <c r="K1061" s="6" t="str" cm="1">
        <f t="array" ref="K1061">choice(Professeurs!B:B,1,Settings!$B$16)</f>
        <v>Prof40</v>
      </c>
      <c r="L1061" s="5" t="str" cm="1">
        <f t="array" ref="L1061">choice(Referentiel!C:C,1,Settings!$B$16)</f>
        <v/>
      </c>
      <c r="M1061" s="5" t="str" cm="1">
        <f t="array" ref="M1061">choice(Referentiel!E:E,1,Settings!$B$16)</f>
        <v/>
      </c>
      <c r="N1061" s="5" t="str" cm="1">
        <f t="array" ref="N1061">choice(Settings!K:K,1,Settings!$B$16)</f>
        <v/>
      </c>
      <c r="P1061" s="5">
        <f t="shared" si="68"/>
        <v>3</v>
      </c>
    </row>
    <row r="1062" spans="1:16" ht="15.75" customHeight="1" x14ac:dyDescent="0.25">
      <c r="A1062" s="6" t="s">
        <v>1414</v>
      </c>
      <c r="B1062" s="6" cm="1">
        <f t="array" ref="B1062">alea_int(Settings!$B$10,1,Settings!$B$16)</f>
        <v>1</v>
      </c>
      <c r="C1062" s="8">
        <v>46023</v>
      </c>
      <c r="D1062" s="8">
        <f t="shared" si="65"/>
        <v>46387</v>
      </c>
      <c r="E1062" s="6" t="str" cm="1">
        <f t="array" ref="E1062">choice(Groupes!A:A,1,Settings!$B$16)</f>
        <v>G6</v>
      </c>
      <c r="F1062" s="6" t="str">
        <f t="shared" si="66"/>
        <v>G6</v>
      </c>
      <c r="G1062" s="6" t="str">
        <f t="shared" si="67"/>
        <v>Prof54</v>
      </c>
      <c r="H1062" s="6" t="str" cm="1">
        <f t="array" ref="H1062">choice(Referentiel!A:A,1,Settings!$B$16)</f>
        <v>Gr REFLECTIVE INTERACTION</v>
      </c>
      <c r="I1062" s="6" t="str" cm="1">
        <f t="array" ref="I1062">choice(Referentiel!B:B,1,Settings!$B$16)</f>
        <v>5ème année Art-Espace S2</v>
      </c>
      <c r="J1062" s="6" t="str" cm="1">
        <f t="array" ref="J1062">choice(Referentiel!D:D,1,Settings!$B$16)</f>
        <v>L1</v>
      </c>
      <c r="K1062" s="6" t="str" cm="1">
        <f t="array" ref="K1062">choice(Professeurs!B:B,1,Settings!$B$16)</f>
        <v>Prof54</v>
      </c>
      <c r="L1062" s="5" t="str" cm="1">
        <f t="array" ref="L1062">choice(Referentiel!C:C,1,Settings!$B$16)</f>
        <v/>
      </c>
      <c r="M1062" s="5" t="str" cm="1">
        <f t="array" ref="M1062">choice(Referentiel!E:E,1,Settings!$B$16)</f>
        <v/>
      </c>
      <c r="N1062" s="5" t="str" cm="1">
        <f t="array" ref="N1062">choice(Settings!K:K,1,Settings!$B$16)</f>
        <v/>
      </c>
      <c r="P1062" s="5">
        <f t="shared" si="68"/>
        <v>1</v>
      </c>
    </row>
    <row r="1063" spans="1:16" ht="15.75" customHeight="1" x14ac:dyDescent="0.25">
      <c r="A1063" s="6" t="s">
        <v>1415</v>
      </c>
      <c r="B1063" s="6" cm="1">
        <f t="array" ref="B1063">alea_int(Settings!$B$10,1,Settings!$B$16)</f>
        <v>2</v>
      </c>
      <c r="C1063" s="8">
        <v>46023</v>
      </c>
      <c r="D1063" s="8">
        <f t="shared" si="65"/>
        <v>46387</v>
      </c>
      <c r="E1063" s="6" t="str" cm="1">
        <f t="array" ref="E1063">choice(Groupes!A:A,1,Settings!$B$16)</f>
        <v>G25</v>
      </c>
      <c r="F1063" s="6" t="str">
        <f t="shared" si="66"/>
        <v>G25</v>
      </c>
      <c r="G1063" s="6" t="str">
        <f t="shared" si="67"/>
        <v>Prof8</v>
      </c>
      <c r="H1063" s="6" t="str" cm="1">
        <f t="array" ref="H1063">choice(Referentiel!A:A,1,Settings!$B$16)</f>
        <v>Cinéma d'Animation</v>
      </c>
      <c r="I1063" s="6" t="str" cm="1">
        <f t="array" ref="I1063">choice(Referentiel!B:B,1,Settings!$B$16)</f>
        <v>3ème année Art-Espace S1</v>
      </c>
      <c r="J1063" s="6" t="str" cm="1">
        <f t="array" ref="J1063">choice(Referentiel!D:D,1,Settings!$B$16)</f>
        <v>L1</v>
      </c>
      <c r="K1063" s="6" t="str" cm="1">
        <f t="array" ref="K1063">choice(Professeurs!B:B,1,Settings!$B$16)</f>
        <v>Prof8</v>
      </c>
      <c r="L1063" s="5" t="str" cm="1">
        <f t="array" ref="L1063">choice(Referentiel!C:C,1,Settings!$B$16)</f>
        <v/>
      </c>
      <c r="M1063" s="5" t="str" cm="1">
        <f t="array" ref="M1063">choice(Referentiel!E:E,1,Settings!$B$16)</f>
        <v/>
      </c>
      <c r="N1063" s="5" t="str" cm="1">
        <f t="array" ref="N1063">choice(Settings!K:K,1,Settings!$B$16)</f>
        <v>mercredi ap</v>
      </c>
      <c r="P1063" s="5">
        <f t="shared" si="68"/>
        <v>4</v>
      </c>
    </row>
    <row r="1064" spans="1:16" ht="15.75" customHeight="1" x14ac:dyDescent="0.25">
      <c r="A1064" s="6" t="s">
        <v>1416</v>
      </c>
      <c r="B1064" s="6" cm="1">
        <f t="array" ref="B1064">alea_int(Settings!$B$10,1,Settings!$B$16)</f>
        <v>2</v>
      </c>
      <c r="C1064" s="8">
        <v>46023</v>
      </c>
      <c r="D1064" s="8">
        <f t="shared" si="65"/>
        <v>46387</v>
      </c>
      <c r="E1064" s="6" t="str" cm="1">
        <f t="array" ref="E1064">choice(Groupes!A:A,1,Settings!$B$16)</f>
        <v>G14</v>
      </c>
      <c r="F1064" s="6" t="str">
        <f t="shared" si="66"/>
        <v>G14</v>
      </c>
      <c r="G1064" s="6" t="str">
        <f t="shared" si="67"/>
        <v>Prof44</v>
      </c>
      <c r="H1064" s="6" t="str" cm="1">
        <f t="array" ref="H1064">choice(Referentiel!A:A,1,Settings!$B$16)</f>
        <v>Design Objet</v>
      </c>
      <c r="I1064" s="6" t="str" cm="1">
        <f t="array" ref="I1064">choice(Referentiel!B:B,1,Settings!$B$16)</f>
        <v>2ème année Art-Espace S2</v>
      </c>
      <c r="J1064" s="6" t="str" cm="1">
        <f t="array" ref="J1064">choice(Referentiel!D:D,1,Settings!$B$16)</f>
        <v>L1</v>
      </c>
      <c r="K1064" s="6" t="str" cm="1">
        <f t="array" ref="K1064">choice(Professeurs!B:B,1,Settings!$B$16)</f>
        <v>Prof44</v>
      </c>
      <c r="L1064" s="5" t="str" cm="1">
        <f t="array" ref="L1064">choice(Referentiel!C:C,1,Settings!$B$16)</f>
        <v/>
      </c>
      <c r="M1064" s="5" t="str" cm="1">
        <f t="array" ref="M1064">choice(Referentiel!E:E,1,Settings!$B$16)</f>
        <v/>
      </c>
      <c r="N1064" s="5" t="str" cm="1">
        <f t="array" ref="N1064">choice(Settings!K:K,1,Settings!$B$16)</f>
        <v/>
      </c>
      <c r="P1064" s="5">
        <f t="shared" si="68"/>
        <v>2</v>
      </c>
    </row>
    <row r="1065" spans="1:16" ht="15.75" customHeight="1" x14ac:dyDescent="0.25">
      <c r="A1065" s="6" t="s">
        <v>1417</v>
      </c>
      <c r="B1065" s="6" cm="1">
        <f t="array" ref="B1065">alea_int(Settings!$B$10,1,Settings!$B$16)</f>
        <v>1</v>
      </c>
      <c r="C1065" s="8">
        <v>46023</v>
      </c>
      <c r="D1065" s="8">
        <f t="shared" si="65"/>
        <v>46387</v>
      </c>
      <c r="E1065" s="6" t="str" cm="1">
        <f t="array" ref="E1065">choice(Groupes!A:A,1,Settings!$B$16)</f>
        <v>G9</v>
      </c>
      <c r="F1065" s="6" t="str">
        <f t="shared" si="66"/>
        <v>G9</v>
      </c>
      <c r="G1065" s="6" t="str">
        <f t="shared" si="67"/>
        <v>Prof19</v>
      </c>
      <c r="H1065" s="6" t="str" cm="1">
        <f t="array" ref="H1065">choice(Referentiel!A:A,1,Settings!$B$16)</f>
        <v>1ère année Groupe 3</v>
      </c>
      <c r="I1065" s="6" t="str" cm="1">
        <f t="array" ref="I1065">choice(Referentiel!B:B,1,Settings!$B$16)</f>
        <v>3ème année Design Vêtement S1</v>
      </c>
      <c r="J1065" s="6" t="str" cm="1">
        <f t="array" ref="J1065">choice(Referentiel!D:D,1,Settings!$B$16)</f>
        <v>L2</v>
      </c>
      <c r="K1065" s="6" t="str" cm="1">
        <f t="array" ref="K1065">choice(Professeurs!B:B,1,Settings!$B$16)</f>
        <v>Prof19</v>
      </c>
      <c r="L1065" s="5" t="str" cm="1">
        <f t="array" ref="L1065">choice(Referentiel!C:C,1,Settings!$B$16)</f>
        <v/>
      </c>
      <c r="M1065" s="5" t="str" cm="1">
        <f t="array" ref="M1065">choice(Referentiel!E:E,1,Settings!$B$16)</f>
        <v>Salle4</v>
      </c>
      <c r="N1065" s="5" t="str" cm="1">
        <f t="array" ref="N1065">choice(Settings!K:K,1,Settings!$B$16)</f>
        <v/>
      </c>
      <c r="P1065" s="5">
        <f t="shared" si="68"/>
        <v>3</v>
      </c>
    </row>
    <row r="1066" spans="1:16" ht="15.75" customHeight="1" x14ac:dyDescent="0.25">
      <c r="A1066" s="6" t="s">
        <v>1418</v>
      </c>
      <c r="B1066" s="6" cm="1">
        <f t="array" ref="B1066">alea_int(Settings!$B$10,1,Settings!$B$16)</f>
        <v>1</v>
      </c>
      <c r="C1066" s="8">
        <v>46023</v>
      </c>
      <c r="D1066" s="8">
        <f t="shared" si="65"/>
        <v>46387</v>
      </c>
      <c r="E1066" s="6" t="str" cm="1">
        <f t="array" ref="E1066">choice(Groupes!A:A,1,Settings!$B$16)</f>
        <v>G12</v>
      </c>
      <c r="F1066" s="6" t="str">
        <f t="shared" si="66"/>
        <v>G12</v>
      </c>
      <c r="G1066" s="6" t="str">
        <f t="shared" si="67"/>
        <v>Prof36</v>
      </c>
      <c r="H1066" s="6" t="str" cm="1">
        <f t="array" ref="H1066">choice(Referentiel!A:A,1,Settings!$B$16)</f>
        <v>Gr SOFT MATTERS</v>
      </c>
      <c r="I1066" s="6" t="str" cm="1">
        <f t="array" ref="I1066">choice(Referentiel!B:B,1,Settings!$B$16)</f>
        <v>1ère Année Groupe 2 S1</v>
      </c>
      <c r="J1066" s="6" t="str" cm="1">
        <f t="array" ref="J1066">choice(Referentiel!D:D,1,Settings!$B$16)</f>
        <v>M1</v>
      </c>
      <c r="K1066" s="6" t="str" cm="1">
        <f t="array" ref="K1066">choice(Professeurs!B:B,1,Settings!$B$16)</f>
        <v>Prof36</v>
      </c>
      <c r="L1066" s="5" t="str" cm="1">
        <f t="array" ref="L1066">choice(Referentiel!C:C,1,Settings!$B$16)</f>
        <v/>
      </c>
      <c r="M1066" s="5" t="str" cm="1">
        <f t="array" ref="M1066">choice(Referentiel!E:E,1,Settings!$B$16)</f>
        <v/>
      </c>
      <c r="N1066" s="5" t="str" cm="1">
        <f t="array" ref="N1066">choice(Settings!K:K,1,Settings!$B$16)</f>
        <v>mardi am</v>
      </c>
      <c r="P1066" s="5">
        <f t="shared" si="68"/>
        <v>3</v>
      </c>
    </row>
    <row r="1067" spans="1:16" ht="15.75" customHeight="1" x14ac:dyDescent="0.25">
      <c r="A1067" s="6" t="s">
        <v>1419</v>
      </c>
      <c r="B1067" s="6" cm="1">
        <f t="array" ref="B1067">alea_int(Settings!$B$10,1,Settings!$B$16)</f>
        <v>3</v>
      </c>
      <c r="C1067" s="8">
        <v>46023</v>
      </c>
      <c r="D1067" s="8">
        <f t="shared" si="65"/>
        <v>46387</v>
      </c>
      <c r="E1067" s="6" t="str" cm="1">
        <f t="array" ref="E1067">choice(Groupes!A:A,1,Settings!$B$16)</f>
        <v>G4</v>
      </c>
      <c r="F1067" s="6" t="str">
        <f t="shared" si="66"/>
        <v>G4</v>
      </c>
      <c r="G1067" s="6" t="str">
        <f t="shared" si="67"/>
        <v>Prof23</v>
      </c>
      <c r="H1067" s="6" t="str" cm="1">
        <f t="array" ref="H1067">choice(Referentiel!A:A,1,Settings!$B$16)</f>
        <v>Image Imprimée</v>
      </c>
      <c r="I1067" s="6" t="str" cm="1">
        <f t="array" ref="I1067">choice(Referentiel!B:B,1,Settings!$B$16)</f>
        <v>4ème année Cinéma d'Animation S2</v>
      </c>
      <c r="J1067" s="6" t="str" cm="1">
        <f t="array" ref="J1067">choice(Referentiel!D:D,1,Settings!$B$16)</f>
        <v>M1</v>
      </c>
      <c r="K1067" s="6" t="str" cm="1">
        <f t="array" ref="K1067">choice(Professeurs!B:B,1,Settings!$B$16)</f>
        <v>Prof23</v>
      </c>
      <c r="L1067" s="5" t="str" cm="1">
        <f t="array" ref="L1067">choice(Referentiel!C:C,1,Settings!$B$16)</f>
        <v/>
      </c>
      <c r="M1067" s="5" t="str" cm="1">
        <f t="array" ref="M1067">choice(Referentiel!E:E,1,Settings!$B$16)</f>
        <v/>
      </c>
      <c r="N1067" s="5" t="str" cm="1">
        <f t="array" ref="N1067">choice(Settings!K:K,1,Settings!$B$16)</f>
        <v/>
      </c>
      <c r="P1067" s="5">
        <f t="shared" si="68"/>
        <v>3</v>
      </c>
    </row>
    <row r="1068" spans="1:16" ht="15.75" customHeight="1" x14ac:dyDescent="0.25">
      <c r="A1068" s="6" t="s">
        <v>1420</v>
      </c>
      <c r="B1068" s="6" cm="1">
        <f t="array" ref="B1068">alea_int(Settings!$B$10,1,Settings!$B$16)</f>
        <v>1</v>
      </c>
      <c r="C1068" s="8">
        <v>46023</v>
      </c>
      <c r="D1068" s="8">
        <f t="shared" si="65"/>
        <v>46387</v>
      </c>
      <c r="E1068" s="6" t="str" cm="1">
        <f t="array" ref="E1068">choice(Groupes!A:A,1,Settings!$B$16)</f>
        <v>G18</v>
      </c>
      <c r="F1068" s="6" t="str">
        <f t="shared" si="66"/>
        <v>G18</v>
      </c>
      <c r="G1068" s="6" t="str">
        <f t="shared" si="67"/>
        <v>Prof30</v>
      </c>
      <c r="H1068" s="6" t="str" cm="1">
        <f t="array" ref="H1068">choice(Referentiel!A:A,1,Settings!$B$16)</f>
        <v>Design Graphique</v>
      </c>
      <c r="I1068" s="6" t="str" cm="1">
        <f t="array" ref="I1068">choice(Referentiel!B:B,1,Settings!$B$16)</f>
        <v>5ème année Scénographie S2</v>
      </c>
      <c r="J1068" s="6" t="str" cm="1">
        <f t="array" ref="J1068">choice(Referentiel!D:D,1,Settings!$B$16)</f>
        <v>M1</v>
      </c>
      <c r="K1068" s="6" t="str" cm="1">
        <f t="array" ref="K1068">choice(Professeurs!B:B,1,Settings!$B$16)</f>
        <v>Prof30</v>
      </c>
      <c r="L1068" s="5" t="str" cm="1">
        <f t="array" ref="L1068">choice(Referentiel!C:C,1,Settings!$B$16)</f>
        <v/>
      </c>
      <c r="M1068" s="5" t="str" cm="1">
        <f t="array" ref="M1068">choice(Referentiel!E:E,1,Settings!$B$16)</f>
        <v/>
      </c>
      <c r="N1068" s="5" t="str" cm="1">
        <f t="array" ref="N1068">choice(Settings!K:K,1,Settings!$B$16)</f>
        <v/>
      </c>
      <c r="P1068" s="5">
        <f t="shared" si="68"/>
        <v>1</v>
      </c>
    </row>
    <row r="1069" spans="1:16" ht="15.75" customHeight="1" x14ac:dyDescent="0.25">
      <c r="A1069" s="6" t="s">
        <v>1421</v>
      </c>
      <c r="B1069" s="6" cm="1">
        <f t="array" ref="B1069">alea_int(Settings!$B$10,1,Settings!$B$16)</f>
        <v>3</v>
      </c>
      <c r="C1069" s="8">
        <v>46023</v>
      </c>
      <c r="D1069" s="8">
        <f t="shared" si="65"/>
        <v>46387</v>
      </c>
      <c r="E1069" s="6" t="str" cm="1">
        <f t="array" ref="E1069">choice(Groupes!A:A,1,Settings!$B$16)</f>
        <v>G4</v>
      </c>
      <c r="F1069" s="6" t="str">
        <f t="shared" si="66"/>
        <v>G4</v>
      </c>
      <c r="G1069" s="6" t="str">
        <f t="shared" si="67"/>
        <v>Prof6</v>
      </c>
      <c r="H1069" s="6" t="str" cm="1">
        <f t="array" ref="H1069">choice(Referentiel!A:A,1,Settings!$B$16)</f>
        <v>Design des mondes urbains</v>
      </c>
      <c r="I1069" s="6" t="str" cm="1">
        <f t="array" ref="I1069">choice(Referentiel!B:B,1,Settings!$B$16)</f>
        <v>3ème année Image Imprimée S2</v>
      </c>
      <c r="J1069" s="6" t="str" cm="1">
        <f t="array" ref="J1069">choice(Referentiel!D:D,1,Settings!$B$16)</f>
        <v>L1</v>
      </c>
      <c r="K1069" s="6" t="str" cm="1">
        <f t="array" ref="K1069">choice(Professeurs!B:B,1,Settings!$B$16)</f>
        <v>Prof6</v>
      </c>
      <c r="L1069" s="5" t="str" cm="1">
        <f t="array" ref="L1069">choice(Referentiel!C:C,1,Settings!$B$16)</f>
        <v/>
      </c>
      <c r="M1069" s="5" t="str" cm="1">
        <f t="array" ref="M1069">choice(Referentiel!E:E,1,Settings!$B$16)</f>
        <v/>
      </c>
      <c r="N1069" s="5" t="str" cm="1">
        <f t="array" ref="N1069">choice(Settings!K:K,1,Settings!$B$16)</f>
        <v/>
      </c>
      <c r="P1069" s="5">
        <f t="shared" si="68"/>
        <v>3</v>
      </c>
    </row>
    <row r="1070" spans="1:16" ht="15.75" customHeight="1" x14ac:dyDescent="0.25">
      <c r="A1070" s="6" t="s">
        <v>1422</v>
      </c>
      <c r="B1070" s="6" cm="1">
        <f t="array" ref="B1070">alea_int(Settings!$B$10,1,Settings!$B$16)</f>
        <v>2</v>
      </c>
      <c r="C1070" s="8">
        <v>46023</v>
      </c>
      <c r="D1070" s="8">
        <f t="shared" si="65"/>
        <v>46387</v>
      </c>
      <c r="E1070" s="6" t="str" cm="1">
        <f t="array" ref="E1070">choice(Groupes!A:A,1,Settings!$B$16)</f>
        <v>G27</v>
      </c>
      <c r="F1070" s="6" t="str">
        <f t="shared" si="66"/>
        <v>G27</v>
      </c>
      <c r="G1070" s="6" t="str">
        <f t="shared" si="67"/>
        <v>Prof53</v>
      </c>
      <c r="H1070" s="6" t="str" cm="1">
        <f t="array" ref="H1070">choice(Referentiel!A:A,1,Settings!$B$16)</f>
        <v>Design des mondes littoraux</v>
      </c>
      <c r="I1070" s="6" t="str" cm="1">
        <f t="array" ref="I1070">choice(Referentiel!B:B,1,Settings!$B$16)</f>
        <v>2ème année Scénographie S2</v>
      </c>
      <c r="J1070" s="6" t="str" cm="1">
        <f t="array" ref="J1070">choice(Referentiel!D:D,1,Settings!$B$16)</f>
        <v>L3</v>
      </c>
      <c r="K1070" s="6" t="str" cm="1">
        <f t="array" ref="K1070">choice(Professeurs!B:B,1,Settings!$B$16)</f>
        <v>Prof53</v>
      </c>
      <c r="L1070" s="5" t="str" cm="1">
        <f t="array" ref="L1070">choice(Referentiel!C:C,1,Settings!$B$16)</f>
        <v/>
      </c>
      <c r="M1070" s="5" t="str" cm="1">
        <f t="array" ref="M1070">choice(Referentiel!E:E,1,Settings!$B$16)</f>
        <v/>
      </c>
      <c r="N1070" s="5" t="str" cm="1">
        <f t="array" ref="N1070">choice(Settings!K:K,1,Settings!$B$16)</f>
        <v/>
      </c>
      <c r="P1070" s="5">
        <f t="shared" si="68"/>
        <v>2</v>
      </c>
    </row>
    <row r="1071" spans="1:16" ht="15.75" customHeight="1" x14ac:dyDescent="0.25">
      <c r="A1071" s="6" t="s">
        <v>1423</v>
      </c>
      <c r="B1071" s="6" cm="1">
        <f t="array" ref="B1071">alea_int(Settings!$B$10,1,Settings!$B$16)</f>
        <v>1</v>
      </c>
      <c r="C1071" s="8">
        <v>46023</v>
      </c>
      <c r="D1071" s="8">
        <f t="shared" si="65"/>
        <v>46387</v>
      </c>
      <c r="E1071" s="6" t="str" cm="1">
        <f t="array" ref="E1071">choice(Groupes!A:A,1,Settings!$B$16)</f>
        <v>G27</v>
      </c>
      <c r="F1071" s="6" t="str">
        <f t="shared" si="66"/>
        <v>G27</v>
      </c>
      <c r="G1071" s="6" t="str">
        <f t="shared" si="67"/>
        <v>Prof18</v>
      </c>
      <c r="H1071" s="6" t="str" cm="1">
        <f t="array" ref="H1071">choice(Referentiel!A:A,1,Settings!$B$16)</f>
        <v>Design Objet</v>
      </c>
      <c r="I1071" s="6" t="str" cm="1">
        <f t="array" ref="I1071">choice(Referentiel!B:B,1,Settings!$B$16)</f>
        <v>2ème année Design Graphique S1</v>
      </c>
      <c r="J1071" s="6" t="str" cm="1">
        <f t="array" ref="J1071">choice(Referentiel!D:D,1,Settings!$B$16)</f>
        <v>L2</v>
      </c>
      <c r="K1071" s="6" t="str" cm="1">
        <f t="array" ref="K1071">choice(Professeurs!B:B,1,Settings!$B$16)</f>
        <v>Prof18</v>
      </c>
      <c r="L1071" s="5" t="str" cm="1">
        <f t="array" ref="L1071">choice(Referentiel!C:C,1,Settings!$B$16)</f>
        <v/>
      </c>
      <c r="M1071" s="5" t="str" cm="1">
        <f t="array" ref="M1071">choice(Referentiel!E:E,1,Settings!$B$16)</f>
        <v/>
      </c>
      <c r="N1071" s="5" t="str" cm="1">
        <f t="array" ref="N1071">choice(Settings!K:K,1,Settings!$B$16)</f>
        <v/>
      </c>
      <c r="P1071" s="5">
        <f t="shared" si="68"/>
        <v>1</v>
      </c>
    </row>
    <row r="1072" spans="1:16" ht="15.75" customHeight="1" x14ac:dyDescent="0.25">
      <c r="A1072" s="6" t="s">
        <v>1424</v>
      </c>
      <c r="B1072" s="6" cm="1">
        <f t="array" ref="B1072">alea_int(Settings!$B$10,1,Settings!$B$16)</f>
        <v>3</v>
      </c>
      <c r="C1072" s="8">
        <v>46023</v>
      </c>
      <c r="D1072" s="8">
        <f t="shared" si="65"/>
        <v>46387</v>
      </c>
      <c r="E1072" s="6" t="str" cm="1">
        <f t="array" ref="E1072">choice(Groupes!A:A,1,Settings!$B$16)</f>
        <v>G9</v>
      </c>
      <c r="F1072" s="6" t="str">
        <f t="shared" si="66"/>
        <v>G9</v>
      </c>
      <c r="G1072" s="6" t="str">
        <f t="shared" si="67"/>
        <v>Prof13</v>
      </c>
      <c r="H1072" s="6" t="str" cm="1">
        <f t="array" ref="H1072">choice(Referentiel!A:A,1,Settings!$B$16)</f>
        <v>1ère année Groupe 3</v>
      </c>
      <c r="I1072" s="6" t="str" cm="1">
        <f t="array" ref="I1072">choice(Referentiel!B:B,1,Settings!$B$16)</f>
        <v>2ème année Design Objet S2</v>
      </c>
      <c r="J1072" s="6" t="str" cm="1">
        <f t="array" ref="J1072">choice(Referentiel!D:D,1,Settings!$B$16)</f>
        <v>L3</v>
      </c>
      <c r="K1072" s="6" t="str" cm="1">
        <f t="array" ref="K1072">choice(Professeurs!B:B,1,Settings!$B$16)</f>
        <v>Prof13</v>
      </c>
      <c r="L1072" s="5" t="str" cm="1">
        <f t="array" ref="L1072">choice(Referentiel!C:C,1,Settings!$B$16)</f>
        <v/>
      </c>
      <c r="M1072" s="5" t="str" cm="1">
        <f t="array" ref="M1072">choice(Referentiel!E:E,1,Settings!$B$16)</f>
        <v/>
      </c>
      <c r="N1072" s="5" t="str" cm="1">
        <f t="array" ref="N1072">choice(Settings!K:K,1,Settings!$B$16)</f>
        <v/>
      </c>
      <c r="P1072" s="5">
        <f t="shared" si="68"/>
        <v>3</v>
      </c>
    </row>
    <row r="1073" spans="1:16" ht="15.75" customHeight="1" x14ac:dyDescent="0.25">
      <c r="A1073" s="6" t="s">
        <v>1425</v>
      </c>
      <c r="B1073" s="6" cm="1">
        <f t="array" ref="B1073">alea_int(Settings!$B$10,1,Settings!$B$16)</f>
        <v>2</v>
      </c>
      <c r="C1073" s="8">
        <v>46023</v>
      </c>
      <c r="D1073" s="8">
        <f t="shared" si="65"/>
        <v>46387</v>
      </c>
      <c r="E1073" s="6" t="str" cm="1">
        <f t="array" ref="E1073">choice(Groupes!A:A,1,Settings!$B$16)</f>
        <v>G14</v>
      </c>
      <c r="F1073" s="6" t="str">
        <f t="shared" si="66"/>
        <v>G14</v>
      </c>
      <c r="G1073" s="6" t="str">
        <f t="shared" si="67"/>
        <v>Prof30</v>
      </c>
      <c r="H1073" s="6" t="str" cm="1">
        <f t="array" ref="H1073">choice(Referentiel!A:A,1,Settings!$B$16)</f>
        <v>6ème année atelier</v>
      </c>
      <c r="I1073" s="6" t="str" cm="1">
        <f t="array" ref="I1073">choice(Referentiel!B:B,1,Settings!$B$16)</f>
        <v>4ème année Art-Espace S1</v>
      </c>
      <c r="J1073" s="6" t="str" cm="1">
        <f t="array" ref="J1073">choice(Referentiel!D:D,1,Settings!$B$16)</f>
        <v>L3</v>
      </c>
      <c r="K1073" s="6" t="str" cm="1">
        <f t="array" ref="K1073">choice(Professeurs!B:B,1,Settings!$B$16)</f>
        <v>Prof30</v>
      </c>
      <c r="L1073" s="5" t="str" cm="1">
        <f t="array" ref="L1073">choice(Referentiel!C:C,1,Settings!$B$16)</f>
        <v/>
      </c>
      <c r="M1073" s="5" t="str" cm="1">
        <f t="array" ref="M1073">choice(Referentiel!E:E,1,Settings!$B$16)</f>
        <v/>
      </c>
      <c r="N1073" s="5" t="str" cm="1">
        <f t="array" ref="N1073">choice(Settings!K:K,1,Settings!$B$16)</f>
        <v/>
      </c>
      <c r="P1073" s="5">
        <f t="shared" si="68"/>
        <v>2</v>
      </c>
    </row>
    <row r="1074" spans="1:16" ht="15.75" customHeight="1" x14ac:dyDescent="0.25">
      <c r="A1074" s="6" t="s">
        <v>1426</v>
      </c>
      <c r="B1074" s="6" cm="1">
        <f t="array" ref="B1074">alea_int(Settings!$B$10,1,Settings!$B$16)</f>
        <v>2</v>
      </c>
      <c r="C1074" s="8">
        <v>46023</v>
      </c>
      <c r="D1074" s="8">
        <f t="shared" si="65"/>
        <v>46387</v>
      </c>
      <c r="E1074" s="6" t="str" cm="1">
        <f t="array" ref="E1074">choice(Groupes!A:A,1,Settings!$B$16)</f>
        <v>G1</v>
      </c>
      <c r="F1074" s="6" t="str">
        <f t="shared" si="66"/>
        <v>G1</v>
      </c>
      <c r="G1074" s="6" t="str">
        <f t="shared" si="67"/>
        <v>Prof14</v>
      </c>
      <c r="H1074" s="6" t="str" cm="1">
        <f t="array" ref="H1074">choice(Referentiel!A:A,1,Settings!$B$16)</f>
        <v>6ème ANNÉE STAGE</v>
      </c>
      <c r="I1074" s="6" t="str" cm="1">
        <f t="array" ref="I1074">choice(Referentiel!B:B,1,Settings!$B$16)</f>
        <v>3ème année Design Vêtement S2</v>
      </c>
      <c r="J1074" s="6" t="str" cm="1">
        <f t="array" ref="J1074">choice(Referentiel!D:D,1,Settings!$B$16)</f>
        <v>M1</v>
      </c>
      <c r="K1074" s="6" t="str" cm="1">
        <f t="array" ref="K1074">choice(Professeurs!B:B,1,Settings!$B$16)</f>
        <v>Prof14</v>
      </c>
      <c r="L1074" s="5" t="str" cm="1">
        <f t="array" ref="L1074">choice(Referentiel!C:C,1,Settings!$B$16)</f>
        <v/>
      </c>
      <c r="M1074" s="5" t="str" cm="1">
        <f t="array" ref="M1074">choice(Referentiel!E:E,1,Settings!$B$16)</f>
        <v/>
      </c>
      <c r="N1074" s="5" t="str" cm="1">
        <f t="array" ref="N1074">choice(Settings!K:K,1,Settings!$B$16)</f>
        <v/>
      </c>
      <c r="P1074" s="5">
        <f t="shared" si="68"/>
        <v>2</v>
      </c>
    </row>
    <row r="1075" spans="1:16" ht="15.75" customHeight="1" x14ac:dyDescent="0.25">
      <c r="A1075" s="6" t="s">
        <v>1427</v>
      </c>
      <c r="B1075" s="6" cm="1">
        <f t="array" ref="B1075">alea_int(Settings!$B$10,1,Settings!$B$16)</f>
        <v>2</v>
      </c>
      <c r="C1075" s="8">
        <v>46023</v>
      </c>
      <c r="D1075" s="8">
        <f t="shared" si="65"/>
        <v>46387</v>
      </c>
      <c r="E1075" s="6" t="str" cm="1">
        <f t="array" ref="E1075">choice(Groupes!A:A,1,Settings!$B$16)</f>
        <v>G9</v>
      </c>
      <c r="F1075" s="6" t="str">
        <f t="shared" si="66"/>
        <v>G9</v>
      </c>
      <c r="G1075" s="6" t="str">
        <f t="shared" si="67"/>
        <v>Prof2</v>
      </c>
      <c r="H1075" s="6" t="str" cm="1">
        <f t="array" ref="H1075">choice(Referentiel!A:A,1,Settings!$B$16)</f>
        <v>Scénographie</v>
      </c>
      <c r="I1075" s="6" t="str" cm="1">
        <f t="array" ref="I1075">choice(Referentiel!B:B,1,Settings!$B$16)</f>
        <v>4ème année Design Textile et Matière S2</v>
      </c>
      <c r="J1075" s="6" t="str" cm="1">
        <f t="array" ref="J1075">choice(Referentiel!D:D,1,Settings!$B$16)</f>
        <v>L3</v>
      </c>
      <c r="K1075" s="6" t="str" cm="1">
        <f t="array" ref="K1075">choice(Professeurs!B:B,1,Settings!$B$16)</f>
        <v>Prof2</v>
      </c>
      <c r="L1075" s="5" t="str" cm="1">
        <f t="array" ref="L1075">choice(Referentiel!C:C,1,Settings!$B$16)</f>
        <v/>
      </c>
      <c r="M1075" s="5" t="str" cm="1">
        <f t="array" ref="M1075">choice(Referentiel!E:E,1,Settings!$B$16)</f>
        <v/>
      </c>
      <c r="N1075" s="5" t="str" cm="1">
        <f t="array" ref="N1075">choice(Settings!K:K,1,Settings!$B$16)</f>
        <v>vendredi am</v>
      </c>
      <c r="P1075" s="5">
        <f t="shared" si="68"/>
        <v>4</v>
      </c>
    </row>
    <row r="1076" spans="1:16" ht="15.75" customHeight="1" x14ac:dyDescent="0.25">
      <c r="A1076" s="6" t="s">
        <v>1428</v>
      </c>
      <c r="B1076" s="6" cm="1">
        <f t="array" ref="B1076">alea_int(Settings!$B$10,1,Settings!$B$16)</f>
        <v>1</v>
      </c>
      <c r="C1076" s="8">
        <v>46023</v>
      </c>
      <c r="D1076" s="8">
        <f t="shared" si="65"/>
        <v>46387</v>
      </c>
      <c r="E1076" s="6" t="str" cm="1">
        <f t="array" ref="E1076">choice(Groupes!A:A,1,Settings!$B$16)</f>
        <v>G16</v>
      </c>
      <c r="F1076" s="6" t="str">
        <f t="shared" si="66"/>
        <v>G16</v>
      </c>
      <c r="G1076" s="6" t="str">
        <f t="shared" si="67"/>
        <v>Prof14</v>
      </c>
      <c r="H1076" s="6" t="str" cm="1">
        <f t="array" ref="H1076">choice(Referentiel!A:A,1,Settings!$B$16)</f>
        <v>Mode et Matière</v>
      </c>
      <c r="I1076" s="6" t="str" cm="1">
        <f t="array" ref="I1076">choice(Referentiel!B:B,1,Settings!$B$16)</f>
        <v>4ème année Image Imprimée S2</v>
      </c>
      <c r="J1076" s="6" t="str" cm="1">
        <f t="array" ref="J1076">choice(Referentiel!D:D,1,Settings!$B$16)</f>
        <v>L3</v>
      </c>
      <c r="K1076" s="6" t="str" cm="1">
        <f t="array" ref="K1076">choice(Professeurs!B:B,1,Settings!$B$16)</f>
        <v>Prof14</v>
      </c>
      <c r="L1076" s="5" t="str" cm="1">
        <f t="array" ref="L1076">choice(Referentiel!C:C,1,Settings!$B$16)</f>
        <v/>
      </c>
      <c r="M1076" s="5" t="str" cm="1">
        <f t="array" ref="M1076">choice(Referentiel!E:E,1,Settings!$B$16)</f>
        <v/>
      </c>
      <c r="N1076" s="5" t="str" cm="1">
        <f t="array" ref="N1076">choice(Settings!K:K,1,Settings!$B$16)</f>
        <v/>
      </c>
      <c r="P1076" s="5">
        <f t="shared" si="68"/>
        <v>1</v>
      </c>
    </row>
    <row r="1077" spans="1:16" ht="15.75" customHeight="1" x14ac:dyDescent="0.25">
      <c r="A1077" s="6" t="s">
        <v>1429</v>
      </c>
      <c r="B1077" s="6" cm="1">
        <f t="array" ref="B1077">alea_int(Settings!$B$10,1,Settings!$B$16)</f>
        <v>2</v>
      </c>
      <c r="C1077" s="8">
        <v>46023</v>
      </c>
      <c r="D1077" s="8">
        <f t="shared" si="65"/>
        <v>46387</v>
      </c>
      <c r="E1077" s="6" t="str" cm="1">
        <f t="array" ref="E1077">choice(Groupes!A:A,1,Settings!$B$16)</f>
        <v>G19</v>
      </c>
      <c r="F1077" s="6" t="str">
        <f t="shared" si="66"/>
        <v>G19</v>
      </c>
      <c r="G1077" s="6" t="str">
        <f t="shared" si="67"/>
        <v>Prof40</v>
      </c>
      <c r="H1077" s="6" t="str" cm="1">
        <f t="array" ref="H1077">choice(Referentiel!A:A,1,Settings!$B$16)</f>
        <v>1ère année Groupe 4</v>
      </c>
      <c r="I1077" s="6" t="str" cm="1">
        <f t="array" ref="I1077">choice(Referentiel!B:B,1,Settings!$B$16)</f>
        <v>5ème année Art-Espace S1</v>
      </c>
      <c r="J1077" s="6" t="str" cm="1">
        <f t="array" ref="J1077">choice(Referentiel!D:D,1,Settings!$B$16)</f>
        <v>M2</v>
      </c>
      <c r="K1077" s="6" t="str" cm="1">
        <f t="array" ref="K1077">choice(Professeurs!B:B,1,Settings!$B$16)</f>
        <v>Prof40</v>
      </c>
      <c r="L1077" s="5" t="str" cm="1">
        <f t="array" ref="L1077">choice(Referentiel!C:C,1,Settings!$B$16)</f>
        <v/>
      </c>
      <c r="M1077" s="5" t="str" cm="1">
        <f t="array" ref="M1077">choice(Referentiel!E:E,1,Settings!$B$16)</f>
        <v/>
      </c>
      <c r="N1077" s="5" t="str" cm="1">
        <f t="array" ref="N1077">choice(Settings!K:K,1,Settings!$B$16)</f>
        <v>vendredi pm</v>
      </c>
      <c r="P1077" s="5">
        <f t="shared" si="68"/>
        <v>4</v>
      </c>
    </row>
    <row r="1078" spans="1:16" ht="15.75" customHeight="1" x14ac:dyDescent="0.25">
      <c r="A1078" s="6" t="s">
        <v>1430</v>
      </c>
      <c r="B1078" s="6" cm="1">
        <f t="array" ref="B1078">alea_int(Settings!$B$10,1,Settings!$B$16)</f>
        <v>3</v>
      </c>
      <c r="C1078" s="8">
        <v>46023</v>
      </c>
      <c r="D1078" s="8">
        <f t="shared" si="65"/>
        <v>46387</v>
      </c>
      <c r="E1078" s="6" t="str" cm="1">
        <f t="array" ref="E1078">choice(Groupes!A:A,1,Settings!$B$16)</f>
        <v>G19</v>
      </c>
      <c r="F1078" s="6" t="str">
        <f t="shared" si="66"/>
        <v>G19</v>
      </c>
      <c r="G1078" s="6" t="str">
        <f t="shared" si="67"/>
        <v>Prof32</v>
      </c>
      <c r="H1078" s="6" t="str" cm="1">
        <f t="array" ref="H1078">choice(Referentiel!A:A,1,Settings!$B$16)</f>
        <v>Gr SYMBIOSE</v>
      </c>
      <c r="I1078" s="6" t="str" cm="1">
        <f t="array" ref="I1078">choice(Referentiel!B:B,1,Settings!$B$16)</f>
        <v>3ème année Scénographie S2</v>
      </c>
      <c r="J1078" s="6" t="str" cm="1">
        <f t="array" ref="J1078">choice(Referentiel!D:D,1,Settings!$B$16)</f>
        <v>M2</v>
      </c>
      <c r="K1078" s="6" t="str" cm="1">
        <f t="array" ref="K1078">choice(Professeurs!B:B,1,Settings!$B$16)</f>
        <v>Prof32</v>
      </c>
      <c r="L1078" s="5" t="str" cm="1">
        <f t="array" ref="L1078">choice(Referentiel!C:C,1,Settings!$B$16)</f>
        <v/>
      </c>
      <c r="M1078" s="5" t="str" cm="1">
        <f t="array" ref="M1078">choice(Referentiel!E:E,1,Settings!$B$16)</f>
        <v/>
      </c>
      <c r="N1078" s="5" t="str" cm="1">
        <f t="array" ref="N1078">choice(Settings!K:K,1,Settings!$B$16)</f>
        <v/>
      </c>
      <c r="P1078" s="5">
        <f t="shared" si="68"/>
        <v>3</v>
      </c>
    </row>
    <row r="1079" spans="1:16" ht="15.75" customHeight="1" x14ac:dyDescent="0.25">
      <c r="A1079" s="6" t="s">
        <v>1431</v>
      </c>
      <c r="B1079" s="6" cm="1">
        <f t="array" ref="B1079">alea_int(Settings!$B$10,1,Settings!$B$16)</f>
        <v>2</v>
      </c>
      <c r="C1079" s="8">
        <v>46023</v>
      </c>
      <c r="D1079" s="8">
        <f t="shared" si="65"/>
        <v>46387</v>
      </c>
      <c r="E1079" s="6" t="str" cm="1">
        <f t="array" ref="E1079">choice(Groupes!A:A,1,Settings!$B$16)</f>
        <v>G23</v>
      </c>
      <c r="F1079" s="6" t="str">
        <f t="shared" si="66"/>
        <v>G23</v>
      </c>
      <c r="G1079" s="6" t="str">
        <f t="shared" si="67"/>
        <v>Prof14</v>
      </c>
      <c r="H1079" s="6" t="str" cm="1">
        <f t="array" ref="H1079">choice(Referentiel!A:A,1,Settings!$B$16)</f>
        <v>Design Graphique</v>
      </c>
      <c r="I1079" s="6" t="str" cm="1">
        <f t="array" ref="I1079">choice(Referentiel!B:B,1,Settings!$B$16)</f>
        <v>5ème année Design Objet S1</v>
      </c>
      <c r="J1079" s="6" t="str" cm="1">
        <f t="array" ref="J1079">choice(Referentiel!D:D,1,Settings!$B$16)</f>
        <v>L3</v>
      </c>
      <c r="K1079" s="6" t="str" cm="1">
        <f t="array" ref="K1079">choice(Professeurs!B:B,1,Settings!$B$16)</f>
        <v>Prof14</v>
      </c>
      <c r="L1079" s="5" t="str" cm="1">
        <f t="array" ref="L1079">choice(Referentiel!C:C,1,Settings!$B$16)</f>
        <v/>
      </c>
      <c r="M1079" s="5" t="str" cm="1">
        <f t="array" ref="M1079">choice(Referentiel!E:E,1,Settings!$B$16)</f>
        <v/>
      </c>
      <c r="N1079" s="5" t="str" cm="1">
        <f t="array" ref="N1079">choice(Settings!K:K,1,Settings!$B$16)</f>
        <v>semaine</v>
      </c>
      <c r="P1079" s="5">
        <f t="shared" si="68"/>
        <v>4</v>
      </c>
    </row>
    <row r="1080" spans="1:16" ht="15.75" customHeight="1" x14ac:dyDescent="0.25">
      <c r="A1080" s="6" t="s">
        <v>1432</v>
      </c>
      <c r="B1080" s="6" cm="1">
        <f t="array" ref="B1080">alea_int(Settings!$B$10,1,Settings!$B$16)</f>
        <v>3</v>
      </c>
      <c r="C1080" s="8">
        <v>46023</v>
      </c>
      <c r="D1080" s="8">
        <f t="shared" si="65"/>
        <v>46387</v>
      </c>
      <c r="E1080" s="6" t="str" cm="1">
        <f t="array" ref="E1080">choice(Groupes!A:A,1,Settings!$B$16)</f>
        <v>G11</v>
      </c>
      <c r="F1080" s="6" t="str">
        <f t="shared" si="66"/>
        <v>G11</v>
      </c>
      <c r="G1080" s="6" t="str">
        <f t="shared" si="67"/>
        <v>Prof12</v>
      </c>
      <c r="H1080" s="6" t="str" cm="1">
        <f t="array" ref="H1080">choice(Referentiel!A:A,1,Settings!$B$16)</f>
        <v>Design Graphique</v>
      </c>
      <c r="I1080" s="6" t="str" cm="1">
        <f t="array" ref="I1080">choice(Referentiel!B:B,1,Settings!$B$16)</f>
        <v>3ème année Cinéma d'Animation S1</v>
      </c>
      <c r="J1080" s="6" t="str" cm="1">
        <f t="array" ref="J1080">choice(Referentiel!D:D,1,Settings!$B$16)</f>
        <v>L1</v>
      </c>
      <c r="K1080" s="6" t="str" cm="1">
        <f t="array" ref="K1080">choice(Professeurs!B:B,1,Settings!$B$16)</f>
        <v>Prof12</v>
      </c>
      <c r="L1080" s="5" t="str" cm="1">
        <f t="array" ref="L1080">choice(Referentiel!C:C,1,Settings!$B$16)</f>
        <v/>
      </c>
      <c r="M1080" s="5" t="str" cm="1">
        <f t="array" ref="M1080">choice(Referentiel!E:E,1,Settings!$B$16)</f>
        <v/>
      </c>
      <c r="N1080" s="5" t="str" cm="1">
        <f t="array" ref="N1080">choice(Settings!K:K,1,Settings!$B$16)</f>
        <v/>
      </c>
      <c r="P1080" s="5">
        <f t="shared" si="68"/>
        <v>3</v>
      </c>
    </row>
    <row r="1081" spans="1:16" ht="15.75" customHeight="1" x14ac:dyDescent="0.25">
      <c r="A1081" s="6" t="s">
        <v>1433</v>
      </c>
      <c r="B1081" s="6" cm="1">
        <f t="array" ref="B1081">alea_int(Settings!$B$10,1,Settings!$B$16)</f>
        <v>1</v>
      </c>
      <c r="C1081" s="8">
        <v>46023</v>
      </c>
      <c r="D1081" s="8">
        <f t="shared" si="65"/>
        <v>46387</v>
      </c>
      <c r="E1081" s="6" t="str" cm="1">
        <f t="array" ref="E1081">choice(Groupes!A:A,1,Settings!$B$16)</f>
        <v>G6</v>
      </c>
      <c r="F1081" s="6" t="str">
        <f t="shared" si="66"/>
        <v>G6</v>
      </c>
      <c r="G1081" s="6" t="str">
        <f t="shared" si="67"/>
        <v>Prof37</v>
      </c>
      <c r="H1081" s="6" t="str" cm="1">
        <f t="array" ref="H1081">choice(Referentiel!A:A,1,Settings!$B$16)</f>
        <v>Design Vêtement</v>
      </c>
      <c r="I1081" s="6" t="str" cm="1">
        <f t="array" ref="I1081">choice(Referentiel!B:B,1,Settings!$B$16)</f>
        <v>3ème année Photo / Vidéo S2</v>
      </c>
      <c r="J1081" s="6" t="str" cm="1">
        <f t="array" ref="J1081">choice(Referentiel!D:D,1,Settings!$B$16)</f>
        <v>M2</v>
      </c>
      <c r="K1081" s="6" t="str" cm="1">
        <f t="array" ref="K1081">choice(Professeurs!B:B,1,Settings!$B$16)</f>
        <v>Prof37</v>
      </c>
      <c r="L1081" s="5" t="str" cm="1">
        <f t="array" ref="L1081">choice(Referentiel!C:C,1,Settings!$B$16)</f>
        <v/>
      </c>
      <c r="M1081" s="5" t="str" cm="1">
        <f t="array" ref="M1081">choice(Referentiel!E:E,1,Settings!$B$16)</f>
        <v/>
      </c>
      <c r="N1081" s="5" t="str" cm="1">
        <f t="array" ref="N1081">choice(Settings!K:K,1,Settings!$B$16)</f>
        <v>mardi am</v>
      </c>
      <c r="P1081" s="5">
        <f t="shared" si="68"/>
        <v>3</v>
      </c>
    </row>
    <row r="1082" spans="1:16" ht="15.75" customHeight="1" x14ac:dyDescent="0.25">
      <c r="A1082" s="6" t="s">
        <v>1434</v>
      </c>
      <c r="B1082" s="6" cm="1">
        <f t="array" ref="B1082">alea_int(Settings!$B$10,1,Settings!$B$16)</f>
        <v>3</v>
      </c>
      <c r="C1082" s="8">
        <v>46023</v>
      </c>
      <c r="D1082" s="8">
        <f t="shared" si="65"/>
        <v>46387</v>
      </c>
      <c r="E1082" s="6" t="str" cm="1">
        <f t="array" ref="E1082">choice(Groupes!A:A,1,Settings!$B$16)</f>
        <v>G2</v>
      </c>
      <c r="F1082" s="6" t="str">
        <f t="shared" si="66"/>
        <v>G2</v>
      </c>
      <c r="G1082" s="6" t="str">
        <f t="shared" si="67"/>
        <v>Prof41</v>
      </c>
      <c r="H1082" s="6" t="str" cm="1">
        <f t="array" ref="H1082">choice(Referentiel!A:A,1,Settings!$B$16)</f>
        <v>Architecture Intérieure</v>
      </c>
      <c r="I1082" s="6" t="str" cm="1">
        <f t="array" ref="I1082">choice(Referentiel!B:B,1,Settings!$B$16)</f>
        <v>3ème année Design Graphique S2</v>
      </c>
      <c r="J1082" s="6" t="str" cm="1">
        <f t="array" ref="J1082">choice(Referentiel!D:D,1,Settings!$B$16)</f>
        <v>L3</v>
      </c>
      <c r="K1082" s="6" t="str" cm="1">
        <f t="array" ref="K1082">choice(Professeurs!B:B,1,Settings!$B$16)</f>
        <v>Prof41</v>
      </c>
      <c r="L1082" s="5" t="str" cm="1">
        <f t="array" ref="L1082">choice(Referentiel!C:C,1,Settings!$B$16)</f>
        <v/>
      </c>
      <c r="M1082" s="5" t="str" cm="1">
        <f t="array" ref="M1082">choice(Referentiel!E:E,1,Settings!$B$16)</f>
        <v/>
      </c>
      <c r="N1082" s="5" t="str" cm="1">
        <f t="array" ref="N1082">choice(Settings!K:K,1,Settings!$B$16)</f>
        <v>mercredi pm</v>
      </c>
      <c r="P1082" s="5">
        <f t="shared" si="68"/>
        <v>5</v>
      </c>
    </row>
    <row r="1083" spans="1:16" ht="15.75" customHeight="1" x14ac:dyDescent="0.25">
      <c r="A1083" s="6" t="s">
        <v>1435</v>
      </c>
      <c r="B1083" s="6" cm="1">
        <f t="array" ref="B1083">alea_int(Settings!$B$10,1,Settings!$B$16)</f>
        <v>2</v>
      </c>
      <c r="C1083" s="8">
        <v>46023</v>
      </c>
      <c r="D1083" s="8">
        <f t="shared" si="65"/>
        <v>46387</v>
      </c>
      <c r="E1083" s="6" t="str" cm="1">
        <f t="array" ref="E1083">choice(Groupes!A:A,1,Settings!$B$16)</f>
        <v>G7</v>
      </c>
      <c r="F1083" s="6" t="str">
        <f t="shared" si="66"/>
        <v>G7</v>
      </c>
      <c r="G1083" s="6" t="str">
        <f t="shared" si="67"/>
        <v>Prof47</v>
      </c>
      <c r="H1083" s="6" t="str" cm="1">
        <f t="array" ref="H1083">choice(Referentiel!A:A,1,Settings!$B$16)</f>
        <v>Art-Espace</v>
      </c>
      <c r="I1083" s="6" t="str" cm="1">
        <f t="array" ref="I1083">choice(Referentiel!B:B,1,Settings!$B$16)</f>
        <v>5ème année Design Textile et Matière S2</v>
      </c>
      <c r="J1083" s="6" t="str" cm="1">
        <f t="array" ref="J1083">choice(Referentiel!D:D,1,Settings!$B$16)</f>
        <v>L2</v>
      </c>
      <c r="K1083" s="6" t="str" cm="1">
        <f t="array" ref="K1083">choice(Professeurs!B:B,1,Settings!$B$16)</f>
        <v>Prof47</v>
      </c>
      <c r="L1083" s="5" t="str" cm="1">
        <f t="array" ref="L1083">choice(Referentiel!C:C,1,Settings!$B$16)</f>
        <v/>
      </c>
      <c r="M1083" s="5" t="str" cm="1">
        <f t="array" ref="M1083">choice(Referentiel!E:E,1,Settings!$B$16)</f>
        <v/>
      </c>
      <c r="N1083" s="5" t="str" cm="1">
        <f t="array" ref="N1083">choice(Settings!K:K,1,Settings!$B$16)</f>
        <v/>
      </c>
      <c r="P1083" s="5">
        <f t="shared" si="68"/>
        <v>2</v>
      </c>
    </row>
    <row r="1084" spans="1:16" ht="15.75" customHeight="1" x14ac:dyDescent="0.25">
      <c r="A1084" s="6" t="s">
        <v>1436</v>
      </c>
      <c r="B1084" s="6" cm="1">
        <f t="array" ref="B1084">alea_int(Settings!$B$10,1,Settings!$B$16)</f>
        <v>1</v>
      </c>
      <c r="C1084" s="8">
        <v>46023</v>
      </c>
      <c r="D1084" s="8">
        <f t="shared" si="65"/>
        <v>46387</v>
      </c>
      <c r="E1084" s="6" t="str" cm="1">
        <f t="array" ref="E1084">choice(Groupes!A:A,1,Settings!$B$16)</f>
        <v>G15</v>
      </c>
      <c r="F1084" s="6" t="str">
        <f t="shared" si="66"/>
        <v>G15</v>
      </c>
      <c r="G1084" s="6" t="str">
        <f t="shared" si="67"/>
        <v>Prof14</v>
      </c>
      <c r="H1084" s="6" t="str" cm="1">
        <f t="array" ref="H1084">choice(Referentiel!A:A,1,Settings!$B$16)</f>
        <v>1ère année Groupe 4</v>
      </c>
      <c r="I1084" s="6" t="str" cm="1">
        <f t="array" ref="I1084">choice(Referentiel!B:B,1,Settings!$B$16)</f>
        <v>2ème année Design Vêtement S1</v>
      </c>
      <c r="J1084" s="6" t="str" cm="1">
        <f t="array" ref="J1084">choice(Referentiel!D:D,1,Settings!$B$16)</f>
        <v>L2</v>
      </c>
      <c r="K1084" s="6" t="str" cm="1">
        <f t="array" ref="K1084">choice(Professeurs!B:B,1,Settings!$B$16)</f>
        <v>Prof14</v>
      </c>
      <c r="L1084" s="5" t="str" cm="1">
        <f t="array" ref="L1084">choice(Referentiel!C:C,1,Settings!$B$16)</f>
        <v/>
      </c>
      <c r="M1084" s="5" t="str" cm="1">
        <f t="array" ref="M1084">choice(Referentiel!E:E,1,Settings!$B$16)</f>
        <v/>
      </c>
      <c r="N1084" s="5" t="str" cm="1">
        <f t="array" ref="N1084">choice(Settings!K:K,1,Settings!$B$16)</f>
        <v>vendredi am</v>
      </c>
      <c r="P1084" s="5">
        <f t="shared" si="68"/>
        <v>3</v>
      </c>
    </row>
    <row r="1085" spans="1:16" ht="15.75" customHeight="1" x14ac:dyDescent="0.25">
      <c r="A1085" s="6" t="s">
        <v>1437</v>
      </c>
      <c r="B1085" s="6" cm="1">
        <f t="array" ref="B1085">alea_int(Settings!$B$10,1,Settings!$B$16)</f>
        <v>1</v>
      </c>
      <c r="C1085" s="8">
        <v>46023</v>
      </c>
      <c r="D1085" s="8">
        <f t="shared" si="65"/>
        <v>46387</v>
      </c>
      <c r="E1085" s="6" t="str" cm="1">
        <f t="array" ref="E1085">choice(Groupes!A:A,1,Settings!$B$16)</f>
        <v>G8</v>
      </c>
      <c r="F1085" s="6" t="str">
        <f t="shared" si="66"/>
        <v>G8</v>
      </c>
      <c r="G1085" s="6" t="str">
        <f t="shared" si="67"/>
        <v>Prof2</v>
      </c>
      <c r="H1085" s="6" t="str" cm="1">
        <f t="array" ref="H1085">choice(Referentiel!A:A,1,Settings!$B$16)</f>
        <v>Cinéma d'Animation</v>
      </c>
      <c r="I1085" s="6" t="str" cm="1">
        <f t="array" ref="I1085">choice(Referentiel!B:B,1,Settings!$B$16)</f>
        <v>5ème année Scénographie S2</v>
      </c>
      <c r="J1085" s="6" t="str" cm="1">
        <f t="array" ref="J1085">choice(Referentiel!D:D,1,Settings!$B$16)</f>
        <v>L2</v>
      </c>
      <c r="K1085" s="6" t="str" cm="1">
        <f t="array" ref="K1085">choice(Professeurs!B:B,1,Settings!$B$16)</f>
        <v>Prof2</v>
      </c>
      <c r="L1085" s="5" t="str" cm="1">
        <f t="array" ref="L1085">choice(Referentiel!C:C,1,Settings!$B$16)</f>
        <v/>
      </c>
      <c r="M1085" s="5" t="str" cm="1">
        <f t="array" ref="M1085">choice(Referentiel!E:E,1,Settings!$B$16)</f>
        <v/>
      </c>
      <c r="N1085" s="5" t="str" cm="1">
        <f t="array" ref="N1085">choice(Settings!K:K,1,Settings!$B$16)</f>
        <v/>
      </c>
      <c r="P1085" s="5">
        <f t="shared" si="68"/>
        <v>1</v>
      </c>
    </row>
    <row r="1086" spans="1:16" ht="15.75" customHeight="1" x14ac:dyDescent="0.25">
      <c r="A1086" s="6" t="s">
        <v>1438</v>
      </c>
      <c r="B1086" s="6" cm="1">
        <f t="array" ref="B1086">alea_int(Settings!$B$10,1,Settings!$B$16)</f>
        <v>3</v>
      </c>
      <c r="C1086" s="8">
        <v>46023</v>
      </c>
      <c r="D1086" s="8">
        <f t="shared" si="65"/>
        <v>46387</v>
      </c>
      <c r="E1086" s="6" t="str" cm="1">
        <f t="array" ref="E1086">choice(Groupes!A:A,1,Settings!$B$16)</f>
        <v>G9</v>
      </c>
      <c r="F1086" s="6" t="str">
        <f t="shared" si="66"/>
        <v>G9</v>
      </c>
      <c r="G1086" s="6" t="str">
        <f t="shared" si="67"/>
        <v>Prof24</v>
      </c>
      <c r="H1086" s="6" t="str" cm="1">
        <f t="array" ref="H1086">choice(Referentiel!A:A,1,Settings!$B$16)</f>
        <v>1ère année Groupe 2</v>
      </c>
      <c r="I1086" s="6" t="str" cm="1">
        <f t="array" ref="I1086">choice(Referentiel!B:B,1,Settings!$B$16)</f>
        <v>3ème année Architecture Intérieure S2</v>
      </c>
      <c r="J1086" s="6" t="str" cm="1">
        <f t="array" ref="J1086">choice(Referentiel!D:D,1,Settings!$B$16)</f>
        <v>L2</v>
      </c>
      <c r="K1086" s="6" t="str" cm="1">
        <f t="array" ref="K1086">choice(Professeurs!B:B,1,Settings!$B$16)</f>
        <v>Prof24</v>
      </c>
      <c r="L1086" s="5" t="str" cm="1">
        <f t="array" ref="L1086">choice(Referentiel!C:C,1,Settings!$B$16)</f>
        <v/>
      </c>
      <c r="M1086" s="5" t="str" cm="1">
        <f t="array" ref="M1086">choice(Referentiel!E:E,1,Settings!$B$16)</f>
        <v/>
      </c>
      <c r="N1086" s="5" t="str" cm="1">
        <f t="array" ref="N1086">choice(Settings!K:K,1,Settings!$B$16)</f>
        <v/>
      </c>
      <c r="P1086" s="5">
        <f t="shared" si="68"/>
        <v>3</v>
      </c>
    </row>
    <row r="1087" spans="1:16" ht="15.75" customHeight="1" x14ac:dyDescent="0.25">
      <c r="A1087" s="6" t="s">
        <v>1439</v>
      </c>
      <c r="B1087" s="6" cm="1">
        <f t="array" ref="B1087">alea_int(Settings!$B$10,1,Settings!$B$16)</f>
        <v>2</v>
      </c>
      <c r="C1087" s="8">
        <v>46023</v>
      </c>
      <c r="D1087" s="8">
        <f t="shared" si="65"/>
        <v>46387</v>
      </c>
      <c r="E1087" s="6" t="str" cm="1">
        <f t="array" ref="E1087">choice(Groupes!A:A,1,Settings!$B$16)</f>
        <v>G21</v>
      </c>
      <c r="F1087" s="6" t="str">
        <f t="shared" si="66"/>
        <v>G21</v>
      </c>
      <c r="G1087" s="6" t="str">
        <f t="shared" si="67"/>
        <v>Prof5</v>
      </c>
      <c r="H1087" s="6" t="str" cm="1">
        <f t="array" ref="H1087">choice(Referentiel!A:A,1,Settings!$B$16)</f>
        <v>Gr SOFT MATTERS</v>
      </c>
      <c r="I1087" s="6" t="str" cm="1">
        <f t="array" ref="I1087">choice(Referentiel!B:B,1,Settings!$B$16)</f>
        <v>1ère Année Groupe 2 S2</v>
      </c>
      <c r="J1087" s="6" t="str" cm="1">
        <f t="array" ref="J1087">choice(Referentiel!D:D,1,Settings!$B$16)</f>
        <v>L3</v>
      </c>
      <c r="K1087" s="6" t="str" cm="1">
        <f t="array" ref="K1087">choice(Professeurs!B:B,1,Settings!$B$16)</f>
        <v>Prof5</v>
      </c>
      <c r="L1087" s="5" t="str" cm="1">
        <f t="array" ref="L1087">choice(Referentiel!C:C,1,Settings!$B$16)</f>
        <v/>
      </c>
      <c r="M1087" s="5" t="str" cm="1">
        <f t="array" ref="M1087">choice(Referentiel!E:E,1,Settings!$B$16)</f>
        <v/>
      </c>
      <c r="N1087" s="5" t="str" cm="1">
        <f t="array" ref="N1087">choice(Settings!K:K,1,Settings!$B$16)</f>
        <v/>
      </c>
      <c r="P1087" s="5">
        <f t="shared" si="68"/>
        <v>2</v>
      </c>
    </row>
    <row r="1088" spans="1:16" ht="15.75" customHeight="1" x14ac:dyDescent="0.25">
      <c r="A1088" s="6" t="s">
        <v>1440</v>
      </c>
      <c r="B1088" s="6" cm="1">
        <f t="array" ref="B1088">alea_int(Settings!$B$10,1,Settings!$B$16)</f>
        <v>3</v>
      </c>
      <c r="C1088" s="8">
        <v>46023</v>
      </c>
      <c r="D1088" s="8">
        <f t="shared" si="65"/>
        <v>46387</v>
      </c>
      <c r="E1088" s="6" t="str" cm="1">
        <f t="array" ref="E1088">choice(Groupes!A:A,1,Settings!$B$16)</f>
        <v>G21</v>
      </c>
      <c r="F1088" s="6" t="str">
        <f t="shared" si="66"/>
        <v>G21</v>
      </c>
      <c r="G1088" s="6" t="str">
        <f t="shared" si="67"/>
        <v>Prof37</v>
      </c>
      <c r="H1088" s="6" t="str" cm="1">
        <f t="array" ref="H1088">choice(Referentiel!A:A,1,Settings!$B$16)</f>
        <v>Design des mondes forestiers</v>
      </c>
      <c r="I1088" s="6" t="str" cm="1">
        <f t="array" ref="I1088">choice(Referentiel!B:B,1,Settings!$B$16)</f>
        <v>3ème année Architecture Intérieure S1</v>
      </c>
      <c r="J1088" s="6" t="str" cm="1">
        <f t="array" ref="J1088">choice(Referentiel!D:D,1,Settings!$B$16)</f>
        <v>M2</v>
      </c>
      <c r="K1088" s="6" t="str" cm="1">
        <f t="array" ref="K1088">choice(Professeurs!B:B,1,Settings!$B$16)</f>
        <v>Prof37</v>
      </c>
      <c r="L1088" s="5" t="str" cm="1">
        <f t="array" ref="L1088">choice(Referentiel!C:C,1,Settings!$B$16)</f>
        <v/>
      </c>
      <c r="M1088" s="5" t="str" cm="1">
        <f t="array" ref="M1088">choice(Referentiel!E:E,1,Settings!$B$16)</f>
        <v/>
      </c>
      <c r="N1088" s="5" t="str" cm="1">
        <f t="array" ref="N1088">choice(Settings!K:K,1,Settings!$B$16)</f>
        <v/>
      </c>
      <c r="P1088" s="5">
        <f t="shared" si="68"/>
        <v>3</v>
      </c>
    </row>
    <row r="1089" spans="1:16" ht="15.75" customHeight="1" x14ac:dyDescent="0.25">
      <c r="A1089" s="6" t="s">
        <v>1441</v>
      </c>
      <c r="B1089" s="6" cm="1">
        <f t="array" ref="B1089">alea_int(Settings!$B$10,1,Settings!$B$16)</f>
        <v>2</v>
      </c>
      <c r="C1089" s="8">
        <v>46023</v>
      </c>
      <c r="D1089" s="8">
        <f t="shared" si="65"/>
        <v>46387</v>
      </c>
      <c r="E1089" s="6" t="str" cm="1">
        <f t="array" ref="E1089">choice(Groupes!A:A,1,Settings!$B$16)</f>
        <v>G27</v>
      </c>
      <c r="F1089" s="6" t="str">
        <f t="shared" si="66"/>
        <v>G27</v>
      </c>
      <c r="G1089" s="6" t="str">
        <f t="shared" si="67"/>
        <v>Prof26</v>
      </c>
      <c r="H1089" s="6" t="str" cm="1">
        <f t="array" ref="H1089">choice(Referentiel!A:A,1,Settings!$B$16)</f>
        <v>6ème année atelier</v>
      </c>
      <c r="I1089" s="6" t="str" cm="1">
        <f t="array" ref="I1089">choice(Referentiel!B:B,1,Settings!$B$16)</f>
        <v>5ème année Design Objet S2</v>
      </c>
      <c r="J1089" s="6" t="str" cm="1">
        <f t="array" ref="J1089">choice(Referentiel!D:D,1,Settings!$B$16)</f>
        <v>M1</v>
      </c>
      <c r="K1089" s="6" t="str" cm="1">
        <f t="array" ref="K1089">choice(Professeurs!B:B,1,Settings!$B$16)</f>
        <v>Prof26</v>
      </c>
      <c r="L1089" s="5" t="str" cm="1">
        <f t="array" ref="L1089">choice(Referentiel!C:C,1,Settings!$B$16)</f>
        <v/>
      </c>
      <c r="M1089" s="5" t="str" cm="1">
        <f t="array" ref="M1089">choice(Referentiel!E:E,1,Settings!$B$16)</f>
        <v/>
      </c>
      <c r="N1089" s="5" t="str" cm="1">
        <f t="array" ref="N1089">choice(Settings!K:K,1,Settings!$B$16)</f>
        <v>mardi pm</v>
      </c>
      <c r="P1089" s="5">
        <f t="shared" si="68"/>
        <v>4</v>
      </c>
    </row>
    <row r="1090" spans="1:16" ht="15.75" customHeight="1" x14ac:dyDescent="0.25">
      <c r="A1090" s="6" t="s">
        <v>1442</v>
      </c>
      <c r="B1090" s="6" cm="1">
        <f t="array" ref="B1090">alea_int(Settings!$B$10,1,Settings!$B$16)</f>
        <v>3</v>
      </c>
      <c r="C1090" s="8">
        <v>46023</v>
      </c>
      <c r="D1090" s="8">
        <f t="shared" si="65"/>
        <v>46387</v>
      </c>
      <c r="E1090" s="6" t="str" cm="1">
        <f t="array" ref="E1090">choice(Groupes!A:A,1,Settings!$B$16)</f>
        <v>G20</v>
      </c>
      <c r="F1090" s="6" t="str">
        <f t="shared" si="66"/>
        <v>G20</v>
      </c>
      <c r="G1090" s="6" t="str">
        <f t="shared" si="67"/>
        <v>Prof37</v>
      </c>
      <c r="H1090" s="6" t="str" cm="1">
        <f t="array" ref="H1090">choice(Referentiel!A:A,1,Settings!$B$16)</f>
        <v>Design Vêtement</v>
      </c>
      <c r="I1090" s="6" t="str" cm="1">
        <f t="array" ref="I1090">choice(Referentiel!B:B,1,Settings!$B$16)</f>
        <v>5ème année Design Objet S1</v>
      </c>
      <c r="J1090" s="6" t="str" cm="1">
        <f t="array" ref="J1090">choice(Referentiel!D:D,1,Settings!$B$16)</f>
        <v>M2</v>
      </c>
      <c r="K1090" s="6" t="str" cm="1">
        <f t="array" ref="K1090">choice(Professeurs!B:B,1,Settings!$B$16)</f>
        <v>Prof37</v>
      </c>
      <c r="L1090" s="5" t="str" cm="1">
        <f t="array" ref="L1090">choice(Referentiel!C:C,1,Settings!$B$16)</f>
        <v/>
      </c>
      <c r="M1090" s="5" t="str" cm="1">
        <f t="array" ref="M1090">choice(Referentiel!E:E,1,Settings!$B$16)</f>
        <v/>
      </c>
      <c r="N1090" s="5" t="str" cm="1">
        <f t="array" ref="N1090">choice(Settings!K:K,1,Settings!$B$16)</f>
        <v/>
      </c>
      <c r="P1090" s="5">
        <f t="shared" si="68"/>
        <v>3</v>
      </c>
    </row>
    <row r="1091" spans="1:16" ht="15.75" customHeight="1" x14ac:dyDescent="0.25">
      <c r="A1091" s="6" t="s">
        <v>1443</v>
      </c>
      <c r="B1091" s="6" cm="1">
        <f t="array" ref="B1091">alea_int(Settings!$B$10,1,Settings!$B$16)</f>
        <v>3</v>
      </c>
      <c r="C1091" s="8">
        <v>46023</v>
      </c>
      <c r="D1091" s="8">
        <f t="shared" ref="D1091:D1154" si="69">C1091+364</f>
        <v>46387</v>
      </c>
      <c r="E1091" s="6" t="str" cm="1">
        <f t="array" ref="E1091">choice(Groupes!A:A,1,Settings!$B$16)</f>
        <v>G29</v>
      </c>
      <c r="F1091" s="6" t="str">
        <f t="shared" ref="F1091:F1154" si="70">E1091</f>
        <v>G29</v>
      </c>
      <c r="G1091" s="6" t="str">
        <f t="shared" ref="G1091:G1154" si="71">K1091</f>
        <v>Prof24</v>
      </c>
      <c r="H1091" s="6" t="str" cm="1">
        <f t="array" ref="H1091">choice(Referentiel!A:A,1,Settings!$B$16)</f>
        <v>Design des mondes forestiers</v>
      </c>
      <c r="I1091" s="6" t="str" cm="1">
        <f t="array" ref="I1091">choice(Referentiel!B:B,1,Settings!$B$16)</f>
        <v>2ème année Architecture Intérieure S1</v>
      </c>
      <c r="J1091" s="6" t="str" cm="1">
        <f t="array" ref="J1091">choice(Referentiel!D:D,1,Settings!$B$16)</f>
        <v>L2</v>
      </c>
      <c r="K1091" s="6" t="str" cm="1">
        <f t="array" ref="K1091">choice(Professeurs!B:B,1,Settings!$B$16)</f>
        <v>Prof24</v>
      </c>
      <c r="L1091" s="5" t="str" cm="1">
        <f t="array" ref="L1091">choice(Referentiel!C:C,1,Settings!$B$16)</f>
        <v/>
      </c>
      <c r="M1091" s="5" t="str" cm="1">
        <f t="array" ref="M1091">choice(Referentiel!E:E,1,Settings!$B$16)</f>
        <v/>
      </c>
      <c r="N1091" s="5" t="str" cm="1">
        <f t="array" ref="N1091">choice(Settings!K:K,1,Settings!$B$16)</f>
        <v/>
      </c>
      <c r="P1091" s="5">
        <f t="shared" ref="P1091:P1154" si="72">B1091+IF(M1091&lt;&gt;"",2,0)+IF(N1091&lt;&gt;"",2,0)</f>
        <v>3</v>
      </c>
    </row>
    <row r="1092" spans="1:16" ht="15.75" customHeight="1" x14ac:dyDescent="0.25">
      <c r="A1092" s="6" t="s">
        <v>1444</v>
      </c>
      <c r="B1092" s="6" cm="1">
        <f t="array" ref="B1092">alea_int(Settings!$B$10,1,Settings!$B$16)</f>
        <v>3</v>
      </c>
      <c r="C1092" s="8">
        <v>46023</v>
      </c>
      <c r="D1092" s="8">
        <f t="shared" si="69"/>
        <v>46387</v>
      </c>
      <c r="E1092" s="6" t="str" cm="1">
        <f t="array" ref="E1092">choice(Groupes!A:A,1,Settings!$B$16)</f>
        <v>G5</v>
      </c>
      <c r="F1092" s="6" t="str">
        <f t="shared" si="70"/>
        <v>G5</v>
      </c>
      <c r="G1092" s="6" t="str">
        <f t="shared" si="71"/>
        <v>Prof35</v>
      </c>
      <c r="H1092" s="6" t="str" cm="1">
        <f t="array" ref="H1092">choice(Referentiel!A:A,1,Settings!$B$16)</f>
        <v>Art-Espace</v>
      </c>
      <c r="I1092" s="6" t="str" cm="1">
        <f t="array" ref="I1092">choice(Referentiel!B:B,1,Settings!$B$16)</f>
        <v>5ème année Cinéma d'Animation S2</v>
      </c>
      <c r="J1092" s="6" t="str" cm="1">
        <f t="array" ref="J1092">choice(Referentiel!D:D,1,Settings!$B$16)</f>
        <v>L3</v>
      </c>
      <c r="K1092" s="6" t="str" cm="1">
        <f t="array" ref="K1092">choice(Professeurs!B:B,1,Settings!$B$16)</f>
        <v>Prof35</v>
      </c>
      <c r="L1092" s="5" t="str" cm="1">
        <f t="array" ref="L1092">choice(Referentiel!C:C,1,Settings!$B$16)</f>
        <v/>
      </c>
      <c r="M1092" s="5" t="str" cm="1">
        <f t="array" ref="M1092">choice(Referentiel!E:E,1,Settings!$B$16)</f>
        <v/>
      </c>
      <c r="N1092" s="5" t="str" cm="1">
        <f t="array" ref="N1092">choice(Settings!K:K,1,Settings!$B$16)</f>
        <v/>
      </c>
      <c r="P1092" s="5">
        <f t="shared" si="72"/>
        <v>3</v>
      </c>
    </row>
    <row r="1093" spans="1:16" ht="15.75" customHeight="1" x14ac:dyDescent="0.25">
      <c r="A1093" s="6" t="s">
        <v>1445</v>
      </c>
      <c r="B1093" s="6" cm="1">
        <f t="array" ref="B1093">alea_int(Settings!$B$10,1,Settings!$B$16)</f>
        <v>2</v>
      </c>
      <c r="C1093" s="8">
        <v>46023</v>
      </c>
      <c r="D1093" s="8">
        <f t="shared" si="69"/>
        <v>46387</v>
      </c>
      <c r="E1093" s="6" t="str" cm="1">
        <f t="array" ref="E1093">choice(Groupes!A:A,1,Settings!$B$16)</f>
        <v>G20</v>
      </c>
      <c r="F1093" s="6" t="str">
        <f t="shared" si="70"/>
        <v>G20</v>
      </c>
      <c r="G1093" s="6" t="str">
        <f t="shared" si="71"/>
        <v>Prof45</v>
      </c>
      <c r="H1093" s="6" t="str" cm="1">
        <f t="array" ref="H1093">choice(Referentiel!A:A,1,Settings!$B$16)</f>
        <v>Gr REFLECTIVE INTERACTION</v>
      </c>
      <c r="I1093" s="6" t="str" cm="1">
        <f t="array" ref="I1093">choice(Referentiel!B:B,1,Settings!$B$16)</f>
        <v>3ème année Photo / Vidéo S1</v>
      </c>
      <c r="J1093" s="6" t="str" cm="1">
        <f t="array" ref="J1093">choice(Referentiel!D:D,1,Settings!$B$16)</f>
        <v>L2</v>
      </c>
      <c r="K1093" s="6" t="str" cm="1">
        <f t="array" ref="K1093">choice(Professeurs!B:B,1,Settings!$B$16)</f>
        <v>Prof45</v>
      </c>
      <c r="L1093" s="5" t="str" cm="1">
        <f t="array" ref="L1093">choice(Referentiel!C:C,1,Settings!$B$16)</f>
        <v/>
      </c>
      <c r="M1093" s="5" t="str" cm="1">
        <f t="array" ref="M1093">choice(Referentiel!E:E,1,Settings!$B$16)</f>
        <v/>
      </c>
      <c r="N1093" s="5" t="str" cm="1">
        <f t="array" ref="N1093">choice(Settings!K:K,1,Settings!$B$16)</f>
        <v/>
      </c>
      <c r="P1093" s="5">
        <f t="shared" si="72"/>
        <v>2</v>
      </c>
    </row>
    <row r="1094" spans="1:16" ht="15.75" customHeight="1" x14ac:dyDescent="0.25">
      <c r="A1094" s="6" t="s">
        <v>1446</v>
      </c>
      <c r="B1094" s="6" cm="1">
        <f t="array" ref="B1094">alea_int(Settings!$B$10,1,Settings!$B$16)</f>
        <v>3</v>
      </c>
      <c r="C1094" s="8">
        <v>46023</v>
      </c>
      <c r="D1094" s="8">
        <f t="shared" si="69"/>
        <v>46387</v>
      </c>
      <c r="E1094" s="6" t="str" cm="1">
        <f t="array" ref="E1094">choice(Groupes!A:A,1,Settings!$B$16)</f>
        <v>G13</v>
      </c>
      <c r="F1094" s="6" t="str">
        <f t="shared" si="70"/>
        <v>G13</v>
      </c>
      <c r="G1094" s="6" t="str">
        <f t="shared" si="71"/>
        <v>Prof2</v>
      </c>
      <c r="H1094" s="6" t="str" cm="1">
        <f t="array" ref="H1094">choice(Referentiel!A:A,1,Settings!$B$16)</f>
        <v>Design Objet</v>
      </c>
      <c r="I1094" s="6" t="str" cm="1">
        <f t="array" ref="I1094">choice(Referentiel!B:B,1,Settings!$B$16)</f>
        <v>Césure S2</v>
      </c>
      <c r="J1094" s="6" t="str" cm="1">
        <f t="array" ref="J1094">choice(Referentiel!D:D,1,Settings!$B$16)</f>
        <v>M1</v>
      </c>
      <c r="K1094" s="6" t="str" cm="1">
        <f t="array" ref="K1094">choice(Professeurs!B:B,1,Settings!$B$16)</f>
        <v>Prof2</v>
      </c>
      <c r="L1094" s="5" t="str" cm="1">
        <f t="array" ref="L1094">choice(Referentiel!C:C,1,Settings!$B$16)</f>
        <v/>
      </c>
      <c r="M1094" s="5" t="str" cm="1">
        <f t="array" ref="M1094">choice(Referentiel!E:E,1,Settings!$B$16)</f>
        <v/>
      </c>
      <c r="N1094" s="5" t="str" cm="1">
        <f t="array" ref="N1094">choice(Settings!K:K,1,Settings!$B$16)</f>
        <v>jeudi am</v>
      </c>
      <c r="P1094" s="5">
        <f t="shared" si="72"/>
        <v>5</v>
      </c>
    </row>
    <row r="1095" spans="1:16" ht="15.75" customHeight="1" x14ac:dyDescent="0.25">
      <c r="A1095" s="6" t="s">
        <v>1447</v>
      </c>
      <c r="B1095" s="6" cm="1">
        <f t="array" ref="B1095">alea_int(Settings!$B$10,1,Settings!$B$16)</f>
        <v>1</v>
      </c>
      <c r="C1095" s="8">
        <v>46023</v>
      </c>
      <c r="D1095" s="8">
        <f t="shared" si="69"/>
        <v>46387</v>
      </c>
      <c r="E1095" s="6" t="str" cm="1">
        <f t="array" ref="E1095">choice(Groupes!A:A,1,Settings!$B$16)</f>
        <v>G14</v>
      </c>
      <c r="F1095" s="6" t="str">
        <f t="shared" si="70"/>
        <v>G14</v>
      </c>
      <c r="G1095" s="6" t="str">
        <f t="shared" si="71"/>
        <v>Prof43</v>
      </c>
      <c r="H1095" s="6" t="str" cm="1">
        <f t="array" ref="H1095">choice(Referentiel!A:A,1,Settings!$B$16)</f>
        <v>Gr TERRITOIRES</v>
      </c>
      <c r="I1095" s="6" t="str" cm="1">
        <f t="array" ref="I1095">choice(Referentiel!B:B,1,Settings!$B$16)</f>
        <v>2ème année Cinéma d'Animation S2</v>
      </c>
      <c r="J1095" s="6" t="str" cm="1">
        <f t="array" ref="J1095">choice(Referentiel!D:D,1,Settings!$B$16)</f>
        <v>L1</v>
      </c>
      <c r="K1095" s="6" t="str" cm="1">
        <f t="array" ref="K1095">choice(Professeurs!B:B,1,Settings!$B$16)</f>
        <v>Prof43</v>
      </c>
      <c r="L1095" s="5" t="str" cm="1">
        <f t="array" ref="L1095">choice(Referentiel!C:C,1,Settings!$B$16)</f>
        <v/>
      </c>
      <c r="M1095" s="5" t="str" cm="1">
        <f t="array" ref="M1095">choice(Referentiel!E:E,1,Settings!$B$16)</f>
        <v>Salle10</v>
      </c>
      <c r="N1095" s="5" t="str" cm="1">
        <f t="array" ref="N1095">choice(Settings!K:K,1,Settings!$B$16)</f>
        <v/>
      </c>
      <c r="P1095" s="5">
        <f t="shared" si="72"/>
        <v>3</v>
      </c>
    </row>
    <row r="1096" spans="1:16" ht="15.75" customHeight="1" x14ac:dyDescent="0.25">
      <c r="A1096" s="6" t="s">
        <v>1448</v>
      </c>
      <c r="B1096" s="6" cm="1">
        <f t="array" ref="B1096">alea_int(Settings!$B$10,1,Settings!$B$16)</f>
        <v>1</v>
      </c>
      <c r="C1096" s="8">
        <v>46023</v>
      </c>
      <c r="D1096" s="8">
        <f t="shared" si="69"/>
        <v>46387</v>
      </c>
      <c r="E1096" s="6" t="str" cm="1">
        <f t="array" ref="E1096">choice(Groupes!A:A,1,Settings!$B$16)</f>
        <v>G7</v>
      </c>
      <c r="F1096" s="6" t="str">
        <f t="shared" si="70"/>
        <v>G7</v>
      </c>
      <c r="G1096" s="6" t="str">
        <f t="shared" si="71"/>
        <v>Prof47</v>
      </c>
      <c r="H1096" s="6" t="str" cm="1">
        <f t="array" ref="H1096">choice(Referentiel!A:A,1,Settings!$B$16)</f>
        <v>Photo / Vidéo</v>
      </c>
      <c r="I1096" s="6" t="str" cm="1">
        <f t="array" ref="I1096">choice(Referentiel!B:B,1,Settings!$B$16)</f>
        <v>4ème année Design Objet S2</v>
      </c>
      <c r="J1096" s="6" t="str" cm="1">
        <f t="array" ref="J1096">choice(Referentiel!D:D,1,Settings!$B$16)</f>
        <v>M1</v>
      </c>
      <c r="K1096" s="6" t="str" cm="1">
        <f t="array" ref="K1096">choice(Professeurs!B:B,1,Settings!$B$16)</f>
        <v>Prof47</v>
      </c>
      <c r="L1096" s="5" t="str" cm="1">
        <f t="array" ref="L1096">choice(Referentiel!C:C,1,Settings!$B$16)</f>
        <v/>
      </c>
      <c r="M1096" s="5" t="str" cm="1">
        <f t="array" ref="M1096">choice(Referentiel!E:E,1,Settings!$B$16)</f>
        <v>Salle3</v>
      </c>
      <c r="N1096" s="5" t="str" cm="1">
        <f t="array" ref="N1096">choice(Settings!K:K,1,Settings!$B$16)</f>
        <v/>
      </c>
      <c r="P1096" s="5">
        <f t="shared" si="72"/>
        <v>3</v>
      </c>
    </row>
    <row r="1097" spans="1:16" ht="15.75" customHeight="1" x14ac:dyDescent="0.25">
      <c r="A1097" s="6" t="s">
        <v>1449</v>
      </c>
      <c r="B1097" s="6" cm="1">
        <f t="array" ref="B1097">alea_int(Settings!$B$10,1,Settings!$B$16)</f>
        <v>2</v>
      </c>
      <c r="C1097" s="8">
        <v>46023</v>
      </c>
      <c r="D1097" s="8">
        <f t="shared" si="69"/>
        <v>46387</v>
      </c>
      <c r="E1097" s="6" t="str" cm="1">
        <f t="array" ref="E1097">choice(Groupes!A:A,1,Settings!$B$16)</f>
        <v>G22</v>
      </c>
      <c r="F1097" s="6" t="str">
        <f t="shared" si="70"/>
        <v>G22</v>
      </c>
      <c r="G1097" s="6" t="str">
        <f t="shared" si="71"/>
        <v>Prof5</v>
      </c>
      <c r="H1097" s="6" t="str" cm="1">
        <f t="array" ref="H1097">choice(Referentiel!A:A,1,Settings!$B$16)</f>
        <v>Cinéma d'Animation</v>
      </c>
      <c r="I1097" s="6" t="str" cm="1">
        <f t="array" ref="I1097">choice(Referentiel!B:B,1,Settings!$B$16)</f>
        <v>4ème année Scénographie S1</v>
      </c>
      <c r="J1097" s="6" t="str" cm="1">
        <f t="array" ref="J1097">choice(Referentiel!D:D,1,Settings!$B$16)</f>
        <v>L1</v>
      </c>
      <c r="K1097" s="6" t="str" cm="1">
        <f t="array" ref="K1097">choice(Professeurs!B:B,1,Settings!$B$16)</f>
        <v>Prof5</v>
      </c>
      <c r="L1097" s="5" t="str" cm="1">
        <f t="array" ref="L1097">choice(Referentiel!C:C,1,Settings!$B$16)</f>
        <v/>
      </c>
      <c r="M1097" s="5" t="str" cm="1">
        <f t="array" ref="M1097">choice(Referentiel!E:E,1,Settings!$B$16)</f>
        <v/>
      </c>
      <c r="N1097" s="5" t="str" cm="1">
        <f t="array" ref="N1097">choice(Settings!K:K,1,Settings!$B$16)</f>
        <v/>
      </c>
      <c r="P1097" s="5">
        <f t="shared" si="72"/>
        <v>2</v>
      </c>
    </row>
    <row r="1098" spans="1:16" ht="15.75" customHeight="1" x14ac:dyDescent="0.25">
      <c r="A1098" s="6" t="s">
        <v>1450</v>
      </c>
      <c r="B1098" s="6" cm="1">
        <f t="array" ref="B1098">alea_int(Settings!$B$10,1,Settings!$B$16)</f>
        <v>1</v>
      </c>
      <c r="C1098" s="8">
        <v>46023</v>
      </c>
      <c r="D1098" s="8">
        <f t="shared" si="69"/>
        <v>46387</v>
      </c>
      <c r="E1098" s="6" t="str" cm="1">
        <f t="array" ref="E1098">choice(Groupes!A:A,1,Settings!$B$16)</f>
        <v>G19</v>
      </c>
      <c r="F1098" s="6" t="str">
        <f t="shared" si="70"/>
        <v>G19</v>
      </c>
      <c r="G1098" s="6" t="str">
        <f t="shared" si="71"/>
        <v>Prof22</v>
      </c>
      <c r="H1098" s="6" t="str" cm="1">
        <f t="array" ref="H1098">choice(Referentiel!A:A,1,Settings!$B$16)</f>
        <v>Design des mondes urbains</v>
      </c>
      <c r="I1098" s="6" t="str" cm="1">
        <f t="array" ref="I1098">choice(Referentiel!B:B,1,Settings!$B$16)</f>
        <v>3ème année Design Vêtement S1</v>
      </c>
      <c r="J1098" s="6" t="str" cm="1">
        <f t="array" ref="J1098">choice(Referentiel!D:D,1,Settings!$B$16)</f>
        <v>L3</v>
      </c>
      <c r="K1098" s="6" t="str" cm="1">
        <f t="array" ref="K1098">choice(Professeurs!B:B,1,Settings!$B$16)</f>
        <v>Prof22</v>
      </c>
      <c r="L1098" s="5" t="str" cm="1">
        <f t="array" ref="L1098">choice(Referentiel!C:C,1,Settings!$B$16)</f>
        <v/>
      </c>
      <c r="M1098" s="5" t="str" cm="1">
        <f t="array" ref="M1098">choice(Referentiel!E:E,1,Settings!$B$16)</f>
        <v/>
      </c>
      <c r="N1098" s="5" t="str" cm="1">
        <f t="array" ref="N1098">choice(Settings!K:K,1,Settings!$B$16)</f>
        <v/>
      </c>
      <c r="P1098" s="5">
        <f t="shared" si="72"/>
        <v>1</v>
      </c>
    </row>
    <row r="1099" spans="1:16" ht="15.75" customHeight="1" x14ac:dyDescent="0.25">
      <c r="A1099" s="6" t="s">
        <v>1451</v>
      </c>
      <c r="B1099" s="6" cm="1">
        <f t="array" ref="B1099">alea_int(Settings!$B$10,1,Settings!$B$16)</f>
        <v>1</v>
      </c>
      <c r="C1099" s="8">
        <v>46023</v>
      </c>
      <c r="D1099" s="8">
        <f t="shared" si="69"/>
        <v>46387</v>
      </c>
      <c r="E1099" s="6" t="str" cm="1">
        <f t="array" ref="E1099">choice(Groupes!A:A,1,Settings!$B$16)</f>
        <v>G16</v>
      </c>
      <c r="F1099" s="6" t="str">
        <f t="shared" si="70"/>
        <v>G16</v>
      </c>
      <c r="G1099" s="6" t="str">
        <f t="shared" si="71"/>
        <v>Prof25</v>
      </c>
      <c r="H1099" s="6" t="str" cm="1">
        <f t="array" ref="H1099">choice(Referentiel!A:A,1,Settings!$B$16)</f>
        <v>1ère année Groupe 4</v>
      </c>
      <c r="I1099" s="6" t="str" cm="1">
        <f t="array" ref="I1099">choice(Referentiel!B:B,1,Settings!$B$16)</f>
        <v>1ère Année Groupe 2 S2</v>
      </c>
      <c r="J1099" s="6" t="str" cm="1">
        <f t="array" ref="J1099">choice(Referentiel!D:D,1,Settings!$B$16)</f>
        <v>L2</v>
      </c>
      <c r="K1099" s="6" t="str" cm="1">
        <f t="array" ref="K1099">choice(Professeurs!B:B,1,Settings!$B$16)</f>
        <v>Prof25</v>
      </c>
      <c r="L1099" s="5" t="str" cm="1">
        <f t="array" ref="L1099">choice(Referentiel!C:C,1,Settings!$B$16)</f>
        <v/>
      </c>
      <c r="M1099" s="5" t="str" cm="1">
        <f t="array" ref="M1099">choice(Referentiel!E:E,1,Settings!$B$16)</f>
        <v/>
      </c>
      <c r="N1099" s="5" t="str" cm="1">
        <f t="array" ref="N1099">choice(Settings!K:K,1,Settings!$B$16)</f>
        <v/>
      </c>
      <c r="P1099" s="5">
        <f t="shared" si="72"/>
        <v>1</v>
      </c>
    </row>
    <row r="1100" spans="1:16" ht="15.75" customHeight="1" x14ac:dyDescent="0.25">
      <c r="A1100" s="6" t="s">
        <v>1452</v>
      </c>
      <c r="B1100" s="6" cm="1">
        <f t="array" ref="B1100">alea_int(Settings!$B$10,1,Settings!$B$16)</f>
        <v>2</v>
      </c>
      <c r="C1100" s="8">
        <v>46023</v>
      </c>
      <c r="D1100" s="8">
        <f t="shared" si="69"/>
        <v>46387</v>
      </c>
      <c r="E1100" s="6" t="str" cm="1">
        <f t="array" ref="E1100">choice(Groupes!A:A,1,Settings!$B$16)</f>
        <v>G15</v>
      </c>
      <c r="F1100" s="6" t="str">
        <f t="shared" si="70"/>
        <v>G15</v>
      </c>
      <c r="G1100" s="6" t="str">
        <f t="shared" si="71"/>
        <v>Prof13</v>
      </c>
      <c r="H1100" s="6" t="str" cm="1">
        <f t="array" ref="H1100">choice(Referentiel!A:A,1,Settings!$B$16)</f>
        <v>Design des mondes insulaires</v>
      </c>
      <c r="I1100" s="6" t="str" cm="1">
        <f t="array" ref="I1100">choice(Referentiel!B:B,1,Settings!$B$16)</f>
        <v>5ème année Scénographie S1</v>
      </c>
      <c r="J1100" s="6" t="str" cm="1">
        <f t="array" ref="J1100">choice(Referentiel!D:D,1,Settings!$B$16)</f>
        <v>M2</v>
      </c>
      <c r="K1100" s="6" t="str" cm="1">
        <f t="array" ref="K1100">choice(Professeurs!B:B,1,Settings!$B$16)</f>
        <v>Prof13</v>
      </c>
      <c r="L1100" s="5" t="str" cm="1">
        <f t="array" ref="L1100">choice(Referentiel!C:C,1,Settings!$B$16)</f>
        <v/>
      </c>
      <c r="M1100" s="5" t="str" cm="1">
        <f t="array" ref="M1100">choice(Referentiel!E:E,1,Settings!$B$16)</f>
        <v/>
      </c>
      <c r="N1100" s="5" t="str" cm="1">
        <f t="array" ref="N1100">choice(Settings!K:K,1,Settings!$B$16)</f>
        <v/>
      </c>
      <c r="P1100" s="5">
        <f t="shared" si="72"/>
        <v>2</v>
      </c>
    </row>
    <row r="1101" spans="1:16" ht="15.75" customHeight="1" x14ac:dyDescent="0.25">
      <c r="A1101" s="6" t="s">
        <v>1453</v>
      </c>
      <c r="B1101" s="6" cm="1">
        <f t="array" ref="B1101">alea_int(Settings!$B$10,1,Settings!$B$16)</f>
        <v>2</v>
      </c>
      <c r="C1101" s="8">
        <v>46023</v>
      </c>
      <c r="D1101" s="8">
        <f t="shared" si="69"/>
        <v>46387</v>
      </c>
      <c r="E1101" s="6" t="str" cm="1">
        <f t="array" ref="E1101">choice(Groupes!A:A,1,Settings!$B$16)</f>
        <v>G2</v>
      </c>
      <c r="F1101" s="6" t="str">
        <f t="shared" si="70"/>
        <v>G2</v>
      </c>
      <c r="G1101" s="6" t="str">
        <f t="shared" si="71"/>
        <v>Prof14</v>
      </c>
      <c r="H1101" s="6" t="str" cm="1">
        <f t="array" ref="H1101">choice(Referentiel!A:A,1,Settings!$B$16)</f>
        <v>Cinéma d'Animation</v>
      </c>
      <c r="I1101" s="6" t="str" cm="1">
        <f t="array" ref="I1101">choice(Referentiel!B:B,1,Settings!$B$16)</f>
        <v>1ère Année Groupe 2 S1</v>
      </c>
      <c r="J1101" s="6" t="str" cm="1">
        <f t="array" ref="J1101">choice(Referentiel!D:D,1,Settings!$B$16)</f>
        <v>L1</v>
      </c>
      <c r="K1101" s="6" t="str" cm="1">
        <f t="array" ref="K1101">choice(Professeurs!B:B,1,Settings!$B$16)</f>
        <v>Prof14</v>
      </c>
      <c r="L1101" s="5" t="str" cm="1">
        <f t="array" ref="L1101">choice(Referentiel!C:C,1,Settings!$B$16)</f>
        <v/>
      </c>
      <c r="M1101" s="5" t="str" cm="1">
        <f t="array" ref="M1101">choice(Referentiel!E:E,1,Settings!$B$16)</f>
        <v/>
      </c>
      <c r="N1101" s="5" t="str" cm="1">
        <f t="array" ref="N1101">choice(Settings!K:K,1,Settings!$B$16)</f>
        <v>vendredi am</v>
      </c>
      <c r="P1101" s="5">
        <f t="shared" si="72"/>
        <v>4</v>
      </c>
    </row>
    <row r="1102" spans="1:16" ht="15.75" customHeight="1" x14ac:dyDescent="0.25">
      <c r="A1102" s="6" t="s">
        <v>1454</v>
      </c>
      <c r="B1102" s="6" cm="1">
        <f t="array" ref="B1102">alea_int(Settings!$B$10,1,Settings!$B$16)</f>
        <v>1</v>
      </c>
      <c r="C1102" s="8">
        <v>46023</v>
      </c>
      <c r="D1102" s="8">
        <f t="shared" si="69"/>
        <v>46387</v>
      </c>
      <c r="E1102" s="6" t="str" cm="1">
        <f t="array" ref="E1102">choice(Groupes!A:A,1,Settings!$B$16)</f>
        <v>G4</v>
      </c>
      <c r="F1102" s="6" t="str">
        <f t="shared" si="70"/>
        <v>G4</v>
      </c>
      <c r="G1102" s="6" t="str">
        <f t="shared" si="71"/>
        <v>Prof36</v>
      </c>
      <c r="H1102" s="6" t="str" cm="1">
        <f t="array" ref="H1102">choice(Referentiel!A:A,1,Settings!$B$16)</f>
        <v>Mode et Matière</v>
      </c>
      <c r="I1102" s="6" t="str" cm="1">
        <f t="array" ref="I1102">choice(Referentiel!B:B,1,Settings!$B$16)</f>
        <v>5ème année Photo / Vidéo S1</v>
      </c>
      <c r="J1102" s="6" t="str" cm="1">
        <f t="array" ref="J1102">choice(Referentiel!D:D,1,Settings!$B$16)</f>
        <v>L2</v>
      </c>
      <c r="K1102" s="6" t="str" cm="1">
        <f t="array" ref="K1102">choice(Professeurs!B:B,1,Settings!$B$16)</f>
        <v>Prof36</v>
      </c>
      <c r="L1102" s="5" t="str" cm="1">
        <f t="array" ref="L1102">choice(Referentiel!C:C,1,Settings!$B$16)</f>
        <v/>
      </c>
      <c r="M1102" s="5" t="str" cm="1">
        <f t="array" ref="M1102">choice(Referentiel!E:E,1,Settings!$B$16)</f>
        <v/>
      </c>
      <c r="N1102" s="5" t="str" cm="1">
        <f t="array" ref="N1102">choice(Settings!K:K,1,Settings!$B$16)</f>
        <v/>
      </c>
      <c r="P1102" s="5">
        <f t="shared" si="72"/>
        <v>1</v>
      </c>
    </row>
    <row r="1103" spans="1:16" ht="15.75" customHeight="1" x14ac:dyDescent="0.25">
      <c r="A1103" s="6" t="s">
        <v>1455</v>
      </c>
      <c r="B1103" s="6" cm="1">
        <f t="array" ref="B1103">alea_int(Settings!$B$10,1,Settings!$B$16)</f>
        <v>3</v>
      </c>
      <c r="C1103" s="8">
        <v>46023</v>
      </c>
      <c r="D1103" s="8">
        <f t="shared" si="69"/>
        <v>46387</v>
      </c>
      <c r="E1103" s="6" t="str" cm="1">
        <f t="array" ref="E1103">choice(Groupes!A:A,1,Settings!$B$16)</f>
        <v>G1</v>
      </c>
      <c r="F1103" s="6" t="str">
        <f t="shared" si="70"/>
        <v>G1</v>
      </c>
      <c r="G1103" s="6" t="str">
        <f t="shared" si="71"/>
        <v>Prof45</v>
      </c>
      <c r="H1103" s="6" t="str" cm="1">
        <f t="array" ref="H1103">choice(Referentiel!A:A,1,Settings!$B$16)</f>
        <v>Architecture Intérieure</v>
      </c>
      <c r="I1103" s="6" t="str" cm="1">
        <f t="array" ref="I1103">choice(Referentiel!B:B,1,Settings!$B$16)</f>
        <v>5ème année Cinéma d'Animation S2</v>
      </c>
      <c r="J1103" s="6" t="str" cm="1">
        <f t="array" ref="J1103">choice(Referentiel!D:D,1,Settings!$B$16)</f>
        <v>L2</v>
      </c>
      <c r="K1103" s="6" t="str" cm="1">
        <f t="array" ref="K1103">choice(Professeurs!B:B,1,Settings!$B$16)</f>
        <v>Prof45</v>
      </c>
      <c r="L1103" s="5" t="str" cm="1">
        <f t="array" ref="L1103">choice(Referentiel!C:C,1,Settings!$B$16)</f>
        <v/>
      </c>
      <c r="M1103" s="5" t="str" cm="1">
        <f t="array" ref="M1103">choice(Referentiel!E:E,1,Settings!$B$16)</f>
        <v/>
      </c>
      <c r="N1103" s="5" t="str" cm="1">
        <f t="array" ref="N1103">choice(Settings!K:K,1,Settings!$B$16)</f>
        <v>mardi am</v>
      </c>
      <c r="P1103" s="5">
        <f t="shared" si="72"/>
        <v>5</v>
      </c>
    </row>
    <row r="1104" spans="1:16" ht="15.75" customHeight="1" x14ac:dyDescent="0.25">
      <c r="A1104" s="6" t="s">
        <v>1456</v>
      </c>
      <c r="B1104" s="6" cm="1">
        <f t="array" ref="B1104">alea_int(Settings!$B$10,1,Settings!$B$16)</f>
        <v>2</v>
      </c>
      <c r="C1104" s="8">
        <v>46023</v>
      </c>
      <c r="D1104" s="8">
        <f t="shared" si="69"/>
        <v>46387</v>
      </c>
      <c r="E1104" s="6" t="str" cm="1">
        <f t="array" ref="E1104">choice(Groupes!A:A,1,Settings!$B$16)</f>
        <v>G7</v>
      </c>
      <c r="F1104" s="6" t="str">
        <f t="shared" si="70"/>
        <v>G7</v>
      </c>
      <c r="G1104" s="6" t="str">
        <f t="shared" si="71"/>
        <v>Prof49</v>
      </c>
      <c r="H1104" s="6" t="str" cm="1">
        <f t="array" ref="H1104">choice(Referentiel!A:A,1,Settings!$B$16)</f>
        <v>Scénographie</v>
      </c>
      <c r="I1104" s="6" t="str" cm="1">
        <f t="array" ref="I1104">choice(Referentiel!B:B,1,Settings!$B$16)</f>
        <v>2ème année Scénographie S2</v>
      </c>
      <c r="J1104" s="6" t="str" cm="1">
        <f t="array" ref="J1104">choice(Referentiel!D:D,1,Settings!$B$16)</f>
        <v>M2</v>
      </c>
      <c r="K1104" s="6" t="str" cm="1">
        <f t="array" ref="K1104">choice(Professeurs!B:B,1,Settings!$B$16)</f>
        <v>Prof49</v>
      </c>
      <c r="L1104" s="5" t="str" cm="1">
        <f t="array" ref="L1104">choice(Referentiel!C:C,1,Settings!$B$16)</f>
        <v/>
      </c>
      <c r="M1104" s="5" t="str" cm="1">
        <f t="array" ref="M1104">choice(Referentiel!E:E,1,Settings!$B$16)</f>
        <v/>
      </c>
      <c r="N1104" s="5" t="str" cm="1">
        <f t="array" ref="N1104">choice(Settings!K:K,1,Settings!$B$16)</f>
        <v/>
      </c>
      <c r="P1104" s="5">
        <f t="shared" si="72"/>
        <v>2</v>
      </c>
    </row>
    <row r="1105" spans="1:16" ht="15.75" customHeight="1" x14ac:dyDescent="0.25">
      <c r="A1105" s="6" t="s">
        <v>1457</v>
      </c>
      <c r="B1105" s="6" cm="1">
        <f t="array" ref="B1105">alea_int(Settings!$B$10,1,Settings!$B$16)</f>
        <v>3</v>
      </c>
      <c r="C1105" s="8">
        <v>46023</v>
      </c>
      <c r="D1105" s="8">
        <f t="shared" si="69"/>
        <v>46387</v>
      </c>
      <c r="E1105" s="6" t="str" cm="1">
        <f t="array" ref="E1105">choice(Groupes!A:A,1,Settings!$B$16)</f>
        <v>G9</v>
      </c>
      <c r="F1105" s="6" t="str">
        <f t="shared" si="70"/>
        <v>G9</v>
      </c>
      <c r="G1105" s="6" t="str">
        <f t="shared" si="71"/>
        <v>Prof33</v>
      </c>
      <c r="H1105" s="6" t="str" cm="1">
        <f t="array" ref="H1105">choice(Referentiel!A:A,1,Settings!$B$16)</f>
        <v>1ère année Groupe 3</v>
      </c>
      <c r="I1105" s="6" t="str" cm="1">
        <f t="array" ref="I1105">choice(Referentiel!B:B,1,Settings!$B$16)</f>
        <v>3ème année Art-Espace S2</v>
      </c>
      <c r="J1105" s="6" t="str" cm="1">
        <f t="array" ref="J1105">choice(Referentiel!D:D,1,Settings!$B$16)</f>
        <v>L1</v>
      </c>
      <c r="K1105" s="6" t="str" cm="1">
        <f t="array" ref="K1105">choice(Professeurs!B:B,1,Settings!$B$16)</f>
        <v>Prof33</v>
      </c>
      <c r="L1105" s="5" t="str" cm="1">
        <f t="array" ref="L1105">choice(Referentiel!C:C,1,Settings!$B$16)</f>
        <v/>
      </c>
      <c r="M1105" s="5" t="str" cm="1">
        <f t="array" ref="M1105">choice(Referentiel!E:E,1,Settings!$B$16)</f>
        <v/>
      </c>
      <c r="N1105" s="5" t="str" cm="1">
        <f t="array" ref="N1105">choice(Settings!K:K,1,Settings!$B$16)</f>
        <v/>
      </c>
      <c r="P1105" s="5">
        <f t="shared" si="72"/>
        <v>3</v>
      </c>
    </row>
    <row r="1106" spans="1:16" ht="15.75" customHeight="1" x14ac:dyDescent="0.25">
      <c r="A1106" s="6" t="s">
        <v>1458</v>
      </c>
      <c r="B1106" s="6" cm="1">
        <f t="array" ref="B1106">alea_int(Settings!$B$10,1,Settings!$B$16)</f>
        <v>3</v>
      </c>
      <c r="C1106" s="8">
        <v>46023</v>
      </c>
      <c r="D1106" s="8">
        <f t="shared" si="69"/>
        <v>46387</v>
      </c>
      <c r="E1106" s="6" t="str" cm="1">
        <f t="array" ref="E1106">choice(Groupes!A:A,1,Settings!$B$16)</f>
        <v>G15</v>
      </c>
      <c r="F1106" s="6" t="str">
        <f t="shared" si="70"/>
        <v>G15</v>
      </c>
      <c r="G1106" s="6" t="str">
        <f t="shared" si="71"/>
        <v>Prof12</v>
      </c>
      <c r="H1106" s="6" t="str" cm="1">
        <f t="array" ref="H1106">choice(Referentiel!A:A,1,Settings!$B$16)</f>
        <v>Design des mondes urbains</v>
      </c>
      <c r="I1106" s="6" t="str" cm="1">
        <f t="array" ref="I1106">choice(Referentiel!B:B,1,Settings!$B$16)</f>
        <v>4ème année Design Textile et Matière S2</v>
      </c>
      <c r="J1106" s="6" t="str" cm="1">
        <f t="array" ref="J1106">choice(Referentiel!D:D,1,Settings!$B$16)</f>
        <v>M2</v>
      </c>
      <c r="K1106" s="6" t="str" cm="1">
        <f t="array" ref="K1106">choice(Professeurs!B:B,1,Settings!$B$16)</f>
        <v>Prof12</v>
      </c>
      <c r="L1106" s="5" t="str" cm="1">
        <f t="array" ref="L1106">choice(Referentiel!C:C,1,Settings!$B$16)</f>
        <v/>
      </c>
      <c r="M1106" s="5" t="str" cm="1">
        <f t="array" ref="M1106">choice(Referentiel!E:E,1,Settings!$B$16)</f>
        <v/>
      </c>
      <c r="N1106" s="5" t="str" cm="1">
        <f t="array" ref="N1106">choice(Settings!K:K,1,Settings!$B$16)</f>
        <v/>
      </c>
      <c r="P1106" s="5">
        <f t="shared" si="72"/>
        <v>3</v>
      </c>
    </row>
    <row r="1107" spans="1:16" ht="15.75" customHeight="1" x14ac:dyDescent="0.25">
      <c r="A1107" s="6" t="s">
        <v>1459</v>
      </c>
      <c r="B1107" s="6" cm="1">
        <f t="array" ref="B1107">alea_int(Settings!$B$10,1,Settings!$B$16)</f>
        <v>2</v>
      </c>
      <c r="C1107" s="8">
        <v>46023</v>
      </c>
      <c r="D1107" s="8">
        <f t="shared" si="69"/>
        <v>46387</v>
      </c>
      <c r="E1107" s="6" t="str" cm="1">
        <f t="array" ref="E1107">choice(Groupes!A:A,1,Settings!$B$16)</f>
        <v>G12</v>
      </c>
      <c r="F1107" s="6" t="str">
        <f t="shared" si="70"/>
        <v>G12</v>
      </c>
      <c r="G1107" s="6" t="str">
        <f t="shared" si="71"/>
        <v>Prof23</v>
      </c>
      <c r="H1107" s="6" t="str" cm="1">
        <f t="array" ref="H1107">choice(Referentiel!A:A,1,Settings!$B$16)</f>
        <v>Design des mondes littoraux</v>
      </c>
      <c r="I1107" s="6" t="str" cm="1">
        <f t="array" ref="I1107">choice(Referentiel!B:B,1,Settings!$B$16)</f>
        <v>2ème année Design Objet S1</v>
      </c>
      <c r="J1107" s="6" t="str" cm="1">
        <f t="array" ref="J1107">choice(Referentiel!D:D,1,Settings!$B$16)</f>
        <v>L1</v>
      </c>
      <c r="K1107" s="6" t="str" cm="1">
        <f t="array" ref="K1107">choice(Professeurs!B:B,1,Settings!$B$16)</f>
        <v>Prof23</v>
      </c>
      <c r="L1107" s="5" t="str" cm="1">
        <f t="array" ref="L1107">choice(Referentiel!C:C,1,Settings!$B$16)</f>
        <v/>
      </c>
      <c r="M1107" s="5" t="str" cm="1">
        <f t="array" ref="M1107">choice(Referentiel!E:E,1,Settings!$B$16)</f>
        <v/>
      </c>
      <c r="N1107" s="5" t="str" cm="1">
        <f t="array" ref="N1107">choice(Settings!K:K,1,Settings!$B$16)</f>
        <v>mercredi pm</v>
      </c>
      <c r="P1107" s="5">
        <f t="shared" si="72"/>
        <v>4</v>
      </c>
    </row>
    <row r="1108" spans="1:16" ht="15.75" customHeight="1" x14ac:dyDescent="0.25">
      <c r="A1108" s="6" t="s">
        <v>1460</v>
      </c>
      <c r="B1108" s="6" cm="1">
        <f t="array" ref="B1108">alea_int(Settings!$B$10,1,Settings!$B$16)</f>
        <v>2</v>
      </c>
      <c r="C1108" s="8">
        <v>46023</v>
      </c>
      <c r="D1108" s="8">
        <f t="shared" si="69"/>
        <v>46387</v>
      </c>
      <c r="E1108" s="6" t="str" cm="1">
        <f t="array" ref="E1108">choice(Groupes!A:A,1,Settings!$B$16)</f>
        <v>G25</v>
      </c>
      <c r="F1108" s="6" t="str">
        <f t="shared" si="70"/>
        <v>G25</v>
      </c>
      <c r="G1108" s="6" t="str">
        <f t="shared" si="71"/>
        <v>Prof54</v>
      </c>
      <c r="H1108" s="6" t="str" cm="1">
        <f t="array" ref="H1108">choice(Referentiel!A:A,1,Settings!$B$16)</f>
        <v>Gr TERRITOIRES</v>
      </c>
      <c r="I1108" s="6" t="str" cm="1">
        <f t="array" ref="I1108">choice(Referentiel!B:B,1,Settings!$B$16)</f>
        <v>4ème année Design Vêtement S1</v>
      </c>
      <c r="J1108" s="6" t="str" cm="1">
        <f t="array" ref="J1108">choice(Referentiel!D:D,1,Settings!$B$16)</f>
        <v>L1</v>
      </c>
      <c r="K1108" s="6" t="str" cm="1">
        <f t="array" ref="K1108">choice(Professeurs!B:B,1,Settings!$B$16)</f>
        <v>Prof54</v>
      </c>
      <c r="L1108" s="5" t="str" cm="1">
        <f t="array" ref="L1108">choice(Referentiel!C:C,1,Settings!$B$16)</f>
        <v/>
      </c>
      <c r="M1108" s="5" t="str" cm="1">
        <f t="array" ref="M1108">choice(Referentiel!E:E,1,Settings!$B$16)</f>
        <v/>
      </c>
      <c r="N1108" s="5" t="str" cm="1">
        <f t="array" ref="N1108">choice(Settings!K:K,1,Settings!$B$16)</f>
        <v>lundi pm</v>
      </c>
      <c r="P1108" s="5">
        <f t="shared" si="72"/>
        <v>4</v>
      </c>
    </row>
    <row r="1109" spans="1:16" ht="15.75" customHeight="1" x14ac:dyDescent="0.25">
      <c r="A1109" s="6" t="s">
        <v>1461</v>
      </c>
      <c r="B1109" s="6" cm="1">
        <f t="array" ref="B1109">alea_int(Settings!$B$10,1,Settings!$B$16)</f>
        <v>1</v>
      </c>
      <c r="C1109" s="8">
        <v>46023</v>
      </c>
      <c r="D1109" s="8">
        <f t="shared" si="69"/>
        <v>46387</v>
      </c>
      <c r="E1109" s="6" t="str" cm="1">
        <f t="array" ref="E1109">choice(Groupes!A:A,1,Settings!$B$16)</f>
        <v>G14</v>
      </c>
      <c r="F1109" s="6" t="str">
        <f t="shared" si="70"/>
        <v>G14</v>
      </c>
      <c r="G1109" s="6" t="str">
        <f t="shared" si="71"/>
        <v>Prof36</v>
      </c>
      <c r="H1109" s="6" t="str" cm="1">
        <f t="array" ref="H1109">choice(Referentiel!A:A,1,Settings!$B$16)</f>
        <v>Design des mondes urbains</v>
      </c>
      <c r="I1109" s="6" t="str" cm="1">
        <f t="array" ref="I1109">choice(Referentiel!B:B,1,Settings!$B$16)</f>
        <v>4ème année Design Textile et Matière S2</v>
      </c>
      <c r="J1109" s="6" t="str" cm="1">
        <f t="array" ref="J1109">choice(Referentiel!D:D,1,Settings!$B$16)</f>
        <v>L1</v>
      </c>
      <c r="K1109" s="6" t="str" cm="1">
        <f t="array" ref="K1109">choice(Professeurs!B:B,1,Settings!$B$16)</f>
        <v>Prof36</v>
      </c>
      <c r="L1109" s="5" t="str" cm="1">
        <f t="array" ref="L1109">choice(Referentiel!C:C,1,Settings!$B$16)</f>
        <v/>
      </c>
      <c r="M1109" s="5" t="str" cm="1">
        <f t="array" ref="M1109">choice(Referentiel!E:E,1,Settings!$B$16)</f>
        <v/>
      </c>
      <c r="N1109" s="5" t="str" cm="1">
        <f t="array" ref="N1109">choice(Settings!K:K,1,Settings!$B$16)</f>
        <v/>
      </c>
      <c r="P1109" s="5">
        <f t="shared" si="72"/>
        <v>1</v>
      </c>
    </row>
    <row r="1110" spans="1:16" ht="15.75" customHeight="1" x14ac:dyDescent="0.25">
      <c r="A1110" s="6" t="s">
        <v>1462</v>
      </c>
      <c r="B1110" s="6" cm="1">
        <f t="array" ref="B1110">alea_int(Settings!$B$10,1,Settings!$B$16)</f>
        <v>2</v>
      </c>
      <c r="C1110" s="8">
        <v>46023</v>
      </c>
      <c r="D1110" s="8">
        <f t="shared" si="69"/>
        <v>46387</v>
      </c>
      <c r="E1110" s="6" t="str" cm="1">
        <f t="array" ref="E1110">choice(Groupes!A:A,1,Settings!$B$16)</f>
        <v>G17</v>
      </c>
      <c r="F1110" s="6" t="str">
        <f t="shared" si="70"/>
        <v>G17</v>
      </c>
      <c r="G1110" s="6" t="str">
        <f t="shared" si="71"/>
        <v>Prof20</v>
      </c>
      <c r="H1110" s="6" t="str" cm="1">
        <f t="array" ref="H1110">choice(Referentiel!A:A,1,Settings!$B$16)</f>
        <v>6ème année atelier</v>
      </c>
      <c r="I1110" s="6" t="str" cm="1">
        <f t="array" ref="I1110">choice(Referentiel!B:B,1,Settings!$B$16)</f>
        <v>2ème année Design Vêtement S1</v>
      </c>
      <c r="J1110" s="6" t="str" cm="1">
        <f t="array" ref="J1110">choice(Referentiel!D:D,1,Settings!$B$16)</f>
        <v>M2</v>
      </c>
      <c r="K1110" s="6" t="str" cm="1">
        <f t="array" ref="K1110">choice(Professeurs!B:B,1,Settings!$B$16)</f>
        <v>Prof20</v>
      </c>
      <c r="L1110" s="5" t="str" cm="1">
        <f t="array" ref="L1110">choice(Referentiel!C:C,1,Settings!$B$16)</f>
        <v/>
      </c>
      <c r="M1110" s="5" t="str" cm="1">
        <f t="array" ref="M1110">choice(Referentiel!E:E,1,Settings!$B$16)</f>
        <v>Salle10</v>
      </c>
      <c r="N1110" s="5" t="str" cm="1">
        <f t="array" ref="N1110">choice(Settings!K:K,1,Settings!$B$16)</f>
        <v/>
      </c>
      <c r="P1110" s="5">
        <f t="shared" si="72"/>
        <v>4</v>
      </c>
    </row>
    <row r="1111" spans="1:16" ht="15.75" customHeight="1" x14ac:dyDescent="0.25">
      <c r="A1111" s="6" t="s">
        <v>1463</v>
      </c>
      <c r="B1111" s="6" cm="1">
        <f t="array" ref="B1111">alea_int(Settings!$B$10,1,Settings!$B$16)</f>
        <v>3</v>
      </c>
      <c r="C1111" s="8">
        <v>46023</v>
      </c>
      <c r="D1111" s="8">
        <f t="shared" si="69"/>
        <v>46387</v>
      </c>
      <c r="E1111" s="6" t="str" cm="1">
        <f t="array" ref="E1111">choice(Groupes!A:A,1,Settings!$B$16)</f>
        <v>G13</v>
      </c>
      <c r="F1111" s="6" t="str">
        <f t="shared" si="70"/>
        <v>G13</v>
      </c>
      <c r="G1111" s="6" t="str">
        <f t="shared" si="71"/>
        <v>Prof43</v>
      </c>
      <c r="H1111" s="6" t="str" cm="1">
        <f t="array" ref="H1111">choice(Referentiel!A:A,1,Settings!$B$16)</f>
        <v>Mode et Matière</v>
      </c>
      <c r="I1111" s="6" t="str" cm="1">
        <f t="array" ref="I1111">choice(Referentiel!B:B,1,Settings!$B$16)</f>
        <v>5ème année Cinéma d'Animation S2</v>
      </c>
      <c r="J1111" s="6" t="str" cm="1">
        <f t="array" ref="J1111">choice(Referentiel!D:D,1,Settings!$B$16)</f>
        <v>L2</v>
      </c>
      <c r="K1111" s="6" t="str" cm="1">
        <f t="array" ref="K1111">choice(Professeurs!B:B,1,Settings!$B$16)</f>
        <v>Prof43</v>
      </c>
      <c r="L1111" s="5" t="str" cm="1">
        <f t="array" ref="L1111">choice(Referentiel!C:C,1,Settings!$B$16)</f>
        <v/>
      </c>
      <c r="M1111" s="5" t="str" cm="1">
        <f t="array" ref="M1111">choice(Referentiel!E:E,1,Settings!$B$16)</f>
        <v/>
      </c>
      <c r="N1111" s="5" t="str" cm="1">
        <f t="array" ref="N1111">choice(Settings!K:K,1,Settings!$B$16)</f>
        <v/>
      </c>
      <c r="P1111" s="5">
        <f t="shared" si="72"/>
        <v>3</v>
      </c>
    </row>
    <row r="1112" spans="1:16" ht="15.75" customHeight="1" x14ac:dyDescent="0.25">
      <c r="A1112" s="6" t="s">
        <v>1464</v>
      </c>
      <c r="B1112" s="6" cm="1">
        <f t="array" ref="B1112">alea_int(Settings!$B$10,1,Settings!$B$16)</f>
        <v>3</v>
      </c>
      <c r="C1112" s="8">
        <v>46023</v>
      </c>
      <c r="D1112" s="8">
        <f t="shared" si="69"/>
        <v>46387</v>
      </c>
      <c r="E1112" s="6" t="str" cm="1">
        <f t="array" ref="E1112">choice(Groupes!A:A,1,Settings!$B$16)</f>
        <v>G17</v>
      </c>
      <c r="F1112" s="6" t="str">
        <f t="shared" si="70"/>
        <v>G17</v>
      </c>
      <c r="G1112" s="6" t="str">
        <f t="shared" si="71"/>
        <v>Prof55</v>
      </c>
      <c r="H1112" s="6" t="str" cm="1">
        <f t="array" ref="H1112">choice(Referentiel!A:A,1,Settings!$B$16)</f>
        <v>1ère année Groupe 1</v>
      </c>
      <c r="I1112" s="6" t="str" cm="1">
        <f t="array" ref="I1112">choice(Referentiel!B:B,1,Settings!$B$16)</f>
        <v>5ème année Image Imprimée S1</v>
      </c>
      <c r="J1112" s="6" t="str" cm="1">
        <f t="array" ref="J1112">choice(Referentiel!D:D,1,Settings!$B$16)</f>
        <v>M2</v>
      </c>
      <c r="K1112" s="6" t="str" cm="1">
        <f t="array" ref="K1112">choice(Professeurs!B:B,1,Settings!$B$16)</f>
        <v>Prof55</v>
      </c>
      <c r="L1112" s="5" t="str" cm="1">
        <f t="array" ref="L1112">choice(Referentiel!C:C,1,Settings!$B$16)</f>
        <v/>
      </c>
      <c r="M1112" s="5" t="str" cm="1">
        <f t="array" ref="M1112">choice(Referentiel!E:E,1,Settings!$B$16)</f>
        <v/>
      </c>
      <c r="N1112" s="5" t="str" cm="1">
        <f t="array" ref="N1112">choice(Settings!K:K,1,Settings!$B$16)</f>
        <v/>
      </c>
      <c r="P1112" s="5">
        <f t="shared" si="72"/>
        <v>3</v>
      </c>
    </row>
    <row r="1113" spans="1:16" ht="15.75" customHeight="1" x14ac:dyDescent="0.25">
      <c r="A1113" s="6" t="s">
        <v>1465</v>
      </c>
      <c r="B1113" s="6" cm="1">
        <f t="array" ref="B1113">alea_int(Settings!$B$10,1,Settings!$B$16)</f>
        <v>3</v>
      </c>
      <c r="C1113" s="8">
        <v>46023</v>
      </c>
      <c r="D1113" s="8">
        <f t="shared" si="69"/>
        <v>46387</v>
      </c>
      <c r="E1113" s="6" t="str" cm="1">
        <f t="array" ref="E1113">choice(Groupes!A:A,1,Settings!$B$16)</f>
        <v>G26</v>
      </c>
      <c r="F1113" s="6" t="str">
        <f t="shared" si="70"/>
        <v>G26</v>
      </c>
      <c r="G1113" s="6" t="str">
        <f t="shared" si="71"/>
        <v>Prof49</v>
      </c>
      <c r="H1113" s="6" t="str" cm="1">
        <f t="array" ref="H1113">choice(Referentiel!A:A,1,Settings!$B$16)</f>
        <v>Gr ART, DESIGN, SOCIETE</v>
      </c>
      <c r="I1113" s="6" t="str" cm="1">
        <f t="array" ref="I1113">choice(Referentiel!B:B,1,Settings!$B$16)</f>
        <v>2ème année Photo / Vidéo S1</v>
      </c>
      <c r="J1113" s="6" t="str" cm="1">
        <f t="array" ref="J1113">choice(Referentiel!D:D,1,Settings!$B$16)</f>
        <v>L1</v>
      </c>
      <c r="K1113" s="6" t="str" cm="1">
        <f t="array" ref="K1113">choice(Professeurs!B:B,1,Settings!$B$16)</f>
        <v>Prof49</v>
      </c>
      <c r="L1113" s="5" t="str" cm="1">
        <f t="array" ref="L1113">choice(Referentiel!C:C,1,Settings!$B$16)</f>
        <v/>
      </c>
      <c r="M1113" s="5" t="str" cm="1">
        <f t="array" ref="M1113">choice(Referentiel!E:E,1,Settings!$B$16)</f>
        <v/>
      </c>
      <c r="N1113" s="5" t="str" cm="1">
        <f t="array" ref="N1113">choice(Settings!K:K,1,Settings!$B$16)</f>
        <v/>
      </c>
      <c r="P1113" s="5">
        <f t="shared" si="72"/>
        <v>3</v>
      </c>
    </row>
    <row r="1114" spans="1:16" ht="15.75" customHeight="1" x14ac:dyDescent="0.25">
      <c r="A1114" s="6" t="s">
        <v>1466</v>
      </c>
      <c r="B1114" s="6" cm="1">
        <f t="array" ref="B1114">alea_int(Settings!$B$10,1,Settings!$B$16)</f>
        <v>3</v>
      </c>
      <c r="C1114" s="8">
        <v>46023</v>
      </c>
      <c r="D1114" s="8">
        <f t="shared" si="69"/>
        <v>46387</v>
      </c>
      <c r="E1114" s="6" t="str" cm="1">
        <f t="array" ref="E1114">choice(Groupes!A:A,1,Settings!$B$16)</f>
        <v>G17</v>
      </c>
      <c r="F1114" s="6" t="str">
        <f t="shared" si="70"/>
        <v>G17</v>
      </c>
      <c r="G1114" s="6" t="str">
        <f t="shared" si="71"/>
        <v>Prof9</v>
      </c>
      <c r="H1114" s="6" t="str" cm="1">
        <f t="array" ref="H1114">choice(Referentiel!A:A,1,Settings!$B$16)</f>
        <v>Image Imprimée</v>
      </c>
      <c r="I1114" s="6" t="str" cm="1">
        <f t="array" ref="I1114">choice(Referentiel!B:B,1,Settings!$B$16)</f>
        <v>5ème année Image Imprimée S2</v>
      </c>
      <c r="J1114" s="6" t="str" cm="1">
        <f t="array" ref="J1114">choice(Referentiel!D:D,1,Settings!$B$16)</f>
        <v>L1</v>
      </c>
      <c r="K1114" s="6" t="str" cm="1">
        <f t="array" ref="K1114">choice(Professeurs!B:B,1,Settings!$B$16)</f>
        <v>Prof9</v>
      </c>
      <c r="L1114" s="5" t="str" cm="1">
        <f t="array" ref="L1114">choice(Referentiel!C:C,1,Settings!$B$16)</f>
        <v>pupitre</v>
      </c>
      <c r="M1114" s="5" t="str" cm="1">
        <f t="array" ref="M1114">choice(Referentiel!E:E,1,Settings!$B$16)</f>
        <v/>
      </c>
      <c r="N1114" s="5" t="str" cm="1">
        <f t="array" ref="N1114">choice(Settings!K:K,1,Settings!$B$16)</f>
        <v>mercredi ap</v>
      </c>
      <c r="P1114" s="5">
        <f t="shared" si="72"/>
        <v>5</v>
      </c>
    </row>
    <row r="1115" spans="1:16" ht="15.75" customHeight="1" x14ac:dyDescent="0.25">
      <c r="A1115" s="6" t="s">
        <v>1467</v>
      </c>
      <c r="B1115" s="6" cm="1">
        <f t="array" ref="B1115">alea_int(Settings!$B$10,1,Settings!$B$16)</f>
        <v>1</v>
      </c>
      <c r="C1115" s="8">
        <v>46023</v>
      </c>
      <c r="D1115" s="8">
        <f t="shared" si="69"/>
        <v>46387</v>
      </c>
      <c r="E1115" s="6" t="str" cm="1">
        <f t="array" ref="E1115">choice(Groupes!A:A,1,Settings!$B$16)</f>
        <v>G25</v>
      </c>
      <c r="F1115" s="6" t="str">
        <f t="shared" si="70"/>
        <v>G25</v>
      </c>
      <c r="G1115" s="6" t="str">
        <f t="shared" si="71"/>
        <v>Prof51</v>
      </c>
      <c r="H1115" s="6" t="str" cm="1">
        <f t="array" ref="H1115">choice(Referentiel!A:A,1,Settings!$B$16)</f>
        <v>Mode et Matière</v>
      </c>
      <c r="I1115" s="6" t="str" cm="1">
        <f t="array" ref="I1115">choice(Referentiel!B:B,1,Settings!$B$16)</f>
        <v>2ème année Cinéma d'Animation S1</v>
      </c>
      <c r="J1115" s="6" t="str" cm="1">
        <f t="array" ref="J1115">choice(Referentiel!D:D,1,Settings!$B$16)</f>
        <v>L1</v>
      </c>
      <c r="K1115" s="6" t="str" cm="1">
        <f t="array" ref="K1115">choice(Professeurs!B:B,1,Settings!$B$16)</f>
        <v>Prof51</v>
      </c>
      <c r="L1115" s="5" t="str" cm="1">
        <f t="array" ref="L1115">choice(Referentiel!C:C,1,Settings!$B$16)</f>
        <v/>
      </c>
      <c r="M1115" s="5" t="str" cm="1">
        <f t="array" ref="M1115">choice(Referentiel!E:E,1,Settings!$B$16)</f>
        <v/>
      </c>
      <c r="N1115" s="5" t="str" cm="1">
        <f t="array" ref="N1115">choice(Settings!K:K,1,Settings!$B$16)</f>
        <v/>
      </c>
      <c r="P1115" s="5">
        <f t="shared" si="72"/>
        <v>1</v>
      </c>
    </row>
    <row r="1116" spans="1:16" ht="15.75" customHeight="1" x14ac:dyDescent="0.25">
      <c r="A1116" s="6" t="s">
        <v>1468</v>
      </c>
      <c r="B1116" s="6" cm="1">
        <f t="array" ref="B1116">alea_int(Settings!$B$10,1,Settings!$B$16)</f>
        <v>2</v>
      </c>
      <c r="C1116" s="8">
        <v>46023</v>
      </c>
      <c r="D1116" s="8">
        <f t="shared" si="69"/>
        <v>46387</v>
      </c>
      <c r="E1116" s="6" t="str" cm="1">
        <f t="array" ref="E1116">choice(Groupes!A:A,1,Settings!$B$16)</f>
        <v>G25</v>
      </c>
      <c r="F1116" s="6" t="str">
        <f t="shared" si="70"/>
        <v>G25</v>
      </c>
      <c r="G1116" s="6" t="str">
        <f t="shared" si="71"/>
        <v>Prof47</v>
      </c>
      <c r="H1116" s="6" t="str" cm="1">
        <f t="array" ref="H1116">choice(Referentiel!A:A,1,Settings!$B$16)</f>
        <v>Design Textile et Matière</v>
      </c>
      <c r="I1116" s="6" t="str" cm="1">
        <f t="array" ref="I1116">choice(Referentiel!B:B,1,Settings!$B$16)</f>
        <v>3ème année Design Vêtement S1</v>
      </c>
      <c r="J1116" s="6" t="str" cm="1">
        <f t="array" ref="J1116">choice(Referentiel!D:D,1,Settings!$B$16)</f>
        <v>L2</v>
      </c>
      <c r="K1116" s="6" t="str" cm="1">
        <f t="array" ref="K1116">choice(Professeurs!B:B,1,Settings!$B$16)</f>
        <v>Prof47</v>
      </c>
      <c r="L1116" s="5" t="str" cm="1">
        <f t="array" ref="L1116">choice(Referentiel!C:C,1,Settings!$B$16)</f>
        <v>projecteur</v>
      </c>
      <c r="M1116" s="5" t="str" cm="1">
        <f t="array" ref="M1116">choice(Referentiel!E:E,1,Settings!$B$16)</f>
        <v/>
      </c>
      <c r="N1116" s="5" t="str" cm="1">
        <f t="array" ref="N1116">choice(Settings!K:K,1,Settings!$B$16)</f>
        <v>mercredi ap</v>
      </c>
      <c r="P1116" s="5">
        <f t="shared" si="72"/>
        <v>4</v>
      </c>
    </row>
    <row r="1117" spans="1:16" ht="15.75" customHeight="1" x14ac:dyDescent="0.25">
      <c r="A1117" s="6" t="s">
        <v>1469</v>
      </c>
      <c r="B1117" s="6" cm="1">
        <f t="array" ref="B1117">alea_int(Settings!$B$10,1,Settings!$B$16)</f>
        <v>3</v>
      </c>
      <c r="C1117" s="8">
        <v>46023</v>
      </c>
      <c r="D1117" s="8">
        <f t="shared" si="69"/>
        <v>46387</v>
      </c>
      <c r="E1117" s="6" t="str" cm="1">
        <f t="array" ref="E1117">choice(Groupes!A:A,1,Settings!$B$16)</f>
        <v>G1</v>
      </c>
      <c r="F1117" s="6" t="str">
        <f t="shared" si="70"/>
        <v>G1</v>
      </c>
      <c r="G1117" s="6" t="str">
        <f t="shared" si="71"/>
        <v>Prof13</v>
      </c>
      <c r="H1117" s="6" t="str" cm="1">
        <f t="array" ref="H1117">choice(Referentiel!A:A,1,Settings!$B$16)</f>
        <v>Design Vêtement</v>
      </c>
      <c r="I1117" s="6" t="str" cm="1">
        <f t="array" ref="I1117">choice(Referentiel!B:B,1,Settings!$B$16)</f>
        <v>5ème année Design Vêtement S2</v>
      </c>
      <c r="J1117" s="6" t="str" cm="1">
        <f t="array" ref="J1117">choice(Referentiel!D:D,1,Settings!$B$16)</f>
        <v>M2</v>
      </c>
      <c r="K1117" s="6" t="str" cm="1">
        <f t="array" ref="K1117">choice(Professeurs!B:B,1,Settings!$B$16)</f>
        <v>Prof13</v>
      </c>
      <c r="L1117" s="5" t="str" cm="1">
        <f t="array" ref="L1117">choice(Referentiel!C:C,1,Settings!$B$16)</f>
        <v/>
      </c>
      <c r="M1117" s="5" t="str" cm="1">
        <f t="array" ref="M1117">choice(Referentiel!E:E,1,Settings!$B$16)</f>
        <v/>
      </c>
      <c r="N1117" s="5" t="str" cm="1">
        <f t="array" ref="N1117">choice(Settings!K:K,1,Settings!$B$16)</f>
        <v>jeudi am</v>
      </c>
      <c r="P1117" s="5">
        <f t="shared" si="72"/>
        <v>5</v>
      </c>
    </row>
    <row r="1118" spans="1:16" ht="15.75" customHeight="1" x14ac:dyDescent="0.25">
      <c r="A1118" s="6" t="s">
        <v>1470</v>
      </c>
      <c r="B1118" s="6" cm="1">
        <f t="array" ref="B1118">alea_int(Settings!$B$10,1,Settings!$B$16)</f>
        <v>2</v>
      </c>
      <c r="C1118" s="8">
        <v>46023</v>
      </c>
      <c r="D1118" s="8">
        <f t="shared" si="69"/>
        <v>46387</v>
      </c>
      <c r="E1118" s="6" t="str" cm="1">
        <f t="array" ref="E1118">choice(Groupes!A:A,1,Settings!$B$16)</f>
        <v>G1</v>
      </c>
      <c r="F1118" s="6" t="str">
        <f t="shared" si="70"/>
        <v>G1</v>
      </c>
      <c r="G1118" s="6" t="str">
        <f t="shared" si="71"/>
        <v>Prof36</v>
      </c>
      <c r="H1118" s="6" t="str" cm="1">
        <f t="array" ref="H1118">choice(Referentiel!A:A,1,Settings!$B$16)</f>
        <v>Gr SYMBIOSE</v>
      </c>
      <c r="I1118" s="6" t="str" cm="1">
        <f t="array" ref="I1118">choice(Referentiel!B:B,1,Settings!$B$16)</f>
        <v>5ème année Image Imprimée S2</v>
      </c>
      <c r="J1118" s="6" t="str" cm="1">
        <f t="array" ref="J1118">choice(Referentiel!D:D,1,Settings!$B$16)</f>
        <v>M2</v>
      </c>
      <c r="K1118" s="6" t="str" cm="1">
        <f t="array" ref="K1118">choice(Professeurs!B:B,1,Settings!$B$16)</f>
        <v>Prof36</v>
      </c>
      <c r="L1118" s="5" t="str" cm="1">
        <f t="array" ref="L1118">choice(Referentiel!C:C,1,Settings!$B$16)</f>
        <v/>
      </c>
      <c r="M1118" s="5" t="str" cm="1">
        <f t="array" ref="M1118">choice(Referentiel!E:E,1,Settings!$B$16)</f>
        <v/>
      </c>
      <c r="N1118" s="5" t="str" cm="1">
        <f t="array" ref="N1118">choice(Settings!K:K,1,Settings!$B$16)</f>
        <v>mercredi ap</v>
      </c>
      <c r="P1118" s="5">
        <f t="shared" si="72"/>
        <v>4</v>
      </c>
    </row>
    <row r="1119" spans="1:16" ht="15.75" customHeight="1" x14ac:dyDescent="0.25">
      <c r="A1119" s="6" t="s">
        <v>1471</v>
      </c>
      <c r="B1119" s="6" cm="1">
        <f t="array" ref="B1119">alea_int(Settings!$B$10,1,Settings!$B$16)</f>
        <v>3</v>
      </c>
      <c r="C1119" s="8">
        <v>46023</v>
      </c>
      <c r="D1119" s="8">
        <f t="shared" si="69"/>
        <v>46387</v>
      </c>
      <c r="E1119" s="6" t="str" cm="1">
        <f t="array" ref="E1119">choice(Groupes!A:A,1,Settings!$B$16)</f>
        <v>G12</v>
      </c>
      <c r="F1119" s="6" t="str">
        <f t="shared" si="70"/>
        <v>G12</v>
      </c>
      <c r="G1119" s="6" t="str">
        <f t="shared" si="71"/>
        <v>Prof47</v>
      </c>
      <c r="H1119" s="6" t="str" cm="1">
        <f t="array" ref="H1119">choice(Referentiel!A:A,1,Settings!$B$16)</f>
        <v>Cinéma d'Animation</v>
      </c>
      <c r="I1119" s="6" t="str" cm="1">
        <f t="array" ref="I1119">choice(Referentiel!B:B,1,Settings!$B$16)</f>
        <v>2ème année Design Textile et Matière S2</v>
      </c>
      <c r="J1119" s="6" t="str" cm="1">
        <f t="array" ref="J1119">choice(Referentiel!D:D,1,Settings!$B$16)</f>
        <v>L3</v>
      </c>
      <c r="K1119" s="6" t="str" cm="1">
        <f t="array" ref="K1119">choice(Professeurs!B:B,1,Settings!$B$16)</f>
        <v>Prof47</v>
      </c>
      <c r="L1119" s="5" t="str" cm="1">
        <f t="array" ref="L1119">choice(Referentiel!C:C,1,Settings!$B$16)</f>
        <v>ordinateur</v>
      </c>
      <c r="M1119" s="5" t="str" cm="1">
        <f t="array" ref="M1119">choice(Referentiel!E:E,1,Settings!$B$16)</f>
        <v/>
      </c>
      <c r="N1119" s="5" t="str" cm="1">
        <f t="array" ref="N1119">choice(Settings!K:K,1,Settings!$B$16)</f>
        <v>jeudi am</v>
      </c>
      <c r="P1119" s="5">
        <f t="shared" si="72"/>
        <v>5</v>
      </c>
    </row>
    <row r="1120" spans="1:16" ht="15.75" customHeight="1" x14ac:dyDescent="0.25">
      <c r="A1120" s="6" t="s">
        <v>1472</v>
      </c>
      <c r="B1120" s="6" cm="1">
        <f t="array" ref="B1120">alea_int(Settings!$B$10,1,Settings!$B$16)</f>
        <v>3</v>
      </c>
      <c r="C1120" s="8">
        <v>46023</v>
      </c>
      <c r="D1120" s="8">
        <f t="shared" si="69"/>
        <v>46387</v>
      </c>
      <c r="E1120" s="6" t="str" cm="1">
        <f t="array" ref="E1120">choice(Groupes!A:A,1,Settings!$B$16)</f>
        <v>G26</v>
      </c>
      <c r="F1120" s="6" t="str">
        <f t="shared" si="70"/>
        <v>G26</v>
      </c>
      <c r="G1120" s="6" t="str">
        <f t="shared" si="71"/>
        <v>Prof7</v>
      </c>
      <c r="H1120" s="6" t="str" cm="1">
        <f t="array" ref="H1120">choice(Referentiel!A:A,1,Settings!$B$16)</f>
        <v>Design des mondes littoraux</v>
      </c>
      <c r="I1120" s="6" t="str" cm="1">
        <f t="array" ref="I1120">choice(Referentiel!B:B,1,Settings!$B$16)</f>
        <v>3ème année Design Textile et Matière S1</v>
      </c>
      <c r="J1120" s="6" t="str" cm="1">
        <f t="array" ref="J1120">choice(Referentiel!D:D,1,Settings!$B$16)</f>
        <v>M1</v>
      </c>
      <c r="K1120" s="6" t="str" cm="1">
        <f t="array" ref="K1120">choice(Professeurs!B:B,1,Settings!$B$16)</f>
        <v>Prof7</v>
      </c>
      <c r="L1120" s="5" t="str" cm="1">
        <f t="array" ref="L1120">choice(Referentiel!C:C,1,Settings!$B$16)</f>
        <v/>
      </c>
      <c r="M1120" s="5" t="str" cm="1">
        <f t="array" ref="M1120">choice(Referentiel!E:E,1,Settings!$B$16)</f>
        <v/>
      </c>
      <c r="N1120" s="5" t="str" cm="1">
        <f t="array" ref="N1120">choice(Settings!K:K,1,Settings!$B$16)</f>
        <v/>
      </c>
      <c r="P1120" s="5">
        <f t="shared" si="72"/>
        <v>3</v>
      </c>
    </row>
    <row r="1121" spans="1:16" ht="15.75" customHeight="1" x14ac:dyDescent="0.25">
      <c r="A1121" s="6" t="s">
        <v>1473</v>
      </c>
      <c r="B1121" s="6" cm="1">
        <f t="array" ref="B1121">alea_int(Settings!$B$10,1,Settings!$B$16)</f>
        <v>3</v>
      </c>
      <c r="C1121" s="8">
        <v>46023</v>
      </c>
      <c r="D1121" s="8">
        <f t="shared" si="69"/>
        <v>46387</v>
      </c>
      <c r="E1121" s="6" t="str" cm="1">
        <f t="array" ref="E1121">choice(Groupes!A:A,1,Settings!$B$16)</f>
        <v>G4</v>
      </c>
      <c r="F1121" s="6" t="str">
        <f t="shared" si="70"/>
        <v>G4</v>
      </c>
      <c r="G1121" s="6" t="str">
        <f t="shared" si="71"/>
        <v>Prof44</v>
      </c>
      <c r="H1121" s="6" t="str" cm="1">
        <f t="array" ref="H1121">choice(Referentiel!A:A,1,Settings!$B$16)</f>
        <v>Cinéma d'Animation</v>
      </c>
      <c r="I1121" s="6" t="str" cm="1">
        <f t="array" ref="I1121">choice(Referentiel!B:B,1,Settings!$B$16)</f>
        <v>2ème année Cinéma d'Animation S2</v>
      </c>
      <c r="J1121" s="6" t="str" cm="1">
        <f t="array" ref="J1121">choice(Referentiel!D:D,1,Settings!$B$16)</f>
        <v>L2</v>
      </c>
      <c r="K1121" s="6" t="str" cm="1">
        <f t="array" ref="K1121">choice(Professeurs!B:B,1,Settings!$B$16)</f>
        <v>Prof44</v>
      </c>
      <c r="L1121" s="5" t="str" cm="1">
        <f t="array" ref="L1121">choice(Referentiel!C:C,1,Settings!$B$16)</f>
        <v/>
      </c>
      <c r="M1121" s="5" t="str" cm="1">
        <f t="array" ref="M1121">choice(Referentiel!E:E,1,Settings!$B$16)</f>
        <v/>
      </c>
      <c r="N1121" s="5" t="str" cm="1">
        <f t="array" ref="N1121">choice(Settings!K:K,1,Settings!$B$16)</f>
        <v/>
      </c>
      <c r="P1121" s="5">
        <f t="shared" si="72"/>
        <v>3</v>
      </c>
    </row>
    <row r="1122" spans="1:16" ht="15.75" customHeight="1" x14ac:dyDescent="0.25">
      <c r="A1122" s="6" t="s">
        <v>1474</v>
      </c>
      <c r="B1122" s="6" cm="1">
        <f t="array" ref="B1122">alea_int(Settings!$B$10,1,Settings!$B$16)</f>
        <v>1</v>
      </c>
      <c r="C1122" s="8">
        <v>46023</v>
      </c>
      <c r="D1122" s="8">
        <f t="shared" si="69"/>
        <v>46387</v>
      </c>
      <c r="E1122" s="6" t="str" cm="1">
        <f t="array" ref="E1122">choice(Groupes!A:A,1,Settings!$B$16)</f>
        <v>G20</v>
      </c>
      <c r="F1122" s="6" t="str">
        <f t="shared" si="70"/>
        <v>G20</v>
      </c>
      <c r="G1122" s="6" t="str">
        <f t="shared" si="71"/>
        <v>Prof34</v>
      </c>
      <c r="H1122" s="6" t="str" cm="1">
        <f t="array" ref="H1122">choice(Referentiel!A:A,1,Settings!$B$16)</f>
        <v>1ère année Groupe 1</v>
      </c>
      <c r="I1122" s="6" t="str" cm="1">
        <f t="array" ref="I1122">choice(Referentiel!B:B,1,Settings!$B$16)</f>
        <v>3ème année Design Vêtement S1</v>
      </c>
      <c r="J1122" s="6" t="str" cm="1">
        <f t="array" ref="J1122">choice(Referentiel!D:D,1,Settings!$B$16)</f>
        <v>L1</v>
      </c>
      <c r="K1122" s="6" t="str" cm="1">
        <f t="array" ref="K1122">choice(Professeurs!B:B,1,Settings!$B$16)</f>
        <v>Prof34</v>
      </c>
      <c r="L1122" s="5" t="str" cm="1">
        <f t="array" ref="L1122">choice(Referentiel!C:C,1,Settings!$B$16)</f>
        <v/>
      </c>
      <c r="M1122" s="5" t="str" cm="1">
        <f t="array" ref="M1122">choice(Referentiel!E:E,1,Settings!$B$16)</f>
        <v/>
      </c>
      <c r="N1122" s="5" t="str" cm="1">
        <f t="array" ref="N1122">choice(Settings!K:K,1,Settings!$B$16)</f>
        <v>jeudi pm</v>
      </c>
      <c r="P1122" s="5">
        <f t="shared" si="72"/>
        <v>3</v>
      </c>
    </row>
    <row r="1123" spans="1:16" ht="15.75" customHeight="1" x14ac:dyDescent="0.25">
      <c r="A1123" s="6" t="s">
        <v>1475</v>
      </c>
      <c r="B1123" s="6" cm="1">
        <f t="array" ref="B1123">alea_int(Settings!$B$10,1,Settings!$B$16)</f>
        <v>3</v>
      </c>
      <c r="C1123" s="8">
        <v>46023</v>
      </c>
      <c r="D1123" s="8">
        <f t="shared" si="69"/>
        <v>46387</v>
      </c>
      <c r="E1123" s="6" t="str" cm="1">
        <f t="array" ref="E1123">choice(Groupes!A:A,1,Settings!$B$16)</f>
        <v>G4</v>
      </c>
      <c r="F1123" s="6" t="str">
        <f t="shared" si="70"/>
        <v>G4</v>
      </c>
      <c r="G1123" s="6" t="str">
        <f t="shared" si="71"/>
        <v>Prof11</v>
      </c>
      <c r="H1123" s="6" t="str" cm="1">
        <f t="array" ref="H1123">choice(Referentiel!A:A,1,Settings!$B$16)</f>
        <v>Cinéma d'Animation</v>
      </c>
      <c r="I1123" s="6" t="str" cm="1">
        <f t="array" ref="I1123">choice(Referentiel!B:B,1,Settings!$B$16)</f>
        <v>1ère Année Groupe 4 S2</v>
      </c>
      <c r="J1123" s="6" t="str" cm="1">
        <f t="array" ref="J1123">choice(Referentiel!D:D,1,Settings!$B$16)</f>
        <v>L1</v>
      </c>
      <c r="K1123" s="6" t="str" cm="1">
        <f t="array" ref="K1123">choice(Professeurs!B:B,1,Settings!$B$16)</f>
        <v>Prof11</v>
      </c>
      <c r="L1123" s="5" t="str" cm="1">
        <f t="array" ref="L1123">choice(Referentiel!C:C,1,Settings!$B$16)</f>
        <v/>
      </c>
      <c r="M1123" s="5" t="str" cm="1">
        <f t="array" ref="M1123">choice(Referentiel!E:E,1,Settings!$B$16)</f>
        <v/>
      </c>
      <c r="N1123" s="5" t="str" cm="1">
        <f t="array" ref="N1123">choice(Settings!K:K,1,Settings!$B$16)</f>
        <v/>
      </c>
      <c r="P1123" s="5">
        <f t="shared" si="72"/>
        <v>3</v>
      </c>
    </row>
    <row r="1124" spans="1:16" ht="15.75" customHeight="1" x14ac:dyDescent="0.25">
      <c r="A1124" s="6" t="s">
        <v>1476</v>
      </c>
      <c r="B1124" s="6" cm="1">
        <f t="array" ref="B1124">alea_int(Settings!$B$10,1,Settings!$B$16)</f>
        <v>2</v>
      </c>
      <c r="C1124" s="8">
        <v>46023</v>
      </c>
      <c r="D1124" s="8">
        <f t="shared" si="69"/>
        <v>46387</v>
      </c>
      <c r="E1124" s="6" t="str" cm="1">
        <f t="array" ref="E1124">choice(Groupes!A:A,1,Settings!$B$16)</f>
        <v>G11</v>
      </c>
      <c r="F1124" s="6" t="str">
        <f t="shared" si="70"/>
        <v>G11</v>
      </c>
      <c r="G1124" s="6" t="str">
        <f t="shared" si="71"/>
        <v>Prof41</v>
      </c>
      <c r="H1124" s="6" t="str" cm="1">
        <f t="array" ref="H1124">choice(Referentiel!A:A,1,Settings!$B$16)</f>
        <v>Design Objet</v>
      </c>
      <c r="I1124" s="6" t="str" cm="1">
        <f t="array" ref="I1124">choice(Referentiel!B:B,1,Settings!$B$16)</f>
        <v>4ème année Scénographie S1</v>
      </c>
      <c r="J1124" s="6" t="str" cm="1">
        <f t="array" ref="J1124">choice(Referentiel!D:D,1,Settings!$B$16)</f>
        <v>L1</v>
      </c>
      <c r="K1124" s="6" t="str" cm="1">
        <f t="array" ref="K1124">choice(Professeurs!B:B,1,Settings!$B$16)</f>
        <v>Prof41</v>
      </c>
      <c r="L1124" s="5" t="str" cm="1">
        <f t="array" ref="L1124">choice(Referentiel!C:C,1,Settings!$B$16)</f>
        <v/>
      </c>
      <c r="M1124" s="5" t="str" cm="1">
        <f t="array" ref="M1124">choice(Referentiel!E:E,1,Settings!$B$16)</f>
        <v/>
      </c>
      <c r="N1124" s="5" t="str" cm="1">
        <f t="array" ref="N1124">choice(Settings!K:K,1,Settings!$B$16)</f>
        <v/>
      </c>
      <c r="P1124" s="5">
        <f t="shared" si="72"/>
        <v>2</v>
      </c>
    </row>
    <row r="1125" spans="1:16" ht="15.75" customHeight="1" x14ac:dyDescent="0.25">
      <c r="A1125" s="6" t="s">
        <v>1477</v>
      </c>
      <c r="B1125" s="6" cm="1">
        <f t="array" ref="B1125">alea_int(Settings!$B$10,1,Settings!$B$16)</f>
        <v>1</v>
      </c>
      <c r="C1125" s="8">
        <v>46023</v>
      </c>
      <c r="D1125" s="8">
        <f t="shared" si="69"/>
        <v>46387</v>
      </c>
      <c r="E1125" s="6" t="str" cm="1">
        <f t="array" ref="E1125">choice(Groupes!A:A,1,Settings!$B$16)</f>
        <v>G15</v>
      </c>
      <c r="F1125" s="6" t="str">
        <f t="shared" si="70"/>
        <v>G15</v>
      </c>
      <c r="G1125" s="6" t="str">
        <f t="shared" si="71"/>
        <v>Prof6</v>
      </c>
      <c r="H1125" s="6" t="str" cm="1">
        <f t="array" ref="H1125">choice(Referentiel!A:A,1,Settings!$B$16)</f>
        <v>Image Imprimée</v>
      </c>
      <c r="I1125" s="6" t="str" cm="1">
        <f t="array" ref="I1125">choice(Referentiel!B:B,1,Settings!$B$16)</f>
        <v>5ème année Scénographie S2</v>
      </c>
      <c r="J1125" s="6" t="str" cm="1">
        <f t="array" ref="J1125">choice(Referentiel!D:D,1,Settings!$B$16)</f>
        <v>M1</v>
      </c>
      <c r="K1125" s="6" t="str" cm="1">
        <f t="array" ref="K1125">choice(Professeurs!B:B,1,Settings!$B$16)</f>
        <v>Prof6</v>
      </c>
      <c r="L1125" s="5" t="str" cm="1">
        <f t="array" ref="L1125">choice(Referentiel!C:C,1,Settings!$B$16)</f>
        <v/>
      </c>
      <c r="M1125" s="5" t="str" cm="1">
        <f t="array" ref="M1125">choice(Referentiel!E:E,1,Settings!$B$16)</f>
        <v/>
      </c>
      <c r="N1125" s="5" t="str" cm="1">
        <f t="array" ref="N1125">choice(Settings!K:K,1,Settings!$B$16)</f>
        <v>lundi am</v>
      </c>
      <c r="P1125" s="5">
        <f t="shared" si="72"/>
        <v>3</v>
      </c>
    </row>
    <row r="1126" spans="1:16" ht="15.75" customHeight="1" x14ac:dyDescent="0.25">
      <c r="A1126" s="6" t="s">
        <v>1478</v>
      </c>
      <c r="B1126" s="6" cm="1">
        <f t="array" ref="B1126">alea_int(Settings!$B$10,1,Settings!$B$16)</f>
        <v>1</v>
      </c>
      <c r="C1126" s="8">
        <v>46023</v>
      </c>
      <c r="D1126" s="8">
        <f t="shared" si="69"/>
        <v>46387</v>
      </c>
      <c r="E1126" s="6" t="str" cm="1">
        <f t="array" ref="E1126">choice(Groupes!A:A,1,Settings!$B$16)</f>
        <v>G26</v>
      </c>
      <c r="F1126" s="6" t="str">
        <f t="shared" si="70"/>
        <v>G26</v>
      </c>
      <c r="G1126" s="6" t="str">
        <f t="shared" si="71"/>
        <v>Prof23</v>
      </c>
      <c r="H1126" s="6" t="str" cm="1">
        <f t="array" ref="H1126">choice(Referentiel!A:A,1,Settings!$B$16)</f>
        <v>Mode et Matière</v>
      </c>
      <c r="I1126" s="6" t="str" cm="1">
        <f t="array" ref="I1126">choice(Referentiel!B:B,1,Settings!$B$16)</f>
        <v>2ème année Design Graphique S1</v>
      </c>
      <c r="J1126" s="6" t="str" cm="1">
        <f t="array" ref="J1126">choice(Referentiel!D:D,1,Settings!$B$16)</f>
        <v>M1</v>
      </c>
      <c r="K1126" s="6" t="str" cm="1">
        <f t="array" ref="K1126">choice(Professeurs!B:B,1,Settings!$B$16)</f>
        <v>Prof23</v>
      </c>
      <c r="L1126" s="5" t="str" cm="1">
        <f t="array" ref="L1126">choice(Referentiel!C:C,1,Settings!$B$16)</f>
        <v/>
      </c>
      <c r="M1126" s="5" t="str" cm="1">
        <f t="array" ref="M1126">choice(Referentiel!E:E,1,Settings!$B$16)</f>
        <v/>
      </c>
      <c r="N1126" s="5" t="str" cm="1">
        <f t="array" ref="N1126">choice(Settings!K:K,1,Settings!$B$16)</f>
        <v/>
      </c>
      <c r="P1126" s="5">
        <f t="shared" si="72"/>
        <v>1</v>
      </c>
    </row>
    <row r="1127" spans="1:16" ht="15.75" customHeight="1" x14ac:dyDescent="0.25">
      <c r="A1127" s="6" t="s">
        <v>1479</v>
      </c>
      <c r="B1127" s="6" cm="1">
        <f t="array" ref="B1127">alea_int(Settings!$B$10,1,Settings!$B$16)</f>
        <v>1</v>
      </c>
      <c r="C1127" s="8">
        <v>46023</v>
      </c>
      <c r="D1127" s="8">
        <f t="shared" si="69"/>
        <v>46387</v>
      </c>
      <c r="E1127" s="6" t="str" cm="1">
        <f t="array" ref="E1127">choice(Groupes!A:A,1,Settings!$B$16)</f>
        <v>G6</v>
      </c>
      <c r="F1127" s="6" t="str">
        <f t="shared" si="70"/>
        <v>G6</v>
      </c>
      <c r="G1127" s="6" t="str">
        <f t="shared" si="71"/>
        <v>Prof23</v>
      </c>
      <c r="H1127" s="6" t="str" cm="1">
        <f t="array" ref="H1127">choice(Referentiel!A:A,1,Settings!$B$16)</f>
        <v>1ère année Groupe 1</v>
      </c>
      <c r="I1127" s="6" t="str" cm="1">
        <f t="array" ref="I1127">choice(Referentiel!B:B,1,Settings!$B$16)</f>
        <v>5ème année Design Objet S1</v>
      </c>
      <c r="J1127" s="6" t="str" cm="1">
        <f t="array" ref="J1127">choice(Referentiel!D:D,1,Settings!$B$16)</f>
        <v>L1</v>
      </c>
      <c r="K1127" s="6" t="str" cm="1">
        <f t="array" ref="K1127">choice(Professeurs!B:B,1,Settings!$B$16)</f>
        <v>Prof23</v>
      </c>
      <c r="L1127" s="5" t="str" cm="1">
        <f t="array" ref="L1127">choice(Referentiel!C:C,1,Settings!$B$16)</f>
        <v/>
      </c>
      <c r="M1127" s="5" t="str" cm="1">
        <f t="array" ref="M1127">choice(Referentiel!E:E,1,Settings!$B$16)</f>
        <v/>
      </c>
      <c r="N1127" s="5" t="str" cm="1">
        <f t="array" ref="N1127">choice(Settings!K:K,1,Settings!$B$16)</f>
        <v>semaine</v>
      </c>
      <c r="P1127" s="5">
        <f t="shared" si="72"/>
        <v>3</v>
      </c>
    </row>
    <row r="1128" spans="1:16" ht="15.75" customHeight="1" x14ac:dyDescent="0.25">
      <c r="A1128" s="6" t="s">
        <v>1480</v>
      </c>
      <c r="B1128" s="6" cm="1">
        <f t="array" ref="B1128">alea_int(Settings!$B$10,1,Settings!$B$16)</f>
        <v>2</v>
      </c>
      <c r="C1128" s="8">
        <v>46023</v>
      </c>
      <c r="D1128" s="8">
        <f t="shared" si="69"/>
        <v>46387</v>
      </c>
      <c r="E1128" s="6" t="str" cm="1">
        <f t="array" ref="E1128">choice(Groupes!A:A,1,Settings!$B$16)</f>
        <v>G28</v>
      </c>
      <c r="F1128" s="6" t="str">
        <f t="shared" si="70"/>
        <v>G28</v>
      </c>
      <c r="G1128" s="6" t="str">
        <f t="shared" si="71"/>
        <v>Prof42</v>
      </c>
      <c r="H1128" s="6" t="str" cm="1">
        <f t="array" ref="H1128">choice(Referentiel!A:A,1,Settings!$B$16)</f>
        <v>Gr REFLECTIVE INTERACTION</v>
      </c>
      <c r="I1128" s="6" t="str" cm="1">
        <f t="array" ref="I1128">choice(Referentiel!B:B,1,Settings!$B$16)</f>
        <v>5ème année Design Graphique S2</v>
      </c>
      <c r="J1128" s="6" t="str" cm="1">
        <f t="array" ref="J1128">choice(Referentiel!D:D,1,Settings!$B$16)</f>
        <v>L3</v>
      </c>
      <c r="K1128" s="6" t="str" cm="1">
        <f t="array" ref="K1128">choice(Professeurs!B:B,1,Settings!$B$16)</f>
        <v>Prof42</v>
      </c>
      <c r="L1128" s="5" t="str" cm="1">
        <f t="array" ref="L1128">choice(Referentiel!C:C,1,Settings!$B$16)</f>
        <v/>
      </c>
      <c r="M1128" s="5" t="str" cm="1">
        <f t="array" ref="M1128">choice(Referentiel!E:E,1,Settings!$B$16)</f>
        <v/>
      </c>
      <c r="N1128" s="5" t="str" cm="1">
        <f t="array" ref="N1128">choice(Settings!K:K,1,Settings!$B$16)</f>
        <v/>
      </c>
      <c r="P1128" s="5">
        <f t="shared" si="72"/>
        <v>2</v>
      </c>
    </row>
    <row r="1129" spans="1:16" ht="15.75" customHeight="1" x14ac:dyDescent="0.25">
      <c r="A1129" s="6" t="s">
        <v>1481</v>
      </c>
      <c r="B1129" s="6" cm="1">
        <f t="array" ref="B1129">alea_int(Settings!$B$10,1,Settings!$B$16)</f>
        <v>2</v>
      </c>
      <c r="C1129" s="8">
        <v>46023</v>
      </c>
      <c r="D1129" s="8">
        <f t="shared" si="69"/>
        <v>46387</v>
      </c>
      <c r="E1129" s="6" t="str" cm="1">
        <f t="array" ref="E1129">choice(Groupes!A:A,1,Settings!$B$16)</f>
        <v>G4</v>
      </c>
      <c r="F1129" s="6" t="str">
        <f t="shared" si="70"/>
        <v>G4</v>
      </c>
      <c r="G1129" s="6" t="str">
        <f t="shared" si="71"/>
        <v>Prof50</v>
      </c>
      <c r="H1129" s="6" t="str" cm="1">
        <f t="array" ref="H1129">choice(Referentiel!A:A,1,Settings!$B$16)</f>
        <v>Gr REFLECTIVE INTERACTION</v>
      </c>
      <c r="I1129" s="6" t="str" cm="1">
        <f t="array" ref="I1129">choice(Referentiel!B:B,1,Settings!$B$16)</f>
        <v>3ème année Design Vêtement S2</v>
      </c>
      <c r="J1129" s="6" t="str" cm="1">
        <f t="array" ref="J1129">choice(Referentiel!D:D,1,Settings!$B$16)</f>
        <v>M2</v>
      </c>
      <c r="K1129" s="6" t="str" cm="1">
        <f t="array" ref="K1129">choice(Professeurs!B:B,1,Settings!$B$16)</f>
        <v>Prof50</v>
      </c>
      <c r="L1129" s="5" t="str" cm="1">
        <f t="array" ref="L1129">choice(Referentiel!C:C,1,Settings!$B$16)</f>
        <v/>
      </c>
      <c r="M1129" s="5" t="str" cm="1">
        <f t="array" ref="M1129">choice(Referentiel!E:E,1,Settings!$B$16)</f>
        <v/>
      </c>
      <c r="N1129" s="5" t="str" cm="1">
        <f t="array" ref="N1129">choice(Settings!K:K,1,Settings!$B$16)</f>
        <v/>
      </c>
      <c r="P1129" s="5">
        <f t="shared" si="72"/>
        <v>2</v>
      </c>
    </row>
    <row r="1130" spans="1:16" ht="15.75" customHeight="1" x14ac:dyDescent="0.25">
      <c r="A1130" s="6" t="s">
        <v>1482</v>
      </c>
      <c r="B1130" s="6" cm="1">
        <f t="array" ref="B1130">alea_int(Settings!$B$10,1,Settings!$B$16)</f>
        <v>2</v>
      </c>
      <c r="C1130" s="8">
        <v>46023</v>
      </c>
      <c r="D1130" s="8">
        <f t="shared" si="69"/>
        <v>46387</v>
      </c>
      <c r="E1130" s="6" t="str" cm="1">
        <f t="array" ref="E1130">choice(Groupes!A:A,1,Settings!$B$16)</f>
        <v>G18</v>
      </c>
      <c r="F1130" s="6" t="str">
        <f t="shared" si="70"/>
        <v>G18</v>
      </c>
      <c r="G1130" s="6" t="str">
        <f t="shared" si="71"/>
        <v>Prof5</v>
      </c>
      <c r="H1130" s="6" t="str" cm="1">
        <f t="array" ref="H1130">choice(Referentiel!A:A,1,Settings!$B$16)</f>
        <v>Gr ART, DESIGN, SOCIETE</v>
      </c>
      <c r="I1130" s="6" t="str" cm="1">
        <f t="array" ref="I1130">choice(Referentiel!B:B,1,Settings!$B$16)</f>
        <v>5ème année Art-Espace S2</v>
      </c>
      <c r="J1130" s="6" t="str" cm="1">
        <f t="array" ref="J1130">choice(Referentiel!D:D,1,Settings!$B$16)</f>
        <v>L3</v>
      </c>
      <c r="K1130" s="6" t="str" cm="1">
        <f t="array" ref="K1130">choice(Professeurs!B:B,1,Settings!$B$16)</f>
        <v>Prof5</v>
      </c>
      <c r="L1130" s="5" t="str" cm="1">
        <f t="array" ref="L1130">choice(Referentiel!C:C,1,Settings!$B$16)</f>
        <v/>
      </c>
      <c r="M1130" s="5" t="str" cm="1">
        <f t="array" ref="M1130">choice(Referentiel!E:E,1,Settings!$B$16)</f>
        <v/>
      </c>
      <c r="N1130" s="5" t="str" cm="1">
        <f t="array" ref="N1130">choice(Settings!K:K,1,Settings!$B$16)</f>
        <v/>
      </c>
      <c r="P1130" s="5">
        <f t="shared" si="72"/>
        <v>2</v>
      </c>
    </row>
    <row r="1131" spans="1:16" ht="15.75" customHeight="1" x14ac:dyDescent="0.25">
      <c r="A1131" s="6" t="s">
        <v>1483</v>
      </c>
      <c r="B1131" s="6" cm="1">
        <f t="array" ref="B1131">alea_int(Settings!$B$10,1,Settings!$B$16)</f>
        <v>2</v>
      </c>
      <c r="C1131" s="8">
        <v>46023</v>
      </c>
      <c r="D1131" s="8">
        <f t="shared" si="69"/>
        <v>46387</v>
      </c>
      <c r="E1131" s="6" t="str" cm="1">
        <f t="array" ref="E1131">choice(Groupes!A:A,1,Settings!$B$16)</f>
        <v>G17</v>
      </c>
      <c r="F1131" s="6" t="str">
        <f t="shared" si="70"/>
        <v>G17</v>
      </c>
      <c r="G1131" s="6" t="str">
        <f t="shared" si="71"/>
        <v>Prof21</v>
      </c>
      <c r="H1131" s="6" t="str" cm="1">
        <f t="array" ref="H1131">choice(Referentiel!A:A,1,Settings!$B$16)</f>
        <v>Design des mondes urbains</v>
      </c>
      <c r="I1131" s="6" t="str" cm="1">
        <f t="array" ref="I1131">choice(Referentiel!B:B,1,Settings!$B$16)</f>
        <v>1ère Année Groupe 1 S1</v>
      </c>
      <c r="J1131" s="6" t="str" cm="1">
        <f t="array" ref="J1131">choice(Referentiel!D:D,1,Settings!$B$16)</f>
        <v>L1</v>
      </c>
      <c r="K1131" s="6" t="str" cm="1">
        <f t="array" ref="K1131">choice(Professeurs!B:B,1,Settings!$B$16)</f>
        <v>Prof21</v>
      </c>
      <c r="L1131" s="5" t="str" cm="1">
        <f t="array" ref="L1131">choice(Referentiel!C:C,1,Settings!$B$16)</f>
        <v/>
      </c>
      <c r="M1131" s="5" t="str" cm="1">
        <f t="array" ref="M1131">choice(Referentiel!E:E,1,Settings!$B$16)</f>
        <v/>
      </c>
      <c r="N1131" s="5" t="str" cm="1">
        <f t="array" ref="N1131">choice(Settings!K:K,1,Settings!$B$16)</f>
        <v/>
      </c>
      <c r="P1131" s="5">
        <f t="shared" si="72"/>
        <v>2</v>
      </c>
    </row>
    <row r="1132" spans="1:16" ht="15.75" customHeight="1" x14ac:dyDescent="0.25">
      <c r="A1132" s="6" t="s">
        <v>1484</v>
      </c>
      <c r="B1132" s="6" cm="1">
        <f t="array" ref="B1132">alea_int(Settings!$B$10,1,Settings!$B$16)</f>
        <v>2</v>
      </c>
      <c r="C1132" s="8">
        <v>46023</v>
      </c>
      <c r="D1132" s="8">
        <f t="shared" si="69"/>
        <v>46387</v>
      </c>
      <c r="E1132" s="6" t="str" cm="1">
        <f t="array" ref="E1132">choice(Groupes!A:A,1,Settings!$B$16)</f>
        <v>G9</v>
      </c>
      <c r="F1132" s="6" t="str">
        <f t="shared" si="70"/>
        <v>G9</v>
      </c>
      <c r="G1132" s="6" t="str">
        <f t="shared" si="71"/>
        <v>Prof40</v>
      </c>
      <c r="H1132" s="6" t="str" cm="1">
        <f t="array" ref="H1132">choice(Referentiel!A:A,1,Settings!$B$16)</f>
        <v>Design des mondes insulaires</v>
      </c>
      <c r="I1132" s="6" t="str" cm="1">
        <f t="array" ref="I1132">choice(Referentiel!B:B,1,Settings!$B$16)</f>
        <v>3ème année Image Imprimée S2</v>
      </c>
      <c r="J1132" s="6" t="str" cm="1">
        <f t="array" ref="J1132">choice(Referentiel!D:D,1,Settings!$B$16)</f>
        <v>L1</v>
      </c>
      <c r="K1132" s="6" t="str" cm="1">
        <f t="array" ref="K1132">choice(Professeurs!B:B,1,Settings!$B$16)</f>
        <v>Prof40</v>
      </c>
      <c r="L1132" s="5" t="str" cm="1">
        <f t="array" ref="L1132">choice(Referentiel!C:C,1,Settings!$B$16)</f>
        <v/>
      </c>
      <c r="M1132" s="5" t="str" cm="1">
        <f t="array" ref="M1132">choice(Referentiel!E:E,1,Settings!$B$16)</f>
        <v/>
      </c>
      <c r="N1132" s="5" t="str" cm="1">
        <f t="array" ref="N1132">choice(Settings!K:K,1,Settings!$B$16)</f>
        <v/>
      </c>
      <c r="P1132" s="5">
        <f t="shared" si="72"/>
        <v>2</v>
      </c>
    </row>
    <row r="1133" spans="1:16" ht="15.75" customHeight="1" x14ac:dyDescent="0.25">
      <c r="A1133" s="6" t="s">
        <v>1485</v>
      </c>
      <c r="B1133" s="6" cm="1">
        <f t="array" ref="B1133">alea_int(Settings!$B$10,1,Settings!$B$16)</f>
        <v>3</v>
      </c>
      <c r="C1133" s="8">
        <v>46023</v>
      </c>
      <c r="D1133" s="8">
        <f t="shared" si="69"/>
        <v>46387</v>
      </c>
      <c r="E1133" s="6" t="str" cm="1">
        <f t="array" ref="E1133">choice(Groupes!A:A,1,Settings!$B$16)</f>
        <v>G17</v>
      </c>
      <c r="F1133" s="6" t="str">
        <f t="shared" si="70"/>
        <v>G17</v>
      </c>
      <c r="G1133" s="6" t="str">
        <f t="shared" si="71"/>
        <v>Prof4</v>
      </c>
      <c r="H1133" s="6" t="str" cm="1">
        <f t="array" ref="H1133">choice(Referentiel!A:A,1,Settings!$B$16)</f>
        <v>Design Vêtement</v>
      </c>
      <c r="I1133" s="6" t="str" cm="1">
        <f t="array" ref="I1133">choice(Referentiel!B:B,1,Settings!$B$16)</f>
        <v>5ème année Cinéma d'Animation S1</v>
      </c>
      <c r="J1133" s="6" t="str" cm="1">
        <f t="array" ref="J1133">choice(Referentiel!D:D,1,Settings!$B$16)</f>
        <v>L2</v>
      </c>
      <c r="K1133" s="6" t="str" cm="1">
        <f t="array" ref="K1133">choice(Professeurs!B:B,1,Settings!$B$16)</f>
        <v>Prof4</v>
      </c>
      <c r="L1133" s="5" t="str" cm="1">
        <f t="array" ref="L1133">choice(Referentiel!C:C,1,Settings!$B$16)</f>
        <v/>
      </c>
      <c r="M1133" s="5" t="str" cm="1">
        <f t="array" ref="M1133">choice(Referentiel!E:E,1,Settings!$B$16)</f>
        <v/>
      </c>
      <c r="N1133" s="5" t="str" cm="1">
        <f t="array" ref="N1133">choice(Settings!K:K,1,Settings!$B$16)</f>
        <v>lundi am</v>
      </c>
      <c r="P1133" s="5">
        <f t="shared" si="72"/>
        <v>5</v>
      </c>
    </row>
    <row r="1134" spans="1:16" ht="15.75" customHeight="1" x14ac:dyDescent="0.25">
      <c r="A1134" s="6" t="s">
        <v>1486</v>
      </c>
      <c r="B1134" s="6" cm="1">
        <f t="array" ref="B1134">alea_int(Settings!$B$10,1,Settings!$B$16)</f>
        <v>2</v>
      </c>
      <c r="C1134" s="8">
        <v>46023</v>
      </c>
      <c r="D1134" s="8">
        <f t="shared" si="69"/>
        <v>46387</v>
      </c>
      <c r="E1134" s="6" t="str" cm="1">
        <f t="array" ref="E1134">choice(Groupes!A:A,1,Settings!$B$16)</f>
        <v>G19</v>
      </c>
      <c r="F1134" s="6" t="str">
        <f t="shared" si="70"/>
        <v>G19</v>
      </c>
      <c r="G1134" s="6" t="str">
        <f t="shared" si="71"/>
        <v>Prof4</v>
      </c>
      <c r="H1134" s="6" t="str" cm="1">
        <f t="array" ref="H1134">choice(Referentiel!A:A,1,Settings!$B$16)</f>
        <v>Photo / Vidéo</v>
      </c>
      <c r="I1134" s="6" t="str" cm="1">
        <f t="array" ref="I1134">choice(Referentiel!B:B,1,Settings!$B$16)</f>
        <v>3ème année Photo / Vidéo S2</v>
      </c>
      <c r="J1134" s="6" t="str" cm="1">
        <f t="array" ref="J1134">choice(Referentiel!D:D,1,Settings!$B$16)</f>
        <v>L3</v>
      </c>
      <c r="K1134" s="6" t="str" cm="1">
        <f t="array" ref="K1134">choice(Professeurs!B:B,1,Settings!$B$16)</f>
        <v>Prof4</v>
      </c>
      <c r="L1134" s="5" t="str" cm="1">
        <f t="array" ref="L1134">choice(Referentiel!C:C,1,Settings!$B$16)</f>
        <v/>
      </c>
      <c r="M1134" s="5" t="str" cm="1">
        <f t="array" ref="M1134">choice(Referentiel!E:E,1,Settings!$B$16)</f>
        <v/>
      </c>
      <c r="N1134" s="5" t="str" cm="1">
        <f t="array" ref="N1134">choice(Settings!K:K,1,Settings!$B$16)</f>
        <v/>
      </c>
      <c r="P1134" s="5">
        <f t="shared" si="72"/>
        <v>2</v>
      </c>
    </row>
    <row r="1135" spans="1:16" ht="15.75" customHeight="1" x14ac:dyDescent="0.25">
      <c r="A1135" s="6" t="s">
        <v>1487</v>
      </c>
      <c r="B1135" s="6" cm="1">
        <f t="array" ref="B1135">alea_int(Settings!$B$10,1,Settings!$B$16)</f>
        <v>1</v>
      </c>
      <c r="C1135" s="8">
        <v>46023</v>
      </c>
      <c r="D1135" s="8">
        <f t="shared" si="69"/>
        <v>46387</v>
      </c>
      <c r="E1135" s="6" t="str" cm="1">
        <f t="array" ref="E1135">choice(Groupes!A:A,1,Settings!$B$16)</f>
        <v>G20</v>
      </c>
      <c r="F1135" s="6" t="str">
        <f t="shared" si="70"/>
        <v>G20</v>
      </c>
      <c r="G1135" s="6" t="str">
        <f t="shared" si="71"/>
        <v>Prof45</v>
      </c>
      <c r="H1135" s="6" t="str" cm="1">
        <f t="array" ref="H1135">choice(Referentiel!A:A,1,Settings!$B$16)</f>
        <v>Design des mondes forestiers</v>
      </c>
      <c r="I1135" s="6" t="str" cm="1">
        <f t="array" ref="I1135">choice(Referentiel!B:B,1,Settings!$B$16)</f>
        <v>3ème année Cinéma d'Animation S1</v>
      </c>
      <c r="J1135" s="6" t="str" cm="1">
        <f t="array" ref="J1135">choice(Referentiel!D:D,1,Settings!$B$16)</f>
        <v>L2</v>
      </c>
      <c r="K1135" s="6" t="str" cm="1">
        <f t="array" ref="K1135">choice(Professeurs!B:B,1,Settings!$B$16)</f>
        <v>Prof45</v>
      </c>
      <c r="L1135" s="5" t="str" cm="1">
        <f t="array" ref="L1135">choice(Referentiel!C:C,1,Settings!$B$16)</f>
        <v/>
      </c>
      <c r="M1135" s="5" t="str" cm="1">
        <f t="array" ref="M1135">choice(Referentiel!E:E,1,Settings!$B$16)</f>
        <v/>
      </c>
      <c r="N1135" s="5" t="str" cm="1">
        <f t="array" ref="N1135">choice(Settings!K:K,1,Settings!$B$16)</f>
        <v>mercredi pm</v>
      </c>
      <c r="P1135" s="5">
        <f t="shared" si="72"/>
        <v>3</v>
      </c>
    </row>
    <row r="1136" spans="1:16" ht="15.75" customHeight="1" x14ac:dyDescent="0.25">
      <c r="A1136" s="6" t="s">
        <v>1488</v>
      </c>
      <c r="B1136" s="6" cm="1">
        <f t="array" ref="B1136">alea_int(Settings!$B$10,1,Settings!$B$16)</f>
        <v>2</v>
      </c>
      <c r="C1136" s="8">
        <v>46023</v>
      </c>
      <c r="D1136" s="8">
        <f t="shared" si="69"/>
        <v>46387</v>
      </c>
      <c r="E1136" s="6" t="str" cm="1">
        <f t="array" ref="E1136">choice(Groupes!A:A,1,Settings!$B$16)</f>
        <v>G22</v>
      </c>
      <c r="F1136" s="6" t="str">
        <f t="shared" si="70"/>
        <v>G22</v>
      </c>
      <c r="G1136" s="6" t="str">
        <f t="shared" si="71"/>
        <v>Prof28</v>
      </c>
      <c r="H1136" s="6" t="str" cm="1">
        <f t="array" ref="H1136">choice(Referentiel!A:A,1,Settings!$B$16)</f>
        <v>1ère année Groupe 2</v>
      </c>
      <c r="I1136" s="6" t="str" cm="1">
        <f t="array" ref="I1136">choice(Referentiel!B:B,1,Settings!$B$16)</f>
        <v>1ère Année Groupe 2 S1</v>
      </c>
      <c r="J1136" s="6" t="str" cm="1">
        <f t="array" ref="J1136">choice(Referentiel!D:D,1,Settings!$B$16)</f>
        <v>M1</v>
      </c>
      <c r="K1136" s="6" t="str" cm="1">
        <f t="array" ref="K1136">choice(Professeurs!B:B,1,Settings!$B$16)</f>
        <v>Prof28</v>
      </c>
      <c r="L1136" s="5" t="str" cm="1">
        <f t="array" ref="L1136">choice(Referentiel!C:C,1,Settings!$B$16)</f>
        <v/>
      </c>
      <c r="M1136" s="5" t="str" cm="1">
        <f t="array" ref="M1136">choice(Referentiel!E:E,1,Settings!$B$16)</f>
        <v/>
      </c>
      <c r="N1136" s="5" t="str" cm="1">
        <f t="array" ref="N1136">choice(Settings!K:K,1,Settings!$B$16)</f>
        <v/>
      </c>
      <c r="P1136" s="5">
        <f t="shared" si="72"/>
        <v>2</v>
      </c>
    </row>
    <row r="1137" spans="1:16" ht="15.75" customHeight="1" x14ac:dyDescent="0.25">
      <c r="A1137" s="6" t="s">
        <v>1489</v>
      </c>
      <c r="B1137" s="6" cm="1">
        <f t="array" ref="B1137">alea_int(Settings!$B$10,1,Settings!$B$16)</f>
        <v>3</v>
      </c>
      <c r="C1137" s="8">
        <v>46023</v>
      </c>
      <c r="D1137" s="8">
        <f t="shared" si="69"/>
        <v>46387</v>
      </c>
      <c r="E1137" s="6" t="str" cm="1">
        <f t="array" ref="E1137">choice(Groupes!A:A,1,Settings!$B$16)</f>
        <v>G26</v>
      </c>
      <c r="F1137" s="6" t="str">
        <f t="shared" si="70"/>
        <v>G26</v>
      </c>
      <c r="G1137" s="6" t="str">
        <f t="shared" si="71"/>
        <v>Prof32</v>
      </c>
      <c r="H1137" s="6" t="str" cm="1">
        <f t="array" ref="H1137">choice(Referentiel!A:A,1,Settings!$B$16)</f>
        <v>1ère année Groupe 3</v>
      </c>
      <c r="I1137" s="6" t="str" cm="1">
        <f t="array" ref="I1137">choice(Referentiel!B:B,1,Settings!$B$16)</f>
        <v>1ère Année Groupe 1 S2</v>
      </c>
      <c r="J1137" s="6" t="str" cm="1">
        <f t="array" ref="J1137">choice(Referentiel!D:D,1,Settings!$B$16)</f>
        <v>L1</v>
      </c>
      <c r="K1137" s="6" t="str" cm="1">
        <f t="array" ref="K1137">choice(Professeurs!B:B,1,Settings!$B$16)</f>
        <v>Prof32</v>
      </c>
      <c r="L1137" s="5" t="str" cm="1">
        <f t="array" ref="L1137">choice(Referentiel!C:C,1,Settings!$B$16)</f>
        <v/>
      </c>
      <c r="M1137" s="5" t="str" cm="1">
        <f t="array" ref="M1137">choice(Referentiel!E:E,1,Settings!$B$16)</f>
        <v>Salle5</v>
      </c>
      <c r="N1137" s="5" t="str" cm="1">
        <f t="array" ref="N1137">choice(Settings!K:K,1,Settings!$B$16)</f>
        <v/>
      </c>
      <c r="P1137" s="5">
        <f t="shared" si="72"/>
        <v>5</v>
      </c>
    </row>
    <row r="1138" spans="1:16" ht="15.75" customHeight="1" x14ac:dyDescent="0.25">
      <c r="A1138" s="6" t="s">
        <v>1490</v>
      </c>
      <c r="B1138" s="6" cm="1">
        <f t="array" ref="B1138">alea_int(Settings!$B$10,1,Settings!$B$16)</f>
        <v>1</v>
      </c>
      <c r="C1138" s="8">
        <v>46023</v>
      </c>
      <c r="D1138" s="8">
        <f t="shared" si="69"/>
        <v>46387</v>
      </c>
      <c r="E1138" s="6" t="str" cm="1">
        <f t="array" ref="E1138">choice(Groupes!A:A,1,Settings!$B$16)</f>
        <v>G14</v>
      </c>
      <c r="F1138" s="6" t="str">
        <f t="shared" si="70"/>
        <v>G14</v>
      </c>
      <c r="G1138" s="6" t="str">
        <f t="shared" si="71"/>
        <v>Prof3</v>
      </c>
      <c r="H1138" s="6" t="str" cm="1">
        <f t="array" ref="H1138">choice(Referentiel!A:A,1,Settings!$B$16)</f>
        <v>Art-Espace</v>
      </c>
      <c r="I1138" s="6" t="str" cm="1">
        <f t="array" ref="I1138">choice(Referentiel!B:B,1,Settings!$B$16)</f>
        <v>5ème année Scénographie S1</v>
      </c>
      <c r="J1138" s="6" t="str" cm="1">
        <f t="array" ref="J1138">choice(Referentiel!D:D,1,Settings!$B$16)</f>
        <v>L3</v>
      </c>
      <c r="K1138" s="6" t="str" cm="1">
        <f t="array" ref="K1138">choice(Professeurs!B:B,1,Settings!$B$16)</f>
        <v>Prof3</v>
      </c>
      <c r="L1138" s="5" t="str" cm="1">
        <f t="array" ref="L1138">choice(Referentiel!C:C,1,Settings!$B$16)</f>
        <v/>
      </c>
      <c r="M1138" s="5" t="str" cm="1">
        <f t="array" ref="M1138">choice(Referentiel!E:E,1,Settings!$B$16)</f>
        <v/>
      </c>
      <c r="N1138" s="5" t="str" cm="1">
        <f t="array" ref="N1138">choice(Settings!K:K,1,Settings!$B$16)</f>
        <v/>
      </c>
      <c r="P1138" s="5">
        <f t="shared" si="72"/>
        <v>1</v>
      </c>
    </row>
    <row r="1139" spans="1:16" ht="15.75" customHeight="1" x14ac:dyDescent="0.25">
      <c r="A1139" s="6" t="s">
        <v>1491</v>
      </c>
      <c r="B1139" s="6" cm="1">
        <f t="array" ref="B1139">alea_int(Settings!$B$10,1,Settings!$B$16)</f>
        <v>2</v>
      </c>
      <c r="C1139" s="8">
        <v>46023</v>
      </c>
      <c r="D1139" s="8">
        <f t="shared" si="69"/>
        <v>46387</v>
      </c>
      <c r="E1139" s="6" t="str" cm="1">
        <f t="array" ref="E1139">choice(Groupes!A:A,1,Settings!$B$16)</f>
        <v>G5</v>
      </c>
      <c r="F1139" s="6" t="str">
        <f t="shared" si="70"/>
        <v>G5</v>
      </c>
      <c r="G1139" s="6" t="str">
        <f t="shared" si="71"/>
        <v>Prof1</v>
      </c>
      <c r="H1139" s="6" t="str" cm="1">
        <f t="array" ref="H1139">choice(Referentiel!A:A,1,Settings!$B$16)</f>
        <v>1ère année Groupe 1</v>
      </c>
      <c r="I1139" s="6" t="str" cm="1">
        <f t="array" ref="I1139">choice(Referentiel!B:B,1,Settings!$B$16)</f>
        <v>5ème année Art-Espace S1</v>
      </c>
      <c r="J1139" s="6" t="str" cm="1">
        <f t="array" ref="J1139">choice(Referentiel!D:D,1,Settings!$B$16)</f>
        <v>L2</v>
      </c>
      <c r="K1139" s="6" t="str" cm="1">
        <f t="array" ref="K1139">choice(Professeurs!B:B,1,Settings!$B$16)</f>
        <v>Prof1</v>
      </c>
      <c r="L1139" s="5" t="str" cm="1">
        <f t="array" ref="L1139">choice(Referentiel!C:C,1,Settings!$B$16)</f>
        <v/>
      </c>
      <c r="M1139" s="5" t="str" cm="1">
        <f t="array" ref="M1139">choice(Referentiel!E:E,1,Settings!$B$16)</f>
        <v/>
      </c>
      <c r="N1139" s="5" t="str" cm="1">
        <f t="array" ref="N1139">choice(Settings!K:K,1,Settings!$B$16)</f>
        <v/>
      </c>
      <c r="P1139" s="5">
        <f t="shared" si="72"/>
        <v>2</v>
      </c>
    </row>
    <row r="1140" spans="1:16" ht="15.75" customHeight="1" x14ac:dyDescent="0.25">
      <c r="A1140" s="6" t="s">
        <v>1492</v>
      </c>
      <c r="B1140" s="6" cm="1">
        <f t="array" ref="B1140">alea_int(Settings!$B$10,1,Settings!$B$16)</f>
        <v>3</v>
      </c>
      <c r="C1140" s="8">
        <v>46023</v>
      </c>
      <c r="D1140" s="8">
        <f t="shared" si="69"/>
        <v>46387</v>
      </c>
      <c r="E1140" s="6" t="str" cm="1">
        <f t="array" ref="E1140">choice(Groupes!A:A,1,Settings!$B$16)</f>
        <v>G21</v>
      </c>
      <c r="F1140" s="6" t="str">
        <f t="shared" si="70"/>
        <v>G21</v>
      </c>
      <c r="G1140" s="6" t="str">
        <f t="shared" si="71"/>
        <v>Prof34</v>
      </c>
      <c r="H1140" s="6" t="str" cm="1">
        <f t="array" ref="H1140">choice(Referentiel!A:A,1,Settings!$B$16)</f>
        <v>Design Objet</v>
      </c>
      <c r="I1140" s="6" t="str" cm="1">
        <f t="array" ref="I1140">choice(Referentiel!B:B,1,Settings!$B$16)</f>
        <v>5ème année Cinéma d'Animation S2</v>
      </c>
      <c r="J1140" s="6" t="str" cm="1">
        <f t="array" ref="J1140">choice(Referentiel!D:D,1,Settings!$B$16)</f>
        <v>L1</v>
      </c>
      <c r="K1140" s="6" t="str" cm="1">
        <f t="array" ref="K1140">choice(Professeurs!B:B,1,Settings!$B$16)</f>
        <v>Prof34</v>
      </c>
      <c r="L1140" s="5" t="str" cm="1">
        <f t="array" ref="L1140">choice(Referentiel!C:C,1,Settings!$B$16)</f>
        <v/>
      </c>
      <c r="M1140" s="5" t="str" cm="1">
        <f t="array" ref="M1140">choice(Referentiel!E:E,1,Settings!$B$16)</f>
        <v/>
      </c>
      <c r="N1140" s="5" t="str" cm="1">
        <f t="array" ref="N1140">choice(Settings!K:K,1,Settings!$B$16)</f>
        <v/>
      </c>
      <c r="P1140" s="5">
        <f t="shared" si="72"/>
        <v>3</v>
      </c>
    </row>
    <row r="1141" spans="1:16" ht="15.75" customHeight="1" x14ac:dyDescent="0.25">
      <c r="A1141" s="6" t="s">
        <v>1493</v>
      </c>
      <c r="B1141" s="6" cm="1">
        <f t="array" ref="B1141">alea_int(Settings!$B$10,1,Settings!$B$16)</f>
        <v>3</v>
      </c>
      <c r="C1141" s="8">
        <v>46023</v>
      </c>
      <c r="D1141" s="8">
        <f t="shared" si="69"/>
        <v>46387</v>
      </c>
      <c r="E1141" s="6" t="str" cm="1">
        <f t="array" ref="E1141">choice(Groupes!A:A,1,Settings!$B$16)</f>
        <v>G2</v>
      </c>
      <c r="F1141" s="6" t="str">
        <f t="shared" si="70"/>
        <v>G2</v>
      </c>
      <c r="G1141" s="6" t="str">
        <f t="shared" si="71"/>
        <v>Prof23</v>
      </c>
      <c r="H1141" s="6" t="str" cm="1">
        <f t="array" ref="H1141">choice(Referentiel!A:A,1,Settings!$B$16)</f>
        <v>Gr ART, DESIGN, SOCIETE</v>
      </c>
      <c r="I1141" s="6" t="str" cm="1">
        <f t="array" ref="I1141">choice(Referentiel!B:B,1,Settings!$B$16)</f>
        <v>1ère Année Groupe 1 S2</v>
      </c>
      <c r="J1141" s="6" t="str" cm="1">
        <f t="array" ref="J1141">choice(Referentiel!D:D,1,Settings!$B$16)</f>
        <v>L2</v>
      </c>
      <c r="K1141" s="6" t="str" cm="1">
        <f t="array" ref="K1141">choice(Professeurs!B:B,1,Settings!$B$16)</f>
        <v>Prof23</v>
      </c>
      <c r="L1141" s="5" t="str" cm="1">
        <f t="array" ref="L1141">choice(Referentiel!C:C,1,Settings!$B$16)</f>
        <v/>
      </c>
      <c r="M1141" s="5" t="str" cm="1">
        <f t="array" ref="M1141">choice(Referentiel!E:E,1,Settings!$B$16)</f>
        <v/>
      </c>
      <c r="N1141" s="5" t="str" cm="1">
        <f t="array" ref="N1141">choice(Settings!K:K,1,Settings!$B$16)</f>
        <v/>
      </c>
      <c r="P1141" s="5">
        <f t="shared" si="72"/>
        <v>3</v>
      </c>
    </row>
    <row r="1142" spans="1:16" ht="15.75" customHeight="1" x14ac:dyDescent="0.25">
      <c r="A1142" s="6" t="s">
        <v>1494</v>
      </c>
      <c r="B1142" s="6" cm="1">
        <f t="array" ref="B1142">alea_int(Settings!$B$10,1,Settings!$B$16)</f>
        <v>2</v>
      </c>
      <c r="C1142" s="8">
        <v>46023</v>
      </c>
      <c r="D1142" s="8">
        <f t="shared" si="69"/>
        <v>46387</v>
      </c>
      <c r="E1142" s="6" t="str" cm="1">
        <f t="array" ref="E1142">choice(Groupes!A:A,1,Settings!$B$16)</f>
        <v>G15</v>
      </c>
      <c r="F1142" s="6" t="str">
        <f t="shared" si="70"/>
        <v>G15</v>
      </c>
      <c r="G1142" s="6" t="str">
        <f t="shared" si="71"/>
        <v>Prof20</v>
      </c>
      <c r="H1142" s="6" t="str" cm="1">
        <f t="array" ref="H1142">choice(Referentiel!A:A,1,Settings!$B$16)</f>
        <v>Architecture Intérieure</v>
      </c>
      <c r="I1142" s="6" t="str" cm="1">
        <f t="array" ref="I1142">choice(Referentiel!B:B,1,Settings!$B$16)</f>
        <v>5ème année Scénographie S1</v>
      </c>
      <c r="J1142" s="6" t="str" cm="1">
        <f t="array" ref="J1142">choice(Referentiel!D:D,1,Settings!$B$16)</f>
        <v>L2</v>
      </c>
      <c r="K1142" s="6" t="str" cm="1">
        <f t="array" ref="K1142">choice(Professeurs!B:B,1,Settings!$B$16)</f>
        <v>Prof20</v>
      </c>
      <c r="L1142" s="5" t="str" cm="1">
        <f t="array" ref="L1142">choice(Referentiel!C:C,1,Settings!$B$16)</f>
        <v/>
      </c>
      <c r="M1142" s="5" t="str" cm="1">
        <f t="array" ref="M1142">choice(Referentiel!E:E,1,Settings!$B$16)</f>
        <v/>
      </c>
      <c r="N1142" s="5" t="str" cm="1">
        <f t="array" ref="N1142">choice(Settings!K:K,1,Settings!$B$16)</f>
        <v/>
      </c>
      <c r="P1142" s="5">
        <f t="shared" si="72"/>
        <v>2</v>
      </c>
    </row>
    <row r="1143" spans="1:16" ht="15.75" customHeight="1" x14ac:dyDescent="0.25">
      <c r="A1143" s="6" t="s">
        <v>1495</v>
      </c>
      <c r="B1143" s="6" cm="1">
        <f t="array" ref="B1143">alea_int(Settings!$B$10,1,Settings!$B$16)</f>
        <v>1</v>
      </c>
      <c r="C1143" s="8">
        <v>46023</v>
      </c>
      <c r="D1143" s="8">
        <f t="shared" si="69"/>
        <v>46387</v>
      </c>
      <c r="E1143" s="6" t="str" cm="1">
        <f t="array" ref="E1143">choice(Groupes!A:A,1,Settings!$B$16)</f>
        <v>G15</v>
      </c>
      <c r="F1143" s="6" t="str">
        <f t="shared" si="70"/>
        <v>G15</v>
      </c>
      <c r="G1143" s="6" t="str">
        <f t="shared" si="71"/>
        <v>Prof31</v>
      </c>
      <c r="H1143" s="6" t="str" cm="1">
        <f t="array" ref="H1143">choice(Referentiel!A:A,1,Settings!$B$16)</f>
        <v>Mode et Matière</v>
      </c>
      <c r="I1143" s="6" t="str" cm="1">
        <f t="array" ref="I1143">choice(Referentiel!B:B,1,Settings!$B$16)</f>
        <v>4ème année Image Imprimée S2</v>
      </c>
      <c r="J1143" s="6" t="str" cm="1">
        <f t="array" ref="J1143">choice(Referentiel!D:D,1,Settings!$B$16)</f>
        <v>L2</v>
      </c>
      <c r="K1143" s="6" t="str" cm="1">
        <f t="array" ref="K1143">choice(Professeurs!B:B,1,Settings!$B$16)</f>
        <v>Prof31</v>
      </c>
      <c r="L1143" s="5" t="str" cm="1">
        <f t="array" ref="L1143">choice(Referentiel!C:C,1,Settings!$B$16)</f>
        <v/>
      </c>
      <c r="M1143" s="5" t="str" cm="1">
        <f t="array" ref="M1143">choice(Referentiel!E:E,1,Settings!$B$16)</f>
        <v/>
      </c>
      <c r="N1143" s="5" t="str" cm="1">
        <f t="array" ref="N1143">choice(Settings!K:K,1,Settings!$B$16)</f>
        <v/>
      </c>
      <c r="P1143" s="5">
        <f t="shared" si="72"/>
        <v>1</v>
      </c>
    </row>
    <row r="1144" spans="1:16" ht="15.75" customHeight="1" x14ac:dyDescent="0.25">
      <c r="A1144" s="6" t="s">
        <v>1496</v>
      </c>
      <c r="B1144" s="6" cm="1">
        <f t="array" ref="B1144">alea_int(Settings!$B$10,1,Settings!$B$16)</f>
        <v>1</v>
      </c>
      <c r="C1144" s="8">
        <v>46023</v>
      </c>
      <c r="D1144" s="8">
        <f t="shared" si="69"/>
        <v>46387</v>
      </c>
      <c r="E1144" s="6" t="str" cm="1">
        <f t="array" ref="E1144">choice(Groupes!A:A,1,Settings!$B$16)</f>
        <v>G26</v>
      </c>
      <c r="F1144" s="6" t="str">
        <f t="shared" si="70"/>
        <v>G26</v>
      </c>
      <c r="G1144" s="6" t="str">
        <f t="shared" si="71"/>
        <v>Prof4</v>
      </c>
      <c r="H1144" s="6" t="str" cm="1">
        <f t="array" ref="H1144">choice(Referentiel!A:A,1,Settings!$B$16)</f>
        <v>Scénographie</v>
      </c>
      <c r="I1144" s="6" t="str" cm="1">
        <f t="array" ref="I1144">choice(Referentiel!B:B,1,Settings!$B$16)</f>
        <v>Césure S2</v>
      </c>
      <c r="J1144" s="6" t="str" cm="1">
        <f t="array" ref="J1144">choice(Referentiel!D:D,1,Settings!$B$16)</f>
        <v>L3</v>
      </c>
      <c r="K1144" s="6" t="str" cm="1">
        <f t="array" ref="K1144">choice(Professeurs!B:B,1,Settings!$B$16)</f>
        <v>Prof4</v>
      </c>
      <c r="L1144" s="5" t="str" cm="1">
        <f t="array" ref="L1144">choice(Referentiel!C:C,1,Settings!$B$16)</f>
        <v/>
      </c>
      <c r="M1144" s="5" t="str" cm="1">
        <f t="array" ref="M1144">choice(Referentiel!E:E,1,Settings!$B$16)</f>
        <v/>
      </c>
      <c r="N1144" s="5" t="str" cm="1">
        <f t="array" ref="N1144">choice(Settings!K:K,1,Settings!$B$16)</f>
        <v/>
      </c>
      <c r="P1144" s="5">
        <f t="shared" si="72"/>
        <v>1</v>
      </c>
    </row>
    <row r="1145" spans="1:16" ht="15.75" customHeight="1" x14ac:dyDescent="0.25">
      <c r="A1145" s="6" t="s">
        <v>1497</v>
      </c>
      <c r="B1145" s="6" cm="1">
        <f t="array" ref="B1145">alea_int(Settings!$B$10,1,Settings!$B$16)</f>
        <v>2</v>
      </c>
      <c r="C1145" s="8">
        <v>46023</v>
      </c>
      <c r="D1145" s="8">
        <f t="shared" si="69"/>
        <v>46387</v>
      </c>
      <c r="E1145" s="6" t="str" cm="1">
        <f t="array" ref="E1145">choice(Groupes!A:A,1,Settings!$B$16)</f>
        <v>G7</v>
      </c>
      <c r="F1145" s="6" t="str">
        <f t="shared" si="70"/>
        <v>G7</v>
      </c>
      <c r="G1145" s="6" t="str">
        <f t="shared" si="71"/>
        <v>Prof4</v>
      </c>
      <c r="H1145" s="6" t="str" cm="1">
        <f t="array" ref="H1145">choice(Referentiel!A:A,1,Settings!$B$16)</f>
        <v>1ère année Groupe 3</v>
      </c>
      <c r="I1145" s="6" t="str" cm="1">
        <f t="array" ref="I1145">choice(Referentiel!B:B,1,Settings!$B$16)</f>
        <v>1ère Année Groupe 1 S1</v>
      </c>
      <c r="J1145" s="6" t="str" cm="1">
        <f t="array" ref="J1145">choice(Referentiel!D:D,1,Settings!$B$16)</f>
        <v>M1</v>
      </c>
      <c r="K1145" s="6" t="str" cm="1">
        <f t="array" ref="K1145">choice(Professeurs!B:B,1,Settings!$B$16)</f>
        <v>Prof4</v>
      </c>
      <c r="L1145" s="5" t="str" cm="1">
        <f t="array" ref="L1145">choice(Referentiel!C:C,1,Settings!$B$16)</f>
        <v/>
      </c>
      <c r="M1145" s="5" t="str" cm="1">
        <f t="array" ref="M1145">choice(Referentiel!E:E,1,Settings!$B$16)</f>
        <v/>
      </c>
      <c r="N1145" s="5" t="str" cm="1">
        <f t="array" ref="N1145">choice(Settings!K:K,1,Settings!$B$16)</f>
        <v/>
      </c>
      <c r="P1145" s="5">
        <f t="shared" si="72"/>
        <v>2</v>
      </c>
    </row>
    <row r="1146" spans="1:16" ht="15.75" customHeight="1" x14ac:dyDescent="0.25">
      <c r="A1146" s="6" t="s">
        <v>1498</v>
      </c>
      <c r="B1146" s="6" cm="1">
        <f t="array" ref="B1146">alea_int(Settings!$B$10,1,Settings!$B$16)</f>
        <v>2</v>
      </c>
      <c r="C1146" s="8">
        <v>46023</v>
      </c>
      <c r="D1146" s="8">
        <f t="shared" si="69"/>
        <v>46387</v>
      </c>
      <c r="E1146" s="6" t="str" cm="1">
        <f t="array" ref="E1146">choice(Groupes!A:A,1,Settings!$B$16)</f>
        <v>G9</v>
      </c>
      <c r="F1146" s="6" t="str">
        <f t="shared" si="70"/>
        <v>G9</v>
      </c>
      <c r="G1146" s="6" t="str">
        <f t="shared" si="71"/>
        <v>Prof13</v>
      </c>
      <c r="H1146" s="6" t="str" cm="1">
        <f t="array" ref="H1146">choice(Referentiel!A:A,1,Settings!$B$16)</f>
        <v>1ère année Groupe 4</v>
      </c>
      <c r="I1146" s="6" t="str" cm="1">
        <f t="array" ref="I1146">choice(Referentiel!B:B,1,Settings!$B$16)</f>
        <v>5ème année Design Vêtement S1</v>
      </c>
      <c r="J1146" s="6" t="str" cm="1">
        <f t="array" ref="J1146">choice(Referentiel!D:D,1,Settings!$B$16)</f>
        <v>M1</v>
      </c>
      <c r="K1146" s="6" t="str" cm="1">
        <f t="array" ref="K1146">choice(Professeurs!B:B,1,Settings!$B$16)</f>
        <v>Prof13</v>
      </c>
      <c r="L1146" s="5" t="str" cm="1">
        <f t="array" ref="L1146">choice(Referentiel!C:C,1,Settings!$B$16)</f>
        <v/>
      </c>
      <c r="M1146" s="5" t="str" cm="1">
        <f t="array" ref="M1146">choice(Referentiel!E:E,1,Settings!$B$16)</f>
        <v/>
      </c>
      <c r="N1146" s="5" t="str" cm="1">
        <f t="array" ref="N1146">choice(Settings!K:K,1,Settings!$B$16)</f>
        <v/>
      </c>
      <c r="P1146" s="5">
        <f t="shared" si="72"/>
        <v>2</v>
      </c>
    </row>
    <row r="1147" spans="1:16" ht="15.75" customHeight="1" x14ac:dyDescent="0.25">
      <c r="A1147" s="6" t="s">
        <v>1499</v>
      </c>
      <c r="B1147" s="6" cm="1">
        <f t="array" ref="B1147">alea_int(Settings!$B$10,1,Settings!$B$16)</f>
        <v>2</v>
      </c>
      <c r="C1147" s="8">
        <v>46023</v>
      </c>
      <c r="D1147" s="8">
        <f t="shared" si="69"/>
        <v>46387</v>
      </c>
      <c r="E1147" s="6" t="str" cm="1">
        <f t="array" ref="E1147">choice(Groupes!A:A,1,Settings!$B$16)</f>
        <v>G29</v>
      </c>
      <c r="F1147" s="6" t="str">
        <f t="shared" si="70"/>
        <v>G29</v>
      </c>
      <c r="G1147" s="6" t="str">
        <f t="shared" si="71"/>
        <v>Prof1</v>
      </c>
      <c r="H1147" s="6" t="str" cm="1">
        <f t="array" ref="H1147">choice(Referentiel!A:A,1,Settings!$B$16)</f>
        <v>Design des mondes forestiers</v>
      </c>
      <c r="I1147" s="6" t="str" cm="1">
        <f t="array" ref="I1147">choice(Referentiel!B:B,1,Settings!$B$16)</f>
        <v>3ème année Design Graphique S2</v>
      </c>
      <c r="J1147" s="6" t="str" cm="1">
        <f t="array" ref="J1147">choice(Referentiel!D:D,1,Settings!$B$16)</f>
        <v>M1</v>
      </c>
      <c r="K1147" s="6" t="str" cm="1">
        <f t="array" ref="K1147">choice(Professeurs!B:B,1,Settings!$B$16)</f>
        <v>Prof1</v>
      </c>
      <c r="L1147" s="5" t="str" cm="1">
        <f t="array" ref="L1147">choice(Referentiel!C:C,1,Settings!$B$16)</f>
        <v>ordinateur</v>
      </c>
      <c r="M1147" s="5" t="str" cm="1">
        <f t="array" ref="M1147">choice(Referentiel!E:E,1,Settings!$B$16)</f>
        <v/>
      </c>
      <c r="N1147" s="5" t="str" cm="1">
        <f t="array" ref="N1147">choice(Settings!K:K,1,Settings!$B$16)</f>
        <v>jeudi pm</v>
      </c>
      <c r="P1147" s="5">
        <f t="shared" si="72"/>
        <v>4</v>
      </c>
    </row>
    <row r="1148" spans="1:16" ht="15.75" customHeight="1" x14ac:dyDescent="0.25">
      <c r="A1148" s="6" t="s">
        <v>1500</v>
      </c>
      <c r="B1148" s="6" cm="1">
        <f t="array" ref="B1148">alea_int(Settings!$B$10,1,Settings!$B$16)</f>
        <v>1</v>
      </c>
      <c r="C1148" s="8">
        <v>46023</v>
      </c>
      <c r="D1148" s="8">
        <f t="shared" si="69"/>
        <v>46387</v>
      </c>
      <c r="E1148" s="6" t="str" cm="1">
        <f t="array" ref="E1148">choice(Groupes!A:A,1,Settings!$B$16)</f>
        <v>G18</v>
      </c>
      <c r="F1148" s="6" t="str">
        <f t="shared" si="70"/>
        <v>G18</v>
      </c>
      <c r="G1148" s="6" t="str">
        <f t="shared" si="71"/>
        <v>Prof22</v>
      </c>
      <c r="H1148" s="6" t="str" cm="1">
        <f t="array" ref="H1148">choice(Referentiel!A:A,1,Settings!$B$16)</f>
        <v>Photo / Vidéo</v>
      </c>
      <c r="I1148" s="6" t="str" cm="1">
        <f t="array" ref="I1148">choice(Referentiel!B:B,1,Settings!$B$16)</f>
        <v>3ème année Cinéma d'Animation S2</v>
      </c>
      <c r="J1148" s="6" t="str" cm="1">
        <f t="array" ref="J1148">choice(Referentiel!D:D,1,Settings!$B$16)</f>
        <v>M2</v>
      </c>
      <c r="K1148" s="6" t="str" cm="1">
        <f t="array" ref="K1148">choice(Professeurs!B:B,1,Settings!$B$16)</f>
        <v>Prof22</v>
      </c>
      <c r="L1148" s="5" t="str" cm="1">
        <f t="array" ref="L1148">choice(Referentiel!C:C,1,Settings!$B$16)</f>
        <v/>
      </c>
      <c r="M1148" s="5" t="str" cm="1">
        <f t="array" ref="M1148">choice(Referentiel!E:E,1,Settings!$B$16)</f>
        <v/>
      </c>
      <c r="N1148" s="5" t="str" cm="1">
        <f t="array" ref="N1148">choice(Settings!K:K,1,Settings!$B$16)</f>
        <v/>
      </c>
      <c r="P1148" s="5">
        <f t="shared" si="72"/>
        <v>1</v>
      </c>
    </row>
    <row r="1149" spans="1:16" ht="15.75" customHeight="1" x14ac:dyDescent="0.25">
      <c r="A1149" s="6" t="s">
        <v>1501</v>
      </c>
      <c r="B1149" s="6" cm="1">
        <f t="array" ref="B1149">alea_int(Settings!$B$10,1,Settings!$B$16)</f>
        <v>3</v>
      </c>
      <c r="C1149" s="8">
        <v>46023</v>
      </c>
      <c r="D1149" s="8">
        <f t="shared" si="69"/>
        <v>46387</v>
      </c>
      <c r="E1149" s="6" t="str" cm="1">
        <f t="array" ref="E1149">choice(Groupes!A:A,1,Settings!$B$16)</f>
        <v>G10</v>
      </c>
      <c r="F1149" s="6" t="str">
        <f t="shared" si="70"/>
        <v>G10</v>
      </c>
      <c r="G1149" s="6" t="str">
        <f t="shared" si="71"/>
        <v>Prof16</v>
      </c>
      <c r="H1149" s="6" t="str" cm="1">
        <f t="array" ref="H1149">choice(Referentiel!A:A,1,Settings!$B$16)</f>
        <v>Design des mondes urbains</v>
      </c>
      <c r="I1149" s="6" t="str" cm="1">
        <f t="array" ref="I1149">choice(Referentiel!B:B,1,Settings!$B$16)</f>
        <v>4ème année Cinéma d'Animation S2</v>
      </c>
      <c r="J1149" s="6" t="str" cm="1">
        <f t="array" ref="J1149">choice(Referentiel!D:D,1,Settings!$B$16)</f>
        <v>M2</v>
      </c>
      <c r="K1149" s="6" t="str" cm="1">
        <f t="array" ref="K1149">choice(Professeurs!B:B,1,Settings!$B$16)</f>
        <v>Prof16</v>
      </c>
      <c r="L1149" s="5" t="str" cm="1">
        <f t="array" ref="L1149">choice(Referentiel!C:C,1,Settings!$B$16)</f>
        <v>projecteur</v>
      </c>
      <c r="M1149" s="5" t="str" cm="1">
        <f t="array" ref="M1149">choice(Referentiel!E:E,1,Settings!$B$16)</f>
        <v/>
      </c>
      <c r="N1149" s="5" t="str" cm="1">
        <f t="array" ref="N1149">choice(Settings!K:K,1,Settings!$B$16)</f>
        <v/>
      </c>
      <c r="P1149" s="5">
        <f t="shared" si="72"/>
        <v>3</v>
      </c>
    </row>
    <row r="1150" spans="1:16" ht="15.75" customHeight="1" x14ac:dyDescent="0.25">
      <c r="A1150" s="6" t="s">
        <v>1502</v>
      </c>
      <c r="B1150" s="6" cm="1">
        <f t="array" ref="B1150">alea_int(Settings!$B$10,1,Settings!$B$16)</f>
        <v>1</v>
      </c>
      <c r="C1150" s="8">
        <v>46023</v>
      </c>
      <c r="D1150" s="8">
        <f t="shared" si="69"/>
        <v>46387</v>
      </c>
      <c r="E1150" s="6" t="str" cm="1">
        <f t="array" ref="E1150">choice(Groupes!A:A,1,Settings!$B$16)</f>
        <v>G24</v>
      </c>
      <c r="F1150" s="6" t="str">
        <f t="shared" si="70"/>
        <v>G24</v>
      </c>
      <c r="G1150" s="6" t="str">
        <f t="shared" si="71"/>
        <v>Prof5</v>
      </c>
      <c r="H1150" s="6" t="str" cm="1">
        <f t="array" ref="H1150">choice(Referentiel!A:A,1,Settings!$B$16)</f>
        <v>Gr SYMBIOSE</v>
      </c>
      <c r="I1150" s="6" t="str" cm="1">
        <f t="array" ref="I1150">choice(Referentiel!B:B,1,Settings!$B$16)</f>
        <v>2ème année Photo / Vidéo S2</v>
      </c>
      <c r="J1150" s="6" t="str" cm="1">
        <f t="array" ref="J1150">choice(Referentiel!D:D,1,Settings!$B$16)</f>
        <v>M1</v>
      </c>
      <c r="K1150" s="6" t="str" cm="1">
        <f t="array" ref="K1150">choice(Professeurs!B:B,1,Settings!$B$16)</f>
        <v>Prof5</v>
      </c>
      <c r="L1150" s="5" t="str" cm="1">
        <f t="array" ref="L1150">choice(Referentiel!C:C,1,Settings!$B$16)</f>
        <v/>
      </c>
      <c r="M1150" s="5" t="str" cm="1">
        <f t="array" ref="M1150">choice(Referentiel!E:E,1,Settings!$B$16)</f>
        <v/>
      </c>
      <c r="N1150" s="5" t="str" cm="1">
        <f t="array" ref="N1150">choice(Settings!K:K,1,Settings!$B$16)</f>
        <v/>
      </c>
      <c r="P1150" s="5">
        <f t="shared" si="72"/>
        <v>1</v>
      </c>
    </row>
    <row r="1151" spans="1:16" ht="15.75" customHeight="1" x14ac:dyDescent="0.25">
      <c r="A1151" s="6" t="s">
        <v>1503</v>
      </c>
      <c r="B1151" s="6" cm="1">
        <f t="array" ref="B1151">alea_int(Settings!$B$10,1,Settings!$B$16)</f>
        <v>2</v>
      </c>
      <c r="C1151" s="8">
        <v>46023</v>
      </c>
      <c r="D1151" s="8">
        <f t="shared" si="69"/>
        <v>46387</v>
      </c>
      <c r="E1151" s="6" t="str" cm="1">
        <f t="array" ref="E1151">choice(Groupes!A:A,1,Settings!$B$16)</f>
        <v>G28</v>
      </c>
      <c r="F1151" s="6" t="str">
        <f t="shared" si="70"/>
        <v>G28</v>
      </c>
      <c r="G1151" s="6" t="str">
        <f t="shared" si="71"/>
        <v>Prof14</v>
      </c>
      <c r="H1151" s="6" t="str" cm="1">
        <f t="array" ref="H1151">choice(Referentiel!A:A,1,Settings!$B$16)</f>
        <v>Gr ART, DESIGN, SOCIETE</v>
      </c>
      <c r="I1151" s="6" t="str" cm="1">
        <f t="array" ref="I1151">choice(Referentiel!B:B,1,Settings!$B$16)</f>
        <v>4ème année Scénographie S2</v>
      </c>
      <c r="J1151" s="6" t="str" cm="1">
        <f t="array" ref="J1151">choice(Referentiel!D:D,1,Settings!$B$16)</f>
        <v>M1</v>
      </c>
      <c r="K1151" s="6" t="str" cm="1">
        <f t="array" ref="K1151">choice(Professeurs!B:B,1,Settings!$B$16)</f>
        <v>Prof14</v>
      </c>
      <c r="L1151" s="5" t="str" cm="1">
        <f t="array" ref="L1151">choice(Referentiel!C:C,1,Settings!$B$16)</f>
        <v/>
      </c>
      <c r="M1151" s="5" t="str" cm="1">
        <f t="array" ref="M1151">choice(Referentiel!E:E,1,Settings!$B$16)</f>
        <v/>
      </c>
      <c r="N1151" s="5" t="str" cm="1">
        <f t="array" ref="N1151">choice(Settings!K:K,1,Settings!$B$16)</f>
        <v>semaine</v>
      </c>
      <c r="P1151" s="5">
        <f t="shared" si="72"/>
        <v>4</v>
      </c>
    </row>
    <row r="1152" spans="1:16" ht="15.75" customHeight="1" x14ac:dyDescent="0.25">
      <c r="A1152" s="6" t="s">
        <v>1504</v>
      </c>
      <c r="B1152" s="6" cm="1">
        <f t="array" ref="B1152">alea_int(Settings!$B$10,1,Settings!$B$16)</f>
        <v>2</v>
      </c>
      <c r="C1152" s="8">
        <v>46023</v>
      </c>
      <c r="D1152" s="8">
        <f t="shared" si="69"/>
        <v>46387</v>
      </c>
      <c r="E1152" s="6" t="str" cm="1">
        <f t="array" ref="E1152">choice(Groupes!A:A,1,Settings!$B$16)</f>
        <v>G7</v>
      </c>
      <c r="F1152" s="6" t="str">
        <f t="shared" si="70"/>
        <v>G7</v>
      </c>
      <c r="G1152" s="6" t="str">
        <f t="shared" si="71"/>
        <v>Prof37</v>
      </c>
      <c r="H1152" s="6" t="str" cm="1">
        <f t="array" ref="H1152">choice(Referentiel!A:A,1,Settings!$B$16)</f>
        <v>Design des mondes insulaires</v>
      </c>
      <c r="I1152" s="6" t="str" cm="1">
        <f t="array" ref="I1152">choice(Referentiel!B:B,1,Settings!$B$16)</f>
        <v>1ère Année Groupe 2 S1</v>
      </c>
      <c r="J1152" s="6" t="str" cm="1">
        <f t="array" ref="J1152">choice(Referentiel!D:D,1,Settings!$B$16)</f>
        <v>L2</v>
      </c>
      <c r="K1152" s="6" t="str" cm="1">
        <f t="array" ref="K1152">choice(Professeurs!B:B,1,Settings!$B$16)</f>
        <v>Prof37</v>
      </c>
      <c r="L1152" s="5" t="str" cm="1">
        <f t="array" ref="L1152">choice(Referentiel!C:C,1,Settings!$B$16)</f>
        <v/>
      </c>
      <c r="M1152" s="5" t="str" cm="1">
        <f t="array" ref="M1152">choice(Referentiel!E:E,1,Settings!$B$16)</f>
        <v/>
      </c>
      <c r="N1152" s="5" t="str" cm="1">
        <f t="array" ref="N1152">choice(Settings!K:K,1,Settings!$B$16)</f>
        <v/>
      </c>
      <c r="P1152" s="5">
        <f t="shared" si="72"/>
        <v>2</v>
      </c>
    </row>
    <row r="1153" spans="1:16" ht="15.75" customHeight="1" x14ac:dyDescent="0.25">
      <c r="A1153" s="6" t="s">
        <v>1505</v>
      </c>
      <c r="B1153" s="6" cm="1">
        <f t="array" ref="B1153">alea_int(Settings!$B$10,1,Settings!$B$16)</f>
        <v>2</v>
      </c>
      <c r="C1153" s="8">
        <v>46023</v>
      </c>
      <c r="D1153" s="8">
        <f t="shared" si="69"/>
        <v>46387</v>
      </c>
      <c r="E1153" s="6" t="str" cm="1">
        <f t="array" ref="E1153">choice(Groupes!A:A,1,Settings!$B$16)</f>
        <v>G20</v>
      </c>
      <c r="F1153" s="6" t="str">
        <f t="shared" si="70"/>
        <v>G20</v>
      </c>
      <c r="G1153" s="6" t="str">
        <f t="shared" si="71"/>
        <v>Prof45</v>
      </c>
      <c r="H1153" s="6" t="str" cm="1">
        <f t="array" ref="H1153">choice(Referentiel!A:A,1,Settings!$B$16)</f>
        <v>Design des mondes insulaires</v>
      </c>
      <c r="I1153" s="6" t="str" cm="1">
        <f t="array" ref="I1153">choice(Referentiel!B:B,1,Settings!$B$16)</f>
        <v>2ème année Image Imprimée S1</v>
      </c>
      <c r="J1153" s="6" t="str" cm="1">
        <f t="array" ref="J1153">choice(Referentiel!D:D,1,Settings!$B$16)</f>
        <v>L3</v>
      </c>
      <c r="K1153" s="6" t="str" cm="1">
        <f t="array" ref="K1153">choice(Professeurs!B:B,1,Settings!$B$16)</f>
        <v>Prof45</v>
      </c>
      <c r="L1153" s="5" t="str" cm="1">
        <f t="array" ref="L1153">choice(Referentiel!C:C,1,Settings!$B$16)</f>
        <v/>
      </c>
      <c r="M1153" s="5" t="str" cm="1">
        <f t="array" ref="M1153">choice(Referentiel!E:E,1,Settings!$B$16)</f>
        <v/>
      </c>
      <c r="N1153" s="5" t="str" cm="1">
        <f t="array" ref="N1153">choice(Settings!K:K,1,Settings!$B$16)</f>
        <v>mardi pm</v>
      </c>
      <c r="P1153" s="5">
        <f t="shared" si="72"/>
        <v>4</v>
      </c>
    </row>
    <row r="1154" spans="1:16" ht="15.75" customHeight="1" x14ac:dyDescent="0.25">
      <c r="A1154" s="6" t="s">
        <v>1506</v>
      </c>
      <c r="B1154" s="6" cm="1">
        <f t="array" ref="B1154">alea_int(Settings!$B$10,1,Settings!$B$16)</f>
        <v>3</v>
      </c>
      <c r="C1154" s="8">
        <v>46023</v>
      </c>
      <c r="D1154" s="8">
        <f t="shared" si="69"/>
        <v>46387</v>
      </c>
      <c r="E1154" s="6" t="str" cm="1">
        <f t="array" ref="E1154">choice(Groupes!A:A,1,Settings!$B$16)</f>
        <v>G11</v>
      </c>
      <c r="F1154" s="6" t="str">
        <f t="shared" si="70"/>
        <v>G11</v>
      </c>
      <c r="G1154" s="6" t="str">
        <f t="shared" si="71"/>
        <v>Prof29</v>
      </c>
      <c r="H1154" s="6" t="str" cm="1">
        <f t="array" ref="H1154">choice(Referentiel!A:A,1,Settings!$B$16)</f>
        <v>Design des mondes insulaires</v>
      </c>
      <c r="I1154" s="6" t="str" cm="1">
        <f t="array" ref="I1154">choice(Referentiel!B:B,1,Settings!$B$16)</f>
        <v>4ème année Design Graphique S1</v>
      </c>
      <c r="J1154" s="6" t="str" cm="1">
        <f t="array" ref="J1154">choice(Referentiel!D:D,1,Settings!$B$16)</f>
        <v>L2</v>
      </c>
      <c r="K1154" s="6" t="str" cm="1">
        <f t="array" ref="K1154">choice(Professeurs!B:B,1,Settings!$B$16)</f>
        <v>Prof29</v>
      </c>
      <c r="L1154" s="5" t="str" cm="1">
        <f t="array" ref="L1154">choice(Referentiel!C:C,1,Settings!$B$16)</f>
        <v/>
      </c>
      <c r="M1154" s="5" t="str" cm="1">
        <f t="array" ref="M1154">choice(Referentiel!E:E,1,Settings!$B$16)</f>
        <v/>
      </c>
      <c r="N1154" s="5" t="str" cm="1">
        <f t="array" ref="N1154">choice(Settings!K:K,1,Settings!$B$16)</f>
        <v/>
      </c>
      <c r="P1154" s="5">
        <f t="shared" si="72"/>
        <v>3</v>
      </c>
    </row>
    <row r="1155" spans="1:16" ht="15.75" customHeight="1" x14ac:dyDescent="0.25">
      <c r="A1155" s="6" t="s">
        <v>1507</v>
      </c>
      <c r="B1155" s="6" cm="1">
        <f t="array" ref="B1155">alea_int(Settings!$B$10,1,Settings!$B$16)</f>
        <v>3</v>
      </c>
      <c r="C1155" s="8">
        <v>46023</v>
      </c>
      <c r="D1155" s="8">
        <f t="shared" ref="D1155:D1218" si="73">C1155+364</f>
        <v>46387</v>
      </c>
      <c r="E1155" s="6" t="str" cm="1">
        <f t="array" ref="E1155">choice(Groupes!A:A,1,Settings!$B$16)</f>
        <v>G2</v>
      </c>
      <c r="F1155" s="6" t="str">
        <f t="shared" ref="F1155:F1218" si="74">E1155</f>
        <v>G2</v>
      </c>
      <c r="G1155" s="6" t="str">
        <f t="shared" ref="G1155:G1218" si="75">K1155</f>
        <v>Prof53</v>
      </c>
      <c r="H1155" s="6" t="str" cm="1">
        <f t="array" ref="H1155">choice(Referentiel!A:A,1,Settings!$B$16)</f>
        <v>Design Objet</v>
      </c>
      <c r="I1155" s="6" t="str" cm="1">
        <f t="array" ref="I1155">choice(Referentiel!B:B,1,Settings!$B$16)</f>
        <v>3ème année Image Imprimée S2</v>
      </c>
      <c r="J1155" s="6" t="str" cm="1">
        <f t="array" ref="J1155">choice(Referentiel!D:D,1,Settings!$B$16)</f>
        <v>M1</v>
      </c>
      <c r="K1155" s="6" t="str" cm="1">
        <f t="array" ref="K1155">choice(Professeurs!B:B,1,Settings!$B$16)</f>
        <v>Prof53</v>
      </c>
      <c r="L1155" s="5" t="str" cm="1">
        <f t="array" ref="L1155">choice(Referentiel!C:C,1,Settings!$B$16)</f>
        <v/>
      </c>
      <c r="M1155" s="5" t="str" cm="1">
        <f t="array" ref="M1155">choice(Referentiel!E:E,1,Settings!$B$16)</f>
        <v/>
      </c>
      <c r="N1155" s="5" t="str" cm="1">
        <f t="array" ref="N1155">choice(Settings!K:K,1,Settings!$B$16)</f>
        <v/>
      </c>
      <c r="P1155" s="5">
        <f t="shared" ref="P1155:P1218" si="76">B1155+IF(M1155&lt;&gt;"",2,0)+IF(N1155&lt;&gt;"",2,0)</f>
        <v>3</v>
      </c>
    </row>
    <row r="1156" spans="1:16" ht="15.75" customHeight="1" x14ac:dyDescent="0.25">
      <c r="A1156" s="6" t="s">
        <v>1508</v>
      </c>
      <c r="B1156" s="6" cm="1">
        <f t="array" ref="B1156">alea_int(Settings!$B$10,1,Settings!$B$16)</f>
        <v>3</v>
      </c>
      <c r="C1156" s="8">
        <v>46023</v>
      </c>
      <c r="D1156" s="8">
        <f t="shared" si="73"/>
        <v>46387</v>
      </c>
      <c r="E1156" s="6" t="str" cm="1">
        <f t="array" ref="E1156">choice(Groupes!A:A,1,Settings!$B$16)</f>
        <v>G24</v>
      </c>
      <c r="F1156" s="6" t="str">
        <f t="shared" si="74"/>
        <v>G24</v>
      </c>
      <c r="G1156" s="6" t="str">
        <f t="shared" si="75"/>
        <v>Prof27</v>
      </c>
      <c r="H1156" s="6" t="str" cm="1">
        <f t="array" ref="H1156">choice(Referentiel!A:A,1,Settings!$B$16)</f>
        <v>Cinéma d'Animation</v>
      </c>
      <c r="I1156" s="6" t="str" cm="1">
        <f t="array" ref="I1156">choice(Referentiel!B:B,1,Settings!$B$16)</f>
        <v>2ème année Cinéma d'Animation S1</v>
      </c>
      <c r="J1156" s="6" t="str" cm="1">
        <f t="array" ref="J1156">choice(Referentiel!D:D,1,Settings!$B$16)</f>
        <v>M1</v>
      </c>
      <c r="K1156" s="6" t="str" cm="1">
        <f t="array" ref="K1156">choice(Professeurs!B:B,1,Settings!$B$16)</f>
        <v>Prof27</v>
      </c>
      <c r="L1156" s="5" t="str" cm="1">
        <f t="array" ref="L1156">choice(Referentiel!C:C,1,Settings!$B$16)</f>
        <v/>
      </c>
      <c r="M1156" s="5" t="str" cm="1">
        <f t="array" ref="M1156">choice(Referentiel!E:E,1,Settings!$B$16)</f>
        <v/>
      </c>
      <c r="N1156" s="5" t="str" cm="1">
        <f t="array" ref="N1156">choice(Settings!K:K,1,Settings!$B$16)</f>
        <v/>
      </c>
      <c r="P1156" s="5">
        <f t="shared" si="76"/>
        <v>3</v>
      </c>
    </row>
    <row r="1157" spans="1:16" ht="15.75" customHeight="1" x14ac:dyDescent="0.25">
      <c r="A1157" s="6" t="s">
        <v>1509</v>
      </c>
      <c r="B1157" s="6" cm="1">
        <f t="array" ref="B1157">alea_int(Settings!$B$10,1,Settings!$B$16)</f>
        <v>1</v>
      </c>
      <c r="C1157" s="8">
        <v>46023</v>
      </c>
      <c r="D1157" s="8">
        <f t="shared" si="73"/>
        <v>46387</v>
      </c>
      <c r="E1157" s="6" t="str" cm="1">
        <f t="array" ref="E1157">choice(Groupes!A:A,1,Settings!$B$16)</f>
        <v>G10</v>
      </c>
      <c r="F1157" s="6" t="str">
        <f t="shared" si="74"/>
        <v>G10</v>
      </c>
      <c r="G1157" s="6" t="str">
        <f t="shared" si="75"/>
        <v>Prof37</v>
      </c>
      <c r="H1157" s="6" t="str" cm="1">
        <f t="array" ref="H1157">choice(Referentiel!A:A,1,Settings!$B$16)</f>
        <v>Design des mondes ruraux</v>
      </c>
      <c r="I1157" s="6" t="str" cm="1">
        <f t="array" ref="I1157">choice(Referentiel!B:B,1,Settings!$B$16)</f>
        <v>3ème année Art-Espace S2</v>
      </c>
      <c r="J1157" s="6" t="str" cm="1">
        <f t="array" ref="J1157">choice(Referentiel!D:D,1,Settings!$B$16)</f>
        <v>L2</v>
      </c>
      <c r="K1157" s="6" t="str" cm="1">
        <f t="array" ref="K1157">choice(Professeurs!B:B,1,Settings!$B$16)</f>
        <v>Prof37</v>
      </c>
      <c r="L1157" s="5" t="str" cm="1">
        <f t="array" ref="L1157">choice(Referentiel!C:C,1,Settings!$B$16)</f>
        <v/>
      </c>
      <c r="M1157" s="5" t="str" cm="1">
        <f t="array" ref="M1157">choice(Referentiel!E:E,1,Settings!$B$16)</f>
        <v/>
      </c>
      <c r="N1157" s="5" t="str" cm="1">
        <f t="array" ref="N1157">choice(Settings!K:K,1,Settings!$B$16)</f>
        <v/>
      </c>
      <c r="P1157" s="5">
        <f t="shared" si="76"/>
        <v>1</v>
      </c>
    </row>
    <row r="1158" spans="1:16" ht="15.75" customHeight="1" x14ac:dyDescent="0.25">
      <c r="A1158" s="6" t="s">
        <v>1510</v>
      </c>
      <c r="B1158" s="6" cm="1">
        <f t="array" ref="B1158">alea_int(Settings!$B$10,1,Settings!$B$16)</f>
        <v>2</v>
      </c>
      <c r="C1158" s="8">
        <v>46023</v>
      </c>
      <c r="D1158" s="8">
        <f t="shared" si="73"/>
        <v>46387</v>
      </c>
      <c r="E1158" s="6" t="str" cm="1">
        <f t="array" ref="E1158">choice(Groupes!A:A,1,Settings!$B$16)</f>
        <v>G4</v>
      </c>
      <c r="F1158" s="6" t="str">
        <f t="shared" si="74"/>
        <v>G4</v>
      </c>
      <c r="G1158" s="6" t="str">
        <f t="shared" si="75"/>
        <v>Prof3</v>
      </c>
      <c r="H1158" s="6" t="str" cm="1">
        <f t="array" ref="H1158">choice(Referentiel!A:A,1,Settings!$B$16)</f>
        <v>Design Textile et Matière</v>
      </c>
      <c r="I1158" s="6" t="str" cm="1">
        <f t="array" ref="I1158">choice(Referentiel!B:B,1,Settings!$B$16)</f>
        <v>1ère Année Groupe 2 S2</v>
      </c>
      <c r="J1158" s="6" t="str" cm="1">
        <f t="array" ref="J1158">choice(Referentiel!D:D,1,Settings!$B$16)</f>
        <v>L2</v>
      </c>
      <c r="K1158" s="6" t="str" cm="1">
        <f t="array" ref="K1158">choice(Professeurs!B:B,1,Settings!$B$16)</f>
        <v>Prof3</v>
      </c>
      <c r="L1158" s="5" t="str" cm="1">
        <f t="array" ref="L1158">choice(Referentiel!C:C,1,Settings!$B$16)</f>
        <v/>
      </c>
      <c r="M1158" s="5" t="str" cm="1">
        <f t="array" ref="M1158">choice(Referentiel!E:E,1,Settings!$B$16)</f>
        <v/>
      </c>
      <c r="N1158" s="5" t="str" cm="1">
        <f t="array" ref="N1158">choice(Settings!K:K,1,Settings!$B$16)</f>
        <v>lundi am</v>
      </c>
      <c r="P1158" s="5">
        <f t="shared" si="76"/>
        <v>4</v>
      </c>
    </row>
    <row r="1159" spans="1:16" ht="15.75" customHeight="1" x14ac:dyDescent="0.25">
      <c r="A1159" s="6" t="s">
        <v>1511</v>
      </c>
      <c r="B1159" s="6" cm="1">
        <f t="array" ref="B1159">alea_int(Settings!$B$10,1,Settings!$B$16)</f>
        <v>2</v>
      </c>
      <c r="C1159" s="8">
        <v>46023</v>
      </c>
      <c r="D1159" s="8">
        <f t="shared" si="73"/>
        <v>46387</v>
      </c>
      <c r="E1159" s="6" t="str" cm="1">
        <f t="array" ref="E1159">choice(Groupes!A:A,1,Settings!$B$16)</f>
        <v>G26</v>
      </c>
      <c r="F1159" s="6" t="str">
        <f t="shared" si="74"/>
        <v>G26</v>
      </c>
      <c r="G1159" s="6" t="str">
        <f t="shared" si="75"/>
        <v>Prof9</v>
      </c>
      <c r="H1159" s="6" t="str" cm="1">
        <f t="array" ref="H1159">choice(Referentiel!A:A,1,Settings!$B$16)</f>
        <v>Architecture Intérieure</v>
      </c>
      <c r="I1159" s="6" t="str" cm="1">
        <f t="array" ref="I1159">choice(Referentiel!B:B,1,Settings!$B$16)</f>
        <v>3ème année Design Graphique S2</v>
      </c>
      <c r="J1159" s="6" t="str" cm="1">
        <f t="array" ref="J1159">choice(Referentiel!D:D,1,Settings!$B$16)</f>
        <v>M2</v>
      </c>
      <c r="K1159" s="6" t="str" cm="1">
        <f t="array" ref="K1159">choice(Professeurs!B:B,1,Settings!$B$16)</f>
        <v>Prof9</v>
      </c>
      <c r="L1159" s="5" t="str" cm="1">
        <f t="array" ref="L1159">choice(Referentiel!C:C,1,Settings!$B$16)</f>
        <v/>
      </c>
      <c r="M1159" s="5" t="str" cm="1">
        <f t="array" ref="M1159">choice(Referentiel!E:E,1,Settings!$B$16)</f>
        <v/>
      </c>
      <c r="N1159" s="5" t="str" cm="1">
        <f t="array" ref="N1159">choice(Settings!K:K,1,Settings!$B$16)</f>
        <v/>
      </c>
      <c r="P1159" s="5">
        <f t="shared" si="76"/>
        <v>2</v>
      </c>
    </row>
    <row r="1160" spans="1:16" ht="15.75" customHeight="1" x14ac:dyDescent="0.25">
      <c r="A1160" s="6" t="s">
        <v>1512</v>
      </c>
      <c r="B1160" s="6" cm="1">
        <f t="array" ref="B1160">alea_int(Settings!$B$10,1,Settings!$B$16)</f>
        <v>1</v>
      </c>
      <c r="C1160" s="8">
        <v>46023</v>
      </c>
      <c r="D1160" s="8">
        <f t="shared" si="73"/>
        <v>46387</v>
      </c>
      <c r="E1160" s="6" t="str" cm="1">
        <f t="array" ref="E1160">choice(Groupes!A:A,1,Settings!$B$16)</f>
        <v>G17</v>
      </c>
      <c r="F1160" s="6" t="str">
        <f t="shared" si="74"/>
        <v>G17</v>
      </c>
      <c r="G1160" s="6" t="str">
        <f t="shared" si="75"/>
        <v>Prof9</v>
      </c>
      <c r="H1160" s="6" t="str" cm="1">
        <f t="array" ref="H1160">choice(Referentiel!A:A,1,Settings!$B$16)</f>
        <v>Gr TERRITOIRES</v>
      </c>
      <c r="I1160" s="6" t="str" cm="1">
        <f t="array" ref="I1160">choice(Referentiel!B:B,1,Settings!$B$16)</f>
        <v>3ème année Image Imprimée S1</v>
      </c>
      <c r="J1160" s="6" t="str" cm="1">
        <f t="array" ref="J1160">choice(Referentiel!D:D,1,Settings!$B$16)</f>
        <v>L1</v>
      </c>
      <c r="K1160" s="6" t="str" cm="1">
        <f t="array" ref="K1160">choice(Professeurs!B:B,1,Settings!$B$16)</f>
        <v>Prof9</v>
      </c>
      <c r="L1160" s="5" t="str" cm="1">
        <f t="array" ref="L1160">choice(Referentiel!C:C,1,Settings!$B$16)</f>
        <v/>
      </c>
      <c r="M1160" s="5" t="str" cm="1">
        <f t="array" ref="M1160">choice(Referentiel!E:E,1,Settings!$B$16)</f>
        <v/>
      </c>
      <c r="N1160" s="5" t="str" cm="1">
        <f t="array" ref="N1160">choice(Settings!K:K,1,Settings!$B$16)</f>
        <v/>
      </c>
      <c r="P1160" s="5">
        <f t="shared" si="76"/>
        <v>1</v>
      </c>
    </row>
    <row r="1161" spans="1:16" ht="15.75" customHeight="1" x14ac:dyDescent="0.25">
      <c r="A1161" s="6" t="s">
        <v>1513</v>
      </c>
      <c r="B1161" s="6" cm="1">
        <f t="array" ref="B1161">alea_int(Settings!$B$10,1,Settings!$B$16)</f>
        <v>1</v>
      </c>
      <c r="C1161" s="8">
        <v>46023</v>
      </c>
      <c r="D1161" s="8">
        <f t="shared" si="73"/>
        <v>46387</v>
      </c>
      <c r="E1161" s="6" t="str" cm="1">
        <f t="array" ref="E1161">choice(Groupes!A:A,1,Settings!$B$16)</f>
        <v>G18</v>
      </c>
      <c r="F1161" s="6" t="str">
        <f t="shared" si="74"/>
        <v>G18</v>
      </c>
      <c r="G1161" s="6" t="str">
        <f t="shared" si="75"/>
        <v>Prof49</v>
      </c>
      <c r="H1161" s="6" t="str" cm="1">
        <f t="array" ref="H1161">choice(Referentiel!A:A,1,Settings!$B$16)</f>
        <v>Cinéma d'Animation</v>
      </c>
      <c r="I1161" s="6" t="str" cm="1">
        <f t="array" ref="I1161">choice(Referentiel!B:B,1,Settings!$B$16)</f>
        <v>4ème année Design Textile et Matière S1</v>
      </c>
      <c r="J1161" s="6" t="str" cm="1">
        <f t="array" ref="J1161">choice(Referentiel!D:D,1,Settings!$B$16)</f>
        <v>M2</v>
      </c>
      <c r="K1161" s="6" t="str" cm="1">
        <f t="array" ref="K1161">choice(Professeurs!B:B,1,Settings!$B$16)</f>
        <v>Prof49</v>
      </c>
      <c r="L1161" s="5" t="str" cm="1">
        <f t="array" ref="L1161">choice(Referentiel!C:C,1,Settings!$B$16)</f>
        <v/>
      </c>
      <c r="M1161" s="5" t="str" cm="1">
        <f t="array" ref="M1161">choice(Referentiel!E:E,1,Settings!$B$16)</f>
        <v/>
      </c>
      <c r="N1161" s="5" t="str" cm="1">
        <f t="array" ref="N1161">choice(Settings!K:K,1,Settings!$B$16)</f>
        <v/>
      </c>
      <c r="P1161" s="5">
        <f t="shared" si="76"/>
        <v>1</v>
      </c>
    </row>
    <row r="1162" spans="1:16" ht="15.75" customHeight="1" x14ac:dyDescent="0.25">
      <c r="A1162" s="6" t="s">
        <v>1514</v>
      </c>
      <c r="B1162" s="6" cm="1">
        <f t="array" ref="B1162">alea_int(Settings!$B$10,1,Settings!$B$16)</f>
        <v>3</v>
      </c>
      <c r="C1162" s="8">
        <v>46023</v>
      </c>
      <c r="D1162" s="8">
        <f t="shared" si="73"/>
        <v>46387</v>
      </c>
      <c r="E1162" s="6" t="str" cm="1">
        <f t="array" ref="E1162">choice(Groupes!A:A,1,Settings!$B$16)</f>
        <v>G6</v>
      </c>
      <c r="F1162" s="6" t="str">
        <f t="shared" si="74"/>
        <v>G6</v>
      </c>
      <c r="G1162" s="6" t="str">
        <f t="shared" si="75"/>
        <v>Prof20</v>
      </c>
      <c r="H1162" s="6" t="str" cm="1">
        <f t="array" ref="H1162">choice(Referentiel!A:A,1,Settings!$B$16)</f>
        <v>Gr SPATIAL MEDIA</v>
      </c>
      <c r="I1162" s="6" t="str" cm="1">
        <f t="array" ref="I1162">choice(Referentiel!B:B,1,Settings!$B$16)</f>
        <v>2ème année Architecture Intérieure S1</v>
      </c>
      <c r="J1162" s="6" t="str" cm="1">
        <f t="array" ref="J1162">choice(Referentiel!D:D,1,Settings!$B$16)</f>
        <v>L3</v>
      </c>
      <c r="K1162" s="6" t="str" cm="1">
        <f t="array" ref="K1162">choice(Professeurs!B:B,1,Settings!$B$16)</f>
        <v>Prof20</v>
      </c>
      <c r="L1162" s="5" t="str" cm="1">
        <f t="array" ref="L1162">choice(Referentiel!C:C,1,Settings!$B$16)</f>
        <v/>
      </c>
      <c r="M1162" s="5" t="str" cm="1">
        <f t="array" ref="M1162">choice(Referentiel!E:E,1,Settings!$B$16)</f>
        <v/>
      </c>
      <c r="N1162" s="5" t="str" cm="1">
        <f t="array" ref="N1162">choice(Settings!K:K,1,Settings!$B$16)</f>
        <v/>
      </c>
      <c r="P1162" s="5">
        <f t="shared" si="76"/>
        <v>3</v>
      </c>
    </row>
    <row r="1163" spans="1:16" ht="15.75" customHeight="1" x14ac:dyDescent="0.25">
      <c r="A1163" s="6" t="s">
        <v>1515</v>
      </c>
      <c r="B1163" s="6" cm="1">
        <f t="array" ref="B1163">alea_int(Settings!$B$10,1,Settings!$B$16)</f>
        <v>3</v>
      </c>
      <c r="C1163" s="8">
        <v>46023</v>
      </c>
      <c r="D1163" s="8">
        <f t="shared" si="73"/>
        <v>46387</v>
      </c>
      <c r="E1163" s="6" t="str" cm="1">
        <f t="array" ref="E1163">choice(Groupes!A:A,1,Settings!$B$16)</f>
        <v>G24</v>
      </c>
      <c r="F1163" s="6" t="str">
        <f t="shared" si="74"/>
        <v>G24</v>
      </c>
      <c r="G1163" s="6" t="str">
        <f t="shared" si="75"/>
        <v>Prof43</v>
      </c>
      <c r="H1163" s="6" t="str" cm="1">
        <f t="array" ref="H1163">choice(Referentiel!A:A,1,Settings!$B$16)</f>
        <v>Design des mondes forestiers</v>
      </c>
      <c r="I1163" s="6" t="str" cm="1">
        <f t="array" ref="I1163">choice(Referentiel!B:B,1,Settings!$B$16)</f>
        <v>3ème année Photo / Vidéo S1</v>
      </c>
      <c r="J1163" s="6" t="str" cm="1">
        <f t="array" ref="J1163">choice(Referentiel!D:D,1,Settings!$B$16)</f>
        <v>M1</v>
      </c>
      <c r="K1163" s="6" t="str" cm="1">
        <f t="array" ref="K1163">choice(Professeurs!B:B,1,Settings!$B$16)</f>
        <v>Prof43</v>
      </c>
      <c r="L1163" s="5" t="str" cm="1">
        <f t="array" ref="L1163">choice(Referentiel!C:C,1,Settings!$B$16)</f>
        <v/>
      </c>
      <c r="M1163" s="5" t="str" cm="1">
        <f t="array" ref="M1163">choice(Referentiel!E:E,1,Settings!$B$16)</f>
        <v/>
      </c>
      <c r="N1163" s="5" t="str" cm="1">
        <f t="array" ref="N1163">choice(Settings!K:K,1,Settings!$B$16)</f>
        <v/>
      </c>
      <c r="P1163" s="5">
        <f t="shared" si="76"/>
        <v>3</v>
      </c>
    </row>
    <row r="1164" spans="1:16" ht="15.75" customHeight="1" x14ac:dyDescent="0.25">
      <c r="A1164" s="6" t="s">
        <v>1516</v>
      </c>
      <c r="B1164" s="6" cm="1">
        <f t="array" ref="B1164">alea_int(Settings!$B$10,1,Settings!$B$16)</f>
        <v>1</v>
      </c>
      <c r="C1164" s="8">
        <v>46023</v>
      </c>
      <c r="D1164" s="8">
        <f t="shared" si="73"/>
        <v>46387</v>
      </c>
      <c r="E1164" s="6" t="str" cm="1">
        <f t="array" ref="E1164">choice(Groupes!A:A,1,Settings!$B$16)</f>
        <v>G29</v>
      </c>
      <c r="F1164" s="6" t="str">
        <f t="shared" si="74"/>
        <v>G29</v>
      </c>
      <c r="G1164" s="6" t="str">
        <f t="shared" si="75"/>
        <v>Prof15</v>
      </c>
      <c r="H1164" s="6" t="str" cm="1">
        <f t="array" ref="H1164">choice(Referentiel!A:A,1,Settings!$B$16)</f>
        <v>Gr SYMBIOSE</v>
      </c>
      <c r="I1164" s="6" t="str" cm="1">
        <f t="array" ref="I1164">choice(Referentiel!B:B,1,Settings!$B$16)</f>
        <v>4ème année Photo / Vidéo S1</v>
      </c>
      <c r="J1164" s="6" t="str" cm="1">
        <f t="array" ref="J1164">choice(Referentiel!D:D,1,Settings!$B$16)</f>
        <v>M2</v>
      </c>
      <c r="K1164" s="6" t="str" cm="1">
        <f t="array" ref="K1164">choice(Professeurs!B:B,1,Settings!$B$16)</f>
        <v>Prof15</v>
      </c>
      <c r="L1164" s="5" t="str" cm="1">
        <f t="array" ref="L1164">choice(Referentiel!C:C,1,Settings!$B$16)</f>
        <v/>
      </c>
      <c r="M1164" s="5" t="str" cm="1">
        <f t="array" ref="M1164">choice(Referentiel!E:E,1,Settings!$B$16)</f>
        <v/>
      </c>
      <c r="N1164" s="5" t="str" cm="1">
        <f t="array" ref="N1164">choice(Settings!K:K,1,Settings!$B$16)</f>
        <v>vendredi pm</v>
      </c>
      <c r="P1164" s="5">
        <f t="shared" si="76"/>
        <v>3</v>
      </c>
    </row>
    <row r="1165" spans="1:16" ht="15.75" customHeight="1" x14ac:dyDescent="0.25">
      <c r="A1165" s="6" t="s">
        <v>1517</v>
      </c>
      <c r="B1165" s="6" cm="1">
        <f t="array" ref="B1165">alea_int(Settings!$B$10,1,Settings!$B$16)</f>
        <v>1</v>
      </c>
      <c r="C1165" s="8">
        <v>46023</v>
      </c>
      <c r="D1165" s="8">
        <f t="shared" si="73"/>
        <v>46387</v>
      </c>
      <c r="E1165" s="6" t="str" cm="1">
        <f t="array" ref="E1165">choice(Groupes!A:A,1,Settings!$B$16)</f>
        <v>G20</v>
      </c>
      <c r="F1165" s="6" t="str">
        <f t="shared" si="74"/>
        <v>G20</v>
      </c>
      <c r="G1165" s="6" t="str">
        <f t="shared" si="75"/>
        <v>Prof39</v>
      </c>
      <c r="H1165" s="6" t="str" cm="1">
        <f t="array" ref="H1165">choice(Referentiel!A:A,1,Settings!$B$16)</f>
        <v>Gr SOFT MATTERS</v>
      </c>
      <c r="I1165" s="6" t="str" cm="1">
        <f t="array" ref="I1165">choice(Referentiel!B:B,1,Settings!$B$16)</f>
        <v>2ème année Design Textile et Matière S2</v>
      </c>
      <c r="J1165" s="6" t="str" cm="1">
        <f t="array" ref="J1165">choice(Referentiel!D:D,1,Settings!$B$16)</f>
        <v>M1</v>
      </c>
      <c r="K1165" s="6" t="str" cm="1">
        <f t="array" ref="K1165">choice(Professeurs!B:B,1,Settings!$B$16)</f>
        <v>Prof39</v>
      </c>
      <c r="L1165" s="5" t="str" cm="1">
        <f t="array" ref="L1165">choice(Referentiel!C:C,1,Settings!$B$16)</f>
        <v/>
      </c>
      <c r="M1165" s="5" t="str" cm="1">
        <f t="array" ref="M1165">choice(Referentiel!E:E,1,Settings!$B$16)</f>
        <v/>
      </c>
      <c r="N1165" s="5" t="str" cm="1">
        <f t="array" ref="N1165">choice(Settings!K:K,1,Settings!$B$16)</f>
        <v/>
      </c>
      <c r="P1165" s="5">
        <f t="shared" si="76"/>
        <v>1</v>
      </c>
    </row>
    <row r="1166" spans="1:16" ht="15.75" customHeight="1" x14ac:dyDescent="0.25">
      <c r="A1166" s="6" t="s">
        <v>1518</v>
      </c>
      <c r="B1166" s="6" cm="1">
        <f t="array" ref="B1166">alea_int(Settings!$B$10,1,Settings!$B$16)</f>
        <v>3</v>
      </c>
      <c r="C1166" s="8">
        <v>46023</v>
      </c>
      <c r="D1166" s="8">
        <f t="shared" si="73"/>
        <v>46387</v>
      </c>
      <c r="E1166" s="6" t="str" cm="1">
        <f t="array" ref="E1166">choice(Groupes!A:A,1,Settings!$B$16)</f>
        <v>G12</v>
      </c>
      <c r="F1166" s="6" t="str">
        <f t="shared" si="74"/>
        <v>G12</v>
      </c>
      <c r="G1166" s="6" t="str">
        <f t="shared" si="75"/>
        <v>Prof19</v>
      </c>
      <c r="H1166" s="6" t="str" cm="1">
        <f t="array" ref="H1166">choice(Referentiel!A:A,1,Settings!$B$16)</f>
        <v>Design des mondes urbains</v>
      </c>
      <c r="I1166" s="6" t="str" cm="1">
        <f t="array" ref="I1166">choice(Referentiel!B:B,1,Settings!$B$16)</f>
        <v>2ème année Design Objet S2</v>
      </c>
      <c r="J1166" s="6" t="str" cm="1">
        <f t="array" ref="J1166">choice(Referentiel!D:D,1,Settings!$B$16)</f>
        <v>M1</v>
      </c>
      <c r="K1166" s="6" t="str" cm="1">
        <f t="array" ref="K1166">choice(Professeurs!B:B,1,Settings!$B$16)</f>
        <v>Prof19</v>
      </c>
      <c r="L1166" s="5" t="str" cm="1">
        <f t="array" ref="L1166">choice(Referentiel!C:C,1,Settings!$B$16)</f>
        <v/>
      </c>
      <c r="M1166" s="5" t="str" cm="1">
        <f t="array" ref="M1166">choice(Referentiel!E:E,1,Settings!$B$16)</f>
        <v/>
      </c>
      <c r="N1166" s="5" t="str" cm="1">
        <f t="array" ref="N1166">choice(Settings!K:K,1,Settings!$B$16)</f>
        <v/>
      </c>
      <c r="P1166" s="5">
        <f t="shared" si="76"/>
        <v>3</v>
      </c>
    </row>
    <row r="1167" spans="1:16" ht="15.75" customHeight="1" x14ac:dyDescent="0.25">
      <c r="A1167" s="6" t="s">
        <v>1519</v>
      </c>
      <c r="B1167" s="6" cm="1">
        <f t="array" ref="B1167">alea_int(Settings!$B$10,1,Settings!$B$16)</f>
        <v>3</v>
      </c>
      <c r="C1167" s="8">
        <v>46023</v>
      </c>
      <c r="D1167" s="8">
        <f t="shared" si="73"/>
        <v>46387</v>
      </c>
      <c r="E1167" s="6" t="str" cm="1">
        <f t="array" ref="E1167">choice(Groupes!A:A,1,Settings!$B$16)</f>
        <v>G25</v>
      </c>
      <c r="F1167" s="6" t="str">
        <f t="shared" si="74"/>
        <v>G25</v>
      </c>
      <c r="G1167" s="6" t="str">
        <f t="shared" si="75"/>
        <v>Prof49</v>
      </c>
      <c r="H1167" s="6" t="str" cm="1">
        <f t="array" ref="H1167">choice(Referentiel!A:A,1,Settings!$B$16)</f>
        <v>Design Graphique</v>
      </c>
      <c r="I1167" s="6" t="str" cm="1">
        <f t="array" ref="I1167">choice(Referentiel!B:B,1,Settings!$B$16)</f>
        <v>3ème année Architecture Intérieure S2</v>
      </c>
      <c r="J1167" s="6" t="str" cm="1">
        <f t="array" ref="J1167">choice(Referentiel!D:D,1,Settings!$B$16)</f>
        <v>M2</v>
      </c>
      <c r="K1167" s="6" t="str" cm="1">
        <f t="array" ref="K1167">choice(Professeurs!B:B,1,Settings!$B$16)</f>
        <v>Prof49</v>
      </c>
      <c r="L1167" s="5" t="str" cm="1">
        <f t="array" ref="L1167">choice(Referentiel!C:C,1,Settings!$B$16)</f>
        <v/>
      </c>
      <c r="M1167" s="5" t="str" cm="1">
        <f t="array" ref="M1167">choice(Referentiel!E:E,1,Settings!$B$16)</f>
        <v/>
      </c>
      <c r="N1167" s="5" t="str" cm="1">
        <f t="array" ref="N1167">choice(Settings!K:K,1,Settings!$B$16)</f>
        <v/>
      </c>
      <c r="P1167" s="5">
        <f t="shared" si="76"/>
        <v>3</v>
      </c>
    </row>
    <row r="1168" spans="1:16" ht="15.75" customHeight="1" x14ac:dyDescent="0.25">
      <c r="A1168" s="6" t="s">
        <v>1520</v>
      </c>
      <c r="B1168" s="6" cm="1">
        <f t="array" ref="B1168">alea_int(Settings!$B$10,1,Settings!$B$16)</f>
        <v>2</v>
      </c>
      <c r="C1168" s="8">
        <v>46023</v>
      </c>
      <c r="D1168" s="8">
        <f t="shared" si="73"/>
        <v>46387</v>
      </c>
      <c r="E1168" s="6" t="str" cm="1">
        <f t="array" ref="E1168">choice(Groupes!A:A,1,Settings!$B$16)</f>
        <v>G4</v>
      </c>
      <c r="F1168" s="6" t="str">
        <f t="shared" si="74"/>
        <v>G4</v>
      </c>
      <c r="G1168" s="6" t="str">
        <f t="shared" si="75"/>
        <v>Prof4</v>
      </c>
      <c r="H1168" s="6" t="str" cm="1">
        <f t="array" ref="H1168">choice(Referentiel!A:A,1,Settings!$B$16)</f>
        <v>Image Imprimée</v>
      </c>
      <c r="I1168" s="6" t="str" cm="1">
        <f t="array" ref="I1168">choice(Referentiel!B:B,1,Settings!$B$16)</f>
        <v>3ème année Photo / Vidéo S1</v>
      </c>
      <c r="J1168" s="6" t="str" cm="1">
        <f t="array" ref="J1168">choice(Referentiel!D:D,1,Settings!$B$16)</f>
        <v>M2</v>
      </c>
      <c r="K1168" s="6" t="str" cm="1">
        <f t="array" ref="K1168">choice(Professeurs!B:B,1,Settings!$B$16)</f>
        <v>Prof4</v>
      </c>
      <c r="L1168" s="5" t="str" cm="1">
        <f t="array" ref="L1168">choice(Referentiel!C:C,1,Settings!$B$16)</f>
        <v/>
      </c>
      <c r="M1168" s="5" t="str" cm="1">
        <f t="array" ref="M1168">choice(Referentiel!E:E,1,Settings!$B$16)</f>
        <v/>
      </c>
      <c r="N1168" s="5" t="str" cm="1">
        <f t="array" ref="N1168">choice(Settings!K:K,1,Settings!$B$16)</f>
        <v/>
      </c>
      <c r="P1168" s="5">
        <f t="shared" si="76"/>
        <v>2</v>
      </c>
    </row>
    <row r="1169" spans="1:16" ht="15.75" customHeight="1" x14ac:dyDescent="0.25">
      <c r="A1169" s="6" t="s">
        <v>1521</v>
      </c>
      <c r="B1169" s="6" cm="1">
        <f t="array" ref="B1169">alea_int(Settings!$B$10,1,Settings!$B$16)</f>
        <v>1</v>
      </c>
      <c r="C1169" s="8">
        <v>46023</v>
      </c>
      <c r="D1169" s="8">
        <f t="shared" si="73"/>
        <v>46387</v>
      </c>
      <c r="E1169" s="6" t="str" cm="1">
        <f t="array" ref="E1169">choice(Groupes!A:A,1,Settings!$B$16)</f>
        <v>G30</v>
      </c>
      <c r="F1169" s="6" t="str">
        <f t="shared" si="74"/>
        <v>G30</v>
      </c>
      <c r="G1169" s="6" t="str">
        <f t="shared" si="75"/>
        <v>Prof44</v>
      </c>
      <c r="H1169" s="6" t="str" cm="1">
        <f t="array" ref="H1169">choice(Referentiel!A:A,1,Settings!$B$16)</f>
        <v>Gr SOFT MATTERS</v>
      </c>
      <c r="I1169" s="6" t="str" cm="1">
        <f t="array" ref="I1169">choice(Referentiel!B:B,1,Settings!$B$16)</f>
        <v>4ème année Design Textile et Matière S2</v>
      </c>
      <c r="J1169" s="6" t="str" cm="1">
        <f t="array" ref="J1169">choice(Referentiel!D:D,1,Settings!$B$16)</f>
        <v>L2</v>
      </c>
      <c r="K1169" s="6" t="str" cm="1">
        <f t="array" ref="K1169">choice(Professeurs!B:B,1,Settings!$B$16)</f>
        <v>Prof44</v>
      </c>
      <c r="L1169" s="5" t="str" cm="1">
        <f t="array" ref="L1169">choice(Referentiel!C:C,1,Settings!$B$16)</f>
        <v/>
      </c>
      <c r="M1169" s="5" t="str" cm="1">
        <f t="array" ref="M1169">choice(Referentiel!E:E,1,Settings!$B$16)</f>
        <v/>
      </c>
      <c r="N1169" s="5" t="str" cm="1">
        <f t="array" ref="N1169">choice(Settings!K:K,1,Settings!$B$16)</f>
        <v/>
      </c>
      <c r="P1169" s="5">
        <f t="shared" si="76"/>
        <v>1</v>
      </c>
    </row>
    <row r="1170" spans="1:16" ht="15.75" customHeight="1" x14ac:dyDescent="0.25">
      <c r="A1170" s="6" t="s">
        <v>1522</v>
      </c>
      <c r="B1170" s="6" cm="1">
        <f t="array" ref="B1170">alea_int(Settings!$B$10,1,Settings!$B$16)</f>
        <v>2</v>
      </c>
      <c r="C1170" s="8">
        <v>46023</v>
      </c>
      <c r="D1170" s="8">
        <f t="shared" si="73"/>
        <v>46387</v>
      </c>
      <c r="E1170" s="6" t="str" cm="1">
        <f t="array" ref="E1170">choice(Groupes!A:A,1,Settings!$B$16)</f>
        <v>G9</v>
      </c>
      <c r="F1170" s="6" t="str">
        <f t="shared" si="74"/>
        <v>G9</v>
      </c>
      <c r="G1170" s="6" t="str">
        <f t="shared" si="75"/>
        <v>Prof14</v>
      </c>
      <c r="H1170" s="6" t="str" cm="1">
        <f t="array" ref="H1170">choice(Referentiel!A:A,1,Settings!$B$16)</f>
        <v>Design des mondes insulaires</v>
      </c>
      <c r="I1170" s="6" t="str" cm="1">
        <f t="array" ref="I1170">choice(Referentiel!B:B,1,Settings!$B$16)</f>
        <v>2ème année Design Objet S1</v>
      </c>
      <c r="J1170" s="6" t="str" cm="1">
        <f t="array" ref="J1170">choice(Referentiel!D:D,1,Settings!$B$16)</f>
        <v>M1</v>
      </c>
      <c r="K1170" s="6" t="str" cm="1">
        <f t="array" ref="K1170">choice(Professeurs!B:B,1,Settings!$B$16)</f>
        <v>Prof14</v>
      </c>
      <c r="L1170" s="5" t="str" cm="1">
        <f t="array" ref="L1170">choice(Referentiel!C:C,1,Settings!$B$16)</f>
        <v/>
      </c>
      <c r="M1170" s="5" t="str" cm="1">
        <f t="array" ref="M1170">choice(Referentiel!E:E,1,Settings!$B$16)</f>
        <v>Salle14</v>
      </c>
      <c r="N1170" s="5" t="str" cm="1">
        <f t="array" ref="N1170">choice(Settings!K:K,1,Settings!$B$16)</f>
        <v/>
      </c>
      <c r="P1170" s="5">
        <f t="shared" si="76"/>
        <v>4</v>
      </c>
    </row>
    <row r="1171" spans="1:16" ht="15.75" customHeight="1" x14ac:dyDescent="0.25">
      <c r="A1171" s="6" t="s">
        <v>1523</v>
      </c>
      <c r="B1171" s="6" cm="1">
        <f t="array" ref="B1171">alea_int(Settings!$B$10,1,Settings!$B$16)</f>
        <v>3</v>
      </c>
      <c r="C1171" s="8">
        <v>46023</v>
      </c>
      <c r="D1171" s="8">
        <f t="shared" si="73"/>
        <v>46387</v>
      </c>
      <c r="E1171" s="6" t="str" cm="1">
        <f t="array" ref="E1171">choice(Groupes!A:A,1,Settings!$B$16)</f>
        <v>G8</v>
      </c>
      <c r="F1171" s="6" t="str">
        <f t="shared" si="74"/>
        <v>G8</v>
      </c>
      <c r="G1171" s="6" t="str">
        <f t="shared" si="75"/>
        <v>Prof25</v>
      </c>
      <c r="H1171" s="6" t="str" cm="1">
        <f t="array" ref="H1171">choice(Referentiel!A:A,1,Settings!$B$16)</f>
        <v>Design Vêtement</v>
      </c>
      <c r="I1171" s="6" t="str" cm="1">
        <f t="array" ref="I1171">choice(Referentiel!B:B,1,Settings!$B$16)</f>
        <v>5ème année Image Imprimée S1</v>
      </c>
      <c r="J1171" s="6" t="str" cm="1">
        <f t="array" ref="J1171">choice(Referentiel!D:D,1,Settings!$B$16)</f>
        <v>M2</v>
      </c>
      <c r="K1171" s="6" t="str" cm="1">
        <f t="array" ref="K1171">choice(Professeurs!B:B,1,Settings!$B$16)</f>
        <v>Prof25</v>
      </c>
      <c r="L1171" s="5" t="str" cm="1">
        <f t="array" ref="L1171">choice(Referentiel!C:C,1,Settings!$B$16)</f>
        <v/>
      </c>
      <c r="M1171" s="5" t="str" cm="1">
        <f t="array" ref="M1171">choice(Referentiel!E:E,1,Settings!$B$16)</f>
        <v/>
      </c>
      <c r="N1171" s="5" t="str" cm="1">
        <f t="array" ref="N1171">choice(Settings!K:K,1,Settings!$B$16)</f>
        <v/>
      </c>
      <c r="P1171" s="5">
        <f t="shared" si="76"/>
        <v>3</v>
      </c>
    </row>
    <row r="1172" spans="1:16" ht="15.75" customHeight="1" x14ac:dyDescent="0.25">
      <c r="A1172" s="6" t="s">
        <v>1524</v>
      </c>
      <c r="B1172" s="6" cm="1">
        <f t="array" ref="B1172">alea_int(Settings!$B$10,1,Settings!$B$16)</f>
        <v>2</v>
      </c>
      <c r="C1172" s="8">
        <v>46023</v>
      </c>
      <c r="D1172" s="8">
        <f t="shared" si="73"/>
        <v>46387</v>
      </c>
      <c r="E1172" s="6" t="str" cm="1">
        <f t="array" ref="E1172">choice(Groupes!A:A,1,Settings!$B$16)</f>
        <v>G15</v>
      </c>
      <c r="F1172" s="6" t="str">
        <f t="shared" si="74"/>
        <v>G15</v>
      </c>
      <c r="G1172" s="6" t="str">
        <f t="shared" si="75"/>
        <v>Prof22</v>
      </c>
      <c r="H1172" s="6" t="str" cm="1">
        <f t="array" ref="H1172">choice(Referentiel!A:A,1,Settings!$B$16)</f>
        <v>Design des mondes forestiers</v>
      </c>
      <c r="I1172" s="6" t="str" cm="1">
        <f t="array" ref="I1172">choice(Referentiel!B:B,1,Settings!$B$16)</f>
        <v>4ème année Design Objet S1</v>
      </c>
      <c r="J1172" s="6" t="str" cm="1">
        <f t="array" ref="J1172">choice(Referentiel!D:D,1,Settings!$B$16)</f>
        <v>M1</v>
      </c>
      <c r="K1172" s="6" t="str" cm="1">
        <f t="array" ref="K1172">choice(Professeurs!B:B,1,Settings!$B$16)</f>
        <v>Prof22</v>
      </c>
      <c r="L1172" s="5" t="str" cm="1">
        <f t="array" ref="L1172">choice(Referentiel!C:C,1,Settings!$B$16)</f>
        <v/>
      </c>
      <c r="M1172" s="5" t="str" cm="1">
        <f t="array" ref="M1172">choice(Referentiel!E:E,1,Settings!$B$16)</f>
        <v/>
      </c>
      <c r="N1172" s="5" t="str" cm="1">
        <f t="array" ref="N1172">choice(Settings!K:K,1,Settings!$B$16)</f>
        <v/>
      </c>
      <c r="P1172" s="5">
        <f t="shared" si="76"/>
        <v>2</v>
      </c>
    </row>
    <row r="1173" spans="1:16" ht="15.75" customHeight="1" x14ac:dyDescent="0.25">
      <c r="A1173" s="6" t="s">
        <v>1525</v>
      </c>
      <c r="B1173" s="6" cm="1">
        <f t="array" ref="B1173">alea_int(Settings!$B$10,1,Settings!$B$16)</f>
        <v>2</v>
      </c>
      <c r="C1173" s="8">
        <v>46023</v>
      </c>
      <c r="D1173" s="8">
        <f t="shared" si="73"/>
        <v>46387</v>
      </c>
      <c r="E1173" s="6" t="str" cm="1">
        <f t="array" ref="E1173">choice(Groupes!A:A,1,Settings!$B$16)</f>
        <v>G19</v>
      </c>
      <c r="F1173" s="6" t="str">
        <f t="shared" si="74"/>
        <v>G19</v>
      </c>
      <c r="G1173" s="6" t="str">
        <f t="shared" si="75"/>
        <v>Prof11</v>
      </c>
      <c r="H1173" s="6" t="str" cm="1">
        <f t="array" ref="H1173">choice(Referentiel!A:A,1,Settings!$B$16)</f>
        <v>6ème année atelier</v>
      </c>
      <c r="I1173" s="6" t="str" cm="1">
        <f t="array" ref="I1173">choice(Referentiel!B:B,1,Settings!$B$16)</f>
        <v>4ème année Scénographie S1</v>
      </c>
      <c r="J1173" s="6" t="str" cm="1">
        <f t="array" ref="J1173">choice(Referentiel!D:D,1,Settings!$B$16)</f>
        <v>L2</v>
      </c>
      <c r="K1173" s="6" t="str" cm="1">
        <f t="array" ref="K1173">choice(Professeurs!B:B,1,Settings!$B$16)</f>
        <v>Prof11</v>
      </c>
      <c r="L1173" s="5" t="str" cm="1">
        <f t="array" ref="L1173">choice(Referentiel!C:C,1,Settings!$B$16)</f>
        <v/>
      </c>
      <c r="M1173" s="5" t="str" cm="1">
        <f t="array" ref="M1173">choice(Referentiel!E:E,1,Settings!$B$16)</f>
        <v/>
      </c>
      <c r="N1173" s="5" t="str" cm="1">
        <f t="array" ref="N1173">choice(Settings!K:K,1,Settings!$B$16)</f>
        <v/>
      </c>
      <c r="P1173" s="5">
        <f t="shared" si="76"/>
        <v>2</v>
      </c>
    </row>
    <row r="1174" spans="1:16" ht="15.75" customHeight="1" x14ac:dyDescent="0.25">
      <c r="A1174" s="6" t="s">
        <v>1526</v>
      </c>
      <c r="B1174" s="6" cm="1">
        <f t="array" ref="B1174">alea_int(Settings!$B$10,1,Settings!$B$16)</f>
        <v>1</v>
      </c>
      <c r="C1174" s="8">
        <v>46023</v>
      </c>
      <c r="D1174" s="8">
        <f t="shared" si="73"/>
        <v>46387</v>
      </c>
      <c r="E1174" s="6" t="str" cm="1">
        <f t="array" ref="E1174">choice(Groupes!A:A,1,Settings!$B$16)</f>
        <v>G9</v>
      </c>
      <c r="F1174" s="6" t="str">
        <f t="shared" si="74"/>
        <v>G9</v>
      </c>
      <c r="G1174" s="6" t="str">
        <f t="shared" si="75"/>
        <v>Prof3</v>
      </c>
      <c r="H1174" s="6" t="str" cm="1">
        <f t="array" ref="H1174">choice(Referentiel!A:A,1,Settings!$B$16)</f>
        <v>Gr SYMBIOSE</v>
      </c>
      <c r="I1174" s="6" t="str" cm="1">
        <f t="array" ref="I1174">choice(Referentiel!B:B,1,Settings!$B$16)</f>
        <v>1ère Année Groupe 3 S1</v>
      </c>
      <c r="J1174" s="6" t="str" cm="1">
        <f t="array" ref="J1174">choice(Referentiel!D:D,1,Settings!$B$16)</f>
        <v>M2</v>
      </c>
      <c r="K1174" s="6" t="str" cm="1">
        <f t="array" ref="K1174">choice(Professeurs!B:B,1,Settings!$B$16)</f>
        <v>Prof3</v>
      </c>
      <c r="L1174" s="5" t="str" cm="1">
        <f t="array" ref="L1174">choice(Referentiel!C:C,1,Settings!$B$16)</f>
        <v/>
      </c>
      <c r="M1174" s="5" t="str" cm="1">
        <f t="array" ref="M1174">choice(Referentiel!E:E,1,Settings!$B$16)</f>
        <v/>
      </c>
      <c r="N1174" s="5" t="str" cm="1">
        <f t="array" ref="N1174">choice(Settings!K:K,1,Settings!$B$16)</f>
        <v/>
      </c>
      <c r="P1174" s="5">
        <f t="shared" si="76"/>
        <v>1</v>
      </c>
    </row>
    <row r="1175" spans="1:16" ht="15.75" customHeight="1" x14ac:dyDescent="0.25">
      <c r="A1175" s="6" t="s">
        <v>1527</v>
      </c>
      <c r="B1175" s="6" cm="1">
        <f t="array" ref="B1175">alea_int(Settings!$B$10,1,Settings!$B$16)</f>
        <v>3</v>
      </c>
      <c r="C1175" s="8">
        <v>46023</v>
      </c>
      <c r="D1175" s="8">
        <f t="shared" si="73"/>
        <v>46387</v>
      </c>
      <c r="E1175" s="6" t="str" cm="1">
        <f t="array" ref="E1175">choice(Groupes!A:A,1,Settings!$B$16)</f>
        <v>G3</v>
      </c>
      <c r="F1175" s="6" t="str">
        <f t="shared" si="74"/>
        <v>G3</v>
      </c>
      <c r="G1175" s="6" t="str">
        <f t="shared" si="75"/>
        <v>Prof32</v>
      </c>
      <c r="H1175" s="6" t="str" cm="1">
        <f t="array" ref="H1175">choice(Referentiel!A:A,1,Settings!$B$16)</f>
        <v>Design Vêtement</v>
      </c>
      <c r="I1175" s="6" t="str" cm="1">
        <f t="array" ref="I1175">choice(Referentiel!B:B,1,Settings!$B$16)</f>
        <v>3ème année Design Vêtement S2</v>
      </c>
      <c r="J1175" s="6" t="str" cm="1">
        <f t="array" ref="J1175">choice(Referentiel!D:D,1,Settings!$B$16)</f>
        <v>M2</v>
      </c>
      <c r="K1175" s="6" t="str" cm="1">
        <f t="array" ref="K1175">choice(Professeurs!B:B,1,Settings!$B$16)</f>
        <v>Prof32</v>
      </c>
      <c r="L1175" s="5" t="str" cm="1">
        <f t="array" ref="L1175">choice(Referentiel!C:C,1,Settings!$B$16)</f>
        <v/>
      </c>
      <c r="M1175" s="5" t="str" cm="1">
        <f t="array" ref="M1175">choice(Referentiel!E:E,1,Settings!$B$16)</f>
        <v/>
      </c>
      <c r="N1175" s="5" t="str" cm="1">
        <f t="array" ref="N1175">choice(Settings!K:K,1,Settings!$B$16)</f>
        <v>jeudi am</v>
      </c>
      <c r="P1175" s="5">
        <f t="shared" si="76"/>
        <v>5</v>
      </c>
    </row>
    <row r="1176" spans="1:16" ht="15.75" customHeight="1" x14ac:dyDescent="0.25">
      <c r="A1176" s="6" t="s">
        <v>1528</v>
      </c>
      <c r="B1176" s="6" cm="1">
        <f t="array" ref="B1176">alea_int(Settings!$B$10,1,Settings!$B$16)</f>
        <v>1</v>
      </c>
      <c r="C1176" s="8">
        <v>46023</v>
      </c>
      <c r="D1176" s="8">
        <f t="shared" si="73"/>
        <v>46387</v>
      </c>
      <c r="E1176" s="6" t="str" cm="1">
        <f t="array" ref="E1176">choice(Groupes!A:A,1,Settings!$B$16)</f>
        <v>G26</v>
      </c>
      <c r="F1176" s="6" t="str">
        <f t="shared" si="74"/>
        <v>G26</v>
      </c>
      <c r="G1176" s="6" t="str">
        <f t="shared" si="75"/>
        <v>Prof50</v>
      </c>
      <c r="H1176" s="6" t="str" cm="1">
        <f t="array" ref="H1176">choice(Referentiel!A:A,1,Settings!$B$16)</f>
        <v>Scénographie</v>
      </c>
      <c r="I1176" s="6" t="str" cm="1">
        <f t="array" ref="I1176">choice(Referentiel!B:B,1,Settings!$B$16)</f>
        <v>4ème année Design Graphique S2</v>
      </c>
      <c r="J1176" s="6" t="str" cm="1">
        <f t="array" ref="J1176">choice(Referentiel!D:D,1,Settings!$B$16)</f>
        <v>L1</v>
      </c>
      <c r="K1176" s="6" t="str" cm="1">
        <f t="array" ref="K1176">choice(Professeurs!B:B,1,Settings!$B$16)</f>
        <v>Prof50</v>
      </c>
      <c r="L1176" s="5" t="str" cm="1">
        <f t="array" ref="L1176">choice(Referentiel!C:C,1,Settings!$B$16)</f>
        <v/>
      </c>
      <c r="M1176" s="5" t="str" cm="1">
        <f t="array" ref="M1176">choice(Referentiel!E:E,1,Settings!$B$16)</f>
        <v/>
      </c>
      <c r="N1176" s="5" t="str" cm="1">
        <f t="array" ref="N1176">choice(Settings!K:K,1,Settings!$B$16)</f>
        <v>lundi am</v>
      </c>
      <c r="P1176" s="5">
        <f t="shared" si="76"/>
        <v>3</v>
      </c>
    </row>
    <row r="1177" spans="1:16" ht="15.75" customHeight="1" x14ac:dyDescent="0.25">
      <c r="A1177" s="6" t="s">
        <v>1529</v>
      </c>
      <c r="B1177" s="6" cm="1">
        <f t="array" ref="B1177">alea_int(Settings!$B$10,1,Settings!$B$16)</f>
        <v>1</v>
      </c>
      <c r="C1177" s="8">
        <v>46023</v>
      </c>
      <c r="D1177" s="8">
        <f t="shared" si="73"/>
        <v>46387</v>
      </c>
      <c r="E1177" s="6" t="str" cm="1">
        <f t="array" ref="E1177">choice(Groupes!A:A,1,Settings!$B$16)</f>
        <v>G23</v>
      </c>
      <c r="F1177" s="6" t="str">
        <f t="shared" si="74"/>
        <v>G23</v>
      </c>
      <c r="G1177" s="6" t="str">
        <f t="shared" si="75"/>
        <v>Prof34</v>
      </c>
      <c r="H1177" s="6" t="str" cm="1">
        <f t="array" ref="H1177">choice(Referentiel!A:A,1,Settings!$B$16)</f>
        <v>Design Vêtement</v>
      </c>
      <c r="I1177" s="6" t="str" cm="1">
        <f t="array" ref="I1177">choice(Referentiel!B:B,1,Settings!$B$16)</f>
        <v>3ème année Cinéma d'Animation S2</v>
      </c>
      <c r="J1177" s="6" t="str" cm="1">
        <f t="array" ref="J1177">choice(Referentiel!D:D,1,Settings!$B$16)</f>
        <v>L1</v>
      </c>
      <c r="K1177" s="6" t="str" cm="1">
        <f t="array" ref="K1177">choice(Professeurs!B:B,1,Settings!$B$16)</f>
        <v>Prof34</v>
      </c>
      <c r="L1177" s="5" t="str" cm="1">
        <f t="array" ref="L1177">choice(Referentiel!C:C,1,Settings!$B$16)</f>
        <v/>
      </c>
      <c r="M1177" s="5" t="str" cm="1">
        <f t="array" ref="M1177">choice(Referentiel!E:E,1,Settings!$B$16)</f>
        <v/>
      </c>
      <c r="N1177" s="5" t="str" cm="1">
        <f t="array" ref="N1177">choice(Settings!K:K,1,Settings!$B$16)</f>
        <v>jeudi pm</v>
      </c>
      <c r="P1177" s="5">
        <f t="shared" si="76"/>
        <v>3</v>
      </c>
    </row>
    <row r="1178" spans="1:16" ht="15.75" customHeight="1" x14ac:dyDescent="0.25">
      <c r="A1178" s="6" t="s">
        <v>1530</v>
      </c>
      <c r="B1178" s="6" cm="1">
        <f t="array" ref="B1178">alea_int(Settings!$B$10,1,Settings!$B$16)</f>
        <v>3</v>
      </c>
      <c r="C1178" s="8">
        <v>46023</v>
      </c>
      <c r="D1178" s="8">
        <f t="shared" si="73"/>
        <v>46387</v>
      </c>
      <c r="E1178" s="6" t="str" cm="1">
        <f t="array" ref="E1178">choice(Groupes!A:A,1,Settings!$B$16)</f>
        <v>G8</v>
      </c>
      <c r="F1178" s="6" t="str">
        <f t="shared" si="74"/>
        <v>G8</v>
      </c>
      <c r="G1178" s="6" t="str">
        <f t="shared" si="75"/>
        <v>Prof26</v>
      </c>
      <c r="H1178" s="6" t="str" cm="1">
        <f t="array" ref="H1178">choice(Referentiel!A:A,1,Settings!$B$16)</f>
        <v>6ème année atelier</v>
      </c>
      <c r="I1178" s="6" t="str" cm="1">
        <f t="array" ref="I1178">choice(Referentiel!B:B,1,Settings!$B$16)</f>
        <v>3ème année Architecture Intérieure S1</v>
      </c>
      <c r="J1178" s="6" t="str" cm="1">
        <f t="array" ref="J1178">choice(Referentiel!D:D,1,Settings!$B$16)</f>
        <v>L2</v>
      </c>
      <c r="K1178" s="6" t="str" cm="1">
        <f t="array" ref="K1178">choice(Professeurs!B:B,1,Settings!$B$16)</f>
        <v>Prof26</v>
      </c>
      <c r="L1178" s="5" t="str" cm="1">
        <f t="array" ref="L1178">choice(Referentiel!C:C,1,Settings!$B$16)</f>
        <v/>
      </c>
      <c r="M1178" s="5" t="str" cm="1">
        <f t="array" ref="M1178">choice(Referentiel!E:E,1,Settings!$B$16)</f>
        <v/>
      </c>
      <c r="N1178" s="5" t="str" cm="1">
        <f t="array" ref="N1178">choice(Settings!K:K,1,Settings!$B$16)</f>
        <v>semaine</v>
      </c>
      <c r="P1178" s="5">
        <f t="shared" si="76"/>
        <v>5</v>
      </c>
    </row>
    <row r="1179" spans="1:16" ht="15.75" customHeight="1" x14ac:dyDescent="0.25">
      <c r="A1179" s="6" t="s">
        <v>1531</v>
      </c>
      <c r="B1179" s="6" cm="1">
        <f t="array" ref="B1179">alea_int(Settings!$B$10,1,Settings!$B$16)</f>
        <v>3</v>
      </c>
      <c r="C1179" s="8">
        <v>46023</v>
      </c>
      <c r="D1179" s="8">
        <f t="shared" si="73"/>
        <v>46387</v>
      </c>
      <c r="E1179" s="6" t="str" cm="1">
        <f t="array" ref="E1179">choice(Groupes!A:A,1,Settings!$B$16)</f>
        <v>G3</v>
      </c>
      <c r="F1179" s="6" t="str">
        <f t="shared" si="74"/>
        <v>G3</v>
      </c>
      <c r="G1179" s="6" t="str">
        <f t="shared" si="75"/>
        <v>Prof53</v>
      </c>
      <c r="H1179" s="6" t="str" cm="1">
        <f t="array" ref="H1179">choice(Referentiel!A:A,1,Settings!$B$16)</f>
        <v>Design Textile et Matière</v>
      </c>
      <c r="I1179" s="6" t="str" cm="1">
        <f t="array" ref="I1179">choice(Referentiel!B:B,1,Settings!$B$16)</f>
        <v>3ème année Design Vêtement S1</v>
      </c>
      <c r="J1179" s="6" t="str" cm="1">
        <f t="array" ref="J1179">choice(Referentiel!D:D,1,Settings!$B$16)</f>
        <v>M1</v>
      </c>
      <c r="K1179" s="6" t="str" cm="1">
        <f t="array" ref="K1179">choice(Professeurs!B:B,1,Settings!$B$16)</f>
        <v>Prof53</v>
      </c>
      <c r="L1179" s="5" t="str" cm="1">
        <f t="array" ref="L1179">choice(Referentiel!C:C,1,Settings!$B$16)</f>
        <v/>
      </c>
      <c r="M1179" s="5" t="str" cm="1">
        <f t="array" ref="M1179">choice(Referentiel!E:E,1,Settings!$B$16)</f>
        <v/>
      </c>
      <c r="N1179" s="5" t="str" cm="1">
        <f t="array" ref="N1179">choice(Settings!K:K,1,Settings!$B$16)</f>
        <v/>
      </c>
      <c r="P1179" s="5">
        <f t="shared" si="76"/>
        <v>3</v>
      </c>
    </row>
    <row r="1180" spans="1:16" ht="15.75" customHeight="1" x14ac:dyDescent="0.25">
      <c r="A1180" s="6" t="s">
        <v>1532</v>
      </c>
      <c r="B1180" s="6" cm="1">
        <f t="array" ref="B1180">alea_int(Settings!$B$10,1,Settings!$B$16)</f>
        <v>2</v>
      </c>
      <c r="C1180" s="8">
        <v>46023</v>
      </c>
      <c r="D1180" s="8">
        <f t="shared" si="73"/>
        <v>46387</v>
      </c>
      <c r="E1180" s="6" t="str" cm="1">
        <f t="array" ref="E1180">choice(Groupes!A:A,1,Settings!$B$16)</f>
        <v>G23</v>
      </c>
      <c r="F1180" s="6" t="str">
        <f t="shared" si="74"/>
        <v>G23</v>
      </c>
      <c r="G1180" s="6" t="str">
        <f t="shared" si="75"/>
        <v>Prof24</v>
      </c>
      <c r="H1180" s="6" t="str" cm="1">
        <f t="array" ref="H1180">choice(Referentiel!A:A,1,Settings!$B$16)</f>
        <v>Design des mondes montagneux</v>
      </c>
      <c r="I1180" s="6" t="str" cm="1">
        <f t="array" ref="I1180">choice(Referentiel!B:B,1,Settings!$B$16)</f>
        <v>5ème année Image Imprimée S2</v>
      </c>
      <c r="J1180" s="6" t="str" cm="1">
        <f t="array" ref="J1180">choice(Referentiel!D:D,1,Settings!$B$16)</f>
        <v>M1</v>
      </c>
      <c r="K1180" s="6" t="str" cm="1">
        <f t="array" ref="K1180">choice(Professeurs!B:B,1,Settings!$B$16)</f>
        <v>Prof24</v>
      </c>
      <c r="L1180" s="5" t="str" cm="1">
        <f t="array" ref="L1180">choice(Referentiel!C:C,1,Settings!$B$16)</f>
        <v/>
      </c>
      <c r="M1180" s="5" t="str" cm="1">
        <f t="array" ref="M1180">choice(Referentiel!E:E,1,Settings!$B$16)</f>
        <v/>
      </c>
      <c r="N1180" s="5" t="str" cm="1">
        <f t="array" ref="N1180">choice(Settings!K:K,1,Settings!$B$16)</f>
        <v/>
      </c>
      <c r="P1180" s="5">
        <f t="shared" si="76"/>
        <v>2</v>
      </c>
    </row>
    <row r="1181" spans="1:16" ht="15.75" customHeight="1" x14ac:dyDescent="0.25">
      <c r="A1181" s="6" t="s">
        <v>1533</v>
      </c>
      <c r="B1181" s="6" cm="1">
        <f t="array" ref="B1181">alea_int(Settings!$B$10,1,Settings!$B$16)</f>
        <v>3</v>
      </c>
      <c r="C1181" s="8">
        <v>46023</v>
      </c>
      <c r="D1181" s="8">
        <f t="shared" si="73"/>
        <v>46387</v>
      </c>
      <c r="E1181" s="6" t="str" cm="1">
        <f t="array" ref="E1181">choice(Groupes!A:A,1,Settings!$B$16)</f>
        <v>G1</v>
      </c>
      <c r="F1181" s="6" t="str">
        <f t="shared" si="74"/>
        <v>G1</v>
      </c>
      <c r="G1181" s="6" t="str">
        <f t="shared" si="75"/>
        <v>Prof27</v>
      </c>
      <c r="H1181" s="6" t="str" cm="1">
        <f t="array" ref="H1181">choice(Referentiel!A:A,1,Settings!$B$16)</f>
        <v>Design des mondes urbains</v>
      </c>
      <c r="I1181" s="6" t="str" cm="1">
        <f t="array" ref="I1181">choice(Referentiel!B:B,1,Settings!$B$16)</f>
        <v>4ème année Scénographie S1</v>
      </c>
      <c r="J1181" s="6" t="str" cm="1">
        <f t="array" ref="J1181">choice(Referentiel!D:D,1,Settings!$B$16)</f>
        <v>M2</v>
      </c>
      <c r="K1181" s="6" t="str" cm="1">
        <f t="array" ref="K1181">choice(Professeurs!B:B,1,Settings!$B$16)</f>
        <v>Prof27</v>
      </c>
      <c r="L1181" s="5" t="str" cm="1">
        <f t="array" ref="L1181">choice(Referentiel!C:C,1,Settings!$B$16)</f>
        <v/>
      </c>
      <c r="M1181" s="5" t="str" cm="1">
        <f t="array" ref="M1181">choice(Referentiel!E:E,1,Settings!$B$16)</f>
        <v/>
      </c>
      <c r="N1181" s="5" t="str" cm="1">
        <f t="array" ref="N1181">choice(Settings!K:K,1,Settings!$B$16)</f>
        <v/>
      </c>
      <c r="P1181" s="5">
        <f t="shared" si="76"/>
        <v>3</v>
      </c>
    </row>
    <row r="1182" spans="1:16" ht="15.75" customHeight="1" x14ac:dyDescent="0.25">
      <c r="A1182" s="6" t="s">
        <v>1534</v>
      </c>
      <c r="B1182" s="6" cm="1">
        <f t="array" ref="B1182">alea_int(Settings!$B$10,1,Settings!$B$16)</f>
        <v>3</v>
      </c>
      <c r="C1182" s="8">
        <v>46023</v>
      </c>
      <c r="D1182" s="8">
        <f t="shared" si="73"/>
        <v>46387</v>
      </c>
      <c r="E1182" s="6" t="str" cm="1">
        <f t="array" ref="E1182">choice(Groupes!A:A,1,Settings!$B$16)</f>
        <v>G6</v>
      </c>
      <c r="F1182" s="6" t="str">
        <f t="shared" si="74"/>
        <v>G6</v>
      </c>
      <c r="G1182" s="6" t="str">
        <f t="shared" si="75"/>
        <v>Prof26</v>
      </c>
      <c r="H1182" s="6" t="str" cm="1">
        <f t="array" ref="H1182">choice(Referentiel!A:A,1,Settings!$B$16)</f>
        <v>1ère année Groupe 3</v>
      </c>
      <c r="I1182" s="6" t="str" cm="1">
        <f t="array" ref="I1182">choice(Referentiel!B:B,1,Settings!$B$16)</f>
        <v>5ème année Image Imprimée S2</v>
      </c>
      <c r="J1182" s="6" t="str" cm="1">
        <f t="array" ref="J1182">choice(Referentiel!D:D,1,Settings!$B$16)</f>
        <v>M1</v>
      </c>
      <c r="K1182" s="6" t="str" cm="1">
        <f t="array" ref="K1182">choice(Professeurs!B:B,1,Settings!$B$16)</f>
        <v>Prof26</v>
      </c>
      <c r="L1182" s="5" t="str" cm="1">
        <f t="array" ref="L1182">choice(Referentiel!C:C,1,Settings!$B$16)</f>
        <v/>
      </c>
      <c r="M1182" s="5" t="str" cm="1">
        <f t="array" ref="M1182">choice(Referentiel!E:E,1,Settings!$B$16)</f>
        <v/>
      </c>
      <c r="N1182" s="5" t="str" cm="1">
        <f t="array" ref="N1182">choice(Settings!K:K,1,Settings!$B$16)</f>
        <v>lundi pm</v>
      </c>
      <c r="P1182" s="5">
        <f t="shared" si="76"/>
        <v>5</v>
      </c>
    </row>
    <row r="1183" spans="1:16" ht="15.75" customHeight="1" x14ac:dyDescent="0.25">
      <c r="A1183" s="6" t="s">
        <v>1535</v>
      </c>
      <c r="B1183" s="6" cm="1">
        <f t="array" ref="B1183">alea_int(Settings!$B$10,1,Settings!$B$16)</f>
        <v>3</v>
      </c>
      <c r="C1183" s="8">
        <v>46023</v>
      </c>
      <c r="D1183" s="8">
        <f t="shared" si="73"/>
        <v>46387</v>
      </c>
      <c r="E1183" s="6" t="str" cm="1">
        <f t="array" ref="E1183">choice(Groupes!A:A,1,Settings!$B$16)</f>
        <v>G5</v>
      </c>
      <c r="F1183" s="6" t="str">
        <f t="shared" si="74"/>
        <v>G5</v>
      </c>
      <c r="G1183" s="6" t="str">
        <f t="shared" si="75"/>
        <v>Prof8</v>
      </c>
      <c r="H1183" s="6" t="str" cm="1">
        <f t="array" ref="H1183">choice(Referentiel!A:A,1,Settings!$B$16)</f>
        <v>Architecture Intérieure</v>
      </c>
      <c r="I1183" s="6" t="str" cm="1">
        <f t="array" ref="I1183">choice(Referentiel!B:B,1,Settings!$B$16)</f>
        <v>4ème année Architecture Intérieure S1</v>
      </c>
      <c r="J1183" s="6" t="str" cm="1">
        <f t="array" ref="J1183">choice(Referentiel!D:D,1,Settings!$B$16)</f>
        <v>M2</v>
      </c>
      <c r="K1183" s="6" t="str" cm="1">
        <f t="array" ref="K1183">choice(Professeurs!B:B,1,Settings!$B$16)</f>
        <v>Prof8</v>
      </c>
      <c r="L1183" s="5" t="str" cm="1">
        <f t="array" ref="L1183">choice(Referentiel!C:C,1,Settings!$B$16)</f>
        <v/>
      </c>
      <c r="M1183" s="5" t="str" cm="1">
        <f t="array" ref="M1183">choice(Referentiel!E:E,1,Settings!$B$16)</f>
        <v/>
      </c>
      <c r="N1183" s="5" t="str" cm="1">
        <f t="array" ref="N1183">choice(Settings!K:K,1,Settings!$B$16)</f>
        <v/>
      </c>
      <c r="P1183" s="5">
        <f t="shared" si="76"/>
        <v>3</v>
      </c>
    </row>
    <row r="1184" spans="1:16" ht="15.75" customHeight="1" x14ac:dyDescent="0.25">
      <c r="A1184" s="6" t="s">
        <v>1536</v>
      </c>
      <c r="B1184" s="6" cm="1">
        <f t="array" ref="B1184">alea_int(Settings!$B$10,1,Settings!$B$16)</f>
        <v>2</v>
      </c>
      <c r="C1184" s="8">
        <v>46023</v>
      </c>
      <c r="D1184" s="8">
        <f t="shared" si="73"/>
        <v>46387</v>
      </c>
      <c r="E1184" s="6" t="str" cm="1">
        <f t="array" ref="E1184">choice(Groupes!A:A,1,Settings!$B$16)</f>
        <v>G24</v>
      </c>
      <c r="F1184" s="6" t="str">
        <f t="shared" si="74"/>
        <v>G24</v>
      </c>
      <c r="G1184" s="6" t="str">
        <f t="shared" si="75"/>
        <v>Prof10</v>
      </c>
      <c r="H1184" s="6" t="str" cm="1">
        <f t="array" ref="H1184">choice(Referentiel!A:A,1,Settings!$B$16)</f>
        <v>Image Imprimée</v>
      </c>
      <c r="I1184" s="6" t="str" cm="1">
        <f t="array" ref="I1184">choice(Referentiel!B:B,1,Settings!$B$16)</f>
        <v>2ème année Cinéma d'Animation S2</v>
      </c>
      <c r="J1184" s="6" t="str" cm="1">
        <f t="array" ref="J1184">choice(Referentiel!D:D,1,Settings!$B$16)</f>
        <v>L3</v>
      </c>
      <c r="K1184" s="6" t="str" cm="1">
        <f t="array" ref="K1184">choice(Professeurs!B:B,1,Settings!$B$16)</f>
        <v>Prof10</v>
      </c>
      <c r="L1184" s="5" t="str" cm="1">
        <f t="array" ref="L1184">choice(Referentiel!C:C,1,Settings!$B$16)</f>
        <v/>
      </c>
      <c r="M1184" s="5" t="str" cm="1">
        <f t="array" ref="M1184">choice(Referentiel!E:E,1,Settings!$B$16)</f>
        <v/>
      </c>
      <c r="N1184" s="5" t="str" cm="1">
        <f t="array" ref="N1184">choice(Settings!K:K,1,Settings!$B$16)</f>
        <v/>
      </c>
      <c r="P1184" s="5">
        <f t="shared" si="76"/>
        <v>2</v>
      </c>
    </row>
    <row r="1185" spans="1:16" ht="15.75" customHeight="1" x14ac:dyDescent="0.25">
      <c r="A1185" s="6" t="s">
        <v>1537</v>
      </c>
      <c r="B1185" s="6" cm="1">
        <f t="array" ref="B1185">alea_int(Settings!$B$10,1,Settings!$B$16)</f>
        <v>3</v>
      </c>
      <c r="C1185" s="8">
        <v>46023</v>
      </c>
      <c r="D1185" s="8">
        <f t="shared" si="73"/>
        <v>46387</v>
      </c>
      <c r="E1185" s="6" t="str" cm="1">
        <f t="array" ref="E1185">choice(Groupes!A:A,1,Settings!$B$16)</f>
        <v>G8</v>
      </c>
      <c r="F1185" s="6" t="str">
        <f t="shared" si="74"/>
        <v>G8</v>
      </c>
      <c r="G1185" s="6" t="str">
        <f t="shared" si="75"/>
        <v>Prof33</v>
      </c>
      <c r="H1185" s="6" t="str" cm="1">
        <f t="array" ref="H1185">choice(Referentiel!A:A,1,Settings!$B$16)</f>
        <v>6ème année atelier</v>
      </c>
      <c r="I1185" s="6" t="str" cm="1">
        <f t="array" ref="I1185">choice(Referentiel!B:B,1,Settings!$B$16)</f>
        <v>2ème année Photo / Vidéo S2</v>
      </c>
      <c r="J1185" s="6" t="str" cm="1">
        <f t="array" ref="J1185">choice(Referentiel!D:D,1,Settings!$B$16)</f>
        <v>M1</v>
      </c>
      <c r="K1185" s="6" t="str" cm="1">
        <f t="array" ref="K1185">choice(Professeurs!B:B,1,Settings!$B$16)</f>
        <v>Prof33</v>
      </c>
      <c r="L1185" s="5" t="str" cm="1">
        <f t="array" ref="L1185">choice(Referentiel!C:C,1,Settings!$B$16)</f>
        <v/>
      </c>
      <c r="M1185" s="5" t="str" cm="1">
        <f t="array" ref="M1185">choice(Referentiel!E:E,1,Settings!$B$16)</f>
        <v/>
      </c>
      <c r="N1185" s="5" t="str" cm="1">
        <f t="array" ref="N1185">choice(Settings!K:K,1,Settings!$B$16)</f>
        <v/>
      </c>
      <c r="P1185" s="5">
        <f t="shared" si="76"/>
        <v>3</v>
      </c>
    </row>
    <row r="1186" spans="1:16" ht="15.75" customHeight="1" x14ac:dyDescent="0.25">
      <c r="A1186" s="6" t="s">
        <v>1538</v>
      </c>
      <c r="B1186" s="6" cm="1">
        <f t="array" ref="B1186">alea_int(Settings!$B$10,1,Settings!$B$16)</f>
        <v>1</v>
      </c>
      <c r="C1186" s="8">
        <v>46023</v>
      </c>
      <c r="D1186" s="8">
        <f t="shared" si="73"/>
        <v>46387</v>
      </c>
      <c r="E1186" s="6" t="str" cm="1">
        <f t="array" ref="E1186">choice(Groupes!A:A,1,Settings!$B$16)</f>
        <v>G19</v>
      </c>
      <c r="F1186" s="6" t="str">
        <f t="shared" si="74"/>
        <v>G19</v>
      </c>
      <c r="G1186" s="6" t="str">
        <f t="shared" si="75"/>
        <v>Prof16</v>
      </c>
      <c r="H1186" s="6" t="str" cm="1">
        <f t="array" ref="H1186">choice(Referentiel!A:A,1,Settings!$B$16)</f>
        <v>Gr SOFT MATTERS</v>
      </c>
      <c r="I1186" s="6" t="str" cm="1">
        <f t="array" ref="I1186">choice(Referentiel!B:B,1,Settings!$B$16)</f>
        <v>5ème année Design Vêtement S1</v>
      </c>
      <c r="J1186" s="6" t="str" cm="1">
        <f t="array" ref="J1186">choice(Referentiel!D:D,1,Settings!$B$16)</f>
        <v>L2</v>
      </c>
      <c r="K1186" s="6" t="str" cm="1">
        <f t="array" ref="K1186">choice(Professeurs!B:B,1,Settings!$B$16)</f>
        <v>Prof16</v>
      </c>
      <c r="L1186" s="5" t="str" cm="1">
        <f t="array" ref="L1186">choice(Referentiel!C:C,1,Settings!$B$16)</f>
        <v/>
      </c>
      <c r="M1186" s="5" t="str" cm="1">
        <f t="array" ref="M1186">choice(Referentiel!E:E,1,Settings!$B$16)</f>
        <v/>
      </c>
      <c r="N1186" s="5" t="str" cm="1">
        <f t="array" ref="N1186">choice(Settings!K:K,1,Settings!$B$16)</f>
        <v/>
      </c>
      <c r="P1186" s="5">
        <f t="shared" si="76"/>
        <v>1</v>
      </c>
    </row>
    <row r="1187" spans="1:16" ht="15.75" customHeight="1" x14ac:dyDescent="0.25">
      <c r="A1187" s="6" t="s">
        <v>1539</v>
      </c>
      <c r="B1187" s="6" cm="1">
        <f t="array" ref="B1187">alea_int(Settings!$B$10,1,Settings!$B$16)</f>
        <v>1</v>
      </c>
      <c r="C1187" s="8">
        <v>46023</v>
      </c>
      <c r="D1187" s="8">
        <f t="shared" si="73"/>
        <v>46387</v>
      </c>
      <c r="E1187" s="6" t="str" cm="1">
        <f t="array" ref="E1187">choice(Groupes!A:A,1,Settings!$B$16)</f>
        <v>G13</v>
      </c>
      <c r="F1187" s="6" t="str">
        <f t="shared" si="74"/>
        <v>G13</v>
      </c>
      <c r="G1187" s="6" t="str">
        <f t="shared" si="75"/>
        <v>Prof14</v>
      </c>
      <c r="H1187" s="6" t="str" cm="1">
        <f t="array" ref="H1187">choice(Referentiel!A:A,1,Settings!$B$16)</f>
        <v>Design Objet</v>
      </c>
      <c r="I1187" s="6" t="str" cm="1">
        <f t="array" ref="I1187">choice(Referentiel!B:B,1,Settings!$B$16)</f>
        <v>2ème année Design Graphique S1</v>
      </c>
      <c r="J1187" s="6" t="str" cm="1">
        <f t="array" ref="J1187">choice(Referentiel!D:D,1,Settings!$B$16)</f>
        <v>L3</v>
      </c>
      <c r="K1187" s="6" t="str" cm="1">
        <f t="array" ref="K1187">choice(Professeurs!B:B,1,Settings!$B$16)</f>
        <v>Prof14</v>
      </c>
      <c r="L1187" s="5" t="str" cm="1">
        <f t="array" ref="L1187">choice(Referentiel!C:C,1,Settings!$B$16)</f>
        <v/>
      </c>
      <c r="M1187" s="5" t="str" cm="1">
        <f t="array" ref="M1187">choice(Referentiel!E:E,1,Settings!$B$16)</f>
        <v/>
      </c>
      <c r="N1187" s="5" t="str" cm="1">
        <f t="array" ref="N1187">choice(Settings!K:K,1,Settings!$B$16)</f>
        <v/>
      </c>
      <c r="P1187" s="5">
        <f t="shared" si="76"/>
        <v>1</v>
      </c>
    </row>
    <row r="1188" spans="1:16" ht="15.75" customHeight="1" x14ac:dyDescent="0.25">
      <c r="A1188" s="6" t="s">
        <v>1540</v>
      </c>
      <c r="B1188" s="6" cm="1">
        <f t="array" ref="B1188">alea_int(Settings!$B$10,1,Settings!$B$16)</f>
        <v>3</v>
      </c>
      <c r="C1188" s="8">
        <v>46023</v>
      </c>
      <c r="D1188" s="8">
        <f t="shared" si="73"/>
        <v>46387</v>
      </c>
      <c r="E1188" s="6" t="str" cm="1">
        <f t="array" ref="E1188">choice(Groupes!A:A,1,Settings!$B$16)</f>
        <v>G25</v>
      </c>
      <c r="F1188" s="6" t="str">
        <f t="shared" si="74"/>
        <v>G25</v>
      </c>
      <c r="G1188" s="6" t="str">
        <f t="shared" si="75"/>
        <v>Prof42</v>
      </c>
      <c r="H1188" s="6" t="str" cm="1">
        <f t="array" ref="H1188">choice(Referentiel!A:A,1,Settings!$B$16)</f>
        <v>Gr TERRITOIRES</v>
      </c>
      <c r="I1188" s="6" t="str" cm="1">
        <f t="array" ref="I1188">choice(Referentiel!B:B,1,Settings!$B$16)</f>
        <v>5ème année Design Vêtement S2</v>
      </c>
      <c r="J1188" s="6" t="str" cm="1">
        <f t="array" ref="J1188">choice(Referentiel!D:D,1,Settings!$B$16)</f>
        <v>M1</v>
      </c>
      <c r="K1188" s="6" t="str" cm="1">
        <f t="array" ref="K1188">choice(Professeurs!B:B,1,Settings!$B$16)</f>
        <v>Prof42</v>
      </c>
      <c r="L1188" s="5" t="str" cm="1">
        <f t="array" ref="L1188">choice(Referentiel!C:C,1,Settings!$B$16)</f>
        <v/>
      </c>
      <c r="M1188" s="5" t="str" cm="1">
        <f t="array" ref="M1188">choice(Referentiel!E:E,1,Settings!$B$16)</f>
        <v/>
      </c>
      <c r="N1188" s="5" t="str" cm="1">
        <f t="array" ref="N1188">choice(Settings!K:K,1,Settings!$B$16)</f>
        <v/>
      </c>
      <c r="P1188" s="5">
        <f t="shared" si="76"/>
        <v>3</v>
      </c>
    </row>
    <row r="1189" spans="1:16" ht="15.75" customHeight="1" x14ac:dyDescent="0.25">
      <c r="A1189" s="6" t="s">
        <v>1541</v>
      </c>
      <c r="B1189" s="6" cm="1">
        <f t="array" ref="B1189">alea_int(Settings!$B$10,1,Settings!$B$16)</f>
        <v>1</v>
      </c>
      <c r="C1189" s="8">
        <v>46023</v>
      </c>
      <c r="D1189" s="8">
        <f t="shared" si="73"/>
        <v>46387</v>
      </c>
      <c r="E1189" s="6" t="str" cm="1">
        <f t="array" ref="E1189">choice(Groupes!A:A,1,Settings!$B$16)</f>
        <v>G5</v>
      </c>
      <c r="F1189" s="6" t="str">
        <f t="shared" si="74"/>
        <v>G5</v>
      </c>
      <c r="G1189" s="6" t="str">
        <f t="shared" si="75"/>
        <v>Prof53</v>
      </c>
      <c r="H1189" s="6" t="str" cm="1">
        <f t="array" ref="H1189">choice(Referentiel!A:A,1,Settings!$B$16)</f>
        <v>1ère année Groupe 3</v>
      </c>
      <c r="I1189" s="6" t="str" cm="1">
        <f t="array" ref="I1189">choice(Referentiel!B:B,1,Settings!$B$16)</f>
        <v>5ème année Design Textile et Matière S2</v>
      </c>
      <c r="J1189" s="6" t="str" cm="1">
        <f t="array" ref="J1189">choice(Referentiel!D:D,1,Settings!$B$16)</f>
        <v>L2</v>
      </c>
      <c r="K1189" s="6" t="str" cm="1">
        <f t="array" ref="K1189">choice(Professeurs!B:B,1,Settings!$B$16)</f>
        <v>Prof53</v>
      </c>
      <c r="L1189" s="5" t="str" cm="1">
        <f t="array" ref="L1189">choice(Referentiel!C:C,1,Settings!$B$16)</f>
        <v/>
      </c>
      <c r="M1189" s="5" t="str" cm="1">
        <f t="array" ref="M1189">choice(Referentiel!E:E,1,Settings!$B$16)</f>
        <v/>
      </c>
      <c r="N1189" s="5" t="str" cm="1">
        <f t="array" ref="N1189">choice(Settings!K:K,1,Settings!$B$16)</f>
        <v/>
      </c>
      <c r="P1189" s="5">
        <f t="shared" si="76"/>
        <v>1</v>
      </c>
    </row>
    <row r="1190" spans="1:16" ht="15.75" customHeight="1" x14ac:dyDescent="0.25">
      <c r="A1190" s="6" t="s">
        <v>1542</v>
      </c>
      <c r="B1190" s="6" cm="1">
        <f t="array" ref="B1190">alea_int(Settings!$B$10,1,Settings!$B$16)</f>
        <v>1</v>
      </c>
      <c r="C1190" s="8">
        <v>46023</v>
      </c>
      <c r="D1190" s="8">
        <f t="shared" si="73"/>
        <v>46387</v>
      </c>
      <c r="E1190" s="6" t="str" cm="1">
        <f t="array" ref="E1190">choice(Groupes!A:A,1,Settings!$B$16)</f>
        <v>G29</v>
      </c>
      <c r="F1190" s="6" t="str">
        <f t="shared" si="74"/>
        <v>G29</v>
      </c>
      <c r="G1190" s="6" t="str">
        <f t="shared" si="75"/>
        <v>Prof30</v>
      </c>
      <c r="H1190" s="6" t="str" cm="1">
        <f t="array" ref="H1190">choice(Referentiel!A:A,1,Settings!$B$16)</f>
        <v>1ère année Groupe 4</v>
      </c>
      <c r="I1190" s="6" t="str" cm="1">
        <f t="array" ref="I1190">choice(Referentiel!B:B,1,Settings!$B$16)</f>
        <v>3ème année Design Objet S1</v>
      </c>
      <c r="J1190" s="6" t="str" cm="1">
        <f t="array" ref="J1190">choice(Referentiel!D:D,1,Settings!$B$16)</f>
        <v>L1</v>
      </c>
      <c r="K1190" s="6" t="str" cm="1">
        <f t="array" ref="K1190">choice(Professeurs!B:B,1,Settings!$B$16)</f>
        <v>Prof30</v>
      </c>
      <c r="L1190" s="5" t="str" cm="1">
        <f t="array" ref="L1190">choice(Referentiel!C:C,1,Settings!$B$16)</f>
        <v/>
      </c>
      <c r="M1190" s="5" t="str" cm="1">
        <f t="array" ref="M1190">choice(Referentiel!E:E,1,Settings!$B$16)</f>
        <v/>
      </c>
      <c r="N1190" s="5" t="str" cm="1">
        <f t="array" ref="N1190">choice(Settings!K:K,1,Settings!$B$16)</f>
        <v/>
      </c>
      <c r="P1190" s="5">
        <f t="shared" si="76"/>
        <v>1</v>
      </c>
    </row>
    <row r="1191" spans="1:16" ht="15.75" customHeight="1" x14ac:dyDescent="0.25">
      <c r="A1191" s="6" t="s">
        <v>1543</v>
      </c>
      <c r="B1191" s="6" cm="1">
        <f t="array" ref="B1191">alea_int(Settings!$B$10,1,Settings!$B$16)</f>
        <v>3</v>
      </c>
      <c r="C1191" s="8">
        <v>46023</v>
      </c>
      <c r="D1191" s="8">
        <f t="shared" si="73"/>
        <v>46387</v>
      </c>
      <c r="E1191" s="6" t="str" cm="1">
        <f t="array" ref="E1191">choice(Groupes!A:A,1,Settings!$B$16)</f>
        <v>G15</v>
      </c>
      <c r="F1191" s="6" t="str">
        <f t="shared" si="74"/>
        <v>G15</v>
      </c>
      <c r="G1191" s="6" t="str">
        <f t="shared" si="75"/>
        <v>Prof11</v>
      </c>
      <c r="H1191" s="6" t="str" cm="1">
        <f t="array" ref="H1191">choice(Referentiel!A:A,1,Settings!$B$16)</f>
        <v>Architecture Intérieure</v>
      </c>
      <c r="I1191" s="6" t="str" cm="1">
        <f t="array" ref="I1191">choice(Referentiel!B:B,1,Settings!$B$16)</f>
        <v>4ème année Design Graphique S1</v>
      </c>
      <c r="J1191" s="6" t="str" cm="1">
        <f t="array" ref="J1191">choice(Referentiel!D:D,1,Settings!$B$16)</f>
        <v>M1</v>
      </c>
      <c r="K1191" s="6" t="str" cm="1">
        <f t="array" ref="K1191">choice(Professeurs!B:B,1,Settings!$B$16)</f>
        <v>Prof11</v>
      </c>
      <c r="L1191" s="5" t="str" cm="1">
        <f t="array" ref="L1191">choice(Referentiel!C:C,1,Settings!$B$16)</f>
        <v/>
      </c>
      <c r="M1191" s="5" t="str" cm="1">
        <f t="array" ref="M1191">choice(Referentiel!E:E,1,Settings!$B$16)</f>
        <v/>
      </c>
      <c r="N1191" s="5" t="str" cm="1">
        <f t="array" ref="N1191">choice(Settings!K:K,1,Settings!$B$16)</f>
        <v/>
      </c>
      <c r="P1191" s="5">
        <f t="shared" si="76"/>
        <v>3</v>
      </c>
    </row>
    <row r="1192" spans="1:16" ht="15.75" customHeight="1" x14ac:dyDescent="0.25">
      <c r="A1192" s="6" t="s">
        <v>1544</v>
      </c>
      <c r="B1192" s="6" cm="1">
        <f t="array" ref="B1192">alea_int(Settings!$B$10,1,Settings!$B$16)</f>
        <v>2</v>
      </c>
      <c r="C1192" s="8">
        <v>46023</v>
      </c>
      <c r="D1192" s="8">
        <f t="shared" si="73"/>
        <v>46387</v>
      </c>
      <c r="E1192" s="6" t="str" cm="1">
        <f t="array" ref="E1192">choice(Groupes!A:A,1,Settings!$B$16)</f>
        <v>G26</v>
      </c>
      <c r="F1192" s="6" t="str">
        <f t="shared" si="74"/>
        <v>G26</v>
      </c>
      <c r="G1192" s="6" t="str">
        <f t="shared" si="75"/>
        <v>Prof11</v>
      </c>
      <c r="H1192" s="6" t="str" cm="1">
        <f t="array" ref="H1192">choice(Referentiel!A:A,1,Settings!$B$16)</f>
        <v>Gr TERRITOIRES</v>
      </c>
      <c r="I1192" s="6" t="str" cm="1">
        <f t="array" ref="I1192">choice(Referentiel!B:B,1,Settings!$B$16)</f>
        <v>4ème année Design Graphique S1</v>
      </c>
      <c r="J1192" s="6" t="str" cm="1">
        <f t="array" ref="J1192">choice(Referentiel!D:D,1,Settings!$B$16)</f>
        <v>M1</v>
      </c>
      <c r="K1192" s="6" t="str" cm="1">
        <f t="array" ref="K1192">choice(Professeurs!B:B,1,Settings!$B$16)</f>
        <v>Prof11</v>
      </c>
      <c r="L1192" s="5" t="str" cm="1">
        <f t="array" ref="L1192">choice(Referentiel!C:C,1,Settings!$B$16)</f>
        <v/>
      </c>
      <c r="M1192" s="5" t="str" cm="1">
        <f t="array" ref="M1192">choice(Referentiel!E:E,1,Settings!$B$16)</f>
        <v/>
      </c>
      <c r="N1192" s="5" t="str" cm="1">
        <f t="array" ref="N1192">choice(Settings!K:K,1,Settings!$B$16)</f>
        <v/>
      </c>
      <c r="P1192" s="5">
        <f t="shared" si="76"/>
        <v>2</v>
      </c>
    </row>
    <row r="1193" spans="1:16" ht="15.75" customHeight="1" x14ac:dyDescent="0.25">
      <c r="A1193" s="6" t="s">
        <v>1545</v>
      </c>
      <c r="B1193" s="6" cm="1">
        <f t="array" ref="B1193">alea_int(Settings!$B$10,1,Settings!$B$16)</f>
        <v>1</v>
      </c>
      <c r="C1193" s="8">
        <v>46023</v>
      </c>
      <c r="D1193" s="8">
        <f t="shared" si="73"/>
        <v>46387</v>
      </c>
      <c r="E1193" s="6" t="str" cm="1">
        <f t="array" ref="E1193">choice(Groupes!A:A,1,Settings!$B$16)</f>
        <v>G21</v>
      </c>
      <c r="F1193" s="6" t="str">
        <f t="shared" si="74"/>
        <v>G21</v>
      </c>
      <c r="G1193" s="6" t="str">
        <f t="shared" si="75"/>
        <v>Prof12</v>
      </c>
      <c r="H1193" s="6" t="str" cm="1">
        <f t="array" ref="H1193">choice(Referentiel!A:A,1,Settings!$B$16)</f>
        <v>6ème ANNÉE STAGE</v>
      </c>
      <c r="I1193" s="6" t="str" cm="1">
        <f t="array" ref="I1193">choice(Referentiel!B:B,1,Settings!$B$16)</f>
        <v>4ème année Scénographie S2</v>
      </c>
      <c r="J1193" s="6" t="str" cm="1">
        <f t="array" ref="J1193">choice(Referentiel!D:D,1,Settings!$B$16)</f>
        <v>L3</v>
      </c>
      <c r="K1193" s="6" t="str" cm="1">
        <f t="array" ref="K1193">choice(Professeurs!B:B,1,Settings!$B$16)</f>
        <v>Prof12</v>
      </c>
      <c r="L1193" s="5" t="str" cm="1">
        <f t="array" ref="L1193">choice(Referentiel!C:C,1,Settings!$B$16)</f>
        <v/>
      </c>
      <c r="M1193" s="5" t="str" cm="1">
        <f t="array" ref="M1193">choice(Referentiel!E:E,1,Settings!$B$16)</f>
        <v/>
      </c>
      <c r="N1193" s="5" t="str" cm="1">
        <f t="array" ref="N1193">choice(Settings!K:K,1,Settings!$B$16)</f>
        <v/>
      </c>
      <c r="P1193" s="5">
        <f t="shared" si="76"/>
        <v>1</v>
      </c>
    </row>
    <row r="1194" spans="1:16" ht="15.75" customHeight="1" x14ac:dyDescent="0.25">
      <c r="A1194" s="6" t="s">
        <v>1546</v>
      </c>
      <c r="B1194" s="6" cm="1">
        <f t="array" ref="B1194">alea_int(Settings!$B$10,1,Settings!$B$16)</f>
        <v>1</v>
      </c>
      <c r="C1194" s="8">
        <v>46023</v>
      </c>
      <c r="D1194" s="8">
        <f t="shared" si="73"/>
        <v>46387</v>
      </c>
      <c r="E1194" s="6" t="str" cm="1">
        <f t="array" ref="E1194">choice(Groupes!A:A,1,Settings!$B$16)</f>
        <v>G14</v>
      </c>
      <c r="F1194" s="6" t="str">
        <f t="shared" si="74"/>
        <v>G14</v>
      </c>
      <c r="G1194" s="6" t="str">
        <f t="shared" si="75"/>
        <v>Prof39</v>
      </c>
      <c r="H1194" s="6" t="str" cm="1">
        <f t="array" ref="H1194">choice(Referentiel!A:A,1,Settings!$B$16)</f>
        <v>6ème année atelier</v>
      </c>
      <c r="I1194" s="6" t="str" cm="1">
        <f t="array" ref="I1194">choice(Referentiel!B:B,1,Settings!$B$16)</f>
        <v>4ème année Scénographie S1</v>
      </c>
      <c r="J1194" s="6" t="str" cm="1">
        <f t="array" ref="J1194">choice(Referentiel!D:D,1,Settings!$B$16)</f>
        <v>L1</v>
      </c>
      <c r="K1194" s="6" t="str" cm="1">
        <f t="array" ref="K1194">choice(Professeurs!B:B,1,Settings!$B$16)</f>
        <v>Prof39</v>
      </c>
      <c r="L1194" s="5" t="str" cm="1">
        <f t="array" ref="L1194">choice(Referentiel!C:C,1,Settings!$B$16)</f>
        <v/>
      </c>
      <c r="M1194" s="5" t="str" cm="1">
        <f t="array" ref="M1194">choice(Referentiel!E:E,1,Settings!$B$16)</f>
        <v/>
      </c>
      <c r="N1194" s="5" t="str" cm="1">
        <f t="array" ref="N1194">choice(Settings!K:K,1,Settings!$B$16)</f>
        <v/>
      </c>
      <c r="P1194" s="5">
        <f t="shared" si="76"/>
        <v>1</v>
      </c>
    </row>
    <row r="1195" spans="1:16" ht="15.75" customHeight="1" x14ac:dyDescent="0.25">
      <c r="A1195" s="6" t="s">
        <v>1547</v>
      </c>
      <c r="B1195" s="6" cm="1">
        <f t="array" ref="B1195">alea_int(Settings!$B$10,1,Settings!$B$16)</f>
        <v>1</v>
      </c>
      <c r="C1195" s="8">
        <v>46023</v>
      </c>
      <c r="D1195" s="8">
        <f t="shared" si="73"/>
        <v>46387</v>
      </c>
      <c r="E1195" s="6" t="str" cm="1">
        <f t="array" ref="E1195">choice(Groupes!A:A,1,Settings!$B$16)</f>
        <v>G16</v>
      </c>
      <c r="F1195" s="6" t="str">
        <f t="shared" si="74"/>
        <v>G16</v>
      </c>
      <c r="G1195" s="6" t="str">
        <f t="shared" si="75"/>
        <v>Prof1</v>
      </c>
      <c r="H1195" s="6" t="str" cm="1">
        <f t="array" ref="H1195">choice(Referentiel!A:A,1,Settings!$B$16)</f>
        <v>Scénographie</v>
      </c>
      <c r="I1195" s="6" t="str" cm="1">
        <f t="array" ref="I1195">choice(Referentiel!B:B,1,Settings!$B$16)</f>
        <v>1ère Année Groupe 1 S1</v>
      </c>
      <c r="J1195" s="6" t="str" cm="1">
        <f t="array" ref="J1195">choice(Referentiel!D:D,1,Settings!$B$16)</f>
        <v>M2</v>
      </c>
      <c r="K1195" s="6" t="str" cm="1">
        <f t="array" ref="K1195">choice(Professeurs!B:B,1,Settings!$B$16)</f>
        <v>Prof1</v>
      </c>
      <c r="L1195" s="5" t="str" cm="1">
        <f t="array" ref="L1195">choice(Referentiel!C:C,1,Settings!$B$16)</f>
        <v>projecteur</v>
      </c>
      <c r="M1195" s="5" t="str" cm="1">
        <f t="array" ref="M1195">choice(Referentiel!E:E,1,Settings!$B$16)</f>
        <v/>
      </c>
      <c r="N1195" s="5" t="str" cm="1">
        <f t="array" ref="N1195">choice(Settings!K:K,1,Settings!$B$16)</f>
        <v/>
      </c>
      <c r="P1195" s="5">
        <f t="shared" si="76"/>
        <v>1</v>
      </c>
    </row>
    <row r="1196" spans="1:16" ht="15.75" customHeight="1" x14ac:dyDescent="0.25">
      <c r="A1196" s="6" t="s">
        <v>1548</v>
      </c>
      <c r="B1196" s="6" cm="1">
        <f t="array" ref="B1196">alea_int(Settings!$B$10,1,Settings!$B$16)</f>
        <v>2</v>
      </c>
      <c r="C1196" s="8">
        <v>46023</v>
      </c>
      <c r="D1196" s="8">
        <f t="shared" si="73"/>
        <v>46387</v>
      </c>
      <c r="E1196" s="6" t="str" cm="1">
        <f t="array" ref="E1196">choice(Groupes!A:A,1,Settings!$B$16)</f>
        <v>G1</v>
      </c>
      <c r="F1196" s="6" t="str">
        <f t="shared" si="74"/>
        <v>G1</v>
      </c>
      <c r="G1196" s="6" t="str">
        <f t="shared" si="75"/>
        <v>Prof31</v>
      </c>
      <c r="H1196" s="6" t="str" cm="1">
        <f t="array" ref="H1196">choice(Referentiel!A:A,1,Settings!$B$16)</f>
        <v>Cinéma d'Animation</v>
      </c>
      <c r="I1196" s="6" t="str" cm="1">
        <f t="array" ref="I1196">choice(Referentiel!B:B,1,Settings!$B$16)</f>
        <v>4ème année Scénographie S1</v>
      </c>
      <c r="J1196" s="6" t="str" cm="1">
        <f t="array" ref="J1196">choice(Referentiel!D:D,1,Settings!$B$16)</f>
        <v>M2</v>
      </c>
      <c r="K1196" s="6" t="str" cm="1">
        <f t="array" ref="K1196">choice(Professeurs!B:B,1,Settings!$B$16)</f>
        <v>Prof31</v>
      </c>
      <c r="L1196" s="5" t="str" cm="1">
        <f t="array" ref="L1196">choice(Referentiel!C:C,1,Settings!$B$16)</f>
        <v/>
      </c>
      <c r="M1196" s="5" t="str" cm="1">
        <f t="array" ref="M1196">choice(Referentiel!E:E,1,Settings!$B$16)</f>
        <v/>
      </c>
      <c r="N1196" s="5" t="str" cm="1">
        <f t="array" ref="N1196">choice(Settings!K:K,1,Settings!$B$16)</f>
        <v/>
      </c>
      <c r="P1196" s="5">
        <f t="shared" si="76"/>
        <v>2</v>
      </c>
    </row>
    <row r="1197" spans="1:16" ht="15.75" customHeight="1" x14ac:dyDescent="0.25">
      <c r="A1197" s="6" t="s">
        <v>1549</v>
      </c>
      <c r="B1197" s="6" cm="1">
        <f t="array" ref="B1197">alea_int(Settings!$B$10,1,Settings!$B$16)</f>
        <v>3</v>
      </c>
      <c r="C1197" s="8">
        <v>46023</v>
      </c>
      <c r="D1197" s="8">
        <f t="shared" si="73"/>
        <v>46387</v>
      </c>
      <c r="E1197" s="6" t="str" cm="1">
        <f t="array" ref="E1197">choice(Groupes!A:A,1,Settings!$B$16)</f>
        <v>G12</v>
      </c>
      <c r="F1197" s="6" t="str">
        <f t="shared" si="74"/>
        <v>G12</v>
      </c>
      <c r="G1197" s="6" t="str">
        <f t="shared" si="75"/>
        <v>Prof49</v>
      </c>
      <c r="H1197" s="6" t="str" cm="1">
        <f t="array" ref="H1197">choice(Referentiel!A:A,1,Settings!$B$16)</f>
        <v>Design Graphique</v>
      </c>
      <c r="I1197" s="6" t="str" cm="1">
        <f t="array" ref="I1197">choice(Referentiel!B:B,1,Settings!$B$16)</f>
        <v>2ème année Design Vêtement S2</v>
      </c>
      <c r="J1197" s="6" t="str" cm="1">
        <f t="array" ref="J1197">choice(Referentiel!D:D,1,Settings!$B$16)</f>
        <v>M1</v>
      </c>
      <c r="K1197" s="6" t="str" cm="1">
        <f t="array" ref="K1197">choice(Professeurs!B:B,1,Settings!$B$16)</f>
        <v>Prof49</v>
      </c>
      <c r="L1197" s="5" t="str" cm="1">
        <f t="array" ref="L1197">choice(Referentiel!C:C,1,Settings!$B$16)</f>
        <v/>
      </c>
      <c r="M1197" s="5" t="str" cm="1">
        <f t="array" ref="M1197">choice(Referentiel!E:E,1,Settings!$B$16)</f>
        <v/>
      </c>
      <c r="N1197" s="5" t="str" cm="1">
        <f t="array" ref="N1197">choice(Settings!K:K,1,Settings!$B$16)</f>
        <v/>
      </c>
      <c r="P1197" s="5">
        <f t="shared" si="76"/>
        <v>3</v>
      </c>
    </row>
    <row r="1198" spans="1:16" ht="15.75" customHeight="1" x14ac:dyDescent="0.25">
      <c r="A1198" s="6" t="s">
        <v>1550</v>
      </c>
      <c r="B1198" s="6" cm="1">
        <f t="array" ref="B1198">alea_int(Settings!$B$10,1,Settings!$B$16)</f>
        <v>3</v>
      </c>
      <c r="C1198" s="8">
        <v>46023</v>
      </c>
      <c r="D1198" s="8">
        <f t="shared" si="73"/>
        <v>46387</v>
      </c>
      <c r="E1198" s="6" t="str" cm="1">
        <f t="array" ref="E1198">choice(Groupes!A:A,1,Settings!$B$16)</f>
        <v>G12</v>
      </c>
      <c r="F1198" s="6" t="str">
        <f t="shared" si="74"/>
        <v>G12</v>
      </c>
      <c r="G1198" s="6" t="str">
        <f t="shared" si="75"/>
        <v>Prof34</v>
      </c>
      <c r="H1198" s="6" t="str" cm="1">
        <f t="array" ref="H1198">choice(Referentiel!A:A,1,Settings!$B$16)</f>
        <v>Scénographie</v>
      </c>
      <c r="I1198" s="6" t="str" cm="1">
        <f t="array" ref="I1198">choice(Referentiel!B:B,1,Settings!$B$16)</f>
        <v>3ème année Image Imprimée S2</v>
      </c>
      <c r="J1198" s="6" t="str" cm="1">
        <f t="array" ref="J1198">choice(Referentiel!D:D,1,Settings!$B$16)</f>
        <v>L1</v>
      </c>
      <c r="K1198" s="6" t="str" cm="1">
        <f t="array" ref="K1198">choice(Professeurs!B:B,1,Settings!$B$16)</f>
        <v>Prof34</v>
      </c>
      <c r="L1198" s="5" t="str" cm="1">
        <f t="array" ref="L1198">choice(Referentiel!C:C,1,Settings!$B$16)</f>
        <v>projecteur</v>
      </c>
      <c r="M1198" s="5" t="str" cm="1">
        <f t="array" ref="M1198">choice(Referentiel!E:E,1,Settings!$B$16)</f>
        <v/>
      </c>
      <c r="N1198" s="5" t="str" cm="1">
        <f t="array" ref="N1198">choice(Settings!K:K,1,Settings!$B$16)</f>
        <v>jeudi am</v>
      </c>
      <c r="P1198" s="5">
        <f t="shared" si="76"/>
        <v>5</v>
      </c>
    </row>
    <row r="1199" spans="1:16" ht="15.75" customHeight="1" x14ac:dyDescent="0.25">
      <c r="A1199" s="6" t="s">
        <v>1551</v>
      </c>
      <c r="B1199" s="6" cm="1">
        <f t="array" ref="B1199">alea_int(Settings!$B$10,1,Settings!$B$16)</f>
        <v>2</v>
      </c>
      <c r="C1199" s="8">
        <v>46023</v>
      </c>
      <c r="D1199" s="8">
        <f t="shared" si="73"/>
        <v>46387</v>
      </c>
      <c r="E1199" s="6" t="str" cm="1">
        <f t="array" ref="E1199">choice(Groupes!A:A,1,Settings!$B$16)</f>
        <v>G15</v>
      </c>
      <c r="F1199" s="6" t="str">
        <f t="shared" si="74"/>
        <v>G15</v>
      </c>
      <c r="G1199" s="6" t="str">
        <f t="shared" si="75"/>
        <v>Prof40</v>
      </c>
      <c r="H1199" s="6" t="str" cm="1">
        <f t="array" ref="H1199">choice(Referentiel!A:A,1,Settings!$B$16)</f>
        <v>1ère année Groupe 4</v>
      </c>
      <c r="I1199" s="6" t="str" cm="1">
        <f t="array" ref="I1199">choice(Referentiel!B:B,1,Settings!$B$16)</f>
        <v>1ère Année Groupe 4 S1</v>
      </c>
      <c r="J1199" s="6" t="str" cm="1">
        <f t="array" ref="J1199">choice(Referentiel!D:D,1,Settings!$B$16)</f>
        <v>L2</v>
      </c>
      <c r="K1199" s="6" t="str" cm="1">
        <f t="array" ref="K1199">choice(Professeurs!B:B,1,Settings!$B$16)</f>
        <v>Prof40</v>
      </c>
      <c r="L1199" s="5" t="str" cm="1">
        <f t="array" ref="L1199">choice(Referentiel!C:C,1,Settings!$B$16)</f>
        <v/>
      </c>
      <c r="M1199" s="5" t="str" cm="1">
        <f t="array" ref="M1199">choice(Referentiel!E:E,1,Settings!$B$16)</f>
        <v/>
      </c>
      <c r="N1199" s="5" t="str" cm="1">
        <f t="array" ref="N1199">choice(Settings!K:K,1,Settings!$B$16)</f>
        <v/>
      </c>
      <c r="P1199" s="5">
        <f t="shared" si="76"/>
        <v>2</v>
      </c>
    </row>
    <row r="1200" spans="1:16" ht="15.75" customHeight="1" x14ac:dyDescent="0.25">
      <c r="A1200" s="6" t="s">
        <v>1552</v>
      </c>
      <c r="B1200" s="6" cm="1">
        <f t="array" ref="B1200">alea_int(Settings!$B$10,1,Settings!$B$16)</f>
        <v>2</v>
      </c>
      <c r="C1200" s="8">
        <v>46023</v>
      </c>
      <c r="D1200" s="8">
        <f t="shared" si="73"/>
        <v>46387</v>
      </c>
      <c r="E1200" s="6" t="str" cm="1">
        <f t="array" ref="E1200">choice(Groupes!A:A,1,Settings!$B$16)</f>
        <v>G29</v>
      </c>
      <c r="F1200" s="6" t="str">
        <f t="shared" si="74"/>
        <v>G29</v>
      </c>
      <c r="G1200" s="6" t="str">
        <f t="shared" si="75"/>
        <v>Prof6</v>
      </c>
      <c r="H1200" s="6" t="str" cm="1">
        <f t="array" ref="H1200">choice(Referentiel!A:A,1,Settings!$B$16)</f>
        <v>Gr TERRITOIRES</v>
      </c>
      <c r="I1200" s="6" t="str" cm="1">
        <f t="array" ref="I1200">choice(Referentiel!B:B,1,Settings!$B$16)</f>
        <v>2ème année Design Textile et Matière S1</v>
      </c>
      <c r="J1200" s="6" t="str" cm="1">
        <f t="array" ref="J1200">choice(Referentiel!D:D,1,Settings!$B$16)</f>
        <v>L3</v>
      </c>
      <c r="K1200" s="6" t="str" cm="1">
        <f t="array" ref="K1200">choice(Professeurs!B:B,1,Settings!$B$16)</f>
        <v>Prof6</v>
      </c>
      <c r="L1200" s="5" t="str" cm="1">
        <f t="array" ref="L1200">choice(Referentiel!C:C,1,Settings!$B$16)</f>
        <v/>
      </c>
      <c r="M1200" s="5" t="str" cm="1">
        <f t="array" ref="M1200">choice(Referentiel!E:E,1,Settings!$B$16)</f>
        <v/>
      </c>
      <c r="N1200" s="5" t="str" cm="1">
        <f t="array" ref="N1200">choice(Settings!K:K,1,Settings!$B$16)</f>
        <v/>
      </c>
      <c r="P1200" s="5">
        <f t="shared" si="76"/>
        <v>2</v>
      </c>
    </row>
    <row r="1201" spans="1:16" ht="15.75" customHeight="1" x14ac:dyDescent="0.25">
      <c r="A1201" s="6" t="s">
        <v>1553</v>
      </c>
      <c r="B1201" s="6" cm="1">
        <f t="array" ref="B1201">alea_int(Settings!$B$10,1,Settings!$B$16)</f>
        <v>1</v>
      </c>
      <c r="C1201" s="8">
        <v>46023</v>
      </c>
      <c r="D1201" s="8">
        <f t="shared" si="73"/>
        <v>46387</v>
      </c>
      <c r="E1201" s="6" t="str" cm="1">
        <f t="array" ref="E1201">choice(Groupes!A:A,1,Settings!$B$16)</f>
        <v>G8</v>
      </c>
      <c r="F1201" s="6" t="str">
        <f t="shared" si="74"/>
        <v>G8</v>
      </c>
      <c r="G1201" s="6" t="str">
        <f t="shared" si="75"/>
        <v>Prof41</v>
      </c>
      <c r="H1201" s="6" t="str" cm="1">
        <f t="array" ref="H1201">choice(Referentiel!A:A,1,Settings!$B$16)</f>
        <v>Gr SYMBIOSE</v>
      </c>
      <c r="I1201" s="6" t="str" cm="1">
        <f t="array" ref="I1201">choice(Referentiel!B:B,1,Settings!$B$16)</f>
        <v>2ème année Architecture Intérieure S2</v>
      </c>
      <c r="J1201" s="6" t="str" cm="1">
        <f t="array" ref="J1201">choice(Referentiel!D:D,1,Settings!$B$16)</f>
        <v>L1</v>
      </c>
      <c r="K1201" s="6" t="str" cm="1">
        <f t="array" ref="K1201">choice(Professeurs!B:B,1,Settings!$B$16)</f>
        <v>Prof41</v>
      </c>
      <c r="L1201" s="5" t="str" cm="1">
        <f t="array" ref="L1201">choice(Referentiel!C:C,1,Settings!$B$16)</f>
        <v/>
      </c>
      <c r="M1201" s="5" t="str" cm="1">
        <f t="array" ref="M1201">choice(Referentiel!E:E,1,Settings!$B$16)</f>
        <v/>
      </c>
      <c r="N1201" s="5" t="str" cm="1">
        <f t="array" ref="N1201">choice(Settings!K:K,1,Settings!$B$16)</f>
        <v/>
      </c>
      <c r="P1201" s="5">
        <f t="shared" si="76"/>
        <v>1</v>
      </c>
    </row>
    <row r="1202" spans="1:16" ht="15.75" customHeight="1" x14ac:dyDescent="0.25">
      <c r="A1202" s="6" t="s">
        <v>1554</v>
      </c>
      <c r="B1202" s="6" cm="1">
        <f t="array" ref="B1202">alea_int(Settings!$B$10,1,Settings!$B$16)</f>
        <v>3</v>
      </c>
      <c r="C1202" s="8">
        <v>46023</v>
      </c>
      <c r="D1202" s="8">
        <f t="shared" si="73"/>
        <v>46387</v>
      </c>
      <c r="E1202" s="6" t="str" cm="1">
        <f t="array" ref="E1202">choice(Groupes!A:A,1,Settings!$B$16)</f>
        <v>G8</v>
      </c>
      <c r="F1202" s="6" t="str">
        <f t="shared" si="74"/>
        <v>G8</v>
      </c>
      <c r="G1202" s="6" t="str">
        <f t="shared" si="75"/>
        <v>Prof9</v>
      </c>
      <c r="H1202" s="6" t="str" cm="1">
        <f t="array" ref="H1202">choice(Referentiel!A:A,1,Settings!$B$16)</f>
        <v>Cinéma d'Animation</v>
      </c>
      <c r="I1202" s="6" t="str" cm="1">
        <f t="array" ref="I1202">choice(Referentiel!B:B,1,Settings!$B$16)</f>
        <v>1ère Année Groupe 1 S1</v>
      </c>
      <c r="J1202" s="6" t="str" cm="1">
        <f t="array" ref="J1202">choice(Referentiel!D:D,1,Settings!$B$16)</f>
        <v>M1</v>
      </c>
      <c r="K1202" s="6" t="str" cm="1">
        <f t="array" ref="K1202">choice(Professeurs!B:B,1,Settings!$B$16)</f>
        <v>Prof9</v>
      </c>
      <c r="L1202" s="5" t="str" cm="1">
        <f t="array" ref="L1202">choice(Referentiel!C:C,1,Settings!$B$16)</f>
        <v/>
      </c>
      <c r="M1202" s="5" t="str" cm="1">
        <f t="array" ref="M1202">choice(Referentiel!E:E,1,Settings!$B$16)</f>
        <v/>
      </c>
      <c r="N1202" s="5" t="str" cm="1">
        <f t="array" ref="N1202">choice(Settings!K:K,1,Settings!$B$16)</f>
        <v>mercredi ap</v>
      </c>
      <c r="P1202" s="5">
        <f t="shared" si="76"/>
        <v>5</v>
      </c>
    </row>
    <row r="1203" spans="1:16" ht="15.75" customHeight="1" x14ac:dyDescent="0.25">
      <c r="A1203" s="6" t="s">
        <v>1555</v>
      </c>
      <c r="B1203" s="6" cm="1">
        <f t="array" ref="B1203">alea_int(Settings!$B$10,1,Settings!$B$16)</f>
        <v>1</v>
      </c>
      <c r="C1203" s="8">
        <v>46023</v>
      </c>
      <c r="D1203" s="8">
        <f t="shared" si="73"/>
        <v>46387</v>
      </c>
      <c r="E1203" s="6" t="str" cm="1">
        <f t="array" ref="E1203">choice(Groupes!A:A,1,Settings!$B$16)</f>
        <v>G26</v>
      </c>
      <c r="F1203" s="6" t="str">
        <f t="shared" si="74"/>
        <v>G26</v>
      </c>
      <c r="G1203" s="6" t="str">
        <f t="shared" si="75"/>
        <v>Prof38</v>
      </c>
      <c r="H1203" s="6" t="str" cm="1">
        <f t="array" ref="H1203">choice(Referentiel!A:A,1,Settings!$B$16)</f>
        <v>1ère année Groupe 3</v>
      </c>
      <c r="I1203" s="6" t="str" cm="1">
        <f t="array" ref="I1203">choice(Referentiel!B:B,1,Settings!$B$16)</f>
        <v>5ème année Art-Espace S1</v>
      </c>
      <c r="J1203" s="6" t="str" cm="1">
        <f t="array" ref="J1203">choice(Referentiel!D:D,1,Settings!$B$16)</f>
        <v>L1</v>
      </c>
      <c r="K1203" s="6" t="str" cm="1">
        <f t="array" ref="K1203">choice(Professeurs!B:B,1,Settings!$B$16)</f>
        <v>Prof38</v>
      </c>
      <c r="L1203" s="5" t="str" cm="1">
        <f t="array" ref="L1203">choice(Referentiel!C:C,1,Settings!$B$16)</f>
        <v/>
      </c>
      <c r="M1203" s="5" t="str" cm="1">
        <f t="array" ref="M1203">choice(Referentiel!E:E,1,Settings!$B$16)</f>
        <v/>
      </c>
      <c r="N1203" s="5" t="str" cm="1">
        <f t="array" ref="N1203">choice(Settings!K:K,1,Settings!$B$16)</f>
        <v/>
      </c>
      <c r="P1203" s="5">
        <f t="shared" si="76"/>
        <v>1</v>
      </c>
    </row>
    <row r="1204" spans="1:16" ht="15.75" customHeight="1" x14ac:dyDescent="0.25">
      <c r="A1204" s="6" t="s">
        <v>1556</v>
      </c>
      <c r="B1204" s="6" cm="1">
        <f t="array" ref="B1204">alea_int(Settings!$B$10,1,Settings!$B$16)</f>
        <v>1</v>
      </c>
      <c r="C1204" s="8">
        <v>46023</v>
      </c>
      <c r="D1204" s="8">
        <f t="shared" si="73"/>
        <v>46387</v>
      </c>
      <c r="E1204" s="6" t="str" cm="1">
        <f t="array" ref="E1204">choice(Groupes!A:A,1,Settings!$B$16)</f>
        <v>G2</v>
      </c>
      <c r="F1204" s="6" t="str">
        <f t="shared" si="74"/>
        <v>G2</v>
      </c>
      <c r="G1204" s="6" t="str">
        <f t="shared" si="75"/>
        <v>Prof32</v>
      </c>
      <c r="H1204" s="6" t="str" cm="1">
        <f t="array" ref="H1204">choice(Referentiel!A:A,1,Settings!$B$16)</f>
        <v>Gr SPATIAL MEDIA</v>
      </c>
      <c r="I1204" s="6" t="str" cm="1">
        <f t="array" ref="I1204">choice(Referentiel!B:B,1,Settings!$B$16)</f>
        <v>4ème année Art-Espace S2</v>
      </c>
      <c r="J1204" s="6" t="str" cm="1">
        <f t="array" ref="J1204">choice(Referentiel!D:D,1,Settings!$B$16)</f>
        <v>L1</v>
      </c>
      <c r="K1204" s="6" t="str" cm="1">
        <f t="array" ref="K1204">choice(Professeurs!B:B,1,Settings!$B$16)</f>
        <v>Prof32</v>
      </c>
      <c r="L1204" s="5" t="str" cm="1">
        <f t="array" ref="L1204">choice(Referentiel!C:C,1,Settings!$B$16)</f>
        <v/>
      </c>
      <c r="M1204" s="5" t="str" cm="1">
        <f t="array" ref="M1204">choice(Referentiel!E:E,1,Settings!$B$16)</f>
        <v/>
      </c>
      <c r="N1204" s="5" t="str" cm="1">
        <f t="array" ref="N1204">choice(Settings!K:K,1,Settings!$B$16)</f>
        <v/>
      </c>
      <c r="P1204" s="5">
        <f t="shared" si="76"/>
        <v>1</v>
      </c>
    </row>
    <row r="1205" spans="1:16" ht="15.75" customHeight="1" x14ac:dyDescent="0.25">
      <c r="A1205" s="6" t="s">
        <v>1557</v>
      </c>
      <c r="B1205" s="6" cm="1">
        <f t="array" ref="B1205">alea_int(Settings!$B$10,1,Settings!$B$16)</f>
        <v>3</v>
      </c>
      <c r="C1205" s="8">
        <v>46023</v>
      </c>
      <c r="D1205" s="8">
        <f t="shared" si="73"/>
        <v>46387</v>
      </c>
      <c r="E1205" s="6" t="str" cm="1">
        <f t="array" ref="E1205">choice(Groupes!A:A,1,Settings!$B$16)</f>
        <v>G23</v>
      </c>
      <c r="F1205" s="6" t="str">
        <f t="shared" si="74"/>
        <v>G23</v>
      </c>
      <c r="G1205" s="6" t="str">
        <f t="shared" si="75"/>
        <v>Prof47</v>
      </c>
      <c r="H1205" s="6" t="str" cm="1">
        <f t="array" ref="H1205">choice(Referentiel!A:A,1,Settings!$B$16)</f>
        <v>Design Textile et Matière</v>
      </c>
      <c r="I1205" s="6" t="str" cm="1">
        <f t="array" ref="I1205">choice(Referentiel!B:B,1,Settings!$B$16)</f>
        <v>5ème année Cinéma d'Animation S1</v>
      </c>
      <c r="J1205" s="6" t="str" cm="1">
        <f t="array" ref="J1205">choice(Referentiel!D:D,1,Settings!$B$16)</f>
        <v>M2</v>
      </c>
      <c r="K1205" s="6" t="str" cm="1">
        <f t="array" ref="K1205">choice(Professeurs!B:B,1,Settings!$B$16)</f>
        <v>Prof47</v>
      </c>
      <c r="L1205" s="5" t="str" cm="1">
        <f t="array" ref="L1205">choice(Referentiel!C:C,1,Settings!$B$16)</f>
        <v/>
      </c>
      <c r="M1205" s="5" t="str" cm="1">
        <f t="array" ref="M1205">choice(Referentiel!E:E,1,Settings!$B$16)</f>
        <v>Salle8</v>
      </c>
      <c r="N1205" s="5" t="str" cm="1">
        <f t="array" ref="N1205">choice(Settings!K:K,1,Settings!$B$16)</f>
        <v/>
      </c>
      <c r="P1205" s="5">
        <f t="shared" si="76"/>
        <v>5</v>
      </c>
    </row>
    <row r="1206" spans="1:16" ht="15.75" customHeight="1" x14ac:dyDescent="0.25">
      <c r="A1206" s="6" t="s">
        <v>1558</v>
      </c>
      <c r="B1206" s="6" cm="1">
        <f t="array" ref="B1206">alea_int(Settings!$B$10,1,Settings!$B$16)</f>
        <v>2</v>
      </c>
      <c r="C1206" s="8">
        <v>46023</v>
      </c>
      <c r="D1206" s="8">
        <f t="shared" si="73"/>
        <v>46387</v>
      </c>
      <c r="E1206" s="6" t="str" cm="1">
        <f t="array" ref="E1206">choice(Groupes!A:A,1,Settings!$B$16)</f>
        <v>G21</v>
      </c>
      <c r="F1206" s="6" t="str">
        <f t="shared" si="74"/>
        <v>G21</v>
      </c>
      <c r="G1206" s="6" t="str">
        <f t="shared" si="75"/>
        <v>Prof19</v>
      </c>
      <c r="H1206" s="6" t="str" cm="1">
        <f t="array" ref="H1206">choice(Referentiel!A:A,1,Settings!$B$16)</f>
        <v>Photo / Vidéo</v>
      </c>
      <c r="I1206" s="6" t="str" cm="1">
        <f t="array" ref="I1206">choice(Referentiel!B:B,1,Settings!$B$16)</f>
        <v>2ème année Design Graphique S2</v>
      </c>
      <c r="J1206" s="6" t="str" cm="1">
        <f t="array" ref="J1206">choice(Referentiel!D:D,1,Settings!$B$16)</f>
        <v>L2</v>
      </c>
      <c r="K1206" s="6" t="str" cm="1">
        <f t="array" ref="K1206">choice(Professeurs!B:B,1,Settings!$B$16)</f>
        <v>Prof19</v>
      </c>
      <c r="L1206" s="5" t="str" cm="1">
        <f t="array" ref="L1206">choice(Referentiel!C:C,1,Settings!$B$16)</f>
        <v/>
      </c>
      <c r="M1206" s="5" t="str" cm="1">
        <f t="array" ref="M1206">choice(Referentiel!E:E,1,Settings!$B$16)</f>
        <v/>
      </c>
      <c r="N1206" s="5" t="str" cm="1">
        <f t="array" ref="N1206">choice(Settings!K:K,1,Settings!$B$16)</f>
        <v/>
      </c>
      <c r="P1206" s="5">
        <f t="shared" si="76"/>
        <v>2</v>
      </c>
    </row>
    <row r="1207" spans="1:16" ht="15.75" customHeight="1" x14ac:dyDescent="0.25">
      <c r="A1207" s="6" t="s">
        <v>1559</v>
      </c>
      <c r="B1207" s="6" cm="1">
        <f t="array" ref="B1207">alea_int(Settings!$B$10,1,Settings!$B$16)</f>
        <v>3</v>
      </c>
      <c r="C1207" s="8">
        <v>46023</v>
      </c>
      <c r="D1207" s="8">
        <f t="shared" si="73"/>
        <v>46387</v>
      </c>
      <c r="E1207" s="6" t="str" cm="1">
        <f t="array" ref="E1207">choice(Groupes!A:A,1,Settings!$B$16)</f>
        <v>G2</v>
      </c>
      <c r="F1207" s="6" t="str">
        <f t="shared" si="74"/>
        <v>G2</v>
      </c>
      <c r="G1207" s="6" t="str">
        <f t="shared" si="75"/>
        <v>Prof9</v>
      </c>
      <c r="H1207" s="6" t="str" cm="1">
        <f t="array" ref="H1207">choice(Referentiel!A:A,1,Settings!$B$16)</f>
        <v>Design des mondes urbains</v>
      </c>
      <c r="I1207" s="6" t="str" cm="1">
        <f t="array" ref="I1207">choice(Referentiel!B:B,1,Settings!$B$16)</f>
        <v>3ème année Photo / Vidéo S1</v>
      </c>
      <c r="J1207" s="6" t="str" cm="1">
        <f t="array" ref="J1207">choice(Referentiel!D:D,1,Settings!$B$16)</f>
        <v>L2</v>
      </c>
      <c r="K1207" s="6" t="str" cm="1">
        <f t="array" ref="K1207">choice(Professeurs!B:B,1,Settings!$B$16)</f>
        <v>Prof9</v>
      </c>
      <c r="L1207" s="5" t="str" cm="1">
        <f t="array" ref="L1207">choice(Referentiel!C:C,1,Settings!$B$16)</f>
        <v>tablette</v>
      </c>
      <c r="M1207" s="5" t="str" cm="1">
        <f t="array" ref="M1207">choice(Referentiel!E:E,1,Settings!$B$16)</f>
        <v/>
      </c>
      <c r="N1207" s="5" t="str" cm="1">
        <f t="array" ref="N1207">choice(Settings!K:K,1,Settings!$B$16)</f>
        <v/>
      </c>
      <c r="P1207" s="5">
        <f t="shared" si="76"/>
        <v>3</v>
      </c>
    </row>
    <row r="1208" spans="1:16" ht="15.75" customHeight="1" x14ac:dyDescent="0.25">
      <c r="A1208" s="6" t="s">
        <v>1560</v>
      </c>
      <c r="B1208" s="6" cm="1">
        <f t="array" ref="B1208">alea_int(Settings!$B$10,1,Settings!$B$16)</f>
        <v>2</v>
      </c>
      <c r="C1208" s="8">
        <v>46023</v>
      </c>
      <c r="D1208" s="8">
        <f t="shared" si="73"/>
        <v>46387</v>
      </c>
      <c r="E1208" s="6" t="str" cm="1">
        <f t="array" ref="E1208">choice(Groupes!A:A,1,Settings!$B$16)</f>
        <v>G21</v>
      </c>
      <c r="F1208" s="6" t="str">
        <f t="shared" si="74"/>
        <v>G21</v>
      </c>
      <c r="G1208" s="6" t="str">
        <f t="shared" si="75"/>
        <v>Prof45</v>
      </c>
      <c r="H1208" s="6" t="str" cm="1">
        <f t="array" ref="H1208">choice(Referentiel!A:A,1,Settings!$B$16)</f>
        <v>1ère année Groupe 1</v>
      </c>
      <c r="I1208" s="6" t="str" cm="1">
        <f t="array" ref="I1208">choice(Referentiel!B:B,1,Settings!$B$16)</f>
        <v>2ème année Architecture Intérieure S1</v>
      </c>
      <c r="J1208" s="6" t="str" cm="1">
        <f t="array" ref="J1208">choice(Referentiel!D:D,1,Settings!$B$16)</f>
        <v>L1</v>
      </c>
      <c r="K1208" s="6" t="str" cm="1">
        <f t="array" ref="K1208">choice(Professeurs!B:B,1,Settings!$B$16)</f>
        <v>Prof45</v>
      </c>
      <c r="L1208" s="5" t="str" cm="1">
        <f t="array" ref="L1208">choice(Referentiel!C:C,1,Settings!$B$16)</f>
        <v/>
      </c>
      <c r="M1208" s="5" t="str" cm="1">
        <f t="array" ref="M1208">choice(Referentiel!E:E,1,Settings!$B$16)</f>
        <v/>
      </c>
      <c r="N1208" s="5" t="str" cm="1">
        <f t="array" ref="N1208">choice(Settings!K:K,1,Settings!$B$16)</f>
        <v/>
      </c>
      <c r="P1208" s="5">
        <f t="shared" si="76"/>
        <v>2</v>
      </c>
    </row>
    <row r="1209" spans="1:16" ht="15.75" customHeight="1" x14ac:dyDescent="0.25">
      <c r="A1209" s="6" t="s">
        <v>1561</v>
      </c>
      <c r="B1209" s="6" cm="1">
        <f t="array" ref="B1209">alea_int(Settings!$B$10,1,Settings!$B$16)</f>
        <v>1</v>
      </c>
      <c r="C1209" s="8">
        <v>46023</v>
      </c>
      <c r="D1209" s="8">
        <f t="shared" si="73"/>
        <v>46387</v>
      </c>
      <c r="E1209" s="6" t="str" cm="1">
        <f t="array" ref="E1209">choice(Groupes!A:A,1,Settings!$B$16)</f>
        <v>G6</v>
      </c>
      <c r="F1209" s="6" t="str">
        <f t="shared" si="74"/>
        <v>G6</v>
      </c>
      <c r="G1209" s="6" t="str">
        <f t="shared" si="75"/>
        <v>Prof51</v>
      </c>
      <c r="H1209" s="6" t="str" cm="1">
        <f t="array" ref="H1209">choice(Referentiel!A:A,1,Settings!$B$16)</f>
        <v>Design Objet</v>
      </c>
      <c r="I1209" s="6" t="str" cm="1">
        <f t="array" ref="I1209">choice(Referentiel!B:B,1,Settings!$B$16)</f>
        <v>1ère Année Groupe 2 S1</v>
      </c>
      <c r="J1209" s="6" t="str" cm="1">
        <f t="array" ref="J1209">choice(Referentiel!D:D,1,Settings!$B$16)</f>
        <v>L3</v>
      </c>
      <c r="K1209" s="6" t="str" cm="1">
        <f t="array" ref="K1209">choice(Professeurs!B:B,1,Settings!$B$16)</f>
        <v>Prof51</v>
      </c>
      <c r="L1209" s="5" t="str" cm="1">
        <f t="array" ref="L1209">choice(Referentiel!C:C,1,Settings!$B$16)</f>
        <v/>
      </c>
      <c r="M1209" s="5" t="str" cm="1">
        <f t="array" ref="M1209">choice(Referentiel!E:E,1,Settings!$B$16)</f>
        <v/>
      </c>
      <c r="N1209" s="5" t="str" cm="1">
        <f t="array" ref="N1209">choice(Settings!K:K,1,Settings!$B$16)</f>
        <v>lundi am</v>
      </c>
      <c r="P1209" s="5">
        <f t="shared" si="76"/>
        <v>3</v>
      </c>
    </row>
    <row r="1210" spans="1:16" ht="15.75" customHeight="1" x14ac:dyDescent="0.25">
      <c r="A1210" s="6" t="s">
        <v>1562</v>
      </c>
      <c r="B1210" s="6" cm="1">
        <f t="array" ref="B1210">alea_int(Settings!$B$10,1,Settings!$B$16)</f>
        <v>1</v>
      </c>
      <c r="C1210" s="8">
        <v>46023</v>
      </c>
      <c r="D1210" s="8">
        <f t="shared" si="73"/>
        <v>46387</v>
      </c>
      <c r="E1210" s="6" t="str" cm="1">
        <f t="array" ref="E1210">choice(Groupes!A:A,1,Settings!$B$16)</f>
        <v>G12</v>
      </c>
      <c r="F1210" s="6" t="str">
        <f t="shared" si="74"/>
        <v>G12</v>
      </c>
      <c r="G1210" s="6" t="str">
        <f t="shared" si="75"/>
        <v>Prof22</v>
      </c>
      <c r="H1210" s="6" t="str" cm="1">
        <f t="array" ref="H1210">choice(Referentiel!A:A,1,Settings!$B$16)</f>
        <v>1ère année Groupe 2</v>
      </c>
      <c r="I1210" s="6" t="str" cm="1">
        <f t="array" ref="I1210">choice(Referentiel!B:B,1,Settings!$B$16)</f>
        <v>2ème année Photo / Vidéo S1</v>
      </c>
      <c r="J1210" s="6" t="str" cm="1">
        <f t="array" ref="J1210">choice(Referentiel!D:D,1,Settings!$B$16)</f>
        <v>M2</v>
      </c>
      <c r="K1210" s="6" t="str" cm="1">
        <f t="array" ref="K1210">choice(Professeurs!B:B,1,Settings!$B$16)</f>
        <v>Prof22</v>
      </c>
      <c r="L1210" s="5" t="str" cm="1">
        <f t="array" ref="L1210">choice(Referentiel!C:C,1,Settings!$B$16)</f>
        <v/>
      </c>
      <c r="M1210" s="5" t="str" cm="1">
        <f t="array" ref="M1210">choice(Referentiel!E:E,1,Settings!$B$16)</f>
        <v/>
      </c>
      <c r="N1210" s="5" t="str" cm="1">
        <f t="array" ref="N1210">choice(Settings!K:K,1,Settings!$B$16)</f>
        <v/>
      </c>
      <c r="P1210" s="5">
        <f t="shared" si="76"/>
        <v>1</v>
      </c>
    </row>
    <row r="1211" spans="1:16" ht="15.75" customHeight="1" x14ac:dyDescent="0.25">
      <c r="A1211" s="6" t="s">
        <v>1563</v>
      </c>
      <c r="B1211" s="6" cm="1">
        <f t="array" ref="B1211">alea_int(Settings!$B$10,1,Settings!$B$16)</f>
        <v>2</v>
      </c>
      <c r="C1211" s="8">
        <v>46023</v>
      </c>
      <c r="D1211" s="8">
        <f t="shared" si="73"/>
        <v>46387</v>
      </c>
      <c r="E1211" s="6" t="str" cm="1">
        <f t="array" ref="E1211">choice(Groupes!A:A,1,Settings!$B$16)</f>
        <v>G12</v>
      </c>
      <c r="F1211" s="6" t="str">
        <f t="shared" si="74"/>
        <v>G12</v>
      </c>
      <c r="G1211" s="6" t="str">
        <f t="shared" si="75"/>
        <v>Prof22</v>
      </c>
      <c r="H1211" s="6" t="str" cm="1">
        <f t="array" ref="H1211">choice(Referentiel!A:A,1,Settings!$B$16)</f>
        <v>Art-Espace</v>
      </c>
      <c r="I1211" s="6" t="str" cm="1">
        <f t="array" ref="I1211">choice(Referentiel!B:B,1,Settings!$B$16)</f>
        <v>3ème année Design Vêtement S2</v>
      </c>
      <c r="J1211" s="6" t="str" cm="1">
        <f t="array" ref="J1211">choice(Referentiel!D:D,1,Settings!$B$16)</f>
        <v>L2</v>
      </c>
      <c r="K1211" s="6" t="str" cm="1">
        <f t="array" ref="K1211">choice(Professeurs!B:B,1,Settings!$B$16)</f>
        <v>Prof22</v>
      </c>
      <c r="L1211" s="5" t="str" cm="1">
        <f t="array" ref="L1211">choice(Referentiel!C:C,1,Settings!$B$16)</f>
        <v/>
      </c>
      <c r="M1211" s="5" t="str" cm="1">
        <f t="array" ref="M1211">choice(Referentiel!E:E,1,Settings!$B$16)</f>
        <v/>
      </c>
      <c r="N1211" s="5" t="str" cm="1">
        <f t="array" ref="N1211">choice(Settings!K:K,1,Settings!$B$16)</f>
        <v>vendredi pm</v>
      </c>
      <c r="P1211" s="5">
        <f t="shared" si="76"/>
        <v>4</v>
      </c>
    </row>
    <row r="1212" spans="1:16" ht="15.75" customHeight="1" x14ac:dyDescent="0.25">
      <c r="A1212" s="6" t="s">
        <v>1564</v>
      </c>
      <c r="B1212" s="6" cm="1">
        <f t="array" ref="B1212">alea_int(Settings!$B$10,1,Settings!$B$16)</f>
        <v>1</v>
      </c>
      <c r="C1212" s="8">
        <v>46023</v>
      </c>
      <c r="D1212" s="8">
        <f t="shared" si="73"/>
        <v>46387</v>
      </c>
      <c r="E1212" s="6" t="str" cm="1">
        <f t="array" ref="E1212">choice(Groupes!A:A,1,Settings!$B$16)</f>
        <v>G22</v>
      </c>
      <c r="F1212" s="6" t="str">
        <f t="shared" si="74"/>
        <v>G22</v>
      </c>
      <c r="G1212" s="6" t="str">
        <f t="shared" si="75"/>
        <v>Prof36</v>
      </c>
      <c r="H1212" s="6" t="str" cm="1">
        <f t="array" ref="H1212">choice(Referentiel!A:A,1,Settings!$B$16)</f>
        <v>Gr SOFT MATTERS</v>
      </c>
      <c r="I1212" s="6" t="str" cm="1">
        <f t="array" ref="I1212">choice(Referentiel!B:B,1,Settings!$B$16)</f>
        <v>1ère Année Groupe 3 S1</v>
      </c>
      <c r="J1212" s="6" t="str" cm="1">
        <f t="array" ref="J1212">choice(Referentiel!D:D,1,Settings!$B$16)</f>
        <v>L3</v>
      </c>
      <c r="K1212" s="6" t="str" cm="1">
        <f t="array" ref="K1212">choice(Professeurs!B:B,1,Settings!$B$16)</f>
        <v>Prof36</v>
      </c>
      <c r="L1212" s="5" t="str" cm="1">
        <f t="array" ref="L1212">choice(Referentiel!C:C,1,Settings!$B$16)</f>
        <v>pupitre</v>
      </c>
      <c r="M1212" s="5" t="str" cm="1">
        <f t="array" ref="M1212">choice(Referentiel!E:E,1,Settings!$B$16)</f>
        <v/>
      </c>
      <c r="N1212" s="5" t="str" cm="1">
        <f t="array" ref="N1212">choice(Settings!K:K,1,Settings!$B$16)</f>
        <v>lundi pm</v>
      </c>
      <c r="P1212" s="5">
        <f t="shared" si="76"/>
        <v>3</v>
      </c>
    </row>
    <row r="1213" spans="1:16" ht="15.75" customHeight="1" x14ac:dyDescent="0.25">
      <c r="A1213" s="6" t="s">
        <v>1565</v>
      </c>
      <c r="B1213" s="6" cm="1">
        <f t="array" ref="B1213">alea_int(Settings!$B$10,1,Settings!$B$16)</f>
        <v>2</v>
      </c>
      <c r="C1213" s="8">
        <v>46023</v>
      </c>
      <c r="D1213" s="8">
        <f t="shared" si="73"/>
        <v>46387</v>
      </c>
      <c r="E1213" s="6" t="str" cm="1">
        <f t="array" ref="E1213">choice(Groupes!A:A,1,Settings!$B$16)</f>
        <v>G12</v>
      </c>
      <c r="F1213" s="6" t="str">
        <f t="shared" si="74"/>
        <v>G12</v>
      </c>
      <c r="G1213" s="6" t="str">
        <f t="shared" si="75"/>
        <v>Prof1</v>
      </c>
      <c r="H1213" s="6" t="str" cm="1">
        <f t="array" ref="H1213">choice(Referentiel!A:A,1,Settings!$B$16)</f>
        <v>Design des mondes littoraux</v>
      </c>
      <c r="I1213" s="6" t="str" cm="1">
        <f t="array" ref="I1213">choice(Referentiel!B:B,1,Settings!$B$16)</f>
        <v>5ème année Image Imprimée S2</v>
      </c>
      <c r="J1213" s="6" t="str" cm="1">
        <f t="array" ref="J1213">choice(Referentiel!D:D,1,Settings!$B$16)</f>
        <v>L3</v>
      </c>
      <c r="K1213" s="6" t="str" cm="1">
        <f t="array" ref="K1213">choice(Professeurs!B:B,1,Settings!$B$16)</f>
        <v>Prof1</v>
      </c>
      <c r="L1213" s="5" t="str" cm="1">
        <f t="array" ref="L1213">choice(Referentiel!C:C,1,Settings!$B$16)</f>
        <v/>
      </c>
      <c r="M1213" s="5" t="str" cm="1">
        <f t="array" ref="M1213">choice(Referentiel!E:E,1,Settings!$B$16)</f>
        <v>Salle1</v>
      </c>
      <c r="N1213" s="5" t="str" cm="1">
        <f t="array" ref="N1213">choice(Settings!K:K,1,Settings!$B$16)</f>
        <v>jeudi pm</v>
      </c>
      <c r="P1213" s="5">
        <f t="shared" si="76"/>
        <v>6</v>
      </c>
    </row>
    <row r="1214" spans="1:16" ht="15.75" customHeight="1" x14ac:dyDescent="0.25">
      <c r="A1214" s="6" t="s">
        <v>1566</v>
      </c>
      <c r="B1214" s="6" cm="1">
        <f t="array" ref="B1214">alea_int(Settings!$B$10,1,Settings!$B$16)</f>
        <v>3</v>
      </c>
      <c r="C1214" s="8">
        <v>46023</v>
      </c>
      <c r="D1214" s="8">
        <f t="shared" si="73"/>
        <v>46387</v>
      </c>
      <c r="E1214" s="6" t="str" cm="1">
        <f t="array" ref="E1214">choice(Groupes!A:A,1,Settings!$B$16)</f>
        <v>G22</v>
      </c>
      <c r="F1214" s="6" t="str">
        <f t="shared" si="74"/>
        <v>G22</v>
      </c>
      <c r="G1214" s="6" t="str">
        <f t="shared" si="75"/>
        <v>Prof51</v>
      </c>
      <c r="H1214" s="6" t="str" cm="1">
        <f t="array" ref="H1214">choice(Referentiel!A:A,1,Settings!$B$16)</f>
        <v>Photo / Vidéo</v>
      </c>
      <c r="I1214" s="6" t="str" cm="1">
        <f t="array" ref="I1214">choice(Referentiel!B:B,1,Settings!$B$16)</f>
        <v>3ème année Design Graphique S2</v>
      </c>
      <c r="J1214" s="6" t="str" cm="1">
        <f t="array" ref="J1214">choice(Referentiel!D:D,1,Settings!$B$16)</f>
        <v>M1</v>
      </c>
      <c r="K1214" s="6" t="str" cm="1">
        <f t="array" ref="K1214">choice(Professeurs!B:B,1,Settings!$B$16)</f>
        <v>Prof51</v>
      </c>
      <c r="L1214" s="5" t="str" cm="1">
        <f t="array" ref="L1214">choice(Referentiel!C:C,1,Settings!$B$16)</f>
        <v/>
      </c>
      <c r="M1214" s="5" t="str" cm="1">
        <f t="array" ref="M1214">choice(Referentiel!E:E,1,Settings!$B$16)</f>
        <v/>
      </c>
      <c r="N1214" s="5" t="str" cm="1">
        <f t="array" ref="N1214">choice(Settings!K:K,1,Settings!$B$16)</f>
        <v>lundi pm</v>
      </c>
      <c r="P1214" s="5">
        <f t="shared" si="76"/>
        <v>5</v>
      </c>
    </row>
    <row r="1215" spans="1:16" ht="15.75" customHeight="1" x14ac:dyDescent="0.25">
      <c r="A1215" s="6" t="s">
        <v>1567</v>
      </c>
      <c r="B1215" s="6" cm="1">
        <f t="array" ref="B1215">alea_int(Settings!$B$10,1,Settings!$B$16)</f>
        <v>1</v>
      </c>
      <c r="C1215" s="8">
        <v>46023</v>
      </c>
      <c r="D1215" s="8">
        <f t="shared" si="73"/>
        <v>46387</v>
      </c>
      <c r="E1215" s="6" t="str" cm="1">
        <f t="array" ref="E1215">choice(Groupes!A:A,1,Settings!$B$16)</f>
        <v>G20</v>
      </c>
      <c r="F1215" s="6" t="str">
        <f t="shared" si="74"/>
        <v>G20</v>
      </c>
      <c r="G1215" s="6" t="str">
        <f t="shared" si="75"/>
        <v>Prof25</v>
      </c>
      <c r="H1215" s="6" t="str" cm="1">
        <f t="array" ref="H1215">choice(Referentiel!A:A,1,Settings!$B$16)</f>
        <v>Design des mondes littoraux</v>
      </c>
      <c r="I1215" s="6" t="str" cm="1">
        <f t="array" ref="I1215">choice(Referentiel!B:B,1,Settings!$B$16)</f>
        <v>4ème année Design Textile et Matière S2</v>
      </c>
      <c r="J1215" s="6" t="str" cm="1">
        <f t="array" ref="J1215">choice(Referentiel!D:D,1,Settings!$B$16)</f>
        <v>M2</v>
      </c>
      <c r="K1215" s="6" t="str" cm="1">
        <f t="array" ref="K1215">choice(Professeurs!B:B,1,Settings!$B$16)</f>
        <v>Prof25</v>
      </c>
      <c r="L1215" s="5" t="str" cm="1">
        <f t="array" ref="L1215">choice(Referentiel!C:C,1,Settings!$B$16)</f>
        <v/>
      </c>
      <c r="M1215" s="5" t="str" cm="1">
        <f t="array" ref="M1215">choice(Referentiel!E:E,1,Settings!$B$16)</f>
        <v/>
      </c>
      <c r="N1215" s="5" t="str" cm="1">
        <f t="array" ref="N1215">choice(Settings!K:K,1,Settings!$B$16)</f>
        <v/>
      </c>
      <c r="P1215" s="5">
        <f t="shared" si="76"/>
        <v>1</v>
      </c>
    </row>
    <row r="1216" spans="1:16" ht="15.75" customHeight="1" x14ac:dyDescent="0.25">
      <c r="A1216" s="6" t="s">
        <v>1568</v>
      </c>
      <c r="B1216" s="6" cm="1">
        <f t="array" ref="B1216">alea_int(Settings!$B$10,1,Settings!$B$16)</f>
        <v>3</v>
      </c>
      <c r="C1216" s="8">
        <v>46023</v>
      </c>
      <c r="D1216" s="8">
        <f t="shared" si="73"/>
        <v>46387</v>
      </c>
      <c r="E1216" s="6" t="str" cm="1">
        <f t="array" ref="E1216">choice(Groupes!A:A,1,Settings!$B$16)</f>
        <v>G11</v>
      </c>
      <c r="F1216" s="6" t="str">
        <f t="shared" si="74"/>
        <v>G11</v>
      </c>
      <c r="G1216" s="6" t="str">
        <f t="shared" si="75"/>
        <v>Prof36</v>
      </c>
      <c r="H1216" s="6" t="str" cm="1">
        <f t="array" ref="H1216">choice(Referentiel!A:A,1,Settings!$B$16)</f>
        <v>Design Textile et Matière</v>
      </c>
      <c r="I1216" s="6" t="str" cm="1">
        <f t="array" ref="I1216">choice(Referentiel!B:B,1,Settings!$B$16)</f>
        <v>5ème année Design Graphique S2</v>
      </c>
      <c r="J1216" s="6" t="str" cm="1">
        <f t="array" ref="J1216">choice(Referentiel!D:D,1,Settings!$B$16)</f>
        <v>M1</v>
      </c>
      <c r="K1216" s="6" t="str" cm="1">
        <f t="array" ref="K1216">choice(Professeurs!B:B,1,Settings!$B$16)</f>
        <v>Prof36</v>
      </c>
      <c r="L1216" s="5" t="str" cm="1">
        <f t="array" ref="L1216">choice(Referentiel!C:C,1,Settings!$B$16)</f>
        <v/>
      </c>
      <c r="M1216" s="5" t="str" cm="1">
        <f t="array" ref="M1216">choice(Referentiel!E:E,1,Settings!$B$16)</f>
        <v/>
      </c>
      <c r="N1216" s="5" t="str" cm="1">
        <f t="array" ref="N1216">choice(Settings!K:K,1,Settings!$B$16)</f>
        <v>vendredi pm</v>
      </c>
      <c r="P1216" s="5">
        <f t="shared" si="76"/>
        <v>5</v>
      </c>
    </row>
    <row r="1217" spans="1:16" ht="15.75" customHeight="1" x14ac:dyDescent="0.25">
      <c r="A1217" s="6" t="s">
        <v>1569</v>
      </c>
      <c r="B1217" s="6" cm="1">
        <f t="array" ref="B1217">alea_int(Settings!$B$10,1,Settings!$B$16)</f>
        <v>2</v>
      </c>
      <c r="C1217" s="8">
        <v>46023</v>
      </c>
      <c r="D1217" s="8">
        <f t="shared" si="73"/>
        <v>46387</v>
      </c>
      <c r="E1217" s="6" t="str" cm="1">
        <f t="array" ref="E1217">choice(Groupes!A:A,1,Settings!$B$16)</f>
        <v>G14</v>
      </c>
      <c r="F1217" s="6" t="str">
        <f t="shared" si="74"/>
        <v>G14</v>
      </c>
      <c r="G1217" s="6" t="str">
        <f t="shared" si="75"/>
        <v>Prof8</v>
      </c>
      <c r="H1217" s="6" t="str" cm="1">
        <f t="array" ref="H1217">choice(Referentiel!A:A,1,Settings!$B$16)</f>
        <v>Image Imprimée</v>
      </c>
      <c r="I1217" s="6" t="str" cm="1">
        <f t="array" ref="I1217">choice(Referentiel!B:B,1,Settings!$B$16)</f>
        <v>2ème année Image Imprimée S1</v>
      </c>
      <c r="J1217" s="6" t="str" cm="1">
        <f t="array" ref="J1217">choice(Referentiel!D:D,1,Settings!$B$16)</f>
        <v>M2</v>
      </c>
      <c r="K1217" s="6" t="str" cm="1">
        <f t="array" ref="K1217">choice(Professeurs!B:B,1,Settings!$B$16)</f>
        <v>Prof8</v>
      </c>
      <c r="L1217" s="5" t="str" cm="1">
        <f t="array" ref="L1217">choice(Referentiel!C:C,1,Settings!$B$16)</f>
        <v/>
      </c>
      <c r="M1217" s="5" t="str" cm="1">
        <f t="array" ref="M1217">choice(Referentiel!E:E,1,Settings!$B$16)</f>
        <v/>
      </c>
      <c r="N1217" s="5" t="str" cm="1">
        <f t="array" ref="N1217">choice(Settings!K:K,1,Settings!$B$16)</f>
        <v>mercredi pm</v>
      </c>
      <c r="P1217" s="5">
        <f t="shared" si="76"/>
        <v>4</v>
      </c>
    </row>
    <row r="1218" spans="1:16" ht="15.75" customHeight="1" x14ac:dyDescent="0.25">
      <c r="A1218" s="6" t="s">
        <v>1570</v>
      </c>
      <c r="B1218" s="6" cm="1">
        <f t="array" ref="B1218">alea_int(Settings!$B$10,1,Settings!$B$16)</f>
        <v>3</v>
      </c>
      <c r="C1218" s="8">
        <v>46023</v>
      </c>
      <c r="D1218" s="8">
        <f t="shared" si="73"/>
        <v>46387</v>
      </c>
      <c r="E1218" s="6" t="str" cm="1">
        <f t="array" ref="E1218">choice(Groupes!A:A,1,Settings!$B$16)</f>
        <v>G27</v>
      </c>
      <c r="F1218" s="6" t="str">
        <f t="shared" si="74"/>
        <v>G27</v>
      </c>
      <c r="G1218" s="6" t="str">
        <f t="shared" si="75"/>
        <v>Prof25</v>
      </c>
      <c r="H1218" s="6" t="str" cm="1">
        <f t="array" ref="H1218">choice(Referentiel!A:A,1,Settings!$B$16)</f>
        <v>Gr SYMBIOSE</v>
      </c>
      <c r="I1218" s="6" t="str" cm="1">
        <f t="array" ref="I1218">choice(Referentiel!B:B,1,Settings!$B$16)</f>
        <v>3ème année Scénographie S1</v>
      </c>
      <c r="J1218" s="6" t="str" cm="1">
        <f t="array" ref="J1218">choice(Referentiel!D:D,1,Settings!$B$16)</f>
        <v>L1</v>
      </c>
      <c r="K1218" s="6" t="str" cm="1">
        <f t="array" ref="K1218">choice(Professeurs!B:B,1,Settings!$B$16)</f>
        <v>Prof25</v>
      </c>
      <c r="L1218" s="5" t="str" cm="1">
        <f t="array" ref="L1218">choice(Referentiel!C:C,1,Settings!$B$16)</f>
        <v/>
      </c>
      <c r="M1218" s="5" t="str" cm="1">
        <f t="array" ref="M1218">choice(Referentiel!E:E,1,Settings!$B$16)</f>
        <v/>
      </c>
      <c r="N1218" s="5" t="str" cm="1">
        <f t="array" ref="N1218">choice(Settings!K:K,1,Settings!$B$16)</f>
        <v>vendredi am</v>
      </c>
      <c r="P1218" s="5">
        <f t="shared" si="76"/>
        <v>5</v>
      </c>
    </row>
    <row r="1219" spans="1:16" ht="15.75" customHeight="1" x14ac:dyDescent="0.25">
      <c r="A1219" s="6" t="s">
        <v>1571</v>
      </c>
      <c r="B1219" s="6" cm="1">
        <f t="array" ref="B1219">alea_int(Settings!$B$10,1,Settings!$B$16)</f>
        <v>3</v>
      </c>
      <c r="C1219" s="8">
        <v>46023</v>
      </c>
      <c r="D1219" s="8">
        <f t="shared" ref="D1219:D1282" si="77">C1219+364</f>
        <v>46387</v>
      </c>
      <c r="E1219" s="6" t="str" cm="1">
        <f t="array" ref="E1219">choice(Groupes!A:A,1,Settings!$B$16)</f>
        <v>G29</v>
      </c>
      <c r="F1219" s="6" t="str">
        <f t="shared" ref="F1219:F1282" si="78">E1219</f>
        <v>G29</v>
      </c>
      <c r="G1219" s="6" t="str">
        <f t="shared" ref="G1219:G1282" si="79">K1219</f>
        <v>Prof43</v>
      </c>
      <c r="H1219" s="6" t="str" cm="1">
        <f t="array" ref="H1219">choice(Referentiel!A:A,1,Settings!$B$16)</f>
        <v>Gr REFLECTIVE INTERACTION</v>
      </c>
      <c r="I1219" s="6" t="str" cm="1">
        <f t="array" ref="I1219">choice(Referentiel!B:B,1,Settings!$B$16)</f>
        <v>2ème année Design Textile et Matière S2</v>
      </c>
      <c r="J1219" s="6" t="str" cm="1">
        <f t="array" ref="J1219">choice(Referentiel!D:D,1,Settings!$B$16)</f>
        <v>L1</v>
      </c>
      <c r="K1219" s="6" t="str" cm="1">
        <f t="array" ref="K1219">choice(Professeurs!B:B,1,Settings!$B$16)</f>
        <v>Prof43</v>
      </c>
      <c r="L1219" s="5" t="str" cm="1">
        <f t="array" ref="L1219">choice(Referentiel!C:C,1,Settings!$B$16)</f>
        <v/>
      </c>
      <c r="M1219" s="5" t="str" cm="1">
        <f t="array" ref="M1219">choice(Referentiel!E:E,1,Settings!$B$16)</f>
        <v>Salle8</v>
      </c>
      <c r="N1219" s="5" t="str" cm="1">
        <f t="array" ref="N1219">choice(Settings!K:K,1,Settings!$B$16)</f>
        <v/>
      </c>
      <c r="P1219" s="5">
        <f t="shared" ref="P1219:P1282" si="80">B1219+IF(M1219&lt;&gt;"",2,0)+IF(N1219&lt;&gt;"",2,0)</f>
        <v>5</v>
      </c>
    </row>
    <row r="1220" spans="1:16" ht="15.75" customHeight="1" x14ac:dyDescent="0.25">
      <c r="A1220" s="6" t="s">
        <v>1572</v>
      </c>
      <c r="B1220" s="6" cm="1">
        <f t="array" ref="B1220">alea_int(Settings!$B$10,1,Settings!$B$16)</f>
        <v>2</v>
      </c>
      <c r="C1220" s="8">
        <v>46023</v>
      </c>
      <c r="D1220" s="8">
        <f t="shared" si="77"/>
        <v>46387</v>
      </c>
      <c r="E1220" s="6" t="str" cm="1">
        <f t="array" ref="E1220">choice(Groupes!A:A,1,Settings!$B$16)</f>
        <v>G20</v>
      </c>
      <c r="F1220" s="6" t="str">
        <f t="shared" si="78"/>
        <v>G20</v>
      </c>
      <c r="G1220" s="6" t="str">
        <f t="shared" si="79"/>
        <v>Prof7</v>
      </c>
      <c r="H1220" s="6" t="str" cm="1">
        <f t="array" ref="H1220">choice(Referentiel!A:A,1,Settings!$B$16)</f>
        <v>1ère année Groupe 2</v>
      </c>
      <c r="I1220" s="6" t="str" cm="1">
        <f t="array" ref="I1220">choice(Referentiel!B:B,1,Settings!$B$16)</f>
        <v>5ème année Photo / Vidéo S1</v>
      </c>
      <c r="J1220" s="6" t="str" cm="1">
        <f t="array" ref="J1220">choice(Referentiel!D:D,1,Settings!$B$16)</f>
        <v>L2</v>
      </c>
      <c r="K1220" s="6" t="str" cm="1">
        <f t="array" ref="K1220">choice(Professeurs!B:B,1,Settings!$B$16)</f>
        <v>Prof7</v>
      </c>
      <c r="L1220" s="5" t="str" cm="1">
        <f t="array" ref="L1220">choice(Referentiel!C:C,1,Settings!$B$16)</f>
        <v/>
      </c>
      <c r="M1220" s="5" t="str" cm="1">
        <f t="array" ref="M1220">choice(Referentiel!E:E,1,Settings!$B$16)</f>
        <v/>
      </c>
      <c r="N1220" s="5" t="str" cm="1">
        <f t="array" ref="N1220">choice(Settings!K:K,1,Settings!$B$16)</f>
        <v/>
      </c>
      <c r="P1220" s="5">
        <f t="shared" si="80"/>
        <v>2</v>
      </c>
    </row>
    <row r="1221" spans="1:16" ht="15.75" customHeight="1" x14ac:dyDescent="0.25">
      <c r="A1221" s="6" t="s">
        <v>1573</v>
      </c>
      <c r="B1221" s="6" cm="1">
        <f t="array" ref="B1221">alea_int(Settings!$B$10,1,Settings!$B$16)</f>
        <v>1</v>
      </c>
      <c r="C1221" s="8">
        <v>46023</v>
      </c>
      <c r="D1221" s="8">
        <f t="shared" si="77"/>
        <v>46387</v>
      </c>
      <c r="E1221" s="6" t="str" cm="1">
        <f t="array" ref="E1221">choice(Groupes!A:A,1,Settings!$B$16)</f>
        <v>G2</v>
      </c>
      <c r="F1221" s="6" t="str">
        <f t="shared" si="78"/>
        <v>G2</v>
      </c>
      <c r="G1221" s="6" t="str">
        <f t="shared" si="79"/>
        <v>Prof5</v>
      </c>
      <c r="H1221" s="6" t="str" cm="1">
        <f t="array" ref="H1221">choice(Referentiel!A:A,1,Settings!$B$16)</f>
        <v>Gr REFLECTIVE INTERACTION</v>
      </c>
      <c r="I1221" s="6" t="str" cm="1">
        <f t="array" ref="I1221">choice(Referentiel!B:B,1,Settings!$B$16)</f>
        <v>5ème année Image Imprimée S2</v>
      </c>
      <c r="J1221" s="6" t="str" cm="1">
        <f t="array" ref="J1221">choice(Referentiel!D:D,1,Settings!$B$16)</f>
        <v>L3</v>
      </c>
      <c r="K1221" s="6" t="str" cm="1">
        <f t="array" ref="K1221">choice(Professeurs!B:B,1,Settings!$B$16)</f>
        <v>Prof5</v>
      </c>
      <c r="L1221" s="5" t="str" cm="1">
        <f t="array" ref="L1221">choice(Referentiel!C:C,1,Settings!$B$16)</f>
        <v/>
      </c>
      <c r="M1221" s="5" t="str" cm="1">
        <f t="array" ref="M1221">choice(Referentiel!E:E,1,Settings!$B$16)</f>
        <v/>
      </c>
      <c r="N1221" s="5" t="str" cm="1">
        <f t="array" ref="N1221">choice(Settings!K:K,1,Settings!$B$16)</f>
        <v/>
      </c>
      <c r="P1221" s="5">
        <f t="shared" si="80"/>
        <v>1</v>
      </c>
    </row>
    <row r="1222" spans="1:16" ht="15.75" customHeight="1" x14ac:dyDescent="0.25">
      <c r="A1222" s="6" t="s">
        <v>1574</v>
      </c>
      <c r="B1222" s="6" cm="1">
        <f t="array" ref="B1222">alea_int(Settings!$B$10,1,Settings!$B$16)</f>
        <v>3</v>
      </c>
      <c r="C1222" s="8">
        <v>46023</v>
      </c>
      <c r="D1222" s="8">
        <f t="shared" si="77"/>
        <v>46387</v>
      </c>
      <c r="E1222" s="6" t="str" cm="1">
        <f t="array" ref="E1222">choice(Groupes!A:A,1,Settings!$B$16)</f>
        <v>G8</v>
      </c>
      <c r="F1222" s="6" t="str">
        <f t="shared" si="78"/>
        <v>G8</v>
      </c>
      <c r="G1222" s="6" t="str">
        <f t="shared" si="79"/>
        <v>Prof19</v>
      </c>
      <c r="H1222" s="6" t="str" cm="1">
        <f t="array" ref="H1222">choice(Referentiel!A:A,1,Settings!$B$16)</f>
        <v>Gr REFLECTIVE INTERACTION</v>
      </c>
      <c r="I1222" s="6" t="str" cm="1">
        <f t="array" ref="I1222">choice(Referentiel!B:B,1,Settings!$B$16)</f>
        <v>4ème année Art-Espace S1</v>
      </c>
      <c r="J1222" s="6" t="str" cm="1">
        <f t="array" ref="J1222">choice(Referentiel!D:D,1,Settings!$B$16)</f>
        <v>L2</v>
      </c>
      <c r="K1222" s="6" t="str" cm="1">
        <f t="array" ref="K1222">choice(Professeurs!B:B,1,Settings!$B$16)</f>
        <v>Prof19</v>
      </c>
      <c r="L1222" s="5" t="str" cm="1">
        <f t="array" ref="L1222">choice(Referentiel!C:C,1,Settings!$B$16)</f>
        <v/>
      </c>
      <c r="M1222" s="5" t="str" cm="1">
        <f t="array" ref="M1222">choice(Referentiel!E:E,1,Settings!$B$16)</f>
        <v/>
      </c>
      <c r="N1222" s="5" t="str" cm="1">
        <f t="array" ref="N1222">choice(Settings!K:K,1,Settings!$B$16)</f>
        <v/>
      </c>
      <c r="P1222" s="5">
        <f t="shared" si="80"/>
        <v>3</v>
      </c>
    </row>
    <row r="1223" spans="1:16" ht="15.75" customHeight="1" x14ac:dyDescent="0.25">
      <c r="A1223" s="6" t="s">
        <v>1575</v>
      </c>
      <c r="B1223" s="6" cm="1">
        <f t="array" ref="B1223">alea_int(Settings!$B$10,1,Settings!$B$16)</f>
        <v>3</v>
      </c>
      <c r="C1223" s="8">
        <v>46023</v>
      </c>
      <c r="D1223" s="8">
        <f t="shared" si="77"/>
        <v>46387</v>
      </c>
      <c r="E1223" s="6" t="str" cm="1">
        <f t="array" ref="E1223">choice(Groupes!A:A,1,Settings!$B$16)</f>
        <v>G4</v>
      </c>
      <c r="F1223" s="6" t="str">
        <f t="shared" si="78"/>
        <v>G4</v>
      </c>
      <c r="G1223" s="6" t="str">
        <f t="shared" si="79"/>
        <v>Prof24</v>
      </c>
      <c r="H1223" s="6" t="str" cm="1">
        <f t="array" ref="H1223">choice(Referentiel!A:A,1,Settings!$B$16)</f>
        <v>Design des mondes ruraux</v>
      </c>
      <c r="I1223" s="6" t="str" cm="1">
        <f t="array" ref="I1223">choice(Referentiel!B:B,1,Settings!$B$16)</f>
        <v>2ème année Design Graphique S1</v>
      </c>
      <c r="J1223" s="6" t="str" cm="1">
        <f t="array" ref="J1223">choice(Referentiel!D:D,1,Settings!$B$16)</f>
        <v>M1</v>
      </c>
      <c r="K1223" s="6" t="str" cm="1">
        <f t="array" ref="K1223">choice(Professeurs!B:B,1,Settings!$B$16)</f>
        <v>Prof24</v>
      </c>
      <c r="L1223" s="5" t="str" cm="1">
        <f t="array" ref="L1223">choice(Referentiel!C:C,1,Settings!$B$16)</f>
        <v/>
      </c>
      <c r="M1223" s="5" t="str" cm="1">
        <f t="array" ref="M1223">choice(Referentiel!E:E,1,Settings!$B$16)</f>
        <v/>
      </c>
      <c r="N1223" s="5" t="str" cm="1">
        <f t="array" ref="N1223">choice(Settings!K:K,1,Settings!$B$16)</f>
        <v/>
      </c>
      <c r="P1223" s="5">
        <f t="shared" si="80"/>
        <v>3</v>
      </c>
    </row>
    <row r="1224" spans="1:16" ht="15.75" customHeight="1" x14ac:dyDescent="0.25">
      <c r="A1224" s="6" t="s">
        <v>1576</v>
      </c>
      <c r="B1224" s="6" cm="1">
        <f t="array" ref="B1224">alea_int(Settings!$B$10,1,Settings!$B$16)</f>
        <v>1</v>
      </c>
      <c r="C1224" s="8">
        <v>46023</v>
      </c>
      <c r="D1224" s="8">
        <f t="shared" si="77"/>
        <v>46387</v>
      </c>
      <c r="E1224" s="6" t="str" cm="1">
        <f t="array" ref="E1224">choice(Groupes!A:A,1,Settings!$B$16)</f>
        <v>G16</v>
      </c>
      <c r="F1224" s="6" t="str">
        <f t="shared" si="78"/>
        <v>G16</v>
      </c>
      <c r="G1224" s="6" t="str">
        <f t="shared" si="79"/>
        <v>Prof12</v>
      </c>
      <c r="H1224" s="6" t="str" cm="1">
        <f t="array" ref="H1224">choice(Referentiel!A:A,1,Settings!$B$16)</f>
        <v>Gr SYMBIOSE</v>
      </c>
      <c r="I1224" s="6" t="str" cm="1">
        <f t="array" ref="I1224">choice(Referentiel!B:B,1,Settings!$B$16)</f>
        <v>5ème année Art-Espace S1</v>
      </c>
      <c r="J1224" s="6" t="str" cm="1">
        <f t="array" ref="J1224">choice(Referentiel!D:D,1,Settings!$B$16)</f>
        <v>L1</v>
      </c>
      <c r="K1224" s="6" t="str" cm="1">
        <f t="array" ref="K1224">choice(Professeurs!B:B,1,Settings!$B$16)</f>
        <v>Prof12</v>
      </c>
      <c r="L1224" s="5" t="str" cm="1">
        <f t="array" ref="L1224">choice(Referentiel!C:C,1,Settings!$B$16)</f>
        <v/>
      </c>
      <c r="M1224" s="5" t="str" cm="1">
        <f t="array" ref="M1224">choice(Referentiel!E:E,1,Settings!$B$16)</f>
        <v>Salle13</v>
      </c>
      <c r="N1224" s="5" t="str" cm="1">
        <f t="array" ref="N1224">choice(Settings!K:K,1,Settings!$B$16)</f>
        <v/>
      </c>
      <c r="P1224" s="5">
        <f t="shared" si="80"/>
        <v>3</v>
      </c>
    </row>
    <row r="1225" spans="1:16" ht="15.75" customHeight="1" x14ac:dyDescent="0.25">
      <c r="A1225" s="6" t="s">
        <v>1577</v>
      </c>
      <c r="B1225" s="6" cm="1">
        <f t="array" ref="B1225">alea_int(Settings!$B$10,1,Settings!$B$16)</f>
        <v>3</v>
      </c>
      <c r="C1225" s="8">
        <v>46023</v>
      </c>
      <c r="D1225" s="8">
        <f t="shared" si="77"/>
        <v>46387</v>
      </c>
      <c r="E1225" s="6" t="str" cm="1">
        <f t="array" ref="E1225">choice(Groupes!A:A,1,Settings!$B$16)</f>
        <v>G15</v>
      </c>
      <c r="F1225" s="6" t="str">
        <f t="shared" si="78"/>
        <v>G15</v>
      </c>
      <c r="G1225" s="6" t="str">
        <f t="shared" si="79"/>
        <v>Prof37</v>
      </c>
      <c r="H1225" s="6" t="str" cm="1">
        <f t="array" ref="H1225">choice(Referentiel!A:A,1,Settings!$B$16)</f>
        <v>6ème année atelier</v>
      </c>
      <c r="I1225" s="6" t="str" cm="1">
        <f t="array" ref="I1225">choice(Referentiel!B:B,1,Settings!$B$16)</f>
        <v>3ème année Design Vêtement S1</v>
      </c>
      <c r="J1225" s="6" t="str" cm="1">
        <f t="array" ref="J1225">choice(Referentiel!D:D,1,Settings!$B$16)</f>
        <v>M1</v>
      </c>
      <c r="K1225" s="6" t="str" cm="1">
        <f t="array" ref="K1225">choice(Professeurs!B:B,1,Settings!$B$16)</f>
        <v>Prof37</v>
      </c>
      <c r="L1225" s="5" t="str" cm="1">
        <f t="array" ref="L1225">choice(Referentiel!C:C,1,Settings!$B$16)</f>
        <v/>
      </c>
      <c r="M1225" s="5" t="str" cm="1">
        <f t="array" ref="M1225">choice(Referentiel!E:E,1,Settings!$B$16)</f>
        <v/>
      </c>
      <c r="N1225" s="5" t="str" cm="1">
        <f t="array" ref="N1225">choice(Settings!K:K,1,Settings!$B$16)</f>
        <v/>
      </c>
      <c r="P1225" s="5">
        <f t="shared" si="80"/>
        <v>3</v>
      </c>
    </row>
    <row r="1226" spans="1:16" ht="15.75" customHeight="1" x14ac:dyDescent="0.25">
      <c r="A1226" s="6" t="s">
        <v>1578</v>
      </c>
      <c r="B1226" s="6" cm="1">
        <f t="array" ref="B1226">alea_int(Settings!$B$10,1,Settings!$B$16)</f>
        <v>1</v>
      </c>
      <c r="C1226" s="8">
        <v>46023</v>
      </c>
      <c r="D1226" s="8">
        <f t="shared" si="77"/>
        <v>46387</v>
      </c>
      <c r="E1226" s="6" t="str" cm="1">
        <f t="array" ref="E1226">choice(Groupes!A:A,1,Settings!$B$16)</f>
        <v>G18</v>
      </c>
      <c r="F1226" s="6" t="str">
        <f t="shared" si="78"/>
        <v>G18</v>
      </c>
      <c r="G1226" s="6" t="str">
        <f t="shared" si="79"/>
        <v>Prof29</v>
      </c>
      <c r="H1226" s="6" t="str" cm="1">
        <f t="array" ref="H1226">choice(Referentiel!A:A,1,Settings!$B$16)</f>
        <v>Scénographie</v>
      </c>
      <c r="I1226" s="6" t="str" cm="1">
        <f t="array" ref="I1226">choice(Referentiel!B:B,1,Settings!$B$16)</f>
        <v>1ère Année Groupe 4 S2</v>
      </c>
      <c r="J1226" s="6" t="str" cm="1">
        <f t="array" ref="J1226">choice(Referentiel!D:D,1,Settings!$B$16)</f>
        <v>L2</v>
      </c>
      <c r="K1226" s="6" t="str" cm="1">
        <f t="array" ref="K1226">choice(Professeurs!B:B,1,Settings!$B$16)</f>
        <v>Prof29</v>
      </c>
      <c r="L1226" s="5" t="str" cm="1">
        <f t="array" ref="L1226">choice(Referentiel!C:C,1,Settings!$B$16)</f>
        <v/>
      </c>
      <c r="M1226" s="5" t="str" cm="1">
        <f t="array" ref="M1226">choice(Referentiel!E:E,1,Settings!$B$16)</f>
        <v/>
      </c>
      <c r="N1226" s="5" t="str" cm="1">
        <f t="array" ref="N1226">choice(Settings!K:K,1,Settings!$B$16)</f>
        <v/>
      </c>
      <c r="P1226" s="5">
        <f t="shared" si="80"/>
        <v>1</v>
      </c>
    </row>
    <row r="1227" spans="1:16" ht="15.75" customHeight="1" x14ac:dyDescent="0.25">
      <c r="A1227" s="6" t="s">
        <v>1579</v>
      </c>
      <c r="B1227" s="6" cm="1">
        <f t="array" ref="B1227">alea_int(Settings!$B$10,1,Settings!$B$16)</f>
        <v>3</v>
      </c>
      <c r="C1227" s="8">
        <v>46023</v>
      </c>
      <c r="D1227" s="8">
        <f t="shared" si="77"/>
        <v>46387</v>
      </c>
      <c r="E1227" s="6" t="str" cm="1">
        <f t="array" ref="E1227">choice(Groupes!A:A,1,Settings!$B$16)</f>
        <v>G8</v>
      </c>
      <c r="F1227" s="6" t="str">
        <f t="shared" si="78"/>
        <v>G8</v>
      </c>
      <c r="G1227" s="6" t="str">
        <f t="shared" si="79"/>
        <v>Prof10</v>
      </c>
      <c r="H1227" s="6" t="str" cm="1">
        <f t="array" ref="H1227">choice(Referentiel!A:A,1,Settings!$B$16)</f>
        <v>Cinéma d'Animation</v>
      </c>
      <c r="I1227" s="6" t="str" cm="1">
        <f t="array" ref="I1227">choice(Referentiel!B:B,1,Settings!$B$16)</f>
        <v>3ème année Design Graphique S2</v>
      </c>
      <c r="J1227" s="6" t="str" cm="1">
        <f t="array" ref="J1227">choice(Referentiel!D:D,1,Settings!$B$16)</f>
        <v>L1</v>
      </c>
      <c r="K1227" s="6" t="str" cm="1">
        <f t="array" ref="K1227">choice(Professeurs!B:B,1,Settings!$B$16)</f>
        <v>Prof10</v>
      </c>
      <c r="L1227" s="5" t="str" cm="1">
        <f t="array" ref="L1227">choice(Referentiel!C:C,1,Settings!$B$16)</f>
        <v/>
      </c>
      <c r="M1227" s="5" t="str" cm="1">
        <f t="array" ref="M1227">choice(Referentiel!E:E,1,Settings!$B$16)</f>
        <v/>
      </c>
      <c r="N1227" s="5" t="str" cm="1">
        <f t="array" ref="N1227">choice(Settings!K:K,1,Settings!$B$16)</f>
        <v/>
      </c>
      <c r="P1227" s="5">
        <f t="shared" si="80"/>
        <v>3</v>
      </c>
    </row>
    <row r="1228" spans="1:16" ht="15.75" customHeight="1" x14ac:dyDescent="0.25">
      <c r="A1228" s="6" t="s">
        <v>1580</v>
      </c>
      <c r="B1228" s="6" cm="1">
        <f t="array" ref="B1228">alea_int(Settings!$B$10,1,Settings!$B$16)</f>
        <v>1</v>
      </c>
      <c r="C1228" s="8">
        <v>46023</v>
      </c>
      <c r="D1228" s="8">
        <f t="shared" si="77"/>
        <v>46387</v>
      </c>
      <c r="E1228" s="6" t="str" cm="1">
        <f t="array" ref="E1228">choice(Groupes!A:A,1,Settings!$B$16)</f>
        <v>G10</v>
      </c>
      <c r="F1228" s="6" t="str">
        <f t="shared" si="78"/>
        <v>G10</v>
      </c>
      <c r="G1228" s="6" t="str">
        <f t="shared" si="79"/>
        <v>Prof11</v>
      </c>
      <c r="H1228" s="6" t="str" cm="1">
        <f t="array" ref="H1228">choice(Referentiel!A:A,1,Settings!$B$16)</f>
        <v>Design des mondes ruraux</v>
      </c>
      <c r="I1228" s="6" t="str" cm="1">
        <f t="array" ref="I1228">choice(Referentiel!B:B,1,Settings!$B$16)</f>
        <v>4ème année Design Objet S1</v>
      </c>
      <c r="J1228" s="6" t="str" cm="1">
        <f t="array" ref="J1228">choice(Referentiel!D:D,1,Settings!$B$16)</f>
        <v>M1</v>
      </c>
      <c r="K1228" s="6" t="str" cm="1">
        <f t="array" ref="K1228">choice(Professeurs!B:B,1,Settings!$B$16)</f>
        <v>Prof11</v>
      </c>
      <c r="L1228" s="5" t="str" cm="1">
        <f t="array" ref="L1228">choice(Referentiel!C:C,1,Settings!$B$16)</f>
        <v/>
      </c>
      <c r="M1228" s="5" t="str" cm="1">
        <f t="array" ref="M1228">choice(Referentiel!E:E,1,Settings!$B$16)</f>
        <v/>
      </c>
      <c r="N1228" s="5" t="str" cm="1">
        <f t="array" ref="N1228">choice(Settings!K:K,1,Settings!$B$16)</f>
        <v/>
      </c>
      <c r="P1228" s="5">
        <f t="shared" si="80"/>
        <v>1</v>
      </c>
    </row>
    <row r="1229" spans="1:16" ht="15.75" customHeight="1" x14ac:dyDescent="0.25">
      <c r="A1229" s="6" t="s">
        <v>1581</v>
      </c>
      <c r="B1229" s="6" cm="1">
        <f t="array" ref="B1229">alea_int(Settings!$B$10,1,Settings!$B$16)</f>
        <v>1</v>
      </c>
      <c r="C1229" s="8">
        <v>46023</v>
      </c>
      <c r="D1229" s="8">
        <f t="shared" si="77"/>
        <v>46387</v>
      </c>
      <c r="E1229" s="6" t="str" cm="1">
        <f t="array" ref="E1229">choice(Groupes!A:A,1,Settings!$B$16)</f>
        <v>G14</v>
      </c>
      <c r="F1229" s="6" t="str">
        <f t="shared" si="78"/>
        <v>G14</v>
      </c>
      <c r="G1229" s="6" t="str">
        <f t="shared" si="79"/>
        <v>Prof23</v>
      </c>
      <c r="H1229" s="6" t="str" cm="1">
        <f t="array" ref="H1229">choice(Referentiel!A:A,1,Settings!$B$16)</f>
        <v>Design des mondes montagneux</v>
      </c>
      <c r="I1229" s="6" t="str" cm="1">
        <f t="array" ref="I1229">choice(Referentiel!B:B,1,Settings!$B$16)</f>
        <v>3ème année Design Vêtement S1</v>
      </c>
      <c r="J1229" s="6" t="str" cm="1">
        <f t="array" ref="J1229">choice(Referentiel!D:D,1,Settings!$B$16)</f>
        <v>L1</v>
      </c>
      <c r="K1229" s="6" t="str" cm="1">
        <f t="array" ref="K1229">choice(Professeurs!B:B,1,Settings!$B$16)</f>
        <v>Prof23</v>
      </c>
      <c r="L1229" s="5" t="str" cm="1">
        <f t="array" ref="L1229">choice(Referentiel!C:C,1,Settings!$B$16)</f>
        <v/>
      </c>
      <c r="M1229" s="5" t="str" cm="1">
        <f t="array" ref="M1229">choice(Referentiel!E:E,1,Settings!$B$16)</f>
        <v/>
      </c>
      <c r="N1229" s="5" t="str" cm="1">
        <f t="array" ref="N1229">choice(Settings!K:K,1,Settings!$B$16)</f>
        <v>mardi am</v>
      </c>
      <c r="P1229" s="5">
        <f t="shared" si="80"/>
        <v>3</v>
      </c>
    </row>
    <row r="1230" spans="1:16" ht="15.75" customHeight="1" x14ac:dyDescent="0.25">
      <c r="A1230" s="6" t="s">
        <v>1582</v>
      </c>
      <c r="B1230" s="6" cm="1">
        <f t="array" ref="B1230">alea_int(Settings!$B$10,1,Settings!$B$16)</f>
        <v>1</v>
      </c>
      <c r="C1230" s="8">
        <v>46023</v>
      </c>
      <c r="D1230" s="8">
        <f t="shared" si="77"/>
        <v>46387</v>
      </c>
      <c r="E1230" s="6" t="str" cm="1">
        <f t="array" ref="E1230">choice(Groupes!A:A,1,Settings!$B$16)</f>
        <v>G13</v>
      </c>
      <c r="F1230" s="6" t="str">
        <f t="shared" si="78"/>
        <v>G13</v>
      </c>
      <c r="G1230" s="6" t="str">
        <f t="shared" si="79"/>
        <v>Prof21</v>
      </c>
      <c r="H1230" s="6" t="str" cm="1">
        <f t="array" ref="H1230">choice(Referentiel!A:A,1,Settings!$B$16)</f>
        <v>Design des mondes ruraux</v>
      </c>
      <c r="I1230" s="6" t="str" cm="1">
        <f t="array" ref="I1230">choice(Referentiel!B:B,1,Settings!$B$16)</f>
        <v>5ème année Design Graphique S1</v>
      </c>
      <c r="J1230" s="6" t="str" cm="1">
        <f t="array" ref="J1230">choice(Referentiel!D:D,1,Settings!$B$16)</f>
        <v>L1</v>
      </c>
      <c r="K1230" s="6" t="str" cm="1">
        <f t="array" ref="K1230">choice(Professeurs!B:B,1,Settings!$B$16)</f>
        <v>Prof21</v>
      </c>
      <c r="L1230" s="5" t="str" cm="1">
        <f t="array" ref="L1230">choice(Referentiel!C:C,1,Settings!$B$16)</f>
        <v/>
      </c>
      <c r="M1230" s="5" t="str" cm="1">
        <f t="array" ref="M1230">choice(Referentiel!E:E,1,Settings!$B$16)</f>
        <v/>
      </c>
      <c r="N1230" s="5" t="str" cm="1">
        <f t="array" ref="N1230">choice(Settings!K:K,1,Settings!$B$16)</f>
        <v>mardi am</v>
      </c>
      <c r="P1230" s="5">
        <f t="shared" si="80"/>
        <v>3</v>
      </c>
    </row>
    <row r="1231" spans="1:16" ht="15.75" customHeight="1" x14ac:dyDescent="0.25">
      <c r="A1231" s="6" t="s">
        <v>1583</v>
      </c>
      <c r="B1231" s="6" cm="1">
        <f t="array" ref="B1231">alea_int(Settings!$B$10,1,Settings!$B$16)</f>
        <v>1</v>
      </c>
      <c r="C1231" s="8">
        <v>46023</v>
      </c>
      <c r="D1231" s="8">
        <f t="shared" si="77"/>
        <v>46387</v>
      </c>
      <c r="E1231" s="6" t="str" cm="1">
        <f t="array" ref="E1231">choice(Groupes!A:A,1,Settings!$B$16)</f>
        <v>G21</v>
      </c>
      <c r="F1231" s="6" t="str">
        <f t="shared" si="78"/>
        <v>G21</v>
      </c>
      <c r="G1231" s="6" t="str">
        <f t="shared" si="79"/>
        <v>Prof51</v>
      </c>
      <c r="H1231" s="6" t="str" cm="1">
        <f t="array" ref="H1231">choice(Referentiel!A:A,1,Settings!$B$16)</f>
        <v>Design Objet</v>
      </c>
      <c r="I1231" s="6" t="str" cm="1">
        <f t="array" ref="I1231">choice(Referentiel!B:B,1,Settings!$B$16)</f>
        <v>3ème année Design Graphique S2</v>
      </c>
      <c r="J1231" s="6" t="str" cm="1">
        <f t="array" ref="J1231">choice(Referentiel!D:D,1,Settings!$B$16)</f>
        <v>M2</v>
      </c>
      <c r="K1231" s="6" t="str" cm="1">
        <f t="array" ref="K1231">choice(Professeurs!B:B,1,Settings!$B$16)</f>
        <v>Prof51</v>
      </c>
      <c r="L1231" s="5" t="str" cm="1">
        <f t="array" ref="L1231">choice(Referentiel!C:C,1,Settings!$B$16)</f>
        <v/>
      </c>
      <c r="M1231" s="5" t="str" cm="1">
        <f t="array" ref="M1231">choice(Referentiel!E:E,1,Settings!$B$16)</f>
        <v/>
      </c>
      <c r="N1231" s="5" t="str" cm="1">
        <f t="array" ref="N1231">choice(Settings!K:K,1,Settings!$B$16)</f>
        <v/>
      </c>
      <c r="P1231" s="5">
        <f t="shared" si="80"/>
        <v>1</v>
      </c>
    </row>
    <row r="1232" spans="1:16" ht="15.75" customHeight="1" x14ac:dyDescent="0.25">
      <c r="A1232" s="6" t="s">
        <v>1584</v>
      </c>
      <c r="B1232" s="6" cm="1">
        <f t="array" ref="B1232">alea_int(Settings!$B$10,1,Settings!$B$16)</f>
        <v>1</v>
      </c>
      <c r="C1232" s="8">
        <v>46023</v>
      </c>
      <c r="D1232" s="8">
        <f t="shared" si="77"/>
        <v>46387</v>
      </c>
      <c r="E1232" s="6" t="str" cm="1">
        <f t="array" ref="E1232">choice(Groupes!A:A,1,Settings!$B$16)</f>
        <v>G29</v>
      </c>
      <c r="F1232" s="6" t="str">
        <f t="shared" si="78"/>
        <v>G29</v>
      </c>
      <c r="G1232" s="6" t="str">
        <f t="shared" si="79"/>
        <v>Prof35</v>
      </c>
      <c r="H1232" s="6" t="str" cm="1">
        <f t="array" ref="H1232">choice(Referentiel!A:A,1,Settings!$B$16)</f>
        <v>6ème année atelier</v>
      </c>
      <c r="I1232" s="6" t="str" cm="1">
        <f t="array" ref="I1232">choice(Referentiel!B:B,1,Settings!$B$16)</f>
        <v>5ème année Art-Espace S2</v>
      </c>
      <c r="J1232" s="6" t="str" cm="1">
        <f t="array" ref="J1232">choice(Referentiel!D:D,1,Settings!$B$16)</f>
        <v>M1</v>
      </c>
      <c r="K1232" s="6" t="str" cm="1">
        <f t="array" ref="K1232">choice(Professeurs!B:B,1,Settings!$B$16)</f>
        <v>Prof35</v>
      </c>
      <c r="L1232" s="5" t="str" cm="1">
        <f t="array" ref="L1232">choice(Referentiel!C:C,1,Settings!$B$16)</f>
        <v/>
      </c>
      <c r="M1232" s="5" t="str" cm="1">
        <f t="array" ref="M1232">choice(Referentiel!E:E,1,Settings!$B$16)</f>
        <v/>
      </c>
      <c r="N1232" s="5" t="str" cm="1">
        <f t="array" ref="N1232">choice(Settings!K:K,1,Settings!$B$16)</f>
        <v/>
      </c>
      <c r="P1232" s="5">
        <f t="shared" si="80"/>
        <v>1</v>
      </c>
    </row>
    <row r="1233" spans="1:16" ht="15.75" customHeight="1" x14ac:dyDescent="0.25">
      <c r="A1233" s="6" t="s">
        <v>1585</v>
      </c>
      <c r="B1233" s="6" cm="1">
        <f t="array" ref="B1233">alea_int(Settings!$B$10,1,Settings!$B$16)</f>
        <v>1</v>
      </c>
      <c r="C1233" s="8">
        <v>46023</v>
      </c>
      <c r="D1233" s="8">
        <f t="shared" si="77"/>
        <v>46387</v>
      </c>
      <c r="E1233" s="6" t="str" cm="1">
        <f t="array" ref="E1233">choice(Groupes!A:A,1,Settings!$B$16)</f>
        <v>G19</v>
      </c>
      <c r="F1233" s="6" t="str">
        <f t="shared" si="78"/>
        <v>G19</v>
      </c>
      <c r="G1233" s="6" t="str">
        <f t="shared" si="79"/>
        <v>Prof38</v>
      </c>
      <c r="H1233" s="6" t="str" cm="1">
        <f t="array" ref="H1233">choice(Referentiel!A:A,1,Settings!$B$16)</f>
        <v>Design Objet</v>
      </c>
      <c r="I1233" s="6" t="str" cm="1">
        <f t="array" ref="I1233">choice(Referentiel!B:B,1,Settings!$B$16)</f>
        <v>4ème année Scénographie S1</v>
      </c>
      <c r="J1233" s="6" t="str" cm="1">
        <f t="array" ref="J1233">choice(Referentiel!D:D,1,Settings!$B$16)</f>
        <v>M2</v>
      </c>
      <c r="K1233" s="6" t="str" cm="1">
        <f t="array" ref="K1233">choice(Professeurs!B:B,1,Settings!$B$16)</f>
        <v>Prof38</v>
      </c>
      <c r="L1233" s="5" t="str" cm="1">
        <f t="array" ref="L1233">choice(Referentiel!C:C,1,Settings!$B$16)</f>
        <v/>
      </c>
      <c r="M1233" s="5" t="str" cm="1">
        <f t="array" ref="M1233">choice(Referentiel!E:E,1,Settings!$B$16)</f>
        <v/>
      </c>
      <c r="N1233" s="5" t="str" cm="1">
        <f t="array" ref="N1233">choice(Settings!K:K,1,Settings!$B$16)</f>
        <v/>
      </c>
      <c r="P1233" s="5">
        <f t="shared" si="80"/>
        <v>1</v>
      </c>
    </row>
    <row r="1234" spans="1:16" ht="15.75" customHeight="1" x14ac:dyDescent="0.25">
      <c r="A1234" s="6" t="s">
        <v>1586</v>
      </c>
      <c r="B1234" s="6" cm="1">
        <f t="array" ref="B1234">alea_int(Settings!$B$10,1,Settings!$B$16)</f>
        <v>1</v>
      </c>
      <c r="C1234" s="8">
        <v>46023</v>
      </c>
      <c r="D1234" s="8">
        <f t="shared" si="77"/>
        <v>46387</v>
      </c>
      <c r="E1234" s="6" t="str" cm="1">
        <f t="array" ref="E1234">choice(Groupes!A:A,1,Settings!$B$16)</f>
        <v>G19</v>
      </c>
      <c r="F1234" s="6" t="str">
        <f t="shared" si="78"/>
        <v>G19</v>
      </c>
      <c r="G1234" s="6" t="str">
        <f t="shared" si="79"/>
        <v>Prof11</v>
      </c>
      <c r="H1234" s="6" t="str" cm="1">
        <f t="array" ref="H1234">choice(Referentiel!A:A,1,Settings!$B$16)</f>
        <v>1ère année Groupe 1</v>
      </c>
      <c r="I1234" s="6" t="str" cm="1">
        <f t="array" ref="I1234">choice(Referentiel!B:B,1,Settings!$B$16)</f>
        <v>2ème année Design Graphique S1</v>
      </c>
      <c r="J1234" s="6" t="str" cm="1">
        <f t="array" ref="J1234">choice(Referentiel!D:D,1,Settings!$B$16)</f>
        <v>M1</v>
      </c>
      <c r="K1234" s="6" t="str" cm="1">
        <f t="array" ref="K1234">choice(Professeurs!B:B,1,Settings!$B$16)</f>
        <v>Prof11</v>
      </c>
      <c r="L1234" s="5" t="str" cm="1">
        <f t="array" ref="L1234">choice(Referentiel!C:C,1,Settings!$B$16)</f>
        <v/>
      </c>
      <c r="M1234" s="5" t="str" cm="1">
        <f t="array" ref="M1234">choice(Referentiel!E:E,1,Settings!$B$16)</f>
        <v/>
      </c>
      <c r="N1234" s="5" t="str" cm="1">
        <f t="array" ref="N1234">choice(Settings!K:K,1,Settings!$B$16)</f>
        <v/>
      </c>
      <c r="P1234" s="5">
        <f t="shared" si="80"/>
        <v>1</v>
      </c>
    </row>
    <row r="1235" spans="1:16" ht="15.75" customHeight="1" x14ac:dyDescent="0.25">
      <c r="A1235" s="6" t="s">
        <v>1587</v>
      </c>
      <c r="B1235" s="6" cm="1">
        <f t="array" ref="B1235">alea_int(Settings!$B$10,1,Settings!$B$16)</f>
        <v>2</v>
      </c>
      <c r="C1235" s="8">
        <v>46023</v>
      </c>
      <c r="D1235" s="8">
        <f t="shared" si="77"/>
        <v>46387</v>
      </c>
      <c r="E1235" s="6" t="str" cm="1">
        <f t="array" ref="E1235">choice(Groupes!A:A,1,Settings!$B$16)</f>
        <v>G25</v>
      </c>
      <c r="F1235" s="6" t="str">
        <f t="shared" si="78"/>
        <v>G25</v>
      </c>
      <c r="G1235" s="6" t="str">
        <f t="shared" si="79"/>
        <v>Prof44</v>
      </c>
      <c r="H1235" s="6" t="str" cm="1">
        <f t="array" ref="H1235">choice(Referentiel!A:A,1,Settings!$B$16)</f>
        <v>Image Imprimée</v>
      </c>
      <c r="I1235" s="6" t="str" cm="1">
        <f t="array" ref="I1235">choice(Referentiel!B:B,1,Settings!$B$16)</f>
        <v>3ème année Art-Espace S1</v>
      </c>
      <c r="J1235" s="6" t="str" cm="1">
        <f t="array" ref="J1235">choice(Referentiel!D:D,1,Settings!$B$16)</f>
        <v>M1</v>
      </c>
      <c r="K1235" s="6" t="str" cm="1">
        <f t="array" ref="K1235">choice(Professeurs!B:B,1,Settings!$B$16)</f>
        <v>Prof44</v>
      </c>
      <c r="L1235" s="5" t="str" cm="1">
        <f t="array" ref="L1235">choice(Referentiel!C:C,1,Settings!$B$16)</f>
        <v/>
      </c>
      <c r="M1235" s="5" t="str" cm="1">
        <f t="array" ref="M1235">choice(Referentiel!E:E,1,Settings!$B$16)</f>
        <v/>
      </c>
      <c r="N1235" s="5" t="str" cm="1">
        <f t="array" ref="N1235">choice(Settings!K:K,1,Settings!$B$16)</f>
        <v/>
      </c>
      <c r="P1235" s="5">
        <f t="shared" si="80"/>
        <v>2</v>
      </c>
    </row>
    <row r="1236" spans="1:16" ht="15.75" customHeight="1" x14ac:dyDescent="0.25">
      <c r="A1236" s="6" t="s">
        <v>1588</v>
      </c>
      <c r="B1236" s="6" cm="1">
        <f t="array" ref="B1236">alea_int(Settings!$B$10,1,Settings!$B$16)</f>
        <v>1</v>
      </c>
      <c r="C1236" s="8">
        <v>46023</v>
      </c>
      <c r="D1236" s="8">
        <f t="shared" si="77"/>
        <v>46387</v>
      </c>
      <c r="E1236" s="6" t="str" cm="1">
        <f t="array" ref="E1236">choice(Groupes!A:A,1,Settings!$B$16)</f>
        <v>G21</v>
      </c>
      <c r="F1236" s="6" t="str">
        <f t="shared" si="78"/>
        <v>G21</v>
      </c>
      <c r="G1236" s="6" t="str">
        <f t="shared" si="79"/>
        <v>Prof42</v>
      </c>
      <c r="H1236" s="6" t="str" cm="1">
        <f t="array" ref="H1236">choice(Referentiel!A:A,1,Settings!$B$16)</f>
        <v>Scénographie</v>
      </c>
      <c r="I1236" s="6" t="str" cm="1">
        <f t="array" ref="I1236">choice(Referentiel!B:B,1,Settings!$B$16)</f>
        <v>3ème année Design Vêtement S1</v>
      </c>
      <c r="J1236" s="6" t="str" cm="1">
        <f t="array" ref="J1236">choice(Referentiel!D:D,1,Settings!$B$16)</f>
        <v>L2</v>
      </c>
      <c r="K1236" s="6" t="str" cm="1">
        <f t="array" ref="K1236">choice(Professeurs!B:B,1,Settings!$B$16)</f>
        <v>Prof42</v>
      </c>
      <c r="L1236" s="5" t="str" cm="1">
        <f t="array" ref="L1236">choice(Referentiel!C:C,1,Settings!$B$16)</f>
        <v/>
      </c>
      <c r="M1236" s="5" t="str" cm="1">
        <f t="array" ref="M1236">choice(Referentiel!E:E,1,Settings!$B$16)</f>
        <v/>
      </c>
      <c r="N1236" s="5" t="str" cm="1">
        <f t="array" ref="N1236">choice(Settings!K:K,1,Settings!$B$16)</f>
        <v>lundi pm</v>
      </c>
      <c r="P1236" s="5">
        <f t="shared" si="80"/>
        <v>3</v>
      </c>
    </row>
    <row r="1237" spans="1:16" ht="15.75" customHeight="1" x14ac:dyDescent="0.25">
      <c r="A1237" s="6" t="s">
        <v>1589</v>
      </c>
      <c r="B1237" s="6" cm="1">
        <f t="array" ref="B1237">alea_int(Settings!$B$10,1,Settings!$B$16)</f>
        <v>3</v>
      </c>
      <c r="C1237" s="8">
        <v>46023</v>
      </c>
      <c r="D1237" s="8">
        <f t="shared" si="77"/>
        <v>46387</v>
      </c>
      <c r="E1237" s="6" t="str" cm="1">
        <f t="array" ref="E1237">choice(Groupes!A:A,1,Settings!$B$16)</f>
        <v>G26</v>
      </c>
      <c r="F1237" s="6" t="str">
        <f t="shared" si="78"/>
        <v>G26</v>
      </c>
      <c r="G1237" s="6" t="str">
        <f t="shared" si="79"/>
        <v>Prof21</v>
      </c>
      <c r="H1237" s="6" t="str" cm="1">
        <f t="array" ref="H1237">choice(Referentiel!A:A,1,Settings!$B$16)</f>
        <v>Gr ART, DESIGN, SOCIETE</v>
      </c>
      <c r="I1237" s="6" t="str" cm="1">
        <f t="array" ref="I1237">choice(Referentiel!B:B,1,Settings!$B$16)</f>
        <v>4ème année Cinéma d'Animation S1</v>
      </c>
      <c r="J1237" s="6" t="str" cm="1">
        <f t="array" ref="J1237">choice(Referentiel!D:D,1,Settings!$B$16)</f>
        <v>M1</v>
      </c>
      <c r="K1237" s="6" t="str" cm="1">
        <f t="array" ref="K1237">choice(Professeurs!B:B,1,Settings!$B$16)</f>
        <v>Prof21</v>
      </c>
      <c r="L1237" s="5" t="str" cm="1">
        <f t="array" ref="L1237">choice(Referentiel!C:C,1,Settings!$B$16)</f>
        <v/>
      </c>
      <c r="M1237" s="5" t="str" cm="1">
        <f t="array" ref="M1237">choice(Referentiel!E:E,1,Settings!$B$16)</f>
        <v/>
      </c>
      <c r="N1237" s="5" t="str" cm="1">
        <f t="array" ref="N1237">choice(Settings!K:K,1,Settings!$B$16)</f>
        <v>mercredi pm</v>
      </c>
      <c r="P1237" s="5">
        <f t="shared" si="80"/>
        <v>5</v>
      </c>
    </row>
    <row r="1238" spans="1:16" ht="15.75" customHeight="1" x14ac:dyDescent="0.25">
      <c r="A1238" s="6" t="s">
        <v>1590</v>
      </c>
      <c r="B1238" s="6" cm="1">
        <f t="array" ref="B1238">alea_int(Settings!$B$10,1,Settings!$B$16)</f>
        <v>2</v>
      </c>
      <c r="C1238" s="8">
        <v>46023</v>
      </c>
      <c r="D1238" s="8">
        <f t="shared" si="77"/>
        <v>46387</v>
      </c>
      <c r="E1238" s="6" t="str" cm="1">
        <f t="array" ref="E1238">choice(Groupes!A:A,1,Settings!$B$16)</f>
        <v>G29</v>
      </c>
      <c r="F1238" s="6" t="str">
        <f t="shared" si="78"/>
        <v>G29</v>
      </c>
      <c r="G1238" s="6" t="str">
        <f t="shared" si="79"/>
        <v>Prof41</v>
      </c>
      <c r="H1238" s="6" t="str" cm="1">
        <f t="array" ref="H1238">choice(Referentiel!A:A,1,Settings!$B$16)</f>
        <v>Scénographie</v>
      </c>
      <c r="I1238" s="6" t="str" cm="1">
        <f t="array" ref="I1238">choice(Referentiel!B:B,1,Settings!$B$16)</f>
        <v>2ème année Design Graphique S2</v>
      </c>
      <c r="J1238" s="6" t="str" cm="1">
        <f t="array" ref="J1238">choice(Referentiel!D:D,1,Settings!$B$16)</f>
        <v>L2</v>
      </c>
      <c r="K1238" s="6" t="str" cm="1">
        <f t="array" ref="K1238">choice(Professeurs!B:B,1,Settings!$B$16)</f>
        <v>Prof41</v>
      </c>
      <c r="L1238" s="5" t="str" cm="1">
        <f t="array" ref="L1238">choice(Referentiel!C:C,1,Settings!$B$16)</f>
        <v/>
      </c>
      <c r="M1238" s="5" t="str" cm="1">
        <f t="array" ref="M1238">choice(Referentiel!E:E,1,Settings!$B$16)</f>
        <v/>
      </c>
      <c r="N1238" s="5" t="str" cm="1">
        <f t="array" ref="N1238">choice(Settings!K:K,1,Settings!$B$16)</f>
        <v>jeudi am</v>
      </c>
      <c r="P1238" s="5">
        <f t="shared" si="80"/>
        <v>4</v>
      </c>
    </row>
    <row r="1239" spans="1:16" ht="15.75" customHeight="1" x14ac:dyDescent="0.25">
      <c r="A1239" s="6" t="s">
        <v>1591</v>
      </c>
      <c r="B1239" s="6" cm="1">
        <f t="array" ref="B1239">alea_int(Settings!$B$10,1,Settings!$B$16)</f>
        <v>2</v>
      </c>
      <c r="C1239" s="8">
        <v>46023</v>
      </c>
      <c r="D1239" s="8">
        <f t="shared" si="77"/>
        <v>46387</v>
      </c>
      <c r="E1239" s="6" t="str" cm="1">
        <f t="array" ref="E1239">choice(Groupes!A:A,1,Settings!$B$16)</f>
        <v>G9</v>
      </c>
      <c r="F1239" s="6" t="str">
        <f t="shared" si="78"/>
        <v>G9</v>
      </c>
      <c r="G1239" s="6" t="str">
        <f t="shared" si="79"/>
        <v>Prof47</v>
      </c>
      <c r="H1239" s="6" t="str" cm="1">
        <f t="array" ref="H1239">choice(Referentiel!A:A,1,Settings!$B$16)</f>
        <v>Design des mondes montagneux</v>
      </c>
      <c r="I1239" s="6" t="str" cm="1">
        <f t="array" ref="I1239">choice(Referentiel!B:B,1,Settings!$B$16)</f>
        <v>2ème année Photo / Vidéo S1</v>
      </c>
      <c r="J1239" s="6" t="str" cm="1">
        <f t="array" ref="J1239">choice(Referentiel!D:D,1,Settings!$B$16)</f>
        <v>L1</v>
      </c>
      <c r="K1239" s="6" t="str" cm="1">
        <f t="array" ref="K1239">choice(Professeurs!B:B,1,Settings!$B$16)</f>
        <v>Prof47</v>
      </c>
      <c r="L1239" s="5" t="str" cm="1">
        <f t="array" ref="L1239">choice(Referentiel!C:C,1,Settings!$B$16)</f>
        <v/>
      </c>
      <c r="M1239" s="5" t="str" cm="1">
        <f t="array" ref="M1239">choice(Referentiel!E:E,1,Settings!$B$16)</f>
        <v/>
      </c>
      <c r="N1239" s="5" t="str" cm="1">
        <f t="array" ref="N1239">choice(Settings!K:K,1,Settings!$B$16)</f>
        <v/>
      </c>
      <c r="P1239" s="5">
        <f t="shared" si="80"/>
        <v>2</v>
      </c>
    </row>
    <row r="1240" spans="1:16" ht="15.75" customHeight="1" x14ac:dyDescent="0.25">
      <c r="A1240" s="6" t="s">
        <v>1592</v>
      </c>
      <c r="B1240" s="6" cm="1">
        <f t="array" ref="B1240">alea_int(Settings!$B$10,1,Settings!$B$16)</f>
        <v>2</v>
      </c>
      <c r="C1240" s="8">
        <v>46023</v>
      </c>
      <c r="D1240" s="8">
        <f t="shared" si="77"/>
        <v>46387</v>
      </c>
      <c r="E1240" s="6" t="str" cm="1">
        <f t="array" ref="E1240">choice(Groupes!A:A,1,Settings!$B$16)</f>
        <v>G18</v>
      </c>
      <c r="F1240" s="6" t="str">
        <f t="shared" si="78"/>
        <v>G18</v>
      </c>
      <c r="G1240" s="6" t="str">
        <f t="shared" si="79"/>
        <v>Prof2</v>
      </c>
      <c r="H1240" s="6" t="str" cm="1">
        <f t="array" ref="H1240">choice(Referentiel!A:A,1,Settings!$B$16)</f>
        <v>Gr TERRITOIRES</v>
      </c>
      <c r="I1240" s="6" t="str" cm="1">
        <f t="array" ref="I1240">choice(Referentiel!B:B,1,Settings!$B$16)</f>
        <v>4ème année Design Textile et Matière S2</v>
      </c>
      <c r="J1240" s="6" t="str" cm="1">
        <f t="array" ref="J1240">choice(Referentiel!D:D,1,Settings!$B$16)</f>
        <v>L2</v>
      </c>
      <c r="K1240" s="6" t="str" cm="1">
        <f t="array" ref="K1240">choice(Professeurs!B:B,1,Settings!$B$16)</f>
        <v>Prof2</v>
      </c>
      <c r="L1240" s="5" t="str" cm="1">
        <f t="array" ref="L1240">choice(Referentiel!C:C,1,Settings!$B$16)</f>
        <v/>
      </c>
      <c r="M1240" s="5" t="str" cm="1">
        <f t="array" ref="M1240">choice(Referentiel!E:E,1,Settings!$B$16)</f>
        <v/>
      </c>
      <c r="N1240" s="5" t="str" cm="1">
        <f t="array" ref="N1240">choice(Settings!K:K,1,Settings!$B$16)</f>
        <v/>
      </c>
      <c r="P1240" s="5">
        <f t="shared" si="80"/>
        <v>2</v>
      </c>
    </row>
    <row r="1241" spans="1:16" ht="15.75" customHeight="1" x14ac:dyDescent="0.25">
      <c r="A1241" s="6" t="s">
        <v>1593</v>
      </c>
      <c r="B1241" s="6" cm="1">
        <f t="array" ref="B1241">alea_int(Settings!$B$10,1,Settings!$B$16)</f>
        <v>3</v>
      </c>
      <c r="C1241" s="8">
        <v>46023</v>
      </c>
      <c r="D1241" s="8">
        <f t="shared" si="77"/>
        <v>46387</v>
      </c>
      <c r="E1241" s="6" t="str" cm="1">
        <f t="array" ref="E1241">choice(Groupes!A:A,1,Settings!$B$16)</f>
        <v>G29</v>
      </c>
      <c r="F1241" s="6" t="str">
        <f t="shared" si="78"/>
        <v>G29</v>
      </c>
      <c r="G1241" s="6" t="str">
        <f t="shared" si="79"/>
        <v>Prof45</v>
      </c>
      <c r="H1241" s="6" t="str" cm="1">
        <f t="array" ref="H1241">choice(Referentiel!A:A,1,Settings!$B$16)</f>
        <v>Design des mondes forestiers</v>
      </c>
      <c r="I1241" s="6" t="str" cm="1">
        <f t="array" ref="I1241">choice(Referentiel!B:B,1,Settings!$B$16)</f>
        <v>5ème année Art-Espace S1</v>
      </c>
      <c r="J1241" s="6" t="str" cm="1">
        <f t="array" ref="J1241">choice(Referentiel!D:D,1,Settings!$B$16)</f>
        <v>L1</v>
      </c>
      <c r="K1241" s="6" t="str" cm="1">
        <f t="array" ref="K1241">choice(Professeurs!B:B,1,Settings!$B$16)</f>
        <v>Prof45</v>
      </c>
      <c r="L1241" s="5" t="str" cm="1">
        <f t="array" ref="L1241">choice(Referentiel!C:C,1,Settings!$B$16)</f>
        <v/>
      </c>
      <c r="M1241" s="5" t="str" cm="1">
        <f t="array" ref="M1241">choice(Referentiel!E:E,1,Settings!$B$16)</f>
        <v/>
      </c>
      <c r="N1241" s="5" t="str" cm="1">
        <f t="array" ref="N1241">choice(Settings!K:K,1,Settings!$B$16)</f>
        <v/>
      </c>
      <c r="P1241" s="5">
        <f t="shared" si="80"/>
        <v>3</v>
      </c>
    </row>
    <row r="1242" spans="1:16" ht="15.75" customHeight="1" x14ac:dyDescent="0.25">
      <c r="A1242" s="6" t="s">
        <v>1594</v>
      </c>
      <c r="B1242" s="6" cm="1">
        <f t="array" ref="B1242">alea_int(Settings!$B$10,1,Settings!$B$16)</f>
        <v>1</v>
      </c>
      <c r="C1242" s="8">
        <v>46023</v>
      </c>
      <c r="D1242" s="8">
        <f t="shared" si="77"/>
        <v>46387</v>
      </c>
      <c r="E1242" s="6" t="str" cm="1">
        <f t="array" ref="E1242">choice(Groupes!A:A,1,Settings!$B$16)</f>
        <v>G28</v>
      </c>
      <c r="F1242" s="6" t="str">
        <f t="shared" si="78"/>
        <v>G28</v>
      </c>
      <c r="G1242" s="6" t="str">
        <f t="shared" si="79"/>
        <v>Prof5</v>
      </c>
      <c r="H1242" s="6" t="str" cm="1">
        <f t="array" ref="H1242">choice(Referentiel!A:A,1,Settings!$B$16)</f>
        <v>6ème année atelier</v>
      </c>
      <c r="I1242" s="6" t="str" cm="1">
        <f t="array" ref="I1242">choice(Referentiel!B:B,1,Settings!$B$16)</f>
        <v>4ème année Design Vêtement S1</v>
      </c>
      <c r="J1242" s="6" t="str" cm="1">
        <f t="array" ref="J1242">choice(Referentiel!D:D,1,Settings!$B$16)</f>
        <v>L3</v>
      </c>
      <c r="K1242" s="6" t="str" cm="1">
        <f t="array" ref="K1242">choice(Professeurs!B:B,1,Settings!$B$16)</f>
        <v>Prof5</v>
      </c>
      <c r="L1242" s="5" t="str" cm="1">
        <f t="array" ref="L1242">choice(Referentiel!C:C,1,Settings!$B$16)</f>
        <v/>
      </c>
      <c r="M1242" s="5" t="str" cm="1">
        <f t="array" ref="M1242">choice(Referentiel!E:E,1,Settings!$B$16)</f>
        <v/>
      </c>
      <c r="N1242" s="5" t="str" cm="1">
        <f t="array" ref="N1242">choice(Settings!K:K,1,Settings!$B$16)</f>
        <v>lundi pm</v>
      </c>
      <c r="P1242" s="5">
        <f t="shared" si="80"/>
        <v>3</v>
      </c>
    </row>
    <row r="1243" spans="1:16" ht="15.75" customHeight="1" x14ac:dyDescent="0.25">
      <c r="A1243" s="6" t="s">
        <v>1595</v>
      </c>
      <c r="B1243" s="6" cm="1">
        <f t="array" ref="B1243">alea_int(Settings!$B$10,1,Settings!$B$16)</f>
        <v>2</v>
      </c>
      <c r="C1243" s="8">
        <v>46023</v>
      </c>
      <c r="D1243" s="8">
        <f t="shared" si="77"/>
        <v>46387</v>
      </c>
      <c r="E1243" s="6" t="str" cm="1">
        <f t="array" ref="E1243">choice(Groupes!A:A,1,Settings!$B$16)</f>
        <v>G6</v>
      </c>
      <c r="F1243" s="6" t="str">
        <f t="shared" si="78"/>
        <v>G6</v>
      </c>
      <c r="G1243" s="6" t="str">
        <f t="shared" si="79"/>
        <v>Prof20</v>
      </c>
      <c r="H1243" s="6" t="str" cm="1">
        <f t="array" ref="H1243">choice(Referentiel!A:A,1,Settings!$B$16)</f>
        <v>Gr TERRITOIRES</v>
      </c>
      <c r="I1243" s="6" t="str" cm="1">
        <f t="array" ref="I1243">choice(Referentiel!B:B,1,Settings!$B$16)</f>
        <v>3ème année Design Objet S2</v>
      </c>
      <c r="J1243" s="6" t="str" cm="1">
        <f t="array" ref="J1243">choice(Referentiel!D:D,1,Settings!$B$16)</f>
        <v>L1</v>
      </c>
      <c r="K1243" s="6" t="str" cm="1">
        <f t="array" ref="K1243">choice(Professeurs!B:B,1,Settings!$B$16)</f>
        <v>Prof20</v>
      </c>
      <c r="L1243" s="5" t="str" cm="1">
        <f t="array" ref="L1243">choice(Referentiel!C:C,1,Settings!$B$16)</f>
        <v>pupitre</v>
      </c>
      <c r="M1243" s="5" t="str" cm="1">
        <f t="array" ref="M1243">choice(Referentiel!E:E,1,Settings!$B$16)</f>
        <v/>
      </c>
      <c r="N1243" s="5" t="str" cm="1">
        <f t="array" ref="N1243">choice(Settings!K:K,1,Settings!$B$16)</f>
        <v/>
      </c>
      <c r="P1243" s="5">
        <f t="shared" si="80"/>
        <v>2</v>
      </c>
    </row>
    <row r="1244" spans="1:16" ht="15.75" customHeight="1" x14ac:dyDescent="0.25">
      <c r="A1244" s="6" t="s">
        <v>1596</v>
      </c>
      <c r="B1244" s="6" cm="1">
        <f t="array" ref="B1244">alea_int(Settings!$B$10,1,Settings!$B$16)</f>
        <v>3</v>
      </c>
      <c r="C1244" s="8">
        <v>46023</v>
      </c>
      <c r="D1244" s="8">
        <f t="shared" si="77"/>
        <v>46387</v>
      </c>
      <c r="E1244" s="6" t="str" cm="1">
        <f t="array" ref="E1244">choice(Groupes!A:A,1,Settings!$B$16)</f>
        <v>G25</v>
      </c>
      <c r="F1244" s="6" t="str">
        <f t="shared" si="78"/>
        <v>G25</v>
      </c>
      <c r="G1244" s="6" t="str">
        <f t="shared" si="79"/>
        <v>Prof21</v>
      </c>
      <c r="H1244" s="6" t="str" cm="1">
        <f t="array" ref="H1244">choice(Referentiel!A:A,1,Settings!$B$16)</f>
        <v>Design Vêtement</v>
      </c>
      <c r="I1244" s="6" t="str" cm="1">
        <f t="array" ref="I1244">choice(Referentiel!B:B,1,Settings!$B$16)</f>
        <v>3ème année Cinéma d'Animation S2</v>
      </c>
      <c r="J1244" s="6" t="str" cm="1">
        <f t="array" ref="J1244">choice(Referentiel!D:D,1,Settings!$B$16)</f>
        <v>L3</v>
      </c>
      <c r="K1244" s="6" t="str" cm="1">
        <f t="array" ref="K1244">choice(Professeurs!B:B,1,Settings!$B$16)</f>
        <v>Prof21</v>
      </c>
      <c r="L1244" s="5" t="str" cm="1">
        <f t="array" ref="L1244">choice(Referentiel!C:C,1,Settings!$B$16)</f>
        <v/>
      </c>
      <c r="M1244" s="5" t="str" cm="1">
        <f t="array" ref="M1244">choice(Referentiel!E:E,1,Settings!$B$16)</f>
        <v>Salle6</v>
      </c>
      <c r="N1244" s="5" t="str" cm="1">
        <f t="array" ref="N1244">choice(Settings!K:K,1,Settings!$B$16)</f>
        <v/>
      </c>
      <c r="P1244" s="5">
        <f t="shared" si="80"/>
        <v>5</v>
      </c>
    </row>
    <row r="1245" spans="1:16" ht="15.75" customHeight="1" x14ac:dyDescent="0.25">
      <c r="A1245" s="6" t="s">
        <v>1597</v>
      </c>
      <c r="B1245" s="6" cm="1">
        <f t="array" ref="B1245">alea_int(Settings!$B$10,1,Settings!$B$16)</f>
        <v>2</v>
      </c>
      <c r="C1245" s="8">
        <v>46023</v>
      </c>
      <c r="D1245" s="8">
        <f t="shared" si="77"/>
        <v>46387</v>
      </c>
      <c r="E1245" s="6" t="str" cm="1">
        <f t="array" ref="E1245">choice(Groupes!A:A,1,Settings!$B$16)</f>
        <v>G3</v>
      </c>
      <c r="F1245" s="6" t="str">
        <f t="shared" si="78"/>
        <v>G3</v>
      </c>
      <c r="G1245" s="6" t="str">
        <f t="shared" si="79"/>
        <v>Prof20</v>
      </c>
      <c r="H1245" s="6" t="str" cm="1">
        <f t="array" ref="H1245">choice(Referentiel!A:A,1,Settings!$B$16)</f>
        <v>Architecture Intérieure</v>
      </c>
      <c r="I1245" s="6" t="str" cm="1">
        <f t="array" ref="I1245">choice(Referentiel!B:B,1,Settings!$B$16)</f>
        <v>2ème année Design Vêtement S2</v>
      </c>
      <c r="J1245" s="6" t="str" cm="1">
        <f t="array" ref="J1245">choice(Referentiel!D:D,1,Settings!$B$16)</f>
        <v>L1</v>
      </c>
      <c r="K1245" s="6" t="str" cm="1">
        <f t="array" ref="K1245">choice(Professeurs!B:B,1,Settings!$B$16)</f>
        <v>Prof20</v>
      </c>
      <c r="L1245" s="5" t="str" cm="1">
        <f t="array" ref="L1245">choice(Referentiel!C:C,1,Settings!$B$16)</f>
        <v/>
      </c>
      <c r="M1245" s="5" t="str" cm="1">
        <f t="array" ref="M1245">choice(Referentiel!E:E,1,Settings!$B$16)</f>
        <v/>
      </c>
      <c r="N1245" s="5" t="str" cm="1">
        <f t="array" ref="N1245">choice(Settings!K:K,1,Settings!$B$16)</f>
        <v/>
      </c>
      <c r="P1245" s="5">
        <f t="shared" si="80"/>
        <v>2</v>
      </c>
    </row>
    <row r="1246" spans="1:16" ht="15.75" customHeight="1" x14ac:dyDescent="0.25">
      <c r="A1246" s="6" t="s">
        <v>1598</v>
      </c>
      <c r="B1246" s="6" cm="1">
        <f t="array" ref="B1246">alea_int(Settings!$B$10,1,Settings!$B$16)</f>
        <v>1</v>
      </c>
      <c r="C1246" s="8">
        <v>46023</v>
      </c>
      <c r="D1246" s="8">
        <f t="shared" si="77"/>
        <v>46387</v>
      </c>
      <c r="E1246" s="6" t="str" cm="1">
        <f t="array" ref="E1246">choice(Groupes!A:A,1,Settings!$B$16)</f>
        <v>G8</v>
      </c>
      <c r="F1246" s="6" t="str">
        <f t="shared" si="78"/>
        <v>G8</v>
      </c>
      <c r="G1246" s="6" t="str">
        <f t="shared" si="79"/>
        <v>Prof19</v>
      </c>
      <c r="H1246" s="6" t="str" cm="1">
        <f t="array" ref="H1246">choice(Referentiel!A:A,1,Settings!$B$16)</f>
        <v>Photo / Vidéo</v>
      </c>
      <c r="I1246" s="6" t="str" cm="1">
        <f t="array" ref="I1246">choice(Referentiel!B:B,1,Settings!$B$16)</f>
        <v>5ème année Design Textile et Matière S1</v>
      </c>
      <c r="J1246" s="6" t="str" cm="1">
        <f t="array" ref="J1246">choice(Referentiel!D:D,1,Settings!$B$16)</f>
        <v>M1</v>
      </c>
      <c r="K1246" s="6" t="str" cm="1">
        <f t="array" ref="K1246">choice(Professeurs!B:B,1,Settings!$B$16)</f>
        <v>Prof19</v>
      </c>
      <c r="L1246" s="5" t="str" cm="1">
        <f t="array" ref="L1246">choice(Referentiel!C:C,1,Settings!$B$16)</f>
        <v/>
      </c>
      <c r="M1246" s="5" t="str" cm="1">
        <f t="array" ref="M1246">choice(Referentiel!E:E,1,Settings!$B$16)</f>
        <v/>
      </c>
      <c r="N1246" s="5" t="str" cm="1">
        <f t="array" ref="N1246">choice(Settings!K:K,1,Settings!$B$16)</f>
        <v/>
      </c>
      <c r="P1246" s="5">
        <f t="shared" si="80"/>
        <v>1</v>
      </c>
    </row>
    <row r="1247" spans="1:16" ht="15.75" customHeight="1" x14ac:dyDescent="0.25">
      <c r="A1247" s="6" t="s">
        <v>1599</v>
      </c>
      <c r="B1247" s="6" cm="1">
        <f t="array" ref="B1247">alea_int(Settings!$B$10,1,Settings!$B$16)</f>
        <v>2</v>
      </c>
      <c r="C1247" s="8">
        <v>46023</v>
      </c>
      <c r="D1247" s="8">
        <f t="shared" si="77"/>
        <v>46387</v>
      </c>
      <c r="E1247" s="6" t="str" cm="1">
        <f t="array" ref="E1247">choice(Groupes!A:A,1,Settings!$B$16)</f>
        <v>G7</v>
      </c>
      <c r="F1247" s="6" t="str">
        <f t="shared" si="78"/>
        <v>G7</v>
      </c>
      <c r="G1247" s="6" t="str">
        <f t="shared" si="79"/>
        <v>Prof14</v>
      </c>
      <c r="H1247" s="6" t="str" cm="1">
        <f t="array" ref="H1247">choice(Referentiel!A:A,1,Settings!$B$16)</f>
        <v>1ère année Groupe 2</v>
      </c>
      <c r="I1247" s="6" t="str" cm="1">
        <f t="array" ref="I1247">choice(Referentiel!B:B,1,Settings!$B$16)</f>
        <v>3ème année Photo / Vidéo S1</v>
      </c>
      <c r="J1247" s="6" t="str" cm="1">
        <f t="array" ref="J1247">choice(Referentiel!D:D,1,Settings!$B$16)</f>
        <v>L2</v>
      </c>
      <c r="K1247" s="6" t="str" cm="1">
        <f t="array" ref="K1247">choice(Professeurs!B:B,1,Settings!$B$16)</f>
        <v>Prof14</v>
      </c>
      <c r="L1247" s="5" t="str" cm="1">
        <f t="array" ref="L1247">choice(Referentiel!C:C,1,Settings!$B$16)</f>
        <v/>
      </c>
      <c r="M1247" s="5" t="str" cm="1">
        <f t="array" ref="M1247">choice(Referentiel!E:E,1,Settings!$B$16)</f>
        <v/>
      </c>
      <c r="N1247" s="5" t="str" cm="1">
        <f t="array" ref="N1247">choice(Settings!K:K,1,Settings!$B$16)</f>
        <v>semaine</v>
      </c>
      <c r="P1247" s="5">
        <f t="shared" si="80"/>
        <v>4</v>
      </c>
    </row>
    <row r="1248" spans="1:16" ht="15.75" customHeight="1" x14ac:dyDescent="0.25">
      <c r="A1248" s="6" t="s">
        <v>1600</v>
      </c>
      <c r="B1248" s="6" cm="1">
        <f t="array" ref="B1248">alea_int(Settings!$B$10,1,Settings!$B$16)</f>
        <v>1</v>
      </c>
      <c r="C1248" s="8">
        <v>46023</v>
      </c>
      <c r="D1248" s="8">
        <f t="shared" si="77"/>
        <v>46387</v>
      </c>
      <c r="E1248" s="6" t="str" cm="1">
        <f t="array" ref="E1248">choice(Groupes!A:A,1,Settings!$B$16)</f>
        <v>G22</v>
      </c>
      <c r="F1248" s="6" t="str">
        <f t="shared" si="78"/>
        <v>G22</v>
      </c>
      <c r="G1248" s="6" t="str">
        <f t="shared" si="79"/>
        <v>Prof28</v>
      </c>
      <c r="H1248" s="6" t="str" cm="1">
        <f t="array" ref="H1248">choice(Referentiel!A:A,1,Settings!$B$16)</f>
        <v>Gr SYMBIOSE</v>
      </c>
      <c r="I1248" s="6" t="str" cm="1">
        <f t="array" ref="I1248">choice(Referentiel!B:B,1,Settings!$B$16)</f>
        <v>5ème année Photo / Vidéo S1</v>
      </c>
      <c r="J1248" s="6" t="str" cm="1">
        <f t="array" ref="J1248">choice(Referentiel!D:D,1,Settings!$B$16)</f>
        <v>L2</v>
      </c>
      <c r="K1248" s="6" t="str" cm="1">
        <f t="array" ref="K1248">choice(Professeurs!B:B,1,Settings!$B$16)</f>
        <v>Prof28</v>
      </c>
      <c r="L1248" s="5" t="str" cm="1">
        <f t="array" ref="L1248">choice(Referentiel!C:C,1,Settings!$B$16)</f>
        <v/>
      </c>
      <c r="M1248" s="5" t="str" cm="1">
        <f t="array" ref="M1248">choice(Referentiel!E:E,1,Settings!$B$16)</f>
        <v/>
      </c>
      <c r="N1248" s="5" t="str" cm="1">
        <f t="array" ref="N1248">choice(Settings!K:K,1,Settings!$B$16)</f>
        <v/>
      </c>
      <c r="P1248" s="5">
        <f t="shared" si="80"/>
        <v>1</v>
      </c>
    </row>
    <row r="1249" spans="1:16" ht="15.75" customHeight="1" x14ac:dyDescent="0.25">
      <c r="A1249" s="6" t="s">
        <v>1601</v>
      </c>
      <c r="B1249" s="6" cm="1">
        <f t="array" ref="B1249">alea_int(Settings!$B$10,1,Settings!$B$16)</f>
        <v>3</v>
      </c>
      <c r="C1249" s="8">
        <v>46023</v>
      </c>
      <c r="D1249" s="8">
        <f t="shared" si="77"/>
        <v>46387</v>
      </c>
      <c r="E1249" s="6" t="str" cm="1">
        <f t="array" ref="E1249">choice(Groupes!A:A,1,Settings!$B$16)</f>
        <v>G5</v>
      </c>
      <c r="F1249" s="6" t="str">
        <f t="shared" si="78"/>
        <v>G5</v>
      </c>
      <c r="G1249" s="6" t="str">
        <f t="shared" si="79"/>
        <v>Prof47</v>
      </c>
      <c r="H1249" s="6" t="str" cm="1">
        <f t="array" ref="H1249">choice(Referentiel!A:A,1,Settings!$B$16)</f>
        <v>Architecture Intérieure</v>
      </c>
      <c r="I1249" s="6" t="str" cm="1">
        <f t="array" ref="I1249">choice(Referentiel!B:B,1,Settings!$B$16)</f>
        <v>3ème année Design Textile et Matière S2</v>
      </c>
      <c r="J1249" s="6" t="str" cm="1">
        <f t="array" ref="J1249">choice(Referentiel!D:D,1,Settings!$B$16)</f>
        <v>M1</v>
      </c>
      <c r="K1249" s="6" t="str" cm="1">
        <f t="array" ref="K1249">choice(Professeurs!B:B,1,Settings!$B$16)</f>
        <v>Prof47</v>
      </c>
      <c r="L1249" s="5" t="str" cm="1">
        <f t="array" ref="L1249">choice(Referentiel!C:C,1,Settings!$B$16)</f>
        <v/>
      </c>
      <c r="M1249" s="5" t="str" cm="1">
        <f t="array" ref="M1249">choice(Referentiel!E:E,1,Settings!$B$16)</f>
        <v/>
      </c>
      <c r="N1249" s="5" t="str" cm="1">
        <f t="array" ref="N1249">choice(Settings!K:K,1,Settings!$B$16)</f>
        <v/>
      </c>
      <c r="P1249" s="5">
        <f t="shared" si="80"/>
        <v>3</v>
      </c>
    </row>
    <row r="1250" spans="1:16" ht="15.75" customHeight="1" x14ac:dyDescent="0.25">
      <c r="A1250" s="6" t="s">
        <v>1602</v>
      </c>
      <c r="B1250" s="6" cm="1">
        <f t="array" ref="B1250">alea_int(Settings!$B$10,1,Settings!$B$16)</f>
        <v>2</v>
      </c>
      <c r="C1250" s="8">
        <v>46023</v>
      </c>
      <c r="D1250" s="8">
        <f t="shared" si="77"/>
        <v>46387</v>
      </c>
      <c r="E1250" s="6" t="str" cm="1">
        <f t="array" ref="E1250">choice(Groupes!A:A,1,Settings!$B$16)</f>
        <v>G18</v>
      </c>
      <c r="F1250" s="6" t="str">
        <f t="shared" si="78"/>
        <v>G18</v>
      </c>
      <c r="G1250" s="6" t="str">
        <f t="shared" si="79"/>
        <v>Prof41</v>
      </c>
      <c r="H1250" s="6" t="str" cm="1">
        <f t="array" ref="H1250">choice(Referentiel!A:A,1,Settings!$B$16)</f>
        <v>Gr REFLECTIVE INTERACTION</v>
      </c>
      <c r="I1250" s="6" t="str" cm="1">
        <f t="array" ref="I1250">choice(Referentiel!B:B,1,Settings!$B$16)</f>
        <v>5ème année Image Imprimée S1</v>
      </c>
      <c r="J1250" s="6" t="str" cm="1">
        <f t="array" ref="J1250">choice(Referentiel!D:D,1,Settings!$B$16)</f>
        <v>L1</v>
      </c>
      <c r="K1250" s="6" t="str" cm="1">
        <f t="array" ref="K1250">choice(Professeurs!B:B,1,Settings!$B$16)</f>
        <v>Prof41</v>
      </c>
      <c r="L1250" s="5" t="str" cm="1">
        <f t="array" ref="L1250">choice(Referentiel!C:C,1,Settings!$B$16)</f>
        <v/>
      </c>
      <c r="M1250" s="5" t="str" cm="1">
        <f t="array" ref="M1250">choice(Referentiel!E:E,1,Settings!$B$16)</f>
        <v/>
      </c>
      <c r="N1250" s="5" t="str" cm="1">
        <f t="array" ref="N1250">choice(Settings!K:K,1,Settings!$B$16)</f>
        <v>lundi pm</v>
      </c>
      <c r="P1250" s="5">
        <f t="shared" si="80"/>
        <v>4</v>
      </c>
    </row>
    <row r="1251" spans="1:16" ht="15.75" customHeight="1" x14ac:dyDescent="0.25">
      <c r="A1251" s="6" t="s">
        <v>1603</v>
      </c>
      <c r="B1251" s="6" cm="1">
        <f t="array" ref="B1251">alea_int(Settings!$B$10,1,Settings!$B$16)</f>
        <v>2</v>
      </c>
      <c r="C1251" s="8">
        <v>46023</v>
      </c>
      <c r="D1251" s="8">
        <f t="shared" si="77"/>
        <v>46387</v>
      </c>
      <c r="E1251" s="6" t="str" cm="1">
        <f t="array" ref="E1251">choice(Groupes!A:A,1,Settings!$B$16)</f>
        <v>G20</v>
      </c>
      <c r="F1251" s="6" t="str">
        <f t="shared" si="78"/>
        <v>G20</v>
      </c>
      <c r="G1251" s="6" t="str">
        <f t="shared" si="79"/>
        <v>Prof10</v>
      </c>
      <c r="H1251" s="6" t="str" cm="1">
        <f t="array" ref="H1251">choice(Referentiel!A:A,1,Settings!$B$16)</f>
        <v>Design des mondes forestiers</v>
      </c>
      <c r="I1251" s="6" t="str" cm="1">
        <f t="array" ref="I1251">choice(Referentiel!B:B,1,Settings!$B$16)</f>
        <v>4ème année Design Graphique S1</v>
      </c>
      <c r="J1251" s="6" t="str" cm="1">
        <f t="array" ref="J1251">choice(Referentiel!D:D,1,Settings!$B$16)</f>
        <v>M1</v>
      </c>
      <c r="K1251" s="6" t="str" cm="1">
        <f t="array" ref="K1251">choice(Professeurs!B:B,1,Settings!$B$16)</f>
        <v>Prof10</v>
      </c>
      <c r="L1251" s="5" t="str" cm="1">
        <f t="array" ref="L1251">choice(Referentiel!C:C,1,Settings!$B$16)</f>
        <v/>
      </c>
      <c r="M1251" s="5" t="str" cm="1">
        <f t="array" ref="M1251">choice(Referentiel!E:E,1,Settings!$B$16)</f>
        <v/>
      </c>
      <c r="N1251" s="5" t="str" cm="1">
        <f t="array" ref="N1251">choice(Settings!K:K,1,Settings!$B$16)</f>
        <v>mardi pm</v>
      </c>
      <c r="P1251" s="5">
        <f t="shared" si="80"/>
        <v>4</v>
      </c>
    </row>
    <row r="1252" spans="1:16" ht="15.75" customHeight="1" x14ac:dyDescent="0.25">
      <c r="A1252" s="6" t="s">
        <v>1604</v>
      </c>
      <c r="B1252" s="6" cm="1">
        <f t="array" ref="B1252">alea_int(Settings!$B$10,1,Settings!$B$16)</f>
        <v>2</v>
      </c>
      <c r="C1252" s="8">
        <v>46023</v>
      </c>
      <c r="D1252" s="8">
        <f t="shared" si="77"/>
        <v>46387</v>
      </c>
      <c r="E1252" s="6" t="str" cm="1">
        <f t="array" ref="E1252">choice(Groupes!A:A,1,Settings!$B$16)</f>
        <v>G2</v>
      </c>
      <c r="F1252" s="6" t="str">
        <f t="shared" si="78"/>
        <v>G2</v>
      </c>
      <c r="G1252" s="6" t="str">
        <f t="shared" si="79"/>
        <v>Prof31</v>
      </c>
      <c r="H1252" s="6" t="str" cm="1">
        <f t="array" ref="H1252">choice(Referentiel!A:A,1,Settings!$B$16)</f>
        <v>Cinéma d'Animation</v>
      </c>
      <c r="I1252" s="6" t="str" cm="1">
        <f t="array" ref="I1252">choice(Referentiel!B:B,1,Settings!$B$16)</f>
        <v>2ème année Scénographie S1</v>
      </c>
      <c r="J1252" s="6" t="str" cm="1">
        <f t="array" ref="J1252">choice(Referentiel!D:D,1,Settings!$B$16)</f>
        <v>M2</v>
      </c>
      <c r="K1252" s="6" t="str" cm="1">
        <f t="array" ref="K1252">choice(Professeurs!B:B,1,Settings!$B$16)</f>
        <v>Prof31</v>
      </c>
      <c r="L1252" s="5" t="str" cm="1">
        <f t="array" ref="L1252">choice(Referentiel!C:C,1,Settings!$B$16)</f>
        <v/>
      </c>
      <c r="M1252" s="5" t="str" cm="1">
        <f t="array" ref="M1252">choice(Referentiel!E:E,1,Settings!$B$16)</f>
        <v/>
      </c>
      <c r="N1252" s="5" t="str" cm="1">
        <f t="array" ref="N1252">choice(Settings!K:K,1,Settings!$B$16)</f>
        <v/>
      </c>
      <c r="P1252" s="5">
        <f t="shared" si="80"/>
        <v>2</v>
      </c>
    </row>
    <row r="1253" spans="1:16" ht="15.75" customHeight="1" x14ac:dyDescent="0.25">
      <c r="A1253" s="6" t="s">
        <v>1605</v>
      </c>
      <c r="B1253" s="6" cm="1">
        <f t="array" ref="B1253">alea_int(Settings!$B$10,1,Settings!$B$16)</f>
        <v>2</v>
      </c>
      <c r="C1253" s="8">
        <v>46023</v>
      </c>
      <c r="D1253" s="8">
        <f t="shared" si="77"/>
        <v>46387</v>
      </c>
      <c r="E1253" s="6" t="str" cm="1">
        <f t="array" ref="E1253">choice(Groupes!A:A,1,Settings!$B$16)</f>
        <v>G12</v>
      </c>
      <c r="F1253" s="6" t="str">
        <f t="shared" si="78"/>
        <v>G12</v>
      </c>
      <c r="G1253" s="6" t="str">
        <f t="shared" si="79"/>
        <v>Prof12</v>
      </c>
      <c r="H1253" s="6" t="str" cm="1">
        <f t="array" ref="H1253">choice(Referentiel!A:A,1,Settings!$B$16)</f>
        <v>Design Graphique</v>
      </c>
      <c r="I1253" s="6" t="str" cm="1">
        <f t="array" ref="I1253">choice(Referentiel!B:B,1,Settings!$B$16)</f>
        <v>1ère Année Groupe 2 S2</v>
      </c>
      <c r="J1253" s="6" t="str" cm="1">
        <f t="array" ref="J1253">choice(Referentiel!D:D,1,Settings!$B$16)</f>
        <v>M2</v>
      </c>
      <c r="K1253" s="6" t="str" cm="1">
        <f t="array" ref="K1253">choice(Professeurs!B:B,1,Settings!$B$16)</f>
        <v>Prof12</v>
      </c>
      <c r="L1253" s="5" t="str" cm="1">
        <f t="array" ref="L1253">choice(Referentiel!C:C,1,Settings!$B$16)</f>
        <v/>
      </c>
      <c r="M1253" s="5" t="str" cm="1">
        <f t="array" ref="M1253">choice(Referentiel!E:E,1,Settings!$B$16)</f>
        <v/>
      </c>
      <c r="N1253" s="5" t="str" cm="1">
        <f t="array" ref="N1253">choice(Settings!K:K,1,Settings!$B$16)</f>
        <v>vendredi am</v>
      </c>
      <c r="P1253" s="5">
        <f t="shared" si="80"/>
        <v>4</v>
      </c>
    </row>
    <row r="1254" spans="1:16" ht="15.75" customHeight="1" x14ac:dyDescent="0.25">
      <c r="A1254" s="6" t="s">
        <v>1606</v>
      </c>
      <c r="B1254" s="6" cm="1">
        <f t="array" ref="B1254">alea_int(Settings!$B$10,1,Settings!$B$16)</f>
        <v>1</v>
      </c>
      <c r="C1254" s="8">
        <v>46023</v>
      </c>
      <c r="D1254" s="8">
        <f t="shared" si="77"/>
        <v>46387</v>
      </c>
      <c r="E1254" s="6" t="str" cm="1">
        <f t="array" ref="E1254">choice(Groupes!A:A,1,Settings!$B$16)</f>
        <v>G6</v>
      </c>
      <c r="F1254" s="6" t="str">
        <f t="shared" si="78"/>
        <v>G6</v>
      </c>
      <c r="G1254" s="6" t="str">
        <f t="shared" si="79"/>
        <v>Prof24</v>
      </c>
      <c r="H1254" s="6" t="str" cm="1">
        <f t="array" ref="H1254">choice(Referentiel!A:A,1,Settings!$B$16)</f>
        <v>Photo / Vidéo</v>
      </c>
      <c r="I1254" s="6" t="str" cm="1">
        <f t="array" ref="I1254">choice(Referentiel!B:B,1,Settings!$B$16)</f>
        <v>3ème année Design Vêtement S2</v>
      </c>
      <c r="J1254" s="6" t="str" cm="1">
        <f t="array" ref="J1254">choice(Referentiel!D:D,1,Settings!$B$16)</f>
        <v>M1</v>
      </c>
      <c r="K1254" s="6" t="str" cm="1">
        <f t="array" ref="K1254">choice(Professeurs!B:B,1,Settings!$B$16)</f>
        <v>Prof24</v>
      </c>
      <c r="L1254" s="5" t="str" cm="1">
        <f t="array" ref="L1254">choice(Referentiel!C:C,1,Settings!$B$16)</f>
        <v/>
      </c>
      <c r="M1254" s="5" t="str" cm="1">
        <f t="array" ref="M1254">choice(Referentiel!E:E,1,Settings!$B$16)</f>
        <v/>
      </c>
      <c r="N1254" s="5" t="str" cm="1">
        <f t="array" ref="N1254">choice(Settings!K:K,1,Settings!$B$16)</f>
        <v>mercredi pm</v>
      </c>
      <c r="P1254" s="5">
        <f t="shared" si="80"/>
        <v>3</v>
      </c>
    </row>
    <row r="1255" spans="1:16" ht="15.75" customHeight="1" x14ac:dyDescent="0.25">
      <c r="A1255" s="6" t="s">
        <v>1607</v>
      </c>
      <c r="B1255" s="6" cm="1">
        <f t="array" ref="B1255">alea_int(Settings!$B$10,1,Settings!$B$16)</f>
        <v>1</v>
      </c>
      <c r="C1255" s="8">
        <v>46023</v>
      </c>
      <c r="D1255" s="8">
        <f t="shared" si="77"/>
        <v>46387</v>
      </c>
      <c r="E1255" s="6" t="str" cm="1">
        <f t="array" ref="E1255">choice(Groupes!A:A,1,Settings!$B$16)</f>
        <v>G10</v>
      </c>
      <c r="F1255" s="6" t="str">
        <f t="shared" si="78"/>
        <v>G10</v>
      </c>
      <c r="G1255" s="6" t="str">
        <f t="shared" si="79"/>
        <v>Prof30</v>
      </c>
      <c r="H1255" s="6" t="str" cm="1">
        <f t="array" ref="H1255">choice(Referentiel!A:A,1,Settings!$B$16)</f>
        <v>6ème ANNÉE STAGE</v>
      </c>
      <c r="I1255" s="6" t="str" cm="1">
        <f t="array" ref="I1255">choice(Referentiel!B:B,1,Settings!$B$16)</f>
        <v>3ème année Design Textile et Matière S2</v>
      </c>
      <c r="J1255" s="6" t="str" cm="1">
        <f t="array" ref="J1255">choice(Referentiel!D:D,1,Settings!$B$16)</f>
        <v>M1</v>
      </c>
      <c r="K1255" s="6" t="str" cm="1">
        <f t="array" ref="K1255">choice(Professeurs!B:B,1,Settings!$B$16)</f>
        <v>Prof30</v>
      </c>
      <c r="L1255" s="5" t="str" cm="1">
        <f t="array" ref="L1255">choice(Referentiel!C:C,1,Settings!$B$16)</f>
        <v/>
      </c>
      <c r="M1255" s="5" t="str" cm="1">
        <f t="array" ref="M1255">choice(Referentiel!E:E,1,Settings!$B$16)</f>
        <v/>
      </c>
      <c r="N1255" s="5" t="str" cm="1">
        <f t="array" ref="N1255">choice(Settings!K:K,1,Settings!$B$16)</f>
        <v/>
      </c>
      <c r="P1255" s="5">
        <f t="shared" si="80"/>
        <v>1</v>
      </c>
    </row>
    <row r="1256" spans="1:16" ht="15.75" customHeight="1" x14ac:dyDescent="0.25">
      <c r="A1256" s="6" t="s">
        <v>1608</v>
      </c>
      <c r="B1256" s="6" cm="1">
        <f t="array" ref="B1256">alea_int(Settings!$B$10,1,Settings!$B$16)</f>
        <v>1</v>
      </c>
      <c r="C1256" s="8">
        <v>46023</v>
      </c>
      <c r="D1256" s="8">
        <f t="shared" si="77"/>
        <v>46387</v>
      </c>
      <c r="E1256" s="6" t="str" cm="1">
        <f t="array" ref="E1256">choice(Groupes!A:A,1,Settings!$B$16)</f>
        <v>G5</v>
      </c>
      <c r="F1256" s="6" t="str">
        <f t="shared" si="78"/>
        <v>G5</v>
      </c>
      <c r="G1256" s="6" t="str">
        <f t="shared" si="79"/>
        <v>Prof15</v>
      </c>
      <c r="H1256" s="6" t="str" cm="1">
        <f t="array" ref="H1256">choice(Referentiel!A:A,1,Settings!$B$16)</f>
        <v>Design des mondes insulaires</v>
      </c>
      <c r="I1256" s="6" t="str" cm="1">
        <f t="array" ref="I1256">choice(Referentiel!B:B,1,Settings!$B$16)</f>
        <v>2ème année Photo / Vidéo S1</v>
      </c>
      <c r="J1256" s="6" t="str" cm="1">
        <f t="array" ref="J1256">choice(Referentiel!D:D,1,Settings!$B$16)</f>
        <v>M2</v>
      </c>
      <c r="K1256" s="6" t="str" cm="1">
        <f t="array" ref="K1256">choice(Professeurs!B:B,1,Settings!$B$16)</f>
        <v>Prof15</v>
      </c>
      <c r="L1256" s="5" t="str" cm="1">
        <f t="array" ref="L1256">choice(Referentiel!C:C,1,Settings!$B$16)</f>
        <v/>
      </c>
      <c r="M1256" s="5" t="str" cm="1">
        <f t="array" ref="M1256">choice(Referentiel!E:E,1,Settings!$B$16)</f>
        <v/>
      </c>
      <c r="N1256" s="5" t="str" cm="1">
        <f t="array" ref="N1256">choice(Settings!K:K,1,Settings!$B$16)</f>
        <v/>
      </c>
      <c r="P1256" s="5">
        <f t="shared" si="80"/>
        <v>1</v>
      </c>
    </row>
    <row r="1257" spans="1:16" ht="15.75" customHeight="1" x14ac:dyDescent="0.25">
      <c r="A1257" s="6" t="s">
        <v>1609</v>
      </c>
      <c r="B1257" s="6" cm="1">
        <f t="array" ref="B1257">alea_int(Settings!$B$10,1,Settings!$B$16)</f>
        <v>2</v>
      </c>
      <c r="C1257" s="8">
        <v>46023</v>
      </c>
      <c r="D1257" s="8">
        <f t="shared" si="77"/>
        <v>46387</v>
      </c>
      <c r="E1257" s="6" t="str" cm="1">
        <f t="array" ref="E1257">choice(Groupes!A:A,1,Settings!$B$16)</f>
        <v>G2</v>
      </c>
      <c r="F1257" s="6" t="str">
        <f t="shared" si="78"/>
        <v>G2</v>
      </c>
      <c r="G1257" s="6" t="str">
        <f t="shared" si="79"/>
        <v>Prof40</v>
      </c>
      <c r="H1257" s="6" t="str" cm="1">
        <f t="array" ref="H1257">choice(Referentiel!A:A,1,Settings!$B$16)</f>
        <v>Gr TERRITOIRES</v>
      </c>
      <c r="I1257" s="6" t="str" cm="1">
        <f t="array" ref="I1257">choice(Referentiel!B:B,1,Settings!$B$16)</f>
        <v>5ème année Design Graphique S1</v>
      </c>
      <c r="J1257" s="6" t="str" cm="1">
        <f t="array" ref="J1257">choice(Referentiel!D:D,1,Settings!$B$16)</f>
        <v>L3</v>
      </c>
      <c r="K1257" s="6" t="str" cm="1">
        <f t="array" ref="K1257">choice(Professeurs!B:B,1,Settings!$B$16)</f>
        <v>Prof40</v>
      </c>
      <c r="L1257" s="5" t="str" cm="1">
        <f t="array" ref="L1257">choice(Referentiel!C:C,1,Settings!$B$16)</f>
        <v/>
      </c>
      <c r="M1257" s="5" t="str" cm="1">
        <f t="array" ref="M1257">choice(Referentiel!E:E,1,Settings!$B$16)</f>
        <v/>
      </c>
      <c r="N1257" s="5" t="str" cm="1">
        <f t="array" ref="N1257">choice(Settings!K:K,1,Settings!$B$16)</f>
        <v/>
      </c>
      <c r="P1257" s="5">
        <f t="shared" si="80"/>
        <v>2</v>
      </c>
    </row>
    <row r="1258" spans="1:16" ht="15.75" customHeight="1" x14ac:dyDescent="0.25">
      <c r="A1258" s="6" t="s">
        <v>1610</v>
      </c>
      <c r="B1258" s="6" cm="1">
        <f t="array" ref="B1258">alea_int(Settings!$B$10,1,Settings!$B$16)</f>
        <v>3</v>
      </c>
      <c r="C1258" s="8">
        <v>46023</v>
      </c>
      <c r="D1258" s="8">
        <f t="shared" si="77"/>
        <v>46387</v>
      </c>
      <c r="E1258" s="6" t="str" cm="1">
        <f t="array" ref="E1258">choice(Groupes!A:A,1,Settings!$B$16)</f>
        <v>G20</v>
      </c>
      <c r="F1258" s="6" t="str">
        <f t="shared" si="78"/>
        <v>G20</v>
      </c>
      <c r="G1258" s="6" t="str">
        <f t="shared" si="79"/>
        <v>Prof3</v>
      </c>
      <c r="H1258" s="6" t="str" cm="1">
        <f t="array" ref="H1258">choice(Referentiel!A:A,1,Settings!$B$16)</f>
        <v>1ère année Groupe 4</v>
      </c>
      <c r="I1258" s="6" t="str" cm="1">
        <f t="array" ref="I1258">choice(Referentiel!B:B,1,Settings!$B$16)</f>
        <v>1ère Année Groupe 4 S1</v>
      </c>
      <c r="J1258" s="6" t="str" cm="1">
        <f t="array" ref="J1258">choice(Referentiel!D:D,1,Settings!$B$16)</f>
        <v>M1</v>
      </c>
      <c r="K1258" s="6" t="str" cm="1">
        <f t="array" ref="K1258">choice(Professeurs!B:B,1,Settings!$B$16)</f>
        <v>Prof3</v>
      </c>
      <c r="L1258" s="5" t="str" cm="1">
        <f t="array" ref="L1258">choice(Referentiel!C:C,1,Settings!$B$16)</f>
        <v/>
      </c>
      <c r="M1258" s="5" t="str" cm="1">
        <f t="array" ref="M1258">choice(Referentiel!E:E,1,Settings!$B$16)</f>
        <v/>
      </c>
      <c r="N1258" s="5" t="str" cm="1">
        <f t="array" ref="N1258">choice(Settings!K:K,1,Settings!$B$16)</f>
        <v/>
      </c>
      <c r="P1258" s="5">
        <f t="shared" si="80"/>
        <v>3</v>
      </c>
    </row>
    <row r="1259" spans="1:16" ht="15.75" customHeight="1" x14ac:dyDescent="0.25">
      <c r="A1259" s="6" t="s">
        <v>1611</v>
      </c>
      <c r="B1259" s="6" cm="1">
        <f t="array" ref="B1259">alea_int(Settings!$B$10,1,Settings!$B$16)</f>
        <v>1</v>
      </c>
      <c r="C1259" s="8">
        <v>46023</v>
      </c>
      <c r="D1259" s="8">
        <f t="shared" si="77"/>
        <v>46387</v>
      </c>
      <c r="E1259" s="6" t="str" cm="1">
        <f t="array" ref="E1259">choice(Groupes!A:A,1,Settings!$B$16)</f>
        <v>G16</v>
      </c>
      <c r="F1259" s="6" t="str">
        <f t="shared" si="78"/>
        <v>G16</v>
      </c>
      <c r="G1259" s="6" t="str">
        <f t="shared" si="79"/>
        <v>Prof31</v>
      </c>
      <c r="H1259" s="6" t="str" cm="1">
        <f t="array" ref="H1259">choice(Referentiel!A:A,1,Settings!$B$16)</f>
        <v>Design des mondes littoraux</v>
      </c>
      <c r="I1259" s="6" t="str" cm="1">
        <f t="array" ref="I1259">choice(Referentiel!B:B,1,Settings!$B$16)</f>
        <v>3ème année Architecture Intérieure S2</v>
      </c>
      <c r="J1259" s="6" t="str" cm="1">
        <f t="array" ref="J1259">choice(Referentiel!D:D,1,Settings!$B$16)</f>
        <v>L3</v>
      </c>
      <c r="K1259" s="6" t="str" cm="1">
        <f t="array" ref="K1259">choice(Professeurs!B:B,1,Settings!$B$16)</f>
        <v>Prof31</v>
      </c>
      <c r="L1259" s="5" t="str" cm="1">
        <f t="array" ref="L1259">choice(Referentiel!C:C,1,Settings!$B$16)</f>
        <v/>
      </c>
      <c r="M1259" s="5" t="str" cm="1">
        <f t="array" ref="M1259">choice(Referentiel!E:E,1,Settings!$B$16)</f>
        <v/>
      </c>
      <c r="N1259" s="5" t="str" cm="1">
        <f t="array" ref="N1259">choice(Settings!K:K,1,Settings!$B$16)</f>
        <v/>
      </c>
      <c r="P1259" s="5">
        <f t="shared" si="80"/>
        <v>1</v>
      </c>
    </row>
    <row r="1260" spans="1:16" ht="15.75" customHeight="1" x14ac:dyDescent="0.25">
      <c r="A1260" s="6" t="s">
        <v>1612</v>
      </c>
      <c r="B1260" s="6" cm="1">
        <f t="array" ref="B1260">alea_int(Settings!$B$10,1,Settings!$B$16)</f>
        <v>3</v>
      </c>
      <c r="C1260" s="8">
        <v>46023</v>
      </c>
      <c r="D1260" s="8">
        <f t="shared" si="77"/>
        <v>46387</v>
      </c>
      <c r="E1260" s="6" t="str" cm="1">
        <f t="array" ref="E1260">choice(Groupes!A:A,1,Settings!$B$16)</f>
        <v>G23</v>
      </c>
      <c r="F1260" s="6" t="str">
        <f t="shared" si="78"/>
        <v>G23</v>
      </c>
      <c r="G1260" s="6" t="str">
        <f t="shared" si="79"/>
        <v>Prof20</v>
      </c>
      <c r="H1260" s="6" t="str" cm="1">
        <f t="array" ref="H1260">choice(Referentiel!A:A,1,Settings!$B$16)</f>
        <v>Image Imprimée</v>
      </c>
      <c r="I1260" s="6" t="str" cm="1">
        <f t="array" ref="I1260">choice(Referentiel!B:B,1,Settings!$B$16)</f>
        <v>4ème année Design Objet S1</v>
      </c>
      <c r="J1260" s="6" t="str" cm="1">
        <f t="array" ref="J1260">choice(Referentiel!D:D,1,Settings!$B$16)</f>
        <v>M1</v>
      </c>
      <c r="K1260" s="6" t="str" cm="1">
        <f t="array" ref="K1260">choice(Professeurs!B:B,1,Settings!$B$16)</f>
        <v>Prof20</v>
      </c>
      <c r="L1260" s="5" t="str" cm="1">
        <f t="array" ref="L1260">choice(Referentiel!C:C,1,Settings!$B$16)</f>
        <v/>
      </c>
      <c r="M1260" s="5" t="str" cm="1">
        <f t="array" ref="M1260">choice(Referentiel!E:E,1,Settings!$B$16)</f>
        <v/>
      </c>
      <c r="N1260" s="5" t="str" cm="1">
        <f t="array" ref="N1260">choice(Settings!K:K,1,Settings!$B$16)</f>
        <v/>
      </c>
      <c r="P1260" s="5">
        <f t="shared" si="80"/>
        <v>3</v>
      </c>
    </row>
    <row r="1261" spans="1:16" ht="15.75" customHeight="1" x14ac:dyDescent="0.25">
      <c r="A1261" s="6" t="s">
        <v>1613</v>
      </c>
      <c r="B1261" s="6" cm="1">
        <f t="array" ref="B1261">alea_int(Settings!$B$10,1,Settings!$B$16)</f>
        <v>3</v>
      </c>
      <c r="C1261" s="8">
        <v>46023</v>
      </c>
      <c r="D1261" s="8">
        <f t="shared" si="77"/>
        <v>46387</v>
      </c>
      <c r="E1261" s="6" t="str" cm="1">
        <f t="array" ref="E1261">choice(Groupes!A:A,1,Settings!$B$16)</f>
        <v>G2</v>
      </c>
      <c r="F1261" s="6" t="str">
        <f t="shared" si="78"/>
        <v>G2</v>
      </c>
      <c r="G1261" s="6" t="str">
        <f t="shared" si="79"/>
        <v>Prof7</v>
      </c>
      <c r="H1261" s="6" t="str" cm="1">
        <f t="array" ref="H1261">choice(Referentiel!A:A,1,Settings!$B$16)</f>
        <v>Gr SYMBIOSE</v>
      </c>
      <c r="I1261" s="6" t="str" cm="1">
        <f t="array" ref="I1261">choice(Referentiel!B:B,1,Settings!$B$16)</f>
        <v>2ème année Art-Espace S2</v>
      </c>
      <c r="J1261" s="6" t="str" cm="1">
        <f t="array" ref="J1261">choice(Referentiel!D:D,1,Settings!$B$16)</f>
        <v>M1</v>
      </c>
      <c r="K1261" s="6" t="str" cm="1">
        <f t="array" ref="K1261">choice(Professeurs!B:B,1,Settings!$B$16)</f>
        <v>Prof7</v>
      </c>
      <c r="L1261" s="5" t="str" cm="1">
        <f t="array" ref="L1261">choice(Referentiel!C:C,1,Settings!$B$16)</f>
        <v/>
      </c>
      <c r="M1261" s="5" t="str" cm="1">
        <f t="array" ref="M1261">choice(Referentiel!E:E,1,Settings!$B$16)</f>
        <v/>
      </c>
      <c r="N1261" s="5" t="str" cm="1">
        <f t="array" ref="N1261">choice(Settings!K:K,1,Settings!$B$16)</f>
        <v>mercredi ap</v>
      </c>
      <c r="P1261" s="5">
        <f t="shared" si="80"/>
        <v>5</v>
      </c>
    </row>
    <row r="1262" spans="1:16" ht="15.75" customHeight="1" x14ac:dyDescent="0.25">
      <c r="A1262" s="6" t="s">
        <v>1614</v>
      </c>
      <c r="B1262" s="6" cm="1">
        <f t="array" ref="B1262">alea_int(Settings!$B$10,1,Settings!$B$16)</f>
        <v>3</v>
      </c>
      <c r="C1262" s="8">
        <v>46023</v>
      </c>
      <c r="D1262" s="8">
        <f t="shared" si="77"/>
        <v>46387</v>
      </c>
      <c r="E1262" s="6" t="str" cm="1">
        <f t="array" ref="E1262">choice(Groupes!A:A,1,Settings!$B$16)</f>
        <v>G25</v>
      </c>
      <c r="F1262" s="6" t="str">
        <f t="shared" si="78"/>
        <v>G25</v>
      </c>
      <c r="G1262" s="6" t="str">
        <f t="shared" si="79"/>
        <v>Prof46</v>
      </c>
      <c r="H1262" s="6" t="str" cm="1">
        <f t="array" ref="H1262">choice(Referentiel!A:A,1,Settings!$B$16)</f>
        <v>6ème ANNÉE STAGE</v>
      </c>
      <c r="I1262" s="6" t="str" cm="1">
        <f t="array" ref="I1262">choice(Referentiel!B:B,1,Settings!$B$16)</f>
        <v>2ème année Architecture Intérieure S2</v>
      </c>
      <c r="J1262" s="6" t="str" cm="1">
        <f t="array" ref="J1262">choice(Referentiel!D:D,1,Settings!$B$16)</f>
        <v>M1</v>
      </c>
      <c r="K1262" s="6" t="str" cm="1">
        <f t="array" ref="K1262">choice(Professeurs!B:B,1,Settings!$B$16)</f>
        <v>Prof46</v>
      </c>
      <c r="L1262" s="5" t="str" cm="1">
        <f t="array" ref="L1262">choice(Referentiel!C:C,1,Settings!$B$16)</f>
        <v/>
      </c>
      <c r="M1262" s="5" t="str" cm="1">
        <f t="array" ref="M1262">choice(Referentiel!E:E,1,Settings!$B$16)</f>
        <v/>
      </c>
      <c r="N1262" s="5" t="str" cm="1">
        <f t="array" ref="N1262">choice(Settings!K:K,1,Settings!$B$16)</f>
        <v/>
      </c>
      <c r="P1262" s="5">
        <f t="shared" si="80"/>
        <v>3</v>
      </c>
    </row>
    <row r="1263" spans="1:16" ht="15.75" customHeight="1" x14ac:dyDescent="0.25">
      <c r="A1263" s="6" t="s">
        <v>1615</v>
      </c>
      <c r="B1263" s="6" cm="1">
        <f t="array" ref="B1263">alea_int(Settings!$B$10,1,Settings!$B$16)</f>
        <v>1</v>
      </c>
      <c r="C1263" s="8">
        <v>46023</v>
      </c>
      <c r="D1263" s="8">
        <f t="shared" si="77"/>
        <v>46387</v>
      </c>
      <c r="E1263" s="6" t="str" cm="1">
        <f t="array" ref="E1263">choice(Groupes!A:A,1,Settings!$B$16)</f>
        <v>G15</v>
      </c>
      <c r="F1263" s="6" t="str">
        <f t="shared" si="78"/>
        <v>G15</v>
      </c>
      <c r="G1263" s="6" t="str">
        <f t="shared" si="79"/>
        <v>Prof37</v>
      </c>
      <c r="H1263" s="6" t="str" cm="1">
        <f t="array" ref="H1263">choice(Referentiel!A:A,1,Settings!$B$16)</f>
        <v>Gr SPATIAL MEDIA</v>
      </c>
      <c r="I1263" s="6" t="str" cm="1">
        <f t="array" ref="I1263">choice(Referentiel!B:B,1,Settings!$B$16)</f>
        <v>2ème année Design Textile et Matière S2</v>
      </c>
      <c r="J1263" s="6" t="str" cm="1">
        <f t="array" ref="J1263">choice(Referentiel!D:D,1,Settings!$B$16)</f>
        <v>M1</v>
      </c>
      <c r="K1263" s="6" t="str" cm="1">
        <f t="array" ref="K1263">choice(Professeurs!B:B,1,Settings!$B$16)</f>
        <v>Prof37</v>
      </c>
      <c r="L1263" s="5" t="str" cm="1">
        <f t="array" ref="L1263">choice(Referentiel!C:C,1,Settings!$B$16)</f>
        <v/>
      </c>
      <c r="M1263" s="5" t="str" cm="1">
        <f t="array" ref="M1263">choice(Referentiel!E:E,1,Settings!$B$16)</f>
        <v/>
      </c>
      <c r="N1263" s="5" t="str" cm="1">
        <f t="array" ref="N1263">choice(Settings!K:K,1,Settings!$B$16)</f>
        <v/>
      </c>
      <c r="P1263" s="5">
        <f t="shared" si="80"/>
        <v>1</v>
      </c>
    </row>
    <row r="1264" spans="1:16" ht="15.75" customHeight="1" x14ac:dyDescent="0.25">
      <c r="A1264" s="6" t="s">
        <v>1616</v>
      </c>
      <c r="B1264" s="6" cm="1">
        <f t="array" ref="B1264">alea_int(Settings!$B$10,1,Settings!$B$16)</f>
        <v>2</v>
      </c>
      <c r="C1264" s="8">
        <v>46023</v>
      </c>
      <c r="D1264" s="8">
        <f t="shared" si="77"/>
        <v>46387</v>
      </c>
      <c r="E1264" s="6" t="str" cm="1">
        <f t="array" ref="E1264">choice(Groupes!A:A,1,Settings!$B$16)</f>
        <v>G6</v>
      </c>
      <c r="F1264" s="6" t="str">
        <f t="shared" si="78"/>
        <v>G6</v>
      </c>
      <c r="G1264" s="6" t="str">
        <f t="shared" si="79"/>
        <v>Prof5</v>
      </c>
      <c r="H1264" s="6" t="str" cm="1">
        <f t="array" ref="H1264">choice(Referentiel!A:A,1,Settings!$B$16)</f>
        <v>Design des mondes montagneux</v>
      </c>
      <c r="I1264" s="6" t="str" cm="1">
        <f t="array" ref="I1264">choice(Referentiel!B:B,1,Settings!$B$16)</f>
        <v>5ème année Architecture Intérieure S2</v>
      </c>
      <c r="J1264" s="6" t="str" cm="1">
        <f t="array" ref="J1264">choice(Referentiel!D:D,1,Settings!$B$16)</f>
        <v>L2</v>
      </c>
      <c r="K1264" s="6" t="str" cm="1">
        <f t="array" ref="K1264">choice(Professeurs!B:B,1,Settings!$B$16)</f>
        <v>Prof5</v>
      </c>
      <c r="L1264" s="5" t="str" cm="1">
        <f t="array" ref="L1264">choice(Referentiel!C:C,1,Settings!$B$16)</f>
        <v/>
      </c>
      <c r="M1264" s="5" t="str" cm="1">
        <f t="array" ref="M1264">choice(Referentiel!E:E,1,Settings!$B$16)</f>
        <v/>
      </c>
      <c r="N1264" s="5" t="str" cm="1">
        <f t="array" ref="N1264">choice(Settings!K:K,1,Settings!$B$16)</f>
        <v/>
      </c>
      <c r="P1264" s="5">
        <f t="shared" si="80"/>
        <v>2</v>
      </c>
    </row>
    <row r="1265" spans="1:16" ht="15.75" customHeight="1" x14ac:dyDescent="0.25">
      <c r="A1265" s="6" t="s">
        <v>1617</v>
      </c>
      <c r="B1265" s="6" cm="1">
        <f t="array" ref="B1265">alea_int(Settings!$B$10,1,Settings!$B$16)</f>
        <v>3</v>
      </c>
      <c r="C1265" s="8">
        <v>46023</v>
      </c>
      <c r="D1265" s="8">
        <f t="shared" si="77"/>
        <v>46387</v>
      </c>
      <c r="E1265" s="6" t="str" cm="1">
        <f t="array" ref="E1265">choice(Groupes!A:A,1,Settings!$B$16)</f>
        <v>G9</v>
      </c>
      <c r="F1265" s="6" t="str">
        <f t="shared" si="78"/>
        <v>G9</v>
      </c>
      <c r="G1265" s="6" t="str">
        <f t="shared" si="79"/>
        <v>Prof42</v>
      </c>
      <c r="H1265" s="6" t="str" cm="1">
        <f t="array" ref="H1265">choice(Referentiel!A:A,1,Settings!$B$16)</f>
        <v>Design des mondes forestiers</v>
      </c>
      <c r="I1265" s="6" t="str" cm="1">
        <f t="array" ref="I1265">choice(Referentiel!B:B,1,Settings!$B$16)</f>
        <v>2ème année Design Graphique S2</v>
      </c>
      <c r="J1265" s="6" t="str" cm="1">
        <f t="array" ref="J1265">choice(Referentiel!D:D,1,Settings!$B$16)</f>
        <v>M2</v>
      </c>
      <c r="K1265" s="6" t="str" cm="1">
        <f t="array" ref="K1265">choice(Professeurs!B:B,1,Settings!$B$16)</f>
        <v>Prof42</v>
      </c>
      <c r="L1265" s="5" t="str" cm="1">
        <f t="array" ref="L1265">choice(Referentiel!C:C,1,Settings!$B$16)</f>
        <v/>
      </c>
      <c r="M1265" s="5" t="str" cm="1">
        <f t="array" ref="M1265">choice(Referentiel!E:E,1,Settings!$B$16)</f>
        <v/>
      </c>
      <c r="N1265" s="5" t="str" cm="1">
        <f t="array" ref="N1265">choice(Settings!K:K,1,Settings!$B$16)</f>
        <v/>
      </c>
      <c r="P1265" s="5">
        <f t="shared" si="80"/>
        <v>3</v>
      </c>
    </row>
    <row r="1266" spans="1:16" ht="15.75" customHeight="1" x14ac:dyDescent="0.25">
      <c r="A1266" s="6" t="s">
        <v>1618</v>
      </c>
      <c r="B1266" s="6" cm="1">
        <f t="array" ref="B1266">alea_int(Settings!$B$10,1,Settings!$B$16)</f>
        <v>3</v>
      </c>
      <c r="C1266" s="8">
        <v>46023</v>
      </c>
      <c r="D1266" s="8">
        <f t="shared" si="77"/>
        <v>46387</v>
      </c>
      <c r="E1266" s="6" t="str" cm="1">
        <f t="array" ref="E1266">choice(Groupes!A:A,1,Settings!$B$16)</f>
        <v>G11</v>
      </c>
      <c r="F1266" s="6" t="str">
        <f t="shared" si="78"/>
        <v>G11</v>
      </c>
      <c r="G1266" s="6" t="str">
        <f t="shared" si="79"/>
        <v>Prof33</v>
      </c>
      <c r="H1266" s="6" t="str" cm="1">
        <f t="array" ref="H1266">choice(Referentiel!A:A,1,Settings!$B$16)</f>
        <v>Design des mondes ruraux</v>
      </c>
      <c r="I1266" s="6" t="str" cm="1">
        <f t="array" ref="I1266">choice(Referentiel!B:B,1,Settings!$B$16)</f>
        <v>5ème année Image Imprimée S2</v>
      </c>
      <c r="J1266" s="6" t="str" cm="1">
        <f t="array" ref="J1266">choice(Referentiel!D:D,1,Settings!$B$16)</f>
        <v>L1</v>
      </c>
      <c r="K1266" s="6" t="str" cm="1">
        <f t="array" ref="K1266">choice(Professeurs!B:B,1,Settings!$B$16)</f>
        <v>Prof33</v>
      </c>
      <c r="L1266" s="5" t="str" cm="1">
        <f t="array" ref="L1266">choice(Referentiel!C:C,1,Settings!$B$16)</f>
        <v/>
      </c>
      <c r="M1266" s="5" t="str" cm="1">
        <f t="array" ref="M1266">choice(Referentiel!E:E,1,Settings!$B$16)</f>
        <v>Salle8</v>
      </c>
      <c r="N1266" s="5" t="str" cm="1">
        <f t="array" ref="N1266">choice(Settings!K:K,1,Settings!$B$16)</f>
        <v/>
      </c>
      <c r="P1266" s="5">
        <f t="shared" si="80"/>
        <v>5</v>
      </c>
    </row>
    <row r="1267" spans="1:16" ht="15.75" customHeight="1" x14ac:dyDescent="0.25">
      <c r="A1267" s="6" t="s">
        <v>1619</v>
      </c>
      <c r="B1267" s="6" cm="1">
        <f t="array" ref="B1267">alea_int(Settings!$B$10,1,Settings!$B$16)</f>
        <v>2</v>
      </c>
      <c r="C1267" s="8">
        <v>46023</v>
      </c>
      <c r="D1267" s="8">
        <f t="shared" si="77"/>
        <v>46387</v>
      </c>
      <c r="E1267" s="6" t="str" cm="1">
        <f t="array" ref="E1267">choice(Groupes!A:A,1,Settings!$B$16)</f>
        <v>G7</v>
      </c>
      <c r="F1267" s="6" t="str">
        <f t="shared" si="78"/>
        <v>G7</v>
      </c>
      <c r="G1267" s="6" t="str">
        <f t="shared" si="79"/>
        <v>Prof19</v>
      </c>
      <c r="H1267" s="6" t="str" cm="1">
        <f t="array" ref="H1267">choice(Referentiel!A:A,1,Settings!$B$16)</f>
        <v>Mode et Matière</v>
      </c>
      <c r="I1267" s="6" t="str" cm="1">
        <f t="array" ref="I1267">choice(Referentiel!B:B,1,Settings!$B$16)</f>
        <v>4ème année Design Objet S1</v>
      </c>
      <c r="J1267" s="6" t="str" cm="1">
        <f t="array" ref="J1267">choice(Referentiel!D:D,1,Settings!$B$16)</f>
        <v>M1</v>
      </c>
      <c r="K1267" s="6" t="str" cm="1">
        <f t="array" ref="K1267">choice(Professeurs!B:B,1,Settings!$B$16)</f>
        <v>Prof19</v>
      </c>
      <c r="L1267" s="5" t="str" cm="1">
        <f t="array" ref="L1267">choice(Referentiel!C:C,1,Settings!$B$16)</f>
        <v/>
      </c>
      <c r="M1267" s="5" t="str" cm="1">
        <f t="array" ref="M1267">choice(Referentiel!E:E,1,Settings!$B$16)</f>
        <v/>
      </c>
      <c r="N1267" s="5" t="str" cm="1">
        <f t="array" ref="N1267">choice(Settings!K:K,1,Settings!$B$16)</f>
        <v/>
      </c>
      <c r="P1267" s="5">
        <f t="shared" si="80"/>
        <v>2</v>
      </c>
    </row>
    <row r="1268" spans="1:16" ht="15.75" customHeight="1" x14ac:dyDescent="0.25">
      <c r="A1268" s="6" t="s">
        <v>1620</v>
      </c>
      <c r="B1268" s="6" cm="1">
        <f t="array" ref="B1268">alea_int(Settings!$B$10,1,Settings!$B$16)</f>
        <v>1</v>
      </c>
      <c r="C1268" s="8">
        <v>46023</v>
      </c>
      <c r="D1268" s="8">
        <f t="shared" si="77"/>
        <v>46387</v>
      </c>
      <c r="E1268" s="6" t="str" cm="1">
        <f t="array" ref="E1268">choice(Groupes!A:A,1,Settings!$B$16)</f>
        <v>G23</v>
      </c>
      <c r="F1268" s="6" t="str">
        <f t="shared" si="78"/>
        <v>G23</v>
      </c>
      <c r="G1268" s="6" t="str">
        <f t="shared" si="79"/>
        <v>Prof30</v>
      </c>
      <c r="H1268" s="6" t="str" cm="1">
        <f t="array" ref="H1268">choice(Referentiel!A:A,1,Settings!$B$16)</f>
        <v>Design des mondes ruraux</v>
      </c>
      <c r="I1268" s="6" t="str" cm="1">
        <f t="array" ref="I1268">choice(Referentiel!B:B,1,Settings!$B$16)</f>
        <v>4ème année Architecture Intérieure S1</v>
      </c>
      <c r="J1268" s="6" t="str" cm="1">
        <f t="array" ref="J1268">choice(Referentiel!D:D,1,Settings!$B$16)</f>
        <v>M2</v>
      </c>
      <c r="K1268" s="6" t="str" cm="1">
        <f t="array" ref="K1268">choice(Professeurs!B:B,1,Settings!$B$16)</f>
        <v>Prof30</v>
      </c>
      <c r="L1268" s="5" t="str" cm="1">
        <f t="array" ref="L1268">choice(Referentiel!C:C,1,Settings!$B$16)</f>
        <v/>
      </c>
      <c r="M1268" s="5" t="str" cm="1">
        <f t="array" ref="M1268">choice(Referentiel!E:E,1,Settings!$B$16)</f>
        <v/>
      </c>
      <c r="N1268" s="5" t="str" cm="1">
        <f t="array" ref="N1268">choice(Settings!K:K,1,Settings!$B$16)</f>
        <v>semaine</v>
      </c>
      <c r="P1268" s="5">
        <f t="shared" si="80"/>
        <v>3</v>
      </c>
    </row>
    <row r="1269" spans="1:16" ht="15.75" customHeight="1" x14ac:dyDescent="0.25">
      <c r="A1269" s="6" t="s">
        <v>1621</v>
      </c>
      <c r="B1269" s="6" cm="1">
        <f t="array" ref="B1269">alea_int(Settings!$B$10,1,Settings!$B$16)</f>
        <v>3</v>
      </c>
      <c r="C1269" s="8">
        <v>46023</v>
      </c>
      <c r="D1269" s="8">
        <f t="shared" si="77"/>
        <v>46387</v>
      </c>
      <c r="E1269" s="6" t="str" cm="1">
        <f t="array" ref="E1269">choice(Groupes!A:A,1,Settings!$B$16)</f>
        <v>G10</v>
      </c>
      <c r="F1269" s="6" t="str">
        <f t="shared" si="78"/>
        <v>G10</v>
      </c>
      <c r="G1269" s="6" t="str">
        <f t="shared" si="79"/>
        <v>Prof14</v>
      </c>
      <c r="H1269" s="6" t="str" cm="1">
        <f t="array" ref="H1269">choice(Referentiel!A:A,1,Settings!$B$16)</f>
        <v>Art-Espace</v>
      </c>
      <c r="I1269" s="6" t="str" cm="1">
        <f t="array" ref="I1269">choice(Referentiel!B:B,1,Settings!$B$16)</f>
        <v>5ème année Design Vêtement S2</v>
      </c>
      <c r="J1269" s="6" t="str" cm="1">
        <f t="array" ref="J1269">choice(Referentiel!D:D,1,Settings!$B$16)</f>
        <v>M2</v>
      </c>
      <c r="K1269" s="6" t="str" cm="1">
        <f t="array" ref="K1269">choice(Professeurs!B:B,1,Settings!$B$16)</f>
        <v>Prof14</v>
      </c>
      <c r="L1269" s="5" t="str" cm="1">
        <f t="array" ref="L1269">choice(Referentiel!C:C,1,Settings!$B$16)</f>
        <v/>
      </c>
      <c r="M1269" s="5" t="str" cm="1">
        <f t="array" ref="M1269">choice(Referentiel!E:E,1,Settings!$B$16)</f>
        <v/>
      </c>
      <c r="N1269" s="5" t="str" cm="1">
        <f t="array" ref="N1269">choice(Settings!K:K,1,Settings!$B$16)</f>
        <v/>
      </c>
      <c r="P1269" s="5">
        <f t="shared" si="80"/>
        <v>3</v>
      </c>
    </row>
    <row r="1270" spans="1:16" ht="15.75" customHeight="1" x14ac:dyDescent="0.25">
      <c r="A1270" s="6" t="s">
        <v>1622</v>
      </c>
      <c r="B1270" s="6" cm="1">
        <f t="array" ref="B1270">alea_int(Settings!$B$10,1,Settings!$B$16)</f>
        <v>1</v>
      </c>
      <c r="C1270" s="8">
        <v>46023</v>
      </c>
      <c r="D1270" s="8">
        <f t="shared" si="77"/>
        <v>46387</v>
      </c>
      <c r="E1270" s="6" t="str" cm="1">
        <f t="array" ref="E1270">choice(Groupes!A:A,1,Settings!$B$16)</f>
        <v>G11</v>
      </c>
      <c r="F1270" s="6" t="str">
        <f t="shared" si="78"/>
        <v>G11</v>
      </c>
      <c r="G1270" s="6" t="str">
        <f t="shared" si="79"/>
        <v>Prof46</v>
      </c>
      <c r="H1270" s="6" t="str" cm="1">
        <f t="array" ref="H1270">choice(Referentiel!A:A,1,Settings!$B$16)</f>
        <v>Gr SPATIAL MEDIA</v>
      </c>
      <c r="I1270" s="6" t="str" cm="1">
        <f t="array" ref="I1270">choice(Referentiel!B:B,1,Settings!$B$16)</f>
        <v>4ème année Design Vêtement S1</v>
      </c>
      <c r="J1270" s="6" t="str" cm="1">
        <f t="array" ref="J1270">choice(Referentiel!D:D,1,Settings!$B$16)</f>
        <v>M1</v>
      </c>
      <c r="K1270" s="6" t="str" cm="1">
        <f t="array" ref="K1270">choice(Professeurs!B:B,1,Settings!$B$16)</f>
        <v>Prof46</v>
      </c>
      <c r="L1270" s="5" t="str" cm="1">
        <f t="array" ref="L1270">choice(Referentiel!C:C,1,Settings!$B$16)</f>
        <v/>
      </c>
      <c r="M1270" s="5" t="str" cm="1">
        <f t="array" ref="M1270">choice(Referentiel!E:E,1,Settings!$B$16)</f>
        <v/>
      </c>
      <c r="N1270" s="5" t="str" cm="1">
        <f t="array" ref="N1270">choice(Settings!K:K,1,Settings!$B$16)</f>
        <v>lundi pm</v>
      </c>
      <c r="P1270" s="5">
        <f t="shared" si="80"/>
        <v>3</v>
      </c>
    </row>
    <row r="1271" spans="1:16" ht="15.75" customHeight="1" x14ac:dyDescent="0.25">
      <c r="A1271" s="6" t="s">
        <v>1623</v>
      </c>
      <c r="B1271" s="6" cm="1">
        <f t="array" ref="B1271">alea_int(Settings!$B$10,1,Settings!$B$16)</f>
        <v>3</v>
      </c>
      <c r="C1271" s="8">
        <v>46023</v>
      </c>
      <c r="D1271" s="8">
        <f t="shared" si="77"/>
        <v>46387</v>
      </c>
      <c r="E1271" s="6" t="str" cm="1">
        <f t="array" ref="E1271">choice(Groupes!A:A,1,Settings!$B$16)</f>
        <v>G18</v>
      </c>
      <c r="F1271" s="6" t="str">
        <f t="shared" si="78"/>
        <v>G18</v>
      </c>
      <c r="G1271" s="6" t="str">
        <f t="shared" si="79"/>
        <v>Prof4</v>
      </c>
      <c r="H1271" s="6" t="str" cm="1">
        <f t="array" ref="H1271">choice(Referentiel!A:A,1,Settings!$B$16)</f>
        <v>Image Imprimée</v>
      </c>
      <c r="I1271" s="6" t="str" cm="1">
        <f t="array" ref="I1271">choice(Referentiel!B:B,1,Settings!$B$16)</f>
        <v>5ème année Cinéma d'Animation S1</v>
      </c>
      <c r="J1271" s="6" t="str" cm="1">
        <f t="array" ref="J1271">choice(Referentiel!D:D,1,Settings!$B$16)</f>
        <v>M1</v>
      </c>
      <c r="K1271" s="6" t="str" cm="1">
        <f t="array" ref="K1271">choice(Professeurs!B:B,1,Settings!$B$16)</f>
        <v>Prof4</v>
      </c>
      <c r="L1271" s="5" t="str" cm="1">
        <f t="array" ref="L1271">choice(Referentiel!C:C,1,Settings!$B$16)</f>
        <v/>
      </c>
      <c r="M1271" s="5" t="str" cm="1">
        <f t="array" ref="M1271">choice(Referentiel!E:E,1,Settings!$B$16)</f>
        <v/>
      </c>
      <c r="N1271" s="5" t="str" cm="1">
        <f t="array" ref="N1271">choice(Settings!K:K,1,Settings!$B$16)</f>
        <v/>
      </c>
      <c r="P1271" s="5">
        <f t="shared" si="80"/>
        <v>3</v>
      </c>
    </row>
    <row r="1272" spans="1:16" ht="15.75" customHeight="1" x14ac:dyDescent="0.25">
      <c r="A1272" s="6" t="s">
        <v>1624</v>
      </c>
      <c r="B1272" s="6" cm="1">
        <f t="array" ref="B1272">alea_int(Settings!$B$10,1,Settings!$B$16)</f>
        <v>2</v>
      </c>
      <c r="C1272" s="8">
        <v>46023</v>
      </c>
      <c r="D1272" s="8">
        <f t="shared" si="77"/>
        <v>46387</v>
      </c>
      <c r="E1272" s="6" t="str" cm="1">
        <f t="array" ref="E1272">choice(Groupes!A:A,1,Settings!$B$16)</f>
        <v>G10</v>
      </c>
      <c r="F1272" s="6" t="str">
        <f t="shared" si="78"/>
        <v>G10</v>
      </c>
      <c r="G1272" s="6" t="str">
        <f t="shared" si="79"/>
        <v>Prof52</v>
      </c>
      <c r="H1272" s="6" t="str" cm="1">
        <f t="array" ref="H1272">choice(Referentiel!A:A,1,Settings!$B$16)</f>
        <v>Design des mondes montagneux</v>
      </c>
      <c r="I1272" s="6" t="str" cm="1">
        <f t="array" ref="I1272">choice(Referentiel!B:B,1,Settings!$B$16)</f>
        <v>2ème année Scénographie S2</v>
      </c>
      <c r="J1272" s="6" t="str" cm="1">
        <f t="array" ref="J1272">choice(Referentiel!D:D,1,Settings!$B$16)</f>
        <v>M2</v>
      </c>
      <c r="K1272" s="6" t="str" cm="1">
        <f t="array" ref="K1272">choice(Professeurs!B:B,1,Settings!$B$16)</f>
        <v>Prof52</v>
      </c>
      <c r="L1272" s="5" t="str" cm="1">
        <f t="array" ref="L1272">choice(Referentiel!C:C,1,Settings!$B$16)</f>
        <v/>
      </c>
      <c r="M1272" s="5" t="str" cm="1">
        <f t="array" ref="M1272">choice(Referentiel!E:E,1,Settings!$B$16)</f>
        <v/>
      </c>
      <c r="N1272" s="5" t="str" cm="1">
        <f t="array" ref="N1272">choice(Settings!K:K,1,Settings!$B$16)</f>
        <v/>
      </c>
      <c r="P1272" s="5">
        <f t="shared" si="80"/>
        <v>2</v>
      </c>
    </row>
    <row r="1273" spans="1:16" ht="15.75" customHeight="1" x14ac:dyDescent="0.25">
      <c r="A1273" s="6" t="s">
        <v>1625</v>
      </c>
      <c r="B1273" s="6" cm="1">
        <f t="array" ref="B1273">alea_int(Settings!$B$10,1,Settings!$B$16)</f>
        <v>3</v>
      </c>
      <c r="C1273" s="8">
        <v>46023</v>
      </c>
      <c r="D1273" s="8">
        <f t="shared" si="77"/>
        <v>46387</v>
      </c>
      <c r="E1273" s="6" t="str" cm="1">
        <f t="array" ref="E1273">choice(Groupes!A:A,1,Settings!$B$16)</f>
        <v>G27</v>
      </c>
      <c r="F1273" s="6" t="str">
        <f t="shared" si="78"/>
        <v>G27</v>
      </c>
      <c r="G1273" s="6" t="str">
        <f t="shared" si="79"/>
        <v>Prof54</v>
      </c>
      <c r="H1273" s="6" t="str" cm="1">
        <f t="array" ref="H1273">choice(Referentiel!A:A,1,Settings!$B$16)</f>
        <v>Design des mondes forestiers</v>
      </c>
      <c r="I1273" s="6" t="str" cm="1">
        <f t="array" ref="I1273">choice(Referentiel!B:B,1,Settings!$B$16)</f>
        <v>3ème année Design Textile et Matière S2</v>
      </c>
      <c r="J1273" s="6" t="str" cm="1">
        <f t="array" ref="J1273">choice(Referentiel!D:D,1,Settings!$B$16)</f>
        <v>L3</v>
      </c>
      <c r="K1273" s="6" t="str" cm="1">
        <f t="array" ref="K1273">choice(Professeurs!B:B,1,Settings!$B$16)</f>
        <v>Prof54</v>
      </c>
      <c r="L1273" s="5" t="str" cm="1">
        <f t="array" ref="L1273">choice(Referentiel!C:C,1,Settings!$B$16)</f>
        <v/>
      </c>
      <c r="M1273" s="5" t="str" cm="1">
        <f t="array" ref="M1273">choice(Referentiel!E:E,1,Settings!$B$16)</f>
        <v/>
      </c>
      <c r="N1273" s="5" t="str" cm="1">
        <f t="array" ref="N1273">choice(Settings!K:K,1,Settings!$B$16)</f>
        <v/>
      </c>
      <c r="P1273" s="5">
        <f t="shared" si="80"/>
        <v>3</v>
      </c>
    </row>
    <row r="1274" spans="1:16" ht="15.75" customHeight="1" x14ac:dyDescent="0.25">
      <c r="A1274" s="6" t="s">
        <v>1626</v>
      </c>
      <c r="B1274" s="6" cm="1">
        <f t="array" ref="B1274">alea_int(Settings!$B$10,1,Settings!$B$16)</f>
        <v>2</v>
      </c>
      <c r="C1274" s="8">
        <v>46023</v>
      </c>
      <c r="D1274" s="8">
        <f t="shared" si="77"/>
        <v>46387</v>
      </c>
      <c r="E1274" s="6" t="str" cm="1">
        <f t="array" ref="E1274">choice(Groupes!A:A,1,Settings!$B$16)</f>
        <v>G15</v>
      </c>
      <c r="F1274" s="6" t="str">
        <f t="shared" si="78"/>
        <v>G15</v>
      </c>
      <c r="G1274" s="6" t="str">
        <f t="shared" si="79"/>
        <v>Prof35</v>
      </c>
      <c r="H1274" s="6" t="str" cm="1">
        <f t="array" ref="H1274">choice(Referentiel!A:A,1,Settings!$B$16)</f>
        <v>Scénographie</v>
      </c>
      <c r="I1274" s="6" t="str" cm="1">
        <f t="array" ref="I1274">choice(Referentiel!B:B,1,Settings!$B$16)</f>
        <v>4ème année Art-Espace S2</v>
      </c>
      <c r="J1274" s="6" t="str" cm="1">
        <f t="array" ref="J1274">choice(Referentiel!D:D,1,Settings!$B$16)</f>
        <v>M1</v>
      </c>
      <c r="K1274" s="6" t="str" cm="1">
        <f t="array" ref="K1274">choice(Professeurs!B:B,1,Settings!$B$16)</f>
        <v>Prof35</v>
      </c>
      <c r="L1274" s="5" t="str" cm="1">
        <f t="array" ref="L1274">choice(Referentiel!C:C,1,Settings!$B$16)</f>
        <v>pupitre</v>
      </c>
      <c r="M1274" s="5" t="str" cm="1">
        <f t="array" ref="M1274">choice(Referentiel!E:E,1,Settings!$B$16)</f>
        <v/>
      </c>
      <c r="N1274" s="5" t="str" cm="1">
        <f t="array" ref="N1274">choice(Settings!K:K,1,Settings!$B$16)</f>
        <v>lundi pm</v>
      </c>
      <c r="P1274" s="5">
        <f t="shared" si="80"/>
        <v>4</v>
      </c>
    </row>
    <row r="1275" spans="1:16" ht="15.75" customHeight="1" x14ac:dyDescent="0.25">
      <c r="A1275" s="6" t="s">
        <v>1627</v>
      </c>
      <c r="B1275" s="6" cm="1">
        <f t="array" ref="B1275">alea_int(Settings!$B$10,1,Settings!$B$16)</f>
        <v>1</v>
      </c>
      <c r="C1275" s="8">
        <v>46023</v>
      </c>
      <c r="D1275" s="8">
        <f t="shared" si="77"/>
        <v>46387</v>
      </c>
      <c r="E1275" s="6" t="str" cm="1">
        <f t="array" ref="E1275">choice(Groupes!A:A,1,Settings!$B$16)</f>
        <v>G27</v>
      </c>
      <c r="F1275" s="6" t="str">
        <f t="shared" si="78"/>
        <v>G27</v>
      </c>
      <c r="G1275" s="6" t="str">
        <f t="shared" si="79"/>
        <v>Prof19</v>
      </c>
      <c r="H1275" s="6" t="str" cm="1">
        <f t="array" ref="H1275">choice(Referentiel!A:A,1,Settings!$B$16)</f>
        <v>1ère année Groupe 1</v>
      </c>
      <c r="I1275" s="6" t="str" cm="1">
        <f t="array" ref="I1275">choice(Referentiel!B:B,1,Settings!$B$16)</f>
        <v>2ème année Design Textile et Matière S1</v>
      </c>
      <c r="J1275" s="6" t="str" cm="1">
        <f t="array" ref="J1275">choice(Referentiel!D:D,1,Settings!$B$16)</f>
        <v>M2</v>
      </c>
      <c r="K1275" s="6" t="str" cm="1">
        <f t="array" ref="K1275">choice(Professeurs!B:B,1,Settings!$B$16)</f>
        <v>Prof19</v>
      </c>
      <c r="L1275" s="5" t="str" cm="1">
        <f t="array" ref="L1275">choice(Referentiel!C:C,1,Settings!$B$16)</f>
        <v/>
      </c>
      <c r="M1275" s="5" t="str" cm="1">
        <f t="array" ref="M1275">choice(Referentiel!E:E,1,Settings!$B$16)</f>
        <v/>
      </c>
      <c r="N1275" s="5" t="str" cm="1">
        <f t="array" ref="N1275">choice(Settings!K:K,1,Settings!$B$16)</f>
        <v/>
      </c>
      <c r="P1275" s="5">
        <f t="shared" si="80"/>
        <v>1</v>
      </c>
    </row>
    <row r="1276" spans="1:16" ht="15.75" customHeight="1" x14ac:dyDescent="0.25">
      <c r="A1276" s="6" t="s">
        <v>1628</v>
      </c>
      <c r="B1276" s="6" cm="1">
        <f t="array" ref="B1276">alea_int(Settings!$B$10,1,Settings!$B$16)</f>
        <v>1</v>
      </c>
      <c r="C1276" s="8">
        <v>46023</v>
      </c>
      <c r="D1276" s="8">
        <f t="shared" si="77"/>
        <v>46387</v>
      </c>
      <c r="E1276" s="6" t="str" cm="1">
        <f t="array" ref="E1276">choice(Groupes!A:A,1,Settings!$B$16)</f>
        <v>G5</v>
      </c>
      <c r="F1276" s="6" t="str">
        <f t="shared" si="78"/>
        <v>G5</v>
      </c>
      <c r="G1276" s="6" t="str">
        <f t="shared" si="79"/>
        <v>Prof33</v>
      </c>
      <c r="H1276" s="6" t="str" cm="1">
        <f t="array" ref="H1276">choice(Referentiel!A:A,1,Settings!$B$16)</f>
        <v>Design Vêtement</v>
      </c>
      <c r="I1276" s="6" t="str" cm="1">
        <f t="array" ref="I1276">choice(Referentiel!B:B,1,Settings!$B$16)</f>
        <v>2ème année Design Vêtement S1</v>
      </c>
      <c r="J1276" s="6" t="str" cm="1">
        <f t="array" ref="J1276">choice(Referentiel!D:D,1,Settings!$B$16)</f>
        <v>M2</v>
      </c>
      <c r="K1276" s="6" t="str" cm="1">
        <f t="array" ref="K1276">choice(Professeurs!B:B,1,Settings!$B$16)</f>
        <v>Prof33</v>
      </c>
      <c r="L1276" s="5" t="str" cm="1">
        <f t="array" ref="L1276">choice(Referentiel!C:C,1,Settings!$B$16)</f>
        <v/>
      </c>
      <c r="M1276" s="5" t="str" cm="1">
        <f t="array" ref="M1276">choice(Referentiel!E:E,1,Settings!$B$16)</f>
        <v/>
      </c>
      <c r="N1276" s="5" t="str" cm="1">
        <f t="array" ref="N1276">choice(Settings!K:K,1,Settings!$B$16)</f>
        <v/>
      </c>
      <c r="P1276" s="5">
        <f t="shared" si="80"/>
        <v>1</v>
      </c>
    </row>
    <row r="1277" spans="1:16" ht="15.75" customHeight="1" x14ac:dyDescent="0.25">
      <c r="A1277" s="6" t="s">
        <v>1629</v>
      </c>
      <c r="B1277" s="6" cm="1">
        <f t="array" ref="B1277">alea_int(Settings!$B$10,1,Settings!$B$16)</f>
        <v>2</v>
      </c>
      <c r="C1277" s="8">
        <v>46023</v>
      </c>
      <c r="D1277" s="8">
        <f t="shared" si="77"/>
        <v>46387</v>
      </c>
      <c r="E1277" s="6" t="str" cm="1">
        <f t="array" ref="E1277">choice(Groupes!A:A,1,Settings!$B$16)</f>
        <v>G15</v>
      </c>
      <c r="F1277" s="6" t="str">
        <f t="shared" si="78"/>
        <v>G15</v>
      </c>
      <c r="G1277" s="6" t="str">
        <f t="shared" si="79"/>
        <v>Prof51</v>
      </c>
      <c r="H1277" s="6" t="str" cm="1">
        <f t="array" ref="H1277">choice(Referentiel!A:A,1,Settings!$B$16)</f>
        <v>Gr SYMBIOSE</v>
      </c>
      <c r="I1277" s="6" t="str" cm="1">
        <f t="array" ref="I1277">choice(Referentiel!B:B,1,Settings!$B$16)</f>
        <v>4ème année Cinéma d'Animation S1</v>
      </c>
      <c r="J1277" s="6" t="str" cm="1">
        <f t="array" ref="J1277">choice(Referentiel!D:D,1,Settings!$B$16)</f>
        <v>M2</v>
      </c>
      <c r="K1277" s="6" t="str" cm="1">
        <f t="array" ref="K1277">choice(Professeurs!B:B,1,Settings!$B$16)</f>
        <v>Prof51</v>
      </c>
      <c r="L1277" s="5" t="str" cm="1">
        <f t="array" ref="L1277">choice(Referentiel!C:C,1,Settings!$B$16)</f>
        <v/>
      </c>
      <c r="M1277" s="5" t="str" cm="1">
        <f t="array" ref="M1277">choice(Referentiel!E:E,1,Settings!$B$16)</f>
        <v/>
      </c>
      <c r="N1277" s="5" t="str" cm="1">
        <f t="array" ref="N1277">choice(Settings!K:K,1,Settings!$B$16)</f>
        <v>vendredi pm</v>
      </c>
      <c r="P1277" s="5">
        <f t="shared" si="80"/>
        <v>4</v>
      </c>
    </row>
    <row r="1278" spans="1:16" ht="15.75" customHeight="1" x14ac:dyDescent="0.25">
      <c r="A1278" s="6" t="s">
        <v>1630</v>
      </c>
      <c r="B1278" s="6" cm="1">
        <f t="array" ref="B1278">alea_int(Settings!$B$10,1,Settings!$B$16)</f>
        <v>3</v>
      </c>
      <c r="C1278" s="8">
        <v>46023</v>
      </c>
      <c r="D1278" s="8">
        <f t="shared" si="77"/>
        <v>46387</v>
      </c>
      <c r="E1278" s="6" t="str" cm="1">
        <f t="array" ref="E1278">choice(Groupes!A:A,1,Settings!$B$16)</f>
        <v>G15</v>
      </c>
      <c r="F1278" s="6" t="str">
        <f t="shared" si="78"/>
        <v>G15</v>
      </c>
      <c r="G1278" s="6" t="str">
        <f t="shared" si="79"/>
        <v>Prof11</v>
      </c>
      <c r="H1278" s="6" t="str" cm="1">
        <f t="array" ref="H1278">choice(Referentiel!A:A,1,Settings!$B$16)</f>
        <v>Design Graphique</v>
      </c>
      <c r="I1278" s="6" t="str" cm="1">
        <f t="array" ref="I1278">choice(Referentiel!B:B,1,Settings!$B$16)</f>
        <v>3ème année Cinéma d'Animation S2</v>
      </c>
      <c r="J1278" s="6" t="str" cm="1">
        <f t="array" ref="J1278">choice(Referentiel!D:D,1,Settings!$B$16)</f>
        <v>L1</v>
      </c>
      <c r="K1278" s="6" t="str" cm="1">
        <f t="array" ref="K1278">choice(Professeurs!B:B,1,Settings!$B$16)</f>
        <v>Prof11</v>
      </c>
      <c r="L1278" s="5" t="str" cm="1">
        <f t="array" ref="L1278">choice(Referentiel!C:C,1,Settings!$B$16)</f>
        <v/>
      </c>
      <c r="M1278" s="5" t="str" cm="1">
        <f t="array" ref="M1278">choice(Referentiel!E:E,1,Settings!$B$16)</f>
        <v/>
      </c>
      <c r="N1278" s="5" t="str" cm="1">
        <f t="array" ref="N1278">choice(Settings!K:K,1,Settings!$B$16)</f>
        <v>semaine</v>
      </c>
      <c r="P1278" s="5">
        <f t="shared" si="80"/>
        <v>5</v>
      </c>
    </row>
    <row r="1279" spans="1:16" ht="15.75" customHeight="1" x14ac:dyDescent="0.25">
      <c r="A1279" s="6" t="s">
        <v>1631</v>
      </c>
      <c r="B1279" s="6" cm="1">
        <f t="array" ref="B1279">alea_int(Settings!$B$10,1,Settings!$B$16)</f>
        <v>1</v>
      </c>
      <c r="C1279" s="8">
        <v>46023</v>
      </c>
      <c r="D1279" s="8">
        <f t="shared" si="77"/>
        <v>46387</v>
      </c>
      <c r="E1279" s="6" t="str" cm="1">
        <f t="array" ref="E1279">choice(Groupes!A:A,1,Settings!$B$16)</f>
        <v>G15</v>
      </c>
      <c r="F1279" s="6" t="str">
        <f t="shared" si="78"/>
        <v>G15</v>
      </c>
      <c r="G1279" s="6" t="str">
        <f t="shared" si="79"/>
        <v>Prof21</v>
      </c>
      <c r="H1279" s="6" t="str" cm="1">
        <f t="array" ref="H1279">choice(Referentiel!A:A,1,Settings!$B$16)</f>
        <v>Design des mondes littoraux</v>
      </c>
      <c r="I1279" s="6" t="str" cm="1">
        <f t="array" ref="I1279">choice(Referentiel!B:B,1,Settings!$B$16)</f>
        <v>1ère Année Groupe 1 S2</v>
      </c>
      <c r="J1279" s="6" t="str" cm="1">
        <f t="array" ref="J1279">choice(Referentiel!D:D,1,Settings!$B$16)</f>
        <v>L3</v>
      </c>
      <c r="K1279" s="6" t="str" cm="1">
        <f t="array" ref="K1279">choice(Professeurs!B:B,1,Settings!$B$16)</f>
        <v>Prof21</v>
      </c>
      <c r="L1279" s="5" t="str" cm="1">
        <f t="array" ref="L1279">choice(Referentiel!C:C,1,Settings!$B$16)</f>
        <v/>
      </c>
      <c r="M1279" s="5" t="str" cm="1">
        <f t="array" ref="M1279">choice(Referentiel!E:E,1,Settings!$B$16)</f>
        <v/>
      </c>
      <c r="N1279" s="5" t="str" cm="1">
        <f t="array" ref="N1279">choice(Settings!K:K,1,Settings!$B$16)</f>
        <v>jeudi pm</v>
      </c>
      <c r="P1279" s="5">
        <f t="shared" si="80"/>
        <v>3</v>
      </c>
    </row>
    <row r="1280" spans="1:16" ht="15.75" customHeight="1" x14ac:dyDescent="0.25">
      <c r="A1280" s="6" t="s">
        <v>1632</v>
      </c>
      <c r="B1280" s="6" cm="1">
        <f t="array" ref="B1280">alea_int(Settings!$B$10,1,Settings!$B$16)</f>
        <v>2</v>
      </c>
      <c r="C1280" s="8">
        <v>46023</v>
      </c>
      <c r="D1280" s="8">
        <f t="shared" si="77"/>
        <v>46387</v>
      </c>
      <c r="E1280" s="6" t="str" cm="1">
        <f t="array" ref="E1280">choice(Groupes!A:A,1,Settings!$B$16)</f>
        <v>G13</v>
      </c>
      <c r="F1280" s="6" t="str">
        <f t="shared" si="78"/>
        <v>G13</v>
      </c>
      <c r="G1280" s="6" t="str">
        <f t="shared" si="79"/>
        <v>Prof11</v>
      </c>
      <c r="H1280" s="6" t="str" cm="1">
        <f t="array" ref="H1280">choice(Referentiel!A:A,1,Settings!$B$16)</f>
        <v>Architecture Intérieure</v>
      </c>
      <c r="I1280" s="6" t="str" cm="1">
        <f t="array" ref="I1280">choice(Referentiel!B:B,1,Settings!$B$16)</f>
        <v>5ème année Design Textile et Matière S2</v>
      </c>
      <c r="J1280" s="6" t="str" cm="1">
        <f t="array" ref="J1280">choice(Referentiel!D:D,1,Settings!$B$16)</f>
        <v>M1</v>
      </c>
      <c r="K1280" s="6" t="str" cm="1">
        <f t="array" ref="K1280">choice(Professeurs!B:B,1,Settings!$B$16)</f>
        <v>Prof11</v>
      </c>
      <c r="L1280" s="5" t="str" cm="1">
        <f t="array" ref="L1280">choice(Referentiel!C:C,1,Settings!$B$16)</f>
        <v/>
      </c>
      <c r="M1280" s="5" t="str" cm="1">
        <f t="array" ref="M1280">choice(Referentiel!E:E,1,Settings!$B$16)</f>
        <v/>
      </c>
      <c r="N1280" s="5" t="str" cm="1">
        <f t="array" ref="N1280">choice(Settings!K:K,1,Settings!$B$16)</f>
        <v/>
      </c>
      <c r="P1280" s="5">
        <f t="shared" si="80"/>
        <v>2</v>
      </c>
    </row>
    <row r="1281" spans="1:16" ht="15.75" customHeight="1" x14ac:dyDescent="0.25">
      <c r="A1281" s="6" t="s">
        <v>1633</v>
      </c>
      <c r="B1281" s="6" cm="1">
        <f t="array" ref="B1281">alea_int(Settings!$B$10,1,Settings!$B$16)</f>
        <v>1</v>
      </c>
      <c r="C1281" s="8">
        <v>46023</v>
      </c>
      <c r="D1281" s="8">
        <f t="shared" si="77"/>
        <v>46387</v>
      </c>
      <c r="E1281" s="6" t="str" cm="1">
        <f t="array" ref="E1281">choice(Groupes!A:A,1,Settings!$B$16)</f>
        <v>G9</v>
      </c>
      <c r="F1281" s="6" t="str">
        <f t="shared" si="78"/>
        <v>G9</v>
      </c>
      <c r="G1281" s="6" t="str">
        <f t="shared" si="79"/>
        <v>Prof46</v>
      </c>
      <c r="H1281" s="6" t="str" cm="1">
        <f t="array" ref="H1281">choice(Referentiel!A:A,1,Settings!$B$16)</f>
        <v>Design des mondes forestiers</v>
      </c>
      <c r="I1281" s="6" t="str" cm="1">
        <f t="array" ref="I1281">choice(Referentiel!B:B,1,Settings!$B$16)</f>
        <v>4ème année Photo / Vidéo S2</v>
      </c>
      <c r="J1281" s="6" t="str" cm="1">
        <f t="array" ref="J1281">choice(Referentiel!D:D,1,Settings!$B$16)</f>
        <v>L3</v>
      </c>
      <c r="K1281" s="6" t="str" cm="1">
        <f t="array" ref="K1281">choice(Professeurs!B:B,1,Settings!$B$16)</f>
        <v>Prof46</v>
      </c>
      <c r="L1281" s="5" t="str" cm="1">
        <f t="array" ref="L1281">choice(Referentiel!C:C,1,Settings!$B$16)</f>
        <v/>
      </c>
      <c r="M1281" s="5" t="str" cm="1">
        <f t="array" ref="M1281">choice(Referentiel!E:E,1,Settings!$B$16)</f>
        <v/>
      </c>
      <c r="N1281" s="5" t="str" cm="1">
        <f t="array" ref="N1281">choice(Settings!K:K,1,Settings!$B$16)</f>
        <v/>
      </c>
      <c r="P1281" s="5">
        <f t="shared" si="80"/>
        <v>1</v>
      </c>
    </row>
    <row r="1282" spans="1:16" ht="15.75" customHeight="1" x14ac:dyDescent="0.25">
      <c r="A1282" s="6" t="s">
        <v>1634</v>
      </c>
      <c r="B1282" s="6" cm="1">
        <f t="array" ref="B1282">alea_int(Settings!$B$10,1,Settings!$B$16)</f>
        <v>2</v>
      </c>
      <c r="C1282" s="8">
        <v>46023</v>
      </c>
      <c r="D1282" s="8">
        <f t="shared" si="77"/>
        <v>46387</v>
      </c>
      <c r="E1282" s="6" t="str" cm="1">
        <f t="array" ref="E1282">choice(Groupes!A:A,1,Settings!$B$16)</f>
        <v>G28</v>
      </c>
      <c r="F1282" s="6" t="str">
        <f t="shared" si="78"/>
        <v>G28</v>
      </c>
      <c r="G1282" s="6" t="str">
        <f t="shared" si="79"/>
        <v>Prof35</v>
      </c>
      <c r="H1282" s="6" t="str" cm="1">
        <f t="array" ref="H1282">choice(Referentiel!A:A,1,Settings!$B$16)</f>
        <v>Architecture Intérieure</v>
      </c>
      <c r="I1282" s="6" t="str" cm="1">
        <f t="array" ref="I1282">choice(Referentiel!B:B,1,Settings!$B$16)</f>
        <v>3ème année Art-Espace S2</v>
      </c>
      <c r="J1282" s="6" t="str" cm="1">
        <f t="array" ref="J1282">choice(Referentiel!D:D,1,Settings!$B$16)</f>
        <v>M1</v>
      </c>
      <c r="K1282" s="6" t="str" cm="1">
        <f t="array" ref="K1282">choice(Professeurs!B:B,1,Settings!$B$16)</f>
        <v>Prof35</v>
      </c>
      <c r="L1282" s="5" t="str" cm="1">
        <f t="array" ref="L1282">choice(Referentiel!C:C,1,Settings!$B$16)</f>
        <v/>
      </c>
      <c r="M1282" s="5" t="str" cm="1">
        <f t="array" ref="M1282">choice(Referentiel!E:E,1,Settings!$B$16)</f>
        <v/>
      </c>
      <c r="N1282" s="5" t="str" cm="1">
        <f t="array" ref="N1282">choice(Settings!K:K,1,Settings!$B$16)</f>
        <v/>
      </c>
      <c r="P1282" s="5">
        <f t="shared" si="80"/>
        <v>2</v>
      </c>
    </row>
    <row r="1283" spans="1:16" ht="15.75" customHeight="1" x14ac:dyDescent="0.25">
      <c r="A1283" s="6" t="s">
        <v>1635</v>
      </c>
      <c r="B1283" s="6" cm="1">
        <f t="array" ref="B1283">alea_int(Settings!$B$10,1,Settings!$B$16)</f>
        <v>1</v>
      </c>
      <c r="C1283" s="8">
        <v>46023</v>
      </c>
      <c r="D1283" s="8">
        <f t="shared" ref="D1283:D1346" si="81">C1283+364</f>
        <v>46387</v>
      </c>
      <c r="E1283" s="6" t="str" cm="1">
        <f t="array" ref="E1283">choice(Groupes!A:A,1,Settings!$B$16)</f>
        <v>G12</v>
      </c>
      <c r="F1283" s="6" t="str">
        <f t="shared" ref="F1283:F1346" si="82">E1283</f>
        <v>G12</v>
      </c>
      <c r="G1283" s="6" t="str">
        <f t="shared" ref="G1283:G1346" si="83">K1283</f>
        <v>Prof41</v>
      </c>
      <c r="H1283" s="6" t="str" cm="1">
        <f t="array" ref="H1283">choice(Referentiel!A:A,1,Settings!$B$16)</f>
        <v>Design des mondes ruraux</v>
      </c>
      <c r="I1283" s="6" t="str" cm="1">
        <f t="array" ref="I1283">choice(Referentiel!B:B,1,Settings!$B$16)</f>
        <v>4ème année Design Textile et Matière S2</v>
      </c>
      <c r="J1283" s="6" t="str" cm="1">
        <f t="array" ref="J1283">choice(Referentiel!D:D,1,Settings!$B$16)</f>
        <v>L1</v>
      </c>
      <c r="K1283" s="6" t="str" cm="1">
        <f t="array" ref="K1283">choice(Professeurs!B:B,1,Settings!$B$16)</f>
        <v>Prof41</v>
      </c>
      <c r="L1283" s="5" t="str" cm="1">
        <f t="array" ref="L1283">choice(Referentiel!C:C,1,Settings!$B$16)</f>
        <v/>
      </c>
      <c r="M1283" s="5" t="str" cm="1">
        <f t="array" ref="M1283">choice(Referentiel!E:E,1,Settings!$B$16)</f>
        <v/>
      </c>
      <c r="N1283" s="5" t="str" cm="1">
        <f t="array" ref="N1283">choice(Settings!K:K,1,Settings!$B$16)</f>
        <v/>
      </c>
      <c r="P1283" s="5">
        <f t="shared" ref="P1283:P1346" si="84">B1283+IF(M1283&lt;&gt;"",2,0)+IF(N1283&lt;&gt;"",2,0)</f>
        <v>1</v>
      </c>
    </row>
    <row r="1284" spans="1:16" ht="15.75" customHeight="1" x14ac:dyDescent="0.25">
      <c r="A1284" s="6" t="s">
        <v>1636</v>
      </c>
      <c r="B1284" s="6" cm="1">
        <f t="array" ref="B1284">alea_int(Settings!$B$10,1,Settings!$B$16)</f>
        <v>1</v>
      </c>
      <c r="C1284" s="8">
        <v>46023</v>
      </c>
      <c r="D1284" s="8">
        <f t="shared" si="81"/>
        <v>46387</v>
      </c>
      <c r="E1284" s="6" t="str" cm="1">
        <f t="array" ref="E1284">choice(Groupes!A:A,1,Settings!$B$16)</f>
        <v>G10</v>
      </c>
      <c r="F1284" s="6" t="str">
        <f t="shared" si="82"/>
        <v>G10</v>
      </c>
      <c r="G1284" s="6" t="str">
        <f t="shared" si="83"/>
        <v>Prof54</v>
      </c>
      <c r="H1284" s="6" t="str" cm="1">
        <f t="array" ref="H1284">choice(Referentiel!A:A,1,Settings!$B$16)</f>
        <v>1ère année Groupe 1</v>
      </c>
      <c r="I1284" s="6" t="str" cm="1">
        <f t="array" ref="I1284">choice(Referentiel!B:B,1,Settings!$B$16)</f>
        <v>3ème année Design Vêtement S2</v>
      </c>
      <c r="J1284" s="6" t="str" cm="1">
        <f t="array" ref="J1284">choice(Referentiel!D:D,1,Settings!$B$16)</f>
        <v>L1</v>
      </c>
      <c r="K1284" s="6" t="str" cm="1">
        <f t="array" ref="K1284">choice(Professeurs!B:B,1,Settings!$B$16)</f>
        <v>Prof54</v>
      </c>
      <c r="L1284" s="5" t="str" cm="1">
        <f t="array" ref="L1284">choice(Referentiel!C:C,1,Settings!$B$16)</f>
        <v/>
      </c>
      <c r="M1284" s="5" t="str" cm="1">
        <f t="array" ref="M1284">choice(Referentiel!E:E,1,Settings!$B$16)</f>
        <v/>
      </c>
      <c r="N1284" s="5" t="str" cm="1">
        <f t="array" ref="N1284">choice(Settings!K:K,1,Settings!$B$16)</f>
        <v>mercredi pm</v>
      </c>
      <c r="P1284" s="5">
        <f t="shared" si="84"/>
        <v>3</v>
      </c>
    </row>
    <row r="1285" spans="1:16" ht="15.75" customHeight="1" x14ac:dyDescent="0.25">
      <c r="A1285" s="6" t="s">
        <v>1637</v>
      </c>
      <c r="B1285" s="6" cm="1">
        <f t="array" ref="B1285">alea_int(Settings!$B$10,1,Settings!$B$16)</f>
        <v>2</v>
      </c>
      <c r="C1285" s="8">
        <v>46023</v>
      </c>
      <c r="D1285" s="8">
        <f t="shared" si="81"/>
        <v>46387</v>
      </c>
      <c r="E1285" s="6" t="str" cm="1">
        <f t="array" ref="E1285">choice(Groupes!A:A,1,Settings!$B$16)</f>
        <v>G22</v>
      </c>
      <c r="F1285" s="6" t="str">
        <f t="shared" si="82"/>
        <v>G22</v>
      </c>
      <c r="G1285" s="6" t="str">
        <f t="shared" si="83"/>
        <v>Prof50</v>
      </c>
      <c r="H1285" s="6" t="str" cm="1">
        <f t="array" ref="H1285">choice(Referentiel!A:A,1,Settings!$B$16)</f>
        <v>Cinéma d'Animation</v>
      </c>
      <c r="I1285" s="6" t="str" cm="1">
        <f t="array" ref="I1285">choice(Referentiel!B:B,1,Settings!$B$16)</f>
        <v>2ème année Design Graphique S2</v>
      </c>
      <c r="J1285" s="6" t="str" cm="1">
        <f t="array" ref="J1285">choice(Referentiel!D:D,1,Settings!$B$16)</f>
        <v>M2</v>
      </c>
      <c r="K1285" s="6" t="str" cm="1">
        <f t="array" ref="K1285">choice(Professeurs!B:B,1,Settings!$B$16)</f>
        <v>Prof50</v>
      </c>
      <c r="L1285" s="5" t="str" cm="1">
        <f t="array" ref="L1285">choice(Referentiel!C:C,1,Settings!$B$16)</f>
        <v/>
      </c>
      <c r="M1285" s="5" t="str" cm="1">
        <f t="array" ref="M1285">choice(Referentiel!E:E,1,Settings!$B$16)</f>
        <v/>
      </c>
      <c r="N1285" s="5" t="str" cm="1">
        <f t="array" ref="N1285">choice(Settings!K:K,1,Settings!$B$16)</f>
        <v/>
      </c>
      <c r="P1285" s="5">
        <f t="shared" si="84"/>
        <v>2</v>
      </c>
    </row>
    <row r="1286" spans="1:16" ht="15.75" customHeight="1" x14ac:dyDescent="0.25">
      <c r="A1286" s="6" t="s">
        <v>1638</v>
      </c>
      <c r="B1286" s="6" cm="1">
        <f t="array" ref="B1286">alea_int(Settings!$B$10,1,Settings!$B$16)</f>
        <v>3</v>
      </c>
      <c r="C1286" s="8">
        <v>46023</v>
      </c>
      <c r="D1286" s="8">
        <f t="shared" si="81"/>
        <v>46387</v>
      </c>
      <c r="E1286" s="6" t="str" cm="1">
        <f t="array" ref="E1286">choice(Groupes!A:A,1,Settings!$B$16)</f>
        <v>G27</v>
      </c>
      <c r="F1286" s="6" t="str">
        <f t="shared" si="82"/>
        <v>G27</v>
      </c>
      <c r="G1286" s="6" t="str">
        <f t="shared" si="83"/>
        <v>Prof19</v>
      </c>
      <c r="H1286" s="6" t="str" cm="1">
        <f t="array" ref="H1286">choice(Referentiel!A:A,1,Settings!$B$16)</f>
        <v>Design des mondes insulaires</v>
      </c>
      <c r="I1286" s="6" t="str" cm="1">
        <f t="array" ref="I1286">choice(Referentiel!B:B,1,Settings!$B$16)</f>
        <v>5ème année Design Objet S1</v>
      </c>
      <c r="J1286" s="6" t="str" cm="1">
        <f t="array" ref="J1286">choice(Referentiel!D:D,1,Settings!$B$16)</f>
        <v>L2</v>
      </c>
      <c r="K1286" s="6" t="str" cm="1">
        <f t="array" ref="K1286">choice(Professeurs!B:B,1,Settings!$B$16)</f>
        <v>Prof19</v>
      </c>
      <c r="L1286" s="5" t="str" cm="1">
        <f t="array" ref="L1286">choice(Referentiel!C:C,1,Settings!$B$16)</f>
        <v/>
      </c>
      <c r="M1286" s="5" t="str" cm="1">
        <f t="array" ref="M1286">choice(Referentiel!E:E,1,Settings!$B$16)</f>
        <v/>
      </c>
      <c r="N1286" s="5" t="str" cm="1">
        <f t="array" ref="N1286">choice(Settings!K:K,1,Settings!$B$16)</f>
        <v/>
      </c>
      <c r="P1286" s="5">
        <f t="shared" si="84"/>
        <v>3</v>
      </c>
    </row>
    <row r="1287" spans="1:16" ht="15.75" customHeight="1" x14ac:dyDescent="0.25">
      <c r="A1287" s="6" t="s">
        <v>1639</v>
      </c>
      <c r="B1287" s="6" cm="1">
        <f t="array" ref="B1287">alea_int(Settings!$B$10,1,Settings!$B$16)</f>
        <v>3</v>
      </c>
      <c r="C1287" s="8">
        <v>46023</v>
      </c>
      <c r="D1287" s="8">
        <f t="shared" si="81"/>
        <v>46387</v>
      </c>
      <c r="E1287" s="6" t="str" cm="1">
        <f t="array" ref="E1287">choice(Groupes!A:A,1,Settings!$B$16)</f>
        <v>G13</v>
      </c>
      <c r="F1287" s="6" t="str">
        <f t="shared" si="82"/>
        <v>G13</v>
      </c>
      <c r="G1287" s="6" t="str">
        <f t="shared" si="83"/>
        <v>Prof6</v>
      </c>
      <c r="H1287" s="6" t="str" cm="1">
        <f t="array" ref="H1287">choice(Referentiel!A:A,1,Settings!$B$16)</f>
        <v>1ère année Groupe 2</v>
      </c>
      <c r="I1287" s="6" t="str" cm="1">
        <f t="array" ref="I1287">choice(Referentiel!B:B,1,Settings!$B$16)</f>
        <v>3ème année Art-Espace S2</v>
      </c>
      <c r="J1287" s="6" t="str" cm="1">
        <f t="array" ref="J1287">choice(Referentiel!D:D,1,Settings!$B$16)</f>
        <v>L1</v>
      </c>
      <c r="K1287" s="6" t="str" cm="1">
        <f t="array" ref="K1287">choice(Professeurs!B:B,1,Settings!$B$16)</f>
        <v>Prof6</v>
      </c>
      <c r="L1287" s="5" t="str" cm="1">
        <f t="array" ref="L1287">choice(Referentiel!C:C,1,Settings!$B$16)</f>
        <v/>
      </c>
      <c r="M1287" s="5" t="str" cm="1">
        <f t="array" ref="M1287">choice(Referentiel!E:E,1,Settings!$B$16)</f>
        <v/>
      </c>
      <c r="N1287" s="5" t="str" cm="1">
        <f t="array" ref="N1287">choice(Settings!K:K,1,Settings!$B$16)</f>
        <v>jeudi am</v>
      </c>
      <c r="P1287" s="5">
        <f t="shared" si="84"/>
        <v>5</v>
      </c>
    </row>
    <row r="1288" spans="1:16" ht="15.75" customHeight="1" x14ac:dyDescent="0.25">
      <c r="A1288" s="6" t="s">
        <v>1640</v>
      </c>
      <c r="B1288" s="6" cm="1">
        <f t="array" ref="B1288">alea_int(Settings!$B$10,1,Settings!$B$16)</f>
        <v>3</v>
      </c>
      <c r="C1288" s="8">
        <v>46023</v>
      </c>
      <c r="D1288" s="8">
        <f t="shared" si="81"/>
        <v>46387</v>
      </c>
      <c r="E1288" s="6" t="str" cm="1">
        <f t="array" ref="E1288">choice(Groupes!A:A,1,Settings!$B$16)</f>
        <v>G18</v>
      </c>
      <c r="F1288" s="6" t="str">
        <f t="shared" si="82"/>
        <v>G18</v>
      </c>
      <c r="G1288" s="6" t="str">
        <f t="shared" si="83"/>
        <v>Prof25</v>
      </c>
      <c r="H1288" s="6" t="str" cm="1">
        <f t="array" ref="H1288">choice(Referentiel!A:A,1,Settings!$B$16)</f>
        <v>Design des mondes montagneux</v>
      </c>
      <c r="I1288" s="6" t="str" cm="1">
        <f t="array" ref="I1288">choice(Referentiel!B:B,1,Settings!$B$16)</f>
        <v>3ème année Design Objet S1</v>
      </c>
      <c r="J1288" s="6" t="str" cm="1">
        <f t="array" ref="J1288">choice(Referentiel!D:D,1,Settings!$B$16)</f>
        <v>L2</v>
      </c>
      <c r="K1288" s="6" t="str" cm="1">
        <f t="array" ref="K1288">choice(Professeurs!B:B,1,Settings!$B$16)</f>
        <v>Prof25</v>
      </c>
      <c r="L1288" s="5" t="str" cm="1">
        <f t="array" ref="L1288">choice(Referentiel!C:C,1,Settings!$B$16)</f>
        <v/>
      </c>
      <c r="M1288" s="5" t="str" cm="1">
        <f t="array" ref="M1288">choice(Referentiel!E:E,1,Settings!$B$16)</f>
        <v/>
      </c>
      <c r="N1288" s="5" t="str" cm="1">
        <f t="array" ref="N1288">choice(Settings!K:K,1,Settings!$B$16)</f>
        <v/>
      </c>
      <c r="P1288" s="5">
        <f t="shared" si="84"/>
        <v>3</v>
      </c>
    </row>
    <row r="1289" spans="1:16" ht="15.75" customHeight="1" x14ac:dyDescent="0.25">
      <c r="A1289" s="6" t="s">
        <v>1641</v>
      </c>
      <c r="B1289" s="6" cm="1">
        <f t="array" ref="B1289">alea_int(Settings!$B$10,1,Settings!$B$16)</f>
        <v>3</v>
      </c>
      <c r="C1289" s="8">
        <v>46023</v>
      </c>
      <c r="D1289" s="8">
        <f t="shared" si="81"/>
        <v>46387</v>
      </c>
      <c r="E1289" s="6" t="str" cm="1">
        <f t="array" ref="E1289">choice(Groupes!A:A,1,Settings!$B$16)</f>
        <v>G5</v>
      </c>
      <c r="F1289" s="6" t="str">
        <f t="shared" si="82"/>
        <v>G5</v>
      </c>
      <c r="G1289" s="6" t="str">
        <f t="shared" si="83"/>
        <v>Prof28</v>
      </c>
      <c r="H1289" s="6" t="str" cm="1">
        <f t="array" ref="H1289">choice(Referentiel!A:A,1,Settings!$B$16)</f>
        <v>Design Vêtement</v>
      </c>
      <c r="I1289" s="6" t="str" cm="1">
        <f t="array" ref="I1289">choice(Referentiel!B:B,1,Settings!$B$16)</f>
        <v>5ème année Design Graphique S2</v>
      </c>
      <c r="J1289" s="6" t="str" cm="1">
        <f t="array" ref="J1289">choice(Referentiel!D:D,1,Settings!$B$16)</f>
        <v>M2</v>
      </c>
      <c r="K1289" s="6" t="str" cm="1">
        <f t="array" ref="K1289">choice(Professeurs!B:B,1,Settings!$B$16)</f>
        <v>Prof28</v>
      </c>
      <c r="L1289" s="5" t="str" cm="1">
        <f t="array" ref="L1289">choice(Referentiel!C:C,1,Settings!$B$16)</f>
        <v/>
      </c>
      <c r="M1289" s="5" t="str" cm="1">
        <f t="array" ref="M1289">choice(Referentiel!E:E,1,Settings!$B$16)</f>
        <v/>
      </c>
      <c r="N1289" s="5" t="str" cm="1">
        <f t="array" ref="N1289">choice(Settings!K:K,1,Settings!$B$16)</f>
        <v/>
      </c>
      <c r="P1289" s="5">
        <f t="shared" si="84"/>
        <v>3</v>
      </c>
    </row>
    <row r="1290" spans="1:16" ht="15.75" customHeight="1" x14ac:dyDescent="0.25">
      <c r="A1290" s="6" t="s">
        <v>1642</v>
      </c>
      <c r="B1290" s="6" cm="1">
        <f t="array" ref="B1290">alea_int(Settings!$B$10,1,Settings!$B$16)</f>
        <v>1</v>
      </c>
      <c r="C1290" s="8">
        <v>46023</v>
      </c>
      <c r="D1290" s="8">
        <f t="shared" si="81"/>
        <v>46387</v>
      </c>
      <c r="E1290" s="6" t="str" cm="1">
        <f t="array" ref="E1290">choice(Groupes!A:A,1,Settings!$B$16)</f>
        <v>G2</v>
      </c>
      <c r="F1290" s="6" t="str">
        <f t="shared" si="82"/>
        <v>G2</v>
      </c>
      <c r="G1290" s="6" t="str">
        <f t="shared" si="83"/>
        <v>Prof33</v>
      </c>
      <c r="H1290" s="6" t="str" cm="1">
        <f t="array" ref="H1290">choice(Referentiel!A:A,1,Settings!$B$16)</f>
        <v>Art-Espace</v>
      </c>
      <c r="I1290" s="6" t="str" cm="1">
        <f t="array" ref="I1290">choice(Referentiel!B:B,1,Settings!$B$16)</f>
        <v>3ème année Art-Espace S1</v>
      </c>
      <c r="J1290" s="6" t="str" cm="1">
        <f t="array" ref="J1290">choice(Referentiel!D:D,1,Settings!$B$16)</f>
        <v>M2</v>
      </c>
      <c r="K1290" s="6" t="str" cm="1">
        <f t="array" ref="K1290">choice(Professeurs!B:B,1,Settings!$B$16)</f>
        <v>Prof33</v>
      </c>
      <c r="L1290" s="5" t="str" cm="1">
        <f t="array" ref="L1290">choice(Referentiel!C:C,1,Settings!$B$16)</f>
        <v/>
      </c>
      <c r="M1290" s="5" t="str" cm="1">
        <f t="array" ref="M1290">choice(Referentiel!E:E,1,Settings!$B$16)</f>
        <v/>
      </c>
      <c r="N1290" s="5" t="str" cm="1">
        <f t="array" ref="N1290">choice(Settings!K:K,1,Settings!$B$16)</f>
        <v/>
      </c>
      <c r="P1290" s="5">
        <f t="shared" si="84"/>
        <v>1</v>
      </c>
    </row>
    <row r="1291" spans="1:16" ht="15.75" customHeight="1" x14ac:dyDescent="0.25">
      <c r="A1291" s="6" t="s">
        <v>1643</v>
      </c>
      <c r="B1291" s="6" cm="1">
        <f t="array" ref="B1291">alea_int(Settings!$B$10,1,Settings!$B$16)</f>
        <v>3</v>
      </c>
      <c r="C1291" s="8">
        <v>46023</v>
      </c>
      <c r="D1291" s="8">
        <f t="shared" si="81"/>
        <v>46387</v>
      </c>
      <c r="E1291" s="6" t="str" cm="1">
        <f t="array" ref="E1291">choice(Groupes!A:A,1,Settings!$B$16)</f>
        <v>G20</v>
      </c>
      <c r="F1291" s="6" t="str">
        <f t="shared" si="82"/>
        <v>G20</v>
      </c>
      <c r="G1291" s="6" t="str">
        <f t="shared" si="83"/>
        <v>Prof42</v>
      </c>
      <c r="H1291" s="6" t="str" cm="1">
        <f t="array" ref="H1291">choice(Referentiel!A:A,1,Settings!$B$16)</f>
        <v>Design des mondes urbains</v>
      </c>
      <c r="I1291" s="6" t="str" cm="1">
        <f t="array" ref="I1291">choice(Referentiel!B:B,1,Settings!$B$16)</f>
        <v>2ème année Art-Espace S1</v>
      </c>
      <c r="J1291" s="6" t="str" cm="1">
        <f t="array" ref="J1291">choice(Referentiel!D:D,1,Settings!$B$16)</f>
        <v>L2</v>
      </c>
      <c r="K1291" s="6" t="str" cm="1">
        <f t="array" ref="K1291">choice(Professeurs!B:B,1,Settings!$B$16)</f>
        <v>Prof42</v>
      </c>
      <c r="L1291" s="5" t="str" cm="1">
        <f t="array" ref="L1291">choice(Referentiel!C:C,1,Settings!$B$16)</f>
        <v/>
      </c>
      <c r="M1291" s="5" t="str" cm="1">
        <f t="array" ref="M1291">choice(Referentiel!E:E,1,Settings!$B$16)</f>
        <v/>
      </c>
      <c r="N1291" s="5" t="str" cm="1">
        <f t="array" ref="N1291">choice(Settings!K:K,1,Settings!$B$16)</f>
        <v>vendredi pm</v>
      </c>
      <c r="P1291" s="5">
        <f t="shared" si="84"/>
        <v>5</v>
      </c>
    </row>
    <row r="1292" spans="1:16" ht="15.75" customHeight="1" x14ac:dyDescent="0.25">
      <c r="A1292" s="6" t="s">
        <v>1644</v>
      </c>
      <c r="B1292" s="6" cm="1">
        <f t="array" ref="B1292">alea_int(Settings!$B$10,1,Settings!$B$16)</f>
        <v>3</v>
      </c>
      <c r="C1292" s="8">
        <v>46023</v>
      </c>
      <c r="D1292" s="8">
        <f t="shared" si="81"/>
        <v>46387</v>
      </c>
      <c r="E1292" s="6" t="str" cm="1">
        <f t="array" ref="E1292">choice(Groupes!A:A,1,Settings!$B$16)</f>
        <v>G5</v>
      </c>
      <c r="F1292" s="6" t="str">
        <f t="shared" si="82"/>
        <v>G5</v>
      </c>
      <c r="G1292" s="6" t="str">
        <f t="shared" si="83"/>
        <v>Prof12</v>
      </c>
      <c r="H1292" s="6" t="str" cm="1">
        <f t="array" ref="H1292">choice(Referentiel!A:A,1,Settings!$B$16)</f>
        <v>Image Imprimée</v>
      </c>
      <c r="I1292" s="6" t="str" cm="1">
        <f t="array" ref="I1292">choice(Referentiel!B:B,1,Settings!$B$16)</f>
        <v>5ème année Design Vêtement S1</v>
      </c>
      <c r="J1292" s="6" t="str" cm="1">
        <f t="array" ref="J1292">choice(Referentiel!D:D,1,Settings!$B$16)</f>
        <v>M1</v>
      </c>
      <c r="K1292" s="6" t="str" cm="1">
        <f t="array" ref="K1292">choice(Professeurs!B:B,1,Settings!$B$16)</f>
        <v>Prof12</v>
      </c>
      <c r="L1292" s="5" t="str" cm="1">
        <f t="array" ref="L1292">choice(Referentiel!C:C,1,Settings!$B$16)</f>
        <v/>
      </c>
      <c r="M1292" s="5" t="str" cm="1">
        <f t="array" ref="M1292">choice(Referentiel!E:E,1,Settings!$B$16)</f>
        <v/>
      </c>
      <c r="N1292" s="5" t="str" cm="1">
        <f t="array" ref="N1292">choice(Settings!K:K,1,Settings!$B$16)</f>
        <v/>
      </c>
      <c r="P1292" s="5">
        <f t="shared" si="84"/>
        <v>3</v>
      </c>
    </row>
    <row r="1293" spans="1:16" ht="15.75" customHeight="1" x14ac:dyDescent="0.25">
      <c r="A1293" s="6" t="s">
        <v>1645</v>
      </c>
      <c r="B1293" s="6" cm="1">
        <f t="array" ref="B1293">alea_int(Settings!$B$10,1,Settings!$B$16)</f>
        <v>2</v>
      </c>
      <c r="C1293" s="8">
        <v>46023</v>
      </c>
      <c r="D1293" s="8">
        <f t="shared" si="81"/>
        <v>46387</v>
      </c>
      <c r="E1293" s="6" t="str" cm="1">
        <f t="array" ref="E1293">choice(Groupes!A:A,1,Settings!$B$16)</f>
        <v>G5</v>
      </c>
      <c r="F1293" s="6" t="str">
        <f t="shared" si="82"/>
        <v>G5</v>
      </c>
      <c r="G1293" s="6" t="str">
        <f t="shared" si="83"/>
        <v>Prof29</v>
      </c>
      <c r="H1293" s="6" t="str" cm="1">
        <f t="array" ref="H1293">choice(Referentiel!A:A,1,Settings!$B$16)</f>
        <v>Gr TERRITOIRES</v>
      </c>
      <c r="I1293" s="6" t="str" cm="1">
        <f t="array" ref="I1293">choice(Referentiel!B:B,1,Settings!$B$16)</f>
        <v>1ère Année Groupe 2 S2</v>
      </c>
      <c r="J1293" s="6" t="str" cm="1">
        <f t="array" ref="J1293">choice(Referentiel!D:D,1,Settings!$B$16)</f>
        <v>L2</v>
      </c>
      <c r="K1293" s="6" t="str" cm="1">
        <f t="array" ref="K1293">choice(Professeurs!B:B,1,Settings!$B$16)</f>
        <v>Prof29</v>
      </c>
      <c r="L1293" s="5" t="str" cm="1">
        <f t="array" ref="L1293">choice(Referentiel!C:C,1,Settings!$B$16)</f>
        <v/>
      </c>
      <c r="M1293" s="5" t="str" cm="1">
        <f t="array" ref="M1293">choice(Referentiel!E:E,1,Settings!$B$16)</f>
        <v/>
      </c>
      <c r="N1293" s="5" t="str" cm="1">
        <f t="array" ref="N1293">choice(Settings!K:K,1,Settings!$B$16)</f>
        <v>mardi pm</v>
      </c>
      <c r="P1293" s="5">
        <f t="shared" si="84"/>
        <v>4</v>
      </c>
    </row>
    <row r="1294" spans="1:16" ht="15.75" customHeight="1" x14ac:dyDescent="0.25">
      <c r="A1294" s="6" t="s">
        <v>1646</v>
      </c>
      <c r="B1294" s="6" cm="1">
        <f t="array" ref="B1294">alea_int(Settings!$B$10,1,Settings!$B$16)</f>
        <v>1</v>
      </c>
      <c r="C1294" s="8">
        <v>46023</v>
      </c>
      <c r="D1294" s="8">
        <f t="shared" si="81"/>
        <v>46387</v>
      </c>
      <c r="E1294" s="6" t="str" cm="1">
        <f t="array" ref="E1294">choice(Groupes!A:A,1,Settings!$B$16)</f>
        <v>G28</v>
      </c>
      <c r="F1294" s="6" t="str">
        <f t="shared" si="82"/>
        <v>G28</v>
      </c>
      <c r="G1294" s="6" t="str">
        <f t="shared" si="83"/>
        <v>Prof4</v>
      </c>
      <c r="H1294" s="6" t="str" cm="1">
        <f t="array" ref="H1294">choice(Referentiel!A:A,1,Settings!$B$16)</f>
        <v>Gr TERRITOIRES</v>
      </c>
      <c r="I1294" s="6" t="str" cm="1">
        <f t="array" ref="I1294">choice(Referentiel!B:B,1,Settings!$B$16)</f>
        <v>4ème année Cinéma d'Animation S2</v>
      </c>
      <c r="J1294" s="6" t="str" cm="1">
        <f t="array" ref="J1294">choice(Referentiel!D:D,1,Settings!$B$16)</f>
        <v>L1</v>
      </c>
      <c r="K1294" s="6" t="str" cm="1">
        <f t="array" ref="K1294">choice(Professeurs!B:B,1,Settings!$B$16)</f>
        <v>Prof4</v>
      </c>
      <c r="L1294" s="5" t="str" cm="1">
        <f t="array" ref="L1294">choice(Referentiel!C:C,1,Settings!$B$16)</f>
        <v/>
      </c>
      <c r="M1294" s="5" t="str" cm="1">
        <f t="array" ref="M1294">choice(Referentiel!E:E,1,Settings!$B$16)</f>
        <v/>
      </c>
      <c r="N1294" s="5" t="str" cm="1">
        <f t="array" ref="N1294">choice(Settings!K:K,1,Settings!$B$16)</f>
        <v/>
      </c>
      <c r="P1294" s="5">
        <f t="shared" si="84"/>
        <v>1</v>
      </c>
    </row>
    <row r="1295" spans="1:16" ht="15.75" customHeight="1" x14ac:dyDescent="0.25">
      <c r="A1295" s="6" t="s">
        <v>1647</v>
      </c>
      <c r="B1295" s="6" cm="1">
        <f t="array" ref="B1295">alea_int(Settings!$B$10,1,Settings!$B$16)</f>
        <v>3</v>
      </c>
      <c r="C1295" s="8">
        <v>46023</v>
      </c>
      <c r="D1295" s="8">
        <f t="shared" si="81"/>
        <v>46387</v>
      </c>
      <c r="E1295" s="6" t="str" cm="1">
        <f t="array" ref="E1295">choice(Groupes!A:A,1,Settings!$B$16)</f>
        <v>G12</v>
      </c>
      <c r="F1295" s="6" t="str">
        <f t="shared" si="82"/>
        <v>G12</v>
      </c>
      <c r="G1295" s="6" t="str">
        <f t="shared" si="83"/>
        <v>Prof15</v>
      </c>
      <c r="H1295" s="6" t="str" cm="1">
        <f t="array" ref="H1295">choice(Referentiel!A:A,1,Settings!$B$16)</f>
        <v>Design des mondes forestiers</v>
      </c>
      <c r="I1295" s="6" t="str" cm="1">
        <f t="array" ref="I1295">choice(Referentiel!B:B,1,Settings!$B$16)</f>
        <v>4ème année Design Vêtement S1</v>
      </c>
      <c r="J1295" s="6" t="str" cm="1">
        <f t="array" ref="J1295">choice(Referentiel!D:D,1,Settings!$B$16)</f>
        <v>L1</v>
      </c>
      <c r="K1295" s="6" t="str" cm="1">
        <f t="array" ref="K1295">choice(Professeurs!B:B,1,Settings!$B$16)</f>
        <v>Prof15</v>
      </c>
      <c r="L1295" s="5" t="str" cm="1">
        <f t="array" ref="L1295">choice(Referentiel!C:C,1,Settings!$B$16)</f>
        <v/>
      </c>
      <c r="M1295" s="5" t="str" cm="1">
        <f t="array" ref="M1295">choice(Referentiel!E:E,1,Settings!$B$16)</f>
        <v>Salle2</v>
      </c>
      <c r="N1295" s="5" t="str" cm="1">
        <f t="array" ref="N1295">choice(Settings!K:K,1,Settings!$B$16)</f>
        <v/>
      </c>
      <c r="P1295" s="5">
        <f t="shared" si="84"/>
        <v>5</v>
      </c>
    </row>
    <row r="1296" spans="1:16" ht="15.75" customHeight="1" x14ac:dyDescent="0.25">
      <c r="A1296" s="6" t="s">
        <v>1648</v>
      </c>
      <c r="B1296" s="6" cm="1">
        <f t="array" ref="B1296">alea_int(Settings!$B$10,1,Settings!$B$16)</f>
        <v>1</v>
      </c>
      <c r="C1296" s="8">
        <v>46023</v>
      </c>
      <c r="D1296" s="8">
        <f t="shared" si="81"/>
        <v>46387</v>
      </c>
      <c r="E1296" s="6" t="str" cm="1">
        <f t="array" ref="E1296">choice(Groupes!A:A,1,Settings!$B$16)</f>
        <v>G24</v>
      </c>
      <c r="F1296" s="6" t="str">
        <f t="shared" si="82"/>
        <v>G24</v>
      </c>
      <c r="G1296" s="6" t="str">
        <f t="shared" si="83"/>
        <v>Prof27</v>
      </c>
      <c r="H1296" s="6" t="str" cm="1">
        <f t="array" ref="H1296">choice(Referentiel!A:A,1,Settings!$B$16)</f>
        <v>1ère année Groupe 3</v>
      </c>
      <c r="I1296" s="6" t="str" cm="1">
        <f t="array" ref="I1296">choice(Referentiel!B:B,1,Settings!$B$16)</f>
        <v>1ère Année Groupe 1 S1</v>
      </c>
      <c r="J1296" s="6" t="str" cm="1">
        <f t="array" ref="J1296">choice(Referentiel!D:D,1,Settings!$B$16)</f>
        <v>L1</v>
      </c>
      <c r="K1296" s="6" t="str" cm="1">
        <f t="array" ref="K1296">choice(Professeurs!B:B,1,Settings!$B$16)</f>
        <v>Prof27</v>
      </c>
      <c r="L1296" s="5" t="str" cm="1">
        <f t="array" ref="L1296">choice(Referentiel!C:C,1,Settings!$B$16)</f>
        <v/>
      </c>
      <c r="M1296" s="5" t="str" cm="1">
        <f t="array" ref="M1296">choice(Referentiel!E:E,1,Settings!$B$16)</f>
        <v/>
      </c>
      <c r="N1296" s="5" t="str" cm="1">
        <f t="array" ref="N1296">choice(Settings!K:K,1,Settings!$B$16)</f>
        <v/>
      </c>
      <c r="P1296" s="5">
        <f t="shared" si="84"/>
        <v>1</v>
      </c>
    </row>
    <row r="1297" spans="1:16" ht="15.75" customHeight="1" x14ac:dyDescent="0.25">
      <c r="A1297" s="6" t="s">
        <v>1649</v>
      </c>
      <c r="B1297" s="6" cm="1">
        <f t="array" ref="B1297">alea_int(Settings!$B$10,1,Settings!$B$16)</f>
        <v>2</v>
      </c>
      <c r="C1297" s="8">
        <v>46023</v>
      </c>
      <c r="D1297" s="8">
        <f t="shared" si="81"/>
        <v>46387</v>
      </c>
      <c r="E1297" s="6" t="str" cm="1">
        <f t="array" ref="E1297">choice(Groupes!A:A,1,Settings!$B$16)</f>
        <v>G5</v>
      </c>
      <c r="F1297" s="6" t="str">
        <f t="shared" si="82"/>
        <v>G5</v>
      </c>
      <c r="G1297" s="6" t="str">
        <f t="shared" si="83"/>
        <v>Prof2</v>
      </c>
      <c r="H1297" s="6" t="str" cm="1">
        <f t="array" ref="H1297">choice(Referentiel!A:A,1,Settings!$B$16)</f>
        <v>Gr TERRITOIRES</v>
      </c>
      <c r="I1297" s="6" t="str" cm="1">
        <f t="array" ref="I1297">choice(Referentiel!B:B,1,Settings!$B$16)</f>
        <v>2ème année Design Objet S2</v>
      </c>
      <c r="J1297" s="6" t="str" cm="1">
        <f t="array" ref="J1297">choice(Referentiel!D:D,1,Settings!$B$16)</f>
        <v>M2</v>
      </c>
      <c r="K1297" s="6" t="str" cm="1">
        <f t="array" ref="K1297">choice(Professeurs!B:B,1,Settings!$B$16)</f>
        <v>Prof2</v>
      </c>
      <c r="L1297" s="5" t="str" cm="1">
        <f t="array" ref="L1297">choice(Referentiel!C:C,1,Settings!$B$16)</f>
        <v/>
      </c>
      <c r="M1297" s="5" t="str" cm="1">
        <f t="array" ref="M1297">choice(Referentiel!E:E,1,Settings!$B$16)</f>
        <v/>
      </c>
      <c r="N1297" s="5" t="str" cm="1">
        <f t="array" ref="N1297">choice(Settings!K:K,1,Settings!$B$16)</f>
        <v>jeudi am</v>
      </c>
      <c r="P1297" s="5">
        <f t="shared" si="84"/>
        <v>4</v>
      </c>
    </row>
    <row r="1298" spans="1:16" ht="15.75" customHeight="1" x14ac:dyDescent="0.25">
      <c r="A1298" s="6" t="s">
        <v>1650</v>
      </c>
      <c r="B1298" s="6" cm="1">
        <f t="array" ref="B1298">alea_int(Settings!$B$10,1,Settings!$B$16)</f>
        <v>1</v>
      </c>
      <c r="C1298" s="8">
        <v>46023</v>
      </c>
      <c r="D1298" s="8">
        <f t="shared" si="81"/>
        <v>46387</v>
      </c>
      <c r="E1298" s="6" t="str" cm="1">
        <f t="array" ref="E1298">choice(Groupes!A:A,1,Settings!$B$16)</f>
        <v>G4</v>
      </c>
      <c r="F1298" s="6" t="str">
        <f t="shared" si="82"/>
        <v>G4</v>
      </c>
      <c r="G1298" s="6" t="str">
        <f t="shared" si="83"/>
        <v>Prof40</v>
      </c>
      <c r="H1298" s="6" t="str" cm="1">
        <f t="array" ref="H1298">choice(Referentiel!A:A,1,Settings!$B$16)</f>
        <v>Cinéma d'Animation</v>
      </c>
      <c r="I1298" s="6" t="str" cm="1">
        <f t="array" ref="I1298">choice(Referentiel!B:B,1,Settings!$B$16)</f>
        <v>2ème année Cinéma d'Animation S1</v>
      </c>
      <c r="J1298" s="6" t="str" cm="1">
        <f t="array" ref="J1298">choice(Referentiel!D:D,1,Settings!$B$16)</f>
        <v>M1</v>
      </c>
      <c r="K1298" s="6" t="str" cm="1">
        <f t="array" ref="K1298">choice(Professeurs!B:B,1,Settings!$B$16)</f>
        <v>Prof40</v>
      </c>
      <c r="L1298" s="5" t="str" cm="1">
        <f t="array" ref="L1298">choice(Referentiel!C:C,1,Settings!$B$16)</f>
        <v/>
      </c>
      <c r="M1298" s="5" t="str" cm="1">
        <f t="array" ref="M1298">choice(Referentiel!E:E,1,Settings!$B$16)</f>
        <v/>
      </c>
      <c r="N1298" s="5" t="str" cm="1">
        <f t="array" ref="N1298">choice(Settings!K:K,1,Settings!$B$16)</f>
        <v>vendredi am</v>
      </c>
      <c r="P1298" s="5">
        <f t="shared" si="84"/>
        <v>3</v>
      </c>
    </row>
    <row r="1299" spans="1:16" ht="15.75" customHeight="1" x14ac:dyDescent="0.25">
      <c r="A1299" s="6" t="s">
        <v>1651</v>
      </c>
      <c r="B1299" s="6" cm="1">
        <f t="array" ref="B1299">alea_int(Settings!$B$10,1,Settings!$B$16)</f>
        <v>3</v>
      </c>
      <c r="C1299" s="8">
        <v>46023</v>
      </c>
      <c r="D1299" s="8">
        <f t="shared" si="81"/>
        <v>46387</v>
      </c>
      <c r="E1299" s="6" t="str" cm="1">
        <f t="array" ref="E1299">choice(Groupes!A:A,1,Settings!$B$16)</f>
        <v>G19</v>
      </c>
      <c r="F1299" s="6" t="str">
        <f t="shared" si="82"/>
        <v>G19</v>
      </c>
      <c r="G1299" s="6" t="str">
        <f t="shared" si="83"/>
        <v>Prof29</v>
      </c>
      <c r="H1299" s="6" t="str" cm="1">
        <f t="array" ref="H1299">choice(Referentiel!A:A,1,Settings!$B$16)</f>
        <v>Art-Espace</v>
      </c>
      <c r="I1299" s="6" t="str" cm="1">
        <f t="array" ref="I1299">choice(Referentiel!B:B,1,Settings!$B$16)</f>
        <v>3ème année Cinéma d'Animation S2</v>
      </c>
      <c r="J1299" s="6" t="str" cm="1">
        <f t="array" ref="J1299">choice(Referentiel!D:D,1,Settings!$B$16)</f>
        <v>M2</v>
      </c>
      <c r="K1299" s="6" t="str" cm="1">
        <f t="array" ref="K1299">choice(Professeurs!B:B,1,Settings!$B$16)</f>
        <v>Prof29</v>
      </c>
      <c r="L1299" s="5" t="str" cm="1">
        <f t="array" ref="L1299">choice(Referentiel!C:C,1,Settings!$B$16)</f>
        <v/>
      </c>
      <c r="M1299" s="5" t="str" cm="1">
        <f t="array" ref="M1299">choice(Referentiel!E:E,1,Settings!$B$16)</f>
        <v/>
      </c>
      <c r="N1299" s="5" t="str" cm="1">
        <f t="array" ref="N1299">choice(Settings!K:K,1,Settings!$B$16)</f>
        <v/>
      </c>
      <c r="P1299" s="5">
        <f t="shared" si="84"/>
        <v>3</v>
      </c>
    </row>
    <row r="1300" spans="1:16" ht="15.75" customHeight="1" x14ac:dyDescent="0.25">
      <c r="A1300" s="6" t="s">
        <v>1652</v>
      </c>
      <c r="B1300" s="6" cm="1">
        <f t="array" ref="B1300">alea_int(Settings!$B$10,1,Settings!$B$16)</f>
        <v>3</v>
      </c>
      <c r="C1300" s="8">
        <v>46023</v>
      </c>
      <c r="D1300" s="8">
        <f t="shared" si="81"/>
        <v>46387</v>
      </c>
      <c r="E1300" s="6" t="str" cm="1">
        <f t="array" ref="E1300">choice(Groupes!A:A,1,Settings!$B$16)</f>
        <v>G19</v>
      </c>
      <c r="F1300" s="6" t="str">
        <f t="shared" si="82"/>
        <v>G19</v>
      </c>
      <c r="G1300" s="6" t="str">
        <f t="shared" si="83"/>
        <v>Prof47</v>
      </c>
      <c r="H1300" s="6" t="str" cm="1">
        <f t="array" ref="H1300">choice(Referentiel!A:A,1,Settings!$B$16)</f>
        <v>Design des mondes littoraux</v>
      </c>
      <c r="I1300" s="6" t="str" cm="1">
        <f t="array" ref="I1300">choice(Referentiel!B:B,1,Settings!$B$16)</f>
        <v>3ème année Art-Espace S2</v>
      </c>
      <c r="J1300" s="6" t="str" cm="1">
        <f t="array" ref="J1300">choice(Referentiel!D:D,1,Settings!$B$16)</f>
        <v>L3</v>
      </c>
      <c r="K1300" s="6" t="str" cm="1">
        <f t="array" ref="K1300">choice(Professeurs!B:B,1,Settings!$B$16)</f>
        <v>Prof47</v>
      </c>
      <c r="L1300" s="5" t="str" cm="1">
        <f t="array" ref="L1300">choice(Referentiel!C:C,1,Settings!$B$16)</f>
        <v/>
      </c>
      <c r="M1300" s="5" t="str" cm="1">
        <f t="array" ref="M1300">choice(Referentiel!E:E,1,Settings!$B$16)</f>
        <v/>
      </c>
      <c r="N1300" s="5" t="str" cm="1">
        <f t="array" ref="N1300">choice(Settings!K:K,1,Settings!$B$16)</f>
        <v/>
      </c>
      <c r="P1300" s="5">
        <f t="shared" si="84"/>
        <v>3</v>
      </c>
    </row>
    <row r="1301" spans="1:16" ht="15.75" customHeight="1" x14ac:dyDescent="0.25">
      <c r="A1301" s="6" t="s">
        <v>1653</v>
      </c>
      <c r="B1301" s="6" cm="1">
        <f t="array" ref="B1301">alea_int(Settings!$B$10,1,Settings!$B$16)</f>
        <v>3</v>
      </c>
      <c r="C1301" s="8">
        <v>46023</v>
      </c>
      <c r="D1301" s="8">
        <f t="shared" si="81"/>
        <v>46387</v>
      </c>
      <c r="E1301" s="6" t="str" cm="1">
        <f t="array" ref="E1301">choice(Groupes!A:A,1,Settings!$B$16)</f>
        <v>G4</v>
      </c>
      <c r="F1301" s="6" t="str">
        <f t="shared" si="82"/>
        <v>G4</v>
      </c>
      <c r="G1301" s="6" t="str">
        <f t="shared" si="83"/>
        <v>Prof15</v>
      </c>
      <c r="H1301" s="6" t="str" cm="1">
        <f t="array" ref="H1301">choice(Referentiel!A:A,1,Settings!$B$16)</f>
        <v>Design Vêtement</v>
      </c>
      <c r="I1301" s="6" t="str" cm="1">
        <f t="array" ref="I1301">choice(Referentiel!B:B,1,Settings!$B$16)</f>
        <v>4ème année Design Vêtement S1</v>
      </c>
      <c r="J1301" s="6" t="str" cm="1">
        <f t="array" ref="J1301">choice(Referentiel!D:D,1,Settings!$B$16)</f>
        <v>L1</v>
      </c>
      <c r="K1301" s="6" t="str" cm="1">
        <f t="array" ref="K1301">choice(Professeurs!B:B,1,Settings!$B$16)</f>
        <v>Prof15</v>
      </c>
      <c r="L1301" s="5" t="str" cm="1">
        <f t="array" ref="L1301">choice(Referentiel!C:C,1,Settings!$B$16)</f>
        <v/>
      </c>
      <c r="M1301" s="5" t="str" cm="1">
        <f t="array" ref="M1301">choice(Referentiel!E:E,1,Settings!$B$16)</f>
        <v/>
      </c>
      <c r="N1301" s="5" t="str" cm="1">
        <f t="array" ref="N1301">choice(Settings!K:K,1,Settings!$B$16)</f>
        <v/>
      </c>
      <c r="P1301" s="5">
        <f t="shared" si="84"/>
        <v>3</v>
      </c>
    </row>
    <row r="1302" spans="1:16" ht="15.75" customHeight="1" x14ac:dyDescent="0.25">
      <c r="A1302" s="6" t="s">
        <v>1654</v>
      </c>
      <c r="B1302" s="6" cm="1">
        <f t="array" ref="B1302">alea_int(Settings!$B$10,1,Settings!$B$16)</f>
        <v>2</v>
      </c>
      <c r="C1302" s="8">
        <v>46023</v>
      </c>
      <c r="D1302" s="8">
        <f t="shared" si="81"/>
        <v>46387</v>
      </c>
      <c r="E1302" s="6" t="str" cm="1">
        <f t="array" ref="E1302">choice(Groupes!A:A,1,Settings!$B$16)</f>
        <v>G16</v>
      </c>
      <c r="F1302" s="6" t="str">
        <f t="shared" si="82"/>
        <v>G16</v>
      </c>
      <c r="G1302" s="6" t="str">
        <f t="shared" si="83"/>
        <v>Prof40</v>
      </c>
      <c r="H1302" s="6" t="str" cm="1">
        <f t="array" ref="H1302">choice(Referentiel!A:A,1,Settings!$B$16)</f>
        <v>Gr TERRITOIRES</v>
      </c>
      <c r="I1302" s="6" t="str" cm="1">
        <f t="array" ref="I1302">choice(Referentiel!B:B,1,Settings!$B$16)</f>
        <v>3ème année Design Graphique S1</v>
      </c>
      <c r="J1302" s="6" t="str" cm="1">
        <f t="array" ref="J1302">choice(Referentiel!D:D,1,Settings!$B$16)</f>
        <v>M1</v>
      </c>
      <c r="K1302" s="6" t="str" cm="1">
        <f t="array" ref="K1302">choice(Professeurs!B:B,1,Settings!$B$16)</f>
        <v>Prof40</v>
      </c>
      <c r="L1302" s="5" t="str" cm="1">
        <f t="array" ref="L1302">choice(Referentiel!C:C,1,Settings!$B$16)</f>
        <v/>
      </c>
      <c r="M1302" s="5" t="str" cm="1">
        <f t="array" ref="M1302">choice(Referentiel!E:E,1,Settings!$B$16)</f>
        <v/>
      </c>
      <c r="N1302" s="5" t="str" cm="1">
        <f t="array" ref="N1302">choice(Settings!K:K,1,Settings!$B$16)</f>
        <v/>
      </c>
      <c r="P1302" s="5">
        <f t="shared" si="84"/>
        <v>2</v>
      </c>
    </row>
    <row r="1303" spans="1:16" ht="15.75" customHeight="1" x14ac:dyDescent="0.25">
      <c r="A1303" s="6" t="s">
        <v>1655</v>
      </c>
      <c r="B1303" s="6" cm="1">
        <f t="array" ref="B1303">alea_int(Settings!$B$10,1,Settings!$B$16)</f>
        <v>3</v>
      </c>
      <c r="C1303" s="8">
        <v>46023</v>
      </c>
      <c r="D1303" s="8">
        <f t="shared" si="81"/>
        <v>46387</v>
      </c>
      <c r="E1303" s="6" t="str" cm="1">
        <f t="array" ref="E1303">choice(Groupes!A:A,1,Settings!$B$16)</f>
        <v>G20</v>
      </c>
      <c r="F1303" s="6" t="str">
        <f t="shared" si="82"/>
        <v>G20</v>
      </c>
      <c r="G1303" s="6" t="str">
        <f t="shared" si="83"/>
        <v>Prof7</v>
      </c>
      <c r="H1303" s="6" t="str" cm="1">
        <f t="array" ref="H1303">choice(Referentiel!A:A,1,Settings!$B$16)</f>
        <v>Design Vêtement</v>
      </c>
      <c r="I1303" s="6" t="str" cm="1">
        <f t="array" ref="I1303">choice(Referentiel!B:B,1,Settings!$B$16)</f>
        <v>5ème année Design Textile et Matière S2</v>
      </c>
      <c r="J1303" s="6" t="str" cm="1">
        <f t="array" ref="J1303">choice(Referentiel!D:D,1,Settings!$B$16)</f>
        <v>M1</v>
      </c>
      <c r="K1303" s="6" t="str" cm="1">
        <f t="array" ref="K1303">choice(Professeurs!B:B,1,Settings!$B$16)</f>
        <v>Prof7</v>
      </c>
      <c r="L1303" s="5" t="str" cm="1">
        <f t="array" ref="L1303">choice(Referentiel!C:C,1,Settings!$B$16)</f>
        <v/>
      </c>
      <c r="M1303" s="5" t="str" cm="1">
        <f t="array" ref="M1303">choice(Referentiel!E:E,1,Settings!$B$16)</f>
        <v/>
      </c>
      <c r="N1303" s="5" t="str" cm="1">
        <f t="array" ref="N1303">choice(Settings!K:K,1,Settings!$B$16)</f>
        <v/>
      </c>
      <c r="P1303" s="5">
        <f t="shared" si="84"/>
        <v>3</v>
      </c>
    </row>
    <row r="1304" spans="1:16" ht="15.75" customHeight="1" x14ac:dyDescent="0.25">
      <c r="A1304" s="6" t="s">
        <v>1656</v>
      </c>
      <c r="B1304" s="6" cm="1">
        <f t="array" ref="B1304">alea_int(Settings!$B$10,1,Settings!$B$16)</f>
        <v>1</v>
      </c>
      <c r="C1304" s="8">
        <v>46023</v>
      </c>
      <c r="D1304" s="8">
        <f t="shared" si="81"/>
        <v>46387</v>
      </c>
      <c r="E1304" s="6" t="str" cm="1">
        <f t="array" ref="E1304">choice(Groupes!A:A,1,Settings!$B$16)</f>
        <v>G23</v>
      </c>
      <c r="F1304" s="6" t="str">
        <f t="shared" si="82"/>
        <v>G23</v>
      </c>
      <c r="G1304" s="6" t="str">
        <f t="shared" si="83"/>
        <v>Prof17</v>
      </c>
      <c r="H1304" s="6" t="str" cm="1">
        <f t="array" ref="H1304">choice(Referentiel!A:A,1,Settings!$B$16)</f>
        <v>Gr REFLECTIVE INTERACTION</v>
      </c>
      <c r="I1304" s="6" t="str" cm="1">
        <f t="array" ref="I1304">choice(Referentiel!B:B,1,Settings!$B$16)</f>
        <v>2ème année Cinéma d'Animation S1</v>
      </c>
      <c r="J1304" s="6" t="str" cm="1">
        <f t="array" ref="J1304">choice(Referentiel!D:D,1,Settings!$B$16)</f>
        <v>L1</v>
      </c>
      <c r="K1304" s="6" t="str" cm="1">
        <f t="array" ref="K1304">choice(Professeurs!B:B,1,Settings!$B$16)</f>
        <v>Prof17</v>
      </c>
      <c r="L1304" s="5" t="str" cm="1">
        <f t="array" ref="L1304">choice(Referentiel!C:C,1,Settings!$B$16)</f>
        <v/>
      </c>
      <c r="M1304" s="5" t="str" cm="1">
        <f t="array" ref="M1304">choice(Referentiel!E:E,1,Settings!$B$16)</f>
        <v/>
      </c>
      <c r="N1304" s="5" t="str" cm="1">
        <f t="array" ref="N1304">choice(Settings!K:K,1,Settings!$B$16)</f>
        <v/>
      </c>
      <c r="P1304" s="5">
        <f t="shared" si="84"/>
        <v>1</v>
      </c>
    </row>
    <row r="1305" spans="1:16" ht="15.75" customHeight="1" x14ac:dyDescent="0.25">
      <c r="A1305" s="6" t="s">
        <v>1657</v>
      </c>
      <c r="B1305" s="6" cm="1">
        <f t="array" ref="B1305">alea_int(Settings!$B$10,1,Settings!$B$16)</f>
        <v>1</v>
      </c>
      <c r="C1305" s="8">
        <v>46023</v>
      </c>
      <c r="D1305" s="8">
        <f t="shared" si="81"/>
        <v>46387</v>
      </c>
      <c r="E1305" s="6" t="str" cm="1">
        <f t="array" ref="E1305">choice(Groupes!A:A,1,Settings!$B$16)</f>
        <v>G5</v>
      </c>
      <c r="F1305" s="6" t="str">
        <f t="shared" si="82"/>
        <v>G5</v>
      </c>
      <c r="G1305" s="6" t="str">
        <f t="shared" si="83"/>
        <v>Prof46</v>
      </c>
      <c r="H1305" s="6" t="str" cm="1">
        <f t="array" ref="H1305">choice(Referentiel!A:A,1,Settings!$B$16)</f>
        <v>Design Objet</v>
      </c>
      <c r="I1305" s="6" t="str" cm="1">
        <f t="array" ref="I1305">choice(Referentiel!B:B,1,Settings!$B$16)</f>
        <v>3ème année Architecture Intérieure S2</v>
      </c>
      <c r="J1305" s="6" t="str" cm="1">
        <f t="array" ref="J1305">choice(Referentiel!D:D,1,Settings!$B$16)</f>
        <v>M2</v>
      </c>
      <c r="K1305" s="6" t="str" cm="1">
        <f t="array" ref="K1305">choice(Professeurs!B:B,1,Settings!$B$16)</f>
        <v>Prof46</v>
      </c>
      <c r="L1305" s="5" t="str" cm="1">
        <f t="array" ref="L1305">choice(Referentiel!C:C,1,Settings!$B$16)</f>
        <v/>
      </c>
      <c r="M1305" s="5" t="str" cm="1">
        <f t="array" ref="M1305">choice(Referentiel!E:E,1,Settings!$B$16)</f>
        <v/>
      </c>
      <c r="N1305" s="5" t="str" cm="1">
        <f t="array" ref="N1305">choice(Settings!K:K,1,Settings!$B$16)</f>
        <v/>
      </c>
      <c r="P1305" s="5">
        <f t="shared" si="84"/>
        <v>1</v>
      </c>
    </row>
    <row r="1306" spans="1:16" ht="15.75" customHeight="1" x14ac:dyDescent="0.25">
      <c r="A1306" s="6" t="s">
        <v>1658</v>
      </c>
      <c r="B1306" s="6" cm="1">
        <f t="array" ref="B1306">alea_int(Settings!$B$10,1,Settings!$B$16)</f>
        <v>2</v>
      </c>
      <c r="C1306" s="8">
        <v>46023</v>
      </c>
      <c r="D1306" s="8">
        <f t="shared" si="81"/>
        <v>46387</v>
      </c>
      <c r="E1306" s="6" t="str" cm="1">
        <f t="array" ref="E1306">choice(Groupes!A:A,1,Settings!$B$16)</f>
        <v>G30</v>
      </c>
      <c r="F1306" s="6" t="str">
        <f t="shared" si="82"/>
        <v>G30</v>
      </c>
      <c r="G1306" s="6" t="str">
        <f t="shared" si="83"/>
        <v>Prof31</v>
      </c>
      <c r="H1306" s="6" t="str" cm="1">
        <f t="array" ref="H1306">choice(Referentiel!A:A,1,Settings!$B$16)</f>
        <v>6ème ANNÉE STAGE</v>
      </c>
      <c r="I1306" s="6" t="str" cm="1">
        <f t="array" ref="I1306">choice(Referentiel!B:B,1,Settings!$B$16)</f>
        <v>4ème année Design Vêtement S2</v>
      </c>
      <c r="J1306" s="6" t="str" cm="1">
        <f t="array" ref="J1306">choice(Referentiel!D:D,1,Settings!$B$16)</f>
        <v>L2</v>
      </c>
      <c r="K1306" s="6" t="str" cm="1">
        <f t="array" ref="K1306">choice(Professeurs!B:B,1,Settings!$B$16)</f>
        <v>Prof31</v>
      </c>
      <c r="L1306" s="5" t="str" cm="1">
        <f t="array" ref="L1306">choice(Referentiel!C:C,1,Settings!$B$16)</f>
        <v/>
      </c>
      <c r="M1306" s="5" t="str" cm="1">
        <f t="array" ref="M1306">choice(Referentiel!E:E,1,Settings!$B$16)</f>
        <v/>
      </c>
      <c r="N1306" s="5" t="str" cm="1">
        <f t="array" ref="N1306">choice(Settings!K:K,1,Settings!$B$16)</f>
        <v/>
      </c>
      <c r="P1306" s="5">
        <f t="shared" si="84"/>
        <v>2</v>
      </c>
    </row>
    <row r="1307" spans="1:16" ht="15.75" customHeight="1" x14ac:dyDescent="0.25">
      <c r="A1307" s="6" t="s">
        <v>1659</v>
      </c>
      <c r="B1307" s="6" cm="1">
        <f t="array" ref="B1307">alea_int(Settings!$B$10,1,Settings!$B$16)</f>
        <v>1</v>
      </c>
      <c r="C1307" s="8">
        <v>46023</v>
      </c>
      <c r="D1307" s="8">
        <f t="shared" si="81"/>
        <v>46387</v>
      </c>
      <c r="E1307" s="6" t="str" cm="1">
        <f t="array" ref="E1307">choice(Groupes!A:A,1,Settings!$B$16)</f>
        <v>G9</v>
      </c>
      <c r="F1307" s="6" t="str">
        <f t="shared" si="82"/>
        <v>G9</v>
      </c>
      <c r="G1307" s="6" t="str">
        <f t="shared" si="83"/>
        <v>Prof39</v>
      </c>
      <c r="H1307" s="6" t="str" cm="1">
        <f t="array" ref="H1307">choice(Referentiel!A:A,1,Settings!$B$16)</f>
        <v>Gr REFLECTIVE INTERACTION</v>
      </c>
      <c r="I1307" s="6" t="str" cm="1">
        <f t="array" ref="I1307">choice(Referentiel!B:B,1,Settings!$B$16)</f>
        <v>1ère Année Groupe 3 S1</v>
      </c>
      <c r="J1307" s="6" t="str" cm="1">
        <f t="array" ref="J1307">choice(Referentiel!D:D,1,Settings!$B$16)</f>
        <v>L3</v>
      </c>
      <c r="K1307" s="6" t="str" cm="1">
        <f t="array" ref="K1307">choice(Professeurs!B:B,1,Settings!$B$16)</f>
        <v>Prof39</v>
      </c>
      <c r="L1307" s="5" t="str" cm="1">
        <f t="array" ref="L1307">choice(Referentiel!C:C,1,Settings!$B$16)</f>
        <v/>
      </c>
      <c r="M1307" s="5" t="str" cm="1">
        <f t="array" ref="M1307">choice(Referentiel!E:E,1,Settings!$B$16)</f>
        <v/>
      </c>
      <c r="N1307" s="5" t="str" cm="1">
        <f t="array" ref="N1307">choice(Settings!K:K,1,Settings!$B$16)</f>
        <v/>
      </c>
      <c r="P1307" s="5">
        <f t="shared" si="84"/>
        <v>1</v>
      </c>
    </row>
    <row r="1308" spans="1:16" ht="15.75" customHeight="1" x14ac:dyDescent="0.25">
      <c r="A1308" s="6" t="s">
        <v>1660</v>
      </c>
      <c r="B1308" s="6" cm="1">
        <f t="array" ref="B1308">alea_int(Settings!$B$10,1,Settings!$B$16)</f>
        <v>1</v>
      </c>
      <c r="C1308" s="8">
        <v>46023</v>
      </c>
      <c r="D1308" s="8">
        <f t="shared" si="81"/>
        <v>46387</v>
      </c>
      <c r="E1308" s="6" t="str" cm="1">
        <f t="array" ref="E1308">choice(Groupes!A:A,1,Settings!$B$16)</f>
        <v>G3</v>
      </c>
      <c r="F1308" s="6" t="str">
        <f t="shared" si="82"/>
        <v>G3</v>
      </c>
      <c r="G1308" s="6" t="str">
        <f t="shared" si="83"/>
        <v>Prof21</v>
      </c>
      <c r="H1308" s="6" t="str" cm="1">
        <f t="array" ref="H1308">choice(Referentiel!A:A,1,Settings!$B$16)</f>
        <v>Scénographie</v>
      </c>
      <c r="I1308" s="6" t="str" cm="1">
        <f t="array" ref="I1308">choice(Referentiel!B:B,1,Settings!$B$16)</f>
        <v>2ème année Photo / Vidéo S2</v>
      </c>
      <c r="J1308" s="6" t="str" cm="1">
        <f t="array" ref="J1308">choice(Referentiel!D:D,1,Settings!$B$16)</f>
        <v>L3</v>
      </c>
      <c r="K1308" s="6" t="str" cm="1">
        <f t="array" ref="K1308">choice(Professeurs!B:B,1,Settings!$B$16)</f>
        <v>Prof21</v>
      </c>
      <c r="L1308" s="5" t="str" cm="1">
        <f t="array" ref="L1308">choice(Referentiel!C:C,1,Settings!$B$16)</f>
        <v/>
      </c>
      <c r="M1308" s="5" t="str" cm="1">
        <f t="array" ref="M1308">choice(Referentiel!E:E,1,Settings!$B$16)</f>
        <v/>
      </c>
      <c r="N1308" s="5" t="str" cm="1">
        <f t="array" ref="N1308">choice(Settings!K:K,1,Settings!$B$16)</f>
        <v>mercredi ap</v>
      </c>
      <c r="P1308" s="5">
        <f t="shared" si="84"/>
        <v>3</v>
      </c>
    </row>
    <row r="1309" spans="1:16" ht="15.75" customHeight="1" x14ac:dyDescent="0.25">
      <c r="A1309" s="6" t="s">
        <v>1661</v>
      </c>
      <c r="B1309" s="6" cm="1">
        <f t="array" ref="B1309">alea_int(Settings!$B$10,1,Settings!$B$16)</f>
        <v>3</v>
      </c>
      <c r="C1309" s="8">
        <v>46023</v>
      </c>
      <c r="D1309" s="8">
        <f t="shared" si="81"/>
        <v>46387</v>
      </c>
      <c r="E1309" s="6" t="str" cm="1">
        <f t="array" ref="E1309">choice(Groupes!A:A,1,Settings!$B$16)</f>
        <v>G16</v>
      </c>
      <c r="F1309" s="6" t="str">
        <f t="shared" si="82"/>
        <v>G16</v>
      </c>
      <c r="G1309" s="6" t="str">
        <f t="shared" si="83"/>
        <v>Prof14</v>
      </c>
      <c r="H1309" s="6" t="str" cm="1">
        <f t="array" ref="H1309">choice(Referentiel!A:A,1,Settings!$B$16)</f>
        <v>1ère année Groupe 1</v>
      </c>
      <c r="I1309" s="6" t="str" cm="1">
        <f t="array" ref="I1309">choice(Referentiel!B:B,1,Settings!$B$16)</f>
        <v>2ème année Architecture Intérieure S1</v>
      </c>
      <c r="J1309" s="6" t="str" cm="1">
        <f t="array" ref="J1309">choice(Referentiel!D:D,1,Settings!$B$16)</f>
        <v>L2</v>
      </c>
      <c r="K1309" s="6" t="str" cm="1">
        <f t="array" ref="K1309">choice(Professeurs!B:B,1,Settings!$B$16)</f>
        <v>Prof14</v>
      </c>
      <c r="L1309" s="5" t="str" cm="1">
        <f t="array" ref="L1309">choice(Referentiel!C:C,1,Settings!$B$16)</f>
        <v>tablette</v>
      </c>
      <c r="M1309" s="5" t="str" cm="1">
        <f t="array" ref="M1309">choice(Referentiel!E:E,1,Settings!$B$16)</f>
        <v/>
      </c>
      <c r="N1309" s="5" t="str" cm="1">
        <f t="array" ref="N1309">choice(Settings!K:K,1,Settings!$B$16)</f>
        <v>vendredi pm</v>
      </c>
      <c r="P1309" s="5">
        <f t="shared" si="84"/>
        <v>5</v>
      </c>
    </row>
    <row r="1310" spans="1:16" ht="15.75" customHeight="1" x14ac:dyDescent="0.25">
      <c r="A1310" s="6" t="s">
        <v>1662</v>
      </c>
      <c r="B1310" s="6" cm="1">
        <f t="array" ref="B1310">alea_int(Settings!$B$10,1,Settings!$B$16)</f>
        <v>3</v>
      </c>
      <c r="C1310" s="8">
        <v>46023</v>
      </c>
      <c r="D1310" s="8">
        <f t="shared" si="81"/>
        <v>46387</v>
      </c>
      <c r="E1310" s="6" t="str" cm="1">
        <f t="array" ref="E1310">choice(Groupes!A:A,1,Settings!$B$16)</f>
        <v>G6</v>
      </c>
      <c r="F1310" s="6" t="str">
        <f t="shared" si="82"/>
        <v>G6</v>
      </c>
      <c r="G1310" s="6" t="str">
        <f t="shared" si="83"/>
        <v>Prof26</v>
      </c>
      <c r="H1310" s="6" t="str" cm="1">
        <f t="array" ref="H1310">choice(Referentiel!A:A,1,Settings!$B$16)</f>
        <v>Design des mondes urbains</v>
      </c>
      <c r="I1310" s="6" t="str" cm="1">
        <f t="array" ref="I1310">choice(Referentiel!B:B,1,Settings!$B$16)</f>
        <v>3ème année Design Graphique S1</v>
      </c>
      <c r="J1310" s="6" t="str" cm="1">
        <f t="array" ref="J1310">choice(Referentiel!D:D,1,Settings!$B$16)</f>
        <v>M2</v>
      </c>
      <c r="K1310" s="6" t="str" cm="1">
        <f t="array" ref="K1310">choice(Professeurs!B:B,1,Settings!$B$16)</f>
        <v>Prof26</v>
      </c>
      <c r="L1310" s="5" t="str" cm="1">
        <f t="array" ref="L1310">choice(Referentiel!C:C,1,Settings!$B$16)</f>
        <v/>
      </c>
      <c r="M1310" s="5" t="str" cm="1">
        <f t="array" ref="M1310">choice(Referentiel!E:E,1,Settings!$B$16)</f>
        <v/>
      </c>
      <c r="N1310" s="5" t="str" cm="1">
        <f t="array" ref="N1310">choice(Settings!K:K,1,Settings!$B$16)</f>
        <v/>
      </c>
      <c r="P1310" s="5">
        <f t="shared" si="84"/>
        <v>3</v>
      </c>
    </row>
    <row r="1311" spans="1:16" ht="15.75" customHeight="1" x14ac:dyDescent="0.25">
      <c r="A1311" s="6" t="s">
        <v>1663</v>
      </c>
      <c r="B1311" s="6" cm="1">
        <f t="array" ref="B1311">alea_int(Settings!$B$10,1,Settings!$B$16)</f>
        <v>1</v>
      </c>
      <c r="C1311" s="8">
        <v>46023</v>
      </c>
      <c r="D1311" s="8">
        <f t="shared" si="81"/>
        <v>46387</v>
      </c>
      <c r="E1311" s="6" t="str" cm="1">
        <f t="array" ref="E1311">choice(Groupes!A:A,1,Settings!$B$16)</f>
        <v>G28</v>
      </c>
      <c r="F1311" s="6" t="str">
        <f t="shared" si="82"/>
        <v>G28</v>
      </c>
      <c r="G1311" s="6" t="str">
        <f t="shared" si="83"/>
        <v>Prof18</v>
      </c>
      <c r="H1311" s="6" t="str" cm="1">
        <f t="array" ref="H1311">choice(Referentiel!A:A,1,Settings!$B$16)</f>
        <v>Design Vêtement</v>
      </c>
      <c r="I1311" s="6" t="str" cm="1">
        <f t="array" ref="I1311">choice(Referentiel!B:B,1,Settings!$B$16)</f>
        <v>1ère Année Groupe 3 S2</v>
      </c>
      <c r="J1311" s="6" t="str" cm="1">
        <f t="array" ref="J1311">choice(Referentiel!D:D,1,Settings!$B$16)</f>
        <v>M2</v>
      </c>
      <c r="K1311" s="6" t="str" cm="1">
        <f t="array" ref="K1311">choice(Professeurs!B:B,1,Settings!$B$16)</f>
        <v>Prof18</v>
      </c>
      <c r="L1311" s="5" t="str" cm="1">
        <f t="array" ref="L1311">choice(Referentiel!C:C,1,Settings!$B$16)</f>
        <v/>
      </c>
      <c r="M1311" s="5" t="str" cm="1">
        <f t="array" ref="M1311">choice(Referentiel!E:E,1,Settings!$B$16)</f>
        <v/>
      </c>
      <c r="N1311" s="5" t="str" cm="1">
        <f t="array" ref="N1311">choice(Settings!K:K,1,Settings!$B$16)</f>
        <v/>
      </c>
      <c r="P1311" s="5">
        <f t="shared" si="84"/>
        <v>1</v>
      </c>
    </row>
    <row r="1312" spans="1:16" ht="15.75" customHeight="1" x14ac:dyDescent="0.25">
      <c r="A1312" s="6" t="s">
        <v>1664</v>
      </c>
      <c r="B1312" s="6" cm="1">
        <f t="array" ref="B1312">alea_int(Settings!$B$10,1,Settings!$B$16)</f>
        <v>3</v>
      </c>
      <c r="C1312" s="8">
        <v>46023</v>
      </c>
      <c r="D1312" s="8">
        <f t="shared" si="81"/>
        <v>46387</v>
      </c>
      <c r="E1312" s="6" t="str" cm="1">
        <f t="array" ref="E1312">choice(Groupes!A:A,1,Settings!$B$16)</f>
        <v>G29</v>
      </c>
      <c r="F1312" s="6" t="str">
        <f t="shared" si="82"/>
        <v>G29</v>
      </c>
      <c r="G1312" s="6" t="str">
        <f t="shared" si="83"/>
        <v>Prof10</v>
      </c>
      <c r="H1312" s="6" t="str" cm="1">
        <f t="array" ref="H1312">choice(Referentiel!A:A,1,Settings!$B$16)</f>
        <v>Gr TERRITOIRES</v>
      </c>
      <c r="I1312" s="6" t="str" cm="1">
        <f t="array" ref="I1312">choice(Referentiel!B:B,1,Settings!$B$16)</f>
        <v>Césure S2</v>
      </c>
      <c r="J1312" s="6" t="str" cm="1">
        <f t="array" ref="J1312">choice(Referentiel!D:D,1,Settings!$B$16)</f>
        <v>L2</v>
      </c>
      <c r="K1312" s="6" t="str" cm="1">
        <f t="array" ref="K1312">choice(Professeurs!B:B,1,Settings!$B$16)</f>
        <v>Prof10</v>
      </c>
      <c r="L1312" s="5" t="str" cm="1">
        <f t="array" ref="L1312">choice(Referentiel!C:C,1,Settings!$B$16)</f>
        <v/>
      </c>
      <c r="M1312" s="5" t="str" cm="1">
        <f t="array" ref="M1312">choice(Referentiel!E:E,1,Settings!$B$16)</f>
        <v/>
      </c>
      <c r="N1312" s="5" t="str" cm="1">
        <f t="array" ref="N1312">choice(Settings!K:K,1,Settings!$B$16)</f>
        <v/>
      </c>
      <c r="P1312" s="5">
        <f t="shared" si="84"/>
        <v>3</v>
      </c>
    </row>
    <row r="1313" spans="1:16" ht="15.75" customHeight="1" x14ac:dyDescent="0.25">
      <c r="A1313" s="6" t="s">
        <v>1665</v>
      </c>
      <c r="B1313" s="6" cm="1">
        <f t="array" ref="B1313">alea_int(Settings!$B$10,1,Settings!$B$16)</f>
        <v>1</v>
      </c>
      <c r="C1313" s="8">
        <v>46023</v>
      </c>
      <c r="D1313" s="8">
        <f t="shared" si="81"/>
        <v>46387</v>
      </c>
      <c r="E1313" s="6" t="str" cm="1">
        <f t="array" ref="E1313">choice(Groupes!A:A,1,Settings!$B$16)</f>
        <v>G12</v>
      </c>
      <c r="F1313" s="6" t="str">
        <f t="shared" si="82"/>
        <v>G12</v>
      </c>
      <c r="G1313" s="6" t="str">
        <f t="shared" si="83"/>
        <v>Prof16</v>
      </c>
      <c r="H1313" s="6" t="str" cm="1">
        <f t="array" ref="H1313">choice(Referentiel!A:A,1,Settings!$B$16)</f>
        <v>Design des mondes insulaires</v>
      </c>
      <c r="I1313" s="6" t="str" cm="1">
        <f t="array" ref="I1313">choice(Referentiel!B:B,1,Settings!$B$16)</f>
        <v>3ème année Design Graphique S2</v>
      </c>
      <c r="J1313" s="6" t="str" cm="1">
        <f t="array" ref="J1313">choice(Referentiel!D:D,1,Settings!$B$16)</f>
        <v>L3</v>
      </c>
      <c r="K1313" s="6" t="str" cm="1">
        <f t="array" ref="K1313">choice(Professeurs!B:B,1,Settings!$B$16)</f>
        <v>Prof16</v>
      </c>
      <c r="L1313" s="5" t="str" cm="1">
        <f t="array" ref="L1313">choice(Referentiel!C:C,1,Settings!$B$16)</f>
        <v/>
      </c>
      <c r="M1313" s="5" t="str" cm="1">
        <f t="array" ref="M1313">choice(Referentiel!E:E,1,Settings!$B$16)</f>
        <v/>
      </c>
      <c r="N1313" s="5" t="str" cm="1">
        <f t="array" ref="N1313">choice(Settings!K:K,1,Settings!$B$16)</f>
        <v>vendredi am</v>
      </c>
      <c r="P1313" s="5">
        <f t="shared" si="84"/>
        <v>3</v>
      </c>
    </row>
    <row r="1314" spans="1:16" ht="15.75" customHeight="1" x14ac:dyDescent="0.25">
      <c r="A1314" s="6" t="s">
        <v>1666</v>
      </c>
      <c r="B1314" s="6" cm="1">
        <f t="array" ref="B1314">alea_int(Settings!$B$10,1,Settings!$B$16)</f>
        <v>3</v>
      </c>
      <c r="C1314" s="8">
        <v>46023</v>
      </c>
      <c r="D1314" s="8">
        <f t="shared" si="81"/>
        <v>46387</v>
      </c>
      <c r="E1314" s="6" t="str" cm="1">
        <f t="array" ref="E1314">choice(Groupes!A:A,1,Settings!$B$16)</f>
        <v>G20</v>
      </c>
      <c r="F1314" s="6" t="str">
        <f t="shared" si="82"/>
        <v>G20</v>
      </c>
      <c r="G1314" s="6" t="str">
        <f t="shared" si="83"/>
        <v>Prof47</v>
      </c>
      <c r="H1314" s="6" t="str" cm="1">
        <f t="array" ref="H1314">choice(Referentiel!A:A,1,Settings!$B$16)</f>
        <v>Architecture Intérieure</v>
      </c>
      <c r="I1314" s="6" t="str" cm="1">
        <f t="array" ref="I1314">choice(Referentiel!B:B,1,Settings!$B$16)</f>
        <v>4ème année Cinéma d'Animation S2</v>
      </c>
      <c r="J1314" s="6" t="str" cm="1">
        <f t="array" ref="J1314">choice(Referentiel!D:D,1,Settings!$B$16)</f>
        <v>L1</v>
      </c>
      <c r="K1314" s="6" t="str" cm="1">
        <f t="array" ref="K1314">choice(Professeurs!B:B,1,Settings!$B$16)</f>
        <v>Prof47</v>
      </c>
      <c r="L1314" s="5" t="str" cm="1">
        <f t="array" ref="L1314">choice(Referentiel!C:C,1,Settings!$B$16)</f>
        <v/>
      </c>
      <c r="M1314" s="5" t="str" cm="1">
        <f t="array" ref="M1314">choice(Referentiel!E:E,1,Settings!$B$16)</f>
        <v/>
      </c>
      <c r="N1314" s="5" t="str" cm="1">
        <f t="array" ref="N1314">choice(Settings!K:K,1,Settings!$B$16)</f>
        <v/>
      </c>
      <c r="P1314" s="5">
        <f t="shared" si="84"/>
        <v>3</v>
      </c>
    </row>
    <row r="1315" spans="1:16" ht="15.75" customHeight="1" x14ac:dyDescent="0.25">
      <c r="A1315" s="6" t="s">
        <v>1667</v>
      </c>
      <c r="B1315" s="6" cm="1">
        <f t="array" ref="B1315">alea_int(Settings!$B$10,1,Settings!$B$16)</f>
        <v>2</v>
      </c>
      <c r="C1315" s="8">
        <v>46023</v>
      </c>
      <c r="D1315" s="8">
        <f t="shared" si="81"/>
        <v>46387</v>
      </c>
      <c r="E1315" s="6" t="str" cm="1">
        <f t="array" ref="E1315">choice(Groupes!A:A,1,Settings!$B$16)</f>
        <v>G17</v>
      </c>
      <c r="F1315" s="6" t="str">
        <f t="shared" si="82"/>
        <v>G17</v>
      </c>
      <c r="G1315" s="6" t="str">
        <f t="shared" si="83"/>
        <v>Prof19</v>
      </c>
      <c r="H1315" s="6" t="str" cm="1">
        <f t="array" ref="H1315">choice(Referentiel!A:A,1,Settings!$B$16)</f>
        <v>Art-Espace</v>
      </c>
      <c r="I1315" s="6" t="str" cm="1">
        <f t="array" ref="I1315">choice(Referentiel!B:B,1,Settings!$B$16)</f>
        <v>3ème année Design Textile et Matière S1</v>
      </c>
      <c r="J1315" s="6" t="str" cm="1">
        <f t="array" ref="J1315">choice(Referentiel!D:D,1,Settings!$B$16)</f>
        <v>L2</v>
      </c>
      <c r="K1315" s="6" t="str" cm="1">
        <f t="array" ref="K1315">choice(Professeurs!B:B,1,Settings!$B$16)</f>
        <v>Prof19</v>
      </c>
      <c r="L1315" s="5" t="str" cm="1">
        <f t="array" ref="L1315">choice(Referentiel!C:C,1,Settings!$B$16)</f>
        <v/>
      </c>
      <c r="M1315" s="5" t="str" cm="1">
        <f t="array" ref="M1315">choice(Referentiel!E:E,1,Settings!$B$16)</f>
        <v/>
      </c>
      <c r="N1315" s="5" t="str" cm="1">
        <f t="array" ref="N1315">choice(Settings!K:K,1,Settings!$B$16)</f>
        <v/>
      </c>
      <c r="P1315" s="5">
        <f t="shared" si="84"/>
        <v>2</v>
      </c>
    </row>
    <row r="1316" spans="1:16" ht="15.75" customHeight="1" x14ac:dyDescent="0.25">
      <c r="A1316" s="6" t="s">
        <v>1668</v>
      </c>
      <c r="B1316" s="6" cm="1">
        <f t="array" ref="B1316">alea_int(Settings!$B$10,1,Settings!$B$16)</f>
        <v>2</v>
      </c>
      <c r="C1316" s="8">
        <v>46023</v>
      </c>
      <c r="D1316" s="8">
        <f t="shared" si="81"/>
        <v>46387</v>
      </c>
      <c r="E1316" s="6" t="str" cm="1">
        <f t="array" ref="E1316">choice(Groupes!A:A,1,Settings!$B$16)</f>
        <v>G30</v>
      </c>
      <c r="F1316" s="6" t="str">
        <f t="shared" si="82"/>
        <v>G30</v>
      </c>
      <c r="G1316" s="6" t="str">
        <f t="shared" si="83"/>
        <v>Prof10</v>
      </c>
      <c r="H1316" s="6" t="str" cm="1">
        <f t="array" ref="H1316">choice(Referentiel!A:A,1,Settings!$B$16)</f>
        <v>Design Vêtement</v>
      </c>
      <c r="I1316" s="6" t="str" cm="1">
        <f t="array" ref="I1316">choice(Referentiel!B:B,1,Settings!$B$16)</f>
        <v>3ème année Image Imprimée S1</v>
      </c>
      <c r="J1316" s="6" t="str" cm="1">
        <f t="array" ref="J1316">choice(Referentiel!D:D,1,Settings!$B$16)</f>
        <v>L2</v>
      </c>
      <c r="K1316" s="6" t="str" cm="1">
        <f t="array" ref="K1316">choice(Professeurs!B:B,1,Settings!$B$16)</f>
        <v>Prof10</v>
      </c>
      <c r="L1316" s="5" t="str" cm="1">
        <f t="array" ref="L1316">choice(Referentiel!C:C,1,Settings!$B$16)</f>
        <v/>
      </c>
      <c r="M1316" s="5" t="str" cm="1">
        <f t="array" ref="M1316">choice(Referentiel!E:E,1,Settings!$B$16)</f>
        <v/>
      </c>
      <c r="N1316" s="5" t="str" cm="1">
        <f t="array" ref="N1316">choice(Settings!K:K,1,Settings!$B$16)</f>
        <v>lundi pm</v>
      </c>
      <c r="P1316" s="5">
        <f t="shared" si="84"/>
        <v>4</v>
      </c>
    </row>
    <row r="1317" spans="1:16" ht="15.75" customHeight="1" x14ac:dyDescent="0.25">
      <c r="A1317" s="6" t="s">
        <v>1669</v>
      </c>
      <c r="B1317" s="6" cm="1">
        <f t="array" ref="B1317">alea_int(Settings!$B$10,1,Settings!$B$16)</f>
        <v>1</v>
      </c>
      <c r="C1317" s="8">
        <v>46023</v>
      </c>
      <c r="D1317" s="8">
        <f t="shared" si="81"/>
        <v>46387</v>
      </c>
      <c r="E1317" s="6" t="str" cm="1">
        <f t="array" ref="E1317">choice(Groupes!A:A,1,Settings!$B$16)</f>
        <v>G29</v>
      </c>
      <c r="F1317" s="6" t="str">
        <f t="shared" si="82"/>
        <v>G29</v>
      </c>
      <c r="G1317" s="6" t="str">
        <f t="shared" si="83"/>
        <v>Prof9</v>
      </c>
      <c r="H1317" s="6" t="str" cm="1">
        <f t="array" ref="H1317">choice(Referentiel!A:A,1,Settings!$B$16)</f>
        <v>Design des mondes ruraux</v>
      </c>
      <c r="I1317" s="6" t="str" cm="1">
        <f t="array" ref="I1317">choice(Referentiel!B:B,1,Settings!$B$16)</f>
        <v>5ème année Design Graphique S1</v>
      </c>
      <c r="J1317" s="6" t="str" cm="1">
        <f t="array" ref="J1317">choice(Referentiel!D:D,1,Settings!$B$16)</f>
        <v>L3</v>
      </c>
      <c r="K1317" s="6" t="str" cm="1">
        <f t="array" ref="K1317">choice(Professeurs!B:B,1,Settings!$B$16)</f>
        <v>Prof9</v>
      </c>
      <c r="L1317" s="5" t="str" cm="1">
        <f t="array" ref="L1317">choice(Referentiel!C:C,1,Settings!$B$16)</f>
        <v/>
      </c>
      <c r="M1317" s="5" t="str" cm="1">
        <f t="array" ref="M1317">choice(Referentiel!E:E,1,Settings!$B$16)</f>
        <v/>
      </c>
      <c r="N1317" s="5" t="str" cm="1">
        <f t="array" ref="N1317">choice(Settings!K:K,1,Settings!$B$16)</f>
        <v/>
      </c>
      <c r="P1317" s="5">
        <f t="shared" si="84"/>
        <v>1</v>
      </c>
    </row>
    <row r="1318" spans="1:16" ht="15.75" customHeight="1" x14ac:dyDescent="0.25">
      <c r="A1318" s="6" t="s">
        <v>1670</v>
      </c>
      <c r="B1318" s="6" cm="1">
        <f t="array" ref="B1318">alea_int(Settings!$B$10,1,Settings!$B$16)</f>
        <v>3</v>
      </c>
      <c r="C1318" s="8">
        <v>46023</v>
      </c>
      <c r="D1318" s="8">
        <f t="shared" si="81"/>
        <v>46387</v>
      </c>
      <c r="E1318" s="6" t="str" cm="1">
        <f t="array" ref="E1318">choice(Groupes!A:A,1,Settings!$B$16)</f>
        <v>G10</v>
      </c>
      <c r="F1318" s="6" t="str">
        <f t="shared" si="82"/>
        <v>G10</v>
      </c>
      <c r="G1318" s="6" t="str">
        <f t="shared" si="83"/>
        <v>Prof3</v>
      </c>
      <c r="H1318" s="6" t="str" cm="1">
        <f t="array" ref="H1318">choice(Referentiel!A:A,1,Settings!$B$16)</f>
        <v>Design des mondes ruraux</v>
      </c>
      <c r="I1318" s="6" t="str" cm="1">
        <f t="array" ref="I1318">choice(Referentiel!B:B,1,Settings!$B$16)</f>
        <v>4ème année Photo / Vidéo S1</v>
      </c>
      <c r="J1318" s="6" t="str" cm="1">
        <f t="array" ref="J1318">choice(Referentiel!D:D,1,Settings!$B$16)</f>
        <v>L3</v>
      </c>
      <c r="K1318" s="6" t="str" cm="1">
        <f t="array" ref="K1318">choice(Professeurs!B:B,1,Settings!$B$16)</f>
        <v>Prof3</v>
      </c>
      <c r="L1318" s="5" t="str" cm="1">
        <f t="array" ref="L1318">choice(Referentiel!C:C,1,Settings!$B$16)</f>
        <v/>
      </c>
      <c r="M1318" s="5" t="str" cm="1">
        <f t="array" ref="M1318">choice(Referentiel!E:E,1,Settings!$B$16)</f>
        <v/>
      </c>
      <c r="N1318" s="5" t="str" cm="1">
        <f t="array" ref="N1318">choice(Settings!K:K,1,Settings!$B$16)</f>
        <v>vendredi am</v>
      </c>
      <c r="P1318" s="5">
        <f t="shared" si="84"/>
        <v>5</v>
      </c>
    </row>
    <row r="1319" spans="1:16" ht="15.75" customHeight="1" x14ac:dyDescent="0.25">
      <c r="A1319" s="6" t="s">
        <v>1671</v>
      </c>
      <c r="B1319" s="6" cm="1">
        <f t="array" ref="B1319">alea_int(Settings!$B$10,1,Settings!$B$16)</f>
        <v>3</v>
      </c>
      <c r="C1319" s="8">
        <v>46023</v>
      </c>
      <c r="D1319" s="8">
        <f t="shared" si="81"/>
        <v>46387</v>
      </c>
      <c r="E1319" s="6" t="str" cm="1">
        <f t="array" ref="E1319">choice(Groupes!A:A,1,Settings!$B$16)</f>
        <v>G21</v>
      </c>
      <c r="F1319" s="6" t="str">
        <f t="shared" si="82"/>
        <v>G21</v>
      </c>
      <c r="G1319" s="6" t="str">
        <f t="shared" si="83"/>
        <v>Prof53</v>
      </c>
      <c r="H1319" s="6" t="str" cm="1">
        <f t="array" ref="H1319">choice(Referentiel!A:A,1,Settings!$B$16)</f>
        <v>Gr ART, DESIGN, SOCIETE</v>
      </c>
      <c r="I1319" s="6" t="str" cm="1">
        <f t="array" ref="I1319">choice(Referentiel!B:B,1,Settings!$B$16)</f>
        <v>Césure S1</v>
      </c>
      <c r="J1319" s="6" t="str" cm="1">
        <f t="array" ref="J1319">choice(Referentiel!D:D,1,Settings!$B$16)</f>
        <v>L1</v>
      </c>
      <c r="K1319" s="6" t="str" cm="1">
        <f t="array" ref="K1319">choice(Professeurs!B:B,1,Settings!$B$16)</f>
        <v>Prof53</v>
      </c>
      <c r="L1319" s="5" t="str" cm="1">
        <f t="array" ref="L1319">choice(Referentiel!C:C,1,Settings!$B$16)</f>
        <v/>
      </c>
      <c r="M1319" s="5" t="str" cm="1">
        <f t="array" ref="M1319">choice(Referentiel!E:E,1,Settings!$B$16)</f>
        <v/>
      </c>
      <c r="N1319" s="5" t="str" cm="1">
        <f t="array" ref="N1319">choice(Settings!K:K,1,Settings!$B$16)</f>
        <v>jeudi pm</v>
      </c>
      <c r="P1319" s="5">
        <f t="shared" si="84"/>
        <v>5</v>
      </c>
    </row>
    <row r="1320" spans="1:16" ht="15.75" customHeight="1" x14ac:dyDescent="0.25">
      <c r="A1320" s="6" t="s">
        <v>1672</v>
      </c>
      <c r="B1320" s="6" cm="1">
        <f t="array" ref="B1320">alea_int(Settings!$B$10,1,Settings!$B$16)</f>
        <v>3</v>
      </c>
      <c r="C1320" s="8">
        <v>46023</v>
      </c>
      <c r="D1320" s="8">
        <f t="shared" si="81"/>
        <v>46387</v>
      </c>
      <c r="E1320" s="6" t="str" cm="1">
        <f t="array" ref="E1320">choice(Groupes!A:A,1,Settings!$B$16)</f>
        <v>G3</v>
      </c>
      <c r="F1320" s="6" t="str">
        <f t="shared" si="82"/>
        <v>G3</v>
      </c>
      <c r="G1320" s="6" t="str">
        <f t="shared" si="83"/>
        <v>Prof47</v>
      </c>
      <c r="H1320" s="6" t="str" cm="1">
        <f t="array" ref="H1320">choice(Referentiel!A:A,1,Settings!$B$16)</f>
        <v>Gr SPATIAL MEDIA</v>
      </c>
      <c r="I1320" s="6" t="str" cm="1">
        <f t="array" ref="I1320">choice(Referentiel!B:B,1,Settings!$B$16)</f>
        <v>4ème année Cinéma d'Animation S2</v>
      </c>
      <c r="J1320" s="6" t="str" cm="1">
        <f t="array" ref="J1320">choice(Referentiel!D:D,1,Settings!$B$16)</f>
        <v>M1</v>
      </c>
      <c r="K1320" s="6" t="str" cm="1">
        <f t="array" ref="K1320">choice(Professeurs!B:B,1,Settings!$B$16)</f>
        <v>Prof47</v>
      </c>
      <c r="L1320" s="5" t="str" cm="1">
        <f t="array" ref="L1320">choice(Referentiel!C:C,1,Settings!$B$16)</f>
        <v/>
      </c>
      <c r="M1320" s="5" t="str" cm="1">
        <f t="array" ref="M1320">choice(Referentiel!E:E,1,Settings!$B$16)</f>
        <v/>
      </c>
      <c r="N1320" s="5" t="str" cm="1">
        <f t="array" ref="N1320">choice(Settings!K:K,1,Settings!$B$16)</f>
        <v>mercredi ap</v>
      </c>
      <c r="P1320" s="5">
        <f t="shared" si="84"/>
        <v>5</v>
      </c>
    </row>
    <row r="1321" spans="1:16" ht="15.75" customHeight="1" x14ac:dyDescent="0.25">
      <c r="A1321" s="6" t="s">
        <v>1673</v>
      </c>
      <c r="B1321" s="6" cm="1">
        <f t="array" ref="B1321">alea_int(Settings!$B$10,1,Settings!$B$16)</f>
        <v>2</v>
      </c>
      <c r="C1321" s="8">
        <v>46023</v>
      </c>
      <c r="D1321" s="8">
        <f t="shared" si="81"/>
        <v>46387</v>
      </c>
      <c r="E1321" s="6" t="str" cm="1">
        <f t="array" ref="E1321">choice(Groupes!A:A,1,Settings!$B$16)</f>
        <v>G8</v>
      </c>
      <c r="F1321" s="6" t="str">
        <f t="shared" si="82"/>
        <v>G8</v>
      </c>
      <c r="G1321" s="6" t="str">
        <f t="shared" si="83"/>
        <v>Prof14</v>
      </c>
      <c r="H1321" s="6" t="str" cm="1">
        <f t="array" ref="H1321">choice(Referentiel!A:A,1,Settings!$B$16)</f>
        <v>Design des mondes forestiers</v>
      </c>
      <c r="I1321" s="6" t="str" cm="1">
        <f t="array" ref="I1321">choice(Referentiel!B:B,1,Settings!$B$16)</f>
        <v>Césure S1</v>
      </c>
      <c r="J1321" s="6" t="str" cm="1">
        <f t="array" ref="J1321">choice(Referentiel!D:D,1,Settings!$B$16)</f>
        <v>M2</v>
      </c>
      <c r="K1321" s="6" t="str" cm="1">
        <f t="array" ref="K1321">choice(Professeurs!B:B,1,Settings!$B$16)</f>
        <v>Prof14</v>
      </c>
      <c r="L1321" s="5" t="str" cm="1">
        <f t="array" ref="L1321">choice(Referentiel!C:C,1,Settings!$B$16)</f>
        <v/>
      </c>
      <c r="M1321" s="5" t="str" cm="1">
        <f t="array" ref="M1321">choice(Referentiel!E:E,1,Settings!$B$16)</f>
        <v/>
      </c>
      <c r="N1321" s="5" t="str" cm="1">
        <f t="array" ref="N1321">choice(Settings!K:K,1,Settings!$B$16)</f>
        <v>mercredi pm</v>
      </c>
      <c r="P1321" s="5">
        <f t="shared" si="84"/>
        <v>4</v>
      </c>
    </row>
    <row r="1322" spans="1:16" ht="15.75" customHeight="1" x14ac:dyDescent="0.25">
      <c r="A1322" s="6" t="s">
        <v>1674</v>
      </c>
      <c r="B1322" s="6" cm="1">
        <f t="array" ref="B1322">alea_int(Settings!$B$10,1,Settings!$B$16)</f>
        <v>1</v>
      </c>
      <c r="C1322" s="8">
        <v>46023</v>
      </c>
      <c r="D1322" s="8">
        <f t="shared" si="81"/>
        <v>46387</v>
      </c>
      <c r="E1322" s="6" t="str" cm="1">
        <f t="array" ref="E1322">choice(Groupes!A:A,1,Settings!$B$16)</f>
        <v>G10</v>
      </c>
      <c r="F1322" s="6" t="str">
        <f t="shared" si="82"/>
        <v>G10</v>
      </c>
      <c r="G1322" s="6" t="str">
        <f t="shared" si="83"/>
        <v>Prof24</v>
      </c>
      <c r="H1322" s="6" t="str" cm="1">
        <f t="array" ref="H1322">choice(Referentiel!A:A,1,Settings!$B$16)</f>
        <v>Gr SOFT MATTERS</v>
      </c>
      <c r="I1322" s="6" t="str" cm="1">
        <f t="array" ref="I1322">choice(Referentiel!B:B,1,Settings!$B$16)</f>
        <v>4ème année Image Imprimée S2</v>
      </c>
      <c r="J1322" s="6" t="str" cm="1">
        <f t="array" ref="J1322">choice(Referentiel!D:D,1,Settings!$B$16)</f>
        <v>L3</v>
      </c>
      <c r="K1322" s="6" t="str" cm="1">
        <f t="array" ref="K1322">choice(Professeurs!B:B,1,Settings!$B$16)</f>
        <v>Prof24</v>
      </c>
      <c r="L1322" s="5" t="str" cm="1">
        <f t="array" ref="L1322">choice(Referentiel!C:C,1,Settings!$B$16)</f>
        <v/>
      </c>
      <c r="M1322" s="5" t="str" cm="1">
        <f t="array" ref="M1322">choice(Referentiel!E:E,1,Settings!$B$16)</f>
        <v/>
      </c>
      <c r="N1322" s="5" t="str" cm="1">
        <f t="array" ref="N1322">choice(Settings!K:K,1,Settings!$B$16)</f>
        <v/>
      </c>
      <c r="P1322" s="5">
        <f t="shared" si="84"/>
        <v>1</v>
      </c>
    </row>
    <row r="1323" spans="1:16" ht="15.75" customHeight="1" x14ac:dyDescent="0.25">
      <c r="A1323" s="6" t="s">
        <v>1675</v>
      </c>
      <c r="B1323" s="6" cm="1">
        <f t="array" ref="B1323">alea_int(Settings!$B$10,1,Settings!$B$16)</f>
        <v>3</v>
      </c>
      <c r="C1323" s="8">
        <v>46023</v>
      </c>
      <c r="D1323" s="8">
        <f t="shared" si="81"/>
        <v>46387</v>
      </c>
      <c r="E1323" s="6" t="str" cm="1">
        <f t="array" ref="E1323">choice(Groupes!A:A,1,Settings!$B$16)</f>
        <v>G22</v>
      </c>
      <c r="F1323" s="6" t="str">
        <f t="shared" si="82"/>
        <v>G22</v>
      </c>
      <c r="G1323" s="6" t="str">
        <f t="shared" si="83"/>
        <v>Prof49</v>
      </c>
      <c r="H1323" s="6" t="str" cm="1">
        <f t="array" ref="H1323">choice(Referentiel!A:A,1,Settings!$B$16)</f>
        <v>Architecture Intérieure</v>
      </c>
      <c r="I1323" s="6" t="str" cm="1">
        <f t="array" ref="I1323">choice(Referentiel!B:B,1,Settings!$B$16)</f>
        <v>2ème année Scénographie S1</v>
      </c>
      <c r="J1323" s="6" t="str" cm="1">
        <f t="array" ref="J1323">choice(Referentiel!D:D,1,Settings!$B$16)</f>
        <v>L2</v>
      </c>
      <c r="K1323" s="6" t="str" cm="1">
        <f t="array" ref="K1323">choice(Professeurs!B:B,1,Settings!$B$16)</f>
        <v>Prof49</v>
      </c>
      <c r="L1323" s="5" t="str" cm="1">
        <f t="array" ref="L1323">choice(Referentiel!C:C,1,Settings!$B$16)</f>
        <v/>
      </c>
      <c r="M1323" s="5" t="str" cm="1">
        <f t="array" ref="M1323">choice(Referentiel!E:E,1,Settings!$B$16)</f>
        <v/>
      </c>
      <c r="N1323" s="5" t="str" cm="1">
        <f t="array" ref="N1323">choice(Settings!K:K,1,Settings!$B$16)</f>
        <v>jeudi pm</v>
      </c>
      <c r="P1323" s="5">
        <f t="shared" si="84"/>
        <v>5</v>
      </c>
    </row>
    <row r="1324" spans="1:16" ht="15.75" customHeight="1" x14ac:dyDescent="0.25">
      <c r="A1324" s="6" t="s">
        <v>1676</v>
      </c>
      <c r="B1324" s="6" cm="1">
        <f t="array" ref="B1324">alea_int(Settings!$B$10,1,Settings!$B$16)</f>
        <v>1</v>
      </c>
      <c r="C1324" s="8">
        <v>46023</v>
      </c>
      <c r="D1324" s="8">
        <f t="shared" si="81"/>
        <v>46387</v>
      </c>
      <c r="E1324" s="6" t="str" cm="1">
        <f t="array" ref="E1324">choice(Groupes!A:A,1,Settings!$B$16)</f>
        <v>G8</v>
      </c>
      <c r="F1324" s="6" t="str">
        <f t="shared" si="82"/>
        <v>G8</v>
      </c>
      <c r="G1324" s="6" t="str">
        <f t="shared" si="83"/>
        <v>Prof17</v>
      </c>
      <c r="H1324" s="6" t="str" cm="1">
        <f t="array" ref="H1324">choice(Referentiel!A:A,1,Settings!$B$16)</f>
        <v>Design Vêtement</v>
      </c>
      <c r="I1324" s="6" t="str" cm="1">
        <f t="array" ref="I1324">choice(Referentiel!B:B,1,Settings!$B$16)</f>
        <v>Césure S2</v>
      </c>
      <c r="J1324" s="6" t="str" cm="1">
        <f t="array" ref="J1324">choice(Referentiel!D:D,1,Settings!$B$16)</f>
        <v>L2</v>
      </c>
      <c r="K1324" s="6" t="str" cm="1">
        <f t="array" ref="K1324">choice(Professeurs!B:B,1,Settings!$B$16)</f>
        <v>Prof17</v>
      </c>
      <c r="L1324" s="5" t="str" cm="1">
        <f t="array" ref="L1324">choice(Referentiel!C:C,1,Settings!$B$16)</f>
        <v/>
      </c>
      <c r="M1324" s="5" t="str" cm="1">
        <f t="array" ref="M1324">choice(Referentiel!E:E,1,Settings!$B$16)</f>
        <v/>
      </c>
      <c r="N1324" s="5" t="str" cm="1">
        <f t="array" ref="N1324">choice(Settings!K:K,1,Settings!$B$16)</f>
        <v>mercredi pm</v>
      </c>
      <c r="P1324" s="5">
        <f t="shared" si="84"/>
        <v>3</v>
      </c>
    </row>
    <row r="1325" spans="1:16" ht="15.75" customHeight="1" x14ac:dyDescent="0.25">
      <c r="A1325" s="6" t="s">
        <v>1677</v>
      </c>
      <c r="B1325" s="6" cm="1">
        <f t="array" ref="B1325">alea_int(Settings!$B$10,1,Settings!$B$16)</f>
        <v>2</v>
      </c>
      <c r="C1325" s="8">
        <v>46023</v>
      </c>
      <c r="D1325" s="8">
        <f t="shared" si="81"/>
        <v>46387</v>
      </c>
      <c r="E1325" s="6" t="str" cm="1">
        <f t="array" ref="E1325">choice(Groupes!A:A,1,Settings!$B$16)</f>
        <v>G14</v>
      </c>
      <c r="F1325" s="6" t="str">
        <f t="shared" si="82"/>
        <v>G14</v>
      </c>
      <c r="G1325" s="6" t="str">
        <f t="shared" si="83"/>
        <v>Prof31</v>
      </c>
      <c r="H1325" s="6" t="str" cm="1">
        <f t="array" ref="H1325">choice(Referentiel!A:A,1,Settings!$B$16)</f>
        <v>Gr ART, DESIGN, SOCIETE</v>
      </c>
      <c r="I1325" s="6" t="str" cm="1">
        <f t="array" ref="I1325">choice(Referentiel!B:B,1,Settings!$B$16)</f>
        <v>5ème année Design Graphique S1</v>
      </c>
      <c r="J1325" s="6" t="str" cm="1">
        <f t="array" ref="J1325">choice(Referentiel!D:D,1,Settings!$B$16)</f>
        <v>L3</v>
      </c>
      <c r="K1325" s="6" t="str" cm="1">
        <f t="array" ref="K1325">choice(Professeurs!B:B,1,Settings!$B$16)</f>
        <v>Prof31</v>
      </c>
      <c r="L1325" s="5" t="str" cm="1">
        <f t="array" ref="L1325">choice(Referentiel!C:C,1,Settings!$B$16)</f>
        <v>ordinateur</v>
      </c>
      <c r="M1325" s="5" t="str" cm="1">
        <f t="array" ref="M1325">choice(Referentiel!E:E,1,Settings!$B$16)</f>
        <v/>
      </c>
      <c r="N1325" s="5" t="str" cm="1">
        <f t="array" ref="N1325">choice(Settings!K:K,1,Settings!$B$16)</f>
        <v/>
      </c>
      <c r="P1325" s="5">
        <f t="shared" si="84"/>
        <v>2</v>
      </c>
    </row>
    <row r="1326" spans="1:16" ht="15.75" customHeight="1" x14ac:dyDescent="0.25">
      <c r="A1326" s="6" t="s">
        <v>1678</v>
      </c>
      <c r="B1326" s="6" cm="1">
        <f t="array" ref="B1326">alea_int(Settings!$B$10,1,Settings!$B$16)</f>
        <v>2</v>
      </c>
      <c r="C1326" s="8">
        <v>46023</v>
      </c>
      <c r="D1326" s="8">
        <f t="shared" si="81"/>
        <v>46387</v>
      </c>
      <c r="E1326" s="6" t="str" cm="1">
        <f t="array" ref="E1326">choice(Groupes!A:A,1,Settings!$B$16)</f>
        <v>G20</v>
      </c>
      <c r="F1326" s="6" t="str">
        <f t="shared" si="82"/>
        <v>G20</v>
      </c>
      <c r="G1326" s="6" t="str">
        <f t="shared" si="83"/>
        <v>Prof44</v>
      </c>
      <c r="H1326" s="6" t="str" cm="1">
        <f t="array" ref="H1326">choice(Referentiel!A:A,1,Settings!$B$16)</f>
        <v>Design Objet</v>
      </c>
      <c r="I1326" s="6" t="str" cm="1">
        <f t="array" ref="I1326">choice(Referentiel!B:B,1,Settings!$B$16)</f>
        <v>4ème année Design Objet S1</v>
      </c>
      <c r="J1326" s="6" t="str" cm="1">
        <f t="array" ref="J1326">choice(Referentiel!D:D,1,Settings!$B$16)</f>
        <v>L1</v>
      </c>
      <c r="K1326" s="6" t="str" cm="1">
        <f t="array" ref="K1326">choice(Professeurs!B:B,1,Settings!$B$16)</f>
        <v>Prof44</v>
      </c>
      <c r="L1326" s="5" t="str" cm="1">
        <f t="array" ref="L1326">choice(Referentiel!C:C,1,Settings!$B$16)</f>
        <v/>
      </c>
      <c r="M1326" s="5" t="str" cm="1">
        <f t="array" ref="M1326">choice(Referentiel!E:E,1,Settings!$B$16)</f>
        <v/>
      </c>
      <c r="N1326" s="5" t="str" cm="1">
        <f t="array" ref="N1326">choice(Settings!K:K,1,Settings!$B$16)</f>
        <v>mercredi pm</v>
      </c>
      <c r="P1326" s="5">
        <f t="shared" si="84"/>
        <v>4</v>
      </c>
    </row>
    <row r="1327" spans="1:16" ht="15.75" customHeight="1" x14ac:dyDescent="0.25">
      <c r="A1327" s="6" t="s">
        <v>1679</v>
      </c>
      <c r="B1327" s="6" cm="1">
        <f t="array" ref="B1327">alea_int(Settings!$B$10,1,Settings!$B$16)</f>
        <v>1</v>
      </c>
      <c r="C1327" s="8">
        <v>46023</v>
      </c>
      <c r="D1327" s="8">
        <f t="shared" si="81"/>
        <v>46387</v>
      </c>
      <c r="E1327" s="6" t="str" cm="1">
        <f t="array" ref="E1327">choice(Groupes!A:A,1,Settings!$B$16)</f>
        <v>G8</v>
      </c>
      <c r="F1327" s="6" t="str">
        <f t="shared" si="82"/>
        <v>G8</v>
      </c>
      <c r="G1327" s="6" t="str">
        <f t="shared" si="83"/>
        <v>Prof39</v>
      </c>
      <c r="H1327" s="6" t="str" cm="1">
        <f t="array" ref="H1327">choice(Referentiel!A:A,1,Settings!$B$16)</f>
        <v>6ème année atelier</v>
      </c>
      <c r="I1327" s="6" t="str" cm="1">
        <f t="array" ref="I1327">choice(Referentiel!B:B,1,Settings!$B$16)</f>
        <v>5ème année Design Graphique S2</v>
      </c>
      <c r="J1327" s="6" t="str" cm="1">
        <f t="array" ref="J1327">choice(Referentiel!D:D,1,Settings!$B$16)</f>
        <v>M2</v>
      </c>
      <c r="K1327" s="6" t="str" cm="1">
        <f t="array" ref="K1327">choice(Professeurs!B:B,1,Settings!$B$16)</f>
        <v>Prof39</v>
      </c>
      <c r="L1327" s="5" t="str" cm="1">
        <f t="array" ref="L1327">choice(Referentiel!C:C,1,Settings!$B$16)</f>
        <v/>
      </c>
      <c r="M1327" s="5" t="str" cm="1">
        <f t="array" ref="M1327">choice(Referentiel!E:E,1,Settings!$B$16)</f>
        <v/>
      </c>
      <c r="N1327" s="5" t="str" cm="1">
        <f t="array" ref="N1327">choice(Settings!K:K,1,Settings!$B$16)</f>
        <v/>
      </c>
      <c r="P1327" s="5">
        <f t="shared" si="84"/>
        <v>1</v>
      </c>
    </row>
    <row r="1328" spans="1:16" ht="15.75" customHeight="1" x14ac:dyDescent="0.25">
      <c r="A1328" s="6" t="s">
        <v>1680</v>
      </c>
      <c r="B1328" s="6" cm="1">
        <f t="array" ref="B1328">alea_int(Settings!$B$10,1,Settings!$B$16)</f>
        <v>2</v>
      </c>
      <c r="C1328" s="8">
        <v>46023</v>
      </c>
      <c r="D1328" s="8">
        <f t="shared" si="81"/>
        <v>46387</v>
      </c>
      <c r="E1328" s="6" t="str" cm="1">
        <f t="array" ref="E1328">choice(Groupes!A:A,1,Settings!$B$16)</f>
        <v>G5</v>
      </c>
      <c r="F1328" s="6" t="str">
        <f t="shared" si="82"/>
        <v>G5</v>
      </c>
      <c r="G1328" s="6" t="str">
        <f t="shared" si="83"/>
        <v>Prof17</v>
      </c>
      <c r="H1328" s="6" t="str" cm="1">
        <f t="array" ref="H1328">choice(Referentiel!A:A,1,Settings!$B$16)</f>
        <v>Architecture Intérieure</v>
      </c>
      <c r="I1328" s="6" t="str" cm="1">
        <f t="array" ref="I1328">choice(Referentiel!B:B,1,Settings!$B$16)</f>
        <v>2ème année Cinéma d'Animation S2</v>
      </c>
      <c r="J1328" s="6" t="str" cm="1">
        <f t="array" ref="J1328">choice(Referentiel!D:D,1,Settings!$B$16)</f>
        <v>M1</v>
      </c>
      <c r="K1328" s="6" t="str" cm="1">
        <f t="array" ref="K1328">choice(Professeurs!B:B,1,Settings!$B$16)</f>
        <v>Prof17</v>
      </c>
      <c r="L1328" s="5" t="str" cm="1">
        <f t="array" ref="L1328">choice(Referentiel!C:C,1,Settings!$B$16)</f>
        <v/>
      </c>
      <c r="M1328" s="5" t="str" cm="1">
        <f t="array" ref="M1328">choice(Referentiel!E:E,1,Settings!$B$16)</f>
        <v/>
      </c>
      <c r="N1328" s="5" t="str" cm="1">
        <f t="array" ref="N1328">choice(Settings!K:K,1,Settings!$B$16)</f>
        <v/>
      </c>
      <c r="P1328" s="5">
        <f t="shared" si="84"/>
        <v>2</v>
      </c>
    </row>
    <row r="1329" spans="1:16" ht="15.75" customHeight="1" x14ac:dyDescent="0.25">
      <c r="A1329" s="6" t="s">
        <v>1681</v>
      </c>
      <c r="B1329" s="6" cm="1">
        <f t="array" ref="B1329">alea_int(Settings!$B$10,1,Settings!$B$16)</f>
        <v>3</v>
      </c>
      <c r="C1329" s="8">
        <v>46023</v>
      </c>
      <c r="D1329" s="8">
        <f t="shared" si="81"/>
        <v>46387</v>
      </c>
      <c r="E1329" s="6" t="str" cm="1">
        <f t="array" ref="E1329">choice(Groupes!A:A,1,Settings!$B$16)</f>
        <v>G28</v>
      </c>
      <c r="F1329" s="6" t="str">
        <f t="shared" si="82"/>
        <v>G28</v>
      </c>
      <c r="G1329" s="6" t="str">
        <f t="shared" si="83"/>
        <v>Prof47</v>
      </c>
      <c r="H1329" s="6" t="str" cm="1">
        <f t="array" ref="H1329">choice(Referentiel!A:A,1,Settings!$B$16)</f>
        <v>Photo / Vidéo</v>
      </c>
      <c r="I1329" s="6" t="str" cm="1">
        <f t="array" ref="I1329">choice(Referentiel!B:B,1,Settings!$B$16)</f>
        <v>5ème année Design Vêtement S1</v>
      </c>
      <c r="J1329" s="6" t="str" cm="1">
        <f t="array" ref="J1329">choice(Referentiel!D:D,1,Settings!$B$16)</f>
        <v>M1</v>
      </c>
      <c r="K1329" s="6" t="str" cm="1">
        <f t="array" ref="K1329">choice(Professeurs!B:B,1,Settings!$B$16)</f>
        <v>Prof47</v>
      </c>
      <c r="L1329" s="5" t="str" cm="1">
        <f t="array" ref="L1329">choice(Referentiel!C:C,1,Settings!$B$16)</f>
        <v/>
      </c>
      <c r="M1329" s="5" t="str" cm="1">
        <f t="array" ref="M1329">choice(Referentiel!E:E,1,Settings!$B$16)</f>
        <v/>
      </c>
      <c r="N1329" s="5" t="str" cm="1">
        <f t="array" ref="N1329">choice(Settings!K:K,1,Settings!$B$16)</f>
        <v/>
      </c>
      <c r="P1329" s="5">
        <f t="shared" si="84"/>
        <v>3</v>
      </c>
    </row>
    <row r="1330" spans="1:16" ht="15.75" customHeight="1" x14ac:dyDescent="0.25">
      <c r="A1330" s="6" t="s">
        <v>1682</v>
      </c>
      <c r="B1330" s="6" cm="1">
        <f t="array" ref="B1330">alea_int(Settings!$B$10,1,Settings!$B$16)</f>
        <v>2</v>
      </c>
      <c r="C1330" s="8">
        <v>46023</v>
      </c>
      <c r="D1330" s="8">
        <f t="shared" si="81"/>
        <v>46387</v>
      </c>
      <c r="E1330" s="6" t="str" cm="1">
        <f t="array" ref="E1330">choice(Groupes!A:A,1,Settings!$B$16)</f>
        <v>G29</v>
      </c>
      <c r="F1330" s="6" t="str">
        <f t="shared" si="82"/>
        <v>G29</v>
      </c>
      <c r="G1330" s="6" t="str">
        <f t="shared" si="83"/>
        <v>Prof31</v>
      </c>
      <c r="H1330" s="6" t="str" cm="1">
        <f t="array" ref="H1330">choice(Referentiel!A:A,1,Settings!$B$16)</f>
        <v>6ème ANNÉE STAGE</v>
      </c>
      <c r="I1330" s="6" t="str" cm="1">
        <f t="array" ref="I1330">choice(Referentiel!B:B,1,Settings!$B$16)</f>
        <v>1ère Année Groupe 1 S1</v>
      </c>
      <c r="J1330" s="6" t="str" cm="1">
        <f t="array" ref="J1330">choice(Referentiel!D:D,1,Settings!$B$16)</f>
        <v>L2</v>
      </c>
      <c r="K1330" s="6" t="str" cm="1">
        <f t="array" ref="K1330">choice(Professeurs!B:B,1,Settings!$B$16)</f>
        <v>Prof31</v>
      </c>
      <c r="L1330" s="5" t="str" cm="1">
        <f t="array" ref="L1330">choice(Referentiel!C:C,1,Settings!$B$16)</f>
        <v>pupitre</v>
      </c>
      <c r="M1330" s="5" t="str" cm="1">
        <f t="array" ref="M1330">choice(Referentiel!E:E,1,Settings!$B$16)</f>
        <v/>
      </c>
      <c r="N1330" s="5" t="str" cm="1">
        <f t="array" ref="N1330">choice(Settings!K:K,1,Settings!$B$16)</f>
        <v>lundi am</v>
      </c>
      <c r="P1330" s="5">
        <f t="shared" si="84"/>
        <v>4</v>
      </c>
    </row>
    <row r="1331" spans="1:16" ht="15.75" customHeight="1" x14ac:dyDescent="0.25">
      <c r="A1331" s="6" t="s">
        <v>1683</v>
      </c>
      <c r="B1331" s="6" cm="1">
        <f t="array" ref="B1331">alea_int(Settings!$B$10,1,Settings!$B$16)</f>
        <v>1</v>
      </c>
      <c r="C1331" s="8">
        <v>46023</v>
      </c>
      <c r="D1331" s="8">
        <f t="shared" si="81"/>
        <v>46387</v>
      </c>
      <c r="E1331" s="6" t="str" cm="1">
        <f t="array" ref="E1331">choice(Groupes!A:A,1,Settings!$B$16)</f>
        <v>G28</v>
      </c>
      <c r="F1331" s="6" t="str">
        <f t="shared" si="82"/>
        <v>G28</v>
      </c>
      <c r="G1331" s="6" t="str">
        <f t="shared" si="83"/>
        <v>Prof38</v>
      </c>
      <c r="H1331" s="6" t="str" cm="1">
        <f t="array" ref="H1331">choice(Referentiel!A:A,1,Settings!$B$16)</f>
        <v>6ème année atelier</v>
      </c>
      <c r="I1331" s="6" t="str" cm="1">
        <f t="array" ref="I1331">choice(Referentiel!B:B,1,Settings!$B$16)</f>
        <v>5ème année Architecture Intérieure S1</v>
      </c>
      <c r="J1331" s="6" t="str" cm="1">
        <f t="array" ref="J1331">choice(Referentiel!D:D,1,Settings!$B$16)</f>
        <v>L2</v>
      </c>
      <c r="K1331" s="6" t="str" cm="1">
        <f t="array" ref="K1331">choice(Professeurs!B:B,1,Settings!$B$16)</f>
        <v>Prof38</v>
      </c>
      <c r="L1331" s="5" t="str" cm="1">
        <f t="array" ref="L1331">choice(Referentiel!C:C,1,Settings!$B$16)</f>
        <v/>
      </c>
      <c r="M1331" s="5" t="str" cm="1">
        <f t="array" ref="M1331">choice(Referentiel!E:E,1,Settings!$B$16)</f>
        <v/>
      </c>
      <c r="N1331" s="5" t="str" cm="1">
        <f t="array" ref="N1331">choice(Settings!K:K,1,Settings!$B$16)</f>
        <v/>
      </c>
      <c r="P1331" s="5">
        <f t="shared" si="84"/>
        <v>1</v>
      </c>
    </row>
    <row r="1332" spans="1:16" ht="15.75" customHeight="1" x14ac:dyDescent="0.25">
      <c r="A1332" s="6" t="s">
        <v>1684</v>
      </c>
      <c r="B1332" s="6" cm="1">
        <f t="array" ref="B1332">alea_int(Settings!$B$10,1,Settings!$B$16)</f>
        <v>1</v>
      </c>
      <c r="C1332" s="8">
        <v>46023</v>
      </c>
      <c r="D1332" s="8">
        <f t="shared" si="81"/>
        <v>46387</v>
      </c>
      <c r="E1332" s="6" t="str" cm="1">
        <f t="array" ref="E1332">choice(Groupes!A:A,1,Settings!$B$16)</f>
        <v>G17</v>
      </c>
      <c r="F1332" s="6" t="str">
        <f t="shared" si="82"/>
        <v>G17</v>
      </c>
      <c r="G1332" s="6" t="str">
        <f t="shared" si="83"/>
        <v>Prof44</v>
      </c>
      <c r="H1332" s="6" t="str" cm="1">
        <f t="array" ref="H1332">choice(Referentiel!A:A,1,Settings!$B$16)</f>
        <v>Design des mondes urbains</v>
      </c>
      <c r="I1332" s="6" t="str" cm="1">
        <f t="array" ref="I1332">choice(Referentiel!B:B,1,Settings!$B$16)</f>
        <v>5ème année Design Textile et Matière S1</v>
      </c>
      <c r="J1332" s="6" t="str" cm="1">
        <f t="array" ref="J1332">choice(Referentiel!D:D,1,Settings!$B$16)</f>
        <v>L2</v>
      </c>
      <c r="K1332" s="6" t="str" cm="1">
        <f t="array" ref="K1332">choice(Professeurs!B:B,1,Settings!$B$16)</f>
        <v>Prof44</v>
      </c>
      <c r="L1332" s="5" t="str" cm="1">
        <f t="array" ref="L1332">choice(Referentiel!C:C,1,Settings!$B$16)</f>
        <v/>
      </c>
      <c r="M1332" s="5" t="str" cm="1">
        <f t="array" ref="M1332">choice(Referentiel!E:E,1,Settings!$B$16)</f>
        <v/>
      </c>
      <c r="N1332" s="5" t="str" cm="1">
        <f t="array" ref="N1332">choice(Settings!K:K,1,Settings!$B$16)</f>
        <v/>
      </c>
      <c r="P1332" s="5">
        <f t="shared" si="84"/>
        <v>1</v>
      </c>
    </row>
    <row r="1333" spans="1:16" ht="15.75" customHeight="1" x14ac:dyDescent="0.25">
      <c r="A1333" s="6" t="s">
        <v>1685</v>
      </c>
      <c r="B1333" s="6" cm="1">
        <f t="array" ref="B1333">alea_int(Settings!$B$10,1,Settings!$B$16)</f>
        <v>2</v>
      </c>
      <c r="C1333" s="8">
        <v>46023</v>
      </c>
      <c r="D1333" s="8">
        <f t="shared" si="81"/>
        <v>46387</v>
      </c>
      <c r="E1333" s="6" t="str" cm="1">
        <f t="array" ref="E1333">choice(Groupes!A:A,1,Settings!$B$16)</f>
        <v>G5</v>
      </c>
      <c r="F1333" s="6" t="str">
        <f t="shared" si="82"/>
        <v>G5</v>
      </c>
      <c r="G1333" s="6" t="str">
        <f t="shared" si="83"/>
        <v>Prof38</v>
      </c>
      <c r="H1333" s="6" t="str" cm="1">
        <f t="array" ref="H1333">choice(Referentiel!A:A,1,Settings!$B$16)</f>
        <v>Art-Espace</v>
      </c>
      <c r="I1333" s="6" t="str" cm="1">
        <f t="array" ref="I1333">choice(Referentiel!B:B,1,Settings!$B$16)</f>
        <v>5ème année Cinéma d'Animation S2</v>
      </c>
      <c r="J1333" s="6" t="str" cm="1">
        <f t="array" ref="J1333">choice(Referentiel!D:D,1,Settings!$B$16)</f>
        <v>L3</v>
      </c>
      <c r="K1333" s="6" t="str" cm="1">
        <f t="array" ref="K1333">choice(Professeurs!B:B,1,Settings!$B$16)</f>
        <v>Prof38</v>
      </c>
      <c r="L1333" s="5" t="str" cm="1">
        <f t="array" ref="L1333">choice(Referentiel!C:C,1,Settings!$B$16)</f>
        <v/>
      </c>
      <c r="M1333" s="5" t="str" cm="1">
        <f t="array" ref="M1333">choice(Referentiel!E:E,1,Settings!$B$16)</f>
        <v/>
      </c>
      <c r="N1333" s="5" t="str" cm="1">
        <f t="array" ref="N1333">choice(Settings!K:K,1,Settings!$B$16)</f>
        <v>vendredi pm</v>
      </c>
      <c r="P1333" s="5">
        <f t="shared" si="84"/>
        <v>4</v>
      </c>
    </row>
    <row r="1334" spans="1:16" ht="15.75" customHeight="1" x14ac:dyDescent="0.25">
      <c r="A1334" s="6" t="s">
        <v>1686</v>
      </c>
      <c r="B1334" s="6" cm="1">
        <f t="array" ref="B1334">alea_int(Settings!$B$10,1,Settings!$B$16)</f>
        <v>1</v>
      </c>
      <c r="C1334" s="8">
        <v>46023</v>
      </c>
      <c r="D1334" s="8">
        <f t="shared" si="81"/>
        <v>46387</v>
      </c>
      <c r="E1334" s="6" t="str" cm="1">
        <f t="array" ref="E1334">choice(Groupes!A:A,1,Settings!$B$16)</f>
        <v>G25</v>
      </c>
      <c r="F1334" s="6" t="str">
        <f t="shared" si="82"/>
        <v>G25</v>
      </c>
      <c r="G1334" s="6" t="str">
        <f t="shared" si="83"/>
        <v>Prof43</v>
      </c>
      <c r="H1334" s="6" t="str" cm="1">
        <f t="array" ref="H1334">choice(Referentiel!A:A,1,Settings!$B$16)</f>
        <v>Gr TERRITOIRES</v>
      </c>
      <c r="I1334" s="6" t="str" cm="1">
        <f t="array" ref="I1334">choice(Referentiel!B:B,1,Settings!$B$16)</f>
        <v>2ème année Architecture Intérieure S2</v>
      </c>
      <c r="J1334" s="6" t="str" cm="1">
        <f t="array" ref="J1334">choice(Referentiel!D:D,1,Settings!$B$16)</f>
        <v>M1</v>
      </c>
      <c r="K1334" s="6" t="str" cm="1">
        <f t="array" ref="K1334">choice(Professeurs!B:B,1,Settings!$B$16)</f>
        <v>Prof43</v>
      </c>
      <c r="L1334" s="5" t="str" cm="1">
        <f t="array" ref="L1334">choice(Referentiel!C:C,1,Settings!$B$16)</f>
        <v/>
      </c>
      <c r="M1334" s="5" t="str" cm="1">
        <f t="array" ref="M1334">choice(Referentiel!E:E,1,Settings!$B$16)</f>
        <v>Salle13</v>
      </c>
      <c r="N1334" s="5" t="str" cm="1">
        <f t="array" ref="N1334">choice(Settings!K:K,1,Settings!$B$16)</f>
        <v/>
      </c>
      <c r="P1334" s="5">
        <f t="shared" si="84"/>
        <v>3</v>
      </c>
    </row>
    <row r="1335" spans="1:16" ht="15.75" customHeight="1" x14ac:dyDescent="0.25">
      <c r="A1335" s="6" t="s">
        <v>1687</v>
      </c>
      <c r="B1335" s="6" cm="1">
        <f t="array" ref="B1335">alea_int(Settings!$B$10,1,Settings!$B$16)</f>
        <v>3</v>
      </c>
      <c r="C1335" s="8">
        <v>46023</v>
      </c>
      <c r="D1335" s="8">
        <f t="shared" si="81"/>
        <v>46387</v>
      </c>
      <c r="E1335" s="6" t="str" cm="1">
        <f t="array" ref="E1335">choice(Groupes!A:A,1,Settings!$B$16)</f>
        <v>G22</v>
      </c>
      <c r="F1335" s="6" t="str">
        <f t="shared" si="82"/>
        <v>G22</v>
      </c>
      <c r="G1335" s="6" t="str">
        <f t="shared" si="83"/>
        <v>Prof19</v>
      </c>
      <c r="H1335" s="6" t="str" cm="1">
        <f t="array" ref="H1335">choice(Referentiel!A:A,1,Settings!$B$16)</f>
        <v>Design des mondes urbains</v>
      </c>
      <c r="I1335" s="6" t="str" cm="1">
        <f t="array" ref="I1335">choice(Referentiel!B:B,1,Settings!$B$16)</f>
        <v>5ème année Scénographie S1</v>
      </c>
      <c r="J1335" s="6" t="str" cm="1">
        <f t="array" ref="J1335">choice(Referentiel!D:D,1,Settings!$B$16)</f>
        <v>M2</v>
      </c>
      <c r="K1335" s="6" t="str" cm="1">
        <f t="array" ref="K1335">choice(Professeurs!B:B,1,Settings!$B$16)</f>
        <v>Prof19</v>
      </c>
      <c r="L1335" s="5" t="str" cm="1">
        <f t="array" ref="L1335">choice(Referentiel!C:C,1,Settings!$B$16)</f>
        <v/>
      </c>
      <c r="M1335" s="5" t="str" cm="1">
        <f t="array" ref="M1335">choice(Referentiel!E:E,1,Settings!$B$16)</f>
        <v/>
      </c>
      <c r="N1335" s="5" t="str" cm="1">
        <f t="array" ref="N1335">choice(Settings!K:K,1,Settings!$B$16)</f>
        <v/>
      </c>
      <c r="P1335" s="5">
        <f t="shared" si="84"/>
        <v>3</v>
      </c>
    </row>
    <row r="1336" spans="1:16" ht="15.75" customHeight="1" x14ac:dyDescent="0.25">
      <c r="A1336" s="6" t="s">
        <v>1688</v>
      </c>
      <c r="B1336" s="6" cm="1">
        <f t="array" ref="B1336">alea_int(Settings!$B$10,1,Settings!$B$16)</f>
        <v>2</v>
      </c>
      <c r="C1336" s="8">
        <v>46023</v>
      </c>
      <c r="D1336" s="8">
        <f t="shared" si="81"/>
        <v>46387</v>
      </c>
      <c r="E1336" s="6" t="str" cm="1">
        <f t="array" ref="E1336">choice(Groupes!A:A,1,Settings!$B$16)</f>
        <v>G12</v>
      </c>
      <c r="F1336" s="6" t="str">
        <f t="shared" si="82"/>
        <v>G12</v>
      </c>
      <c r="G1336" s="6" t="str">
        <f t="shared" si="83"/>
        <v>Prof20</v>
      </c>
      <c r="H1336" s="6" t="str" cm="1">
        <f t="array" ref="H1336">choice(Referentiel!A:A,1,Settings!$B$16)</f>
        <v>Scénographie</v>
      </c>
      <c r="I1336" s="6" t="str" cm="1">
        <f t="array" ref="I1336">choice(Referentiel!B:B,1,Settings!$B$16)</f>
        <v>5ème année Photo / Vidéo S2</v>
      </c>
      <c r="J1336" s="6" t="str" cm="1">
        <f t="array" ref="J1336">choice(Referentiel!D:D,1,Settings!$B$16)</f>
        <v>L1</v>
      </c>
      <c r="K1336" s="6" t="str" cm="1">
        <f t="array" ref="K1336">choice(Professeurs!B:B,1,Settings!$B$16)</f>
        <v>Prof20</v>
      </c>
      <c r="L1336" s="5" t="str" cm="1">
        <f t="array" ref="L1336">choice(Referentiel!C:C,1,Settings!$B$16)</f>
        <v/>
      </c>
      <c r="M1336" s="5" t="str" cm="1">
        <f t="array" ref="M1336">choice(Referentiel!E:E,1,Settings!$B$16)</f>
        <v/>
      </c>
      <c r="N1336" s="5" t="str" cm="1">
        <f t="array" ref="N1336">choice(Settings!K:K,1,Settings!$B$16)</f>
        <v/>
      </c>
      <c r="P1336" s="5">
        <f t="shared" si="84"/>
        <v>2</v>
      </c>
    </row>
    <row r="1337" spans="1:16" ht="15.75" customHeight="1" x14ac:dyDescent="0.25">
      <c r="A1337" s="6" t="s">
        <v>1689</v>
      </c>
      <c r="B1337" s="6" cm="1">
        <f t="array" ref="B1337">alea_int(Settings!$B$10,1,Settings!$B$16)</f>
        <v>1</v>
      </c>
      <c r="C1337" s="8">
        <v>46023</v>
      </c>
      <c r="D1337" s="8">
        <f t="shared" si="81"/>
        <v>46387</v>
      </c>
      <c r="E1337" s="6" t="str" cm="1">
        <f t="array" ref="E1337">choice(Groupes!A:A,1,Settings!$B$16)</f>
        <v>G2</v>
      </c>
      <c r="F1337" s="6" t="str">
        <f t="shared" si="82"/>
        <v>G2</v>
      </c>
      <c r="G1337" s="6" t="str">
        <f t="shared" si="83"/>
        <v>Prof52</v>
      </c>
      <c r="H1337" s="6" t="str" cm="1">
        <f t="array" ref="H1337">choice(Referentiel!A:A,1,Settings!$B$16)</f>
        <v>Mode et Matière</v>
      </c>
      <c r="I1337" s="6" t="str" cm="1">
        <f t="array" ref="I1337">choice(Referentiel!B:B,1,Settings!$B$16)</f>
        <v>5ème année Cinéma d'Animation S1</v>
      </c>
      <c r="J1337" s="6" t="str" cm="1">
        <f t="array" ref="J1337">choice(Referentiel!D:D,1,Settings!$B$16)</f>
        <v>M1</v>
      </c>
      <c r="K1337" s="6" t="str" cm="1">
        <f t="array" ref="K1337">choice(Professeurs!B:B,1,Settings!$B$16)</f>
        <v>Prof52</v>
      </c>
      <c r="L1337" s="5" t="str" cm="1">
        <f t="array" ref="L1337">choice(Referentiel!C:C,1,Settings!$B$16)</f>
        <v/>
      </c>
      <c r="M1337" s="5" t="str" cm="1">
        <f t="array" ref="M1337">choice(Referentiel!E:E,1,Settings!$B$16)</f>
        <v/>
      </c>
      <c r="N1337" s="5" t="str" cm="1">
        <f t="array" ref="N1337">choice(Settings!K:K,1,Settings!$B$16)</f>
        <v/>
      </c>
      <c r="P1337" s="5">
        <f t="shared" si="84"/>
        <v>1</v>
      </c>
    </row>
    <row r="1338" spans="1:16" ht="15.75" customHeight="1" x14ac:dyDescent="0.25">
      <c r="A1338" s="6" t="s">
        <v>1690</v>
      </c>
      <c r="B1338" s="6" cm="1">
        <f t="array" ref="B1338">alea_int(Settings!$B$10,1,Settings!$B$16)</f>
        <v>1</v>
      </c>
      <c r="C1338" s="8">
        <v>46023</v>
      </c>
      <c r="D1338" s="8">
        <f t="shared" si="81"/>
        <v>46387</v>
      </c>
      <c r="E1338" s="6" t="str" cm="1">
        <f t="array" ref="E1338">choice(Groupes!A:A,1,Settings!$B$16)</f>
        <v>G13</v>
      </c>
      <c r="F1338" s="6" t="str">
        <f t="shared" si="82"/>
        <v>G13</v>
      </c>
      <c r="G1338" s="6" t="str">
        <f t="shared" si="83"/>
        <v>Prof1</v>
      </c>
      <c r="H1338" s="6" t="str" cm="1">
        <f t="array" ref="H1338">choice(Referentiel!A:A,1,Settings!$B$16)</f>
        <v>Gr SPATIAL MEDIA</v>
      </c>
      <c r="I1338" s="6" t="str" cm="1">
        <f t="array" ref="I1338">choice(Referentiel!B:B,1,Settings!$B$16)</f>
        <v>4ème année Design Objet S2</v>
      </c>
      <c r="J1338" s="6" t="str" cm="1">
        <f t="array" ref="J1338">choice(Referentiel!D:D,1,Settings!$B$16)</f>
        <v>M1</v>
      </c>
      <c r="K1338" s="6" t="str" cm="1">
        <f t="array" ref="K1338">choice(Professeurs!B:B,1,Settings!$B$16)</f>
        <v>Prof1</v>
      </c>
      <c r="L1338" s="5" t="str" cm="1">
        <f t="array" ref="L1338">choice(Referentiel!C:C,1,Settings!$B$16)</f>
        <v/>
      </c>
      <c r="M1338" s="5" t="str" cm="1">
        <f t="array" ref="M1338">choice(Referentiel!E:E,1,Settings!$B$16)</f>
        <v/>
      </c>
      <c r="N1338" s="5" t="str" cm="1">
        <f t="array" ref="N1338">choice(Settings!K:K,1,Settings!$B$16)</f>
        <v/>
      </c>
      <c r="P1338" s="5">
        <f t="shared" si="84"/>
        <v>1</v>
      </c>
    </row>
    <row r="1339" spans="1:16" ht="15.75" customHeight="1" x14ac:dyDescent="0.25">
      <c r="A1339" s="6" t="s">
        <v>1691</v>
      </c>
      <c r="B1339" s="6" cm="1">
        <f t="array" ref="B1339">alea_int(Settings!$B$10,1,Settings!$B$16)</f>
        <v>2</v>
      </c>
      <c r="C1339" s="8">
        <v>46023</v>
      </c>
      <c r="D1339" s="8">
        <f t="shared" si="81"/>
        <v>46387</v>
      </c>
      <c r="E1339" s="6" t="str" cm="1">
        <f t="array" ref="E1339">choice(Groupes!A:A,1,Settings!$B$16)</f>
        <v>G9</v>
      </c>
      <c r="F1339" s="6" t="str">
        <f t="shared" si="82"/>
        <v>G9</v>
      </c>
      <c r="G1339" s="6" t="str">
        <f t="shared" si="83"/>
        <v>Prof54</v>
      </c>
      <c r="H1339" s="6" t="str" cm="1">
        <f t="array" ref="H1339">choice(Referentiel!A:A,1,Settings!$B$16)</f>
        <v>Gr TERRITOIRES</v>
      </c>
      <c r="I1339" s="6" t="str" cm="1">
        <f t="array" ref="I1339">choice(Referentiel!B:B,1,Settings!$B$16)</f>
        <v>5ème année Art-Espace S2</v>
      </c>
      <c r="J1339" s="6" t="str" cm="1">
        <f t="array" ref="J1339">choice(Referentiel!D:D,1,Settings!$B$16)</f>
        <v>M1</v>
      </c>
      <c r="K1339" s="6" t="str" cm="1">
        <f t="array" ref="K1339">choice(Professeurs!B:B,1,Settings!$B$16)</f>
        <v>Prof54</v>
      </c>
      <c r="L1339" s="5" t="str" cm="1">
        <f t="array" ref="L1339">choice(Referentiel!C:C,1,Settings!$B$16)</f>
        <v/>
      </c>
      <c r="M1339" s="5" t="str" cm="1">
        <f t="array" ref="M1339">choice(Referentiel!E:E,1,Settings!$B$16)</f>
        <v/>
      </c>
      <c r="N1339" s="5" t="str" cm="1">
        <f t="array" ref="N1339">choice(Settings!K:K,1,Settings!$B$16)</f>
        <v/>
      </c>
      <c r="P1339" s="5">
        <f t="shared" si="84"/>
        <v>2</v>
      </c>
    </row>
    <row r="1340" spans="1:16" ht="15.75" customHeight="1" x14ac:dyDescent="0.25">
      <c r="A1340" s="6" t="s">
        <v>1692</v>
      </c>
      <c r="B1340" s="6" cm="1">
        <f t="array" ref="B1340">alea_int(Settings!$B$10,1,Settings!$B$16)</f>
        <v>2</v>
      </c>
      <c r="C1340" s="8">
        <v>46023</v>
      </c>
      <c r="D1340" s="8">
        <f t="shared" si="81"/>
        <v>46387</v>
      </c>
      <c r="E1340" s="6" t="str" cm="1">
        <f t="array" ref="E1340">choice(Groupes!A:A,1,Settings!$B$16)</f>
        <v>G30</v>
      </c>
      <c r="F1340" s="6" t="str">
        <f t="shared" si="82"/>
        <v>G30</v>
      </c>
      <c r="G1340" s="6" t="str">
        <f t="shared" si="83"/>
        <v>Prof45</v>
      </c>
      <c r="H1340" s="6" t="str" cm="1">
        <f t="array" ref="H1340">choice(Referentiel!A:A,1,Settings!$B$16)</f>
        <v>1ère année Groupe 4</v>
      </c>
      <c r="I1340" s="6" t="str" cm="1">
        <f t="array" ref="I1340">choice(Referentiel!B:B,1,Settings!$B$16)</f>
        <v>2ème année Design Textile et Matière S1</v>
      </c>
      <c r="J1340" s="6" t="str" cm="1">
        <f t="array" ref="J1340">choice(Referentiel!D:D,1,Settings!$B$16)</f>
        <v>M1</v>
      </c>
      <c r="K1340" s="6" t="str" cm="1">
        <f t="array" ref="K1340">choice(Professeurs!B:B,1,Settings!$B$16)</f>
        <v>Prof45</v>
      </c>
      <c r="L1340" s="5" t="str" cm="1">
        <f t="array" ref="L1340">choice(Referentiel!C:C,1,Settings!$B$16)</f>
        <v/>
      </c>
      <c r="M1340" s="5" t="str" cm="1">
        <f t="array" ref="M1340">choice(Referentiel!E:E,1,Settings!$B$16)</f>
        <v/>
      </c>
      <c r="N1340" s="5" t="str" cm="1">
        <f t="array" ref="N1340">choice(Settings!K:K,1,Settings!$B$16)</f>
        <v>lundi pm</v>
      </c>
      <c r="P1340" s="5">
        <f t="shared" si="84"/>
        <v>4</v>
      </c>
    </row>
    <row r="1341" spans="1:16" ht="15.75" customHeight="1" x14ac:dyDescent="0.25">
      <c r="A1341" s="6" t="s">
        <v>1693</v>
      </c>
      <c r="B1341" s="6" cm="1">
        <f t="array" ref="B1341">alea_int(Settings!$B$10,1,Settings!$B$16)</f>
        <v>1</v>
      </c>
      <c r="C1341" s="8">
        <v>46023</v>
      </c>
      <c r="D1341" s="8">
        <f t="shared" si="81"/>
        <v>46387</v>
      </c>
      <c r="E1341" s="6" t="str" cm="1">
        <f t="array" ref="E1341">choice(Groupes!A:A,1,Settings!$B$16)</f>
        <v>G1</v>
      </c>
      <c r="F1341" s="6" t="str">
        <f t="shared" si="82"/>
        <v>G1</v>
      </c>
      <c r="G1341" s="6" t="str">
        <f t="shared" si="83"/>
        <v>Prof35</v>
      </c>
      <c r="H1341" s="6" t="str" cm="1">
        <f t="array" ref="H1341">choice(Referentiel!A:A,1,Settings!$B$16)</f>
        <v>Image Imprimée</v>
      </c>
      <c r="I1341" s="6" t="str" cm="1">
        <f t="array" ref="I1341">choice(Referentiel!B:B,1,Settings!$B$16)</f>
        <v>5ème année Design Textile et Matière S1</v>
      </c>
      <c r="J1341" s="6" t="str" cm="1">
        <f t="array" ref="J1341">choice(Referentiel!D:D,1,Settings!$B$16)</f>
        <v>L1</v>
      </c>
      <c r="K1341" s="6" t="str" cm="1">
        <f t="array" ref="K1341">choice(Professeurs!B:B,1,Settings!$B$16)</f>
        <v>Prof35</v>
      </c>
      <c r="L1341" s="5" t="str" cm="1">
        <f t="array" ref="L1341">choice(Referentiel!C:C,1,Settings!$B$16)</f>
        <v/>
      </c>
      <c r="M1341" s="5" t="str" cm="1">
        <f t="array" ref="M1341">choice(Referentiel!E:E,1,Settings!$B$16)</f>
        <v/>
      </c>
      <c r="N1341" s="5" t="str" cm="1">
        <f t="array" ref="N1341">choice(Settings!K:K,1,Settings!$B$16)</f>
        <v>jeudi am</v>
      </c>
      <c r="P1341" s="5">
        <f t="shared" si="84"/>
        <v>3</v>
      </c>
    </row>
    <row r="1342" spans="1:16" ht="15.75" customHeight="1" x14ac:dyDescent="0.25">
      <c r="A1342" s="6" t="s">
        <v>1694</v>
      </c>
      <c r="B1342" s="6" cm="1">
        <f t="array" ref="B1342">alea_int(Settings!$B$10,1,Settings!$B$16)</f>
        <v>1</v>
      </c>
      <c r="C1342" s="8">
        <v>46023</v>
      </c>
      <c r="D1342" s="8">
        <f t="shared" si="81"/>
        <v>46387</v>
      </c>
      <c r="E1342" s="6" t="str" cm="1">
        <f t="array" ref="E1342">choice(Groupes!A:A,1,Settings!$B$16)</f>
        <v>G9</v>
      </c>
      <c r="F1342" s="6" t="str">
        <f t="shared" si="82"/>
        <v>G9</v>
      </c>
      <c r="G1342" s="6" t="str">
        <f t="shared" si="83"/>
        <v>Prof41</v>
      </c>
      <c r="H1342" s="6" t="str" cm="1">
        <f t="array" ref="H1342">choice(Referentiel!A:A,1,Settings!$B$16)</f>
        <v>6ème ANNÉE STAGE</v>
      </c>
      <c r="I1342" s="6" t="str" cm="1">
        <f t="array" ref="I1342">choice(Referentiel!B:B,1,Settings!$B$16)</f>
        <v>5ème année Art-Espace S2</v>
      </c>
      <c r="J1342" s="6" t="str" cm="1">
        <f t="array" ref="J1342">choice(Referentiel!D:D,1,Settings!$B$16)</f>
        <v>L2</v>
      </c>
      <c r="K1342" s="6" t="str" cm="1">
        <f t="array" ref="K1342">choice(Professeurs!B:B,1,Settings!$B$16)</f>
        <v>Prof41</v>
      </c>
      <c r="L1342" s="5" t="str" cm="1">
        <f t="array" ref="L1342">choice(Referentiel!C:C,1,Settings!$B$16)</f>
        <v/>
      </c>
      <c r="M1342" s="5" t="str" cm="1">
        <f t="array" ref="M1342">choice(Referentiel!E:E,1,Settings!$B$16)</f>
        <v/>
      </c>
      <c r="N1342" s="5" t="str" cm="1">
        <f t="array" ref="N1342">choice(Settings!K:K,1,Settings!$B$16)</f>
        <v/>
      </c>
      <c r="P1342" s="5">
        <f t="shared" si="84"/>
        <v>1</v>
      </c>
    </row>
    <row r="1343" spans="1:16" ht="15.75" customHeight="1" x14ac:dyDescent="0.25">
      <c r="A1343" s="6" t="s">
        <v>1695</v>
      </c>
      <c r="B1343" s="6" cm="1">
        <f t="array" ref="B1343">alea_int(Settings!$B$10,1,Settings!$B$16)</f>
        <v>2</v>
      </c>
      <c r="C1343" s="8">
        <v>46023</v>
      </c>
      <c r="D1343" s="8">
        <f t="shared" si="81"/>
        <v>46387</v>
      </c>
      <c r="E1343" s="6" t="str" cm="1">
        <f t="array" ref="E1343">choice(Groupes!A:A,1,Settings!$B$16)</f>
        <v>G3</v>
      </c>
      <c r="F1343" s="6" t="str">
        <f t="shared" si="82"/>
        <v>G3</v>
      </c>
      <c r="G1343" s="6" t="str">
        <f t="shared" si="83"/>
        <v>Prof54</v>
      </c>
      <c r="H1343" s="6" t="str" cm="1">
        <f t="array" ref="H1343">choice(Referentiel!A:A,1,Settings!$B$16)</f>
        <v>Design des mondes insulaires</v>
      </c>
      <c r="I1343" s="6" t="str" cm="1">
        <f t="array" ref="I1343">choice(Referentiel!B:B,1,Settings!$B$16)</f>
        <v>2ème année Scénographie S2</v>
      </c>
      <c r="J1343" s="6" t="str" cm="1">
        <f t="array" ref="J1343">choice(Referentiel!D:D,1,Settings!$B$16)</f>
        <v>M1</v>
      </c>
      <c r="K1343" s="6" t="str" cm="1">
        <f t="array" ref="K1343">choice(Professeurs!B:B,1,Settings!$B$16)</f>
        <v>Prof54</v>
      </c>
      <c r="L1343" s="5" t="str" cm="1">
        <f t="array" ref="L1343">choice(Referentiel!C:C,1,Settings!$B$16)</f>
        <v/>
      </c>
      <c r="M1343" s="5" t="str" cm="1">
        <f t="array" ref="M1343">choice(Referentiel!E:E,1,Settings!$B$16)</f>
        <v/>
      </c>
      <c r="N1343" s="5" t="str" cm="1">
        <f t="array" ref="N1343">choice(Settings!K:K,1,Settings!$B$16)</f>
        <v>mercredi ap</v>
      </c>
      <c r="P1343" s="5">
        <f t="shared" si="84"/>
        <v>4</v>
      </c>
    </row>
    <row r="1344" spans="1:16" ht="15.75" customHeight="1" x14ac:dyDescent="0.25">
      <c r="A1344" s="6" t="s">
        <v>1696</v>
      </c>
      <c r="B1344" s="6" cm="1">
        <f t="array" ref="B1344">alea_int(Settings!$B$10,1,Settings!$B$16)</f>
        <v>2</v>
      </c>
      <c r="C1344" s="8">
        <v>46023</v>
      </c>
      <c r="D1344" s="8">
        <f t="shared" si="81"/>
        <v>46387</v>
      </c>
      <c r="E1344" s="6" t="str" cm="1">
        <f t="array" ref="E1344">choice(Groupes!A:A,1,Settings!$B$16)</f>
        <v>G4</v>
      </c>
      <c r="F1344" s="6" t="str">
        <f t="shared" si="82"/>
        <v>G4</v>
      </c>
      <c r="G1344" s="6" t="str">
        <f t="shared" si="83"/>
        <v>Prof15</v>
      </c>
      <c r="H1344" s="6" t="str" cm="1">
        <f t="array" ref="H1344">choice(Referentiel!A:A,1,Settings!$B$16)</f>
        <v>Design des mondes montagneux</v>
      </c>
      <c r="I1344" s="6" t="str" cm="1">
        <f t="array" ref="I1344">choice(Referentiel!B:B,1,Settings!$B$16)</f>
        <v>1ère Année Groupe 3 S2</v>
      </c>
      <c r="J1344" s="6" t="str" cm="1">
        <f t="array" ref="J1344">choice(Referentiel!D:D,1,Settings!$B$16)</f>
        <v>L1</v>
      </c>
      <c r="K1344" s="6" t="str" cm="1">
        <f t="array" ref="K1344">choice(Professeurs!B:B,1,Settings!$B$16)</f>
        <v>Prof15</v>
      </c>
      <c r="L1344" s="5" t="str" cm="1">
        <f t="array" ref="L1344">choice(Referentiel!C:C,1,Settings!$B$16)</f>
        <v/>
      </c>
      <c r="M1344" s="5" t="str" cm="1">
        <f t="array" ref="M1344">choice(Referentiel!E:E,1,Settings!$B$16)</f>
        <v/>
      </c>
      <c r="N1344" s="5" t="str" cm="1">
        <f t="array" ref="N1344">choice(Settings!K:K,1,Settings!$B$16)</f>
        <v/>
      </c>
      <c r="P1344" s="5">
        <f t="shared" si="84"/>
        <v>2</v>
      </c>
    </row>
    <row r="1345" spans="1:16" ht="15.75" customHeight="1" x14ac:dyDescent="0.25">
      <c r="A1345" s="6" t="s">
        <v>1697</v>
      </c>
      <c r="B1345" s="6" cm="1">
        <f t="array" ref="B1345">alea_int(Settings!$B$10,1,Settings!$B$16)</f>
        <v>1</v>
      </c>
      <c r="C1345" s="8">
        <v>46023</v>
      </c>
      <c r="D1345" s="8">
        <f t="shared" si="81"/>
        <v>46387</v>
      </c>
      <c r="E1345" s="6" t="str" cm="1">
        <f t="array" ref="E1345">choice(Groupes!A:A,1,Settings!$B$16)</f>
        <v>G26</v>
      </c>
      <c r="F1345" s="6" t="str">
        <f t="shared" si="82"/>
        <v>G26</v>
      </c>
      <c r="G1345" s="6" t="str">
        <f t="shared" si="83"/>
        <v>Prof2</v>
      </c>
      <c r="H1345" s="6" t="str" cm="1">
        <f t="array" ref="H1345">choice(Referentiel!A:A,1,Settings!$B$16)</f>
        <v>Design Objet</v>
      </c>
      <c r="I1345" s="6" t="str" cm="1">
        <f t="array" ref="I1345">choice(Referentiel!B:B,1,Settings!$B$16)</f>
        <v>1ère Année Groupe 3 S2</v>
      </c>
      <c r="J1345" s="6" t="str" cm="1">
        <f t="array" ref="J1345">choice(Referentiel!D:D,1,Settings!$B$16)</f>
        <v>L1</v>
      </c>
      <c r="K1345" s="6" t="str" cm="1">
        <f t="array" ref="K1345">choice(Professeurs!B:B,1,Settings!$B$16)</f>
        <v>Prof2</v>
      </c>
      <c r="L1345" s="5" t="str" cm="1">
        <f t="array" ref="L1345">choice(Referentiel!C:C,1,Settings!$B$16)</f>
        <v/>
      </c>
      <c r="M1345" s="5" t="str" cm="1">
        <f t="array" ref="M1345">choice(Referentiel!E:E,1,Settings!$B$16)</f>
        <v/>
      </c>
      <c r="N1345" s="5" t="str" cm="1">
        <f t="array" ref="N1345">choice(Settings!K:K,1,Settings!$B$16)</f>
        <v>mercredi pm</v>
      </c>
      <c r="P1345" s="5">
        <f t="shared" si="84"/>
        <v>3</v>
      </c>
    </row>
    <row r="1346" spans="1:16" ht="15.75" customHeight="1" x14ac:dyDescent="0.25">
      <c r="A1346" s="6" t="s">
        <v>1698</v>
      </c>
      <c r="B1346" s="6" cm="1">
        <f t="array" ref="B1346">alea_int(Settings!$B$10,1,Settings!$B$16)</f>
        <v>2</v>
      </c>
      <c r="C1346" s="8">
        <v>46023</v>
      </c>
      <c r="D1346" s="8">
        <f t="shared" si="81"/>
        <v>46387</v>
      </c>
      <c r="E1346" s="6" t="str" cm="1">
        <f t="array" ref="E1346">choice(Groupes!A:A,1,Settings!$B$16)</f>
        <v>G19</v>
      </c>
      <c r="F1346" s="6" t="str">
        <f t="shared" si="82"/>
        <v>G19</v>
      </c>
      <c r="G1346" s="6" t="str">
        <f t="shared" si="83"/>
        <v>Prof10</v>
      </c>
      <c r="H1346" s="6" t="str" cm="1">
        <f t="array" ref="H1346">choice(Referentiel!A:A,1,Settings!$B$16)</f>
        <v>Design des mondes montagneux</v>
      </c>
      <c r="I1346" s="6" t="str" cm="1">
        <f t="array" ref="I1346">choice(Referentiel!B:B,1,Settings!$B$16)</f>
        <v>1ère Année Groupe 4 S2</v>
      </c>
      <c r="J1346" s="6" t="str" cm="1">
        <f t="array" ref="J1346">choice(Referentiel!D:D,1,Settings!$B$16)</f>
        <v>M2</v>
      </c>
      <c r="K1346" s="6" t="str" cm="1">
        <f t="array" ref="K1346">choice(Professeurs!B:B,1,Settings!$B$16)</f>
        <v>Prof10</v>
      </c>
      <c r="L1346" s="5" t="str" cm="1">
        <f t="array" ref="L1346">choice(Referentiel!C:C,1,Settings!$B$16)</f>
        <v/>
      </c>
      <c r="M1346" s="5" t="str" cm="1">
        <f t="array" ref="M1346">choice(Referentiel!E:E,1,Settings!$B$16)</f>
        <v/>
      </c>
      <c r="N1346" s="5" t="str" cm="1">
        <f t="array" ref="N1346">choice(Settings!K:K,1,Settings!$B$16)</f>
        <v/>
      </c>
      <c r="P1346" s="5">
        <f t="shared" si="84"/>
        <v>2</v>
      </c>
    </row>
    <row r="1347" spans="1:16" ht="15.75" customHeight="1" x14ac:dyDescent="0.25">
      <c r="A1347" s="6" t="s">
        <v>1699</v>
      </c>
      <c r="B1347" s="6" cm="1">
        <f t="array" ref="B1347">alea_int(Settings!$B$10,1,Settings!$B$16)</f>
        <v>2</v>
      </c>
      <c r="C1347" s="8">
        <v>46023</v>
      </c>
      <c r="D1347" s="8">
        <f t="shared" ref="D1347:D1410" si="85">C1347+364</f>
        <v>46387</v>
      </c>
      <c r="E1347" s="6" t="str" cm="1">
        <f t="array" ref="E1347">choice(Groupes!A:A,1,Settings!$B$16)</f>
        <v>G25</v>
      </c>
      <c r="F1347" s="6" t="str">
        <f t="shared" ref="F1347:F1410" si="86">E1347</f>
        <v>G25</v>
      </c>
      <c r="G1347" s="6" t="str">
        <f t="shared" ref="G1347:G1410" si="87">K1347</f>
        <v>Prof1</v>
      </c>
      <c r="H1347" s="6" t="str" cm="1">
        <f t="array" ref="H1347">choice(Referentiel!A:A,1,Settings!$B$16)</f>
        <v>Design des mondes montagneux</v>
      </c>
      <c r="I1347" s="6" t="str" cm="1">
        <f t="array" ref="I1347">choice(Referentiel!B:B,1,Settings!$B$16)</f>
        <v>4ème année Design Objet S1</v>
      </c>
      <c r="J1347" s="6" t="str" cm="1">
        <f t="array" ref="J1347">choice(Referentiel!D:D,1,Settings!$B$16)</f>
        <v>M1</v>
      </c>
      <c r="K1347" s="6" t="str" cm="1">
        <f t="array" ref="K1347">choice(Professeurs!B:B,1,Settings!$B$16)</f>
        <v>Prof1</v>
      </c>
      <c r="L1347" s="5" t="str" cm="1">
        <f t="array" ref="L1347">choice(Referentiel!C:C,1,Settings!$B$16)</f>
        <v/>
      </c>
      <c r="M1347" s="5" t="str" cm="1">
        <f t="array" ref="M1347">choice(Referentiel!E:E,1,Settings!$B$16)</f>
        <v/>
      </c>
      <c r="N1347" s="5" t="str" cm="1">
        <f t="array" ref="N1347">choice(Settings!K:K,1,Settings!$B$16)</f>
        <v>lundi am</v>
      </c>
      <c r="P1347" s="5">
        <f t="shared" ref="P1347:P1410" si="88">B1347+IF(M1347&lt;&gt;"",2,0)+IF(N1347&lt;&gt;"",2,0)</f>
        <v>4</v>
      </c>
    </row>
    <row r="1348" spans="1:16" ht="15.75" customHeight="1" x14ac:dyDescent="0.25">
      <c r="A1348" s="6" t="s">
        <v>1700</v>
      </c>
      <c r="B1348" s="6" cm="1">
        <f t="array" ref="B1348">alea_int(Settings!$B$10,1,Settings!$B$16)</f>
        <v>3</v>
      </c>
      <c r="C1348" s="8">
        <v>46023</v>
      </c>
      <c r="D1348" s="8">
        <f t="shared" si="85"/>
        <v>46387</v>
      </c>
      <c r="E1348" s="6" t="str" cm="1">
        <f t="array" ref="E1348">choice(Groupes!A:A,1,Settings!$B$16)</f>
        <v>G10</v>
      </c>
      <c r="F1348" s="6" t="str">
        <f t="shared" si="86"/>
        <v>G10</v>
      </c>
      <c r="G1348" s="6" t="str">
        <f t="shared" si="87"/>
        <v>Prof23</v>
      </c>
      <c r="H1348" s="6" t="str" cm="1">
        <f t="array" ref="H1348">choice(Referentiel!A:A,1,Settings!$B$16)</f>
        <v>Design des mondes littoraux</v>
      </c>
      <c r="I1348" s="6" t="str" cm="1">
        <f t="array" ref="I1348">choice(Referentiel!B:B,1,Settings!$B$16)</f>
        <v>5ème année Scénographie S2</v>
      </c>
      <c r="J1348" s="6" t="str" cm="1">
        <f t="array" ref="J1348">choice(Referentiel!D:D,1,Settings!$B$16)</f>
        <v>L1</v>
      </c>
      <c r="K1348" s="6" t="str" cm="1">
        <f t="array" ref="K1348">choice(Professeurs!B:B,1,Settings!$B$16)</f>
        <v>Prof23</v>
      </c>
      <c r="L1348" s="5" t="str" cm="1">
        <f t="array" ref="L1348">choice(Referentiel!C:C,1,Settings!$B$16)</f>
        <v/>
      </c>
      <c r="M1348" s="5" t="str" cm="1">
        <f t="array" ref="M1348">choice(Referentiel!E:E,1,Settings!$B$16)</f>
        <v/>
      </c>
      <c r="N1348" s="5" t="str" cm="1">
        <f t="array" ref="N1348">choice(Settings!K:K,1,Settings!$B$16)</f>
        <v/>
      </c>
      <c r="P1348" s="5">
        <f t="shared" si="88"/>
        <v>3</v>
      </c>
    </row>
    <row r="1349" spans="1:16" ht="15.75" customHeight="1" x14ac:dyDescent="0.25">
      <c r="A1349" s="6" t="s">
        <v>1701</v>
      </c>
      <c r="B1349" s="6" cm="1">
        <f t="array" ref="B1349">alea_int(Settings!$B$10,1,Settings!$B$16)</f>
        <v>3</v>
      </c>
      <c r="C1349" s="8">
        <v>46023</v>
      </c>
      <c r="D1349" s="8">
        <f t="shared" si="85"/>
        <v>46387</v>
      </c>
      <c r="E1349" s="6" t="str" cm="1">
        <f t="array" ref="E1349">choice(Groupes!A:A,1,Settings!$B$16)</f>
        <v>G28</v>
      </c>
      <c r="F1349" s="6" t="str">
        <f t="shared" si="86"/>
        <v>G28</v>
      </c>
      <c r="G1349" s="6" t="str">
        <f t="shared" si="87"/>
        <v>Prof6</v>
      </c>
      <c r="H1349" s="6" t="str" cm="1">
        <f t="array" ref="H1349">choice(Referentiel!A:A,1,Settings!$B$16)</f>
        <v>Scénographie</v>
      </c>
      <c r="I1349" s="6" t="str" cm="1">
        <f t="array" ref="I1349">choice(Referentiel!B:B,1,Settings!$B$16)</f>
        <v>4ème année Architecture Intérieure S2</v>
      </c>
      <c r="J1349" s="6" t="str" cm="1">
        <f t="array" ref="J1349">choice(Referentiel!D:D,1,Settings!$B$16)</f>
        <v>M1</v>
      </c>
      <c r="K1349" s="6" t="str" cm="1">
        <f t="array" ref="K1349">choice(Professeurs!B:B,1,Settings!$B$16)</f>
        <v>Prof6</v>
      </c>
      <c r="L1349" s="5" t="str" cm="1">
        <f t="array" ref="L1349">choice(Referentiel!C:C,1,Settings!$B$16)</f>
        <v/>
      </c>
      <c r="M1349" s="5" t="str" cm="1">
        <f t="array" ref="M1349">choice(Referentiel!E:E,1,Settings!$B$16)</f>
        <v/>
      </c>
      <c r="N1349" s="5" t="str" cm="1">
        <f t="array" ref="N1349">choice(Settings!K:K,1,Settings!$B$16)</f>
        <v/>
      </c>
      <c r="P1349" s="5">
        <f t="shared" si="88"/>
        <v>3</v>
      </c>
    </row>
    <row r="1350" spans="1:16" ht="15.75" customHeight="1" x14ac:dyDescent="0.25">
      <c r="A1350" s="6" t="s">
        <v>1702</v>
      </c>
      <c r="B1350" s="6" cm="1">
        <f t="array" ref="B1350">alea_int(Settings!$B$10,1,Settings!$B$16)</f>
        <v>3</v>
      </c>
      <c r="C1350" s="8">
        <v>46023</v>
      </c>
      <c r="D1350" s="8">
        <f t="shared" si="85"/>
        <v>46387</v>
      </c>
      <c r="E1350" s="6" t="str" cm="1">
        <f t="array" ref="E1350">choice(Groupes!A:A,1,Settings!$B$16)</f>
        <v>G20</v>
      </c>
      <c r="F1350" s="6" t="str">
        <f t="shared" si="86"/>
        <v>G20</v>
      </c>
      <c r="G1350" s="6" t="str">
        <f t="shared" si="87"/>
        <v>Prof30</v>
      </c>
      <c r="H1350" s="6" t="str" cm="1">
        <f t="array" ref="H1350">choice(Referentiel!A:A,1,Settings!$B$16)</f>
        <v>Design des mondes ruraux</v>
      </c>
      <c r="I1350" s="6" t="str" cm="1">
        <f t="array" ref="I1350">choice(Referentiel!B:B,1,Settings!$B$16)</f>
        <v>4ème année Cinéma d'Animation S2</v>
      </c>
      <c r="J1350" s="6" t="str" cm="1">
        <f t="array" ref="J1350">choice(Referentiel!D:D,1,Settings!$B$16)</f>
        <v>M1</v>
      </c>
      <c r="K1350" s="6" t="str" cm="1">
        <f t="array" ref="K1350">choice(Professeurs!B:B,1,Settings!$B$16)</f>
        <v>Prof30</v>
      </c>
      <c r="L1350" s="5" t="str" cm="1">
        <f t="array" ref="L1350">choice(Referentiel!C:C,1,Settings!$B$16)</f>
        <v/>
      </c>
      <c r="M1350" s="5" t="str" cm="1">
        <f t="array" ref="M1350">choice(Referentiel!E:E,1,Settings!$B$16)</f>
        <v/>
      </c>
      <c r="N1350" s="5" t="str" cm="1">
        <f t="array" ref="N1350">choice(Settings!K:K,1,Settings!$B$16)</f>
        <v/>
      </c>
      <c r="P1350" s="5">
        <f t="shared" si="88"/>
        <v>3</v>
      </c>
    </row>
    <row r="1351" spans="1:16" ht="15.75" customHeight="1" x14ac:dyDescent="0.25">
      <c r="A1351" s="6" t="s">
        <v>1703</v>
      </c>
      <c r="B1351" s="6" cm="1">
        <f t="array" ref="B1351">alea_int(Settings!$B$10,1,Settings!$B$16)</f>
        <v>1</v>
      </c>
      <c r="C1351" s="8">
        <v>46023</v>
      </c>
      <c r="D1351" s="8">
        <f t="shared" si="85"/>
        <v>46387</v>
      </c>
      <c r="E1351" s="6" t="str" cm="1">
        <f t="array" ref="E1351">choice(Groupes!A:A,1,Settings!$B$16)</f>
        <v>G8</v>
      </c>
      <c r="F1351" s="6" t="str">
        <f t="shared" si="86"/>
        <v>G8</v>
      </c>
      <c r="G1351" s="6" t="str">
        <f t="shared" si="87"/>
        <v>Prof52</v>
      </c>
      <c r="H1351" s="6" t="str" cm="1">
        <f t="array" ref="H1351">choice(Referentiel!A:A,1,Settings!$B$16)</f>
        <v>Scénographie</v>
      </c>
      <c r="I1351" s="6" t="str" cm="1">
        <f t="array" ref="I1351">choice(Referentiel!B:B,1,Settings!$B$16)</f>
        <v>5ème année Cinéma d'Animation S2</v>
      </c>
      <c r="J1351" s="6" t="str" cm="1">
        <f t="array" ref="J1351">choice(Referentiel!D:D,1,Settings!$B$16)</f>
        <v>L2</v>
      </c>
      <c r="K1351" s="6" t="str" cm="1">
        <f t="array" ref="K1351">choice(Professeurs!B:B,1,Settings!$B$16)</f>
        <v>Prof52</v>
      </c>
      <c r="L1351" s="5" t="str" cm="1">
        <f t="array" ref="L1351">choice(Referentiel!C:C,1,Settings!$B$16)</f>
        <v/>
      </c>
      <c r="M1351" s="5" t="str" cm="1">
        <f t="array" ref="M1351">choice(Referentiel!E:E,1,Settings!$B$16)</f>
        <v/>
      </c>
      <c r="N1351" s="5" t="str" cm="1">
        <f t="array" ref="N1351">choice(Settings!K:K,1,Settings!$B$16)</f>
        <v/>
      </c>
      <c r="P1351" s="5">
        <f t="shared" si="88"/>
        <v>1</v>
      </c>
    </row>
    <row r="1352" spans="1:16" ht="15.75" customHeight="1" x14ac:dyDescent="0.25">
      <c r="A1352" s="6" t="s">
        <v>1704</v>
      </c>
      <c r="B1352" s="6" cm="1">
        <f t="array" ref="B1352">alea_int(Settings!$B$10,1,Settings!$B$16)</f>
        <v>3</v>
      </c>
      <c r="C1352" s="8">
        <v>46023</v>
      </c>
      <c r="D1352" s="8">
        <f t="shared" si="85"/>
        <v>46387</v>
      </c>
      <c r="E1352" s="6" t="str" cm="1">
        <f t="array" ref="E1352">choice(Groupes!A:A,1,Settings!$B$16)</f>
        <v>G2</v>
      </c>
      <c r="F1352" s="6" t="str">
        <f t="shared" si="86"/>
        <v>G2</v>
      </c>
      <c r="G1352" s="6" t="str">
        <f t="shared" si="87"/>
        <v>Prof1</v>
      </c>
      <c r="H1352" s="6" t="str" cm="1">
        <f t="array" ref="H1352">choice(Referentiel!A:A,1,Settings!$B$16)</f>
        <v>Design des mondes montagneux</v>
      </c>
      <c r="I1352" s="6" t="str" cm="1">
        <f t="array" ref="I1352">choice(Referentiel!B:B,1,Settings!$B$16)</f>
        <v>5ème année Photo / Vidéo S1</v>
      </c>
      <c r="J1352" s="6" t="str" cm="1">
        <f t="array" ref="J1352">choice(Referentiel!D:D,1,Settings!$B$16)</f>
        <v>L1</v>
      </c>
      <c r="K1352" s="6" t="str" cm="1">
        <f t="array" ref="K1352">choice(Professeurs!B:B,1,Settings!$B$16)</f>
        <v>Prof1</v>
      </c>
      <c r="L1352" s="5" t="str" cm="1">
        <f t="array" ref="L1352">choice(Referentiel!C:C,1,Settings!$B$16)</f>
        <v/>
      </c>
      <c r="M1352" s="5" t="str" cm="1">
        <f t="array" ref="M1352">choice(Referentiel!E:E,1,Settings!$B$16)</f>
        <v/>
      </c>
      <c r="N1352" s="5" t="str" cm="1">
        <f t="array" ref="N1352">choice(Settings!K:K,1,Settings!$B$16)</f>
        <v/>
      </c>
      <c r="P1352" s="5">
        <f t="shared" si="88"/>
        <v>3</v>
      </c>
    </row>
    <row r="1353" spans="1:16" ht="15.75" customHeight="1" x14ac:dyDescent="0.25">
      <c r="A1353" s="6" t="s">
        <v>1705</v>
      </c>
      <c r="B1353" s="6" cm="1">
        <f t="array" ref="B1353">alea_int(Settings!$B$10,1,Settings!$B$16)</f>
        <v>2</v>
      </c>
      <c r="C1353" s="8">
        <v>46023</v>
      </c>
      <c r="D1353" s="8">
        <f t="shared" si="85"/>
        <v>46387</v>
      </c>
      <c r="E1353" s="6" t="str" cm="1">
        <f t="array" ref="E1353">choice(Groupes!A:A,1,Settings!$B$16)</f>
        <v>G20</v>
      </c>
      <c r="F1353" s="6" t="str">
        <f t="shared" si="86"/>
        <v>G20</v>
      </c>
      <c r="G1353" s="6" t="str">
        <f t="shared" si="87"/>
        <v>Prof26</v>
      </c>
      <c r="H1353" s="6" t="str" cm="1">
        <f t="array" ref="H1353">choice(Referentiel!A:A,1,Settings!$B$16)</f>
        <v>Architecture Intérieure</v>
      </c>
      <c r="I1353" s="6" t="str" cm="1">
        <f t="array" ref="I1353">choice(Referentiel!B:B,1,Settings!$B$16)</f>
        <v>2ème année Cinéma d'Animation S1</v>
      </c>
      <c r="J1353" s="6" t="str" cm="1">
        <f t="array" ref="J1353">choice(Referentiel!D:D,1,Settings!$B$16)</f>
        <v>L2</v>
      </c>
      <c r="K1353" s="6" t="str" cm="1">
        <f t="array" ref="K1353">choice(Professeurs!B:B,1,Settings!$B$16)</f>
        <v>Prof26</v>
      </c>
      <c r="L1353" s="5" t="str" cm="1">
        <f t="array" ref="L1353">choice(Referentiel!C:C,1,Settings!$B$16)</f>
        <v/>
      </c>
      <c r="M1353" s="5" t="str" cm="1">
        <f t="array" ref="M1353">choice(Referentiel!E:E,1,Settings!$B$16)</f>
        <v/>
      </c>
      <c r="N1353" s="5" t="str" cm="1">
        <f t="array" ref="N1353">choice(Settings!K:K,1,Settings!$B$16)</f>
        <v/>
      </c>
      <c r="P1353" s="5">
        <f t="shared" si="88"/>
        <v>2</v>
      </c>
    </row>
    <row r="1354" spans="1:16" ht="15.75" customHeight="1" x14ac:dyDescent="0.25">
      <c r="A1354" s="6" t="s">
        <v>1706</v>
      </c>
      <c r="B1354" s="6" cm="1">
        <f t="array" ref="B1354">alea_int(Settings!$B$10,1,Settings!$B$16)</f>
        <v>2</v>
      </c>
      <c r="C1354" s="8">
        <v>46023</v>
      </c>
      <c r="D1354" s="8">
        <f t="shared" si="85"/>
        <v>46387</v>
      </c>
      <c r="E1354" s="6" t="str" cm="1">
        <f t="array" ref="E1354">choice(Groupes!A:A,1,Settings!$B$16)</f>
        <v>G11</v>
      </c>
      <c r="F1354" s="6" t="str">
        <f t="shared" si="86"/>
        <v>G11</v>
      </c>
      <c r="G1354" s="6" t="str">
        <f t="shared" si="87"/>
        <v>Prof55</v>
      </c>
      <c r="H1354" s="6" t="str" cm="1">
        <f t="array" ref="H1354">choice(Referentiel!A:A,1,Settings!$B$16)</f>
        <v>Design des mondes forestiers</v>
      </c>
      <c r="I1354" s="6" t="str" cm="1">
        <f t="array" ref="I1354">choice(Referentiel!B:B,1,Settings!$B$16)</f>
        <v>5ème année Architecture Intérieure S1</v>
      </c>
      <c r="J1354" s="6" t="str" cm="1">
        <f t="array" ref="J1354">choice(Referentiel!D:D,1,Settings!$B$16)</f>
        <v>L1</v>
      </c>
      <c r="K1354" s="6" t="str" cm="1">
        <f t="array" ref="K1354">choice(Professeurs!B:B,1,Settings!$B$16)</f>
        <v>Prof55</v>
      </c>
      <c r="L1354" s="5" t="str" cm="1">
        <f t="array" ref="L1354">choice(Referentiel!C:C,1,Settings!$B$16)</f>
        <v/>
      </c>
      <c r="M1354" s="5" t="str" cm="1">
        <f t="array" ref="M1354">choice(Referentiel!E:E,1,Settings!$B$16)</f>
        <v/>
      </c>
      <c r="N1354" s="5" t="str" cm="1">
        <f t="array" ref="N1354">choice(Settings!K:K,1,Settings!$B$16)</f>
        <v>vendredi am</v>
      </c>
      <c r="P1354" s="5">
        <f t="shared" si="88"/>
        <v>4</v>
      </c>
    </row>
    <row r="1355" spans="1:16" ht="15.75" customHeight="1" x14ac:dyDescent="0.25">
      <c r="A1355" s="6" t="s">
        <v>1707</v>
      </c>
      <c r="B1355" s="6" cm="1">
        <f t="array" ref="B1355">alea_int(Settings!$B$10,1,Settings!$B$16)</f>
        <v>1</v>
      </c>
      <c r="C1355" s="8">
        <v>46023</v>
      </c>
      <c r="D1355" s="8">
        <f t="shared" si="85"/>
        <v>46387</v>
      </c>
      <c r="E1355" s="6" t="str" cm="1">
        <f t="array" ref="E1355">choice(Groupes!A:A,1,Settings!$B$16)</f>
        <v>G8</v>
      </c>
      <c r="F1355" s="6" t="str">
        <f t="shared" si="86"/>
        <v>G8</v>
      </c>
      <c r="G1355" s="6" t="str">
        <f t="shared" si="87"/>
        <v>Prof48</v>
      </c>
      <c r="H1355" s="6" t="str" cm="1">
        <f t="array" ref="H1355">choice(Referentiel!A:A,1,Settings!$B$16)</f>
        <v>1ère année Groupe 3</v>
      </c>
      <c r="I1355" s="6" t="str" cm="1">
        <f t="array" ref="I1355">choice(Referentiel!B:B,1,Settings!$B$16)</f>
        <v>3ème année Image Imprimée S1</v>
      </c>
      <c r="J1355" s="6" t="str" cm="1">
        <f t="array" ref="J1355">choice(Referentiel!D:D,1,Settings!$B$16)</f>
        <v>L1</v>
      </c>
      <c r="K1355" s="6" t="str" cm="1">
        <f t="array" ref="K1355">choice(Professeurs!B:B,1,Settings!$B$16)</f>
        <v>Prof48</v>
      </c>
      <c r="L1355" s="5" t="str" cm="1">
        <f t="array" ref="L1355">choice(Referentiel!C:C,1,Settings!$B$16)</f>
        <v/>
      </c>
      <c r="M1355" s="5" t="str" cm="1">
        <f t="array" ref="M1355">choice(Referentiel!E:E,1,Settings!$B$16)</f>
        <v/>
      </c>
      <c r="N1355" s="5" t="str" cm="1">
        <f t="array" ref="N1355">choice(Settings!K:K,1,Settings!$B$16)</f>
        <v/>
      </c>
      <c r="P1355" s="5">
        <f t="shared" si="88"/>
        <v>1</v>
      </c>
    </row>
    <row r="1356" spans="1:16" ht="15.75" customHeight="1" x14ac:dyDescent="0.25">
      <c r="A1356" s="6" t="s">
        <v>1708</v>
      </c>
      <c r="B1356" s="6" cm="1">
        <f t="array" ref="B1356">alea_int(Settings!$B$10,1,Settings!$B$16)</f>
        <v>3</v>
      </c>
      <c r="C1356" s="8">
        <v>46023</v>
      </c>
      <c r="D1356" s="8">
        <f t="shared" si="85"/>
        <v>46387</v>
      </c>
      <c r="E1356" s="6" t="str" cm="1">
        <f t="array" ref="E1356">choice(Groupes!A:A,1,Settings!$B$16)</f>
        <v>G2</v>
      </c>
      <c r="F1356" s="6" t="str">
        <f t="shared" si="86"/>
        <v>G2</v>
      </c>
      <c r="G1356" s="6" t="str">
        <f t="shared" si="87"/>
        <v>Prof19</v>
      </c>
      <c r="H1356" s="6" t="str" cm="1">
        <f t="array" ref="H1356">choice(Referentiel!A:A,1,Settings!$B$16)</f>
        <v>Art-Espace</v>
      </c>
      <c r="I1356" s="6" t="str" cm="1">
        <f t="array" ref="I1356">choice(Referentiel!B:B,1,Settings!$B$16)</f>
        <v>2ème année Cinéma d'Animation S2</v>
      </c>
      <c r="J1356" s="6" t="str" cm="1">
        <f t="array" ref="J1356">choice(Referentiel!D:D,1,Settings!$B$16)</f>
        <v>L1</v>
      </c>
      <c r="K1356" s="6" t="str" cm="1">
        <f t="array" ref="K1356">choice(Professeurs!B:B,1,Settings!$B$16)</f>
        <v>Prof19</v>
      </c>
      <c r="L1356" s="5" t="str" cm="1">
        <f t="array" ref="L1356">choice(Referentiel!C:C,1,Settings!$B$16)</f>
        <v/>
      </c>
      <c r="M1356" s="5" t="str" cm="1">
        <f t="array" ref="M1356">choice(Referentiel!E:E,1,Settings!$B$16)</f>
        <v/>
      </c>
      <c r="N1356" s="5" t="str" cm="1">
        <f t="array" ref="N1356">choice(Settings!K:K,1,Settings!$B$16)</f>
        <v/>
      </c>
      <c r="P1356" s="5">
        <f t="shared" si="88"/>
        <v>3</v>
      </c>
    </row>
    <row r="1357" spans="1:16" ht="15.75" customHeight="1" x14ac:dyDescent="0.25">
      <c r="A1357" s="6" t="s">
        <v>1709</v>
      </c>
      <c r="B1357" s="6" cm="1">
        <f t="array" ref="B1357">alea_int(Settings!$B$10,1,Settings!$B$16)</f>
        <v>3</v>
      </c>
      <c r="C1357" s="8">
        <v>46023</v>
      </c>
      <c r="D1357" s="8">
        <f t="shared" si="85"/>
        <v>46387</v>
      </c>
      <c r="E1357" s="6" t="str" cm="1">
        <f t="array" ref="E1357">choice(Groupes!A:A,1,Settings!$B$16)</f>
        <v>G3</v>
      </c>
      <c r="F1357" s="6" t="str">
        <f t="shared" si="86"/>
        <v>G3</v>
      </c>
      <c r="G1357" s="6" t="str">
        <f t="shared" si="87"/>
        <v>Prof3</v>
      </c>
      <c r="H1357" s="6" t="str" cm="1">
        <f t="array" ref="H1357">choice(Referentiel!A:A,1,Settings!$B$16)</f>
        <v>Gr ART, DESIGN, SOCIETE</v>
      </c>
      <c r="I1357" s="6" t="str" cm="1">
        <f t="array" ref="I1357">choice(Referentiel!B:B,1,Settings!$B$16)</f>
        <v>2ème année Architecture Intérieure S1</v>
      </c>
      <c r="J1357" s="6" t="str" cm="1">
        <f t="array" ref="J1357">choice(Referentiel!D:D,1,Settings!$B$16)</f>
        <v>M1</v>
      </c>
      <c r="K1357" s="6" t="str" cm="1">
        <f t="array" ref="K1357">choice(Professeurs!B:B,1,Settings!$B$16)</f>
        <v>Prof3</v>
      </c>
      <c r="L1357" s="5" t="str" cm="1">
        <f t="array" ref="L1357">choice(Referentiel!C:C,1,Settings!$B$16)</f>
        <v/>
      </c>
      <c r="M1357" s="5" t="str" cm="1">
        <f t="array" ref="M1357">choice(Referentiel!E:E,1,Settings!$B$16)</f>
        <v>Salle2</v>
      </c>
      <c r="N1357" s="5" t="str" cm="1">
        <f t="array" ref="N1357">choice(Settings!K:K,1,Settings!$B$16)</f>
        <v>semaine</v>
      </c>
      <c r="P1357" s="5">
        <f t="shared" si="88"/>
        <v>7</v>
      </c>
    </row>
    <row r="1358" spans="1:16" ht="15.75" customHeight="1" x14ac:dyDescent="0.25">
      <c r="A1358" s="6" t="s">
        <v>1710</v>
      </c>
      <c r="B1358" s="6" cm="1">
        <f t="array" ref="B1358">alea_int(Settings!$B$10,1,Settings!$B$16)</f>
        <v>1</v>
      </c>
      <c r="C1358" s="8">
        <v>46023</v>
      </c>
      <c r="D1358" s="8">
        <f t="shared" si="85"/>
        <v>46387</v>
      </c>
      <c r="E1358" s="6" t="str" cm="1">
        <f t="array" ref="E1358">choice(Groupes!A:A,1,Settings!$B$16)</f>
        <v>G26</v>
      </c>
      <c r="F1358" s="6" t="str">
        <f t="shared" si="86"/>
        <v>G26</v>
      </c>
      <c r="G1358" s="6" t="str">
        <f t="shared" si="87"/>
        <v>Prof42</v>
      </c>
      <c r="H1358" s="6" t="str" cm="1">
        <f t="array" ref="H1358">choice(Referentiel!A:A,1,Settings!$B$16)</f>
        <v>Design des mondes insulaires</v>
      </c>
      <c r="I1358" s="6" t="str" cm="1">
        <f t="array" ref="I1358">choice(Referentiel!B:B,1,Settings!$B$16)</f>
        <v>3ème année Design Vêtement S2</v>
      </c>
      <c r="J1358" s="6" t="str" cm="1">
        <f t="array" ref="J1358">choice(Referentiel!D:D,1,Settings!$B$16)</f>
        <v>L3</v>
      </c>
      <c r="K1358" s="6" t="str" cm="1">
        <f t="array" ref="K1358">choice(Professeurs!B:B,1,Settings!$B$16)</f>
        <v>Prof42</v>
      </c>
      <c r="L1358" s="5" t="str" cm="1">
        <f t="array" ref="L1358">choice(Referentiel!C:C,1,Settings!$B$16)</f>
        <v/>
      </c>
      <c r="M1358" s="5" t="str" cm="1">
        <f t="array" ref="M1358">choice(Referentiel!E:E,1,Settings!$B$16)</f>
        <v/>
      </c>
      <c r="N1358" s="5" t="str" cm="1">
        <f t="array" ref="N1358">choice(Settings!K:K,1,Settings!$B$16)</f>
        <v>vendredi am</v>
      </c>
      <c r="P1358" s="5">
        <f t="shared" si="88"/>
        <v>3</v>
      </c>
    </row>
    <row r="1359" spans="1:16" ht="15.75" customHeight="1" x14ac:dyDescent="0.25">
      <c r="A1359" s="6" t="s">
        <v>1711</v>
      </c>
      <c r="B1359" s="6" cm="1">
        <f t="array" ref="B1359">alea_int(Settings!$B$10,1,Settings!$B$16)</f>
        <v>3</v>
      </c>
      <c r="C1359" s="8">
        <v>46023</v>
      </c>
      <c r="D1359" s="8">
        <f t="shared" si="85"/>
        <v>46387</v>
      </c>
      <c r="E1359" s="6" t="str" cm="1">
        <f t="array" ref="E1359">choice(Groupes!A:A,1,Settings!$B$16)</f>
        <v>G27</v>
      </c>
      <c r="F1359" s="6" t="str">
        <f t="shared" si="86"/>
        <v>G27</v>
      </c>
      <c r="G1359" s="6" t="str">
        <f t="shared" si="87"/>
        <v>Prof23</v>
      </c>
      <c r="H1359" s="6" t="str" cm="1">
        <f t="array" ref="H1359">choice(Referentiel!A:A,1,Settings!$B$16)</f>
        <v>Gr SYMBIOSE</v>
      </c>
      <c r="I1359" s="6" t="str" cm="1">
        <f t="array" ref="I1359">choice(Referentiel!B:B,1,Settings!$B$16)</f>
        <v>2ème année Cinéma d'Animation S2</v>
      </c>
      <c r="J1359" s="6" t="str" cm="1">
        <f t="array" ref="J1359">choice(Referentiel!D:D,1,Settings!$B$16)</f>
        <v>L3</v>
      </c>
      <c r="K1359" s="6" t="str" cm="1">
        <f t="array" ref="K1359">choice(Professeurs!B:B,1,Settings!$B$16)</f>
        <v>Prof23</v>
      </c>
      <c r="L1359" s="5" t="str" cm="1">
        <f t="array" ref="L1359">choice(Referentiel!C:C,1,Settings!$B$16)</f>
        <v/>
      </c>
      <c r="M1359" s="5" t="str" cm="1">
        <f t="array" ref="M1359">choice(Referentiel!E:E,1,Settings!$B$16)</f>
        <v/>
      </c>
      <c r="N1359" s="5" t="str" cm="1">
        <f t="array" ref="N1359">choice(Settings!K:K,1,Settings!$B$16)</f>
        <v/>
      </c>
      <c r="P1359" s="5">
        <f t="shared" si="88"/>
        <v>3</v>
      </c>
    </row>
    <row r="1360" spans="1:16" ht="15.75" customHeight="1" x14ac:dyDescent="0.25">
      <c r="A1360" s="6" t="s">
        <v>1712</v>
      </c>
      <c r="B1360" s="6" cm="1">
        <f t="array" ref="B1360">alea_int(Settings!$B$10,1,Settings!$B$16)</f>
        <v>2</v>
      </c>
      <c r="C1360" s="8">
        <v>46023</v>
      </c>
      <c r="D1360" s="8">
        <f t="shared" si="85"/>
        <v>46387</v>
      </c>
      <c r="E1360" s="6" t="str" cm="1">
        <f t="array" ref="E1360">choice(Groupes!A:A,1,Settings!$B$16)</f>
        <v>G22</v>
      </c>
      <c r="F1360" s="6" t="str">
        <f t="shared" si="86"/>
        <v>G22</v>
      </c>
      <c r="G1360" s="6" t="str">
        <f t="shared" si="87"/>
        <v>Prof49</v>
      </c>
      <c r="H1360" s="6" t="str" cm="1">
        <f t="array" ref="H1360">choice(Referentiel!A:A,1,Settings!$B$16)</f>
        <v>1ère année Groupe 4</v>
      </c>
      <c r="I1360" s="6" t="str" cm="1">
        <f t="array" ref="I1360">choice(Referentiel!B:B,1,Settings!$B$16)</f>
        <v>2ème année Art-Espace S2</v>
      </c>
      <c r="J1360" s="6" t="str" cm="1">
        <f t="array" ref="J1360">choice(Referentiel!D:D,1,Settings!$B$16)</f>
        <v>L1</v>
      </c>
      <c r="K1360" s="6" t="str" cm="1">
        <f t="array" ref="K1360">choice(Professeurs!B:B,1,Settings!$B$16)</f>
        <v>Prof49</v>
      </c>
      <c r="L1360" s="5" t="str" cm="1">
        <f t="array" ref="L1360">choice(Referentiel!C:C,1,Settings!$B$16)</f>
        <v/>
      </c>
      <c r="M1360" s="5" t="str" cm="1">
        <f t="array" ref="M1360">choice(Referentiel!E:E,1,Settings!$B$16)</f>
        <v/>
      </c>
      <c r="N1360" s="5" t="str" cm="1">
        <f t="array" ref="N1360">choice(Settings!K:K,1,Settings!$B$16)</f>
        <v/>
      </c>
      <c r="P1360" s="5">
        <f t="shared" si="88"/>
        <v>2</v>
      </c>
    </row>
    <row r="1361" spans="1:16" ht="15.75" customHeight="1" x14ac:dyDescent="0.25">
      <c r="A1361" s="6" t="s">
        <v>1713</v>
      </c>
      <c r="B1361" s="6" cm="1">
        <f t="array" ref="B1361">alea_int(Settings!$B$10,1,Settings!$B$16)</f>
        <v>2</v>
      </c>
      <c r="C1361" s="8">
        <v>46023</v>
      </c>
      <c r="D1361" s="8">
        <f t="shared" si="85"/>
        <v>46387</v>
      </c>
      <c r="E1361" s="6" t="str" cm="1">
        <f t="array" ref="E1361">choice(Groupes!A:A,1,Settings!$B$16)</f>
        <v>G17</v>
      </c>
      <c r="F1361" s="6" t="str">
        <f t="shared" si="86"/>
        <v>G17</v>
      </c>
      <c r="G1361" s="6" t="str">
        <f t="shared" si="87"/>
        <v>Prof10</v>
      </c>
      <c r="H1361" s="6" t="str" cm="1">
        <f t="array" ref="H1361">choice(Referentiel!A:A,1,Settings!$B$16)</f>
        <v>1ère année Groupe 3</v>
      </c>
      <c r="I1361" s="6" t="str" cm="1">
        <f t="array" ref="I1361">choice(Referentiel!B:B,1,Settings!$B$16)</f>
        <v>4ème année Art-Espace S2</v>
      </c>
      <c r="J1361" s="6" t="str" cm="1">
        <f t="array" ref="J1361">choice(Referentiel!D:D,1,Settings!$B$16)</f>
        <v>L1</v>
      </c>
      <c r="K1361" s="6" t="str" cm="1">
        <f t="array" ref="K1361">choice(Professeurs!B:B,1,Settings!$B$16)</f>
        <v>Prof10</v>
      </c>
      <c r="L1361" s="5" t="str" cm="1">
        <f t="array" ref="L1361">choice(Referentiel!C:C,1,Settings!$B$16)</f>
        <v/>
      </c>
      <c r="M1361" s="5" t="str" cm="1">
        <f t="array" ref="M1361">choice(Referentiel!E:E,1,Settings!$B$16)</f>
        <v/>
      </c>
      <c r="N1361" s="5" t="str" cm="1">
        <f t="array" ref="N1361">choice(Settings!K:K,1,Settings!$B$16)</f>
        <v/>
      </c>
      <c r="P1361" s="5">
        <f t="shared" si="88"/>
        <v>2</v>
      </c>
    </row>
    <row r="1362" spans="1:16" ht="15.75" customHeight="1" x14ac:dyDescent="0.25">
      <c r="A1362" s="6" t="s">
        <v>1714</v>
      </c>
      <c r="B1362" s="6" cm="1">
        <f t="array" ref="B1362">alea_int(Settings!$B$10,1,Settings!$B$16)</f>
        <v>3</v>
      </c>
      <c r="C1362" s="8">
        <v>46023</v>
      </c>
      <c r="D1362" s="8">
        <f t="shared" si="85"/>
        <v>46387</v>
      </c>
      <c r="E1362" s="6" t="str" cm="1">
        <f t="array" ref="E1362">choice(Groupes!A:A,1,Settings!$B$16)</f>
        <v>G16</v>
      </c>
      <c r="F1362" s="6" t="str">
        <f t="shared" si="86"/>
        <v>G16</v>
      </c>
      <c r="G1362" s="6" t="str">
        <f t="shared" si="87"/>
        <v>Prof30</v>
      </c>
      <c r="H1362" s="6" t="str" cm="1">
        <f t="array" ref="H1362">choice(Referentiel!A:A,1,Settings!$B$16)</f>
        <v>Gr TERRITOIRES</v>
      </c>
      <c r="I1362" s="6" t="str" cm="1">
        <f t="array" ref="I1362">choice(Referentiel!B:B,1,Settings!$B$16)</f>
        <v>5ème année Cinéma d'Animation S1</v>
      </c>
      <c r="J1362" s="6" t="str" cm="1">
        <f t="array" ref="J1362">choice(Referentiel!D:D,1,Settings!$B$16)</f>
        <v>L1</v>
      </c>
      <c r="K1362" s="6" t="str" cm="1">
        <f t="array" ref="K1362">choice(Professeurs!B:B,1,Settings!$B$16)</f>
        <v>Prof30</v>
      </c>
      <c r="L1362" s="5" t="str" cm="1">
        <f t="array" ref="L1362">choice(Referentiel!C:C,1,Settings!$B$16)</f>
        <v/>
      </c>
      <c r="M1362" s="5" t="str" cm="1">
        <f t="array" ref="M1362">choice(Referentiel!E:E,1,Settings!$B$16)</f>
        <v/>
      </c>
      <c r="N1362" s="5" t="str" cm="1">
        <f t="array" ref="N1362">choice(Settings!K:K,1,Settings!$B$16)</f>
        <v>mercredi pm</v>
      </c>
      <c r="P1362" s="5">
        <f t="shared" si="88"/>
        <v>5</v>
      </c>
    </row>
    <row r="1363" spans="1:16" ht="15.75" customHeight="1" x14ac:dyDescent="0.25">
      <c r="A1363" s="6" t="s">
        <v>1715</v>
      </c>
      <c r="B1363" s="6" cm="1">
        <f t="array" ref="B1363">alea_int(Settings!$B$10,1,Settings!$B$16)</f>
        <v>3</v>
      </c>
      <c r="C1363" s="8">
        <v>46023</v>
      </c>
      <c r="D1363" s="8">
        <f t="shared" si="85"/>
        <v>46387</v>
      </c>
      <c r="E1363" s="6" t="str" cm="1">
        <f t="array" ref="E1363">choice(Groupes!A:A,1,Settings!$B$16)</f>
        <v>G7</v>
      </c>
      <c r="F1363" s="6" t="str">
        <f t="shared" si="86"/>
        <v>G7</v>
      </c>
      <c r="G1363" s="6" t="str">
        <f t="shared" si="87"/>
        <v>Prof27</v>
      </c>
      <c r="H1363" s="6" t="str" cm="1">
        <f t="array" ref="H1363">choice(Referentiel!A:A,1,Settings!$B$16)</f>
        <v>1ère année Groupe 1</v>
      </c>
      <c r="I1363" s="6" t="str" cm="1">
        <f t="array" ref="I1363">choice(Referentiel!B:B,1,Settings!$B$16)</f>
        <v>3ème année Photo / Vidéo S2</v>
      </c>
      <c r="J1363" s="6" t="str" cm="1">
        <f t="array" ref="J1363">choice(Referentiel!D:D,1,Settings!$B$16)</f>
        <v>L2</v>
      </c>
      <c r="K1363" s="6" t="str" cm="1">
        <f t="array" ref="K1363">choice(Professeurs!B:B,1,Settings!$B$16)</f>
        <v>Prof27</v>
      </c>
      <c r="L1363" s="5" t="str" cm="1">
        <f t="array" ref="L1363">choice(Referentiel!C:C,1,Settings!$B$16)</f>
        <v/>
      </c>
      <c r="M1363" s="5" t="str" cm="1">
        <f t="array" ref="M1363">choice(Referentiel!E:E,1,Settings!$B$16)</f>
        <v/>
      </c>
      <c r="N1363" s="5" t="str" cm="1">
        <f t="array" ref="N1363">choice(Settings!K:K,1,Settings!$B$16)</f>
        <v/>
      </c>
      <c r="P1363" s="5">
        <f t="shared" si="88"/>
        <v>3</v>
      </c>
    </row>
    <row r="1364" spans="1:16" ht="15.75" customHeight="1" x14ac:dyDescent="0.25">
      <c r="A1364" s="6" t="s">
        <v>1716</v>
      </c>
      <c r="B1364" s="6" cm="1">
        <f t="array" ref="B1364">alea_int(Settings!$B$10,1,Settings!$B$16)</f>
        <v>2</v>
      </c>
      <c r="C1364" s="8">
        <v>46023</v>
      </c>
      <c r="D1364" s="8">
        <f t="shared" si="85"/>
        <v>46387</v>
      </c>
      <c r="E1364" s="6" t="str" cm="1">
        <f t="array" ref="E1364">choice(Groupes!A:A,1,Settings!$B$16)</f>
        <v>G8</v>
      </c>
      <c r="F1364" s="6" t="str">
        <f t="shared" si="86"/>
        <v>G8</v>
      </c>
      <c r="G1364" s="6" t="str">
        <f t="shared" si="87"/>
        <v>Prof14</v>
      </c>
      <c r="H1364" s="6" t="str" cm="1">
        <f t="array" ref="H1364">choice(Referentiel!A:A,1,Settings!$B$16)</f>
        <v>Gr TERRITOIRES</v>
      </c>
      <c r="I1364" s="6" t="str" cm="1">
        <f t="array" ref="I1364">choice(Referentiel!B:B,1,Settings!$B$16)</f>
        <v>5ème année Architecture Intérieure S1</v>
      </c>
      <c r="J1364" s="6" t="str" cm="1">
        <f t="array" ref="J1364">choice(Referentiel!D:D,1,Settings!$B$16)</f>
        <v>L3</v>
      </c>
      <c r="K1364" s="6" t="str" cm="1">
        <f t="array" ref="K1364">choice(Professeurs!B:B,1,Settings!$B$16)</f>
        <v>Prof14</v>
      </c>
      <c r="L1364" s="5" t="str" cm="1">
        <f t="array" ref="L1364">choice(Referentiel!C:C,1,Settings!$B$16)</f>
        <v/>
      </c>
      <c r="M1364" s="5" t="str" cm="1">
        <f t="array" ref="M1364">choice(Referentiel!E:E,1,Settings!$B$16)</f>
        <v/>
      </c>
      <c r="N1364" s="5" t="str" cm="1">
        <f t="array" ref="N1364">choice(Settings!K:K,1,Settings!$B$16)</f>
        <v/>
      </c>
      <c r="P1364" s="5">
        <f t="shared" si="88"/>
        <v>2</v>
      </c>
    </row>
    <row r="1365" spans="1:16" ht="15.75" customHeight="1" x14ac:dyDescent="0.25">
      <c r="A1365" s="6" t="s">
        <v>1717</v>
      </c>
      <c r="B1365" s="6" cm="1">
        <f t="array" ref="B1365">alea_int(Settings!$B$10,1,Settings!$B$16)</f>
        <v>1</v>
      </c>
      <c r="C1365" s="8">
        <v>46023</v>
      </c>
      <c r="D1365" s="8">
        <f t="shared" si="85"/>
        <v>46387</v>
      </c>
      <c r="E1365" s="6" t="str" cm="1">
        <f t="array" ref="E1365">choice(Groupes!A:A,1,Settings!$B$16)</f>
        <v>G8</v>
      </c>
      <c r="F1365" s="6" t="str">
        <f t="shared" si="86"/>
        <v>G8</v>
      </c>
      <c r="G1365" s="6" t="str">
        <f t="shared" si="87"/>
        <v>Prof55</v>
      </c>
      <c r="H1365" s="6" t="str" cm="1">
        <f t="array" ref="H1365">choice(Referentiel!A:A,1,Settings!$B$16)</f>
        <v>Design Textile et Matière</v>
      </c>
      <c r="I1365" s="6" t="str" cm="1">
        <f t="array" ref="I1365">choice(Referentiel!B:B,1,Settings!$B$16)</f>
        <v>5ème année Design Textile et Matière S1</v>
      </c>
      <c r="J1365" s="6" t="str" cm="1">
        <f t="array" ref="J1365">choice(Referentiel!D:D,1,Settings!$B$16)</f>
        <v>L3</v>
      </c>
      <c r="K1365" s="6" t="str" cm="1">
        <f t="array" ref="K1365">choice(Professeurs!B:B,1,Settings!$B$16)</f>
        <v>Prof55</v>
      </c>
      <c r="L1365" s="5" t="str" cm="1">
        <f t="array" ref="L1365">choice(Referentiel!C:C,1,Settings!$B$16)</f>
        <v/>
      </c>
      <c r="M1365" s="5" t="str" cm="1">
        <f t="array" ref="M1365">choice(Referentiel!E:E,1,Settings!$B$16)</f>
        <v/>
      </c>
      <c r="N1365" s="5" t="str" cm="1">
        <f t="array" ref="N1365">choice(Settings!K:K,1,Settings!$B$16)</f>
        <v>mardi pm</v>
      </c>
      <c r="P1365" s="5">
        <f t="shared" si="88"/>
        <v>3</v>
      </c>
    </row>
    <row r="1366" spans="1:16" ht="15.75" customHeight="1" x14ac:dyDescent="0.25">
      <c r="A1366" s="6" t="s">
        <v>1718</v>
      </c>
      <c r="B1366" s="6" cm="1">
        <f t="array" ref="B1366">alea_int(Settings!$B$10,1,Settings!$B$16)</f>
        <v>1</v>
      </c>
      <c r="C1366" s="8">
        <v>46023</v>
      </c>
      <c r="D1366" s="8">
        <f t="shared" si="85"/>
        <v>46387</v>
      </c>
      <c r="E1366" s="6" t="str" cm="1">
        <f t="array" ref="E1366">choice(Groupes!A:A,1,Settings!$B$16)</f>
        <v>G8</v>
      </c>
      <c r="F1366" s="6" t="str">
        <f t="shared" si="86"/>
        <v>G8</v>
      </c>
      <c r="G1366" s="6" t="str">
        <f t="shared" si="87"/>
        <v>Prof49</v>
      </c>
      <c r="H1366" s="6" t="str" cm="1">
        <f t="array" ref="H1366">choice(Referentiel!A:A,1,Settings!$B$16)</f>
        <v>Design des mondes littoraux</v>
      </c>
      <c r="I1366" s="6" t="str" cm="1">
        <f t="array" ref="I1366">choice(Referentiel!B:B,1,Settings!$B$16)</f>
        <v>4ème année Design Graphique S2</v>
      </c>
      <c r="J1366" s="6" t="str" cm="1">
        <f t="array" ref="J1366">choice(Referentiel!D:D,1,Settings!$B$16)</f>
        <v>M1</v>
      </c>
      <c r="K1366" s="6" t="str" cm="1">
        <f t="array" ref="K1366">choice(Professeurs!B:B,1,Settings!$B$16)</f>
        <v>Prof49</v>
      </c>
      <c r="L1366" s="5" t="str" cm="1">
        <f t="array" ref="L1366">choice(Referentiel!C:C,1,Settings!$B$16)</f>
        <v/>
      </c>
      <c r="M1366" s="5" t="str" cm="1">
        <f t="array" ref="M1366">choice(Referentiel!E:E,1,Settings!$B$16)</f>
        <v/>
      </c>
      <c r="N1366" s="5" t="str" cm="1">
        <f t="array" ref="N1366">choice(Settings!K:K,1,Settings!$B$16)</f>
        <v>lundi pm</v>
      </c>
      <c r="P1366" s="5">
        <f t="shared" si="88"/>
        <v>3</v>
      </c>
    </row>
    <row r="1367" spans="1:16" ht="15.75" customHeight="1" x14ac:dyDescent="0.25">
      <c r="A1367" s="6" t="s">
        <v>1719</v>
      </c>
      <c r="B1367" s="6" cm="1">
        <f t="array" ref="B1367">alea_int(Settings!$B$10,1,Settings!$B$16)</f>
        <v>1</v>
      </c>
      <c r="C1367" s="8">
        <v>46023</v>
      </c>
      <c r="D1367" s="8">
        <f t="shared" si="85"/>
        <v>46387</v>
      </c>
      <c r="E1367" s="6" t="str" cm="1">
        <f t="array" ref="E1367">choice(Groupes!A:A,1,Settings!$B$16)</f>
        <v>G2</v>
      </c>
      <c r="F1367" s="6" t="str">
        <f t="shared" si="86"/>
        <v>G2</v>
      </c>
      <c r="G1367" s="6" t="str">
        <f t="shared" si="87"/>
        <v>Prof35</v>
      </c>
      <c r="H1367" s="6" t="str" cm="1">
        <f t="array" ref="H1367">choice(Referentiel!A:A,1,Settings!$B$16)</f>
        <v>6ème ANNÉE STAGE</v>
      </c>
      <c r="I1367" s="6" t="str" cm="1">
        <f t="array" ref="I1367">choice(Referentiel!B:B,1,Settings!$B$16)</f>
        <v>1ère Année Groupe 3 S1</v>
      </c>
      <c r="J1367" s="6" t="str" cm="1">
        <f t="array" ref="J1367">choice(Referentiel!D:D,1,Settings!$B$16)</f>
        <v>L1</v>
      </c>
      <c r="K1367" s="6" t="str" cm="1">
        <f t="array" ref="K1367">choice(Professeurs!B:B,1,Settings!$B$16)</f>
        <v>Prof35</v>
      </c>
      <c r="L1367" s="5" t="str" cm="1">
        <f t="array" ref="L1367">choice(Referentiel!C:C,1,Settings!$B$16)</f>
        <v/>
      </c>
      <c r="M1367" s="5" t="str" cm="1">
        <f t="array" ref="M1367">choice(Referentiel!E:E,1,Settings!$B$16)</f>
        <v/>
      </c>
      <c r="N1367" s="5" t="str" cm="1">
        <f t="array" ref="N1367">choice(Settings!K:K,1,Settings!$B$16)</f>
        <v/>
      </c>
      <c r="P1367" s="5">
        <f t="shared" si="88"/>
        <v>1</v>
      </c>
    </row>
    <row r="1368" spans="1:16" ht="15.75" customHeight="1" x14ac:dyDescent="0.25">
      <c r="A1368" s="6" t="s">
        <v>1720</v>
      </c>
      <c r="B1368" s="6" cm="1">
        <f t="array" ref="B1368">alea_int(Settings!$B$10,1,Settings!$B$16)</f>
        <v>2</v>
      </c>
      <c r="C1368" s="8">
        <v>46023</v>
      </c>
      <c r="D1368" s="8">
        <f t="shared" si="85"/>
        <v>46387</v>
      </c>
      <c r="E1368" s="6" t="str" cm="1">
        <f t="array" ref="E1368">choice(Groupes!A:A,1,Settings!$B$16)</f>
        <v>G1</v>
      </c>
      <c r="F1368" s="6" t="str">
        <f t="shared" si="86"/>
        <v>G1</v>
      </c>
      <c r="G1368" s="6" t="str">
        <f t="shared" si="87"/>
        <v>Prof34</v>
      </c>
      <c r="H1368" s="6" t="str" cm="1">
        <f t="array" ref="H1368">choice(Referentiel!A:A,1,Settings!$B$16)</f>
        <v>Gr SPATIAL MEDIA</v>
      </c>
      <c r="I1368" s="6" t="str" cm="1">
        <f t="array" ref="I1368">choice(Referentiel!B:B,1,Settings!$B$16)</f>
        <v>3ème année Cinéma d'Animation S2</v>
      </c>
      <c r="J1368" s="6" t="str" cm="1">
        <f t="array" ref="J1368">choice(Referentiel!D:D,1,Settings!$B$16)</f>
        <v>L3</v>
      </c>
      <c r="K1368" s="6" t="str" cm="1">
        <f t="array" ref="K1368">choice(Professeurs!B:B,1,Settings!$B$16)</f>
        <v>Prof34</v>
      </c>
      <c r="L1368" s="5" t="str" cm="1">
        <f t="array" ref="L1368">choice(Referentiel!C:C,1,Settings!$B$16)</f>
        <v/>
      </c>
      <c r="M1368" s="5" t="str" cm="1">
        <f t="array" ref="M1368">choice(Referentiel!E:E,1,Settings!$B$16)</f>
        <v/>
      </c>
      <c r="N1368" s="5" t="str" cm="1">
        <f t="array" ref="N1368">choice(Settings!K:K,1,Settings!$B$16)</f>
        <v>mercredi ap</v>
      </c>
      <c r="P1368" s="5">
        <f t="shared" si="88"/>
        <v>4</v>
      </c>
    </row>
    <row r="1369" spans="1:16" ht="15.75" customHeight="1" x14ac:dyDescent="0.25">
      <c r="A1369" s="6" t="s">
        <v>1721</v>
      </c>
      <c r="B1369" s="6" cm="1">
        <f t="array" ref="B1369">alea_int(Settings!$B$10,1,Settings!$B$16)</f>
        <v>2</v>
      </c>
      <c r="C1369" s="8">
        <v>46023</v>
      </c>
      <c r="D1369" s="8">
        <f t="shared" si="85"/>
        <v>46387</v>
      </c>
      <c r="E1369" s="6" t="str" cm="1">
        <f t="array" ref="E1369">choice(Groupes!A:A,1,Settings!$B$16)</f>
        <v>G2</v>
      </c>
      <c r="F1369" s="6" t="str">
        <f t="shared" si="86"/>
        <v>G2</v>
      </c>
      <c r="G1369" s="6" t="str">
        <f t="shared" si="87"/>
        <v>Prof45</v>
      </c>
      <c r="H1369" s="6" t="str" cm="1">
        <f t="array" ref="H1369">choice(Referentiel!A:A,1,Settings!$B$16)</f>
        <v>Photo / Vidéo</v>
      </c>
      <c r="I1369" s="6" t="str" cm="1">
        <f t="array" ref="I1369">choice(Referentiel!B:B,1,Settings!$B$16)</f>
        <v>2ème année Image Imprimée S1</v>
      </c>
      <c r="J1369" s="6" t="str" cm="1">
        <f t="array" ref="J1369">choice(Referentiel!D:D,1,Settings!$B$16)</f>
        <v>L3</v>
      </c>
      <c r="K1369" s="6" t="str" cm="1">
        <f t="array" ref="K1369">choice(Professeurs!B:B,1,Settings!$B$16)</f>
        <v>Prof45</v>
      </c>
      <c r="L1369" s="5" t="str" cm="1">
        <f t="array" ref="L1369">choice(Referentiel!C:C,1,Settings!$B$16)</f>
        <v/>
      </c>
      <c r="M1369" s="5" t="str" cm="1">
        <f t="array" ref="M1369">choice(Referentiel!E:E,1,Settings!$B$16)</f>
        <v/>
      </c>
      <c r="N1369" s="5" t="str" cm="1">
        <f t="array" ref="N1369">choice(Settings!K:K,1,Settings!$B$16)</f>
        <v/>
      </c>
      <c r="P1369" s="5">
        <f t="shared" si="88"/>
        <v>2</v>
      </c>
    </row>
    <row r="1370" spans="1:16" ht="15.75" customHeight="1" x14ac:dyDescent="0.25">
      <c r="A1370" s="6" t="s">
        <v>1722</v>
      </c>
      <c r="B1370" s="6" cm="1">
        <f t="array" ref="B1370">alea_int(Settings!$B$10,1,Settings!$B$16)</f>
        <v>1</v>
      </c>
      <c r="C1370" s="8">
        <v>46023</v>
      </c>
      <c r="D1370" s="8">
        <f t="shared" si="85"/>
        <v>46387</v>
      </c>
      <c r="E1370" s="6" t="str" cm="1">
        <f t="array" ref="E1370">choice(Groupes!A:A,1,Settings!$B$16)</f>
        <v>G14</v>
      </c>
      <c r="F1370" s="6" t="str">
        <f t="shared" si="86"/>
        <v>G14</v>
      </c>
      <c r="G1370" s="6" t="str">
        <f t="shared" si="87"/>
        <v>Prof40</v>
      </c>
      <c r="H1370" s="6" t="str" cm="1">
        <f t="array" ref="H1370">choice(Referentiel!A:A,1,Settings!$B$16)</f>
        <v>Gr ART, DESIGN, SOCIETE</v>
      </c>
      <c r="I1370" s="6" t="str" cm="1">
        <f t="array" ref="I1370">choice(Referentiel!B:B,1,Settings!$B$16)</f>
        <v>1ère Année Groupe 4 S2</v>
      </c>
      <c r="J1370" s="6" t="str" cm="1">
        <f t="array" ref="J1370">choice(Referentiel!D:D,1,Settings!$B$16)</f>
        <v>M2</v>
      </c>
      <c r="K1370" s="6" t="str" cm="1">
        <f t="array" ref="K1370">choice(Professeurs!B:B,1,Settings!$B$16)</f>
        <v>Prof40</v>
      </c>
      <c r="L1370" s="5" t="str" cm="1">
        <f t="array" ref="L1370">choice(Referentiel!C:C,1,Settings!$B$16)</f>
        <v/>
      </c>
      <c r="M1370" s="5" t="str" cm="1">
        <f t="array" ref="M1370">choice(Referentiel!E:E,1,Settings!$B$16)</f>
        <v/>
      </c>
      <c r="N1370" s="5" t="str" cm="1">
        <f t="array" ref="N1370">choice(Settings!K:K,1,Settings!$B$16)</f>
        <v/>
      </c>
      <c r="P1370" s="5">
        <f t="shared" si="88"/>
        <v>1</v>
      </c>
    </row>
    <row r="1371" spans="1:16" ht="15.75" customHeight="1" x14ac:dyDescent="0.25">
      <c r="A1371" s="6" t="s">
        <v>1723</v>
      </c>
      <c r="B1371" s="6" cm="1">
        <f t="array" ref="B1371">alea_int(Settings!$B$10,1,Settings!$B$16)</f>
        <v>1</v>
      </c>
      <c r="C1371" s="8">
        <v>46023</v>
      </c>
      <c r="D1371" s="8">
        <f t="shared" si="85"/>
        <v>46387</v>
      </c>
      <c r="E1371" s="6" t="str" cm="1">
        <f t="array" ref="E1371">choice(Groupes!A:A,1,Settings!$B$16)</f>
        <v>G25</v>
      </c>
      <c r="F1371" s="6" t="str">
        <f t="shared" si="86"/>
        <v>G25</v>
      </c>
      <c r="G1371" s="6" t="str">
        <f t="shared" si="87"/>
        <v>Prof36</v>
      </c>
      <c r="H1371" s="6" t="str" cm="1">
        <f t="array" ref="H1371">choice(Referentiel!A:A,1,Settings!$B$16)</f>
        <v>1ère année Groupe 3</v>
      </c>
      <c r="I1371" s="6" t="str" cm="1">
        <f t="array" ref="I1371">choice(Referentiel!B:B,1,Settings!$B$16)</f>
        <v>3ème année Design Graphique S1</v>
      </c>
      <c r="J1371" s="6" t="str" cm="1">
        <f t="array" ref="J1371">choice(Referentiel!D:D,1,Settings!$B$16)</f>
        <v>L3</v>
      </c>
      <c r="K1371" s="6" t="str" cm="1">
        <f t="array" ref="K1371">choice(Professeurs!B:B,1,Settings!$B$16)</f>
        <v>Prof36</v>
      </c>
      <c r="L1371" s="5" t="str" cm="1">
        <f t="array" ref="L1371">choice(Referentiel!C:C,1,Settings!$B$16)</f>
        <v/>
      </c>
      <c r="M1371" s="5" t="str" cm="1">
        <f t="array" ref="M1371">choice(Referentiel!E:E,1,Settings!$B$16)</f>
        <v/>
      </c>
      <c r="N1371" s="5" t="str" cm="1">
        <f t="array" ref="N1371">choice(Settings!K:K,1,Settings!$B$16)</f>
        <v/>
      </c>
      <c r="P1371" s="5">
        <f t="shared" si="88"/>
        <v>1</v>
      </c>
    </row>
    <row r="1372" spans="1:16" ht="15.75" customHeight="1" x14ac:dyDescent="0.25">
      <c r="A1372" s="6" t="s">
        <v>1724</v>
      </c>
      <c r="B1372" s="6" cm="1">
        <f t="array" ref="B1372">alea_int(Settings!$B$10,1,Settings!$B$16)</f>
        <v>1</v>
      </c>
      <c r="C1372" s="8">
        <v>46023</v>
      </c>
      <c r="D1372" s="8">
        <f t="shared" si="85"/>
        <v>46387</v>
      </c>
      <c r="E1372" s="6" t="str" cm="1">
        <f t="array" ref="E1372">choice(Groupes!A:A,1,Settings!$B$16)</f>
        <v>G28</v>
      </c>
      <c r="F1372" s="6" t="str">
        <f t="shared" si="86"/>
        <v>G28</v>
      </c>
      <c r="G1372" s="6" t="str">
        <f t="shared" si="87"/>
        <v>Prof46</v>
      </c>
      <c r="H1372" s="6" t="str" cm="1">
        <f t="array" ref="H1372">choice(Referentiel!A:A,1,Settings!$B$16)</f>
        <v>6ème année atelier</v>
      </c>
      <c r="I1372" s="6" t="str" cm="1">
        <f t="array" ref="I1372">choice(Referentiel!B:B,1,Settings!$B$16)</f>
        <v>4ème année Design Objet S1</v>
      </c>
      <c r="J1372" s="6" t="str" cm="1">
        <f t="array" ref="J1372">choice(Referentiel!D:D,1,Settings!$B$16)</f>
        <v>L2</v>
      </c>
      <c r="K1372" s="6" t="str" cm="1">
        <f t="array" ref="K1372">choice(Professeurs!B:B,1,Settings!$B$16)</f>
        <v>Prof46</v>
      </c>
      <c r="L1372" s="5" t="str" cm="1">
        <f t="array" ref="L1372">choice(Referentiel!C:C,1,Settings!$B$16)</f>
        <v/>
      </c>
      <c r="M1372" s="5" t="str" cm="1">
        <f t="array" ref="M1372">choice(Referentiel!E:E,1,Settings!$B$16)</f>
        <v/>
      </c>
      <c r="N1372" s="5" t="str" cm="1">
        <f t="array" ref="N1372">choice(Settings!K:K,1,Settings!$B$16)</f>
        <v/>
      </c>
      <c r="P1372" s="5">
        <f t="shared" si="88"/>
        <v>1</v>
      </c>
    </row>
    <row r="1373" spans="1:16" ht="15.75" customHeight="1" x14ac:dyDescent="0.25">
      <c r="A1373" s="6" t="s">
        <v>1725</v>
      </c>
      <c r="B1373" s="6" cm="1">
        <f t="array" ref="B1373">alea_int(Settings!$B$10,1,Settings!$B$16)</f>
        <v>3</v>
      </c>
      <c r="C1373" s="8">
        <v>46023</v>
      </c>
      <c r="D1373" s="8">
        <f t="shared" si="85"/>
        <v>46387</v>
      </c>
      <c r="E1373" s="6" t="str" cm="1">
        <f t="array" ref="E1373">choice(Groupes!A:A,1,Settings!$B$16)</f>
        <v>G4</v>
      </c>
      <c r="F1373" s="6" t="str">
        <f t="shared" si="86"/>
        <v>G4</v>
      </c>
      <c r="G1373" s="6" t="str">
        <f t="shared" si="87"/>
        <v>Prof7</v>
      </c>
      <c r="H1373" s="6" t="str" cm="1">
        <f t="array" ref="H1373">choice(Referentiel!A:A,1,Settings!$B$16)</f>
        <v>Design des mondes forestiers</v>
      </c>
      <c r="I1373" s="6" t="str" cm="1">
        <f t="array" ref="I1373">choice(Referentiel!B:B,1,Settings!$B$16)</f>
        <v>4ème année Architecture Intérieure S1</v>
      </c>
      <c r="J1373" s="6" t="str" cm="1">
        <f t="array" ref="J1373">choice(Referentiel!D:D,1,Settings!$B$16)</f>
        <v>M1</v>
      </c>
      <c r="K1373" s="6" t="str" cm="1">
        <f t="array" ref="K1373">choice(Professeurs!B:B,1,Settings!$B$16)</f>
        <v>Prof7</v>
      </c>
      <c r="L1373" s="5" t="str" cm="1">
        <f t="array" ref="L1373">choice(Referentiel!C:C,1,Settings!$B$16)</f>
        <v/>
      </c>
      <c r="M1373" s="5" t="str" cm="1">
        <f t="array" ref="M1373">choice(Referentiel!E:E,1,Settings!$B$16)</f>
        <v/>
      </c>
      <c r="N1373" s="5" t="str" cm="1">
        <f t="array" ref="N1373">choice(Settings!K:K,1,Settings!$B$16)</f>
        <v/>
      </c>
      <c r="P1373" s="5">
        <f t="shared" si="88"/>
        <v>3</v>
      </c>
    </row>
    <row r="1374" spans="1:16" ht="15.75" customHeight="1" x14ac:dyDescent="0.25">
      <c r="A1374" s="6" t="s">
        <v>1726</v>
      </c>
      <c r="B1374" s="6" cm="1">
        <f t="array" ref="B1374">alea_int(Settings!$B$10,1,Settings!$B$16)</f>
        <v>1</v>
      </c>
      <c r="C1374" s="8">
        <v>46023</v>
      </c>
      <c r="D1374" s="8">
        <f t="shared" si="85"/>
        <v>46387</v>
      </c>
      <c r="E1374" s="6" t="str" cm="1">
        <f t="array" ref="E1374">choice(Groupes!A:A,1,Settings!$B$16)</f>
        <v>G12</v>
      </c>
      <c r="F1374" s="6" t="str">
        <f t="shared" si="86"/>
        <v>G12</v>
      </c>
      <c r="G1374" s="6" t="str">
        <f t="shared" si="87"/>
        <v>Prof33</v>
      </c>
      <c r="H1374" s="6" t="str" cm="1">
        <f t="array" ref="H1374">choice(Referentiel!A:A,1,Settings!$B$16)</f>
        <v>6ème ANNÉE STAGE</v>
      </c>
      <c r="I1374" s="6" t="str" cm="1">
        <f t="array" ref="I1374">choice(Referentiel!B:B,1,Settings!$B$16)</f>
        <v>2ème année Design Vêtement S2</v>
      </c>
      <c r="J1374" s="6" t="str" cm="1">
        <f t="array" ref="J1374">choice(Referentiel!D:D,1,Settings!$B$16)</f>
        <v>L1</v>
      </c>
      <c r="K1374" s="6" t="str" cm="1">
        <f t="array" ref="K1374">choice(Professeurs!B:B,1,Settings!$B$16)</f>
        <v>Prof33</v>
      </c>
      <c r="L1374" s="5" t="str" cm="1">
        <f t="array" ref="L1374">choice(Referentiel!C:C,1,Settings!$B$16)</f>
        <v/>
      </c>
      <c r="M1374" s="5" t="str" cm="1">
        <f t="array" ref="M1374">choice(Referentiel!E:E,1,Settings!$B$16)</f>
        <v/>
      </c>
      <c r="N1374" s="5" t="str" cm="1">
        <f t="array" ref="N1374">choice(Settings!K:K,1,Settings!$B$16)</f>
        <v>mercredi pm</v>
      </c>
      <c r="P1374" s="5">
        <f t="shared" si="88"/>
        <v>3</v>
      </c>
    </row>
    <row r="1375" spans="1:16" ht="15.75" customHeight="1" x14ac:dyDescent="0.25">
      <c r="A1375" s="6" t="s">
        <v>1727</v>
      </c>
      <c r="B1375" s="6" cm="1">
        <f t="array" ref="B1375">alea_int(Settings!$B$10,1,Settings!$B$16)</f>
        <v>3</v>
      </c>
      <c r="C1375" s="8">
        <v>46023</v>
      </c>
      <c r="D1375" s="8">
        <f t="shared" si="85"/>
        <v>46387</v>
      </c>
      <c r="E1375" s="6" t="str" cm="1">
        <f t="array" ref="E1375">choice(Groupes!A:A,1,Settings!$B$16)</f>
        <v>G5</v>
      </c>
      <c r="F1375" s="6" t="str">
        <f t="shared" si="86"/>
        <v>G5</v>
      </c>
      <c r="G1375" s="6" t="str">
        <f t="shared" si="87"/>
        <v>Prof47</v>
      </c>
      <c r="H1375" s="6" t="str" cm="1">
        <f t="array" ref="H1375">choice(Referentiel!A:A,1,Settings!$B$16)</f>
        <v>Design Graphique</v>
      </c>
      <c r="I1375" s="6" t="str" cm="1">
        <f t="array" ref="I1375">choice(Referentiel!B:B,1,Settings!$B$16)</f>
        <v>2ème année Design Textile et Matière S1</v>
      </c>
      <c r="J1375" s="6" t="str" cm="1">
        <f t="array" ref="J1375">choice(Referentiel!D:D,1,Settings!$B$16)</f>
        <v>L3</v>
      </c>
      <c r="K1375" s="6" t="str" cm="1">
        <f t="array" ref="K1375">choice(Professeurs!B:B,1,Settings!$B$16)</f>
        <v>Prof47</v>
      </c>
      <c r="L1375" s="5" t="str" cm="1">
        <f t="array" ref="L1375">choice(Referentiel!C:C,1,Settings!$B$16)</f>
        <v>fenetre</v>
      </c>
      <c r="M1375" s="5" t="str" cm="1">
        <f t="array" ref="M1375">choice(Referentiel!E:E,1,Settings!$B$16)</f>
        <v>Salle1</v>
      </c>
      <c r="N1375" s="5" t="str" cm="1">
        <f t="array" ref="N1375">choice(Settings!K:K,1,Settings!$B$16)</f>
        <v/>
      </c>
      <c r="P1375" s="5">
        <f t="shared" si="88"/>
        <v>5</v>
      </c>
    </row>
    <row r="1376" spans="1:16" ht="15.75" customHeight="1" x14ac:dyDescent="0.25">
      <c r="A1376" s="6" t="s">
        <v>1728</v>
      </c>
      <c r="B1376" s="6" cm="1">
        <f t="array" ref="B1376">alea_int(Settings!$B$10,1,Settings!$B$16)</f>
        <v>2</v>
      </c>
      <c r="C1376" s="8">
        <v>46023</v>
      </c>
      <c r="D1376" s="8">
        <f t="shared" si="85"/>
        <v>46387</v>
      </c>
      <c r="E1376" s="6" t="str" cm="1">
        <f t="array" ref="E1376">choice(Groupes!A:A,1,Settings!$B$16)</f>
        <v>G13</v>
      </c>
      <c r="F1376" s="6" t="str">
        <f t="shared" si="86"/>
        <v>G13</v>
      </c>
      <c r="G1376" s="6" t="str">
        <f t="shared" si="87"/>
        <v>Prof44</v>
      </c>
      <c r="H1376" s="6" t="str" cm="1">
        <f t="array" ref="H1376">choice(Referentiel!A:A,1,Settings!$B$16)</f>
        <v>Design Graphique</v>
      </c>
      <c r="I1376" s="6" t="str" cm="1">
        <f t="array" ref="I1376">choice(Referentiel!B:B,1,Settings!$B$16)</f>
        <v>5ème année Design Objet S1</v>
      </c>
      <c r="J1376" s="6" t="str" cm="1">
        <f t="array" ref="J1376">choice(Referentiel!D:D,1,Settings!$B$16)</f>
        <v>M1</v>
      </c>
      <c r="K1376" s="6" t="str" cm="1">
        <f t="array" ref="K1376">choice(Professeurs!B:B,1,Settings!$B$16)</f>
        <v>Prof44</v>
      </c>
      <c r="L1376" s="5" t="str" cm="1">
        <f t="array" ref="L1376">choice(Referentiel!C:C,1,Settings!$B$16)</f>
        <v/>
      </c>
      <c r="M1376" s="5" t="str" cm="1">
        <f t="array" ref="M1376">choice(Referentiel!E:E,1,Settings!$B$16)</f>
        <v/>
      </c>
      <c r="N1376" s="5" t="str" cm="1">
        <f t="array" ref="N1376">choice(Settings!K:K,1,Settings!$B$16)</f>
        <v/>
      </c>
      <c r="P1376" s="5">
        <f t="shared" si="88"/>
        <v>2</v>
      </c>
    </row>
    <row r="1377" spans="1:16" ht="15.75" customHeight="1" x14ac:dyDescent="0.25">
      <c r="A1377" s="6" t="s">
        <v>1729</v>
      </c>
      <c r="B1377" s="6" cm="1">
        <f t="array" ref="B1377">alea_int(Settings!$B$10,1,Settings!$B$16)</f>
        <v>1</v>
      </c>
      <c r="C1377" s="8">
        <v>46023</v>
      </c>
      <c r="D1377" s="8">
        <f t="shared" si="85"/>
        <v>46387</v>
      </c>
      <c r="E1377" s="6" t="str" cm="1">
        <f t="array" ref="E1377">choice(Groupes!A:A,1,Settings!$B$16)</f>
        <v>G13</v>
      </c>
      <c r="F1377" s="6" t="str">
        <f t="shared" si="86"/>
        <v>G13</v>
      </c>
      <c r="G1377" s="6" t="str">
        <f t="shared" si="87"/>
        <v>Prof2</v>
      </c>
      <c r="H1377" s="6" t="str" cm="1">
        <f t="array" ref="H1377">choice(Referentiel!A:A,1,Settings!$B$16)</f>
        <v>Design Textile et Matière</v>
      </c>
      <c r="I1377" s="6" t="str" cm="1">
        <f t="array" ref="I1377">choice(Referentiel!B:B,1,Settings!$B$16)</f>
        <v>2ème année Image Imprimée S1</v>
      </c>
      <c r="J1377" s="6" t="str" cm="1">
        <f t="array" ref="J1377">choice(Referentiel!D:D,1,Settings!$B$16)</f>
        <v>L3</v>
      </c>
      <c r="K1377" s="6" t="str" cm="1">
        <f t="array" ref="K1377">choice(Professeurs!B:B,1,Settings!$B$16)</f>
        <v>Prof2</v>
      </c>
      <c r="L1377" s="5" t="str" cm="1">
        <f t="array" ref="L1377">choice(Referentiel!C:C,1,Settings!$B$16)</f>
        <v/>
      </c>
      <c r="M1377" s="5" t="str" cm="1">
        <f t="array" ref="M1377">choice(Referentiel!E:E,1,Settings!$B$16)</f>
        <v/>
      </c>
      <c r="N1377" s="5" t="str" cm="1">
        <f t="array" ref="N1377">choice(Settings!K:K,1,Settings!$B$16)</f>
        <v/>
      </c>
      <c r="P1377" s="5">
        <f t="shared" si="88"/>
        <v>1</v>
      </c>
    </row>
    <row r="1378" spans="1:16" ht="15.75" customHeight="1" x14ac:dyDescent="0.25">
      <c r="A1378" s="6" t="s">
        <v>1730</v>
      </c>
      <c r="B1378" s="6" cm="1">
        <f t="array" ref="B1378">alea_int(Settings!$B$10,1,Settings!$B$16)</f>
        <v>3</v>
      </c>
      <c r="C1378" s="8">
        <v>46023</v>
      </c>
      <c r="D1378" s="8">
        <f t="shared" si="85"/>
        <v>46387</v>
      </c>
      <c r="E1378" s="6" t="str" cm="1">
        <f t="array" ref="E1378">choice(Groupes!A:A,1,Settings!$B$16)</f>
        <v>G11</v>
      </c>
      <c r="F1378" s="6" t="str">
        <f t="shared" si="86"/>
        <v>G11</v>
      </c>
      <c r="G1378" s="6" t="str">
        <f t="shared" si="87"/>
        <v>Prof25</v>
      </c>
      <c r="H1378" s="6" t="str" cm="1">
        <f t="array" ref="H1378">choice(Referentiel!A:A,1,Settings!$B$16)</f>
        <v>Cinéma d'Animation</v>
      </c>
      <c r="I1378" s="6" t="str" cm="1">
        <f t="array" ref="I1378">choice(Referentiel!B:B,1,Settings!$B$16)</f>
        <v>5ème année Design Textile et Matière S1</v>
      </c>
      <c r="J1378" s="6" t="str" cm="1">
        <f t="array" ref="J1378">choice(Referentiel!D:D,1,Settings!$B$16)</f>
        <v>L2</v>
      </c>
      <c r="K1378" s="6" t="str" cm="1">
        <f t="array" ref="K1378">choice(Professeurs!B:B,1,Settings!$B$16)</f>
        <v>Prof25</v>
      </c>
      <c r="L1378" s="5" t="str" cm="1">
        <f t="array" ref="L1378">choice(Referentiel!C:C,1,Settings!$B$16)</f>
        <v/>
      </c>
      <c r="M1378" s="5" t="str" cm="1">
        <f t="array" ref="M1378">choice(Referentiel!E:E,1,Settings!$B$16)</f>
        <v/>
      </c>
      <c r="N1378" s="5" t="str" cm="1">
        <f t="array" ref="N1378">choice(Settings!K:K,1,Settings!$B$16)</f>
        <v>mardi pm</v>
      </c>
      <c r="P1378" s="5">
        <f t="shared" si="88"/>
        <v>5</v>
      </c>
    </row>
    <row r="1379" spans="1:16" ht="15.75" customHeight="1" x14ac:dyDescent="0.25">
      <c r="A1379" s="6" t="s">
        <v>1731</v>
      </c>
      <c r="B1379" s="6" cm="1">
        <f t="array" ref="B1379">alea_int(Settings!$B$10,1,Settings!$B$16)</f>
        <v>1</v>
      </c>
      <c r="C1379" s="8">
        <v>46023</v>
      </c>
      <c r="D1379" s="8">
        <f t="shared" si="85"/>
        <v>46387</v>
      </c>
      <c r="E1379" s="6" t="str" cm="1">
        <f t="array" ref="E1379">choice(Groupes!A:A,1,Settings!$B$16)</f>
        <v>G5</v>
      </c>
      <c r="F1379" s="6" t="str">
        <f t="shared" si="86"/>
        <v>G5</v>
      </c>
      <c r="G1379" s="6" t="str">
        <f t="shared" si="87"/>
        <v>Prof16</v>
      </c>
      <c r="H1379" s="6" t="str" cm="1">
        <f t="array" ref="H1379">choice(Referentiel!A:A,1,Settings!$B$16)</f>
        <v>1ère année Groupe 2</v>
      </c>
      <c r="I1379" s="6" t="str" cm="1">
        <f t="array" ref="I1379">choice(Referentiel!B:B,1,Settings!$B$16)</f>
        <v>4ème année Image Imprimée S2</v>
      </c>
      <c r="J1379" s="6" t="str" cm="1">
        <f t="array" ref="J1379">choice(Referentiel!D:D,1,Settings!$B$16)</f>
        <v>L2</v>
      </c>
      <c r="K1379" s="6" t="str" cm="1">
        <f t="array" ref="K1379">choice(Professeurs!B:B,1,Settings!$B$16)</f>
        <v>Prof16</v>
      </c>
      <c r="L1379" s="5" t="str" cm="1">
        <f t="array" ref="L1379">choice(Referentiel!C:C,1,Settings!$B$16)</f>
        <v/>
      </c>
      <c r="M1379" s="5" t="str" cm="1">
        <f t="array" ref="M1379">choice(Referentiel!E:E,1,Settings!$B$16)</f>
        <v/>
      </c>
      <c r="N1379" s="5" t="str" cm="1">
        <f t="array" ref="N1379">choice(Settings!K:K,1,Settings!$B$16)</f>
        <v/>
      </c>
      <c r="P1379" s="5">
        <f t="shared" si="88"/>
        <v>1</v>
      </c>
    </row>
    <row r="1380" spans="1:16" ht="15.75" customHeight="1" x14ac:dyDescent="0.25">
      <c r="A1380" s="6" t="s">
        <v>1732</v>
      </c>
      <c r="B1380" s="6" cm="1">
        <f t="array" ref="B1380">alea_int(Settings!$B$10,1,Settings!$B$16)</f>
        <v>3</v>
      </c>
      <c r="C1380" s="8">
        <v>46023</v>
      </c>
      <c r="D1380" s="8">
        <f t="shared" si="85"/>
        <v>46387</v>
      </c>
      <c r="E1380" s="6" t="str" cm="1">
        <f t="array" ref="E1380">choice(Groupes!A:A,1,Settings!$B$16)</f>
        <v>G11</v>
      </c>
      <c r="F1380" s="6" t="str">
        <f t="shared" si="86"/>
        <v>G11</v>
      </c>
      <c r="G1380" s="6" t="str">
        <f t="shared" si="87"/>
        <v>Prof19</v>
      </c>
      <c r="H1380" s="6" t="str" cm="1">
        <f t="array" ref="H1380">choice(Referentiel!A:A,1,Settings!$B$16)</f>
        <v>Scénographie</v>
      </c>
      <c r="I1380" s="6" t="str" cm="1">
        <f t="array" ref="I1380">choice(Referentiel!B:B,1,Settings!$B$16)</f>
        <v>2ème année Design Graphique S2</v>
      </c>
      <c r="J1380" s="6" t="str" cm="1">
        <f t="array" ref="J1380">choice(Referentiel!D:D,1,Settings!$B$16)</f>
        <v>L2</v>
      </c>
      <c r="K1380" s="6" t="str" cm="1">
        <f t="array" ref="K1380">choice(Professeurs!B:B,1,Settings!$B$16)</f>
        <v>Prof19</v>
      </c>
      <c r="L1380" s="5" t="str" cm="1">
        <f t="array" ref="L1380">choice(Referentiel!C:C,1,Settings!$B$16)</f>
        <v/>
      </c>
      <c r="M1380" s="5" t="str" cm="1">
        <f t="array" ref="M1380">choice(Referentiel!E:E,1,Settings!$B$16)</f>
        <v/>
      </c>
      <c r="N1380" s="5" t="str" cm="1">
        <f t="array" ref="N1380">choice(Settings!K:K,1,Settings!$B$16)</f>
        <v/>
      </c>
      <c r="P1380" s="5">
        <f t="shared" si="88"/>
        <v>3</v>
      </c>
    </row>
    <row r="1381" spans="1:16" ht="15.75" customHeight="1" x14ac:dyDescent="0.25">
      <c r="A1381" s="6" t="s">
        <v>1733</v>
      </c>
      <c r="B1381" s="6" cm="1">
        <f t="array" ref="B1381">alea_int(Settings!$B$10,1,Settings!$B$16)</f>
        <v>3</v>
      </c>
      <c r="C1381" s="8">
        <v>46023</v>
      </c>
      <c r="D1381" s="8">
        <f t="shared" si="85"/>
        <v>46387</v>
      </c>
      <c r="E1381" s="6" t="str" cm="1">
        <f t="array" ref="E1381">choice(Groupes!A:A,1,Settings!$B$16)</f>
        <v>G17</v>
      </c>
      <c r="F1381" s="6" t="str">
        <f t="shared" si="86"/>
        <v>G17</v>
      </c>
      <c r="G1381" s="6" t="str">
        <f t="shared" si="87"/>
        <v>Prof14</v>
      </c>
      <c r="H1381" s="6" t="str" cm="1">
        <f t="array" ref="H1381">choice(Referentiel!A:A,1,Settings!$B$16)</f>
        <v>6ème ANNÉE STAGE</v>
      </c>
      <c r="I1381" s="6" t="str" cm="1">
        <f t="array" ref="I1381">choice(Referentiel!B:B,1,Settings!$B$16)</f>
        <v>5ème année Cinéma d'Animation S2</v>
      </c>
      <c r="J1381" s="6" t="str" cm="1">
        <f t="array" ref="J1381">choice(Referentiel!D:D,1,Settings!$B$16)</f>
        <v>L2</v>
      </c>
      <c r="K1381" s="6" t="str" cm="1">
        <f t="array" ref="K1381">choice(Professeurs!B:B,1,Settings!$B$16)</f>
        <v>Prof14</v>
      </c>
      <c r="L1381" s="5" t="str" cm="1">
        <f t="array" ref="L1381">choice(Referentiel!C:C,1,Settings!$B$16)</f>
        <v/>
      </c>
      <c r="M1381" s="5" t="str" cm="1">
        <f t="array" ref="M1381">choice(Referentiel!E:E,1,Settings!$B$16)</f>
        <v/>
      </c>
      <c r="N1381" s="5" t="str" cm="1">
        <f t="array" ref="N1381">choice(Settings!K:K,1,Settings!$B$16)</f>
        <v/>
      </c>
      <c r="P1381" s="5">
        <f t="shared" si="88"/>
        <v>3</v>
      </c>
    </row>
    <row r="1382" spans="1:16" ht="15.75" customHeight="1" x14ac:dyDescent="0.25">
      <c r="A1382" s="6" t="s">
        <v>1734</v>
      </c>
      <c r="B1382" s="6" cm="1">
        <f t="array" ref="B1382">alea_int(Settings!$B$10,1,Settings!$B$16)</f>
        <v>2</v>
      </c>
      <c r="C1382" s="8">
        <v>46023</v>
      </c>
      <c r="D1382" s="8">
        <f t="shared" si="85"/>
        <v>46387</v>
      </c>
      <c r="E1382" s="6" t="str" cm="1">
        <f t="array" ref="E1382">choice(Groupes!A:A,1,Settings!$B$16)</f>
        <v>G28</v>
      </c>
      <c r="F1382" s="6" t="str">
        <f t="shared" si="86"/>
        <v>G28</v>
      </c>
      <c r="G1382" s="6" t="str">
        <f t="shared" si="87"/>
        <v>Prof45</v>
      </c>
      <c r="H1382" s="6" t="str" cm="1">
        <f t="array" ref="H1382">choice(Referentiel!A:A,1,Settings!$B$16)</f>
        <v>Design Vêtement</v>
      </c>
      <c r="I1382" s="6" t="str" cm="1">
        <f t="array" ref="I1382">choice(Referentiel!B:B,1,Settings!$B$16)</f>
        <v>2ème année Design Objet S2</v>
      </c>
      <c r="J1382" s="6" t="str" cm="1">
        <f t="array" ref="J1382">choice(Referentiel!D:D,1,Settings!$B$16)</f>
        <v>L2</v>
      </c>
      <c r="K1382" s="6" t="str" cm="1">
        <f t="array" ref="K1382">choice(Professeurs!B:B,1,Settings!$B$16)</f>
        <v>Prof45</v>
      </c>
      <c r="L1382" s="5" t="str" cm="1">
        <f t="array" ref="L1382">choice(Referentiel!C:C,1,Settings!$B$16)</f>
        <v/>
      </c>
      <c r="M1382" s="5" t="str" cm="1">
        <f t="array" ref="M1382">choice(Referentiel!E:E,1,Settings!$B$16)</f>
        <v/>
      </c>
      <c r="N1382" s="5" t="str" cm="1">
        <f t="array" ref="N1382">choice(Settings!K:K,1,Settings!$B$16)</f>
        <v/>
      </c>
      <c r="P1382" s="5">
        <f t="shared" si="88"/>
        <v>2</v>
      </c>
    </row>
    <row r="1383" spans="1:16" ht="15.75" customHeight="1" x14ac:dyDescent="0.25">
      <c r="A1383" s="6" t="s">
        <v>1735</v>
      </c>
      <c r="B1383" s="6" cm="1">
        <f t="array" ref="B1383">alea_int(Settings!$B$10,1,Settings!$B$16)</f>
        <v>1</v>
      </c>
      <c r="C1383" s="8">
        <v>46023</v>
      </c>
      <c r="D1383" s="8">
        <f t="shared" si="85"/>
        <v>46387</v>
      </c>
      <c r="E1383" s="6" t="str" cm="1">
        <f t="array" ref="E1383">choice(Groupes!A:A,1,Settings!$B$16)</f>
        <v>G3</v>
      </c>
      <c r="F1383" s="6" t="str">
        <f t="shared" si="86"/>
        <v>G3</v>
      </c>
      <c r="G1383" s="6" t="str">
        <f t="shared" si="87"/>
        <v>Prof5</v>
      </c>
      <c r="H1383" s="6" t="str" cm="1">
        <f t="array" ref="H1383">choice(Referentiel!A:A,1,Settings!$B$16)</f>
        <v>Design Objet</v>
      </c>
      <c r="I1383" s="6" t="str" cm="1">
        <f t="array" ref="I1383">choice(Referentiel!B:B,1,Settings!$B$16)</f>
        <v>2ème année Image Imprimée S2</v>
      </c>
      <c r="J1383" s="6" t="str" cm="1">
        <f t="array" ref="J1383">choice(Referentiel!D:D,1,Settings!$B$16)</f>
        <v>L3</v>
      </c>
      <c r="K1383" s="6" t="str" cm="1">
        <f t="array" ref="K1383">choice(Professeurs!B:B,1,Settings!$B$16)</f>
        <v>Prof5</v>
      </c>
      <c r="L1383" s="5" t="str" cm="1">
        <f t="array" ref="L1383">choice(Referentiel!C:C,1,Settings!$B$16)</f>
        <v/>
      </c>
      <c r="M1383" s="5" t="str" cm="1">
        <f t="array" ref="M1383">choice(Referentiel!E:E,1,Settings!$B$16)</f>
        <v/>
      </c>
      <c r="N1383" s="5" t="str" cm="1">
        <f t="array" ref="N1383">choice(Settings!K:K,1,Settings!$B$16)</f>
        <v>mardi pm</v>
      </c>
      <c r="P1383" s="5">
        <f t="shared" si="88"/>
        <v>3</v>
      </c>
    </row>
    <row r="1384" spans="1:16" ht="15.75" customHeight="1" x14ac:dyDescent="0.25">
      <c r="A1384" s="6" t="s">
        <v>1736</v>
      </c>
      <c r="B1384" s="6" cm="1">
        <f t="array" ref="B1384">alea_int(Settings!$B$10,1,Settings!$B$16)</f>
        <v>1</v>
      </c>
      <c r="C1384" s="8">
        <v>46023</v>
      </c>
      <c r="D1384" s="8">
        <f t="shared" si="85"/>
        <v>46387</v>
      </c>
      <c r="E1384" s="6" t="str" cm="1">
        <f t="array" ref="E1384">choice(Groupes!A:A,1,Settings!$B$16)</f>
        <v>G17</v>
      </c>
      <c r="F1384" s="6" t="str">
        <f t="shared" si="86"/>
        <v>G17</v>
      </c>
      <c r="G1384" s="6" t="str">
        <f t="shared" si="87"/>
        <v>Prof47</v>
      </c>
      <c r="H1384" s="6" t="str" cm="1">
        <f t="array" ref="H1384">choice(Referentiel!A:A,1,Settings!$B$16)</f>
        <v>6ème ANNÉE STAGE</v>
      </c>
      <c r="I1384" s="6" t="str" cm="1">
        <f t="array" ref="I1384">choice(Referentiel!B:B,1,Settings!$B$16)</f>
        <v>1ère Année Groupe 3 S2</v>
      </c>
      <c r="J1384" s="6" t="str" cm="1">
        <f t="array" ref="J1384">choice(Referentiel!D:D,1,Settings!$B$16)</f>
        <v>M1</v>
      </c>
      <c r="K1384" s="6" t="str" cm="1">
        <f t="array" ref="K1384">choice(Professeurs!B:B,1,Settings!$B$16)</f>
        <v>Prof47</v>
      </c>
      <c r="L1384" s="5" t="str" cm="1">
        <f t="array" ref="L1384">choice(Referentiel!C:C,1,Settings!$B$16)</f>
        <v/>
      </c>
      <c r="M1384" s="5" t="str" cm="1">
        <f t="array" ref="M1384">choice(Referentiel!E:E,1,Settings!$B$16)</f>
        <v/>
      </c>
      <c r="N1384" s="5" t="str" cm="1">
        <f t="array" ref="N1384">choice(Settings!K:K,1,Settings!$B$16)</f>
        <v>vendredi pm</v>
      </c>
      <c r="P1384" s="5">
        <f t="shared" si="88"/>
        <v>3</v>
      </c>
    </row>
    <row r="1385" spans="1:16" ht="15.75" customHeight="1" x14ac:dyDescent="0.25">
      <c r="A1385" s="6" t="s">
        <v>1737</v>
      </c>
      <c r="B1385" s="6" cm="1">
        <f t="array" ref="B1385">alea_int(Settings!$B$10,1,Settings!$B$16)</f>
        <v>2</v>
      </c>
      <c r="C1385" s="8">
        <v>46023</v>
      </c>
      <c r="D1385" s="8">
        <f t="shared" si="85"/>
        <v>46387</v>
      </c>
      <c r="E1385" s="6" t="str" cm="1">
        <f t="array" ref="E1385">choice(Groupes!A:A,1,Settings!$B$16)</f>
        <v>G11</v>
      </c>
      <c r="F1385" s="6" t="str">
        <f t="shared" si="86"/>
        <v>G11</v>
      </c>
      <c r="G1385" s="6" t="str">
        <f t="shared" si="87"/>
        <v>Prof20</v>
      </c>
      <c r="H1385" s="6" t="str" cm="1">
        <f t="array" ref="H1385">choice(Referentiel!A:A,1,Settings!$B$16)</f>
        <v>Gr REFLECTIVE INTERACTION</v>
      </c>
      <c r="I1385" s="6" t="str" cm="1">
        <f t="array" ref="I1385">choice(Referentiel!B:B,1,Settings!$B$16)</f>
        <v>4ème année Image Imprimée S2</v>
      </c>
      <c r="J1385" s="6" t="str" cm="1">
        <f t="array" ref="J1385">choice(Referentiel!D:D,1,Settings!$B$16)</f>
        <v>L2</v>
      </c>
      <c r="K1385" s="6" t="str" cm="1">
        <f t="array" ref="K1385">choice(Professeurs!B:B,1,Settings!$B$16)</f>
        <v>Prof20</v>
      </c>
      <c r="L1385" s="5" t="str" cm="1">
        <f t="array" ref="L1385">choice(Referentiel!C:C,1,Settings!$B$16)</f>
        <v/>
      </c>
      <c r="M1385" s="5" t="str" cm="1">
        <f t="array" ref="M1385">choice(Referentiel!E:E,1,Settings!$B$16)</f>
        <v/>
      </c>
      <c r="N1385" s="5" t="str" cm="1">
        <f t="array" ref="N1385">choice(Settings!K:K,1,Settings!$B$16)</f>
        <v/>
      </c>
      <c r="P1385" s="5">
        <f t="shared" si="88"/>
        <v>2</v>
      </c>
    </row>
    <row r="1386" spans="1:16" ht="15.75" customHeight="1" x14ac:dyDescent="0.25">
      <c r="A1386" s="6" t="s">
        <v>1738</v>
      </c>
      <c r="B1386" s="6" cm="1">
        <f t="array" ref="B1386">alea_int(Settings!$B$10,1,Settings!$B$16)</f>
        <v>3</v>
      </c>
      <c r="C1386" s="8">
        <v>46023</v>
      </c>
      <c r="D1386" s="8">
        <f t="shared" si="85"/>
        <v>46387</v>
      </c>
      <c r="E1386" s="6" t="str" cm="1">
        <f t="array" ref="E1386">choice(Groupes!A:A,1,Settings!$B$16)</f>
        <v>G19</v>
      </c>
      <c r="F1386" s="6" t="str">
        <f t="shared" si="86"/>
        <v>G19</v>
      </c>
      <c r="G1386" s="6" t="str">
        <f t="shared" si="87"/>
        <v>Prof3</v>
      </c>
      <c r="H1386" s="6" t="str" cm="1">
        <f t="array" ref="H1386">choice(Referentiel!A:A,1,Settings!$B$16)</f>
        <v>Design Vêtement</v>
      </c>
      <c r="I1386" s="6" t="str" cm="1">
        <f t="array" ref="I1386">choice(Referentiel!B:B,1,Settings!$B$16)</f>
        <v>2ème année Photo / Vidéo S1</v>
      </c>
      <c r="J1386" s="6" t="str" cm="1">
        <f t="array" ref="J1386">choice(Referentiel!D:D,1,Settings!$B$16)</f>
        <v>M2</v>
      </c>
      <c r="K1386" s="6" t="str" cm="1">
        <f t="array" ref="K1386">choice(Professeurs!B:B,1,Settings!$B$16)</f>
        <v>Prof3</v>
      </c>
      <c r="L1386" s="5" t="str" cm="1">
        <f t="array" ref="L1386">choice(Referentiel!C:C,1,Settings!$B$16)</f>
        <v/>
      </c>
      <c r="M1386" s="5" t="str" cm="1">
        <f t="array" ref="M1386">choice(Referentiel!E:E,1,Settings!$B$16)</f>
        <v/>
      </c>
      <c r="N1386" s="5" t="str" cm="1">
        <f t="array" ref="N1386">choice(Settings!K:K,1,Settings!$B$16)</f>
        <v>jeudi pm</v>
      </c>
      <c r="P1386" s="5">
        <f t="shared" si="88"/>
        <v>5</v>
      </c>
    </row>
    <row r="1387" spans="1:16" ht="15.75" customHeight="1" x14ac:dyDescent="0.25">
      <c r="A1387" s="6" t="s">
        <v>1739</v>
      </c>
      <c r="B1387" s="6" cm="1">
        <f t="array" ref="B1387">alea_int(Settings!$B$10,1,Settings!$B$16)</f>
        <v>1</v>
      </c>
      <c r="C1387" s="8">
        <v>46023</v>
      </c>
      <c r="D1387" s="8">
        <f t="shared" si="85"/>
        <v>46387</v>
      </c>
      <c r="E1387" s="6" t="str" cm="1">
        <f t="array" ref="E1387">choice(Groupes!A:A,1,Settings!$B$16)</f>
        <v>G21</v>
      </c>
      <c r="F1387" s="6" t="str">
        <f t="shared" si="86"/>
        <v>G21</v>
      </c>
      <c r="G1387" s="6" t="str">
        <f t="shared" si="87"/>
        <v>Prof43</v>
      </c>
      <c r="H1387" s="6" t="str" cm="1">
        <f t="array" ref="H1387">choice(Referentiel!A:A,1,Settings!$B$16)</f>
        <v>Gr SOFT MATTERS</v>
      </c>
      <c r="I1387" s="6" t="str" cm="1">
        <f t="array" ref="I1387">choice(Referentiel!B:B,1,Settings!$B$16)</f>
        <v>5ème année Design Textile et Matière S1</v>
      </c>
      <c r="J1387" s="6" t="str" cm="1">
        <f t="array" ref="J1387">choice(Referentiel!D:D,1,Settings!$B$16)</f>
        <v>L2</v>
      </c>
      <c r="K1387" s="6" t="str" cm="1">
        <f t="array" ref="K1387">choice(Professeurs!B:B,1,Settings!$B$16)</f>
        <v>Prof43</v>
      </c>
      <c r="L1387" s="5" t="str" cm="1">
        <f t="array" ref="L1387">choice(Referentiel!C:C,1,Settings!$B$16)</f>
        <v/>
      </c>
      <c r="M1387" s="5" t="str" cm="1">
        <f t="array" ref="M1387">choice(Referentiel!E:E,1,Settings!$B$16)</f>
        <v/>
      </c>
      <c r="N1387" s="5" t="str" cm="1">
        <f t="array" ref="N1387">choice(Settings!K:K,1,Settings!$B$16)</f>
        <v/>
      </c>
      <c r="P1387" s="5">
        <f t="shared" si="88"/>
        <v>1</v>
      </c>
    </row>
    <row r="1388" spans="1:16" ht="15.75" customHeight="1" x14ac:dyDescent="0.25">
      <c r="A1388" s="6" t="s">
        <v>1740</v>
      </c>
      <c r="B1388" s="6" cm="1">
        <f t="array" ref="B1388">alea_int(Settings!$B$10,1,Settings!$B$16)</f>
        <v>1</v>
      </c>
      <c r="C1388" s="8">
        <v>46023</v>
      </c>
      <c r="D1388" s="8">
        <f t="shared" si="85"/>
        <v>46387</v>
      </c>
      <c r="E1388" s="6" t="str" cm="1">
        <f t="array" ref="E1388">choice(Groupes!A:A,1,Settings!$B$16)</f>
        <v>G25</v>
      </c>
      <c r="F1388" s="6" t="str">
        <f t="shared" si="86"/>
        <v>G25</v>
      </c>
      <c r="G1388" s="6" t="str">
        <f t="shared" si="87"/>
        <v>Prof37</v>
      </c>
      <c r="H1388" s="6" t="str" cm="1">
        <f t="array" ref="H1388">choice(Referentiel!A:A,1,Settings!$B$16)</f>
        <v>Gr ART, DESIGN, SOCIETE</v>
      </c>
      <c r="I1388" s="6" t="str" cm="1">
        <f t="array" ref="I1388">choice(Referentiel!B:B,1,Settings!$B$16)</f>
        <v>3ème année Design Vêtement S1</v>
      </c>
      <c r="J1388" s="6" t="str" cm="1">
        <f t="array" ref="J1388">choice(Referentiel!D:D,1,Settings!$B$16)</f>
        <v>M1</v>
      </c>
      <c r="K1388" s="6" t="str" cm="1">
        <f t="array" ref="K1388">choice(Professeurs!B:B,1,Settings!$B$16)</f>
        <v>Prof37</v>
      </c>
      <c r="L1388" s="5" t="str" cm="1">
        <f t="array" ref="L1388">choice(Referentiel!C:C,1,Settings!$B$16)</f>
        <v/>
      </c>
      <c r="M1388" s="5" t="str" cm="1">
        <f t="array" ref="M1388">choice(Referentiel!E:E,1,Settings!$B$16)</f>
        <v/>
      </c>
      <c r="N1388" s="5" t="str" cm="1">
        <f t="array" ref="N1388">choice(Settings!K:K,1,Settings!$B$16)</f>
        <v>mardi am</v>
      </c>
      <c r="P1388" s="5">
        <f t="shared" si="88"/>
        <v>3</v>
      </c>
    </row>
    <row r="1389" spans="1:16" ht="15.75" customHeight="1" x14ac:dyDescent="0.25">
      <c r="A1389" s="6" t="s">
        <v>1741</v>
      </c>
      <c r="B1389" s="6" cm="1">
        <f t="array" ref="B1389">alea_int(Settings!$B$10,1,Settings!$B$16)</f>
        <v>2</v>
      </c>
      <c r="C1389" s="8">
        <v>46023</v>
      </c>
      <c r="D1389" s="8">
        <f t="shared" si="85"/>
        <v>46387</v>
      </c>
      <c r="E1389" s="6" t="str" cm="1">
        <f t="array" ref="E1389">choice(Groupes!A:A,1,Settings!$B$16)</f>
        <v>G13</v>
      </c>
      <c r="F1389" s="6" t="str">
        <f t="shared" si="86"/>
        <v>G13</v>
      </c>
      <c r="G1389" s="6" t="str">
        <f t="shared" si="87"/>
        <v>Prof2</v>
      </c>
      <c r="H1389" s="6" t="str" cm="1">
        <f t="array" ref="H1389">choice(Referentiel!A:A,1,Settings!$B$16)</f>
        <v>1ère année Groupe 3</v>
      </c>
      <c r="I1389" s="6" t="str" cm="1">
        <f t="array" ref="I1389">choice(Referentiel!B:B,1,Settings!$B$16)</f>
        <v>5ème année Image Imprimée S2</v>
      </c>
      <c r="J1389" s="6" t="str" cm="1">
        <f t="array" ref="J1389">choice(Referentiel!D:D,1,Settings!$B$16)</f>
        <v>M1</v>
      </c>
      <c r="K1389" s="6" t="str" cm="1">
        <f t="array" ref="K1389">choice(Professeurs!B:B,1,Settings!$B$16)</f>
        <v>Prof2</v>
      </c>
      <c r="L1389" s="5" t="str" cm="1">
        <f t="array" ref="L1389">choice(Referentiel!C:C,1,Settings!$B$16)</f>
        <v/>
      </c>
      <c r="M1389" s="5" t="str" cm="1">
        <f t="array" ref="M1389">choice(Referentiel!E:E,1,Settings!$B$16)</f>
        <v>Salle2</v>
      </c>
      <c r="N1389" s="5" t="str" cm="1">
        <f t="array" ref="N1389">choice(Settings!K:K,1,Settings!$B$16)</f>
        <v>vendredi am</v>
      </c>
      <c r="P1389" s="5">
        <f t="shared" si="88"/>
        <v>6</v>
      </c>
    </row>
    <row r="1390" spans="1:16" ht="15.75" customHeight="1" x14ac:dyDescent="0.25">
      <c r="A1390" s="6" t="s">
        <v>1742</v>
      </c>
      <c r="B1390" s="6" cm="1">
        <f t="array" ref="B1390">alea_int(Settings!$B$10,1,Settings!$B$16)</f>
        <v>3</v>
      </c>
      <c r="C1390" s="8">
        <v>46023</v>
      </c>
      <c r="D1390" s="8">
        <f t="shared" si="85"/>
        <v>46387</v>
      </c>
      <c r="E1390" s="6" t="str" cm="1">
        <f t="array" ref="E1390">choice(Groupes!A:A,1,Settings!$B$16)</f>
        <v>G13</v>
      </c>
      <c r="F1390" s="6" t="str">
        <f t="shared" si="86"/>
        <v>G13</v>
      </c>
      <c r="G1390" s="6" t="str">
        <f t="shared" si="87"/>
        <v>Prof31</v>
      </c>
      <c r="H1390" s="6" t="str" cm="1">
        <f t="array" ref="H1390">choice(Referentiel!A:A,1,Settings!$B$16)</f>
        <v>Mode et Matière</v>
      </c>
      <c r="I1390" s="6" t="str" cm="1">
        <f t="array" ref="I1390">choice(Referentiel!B:B,1,Settings!$B$16)</f>
        <v>4ème année Cinéma d'Animation S1</v>
      </c>
      <c r="J1390" s="6" t="str" cm="1">
        <f t="array" ref="J1390">choice(Referentiel!D:D,1,Settings!$B$16)</f>
        <v>M1</v>
      </c>
      <c r="K1390" s="6" t="str" cm="1">
        <f t="array" ref="K1390">choice(Professeurs!B:B,1,Settings!$B$16)</f>
        <v>Prof31</v>
      </c>
      <c r="L1390" s="5" t="str" cm="1">
        <f t="array" ref="L1390">choice(Referentiel!C:C,1,Settings!$B$16)</f>
        <v/>
      </c>
      <c r="M1390" s="5" t="str" cm="1">
        <f t="array" ref="M1390">choice(Referentiel!E:E,1,Settings!$B$16)</f>
        <v/>
      </c>
      <c r="N1390" s="5" t="str" cm="1">
        <f t="array" ref="N1390">choice(Settings!K:K,1,Settings!$B$16)</f>
        <v/>
      </c>
      <c r="P1390" s="5">
        <f t="shared" si="88"/>
        <v>3</v>
      </c>
    </row>
    <row r="1391" spans="1:16" ht="15.75" customHeight="1" x14ac:dyDescent="0.25">
      <c r="A1391" s="6" t="s">
        <v>1743</v>
      </c>
      <c r="B1391" s="6" cm="1">
        <f t="array" ref="B1391">alea_int(Settings!$B$10,1,Settings!$B$16)</f>
        <v>3</v>
      </c>
      <c r="C1391" s="8">
        <v>46023</v>
      </c>
      <c r="D1391" s="8">
        <f t="shared" si="85"/>
        <v>46387</v>
      </c>
      <c r="E1391" s="6" t="str" cm="1">
        <f t="array" ref="E1391">choice(Groupes!A:A,1,Settings!$B$16)</f>
        <v>G25</v>
      </c>
      <c r="F1391" s="6" t="str">
        <f t="shared" si="86"/>
        <v>G25</v>
      </c>
      <c r="G1391" s="6" t="str">
        <f t="shared" si="87"/>
        <v>Prof40</v>
      </c>
      <c r="H1391" s="6" t="str" cm="1">
        <f t="array" ref="H1391">choice(Referentiel!A:A,1,Settings!$B$16)</f>
        <v>Design des mondes insulaires</v>
      </c>
      <c r="I1391" s="6" t="str" cm="1">
        <f t="array" ref="I1391">choice(Referentiel!B:B,1,Settings!$B$16)</f>
        <v>4ème année Design Objet S2</v>
      </c>
      <c r="J1391" s="6" t="str" cm="1">
        <f t="array" ref="J1391">choice(Referentiel!D:D,1,Settings!$B$16)</f>
        <v>L3</v>
      </c>
      <c r="K1391" s="6" t="str" cm="1">
        <f t="array" ref="K1391">choice(Professeurs!B:B,1,Settings!$B$16)</f>
        <v>Prof40</v>
      </c>
      <c r="L1391" s="5" t="str" cm="1">
        <f t="array" ref="L1391">choice(Referentiel!C:C,1,Settings!$B$16)</f>
        <v/>
      </c>
      <c r="M1391" s="5" t="str" cm="1">
        <f t="array" ref="M1391">choice(Referentiel!E:E,1,Settings!$B$16)</f>
        <v/>
      </c>
      <c r="N1391" s="5" t="str" cm="1">
        <f t="array" ref="N1391">choice(Settings!K:K,1,Settings!$B$16)</f>
        <v>mercredi ap</v>
      </c>
      <c r="P1391" s="5">
        <f t="shared" si="88"/>
        <v>5</v>
      </c>
    </row>
    <row r="1392" spans="1:16" ht="15.75" customHeight="1" x14ac:dyDescent="0.25">
      <c r="A1392" s="6" t="s">
        <v>1744</v>
      </c>
      <c r="B1392" s="6" cm="1">
        <f t="array" ref="B1392">alea_int(Settings!$B$10,1,Settings!$B$16)</f>
        <v>3</v>
      </c>
      <c r="C1392" s="8">
        <v>46023</v>
      </c>
      <c r="D1392" s="8">
        <f t="shared" si="85"/>
        <v>46387</v>
      </c>
      <c r="E1392" s="6" t="str" cm="1">
        <f t="array" ref="E1392">choice(Groupes!A:A,1,Settings!$B$16)</f>
        <v>G29</v>
      </c>
      <c r="F1392" s="6" t="str">
        <f t="shared" si="86"/>
        <v>G29</v>
      </c>
      <c r="G1392" s="6" t="str">
        <f t="shared" si="87"/>
        <v>Prof27</v>
      </c>
      <c r="H1392" s="6" t="str" cm="1">
        <f t="array" ref="H1392">choice(Referentiel!A:A,1,Settings!$B$16)</f>
        <v>Gr REFLECTIVE INTERACTION</v>
      </c>
      <c r="I1392" s="6" t="str" cm="1">
        <f t="array" ref="I1392">choice(Referentiel!B:B,1,Settings!$B$16)</f>
        <v>5ème année Image Imprimée S1</v>
      </c>
      <c r="J1392" s="6" t="str" cm="1">
        <f t="array" ref="J1392">choice(Referentiel!D:D,1,Settings!$B$16)</f>
        <v>M2</v>
      </c>
      <c r="K1392" s="6" t="str" cm="1">
        <f t="array" ref="K1392">choice(Professeurs!B:B,1,Settings!$B$16)</f>
        <v>Prof27</v>
      </c>
      <c r="L1392" s="5" t="str" cm="1">
        <f t="array" ref="L1392">choice(Referentiel!C:C,1,Settings!$B$16)</f>
        <v/>
      </c>
      <c r="M1392" s="5" t="str" cm="1">
        <f t="array" ref="M1392">choice(Referentiel!E:E,1,Settings!$B$16)</f>
        <v/>
      </c>
      <c r="N1392" s="5" t="str" cm="1">
        <f t="array" ref="N1392">choice(Settings!K:K,1,Settings!$B$16)</f>
        <v/>
      </c>
      <c r="P1392" s="5">
        <f t="shared" si="88"/>
        <v>3</v>
      </c>
    </row>
    <row r="1393" spans="1:16" ht="15.75" customHeight="1" x14ac:dyDescent="0.25">
      <c r="A1393" s="6" t="s">
        <v>1745</v>
      </c>
      <c r="B1393" s="6" cm="1">
        <f t="array" ref="B1393">alea_int(Settings!$B$10,1,Settings!$B$16)</f>
        <v>1</v>
      </c>
      <c r="C1393" s="8">
        <v>46023</v>
      </c>
      <c r="D1393" s="8">
        <f t="shared" si="85"/>
        <v>46387</v>
      </c>
      <c r="E1393" s="6" t="str" cm="1">
        <f t="array" ref="E1393">choice(Groupes!A:A,1,Settings!$B$16)</f>
        <v>G8</v>
      </c>
      <c r="F1393" s="6" t="str">
        <f t="shared" si="86"/>
        <v>G8</v>
      </c>
      <c r="G1393" s="6" t="str">
        <f t="shared" si="87"/>
        <v>Prof29</v>
      </c>
      <c r="H1393" s="6" t="str" cm="1">
        <f t="array" ref="H1393">choice(Referentiel!A:A,1,Settings!$B$16)</f>
        <v>Mode et Matière</v>
      </c>
      <c r="I1393" s="6" t="str" cm="1">
        <f t="array" ref="I1393">choice(Referentiel!B:B,1,Settings!$B$16)</f>
        <v>2ème année Design Textile et Matière S1</v>
      </c>
      <c r="J1393" s="6" t="str" cm="1">
        <f t="array" ref="J1393">choice(Referentiel!D:D,1,Settings!$B$16)</f>
        <v>L3</v>
      </c>
      <c r="K1393" s="6" t="str" cm="1">
        <f t="array" ref="K1393">choice(Professeurs!B:B,1,Settings!$B$16)</f>
        <v>Prof29</v>
      </c>
      <c r="L1393" s="5" t="str" cm="1">
        <f t="array" ref="L1393">choice(Referentiel!C:C,1,Settings!$B$16)</f>
        <v/>
      </c>
      <c r="M1393" s="5" t="str" cm="1">
        <f t="array" ref="M1393">choice(Referentiel!E:E,1,Settings!$B$16)</f>
        <v/>
      </c>
      <c r="N1393" s="5" t="str" cm="1">
        <f t="array" ref="N1393">choice(Settings!K:K,1,Settings!$B$16)</f>
        <v/>
      </c>
      <c r="P1393" s="5">
        <f t="shared" si="88"/>
        <v>1</v>
      </c>
    </row>
    <row r="1394" spans="1:16" ht="15.75" customHeight="1" x14ac:dyDescent="0.25">
      <c r="A1394" s="6" t="s">
        <v>1746</v>
      </c>
      <c r="B1394" s="6" cm="1">
        <f t="array" ref="B1394">alea_int(Settings!$B$10,1,Settings!$B$16)</f>
        <v>2</v>
      </c>
      <c r="C1394" s="8">
        <v>46023</v>
      </c>
      <c r="D1394" s="8">
        <f t="shared" si="85"/>
        <v>46387</v>
      </c>
      <c r="E1394" s="6" t="str" cm="1">
        <f t="array" ref="E1394">choice(Groupes!A:A,1,Settings!$B$16)</f>
        <v>G23</v>
      </c>
      <c r="F1394" s="6" t="str">
        <f t="shared" si="86"/>
        <v>G23</v>
      </c>
      <c r="G1394" s="6" t="str">
        <f t="shared" si="87"/>
        <v>Prof45</v>
      </c>
      <c r="H1394" s="6" t="str" cm="1">
        <f t="array" ref="H1394">choice(Referentiel!A:A,1,Settings!$B$16)</f>
        <v>Gr SPATIAL MEDIA</v>
      </c>
      <c r="I1394" s="6" t="str" cm="1">
        <f t="array" ref="I1394">choice(Referentiel!B:B,1,Settings!$B$16)</f>
        <v>2ème année Photo / Vidéo S2</v>
      </c>
      <c r="J1394" s="6" t="str" cm="1">
        <f t="array" ref="J1394">choice(Referentiel!D:D,1,Settings!$B$16)</f>
        <v>L3</v>
      </c>
      <c r="K1394" s="6" t="str" cm="1">
        <f t="array" ref="K1394">choice(Professeurs!B:B,1,Settings!$B$16)</f>
        <v>Prof45</v>
      </c>
      <c r="L1394" s="5" t="str" cm="1">
        <f t="array" ref="L1394">choice(Referentiel!C:C,1,Settings!$B$16)</f>
        <v/>
      </c>
      <c r="M1394" s="5" t="str" cm="1">
        <f t="array" ref="M1394">choice(Referentiel!E:E,1,Settings!$B$16)</f>
        <v/>
      </c>
      <c r="N1394" s="5" t="str" cm="1">
        <f t="array" ref="N1394">choice(Settings!K:K,1,Settings!$B$16)</f>
        <v/>
      </c>
      <c r="P1394" s="5">
        <f t="shared" si="88"/>
        <v>2</v>
      </c>
    </row>
    <row r="1395" spans="1:16" ht="15.75" customHeight="1" x14ac:dyDescent="0.25">
      <c r="A1395" s="6" t="s">
        <v>1747</v>
      </c>
      <c r="B1395" s="6" cm="1">
        <f t="array" ref="B1395">alea_int(Settings!$B$10,1,Settings!$B$16)</f>
        <v>2</v>
      </c>
      <c r="C1395" s="8">
        <v>46023</v>
      </c>
      <c r="D1395" s="8">
        <f t="shared" si="85"/>
        <v>46387</v>
      </c>
      <c r="E1395" s="6" t="str" cm="1">
        <f t="array" ref="E1395">choice(Groupes!A:A,1,Settings!$B$16)</f>
        <v>G26</v>
      </c>
      <c r="F1395" s="6" t="str">
        <f t="shared" si="86"/>
        <v>G26</v>
      </c>
      <c r="G1395" s="6" t="str">
        <f t="shared" si="87"/>
        <v>Prof20</v>
      </c>
      <c r="H1395" s="6" t="str" cm="1">
        <f t="array" ref="H1395">choice(Referentiel!A:A,1,Settings!$B$16)</f>
        <v>Design des mondes insulaires</v>
      </c>
      <c r="I1395" s="6" t="str" cm="1">
        <f t="array" ref="I1395">choice(Referentiel!B:B,1,Settings!$B$16)</f>
        <v>4ème année Art-Espace S2</v>
      </c>
      <c r="J1395" s="6" t="str" cm="1">
        <f t="array" ref="J1395">choice(Referentiel!D:D,1,Settings!$B$16)</f>
        <v>M1</v>
      </c>
      <c r="K1395" s="6" t="str" cm="1">
        <f t="array" ref="K1395">choice(Professeurs!B:B,1,Settings!$B$16)</f>
        <v>Prof20</v>
      </c>
      <c r="L1395" s="5" t="str" cm="1">
        <f t="array" ref="L1395">choice(Referentiel!C:C,1,Settings!$B$16)</f>
        <v/>
      </c>
      <c r="M1395" s="5" t="str" cm="1">
        <f t="array" ref="M1395">choice(Referentiel!E:E,1,Settings!$B$16)</f>
        <v/>
      </c>
      <c r="N1395" s="5" t="str" cm="1">
        <f t="array" ref="N1395">choice(Settings!K:K,1,Settings!$B$16)</f>
        <v/>
      </c>
      <c r="P1395" s="5">
        <f t="shared" si="88"/>
        <v>2</v>
      </c>
    </row>
    <row r="1396" spans="1:16" ht="15.75" customHeight="1" x14ac:dyDescent="0.25">
      <c r="A1396" s="6" t="s">
        <v>1748</v>
      </c>
      <c r="B1396" s="6" cm="1">
        <f t="array" ref="B1396">alea_int(Settings!$B$10,1,Settings!$B$16)</f>
        <v>1</v>
      </c>
      <c r="C1396" s="8">
        <v>46023</v>
      </c>
      <c r="D1396" s="8">
        <f t="shared" si="85"/>
        <v>46387</v>
      </c>
      <c r="E1396" s="6" t="str" cm="1">
        <f t="array" ref="E1396">choice(Groupes!A:A,1,Settings!$B$16)</f>
        <v>G20</v>
      </c>
      <c r="F1396" s="6" t="str">
        <f t="shared" si="86"/>
        <v>G20</v>
      </c>
      <c r="G1396" s="6" t="str">
        <f t="shared" si="87"/>
        <v>Prof34</v>
      </c>
      <c r="H1396" s="6" t="str" cm="1">
        <f t="array" ref="H1396">choice(Referentiel!A:A,1,Settings!$B$16)</f>
        <v>Photo / Vidéo</v>
      </c>
      <c r="I1396" s="6" t="str" cm="1">
        <f t="array" ref="I1396">choice(Referentiel!B:B,1,Settings!$B$16)</f>
        <v>3ème année Art-Espace S2</v>
      </c>
      <c r="J1396" s="6" t="str" cm="1">
        <f t="array" ref="J1396">choice(Referentiel!D:D,1,Settings!$B$16)</f>
        <v>L2</v>
      </c>
      <c r="K1396" s="6" t="str" cm="1">
        <f t="array" ref="K1396">choice(Professeurs!B:B,1,Settings!$B$16)</f>
        <v>Prof34</v>
      </c>
      <c r="L1396" s="5" t="str" cm="1">
        <f t="array" ref="L1396">choice(Referentiel!C:C,1,Settings!$B$16)</f>
        <v/>
      </c>
      <c r="M1396" s="5" t="str" cm="1">
        <f t="array" ref="M1396">choice(Referentiel!E:E,1,Settings!$B$16)</f>
        <v/>
      </c>
      <c r="N1396" s="5" t="str" cm="1">
        <f t="array" ref="N1396">choice(Settings!K:K,1,Settings!$B$16)</f>
        <v/>
      </c>
      <c r="P1396" s="5">
        <f t="shared" si="88"/>
        <v>1</v>
      </c>
    </row>
    <row r="1397" spans="1:16" ht="15.75" customHeight="1" x14ac:dyDescent="0.25">
      <c r="A1397" s="6" t="s">
        <v>1749</v>
      </c>
      <c r="B1397" s="6" cm="1">
        <f t="array" ref="B1397">alea_int(Settings!$B$10,1,Settings!$B$16)</f>
        <v>2</v>
      </c>
      <c r="C1397" s="8">
        <v>46023</v>
      </c>
      <c r="D1397" s="8">
        <f t="shared" si="85"/>
        <v>46387</v>
      </c>
      <c r="E1397" s="6" t="str" cm="1">
        <f t="array" ref="E1397">choice(Groupes!A:A,1,Settings!$B$16)</f>
        <v>G6</v>
      </c>
      <c r="F1397" s="6" t="str">
        <f t="shared" si="86"/>
        <v>G6</v>
      </c>
      <c r="G1397" s="6" t="str">
        <f t="shared" si="87"/>
        <v>Prof33</v>
      </c>
      <c r="H1397" s="6" t="str" cm="1">
        <f t="array" ref="H1397">choice(Referentiel!A:A,1,Settings!$B$16)</f>
        <v>Scénographie</v>
      </c>
      <c r="I1397" s="6" t="str" cm="1">
        <f t="array" ref="I1397">choice(Referentiel!B:B,1,Settings!$B$16)</f>
        <v>Césure S1</v>
      </c>
      <c r="J1397" s="6" t="str" cm="1">
        <f t="array" ref="J1397">choice(Referentiel!D:D,1,Settings!$B$16)</f>
        <v>L1</v>
      </c>
      <c r="K1397" s="6" t="str" cm="1">
        <f t="array" ref="K1397">choice(Professeurs!B:B,1,Settings!$B$16)</f>
        <v>Prof33</v>
      </c>
      <c r="L1397" s="5" t="str" cm="1">
        <f t="array" ref="L1397">choice(Referentiel!C:C,1,Settings!$B$16)</f>
        <v/>
      </c>
      <c r="M1397" s="5" t="str" cm="1">
        <f t="array" ref="M1397">choice(Referentiel!E:E,1,Settings!$B$16)</f>
        <v/>
      </c>
      <c r="N1397" s="5" t="str" cm="1">
        <f t="array" ref="N1397">choice(Settings!K:K,1,Settings!$B$16)</f>
        <v>mardi am</v>
      </c>
      <c r="P1397" s="5">
        <f t="shared" si="88"/>
        <v>4</v>
      </c>
    </row>
    <row r="1398" spans="1:16" ht="15.75" customHeight="1" x14ac:dyDescent="0.25">
      <c r="A1398" s="6" t="s">
        <v>1750</v>
      </c>
      <c r="B1398" s="6" cm="1">
        <f t="array" ref="B1398">alea_int(Settings!$B$10,1,Settings!$B$16)</f>
        <v>2</v>
      </c>
      <c r="C1398" s="8">
        <v>46023</v>
      </c>
      <c r="D1398" s="8">
        <f t="shared" si="85"/>
        <v>46387</v>
      </c>
      <c r="E1398" s="6" t="str" cm="1">
        <f t="array" ref="E1398">choice(Groupes!A:A,1,Settings!$B$16)</f>
        <v>G13</v>
      </c>
      <c r="F1398" s="6" t="str">
        <f t="shared" si="86"/>
        <v>G13</v>
      </c>
      <c r="G1398" s="6" t="str">
        <f t="shared" si="87"/>
        <v>Prof53</v>
      </c>
      <c r="H1398" s="6" t="str" cm="1">
        <f t="array" ref="H1398">choice(Referentiel!A:A,1,Settings!$B$16)</f>
        <v>Architecture Intérieure</v>
      </c>
      <c r="I1398" s="6" t="str" cm="1">
        <f t="array" ref="I1398">choice(Referentiel!B:B,1,Settings!$B$16)</f>
        <v>4ème année Architecture Intérieure S2</v>
      </c>
      <c r="J1398" s="6" t="str" cm="1">
        <f t="array" ref="J1398">choice(Referentiel!D:D,1,Settings!$B$16)</f>
        <v>M2</v>
      </c>
      <c r="K1398" s="6" t="str" cm="1">
        <f t="array" ref="K1398">choice(Professeurs!B:B,1,Settings!$B$16)</f>
        <v>Prof53</v>
      </c>
      <c r="L1398" s="5" t="str" cm="1">
        <f t="array" ref="L1398">choice(Referentiel!C:C,1,Settings!$B$16)</f>
        <v/>
      </c>
      <c r="M1398" s="5" t="str" cm="1">
        <f t="array" ref="M1398">choice(Referentiel!E:E,1,Settings!$B$16)</f>
        <v/>
      </c>
      <c r="N1398" s="5" t="str" cm="1">
        <f t="array" ref="N1398">choice(Settings!K:K,1,Settings!$B$16)</f>
        <v>jeudi pm</v>
      </c>
      <c r="P1398" s="5">
        <f t="shared" si="88"/>
        <v>4</v>
      </c>
    </row>
    <row r="1399" spans="1:16" ht="15.75" customHeight="1" x14ac:dyDescent="0.25">
      <c r="A1399" s="6" t="s">
        <v>1751</v>
      </c>
      <c r="B1399" s="6" cm="1">
        <f t="array" ref="B1399">alea_int(Settings!$B$10,1,Settings!$B$16)</f>
        <v>1</v>
      </c>
      <c r="C1399" s="8">
        <v>46023</v>
      </c>
      <c r="D1399" s="8">
        <f t="shared" si="85"/>
        <v>46387</v>
      </c>
      <c r="E1399" s="6" t="str" cm="1">
        <f t="array" ref="E1399">choice(Groupes!A:A,1,Settings!$B$16)</f>
        <v>G28</v>
      </c>
      <c r="F1399" s="6" t="str">
        <f t="shared" si="86"/>
        <v>G28</v>
      </c>
      <c r="G1399" s="6" t="str">
        <f t="shared" si="87"/>
        <v>Prof11</v>
      </c>
      <c r="H1399" s="6" t="str" cm="1">
        <f t="array" ref="H1399">choice(Referentiel!A:A,1,Settings!$B$16)</f>
        <v>1ère année Groupe 2</v>
      </c>
      <c r="I1399" s="6" t="str" cm="1">
        <f t="array" ref="I1399">choice(Referentiel!B:B,1,Settings!$B$16)</f>
        <v>5ème année Scénographie S2</v>
      </c>
      <c r="J1399" s="6" t="str" cm="1">
        <f t="array" ref="J1399">choice(Referentiel!D:D,1,Settings!$B$16)</f>
        <v>L3</v>
      </c>
      <c r="K1399" s="6" t="str" cm="1">
        <f t="array" ref="K1399">choice(Professeurs!B:B,1,Settings!$B$16)</f>
        <v>Prof11</v>
      </c>
      <c r="L1399" s="5" t="str" cm="1">
        <f t="array" ref="L1399">choice(Referentiel!C:C,1,Settings!$B$16)</f>
        <v/>
      </c>
      <c r="M1399" s="5" t="str" cm="1">
        <f t="array" ref="M1399">choice(Referentiel!E:E,1,Settings!$B$16)</f>
        <v/>
      </c>
      <c r="N1399" s="5" t="str" cm="1">
        <f t="array" ref="N1399">choice(Settings!K:K,1,Settings!$B$16)</f>
        <v/>
      </c>
      <c r="P1399" s="5">
        <f t="shared" si="88"/>
        <v>1</v>
      </c>
    </row>
    <row r="1400" spans="1:16" ht="15.75" customHeight="1" x14ac:dyDescent="0.25">
      <c r="A1400" s="6" t="s">
        <v>1752</v>
      </c>
      <c r="B1400" s="6" cm="1">
        <f t="array" ref="B1400">alea_int(Settings!$B$10,1,Settings!$B$16)</f>
        <v>1</v>
      </c>
      <c r="C1400" s="8">
        <v>46023</v>
      </c>
      <c r="D1400" s="8">
        <f t="shared" si="85"/>
        <v>46387</v>
      </c>
      <c r="E1400" s="6" t="str" cm="1">
        <f t="array" ref="E1400">choice(Groupes!A:A,1,Settings!$B$16)</f>
        <v>G7</v>
      </c>
      <c r="F1400" s="6" t="str">
        <f t="shared" si="86"/>
        <v>G7</v>
      </c>
      <c r="G1400" s="6" t="str">
        <f t="shared" si="87"/>
        <v>Prof17</v>
      </c>
      <c r="H1400" s="6" t="str" cm="1">
        <f t="array" ref="H1400">choice(Referentiel!A:A,1,Settings!$B$16)</f>
        <v>6ème année atelier</v>
      </c>
      <c r="I1400" s="6" t="str" cm="1">
        <f t="array" ref="I1400">choice(Referentiel!B:B,1,Settings!$B$16)</f>
        <v>1ère Année Groupe 3 S1</v>
      </c>
      <c r="J1400" s="6" t="str" cm="1">
        <f t="array" ref="J1400">choice(Referentiel!D:D,1,Settings!$B$16)</f>
        <v>M2</v>
      </c>
      <c r="K1400" s="6" t="str" cm="1">
        <f t="array" ref="K1400">choice(Professeurs!B:B,1,Settings!$B$16)</f>
        <v>Prof17</v>
      </c>
      <c r="L1400" s="5" t="str" cm="1">
        <f t="array" ref="L1400">choice(Referentiel!C:C,1,Settings!$B$16)</f>
        <v/>
      </c>
      <c r="M1400" s="5" t="str" cm="1">
        <f t="array" ref="M1400">choice(Referentiel!E:E,1,Settings!$B$16)</f>
        <v/>
      </c>
      <c r="N1400" s="5" t="str" cm="1">
        <f t="array" ref="N1400">choice(Settings!K:K,1,Settings!$B$16)</f>
        <v>jeudi pm</v>
      </c>
      <c r="P1400" s="5">
        <f t="shared" si="88"/>
        <v>3</v>
      </c>
    </row>
    <row r="1401" spans="1:16" ht="15.75" customHeight="1" x14ac:dyDescent="0.25">
      <c r="A1401" s="6" t="s">
        <v>1753</v>
      </c>
      <c r="B1401" s="6" cm="1">
        <f t="array" ref="B1401">alea_int(Settings!$B$10,1,Settings!$B$16)</f>
        <v>2</v>
      </c>
      <c r="C1401" s="8">
        <v>46023</v>
      </c>
      <c r="D1401" s="8">
        <f t="shared" si="85"/>
        <v>46387</v>
      </c>
      <c r="E1401" s="6" t="str" cm="1">
        <f t="array" ref="E1401">choice(Groupes!A:A,1,Settings!$B$16)</f>
        <v>G22</v>
      </c>
      <c r="F1401" s="6" t="str">
        <f t="shared" si="86"/>
        <v>G22</v>
      </c>
      <c r="G1401" s="6" t="str">
        <f t="shared" si="87"/>
        <v>Prof7</v>
      </c>
      <c r="H1401" s="6" t="str" cm="1">
        <f t="array" ref="H1401">choice(Referentiel!A:A,1,Settings!$B$16)</f>
        <v>6ème ANNÉE STAGE</v>
      </c>
      <c r="I1401" s="6" t="str" cm="1">
        <f t="array" ref="I1401">choice(Referentiel!B:B,1,Settings!$B$16)</f>
        <v>4ème année Design Objet S2</v>
      </c>
      <c r="J1401" s="6" t="str" cm="1">
        <f t="array" ref="J1401">choice(Referentiel!D:D,1,Settings!$B$16)</f>
        <v>M1</v>
      </c>
      <c r="K1401" s="6" t="str" cm="1">
        <f t="array" ref="K1401">choice(Professeurs!B:B,1,Settings!$B$16)</f>
        <v>Prof7</v>
      </c>
      <c r="L1401" s="5" t="str" cm="1">
        <f t="array" ref="L1401">choice(Referentiel!C:C,1,Settings!$B$16)</f>
        <v/>
      </c>
      <c r="M1401" s="5" t="str" cm="1">
        <f t="array" ref="M1401">choice(Referentiel!E:E,1,Settings!$B$16)</f>
        <v/>
      </c>
      <c r="N1401" s="5" t="str" cm="1">
        <f t="array" ref="N1401">choice(Settings!K:K,1,Settings!$B$16)</f>
        <v/>
      </c>
      <c r="P1401" s="5">
        <f t="shared" si="88"/>
        <v>2</v>
      </c>
    </row>
    <row r="1402" spans="1:16" ht="15.75" customHeight="1" x14ac:dyDescent="0.25">
      <c r="A1402" s="6" t="s">
        <v>1754</v>
      </c>
      <c r="B1402" s="6" cm="1">
        <f t="array" ref="B1402">alea_int(Settings!$B$10,1,Settings!$B$16)</f>
        <v>1</v>
      </c>
      <c r="C1402" s="8">
        <v>46023</v>
      </c>
      <c r="D1402" s="8">
        <f t="shared" si="85"/>
        <v>46387</v>
      </c>
      <c r="E1402" s="6" t="str" cm="1">
        <f t="array" ref="E1402">choice(Groupes!A:A,1,Settings!$B$16)</f>
        <v>G16</v>
      </c>
      <c r="F1402" s="6" t="str">
        <f t="shared" si="86"/>
        <v>G16</v>
      </c>
      <c r="G1402" s="6" t="str">
        <f t="shared" si="87"/>
        <v>Prof3</v>
      </c>
      <c r="H1402" s="6" t="str" cm="1">
        <f t="array" ref="H1402">choice(Referentiel!A:A,1,Settings!$B$16)</f>
        <v>Design Objet</v>
      </c>
      <c r="I1402" s="6" t="str" cm="1">
        <f t="array" ref="I1402">choice(Referentiel!B:B,1,Settings!$B$16)</f>
        <v>5ème année Architecture Intérieure S2</v>
      </c>
      <c r="J1402" s="6" t="str" cm="1">
        <f t="array" ref="J1402">choice(Referentiel!D:D,1,Settings!$B$16)</f>
        <v>L2</v>
      </c>
      <c r="K1402" s="6" t="str" cm="1">
        <f t="array" ref="K1402">choice(Professeurs!B:B,1,Settings!$B$16)</f>
        <v>Prof3</v>
      </c>
      <c r="L1402" s="5" t="str" cm="1">
        <f t="array" ref="L1402">choice(Referentiel!C:C,1,Settings!$B$16)</f>
        <v/>
      </c>
      <c r="M1402" s="5" t="str" cm="1">
        <f t="array" ref="M1402">choice(Referentiel!E:E,1,Settings!$B$16)</f>
        <v/>
      </c>
      <c r="N1402" s="5" t="str" cm="1">
        <f t="array" ref="N1402">choice(Settings!K:K,1,Settings!$B$16)</f>
        <v>vendredi am</v>
      </c>
      <c r="P1402" s="5">
        <f t="shared" si="88"/>
        <v>3</v>
      </c>
    </row>
    <row r="1403" spans="1:16" ht="15.75" customHeight="1" x14ac:dyDescent="0.25">
      <c r="A1403" s="6" t="s">
        <v>1755</v>
      </c>
      <c r="B1403" s="6" cm="1">
        <f t="array" ref="B1403">alea_int(Settings!$B$10,1,Settings!$B$16)</f>
        <v>1</v>
      </c>
      <c r="C1403" s="8">
        <v>46023</v>
      </c>
      <c r="D1403" s="8">
        <f t="shared" si="85"/>
        <v>46387</v>
      </c>
      <c r="E1403" s="6" t="str" cm="1">
        <f t="array" ref="E1403">choice(Groupes!A:A,1,Settings!$B$16)</f>
        <v>G5</v>
      </c>
      <c r="F1403" s="6" t="str">
        <f t="shared" si="86"/>
        <v>G5</v>
      </c>
      <c r="G1403" s="6" t="str">
        <f t="shared" si="87"/>
        <v>Prof42</v>
      </c>
      <c r="H1403" s="6" t="str" cm="1">
        <f t="array" ref="H1403">choice(Referentiel!A:A,1,Settings!$B$16)</f>
        <v>Design des mondes littoraux</v>
      </c>
      <c r="I1403" s="6" t="str" cm="1">
        <f t="array" ref="I1403">choice(Referentiel!B:B,1,Settings!$B$16)</f>
        <v>1ère Année Groupe 3 S2</v>
      </c>
      <c r="J1403" s="6" t="str" cm="1">
        <f t="array" ref="J1403">choice(Referentiel!D:D,1,Settings!$B$16)</f>
        <v>L1</v>
      </c>
      <c r="K1403" s="6" t="str" cm="1">
        <f t="array" ref="K1403">choice(Professeurs!B:B,1,Settings!$B$16)</f>
        <v>Prof42</v>
      </c>
      <c r="L1403" s="5" t="str" cm="1">
        <f t="array" ref="L1403">choice(Referentiel!C:C,1,Settings!$B$16)</f>
        <v/>
      </c>
      <c r="M1403" s="5" t="str" cm="1">
        <f t="array" ref="M1403">choice(Referentiel!E:E,1,Settings!$B$16)</f>
        <v/>
      </c>
      <c r="N1403" s="5" t="str" cm="1">
        <f t="array" ref="N1403">choice(Settings!K:K,1,Settings!$B$16)</f>
        <v>lundi pm</v>
      </c>
      <c r="P1403" s="5">
        <f t="shared" si="88"/>
        <v>3</v>
      </c>
    </row>
    <row r="1404" spans="1:16" ht="15.75" customHeight="1" x14ac:dyDescent="0.25">
      <c r="A1404" s="6" t="s">
        <v>1756</v>
      </c>
      <c r="B1404" s="6" cm="1">
        <f t="array" ref="B1404">alea_int(Settings!$B$10,1,Settings!$B$16)</f>
        <v>3</v>
      </c>
      <c r="C1404" s="8">
        <v>46023</v>
      </c>
      <c r="D1404" s="8">
        <f t="shared" si="85"/>
        <v>46387</v>
      </c>
      <c r="E1404" s="6" t="str" cm="1">
        <f t="array" ref="E1404">choice(Groupes!A:A,1,Settings!$B$16)</f>
        <v>G19</v>
      </c>
      <c r="F1404" s="6" t="str">
        <f t="shared" si="86"/>
        <v>G19</v>
      </c>
      <c r="G1404" s="6" t="str">
        <f t="shared" si="87"/>
        <v>Prof9</v>
      </c>
      <c r="H1404" s="6" t="str" cm="1">
        <f t="array" ref="H1404">choice(Referentiel!A:A,1,Settings!$B$16)</f>
        <v>Design des mondes ruraux</v>
      </c>
      <c r="I1404" s="6" t="str" cm="1">
        <f t="array" ref="I1404">choice(Referentiel!B:B,1,Settings!$B$16)</f>
        <v>4ème année Design Objet S1</v>
      </c>
      <c r="J1404" s="6" t="str" cm="1">
        <f t="array" ref="J1404">choice(Referentiel!D:D,1,Settings!$B$16)</f>
        <v>L3</v>
      </c>
      <c r="K1404" s="6" t="str" cm="1">
        <f t="array" ref="K1404">choice(Professeurs!B:B,1,Settings!$B$16)</f>
        <v>Prof9</v>
      </c>
      <c r="L1404" s="5" t="str" cm="1">
        <f t="array" ref="L1404">choice(Referentiel!C:C,1,Settings!$B$16)</f>
        <v/>
      </c>
      <c r="M1404" s="5" t="str" cm="1">
        <f t="array" ref="M1404">choice(Referentiel!E:E,1,Settings!$B$16)</f>
        <v/>
      </c>
      <c r="N1404" s="5" t="str" cm="1">
        <f t="array" ref="N1404">choice(Settings!K:K,1,Settings!$B$16)</f>
        <v/>
      </c>
      <c r="P1404" s="5">
        <f t="shared" si="88"/>
        <v>3</v>
      </c>
    </row>
    <row r="1405" spans="1:16" ht="15.75" customHeight="1" x14ac:dyDescent="0.25">
      <c r="A1405" s="6" t="s">
        <v>1757</v>
      </c>
      <c r="B1405" s="6" cm="1">
        <f t="array" ref="B1405">alea_int(Settings!$B$10,1,Settings!$B$16)</f>
        <v>1</v>
      </c>
      <c r="C1405" s="8">
        <v>46023</v>
      </c>
      <c r="D1405" s="8">
        <f t="shared" si="85"/>
        <v>46387</v>
      </c>
      <c r="E1405" s="6" t="str" cm="1">
        <f t="array" ref="E1405">choice(Groupes!A:A,1,Settings!$B$16)</f>
        <v>G15</v>
      </c>
      <c r="F1405" s="6" t="str">
        <f t="shared" si="86"/>
        <v>G15</v>
      </c>
      <c r="G1405" s="6" t="str">
        <f t="shared" si="87"/>
        <v>Prof17</v>
      </c>
      <c r="H1405" s="6" t="str" cm="1">
        <f t="array" ref="H1405">choice(Referentiel!A:A,1,Settings!$B$16)</f>
        <v>1ère année Groupe 4</v>
      </c>
      <c r="I1405" s="6" t="str" cm="1">
        <f t="array" ref="I1405">choice(Referentiel!B:B,1,Settings!$B$16)</f>
        <v>5ème année Photo / Vidéo S2</v>
      </c>
      <c r="J1405" s="6" t="str" cm="1">
        <f t="array" ref="J1405">choice(Referentiel!D:D,1,Settings!$B$16)</f>
        <v>M2</v>
      </c>
      <c r="K1405" s="6" t="str" cm="1">
        <f t="array" ref="K1405">choice(Professeurs!B:B,1,Settings!$B$16)</f>
        <v>Prof17</v>
      </c>
      <c r="L1405" s="5" t="str" cm="1">
        <f t="array" ref="L1405">choice(Referentiel!C:C,1,Settings!$B$16)</f>
        <v/>
      </c>
      <c r="M1405" s="5" t="str" cm="1">
        <f t="array" ref="M1405">choice(Referentiel!E:E,1,Settings!$B$16)</f>
        <v/>
      </c>
      <c r="N1405" s="5" t="str" cm="1">
        <f t="array" ref="N1405">choice(Settings!K:K,1,Settings!$B$16)</f>
        <v>mardi am</v>
      </c>
      <c r="P1405" s="5">
        <f t="shared" si="88"/>
        <v>3</v>
      </c>
    </row>
    <row r="1406" spans="1:16" ht="15.75" customHeight="1" x14ac:dyDescent="0.25">
      <c r="A1406" s="6" t="s">
        <v>1758</v>
      </c>
      <c r="B1406" s="6" cm="1">
        <f t="array" ref="B1406">alea_int(Settings!$B$10,1,Settings!$B$16)</f>
        <v>1</v>
      </c>
      <c r="C1406" s="8">
        <v>46023</v>
      </c>
      <c r="D1406" s="8">
        <f t="shared" si="85"/>
        <v>46387</v>
      </c>
      <c r="E1406" s="6" t="str" cm="1">
        <f t="array" ref="E1406">choice(Groupes!A:A,1,Settings!$B$16)</f>
        <v>G2</v>
      </c>
      <c r="F1406" s="6" t="str">
        <f t="shared" si="86"/>
        <v>G2</v>
      </c>
      <c r="G1406" s="6" t="str">
        <f t="shared" si="87"/>
        <v>Prof27</v>
      </c>
      <c r="H1406" s="6" t="str" cm="1">
        <f t="array" ref="H1406">choice(Referentiel!A:A,1,Settings!$B$16)</f>
        <v>Design des mondes ruraux</v>
      </c>
      <c r="I1406" s="6" t="str" cm="1">
        <f t="array" ref="I1406">choice(Referentiel!B:B,1,Settings!$B$16)</f>
        <v>5ème année Scénographie S2</v>
      </c>
      <c r="J1406" s="6" t="str" cm="1">
        <f t="array" ref="J1406">choice(Referentiel!D:D,1,Settings!$B$16)</f>
        <v>L3</v>
      </c>
      <c r="K1406" s="6" t="str" cm="1">
        <f t="array" ref="K1406">choice(Professeurs!B:B,1,Settings!$B$16)</f>
        <v>Prof27</v>
      </c>
      <c r="L1406" s="5" t="str" cm="1">
        <f t="array" ref="L1406">choice(Referentiel!C:C,1,Settings!$B$16)</f>
        <v/>
      </c>
      <c r="M1406" s="5" t="str" cm="1">
        <f t="array" ref="M1406">choice(Referentiel!E:E,1,Settings!$B$16)</f>
        <v/>
      </c>
      <c r="N1406" s="5" t="str" cm="1">
        <f t="array" ref="N1406">choice(Settings!K:K,1,Settings!$B$16)</f>
        <v>lundi pm</v>
      </c>
      <c r="P1406" s="5">
        <f t="shared" si="88"/>
        <v>3</v>
      </c>
    </row>
    <row r="1407" spans="1:16" ht="15.75" customHeight="1" x14ac:dyDescent="0.25">
      <c r="A1407" s="6" t="s">
        <v>1759</v>
      </c>
      <c r="B1407" s="6" cm="1">
        <f t="array" ref="B1407">alea_int(Settings!$B$10,1,Settings!$B$16)</f>
        <v>3</v>
      </c>
      <c r="C1407" s="8">
        <v>46023</v>
      </c>
      <c r="D1407" s="8">
        <f t="shared" si="85"/>
        <v>46387</v>
      </c>
      <c r="E1407" s="6" t="str" cm="1">
        <f t="array" ref="E1407">choice(Groupes!A:A,1,Settings!$B$16)</f>
        <v>G28</v>
      </c>
      <c r="F1407" s="6" t="str">
        <f t="shared" si="86"/>
        <v>G28</v>
      </c>
      <c r="G1407" s="6" t="str">
        <f t="shared" si="87"/>
        <v>Prof14</v>
      </c>
      <c r="H1407" s="6" t="str" cm="1">
        <f t="array" ref="H1407">choice(Referentiel!A:A,1,Settings!$B$16)</f>
        <v>Design des mondes montagneux</v>
      </c>
      <c r="I1407" s="6" t="str" cm="1">
        <f t="array" ref="I1407">choice(Referentiel!B:B,1,Settings!$B$16)</f>
        <v>5ème année Design Graphique S2</v>
      </c>
      <c r="J1407" s="6" t="str" cm="1">
        <f t="array" ref="J1407">choice(Referentiel!D:D,1,Settings!$B$16)</f>
        <v>M2</v>
      </c>
      <c r="K1407" s="6" t="str" cm="1">
        <f t="array" ref="K1407">choice(Professeurs!B:B,1,Settings!$B$16)</f>
        <v>Prof14</v>
      </c>
      <c r="L1407" s="5" t="str" cm="1">
        <f t="array" ref="L1407">choice(Referentiel!C:C,1,Settings!$B$16)</f>
        <v/>
      </c>
      <c r="M1407" s="5" t="str" cm="1">
        <f t="array" ref="M1407">choice(Referentiel!E:E,1,Settings!$B$16)</f>
        <v/>
      </c>
      <c r="N1407" s="5" t="str" cm="1">
        <f t="array" ref="N1407">choice(Settings!K:K,1,Settings!$B$16)</f>
        <v/>
      </c>
      <c r="P1407" s="5">
        <f t="shared" si="88"/>
        <v>3</v>
      </c>
    </row>
    <row r="1408" spans="1:16" ht="15.75" customHeight="1" x14ac:dyDescent="0.25">
      <c r="A1408" s="6" t="s">
        <v>1760</v>
      </c>
      <c r="B1408" s="6" cm="1">
        <f t="array" ref="B1408">alea_int(Settings!$B$10,1,Settings!$B$16)</f>
        <v>1</v>
      </c>
      <c r="C1408" s="8">
        <v>46023</v>
      </c>
      <c r="D1408" s="8">
        <f t="shared" si="85"/>
        <v>46387</v>
      </c>
      <c r="E1408" s="6" t="str" cm="1">
        <f t="array" ref="E1408">choice(Groupes!A:A,1,Settings!$B$16)</f>
        <v>G24</v>
      </c>
      <c r="F1408" s="6" t="str">
        <f t="shared" si="86"/>
        <v>G24</v>
      </c>
      <c r="G1408" s="6" t="str">
        <f t="shared" si="87"/>
        <v>Prof48</v>
      </c>
      <c r="H1408" s="6" t="str" cm="1">
        <f t="array" ref="H1408">choice(Referentiel!A:A,1,Settings!$B$16)</f>
        <v>Design des mondes montagneux</v>
      </c>
      <c r="I1408" s="6" t="str" cm="1">
        <f t="array" ref="I1408">choice(Referentiel!B:B,1,Settings!$B$16)</f>
        <v>4ème année Design Vêtement S2</v>
      </c>
      <c r="J1408" s="6" t="str" cm="1">
        <f t="array" ref="J1408">choice(Referentiel!D:D,1,Settings!$B$16)</f>
        <v>M1</v>
      </c>
      <c r="K1408" s="6" t="str" cm="1">
        <f t="array" ref="K1408">choice(Professeurs!B:B,1,Settings!$B$16)</f>
        <v>Prof48</v>
      </c>
      <c r="L1408" s="5" t="str" cm="1">
        <f t="array" ref="L1408">choice(Referentiel!C:C,1,Settings!$B$16)</f>
        <v>tablette</v>
      </c>
      <c r="M1408" s="5" t="str" cm="1">
        <f t="array" ref="M1408">choice(Referentiel!E:E,1,Settings!$B$16)</f>
        <v/>
      </c>
      <c r="N1408" s="5" t="str" cm="1">
        <f t="array" ref="N1408">choice(Settings!K:K,1,Settings!$B$16)</f>
        <v/>
      </c>
      <c r="P1408" s="5">
        <f t="shared" si="88"/>
        <v>1</v>
      </c>
    </row>
    <row r="1409" spans="1:16" ht="15.75" customHeight="1" x14ac:dyDescent="0.25">
      <c r="A1409" s="6" t="s">
        <v>1761</v>
      </c>
      <c r="B1409" s="6" cm="1">
        <f t="array" ref="B1409">alea_int(Settings!$B$10,1,Settings!$B$16)</f>
        <v>2</v>
      </c>
      <c r="C1409" s="8">
        <v>46023</v>
      </c>
      <c r="D1409" s="8">
        <f t="shared" si="85"/>
        <v>46387</v>
      </c>
      <c r="E1409" s="6" t="str" cm="1">
        <f t="array" ref="E1409">choice(Groupes!A:A,1,Settings!$B$16)</f>
        <v>G14</v>
      </c>
      <c r="F1409" s="6" t="str">
        <f t="shared" si="86"/>
        <v>G14</v>
      </c>
      <c r="G1409" s="6" t="str">
        <f t="shared" si="87"/>
        <v>Prof37</v>
      </c>
      <c r="H1409" s="6" t="str" cm="1">
        <f t="array" ref="H1409">choice(Referentiel!A:A,1,Settings!$B$16)</f>
        <v>Design des mondes forestiers</v>
      </c>
      <c r="I1409" s="6" t="str" cm="1">
        <f t="array" ref="I1409">choice(Referentiel!B:B,1,Settings!$B$16)</f>
        <v>4ème année Cinéma d'Animation S2</v>
      </c>
      <c r="J1409" s="6" t="str" cm="1">
        <f t="array" ref="J1409">choice(Referentiel!D:D,1,Settings!$B$16)</f>
        <v>M2</v>
      </c>
      <c r="K1409" s="6" t="str" cm="1">
        <f t="array" ref="K1409">choice(Professeurs!B:B,1,Settings!$B$16)</f>
        <v>Prof37</v>
      </c>
      <c r="L1409" s="5" t="str" cm="1">
        <f t="array" ref="L1409">choice(Referentiel!C:C,1,Settings!$B$16)</f>
        <v>projecteur</v>
      </c>
      <c r="M1409" s="5" t="str" cm="1">
        <f t="array" ref="M1409">choice(Referentiel!E:E,1,Settings!$B$16)</f>
        <v/>
      </c>
      <c r="N1409" s="5" t="str" cm="1">
        <f t="array" ref="N1409">choice(Settings!K:K,1,Settings!$B$16)</f>
        <v/>
      </c>
      <c r="P1409" s="5">
        <f t="shared" si="88"/>
        <v>2</v>
      </c>
    </row>
    <row r="1410" spans="1:16" ht="15.75" customHeight="1" x14ac:dyDescent="0.25">
      <c r="A1410" s="6" t="s">
        <v>1762</v>
      </c>
      <c r="B1410" s="6" cm="1">
        <f t="array" ref="B1410">alea_int(Settings!$B$10,1,Settings!$B$16)</f>
        <v>2</v>
      </c>
      <c r="C1410" s="8">
        <v>46023</v>
      </c>
      <c r="D1410" s="8">
        <f t="shared" si="85"/>
        <v>46387</v>
      </c>
      <c r="E1410" s="6" t="str" cm="1">
        <f t="array" ref="E1410">choice(Groupes!A:A,1,Settings!$B$16)</f>
        <v>G3</v>
      </c>
      <c r="F1410" s="6" t="str">
        <f t="shared" si="86"/>
        <v>G3</v>
      </c>
      <c r="G1410" s="6" t="str">
        <f t="shared" si="87"/>
        <v>Prof55</v>
      </c>
      <c r="H1410" s="6" t="str" cm="1">
        <f t="array" ref="H1410">choice(Referentiel!A:A,1,Settings!$B$16)</f>
        <v>Art-Espace</v>
      </c>
      <c r="I1410" s="6" t="str" cm="1">
        <f t="array" ref="I1410">choice(Referentiel!B:B,1,Settings!$B$16)</f>
        <v>2ème année Photo / Vidéo S1</v>
      </c>
      <c r="J1410" s="6" t="str" cm="1">
        <f t="array" ref="J1410">choice(Referentiel!D:D,1,Settings!$B$16)</f>
        <v>L3</v>
      </c>
      <c r="K1410" s="6" t="str" cm="1">
        <f t="array" ref="K1410">choice(Professeurs!B:B,1,Settings!$B$16)</f>
        <v>Prof55</v>
      </c>
      <c r="L1410" s="5" t="str" cm="1">
        <f t="array" ref="L1410">choice(Referentiel!C:C,1,Settings!$B$16)</f>
        <v/>
      </c>
      <c r="M1410" s="5" t="str" cm="1">
        <f t="array" ref="M1410">choice(Referentiel!E:E,1,Settings!$B$16)</f>
        <v/>
      </c>
      <c r="N1410" s="5" t="str" cm="1">
        <f t="array" ref="N1410">choice(Settings!K:K,1,Settings!$B$16)</f>
        <v>mardi am</v>
      </c>
      <c r="P1410" s="5">
        <f t="shared" si="88"/>
        <v>4</v>
      </c>
    </row>
    <row r="1411" spans="1:16" ht="15.75" customHeight="1" x14ac:dyDescent="0.25">
      <c r="A1411" s="6" t="s">
        <v>1763</v>
      </c>
      <c r="B1411" s="6" cm="1">
        <f t="array" ref="B1411">alea_int(Settings!$B$10,1,Settings!$B$16)</f>
        <v>2</v>
      </c>
      <c r="C1411" s="8">
        <v>46023</v>
      </c>
      <c r="D1411" s="8">
        <f t="shared" ref="D1411:D1474" si="89">C1411+364</f>
        <v>46387</v>
      </c>
      <c r="E1411" s="6" t="str" cm="1">
        <f t="array" ref="E1411">choice(Groupes!A:A,1,Settings!$B$16)</f>
        <v>G4</v>
      </c>
      <c r="F1411" s="6" t="str">
        <f t="shared" ref="F1411:F1474" si="90">E1411</f>
        <v>G4</v>
      </c>
      <c r="G1411" s="6" t="str">
        <f t="shared" ref="G1411:G1474" si="91">K1411</f>
        <v>Prof10</v>
      </c>
      <c r="H1411" s="6" t="str" cm="1">
        <f t="array" ref="H1411">choice(Referentiel!A:A,1,Settings!$B$16)</f>
        <v>Gr ART, DESIGN, SOCIETE</v>
      </c>
      <c r="I1411" s="6" t="str" cm="1">
        <f t="array" ref="I1411">choice(Referentiel!B:B,1,Settings!$B$16)</f>
        <v>4ème année Image Imprimée S2</v>
      </c>
      <c r="J1411" s="6" t="str" cm="1">
        <f t="array" ref="J1411">choice(Referentiel!D:D,1,Settings!$B$16)</f>
        <v>L2</v>
      </c>
      <c r="K1411" s="6" t="str" cm="1">
        <f t="array" ref="K1411">choice(Professeurs!B:B,1,Settings!$B$16)</f>
        <v>Prof10</v>
      </c>
      <c r="L1411" s="5" t="str" cm="1">
        <f t="array" ref="L1411">choice(Referentiel!C:C,1,Settings!$B$16)</f>
        <v/>
      </c>
      <c r="M1411" s="5" t="str" cm="1">
        <f t="array" ref="M1411">choice(Referentiel!E:E,1,Settings!$B$16)</f>
        <v/>
      </c>
      <c r="N1411" s="5" t="str" cm="1">
        <f t="array" ref="N1411">choice(Settings!K:K,1,Settings!$B$16)</f>
        <v>vendredi pm</v>
      </c>
      <c r="P1411" s="5">
        <f t="shared" ref="P1411:P1474" si="92">B1411+IF(M1411&lt;&gt;"",2,0)+IF(N1411&lt;&gt;"",2,0)</f>
        <v>4</v>
      </c>
    </row>
    <row r="1412" spans="1:16" ht="15.75" customHeight="1" x14ac:dyDescent="0.25">
      <c r="A1412" s="6" t="s">
        <v>1764</v>
      </c>
      <c r="B1412" s="6" cm="1">
        <f t="array" ref="B1412">alea_int(Settings!$B$10,1,Settings!$B$16)</f>
        <v>3</v>
      </c>
      <c r="C1412" s="8">
        <v>46023</v>
      </c>
      <c r="D1412" s="8">
        <f t="shared" si="89"/>
        <v>46387</v>
      </c>
      <c r="E1412" s="6" t="str" cm="1">
        <f t="array" ref="E1412">choice(Groupes!A:A,1,Settings!$B$16)</f>
        <v>G10</v>
      </c>
      <c r="F1412" s="6" t="str">
        <f t="shared" si="90"/>
        <v>G10</v>
      </c>
      <c r="G1412" s="6" t="str">
        <f t="shared" si="91"/>
        <v>Prof5</v>
      </c>
      <c r="H1412" s="6" t="str" cm="1">
        <f t="array" ref="H1412">choice(Referentiel!A:A,1,Settings!$B$16)</f>
        <v>1ère année Groupe 2</v>
      </c>
      <c r="I1412" s="6" t="str" cm="1">
        <f t="array" ref="I1412">choice(Referentiel!B:B,1,Settings!$B$16)</f>
        <v>5ème année Cinéma d'Animation S2</v>
      </c>
      <c r="J1412" s="6" t="str" cm="1">
        <f t="array" ref="J1412">choice(Referentiel!D:D,1,Settings!$B$16)</f>
        <v>M1</v>
      </c>
      <c r="K1412" s="6" t="str" cm="1">
        <f t="array" ref="K1412">choice(Professeurs!B:B,1,Settings!$B$16)</f>
        <v>Prof5</v>
      </c>
      <c r="L1412" s="5" t="str" cm="1">
        <f t="array" ref="L1412">choice(Referentiel!C:C,1,Settings!$B$16)</f>
        <v/>
      </c>
      <c r="M1412" s="5" t="str" cm="1">
        <f t="array" ref="M1412">choice(Referentiel!E:E,1,Settings!$B$16)</f>
        <v/>
      </c>
      <c r="N1412" s="5" t="str" cm="1">
        <f t="array" ref="N1412">choice(Settings!K:K,1,Settings!$B$16)</f>
        <v>lundi am</v>
      </c>
      <c r="P1412" s="5">
        <f t="shared" si="92"/>
        <v>5</v>
      </c>
    </row>
    <row r="1413" spans="1:16" ht="15.75" customHeight="1" x14ac:dyDescent="0.25">
      <c r="A1413" s="6" t="s">
        <v>1765</v>
      </c>
      <c r="B1413" s="6" cm="1">
        <f t="array" ref="B1413">alea_int(Settings!$B$10,1,Settings!$B$16)</f>
        <v>1</v>
      </c>
      <c r="C1413" s="8">
        <v>46023</v>
      </c>
      <c r="D1413" s="8">
        <f t="shared" si="89"/>
        <v>46387</v>
      </c>
      <c r="E1413" s="6" t="str" cm="1">
        <f t="array" ref="E1413">choice(Groupes!A:A,1,Settings!$B$16)</f>
        <v>G2</v>
      </c>
      <c r="F1413" s="6" t="str">
        <f t="shared" si="90"/>
        <v>G2</v>
      </c>
      <c r="G1413" s="6" t="str">
        <f t="shared" si="91"/>
        <v>Prof35</v>
      </c>
      <c r="H1413" s="6" t="str" cm="1">
        <f t="array" ref="H1413">choice(Referentiel!A:A,1,Settings!$B$16)</f>
        <v>Scénographie</v>
      </c>
      <c r="I1413" s="6" t="str" cm="1">
        <f t="array" ref="I1413">choice(Referentiel!B:B,1,Settings!$B$16)</f>
        <v>5ème année Scénographie S2</v>
      </c>
      <c r="J1413" s="6" t="str" cm="1">
        <f t="array" ref="J1413">choice(Referentiel!D:D,1,Settings!$B$16)</f>
        <v>L3</v>
      </c>
      <c r="K1413" s="6" t="str" cm="1">
        <f t="array" ref="K1413">choice(Professeurs!B:B,1,Settings!$B$16)</f>
        <v>Prof35</v>
      </c>
      <c r="L1413" s="5" t="str" cm="1">
        <f t="array" ref="L1413">choice(Referentiel!C:C,1,Settings!$B$16)</f>
        <v/>
      </c>
      <c r="M1413" s="5" t="str" cm="1">
        <f t="array" ref="M1413">choice(Referentiel!E:E,1,Settings!$B$16)</f>
        <v/>
      </c>
      <c r="N1413" s="5" t="str" cm="1">
        <f t="array" ref="N1413">choice(Settings!K:K,1,Settings!$B$16)</f>
        <v/>
      </c>
      <c r="P1413" s="5">
        <f t="shared" si="92"/>
        <v>1</v>
      </c>
    </row>
    <row r="1414" spans="1:16" ht="15.75" customHeight="1" x14ac:dyDescent="0.25">
      <c r="A1414" s="6" t="s">
        <v>1766</v>
      </c>
      <c r="B1414" s="6" cm="1">
        <f t="array" ref="B1414">alea_int(Settings!$B$10,1,Settings!$B$16)</f>
        <v>3</v>
      </c>
      <c r="C1414" s="8">
        <v>46023</v>
      </c>
      <c r="D1414" s="8">
        <f t="shared" si="89"/>
        <v>46387</v>
      </c>
      <c r="E1414" s="6" t="str" cm="1">
        <f t="array" ref="E1414">choice(Groupes!A:A,1,Settings!$B$16)</f>
        <v>G26</v>
      </c>
      <c r="F1414" s="6" t="str">
        <f t="shared" si="90"/>
        <v>G26</v>
      </c>
      <c r="G1414" s="6" t="str">
        <f t="shared" si="91"/>
        <v>Prof33</v>
      </c>
      <c r="H1414" s="6" t="str" cm="1">
        <f t="array" ref="H1414">choice(Referentiel!A:A,1,Settings!$B$16)</f>
        <v>Design des mondes ruraux</v>
      </c>
      <c r="I1414" s="6" t="str" cm="1">
        <f t="array" ref="I1414">choice(Referentiel!B:B,1,Settings!$B$16)</f>
        <v>4ème année Art-Espace S1</v>
      </c>
      <c r="J1414" s="6" t="str" cm="1">
        <f t="array" ref="J1414">choice(Referentiel!D:D,1,Settings!$B$16)</f>
        <v>L2</v>
      </c>
      <c r="K1414" s="6" t="str" cm="1">
        <f t="array" ref="K1414">choice(Professeurs!B:B,1,Settings!$B$16)</f>
        <v>Prof33</v>
      </c>
      <c r="L1414" s="5" t="str" cm="1">
        <f t="array" ref="L1414">choice(Referentiel!C:C,1,Settings!$B$16)</f>
        <v/>
      </c>
      <c r="M1414" s="5" t="str" cm="1">
        <f t="array" ref="M1414">choice(Referentiel!E:E,1,Settings!$B$16)</f>
        <v/>
      </c>
      <c r="N1414" s="5" t="str" cm="1">
        <f t="array" ref="N1414">choice(Settings!K:K,1,Settings!$B$16)</f>
        <v/>
      </c>
      <c r="P1414" s="5">
        <f t="shared" si="92"/>
        <v>3</v>
      </c>
    </row>
    <row r="1415" spans="1:16" ht="15.75" customHeight="1" x14ac:dyDescent="0.25">
      <c r="A1415" s="6" t="s">
        <v>1767</v>
      </c>
      <c r="B1415" s="6" cm="1">
        <f t="array" ref="B1415">alea_int(Settings!$B$10,1,Settings!$B$16)</f>
        <v>1</v>
      </c>
      <c r="C1415" s="8">
        <v>46023</v>
      </c>
      <c r="D1415" s="8">
        <f t="shared" si="89"/>
        <v>46387</v>
      </c>
      <c r="E1415" s="6" t="str" cm="1">
        <f t="array" ref="E1415">choice(Groupes!A:A,1,Settings!$B$16)</f>
        <v>G13</v>
      </c>
      <c r="F1415" s="6" t="str">
        <f t="shared" si="90"/>
        <v>G13</v>
      </c>
      <c r="G1415" s="6" t="str">
        <f t="shared" si="91"/>
        <v>Prof4</v>
      </c>
      <c r="H1415" s="6" t="str" cm="1">
        <f t="array" ref="H1415">choice(Referentiel!A:A,1,Settings!$B$16)</f>
        <v>Design des mondes montagneux</v>
      </c>
      <c r="I1415" s="6" t="str" cm="1">
        <f t="array" ref="I1415">choice(Referentiel!B:B,1,Settings!$B$16)</f>
        <v>4ème année Design Textile et Matière S1</v>
      </c>
      <c r="J1415" s="6" t="str" cm="1">
        <f t="array" ref="J1415">choice(Referentiel!D:D,1,Settings!$B$16)</f>
        <v>L3</v>
      </c>
      <c r="K1415" s="6" t="str" cm="1">
        <f t="array" ref="K1415">choice(Professeurs!B:B,1,Settings!$B$16)</f>
        <v>Prof4</v>
      </c>
      <c r="L1415" s="5" t="str" cm="1">
        <f t="array" ref="L1415">choice(Referentiel!C:C,1,Settings!$B$16)</f>
        <v/>
      </c>
      <c r="M1415" s="5" t="str" cm="1">
        <f t="array" ref="M1415">choice(Referentiel!E:E,1,Settings!$B$16)</f>
        <v/>
      </c>
      <c r="N1415" s="5" t="str" cm="1">
        <f t="array" ref="N1415">choice(Settings!K:K,1,Settings!$B$16)</f>
        <v/>
      </c>
      <c r="P1415" s="5">
        <f t="shared" si="92"/>
        <v>1</v>
      </c>
    </row>
    <row r="1416" spans="1:16" ht="15.75" customHeight="1" x14ac:dyDescent="0.25">
      <c r="A1416" s="6" t="s">
        <v>1768</v>
      </c>
      <c r="B1416" s="6" cm="1">
        <f t="array" ref="B1416">alea_int(Settings!$B$10,1,Settings!$B$16)</f>
        <v>2</v>
      </c>
      <c r="C1416" s="8">
        <v>46023</v>
      </c>
      <c r="D1416" s="8">
        <f t="shared" si="89"/>
        <v>46387</v>
      </c>
      <c r="E1416" s="6" t="str" cm="1">
        <f t="array" ref="E1416">choice(Groupes!A:A,1,Settings!$B$16)</f>
        <v>G14</v>
      </c>
      <c r="F1416" s="6" t="str">
        <f t="shared" si="90"/>
        <v>G14</v>
      </c>
      <c r="G1416" s="6" t="str">
        <f t="shared" si="91"/>
        <v>Prof46</v>
      </c>
      <c r="H1416" s="6" t="str" cm="1">
        <f t="array" ref="H1416">choice(Referentiel!A:A,1,Settings!$B$16)</f>
        <v>1ère année Groupe 2</v>
      </c>
      <c r="I1416" s="6" t="str" cm="1">
        <f t="array" ref="I1416">choice(Referentiel!B:B,1,Settings!$B$16)</f>
        <v>3ème année Design Textile et Matière S2</v>
      </c>
      <c r="J1416" s="6" t="str" cm="1">
        <f t="array" ref="J1416">choice(Referentiel!D:D,1,Settings!$B$16)</f>
        <v>M1</v>
      </c>
      <c r="K1416" s="6" t="str" cm="1">
        <f t="array" ref="K1416">choice(Professeurs!B:B,1,Settings!$B$16)</f>
        <v>Prof46</v>
      </c>
      <c r="L1416" s="5" t="str" cm="1">
        <f t="array" ref="L1416">choice(Referentiel!C:C,1,Settings!$B$16)</f>
        <v/>
      </c>
      <c r="M1416" s="5" t="str" cm="1">
        <f t="array" ref="M1416">choice(Referentiel!E:E,1,Settings!$B$16)</f>
        <v/>
      </c>
      <c r="N1416" s="5" t="str" cm="1">
        <f t="array" ref="N1416">choice(Settings!K:K,1,Settings!$B$16)</f>
        <v/>
      </c>
      <c r="P1416" s="5">
        <f t="shared" si="92"/>
        <v>2</v>
      </c>
    </row>
    <row r="1417" spans="1:16" ht="15.75" customHeight="1" x14ac:dyDescent="0.25">
      <c r="A1417" s="6" t="s">
        <v>1769</v>
      </c>
      <c r="B1417" s="6" cm="1">
        <f t="array" ref="B1417">alea_int(Settings!$B$10,1,Settings!$B$16)</f>
        <v>3</v>
      </c>
      <c r="C1417" s="8">
        <v>46023</v>
      </c>
      <c r="D1417" s="8">
        <f t="shared" si="89"/>
        <v>46387</v>
      </c>
      <c r="E1417" s="6" t="str" cm="1">
        <f t="array" ref="E1417">choice(Groupes!A:A,1,Settings!$B$16)</f>
        <v>G15</v>
      </c>
      <c r="F1417" s="6" t="str">
        <f t="shared" si="90"/>
        <v>G15</v>
      </c>
      <c r="G1417" s="6" t="str">
        <f t="shared" si="91"/>
        <v>Prof41</v>
      </c>
      <c r="H1417" s="6" t="str" cm="1">
        <f t="array" ref="H1417">choice(Referentiel!A:A,1,Settings!$B$16)</f>
        <v>Design Objet</v>
      </c>
      <c r="I1417" s="6" t="str" cm="1">
        <f t="array" ref="I1417">choice(Referentiel!B:B,1,Settings!$B$16)</f>
        <v>3ème année Design Vêtement S1</v>
      </c>
      <c r="J1417" s="6" t="str" cm="1">
        <f t="array" ref="J1417">choice(Referentiel!D:D,1,Settings!$B$16)</f>
        <v>M1</v>
      </c>
      <c r="K1417" s="6" t="str" cm="1">
        <f t="array" ref="K1417">choice(Professeurs!B:B,1,Settings!$B$16)</f>
        <v>Prof41</v>
      </c>
      <c r="L1417" s="5" t="str" cm="1">
        <f t="array" ref="L1417">choice(Referentiel!C:C,1,Settings!$B$16)</f>
        <v/>
      </c>
      <c r="M1417" s="5" t="str" cm="1">
        <f t="array" ref="M1417">choice(Referentiel!E:E,1,Settings!$B$16)</f>
        <v>Salle1</v>
      </c>
      <c r="N1417" s="5" t="str" cm="1">
        <f t="array" ref="N1417">choice(Settings!K:K,1,Settings!$B$16)</f>
        <v>vendredi am</v>
      </c>
      <c r="P1417" s="5">
        <f t="shared" si="92"/>
        <v>7</v>
      </c>
    </row>
    <row r="1418" spans="1:16" ht="15.75" customHeight="1" x14ac:dyDescent="0.25">
      <c r="A1418" s="6" t="s">
        <v>1770</v>
      </c>
      <c r="B1418" s="6" cm="1">
        <f t="array" ref="B1418">alea_int(Settings!$B$10,1,Settings!$B$16)</f>
        <v>1</v>
      </c>
      <c r="C1418" s="8">
        <v>46023</v>
      </c>
      <c r="D1418" s="8">
        <f t="shared" si="89"/>
        <v>46387</v>
      </c>
      <c r="E1418" s="6" t="str" cm="1">
        <f t="array" ref="E1418">choice(Groupes!A:A,1,Settings!$B$16)</f>
        <v>G29</v>
      </c>
      <c r="F1418" s="6" t="str">
        <f t="shared" si="90"/>
        <v>G29</v>
      </c>
      <c r="G1418" s="6" t="str">
        <f t="shared" si="91"/>
        <v>Prof7</v>
      </c>
      <c r="H1418" s="6" t="str" cm="1">
        <f t="array" ref="H1418">choice(Referentiel!A:A,1,Settings!$B$16)</f>
        <v>Design des mondes urbains</v>
      </c>
      <c r="I1418" s="6" t="str" cm="1">
        <f t="array" ref="I1418">choice(Referentiel!B:B,1,Settings!$B$16)</f>
        <v>5ème année Image Imprimée S1</v>
      </c>
      <c r="J1418" s="6" t="str" cm="1">
        <f t="array" ref="J1418">choice(Referentiel!D:D,1,Settings!$B$16)</f>
        <v>L1</v>
      </c>
      <c r="K1418" s="6" t="str" cm="1">
        <f t="array" ref="K1418">choice(Professeurs!B:B,1,Settings!$B$16)</f>
        <v>Prof7</v>
      </c>
      <c r="L1418" s="5" t="str" cm="1">
        <f t="array" ref="L1418">choice(Referentiel!C:C,1,Settings!$B$16)</f>
        <v/>
      </c>
      <c r="M1418" s="5" t="str" cm="1">
        <f t="array" ref="M1418">choice(Referentiel!E:E,1,Settings!$B$16)</f>
        <v/>
      </c>
      <c r="N1418" s="5" t="str" cm="1">
        <f t="array" ref="N1418">choice(Settings!K:K,1,Settings!$B$16)</f>
        <v>jeudi pm</v>
      </c>
      <c r="P1418" s="5">
        <f t="shared" si="92"/>
        <v>3</v>
      </c>
    </row>
    <row r="1419" spans="1:16" ht="15.75" customHeight="1" x14ac:dyDescent="0.25">
      <c r="A1419" s="6" t="s">
        <v>1771</v>
      </c>
      <c r="B1419" s="6" cm="1">
        <f t="array" ref="B1419">alea_int(Settings!$B$10,1,Settings!$B$16)</f>
        <v>3</v>
      </c>
      <c r="C1419" s="8">
        <v>46023</v>
      </c>
      <c r="D1419" s="8">
        <f t="shared" si="89"/>
        <v>46387</v>
      </c>
      <c r="E1419" s="6" t="str" cm="1">
        <f t="array" ref="E1419">choice(Groupes!A:A,1,Settings!$B$16)</f>
        <v>G7</v>
      </c>
      <c r="F1419" s="6" t="str">
        <f t="shared" si="90"/>
        <v>G7</v>
      </c>
      <c r="G1419" s="6" t="str">
        <f t="shared" si="91"/>
        <v>Prof2</v>
      </c>
      <c r="H1419" s="6" t="str" cm="1">
        <f t="array" ref="H1419">choice(Referentiel!A:A,1,Settings!$B$16)</f>
        <v>Gr REFLECTIVE INTERACTION</v>
      </c>
      <c r="I1419" s="6" t="str" cm="1">
        <f t="array" ref="I1419">choice(Referentiel!B:B,1,Settings!$B$16)</f>
        <v>5ème année Architecture Intérieure S2</v>
      </c>
      <c r="J1419" s="6" t="str" cm="1">
        <f t="array" ref="J1419">choice(Referentiel!D:D,1,Settings!$B$16)</f>
        <v>L3</v>
      </c>
      <c r="K1419" s="6" t="str" cm="1">
        <f t="array" ref="K1419">choice(Professeurs!B:B,1,Settings!$B$16)</f>
        <v>Prof2</v>
      </c>
      <c r="L1419" s="5" t="str" cm="1">
        <f t="array" ref="L1419">choice(Referentiel!C:C,1,Settings!$B$16)</f>
        <v/>
      </c>
      <c r="M1419" s="5" t="str" cm="1">
        <f t="array" ref="M1419">choice(Referentiel!E:E,1,Settings!$B$16)</f>
        <v/>
      </c>
      <c r="N1419" s="5" t="str" cm="1">
        <f t="array" ref="N1419">choice(Settings!K:K,1,Settings!$B$16)</f>
        <v/>
      </c>
      <c r="P1419" s="5">
        <f t="shared" si="92"/>
        <v>3</v>
      </c>
    </row>
    <row r="1420" spans="1:16" ht="15.75" customHeight="1" x14ac:dyDescent="0.25">
      <c r="A1420" s="6" t="s">
        <v>1772</v>
      </c>
      <c r="B1420" s="6" cm="1">
        <f t="array" ref="B1420">alea_int(Settings!$B$10,1,Settings!$B$16)</f>
        <v>3</v>
      </c>
      <c r="C1420" s="8">
        <v>46023</v>
      </c>
      <c r="D1420" s="8">
        <f t="shared" si="89"/>
        <v>46387</v>
      </c>
      <c r="E1420" s="6" t="str" cm="1">
        <f t="array" ref="E1420">choice(Groupes!A:A,1,Settings!$B$16)</f>
        <v>G4</v>
      </c>
      <c r="F1420" s="6" t="str">
        <f t="shared" si="90"/>
        <v>G4</v>
      </c>
      <c r="G1420" s="6" t="str">
        <f t="shared" si="91"/>
        <v>Prof27</v>
      </c>
      <c r="H1420" s="6" t="str" cm="1">
        <f t="array" ref="H1420">choice(Referentiel!A:A,1,Settings!$B$16)</f>
        <v>Design Graphique</v>
      </c>
      <c r="I1420" s="6" t="str" cm="1">
        <f t="array" ref="I1420">choice(Referentiel!B:B,1,Settings!$B$16)</f>
        <v>3ème année Cinéma d'Animation S2</v>
      </c>
      <c r="J1420" s="6" t="str" cm="1">
        <f t="array" ref="J1420">choice(Referentiel!D:D,1,Settings!$B$16)</f>
        <v>L1</v>
      </c>
      <c r="K1420" s="6" t="str" cm="1">
        <f t="array" ref="K1420">choice(Professeurs!B:B,1,Settings!$B$16)</f>
        <v>Prof27</v>
      </c>
      <c r="L1420" s="5" t="str" cm="1">
        <f t="array" ref="L1420">choice(Referentiel!C:C,1,Settings!$B$16)</f>
        <v/>
      </c>
      <c r="M1420" s="5" t="str" cm="1">
        <f t="array" ref="M1420">choice(Referentiel!E:E,1,Settings!$B$16)</f>
        <v/>
      </c>
      <c r="N1420" s="5" t="str" cm="1">
        <f t="array" ref="N1420">choice(Settings!K:K,1,Settings!$B$16)</f>
        <v/>
      </c>
      <c r="P1420" s="5">
        <f t="shared" si="92"/>
        <v>3</v>
      </c>
    </row>
    <row r="1421" spans="1:16" ht="15.75" customHeight="1" x14ac:dyDescent="0.25">
      <c r="A1421" s="6" t="s">
        <v>1773</v>
      </c>
      <c r="B1421" s="6" cm="1">
        <f t="array" ref="B1421">alea_int(Settings!$B$10,1,Settings!$B$16)</f>
        <v>1</v>
      </c>
      <c r="C1421" s="8">
        <v>46023</v>
      </c>
      <c r="D1421" s="8">
        <f t="shared" si="89"/>
        <v>46387</v>
      </c>
      <c r="E1421" s="6" t="str" cm="1">
        <f t="array" ref="E1421">choice(Groupes!A:A,1,Settings!$B$16)</f>
        <v>G14</v>
      </c>
      <c r="F1421" s="6" t="str">
        <f t="shared" si="90"/>
        <v>G14</v>
      </c>
      <c r="G1421" s="6" t="str">
        <f t="shared" si="91"/>
        <v>Prof25</v>
      </c>
      <c r="H1421" s="6" t="str" cm="1">
        <f t="array" ref="H1421">choice(Referentiel!A:A,1,Settings!$B$16)</f>
        <v>Design Textile et Matière</v>
      </c>
      <c r="I1421" s="6" t="str" cm="1">
        <f t="array" ref="I1421">choice(Referentiel!B:B,1,Settings!$B$16)</f>
        <v>1ère Année Groupe 2 S2</v>
      </c>
      <c r="J1421" s="6" t="str" cm="1">
        <f t="array" ref="J1421">choice(Referentiel!D:D,1,Settings!$B$16)</f>
        <v>M2</v>
      </c>
      <c r="K1421" s="6" t="str" cm="1">
        <f t="array" ref="K1421">choice(Professeurs!B:B,1,Settings!$B$16)</f>
        <v>Prof25</v>
      </c>
      <c r="L1421" s="5" t="str" cm="1">
        <f t="array" ref="L1421">choice(Referentiel!C:C,1,Settings!$B$16)</f>
        <v>tablette</v>
      </c>
      <c r="M1421" s="5" t="str" cm="1">
        <f t="array" ref="M1421">choice(Referentiel!E:E,1,Settings!$B$16)</f>
        <v/>
      </c>
      <c r="N1421" s="5" t="str" cm="1">
        <f t="array" ref="N1421">choice(Settings!K:K,1,Settings!$B$16)</f>
        <v>lundi pm</v>
      </c>
      <c r="P1421" s="5">
        <f t="shared" si="92"/>
        <v>3</v>
      </c>
    </row>
    <row r="1422" spans="1:16" ht="15.75" customHeight="1" x14ac:dyDescent="0.25">
      <c r="A1422" s="6" t="s">
        <v>1774</v>
      </c>
      <c r="B1422" s="6" cm="1">
        <f t="array" ref="B1422">alea_int(Settings!$B$10,1,Settings!$B$16)</f>
        <v>3</v>
      </c>
      <c r="C1422" s="8">
        <v>46023</v>
      </c>
      <c r="D1422" s="8">
        <f t="shared" si="89"/>
        <v>46387</v>
      </c>
      <c r="E1422" s="6" t="str" cm="1">
        <f t="array" ref="E1422">choice(Groupes!A:A,1,Settings!$B$16)</f>
        <v>G30</v>
      </c>
      <c r="F1422" s="6" t="str">
        <f t="shared" si="90"/>
        <v>G30</v>
      </c>
      <c r="G1422" s="6" t="str">
        <f t="shared" si="91"/>
        <v>Prof42</v>
      </c>
      <c r="H1422" s="6" t="str" cm="1">
        <f t="array" ref="H1422">choice(Referentiel!A:A,1,Settings!$B$16)</f>
        <v>Design des mondes urbains</v>
      </c>
      <c r="I1422" s="6" t="str" cm="1">
        <f t="array" ref="I1422">choice(Referentiel!B:B,1,Settings!$B$16)</f>
        <v>1ère Année Groupe 1 S1</v>
      </c>
      <c r="J1422" s="6" t="str" cm="1">
        <f t="array" ref="J1422">choice(Referentiel!D:D,1,Settings!$B$16)</f>
        <v>M2</v>
      </c>
      <c r="K1422" s="6" t="str" cm="1">
        <f t="array" ref="K1422">choice(Professeurs!B:B,1,Settings!$B$16)</f>
        <v>Prof42</v>
      </c>
      <c r="L1422" s="5" t="str" cm="1">
        <f t="array" ref="L1422">choice(Referentiel!C:C,1,Settings!$B$16)</f>
        <v/>
      </c>
      <c r="M1422" s="5" t="str" cm="1">
        <f t="array" ref="M1422">choice(Referentiel!E:E,1,Settings!$B$16)</f>
        <v/>
      </c>
      <c r="N1422" s="5" t="str" cm="1">
        <f t="array" ref="N1422">choice(Settings!K:K,1,Settings!$B$16)</f>
        <v/>
      </c>
      <c r="P1422" s="5">
        <f t="shared" si="92"/>
        <v>3</v>
      </c>
    </row>
    <row r="1423" spans="1:16" ht="15.75" customHeight="1" x14ac:dyDescent="0.25">
      <c r="A1423" s="6" t="s">
        <v>1775</v>
      </c>
      <c r="B1423" s="6" cm="1">
        <f t="array" ref="B1423">alea_int(Settings!$B$10,1,Settings!$B$16)</f>
        <v>2</v>
      </c>
      <c r="C1423" s="8">
        <v>46023</v>
      </c>
      <c r="D1423" s="8">
        <f t="shared" si="89"/>
        <v>46387</v>
      </c>
      <c r="E1423" s="6" t="str" cm="1">
        <f t="array" ref="E1423">choice(Groupes!A:A,1,Settings!$B$16)</f>
        <v>G13</v>
      </c>
      <c r="F1423" s="6" t="str">
        <f t="shared" si="90"/>
        <v>G13</v>
      </c>
      <c r="G1423" s="6" t="str">
        <f t="shared" si="91"/>
        <v>Prof6</v>
      </c>
      <c r="H1423" s="6" t="str" cm="1">
        <f t="array" ref="H1423">choice(Referentiel!A:A,1,Settings!$B$16)</f>
        <v>Design des mondes forestiers</v>
      </c>
      <c r="I1423" s="6" t="str" cm="1">
        <f t="array" ref="I1423">choice(Referentiel!B:B,1,Settings!$B$16)</f>
        <v>2ème année Architecture Intérieure S2</v>
      </c>
      <c r="J1423" s="6" t="str" cm="1">
        <f t="array" ref="J1423">choice(Referentiel!D:D,1,Settings!$B$16)</f>
        <v>M1</v>
      </c>
      <c r="K1423" s="6" t="str" cm="1">
        <f t="array" ref="K1423">choice(Professeurs!B:B,1,Settings!$B$16)</f>
        <v>Prof6</v>
      </c>
      <c r="L1423" s="5" t="str" cm="1">
        <f t="array" ref="L1423">choice(Referentiel!C:C,1,Settings!$B$16)</f>
        <v/>
      </c>
      <c r="M1423" s="5" t="str" cm="1">
        <f t="array" ref="M1423">choice(Referentiel!E:E,1,Settings!$B$16)</f>
        <v/>
      </c>
      <c r="N1423" s="5" t="str" cm="1">
        <f t="array" ref="N1423">choice(Settings!K:K,1,Settings!$B$16)</f>
        <v>lundi am</v>
      </c>
      <c r="P1423" s="5">
        <f t="shared" si="92"/>
        <v>4</v>
      </c>
    </row>
    <row r="1424" spans="1:16" ht="15.75" customHeight="1" x14ac:dyDescent="0.25">
      <c r="A1424" s="6" t="s">
        <v>1776</v>
      </c>
      <c r="B1424" s="6" cm="1">
        <f t="array" ref="B1424">alea_int(Settings!$B$10,1,Settings!$B$16)</f>
        <v>1</v>
      </c>
      <c r="C1424" s="8">
        <v>46023</v>
      </c>
      <c r="D1424" s="8">
        <f t="shared" si="89"/>
        <v>46387</v>
      </c>
      <c r="E1424" s="6" t="str" cm="1">
        <f t="array" ref="E1424">choice(Groupes!A:A,1,Settings!$B$16)</f>
        <v>G13</v>
      </c>
      <c r="F1424" s="6" t="str">
        <f t="shared" si="90"/>
        <v>G13</v>
      </c>
      <c r="G1424" s="6" t="str">
        <f t="shared" si="91"/>
        <v>Prof44</v>
      </c>
      <c r="H1424" s="6" t="str" cm="1">
        <f t="array" ref="H1424">choice(Referentiel!A:A,1,Settings!$B$16)</f>
        <v>Design Objet</v>
      </c>
      <c r="I1424" s="6" t="str" cm="1">
        <f t="array" ref="I1424">choice(Referentiel!B:B,1,Settings!$B$16)</f>
        <v>4ème année Design Vêtement S2</v>
      </c>
      <c r="J1424" s="6" t="str" cm="1">
        <f t="array" ref="J1424">choice(Referentiel!D:D,1,Settings!$B$16)</f>
        <v>M1</v>
      </c>
      <c r="K1424" s="6" t="str" cm="1">
        <f t="array" ref="K1424">choice(Professeurs!B:B,1,Settings!$B$16)</f>
        <v>Prof44</v>
      </c>
      <c r="L1424" s="5" t="str" cm="1">
        <f t="array" ref="L1424">choice(Referentiel!C:C,1,Settings!$B$16)</f>
        <v/>
      </c>
      <c r="M1424" s="5" t="str" cm="1">
        <f t="array" ref="M1424">choice(Referentiel!E:E,1,Settings!$B$16)</f>
        <v/>
      </c>
      <c r="N1424" s="5" t="str" cm="1">
        <f t="array" ref="N1424">choice(Settings!K:K,1,Settings!$B$16)</f>
        <v/>
      </c>
      <c r="P1424" s="5">
        <f t="shared" si="92"/>
        <v>1</v>
      </c>
    </row>
    <row r="1425" spans="1:16" ht="15.75" customHeight="1" x14ac:dyDescent="0.25">
      <c r="A1425" s="6" t="s">
        <v>1777</v>
      </c>
      <c r="B1425" s="6" cm="1">
        <f t="array" ref="B1425">alea_int(Settings!$B$10,1,Settings!$B$16)</f>
        <v>3</v>
      </c>
      <c r="C1425" s="8">
        <v>46023</v>
      </c>
      <c r="D1425" s="8">
        <f t="shared" si="89"/>
        <v>46387</v>
      </c>
      <c r="E1425" s="6" t="str" cm="1">
        <f t="array" ref="E1425">choice(Groupes!A:A,1,Settings!$B$16)</f>
        <v>G13</v>
      </c>
      <c r="F1425" s="6" t="str">
        <f t="shared" si="90"/>
        <v>G13</v>
      </c>
      <c r="G1425" s="6" t="str">
        <f t="shared" si="91"/>
        <v>Prof13</v>
      </c>
      <c r="H1425" s="6" t="str" cm="1">
        <f t="array" ref="H1425">choice(Referentiel!A:A,1,Settings!$B$16)</f>
        <v>Design Objet</v>
      </c>
      <c r="I1425" s="6" t="str" cm="1">
        <f t="array" ref="I1425">choice(Referentiel!B:B,1,Settings!$B$16)</f>
        <v>2ème année Design Vêtement S2</v>
      </c>
      <c r="J1425" s="6" t="str" cm="1">
        <f t="array" ref="J1425">choice(Referentiel!D:D,1,Settings!$B$16)</f>
        <v>L3</v>
      </c>
      <c r="K1425" s="6" t="str" cm="1">
        <f t="array" ref="K1425">choice(Professeurs!B:B,1,Settings!$B$16)</f>
        <v>Prof13</v>
      </c>
      <c r="L1425" s="5" t="str" cm="1">
        <f t="array" ref="L1425">choice(Referentiel!C:C,1,Settings!$B$16)</f>
        <v/>
      </c>
      <c r="M1425" s="5" t="str" cm="1">
        <f t="array" ref="M1425">choice(Referentiel!E:E,1,Settings!$B$16)</f>
        <v/>
      </c>
      <c r="N1425" s="5" t="str" cm="1">
        <f t="array" ref="N1425">choice(Settings!K:K,1,Settings!$B$16)</f>
        <v/>
      </c>
      <c r="P1425" s="5">
        <f t="shared" si="92"/>
        <v>3</v>
      </c>
    </row>
    <row r="1426" spans="1:16" ht="15.75" customHeight="1" x14ac:dyDescent="0.25">
      <c r="A1426" s="6" t="s">
        <v>1778</v>
      </c>
      <c r="B1426" s="6" cm="1">
        <f t="array" ref="B1426">alea_int(Settings!$B$10,1,Settings!$B$16)</f>
        <v>1</v>
      </c>
      <c r="C1426" s="8">
        <v>46023</v>
      </c>
      <c r="D1426" s="8">
        <f t="shared" si="89"/>
        <v>46387</v>
      </c>
      <c r="E1426" s="6" t="str" cm="1">
        <f t="array" ref="E1426">choice(Groupes!A:A,1,Settings!$B$16)</f>
        <v>G21</v>
      </c>
      <c r="F1426" s="6" t="str">
        <f t="shared" si="90"/>
        <v>G21</v>
      </c>
      <c r="G1426" s="6" t="str">
        <f t="shared" si="91"/>
        <v>Prof6</v>
      </c>
      <c r="H1426" s="6" t="str" cm="1">
        <f t="array" ref="H1426">choice(Referentiel!A:A,1,Settings!$B$16)</f>
        <v>Design des mondes insulaires</v>
      </c>
      <c r="I1426" s="6" t="str" cm="1">
        <f t="array" ref="I1426">choice(Referentiel!B:B,1,Settings!$B$16)</f>
        <v>1ère Année Groupe 1 S1</v>
      </c>
      <c r="J1426" s="6" t="str" cm="1">
        <f t="array" ref="J1426">choice(Referentiel!D:D,1,Settings!$B$16)</f>
        <v>L3</v>
      </c>
      <c r="K1426" s="6" t="str" cm="1">
        <f t="array" ref="K1426">choice(Professeurs!B:B,1,Settings!$B$16)</f>
        <v>Prof6</v>
      </c>
      <c r="L1426" s="5" t="str" cm="1">
        <f t="array" ref="L1426">choice(Referentiel!C:C,1,Settings!$B$16)</f>
        <v/>
      </c>
      <c r="M1426" s="5" t="str" cm="1">
        <f t="array" ref="M1426">choice(Referentiel!E:E,1,Settings!$B$16)</f>
        <v/>
      </c>
      <c r="N1426" s="5" t="str" cm="1">
        <f t="array" ref="N1426">choice(Settings!K:K,1,Settings!$B$16)</f>
        <v>jeudi pm</v>
      </c>
      <c r="P1426" s="5">
        <f t="shared" si="92"/>
        <v>3</v>
      </c>
    </row>
    <row r="1427" spans="1:16" ht="15.75" customHeight="1" x14ac:dyDescent="0.25">
      <c r="A1427" s="6" t="s">
        <v>1779</v>
      </c>
      <c r="B1427" s="6" cm="1">
        <f t="array" ref="B1427">alea_int(Settings!$B$10,1,Settings!$B$16)</f>
        <v>2</v>
      </c>
      <c r="C1427" s="8">
        <v>46023</v>
      </c>
      <c r="D1427" s="8">
        <f t="shared" si="89"/>
        <v>46387</v>
      </c>
      <c r="E1427" s="6" t="str" cm="1">
        <f t="array" ref="E1427">choice(Groupes!A:A,1,Settings!$B$16)</f>
        <v>G21</v>
      </c>
      <c r="F1427" s="6" t="str">
        <f t="shared" si="90"/>
        <v>G21</v>
      </c>
      <c r="G1427" s="6" t="str">
        <f t="shared" si="91"/>
        <v>Prof41</v>
      </c>
      <c r="H1427" s="6" t="str" cm="1">
        <f t="array" ref="H1427">choice(Referentiel!A:A,1,Settings!$B$16)</f>
        <v>Architecture Intérieure</v>
      </c>
      <c r="I1427" s="6" t="str" cm="1">
        <f t="array" ref="I1427">choice(Referentiel!B:B,1,Settings!$B$16)</f>
        <v>3ème année Design Textile et Matière S1</v>
      </c>
      <c r="J1427" s="6" t="str" cm="1">
        <f t="array" ref="J1427">choice(Referentiel!D:D,1,Settings!$B$16)</f>
        <v>L1</v>
      </c>
      <c r="K1427" s="6" t="str" cm="1">
        <f t="array" ref="K1427">choice(Professeurs!B:B,1,Settings!$B$16)</f>
        <v>Prof41</v>
      </c>
      <c r="L1427" s="5" t="str" cm="1">
        <f t="array" ref="L1427">choice(Referentiel!C:C,1,Settings!$B$16)</f>
        <v/>
      </c>
      <c r="M1427" s="5" t="str" cm="1">
        <f t="array" ref="M1427">choice(Referentiel!E:E,1,Settings!$B$16)</f>
        <v/>
      </c>
      <c r="N1427" s="5" t="str" cm="1">
        <f t="array" ref="N1427">choice(Settings!K:K,1,Settings!$B$16)</f>
        <v>mercredi ap</v>
      </c>
      <c r="P1427" s="5">
        <f t="shared" si="92"/>
        <v>4</v>
      </c>
    </row>
    <row r="1428" spans="1:16" ht="15.75" customHeight="1" x14ac:dyDescent="0.25">
      <c r="A1428" s="6" t="s">
        <v>1780</v>
      </c>
      <c r="B1428" s="6" cm="1">
        <f t="array" ref="B1428">alea_int(Settings!$B$10,1,Settings!$B$16)</f>
        <v>2</v>
      </c>
      <c r="C1428" s="8">
        <v>46023</v>
      </c>
      <c r="D1428" s="8">
        <f t="shared" si="89"/>
        <v>46387</v>
      </c>
      <c r="E1428" s="6" t="str" cm="1">
        <f t="array" ref="E1428">choice(Groupes!A:A,1,Settings!$B$16)</f>
        <v>G16</v>
      </c>
      <c r="F1428" s="6" t="str">
        <f t="shared" si="90"/>
        <v>G16</v>
      </c>
      <c r="G1428" s="6" t="str">
        <f t="shared" si="91"/>
        <v>Prof42</v>
      </c>
      <c r="H1428" s="6" t="str" cm="1">
        <f t="array" ref="H1428">choice(Referentiel!A:A,1,Settings!$B$16)</f>
        <v>Design des mondes urbains</v>
      </c>
      <c r="I1428" s="6" t="str" cm="1">
        <f t="array" ref="I1428">choice(Referentiel!B:B,1,Settings!$B$16)</f>
        <v>3ème année Scénographie S1</v>
      </c>
      <c r="J1428" s="6" t="str" cm="1">
        <f t="array" ref="J1428">choice(Referentiel!D:D,1,Settings!$B$16)</f>
        <v>M1</v>
      </c>
      <c r="K1428" s="6" t="str" cm="1">
        <f t="array" ref="K1428">choice(Professeurs!B:B,1,Settings!$B$16)</f>
        <v>Prof42</v>
      </c>
      <c r="L1428" s="5" t="str" cm="1">
        <f t="array" ref="L1428">choice(Referentiel!C:C,1,Settings!$B$16)</f>
        <v/>
      </c>
      <c r="M1428" s="5" t="str" cm="1">
        <f t="array" ref="M1428">choice(Referentiel!E:E,1,Settings!$B$16)</f>
        <v/>
      </c>
      <c r="N1428" s="5" t="str" cm="1">
        <f t="array" ref="N1428">choice(Settings!K:K,1,Settings!$B$16)</f>
        <v/>
      </c>
      <c r="P1428" s="5">
        <f t="shared" si="92"/>
        <v>2</v>
      </c>
    </row>
    <row r="1429" spans="1:16" ht="15.75" customHeight="1" x14ac:dyDescent="0.25">
      <c r="A1429" s="6" t="s">
        <v>1781</v>
      </c>
      <c r="B1429" s="6" cm="1">
        <f t="array" ref="B1429">alea_int(Settings!$B$10,1,Settings!$B$16)</f>
        <v>2</v>
      </c>
      <c r="C1429" s="8">
        <v>46023</v>
      </c>
      <c r="D1429" s="8">
        <f t="shared" si="89"/>
        <v>46387</v>
      </c>
      <c r="E1429" s="6" t="str" cm="1">
        <f t="array" ref="E1429">choice(Groupes!A:A,1,Settings!$B$16)</f>
        <v>G7</v>
      </c>
      <c r="F1429" s="6" t="str">
        <f t="shared" si="90"/>
        <v>G7</v>
      </c>
      <c r="G1429" s="6" t="str">
        <f t="shared" si="91"/>
        <v>Prof39</v>
      </c>
      <c r="H1429" s="6" t="str" cm="1">
        <f t="array" ref="H1429">choice(Referentiel!A:A,1,Settings!$B$16)</f>
        <v>Gr SPATIAL MEDIA</v>
      </c>
      <c r="I1429" s="6" t="str" cm="1">
        <f t="array" ref="I1429">choice(Referentiel!B:B,1,Settings!$B$16)</f>
        <v>2ème année Architecture Intérieure S2</v>
      </c>
      <c r="J1429" s="6" t="str" cm="1">
        <f t="array" ref="J1429">choice(Referentiel!D:D,1,Settings!$B$16)</f>
        <v>L2</v>
      </c>
      <c r="K1429" s="6" t="str" cm="1">
        <f t="array" ref="K1429">choice(Professeurs!B:B,1,Settings!$B$16)</f>
        <v>Prof39</v>
      </c>
      <c r="L1429" s="5" t="str" cm="1">
        <f t="array" ref="L1429">choice(Referentiel!C:C,1,Settings!$B$16)</f>
        <v/>
      </c>
      <c r="M1429" s="5" t="str" cm="1">
        <f t="array" ref="M1429">choice(Referentiel!E:E,1,Settings!$B$16)</f>
        <v/>
      </c>
      <c r="N1429" s="5" t="str" cm="1">
        <f t="array" ref="N1429">choice(Settings!K:K,1,Settings!$B$16)</f>
        <v>jeudi pm</v>
      </c>
      <c r="P1429" s="5">
        <f t="shared" si="92"/>
        <v>4</v>
      </c>
    </row>
    <row r="1430" spans="1:16" ht="15.75" customHeight="1" x14ac:dyDescent="0.25">
      <c r="A1430" s="6" t="s">
        <v>1782</v>
      </c>
      <c r="B1430" s="6" cm="1">
        <f t="array" ref="B1430">alea_int(Settings!$B$10,1,Settings!$B$16)</f>
        <v>1</v>
      </c>
      <c r="C1430" s="8">
        <v>46023</v>
      </c>
      <c r="D1430" s="8">
        <f t="shared" si="89"/>
        <v>46387</v>
      </c>
      <c r="E1430" s="6" t="str" cm="1">
        <f t="array" ref="E1430">choice(Groupes!A:A,1,Settings!$B$16)</f>
        <v>G23</v>
      </c>
      <c r="F1430" s="6" t="str">
        <f t="shared" si="90"/>
        <v>G23</v>
      </c>
      <c r="G1430" s="6" t="str">
        <f t="shared" si="91"/>
        <v>Prof39</v>
      </c>
      <c r="H1430" s="6" t="str" cm="1">
        <f t="array" ref="H1430">choice(Referentiel!A:A,1,Settings!$B$16)</f>
        <v>Image Imprimée</v>
      </c>
      <c r="I1430" s="6" t="str" cm="1">
        <f t="array" ref="I1430">choice(Referentiel!B:B,1,Settings!$B$16)</f>
        <v>3ème année Design Graphique S1</v>
      </c>
      <c r="J1430" s="6" t="str" cm="1">
        <f t="array" ref="J1430">choice(Referentiel!D:D,1,Settings!$B$16)</f>
        <v>L3</v>
      </c>
      <c r="K1430" s="6" t="str" cm="1">
        <f t="array" ref="K1430">choice(Professeurs!B:B,1,Settings!$B$16)</f>
        <v>Prof39</v>
      </c>
      <c r="L1430" s="5" t="str" cm="1">
        <f t="array" ref="L1430">choice(Referentiel!C:C,1,Settings!$B$16)</f>
        <v/>
      </c>
      <c r="M1430" s="5" t="str" cm="1">
        <f t="array" ref="M1430">choice(Referentiel!E:E,1,Settings!$B$16)</f>
        <v/>
      </c>
      <c r="N1430" s="5" t="str" cm="1">
        <f t="array" ref="N1430">choice(Settings!K:K,1,Settings!$B$16)</f>
        <v/>
      </c>
      <c r="P1430" s="5">
        <f t="shared" si="92"/>
        <v>1</v>
      </c>
    </row>
    <row r="1431" spans="1:16" ht="15.75" customHeight="1" x14ac:dyDescent="0.25">
      <c r="A1431" s="6" t="s">
        <v>1783</v>
      </c>
      <c r="B1431" s="6" cm="1">
        <f t="array" ref="B1431">alea_int(Settings!$B$10,1,Settings!$B$16)</f>
        <v>3</v>
      </c>
      <c r="C1431" s="8">
        <v>46023</v>
      </c>
      <c r="D1431" s="8">
        <f t="shared" si="89"/>
        <v>46387</v>
      </c>
      <c r="E1431" s="6" t="str" cm="1">
        <f t="array" ref="E1431">choice(Groupes!A:A,1,Settings!$B$16)</f>
        <v>G1</v>
      </c>
      <c r="F1431" s="6" t="str">
        <f t="shared" si="90"/>
        <v>G1</v>
      </c>
      <c r="G1431" s="6" t="str">
        <f t="shared" si="91"/>
        <v>Prof10</v>
      </c>
      <c r="H1431" s="6" t="str" cm="1">
        <f t="array" ref="H1431">choice(Referentiel!A:A,1,Settings!$B$16)</f>
        <v>Art-Espace</v>
      </c>
      <c r="I1431" s="6" t="str" cm="1">
        <f t="array" ref="I1431">choice(Referentiel!B:B,1,Settings!$B$16)</f>
        <v>4ème année Scénographie S2</v>
      </c>
      <c r="J1431" s="6" t="str" cm="1">
        <f t="array" ref="J1431">choice(Referentiel!D:D,1,Settings!$B$16)</f>
        <v>M2</v>
      </c>
      <c r="K1431" s="6" t="str" cm="1">
        <f t="array" ref="K1431">choice(Professeurs!B:B,1,Settings!$B$16)</f>
        <v>Prof10</v>
      </c>
      <c r="L1431" s="5" t="str" cm="1">
        <f t="array" ref="L1431">choice(Referentiel!C:C,1,Settings!$B$16)</f>
        <v/>
      </c>
      <c r="M1431" s="5" t="str" cm="1">
        <f t="array" ref="M1431">choice(Referentiel!E:E,1,Settings!$B$16)</f>
        <v/>
      </c>
      <c r="N1431" s="5" t="str" cm="1">
        <f t="array" ref="N1431">choice(Settings!K:K,1,Settings!$B$16)</f>
        <v/>
      </c>
      <c r="P1431" s="5">
        <f t="shared" si="92"/>
        <v>3</v>
      </c>
    </row>
    <row r="1432" spans="1:16" ht="15.75" customHeight="1" x14ac:dyDescent="0.25">
      <c r="A1432" s="6" t="s">
        <v>1784</v>
      </c>
      <c r="B1432" s="6" cm="1">
        <f t="array" ref="B1432">alea_int(Settings!$B$10,1,Settings!$B$16)</f>
        <v>1</v>
      </c>
      <c r="C1432" s="8">
        <v>46023</v>
      </c>
      <c r="D1432" s="8">
        <f t="shared" si="89"/>
        <v>46387</v>
      </c>
      <c r="E1432" s="6" t="str" cm="1">
        <f t="array" ref="E1432">choice(Groupes!A:A,1,Settings!$B$16)</f>
        <v>G25</v>
      </c>
      <c r="F1432" s="6" t="str">
        <f t="shared" si="90"/>
        <v>G25</v>
      </c>
      <c r="G1432" s="6" t="str">
        <f t="shared" si="91"/>
        <v>Prof17</v>
      </c>
      <c r="H1432" s="6" t="str" cm="1">
        <f t="array" ref="H1432">choice(Referentiel!A:A,1,Settings!$B$16)</f>
        <v>Design des mondes insulaires</v>
      </c>
      <c r="I1432" s="6" t="str" cm="1">
        <f t="array" ref="I1432">choice(Referentiel!B:B,1,Settings!$B$16)</f>
        <v>2ème année Cinéma d'Animation S1</v>
      </c>
      <c r="J1432" s="6" t="str" cm="1">
        <f t="array" ref="J1432">choice(Referentiel!D:D,1,Settings!$B$16)</f>
        <v>L2</v>
      </c>
      <c r="K1432" s="6" t="str" cm="1">
        <f t="array" ref="K1432">choice(Professeurs!B:B,1,Settings!$B$16)</f>
        <v>Prof17</v>
      </c>
      <c r="L1432" s="5" t="str" cm="1">
        <f t="array" ref="L1432">choice(Referentiel!C:C,1,Settings!$B$16)</f>
        <v/>
      </c>
      <c r="M1432" s="5" t="str" cm="1">
        <f t="array" ref="M1432">choice(Referentiel!E:E,1,Settings!$B$16)</f>
        <v/>
      </c>
      <c r="N1432" s="5" t="str" cm="1">
        <f t="array" ref="N1432">choice(Settings!K:K,1,Settings!$B$16)</f>
        <v/>
      </c>
      <c r="P1432" s="5">
        <f t="shared" si="92"/>
        <v>1</v>
      </c>
    </row>
    <row r="1433" spans="1:16" ht="15.75" customHeight="1" x14ac:dyDescent="0.25">
      <c r="A1433" s="6" t="s">
        <v>1785</v>
      </c>
      <c r="B1433" s="6" cm="1">
        <f t="array" ref="B1433">alea_int(Settings!$B$10,1,Settings!$B$16)</f>
        <v>3</v>
      </c>
      <c r="C1433" s="8">
        <v>46023</v>
      </c>
      <c r="D1433" s="8">
        <f t="shared" si="89"/>
        <v>46387</v>
      </c>
      <c r="E1433" s="6" t="str" cm="1">
        <f t="array" ref="E1433">choice(Groupes!A:A,1,Settings!$B$16)</f>
        <v>G30</v>
      </c>
      <c r="F1433" s="6" t="str">
        <f t="shared" si="90"/>
        <v>G30</v>
      </c>
      <c r="G1433" s="6" t="str">
        <f t="shared" si="91"/>
        <v>Prof12</v>
      </c>
      <c r="H1433" s="6" t="str" cm="1">
        <f t="array" ref="H1433">choice(Referentiel!A:A,1,Settings!$B$16)</f>
        <v>Photo / Vidéo</v>
      </c>
      <c r="I1433" s="6" t="str" cm="1">
        <f t="array" ref="I1433">choice(Referentiel!B:B,1,Settings!$B$16)</f>
        <v>Césure S1</v>
      </c>
      <c r="J1433" s="6" t="str" cm="1">
        <f t="array" ref="J1433">choice(Referentiel!D:D,1,Settings!$B$16)</f>
        <v>M2</v>
      </c>
      <c r="K1433" s="6" t="str" cm="1">
        <f t="array" ref="K1433">choice(Professeurs!B:B,1,Settings!$B$16)</f>
        <v>Prof12</v>
      </c>
      <c r="L1433" s="5" t="str" cm="1">
        <f t="array" ref="L1433">choice(Referentiel!C:C,1,Settings!$B$16)</f>
        <v/>
      </c>
      <c r="M1433" s="5" t="str" cm="1">
        <f t="array" ref="M1433">choice(Referentiel!E:E,1,Settings!$B$16)</f>
        <v/>
      </c>
      <c r="N1433" s="5" t="str" cm="1">
        <f t="array" ref="N1433">choice(Settings!K:K,1,Settings!$B$16)</f>
        <v>vendredi am</v>
      </c>
      <c r="P1433" s="5">
        <f t="shared" si="92"/>
        <v>5</v>
      </c>
    </row>
    <row r="1434" spans="1:16" ht="15.75" customHeight="1" x14ac:dyDescent="0.25">
      <c r="A1434" s="6" t="s">
        <v>1786</v>
      </c>
      <c r="B1434" s="6" cm="1">
        <f t="array" ref="B1434">alea_int(Settings!$B$10,1,Settings!$B$16)</f>
        <v>2</v>
      </c>
      <c r="C1434" s="8">
        <v>46023</v>
      </c>
      <c r="D1434" s="8">
        <f t="shared" si="89"/>
        <v>46387</v>
      </c>
      <c r="E1434" s="6" t="str" cm="1">
        <f t="array" ref="E1434">choice(Groupes!A:A,1,Settings!$B$16)</f>
        <v>G9</v>
      </c>
      <c r="F1434" s="6" t="str">
        <f t="shared" si="90"/>
        <v>G9</v>
      </c>
      <c r="G1434" s="6" t="str">
        <f t="shared" si="91"/>
        <v>Prof12</v>
      </c>
      <c r="H1434" s="6" t="str" cm="1">
        <f t="array" ref="H1434">choice(Referentiel!A:A,1,Settings!$B$16)</f>
        <v>Scénographie</v>
      </c>
      <c r="I1434" s="6" t="str" cm="1">
        <f t="array" ref="I1434">choice(Referentiel!B:B,1,Settings!$B$16)</f>
        <v>4ème année Design Textile et Matière S2</v>
      </c>
      <c r="J1434" s="6" t="str" cm="1">
        <f t="array" ref="J1434">choice(Referentiel!D:D,1,Settings!$B$16)</f>
        <v>L3</v>
      </c>
      <c r="K1434" s="6" t="str" cm="1">
        <f t="array" ref="K1434">choice(Professeurs!B:B,1,Settings!$B$16)</f>
        <v>Prof12</v>
      </c>
      <c r="L1434" s="5" t="str" cm="1">
        <f t="array" ref="L1434">choice(Referentiel!C:C,1,Settings!$B$16)</f>
        <v/>
      </c>
      <c r="M1434" s="5" t="str" cm="1">
        <f t="array" ref="M1434">choice(Referentiel!E:E,1,Settings!$B$16)</f>
        <v/>
      </c>
      <c r="N1434" s="5" t="str" cm="1">
        <f t="array" ref="N1434">choice(Settings!K:K,1,Settings!$B$16)</f>
        <v/>
      </c>
      <c r="P1434" s="5">
        <f t="shared" si="92"/>
        <v>2</v>
      </c>
    </row>
    <row r="1435" spans="1:16" ht="15.75" customHeight="1" x14ac:dyDescent="0.25">
      <c r="A1435" s="6" t="s">
        <v>1787</v>
      </c>
      <c r="B1435" s="6" cm="1">
        <f t="array" ref="B1435">alea_int(Settings!$B$10,1,Settings!$B$16)</f>
        <v>1</v>
      </c>
      <c r="C1435" s="8">
        <v>46023</v>
      </c>
      <c r="D1435" s="8">
        <f t="shared" si="89"/>
        <v>46387</v>
      </c>
      <c r="E1435" s="6" t="str" cm="1">
        <f t="array" ref="E1435">choice(Groupes!A:A,1,Settings!$B$16)</f>
        <v>G2</v>
      </c>
      <c r="F1435" s="6" t="str">
        <f t="shared" si="90"/>
        <v>G2</v>
      </c>
      <c r="G1435" s="6" t="str">
        <f t="shared" si="91"/>
        <v>Prof8</v>
      </c>
      <c r="H1435" s="6" t="str" cm="1">
        <f t="array" ref="H1435">choice(Referentiel!A:A,1,Settings!$B$16)</f>
        <v>1ère année Groupe 1</v>
      </c>
      <c r="I1435" s="6" t="str" cm="1">
        <f t="array" ref="I1435">choice(Referentiel!B:B,1,Settings!$B$16)</f>
        <v>3ème année Design Vêtement S2</v>
      </c>
      <c r="J1435" s="6" t="str" cm="1">
        <f t="array" ref="J1435">choice(Referentiel!D:D,1,Settings!$B$16)</f>
        <v>M1</v>
      </c>
      <c r="K1435" s="6" t="str" cm="1">
        <f t="array" ref="K1435">choice(Professeurs!B:B,1,Settings!$B$16)</f>
        <v>Prof8</v>
      </c>
      <c r="L1435" s="5" t="str" cm="1">
        <f t="array" ref="L1435">choice(Referentiel!C:C,1,Settings!$B$16)</f>
        <v/>
      </c>
      <c r="M1435" s="5" t="str" cm="1">
        <f t="array" ref="M1435">choice(Referentiel!E:E,1,Settings!$B$16)</f>
        <v>Salle8</v>
      </c>
      <c r="N1435" s="5" t="str" cm="1">
        <f t="array" ref="N1435">choice(Settings!K:K,1,Settings!$B$16)</f>
        <v/>
      </c>
      <c r="P1435" s="5">
        <f t="shared" si="92"/>
        <v>3</v>
      </c>
    </row>
    <row r="1436" spans="1:16" ht="15.75" customHeight="1" x14ac:dyDescent="0.25">
      <c r="A1436" s="6" t="s">
        <v>1788</v>
      </c>
      <c r="B1436" s="6" cm="1">
        <f t="array" ref="B1436">alea_int(Settings!$B$10,1,Settings!$B$16)</f>
        <v>3</v>
      </c>
      <c r="C1436" s="8">
        <v>46023</v>
      </c>
      <c r="D1436" s="8">
        <f t="shared" si="89"/>
        <v>46387</v>
      </c>
      <c r="E1436" s="6" t="str" cm="1">
        <f t="array" ref="E1436">choice(Groupes!A:A,1,Settings!$B$16)</f>
        <v>G24</v>
      </c>
      <c r="F1436" s="6" t="str">
        <f t="shared" si="90"/>
        <v>G24</v>
      </c>
      <c r="G1436" s="6" t="str">
        <f t="shared" si="91"/>
        <v>Prof48</v>
      </c>
      <c r="H1436" s="6" t="str" cm="1">
        <f t="array" ref="H1436">choice(Referentiel!A:A,1,Settings!$B$16)</f>
        <v>Gr TERRITOIRES</v>
      </c>
      <c r="I1436" s="6" t="str" cm="1">
        <f t="array" ref="I1436">choice(Referentiel!B:B,1,Settings!$B$16)</f>
        <v>2ème année Image Imprimée S2</v>
      </c>
      <c r="J1436" s="6" t="str" cm="1">
        <f t="array" ref="J1436">choice(Referentiel!D:D,1,Settings!$B$16)</f>
        <v>M2</v>
      </c>
      <c r="K1436" s="6" t="str" cm="1">
        <f t="array" ref="K1436">choice(Professeurs!B:B,1,Settings!$B$16)</f>
        <v>Prof48</v>
      </c>
      <c r="L1436" s="5" t="str" cm="1">
        <f t="array" ref="L1436">choice(Referentiel!C:C,1,Settings!$B$16)</f>
        <v/>
      </c>
      <c r="M1436" s="5" t="str" cm="1">
        <f t="array" ref="M1436">choice(Referentiel!E:E,1,Settings!$B$16)</f>
        <v/>
      </c>
      <c r="N1436" s="5" t="str" cm="1">
        <f t="array" ref="N1436">choice(Settings!K:K,1,Settings!$B$16)</f>
        <v/>
      </c>
      <c r="P1436" s="5">
        <f t="shared" si="92"/>
        <v>3</v>
      </c>
    </row>
    <row r="1437" spans="1:16" ht="15.75" customHeight="1" x14ac:dyDescent="0.25">
      <c r="A1437" s="6" t="s">
        <v>1789</v>
      </c>
      <c r="B1437" s="6" cm="1">
        <f t="array" ref="B1437">alea_int(Settings!$B$10,1,Settings!$B$16)</f>
        <v>3</v>
      </c>
      <c r="C1437" s="8">
        <v>46023</v>
      </c>
      <c r="D1437" s="8">
        <f t="shared" si="89"/>
        <v>46387</v>
      </c>
      <c r="E1437" s="6" t="str" cm="1">
        <f t="array" ref="E1437">choice(Groupes!A:A,1,Settings!$B$16)</f>
        <v>G27</v>
      </c>
      <c r="F1437" s="6" t="str">
        <f t="shared" si="90"/>
        <v>G27</v>
      </c>
      <c r="G1437" s="6" t="str">
        <f t="shared" si="91"/>
        <v>Prof28</v>
      </c>
      <c r="H1437" s="6" t="str" cm="1">
        <f t="array" ref="H1437">choice(Referentiel!A:A,1,Settings!$B$16)</f>
        <v>Gr TERRITOIRES</v>
      </c>
      <c r="I1437" s="6" t="str" cm="1">
        <f t="array" ref="I1437">choice(Referentiel!B:B,1,Settings!$B$16)</f>
        <v>5ème année Cinéma d'Animation S2</v>
      </c>
      <c r="J1437" s="6" t="str" cm="1">
        <f t="array" ref="J1437">choice(Referentiel!D:D,1,Settings!$B$16)</f>
        <v>L3</v>
      </c>
      <c r="K1437" s="6" t="str" cm="1">
        <f t="array" ref="K1437">choice(Professeurs!B:B,1,Settings!$B$16)</f>
        <v>Prof28</v>
      </c>
      <c r="L1437" s="5" t="str" cm="1">
        <f t="array" ref="L1437">choice(Referentiel!C:C,1,Settings!$B$16)</f>
        <v/>
      </c>
      <c r="M1437" s="5" t="str" cm="1">
        <f t="array" ref="M1437">choice(Referentiel!E:E,1,Settings!$B$16)</f>
        <v/>
      </c>
      <c r="N1437" s="5" t="str" cm="1">
        <f t="array" ref="N1437">choice(Settings!K:K,1,Settings!$B$16)</f>
        <v>semaine</v>
      </c>
      <c r="P1437" s="5">
        <f t="shared" si="92"/>
        <v>5</v>
      </c>
    </row>
    <row r="1438" spans="1:16" ht="15.75" customHeight="1" x14ac:dyDescent="0.25">
      <c r="A1438" s="6" t="s">
        <v>1790</v>
      </c>
      <c r="B1438" s="6" cm="1">
        <f t="array" ref="B1438">alea_int(Settings!$B$10,1,Settings!$B$16)</f>
        <v>1</v>
      </c>
      <c r="C1438" s="8">
        <v>46023</v>
      </c>
      <c r="D1438" s="8">
        <f t="shared" si="89"/>
        <v>46387</v>
      </c>
      <c r="E1438" s="6" t="str" cm="1">
        <f t="array" ref="E1438">choice(Groupes!A:A,1,Settings!$B$16)</f>
        <v>G6</v>
      </c>
      <c r="F1438" s="6" t="str">
        <f t="shared" si="90"/>
        <v>G6</v>
      </c>
      <c r="G1438" s="6" t="str">
        <f t="shared" si="91"/>
        <v>Prof30</v>
      </c>
      <c r="H1438" s="6" t="str" cm="1">
        <f t="array" ref="H1438">choice(Referentiel!A:A,1,Settings!$B$16)</f>
        <v>Gr SYMBIOSE</v>
      </c>
      <c r="I1438" s="6" t="str" cm="1">
        <f t="array" ref="I1438">choice(Referentiel!B:B,1,Settings!$B$16)</f>
        <v>3ème année Design Objet S2</v>
      </c>
      <c r="J1438" s="6" t="str" cm="1">
        <f t="array" ref="J1438">choice(Referentiel!D:D,1,Settings!$B$16)</f>
        <v>L2</v>
      </c>
      <c r="K1438" s="6" t="str" cm="1">
        <f t="array" ref="K1438">choice(Professeurs!B:B,1,Settings!$B$16)</f>
        <v>Prof30</v>
      </c>
      <c r="L1438" s="5" t="str" cm="1">
        <f t="array" ref="L1438">choice(Referentiel!C:C,1,Settings!$B$16)</f>
        <v/>
      </c>
      <c r="M1438" s="5" t="str" cm="1">
        <f t="array" ref="M1438">choice(Referentiel!E:E,1,Settings!$B$16)</f>
        <v/>
      </c>
      <c r="N1438" s="5" t="str" cm="1">
        <f t="array" ref="N1438">choice(Settings!K:K,1,Settings!$B$16)</f>
        <v/>
      </c>
      <c r="P1438" s="5">
        <f t="shared" si="92"/>
        <v>1</v>
      </c>
    </row>
    <row r="1439" spans="1:16" ht="15.75" customHeight="1" x14ac:dyDescent="0.25">
      <c r="A1439" s="6" t="s">
        <v>1791</v>
      </c>
      <c r="B1439" s="6" cm="1">
        <f t="array" ref="B1439">alea_int(Settings!$B$10,1,Settings!$B$16)</f>
        <v>1</v>
      </c>
      <c r="C1439" s="8">
        <v>46023</v>
      </c>
      <c r="D1439" s="8">
        <f t="shared" si="89"/>
        <v>46387</v>
      </c>
      <c r="E1439" s="6" t="str" cm="1">
        <f t="array" ref="E1439">choice(Groupes!A:A,1,Settings!$B$16)</f>
        <v>G19</v>
      </c>
      <c r="F1439" s="6" t="str">
        <f t="shared" si="90"/>
        <v>G19</v>
      </c>
      <c r="G1439" s="6" t="str">
        <f t="shared" si="91"/>
        <v>Prof9</v>
      </c>
      <c r="H1439" s="6" t="str" cm="1">
        <f t="array" ref="H1439">choice(Referentiel!A:A,1,Settings!$B$16)</f>
        <v>1ère année Groupe 3</v>
      </c>
      <c r="I1439" s="6" t="str" cm="1">
        <f t="array" ref="I1439">choice(Referentiel!B:B,1,Settings!$B$16)</f>
        <v>3ème année Design Vêtement S2</v>
      </c>
      <c r="J1439" s="6" t="str" cm="1">
        <f t="array" ref="J1439">choice(Referentiel!D:D,1,Settings!$B$16)</f>
        <v>L2</v>
      </c>
      <c r="K1439" s="6" t="str" cm="1">
        <f t="array" ref="K1439">choice(Professeurs!B:B,1,Settings!$B$16)</f>
        <v>Prof9</v>
      </c>
      <c r="L1439" s="5" t="str" cm="1">
        <f t="array" ref="L1439">choice(Referentiel!C:C,1,Settings!$B$16)</f>
        <v/>
      </c>
      <c r="M1439" s="5" t="str" cm="1">
        <f t="array" ref="M1439">choice(Referentiel!E:E,1,Settings!$B$16)</f>
        <v/>
      </c>
      <c r="N1439" s="5" t="str" cm="1">
        <f t="array" ref="N1439">choice(Settings!K:K,1,Settings!$B$16)</f>
        <v>mardi pm</v>
      </c>
      <c r="P1439" s="5">
        <f t="shared" si="92"/>
        <v>3</v>
      </c>
    </row>
    <row r="1440" spans="1:16" ht="15.75" customHeight="1" x14ac:dyDescent="0.25">
      <c r="A1440" s="6" t="s">
        <v>1792</v>
      </c>
      <c r="B1440" s="6" cm="1">
        <f t="array" ref="B1440">alea_int(Settings!$B$10,1,Settings!$B$16)</f>
        <v>1</v>
      </c>
      <c r="C1440" s="8">
        <v>46023</v>
      </c>
      <c r="D1440" s="8">
        <f t="shared" si="89"/>
        <v>46387</v>
      </c>
      <c r="E1440" s="6" t="str" cm="1">
        <f t="array" ref="E1440">choice(Groupes!A:A,1,Settings!$B$16)</f>
        <v>G14</v>
      </c>
      <c r="F1440" s="6" t="str">
        <f t="shared" si="90"/>
        <v>G14</v>
      </c>
      <c r="G1440" s="6" t="str">
        <f t="shared" si="91"/>
        <v>Prof9</v>
      </c>
      <c r="H1440" s="6" t="str" cm="1">
        <f t="array" ref="H1440">choice(Referentiel!A:A,1,Settings!$B$16)</f>
        <v>Design des mondes forestiers</v>
      </c>
      <c r="I1440" s="6" t="str" cm="1">
        <f t="array" ref="I1440">choice(Referentiel!B:B,1,Settings!$B$16)</f>
        <v>4ème année Art-Espace S1</v>
      </c>
      <c r="J1440" s="6" t="str" cm="1">
        <f t="array" ref="J1440">choice(Referentiel!D:D,1,Settings!$B$16)</f>
        <v>L1</v>
      </c>
      <c r="K1440" s="6" t="str" cm="1">
        <f t="array" ref="K1440">choice(Professeurs!B:B,1,Settings!$B$16)</f>
        <v>Prof9</v>
      </c>
      <c r="L1440" s="5" t="str" cm="1">
        <f t="array" ref="L1440">choice(Referentiel!C:C,1,Settings!$B$16)</f>
        <v/>
      </c>
      <c r="M1440" s="5" t="str" cm="1">
        <f t="array" ref="M1440">choice(Referentiel!E:E,1,Settings!$B$16)</f>
        <v/>
      </c>
      <c r="N1440" s="5" t="str" cm="1">
        <f t="array" ref="N1440">choice(Settings!K:K,1,Settings!$B$16)</f>
        <v/>
      </c>
      <c r="P1440" s="5">
        <f t="shared" si="92"/>
        <v>1</v>
      </c>
    </row>
    <row r="1441" spans="1:16" ht="15.75" customHeight="1" x14ac:dyDescent="0.25">
      <c r="A1441" s="6" t="s">
        <v>1793</v>
      </c>
      <c r="B1441" s="6" cm="1">
        <f t="array" ref="B1441">alea_int(Settings!$B$10,1,Settings!$B$16)</f>
        <v>2</v>
      </c>
      <c r="C1441" s="8">
        <v>46023</v>
      </c>
      <c r="D1441" s="8">
        <f t="shared" si="89"/>
        <v>46387</v>
      </c>
      <c r="E1441" s="6" t="str" cm="1">
        <f t="array" ref="E1441">choice(Groupes!A:A,1,Settings!$B$16)</f>
        <v>G30</v>
      </c>
      <c r="F1441" s="6" t="str">
        <f t="shared" si="90"/>
        <v>G30</v>
      </c>
      <c r="G1441" s="6" t="str">
        <f t="shared" si="91"/>
        <v>Prof24</v>
      </c>
      <c r="H1441" s="6" t="str" cm="1">
        <f t="array" ref="H1441">choice(Referentiel!A:A,1,Settings!$B$16)</f>
        <v>Design des mondes montagneux</v>
      </c>
      <c r="I1441" s="6" t="str" cm="1">
        <f t="array" ref="I1441">choice(Referentiel!B:B,1,Settings!$B$16)</f>
        <v>2ème année Architecture Intérieure S2</v>
      </c>
      <c r="J1441" s="6" t="str" cm="1">
        <f t="array" ref="J1441">choice(Referentiel!D:D,1,Settings!$B$16)</f>
        <v>L1</v>
      </c>
      <c r="K1441" s="6" t="str" cm="1">
        <f t="array" ref="K1441">choice(Professeurs!B:B,1,Settings!$B$16)</f>
        <v>Prof24</v>
      </c>
      <c r="L1441" s="5" t="str" cm="1">
        <f t="array" ref="L1441">choice(Referentiel!C:C,1,Settings!$B$16)</f>
        <v/>
      </c>
      <c r="M1441" s="5" t="str" cm="1">
        <f t="array" ref="M1441">choice(Referentiel!E:E,1,Settings!$B$16)</f>
        <v/>
      </c>
      <c r="N1441" s="5" t="str" cm="1">
        <f t="array" ref="N1441">choice(Settings!K:K,1,Settings!$B$16)</f>
        <v/>
      </c>
      <c r="P1441" s="5">
        <f t="shared" si="92"/>
        <v>2</v>
      </c>
    </row>
    <row r="1442" spans="1:16" ht="15.75" customHeight="1" x14ac:dyDescent="0.25">
      <c r="A1442" s="6" t="s">
        <v>1794</v>
      </c>
      <c r="B1442" s="6" cm="1">
        <f t="array" ref="B1442">alea_int(Settings!$B$10,1,Settings!$B$16)</f>
        <v>1</v>
      </c>
      <c r="C1442" s="8">
        <v>46023</v>
      </c>
      <c r="D1442" s="8">
        <f t="shared" si="89"/>
        <v>46387</v>
      </c>
      <c r="E1442" s="6" t="str" cm="1">
        <f t="array" ref="E1442">choice(Groupes!A:A,1,Settings!$B$16)</f>
        <v>G21</v>
      </c>
      <c r="F1442" s="6" t="str">
        <f t="shared" si="90"/>
        <v>G21</v>
      </c>
      <c r="G1442" s="6" t="str">
        <f t="shared" si="91"/>
        <v>Prof20</v>
      </c>
      <c r="H1442" s="6" t="str" cm="1">
        <f t="array" ref="H1442">choice(Referentiel!A:A,1,Settings!$B$16)</f>
        <v>Design des mondes urbains</v>
      </c>
      <c r="I1442" s="6" t="str" cm="1">
        <f t="array" ref="I1442">choice(Referentiel!B:B,1,Settings!$B$16)</f>
        <v>3ème année Architecture Intérieure S1</v>
      </c>
      <c r="J1442" s="6" t="str" cm="1">
        <f t="array" ref="J1442">choice(Referentiel!D:D,1,Settings!$B$16)</f>
        <v>L3</v>
      </c>
      <c r="K1442" s="6" t="str" cm="1">
        <f t="array" ref="K1442">choice(Professeurs!B:B,1,Settings!$B$16)</f>
        <v>Prof20</v>
      </c>
      <c r="L1442" s="5" t="str" cm="1">
        <f t="array" ref="L1442">choice(Referentiel!C:C,1,Settings!$B$16)</f>
        <v/>
      </c>
      <c r="M1442" s="5" t="str" cm="1">
        <f t="array" ref="M1442">choice(Referentiel!E:E,1,Settings!$B$16)</f>
        <v/>
      </c>
      <c r="N1442" s="5" t="str" cm="1">
        <f t="array" ref="N1442">choice(Settings!K:K,1,Settings!$B$16)</f>
        <v>jeudi am</v>
      </c>
      <c r="P1442" s="5">
        <f t="shared" si="92"/>
        <v>3</v>
      </c>
    </row>
    <row r="1443" spans="1:16" ht="15.75" customHeight="1" x14ac:dyDescent="0.25">
      <c r="A1443" s="6" t="s">
        <v>1795</v>
      </c>
      <c r="B1443" s="6" cm="1">
        <f t="array" ref="B1443">alea_int(Settings!$B$10,1,Settings!$B$16)</f>
        <v>2</v>
      </c>
      <c r="C1443" s="8">
        <v>46023</v>
      </c>
      <c r="D1443" s="8">
        <f t="shared" si="89"/>
        <v>46387</v>
      </c>
      <c r="E1443" s="6" t="str" cm="1">
        <f t="array" ref="E1443">choice(Groupes!A:A,1,Settings!$B$16)</f>
        <v>G23</v>
      </c>
      <c r="F1443" s="6" t="str">
        <f t="shared" si="90"/>
        <v>G23</v>
      </c>
      <c r="G1443" s="6" t="str">
        <f t="shared" si="91"/>
        <v>Prof30</v>
      </c>
      <c r="H1443" s="6" t="str" cm="1">
        <f t="array" ref="H1443">choice(Referentiel!A:A,1,Settings!$B$16)</f>
        <v>1ère année Groupe 3</v>
      </c>
      <c r="I1443" s="6" t="str" cm="1">
        <f t="array" ref="I1443">choice(Referentiel!B:B,1,Settings!$B$16)</f>
        <v>2ème année Architecture Intérieure S1</v>
      </c>
      <c r="J1443" s="6" t="str" cm="1">
        <f t="array" ref="J1443">choice(Referentiel!D:D,1,Settings!$B$16)</f>
        <v>L1</v>
      </c>
      <c r="K1443" s="6" t="str" cm="1">
        <f t="array" ref="K1443">choice(Professeurs!B:B,1,Settings!$B$16)</f>
        <v>Prof30</v>
      </c>
      <c r="L1443" s="5" t="str" cm="1">
        <f t="array" ref="L1443">choice(Referentiel!C:C,1,Settings!$B$16)</f>
        <v/>
      </c>
      <c r="M1443" s="5" t="str" cm="1">
        <f t="array" ref="M1443">choice(Referentiel!E:E,1,Settings!$B$16)</f>
        <v/>
      </c>
      <c r="N1443" s="5" t="str" cm="1">
        <f t="array" ref="N1443">choice(Settings!K:K,1,Settings!$B$16)</f>
        <v/>
      </c>
      <c r="P1443" s="5">
        <f t="shared" si="92"/>
        <v>2</v>
      </c>
    </row>
    <row r="1444" spans="1:16" ht="15.75" customHeight="1" x14ac:dyDescent="0.25">
      <c r="A1444" s="6" t="s">
        <v>1796</v>
      </c>
      <c r="B1444" s="6" cm="1">
        <f t="array" ref="B1444">alea_int(Settings!$B$10,1,Settings!$B$16)</f>
        <v>1</v>
      </c>
      <c r="C1444" s="8">
        <v>46023</v>
      </c>
      <c r="D1444" s="8">
        <f t="shared" si="89"/>
        <v>46387</v>
      </c>
      <c r="E1444" s="6" t="str" cm="1">
        <f t="array" ref="E1444">choice(Groupes!A:A,1,Settings!$B$16)</f>
        <v>G18</v>
      </c>
      <c r="F1444" s="6" t="str">
        <f t="shared" si="90"/>
        <v>G18</v>
      </c>
      <c r="G1444" s="6" t="str">
        <f t="shared" si="91"/>
        <v>Prof54</v>
      </c>
      <c r="H1444" s="6" t="str" cm="1">
        <f t="array" ref="H1444">choice(Referentiel!A:A,1,Settings!$B$16)</f>
        <v>Gr REFLECTIVE INTERACTION</v>
      </c>
      <c r="I1444" s="6" t="str" cm="1">
        <f t="array" ref="I1444">choice(Referentiel!B:B,1,Settings!$B$16)</f>
        <v>3ème année Architecture Intérieure S2</v>
      </c>
      <c r="J1444" s="6" t="str" cm="1">
        <f t="array" ref="J1444">choice(Referentiel!D:D,1,Settings!$B$16)</f>
        <v>L1</v>
      </c>
      <c r="K1444" s="6" t="str" cm="1">
        <f t="array" ref="K1444">choice(Professeurs!B:B,1,Settings!$B$16)</f>
        <v>Prof54</v>
      </c>
      <c r="L1444" s="5" t="str" cm="1">
        <f t="array" ref="L1444">choice(Referentiel!C:C,1,Settings!$B$16)</f>
        <v/>
      </c>
      <c r="M1444" s="5" t="str" cm="1">
        <f t="array" ref="M1444">choice(Referentiel!E:E,1,Settings!$B$16)</f>
        <v/>
      </c>
      <c r="N1444" s="5" t="str" cm="1">
        <f t="array" ref="N1444">choice(Settings!K:K,1,Settings!$B$16)</f>
        <v/>
      </c>
      <c r="P1444" s="5">
        <f t="shared" si="92"/>
        <v>1</v>
      </c>
    </row>
    <row r="1445" spans="1:16" ht="15.75" customHeight="1" x14ac:dyDescent="0.25">
      <c r="A1445" s="6" t="s">
        <v>1797</v>
      </c>
      <c r="B1445" s="6" cm="1">
        <f t="array" ref="B1445">alea_int(Settings!$B$10,1,Settings!$B$16)</f>
        <v>2</v>
      </c>
      <c r="C1445" s="8">
        <v>46023</v>
      </c>
      <c r="D1445" s="8">
        <f t="shared" si="89"/>
        <v>46387</v>
      </c>
      <c r="E1445" s="6" t="str" cm="1">
        <f t="array" ref="E1445">choice(Groupes!A:A,1,Settings!$B$16)</f>
        <v>G9</v>
      </c>
      <c r="F1445" s="6" t="str">
        <f t="shared" si="90"/>
        <v>G9</v>
      </c>
      <c r="G1445" s="6" t="str">
        <f t="shared" si="91"/>
        <v>Prof20</v>
      </c>
      <c r="H1445" s="6" t="str" cm="1">
        <f t="array" ref="H1445">choice(Referentiel!A:A,1,Settings!$B$16)</f>
        <v>Design des mondes montagneux</v>
      </c>
      <c r="I1445" s="6" t="str" cm="1">
        <f t="array" ref="I1445">choice(Referentiel!B:B,1,Settings!$B$16)</f>
        <v>5ème année Image Imprimée S2</v>
      </c>
      <c r="J1445" s="6" t="str" cm="1">
        <f t="array" ref="J1445">choice(Referentiel!D:D,1,Settings!$B$16)</f>
        <v>L2</v>
      </c>
      <c r="K1445" s="6" t="str" cm="1">
        <f t="array" ref="K1445">choice(Professeurs!B:B,1,Settings!$B$16)</f>
        <v>Prof20</v>
      </c>
      <c r="L1445" s="5" t="str" cm="1">
        <f t="array" ref="L1445">choice(Referentiel!C:C,1,Settings!$B$16)</f>
        <v/>
      </c>
      <c r="M1445" s="5" t="str" cm="1">
        <f t="array" ref="M1445">choice(Referentiel!E:E,1,Settings!$B$16)</f>
        <v/>
      </c>
      <c r="N1445" s="5" t="str" cm="1">
        <f t="array" ref="N1445">choice(Settings!K:K,1,Settings!$B$16)</f>
        <v/>
      </c>
      <c r="P1445" s="5">
        <f t="shared" si="92"/>
        <v>2</v>
      </c>
    </row>
    <row r="1446" spans="1:16" ht="15.75" customHeight="1" x14ac:dyDescent="0.25">
      <c r="A1446" s="6" t="s">
        <v>1798</v>
      </c>
      <c r="B1446" s="6" cm="1">
        <f t="array" ref="B1446">alea_int(Settings!$B$10,1,Settings!$B$16)</f>
        <v>3</v>
      </c>
      <c r="C1446" s="8">
        <v>46023</v>
      </c>
      <c r="D1446" s="8">
        <f t="shared" si="89"/>
        <v>46387</v>
      </c>
      <c r="E1446" s="6" t="str" cm="1">
        <f t="array" ref="E1446">choice(Groupes!A:A,1,Settings!$B$16)</f>
        <v>G7</v>
      </c>
      <c r="F1446" s="6" t="str">
        <f t="shared" si="90"/>
        <v>G7</v>
      </c>
      <c r="G1446" s="6" t="str">
        <f t="shared" si="91"/>
        <v>Prof4</v>
      </c>
      <c r="H1446" s="6" t="str" cm="1">
        <f t="array" ref="H1446">choice(Referentiel!A:A,1,Settings!$B$16)</f>
        <v>Architecture Intérieure</v>
      </c>
      <c r="I1446" s="6" t="str" cm="1">
        <f t="array" ref="I1446">choice(Referentiel!B:B,1,Settings!$B$16)</f>
        <v>5ème année Cinéma d'Animation S2</v>
      </c>
      <c r="J1446" s="6" t="str" cm="1">
        <f t="array" ref="J1446">choice(Referentiel!D:D,1,Settings!$B$16)</f>
        <v>M2</v>
      </c>
      <c r="K1446" s="6" t="str" cm="1">
        <f t="array" ref="K1446">choice(Professeurs!B:B,1,Settings!$B$16)</f>
        <v>Prof4</v>
      </c>
      <c r="L1446" s="5" t="str" cm="1">
        <f t="array" ref="L1446">choice(Referentiel!C:C,1,Settings!$B$16)</f>
        <v/>
      </c>
      <c r="M1446" s="5" t="str" cm="1">
        <f t="array" ref="M1446">choice(Referentiel!E:E,1,Settings!$B$16)</f>
        <v/>
      </c>
      <c r="N1446" s="5" t="str" cm="1">
        <f t="array" ref="N1446">choice(Settings!K:K,1,Settings!$B$16)</f>
        <v>mercredi ap</v>
      </c>
      <c r="P1446" s="5">
        <f t="shared" si="92"/>
        <v>5</v>
      </c>
    </row>
    <row r="1447" spans="1:16" ht="15.75" customHeight="1" x14ac:dyDescent="0.25">
      <c r="A1447" s="6" t="s">
        <v>1799</v>
      </c>
      <c r="B1447" s="6" cm="1">
        <f t="array" ref="B1447">alea_int(Settings!$B$10,1,Settings!$B$16)</f>
        <v>2</v>
      </c>
      <c r="C1447" s="8">
        <v>46023</v>
      </c>
      <c r="D1447" s="8">
        <f t="shared" si="89"/>
        <v>46387</v>
      </c>
      <c r="E1447" s="6" t="str" cm="1">
        <f t="array" ref="E1447">choice(Groupes!A:A,1,Settings!$B$16)</f>
        <v>G27</v>
      </c>
      <c r="F1447" s="6" t="str">
        <f t="shared" si="90"/>
        <v>G27</v>
      </c>
      <c r="G1447" s="6" t="str">
        <f t="shared" si="91"/>
        <v>Prof40</v>
      </c>
      <c r="H1447" s="6" t="str" cm="1">
        <f t="array" ref="H1447">choice(Referentiel!A:A,1,Settings!$B$16)</f>
        <v>Design des mondes littoraux</v>
      </c>
      <c r="I1447" s="6" t="str" cm="1">
        <f t="array" ref="I1447">choice(Referentiel!B:B,1,Settings!$B$16)</f>
        <v>2ème année Architecture Intérieure S2</v>
      </c>
      <c r="J1447" s="6" t="str" cm="1">
        <f t="array" ref="J1447">choice(Referentiel!D:D,1,Settings!$B$16)</f>
        <v>M1</v>
      </c>
      <c r="K1447" s="6" t="str" cm="1">
        <f t="array" ref="K1447">choice(Professeurs!B:B,1,Settings!$B$16)</f>
        <v>Prof40</v>
      </c>
      <c r="L1447" s="5" t="str" cm="1">
        <f t="array" ref="L1447">choice(Referentiel!C:C,1,Settings!$B$16)</f>
        <v/>
      </c>
      <c r="M1447" s="5" t="str" cm="1">
        <f t="array" ref="M1447">choice(Referentiel!E:E,1,Settings!$B$16)</f>
        <v/>
      </c>
      <c r="N1447" s="5" t="str" cm="1">
        <f t="array" ref="N1447">choice(Settings!K:K,1,Settings!$B$16)</f>
        <v>jeudi am</v>
      </c>
      <c r="P1447" s="5">
        <f t="shared" si="92"/>
        <v>4</v>
      </c>
    </row>
    <row r="1448" spans="1:16" ht="15.75" customHeight="1" x14ac:dyDescent="0.25">
      <c r="A1448" s="6" t="s">
        <v>1800</v>
      </c>
      <c r="B1448" s="6" cm="1">
        <f t="array" ref="B1448">alea_int(Settings!$B$10,1,Settings!$B$16)</f>
        <v>1</v>
      </c>
      <c r="C1448" s="8">
        <v>46023</v>
      </c>
      <c r="D1448" s="8">
        <f t="shared" si="89"/>
        <v>46387</v>
      </c>
      <c r="E1448" s="6" t="str" cm="1">
        <f t="array" ref="E1448">choice(Groupes!A:A,1,Settings!$B$16)</f>
        <v>G18</v>
      </c>
      <c r="F1448" s="6" t="str">
        <f t="shared" si="90"/>
        <v>G18</v>
      </c>
      <c r="G1448" s="6" t="str">
        <f t="shared" si="91"/>
        <v>Prof9</v>
      </c>
      <c r="H1448" s="6" t="str" cm="1">
        <f t="array" ref="H1448">choice(Referentiel!A:A,1,Settings!$B$16)</f>
        <v>Design Vêtement</v>
      </c>
      <c r="I1448" s="6" t="str" cm="1">
        <f t="array" ref="I1448">choice(Referentiel!B:B,1,Settings!$B$16)</f>
        <v>3ème année Design Textile et Matière S2</v>
      </c>
      <c r="J1448" s="6" t="str" cm="1">
        <f t="array" ref="J1448">choice(Referentiel!D:D,1,Settings!$B$16)</f>
        <v>L3</v>
      </c>
      <c r="K1448" s="6" t="str" cm="1">
        <f t="array" ref="K1448">choice(Professeurs!B:B,1,Settings!$B$16)</f>
        <v>Prof9</v>
      </c>
      <c r="L1448" s="5" t="str" cm="1">
        <f t="array" ref="L1448">choice(Referentiel!C:C,1,Settings!$B$16)</f>
        <v/>
      </c>
      <c r="M1448" s="5" t="str" cm="1">
        <f t="array" ref="M1448">choice(Referentiel!E:E,1,Settings!$B$16)</f>
        <v/>
      </c>
      <c r="N1448" s="5" t="str" cm="1">
        <f t="array" ref="N1448">choice(Settings!K:K,1,Settings!$B$16)</f>
        <v/>
      </c>
      <c r="P1448" s="5">
        <f t="shared" si="92"/>
        <v>1</v>
      </c>
    </row>
    <row r="1449" spans="1:16" ht="15.75" customHeight="1" x14ac:dyDescent="0.25">
      <c r="A1449" s="6" t="s">
        <v>1801</v>
      </c>
      <c r="B1449" s="6" cm="1">
        <f t="array" ref="B1449">alea_int(Settings!$B$10,1,Settings!$B$16)</f>
        <v>1</v>
      </c>
      <c r="C1449" s="8">
        <v>46023</v>
      </c>
      <c r="D1449" s="8">
        <f t="shared" si="89"/>
        <v>46387</v>
      </c>
      <c r="E1449" s="6" t="str" cm="1">
        <f t="array" ref="E1449">choice(Groupes!A:A,1,Settings!$B$16)</f>
        <v>G24</v>
      </c>
      <c r="F1449" s="6" t="str">
        <f t="shared" si="90"/>
        <v>G24</v>
      </c>
      <c r="G1449" s="6" t="str">
        <f t="shared" si="91"/>
        <v>Prof53</v>
      </c>
      <c r="H1449" s="6" t="str" cm="1">
        <f t="array" ref="H1449">choice(Referentiel!A:A,1,Settings!$B$16)</f>
        <v>Gr SPATIAL MEDIA</v>
      </c>
      <c r="I1449" s="6" t="str" cm="1">
        <f t="array" ref="I1449">choice(Referentiel!B:B,1,Settings!$B$16)</f>
        <v>1ère Année Groupe 1 S1</v>
      </c>
      <c r="J1449" s="6" t="str" cm="1">
        <f t="array" ref="J1449">choice(Referentiel!D:D,1,Settings!$B$16)</f>
        <v>L3</v>
      </c>
      <c r="K1449" s="6" t="str" cm="1">
        <f t="array" ref="K1449">choice(Professeurs!B:B,1,Settings!$B$16)</f>
        <v>Prof53</v>
      </c>
      <c r="L1449" s="5" t="str" cm="1">
        <f t="array" ref="L1449">choice(Referentiel!C:C,1,Settings!$B$16)</f>
        <v/>
      </c>
      <c r="M1449" s="5" t="str" cm="1">
        <f t="array" ref="M1449">choice(Referentiel!E:E,1,Settings!$B$16)</f>
        <v/>
      </c>
      <c r="N1449" s="5" t="str" cm="1">
        <f t="array" ref="N1449">choice(Settings!K:K,1,Settings!$B$16)</f>
        <v>lundi pm</v>
      </c>
      <c r="P1449" s="5">
        <f t="shared" si="92"/>
        <v>3</v>
      </c>
    </row>
    <row r="1450" spans="1:16" ht="15.75" customHeight="1" x14ac:dyDescent="0.25">
      <c r="A1450" s="6" t="s">
        <v>1802</v>
      </c>
      <c r="B1450" s="6" cm="1">
        <f t="array" ref="B1450">alea_int(Settings!$B$10,1,Settings!$B$16)</f>
        <v>3</v>
      </c>
      <c r="C1450" s="8">
        <v>46023</v>
      </c>
      <c r="D1450" s="8">
        <f t="shared" si="89"/>
        <v>46387</v>
      </c>
      <c r="E1450" s="6" t="str" cm="1">
        <f t="array" ref="E1450">choice(Groupes!A:A,1,Settings!$B$16)</f>
        <v>G17</v>
      </c>
      <c r="F1450" s="6" t="str">
        <f t="shared" si="90"/>
        <v>G17</v>
      </c>
      <c r="G1450" s="6" t="str">
        <f t="shared" si="91"/>
        <v>Prof41</v>
      </c>
      <c r="H1450" s="6" t="str" cm="1">
        <f t="array" ref="H1450">choice(Referentiel!A:A,1,Settings!$B$16)</f>
        <v>Gr TERRITOIRES</v>
      </c>
      <c r="I1450" s="6" t="str" cm="1">
        <f t="array" ref="I1450">choice(Referentiel!B:B,1,Settings!$B$16)</f>
        <v>3ème année Photo / Vidéo S1</v>
      </c>
      <c r="J1450" s="6" t="str" cm="1">
        <f t="array" ref="J1450">choice(Referentiel!D:D,1,Settings!$B$16)</f>
        <v>L2</v>
      </c>
      <c r="K1450" s="6" t="str" cm="1">
        <f t="array" ref="K1450">choice(Professeurs!B:B,1,Settings!$B$16)</f>
        <v>Prof41</v>
      </c>
      <c r="L1450" s="5" t="str" cm="1">
        <f t="array" ref="L1450">choice(Referentiel!C:C,1,Settings!$B$16)</f>
        <v/>
      </c>
      <c r="M1450" s="5" t="str" cm="1">
        <f t="array" ref="M1450">choice(Referentiel!E:E,1,Settings!$B$16)</f>
        <v/>
      </c>
      <c r="N1450" s="5" t="str" cm="1">
        <f t="array" ref="N1450">choice(Settings!K:K,1,Settings!$B$16)</f>
        <v/>
      </c>
      <c r="P1450" s="5">
        <f t="shared" si="92"/>
        <v>3</v>
      </c>
    </row>
    <row r="1451" spans="1:16" ht="15.75" customHeight="1" x14ac:dyDescent="0.25">
      <c r="A1451" s="6" t="s">
        <v>1803</v>
      </c>
      <c r="B1451" s="6" cm="1">
        <f t="array" ref="B1451">alea_int(Settings!$B$10,1,Settings!$B$16)</f>
        <v>2</v>
      </c>
      <c r="C1451" s="8">
        <v>46023</v>
      </c>
      <c r="D1451" s="8">
        <f t="shared" si="89"/>
        <v>46387</v>
      </c>
      <c r="E1451" s="6" t="str" cm="1">
        <f t="array" ref="E1451">choice(Groupes!A:A,1,Settings!$B$16)</f>
        <v>G17</v>
      </c>
      <c r="F1451" s="6" t="str">
        <f t="shared" si="90"/>
        <v>G17</v>
      </c>
      <c r="G1451" s="6" t="str">
        <f t="shared" si="91"/>
        <v>Prof26</v>
      </c>
      <c r="H1451" s="6" t="str" cm="1">
        <f t="array" ref="H1451">choice(Referentiel!A:A,1,Settings!$B$16)</f>
        <v>Mode et Matière</v>
      </c>
      <c r="I1451" s="6" t="str" cm="1">
        <f t="array" ref="I1451">choice(Referentiel!B:B,1,Settings!$B$16)</f>
        <v>2ème année Scénographie S2</v>
      </c>
      <c r="J1451" s="6" t="str" cm="1">
        <f t="array" ref="J1451">choice(Referentiel!D:D,1,Settings!$B$16)</f>
        <v>M1</v>
      </c>
      <c r="K1451" s="6" t="str" cm="1">
        <f t="array" ref="K1451">choice(Professeurs!B:B,1,Settings!$B$16)</f>
        <v>Prof26</v>
      </c>
      <c r="L1451" s="5" t="str" cm="1">
        <f t="array" ref="L1451">choice(Referentiel!C:C,1,Settings!$B$16)</f>
        <v/>
      </c>
      <c r="M1451" s="5" t="str" cm="1">
        <f t="array" ref="M1451">choice(Referentiel!E:E,1,Settings!$B$16)</f>
        <v/>
      </c>
      <c r="N1451" s="5" t="str" cm="1">
        <f t="array" ref="N1451">choice(Settings!K:K,1,Settings!$B$16)</f>
        <v/>
      </c>
      <c r="P1451" s="5">
        <f t="shared" si="92"/>
        <v>2</v>
      </c>
    </row>
    <row r="1452" spans="1:16" ht="15.75" customHeight="1" x14ac:dyDescent="0.25">
      <c r="A1452" s="6" t="s">
        <v>1804</v>
      </c>
      <c r="B1452" s="6" cm="1">
        <f t="array" ref="B1452">alea_int(Settings!$B$10,1,Settings!$B$16)</f>
        <v>2</v>
      </c>
      <c r="C1452" s="8">
        <v>46023</v>
      </c>
      <c r="D1452" s="8">
        <f t="shared" si="89"/>
        <v>46387</v>
      </c>
      <c r="E1452" s="6" t="str" cm="1">
        <f t="array" ref="E1452">choice(Groupes!A:A,1,Settings!$B$16)</f>
        <v>G17</v>
      </c>
      <c r="F1452" s="6" t="str">
        <f t="shared" si="90"/>
        <v>G17</v>
      </c>
      <c r="G1452" s="6" t="str">
        <f t="shared" si="91"/>
        <v>Prof10</v>
      </c>
      <c r="H1452" s="6" t="str" cm="1">
        <f t="array" ref="H1452">choice(Referentiel!A:A,1,Settings!$B$16)</f>
        <v>Architecture Intérieure</v>
      </c>
      <c r="I1452" s="6" t="str" cm="1">
        <f t="array" ref="I1452">choice(Referentiel!B:B,1,Settings!$B$16)</f>
        <v>3ème année Scénographie S2</v>
      </c>
      <c r="J1452" s="6" t="str" cm="1">
        <f t="array" ref="J1452">choice(Referentiel!D:D,1,Settings!$B$16)</f>
        <v>L2</v>
      </c>
      <c r="K1452" s="6" t="str" cm="1">
        <f t="array" ref="K1452">choice(Professeurs!B:B,1,Settings!$B$16)</f>
        <v>Prof10</v>
      </c>
      <c r="L1452" s="5" t="str" cm="1">
        <f t="array" ref="L1452">choice(Referentiel!C:C,1,Settings!$B$16)</f>
        <v/>
      </c>
      <c r="M1452" s="5" t="str" cm="1">
        <f t="array" ref="M1452">choice(Referentiel!E:E,1,Settings!$B$16)</f>
        <v/>
      </c>
      <c r="N1452" s="5" t="str" cm="1">
        <f t="array" ref="N1452">choice(Settings!K:K,1,Settings!$B$16)</f>
        <v>mercredi ap</v>
      </c>
      <c r="P1452" s="5">
        <f t="shared" si="92"/>
        <v>4</v>
      </c>
    </row>
    <row r="1453" spans="1:16" ht="15.75" customHeight="1" x14ac:dyDescent="0.25">
      <c r="A1453" s="6" t="s">
        <v>1805</v>
      </c>
      <c r="B1453" s="6" cm="1">
        <f t="array" ref="B1453">alea_int(Settings!$B$10,1,Settings!$B$16)</f>
        <v>1</v>
      </c>
      <c r="C1453" s="8">
        <v>46023</v>
      </c>
      <c r="D1453" s="8">
        <f t="shared" si="89"/>
        <v>46387</v>
      </c>
      <c r="E1453" s="6" t="str" cm="1">
        <f t="array" ref="E1453">choice(Groupes!A:A,1,Settings!$B$16)</f>
        <v>G1</v>
      </c>
      <c r="F1453" s="6" t="str">
        <f t="shared" si="90"/>
        <v>G1</v>
      </c>
      <c r="G1453" s="6" t="str">
        <f t="shared" si="91"/>
        <v>Prof47</v>
      </c>
      <c r="H1453" s="6" t="str" cm="1">
        <f t="array" ref="H1453">choice(Referentiel!A:A,1,Settings!$B$16)</f>
        <v>Design des mondes urbains</v>
      </c>
      <c r="I1453" s="6" t="str" cm="1">
        <f t="array" ref="I1453">choice(Referentiel!B:B,1,Settings!$B$16)</f>
        <v>5ème année Photo / Vidéo S1</v>
      </c>
      <c r="J1453" s="6" t="str" cm="1">
        <f t="array" ref="J1453">choice(Referentiel!D:D,1,Settings!$B$16)</f>
        <v>L2</v>
      </c>
      <c r="K1453" s="6" t="str" cm="1">
        <f t="array" ref="K1453">choice(Professeurs!B:B,1,Settings!$B$16)</f>
        <v>Prof47</v>
      </c>
      <c r="L1453" s="5" t="str" cm="1">
        <f t="array" ref="L1453">choice(Referentiel!C:C,1,Settings!$B$16)</f>
        <v/>
      </c>
      <c r="M1453" s="5" t="str" cm="1">
        <f t="array" ref="M1453">choice(Referentiel!E:E,1,Settings!$B$16)</f>
        <v/>
      </c>
      <c r="N1453" s="5" t="str" cm="1">
        <f t="array" ref="N1453">choice(Settings!K:K,1,Settings!$B$16)</f>
        <v/>
      </c>
      <c r="P1453" s="5">
        <f t="shared" si="92"/>
        <v>1</v>
      </c>
    </row>
    <row r="1454" spans="1:16" ht="15.75" customHeight="1" x14ac:dyDescent="0.25">
      <c r="A1454" s="6" t="s">
        <v>1806</v>
      </c>
      <c r="B1454" s="6" cm="1">
        <f t="array" ref="B1454">alea_int(Settings!$B$10,1,Settings!$B$16)</f>
        <v>3</v>
      </c>
      <c r="C1454" s="8">
        <v>46023</v>
      </c>
      <c r="D1454" s="8">
        <f t="shared" si="89"/>
        <v>46387</v>
      </c>
      <c r="E1454" s="6" t="str" cm="1">
        <f t="array" ref="E1454">choice(Groupes!A:A,1,Settings!$B$16)</f>
        <v>G18</v>
      </c>
      <c r="F1454" s="6" t="str">
        <f t="shared" si="90"/>
        <v>G18</v>
      </c>
      <c r="G1454" s="6" t="str">
        <f t="shared" si="91"/>
        <v>Prof31</v>
      </c>
      <c r="H1454" s="6" t="str" cm="1">
        <f t="array" ref="H1454">choice(Referentiel!A:A,1,Settings!$B$16)</f>
        <v>Gr TERRITOIRES</v>
      </c>
      <c r="I1454" s="6" t="str" cm="1">
        <f t="array" ref="I1454">choice(Referentiel!B:B,1,Settings!$B$16)</f>
        <v>Césure S2</v>
      </c>
      <c r="J1454" s="6" t="str" cm="1">
        <f t="array" ref="J1454">choice(Referentiel!D:D,1,Settings!$B$16)</f>
        <v>M2</v>
      </c>
      <c r="K1454" s="6" t="str" cm="1">
        <f t="array" ref="K1454">choice(Professeurs!B:B,1,Settings!$B$16)</f>
        <v>Prof31</v>
      </c>
      <c r="L1454" s="5" t="str" cm="1">
        <f t="array" ref="L1454">choice(Referentiel!C:C,1,Settings!$B$16)</f>
        <v/>
      </c>
      <c r="M1454" s="5" t="str" cm="1">
        <f t="array" ref="M1454">choice(Referentiel!E:E,1,Settings!$B$16)</f>
        <v/>
      </c>
      <c r="N1454" s="5" t="str" cm="1">
        <f t="array" ref="N1454">choice(Settings!K:K,1,Settings!$B$16)</f>
        <v/>
      </c>
      <c r="P1454" s="5">
        <f t="shared" si="92"/>
        <v>3</v>
      </c>
    </row>
    <row r="1455" spans="1:16" ht="15.75" customHeight="1" x14ac:dyDescent="0.25">
      <c r="A1455" s="6" t="s">
        <v>1807</v>
      </c>
      <c r="B1455" s="6" cm="1">
        <f t="array" ref="B1455">alea_int(Settings!$B$10,1,Settings!$B$16)</f>
        <v>2</v>
      </c>
      <c r="C1455" s="8">
        <v>46023</v>
      </c>
      <c r="D1455" s="8">
        <f t="shared" si="89"/>
        <v>46387</v>
      </c>
      <c r="E1455" s="6" t="str" cm="1">
        <f t="array" ref="E1455">choice(Groupes!A:A,1,Settings!$B$16)</f>
        <v>G22</v>
      </c>
      <c r="F1455" s="6" t="str">
        <f t="shared" si="90"/>
        <v>G22</v>
      </c>
      <c r="G1455" s="6" t="str">
        <f t="shared" si="91"/>
        <v>Prof12</v>
      </c>
      <c r="H1455" s="6" t="str" cm="1">
        <f t="array" ref="H1455">choice(Referentiel!A:A,1,Settings!$B$16)</f>
        <v>Art-Espace</v>
      </c>
      <c r="I1455" s="6" t="str" cm="1">
        <f t="array" ref="I1455">choice(Referentiel!B:B,1,Settings!$B$16)</f>
        <v>1ère Année Groupe 3 S1</v>
      </c>
      <c r="J1455" s="6" t="str" cm="1">
        <f t="array" ref="J1455">choice(Referentiel!D:D,1,Settings!$B$16)</f>
        <v>L2</v>
      </c>
      <c r="K1455" s="6" t="str" cm="1">
        <f t="array" ref="K1455">choice(Professeurs!B:B,1,Settings!$B$16)</f>
        <v>Prof12</v>
      </c>
      <c r="L1455" s="5" t="str" cm="1">
        <f t="array" ref="L1455">choice(Referentiel!C:C,1,Settings!$B$16)</f>
        <v/>
      </c>
      <c r="M1455" s="5" t="str" cm="1">
        <f t="array" ref="M1455">choice(Referentiel!E:E,1,Settings!$B$16)</f>
        <v/>
      </c>
      <c r="N1455" s="5" t="str" cm="1">
        <f t="array" ref="N1455">choice(Settings!K:K,1,Settings!$B$16)</f>
        <v>vendredi am</v>
      </c>
      <c r="P1455" s="5">
        <f t="shared" si="92"/>
        <v>4</v>
      </c>
    </row>
    <row r="1456" spans="1:16" ht="15.75" customHeight="1" x14ac:dyDescent="0.25">
      <c r="A1456" s="6" t="s">
        <v>1808</v>
      </c>
      <c r="B1456" s="6" cm="1">
        <f t="array" ref="B1456">alea_int(Settings!$B$10,1,Settings!$B$16)</f>
        <v>3</v>
      </c>
      <c r="C1456" s="8">
        <v>46023</v>
      </c>
      <c r="D1456" s="8">
        <f t="shared" si="89"/>
        <v>46387</v>
      </c>
      <c r="E1456" s="6" t="str" cm="1">
        <f t="array" ref="E1456">choice(Groupes!A:A,1,Settings!$B$16)</f>
        <v>G4</v>
      </c>
      <c r="F1456" s="6" t="str">
        <f t="shared" si="90"/>
        <v>G4</v>
      </c>
      <c r="G1456" s="6" t="str">
        <f t="shared" si="91"/>
        <v>Prof21</v>
      </c>
      <c r="H1456" s="6" t="str" cm="1">
        <f t="array" ref="H1456">choice(Referentiel!A:A,1,Settings!$B$16)</f>
        <v>Design des mondes urbains</v>
      </c>
      <c r="I1456" s="6" t="str" cm="1">
        <f t="array" ref="I1456">choice(Referentiel!B:B,1,Settings!$B$16)</f>
        <v>2ème année Architecture Intérieure S1</v>
      </c>
      <c r="J1456" s="6" t="str" cm="1">
        <f t="array" ref="J1456">choice(Referentiel!D:D,1,Settings!$B$16)</f>
        <v>M2</v>
      </c>
      <c r="K1456" s="6" t="str" cm="1">
        <f t="array" ref="K1456">choice(Professeurs!B:B,1,Settings!$B$16)</f>
        <v>Prof21</v>
      </c>
      <c r="L1456" s="5" t="str" cm="1">
        <f t="array" ref="L1456">choice(Referentiel!C:C,1,Settings!$B$16)</f>
        <v/>
      </c>
      <c r="M1456" s="5" t="str" cm="1">
        <f t="array" ref="M1456">choice(Referentiel!E:E,1,Settings!$B$16)</f>
        <v/>
      </c>
      <c r="N1456" s="5" t="str" cm="1">
        <f t="array" ref="N1456">choice(Settings!K:K,1,Settings!$B$16)</f>
        <v/>
      </c>
      <c r="P1456" s="5">
        <f t="shared" si="92"/>
        <v>3</v>
      </c>
    </row>
    <row r="1457" spans="1:16" ht="15.75" customHeight="1" x14ac:dyDescent="0.25">
      <c r="A1457" s="6" t="s">
        <v>1809</v>
      </c>
      <c r="B1457" s="6" cm="1">
        <f t="array" ref="B1457">alea_int(Settings!$B$10,1,Settings!$B$16)</f>
        <v>2</v>
      </c>
      <c r="C1457" s="8">
        <v>46023</v>
      </c>
      <c r="D1457" s="8">
        <f t="shared" si="89"/>
        <v>46387</v>
      </c>
      <c r="E1457" s="6" t="str" cm="1">
        <f t="array" ref="E1457">choice(Groupes!A:A,1,Settings!$B$16)</f>
        <v>G6</v>
      </c>
      <c r="F1457" s="6" t="str">
        <f t="shared" si="90"/>
        <v>G6</v>
      </c>
      <c r="G1457" s="6" t="str">
        <f t="shared" si="91"/>
        <v>Prof17</v>
      </c>
      <c r="H1457" s="6" t="str" cm="1">
        <f t="array" ref="H1457">choice(Referentiel!A:A,1,Settings!$B$16)</f>
        <v>Design des mondes forestiers</v>
      </c>
      <c r="I1457" s="6" t="str" cm="1">
        <f t="array" ref="I1457">choice(Referentiel!B:B,1,Settings!$B$16)</f>
        <v>4ème année Cinéma d'Animation S2</v>
      </c>
      <c r="J1457" s="6" t="str" cm="1">
        <f t="array" ref="J1457">choice(Referentiel!D:D,1,Settings!$B$16)</f>
        <v>L1</v>
      </c>
      <c r="K1457" s="6" t="str" cm="1">
        <f t="array" ref="K1457">choice(Professeurs!B:B,1,Settings!$B$16)</f>
        <v>Prof17</v>
      </c>
      <c r="L1457" s="5" t="str" cm="1">
        <f t="array" ref="L1457">choice(Referentiel!C:C,1,Settings!$B$16)</f>
        <v/>
      </c>
      <c r="M1457" s="5" t="str" cm="1">
        <f t="array" ref="M1457">choice(Referentiel!E:E,1,Settings!$B$16)</f>
        <v/>
      </c>
      <c r="N1457" s="5" t="str" cm="1">
        <f t="array" ref="N1457">choice(Settings!K:K,1,Settings!$B$16)</f>
        <v>lundi am</v>
      </c>
      <c r="P1457" s="5">
        <f t="shared" si="92"/>
        <v>4</v>
      </c>
    </row>
    <row r="1458" spans="1:16" ht="15.75" customHeight="1" x14ac:dyDescent="0.25">
      <c r="A1458" s="6" t="s">
        <v>1810</v>
      </c>
      <c r="B1458" s="6" cm="1">
        <f t="array" ref="B1458">alea_int(Settings!$B$10,1,Settings!$B$16)</f>
        <v>1</v>
      </c>
      <c r="C1458" s="8">
        <v>46023</v>
      </c>
      <c r="D1458" s="8">
        <f t="shared" si="89"/>
        <v>46387</v>
      </c>
      <c r="E1458" s="6" t="str" cm="1">
        <f t="array" ref="E1458">choice(Groupes!A:A,1,Settings!$B$16)</f>
        <v>G22</v>
      </c>
      <c r="F1458" s="6" t="str">
        <f t="shared" si="90"/>
        <v>G22</v>
      </c>
      <c r="G1458" s="6" t="str">
        <f t="shared" si="91"/>
        <v>Prof50</v>
      </c>
      <c r="H1458" s="6" t="str" cm="1">
        <f t="array" ref="H1458">choice(Referentiel!A:A,1,Settings!$B$16)</f>
        <v>1ère année Groupe 4</v>
      </c>
      <c r="I1458" s="6" t="str" cm="1">
        <f t="array" ref="I1458">choice(Referentiel!B:B,1,Settings!$B$16)</f>
        <v>3ème année Scénographie S1</v>
      </c>
      <c r="J1458" s="6" t="str" cm="1">
        <f t="array" ref="J1458">choice(Referentiel!D:D,1,Settings!$B$16)</f>
        <v>M1</v>
      </c>
      <c r="K1458" s="6" t="str" cm="1">
        <f t="array" ref="K1458">choice(Professeurs!B:B,1,Settings!$B$16)</f>
        <v>Prof50</v>
      </c>
      <c r="L1458" s="5" t="str" cm="1">
        <f t="array" ref="L1458">choice(Referentiel!C:C,1,Settings!$B$16)</f>
        <v/>
      </c>
      <c r="M1458" s="5" t="str" cm="1">
        <f t="array" ref="M1458">choice(Referentiel!E:E,1,Settings!$B$16)</f>
        <v/>
      </c>
      <c r="N1458" s="5" t="str" cm="1">
        <f t="array" ref="N1458">choice(Settings!K:K,1,Settings!$B$16)</f>
        <v/>
      </c>
      <c r="P1458" s="5">
        <f t="shared" si="92"/>
        <v>1</v>
      </c>
    </row>
    <row r="1459" spans="1:16" ht="15.75" customHeight="1" x14ac:dyDescent="0.25">
      <c r="A1459" s="6" t="s">
        <v>1811</v>
      </c>
      <c r="B1459" s="6" cm="1">
        <f t="array" ref="B1459">alea_int(Settings!$B$10,1,Settings!$B$16)</f>
        <v>1</v>
      </c>
      <c r="C1459" s="8">
        <v>46023</v>
      </c>
      <c r="D1459" s="8">
        <f t="shared" si="89"/>
        <v>46387</v>
      </c>
      <c r="E1459" s="6" t="str" cm="1">
        <f t="array" ref="E1459">choice(Groupes!A:A,1,Settings!$B$16)</f>
        <v>G14</v>
      </c>
      <c r="F1459" s="6" t="str">
        <f t="shared" si="90"/>
        <v>G14</v>
      </c>
      <c r="G1459" s="6" t="str">
        <f t="shared" si="91"/>
        <v>Prof15</v>
      </c>
      <c r="H1459" s="6" t="str" cm="1">
        <f t="array" ref="H1459">choice(Referentiel!A:A,1,Settings!$B$16)</f>
        <v>Mode et Matière</v>
      </c>
      <c r="I1459" s="6" t="str" cm="1">
        <f t="array" ref="I1459">choice(Referentiel!B:B,1,Settings!$B$16)</f>
        <v>4ème année Architecture Intérieure S1</v>
      </c>
      <c r="J1459" s="6" t="str" cm="1">
        <f t="array" ref="J1459">choice(Referentiel!D:D,1,Settings!$B$16)</f>
        <v>L1</v>
      </c>
      <c r="K1459" s="6" t="str" cm="1">
        <f t="array" ref="K1459">choice(Professeurs!B:B,1,Settings!$B$16)</f>
        <v>Prof15</v>
      </c>
      <c r="L1459" s="5" t="str" cm="1">
        <f t="array" ref="L1459">choice(Referentiel!C:C,1,Settings!$B$16)</f>
        <v/>
      </c>
      <c r="M1459" s="5" t="str" cm="1">
        <f t="array" ref="M1459">choice(Referentiel!E:E,1,Settings!$B$16)</f>
        <v/>
      </c>
      <c r="N1459" s="5" t="str" cm="1">
        <f t="array" ref="N1459">choice(Settings!K:K,1,Settings!$B$16)</f>
        <v/>
      </c>
      <c r="P1459" s="5">
        <f t="shared" si="92"/>
        <v>1</v>
      </c>
    </row>
    <row r="1460" spans="1:16" ht="15.75" customHeight="1" x14ac:dyDescent="0.25">
      <c r="A1460" s="6" t="s">
        <v>1812</v>
      </c>
      <c r="B1460" s="6" cm="1">
        <f t="array" ref="B1460">alea_int(Settings!$B$10,1,Settings!$B$16)</f>
        <v>2</v>
      </c>
      <c r="C1460" s="8">
        <v>46023</v>
      </c>
      <c r="D1460" s="8">
        <f t="shared" si="89"/>
        <v>46387</v>
      </c>
      <c r="E1460" s="6" t="str" cm="1">
        <f t="array" ref="E1460">choice(Groupes!A:A,1,Settings!$B$16)</f>
        <v>G2</v>
      </c>
      <c r="F1460" s="6" t="str">
        <f t="shared" si="90"/>
        <v>G2</v>
      </c>
      <c r="G1460" s="6" t="str">
        <f t="shared" si="91"/>
        <v>Prof14</v>
      </c>
      <c r="H1460" s="6" t="str" cm="1">
        <f t="array" ref="H1460">choice(Referentiel!A:A,1,Settings!$B$16)</f>
        <v>Design des mondes littoraux</v>
      </c>
      <c r="I1460" s="6" t="str" cm="1">
        <f t="array" ref="I1460">choice(Referentiel!B:B,1,Settings!$B$16)</f>
        <v>2ème année Design Textile et Matière S2</v>
      </c>
      <c r="J1460" s="6" t="str" cm="1">
        <f t="array" ref="J1460">choice(Referentiel!D:D,1,Settings!$B$16)</f>
        <v>M1</v>
      </c>
      <c r="K1460" s="6" t="str" cm="1">
        <f t="array" ref="K1460">choice(Professeurs!B:B,1,Settings!$B$16)</f>
        <v>Prof14</v>
      </c>
      <c r="L1460" s="5" t="str" cm="1">
        <f t="array" ref="L1460">choice(Referentiel!C:C,1,Settings!$B$16)</f>
        <v/>
      </c>
      <c r="M1460" s="5" t="str" cm="1">
        <f t="array" ref="M1460">choice(Referentiel!E:E,1,Settings!$B$16)</f>
        <v/>
      </c>
      <c r="N1460" s="5" t="str" cm="1">
        <f t="array" ref="N1460">choice(Settings!K:K,1,Settings!$B$16)</f>
        <v>semaine</v>
      </c>
      <c r="P1460" s="5">
        <f t="shared" si="92"/>
        <v>4</v>
      </c>
    </row>
    <row r="1461" spans="1:16" ht="15.75" customHeight="1" x14ac:dyDescent="0.25">
      <c r="A1461" s="6" t="s">
        <v>1813</v>
      </c>
      <c r="B1461" s="6" cm="1">
        <f t="array" ref="B1461">alea_int(Settings!$B$10,1,Settings!$B$16)</f>
        <v>1</v>
      </c>
      <c r="C1461" s="8">
        <v>46023</v>
      </c>
      <c r="D1461" s="8">
        <f t="shared" si="89"/>
        <v>46387</v>
      </c>
      <c r="E1461" s="6" t="str" cm="1">
        <f t="array" ref="E1461">choice(Groupes!A:A,1,Settings!$B$16)</f>
        <v>G14</v>
      </c>
      <c r="F1461" s="6" t="str">
        <f t="shared" si="90"/>
        <v>G14</v>
      </c>
      <c r="G1461" s="6" t="str">
        <f t="shared" si="91"/>
        <v>Prof19</v>
      </c>
      <c r="H1461" s="6" t="str" cm="1">
        <f t="array" ref="H1461">choice(Referentiel!A:A,1,Settings!$B$16)</f>
        <v>Gr SPATIAL MEDIA</v>
      </c>
      <c r="I1461" s="6" t="str" cm="1">
        <f t="array" ref="I1461">choice(Referentiel!B:B,1,Settings!$B$16)</f>
        <v>2ème année Design Objet S2</v>
      </c>
      <c r="J1461" s="6" t="str" cm="1">
        <f t="array" ref="J1461">choice(Referentiel!D:D,1,Settings!$B$16)</f>
        <v>M2</v>
      </c>
      <c r="K1461" s="6" t="str" cm="1">
        <f t="array" ref="K1461">choice(Professeurs!B:B,1,Settings!$B$16)</f>
        <v>Prof19</v>
      </c>
      <c r="L1461" s="5" t="str" cm="1">
        <f t="array" ref="L1461">choice(Referentiel!C:C,1,Settings!$B$16)</f>
        <v/>
      </c>
      <c r="M1461" s="5" t="str" cm="1">
        <f t="array" ref="M1461">choice(Referentiel!E:E,1,Settings!$B$16)</f>
        <v/>
      </c>
      <c r="N1461" s="5" t="str" cm="1">
        <f t="array" ref="N1461">choice(Settings!K:K,1,Settings!$B$16)</f>
        <v/>
      </c>
      <c r="P1461" s="5">
        <f t="shared" si="92"/>
        <v>1</v>
      </c>
    </row>
    <row r="1462" spans="1:16" ht="15.75" customHeight="1" x14ac:dyDescent="0.25">
      <c r="A1462" s="6" t="s">
        <v>1814</v>
      </c>
      <c r="B1462" s="6" cm="1">
        <f t="array" ref="B1462">alea_int(Settings!$B$10,1,Settings!$B$16)</f>
        <v>1</v>
      </c>
      <c r="C1462" s="8">
        <v>46023</v>
      </c>
      <c r="D1462" s="8">
        <f t="shared" si="89"/>
        <v>46387</v>
      </c>
      <c r="E1462" s="6" t="str" cm="1">
        <f t="array" ref="E1462">choice(Groupes!A:A,1,Settings!$B$16)</f>
        <v>G22</v>
      </c>
      <c r="F1462" s="6" t="str">
        <f t="shared" si="90"/>
        <v>G22</v>
      </c>
      <c r="G1462" s="6" t="str">
        <f t="shared" si="91"/>
        <v>Prof10</v>
      </c>
      <c r="H1462" s="6" t="str" cm="1">
        <f t="array" ref="H1462">choice(Referentiel!A:A,1,Settings!$B$16)</f>
        <v>Design des mondes ruraux</v>
      </c>
      <c r="I1462" s="6" t="str" cm="1">
        <f t="array" ref="I1462">choice(Referentiel!B:B,1,Settings!$B$16)</f>
        <v>3ème année Design Graphique S1</v>
      </c>
      <c r="J1462" s="6" t="str" cm="1">
        <f t="array" ref="J1462">choice(Referentiel!D:D,1,Settings!$B$16)</f>
        <v>L2</v>
      </c>
      <c r="K1462" s="6" t="str" cm="1">
        <f t="array" ref="K1462">choice(Professeurs!B:B,1,Settings!$B$16)</f>
        <v>Prof10</v>
      </c>
      <c r="L1462" s="5" t="str" cm="1">
        <f t="array" ref="L1462">choice(Referentiel!C:C,1,Settings!$B$16)</f>
        <v/>
      </c>
      <c r="M1462" s="5" t="str" cm="1">
        <f t="array" ref="M1462">choice(Referentiel!E:E,1,Settings!$B$16)</f>
        <v/>
      </c>
      <c r="N1462" s="5" t="str" cm="1">
        <f t="array" ref="N1462">choice(Settings!K:K,1,Settings!$B$16)</f>
        <v>jeudi am</v>
      </c>
      <c r="P1462" s="5">
        <f t="shared" si="92"/>
        <v>3</v>
      </c>
    </row>
    <row r="1463" spans="1:16" ht="15.75" customHeight="1" x14ac:dyDescent="0.25">
      <c r="A1463" s="6" t="s">
        <v>1815</v>
      </c>
      <c r="B1463" s="6" cm="1">
        <f t="array" ref="B1463">alea_int(Settings!$B$10,1,Settings!$B$16)</f>
        <v>2</v>
      </c>
      <c r="C1463" s="8">
        <v>46023</v>
      </c>
      <c r="D1463" s="8">
        <f t="shared" si="89"/>
        <v>46387</v>
      </c>
      <c r="E1463" s="6" t="str" cm="1">
        <f t="array" ref="E1463">choice(Groupes!A:A,1,Settings!$B$16)</f>
        <v>G25</v>
      </c>
      <c r="F1463" s="6" t="str">
        <f t="shared" si="90"/>
        <v>G25</v>
      </c>
      <c r="G1463" s="6" t="str">
        <f t="shared" si="91"/>
        <v>Prof27</v>
      </c>
      <c r="H1463" s="6" t="str" cm="1">
        <f t="array" ref="H1463">choice(Referentiel!A:A,1,Settings!$B$16)</f>
        <v>Design des mondes urbains</v>
      </c>
      <c r="I1463" s="6" t="str" cm="1">
        <f t="array" ref="I1463">choice(Referentiel!B:B,1,Settings!$B$16)</f>
        <v>5ème année Design Vêtement S2</v>
      </c>
      <c r="J1463" s="6" t="str" cm="1">
        <f t="array" ref="J1463">choice(Referentiel!D:D,1,Settings!$B$16)</f>
        <v>L3</v>
      </c>
      <c r="K1463" s="6" t="str" cm="1">
        <f t="array" ref="K1463">choice(Professeurs!B:B,1,Settings!$B$16)</f>
        <v>Prof27</v>
      </c>
      <c r="L1463" s="5" t="str" cm="1">
        <f t="array" ref="L1463">choice(Referentiel!C:C,1,Settings!$B$16)</f>
        <v/>
      </c>
      <c r="M1463" s="5" t="str" cm="1">
        <f t="array" ref="M1463">choice(Referentiel!E:E,1,Settings!$B$16)</f>
        <v/>
      </c>
      <c r="N1463" s="5" t="str" cm="1">
        <f t="array" ref="N1463">choice(Settings!K:K,1,Settings!$B$16)</f>
        <v/>
      </c>
      <c r="P1463" s="5">
        <f t="shared" si="92"/>
        <v>2</v>
      </c>
    </row>
    <row r="1464" spans="1:16" ht="15.75" customHeight="1" x14ac:dyDescent="0.25">
      <c r="A1464" s="6" t="s">
        <v>1816</v>
      </c>
      <c r="B1464" s="6" cm="1">
        <f t="array" ref="B1464">alea_int(Settings!$B$10,1,Settings!$B$16)</f>
        <v>2</v>
      </c>
      <c r="C1464" s="8">
        <v>46023</v>
      </c>
      <c r="D1464" s="8">
        <f t="shared" si="89"/>
        <v>46387</v>
      </c>
      <c r="E1464" s="6" t="str" cm="1">
        <f t="array" ref="E1464">choice(Groupes!A:A,1,Settings!$B$16)</f>
        <v>G14</v>
      </c>
      <c r="F1464" s="6" t="str">
        <f t="shared" si="90"/>
        <v>G14</v>
      </c>
      <c r="G1464" s="6" t="str">
        <f t="shared" si="91"/>
        <v>Prof7</v>
      </c>
      <c r="H1464" s="6" t="str" cm="1">
        <f t="array" ref="H1464">choice(Referentiel!A:A,1,Settings!$B$16)</f>
        <v>Design des mondes forestiers</v>
      </c>
      <c r="I1464" s="6" t="str" cm="1">
        <f t="array" ref="I1464">choice(Referentiel!B:B,1,Settings!$B$16)</f>
        <v>3ème année Photo / Vidéo S2</v>
      </c>
      <c r="J1464" s="6" t="str" cm="1">
        <f t="array" ref="J1464">choice(Referentiel!D:D,1,Settings!$B$16)</f>
        <v>L1</v>
      </c>
      <c r="K1464" s="6" t="str" cm="1">
        <f t="array" ref="K1464">choice(Professeurs!B:B,1,Settings!$B$16)</f>
        <v>Prof7</v>
      </c>
      <c r="L1464" s="5" t="str" cm="1">
        <f t="array" ref="L1464">choice(Referentiel!C:C,1,Settings!$B$16)</f>
        <v/>
      </c>
      <c r="M1464" s="5" t="str" cm="1">
        <f t="array" ref="M1464">choice(Referentiel!E:E,1,Settings!$B$16)</f>
        <v/>
      </c>
      <c r="N1464" s="5" t="str" cm="1">
        <f t="array" ref="N1464">choice(Settings!K:K,1,Settings!$B$16)</f>
        <v>vendredi am</v>
      </c>
      <c r="P1464" s="5">
        <f t="shared" si="92"/>
        <v>4</v>
      </c>
    </row>
    <row r="1465" spans="1:16" ht="15.75" customHeight="1" x14ac:dyDescent="0.25">
      <c r="A1465" s="6" t="s">
        <v>1817</v>
      </c>
      <c r="B1465" s="6" cm="1">
        <f t="array" ref="B1465">alea_int(Settings!$B$10,1,Settings!$B$16)</f>
        <v>1</v>
      </c>
      <c r="C1465" s="8">
        <v>46023</v>
      </c>
      <c r="D1465" s="8">
        <f t="shared" si="89"/>
        <v>46387</v>
      </c>
      <c r="E1465" s="6" t="str" cm="1">
        <f t="array" ref="E1465">choice(Groupes!A:A,1,Settings!$B$16)</f>
        <v>G28</v>
      </c>
      <c r="F1465" s="6" t="str">
        <f t="shared" si="90"/>
        <v>G28</v>
      </c>
      <c r="G1465" s="6" t="str">
        <f t="shared" si="91"/>
        <v>Prof48</v>
      </c>
      <c r="H1465" s="6" t="str" cm="1">
        <f t="array" ref="H1465">choice(Referentiel!A:A,1,Settings!$B$16)</f>
        <v>Mode et Matière</v>
      </c>
      <c r="I1465" s="6" t="str" cm="1">
        <f t="array" ref="I1465">choice(Referentiel!B:B,1,Settings!$B$16)</f>
        <v>3ème année Art-Espace S2</v>
      </c>
      <c r="J1465" s="6" t="str" cm="1">
        <f t="array" ref="J1465">choice(Referentiel!D:D,1,Settings!$B$16)</f>
        <v>M1</v>
      </c>
      <c r="K1465" s="6" t="str" cm="1">
        <f t="array" ref="K1465">choice(Professeurs!B:B,1,Settings!$B$16)</f>
        <v>Prof48</v>
      </c>
      <c r="L1465" s="5" t="str" cm="1">
        <f t="array" ref="L1465">choice(Referentiel!C:C,1,Settings!$B$16)</f>
        <v/>
      </c>
      <c r="M1465" s="5" t="str" cm="1">
        <f t="array" ref="M1465">choice(Referentiel!E:E,1,Settings!$B$16)</f>
        <v/>
      </c>
      <c r="N1465" s="5" t="str" cm="1">
        <f t="array" ref="N1465">choice(Settings!K:K,1,Settings!$B$16)</f>
        <v/>
      </c>
      <c r="P1465" s="5">
        <f t="shared" si="92"/>
        <v>1</v>
      </c>
    </row>
    <row r="1466" spans="1:16" ht="15.75" customHeight="1" x14ac:dyDescent="0.25">
      <c r="A1466" s="6" t="s">
        <v>1818</v>
      </c>
      <c r="B1466" s="6" cm="1">
        <f t="array" ref="B1466">alea_int(Settings!$B$10,1,Settings!$B$16)</f>
        <v>2</v>
      </c>
      <c r="C1466" s="8">
        <v>46023</v>
      </c>
      <c r="D1466" s="8">
        <f t="shared" si="89"/>
        <v>46387</v>
      </c>
      <c r="E1466" s="6" t="str" cm="1">
        <f t="array" ref="E1466">choice(Groupes!A:A,1,Settings!$B$16)</f>
        <v>G22</v>
      </c>
      <c r="F1466" s="6" t="str">
        <f t="shared" si="90"/>
        <v>G22</v>
      </c>
      <c r="G1466" s="6" t="str">
        <f t="shared" si="91"/>
        <v>Prof1</v>
      </c>
      <c r="H1466" s="6" t="str" cm="1">
        <f t="array" ref="H1466">choice(Referentiel!A:A,1,Settings!$B$16)</f>
        <v>Design Objet</v>
      </c>
      <c r="I1466" s="6" t="str" cm="1">
        <f t="array" ref="I1466">choice(Referentiel!B:B,1,Settings!$B$16)</f>
        <v>1ère Année Groupe 3 S1</v>
      </c>
      <c r="J1466" s="6" t="str" cm="1">
        <f t="array" ref="J1466">choice(Referentiel!D:D,1,Settings!$B$16)</f>
        <v>L1</v>
      </c>
      <c r="K1466" s="6" t="str" cm="1">
        <f t="array" ref="K1466">choice(Professeurs!B:B,1,Settings!$B$16)</f>
        <v>Prof1</v>
      </c>
      <c r="L1466" s="5" t="str" cm="1">
        <f t="array" ref="L1466">choice(Referentiel!C:C,1,Settings!$B$16)</f>
        <v/>
      </c>
      <c r="M1466" s="5" t="str" cm="1">
        <f t="array" ref="M1466">choice(Referentiel!E:E,1,Settings!$B$16)</f>
        <v/>
      </c>
      <c r="N1466" s="5" t="str" cm="1">
        <f t="array" ref="N1466">choice(Settings!K:K,1,Settings!$B$16)</f>
        <v/>
      </c>
      <c r="P1466" s="5">
        <f t="shared" si="92"/>
        <v>2</v>
      </c>
    </row>
    <row r="1467" spans="1:16" ht="15.75" customHeight="1" x14ac:dyDescent="0.25">
      <c r="A1467" s="6" t="s">
        <v>1819</v>
      </c>
      <c r="B1467" s="6" cm="1">
        <f t="array" ref="B1467">alea_int(Settings!$B$10,1,Settings!$B$16)</f>
        <v>2</v>
      </c>
      <c r="C1467" s="8">
        <v>46023</v>
      </c>
      <c r="D1467" s="8">
        <f t="shared" si="89"/>
        <v>46387</v>
      </c>
      <c r="E1467" s="6" t="str" cm="1">
        <f t="array" ref="E1467">choice(Groupes!A:A,1,Settings!$B$16)</f>
        <v>G23</v>
      </c>
      <c r="F1467" s="6" t="str">
        <f t="shared" si="90"/>
        <v>G23</v>
      </c>
      <c r="G1467" s="6" t="str">
        <f t="shared" si="91"/>
        <v>Prof30</v>
      </c>
      <c r="H1467" s="6" t="str" cm="1">
        <f t="array" ref="H1467">choice(Referentiel!A:A,1,Settings!$B$16)</f>
        <v>Design Objet</v>
      </c>
      <c r="I1467" s="6" t="str" cm="1">
        <f t="array" ref="I1467">choice(Referentiel!B:B,1,Settings!$B$16)</f>
        <v>3ème année Design Vêtement S2</v>
      </c>
      <c r="J1467" s="6" t="str" cm="1">
        <f t="array" ref="J1467">choice(Referentiel!D:D,1,Settings!$B$16)</f>
        <v>M2</v>
      </c>
      <c r="K1467" s="6" t="str" cm="1">
        <f t="array" ref="K1467">choice(Professeurs!B:B,1,Settings!$B$16)</f>
        <v>Prof30</v>
      </c>
      <c r="L1467" s="5" t="str" cm="1">
        <f t="array" ref="L1467">choice(Referentiel!C:C,1,Settings!$B$16)</f>
        <v/>
      </c>
      <c r="M1467" s="5" t="str" cm="1">
        <f t="array" ref="M1467">choice(Referentiel!E:E,1,Settings!$B$16)</f>
        <v/>
      </c>
      <c r="N1467" s="5" t="str" cm="1">
        <f t="array" ref="N1467">choice(Settings!K:K,1,Settings!$B$16)</f>
        <v>mardi pm</v>
      </c>
      <c r="P1467" s="5">
        <f t="shared" si="92"/>
        <v>4</v>
      </c>
    </row>
    <row r="1468" spans="1:16" ht="15.75" customHeight="1" x14ac:dyDescent="0.25">
      <c r="A1468" s="6" t="s">
        <v>1820</v>
      </c>
      <c r="B1468" s="6" cm="1">
        <f t="array" ref="B1468">alea_int(Settings!$B$10,1,Settings!$B$16)</f>
        <v>3</v>
      </c>
      <c r="C1468" s="8">
        <v>46023</v>
      </c>
      <c r="D1468" s="8">
        <f t="shared" si="89"/>
        <v>46387</v>
      </c>
      <c r="E1468" s="6" t="str" cm="1">
        <f t="array" ref="E1468">choice(Groupes!A:A,1,Settings!$B$16)</f>
        <v>G11</v>
      </c>
      <c r="F1468" s="6" t="str">
        <f t="shared" si="90"/>
        <v>G11</v>
      </c>
      <c r="G1468" s="6" t="str">
        <f t="shared" si="91"/>
        <v>Prof20</v>
      </c>
      <c r="H1468" s="6" t="str" cm="1">
        <f t="array" ref="H1468">choice(Referentiel!A:A,1,Settings!$B$16)</f>
        <v>Mode et Matière</v>
      </c>
      <c r="I1468" s="6" t="str" cm="1">
        <f t="array" ref="I1468">choice(Referentiel!B:B,1,Settings!$B$16)</f>
        <v>3ème année Image Imprimée S1</v>
      </c>
      <c r="J1468" s="6" t="str" cm="1">
        <f t="array" ref="J1468">choice(Referentiel!D:D,1,Settings!$B$16)</f>
        <v>L3</v>
      </c>
      <c r="K1468" s="6" t="str" cm="1">
        <f t="array" ref="K1468">choice(Professeurs!B:B,1,Settings!$B$16)</f>
        <v>Prof20</v>
      </c>
      <c r="L1468" s="5" t="str" cm="1">
        <f t="array" ref="L1468">choice(Referentiel!C:C,1,Settings!$B$16)</f>
        <v/>
      </c>
      <c r="M1468" s="5" t="str" cm="1">
        <f t="array" ref="M1468">choice(Referentiel!E:E,1,Settings!$B$16)</f>
        <v/>
      </c>
      <c r="N1468" s="5" t="str" cm="1">
        <f t="array" ref="N1468">choice(Settings!K:K,1,Settings!$B$16)</f>
        <v>semaine</v>
      </c>
      <c r="P1468" s="5">
        <f t="shared" si="92"/>
        <v>5</v>
      </c>
    </row>
    <row r="1469" spans="1:16" ht="15.75" customHeight="1" x14ac:dyDescent="0.25">
      <c r="A1469" s="6" t="s">
        <v>1821</v>
      </c>
      <c r="B1469" s="6" cm="1">
        <f t="array" ref="B1469">alea_int(Settings!$B$10,1,Settings!$B$16)</f>
        <v>3</v>
      </c>
      <c r="C1469" s="8">
        <v>46023</v>
      </c>
      <c r="D1469" s="8">
        <f t="shared" si="89"/>
        <v>46387</v>
      </c>
      <c r="E1469" s="6" t="str" cm="1">
        <f t="array" ref="E1469">choice(Groupes!A:A,1,Settings!$B$16)</f>
        <v>G19</v>
      </c>
      <c r="F1469" s="6" t="str">
        <f t="shared" si="90"/>
        <v>G19</v>
      </c>
      <c r="G1469" s="6" t="str">
        <f t="shared" si="91"/>
        <v>Prof25</v>
      </c>
      <c r="H1469" s="6" t="str" cm="1">
        <f t="array" ref="H1469">choice(Referentiel!A:A,1,Settings!$B$16)</f>
        <v>6ème année atelier</v>
      </c>
      <c r="I1469" s="6" t="str" cm="1">
        <f t="array" ref="I1469">choice(Referentiel!B:B,1,Settings!$B$16)</f>
        <v>5ème année Photo / Vidéo S1</v>
      </c>
      <c r="J1469" s="6" t="str" cm="1">
        <f t="array" ref="J1469">choice(Referentiel!D:D,1,Settings!$B$16)</f>
        <v>L2</v>
      </c>
      <c r="K1469" s="6" t="str" cm="1">
        <f t="array" ref="K1469">choice(Professeurs!B:B,1,Settings!$B$16)</f>
        <v>Prof25</v>
      </c>
      <c r="L1469" s="5" t="str" cm="1">
        <f t="array" ref="L1469">choice(Referentiel!C:C,1,Settings!$B$16)</f>
        <v/>
      </c>
      <c r="M1469" s="5" t="str" cm="1">
        <f t="array" ref="M1469">choice(Referentiel!E:E,1,Settings!$B$16)</f>
        <v/>
      </c>
      <c r="N1469" s="5" t="str" cm="1">
        <f t="array" ref="N1469">choice(Settings!K:K,1,Settings!$B$16)</f>
        <v/>
      </c>
      <c r="P1469" s="5">
        <f t="shared" si="92"/>
        <v>3</v>
      </c>
    </row>
    <row r="1470" spans="1:16" ht="15.75" customHeight="1" x14ac:dyDescent="0.25">
      <c r="A1470" s="6" t="s">
        <v>1822</v>
      </c>
      <c r="B1470" s="6" cm="1">
        <f t="array" ref="B1470">alea_int(Settings!$B$10,1,Settings!$B$16)</f>
        <v>1</v>
      </c>
      <c r="C1470" s="8">
        <v>46023</v>
      </c>
      <c r="D1470" s="8">
        <f t="shared" si="89"/>
        <v>46387</v>
      </c>
      <c r="E1470" s="6" t="str" cm="1">
        <f t="array" ref="E1470">choice(Groupes!A:A,1,Settings!$B$16)</f>
        <v>G25</v>
      </c>
      <c r="F1470" s="6" t="str">
        <f t="shared" si="90"/>
        <v>G25</v>
      </c>
      <c r="G1470" s="6" t="str">
        <f t="shared" si="91"/>
        <v>Prof20</v>
      </c>
      <c r="H1470" s="6" t="str" cm="1">
        <f t="array" ref="H1470">choice(Referentiel!A:A,1,Settings!$B$16)</f>
        <v>Design des mondes urbains</v>
      </c>
      <c r="I1470" s="6" t="str" cm="1">
        <f t="array" ref="I1470">choice(Referentiel!B:B,1,Settings!$B$16)</f>
        <v>3ème année Scénographie S2</v>
      </c>
      <c r="J1470" s="6" t="str" cm="1">
        <f t="array" ref="J1470">choice(Referentiel!D:D,1,Settings!$B$16)</f>
        <v>L2</v>
      </c>
      <c r="K1470" s="6" t="str" cm="1">
        <f t="array" ref="K1470">choice(Professeurs!B:B,1,Settings!$B$16)</f>
        <v>Prof20</v>
      </c>
      <c r="L1470" s="5" t="str" cm="1">
        <f t="array" ref="L1470">choice(Referentiel!C:C,1,Settings!$B$16)</f>
        <v/>
      </c>
      <c r="M1470" s="5" t="str" cm="1">
        <f t="array" ref="M1470">choice(Referentiel!E:E,1,Settings!$B$16)</f>
        <v/>
      </c>
      <c r="N1470" s="5" t="str" cm="1">
        <f t="array" ref="N1470">choice(Settings!K:K,1,Settings!$B$16)</f>
        <v>vendredi pm</v>
      </c>
      <c r="P1470" s="5">
        <f t="shared" si="92"/>
        <v>3</v>
      </c>
    </row>
    <row r="1471" spans="1:16" ht="15.75" customHeight="1" x14ac:dyDescent="0.25">
      <c r="A1471" s="6" t="s">
        <v>1823</v>
      </c>
      <c r="B1471" s="6" cm="1">
        <f t="array" ref="B1471">alea_int(Settings!$B$10,1,Settings!$B$16)</f>
        <v>3</v>
      </c>
      <c r="C1471" s="8">
        <v>46023</v>
      </c>
      <c r="D1471" s="8">
        <f t="shared" si="89"/>
        <v>46387</v>
      </c>
      <c r="E1471" s="6" t="str" cm="1">
        <f t="array" ref="E1471">choice(Groupes!A:A,1,Settings!$B$16)</f>
        <v>G30</v>
      </c>
      <c r="F1471" s="6" t="str">
        <f t="shared" si="90"/>
        <v>G30</v>
      </c>
      <c r="G1471" s="6" t="str">
        <f t="shared" si="91"/>
        <v>Prof53</v>
      </c>
      <c r="H1471" s="6" t="str" cm="1">
        <f t="array" ref="H1471">choice(Referentiel!A:A,1,Settings!$B$16)</f>
        <v>6ème année atelier</v>
      </c>
      <c r="I1471" s="6" t="str" cm="1">
        <f t="array" ref="I1471">choice(Referentiel!B:B,1,Settings!$B$16)</f>
        <v>2ème année Image Imprimée S2</v>
      </c>
      <c r="J1471" s="6" t="str" cm="1">
        <f t="array" ref="J1471">choice(Referentiel!D:D,1,Settings!$B$16)</f>
        <v>M1</v>
      </c>
      <c r="K1471" s="6" t="str" cm="1">
        <f t="array" ref="K1471">choice(Professeurs!B:B,1,Settings!$B$16)</f>
        <v>Prof53</v>
      </c>
      <c r="L1471" s="5" t="str" cm="1">
        <f t="array" ref="L1471">choice(Referentiel!C:C,1,Settings!$B$16)</f>
        <v/>
      </c>
      <c r="M1471" s="5" t="str" cm="1">
        <f t="array" ref="M1471">choice(Referentiel!E:E,1,Settings!$B$16)</f>
        <v/>
      </c>
      <c r="N1471" s="5" t="str" cm="1">
        <f t="array" ref="N1471">choice(Settings!K:K,1,Settings!$B$16)</f>
        <v/>
      </c>
      <c r="P1471" s="5">
        <f t="shared" si="92"/>
        <v>3</v>
      </c>
    </row>
    <row r="1472" spans="1:16" ht="15.75" customHeight="1" x14ac:dyDescent="0.25">
      <c r="A1472" s="6" t="s">
        <v>1824</v>
      </c>
      <c r="B1472" s="6" cm="1">
        <f t="array" ref="B1472">alea_int(Settings!$B$10,1,Settings!$B$16)</f>
        <v>2</v>
      </c>
      <c r="C1472" s="8">
        <v>46023</v>
      </c>
      <c r="D1472" s="8">
        <f t="shared" si="89"/>
        <v>46387</v>
      </c>
      <c r="E1472" s="6" t="str" cm="1">
        <f t="array" ref="E1472">choice(Groupes!A:A,1,Settings!$B$16)</f>
        <v>G6</v>
      </c>
      <c r="F1472" s="6" t="str">
        <f t="shared" si="90"/>
        <v>G6</v>
      </c>
      <c r="G1472" s="6" t="str">
        <f t="shared" si="91"/>
        <v>Prof3</v>
      </c>
      <c r="H1472" s="6" t="str" cm="1">
        <f t="array" ref="H1472">choice(Referentiel!A:A,1,Settings!$B$16)</f>
        <v>6ème année atelier</v>
      </c>
      <c r="I1472" s="6" t="str" cm="1">
        <f t="array" ref="I1472">choice(Referentiel!B:B,1,Settings!$B$16)</f>
        <v>2ème année Design Objet S2</v>
      </c>
      <c r="J1472" s="6" t="str" cm="1">
        <f t="array" ref="J1472">choice(Referentiel!D:D,1,Settings!$B$16)</f>
        <v>M1</v>
      </c>
      <c r="K1472" s="6" t="str" cm="1">
        <f t="array" ref="K1472">choice(Professeurs!B:B,1,Settings!$B$16)</f>
        <v>Prof3</v>
      </c>
      <c r="L1472" s="5" t="str" cm="1">
        <f t="array" ref="L1472">choice(Referentiel!C:C,1,Settings!$B$16)</f>
        <v/>
      </c>
      <c r="M1472" s="5" t="str" cm="1">
        <f t="array" ref="M1472">choice(Referentiel!E:E,1,Settings!$B$16)</f>
        <v/>
      </c>
      <c r="N1472" s="5" t="str" cm="1">
        <f t="array" ref="N1472">choice(Settings!K:K,1,Settings!$B$16)</f>
        <v/>
      </c>
      <c r="P1472" s="5">
        <f t="shared" si="92"/>
        <v>2</v>
      </c>
    </row>
    <row r="1473" spans="1:16" ht="15.75" customHeight="1" x14ac:dyDescent="0.25">
      <c r="A1473" s="6" t="s">
        <v>1825</v>
      </c>
      <c r="B1473" s="6" cm="1">
        <f t="array" ref="B1473">alea_int(Settings!$B$10,1,Settings!$B$16)</f>
        <v>2</v>
      </c>
      <c r="C1473" s="8">
        <v>46023</v>
      </c>
      <c r="D1473" s="8">
        <f t="shared" si="89"/>
        <v>46387</v>
      </c>
      <c r="E1473" s="6" t="str" cm="1">
        <f t="array" ref="E1473">choice(Groupes!A:A,1,Settings!$B$16)</f>
        <v>G8</v>
      </c>
      <c r="F1473" s="6" t="str">
        <f t="shared" si="90"/>
        <v>G8</v>
      </c>
      <c r="G1473" s="6" t="str">
        <f t="shared" si="91"/>
        <v>Prof22</v>
      </c>
      <c r="H1473" s="6" t="str" cm="1">
        <f t="array" ref="H1473">choice(Referentiel!A:A,1,Settings!$B$16)</f>
        <v>Mode et Matière</v>
      </c>
      <c r="I1473" s="6" t="str" cm="1">
        <f t="array" ref="I1473">choice(Referentiel!B:B,1,Settings!$B$16)</f>
        <v>3ème année Scénographie S1</v>
      </c>
      <c r="J1473" s="6" t="str" cm="1">
        <f t="array" ref="J1473">choice(Referentiel!D:D,1,Settings!$B$16)</f>
        <v>L1</v>
      </c>
      <c r="K1473" s="6" t="str" cm="1">
        <f t="array" ref="K1473">choice(Professeurs!B:B,1,Settings!$B$16)</f>
        <v>Prof22</v>
      </c>
      <c r="L1473" s="5" t="str" cm="1">
        <f t="array" ref="L1473">choice(Referentiel!C:C,1,Settings!$B$16)</f>
        <v/>
      </c>
      <c r="M1473" s="5" t="str" cm="1">
        <f t="array" ref="M1473">choice(Referentiel!E:E,1,Settings!$B$16)</f>
        <v/>
      </c>
      <c r="N1473" s="5" t="str" cm="1">
        <f t="array" ref="N1473">choice(Settings!K:K,1,Settings!$B$16)</f>
        <v/>
      </c>
      <c r="P1473" s="5">
        <f t="shared" si="92"/>
        <v>2</v>
      </c>
    </row>
    <row r="1474" spans="1:16" ht="15.75" customHeight="1" x14ac:dyDescent="0.25">
      <c r="A1474" s="6" t="s">
        <v>1826</v>
      </c>
      <c r="B1474" s="6" cm="1">
        <f t="array" ref="B1474">alea_int(Settings!$B$10,1,Settings!$B$16)</f>
        <v>3</v>
      </c>
      <c r="C1474" s="8">
        <v>46023</v>
      </c>
      <c r="D1474" s="8">
        <f t="shared" si="89"/>
        <v>46387</v>
      </c>
      <c r="E1474" s="6" t="str" cm="1">
        <f t="array" ref="E1474">choice(Groupes!A:A,1,Settings!$B$16)</f>
        <v>G18</v>
      </c>
      <c r="F1474" s="6" t="str">
        <f t="shared" si="90"/>
        <v>G18</v>
      </c>
      <c r="G1474" s="6" t="str">
        <f t="shared" si="91"/>
        <v>Prof20</v>
      </c>
      <c r="H1474" s="6" t="str" cm="1">
        <f t="array" ref="H1474">choice(Referentiel!A:A,1,Settings!$B$16)</f>
        <v>6ème année atelier</v>
      </c>
      <c r="I1474" s="6" t="str" cm="1">
        <f t="array" ref="I1474">choice(Referentiel!B:B,1,Settings!$B$16)</f>
        <v>4ème année Image Imprimée S2</v>
      </c>
      <c r="J1474" s="6" t="str" cm="1">
        <f t="array" ref="J1474">choice(Referentiel!D:D,1,Settings!$B$16)</f>
        <v>L3</v>
      </c>
      <c r="K1474" s="6" t="str" cm="1">
        <f t="array" ref="K1474">choice(Professeurs!B:B,1,Settings!$B$16)</f>
        <v>Prof20</v>
      </c>
      <c r="L1474" s="5" t="str" cm="1">
        <f t="array" ref="L1474">choice(Referentiel!C:C,1,Settings!$B$16)</f>
        <v/>
      </c>
      <c r="M1474" s="5" t="str" cm="1">
        <f t="array" ref="M1474">choice(Referentiel!E:E,1,Settings!$B$16)</f>
        <v/>
      </c>
      <c r="N1474" s="5" t="str" cm="1">
        <f t="array" ref="N1474">choice(Settings!K:K,1,Settings!$B$16)</f>
        <v/>
      </c>
      <c r="P1474" s="5">
        <f t="shared" si="92"/>
        <v>3</v>
      </c>
    </row>
    <row r="1475" spans="1:16" ht="15.75" customHeight="1" x14ac:dyDescent="0.25">
      <c r="A1475" s="6" t="s">
        <v>1827</v>
      </c>
      <c r="B1475" s="6" cm="1">
        <f t="array" ref="B1475">alea_int(Settings!$B$10,1,Settings!$B$16)</f>
        <v>1</v>
      </c>
      <c r="C1475" s="8">
        <v>46023</v>
      </c>
      <c r="D1475" s="8">
        <f t="shared" ref="D1475:D1538" si="93">C1475+364</f>
        <v>46387</v>
      </c>
      <c r="E1475" s="6" t="str" cm="1">
        <f t="array" ref="E1475">choice(Groupes!A:A,1,Settings!$B$16)</f>
        <v>G2</v>
      </c>
      <c r="F1475" s="6" t="str">
        <f t="shared" ref="F1475:F1538" si="94">E1475</f>
        <v>G2</v>
      </c>
      <c r="G1475" s="6" t="str">
        <f t="shared" ref="G1475:G1538" si="95">K1475</f>
        <v>Prof51</v>
      </c>
      <c r="H1475" s="6" t="str" cm="1">
        <f t="array" ref="H1475">choice(Referentiel!A:A,1,Settings!$B$16)</f>
        <v>Design Objet</v>
      </c>
      <c r="I1475" s="6" t="str" cm="1">
        <f t="array" ref="I1475">choice(Referentiel!B:B,1,Settings!$B$16)</f>
        <v>4ème année Art-Espace S2</v>
      </c>
      <c r="J1475" s="6" t="str" cm="1">
        <f t="array" ref="J1475">choice(Referentiel!D:D,1,Settings!$B$16)</f>
        <v>M1</v>
      </c>
      <c r="K1475" s="6" t="str" cm="1">
        <f t="array" ref="K1475">choice(Professeurs!B:B,1,Settings!$B$16)</f>
        <v>Prof51</v>
      </c>
      <c r="L1475" s="5" t="str" cm="1">
        <f t="array" ref="L1475">choice(Referentiel!C:C,1,Settings!$B$16)</f>
        <v/>
      </c>
      <c r="M1475" s="5" t="str" cm="1">
        <f t="array" ref="M1475">choice(Referentiel!E:E,1,Settings!$B$16)</f>
        <v/>
      </c>
      <c r="N1475" s="5" t="str" cm="1">
        <f t="array" ref="N1475">choice(Settings!K:K,1,Settings!$B$16)</f>
        <v/>
      </c>
      <c r="P1475" s="5">
        <f t="shared" ref="P1475:P1538" si="96">B1475+IF(M1475&lt;&gt;"",2,0)+IF(N1475&lt;&gt;"",2,0)</f>
        <v>1</v>
      </c>
    </row>
    <row r="1476" spans="1:16" ht="15.75" customHeight="1" x14ac:dyDescent="0.25">
      <c r="A1476" s="6" t="s">
        <v>1828</v>
      </c>
      <c r="B1476" s="6" cm="1">
        <f t="array" ref="B1476">alea_int(Settings!$B$10,1,Settings!$B$16)</f>
        <v>3</v>
      </c>
      <c r="C1476" s="8">
        <v>46023</v>
      </c>
      <c r="D1476" s="8">
        <f t="shared" si="93"/>
        <v>46387</v>
      </c>
      <c r="E1476" s="6" t="str" cm="1">
        <f t="array" ref="E1476">choice(Groupes!A:A,1,Settings!$B$16)</f>
        <v>G1</v>
      </c>
      <c r="F1476" s="6" t="str">
        <f t="shared" si="94"/>
        <v>G1</v>
      </c>
      <c r="G1476" s="6" t="str">
        <f t="shared" si="95"/>
        <v>Prof23</v>
      </c>
      <c r="H1476" s="6" t="str" cm="1">
        <f t="array" ref="H1476">choice(Referentiel!A:A,1,Settings!$B$16)</f>
        <v>Gr TERRITOIRES</v>
      </c>
      <c r="I1476" s="6" t="str" cm="1">
        <f t="array" ref="I1476">choice(Referentiel!B:B,1,Settings!$B$16)</f>
        <v>3ème année Image Imprimée S2</v>
      </c>
      <c r="J1476" s="6" t="str" cm="1">
        <f t="array" ref="J1476">choice(Referentiel!D:D,1,Settings!$B$16)</f>
        <v>M2</v>
      </c>
      <c r="K1476" s="6" t="str" cm="1">
        <f t="array" ref="K1476">choice(Professeurs!B:B,1,Settings!$B$16)</f>
        <v>Prof23</v>
      </c>
      <c r="L1476" s="5" t="str" cm="1">
        <f t="array" ref="L1476">choice(Referentiel!C:C,1,Settings!$B$16)</f>
        <v/>
      </c>
      <c r="M1476" s="5" t="str" cm="1">
        <f t="array" ref="M1476">choice(Referentiel!E:E,1,Settings!$B$16)</f>
        <v/>
      </c>
      <c r="N1476" s="5" t="str" cm="1">
        <f t="array" ref="N1476">choice(Settings!K:K,1,Settings!$B$16)</f>
        <v>jeudi pm</v>
      </c>
      <c r="P1476" s="5">
        <f t="shared" si="96"/>
        <v>5</v>
      </c>
    </row>
    <row r="1477" spans="1:16" ht="15.75" customHeight="1" x14ac:dyDescent="0.25">
      <c r="A1477" s="6" t="s">
        <v>1829</v>
      </c>
      <c r="B1477" s="6" cm="1">
        <f t="array" ref="B1477">alea_int(Settings!$B$10,1,Settings!$B$16)</f>
        <v>1</v>
      </c>
      <c r="C1477" s="8">
        <v>46023</v>
      </c>
      <c r="D1477" s="8">
        <f t="shared" si="93"/>
        <v>46387</v>
      </c>
      <c r="E1477" s="6" t="str" cm="1">
        <f t="array" ref="E1477">choice(Groupes!A:A,1,Settings!$B$16)</f>
        <v>G28</v>
      </c>
      <c r="F1477" s="6" t="str">
        <f t="shared" si="94"/>
        <v>G28</v>
      </c>
      <c r="G1477" s="6" t="str">
        <f t="shared" si="95"/>
        <v>Prof38</v>
      </c>
      <c r="H1477" s="6" t="str" cm="1">
        <f t="array" ref="H1477">choice(Referentiel!A:A,1,Settings!$B$16)</f>
        <v>Photo / Vidéo</v>
      </c>
      <c r="I1477" s="6" t="str" cm="1">
        <f t="array" ref="I1477">choice(Referentiel!B:B,1,Settings!$B$16)</f>
        <v>3ème année Photo / Vidéo S1</v>
      </c>
      <c r="J1477" s="6" t="str" cm="1">
        <f t="array" ref="J1477">choice(Referentiel!D:D,1,Settings!$B$16)</f>
        <v>L2</v>
      </c>
      <c r="K1477" s="6" t="str" cm="1">
        <f t="array" ref="K1477">choice(Professeurs!B:B,1,Settings!$B$16)</f>
        <v>Prof38</v>
      </c>
      <c r="L1477" s="5" t="str" cm="1">
        <f t="array" ref="L1477">choice(Referentiel!C:C,1,Settings!$B$16)</f>
        <v/>
      </c>
      <c r="M1477" s="5" t="str" cm="1">
        <f t="array" ref="M1477">choice(Referentiel!E:E,1,Settings!$B$16)</f>
        <v/>
      </c>
      <c r="N1477" s="5" t="str" cm="1">
        <f t="array" ref="N1477">choice(Settings!K:K,1,Settings!$B$16)</f>
        <v/>
      </c>
      <c r="P1477" s="5">
        <f t="shared" si="96"/>
        <v>1</v>
      </c>
    </row>
    <row r="1478" spans="1:16" ht="15.75" customHeight="1" x14ac:dyDescent="0.25">
      <c r="A1478" s="6" t="s">
        <v>1830</v>
      </c>
      <c r="B1478" s="6" cm="1">
        <f t="array" ref="B1478">alea_int(Settings!$B$10,1,Settings!$B$16)</f>
        <v>3</v>
      </c>
      <c r="C1478" s="8">
        <v>46023</v>
      </c>
      <c r="D1478" s="8">
        <f t="shared" si="93"/>
        <v>46387</v>
      </c>
      <c r="E1478" s="6" t="str" cm="1">
        <f t="array" ref="E1478">choice(Groupes!A:A,1,Settings!$B$16)</f>
        <v>G13</v>
      </c>
      <c r="F1478" s="6" t="str">
        <f t="shared" si="94"/>
        <v>G13</v>
      </c>
      <c r="G1478" s="6" t="str">
        <f t="shared" si="95"/>
        <v>Prof31</v>
      </c>
      <c r="H1478" s="6" t="str" cm="1">
        <f t="array" ref="H1478">choice(Referentiel!A:A,1,Settings!$B$16)</f>
        <v>Design Vêtement</v>
      </c>
      <c r="I1478" s="6" t="str" cm="1">
        <f t="array" ref="I1478">choice(Referentiel!B:B,1,Settings!$B$16)</f>
        <v>3ème année Cinéma d'Animation S1</v>
      </c>
      <c r="J1478" s="6" t="str" cm="1">
        <f t="array" ref="J1478">choice(Referentiel!D:D,1,Settings!$B$16)</f>
        <v>L1</v>
      </c>
      <c r="K1478" s="6" t="str" cm="1">
        <f t="array" ref="K1478">choice(Professeurs!B:B,1,Settings!$B$16)</f>
        <v>Prof31</v>
      </c>
      <c r="L1478" s="5" t="str" cm="1">
        <f t="array" ref="L1478">choice(Referentiel!C:C,1,Settings!$B$16)</f>
        <v/>
      </c>
      <c r="M1478" s="5" t="str" cm="1">
        <f t="array" ref="M1478">choice(Referentiel!E:E,1,Settings!$B$16)</f>
        <v/>
      </c>
      <c r="N1478" s="5" t="str" cm="1">
        <f t="array" ref="N1478">choice(Settings!K:K,1,Settings!$B$16)</f>
        <v/>
      </c>
      <c r="P1478" s="5">
        <f t="shared" si="96"/>
        <v>3</v>
      </c>
    </row>
    <row r="1479" spans="1:16" ht="15.75" customHeight="1" x14ac:dyDescent="0.25">
      <c r="A1479" s="6" t="s">
        <v>1831</v>
      </c>
      <c r="B1479" s="6" cm="1">
        <f t="array" ref="B1479">alea_int(Settings!$B$10,1,Settings!$B$16)</f>
        <v>1</v>
      </c>
      <c r="C1479" s="8">
        <v>46023</v>
      </c>
      <c r="D1479" s="8">
        <f t="shared" si="93"/>
        <v>46387</v>
      </c>
      <c r="E1479" s="6" t="str" cm="1">
        <f t="array" ref="E1479">choice(Groupes!A:A,1,Settings!$B$16)</f>
        <v>G1</v>
      </c>
      <c r="F1479" s="6" t="str">
        <f t="shared" si="94"/>
        <v>G1</v>
      </c>
      <c r="G1479" s="6" t="str">
        <f t="shared" si="95"/>
        <v>Prof33</v>
      </c>
      <c r="H1479" s="6" t="str" cm="1">
        <f t="array" ref="H1479">choice(Referentiel!A:A,1,Settings!$B$16)</f>
        <v>Design Vêtement</v>
      </c>
      <c r="I1479" s="6" t="str" cm="1">
        <f t="array" ref="I1479">choice(Referentiel!B:B,1,Settings!$B$16)</f>
        <v>3ème année Design Vêtement S2</v>
      </c>
      <c r="J1479" s="6" t="str" cm="1">
        <f t="array" ref="J1479">choice(Referentiel!D:D,1,Settings!$B$16)</f>
        <v>L3</v>
      </c>
      <c r="K1479" s="6" t="str" cm="1">
        <f t="array" ref="K1479">choice(Professeurs!B:B,1,Settings!$B$16)</f>
        <v>Prof33</v>
      </c>
      <c r="L1479" s="5" t="str" cm="1">
        <f t="array" ref="L1479">choice(Referentiel!C:C,1,Settings!$B$16)</f>
        <v/>
      </c>
      <c r="M1479" s="5" t="str" cm="1">
        <f t="array" ref="M1479">choice(Referentiel!E:E,1,Settings!$B$16)</f>
        <v/>
      </c>
      <c r="N1479" s="5" t="str" cm="1">
        <f t="array" ref="N1479">choice(Settings!K:K,1,Settings!$B$16)</f>
        <v/>
      </c>
      <c r="P1479" s="5">
        <f t="shared" si="96"/>
        <v>1</v>
      </c>
    </row>
    <row r="1480" spans="1:16" ht="15.75" customHeight="1" x14ac:dyDescent="0.25">
      <c r="A1480" s="6" t="s">
        <v>1832</v>
      </c>
      <c r="B1480" s="6" cm="1">
        <f t="array" ref="B1480">alea_int(Settings!$B$10,1,Settings!$B$16)</f>
        <v>2</v>
      </c>
      <c r="C1480" s="8">
        <v>46023</v>
      </c>
      <c r="D1480" s="8">
        <f t="shared" si="93"/>
        <v>46387</v>
      </c>
      <c r="E1480" s="6" t="str" cm="1">
        <f t="array" ref="E1480">choice(Groupes!A:A,1,Settings!$B$16)</f>
        <v>G13</v>
      </c>
      <c r="F1480" s="6" t="str">
        <f t="shared" si="94"/>
        <v>G13</v>
      </c>
      <c r="G1480" s="6" t="str">
        <f t="shared" si="95"/>
        <v>Prof41</v>
      </c>
      <c r="H1480" s="6" t="str" cm="1">
        <f t="array" ref="H1480">choice(Referentiel!A:A,1,Settings!$B$16)</f>
        <v>Mode et Matière</v>
      </c>
      <c r="I1480" s="6" t="str" cm="1">
        <f t="array" ref="I1480">choice(Referentiel!B:B,1,Settings!$B$16)</f>
        <v>5ème année Art-Espace S1</v>
      </c>
      <c r="J1480" s="6" t="str" cm="1">
        <f t="array" ref="J1480">choice(Referentiel!D:D,1,Settings!$B$16)</f>
        <v>M2</v>
      </c>
      <c r="K1480" s="6" t="str" cm="1">
        <f t="array" ref="K1480">choice(Professeurs!B:B,1,Settings!$B$16)</f>
        <v>Prof41</v>
      </c>
      <c r="L1480" s="5" t="str" cm="1">
        <f t="array" ref="L1480">choice(Referentiel!C:C,1,Settings!$B$16)</f>
        <v/>
      </c>
      <c r="M1480" s="5" t="str" cm="1">
        <f t="array" ref="M1480">choice(Referentiel!E:E,1,Settings!$B$16)</f>
        <v/>
      </c>
      <c r="N1480" s="5" t="str" cm="1">
        <f t="array" ref="N1480">choice(Settings!K:K,1,Settings!$B$16)</f>
        <v>lundi pm</v>
      </c>
      <c r="P1480" s="5">
        <f t="shared" si="96"/>
        <v>4</v>
      </c>
    </row>
    <row r="1481" spans="1:16" ht="15.75" customHeight="1" x14ac:dyDescent="0.25">
      <c r="A1481" s="6" t="s">
        <v>1833</v>
      </c>
      <c r="B1481" s="6" cm="1">
        <f t="array" ref="B1481">alea_int(Settings!$B$10,1,Settings!$B$16)</f>
        <v>3</v>
      </c>
      <c r="C1481" s="8">
        <v>46023</v>
      </c>
      <c r="D1481" s="8">
        <f t="shared" si="93"/>
        <v>46387</v>
      </c>
      <c r="E1481" s="6" t="str" cm="1">
        <f t="array" ref="E1481">choice(Groupes!A:A,1,Settings!$B$16)</f>
        <v>G11</v>
      </c>
      <c r="F1481" s="6" t="str">
        <f t="shared" si="94"/>
        <v>G11</v>
      </c>
      <c r="G1481" s="6" t="str">
        <f t="shared" si="95"/>
        <v>Prof38</v>
      </c>
      <c r="H1481" s="6" t="str" cm="1">
        <f t="array" ref="H1481">choice(Referentiel!A:A,1,Settings!$B$16)</f>
        <v>1ère année Groupe 2</v>
      </c>
      <c r="I1481" s="6" t="str" cm="1">
        <f t="array" ref="I1481">choice(Referentiel!B:B,1,Settings!$B$16)</f>
        <v>5ème année Cinéma d'Animation S2</v>
      </c>
      <c r="J1481" s="6" t="str" cm="1">
        <f t="array" ref="J1481">choice(Referentiel!D:D,1,Settings!$B$16)</f>
        <v>L2</v>
      </c>
      <c r="K1481" s="6" t="str" cm="1">
        <f t="array" ref="K1481">choice(Professeurs!B:B,1,Settings!$B$16)</f>
        <v>Prof38</v>
      </c>
      <c r="L1481" s="5" t="str" cm="1">
        <f t="array" ref="L1481">choice(Referentiel!C:C,1,Settings!$B$16)</f>
        <v>ordinateur</v>
      </c>
      <c r="M1481" s="5" t="str" cm="1">
        <f t="array" ref="M1481">choice(Referentiel!E:E,1,Settings!$B$16)</f>
        <v/>
      </c>
      <c r="N1481" s="5" t="str" cm="1">
        <f t="array" ref="N1481">choice(Settings!K:K,1,Settings!$B$16)</f>
        <v/>
      </c>
      <c r="P1481" s="5">
        <f t="shared" si="96"/>
        <v>3</v>
      </c>
    </row>
    <row r="1482" spans="1:16" ht="15.75" customHeight="1" x14ac:dyDescent="0.25">
      <c r="A1482" s="6" t="s">
        <v>1834</v>
      </c>
      <c r="B1482" s="6" cm="1">
        <f t="array" ref="B1482">alea_int(Settings!$B$10,1,Settings!$B$16)</f>
        <v>2</v>
      </c>
      <c r="C1482" s="8">
        <v>46023</v>
      </c>
      <c r="D1482" s="8">
        <f t="shared" si="93"/>
        <v>46387</v>
      </c>
      <c r="E1482" s="6" t="str" cm="1">
        <f t="array" ref="E1482">choice(Groupes!A:A,1,Settings!$B$16)</f>
        <v>G4</v>
      </c>
      <c r="F1482" s="6" t="str">
        <f t="shared" si="94"/>
        <v>G4</v>
      </c>
      <c r="G1482" s="6" t="str">
        <f t="shared" si="95"/>
        <v>Prof50</v>
      </c>
      <c r="H1482" s="6" t="str" cm="1">
        <f t="array" ref="H1482">choice(Referentiel!A:A,1,Settings!$B$16)</f>
        <v>Architecture Intérieure</v>
      </c>
      <c r="I1482" s="6" t="str" cm="1">
        <f t="array" ref="I1482">choice(Referentiel!B:B,1,Settings!$B$16)</f>
        <v>3ème année Scénographie S1</v>
      </c>
      <c r="J1482" s="6" t="str" cm="1">
        <f t="array" ref="J1482">choice(Referentiel!D:D,1,Settings!$B$16)</f>
        <v>L3</v>
      </c>
      <c r="K1482" s="6" t="str" cm="1">
        <f t="array" ref="K1482">choice(Professeurs!B:B,1,Settings!$B$16)</f>
        <v>Prof50</v>
      </c>
      <c r="L1482" s="5" t="str" cm="1">
        <f t="array" ref="L1482">choice(Referentiel!C:C,1,Settings!$B$16)</f>
        <v/>
      </c>
      <c r="M1482" s="5" t="str" cm="1">
        <f t="array" ref="M1482">choice(Referentiel!E:E,1,Settings!$B$16)</f>
        <v/>
      </c>
      <c r="N1482" s="5" t="str" cm="1">
        <f t="array" ref="N1482">choice(Settings!K:K,1,Settings!$B$16)</f>
        <v>jeudi pm</v>
      </c>
      <c r="P1482" s="5">
        <f t="shared" si="96"/>
        <v>4</v>
      </c>
    </row>
    <row r="1483" spans="1:16" ht="15.75" customHeight="1" x14ac:dyDescent="0.25">
      <c r="A1483" s="6" t="s">
        <v>1835</v>
      </c>
      <c r="B1483" s="6" cm="1">
        <f t="array" ref="B1483">alea_int(Settings!$B$10,1,Settings!$B$16)</f>
        <v>1</v>
      </c>
      <c r="C1483" s="8">
        <v>46023</v>
      </c>
      <c r="D1483" s="8">
        <f t="shared" si="93"/>
        <v>46387</v>
      </c>
      <c r="E1483" s="6" t="str" cm="1">
        <f t="array" ref="E1483">choice(Groupes!A:A,1,Settings!$B$16)</f>
        <v>G24</v>
      </c>
      <c r="F1483" s="6" t="str">
        <f t="shared" si="94"/>
        <v>G24</v>
      </c>
      <c r="G1483" s="6" t="str">
        <f t="shared" si="95"/>
        <v>Prof48</v>
      </c>
      <c r="H1483" s="6" t="str" cm="1">
        <f t="array" ref="H1483">choice(Referentiel!A:A,1,Settings!$B$16)</f>
        <v>1ère année Groupe 2</v>
      </c>
      <c r="I1483" s="6" t="str" cm="1">
        <f t="array" ref="I1483">choice(Referentiel!B:B,1,Settings!$B$16)</f>
        <v>4ème année Photo / Vidéo S2</v>
      </c>
      <c r="J1483" s="6" t="str" cm="1">
        <f t="array" ref="J1483">choice(Referentiel!D:D,1,Settings!$B$16)</f>
        <v>L1</v>
      </c>
      <c r="K1483" s="6" t="str" cm="1">
        <f t="array" ref="K1483">choice(Professeurs!B:B,1,Settings!$B$16)</f>
        <v>Prof48</v>
      </c>
      <c r="L1483" s="5" t="str" cm="1">
        <f t="array" ref="L1483">choice(Referentiel!C:C,1,Settings!$B$16)</f>
        <v/>
      </c>
      <c r="M1483" s="5" t="str" cm="1">
        <f t="array" ref="M1483">choice(Referentiel!E:E,1,Settings!$B$16)</f>
        <v/>
      </c>
      <c r="N1483" s="5" t="str" cm="1">
        <f t="array" ref="N1483">choice(Settings!K:K,1,Settings!$B$16)</f>
        <v>mercredi ap</v>
      </c>
      <c r="P1483" s="5">
        <f t="shared" si="96"/>
        <v>3</v>
      </c>
    </row>
    <row r="1484" spans="1:16" ht="15.75" customHeight="1" x14ac:dyDescent="0.25">
      <c r="A1484" s="6" t="s">
        <v>1836</v>
      </c>
      <c r="B1484" s="6" cm="1">
        <f t="array" ref="B1484">alea_int(Settings!$B$10,1,Settings!$B$16)</f>
        <v>3</v>
      </c>
      <c r="C1484" s="8">
        <v>46023</v>
      </c>
      <c r="D1484" s="8">
        <f t="shared" si="93"/>
        <v>46387</v>
      </c>
      <c r="E1484" s="6" t="str" cm="1">
        <f t="array" ref="E1484">choice(Groupes!A:A,1,Settings!$B$16)</f>
        <v>G2</v>
      </c>
      <c r="F1484" s="6" t="str">
        <f t="shared" si="94"/>
        <v>G2</v>
      </c>
      <c r="G1484" s="6" t="str">
        <f t="shared" si="95"/>
        <v>Prof7</v>
      </c>
      <c r="H1484" s="6" t="str" cm="1">
        <f t="array" ref="H1484">choice(Referentiel!A:A,1,Settings!$B$16)</f>
        <v>Design Graphique</v>
      </c>
      <c r="I1484" s="6" t="str" cm="1">
        <f t="array" ref="I1484">choice(Referentiel!B:B,1,Settings!$B$16)</f>
        <v>2ème année Image Imprimée S2</v>
      </c>
      <c r="J1484" s="6" t="str" cm="1">
        <f t="array" ref="J1484">choice(Referentiel!D:D,1,Settings!$B$16)</f>
        <v>L2</v>
      </c>
      <c r="K1484" s="6" t="str" cm="1">
        <f t="array" ref="K1484">choice(Professeurs!B:B,1,Settings!$B$16)</f>
        <v>Prof7</v>
      </c>
      <c r="L1484" s="5" t="str" cm="1">
        <f t="array" ref="L1484">choice(Referentiel!C:C,1,Settings!$B$16)</f>
        <v/>
      </c>
      <c r="M1484" s="5" t="str" cm="1">
        <f t="array" ref="M1484">choice(Referentiel!E:E,1,Settings!$B$16)</f>
        <v/>
      </c>
      <c r="N1484" s="5" t="str" cm="1">
        <f t="array" ref="N1484">choice(Settings!K:K,1,Settings!$B$16)</f>
        <v/>
      </c>
      <c r="P1484" s="5">
        <f t="shared" si="96"/>
        <v>3</v>
      </c>
    </row>
    <row r="1485" spans="1:16" ht="15.75" customHeight="1" x14ac:dyDescent="0.25">
      <c r="A1485" s="6" t="s">
        <v>1837</v>
      </c>
      <c r="B1485" s="6" cm="1">
        <f t="array" ref="B1485">alea_int(Settings!$B$10,1,Settings!$B$16)</f>
        <v>1</v>
      </c>
      <c r="C1485" s="8">
        <v>46023</v>
      </c>
      <c r="D1485" s="8">
        <f t="shared" si="93"/>
        <v>46387</v>
      </c>
      <c r="E1485" s="6" t="str" cm="1">
        <f t="array" ref="E1485">choice(Groupes!A:A,1,Settings!$B$16)</f>
        <v>G22</v>
      </c>
      <c r="F1485" s="6" t="str">
        <f t="shared" si="94"/>
        <v>G22</v>
      </c>
      <c r="G1485" s="6" t="str">
        <f t="shared" si="95"/>
        <v>Prof12</v>
      </c>
      <c r="H1485" s="6" t="str" cm="1">
        <f t="array" ref="H1485">choice(Referentiel!A:A,1,Settings!$B$16)</f>
        <v>Design des mondes littoraux</v>
      </c>
      <c r="I1485" s="6" t="str" cm="1">
        <f t="array" ref="I1485">choice(Referentiel!B:B,1,Settings!$B$16)</f>
        <v>2ème année Design Textile et Matière S2</v>
      </c>
      <c r="J1485" s="6" t="str" cm="1">
        <f t="array" ref="J1485">choice(Referentiel!D:D,1,Settings!$B$16)</f>
        <v>M1</v>
      </c>
      <c r="K1485" s="6" t="str" cm="1">
        <f t="array" ref="K1485">choice(Professeurs!B:B,1,Settings!$B$16)</f>
        <v>Prof12</v>
      </c>
      <c r="L1485" s="5" t="str" cm="1">
        <f t="array" ref="L1485">choice(Referentiel!C:C,1,Settings!$B$16)</f>
        <v/>
      </c>
      <c r="M1485" s="5" t="str" cm="1">
        <f t="array" ref="M1485">choice(Referentiel!E:E,1,Settings!$B$16)</f>
        <v/>
      </c>
      <c r="N1485" s="5" t="str" cm="1">
        <f t="array" ref="N1485">choice(Settings!K:K,1,Settings!$B$16)</f>
        <v>mercredi pm</v>
      </c>
      <c r="P1485" s="5">
        <f t="shared" si="96"/>
        <v>3</v>
      </c>
    </row>
    <row r="1486" spans="1:16" ht="15.75" customHeight="1" x14ac:dyDescent="0.25">
      <c r="A1486" s="6" t="s">
        <v>1838</v>
      </c>
      <c r="B1486" s="6" cm="1">
        <f t="array" ref="B1486">alea_int(Settings!$B$10,1,Settings!$B$16)</f>
        <v>2</v>
      </c>
      <c r="C1486" s="8">
        <v>46023</v>
      </c>
      <c r="D1486" s="8">
        <f t="shared" si="93"/>
        <v>46387</v>
      </c>
      <c r="E1486" s="6" t="str" cm="1">
        <f t="array" ref="E1486">choice(Groupes!A:A,1,Settings!$B$16)</f>
        <v>G9</v>
      </c>
      <c r="F1486" s="6" t="str">
        <f t="shared" si="94"/>
        <v>G9</v>
      </c>
      <c r="G1486" s="6" t="str">
        <f t="shared" si="95"/>
        <v>Prof5</v>
      </c>
      <c r="H1486" s="6" t="str" cm="1">
        <f t="array" ref="H1486">choice(Referentiel!A:A,1,Settings!$B$16)</f>
        <v>1ère année Groupe 4</v>
      </c>
      <c r="I1486" s="6" t="str" cm="1">
        <f t="array" ref="I1486">choice(Referentiel!B:B,1,Settings!$B$16)</f>
        <v>4ème année Design Graphique S2</v>
      </c>
      <c r="J1486" s="6" t="str" cm="1">
        <f t="array" ref="J1486">choice(Referentiel!D:D,1,Settings!$B$16)</f>
        <v>L3</v>
      </c>
      <c r="K1486" s="6" t="str" cm="1">
        <f t="array" ref="K1486">choice(Professeurs!B:B,1,Settings!$B$16)</f>
        <v>Prof5</v>
      </c>
      <c r="L1486" s="5" t="str" cm="1">
        <f t="array" ref="L1486">choice(Referentiel!C:C,1,Settings!$B$16)</f>
        <v/>
      </c>
      <c r="M1486" s="5" t="str" cm="1">
        <f t="array" ref="M1486">choice(Referentiel!E:E,1,Settings!$B$16)</f>
        <v/>
      </c>
      <c r="N1486" s="5" t="str" cm="1">
        <f t="array" ref="N1486">choice(Settings!K:K,1,Settings!$B$16)</f>
        <v/>
      </c>
      <c r="P1486" s="5">
        <f t="shared" si="96"/>
        <v>2</v>
      </c>
    </row>
    <row r="1487" spans="1:16" ht="15.75" customHeight="1" x14ac:dyDescent="0.25">
      <c r="A1487" s="6" t="s">
        <v>1839</v>
      </c>
      <c r="B1487" s="6" cm="1">
        <f t="array" ref="B1487">alea_int(Settings!$B$10,1,Settings!$B$16)</f>
        <v>1</v>
      </c>
      <c r="C1487" s="8">
        <v>46023</v>
      </c>
      <c r="D1487" s="8">
        <f t="shared" si="93"/>
        <v>46387</v>
      </c>
      <c r="E1487" s="6" t="str" cm="1">
        <f t="array" ref="E1487">choice(Groupes!A:A,1,Settings!$B$16)</f>
        <v>G13</v>
      </c>
      <c r="F1487" s="6" t="str">
        <f t="shared" si="94"/>
        <v>G13</v>
      </c>
      <c r="G1487" s="6" t="str">
        <f t="shared" si="95"/>
        <v>Prof35</v>
      </c>
      <c r="H1487" s="6" t="str" cm="1">
        <f t="array" ref="H1487">choice(Referentiel!A:A,1,Settings!$B$16)</f>
        <v>Design Objet</v>
      </c>
      <c r="I1487" s="6" t="str" cm="1">
        <f t="array" ref="I1487">choice(Referentiel!B:B,1,Settings!$B$16)</f>
        <v>5ème année Image Imprimée S2</v>
      </c>
      <c r="J1487" s="6" t="str" cm="1">
        <f t="array" ref="J1487">choice(Referentiel!D:D,1,Settings!$B$16)</f>
        <v>L3</v>
      </c>
      <c r="K1487" s="6" t="str" cm="1">
        <f t="array" ref="K1487">choice(Professeurs!B:B,1,Settings!$B$16)</f>
        <v>Prof35</v>
      </c>
      <c r="L1487" s="5" t="str" cm="1">
        <f t="array" ref="L1487">choice(Referentiel!C:C,1,Settings!$B$16)</f>
        <v/>
      </c>
      <c r="M1487" s="5" t="str" cm="1">
        <f t="array" ref="M1487">choice(Referentiel!E:E,1,Settings!$B$16)</f>
        <v/>
      </c>
      <c r="N1487" s="5" t="str" cm="1">
        <f t="array" ref="N1487">choice(Settings!K:K,1,Settings!$B$16)</f>
        <v>lundi am</v>
      </c>
      <c r="P1487" s="5">
        <f t="shared" si="96"/>
        <v>3</v>
      </c>
    </row>
    <row r="1488" spans="1:16" ht="15.75" customHeight="1" x14ac:dyDescent="0.25">
      <c r="A1488" s="6" t="s">
        <v>1840</v>
      </c>
      <c r="B1488" s="6" cm="1">
        <f t="array" ref="B1488">alea_int(Settings!$B$10,1,Settings!$B$16)</f>
        <v>2</v>
      </c>
      <c r="C1488" s="8">
        <v>46023</v>
      </c>
      <c r="D1488" s="8">
        <f t="shared" si="93"/>
        <v>46387</v>
      </c>
      <c r="E1488" s="6" t="str" cm="1">
        <f t="array" ref="E1488">choice(Groupes!A:A,1,Settings!$B$16)</f>
        <v>G27</v>
      </c>
      <c r="F1488" s="6" t="str">
        <f t="shared" si="94"/>
        <v>G27</v>
      </c>
      <c r="G1488" s="6" t="str">
        <f t="shared" si="95"/>
        <v>Prof42</v>
      </c>
      <c r="H1488" s="6" t="str" cm="1">
        <f t="array" ref="H1488">choice(Referentiel!A:A,1,Settings!$B$16)</f>
        <v>Gr SPATIAL MEDIA</v>
      </c>
      <c r="I1488" s="6" t="str" cm="1">
        <f t="array" ref="I1488">choice(Referentiel!B:B,1,Settings!$B$16)</f>
        <v>4ème année Design Vêtement S1</v>
      </c>
      <c r="J1488" s="6" t="str" cm="1">
        <f t="array" ref="J1488">choice(Referentiel!D:D,1,Settings!$B$16)</f>
        <v>L1</v>
      </c>
      <c r="K1488" s="6" t="str" cm="1">
        <f t="array" ref="K1488">choice(Professeurs!B:B,1,Settings!$B$16)</f>
        <v>Prof42</v>
      </c>
      <c r="L1488" s="5" t="str" cm="1">
        <f t="array" ref="L1488">choice(Referentiel!C:C,1,Settings!$B$16)</f>
        <v/>
      </c>
      <c r="M1488" s="5" t="str" cm="1">
        <f t="array" ref="M1488">choice(Referentiel!E:E,1,Settings!$B$16)</f>
        <v/>
      </c>
      <c r="N1488" s="5" t="str" cm="1">
        <f t="array" ref="N1488">choice(Settings!K:K,1,Settings!$B$16)</f>
        <v/>
      </c>
      <c r="P1488" s="5">
        <f t="shared" si="96"/>
        <v>2</v>
      </c>
    </row>
    <row r="1489" spans="1:16" ht="15.75" customHeight="1" x14ac:dyDescent="0.25">
      <c r="A1489" s="6" t="s">
        <v>1841</v>
      </c>
      <c r="B1489" s="6" cm="1">
        <f t="array" ref="B1489">alea_int(Settings!$B$10,1,Settings!$B$16)</f>
        <v>2</v>
      </c>
      <c r="C1489" s="8">
        <v>46023</v>
      </c>
      <c r="D1489" s="8">
        <f t="shared" si="93"/>
        <v>46387</v>
      </c>
      <c r="E1489" s="6" t="str" cm="1">
        <f t="array" ref="E1489">choice(Groupes!A:A,1,Settings!$B$16)</f>
        <v>G16</v>
      </c>
      <c r="F1489" s="6" t="str">
        <f t="shared" si="94"/>
        <v>G16</v>
      </c>
      <c r="G1489" s="6" t="str">
        <f t="shared" si="95"/>
        <v>Prof20</v>
      </c>
      <c r="H1489" s="6" t="str" cm="1">
        <f t="array" ref="H1489">choice(Referentiel!A:A,1,Settings!$B$16)</f>
        <v>Gr SPATIAL MEDIA</v>
      </c>
      <c r="I1489" s="6" t="str" cm="1">
        <f t="array" ref="I1489">choice(Referentiel!B:B,1,Settings!$B$16)</f>
        <v>4ème année Design Objet S1</v>
      </c>
      <c r="J1489" s="6" t="str" cm="1">
        <f t="array" ref="J1489">choice(Referentiel!D:D,1,Settings!$B$16)</f>
        <v>L1</v>
      </c>
      <c r="K1489" s="6" t="str" cm="1">
        <f t="array" ref="K1489">choice(Professeurs!B:B,1,Settings!$B$16)</f>
        <v>Prof20</v>
      </c>
      <c r="L1489" s="5" t="str" cm="1">
        <f t="array" ref="L1489">choice(Referentiel!C:C,1,Settings!$B$16)</f>
        <v/>
      </c>
      <c r="M1489" s="5" t="str" cm="1">
        <f t="array" ref="M1489">choice(Referentiel!E:E,1,Settings!$B$16)</f>
        <v/>
      </c>
      <c r="N1489" s="5" t="str" cm="1">
        <f t="array" ref="N1489">choice(Settings!K:K,1,Settings!$B$16)</f>
        <v>vendredi am</v>
      </c>
      <c r="P1489" s="5">
        <f t="shared" si="96"/>
        <v>4</v>
      </c>
    </row>
    <row r="1490" spans="1:16" ht="15.75" customHeight="1" x14ac:dyDescent="0.25">
      <c r="A1490" s="6" t="s">
        <v>1842</v>
      </c>
      <c r="B1490" s="6" cm="1">
        <f t="array" ref="B1490">alea_int(Settings!$B$10,1,Settings!$B$16)</f>
        <v>1</v>
      </c>
      <c r="C1490" s="8">
        <v>46023</v>
      </c>
      <c r="D1490" s="8">
        <f t="shared" si="93"/>
        <v>46387</v>
      </c>
      <c r="E1490" s="6" t="str" cm="1">
        <f t="array" ref="E1490">choice(Groupes!A:A,1,Settings!$B$16)</f>
        <v>G5</v>
      </c>
      <c r="F1490" s="6" t="str">
        <f t="shared" si="94"/>
        <v>G5</v>
      </c>
      <c r="G1490" s="6" t="str">
        <f t="shared" si="95"/>
        <v>Prof7</v>
      </c>
      <c r="H1490" s="6" t="str" cm="1">
        <f t="array" ref="H1490">choice(Referentiel!A:A,1,Settings!$B$16)</f>
        <v>6ème année atelier</v>
      </c>
      <c r="I1490" s="6" t="str" cm="1">
        <f t="array" ref="I1490">choice(Referentiel!B:B,1,Settings!$B$16)</f>
        <v>4ème année Art-Espace S1</v>
      </c>
      <c r="J1490" s="6" t="str" cm="1">
        <f t="array" ref="J1490">choice(Referentiel!D:D,1,Settings!$B$16)</f>
        <v>M1</v>
      </c>
      <c r="K1490" s="6" t="str" cm="1">
        <f t="array" ref="K1490">choice(Professeurs!B:B,1,Settings!$B$16)</f>
        <v>Prof7</v>
      </c>
      <c r="L1490" s="5" t="str" cm="1">
        <f t="array" ref="L1490">choice(Referentiel!C:C,1,Settings!$B$16)</f>
        <v/>
      </c>
      <c r="M1490" s="5" t="str" cm="1">
        <f t="array" ref="M1490">choice(Referentiel!E:E,1,Settings!$B$16)</f>
        <v/>
      </c>
      <c r="N1490" s="5" t="str" cm="1">
        <f t="array" ref="N1490">choice(Settings!K:K,1,Settings!$B$16)</f>
        <v/>
      </c>
      <c r="P1490" s="5">
        <f t="shared" si="96"/>
        <v>1</v>
      </c>
    </row>
    <row r="1491" spans="1:16" ht="15.75" customHeight="1" x14ac:dyDescent="0.25">
      <c r="A1491" s="6" t="s">
        <v>1843</v>
      </c>
      <c r="B1491" s="6" cm="1">
        <f t="array" ref="B1491">alea_int(Settings!$B$10,1,Settings!$B$16)</f>
        <v>2</v>
      </c>
      <c r="C1491" s="8">
        <v>46023</v>
      </c>
      <c r="D1491" s="8">
        <f t="shared" si="93"/>
        <v>46387</v>
      </c>
      <c r="E1491" s="6" t="str" cm="1">
        <f t="array" ref="E1491">choice(Groupes!A:A,1,Settings!$B$16)</f>
        <v>G16</v>
      </c>
      <c r="F1491" s="6" t="str">
        <f t="shared" si="94"/>
        <v>G16</v>
      </c>
      <c r="G1491" s="6" t="str">
        <f t="shared" si="95"/>
        <v>Prof22</v>
      </c>
      <c r="H1491" s="6" t="str" cm="1">
        <f t="array" ref="H1491">choice(Referentiel!A:A,1,Settings!$B$16)</f>
        <v>Design Textile et Matière</v>
      </c>
      <c r="I1491" s="6" t="str" cm="1">
        <f t="array" ref="I1491">choice(Referentiel!B:B,1,Settings!$B$16)</f>
        <v>1ère Année Groupe 1 S2</v>
      </c>
      <c r="J1491" s="6" t="str" cm="1">
        <f t="array" ref="J1491">choice(Referentiel!D:D,1,Settings!$B$16)</f>
        <v>M2</v>
      </c>
      <c r="K1491" s="6" t="str" cm="1">
        <f t="array" ref="K1491">choice(Professeurs!B:B,1,Settings!$B$16)</f>
        <v>Prof22</v>
      </c>
      <c r="L1491" s="5" t="str" cm="1">
        <f t="array" ref="L1491">choice(Referentiel!C:C,1,Settings!$B$16)</f>
        <v/>
      </c>
      <c r="M1491" s="5" t="str" cm="1">
        <f t="array" ref="M1491">choice(Referentiel!E:E,1,Settings!$B$16)</f>
        <v/>
      </c>
      <c r="N1491" s="5" t="str" cm="1">
        <f t="array" ref="N1491">choice(Settings!K:K,1,Settings!$B$16)</f>
        <v>jeudi pm</v>
      </c>
      <c r="P1491" s="5">
        <f t="shared" si="96"/>
        <v>4</v>
      </c>
    </row>
    <row r="1492" spans="1:16" ht="15.75" customHeight="1" x14ac:dyDescent="0.25">
      <c r="A1492" s="6" t="s">
        <v>1844</v>
      </c>
      <c r="B1492" s="6" cm="1">
        <f t="array" ref="B1492">alea_int(Settings!$B$10,1,Settings!$B$16)</f>
        <v>3</v>
      </c>
      <c r="C1492" s="8">
        <v>46023</v>
      </c>
      <c r="D1492" s="8">
        <f t="shared" si="93"/>
        <v>46387</v>
      </c>
      <c r="E1492" s="6" t="str" cm="1">
        <f t="array" ref="E1492">choice(Groupes!A:A,1,Settings!$B$16)</f>
        <v>G29</v>
      </c>
      <c r="F1492" s="6" t="str">
        <f t="shared" si="94"/>
        <v>G29</v>
      </c>
      <c r="G1492" s="6" t="str">
        <f t="shared" si="95"/>
        <v>Prof12</v>
      </c>
      <c r="H1492" s="6" t="str" cm="1">
        <f t="array" ref="H1492">choice(Referentiel!A:A,1,Settings!$B$16)</f>
        <v>1ère année Groupe 2</v>
      </c>
      <c r="I1492" s="6" t="str" cm="1">
        <f t="array" ref="I1492">choice(Referentiel!B:B,1,Settings!$B$16)</f>
        <v>1ère Année Groupe 2 S1</v>
      </c>
      <c r="J1492" s="6" t="str" cm="1">
        <f t="array" ref="J1492">choice(Referentiel!D:D,1,Settings!$B$16)</f>
        <v>M1</v>
      </c>
      <c r="K1492" s="6" t="str" cm="1">
        <f t="array" ref="K1492">choice(Professeurs!B:B,1,Settings!$B$16)</f>
        <v>Prof12</v>
      </c>
      <c r="L1492" s="5" t="str" cm="1">
        <f t="array" ref="L1492">choice(Referentiel!C:C,1,Settings!$B$16)</f>
        <v/>
      </c>
      <c r="M1492" s="5" t="str" cm="1">
        <f t="array" ref="M1492">choice(Referentiel!E:E,1,Settings!$B$16)</f>
        <v/>
      </c>
      <c r="N1492" s="5" t="str" cm="1">
        <f t="array" ref="N1492">choice(Settings!K:K,1,Settings!$B$16)</f>
        <v/>
      </c>
      <c r="P1492" s="5">
        <f t="shared" si="96"/>
        <v>3</v>
      </c>
    </row>
    <row r="1493" spans="1:16" ht="15.75" customHeight="1" x14ac:dyDescent="0.25">
      <c r="A1493" s="6" t="s">
        <v>1845</v>
      </c>
      <c r="B1493" s="6" cm="1">
        <f t="array" ref="B1493">alea_int(Settings!$B$10,1,Settings!$B$16)</f>
        <v>1</v>
      </c>
      <c r="C1493" s="8">
        <v>46023</v>
      </c>
      <c r="D1493" s="8">
        <f t="shared" si="93"/>
        <v>46387</v>
      </c>
      <c r="E1493" s="6" t="str" cm="1">
        <f t="array" ref="E1493">choice(Groupes!A:A,1,Settings!$B$16)</f>
        <v>G8</v>
      </c>
      <c r="F1493" s="6" t="str">
        <f t="shared" si="94"/>
        <v>G8</v>
      </c>
      <c r="G1493" s="6" t="str">
        <f t="shared" si="95"/>
        <v>Prof28</v>
      </c>
      <c r="H1493" s="6" t="str" cm="1">
        <f t="array" ref="H1493">choice(Referentiel!A:A,1,Settings!$B$16)</f>
        <v>Design des mondes ruraux</v>
      </c>
      <c r="I1493" s="6" t="str" cm="1">
        <f t="array" ref="I1493">choice(Referentiel!B:B,1,Settings!$B$16)</f>
        <v>5ème année Architecture Intérieure S2</v>
      </c>
      <c r="J1493" s="6" t="str" cm="1">
        <f t="array" ref="J1493">choice(Referentiel!D:D,1,Settings!$B$16)</f>
        <v>M2</v>
      </c>
      <c r="K1493" s="6" t="str" cm="1">
        <f t="array" ref="K1493">choice(Professeurs!B:B,1,Settings!$B$16)</f>
        <v>Prof28</v>
      </c>
      <c r="L1493" s="5" t="str" cm="1">
        <f t="array" ref="L1493">choice(Referentiel!C:C,1,Settings!$B$16)</f>
        <v/>
      </c>
      <c r="M1493" s="5" t="str" cm="1">
        <f t="array" ref="M1493">choice(Referentiel!E:E,1,Settings!$B$16)</f>
        <v/>
      </c>
      <c r="N1493" s="5" t="str" cm="1">
        <f t="array" ref="N1493">choice(Settings!K:K,1,Settings!$B$16)</f>
        <v/>
      </c>
      <c r="P1493" s="5">
        <f t="shared" si="96"/>
        <v>1</v>
      </c>
    </row>
    <row r="1494" spans="1:16" ht="15.75" customHeight="1" x14ac:dyDescent="0.25">
      <c r="A1494" s="6" t="s">
        <v>1846</v>
      </c>
      <c r="B1494" s="6" cm="1">
        <f t="array" ref="B1494">alea_int(Settings!$B$10,1,Settings!$B$16)</f>
        <v>3</v>
      </c>
      <c r="C1494" s="8">
        <v>46023</v>
      </c>
      <c r="D1494" s="8">
        <f t="shared" si="93"/>
        <v>46387</v>
      </c>
      <c r="E1494" s="6" t="str" cm="1">
        <f t="array" ref="E1494">choice(Groupes!A:A,1,Settings!$B$16)</f>
        <v>G1</v>
      </c>
      <c r="F1494" s="6" t="str">
        <f t="shared" si="94"/>
        <v>G1</v>
      </c>
      <c r="G1494" s="6" t="str">
        <f t="shared" si="95"/>
        <v>Prof5</v>
      </c>
      <c r="H1494" s="6" t="str" cm="1">
        <f t="array" ref="H1494">choice(Referentiel!A:A,1,Settings!$B$16)</f>
        <v>6ème ANNÉE STAGE</v>
      </c>
      <c r="I1494" s="6" t="str" cm="1">
        <f t="array" ref="I1494">choice(Referentiel!B:B,1,Settings!$B$16)</f>
        <v>4ème année Photo / Vidéo S2</v>
      </c>
      <c r="J1494" s="6" t="str" cm="1">
        <f t="array" ref="J1494">choice(Referentiel!D:D,1,Settings!$B$16)</f>
        <v>L2</v>
      </c>
      <c r="K1494" s="6" t="str" cm="1">
        <f t="array" ref="K1494">choice(Professeurs!B:B,1,Settings!$B$16)</f>
        <v>Prof5</v>
      </c>
      <c r="L1494" s="5" t="str" cm="1">
        <f t="array" ref="L1494">choice(Referentiel!C:C,1,Settings!$B$16)</f>
        <v/>
      </c>
      <c r="M1494" s="5" t="str" cm="1">
        <f t="array" ref="M1494">choice(Referentiel!E:E,1,Settings!$B$16)</f>
        <v/>
      </c>
      <c r="N1494" s="5" t="str" cm="1">
        <f t="array" ref="N1494">choice(Settings!K:K,1,Settings!$B$16)</f>
        <v/>
      </c>
      <c r="P1494" s="5">
        <f t="shared" si="96"/>
        <v>3</v>
      </c>
    </row>
    <row r="1495" spans="1:16" ht="15.75" customHeight="1" x14ac:dyDescent="0.25">
      <c r="A1495" s="6" t="s">
        <v>1847</v>
      </c>
      <c r="B1495" s="6" cm="1">
        <f t="array" ref="B1495">alea_int(Settings!$B$10,1,Settings!$B$16)</f>
        <v>1</v>
      </c>
      <c r="C1495" s="8">
        <v>46023</v>
      </c>
      <c r="D1495" s="8">
        <f t="shared" si="93"/>
        <v>46387</v>
      </c>
      <c r="E1495" s="6" t="str" cm="1">
        <f t="array" ref="E1495">choice(Groupes!A:A,1,Settings!$B$16)</f>
        <v>G4</v>
      </c>
      <c r="F1495" s="6" t="str">
        <f t="shared" si="94"/>
        <v>G4</v>
      </c>
      <c r="G1495" s="6" t="str">
        <f t="shared" si="95"/>
        <v>Prof37</v>
      </c>
      <c r="H1495" s="6" t="str" cm="1">
        <f t="array" ref="H1495">choice(Referentiel!A:A,1,Settings!$B$16)</f>
        <v>Design des mondes ruraux</v>
      </c>
      <c r="I1495" s="6" t="str" cm="1">
        <f t="array" ref="I1495">choice(Referentiel!B:B,1,Settings!$B$16)</f>
        <v>1ère Année Groupe 1 S2</v>
      </c>
      <c r="J1495" s="6" t="str" cm="1">
        <f t="array" ref="J1495">choice(Referentiel!D:D,1,Settings!$B$16)</f>
        <v>M2</v>
      </c>
      <c r="K1495" s="6" t="str" cm="1">
        <f t="array" ref="K1495">choice(Professeurs!B:B,1,Settings!$B$16)</f>
        <v>Prof37</v>
      </c>
      <c r="L1495" s="5" t="str" cm="1">
        <f t="array" ref="L1495">choice(Referentiel!C:C,1,Settings!$B$16)</f>
        <v/>
      </c>
      <c r="M1495" s="5" t="str" cm="1">
        <f t="array" ref="M1495">choice(Referentiel!E:E,1,Settings!$B$16)</f>
        <v/>
      </c>
      <c r="N1495" s="5" t="str" cm="1">
        <f t="array" ref="N1495">choice(Settings!K:K,1,Settings!$B$16)</f>
        <v>mardi pm</v>
      </c>
      <c r="P1495" s="5">
        <f t="shared" si="96"/>
        <v>3</v>
      </c>
    </row>
    <row r="1496" spans="1:16" ht="15.75" customHeight="1" x14ac:dyDescent="0.25">
      <c r="A1496" s="6" t="s">
        <v>1848</v>
      </c>
      <c r="B1496" s="6" cm="1">
        <f t="array" ref="B1496">alea_int(Settings!$B$10,1,Settings!$B$16)</f>
        <v>2</v>
      </c>
      <c r="C1496" s="8">
        <v>46023</v>
      </c>
      <c r="D1496" s="8">
        <f t="shared" si="93"/>
        <v>46387</v>
      </c>
      <c r="E1496" s="6" t="str" cm="1">
        <f t="array" ref="E1496">choice(Groupes!A:A,1,Settings!$B$16)</f>
        <v>G18</v>
      </c>
      <c r="F1496" s="6" t="str">
        <f t="shared" si="94"/>
        <v>G18</v>
      </c>
      <c r="G1496" s="6" t="str">
        <f t="shared" si="95"/>
        <v>Prof8</v>
      </c>
      <c r="H1496" s="6" t="str" cm="1">
        <f t="array" ref="H1496">choice(Referentiel!A:A,1,Settings!$B$16)</f>
        <v>1ère année Groupe 1</v>
      </c>
      <c r="I1496" s="6" t="str" cm="1">
        <f t="array" ref="I1496">choice(Referentiel!B:B,1,Settings!$B$16)</f>
        <v>2ème année Scénographie S1</v>
      </c>
      <c r="J1496" s="6" t="str" cm="1">
        <f t="array" ref="J1496">choice(Referentiel!D:D,1,Settings!$B$16)</f>
        <v>L2</v>
      </c>
      <c r="K1496" s="6" t="str" cm="1">
        <f t="array" ref="K1496">choice(Professeurs!B:B,1,Settings!$B$16)</f>
        <v>Prof8</v>
      </c>
      <c r="L1496" s="5" t="str" cm="1">
        <f t="array" ref="L1496">choice(Referentiel!C:C,1,Settings!$B$16)</f>
        <v/>
      </c>
      <c r="M1496" s="5" t="str" cm="1">
        <f t="array" ref="M1496">choice(Referentiel!E:E,1,Settings!$B$16)</f>
        <v/>
      </c>
      <c r="N1496" s="5" t="str" cm="1">
        <f t="array" ref="N1496">choice(Settings!K:K,1,Settings!$B$16)</f>
        <v/>
      </c>
      <c r="P1496" s="5">
        <f t="shared" si="96"/>
        <v>2</v>
      </c>
    </row>
    <row r="1497" spans="1:16" ht="15.75" customHeight="1" x14ac:dyDescent="0.25">
      <c r="A1497" s="6" t="s">
        <v>1849</v>
      </c>
      <c r="B1497" s="6" cm="1">
        <f t="array" ref="B1497">alea_int(Settings!$B$10,1,Settings!$B$16)</f>
        <v>2</v>
      </c>
      <c r="C1497" s="8">
        <v>46023</v>
      </c>
      <c r="D1497" s="8">
        <f t="shared" si="93"/>
        <v>46387</v>
      </c>
      <c r="E1497" s="6" t="str" cm="1">
        <f t="array" ref="E1497">choice(Groupes!A:A,1,Settings!$B$16)</f>
        <v>G19</v>
      </c>
      <c r="F1497" s="6" t="str">
        <f t="shared" si="94"/>
        <v>G19</v>
      </c>
      <c r="G1497" s="6" t="str">
        <f t="shared" si="95"/>
        <v>Prof15</v>
      </c>
      <c r="H1497" s="6" t="str" cm="1">
        <f t="array" ref="H1497">choice(Referentiel!A:A,1,Settings!$B$16)</f>
        <v>Design des mondes forestiers</v>
      </c>
      <c r="I1497" s="6" t="str" cm="1">
        <f t="array" ref="I1497">choice(Referentiel!B:B,1,Settings!$B$16)</f>
        <v>2ème année Design Graphique S1</v>
      </c>
      <c r="J1497" s="6" t="str" cm="1">
        <f t="array" ref="J1497">choice(Referentiel!D:D,1,Settings!$B$16)</f>
        <v>L3</v>
      </c>
      <c r="K1497" s="6" t="str" cm="1">
        <f t="array" ref="K1497">choice(Professeurs!B:B,1,Settings!$B$16)</f>
        <v>Prof15</v>
      </c>
      <c r="L1497" s="5" t="str" cm="1">
        <f t="array" ref="L1497">choice(Referentiel!C:C,1,Settings!$B$16)</f>
        <v/>
      </c>
      <c r="M1497" s="5" t="str" cm="1">
        <f t="array" ref="M1497">choice(Referentiel!E:E,1,Settings!$B$16)</f>
        <v/>
      </c>
      <c r="N1497" s="5" t="str" cm="1">
        <f t="array" ref="N1497">choice(Settings!K:K,1,Settings!$B$16)</f>
        <v/>
      </c>
      <c r="P1497" s="5">
        <f t="shared" si="96"/>
        <v>2</v>
      </c>
    </row>
    <row r="1498" spans="1:16" ht="15.75" customHeight="1" x14ac:dyDescent="0.25">
      <c r="A1498" s="6" t="s">
        <v>1850</v>
      </c>
      <c r="B1498" s="6" cm="1">
        <f t="array" ref="B1498">alea_int(Settings!$B$10,1,Settings!$B$16)</f>
        <v>2</v>
      </c>
      <c r="C1498" s="8">
        <v>46023</v>
      </c>
      <c r="D1498" s="8">
        <f t="shared" si="93"/>
        <v>46387</v>
      </c>
      <c r="E1498" s="6" t="str" cm="1">
        <f t="array" ref="E1498">choice(Groupes!A:A,1,Settings!$B$16)</f>
        <v>G18</v>
      </c>
      <c r="F1498" s="6" t="str">
        <f t="shared" si="94"/>
        <v>G18</v>
      </c>
      <c r="G1498" s="6" t="str">
        <f t="shared" si="95"/>
        <v>Prof29</v>
      </c>
      <c r="H1498" s="6" t="str" cm="1">
        <f t="array" ref="H1498">choice(Referentiel!A:A,1,Settings!$B$16)</f>
        <v>Design Graphique</v>
      </c>
      <c r="I1498" s="6" t="str" cm="1">
        <f t="array" ref="I1498">choice(Referentiel!B:B,1,Settings!$B$16)</f>
        <v>4ème année Design Vêtement S2</v>
      </c>
      <c r="J1498" s="6" t="str" cm="1">
        <f t="array" ref="J1498">choice(Referentiel!D:D,1,Settings!$B$16)</f>
        <v>L2</v>
      </c>
      <c r="K1498" s="6" t="str" cm="1">
        <f t="array" ref="K1498">choice(Professeurs!B:B,1,Settings!$B$16)</f>
        <v>Prof29</v>
      </c>
      <c r="L1498" s="5" t="str" cm="1">
        <f t="array" ref="L1498">choice(Referentiel!C:C,1,Settings!$B$16)</f>
        <v/>
      </c>
      <c r="M1498" s="5" t="str" cm="1">
        <f t="array" ref="M1498">choice(Referentiel!E:E,1,Settings!$B$16)</f>
        <v/>
      </c>
      <c r="N1498" s="5" t="str" cm="1">
        <f t="array" ref="N1498">choice(Settings!K:K,1,Settings!$B$16)</f>
        <v/>
      </c>
      <c r="P1498" s="5">
        <f t="shared" si="96"/>
        <v>2</v>
      </c>
    </row>
    <row r="1499" spans="1:16" ht="15.75" customHeight="1" x14ac:dyDescent="0.25">
      <c r="A1499" s="6" t="s">
        <v>1851</v>
      </c>
      <c r="B1499" s="6" cm="1">
        <f t="array" ref="B1499">alea_int(Settings!$B$10,1,Settings!$B$16)</f>
        <v>1</v>
      </c>
      <c r="C1499" s="8">
        <v>46023</v>
      </c>
      <c r="D1499" s="8">
        <f t="shared" si="93"/>
        <v>46387</v>
      </c>
      <c r="E1499" s="6" t="str" cm="1">
        <f t="array" ref="E1499">choice(Groupes!A:A,1,Settings!$B$16)</f>
        <v>G1</v>
      </c>
      <c r="F1499" s="6" t="str">
        <f t="shared" si="94"/>
        <v>G1</v>
      </c>
      <c r="G1499" s="6" t="str">
        <f t="shared" si="95"/>
        <v>Prof44</v>
      </c>
      <c r="H1499" s="6" t="str" cm="1">
        <f t="array" ref="H1499">choice(Referentiel!A:A,1,Settings!$B$16)</f>
        <v>Mode et Matière</v>
      </c>
      <c r="I1499" s="6" t="str" cm="1">
        <f t="array" ref="I1499">choice(Referentiel!B:B,1,Settings!$B$16)</f>
        <v>4ème année Cinéma d'Animation S1</v>
      </c>
      <c r="J1499" s="6" t="str" cm="1">
        <f t="array" ref="J1499">choice(Referentiel!D:D,1,Settings!$B$16)</f>
        <v>M1</v>
      </c>
      <c r="K1499" s="6" t="str" cm="1">
        <f t="array" ref="K1499">choice(Professeurs!B:B,1,Settings!$B$16)</f>
        <v>Prof44</v>
      </c>
      <c r="L1499" s="5" t="str" cm="1">
        <f t="array" ref="L1499">choice(Referentiel!C:C,1,Settings!$B$16)</f>
        <v/>
      </c>
      <c r="M1499" s="5" t="str" cm="1">
        <f t="array" ref="M1499">choice(Referentiel!E:E,1,Settings!$B$16)</f>
        <v/>
      </c>
      <c r="N1499" s="5" t="str" cm="1">
        <f t="array" ref="N1499">choice(Settings!K:K,1,Settings!$B$16)</f>
        <v/>
      </c>
      <c r="P1499" s="5">
        <f t="shared" si="96"/>
        <v>1</v>
      </c>
    </row>
    <row r="1500" spans="1:16" ht="15.75" customHeight="1" x14ac:dyDescent="0.25">
      <c r="A1500" s="6" t="s">
        <v>1852</v>
      </c>
      <c r="B1500" s="6" cm="1">
        <f t="array" ref="B1500">alea_int(Settings!$B$10,1,Settings!$B$16)</f>
        <v>3</v>
      </c>
      <c r="C1500" s="8">
        <v>46023</v>
      </c>
      <c r="D1500" s="8">
        <f t="shared" si="93"/>
        <v>46387</v>
      </c>
      <c r="E1500" s="6" t="str" cm="1">
        <f t="array" ref="E1500">choice(Groupes!A:A,1,Settings!$B$16)</f>
        <v>G9</v>
      </c>
      <c r="F1500" s="6" t="str">
        <f t="shared" si="94"/>
        <v>G9</v>
      </c>
      <c r="G1500" s="6" t="str">
        <f t="shared" si="95"/>
        <v>Prof46</v>
      </c>
      <c r="H1500" s="6" t="str" cm="1">
        <f t="array" ref="H1500">choice(Referentiel!A:A,1,Settings!$B$16)</f>
        <v>1ère année Groupe 2</v>
      </c>
      <c r="I1500" s="6" t="str" cm="1">
        <f t="array" ref="I1500">choice(Referentiel!B:B,1,Settings!$B$16)</f>
        <v>4ème année Architecture Intérieure S2</v>
      </c>
      <c r="J1500" s="6" t="str" cm="1">
        <f t="array" ref="J1500">choice(Referentiel!D:D,1,Settings!$B$16)</f>
        <v>M1</v>
      </c>
      <c r="K1500" s="6" t="str" cm="1">
        <f t="array" ref="K1500">choice(Professeurs!B:B,1,Settings!$B$16)</f>
        <v>Prof46</v>
      </c>
      <c r="L1500" s="5" t="str" cm="1">
        <f t="array" ref="L1500">choice(Referentiel!C:C,1,Settings!$B$16)</f>
        <v/>
      </c>
      <c r="M1500" s="5" t="str" cm="1">
        <f t="array" ref="M1500">choice(Referentiel!E:E,1,Settings!$B$16)</f>
        <v/>
      </c>
      <c r="N1500" s="5" t="str" cm="1">
        <f t="array" ref="N1500">choice(Settings!K:K,1,Settings!$B$16)</f>
        <v/>
      </c>
      <c r="P1500" s="5">
        <f t="shared" si="96"/>
        <v>3</v>
      </c>
    </row>
    <row r="1501" spans="1:16" ht="15.75" customHeight="1" x14ac:dyDescent="0.25">
      <c r="A1501" s="6" t="s">
        <v>1853</v>
      </c>
      <c r="B1501" s="6" cm="1">
        <f t="array" ref="B1501">alea_int(Settings!$B$10,1,Settings!$B$16)</f>
        <v>1</v>
      </c>
      <c r="C1501" s="8">
        <v>46023</v>
      </c>
      <c r="D1501" s="8">
        <f t="shared" si="93"/>
        <v>46387</v>
      </c>
      <c r="E1501" s="6" t="str" cm="1">
        <f t="array" ref="E1501">choice(Groupes!A:A,1,Settings!$B$16)</f>
        <v>G25</v>
      </c>
      <c r="F1501" s="6" t="str">
        <f t="shared" si="94"/>
        <v>G25</v>
      </c>
      <c r="G1501" s="6" t="str">
        <f t="shared" si="95"/>
        <v>Prof15</v>
      </c>
      <c r="H1501" s="6" t="str" cm="1">
        <f t="array" ref="H1501">choice(Referentiel!A:A,1,Settings!$B$16)</f>
        <v>Design Graphique</v>
      </c>
      <c r="I1501" s="6" t="str" cm="1">
        <f t="array" ref="I1501">choice(Referentiel!B:B,1,Settings!$B$16)</f>
        <v>5ème année Design Textile et Matière S1</v>
      </c>
      <c r="J1501" s="6" t="str" cm="1">
        <f t="array" ref="J1501">choice(Referentiel!D:D,1,Settings!$B$16)</f>
        <v>L2</v>
      </c>
      <c r="K1501" s="6" t="str" cm="1">
        <f t="array" ref="K1501">choice(Professeurs!B:B,1,Settings!$B$16)</f>
        <v>Prof15</v>
      </c>
      <c r="L1501" s="5" t="str" cm="1">
        <f t="array" ref="L1501">choice(Referentiel!C:C,1,Settings!$B$16)</f>
        <v/>
      </c>
      <c r="M1501" s="5" t="str" cm="1">
        <f t="array" ref="M1501">choice(Referentiel!E:E,1,Settings!$B$16)</f>
        <v/>
      </c>
      <c r="N1501" s="5" t="str" cm="1">
        <f t="array" ref="N1501">choice(Settings!K:K,1,Settings!$B$16)</f>
        <v>mercredi ap</v>
      </c>
      <c r="P1501" s="5">
        <f t="shared" si="96"/>
        <v>3</v>
      </c>
    </row>
    <row r="1502" spans="1:16" ht="15.75" customHeight="1" x14ac:dyDescent="0.25">
      <c r="A1502" s="6" t="s">
        <v>1854</v>
      </c>
      <c r="B1502" s="6" cm="1">
        <f t="array" ref="B1502">alea_int(Settings!$B$10,1,Settings!$B$16)</f>
        <v>1</v>
      </c>
      <c r="C1502" s="8">
        <v>46023</v>
      </c>
      <c r="D1502" s="8">
        <f t="shared" si="93"/>
        <v>46387</v>
      </c>
      <c r="E1502" s="6" t="str" cm="1">
        <f t="array" ref="E1502">choice(Groupes!A:A,1,Settings!$B$16)</f>
        <v>G1</v>
      </c>
      <c r="F1502" s="6" t="str">
        <f t="shared" si="94"/>
        <v>G1</v>
      </c>
      <c r="G1502" s="6" t="str">
        <f t="shared" si="95"/>
        <v>Prof25</v>
      </c>
      <c r="H1502" s="6" t="str" cm="1">
        <f t="array" ref="H1502">choice(Referentiel!A:A,1,Settings!$B$16)</f>
        <v>1ère année Groupe 3</v>
      </c>
      <c r="I1502" s="6" t="str" cm="1">
        <f t="array" ref="I1502">choice(Referentiel!B:B,1,Settings!$B$16)</f>
        <v>3ème année Cinéma d'Animation S2</v>
      </c>
      <c r="J1502" s="6" t="str" cm="1">
        <f t="array" ref="J1502">choice(Referentiel!D:D,1,Settings!$B$16)</f>
        <v>M2</v>
      </c>
      <c r="K1502" s="6" t="str" cm="1">
        <f t="array" ref="K1502">choice(Professeurs!B:B,1,Settings!$B$16)</f>
        <v>Prof25</v>
      </c>
      <c r="L1502" s="5" t="str" cm="1">
        <f t="array" ref="L1502">choice(Referentiel!C:C,1,Settings!$B$16)</f>
        <v/>
      </c>
      <c r="M1502" s="5" t="str" cm="1">
        <f t="array" ref="M1502">choice(Referentiel!E:E,1,Settings!$B$16)</f>
        <v/>
      </c>
      <c r="N1502" s="5" t="str" cm="1">
        <f t="array" ref="N1502">choice(Settings!K:K,1,Settings!$B$16)</f>
        <v/>
      </c>
      <c r="P1502" s="5">
        <f t="shared" si="96"/>
        <v>1</v>
      </c>
    </row>
    <row r="1503" spans="1:16" ht="15.75" customHeight="1" x14ac:dyDescent="0.25">
      <c r="A1503" s="6" t="s">
        <v>1855</v>
      </c>
      <c r="B1503" s="6" cm="1">
        <f t="array" ref="B1503">alea_int(Settings!$B$10,1,Settings!$B$16)</f>
        <v>2</v>
      </c>
      <c r="C1503" s="8">
        <v>46023</v>
      </c>
      <c r="D1503" s="8">
        <f t="shared" si="93"/>
        <v>46387</v>
      </c>
      <c r="E1503" s="6" t="str" cm="1">
        <f t="array" ref="E1503">choice(Groupes!A:A,1,Settings!$B$16)</f>
        <v>G17</v>
      </c>
      <c r="F1503" s="6" t="str">
        <f t="shared" si="94"/>
        <v>G17</v>
      </c>
      <c r="G1503" s="6" t="str">
        <f t="shared" si="95"/>
        <v>Prof22</v>
      </c>
      <c r="H1503" s="6" t="str" cm="1">
        <f t="array" ref="H1503">choice(Referentiel!A:A,1,Settings!$B$16)</f>
        <v>Gr SOFT MATTERS</v>
      </c>
      <c r="I1503" s="6" t="str" cm="1">
        <f t="array" ref="I1503">choice(Referentiel!B:B,1,Settings!$B$16)</f>
        <v>2ème année Photo / Vidéo S2</v>
      </c>
      <c r="J1503" s="6" t="str" cm="1">
        <f t="array" ref="J1503">choice(Referentiel!D:D,1,Settings!$B$16)</f>
        <v>M2</v>
      </c>
      <c r="K1503" s="6" t="str" cm="1">
        <f t="array" ref="K1503">choice(Professeurs!B:B,1,Settings!$B$16)</f>
        <v>Prof22</v>
      </c>
      <c r="L1503" s="5" t="str" cm="1">
        <f t="array" ref="L1503">choice(Referentiel!C:C,1,Settings!$B$16)</f>
        <v/>
      </c>
      <c r="M1503" s="5" t="str" cm="1">
        <f t="array" ref="M1503">choice(Referentiel!E:E,1,Settings!$B$16)</f>
        <v/>
      </c>
      <c r="N1503" s="5" t="str" cm="1">
        <f t="array" ref="N1503">choice(Settings!K:K,1,Settings!$B$16)</f>
        <v>mardi am</v>
      </c>
      <c r="P1503" s="5">
        <f t="shared" si="96"/>
        <v>4</v>
      </c>
    </row>
    <row r="1504" spans="1:16" ht="15.75" customHeight="1" x14ac:dyDescent="0.25">
      <c r="A1504" s="6" t="s">
        <v>1856</v>
      </c>
      <c r="B1504" s="6" cm="1">
        <f t="array" ref="B1504">alea_int(Settings!$B$10,1,Settings!$B$16)</f>
        <v>1</v>
      </c>
      <c r="C1504" s="8">
        <v>46023</v>
      </c>
      <c r="D1504" s="8">
        <f t="shared" si="93"/>
        <v>46387</v>
      </c>
      <c r="E1504" s="6" t="str" cm="1">
        <f t="array" ref="E1504">choice(Groupes!A:A,1,Settings!$B$16)</f>
        <v>G28</v>
      </c>
      <c r="F1504" s="6" t="str">
        <f t="shared" si="94"/>
        <v>G28</v>
      </c>
      <c r="G1504" s="6" t="str">
        <f t="shared" si="95"/>
        <v>Prof28</v>
      </c>
      <c r="H1504" s="6" t="str" cm="1">
        <f t="array" ref="H1504">choice(Referentiel!A:A,1,Settings!$B$16)</f>
        <v>Design Vêtement</v>
      </c>
      <c r="I1504" s="6" t="str" cm="1">
        <f t="array" ref="I1504">choice(Referentiel!B:B,1,Settings!$B$16)</f>
        <v>5ème année Art-Espace S2</v>
      </c>
      <c r="J1504" s="6" t="str" cm="1">
        <f t="array" ref="J1504">choice(Referentiel!D:D,1,Settings!$B$16)</f>
        <v>L2</v>
      </c>
      <c r="K1504" s="6" t="str" cm="1">
        <f t="array" ref="K1504">choice(Professeurs!B:B,1,Settings!$B$16)</f>
        <v>Prof28</v>
      </c>
      <c r="L1504" s="5" t="str" cm="1">
        <f t="array" ref="L1504">choice(Referentiel!C:C,1,Settings!$B$16)</f>
        <v/>
      </c>
      <c r="M1504" s="5" t="str" cm="1">
        <f t="array" ref="M1504">choice(Referentiel!E:E,1,Settings!$B$16)</f>
        <v/>
      </c>
      <c r="N1504" s="5" t="str" cm="1">
        <f t="array" ref="N1504">choice(Settings!K:K,1,Settings!$B$16)</f>
        <v>mercredi pm</v>
      </c>
      <c r="P1504" s="5">
        <f t="shared" si="96"/>
        <v>3</v>
      </c>
    </row>
    <row r="1505" spans="1:16" ht="15.75" customHeight="1" x14ac:dyDescent="0.25">
      <c r="A1505" s="6" t="s">
        <v>1857</v>
      </c>
      <c r="B1505" s="6" cm="1">
        <f t="array" ref="B1505">alea_int(Settings!$B$10,1,Settings!$B$16)</f>
        <v>1</v>
      </c>
      <c r="C1505" s="8">
        <v>46023</v>
      </c>
      <c r="D1505" s="8">
        <f t="shared" si="93"/>
        <v>46387</v>
      </c>
      <c r="E1505" s="6" t="str" cm="1">
        <f t="array" ref="E1505">choice(Groupes!A:A,1,Settings!$B$16)</f>
        <v>G3</v>
      </c>
      <c r="F1505" s="6" t="str">
        <f t="shared" si="94"/>
        <v>G3</v>
      </c>
      <c r="G1505" s="6" t="str">
        <f t="shared" si="95"/>
        <v>Prof40</v>
      </c>
      <c r="H1505" s="6" t="str" cm="1">
        <f t="array" ref="H1505">choice(Referentiel!A:A,1,Settings!$B$16)</f>
        <v>6ème année atelier</v>
      </c>
      <c r="I1505" s="6" t="str" cm="1">
        <f t="array" ref="I1505">choice(Referentiel!B:B,1,Settings!$B$16)</f>
        <v>3ème année Architecture Intérieure S2</v>
      </c>
      <c r="J1505" s="6" t="str" cm="1">
        <f t="array" ref="J1505">choice(Referentiel!D:D,1,Settings!$B$16)</f>
        <v>L3</v>
      </c>
      <c r="K1505" s="6" t="str" cm="1">
        <f t="array" ref="K1505">choice(Professeurs!B:B,1,Settings!$B$16)</f>
        <v>Prof40</v>
      </c>
      <c r="L1505" s="5" t="str" cm="1">
        <f t="array" ref="L1505">choice(Referentiel!C:C,1,Settings!$B$16)</f>
        <v/>
      </c>
      <c r="M1505" s="5" t="str" cm="1">
        <f t="array" ref="M1505">choice(Referentiel!E:E,1,Settings!$B$16)</f>
        <v/>
      </c>
      <c r="N1505" s="5" t="str" cm="1">
        <f t="array" ref="N1505">choice(Settings!K:K,1,Settings!$B$16)</f>
        <v/>
      </c>
      <c r="P1505" s="5">
        <f t="shared" si="96"/>
        <v>1</v>
      </c>
    </row>
    <row r="1506" spans="1:16" ht="15.75" customHeight="1" x14ac:dyDescent="0.25">
      <c r="A1506" s="6" t="s">
        <v>1858</v>
      </c>
      <c r="B1506" s="6" cm="1">
        <f t="array" ref="B1506">alea_int(Settings!$B$10,1,Settings!$B$16)</f>
        <v>3</v>
      </c>
      <c r="C1506" s="8">
        <v>46023</v>
      </c>
      <c r="D1506" s="8">
        <f t="shared" si="93"/>
        <v>46387</v>
      </c>
      <c r="E1506" s="6" t="str" cm="1">
        <f t="array" ref="E1506">choice(Groupes!A:A,1,Settings!$B$16)</f>
        <v>G10</v>
      </c>
      <c r="F1506" s="6" t="str">
        <f t="shared" si="94"/>
        <v>G10</v>
      </c>
      <c r="G1506" s="6" t="str">
        <f t="shared" si="95"/>
        <v>Prof15</v>
      </c>
      <c r="H1506" s="6" t="str" cm="1">
        <f t="array" ref="H1506">choice(Referentiel!A:A,1,Settings!$B$16)</f>
        <v>1ère année Groupe 2</v>
      </c>
      <c r="I1506" s="6" t="str" cm="1">
        <f t="array" ref="I1506">choice(Referentiel!B:B,1,Settings!$B$16)</f>
        <v>5ème année Image Imprimée S2</v>
      </c>
      <c r="J1506" s="6" t="str" cm="1">
        <f t="array" ref="J1506">choice(Referentiel!D:D,1,Settings!$B$16)</f>
        <v>M1</v>
      </c>
      <c r="K1506" s="6" t="str" cm="1">
        <f t="array" ref="K1506">choice(Professeurs!B:B,1,Settings!$B$16)</f>
        <v>Prof15</v>
      </c>
      <c r="L1506" s="5" t="str" cm="1">
        <f t="array" ref="L1506">choice(Referentiel!C:C,1,Settings!$B$16)</f>
        <v/>
      </c>
      <c r="M1506" s="5" t="str" cm="1">
        <f t="array" ref="M1506">choice(Referentiel!E:E,1,Settings!$B$16)</f>
        <v/>
      </c>
      <c r="N1506" s="5" t="str" cm="1">
        <f t="array" ref="N1506">choice(Settings!K:K,1,Settings!$B$16)</f>
        <v/>
      </c>
      <c r="P1506" s="5">
        <f t="shared" si="96"/>
        <v>3</v>
      </c>
    </row>
    <row r="1507" spans="1:16" ht="15.75" customHeight="1" x14ac:dyDescent="0.25">
      <c r="A1507" s="6" t="s">
        <v>1859</v>
      </c>
      <c r="B1507" s="6" cm="1">
        <f t="array" ref="B1507">alea_int(Settings!$B$10,1,Settings!$B$16)</f>
        <v>2</v>
      </c>
      <c r="C1507" s="8">
        <v>46023</v>
      </c>
      <c r="D1507" s="8">
        <f t="shared" si="93"/>
        <v>46387</v>
      </c>
      <c r="E1507" s="6" t="str" cm="1">
        <f t="array" ref="E1507">choice(Groupes!A:A,1,Settings!$B$16)</f>
        <v>G23</v>
      </c>
      <c r="F1507" s="6" t="str">
        <f t="shared" si="94"/>
        <v>G23</v>
      </c>
      <c r="G1507" s="6" t="str">
        <f t="shared" si="95"/>
        <v>Prof42</v>
      </c>
      <c r="H1507" s="6" t="str" cm="1">
        <f t="array" ref="H1507">choice(Referentiel!A:A,1,Settings!$B$16)</f>
        <v>Design des mondes insulaires</v>
      </c>
      <c r="I1507" s="6" t="str" cm="1">
        <f t="array" ref="I1507">choice(Referentiel!B:B,1,Settings!$B$16)</f>
        <v>4ème année Image Imprimée S1</v>
      </c>
      <c r="J1507" s="6" t="str" cm="1">
        <f t="array" ref="J1507">choice(Referentiel!D:D,1,Settings!$B$16)</f>
        <v>M1</v>
      </c>
      <c r="K1507" s="6" t="str" cm="1">
        <f t="array" ref="K1507">choice(Professeurs!B:B,1,Settings!$B$16)</f>
        <v>Prof42</v>
      </c>
      <c r="L1507" s="5" t="str" cm="1">
        <f t="array" ref="L1507">choice(Referentiel!C:C,1,Settings!$B$16)</f>
        <v/>
      </c>
      <c r="M1507" s="5" t="str" cm="1">
        <f t="array" ref="M1507">choice(Referentiel!E:E,1,Settings!$B$16)</f>
        <v/>
      </c>
      <c r="N1507" s="5" t="str" cm="1">
        <f t="array" ref="N1507">choice(Settings!K:K,1,Settings!$B$16)</f>
        <v>mardi pm</v>
      </c>
      <c r="P1507" s="5">
        <f t="shared" si="96"/>
        <v>4</v>
      </c>
    </row>
    <row r="1508" spans="1:16" ht="15.75" customHeight="1" x14ac:dyDescent="0.25">
      <c r="A1508" s="6" t="s">
        <v>1860</v>
      </c>
      <c r="B1508" s="6" cm="1">
        <f t="array" ref="B1508">alea_int(Settings!$B$10,1,Settings!$B$16)</f>
        <v>3</v>
      </c>
      <c r="C1508" s="8">
        <v>46023</v>
      </c>
      <c r="D1508" s="8">
        <f t="shared" si="93"/>
        <v>46387</v>
      </c>
      <c r="E1508" s="6" t="str" cm="1">
        <f t="array" ref="E1508">choice(Groupes!A:A,1,Settings!$B$16)</f>
        <v>G27</v>
      </c>
      <c r="F1508" s="6" t="str">
        <f t="shared" si="94"/>
        <v>G27</v>
      </c>
      <c r="G1508" s="6" t="str">
        <f t="shared" si="95"/>
        <v>Prof5</v>
      </c>
      <c r="H1508" s="6" t="str" cm="1">
        <f t="array" ref="H1508">choice(Referentiel!A:A,1,Settings!$B$16)</f>
        <v>Design Vêtement</v>
      </c>
      <c r="I1508" s="6" t="str" cm="1">
        <f t="array" ref="I1508">choice(Referentiel!B:B,1,Settings!$B$16)</f>
        <v>2ème année Design Objet S1</v>
      </c>
      <c r="J1508" s="6" t="str" cm="1">
        <f t="array" ref="J1508">choice(Referentiel!D:D,1,Settings!$B$16)</f>
        <v>L3</v>
      </c>
      <c r="K1508" s="6" t="str" cm="1">
        <f t="array" ref="K1508">choice(Professeurs!B:B,1,Settings!$B$16)</f>
        <v>Prof5</v>
      </c>
      <c r="L1508" s="5" t="str" cm="1">
        <f t="array" ref="L1508">choice(Referentiel!C:C,1,Settings!$B$16)</f>
        <v/>
      </c>
      <c r="M1508" s="5" t="str" cm="1">
        <f t="array" ref="M1508">choice(Referentiel!E:E,1,Settings!$B$16)</f>
        <v/>
      </c>
      <c r="N1508" s="5" t="str" cm="1">
        <f t="array" ref="N1508">choice(Settings!K:K,1,Settings!$B$16)</f>
        <v>vendredi pm</v>
      </c>
      <c r="P1508" s="5">
        <f t="shared" si="96"/>
        <v>5</v>
      </c>
    </row>
    <row r="1509" spans="1:16" ht="15.75" customHeight="1" x14ac:dyDescent="0.25">
      <c r="A1509" s="6" t="s">
        <v>1861</v>
      </c>
      <c r="B1509" s="6" cm="1">
        <f t="array" ref="B1509">alea_int(Settings!$B$10,1,Settings!$B$16)</f>
        <v>2</v>
      </c>
      <c r="C1509" s="8">
        <v>46023</v>
      </c>
      <c r="D1509" s="8">
        <f t="shared" si="93"/>
        <v>46387</v>
      </c>
      <c r="E1509" s="6" t="str" cm="1">
        <f t="array" ref="E1509">choice(Groupes!A:A,1,Settings!$B$16)</f>
        <v>G19</v>
      </c>
      <c r="F1509" s="6" t="str">
        <f t="shared" si="94"/>
        <v>G19</v>
      </c>
      <c r="G1509" s="6" t="str">
        <f t="shared" si="95"/>
        <v>Prof15</v>
      </c>
      <c r="H1509" s="6" t="str" cm="1">
        <f t="array" ref="H1509">choice(Referentiel!A:A,1,Settings!$B$16)</f>
        <v>Design des mondes ruraux</v>
      </c>
      <c r="I1509" s="6" t="str" cm="1">
        <f t="array" ref="I1509">choice(Referentiel!B:B,1,Settings!$B$16)</f>
        <v>5ème année Scénographie S1</v>
      </c>
      <c r="J1509" s="6" t="str" cm="1">
        <f t="array" ref="J1509">choice(Referentiel!D:D,1,Settings!$B$16)</f>
        <v>M2</v>
      </c>
      <c r="K1509" s="6" t="str" cm="1">
        <f t="array" ref="K1509">choice(Professeurs!B:B,1,Settings!$B$16)</f>
        <v>Prof15</v>
      </c>
      <c r="L1509" s="5" t="str" cm="1">
        <f t="array" ref="L1509">choice(Referentiel!C:C,1,Settings!$B$16)</f>
        <v/>
      </c>
      <c r="M1509" s="5" t="str" cm="1">
        <f t="array" ref="M1509">choice(Referentiel!E:E,1,Settings!$B$16)</f>
        <v/>
      </c>
      <c r="N1509" s="5" t="str" cm="1">
        <f t="array" ref="N1509">choice(Settings!K:K,1,Settings!$B$16)</f>
        <v>vendredi pm</v>
      </c>
      <c r="P1509" s="5">
        <f t="shared" si="96"/>
        <v>4</v>
      </c>
    </row>
    <row r="1510" spans="1:16" ht="15.75" customHeight="1" x14ac:dyDescent="0.25">
      <c r="A1510" s="6" t="s">
        <v>1862</v>
      </c>
      <c r="B1510" s="6" cm="1">
        <f t="array" ref="B1510">alea_int(Settings!$B$10,1,Settings!$B$16)</f>
        <v>2</v>
      </c>
      <c r="C1510" s="8">
        <v>46023</v>
      </c>
      <c r="D1510" s="8">
        <f t="shared" si="93"/>
        <v>46387</v>
      </c>
      <c r="E1510" s="6" t="str" cm="1">
        <f t="array" ref="E1510">choice(Groupes!A:A,1,Settings!$B$16)</f>
        <v>G17</v>
      </c>
      <c r="F1510" s="6" t="str">
        <f t="shared" si="94"/>
        <v>G17</v>
      </c>
      <c r="G1510" s="6" t="str">
        <f t="shared" si="95"/>
        <v>Prof23</v>
      </c>
      <c r="H1510" s="6" t="str" cm="1">
        <f t="array" ref="H1510">choice(Referentiel!A:A,1,Settings!$B$16)</f>
        <v>Design Textile et Matière</v>
      </c>
      <c r="I1510" s="6" t="str" cm="1">
        <f t="array" ref="I1510">choice(Referentiel!B:B,1,Settings!$B$16)</f>
        <v>5ème année Scénographie S2</v>
      </c>
      <c r="J1510" s="6" t="str" cm="1">
        <f t="array" ref="J1510">choice(Referentiel!D:D,1,Settings!$B$16)</f>
        <v>L3</v>
      </c>
      <c r="K1510" s="6" t="str" cm="1">
        <f t="array" ref="K1510">choice(Professeurs!B:B,1,Settings!$B$16)</f>
        <v>Prof23</v>
      </c>
      <c r="L1510" s="5" t="str" cm="1">
        <f t="array" ref="L1510">choice(Referentiel!C:C,1,Settings!$B$16)</f>
        <v/>
      </c>
      <c r="M1510" s="5" t="str" cm="1">
        <f t="array" ref="M1510">choice(Referentiel!E:E,1,Settings!$B$16)</f>
        <v>Salle10</v>
      </c>
      <c r="N1510" s="5" t="str" cm="1">
        <f t="array" ref="N1510">choice(Settings!K:K,1,Settings!$B$16)</f>
        <v>vendredi pm</v>
      </c>
      <c r="P1510" s="5">
        <f t="shared" si="96"/>
        <v>6</v>
      </c>
    </row>
    <row r="1511" spans="1:16" ht="15.75" customHeight="1" x14ac:dyDescent="0.25">
      <c r="A1511" s="6" t="s">
        <v>1863</v>
      </c>
      <c r="B1511" s="6" cm="1">
        <f t="array" ref="B1511">alea_int(Settings!$B$10,1,Settings!$B$16)</f>
        <v>2</v>
      </c>
      <c r="C1511" s="8">
        <v>46023</v>
      </c>
      <c r="D1511" s="8">
        <f t="shared" si="93"/>
        <v>46387</v>
      </c>
      <c r="E1511" s="6" t="str" cm="1">
        <f t="array" ref="E1511">choice(Groupes!A:A,1,Settings!$B$16)</f>
        <v>G24</v>
      </c>
      <c r="F1511" s="6" t="str">
        <f t="shared" si="94"/>
        <v>G24</v>
      </c>
      <c r="G1511" s="6" t="str">
        <f t="shared" si="95"/>
        <v>Prof28</v>
      </c>
      <c r="H1511" s="6" t="str" cm="1">
        <f t="array" ref="H1511">choice(Referentiel!A:A,1,Settings!$B$16)</f>
        <v>Gr TERRITOIRES</v>
      </c>
      <c r="I1511" s="6" t="str" cm="1">
        <f t="array" ref="I1511">choice(Referentiel!B:B,1,Settings!$B$16)</f>
        <v>2ème année Photo / Vidéo S2</v>
      </c>
      <c r="J1511" s="6" t="str" cm="1">
        <f t="array" ref="J1511">choice(Referentiel!D:D,1,Settings!$B$16)</f>
        <v>M1</v>
      </c>
      <c r="K1511" s="6" t="str" cm="1">
        <f t="array" ref="K1511">choice(Professeurs!B:B,1,Settings!$B$16)</f>
        <v>Prof28</v>
      </c>
      <c r="L1511" s="5" t="str" cm="1">
        <f t="array" ref="L1511">choice(Referentiel!C:C,1,Settings!$B$16)</f>
        <v/>
      </c>
      <c r="M1511" s="5" t="str" cm="1">
        <f t="array" ref="M1511">choice(Referentiel!E:E,1,Settings!$B$16)</f>
        <v/>
      </c>
      <c r="N1511" s="5" t="str" cm="1">
        <f t="array" ref="N1511">choice(Settings!K:K,1,Settings!$B$16)</f>
        <v/>
      </c>
      <c r="P1511" s="5">
        <f t="shared" si="96"/>
        <v>2</v>
      </c>
    </row>
    <row r="1512" spans="1:16" ht="15.75" customHeight="1" x14ac:dyDescent="0.25">
      <c r="A1512" s="6" t="s">
        <v>1864</v>
      </c>
      <c r="B1512" s="6" cm="1">
        <f t="array" ref="B1512">alea_int(Settings!$B$10,1,Settings!$B$16)</f>
        <v>1</v>
      </c>
      <c r="C1512" s="8">
        <v>46023</v>
      </c>
      <c r="D1512" s="8">
        <f t="shared" si="93"/>
        <v>46387</v>
      </c>
      <c r="E1512" s="6" t="str" cm="1">
        <f t="array" ref="E1512">choice(Groupes!A:A,1,Settings!$B$16)</f>
        <v>G17</v>
      </c>
      <c r="F1512" s="6" t="str">
        <f t="shared" si="94"/>
        <v>G17</v>
      </c>
      <c r="G1512" s="6" t="str">
        <f t="shared" si="95"/>
        <v>Prof46</v>
      </c>
      <c r="H1512" s="6" t="str" cm="1">
        <f t="array" ref="H1512">choice(Referentiel!A:A,1,Settings!$B$16)</f>
        <v>Gr ART, DESIGN, SOCIETE</v>
      </c>
      <c r="I1512" s="6" t="str" cm="1">
        <f t="array" ref="I1512">choice(Referentiel!B:B,1,Settings!$B$16)</f>
        <v>3ème année Image Imprimée S2</v>
      </c>
      <c r="J1512" s="6" t="str" cm="1">
        <f t="array" ref="J1512">choice(Referentiel!D:D,1,Settings!$B$16)</f>
        <v>M2</v>
      </c>
      <c r="K1512" s="6" t="str" cm="1">
        <f t="array" ref="K1512">choice(Professeurs!B:B,1,Settings!$B$16)</f>
        <v>Prof46</v>
      </c>
      <c r="L1512" s="5" t="str" cm="1">
        <f t="array" ref="L1512">choice(Referentiel!C:C,1,Settings!$B$16)</f>
        <v/>
      </c>
      <c r="M1512" s="5" t="str" cm="1">
        <f t="array" ref="M1512">choice(Referentiel!E:E,1,Settings!$B$16)</f>
        <v/>
      </c>
      <c r="N1512" s="5" t="str" cm="1">
        <f t="array" ref="N1512">choice(Settings!K:K,1,Settings!$B$16)</f>
        <v>mercredi pm</v>
      </c>
      <c r="P1512" s="5">
        <f t="shared" si="96"/>
        <v>3</v>
      </c>
    </row>
    <row r="1513" spans="1:16" ht="15.75" customHeight="1" x14ac:dyDescent="0.25">
      <c r="A1513" s="6" t="s">
        <v>1865</v>
      </c>
      <c r="B1513" s="6" cm="1">
        <f t="array" ref="B1513">alea_int(Settings!$B$10,1,Settings!$B$16)</f>
        <v>1</v>
      </c>
      <c r="C1513" s="8">
        <v>46023</v>
      </c>
      <c r="D1513" s="8">
        <f t="shared" si="93"/>
        <v>46387</v>
      </c>
      <c r="E1513" s="6" t="str" cm="1">
        <f t="array" ref="E1513">choice(Groupes!A:A,1,Settings!$B$16)</f>
        <v>G26</v>
      </c>
      <c r="F1513" s="6" t="str">
        <f t="shared" si="94"/>
        <v>G26</v>
      </c>
      <c r="G1513" s="6" t="str">
        <f t="shared" si="95"/>
        <v>Prof36</v>
      </c>
      <c r="H1513" s="6" t="str" cm="1">
        <f t="array" ref="H1513">choice(Referentiel!A:A,1,Settings!$B$16)</f>
        <v>Gr REFLECTIVE INTERACTION</v>
      </c>
      <c r="I1513" s="6" t="str" cm="1">
        <f t="array" ref="I1513">choice(Referentiel!B:B,1,Settings!$B$16)</f>
        <v>5ème année Design Objet S1</v>
      </c>
      <c r="J1513" s="6" t="str" cm="1">
        <f t="array" ref="J1513">choice(Referentiel!D:D,1,Settings!$B$16)</f>
        <v>L1</v>
      </c>
      <c r="K1513" s="6" t="str" cm="1">
        <f t="array" ref="K1513">choice(Professeurs!B:B,1,Settings!$B$16)</f>
        <v>Prof36</v>
      </c>
      <c r="L1513" s="5" t="str" cm="1">
        <f t="array" ref="L1513">choice(Referentiel!C:C,1,Settings!$B$16)</f>
        <v/>
      </c>
      <c r="M1513" s="5" t="str" cm="1">
        <f t="array" ref="M1513">choice(Referentiel!E:E,1,Settings!$B$16)</f>
        <v>Salle13</v>
      </c>
      <c r="N1513" s="5" t="str" cm="1">
        <f t="array" ref="N1513">choice(Settings!K:K,1,Settings!$B$16)</f>
        <v/>
      </c>
      <c r="P1513" s="5">
        <f t="shared" si="96"/>
        <v>3</v>
      </c>
    </row>
    <row r="1514" spans="1:16" ht="15.75" customHeight="1" x14ac:dyDescent="0.25">
      <c r="A1514" s="6" t="s">
        <v>1866</v>
      </c>
      <c r="B1514" s="6" cm="1">
        <f t="array" ref="B1514">alea_int(Settings!$B$10,1,Settings!$B$16)</f>
        <v>3</v>
      </c>
      <c r="C1514" s="8">
        <v>46023</v>
      </c>
      <c r="D1514" s="8">
        <f t="shared" si="93"/>
        <v>46387</v>
      </c>
      <c r="E1514" s="6" t="str" cm="1">
        <f t="array" ref="E1514">choice(Groupes!A:A,1,Settings!$B$16)</f>
        <v>G26</v>
      </c>
      <c r="F1514" s="6" t="str">
        <f t="shared" si="94"/>
        <v>G26</v>
      </c>
      <c r="G1514" s="6" t="str">
        <f t="shared" si="95"/>
        <v>Prof27</v>
      </c>
      <c r="H1514" s="6" t="str" cm="1">
        <f t="array" ref="H1514">choice(Referentiel!A:A,1,Settings!$B$16)</f>
        <v>Gr SPATIAL MEDIA</v>
      </c>
      <c r="I1514" s="6" t="str" cm="1">
        <f t="array" ref="I1514">choice(Referentiel!B:B,1,Settings!$B$16)</f>
        <v>3ème année Image Imprimée S1</v>
      </c>
      <c r="J1514" s="6" t="str" cm="1">
        <f t="array" ref="J1514">choice(Referentiel!D:D,1,Settings!$B$16)</f>
        <v>L1</v>
      </c>
      <c r="K1514" s="6" t="str" cm="1">
        <f t="array" ref="K1514">choice(Professeurs!B:B,1,Settings!$B$16)</f>
        <v>Prof27</v>
      </c>
      <c r="L1514" s="5" t="str" cm="1">
        <f t="array" ref="L1514">choice(Referentiel!C:C,1,Settings!$B$16)</f>
        <v/>
      </c>
      <c r="M1514" s="5" t="str" cm="1">
        <f t="array" ref="M1514">choice(Referentiel!E:E,1,Settings!$B$16)</f>
        <v/>
      </c>
      <c r="N1514" s="5" t="str" cm="1">
        <f t="array" ref="N1514">choice(Settings!K:K,1,Settings!$B$16)</f>
        <v/>
      </c>
      <c r="P1514" s="5">
        <f t="shared" si="96"/>
        <v>3</v>
      </c>
    </row>
    <row r="1515" spans="1:16" ht="15.75" customHeight="1" x14ac:dyDescent="0.25">
      <c r="A1515" s="6" t="s">
        <v>1867</v>
      </c>
      <c r="B1515" s="6" cm="1">
        <f t="array" ref="B1515">alea_int(Settings!$B$10,1,Settings!$B$16)</f>
        <v>2</v>
      </c>
      <c r="C1515" s="8">
        <v>46023</v>
      </c>
      <c r="D1515" s="8">
        <f t="shared" si="93"/>
        <v>46387</v>
      </c>
      <c r="E1515" s="6" t="str" cm="1">
        <f t="array" ref="E1515">choice(Groupes!A:A,1,Settings!$B$16)</f>
        <v>G4</v>
      </c>
      <c r="F1515" s="6" t="str">
        <f t="shared" si="94"/>
        <v>G4</v>
      </c>
      <c r="G1515" s="6" t="str">
        <f t="shared" si="95"/>
        <v>Prof34</v>
      </c>
      <c r="H1515" s="6" t="str" cm="1">
        <f t="array" ref="H1515">choice(Referentiel!A:A,1,Settings!$B$16)</f>
        <v>1ère année Groupe 4</v>
      </c>
      <c r="I1515" s="6" t="str" cm="1">
        <f t="array" ref="I1515">choice(Referentiel!B:B,1,Settings!$B$16)</f>
        <v>4ème année Design Objet S2</v>
      </c>
      <c r="J1515" s="6" t="str" cm="1">
        <f t="array" ref="J1515">choice(Referentiel!D:D,1,Settings!$B$16)</f>
        <v>M1</v>
      </c>
      <c r="K1515" s="6" t="str" cm="1">
        <f t="array" ref="K1515">choice(Professeurs!B:B,1,Settings!$B$16)</f>
        <v>Prof34</v>
      </c>
      <c r="L1515" s="5" t="str" cm="1">
        <f t="array" ref="L1515">choice(Referentiel!C:C,1,Settings!$B$16)</f>
        <v/>
      </c>
      <c r="M1515" s="5" t="str" cm="1">
        <f t="array" ref="M1515">choice(Referentiel!E:E,1,Settings!$B$16)</f>
        <v/>
      </c>
      <c r="N1515" s="5" t="str" cm="1">
        <f t="array" ref="N1515">choice(Settings!K:K,1,Settings!$B$16)</f>
        <v/>
      </c>
      <c r="P1515" s="5">
        <f t="shared" si="96"/>
        <v>2</v>
      </c>
    </row>
    <row r="1516" spans="1:16" ht="15.75" customHeight="1" x14ac:dyDescent="0.25">
      <c r="A1516" s="6" t="s">
        <v>1868</v>
      </c>
      <c r="B1516" s="6" cm="1">
        <f t="array" ref="B1516">alea_int(Settings!$B$10,1,Settings!$B$16)</f>
        <v>2</v>
      </c>
      <c r="C1516" s="8">
        <v>46023</v>
      </c>
      <c r="D1516" s="8">
        <f t="shared" si="93"/>
        <v>46387</v>
      </c>
      <c r="E1516" s="6" t="str" cm="1">
        <f t="array" ref="E1516">choice(Groupes!A:A,1,Settings!$B$16)</f>
        <v>G16</v>
      </c>
      <c r="F1516" s="6" t="str">
        <f t="shared" si="94"/>
        <v>G16</v>
      </c>
      <c r="G1516" s="6" t="str">
        <f t="shared" si="95"/>
        <v>Prof18</v>
      </c>
      <c r="H1516" s="6" t="str" cm="1">
        <f t="array" ref="H1516">choice(Referentiel!A:A,1,Settings!$B$16)</f>
        <v>Design Graphique</v>
      </c>
      <c r="I1516" s="6" t="str" cm="1">
        <f t="array" ref="I1516">choice(Referentiel!B:B,1,Settings!$B$16)</f>
        <v>4ème année Scénographie S1</v>
      </c>
      <c r="J1516" s="6" t="str" cm="1">
        <f t="array" ref="J1516">choice(Referentiel!D:D,1,Settings!$B$16)</f>
        <v>L3</v>
      </c>
      <c r="K1516" s="6" t="str" cm="1">
        <f t="array" ref="K1516">choice(Professeurs!B:B,1,Settings!$B$16)</f>
        <v>Prof18</v>
      </c>
      <c r="L1516" s="5" t="str" cm="1">
        <f t="array" ref="L1516">choice(Referentiel!C:C,1,Settings!$B$16)</f>
        <v/>
      </c>
      <c r="M1516" s="5" t="str" cm="1">
        <f t="array" ref="M1516">choice(Referentiel!E:E,1,Settings!$B$16)</f>
        <v/>
      </c>
      <c r="N1516" s="5" t="str" cm="1">
        <f t="array" ref="N1516">choice(Settings!K:K,1,Settings!$B$16)</f>
        <v>mercredi ap</v>
      </c>
      <c r="P1516" s="5">
        <f t="shared" si="96"/>
        <v>4</v>
      </c>
    </row>
    <row r="1517" spans="1:16" ht="15.75" customHeight="1" x14ac:dyDescent="0.25">
      <c r="A1517" s="6" t="s">
        <v>1869</v>
      </c>
      <c r="B1517" s="6" cm="1">
        <f t="array" ref="B1517">alea_int(Settings!$B$10,1,Settings!$B$16)</f>
        <v>1</v>
      </c>
      <c r="C1517" s="8">
        <v>46023</v>
      </c>
      <c r="D1517" s="8">
        <f t="shared" si="93"/>
        <v>46387</v>
      </c>
      <c r="E1517" s="6" t="str" cm="1">
        <f t="array" ref="E1517">choice(Groupes!A:A,1,Settings!$B$16)</f>
        <v>G14</v>
      </c>
      <c r="F1517" s="6" t="str">
        <f t="shared" si="94"/>
        <v>G14</v>
      </c>
      <c r="G1517" s="6" t="str">
        <f t="shared" si="95"/>
        <v>Prof52</v>
      </c>
      <c r="H1517" s="6" t="str" cm="1">
        <f t="array" ref="H1517">choice(Referentiel!A:A,1,Settings!$B$16)</f>
        <v>Architecture Intérieure</v>
      </c>
      <c r="I1517" s="6" t="str" cm="1">
        <f t="array" ref="I1517">choice(Referentiel!B:B,1,Settings!$B$16)</f>
        <v>2ème année Cinéma d'Animation S2</v>
      </c>
      <c r="J1517" s="6" t="str" cm="1">
        <f t="array" ref="J1517">choice(Referentiel!D:D,1,Settings!$B$16)</f>
        <v>M2</v>
      </c>
      <c r="K1517" s="6" t="str" cm="1">
        <f t="array" ref="K1517">choice(Professeurs!B:B,1,Settings!$B$16)</f>
        <v>Prof52</v>
      </c>
      <c r="L1517" s="5" t="str" cm="1">
        <f t="array" ref="L1517">choice(Referentiel!C:C,1,Settings!$B$16)</f>
        <v/>
      </c>
      <c r="M1517" s="5" t="str" cm="1">
        <f t="array" ref="M1517">choice(Referentiel!E:E,1,Settings!$B$16)</f>
        <v/>
      </c>
      <c r="N1517" s="5" t="str" cm="1">
        <f t="array" ref="N1517">choice(Settings!K:K,1,Settings!$B$16)</f>
        <v/>
      </c>
      <c r="P1517" s="5">
        <f t="shared" si="96"/>
        <v>1</v>
      </c>
    </row>
    <row r="1518" spans="1:16" ht="15.75" customHeight="1" x14ac:dyDescent="0.25">
      <c r="A1518" s="6" t="s">
        <v>1870</v>
      </c>
      <c r="B1518" s="6" cm="1">
        <f t="array" ref="B1518">alea_int(Settings!$B$10,1,Settings!$B$16)</f>
        <v>1</v>
      </c>
      <c r="C1518" s="8">
        <v>46023</v>
      </c>
      <c r="D1518" s="8">
        <f t="shared" si="93"/>
        <v>46387</v>
      </c>
      <c r="E1518" s="6" t="str" cm="1">
        <f t="array" ref="E1518">choice(Groupes!A:A,1,Settings!$B$16)</f>
        <v>G16</v>
      </c>
      <c r="F1518" s="6" t="str">
        <f t="shared" si="94"/>
        <v>G16</v>
      </c>
      <c r="G1518" s="6" t="str">
        <f t="shared" si="95"/>
        <v>Prof28</v>
      </c>
      <c r="H1518" s="6" t="str" cm="1">
        <f t="array" ref="H1518">choice(Referentiel!A:A,1,Settings!$B$16)</f>
        <v>Design Graphique</v>
      </c>
      <c r="I1518" s="6" t="str" cm="1">
        <f t="array" ref="I1518">choice(Referentiel!B:B,1,Settings!$B$16)</f>
        <v>3ème année Design Vêtement S2</v>
      </c>
      <c r="J1518" s="6" t="str" cm="1">
        <f t="array" ref="J1518">choice(Referentiel!D:D,1,Settings!$B$16)</f>
        <v>M1</v>
      </c>
      <c r="K1518" s="6" t="str" cm="1">
        <f t="array" ref="K1518">choice(Professeurs!B:B,1,Settings!$B$16)</f>
        <v>Prof28</v>
      </c>
      <c r="L1518" s="5" t="str" cm="1">
        <f t="array" ref="L1518">choice(Referentiel!C:C,1,Settings!$B$16)</f>
        <v/>
      </c>
      <c r="M1518" s="5" t="str" cm="1">
        <f t="array" ref="M1518">choice(Referentiel!E:E,1,Settings!$B$16)</f>
        <v/>
      </c>
      <c r="N1518" s="5" t="str" cm="1">
        <f t="array" ref="N1518">choice(Settings!K:K,1,Settings!$B$16)</f>
        <v/>
      </c>
      <c r="P1518" s="5">
        <f t="shared" si="96"/>
        <v>1</v>
      </c>
    </row>
    <row r="1519" spans="1:16" ht="15.75" customHeight="1" x14ac:dyDescent="0.25">
      <c r="A1519" s="6" t="s">
        <v>1871</v>
      </c>
      <c r="B1519" s="6" cm="1">
        <f t="array" ref="B1519">alea_int(Settings!$B$10,1,Settings!$B$16)</f>
        <v>1</v>
      </c>
      <c r="C1519" s="8">
        <v>46023</v>
      </c>
      <c r="D1519" s="8">
        <f t="shared" si="93"/>
        <v>46387</v>
      </c>
      <c r="E1519" s="6" t="str" cm="1">
        <f t="array" ref="E1519">choice(Groupes!A:A,1,Settings!$B$16)</f>
        <v>G14</v>
      </c>
      <c r="F1519" s="6" t="str">
        <f t="shared" si="94"/>
        <v>G14</v>
      </c>
      <c r="G1519" s="6" t="str">
        <f t="shared" si="95"/>
        <v>Prof36</v>
      </c>
      <c r="H1519" s="6" t="str" cm="1">
        <f t="array" ref="H1519">choice(Referentiel!A:A,1,Settings!$B$16)</f>
        <v>Design des mondes ruraux</v>
      </c>
      <c r="I1519" s="6" t="str" cm="1">
        <f t="array" ref="I1519">choice(Referentiel!B:B,1,Settings!$B$16)</f>
        <v>5ème année Architecture Intérieure S1</v>
      </c>
      <c r="J1519" s="6" t="str" cm="1">
        <f t="array" ref="J1519">choice(Referentiel!D:D,1,Settings!$B$16)</f>
        <v>M1</v>
      </c>
      <c r="K1519" s="6" t="str" cm="1">
        <f t="array" ref="K1519">choice(Professeurs!B:B,1,Settings!$B$16)</f>
        <v>Prof36</v>
      </c>
      <c r="L1519" s="5" t="str" cm="1">
        <f t="array" ref="L1519">choice(Referentiel!C:C,1,Settings!$B$16)</f>
        <v/>
      </c>
      <c r="M1519" s="5" t="str" cm="1">
        <f t="array" ref="M1519">choice(Referentiel!E:E,1,Settings!$B$16)</f>
        <v/>
      </c>
      <c r="N1519" s="5" t="str" cm="1">
        <f t="array" ref="N1519">choice(Settings!K:K,1,Settings!$B$16)</f>
        <v>jeudi pm</v>
      </c>
      <c r="P1519" s="5">
        <f t="shared" si="96"/>
        <v>3</v>
      </c>
    </row>
    <row r="1520" spans="1:16" ht="15.75" customHeight="1" x14ac:dyDescent="0.25">
      <c r="A1520" s="6" t="s">
        <v>1872</v>
      </c>
      <c r="B1520" s="6" cm="1">
        <f t="array" ref="B1520">alea_int(Settings!$B$10,1,Settings!$B$16)</f>
        <v>3</v>
      </c>
      <c r="C1520" s="8">
        <v>46023</v>
      </c>
      <c r="D1520" s="8">
        <f t="shared" si="93"/>
        <v>46387</v>
      </c>
      <c r="E1520" s="6" t="str" cm="1">
        <f t="array" ref="E1520">choice(Groupes!A:A,1,Settings!$B$16)</f>
        <v>G27</v>
      </c>
      <c r="F1520" s="6" t="str">
        <f t="shared" si="94"/>
        <v>G27</v>
      </c>
      <c r="G1520" s="6" t="str">
        <f t="shared" si="95"/>
        <v>Prof19</v>
      </c>
      <c r="H1520" s="6" t="str" cm="1">
        <f t="array" ref="H1520">choice(Referentiel!A:A,1,Settings!$B$16)</f>
        <v>Design des mondes urbains</v>
      </c>
      <c r="I1520" s="6" t="str" cm="1">
        <f t="array" ref="I1520">choice(Referentiel!B:B,1,Settings!$B$16)</f>
        <v>4ème année Design Textile et Matière S1</v>
      </c>
      <c r="J1520" s="6" t="str" cm="1">
        <f t="array" ref="J1520">choice(Referentiel!D:D,1,Settings!$B$16)</f>
        <v>L3</v>
      </c>
      <c r="K1520" s="6" t="str" cm="1">
        <f t="array" ref="K1520">choice(Professeurs!B:B,1,Settings!$B$16)</f>
        <v>Prof19</v>
      </c>
      <c r="L1520" s="5" t="str" cm="1">
        <f t="array" ref="L1520">choice(Referentiel!C:C,1,Settings!$B$16)</f>
        <v/>
      </c>
      <c r="M1520" s="5" t="str" cm="1">
        <f t="array" ref="M1520">choice(Referentiel!E:E,1,Settings!$B$16)</f>
        <v/>
      </c>
      <c r="N1520" s="5" t="str" cm="1">
        <f t="array" ref="N1520">choice(Settings!K:K,1,Settings!$B$16)</f>
        <v>lundi am</v>
      </c>
      <c r="P1520" s="5">
        <f t="shared" si="96"/>
        <v>5</v>
      </c>
    </row>
    <row r="1521" spans="1:16" ht="15.75" customHeight="1" x14ac:dyDescent="0.25">
      <c r="A1521" s="6" t="s">
        <v>1873</v>
      </c>
      <c r="B1521" s="6" cm="1">
        <f t="array" ref="B1521">alea_int(Settings!$B$10,1,Settings!$B$16)</f>
        <v>1</v>
      </c>
      <c r="C1521" s="8">
        <v>46023</v>
      </c>
      <c r="D1521" s="8">
        <f t="shared" si="93"/>
        <v>46387</v>
      </c>
      <c r="E1521" s="6" t="str" cm="1">
        <f t="array" ref="E1521">choice(Groupes!A:A,1,Settings!$B$16)</f>
        <v>G1</v>
      </c>
      <c r="F1521" s="6" t="str">
        <f t="shared" si="94"/>
        <v>G1</v>
      </c>
      <c r="G1521" s="6" t="str">
        <f t="shared" si="95"/>
        <v>Prof44</v>
      </c>
      <c r="H1521" s="6" t="str" cm="1">
        <f t="array" ref="H1521">choice(Referentiel!A:A,1,Settings!$B$16)</f>
        <v>Design des mondes forestiers</v>
      </c>
      <c r="I1521" s="6" t="str" cm="1">
        <f t="array" ref="I1521">choice(Referentiel!B:B,1,Settings!$B$16)</f>
        <v>3ème année Image Imprimée S1</v>
      </c>
      <c r="J1521" s="6" t="str" cm="1">
        <f t="array" ref="J1521">choice(Referentiel!D:D,1,Settings!$B$16)</f>
        <v>L1</v>
      </c>
      <c r="K1521" s="6" t="str" cm="1">
        <f t="array" ref="K1521">choice(Professeurs!B:B,1,Settings!$B$16)</f>
        <v>Prof44</v>
      </c>
      <c r="L1521" s="5" t="str" cm="1">
        <f t="array" ref="L1521">choice(Referentiel!C:C,1,Settings!$B$16)</f>
        <v/>
      </c>
      <c r="M1521" s="5" t="str" cm="1">
        <f t="array" ref="M1521">choice(Referentiel!E:E,1,Settings!$B$16)</f>
        <v/>
      </c>
      <c r="N1521" s="5" t="str" cm="1">
        <f t="array" ref="N1521">choice(Settings!K:K,1,Settings!$B$16)</f>
        <v>jeudi am</v>
      </c>
      <c r="P1521" s="5">
        <f t="shared" si="96"/>
        <v>3</v>
      </c>
    </row>
    <row r="1522" spans="1:16" ht="15.75" customHeight="1" x14ac:dyDescent="0.25">
      <c r="A1522" s="6" t="s">
        <v>1874</v>
      </c>
      <c r="B1522" s="6" cm="1">
        <f t="array" ref="B1522">alea_int(Settings!$B$10,1,Settings!$B$16)</f>
        <v>1</v>
      </c>
      <c r="C1522" s="8">
        <v>46023</v>
      </c>
      <c r="D1522" s="8">
        <f t="shared" si="93"/>
        <v>46387</v>
      </c>
      <c r="E1522" s="6" t="str" cm="1">
        <f t="array" ref="E1522">choice(Groupes!A:A,1,Settings!$B$16)</f>
        <v>G30</v>
      </c>
      <c r="F1522" s="6" t="str">
        <f t="shared" si="94"/>
        <v>G30</v>
      </c>
      <c r="G1522" s="6" t="str">
        <f t="shared" si="95"/>
        <v>Prof36</v>
      </c>
      <c r="H1522" s="6" t="str" cm="1">
        <f t="array" ref="H1522">choice(Referentiel!A:A,1,Settings!$B$16)</f>
        <v>Design des mondes littoraux</v>
      </c>
      <c r="I1522" s="6" t="str" cm="1">
        <f t="array" ref="I1522">choice(Referentiel!B:B,1,Settings!$B$16)</f>
        <v>2ème année Cinéma d'Animation S1</v>
      </c>
      <c r="J1522" s="6" t="str" cm="1">
        <f t="array" ref="J1522">choice(Referentiel!D:D,1,Settings!$B$16)</f>
        <v>M2</v>
      </c>
      <c r="K1522" s="6" t="str" cm="1">
        <f t="array" ref="K1522">choice(Professeurs!B:B,1,Settings!$B$16)</f>
        <v>Prof36</v>
      </c>
      <c r="L1522" s="5" t="str" cm="1">
        <f t="array" ref="L1522">choice(Referentiel!C:C,1,Settings!$B$16)</f>
        <v/>
      </c>
      <c r="M1522" s="5" t="str" cm="1">
        <f t="array" ref="M1522">choice(Referentiel!E:E,1,Settings!$B$16)</f>
        <v/>
      </c>
      <c r="N1522" s="5" t="str" cm="1">
        <f t="array" ref="N1522">choice(Settings!K:K,1,Settings!$B$16)</f>
        <v/>
      </c>
      <c r="P1522" s="5">
        <f t="shared" si="96"/>
        <v>1</v>
      </c>
    </row>
    <row r="1523" spans="1:16" ht="15.75" customHeight="1" x14ac:dyDescent="0.25">
      <c r="A1523" s="6" t="s">
        <v>1875</v>
      </c>
      <c r="B1523" s="6" cm="1">
        <f t="array" ref="B1523">alea_int(Settings!$B$10,1,Settings!$B$16)</f>
        <v>3</v>
      </c>
      <c r="C1523" s="8">
        <v>46023</v>
      </c>
      <c r="D1523" s="8">
        <f t="shared" si="93"/>
        <v>46387</v>
      </c>
      <c r="E1523" s="6" t="str" cm="1">
        <f t="array" ref="E1523">choice(Groupes!A:A,1,Settings!$B$16)</f>
        <v>G28</v>
      </c>
      <c r="F1523" s="6" t="str">
        <f t="shared" si="94"/>
        <v>G28</v>
      </c>
      <c r="G1523" s="6" t="str">
        <f t="shared" si="95"/>
        <v>Prof55</v>
      </c>
      <c r="H1523" s="6" t="str" cm="1">
        <f t="array" ref="H1523">choice(Referentiel!A:A,1,Settings!$B$16)</f>
        <v>1ère année Groupe 4</v>
      </c>
      <c r="I1523" s="6" t="str" cm="1">
        <f t="array" ref="I1523">choice(Referentiel!B:B,1,Settings!$B$16)</f>
        <v>2ème année Architecture Intérieure S2</v>
      </c>
      <c r="J1523" s="6" t="str" cm="1">
        <f t="array" ref="J1523">choice(Referentiel!D:D,1,Settings!$B$16)</f>
        <v>L3</v>
      </c>
      <c r="K1523" s="6" t="str" cm="1">
        <f t="array" ref="K1523">choice(Professeurs!B:B,1,Settings!$B$16)</f>
        <v>Prof55</v>
      </c>
      <c r="L1523" s="5" t="str" cm="1">
        <f t="array" ref="L1523">choice(Referentiel!C:C,1,Settings!$B$16)</f>
        <v/>
      </c>
      <c r="M1523" s="5" t="str" cm="1">
        <f t="array" ref="M1523">choice(Referentiel!E:E,1,Settings!$B$16)</f>
        <v/>
      </c>
      <c r="N1523" s="5" t="str" cm="1">
        <f t="array" ref="N1523">choice(Settings!K:K,1,Settings!$B$16)</f>
        <v>mardi am</v>
      </c>
      <c r="P1523" s="5">
        <f t="shared" si="96"/>
        <v>5</v>
      </c>
    </row>
    <row r="1524" spans="1:16" ht="15.75" customHeight="1" x14ac:dyDescent="0.25">
      <c r="A1524" s="6" t="s">
        <v>1876</v>
      </c>
      <c r="B1524" s="6" cm="1">
        <f t="array" ref="B1524">alea_int(Settings!$B$10,1,Settings!$B$16)</f>
        <v>3</v>
      </c>
      <c r="C1524" s="8">
        <v>46023</v>
      </c>
      <c r="D1524" s="8">
        <f t="shared" si="93"/>
        <v>46387</v>
      </c>
      <c r="E1524" s="6" t="str" cm="1">
        <f t="array" ref="E1524">choice(Groupes!A:A,1,Settings!$B$16)</f>
        <v>G20</v>
      </c>
      <c r="F1524" s="6" t="str">
        <f t="shared" si="94"/>
        <v>G20</v>
      </c>
      <c r="G1524" s="6" t="str">
        <f t="shared" si="95"/>
        <v>Prof13</v>
      </c>
      <c r="H1524" s="6" t="str" cm="1">
        <f t="array" ref="H1524">choice(Referentiel!A:A,1,Settings!$B$16)</f>
        <v>Gr REFLECTIVE INTERACTION</v>
      </c>
      <c r="I1524" s="6" t="str" cm="1">
        <f t="array" ref="I1524">choice(Referentiel!B:B,1,Settings!$B$16)</f>
        <v>2ème année Design Graphique S2</v>
      </c>
      <c r="J1524" s="6" t="str" cm="1">
        <f t="array" ref="J1524">choice(Referentiel!D:D,1,Settings!$B$16)</f>
        <v>L3</v>
      </c>
      <c r="K1524" s="6" t="str" cm="1">
        <f t="array" ref="K1524">choice(Professeurs!B:B,1,Settings!$B$16)</f>
        <v>Prof13</v>
      </c>
      <c r="L1524" s="5" t="str" cm="1">
        <f t="array" ref="L1524">choice(Referentiel!C:C,1,Settings!$B$16)</f>
        <v>projecteur</v>
      </c>
      <c r="M1524" s="5" t="str" cm="1">
        <f t="array" ref="M1524">choice(Referentiel!E:E,1,Settings!$B$16)</f>
        <v/>
      </c>
      <c r="N1524" s="5" t="str" cm="1">
        <f t="array" ref="N1524">choice(Settings!K:K,1,Settings!$B$16)</f>
        <v>jeudi am</v>
      </c>
      <c r="P1524" s="5">
        <f t="shared" si="96"/>
        <v>5</v>
      </c>
    </row>
    <row r="1525" spans="1:16" ht="15.75" customHeight="1" x14ac:dyDescent="0.25">
      <c r="A1525" s="6" t="s">
        <v>1877</v>
      </c>
      <c r="B1525" s="6" cm="1">
        <f t="array" ref="B1525">alea_int(Settings!$B$10,1,Settings!$B$16)</f>
        <v>1</v>
      </c>
      <c r="C1525" s="8">
        <v>46023</v>
      </c>
      <c r="D1525" s="8">
        <f t="shared" si="93"/>
        <v>46387</v>
      </c>
      <c r="E1525" s="6" t="str" cm="1">
        <f t="array" ref="E1525">choice(Groupes!A:A,1,Settings!$B$16)</f>
        <v>G22</v>
      </c>
      <c r="F1525" s="6" t="str">
        <f t="shared" si="94"/>
        <v>G22</v>
      </c>
      <c r="G1525" s="6" t="str">
        <f t="shared" si="95"/>
        <v>Prof40</v>
      </c>
      <c r="H1525" s="6" t="str" cm="1">
        <f t="array" ref="H1525">choice(Referentiel!A:A,1,Settings!$B$16)</f>
        <v>Design des mondes littoraux</v>
      </c>
      <c r="I1525" s="6" t="str" cm="1">
        <f t="array" ref="I1525">choice(Referentiel!B:B,1,Settings!$B$16)</f>
        <v>2ème année Photo / Vidéo S2</v>
      </c>
      <c r="J1525" s="6" t="str" cm="1">
        <f t="array" ref="J1525">choice(Referentiel!D:D,1,Settings!$B$16)</f>
        <v>L1</v>
      </c>
      <c r="K1525" s="6" t="str" cm="1">
        <f t="array" ref="K1525">choice(Professeurs!B:B,1,Settings!$B$16)</f>
        <v>Prof40</v>
      </c>
      <c r="L1525" s="5" t="str" cm="1">
        <f t="array" ref="L1525">choice(Referentiel!C:C,1,Settings!$B$16)</f>
        <v/>
      </c>
      <c r="M1525" s="5" t="str" cm="1">
        <f t="array" ref="M1525">choice(Referentiel!E:E,1,Settings!$B$16)</f>
        <v/>
      </c>
      <c r="N1525" s="5" t="str" cm="1">
        <f t="array" ref="N1525">choice(Settings!K:K,1,Settings!$B$16)</f>
        <v/>
      </c>
      <c r="P1525" s="5">
        <f t="shared" si="96"/>
        <v>1</v>
      </c>
    </row>
    <row r="1526" spans="1:16" ht="15.75" customHeight="1" x14ac:dyDescent="0.25">
      <c r="A1526" s="6" t="s">
        <v>1878</v>
      </c>
      <c r="B1526" s="6" cm="1">
        <f t="array" ref="B1526">alea_int(Settings!$B$10,1,Settings!$B$16)</f>
        <v>2</v>
      </c>
      <c r="C1526" s="8">
        <v>46023</v>
      </c>
      <c r="D1526" s="8">
        <f t="shared" si="93"/>
        <v>46387</v>
      </c>
      <c r="E1526" s="6" t="str" cm="1">
        <f t="array" ref="E1526">choice(Groupes!A:A,1,Settings!$B$16)</f>
        <v>G27</v>
      </c>
      <c r="F1526" s="6" t="str">
        <f t="shared" si="94"/>
        <v>G27</v>
      </c>
      <c r="G1526" s="6" t="str">
        <f t="shared" si="95"/>
        <v>Prof11</v>
      </c>
      <c r="H1526" s="6" t="str" cm="1">
        <f t="array" ref="H1526">choice(Referentiel!A:A,1,Settings!$B$16)</f>
        <v>Scénographie</v>
      </c>
      <c r="I1526" s="6" t="str" cm="1">
        <f t="array" ref="I1526">choice(Referentiel!B:B,1,Settings!$B$16)</f>
        <v>5ème année Design Graphique S2</v>
      </c>
      <c r="J1526" s="6" t="str" cm="1">
        <f t="array" ref="J1526">choice(Referentiel!D:D,1,Settings!$B$16)</f>
        <v>L1</v>
      </c>
      <c r="K1526" s="6" t="str" cm="1">
        <f t="array" ref="K1526">choice(Professeurs!B:B,1,Settings!$B$16)</f>
        <v>Prof11</v>
      </c>
      <c r="L1526" s="5" t="str" cm="1">
        <f t="array" ref="L1526">choice(Referentiel!C:C,1,Settings!$B$16)</f>
        <v/>
      </c>
      <c r="M1526" s="5" t="str" cm="1">
        <f t="array" ref="M1526">choice(Referentiel!E:E,1,Settings!$B$16)</f>
        <v/>
      </c>
      <c r="N1526" s="5" t="str" cm="1">
        <f t="array" ref="N1526">choice(Settings!K:K,1,Settings!$B$16)</f>
        <v/>
      </c>
      <c r="P1526" s="5">
        <f t="shared" si="96"/>
        <v>2</v>
      </c>
    </row>
    <row r="1527" spans="1:16" ht="15.75" customHeight="1" x14ac:dyDescent="0.25">
      <c r="A1527" s="6" t="s">
        <v>1879</v>
      </c>
      <c r="B1527" s="6" cm="1">
        <f t="array" ref="B1527">alea_int(Settings!$B$10,1,Settings!$B$16)</f>
        <v>2</v>
      </c>
      <c r="C1527" s="8">
        <v>46023</v>
      </c>
      <c r="D1527" s="8">
        <f t="shared" si="93"/>
        <v>46387</v>
      </c>
      <c r="E1527" s="6" t="str" cm="1">
        <f t="array" ref="E1527">choice(Groupes!A:A,1,Settings!$B$16)</f>
        <v>G11</v>
      </c>
      <c r="F1527" s="6" t="str">
        <f t="shared" si="94"/>
        <v>G11</v>
      </c>
      <c r="G1527" s="6" t="str">
        <f t="shared" si="95"/>
        <v>Prof34</v>
      </c>
      <c r="H1527" s="6" t="str" cm="1">
        <f t="array" ref="H1527">choice(Referentiel!A:A,1,Settings!$B$16)</f>
        <v>Cinéma d'Animation</v>
      </c>
      <c r="I1527" s="6" t="str" cm="1">
        <f t="array" ref="I1527">choice(Referentiel!B:B,1,Settings!$B$16)</f>
        <v>1ère Année Groupe 3 S2</v>
      </c>
      <c r="J1527" s="6" t="str" cm="1">
        <f t="array" ref="J1527">choice(Referentiel!D:D,1,Settings!$B$16)</f>
        <v>L1</v>
      </c>
      <c r="K1527" s="6" t="str" cm="1">
        <f t="array" ref="K1527">choice(Professeurs!B:B,1,Settings!$B$16)</f>
        <v>Prof34</v>
      </c>
      <c r="L1527" s="5" t="str" cm="1">
        <f t="array" ref="L1527">choice(Referentiel!C:C,1,Settings!$B$16)</f>
        <v/>
      </c>
      <c r="M1527" s="5" t="str" cm="1">
        <f t="array" ref="M1527">choice(Referentiel!E:E,1,Settings!$B$16)</f>
        <v/>
      </c>
      <c r="N1527" s="5" t="str" cm="1">
        <f t="array" ref="N1527">choice(Settings!K:K,1,Settings!$B$16)</f>
        <v/>
      </c>
      <c r="P1527" s="5">
        <f t="shared" si="96"/>
        <v>2</v>
      </c>
    </row>
    <row r="1528" spans="1:16" ht="15.75" customHeight="1" x14ac:dyDescent="0.25">
      <c r="A1528" s="6" t="s">
        <v>1880</v>
      </c>
      <c r="B1528" s="6" cm="1">
        <f t="array" ref="B1528">alea_int(Settings!$B$10,1,Settings!$B$16)</f>
        <v>2</v>
      </c>
      <c r="C1528" s="8">
        <v>46023</v>
      </c>
      <c r="D1528" s="8">
        <f t="shared" si="93"/>
        <v>46387</v>
      </c>
      <c r="E1528" s="6" t="str" cm="1">
        <f t="array" ref="E1528">choice(Groupes!A:A,1,Settings!$B$16)</f>
        <v>G2</v>
      </c>
      <c r="F1528" s="6" t="str">
        <f t="shared" si="94"/>
        <v>G2</v>
      </c>
      <c r="G1528" s="6" t="str">
        <f t="shared" si="95"/>
        <v>Prof19</v>
      </c>
      <c r="H1528" s="6" t="str" cm="1">
        <f t="array" ref="H1528">choice(Referentiel!A:A,1,Settings!$B$16)</f>
        <v>Design des mondes insulaires</v>
      </c>
      <c r="I1528" s="6" t="str" cm="1">
        <f t="array" ref="I1528">choice(Referentiel!B:B,1,Settings!$B$16)</f>
        <v>1ère Année Groupe 1 S1</v>
      </c>
      <c r="J1528" s="6" t="str" cm="1">
        <f t="array" ref="J1528">choice(Referentiel!D:D,1,Settings!$B$16)</f>
        <v>L3</v>
      </c>
      <c r="K1528" s="6" t="str" cm="1">
        <f t="array" ref="K1528">choice(Professeurs!B:B,1,Settings!$B$16)</f>
        <v>Prof19</v>
      </c>
      <c r="L1528" s="5" t="str" cm="1">
        <f t="array" ref="L1528">choice(Referentiel!C:C,1,Settings!$B$16)</f>
        <v/>
      </c>
      <c r="M1528" s="5" t="str" cm="1">
        <f t="array" ref="M1528">choice(Referentiel!E:E,1,Settings!$B$16)</f>
        <v/>
      </c>
      <c r="N1528" s="5" t="str" cm="1">
        <f t="array" ref="N1528">choice(Settings!K:K,1,Settings!$B$16)</f>
        <v/>
      </c>
      <c r="P1528" s="5">
        <f t="shared" si="96"/>
        <v>2</v>
      </c>
    </row>
    <row r="1529" spans="1:16" ht="15.75" customHeight="1" x14ac:dyDescent="0.25">
      <c r="A1529" s="6" t="s">
        <v>1881</v>
      </c>
      <c r="B1529" s="6" cm="1">
        <f t="array" ref="B1529">alea_int(Settings!$B$10,1,Settings!$B$16)</f>
        <v>2</v>
      </c>
      <c r="C1529" s="8">
        <v>46023</v>
      </c>
      <c r="D1529" s="8">
        <f t="shared" si="93"/>
        <v>46387</v>
      </c>
      <c r="E1529" s="6" t="str" cm="1">
        <f t="array" ref="E1529">choice(Groupes!A:A,1,Settings!$B$16)</f>
        <v>G13</v>
      </c>
      <c r="F1529" s="6" t="str">
        <f t="shared" si="94"/>
        <v>G13</v>
      </c>
      <c r="G1529" s="6" t="str">
        <f t="shared" si="95"/>
        <v>Prof34</v>
      </c>
      <c r="H1529" s="6" t="str" cm="1">
        <f t="array" ref="H1529">choice(Referentiel!A:A,1,Settings!$B$16)</f>
        <v>Design Objet</v>
      </c>
      <c r="I1529" s="6" t="str" cm="1">
        <f t="array" ref="I1529">choice(Referentiel!B:B,1,Settings!$B$16)</f>
        <v>3ème année Design Vêtement S2</v>
      </c>
      <c r="J1529" s="6" t="str" cm="1">
        <f t="array" ref="J1529">choice(Referentiel!D:D,1,Settings!$B$16)</f>
        <v>M2</v>
      </c>
      <c r="K1529" s="6" t="str" cm="1">
        <f t="array" ref="K1529">choice(Professeurs!B:B,1,Settings!$B$16)</f>
        <v>Prof34</v>
      </c>
      <c r="L1529" s="5" t="str" cm="1">
        <f t="array" ref="L1529">choice(Referentiel!C:C,1,Settings!$B$16)</f>
        <v>pupitre</v>
      </c>
      <c r="M1529" s="5" t="str" cm="1">
        <f t="array" ref="M1529">choice(Referentiel!E:E,1,Settings!$B$16)</f>
        <v/>
      </c>
      <c r="N1529" s="5" t="str" cm="1">
        <f t="array" ref="N1529">choice(Settings!K:K,1,Settings!$B$16)</f>
        <v>mercredi ap</v>
      </c>
      <c r="P1529" s="5">
        <f t="shared" si="96"/>
        <v>4</v>
      </c>
    </row>
    <row r="1530" spans="1:16" ht="15.75" customHeight="1" x14ac:dyDescent="0.25">
      <c r="A1530" s="6" t="s">
        <v>1882</v>
      </c>
      <c r="B1530" s="6" cm="1">
        <f t="array" ref="B1530">alea_int(Settings!$B$10,1,Settings!$B$16)</f>
        <v>2</v>
      </c>
      <c r="C1530" s="8">
        <v>46023</v>
      </c>
      <c r="D1530" s="8">
        <f t="shared" si="93"/>
        <v>46387</v>
      </c>
      <c r="E1530" s="6" t="str" cm="1">
        <f t="array" ref="E1530">choice(Groupes!A:A,1,Settings!$B$16)</f>
        <v>G22</v>
      </c>
      <c r="F1530" s="6" t="str">
        <f t="shared" si="94"/>
        <v>G22</v>
      </c>
      <c r="G1530" s="6" t="str">
        <f t="shared" si="95"/>
        <v>Prof11</v>
      </c>
      <c r="H1530" s="6" t="str" cm="1">
        <f t="array" ref="H1530">choice(Referentiel!A:A,1,Settings!$B$16)</f>
        <v>Gr SOFT MATTERS</v>
      </c>
      <c r="I1530" s="6" t="str" cm="1">
        <f t="array" ref="I1530">choice(Referentiel!B:B,1,Settings!$B$16)</f>
        <v>2ème année Cinéma d'Animation S2</v>
      </c>
      <c r="J1530" s="6" t="str" cm="1">
        <f t="array" ref="J1530">choice(Referentiel!D:D,1,Settings!$B$16)</f>
        <v>L2</v>
      </c>
      <c r="K1530" s="6" t="str" cm="1">
        <f t="array" ref="K1530">choice(Professeurs!B:B,1,Settings!$B$16)</f>
        <v>Prof11</v>
      </c>
      <c r="L1530" s="5" t="str" cm="1">
        <f t="array" ref="L1530">choice(Referentiel!C:C,1,Settings!$B$16)</f>
        <v/>
      </c>
      <c r="M1530" s="5" t="str" cm="1">
        <f t="array" ref="M1530">choice(Referentiel!E:E,1,Settings!$B$16)</f>
        <v/>
      </c>
      <c r="N1530" s="5" t="str" cm="1">
        <f t="array" ref="N1530">choice(Settings!K:K,1,Settings!$B$16)</f>
        <v/>
      </c>
      <c r="P1530" s="5">
        <f t="shared" si="96"/>
        <v>2</v>
      </c>
    </row>
    <row r="1531" spans="1:16" ht="15.75" customHeight="1" x14ac:dyDescent="0.25">
      <c r="A1531" s="6" t="s">
        <v>1883</v>
      </c>
      <c r="B1531" s="6" cm="1">
        <f t="array" ref="B1531">alea_int(Settings!$B$10,1,Settings!$B$16)</f>
        <v>3</v>
      </c>
      <c r="C1531" s="8">
        <v>46023</v>
      </c>
      <c r="D1531" s="8">
        <f t="shared" si="93"/>
        <v>46387</v>
      </c>
      <c r="E1531" s="6" t="str" cm="1">
        <f t="array" ref="E1531">choice(Groupes!A:A,1,Settings!$B$16)</f>
        <v>G14</v>
      </c>
      <c r="F1531" s="6" t="str">
        <f t="shared" si="94"/>
        <v>G14</v>
      </c>
      <c r="G1531" s="6" t="str">
        <f t="shared" si="95"/>
        <v>Prof12</v>
      </c>
      <c r="H1531" s="6" t="str" cm="1">
        <f t="array" ref="H1531">choice(Referentiel!A:A,1,Settings!$B$16)</f>
        <v>Design Graphique</v>
      </c>
      <c r="I1531" s="6" t="str" cm="1">
        <f t="array" ref="I1531">choice(Referentiel!B:B,1,Settings!$B$16)</f>
        <v>2ème année Design Vêtement S2</v>
      </c>
      <c r="J1531" s="6" t="str" cm="1">
        <f t="array" ref="J1531">choice(Referentiel!D:D,1,Settings!$B$16)</f>
        <v>L3</v>
      </c>
      <c r="K1531" s="6" t="str" cm="1">
        <f t="array" ref="K1531">choice(Professeurs!B:B,1,Settings!$B$16)</f>
        <v>Prof12</v>
      </c>
      <c r="L1531" s="5" t="str" cm="1">
        <f t="array" ref="L1531">choice(Referentiel!C:C,1,Settings!$B$16)</f>
        <v/>
      </c>
      <c r="M1531" s="5" t="str" cm="1">
        <f t="array" ref="M1531">choice(Referentiel!E:E,1,Settings!$B$16)</f>
        <v/>
      </c>
      <c r="N1531" s="5" t="str" cm="1">
        <f t="array" ref="N1531">choice(Settings!K:K,1,Settings!$B$16)</f>
        <v/>
      </c>
      <c r="P1531" s="5">
        <f t="shared" si="96"/>
        <v>3</v>
      </c>
    </row>
    <row r="1532" spans="1:16" ht="15.75" customHeight="1" x14ac:dyDescent="0.25">
      <c r="A1532" s="6" t="s">
        <v>1884</v>
      </c>
      <c r="B1532" s="6" cm="1">
        <f t="array" ref="B1532">alea_int(Settings!$B$10,1,Settings!$B$16)</f>
        <v>3</v>
      </c>
      <c r="C1532" s="8">
        <v>46023</v>
      </c>
      <c r="D1532" s="8">
        <f t="shared" si="93"/>
        <v>46387</v>
      </c>
      <c r="E1532" s="6" t="str" cm="1">
        <f t="array" ref="E1532">choice(Groupes!A:A,1,Settings!$B$16)</f>
        <v>G23</v>
      </c>
      <c r="F1532" s="6" t="str">
        <f t="shared" si="94"/>
        <v>G23</v>
      </c>
      <c r="G1532" s="6" t="str">
        <f t="shared" si="95"/>
        <v>Prof15</v>
      </c>
      <c r="H1532" s="6" t="str" cm="1">
        <f t="array" ref="H1532">choice(Referentiel!A:A,1,Settings!$B$16)</f>
        <v>Architecture Intérieure</v>
      </c>
      <c r="I1532" s="6" t="str" cm="1">
        <f t="array" ref="I1532">choice(Referentiel!B:B,1,Settings!$B$16)</f>
        <v>Césure S1</v>
      </c>
      <c r="J1532" s="6" t="str" cm="1">
        <f t="array" ref="J1532">choice(Referentiel!D:D,1,Settings!$B$16)</f>
        <v>L2</v>
      </c>
      <c r="K1532" s="6" t="str" cm="1">
        <f t="array" ref="K1532">choice(Professeurs!B:B,1,Settings!$B$16)</f>
        <v>Prof15</v>
      </c>
      <c r="L1532" s="5" t="str" cm="1">
        <f t="array" ref="L1532">choice(Referentiel!C:C,1,Settings!$B$16)</f>
        <v/>
      </c>
      <c r="M1532" s="5" t="str" cm="1">
        <f t="array" ref="M1532">choice(Referentiel!E:E,1,Settings!$B$16)</f>
        <v/>
      </c>
      <c r="N1532" s="5" t="str" cm="1">
        <f t="array" ref="N1532">choice(Settings!K:K,1,Settings!$B$16)</f>
        <v>lundi am</v>
      </c>
      <c r="P1532" s="5">
        <f t="shared" si="96"/>
        <v>5</v>
      </c>
    </row>
    <row r="1533" spans="1:16" ht="15.75" customHeight="1" x14ac:dyDescent="0.25">
      <c r="A1533" s="6" t="s">
        <v>1885</v>
      </c>
      <c r="B1533" s="6" cm="1">
        <f t="array" ref="B1533">alea_int(Settings!$B$10,1,Settings!$B$16)</f>
        <v>1</v>
      </c>
      <c r="C1533" s="8">
        <v>46023</v>
      </c>
      <c r="D1533" s="8">
        <f t="shared" si="93"/>
        <v>46387</v>
      </c>
      <c r="E1533" s="6" t="str" cm="1">
        <f t="array" ref="E1533">choice(Groupes!A:A,1,Settings!$B$16)</f>
        <v>G29</v>
      </c>
      <c r="F1533" s="6" t="str">
        <f t="shared" si="94"/>
        <v>G29</v>
      </c>
      <c r="G1533" s="6" t="str">
        <f t="shared" si="95"/>
        <v>Prof53</v>
      </c>
      <c r="H1533" s="6" t="str" cm="1">
        <f t="array" ref="H1533">choice(Referentiel!A:A,1,Settings!$B$16)</f>
        <v>Design Objet</v>
      </c>
      <c r="I1533" s="6" t="str" cm="1">
        <f t="array" ref="I1533">choice(Referentiel!B:B,1,Settings!$B$16)</f>
        <v>4ème année Scénographie S1</v>
      </c>
      <c r="J1533" s="6" t="str" cm="1">
        <f t="array" ref="J1533">choice(Referentiel!D:D,1,Settings!$B$16)</f>
        <v>L1</v>
      </c>
      <c r="K1533" s="6" t="str" cm="1">
        <f t="array" ref="K1533">choice(Professeurs!B:B,1,Settings!$B$16)</f>
        <v>Prof53</v>
      </c>
      <c r="L1533" s="5" t="str" cm="1">
        <f t="array" ref="L1533">choice(Referentiel!C:C,1,Settings!$B$16)</f>
        <v/>
      </c>
      <c r="M1533" s="5" t="str" cm="1">
        <f t="array" ref="M1533">choice(Referentiel!E:E,1,Settings!$B$16)</f>
        <v/>
      </c>
      <c r="N1533" s="5" t="str" cm="1">
        <f t="array" ref="N1533">choice(Settings!K:K,1,Settings!$B$16)</f>
        <v/>
      </c>
      <c r="P1533" s="5">
        <f t="shared" si="96"/>
        <v>1</v>
      </c>
    </row>
    <row r="1534" spans="1:16" ht="15.75" customHeight="1" x14ac:dyDescent="0.25">
      <c r="A1534" s="6" t="s">
        <v>1886</v>
      </c>
      <c r="B1534" s="6" cm="1">
        <f t="array" ref="B1534">alea_int(Settings!$B$10,1,Settings!$B$16)</f>
        <v>1</v>
      </c>
      <c r="C1534" s="8">
        <v>46023</v>
      </c>
      <c r="D1534" s="8">
        <f t="shared" si="93"/>
        <v>46387</v>
      </c>
      <c r="E1534" s="6" t="str" cm="1">
        <f t="array" ref="E1534">choice(Groupes!A:A,1,Settings!$B$16)</f>
        <v>G12</v>
      </c>
      <c r="F1534" s="6" t="str">
        <f t="shared" si="94"/>
        <v>G12</v>
      </c>
      <c r="G1534" s="6" t="str">
        <f t="shared" si="95"/>
        <v>Prof24</v>
      </c>
      <c r="H1534" s="6" t="str" cm="1">
        <f t="array" ref="H1534">choice(Referentiel!A:A,1,Settings!$B$16)</f>
        <v>Gr SPATIAL MEDIA</v>
      </c>
      <c r="I1534" s="6" t="str" cm="1">
        <f t="array" ref="I1534">choice(Referentiel!B:B,1,Settings!$B$16)</f>
        <v>3ème année Art-Espace S2</v>
      </c>
      <c r="J1534" s="6" t="str" cm="1">
        <f t="array" ref="J1534">choice(Referentiel!D:D,1,Settings!$B$16)</f>
        <v>L3</v>
      </c>
      <c r="K1534" s="6" t="str" cm="1">
        <f t="array" ref="K1534">choice(Professeurs!B:B,1,Settings!$B$16)</f>
        <v>Prof24</v>
      </c>
      <c r="L1534" s="5" t="str" cm="1">
        <f t="array" ref="L1534">choice(Referentiel!C:C,1,Settings!$B$16)</f>
        <v/>
      </c>
      <c r="M1534" s="5" t="str" cm="1">
        <f t="array" ref="M1534">choice(Referentiel!E:E,1,Settings!$B$16)</f>
        <v/>
      </c>
      <c r="N1534" s="5" t="str" cm="1">
        <f t="array" ref="N1534">choice(Settings!K:K,1,Settings!$B$16)</f>
        <v>vendredi pm</v>
      </c>
      <c r="P1534" s="5">
        <f t="shared" si="96"/>
        <v>3</v>
      </c>
    </row>
    <row r="1535" spans="1:16" ht="15.75" customHeight="1" x14ac:dyDescent="0.25">
      <c r="A1535" s="6" t="s">
        <v>1887</v>
      </c>
      <c r="B1535" s="6" cm="1">
        <f t="array" ref="B1535">alea_int(Settings!$B$10,1,Settings!$B$16)</f>
        <v>2</v>
      </c>
      <c r="C1535" s="8">
        <v>46023</v>
      </c>
      <c r="D1535" s="8">
        <f t="shared" si="93"/>
        <v>46387</v>
      </c>
      <c r="E1535" s="6" t="str" cm="1">
        <f t="array" ref="E1535">choice(Groupes!A:A,1,Settings!$B$16)</f>
        <v>G14</v>
      </c>
      <c r="F1535" s="6" t="str">
        <f t="shared" si="94"/>
        <v>G14</v>
      </c>
      <c r="G1535" s="6" t="str">
        <f t="shared" si="95"/>
        <v>Prof7</v>
      </c>
      <c r="H1535" s="6" t="str" cm="1">
        <f t="array" ref="H1535">choice(Referentiel!A:A,1,Settings!$B$16)</f>
        <v>Art-Espace</v>
      </c>
      <c r="I1535" s="6" t="str" cm="1">
        <f t="array" ref="I1535">choice(Referentiel!B:B,1,Settings!$B$16)</f>
        <v>2ème année Architecture Intérieure S1</v>
      </c>
      <c r="J1535" s="6" t="str" cm="1">
        <f t="array" ref="J1535">choice(Referentiel!D:D,1,Settings!$B$16)</f>
        <v>L1</v>
      </c>
      <c r="K1535" s="6" t="str" cm="1">
        <f t="array" ref="K1535">choice(Professeurs!B:B,1,Settings!$B$16)</f>
        <v>Prof7</v>
      </c>
      <c r="L1535" s="5" t="str" cm="1">
        <f t="array" ref="L1535">choice(Referentiel!C:C,1,Settings!$B$16)</f>
        <v/>
      </c>
      <c r="M1535" s="5" t="str" cm="1">
        <f t="array" ref="M1535">choice(Referentiel!E:E,1,Settings!$B$16)</f>
        <v/>
      </c>
      <c r="N1535" s="5" t="str" cm="1">
        <f t="array" ref="N1535">choice(Settings!K:K,1,Settings!$B$16)</f>
        <v/>
      </c>
      <c r="P1535" s="5">
        <f t="shared" si="96"/>
        <v>2</v>
      </c>
    </row>
    <row r="1536" spans="1:16" ht="15.75" customHeight="1" x14ac:dyDescent="0.25">
      <c r="A1536" s="6" t="s">
        <v>1888</v>
      </c>
      <c r="B1536" s="6" cm="1">
        <f t="array" ref="B1536">alea_int(Settings!$B$10,1,Settings!$B$16)</f>
        <v>2</v>
      </c>
      <c r="C1536" s="8">
        <v>46023</v>
      </c>
      <c r="D1536" s="8">
        <f t="shared" si="93"/>
        <v>46387</v>
      </c>
      <c r="E1536" s="6" t="str" cm="1">
        <f t="array" ref="E1536">choice(Groupes!A:A,1,Settings!$B$16)</f>
        <v>G14</v>
      </c>
      <c r="F1536" s="6" t="str">
        <f t="shared" si="94"/>
        <v>G14</v>
      </c>
      <c r="G1536" s="6" t="str">
        <f t="shared" si="95"/>
        <v>Prof42</v>
      </c>
      <c r="H1536" s="6" t="str" cm="1">
        <f t="array" ref="H1536">choice(Referentiel!A:A,1,Settings!$B$16)</f>
        <v>Photo / Vidéo</v>
      </c>
      <c r="I1536" s="6" t="str" cm="1">
        <f t="array" ref="I1536">choice(Referentiel!B:B,1,Settings!$B$16)</f>
        <v>1ère Année Groupe 2 S2</v>
      </c>
      <c r="J1536" s="6" t="str" cm="1">
        <f t="array" ref="J1536">choice(Referentiel!D:D,1,Settings!$B$16)</f>
        <v>L1</v>
      </c>
      <c r="K1536" s="6" t="str" cm="1">
        <f t="array" ref="K1536">choice(Professeurs!B:B,1,Settings!$B$16)</f>
        <v>Prof42</v>
      </c>
      <c r="L1536" s="5" t="str" cm="1">
        <f t="array" ref="L1536">choice(Referentiel!C:C,1,Settings!$B$16)</f>
        <v/>
      </c>
      <c r="M1536" s="5" t="str" cm="1">
        <f t="array" ref="M1536">choice(Referentiel!E:E,1,Settings!$B$16)</f>
        <v>Salle8</v>
      </c>
      <c r="N1536" s="5" t="str" cm="1">
        <f t="array" ref="N1536">choice(Settings!K:K,1,Settings!$B$16)</f>
        <v>vendredi am</v>
      </c>
      <c r="P1536" s="5">
        <f t="shared" si="96"/>
        <v>6</v>
      </c>
    </row>
    <row r="1537" spans="1:16" ht="15.75" customHeight="1" x14ac:dyDescent="0.25">
      <c r="A1537" s="6" t="s">
        <v>1889</v>
      </c>
      <c r="B1537" s="6" cm="1">
        <f t="array" ref="B1537">alea_int(Settings!$B$10,1,Settings!$B$16)</f>
        <v>2</v>
      </c>
      <c r="C1537" s="8">
        <v>46023</v>
      </c>
      <c r="D1537" s="8">
        <f t="shared" si="93"/>
        <v>46387</v>
      </c>
      <c r="E1537" s="6" t="str" cm="1">
        <f t="array" ref="E1537">choice(Groupes!A:A,1,Settings!$B$16)</f>
        <v>G16</v>
      </c>
      <c r="F1537" s="6" t="str">
        <f t="shared" si="94"/>
        <v>G16</v>
      </c>
      <c r="G1537" s="6" t="str">
        <f t="shared" si="95"/>
        <v>Prof17</v>
      </c>
      <c r="H1537" s="6" t="str" cm="1">
        <f t="array" ref="H1537">choice(Referentiel!A:A,1,Settings!$B$16)</f>
        <v>Gr ART, DESIGN, SOCIETE</v>
      </c>
      <c r="I1537" s="6" t="str" cm="1">
        <f t="array" ref="I1537">choice(Referentiel!B:B,1,Settings!$B$16)</f>
        <v>2ème année Design Graphique S2</v>
      </c>
      <c r="J1537" s="6" t="str" cm="1">
        <f t="array" ref="J1537">choice(Referentiel!D:D,1,Settings!$B$16)</f>
        <v>M1</v>
      </c>
      <c r="K1537" s="6" t="str" cm="1">
        <f t="array" ref="K1537">choice(Professeurs!B:B,1,Settings!$B$16)</f>
        <v>Prof17</v>
      </c>
      <c r="L1537" s="5" t="str" cm="1">
        <f t="array" ref="L1537">choice(Referentiel!C:C,1,Settings!$B$16)</f>
        <v/>
      </c>
      <c r="M1537" s="5" t="str" cm="1">
        <f t="array" ref="M1537">choice(Referentiel!E:E,1,Settings!$B$16)</f>
        <v/>
      </c>
      <c r="N1537" s="5" t="str" cm="1">
        <f t="array" ref="N1537">choice(Settings!K:K,1,Settings!$B$16)</f>
        <v/>
      </c>
      <c r="P1537" s="5">
        <f t="shared" si="96"/>
        <v>2</v>
      </c>
    </row>
    <row r="1538" spans="1:16" ht="15.75" customHeight="1" x14ac:dyDescent="0.25">
      <c r="A1538" s="6" t="s">
        <v>1890</v>
      </c>
      <c r="B1538" s="6" cm="1">
        <f t="array" ref="B1538">alea_int(Settings!$B$10,1,Settings!$B$16)</f>
        <v>1</v>
      </c>
      <c r="C1538" s="8">
        <v>46023</v>
      </c>
      <c r="D1538" s="8">
        <f t="shared" si="93"/>
        <v>46387</v>
      </c>
      <c r="E1538" s="6" t="str" cm="1">
        <f t="array" ref="E1538">choice(Groupes!A:A,1,Settings!$B$16)</f>
        <v>G3</v>
      </c>
      <c r="F1538" s="6" t="str">
        <f t="shared" si="94"/>
        <v>G3</v>
      </c>
      <c r="G1538" s="6" t="str">
        <f t="shared" si="95"/>
        <v>Prof26</v>
      </c>
      <c r="H1538" s="6" t="str" cm="1">
        <f t="array" ref="H1538">choice(Referentiel!A:A,1,Settings!$B$16)</f>
        <v>1ère année Groupe 2</v>
      </c>
      <c r="I1538" s="6" t="str" cm="1">
        <f t="array" ref="I1538">choice(Referentiel!B:B,1,Settings!$B$16)</f>
        <v>5ème année Architecture Intérieure S1</v>
      </c>
      <c r="J1538" s="6" t="str" cm="1">
        <f t="array" ref="J1538">choice(Referentiel!D:D,1,Settings!$B$16)</f>
        <v>L3</v>
      </c>
      <c r="K1538" s="6" t="str" cm="1">
        <f t="array" ref="K1538">choice(Professeurs!B:B,1,Settings!$B$16)</f>
        <v>Prof26</v>
      </c>
      <c r="L1538" s="5" t="str" cm="1">
        <f t="array" ref="L1538">choice(Referentiel!C:C,1,Settings!$B$16)</f>
        <v/>
      </c>
      <c r="M1538" s="5" t="str" cm="1">
        <f t="array" ref="M1538">choice(Referentiel!E:E,1,Settings!$B$16)</f>
        <v/>
      </c>
      <c r="N1538" s="5" t="str" cm="1">
        <f t="array" ref="N1538">choice(Settings!K:K,1,Settings!$B$16)</f>
        <v>jeudi am</v>
      </c>
      <c r="P1538" s="5">
        <f t="shared" si="96"/>
        <v>3</v>
      </c>
    </row>
    <row r="1539" spans="1:16" ht="15.75" customHeight="1" x14ac:dyDescent="0.25">
      <c r="A1539" s="6" t="s">
        <v>1891</v>
      </c>
      <c r="B1539" s="6" cm="1">
        <f t="array" ref="B1539">alea_int(Settings!$B$10,1,Settings!$B$16)</f>
        <v>3</v>
      </c>
      <c r="C1539" s="8">
        <v>46023</v>
      </c>
      <c r="D1539" s="8">
        <f t="shared" ref="D1539:D1602" si="97">C1539+364</f>
        <v>46387</v>
      </c>
      <c r="E1539" s="6" t="str" cm="1">
        <f t="array" ref="E1539">choice(Groupes!A:A,1,Settings!$B$16)</f>
        <v>G7</v>
      </c>
      <c r="F1539" s="6" t="str">
        <f t="shared" ref="F1539:F1602" si="98">E1539</f>
        <v>G7</v>
      </c>
      <c r="G1539" s="6" t="str">
        <f t="shared" ref="G1539:G1602" si="99">K1539</f>
        <v>Prof32</v>
      </c>
      <c r="H1539" s="6" t="str" cm="1">
        <f t="array" ref="H1539">choice(Referentiel!A:A,1,Settings!$B$16)</f>
        <v>Gr SYMBIOSE</v>
      </c>
      <c r="I1539" s="6" t="str" cm="1">
        <f t="array" ref="I1539">choice(Referentiel!B:B,1,Settings!$B$16)</f>
        <v>5ème année Design Vêtement S2</v>
      </c>
      <c r="J1539" s="6" t="str" cm="1">
        <f t="array" ref="J1539">choice(Referentiel!D:D,1,Settings!$B$16)</f>
        <v>M2</v>
      </c>
      <c r="K1539" s="6" t="str" cm="1">
        <f t="array" ref="K1539">choice(Professeurs!B:B,1,Settings!$B$16)</f>
        <v>Prof32</v>
      </c>
      <c r="L1539" s="5" t="str" cm="1">
        <f t="array" ref="L1539">choice(Referentiel!C:C,1,Settings!$B$16)</f>
        <v/>
      </c>
      <c r="M1539" s="5" t="str" cm="1">
        <f t="array" ref="M1539">choice(Referentiel!E:E,1,Settings!$B$16)</f>
        <v/>
      </c>
      <c r="N1539" s="5" t="str" cm="1">
        <f t="array" ref="N1539">choice(Settings!K:K,1,Settings!$B$16)</f>
        <v/>
      </c>
      <c r="P1539" s="5">
        <f t="shared" ref="P1539:P1602" si="100">B1539+IF(M1539&lt;&gt;"",2,0)+IF(N1539&lt;&gt;"",2,0)</f>
        <v>3</v>
      </c>
    </row>
    <row r="1540" spans="1:16" ht="15.75" customHeight="1" x14ac:dyDescent="0.25">
      <c r="A1540" s="6" t="s">
        <v>1892</v>
      </c>
      <c r="B1540" s="6" cm="1">
        <f t="array" ref="B1540">alea_int(Settings!$B$10,1,Settings!$B$16)</f>
        <v>2</v>
      </c>
      <c r="C1540" s="8">
        <v>46023</v>
      </c>
      <c r="D1540" s="8">
        <f t="shared" si="97"/>
        <v>46387</v>
      </c>
      <c r="E1540" s="6" t="str" cm="1">
        <f t="array" ref="E1540">choice(Groupes!A:A,1,Settings!$B$16)</f>
        <v>G24</v>
      </c>
      <c r="F1540" s="6" t="str">
        <f t="shared" si="98"/>
        <v>G24</v>
      </c>
      <c r="G1540" s="6" t="str">
        <f t="shared" si="99"/>
        <v>Prof35</v>
      </c>
      <c r="H1540" s="6" t="str" cm="1">
        <f t="array" ref="H1540">choice(Referentiel!A:A,1,Settings!$B$16)</f>
        <v>Design Textile et Matière</v>
      </c>
      <c r="I1540" s="6" t="str" cm="1">
        <f t="array" ref="I1540">choice(Referentiel!B:B,1,Settings!$B$16)</f>
        <v>3ème année Scénographie S1</v>
      </c>
      <c r="J1540" s="6" t="str" cm="1">
        <f t="array" ref="J1540">choice(Referentiel!D:D,1,Settings!$B$16)</f>
        <v>M1</v>
      </c>
      <c r="K1540" s="6" t="str" cm="1">
        <f t="array" ref="K1540">choice(Professeurs!B:B,1,Settings!$B$16)</f>
        <v>Prof35</v>
      </c>
      <c r="L1540" s="5" t="str" cm="1">
        <f t="array" ref="L1540">choice(Referentiel!C:C,1,Settings!$B$16)</f>
        <v/>
      </c>
      <c r="M1540" s="5" t="str" cm="1">
        <f t="array" ref="M1540">choice(Referentiel!E:E,1,Settings!$B$16)</f>
        <v/>
      </c>
      <c r="N1540" s="5" t="str" cm="1">
        <f t="array" ref="N1540">choice(Settings!K:K,1,Settings!$B$16)</f>
        <v/>
      </c>
      <c r="P1540" s="5">
        <f t="shared" si="100"/>
        <v>2</v>
      </c>
    </row>
    <row r="1541" spans="1:16" ht="15.75" customHeight="1" x14ac:dyDescent="0.25">
      <c r="A1541" s="6" t="s">
        <v>1893</v>
      </c>
      <c r="B1541" s="6" cm="1">
        <f t="array" ref="B1541">alea_int(Settings!$B$10,1,Settings!$B$16)</f>
        <v>3</v>
      </c>
      <c r="C1541" s="8">
        <v>46023</v>
      </c>
      <c r="D1541" s="8">
        <f t="shared" si="97"/>
        <v>46387</v>
      </c>
      <c r="E1541" s="6" t="str" cm="1">
        <f t="array" ref="E1541">choice(Groupes!A:A,1,Settings!$B$16)</f>
        <v>G4</v>
      </c>
      <c r="F1541" s="6" t="str">
        <f t="shared" si="98"/>
        <v>G4</v>
      </c>
      <c r="G1541" s="6" t="str">
        <f t="shared" si="99"/>
        <v>Prof27</v>
      </c>
      <c r="H1541" s="6" t="str" cm="1">
        <f t="array" ref="H1541">choice(Referentiel!A:A,1,Settings!$B$16)</f>
        <v>Art-Espace</v>
      </c>
      <c r="I1541" s="6" t="str" cm="1">
        <f t="array" ref="I1541">choice(Referentiel!B:B,1,Settings!$B$16)</f>
        <v>4ème année Design Vêtement S1</v>
      </c>
      <c r="J1541" s="6" t="str" cm="1">
        <f t="array" ref="J1541">choice(Referentiel!D:D,1,Settings!$B$16)</f>
        <v>L2</v>
      </c>
      <c r="K1541" s="6" t="str" cm="1">
        <f t="array" ref="K1541">choice(Professeurs!B:B,1,Settings!$B$16)</f>
        <v>Prof27</v>
      </c>
      <c r="L1541" s="5" t="str" cm="1">
        <f t="array" ref="L1541">choice(Referentiel!C:C,1,Settings!$B$16)</f>
        <v/>
      </c>
      <c r="M1541" s="5" t="str" cm="1">
        <f t="array" ref="M1541">choice(Referentiel!E:E,1,Settings!$B$16)</f>
        <v/>
      </c>
      <c r="N1541" s="5" t="str" cm="1">
        <f t="array" ref="N1541">choice(Settings!K:K,1,Settings!$B$16)</f>
        <v/>
      </c>
      <c r="P1541" s="5">
        <f t="shared" si="100"/>
        <v>3</v>
      </c>
    </row>
    <row r="1542" spans="1:16" ht="15.75" customHeight="1" x14ac:dyDescent="0.25">
      <c r="A1542" s="6" t="s">
        <v>1894</v>
      </c>
      <c r="B1542" s="6" cm="1">
        <f t="array" ref="B1542">alea_int(Settings!$B$10,1,Settings!$B$16)</f>
        <v>2</v>
      </c>
      <c r="C1542" s="8">
        <v>46023</v>
      </c>
      <c r="D1542" s="8">
        <f t="shared" si="97"/>
        <v>46387</v>
      </c>
      <c r="E1542" s="6" t="str" cm="1">
        <f t="array" ref="E1542">choice(Groupes!A:A,1,Settings!$B$16)</f>
        <v>G9</v>
      </c>
      <c r="F1542" s="6" t="str">
        <f t="shared" si="98"/>
        <v>G9</v>
      </c>
      <c r="G1542" s="6" t="str">
        <f t="shared" si="99"/>
        <v>Prof30</v>
      </c>
      <c r="H1542" s="6" t="str" cm="1">
        <f t="array" ref="H1542">choice(Referentiel!A:A,1,Settings!$B$16)</f>
        <v>Design des mondes insulaires</v>
      </c>
      <c r="I1542" s="6" t="str" cm="1">
        <f t="array" ref="I1542">choice(Referentiel!B:B,1,Settings!$B$16)</f>
        <v>2ème année Photo / Vidéo S1</v>
      </c>
      <c r="J1542" s="6" t="str" cm="1">
        <f t="array" ref="J1542">choice(Referentiel!D:D,1,Settings!$B$16)</f>
        <v>M1</v>
      </c>
      <c r="K1542" s="6" t="str" cm="1">
        <f t="array" ref="K1542">choice(Professeurs!B:B,1,Settings!$B$16)</f>
        <v>Prof30</v>
      </c>
      <c r="L1542" s="5" t="str" cm="1">
        <f t="array" ref="L1542">choice(Referentiel!C:C,1,Settings!$B$16)</f>
        <v/>
      </c>
      <c r="M1542" s="5" t="str" cm="1">
        <f t="array" ref="M1542">choice(Referentiel!E:E,1,Settings!$B$16)</f>
        <v/>
      </c>
      <c r="N1542" s="5" t="str" cm="1">
        <f t="array" ref="N1542">choice(Settings!K:K,1,Settings!$B$16)</f>
        <v/>
      </c>
      <c r="P1542" s="5">
        <f t="shared" si="100"/>
        <v>2</v>
      </c>
    </row>
    <row r="1543" spans="1:16" ht="15.75" customHeight="1" x14ac:dyDescent="0.25">
      <c r="A1543" s="6" t="s">
        <v>1895</v>
      </c>
      <c r="B1543" s="6" cm="1">
        <f t="array" ref="B1543">alea_int(Settings!$B$10,1,Settings!$B$16)</f>
        <v>1</v>
      </c>
      <c r="C1543" s="8">
        <v>46023</v>
      </c>
      <c r="D1543" s="8">
        <f t="shared" si="97"/>
        <v>46387</v>
      </c>
      <c r="E1543" s="6" t="str" cm="1">
        <f t="array" ref="E1543">choice(Groupes!A:A,1,Settings!$B$16)</f>
        <v>G6</v>
      </c>
      <c r="F1543" s="6" t="str">
        <f t="shared" si="98"/>
        <v>G6</v>
      </c>
      <c r="G1543" s="6" t="str">
        <f t="shared" si="99"/>
        <v>Prof32</v>
      </c>
      <c r="H1543" s="6" t="str" cm="1">
        <f t="array" ref="H1543">choice(Referentiel!A:A,1,Settings!$B$16)</f>
        <v>Art-Espace</v>
      </c>
      <c r="I1543" s="6" t="str" cm="1">
        <f t="array" ref="I1543">choice(Referentiel!B:B,1,Settings!$B$16)</f>
        <v>3ème année Design Textile et Matière S2</v>
      </c>
      <c r="J1543" s="6" t="str" cm="1">
        <f t="array" ref="J1543">choice(Referentiel!D:D,1,Settings!$B$16)</f>
        <v>L1</v>
      </c>
      <c r="K1543" s="6" t="str" cm="1">
        <f t="array" ref="K1543">choice(Professeurs!B:B,1,Settings!$B$16)</f>
        <v>Prof32</v>
      </c>
      <c r="L1543" s="5" t="str" cm="1">
        <f t="array" ref="L1543">choice(Referentiel!C:C,1,Settings!$B$16)</f>
        <v/>
      </c>
      <c r="M1543" s="5" t="str" cm="1">
        <f t="array" ref="M1543">choice(Referentiel!E:E,1,Settings!$B$16)</f>
        <v/>
      </c>
      <c r="N1543" s="5" t="str" cm="1">
        <f t="array" ref="N1543">choice(Settings!K:K,1,Settings!$B$16)</f>
        <v/>
      </c>
      <c r="P1543" s="5">
        <f t="shared" si="100"/>
        <v>1</v>
      </c>
    </row>
    <row r="1544" spans="1:16" ht="15.75" customHeight="1" x14ac:dyDescent="0.25">
      <c r="A1544" s="6" t="s">
        <v>1896</v>
      </c>
      <c r="B1544" s="6" cm="1">
        <f t="array" ref="B1544">alea_int(Settings!$B$10,1,Settings!$B$16)</f>
        <v>2</v>
      </c>
      <c r="C1544" s="8">
        <v>46023</v>
      </c>
      <c r="D1544" s="8">
        <f t="shared" si="97"/>
        <v>46387</v>
      </c>
      <c r="E1544" s="6" t="str" cm="1">
        <f t="array" ref="E1544">choice(Groupes!A:A,1,Settings!$B$16)</f>
        <v>G5</v>
      </c>
      <c r="F1544" s="6" t="str">
        <f t="shared" si="98"/>
        <v>G5</v>
      </c>
      <c r="G1544" s="6" t="str">
        <f t="shared" si="99"/>
        <v>Prof9</v>
      </c>
      <c r="H1544" s="6" t="str" cm="1">
        <f t="array" ref="H1544">choice(Referentiel!A:A,1,Settings!$B$16)</f>
        <v>Gr SPATIAL MEDIA</v>
      </c>
      <c r="I1544" s="6" t="str" cm="1">
        <f t="array" ref="I1544">choice(Referentiel!B:B,1,Settings!$B$16)</f>
        <v>4ème année Photo / Vidéo S2</v>
      </c>
      <c r="J1544" s="6" t="str" cm="1">
        <f t="array" ref="J1544">choice(Referentiel!D:D,1,Settings!$B$16)</f>
        <v>L2</v>
      </c>
      <c r="K1544" s="6" t="str" cm="1">
        <f t="array" ref="K1544">choice(Professeurs!B:B,1,Settings!$B$16)</f>
        <v>Prof9</v>
      </c>
      <c r="L1544" s="5" t="str" cm="1">
        <f t="array" ref="L1544">choice(Referentiel!C:C,1,Settings!$B$16)</f>
        <v/>
      </c>
      <c r="M1544" s="5" t="str" cm="1">
        <f t="array" ref="M1544">choice(Referentiel!E:E,1,Settings!$B$16)</f>
        <v/>
      </c>
      <c r="N1544" s="5" t="str" cm="1">
        <f t="array" ref="N1544">choice(Settings!K:K,1,Settings!$B$16)</f>
        <v>jeudi am</v>
      </c>
      <c r="P1544" s="5">
        <f t="shared" si="100"/>
        <v>4</v>
      </c>
    </row>
    <row r="1545" spans="1:16" ht="15.75" customHeight="1" x14ac:dyDescent="0.25">
      <c r="A1545" s="6" t="s">
        <v>1897</v>
      </c>
      <c r="B1545" s="6" cm="1">
        <f t="array" ref="B1545">alea_int(Settings!$B$10,1,Settings!$B$16)</f>
        <v>3</v>
      </c>
      <c r="C1545" s="8">
        <v>46023</v>
      </c>
      <c r="D1545" s="8">
        <f t="shared" si="97"/>
        <v>46387</v>
      </c>
      <c r="E1545" s="6" t="str" cm="1">
        <f t="array" ref="E1545">choice(Groupes!A:A,1,Settings!$B$16)</f>
        <v>G28</v>
      </c>
      <c r="F1545" s="6" t="str">
        <f t="shared" si="98"/>
        <v>G28</v>
      </c>
      <c r="G1545" s="6" t="str">
        <f t="shared" si="99"/>
        <v>Prof29</v>
      </c>
      <c r="H1545" s="6" t="str" cm="1">
        <f t="array" ref="H1545">choice(Referentiel!A:A,1,Settings!$B$16)</f>
        <v>Design des mondes montagneux</v>
      </c>
      <c r="I1545" s="6" t="str" cm="1">
        <f t="array" ref="I1545">choice(Referentiel!B:B,1,Settings!$B$16)</f>
        <v>5ème année Architecture Intérieure S1</v>
      </c>
      <c r="J1545" s="6" t="str" cm="1">
        <f t="array" ref="J1545">choice(Referentiel!D:D,1,Settings!$B$16)</f>
        <v>L3</v>
      </c>
      <c r="K1545" s="6" t="str" cm="1">
        <f t="array" ref="K1545">choice(Professeurs!B:B,1,Settings!$B$16)</f>
        <v>Prof29</v>
      </c>
      <c r="L1545" s="5" t="str" cm="1">
        <f t="array" ref="L1545">choice(Referentiel!C:C,1,Settings!$B$16)</f>
        <v/>
      </c>
      <c r="M1545" s="5" t="str" cm="1">
        <f t="array" ref="M1545">choice(Referentiel!E:E,1,Settings!$B$16)</f>
        <v/>
      </c>
      <c r="N1545" s="5" t="str" cm="1">
        <f t="array" ref="N1545">choice(Settings!K:K,1,Settings!$B$16)</f>
        <v>mercredi pm</v>
      </c>
      <c r="P1545" s="5">
        <f t="shared" si="100"/>
        <v>5</v>
      </c>
    </row>
    <row r="1546" spans="1:16" ht="15.75" customHeight="1" x14ac:dyDescent="0.25">
      <c r="A1546" s="6" t="s">
        <v>1898</v>
      </c>
      <c r="B1546" s="6" cm="1">
        <f t="array" ref="B1546">alea_int(Settings!$B$10,1,Settings!$B$16)</f>
        <v>1</v>
      </c>
      <c r="C1546" s="8">
        <v>46023</v>
      </c>
      <c r="D1546" s="8">
        <f t="shared" si="97"/>
        <v>46387</v>
      </c>
      <c r="E1546" s="6" t="str" cm="1">
        <f t="array" ref="E1546">choice(Groupes!A:A,1,Settings!$B$16)</f>
        <v>G26</v>
      </c>
      <c r="F1546" s="6" t="str">
        <f t="shared" si="98"/>
        <v>G26</v>
      </c>
      <c r="G1546" s="6" t="str">
        <f t="shared" si="99"/>
        <v>Prof17</v>
      </c>
      <c r="H1546" s="6" t="str" cm="1">
        <f t="array" ref="H1546">choice(Referentiel!A:A,1,Settings!$B$16)</f>
        <v>Mode et Matière</v>
      </c>
      <c r="I1546" s="6" t="str" cm="1">
        <f t="array" ref="I1546">choice(Referentiel!B:B,1,Settings!$B$16)</f>
        <v>4ème année Art-Espace S2</v>
      </c>
      <c r="J1546" s="6" t="str" cm="1">
        <f t="array" ref="J1546">choice(Referentiel!D:D,1,Settings!$B$16)</f>
        <v>L1</v>
      </c>
      <c r="K1546" s="6" t="str" cm="1">
        <f t="array" ref="K1546">choice(Professeurs!B:B,1,Settings!$B$16)</f>
        <v>Prof17</v>
      </c>
      <c r="L1546" s="5" t="str" cm="1">
        <f t="array" ref="L1546">choice(Referentiel!C:C,1,Settings!$B$16)</f>
        <v/>
      </c>
      <c r="M1546" s="5" t="str" cm="1">
        <f t="array" ref="M1546">choice(Referentiel!E:E,1,Settings!$B$16)</f>
        <v/>
      </c>
      <c r="N1546" s="5" t="str" cm="1">
        <f t="array" ref="N1546">choice(Settings!K:K,1,Settings!$B$16)</f>
        <v>vendredi am</v>
      </c>
      <c r="P1546" s="5">
        <f t="shared" si="100"/>
        <v>3</v>
      </c>
    </row>
    <row r="1547" spans="1:16" ht="15.75" customHeight="1" x14ac:dyDescent="0.25">
      <c r="A1547" s="6" t="s">
        <v>1899</v>
      </c>
      <c r="B1547" s="6" cm="1">
        <f t="array" ref="B1547">alea_int(Settings!$B$10,1,Settings!$B$16)</f>
        <v>2</v>
      </c>
      <c r="C1547" s="8">
        <v>46023</v>
      </c>
      <c r="D1547" s="8">
        <f t="shared" si="97"/>
        <v>46387</v>
      </c>
      <c r="E1547" s="6" t="str" cm="1">
        <f t="array" ref="E1547">choice(Groupes!A:A,1,Settings!$B$16)</f>
        <v>G11</v>
      </c>
      <c r="F1547" s="6" t="str">
        <f t="shared" si="98"/>
        <v>G11</v>
      </c>
      <c r="G1547" s="6" t="str">
        <f t="shared" si="99"/>
        <v>Prof34</v>
      </c>
      <c r="H1547" s="6" t="str" cm="1">
        <f t="array" ref="H1547">choice(Referentiel!A:A,1,Settings!$B$16)</f>
        <v>Gr SPATIAL MEDIA</v>
      </c>
      <c r="I1547" s="6" t="str" cm="1">
        <f t="array" ref="I1547">choice(Referentiel!B:B,1,Settings!$B$16)</f>
        <v>4ème année Design Objet S2</v>
      </c>
      <c r="J1547" s="6" t="str" cm="1">
        <f t="array" ref="J1547">choice(Referentiel!D:D,1,Settings!$B$16)</f>
        <v>L2</v>
      </c>
      <c r="K1547" s="6" t="str" cm="1">
        <f t="array" ref="K1547">choice(Professeurs!B:B,1,Settings!$B$16)</f>
        <v>Prof34</v>
      </c>
      <c r="L1547" s="5" t="str" cm="1">
        <f t="array" ref="L1547">choice(Referentiel!C:C,1,Settings!$B$16)</f>
        <v/>
      </c>
      <c r="M1547" s="5" t="str" cm="1">
        <f t="array" ref="M1547">choice(Referentiel!E:E,1,Settings!$B$16)</f>
        <v/>
      </c>
      <c r="N1547" s="5" t="str" cm="1">
        <f t="array" ref="N1547">choice(Settings!K:K,1,Settings!$B$16)</f>
        <v/>
      </c>
      <c r="P1547" s="5">
        <f t="shared" si="100"/>
        <v>2</v>
      </c>
    </row>
    <row r="1548" spans="1:16" ht="15.75" customHeight="1" x14ac:dyDescent="0.25">
      <c r="A1548" s="6" t="s">
        <v>1900</v>
      </c>
      <c r="B1548" s="6" cm="1">
        <f t="array" ref="B1548">alea_int(Settings!$B$10,1,Settings!$B$16)</f>
        <v>1</v>
      </c>
      <c r="C1548" s="8">
        <v>46023</v>
      </c>
      <c r="D1548" s="8">
        <f t="shared" si="97"/>
        <v>46387</v>
      </c>
      <c r="E1548" s="6" t="str" cm="1">
        <f t="array" ref="E1548">choice(Groupes!A:A,1,Settings!$B$16)</f>
        <v>G17</v>
      </c>
      <c r="F1548" s="6" t="str">
        <f t="shared" si="98"/>
        <v>G17</v>
      </c>
      <c r="G1548" s="6" t="str">
        <f t="shared" si="99"/>
        <v>Prof51</v>
      </c>
      <c r="H1548" s="6" t="str" cm="1">
        <f t="array" ref="H1548">choice(Referentiel!A:A,1,Settings!$B$16)</f>
        <v>Design des mondes montagneux</v>
      </c>
      <c r="I1548" s="6" t="str" cm="1">
        <f t="array" ref="I1548">choice(Referentiel!B:B,1,Settings!$B$16)</f>
        <v>2ème année Design Graphique S1</v>
      </c>
      <c r="J1548" s="6" t="str" cm="1">
        <f t="array" ref="J1548">choice(Referentiel!D:D,1,Settings!$B$16)</f>
        <v>M1</v>
      </c>
      <c r="K1548" s="6" t="str" cm="1">
        <f t="array" ref="K1548">choice(Professeurs!B:B,1,Settings!$B$16)</f>
        <v>Prof51</v>
      </c>
      <c r="L1548" s="5" t="str" cm="1">
        <f t="array" ref="L1548">choice(Referentiel!C:C,1,Settings!$B$16)</f>
        <v/>
      </c>
      <c r="M1548" s="5" t="str" cm="1">
        <f t="array" ref="M1548">choice(Referentiel!E:E,1,Settings!$B$16)</f>
        <v/>
      </c>
      <c r="N1548" s="5" t="str" cm="1">
        <f t="array" ref="N1548">choice(Settings!K:K,1,Settings!$B$16)</f>
        <v>jeudi pm</v>
      </c>
      <c r="P1548" s="5">
        <f t="shared" si="100"/>
        <v>3</v>
      </c>
    </row>
    <row r="1549" spans="1:16" ht="15.75" customHeight="1" x14ac:dyDescent="0.25">
      <c r="A1549" s="6" t="s">
        <v>1901</v>
      </c>
      <c r="B1549" s="6" cm="1">
        <f t="array" ref="B1549">alea_int(Settings!$B$10,1,Settings!$B$16)</f>
        <v>2</v>
      </c>
      <c r="C1549" s="8">
        <v>46023</v>
      </c>
      <c r="D1549" s="8">
        <f t="shared" si="97"/>
        <v>46387</v>
      </c>
      <c r="E1549" s="6" t="str" cm="1">
        <f t="array" ref="E1549">choice(Groupes!A:A,1,Settings!$B$16)</f>
        <v>G22</v>
      </c>
      <c r="F1549" s="6" t="str">
        <f t="shared" si="98"/>
        <v>G22</v>
      </c>
      <c r="G1549" s="6" t="str">
        <f t="shared" si="99"/>
        <v>Prof15</v>
      </c>
      <c r="H1549" s="6" t="str" cm="1">
        <f t="array" ref="H1549">choice(Referentiel!A:A,1,Settings!$B$16)</f>
        <v>Design des mondes ruraux</v>
      </c>
      <c r="I1549" s="6" t="str" cm="1">
        <f t="array" ref="I1549">choice(Referentiel!B:B,1,Settings!$B$16)</f>
        <v>3ème année Design Graphique S2</v>
      </c>
      <c r="J1549" s="6" t="str" cm="1">
        <f t="array" ref="J1549">choice(Referentiel!D:D,1,Settings!$B$16)</f>
        <v>L1</v>
      </c>
      <c r="K1549" s="6" t="str" cm="1">
        <f t="array" ref="K1549">choice(Professeurs!B:B,1,Settings!$B$16)</f>
        <v>Prof15</v>
      </c>
      <c r="L1549" s="5" t="str" cm="1">
        <f t="array" ref="L1549">choice(Referentiel!C:C,1,Settings!$B$16)</f>
        <v/>
      </c>
      <c r="M1549" s="5" t="str" cm="1">
        <f t="array" ref="M1549">choice(Referentiel!E:E,1,Settings!$B$16)</f>
        <v/>
      </c>
      <c r="N1549" s="5" t="str" cm="1">
        <f t="array" ref="N1549">choice(Settings!K:K,1,Settings!$B$16)</f>
        <v/>
      </c>
      <c r="P1549" s="5">
        <f t="shared" si="100"/>
        <v>2</v>
      </c>
    </row>
    <row r="1550" spans="1:16" ht="15.75" customHeight="1" x14ac:dyDescent="0.25">
      <c r="A1550" s="6" t="s">
        <v>1902</v>
      </c>
      <c r="B1550" s="6" cm="1">
        <f t="array" ref="B1550">alea_int(Settings!$B$10,1,Settings!$B$16)</f>
        <v>3</v>
      </c>
      <c r="C1550" s="8">
        <v>46023</v>
      </c>
      <c r="D1550" s="8">
        <f t="shared" si="97"/>
        <v>46387</v>
      </c>
      <c r="E1550" s="6" t="str" cm="1">
        <f t="array" ref="E1550">choice(Groupes!A:A,1,Settings!$B$16)</f>
        <v>G16</v>
      </c>
      <c r="F1550" s="6" t="str">
        <f t="shared" si="98"/>
        <v>G16</v>
      </c>
      <c r="G1550" s="6" t="str">
        <f t="shared" si="99"/>
        <v>Prof17</v>
      </c>
      <c r="H1550" s="6" t="str" cm="1">
        <f t="array" ref="H1550">choice(Referentiel!A:A,1,Settings!$B$16)</f>
        <v>Mode et Matière</v>
      </c>
      <c r="I1550" s="6" t="str" cm="1">
        <f t="array" ref="I1550">choice(Referentiel!B:B,1,Settings!$B$16)</f>
        <v>2ème année Design Textile et Matière S1</v>
      </c>
      <c r="J1550" s="6" t="str" cm="1">
        <f t="array" ref="J1550">choice(Referentiel!D:D,1,Settings!$B$16)</f>
        <v>L2</v>
      </c>
      <c r="K1550" s="6" t="str" cm="1">
        <f t="array" ref="K1550">choice(Professeurs!B:B,1,Settings!$B$16)</f>
        <v>Prof17</v>
      </c>
      <c r="L1550" s="5" t="str" cm="1">
        <f t="array" ref="L1550">choice(Referentiel!C:C,1,Settings!$B$16)</f>
        <v/>
      </c>
      <c r="M1550" s="5" t="str" cm="1">
        <f t="array" ref="M1550">choice(Referentiel!E:E,1,Settings!$B$16)</f>
        <v>Salle4</v>
      </c>
      <c r="N1550" s="5" t="str" cm="1">
        <f t="array" ref="N1550">choice(Settings!K:K,1,Settings!$B$16)</f>
        <v/>
      </c>
      <c r="P1550" s="5">
        <f t="shared" si="100"/>
        <v>5</v>
      </c>
    </row>
    <row r="1551" spans="1:16" ht="15.75" customHeight="1" x14ac:dyDescent="0.25">
      <c r="A1551" s="6" t="s">
        <v>1903</v>
      </c>
      <c r="B1551" s="6" cm="1">
        <f t="array" ref="B1551">alea_int(Settings!$B$10,1,Settings!$B$16)</f>
        <v>3</v>
      </c>
      <c r="C1551" s="8">
        <v>46023</v>
      </c>
      <c r="D1551" s="8">
        <f t="shared" si="97"/>
        <v>46387</v>
      </c>
      <c r="E1551" s="6" t="str" cm="1">
        <f t="array" ref="E1551">choice(Groupes!A:A,1,Settings!$B$16)</f>
        <v>G12</v>
      </c>
      <c r="F1551" s="6" t="str">
        <f t="shared" si="98"/>
        <v>G12</v>
      </c>
      <c r="G1551" s="6" t="str">
        <f t="shared" si="99"/>
        <v>Prof48</v>
      </c>
      <c r="H1551" s="6" t="str" cm="1">
        <f t="array" ref="H1551">choice(Referentiel!A:A,1,Settings!$B$16)</f>
        <v>Gr REFLECTIVE INTERACTION</v>
      </c>
      <c r="I1551" s="6" t="str" cm="1">
        <f t="array" ref="I1551">choice(Referentiel!B:B,1,Settings!$B$16)</f>
        <v>2ème année Design Graphique S2</v>
      </c>
      <c r="J1551" s="6" t="str" cm="1">
        <f t="array" ref="J1551">choice(Referentiel!D:D,1,Settings!$B$16)</f>
        <v>M2</v>
      </c>
      <c r="K1551" s="6" t="str" cm="1">
        <f t="array" ref="K1551">choice(Professeurs!B:B,1,Settings!$B$16)</f>
        <v>Prof48</v>
      </c>
      <c r="L1551" s="5" t="str" cm="1">
        <f t="array" ref="L1551">choice(Referentiel!C:C,1,Settings!$B$16)</f>
        <v/>
      </c>
      <c r="M1551" s="5" t="str" cm="1">
        <f t="array" ref="M1551">choice(Referentiel!E:E,1,Settings!$B$16)</f>
        <v/>
      </c>
      <c r="N1551" s="5" t="str" cm="1">
        <f t="array" ref="N1551">choice(Settings!K:K,1,Settings!$B$16)</f>
        <v/>
      </c>
      <c r="P1551" s="5">
        <f t="shared" si="100"/>
        <v>3</v>
      </c>
    </row>
    <row r="1552" spans="1:16" ht="15.75" customHeight="1" x14ac:dyDescent="0.25">
      <c r="A1552" s="6" t="s">
        <v>1904</v>
      </c>
      <c r="B1552" s="6" cm="1">
        <f t="array" ref="B1552">alea_int(Settings!$B$10,1,Settings!$B$16)</f>
        <v>1</v>
      </c>
      <c r="C1552" s="8">
        <v>46023</v>
      </c>
      <c r="D1552" s="8">
        <f t="shared" si="97"/>
        <v>46387</v>
      </c>
      <c r="E1552" s="6" t="str" cm="1">
        <f t="array" ref="E1552">choice(Groupes!A:A,1,Settings!$B$16)</f>
        <v>G30</v>
      </c>
      <c r="F1552" s="6" t="str">
        <f t="shared" si="98"/>
        <v>G30</v>
      </c>
      <c r="G1552" s="6" t="str">
        <f t="shared" si="99"/>
        <v>Prof27</v>
      </c>
      <c r="H1552" s="6" t="str" cm="1">
        <f t="array" ref="H1552">choice(Referentiel!A:A,1,Settings!$B$16)</f>
        <v>Architecture Intérieure</v>
      </c>
      <c r="I1552" s="6" t="str" cm="1">
        <f t="array" ref="I1552">choice(Referentiel!B:B,1,Settings!$B$16)</f>
        <v>3ème année Cinéma d'Animation S2</v>
      </c>
      <c r="J1552" s="6" t="str" cm="1">
        <f t="array" ref="J1552">choice(Referentiel!D:D,1,Settings!$B$16)</f>
        <v>L1</v>
      </c>
      <c r="K1552" s="6" t="str" cm="1">
        <f t="array" ref="K1552">choice(Professeurs!B:B,1,Settings!$B$16)</f>
        <v>Prof27</v>
      </c>
      <c r="L1552" s="5" t="str" cm="1">
        <f t="array" ref="L1552">choice(Referentiel!C:C,1,Settings!$B$16)</f>
        <v/>
      </c>
      <c r="M1552" s="5" t="str" cm="1">
        <f t="array" ref="M1552">choice(Referentiel!E:E,1,Settings!$B$16)</f>
        <v/>
      </c>
      <c r="N1552" s="5" t="str" cm="1">
        <f t="array" ref="N1552">choice(Settings!K:K,1,Settings!$B$16)</f>
        <v/>
      </c>
      <c r="P1552" s="5">
        <f t="shared" si="100"/>
        <v>1</v>
      </c>
    </row>
    <row r="1553" spans="1:16" ht="15.75" customHeight="1" x14ac:dyDescent="0.25">
      <c r="A1553" s="6" t="s">
        <v>1905</v>
      </c>
      <c r="B1553" s="6" cm="1">
        <f t="array" ref="B1553">alea_int(Settings!$B$10,1,Settings!$B$16)</f>
        <v>3</v>
      </c>
      <c r="C1553" s="8">
        <v>46023</v>
      </c>
      <c r="D1553" s="8">
        <f t="shared" si="97"/>
        <v>46387</v>
      </c>
      <c r="E1553" s="6" t="str" cm="1">
        <f t="array" ref="E1553">choice(Groupes!A:A,1,Settings!$B$16)</f>
        <v>G12</v>
      </c>
      <c r="F1553" s="6" t="str">
        <f t="shared" si="98"/>
        <v>G12</v>
      </c>
      <c r="G1553" s="6" t="str">
        <f t="shared" si="99"/>
        <v>Prof37</v>
      </c>
      <c r="H1553" s="6" t="str" cm="1">
        <f t="array" ref="H1553">choice(Referentiel!A:A,1,Settings!$B$16)</f>
        <v>Gr REFLECTIVE INTERACTION</v>
      </c>
      <c r="I1553" s="6" t="str" cm="1">
        <f t="array" ref="I1553">choice(Referentiel!B:B,1,Settings!$B$16)</f>
        <v>5ème année Photo / Vidéo S2</v>
      </c>
      <c r="J1553" s="6" t="str" cm="1">
        <f t="array" ref="J1553">choice(Referentiel!D:D,1,Settings!$B$16)</f>
        <v>L3</v>
      </c>
      <c r="K1553" s="6" t="str" cm="1">
        <f t="array" ref="K1553">choice(Professeurs!B:B,1,Settings!$B$16)</f>
        <v>Prof37</v>
      </c>
      <c r="L1553" s="5" t="str" cm="1">
        <f t="array" ref="L1553">choice(Referentiel!C:C,1,Settings!$B$16)</f>
        <v/>
      </c>
      <c r="M1553" s="5" t="str" cm="1">
        <f t="array" ref="M1553">choice(Referentiel!E:E,1,Settings!$B$16)</f>
        <v/>
      </c>
      <c r="N1553" s="5" t="str" cm="1">
        <f t="array" ref="N1553">choice(Settings!K:K,1,Settings!$B$16)</f>
        <v/>
      </c>
      <c r="P1553" s="5">
        <f t="shared" si="100"/>
        <v>3</v>
      </c>
    </row>
    <row r="1554" spans="1:16" ht="15.75" customHeight="1" x14ac:dyDescent="0.25">
      <c r="A1554" s="6" t="s">
        <v>1906</v>
      </c>
      <c r="B1554" s="6" cm="1">
        <f t="array" ref="B1554">alea_int(Settings!$B$10,1,Settings!$B$16)</f>
        <v>1</v>
      </c>
      <c r="C1554" s="8">
        <v>46023</v>
      </c>
      <c r="D1554" s="8">
        <f t="shared" si="97"/>
        <v>46387</v>
      </c>
      <c r="E1554" s="6" t="str" cm="1">
        <f t="array" ref="E1554">choice(Groupes!A:A,1,Settings!$B$16)</f>
        <v>G1</v>
      </c>
      <c r="F1554" s="6" t="str">
        <f t="shared" si="98"/>
        <v>G1</v>
      </c>
      <c r="G1554" s="6" t="str">
        <f t="shared" si="99"/>
        <v>Prof3</v>
      </c>
      <c r="H1554" s="6" t="str" cm="1">
        <f t="array" ref="H1554">choice(Referentiel!A:A,1,Settings!$B$16)</f>
        <v>6ème année atelier</v>
      </c>
      <c r="I1554" s="6" t="str" cm="1">
        <f t="array" ref="I1554">choice(Referentiel!B:B,1,Settings!$B$16)</f>
        <v>1ère Année Groupe 3 S1</v>
      </c>
      <c r="J1554" s="6" t="str" cm="1">
        <f t="array" ref="J1554">choice(Referentiel!D:D,1,Settings!$B$16)</f>
        <v>L2</v>
      </c>
      <c r="K1554" s="6" t="str" cm="1">
        <f t="array" ref="K1554">choice(Professeurs!B:B,1,Settings!$B$16)</f>
        <v>Prof3</v>
      </c>
      <c r="L1554" s="5" t="str" cm="1">
        <f t="array" ref="L1554">choice(Referentiel!C:C,1,Settings!$B$16)</f>
        <v/>
      </c>
      <c r="M1554" s="5" t="str" cm="1">
        <f t="array" ref="M1554">choice(Referentiel!E:E,1,Settings!$B$16)</f>
        <v/>
      </c>
      <c r="N1554" s="5" t="str" cm="1">
        <f t="array" ref="N1554">choice(Settings!K:K,1,Settings!$B$16)</f>
        <v/>
      </c>
      <c r="P1554" s="5">
        <f t="shared" si="100"/>
        <v>1</v>
      </c>
    </row>
    <row r="1555" spans="1:16" ht="15.75" customHeight="1" x14ac:dyDescent="0.25">
      <c r="A1555" s="6" t="s">
        <v>1907</v>
      </c>
      <c r="B1555" s="6" cm="1">
        <f t="array" ref="B1555">alea_int(Settings!$B$10,1,Settings!$B$16)</f>
        <v>3</v>
      </c>
      <c r="C1555" s="8">
        <v>46023</v>
      </c>
      <c r="D1555" s="8">
        <f t="shared" si="97"/>
        <v>46387</v>
      </c>
      <c r="E1555" s="6" t="str" cm="1">
        <f t="array" ref="E1555">choice(Groupes!A:A,1,Settings!$B$16)</f>
        <v>G23</v>
      </c>
      <c r="F1555" s="6" t="str">
        <f t="shared" si="98"/>
        <v>G23</v>
      </c>
      <c r="G1555" s="6" t="str">
        <f t="shared" si="99"/>
        <v>Prof31</v>
      </c>
      <c r="H1555" s="6" t="str" cm="1">
        <f t="array" ref="H1555">choice(Referentiel!A:A,1,Settings!$B$16)</f>
        <v>6ème année atelier</v>
      </c>
      <c r="I1555" s="6" t="str" cm="1">
        <f t="array" ref="I1555">choice(Referentiel!B:B,1,Settings!$B$16)</f>
        <v>4ème année Image Imprimée S2</v>
      </c>
      <c r="J1555" s="6" t="str" cm="1">
        <f t="array" ref="J1555">choice(Referentiel!D:D,1,Settings!$B$16)</f>
        <v>L1</v>
      </c>
      <c r="K1555" s="6" t="str" cm="1">
        <f t="array" ref="K1555">choice(Professeurs!B:B,1,Settings!$B$16)</f>
        <v>Prof31</v>
      </c>
      <c r="L1555" s="5" t="str" cm="1">
        <f t="array" ref="L1555">choice(Referentiel!C:C,1,Settings!$B$16)</f>
        <v/>
      </c>
      <c r="M1555" s="5" t="str" cm="1">
        <f t="array" ref="M1555">choice(Referentiel!E:E,1,Settings!$B$16)</f>
        <v/>
      </c>
      <c r="N1555" s="5" t="str" cm="1">
        <f t="array" ref="N1555">choice(Settings!K:K,1,Settings!$B$16)</f>
        <v/>
      </c>
      <c r="P1555" s="5">
        <f t="shared" si="100"/>
        <v>3</v>
      </c>
    </row>
    <row r="1556" spans="1:16" ht="15.75" customHeight="1" x14ac:dyDescent="0.25">
      <c r="A1556" s="6" t="s">
        <v>1908</v>
      </c>
      <c r="B1556" s="6" cm="1">
        <f t="array" ref="B1556">alea_int(Settings!$B$10,1,Settings!$B$16)</f>
        <v>1</v>
      </c>
      <c r="C1556" s="8">
        <v>46023</v>
      </c>
      <c r="D1556" s="8">
        <f t="shared" si="97"/>
        <v>46387</v>
      </c>
      <c r="E1556" s="6" t="str" cm="1">
        <f t="array" ref="E1556">choice(Groupes!A:A,1,Settings!$B$16)</f>
        <v>G20</v>
      </c>
      <c r="F1556" s="6" t="str">
        <f t="shared" si="98"/>
        <v>G20</v>
      </c>
      <c r="G1556" s="6" t="str">
        <f t="shared" si="99"/>
        <v>Prof53</v>
      </c>
      <c r="H1556" s="6" t="str" cm="1">
        <f t="array" ref="H1556">choice(Referentiel!A:A,1,Settings!$B$16)</f>
        <v>6ème année atelier</v>
      </c>
      <c r="I1556" s="6" t="str" cm="1">
        <f t="array" ref="I1556">choice(Referentiel!B:B,1,Settings!$B$16)</f>
        <v>2ème année Design Graphique S2</v>
      </c>
      <c r="J1556" s="6" t="str" cm="1">
        <f t="array" ref="J1556">choice(Referentiel!D:D,1,Settings!$B$16)</f>
        <v>M2</v>
      </c>
      <c r="K1556" s="6" t="str" cm="1">
        <f t="array" ref="K1556">choice(Professeurs!B:B,1,Settings!$B$16)</f>
        <v>Prof53</v>
      </c>
      <c r="L1556" s="5" t="str" cm="1">
        <f t="array" ref="L1556">choice(Referentiel!C:C,1,Settings!$B$16)</f>
        <v/>
      </c>
      <c r="M1556" s="5" t="str" cm="1">
        <f t="array" ref="M1556">choice(Referentiel!E:E,1,Settings!$B$16)</f>
        <v/>
      </c>
      <c r="N1556" s="5" t="str" cm="1">
        <f t="array" ref="N1556">choice(Settings!K:K,1,Settings!$B$16)</f>
        <v/>
      </c>
      <c r="P1556" s="5">
        <f t="shared" si="100"/>
        <v>1</v>
      </c>
    </row>
    <row r="1557" spans="1:16" ht="15.75" customHeight="1" x14ac:dyDescent="0.25">
      <c r="A1557" s="6" t="s">
        <v>1909</v>
      </c>
      <c r="B1557" s="6" cm="1">
        <f t="array" ref="B1557">alea_int(Settings!$B$10,1,Settings!$B$16)</f>
        <v>2</v>
      </c>
      <c r="C1557" s="8">
        <v>46023</v>
      </c>
      <c r="D1557" s="8">
        <f t="shared" si="97"/>
        <v>46387</v>
      </c>
      <c r="E1557" s="6" t="str" cm="1">
        <f t="array" ref="E1557">choice(Groupes!A:A,1,Settings!$B$16)</f>
        <v>G1</v>
      </c>
      <c r="F1557" s="6" t="str">
        <f t="shared" si="98"/>
        <v>G1</v>
      </c>
      <c r="G1557" s="6" t="str">
        <f t="shared" si="99"/>
        <v>Prof11</v>
      </c>
      <c r="H1557" s="6" t="str" cm="1">
        <f t="array" ref="H1557">choice(Referentiel!A:A,1,Settings!$B$16)</f>
        <v>Design des mondes montagneux</v>
      </c>
      <c r="I1557" s="6" t="str" cm="1">
        <f t="array" ref="I1557">choice(Referentiel!B:B,1,Settings!$B$16)</f>
        <v>5ème année Art-Espace S1</v>
      </c>
      <c r="J1557" s="6" t="str" cm="1">
        <f t="array" ref="J1557">choice(Referentiel!D:D,1,Settings!$B$16)</f>
        <v>L3</v>
      </c>
      <c r="K1557" s="6" t="str" cm="1">
        <f t="array" ref="K1557">choice(Professeurs!B:B,1,Settings!$B$16)</f>
        <v>Prof11</v>
      </c>
      <c r="L1557" s="5" t="str" cm="1">
        <f t="array" ref="L1557">choice(Referentiel!C:C,1,Settings!$B$16)</f>
        <v/>
      </c>
      <c r="M1557" s="5" t="str" cm="1">
        <f t="array" ref="M1557">choice(Referentiel!E:E,1,Settings!$B$16)</f>
        <v/>
      </c>
      <c r="N1557" s="5" t="str" cm="1">
        <f t="array" ref="N1557">choice(Settings!K:K,1,Settings!$B$16)</f>
        <v>jeudi am</v>
      </c>
      <c r="P1557" s="5">
        <f t="shared" si="100"/>
        <v>4</v>
      </c>
    </row>
    <row r="1558" spans="1:16" ht="15.75" customHeight="1" x14ac:dyDescent="0.25">
      <c r="A1558" s="6" t="s">
        <v>1910</v>
      </c>
      <c r="B1558" s="6" cm="1">
        <f t="array" ref="B1558">alea_int(Settings!$B$10,1,Settings!$B$16)</f>
        <v>2</v>
      </c>
      <c r="C1558" s="8">
        <v>46023</v>
      </c>
      <c r="D1558" s="8">
        <f t="shared" si="97"/>
        <v>46387</v>
      </c>
      <c r="E1558" s="6" t="str" cm="1">
        <f t="array" ref="E1558">choice(Groupes!A:A,1,Settings!$B$16)</f>
        <v>G4</v>
      </c>
      <c r="F1558" s="6" t="str">
        <f t="shared" si="98"/>
        <v>G4</v>
      </c>
      <c r="G1558" s="6" t="str">
        <f t="shared" si="99"/>
        <v>Prof9</v>
      </c>
      <c r="H1558" s="6" t="str" cm="1">
        <f t="array" ref="H1558">choice(Referentiel!A:A,1,Settings!$B$16)</f>
        <v>Design des mondes littoraux</v>
      </c>
      <c r="I1558" s="6" t="str" cm="1">
        <f t="array" ref="I1558">choice(Referentiel!B:B,1,Settings!$B$16)</f>
        <v>5ème année Art-Espace S2</v>
      </c>
      <c r="J1558" s="6" t="str" cm="1">
        <f t="array" ref="J1558">choice(Referentiel!D:D,1,Settings!$B$16)</f>
        <v>M1</v>
      </c>
      <c r="K1558" s="6" t="str" cm="1">
        <f t="array" ref="K1558">choice(Professeurs!B:B,1,Settings!$B$16)</f>
        <v>Prof9</v>
      </c>
      <c r="L1558" s="5" t="str" cm="1">
        <f t="array" ref="L1558">choice(Referentiel!C:C,1,Settings!$B$16)</f>
        <v/>
      </c>
      <c r="M1558" s="5" t="str" cm="1">
        <f t="array" ref="M1558">choice(Referentiel!E:E,1,Settings!$B$16)</f>
        <v/>
      </c>
      <c r="N1558" s="5" t="str" cm="1">
        <f t="array" ref="N1558">choice(Settings!K:K,1,Settings!$B$16)</f>
        <v/>
      </c>
      <c r="P1558" s="5">
        <f t="shared" si="100"/>
        <v>2</v>
      </c>
    </row>
    <row r="1559" spans="1:16" ht="15.75" customHeight="1" x14ac:dyDescent="0.25">
      <c r="A1559" s="6" t="s">
        <v>1911</v>
      </c>
      <c r="B1559" s="6" cm="1">
        <f t="array" ref="B1559">alea_int(Settings!$B$10,1,Settings!$B$16)</f>
        <v>1</v>
      </c>
      <c r="C1559" s="8">
        <v>46023</v>
      </c>
      <c r="D1559" s="8">
        <f t="shared" si="97"/>
        <v>46387</v>
      </c>
      <c r="E1559" s="6" t="str" cm="1">
        <f t="array" ref="E1559">choice(Groupes!A:A,1,Settings!$B$16)</f>
        <v>G10</v>
      </c>
      <c r="F1559" s="6" t="str">
        <f t="shared" si="98"/>
        <v>G10</v>
      </c>
      <c r="G1559" s="6" t="str">
        <f t="shared" si="99"/>
        <v>Prof35</v>
      </c>
      <c r="H1559" s="6" t="str" cm="1">
        <f t="array" ref="H1559">choice(Referentiel!A:A,1,Settings!$B$16)</f>
        <v>Gr SYMBIOSE</v>
      </c>
      <c r="I1559" s="6" t="str" cm="1">
        <f t="array" ref="I1559">choice(Referentiel!B:B,1,Settings!$B$16)</f>
        <v>3ème année Scénographie S1</v>
      </c>
      <c r="J1559" s="6" t="str" cm="1">
        <f t="array" ref="J1559">choice(Referentiel!D:D,1,Settings!$B$16)</f>
        <v>L3</v>
      </c>
      <c r="K1559" s="6" t="str" cm="1">
        <f t="array" ref="K1559">choice(Professeurs!B:B,1,Settings!$B$16)</f>
        <v>Prof35</v>
      </c>
      <c r="L1559" s="5" t="str" cm="1">
        <f t="array" ref="L1559">choice(Referentiel!C:C,1,Settings!$B$16)</f>
        <v/>
      </c>
      <c r="M1559" s="5" t="str" cm="1">
        <f t="array" ref="M1559">choice(Referentiel!E:E,1,Settings!$B$16)</f>
        <v/>
      </c>
      <c r="N1559" s="5" t="str" cm="1">
        <f t="array" ref="N1559">choice(Settings!K:K,1,Settings!$B$16)</f>
        <v/>
      </c>
      <c r="P1559" s="5">
        <f t="shared" si="100"/>
        <v>1</v>
      </c>
    </row>
    <row r="1560" spans="1:16" ht="15.75" customHeight="1" x14ac:dyDescent="0.25">
      <c r="A1560" s="6" t="s">
        <v>1912</v>
      </c>
      <c r="B1560" s="6" cm="1">
        <f t="array" ref="B1560">alea_int(Settings!$B$10,1,Settings!$B$16)</f>
        <v>3</v>
      </c>
      <c r="C1560" s="8">
        <v>46023</v>
      </c>
      <c r="D1560" s="8">
        <f t="shared" si="97"/>
        <v>46387</v>
      </c>
      <c r="E1560" s="6" t="str" cm="1">
        <f t="array" ref="E1560">choice(Groupes!A:A,1,Settings!$B$16)</f>
        <v>G23</v>
      </c>
      <c r="F1560" s="6" t="str">
        <f t="shared" si="98"/>
        <v>G23</v>
      </c>
      <c r="G1560" s="6" t="str">
        <f t="shared" si="99"/>
        <v>Prof11</v>
      </c>
      <c r="H1560" s="6" t="str" cm="1">
        <f t="array" ref="H1560">choice(Referentiel!A:A,1,Settings!$B$16)</f>
        <v>Architecture Intérieure</v>
      </c>
      <c r="I1560" s="6" t="str" cm="1">
        <f t="array" ref="I1560">choice(Referentiel!B:B,1,Settings!$B$16)</f>
        <v>5ème année Photo / Vidéo S1</v>
      </c>
      <c r="J1560" s="6" t="str" cm="1">
        <f t="array" ref="J1560">choice(Referentiel!D:D,1,Settings!$B$16)</f>
        <v>M2</v>
      </c>
      <c r="K1560" s="6" t="str" cm="1">
        <f t="array" ref="K1560">choice(Professeurs!B:B,1,Settings!$B$16)</f>
        <v>Prof11</v>
      </c>
      <c r="L1560" s="5" t="str" cm="1">
        <f t="array" ref="L1560">choice(Referentiel!C:C,1,Settings!$B$16)</f>
        <v/>
      </c>
      <c r="M1560" s="5" t="str" cm="1">
        <f t="array" ref="M1560">choice(Referentiel!E:E,1,Settings!$B$16)</f>
        <v/>
      </c>
      <c r="N1560" s="5" t="str" cm="1">
        <f t="array" ref="N1560">choice(Settings!K:K,1,Settings!$B$16)</f>
        <v>vendredi am</v>
      </c>
      <c r="P1560" s="5">
        <f t="shared" si="100"/>
        <v>5</v>
      </c>
    </row>
    <row r="1561" spans="1:16" ht="15.75" customHeight="1" x14ac:dyDescent="0.25">
      <c r="A1561" s="6" t="s">
        <v>1913</v>
      </c>
      <c r="B1561" s="6" cm="1">
        <f t="array" ref="B1561">alea_int(Settings!$B$10,1,Settings!$B$16)</f>
        <v>3</v>
      </c>
      <c r="C1561" s="8">
        <v>46023</v>
      </c>
      <c r="D1561" s="8">
        <f t="shared" si="97"/>
        <v>46387</v>
      </c>
      <c r="E1561" s="6" t="str" cm="1">
        <f t="array" ref="E1561">choice(Groupes!A:A,1,Settings!$B$16)</f>
        <v>G27</v>
      </c>
      <c r="F1561" s="6" t="str">
        <f t="shared" si="98"/>
        <v>G27</v>
      </c>
      <c r="G1561" s="6" t="str">
        <f t="shared" si="99"/>
        <v>Prof1</v>
      </c>
      <c r="H1561" s="6" t="str" cm="1">
        <f t="array" ref="H1561">choice(Referentiel!A:A,1,Settings!$B$16)</f>
        <v>Gr REFLECTIVE INTERACTION</v>
      </c>
      <c r="I1561" s="6" t="str" cm="1">
        <f t="array" ref="I1561">choice(Referentiel!B:B,1,Settings!$B$16)</f>
        <v>5ème année Design Textile et Matière S1</v>
      </c>
      <c r="J1561" s="6" t="str" cm="1">
        <f t="array" ref="J1561">choice(Referentiel!D:D,1,Settings!$B$16)</f>
        <v>M2</v>
      </c>
      <c r="K1561" s="6" t="str" cm="1">
        <f t="array" ref="K1561">choice(Professeurs!B:B,1,Settings!$B$16)</f>
        <v>Prof1</v>
      </c>
      <c r="L1561" s="5" t="str" cm="1">
        <f t="array" ref="L1561">choice(Referentiel!C:C,1,Settings!$B$16)</f>
        <v/>
      </c>
      <c r="M1561" s="5" t="str" cm="1">
        <f t="array" ref="M1561">choice(Referentiel!E:E,1,Settings!$B$16)</f>
        <v/>
      </c>
      <c r="N1561" s="5" t="str" cm="1">
        <f t="array" ref="N1561">choice(Settings!K:K,1,Settings!$B$16)</f>
        <v/>
      </c>
      <c r="P1561" s="5">
        <f t="shared" si="100"/>
        <v>3</v>
      </c>
    </row>
    <row r="1562" spans="1:16" ht="15.75" customHeight="1" x14ac:dyDescent="0.25">
      <c r="A1562" s="6" t="s">
        <v>1914</v>
      </c>
      <c r="B1562" s="6" cm="1">
        <f t="array" ref="B1562">alea_int(Settings!$B$10,1,Settings!$B$16)</f>
        <v>2</v>
      </c>
      <c r="C1562" s="8">
        <v>46023</v>
      </c>
      <c r="D1562" s="8">
        <f t="shared" si="97"/>
        <v>46387</v>
      </c>
      <c r="E1562" s="6" t="str" cm="1">
        <f t="array" ref="E1562">choice(Groupes!A:A,1,Settings!$B$16)</f>
        <v>G26</v>
      </c>
      <c r="F1562" s="6" t="str">
        <f t="shared" si="98"/>
        <v>G26</v>
      </c>
      <c r="G1562" s="6" t="str">
        <f t="shared" si="99"/>
        <v>Prof49</v>
      </c>
      <c r="H1562" s="6" t="str" cm="1">
        <f t="array" ref="H1562">choice(Referentiel!A:A,1,Settings!$B$16)</f>
        <v>Design des mondes littoraux</v>
      </c>
      <c r="I1562" s="6" t="str" cm="1">
        <f t="array" ref="I1562">choice(Referentiel!B:B,1,Settings!$B$16)</f>
        <v>4ème année Design Vêtement S1</v>
      </c>
      <c r="J1562" s="6" t="str" cm="1">
        <f t="array" ref="J1562">choice(Referentiel!D:D,1,Settings!$B$16)</f>
        <v>L2</v>
      </c>
      <c r="K1562" s="6" t="str" cm="1">
        <f t="array" ref="K1562">choice(Professeurs!B:B,1,Settings!$B$16)</f>
        <v>Prof49</v>
      </c>
      <c r="L1562" s="5" t="str" cm="1">
        <f t="array" ref="L1562">choice(Referentiel!C:C,1,Settings!$B$16)</f>
        <v/>
      </c>
      <c r="M1562" s="5" t="str" cm="1">
        <f t="array" ref="M1562">choice(Referentiel!E:E,1,Settings!$B$16)</f>
        <v/>
      </c>
      <c r="N1562" s="5" t="str" cm="1">
        <f t="array" ref="N1562">choice(Settings!K:K,1,Settings!$B$16)</f>
        <v>lundi pm</v>
      </c>
      <c r="P1562" s="5">
        <f t="shared" si="100"/>
        <v>4</v>
      </c>
    </row>
    <row r="1563" spans="1:16" ht="15.75" customHeight="1" x14ac:dyDescent="0.25">
      <c r="A1563" s="6" t="s">
        <v>1915</v>
      </c>
      <c r="B1563" s="6" cm="1">
        <f t="array" ref="B1563">alea_int(Settings!$B$10,1,Settings!$B$16)</f>
        <v>3</v>
      </c>
      <c r="C1563" s="8">
        <v>46023</v>
      </c>
      <c r="D1563" s="8">
        <f t="shared" si="97"/>
        <v>46387</v>
      </c>
      <c r="E1563" s="6" t="str" cm="1">
        <f t="array" ref="E1563">choice(Groupes!A:A,1,Settings!$B$16)</f>
        <v>G17</v>
      </c>
      <c r="F1563" s="6" t="str">
        <f t="shared" si="98"/>
        <v>G17</v>
      </c>
      <c r="G1563" s="6" t="str">
        <f t="shared" si="99"/>
        <v>Prof25</v>
      </c>
      <c r="H1563" s="6" t="str" cm="1">
        <f t="array" ref="H1563">choice(Referentiel!A:A,1,Settings!$B$16)</f>
        <v>Design Vêtement</v>
      </c>
      <c r="I1563" s="6" t="str" cm="1">
        <f t="array" ref="I1563">choice(Referentiel!B:B,1,Settings!$B$16)</f>
        <v>1ère Année Groupe 1 S2</v>
      </c>
      <c r="J1563" s="6" t="str" cm="1">
        <f t="array" ref="J1563">choice(Referentiel!D:D,1,Settings!$B$16)</f>
        <v>L3</v>
      </c>
      <c r="K1563" s="6" t="str" cm="1">
        <f t="array" ref="K1563">choice(Professeurs!B:B,1,Settings!$B$16)</f>
        <v>Prof25</v>
      </c>
      <c r="L1563" s="5" t="str" cm="1">
        <f t="array" ref="L1563">choice(Referentiel!C:C,1,Settings!$B$16)</f>
        <v/>
      </c>
      <c r="M1563" s="5" t="str" cm="1">
        <f t="array" ref="M1563">choice(Referentiel!E:E,1,Settings!$B$16)</f>
        <v/>
      </c>
      <c r="N1563" s="5" t="str" cm="1">
        <f t="array" ref="N1563">choice(Settings!K:K,1,Settings!$B$16)</f>
        <v/>
      </c>
      <c r="P1563" s="5">
        <f t="shared" si="100"/>
        <v>3</v>
      </c>
    </row>
    <row r="1564" spans="1:16" ht="15.75" customHeight="1" x14ac:dyDescent="0.25">
      <c r="A1564" s="6" t="s">
        <v>1916</v>
      </c>
      <c r="B1564" s="6" cm="1">
        <f t="array" ref="B1564">alea_int(Settings!$B$10,1,Settings!$B$16)</f>
        <v>1</v>
      </c>
      <c r="C1564" s="8">
        <v>46023</v>
      </c>
      <c r="D1564" s="8">
        <f t="shared" si="97"/>
        <v>46387</v>
      </c>
      <c r="E1564" s="6" t="str" cm="1">
        <f t="array" ref="E1564">choice(Groupes!A:A,1,Settings!$B$16)</f>
        <v>G21</v>
      </c>
      <c r="F1564" s="6" t="str">
        <f t="shared" si="98"/>
        <v>G21</v>
      </c>
      <c r="G1564" s="6" t="str">
        <f t="shared" si="99"/>
        <v>Prof23</v>
      </c>
      <c r="H1564" s="6" t="str" cm="1">
        <f t="array" ref="H1564">choice(Referentiel!A:A,1,Settings!$B$16)</f>
        <v>Design des mondes urbains</v>
      </c>
      <c r="I1564" s="6" t="str" cm="1">
        <f t="array" ref="I1564">choice(Referentiel!B:B,1,Settings!$B$16)</f>
        <v>4ème année Scénographie S2</v>
      </c>
      <c r="J1564" s="6" t="str" cm="1">
        <f t="array" ref="J1564">choice(Referentiel!D:D,1,Settings!$B$16)</f>
        <v>L1</v>
      </c>
      <c r="K1564" s="6" t="str" cm="1">
        <f t="array" ref="K1564">choice(Professeurs!B:B,1,Settings!$B$16)</f>
        <v>Prof23</v>
      </c>
      <c r="L1564" s="5" t="str" cm="1">
        <f t="array" ref="L1564">choice(Referentiel!C:C,1,Settings!$B$16)</f>
        <v/>
      </c>
      <c r="M1564" s="5" t="str" cm="1">
        <f t="array" ref="M1564">choice(Referentiel!E:E,1,Settings!$B$16)</f>
        <v/>
      </c>
      <c r="N1564" s="5" t="str" cm="1">
        <f t="array" ref="N1564">choice(Settings!K:K,1,Settings!$B$16)</f>
        <v>mardi am</v>
      </c>
      <c r="P1564" s="5">
        <f t="shared" si="100"/>
        <v>3</v>
      </c>
    </row>
    <row r="1565" spans="1:16" ht="15.75" customHeight="1" x14ac:dyDescent="0.25">
      <c r="A1565" s="6" t="s">
        <v>1917</v>
      </c>
      <c r="B1565" s="6" cm="1">
        <f t="array" ref="B1565">alea_int(Settings!$B$10,1,Settings!$B$16)</f>
        <v>2</v>
      </c>
      <c r="C1565" s="8">
        <v>46023</v>
      </c>
      <c r="D1565" s="8">
        <f t="shared" si="97"/>
        <v>46387</v>
      </c>
      <c r="E1565" s="6" t="str" cm="1">
        <f t="array" ref="E1565">choice(Groupes!A:A,1,Settings!$B$16)</f>
        <v>G28</v>
      </c>
      <c r="F1565" s="6" t="str">
        <f t="shared" si="98"/>
        <v>G28</v>
      </c>
      <c r="G1565" s="6" t="str">
        <f t="shared" si="99"/>
        <v>Prof13</v>
      </c>
      <c r="H1565" s="6" t="str" cm="1">
        <f t="array" ref="H1565">choice(Referentiel!A:A,1,Settings!$B$16)</f>
        <v>1ère année Groupe 1</v>
      </c>
      <c r="I1565" s="6" t="str" cm="1">
        <f t="array" ref="I1565">choice(Referentiel!B:B,1,Settings!$B$16)</f>
        <v>2ème année Architecture Intérieure S1</v>
      </c>
      <c r="J1565" s="6" t="str" cm="1">
        <f t="array" ref="J1565">choice(Referentiel!D:D,1,Settings!$B$16)</f>
        <v>L3</v>
      </c>
      <c r="K1565" s="6" t="str" cm="1">
        <f t="array" ref="K1565">choice(Professeurs!B:B,1,Settings!$B$16)</f>
        <v>Prof13</v>
      </c>
      <c r="L1565" s="5" t="str" cm="1">
        <f t="array" ref="L1565">choice(Referentiel!C:C,1,Settings!$B$16)</f>
        <v/>
      </c>
      <c r="M1565" s="5" t="str" cm="1">
        <f t="array" ref="M1565">choice(Referentiel!E:E,1,Settings!$B$16)</f>
        <v/>
      </c>
      <c r="N1565" s="5" t="str" cm="1">
        <f t="array" ref="N1565">choice(Settings!K:K,1,Settings!$B$16)</f>
        <v>jeudi pm</v>
      </c>
      <c r="P1565" s="5">
        <f t="shared" si="100"/>
        <v>4</v>
      </c>
    </row>
    <row r="1566" spans="1:16" ht="15.75" customHeight="1" x14ac:dyDescent="0.25">
      <c r="A1566" s="6" t="s">
        <v>1918</v>
      </c>
      <c r="B1566" s="6" cm="1">
        <f t="array" ref="B1566">alea_int(Settings!$B$10,1,Settings!$B$16)</f>
        <v>3</v>
      </c>
      <c r="C1566" s="8">
        <v>46023</v>
      </c>
      <c r="D1566" s="8">
        <f t="shared" si="97"/>
        <v>46387</v>
      </c>
      <c r="E1566" s="6" t="str" cm="1">
        <f t="array" ref="E1566">choice(Groupes!A:A,1,Settings!$B$16)</f>
        <v>G21</v>
      </c>
      <c r="F1566" s="6" t="str">
        <f t="shared" si="98"/>
        <v>G21</v>
      </c>
      <c r="G1566" s="6" t="str">
        <f t="shared" si="99"/>
        <v>Prof30</v>
      </c>
      <c r="H1566" s="6" t="str" cm="1">
        <f t="array" ref="H1566">choice(Referentiel!A:A,1,Settings!$B$16)</f>
        <v>Mode et Matière</v>
      </c>
      <c r="I1566" s="6" t="str" cm="1">
        <f t="array" ref="I1566">choice(Referentiel!B:B,1,Settings!$B$16)</f>
        <v>4ème année Design Graphique S1</v>
      </c>
      <c r="J1566" s="6" t="str" cm="1">
        <f t="array" ref="J1566">choice(Referentiel!D:D,1,Settings!$B$16)</f>
        <v>L3</v>
      </c>
      <c r="K1566" s="6" t="str" cm="1">
        <f t="array" ref="K1566">choice(Professeurs!B:B,1,Settings!$B$16)</f>
        <v>Prof30</v>
      </c>
      <c r="L1566" s="5" t="str" cm="1">
        <f t="array" ref="L1566">choice(Referentiel!C:C,1,Settings!$B$16)</f>
        <v/>
      </c>
      <c r="M1566" s="5" t="str" cm="1">
        <f t="array" ref="M1566">choice(Referentiel!E:E,1,Settings!$B$16)</f>
        <v/>
      </c>
      <c r="N1566" s="5" t="str" cm="1">
        <f t="array" ref="N1566">choice(Settings!K:K,1,Settings!$B$16)</f>
        <v>mercredi ap</v>
      </c>
      <c r="P1566" s="5">
        <f t="shared" si="100"/>
        <v>5</v>
      </c>
    </row>
    <row r="1567" spans="1:16" ht="15.75" customHeight="1" x14ac:dyDescent="0.25">
      <c r="A1567" s="6" t="s">
        <v>1919</v>
      </c>
      <c r="B1567" s="6" cm="1">
        <f t="array" ref="B1567">alea_int(Settings!$B$10,1,Settings!$B$16)</f>
        <v>3</v>
      </c>
      <c r="C1567" s="8">
        <v>46023</v>
      </c>
      <c r="D1567" s="8">
        <f t="shared" si="97"/>
        <v>46387</v>
      </c>
      <c r="E1567" s="6" t="str" cm="1">
        <f t="array" ref="E1567">choice(Groupes!A:A,1,Settings!$B$16)</f>
        <v>G9</v>
      </c>
      <c r="F1567" s="6" t="str">
        <f t="shared" si="98"/>
        <v>G9</v>
      </c>
      <c r="G1567" s="6" t="str">
        <f t="shared" si="99"/>
        <v>Prof37</v>
      </c>
      <c r="H1567" s="6" t="str" cm="1">
        <f t="array" ref="H1567">choice(Referentiel!A:A,1,Settings!$B$16)</f>
        <v>Design des mondes ruraux</v>
      </c>
      <c r="I1567" s="6" t="str" cm="1">
        <f t="array" ref="I1567">choice(Referentiel!B:B,1,Settings!$B$16)</f>
        <v>Césure S2</v>
      </c>
      <c r="J1567" s="6" t="str" cm="1">
        <f t="array" ref="J1567">choice(Referentiel!D:D,1,Settings!$B$16)</f>
        <v>M1</v>
      </c>
      <c r="K1567" s="6" t="str" cm="1">
        <f t="array" ref="K1567">choice(Professeurs!B:B,1,Settings!$B$16)</f>
        <v>Prof37</v>
      </c>
      <c r="L1567" s="5" t="str" cm="1">
        <f t="array" ref="L1567">choice(Referentiel!C:C,1,Settings!$B$16)</f>
        <v/>
      </c>
      <c r="M1567" s="5" t="str" cm="1">
        <f t="array" ref="M1567">choice(Referentiel!E:E,1,Settings!$B$16)</f>
        <v/>
      </c>
      <c r="N1567" s="5" t="str" cm="1">
        <f t="array" ref="N1567">choice(Settings!K:K,1,Settings!$B$16)</f>
        <v/>
      </c>
      <c r="P1567" s="5">
        <f t="shared" si="100"/>
        <v>3</v>
      </c>
    </row>
    <row r="1568" spans="1:16" ht="15.75" customHeight="1" x14ac:dyDescent="0.25">
      <c r="A1568" s="6" t="s">
        <v>1920</v>
      </c>
      <c r="B1568" s="6" cm="1">
        <f t="array" ref="B1568">alea_int(Settings!$B$10,1,Settings!$B$16)</f>
        <v>2</v>
      </c>
      <c r="C1568" s="8">
        <v>46023</v>
      </c>
      <c r="D1568" s="8">
        <f t="shared" si="97"/>
        <v>46387</v>
      </c>
      <c r="E1568" s="6" t="str" cm="1">
        <f t="array" ref="E1568">choice(Groupes!A:A,1,Settings!$B$16)</f>
        <v>G16</v>
      </c>
      <c r="F1568" s="6" t="str">
        <f t="shared" si="98"/>
        <v>G16</v>
      </c>
      <c r="G1568" s="6" t="str">
        <f t="shared" si="99"/>
        <v>Prof45</v>
      </c>
      <c r="H1568" s="6" t="str" cm="1">
        <f t="array" ref="H1568">choice(Referentiel!A:A,1,Settings!$B$16)</f>
        <v>6ème ANNÉE STAGE</v>
      </c>
      <c r="I1568" s="6" t="str" cm="1">
        <f t="array" ref="I1568">choice(Referentiel!B:B,1,Settings!$B$16)</f>
        <v>Césure S2</v>
      </c>
      <c r="J1568" s="6" t="str" cm="1">
        <f t="array" ref="J1568">choice(Referentiel!D:D,1,Settings!$B$16)</f>
        <v>M1</v>
      </c>
      <c r="K1568" s="6" t="str" cm="1">
        <f t="array" ref="K1568">choice(Professeurs!B:B,1,Settings!$B$16)</f>
        <v>Prof45</v>
      </c>
      <c r="L1568" s="5" t="str" cm="1">
        <f t="array" ref="L1568">choice(Referentiel!C:C,1,Settings!$B$16)</f>
        <v/>
      </c>
      <c r="M1568" s="5" t="str" cm="1">
        <f t="array" ref="M1568">choice(Referentiel!E:E,1,Settings!$B$16)</f>
        <v/>
      </c>
      <c r="N1568" s="5" t="str" cm="1">
        <f t="array" ref="N1568">choice(Settings!K:K,1,Settings!$B$16)</f>
        <v/>
      </c>
      <c r="P1568" s="5">
        <f t="shared" si="100"/>
        <v>2</v>
      </c>
    </row>
    <row r="1569" spans="1:16" ht="15.75" customHeight="1" x14ac:dyDescent="0.25">
      <c r="A1569" s="6" t="s">
        <v>1921</v>
      </c>
      <c r="B1569" s="6" cm="1">
        <f t="array" ref="B1569">alea_int(Settings!$B$10,1,Settings!$B$16)</f>
        <v>3</v>
      </c>
      <c r="C1569" s="8">
        <v>46023</v>
      </c>
      <c r="D1569" s="8">
        <f t="shared" si="97"/>
        <v>46387</v>
      </c>
      <c r="E1569" s="6" t="str" cm="1">
        <f t="array" ref="E1569">choice(Groupes!A:A,1,Settings!$B$16)</f>
        <v>G8</v>
      </c>
      <c r="F1569" s="6" t="str">
        <f t="shared" si="98"/>
        <v>G8</v>
      </c>
      <c r="G1569" s="6" t="str">
        <f t="shared" si="99"/>
        <v>Prof22</v>
      </c>
      <c r="H1569" s="6" t="str" cm="1">
        <f t="array" ref="H1569">choice(Referentiel!A:A,1,Settings!$B$16)</f>
        <v>Design Objet</v>
      </c>
      <c r="I1569" s="6" t="str" cm="1">
        <f t="array" ref="I1569">choice(Referentiel!B:B,1,Settings!$B$16)</f>
        <v>5ème année Image Imprimée S1</v>
      </c>
      <c r="J1569" s="6" t="str" cm="1">
        <f t="array" ref="J1569">choice(Referentiel!D:D,1,Settings!$B$16)</f>
        <v>M1</v>
      </c>
      <c r="K1569" s="6" t="str" cm="1">
        <f t="array" ref="K1569">choice(Professeurs!B:B,1,Settings!$B$16)</f>
        <v>Prof22</v>
      </c>
      <c r="L1569" s="5" t="str" cm="1">
        <f t="array" ref="L1569">choice(Referentiel!C:C,1,Settings!$B$16)</f>
        <v/>
      </c>
      <c r="M1569" s="5" t="str" cm="1">
        <f t="array" ref="M1569">choice(Referentiel!E:E,1,Settings!$B$16)</f>
        <v/>
      </c>
      <c r="N1569" s="5" t="str" cm="1">
        <f t="array" ref="N1569">choice(Settings!K:K,1,Settings!$B$16)</f>
        <v/>
      </c>
      <c r="P1569" s="5">
        <f t="shared" si="100"/>
        <v>3</v>
      </c>
    </row>
    <row r="1570" spans="1:16" ht="15.75" customHeight="1" x14ac:dyDescent="0.25">
      <c r="A1570" s="6" t="s">
        <v>1922</v>
      </c>
      <c r="B1570" s="6" cm="1">
        <f t="array" ref="B1570">alea_int(Settings!$B$10,1,Settings!$B$16)</f>
        <v>1</v>
      </c>
      <c r="C1570" s="8">
        <v>46023</v>
      </c>
      <c r="D1570" s="8">
        <f t="shared" si="97"/>
        <v>46387</v>
      </c>
      <c r="E1570" s="6" t="str" cm="1">
        <f t="array" ref="E1570">choice(Groupes!A:A,1,Settings!$B$16)</f>
        <v>G8</v>
      </c>
      <c r="F1570" s="6" t="str">
        <f t="shared" si="98"/>
        <v>G8</v>
      </c>
      <c r="G1570" s="6" t="str">
        <f t="shared" si="99"/>
        <v>Prof17</v>
      </c>
      <c r="H1570" s="6" t="str" cm="1">
        <f t="array" ref="H1570">choice(Referentiel!A:A,1,Settings!$B$16)</f>
        <v>Design Graphique</v>
      </c>
      <c r="I1570" s="6" t="str" cm="1">
        <f t="array" ref="I1570">choice(Referentiel!B:B,1,Settings!$B$16)</f>
        <v>4ème année Image Imprimée S2</v>
      </c>
      <c r="J1570" s="6" t="str" cm="1">
        <f t="array" ref="J1570">choice(Referentiel!D:D,1,Settings!$B$16)</f>
        <v>L2</v>
      </c>
      <c r="K1570" s="6" t="str" cm="1">
        <f t="array" ref="K1570">choice(Professeurs!B:B,1,Settings!$B$16)</f>
        <v>Prof17</v>
      </c>
      <c r="L1570" s="5" t="str" cm="1">
        <f t="array" ref="L1570">choice(Referentiel!C:C,1,Settings!$B$16)</f>
        <v/>
      </c>
      <c r="M1570" s="5" t="str" cm="1">
        <f t="array" ref="M1570">choice(Referentiel!E:E,1,Settings!$B$16)</f>
        <v/>
      </c>
      <c r="N1570" s="5" t="str" cm="1">
        <f t="array" ref="N1570">choice(Settings!K:K,1,Settings!$B$16)</f>
        <v/>
      </c>
      <c r="P1570" s="5">
        <f t="shared" si="100"/>
        <v>1</v>
      </c>
    </row>
    <row r="1571" spans="1:16" ht="15.75" customHeight="1" x14ac:dyDescent="0.25">
      <c r="A1571" s="6" t="s">
        <v>1923</v>
      </c>
      <c r="B1571" s="6" cm="1">
        <f t="array" ref="B1571">alea_int(Settings!$B$10,1,Settings!$B$16)</f>
        <v>2</v>
      </c>
      <c r="C1571" s="8">
        <v>46023</v>
      </c>
      <c r="D1571" s="8">
        <f t="shared" si="97"/>
        <v>46387</v>
      </c>
      <c r="E1571" s="6" t="str" cm="1">
        <f t="array" ref="E1571">choice(Groupes!A:A,1,Settings!$B$16)</f>
        <v>G20</v>
      </c>
      <c r="F1571" s="6" t="str">
        <f t="shared" si="98"/>
        <v>G20</v>
      </c>
      <c r="G1571" s="6" t="str">
        <f t="shared" si="99"/>
        <v>Prof36</v>
      </c>
      <c r="H1571" s="6" t="str" cm="1">
        <f t="array" ref="H1571">choice(Referentiel!A:A,1,Settings!$B$16)</f>
        <v>Design des mondes insulaires</v>
      </c>
      <c r="I1571" s="6" t="str" cm="1">
        <f t="array" ref="I1571">choice(Referentiel!B:B,1,Settings!$B$16)</f>
        <v>5ème année Design Textile et Matière S1</v>
      </c>
      <c r="J1571" s="6" t="str" cm="1">
        <f t="array" ref="J1571">choice(Referentiel!D:D,1,Settings!$B$16)</f>
        <v>L2</v>
      </c>
      <c r="K1571" s="6" t="str" cm="1">
        <f t="array" ref="K1571">choice(Professeurs!B:B,1,Settings!$B$16)</f>
        <v>Prof36</v>
      </c>
      <c r="L1571" s="5" t="str" cm="1">
        <f t="array" ref="L1571">choice(Referentiel!C:C,1,Settings!$B$16)</f>
        <v/>
      </c>
      <c r="M1571" s="5" t="str" cm="1">
        <f t="array" ref="M1571">choice(Referentiel!E:E,1,Settings!$B$16)</f>
        <v/>
      </c>
      <c r="N1571" s="5" t="str" cm="1">
        <f t="array" ref="N1571">choice(Settings!K:K,1,Settings!$B$16)</f>
        <v>vendredi pm</v>
      </c>
      <c r="P1571" s="5">
        <f t="shared" si="100"/>
        <v>4</v>
      </c>
    </row>
    <row r="1572" spans="1:16" ht="15.75" customHeight="1" x14ac:dyDescent="0.25">
      <c r="A1572" s="6" t="s">
        <v>1924</v>
      </c>
      <c r="B1572" s="6" cm="1">
        <f t="array" ref="B1572">alea_int(Settings!$B$10,1,Settings!$B$16)</f>
        <v>3</v>
      </c>
      <c r="C1572" s="8">
        <v>46023</v>
      </c>
      <c r="D1572" s="8">
        <f t="shared" si="97"/>
        <v>46387</v>
      </c>
      <c r="E1572" s="6" t="str" cm="1">
        <f t="array" ref="E1572">choice(Groupes!A:A,1,Settings!$B$16)</f>
        <v>G11</v>
      </c>
      <c r="F1572" s="6" t="str">
        <f t="shared" si="98"/>
        <v>G11</v>
      </c>
      <c r="G1572" s="6" t="str">
        <f t="shared" si="99"/>
        <v>Prof3</v>
      </c>
      <c r="H1572" s="6" t="str" cm="1">
        <f t="array" ref="H1572">choice(Referentiel!A:A,1,Settings!$B$16)</f>
        <v>Cinéma d'Animation</v>
      </c>
      <c r="I1572" s="6" t="str" cm="1">
        <f t="array" ref="I1572">choice(Referentiel!B:B,1,Settings!$B$16)</f>
        <v>4ème année Art-Espace S2</v>
      </c>
      <c r="J1572" s="6" t="str" cm="1">
        <f t="array" ref="J1572">choice(Referentiel!D:D,1,Settings!$B$16)</f>
        <v>M2</v>
      </c>
      <c r="K1572" s="6" t="str" cm="1">
        <f t="array" ref="K1572">choice(Professeurs!B:B,1,Settings!$B$16)</f>
        <v>Prof3</v>
      </c>
      <c r="L1572" s="5" t="str" cm="1">
        <f t="array" ref="L1572">choice(Referentiel!C:C,1,Settings!$B$16)</f>
        <v/>
      </c>
      <c r="M1572" s="5" t="str" cm="1">
        <f t="array" ref="M1572">choice(Referentiel!E:E,1,Settings!$B$16)</f>
        <v/>
      </c>
      <c r="N1572" s="5" t="str" cm="1">
        <f t="array" ref="N1572">choice(Settings!K:K,1,Settings!$B$16)</f>
        <v/>
      </c>
      <c r="P1572" s="5">
        <f t="shared" si="100"/>
        <v>3</v>
      </c>
    </row>
    <row r="1573" spans="1:16" ht="15.75" customHeight="1" x14ac:dyDescent="0.25">
      <c r="A1573" s="6" t="s">
        <v>1925</v>
      </c>
      <c r="B1573" s="6" cm="1">
        <f t="array" ref="B1573">alea_int(Settings!$B$10,1,Settings!$B$16)</f>
        <v>2</v>
      </c>
      <c r="C1573" s="8">
        <v>46023</v>
      </c>
      <c r="D1573" s="8">
        <f t="shared" si="97"/>
        <v>46387</v>
      </c>
      <c r="E1573" s="6" t="str" cm="1">
        <f t="array" ref="E1573">choice(Groupes!A:A,1,Settings!$B$16)</f>
        <v>G3</v>
      </c>
      <c r="F1573" s="6" t="str">
        <f t="shared" si="98"/>
        <v>G3</v>
      </c>
      <c r="G1573" s="6" t="str">
        <f t="shared" si="99"/>
        <v>Prof25</v>
      </c>
      <c r="H1573" s="6" t="str" cm="1">
        <f t="array" ref="H1573">choice(Referentiel!A:A,1,Settings!$B$16)</f>
        <v>1ère année Groupe 4</v>
      </c>
      <c r="I1573" s="6" t="str" cm="1">
        <f t="array" ref="I1573">choice(Referentiel!B:B,1,Settings!$B$16)</f>
        <v>2ème année Architecture Intérieure S1</v>
      </c>
      <c r="J1573" s="6" t="str" cm="1">
        <f t="array" ref="J1573">choice(Referentiel!D:D,1,Settings!$B$16)</f>
        <v>L1</v>
      </c>
      <c r="K1573" s="6" t="str" cm="1">
        <f t="array" ref="K1573">choice(Professeurs!B:B,1,Settings!$B$16)</f>
        <v>Prof25</v>
      </c>
      <c r="L1573" s="5" t="str" cm="1">
        <f t="array" ref="L1573">choice(Referentiel!C:C,1,Settings!$B$16)</f>
        <v/>
      </c>
      <c r="M1573" s="5" t="str" cm="1">
        <f t="array" ref="M1573">choice(Referentiel!E:E,1,Settings!$B$16)</f>
        <v/>
      </c>
      <c r="N1573" s="5" t="str" cm="1">
        <f t="array" ref="N1573">choice(Settings!K:K,1,Settings!$B$16)</f>
        <v/>
      </c>
      <c r="P1573" s="5">
        <f t="shared" si="100"/>
        <v>2</v>
      </c>
    </row>
    <row r="1574" spans="1:16" ht="15.75" customHeight="1" x14ac:dyDescent="0.25">
      <c r="A1574" s="6" t="s">
        <v>1926</v>
      </c>
      <c r="B1574" s="6" cm="1">
        <f t="array" ref="B1574">alea_int(Settings!$B$10,1,Settings!$B$16)</f>
        <v>3</v>
      </c>
      <c r="C1574" s="8">
        <v>46023</v>
      </c>
      <c r="D1574" s="8">
        <f t="shared" si="97"/>
        <v>46387</v>
      </c>
      <c r="E1574" s="6" t="str" cm="1">
        <f t="array" ref="E1574">choice(Groupes!A:A,1,Settings!$B$16)</f>
        <v>G29</v>
      </c>
      <c r="F1574" s="6" t="str">
        <f t="shared" si="98"/>
        <v>G29</v>
      </c>
      <c r="G1574" s="6" t="str">
        <f t="shared" si="99"/>
        <v>Prof55</v>
      </c>
      <c r="H1574" s="6" t="str" cm="1">
        <f t="array" ref="H1574">choice(Referentiel!A:A,1,Settings!$B$16)</f>
        <v>Architecture Intérieure</v>
      </c>
      <c r="I1574" s="6" t="str" cm="1">
        <f t="array" ref="I1574">choice(Referentiel!B:B,1,Settings!$B$16)</f>
        <v>5ème année Scénographie S2</v>
      </c>
      <c r="J1574" s="6" t="str" cm="1">
        <f t="array" ref="J1574">choice(Referentiel!D:D,1,Settings!$B$16)</f>
        <v>L3</v>
      </c>
      <c r="K1574" s="6" t="str" cm="1">
        <f t="array" ref="K1574">choice(Professeurs!B:B,1,Settings!$B$16)</f>
        <v>Prof55</v>
      </c>
      <c r="L1574" s="5" t="str" cm="1">
        <f t="array" ref="L1574">choice(Referentiel!C:C,1,Settings!$B$16)</f>
        <v/>
      </c>
      <c r="M1574" s="5" t="str" cm="1">
        <f t="array" ref="M1574">choice(Referentiel!E:E,1,Settings!$B$16)</f>
        <v/>
      </c>
      <c r="N1574" s="5" t="str" cm="1">
        <f t="array" ref="N1574">choice(Settings!K:K,1,Settings!$B$16)</f>
        <v/>
      </c>
      <c r="P1574" s="5">
        <f t="shared" si="100"/>
        <v>3</v>
      </c>
    </row>
    <row r="1575" spans="1:16" ht="15.75" customHeight="1" x14ac:dyDescent="0.25">
      <c r="A1575" s="6" t="s">
        <v>1927</v>
      </c>
      <c r="B1575" s="6" cm="1">
        <f t="array" ref="B1575">alea_int(Settings!$B$10,1,Settings!$B$16)</f>
        <v>2</v>
      </c>
      <c r="C1575" s="8">
        <v>46023</v>
      </c>
      <c r="D1575" s="8">
        <f t="shared" si="97"/>
        <v>46387</v>
      </c>
      <c r="E1575" s="6" t="str" cm="1">
        <f t="array" ref="E1575">choice(Groupes!A:A,1,Settings!$B$16)</f>
        <v>G6</v>
      </c>
      <c r="F1575" s="6" t="str">
        <f t="shared" si="98"/>
        <v>G6</v>
      </c>
      <c r="G1575" s="6" t="str">
        <f t="shared" si="99"/>
        <v>Prof34</v>
      </c>
      <c r="H1575" s="6" t="str" cm="1">
        <f t="array" ref="H1575">choice(Referentiel!A:A,1,Settings!$B$16)</f>
        <v>Gr ART, DESIGN, SOCIETE</v>
      </c>
      <c r="I1575" s="6" t="str" cm="1">
        <f t="array" ref="I1575">choice(Referentiel!B:B,1,Settings!$B$16)</f>
        <v>2ème année Art-Espace S1</v>
      </c>
      <c r="J1575" s="6" t="str" cm="1">
        <f t="array" ref="J1575">choice(Referentiel!D:D,1,Settings!$B$16)</f>
        <v>L1</v>
      </c>
      <c r="K1575" s="6" t="str" cm="1">
        <f t="array" ref="K1575">choice(Professeurs!B:B,1,Settings!$B$16)</f>
        <v>Prof34</v>
      </c>
      <c r="L1575" s="5" t="str" cm="1">
        <f t="array" ref="L1575">choice(Referentiel!C:C,1,Settings!$B$16)</f>
        <v/>
      </c>
      <c r="M1575" s="5" t="str" cm="1">
        <f t="array" ref="M1575">choice(Referentiel!E:E,1,Settings!$B$16)</f>
        <v/>
      </c>
      <c r="N1575" s="5" t="str" cm="1">
        <f t="array" ref="N1575">choice(Settings!K:K,1,Settings!$B$16)</f>
        <v/>
      </c>
      <c r="P1575" s="5">
        <f t="shared" si="100"/>
        <v>2</v>
      </c>
    </row>
    <row r="1576" spans="1:16" ht="15.75" customHeight="1" x14ac:dyDescent="0.25">
      <c r="A1576" s="6" t="s">
        <v>1928</v>
      </c>
      <c r="B1576" s="6" cm="1">
        <f t="array" ref="B1576">alea_int(Settings!$B$10,1,Settings!$B$16)</f>
        <v>2</v>
      </c>
      <c r="C1576" s="8">
        <v>46023</v>
      </c>
      <c r="D1576" s="8">
        <f t="shared" si="97"/>
        <v>46387</v>
      </c>
      <c r="E1576" s="6" t="str" cm="1">
        <f t="array" ref="E1576">choice(Groupes!A:A,1,Settings!$B$16)</f>
        <v>G3</v>
      </c>
      <c r="F1576" s="6" t="str">
        <f t="shared" si="98"/>
        <v>G3</v>
      </c>
      <c r="G1576" s="6" t="str">
        <f t="shared" si="99"/>
        <v>Prof19</v>
      </c>
      <c r="H1576" s="6" t="str" cm="1">
        <f t="array" ref="H1576">choice(Referentiel!A:A,1,Settings!$B$16)</f>
        <v>Design des mondes urbains</v>
      </c>
      <c r="I1576" s="6" t="str" cm="1">
        <f t="array" ref="I1576">choice(Referentiel!B:B,1,Settings!$B$16)</f>
        <v>3ème année Architecture Intérieure S2</v>
      </c>
      <c r="J1576" s="6" t="str" cm="1">
        <f t="array" ref="J1576">choice(Referentiel!D:D,1,Settings!$B$16)</f>
        <v>M1</v>
      </c>
      <c r="K1576" s="6" t="str" cm="1">
        <f t="array" ref="K1576">choice(Professeurs!B:B,1,Settings!$B$16)</f>
        <v>Prof19</v>
      </c>
      <c r="L1576" s="5" t="str" cm="1">
        <f t="array" ref="L1576">choice(Referentiel!C:C,1,Settings!$B$16)</f>
        <v/>
      </c>
      <c r="M1576" s="5" t="str" cm="1">
        <f t="array" ref="M1576">choice(Referentiel!E:E,1,Settings!$B$16)</f>
        <v/>
      </c>
      <c r="N1576" s="5" t="str" cm="1">
        <f t="array" ref="N1576">choice(Settings!K:K,1,Settings!$B$16)</f>
        <v>vendredi am</v>
      </c>
      <c r="P1576" s="5">
        <f t="shared" si="100"/>
        <v>4</v>
      </c>
    </row>
    <row r="1577" spans="1:16" ht="15.75" customHeight="1" x14ac:dyDescent="0.25">
      <c r="A1577" s="6" t="s">
        <v>1929</v>
      </c>
      <c r="B1577" s="6" cm="1">
        <f t="array" ref="B1577">alea_int(Settings!$B$10,1,Settings!$B$16)</f>
        <v>2</v>
      </c>
      <c r="C1577" s="8">
        <v>46023</v>
      </c>
      <c r="D1577" s="8">
        <f t="shared" si="97"/>
        <v>46387</v>
      </c>
      <c r="E1577" s="6" t="str" cm="1">
        <f t="array" ref="E1577">choice(Groupes!A:A,1,Settings!$B$16)</f>
        <v>G15</v>
      </c>
      <c r="F1577" s="6" t="str">
        <f t="shared" si="98"/>
        <v>G15</v>
      </c>
      <c r="G1577" s="6" t="str">
        <f t="shared" si="99"/>
        <v>Prof22</v>
      </c>
      <c r="H1577" s="6" t="str" cm="1">
        <f t="array" ref="H1577">choice(Referentiel!A:A,1,Settings!$B$16)</f>
        <v>Gr SPATIAL MEDIA</v>
      </c>
      <c r="I1577" s="6" t="str" cm="1">
        <f t="array" ref="I1577">choice(Referentiel!B:B,1,Settings!$B$16)</f>
        <v>2ème année Image Imprimée S1</v>
      </c>
      <c r="J1577" s="6" t="str" cm="1">
        <f t="array" ref="J1577">choice(Referentiel!D:D,1,Settings!$B$16)</f>
        <v>M1</v>
      </c>
      <c r="K1577" s="6" t="str" cm="1">
        <f t="array" ref="K1577">choice(Professeurs!B:B,1,Settings!$B$16)</f>
        <v>Prof22</v>
      </c>
      <c r="L1577" s="5" t="str" cm="1">
        <f t="array" ref="L1577">choice(Referentiel!C:C,1,Settings!$B$16)</f>
        <v/>
      </c>
      <c r="M1577" s="5" t="str" cm="1">
        <f t="array" ref="M1577">choice(Referentiel!E:E,1,Settings!$B$16)</f>
        <v/>
      </c>
      <c r="N1577" s="5" t="str" cm="1">
        <f t="array" ref="N1577">choice(Settings!K:K,1,Settings!$B$16)</f>
        <v>jeudi pm</v>
      </c>
      <c r="P1577" s="5">
        <f t="shared" si="100"/>
        <v>4</v>
      </c>
    </row>
    <row r="1578" spans="1:16" ht="15.75" customHeight="1" x14ac:dyDescent="0.25">
      <c r="A1578" s="6" t="s">
        <v>1930</v>
      </c>
      <c r="B1578" s="6" cm="1">
        <f t="array" ref="B1578">alea_int(Settings!$B$10,1,Settings!$B$16)</f>
        <v>3</v>
      </c>
      <c r="C1578" s="8">
        <v>46023</v>
      </c>
      <c r="D1578" s="8">
        <f t="shared" si="97"/>
        <v>46387</v>
      </c>
      <c r="E1578" s="6" t="str" cm="1">
        <f t="array" ref="E1578">choice(Groupes!A:A,1,Settings!$B$16)</f>
        <v>G17</v>
      </c>
      <c r="F1578" s="6" t="str">
        <f t="shared" si="98"/>
        <v>G17</v>
      </c>
      <c r="G1578" s="6" t="str">
        <f t="shared" si="99"/>
        <v>Prof12</v>
      </c>
      <c r="H1578" s="6" t="str" cm="1">
        <f t="array" ref="H1578">choice(Referentiel!A:A,1,Settings!$B$16)</f>
        <v>Design des mondes insulaires</v>
      </c>
      <c r="I1578" s="6" t="str" cm="1">
        <f t="array" ref="I1578">choice(Referentiel!B:B,1,Settings!$B$16)</f>
        <v>4ème année Scénographie S1</v>
      </c>
      <c r="J1578" s="6" t="str" cm="1">
        <f t="array" ref="J1578">choice(Referentiel!D:D,1,Settings!$B$16)</f>
        <v>M1</v>
      </c>
      <c r="K1578" s="6" t="str" cm="1">
        <f t="array" ref="K1578">choice(Professeurs!B:B,1,Settings!$B$16)</f>
        <v>Prof12</v>
      </c>
      <c r="L1578" s="5" t="str" cm="1">
        <f t="array" ref="L1578">choice(Referentiel!C:C,1,Settings!$B$16)</f>
        <v/>
      </c>
      <c r="M1578" s="5" t="str" cm="1">
        <f t="array" ref="M1578">choice(Referentiel!E:E,1,Settings!$B$16)</f>
        <v/>
      </c>
      <c r="N1578" s="5" t="str" cm="1">
        <f t="array" ref="N1578">choice(Settings!K:K,1,Settings!$B$16)</f>
        <v>vendredi am</v>
      </c>
      <c r="P1578" s="5">
        <f t="shared" si="100"/>
        <v>5</v>
      </c>
    </row>
    <row r="1579" spans="1:16" ht="15.75" customHeight="1" x14ac:dyDescent="0.25">
      <c r="A1579" s="6" t="s">
        <v>1931</v>
      </c>
      <c r="B1579" s="6" cm="1">
        <f t="array" ref="B1579">alea_int(Settings!$B$10,1,Settings!$B$16)</f>
        <v>3</v>
      </c>
      <c r="C1579" s="8">
        <v>46023</v>
      </c>
      <c r="D1579" s="8">
        <f t="shared" si="97"/>
        <v>46387</v>
      </c>
      <c r="E1579" s="6" t="str" cm="1">
        <f t="array" ref="E1579">choice(Groupes!A:A,1,Settings!$B$16)</f>
        <v>G10</v>
      </c>
      <c r="F1579" s="6" t="str">
        <f t="shared" si="98"/>
        <v>G10</v>
      </c>
      <c r="G1579" s="6" t="str">
        <f t="shared" si="99"/>
        <v>Prof50</v>
      </c>
      <c r="H1579" s="6" t="str" cm="1">
        <f t="array" ref="H1579">choice(Referentiel!A:A,1,Settings!$B$16)</f>
        <v>Cinéma d'Animation</v>
      </c>
      <c r="I1579" s="6" t="str" cm="1">
        <f t="array" ref="I1579">choice(Referentiel!B:B,1,Settings!$B$16)</f>
        <v>4ème année Architecture Intérieure S2</v>
      </c>
      <c r="J1579" s="6" t="str" cm="1">
        <f t="array" ref="J1579">choice(Referentiel!D:D,1,Settings!$B$16)</f>
        <v>L1</v>
      </c>
      <c r="K1579" s="6" t="str" cm="1">
        <f t="array" ref="K1579">choice(Professeurs!B:B,1,Settings!$B$16)</f>
        <v>Prof50</v>
      </c>
      <c r="L1579" s="5" t="str" cm="1">
        <f t="array" ref="L1579">choice(Referentiel!C:C,1,Settings!$B$16)</f>
        <v/>
      </c>
      <c r="M1579" s="5" t="str" cm="1">
        <f t="array" ref="M1579">choice(Referentiel!E:E,1,Settings!$B$16)</f>
        <v>Salle3</v>
      </c>
      <c r="N1579" s="5" t="str" cm="1">
        <f t="array" ref="N1579">choice(Settings!K:K,1,Settings!$B$16)</f>
        <v/>
      </c>
      <c r="P1579" s="5">
        <f t="shared" si="100"/>
        <v>5</v>
      </c>
    </row>
    <row r="1580" spans="1:16" ht="15.75" customHeight="1" x14ac:dyDescent="0.25">
      <c r="A1580" s="6" t="s">
        <v>1932</v>
      </c>
      <c r="B1580" s="6" cm="1">
        <f t="array" ref="B1580">alea_int(Settings!$B$10,1,Settings!$B$16)</f>
        <v>3</v>
      </c>
      <c r="C1580" s="8">
        <v>46023</v>
      </c>
      <c r="D1580" s="8">
        <f t="shared" si="97"/>
        <v>46387</v>
      </c>
      <c r="E1580" s="6" t="str" cm="1">
        <f t="array" ref="E1580">choice(Groupes!A:A,1,Settings!$B$16)</f>
        <v>G27</v>
      </c>
      <c r="F1580" s="6" t="str">
        <f t="shared" si="98"/>
        <v>G27</v>
      </c>
      <c r="G1580" s="6" t="str">
        <f t="shared" si="99"/>
        <v>Prof35</v>
      </c>
      <c r="H1580" s="6" t="str" cm="1">
        <f t="array" ref="H1580">choice(Referentiel!A:A,1,Settings!$B$16)</f>
        <v>Design des mondes forestiers</v>
      </c>
      <c r="I1580" s="6" t="str" cm="1">
        <f t="array" ref="I1580">choice(Referentiel!B:B,1,Settings!$B$16)</f>
        <v>2ème année Design Graphique S2</v>
      </c>
      <c r="J1580" s="6" t="str" cm="1">
        <f t="array" ref="J1580">choice(Referentiel!D:D,1,Settings!$B$16)</f>
        <v>L3</v>
      </c>
      <c r="K1580" s="6" t="str" cm="1">
        <f t="array" ref="K1580">choice(Professeurs!B:B,1,Settings!$B$16)</f>
        <v>Prof35</v>
      </c>
      <c r="L1580" s="5" t="str" cm="1">
        <f t="array" ref="L1580">choice(Referentiel!C:C,1,Settings!$B$16)</f>
        <v/>
      </c>
      <c r="M1580" s="5" t="str" cm="1">
        <f t="array" ref="M1580">choice(Referentiel!E:E,1,Settings!$B$16)</f>
        <v/>
      </c>
      <c r="N1580" s="5" t="str" cm="1">
        <f t="array" ref="N1580">choice(Settings!K:K,1,Settings!$B$16)</f>
        <v/>
      </c>
      <c r="P1580" s="5">
        <f t="shared" si="100"/>
        <v>3</v>
      </c>
    </row>
    <row r="1581" spans="1:16" ht="15.75" customHeight="1" x14ac:dyDescent="0.25">
      <c r="A1581" s="6" t="s">
        <v>1933</v>
      </c>
      <c r="B1581" s="6" cm="1">
        <f t="array" ref="B1581">alea_int(Settings!$B$10,1,Settings!$B$16)</f>
        <v>2</v>
      </c>
      <c r="C1581" s="8">
        <v>46023</v>
      </c>
      <c r="D1581" s="8">
        <f t="shared" si="97"/>
        <v>46387</v>
      </c>
      <c r="E1581" s="6" t="str" cm="1">
        <f t="array" ref="E1581">choice(Groupes!A:A,1,Settings!$B$16)</f>
        <v>G13</v>
      </c>
      <c r="F1581" s="6" t="str">
        <f t="shared" si="98"/>
        <v>G13</v>
      </c>
      <c r="G1581" s="6" t="str">
        <f t="shared" si="99"/>
        <v>Prof15</v>
      </c>
      <c r="H1581" s="6" t="str" cm="1">
        <f t="array" ref="H1581">choice(Referentiel!A:A,1,Settings!$B$16)</f>
        <v>1ère année Groupe 3</v>
      </c>
      <c r="I1581" s="6" t="str" cm="1">
        <f t="array" ref="I1581">choice(Referentiel!B:B,1,Settings!$B$16)</f>
        <v>3ème année Design Graphique S1</v>
      </c>
      <c r="J1581" s="6" t="str" cm="1">
        <f t="array" ref="J1581">choice(Referentiel!D:D,1,Settings!$B$16)</f>
        <v>M1</v>
      </c>
      <c r="K1581" s="6" t="str" cm="1">
        <f t="array" ref="K1581">choice(Professeurs!B:B,1,Settings!$B$16)</f>
        <v>Prof15</v>
      </c>
      <c r="L1581" s="5" t="str" cm="1">
        <f t="array" ref="L1581">choice(Referentiel!C:C,1,Settings!$B$16)</f>
        <v/>
      </c>
      <c r="M1581" s="5" t="str" cm="1">
        <f t="array" ref="M1581">choice(Referentiel!E:E,1,Settings!$B$16)</f>
        <v/>
      </c>
      <c r="N1581" s="5" t="str" cm="1">
        <f t="array" ref="N1581">choice(Settings!K:K,1,Settings!$B$16)</f>
        <v/>
      </c>
      <c r="P1581" s="5">
        <f t="shared" si="100"/>
        <v>2</v>
      </c>
    </row>
    <row r="1582" spans="1:16" ht="15.75" customHeight="1" x14ac:dyDescent="0.25">
      <c r="A1582" s="6" t="s">
        <v>1934</v>
      </c>
      <c r="B1582" s="6" cm="1">
        <f t="array" ref="B1582">alea_int(Settings!$B$10,1,Settings!$B$16)</f>
        <v>1</v>
      </c>
      <c r="C1582" s="8">
        <v>46023</v>
      </c>
      <c r="D1582" s="8">
        <f t="shared" si="97"/>
        <v>46387</v>
      </c>
      <c r="E1582" s="6" t="str" cm="1">
        <f t="array" ref="E1582">choice(Groupes!A:A,1,Settings!$B$16)</f>
        <v>G10</v>
      </c>
      <c r="F1582" s="6" t="str">
        <f t="shared" si="98"/>
        <v>G10</v>
      </c>
      <c r="G1582" s="6" t="str">
        <f t="shared" si="99"/>
        <v>Prof29</v>
      </c>
      <c r="H1582" s="6" t="str" cm="1">
        <f t="array" ref="H1582">choice(Referentiel!A:A,1,Settings!$B$16)</f>
        <v>Gr SPATIAL MEDIA</v>
      </c>
      <c r="I1582" s="6" t="str" cm="1">
        <f t="array" ref="I1582">choice(Referentiel!B:B,1,Settings!$B$16)</f>
        <v>1ère Année Groupe 2 S1</v>
      </c>
      <c r="J1582" s="6" t="str" cm="1">
        <f t="array" ref="J1582">choice(Referentiel!D:D,1,Settings!$B$16)</f>
        <v>M2</v>
      </c>
      <c r="K1582" s="6" t="str" cm="1">
        <f t="array" ref="K1582">choice(Professeurs!B:B,1,Settings!$B$16)</f>
        <v>Prof29</v>
      </c>
      <c r="L1582" s="5" t="str" cm="1">
        <f t="array" ref="L1582">choice(Referentiel!C:C,1,Settings!$B$16)</f>
        <v/>
      </c>
      <c r="M1582" s="5" t="str" cm="1">
        <f t="array" ref="M1582">choice(Referentiel!E:E,1,Settings!$B$16)</f>
        <v/>
      </c>
      <c r="N1582" s="5" t="str" cm="1">
        <f t="array" ref="N1582">choice(Settings!K:K,1,Settings!$B$16)</f>
        <v/>
      </c>
      <c r="P1582" s="5">
        <f t="shared" si="100"/>
        <v>1</v>
      </c>
    </row>
    <row r="1583" spans="1:16" ht="15.75" customHeight="1" x14ac:dyDescent="0.25">
      <c r="A1583" s="6" t="s">
        <v>1935</v>
      </c>
      <c r="B1583" s="6" cm="1">
        <f t="array" ref="B1583">alea_int(Settings!$B$10,1,Settings!$B$16)</f>
        <v>1</v>
      </c>
      <c r="C1583" s="8">
        <v>46023</v>
      </c>
      <c r="D1583" s="8">
        <f t="shared" si="97"/>
        <v>46387</v>
      </c>
      <c r="E1583" s="6" t="str" cm="1">
        <f t="array" ref="E1583">choice(Groupes!A:A,1,Settings!$B$16)</f>
        <v>G18</v>
      </c>
      <c r="F1583" s="6" t="str">
        <f t="shared" si="98"/>
        <v>G18</v>
      </c>
      <c r="G1583" s="6" t="str">
        <f t="shared" si="99"/>
        <v>Prof55</v>
      </c>
      <c r="H1583" s="6" t="str" cm="1">
        <f t="array" ref="H1583">choice(Referentiel!A:A,1,Settings!$B$16)</f>
        <v>6ème année atelier</v>
      </c>
      <c r="I1583" s="6" t="str" cm="1">
        <f t="array" ref="I1583">choice(Referentiel!B:B,1,Settings!$B$16)</f>
        <v>4ème année Design Objet S2</v>
      </c>
      <c r="J1583" s="6" t="str" cm="1">
        <f t="array" ref="J1583">choice(Referentiel!D:D,1,Settings!$B$16)</f>
        <v>M1</v>
      </c>
      <c r="K1583" s="6" t="str" cm="1">
        <f t="array" ref="K1583">choice(Professeurs!B:B,1,Settings!$B$16)</f>
        <v>Prof55</v>
      </c>
      <c r="L1583" s="5" t="str" cm="1">
        <f t="array" ref="L1583">choice(Referentiel!C:C,1,Settings!$B$16)</f>
        <v/>
      </c>
      <c r="M1583" s="5" t="str" cm="1">
        <f t="array" ref="M1583">choice(Referentiel!E:E,1,Settings!$B$16)</f>
        <v/>
      </c>
      <c r="N1583" s="5" t="str" cm="1">
        <f t="array" ref="N1583">choice(Settings!K:K,1,Settings!$B$16)</f>
        <v/>
      </c>
      <c r="P1583" s="5">
        <f t="shared" si="100"/>
        <v>1</v>
      </c>
    </row>
    <row r="1584" spans="1:16" ht="15.75" customHeight="1" x14ac:dyDescent="0.25">
      <c r="A1584" s="6" t="s">
        <v>1936</v>
      </c>
      <c r="B1584" s="6" cm="1">
        <f t="array" ref="B1584">alea_int(Settings!$B$10,1,Settings!$B$16)</f>
        <v>1</v>
      </c>
      <c r="C1584" s="8">
        <v>46023</v>
      </c>
      <c r="D1584" s="8">
        <f t="shared" si="97"/>
        <v>46387</v>
      </c>
      <c r="E1584" s="6" t="str" cm="1">
        <f t="array" ref="E1584">choice(Groupes!A:A,1,Settings!$B$16)</f>
        <v>G8</v>
      </c>
      <c r="F1584" s="6" t="str">
        <f t="shared" si="98"/>
        <v>G8</v>
      </c>
      <c r="G1584" s="6" t="str">
        <f t="shared" si="99"/>
        <v>Prof27</v>
      </c>
      <c r="H1584" s="6" t="str" cm="1">
        <f t="array" ref="H1584">choice(Referentiel!A:A,1,Settings!$B$16)</f>
        <v>1ère année Groupe 4</v>
      </c>
      <c r="I1584" s="6" t="str" cm="1">
        <f t="array" ref="I1584">choice(Referentiel!B:B,1,Settings!$B$16)</f>
        <v>5ème année Scénographie S2</v>
      </c>
      <c r="J1584" s="6" t="str" cm="1">
        <f t="array" ref="J1584">choice(Referentiel!D:D,1,Settings!$B$16)</f>
        <v>L2</v>
      </c>
      <c r="K1584" s="6" t="str" cm="1">
        <f t="array" ref="K1584">choice(Professeurs!B:B,1,Settings!$B$16)</f>
        <v>Prof27</v>
      </c>
      <c r="L1584" s="5" t="str" cm="1">
        <f t="array" ref="L1584">choice(Referentiel!C:C,1,Settings!$B$16)</f>
        <v/>
      </c>
      <c r="M1584" s="5" t="str" cm="1">
        <f t="array" ref="M1584">choice(Referentiel!E:E,1,Settings!$B$16)</f>
        <v/>
      </c>
      <c r="N1584" s="5" t="str" cm="1">
        <f t="array" ref="N1584">choice(Settings!K:K,1,Settings!$B$16)</f>
        <v>mardi pm</v>
      </c>
      <c r="P1584" s="5">
        <f t="shared" si="100"/>
        <v>3</v>
      </c>
    </row>
    <row r="1585" spans="1:16" ht="15.75" customHeight="1" x14ac:dyDescent="0.25">
      <c r="A1585" s="6" t="s">
        <v>1937</v>
      </c>
      <c r="B1585" s="6" cm="1">
        <f t="array" ref="B1585">alea_int(Settings!$B$10,1,Settings!$B$16)</f>
        <v>2</v>
      </c>
      <c r="C1585" s="8">
        <v>46023</v>
      </c>
      <c r="D1585" s="8">
        <f t="shared" si="97"/>
        <v>46387</v>
      </c>
      <c r="E1585" s="6" t="str" cm="1">
        <f t="array" ref="E1585">choice(Groupes!A:A,1,Settings!$B$16)</f>
        <v>G4</v>
      </c>
      <c r="F1585" s="6" t="str">
        <f t="shared" si="98"/>
        <v>G4</v>
      </c>
      <c r="G1585" s="6" t="str">
        <f t="shared" si="99"/>
        <v>Prof42</v>
      </c>
      <c r="H1585" s="6" t="str" cm="1">
        <f t="array" ref="H1585">choice(Referentiel!A:A,1,Settings!$B$16)</f>
        <v>Design Graphique</v>
      </c>
      <c r="I1585" s="6" t="str" cm="1">
        <f t="array" ref="I1585">choice(Referentiel!B:B,1,Settings!$B$16)</f>
        <v>4ème année Photo / Vidéo S1</v>
      </c>
      <c r="J1585" s="6" t="str" cm="1">
        <f t="array" ref="J1585">choice(Referentiel!D:D,1,Settings!$B$16)</f>
        <v>M1</v>
      </c>
      <c r="K1585" s="6" t="str" cm="1">
        <f t="array" ref="K1585">choice(Professeurs!B:B,1,Settings!$B$16)</f>
        <v>Prof42</v>
      </c>
      <c r="L1585" s="5" t="str" cm="1">
        <f t="array" ref="L1585">choice(Referentiel!C:C,1,Settings!$B$16)</f>
        <v/>
      </c>
      <c r="M1585" s="5" t="str" cm="1">
        <f t="array" ref="M1585">choice(Referentiel!E:E,1,Settings!$B$16)</f>
        <v/>
      </c>
      <c r="N1585" s="5" t="str" cm="1">
        <f t="array" ref="N1585">choice(Settings!K:K,1,Settings!$B$16)</f>
        <v/>
      </c>
      <c r="P1585" s="5">
        <f t="shared" si="100"/>
        <v>2</v>
      </c>
    </row>
    <row r="1586" spans="1:16" ht="15.75" customHeight="1" x14ac:dyDescent="0.25">
      <c r="A1586" s="6" t="s">
        <v>1938</v>
      </c>
      <c r="B1586" s="6" cm="1">
        <f t="array" ref="B1586">alea_int(Settings!$B$10,1,Settings!$B$16)</f>
        <v>2</v>
      </c>
      <c r="C1586" s="8">
        <v>46023</v>
      </c>
      <c r="D1586" s="8">
        <f t="shared" si="97"/>
        <v>46387</v>
      </c>
      <c r="E1586" s="6" t="str" cm="1">
        <f t="array" ref="E1586">choice(Groupes!A:A,1,Settings!$B$16)</f>
        <v>G9</v>
      </c>
      <c r="F1586" s="6" t="str">
        <f t="shared" si="98"/>
        <v>G9</v>
      </c>
      <c r="G1586" s="6" t="str">
        <f t="shared" si="99"/>
        <v>Prof15</v>
      </c>
      <c r="H1586" s="6" t="str" cm="1">
        <f t="array" ref="H1586">choice(Referentiel!A:A,1,Settings!$B$16)</f>
        <v>1ère année Groupe 2</v>
      </c>
      <c r="I1586" s="6" t="str" cm="1">
        <f t="array" ref="I1586">choice(Referentiel!B:B,1,Settings!$B$16)</f>
        <v>4ème année Cinéma d'Animation S2</v>
      </c>
      <c r="J1586" s="6" t="str" cm="1">
        <f t="array" ref="J1586">choice(Referentiel!D:D,1,Settings!$B$16)</f>
        <v>M1</v>
      </c>
      <c r="K1586" s="6" t="str" cm="1">
        <f t="array" ref="K1586">choice(Professeurs!B:B,1,Settings!$B$16)</f>
        <v>Prof15</v>
      </c>
      <c r="L1586" s="5" t="str" cm="1">
        <f t="array" ref="L1586">choice(Referentiel!C:C,1,Settings!$B$16)</f>
        <v/>
      </c>
      <c r="M1586" s="5" t="str" cm="1">
        <f t="array" ref="M1586">choice(Referentiel!E:E,1,Settings!$B$16)</f>
        <v/>
      </c>
      <c r="N1586" s="5" t="str" cm="1">
        <f t="array" ref="N1586">choice(Settings!K:K,1,Settings!$B$16)</f>
        <v/>
      </c>
      <c r="P1586" s="5">
        <f t="shared" si="100"/>
        <v>2</v>
      </c>
    </row>
    <row r="1587" spans="1:16" ht="15.75" customHeight="1" x14ac:dyDescent="0.25">
      <c r="A1587" s="6" t="s">
        <v>1939</v>
      </c>
      <c r="B1587" s="6" cm="1">
        <f t="array" ref="B1587">alea_int(Settings!$B$10,1,Settings!$B$16)</f>
        <v>3</v>
      </c>
      <c r="C1587" s="8">
        <v>46023</v>
      </c>
      <c r="D1587" s="8">
        <f t="shared" si="97"/>
        <v>46387</v>
      </c>
      <c r="E1587" s="6" t="str" cm="1">
        <f t="array" ref="E1587">choice(Groupes!A:A,1,Settings!$B$16)</f>
        <v>G27</v>
      </c>
      <c r="F1587" s="6" t="str">
        <f t="shared" si="98"/>
        <v>G27</v>
      </c>
      <c r="G1587" s="6" t="str">
        <f t="shared" si="99"/>
        <v>Prof53</v>
      </c>
      <c r="H1587" s="6" t="str" cm="1">
        <f t="array" ref="H1587">choice(Referentiel!A:A,1,Settings!$B$16)</f>
        <v>Cinéma d'Animation</v>
      </c>
      <c r="I1587" s="6" t="str" cm="1">
        <f t="array" ref="I1587">choice(Referentiel!B:B,1,Settings!$B$16)</f>
        <v>4ème année Design Graphique S2</v>
      </c>
      <c r="J1587" s="6" t="str" cm="1">
        <f t="array" ref="J1587">choice(Referentiel!D:D,1,Settings!$B$16)</f>
        <v>L3</v>
      </c>
      <c r="K1587" s="6" t="str" cm="1">
        <f t="array" ref="K1587">choice(Professeurs!B:B,1,Settings!$B$16)</f>
        <v>Prof53</v>
      </c>
      <c r="L1587" s="5" t="str" cm="1">
        <f t="array" ref="L1587">choice(Referentiel!C:C,1,Settings!$B$16)</f>
        <v/>
      </c>
      <c r="M1587" s="5" t="str" cm="1">
        <f t="array" ref="M1587">choice(Referentiel!E:E,1,Settings!$B$16)</f>
        <v/>
      </c>
      <c r="N1587" s="5" t="str" cm="1">
        <f t="array" ref="N1587">choice(Settings!K:K,1,Settings!$B$16)</f>
        <v/>
      </c>
      <c r="P1587" s="5">
        <f t="shared" si="100"/>
        <v>3</v>
      </c>
    </row>
    <row r="1588" spans="1:16" ht="15.75" customHeight="1" x14ac:dyDescent="0.25">
      <c r="A1588" s="6" t="s">
        <v>1940</v>
      </c>
      <c r="B1588" s="6" cm="1">
        <f t="array" ref="B1588">alea_int(Settings!$B$10,1,Settings!$B$16)</f>
        <v>2</v>
      </c>
      <c r="C1588" s="8">
        <v>46023</v>
      </c>
      <c r="D1588" s="8">
        <f t="shared" si="97"/>
        <v>46387</v>
      </c>
      <c r="E1588" s="6" t="str" cm="1">
        <f t="array" ref="E1588">choice(Groupes!A:A,1,Settings!$B$16)</f>
        <v>G25</v>
      </c>
      <c r="F1588" s="6" t="str">
        <f t="shared" si="98"/>
        <v>G25</v>
      </c>
      <c r="G1588" s="6" t="str">
        <f t="shared" si="99"/>
        <v>Prof13</v>
      </c>
      <c r="H1588" s="6" t="str" cm="1">
        <f t="array" ref="H1588">choice(Referentiel!A:A,1,Settings!$B$16)</f>
        <v>Design Vêtement</v>
      </c>
      <c r="I1588" s="6" t="str" cm="1">
        <f t="array" ref="I1588">choice(Referentiel!B:B,1,Settings!$B$16)</f>
        <v>4ème année Scénographie S2</v>
      </c>
      <c r="J1588" s="6" t="str" cm="1">
        <f t="array" ref="J1588">choice(Referentiel!D:D,1,Settings!$B$16)</f>
        <v>M2</v>
      </c>
      <c r="K1588" s="6" t="str" cm="1">
        <f t="array" ref="K1588">choice(Professeurs!B:B,1,Settings!$B$16)</f>
        <v>Prof13</v>
      </c>
      <c r="L1588" s="5" t="str" cm="1">
        <f t="array" ref="L1588">choice(Referentiel!C:C,1,Settings!$B$16)</f>
        <v/>
      </c>
      <c r="M1588" s="5" t="str" cm="1">
        <f t="array" ref="M1588">choice(Referentiel!E:E,1,Settings!$B$16)</f>
        <v/>
      </c>
      <c r="N1588" s="5" t="str" cm="1">
        <f t="array" ref="N1588">choice(Settings!K:K,1,Settings!$B$16)</f>
        <v/>
      </c>
      <c r="P1588" s="5">
        <f t="shared" si="100"/>
        <v>2</v>
      </c>
    </row>
    <row r="1589" spans="1:16" ht="15.75" customHeight="1" x14ac:dyDescent="0.25">
      <c r="A1589" s="6" t="s">
        <v>1941</v>
      </c>
      <c r="B1589" s="6" cm="1">
        <f t="array" ref="B1589">alea_int(Settings!$B$10,1,Settings!$B$16)</f>
        <v>2</v>
      </c>
      <c r="C1589" s="8">
        <v>46023</v>
      </c>
      <c r="D1589" s="8">
        <f t="shared" si="97"/>
        <v>46387</v>
      </c>
      <c r="E1589" s="6" t="str" cm="1">
        <f t="array" ref="E1589">choice(Groupes!A:A,1,Settings!$B$16)</f>
        <v>G11</v>
      </c>
      <c r="F1589" s="6" t="str">
        <f t="shared" si="98"/>
        <v>G11</v>
      </c>
      <c r="G1589" s="6" t="str">
        <f t="shared" si="99"/>
        <v>Prof30</v>
      </c>
      <c r="H1589" s="6" t="str" cm="1">
        <f t="array" ref="H1589">choice(Referentiel!A:A,1,Settings!$B$16)</f>
        <v>Design Vêtement</v>
      </c>
      <c r="I1589" s="6" t="str" cm="1">
        <f t="array" ref="I1589">choice(Referentiel!B:B,1,Settings!$B$16)</f>
        <v>5ème année Design Graphique S1</v>
      </c>
      <c r="J1589" s="6" t="str" cm="1">
        <f t="array" ref="J1589">choice(Referentiel!D:D,1,Settings!$B$16)</f>
        <v>M1</v>
      </c>
      <c r="K1589" s="6" t="str" cm="1">
        <f t="array" ref="K1589">choice(Professeurs!B:B,1,Settings!$B$16)</f>
        <v>Prof30</v>
      </c>
      <c r="L1589" s="5" t="str" cm="1">
        <f t="array" ref="L1589">choice(Referentiel!C:C,1,Settings!$B$16)</f>
        <v/>
      </c>
      <c r="M1589" s="5" t="str" cm="1">
        <f t="array" ref="M1589">choice(Referentiel!E:E,1,Settings!$B$16)</f>
        <v/>
      </c>
      <c r="N1589" s="5" t="str" cm="1">
        <f t="array" ref="N1589">choice(Settings!K:K,1,Settings!$B$16)</f>
        <v/>
      </c>
      <c r="P1589" s="5">
        <f t="shared" si="100"/>
        <v>2</v>
      </c>
    </row>
    <row r="1590" spans="1:16" ht="15.75" customHeight="1" x14ac:dyDescent="0.25">
      <c r="A1590" s="6" t="s">
        <v>1942</v>
      </c>
      <c r="B1590" s="6" cm="1">
        <f t="array" ref="B1590">alea_int(Settings!$B$10,1,Settings!$B$16)</f>
        <v>3</v>
      </c>
      <c r="C1590" s="8">
        <v>46023</v>
      </c>
      <c r="D1590" s="8">
        <f t="shared" si="97"/>
        <v>46387</v>
      </c>
      <c r="E1590" s="6" t="str" cm="1">
        <f t="array" ref="E1590">choice(Groupes!A:A,1,Settings!$B$16)</f>
        <v>G29</v>
      </c>
      <c r="F1590" s="6" t="str">
        <f t="shared" si="98"/>
        <v>G29</v>
      </c>
      <c r="G1590" s="6" t="str">
        <f t="shared" si="99"/>
        <v>Prof32</v>
      </c>
      <c r="H1590" s="6" t="str" cm="1">
        <f t="array" ref="H1590">choice(Referentiel!A:A,1,Settings!$B$16)</f>
        <v>Design Textile et Matière</v>
      </c>
      <c r="I1590" s="6" t="str" cm="1">
        <f t="array" ref="I1590">choice(Referentiel!B:B,1,Settings!$B$16)</f>
        <v>2ème année Cinéma d'Animation S2</v>
      </c>
      <c r="J1590" s="6" t="str" cm="1">
        <f t="array" ref="J1590">choice(Referentiel!D:D,1,Settings!$B$16)</f>
        <v>L2</v>
      </c>
      <c r="K1590" s="6" t="str" cm="1">
        <f t="array" ref="K1590">choice(Professeurs!B:B,1,Settings!$B$16)</f>
        <v>Prof32</v>
      </c>
      <c r="L1590" s="5" t="str" cm="1">
        <f t="array" ref="L1590">choice(Referentiel!C:C,1,Settings!$B$16)</f>
        <v/>
      </c>
      <c r="M1590" s="5" t="str" cm="1">
        <f t="array" ref="M1590">choice(Referentiel!E:E,1,Settings!$B$16)</f>
        <v/>
      </c>
      <c r="N1590" s="5" t="str" cm="1">
        <f t="array" ref="N1590">choice(Settings!K:K,1,Settings!$B$16)</f>
        <v/>
      </c>
      <c r="P1590" s="5">
        <f t="shared" si="100"/>
        <v>3</v>
      </c>
    </row>
    <row r="1591" spans="1:16" ht="15.75" customHeight="1" x14ac:dyDescent="0.25">
      <c r="A1591" s="6" t="s">
        <v>1943</v>
      </c>
      <c r="B1591" s="6" cm="1">
        <f t="array" ref="B1591">alea_int(Settings!$B$10,1,Settings!$B$16)</f>
        <v>3</v>
      </c>
      <c r="C1591" s="8">
        <v>46023</v>
      </c>
      <c r="D1591" s="8">
        <f t="shared" si="97"/>
        <v>46387</v>
      </c>
      <c r="E1591" s="6" t="str" cm="1">
        <f t="array" ref="E1591">choice(Groupes!A:A,1,Settings!$B$16)</f>
        <v>G23</v>
      </c>
      <c r="F1591" s="6" t="str">
        <f t="shared" si="98"/>
        <v>G23</v>
      </c>
      <c r="G1591" s="6" t="str">
        <f t="shared" si="99"/>
        <v>Prof17</v>
      </c>
      <c r="H1591" s="6" t="str" cm="1">
        <f t="array" ref="H1591">choice(Referentiel!A:A,1,Settings!$B$16)</f>
        <v>Design des mondes forestiers</v>
      </c>
      <c r="I1591" s="6" t="str" cm="1">
        <f t="array" ref="I1591">choice(Referentiel!B:B,1,Settings!$B$16)</f>
        <v>5ème année Photo / Vidéo S1</v>
      </c>
      <c r="J1591" s="6" t="str" cm="1">
        <f t="array" ref="J1591">choice(Referentiel!D:D,1,Settings!$B$16)</f>
        <v>L1</v>
      </c>
      <c r="K1591" s="6" t="str" cm="1">
        <f t="array" ref="K1591">choice(Professeurs!B:B,1,Settings!$B$16)</f>
        <v>Prof17</v>
      </c>
      <c r="L1591" s="5" t="str" cm="1">
        <f t="array" ref="L1591">choice(Referentiel!C:C,1,Settings!$B$16)</f>
        <v/>
      </c>
      <c r="M1591" s="5" t="str" cm="1">
        <f t="array" ref="M1591">choice(Referentiel!E:E,1,Settings!$B$16)</f>
        <v/>
      </c>
      <c r="N1591" s="5" t="str" cm="1">
        <f t="array" ref="N1591">choice(Settings!K:K,1,Settings!$B$16)</f>
        <v>semaine</v>
      </c>
      <c r="P1591" s="5">
        <f t="shared" si="100"/>
        <v>5</v>
      </c>
    </row>
    <row r="1592" spans="1:16" ht="15.75" customHeight="1" x14ac:dyDescent="0.25">
      <c r="A1592" s="6" t="s">
        <v>1944</v>
      </c>
      <c r="B1592" s="6" cm="1">
        <f t="array" ref="B1592">alea_int(Settings!$B$10,1,Settings!$B$16)</f>
        <v>2</v>
      </c>
      <c r="C1592" s="8">
        <v>46023</v>
      </c>
      <c r="D1592" s="8">
        <f t="shared" si="97"/>
        <v>46387</v>
      </c>
      <c r="E1592" s="6" t="str" cm="1">
        <f t="array" ref="E1592">choice(Groupes!A:A,1,Settings!$B$16)</f>
        <v>G28</v>
      </c>
      <c r="F1592" s="6" t="str">
        <f t="shared" si="98"/>
        <v>G28</v>
      </c>
      <c r="G1592" s="6" t="str">
        <f t="shared" si="99"/>
        <v>Prof1</v>
      </c>
      <c r="H1592" s="6" t="str" cm="1">
        <f t="array" ref="H1592">choice(Referentiel!A:A,1,Settings!$B$16)</f>
        <v>Gr SPATIAL MEDIA</v>
      </c>
      <c r="I1592" s="6" t="str" cm="1">
        <f t="array" ref="I1592">choice(Referentiel!B:B,1,Settings!$B$16)</f>
        <v>5ème année Design Textile et Matière S1</v>
      </c>
      <c r="J1592" s="6" t="str" cm="1">
        <f t="array" ref="J1592">choice(Referentiel!D:D,1,Settings!$B$16)</f>
        <v>M2</v>
      </c>
      <c r="K1592" s="6" t="str" cm="1">
        <f t="array" ref="K1592">choice(Professeurs!B:B,1,Settings!$B$16)</f>
        <v>Prof1</v>
      </c>
      <c r="L1592" s="5" t="str" cm="1">
        <f t="array" ref="L1592">choice(Referentiel!C:C,1,Settings!$B$16)</f>
        <v/>
      </c>
      <c r="M1592" s="5" t="str" cm="1">
        <f t="array" ref="M1592">choice(Referentiel!E:E,1,Settings!$B$16)</f>
        <v/>
      </c>
      <c r="N1592" s="5" t="str" cm="1">
        <f t="array" ref="N1592">choice(Settings!K:K,1,Settings!$B$16)</f>
        <v/>
      </c>
      <c r="P1592" s="5">
        <f t="shared" si="100"/>
        <v>2</v>
      </c>
    </row>
    <row r="1593" spans="1:16" ht="15.75" customHeight="1" x14ac:dyDescent="0.25">
      <c r="A1593" s="6" t="s">
        <v>1945</v>
      </c>
      <c r="B1593" s="6" cm="1">
        <f t="array" ref="B1593">alea_int(Settings!$B$10,1,Settings!$B$16)</f>
        <v>1</v>
      </c>
      <c r="C1593" s="8">
        <v>46023</v>
      </c>
      <c r="D1593" s="8">
        <f t="shared" si="97"/>
        <v>46387</v>
      </c>
      <c r="E1593" s="6" t="str" cm="1">
        <f t="array" ref="E1593">choice(Groupes!A:A,1,Settings!$B$16)</f>
        <v>G27</v>
      </c>
      <c r="F1593" s="6" t="str">
        <f t="shared" si="98"/>
        <v>G27</v>
      </c>
      <c r="G1593" s="6" t="str">
        <f t="shared" si="99"/>
        <v>Prof53</v>
      </c>
      <c r="H1593" s="6" t="str" cm="1">
        <f t="array" ref="H1593">choice(Referentiel!A:A,1,Settings!$B$16)</f>
        <v>Cinéma d'Animation</v>
      </c>
      <c r="I1593" s="6" t="str" cm="1">
        <f t="array" ref="I1593">choice(Referentiel!B:B,1,Settings!$B$16)</f>
        <v>2ème année Image Imprimée S1</v>
      </c>
      <c r="J1593" s="6" t="str" cm="1">
        <f t="array" ref="J1593">choice(Referentiel!D:D,1,Settings!$B$16)</f>
        <v>M1</v>
      </c>
      <c r="K1593" s="6" t="str" cm="1">
        <f t="array" ref="K1593">choice(Professeurs!B:B,1,Settings!$B$16)</f>
        <v>Prof53</v>
      </c>
      <c r="L1593" s="5" t="str" cm="1">
        <f t="array" ref="L1593">choice(Referentiel!C:C,1,Settings!$B$16)</f>
        <v>projecteur</v>
      </c>
      <c r="M1593" s="5" t="str" cm="1">
        <f t="array" ref="M1593">choice(Referentiel!E:E,1,Settings!$B$16)</f>
        <v/>
      </c>
      <c r="N1593" s="5" t="str" cm="1">
        <f t="array" ref="N1593">choice(Settings!K:K,1,Settings!$B$16)</f>
        <v/>
      </c>
      <c r="P1593" s="5">
        <f t="shared" si="100"/>
        <v>1</v>
      </c>
    </row>
    <row r="1594" spans="1:16" ht="15.75" customHeight="1" x14ac:dyDescent="0.25">
      <c r="A1594" s="6" t="s">
        <v>1946</v>
      </c>
      <c r="B1594" s="6" cm="1">
        <f t="array" ref="B1594">alea_int(Settings!$B$10,1,Settings!$B$16)</f>
        <v>2</v>
      </c>
      <c r="C1594" s="8">
        <v>46023</v>
      </c>
      <c r="D1594" s="8">
        <f t="shared" si="97"/>
        <v>46387</v>
      </c>
      <c r="E1594" s="6" t="str" cm="1">
        <f t="array" ref="E1594">choice(Groupes!A:A,1,Settings!$B$16)</f>
        <v>G1</v>
      </c>
      <c r="F1594" s="6" t="str">
        <f t="shared" si="98"/>
        <v>G1</v>
      </c>
      <c r="G1594" s="6" t="str">
        <f t="shared" si="99"/>
        <v>Prof4</v>
      </c>
      <c r="H1594" s="6" t="str" cm="1">
        <f t="array" ref="H1594">choice(Referentiel!A:A,1,Settings!$B$16)</f>
        <v>Gr ART, DESIGN, SOCIETE</v>
      </c>
      <c r="I1594" s="6" t="str" cm="1">
        <f t="array" ref="I1594">choice(Referentiel!B:B,1,Settings!$B$16)</f>
        <v>5ème année Design Objet S1</v>
      </c>
      <c r="J1594" s="6" t="str" cm="1">
        <f t="array" ref="J1594">choice(Referentiel!D:D,1,Settings!$B$16)</f>
        <v>M2</v>
      </c>
      <c r="K1594" s="6" t="str" cm="1">
        <f t="array" ref="K1594">choice(Professeurs!B:B,1,Settings!$B$16)</f>
        <v>Prof4</v>
      </c>
      <c r="L1594" s="5" t="str" cm="1">
        <f t="array" ref="L1594">choice(Referentiel!C:C,1,Settings!$B$16)</f>
        <v/>
      </c>
      <c r="M1594" s="5" t="str" cm="1">
        <f t="array" ref="M1594">choice(Referentiel!E:E,1,Settings!$B$16)</f>
        <v>Salle6</v>
      </c>
      <c r="N1594" s="5" t="str" cm="1">
        <f t="array" ref="N1594">choice(Settings!K:K,1,Settings!$B$16)</f>
        <v/>
      </c>
      <c r="P1594" s="5">
        <f t="shared" si="100"/>
        <v>4</v>
      </c>
    </row>
    <row r="1595" spans="1:16" ht="15.75" customHeight="1" x14ac:dyDescent="0.25">
      <c r="A1595" s="6" t="s">
        <v>1947</v>
      </c>
      <c r="B1595" s="6" cm="1">
        <f t="array" ref="B1595">alea_int(Settings!$B$10,1,Settings!$B$16)</f>
        <v>2</v>
      </c>
      <c r="C1595" s="8">
        <v>46023</v>
      </c>
      <c r="D1595" s="8">
        <f t="shared" si="97"/>
        <v>46387</v>
      </c>
      <c r="E1595" s="6" t="str" cm="1">
        <f t="array" ref="E1595">choice(Groupes!A:A,1,Settings!$B$16)</f>
        <v>G5</v>
      </c>
      <c r="F1595" s="6" t="str">
        <f t="shared" si="98"/>
        <v>G5</v>
      </c>
      <c r="G1595" s="6" t="str">
        <f t="shared" si="99"/>
        <v>Prof37</v>
      </c>
      <c r="H1595" s="6" t="str" cm="1">
        <f t="array" ref="H1595">choice(Referentiel!A:A,1,Settings!$B$16)</f>
        <v>Design des mondes ruraux</v>
      </c>
      <c r="I1595" s="6" t="str" cm="1">
        <f t="array" ref="I1595">choice(Referentiel!B:B,1,Settings!$B$16)</f>
        <v>4ème année Art-Espace S2</v>
      </c>
      <c r="J1595" s="6" t="str" cm="1">
        <f t="array" ref="J1595">choice(Referentiel!D:D,1,Settings!$B$16)</f>
        <v>M2</v>
      </c>
      <c r="K1595" s="6" t="str" cm="1">
        <f t="array" ref="K1595">choice(Professeurs!B:B,1,Settings!$B$16)</f>
        <v>Prof37</v>
      </c>
      <c r="L1595" s="5" t="str" cm="1">
        <f t="array" ref="L1595">choice(Referentiel!C:C,1,Settings!$B$16)</f>
        <v/>
      </c>
      <c r="M1595" s="5" t="str" cm="1">
        <f t="array" ref="M1595">choice(Referentiel!E:E,1,Settings!$B$16)</f>
        <v/>
      </c>
      <c r="N1595" s="5" t="str" cm="1">
        <f t="array" ref="N1595">choice(Settings!K:K,1,Settings!$B$16)</f>
        <v/>
      </c>
      <c r="P1595" s="5">
        <f t="shared" si="100"/>
        <v>2</v>
      </c>
    </row>
    <row r="1596" spans="1:16" ht="15.75" customHeight="1" x14ac:dyDescent="0.25">
      <c r="A1596" s="6" t="s">
        <v>1948</v>
      </c>
      <c r="B1596" s="6" cm="1">
        <f t="array" ref="B1596">alea_int(Settings!$B$10,1,Settings!$B$16)</f>
        <v>3</v>
      </c>
      <c r="C1596" s="8">
        <v>46023</v>
      </c>
      <c r="D1596" s="8">
        <f t="shared" si="97"/>
        <v>46387</v>
      </c>
      <c r="E1596" s="6" t="str" cm="1">
        <f t="array" ref="E1596">choice(Groupes!A:A,1,Settings!$B$16)</f>
        <v>G30</v>
      </c>
      <c r="F1596" s="6" t="str">
        <f t="shared" si="98"/>
        <v>G30</v>
      </c>
      <c r="G1596" s="6" t="str">
        <f t="shared" si="99"/>
        <v>Prof23</v>
      </c>
      <c r="H1596" s="6" t="str" cm="1">
        <f t="array" ref="H1596">choice(Referentiel!A:A,1,Settings!$B$16)</f>
        <v>1ère année Groupe 4</v>
      </c>
      <c r="I1596" s="6" t="str" cm="1">
        <f t="array" ref="I1596">choice(Referentiel!B:B,1,Settings!$B$16)</f>
        <v>5ème année Art-Espace S1</v>
      </c>
      <c r="J1596" s="6" t="str" cm="1">
        <f t="array" ref="J1596">choice(Referentiel!D:D,1,Settings!$B$16)</f>
        <v>L3</v>
      </c>
      <c r="K1596" s="6" t="str" cm="1">
        <f t="array" ref="K1596">choice(Professeurs!B:B,1,Settings!$B$16)</f>
        <v>Prof23</v>
      </c>
      <c r="L1596" s="5" t="str" cm="1">
        <f t="array" ref="L1596">choice(Referentiel!C:C,1,Settings!$B$16)</f>
        <v/>
      </c>
      <c r="M1596" s="5" t="str" cm="1">
        <f t="array" ref="M1596">choice(Referentiel!E:E,1,Settings!$B$16)</f>
        <v/>
      </c>
      <c r="N1596" s="5" t="str" cm="1">
        <f t="array" ref="N1596">choice(Settings!K:K,1,Settings!$B$16)</f>
        <v/>
      </c>
      <c r="P1596" s="5">
        <f t="shared" si="100"/>
        <v>3</v>
      </c>
    </row>
    <row r="1597" spans="1:16" ht="15.75" customHeight="1" x14ac:dyDescent="0.25">
      <c r="A1597" s="6" t="s">
        <v>1949</v>
      </c>
      <c r="B1597" s="6" cm="1">
        <f t="array" ref="B1597">alea_int(Settings!$B$10,1,Settings!$B$16)</f>
        <v>3</v>
      </c>
      <c r="C1597" s="8">
        <v>46023</v>
      </c>
      <c r="D1597" s="8">
        <f t="shared" si="97"/>
        <v>46387</v>
      </c>
      <c r="E1597" s="6" t="str" cm="1">
        <f t="array" ref="E1597">choice(Groupes!A:A,1,Settings!$B$16)</f>
        <v>G13</v>
      </c>
      <c r="F1597" s="6" t="str">
        <f t="shared" si="98"/>
        <v>G13</v>
      </c>
      <c r="G1597" s="6" t="str">
        <f t="shared" si="99"/>
        <v>Prof24</v>
      </c>
      <c r="H1597" s="6" t="str" cm="1">
        <f t="array" ref="H1597">choice(Referentiel!A:A,1,Settings!$B$16)</f>
        <v>Design des mondes montagneux</v>
      </c>
      <c r="I1597" s="6" t="str" cm="1">
        <f t="array" ref="I1597">choice(Referentiel!B:B,1,Settings!$B$16)</f>
        <v>3ème année Scénographie S2</v>
      </c>
      <c r="J1597" s="6" t="str" cm="1">
        <f t="array" ref="J1597">choice(Referentiel!D:D,1,Settings!$B$16)</f>
        <v>L1</v>
      </c>
      <c r="K1597" s="6" t="str" cm="1">
        <f t="array" ref="K1597">choice(Professeurs!B:B,1,Settings!$B$16)</f>
        <v>Prof24</v>
      </c>
      <c r="L1597" s="5" t="str" cm="1">
        <f t="array" ref="L1597">choice(Referentiel!C:C,1,Settings!$B$16)</f>
        <v/>
      </c>
      <c r="M1597" s="5" t="str" cm="1">
        <f t="array" ref="M1597">choice(Referentiel!E:E,1,Settings!$B$16)</f>
        <v/>
      </c>
      <c r="N1597" s="5" t="str" cm="1">
        <f t="array" ref="N1597">choice(Settings!K:K,1,Settings!$B$16)</f>
        <v/>
      </c>
      <c r="P1597" s="5">
        <f t="shared" si="100"/>
        <v>3</v>
      </c>
    </row>
    <row r="1598" spans="1:16" ht="15.75" customHeight="1" x14ac:dyDescent="0.25">
      <c r="A1598" s="6" t="s">
        <v>1950</v>
      </c>
      <c r="B1598" s="6" cm="1">
        <f t="array" ref="B1598">alea_int(Settings!$B$10,1,Settings!$B$16)</f>
        <v>3</v>
      </c>
      <c r="C1598" s="8">
        <v>46023</v>
      </c>
      <c r="D1598" s="8">
        <f t="shared" si="97"/>
        <v>46387</v>
      </c>
      <c r="E1598" s="6" t="str" cm="1">
        <f t="array" ref="E1598">choice(Groupes!A:A,1,Settings!$B$16)</f>
        <v>G7</v>
      </c>
      <c r="F1598" s="6" t="str">
        <f t="shared" si="98"/>
        <v>G7</v>
      </c>
      <c r="G1598" s="6" t="str">
        <f t="shared" si="99"/>
        <v>Prof27</v>
      </c>
      <c r="H1598" s="6" t="str" cm="1">
        <f t="array" ref="H1598">choice(Referentiel!A:A,1,Settings!$B$16)</f>
        <v>Gr SOFT MATTERS</v>
      </c>
      <c r="I1598" s="6" t="str" cm="1">
        <f t="array" ref="I1598">choice(Referentiel!B:B,1,Settings!$B$16)</f>
        <v>2ème année Architecture Intérieure S1</v>
      </c>
      <c r="J1598" s="6" t="str" cm="1">
        <f t="array" ref="J1598">choice(Referentiel!D:D,1,Settings!$B$16)</f>
        <v>M2</v>
      </c>
      <c r="K1598" s="6" t="str" cm="1">
        <f t="array" ref="K1598">choice(Professeurs!B:B,1,Settings!$B$16)</f>
        <v>Prof27</v>
      </c>
      <c r="L1598" s="5" t="str" cm="1">
        <f t="array" ref="L1598">choice(Referentiel!C:C,1,Settings!$B$16)</f>
        <v/>
      </c>
      <c r="M1598" s="5" t="str" cm="1">
        <f t="array" ref="M1598">choice(Referentiel!E:E,1,Settings!$B$16)</f>
        <v/>
      </c>
      <c r="N1598" s="5" t="str" cm="1">
        <f t="array" ref="N1598">choice(Settings!K:K,1,Settings!$B$16)</f>
        <v/>
      </c>
      <c r="P1598" s="5">
        <f t="shared" si="100"/>
        <v>3</v>
      </c>
    </row>
    <row r="1599" spans="1:16" ht="15.75" customHeight="1" x14ac:dyDescent="0.25">
      <c r="A1599" s="6" t="s">
        <v>1951</v>
      </c>
      <c r="B1599" s="6" cm="1">
        <f t="array" ref="B1599">alea_int(Settings!$B$10,1,Settings!$B$16)</f>
        <v>2</v>
      </c>
      <c r="C1599" s="8">
        <v>46023</v>
      </c>
      <c r="D1599" s="8">
        <f t="shared" si="97"/>
        <v>46387</v>
      </c>
      <c r="E1599" s="6" t="str" cm="1">
        <f t="array" ref="E1599">choice(Groupes!A:A,1,Settings!$B$16)</f>
        <v>G28</v>
      </c>
      <c r="F1599" s="6" t="str">
        <f t="shared" si="98"/>
        <v>G28</v>
      </c>
      <c r="G1599" s="6" t="str">
        <f t="shared" si="99"/>
        <v>Prof27</v>
      </c>
      <c r="H1599" s="6" t="str" cm="1">
        <f t="array" ref="H1599">choice(Referentiel!A:A,1,Settings!$B$16)</f>
        <v>Gr TERRITOIRES</v>
      </c>
      <c r="I1599" s="6" t="str" cm="1">
        <f t="array" ref="I1599">choice(Referentiel!B:B,1,Settings!$B$16)</f>
        <v>4ème année Design Textile et Matière S2</v>
      </c>
      <c r="J1599" s="6" t="str" cm="1">
        <f t="array" ref="J1599">choice(Referentiel!D:D,1,Settings!$B$16)</f>
        <v>M1</v>
      </c>
      <c r="K1599" s="6" t="str" cm="1">
        <f t="array" ref="K1599">choice(Professeurs!B:B,1,Settings!$B$16)</f>
        <v>Prof27</v>
      </c>
      <c r="L1599" s="5" t="str" cm="1">
        <f t="array" ref="L1599">choice(Referentiel!C:C,1,Settings!$B$16)</f>
        <v/>
      </c>
      <c r="M1599" s="5" t="str" cm="1">
        <f t="array" ref="M1599">choice(Referentiel!E:E,1,Settings!$B$16)</f>
        <v/>
      </c>
      <c r="N1599" s="5" t="str" cm="1">
        <f t="array" ref="N1599">choice(Settings!K:K,1,Settings!$B$16)</f>
        <v/>
      </c>
      <c r="P1599" s="5">
        <f t="shared" si="100"/>
        <v>2</v>
      </c>
    </row>
    <row r="1600" spans="1:16" ht="15.75" customHeight="1" x14ac:dyDescent="0.25">
      <c r="A1600" s="6" t="s">
        <v>1952</v>
      </c>
      <c r="B1600" s="6" cm="1">
        <f t="array" ref="B1600">alea_int(Settings!$B$10,1,Settings!$B$16)</f>
        <v>2</v>
      </c>
      <c r="C1600" s="8">
        <v>46023</v>
      </c>
      <c r="D1600" s="8">
        <f t="shared" si="97"/>
        <v>46387</v>
      </c>
      <c r="E1600" s="6" t="str" cm="1">
        <f t="array" ref="E1600">choice(Groupes!A:A,1,Settings!$B$16)</f>
        <v>G14</v>
      </c>
      <c r="F1600" s="6" t="str">
        <f t="shared" si="98"/>
        <v>G14</v>
      </c>
      <c r="G1600" s="6" t="str">
        <f t="shared" si="99"/>
        <v>Prof50</v>
      </c>
      <c r="H1600" s="6" t="str" cm="1">
        <f t="array" ref="H1600">choice(Referentiel!A:A,1,Settings!$B$16)</f>
        <v>Art-Espace</v>
      </c>
      <c r="I1600" s="6" t="str" cm="1">
        <f t="array" ref="I1600">choice(Referentiel!B:B,1,Settings!$B$16)</f>
        <v>1ère Année Groupe 1 S1</v>
      </c>
      <c r="J1600" s="6" t="str" cm="1">
        <f t="array" ref="J1600">choice(Referentiel!D:D,1,Settings!$B$16)</f>
        <v>L3</v>
      </c>
      <c r="K1600" s="6" t="str" cm="1">
        <f t="array" ref="K1600">choice(Professeurs!B:B,1,Settings!$B$16)</f>
        <v>Prof50</v>
      </c>
      <c r="L1600" s="5" t="str" cm="1">
        <f t="array" ref="L1600">choice(Referentiel!C:C,1,Settings!$B$16)</f>
        <v>fenetre</v>
      </c>
      <c r="M1600" s="5" t="str" cm="1">
        <f t="array" ref="M1600">choice(Referentiel!E:E,1,Settings!$B$16)</f>
        <v/>
      </c>
      <c r="N1600" s="5" t="str" cm="1">
        <f t="array" ref="N1600">choice(Settings!K:K,1,Settings!$B$16)</f>
        <v/>
      </c>
      <c r="P1600" s="5">
        <f t="shared" si="100"/>
        <v>2</v>
      </c>
    </row>
    <row r="1601" spans="1:16" ht="15.75" customHeight="1" x14ac:dyDescent="0.25">
      <c r="A1601" s="6" t="s">
        <v>1953</v>
      </c>
      <c r="B1601" s="6" cm="1">
        <f t="array" ref="B1601">alea_int(Settings!$B$10,1,Settings!$B$16)</f>
        <v>1</v>
      </c>
      <c r="C1601" s="8">
        <v>46023</v>
      </c>
      <c r="D1601" s="8">
        <f t="shared" si="97"/>
        <v>46387</v>
      </c>
      <c r="E1601" s="6" t="str" cm="1">
        <f t="array" ref="E1601">choice(Groupes!A:A,1,Settings!$B$16)</f>
        <v>G4</v>
      </c>
      <c r="F1601" s="6" t="str">
        <f t="shared" si="98"/>
        <v>G4</v>
      </c>
      <c r="G1601" s="6" t="str">
        <f t="shared" si="99"/>
        <v>Prof11</v>
      </c>
      <c r="H1601" s="6" t="str" cm="1">
        <f t="array" ref="H1601">choice(Referentiel!A:A,1,Settings!$B$16)</f>
        <v>Image Imprimée</v>
      </c>
      <c r="I1601" s="6" t="str" cm="1">
        <f t="array" ref="I1601">choice(Referentiel!B:B,1,Settings!$B$16)</f>
        <v>3ème année Image Imprimée S1</v>
      </c>
      <c r="J1601" s="6" t="str" cm="1">
        <f t="array" ref="J1601">choice(Referentiel!D:D,1,Settings!$B$16)</f>
        <v>L3</v>
      </c>
      <c r="K1601" s="6" t="str" cm="1">
        <f t="array" ref="K1601">choice(Professeurs!B:B,1,Settings!$B$16)</f>
        <v>Prof11</v>
      </c>
      <c r="L1601" s="5" t="str" cm="1">
        <f t="array" ref="L1601">choice(Referentiel!C:C,1,Settings!$B$16)</f>
        <v/>
      </c>
      <c r="M1601" s="5" t="str" cm="1">
        <f t="array" ref="M1601">choice(Referentiel!E:E,1,Settings!$B$16)</f>
        <v/>
      </c>
      <c r="N1601" s="5" t="str" cm="1">
        <f t="array" ref="N1601">choice(Settings!K:K,1,Settings!$B$16)</f>
        <v>lundi pm</v>
      </c>
      <c r="P1601" s="5">
        <f t="shared" si="100"/>
        <v>3</v>
      </c>
    </row>
    <row r="1602" spans="1:16" ht="15.75" customHeight="1" x14ac:dyDescent="0.25">
      <c r="A1602" s="6" t="s">
        <v>1954</v>
      </c>
      <c r="B1602" s="6" cm="1">
        <f t="array" ref="B1602">alea_int(Settings!$B$10,1,Settings!$B$16)</f>
        <v>3</v>
      </c>
      <c r="C1602" s="8">
        <v>46023</v>
      </c>
      <c r="D1602" s="8">
        <f t="shared" si="97"/>
        <v>46387</v>
      </c>
      <c r="E1602" s="6" t="str" cm="1">
        <f t="array" ref="E1602">choice(Groupes!A:A,1,Settings!$B$16)</f>
        <v>G29</v>
      </c>
      <c r="F1602" s="6" t="str">
        <f t="shared" si="98"/>
        <v>G29</v>
      </c>
      <c r="G1602" s="6" t="str">
        <f t="shared" si="99"/>
        <v>Prof27</v>
      </c>
      <c r="H1602" s="6" t="str" cm="1">
        <f t="array" ref="H1602">choice(Referentiel!A:A,1,Settings!$B$16)</f>
        <v>6ème ANNÉE STAGE</v>
      </c>
      <c r="I1602" s="6" t="str" cm="1">
        <f t="array" ref="I1602">choice(Referentiel!B:B,1,Settings!$B$16)</f>
        <v>3ème année Design Textile et Matière S1</v>
      </c>
      <c r="J1602" s="6" t="str" cm="1">
        <f t="array" ref="J1602">choice(Referentiel!D:D,1,Settings!$B$16)</f>
        <v>L3</v>
      </c>
      <c r="K1602" s="6" t="str" cm="1">
        <f t="array" ref="K1602">choice(Professeurs!B:B,1,Settings!$B$16)</f>
        <v>Prof27</v>
      </c>
      <c r="L1602" s="5" t="str" cm="1">
        <f t="array" ref="L1602">choice(Referentiel!C:C,1,Settings!$B$16)</f>
        <v/>
      </c>
      <c r="M1602" s="5" t="str" cm="1">
        <f t="array" ref="M1602">choice(Referentiel!E:E,1,Settings!$B$16)</f>
        <v/>
      </c>
      <c r="N1602" s="5" t="str" cm="1">
        <f t="array" ref="N1602">choice(Settings!K:K,1,Settings!$B$16)</f>
        <v/>
      </c>
      <c r="P1602" s="5">
        <f t="shared" si="100"/>
        <v>3</v>
      </c>
    </row>
    <row r="1603" spans="1:16" ht="15.75" customHeight="1" x14ac:dyDescent="0.25">
      <c r="A1603" s="6" t="s">
        <v>1955</v>
      </c>
      <c r="B1603" s="6" cm="1">
        <f t="array" ref="B1603">alea_int(Settings!$B$10,1,Settings!$B$16)</f>
        <v>2</v>
      </c>
      <c r="C1603" s="8">
        <v>46023</v>
      </c>
      <c r="D1603" s="8">
        <f t="shared" ref="D1603:D1666" si="101">C1603+364</f>
        <v>46387</v>
      </c>
      <c r="E1603" s="6" t="str" cm="1">
        <f t="array" ref="E1603">choice(Groupes!A:A,1,Settings!$B$16)</f>
        <v>G20</v>
      </c>
      <c r="F1603" s="6" t="str">
        <f t="shared" ref="F1603:F1666" si="102">E1603</f>
        <v>G20</v>
      </c>
      <c r="G1603" s="6" t="str">
        <f t="shared" ref="G1603:G1666" si="103">K1603</f>
        <v>Prof2</v>
      </c>
      <c r="H1603" s="6" t="str" cm="1">
        <f t="array" ref="H1603">choice(Referentiel!A:A,1,Settings!$B$16)</f>
        <v>Gr SYMBIOSE</v>
      </c>
      <c r="I1603" s="6" t="str" cm="1">
        <f t="array" ref="I1603">choice(Referentiel!B:B,1,Settings!$B$16)</f>
        <v>2ème année Architecture Intérieure S2</v>
      </c>
      <c r="J1603" s="6" t="str" cm="1">
        <f t="array" ref="J1603">choice(Referentiel!D:D,1,Settings!$B$16)</f>
        <v>L2</v>
      </c>
      <c r="K1603" s="6" t="str" cm="1">
        <f t="array" ref="K1603">choice(Professeurs!B:B,1,Settings!$B$16)</f>
        <v>Prof2</v>
      </c>
      <c r="L1603" s="5" t="str" cm="1">
        <f t="array" ref="L1603">choice(Referentiel!C:C,1,Settings!$B$16)</f>
        <v/>
      </c>
      <c r="M1603" s="5" t="str" cm="1">
        <f t="array" ref="M1603">choice(Referentiel!E:E,1,Settings!$B$16)</f>
        <v/>
      </c>
      <c r="N1603" s="5" t="str" cm="1">
        <f t="array" ref="N1603">choice(Settings!K:K,1,Settings!$B$16)</f>
        <v/>
      </c>
      <c r="P1603" s="5">
        <f t="shared" ref="P1603:P1666" si="104">B1603+IF(M1603&lt;&gt;"",2,0)+IF(N1603&lt;&gt;"",2,0)</f>
        <v>2</v>
      </c>
    </row>
    <row r="1604" spans="1:16" ht="15.75" customHeight="1" x14ac:dyDescent="0.25">
      <c r="A1604" s="6" t="s">
        <v>1956</v>
      </c>
      <c r="B1604" s="6" cm="1">
        <f t="array" ref="B1604">alea_int(Settings!$B$10,1,Settings!$B$16)</f>
        <v>2</v>
      </c>
      <c r="C1604" s="8">
        <v>46023</v>
      </c>
      <c r="D1604" s="8">
        <f t="shared" si="101"/>
        <v>46387</v>
      </c>
      <c r="E1604" s="6" t="str" cm="1">
        <f t="array" ref="E1604">choice(Groupes!A:A,1,Settings!$B$16)</f>
        <v>G13</v>
      </c>
      <c r="F1604" s="6" t="str">
        <f t="shared" si="102"/>
        <v>G13</v>
      </c>
      <c r="G1604" s="6" t="str">
        <f t="shared" si="103"/>
        <v>Prof3</v>
      </c>
      <c r="H1604" s="6" t="str" cm="1">
        <f t="array" ref="H1604">choice(Referentiel!A:A,1,Settings!$B$16)</f>
        <v>Gr TERRITOIRES</v>
      </c>
      <c r="I1604" s="6" t="str" cm="1">
        <f t="array" ref="I1604">choice(Referentiel!B:B,1,Settings!$B$16)</f>
        <v>1ère Année Groupe 4 S1</v>
      </c>
      <c r="J1604" s="6" t="str" cm="1">
        <f t="array" ref="J1604">choice(Referentiel!D:D,1,Settings!$B$16)</f>
        <v>L3</v>
      </c>
      <c r="K1604" s="6" t="str" cm="1">
        <f t="array" ref="K1604">choice(Professeurs!B:B,1,Settings!$B$16)</f>
        <v>Prof3</v>
      </c>
      <c r="L1604" s="5" t="str" cm="1">
        <f t="array" ref="L1604">choice(Referentiel!C:C,1,Settings!$B$16)</f>
        <v/>
      </c>
      <c r="M1604" s="5" t="str" cm="1">
        <f t="array" ref="M1604">choice(Referentiel!E:E,1,Settings!$B$16)</f>
        <v>Salle14</v>
      </c>
      <c r="N1604" s="5" t="str" cm="1">
        <f t="array" ref="N1604">choice(Settings!K:K,1,Settings!$B$16)</f>
        <v/>
      </c>
      <c r="P1604" s="5">
        <f t="shared" si="104"/>
        <v>4</v>
      </c>
    </row>
    <row r="1605" spans="1:16" ht="15.75" customHeight="1" x14ac:dyDescent="0.25">
      <c r="A1605" s="6" t="s">
        <v>1957</v>
      </c>
      <c r="B1605" s="6" cm="1">
        <f t="array" ref="B1605">alea_int(Settings!$B$10,1,Settings!$B$16)</f>
        <v>1</v>
      </c>
      <c r="C1605" s="8">
        <v>46023</v>
      </c>
      <c r="D1605" s="8">
        <f t="shared" si="101"/>
        <v>46387</v>
      </c>
      <c r="E1605" s="6" t="str" cm="1">
        <f t="array" ref="E1605">choice(Groupes!A:A,1,Settings!$B$16)</f>
        <v>G18</v>
      </c>
      <c r="F1605" s="6" t="str">
        <f t="shared" si="102"/>
        <v>G18</v>
      </c>
      <c r="G1605" s="6" t="str">
        <f t="shared" si="103"/>
        <v>Prof10</v>
      </c>
      <c r="H1605" s="6" t="str" cm="1">
        <f t="array" ref="H1605">choice(Referentiel!A:A,1,Settings!$B$16)</f>
        <v>Architecture Intérieure</v>
      </c>
      <c r="I1605" s="6" t="str" cm="1">
        <f t="array" ref="I1605">choice(Referentiel!B:B,1,Settings!$B$16)</f>
        <v>2ème année Design Graphique S2</v>
      </c>
      <c r="J1605" s="6" t="str" cm="1">
        <f t="array" ref="J1605">choice(Referentiel!D:D,1,Settings!$B$16)</f>
        <v>L1</v>
      </c>
      <c r="K1605" s="6" t="str" cm="1">
        <f t="array" ref="K1605">choice(Professeurs!B:B,1,Settings!$B$16)</f>
        <v>Prof10</v>
      </c>
      <c r="L1605" s="5" t="str" cm="1">
        <f t="array" ref="L1605">choice(Referentiel!C:C,1,Settings!$B$16)</f>
        <v/>
      </c>
      <c r="M1605" s="5" t="str" cm="1">
        <f t="array" ref="M1605">choice(Referentiel!E:E,1,Settings!$B$16)</f>
        <v/>
      </c>
      <c r="N1605" s="5" t="str" cm="1">
        <f t="array" ref="N1605">choice(Settings!K:K,1,Settings!$B$16)</f>
        <v>lundi pm</v>
      </c>
      <c r="P1605" s="5">
        <f t="shared" si="104"/>
        <v>3</v>
      </c>
    </row>
    <row r="1606" spans="1:16" ht="15.75" customHeight="1" x14ac:dyDescent="0.25">
      <c r="A1606" s="6" t="s">
        <v>1958</v>
      </c>
      <c r="B1606" s="6" cm="1">
        <f t="array" ref="B1606">alea_int(Settings!$B$10,1,Settings!$B$16)</f>
        <v>3</v>
      </c>
      <c r="C1606" s="8">
        <v>46023</v>
      </c>
      <c r="D1606" s="8">
        <f t="shared" si="101"/>
        <v>46387</v>
      </c>
      <c r="E1606" s="6" t="str" cm="1">
        <f t="array" ref="E1606">choice(Groupes!A:A,1,Settings!$B$16)</f>
        <v>G29</v>
      </c>
      <c r="F1606" s="6" t="str">
        <f t="shared" si="102"/>
        <v>G29</v>
      </c>
      <c r="G1606" s="6" t="str">
        <f t="shared" si="103"/>
        <v>Prof36</v>
      </c>
      <c r="H1606" s="6" t="str" cm="1">
        <f t="array" ref="H1606">choice(Referentiel!A:A,1,Settings!$B$16)</f>
        <v>Design Textile et Matière</v>
      </c>
      <c r="I1606" s="6" t="str" cm="1">
        <f t="array" ref="I1606">choice(Referentiel!B:B,1,Settings!$B$16)</f>
        <v>4ème année Image Imprimée S1</v>
      </c>
      <c r="J1606" s="6" t="str" cm="1">
        <f t="array" ref="J1606">choice(Referentiel!D:D,1,Settings!$B$16)</f>
        <v>L2</v>
      </c>
      <c r="K1606" s="6" t="str" cm="1">
        <f t="array" ref="K1606">choice(Professeurs!B:B,1,Settings!$B$16)</f>
        <v>Prof36</v>
      </c>
      <c r="L1606" s="5" t="str" cm="1">
        <f t="array" ref="L1606">choice(Referentiel!C:C,1,Settings!$B$16)</f>
        <v/>
      </c>
      <c r="M1606" s="5" t="str" cm="1">
        <f t="array" ref="M1606">choice(Referentiel!E:E,1,Settings!$B$16)</f>
        <v/>
      </c>
      <c r="N1606" s="5" t="str" cm="1">
        <f t="array" ref="N1606">choice(Settings!K:K,1,Settings!$B$16)</f>
        <v>vendredi pm</v>
      </c>
      <c r="P1606" s="5">
        <f t="shared" si="104"/>
        <v>5</v>
      </c>
    </row>
    <row r="1607" spans="1:16" ht="15.75" customHeight="1" x14ac:dyDescent="0.25">
      <c r="A1607" s="6" t="s">
        <v>1959</v>
      </c>
      <c r="B1607" s="6" cm="1">
        <f t="array" ref="B1607">alea_int(Settings!$B$10,1,Settings!$B$16)</f>
        <v>2</v>
      </c>
      <c r="C1607" s="8">
        <v>46023</v>
      </c>
      <c r="D1607" s="8">
        <f t="shared" si="101"/>
        <v>46387</v>
      </c>
      <c r="E1607" s="6" t="str" cm="1">
        <f t="array" ref="E1607">choice(Groupes!A:A,1,Settings!$B$16)</f>
        <v>G9</v>
      </c>
      <c r="F1607" s="6" t="str">
        <f t="shared" si="102"/>
        <v>G9</v>
      </c>
      <c r="G1607" s="6" t="str">
        <f t="shared" si="103"/>
        <v>Prof39</v>
      </c>
      <c r="H1607" s="6" t="str" cm="1">
        <f t="array" ref="H1607">choice(Referentiel!A:A,1,Settings!$B$16)</f>
        <v>Image Imprimée</v>
      </c>
      <c r="I1607" s="6" t="str" cm="1">
        <f t="array" ref="I1607">choice(Referentiel!B:B,1,Settings!$B$16)</f>
        <v>Césure S2</v>
      </c>
      <c r="J1607" s="6" t="str" cm="1">
        <f t="array" ref="J1607">choice(Referentiel!D:D,1,Settings!$B$16)</f>
        <v>L3</v>
      </c>
      <c r="K1607" s="6" t="str" cm="1">
        <f t="array" ref="K1607">choice(Professeurs!B:B,1,Settings!$B$16)</f>
        <v>Prof39</v>
      </c>
      <c r="L1607" s="5" t="str" cm="1">
        <f t="array" ref="L1607">choice(Referentiel!C:C,1,Settings!$B$16)</f>
        <v/>
      </c>
      <c r="M1607" s="5" t="str" cm="1">
        <f t="array" ref="M1607">choice(Referentiel!E:E,1,Settings!$B$16)</f>
        <v/>
      </c>
      <c r="N1607" s="5" t="str" cm="1">
        <f t="array" ref="N1607">choice(Settings!K:K,1,Settings!$B$16)</f>
        <v/>
      </c>
      <c r="P1607" s="5">
        <f t="shared" si="104"/>
        <v>2</v>
      </c>
    </row>
    <row r="1608" spans="1:16" ht="15.75" customHeight="1" x14ac:dyDescent="0.25">
      <c r="A1608" s="6" t="s">
        <v>1960</v>
      </c>
      <c r="B1608" s="6" cm="1">
        <f t="array" ref="B1608">alea_int(Settings!$B$10,1,Settings!$B$16)</f>
        <v>1</v>
      </c>
      <c r="C1608" s="8">
        <v>46023</v>
      </c>
      <c r="D1608" s="8">
        <f t="shared" si="101"/>
        <v>46387</v>
      </c>
      <c r="E1608" s="6" t="str" cm="1">
        <f t="array" ref="E1608">choice(Groupes!A:A,1,Settings!$B$16)</f>
        <v>G15</v>
      </c>
      <c r="F1608" s="6" t="str">
        <f t="shared" si="102"/>
        <v>G15</v>
      </c>
      <c r="G1608" s="6" t="str">
        <f t="shared" si="103"/>
        <v>Prof40</v>
      </c>
      <c r="H1608" s="6" t="str" cm="1">
        <f t="array" ref="H1608">choice(Referentiel!A:A,1,Settings!$B$16)</f>
        <v>Design Vêtement</v>
      </c>
      <c r="I1608" s="6" t="str" cm="1">
        <f t="array" ref="I1608">choice(Referentiel!B:B,1,Settings!$B$16)</f>
        <v>1ère Année Groupe 3 S1</v>
      </c>
      <c r="J1608" s="6" t="str" cm="1">
        <f t="array" ref="J1608">choice(Referentiel!D:D,1,Settings!$B$16)</f>
        <v>L1</v>
      </c>
      <c r="K1608" s="6" t="str" cm="1">
        <f t="array" ref="K1608">choice(Professeurs!B:B,1,Settings!$B$16)</f>
        <v>Prof40</v>
      </c>
      <c r="L1608" s="5" t="str" cm="1">
        <f t="array" ref="L1608">choice(Referentiel!C:C,1,Settings!$B$16)</f>
        <v/>
      </c>
      <c r="M1608" s="5" t="str" cm="1">
        <f t="array" ref="M1608">choice(Referentiel!E:E,1,Settings!$B$16)</f>
        <v/>
      </c>
      <c r="N1608" s="5" t="str" cm="1">
        <f t="array" ref="N1608">choice(Settings!K:K,1,Settings!$B$16)</f>
        <v>mercredi pm</v>
      </c>
      <c r="P1608" s="5">
        <f t="shared" si="104"/>
        <v>3</v>
      </c>
    </row>
    <row r="1609" spans="1:16" ht="15.75" customHeight="1" x14ac:dyDescent="0.25">
      <c r="A1609" s="6" t="s">
        <v>1961</v>
      </c>
      <c r="B1609" s="6" cm="1">
        <f t="array" ref="B1609">alea_int(Settings!$B$10,1,Settings!$B$16)</f>
        <v>1</v>
      </c>
      <c r="C1609" s="8">
        <v>46023</v>
      </c>
      <c r="D1609" s="8">
        <f t="shared" si="101"/>
        <v>46387</v>
      </c>
      <c r="E1609" s="6" t="str" cm="1">
        <f t="array" ref="E1609">choice(Groupes!A:A,1,Settings!$B$16)</f>
        <v>G13</v>
      </c>
      <c r="F1609" s="6" t="str">
        <f t="shared" si="102"/>
        <v>G13</v>
      </c>
      <c r="G1609" s="6" t="str">
        <f t="shared" si="103"/>
        <v>Prof32</v>
      </c>
      <c r="H1609" s="6" t="str" cm="1">
        <f t="array" ref="H1609">choice(Referentiel!A:A,1,Settings!$B$16)</f>
        <v>1ère année Groupe 3</v>
      </c>
      <c r="I1609" s="6" t="str" cm="1">
        <f t="array" ref="I1609">choice(Referentiel!B:B,1,Settings!$B$16)</f>
        <v>4ème année Architecture Intérieure S2</v>
      </c>
      <c r="J1609" s="6" t="str" cm="1">
        <f t="array" ref="J1609">choice(Referentiel!D:D,1,Settings!$B$16)</f>
        <v>L1</v>
      </c>
      <c r="K1609" s="6" t="str" cm="1">
        <f t="array" ref="K1609">choice(Professeurs!B:B,1,Settings!$B$16)</f>
        <v>Prof32</v>
      </c>
      <c r="L1609" s="5" t="str" cm="1">
        <f t="array" ref="L1609">choice(Referentiel!C:C,1,Settings!$B$16)</f>
        <v/>
      </c>
      <c r="M1609" s="5" t="str" cm="1">
        <f t="array" ref="M1609">choice(Referentiel!E:E,1,Settings!$B$16)</f>
        <v/>
      </c>
      <c r="N1609" s="5" t="str" cm="1">
        <f t="array" ref="N1609">choice(Settings!K:K,1,Settings!$B$16)</f>
        <v>mardi pm</v>
      </c>
      <c r="P1609" s="5">
        <f t="shared" si="104"/>
        <v>3</v>
      </c>
    </row>
    <row r="1610" spans="1:16" ht="15.75" customHeight="1" x14ac:dyDescent="0.25">
      <c r="A1610" s="6" t="s">
        <v>1962</v>
      </c>
      <c r="B1610" s="6" cm="1">
        <f t="array" ref="B1610">alea_int(Settings!$B$10,1,Settings!$B$16)</f>
        <v>3</v>
      </c>
      <c r="C1610" s="8">
        <v>46023</v>
      </c>
      <c r="D1610" s="8">
        <f t="shared" si="101"/>
        <v>46387</v>
      </c>
      <c r="E1610" s="6" t="str" cm="1">
        <f t="array" ref="E1610">choice(Groupes!A:A,1,Settings!$B$16)</f>
        <v>G13</v>
      </c>
      <c r="F1610" s="6" t="str">
        <f t="shared" si="102"/>
        <v>G13</v>
      </c>
      <c r="G1610" s="6" t="str">
        <f t="shared" si="103"/>
        <v>Prof27</v>
      </c>
      <c r="H1610" s="6" t="str" cm="1">
        <f t="array" ref="H1610">choice(Referentiel!A:A,1,Settings!$B$16)</f>
        <v>Gr REFLECTIVE INTERACTION</v>
      </c>
      <c r="I1610" s="6" t="str" cm="1">
        <f t="array" ref="I1610">choice(Referentiel!B:B,1,Settings!$B$16)</f>
        <v>3ème année Photo / Vidéo S2</v>
      </c>
      <c r="J1610" s="6" t="str" cm="1">
        <f t="array" ref="J1610">choice(Referentiel!D:D,1,Settings!$B$16)</f>
        <v>L2</v>
      </c>
      <c r="K1610" s="6" t="str" cm="1">
        <f t="array" ref="K1610">choice(Professeurs!B:B,1,Settings!$B$16)</f>
        <v>Prof27</v>
      </c>
      <c r="L1610" s="5" t="str" cm="1">
        <f t="array" ref="L1610">choice(Referentiel!C:C,1,Settings!$B$16)</f>
        <v/>
      </c>
      <c r="M1610" s="5" t="str" cm="1">
        <f t="array" ref="M1610">choice(Referentiel!E:E,1,Settings!$B$16)</f>
        <v/>
      </c>
      <c r="N1610" s="5" t="str" cm="1">
        <f t="array" ref="N1610">choice(Settings!K:K,1,Settings!$B$16)</f>
        <v>jeudi pm</v>
      </c>
      <c r="P1610" s="5">
        <f t="shared" si="104"/>
        <v>5</v>
      </c>
    </row>
    <row r="1611" spans="1:16" ht="15.75" customHeight="1" x14ac:dyDescent="0.25">
      <c r="A1611" s="6" t="s">
        <v>1963</v>
      </c>
      <c r="B1611" s="6" cm="1">
        <f t="array" ref="B1611">alea_int(Settings!$B$10,1,Settings!$B$16)</f>
        <v>2</v>
      </c>
      <c r="C1611" s="8">
        <v>46023</v>
      </c>
      <c r="D1611" s="8">
        <f t="shared" si="101"/>
        <v>46387</v>
      </c>
      <c r="E1611" s="6" t="str" cm="1">
        <f t="array" ref="E1611">choice(Groupes!A:A,1,Settings!$B$16)</f>
        <v>G3</v>
      </c>
      <c r="F1611" s="6" t="str">
        <f t="shared" si="102"/>
        <v>G3</v>
      </c>
      <c r="G1611" s="6" t="str">
        <f t="shared" si="103"/>
        <v>Prof22</v>
      </c>
      <c r="H1611" s="6" t="str" cm="1">
        <f t="array" ref="H1611">choice(Referentiel!A:A,1,Settings!$B$16)</f>
        <v>1ère année Groupe 1</v>
      </c>
      <c r="I1611" s="6" t="str" cm="1">
        <f t="array" ref="I1611">choice(Referentiel!B:B,1,Settings!$B$16)</f>
        <v>2ème année Design Textile et Matière S2</v>
      </c>
      <c r="J1611" s="6" t="str" cm="1">
        <f t="array" ref="J1611">choice(Referentiel!D:D,1,Settings!$B$16)</f>
        <v>M1</v>
      </c>
      <c r="K1611" s="6" t="str" cm="1">
        <f t="array" ref="K1611">choice(Professeurs!B:B,1,Settings!$B$16)</f>
        <v>Prof22</v>
      </c>
      <c r="L1611" s="5" t="str" cm="1">
        <f t="array" ref="L1611">choice(Referentiel!C:C,1,Settings!$B$16)</f>
        <v/>
      </c>
      <c r="M1611" s="5" t="str" cm="1">
        <f t="array" ref="M1611">choice(Referentiel!E:E,1,Settings!$B$16)</f>
        <v>Salle4</v>
      </c>
      <c r="N1611" s="5" t="str" cm="1">
        <f t="array" ref="N1611">choice(Settings!K:K,1,Settings!$B$16)</f>
        <v>vendredi am</v>
      </c>
      <c r="P1611" s="5">
        <f t="shared" si="104"/>
        <v>6</v>
      </c>
    </row>
    <row r="1612" spans="1:16" ht="15.75" customHeight="1" x14ac:dyDescent="0.25">
      <c r="A1612" s="6" t="s">
        <v>1964</v>
      </c>
      <c r="B1612" s="6" cm="1">
        <f t="array" ref="B1612">alea_int(Settings!$B$10,1,Settings!$B$16)</f>
        <v>2</v>
      </c>
      <c r="C1612" s="8">
        <v>46023</v>
      </c>
      <c r="D1612" s="8">
        <f t="shared" si="101"/>
        <v>46387</v>
      </c>
      <c r="E1612" s="6" t="str" cm="1">
        <f t="array" ref="E1612">choice(Groupes!A:A,1,Settings!$B$16)</f>
        <v>G24</v>
      </c>
      <c r="F1612" s="6" t="str">
        <f t="shared" si="102"/>
        <v>G24</v>
      </c>
      <c r="G1612" s="6" t="str">
        <f t="shared" si="103"/>
        <v>Prof6</v>
      </c>
      <c r="H1612" s="6" t="str" cm="1">
        <f t="array" ref="H1612">choice(Referentiel!A:A,1,Settings!$B$16)</f>
        <v>1ère année Groupe 1</v>
      </c>
      <c r="I1612" s="6" t="str" cm="1">
        <f t="array" ref="I1612">choice(Referentiel!B:B,1,Settings!$B$16)</f>
        <v>1ère Année Groupe 2 S2</v>
      </c>
      <c r="J1612" s="6" t="str" cm="1">
        <f t="array" ref="J1612">choice(Referentiel!D:D,1,Settings!$B$16)</f>
        <v>L3</v>
      </c>
      <c r="K1612" s="6" t="str" cm="1">
        <f t="array" ref="K1612">choice(Professeurs!B:B,1,Settings!$B$16)</f>
        <v>Prof6</v>
      </c>
      <c r="L1612" s="5" t="str" cm="1">
        <f t="array" ref="L1612">choice(Referentiel!C:C,1,Settings!$B$16)</f>
        <v/>
      </c>
      <c r="M1612" s="5" t="str" cm="1">
        <f t="array" ref="M1612">choice(Referentiel!E:E,1,Settings!$B$16)</f>
        <v/>
      </c>
      <c r="N1612" s="5" t="str" cm="1">
        <f t="array" ref="N1612">choice(Settings!K:K,1,Settings!$B$16)</f>
        <v>mercredi ap</v>
      </c>
      <c r="P1612" s="5">
        <f t="shared" si="104"/>
        <v>4</v>
      </c>
    </row>
    <row r="1613" spans="1:16" ht="15.75" customHeight="1" x14ac:dyDescent="0.25">
      <c r="A1613" s="6" t="s">
        <v>1965</v>
      </c>
      <c r="B1613" s="6" cm="1">
        <f t="array" ref="B1613">alea_int(Settings!$B$10,1,Settings!$B$16)</f>
        <v>1</v>
      </c>
      <c r="C1613" s="8">
        <v>46023</v>
      </c>
      <c r="D1613" s="8">
        <f t="shared" si="101"/>
        <v>46387</v>
      </c>
      <c r="E1613" s="6" t="str" cm="1">
        <f t="array" ref="E1613">choice(Groupes!A:A,1,Settings!$B$16)</f>
        <v>G10</v>
      </c>
      <c r="F1613" s="6" t="str">
        <f t="shared" si="102"/>
        <v>G10</v>
      </c>
      <c r="G1613" s="6" t="str">
        <f t="shared" si="103"/>
        <v>Prof6</v>
      </c>
      <c r="H1613" s="6" t="str" cm="1">
        <f t="array" ref="H1613">choice(Referentiel!A:A,1,Settings!$B$16)</f>
        <v>Design Textile et Matière</v>
      </c>
      <c r="I1613" s="6" t="str" cm="1">
        <f t="array" ref="I1613">choice(Referentiel!B:B,1,Settings!$B$16)</f>
        <v>5ème année Cinéma d'Animation S1</v>
      </c>
      <c r="J1613" s="6" t="str" cm="1">
        <f t="array" ref="J1613">choice(Referentiel!D:D,1,Settings!$B$16)</f>
        <v>L1</v>
      </c>
      <c r="K1613" s="6" t="str" cm="1">
        <f t="array" ref="K1613">choice(Professeurs!B:B,1,Settings!$B$16)</f>
        <v>Prof6</v>
      </c>
      <c r="L1613" s="5" t="str" cm="1">
        <f t="array" ref="L1613">choice(Referentiel!C:C,1,Settings!$B$16)</f>
        <v/>
      </c>
      <c r="M1613" s="5" t="str" cm="1">
        <f t="array" ref="M1613">choice(Referentiel!E:E,1,Settings!$B$16)</f>
        <v/>
      </c>
      <c r="N1613" s="5" t="str" cm="1">
        <f t="array" ref="N1613">choice(Settings!K:K,1,Settings!$B$16)</f>
        <v/>
      </c>
      <c r="P1613" s="5">
        <f t="shared" si="104"/>
        <v>1</v>
      </c>
    </row>
    <row r="1614" spans="1:16" ht="15.75" customHeight="1" x14ac:dyDescent="0.25">
      <c r="A1614" s="6" t="s">
        <v>1966</v>
      </c>
      <c r="B1614" s="6" cm="1">
        <f t="array" ref="B1614">alea_int(Settings!$B$10,1,Settings!$B$16)</f>
        <v>2</v>
      </c>
      <c r="C1614" s="8">
        <v>46023</v>
      </c>
      <c r="D1614" s="8">
        <f t="shared" si="101"/>
        <v>46387</v>
      </c>
      <c r="E1614" s="6" t="str" cm="1">
        <f t="array" ref="E1614">choice(Groupes!A:A,1,Settings!$B$16)</f>
        <v>G12</v>
      </c>
      <c r="F1614" s="6" t="str">
        <f t="shared" si="102"/>
        <v>G12</v>
      </c>
      <c r="G1614" s="6" t="str">
        <f t="shared" si="103"/>
        <v>Prof14</v>
      </c>
      <c r="H1614" s="6" t="str" cm="1">
        <f t="array" ref="H1614">choice(Referentiel!A:A,1,Settings!$B$16)</f>
        <v>Gr SOFT MATTERS</v>
      </c>
      <c r="I1614" s="6" t="str" cm="1">
        <f t="array" ref="I1614">choice(Referentiel!B:B,1,Settings!$B$16)</f>
        <v>3ème année Architecture Intérieure S2</v>
      </c>
      <c r="J1614" s="6" t="str" cm="1">
        <f t="array" ref="J1614">choice(Referentiel!D:D,1,Settings!$B$16)</f>
        <v>L1</v>
      </c>
      <c r="K1614" s="6" t="str" cm="1">
        <f t="array" ref="K1614">choice(Professeurs!B:B,1,Settings!$B$16)</f>
        <v>Prof14</v>
      </c>
      <c r="L1614" s="5" t="str" cm="1">
        <f t="array" ref="L1614">choice(Referentiel!C:C,1,Settings!$B$16)</f>
        <v/>
      </c>
      <c r="M1614" s="5" t="str" cm="1">
        <f t="array" ref="M1614">choice(Referentiel!E:E,1,Settings!$B$16)</f>
        <v/>
      </c>
      <c r="N1614" s="5" t="str" cm="1">
        <f t="array" ref="N1614">choice(Settings!K:K,1,Settings!$B$16)</f>
        <v/>
      </c>
      <c r="P1614" s="5">
        <f t="shared" si="104"/>
        <v>2</v>
      </c>
    </row>
    <row r="1615" spans="1:16" ht="15.75" customHeight="1" x14ac:dyDescent="0.25">
      <c r="A1615" s="6" t="s">
        <v>1967</v>
      </c>
      <c r="B1615" s="6" cm="1">
        <f t="array" ref="B1615">alea_int(Settings!$B$10,1,Settings!$B$16)</f>
        <v>3</v>
      </c>
      <c r="C1615" s="8">
        <v>46023</v>
      </c>
      <c r="D1615" s="8">
        <f t="shared" si="101"/>
        <v>46387</v>
      </c>
      <c r="E1615" s="6" t="str" cm="1">
        <f t="array" ref="E1615">choice(Groupes!A:A,1,Settings!$B$16)</f>
        <v>G22</v>
      </c>
      <c r="F1615" s="6" t="str">
        <f t="shared" si="102"/>
        <v>G22</v>
      </c>
      <c r="G1615" s="6" t="str">
        <f t="shared" si="103"/>
        <v>Prof47</v>
      </c>
      <c r="H1615" s="6" t="str" cm="1">
        <f t="array" ref="H1615">choice(Referentiel!A:A,1,Settings!$B$16)</f>
        <v>1ère année Groupe 4</v>
      </c>
      <c r="I1615" s="6" t="str" cm="1">
        <f t="array" ref="I1615">choice(Referentiel!B:B,1,Settings!$B$16)</f>
        <v>3ème année Image Imprimée S2</v>
      </c>
      <c r="J1615" s="6" t="str" cm="1">
        <f t="array" ref="J1615">choice(Referentiel!D:D,1,Settings!$B$16)</f>
        <v>M2</v>
      </c>
      <c r="K1615" s="6" t="str" cm="1">
        <f t="array" ref="K1615">choice(Professeurs!B:B,1,Settings!$B$16)</f>
        <v>Prof47</v>
      </c>
      <c r="L1615" s="5" t="str" cm="1">
        <f t="array" ref="L1615">choice(Referentiel!C:C,1,Settings!$B$16)</f>
        <v/>
      </c>
      <c r="M1615" s="5" t="str" cm="1">
        <f t="array" ref="M1615">choice(Referentiel!E:E,1,Settings!$B$16)</f>
        <v/>
      </c>
      <c r="N1615" s="5" t="str" cm="1">
        <f t="array" ref="N1615">choice(Settings!K:K,1,Settings!$B$16)</f>
        <v>vendredi am</v>
      </c>
      <c r="P1615" s="5">
        <f t="shared" si="104"/>
        <v>5</v>
      </c>
    </row>
    <row r="1616" spans="1:16" ht="15.75" customHeight="1" x14ac:dyDescent="0.25">
      <c r="A1616" s="6" t="s">
        <v>1968</v>
      </c>
      <c r="B1616" s="6" cm="1">
        <f t="array" ref="B1616">alea_int(Settings!$B$10,1,Settings!$B$16)</f>
        <v>2</v>
      </c>
      <c r="C1616" s="8">
        <v>46023</v>
      </c>
      <c r="D1616" s="8">
        <f t="shared" si="101"/>
        <v>46387</v>
      </c>
      <c r="E1616" s="6" t="str" cm="1">
        <f t="array" ref="E1616">choice(Groupes!A:A,1,Settings!$B$16)</f>
        <v>G28</v>
      </c>
      <c r="F1616" s="6" t="str">
        <f t="shared" si="102"/>
        <v>G28</v>
      </c>
      <c r="G1616" s="6" t="str">
        <f t="shared" si="103"/>
        <v>Prof12</v>
      </c>
      <c r="H1616" s="6" t="str" cm="1">
        <f t="array" ref="H1616">choice(Referentiel!A:A,1,Settings!$B$16)</f>
        <v>Art-Espace</v>
      </c>
      <c r="I1616" s="6" t="str" cm="1">
        <f t="array" ref="I1616">choice(Referentiel!B:B,1,Settings!$B$16)</f>
        <v>2ème année Image Imprimée S2</v>
      </c>
      <c r="J1616" s="6" t="str" cm="1">
        <f t="array" ref="J1616">choice(Referentiel!D:D,1,Settings!$B$16)</f>
        <v>L2</v>
      </c>
      <c r="K1616" s="6" t="str" cm="1">
        <f t="array" ref="K1616">choice(Professeurs!B:B,1,Settings!$B$16)</f>
        <v>Prof12</v>
      </c>
      <c r="L1616" s="5" t="str" cm="1">
        <f t="array" ref="L1616">choice(Referentiel!C:C,1,Settings!$B$16)</f>
        <v/>
      </c>
      <c r="M1616" s="5" t="str" cm="1">
        <f t="array" ref="M1616">choice(Referentiel!E:E,1,Settings!$B$16)</f>
        <v/>
      </c>
      <c r="N1616" s="5" t="str" cm="1">
        <f t="array" ref="N1616">choice(Settings!K:K,1,Settings!$B$16)</f>
        <v/>
      </c>
      <c r="P1616" s="5">
        <f t="shared" si="104"/>
        <v>2</v>
      </c>
    </row>
    <row r="1617" spans="1:16" ht="15.75" customHeight="1" x14ac:dyDescent="0.25">
      <c r="A1617" s="6" t="s">
        <v>1969</v>
      </c>
      <c r="B1617" s="6" cm="1">
        <f t="array" ref="B1617">alea_int(Settings!$B$10,1,Settings!$B$16)</f>
        <v>3</v>
      </c>
      <c r="C1617" s="8">
        <v>46023</v>
      </c>
      <c r="D1617" s="8">
        <f t="shared" si="101"/>
        <v>46387</v>
      </c>
      <c r="E1617" s="6" t="str" cm="1">
        <f t="array" ref="E1617">choice(Groupes!A:A,1,Settings!$B$16)</f>
        <v>G6</v>
      </c>
      <c r="F1617" s="6" t="str">
        <f t="shared" si="102"/>
        <v>G6</v>
      </c>
      <c r="G1617" s="6" t="str">
        <f t="shared" si="103"/>
        <v>Prof42</v>
      </c>
      <c r="H1617" s="6" t="str" cm="1">
        <f t="array" ref="H1617">choice(Referentiel!A:A,1,Settings!$B$16)</f>
        <v>1ère année Groupe 4</v>
      </c>
      <c r="I1617" s="6" t="str" cm="1">
        <f t="array" ref="I1617">choice(Referentiel!B:B,1,Settings!$B$16)</f>
        <v>4ème année Art-Espace S1</v>
      </c>
      <c r="J1617" s="6" t="str" cm="1">
        <f t="array" ref="J1617">choice(Referentiel!D:D,1,Settings!$B$16)</f>
        <v>L1</v>
      </c>
      <c r="K1617" s="6" t="str" cm="1">
        <f t="array" ref="K1617">choice(Professeurs!B:B,1,Settings!$B$16)</f>
        <v>Prof42</v>
      </c>
      <c r="L1617" s="5" t="str" cm="1">
        <f t="array" ref="L1617">choice(Referentiel!C:C,1,Settings!$B$16)</f>
        <v/>
      </c>
      <c r="M1617" s="5" t="str" cm="1">
        <f t="array" ref="M1617">choice(Referentiel!E:E,1,Settings!$B$16)</f>
        <v/>
      </c>
      <c r="N1617" s="5" t="str" cm="1">
        <f t="array" ref="N1617">choice(Settings!K:K,1,Settings!$B$16)</f>
        <v>semaine</v>
      </c>
      <c r="P1617" s="5">
        <f t="shared" si="104"/>
        <v>5</v>
      </c>
    </row>
    <row r="1618" spans="1:16" ht="15.75" customHeight="1" x14ac:dyDescent="0.25">
      <c r="A1618" s="6" t="s">
        <v>1970</v>
      </c>
      <c r="B1618" s="6" cm="1">
        <f t="array" ref="B1618">alea_int(Settings!$B$10,1,Settings!$B$16)</f>
        <v>1</v>
      </c>
      <c r="C1618" s="8">
        <v>46023</v>
      </c>
      <c r="D1618" s="8">
        <f t="shared" si="101"/>
        <v>46387</v>
      </c>
      <c r="E1618" s="6" t="str" cm="1">
        <f t="array" ref="E1618">choice(Groupes!A:A,1,Settings!$B$16)</f>
        <v>G29</v>
      </c>
      <c r="F1618" s="6" t="str">
        <f t="shared" si="102"/>
        <v>G29</v>
      </c>
      <c r="G1618" s="6" t="str">
        <f t="shared" si="103"/>
        <v>Prof29</v>
      </c>
      <c r="H1618" s="6" t="str" cm="1">
        <f t="array" ref="H1618">choice(Referentiel!A:A,1,Settings!$B$16)</f>
        <v>Design Vêtement</v>
      </c>
      <c r="I1618" s="6" t="str" cm="1">
        <f t="array" ref="I1618">choice(Referentiel!B:B,1,Settings!$B$16)</f>
        <v>3ème année Cinéma d'Animation S2</v>
      </c>
      <c r="J1618" s="6" t="str" cm="1">
        <f t="array" ref="J1618">choice(Referentiel!D:D,1,Settings!$B$16)</f>
        <v>L1</v>
      </c>
      <c r="K1618" s="6" t="str" cm="1">
        <f t="array" ref="K1618">choice(Professeurs!B:B,1,Settings!$B$16)</f>
        <v>Prof29</v>
      </c>
      <c r="L1618" s="5" t="str" cm="1">
        <f t="array" ref="L1618">choice(Referentiel!C:C,1,Settings!$B$16)</f>
        <v/>
      </c>
      <c r="M1618" s="5" t="str" cm="1">
        <f t="array" ref="M1618">choice(Referentiel!E:E,1,Settings!$B$16)</f>
        <v/>
      </c>
      <c r="N1618" s="5" t="str" cm="1">
        <f t="array" ref="N1618">choice(Settings!K:K,1,Settings!$B$16)</f>
        <v/>
      </c>
      <c r="P1618" s="5">
        <f t="shared" si="104"/>
        <v>1</v>
      </c>
    </row>
    <row r="1619" spans="1:16" ht="15.75" customHeight="1" x14ac:dyDescent="0.25">
      <c r="A1619" s="6" t="s">
        <v>1971</v>
      </c>
      <c r="B1619" s="6" cm="1">
        <f t="array" ref="B1619">alea_int(Settings!$B$10,1,Settings!$B$16)</f>
        <v>3</v>
      </c>
      <c r="C1619" s="8">
        <v>46023</v>
      </c>
      <c r="D1619" s="8">
        <f t="shared" si="101"/>
        <v>46387</v>
      </c>
      <c r="E1619" s="6" t="str" cm="1">
        <f t="array" ref="E1619">choice(Groupes!A:A,1,Settings!$B$16)</f>
        <v>G12</v>
      </c>
      <c r="F1619" s="6" t="str">
        <f t="shared" si="102"/>
        <v>G12</v>
      </c>
      <c r="G1619" s="6" t="str">
        <f t="shared" si="103"/>
        <v>Prof2</v>
      </c>
      <c r="H1619" s="6" t="str" cm="1">
        <f t="array" ref="H1619">choice(Referentiel!A:A,1,Settings!$B$16)</f>
        <v>Design des mondes ruraux</v>
      </c>
      <c r="I1619" s="6" t="str" cm="1">
        <f t="array" ref="I1619">choice(Referentiel!B:B,1,Settings!$B$16)</f>
        <v>2ème année Art-Espace S1</v>
      </c>
      <c r="J1619" s="6" t="str" cm="1">
        <f t="array" ref="J1619">choice(Referentiel!D:D,1,Settings!$B$16)</f>
        <v>M2</v>
      </c>
      <c r="K1619" s="6" t="str" cm="1">
        <f t="array" ref="K1619">choice(Professeurs!B:B,1,Settings!$B$16)</f>
        <v>Prof2</v>
      </c>
      <c r="L1619" s="5" t="str" cm="1">
        <f t="array" ref="L1619">choice(Referentiel!C:C,1,Settings!$B$16)</f>
        <v/>
      </c>
      <c r="M1619" s="5" t="str" cm="1">
        <f t="array" ref="M1619">choice(Referentiel!E:E,1,Settings!$B$16)</f>
        <v/>
      </c>
      <c r="N1619" s="5" t="str" cm="1">
        <f t="array" ref="N1619">choice(Settings!K:K,1,Settings!$B$16)</f>
        <v/>
      </c>
      <c r="P1619" s="5">
        <f t="shared" si="104"/>
        <v>3</v>
      </c>
    </row>
    <row r="1620" spans="1:16" ht="15.75" customHeight="1" x14ac:dyDescent="0.25">
      <c r="A1620" s="6" t="s">
        <v>1972</v>
      </c>
      <c r="B1620" s="6" cm="1">
        <f t="array" ref="B1620">alea_int(Settings!$B$10,1,Settings!$B$16)</f>
        <v>1</v>
      </c>
      <c r="C1620" s="8">
        <v>46023</v>
      </c>
      <c r="D1620" s="8">
        <f t="shared" si="101"/>
        <v>46387</v>
      </c>
      <c r="E1620" s="6" t="str" cm="1">
        <f t="array" ref="E1620">choice(Groupes!A:A,1,Settings!$B$16)</f>
        <v>G6</v>
      </c>
      <c r="F1620" s="6" t="str">
        <f t="shared" si="102"/>
        <v>G6</v>
      </c>
      <c r="G1620" s="6" t="str">
        <f t="shared" si="103"/>
        <v>Prof45</v>
      </c>
      <c r="H1620" s="6" t="str" cm="1">
        <f t="array" ref="H1620">choice(Referentiel!A:A,1,Settings!$B$16)</f>
        <v>Gr TERRITOIRES</v>
      </c>
      <c r="I1620" s="6" t="str" cm="1">
        <f t="array" ref="I1620">choice(Referentiel!B:B,1,Settings!$B$16)</f>
        <v>5ème année Design Graphique S2</v>
      </c>
      <c r="J1620" s="6" t="str" cm="1">
        <f t="array" ref="J1620">choice(Referentiel!D:D,1,Settings!$B$16)</f>
        <v>M2</v>
      </c>
      <c r="K1620" s="6" t="str" cm="1">
        <f t="array" ref="K1620">choice(Professeurs!B:B,1,Settings!$B$16)</f>
        <v>Prof45</v>
      </c>
      <c r="L1620" s="5" t="str" cm="1">
        <f t="array" ref="L1620">choice(Referentiel!C:C,1,Settings!$B$16)</f>
        <v/>
      </c>
      <c r="M1620" s="5" t="str" cm="1">
        <f t="array" ref="M1620">choice(Referentiel!E:E,1,Settings!$B$16)</f>
        <v/>
      </c>
      <c r="N1620" s="5" t="str" cm="1">
        <f t="array" ref="N1620">choice(Settings!K:K,1,Settings!$B$16)</f>
        <v>lundi am</v>
      </c>
      <c r="P1620" s="5">
        <f t="shared" si="104"/>
        <v>3</v>
      </c>
    </row>
    <row r="1621" spans="1:16" ht="15.75" customHeight="1" x14ac:dyDescent="0.25">
      <c r="A1621" s="6" t="s">
        <v>1973</v>
      </c>
      <c r="B1621" s="6" cm="1">
        <f t="array" ref="B1621">alea_int(Settings!$B$10,1,Settings!$B$16)</f>
        <v>2</v>
      </c>
      <c r="C1621" s="8">
        <v>46023</v>
      </c>
      <c r="D1621" s="8">
        <f t="shared" si="101"/>
        <v>46387</v>
      </c>
      <c r="E1621" s="6" t="str" cm="1">
        <f t="array" ref="E1621">choice(Groupes!A:A,1,Settings!$B$16)</f>
        <v>G7</v>
      </c>
      <c r="F1621" s="6" t="str">
        <f t="shared" si="102"/>
        <v>G7</v>
      </c>
      <c r="G1621" s="6" t="str">
        <f t="shared" si="103"/>
        <v>Prof46</v>
      </c>
      <c r="H1621" s="6" t="str" cm="1">
        <f t="array" ref="H1621">choice(Referentiel!A:A,1,Settings!$B$16)</f>
        <v>1ère année Groupe 1</v>
      </c>
      <c r="I1621" s="6" t="str" cm="1">
        <f t="array" ref="I1621">choice(Referentiel!B:B,1,Settings!$B$16)</f>
        <v>2ème année Design Objet S1</v>
      </c>
      <c r="J1621" s="6" t="str" cm="1">
        <f t="array" ref="J1621">choice(Referentiel!D:D,1,Settings!$B$16)</f>
        <v>L1</v>
      </c>
      <c r="K1621" s="6" t="str" cm="1">
        <f t="array" ref="K1621">choice(Professeurs!B:B,1,Settings!$B$16)</f>
        <v>Prof46</v>
      </c>
      <c r="L1621" s="5" t="str" cm="1">
        <f t="array" ref="L1621">choice(Referentiel!C:C,1,Settings!$B$16)</f>
        <v/>
      </c>
      <c r="M1621" s="5" t="str" cm="1">
        <f t="array" ref="M1621">choice(Referentiel!E:E,1,Settings!$B$16)</f>
        <v/>
      </c>
      <c r="N1621" s="5" t="str" cm="1">
        <f t="array" ref="N1621">choice(Settings!K:K,1,Settings!$B$16)</f>
        <v/>
      </c>
      <c r="P1621" s="5">
        <f t="shared" si="104"/>
        <v>2</v>
      </c>
    </row>
    <row r="1622" spans="1:16" ht="15.75" customHeight="1" x14ac:dyDescent="0.25">
      <c r="A1622" s="6" t="s">
        <v>1974</v>
      </c>
      <c r="B1622" s="6" cm="1">
        <f t="array" ref="B1622">alea_int(Settings!$B$10,1,Settings!$B$16)</f>
        <v>2</v>
      </c>
      <c r="C1622" s="8">
        <v>46023</v>
      </c>
      <c r="D1622" s="8">
        <f t="shared" si="101"/>
        <v>46387</v>
      </c>
      <c r="E1622" s="6" t="str" cm="1">
        <f t="array" ref="E1622">choice(Groupes!A:A,1,Settings!$B$16)</f>
        <v>G29</v>
      </c>
      <c r="F1622" s="6" t="str">
        <f t="shared" si="102"/>
        <v>G29</v>
      </c>
      <c r="G1622" s="6" t="str">
        <f t="shared" si="103"/>
        <v>Prof8</v>
      </c>
      <c r="H1622" s="6" t="str" cm="1">
        <f t="array" ref="H1622">choice(Referentiel!A:A,1,Settings!$B$16)</f>
        <v>Design des mondes urbains</v>
      </c>
      <c r="I1622" s="6" t="str" cm="1">
        <f t="array" ref="I1622">choice(Referentiel!B:B,1,Settings!$B$16)</f>
        <v>3ème année Art-Espace S2</v>
      </c>
      <c r="J1622" s="6" t="str" cm="1">
        <f t="array" ref="J1622">choice(Referentiel!D:D,1,Settings!$B$16)</f>
        <v>L2</v>
      </c>
      <c r="K1622" s="6" t="str" cm="1">
        <f t="array" ref="K1622">choice(Professeurs!B:B,1,Settings!$B$16)</f>
        <v>Prof8</v>
      </c>
      <c r="L1622" s="5" t="str" cm="1">
        <f t="array" ref="L1622">choice(Referentiel!C:C,1,Settings!$B$16)</f>
        <v/>
      </c>
      <c r="M1622" s="5" t="str" cm="1">
        <f t="array" ref="M1622">choice(Referentiel!E:E,1,Settings!$B$16)</f>
        <v/>
      </c>
      <c r="N1622" s="5" t="str" cm="1">
        <f t="array" ref="N1622">choice(Settings!K:K,1,Settings!$B$16)</f>
        <v/>
      </c>
      <c r="P1622" s="5">
        <f t="shared" si="104"/>
        <v>2</v>
      </c>
    </row>
    <row r="1623" spans="1:16" ht="15.75" customHeight="1" x14ac:dyDescent="0.25">
      <c r="A1623" s="6" t="s">
        <v>1975</v>
      </c>
      <c r="B1623" s="6" cm="1">
        <f t="array" ref="B1623">alea_int(Settings!$B$10,1,Settings!$B$16)</f>
        <v>3</v>
      </c>
      <c r="C1623" s="8">
        <v>46023</v>
      </c>
      <c r="D1623" s="8">
        <f t="shared" si="101"/>
        <v>46387</v>
      </c>
      <c r="E1623" s="6" t="str" cm="1">
        <f t="array" ref="E1623">choice(Groupes!A:A,1,Settings!$B$16)</f>
        <v>G21</v>
      </c>
      <c r="F1623" s="6" t="str">
        <f t="shared" si="102"/>
        <v>G21</v>
      </c>
      <c r="G1623" s="6" t="str">
        <f t="shared" si="103"/>
        <v>Prof43</v>
      </c>
      <c r="H1623" s="6" t="str" cm="1">
        <f t="array" ref="H1623">choice(Referentiel!A:A,1,Settings!$B$16)</f>
        <v>Design Objet</v>
      </c>
      <c r="I1623" s="6" t="str" cm="1">
        <f t="array" ref="I1623">choice(Referentiel!B:B,1,Settings!$B$16)</f>
        <v>2ème année Scénographie S1</v>
      </c>
      <c r="J1623" s="6" t="str" cm="1">
        <f t="array" ref="J1623">choice(Referentiel!D:D,1,Settings!$B$16)</f>
        <v>L1</v>
      </c>
      <c r="K1623" s="6" t="str" cm="1">
        <f t="array" ref="K1623">choice(Professeurs!B:B,1,Settings!$B$16)</f>
        <v>Prof43</v>
      </c>
      <c r="L1623" s="5" t="str" cm="1">
        <f t="array" ref="L1623">choice(Referentiel!C:C,1,Settings!$B$16)</f>
        <v/>
      </c>
      <c r="M1623" s="5" t="str" cm="1">
        <f t="array" ref="M1623">choice(Referentiel!E:E,1,Settings!$B$16)</f>
        <v/>
      </c>
      <c r="N1623" s="5" t="str" cm="1">
        <f t="array" ref="N1623">choice(Settings!K:K,1,Settings!$B$16)</f>
        <v/>
      </c>
      <c r="P1623" s="5">
        <f t="shared" si="104"/>
        <v>3</v>
      </c>
    </row>
    <row r="1624" spans="1:16" ht="15.75" customHeight="1" x14ac:dyDescent="0.25">
      <c r="A1624" s="6" t="s">
        <v>1976</v>
      </c>
      <c r="B1624" s="6" cm="1">
        <f t="array" ref="B1624">alea_int(Settings!$B$10,1,Settings!$B$16)</f>
        <v>2</v>
      </c>
      <c r="C1624" s="8">
        <v>46023</v>
      </c>
      <c r="D1624" s="8">
        <f t="shared" si="101"/>
        <v>46387</v>
      </c>
      <c r="E1624" s="6" t="str" cm="1">
        <f t="array" ref="E1624">choice(Groupes!A:A,1,Settings!$B$16)</f>
        <v>G11</v>
      </c>
      <c r="F1624" s="6" t="str">
        <f t="shared" si="102"/>
        <v>G11</v>
      </c>
      <c r="G1624" s="6" t="str">
        <f t="shared" si="103"/>
        <v>Prof50</v>
      </c>
      <c r="H1624" s="6" t="str" cm="1">
        <f t="array" ref="H1624">choice(Referentiel!A:A,1,Settings!$B$16)</f>
        <v>Design Objet</v>
      </c>
      <c r="I1624" s="6" t="str" cm="1">
        <f t="array" ref="I1624">choice(Referentiel!B:B,1,Settings!$B$16)</f>
        <v>1ère Année Groupe 3 S1</v>
      </c>
      <c r="J1624" s="6" t="str" cm="1">
        <f t="array" ref="J1624">choice(Referentiel!D:D,1,Settings!$B$16)</f>
        <v>L2</v>
      </c>
      <c r="K1624" s="6" t="str" cm="1">
        <f t="array" ref="K1624">choice(Professeurs!B:B,1,Settings!$B$16)</f>
        <v>Prof50</v>
      </c>
      <c r="L1624" s="5" t="str" cm="1">
        <f t="array" ref="L1624">choice(Referentiel!C:C,1,Settings!$B$16)</f>
        <v/>
      </c>
      <c r="M1624" s="5" t="str" cm="1">
        <f t="array" ref="M1624">choice(Referentiel!E:E,1,Settings!$B$16)</f>
        <v/>
      </c>
      <c r="N1624" s="5" t="str" cm="1">
        <f t="array" ref="N1624">choice(Settings!K:K,1,Settings!$B$16)</f>
        <v/>
      </c>
      <c r="P1624" s="5">
        <f t="shared" si="104"/>
        <v>2</v>
      </c>
    </row>
    <row r="1625" spans="1:16" ht="15.75" customHeight="1" x14ac:dyDescent="0.25">
      <c r="A1625" s="6" t="s">
        <v>1977</v>
      </c>
      <c r="B1625" s="6" cm="1">
        <f t="array" ref="B1625">alea_int(Settings!$B$10,1,Settings!$B$16)</f>
        <v>3</v>
      </c>
      <c r="C1625" s="8">
        <v>46023</v>
      </c>
      <c r="D1625" s="8">
        <f t="shared" si="101"/>
        <v>46387</v>
      </c>
      <c r="E1625" s="6" t="str" cm="1">
        <f t="array" ref="E1625">choice(Groupes!A:A,1,Settings!$B$16)</f>
        <v>G3</v>
      </c>
      <c r="F1625" s="6" t="str">
        <f t="shared" si="102"/>
        <v>G3</v>
      </c>
      <c r="G1625" s="6" t="str">
        <f t="shared" si="103"/>
        <v>Prof7</v>
      </c>
      <c r="H1625" s="6" t="str" cm="1">
        <f t="array" ref="H1625">choice(Referentiel!A:A,1,Settings!$B$16)</f>
        <v>1ère année Groupe 2</v>
      </c>
      <c r="I1625" s="6" t="str" cm="1">
        <f t="array" ref="I1625">choice(Referentiel!B:B,1,Settings!$B$16)</f>
        <v>4ème année Art-Espace S2</v>
      </c>
      <c r="J1625" s="6" t="str" cm="1">
        <f t="array" ref="J1625">choice(Referentiel!D:D,1,Settings!$B$16)</f>
        <v>L2</v>
      </c>
      <c r="K1625" s="6" t="str" cm="1">
        <f t="array" ref="K1625">choice(Professeurs!B:B,1,Settings!$B$16)</f>
        <v>Prof7</v>
      </c>
      <c r="L1625" s="5" t="str" cm="1">
        <f t="array" ref="L1625">choice(Referentiel!C:C,1,Settings!$B$16)</f>
        <v/>
      </c>
      <c r="M1625" s="5" t="str" cm="1">
        <f t="array" ref="M1625">choice(Referentiel!E:E,1,Settings!$B$16)</f>
        <v/>
      </c>
      <c r="N1625" s="5" t="str" cm="1">
        <f t="array" ref="N1625">choice(Settings!K:K,1,Settings!$B$16)</f>
        <v/>
      </c>
      <c r="P1625" s="5">
        <f t="shared" si="104"/>
        <v>3</v>
      </c>
    </row>
    <row r="1626" spans="1:16" ht="15.75" customHeight="1" x14ac:dyDescent="0.25">
      <c r="A1626" s="6" t="s">
        <v>1978</v>
      </c>
      <c r="B1626" s="6" cm="1">
        <f t="array" ref="B1626">alea_int(Settings!$B$10,1,Settings!$B$16)</f>
        <v>2</v>
      </c>
      <c r="C1626" s="8">
        <v>46023</v>
      </c>
      <c r="D1626" s="8">
        <f t="shared" si="101"/>
        <v>46387</v>
      </c>
      <c r="E1626" s="6" t="str" cm="1">
        <f t="array" ref="E1626">choice(Groupes!A:A,1,Settings!$B$16)</f>
        <v>G13</v>
      </c>
      <c r="F1626" s="6" t="str">
        <f t="shared" si="102"/>
        <v>G13</v>
      </c>
      <c r="G1626" s="6" t="str">
        <f t="shared" si="103"/>
        <v>Prof17</v>
      </c>
      <c r="H1626" s="6" t="str" cm="1">
        <f t="array" ref="H1626">choice(Referentiel!A:A,1,Settings!$B$16)</f>
        <v>Design Vêtement</v>
      </c>
      <c r="I1626" s="6" t="str" cm="1">
        <f t="array" ref="I1626">choice(Referentiel!B:B,1,Settings!$B$16)</f>
        <v>2ème année Photo / Vidéo S1</v>
      </c>
      <c r="J1626" s="6" t="str" cm="1">
        <f t="array" ref="J1626">choice(Referentiel!D:D,1,Settings!$B$16)</f>
        <v>M1</v>
      </c>
      <c r="K1626" s="6" t="str" cm="1">
        <f t="array" ref="K1626">choice(Professeurs!B:B,1,Settings!$B$16)</f>
        <v>Prof17</v>
      </c>
      <c r="L1626" s="5" t="str" cm="1">
        <f t="array" ref="L1626">choice(Referentiel!C:C,1,Settings!$B$16)</f>
        <v/>
      </c>
      <c r="M1626" s="5" t="str" cm="1">
        <f t="array" ref="M1626">choice(Referentiel!E:E,1,Settings!$B$16)</f>
        <v/>
      </c>
      <c r="N1626" s="5" t="str" cm="1">
        <f t="array" ref="N1626">choice(Settings!K:K,1,Settings!$B$16)</f>
        <v/>
      </c>
      <c r="P1626" s="5">
        <f t="shared" si="104"/>
        <v>2</v>
      </c>
    </row>
    <row r="1627" spans="1:16" ht="15.75" customHeight="1" x14ac:dyDescent="0.25">
      <c r="A1627" s="6" t="s">
        <v>1979</v>
      </c>
      <c r="B1627" s="6" cm="1">
        <f t="array" ref="B1627">alea_int(Settings!$B$10,1,Settings!$B$16)</f>
        <v>1</v>
      </c>
      <c r="C1627" s="8">
        <v>46023</v>
      </c>
      <c r="D1627" s="8">
        <f t="shared" si="101"/>
        <v>46387</v>
      </c>
      <c r="E1627" s="6" t="str" cm="1">
        <f t="array" ref="E1627">choice(Groupes!A:A,1,Settings!$B$16)</f>
        <v>G20</v>
      </c>
      <c r="F1627" s="6" t="str">
        <f t="shared" si="102"/>
        <v>G20</v>
      </c>
      <c r="G1627" s="6" t="str">
        <f t="shared" si="103"/>
        <v>Prof29</v>
      </c>
      <c r="H1627" s="6" t="str" cm="1">
        <f t="array" ref="H1627">choice(Referentiel!A:A,1,Settings!$B$16)</f>
        <v>Design des mondes montagneux</v>
      </c>
      <c r="I1627" s="6" t="str" cm="1">
        <f t="array" ref="I1627">choice(Referentiel!B:B,1,Settings!$B$16)</f>
        <v>1ère Année Groupe 4 S1</v>
      </c>
      <c r="J1627" s="6" t="str" cm="1">
        <f t="array" ref="J1627">choice(Referentiel!D:D,1,Settings!$B$16)</f>
        <v>M2</v>
      </c>
      <c r="K1627" s="6" t="str" cm="1">
        <f t="array" ref="K1627">choice(Professeurs!B:B,1,Settings!$B$16)</f>
        <v>Prof29</v>
      </c>
      <c r="L1627" s="5" t="str" cm="1">
        <f t="array" ref="L1627">choice(Referentiel!C:C,1,Settings!$B$16)</f>
        <v/>
      </c>
      <c r="M1627" s="5" t="str" cm="1">
        <f t="array" ref="M1627">choice(Referentiel!E:E,1,Settings!$B$16)</f>
        <v/>
      </c>
      <c r="N1627" s="5" t="str" cm="1">
        <f t="array" ref="N1627">choice(Settings!K:K,1,Settings!$B$16)</f>
        <v/>
      </c>
      <c r="P1627" s="5">
        <f t="shared" si="104"/>
        <v>1</v>
      </c>
    </row>
    <row r="1628" spans="1:16" ht="15.75" customHeight="1" x14ac:dyDescent="0.25">
      <c r="A1628" s="6" t="s">
        <v>1980</v>
      </c>
      <c r="B1628" s="6" cm="1">
        <f t="array" ref="B1628">alea_int(Settings!$B$10,1,Settings!$B$16)</f>
        <v>3</v>
      </c>
      <c r="C1628" s="8">
        <v>46023</v>
      </c>
      <c r="D1628" s="8">
        <f t="shared" si="101"/>
        <v>46387</v>
      </c>
      <c r="E1628" s="6" t="str" cm="1">
        <f t="array" ref="E1628">choice(Groupes!A:A,1,Settings!$B$16)</f>
        <v>G23</v>
      </c>
      <c r="F1628" s="6" t="str">
        <f t="shared" si="102"/>
        <v>G23</v>
      </c>
      <c r="G1628" s="6" t="str">
        <f t="shared" si="103"/>
        <v>Prof20</v>
      </c>
      <c r="H1628" s="6" t="str" cm="1">
        <f t="array" ref="H1628">choice(Referentiel!A:A,1,Settings!$B$16)</f>
        <v>Image Imprimée</v>
      </c>
      <c r="I1628" s="6" t="str" cm="1">
        <f t="array" ref="I1628">choice(Referentiel!B:B,1,Settings!$B$16)</f>
        <v>3ème année Design Objet S2</v>
      </c>
      <c r="J1628" s="6" t="str" cm="1">
        <f t="array" ref="J1628">choice(Referentiel!D:D,1,Settings!$B$16)</f>
        <v>M1</v>
      </c>
      <c r="K1628" s="6" t="str" cm="1">
        <f t="array" ref="K1628">choice(Professeurs!B:B,1,Settings!$B$16)</f>
        <v>Prof20</v>
      </c>
      <c r="L1628" s="5" t="str" cm="1">
        <f t="array" ref="L1628">choice(Referentiel!C:C,1,Settings!$B$16)</f>
        <v/>
      </c>
      <c r="M1628" s="5" t="str" cm="1">
        <f t="array" ref="M1628">choice(Referentiel!E:E,1,Settings!$B$16)</f>
        <v/>
      </c>
      <c r="N1628" s="5" t="str" cm="1">
        <f t="array" ref="N1628">choice(Settings!K:K,1,Settings!$B$16)</f>
        <v/>
      </c>
      <c r="P1628" s="5">
        <f t="shared" si="104"/>
        <v>3</v>
      </c>
    </row>
    <row r="1629" spans="1:16" ht="15.75" customHeight="1" x14ac:dyDescent="0.25">
      <c r="A1629" s="6" t="s">
        <v>1981</v>
      </c>
      <c r="B1629" s="6" cm="1">
        <f t="array" ref="B1629">alea_int(Settings!$B$10,1,Settings!$B$16)</f>
        <v>3</v>
      </c>
      <c r="C1629" s="8">
        <v>46023</v>
      </c>
      <c r="D1629" s="8">
        <f t="shared" si="101"/>
        <v>46387</v>
      </c>
      <c r="E1629" s="6" t="str" cm="1">
        <f t="array" ref="E1629">choice(Groupes!A:A,1,Settings!$B$16)</f>
        <v>G2</v>
      </c>
      <c r="F1629" s="6" t="str">
        <f t="shared" si="102"/>
        <v>G2</v>
      </c>
      <c r="G1629" s="6" t="str">
        <f t="shared" si="103"/>
        <v>Prof47</v>
      </c>
      <c r="H1629" s="6" t="str" cm="1">
        <f t="array" ref="H1629">choice(Referentiel!A:A,1,Settings!$B$16)</f>
        <v>6ème ANNÉE STAGE</v>
      </c>
      <c r="I1629" s="6" t="str" cm="1">
        <f t="array" ref="I1629">choice(Referentiel!B:B,1,Settings!$B$16)</f>
        <v>3ème année Scénographie S1</v>
      </c>
      <c r="J1629" s="6" t="str" cm="1">
        <f t="array" ref="J1629">choice(Referentiel!D:D,1,Settings!$B$16)</f>
        <v>L2</v>
      </c>
      <c r="K1629" s="6" t="str" cm="1">
        <f t="array" ref="K1629">choice(Professeurs!B:B,1,Settings!$B$16)</f>
        <v>Prof47</v>
      </c>
      <c r="L1629" s="5" t="str" cm="1">
        <f t="array" ref="L1629">choice(Referentiel!C:C,1,Settings!$B$16)</f>
        <v/>
      </c>
      <c r="M1629" s="5" t="str" cm="1">
        <f t="array" ref="M1629">choice(Referentiel!E:E,1,Settings!$B$16)</f>
        <v>Salle9</v>
      </c>
      <c r="N1629" s="5" t="str" cm="1">
        <f t="array" ref="N1629">choice(Settings!K:K,1,Settings!$B$16)</f>
        <v/>
      </c>
      <c r="P1629" s="5">
        <f t="shared" si="104"/>
        <v>5</v>
      </c>
    </row>
    <row r="1630" spans="1:16" ht="15.75" customHeight="1" x14ac:dyDescent="0.25">
      <c r="A1630" s="6" t="s">
        <v>1982</v>
      </c>
      <c r="B1630" s="6" cm="1">
        <f t="array" ref="B1630">alea_int(Settings!$B$10,1,Settings!$B$16)</f>
        <v>2</v>
      </c>
      <c r="C1630" s="8">
        <v>46023</v>
      </c>
      <c r="D1630" s="8">
        <f t="shared" si="101"/>
        <v>46387</v>
      </c>
      <c r="E1630" s="6" t="str" cm="1">
        <f t="array" ref="E1630">choice(Groupes!A:A,1,Settings!$B$16)</f>
        <v>G13</v>
      </c>
      <c r="F1630" s="6" t="str">
        <f t="shared" si="102"/>
        <v>G13</v>
      </c>
      <c r="G1630" s="6" t="str">
        <f t="shared" si="103"/>
        <v>Prof36</v>
      </c>
      <c r="H1630" s="6" t="str" cm="1">
        <f t="array" ref="H1630">choice(Referentiel!A:A,1,Settings!$B$16)</f>
        <v>6ème année atelier</v>
      </c>
      <c r="I1630" s="6" t="str" cm="1">
        <f t="array" ref="I1630">choice(Referentiel!B:B,1,Settings!$B$16)</f>
        <v>2ème année Design Textile et Matière S2</v>
      </c>
      <c r="J1630" s="6" t="str" cm="1">
        <f t="array" ref="J1630">choice(Referentiel!D:D,1,Settings!$B$16)</f>
        <v>L2</v>
      </c>
      <c r="K1630" s="6" t="str" cm="1">
        <f t="array" ref="K1630">choice(Professeurs!B:B,1,Settings!$B$16)</f>
        <v>Prof36</v>
      </c>
      <c r="L1630" s="5" t="str" cm="1">
        <f t="array" ref="L1630">choice(Referentiel!C:C,1,Settings!$B$16)</f>
        <v/>
      </c>
      <c r="M1630" s="5" t="str" cm="1">
        <f t="array" ref="M1630">choice(Referentiel!E:E,1,Settings!$B$16)</f>
        <v/>
      </c>
      <c r="N1630" s="5" t="str" cm="1">
        <f t="array" ref="N1630">choice(Settings!K:K,1,Settings!$B$16)</f>
        <v>lundi am</v>
      </c>
      <c r="P1630" s="5">
        <f t="shared" si="104"/>
        <v>4</v>
      </c>
    </row>
    <row r="1631" spans="1:16" ht="15.75" customHeight="1" x14ac:dyDescent="0.25">
      <c r="A1631" s="6" t="s">
        <v>1983</v>
      </c>
      <c r="B1631" s="6" cm="1">
        <f t="array" ref="B1631">alea_int(Settings!$B$10,1,Settings!$B$16)</f>
        <v>3</v>
      </c>
      <c r="C1631" s="8">
        <v>46023</v>
      </c>
      <c r="D1631" s="8">
        <f t="shared" si="101"/>
        <v>46387</v>
      </c>
      <c r="E1631" s="6" t="str" cm="1">
        <f t="array" ref="E1631">choice(Groupes!A:A,1,Settings!$B$16)</f>
        <v>G26</v>
      </c>
      <c r="F1631" s="6" t="str">
        <f t="shared" si="102"/>
        <v>G26</v>
      </c>
      <c r="G1631" s="6" t="str">
        <f t="shared" si="103"/>
        <v>Prof10</v>
      </c>
      <c r="H1631" s="6" t="str" cm="1">
        <f t="array" ref="H1631">choice(Referentiel!A:A,1,Settings!$B$16)</f>
        <v>Design des mondes urbains</v>
      </c>
      <c r="I1631" s="6" t="str" cm="1">
        <f t="array" ref="I1631">choice(Referentiel!B:B,1,Settings!$B$16)</f>
        <v>4ème année Design Vêtement S1</v>
      </c>
      <c r="J1631" s="6" t="str" cm="1">
        <f t="array" ref="J1631">choice(Referentiel!D:D,1,Settings!$B$16)</f>
        <v>M2</v>
      </c>
      <c r="K1631" s="6" t="str" cm="1">
        <f t="array" ref="K1631">choice(Professeurs!B:B,1,Settings!$B$16)</f>
        <v>Prof10</v>
      </c>
      <c r="L1631" s="5" t="str" cm="1">
        <f t="array" ref="L1631">choice(Referentiel!C:C,1,Settings!$B$16)</f>
        <v/>
      </c>
      <c r="M1631" s="5" t="str" cm="1">
        <f t="array" ref="M1631">choice(Referentiel!E:E,1,Settings!$B$16)</f>
        <v/>
      </c>
      <c r="N1631" s="5" t="str" cm="1">
        <f t="array" ref="N1631">choice(Settings!K:K,1,Settings!$B$16)</f>
        <v/>
      </c>
      <c r="P1631" s="5">
        <f t="shared" si="104"/>
        <v>3</v>
      </c>
    </row>
    <row r="1632" spans="1:16" ht="15.75" customHeight="1" x14ac:dyDescent="0.25">
      <c r="A1632" s="6" t="s">
        <v>1984</v>
      </c>
      <c r="B1632" s="6" cm="1">
        <f t="array" ref="B1632">alea_int(Settings!$B$10,1,Settings!$B$16)</f>
        <v>1</v>
      </c>
      <c r="C1632" s="8">
        <v>46023</v>
      </c>
      <c r="D1632" s="8">
        <f t="shared" si="101"/>
        <v>46387</v>
      </c>
      <c r="E1632" s="6" t="str" cm="1">
        <f t="array" ref="E1632">choice(Groupes!A:A,1,Settings!$B$16)</f>
        <v>G20</v>
      </c>
      <c r="F1632" s="6" t="str">
        <f t="shared" si="102"/>
        <v>G20</v>
      </c>
      <c r="G1632" s="6" t="str">
        <f t="shared" si="103"/>
        <v>Prof8</v>
      </c>
      <c r="H1632" s="6" t="str" cm="1">
        <f t="array" ref="H1632">choice(Referentiel!A:A,1,Settings!$B$16)</f>
        <v>Design Objet</v>
      </c>
      <c r="I1632" s="6" t="str" cm="1">
        <f t="array" ref="I1632">choice(Referentiel!B:B,1,Settings!$B$16)</f>
        <v>5ème année Cinéma d'Animation S2</v>
      </c>
      <c r="J1632" s="6" t="str" cm="1">
        <f t="array" ref="J1632">choice(Referentiel!D:D,1,Settings!$B$16)</f>
        <v>L3</v>
      </c>
      <c r="K1632" s="6" t="str" cm="1">
        <f t="array" ref="K1632">choice(Professeurs!B:B,1,Settings!$B$16)</f>
        <v>Prof8</v>
      </c>
      <c r="L1632" s="5" t="str" cm="1">
        <f t="array" ref="L1632">choice(Referentiel!C:C,1,Settings!$B$16)</f>
        <v/>
      </c>
      <c r="M1632" s="5" t="str" cm="1">
        <f t="array" ref="M1632">choice(Referentiel!E:E,1,Settings!$B$16)</f>
        <v/>
      </c>
      <c r="N1632" s="5" t="str" cm="1">
        <f t="array" ref="N1632">choice(Settings!K:K,1,Settings!$B$16)</f>
        <v>vendredi am</v>
      </c>
      <c r="P1632" s="5">
        <f t="shared" si="104"/>
        <v>3</v>
      </c>
    </row>
    <row r="1633" spans="1:16" ht="15.75" customHeight="1" x14ac:dyDescent="0.25">
      <c r="A1633" s="6" t="s">
        <v>1985</v>
      </c>
      <c r="B1633" s="6" cm="1">
        <f t="array" ref="B1633">alea_int(Settings!$B$10,1,Settings!$B$16)</f>
        <v>1</v>
      </c>
      <c r="C1633" s="8">
        <v>46023</v>
      </c>
      <c r="D1633" s="8">
        <f t="shared" si="101"/>
        <v>46387</v>
      </c>
      <c r="E1633" s="6" t="str" cm="1">
        <f t="array" ref="E1633">choice(Groupes!A:A,1,Settings!$B$16)</f>
        <v>G15</v>
      </c>
      <c r="F1633" s="6" t="str">
        <f t="shared" si="102"/>
        <v>G15</v>
      </c>
      <c r="G1633" s="6" t="str">
        <f t="shared" si="103"/>
        <v>Prof43</v>
      </c>
      <c r="H1633" s="6" t="str" cm="1">
        <f t="array" ref="H1633">choice(Referentiel!A:A,1,Settings!$B$16)</f>
        <v>Art-Espace</v>
      </c>
      <c r="I1633" s="6" t="str" cm="1">
        <f t="array" ref="I1633">choice(Referentiel!B:B,1,Settings!$B$16)</f>
        <v>4ème année Design Objet S1</v>
      </c>
      <c r="J1633" s="6" t="str" cm="1">
        <f t="array" ref="J1633">choice(Referentiel!D:D,1,Settings!$B$16)</f>
        <v>L2</v>
      </c>
      <c r="K1633" s="6" t="str" cm="1">
        <f t="array" ref="K1633">choice(Professeurs!B:B,1,Settings!$B$16)</f>
        <v>Prof43</v>
      </c>
      <c r="L1633" s="5" t="str" cm="1">
        <f t="array" ref="L1633">choice(Referentiel!C:C,1,Settings!$B$16)</f>
        <v/>
      </c>
      <c r="M1633" s="5" t="str" cm="1">
        <f t="array" ref="M1633">choice(Referentiel!E:E,1,Settings!$B$16)</f>
        <v/>
      </c>
      <c r="N1633" s="5" t="str" cm="1">
        <f t="array" ref="N1633">choice(Settings!K:K,1,Settings!$B$16)</f>
        <v/>
      </c>
      <c r="P1633" s="5">
        <f t="shared" si="104"/>
        <v>1</v>
      </c>
    </row>
    <row r="1634" spans="1:16" ht="15.75" customHeight="1" x14ac:dyDescent="0.25">
      <c r="A1634" s="6" t="s">
        <v>1986</v>
      </c>
      <c r="B1634" s="6" cm="1">
        <f t="array" ref="B1634">alea_int(Settings!$B$10,1,Settings!$B$16)</f>
        <v>1</v>
      </c>
      <c r="C1634" s="8">
        <v>46023</v>
      </c>
      <c r="D1634" s="8">
        <f t="shared" si="101"/>
        <v>46387</v>
      </c>
      <c r="E1634" s="6" t="str" cm="1">
        <f t="array" ref="E1634">choice(Groupes!A:A,1,Settings!$B$16)</f>
        <v>G18</v>
      </c>
      <c r="F1634" s="6" t="str">
        <f t="shared" si="102"/>
        <v>G18</v>
      </c>
      <c r="G1634" s="6" t="str">
        <f t="shared" si="103"/>
        <v>Prof36</v>
      </c>
      <c r="H1634" s="6" t="str" cm="1">
        <f t="array" ref="H1634">choice(Referentiel!A:A,1,Settings!$B$16)</f>
        <v>Mode et Matière</v>
      </c>
      <c r="I1634" s="6" t="str" cm="1">
        <f t="array" ref="I1634">choice(Referentiel!B:B,1,Settings!$B$16)</f>
        <v>4ème année Art-Espace S1</v>
      </c>
      <c r="J1634" s="6" t="str" cm="1">
        <f t="array" ref="J1634">choice(Referentiel!D:D,1,Settings!$B$16)</f>
        <v>L3</v>
      </c>
      <c r="K1634" s="6" t="str" cm="1">
        <f t="array" ref="K1634">choice(Professeurs!B:B,1,Settings!$B$16)</f>
        <v>Prof36</v>
      </c>
      <c r="L1634" s="5" t="str" cm="1">
        <f t="array" ref="L1634">choice(Referentiel!C:C,1,Settings!$B$16)</f>
        <v/>
      </c>
      <c r="M1634" s="5" t="str" cm="1">
        <f t="array" ref="M1634">choice(Referentiel!E:E,1,Settings!$B$16)</f>
        <v/>
      </c>
      <c r="N1634" s="5" t="str" cm="1">
        <f t="array" ref="N1634">choice(Settings!K:K,1,Settings!$B$16)</f>
        <v/>
      </c>
      <c r="P1634" s="5">
        <f t="shared" si="104"/>
        <v>1</v>
      </c>
    </row>
    <row r="1635" spans="1:16" ht="15.75" customHeight="1" x14ac:dyDescent="0.25">
      <c r="A1635" s="6" t="s">
        <v>1987</v>
      </c>
      <c r="B1635" s="6" cm="1">
        <f t="array" ref="B1635">alea_int(Settings!$B$10,1,Settings!$B$16)</f>
        <v>2</v>
      </c>
      <c r="C1635" s="8">
        <v>46023</v>
      </c>
      <c r="D1635" s="8">
        <f t="shared" si="101"/>
        <v>46387</v>
      </c>
      <c r="E1635" s="6" t="str" cm="1">
        <f t="array" ref="E1635">choice(Groupes!A:A,1,Settings!$B$16)</f>
        <v>G24</v>
      </c>
      <c r="F1635" s="6" t="str">
        <f t="shared" si="102"/>
        <v>G24</v>
      </c>
      <c r="G1635" s="6" t="str">
        <f t="shared" si="103"/>
        <v>Prof55</v>
      </c>
      <c r="H1635" s="6" t="str" cm="1">
        <f t="array" ref="H1635">choice(Referentiel!A:A,1,Settings!$B$16)</f>
        <v>1ère année Groupe 2</v>
      </c>
      <c r="I1635" s="6" t="str" cm="1">
        <f t="array" ref="I1635">choice(Referentiel!B:B,1,Settings!$B$16)</f>
        <v>2ème année Cinéma d'Animation S2</v>
      </c>
      <c r="J1635" s="6" t="str" cm="1">
        <f t="array" ref="J1635">choice(Referentiel!D:D,1,Settings!$B$16)</f>
        <v>M2</v>
      </c>
      <c r="K1635" s="6" t="str" cm="1">
        <f t="array" ref="K1635">choice(Professeurs!B:B,1,Settings!$B$16)</f>
        <v>Prof55</v>
      </c>
      <c r="L1635" s="5" t="str" cm="1">
        <f t="array" ref="L1635">choice(Referentiel!C:C,1,Settings!$B$16)</f>
        <v/>
      </c>
      <c r="M1635" s="5" t="str" cm="1">
        <f t="array" ref="M1635">choice(Referentiel!E:E,1,Settings!$B$16)</f>
        <v/>
      </c>
      <c r="N1635" s="5" t="str" cm="1">
        <f t="array" ref="N1635">choice(Settings!K:K,1,Settings!$B$16)</f>
        <v/>
      </c>
      <c r="P1635" s="5">
        <f t="shared" si="104"/>
        <v>2</v>
      </c>
    </row>
    <row r="1636" spans="1:16" ht="15.75" customHeight="1" x14ac:dyDescent="0.25">
      <c r="A1636" s="6" t="s">
        <v>1988</v>
      </c>
      <c r="B1636" s="6" cm="1">
        <f t="array" ref="B1636">alea_int(Settings!$B$10,1,Settings!$B$16)</f>
        <v>2</v>
      </c>
      <c r="C1636" s="8">
        <v>46023</v>
      </c>
      <c r="D1636" s="8">
        <f t="shared" si="101"/>
        <v>46387</v>
      </c>
      <c r="E1636" s="6" t="str" cm="1">
        <f t="array" ref="E1636">choice(Groupes!A:A,1,Settings!$B$16)</f>
        <v>G18</v>
      </c>
      <c r="F1636" s="6" t="str">
        <f t="shared" si="102"/>
        <v>G18</v>
      </c>
      <c r="G1636" s="6" t="str">
        <f t="shared" si="103"/>
        <v>Prof52</v>
      </c>
      <c r="H1636" s="6" t="str" cm="1">
        <f t="array" ref="H1636">choice(Referentiel!A:A,1,Settings!$B$16)</f>
        <v>Design des mondes montagneux</v>
      </c>
      <c r="I1636" s="6" t="str" cm="1">
        <f t="array" ref="I1636">choice(Referentiel!B:B,1,Settings!$B$16)</f>
        <v>2ème année Cinéma d'Animation S1</v>
      </c>
      <c r="J1636" s="6" t="str" cm="1">
        <f t="array" ref="J1636">choice(Referentiel!D:D,1,Settings!$B$16)</f>
        <v>L3</v>
      </c>
      <c r="K1636" s="6" t="str" cm="1">
        <f t="array" ref="K1636">choice(Professeurs!B:B,1,Settings!$B$16)</f>
        <v>Prof52</v>
      </c>
      <c r="L1636" s="5" t="str" cm="1">
        <f t="array" ref="L1636">choice(Referentiel!C:C,1,Settings!$B$16)</f>
        <v/>
      </c>
      <c r="M1636" s="5" t="str" cm="1">
        <f t="array" ref="M1636">choice(Referentiel!E:E,1,Settings!$B$16)</f>
        <v/>
      </c>
      <c r="N1636" s="5" t="str" cm="1">
        <f t="array" ref="N1636">choice(Settings!K:K,1,Settings!$B$16)</f>
        <v/>
      </c>
      <c r="P1636" s="5">
        <f t="shared" si="104"/>
        <v>2</v>
      </c>
    </row>
    <row r="1637" spans="1:16" ht="15.75" customHeight="1" x14ac:dyDescent="0.25">
      <c r="A1637" s="6" t="s">
        <v>1989</v>
      </c>
      <c r="B1637" s="6" cm="1">
        <f t="array" ref="B1637">alea_int(Settings!$B$10,1,Settings!$B$16)</f>
        <v>3</v>
      </c>
      <c r="C1637" s="8">
        <v>46023</v>
      </c>
      <c r="D1637" s="8">
        <f t="shared" si="101"/>
        <v>46387</v>
      </c>
      <c r="E1637" s="6" t="str" cm="1">
        <f t="array" ref="E1637">choice(Groupes!A:A,1,Settings!$B$16)</f>
        <v>G19</v>
      </c>
      <c r="F1637" s="6" t="str">
        <f t="shared" si="102"/>
        <v>G19</v>
      </c>
      <c r="G1637" s="6" t="str">
        <f t="shared" si="103"/>
        <v>Prof27</v>
      </c>
      <c r="H1637" s="6" t="str" cm="1">
        <f t="array" ref="H1637">choice(Referentiel!A:A,1,Settings!$B$16)</f>
        <v>Gr SYMBIOSE</v>
      </c>
      <c r="I1637" s="6" t="str" cm="1">
        <f t="array" ref="I1637">choice(Referentiel!B:B,1,Settings!$B$16)</f>
        <v>4ème année Design Textile et Matière S2</v>
      </c>
      <c r="J1637" s="6" t="str" cm="1">
        <f t="array" ref="J1637">choice(Referentiel!D:D,1,Settings!$B$16)</f>
        <v>M2</v>
      </c>
      <c r="K1637" s="6" t="str" cm="1">
        <f t="array" ref="K1637">choice(Professeurs!B:B,1,Settings!$B$16)</f>
        <v>Prof27</v>
      </c>
      <c r="L1637" s="5" t="str" cm="1">
        <f t="array" ref="L1637">choice(Referentiel!C:C,1,Settings!$B$16)</f>
        <v/>
      </c>
      <c r="M1637" s="5" t="str" cm="1">
        <f t="array" ref="M1637">choice(Referentiel!E:E,1,Settings!$B$16)</f>
        <v/>
      </c>
      <c r="N1637" s="5" t="str" cm="1">
        <f t="array" ref="N1637">choice(Settings!K:K,1,Settings!$B$16)</f>
        <v/>
      </c>
      <c r="P1637" s="5">
        <f t="shared" si="104"/>
        <v>3</v>
      </c>
    </row>
    <row r="1638" spans="1:16" ht="15.75" customHeight="1" x14ac:dyDescent="0.25">
      <c r="A1638" s="6" t="s">
        <v>1990</v>
      </c>
      <c r="B1638" s="6" cm="1">
        <f t="array" ref="B1638">alea_int(Settings!$B$10,1,Settings!$B$16)</f>
        <v>1</v>
      </c>
      <c r="C1638" s="8">
        <v>46023</v>
      </c>
      <c r="D1638" s="8">
        <f t="shared" si="101"/>
        <v>46387</v>
      </c>
      <c r="E1638" s="6" t="str" cm="1">
        <f t="array" ref="E1638">choice(Groupes!A:A,1,Settings!$B$16)</f>
        <v>G4</v>
      </c>
      <c r="F1638" s="6" t="str">
        <f t="shared" si="102"/>
        <v>G4</v>
      </c>
      <c r="G1638" s="6" t="str">
        <f t="shared" si="103"/>
        <v>Prof53</v>
      </c>
      <c r="H1638" s="6" t="str" cm="1">
        <f t="array" ref="H1638">choice(Referentiel!A:A,1,Settings!$B$16)</f>
        <v>Photo / Vidéo</v>
      </c>
      <c r="I1638" s="6" t="str" cm="1">
        <f t="array" ref="I1638">choice(Referentiel!B:B,1,Settings!$B$16)</f>
        <v>2ème année Design Objet S2</v>
      </c>
      <c r="J1638" s="6" t="str" cm="1">
        <f t="array" ref="J1638">choice(Referentiel!D:D,1,Settings!$B$16)</f>
        <v>M1</v>
      </c>
      <c r="K1638" s="6" t="str" cm="1">
        <f t="array" ref="K1638">choice(Professeurs!B:B,1,Settings!$B$16)</f>
        <v>Prof53</v>
      </c>
      <c r="L1638" s="5" t="str" cm="1">
        <f t="array" ref="L1638">choice(Referentiel!C:C,1,Settings!$B$16)</f>
        <v/>
      </c>
      <c r="M1638" s="5" t="str" cm="1">
        <f t="array" ref="M1638">choice(Referentiel!E:E,1,Settings!$B$16)</f>
        <v/>
      </c>
      <c r="N1638" s="5" t="str" cm="1">
        <f t="array" ref="N1638">choice(Settings!K:K,1,Settings!$B$16)</f>
        <v/>
      </c>
      <c r="P1638" s="5">
        <f t="shared" si="104"/>
        <v>1</v>
      </c>
    </row>
    <row r="1639" spans="1:16" ht="15.75" customHeight="1" x14ac:dyDescent="0.25">
      <c r="A1639" s="6" t="s">
        <v>1991</v>
      </c>
      <c r="B1639" s="6" cm="1">
        <f t="array" ref="B1639">alea_int(Settings!$B$10,1,Settings!$B$16)</f>
        <v>3</v>
      </c>
      <c r="C1639" s="8">
        <v>46023</v>
      </c>
      <c r="D1639" s="8">
        <f t="shared" si="101"/>
        <v>46387</v>
      </c>
      <c r="E1639" s="6" t="str" cm="1">
        <f t="array" ref="E1639">choice(Groupes!A:A,1,Settings!$B$16)</f>
        <v>G18</v>
      </c>
      <c r="F1639" s="6" t="str">
        <f t="shared" si="102"/>
        <v>G18</v>
      </c>
      <c r="G1639" s="6" t="str">
        <f t="shared" si="103"/>
        <v>Prof42</v>
      </c>
      <c r="H1639" s="6" t="str" cm="1">
        <f t="array" ref="H1639">choice(Referentiel!A:A,1,Settings!$B$16)</f>
        <v>6ème année atelier</v>
      </c>
      <c r="I1639" s="6" t="str" cm="1">
        <f t="array" ref="I1639">choice(Referentiel!B:B,1,Settings!$B$16)</f>
        <v>Césure S2</v>
      </c>
      <c r="J1639" s="6" t="str" cm="1">
        <f t="array" ref="J1639">choice(Referentiel!D:D,1,Settings!$B$16)</f>
        <v>L3</v>
      </c>
      <c r="K1639" s="6" t="str" cm="1">
        <f t="array" ref="K1639">choice(Professeurs!B:B,1,Settings!$B$16)</f>
        <v>Prof42</v>
      </c>
      <c r="L1639" s="5" t="str" cm="1">
        <f t="array" ref="L1639">choice(Referentiel!C:C,1,Settings!$B$16)</f>
        <v/>
      </c>
      <c r="M1639" s="5" t="str" cm="1">
        <f t="array" ref="M1639">choice(Referentiel!E:E,1,Settings!$B$16)</f>
        <v>Salle9</v>
      </c>
      <c r="N1639" s="5" t="str" cm="1">
        <f t="array" ref="N1639">choice(Settings!K:K,1,Settings!$B$16)</f>
        <v/>
      </c>
      <c r="P1639" s="5">
        <f t="shared" si="104"/>
        <v>5</v>
      </c>
    </row>
    <row r="1640" spans="1:16" ht="15.75" customHeight="1" x14ac:dyDescent="0.25">
      <c r="A1640" s="6" t="s">
        <v>1992</v>
      </c>
      <c r="B1640" s="6" cm="1">
        <f t="array" ref="B1640">alea_int(Settings!$B$10,1,Settings!$B$16)</f>
        <v>2</v>
      </c>
      <c r="C1640" s="8">
        <v>46023</v>
      </c>
      <c r="D1640" s="8">
        <f t="shared" si="101"/>
        <v>46387</v>
      </c>
      <c r="E1640" s="6" t="str" cm="1">
        <f t="array" ref="E1640">choice(Groupes!A:A,1,Settings!$B$16)</f>
        <v>G21</v>
      </c>
      <c r="F1640" s="6" t="str">
        <f t="shared" si="102"/>
        <v>G21</v>
      </c>
      <c r="G1640" s="6" t="str">
        <f t="shared" si="103"/>
        <v>Prof16</v>
      </c>
      <c r="H1640" s="6" t="str" cm="1">
        <f t="array" ref="H1640">choice(Referentiel!A:A,1,Settings!$B$16)</f>
        <v>Gr SYMBIOSE</v>
      </c>
      <c r="I1640" s="6" t="str" cm="1">
        <f t="array" ref="I1640">choice(Referentiel!B:B,1,Settings!$B$16)</f>
        <v>4ème année Cinéma d'Animation S1</v>
      </c>
      <c r="J1640" s="6" t="str" cm="1">
        <f t="array" ref="J1640">choice(Referentiel!D:D,1,Settings!$B$16)</f>
        <v>L2</v>
      </c>
      <c r="K1640" s="6" t="str" cm="1">
        <f t="array" ref="K1640">choice(Professeurs!B:B,1,Settings!$B$16)</f>
        <v>Prof16</v>
      </c>
      <c r="L1640" s="5" t="str" cm="1">
        <f t="array" ref="L1640">choice(Referentiel!C:C,1,Settings!$B$16)</f>
        <v/>
      </c>
      <c r="M1640" s="5" t="str" cm="1">
        <f t="array" ref="M1640">choice(Referentiel!E:E,1,Settings!$B$16)</f>
        <v/>
      </c>
      <c r="N1640" s="5" t="str" cm="1">
        <f t="array" ref="N1640">choice(Settings!K:K,1,Settings!$B$16)</f>
        <v>jeudi pm</v>
      </c>
      <c r="P1640" s="5">
        <f t="shared" si="104"/>
        <v>4</v>
      </c>
    </row>
    <row r="1641" spans="1:16" ht="15.75" customHeight="1" x14ac:dyDescent="0.25">
      <c r="A1641" s="6" t="s">
        <v>1993</v>
      </c>
      <c r="B1641" s="6" cm="1">
        <f t="array" ref="B1641">alea_int(Settings!$B$10,1,Settings!$B$16)</f>
        <v>2</v>
      </c>
      <c r="C1641" s="8">
        <v>46023</v>
      </c>
      <c r="D1641" s="8">
        <f t="shared" si="101"/>
        <v>46387</v>
      </c>
      <c r="E1641" s="6" t="str" cm="1">
        <f t="array" ref="E1641">choice(Groupes!A:A,1,Settings!$B$16)</f>
        <v>G27</v>
      </c>
      <c r="F1641" s="6" t="str">
        <f t="shared" si="102"/>
        <v>G27</v>
      </c>
      <c r="G1641" s="6" t="str">
        <f t="shared" si="103"/>
        <v>Prof31</v>
      </c>
      <c r="H1641" s="6" t="str" cm="1">
        <f t="array" ref="H1641">choice(Referentiel!A:A,1,Settings!$B$16)</f>
        <v>Design Vêtement</v>
      </c>
      <c r="I1641" s="6" t="str" cm="1">
        <f t="array" ref="I1641">choice(Referentiel!B:B,1,Settings!$B$16)</f>
        <v>3ème année Design Graphique S2</v>
      </c>
      <c r="J1641" s="6" t="str" cm="1">
        <f t="array" ref="J1641">choice(Referentiel!D:D,1,Settings!$B$16)</f>
        <v>L1</v>
      </c>
      <c r="K1641" s="6" t="str" cm="1">
        <f t="array" ref="K1641">choice(Professeurs!B:B,1,Settings!$B$16)</f>
        <v>Prof31</v>
      </c>
      <c r="L1641" s="5" t="str" cm="1">
        <f t="array" ref="L1641">choice(Referentiel!C:C,1,Settings!$B$16)</f>
        <v/>
      </c>
      <c r="M1641" s="5" t="str" cm="1">
        <f t="array" ref="M1641">choice(Referentiel!E:E,1,Settings!$B$16)</f>
        <v/>
      </c>
      <c r="N1641" s="5" t="str" cm="1">
        <f t="array" ref="N1641">choice(Settings!K:K,1,Settings!$B$16)</f>
        <v/>
      </c>
      <c r="P1641" s="5">
        <f t="shared" si="104"/>
        <v>2</v>
      </c>
    </row>
    <row r="1642" spans="1:16" ht="15.75" customHeight="1" x14ac:dyDescent="0.25">
      <c r="A1642" s="6" t="s">
        <v>1994</v>
      </c>
      <c r="B1642" s="6" cm="1">
        <f t="array" ref="B1642">alea_int(Settings!$B$10,1,Settings!$B$16)</f>
        <v>2</v>
      </c>
      <c r="C1642" s="8">
        <v>46023</v>
      </c>
      <c r="D1642" s="8">
        <f t="shared" si="101"/>
        <v>46387</v>
      </c>
      <c r="E1642" s="6" t="str" cm="1">
        <f t="array" ref="E1642">choice(Groupes!A:A,1,Settings!$B$16)</f>
        <v>G7</v>
      </c>
      <c r="F1642" s="6" t="str">
        <f t="shared" si="102"/>
        <v>G7</v>
      </c>
      <c r="G1642" s="6" t="str">
        <f t="shared" si="103"/>
        <v>Prof18</v>
      </c>
      <c r="H1642" s="6" t="str" cm="1">
        <f t="array" ref="H1642">choice(Referentiel!A:A,1,Settings!$B$16)</f>
        <v>Gr TERRITOIRES</v>
      </c>
      <c r="I1642" s="6" t="str" cm="1">
        <f t="array" ref="I1642">choice(Referentiel!B:B,1,Settings!$B$16)</f>
        <v>4ème année Cinéma d'Animation S2</v>
      </c>
      <c r="J1642" s="6" t="str" cm="1">
        <f t="array" ref="J1642">choice(Referentiel!D:D,1,Settings!$B$16)</f>
        <v>M2</v>
      </c>
      <c r="K1642" s="6" t="str" cm="1">
        <f t="array" ref="K1642">choice(Professeurs!B:B,1,Settings!$B$16)</f>
        <v>Prof18</v>
      </c>
      <c r="L1642" s="5" t="str" cm="1">
        <f t="array" ref="L1642">choice(Referentiel!C:C,1,Settings!$B$16)</f>
        <v/>
      </c>
      <c r="M1642" s="5" t="str" cm="1">
        <f t="array" ref="M1642">choice(Referentiel!E:E,1,Settings!$B$16)</f>
        <v/>
      </c>
      <c r="N1642" s="5" t="str" cm="1">
        <f t="array" ref="N1642">choice(Settings!K:K,1,Settings!$B$16)</f>
        <v/>
      </c>
      <c r="P1642" s="5">
        <f t="shared" si="104"/>
        <v>2</v>
      </c>
    </row>
    <row r="1643" spans="1:16" ht="15.75" customHeight="1" x14ac:dyDescent="0.25">
      <c r="A1643" s="6" t="s">
        <v>1995</v>
      </c>
      <c r="B1643" s="6" cm="1">
        <f t="array" ref="B1643">alea_int(Settings!$B$10,1,Settings!$B$16)</f>
        <v>2</v>
      </c>
      <c r="C1643" s="8">
        <v>46023</v>
      </c>
      <c r="D1643" s="8">
        <f t="shared" si="101"/>
        <v>46387</v>
      </c>
      <c r="E1643" s="6" t="str" cm="1">
        <f t="array" ref="E1643">choice(Groupes!A:A,1,Settings!$B$16)</f>
        <v>G2</v>
      </c>
      <c r="F1643" s="6" t="str">
        <f t="shared" si="102"/>
        <v>G2</v>
      </c>
      <c r="G1643" s="6" t="str">
        <f t="shared" si="103"/>
        <v>Prof21</v>
      </c>
      <c r="H1643" s="6" t="str" cm="1">
        <f t="array" ref="H1643">choice(Referentiel!A:A,1,Settings!$B$16)</f>
        <v>Design Graphique</v>
      </c>
      <c r="I1643" s="6" t="str" cm="1">
        <f t="array" ref="I1643">choice(Referentiel!B:B,1,Settings!$B$16)</f>
        <v>5ème année Cinéma d'Animation S2</v>
      </c>
      <c r="J1643" s="6" t="str" cm="1">
        <f t="array" ref="J1643">choice(Referentiel!D:D,1,Settings!$B$16)</f>
        <v>L1</v>
      </c>
      <c r="K1643" s="6" t="str" cm="1">
        <f t="array" ref="K1643">choice(Professeurs!B:B,1,Settings!$B$16)</f>
        <v>Prof21</v>
      </c>
      <c r="L1643" s="5" t="str" cm="1">
        <f t="array" ref="L1643">choice(Referentiel!C:C,1,Settings!$B$16)</f>
        <v/>
      </c>
      <c r="M1643" s="5" t="str" cm="1">
        <f t="array" ref="M1643">choice(Referentiel!E:E,1,Settings!$B$16)</f>
        <v/>
      </c>
      <c r="N1643" s="5" t="str" cm="1">
        <f t="array" ref="N1643">choice(Settings!K:K,1,Settings!$B$16)</f>
        <v/>
      </c>
      <c r="P1643" s="5">
        <f t="shared" si="104"/>
        <v>2</v>
      </c>
    </row>
    <row r="1644" spans="1:16" ht="15.75" customHeight="1" x14ac:dyDescent="0.25">
      <c r="A1644" s="6" t="s">
        <v>1996</v>
      </c>
      <c r="B1644" s="6" cm="1">
        <f t="array" ref="B1644">alea_int(Settings!$B$10,1,Settings!$B$16)</f>
        <v>3</v>
      </c>
      <c r="C1644" s="8">
        <v>46023</v>
      </c>
      <c r="D1644" s="8">
        <f t="shared" si="101"/>
        <v>46387</v>
      </c>
      <c r="E1644" s="6" t="str" cm="1">
        <f t="array" ref="E1644">choice(Groupes!A:A,1,Settings!$B$16)</f>
        <v>G14</v>
      </c>
      <c r="F1644" s="6" t="str">
        <f t="shared" si="102"/>
        <v>G14</v>
      </c>
      <c r="G1644" s="6" t="str">
        <f t="shared" si="103"/>
        <v>Prof40</v>
      </c>
      <c r="H1644" s="6" t="str" cm="1">
        <f t="array" ref="H1644">choice(Referentiel!A:A,1,Settings!$B$16)</f>
        <v>Gr SYMBIOSE</v>
      </c>
      <c r="I1644" s="6" t="str" cm="1">
        <f t="array" ref="I1644">choice(Referentiel!B:B,1,Settings!$B$16)</f>
        <v>4ème année Architecture Intérieure S2</v>
      </c>
      <c r="J1644" s="6" t="str" cm="1">
        <f t="array" ref="J1644">choice(Referentiel!D:D,1,Settings!$B$16)</f>
        <v>L1</v>
      </c>
      <c r="K1644" s="6" t="str" cm="1">
        <f t="array" ref="K1644">choice(Professeurs!B:B,1,Settings!$B$16)</f>
        <v>Prof40</v>
      </c>
      <c r="L1644" s="5" t="str" cm="1">
        <f t="array" ref="L1644">choice(Referentiel!C:C,1,Settings!$B$16)</f>
        <v/>
      </c>
      <c r="M1644" s="5" t="str" cm="1">
        <f t="array" ref="M1644">choice(Referentiel!E:E,1,Settings!$B$16)</f>
        <v/>
      </c>
      <c r="N1644" s="5" t="str" cm="1">
        <f t="array" ref="N1644">choice(Settings!K:K,1,Settings!$B$16)</f>
        <v/>
      </c>
      <c r="P1644" s="5">
        <f t="shared" si="104"/>
        <v>3</v>
      </c>
    </row>
    <row r="1645" spans="1:16" ht="15.75" customHeight="1" x14ac:dyDescent="0.25">
      <c r="A1645" s="6" t="s">
        <v>1997</v>
      </c>
      <c r="B1645" s="6" cm="1">
        <f t="array" ref="B1645">alea_int(Settings!$B$10,1,Settings!$B$16)</f>
        <v>2</v>
      </c>
      <c r="C1645" s="8">
        <v>46023</v>
      </c>
      <c r="D1645" s="8">
        <f t="shared" si="101"/>
        <v>46387</v>
      </c>
      <c r="E1645" s="6" t="str" cm="1">
        <f t="array" ref="E1645">choice(Groupes!A:A,1,Settings!$B$16)</f>
        <v>G21</v>
      </c>
      <c r="F1645" s="6" t="str">
        <f t="shared" si="102"/>
        <v>G21</v>
      </c>
      <c r="G1645" s="6" t="str">
        <f t="shared" si="103"/>
        <v>Prof11</v>
      </c>
      <c r="H1645" s="6" t="str" cm="1">
        <f t="array" ref="H1645">choice(Referentiel!A:A,1,Settings!$B$16)</f>
        <v>Gr SOFT MATTERS</v>
      </c>
      <c r="I1645" s="6" t="str" cm="1">
        <f t="array" ref="I1645">choice(Referentiel!B:B,1,Settings!$B$16)</f>
        <v>2ème année Design Graphique S1</v>
      </c>
      <c r="J1645" s="6" t="str" cm="1">
        <f t="array" ref="J1645">choice(Referentiel!D:D,1,Settings!$B$16)</f>
        <v>L3</v>
      </c>
      <c r="K1645" s="6" t="str" cm="1">
        <f t="array" ref="K1645">choice(Professeurs!B:B,1,Settings!$B$16)</f>
        <v>Prof11</v>
      </c>
      <c r="L1645" s="5" t="str" cm="1">
        <f t="array" ref="L1645">choice(Referentiel!C:C,1,Settings!$B$16)</f>
        <v/>
      </c>
      <c r="M1645" s="5" t="str" cm="1">
        <f t="array" ref="M1645">choice(Referentiel!E:E,1,Settings!$B$16)</f>
        <v/>
      </c>
      <c r="N1645" s="5" t="str" cm="1">
        <f t="array" ref="N1645">choice(Settings!K:K,1,Settings!$B$16)</f>
        <v/>
      </c>
      <c r="P1645" s="5">
        <f t="shared" si="104"/>
        <v>2</v>
      </c>
    </row>
    <row r="1646" spans="1:16" ht="15.75" customHeight="1" x14ac:dyDescent="0.25">
      <c r="A1646" s="6" t="s">
        <v>1998</v>
      </c>
      <c r="B1646" s="6" cm="1">
        <f t="array" ref="B1646">alea_int(Settings!$B$10,1,Settings!$B$16)</f>
        <v>1</v>
      </c>
      <c r="C1646" s="8">
        <v>46023</v>
      </c>
      <c r="D1646" s="8">
        <f t="shared" si="101"/>
        <v>46387</v>
      </c>
      <c r="E1646" s="6" t="str" cm="1">
        <f t="array" ref="E1646">choice(Groupes!A:A,1,Settings!$B$16)</f>
        <v>G16</v>
      </c>
      <c r="F1646" s="6" t="str">
        <f t="shared" si="102"/>
        <v>G16</v>
      </c>
      <c r="G1646" s="6" t="str">
        <f t="shared" si="103"/>
        <v>Prof23</v>
      </c>
      <c r="H1646" s="6" t="str" cm="1">
        <f t="array" ref="H1646">choice(Referentiel!A:A,1,Settings!$B$16)</f>
        <v>Design des mondes forestiers</v>
      </c>
      <c r="I1646" s="6" t="str" cm="1">
        <f t="array" ref="I1646">choice(Referentiel!B:B,1,Settings!$B$16)</f>
        <v>5ème année Architecture Intérieure S2</v>
      </c>
      <c r="J1646" s="6" t="str" cm="1">
        <f t="array" ref="J1646">choice(Referentiel!D:D,1,Settings!$B$16)</f>
        <v>M1</v>
      </c>
      <c r="K1646" s="6" t="str" cm="1">
        <f t="array" ref="K1646">choice(Professeurs!B:B,1,Settings!$B$16)</f>
        <v>Prof23</v>
      </c>
      <c r="L1646" s="5" t="str" cm="1">
        <f t="array" ref="L1646">choice(Referentiel!C:C,1,Settings!$B$16)</f>
        <v>pupitre</v>
      </c>
      <c r="M1646" s="5" t="str" cm="1">
        <f t="array" ref="M1646">choice(Referentiel!E:E,1,Settings!$B$16)</f>
        <v/>
      </c>
      <c r="N1646" s="5" t="str" cm="1">
        <f t="array" ref="N1646">choice(Settings!K:K,1,Settings!$B$16)</f>
        <v>mardi pm</v>
      </c>
      <c r="P1646" s="5">
        <f t="shared" si="104"/>
        <v>3</v>
      </c>
    </row>
    <row r="1647" spans="1:16" ht="15.75" customHeight="1" x14ac:dyDescent="0.25">
      <c r="A1647" s="6" t="s">
        <v>1999</v>
      </c>
      <c r="B1647" s="6" cm="1">
        <f t="array" ref="B1647">alea_int(Settings!$B$10,1,Settings!$B$16)</f>
        <v>1</v>
      </c>
      <c r="C1647" s="8">
        <v>46023</v>
      </c>
      <c r="D1647" s="8">
        <f t="shared" si="101"/>
        <v>46387</v>
      </c>
      <c r="E1647" s="6" t="str" cm="1">
        <f t="array" ref="E1647">choice(Groupes!A:A,1,Settings!$B$16)</f>
        <v>G3</v>
      </c>
      <c r="F1647" s="6" t="str">
        <f t="shared" si="102"/>
        <v>G3</v>
      </c>
      <c r="G1647" s="6" t="str">
        <f t="shared" si="103"/>
        <v>Prof21</v>
      </c>
      <c r="H1647" s="6" t="str" cm="1">
        <f t="array" ref="H1647">choice(Referentiel!A:A,1,Settings!$B$16)</f>
        <v>Image Imprimée</v>
      </c>
      <c r="I1647" s="6" t="str" cm="1">
        <f t="array" ref="I1647">choice(Referentiel!B:B,1,Settings!$B$16)</f>
        <v>3ème année Scénographie S1</v>
      </c>
      <c r="J1647" s="6" t="str" cm="1">
        <f t="array" ref="J1647">choice(Referentiel!D:D,1,Settings!$B$16)</f>
        <v>L3</v>
      </c>
      <c r="K1647" s="6" t="str" cm="1">
        <f t="array" ref="K1647">choice(Professeurs!B:B,1,Settings!$B$16)</f>
        <v>Prof21</v>
      </c>
      <c r="L1647" s="5" t="str" cm="1">
        <f t="array" ref="L1647">choice(Referentiel!C:C,1,Settings!$B$16)</f>
        <v/>
      </c>
      <c r="M1647" s="5" t="str" cm="1">
        <f t="array" ref="M1647">choice(Referentiel!E:E,1,Settings!$B$16)</f>
        <v/>
      </c>
      <c r="N1647" s="5" t="str" cm="1">
        <f t="array" ref="N1647">choice(Settings!K:K,1,Settings!$B$16)</f>
        <v>lundi am</v>
      </c>
      <c r="P1647" s="5">
        <f t="shared" si="104"/>
        <v>3</v>
      </c>
    </row>
    <row r="1648" spans="1:16" ht="15.75" customHeight="1" x14ac:dyDescent="0.25">
      <c r="A1648" s="6" t="s">
        <v>2000</v>
      </c>
      <c r="B1648" s="6" cm="1">
        <f t="array" ref="B1648">alea_int(Settings!$B$10,1,Settings!$B$16)</f>
        <v>3</v>
      </c>
      <c r="C1648" s="8">
        <v>46023</v>
      </c>
      <c r="D1648" s="8">
        <f t="shared" si="101"/>
        <v>46387</v>
      </c>
      <c r="E1648" s="6" t="str" cm="1">
        <f t="array" ref="E1648">choice(Groupes!A:A,1,Settings!$B$16)</f>
        <v>G8</v>
      </c>
      <c r="F1648" s="6" t="str">
        <f t="shared" si="102"/>
        <v>G8</v>
      </c>
      <c r="G1648" s="6" t="str">
        <f t="shared" si="103"/>
        <v>Prof21</v>
      </c>
      <c r="H1648" s="6" t="str" cm="1">
        <f t="array" ref="H1648">choice(Referentiel!A:A,1,Settings!$B$16)</f>
        <v>Design des mondes forestiers</v>
      </c>
      <c r="I1648" s="6" t="str" cm="1">
        <f t="array" ref="I1648">choice(Referentiel!B:B,1,Settings!$B$16)</f>
        <v>5ème année Design Objet S1</v>
      </c>
      <c r="J1648" s="6" t="str" cm="1">
        <f t="array" ref="J1648">choice(Referentiel!D:D,1,Settings!$B$16)</f>
        <v>M1</v>
      </c>
      <c r="K1648" s="6" t="str" cm="1">
        <f t="array" ref="K1648">choice(Professeurs!B:B,1,Settings!$B$16)</f>
        <v>Prof21</v>
      </c>
      <c r="L1648" s="5" t="str" cm="1">
        <f t="array" ref="L1648">choice(Referentiel!C:C,1,Settings!$B$16)</f>
        <v/>
      </c>
      <c r="M1648" s="5" t="str" cm="1">
        <f t="array" ref="M1648">choice(Referentiel!E:E,1,Settings!$B$16)</f>
        <v/>
      </c>
      <c r="N1648" s="5" t="str" cm="1">
        <f t="array" ref="N1648">choice(Settings!K:K,1,Settings!$B$16)</f>
        <v/>
      </c>
      <c r="P1648" s="5">
        <f t="shared" si="104"/>
        <v>3</v>
      </c>
    </row>
    <row r="1649" spans="1:16" ht="15.75" customHeight="1" x14ac:dyDescent="0.25">
      <c r="A1649" s="6" t="s">
        <v>2001</v>
      </c>
      <c r="B1649" s="6" cm="1">
        <f t="array" ref="B1649">alea_int(Settings!$B$10,1,Settings!$B$16)</f>
        <v>3</v>
      </c>
      <c r="C1649" s="8">
        <v>46023</v>
      </c>
      <c r="D1649" s="8">
        <f t="shared" si="101"/>
        <v>46387</v>
      </c>
      <c r="E1649" s="6" t="str" cm="1">
        <f t="array" ref="E1649">choice(Groupes!A:A,1,Settings!$B$16)</f>
        <v>G14</v>
      </c>
      <c r="F1649" s="6" t="str">
        <f t="shared" si="102"/>
        <v>G14</v>
      </c>
      <c r="G1649" s="6" t="str">
        <f t="shared" si="103"/>
        <v>Prof35</v>
      </c>
      <c r="H1649" s="6" t="str" cm="1">
        <f t="array" ref="H1649">choice(Referentiel!A:A,1,Settings!$B$16)</f>
        <v>6ème ANNÉE STAGE</v>
      </c>
      <c r="I1649" s="6" t="str" cm="1">
        <f t="array" ref="I1649">choice(Referentiel!B:B,1,Settings!$B$16)</f>
        <v>2ème année Scénographie S1</v>
      </c>
      <c r="J1649" s="6" t="str" cm="1">
        <f t="array" ref="J1649">choice(Referentiel!D:D,1,Settings!$B$16)</f>
        <v>M1</v>
      </c>
      <c r="K1649" s="6" t="str" cm="1">
        <f t="array" ref="K1649">choice(Professeurs!B:B,1,Settings!$B$16)</f>
        <v>Prof35</v>
      </c>
      <c r="L1649" s="5" t="str" cm="1">
        <f t="array" ref="L1649">choice(Referentiel!C:C,1,Settings!$B$16)</f>
        <v/>
      </c>
      <c r="M1649" s="5" t="str" cm="1">
        <f t="array" ref="M1649">choice(Referentiel!E:E,1,Settings!$B$16)</f>
        <v>Salle11</v>
      </c>
      <c r="N1649" s="5" t="str" cm="1">
        <f t="array" ref="N1649">choice(Settings!K:K,1,Settings!$B$16)</f>
        <v/>
      </c>
      <c r="P1649" s="5">
        <f t="shared" si="104"/>
        <v>5</v>
      </c>
    </row>
    <row r="1650" spans="1:16" ht="15.75" customHeight="1" x14ac:dyDescent="0.25">
      <c r="A1650" s="6" t="s">
        <v>2002</v>
      </c>
      <c r="B1650" s="6" cm="1">
        <f t="array" ref="B1650">alea_int(Settings!$B$10,1,Settings!$B$16)</f>
        <v>2</v>
      </c>
      <c r="C1650" s="8">
        <v>46023</v>
      </c>
      <c r="D1650" s="8">
        <f t="shared" si="101"/>
        <v>46387</v>
      </c>
      <c r="E1650" s="6" t="str" cm="1">
        <f t="array" ref="E1650">choice(Groupes!A:A,1,Settings!$B$16)</f>
        <v>G21</v>
      </c>
      <c r="F1650" s="6" t="str">
        <f t="shared" si="102"/>
        <v>G21</v>
      </c>
      <c r="G1650" s="6" t="str">
        <f t="shared" si="103"/>
        <v>Prof38</v>
      </c>
      <c r="H1650" s="6" t="str" cm="1">
        <f t="array" ref="H1650">choice(Referentiel!A:A,1,Settings!$B$16)</f>
        <v>Mode et Matière</v>
      </c>
      <c r="I1650" s="6" t="str" cm="1">
        <f t="array" ref="I1650">choice(Referentiel!B:B,1,Settings!$B$16)</f>
        <v>5ème année Cinéma d'Animation S1</v>
      </c>
      <c r="J1650" s="6" t="str" cm="1">
        <f t="array" ref="J1650">choice(Referentiel!D:D,1,Settings!$B$16)</f>
        <v>M2</v>
      </c>
      <c r="K1650" s="6" t="str" cm="1">
        <f t="array" ref="K1650">choice(Professeurs!B:B,1,Settings!$B$16)</f>
        <v>Prof38</v>
      </c>
      <c r="L1650" s="5" t="str" cm="1">
        <f t="array" ref="L1650">choice(Referentiel!C:C,1,Settings!$B$16)</f>
        <v/>
      </c>
      <c r="M1650" s="5" t="str" cm="1">
        <f t="array" ref="M1650">choice(Referentiel!E:E,1,Settings!$B$16)</f>
        <v/>
      </c>
      <c r="N1650" s="5" t="str" cm="1">
        <f t="array" ref="N1650">choice(Settings!K:K,1,Settings!$B$16)</f>
        <v/>
      </c>
      <c r="P1650" s="5">
        <f t="shared" si="104"/>
        <v>2</v>
      </c>
    </row>
    <row r="1651" spans="1:16" ht="15.75" customHeight="1" x14ac:dyDescent="0.25">
      <c r="A1651" s="6" t="s">
        <v>2003</v>
      </c>
      <c r="B1651" s="6" cm="1">
        <f t="array" ref="B1651">alea_int(Settings!$B$10,1,Settings!$B$16)</f>
        <v>2</v>
      </c>
      <c r="C1651" s="8">
        <v>46023</v>
      </c>
      <c r="D1651" s="8">
        <f t="shared" si="101"/>
        <v>46387</v>
      </c>
      <c r="E1651" s="6" t="str" cm="1">
        <f t="array" ref="E1651">choice(Groupes!A:A,1,Settings!$B$16)</f>
        <v>G18</v>
      </c>
      <c r="F1651" s="6" t="str">
        <f t="shared" si="102"/>
        <v>G18</v>
      </c>
      <c r="G1651" s="6" t="str">
        <f t="shared" si="103"/>
        <v>Prof51</v>
      </c>
      <c r="H1651" s="6" t="str" cm="1">
        <f t="array" ref="H1651">choice(Referentiel!A:A,1,Settings!$B$16)</f>
        <v>Art-Espace</v>
      </c>
      <c r="I1651" s="6" t="str" cm="1">
        <f t="array" ref="I1651">choice(Referentiel!B:B,1,Settings!$B$16)</f>
        <v>3ème année Photo / Vidéo S1</v>
      </c>
      <c r="J1651" s="6" t="str" cm="1">
        <f t="array" ref="J1651">choice(Referentiel!D:D,1,Settings!$B$16)</f>
        <v>M1</v>
      </c>
      <c r="K1651" s="6" t="str" cm="1">
        <f t="array" ref="K1651">choice(Professeurs!B:B,1,Settings!$B$16)</f>
        <v>Prof51</v>
      </c>
      <c r="L1651" s="5" t="str" cm="1">
        <f t="array" ref="L1651">choice(Referentiel!C:C,1,Settings!$B$16)</f>
        <v>projecteur</v>
      </c>
      <c r="M1651" s="5" t="str" cm="1">
        <f t="array" ref="M1651">choice(Referentiel!E:E,1,Settings!$B$16)</f>
        <v/>
      </c>
      <c r="N1651" s="5" t="str" cm="1">
        <f t="array" ref="N1651">choice(Settings!K:K,1,Settings!$B$16)</f>
        <v/>
      </c>
      <c r="P1651" s="5">
        <f t="shared" si="104"/>
        <v>2</v>
      </c>
    </row>
    <row r="1652" spans="1:16" ht="15.75" customHeight="1" x14ac:dyDescent="0.25">
      <c r="A1652" s="6" t="s">
        <v>2004</v>
      </c>
      <c r="B1652" s="6" cm="1">
        <f t="array" ref="B1652">alea_int(Settings!$B$10,1,Settings!$B$16)</f>
        <v>1</v>
      </c>
      <c r="C1652" s="8">
        <v>46023</v>
      </c>
      <c r="D1652" s="8">
        <f t="shared" si="101"/>
        <v>46387</v>
      </c>
      <c r="E1652" s="6" t="str" cm="1">
        <f t="array" ref="E1652">choice(Groupes!A:A,1,Settings!$B$16)</f>
        <v>G6</v>
      </c>
      <c r="F1652" s="6" t="str">
        <f t="shared" si="102"/>
        <v>G6</v>
      </c>
      <c r="G1652" s="6" t="str">
        <f t="shared" si="103"/>
        <v>Prof24</v>
      </c>
      <c r="H1652" s="6" t="str" cm="1">
        <f t="array" ref="H1652">choice(Referentiel!A:A,1,Settings!$B$16)</f>
        <v>Design des mondes ruraux</v>
      </c>
      <c r="I1652" s="6" t="str" cm="1">
        <f t="array" ref="I1652">choice(Referentiel!B:B,1,Settings!$B$16)</f>
        <v>4ème année Design Textile et Matière S1</v>
      </c>
      <c r="J1652" s="6" t="str" cm="1">
        <f t="array" ref="J1652">choice(Referentiel!D:D,1,Settings!$B$16)</f>
        <v>L3</v>
      </c>
      <c r="K1652" s="6" t="str" cm="1">
        <f t="array" ref="K1652">choice(Professeurs!B:B,1,Settings!$B$16)</f>
        <v>Prof24</v>
      </c>
      <c r="L1652" s="5" t="str" cm="1">
        <f t="array" ref="L1652">choice(Referentiel!C:C,1,Settings!$B$16)</f>
        <v/>
      </c>
      <c r="M1652" s="5" t="str" cm="1">
        <f t="array" ref="M1652">choice(Referentiel!E:E,1,Settings!$B$16)</f>
        <v/>
      </c>
      <c r="N1652" s="5" t="str" cm="1">
        <f t="array" ref="N1652">choice(Settings!K:K,1,Settings!$B$16)</f>
        <v/>
      </c>
      <c r="P1652" s="5">
        <f t="shared" si="104"/>
        <v>1</v>
      </c>
    </row>
    <row r="1653" spans="1:16" ht="15.75" customHeight="1" x14ac:dyDescent="0.25">
      <c r="A1653" s="6" t="s">
        <v>2005</v>
      </c>
      <c r="B1653" s="6" cm="1">
        <f t="array" ref="B1653">alea_int(Settings!$B$10,1,Settings!$B$16)</f>
        <v>1</v>
      </c>
      <c r="C1653" s="8">
        <v>46023</v>
      </c>
      <c r="D1653" s="8">
        <f t="shared" si="101"/>
        <v>46387</v>
      </c>
      <c r="E1653" s="6" t="str" cm="1">
        <f t="array" ref="E1653">choice(Groupes!A:A,1,Settings!$B$16)</f>
        <v>G3</v>
      </c>
      <c r="F1653" s="6" t="str">
        <f t="shared" si="102"/>
        <v>G3</v>
      </c>
      <c r="G1653" s="6" t="str">
        <f t="shared" si="103"/>
        <v>Prof30</v>
      </c>
      <c r="H1653" s="6" t="str" cm="1">
        <f t="array" ref="H1653">choice(Referentiel!A:A,1,Settings!$B$16)</f>
        <v>Design des mondes montagneux</v>
      </c>
      <c r="I1653" s="6" t="str" cm="1">
        <f t="array" ref="I1653">choice(Referentiel!B:B,1,Settings!$B$16)</f>
        <v>3ème année Design Objet S1</v>
      </c>
      <c r="J1653" s="6" t="str" cm="1">
        <f t="array" ref="J1653">choice(Referentiel!D:D,1,Settings!$B$16)</f>
        <v>L1</v>
      </c>
      <c r="K1653" s="6" t="str" cm="1">
        <f t="array" ref="K1653">choice(Professeurs!B:B,1,Settings!$B$16)</f>
        <v>Prof30</v>
      </c>
      <c r="L1653" s="5" t="str" cm="1">
        <f t="array" ref="L1653">choice(Referentiel!C:C,1,Settings!$B$16)</f>
        <v/>
      </c>
      <c r="M1653" s="5" t="str" cm="1">
        <f t="array" ref="M1653">choice(Referentiel!E:E,1,Settings!$B$16)</f>
        <v>Salle7</v>
      </c>
      <c r="N1653" s="5" t="str" cm="1">
        <f t="array" ref="N1653">choice(Settings!K:K,1,Settings!$B$16)</f>
        <v/>
      </c>
      <c r="P1653" s="5">
        <f t="shared" si="104"/>
        <v>3</v>
      </c>
    </row>
    <row r="1654" spans="1:16" ht="15.75" customHeight="1" x14ac:dyDescent="0.25">
      <c r="A1654" s="6" t="s">
        <v>2006</v>
      </c>
      <c r="B1654" s="6" cm="1">
        <f t="array" ref="B1654">alea_int(Settings!$B$10,1,Settings!$B$16)</f>
        <v>2</v>
      </c>
      <c r="C1654" s="8">
        <v>46023</v>
      </c>
      <c r="D1654" s="8">
        <f t="shared" si="101"/>
        <v>46387</v>
      </c>
      <c r="E1654" s="6" t="str" cm="1">
        <f t="array" ref="E1654">choice(Groupes!A:A,1,Settings!$B$16)</f>
        <v>G30</v>
      </c>
      <c r="F1654" s="6" t="str">
        <f t="shared" si="102"/>
        <v>G30</v>
      </c>
      <c r="G1654" s="6" t="str">
        <f t="shared" si="103"/>
        <v>Prof29</v>
      </c>
      <c r="H1654" s="6" t="str" cm="1">
        <f t="array" ref="H1654">choice(Referentiel!A:A,1,Settings!$B$16)</f>
        <v>6ème ANNÉE STAGE</v>
      </c>
      <c r="I1654" s="6" t="str" cm="1">
        <f t="array" ref="I1654">choice(Referentiel!B:B,1,Settings!$B$16)</f>
        <v>2ème année Scénographie S2</v>
      </c>
      <c r="J1654" s="6" t="str" cm="1">
        <f t="array" ref="J1654">choice(Referentiel!D:D,1,Settings!$B$16)</f>
        <v>L1</v>
      </c>
      <c r="K1654" s="6" t="str" cm="1">
        <f t="array" ref="K1654">choice(Professeurs!B:B,1,Settings!$B$16)</f>
        <v>Prof29</v>
      </c>
      <c r="L1654" s="5" t="str" cm="1">
        <f t="array" ref="L1654">choice(Referentiel!C:C,1,Settings!$B$16)</f>
        <v/>
      </c>
      <c r="M1654" s="5" t="str" cm="1">
        <f t="array" ref="M1654">choice(Referentiel!E:E,1,Settings!$B$16)</f>
        <v/>
      </c>
      <c r="N1654" s="5" t="str" cm="1">
        <f t="array" ref="N1654">choice(Settings!K:K,1,Settings!$B$16)</f>
        <v/>
      </c>
      <c r="P1654" s="5">
        <f t="shared" si="104"/>
        <v>2</v>
      </c>
    </row>
    <row r="1655" spans="1:16" ht="15.75" customHeight="1" x14ac:dyDescent="0.25">
      <c r="A1655" s="6" t="s">
        <v>2007</v>
      </c>
      <c r="B1655" s="6" cm="1">
        <f t="array" ref="B1655">alea_int(Settings!$B$10,1,Settings!$B$16)</f>
        <v>1</v>
      </c>
      <c r="C1655" s="8">
        <v>46023</v>
      </c>
      <c r="D1655" s="8">
        <f t="shared" si="101"/>
        <v>46387</v>
      </c>
      <c r="E1655" s="6" t="str" cm="1">
        <f t="array" ref="E1655">choice(Groupes!A:A,1,Settings!$B$16)</f>
        <v>G16</v>
      </c>
      <c r="F1655" s="6" t="str">
        <f t="shared" si="102"/>
        <v>G16</v>
      </c>
      <c r="G1655" s="6" t="str">
        <f t="shared" si="103"/>
        <v>Prof18</v>
      </c>
      <c r="H1655" s="6" t="str" cm="1">
        <f t="array" ref="H1655">choice(Referentiel!A:A,1,Settings!$B$16)</f>
        <v>Art-Espace</v>
      </c>
      <c r="I1655" s="6" t="str" cm="1">
        <f t="array" ref="I1655">choice(Referentiel!B:B,1,Settings!$B$16)</f>
        <v>4ème année Art-Espace S2</v>
      </c>
      <c r="J1655" s="6" t="str" cm="1">
        <f t="array" ref="J1655">choice(Referentiel!D:D,1,Settings!$B$16)</f>
        <v>M1</v>
      </c>
      <c r="K1655" s="6" t="str" cm="1">
        <f t="array" ref="K1655">choice(Professeurs!B:B,1,Settings!$B$16)</f>
        <v>Prof18</v>
      </c>
      <c r="L1655" s="5" t="str" cm="1">
        <f t="array" ref="L1655">choice(Referentiel!C:C,1,Settings!$B$16)</f>
        <v/>
      </c>
      <c r="M1655" s="5" t="str" cm="1">
        <f t="array" ref="M1655">choice(Referentiel!E:E,1,Settings!$B$16)</f>
        <v/>
      </c>
      <c r="N1655" s="5" t="str" cm="1">
        <f t="array" ref="N1655">choice(Settings!K:K,1,Settings!$B$16)</f>
        <v>lundi pm</v>
      </c>
      <c r="P1655" s="5">
        <f t="shared" si="104"/>
        <v>3</v>
      </c>
    </row>
    <row r="1656" spans="1:16" ht="15.75" customHeight="1" x14ac:dyDescent="0.25">
      <c r="A1656" s="6" t="s">
        <v>2008</v>
      </c>
      <c r="B1656" s="6" cm="1">
        <f t="array" ref="B1656">alea_int(Settings!$B$10,1,Settings!$B$16)</f>
        <v>2</v>
      </c>
      <c r="C1656" s="8">
        <v>46023</v>
      </c>
      <c r="D1656" s="8">
        <f t="shared" si="101"/>
        <v>46387</v>
      </c>
      <c r="E1656" s="6" t="str" cm="1">
        <f t="array" ref="E1656">choice(Groupes!A:A,1,Settings!$B$16)</f>
        <v>G15</v>
      </c>
      <c r="F1656" s="6" t="str">
        <f t="shared" si="102"/>
        <v>G15</v>
      </c>
      <c r="G1656" s="6" t="str">
        <f t="shared" si="103"/>
        <v>Prof32</v>
      </c>
      <c r="H1656" s="6" t="str" cm="1">
        <f t="array" ref="H1656">choice(Referentiel!A:A,1,Settings!$B$16)</f>
        <v>Design des mondes littoraux</v>
      </c>
      <c r="I1656" s="6" t="str" cm="1">
        <f t="array" ref="I1656">choice(Referentiel!B:B,1,Settings!$B$16)</f>
        <v>4ème année Photo / Vidéo S1</v>
      </c>
      <c r="J1656" s="6" t="str" cm="1">
        <f t="array" ref="J1656">choice(Referentiel!D:D,1,Settings!$B$16)</f>
        <v>M2</v>
      </c>
      <c r="K1656" s="6" t="str" cm="1">
        <f t="array" ref="K1656">choice(Professeurs!B:B,1,Settings!$B$16)</f>
        <v>Prof32</v>
      </c>
      <c r="L1656" s="5" t="str" cm="1">
        <f t="array" ref="L1656">choice(Referentiel!C:C,1,Settings!$B$16)</f>
        <v/>
      </c>
      <c r="M1656" s="5" t="str" cm="1">
        <f t="array" ref="M1656">choice(Referentiel!E:E,1,Settings!$B$16)</f>
        <v/>
      </c>
      <c r="N1656" s="5" t="str" cm="1">
        <f t="array" ref="N1656">choice(Settings!K:K,1,Settings!$B$16)</f>
        <v/>
      </c>
      <c r="P1656" s="5">
        <f t="shared" si="104"/>
        <v>2</v>
      </c>
    </row>
    <row r="1657" spans="1:16" ht="15.75" customHeight="1" x14ac:dyDescent="0.25">
      <c r="A1657" s="6" t="s">
        <v>2009</v>
      </c>
      <c r="B1657" s="6" cm="1">
        <f t="array" ref="B1657">alea_int(Settings!$B$10,1,Settings!$B$16)</f>
        <v>2</v>
      </c>
      <c r="C1657" s="8">
        <v>46023</v>
      </c>
      <c r="D1657" s="8">
        <f t="shared" si="101"/>
        <v>46387</v>
      </c>
      <c r="E1657" s="6" t="str" cm="1">
        <f t="array" ref="E1657">choice(Groupes!A:A,1,Settings!$B$16)</f>
        <v>G27</v>
      </c>
      <c r="F1657" s="6" t="str">
        <f t="shared" si="102"/>
        <v>G27</v>
      </c>
      <c r="G1657" s="6" t="str">
        <f t="shared" si="103"/>
        <v>Prof3</v>
      </c>
      <c r="H1657" s="6" t="str" cm="1">
        <f t="array" ref="H1657">choice(Referentiel!A:A,1,Settings!$B$16)</f>
        <v>Gr TERRITOIRES</v>
      </c>
      <c r="I1657" s="6" t="str" cm="1">
        <f t="array" ref="I1657">choice(Referentiel!B:B,1,Settings!$B$16)</f>
        <v>5ème année Design Vêtement S2</v>
      </c>
      <c r="J1657" s="6" t="str" cm="1">
        <f t="array" ref="J1657">choice(Referentiel!D:D,1,Settings!$B$16)</f>
        <v>L2</v>
      </c>
      <c r="K1657" s="6" t="str" cm="1">
        <f t="array" ref="K1657">choice(Professeurs!B:B,1,Settings!$B$16)</f>
        <v>Prof3</v>
      </c>
      <c r="L1657" s="5" t="str" cm="1">
        <f t="array" ref="L1657">choice(Referentiel!C:C,1,Settings!$B$16)</f>
        <v/>
      </c>
      <c r="M1657" s="5" t="str" cm="1">
        <f t="array" ref="M1657">choice(Referentiel!E:E,1,Settings!$B$16)</f>
        <v/>
      </c>
      <c r="N1657" s="5" t="str" cm="1">
        <f t="array" ref="N1657">choice(Settings!K:K,1,Settings!$B$16)</f>
        <v>mercredi pm</v>
      </c>
      <c r="P1657" s="5">
        <f t="shared" si="104"/>
        <v>4</v>
      </c>
    </row>
    <row r="1658" spans="1:16" ht="15.75" customHeight="1" x14ac:dyDescent="0.25">
      <c r="A1658" s="6" t="s">
        <v>2010</v>
      </c>
      <c r="B1658" s="6" cm="1">
        <f t="array" ref="B1658">alea_int(Settings!$B$10,1,Settings!$B$16)</f>
        <v>1</v>
      </c>
      <c r="C1658" s="8">
        <v>46023</v>
      </c>
      <c r="D1658" s="8">
        <f t="shared" si="101"/>
        <v>46387</v>
      </c>
      <c r="E1658" s="6" t="str" cm="1">
        <f t="array" ref="E1658">choice(Groupes!A:A,1,Settings!$B$16)</f>
        <v>G7</v>
      </c>
      <c r="F1658" s="6" t="str">
        <f t="shared" si="102"/>
        <v>G7</v>
      </c>
      <c r="G1658" s="6" t="str">
        <f t="shared" si="103"/>
        <v>Prof44</v>
      </c>
      <c r="H1658" s="6" t="str" cm="1">
        <f t="array" ref="H1658">choice(Referentiel!A:A,1,Settings!$B$16)</f>
        <v>1ère année Groupe 3</v>
      </c>
      <c r="I1658" s="6" t="str" cm="1">
        <f t="array" ref="I1658">choice(Referentiel!B:B,1,Settings!$B$16)</f>
        <v>2ème année Architecture Intérieure S2</v>
      </c>
      <c r="J1658" s="6" t="str" cm="1">
        <f t="array" ref="J1658">choice(Referentiel!D:D,1,Settings!$B$16)</f>
        <v>L3</v>
      </c>
      <c r="K1658" s="6" t="str" cm="1">
        <f t="array" ref="K1658">choice(Professeurs!B:B,1,Settings!$B$16)</f>
        <v>Prof44</v>
      </c>
      <c r="L1658" s="5" t="str" cm="1">
        <f t="array" ref="L1658">choice(Referentiel!C:C,1,Settings!$B$16)</f>
        <v/>
      </c>
      <c r="M1658" s="5" t="str" cm="1">
        <f t="array" ref="M1658">choice(Referentiel!E:E,1,Settings!$B$16)</f>
        <v/>
      </c>
      <c r="N1658" s="5" t="str" cm="1">
        <f t="array" ref="N1658">choice(Settings!K:K,1,Settings!$B$16)</f>
        <v/>
      </c>
      <c r="P1658" s="5">
        <f t="shared" si="104"/>
        <v>1</v>
      </c>
    </row>
    <row r="1659" spans="1:16" ht="15.75" customHeight="1" x14ac:dyDescent="0.25">
      <c r="A1659" s="6" t="s">
        <v>2011</v>
      </c>
      <c r="B1659" s="6" cm="1">
        <f t="array" ref="B1659">alea_int(Settings!$B$10,1,Settings!$B$16)</f>
        <v>2</v>
      </c>
      <c r="C1659" s="8">
        <v>46023</v>
      </c>
      <c r="D1659" s="8">
        <f t="shared" si="101"/>
        <v>46387</v>
      </c>
      <c r="E1659" s="6" t="str" cm="1">
        <f t="array" ref="E1659">choice(Groupes!A:A,1,Settings!$B$16)</f>
        <v>G28</v>
      </c>
      <c r="F1659" s="6" t="str">
        <f t="shared" si="102"/>
        <v>G28</v>
      </c>
      <c r="G1659" s="6" t="str">
        <f t="shared" si="103"/>
        <v>Prof2</v>
      </c>
      <c r="H1659" s="6" t="str" cm="1">
        <f t="array" ref="H1659">choice(Referentiel!A:A,1,Settings!$B$16)</f>
        <v>6ème ANNÉE STAGE</v>
      </c>
      <c r="I1659" s="6" t="str" cm="1">
        <f t="array" ref="I1659">choice(Referentiel!B:B,1,Settings!$B$16)</f>
        <v>3ème année Design Graphique S2</v>
      </c>
      <c r="J1659" s="6" t="str" cm="1">
        <f t="array" ref="J1659">choice(Referentiel!D:D,1,Settings!$B$16)</f>
        <v>M2</v>
      </c>
      <c r="K1659" s="6" t="str" cm="1">
        <f t="array" ref="K1659">choice(Professeurs!B:B,1,Settings!$B$16)</f>
        <v>Prof2</v>
      </c>
      <c r="L1659" s="5" t="str" cm="1">
        <f t="array" ref="L1659">choice(Referentiel!C:C,1,Settings!$B$16)</f>
        <v/>
      </c>
      <c r="M1659" s="5" t="str" cm="1">
        <f t="array" ref="M1659">choice(Referentiel!E:E,1,Settings!$B$16)</f>
        <v/>
      </c>
      <c r="N1659" s="5" t="str" cm="1">
        <f t="array" ref="N1659">choice(Settings!K:K,1,Settings!$B$16)</f>
        <v/>
      </c>
      <c r="P1659" s="5">
        <f t="shared" si="104"/>
        <v>2</v>
      </c>
    </row>
    <row r="1660" spans="1:16" ht="15.75" customHeight="1" x14ac:dyDescent="0.25">
      <c r="A1660" s="6" t="s">
        <v>2012</v>
      </c>
      <c r="B1660" s="6" cm="1">
        <f t="array" ref="B1660">alea_int(Settings!$B$10,1,Settings!$B$16)</f>
        <v>2</v>
      </c>
      <c r="C1660" s="8">
        <v>46023</v>
      </c>
      <c r="D1660" s="8">
        <f t="shared" si="101"/>
        <v>46387</v>
      </c>
      <c r="E1660" s="6" t="str" cm="1">
        <f t="array" ref="E1660">choice(Groupes!A:A,1,Settings!$B$16)</f>
        <v>G17</v>
      </c>
      <c r="F1660" s="6" t="str">
        <f t="shared" si="102"/>
        <v>G17</v>
      </c>
      <c r="G1660" s="6" t="str">
        <f t="shared" si="103"/>
        <v>Prof4</v>
      </c>
      <c r="H1660" s="6" t="str" cm="1">
        <f t="array" ref="H1660">choice(Referentiel!A:A,1,Settings!$B$16)</f>
        <v>Design des mondes insulaires</v>
      </c>
      <c r="I1660" s="6" t="str" cm="1">
        <f t="array" ref="I1660">choice(Referentiel!B:B,1,Settings!$B$16)</f>
        <v>4ème année Design Objet S2</v>
      </c>
      <c r="J1660" s="6" t="str" cm="1">
        <f t="array" ref="J1660">choice(Referentiel!D:D,1,Settings!$B$16)</f>
        <v>L3</v>
      </c>
      <c r="K1660" s="6" t="str" cm="1">
        <f t="array" ref="K1660">choice(Professeurs!B:B,1,Settings!$B$16)</f>
        <v>Prof4</v>
      </c>
      <c r="L1660" s="5" t="str" cm="1">
        <f t="array" ref="L1660">choice(Referentiel!C:C,1,Settings!$B$16)</f>
        <v/>
      </c>
      <c r="M1660" s="5" t="str" cm="1">
        <f t="array" ref="M1660">choice(Referentiel!E:E,1,Settings!$B$16)</f>
        <v/>
      </c>
      <c r="N1660" s="5" t="str" cm="1">
        <f t="array" ref="N1660">choice(Settings!K:K,1,Settings!$B$16)</f>
        <v/>
      </c>
      <c r="P1660" s="5">
        <f t="shared" si="104"/>
        <v>2</v>
      </c>
    </row>
    <row r="1661" spans="1:16" ht="15.75" customHeight="1" x14ac:dyDescent="0.25">
      <c r="A1661" s="6" t="s">
        <v>2013</v>
      </c>
      <c r="B1661" s="6" cm="1">
        <f t="array" ref="B1661">alea_int(Settings!$B$10,1,Settings!$B$16)</f>
        <v>1</v>
      </c>
      <c r="C1661" s="8">
        <v>46023</v>
      </c>
      <c r="D1661" s="8">
        <f t="shared" si="101"/>
        <v>46387</v>
      </c>
      <c r="E1661" s="6" t="str" cm="1">
        <f t="array" ref="E1661">choice(Groupes!A:A,1,Settings!$B$16)</f>
        <v>G18</v>
      </c>
      <c r="F1661" s="6" t="str">
        <f t="shared" si="102"/>
        <v>G18</v>
      </c>
      <c r="G1661" s="6" t="str">
        <f t="shared" si="103"/>
        <v>Prof19</v>
      </c>
      <c r="H1661" s="6" t="str" cm="1">
        <f t="array" ref="H1661">choice(Referentiel!A:A,1,Settings!$B$16)</f>
        <v>Design des mondes montagneux</v>
      </c>
      <c r="I1661" s="6" t="str" cm="1">
        <f t="array" ref="I1661">choice(Referentiel!B:B,1,Settings!$B$16)</f>
        <v>5ème année Image Imprimée S1</v>
      </c>
      <c r="J1661" s="6" t="str" cm="1">
        <f t="array" ref="J1661">choice(Referentiel!D:D,1,Settings!$B$16)</f>
        <v>M1</v>
      </c>
      <c r="K1661" s="6" t="str" cm="1">
        <f t="array" ref="K1661">choice(Professeurs!B:B,1,Settings!$B$16)</f>
        <v>Prof19</v>
      </c>
      <c r="L1661" s="5" t="str" cm="1">
        <f t="array" ref="L1661">choice(Referentiel!C:C,1,Settings!$B$16)</f>
        <v/>
      </c>
      <c r="M1661" s="5" t="str" cm="1">
        <f t="array" ref="M1661">choice(Referentiel!E:E,1,Settings!$B$16)</f>
        <v/>
      </c>
      <c r="N1661" s="5" t="str" cm="1">
        <f t="array" ref="N1661">choice(Settings!K:K,1,Settings!$B$16)</f>
        <v/>
      </c>
      <c r="P1661" s="5">
        <f t="shared" si="104"/>
        <v>1</v>
      </c>
    </row>
    <row r="1662" spans="1:16" ht="15.75" customHeight="1" x14ac:dyDescent="0.25">
      <c r="A1662" s="6" t="s">
        <v>2014</v>
      </c>
      <c r="B1662" s="6" cm="1">
        <f t="array" ref="B1662">alea_int(Settings!$B$10,1,Settings!$B$16)</f>
        <v>2</v>
      </c>
      <c r="C1662" s="8">
        <v>46023</v>
      </c>
      <c r="D1662" s="8">
        <f t="shared" si="101"/>
        <v>46387</v>
      </c>
      <c r="E1662" s="6" t="str" cm="1">
        <f t="array" ref="E1662">choice(Groupes!A:A,1,Settings!$B$16)</f>
        <v>G27</v>
      </c>
      <c r="F1662" s="6" t="str">
        <f t="shared" si="102"/>
        <v>G27</v>
      </c>
      <c r="G1662" s="6" t="str">
        <f t="shared" si="103"/>
        <v>Prof50</v>
      </c>
      <c r="H1662" s="6" t="str" cm="1">
        <f t="array" ref="H1662">choice(Referentiel!A:A,1,Settings!$B$16)</f>
        <v>1ère année Groupe 3</v>
      </c>
      <c r="I1662" s="6" t="str" cm="1">
        <f t="array" ref="I1662">choice(Referentiel!B:B,1,Settings!$B$16)</f>
        <v>3ème année Design Graphique S1</v>
      </c>
      <c r="J1662" s="6" t="str" cm="1">
        <f t="array" ref="J1662">choice(Referentiel!D:D,1,Settings!$B$16)</f>
        <v>M2</v>
      </c>
      <c r="K1662" s="6" t="str" cm="1">
        <f t="array" ref="K1662">choice(Professeurs!B:B,1,Settings!$B$16)</f>
        <v>Prof50</v>
      </c>
      <c r="L1662" s="5" t="str" cm="1">
        <f t="array" ref="L1662">choice(Referentiel!C:C,1,Settings!$B$16)</f>
        <v/>
      </c>
      <c r="M1662" s="5" t="str" cm="1">
        <f t="array" ref="M1662">choice(Referentiel!E:E,1,Settings!$B$16)</f>
        <v/>
      </c>
      <c r="N1662" s="5" t="str" cm="1">
        <f t="array" ref="N1662">choice(Settings!K:K,1,Settings!$B$16)</f>
        <v>semaine</v>
      </c>
      <c r="P1662" s="5">
        <f t="shared" si="104"/>
        <v>4</v>
      </c>
    </row>
    <row r="1663" spans="1:16" ht="15.75" customHeight="1" x14ac:dyDescent="0.25">
      <c r="A1663" s="6" t="s">
        <v>2015</v>
      </c>
      <c r="B1663" s="6" cm="1">
        <f t="array" ref="B1663">alea_int(Settings!$B$10,1,Settings!$B$16)</f>
        <v>1</v>
      </c>
      <c r="C1663" s="8">
        <v>46023</v>
      </c>
      <c r="D1663" s="8">
        <f t="shared" si="101"/>
        <v>46387</v>
      </c>
      <c r="E1663" s="6" t="str" cm="1">
        <f t="array" ref="E1663">choice(Groupes!A:A,1,Settings!$B$16)</f>
        <v>G28</v>
      </c>
      <c r="F1663" s="6" t="str">
        <f t="shared" si="102"/>
        <v>G28</v>
      </c>
      <c r="G1663" s="6" t="str">
        <f t="shared" si="103"/>
        <v>Prof23</v>
      </c>
      <c r="H1663" s="6" t="str" cm="1">
        <f t="array" ref="H1663">choice(Referentiel!A:A,1,Settings!$B$16)</f>
        <v>Design Textile et Matière</v>
      </c>
      <c r="I1663" s="6" t="str" cm="1">
        <f t="array" ref="I1663">choice(Referentiel!B:B,1,Settings!$B$16)</f>
        <v>2ème année Cinéma d'Animation S1</v>
      </c>
      <c r="J1663" s="6" t="str" cm="1">
        <f t="array" ref="J1663">choice(Referentiel!D:D,1,Settings!$B$16)</f>
        <v>L3</v>
      </c>
      <c r="K1663" s="6" t="str" cm="1">
        <f t="array" ref="K1663">choice(Professeurs!B:B,1,Settings!$B$16)</f>
        <v>Prof23</v>
      </c>
      <c r="L1663" s="5" t="str" cm="1">
        <f t="array" ref="L1663">choice(Referentiel!C:C,1,Settings!$B$16)</f>
        <v/>
      </c>
      <c r="M1663" s="5" t="str" cm="1">
        <f t="array" ref="M1663">choice(Referentiel!E:E,1,Settings!$B$16)</f>
        <v/>
      </c>
      <c r="N1663" s="5" t="str" cm="1">
        <f t="array" ref="N1663">choice(Settings!K:K,1,Settings!$B$16)</f>
        <v>mercredi ap</v>
      </c>
      <c r="P1663" s="5">
        <f t="shared" si="104"/>
        <v>3</v>
      </c>
    </row>
    <row r="1664" spans="1:16" ht="15.75" customHeight="1" x14ac:dyDescent="0.25">
      <c r="A1664" s="6" t="s">
        <v>2016</v>
      </c>
      <c r="B1664" s="6" cm="1">
        <f t="array" ref="B1664">alea_int(Settings!$B$10,1,Settings!$B$16)</f>
        <v>3</v>
      </c>
      <c r="C1664" s="8">
        <v>46023</v>
      </c>
      <c r="D1664" s="8">
        <f t="shared" si="101"/>
        <v>46387</v>
      </c>
      <c r="E1664" s="6" t="str" cm="1">
        <f t="array" ref="E1664">choice(Groupes!A:A,1,Settings!$B$16)</f>
        <v>G9</v>
      </c>
      <c r="F1664" s="6" t="str">
        <f t="shared" si="102"/>
        <v>G9</v>
      </c>
      <c r="G1664" s="6" t="str">
        <f t="shared" si="103"/>
        <v>Prof29</v>
      </c>
      <c r="H1664" s="6" t="str" cm="1">
        <f t="array" ref="H1664">choice(Referentiel!A:A,1,Settings!$B$16)</f>
        <v>Gr SYMBIOSE</v>
      </c>
      <c r="I1664" s="6" t="str" cm="1">
        <f t="array" ref="I1664">choice(Referentiel!B:B,1,Settings!$B$16)</f>
        <v>5ème année Design Objet S2</v>
      </c>
      <c r="J1664" s="6" t="str" cm="1">
        <f t="array" ref="J1664">choice(Referentiel!D:D,1,Settings!$B$16)</f>
        <v>L2</v>
      </c>
      <c r="K1664" s="6" t="str" cm="1">
        <f t="array" ref="K1664">choice(Professeurs!B:B,1,Settings!$B$16)</f>
        <v>Prof29</v>
      </c>
      <c r="L1664" s="5" t="str" cm="1">
        <f t="array" ref="L1664">choice(Referentiel!C:C,1,Settings!$B$16)</f>
        <v/>
      </c>
      <c r="M1664" s="5" t="str" cm="1">
        <f t="array" ref="M1664">choice(Referentiel!E:E,1,Settings!$B$16)</f>
        <v/>
      </c>
      <c r="N1664" s="5" t="str" cm="1">
        <f t="array" ref="N1664">choice(Settings!K:K,1,Settings!$B$16)</f>
        <v/>
      </c>
      <c r="P1664" s="5">
        <f t="shared" si="104"/>
        <v>3</v>
      </c>
    </row>
    <row r="1665" spans="1:16" ht="15.75" customHeight="1" x14ac:dyDescent="0.25">
      <c r="A1665" s="6" t="s">
        <v>2017</v>
      </c>
      <c r="B1665" s="6" cm="1">
        <f t="array" ref="B1665">alea_int(Settings!$B$10,1,Settings!$B$16)</f>
        <v>2</v>
      </c>
      <c r="C1665" s="8">
        <v>46023</v>
      </c>
      <c r="D1665" s="8">
        <f t="shared" si="101"/>
        <v>46387</v>
      </c>
      <c r="E1665" s="6" t="str" cm="1">
        <f t="array" ref="E1665">choice(Groupes!A:A,1,Settings!$B$16)</f>
        <v>G6</v>
      </c>
      <c r="F1665" s="6" t="str">
        <f t="shared" si="102"/>
        <v>G6</v>
      </c>
      <c r="G1665" s="6" t="str">
        <f t="shared" si="103"/>
        <v>Prof47</v>
      </c>
      <c r="H1665" s="6" t="str" cm="1">
        <f t="array" ref="H1665">choice(Referentiel!A:A,1,Settings!$B$16)</f>
        <v>Mode et Matière</v>
      </c>
      <c r="I1665" s="6" t="str" cm="1">
        <f t="array" ref="I1665">choice(Referentiel!B:B,1,Settings!$B$16)</f>
        <v>Césure S2</v>
      </c>
      <c r="J1665" s="6" t="str" cm="1">
        <f t="array" ref="J1665">choice(Referentiel!D:D,1,Settings!$B$16)</f>
        <v>L2</v>
      </c>
      <c r="K1665" s="6" t="str" cm="1">
        <f t="array" ref="K1665">choice(Professeurs!B:B,1,Settings!$B$16)</f>
        <v>Prof47</v>
      </c>
      <c r="L1665" s="5" t="str" cm="1">
        <f t="array" ref="L1665">choice(Referentiel!C:C,1,Settings!$B$16)</f>
        <v/>
      </c>
      <c r="M1665" s="5" t="str" cm="1">
        <f t="array" ref="M1665">choice(Referentiel!E:E,1,Settings!$B$16)</f>
        <v/>
      </c>
      <c r="N1665" s="5" t="str" cm="1">
        <f t="array" ref="N1665">choice(Settings!K:K,1,Settings!$B$16)</f>
        <v>mercredi pm</v>
      </c>
      <c r="P1665" s="5">
        <f t="shared" si="104"/>
        <v>4</v>
      </c>
    </row>
    <row r="1666" spans="1:16" ht="15.75" customHeight="1" x14ac:dyDescent="0.25">
      <c r="A1666" s="6" t="s">
        <v>2018</v>
      </c>
      <c r="B1666" s="6" cm="1">
        <f t="array" ref="B1666">alea_int(Settings!$B$10,1,Settings!$B$16)</f>
        <v>3</v>
      </c>
      <c r="C1666" s="8">
        <v>46023</v>
      </c>
      <c r="D1666" s="8">
        <f t="shared" si="101"/>
        <v>46387</v>
      </c>
      <c r="E1666" s="6" t="str" cm="1">
        <f t="array" ref="E1666">choice(Groupes!A:A,1,Settings!$B$16)</f>
        <v>G14</v>
      </c>
      <c r="F1666" s="6" t="str">
        <f t="shared" si="102"/>
        <v>G14</v>
      </c>
      <c r="G1666" s="6" t="str">
        <f t="shared" si="103"/>
        <v>Prof46</v>
      </c>
      <c r="H1666" s="6" t="str" cm="1">
        <f t="array" ref="H1666">choice(Referentiel!A:A,1,Settings!$B$16)</f>
        <v>Art-Espace</v>
      </c>
      <c r="I1666" s="6" t="str" cm="1">
        <f t="array" ref="I1666">choice(Referentiel!B:B,1,Settings!$B$16)</f>
        <v>4ème année Design Graphique S2</v>
      </c>
      <c r="J1666" s="6" t="str" cm="1">
        <f t="array" ref="J1666">choice(Referentiel!D:D,1,Settings!$B$16)</f>
        <v>M1</v>
      </c>
      <c r="K1666" s="6" t="str" cm="1">
        <f t="array" ref="K1666">choice(Professeurs!B:B,1,Settings!$B$16)</f>
        <v>Prof46</v>
      </c>
      <c r="L1666" s="5" t="str" cm="1">
        <f t="array" ref="L1666">choice(Referentiel!C:C,1,Settings!$B$16)</f>
        <v/>
      </c>
      <c r="M1666" s="5" t="str" cm="1">
        <f t="array" ref="M1666">choice(Referentiel!E:E,1,Settings!$B$16)</f>
        <v/>
      </c>
      <c r="N1666" s="5" t="str" cm="1">
        <f t="array" ref="N1666">choice(Settings!K:K,1,Settings!$B$16)</f>
        <v/>
      </c>
      <c r="P1666" s="5">
        <f t="shared" si="104"/>
        <v>3</v>
      </c>
    </row>
    <row r="1667" spans="1:16" ht="15.75" customHeight="1" x14ac:dyDescent="0.25">
      <c r="A1667" s="6" t="s">
        <v>2019</v>
      </c>
      <c r="B1667" s="6" cm="1">
        <f t="array" ref="B1667">alea_int(Settings!$B$10,1,Settings!$B$16)</f>
        <v>2</v>
      </c>
      <c r="C1667" s="8">
        <v>46023</v>
      </c>
      <c r="D1667" s="8">
        <f t="shared" ref="D1667:D1730" si="105">C1667+364</f>
        <v>46387</v>
      </c>
      <c r="E1667" s="6" t="str" cm="1">
        <f t="array" ref="E1667">choice(Groupes!A:A,1,Settings!$B$16)</f>
        <v>G9</v>
      </c>
      <c r="F1667" s="6" t="str">
        <f t="shared" ref="F1667:F1730" si="106">E1667</f>
        <v>G9</v>
      </c>
      <c r="G1667" s="6" t="str">
        <f t="shared" ref="G1667:G1730" si="107">K1667</f>
        <v>Prof51</v>
      </c>
      <c r="H1667" s="6" t="str" cm="1">
        <f t="array" ref="H1667">choice(Referentiel!A:A,1,Settings!$B$16)</f>
        <v>Design Vêtement</v>
      </c>
      <c r="I1667" s="6" t="str" cm="1">
        <f t="array" ref="I1667">choice(Referentiel!B:B,1,Settings!$B$16)</f>
        <v>3ème année Art-Espace S1</v>
      </c>
      <c r="J1667" s="6" t="str" cm="1">
        <f t="array" ref="J1667">choice(Referentiel!D:D,1,Settings!$B$16)</f>
        <v>M1</v>
      </c>
      <c r="K1667" s="6" t="str" cm="1">
        <f t="array" ref="K1667">choice(Professeurs!B:B,1,Settings!$B$16)</f>
        <v>Prof51</v>
      </c>
      <c r="L1667" s="5" t="str" cm="1">
        <f t="array" ref="L1667">choice(Referentiel!C:C,1,Settings!$B$16)</f>
        <v/>
      </c>
      <c r="M1667" s="5" t="str" cm="1">
        <f t="array" ref="M1667">choice(Referentiel!E:E,1,Settings!$B$16)</f>
        <v/>
      </c>
      <c r="N1667" s="5" t="str" cm="1">
        <f t="array" ref="N1667">choice(Settings!K:K,1,Settings!$B$16)</f>
        <v/>
      </c>
      <c r="P1667" s="5">
        <f t="shared" ref="P1667:P1730" si="108">B1667+IF(M1667&lt;&gt;"",2,0)+IF(N1667&lt;&gt;"",2,0)</f>
        <v>2</v>
      </c>
    </row>
    <row r="1668" spans="1:16" ht="15.75" customHeight="1" x14ac:dyDescent="0.25">
      <c r="A1668" s="6" t="s">
        <v>2020</v>
      </c>
      <c r="B1668" s="6" cm="1">
        <f t="array" ref="B1668">alea_int(Settings!$B$10,1,Settings!$B$16)</f>
        <v>2</v>
      </c>
      <c r="C1668" s="8">
        <v>46023</v>
      </c>
      <c r="D1668" s="8">
        <f t="shared" si="105"/>
        <v>46387</v>
      </c>
      <c r="E1668" s="6" t="str" cm="1">
        <f t="array" ref="E1668">choice(Groupes!A:A,1,Settings!$B$16)</f>
        <v>G6</v>
      </c>
      <c r="F1668" s="6" t="str">
        <f t="shared" si="106"/>
        <v>G6</v>
      </c>
      <c r="G1668" s="6" t="str">
        <f t="shared" si="107"/>
        <v>Prof44</v>
      </c>
      <c r="H1668" s="6" t="str" cm="1">
        <f t="array" ref="H1668">choice(Referentiel!A:A,1,Settings!$B$16)</f>
        <v>1ère année Groupe 4</v>
      </c>
      <c r="I1668" s="6" t="str" cm="1">
        <f t="array" ref="I1668">choice(Referentiel!B:B,1,Settings!$B$16)</f>
        <v>2ème année Cinéma d'Animation S1</v>
      </c>
      <c r="J1668" s="6" t="str" cm="1">
        <f t="array" ref="J1668">choice(Referentiel!D:D,1,Settings!$B$16)</f>
        <v>M2</v>
      </c>
      <c r="K1668" s="6" t="str" cm="1">
        <f t="array" ref="K1668">choice(Professeurs!B:B,1,Settings!$B$16)</f>
        <v>Prof44</v>
      </c>
      <c r="L1668" s="5" t="str" cm="1">
        <f t="array" ref="L1668">choice(Referentiel!C:C,1,Settings!$B$16)</f>
        <v/>
      </c>
      <c r="M1668" s="5" t="str" cm="1">
        <f t="array" ref="M1668">choice(Referentiel!E:E,1,Settings!$B$16)</f>
        <v/>
      </c>
      <c r="N1668" s="5" t="str" cm="1">
        <f t="array" ref="N1668">choice(Settings!K:K,1,Settings!$B$16)</f>
        <v/>
      </c>
      <c r="P1668" s="5">
        <f t="shared" si="108"/>
        <v>2</v>
      </c>
    </row>
    <row r="1669" spans="1:16" ht="15.75" customHeight="1" x14ac:dyDescent="0.25">
      <c r="A1669" s="6" t="s">
        <v>2021</v>
      </c>
      <c r="B1669" s="6" cm="1">
        <f t="array" ref="B1669">alea_int(Settings!$B$10,1,Settings!$B$16)</f>
        <v>1</v>
      </c>
      <c r="C1669" s="8">
        <v>46023</v>
      </c>
      <c r="D1669" s="8">
        <f t="shared" si="105"/>
        <v>46387</v>
      </c>
      <c r="E1669" s="6" t="str" cm="1">
        <f t="array" ref="E1669">choice(Groupes!A:A,1,Settings!$B$16)</f>
        <v>G21</v>
      </c>
      <c r="F1669" s="6" t="str">
        <f t="shared" si="106"/>
        <v>G21</v>
      </c>
      <c r="G1669" s="6" t="str">
        <f t="shared" si="107"/>
        <v>Prof17</v>
      </c>
      <c r="H1669" s="6" t="str" cm="1">
        <f t="array" ref="H1669">choice(Referentiel!A:A,1,Settings!$B$16)</f>
        <v>Mode et Matière</v>
      </c>
      <c r="I1669" s="6" t="str" cm="1">
        <f t="array" ref="I1669">choice(Referentiel!B:B,1,Settings!$B$16)</f>
        <v>4ème année Cinéma d'Animation S1</v>
      </c>
      <c r="J1669" s="6" t="str" cm="1">
        <f t="array" ref="J1669">choice(Referentiel!D:D,1,Settings!$B$16)</f>
        <v>M2</v>
      </c>
      <c r="K1669" s="6" t="str" cm="1">
        <f t="array" ref="K1669">choice(Professeurs!B:B,1,Settings!$B$16)</f>
        <v>Prof17</v>
      </c>
      <c r="L1669" s="5" t="str" cm="1">
        <f t="array" ref="L1669">choice(Referentiel!C:C,1,Settings!$B$16)</f>
        <v/>
      </c>
      <c r="M1669" s="5" t="str" cm="1">
        <f t="array" ref="M1669">choice(Referentiel!E:E,1,Settings!$B$16)</f>
        <v/>
      </c>
      <c r="N1669" s="5" t="str" cm="1">
        <f t="array" ref="N1669">choice(Settings!K:K,1,Settings!$B$16)</f>
        <v/>
      </c>
      <c r="P1669" s="5">
        <f t="shared" si="108"/>
        <v>1</v>
      </c>
    </row>
    <row r="1670" spans="1:16" ht="15.75" customHeight="1" x14ac:dyDescent="0.25">
      <c r="A1670" s="6" t="s">
        <v>2022</v>
      </c>
      <c r="B1670" s="6" cm="1">
        <f t="array" ref="B1670">alea_int(Settings!$B$10,1,Settings!$B$16)</f>
        <v>1</v>
      </c>
      <c r="C1670" s="8">
        <v>46023</v>
      </c>
      <c r="D1670" s="8">
        <f t="shared" si="105"/>
        <v>46387</v>
      </c>
      <c r="E1670" s="6" t="str" cm="1">
        <f t="array" ref="E1670">choice(Groupes!A:A,1,Settings!$B$16)</f>
        <v>G27</v>
      </c>
      <c r="F1670" s="6" t="str">
        <f t="shared" si="106"/>
        <v>G27</v>
      </c>
      <c r="G1670" s="6" t="str">
        <f t="shared" si="107"/>
        <v>Prof40</v>
      </c>
      <c r="H1670" s="6" t="str" cm="1">
        <f t="array" ref="H1670">choice(Referentiel!A:A,1,Settings!$B$16)</f>
        <v>1ère année Groupe 2</v>
      </c>
      <c r="I1670" s="6" t="str" cm="1">
        <f t="array" ref="I1670">choice(Referentiel!B:B,1,Settings!$B$16)</f>
        <v>3ème année Art-Espace S2</v>
      </c>
      <c r="J1670" s="6" t="str" cm="1">
        <f t="array" ref="J1670">choice(Referentiel!D:D,1,Settings!$B$16)</f>
        <v>M2</v>
      </c>
      <c r="K1670" s="6" t="str" cm="1">
        <f t="array" ref="K1670">choice(Professeurs!B:B,1,Settings!$B$16)</f>
        <v>Prof40</v>
      </c>
      <c r="L1670" s="5" t="str" cm="1">
        <f t="array" ref="L1670">choice(Referentiel!C:C,1,Settings!$B$16)</f>
        <v/>
      </c>
      <c r="M1670" s="5" t="str" cm="1">
        <f t="array" ref="M1670">choice(Referentiel!E:E,1,Settings!$B$16)</f>
        <v/>
      </c>
      <c r="N1670" s="5" t="str" cm="1">
        <f t="array" ref="N1670">choice(Settings!K:K,1,Settings!$B$16)</f>
        <v/>
      </c>
      <c r="P1670" s="5">
        <f t="shared" si="108"/>
        <v>1</v>
      </c>
    </row>
    <row r="1671" spans="1:16" ht="15.75" customHeight="1" x14ac:dyDescent="0.25">
      <c r="A1671" s="6" t="s">
        <v>2023</v>
      </c>
      <c r="B1671" s="6" cm="1">
        <f t="array" ref="B1671">alea_int(Settings!$B$10,1,Settings!$B$16)</f>
        <v>3</v>
      </c>
      <c r="C1671" s="8">
        <v>46023</v>
      </c>
      <c r="D1671" s="8">
        <f t="shared" si="105"/>
        <v>46387</v>
      </c>
      <c r="E1671" s="6" t="str" cm="1">
        <f t="array" ref="E1671">choice(Groupes!A:A,1,Settings!$B$16)</f>
        <v>G28</v>
      </c>
      <c r="F1671" s="6" t="str">
        <f t="shared" si="106"/>
        <v>G28</v>
      </c>
      <c r="G1671" s="6" t="str">
        <f t="shared" si="107"/>
        <v>Prof53</v>
      </c>
      <c r="H1671" s="6" t="str" cm="1">
        <f t="array" ref="H1671">choice(Referentiel!A:A,1,Settings!$B$16)</f>
        <v>Gr SOFT MATTERS</v>
      </c>
      <c r="I1671" s="6" t="str" cm="1">
        <f t="array" ref="I1671">choice(Referentiel!B:B,1,Settings!$B$16)</f>
        <v>5ème année Design Textile et Matière S1</v>
      </c>
      <c r="J1671" s="6" t="str" cm="1">
        <f t="array" ref="J1671">choice(Referentiel!D:D,1,Settings!$B$16)</f>
        <v>L1</v>
      </c>
      <c r="K1671" s="6" t="str" cm="1">
        <f t="array" ref="K1671">choice(Professeurs!B:B,1,Settings!$B$16)</f>
        <v>Prof53</v>
      </c>
      <c r="L1671" s="5" t="str" cm="1">
        <f t="array" ref="L1671">choice(Referentiel!C:C,1,Settings!$B$16)</f>
        <v/>
      </c>
      <c r="M1671" s="5" t="str" cm="1">
        <f t="array" ref="M1671">choice(Referentiel!E:E,1,Settings!$B$16)</f>
        <v/>
      </c>
      <c r="N1671" s="5" t="str" cm="1">
        <f t="array" ref="N1671">choice(Settings!K:K,1,Settings!$B$16)</f>
        <v/>
      </c>
      <c r="P1671" s="5">
        <f t="shared" si="108"/>
        <v>3</v>
      </c>
    </row>
    <row r="1672" spans="1:16" ht="15.75" customHeight="1" x14ac:dyDescent="0.25">
      <c r="A1672" s="6" t="s">
        <v>2024</v>
      </c>
      <c r="B1672" s="6" cm="1">
        <f t="array" ref="B1672">alea_int(Settings!$B$10,1,Settings!$B$16)</f>
        <v>2</v>
      </c>
      <c r="C1672" s="8">
        <v>46023</v>
      </c>
      <c r="D1672" s="8">
        <f t="shared" si="105"/>
        <v>46387</v>
      </c>
      <c r="E1672" s="6" t="str" cm="1">
        <f t="array" ref="E1672">choice(Groupes!A:A,1,Settings!$B$16)</f>
        <v>G14</v>
      </c>
      <c r="F1672" s="6" t="str">
        <f t="shared" si="106"/>
        <v>G14</v>
      </c>
      <c r="G1672" s="6" t="str">
        <f t="shared" si="107"/>
        <v>Prof5</v>
      </c>
      <c r="H1672" s="6" t="str" cm="1">
        <f t="array" ref="H1672">choice(Referentiel!A:A,1,Settings!$B$16)</f>
        <v>Design Objet</v>
      </c>
      <c r="I1672" s="6" t="str" cm="1">
        <f t="array" ref="I1672">choice(Referentiel!B:B,1,Settings!$B$16)</f>
        <v>5ème année Art-Espace S2</v>
      </c>
      <c r="J1672" s="6" t="str" cm="1">
        <f t="array" ref="J1672">choice(Referentiel!D:D,1,Settings!$B$16)</f>
        <v>L3</v>
      </c>
      <c r="K1672" s="6" t="str" cm="1">
        <f t="array" ref="K1672">choice(Professeurs!B:B,1,Settings!$B$16)</f>
        <v>Prof5</v>
      </c>
      <c r="L1672" s="5" t="str" cm="1">
        <f t="array" ref="L1672">choice(Referentiel!C:C,1,Settings!$B$16)</f>
        <v/>
      </c>
      <c r="M1672" s="5" t="str" cm="1">
        <f t="array" ref="M1672">choice(Referentiel!E:E,1,Settings!$B$16)</f>
        <v/>
      </c>
      <c r="N1672" s="5" t="str" cm="1">
        <f t="array" ref="N1672">choice(Settings!K:K,1,Settings!$B$16)</f>
        <v>mercredi ap</v>
      </c>
      <c r="P1672" s="5">
        <f t="shared" si="108"/>
        <v>4</v>
      </c>
    </row>
    <row r="1673" spans="1:16" ht="15.75" customHeight="1" x14ac:dyDescent="0.25">
      <c r="A1673" s="6" t="s">
        <v>2025</v>
      </c>
      <c r="B1673" s="6" cm="1">
        <f t="array" ref="B1673">alea_int(Settings!$B$10,1,Settings!$B$16)</f>
        <v>1</v>
      </c>
      <c r="C1673" s="8">
        <v>46023</v>
      </c>
      <c r="D1673" s="8">
        <f t="shared" si="105"/>
        <v>46387</v>
      </c>
      <c r="E1673" s="6" t="str" cm="1">
        <f t="array" ref="E1673">choice(Groupes!A:A,1,Settings!$B$16)</f>
        <v>G28</v>
      </c>
      <c r="F1673" s="6" t="str">
        <f t="shared" si="106"/>
        <v>G28</v>
      </c>
      <c r="G1673" s="6" t="str">
        <f t="shared" si="107"/>
        <v>Prof54</v>
      </c>
      <c r="H1673" s="6" t="str" cm="1">
        <f t="array" ref="H1673">choice(Referentiel!A:A,1,Settings!$B$16)</f>
        <v>6ème année atelier</v>
      </c>
      <c r="I1673" s="6" t="str" cm="1">
        <f t="array" ref="I1673">choice(Referentiel!B:B,1,Settings!$B$16)</f>
        <v>3ème année Design Vêtement S1</v>
      </c>
      <c r="J1673" s="6" t="str" cm="1">
        <f t="array" ref="J1673">choice(Referentiel!D:D,1,Settings!$B$16)</f>
        <v>L3</v>
      </c>
      <c r="K1673" s="6" t="str" cm="1">
        <f t="array" ref="K1673">choice(Professeurs!B:B,1,Settings!$B$16)</f>
        <v>Prof54</v>
      </c>
      <c r="L1673" s="5" t="str" cm="1">
        <f t="array" ref="L1673">choice(Referentiel!C:C,1,Settings!$B$16)</f>
        <v/>
      </c>
      <c r="M1673" s="5" t="str" cm="1">
        <f t="array" ref="M1673">choice(Referentiel!E:E,1,Settings!$B$16)</f>
        <v/>
      </c>
      <c r="N1673" s="5" t="str" cm="1">
        <f t="array" ref="N1673">choice(Settings!K:K,1,Settings!$B$16)</f>
        <v/>
      </c>
      <c r="P1673" s="5">
        <f t="shared" si="108"/>
        <v>1</v>
      </c>
    </row>
    <row r="1674" spans="1:16" ht="15.75" customHeight="1" x14ac:dyDescent="0.25">
      <c r="A1674" s="6" t="s">
        <v>2026</v>
      </c>
      <c r="B1674" s="6" cm="1">
        <f t="array" ref="B1674">alea_int(Settings!$B$10,1,Settings!$B$16)</f>
        <v>1</v>
      </c>
      <c r="C1674" s="8">
        <v>46023</v>
      </c>
      <c r="D1674" s="8">
        <f t="shared" si="105"/>
        <v>46387</v>
      </c>
      <c r="E1674" s="6" t="str" cm="1">
        <f t="array" ref="E1674">choice(Groupes!A:A,1,Settings!$B$16)</f>
        <v>G22</v>
      </c>
      <c r="F1674" s="6" t="str">
        <f t="shared" si="106"/>
        <v>G22</v>
      </c>
      <c r="G1674" s="6" t="str">
        <f t="shared" si="107"/>
        <v>Prof24</v>
      </c>
      <c r="H1674" s="6" t="str" cm="1">
        <f t="array" ref="H1674">choice(Referentiel!A:A,1,Settings!$B$16)</f>
        <v>Design des mondes montagneux</v>
      </c>
      <c r="I1674" s="6" t="str" cm="1">
        <f t="array" ref="I1674">choice(Referentiel!B:B,1,Settings!$B$16)</f>
        <v>3ème année Image Imprimée S1</v>
      </c>
      <c r="J1674" s="6" t="str" cm="1">
        <f t="array" ref="J1674">choice(Referentiel!D:D,1,Settings!$B$16)</f>
        <v>L2</v>
      </c>
      <c r="K1674" s="6" t="str" cm="1">
        <f t="array" ref="K1674">choice(Professeurs!B:B,1,Settings!$B$16)</f>
        <v>Prof24</v>
      </c>
      <c r="L1674" s="5" t="str" cm="1">
        <f t="array" ref="L1674">choice(Referentiel!C:C,1,Settings!$B$16)</f>
        <v/>
      </c>
      <c r="M1674" s="5" t="str" cm="1">
        <f t="array" ref="M1674">choice(Referentiel!E:E,1,Settings!$B$16)</f>
        <v/>
      </c>
      <c r="N1674" s="5" t="str" cm="1">
        <f t="array" ref="N1674">choice(Settings!K:K,1,Settings!$B$16)</f>
        <v/>
      </c>
      <c r="P1674" s="5">
        <f t="shared" si="108"/>
        <v>1</v>
      </c>
    </row>
    <row r="1675" spans="1:16" ht="15.75" customHeight="1" x14ac:dyDescent="0.25">
      <c r="A1675" s="6" t="s">
        <v>2027</v>
      </c>
      <c r="B1675" s="6" cm="1">
        <f t="array" ref="B1675">alea_int(Settings!$B$10,1,Settings!$B$16)</f>
        <v>3</v>
      </c>
      <c r="C1675" s="8">
        <v>46023</v>
      </c>
      <c r="D1675" s="8">
        <f t="shared" si="105"/>
        <v>46387</v>
      </c>
      <c r="E1675" s="6" t="str" cm="1">
        <f t="array" ref="E1675">choice(Groupes!A:A,1,Settings!$B$16)</f>
        <v>G30</v>
      </c>
      <c r="F1675" s="6" t="str">
        <f t="shared" si="106"/>
        <v>G30</v>
      </c>
      <c r="G1675" s="6" t="str">
        <f t="shared" si="107"/>
        <v>Prof54</v>
      </c>
      <c r="H1675" s="6" t="str" cm="1">
        <f t="array" ref="H1675">choice(Referentiel!A:A,1,Settings!$B$16)</f>
        <v>Design des mondes littoraux</v>
      </c>
      <c r="I1675" s="6" t="str" cm="1">
        <f t="array" ref="I1675">choice(Referentiel!B:B,1,Settings!$B$16)</f>
        <v>5ème année Photo / Vidéo S1</v>
      </c>
      <c r="J1675" s="6" t="str" cm="1">
        <f t="array" ref="J1675">choice(Referentiel!D:D,1,Settings!$B$16)</f>
        <v>M1</v>
      </c>
      <c r="K1675" s="6" t="str" cm="1">
        <f t="array" ref="K1675">choice(Professeurs!B:B,1,Settings!$B$16)</f>
        <v>Prof54</v>
      </c>
      <c r="L1675" s="5" t="str" cm="1">
        <f t="array" ref="L1675">choice(Referentiel!C:C,1,Settings!$B$16)</f>
        <v/>
      </c>
      <c r="M1675" s="5" t="str" cm="1">
        <f t="array" ref="M1675">choice(Referentiel!E:E,1,Settings!$B$16)</f>
        <v/>
      </c>
      <c r="N1675" s="5" t="str" cm="1">
        <f t="array" ref="N1675">choice(Settings!K:K,1,Settings!$B$16)</f>
        <v/>
      </c>
      <c r="P1675" s="5">
        <f t="shared" si="108"/>
        <v>3</v>
      </c>
    </row>
    <row r="1676" spans="1:16" ht="15.75" customHeight="1" x14ac:dyDescent="0.25">
      <c r="A1676" s="6" t="s">
        <v>2028</v>
      </c>
      <c r="B1676" s="6" cm="1">
        <f t="array" ref="B1676">alea_int(Settings!$B$10,1,Settings!$B$16)</f>
        <v>3</v>
      </c>
      <c r="C1676" s="8">
        <v>46023</v>
      </c>
      <c r="D1676" s="8">
        <f t="shared" si="105"/>
        <v>46387</v>
      </c>
      <c r="E1676" s="6" t="str" cm="1">
        <f t="array" ref="E1676">choice(Groupes!A:A,1,Settings!$B$16)</f>
        <v>G11</v>
      </c>
      <c r="F1676" s="6" t="str">
        <f t="shared" si="106"/>
        <v>G11</v>
      </c>
      <c r="G1676" s="6" t="str">
        <f t="shared" si="107"/>
        <v>Prof43</v>
      </c>
      <c r="H1676" s="6" t="str" cm="1">
        <f t="array" ref="H1676">choice(Referentiel!A:A,1,Settings!$B$16)</f>
        <v>Gr SOFT MATTERS</v>
      </c>
      <c r="I1676" s="6" t="str" cm="1">
        <f t="array" ref="I1676">choice(Referentiel!B:B,1,Settings!$B$16)</f>
        <v>4ème année Design Textile et Matière S2</v>
      </c>
      <c r="J1676" s="6" t="str" cm="1">
        <f t="array" ref="J1676">choice(Referentiel!D:D,1,Settings!$B$16)</f>
        <v>M1</v>
      </c>
      <c r="K1676" s="6" t="str" cm="1">
        <f t="array" ref="K1676">choice(Professeurs!B:B,1,Settings!$B$16)</f>
        <v>Prof43</v>
      </c>
      <c r="L1676" s="5" t="str" cm="1">
        <f t="array" ref="L1676">choice(Referentiel!C:C,1,Settings!$B$16)</f>
        <v/>
      </c>
      <c r="M1676" s="5" t="str" cm="1">
        <f t="array" ref="M1676">choice(Referentiel!E:E,1,Settings!$B$16)</f>
        <v/>
      </c>
      <c r="N1676" s="5" t="str" cm="1">
        <f t="array" ref="N1676">choice(Settings!K:K,1,Settings!$B$16)</f>
        <v>vendredi pm</v>
      </c>
      <c r="P1676" s="5">
        <f t="shared" si="108"/>
        <v>5</v>
      </c>
    </row>
    <row r="1677" spans="1:16" ht="15.75" customHeight="1" x14ac:dyDescent="0.25">
      <c r="A1677" s="6" t="s">
        <v>2029</v>
      </c>
      <c r="B1677" s="6" cm="1">
        <f t="array" ref="B1677">alea_int(Settings!$B$10,1,Settings!$B$16)</f>
        <v>2</v>
      </c>
      <c r="C1677" s="8">
        <v>46023</v>
      </c>
      <c r="D1677" s="8">
        <f t="shared" si="105"/>
        <v>46387</v>
      </c>
      <c r="E1677" s="6" t="str" cm="1">
        <f t="array" ref="E1677">choice(Groupes!A:A,1,Settings!$B$16)</f>
        <v>G5</v>
      </c>
      <c r="F1677" s="6" t="str">
        <f t="shared" si="106"/>
        <v>G5</v>
      </c>
      <c r="G1677" s="6" t="str">
        <f t="shared" si="107"/>
        <v>Prof22</v>
      </c>
      <c r="H1677" s="6" t="str" cm="1">
        <f t="array" ref="H1677">choice(Referentiel!A:A,1,Settings!$B$16)</f>
        <v>Art-Espace</v>
      </c>
      <c r="I1677" s="6" t="str" cm="1">
        <f t="array" ref="I1677">choice(Referentiel!B:B,1,Settings!$B$16)</f>
        <v>3ème année Art-Espace S1</v>
      </c>
      <c r="J1677" s="6" t="str" cm="1">
        <f t="array" ref="J1677">choice(Referentiel!D:D,1,Settings!$B$16)</f>
        <v>L1</v>
      </c>
      <c r="K1677" s="6" t="str" cm="1">
        <f t="array" ref="K1677">choice(Professeurs!B:B,1,Settings!$B$16)</f>
        <v>Prof22</v>
      </c>
      <c r="L1677" s="5" t="str" cm="1">
        <f t="array" ref="L1677">choice(Referentiel!C:C,1,Settings!$B$16)</f>
        <v/>
      </c>
      <c r="M1677" s="5" t="str" cm="1">
        <f t="array" ref="M1677">choice(Referentiel!E:E,1,Settings!$B$16)</f>
        <v/>
      </c>
      <c r="N1677" s="5" t="str" cm="1">
        <f t="array" ref="N1677">choice(Settings!K:K,1,Settings!$B$16)</f>
        <v/>
      </c>
      <c r="P1677" s="5">
        <f t="shared" si="108"/>
        <v>2</v>
      </c>
    </row>
    <row r="1678" spans="1:16" ht="15.75" customHeight="1" x14ac:dyDescent="0.25">
      <c r="A1678" s="6" t="s">
        <v>2030</v>
      </c>
      <c r="B1678" s="6" cm="1">
        <f t="array" ref="B1678">alea_int(Settings!$B$10,1,Settings!$B$16)</f>
        <v>1</v>
      </c>
      <c r="C1678" s="8">
        <v>46023</v>
      </c>
      <c r="D1678" s="8">
        <f t="shared" si="105"/>
        <v>46387</v>
      </c>
      <c r="E1678" s="6" t="str" cm="1">
        <f t="array" ref="E1678">choice(Groupes!A:A,1,Settings!$B$16)</f>
        <v>G12</v>
      </c>
      <c r="F1678" s="6" t="str">
        <f t="shared" si="106"/>
        <v>G12</v>
      </c>
      <c r="G1678" s="6" t="str">
        <f t="shared" si="107"/>
        <v>Prof54</v>
      </c>
      <c r="H1678" s="6" t="str" cm="1">
        <f t="array" ref="H1678">choice(Referentiel!A:A,1,Settings!$B$16)</f>
        <v>Design Objet</v>
      </c>
      <c r="I1678" s="6" t="str" cm="1">
        <f t="array" ref="I1678">choice(Referentiel!B:B,1,Settings!$B$16)</f>
        <v>1ère Année Groupe 3 S2</v>
      </c>
      <c r="J1678" s="6" t="str" cm="1">
        <f t="array" ref="J1678">choice(Referentiel!D:D,1,Settings!$B$16)</f>
        <v>L3</v>
      </c>
      <c r="K1678" s="6" t="str" cm="1">
        <f t="array" ref="K1678">choice(Professeurs!B:B,1,Settings!$B$16)</f>
        <v>Prof54</v>
      </c>
      <c r="L1678" s="5" t="str" cm="1">
        <f t="array" ref="L1678">choice(Referentiel!C:C,1,Settings!$B$16)</f>
        <v/>
      </c>
      <c r="M1678" s="5" t="str" cm="1">
        <f t="array" ref="M1678">choice(Referentiel!E:E,1,Settings!$B$16)</f>
        <v/>
      </c>
      <c r="N1678" s="5" t="str" cm="1">
        <f t="array" ref="N1678">choice(Settings!K:K,1,Settings!$B$16)</f>
        <v/>
      </c>
      <c r="P1678" s="5">
        <f t="shared" si="108"/>
        <v>1</v>
      </c>
    </row>
    <row r="1679" spans="1:16" ht="15.75" customHeight="1" x14ac:dyDescent="0.25">
      <c r="A1679" s="6" t="s">
        <v>2031</v>
      </c>
      <c r="B1679" s="6" cm="1">
        <f t="array" ref="B1679">alea_int(Settings!$B$10,1,Settings!$B$16)</f>
        <v>2</v>
      </c>
      <c r="C1679" s="8">
        <v>46023</v>
      </c>
      <c r="D1679" s="8">
        <f t="shared" si="105"/>
        <v>46387</v>
      </c>
      <c r="E1679" s="6" t="str" cm="1">
        <f t="array" ref="E1679">choice(Groupes!A:A,1,Settings!$B$16)</f>
        <v>G8</v>
      </c>
      <c r="F1679" s="6" t="str">
        <f t="shared" si="106"/>
        <v>G8</v>
      </c>
      <c r="G1679" s="6" t="str">
        <f t="shared" si="107"/>
        <v>Prof8</v>
      </c>
      <c r="H1679" s="6" t="str" cm="1">
        <f t="array" ref="H1679">choice(Referentiel!A:A,1,Settings!$B$16)</f>
        <v>1ère année Groupe 4</v>
      </c>
      <c r="I1679" s="6" t="str" cm="1">
        <f t="array" ref="I1679">choice(Referentiel!B:B,1,Settings!$B$16)</f>
        <v>3ème année Design Textile et Matière S2</v>
      </c>
      <c r="J1679" s="6" t="str" cm="1">
        <f t="array" ref="J1679">choice(Referentiel!D:D,1,Settings!$B$16)</f>
        <v>L3</v>
      </c>
      <c r="K1679" s="6" t="str" cm="1">
        <f t="array" ref="K1679">choice(Professeurs!B:B,1,Settings!$B$16)</f>
        <v>Prof8</v>
      </c>
      <c r="L1679" s="5" t="str" cm="1">
        <f t="array" ref="L1679">choice(Referentiel!C:C,1,Settings!$B$16)</f>
        <v/>
      </c>
      <c r="M1679" s="5" t="str" cm="1">
        <f t="array" ref="M1679">choice(Referentiel!E:E,1,Settings!$B$16)</f>
        <v/>
      </c>
      <c r="N1679" s="5" t="str" cm="1">
        <f t="array" ref="N1679">choice(Settings!K:K,1,Settings!$B$16)</f>
        <v>mardi am</v>
      </c>
      <c r="P1679" s="5">
        <f t="shared" si="108"/>
        <v>4</v>
      </c>
    </row>
    <row r="1680" spans="1:16" ht="15.75" customHeight="1" x14ac:dyDescent="0.25">
      <c r="A1680" s="6" t="s">
        <v>2032</v>
      </c>
      <c r="B1680" s="6" cm="1">
        <f t="array" ref="B1680">alea_int(Settings!$B$10,1,Settings!$B$16)</f>
        <v>1</v>
      </c>
      <c r="C1680" s="8">
        <v>46023</v>
      </c>
      <c r="D1680" s="8">
        <f t="shared" si="105"/>
        <v>46387</v>
      </c>
      <c r="E1680" s="6" t="str" cm="1">
        <f t="array" ref="E1680">choice(Groupes!A:A,1,Settings!$B$16)</f>
        <v>G25</v>
      </c>
      <c r="F1680" s="6" t="str">
        <f t="shared" si="106"/>
        <v>G25</v>
      </c>
      <c r="G1680" s="6" t="str">
        <f t="shared" si="107"/>
        <v>Prof46</v>
      </c>
      <c r="H1680" s="6" t="str" cm="1">
        <f t="array" ref="H1680">choice(Referentiel!A:A,1,Settings!$B$16)</f>
        <v>1ère année Groupe 4</v>
      </c>
      <c r="I1680" s="6" t="str" cm="1">
        <f t="array" ref="I1680">choice(Referentiel!B:B,1,Settings!$B$16)</f>
        <v>1ère Année Groupe 3 S2</v>
      </c>
      <c r="J1680" s="6" t="str" cm="1">
        <f t="array" ref="J1680">choice(Referentiel!D:D,1,Settings!$B$16)</f>
        <v>L3</v>
      </c>
      <c r="K1680" s="6" t="str" cm="1">
        <f t="array" ref="K1680">choice(Professeurs!B:B,1,Settings!$B$16)</f>
        <v>Prof46</v>
      </c>
      <c r="L1680" s="5" t="str" cm="1">
        <f t="array" ref="L1680">choice(Referentiel!C:C,1,Settings!$B$16)</f>
        <v/>
      </c>
      <c r="M1680" s="5" t="str" cm="1">
        <f t="array" ref="M1680">choice(Referentiel!E:E,1,Settings!$B$16)</f>
        <v/>
      </c>
      <c r="N1680" s="5" t="str" cm="1">
        <f t="array" ref="N1680">choice(Settings!K:K,1,Settings!$B$16)</f>
        <v/>
      </c>
      <c r="P1680" s="5">
        <f t="shared" si="108"/>
        <v>1</v>
      </c>
    </row>
    <row r="1681" spans="1:16" ht="15.75" customHeight="1" x14ac:dyDescent="0.25">
      <c r="A1681" s="6" t="s">
        <v>2033</v>
      </c>
      <c r="B1681" s="6" cm="1">
        <f t="array" ref="B1681">alea_int(Settings!$B$10,1,Settings!$B$16)</f>
        <v>1</v>
      </c>
      <c r="C1681" s="8">
        <v>46023</v>
      </c>
      <c r="D1681" s="8">
        <f t="shared" si="105"/>
        <v>46387</v>
      </c>
      <c r="E1681" s="6" t="str" cm="1">
        <f t="array" ref="E1681">choice(Groupes!A:A,1,Settings!$B$16)</f>
        <v>G27</v>
      </c>
      <c r="F1681" s="6" t="str">
        <f t="shared" si="106"/>
        <v>G27</v>
      </c>
      <c r="G1681" s="6" t="str">
        <f t="shared" si="107"/>
        <v>Prof32</v>
      </c>
      <c r="H1681" s="6" t="str" cm="1">
        <f t="array" ref="H1681">choice(Referentiel!A:A,1,Settings!$B$16)</f>
        <v>Architecture Intérieure</v>
      </c>
      <c r="I1681" s="6" t="str" cm="1">
        <f t="array" ref="I1681">choice(Referentiel!B:B,1,Settings!$B$16)</f>
        <v>3ème année Image Imprimée S2</v>
      </c>
      <c r="J1681" s="6" t="str" cm="1">
        <f t="array" ref="J1681">choice(Referentiel!D:D,1,Settings!$B$16)</f>
        <v>M2</v>
      </c>
      <c r="K1681" s="6" t="str" cm="1">
        <f t="array" ref="K1681">choice(Professeurs!B:B,1,Settings!$B$16)</f>
        <v>Prof32</v>
      </c>
      <c r="L1681" s="5" t="str" cm="1">
        <f t="array" ref="L1681">choice(Referentiel!C:C,1,Settings!$B$16)</f>
        <v/>
      </c>
      <c r="M1681" s="5" t="str" cm="1">
        <f t="array" ref="M1681">choice(Referentiel!E:E,1,Settings!$B$16)</f>
        <v/>
      </c>
      <c r="N1681" s="5" t="str" cm="1">
        <f t="array" ref="N1681">choice(Settings!K:K,1,Settings!$B$16)</f>
        <v/>
      </c>
      <c r="P1681" s="5">
        <f t="shared" si="108"/>
        <v>1</v>
      </c>
    </row>
    <row r="1682" spans="1:16" ht="15.75" customHeight="1" x14ac:dyDescent="0.25">
      <c r="A1682" s="6" t="s">
        <v>2034</v>
      </c>
      <c r="B1682" s="6" cm="1">
        <f t="array" ref="B1682">alea_int(Settings!$B$10,1,Settings!$B$16)</f>
        <v>2</v>
      </c>
      <c r="C1682" s="8">
        <v>46023</v>
      </c>
      <c r="D1682" s="8">
        <f t="shared" si="105"/>
        <v>46387</v>
      </c>
      <c r="E1682" s="6" t="str" cm="1">
        <f t="array" ref="E1682">choice(Groupes!A:A,1,Settings!$B$16)</f>
        <v>G25</v>
      </c>
      <c r="F1682" s="6" t="str">
        <f t="shared" si="106"/>
        <v>G25</v>
      </c>
      <c r="G1682" s="6" t="str">
        <f t="shared" si="107"/>
        <v>Prof6</v>
      </c>
      <c r="H1682" s="6" t="str" cm="1">
        <f t="array" ref="H1682">choice(Referentiel!A:A,1,Settings!$B$16)</f>
        <v>Gr ART, DESIGN, SOCIETE</v>
      </c>
      <c r="I1682" s="6" t="str" cm="1">
        <f t="array" ref="I1682">choice(Referentiel!B:B,1,Settings!$B$16)</f>
        <v>5ème année Cinéma d'Animation S1</v>
      </c>
      <c r="J1682" s="6" t="str" cm="1">
        <f t="array" ref="J1682">choice(Referentiel!D:D,1,Settings!$B$16)</f>
        <v>L3</v>
      </c>
      <c r="K1682" s="6" t="str" cm="1">
        <f t="array" ref="K1682">choice(Professeurs!B:B,1,Settings!$B$16)</f>
        <v>Prof6</v>
      </c>
      <c r="L1682" s="5" t="str" cm="1">
        <f t="array" ref="L1682">choice(Referentiel!C:C,1,Settings!$B$16)</f>
        <v/>
      </c>
      <c r="M1682" s="5" t="str" cm="1">
        <f t="array" ref="M1682">choice(Referentiel!E:E,1,Settings!$B$16)</f>
        <v>Salle5</v>
      </c>
      <c r="N1682" s="5" t="str" cm="1">
        <f t="array" ref="N1682">choice(Settings!K:K,1,Settings!$B$16)</f>
        <v/>
      </c>
      <c r="P1682" s="5">
        <f t="shared" si="108"/>
        <v>4</v>
      </c>
    </row>
    <row r="1683" spans="1:16" ht="15.75" customHeight="1" x14ac:dyDescent="0.25">
      <c r="A1683" s="6" t="s">
        <v>2035</v>
      </c>
      <c r="B1683" s="6" cm="1">
        <f t="array" ref="B1683">alea_int(Settings!$B$10,1,Settings!$B$16)</f>
        <v>2</v>
      </c>
      <c r="C1683" s="8">
        <v>46023</v>
      </c>
      <c r="D1683" s="8">
        <f t="shared" si="105"/>
        <v>46387</v>
      </c>
      <c r="E1683" s="6" t="str" cm="1">
        <f t="array" ref="E1683">choice(Groupes!A:A,1,Settings!$B$16)</f>
        <v>G12</v>
      </c>
      <c r="F1683" s="6" t="str">
        <f t="shared" si="106"/>
        <v>G12</v>
      </c>
      <c r="G1683" s="6" t="str">
        <f t="shared" si="107"/>
        <v>Prof44</v>
      </c>
      <c r="H1683" s="6" t="str" cm="1">
        <f t="array" ref="H1683">choice(Referentiel!A:A,1,Settings!$B$16)</f>
        <v>Gr SYMBIOSE</v>
      </c>
      <c r="I1683" s="6" t="str" cm="1">
        <f t="array" ref="I1683">choice(Referentiel!B:B,1,Settings!$B$16)</f>
        <v>4ème année Design Textile et Matière S1</v>
      </c>
      <c r="J1683" s="6" t="str" cm="1">
        <f t="array" ref="J1683">choice(Referentiel!D:D,1,Settings!$B$16)</f>
        <v>M2</v>
      </c>
      <c r="K1683" s="6" t="str" cm="1">
        <f t="array" ref="K1683">choice(Professeurs!B:B,1,Settings!$B$16)</f>
        <v>Prof44</v>
      </c>
      <c r="L1683" s="5" t="str" cm="1">
        <f t="array" ref="L1683">choice(Referentiel!C:C,1,Settings!$B$16)</f>
        <v/>
      </c>
      <c r="M1683" s="5" t="str" cm="1">
        <f t="array" ref="M1683">choice(Referentiel!E:E,1,Settings!$B$16)</f>
        <v/>
      </c>
      <c r="N1683" s="5" t="str" cm="1">
        <f t="array" ref="N1683">choice(Settings!K:K,1,Settings!$B$16)</f>
        <v/>
      </c>
      <c r="P1683" s="5">
        <f t="shared" si="108"/>
        <v>2</v>
      </c>
    </row>
    <row r="1684" spans="1:16" ht="15.75" customHeight="1" x14ac:dyDescent="0.25">
      <c r="A1684" s="6" t="s">
        <v>2036</v>
      </c>
      <c r="B1684" s="6" cm="1">
        <f t="array" ref="B1684">alea_int(Settings!$B$10,1,Settings!$B$16)</f>
        <v>2</v>
      </c>
      <c r="C1684" s="8">
        <v>46023</v>
      </c>
      <c r="D1684" s="8">
        <f t="shared" si="105"/>
        <v>46387</v>
      </c>
      <c r="E1684" s="6" t="str" cm="1">
        <f t="array" ref="E1684">choice(Groupes!A:A,1,Settings!$B$16)</f>
        <v>G5</v>
      </c>
      <c r="F1684" s="6" t="str">
        <f t="shared" si="106"/>
        <v>G5</v>
      </c>
      <c r="G1684" s="6" t="str">
        <f t="shared" si="107"/>
        <v>Prof31</v>
      </c>
      <c r="H1684" s="6" t="str" cm="1">
        <f t="array" ref="H1684">choice(Referentiel!A:A,1,Settings!$B$16)</f>
        <v>Design des mondes montagneux</v>
      </c>
      <c r="I1684" s="6" t="str" cm="1">
        <f t="array" ref="I1684">choice(Referentiel!B:B,1,Settings!$B$16)</f>
        <v>3ème année Photo / Vidéo S2</v>
      </c>
      <c r="J1684" s="6" t="str" cm="1">
        <f t="array" ref="J1684">choice(Referentiel!D:D,1,Settings!$B$16)</f>
        <v>M2</v>
      </c>
      <c r="K1684" s="6" t="str" cm="1">
        <f t="array" ref="K1684">choice(Professeurs!B:B,1,Settings!$B$16)</f>
        <v>Prof31</v>
      </c>
      <c r="L1684" s="5" t="str" cm="1">
        <f t="array" ref="L1684">choice(Referentiel!C:C,1,Settings!$B$16)</f>
        <v/>
      </c>
      <c r="M1684" s="5" t="str" cm="1">
        <f t="array" ref="M1684">choice(Referentiel!E:E,1,Settings!$B$16)</f>
        <v/>
      </c>
      <c r="N1684" s="5" t="str" cm="1">
        <f t="array" ref="N1684">choice(Settings!K:K,1,Settings!$B$16)</f>
        <v>semaine</v>
      </c>
      <c r="P1684" s="5">
        <f t="shared" si="108"/>
        <v>4</v>
      </c>
    </row>
    <row r="1685" spans="1:16" ht="15.75" customHeight="1" x14ac:dyDescent="0.25">
      <c r="A1685" s="6" t="s">
        <v>2037</v>
      </c>
      <c r="B1685" s="6" cm="1">
        <f t="array" ref="B1685">alea_int(Settings!$B$10,1,Settings!$B$16)</f>
        <v>3</v>
      </c>
      <c r="C1685" s="8">
        <v>46023</v>
      </c>
      <c r="D1685" s="8">
        <f t="shared" si="105"/>
        <v>46387</v>
      </c>
      <c r="E1685" s="6" t="str" cm="1">
        <f t="array" ref="E1685">choice(Groupes!A:A,1,Settings!$B$16)</f>
        <v>G1</v>
      </c>
      <c r="F1685" s="6" t="str">
        <f t="shared" si="106"/>
        <v>G1</v>
      </c>
      <c r="G1685" s="6" t="str">
        <f t="shared" si="107"/>
        <v>Prof34</v>
      </c>
      <c r="H1685" s="6" t="str" cm="1">
        <f t="array" ref="H1685">choice(Referentiel!A:A,1,Settings!$B$16)</f>
        <v>Design des mondes littoraux</v>
      </c>
      <c r="I1685" s="6" t="str" cm="1">
        <f t="array" ref="I1685">choice(Referentiel!B:B,1,Settings!$B$16)</f>
        <v>3ème année Design Objet S1</v>
      </c>
      <c r="J1685" s="6" t="str" cm="1">
        <f t="array" ref="J1685">choice(Referentiel!D:D,1,Settings!$B$16)</f>
        <v>M2</v>
      </c>
      <c r="K1685" s="6" t="str" cm="1">
        <f t="array" ref="K1685">choice(Professeurs!B:B,1,Settings!$B$16)</f>
        <v>Prof34</v>
      </c>
      <c r="L1685" s="5" t="str" cm="1">
        <f t="array" ref="L1685">choice(Referentiel!C:C,1,Settings!$B$16)</f>
        <v/>
      </c>
      <c r="M1685" s="5" t="str" cm="1">
        <f t="array" ref="M1685">choice(Referentiel!E:E,1,Settings!$B$16)</f>
        <v/>
      </c>
      <c r="N1685" s="5" t="str" cm="1">
        <f t="array" ref="N1685">choice(Settings!K:K,1,Settings!$B$16)</f>
        <v>lundi am</v>
      </c>
      <c r="P1685" s="5">
        <f t="shared" si="108"/>
        <v>5</v>
      </c>
    </row>
    <row r="1686" spans="1:16" ht="15.75" customHeight="1" x14ac:dyDescent="0.25">
      <c r="A1686" s="6" t="s">
        <v>2038</v>
      </c>
      <c r="B1686" s="6" cm="1">
        <f t="array" ref="B1686">alea_int(Settings!$B$10,1,Settings!$B$16)</f>
        <v>2</v>
      </c>
      <c r="C1686" s="8">
        <v>46023</v>
      </c>
      <c r="D1686" s="8">
        <f t="shared" si="105"/>
        <v>46387</v>
      </c>
      <c r="E1686" s="6" t="str" cm="1">
        <f t="array" ref="E1686">choice(Groupes!A:A,1,Settings!$B$16)</f>
        <v>G23</v>
      </c>
      <c r="F1686" s="6" t="str">
        <f t="shared" si="106"/>
        <v>G23</v>
      </c>
      <c r="G1686" s="6" t="str">
        <f t="shared" si="107"/>
        <v>Prof55</v>
      </c>
      <c r="H1686" s="6" t="str" cm="1">
        <f t="array" ref="H1686">choice(Referentiel!A:A,1,Settings!$B$16)</f>
        <v>Design des mondes forestiers</v>
      </c>
      <c r="I1686" s="6" t="str" cm="1">
        <f t="array" ref="I1686">choice(Referentiel!B:B,1,Settings!$B$16)</f>
        <v>3ème année Photo / Vidéo S2</v>
      </c>
      <c r="J1686" s="6" t="str" cm="1">
        <f t="array" ref="J1686">choice(Referentiel!D:D,1,Settings!$B$16)</f>
        <v>L2</v>
      </c>
      <c r="K1686" s="6" t="str" cm="1">
        <f t="array" ref="K1686">choice(Professeurs!B:B,1,Settings!$B$16)</f>
        <v>Prof55</v>
      </c>
      <c r="L1686" s="5" t="str" cm="1">
        <f t="array" ref="L1686">choice(Referentiel!C:C,1,Settings!$B$16)</f>
        <v/>
      </c>
      <c r="M1686" s="5" t="str" cm="1">
        <f t="array" ref="M1686">choice(Referentiel!E:E,1,Settings!$B$16)</f>
        <v/>
      </c>
      <c r="N1686" s="5" t="str" cm="1">
        <f t="array" ref="N1686">choice(Settings!K:K,1,Settings!$B$16)</f>
        <v/>
      </c>
      <c r="P1686" s="5">
        <f t="shared" si="108"/>
        <v>2</v>
      </c>
    </row>
    <row r="1687" spans="1:16" ht="15.75" customHeight="1" x14ac:dyDescent="0.25">
      <c r="A1687" s="6" t="s">
        <v>2039</v>
      </c>
      <c r="B1687" s="6" cm="1">
        <f t="array" ref="B1687">alea_int(Settings!$B$10,1,Settings!$B$16)</f>
        <v>3</v>
      </c>
      <c r="C1687" s="8">
        <v>46023</v>
      </c>
      <c r="D1687" s="8">
        <f t="shared" si="105"/>
        <v>46387</v>
      </c>
      <c r="E1687" s="6" t="str" cm="1">
        <f t="array" ref="E1687">choice(Groupes!A:A,1,Settings!$B$16)</f>
        <v>G3</v>
      </c>
      <c r="F1687" s="6" t="str">
        <f t="shared" si="106"/>
        <v>G3</v>
      </c>
      <c r="G1687" s="6" t="str">
        <f t="shared" si="107"/>
        <v>Prof28</v>
      </c>
      <c r="H1687" s="6" t="str" cm="1">
        <f t="array" ref="H1687">choice(Referentiel!A:A,1,Settings!$B$16)</f>
        <v>Design Vêtement</v>
      </c>
      <c r="I1687" s="6" t="str" cm="1">
        <f t="array" ref="I1687">choice(Referentiel!B:B,1,Settings!$B$16)</f>
        <v>3ème année Art-Espace S2</v>
      </c>
      <c r="J1687" s="6" t="str" cm="1">
        <f t="array" ref="J1687">choice(Referentiel!D:D,1,Settings!$B$16)</f>
        <v>L1</v>
      </c>
      <c r="K1687" s="6" t="str" cm="1">
        <f t="array" ref="K1687">choice(Professeurs!B:B,1,Settings!$B$16)</f>
        <v>Prof28</v>
      </c>
      <c r="L1687" s="5" t="str" cm="1">
        <f t="array" ref="L1687">choice(Referentiel!C:C,1,Settings!$B$16)</f>
        <v/>
      </c>
      <c r="M1687" s="5" t="str" cm="1">
        <f t="array" ref="M1687">choice(Referentiel!E:E,1,Settings!$B$16)</f>
        <v/>
      </c>
      <c r="N1687" s="5" t="str" cm="1">
        <f t="array" ref="N1687">choice(Settings!K:K,1,Settings!$B$16)</f>
        <v/>
      </c>
      <c r="P1687" s="5">
        <f t="shared" si="108"/>
        <v>3</v>
      </c>
    </row>
    <row r="1688" spans="1:16" ht="15.75" customHeight="1" x14ac:dyDescent="0.25">
      <c r="A1688" s="6" t="s">
        <v>2040</v>
      </c>
      <c r="B1688" s="6" cm="1">
        <f t="array" ref="B1688">alea_int(Settings!$B$10,1,Settings!$B$16)</f>
        <v>1</v>
      </c>
      <c r="C1688" s="8">
        <v>46023</v>
      </c>
      <c r="D1688" s="8">
        <f t="shared" si="105"/>
        <v>46387</v>
      </c>
      <c r="E1688" s="6" t="str" cm="1">
        <f t="array" ref="E1688">choice(Groupes!A:A,1,Settings!$B$16)</f>
        <v>G14</v>
      </c>
      <c r="F1688" s="6" t="str">
        <f t="shared" si="106"/>
        <v>G14</v>
      </c>
      <c r="G1688" s="6" t="str">
        <f t="shared" si="107"/>
        <v>Prof54</v>
      </c>
      <c r="H1688" s="6" t="str" cm="1">
        <f t="array" ref="H1688">choice(Referentiel!A:A,1,Settings!$B$16)</f>
        <v>Design Graphique</v>
      </c>
      <c r="I1688" s="6" t="str" cm="1">
        <f t="array" ref="I1688">choice(Referentiel!B:B,1,Settings!$B$16)</f>
        <v>5ème année Art-Espace S2</v>
      </c>
      <c r="J1688" s="6" t="str" cm="1">
        <f t="array" ref="J1688">choice(Referentiel!D:D,1,Settings!$B$16)</f>
        <v>M1</v>
      </c>
      <c r="K1688" s="6" t="str" cm="1">
        <f t="array" ref="K1688">choice(Professeurs!B:B,1,Settings!$B$16)</f>
        <v>Prof54</v>
      </c>
      <c r="L1688" s="5" t="str" cm="1">
        <f t="array" ref="L1688">choice(Referentiel!C:C,1,Settings!$B$16)</f>
        <v/>
      </c>
      <c r="M1688" s="5" t="str" cm="1">
        <f t="array" ref="M1688">choice(Referentiel!E:E,1,Settings!$B$16)</f>
        <v/>
      </c>
      <c r="N1688" s="5" t="str" cm="1">
        <f t="array" ref="N1688">choice(Settings!K:K,1,Settings!$B$16)</f>
        <v/>
      </c>
      <c r="P1688" s="5">
        <f t="shared" si="108"/>
        <v>1</v>
      </c>
    </row>
    <row r="1689" spans="1:16" ht="15.75" customHeight="1" x14ac:dyDescent="0.25">
      <c r="A1689" s="6" t="s">
        <v>2041</v>
      </c>
      <c r="B1689" s="6" cm="1">
        <f t="array" ref="B1689">alea_int(Settings!$B$10,1,Settings!$B$16)</f>
        <v>2</v>
      </c>
      <c r="C1689" s="8">
        <v>46023</v>
      </c>
      <c r="D1689" s="8">
        <f t="shared" si="105"/>
        <v>46387</v>
      </c>
      <c r="E1689" s="6" t="str" cm="1">
        <f t="array" ref="E1689">choice(Groupes!A:A,1,Settings!$B$16)</f>
        <v>G9</v>
      </c>
      <c r="F1689" s="6" t="str">
        <f t="shared" si="106"/>
        <v>G9</v>
      </c>
      <c r="G1689" s="6" t="str">
        <f t="shared" si="107"/>
        <v>Prof26</v>
      </c>
      <c r="H1689" s="6" t="str" cm="1">
        <f t="array" ref="H1689">choice(Referentiel!A:A,1,Settings!$B$16)</f>
        <v>Design Vêtement</v>
      </c>
      <c r="I1689" s="6" t="str" cm="1">
        <f t="array" ref="I1689">choice(Referentiel!B:B,1,Settings!$B$16)</f>
        <v>1ère Année Groupe 4 S1</v>
      </c>
      <c r="J1689" s="6" t="str" cm="1">
        <f t="array" ref="J1689">choice(Referentiel!D:D,1,Settings!$B$16)</f>
        <v>L1</v>
      </c>
      <c r="K1689" s="6" t="str" cm="1">
        <f t="array" ref="K1689">choice(Professeurs!B:B,1,Settings!$B$16)</f>
        <v>Prof26</v>
      </c>
      <c r="L1689" s="5" t="str" cm="1">
        <f t="array" ref="L1689">choice(Referentiel!C:C,1,Settings!$B$16)</f>
        <v/>
      </c>
      <c r="M1689" s="5" t="str" cm="1">
        <f t="array" ref="M1689">choice(Referentiel!E:E,1,Settings!$B$16)</f>
        <v/>
      </c>
      <c r="N1689" s="5" t="str" cm="1">
        <f t="array" ref="N1689">choice(Settings!K:K,1,Settings!$B$16)</f>
        <v/>
      </c>
      <c r="P1689" s="5">
        <f t="shared" si="108"/>
        <v>2</v>
      </c>
    </row>
    <row r="1690" spans="1:16" ht="15.75" customHeight="1" x14ac:dyDescent="0.25">
      <c r="A1690" s="6" t="s">
        <v>2042</v>
      </c>
      <c r="B1690" s="6" cm="1">
        <f t="array" ref="B1690">alea_int(Settings!$B$10,1,Settings!$B$16)</f>
        <v>1</v>
      </c>
      <c r="C1690" s="8">
        <v>46023</v>
      </c>
      <c r="D1690" s="8">
        <f t="shared" si="105"/>
        <v>46387</v>
      </c>
      <c r="E1690" s="6" t="str" cm="1">
        <f t="array" ref="E1690">choice(Groupes!A:A,1,Settings!$B$16)</f>
        <v>G17</v>
      </c>
      <c r="F1690" s="6" t="str">
        <f t="shared" si="106"/>
        <v>G17</v>
      </c>
      <c r="G1690" s="6" t="str">
        <f t="shared" si="107"/>
        <v>Prof34</v>
      </c>
      <c r="H1690" s="6" t="str" cm="1">
        <f t="array" ref="H1690">choice(Referentiel!A:A,1,Settings!$B$16)</f>
        <v>Architecture Intérieure</v>
      </c>
      <c r="I1690" s="6" t="str" cm="1">
        <f t="array" ref="I1690">choice(Referentiel!B:B,1,Settings!$B$16)</f>
        <v>3ème année Architecture Intérieure S1</v>
      </c>
      <c r="J1690" s="6" t="str" cm="1">
        <f t="array" ref="J1690">choice(Referentiel!D:D,1,Settings!$B$16)</f>
        <v>L1</v>
      </c>
      <c r="K1690" s="6" t="str" cm="1">
        <f t="array" ref="K1690">choice(Professeurs!B:B,1,Settings!$B$16)</f>
        <v>Prof34</v>
      </c>
      <c r="L1690" s="5" t="str" cm="1">
        <f t="array" ref="L1690">choice(Referentiel!C:C,1,Settings!$B$16)</f>
        <v/>
      </c>
      <c r="M1690" s="5" t="str" cm="1">
        <f t="array" ref="M1690">choice(Referentiel!E:E,1,Settings!$B$16)</f>
        <v/>
      </c>
      <c r="N1690" s="5" t="str" cm="1">
        <f t="array" ref="N1690">choice(Settings!K:K,1,Settings!$B$16)</f>
        <v/>
      </c>
      <c r="P1690" s="5">
        <f t="shared" si="108"/>
        <v>1</v>
      </c>
    </row>
    <row r="1691" spans="1:16" ht="15.75" customHeight="1" x14ac:dyDescent="0.25">
      <c r="A1691" s="6" t="s">
        <v>2043</v>
      </c>
      <c r="B1691" s="6" cm="1">
        <f t="array" ref="B1691">alea_int(Settings!$B$10,1,Settings!$B$16)</f>
        <v>1</v>
      </c>
      <c r="C1691" s="8">
        <v>46023</v>
      </c>
      <c r="D1691" s="8">
        <f t="shared" si="105"/>
        <v>46387</v>
      </c>
      <c r="E1691" s="6" t="str" cm="1">
        <f t="array" ref="E1691">choice(Groupes!A:A,1,Settings!$B$16)</f>
        <v>G12</v>
      </c>
      <c r="F1691" s="6" t="str">
        <f t="shared" si="106"/>
        <v>G12</v>
      </c>
      <c r="G1691" s="6" t="str">
        <f t="shared" si="107"/>
        <v>Prof49</v>
      </c>
      <c r="H1691" s="6" t="str" cm="1">
        <f t="array" ref="H1691">choice(Referentiel!A:A,1,Settings!$B$16)</f>
        <v>Gr SYMBIOSE</v>
      </c>
      <c r="I1691" s="6" t="str" cm="1">
        <f t="array" ref="I1691">choice(Referentiel!B:B,1,Settings!$B$16)</f>
        <v>4ème année Architecture Intérieure S1</v>
      </c>
      <c r="J1691" s="6" t="str" cm="1">
        <f t="array" ref="J1691">choice(Referentiel!D:D,1,Settings!$B$16)</f>
        <v>M1</v>
      </c>
      <c r="K1691" s="6" t="str" cm="1">
        <f t="array" ref="K1691">choice(Professeurs!B:B,1,Settings!$B$16)</f>
        <v>Prof49</v>
      </c>
      <c r="L1691" s="5" t="str" cm="1">
        <f t="array" ref="L1691">choice(Referentiel!C:C,1,Settings!$B$16)</f>
        <v/>
      </c>
      <c r="M1691" s="5" t="str" cm="1">
        <f t="array" ref="M1691">choice(Referentiel!E:E,1,Settings!$B$16)</f>
        <v/>
      </c>
      <c r="N1691" s="5" t="str" cm="1">
        <f t="array" ref="N1691">choice(Settings!K:K,1,Settings!$B$16)</f>
        <v>vendredi am</v>
      </c>
      <c r="P1691" s="5">
        <f t="shared" si="108"/>
        <v>3</v>
      </c>
    </row>
    <row r="1692" spans="1:16" ht="15.75" customHeight="1" x14ac:dyDescent="0.25">
      <c r="A1692" s="6" t="s">
        <v>2044</v>
      </c>
      <c r="B1692" s="6" cm="1">
        <f t="array" ref="B1692">alea_int(Settings!$B$10,1,Settings!$B$16)</f>
        <v>3</v>
      </c>
      <c r="C1692" s="8">
        <v>46023</v>
      </c>
      <c r="D1692" s="8">
        <f t="shared" si="105"/>
        <v>46387</v>
      </c>
      <c r="E1692" s="6" t="str" cm="1">
        <f t="array" ref="E1692">choice(Groupes!A:A,1,Settings!$B$16)</f>
        <v>G10</v>
      </c>
      <c r="F1692" s="6" t="str">
        <f t="shared" si="106"/>
        <v>G10</v>
      </c>
      <c r="G1692" s="6" t="str">
        <f t="shared" si="107"/>
        <v>Prof41</v>
      </c>
      <c r="H1692" s="6" t="str" cm="1">
        <f t="array" ref="H1692">choice(Referentiel!A:A,1,Settings!$B$16)</f>
        <v>Design des mondes ruraux</v>
      </c>
      <c r="I1692" s="6" t="str" cm="1">
        <f t="array" ref="I1692">choice(Referentiel!B:B,1,Settings!$B$16)</f>
        <v>4ème année Architecture Intérieure S2</v>
      </c>
      <c r="J1692" s="6" t="str" cm="1">
        <f t="array" ref="J1692">choice(Referentiel!D:D,1,Settings!$B$16)</f>
        <v>L3</v>
      </c>
      <c r="K1692" s="6" t="str" cm="1">
        <f t="array" ref="K1692">choice(Professeurs!B:B,1,Settings!$B$16)</f>
        <v>Prof41</v>
      </c>
      <c r="L1692" s="5" t="str" cm="1">
        <f t="array" ref="L1692">choice(Referentiel!C:C,1,Settings!$B$16)</f>
        <v/>
      </c>
      <c r="M1692" s="5" t="str" cm="1">
        <f t="array" ref="M1692">choice(Referentiel!E:E,1,Settings!$B$16)</f>
        <v/>
      </c>
      <c r="N1692" s="5" t="str" cm="1">
        <f t="array" ref="N1692">choice(Settings!K:K,1,Settings!$B$16)</f>
        <v/>
      </c>
      <c r="P1692" s="5">
        <f t="shared" si="108"/>
        <v>3</v>
      </c>
    </row>
    <row r="1693" spans="1:16" ht="15.75" customHeight="1" x14ac:dyDescent="0.25">
      <c r="A1693" s="6" t="s">
        <v>2045</v>
      </c>
      <c r="B1693" s="6" cm="1">
        <f t="array" ref="B1693">alea_int(Settings!$B$10,1,Settings!$B$16)</f>
        <v>1</v>
      </c>
      <c r="C1693" s="8">
        <v>46023</v>
      </c>
      <c r="D1693" s="8">
        <f t="shared" si="105"/>
        <v>46387</v>
      </c>
      <c r="E1693" s="6" t="str" cm="1">
        <f t="array" ref="E1693">choice(Groupes!A:A,1,Settings!$B$16)</f>
        <v>G9</v>
      </c>
      <c r="F1693" s="6" t="str">
        <f t="shared" si="106"/>
        <v>G9</v>
      </c>
      <c r="G1693" s="6" t="str">
        <f t="shared" si="107"/>
        <v>Prof21</v>
      </c>
      <c r="H1693" s="6" t="str" cm="1">
        <f t="array" ref="H1693">choice(Referentiel!A:A,1,Settings!$B$16)</f>
        <v>Gr TERRITOIRES</v>
      </c>
      <c r="I1693" s="6" t="str" cm="1">
        <f t="array" ref="I1693">choice(Referentiel!B:B,1,Settings!$B$16)</f>
        <v>5ème année Scénographie S1</v>
      </c>
      <c r="J1693" s="6" t="str" cm="1">
        <f t="array" ref="J1693">choice(Referentiel!D:D,1,Settings!$B$16)</f>
        <v>M1</v>
      </c>
      <c r="K1693" s="6" t="str" cm="1">
        <f t="array" ref="K1693">choice(Professeurs!B:B,1,Settings!$B$16)</f>
        <v>Prof21</v>
      </c>
      <c r="L1693" s="5" t="str" cm="1">
        <f t="array" ref="L1693">choice(Referentiel!C:C,1,Settings!$B$16)</f>
        <v/>
      </c>
      <c r="M1693" s="5" t="str" cm="1">
        <f t="array" ref="M1693">choice(Referentiel!E:E,1,Settings!$B$16)</f>
        <v/>
      </c>
      <c r="N1693" s="5" t="str" cm="1">
        <f t="array" ref="N1693">choice(Settings!K:K,1,Settings!$B$16)</f>
        <v>vendredi pm</v>
      </c>
      <c r="P1693" s="5">
        <f t="shared" si="108"/>
        <v>3</v>
      </c>
    </row>
    <row r="1694" spans="1:16" ht="15.75" customHeight="1" x14ac:dyDescent="0.25">
      <c r="A1694" s="6" t="s">
        <v>2046</v>
      </c>
      <c r="B1694" s="6" cm="1">
        <f t="array" ref="B1694">alea_int(Settings!$B$10,1,Settings!$B$16)</f>
        <v>1</v>
      </c>
      <c r="C1694" s="8">
        <v>46023</v>
      </c>
      <c r="D1694" s="8">
        <f t="shared" si="105"/>
        <v>46387</v>
      </c>
      <c r="E1694" s="6" t="str" cm="1">
        <f t="array" ref="E1694">choice(Groupes!A:A,1,Settings!$B$16)</f>
        <v>G21</v>
      </c>
      <c r="F1694" s="6" t="str">
        <f t="shared" si="106"/>
        <v>G21</v>
      </c>
      <c r="G1694" s="6" t="str">
        <f t="shared" si="107"/>
        <v>Prof26</v>
      </c>
      <c r="H1694" s="6" t="str" cm="1">
        <f t="array" ref="H1694">choice(Referentiel!A:A,1,Settings!$B$16)</f>
        <v>Design Objet</v>
      </c>
      <c r="I1694" s="6" t="str" cm="1">
        <f t="array" ref="I1694">choice(Referentiel!B:B,1,Settings!$B$16)</f>
        <v>1ère Année Groupe 3 S2</v>
      </c>
      <c r="J1694" s="6" t="str" cm="1">
        <f t="array" ref="J1694">choice(Referentiel!D:D,1,Settings!$B$16)</f>
        <v>L1</v>
      </c>
      <c r="K1694" s="6" t="str" cm="1">
        <f t="array" ref="K1694">choice(Professeurs!B:B,1,Settings!$B$16)</f>
        <v>Prof26</v>
      </c>
      <c r="L1694" s="5" t="str" cm="1">
        <f t="array" ref="L1694">choice(Referentiel!C:C,1,Settings!$B$16)</f>
        <v/>
      </c>
      <c r="M1694" s="5" t="str" cm="1">
        <f t="array" ref="M1694">choice(Referentiel!E:E,1,Settings!$B$16)</f>
        <v/>
      </c>
      <c r="N1694" s="5" t="str" cm="1">
        <f t="array" ref="N1694">choice(Settings!K:K,1,Settings!$B$16)</f>
        <v/>
      </c>
      <c r="P1694" s="5">
        <f t="shared" si="108"/>
        <v>1</v>
      </c>
    </row>
    <row r="1695" spans="1:16" ht="15.75" customHeight="1" x14ac:dyDescent="0.25">
      <c r="A1695" s="6" t="s">
        <v>2047</v>
      </c>
      <c r="B1695" s="6" cm="1">
        <f t="array" ref="B1695">alea_int(Settings!$B$10,1,Settings!$B$16)</f>
        <v>3</v>
      </c>
      <c r="C1695" s="8">
        <v>46023</v>
      </c>
      <c r="D1695" s="8">
        <f t="shared" si="105"/>
        <v>46387</v>
      </c>
      <c r="E1695" s="6" t="str" cm="1">
        <f t="array" ref="E1695">choice(Groupes!A:A,1,Settings!$B$16)</f>
        <v>G21</v>
      </c>
      <c r="F1695" s="6" t="str">
        <f t="shared" si="106"/>
        <v>G21</v>
      </c>
      <c r="G1695" s="6" t="str">
        <f t="shared" si="107"/>
        <v>Prof4</v>
      </c>
      <c r="H1695" s="6" t="str" cm="1">
        <f t="array" ref="H1695">choice(Referentiel!A:A,1,Settings!$B$16)</f>
        <v>Cinéma d'Animation</v>
      </c>
      <c r="I1695" s="6" t="str" cm="1">
        <f t="array" ref="I1695">choice(Referentiel!B:B,1,Settings!$B$16)</f>
        <v>4ème année Image Imprimée S1</v>
      </c>
      <c r="J1695" s="6" t="str" cm="1">
        <f t="array" ref="J1695">choice(Referentiel!D:D,1,Settings!$B$16)</f>
        <v>L2</v>
      </c>
      <c r="K1695" s="6" t="str" cm="1">
        <f t="array" ref="K1695">choice(Professeurs!B:B,1,Settings!$B$16)</f>
        <v>Prof4</v>
      </c>
      <c r="L1695" s="5" t="str" cm="1">
        <f t="array" ref="L1695">choice(Referentiel!C:C,1,Settings!$B$16)</f>
        <v>projecteur</v>
      </c>
      <c r="M1695" s="5" t="str" cm="1">
        <f t="array" ref="M1695">choice(Referentiel!E:E,1,Settings!$B$16)</f>
        <v/>
      </c>
      <c r="N1695" s="5" t="str" cm="1">
        <f t="array" ref="N1695">choice(Settings!K:K,1,Settings!$B$16)</f>
        <v/>
      </c>
      <c r="P1695" s="5">
        <f t="shared" si="108"/>
        <v>3</v>
      </c>
    </row>
    <row r="1696" spans="1:16" ht="15.75" customHeight="1" x14ac:dyDescent="0.25">
      <c r="A1696" s="6" t="s">
        <v>2048</v>
      </c>
      <c r="B1696" s="6" cm="1">
        <f t="array" ref="B1696">alea_int(Settings!$B$10,1,Settings!$B$16)</f>
        <v>3</v>
      </c>
      <c r="C1696" s="8">
        <v>46023</v>
      </c>
      <c r="D1696" s="8">
        <f t="shared" si="105"/>
        <v>46387</v>
      </c>
      <c r="E1696" s="6" t="str" cm="1">
        <f t="array" ref="E1696">choice(Groupes!A:A,1,Settings!$B$16)</f>
        <v>G9</v>
      </c>
      <c r="F1696" s="6" t="str">
        <f t="shared" si="106"/>
        <v>G9</v>
      </c>
      <c r="G1696" s="6" t="str">
        <f t="shared" si="107"/>
        <v>Prof14</v>
      </c>
      <c r="H1696" s="6" t="str" cm="1">
        <f t="array" ref="H1696">choice(Referentiel!A:A,1,Settings!$B$16)</f>
        <v>Design des mondes ruraux</v>
      </c>
      <c r="I1696" s="6" t="str" cm="1">
        <f t="array" ref="I1696">choice(Referentiel!B:B,1,Settings!$B$16)</f>
        <v>3ème année Art-Espace S2</v>
      </c>
      <c r="J1696" s="6" t="str" cm="1">
        <f t="array" ref="J1696">choice(Referentiel!D:D,1,Settings!$B$16)</f>
        <v>M1</v>
      </c>
      <c r="K1696" s="6" t="str" cm="1">
        <f t="array" ref="K1696">choice(Professeurs!B:B,1,Settings!$B$16)</f>
        <v>Prof14</v>
      </c>
      <c r="L1696" s="5" t="str" cm="1">
        <f t="array" ref="L1696">choice(Referentiel!C:C,1,Settings!$B$16)</f>
        <v/>
      </c>
      <c r="M1696" s="5" t="str" cm="1">
        <f t="array" ref="M1696">choice(Referentiel!E:E,1,Settings!$B$16)</f>
        <v>Salle8</v>
      </c>
      <c r="N1696" s="5" t="str" cm="1">
        <f t="array" ref="N1696">choice(Settings!K:K,1,Settings!$B$16)</f>
        <v>semaine</v>
      </c>
      <c r="P1696" s="5">
        <f t="shared" si="108"/>
        <v>7</v>
      </c>
    </row>
    <row r="1697" spans="1:16" ht="15.75" customHeight="1" x14ac:dyDescent="0.25">
      <c r="A1697" s="6" t="s">
        <v>2049</v>
      </c>
      <c r="B1697" s="6" cm="1">
        <f t="array" ref="B1697">alea_int(Settings!$B$10,1,Settings!$B$16)</f>
        <v>1</v>
      </c>
      <c r="C1697" s="8">
        <v>46023</v>
      </c>
      <c r="D1697" s="8">
        <f t="shared" si="105"/>
        <v>46387</v>
      </c>
      <c r="E1697" s="6" t="str" cm="1">
        <f t="array" ref="E1697">choice(Groupes!A:A,1,Settings!$B$16)</f>
        <v>G9</v>
      </c>
      <c r="F1697" s="6" t="str">
        <f t="shared" si="106"/>
        <v>G9</v>
      </c>
      <c r="G1697" s="6" t="str">
        <f t="shared" si="107"/>
        <v>Prof48</v>
      </c>
      <c r="H1697" s="6" t="str" cm="1">
        <f t="array" ref="H1697">choice(Referentiel!A:A,1,Settings!$B$16)</f>
        <v>1ère année Groupe 4</v>
      </c>
      <c r="I1697" s="6" t="str" cm="1">
        <f t="array" ref="I1697">choice(Referentiel!B:B,1,Settings!$B$16)</f>
        <v>5ème année Image Imprimée S2</v>
      </c>
      <c r="J1697" s="6" t="str" cm="1">
        <f t="array" ref="J1697">choice(Referentiel!D:D,1,Settings!$B$16)</f>
        <v>M2</v>
      </c>
      <c r="K1697" s="6" t="str" cm="1">
        <f t="array" ref="K1697">choice(Professeurs!B:B,1,Settings!$B$16)</f>
        <v>Prof48</v>
      </c>
      <c r="L1697" s="5" t="str" cm="1">
        <f t="array" ref="L1697">choice(Referentiel!C:C,1,Settings!$B$16)</f>
        <v/>
      </c>
      <c r="M1697" s="5" t="str" cm="1">
        <f t="array" ref="M1697">choice(Referentiel!E:E,1,Settings!$B$16)</f>
        <v/>
      </c>
      <c r="N1697" s="5" t="str" cm="1">
        <f t="array" ref="N1697">choice(Settings!K:K,1,Settings!$B$16)</f>
        <v/>
      </c>
      <c r="P1697" s="5">
        <f t="shared" si="108"/>
        <v>1</v>
      </c>
    </row>
    <row r="1698" spans="1:16" ht="15.75" customHeight="1" x14ac:dyDescent="0.25">
      <c r="A1698" s="6" t="s">
        <v>2050</v>
      </c>
      <c r="B1698" s="6" cm="1">
        <f t="array" ref="B1698">alea_int(Settings!$B$10,1,Settings!$B$16)</f>
        <v>2</v>
      </c>
      <c r="C1698" s="8">
        <v>46023</v>
      </c>
      <c r="D1698" s="8">
        <f t="shared" si="105"/>
        <v>46387</v>
      </c>
      <c r="E1698" s="6" t="str" cm="1">
        <f t="array" ref="E1698">choice(Groupes!A:A,1,Settings!$B$16)</f>
        <v>G8</v>
      </c>
      <c r="F1698" s="6" t="str">
        <f t="shared" si="106"/>
        <v>G8</v>
      </c>
      <c r="G1698" s="6" t="str">
        <f t="shared" si="107"/>
        <v>Prof25</v>
      </c>
      <c r="H1698" s="6" t="str" cm="1">
        <f t="array" ref="H1698">choice(Referentiel!A:A,1,Settings!$B$16)</f>
        <v>Design Graphique</v>
      </c>
      <c r="I1698" s="6" t="str" cm="1">
        <f t="array" ref="I1698">choice(Referentiel!B:B,1,Settings!$B$16)</f>
        <v>2ème année Scénographie S2</v>
      </c>
      <c r="J1698" s="6" t="str" cm="1">
        <f t="array" ref="J1698">choice(Referentiel!D:D,1,Settings!$B$16)</f>
        <v>L2</v>
      </c>
      <c r="K1698" s="6" t="str" cm="1">
        <f t="array" ref="K1698">choice(Professeurs!B:B,1,Settings!$B$16)</f>
        <v>Prof25</v>
      </c>
      <c r="L1698" s="5" t="str" cm="1">
        <f t="array" ref="L1698">choice(Referentiel!C:C,1,Settings!$B$16)</f>
        <v/>
      </c>
      <c r="M1698" s="5" t="str" cm="1">
        <f t="array" ref="M1698">choice(Referentiel!E:E,1,Settings!$B$16)</f>
        <v/>
      </c>
      <c r="N1698" s="5" t="str" cm="1">
        <f t="array" ref="N1698">choice(Settings!K:K,1,Settings!$B$16)</f>
        <v/>
      </c>
      <c r="P1698" s="5">
        <f t="shared" si="108"/>
        <v>2</v>
      </c>
    </row>
    <row r="1699" spans="1:16" ht="15.75" customHeight="1" x14ac:dyDescent="0.25">
      <c r="A1699" s="6" t="s">
        <v>2051</v>
      </c>
      <c r="B1699" s="6" cm="1">
        <f t="array" ref="B1699">alea_int(Settings!$B$10,1,Settings!$B$16)</f>
        <v>3</v>
      </c>
      <c r="C1699" s="8">
        <v>46023</v>
      </c>
      <c r="D1699" s="8">
        <f t="shared" si="105"/>
        <v>46387</v>
      </c>
      <c r="E1699" s="6" t="str" cm="1">
        <f t="array" ref="E1699">choice(Groupes!A:A,1,Settings!$B$16)</f>
        <v>G24</v>
      </c>
      <c r="F1699" s="6" t="str">
        <f t="shared" si="106"/>
        <v>G24</v>
      </c>
      <c r="G1699" s="6" t="str">
        <f t="shared" si="107"/>
        <v>Prof25</v>
      </c>
      <c r="H1699" s="6" t="str" cm="1">
        <f t="array" ref="H1699">choice(Referentiel!A:A,1,Settings!$B$16)</f>
        <v>Mode et Matière</v>
      </c>
      <c r="I1699" s="6" t="str" cm="1">
        <f t="array" ref="I1699">choice(Referentiel!B:B,1,Settings!$B$16)</f>
        <v>4ème année Design Graphique S1</v>
      </c>
      <c r="J1699" s="6" t="str" cm="1">
        <f t="array" ref="J1699">choice(Referentiel!D:D,1,Settings!$B$16)</f>
        <v>L2</v>
      </c>
      <c r="K1699" s="6" t="str" cm="1">
        <f t="array" ref="K1699">choice(Professeurs!B:B,1,Settings!$B$16)</f>
        <v>Prof25</v>
      </c>
      <c r="L1699" s="5" t="str" cm="1">
        <f t="array" ref="L1699">choice(Referentiel!C:C,1,Settings!$B$16)</f>
        <v/>
      </c>
      <c r="M1699" s="5" t="str" cm="1">
        <f t="array" ref="M1699">choice(Referentiel!E:E,1,Settings!$B$16)</f>
        <v/>
      </c>
      <c r="N1699" s="5" t="str" cm="1">
        <f t="array" ref="N1699">choice(Settings!K:K,1,Settings!$B$16)</f>
        <v/>
      </c>
      <c r="P1699" s="5">
        <f t="shared" si="108"/>
        <v>3</v>
      </c>
    </row>
    <row r="1700" spans="1:16" ht="15.75" customHeight="1" x14ac:dyDescent="0.25">
      <c r="A1700" s="6" t="s">
        <v>2052</v>
      </c>
      <c r="B1700" s="6" cm="1">
        <f t="array" ref="B1700">alea_int(Settings!$B$10,1,Settings!$B$16)</f>
        <v>1</v>
      </c>
      <c r="C1700" s="8">
        <v>46023</v>
      </c>
      <c r="D1700" s="8">
        <f t="shared" si="105"/>
        <v>46387</v>
      </c>
      <c r="E1700" s="6" t="str" cm="1">
        <f t="array" ref="E1700">choice(Groupes!A:A,1,Settings!$B$16)</f>
        <v>G20</v>
      </c>
      <c r="F1700" s="6" t="str">
        <f t="shared" si="106"/>
        <v>G20</v>
      </c>
      <c r="G1700" s="6" t="str">
        <f t="shared" si="107"/>
        <v>Prof30</v>
      </c>
      <c r="H1700" s="6" t="str" cm="1">
        <f t="array" ref="H1700">choice(Referentiel!A:A,1,Settings!$B$16)</f>
        <v>Design des mondes littoraux</v>
      </c>
      <c r="I1700" s="6" t="str" cm="1">
        <f t="array" ref="I1700">choice(Referentiel!B:B,1,Settings!$B$16)</f>
        <v>1ère Année Groupe 3 S2</v>
      </c>
      <c r="J1700" s="6" t="str" cm="1">
        <f t="array" ref="J1700">choice(Referentiel!D:D,1,Settings!$B$16)</f>
        <v>M1</v>
      </c>
      <c r="K1700" s="6" t="str" cm="1">
        <f t="array" ref="K1700">choice(Professeurs!B:B,1,Settings!$B$16)</f>
        <v>Prof30</v>
      </c>
      <c r="L1700" s="5" t="str" cm="1">
        <f t="array" ref="L1700">choice(Referentiel!C:C,1,Settings!$B$16)</f>
        <v/>
      </c>
      <c r="M1700" s="5" t="str" cm="1">
        <f t="array" ref="M1700">choice(Referentiel!E:E,1,Settings!$B$16)</f>
        <v/>
      </c>
      <c r="N1700" s="5" t="str" cm="1">
        <f t="array" ref="N1700">choice(Settings!K:K,1,Settings!$B$16)</f>
        <v/>
      </c>
      <c r="P1700" s="5">
        <f t="shared" si="108"/>
        <v>1</v>
      </c>
    </row>
    <row r="1701" spans="1:16" ht="15.75" customHeight="1" x14ac:dyDescent="0.25">
      <c r="A1701" s="6" t="s">
        <v>2053</v>
      </c>
      <c r="B1701" s="6" cm="1">
        <f t="array" ref="B1701">alea_int(Settings!$B$10,1,Settings!$B$16)</f>
        <v>2</v>
      </c>
      <c r="C1701" s="8">
        <v>46023</v>
      </c>
      <c r="D1701" s="8">
        <f t="shared" si="105"/>
        <v>46387</v>
      </c>
      <c r="E1701" s="6" t="str" cm="1">
        <f t="array" ref="E1701">choice(Groupes!A:A,1,Settings!$B$16)</f>
        <v>G2</v>
      </c>
      <c r="F1701" s="6" t="str">
        <f t="shared" si="106"/>
        <v>G2</v>
      </c>
      <c r="G1701" s="6" t="str">
        <f t="shared" si="107"/>
        <v>Prof11</v>
      </c>
      <c r="H1701" s="6" t="str" cm="1">
        <f t="array" ref="H1701">choice(Referentiel!A:A,1,Settings!$B$16)</f>
        <v>Gr ART, DESIGN, SOCIETE</v>
      </c>
      <c r="I1701" s="6" t="str" cm="1">
        <f t="array" ref="I1701">choice(Referentiel!B:B,1,Settings!$B$16)</f>
        <v>2ème année Cinéma d'Animation S1</v>
      </c>
      <c r="J1701" s="6" t="str" cm="1">
        <f t="array" ref="J1701">choice(Referentiel!D:D,1,Settings!$B$16)</f>
        <v>M1</v>
      </c>
      <c r="K1701" s="6" t="str" cm="1">
        <f t="array" ref="K1701">choice(Professeurs!B:B,1,Settings!$B$16)</f>
        <v>Prof11</v>
      </c>
      <c r="L1701" s="5" t="str" cm="1">
        <f t="array" ref="L1701">choice(Referentiel!C:C,1,Settings!$B$16)</f>
        <v/>
      </c>
      <c r="M1701" s="5" t="str" cm="1">
        <f t="array" ref="M1701">choice(Referentiel!E:E,1,Settings!$B$16)</f>
        <v/>
      </c>
      <c r="N1701" s="5" t="str" cm="1">
        <f t="array" ref="N1701">choice(Settings!K:K,1,Settings!$B$16)</f>
        <v/>
      </c>
      <c r="P1701" s="5">
        <f t="shared" si="108"/>
        <v>2</v>
      </c>
    </row>
    <row r="1702" spans="1:16" ht="15.75" customHeight="1" x14ac:dyDescent="0.25">
      <c r="A1702" s="6" t="s">
        <v>2054</v>
      </c>
      <c r="B1702" s="6" cm="1">
        <f t="array" ref="B1702">alea_int(Settings!$B$10,1,Settings!$B$16)</f>
        <v>1</v>
      </c>
      <c r="C1702" s="8">
        <v>46023</v>
      </c>
      <c r="D1702" s="8">
        <f t="shared" si="105"/>
        <v>46387</v>
      </c>
      <c r="E1702" s="6" t="str" cm="1">
        <f t="array" ref="E1702">choice(Groupes!A:A,1,Settings!$B$16)</f>
        <v>G27</v>
      </c>
      <c r="F1702" s="6" t="str">
        <f t="shared" si="106"/>
        <v>G27</v>
      </c>
      <c r="G1702" s="6" t="str">
        <f t="shared" si="107"/>
        <v>Prof47</v>
      </c>
      <c r="H1702" s="6" t="str" cm="1">
        <f t="array" ref="H1702">choice(Referentiel!A:A,1,Settings!$B$16)</f>
        <v>6ème ANNÉE STAGE</v>
      </c>
      <c r="I1702" s="6" t="str" cm="1">
        <f t="array" ref="I1702">choice(Referentiel!B:B,1,Settings!$B$16)</f>
        <v>1ère Année Groupe 1 S1</v>
      </c>
      <c r="J1702" s="6" t="str" cm="1">
        <f t="array" ref="J1702">choice(Referentiel!D:D,1,Settings!$B$16)</f>
        <v>M1</v>
      </c>
      <c r="K1702" s="6" t="str" cm="1">
        <f t="array" ref="K1702">choice(Professeurs!B:B,1,Settings!$B$16)</f>
        <v>Prof47</v>
      </c>
      <c r="L1702" s="5" t="str" cm="1">
        <f t="array" ref="L1702">choice(Referentiel!C:C,1,Settings!$B$16)</f>
        <v/>
      </c>
      <c r="M1702" s="5" t="str" cm="1">
        <f t="array" ref="M1702">choice(Referentiel!E:E,1,Settings!$B$16)</f>
        <v/>
      </c>
      <c r="N1702" s="5" t="str" cm="1">
        <f t="array" ref="N1702">choice(Settings!K:K,1,Settings!$B$16)</f>
        <v/>
      </c>
      <c r="P1702" s="5">
        <f t="shared" si="108"/>
        <v>1</v>
      </c>
    </row>
    <row r="1703" spans="1:16" ht="15.75" customHeight="1" x14ac:dyDescent="0.25">
      <c r="A1703" s="6" t="s">
        <v>2055</v>
      </c>
      <c r="B1703" s="6" cm="1">
        <f t="array" ref="B1703">alea_int(Settings!$B$10,1,Settings!$B$16)</f>
        <v>2</v>
      </c>
      <c r="C1703" s="8">
        <v>46023</v>
      </c>
      <c r="D1703" s="8">
        <f t="shared" si="105"/>
        <v>46387</v>
      </c>
      <c r="E1703" s="6" t="str" cm="1">
        <f t="array" ref="E1703">choice(Groupes!A:A,1,Settings!$B$16)</f>
        <v>G9</v>
      </c>
      <c r="F1703" s="6" t="str">
        <f t="shared" si="106"/>
        <v>G9</v>
      </c>
      <c r="G1703" s="6" t="str">
        <f t="shared" si="107"/>
        <v>Prof9</v>
      </c>
      <c r="H1703" s="6" t="str" cm="1">
        <f t="array" ref="H1703">choice(Referentiel!A:A,1,Settings!$B$16)</f>
        <v>1ère année Groupe 2</v>
      </c>
      <c r="I1703" s="6" t="str" cm="1">
        <f t="array" ref="I1703">choice(Referentiel!B:B,1,Settings!$B$16)</f>
        <v>3ème année Photo / Vidéo S1</v>
      </c>
      <c r="J1703" s="6" t="str" cm="1">
        <f t="array" ref="J1703">choice(Referentiel!D:D,1,Settings!$B$16)</f>
        <v>L3</v>
      </c>
      <c r="K1703" s="6" t="str" cm="1">
        <f t="array" ref="K1703">choice(Professeurs!B:B,1,Settings!$B$16)</f>
        <v>Prof9</v>
      </c>
      <c r="L1703" s="5" t="str" cm="1">
        <f t="array" ref="L1703">choice(Referentiel!C:C,1,Settings!$B$16)</f>
        <v/>
      </c>
      <c r="M1703" s="5" t="str" cm="1">
        <f t="array" ref="M1703">choice(Referentiel!E:E,1,Settings!$B$16)</f>
        <v/>
      </c>
      <c r="N1703" s="5" t="str" cm="1">
        <f t="array" ref="N1703">choice(Settings!K:K,1,Settings!$B$16)</f>
        <v/>
      </c>
      <c r="P1703" s="5">
        <f t="shared" si="108"/>
        <v>2</v>
      </c>
    </row>
    <row r="1704" spans="1:16" ht="15.75" customHeight="1" x14ac:dyDescent="0.25">
      <c r="A1704" s="6" t="s">
        <v>2056</v>
      </c>
      <c r="B1704" s="6" cm="1">
        <f t="array" ref="B1704">alea_int(Settings!$B$10,1,Settings!$B$16)</f>
        <v>2</v>
      </c>
      <c r="C1704" s="8">
        <v>46023</v>
      </c>
      <c r="D1704" s="8">
        <f t="shared" si="105"/>
        <v>46387</v>
      </c>
      <c r="E1704" s="6" t="str" cm="1">
        <f t="array" ref="E1704">choice(Groupes!A:A,1,Settings!$B$16)</f>
        <v>G10</v>
      </c>
      <c r="F1704" s="6" t="str">
        <f t="shared" si="106"/>
        <v>G10</v>
      </c>
      <c r="G1704" s="6" t="str">
        <f t="shared" si="107"/>
        <v>Prof47</v>
      </c>
      <c r="H1704" s="6" t="str" cm="1">
        <f t="array" ref="H1704">choice(Referentiel!A:A,1,Settings!$B$16)</f>
        <v>Design des mondes insulaires</v>
      </c>
      <c r="I1704" s="6" t="str" cm="1">
        <f t="array" ref="I1704">choice(Referentiel!B:B,1,Settings!$B$16)</f>
        <v>5ème année Design Vêtement S1</v>
      </c>
      <c r="J1704" s="6" t="str" cm="1">
        <f t="array" ref="J1704">choice(Referentiel!D:D,1,Settings!$B$16)</f>
        <v>L3</v>
      </c>
      <c r="K1704" s="6" t="str" cm="1">
        <f t="array" ref="K1704">choice(Professeurs!B:B,1,Settings!$B$16)</f>
        <v>Prof47</v>
      </c>
      <c r="L1704" s="5" t="str" cm="1">
        <f t="array" ref="L1704">choice(Referentiel!C:C,1,Settings!$B$16)</f>
        <v/>
      </c>
      <c r="M1704" s="5" t="str" cm="1">
        <f t="array" ref="M1704">choice(Referentiel!E:E,1,Settings!$B$16)</f>
        <v/>
      </c>
      <c r="N1704" s="5" t="str" cm="1">
        <f t="array" ref="N1704">choice(Settings!K:K,1,Settings!$B$16)</f>
        <v/>
      </c>
      <c r="P1704" s="5">
        <f t="shared" si="108"/>
        <v>2</v>
      </c>
    </row>
    <row r="1705" spans="1:16" ht="15.75" customHeight="1" x14ac:dyDescent="0.25">
      <c r="A1705" s="6" t="s">
        <v>2057</v>
      </c>
      <c r="B1705" s="6" cm="1">
        <f t="array" ref="B1705">alea_int(Settings!$B$10,1,Settings!$B$16)</f>
        <v>2</v>
      </c>
      <c r="C1705" s="8">
        <v>46023</v>
      </c>
      <c r="D1705" s="8">
        <f t="shared" si="105"/>
        <v>46387</v>
      </c>
      <c r="E1705" s="6" t="str" cm="1">
        <f t="array" ref="E1705">choice(Groupes!A:A,1,Settings!$B$16)</f>
        <v>G4</v>
      </c>
      <c r="F1705" s="6" t="str">
        <f t="shared" si="106"/>
        <v>G4</v>
      </c>
      <c r="G1705" s="6" t="str">
        <f t="shared" si="107"/>
        <v>Prof11</v>
      </c>
      <c r="H1705" s="6" t="str" cm="1">
        <f t="array" ref="H1705">choice(Referentiel!A:A,1,Settings!$B$16)</f>
        <v>Mode et Matière</v>
      </c>
      <c r="I1705" s="6" t="str" cm="1">
        <f t="array" ref="I1705">choice(Referentiel!B:B,1,Settings!$B$16)</f>
        <v>3ème année Photo / Vidéo S1</v>
      </c>
      <c r="J1705" s="6" t="str" cm="1">
        <f t="array" ref="J1705">choice(Referentiel!D:D,1,Settings!$B$16)</f>
        <v>L2</v>
      </c>
      <c r="K1705" s="6" t="str" cm="1">
        <f t="array" ref="K1705">choice(Professeurs!B:B,1,Settings!$B$16)</f>
        <v>Prof11</v>
      </c>
      <c r="L1705" s="5" t="str" cm="1">
        <f t="array" ref="L1705">choice(Referentiel!C:C,1,Settings!$B$16)</f>
        <v/>
      </c>
      <c r="M1705" s="5" t="str" cm="1">
        <f t="array" ref="M1705">choice(Referentiel!E:E,1,Settings!$B$16)</f>
        <v>Salle11</v>
      </c>
      <c r="N1705" s="5" t="str" cm="1">
        <f t="array" ref="N1705">choice(Settings!K:K,1,Settings!$B$16)</f>
        <v>lundi pm</v>
      </c>
      <c r="P1705" s="5">
        <f t="shared" si="108"/>
        <v>6</v>
      </c>
    </row>
    <row r="1706" spans="1:16" ht="15.75" customHeight="1" x14ac:dyDescent="0.25">
      <c r="A1706" s="6" t="s">
        <v>2058</v>
      </c>
      <c r="B1706" s="6" cm="1">
        <f t="array" ref="B1706">alea_int(Settings!$B$10,1,Settings!$B$16)</f>
        <v>1</v>
      </c>
      <c r="C1706" s="8">
        <v>46023</v>
      </c>
      <c r="D1706" s="8">
        <f t="shared" si="105"/>
        <v>46387</v>
      </c>
      <c r="E1706" s="6" t="str" cm="1">
        <f t="array" ref="E1706">choice(Groupes!A:A,1,Settings!$B$16)</f>
        <v>G3</v>
      </c>
      <c r="F1706" s="6" t="str">
        <f t="shared" si="106"/>
        <v>G3</v>
      </c>
      <c r="G1706" s="6" t="str">
        <f t="shared" si="107"/>
        <v>Prof38</v>
      </c>
      <c r="H1706" s="6" t="str" cm="1">
        <f t="array" ref="H1706">choice(Referentiel!A:A,1,Settings!$B$16)</f>
        <v>Design des mondes urbains</v>
      </c>
      <c r="I1706" s="6" t="str" cm="1">
        <f t="array" ref="I1706">choice(Referentiel!B:B,1,Settings!$B$16)</f>
        <v>1ère Année Groupe 2 S1</v>
      </c>
      <c r="J1706" s="6" t="str" cm="1">
        <f t="array" ref="J1706">choice(Referentiel!D:D,1,Settings!$B$16)</f>
        <v>M1</v>
      </c>
      <c r="K1706" s="6" t="str" cm="1">
        <f t="array" ref="K1706">choice(Professeurs!B:B,1,Settings!$B$16)</f>
        <v>Prof38</v>
      </c>
      <c r="L1706" s="5" t="str" cm="1">
        <f t="array" ref="L1706">choice(Referentiel!C:C,1,Settings!$B$16)</f>
        <v/>
      </c>
      <c r="M1706" s="5" t="str" cm="1">
        <f t="array" ref="M1706">choice(Referentiel!E:E,1,Settings!$B$16)</f>
        <v/>
      </c>
      <c r="N1706" s="5" t="str" cm="1">
        <f t="array" ref="N1706">choice(Settings!K:K,1,Settings!$B$16)</f>
        <v>vendredi pm</v>
      </c>
      <c r="P1706" s="5">
        <f t="shared" si="108"/>
        <v>3</v>
      </c>
    </row>
    <row r="1707" spans="1:16" ht="15.75" customHeight="1" x14ac:dyDescent="0.25">
      <c r="A1707" s="6" t="s">
        <v>2059</v>
      </c>
      <c r="B1707" s="6" cm="1">
        <f t="array" ref="B1707">alea_int(Settings!$B$10,1,Settings!$B$16)</f>
        <v>2</v>
      </c>
      <c r="C1707" s="8">
        <v>46023</v>
      </c>
      <c r="D1707" s="8">
        <f t="shared" si="105"/>
        <v>46387</v>
      </c>
      <c r="E1707" s="6" t="str" cm="1">
        <f t="array" ref="E1707">choice(Groupes!A:A,1,Settings!$B$16)</f>
        <v>G6</v>
      </c>
      <c r="F1707" s="6" t="str">
        <f t="shared" si="106"/>
        <v>G6</v>
      </c>
      <c r="G1707" s="6" t="str">
        <f t="shared" si="107"/>
        <v>Prof3</v>
      </c>
      <c r="H1707" s="6" t="str" cm="1">
        <f t="array" ref="H1707">choice(Referentiel!A:A,1,Settings!$B$16)</f>
        <v>Cinéma d'Animation</v>
      </c>
      <c r="I1707" s="6" t="str" cm="1">
        <f t="array" ref="I1707">choice(Referentiel!B:B,1,Settings!$B$16)</f>
        <v>3ème année Design Objet S1</v>
      </c>
      <c r="J1707" s="6" t="str" cm="1">
        <f t="array" ref="J1707">choice(Referentiel!D:D,1,Settings!$B$16)</f>
        <v>M2</v>
      </c>
      <c r="K1707" s="6" t="str" cm="1">
        <f t="array" ref="K1707">choice(Professeurs!B:B,1,Settings!$B$16)</f>
        <v>Prof3</v>
      </c>
      <c r="L1707" s="5" t="str" cm="1">
        <f t="array" ref="L1707">choice(Referentiel!C:C,1,Settings!$B$16)</f>
        <v/>
      </c>
      <c r="M1707" s="5" t="str" cm="1">
        <f t="array" ref="M1707">choice(Referentiel!E:E,1,Settings!$B$16)</f>
        <v/>
      </c>
      <c r="N1707" s="5" t="str" cm="1">
        <f t="array" ref="N1707">choice(Settings!K:K,1,Settings!$B$16)</f>
        <v/>
      </c>
      <c r="P1707" s="5">
        <f t="shared" si="108"/>
        <v>2</v>
      </c>
    </row>
    <row r="1708" spans="1:16" ht="15.75" customHeight="1" x14ac:dyDescent="0.25">
      <c r="A1708" s="6" t="s">
        <v>2060</v>
      </c>
      <c r="B1708" s="6" cm="1">
        <f t="array" ref="B1708">alea_int(Settings!$B$10,1,Settings!$B$16)</f>
        <v>3</v>
      </c>
      <c r="C1708" s="8">
        <v>46023</v>
      </c>
      <c r="D1708" s="8">
        <f t="shared" si="105"/>
        <v>46387</v>
      </c>
      <c r="E1708" s="6" t="str" cm="1">
        <f t="array" ref="E1708">choice(Groupes!A:A,1,Settings!$B$16)</f>
        <v>G26</v>
      </c>
      <c r="F1708" s="6" t="str">
        <f t="shared" si="106"/>
        <v>G26</v>
      </c>
      <c r="G1708" s="6" t="str">
        <f t="shared" si="107"/>
        <v>Prof34</v>
      </c>
      <c r="H1708" s="6" t="str" cm="1">
        <f t="array" ref="H1708">choice(Referentiel!A:A,1,Settings!$B$16)</f>
        <v>Gr TERRITOIRES</v>
      </c>
      <c r="I1708" s="6" t="str" cm="1">
        <f t="array" ref="I1708">choice(Referentiel!B:B,1,Settings!$B$16)</f>
        <v>3ème année Architecture Intérieure S1</v>
      </c>
      <c r="J1708" s="6" t="str" cm="1">
        <f t="array" ref="J1708">choice(Referentiel!D:D,1,Settings!$B$16)</f>
        <v>M1</v>
      </c>
      <c r="K1708" s="6" t="str" cm="1">
        <f t="array" ref="K1708">choice(Professeurs!B:B,1,Settings!$B$16)</f>
        <v>Prof34</v>
      </c>
      <c r="L1708" s="5" t="str" cm="1">
        <f t="array" ref="L1708">choice(Referentiel!C:C,1,Settings!$B$16)</f>
        <v/>
      </c>
      <c r="M1708" s="5" t="str" cm="1">
        <f t="array" ref="M1708">choice(Referentiel!E:E,1,Settings!$B$16)</f>
        <v/>
      </c>
      <c r="N1708" s="5" t="str" cm="1">
        <f t="array" ref="N1708">choice(Settings!K:K,1,Settings!$B$16)</f>
        <v>mardi am</v>
      </c>
      <c r="P1708" s="5">
        <f t="shared" si="108"/>
        <v>5</v>
      </c>
    </row>
    <row r="1709" spans="1:16" ht="15.75" customHeight="1" x14ac:dyDescent="0.25">
      <c r="A1709" s="6" t="s">
        <v>2061</v>
      </c>
      <c r="B1709" s="6" cm="1">
        <f t="array" ref="B1709">alea_int(Settings!$B$10,1,Settings!$B$16)</f>
        <v>3</v>
      </c>
      <c r="C1709" s="8">
        <v>46023</v>
      </c>
      <c r="D1709" s="8">
        <f t="shared" si="105"/>
        <v>46387</v>
      </c>
      <c r="E1709" s="6" t="str" cm="1">
        <f t="array" ref="E1709">choice(Groupes!A:A,1,Settings!$B$16)</f>
        <v>G16</v>
      </c>
      <c r="F1709" s="6" t="str">
        <f t="shared" si="106"/>
        <v>G16</v>
      </c>
      <c r="G1709" s="6" t="str">
        <f t="shared" si="107"/>
        <v>Prof35</v>
      </c>
      <c r="H1709" s="6" t="str" cm="1">
        <f t="array" ref="H1709">choice(Referentiel!A:A,1,Settings!$B$16)</f>
        <v>Design des mondes urbains</v>
      </c>
      <c r="I1709" s="6" t="str" cm="1">
        <f t="array" ref="I1709">choice(Referentiel!B:B,1,Settings!$B$16)</f>
        <v>1ère Année Groupe 2 S1</v>
      </c>
      <c r="J1709" s="6" t="str" cm="1">
        <f t="array" ref="J1709">choice(Referentiel!D:D,1,Settings!$B$16)</f>
        <v>L1</v>
      </c>
      <c r="K1709" s="6" t="str" cm="1">
        <f t="array" ref="K1709">choice(Professeurs!B:B,1,Settings!$B$16)</f>
        <v>Prof35</v>
      </c>
      <c r="L1709" s="5" t="str" cm="1">
        <f t="array" ref="L1709">choice(Referentiel!C:C,1,Settings!$B$16)</f>
        <v/>
      </c>
      <c r="M1709" s="5" t="str" cm="1">
        <f t="array" ref="M1709">choice(Referentiel!E:E,1,Settings!$B$16)</f>
        <v/>
      </c>
      <c r="N1709" s="5" t="str" cm="1">
        <f t="array" ref="N1709">choice(Settings!K:K,1,Settings!$B$16)</f>
        <v/>
      </c>
      <c r="P1709" s="5">
        <f t="shared" si="108"/>
        <v>3</v>
      </c>
    </row>
    <row r="1710" spans="1:16" ht="15.75" customHeight="1" x14ac:dyDescent="0.25">
      <c r="A1710" s="6" t="s">
        <v>2062</v>
      </c>
      <c r="B1710" s="6" cm="1">
        <f t="array" ref="B1710">alea_int(Settings!$B$10,1,Settings!$B$16)</f>
        <v>2</v>
      </c>
      <c r="C1710" s="8">
        <v>46023</v>
      </c>
      <c r="D1710" s="8">
        <f t="shared" si="105"/>
        <v>46387</v>
      </c>
      <c r="E1710" s="6" t="str" cm="1">
        <f t="array" ref="E1710">choice(Groupes!A:A,1,Settings!$B$16)</f>
        <v>G15</v>
      </c>
      <c r="F1710" s="6" t="str">
        <f t="shared" si="106"/>
        <v>G15</v>
      </c>
      <c r="G1710" s="6" t="str">
        <f t="shared" si="107"/>
        <v>Prof19</v>
      </c>
      <c r="H1710" s="6" t="str" cm="1">
        <f t="array" ref="H1710">choice(Referentiel!A:A,1,Settings!$B$16)</f>
        <v>Design Graphique</v>
      </c>
      <c r="I1710" s="6" t="str" cm="1">
        <f t="array" ref="I1710">choice(Referentiel!B:B,1,Settings!$B$16)</f>
        <v>4ème année Scénographie S1</v>
      </c>
      <c r="J1710" s="6" t="str" cm="1">
        <f t="array" ref="J1710">choice(Referentiel!D:D,1,Settings!$B$16)</f>
        <v>M2</v>
      </c>
      <c r="K1710" s="6" t="str" cm="1">
        <f t="array" ref="K1710">choice(Professeurs!B:B,1,Settings!$B$16)</f>
        <v>Prof19</v>
      </c>
      <c r="L1710" s="5" t="str" cm="1">
        <f t="array" ref="L1710">choice(Referentiel!C:C,1,Settings!$B$16)</f>
        <v/>
      </c>
      <c r="M1710" s="5" t="str" cm="1">
        <f t="array" ref="M1710">choice(Referentiel!E:E,1,Settings!$B$16)</f>
        <v>Salle9</v>
      </c>
      <c r="N1710" s="5" t="str" cm="1">
        <f t="array" ref="N1710">choice(Settings!K:K,1,Settings!$B$16)</f>
        <v/>
      </c>
      <c r="P1710" s="5">
        <f t="shared" si="108"/>
        <v>4</v>
      </c>
    </row>
    <row r="1711" spans="1:16" ht="15.75" customHeight="1" x14ac:dyDescent="0.25">
      <c r="A1711" s="6" t="s">
        <v>2063</v>
      </c>
      <c r="B1711" s="6" cm="1">
        <f t="array" ref="B1711">alea_int(Settings!$B$10,1,Settings!$B$16)</f>
        <v>1</v>
      </c>
      <c r="C1711" s="8">
        <v>46023</v>
      </c>
      <c r="D1711" s="8">
        <f t="shared" si="105"/>
        <v>46387</v>
      </c>
      <c r="E1711" s="6" t="str" cm="1">
        <f t="array" ref="E1711">choice(Groupes!A:A,1,Settings!$B$16)</f>
        <v>G19</v>
      </c>
      <c r="F1711" s="6" t="str">
        <f t="shared" si="106"/>
        <v>G19</v>
      </c>
      <c r="G1711" s="6" t="str">
        <f t="shared" si="107"/>
        <v>Prof19</v>
      </c>
      <c r="H1711" s="6" t="str" cm="1">
        <f t="array" ref="H1711">choice(Referentiel!A:A,1,Settings!$B$16)</f>
        <v>Design Vêtement</v>
      </c>
      <c r="I1711" s="6" t="str" cm="1">
        <f t="array" ref="I1711">choice(Referentiel!B:B,1,Settings!$B$16)</f>
        <v>3ème année Design Textile et Matière S1</v>
      </c>
      <c r="J1711" s="6" t="str" cm="1">
        <f t="array" ref="J1711">choice(Referentiel!D:D,1,Settings!$B$16)</f>
        <v>M1</v>
      </c>
      <c r="K1711" s="6" t="str" cm="1">
        <f t="array" ref="K1711">choice(Professeurs!B:B,1,Settings!$B$16)</f>
        <v>Prof19</v>
      </c>
      <c r="L1711" s="5" t="str" cm="1">
        <f t="array" ref="L1711">choice(Referentiel!C:C,1,Settings!$B$16)</f>
        <v/>
      </c>
      <c r="M1711" s="5" t="str" cm="1">
        <f t="array" ref="M1711">choice(Referentiel!E:E,1,Settings!$B$16)</f>
        <v/>
      </c>
      <c r="N1711" s="5" t="str" cm="1">
        <f t="array" ref="N1711">choice(Settings!K:K,1,Settings!$B$16)</f>
        <v/>
      </c>
      <c r="P1711" s="5">
        <f t="shared" si="108"/>
        <v>1</v>
      </c>
    </row>
    <row r="1712" spans="1:16" ht="15.75" customHeight="1" x14ac:dyDescent="0.25">
      <c r="A1712" s="6" t="s">
        <v>2064</v>
      </c>
      <c r="B1712" s="6" cm="1">
        <f t="array" ref="B1712">alea_int(Settings!$B$10,1,Settings!$B$16)</f>
        <v>1</v>
      </c>
      <c r="C1712" s="8">
        <v>46023</v>
      </c>
      <c r="D1712" s="8">
        <f t="shared" si="105"/>
        <v>46387</v>
      </c>
      <c r="E1712" s="6" t="str" cm="1">
        <f t="array" ref="E1712">choice(Groupes!A:A,1,Settings!$B$16)</f>
        <v>G2</v>
      </c>
      <c r="F1712" s="6" t="str">
        <f t="shared" si="106"/>
        <v>G2</v>
      </c>
      <c r="G1712" s="6" t="str">
        <f t="shared" si="107"/>
        <v>Prof24</v>
      </c>
      <c r="H1712" s="6" t="str" cm="1">
        <f t="array" ref="H1712">choice(Referentiel!A:A,1,Settings!$B$16)</f>
        <v>Design des mondes insulaires</v>
      </c>
      <c r="I1712" s="6" t="str" cm="1">
        <f t="array" ref="I1712">choice(Referentiel!B:B,1,Settings!$B$16)</f>
        <v>1ère Année Groupe 3 S1</v>
      </c>
      <c r="J1712" s="6" t="str" cm="1">
        <f t="array" ref="J1712">choice(Referentiel!D:D,1,Settings!$B$16)</f>
        <v>L2</v>
      </c>
      <c r="K1712" s="6" t="str" cm="1">
        <f t="array" ref="K1712">choice(Professeurs!B:B,1,Settings!$B$16)</f>
        <v>Prof24</v>
      </c>
      <c r="L1712" s="5" t="str" cm="1">
        <f t="array" ref="L1712">choice(Referentiel!C:C,1,Settings!$B$16)</f>
        <v/>
      </c>
      <c r="M1712" s="5" t="str" cm="1">
        <f t="array" ref="M1712">choice(Referentiel!E:E,1,Settings!$B$16)</f>
        <v/>
      </c>
      <c r="N1712" s="5" t="str" cm="1">
        <f t="array" ref="N1712">choice(Settings!K:K,1,Settings!$B$16)</f>
        <v>lundi am</v>
      </c>
      <c r="P1712" s="5">
        <f t="shared" si="108"/>
        <v>3</v>
      </c>
    </row>
    <row r="1713" spans="1:16" ht="15.75" customHeight="1" x14ac:dyDescent="0.25">
      <c r="A1713" s="6" t="s">
        <v>2065</v>
      </c>
      <c r="B1713" s="6" cm="1">
        <f t="array" ref="B1713">alea_int(Settings!$B$10,1,Settings!$B$16)</f>
        <v>1</v>
      </c>
      <c r="C1713" s="8">
        <v>46023</v>
      </c>
      <c r="D1713" s="8">
        <f t="shared" si="105"/>
        <v>46387</v>
      </c>
      <c r="E1713" s="6" t="str" cm="1">
        <f t="array" ref="E1713">choice(Groupes!A:A,1,Settings!$B$16)</f>
        <v>G29</v>
      </c>
      <c r="F1713" s="6" t="str">
        <f t="shared" si="106"/>
        <v>G29</v>
      </c>
      <c r="G1713" s="6" t="str">
        <f t="shared" si="107"/>
        <v>Prof19</v>
      </c>
      <c r="H1713" s="6" t="str" cm="1">
        <f t="array" ref="H1713">choice(Referentiel!A:A,1,Settings!$B$16)</f>
        <v>Scénographie</v>
      </c>
      <c r="I1713" s="6" t="str" cm="1">
        <f t="array" ref="I1713">choice(Referentiel!B:B,1,Settings!$B$16)</f>
        <v>3ème année Image Imprimée S2</v>
      </c>
      <c r="J1713" s="6" t="str" cm="1">
        <f t="array" ref="J1713">choice(Referentiel!D:D,1,Settings!$B$16)</f>
        <v>L1</v>
      </c>
      <c r="K1713" s="6" t="str" cm="1">
        <f t="array" ref="K1713">choice(Professeurs!B:B,1,Settings!$B$16)</f>
        <v>Prof19</v>
      </c>
      <c r="L1713" s="5" t="str" cm="1">
        <f t="array" ref="L1713">choice(Referentiel!C:C,1,Settings!$B$16)</f>
        <v>fenetre</v>
      </c>
      <c r="M1713" s="5" t="str" cm="1">
        <f t="array" ref="M1713">choice(Referentiel!E:E,1,Settings!$B$16)</f>
        <v/>
      </c>
      <c r="N1713" s="5" t="str" cm="1">
        <f t="array" ref="N1713">choice(Settings!K:K,1,Settings!$B$16)</f>
        <v>vendredi am</v>
      </c>
      <c r="P1713" s="5">
        <f t="shared" si="108"/>
        <v>3</v>
      </c>
    </row>
    <row r="1714" spans="1:16" ht="15.75" customHeight="1" x14ac:dyDescent="0.25">
      <c r="A1714" s="6" t="s">
        <v>2066</v>
      </c>
      <c r="B1714" s="6" cm="1">
        <f t="array" ref="B1714">alea_int(Settings!$B$10,1,Settings!$B$16)</f>
        <v>2</v>
      </c>
      <c r="C1714" s="8">
        <v>46023</v>
      </c>
      <c r="D1714" s="8">
        <f t="shared" si="105"/>
        <v>46387</v>
      </c>
      <c r="E1714" s="6" t="str" cm="1">
        <f t="array" ref="E1714">choice(Groupes!A:A,1,Settings!$B$16)</f>
        <v>G28</v>
      </c>
      <c r="F1714" s="6" t="str">
        <f t="shared" si="106"/>
        <v>G28</v>
      </c>
      <c r="G1714" s="6" t="str">
        <f t="shared" si="107"/>
        <v>Prof33</v>
      </c>
      <c r="H1714" s="6" t="str" cm="1">
        <f t="array" ref="H1714">choice(Referentiel!A:A,1,Settings!$B$16)</f>
        <v>Design Textile et Matière</v>
      </c>
      <c r="I1714" s="6" t="str" cm="1">
        <f t="array" ref="I1714">choice(Referentiel!B:B,1,Settings!$B$16)</f>
        <v>4ème année Design Textile et Matière S1</v>
      </c>
      <c r="J1714" s="6" t="str" cm="1">
        <f t="array" ref="J1714">choice(Referentiel!D:D,1,Settings!$B$16)</f>
        <v>M1</v>
      </c>
      <c r="K1714" s="6" t="str" cm="1">
        <f t="array" ref="K1714">choice(Professeurs!B:B,1,Settings!$B$16)</f>
        <v>Prof33</v>
      </c>
      <c r="L1714" s="5" t="str" cm="1">
        <f t="array" ref="L1714">choice(Referentiel!C:C,1,Settings!$B$16)</f>
        <v/>
      </c>
      <c r="M1714" s="5" t="str" cm="1">
        <f t="array" ref="M1714">choice(Referentiel!E:E,1,Settings!$B$16)</f>
        <v/>
      </c>
      <c r="N1714" s="5" t="str" cm="1">
        <f t="array" ref="N1714">choice(Settings!K:K,1,Settings!$B$16)</f>
        <v/>
      </c>
      <c r="P1714" s="5">
        <f t="shared" si="108"/>
        <v>2</v>
      </c>
    </row>
    <row r="1715" spans="1:16" ht="15.75" customHeight="1" x14ac:dyDescent="0.25">
      <c r="A1715" s="6" t="s">
        <v>2067</v>
      </c>
      <c r="B1715" s="6" cm="1">
        <f t="array" ref="B1715">alea_int(Settings!$B$10,1,Settings!$B$16)</f>
        <v>2</v>
      </c>
      <c r="C1715" s="8">
        <v>46023</v>
      </c>
      <c r="D1715" s="8">
        <f t="shared" si="105"/>
        <v>46387</v>
      </c>
      <c r="E1715" s="6" t="str" cm="1">
        <f t="array" ref="E1715">choice(Groupes!A:A,1,Settings!$B$16)</f>
        <v>G30</v>
      </c>
      <c r="F1715" s="6" t="str">
        <f t="shared" si="106"/>
        <v>G30</v>
      </c>
      <c r="G1715" s="6" t="str">
        <f t="shared" si="107"/>
        <v>Prof31</v>
      </c>
      <c r="H1715" s="6" t="str" cm="1">
        <f t="array" ref="H1715">choice(Referentiel!A:A,1,Settings!$B$16)</f>
        <v>Design des mondes littoraux</v>
      </c>
      <c r="I1715" s="6" t="str" cm="1">
        <f t="array" ref="I1715">choice(Referentiel!B:B,1,Settings!$B$16)</f>
        <v>5ème année Photo / Vidéo S1</v>
      </c>
      <c r="J1715" s="6" t="str" cm="1">
        <f t="array" ref="J1715">choice(Referentiel!D:D,1,Settings!$B$16)</f>
        <v>M1</v>
      </c>
      <c r="K1715" s="6" t="str" cm="1">
        <f t="array" ref="K1715">choice(Professeurs!B:B,1,Settings!$B$16)</f>
        <v>Prof31</v>
      </c>
      <c r="L1715" s="5" t="str" cm="1">
        <f t="array" ref="L1715">choice(Referentiel!C:C,1,Settings!$B$16)</f>
        <v/>
      </c>
      <c r="M1715" s="5" t="str" cm="1">
        <f t="array" ref="M1715">choice(Referentiel!E:E,1,Settings!$B$16)</f>
        <v/>
      </c>
      <c r="N1715" s="5" t="str" cm="1">
        <f t="array" ref="N1715">choice(Settings!K:K,1,Settings!$B$16)</f>
        <v>lundi pm</v>
      </c>
      <c r="P1715" s="5">
        <f t="shared" si="108"/>
        <v>4</v>
      </c>
    </row>
    <row r="1716" spans="1:16" ht="15.75" customHeight="1" x14ac:dyDescent="0.25">
      <c r="A1716" s="6" t="s">
        <v>2068</v>
      </c>
      <c r="B1716" s="6" cm="1">
        <f t="array" ref="B1716">alea_int(Settings!$B$10,1,Settings!$B$16)</f>
        <v>1</v>
      </c>
      <c r="C1716" s="8">
        <v>46023</v>
      </c>
      <c r="D1716" s="8">
        <f t="shared" si="105"/>
        <v>46387</v>
      </c>
      <c r="E1716" s="6" t="str" cm="1">
        <f t="array" ref="E1716">choice(Groupes!A:A,1,Settings!$B$16)</f>
        <v>G7</v>
      </c>
      <c r="F1716" s="6" t="str">
        <f t="shared" si="106"/>
        <v>G7</v>
      </c>
      <c r="G1716" s="6" t="str">
        <f t="shared" si="107"/>
        <v>Prof11</v>
      </c>
      <c r="H1716" s="6" t="str" cm="1">
        <f t="array" ref="H1716">choice(Referentiel!A:A,1,Settings!$B$16)</f>
        <v>Gr SYMBIOSE</v>
      </c>
      <c r="I1716" s="6" t="str" cm="1">
        <f t="array" ref="I1716">choice(Referentiel!B:B,1,Settings!$B$16)</f>
        <v>4ème année Scénographie S2</v>
      </c>
      <c r="J1716" s="6" t="str" cm="1">
        <f t="array" ref="J1716">choice(Referentiel!D:D,1,Settings!$B$16)</f>
        <v>M1</v>
      </c>
      <c r="K1716" s="6" t="str" cm="1">
        <f t="array" ref="K1716">choice(Professeurs!B:B,1,Settings!$B$16)</f>
        <v>Prof11</v>
      </c>
      <c r="L1716" s="5" t="str" cm="1">
        <f t="array" ref="L1716">choice(Referentiel!C:C,1,Settings!$B$16)</f>
        <v/>
      </c>
      <c r="M1716" s="5" t="str" cm="1">
        <f t="array" ref="M1716">choice(Referentiel!E:E,1,Settings!$B$16)</f>
        <v/>
      </c>
      <c r="N1716" s="5" t="str" cm="1">
        <f t="array" ref="N1716">choice(Settings!K:K,1,Settings!$B$16)</f>
        <v>lundi pm</v>
      </c>
      <c r="P1716" s="5">
        <f t="shared" si="108"/>
        <v>3</v>
      </c>
    </row>
    <row r="1717" spans="1:16" ht="15.75" customHeight="1" x14ac:dyDescent="0.25">
      <c r="A1717" s="6" t="s">
        <v>2069</v>
      </c>
      <c r="B1717" s="6" cm="1">
        <f t="array" ref="B1717">alea_int(Settings!$B$10,1,Settings!$B$16)</f>
        <v>3</v>
      </c>
      <c r="C1717" s="8">
        <v>46023</v>
      </c>
      <c r="D1717" s="8">
        <f t="shared" si="105"/>
        <v>46387</v>
      </c>
      <c r="E1717" s="6" t="str" cm="1">
        <f t="array" ref="E1717">choice(Groupes!A:A,1,Settings!$B$16)</f>
        <v>G13</v>
      </c>
      <c r="F1717" s="6" t="str">
        <f t="shared" si="106"/>
        <v>G13</v>
      </c>
      <c r="G1717" s="6" t="str">
        <f t="shared" si="107"/>
        <v>Prof51</v>
      </c>
      <c r="H1717" s="6" t="str" cm="1">
        <f t="array" ref="H1717">choice(Referentiel!A:A,1,Settings!$B$16)</f>
        <v>Design des mondes insulaires</v>
      </c>
      <c r="I1717" s="6" t="str" cm="1">
        <f t="array" ref="I1717">choice(Referentiel!B:B,1,Settings!$B$16)</f>
        <v>4ème année Design Objet S2</v>
      </c>
      <c r="J1717" s="6" t="str" cm="1">
        <f t="array" ref="J1717">choice(Referentiel!D:D,1,Settings!$B$16)</f>
        <v>L2</v>
      </c>
      <c r="K1717" s="6" t="str" cm="1">
        <f t="array" ref="K1717">choice(Professeurs!B:B,1,Settings!$B$16)</f>
        <v>Prof51</v>
      </c>
      <c r="L1717" s="5" t="str" cm="1">
        <f t="array" ref="L1717">choice(Referentiel!C:C,1,Settings!$B$16)</f>
        <v/>
      </c>
      <c r="M1717" s="5" t="str" cm="1">
        <f t="array" ref="M1717">choice(Referentiel!E:E,1,Settings!$B$16)</f>
        <v/>
      </c>
      <c r="N1717" s="5" t="str" cm="1">
        <f t="array" ref="N1717">choice(Settings!K:K,1,Settings!$B$16)</f>
        <v>vendredi pm</v>
      </c>
      <c r="P1717" s="5">
        <f t="shared" si="108"/>
        <v>5</v>
      </c>
    </row>
    <row r="1718" spans="1:16" ht="15.75" customHeight="1" x14ac:dyDescent="0.25">
      <c r="A1718" s="6" t="s">
        <v>2070</v>
      </c>
      <c r="B1718" s="6" cm="1">
        <f t="array" ref="B1718">alea_int(Settings!$B$10,1,Settings!$B$16)</f>
        <v>3</v>
      </c>
      <c r="C1718" s="8">
        <v>46023</v>
      </c>
      <c r="D1718" s="8">
        <f t="shared" si="105"/>
        <v>46387</v>
      </c>
      <c r="E1718" s="6" t="str" cm="1">
        <f t="array" ref="E1718">choice(Groupes!A:A,1,Settings!$B$16)</f>
        <v>G22</v>
      </c>
      <c r="F1718" s="6" t="str">
        <f t="shared" si="106"/>
        <v>G22</v>
      </c>
      <c r="G1718" s="6" t="str">
        <f t="shared" si="107"/>
        <v>Prof39</v>
      </c>
      <c r="H1718" s="6" t="str" cm="1">
        <f t="array" ref="H1718">choice(Referentiel!A:A,1,Settings!$B$16)</f>
        <v>Gr SPATIAL MEDIA</v>
      </c>
      <c r="I1718" s="6" t="str" cm="1">
        <f t="array" ref="I1718">choice(Referentiel!B:B,1,Settings!$B$16)</f>
        <v>2ème année Design Graphique S2</v>
      </c>
      <c r="J1718" s="6" t="str" cm="1">
        <f t="array" ref="J1718">choice(Referentiel!D:D,1,Settings!$B$16)</f>
        <v>M2</v>
      </c>
      <c r="K1718" s="6" t="str" cm="1">
        <f t="array" ref="K1718">choice(Professeurs!B:B,1,Settings!$B$16)</f>
        <v>Prof39</v>
      </c>
      <c r="L1718" s="5" t="str" cm="1">
        <f t="array" ref="L1718">choice(Referentiel!C:C,1,Settings!$B$16)</f>
        <v/>
      </c>
      <c r="M1718" s="5" t="str" cm="1">
        <f t="array" ref="M1718">choice(Referentiel!E:E,1,Settings!$B$16)</f>
        <v/>
      </c>
      <c r="N1718" s="5" t="str" cm="1">
        <f t="array" ref="N1718">choice(Settings!K:K,1,Settings!$B$16)</f>
        <v/>
      </c>
      <c r="P1718" s="5">
        <f t="shared" si="108"/>
        <v>3</v>
      </c>
    </row>
    <row r="1719" spans="1:16" ht="15.75" customHeight="1" x14ac:dyDescent="0.25">
      <c r="A1719" s="6" t="s">
        <v>2071</v>
      </c>
      <c r="B1719" s="6" cm="1">
        <f t="array" ref="B1719">alea_int(Settings!$B$10,1,Settings!$B$16)</f>
        <v>3</v>
      </c>
      <c r="C1719" s="8">
        <v>46023</v>
      </c>
      <c r="D1719" s="8">
        <f t="shared" si="105"/>
        <v>46387</v>
      </c>
      <c r="E1719" s="6" t="str" cm="1">
        <f t="array" ref="E1719">choice(Groupes!A:A,1,Settings!$B$16)</f>
        <v>G6</v>
      </c>
      <c r="F1719" s="6" t="str">
        <f t="shared" si="106"/>
        <v>G6</v>
      </c>
      <c r="G1719" s="6" t="str">
        <f t="shared" si="107"/>
        <v>Prof46</v>
      </c>
      <c r="H1719" s="6" t="str" cm="1">
        <f t="array" ref="H1719">choice(Referentiel!A:A,1,Settings!$B$16)</f>
        <v>Design des mondes montagneux</v>
      </c>
      <c r="I1719" s="6" t="str" cm="1">
        <f t="array" ref="I1719">choice(Referentiel!B:B,1,Settings!$B$16)</f>
        <v>3ème année Photo / Vidéo S2</v>
      </c>
      <c r="J1719" s="6" t="str" cm="1">
        <f t="array" ref="J1719">choice(Referentiel!D:D,1,Settings!$B$16)</f>
        <v>L3</v>
      </c>
      <c r="K1719" s="6" t="str" cm="1">
        <f t="array" ref="K1719">choice(Professeurs!B:B,1,Settings!$B$16)</f>
        <v>Prof46</v>
      </c>
      <c r="L1719" s="5" t="str" cm="1">
        <f t="array" ref="L1719">choice(Referentiel!C:C,1,Settings!$B$16)</f>
        <v/>
      </c>
      <c r="M1719" s="5" t="str" cm="1">
        <f t="array" ref="M1719">choice(Referentiel!E:E,1,Settings!$B$16)</f>
        <v/>
      </c>
      <c r="N1719" s="5" t="str" cm="1">
        <f t="array" ref="N1719">choice(Settings!K:K,1,Settings!$B$16)</f>
        <v/>
      </c>
      <c r="P1719" s="5">
        <f t="shared" si="108"/>
        <v>3</v>
      </c>
    </row>
    <row r="1720" spans="1:16" ht="15.75" customHeight="1" x14ac:dyDescent="0.25">
      <c r="A1720" s="6" t="s">
        <v>2072</v>
      </c>
      <c r="B1720" s="6" cm="1">
        <f t="array" ref="B1720">alea_int(Settings!$B$10,1,Settings!$B$16)</f>
        <v>1</v>
      </c>
      <c r="C1720" s="8">
        <v>46023</v>
      </c>
      <c r="D1720" s="8">
        <f t="shared" si="105"/>
        <v>46387</v>
      </c>
      <c r="E1720" s="6" t="str" cm="1">
        <f t="array" ref="E1720">choice(Groupes!A:A,1,Settings!$B$16)</f>
        <v>G16</v>
      </c>
      <c r="F1720" s="6" t="str">
        <f t="shared" si="106"/>
        <v>G16</v>
      </c>
      <c r="G1720" s="6" t="str">
        <f t="shared" si="107"/>
        <v>Prof6</v>
      </c>
      <c r="H1720" s="6" t="str" cm="1">
        <f t="array" ref="H1720">choice(Referentiel!A:A,1,Settings!$B$16)</f>
        <v>Architecture Intérieure</v>
      </c>
      <c r="I1720" s="6" t="str" cm="1">
        <f t="array" ref="I1720">choice(Referentiel!B:B,1,Settings!$B$16)</f>
        <v>1ère Année Groupe 1 S2</v>
      </c>
      <c r="J1720" s="6" t="str" cm="1">
        <f t="array" ref="J1720">choice(Referentiel!D:D,1,Settings!$B$16)</f>
        <v>M1</v>
      </c>
      <c r="K1720" s="6" t="str" cm="1">
        <f t="array" ref="K1720">choice(Professeurs!B:B,1,Settings!$B$16)</f>
        <v>Prof6</v>
      </c>
      <c r="L1720" s="5" t="str" cm="1">
        <f t="array" ref="L1720">choice(Referentiel!C:C,1,Settings!$B$16)</f>
        <v/>
      </c>
      <c r="M1720" s="5" t="str" cm="1">
        <f t="array" ref="M1720">choice(Referentiel!E:E,1,Settings!$B$16)</f>
        <v/>
      </c>
      <c r="N1720" s="5" t="str" cm="1">
        <f t="array" ref="N1720">choice(Settings!K:K,1,Settings!$B$16)</f>
        <v>lundi am</v>
      </c>
      <c r="P1720" s="5">
        <f t="shared" si="108"/>
        <v>3</v>
      </c>
    </row>
    <row r="1721" spans="1:16" ht="15.75" customHeight="1" x14ac:dyDescent="0.25">
      <c r="A1721" s="6" t="s">
        <v>2073</v>
      </c>
      <c r="B1721" s="6" cm="1">
        <f t="array" ref="B1721">alea_int(Settings!$B$10,1,Settings!$B$16)</f>
        <v>1</v>
      </c>
      <c r="C1721" s="8">
        <v>46023</v>
      </c>
      <c r="D1721" s="8">
        <f t="shared" si="105"/>
        <v>46387</v>
      </c>
      <c r="E1721" s="6" t="str" cm="1">
        <f t="array" ref="E1721">choice(Groupes!A:A,1,Settings!$B$16)</f>
        <v>G15</v>
      </c>
      <c r="F1721" s="6" t="str">
        <f t="shared" si="106"/>
        <v>G15</v>
      </c>
      <c r="G1721" s="6" t="str">
        <f t="shared" si="107"/>
        <v>Prof53</v>
      </c>
      <c r="H1721" s="6" t="str" cm="1">
        <f t="array" ref="H1721">choice(Referentiel!A:A,1,Settings!$B$16)</f>
        <v>Architecture Intérieure</v>
      </c>
      <c r="I1721" s="6" t="str" cm="1">
        <f t="array" ref="I1721">choice(Referentiel!B:B,1,Settings!$B$16)</f>
        <v>5ème année Design Graphique S1</v>
      </c>
      <c r="J1721" s="6" t="str" cm="1">
        <f t="array" ref="J1721">choice(Referentiel!D:D,1,Settings!$B$16)</f>
        <v>L2</v>
      </c>
      <c r="K1721" s="6" t="str" cm="1">
        <f t="array" ref="K1721">choice(Professeurs!B:B,1,Settings!$B$16)</f>
        <v>Prof53</v>
      </c>
      <c r="L1721" s="5" t="str" cm="1">
        <f t="array" ref="L1721">choice(Referentiel!C:C,1,Settings!$B$16)</f>
        <v/>
      </c>
      <c r="M1721" s="5" t="str" cm="1">
        <f t="array" ref="M1721">choice(Referentiel!E:E,1,Settings!$B$16)</f>
        <v/>
      </c>
      <c r="N1721" s="5" t="str" cm="1">
        <f t="array" ref="N1721">choice(Settings!K:K,1,Settings!$B$16)</f>
        <v>mercredi pm</v>
      </c>
      <c r="P1721" s="5">
        <f t="shared" si="108"/>
        <v>3</v>
      </c>
    </row>
    <row r="1722" spans="1:16" ht="15.75" customHeight="1" x14ac:dyDescent="0.25">
      <c r="A1722" s="6" t="s">
        <v>2074</v>
      </c>
      <c r="B1722" s="6" cm="1">
        <f t="array" ref="B1722">alea_int(Settings!$B$10,1,Settings!$B$16)</f>
        <v>3</v>
      </c>
      <c r="C1722" s="8">
        <v>46023</v>
      </c>
      <c r="D1722" s="8">
        <f t="shared" si="105"/>
        <v>46387</v>
      </c>
      <c r="E1722" s="6" t="str" cm="1">
        <f t="array" ref="E1722">choice(Groupes!A:A,1,Settings!$B$16)</f>
        <v>G30</v>
      </c>
      <c r="F1722" s="6" t="str">
        <f t="shared" si="106"/>
        <v>G30</v>
      </c>
      <c r="G1722" s="6" t="str">
        <f t="shared" si="107"/>
        <v>Prof14</v>
      </c>
      <c r="H1722" s="6" t="str" cm="1">
        <f t="array" ref="H1722">choice(Referentiel!A:A,1,Settings!$B$16)</f>
        <v>Photo / Vidéo</v>
      </c>
      <c r="I1722" s="6" t="str" cm="1">
        <f t="array" ref="I1722">choice(Referentiel!B:B,1,Settings!$B$16)</f>
        <v>3ème année Design Objet S1</v>
      </c>
      <c r="J1722" s="6" t="str" cm="1">
        <f t="array" ref="J1722">choice(Referentiel!D:D,1,Settings!$B$16)</f>
        <v>L2</v>
      </c>
      <c r="K1722" s="6" t="str" cm="1">
        <f t="array" ref="K1722">choice(Professeurs!B:B,1,Settings!$B$16)</f>
        <v>Prof14</v>
      </c>
      <c r="L1722" s="5" t="str" cm="1">
        <f t="array" ref="L1722">choice(Referentiel!C:C,1,Settings!$B$16)</f>
        <v/>
      </c>
      <c r="M1722" s="5" t="str" cm="1">
        <f t="array" ref="M1722">choice(Referentiel!E:E,1,Settings!$B$16)</f>
        <v/>
      </c>
      <c r="N1722" s="5" t="str" cm="1">
        <f t="array" ref="N1722">choice(Settings!K:K,1,Settings!$B$16)</f>
        <v>vendredi pm</v>
      </c>
      <c r="P1722" s="5">
        <f t="shared" si="108"/>
        <v>5</v>
      </c>
    </row>
    <row r="1723" spans="1:16" ht="15.75" customHeight="1" x14ac:dyDescent="0.25">
      <c r="A1723" s="6" t="s">
        <v>2075</v>
      </c>
      <c r="B1723" s="6" cm="1">
        <f t="array" ref="B1723">alea_int(Settings!$B$10,1,Settings!$B$16)</f>
        <v>3</v>
      </c>
      <c r="C1723" s="8">
        <v>46023</v>
      </c>
      <c r="D1723" s="8">
        <f t="shared" si="105"/>
        <v>46387</v>
      </c>
      <c r="E1723" s="6" t="str" cm="1">
        <f t="array" ref="E1723">choice(Groupes!A:A,1,Settings!$B$16)</f>
        <v>G3</v>
      </c>
      <c r="F1723" s="6" t="str">
        <f t="shared" si="106"/>
        <v>G3</v>
      </c>
      <c r="G1723" s="6" t="str">
        <f t="shared" si="107"/>
        <v>Prof48</v>
      </c>
      <c r="H1723" s="6" t="str" cm="1">
        <f t="array" ref="H1723">choice(Referentiel!A:A,1,Settings!$B$16)</f>
        <v>Image Imprimée</v>
      </c>
      <c r="I1723" s="6" t="str" cm="1">
        <f t="array" ref="I1723">choice(Referentiel!B:B,1,Settings!$B$16)</f>
        <v>4ème année Design Objet S1</v>
      </c>
      <c r="J1723" s="6" t="str" cm="1">
        <f t="array" ref="J1723">choice(Referentiel!D:D,1,Settings!$B$16)</f>
        <v>L1</v>
      </c>
      <c r="K1723" s="6" t="str" cm="1">
        <f t="array" ref="K1723">choice(Professeurs!B:B,1,Settings!$B$16)</f>
        <v>Prof48</v>
      </c>
      <c r="L1723" s="5" t="str" cm="1">
        <f t="array" ref="L1723">choice(Referentiel!C:C,1,Settings!$B$16)</f>
        <v/>
      </c>
      <c r="M1723" s="5" t="str" cm="1">
        <f t="array" ref="M1723">choice(Referentiel!E:E,1,Settings!$B$16)</f>
        <v/>
      </c>
      <c r="N1723" s="5" t="str" cm="1">
        <f t="array" ref="N1723">choice(Settings!K:K,1,Settings!$B$16)</f>
        <v>mercredi pm</v>
      </c>
      <c r="P1723" s="5">
        <f t="shared" si="108"/>
        <v>5</v>
      </c>
    </row>
    <row r="1724" spans="1:16" ht="15.75" customHeight="1" x14ac:dyDescent="0.25">
      <c r="A1724" s="6" t="s">
        <v>2076</v>
      </c>
      <c r="B1724" s="6" cm="1">
        <f t="array" ref="B1724">alea_int(Settings!$B$10,1,Settings!$B$16)</f>
        <v>2</v>
      </c>
      <c r="C1724" s="8">
        <v>46023</v>
      </c>
      <c r="D1724" s="8">
        <f t="shared" si="105"/>
        <v>46387</v>
      </c>
      <c r="E1724" s="6" t="str" cm="1">
        <f t="array" ref="E1724">choice(Groupes!A:A,1,Settings!$B$16)</f>
        <v>G8</v>
      </c>
      <c r="F1724" s="6" t="str">
        <f t="shared" si="106"/>
        <v>G8</v>
      </c>
      <c r="G1724" s="6" t="str">
        <f t="shared" si="107"/>
        <v>Prof42</v>
      </c>
      <c r="H1724" s="6" t="str" cm="1">
        <f t="array" ref="H1724">choice(Referentiel!A:A,1,Settings!$B$16)</f>
        <v>Gr TERRITOIRES</v>
      </c>
      <c r="I1724" s="6" t="str" cm="1">
        <f t="array" ref="I1724">choice(Referentiel!B:B,1,Settings!$B$16)</f>
        <v>5ème année Scénographie S1</v>
      </c>
      <c r="J1724" s="6" t="str" cm="1">
        <f t="array" ref="J1724">choice(Referentiel!D:D,1,Settings!$B$16)</f>
        <v>M2</v>
      </c>
      <c r="K1724" s="6" t="str" cm="1">
        <f t="array" ref="K1724">choice(Professeurs!B:B,1,Settings!$B$16)</f>
        <v>Prof42</v>
      </c>
      <c r="L1724" s="5" t="str" cm="1">
        <f t="array" ref="L1724">choice(Referentiel!C:C,1,Settings!$B$16)</f>
        <v/>
      </c>
      <c r="M1724" s="5" t="str" cm="1">
        <f t="array" ref="M1724">choice(Referentiel!E:E,1,Settings!$B$16)</f>
        <v/>
      </c>
      <c r="N1724" s="5" t="str" cm="1">
        <f t="array" ref="N1724">choice(Settings!K:K,1,Settings!$B$16)</f>
        <v/>
      </c>
      <c r="P1724" s="5">
        <f t="shared" si="108"/>
        <v>2</v>
      </c>
    </row>
    <row r="1725" spans="1:16" ht="15.75" customHeight="1" x14ac:dyDescent="0.25">
      <c r="A1725" s="6" t="s">
        <v>2077</v>
      </c>
      <c r="B1725" s="6" cm="1">
        <f t="array" ref="B1725">alea_int(Settings!$B$10,1,Settings!$B$16)</f>
        <v>2</v>
      </c>
      <c r="C1725" s="8">
        <v>46023</v>
      </c>
      <c r="D1725" s="8">
        <f t="shared" si="105"/>
        <v>46387</v>
      </c>
      <c r="E1725" s="6" t="str" cm="1">
        <f t="array" ref="E1725">choice(Groupes!A:A,1,Settings!$B$16)</f>
        <v>G6</v>
      </c>
      <c r="F1725" s="6" t="str">
        <f t="shared" si="106"/>
        <v>G6</v>
      </c>
      <c r="G1725" s="6" t="str">
        <f t="shared" si="107"/>
        <v>Prof49</v>
      </c>
      <c r="H1725" s="6" t="str" cm="1">
        <f t="array" ref="H1725">choice(Referentiel!A:A,1,Settings!$B$16)</f>
        <v>Gr SPATIAL MEDIA</v>
      </c>
      <c r="I1725" s="6" t="str" cm="1">
        <f t="array" ref="I1725">choice(Referentiel!B:B,1,Settings!$B$16)</f>
        <v>2ème année Design Graphique S2</v>
      </c>
      <c r="J1725" s="6" t="str" cm="1">
        <f t="array" ref="J1725">choice(Referentiel!D:D,1,Settings!$B$16)</f>
        <v>M2</v>
      </c>
      <c r="K1725" s="6" t="str" cm="1">
        <f t="array" ref="K1725">choice(Professeurs!B:B,1,Settings!$B$16)</f>
        <v>Prof49</v>
      </c>
      <c r="L1725" s="5" t="str" cm="1">
        <f t="array" ref="L1725">choice(Referentiel!C:C,1,Settings!$B$16)</f>
        <v/>
      </c>
      <c r="M1725" s="5" t="str" cm="1">
        <f t="array" ref="M1725">choice(Referentiel!E:E,1,Settings!$B$16)</f>
        <v/>
      </c>
      <c r="N1725" s="5" t="str" cm="1">
        <f t="array" ref="N1725">choice(Settings!K:K,1,Settings!$B$16)</f>
        <v/>
      </c>
      <c r="P1725" s="5">
        <f t="shared" si="108"/>
        <v>2</v>
      </c>
    </row>
    <row r="1726" spans="1:16" ht="15.75" customHeight="1" x14ac:dyDescent="0.25">
      <c r="A1726" s="6" t="s">
        <v>2078</v>
      </c>
      <c r="B1726" s="6" cm="1">
        <f t="array" ref="B1726">alea_int(Settings!$B$10,1,Settings!$B$16)</f>
        <v>3</v>
      </c>
      <c r="C1726" s="8">
        <v>46023</v>
      </c>
      <c r="D1726" s="8">
        <f t="shared" si="105"/>
        <v>46387</v>
      </c>
      <c r="E1726" s="6" t="str" cm="1">
        <f t="array" ref="E1726">choice(Groupes!A:A,1,Settings!$B$16)</f>
        <v>G9</v>
      </c>
      <c r="F1726" s="6" t="str">
        <f t="shared" si="106"/>
        <v>G9</v>
      </c>
      <c r="G1726" s="6" t="str">
        <f t="shared" si="107"/>
        <v>Prof30</v>
      </c>
      <c r="H1726" s="6" t="str" cm="1">
        <f t="array" ref="H1726">choice(Referentiel!A:A,1,Settings!$B$16)</f>
        <v>Photo / Vidéo</v>
      </c>
      <c r="I1726" s="6" t="str" cm="1">
        <f t="array" ref="I1726">choice(Referentiel!B:B,1,Settings!$B$16)</f>
        <v>1ère Année Groupe 2 S1</v>
      </c>
      <c r="J1726" s="6" t="str" cm="1">
        <f t="array" ref="J1726">choice(Referentiel!D:D,1,Settings!$B$16)</f>
        <v>M1</v>
      </c>
      <c r="K1726" s="6" t="str" cm="1">
        <f t="array" ref="K1726">choice(Professeurs!B:B,1,Settings!$B$16)</f>
        <v>Prof30</v>
      </c>
      <c r="L1726" s="5" t="str" cm="1">
        <f t="array" ref="L1726">choice(Referentiel!C:C,1,Settings!$B$16)</f>
        <v/>
      </c>
      <c r="M1726" s="5" t="str" cm="1">
        <f t="array" ref="M1726">choice(Referentiel!E:E,1,Settings!$B$16)</f>
        <v/>
      </c>
      <c r="N1726" s="5" t="str" cm="1">
        <f t="array" ref="N1726">choice(Settings!K:K,1,Settings!$B$16)</f>
        <v/>
      </c>
      <c r="P1726" s="5">
        <f t="shared" si="108"/>
        <v>3</v>
      </c>
    </row>
    <row r="1727" spans="1:16" ht="15.75" customHeight="1" x14ac:dyDescent="0.25">
      <c r="A1727" s="6" t="s">
        <v>2079</v>
      </c>
      <c r="B1727" s="6" cm="1">
        <f t="array" ref="B1727">alea_int(Settings!$B$10,1,Settings!$B$16)</f>
        <v>3</v>
      </c>
      <c r="C1727" s="8">
        <v>46023</v>
      </c>
      <c r="D1727" s="8">
        <f t="shared" si="105"/>
        <v>46387</v>
      </c>
      <c r="E1727" s="6" t="str" cm="1">
        <f t="array" ref="E1727">choice(Groupes!A:A,1,Settings!$B$16)</f>
        <v>G12</v>
      </c>
      <c r="F1727" s="6" t="str">
        <f t="shared" si="106"/>
        <v>G12</v>
      </c>
      <c r="G1727" s="6" t="str">
        <f t="shared" si="107"/>
        <v>Prof35</v>
      </c>
      <c r="H1727" s="6" t="str" cm="1">
        <f t="array" ref="H1727">choice(Referentiel!A:A,1,Settings!$B$16)</f>
        <v>Design des mondes montagneux</v>
      </c>
      <c r="I1727" s="6" t="str" cm="1">
        <f t="array" ref="I1727">choice(Referentiel!B:B,1,Settings!$B$16)</f>
        <v>3ème année Art-Espace S2</v>
      </c>
      <c r="J1727" s="6" t="str" cm="1">
        <f t="array" ref="J1727">choice(Referentiel!D:D,1,Settings!$B$16)</f>
        <v>L2</v>
      </c>
      <c r="K1727" s="6" t="str" cm="1">
        <f t="array" ref="K1727">choice(Professeurs!B:B,1,Settings!$B$16)</f>
        <v>Prof35</v>
      </c>
      <c r="L1727" s="5" t="str" cm="1">
        <f t="array" ref="L1727">choice(Referentiel!C:C,1,Settings!$B$16)</f>
        <v/>
      </c>
      <c r="M1727" s="5" t="str" cm="1">
        <f t="array" ref="M1727">choice(Referentiel!E:E,1,Settings!$B$16)</f>
        <v/>
      </c>
      <c r="N1727" s="5" t="str" cm="1">
        <f t="array" ref="N1727">choice(Settings!K:K,1,Settings!$B$16)</f>
        <v>semaine</v>
      </c>
      <c r="P1727" s="5">
        <f t="shared" si="108"/>
        <v>5</v>
      </c>
    </row>
    <row r="1728" spans="1:16" ht="15.75" customHeight="1" x14ac:dyDescent="0.25">
      <c r="A1728" s="6" t="s">
        <v>2080</v>
      </c>
      <c r="B1728" s="6" cm="1">
        <f t="array" ref="B1728">alea_int(Settings!$B$10,1,Settings!$B$16)</f>
        <v>1</v>
      </c>
      <c r="C1728" s="8">
        <v>46023</v>
      </c>
      <c r="D1728" s="8">
        <f t="shared" si="105"/>
        <v>46387</v>
      </c>
      <c r="E1728" s="6" t="str" cm="1">
        <f t="array" ref="E1728">choice(Groupes!A:A,1,Settings!$B$16)</f>
        <v>G17</v>
      </c>
      <c r="F1728" s="6" t="str">
        <f t="shared" si="106"/>
        <v>G17</v>
      </c>
      <c r="G1728" s="6" t="str">
        <f t="shared" si="107"/>
        <v>Prof14</v>
      </c>
      <c r="H1728" s="6" t="str" cm="1">
        <f t="array" ref="H1728">choice(Referentiel!A:A,1,Settings!$B$16)</f>
        <v>1ère année Groupe 2</v>
      </c>
      <c r="I1728" s="6" t="str" cm="1">
        <f t="array" ref="I1728">choice(Referentiel!B:B,1,Settings!$B$16)</f>
        <v>4ème année Design Vêtement S2</v>
      </c>
      <c r="J1728" s="6" t="str" cm="1">
        <f t="array" ref="J1728">choice(Referentiel!D:D,1,Settings!$B$16)</f>
        <v>L1</v>
      </c>
      <c r="K1728" s="6" t="str" cm="1">
        <f t="array" ref="K1728">choice(Professeurs!B:B,1,Settings!$B$16)</f>
        <v>Prof14</v>
      </c>
      <c r="L1728" s="5" t="str" cm="1">
        <f t="array" ref="L1728">choice(Referentiel!C:C,1,Settings!$B$16)</f>
        <v/>
      </c>
      <c r="M1728" s="5" t="str" cm="1">
        <f t="array" ref="M1728">choice(Referentiel!E:E,1,Settings!$B$16)</f>
        <v/>
      </c>
      <c r="N1728" s="5" t="str" cm="1">
        <f t="array" ref="N1728">choice(Settings!K:K,1,Settings!$B$16)</f>
        <v/>
      </c>
      <c r="P1728" s="5">
        <f t="shared" si="108"/>
        <v>1</v>
      </c>
    </row>
    <row r="1729" spans="1:16" ht="15.75" customHeight="1" x14ac:dyDescent="0.25">
      <c r="A1729" s="6" t="s">
        <v>2081</v>
      </c>
      <c r="B1729" s="6" cm="1">
        <f t="array" ref="B1729">alea_int(Settings!$B$10,1,Settings!$B$16)</f>
        <v>3</v>
      </c>
      <c r="C1729" s="8">
        <v>46023</v>
      </c>
      <c r="D1729" s="8">
        <f t="shared" si="105"/>
        <v>46387</v>
      </c>
      <c r="E1729" s="6" t="str" cm="1">
        <f t="array" ref="E1729">choice(Groupes!A:A,1,Settings!$B$16)</f>
        <v>G6</v>
      </c>
      <c r="F1729" s="6" t="str">
        <f t="shared" si="106"/>
        <v>G6</v>
      </c>
      <c r="G1729" s="6" t="str">
        <f t="shared" si="107"/>
        <v>Prof26</v>
      </c>
      <c r="H1729" s="6" t="str" cm="1">
        <f t="array" ref="H1729">choice(Referentiel!A:A,1,Settings!$B$16)</f>
        <v>1ère année Groupe 2</v>
      </c>
      <c r="I1729" s="6" t="str" cm="1">
        <f t="array" ref="I1729">choice(Referentiel!B:B,1,Settings!$B$16)</f>
        <v>4ème année Design Graphique S1</v>
      </c>
      <c r="J1729" s="6" t="str" cm="1">
        <f t="array" ref="J1729">choice(Referentiel!D:D,1,Settings!$B$16)</f>
        <v>M2</v>
      </c>
      <c r="K1729" s="6" t="str" cm="1">
        <f t="array" ref="K1729">choice(Professeurs!B:B,1,Settings!$B$16)</f>
        <v>Prof26</v>
      </c>
      <c r="L1729" s="5" t="str" cm="1">
        <f t="array" ref="L1729">choice(Referentiel!C:C,1,Settings!$B$16)</f>
        <v>projecteur</v>
      </c>
      <c r="M1729" s="5" t="str" cm="1">
        <f t="array" ref="M1729">choice(Referentiel!E:E,1,Settings!$B$16)</f>
        <v/>
      </c>
      <c r="N1729" s="5" t="str" cm="1">
        <f t="array" ref="N1729">choice(Settings!K:K,1,Settings!$B$16)</f>
        <v/>
      </c>
      <c r="P1729" s="5">
        <f t="shared" si="108"/>
        <v>3</v>
      </c>
    </row>
    <row r="1730" spans="1:16" ht="15.75" customHeight="1" x14ac:dyDescent="0.25">
      <c r="A1730" s="6" t="s">
        <v>2082</v>
      </c>
      <c r="B1730" s="6" cm="1">
        <f t="array" ref="B1730">alea_int(Settings!$B$10,1,Settings!$B$16)</f>
        <v>3</v>
      </c>
      <c r="C1730" s="8">
        <v>46023</v>
      </c>
      <c r="D1730" s="8">
        <f t="shared" si="105"/>
        <v>46387</v>
      </c>
      <c r="E1730" s="6" t="str" cm="1">
        <f t="array" ref="E1730">choice(Groupes!A:A,1,Settings!$B$16)</f>
        <v>G20</v>
      </c>
      <c r="F1730" s="6" t="str">
        <f t="shared" si="106"/>
        <v>G20</v>
      </c>
      <c r="G1730" s="6" t="str">
        <f t="shared" si="107"/>
        <v>Prof14</v>
      </c>
      <c r="H1730" s="6" t="str" cm="1">
        <f t="array" ref="H1730">choice(Referentiel!A:A,1,Settings!$B$16)</f>
        <v>Design Objet</v>
      </c>
      <c r="I1730" s="6" t="str" cm="1">
        <f t="array" ref="I1730">choice(Referentiel!B:B,1,Settings!$B$16)</f>
        <v>2ème année Architecture Intérieure S2</v>
      </c>
      <c r="J1730" s="6" t="str" cm="1">
        <f t="array" ref="J1730">choice(Referentiel!D:D,1,Settings!$B$16)</f>
        <v>L2</v>
      </c>
      <c r="K1730" s="6" t="str" cm="1">
        <f t="array" ref="K1730">choice(Professeurs!B:B,1,Settings!$B$16)</f>
        <v>Prof14</v>
      </c>
      <c r="L1730" s="5" t="str" cm="1">
        <f t="array" ref="L1730">choice(Referentiel!C:C,1,Settings!$B$16)</f>
        <v/>
      </c>
      <c r="M1730" s="5" t="str" cm="1">
        <f t="array" ref="M1730">choice(Referentiel!E:E,1,Settings!$B$16)</f>
        <v/>
      </c>
      <c r="N1730" s="5" t="str" cm="1">
        <f t="array" ref="N1730">choice(Settings!K:K,1,Settings!$B$16)</f>
        <v/>
      </c>
      <c r="P1730" s="5">
        <f t="shared" si="108"/>
        <v>3</v>
      </c>
    </row>
    <row r="1731" spans="1:16" ht="15.75" customHeight="1" x14ac:dyDescent="0.25">
      <c r="A1731" s="6" t="s">
        <v>2083</v>
      </c>
      <c r="B1731" s="6" cm="1">
        <f t="array" ref="B1731">alea_int(Settings!$B$10,1,Settings!$B$16)</f>
        <v>2</v>
      </c>
      <c r="C1731" s="8">
        <v>46023</v>
      </c>
      <c r="D1731" s="8">
        <f t="shared" ref="D1731:D1794" si="109">C1731+364</f>
        <v>46387</v>
      </c>
      <c r="E1731" s="6" t="str" cm="1">
        <f t="array" ref="E1731">choice(Groupes!A:A,1,Settings!$B$16)</f>
        <v>G14</v>
      </c>
      <c r="F1731" s="6" t="str">
        <f t="shared" ref="F1731:F1794" si="110">E1731</f>
        <v>G14</v>
      </c>
      <c r="G1731" s="6" t="str">
        <f t="shared" ref="G1731:G1794" si="111">K1731</f>
        <v>Prof20</v>
      </c>
      <c r="H1731" s="6" t="str" cm="1">
        <f t="array" ref="H1731">choice(Referentiel!A:A,1,Settings!$B$16)</f>
        <v>Design des mondes insulaires</v>
      </c>
      <c r="I1731" s="6" t="str" cm="1">
        <f t="array" ref="I1731">choice(Referentiel!B:B,1,Settings!$B$16)</f>
        <v>4ème année Scénographie S1</v>
      </c>
      <c r="J1731" s="6" t="str" cm="1">
        <f t="array" ref="J1731">choice(Referentiel!D:D,1,Settings!$B$16)</f>
        <v>L2</v>
      </c>
      <c r="K1731" s="6" t="str" cm="1">
        <f t="array" ref="K1731">choice(Professeurs!B:B,1,Settings!$B$16)</f>
        <v>Prof20</v>
      </c>
      <c r="L1731" s="5" t="str" cm="1">
        <f t="array" ref="L1731">choice(Referentiel!C:C,1,Settings!$B$16)</f>
        <v/>
      </c>
      <c r="M1731" s="5" t="str" cm="1">
        <f t="array" ref="M1731">choice(Referentiel!E:E,1,Settings!$B$16)</f>
        <v/>
      </c>
      <c r="N1731" s="5" t="str" cm="1">
        <f t="array" ref="N1731">choice(Settings!K:K,1,Settings!$B$16)</f>
        <v/>
      </c>
      <c r="P1731" s="5">
        <f t="shared" ref="P1731:P1794" si="112">B1731+IF(M1731&lt;&gt;"",2,0)+IF(N1731&lt;&gt;"",2,0)</f>
        <v>2</v>
      </c>
    </row>
    <row r="1732" spans="1:16" ht="15.75" customHeight="1" x14ac:dyDescent="0.25">
      <c r="A1732" s="6" t="s">
        <v>2084</v>
      </c>
      <c r="B1732" s="6" cm="1">
        <f t="array" ref="B1732">alea_int(Settings!$B$10,1,Settings!$B$16)</f>
        <v>2</v>
      </c>
      <c r="C1732" s="8">
        <v>46023</v>
      </c>
      <c r="D1732" s="8">
        <f t="shared" si="109"/>
        <v>46387</v>
      </c>
      <c r="E1732" s="6" t="str" cm="1">
        <f t="array" ref="E1732">choice(Groupes!A:A,1,Settings!$B$16)</f>
        <v>G25</v>
      </c>
      <c r="F1732" s="6" t="str">
        <f t="shared" si="110"/>
        <v>G25</v>
      </c>
      <c r="G1732" s="6" t="str">
        <f t="shared" si="111"/>
        <v>Prof19</v>
      </c>
      <c r="H1732" s="6" t="str" cm="1">
        <f t="array" ref="H1732">choice(Referentiel!A:A,1,Settings!$B$16)</f>
        <v>Scénographie</v>
      </c>
      <c r="I1732" s="6" t="str" cm="1">
        <f t="array" ref="I1732">choice(Referentiel!B:B,1,Settings!$B$16)</f>
        <v>4ème année Art-Espace S1</v>
      </c>
      <c r="J1732" s="6" t="str" cm="1">
        <f t="array" ref="J1732">choice(Referentiel!D:D,1,Settings!$B$16)</f>
        <v>M2</v>
      </c>
      <c r="K1732" s="6" t="str" cm="1">
        <f t="array" ref="K1732">choice(Professeurs!B:B,1,Settings!$B$16)</f>
        <v>Prof19</v>
      </c>
      <c r="L1732" s="5" t="str" cm="1">
        <f t="array" ref="L1732">choice(Referentiel!C:C,1,Settings!$B$16)</f>
        <v>tablette</v>
      </c>
      <c r="M1732" s="5" t="str" cm="1">
        <f t="array" ref="M1732">choice(Referentiel!E:E,1,Settings!$B$16)</f>
        <v/>
      </c>
      <c r="N1732" s="5" t="str" cm="1">
        <f t="array" ref="N1732">choice(Settings!K:K,1,Settings!$B$16)</f>
        <v>mardi pm</v>
      </c>
      <c r="P1732" s="5">
        <f t="shared" si="112"/>
        <v>4</v>
      </c>
    </row>
    <row r="1733" spans="1:16" ht="15.75" customHeight="1" x14ac:dyDescent="0.25">
      <c r="A1733" s="6" t="s">
        <v>2085</v>
      </c>
      <c r="B1733" s="6" cm="1">
        <f t="array" ref="B1733">alea_int(Settings!$B$10,1,Settings!$B$16)</f>
        <v>1</v>
      </c>
      <c r="C1733" s="8">
        <v>46023</v>
      </c>
      <c r="D1733" s="8">
        <f t="shared" si="109"/>
        <v>46387</v>
      </c>
      <c r="E1733" s="6" t="str" cm="1">
        <f t="array" ref="E1733">choice(Groupes!A:A,1,Settings!$B$16)</f>
        <v>G20</v>
      </c>
      <c r="F1733" s="6" t="str">
        <f t="shared" si="110"/>
        <v>G20</v>
      </c>
      <c r="G1733" s="6" t="str">
        <f t="shared" si="111"/>
        <v>Prof2</v>
      </c>
      <c r="H1733" s="6" t="str" cm="1">
        <f t="array" ref="H1733">choice(Referentiel!A:A,1,Settings!$B$16)</f>
        <v>1ère année Groupe 3</v>
      </c>
      <c r="I1733" s="6" t="str" cm="1">
        <f t="array" ref="I1733">choice(Referentiel!B:B,1,Settings!$B$16)</f>
        <v>2ème année Architecture Intérieure S1</v>
      </c>
      <c r="J1733" s="6" t="str" cm="1">
        <f t="array" ref="J1733">choice(Referentiel!D:D,1,Settings!$B$16)</f>
        <v>M1</v>
      </c>
      <c r="K1733" s="6" t="str" cm="1">
        <f t="array" ref="K1733">choice(Professeurs!B:B,1,Settings!$B$16)</f>
        <v>Prof2</v>
      </c>
      <c r="L1733" s="5" t="str" cm="1">
        <f t="array" ref="L1733">choice(Referentiel!C:C,1,Settings!$B$16)</f>
        <v/>
      </c>
      <c r="M1733" s="5" t="str" cm="1">
        <f t="array" ref="M1733">choice(Referentiel!E:E,1,Settings!$B$16)</f>
        <v/>
      </c>
      <c r="N1733" s="5" t="str" cm="1">
        <f t="array" ref="N1733">choice(Settings!K:K,1,Settings!$B$16)</f>
        <v/>
      </c>
      <c r="P1733" s="5">
        <f t="shared" si="112"/>
        <v>1</v>
      </c>
    </row>
    <row r="1734" spans="1:16" ht="15.75" customHeight="1" x14ac:dyDescent="0.25">
      <c r="A1734" s="6" t="s">
        <v>2086</v>
      </c>
      <c r="B1734" s="6" cm="1">
        <f t="array" ref="B1734">alea_int(Settings!$B$10,1,Settings!$B$16)</f>
        <v>2</v>
      </c>
      <c r="C1734" s="8">
        <v>46023</v>
      </c>
      <c r="D1734" s="8">
        <f t="shared" si="109"/>
        <v>46387</v>
      </c>
      <c r="E1734" s="6" t="str" cm="1">
        <f t="array" ref="E1734">choice(Groupes!A:A,1,Settings!$B$16)</f>
        <v>G7</v>
      </c>
      <c r="F1734" s="6" t="str">
        <f t="shared" si="110"/>
        <v>G7</v>
      </c>
      <c r="G1734" s="6" t="str">
        <f t="shared" si="111"/>
        <v>Prof21</v>
      </c>
      <c r="H1734" s="6" t="str" cm="1">
        <f t="array" ref="H1734">choice(Referentiel!A:A,1,Settings!$B$16)</f>
        <v>Design des mondes ruraux</v>
      </c>
      <c r="I1734" s="6" t="str" cm="1">
        <f t="array" ref="I1734">choice(Referentiel!B:B,1,Settings!$B$16)</f>
        <v>5ème année Design Graphique S2</v>
      </c>
      <c r="J1734" s="6" t="str" cm="1">
        <f t="array" ref="J1734">choice(Referentiel!D:D,1,Settings!$B$16)</f>
        <v>L2</v>
      </c>
      <c r="K1734" s="6" t="str" cm="1">
        <f t="array" ref="K1734">choice(Professeurs!B:B,1,Settings!$B$16)</f>
        <v>Prof21</v>
      </c>
      <c r="L1734" s="5" t="str" cm="1">
        <f t="array" ref="L1734">choice(Referentiel!C:C,1,Settings!$B$16)</f>
        <v/>
      </c>
      <c r="M1734" s="5" t="str" cm="1">
        <f t="array" ref="M1734">choice(Referentiel!E:E,1,Settings!$B$16)</f>
        <v/>
      </c>
      <c r="N1734" s="5" t="str" cm="1">
        <f t="array" ref="N1734">choice(Settings!K:K,1,Settings!$B$16)</f>
        <v/>
      </c>
      <c r="P1734" s="5">
        <f t="shared" si="112"/>
        <v>2</v>
      </c>
    </row>
    <row r="1735" spans="1:16" ht="15.75" customHeight="1" x14ac:dyDescent="0.25">
      <c r="A1735" s="6" t="s">
        <v>2087</v>
      </c>
      <c r="B1735" s="6" cm="1">
        <f t="array" ref="B1735">alea_int(Settings!$B$10,1,Settings!$B$16)</f>
        <v>3</v>
      </c>
      <c r="C1735" s="8">
        <v>46023</v>
      </c>
      <c r="D1735" s="8">
        <f t="shared" si="109"/>
        <v>46387</v>
      </c>
      <c r="E1735" s="6" t="str" cm="1">
        <f t="array" ref="E1735">choice(Groupes!A:A,1,Settings!$B$16)</f>
        <v>G19</v>
      </c>
      <c r="F1735" s="6" t="str">
        <f t="shared" si="110"/>
        <v>G19</v>
      </c>
      <c r="G1735" s="6" t="str">
        <f t="shared" si="111"/>
        <v>Prof51</v>
      </c>
      <c r="H1735" s="6" t="str" cm="1">
        <f t="array" ref="H1735">choice(Referentiel!A:A,1,Settings!$B$16)</f>
        <v>Scénographie</v>
      </c>
      <c r="I1735" s="6" t="str" cm="1">
        <f t="array" ref="I1735">choice(Referentiel!B:B,1,Settings!$B$16)</f>
        <v>5ème année Design Textile et Matière S1</v>
      </c>
      <c r="J1735" s="6" t="str" cm="1">
        <f t="array" ref="J1735">choice(Referentiel!D:D,1,Settings!$B$16)</f>
        <v>L2</v>
      </c>
      <c r="K1735" s="6" t="str" cm="1">
        <f t="array" ref="K1735">choice(Professeurs!B:B,1,Settings!$B$16)</f>
        <v>Prof51</v>
      </c>
      <c r="L1735" s="5" t="str" cm="1">
        <f t="array" ref="L1735">choice(Referentiel!C:C,1,Settings!$B$16)</f>
        <v/>
      </c>
      <c r="M1735" s="5" t="str" cm="1">
        <f t="array" ref="M1735">choice(Referentiel!E:E,1,Settings!$B$16)</f>
        <v/>
      </c>
      <c r="N1735" s="5" t="str" cm="1">
        <f t="array" ref="N1735">choice(Settings!K:K,1,Settings!$B$16)</f>
        <v/>
      </c>
      <c r="P1735" s="5">
        <f t="shared" si="112"/>
        <v>3</v>
      </c>
    </row>
    <row r="1736" spans="1:16" ht="15.75" customHeight="1" x14ac:dyDescent="0.25">
      <c r="A1736" s="6" t="s">
        <v>2088</v>
      </c>
      <c r="B1736" s="6" cm="1">
        <f t="array" ref="B1736">alea_int(Settings!$B$10,1,Settings!$B$16)</f>
        <v>2</v>
      </c>
      <c r="C1736" s="8">
        <v>46023</v>
      </c>
      <c r="D1736" s="8">
        <f t="shared" si="109"/>
        <v>46387</v>
      </c>
      <c r="E1736" s="6" t="str" cm="1">
        <f t="array" ref="E1736">choice(Groupes!A:A,1,Settings!$B$16)</f>
        <v>G4</v>
      </c>
      <c r="F1736" s="6" t="str">
        <f t="shared" si="110"/>
        <v>G4</v>
      </c>
      <c r="G1736" s="6" t="str">
        <f t="shared" si="111"/>
        <v>Prof21</v>
      </c>
      <c r="H1736" s="6" t="str" cm="1">
        <f t="array" ref="H1736">choice(Referentiel!A:A,1,Settings!$B$16)</f>
        <v>Design Graphique</v>
      </c>
      <c r="I1736" s="6" t="str" cm="1">
        <f t="array" ref="I1736">choice(Referentiel!B:B,1,Settings!$B$16)</f>
        <v>2ème année Design Textile et Matière S1</v>
      </c>
      <c r="J1736" s="6" t="str" cm="1">
        <f t="array" ref="J1736">choice(Referentiel!D:D,1,Settings!$B$16)</f>
        <v>L1</v>
      </c>
      <c r="K1736" s="6" t="str" cm="1">
        <f t="array" ref="K1736">choice(Professeurs!B:B,1,Settings!$B$16)</f>
        <v>Prof21</v>
      </c>
      <c r="L1736" s="5" t="str" cm="1">
        <f t="array" ref="L1736">choice(Referentiel!C:C,1,Settings!$B$16)</f>
        <v/>
      </c>
      <c r="M1736" s="5" t="str" cm="1">
        <f t="array" ref="M1736">choice(Referentiel!E:E,1,Settings!$B$16)</f>
        <v/>
      </c>
      <c r="N1736" s="5" t="str" cm="1">
        <f t="array" ref="N1736">choice(Settings!K:K,1,Settings!$B$16)</f>
        <v/>
      </c>
      <c r="P1736" s="5">
        <f t="shared" si="112"/>
        <v>2</v>
      </c>
    </row>
    <row r="1737" spans="1:16" ht="15.75" customHeight="1" x14ac:dyDescent="0.25">
      <c r="A1737" s="6" t="s">
        <v>2089</v>
      </c>
      <c r="B1737" s="6" cm="1">
        <f t="array" ref="B1737">alea_int(Settings!$B$10,1,Settings!$B$16)</f>
        <v>1</v>
      </c>
      <c r="C1737" s="8">
        <v>46023</v>
      </c>
      <c r="D1737" s="8">
        <f t="shared" si="109"/>
        <v>46387</v>
      </c>
      <c r="E1737" s="6" t="str" cm="1">
        <f t="array" ref="E1737">choice(Groupes!A:A,1,Settings!$B$16)</f>
        <v>G28</v>
      </c>
      <c r="F1737" s="6" t="str">
        <f t="shared" si="110"/>
        <v>G28</v>
      </c>
      <c r="G1737" s="6" t="str">
        <f t="shared" si="111"/>
        <v>Prof54</v>
      </c>
      <c r="H1737" s="6" t="str" cm="1">
        <f t="array" ref="H1737">choice(Referentiel!A:A,1,Settings!$B$16)</f>
        <v>Gr SYMBIOSE</v>
      </c>
      <c r="I1737" s="6" t="str" cm="1">
        <f t="array" ref="I1737">choice(Referentiel!B:B,1,Settings!$B$16)</f>
        <v>5ème année Design Textile et Matière S2</v>
      </c>
      <c r="J1737" s="6" t="str" cm="1">
        <f t="array" ref="J1737">choice(Referentiel!D:D,1,Settings!$B$16)</f>
        <v>M1</v>
      </c>
      <c r="K1737" s="6" t="str" cm="1">
        <f t="array" ref="K1737">choice(Professeurs!B:B,1,Settings!$B$16)</f>
        <v>Prof54</v>
      </c>
      <c r="L1737" s="5" t="str" cm="1">
        <f t="array" ref="L1737">choice(Referentiel!C:C,1,Settings!$B$16)</f>
        <v/>
      </c>
      <c r="M1737" s="5" t="str" cm="1">
        <f t="array" ref="M1737">choice(Referentiel!E:E,1,Settings!$B$16)</f>
        <v/>
      </c>
      <c r="N1737" s="5" t="str" cm="1">
        <f t="array" ref="N1737">choice(Settings!K:K,1,Settings!$B$16)</f>
        <v>semaine</v>
      </c>
      <c r="P1737" s="5">
        <f t="shared" si="112"/>
        <v>3</v>
      </c>
    </row>
    <row r="1738" spans="1:16" ht="15.75" customHeight="1" x14ac:dyDescent="0.25">
      <c r="A1738" s="6" t="s">
        <v>2090</v>
      </c>
      <c r="B1738" s="6" cm="1">
        <f t="array" ref="B1738">alea_int(Settings!$B$10,1,Settings!$B$16)</f>
        <v>2</v>
      </c>
      <c r="C1738" s="8">
        <v>46023</v>
      </c>
      <c r="D1738" s="8">
        <f t="shared" si="109"/>
        <v>46387</v>
      </c>
      <c r="E1738" s="6" t="str" cm="1">
        <f t="array" ref="E1738">choice(Groupes!A:A,1,Settings!$B$16)</f>
        <v>G2</v>
      </c>
      <c r="F1738" s="6" t="str">
        <f t="shared" si="110"/>
        <v>G2</v>
      </c>
      <c r="G1738" s="6" t="str">
        <f t="shared" si="111"/>
        <v>Prof33</v>
      </c>
      <c r="H1738" s="6" t="str" cm="1">
        <f t="array" ref="H1738">choice(Referentiel!A:A,1,Settings!$B$16)</f>
        <v>Design des mondes littoraux</v>
      </c>
      <c r="I1738" s="6" t="str" cm="1">
        <f t="array" ref="I1738">choice(Referentiel!B:B,1,Settings!$B$16)</f>
        <v>5ème année Design Objet S1</v>
      </c>
      <c r="J1738" s="6" t="str" cm="1">
        <f t="array" ref="J1738">choice(Referentiel!D:D,1,Settings!$B$16)</f>
        <v>M1</v>
      </c>
      <c r="K1738" s="6" t="str" cm="1">
        <f t="array" ref="K1738">choice(Professeurs!B:B,1,Settings!$B$16)</f>
        <v>Prof33</v>
      </c>
      <c r="L1738" s="5" t="str" cm="1">
        <f t="array" ref="L1738">choice(Referentiel!C:C,1,Settings!$B$16)</f>
        <v/>
      </c>
      <c r="M1738" s="5" t="str" cm="1">
        <f t="array" ref="M1738">choice(Referentiel!E:E,1,Settings!$B$16)</f>
        <v/>
      </c>
      <c r="N1738" s="5" t="str" cm="1">
        <f t="array" ref="N1738">choice(Settings!K:K,1,Settings!$B$16)</f>
        <v/>
      </c>
      <c r="P1738" s="5">
        <f t="shared" si="112"/>
        <v>2</v>
      </c>
    </row>
    <row r="1739" spans="1:16" ht="15.75" customHeight="1" x14ac:dyDescent="0.25">
      <c r="A1739" s="6" t="s">
        <v>2091</v>
      </c>
      <c r="B1739" s="6" cm="1">
        <f t="array" ref="B1739">alea_int(Settings!$B$10,1,Settings!$B$16)</f>
        <v>2</v>
      </c>
      <c r="C1739" s="8">
        <v>46023</v>
      </c>
      <c r="D1739" s="8">
        <f t="shared" si="109"/>
        <v>46387</v>
      </c>
      <c r="E1739" s="6" t="str" cm="1">
        <f t="array" ref="E1739">choice(Groupes!A:A,1,Settings!$B$16)</f>
        <v>G19</v>
      </c>
      <c r="F1739" s="6" t="str">
        <f t="shared" si="110"/>
        <v>G19</v>
      </c>
      <c r="G1739" s="6" t="str">
        <f t="shared" si="111"/>
        <v>Prof33</v>
      </c>
      <c r="H1739" s="6" t="str" cm="1">
        <f t="array" ref="H1739">choice(Referentiel!A:A,1,Settings!$B$16)</f>
        <v>Architecture Intérieure</v>
      </c>
      <c r="I1739" s="6" t="str" cm="1">
        <f t="array" ref="I1739">choice(Referentiel!B:B,1,Settings!$B$16)</f>
        <v>1ère Année Groupe 4 S1</v>
      </c>
      <c r="J1739" s="6" t="str" cm="1">
        <f t="array" ref="J1739">choice(Referentiel!D:D,1,Settings!$B$16)</f>
        <v>M1</v>
      </c>
      <c r="K1739" s="6" t="str" cm="1">
        <f t="array" ref="K1739">choice(Professeurs!B:B,1,Settings!$B$16)</f>
        <v>Prof33</v>
      </c>
      <c r="L1739" s="5" t="str" cm="1">
        <f t="array" ref="L1739">choice(Referentiel!C:C,1,Settings!$B$16)</f>
        <v/>
      </c>
      <c r="M1739" s="5" t="str" cm="1">
        <f t="array" ref="M1739">choice(Referentiel!E:E,1,Settings!$B$16)</f>
        <v/>
      </c>
      <c r="N1739" s="5" t="str" cm="1">
        <f t="array" ref="N1739">choice(Settings!K:K,1,Settings!$B$16)</f>
        <v/>
      </c>
      <c r="P1739" s="5">
        <f t="shared" si="112"/>
        <v>2</v>
      </c>
    </row>
    <row r="1740" spans="1:16" ht="15.75" customHeight="1" x14ac:dyDescent="0.25">
      <c r="A1740" s="6" t="s">
        <v>2092</v>
      </c>
      <c r="B1740" s="6" cm="1">
        <f t="array" ref="B1740">alea_int(Settings!$B$10,1,Settings!$B$16)</f>
        <v>1</v>
      </c>
      <c r="C1740" s="8">
        <v>46023</v>
      </c>
      <c r="D1740" s="8">
        <f t="shared" si="109"/>
        <v>46387</v>
      </c>
      <c r="E1740" s="6" t="str" cm="1">
        <f t="array" ref="E1740">choice(Groupes!A:A,1,Settings!$B$16)</f>
        <v>G18</v>
      </c>
      <c r="F1740" s="6" t="str">
        <f t="shared" si="110"/>
        <v>G18</v>
      </c>
      <c r="G1740" s="6" t="str">
        <f t="shared" si="111"/>
        <v>Prof19</v>
      </c>
      <c r="H1740" s="6" t="str" cm="1">
        <f t="array" ref="H1740">choice(Referentiel!A:A,1,Settings!$B$16)</f>
        <v>Photo / Vidéo</v>
      </c>
      <c r="I1740" s="6" t="str" cm="1">
        <f t="array" ref="I1740">choice(Referentiel!B:B,1,Settings!$B$16)</f>
        <v>1ère Année Groupe 1 S1</v>
      </c>
      <c r="J1740" s="6" t="str" cm="1">
        <f t="array" ref="J1740">choice(Referentiel!D:D,1,Settings!$B$16)</f>
        <v>L1</v>
      </c>
      <c r="K1740" s="6" t="str" cm="1">
        <f t="array" ref="K1740">choice(Professeurs!B:B,1,Settings!$B$16)</f>
        <v>Prof19</v>
      </c>
      <c r="L1740" s="5" t="str" cm="1">
        <f t="array" ref="L1740">choice(Referentiel!C:C,1,Settings!$B$16)</f>
        <v/>
      </c>
      <c r="M1740" s="5" t="str" cm="1">
        <f t="array" ref="M1740">choice(Referentiel!E:E,1,Settings!$B$16)</f>
        <v/>
      </c>
      <c r="N1740" s="5" t="str" cm="1">
        <f t="array" ref="N1740">choice(Settings!K:K,1,Settings!$B$16)</f>
        <v>lundi pm</v>
      </c>
      <c r="P1740" s="5">
        <f t="shared" si="112"/>
        <v>3</v>
      </c>
    </row>
    <row r="1741" spans="1:16" ht="15.75" customHeight="1" x14ac:dyDescent="0.25">
      <c r="A1741" s="6" t="s">
        <v>2093</v>
      </c>
      <c r="B1741" s="6" cm="1">
        <f t="array" ref="B1741">alea_int(Settings!$B$10,1,Settings!$B$16)</f>
        <v>1</v>
      </c>
      <c r="C1741" s="8">
        <v>46023</v>
      </c>
      <c r="D1741" s="8">
        <f t="shared" si="109"/>
        <v>46387</v>
      </c>
      <c r="E1741" s="6" t="str" cm="1">
        <f t="array" ref="E1741">choice(Groupes!A:A,1,Settings!$B$16)</f>
        <v>G10</v>
      </c>
      <c r="F1741" s="6" t="str">
        <f t="shared" si="110"/>
        <v>G10</v>
      </c>
      <c r="G1741" s="6" t="str">
        <f t="shared" si="111"/>
        <v>Prof33</v>
      </c>
      <c r="H1741" s="6" t="str" cm="1">
        <f t="array" ref="H1741">choice(Referentiel!A:A,1,Settings!$B$16)</f>
        <v>Design Vêtement</v>
      </c>
      <c r="I1741" s="6" t="str" cm="1">
        <f t="array" ref="I1741">choice(Referentiel!B:B,1,Settings!$B$16)</f>
        <v>4ème année Design Vêtement S2</v>
      </c>
      <c r="J1741" s="6" t="str" cm="1">
        <f t="array" ref="J1741">choice(Referentiel!D:D,1,Settings!$B$16)</f>
        <v>M1</v>
      </c>
      <c r="K1741" s="6" t="str" cm="1">
        <f t="array" ref="K1741">choice(Professeurs!B:B,1,Settings!$B$16)</f>
        <v>Prof33</v>
      </c>
      <c r="L1741" s="5" t="str" cm="1">
        <f t="array" ref="L1741">choice(Referentiel!C:C,1,Settings!$B$16)</f>
        <v/>
      </c>
      <c r="M1741" s="5" t="str" cm="1">
        <f t="array" ref="M1741">choice(Referentiel!E:E,1,Settings!$B$16)</f>
        <v/>
      </c>
      <c r="N1741" s="5" t="str" cm="1">
        <f t="array" ref="N1741">choice(Settings!K:K,1,Settings!$B$16)</f>
        <v/>
      </c>
      <c r="P1741" s="5">
        <f t="shared" si="112"/>
        <v>1</v>
      </c>
    </row>
    <row r="1742" spans="1:16" ht="15.75" customHeight="1" x14ac:dyDescent="0.25">
      <c r="A1742" s="6" t="s">
        <v>2094</v>
      </c>
      <c r="B1742" s="6" cm="1">
        <f t="array" ref="B1742">alea_int(Settings!$B$10,1,Settings!$B$16)</f>
        <v>3</v>
      </c>
      <c r="C1742" s="8">
        <v>46023</v>
      </c>
      <c r="D1742" s="8">
        <f t="shared" si="109"/>
        <v>46387</v>
      </c>
      <c r="E1742" s="6" t="str" cm="1">
        <f t="array" ref="E1742">choice(Groupes!A:A,1,Settings!$B$16)</f>
        <v>G5</v>
      </c>
      <c r="F1742" s="6" t="str">
        <f t="shared" si="110"/>
        <v>G5</v>
      </c>
      <c r="G1742" s="6" t="str">
        <f t="shared" si="111"/>
        <v>Prof21</v>
      </c>
      <c r="H1742" s="6" t="str" cm="1">
        <f t="array" ref="H1742">choice(Referentiel!A:A,1,Settings!$B$16)</f>
        <v>1ère année Groupe 1</v>
      </c>
      <c r="I1742" s="6" t="str" cm="1">
        <f t="array" ref="I1742">choice(Referentiel!B:B,1,Settings!$B$16)</f>
        <v>2ème année Architecture Intérieure S1</v>
      </c>
      <c r="J1742" s="6" t="str" cm="1">
        <f t="array" ref="J1742">choice(Referentiel!D:D,1,Settings!$B$16)</f>
        <v>M2</v>
      </c>
      <c r="K1742" s="6" t="str" cm="1">
        <f t="array" ref="K1742">choice(Professeurs!B:B,1,Settings!$B$16)</f>
        <v>Prof21</v>
      </c>
      <c r="L1742" s="5" t="str" cm="1">
        <f t="array" ref="L1742">choice(Referentiel!C:C,1,Settings!$B$16)</f>
        <v/>
      </c>
      <c r="M1742" s="5" t="str" cm="1">
        <f t="array" ref="M1742">choice(Referentiel!E:E,1,Settings!$B$16)</f>
        <v/>
      </c>
      <c r="N1742" s="5" t="str" cm="1">
        <f t="array" ref="N1742">choice(Settings!K:K,1,Settings!$B$16)</f>
        <v/>
      </c>
      <c r="P1742" s="5">
        <f t="shared" si="112"/>
        <v>3</v>
      </c>
    </row>
    <row r="1743" spans="1:16" ht="15.75" customHeight="1" x14ac:dyDescent="0.25">
      <c r="A1743" s="6" t="s">
        <v>2095</v>
      </c>
      <c r="B1743" s="6" cm="1">
        <f t="array" ref="B1743">alea_int(Settings!$B$10,1,Settings!$B$16)</f>
        <v>1</v>
      </c>
      <c r="C1743" s="8">
        <v>46023</v>
      </c>
      <c r="D1743" s="8">
        <f t="shared" si="109"/>
        <v>46387</v>
      </c>
      <c r="E1743" s="6" t="str" cm="1">
        <f t="array" ref="E1743">choice(Groupes!A:A,1,Settings!$B$16)</f>
        <v>G11</v>
      </c>
      <c r="F1743" s="6" t="str">
        <f t="shared" si="110"/>
        <v>G11</v>
      </c>
      <c r="G1743" s="6" t="str">
        <f t="shared" si="111"/>
        <v>Prof4</v>
      </c>
      <c r="H1743" s="6" t="str" cm="1">
        <f t="array" ref="H1743">choice(Referentiel!A:A,1,Settings!$B$16)</f>
        <v>1ère année Groupe 1</v>
      </c>
      <c r="I1743" s="6" t="str" cm="1">
        <f t="array" ref="I1743">choice(Referentiel!B:B,1,Settings!$B$16)</f>
        <v>5ème année Cinéma d'Animation S1</v>
      </c>
      <c r="J1743" s="6" t="str" cm="1">
        <f t="array" ref="J1743">choice(Referentiel!D:D,1,Settings!$B$16)</f>
        <v>L1</v>
      </c>
      <c r="K1743" s="6" t="str" cm="1">
        <f t="array" ref="K1743">choice(Professeurs!B:B,1,Settings!$B$16)</f>
        <v>Prof4</v>
      </c>
      <c r="L1743" s="5" t="str" cm="1">
        <f t="array" ref="L1743">choice(Referentiel!C:C,1,Settings!$B$16)</f>
        <v/>
      </c>
      <c r="M1743" s="5" t="str" cm="1">
        <f t="array" ref="M1743">choice(Referentiel!E:E,1,Settings!$B$16)</f>
        <v/>
      </c>
      <c r="N1743" s="5" t="str" cm="1">
        <f t="array" ref="N1743">choice(Settings!K:K,1,Settings!$B$16)</f>
        <v/>
      </c>
      <c r="P1743" s="5">
        <f t="shared" si="112"/>
        <v>1</v>
      </c>
    </row>
    <row r="1744" spans="1:16" ht="15.75" customHeight="1" x14ac:dyDescent="0.25">
      <c r="A1744" s="6" t="s">
        <v>2096</v>
      </c>
      <c r="B1744" s="6" cm="1">
        <f t="array" ref="B1744">alea_int(Settings!$B$10,1,Settings!$B$16)</f>
        <v>3</v>
      </c>
      <c r="C1744" s="8">
        <v>46023</v>
      </c>
      <c r="D1744" s="8">
        <f t="shared" si="109"/>
        <v>46387</v>
      </c>
      <c r="E1744" s="6" t="str" cm="1">
        <f t="array" ref="E1744">choice(Groupes!A:A,1,Settings!$B$16)</f>
        <v>G27</v>
      </c>
      <c r="F1744" s="6" t="str">
        <f t="shared" si="110"/>
        <v>G27</v>
      </c>
      <c r="G1744" s="6" t="str">
        <f t="shared" si="111"/>
        <v>Prof12</v>
      </c>
      <c r="H1744" s="6" t="str" cm="1">
        <f t="array" ref="H1744">choice(Referentiel!A:A,1,Settings!$B$16)</f>
        <v>Image Imprimée</v>
      </c>
      <c r="I1744" s="6" t="str" cm="1">
        <f t="array" ref="I1744">choice(Referentiel!B:B,1,Settings!$B$16)</f>
        <v>3ème année Design Graphique S2</v>
      </c>
      <c r="J1744" s="6" t="str" cm="1">
        <f t="array" ref="J1744">choice(Referentiel!D:D,1,Settings!$B$16)</f>
        <v>L3</v>
      </c>
      <c r="K1744" s="6" t="str" cm="1">
        <f t="array" ref="K1744">choice(Professeurs!B:B,1,Settings!$B$16)</f>
        <v>Prof12</v>
      </c>
      <c r="L1744" s="5" t="str" cm="1">
        <f t="array" ref="L1744">choice(Referentiel!C:C,1,Settings!$B$16)</f>
        <v/>
      </c>
      <c r="M1744" s="5" t="str" cm="1">
        <f t="array" ref="M1744">choice(Referentiel!E:E,1,Settings!$B$16)</f>
        <v/>
      </c>
      <c r="N1744" s="5" t="str" cm="1">
        <f t="array" ref="N1744">choice(Settings!K:K,1,Settings!$B$16)</f>
        <v/>
      </c>
      <c r="P1744" s="5">
        <f t="shared" si="112"/>
        <v>3</v>
      </c>
    </row>
    <row r="1745" spans="1:16" ht="15.75" customHeight="1" x14ac:dyDescent="0.25">
      <c r="A1745" s="6" t="s">
        <v>2097</v>
      </c>
      <c r="B1745" s="6" cm="1">
        <f t="array" ref="B1745">alea_int(Settings!$B$10,1,Settings!$B$16)</f>
        <v>3</v>
      </c>
      <c r="C1745" s="8">
        <v>46023</v>
      </c>
      <c r="D1745" s="8">
        <f t="shared" si="109"/>
        <v>46387</v>
      </c>
      <c r="E1745" s="6" t="str" cm="1">
        <f t="array" ref="E1745">choice(Groupes!A:A,1,Settings!$B$16)</f>
        <v>G1</v>
      </c>
      <c r="F1745" s="6" t="str">
        <f t="shared" si="110"/>
        <v>G1</v>
      </c>
      <c r="G1745" s="6" t="str">
        <f t="shared" si="111"/>
        <v>Prof48</v>
      </c>
      <c r="H1745" s="6" t="str" cm="1">
        <f t="array" ref="H1745">choice(Referentiel!A:A,1,Settings!$B$16)</f>
        <v>Scénographie</v>
      </c>
      <c r="I1745" s="6" t="str" cm="1">
        <f t="array" ref="I1745">choice(Referentiel!B:B,1,Settings!$B$16)</f>
        <v>4ème année Image Imprimée S2</v>
      </c>
      <c r="J1745" s="6" t="str" cm="1">
        <f t="array" ref="J1745">choice(Referentiel!D:D,1,Settings!$B$16)</f>
        <v>M2</v>
      </c>
      <c r="K1745" s="6" t="str" cm="1">
        <f t="array" ref="K1745">choice(Professeurs!B:B,1,Settings!$B$16)</f>
        <v>Prof48</v>
      </c>
      <c r="L1745" s="5" t="str" cm="1">
        <f t="array" ref="L1745">choice(Referentiel!C:C,1,Settings!$B$16)</f>
        <v/>
      </c>
      <c r="M1745" s="5" t="str" cm="1">
        <f t="array" ref="M1745">choice(Referentiel!E:E,1,Settings!$B$16)</f>
        <v/>
      </c>
      <c r="N1745" s="5" t="str" cm="1">
        <f t="array" ref="N1745">choice(Settings!K:K,1,Settings!$B$16)</f>
        <v/>
      </c>
      <c r="P1745" s="5">
        <f t="shared" si="112"/>
        <v>3</v>
      </c>
    </row>
    <row r="1746" spans="1:16" ht="15.75" customHeight="1" x14ac:dyDescent="0.25">
      <c r="A1746" s="6" t="s">
        <v>2098</v>
      </c>
      <c r="B1746" s="6" cm="1">
        <f t="array" ref="B1746">alea_int(Settings!$B$10,1,Settings!$B$16)</f>
        <v>2</v>
      </c>
      <c r="C1746" s="8">
        <v>46023</v>
      </c>
      <c r="D1746" s="8">
        <f t="shared" si="109"/>
        <v>46387</v>
      </c>
      <c r="E1746" s="6" t="str" cm="1">
        <f t="array" ref="E1746">choice(Groupes!A:A,1,Settings!$B$16)</f>
        <v>G11</v>
      </c>
      <c r="F1746" s="6" t="str">
        <f t="shared" si="110"/>
        <v>G11</v>
      </c>
      <c r="G1746" s="6" t="str">
        <f t="shared" si="111"/>
        <v>Prof19</v>
      </c>
      <c r="H1746" s="6" t="str" cm="1">
        <f t="array" ref="H1746">choice(Referentiel!A:A,1,Settings!$B$16)</f>
        <v>Design des mondes littoraux</v>
      </c>
      <c r="I1746" s="6" t="str" cm="1">
        <f t="array" ref="I1746">choice(Referentiel!B:B,1,Settings!$B$16)</f>
        <v>2ème année Design Graphique S1</v>
      </c>
      <c r="J1746" s="6" t="str" cm="1">
        <f t="array" ref="J1746">choice(Referentiel!D:D,1,Settings!$B$16)</f>
        <v>L3</v>
      </c>
      <c r="K1746" s="6" t="str" cm="1">
        <f t="array" ref="K1746">choice(Professeurs!B:B,1,Settings!$B$16)</f>
        <v>Prof19</v>
      </c>
      <c r="L1746" s="5" t="str" cm="1">
        <f t="array" ref="L1746">choice(Referentiel!C:C,1,Settings!$B$16)</f>
        <v/>
      </c>
      <c r="M1746" s="5" t="str" cm="1">
        <f t="array" ref="M1746">choice(Referentiel!E:E,1,Settings!$B$16)</f>
        <v>Salle3</v>
      </c>
      <c r="N1746" s="5" t="str" cm="1">
        <f t="array" ref="N1746">choice(Settings!K:K,1,Settings!$B$16)</f>
        <v>jeudi pm</v>
      </c>
      <c r="P1746" s="5">
        <f t="shared" si="112"/>
        <v>6</v>
      </c>
    </row>
    <row r="1747" spans="1:16" ht="15.75" customHeight="1" x14ac:dyDescent="0.25">
      <c r="A1747" s="6" t="s">
        <v>2099</v>
      </c>
      <c r="B1747" s="6" cm="1">
        <f t="array" ref="B1747">alea_int(Settings!$B$10,1,Settings!$B$16)</f>
        <v>3</v>
      </c>
      <c r="C1747" s="8">
        <v>46023</v>
      </c>
      <c r="D1747" s="8">
        <f t="shared" si="109"/>
        <v>46387</v>
      </c>
      <c r="E1747" s="6" t="str" cm="1">
        <f t="array" ref="E1747">choice(Groupes!A:A,1,Settings!$B$16)</f>
        <v>G1</v>
      </c>
      <c r="F1747" s="6" t="str">
        <f t="shared" si="110"/>
        <v>G1</v>
      </c>
      <c r="G1747" s="6" t="str">
        <f t="shared" si="111"/>
        <v>Prof1</v>
      </c>
      <c r="H1747" s="6" t="str" cm="1">
        <f t="array" ref="H1747">choice(Referentiel!A:A,1,Settings!$B$16)</f>
        <v>Gr TERRITOIRES</v>
      </c>
      <c r="I1747" s="6" t="str" cm="1">
        <f t="array" ref="I1747">choice(Referentiel!B:B,1,Settings!$B$16)</f>
        <v>1ère Année Groupe 1 S1</v>
      </c>
      <c r="J1747" s="6" t="str" cm="1">
        <f t="array" ref="J1747">choice(Referentiel!D:D,1,Settings!$B$16)</f>
        <v>M2</v>
      </c>
      <c r="K1747" s="6" t="str" cm="1">
        <f t="array" ref="K1747">choice(Professeurs!B:B,1,Settings!$B$16)</f>
        <v>Prof1</v>
      </c>
      <c r="L1747" s="5" t="str" cm="1">
        <f t="array" ref="L1747">choice(Referentiel!C:C,1,Settings!$B$16)</f>
        <v/>
      </c>
      <c r="M1747" s="5" t="str" cm="1">
        <f t="array" ref="M1747">choice(Referentiel!E:E,1,Settings!$B$16)</f>
        <v>Salle8</v>
      </c>
      <c r="N1747" s="5" t="str" cm="1">
        <f t="array" ref="N1747">choice(Settings!K:K,1,Settings!$B$16)</f>
        <v>lundi am</v>
      </c>
      <c r="P1747" s="5">
        <f t="shared" si="112"/>
        <v>7</v>
      </c>
    </row>
    <row r="1748" spans="1:16" ht="15.75" customHeight="1" x14ac:dyDescent="0.25">
      <c r="A1748" s="6" t="s">
        <v>2100</v>
      </c>
      <c r="B1748" s="6" cm="1">
        <f t="array" ref="B1748">alea_int(Settings!$B$10,1,Settings!$B$16)</f>
        <v>3</v>
      </c>
      <c r="C1748" s="8">
        <v>46023</v>
      </c>
      <c r="D1748" s="8">
        <f t="shared" si="109"/>
        <v>46387</v>
      </c>
      <c r="E1748" s="6" t="str" cm="1">
        <f t="array" ref="E1748">choice(Groupes!A:A,1,Settings!$B$16)</f>
        <v>G29</v>
      </c>
      <c r="F1748" s="6" t="str">
        <f t="shared" si="110"/>
        <v>G29</v>
      </c>
      <c r="G1748" s="6" t="str">
        <f t="shared" si="111"/>
        <v>Prof40</v>
      </c>
      <c r="H1748" s="6" t="str" cm="1">
        <f t="array" ref="H1748">choice(Referentiel!A:A,1,Settings!$B$16)</f>
        <v>Design des mondes forestiers</v>
      </c>
      <c r="I1748" s="6" t="str" cm="1">
        <f t="array" ref="I1748">choice(Referentiel!B:B,1,Settings!$B$16)</f>
        <v>2ème année Design Graphique S1</v>
      </c>
      <c r="J1748" s="6" t="str" cm="1">
        <f t="array" ref="J1748">choice(Referentiel!D:D,1,Settings!$B$16)</f>
        <v>L2</v>
      </c>
      <c r="K1748" s="6" t="str" cm="1">
        <f t="array" ref="K1748">choice(Professeurs!B:B,1,Settings!$B$16)</f>
        <v>Prof40</v>
      </c>
      <c r="L1748" s="5" t="str" cm="1">
        <f t="array" ref="L1748">choice(Referentiel!C:C,1,Settings!$B$16)</f>
        <v/>
      </c>
      <c r="M1748" s="5" t="str" cm="1">
        <f t="array" ref="M1748">choice(Referentiel!E:E,1,Settings!$B$16)</f>
        <v/>
      </c>
      <c r="N1748" s="5" t="str" cm="1">
        <f t="array" ref="N1748">choice(Settings!K:K,1,Settings!$B$16)</f>
        <v/>
      </c>
      <c r="P1748" s="5">
        <f t="shared" si="112"/>
        <v>3</v>
      </c>
    </row>
    <row r="1749" spans="1:16" ht="15.75" customHeight="1" x14ac:dyDescent="0.25">
      <c r="A1749" s="6" t="s">
        <v>2101</v>
      </c>
      <c r="B1749" s="6" cm="1">
        <f t="array" ref="B1749">alea_int(Settings!$B$10,1,Settings!$B$16)</f>
        <v>1</v>
      </c>
      <c r="C1749" s="8">
        <v>46023</v>
      </c>
      <c r="D1749" s="8">
        <f t="shared" si="109"/>
        <v>46387</v>
      </c>
      <c r="E1749" s="6" t="str" cm="1">
        <f t="array" ref="E1749">choice(Groupes!A:A,1,Settings!$B$16)</f>
        <v>G28</v>
      </c>
      <c r="F1749" s="6" t="str">
        <f t="shared" si="110"/>
        <v>G28</v>
      </c>
      <c r="G1749" s="6" t="str">
        <f t="shared" si="111"/>
        <v>Prof11</v>
      </c>
      <c r="H1749" s="6" t="str" cm="1">
        <f t="array" ref="H1749">choice(Referentiel!A:A,1,Settings!$B$16)</f>
        <v>Design des mondes ruraux</v>
      </c>
      <c r="I1749" s="6" t="str" cm="1">
        <f t="array" ref="I1749">choice(Referentiel!B:B,1,Settings!$B$16)</f>
        <v>2ème année Design Textile et Matière S1</v>
      </c>
      <c r="J1749" s="6" t="str" cm="1">
        <f t="array" ref="J1749">choice(Referentiel!D:D,1,Settings!$B$16)</f>
        <v>M1</v>
      </c>
      <c r="K1749" s="6" t="str" cm="1">
        <f t="array" ref="K1749">choice(Professeurs!B:B,1,Settings!$B$16)</f>
        <v>Prof11</v>
      </c>
      <c r="L1749" s="5" t="str" cm="1">
        <f t="array" ref="L1749">choice(Referentiel!C:C,1,Settings!$B$16)</f>
        <v/>
      </c>
      <c r="M1749" s="5" t="str" cm="1">
        <f t="array" ref="M1749">choice(Referentiel!E:E,1,Settings!$B$16)</f>
        <v/>
      </c>
      <c r="N1749" s="5" t="str" cm="1">
        <f t="array" ref="N1749">choice(Settings!K:K,1,Settings!$B$16)</f>
        <v/>
      </c>
      <c r="P1749" s="5">
        <f t="shared" si="112"/>
        <v>1</v>
      </c>
    </row>
    <row r="1750" spans="1:16" ht="15.75" customHeight="1" x14ac:dyDescent="0.25">
      <c r="A1750" s="6" t="s">
        <v>2102</v>
      </c>
      <c r="B1750" s="6" cm="1">
        <f t="array" ref="B1750">alea_int(Settings!$B$10,1,Settings!$B$16)</f>
        <v>3</v>
      </c>
      <c r="C1750" s="8">
        <v>46023</v>
      </c>
      <c r="D1750" s="8">
        <f t="shared" si="109"/>
        <v>46387</v>
      </c>
      <c r="E1750" s="6" t="str" cm="1">
        <f t="array" ref="E1750">choice(Groupes!A:A,1,Settings!$B$16)</f>
        <v>G1</v>
      </c>
      <c r="F1750" s="6" t="str">
        <f t="shared" si="110"/>
        <v>G1</v>
      </c>
      <c r="G1750" s="6" t="str">
        <f t="shared" si="111"/>
        <v>Prof19</v>
      </c>
      <c r="H1750" s="6" t="str" cm="1">
        <f t="array" ref="H1750">choice(Referentiel!A:A,1,Settings!$B$16)</f>
        <v>1ère année Groupe 2</v>
      </c>
      <c r="I1750" s="6" t="str" cm="1">
        <f t="array" ref="I1750">choice(Referentiel!B:B,1,Settings!$B$16)</f>
        <v>3ème année Design Textile et Matière S1</v>
      </c>
      <c r="J1750" s="6" t="str" cm="1">
        <f t="array" ref="J1750">choice(Referentiel!D:D,1,Settings!$B$16)</f>
        <v>L1</v>
      </c>
      <c r="K1750" s="6" t="str" cm="1">
        <f t="array" ref="K1750">choice(Professeurs!B:B,1,Settings!$B$16)</f>
        <v>Prof19</v>
      </c>
      <c r="L1750" s="5" t="str" cm="1">
        <f t="array" ref="L1750">choice(Referentiel!C:C,1,Settings!$B$16)</f>
        <v/>
      </c>
      <c r="M1750" s="5" t="str" cm="1">
        <f t="array" ref="M1750">choice(Referentiel!E:E,1,Settings!$B$16)</f>
        <v/>
      </c>
      <c r="N1750" s="5" t="str" cm="1">
        <f t="array" ref="N1750">choice(Settings!K:K,1,Settings!$B$16)</f>
        <v/>
      </c>
      <c r="P1750" s="5">
        <f t="shared" si="112"/>
        <v>3</v>
      </c>
    </row>
    <row r="1751" spans="1:16" ht="15.75" customHeight="1" x14ac:dyDescent="0.25">
      <c r="A1751" s="6" t="s">
        <v>2103</v>
      </c>
      <c r="B1751" s="6" cm="1">
        <f t="array" ref="B1751">alea_int(Settings!$B$10,1,Settings!$B$16)</f>
        <v>3</v>
      </c>
      <c r="C1751" s="8">
        <v>46023</v>
      </c>
      <c r="D1751" s="8">
        <f t="shared" si="109"/>
        <v>46387</v>
      </c>
      <c r="E1751" s="6" t="str" cm="1">
        <f t="array" ref="E1751">choice(Groupes!A:A,1,Settings!$B$16)</f>
        <v>G30</v>
      </c>
      <c r="F1751" s="6" t="str">
        <f t="shared" si="110"/>
        <v>G30</v>
      </c>
      <c r="G1751" s="6" t="str">
        <f t="shared" si="111"/>
        <v>Prof40</v>
      </c>
      <c r="H1751" s="6" t="str" cm="1">
        <f t="array" ref="H1751">choice(Referentiel!A:A,1,Settings!$B$16)</f>
        <v>Design des mondes insulaires</v>
      </c>
      <c r="I1751" s="6" t="str" cm="1">
        <f t="array" ref="I1751">choice(Referentiel!B:B,1,Settings!$B$16)</f>
        <v>3ème année Design Textile et Matière S1</v>
      </c>
      <c r="J1751" s="6" t="str" cm="1">
        <f t="array" ref="J1751">choice(Referentiel!D:D,1,Settings!$B$16)</f>
        <v>M1</v>
      </c>
      <c r="K1751" s="6" t="str" cm="1">
        <f t="array" ref="K1751">choice(Professeurs!B:B,1,Settings!$B$16)</f>
        <v>Prof40</v>
      </c>
      <c r="L1751" s="5" t="str" cm="1">
        <f t="array" ref="L1751">choice(Referentiel!C:C,1,Settings!$B$16)</f>
        <v/>
      </c>
      <c r="M1751" s="5" t="str" cm="1">
        <f t="array" ref="M1751">choice(Referentiel!E:E,1,Settings!$B$16)</f>
        <v/>
      </c>
      <c r="N1751" s="5" t="str" cm="1">
        <f t="array" ref="N1751">choice(Settings!K:K,1,Settings!$B$16)</f>
        <v/>
      </c>
      <c r="P1751" s="5">
        <f t="shared" si="112"/>
        <v>3</v>
      </c>
    </row>
    <row r="1752" spans="1:16" ht="15.75" customHeight="1" x14ac:dyDescent="0.25">
      <c r="A1752" s="6" t="s">
        <v>2104</v>
      </c>
      <c r="B1752" s="6" cm="1">
        <f t="array" ref="B1752">alea_int(Settings!$B$10,1,Settings!$B$16)</f>
        <v>2</v>
      </c>
      <c r="C1752" s="8">
        <v>46023</v>
      </c>
      <c r="D1752" s="8">
        <f t="shared" si="109"/>
        <v>46387</v>
      </c>
      <c r="E1752" s="6" t="str" cm="1">
        <f t="array" ref="E1752">choice(Groupes!A:A,1,Settings!$B$16)</f>
        <v>G18</v>
      </c>
      <c r="F1752" s="6" t="str">
        <f t="shared" si="110"/>
        <v>G18</v>
      </c>
      <c r="G1752" s="6" t="str">
        <f t="shared" si="111"/>
        <v>Prof38</v>
      </c>
      <c r="H1752" s="6" t="str" cm="1">
        <f t="array" ref="H1752">choice(Referentiel!A:A,1,Settings!$B$16)</f>
        <v>Gr TERRITOIRES</v>
      </c>
      <c r="I1752" s="6" t="str" cm="1">
        <f t="array" ref="I1752">choice(Referentiel!B:B,1,Settings!$B$16)</f>
        <v>5ème année Design Vêtement S2</v>
      </c>
      <c r="J1752" s="6" t="str" cm="1">
        <f t="array" ref="J1752">choice(Referentiel!D:D,1,Settings!$B$16)</f>
        <v>L3</v>
      </c>
      <c r="K1752" s="6" t="str" cm="1">
        <f t="array" ref="K1752">choice(Professeurs!B:B,1,Settings!$B$16)</f>
        <v>Prof38</v>
      </c>
      <c r="L1752" s="5" t="str" cm="1">
        <f t="array" ref="L1752">choice(Referentiel!C:C,1,Settings!$B$16)</f>
        <v/>
      </c>
      <c r="M1752" s="5" t="str" cm="1">
        <f t="array" ref="M1752">choice(Referentiel!E:E,1,Settings!$B$16)</f>
        <v/>
      </c>
      <c r="N1752" s="5" t="str" cm="1">
        <f t="array" ref="N1752">choice(Settings!K:K,1,Settings!$B$16)</f>
        <v/>
      </c>
      <c r="P1752" s="5">
        <f t="shared" si="112"/>
        <v>2</v>
      </c>
    </row>
    <row r="1753" spans="1:16" ht="15.75" customHeight="1" x14ac:dyDescent="0.25">
      <c r="A1753" s="6" t="s">
        <v>2105</v>
      </c>
      <c r="B1753" s="6" cm="1">
        <f t="array" ref="B1753">alea_int(Settings!$B$10,1,Settings!$B$16)</f>
        <v>3</v>
      </c>
      <c r="C1753" s="8">
        <v>46023</v>
      </c>
      <c r="D1753" s="8">
        <f t="shared" si="109"/>
        <v>46387</v>
      </c>
      <c r="E1753" s="6" t="str" cm="1">
        <f t="array" ref="E1753">choice(Groupes!A:A,1,Settings!$B$16)</f>
        <v>G15</v>
      </c>
      <c r="F1753" s="6" t="str">
        <f t="shared" si="110"/>
        <v>G15</v>
      </c>
      <c r="G1753" s="6" t="str">
        <f t="shared" si="111"/>
        <v>Prof49</v>
      </c>
      <c r="H1753" s="6" t="str" cm="1">
        <f t="array" ref="H1753">choice(Referentiel!A:A,1,Settings!$B$16)</f>
        <v>Design Vêtement</v>
      </c>
      <c r="I1753" s="6" t="str" cm="1">
        <f t="array" ref="I1753">choice(Referentiel!B:B,1,Settings!$B$16)</f>
        <v>4ème année Scénographie S2</v>
      </c>
      <c r="J1753" s="6" t="str" cm="1">
        <f t="array" ref="J1753">choice(Referentiel!D:D,1,Settings!$B$16)</f>
        <v>M2</v>
      </c>
      <c r="K1753" s="6" t="str" cm="1">
        <f t="array" ref="K1753">choice(Professeurs!B:B,1,Settings!$B$16)</f>
        <v>Prof49</v>
      </c>
      <c r="L1753" s="5" t="str" cm="1">
        <f t="array" ref="L1753">choice(Referentiel!C:C,1,Settings!$B$16)</f>
        <v/>
      </c>
      <c r="M1753" s="5" t="str" cm="1">
        <f t="array" ref="M1753">choice(Referentiel!E:E,1,Settings!$B$16)</f>
        <v/>
      </c>
      <c r="N1753" s="5" t="str" cm="1">
        <f t="array" ref="N1753">choice(Settings!K:K,1,Settings!$B$16)</f>
        <v>lundi pm</v>
      </c>
      <c r="P1753" s="5">
        <f t="shared" si="112"/>
        <v>5</v>
      </c>
    </row>
    <row r="1754" spans="1:16" ht="15.75" customHeight="1" x14ac:dyDescent="0.25">
      <c r="A1754" s="6" t="s">
        <v>2106</v>
      </c>
      <c r="B1754" s="6" cm="1">
        <f t="array" ref="B1754">alea_int(Settings!$B$10,1,Settings!$B$16)</f>
        <v>3</v>
      </c>
      <c r="C1754" s="8">
        <v>46023</v>
      </c>
      <c r="D1754" s="8">
        <f t="shared" si="109"/>
        <v>46387</v>
      </c>
      <c r="E1754" s="6" t="str" cm="1">
        <f t="array" ref="E1754">choice(Groupes!A:A,1,Settings!$B$16)</f>
        <v>G29</v>
      </c>
      <c r="F1754" s="6" t="str">
        <f t="shared" si="110"/>
        <v>G29</v>
      </c>
      <c r="G1754" s="6" t="str">
        <f t="shared" si="111"/>
        <v>Prof13</v>
      </c>
      <c r="H1754" s="6" t="str" cm="1">
        <f t="array" ref="H1754">choice(Referentiel!A:A,1,Settings!$B$16)</f>
        <v>1ère année Groupe 2</v>
      </c>
      <c r="I1754" s="6" t="str" cm="1">
        <f t="array" ref="I1754">choice(Referentiel!B:B,1,Settings!$B$16)</f>
        <v>2ème année Design Vêtement S1</v>
      </c>
      <c r="J1754" s="6" t="str" cm="1">
        <f t="array" ref="J1754">choice(Referentiel!D:D,1,Settings!$B$16)</f>
        <v>M2</v>
      </c>
      <c r="K1754" s="6" t="str" cm="1">
        <f t="array" ref="K1754">choice(Professeurs!B:B,1,Settings!$B$16)</f>
        <v>Prof13</v>
      </c>
      <c r="L1754" s="5" t="str" cm="1">
        <f t="array" ref="L1754">choice(Referentiel!C:C,1,Settings!$B$16)</f>
        <v/>
      </c>
      <c r="M1754" s="5" t="str" cm="1">
        <f t="array" ref="M1754">choice(Referentiel!E:E,1,Settings!$B$16)</f>
        <v/>
      </c>
      <c r="N1754" s="5" t="str" cm="1">
        <f t="array" ref="N1754">choice(Settings!K:K,1,Settings!$B$16)</f>
        <v/>
      </c>
      <c r="P1754" s="5">
        <f t="shared" si="112"/>
        <v>3</v>
      </c>
    </row>
    <row r="1755" spans="1:16" ht="15.75" customHeight="1" x14ac:dyDescent="0.25">
      <c r="A1755" s="6" t="s">
        <v>2107</v>
      </c>
      <c r="B1755" s="6" cm="1">
        <f t="array" ref="B1755">alea_int(Settings!$B$10,1,Settings!$B$16)</f>
        <v>1</v>
      </c>
      <c r="C1755" s="8">
        <v>46023</v>
      </c>
      <c r="D1755" s="8">
        <f t="shared" si="109"/>
        <v>46387</v>
      </c>
      <c r="E1755" s="6" t="str" cm="1">
        <f t="array" ref="E1755">choice(Groupes!A:A,1,Settings!$B$16)</f>
        <v>G16</v>
      </c>
      <c r="F1755" s="6" t="str">
        <f t="shared" si="110"/>
        <v>G16</v>
      </c>
      <c r="G1755" s="6" t="str">
        <f t="shared" si="111"/>
        <v>Prof45</v>
      </c>
      <c r="H1755" s="6" t="str" cm="1">
        <f t="array" ref="H1755">choice(Referentiel!A:A,1,Settings!$B$16)</f>
        <v>Design des mondes insulaires</v>
      </c>
      <c r="I1755" s="6" t="str" cm="1">
        <f t="array" ref="I1755">choice(Referentiel!B:B,1,Settings!$B$16)</f>
        <v>5ème année Design Objet S2</v>
      </c>
      <c r="J1755" s="6" t="str" cm="1">
        <f t="array" ref="J1755">choice(Referentiel!D:D,1,Settings!$B$16)</f>
        <v>M2</v>
      </c>
      <c r="K1755" s="6" t="str" cm="1">
        <f t="array" ref="K1755">choice(Professeurs!B:B,1,Settings!$B$16)</f>
        <v>Prof45</v>
      </c>
      <c r="L1755" s="5" t="str" cm="1">
        <f t="array" ref="L1755">choice(Referentiel!C:C,1,Settings!$B$16)</f>
        <v/>
      </c>
      <c r="M1755" s="5" t="str" cm="1">
        <f t="array" ref="M1755">choice(Referentiel!E:E,1,Settings!$B$16)</f>
        <v/>
      </c>
      <c r="N1755" s="5" t="str" cm="1">
        <f t="array" ref="N1755">choice(Settings!K:K,1,Settings!$B$16)</f>
        <v/>
      </c>
      <c r="P1755" s="5">
        <f t="shared" si="112"/>
        <v>1</v>
      </c>
    </row>
    <row r="1756" spans="1:16" ht="15.75" customHeight="1" x14ac:dyDescent="0.25">
      <c r="A1756" s="6" t="s">
        <v>2108</v>
      </c>
      <c r="B1756" s="6" cm="1">
        <f t="array" ref="B1756">alea_int(Settings!$B$10,1,Settings!$B$16)</f>
        <v>1</v>
      </c>
      <c r="C1756" s="8">
        <v>46023</v>
      </c>
      <c r="D1756" s="8">
        <f t="shared" si="109"/>
        <v>46387</v>
      </c>
      <c r="E1756" s="6" t="str" cm="1">
        <f t="array" ref="E1756">choice(Groupes!A:A,1,Settings!$B$16)</f>
        <v>G13</v>
      </c>
      <c r="F1756" s="6" t="str">
        <f t="shared" si="110"/>
        <v>G13</v>
      </c>
      <c r="G1756" s="6" t="str">
        <f t="shared" si="111"/>
        <v>Prof33</v>
      </c>
      <c r="H1756" s="6" t="str" cm="1">
        <f t="array" ref="H1756">choice(Referentiel!A:A,1,Settings!$B$16)</f>
        <v>Design Graphique</v>
      </c>
      <c r="I1756" s="6" t="str" cm="1">
        <f t="array" ref="I1756">choice(Referentiel!B:B,1,Settings!$B$16)</f>
        <v>5ème année Architecture Intérieure S2</v>
      </c>
      <c r="J1756" s="6" t="str" cm="1">
        <f t="array" ref="J1756">choice(Referentiel!D:D,1,Settings!$B$16)</f>
        <v>M1</v>
      </c>
      <c r="K1756" s="6" t="str" cm="1">
        <f t="array" ref="K1756">choice(Professeurs!B:B,1,Settings!$B$16)</f>
        <v>Prof33</v>
      </c>
      <c r="L1756" s="5" t="str" cm="1">
        <f t="array" ref="L1756">choice(Referentiel!C:C,1,Settings!$B$16)</f>
        <v/>
      </c>
      <c r="M1756" s="5" t="str" cm="1">
        <f t="array" ref="M1756">choice(Referentiel!E:E,1,Settings!$B$16)</f>
        <v/>
      </c>
      <c r="N1756" s="5" t="str" cm="1">
        <f t="array" ref="N1756">choice(Settings!K:K,1,Settings!$B$16)</f>
        <v/>
      </c>
      <c r="P1756" s="5">
        <f t="shared" si="112"/>
        <v>1</v>
      </c>
    </row>
    <row r="1757" spans="1:16" ht="15.75" customHeight="1" x14ac:dyDescent="0.25">
      <c r="A1757" s="6" t="s">
        <v>2109</v>
      </c>
      <c r="B1757" s="6" cm="1">
        <f t="array" ref="B1757">alea_int(Settings!$B$10,1,Settings!$B$16)</f>
        <v>1</v>
      </c>
      <c r="C1757" s="8">
        <v>46023</v>
      </c>
      <c r="D1757" s="8">
        <f t="shared" si="109"/>
        <v>46387</v>
      </c>
      <c r="E1757" s="6" t="str" cm="1">
        <f t="array" ref="E1757">choice(Groupes!A:A,1,Settings!$B$16)</f>
        <v>G19</v>
      </c>
      <c r="F1757" s="6" t="str">
        <f t="shared" si="110"/>
        <v>G19</v>
      </c>
      <c r="G1757" s="6" t="str">
        <f t="shared" si="111"/>
        <v>Prof55</v>
      </c>
      <c r="H1757" s="6" t="str" cm="1">
        <f t="array" ref="H1757">choice(Referentiel!A:A,1,Settings!$B$16)</f>
        <v>Scénographie</v>
      </c>
      <c r="I1757" s="6" t="str" cm="1">
        <f t="array" ref="I1757">choice(Referentiel!B:B,1,Settings!$B$16)</f>
        <v>3ème année Design Vêtement S1</v>
      </c>
      <c r="J1757" s="6" t="str" cm="1">
        <f t="array" ref="J1757">choice(Referentiel!D:D,1,Settings!$B$16)</f>
        <v>M1</v>
      </c>
      <c r="K1757" s="6" t="str" cm="1">
        <f t="array" ref="K1757">choice(Professeurs!B:B,1,Settings!$B$16)</f>
        <v>Prof55</v>
      </c>
      <c r="L1757" s="5" t="str" cm="1">
        <f t="array" ref="L1757">choice(Referentiel!C:C,1,Settings!$B$16)</f>
        <v/>
      </c>
      <c r="M1757" s="5" t="str" cm="1">
        <f t="array" ref="M1757">choice(Referentiel!E:E,1,Settings!$B$16)</f>
        <v/>
      </c>
      <c r="N1757" s="5" t="str" cm="1">
        <f t="array" ref="N1757">choice(Settings!K:K,1,Settings!$B$16)</f>
        <v>mardi pm</v>
      </c>
      <c r="P1757" s="5">
        <f t="shared" si="112"/>
        <v>3</v>
      </c>
    </row>
    <row r="1758" spans="1:16" ht="15.75" customHeight="1" x14ac:dyDescent="0.25">
      <c r="A1758" s="6" t="s">
        <v>2110</v>
      </c>
      <c r="B1758" s="6" cm="1">
        <f t="array" ref="B1758">alea_int(Settings!$B$10,1,Settings!$B$16)</f>
        <v>3</v>
      </c>
      <c r="C1758" s="8">
        <v>46023</v>
      </c>
      <c r="D1758" s="8">
        <f t="shared" si="109"/>
        <v>46387</v>
      </c>
      <c r="E1758" s="6" t="str" cm="1">
        <f t="array" ref="E1758">choice(Groupes!A:A,1,Settings!$B$16)</f>
        <v>G21</v>
      </c>
      <c r="F1758" s="6" t="str">
        <f t="shared" si="110"/>
        <v>G21</v>
      </c>
      <c r="G1758" s="6" t="str">
        <f t="shared" si="111"/>
        <v>Prof4</v>
      </c>
      <c r="H1758" s="6" t="str" cm="1">
        <f t="array" ref="H1758">choice(Referentiel!A:A,1,Settings!$B$16)</f>
        <v>Design des mondes forestiers</v>
      </c>
      <c r="I1758" s="6" t="str" cm="1">
        <f t="array" ref="I1758">choice(Referentiel!B:B,1,Settings!$B$16)</f>
        <v>4ème année Design Objet S1</v>
      </c>
      <c r="J1758" s="6" t="str" cm="1">
        <f t="array" ref="J1758">choice(Referentiel!D:D,1,Settings!$B$16)</f>
        <v>L3</v>
      </c>
      <c r="K1758" s="6" t="str" cm="1">
        <f t="array" ref="K1758">choice(Professeurs!B:B,1,Settings!$B$16)</f>
        <v>Prof4</v>
      </c>
      <c r="L1758" s="5" t="str" cm="1">
        <f t="array" ref="L1758">choice(Referentiel!C:C,1,Settings!$B$16)</f>
        <v>tablette</v>
      </c>
      <c r="M1758" s="5" t="str" cm="1">
        <f t="array" ref="M1758">choice(Referentiel!E:E,1,Settings!$B$16)</f>
        <v/>
      </c>
      <c r="N1758" s="5" t="str" cm="1">
        <f t="array" ref="N1758">choice(Settings!K:K,1,Settings!$B$16)</f>
        <v/>
      </c>
      <c r="P1758" s="5">
        <f t="shared" si="112"/>
        <v>3</v>
      </c>
    </row>
    <row r="1759" spans="1:16" ht="15.75" customHeight="1" x14ac:dyDescent="0.25">
      <c r="A1759" s="6" t="s">
        <v>2111</v>
      </c>
      <c r="B1759" s="6" cm="1">
        <f t="array" ref="B1759">alea_int(Settings!$B$10,1,Settings!$B$16)</f>
        <v>1</v>
      </c>
      <c r="C1759" s="8">
        <v>46023</v>
      </c>
      <c r="D1759" s="8">
        <f t="shared" si="109"/>
        <v>46387</v>
      </c>
      <c r="E1759" s="6" t="str" cm="1">
        <f t="array" ref="E1759">choice(Groupes!A:A,1,Settings!$B$16)</f>
        <v>G14</v>
      </c>
      <c r="F1759" s="6" t="str">
        <f t="shared" si="110"/>
        <v>G14</v>
      </c>
      <c r="G1759" s="6" t="str">
        <f t="shared" si="111"/>
        <v>Prof34</v>
      </c>
      <c r="H1759" s="6" t="str" cm="1">
        <f t="array" ref="H1759">choice(Referentiel!A:A,1,Settings!$B$16)</f>
        <v>6ème année atelier</v>
      </c>
      <c r="I1759" s="6" t="str" cm="1">
        <f t="array" ref="I1759">choice(Referentiel!B:B,1,Settings!$B$16)</f>
        <v>4ème année Design Objet S2</v>
      </c>
      <c r="J1759" s="6" t="str" cm="1">
        <f t="array" ref="J1759">choice(Referentiel!D:D,1,Settings!$B$16)</f>
        <v>L2</v>
      </c>
      <c r="K1759" s="6" t="str" cm="1">
        <f t="array" ref="K1759">choice(Professeurs!B:B,1,Settings!$B$16)</f>
        <v>Prof34</v>
      </c>
      <c r="L1759" s="5" t="str" cm="1">
        <f t="array" ref="L1759">choice(Referentiel!C:C,1,Settings!$B$16)</f>
        <v/>
      </c>
      <c r="M1759" s="5" t="str" cm="1">
        <f t="array" ref="M1759">choice(Referentiel!E:E,1,Settings!$B$16)</f>
        <v/>
      </c>
      <c r="N1759" s="5" t="str" cm="1">
        <f t="array" ref="N1759">choice(Settings!K:K,1,Settings!$B$16)</f>
        <v/>
      </c>
      <c r="P1759" s="5">
        <f t="shared" si="112"/>
        <v>1</v>
      </c>
    </row>
    <row r="1760" spans="1:16" ht="15.75" customHeight="1" x14ac:dyDescent="0.25">
      <c r="A1760" s="6" t="s">
        <v>2112</v>
      </c>
      <c r="B1760" s="6" cm="1">
        <f t="array" ref="B1760">alea_int(Settings!$B$10,1,Settings!$B$16)</f>
        <v>2</v>
      </c>
      <c r="C1760" s="8">
        <v>46023</v>
      </c>
      <c r="D1760" s="8">
        <f t="shared" si="109"/>
        <v>46387</v>
      </c>
      <c r="E1760" s="6" t="str" cm="1">
        <f t="array" ref="E1760">choice(Groupes!A:A,1,Settings!$B$16)</f>
        <v>G10</v>
      </c>
      <c r="F1760" s="6" t="str">
        <f t="shared" si="110"/>
        <v>G10</v>
      </c>
      <c r="G1760" s="6" t="str">
        <f t="shared" si="111"/>
        <v>Prof9</v>
      </c>
      <c r="H1760" s="6" t="str" cm="1">
        <f t="array" ref="H1760">choice(Referentiel!A:A,1,Settings!$B$16)</f>
        <v>1ère année Groupe 2</v>
      </c>
      <c r="I1760" s="6" t="str" cm="1">
        <f t="array" ref="I1760">choice(Referentiel!B:B,1,Settings!$B$16)</f>
        <v>3ème année Design Graphique S1</v>
      </c>
      <c r="J1760" s="6" t="str" cm="1">
        <f t="array" ref="J1760">choice(Referentiel!D:D,1,Settings!$B$16)</f>
        <v>M2</v>
      </c>
      <c r="K1760" s="6" t="str" cm="1">
        <f t="array" ref="K1760">choice(Professeurs!B:B,1,Settings!$B$16)</f>
        <v>Prof9</v>
      </c>
      <c r="L1760" s="5" t="str" cm="1">
        <f t="array" ref="L1760">choice(Referentiel!C:C,1,Settings!$B$16)</f>
        <v/>
      </c>
      <c r="M1760" s="5" t="str" cm="1">
        <f t="array" ref="M1760">choice(Referentiel!E:E,1,Settings!$B$16)</f>
        <v>Salle6</v>
      </c>
      <c r="N1760" s="5" t="str" cm="1">
        <f t="array" ref="N1760">choice(Settings!K:K,1,Settings!$B$16)</f>
        <v/>
      </c>
      <c r="P1760" s="5">
        <f t="shared" si="112"/>
        <v>4</v>
      </c>
    </row>
    <row r="1761" spans="1:16" ht="15.75" customHeight="1" x14ac:dyDescent="0.25">
      <c r="A1761" s="6" t="s">
        <v>2113</v>
      </c>
      <c r="B1761" s="6" cm="1">
        <f t="array" ref="B1761">alea_int(Settings!$B$10,1,Settings!$B$16)</f>
        <v>2</v>
      </c>
      <c r="C1761" s="8">
        <v>46023</v>
      </c>
      <c r="D1761" s="8">
        <f t="shared" si="109"/>
        <v>46387</v>
      </c>
      <c r="E1761" s="6" t="str" cm="1">
        <f t="array" ref="E1761">choice(Groupes!A:A,1,Settings!$B$16)</f>
        <v>G18</v>
      </c>
      <c r="F1761" s="6" t="str">
        <f t="shared" si="110"/>
        <v>G18</v>
      </c>
      <c r="G1761" s="6" t="str">
        <f t="shared" si="111"/>
        <v>Prof19</v>
      </c>
      <c r="H1761" s="6" t="str" cm="1">
        <f t="array" ref="H1761">choice(Referentiel!A:A,1,Settings!$B$16)</f>
        <v>Design des mondes urbains</v>
      </c>
      <c r="I1761" s="6" t="str" cm="1">
        <f t="array" ref="I1761">choice(Referentiel!B:B,1,Settings!$B$16)</f>
        <v>2ème année Scénographie S2</v>
      </c>
      <c r="J1761" s="6" t="str" cm="1">
        <f t="array" ref="J1761">choice(Referentiel!D:D,1,Settings!$B$16)</f>
        <v>L3</v>
      </c>
      <c r="K1761" s="6" t="str" cm="1">
        <f t="array" ref="K1761">choice(Professeurs!B:B,1,Settings!$B$16)</f>
        <v>Prof19</v>
      </c>
      <c r="L1761" s="5" t="str" cm="1">
        <f t="array" ref="L1761">choice(Referentiel!C:C,1,Settings!$B$16)</f>
        <v/>
      </c>
      <c r="M1761" s="5" t="str" cm="1">
        <f t="array" ref="M1761">choice(Referentiel!E:E,1,Settings!$B$16)</f>
        <v/>
      </c>
      <c r="N1761" s="5" t="str" cm="1">
        <f t="array" ref="N1761">choice(Settings!K:K,1,Settings!$B$16)</f>
        <v/>
      </c>
      <c r="P1761" s="5">
        <f t="shared" si="112"/>
        <v>2</v>
      </c>
    </row>
    <row r="1762" spans="1:16" ht="15.75" customHeight="1" x14ac:dyDescent="0.25">
      <c r="A1762" s="6" t="s">
        <v>2114</v>
      </c>
      <c r="B1762" s="6" cm="1">
        <f t="array" ref="B1762">alea_int(Settings!$B$10,1,Settings!$B$16)</f>
        <v>3</v>
      </c>
      <c r="C1762" s="8">
        <v>46023</v>
      </c>
      <c r="D1762" s="8">
        <f t="shared" si="109"/>
        <v>46387</v>
      </c>
      <c r="E1762" s="6" t="str" cm="1">
        <f t="array" ref="E1762">choice(Groupes!A:A,1,Settings!$B$16)</f>
        <v>G25</v>
      </c>
      <c r="F1762" s="6" t="str">
        <f t="shared" si="110"/>
        <v>G25</v>
      </c>
      <c r="G1762" s="6" t="str">
        <f t="shared" si="111"/>
        <v>Prof51</v>
      </c>
      <c r="H1762" s="6" t="str" cm="1">
        <f t="array" ref="H1762">choice(Referentiel!A:A,1,Settings!$B$16)</f>
        <v>Design Vêtement</v>
      </c>
      <c r="I1762" s="6" t="str" cm="1">
        <f t="array" ref="I1762">choice(Referentiel!B:B,1,Settings!$B$16)</f>
        <v>3ème année Design Vêtement S2</v>
      </c>
      <c r="J1762" s="6" t="str" cm="1">
        <f t="array" ref="J1762">choice(Referentiel!D:D,1,Settings!$B$16)</f>
        <v>L1</v>
      </c>
      <c r="K1762" s="6" t="str" cm="1">
        <f t="array" ref="K1762">choice(Professeurs!B:B,1,Settings!$B$16)</f>
        <v>Prof51</v>
      </c>
      <c r="L1762" s="5" t="str" cm="1">
        <f t="array" ref="L1762">choice(Referentiel!C:C,1,Settings!$B$16)</f>
        <v/>
      </c>
      <c r="M1762" s="5" t="str" cm="1">
        <f t="array" ref="M1762">choice(Referentiel!E:E,1,Settings!$B$16)</f>
        <v/>
      </c>
      <c r="N1762" s="5" t="str" cm="1">
        <f t="array" ref="N1762">choice(Settings!K:K,1,Settings!$B$16)</f>
        <v>mercredi ap</v>
      </c>
      <c r="P1762" s="5">
        <f t="shared" si="112"/>
        <v>5</v>
      </c>
    </row>
    <row r="1763" spans="1:16" ht="15.75" customHeight="1" x14ac:dyDescent="0.25">
      <c r="A1763" s="6" t="s">
        <v>2115</v>
      </c>
      <c r="B1763" s="6" cm="1">
        <f t="array" ref="B1763">alea_int(Settings!$B$10,1,Settings!$B$16)</f>
        <v>1</v>
      </c>
      <c r="C1763" s="8">
        <v>46023</v>
      </c>
      <c r="D1763" s="8">
        <f t="shared" si="109"/>
        <v>46387</v>
      </c>
      <c r="E1763" s="6" t="str" cm="1">
        <f t="array" ref="E1763">choice(Groupes!A:A,1,Settings!$B$16)</f>
        <v>G26</v>
      </c>
      <c r="F1763" s="6" t="str">
        <f t="shared" si="110"/>
        <v>G26</v>
      </c>
      <c r="G1763" s="6" t="str">
        <f t="shared" si="111"/>
        <v>Prof8</v>
      </c>
      <c r="H1763" s="6" t="str" cm="1">
        <f t="array" ref="H1763">choice(Referentiel!A:A,1,Settings!$B$16)</f>
        <v>Cinéma d'Animation</v>
      </c>
      <c r="I1763" s="6" t="str" cm="1">
        <f t="array" ref="I1763">choice(Referentiel!B:B,1,Settings!$B$16)</f>
        <v>2ème année Design Graphique S2</v>
      </c>
      <c r="J1763" s="6" t="str" cm="1">
        <f t="array" ref="J1763">choice(Referentiel!D:D,1,Settings!$B$16)</f>
        <v>L2</v>
      </c>
      <c r="K1763" s="6" t="str" cm="1">
        <f t="array" ref="K1763">choice(Professeurs!B:B,1,Settings!$B$16)</f>
        <v>Prof8</v>
      </c>
      <c r="L1763" s="5" t="str" cm="1">
        <f t="array" ref="L1763">choice(Referentiel!C:C,1,Settings!$B$16)</f>
        <v/>
      </c>
      <c r="M1763" s="5" t="str" cm="1">
        <f t="array" ref="M1763">choice(Referentiel!E:E,1,Settings!$B$16)</f>
        <v/>
      </c>
      <c r="N1763" s="5" t="str" cm="1">
        <f t="array" ref="N1763">choice(Settings!K:K,1,Settings!$B$16)</f>
        <v>mercredi pm</v>
      </c>
      <c r="P1763" s="5">
        <f t="shared" si="112"/>
        <v>3</v>
      </c>
    </row>
    <row r="1764" spans="1:16" ht="15.75" customHeight="1" x14ac:dyDescent="0.25">
      <c r="A1764" s="6" t="s">
        <v>2116</v>
      </c>
      <c r="B1764" s="6" cm="1">
        <f t="array" ref="B1764">alea_int(Settings!$B$10,1,Settings!$B$16)</f>
        <v>3</v>
      </c>
      <c r="C1764" s="8">
        <v>46023</v>
      </c>
      <c r="D1764" s="8">
        <f t="shared" si="109"/>
        <v>46387</v>
      </c>
      <c r="E1764" s="6" t="str" cm="1">
        <f t="array" ref="E1764">choice(Groupes!A:A,1,Settings!$B$16)</f>
        <v>G14</v>
      </c>
      <c r="F1764" s="6" t="str">
        <f t="shared" si="110"/>
        <v>G14</v>
      </c>
      <c r="G1764" s="6" t="str">
        <f t="shared" si="111"/>
        <v>Prof16</v>
      </c>
      <c r="H1764" s="6" t="str" cm="1">
        <f t="array" ref="H1764">choice(Referentiel!A:A,1,Settings!$B$16)</f>
        <v>Design Vêtement</v>
      </c>
      <c r="I1764" s="6" t="str" cm="1">
        <f t="array" ref="I1764">choice(Referentiel!B:B,1,Settings!$B$16)</f>
        <v>4ème année Design Vêtement S2</v>
      </c>
      <c r="J1764" s="6" t="str" cm="1">
        <f t="array" ref="J1764">choice(Referentiel!D:D,1,Settings!$B$16)</f>
        <v>M2</v>
      </c>
      <c r="K1764" s="6" t="str" cm="1">
        <f t="array" ref="K1764">choice(Professeurs!B:B,1,Settings!$B$16)</f>
        <v>Prof16</v>
      </c>
      <c r="L1764" s="5" t="str" cm="1">
        <f t="array" ref="L1764">choice(Referentiel!C:C,1,Settings!$B$16)</f>
        <v/>
      </c>
      <c r="M1764" s="5" t="str" cm="1">
        <f t="array" ref="M1764">choice(Referentiel!E:E,1,Settings!$B$16)</f>
        <v/>
      </c>
      <c r="N1764" s="5" t="str" cm="1">
        <f t="array" ref="N1764">choice(Settings!K:K,1,Settings!$B$16)</f>
        <v/>
      </c>
      <c r="P1764" s="5">
        <f t="shared" si="112"/>
        <v>3</v>
      </c>
    </row>
    <row r="1765" spans="1:16" ht="15.75" customHeight="1" x14ac:dyDescent="0.25">
      <c r="A1765" s="6" t="s">
        <v>2117</v>
      </c>
      <c r="B1765" s="6" cm="1">
        <f t="array" ref="B1765">alea_int(Settings!$B$10,1,Settings!$B$16)</f>
        <v>2</v>
      </c>
      <c r="C1765" s="8">
        <v>46023</v>
      </c>
      <c r="D1765" s="8">
        <f t="shared" si="109"/>
        <v>46387</v>
      </c>
      <c r="E1765" s="6" t="str" cm="1">
        <f t="array" ref="E1765">choice(Groupes!A:A,1,Settings!$B$16)</f>
        <v>G1</v>
      </c>
      <c r="F1765" s="6" t="str">
        <f t="shared" si="110"/>
        <v>G1</v>
      </c>
      <c r="G1765" s="6" t="str">
        <f t="shared" si="111"/>
        <v>Prof40</v>
      </c>
      <c r="H1765" s="6" t="str" cm="1">
        <f t="array" ref="H1765">choice(Referentiel!A:A,1,Settings!$B$16)</f>
        <v>Design des mondes ruraux</v>
      </c>
      <c r="I1765" s="6" t="str" cm="1">
        <f t="array" ref="I1765">choice(Referentiel!B:B,1,Settings!$B$16)</f>
        <v>3ème année Design Graphique S2</v>
      </c>
      <c r="J1765" s="6" t="str" cm="1">
        <f t="array" ref="J1765">choice(Referentiel!D:D,1,Settings!$B$16)</f>
        <v>M2</v>
      </c>
      <c r="K1765" s="6" t="str" cm="1">
        <f t="array" ref="K1765">choice(Professeurs!B:B,1,Settings!$B$16)</f>
        <v>Prof40</v>
      </c>
      <c r="L1765" s="5" t="str" cm="1">
        <f t="array" ref="L1765">choice(Referentiel!C:C,1,Settings!$B$16)</f>
        <v/>
      </c>
      <c r="M1765" s="5" t="str" cm="1">
        <f t="array" ref="M1765">choice(Referentiel!E:E,1,Settings!$B$16)</f>
        <v/>
      </c>
      <c r="N1765" s="5" t="str" cm="1">
        <f t="array" ref="N1765">choice(Settings!K:K,1,Settings!$B$16)</f>
        <v/>
      </c>
      <c r="P1765" s="5">
        <f t="shared" si="112"/>
        <v>2</v>
      </c>
    </row>
    <row r="1766" spans="1:16" ht="15.75" customHeight="1" x14ac:dyDescent="0.25">
      <c r="A1766" s="6" t="s">
        <v>2118</v>
      </c>
      <c r="B1766" s="6" cm="1">
        <f t="array" ref="B1766">alea_int(Settings!$B$10,1,Settings!$B$16)</f>
        <v>1</v>
      </c>
      <c r="C1766" s="8">
        <v>46023</v>
      </c>
      <c r="D1766" s="8">
        <f t="shared" si="109"/>
        <v>46387</v>
      </c>
      <c r="E1766" s="6" t="str" cm="1">
        <f t="array" ref="E1766">choice(Groupes!A:A,1,Settings!$B$16)</f>
        <v>G4</v>
      </c>
      <c r="F1766" s="6" t="str">
        <f t="shared" si="110"/>
        <v>G4</v>
      </c>
      <c r="G1766" s="6" t="str">
        <f t="shared" si="111"/>
        <v>Prof44</v>
      </c>
      <c r="H1766" s="6" t="str" cm="1">
        <f t="array" ref="H1766">choice(Referentiel!A:A,1,Settings!$B$16)</f>
        <v>Gr REFLECTIVE INTERACTION</v>
      </c>
      <c r="I1766" s="6" t="str" cm="1">
        <f t="array" ref="I1766">choice(Referentiel!B:B,1,Settings!$B$16)</f>
        <v>3ème année Architecture Intérieure S1</v>
      </c>
      <c r="J1766" s="6" t="str" cm="1">
        <f t="array" ref="J1766">choice(Referentiel!D:D,1,Settings!$B$16)</f>
        <v>M1</v>
      </c>
      <c r="K1766" s="6" t="str" cm="1">
        <f t="array" ref="K1766">choice(Professeurs!B:B,1,Settings!$B$16)</f>
        <v>Prof44</v>
      </c>
      <c r="L1766" s="5" t="str" cm="1">
        <f t="array" ref="L1766">choice(Referentiel!C:C,1,Settings!$B$16)</f>
        <v/>
      </c>
      <c r="M1766" s="5" t="str" cm="1">
        <f t="array" ref="M1766">choice(Referentiel!E:E,1,Settings!$B$16)</f>
        <v/>
      </c>
      <c r="N1766" s="5" t="str" cm="1">
        <f t="array" ref="N1766">choice(Settings!K:K,1,Settings!$B$16)</f>
        <v/>
      </c>
      <c r="P1766" s="5">
        <f t="shared" si="112"/>
        <v>1</v>
      </c>
    </row>
    <row r="1767" spans="1:16" ht="15.75" customHeight="1" x14ac:dyDescent="0.25">
      <c r="A1767" s="6" t="s">
        <v>2119</v>
      </c>
      <c r="B1767" s="6" cm="1">
        <f t="array" ref="B1767">alea_int(Settings!$B$10,1,Settings!$B$16)</f>
        <v>3</v>
      </c>
      <c r="C1767" s="8">
        <v>46023</v>
      </c>
      <c r="D1767" s="8">
        <f t="shared" si="109"/>
        <v>46387</v>
      </c>
      <c r="E1767" s="6" t="str" cm="1">
        <f t="array" ref="E1767">choice(Groupes!A:A,1,Settings!$B$16)</f>
        <v>G6</v>
      </c>
      <c r="F1767" s="6" t="str">
        <f t="shared" si="110"/>
        <v>G6</v>
      </c>
      <c r="G1767" s="6" t="str">
        <f t="shared" si="111"/>
        <v>Prof16</v>
      </c>
      <c r="H1767" s="6" t="str" cm="1">
        <f t="array" ref="H1767">choice(Referentiel!A:A,1,Settings!$B$16)</f>
        <v>Design des mondes forestiers</v>
      </c>
      <c r="I1767" s="6" t="str" cm="1">
        <f t="array" ref="I1767">choice(Referentiel!B:B,1,Settings!$B$16)</f>
        <v>4ème année Photo / Vidéo S1</v>
      </c>
      <c r="J1767" s="6" t="str" cm="1">
        <f t="array" ref="J1767">choice(Referentiel!D:D,1,Settings!$B$16)</f>
        <v>M2</v>
      </c>
      <c r="K1767" s="6" t="str" cm="1">
        <f t="array" ref="K1767">choice(Professeurs!B:B,1,Settings!$B$16)</f>
        <v>Prof16</v>
      </c>
      <c r="L1767" s="5" t="str" cm="1">
        <f t="array" ref="L1767">choice(Referentiel!C:C,1,Settings!$B$16)</f>
        <v/>
      </c>
      <c r="M1767" s="5" t="str" cm="1">
        <f t="array" ref="M1767">choice(Referentiel!E:E,1,Settings!$B$16)</f>
        <v/>
      </c>
      <c r="N1767" s="5" t="str" cm="1">
        <f t="array" ref="N1767">choice(Settings!K:K,1,Settings!$B$16)</f>
        <v/>
      </c>
      <c r="P1767" s="5">
        <f t="shared" si="112"/>
        <v>3</v>
      </c>
    </row>
    <row r="1768" spans="1:16" ht="15.75" customHeight="1" x14ac:dyDescent="0.25">
      <c r="A1768" s="6" t="s">
        <v>2120</v>
      </c>
      <c r="B1768" s="6" cm="1">
        <f t="array" ref="B1768">alea_int(Settings!$B$10,1,Settings!$B$16)</f>
        <v>3</v>
      </c>
      <c r="C1768" s="8">
        <v>46023</v>
      </c>
      <c r="D1768" s="8">
        <f t="shared" si="109"/>
        <v>46387</v>
      </c>
      <c r="E1768" s="6" t="str" cm="1">
        <f t="array" ref="E1768">choice(Groupes!A:A,1,Settings!$B$16)</f>
        <v>G10</v>
      </c>
      <c r="F1768" s="6" t="str">
        <f t="shared" si="110"/>
        <v>G10</v>
      </c>
      <c r="G1768" s="6" t="str">
        <f t="shared" si="111"/>
        <v>Prof54</v>
      </c>
      <c r="H1768" s="6" t="str" cm="1">
        <f t="array" ref="H1768">choice(Referentiel!A:A,1,Settings!$B$16)</f>
        <v>Art-Espace</v>
      </c>
      <c r="I1768" s="6" t="str" cm="1">
        <f t="array" ref="I1768">choice(Referentiel!B:B,1,Settings!$B$16)</f>
        <v>Césure S2</v>
      </c>
      <c r="J1768" s="6" t="str" cm="1">
        <f t="array" ref="J1768">choice(Referentiel!D:D,1,Settings!$B$16)</f>
        <v>M1</v>
      </c>
      <c r="K1768" s="6" t="str" cm="1">
        <f t="array" ref="K1768">choice(Professeurs!B:B,1,Settings!$B$16)</f>
        <v>Prof54</v>
      </c>
      <c r="L1768" s="5" t="str" cm="1">
        <f t="array" ref="L1768">choice(Referentiel!C:C,1,Settings!$B$16)</f>
        <v/>
      </c>
      <c r="M1768" s="5" t="str" cm="1">
        <f t="array" ref="M1768">choice(Referentiel!E:E,1,Settings!$B$16)</f>
        <v/>
      </c>
      <c r="N1768" s="5" t="str" cm="1">
        <f t="array" ref="N1768">choice(Settings!K:K,1,Settings!$B$16)</f>
        <v/>
      </c>
      <c r="P1768" s="5">
        <f t="shared" si="112"/>
        <v>3</v>
      </c>
    </row>
    <row r="1769" spans="1:16" ht="15.75" customHeight="1" x14ac:dyDescent="0.25">
      <c r="A1769" s="6" t="s">
        <v>2121</v>
      </c>
      <c r="B1769" s="6" cm="1">
        <f t="array" ref="B1769">alea_int(Settings!$B$10,1,Settings!$B$16)</f>
        <v>3</v>
      </c>
      <c r="C1769" s="8">
        <v>46023</v>
      </c>
      <c r="D1769" s="8">
        <f t="shared" si="109"/>
        <v>46387</v>
      </c>
      <c r="E1769" s="6" t="str" cm="1">
        <f t="array" ref="E1769">choice(Groupes!A:A,1,Settings!$B$16)</f>
        <v>G25</v>
      </c>
      <c r="F1769" s="6" t="str">
        <f t="shared" si="110"/>
        <v>G25</v>
      </c>
      <c r="G1769" s="6" t="str">
        <f t="shared" si="111"/>
        <v>Prof37</v>
      </c>
      <c r="H1769" s="6" t="str" cm="1">
        <f t="array" ref="H1769">choice(Referentiel!A:A,1,Settings!$B$16)</f>
        <v>1ère année Groupe 4</v>
      </c>
      <c r="I1769" s="6" t="str" cm="1">
        <f t="array" ref="I1769">choice(Referentiel!B:B,1,Settings!$B$16)</f>
        <v>3ème année Photo / Vidéo S2</v>
      </c>
      <c r="J1769" s="6" t="str" cm="1">
        <f t="array" ref="J1769">choice(Referentiel!D:D,1,Settings!$B$16)</f>
        <v>M1</v>
      </c>
      <c r="K1769" s="6" t="str" cm="1">
        <f t="array" ref="K1769">choice(Professeurs!B:B,1,Settings!$B$16)</f>
        <v>Prof37</v>
      </c>
      <c r="L1769" s="5" t="str" cm="1">
        <f t="array" ref="L1769">choice(Referentiel!C:C,1,Settings!$B$16)</f>
        <v/>
      </c>
      <c r="M1769" s="5" t="str" cm="1">
        <f t="array" ref="M1769">choice(Referentiel!E:E,1,Settings!$B$16)</f>
        <v/>
      </c>
      <c r="N1769" s="5" t="str" cm="1">
        <f t="array" ref="N1769">choice(Settings!K:K,1,Settings!$B$16)</f>
        <v/>
      </c>
      <c r="P1769" s="5">
        <f t="shared" si="112"/>
        <v>3</v>
      </c>
    </row>
    <row r="1770" spans="1:16" ht="15.75" customHeight="1" x14ac:dyDescent="0.25">
      <c r="A1770" s="6" t="s">
        <v>2122</v>
      </c>
      <c r="B1770" s="6" cm="1">
        <f t="array" ref="B1770">alea_int(Settings!$B$10,1,Settings!$B$16)</f>
        <v>3</v>
      </c>
      <c r="C1770" s="8">
        <v>46023</v>
      </c>
      <c r="D1770" s="8">
        <f t="shared" si="109"/>
        <v>46387</v>
      </c>
      <c r="E1770" s="6" t="str" cm="1">
        <f t="array" ref="E1770">choice(Groupes!A:A,1,Settings!$B$16)</f>
        <v>G26</v>
      </c>
      <c r="F1770" s="6" t="str">
        <f t="shared" si="110"/>
        <v>G26</v>
      </c>
      <c r="G1770" s="6" t="str">
        <f t="shared" si="111"/>
        <v>Prof19</v>
      </c>
      <c r="H1770" s="6" t="str" cm="1">
        <f t="array" ref="H1770">choice(Referentiel!A:A,1,Settings!$B$16)</f>
        <v>Gr SYMBIOSE</v>
      </c>
      <c r="I1770" s="6" t="str" cm="1">
        <f t="array" ref="I1770">choice(Referentiel!B:B,1,Settings!$B$16)</f>
        <v>2ème année Architecture Intérieure S2</v>
      </c>
      <c r="J1770" s="6" t="str" cm="1">
        <f t="array" ref="J1770">choice(Referentiel!D:D,1,Settings!$B$16)</f>
        <v>M1</v>
      </c>
      <c r="K1770" s="6" t="str" cm="1">
        <f t="array" ref="K1770">choice(Professeurs!B:B,1,Settings!$B$16)</f>
        <v>Prof19</v>
      </c>
      <c r="L1770" s="5" t="str" cm="1">
        <f t="array" ref="L1770">choice(Referentiel!C:C,1,Settings!$B$16)</f>
        <v/>
      </c>
      <c r="M1770" s="5" t="str" cm="1">
        <f t="array" ref="M1770">choice(Referentiel!E:E,1,Settings!$B$16)</f>
        <v/>
      </c>
      <c r="N1770" s="5" t="str" cm="1">
        <f t="array" ref="N1770">choice(Settings!K:K,1,Settings!$B$16)</f>
        <v>lundi am</v>
      </c>
      <c r="P1770" s="5">
        <f t="shared" si="112"/>
        <v>5</v>
      </c>
    </row>
    <row r="1771" spans="1:16" ht="15.75" customHeight="1" x14ac:dyDescent="0.25">
      <c r="A1771" s="6" t="s">
        <v>2123</v>
      </c>
      <c r="B1771" s="6" cm="1">
        <f t="array" ref="B1771">alea_int(Settings!$B$10,1,Settings!$B$16)</f>
        <v>3</v>
      </c>
      <c r="C1771" s="8">
        <v>46023</v>
      </c>
      <c r="D1771" s="8">
        <f t="shared" si="109"/>
        <v>46387</v>
      </c>
      <c r="E1771" s="6" t="str" cm="1">
        <f t="array" ref="E1771">choice(Groupes!A:A,1,Settings!$B$16)</f>
        <v>G19</v>
      </c>
      <c r="F1771" s="6" t="str">
        <f t="shared" si="110"/>
        <v>G19</v>
      </c>
      <c r="G1771" s="6" t="str">
        <f t="shared" si="111"/>
        <v>Prof28</v>
      </c>
      <c r="H1771" s="6" t="str" cm="1">
        <f t="array" ref="H1771">choice(Referentiel!A:A,1,Settings!$B$16)</f>
        <v>Scénographie</v>
      </c>
      <c r="I1771" s="6" t="str" cm="1">
        <f t="array" ref="I1771">choice(Referentiel!B:B,1,Settings!$B$16)</f>
        <v>5ème année Design Objet S1</v>
      </c>
      <c r="J1771" s="6" t="str" cm="1">
        <f t="array" ref="J1771">choice(Referentiel!D:D,1,Settings!$B$16)</f>
        <v>L1</v>
      </c>
      <c r="K1771" s="6" t="str" cm="1">
        <f t="array" ref="K1771">choice(Professeurs!B:B,1,Settings!$B$16)</f>
        <v>Prof28</v>
      </c>
      <c r="L1771" s="5" t="str" cm="1">
        <f t="array" ref="L1771">choice(Referentiel!C:C,1,Settings!$B$16)</f>
        <v/>
      </c>
      <c r="M1771" s="5" t="str" cm="1">
        <f t="array" ref="M1771">choice(Referentiel!E:E,1,Settings!$B$16)</f>
        <v/>
      </c>
      <c r="N1771" s="5" t="str" cm="1">
        <f t="array" ref="N1771">choice(Settings!K:K,1,Settings!$B$16)</f>
        <v>vendredi am</v>
      </c>
      <c r="P1771" s="5">
        <f t="shared" si="112"/>
        <v>5</v>
      </c>
    </row>
    <row r="1772" spans="1:16" ht="15.75" customHeight="1" x14ac:dyDescent="0.25">
      <c r="A1772" s="6" t="s">
        <v>2124</v>
      </c>
      <c r="B1772" s="6" cm="1">
        <f t="array" ref="B1772">alea_int(Settings!$B$10,1,Settings!$B$16)</f>
        <v>1</v>
      </c>
      <c r="C1772" s="8">
        <v>46023</v>
      </c>
      <c r="D1772" s="8">
        <f t="shared" si="109"/>
        <v>46387</v>
      </c>
      <c r="E1772" s="6" t="str" cm="1">
        <f t="array" ref="E1772">choice(Groupes!A:A,1,Settings!$B$16)</f>
        <v>G14</v>
      </c>
      <c r="F1772" s="6" t="str">
        <f t="shared" si="110"/>
        <v>G14</v>
      </c>
      <c r="G1772" s="6" t="str">
        <f t="shared" si="111"/>
        <v>Prof13</v>
      </c>
      <c r="H1772" s="6" t="str" cm="1">
        <f t="array" ref="H1772">choice(Referentiel!A:A,1,Settings!$B$16)</f>
        <v>Gr ART, DESIGN, SOCIETE</v>
      </c>
      <c r="I1772" s="6" t="str" cm="1">
        <f t="array" ref="I1772">choice(Referentiel!B:B,1,Settings!$B$16)</f>
        <v>3ème année Design Vêtement S2</v>
      </c>
      <c r="J1772" s="6" t="str" cm="1">
        <f t="array" ref="J1772">choice(Referentiel!D:D,1,Settings!$B$16)</f>
        <v>L3</v>
      </c>
      <c r="K1772" s="6" t="str" cm="1">
        <f t="array" ref="K1772">choice(Professeurs!B:B,1,Settings!$B$16)</f>
        <v>Prof13</v>
      </c>
      <c r="L1772" s="5" t="str" cm="1">
        <f t="array" ref="L1772">choice(Referentiel!C:C,1,Settings!$B$16)</f>
        <v/>
      </c>
      <c r="M1772" s="5" t="str" cm="1">
        <f t="array" ref="M1772">choice(Referentiel!E:E,1,Settings!$B$16)</f>
        <v/>
      </c>
      <c r="N1772" s="5" t="str" cm="1">
        <f t="array" ref="N1772">choice(Settings!K:K,1,Settings!$B$16)</f>
        <v/>
      </c>
      <c r="P1772" s="5">
        <f t="shared" si="112"/>
        <v>1</v>
      </c>
    </row>
    <row r="1773" spans="1:16" ht="15.75" customHeight="1" x14ac:dyDescent="0.25">
      <c r="A1773" s="6" t="s">
        <v>2125</v>
      </c>
      <c r="B1773" s="6" cm="1">
        <f t="array" ref="B1773">alea_int(Settings!$B$10,1,Settings!$B$16)</f>
        <v>2</v>
      </c>
      <c r="C1773" s="8">
        <v>46023</v>
      </c>
      <c r="D1773" s="8">
        <f t="shared" si="109"/>
        <v>46387</v>
      </c>
      <c r="E1773" s="6" t="str" cm="1">
        <f t="array" ref="E1773">choice(Groupes!A:A,1,Settings!$B$16)</f>
        <v>G13</v>
      </c>
      <c r="F1773" s="6" t="str">
        <f t="shared" si="110"/>
        <v>G13</v>
      </c>
      <c r="G1773" s="6" t="str">
        <f t="shared" si="111"/>
        <v>Prof45</v>
      </c>
      <c r="H1773" s="6" t="str" cm="1">
        <f t="array" ref="H1773">choice(Referentiel!A:A,1,Settings!$B$16)</f>
        <v>Gr REFLECTIVE INTERACTION</v>
      </c>
      <c r="I1773" s="6" t="str" cm="1">
        <f t="array" ref="I1773">choice(Referentiel!B:B,1,Settings!$B$16)</f>
        <v>3ème année Art-Espace S2</v>
      </c>
      <c r="J1773" s="6" t="str" cm="1">
        <f t="array" ref="J1773">choice(Referentiel!D:D,1,Settings!$B$16)</f>
        <v>L2</v>
      </c>
      <c r="K1773" s="6" t="str" cm="1">
        <f t="array" ref="K1773">choice(Professeurs!B:B,1,Settings!$B$16)</f>
        <v>Prof45</v>
      </c>
      <c r="L1773" s="5" t="str" cm="1">
        <f t="array" ref="L1773">choice(Referentiel!C:C,1,Settings!$B$16)</f>
        <v/>
      </c>
      <c r="M1773" s="5" t="str" cm="1">
        <f t="array" ref="M1773">choice(Referentiel!E:E,1,Settings!$B$16)</f>
        <v/>
      </c>
      <c r="N1773" s="5" t="str" cm="1">
        <f t="array" ref="N1773">choice(Settings!K:K,1,Settings!$B$16)</f>
        <v/>
      </c>
      <c r="P1773" s="5">
        <f t="shared" si="112"/>
        <v>2</v>
      </c>
    </row>
    <row r="1774" spans="1:16" ht="15.75" customHeight="1" x14ac:dyDescent="0.25">
      <c r="A1774" s="6" t="s">
        <v>2126</v>
      </c>
      <c r="B1774" s="6" cm="1">
        <f t="array" ref="B1774">alea_int(Settings!$B$10,1,Settings!$B$16)</f>
        <v>3</v>
      </c>
      <c r="C1774" s="8">
        <v>46023</v>
      </c>
      <c r="D1774" s="8">
        <f t="shared" si="109"/>
        <v>46387</v>
      </c>
      <c r="E1774" s="6" t="str" cm="1">
        <f t="array" ref="E1774">choice(Groupes!A:A,1,Settings!$B$16)</f>
        <v>G24</v>
      </c>
      <c r="F1774" s="6" t="str">
        <f t="shared" si="110"/>
        <v>G24</v>
      </c>
      <c r="G1774" s="6" t="str">
        <f t="shared" si="111"/>
        <v>Prof8</v>
      </c>
      <c r="H1774" s="6" t="str" cm="1">
        <f t="array" ref="H1774">choice(Referentiel!A:A,1,Settings!$B$16)</f>
        <v>Design Vêtement</v>
      </c>
      <c r="I1774" s="6" t="str" cm="1">
        <f t="array" ref="I1774">choice(Referentiel!B:B,1,Settings!$B$16)</f>
        <v>2ème année Design Vêtement S1</v>
      </c>
      <c r="J1774" s="6" t="str" cm="1">
        <f t="array" ref="J1774">choice(Referentiel!D:D,1,Settings!$B$16)</f>
        <v>L2</v>
      </c>
      <c r="K1774" s="6" t="str" cm="1">
        <f t="array" ref="K1774">choice(Professeurs!B:B,1,Settings!$B$16)</f>
        <v>Prof8</v>
      </c>
      <c r="L1774" s="5" t="str" cm="1">
        <f t="array" ref="L1774">choice(Referentiel!C:C,1,Settings!$B$16)</f>
        <v>tablette</v>
      </c>
      <c r="M1774" s="5" t="str" cm="1">
        <f t="array" ref="M1774">choice(Referentiel!E:E,1,Settings!$B$16)</f>
        <v/>
      </c>
      <c r="N1774" s="5" t="str" cm="1">
        <f t="array" ref="N1774">choice(Settings!K:K,1,Settings!$B$16)</f>
        <v/>
      </c>
      <c r="P1774" s="5">
        <f t="shared" si="112"/>
        <v>3</v>
      </c>
    </row>
    <row r="1775" spans="1:16" ht="15.75" customHeight="1" x14ac:dyDescent="0.25">
      <c r="A1775" s="6" t="s">
        <v>2127</v>
      </c>
      <c r="B1775" s="6" cm="1">
        <f t="array" ref="B1775">alea_int(Settings!$B$10,1,Settings!$B$16)</f>
        <v>3</v>
      </c>
      <c r="C1775" s="8">
        <v>46023</v>
      </c>
      <c r="D1775" s="8">
        <f t="shared" si="109"/>
        <v>46387</v>
      </c>
      <c r="E1775" s="6" t="str" cm="1">
        <f t="array" ref="E1775">choice(Groupes!A:A,1,Settings!$B$16)</f>
        <v>G1</v>
      </c>
      <c r="F1775" s="6" t="str">
        <f t="shared" si="110"/>
        <v>G1</v>
      </c>
      <c r="G1775" s="6" t="str">
        <f t="shared" si="111"/>
        <v>Prof34</v>
      </c>
      <c r="H1775" s="6" t="str" cm="1">
        <f t="array" ref="H1775">choice(Referentiel!A:A,1,Settings!$B$16)</f>
        <v>Gr ART, DESIGN, SOCIETE</v>
      </c>
      <c r="I1775" s="6" t="str" cm="1">
        <f t="array" ref="I1775">choice(Referentiel!B:B,1,Settings!$B$16)</f>
        <v>4ème année Scénographie S1</v>
      </c>
      <c r="J1775" s="6" t="str" cm="1">
        <f t="array" ref="J1775">choice(Referentiel!D:D,1,Settings!$B$16)</f>
        <v>L2</v>
      </c>
      <c r="K1775" s="6" t="str" cm="1">
        <f t="array" ref="K1775">choice(Professeurs!B:B,1,Settings!$B$16)</f>
        <v>Prof34</v>
      </c>
      <c r="L1775" s="5" t="str" cm="1">
        <f t="array" ref="L1775">choice(Referentiel!C:C,1,Settings!$B$16)</f>
        <v/>
      </c>
      <c r="M1775" s="5" t="str" cm="1">
        <f t="array" ref="M1775">choice(Referentiel!E:E,1,Settings!$B$16)</f>
        <v/>
      </c>
      <c r="N1775" s="5" t="str" cm="1">
        <f t="array" ref="N1775">choice(Settings!K:K,1,Settings!$B$16)</f>
        <v/>
      </c>
      <c r="P1775" s="5">
        <f t="shared" si="112"/>
        <v>3</v>
      </c>
    </row>
    <row r="1776" spans="1:16" ht="15.75" customHeight="1" x14ac:dyDescent="0.25">
      <c r="A1776" s="6" t="s">
        <v>2128</v>
      </c>
      <c r="B1776" s="6" cm="1">
        <f t="array" ref="B1776">alea_int(Settings!$B$10,1,Settings!$B$16)</f>
        <v>3</v>
      </c>
      <c r="C1776" s="8">
        <v>46023</v>
      </c>
      <c r="D1776" s="8">
        <f t="shared" si="109"/>
        <v>46387</v>
      </c>
      <c r="E1776" s="6" t="str" cm="1">
        <f t="array" ref="E1776">choice(Groupes!A:A,1,Settings!$B$16)</f>
        <v>G20</v>
      </c>
      <c r="F1776" s="6" t="str">
        <f t="shared" si="110"/>
        <v>G20</v>
      </c>
      <c r="G1776" s="6" t="str">
        <f t="shared" si="111"/>
        <v>Prof8</v>
      </c>
      <c r="H1776" s="6" t="str" cm="1">
        <f t="array" ref="H1776">choice(Referentiel!A:A,1,Settings!$B$16)</f>
        <v>Design Textile et Matière</v>
      </c>
      <c r="I1776" s="6" t="str" cm="1">
        <f t="array" ref="I1776">choice(Referentiel!B:B,1,Settings!$B$16)</f>
        <v>5ème année Image Imprimée S1</v>
      </c>
      <c r="J1776" s="6" t="str" cm="1">
        <f t="array" ref="J1776">choice(Referentiel!D:D,1,Settings!$B$16)</f>
        <v>L3</v>
      </c>
      <c r="K1776" s="6" t="str" cm="1">
        <f t="array" ref="K1776">choice(Professeurs!B:B,1,Settings!$B$16)</f>
        <v>Prof8</v>
      </c>
      <c r="L1776" s="5" t="str" cm="1">
        <f t="array" ref="L1776">choice(Referentiel!C:C,1,Settings!$B$16)</f>
        <v/>
      </c>
      <c r="M1776" s="5" t="str" cm="1">
        <f t="array" ref="M1776">choice(Referentiel!E:E,1,Settings!$B$16)</f>
        <v/>
      </c>
      <c r="N1776" s="5" t="str" cm="1">
        <f t="array" ref="N1776">choice(Settings!K:K,1,Settings!$B$16)</f>
        <v/>
      </c>
      <c r="P1776" s="5">
        <f t="shared" si="112"/>
        <v>3</v>
      </c>
    </row>
    <row r="1777" spans="1:16" ht="15.75" customHeight="1" x14ac:dyDescent="0.25">
      <c r="A1777" s="6" t="s">
        <v>2129</v>
      </c>
      <c r="B1777" s="6" cm="1">
        <f t="array" ref="B1777">alea_int(Settings!$B$10,1,Settings!$B$16)</f>
        <v>2</v>
      </c>
      <c r="C1777" s="8">
        <v>46023</v>
      </c>
      <c r="D1777" s="8">
        <f t="shared" si="109"/>
        <v>46387</v>
      </c>
      <c r="E1777" s="6" t="str" cm="1">
        <f t="array" ref="E1777">choice(Groupes!A:A,1,Settings!$B$16)</f>
        <v>G13</v>
      </c>
      <c r="F1777" s="6" t="str">
        <f t="shared" si="110"/>
        <v>G13</v>
      </c>
      <c r="G1777" s="6" t="str">
        <f t="shared" si="111"/>
        <v>Prof53</v>
      </c>
      <c r="H1777" s="6" t="str" cm="1">
        <f t="array" ref="H1777">choice(Referentiel!A:A,1,Settings!$B$16)</f>
        <v>Design des mondes ruraux</v>
      </c>
      <c r="I1777" s="6" t="str" cm="1">
        <f t="array" ref="I1777">choice(Referentiel!B:B,1,Settings!$B$16)</f>
        <v>4ème année Image Imprimée S2</v>
      </c>
      <c r="J1777" s="6" t="str" cm="1">
        <f t="array" ref="J1777">choice(Referentiel!D:D,1,Settings!$B$16)</f>
        <v>L3</v>
      </c>
      <c r="K1777" s="6" t="str" cm="1">
        <f t="array" ref="K1777">choice(Professeurs!B:B,1,Settings!$B$16)</f>
        <v>Prof53</v>
      </c>
      <c r="L1777" s="5" t="str" cm="1">
        <f t="array" ref="L1777">choice(Referentiel!C:C,1,Settings!$B$16)</f>
        <v/>
      </c>
      <c r="M1777" s="5" t="str" cm="1">
        <f t="array" ref="M1777">choice(Referentiel!E:E,1,Settings!$B$16)</f>
        <v/>
      </c>
      <c r="N1777" s="5" t="str" cm="1">
        <f t="array" ref="N1777">choice(Settings!K:K,1,Settings!$B$16)</f>
        <v>mardi am</v>
      </c>
      <c r="P1777" s="5">
        <f t="shared" si="112"/>
        <v>4</v>
      </c>
    </row>
    <row r="1778" spans="1:16" ht="15.75" customHeight="1" x14ac:dyDescent="0.25">
      <c r="A1778" s="6" t="s">
        <v>2130</v>
      </c>
      <c r="B1778" s="6" cm="1">
        <f t="array" ref="B1778">alea_int(Settings!$B$10,1,Settings!$B$16)</f>
        <v>1</v>
      </c>
      <c r="C1778" s="8">
        <v>46023</v>
      </c>
      <c r="D1778" s="8">
        <f t="shared" si="109"/>
        <v>46387</v>
      </c>
      <c r="E1778" s="6" t="str" cm="1">
        <f t="array" ref="E1778">choice(Groupes!A:A,1,Settings!$B$16)</f>
        <v>G27</v>
      </c>
      <c r="F1778" s="6" t="str">
        <f t="shared" si="110"/>
        <v>G27</v>
      </c>
      <c r="G1778" s="6" t="str">
        <f t="shared" si="111"/>
        <v>Prof48</v>
      </c>
      <c r="H1778" s="6" t="str" cm="1">
        <f t="array" ref="H1778">choice(Referentiel!A:A,1,Settings!$B$16)</f>
        <v>Design des mondes urbains</v>
      </c>
      <c r="I1778" s="6" t="str" cm="1">
        <f t="array" ref="I1778">choice(Referentiel!B:B,1,Settings!$B$16)</f>
        <v>4ème année Architecture Intérieure S1</v>
      </c>
      <c r="J1778" s="6" t="str" cm="1">
        <f t="array" ref="J1778">choice(Referentiel!D:D,1,Settings!$B$16)</f>
        <v>L3</v>
      </c>
      <c r="K1778" s="6" t="str" cm="1">
        <f t="array" ref="K1778">choice(Professeurs!B:B,1,Settings!$B$16)</f>
        <v>Prof48</v>
      </c>
      <c r="L1778" s="5" t="str" cm="1">
        <f t="array" ref="L1778">choice(Referentiel!C:C,1,Settings!$B$16)</f>
        <v/>
      </c>
      <c r="M1778" s="5" t="str" cm="1">
        <f t="array" ref="M1778">choice(Referentiel!E:E,1,Settings!$B$16)</f>
        <v/>
      </c>
      <c r="N1778" s="5" t="str" cm="1">
        <f t="array" ref="N1778">choice(Settings!K:K,1,Settings!$B$16)</f>
        <v/>
      </c>
      <c r="P1778" s="5">
        <f t="shared" si="112"/>
        <v>1</v>
      </c>
    </row>
    <row r="1779" spans="1:16" ht="15.75" customHeight="1" x14ac:dyDescent="0.25">
      <c r="A1779" s="6" t="s">
        <v>2131</v>
      </c>
      <c r="B1779" s="6" cm="1">
        <f t="array" ref="B1779">alea_int(Settings!$B$10,1,Settings!$B$16)</f>
        <v>3</v>
      </c>
      <c r="C1779" s="8">
        <v>46023</v>
      </c>
      <c r="D1779" s="8">
        <f t="shared" si="109"/>
        <v>46387</v>
      </c>
      <c r="E1779" s="6" t="str" cm="1">
        <f t="array" ref="E1779">choice(Groupes!A:A,1,Settings!$B$16)</f>
        <v>G14</v>
      </c>
      <c r="F1779" s="6" t="str">
        <f t="shared" si="110"/>
        <v>G14</v>
      </c>
      <c r="G1779" s="6" t="str">
        <f t="shared" si="111"/>
        <v>Prof19</v>
      </c>
      <c r="H1779" s="6" t="str" cm="1">
        <f t="array" ref="H1779">choice(Referentiel!A:A,1,Settings!$B$16)</f>
        <v>6ème année atelier</v>
      </c>
      <c r="I1779" s="6" t="str" cm="1">
        <f t="array" ref="I1779">choice(Referentiel!B:B,1,Settings!$B$16)</f>
        <v>3ème année Architecture Intérieure S2</v>
      </c>
      <c r="J1779" s="6" t="str" cm="1">
        <f t="array" ref="J1779">choice(Referentiel!D:D,1,Settings!$B$16)</f>
        <v>M2</v>
      </c>
      <c r="K1779" s="6" t="str" cm="1">
        <f t="array" ref="K1779">choice(Professeurs!B:B,1,Settings!$B$16)</f>
        <v>Prof19</v>
      </c>
      <c r="L1779" s="5" t="str" cm="1">
        <f t="array" ref="L1779">choice(Referentiel!C:C,1,Settings!$B$16)</f>
        <v/>
      </c>
      <c r="M1779" s="5" t="str" cm="1">
        <f t="array" ref="M1779">choice(Referentiel!E:E,1,Settings!$B$16)</f>
        <v/>
      </c>
      <c r="N1779" s="5" t="str" cm="1">
        <f t="array" ref="N1779">choice(Settings!K:K,1,Settings!$B$16)</f>
        <v>vendredi am</v>
      </c>
      <c r="P1779" s="5">
        <f t="shared" si="112"/>
        <v>5</v>
      </c>
    </row>
    <row r="1780" spans="1:16" ht="15.75" customHeight="1" x14ac:dyDescent="0.25">
      <c r="A1780" s="6" t="s">
        <v>2132</v>
      </c>
      <c r="B1780" s="6" cm="1">
        <f t="array" ref="B1780">alea_int(Settings!$B$10,1,Settings!$B$16)</f>
        <v>2</v>
      </c>
      <c r="C1780" s="8">
        <v>46023</v>
      </c>
      <c r="D1780" s="8">
        <f t="shared" si="109"/>
        <v>46387</v>
      </c>
      <c r="E1780" s="6" t="str" cm="1">
        <f t="array" ref="E1780">choice(Groupes!A:A,1,Settings!$B$16)</f>
        <v>G15</v>
      </c>
      <c r="F1780" s="6" t="str">
        <f t="shared" si="110"/>
        <v>G15</v>
      </c>
      <c r="G1780" s="6" t="str">
        <f t="shared" si="111"/>
        <v>Prof7</v>
      </c>
      <c r="H1780" s="6" t="str" cm="1">
        <f t="array" ref="H1780">choice(Referentiel!A:A,1,Settings!$B$16)</f>
        <v>Gr SYMBIOSE</v>
      </c>
      <c r="I1780" s="6" t="str" cm="1">
        <f t="array" ref="I1780">choice(Referentiel!B:B,1,Settings!$B$16)</f>
        <v>3ème année Design Vêtement S1</v>
      </c>
      <c r="J1780" s="6" t="str" cm="1">
        <f t="array" ref="J1780">choice(Referentiel!D:D,1,Settings!$B$16)</f>
        <v>M2</v>
      </c>
      <c r="K1780" s="6" t="str" cm="1">
        <f t="array" ref="K1780">choice(Professeurs!B:B,1,Settings!$B$16)</f>
        <v>Prof7</v>
      </c>
      <c r="L1780" s="5" t="str" cm="1">
        <f t="array" ref="L1780">choice(Referentiel!C:C,1,Settings!$B$16)</f>
        <v/>
      </c>
      <c r="M1780" s="5" t="str" cm="1">
        <f t="array" ref="M1780">choice(Referentiel!E:E,1,Settings!$B$16)</f>
        <v/>
      </c>
      <c r="N1780" s="5" t="str" cm="1">
        <f t="array" ref="N1780">choice(Settings!K:K,1,Settings!$B$16)</f>
        <v/>
      </c>
      <c r="P1780" s="5">
        <f t="shared" si="112"/>
        <v>2</v>
      </c>
    </row>
    <row r="1781" spans="1:16" ht="15.75" customHeight="1" x14ac:dyDescent="0.25">
      <c r="A1781" s="6" t="s">
        <v>2133</v>
      </c>
      <c r="B1781" s="6" cm="1">
        <f t="array" ref="B1781">alea_int(Settings!$B$10,1,Settings!$B$16)</f>
        <v>1</v>
      </c>
      <c r="C1781" s="8">
        <v>46023</v>
      </c>
      <c r="D1781" s="8">
        <f t="shared" si="109"/>
        <v>46387</v>
      </c>
      <c r="E1781" s="6" t="str" cm="1">
        <f t="array" ref="E1781">choice(Groupes!A:A,1,Settings!$B$16)</f>
        <v>G26</v>
      </c>
      <c r="F1781" s="6" t="str">
        <f t="shared" si="110"/>
        <v>G26</v>
      </c>
      <c r="G1781" s="6" t="str">
        <f t="shared" si="111"/>
        <v>Prof54</v>
      </c>
      <c r="H1781" s="6" t="str" cm="1">
        <f t="array" ref="H1781">choice(Referentiel!A:A,1,Settings!$B$16)</f>
        <v>6ème ANNÉE STAGE</v>
      </c>
      <c r="I1781" s="6" t="str" cm="1">
        <f t="array" ref="I1781">choice(Referentiel!B:B,1,Settings!$B$16)</f>
        <v>3ème année Design Vêtement S2</v>
      </c>
      <c r="J1781" s="6" t="str" cm="1">
        <f t="array" ref="J1781">choice(Referentiel!D:D,1,Settings!$B$16)</f>
        <v>L2</v>
      </c>
      <c r="K1781" s="6" t="str" cm="1">
        <f t="array" ref="K1781">choice(Professeurs!B:B,1,Settings!$B$16)</f>
        <v>Prof54</v>
      </c>
      <c r="L1781" s="5" t="str" cm="1">
        <f t="array" ref="L1781">choice(Referentiel!C:C,1,Settings!$B$16)</f>
        <v/>
      </c>
      <c r="M1781" s="5" t="str" cm="1">
        <f t="array" ref="M1781">choice(Referentiel!E:E,1,Settings!$B$16)</f>
        <v/>
      </c>
      <c r="N1781" s="5" t="str" cm="1">
        <f t="array" ref="N1781">choice(Settings!K:K,1,Settings!$B$16)</f>
        <v/>
      </c>
      <c r="P1781" s="5">
        <f t="shared" si="112"/>
        <v>1</v>
      </c>
    </row>
    <row r="1782" spans="1:16" ht="15.75" customHeight="1" x14ac:dyDescent="0.25">
      <c r="A1782" s="6" t="s">
        <v>2134</v>
      </c>
      <c r="B1782" s="6" cm="1">
        <f t="array" ref="B1782">alea_int(Settings!$B$10,1,Settings!$B$16)</f>
        <v>3</v>
      </c>
      <c r="C1782" s="8">
        <v>46023</v>
      </c>
      <c r="D1782" s="8">
        <f t="shared" si="109"/>
        <v>46387</v>
      </c>
      <c r="E1782" s="6" t="str" cm="1">
        <f t="array" ref="E1782">choice(Groupes!A:A,1,Settings!$B$16)</f>
        <v>G2</v>
      </c>
      <c r="F1782" s="6" t="str">
        <f t="shared" si="110"/>
        <v>G2</v>
      </c>
      <c r="G1782" s="6" t="str">
        <f t="shared" si="111"/>
        <v>Prof36</v>
      </c>
      <c r="H1782" s="6" t="str" cm="1">
        <f t="array" ref="H1782">choice(Referentiel!A:A,1,Settings!$B$16)</f>
        <v>Design des mondes insulaires</v>
      </c>
      <c r="I1782" s="6" t="str" cm="1">
        <f t="array" ref="I1782">choice(Referentiel!B:B,1,Settings!$B$16)</f>
        <v>1ère Année Groupe 4 S2</v>
      </c>
      <c r="J1782" s="6" t="str" cm="1">
        <f t="array" ref="J1782">choice(Referentiel!D:D,1,Settings!$B$16)</f>
        <v>L1</v>
      </c>
      <c r="K1782" s="6" t="str" cm="1">
        <f t="array" ref="K1782">choice(Professeurs!B:B,1,Settings!$B$16)</f>
        <v>Prof36</v>
      </c>
      <c r="L1782" s="5" t="str" cm="1">
        <f t="array" ref="L1782">choice(Referentiel!C:C,1,Settings!$B$16)</f>
        <v/>
      </c>
      <c r="M1782" s="5" t="str" cm="1">
        <f t="array" ref="M1782">choice(Referentiel!E:E,1,Settings!$B$16)</f>
        <v/>
      </c>
      <c r="N1782" s="5" t="str" cm="1">
        <f t="array" ref="N1782">choice(Settings!K:K,1,Settings!$B$16)</f>
        <v/>
      </c>
      <c r="P1782" s="5">
        <f t="shared" si="112"/>
        <v>3</v>
      </c>
    </row>
    <row r="1783" spans="1:16" ht="15.75" customHeight="1" x14ac:dyDescent="0.25">
      <c r="A1783" s="6" t="s">
        <v>2135</v>
      </c>
      <c r="B1783" s="6" cm="1">
        <f t="array" ref="B1783">alea_int(Settings!$B$10,1,Settings!$B$16)</f>
        <v>1</v>
      </c>
      <c r="C1783" s="8">
        <v>46023</v>
      </c>
      <c r="D1783" s="8">
        <f t="shared" si="109"/>
        <v>46387</v>
      </c>
      <c r="E1783" s="6" t="str" cm="1">
        <f t="array" ref="E1783">choice(Groupes!A:A,1,Settings!$B$16)</f>
        <v>G27</v>
      </c>
      <c r="F1783" s="6" t="str">
        <f t="shared" si="110"/>
        <v>G27</v>
      </c>
      <c r="G1783" s="6" t="str">
        <f t="shared" si="111"/>
        <v>Prof43</v>
      </c>
      <c r="H1783" s="6" t="str" cm="1">
        <f t="array" ref="H1783">choice(Referentiel!A:A,1,Settings!$B$16)</f>
        <v>Gr REFLECTIVE INTERACTION</v>
      </c>
      <c r="I1783" s="6" t="str" cm="1">
        <f t="array" ref="I1783">choice(Referentiel!B:B,1,Settings!$B$16)</f>
        <v>4ème année Image Imprimée S1</v>
      </c>
      <c r="J1783" s="6" t="str" cm="1">
        <f t="array" ref="J1783">choice(Referentiel!D:D,1,Settings!$B$16)</f>
        <v>M2</v>
      </c>
      <c r="K1783" s="6" t="str" cm="1">
        <f t="array" ref="K1783">choice(Professeurs!B:B,1,Settings!$B$16)</f>
        <v>Prof43</v>
      </c>
      <c r="L1783" s="5" t="str" cm="1">
        <f t="array" ref="L1783">choice(Referentiel!C:C,1,Settings!$B$16)</f>
        <v/>
      </c>
      <c r="M1783" s="5" t="str" cm="1">
        <f t="array" ref="M1783">choice(Referentiel!E:E,1,Settings!$B$16)</f>
        <v/>
      </c>
      <c r="N1783" s="5" t="str" cm="1">
        <f t="array" ref="N1783">choice(Settings!K:K,1,Settings!$B$16)</f>
        <v/>
      </c>
      <c r="P1783" s="5">
        <f t="shared" si="112"/>
        <v>1</v>
      </c>
    </row>
    <row r="1784" spans="1:16" ht="15.75" customHeight="1" x14ac:dyDescent="0.25">
      <c r="A1784" s="6" t="s">
        <v>2136</v>
      </c>
      <c r="B1784" s="6" cm="1">
        <f t="array" ref="B1784">alea_int(Settings!$B$10,1,Settings!$B$16)</f>
        <v>2</v>
      </c>
      <c r="C1784" s="8">
        <v>46023</v>
      </c>
      <c r="D1784" s="8">
        <f t="shared" si="109"/>
        <v>46387</v>
      </c>
      <c r="E1784" s="6" t="str" cm="1">
        <f t="array" ref="E1784">choice(Groupes!A:A,1,Settings!$B$16)</f>
        <v>G21</v>
      </c>
      <c r="F1784" s="6" t="str">
        <f t="shared" si="110"/>
        <v>G21</v>
      </c>
      <c r="G1784" s="6" t="str">
        <f t="shared" si="111"/>
        <v>Prof51</v>
      </c>
      <c r="H1784" s="6" t="str" cm="1">
        <f t="array" ref="H1784">choice(Referentiel!A:A,1,Settings!$B$16)</f>
        <v>Design des mondes urbains</v>
      </c>
      <c r="I1784" s="6" t="str" cm="1">
        <f t="array" ref="I1784">choice(Referentiel!B:B,1,Settings!$B$16)</f>
        <v>2ème année Design Graphique S1</v>
      </c>
      <c r="J1784" s="6" t="str" cm="1">
        <f t="array" ref="J1784">choice(Referentiel!D:D,1,Settings!$B$16)</f>
        <v>L2</v>
      </c>
      <c r="K1784" s="6" t="str" cm="1">
        <f t="array" ref="K1784">choice(Professeurs!B:B,1,Settings!$B$16)</f>
        <v>Prof51</v>
      </c>
      <c r="L1784" s="5" t="str" cm="1">
        <f t="array" ref="L1784">choice(Referentiel!C:C,1,Settings!$B$16)</f>
        <v/>
      </c>
      <c r="M1784" s="5" t="str" cm="1">
        <f t="array" ref="M1784">choice(Referentiel!E:E,1,Settings!$B$16)</f>
        <v/>
      </c>
      <c r="N1784" s="5" t="str" cm="1">
        <f t="array" ref="N1784">choice(Settings!K:K,1,Settings!$B$16)</f>
        <v/>
      </c>
      <c r="P1784" s="5">
        <f t="shared" si="112"/>
        <v>2</v>
      </c>
    </row>
    <row r="1785" spans="1:16" ht="15.75" customHeight="1" x14ac:dyDescent="0.25">
      <c r="A1785" s="6" t="s">
        <v>2137</v>
      </c>
      <c r="B1785" s="6" cm="1">
        <f t="array" ref="B1785">alea_int(Settings!$B$10,1,Settings!$B$16)</f>
        <v>1</v>
      </c>
      <c r="C1785" s="8">
        <v>46023</v>
      </c>
      <c r="D1785" s="8">
        <f t="shared" si="109"/>
        <v>46387</v>
      </c>
      <c r="E1785" s="6" t="str" cm="1">
        <f t="array" ref="E1785">choice(Groupes!A:A,1,Settings!$B$16)</f>
        <v>G22</v>
      </c>
      <c r="F1785" s="6" t="str">
        <f t="shared" si="110"/>
        <v>G22</v>
      </c>
      <c r="G1785" s="6" t="str">
        <f t="shared" si="111"/>
        <v>Prof55</v>
      </c>
      <c r="H1785" s="6" t="str" cm="1">
        <f t="array" ref="H1785">choice(Referentiel!A:A,1,Settings!$B$16)</f>
        <v>Design des mondes insulaires</v>
      </c>
      <c r="I1785" s="6" t="str" cm="1">
        <f t="array" ref="I1785">choice(Referentiel!B:B,1,Settings!$B$16)</f>
        <v>3ème année Design Graphique S2</v>
      </c>
      <c r="J1785" s="6" t="str" cm="1">
        <f t="array" ref="J1785">choice(Referentiel!D:D,1,Settings!$B$16)</f>
        <v>L3</v>
      </c>
      <c r="K1785" s="6" t="str" cm="1">
        <f t="array" ref="K1785">choice(Professeurs!B:B,1,Settings!$B$16)</f>
        <v>Prof55</v>
      </c>
      <c r="L1785" s="5" t="str" cm="1">
        <f t="array" ref="L1785">choice(Referentiel!C:C,1,Settings!$B$16)</f>
        <v/>
      </c>
      <c r="M1785" s="5" t="str" cm="1">
        <f t="array" ref="M1785">choice(Referentiel!E:E,1,Settings!$B$16)</f>
        <v/>
      </c>
      <c r="N1785" s="5" t="str" cm="1">
        <f t="array" ref="N1785">choice(Settings!K:K,1,Settings!$B$16)</f>
        <v/>
      </c>
      <c r="P1785" s="5">
        <f t="shared" si="112"/>
        <v>1</v>
      </c>
    </row>
    <row r="1786" spans="1:16" ht="15.75" customHeight="1" x14ac:dyDescent="0.25">
      <c r="A1786" s="6" t="s">
        <v>2138</v>
      </c>
      <c r="B1786" s="6" cm="1">
        <f t="array" ref="B1786">alea_int(Settings!$B$10,1,Settings!$B$16)</f>
        <v>1</v>
      </c>
      <c r="C1786" s="8">
        <v>46023</v>
      </c>
      <c r="D1786" s="8">
        <f t="shared" si="109"/>
        <v>46387</v>
      </c>
      <c r="E1786" s="6" t="str" cm="1">
        <f t="array" ref="E1786">choice(Groupes!A:A,1,Settings!$B$16)</f>
        <v>G22</v>
      </c>
      <c r="F1786" s="6" t="str">
        <f t="shared" si="110"/>
        <v>G22</v>
      </c>
      <c r="G1786" s="6" t="str">
        <f t="shared" si="111"/>
        <v>Prof51</v>
      </c>
      <c r="H1786" s="6" t="str" cm="1">
        <f t="array" ref="H1786">choice(Referentiel!A:A,1,Settings!$B$16)</f>
        <v>1ère année Groupe 3</v>
      </c>
      <c r="I1786" s="6" t="str" cm="1">
        <f t="array" ref="I1786">choice(Referentiel!B:B,1,Settings!$B$16)</f>
        <v>1ère Année Groupe 4 S1</v>
      </c>
      <c r="J1786" s="6" t="str" cm="1">
        <f t="array" ref="J1786">choice(Referentiel!D:D,1,Settings!$B$16)</f>
        <v>L1</v>
      </c>
      <c r="K1786" s="6" t="str" cm="1">
        <f t="array" ref="K1786">choice(Professeurs!B:B,1,Settings!$B$16)</f>
        <v>Prof51</v>
      </c>
      <c r="L1786" s="5" t="str" cm="1">
        <f t="array" ref="L1786">choice(Referentiel!C:C,1,Settings!$B$16)</f>
        <v/>
      </c>
      <c r="M1786" s="5" t="str" cm="1">
        <f t="array" ref="M1786">choice(Referentiel!E:E,1,Settings!$B$16)</f>
        <v/>
      </c>
      <c r="N1786" s="5" t="str" cm="1">
        <f t="array" ref="N1786">choice(Settings!K:K,1,Settings!$B$16)</f>
        <v>mercredi ap</v>
      </c>
      <c r="P1786" s="5">
        <f t="shared" si="112"/>
        <v>3</v>
      </c>
    </row>
    <row r="1787" spans="1:16" ht="15.75" customHeight="1" x14ac:dyDescent="0.25">
      <c r="A1787" s="6" t="s">
        <v>2139</v>
      </c>
      <c r="B1787" s="6" cm="1">
        <f t="array" ref="B1787">alea_int(Settings!$B$10,1,Settings!$B$16)</f>
        <v>3</v>
      </c>
      <c r="C1787" s="8">
        <v>46023</v>
      </c>
      <c r="D1787" s="8">
        <f t="shared" si="109"/>
        <v>46387</v>
      </c>
      <c r="E1787" s="6" t="str" cm="1">
        <f t="array" ref="E1787">choice(Groupes!A:A,1,Settings!$B$16)</f>
        <v>G7</v>
      </c>
      <c r="F1787" s="6" t="str">
        <f t="shared" si="110"/>
        <v>G7</v>
      </c>
      <c r="G1787" s="6" t="str">
        <f t="shared" si="111"/>
        <v>Prof46</v>
      </c>
      <c r="H1787" s="6" t="str" cm="1">
        <f t="array" ref="H1787">choice(Referentiel!A:A,1,Settings!$B$16)</f>
        <v>6ème ANNÉE STAGE</v>
      </c>
      <c r="I1787" s="6" t="str" cm="1">
        <f t="array" ref="I1787">choice(Referentiel!B:B,1,Settings!$B$16)</f>
        <v>4ème année Photo / Vidéo S1</v>
      </c>
      <c r="J1787" s="6" t="str" cm="1">
        <f t="array" ref="J1787">choice(Referentiel!D:D,1,Settings!$B$16)</f>
        <v>L1</v>
      </c>
      <c r="K1787" s="6" t="str" cm="1">
        <f t="array" ref="K1787">choice(Professeurs!B:B,1,Settings!$B$16)</f>
        <v>Prof46</v>
      </c>
      <c r="L1787" s="5" t="str" cm="1">
        <f t="array" ref="L1787">choice(Referentiel!C:C,1,Settings!$B$16)</f>
        <v/>
      </c>
      <c r="M1787" s="5" t="str" cm="1">
        <f t="array" ref="M1787">choice(Referentiel!E:E,1,Settings!$B$16)</f>
        <v/>
      </c>
      <c r="N1787" s="5" t="str" cm="1">
        <f t="array" ref="N1787">choice(Settings!K:K,1,Settings!$B$16)</f>
        <v/>
      </c>
      <c r="P1787" s="5">
        <f t="shared" si="112"/>
        <v>3</v>
      </c>
    </row>
    <row r="1788" spans="1:16" ht="15.75" customHeight="1" x14ac:dyDescent="0.25">
      <c r="A1788" s="6" t="s">
        <v>2140</v>
      </c>
      <c r="B1788" s="6" cm="1">
        <f t="array" ref="B1788">alea_int(Settings!$B$10,1,Settings!$B$16)</f>
        <v>2</v>
      </c>
      <c r="C1788" s="8">
        <v>46023</v>
      </c>
      <c r="D1788" s="8">
        <f t="shared" si="109"/>
        <v>46387</v>
      </c>
      <c r="E1788" s="6" t="str" cm="1">
        <f t="array" ref="E1788">choice(Groupes!A:A,1,Settings!$B$16)</f>
        <v>G26</v>
      </c>
      <c r="F1788" s="6" t="str">
        <f t="shared" si="110"/>
        <v>G26</v>
      </c>
      <c r="G1788" s="6" t="str">
        <f t="shared" si="111"/>
        <v>Prof37</v>
      </c>
      <c r="H1788" s="6" t="str" cm="1">
        <f t="array" ref="H1788">choice(Referentiel!A:A,1,Settings!$B$16)</f>
        <v>Design Vêtement</v>
      </c>
      <c r="I1788" s="6" t="str" cm="1">
        <f t="array" ref="I1788">choice(Referentiel!B:B,1,Settings!$B$16)</f>
        <v>5ème année Image Imprimée S1</v>
      </c>
      <c r="J1788" s="6" t="str" cm="1">
        <f t="array" ref="J1788">choice(Referentiel!D:D,1,Settings!$B$16)</f>
        <v>M2</v>
      </c>
      <c r="K1788" s="6" t="str" cm="1">
        <f t="array" ref="K1788">choice(Professeurs!B:B,1,Settings!$B$16)</f>
        <v>Prof37</v>
      </c>
      <c r="L1788" s="5" t="str" cm="1">
        <f t="array" ref="L1788">choice(Referentiel!C:C,1,Settings!$B$16)</f>
        <v/>
      </c>
      <c r="M1788" s="5" t="str" cm="1">
        <f t="array" ref="M1788">choice(Referentiel!E:E,1,Settings!$B$16)</f>
        <v/>
      </c>
      <c r="N1788" s="5" t="str" cm="1">
        <f t="array" ref="N1788">choice(Settings!K:K,1,Settings!$B$16)</f>
        <v>jeudi pm</v>
      </c>
      <c r="P1788" s="5">
        <f t="shared" si="112"/>
        <v>4</v>
      </c>
    </row>
    <row r="1789" spans="1:16" ht="15.75" customHeight="1" x14ac:dyDescent="0.25">
      <c r="A1789" s="6" t="s">
        <v>2141</v>
      </c>
      <c r="B1789" s="6" cm="1">
        <f t="array" ref="B1789">alea_int(Settings!$B$10,1,Settings!$B$16)</f>
        <v>1</v>
      </c>
      <c r="C1789" s="8">
        <v>46023</v>
      </c>
      <c r="D1789" s="8">
        <f t="shared" si="109"/>
        <v>46387</v>
      </c>
      <c r="E1789" s="6" t="str" cm="1">
        <f t="array" ref="E1789">choice(Groupes!A:A,1,Settings!$B$16)</f>
        <v>G14</v>
      </c>
      <c r="F1789" s="6" t="str">
        <f t="shared" si="110"/>
        <v>G14</v>
      </c>
      <c r="G1789" s="6" t="str">
        <f t="shared" si="111"/>
        <v>Prof18</v>
      </c>
      <c r="H1789" s="6" t="str" cm="1">
        <f t="array" ref="H1789">choice(Referentiel!A:A,1,Settings!$B$16)</f>
        <v>Gr TERRITOIRES</v>
      </c>
      <c r="I1789" s="6" t="str" cm="1">
        <f t="array" ref="I1789">choice(Referentiel!B:B,1,Settings!$B$16)</f>
        <v>3ème année Art-Espace S1</v>
      </c>
      <c r="J1789" s="6" t="str" cm="1">
        <f t="array" ref="J1789">choice(Referentiel!D:D,1,Settings!$B$16)</f>
        <v>M2</v>
      </c>
      <c r="K1789" s="6" t="str" cm="1">
        <f t="array" ref="K1789">choice(Professeurs!B:B,1,Settings!$B$16)</f>
        <v>Prof18</v>
      </c>
      <c r="L1789" s="5" t="str" cm="1">
        <f t="array" ref="L1789">choice(Referentiel!C:C,1,Settings!$B$16)</f>
        <v/>
      </c>
      <c r="M1789" s="5" t="str" cm="1">
        <f t="array" ref="M1789">choice(Referentiel!E:E,1,Settings!$B$16)</f>
        <v/>
      </c>
      <c r="N1789" s="5" t="str" cm="1">
        <f t="array" ref="N1789">choice(Settings!K:K,1,Settings!$B$16)</f>
        <v>mercredi ap</v>
      </c>
      <c r="P1789" s="5">
        <f t="shared" si="112"/>
        <v>3</v>
      </c>
    </row>
    <row r="1790" spans="1:16" ht="15.75" customHeight="1" x14ac:dyDescent="0.25">
      <c r="A1790" s="6" t="s">
        <v>2142</v>
      </c>
      <c r="B1790" s="6" cm="1">
        <f t="array" ref="B1790">alea_int(Settings!$B$10,1,Settings!$B$16)</f>
        <v>2</v>
      </c>
      <c r="C1790" s="8">
        <v>46023</v>
      </c>
      <c r="D1790" s="8">
        <f t="shared" si="109"/>
        <v>46387</v>
      </c>
      <c r="E1790" s="6" t="str" cm="1">
        <f t="array" ref="E1790">choice(Groupes!A:A,1,Settings!$B$16)</f>
        <v>G18</v>
      </c>
      <c r="F1790" s="6" t="str">
        <f t="shared" si="110"/>
        <v>G18</v>
      </c>
      <c r="G1790" s="6" t="str">
        <f t="shared" si="111"/>
        <v>Prof36</v>
      </c>
      <c r="H1790" s="6" t="str" cm="1">
        <f t="array" ref="H1790">choice(Referentiel!A:A,1,Settings!$B$16)</f>
        <v>Mode et Matière</v>
      </c>
      <c r="I1790" s="6" t="str" cm="1">
        <f t="array" ref="I1790">choice(Referentiel!B:B,1,Settings!$B$16)</f>
        <v>5ème année Design Vêtement S2</v>
      </c>
      <c r="J1790" s="6" t="str" cm="1">
        <f t="array" ref="J1790">choice(Referentiel!D:D,1,Settings!$B$16)</f>
        <v>M2</v>
      </c>
      <c r="K1790" s="6" t="str" cm="1">
        <f t="array" ref="K1790">choice(Professeurs!B:B,1,Settings!$B$16)</f>
        <v>Prof36</v>
      </c>
      <c r="L1790" s="5" t="str" cm="1">
        <f t="array" ref="L1790">choice(Referentiel!C:C,1,Settings!$B$16)</f>
        <v/>
      </c>
      <c r="M1790" s="5" t="str" cm="1">
        <f t="array" ref="M1790">choice(Referentiel!E:E,1,Settings!$B$16)</f>
        <v/>
      </c>
      <c r="N1790" s="5" t="str" cm="1">
        <f t="array" ref="N1790">choice(Settings!K:K,1,Settings!$B$16)</f>
        <v/>
      </c>
      <c r="P1790" s="5">
        <f t="shared" si="112"/>
        <v>2</v>
      </c>
    </row>
    <row r="1791" spans="1:16" ht="15.75" customHeight="1" x14ac:dyDescent="0.25">
      <c r="A1791" s="6" t="s">
        <v>2143</v>
      </c>
      <c r="B1791" s="6" cm="1">
        <f t="array" ref="B1791">alea_int(Settings!$B$10,1,Settings!$B$16)</f>
        <v>1</v>
      </c>
      <c r="C1791" s="8">
        <v>46023</v>
      </c>
      <c r="D1791" s="8">
        <f t="shared" si="109"/>
        <v>46387</v>
      </c>
      <c r="E1791" s="6" t="str" cm="1">
        <f t="array" ref="E1791">choice(Groupes!A:A,1,Settings!$B$16)</f>
        <v>G21</v>
      </c>
      <c r="F1791" s="6" t="str">
        <f t="shared" si="110"/>
        <v>G21</v>
      </c>
      <c r="G1791" s="6" t="str">
        <f t="shared" si="111"/>
        <v>Prof29</v>
      </c>
      <c r="H1791" s="6" t="str" cm="1">
        <f t="array" ref="H1791">choice(Referentiel!A:A,1,Settings!$B$16)</f>
        <v>1ère année Groupe 2</v>
      </c>
      <c r="I1791" s="6" t="str" cm="1">
        <f t="array" ref="I1791">choice(Referentiel!B:B,1,Settings!$B$16)</f>
        <v>1ère Année Groupe 4 S1</v>
      </c>
      <c r="J1791" s="6" t="str" cm="1">
        <f t="array" ref="J1791">choice(Referentiel!D:D,1,Settings!$B$16)</f>
        <v>L1</v>
      </c>
      <c r="K1791" s="6" t="str" cm="1">
        <f t="array" ref="K1791">choice(Professeurs!B:B,1,Settings!$B$16)</f>
        <v>Prof29</v>
      </c>
      <c r="L1791" s="5" t="str" cm="1">
        <f t="array" ref="L1791">choice(Referentiel!C:C,1,Settings!$B$16)</f>
        <v/>
      </c>
      <c r="M1791" s="5" t="str" cm="1">
        <f t="array" ref="M1791">choice(Referentiel!E:E,1,Settings!$B$16)</f>
        <v/>
      </c>
      <c r="N1791" s="5" t="str" cm="1">
        <f t="array" ref="N1791">choice(Settings!K:K,1,Settings!$B$16)</f>
        <v>jeudi am</v>
      </c>
      <c r="P1791" s="5">
        <f t="shared" si="112"/>
        <v>3</v>
      </c>
    </row>
    <row r="1792" spans="1:16" ht="15.75" customHeight="1" x14ac:dyDescent="0.25">
      <c r="A1792" s="6" t="s">
        <v>2144</v>
      </c>
      <c r="B1792" s="6" cm="1">
        <f t="array" ref="B1792">alea_int(Settings!$B$10,1,Settings!$B$16)</f>
        <v>1</v>
      </c>
      <c r="C1792" s="8">
        <v>46023</v>
      </c>
      <c r="D1792" s="8">
        <f t="shared" si="109"/>
        <v>46387</v>
      </c>
      <c r="E1792" s="6" t="str" cm="1">
        <f t="array" ref="E1792">choice(Groupes!A:A,1,Settings!$B$16)</f>
        <v>G18</v>
      </c>
      <c r="F1792" s="6" t="str">
        <f t="shared" si="110"/>
        <v>G18</v>
      </c>
      <c r="G1792" s="6" t="str">
        <f t="shared" si="111"/>
        <v>Prof25</v>
      </c>
      <c r="H1792" s="6" t="str" cm="1">
        <f t="array" ref="H1792">choice(Referentiel!A:A,1,Settings!$B$16)</f>
        <v>Gr SPATIAL MEDIA</v>
      </c>
      <c r="I1792" s="6" t="str" cm="1">
        <f t="array" ref="I1792">choice(Referentiel!B:B,1,Settings!$B$16)</f>
        <v>2ème année Photo / Vidéo S1</v>
      </c>
      <c r="J1792" s="6" t="str" cm="1">
        <f t="array" ref="J1792">choice(Referentiel!D:D,1,Settings!$B$16)</f>
        <v>M1</v>
      </c>
      <c r="K1792" s="6" t="str" cm="1">
        <f t="array" ref="K1792">choice(Professeurs!B:B,1,Settings!$B$16)</f>
        <v>Prof25</v>
      </c>
      <c r="L1792" s="5" t="str" cm="1">
        <f t="array" ref="L1792">choice(Referentiel!C:C,1,Settings!$B$16)</f>
        <v/>
      </c>
      <c r="M1792" s="5" t="str" cm="1">
        <f t="array" ref="M1792">choice(Referentiel!E:E,1,Settings!$B$16)</f>
        <v/>
      </c>
      <c r="N1792" s="5" t="str" cm="1">
        <f t="array" ref="N1792">choice(Settings!K:K,1,Settings!$B$16)</f>
        <v/>
      </c>
      <c r="P1792" s="5">
        <f t="shared" si="112"/>
        <v>1</v>
      </c>
    </row>
    <row r="1793" spans="1:16" ht="15.75" customHeight="1" x14ac:dyDescent="0.25">
      <c r="A1793" s="6" t="s">
        <v>2145</v>
      </c>
      <c r="B1793" s="6" cm="1">
        <f t="array" ref="B1793">alea_int(Settings!$B$10,1,Settings!$B$16)</f>
        <v>3</v>
      </c>
      <c r="C1793" s="8">
        <v>46023</v>
      </c>
      <c r="D1793" s="8">
        <f t="shared" si="109"/>
        <v>46387</v>
      </c>
      <c r="E1793" s="6" t="str" cm="1">
        <f t="array" ref="E1793">choice(Groupes!A:A,1,Settings!$B$16)</f>
        <v>G9</v>
      </c>
      <c r="F1793" s="6" t="str">
        <f t="shared" si="110"/>
        <v>G9</v>
      </c>
      <c r="G1793" s="6" t="str">
        <f t="shared" si="111"/>
        <v>Prof25</v>
      </c>
      <c r="H1793" s="6" t="str" cm="1">
        <f t="array" ref="H1793">choice(Referentiel!A:A,1,Settings!$B$16)</f>
        <v>Architecture Intérieure</v>
      </c>
      <c r="I1793" s="6" t="str" cm="1">
        <f t="array" ref="I1793">choice(Referentiel!B:B,1,Settings!$B$16)</f>
        <v>4ème année Design Textile et Matière S2</v>
      </c>
      <c r="J1793" s="6" t="str" cm="1">
        <f t="array" ref="J1793">choice(Referentiel!D:D,1,Settings!$B$16)</f>
        <v>M2</v>
      </c>
      <c r="K1793" s="6" t="str" cm="1">
        <f t="array" ref="K1793">choice(Professeurs!B:B,1,Settings!$B$16)</f>
        <v>Prof25</v>
      </c>
      <c r="L1793" s="5" t="str" cm="1">
        <f t="array" ref="L1793">choice(Referentiel!C:C,1,Settings!$B$16)</f>
        <v/>
      </c>
      <c r="M1793" s="5" t="str" cm="1">
        <f t="array" ref="M1793">choice(Referentiel!E:E,1,Settings!$B$16)</f>
        <v/>
      </c>
      <c r="N1793" s="5" t="str" cm="1">
        <f t="array" ref="N1793">choice(Settings!K:K,1,Settings!$B$16)</f>
        <v/>
      </c>
      <c r="P1793" s="5">
        <f t="shared" si="112"/>
        <v>3</v>
      </c>
    </row>
    <row r="1794" spans="1:16" ht="15.75" customHeight="1" x14ac:dyDescent="0.25">
      <c r="A1794" s="6" t="s">
        <v>2146</v>
      </c>
      <c r="B1794" s="6" cm="1">
        <f t="array" ref="B1794">alea_int(Settings!$B$10,1,Settings!$B$16)</f>
        <v>2</v>
      </c>
      <c r="C1794" s="8">
        <v>46023</v>
      </c>
      <c r="D1794" s="8">
        <f t="shared" si="109"/>
        <v>46387</v>
      </c>
      <c r="E1794" s="6" t="str" cm="1">
        <f t="array" ref="E1794">choice(Groupes!A:A,1,Settings!$B$16)</f>
        <v>G8</v>
      </c>
      <c r="F1794" s="6" t="str">
        <f t="shared" si="110"/>
        <v>G8</v>
      </c>
      <c r="G1794" s="6" t="str">
        <f t="shared" si="111"/>
        <v>Prof30</v>
      </c>
      <c r="H1794" s="6" t="str" cm="1">
        <f t="array" ref="H1794">choice(Referentiel!A:A,1,Settings!$B$16)</f>
        <v>Architecture Intérieure</v>
      </c>
      <c r="I1794" s="6" t="str" cm="1">
        <f t="array" ref="I1794">choice(Referentiel!B:B,1,Settings!$B$16)</f>
        <v>3ème année Cinéma d'Animation S2</v>
      </c>
      <c r="J1794" s="6" t="str" cm="1">
        <f t="array" ref="J1794">choice(Referentiel!D:D,1,Settings!$B$16)</f>
        <v>M1</v>
      </c>
      <c r="K1794" s="6" t="str" cm="1">
        <f t="array" ref="K1794">choice(Professeurs!B:B,1,Settings!$B$16)</f>
        <v>Prof30</v>
      </c>
      <c r="L1794" s="5" t="str" cm="1">
        <f t="array" ref="L1794">choice(Referentiel!C:C,1,Settings!$B$16)</f>
        <v/>
      </c>
      <c r="M1794" s="5" t="str" cm="1">
        <f t="array" ref="M1794">choice(Referentiel!E:E,1,Settings!$B$16)</f>
        <v>Salle5</v>
      </c>
      <c r="N1794" s="5" t="str" cm="1">
        <f t="array" ref="N1794">choice(Settings!K:K,1,Settings!$B$16)</f>
        <v>jeudi pm</v>
      </c>
      <c r="P1794" s="5">
        <f t="shared" si="112"/>
        <v>6</v>
      </c>
    </row>
    <row r="1795" spans="1:16" ht="15.75" customHeight="1" x14ac:dyDescent="0.25">
      <c r="A1795" s="6" t="s">
        <v>2147</v>
      </c>
      <c r="B1795" s="6" cm="1">
        <f t="array" ref="B1795">alea_int(Settings!$B$10,1,Settings!$B$16)</f>
        <v>1</v>
      </c>
      <c r="C1795" s="8">
        <v>46023</v>
      </c>
      <c r="D1795" s="8">
        <f t="shared" ref="D1795:D1858" si="113">C1795+364</f>
        <v>46387</v>
      </c>
      <c r="E1795" s="6" t="str" cm="1">
        <f t="array" ref="E1795">choice(Groupes!A:A,1,Settings!$B$16)</f>
        <v>G19</v>
      </c>
      <c r="F1795" s="6" t="str">
        <f t="shared" ref="F1795:F1858" si="114">E1795</f>
        <v>G19</v>
      </c>
      <c r="G1795" s="6" t="str">
        <f t="shared" ref="G1795:G1858" si="115">K1795</f>
        <v>Prof47</v>
      </c>
      <c r="H1795" s="6" t="str" cm="1">
        <f t="array" ref="H1795">choice(Referentiel!A:A,1,Settings!$B$16)</f>
        <v>Gr REFLECTIVE INTERACTION</v>
      </c>
      <c r="I1795" s="6" t="str" cm="1">
        <f t="array" ref="I1795">choice(Referentiel!B:B,1,Settings!$B$16)</f>
        <v>3ème année Scénographie S2</v>
      </c>
      <c r="J1795" s="6" t="str" cm="1">
        <f t="array" ref="J1795">choice(Referentiel!D:D,1,Settings!$B$16)</f>
        <v>L2</v>
      </c>
      <c r="K1795" s="6" t="str" cm="1">
        <f t="array" ref="K1795">choice(Professeurs!B:B,1,Settings!$B$16)</f>
        <v>Prof47</v>
      </c>
      <c r="L1795" s="5" t="str" cm="1">
        <f t="array" ref="L1795">choice(Referentiel!C:C,1,Settings!$B$16)</f>
        <v/>
      </c>
      <c r="M1795" s="5" t="str" cm="1">
        <f t="array" ref="M1795">choice(Referentiel!E:E,1,Settings!$B$16)</f>
        <v/>
      </c>
      <c r="N1795" s="5" t="str" cm="1">
        <f t="array" ref="N1795">choice(Settings!K:K,1,Settings!$B$16)</f>
        <v/>
      </c>
      <c r="P1795" s="5">
        <f t="shared" ref="P1795:P1858" si="116">B1795+IF(M1795&lt;&gt;"",2,0)+IF(N1795&lt;&gt;"",2,0)</f>
        <v>1</v>
      </c>
    </row>
    <row r="1796" spans="1:16" ht="15.75" customHeight="1" x14ac:dyDescent="0.25">
      <c r="A1796" s="6" t="s">
        <v>2148</v>
      </c>
      <c r="B1796" s="6" cm="1">
        <f t="array" ref="B1796">alea_int(Settings!$B$10,1,Settings!$B$16)</f>
        <v>2</v>
      </c>
      <c r="C1796" s="8">
        <v>46023</v>
      </c>
      <c r="D1796" s="8">
        <f t="shared" si="113"/>
        <v>46387</v>
      </c>
      <c r="E1796" s="6" t="str" cm="1">
        <f t="array" ref="E1796">choice(Groupes!A:A,1,Settings!$B$16)</f>
        <v>G17</v>
      </c>
      <c r="F1796" s="6" t="str">
        <f t="shared" si="114"/>
        <v>G17</v>
      </c>
      <c r="G1796" s="6" t="str">
        <f t="shared" si="115"/>
        <v>Prof48</v>
      </c>
      <c r="H1796" s="6" t="str" cm="1">
        <f t="array" ref="H1796">choice(Referentiel!A:A,1,Settings!$B$16)</f>
        <v>Gr ART, DESIGN, SOCIETE</v>
      </c>
      <c r="I1796" s="6" t="str" cm="1">
        <f t="array" ref="I1796">choice(Referentiel!B:B,1,Settings!$B$16)</f>
        <v>2ème année Design Vêtement S1</v>
      </c>
      <c r="J1796" s="6" t="str" cm="1">
        <f t="array" ref="J1796">choice(Referentiel!D:D,1,Settings!$B$16)</f>
        <v>M2</v>
      </c>
      <c r="K1796" s="6" t="str" cm="1">
        <f t="array" ref="K1796">choice(Professeurs!B:B,1,Settings!$B$16)</f>
        <v>Prof48</v>
      </c>
      <c r="L1796" s="5" t="str" cm="1">
        <f t="array" ref="L1796">choice(Referentiel!C:C,1,Settings!$B$16)</f>
        <v/>
      </c>
      <c r="M1796" s="5" t="str" cm="1">
        <f t="array" ref="M1796">choice(Referentiel!E:E,1,Settings!$B$16)</f>
        <v>Salle7</v>
      </c>
      <c r="N1796" s="5" t="str" cm="1">
        <f t="array" ref="N1796">choice(Settings!K:K,1,Settings!$B$16)</f>
        <v/>
      </c>
      <c r="P1796" s="5">
        <f t="shared" si="116"/>
        <v>4</v>
      </c>
    </row>
    <row r="1797" spans="1:16" ht="15.75" customHeight="1" x14ac:dyDescent="0.25">
      <c r="A1797" s="6" t="s">
        <v>2149</v>
      </c>
      <c r="B1797" s="6" cm="1">
        <f t="array" ref="B1797">alea_int(Settings!$B$10,1,Settings!$B$16)</f>
        <v>2</v>
      </c>
      <c r="C1797" s="8">
        <v>46023</v>
      </c>
      <c r="D1797" s="8">
        <f t="shared" si="113"/>
        <v>46387</v>
      </c>
      <c r="E1797" s="6" t="str" cm="1">
        <f t="array" ref="E1797">choice(Groupes!A:A,1,Settings!$B$16)</f>
        <v>G8</v>
      </c>
      <c r="F1797" s="6" t="str">
        <f t="shared" si="114"/>
        <v>G8</v>
      </c>
      <c r="G1797" s="6" t="str">
        <f t="shared" si="115"/>
        <v>Prof44</v>
      </c>
      <c r="H1797" s="6" t="str" cm="1">
        <f t="array" ref="H1797">choice(Referentiel!A:A,1,Settings!$B$16)</f>
        <v>Mode et Matière</v>
      </c>
      <c r="I1797" s="6" t="str" cm="1">
        <f t="array" ref="I1797">choice(Referentiel!B:B,1,Settings!$B$16)</f>
        <v>2ème année Scénographie S2</v>
      </c>
      <c r="J1797" s="6" t="str" cm="1">
        <f t="array" ref="J1797">choice(Referentiel!D:D,1,Settings!$B$16)</f>
        <v>L3</v>
      </c>
      <c r="K1797" s="6" t="str" cm="1">
        <f t="array" ref="K1797">choice(Professeurs!B:B,1,Settings!$B$16)</f>
        <v>Prof44</v>
      </c>
      <c r="L1797" s="5" t="str" cm="1">
        <f t="array" ref="L1797">choice(Referentiel!C:C,1,Settings!$B$16)</f>
        <v/>
      </c>
      <c r="M1797" s="5" t="str" cm="1">
        <f t="array" ref="M1797">choice(Referentiel!E:E,1,Settings!$B$16)</f>
        <v/>
      </c>
      <c r="N1797" s="5" t="str" cm="1">
        <f t="array" ref="N1797">choice(Settings!K:K,1,Settings!$B$16)</f>
        <v/>
      </c>
      <c r="P1797" s="5">
        <f t="shared" si="116"/>
        <v>2</v>
      </c>
    </row>
    <row r="1798" spans="1:16" ht="15.75" customHeight="1" x14ac:dyDescent="0.25">
      <c r="A1798" s="6" t="s">
        <v>2150</v>
      </c>
      <c r="B1798" s="6" cm="1">
        <f t="array" ref="B1798">alea_int(Settings!$B$10,1,Settings!$B$16)</f>
        <v>3</v>
      </c>
      <c r="C1798" s="8">
        <v>46023</v>
      </c>
      <c r="D1798" s="8">
        <f t="shared" si="113"/>
        <v>46387</v>
      </c>
      <c r="E1798" s="6" t="str" cm="1">
        <f t="array" ref="E1798">choice(Groupes!A:A,1,Settings!$B$16)</f>
        <v>G1</v>
      </c>
      <c r="F1798" s="6" t="str">
        <f t="shared" si="114"/>
        <v>G1</v>
      </c>
      <c r="G1798" s="6" t="str">
        <f t="shared" si="115"/>
        <v>Prof52</v>
      </c>
      <c r="H1798" s="6" t="str" cm="1">
        <f t="array" ref="H1798">choice(Referentiel!A:A,1,Settings!$B$16)</f>
        <v>Design Graphique</v>
      </c>
      <c r="I1798" s="6" t="str" cm="1">
        <f t="array" ref="I1798">choice(Referentiel!B:B,1,Settings!$B$16)</f>
        <v>Césure S2</v>
      </c>
      <c r="J1798" s="6" t="str" cm="1">
        <f t="array" ref="J1798">choice(Referentiel!D:D,1,Settings!$B$16)</f>
        <v>M2</v>
      </c>
      <c r="K1798" s="6" t="str" cm="1">
        <f t="array" ref="K1798">choice(Professeurs!B:B,1,Settings!$B$16)</f>
        <v>Prof52</v>
      </c>
      <c r="L1798" s="5" t="str" cm="1">
        <f t="array" ref="L1798">choice(Referentiel!C:C,1,Settings!$B$16)</f>
        <v>ordinateur</v>
      </c>
      <c r="M1798" s="5" t="str" cm="1">
        <f t="array" ref="M1798">choice(Referentiel!E:E,1,Settings!$B$16)</f>
        <v/>
      </c>
      <c r="N1798" s="5" t="str" cm="1">
        <f t="array" ref="N1798">choice(Settings!K:K,1,Settings!$B$16)</f>
        <v/>
      </c>
      <c r="P1798" s="5">
        <f t="shared" si="116"/>
        <v>3</v>
      </c>
    </row>
    <row r="1799" spans="1:16" ht="15.75" customHeight="1" x14ac:dyDescent="0.25">
      <c r="A1799" s="6" t="s">
        <v>2151</v>
      </c>
      <c r="B1799" s="6" cm="1">
        <f t="array" ref="B1799">alea_int(Settings!$B$10,1,Settings!$B$16)</f>
        <v>2</v>
      </c>
      <c r="C1799" s="8">
        <v>46023</v>
      </c>
      <c r="D1799" s="8">
        <f t="shared" si="113"/>
        <v>46387</v>
      </c>
      <c r="E1799" s="6" t="str" cm="1">
        <f t="array" ref="E1799">choice(Groupes!A:A,1,Settings!$B$16)</f>
        <v>G24</v>
      </c>
      <c r="F1799" s="6" t="str">
        <f t="shared" si="114"/>
        <v>G24</v>
      </c>
      <c r="G1799" s="6" t="str">
        <f t="shared" si="115"/>
        <v>Prof48</v>
      </c>
      <c r="H1799" s="6" t="str" cm="1">
        <f t="array" ref="H1799">choice(Referentiel!A:A,1,Settings!$B$16)</f>
        <v>Mode et Matière</v>
      </c>
      <c r="I1799" s="6" t="str" cm="1">
        <f t="array" ref="I1799">choice(Referentiel!B:B,1,Settings!$B$16)</f>
        <v>3ème année Scénographie S1</v>
      </c>
      <c r="J1799" s="6" t="str" cm="1">
        <f t="array" ref="J1799">choice(Referentiel!D:D,1,Settings!$B$16)</f>
        <v>M2</v>
      </c>
      <c r="K1799" s="6" t="str" cm="1">
        <f t="array" ref="K1799">choice(Professeurs!B:B,1,Settings!$B$16)</f>
        <v>Prof48</v>
      </c>
      <c r="L1799" s="5" t="str" cm="1">
        <f t="array" ref="L1799">choice(Referentiel!C:C,1,Settings!$B$16)</f>
        <v/>
      </c>
      <c r="M1799" s="5" t="str" cm="1">
        <f t="array" ref="M1799">choice(Referentiel!E:E,1,Settings!$B$16)</f>
        <v/>
      </c>
      <c r="N1799" s="5" t="str" cm="1">
        <f t="array" ref="N1799">choice(Settings!K:K,1,Settings!$B$16)</f>
        <v/>
      </c>
      <c r="P1799" s="5">
        <f t="shared" si="116"/>
        <v>2</v>
      </c>
    </row>
    <row r="1800" spans="1:16" ht="15.75" customHeight="1" x14ac:dyDescent="0.25">
      <c r="A1800" s="6" t="s">
        <v>2152</v>
      </c>
      <c r="B1800" s="6" cm="1">
        <f t="array" ref="B1800">alea_int(Settings!$B$10,1,Settings!$B$16)</f>
        <v>2</v>
      </c>
      <c r="C1800" s="8">
        <v>46023</v>
      </c>
      <c r="D1800" s="8">
        <f t="shared" si="113"/>
        <v>46387</v>
      </c>
      <c r="E1800" s="6" t="str" cm="1">
        <f t="array" ref="E1800">choice(Groupes!A:A,1,Settings!$B$16)</f>
        <v>G13</v>
      </c>
      <c r="F1800" s="6" t="str">
        <f t="shared" si="114"/>
        <v>G13</v>
      </c>
      <c r="G1800" s="6" t="str">
        <f t="shared" si="115"/>
        <v>Prof43</v>
      </c>
      <c r="H1800" s="6" t="str" cm="1">
        <f t="array" ref="H1800">choice(Referentiel!A:A,1,Settings!$B$16)</f>
        <v>Architecture Intérieure</v>
      </c>
      <c r="I1800" s="6" t="str" cm="1">
        <f t="array" ref="I1800">choice(Referentiel!B:B,1,Settings!$B$16)</f>
        <v>2ème année Scénographie S2</v>
      </c>
      <c r="J1800" s="6" t="str" cm="1">
        <f t="array" ref="J1800">choice(Referentiel!D:D,1,Settings!$B$16)</f>
        <v>L3</v>
      </c>
      <c r="K1800" s="6" t="str" cm="1">
        <f t="array" ref="K1800">choice(Professeurs!B:B,1,Settings!$B$16)</f>
        <v>Prof43</v>
      </c>
      <c r="L1800" s="5" t="str" cm="1">
        <f t="array" ref="L1800">choice(Referentiel!C:C,1,Settings!$B$16)</f>
        <v/>
      </c>
      <c r="M1800" s="5" t="str" cm="1">
        <f t="array" ref="M1800">choice(Referentiel!E:E,1,Settings!$B$16)</f>
        <v/>
      </c>
      <c r="N1800" s="5" t="str" cm="1">
        <f t="array" ref="N1800">choice(Settings!K:K,1,Settings!$B$16)</f>
        <v>mercredi ap</v>
      </c>
      <c r="P1800" s="5">
        <f t="shared" si="116"/>
        <v>4</v>
      </c>
    </row>
    <row r="1801" spans="1:16" ht="15.75" customHeight="1" x14ac:dyDescent="0.25">
      <c r="A1801" s="6" t="s">
        <v>2153</v>
      </c>
      <c r="B1801" s="6" cm="1">
        <f t="array" ref="B1801">alea_int(Settings!$B$10,1,Settings!$B$16)</f>
        <v>2</v>
      </c>
      <c r="C1801" s="8">
        <v>46023</v>
      </c>
      <c r="D1801" s="8">
        <f t="shared" si="113"/>
        <v>46387</v>
      </c>
      <c r="E1801" s="6" t="str" cm="1">
        <f t="array" ref="E1801">choice(Groupes!A:A,1,Settings!$B$16)</f>
        <v>G2</v>
      </c>
      <c r="F1801" s="6" t="str">
        <f t="shared" si="114"/>
        <v>G2</v>
      </c>
      <c r="G1801" s="6" t="str">
        <f t="shared" si="115"/>
        <v>Prof50</v>
      </c>
      <c r="H1801" s="6" t="str" cm="1">
        <f t="array" ref="H1801">choice(Referentiel!A:A,1,Settings!$B$16)</f>
        <v>Design des mondes forestiers</v>
      </c>
      <c r="I1801" s="6" t="str" cm="1">
        <f t="array" ref="I1801">choice(Referentiel!B:B,1,Settings!$B$16)</f>
        <v>5ème année Design Objet S1</v>
      </c>
      <c r="J1801" s="6" t="str" cm="1">
        <f t="array" ref="J1801">choice(Referentiel!D:D,1,Settings!$B$16)</f>
        <v>L2</v>
      </c>
      <c r="K1801" s="6" t="str" cm="1">
        <f t="array" ref="K1801">choice(Professeurs!B:B,1,Settings!$B$16)</f>
        <v>Prof50</v>
      </c>
      <c r="L1801" s="5" t="str" cm="1">
        <f t="array" ref="L1801">choice(Referentiel!C:C,1,Settings!$B$16)</f>
        <v/>
      </c>
      <c r="M1801" s="5" t="str" cm="1">
        <f t="array" ref="M1801">choice(Referentiel!E:E,1,Settings!$B$16)</f>
        <v/>
      </c>
      <c r="N1801" s="5" t="str" cm="1">
        <f t="array" ref="N1801">choice(Settings!K:K,1,Settings!$B$16)</f>
        <v/>
      </c>
      <c r="P1801" s="5">
        <f t="shared" si="116"/>
        <v>2</v>
      </c>
    </row>
    <row r="1802" spans="1:16" ht="15.75" customHeight="1" x14ac:dyDescent="0.25">
      <c r="A1802" s="6" t="s">
        <v>2154</v>
      </c>
      <c r="B1802" s="6" cm="1">
        <f t="array" ref="B1802">alea_int(Settings!$B$10,1,Settings!$B$16)</f>
        <v>2</v>
      </c>
      <c r="C1802" s="8">
        <v>46023</v>
      </c>
      <c r="D1802" s="8">
        <f t="shared" si="113"/>
        <v>46387</v>
      </c>
      <c r="E1802" s="6" t="str" cm="1">
        <f t="array" ref="E1802">choice(Groupes!A:A,1,Settings!$B$16)</f>
        <v>G29</v>
      </c>
      <c r="F1802" s="6" t="str">
        <f t="shared" si="114"/>
        <v>G29</v>
      </c>
      <c r="G1802" s="6" t="str">
        <f t="shared" si="115"/>
        <v>Prof50</v>
      </c>
      <c r="H1802" s="6" t="str" cm="1">
        <f t="array" ref="H1802">choice(Referentiel!A:A,1,Settings!$B$16)</f>
        <v>Gr SOFT MATTERS</v>
      </c>
      <c r="I1802" s="6" t="str" cm="1">
        <f t="array" ref="I1802">choice(Referentiel!B:B,1,Settings!$B$16)</f>
        <v>3ème année Image Imprimée S1</v>
      </c>
      <c r="J1802" s="6" t="str" cm="1">
        <f t="array" ref="J1802">choice(Referentiel!D:D,1,Settings!$B$16)</f>
        <v>M1</v>
      </c>
      <c r="K1802" s="6" t="str" cm="1">
        <f t="array" ref="K1802">choice(Professeurs!B:B,1,Settings!$B$16)</f>
        <v>Prof50</v>
      </c>
      <c r="L1802" s="5" t="str" cm="1">
        <f t="array" ref="L1802">choice(Referentiel!C:C,1,Settings!$B$16)</f>
        <v/>
      </c>
      <c r="M1802" s="5" t="str" cm="1">
        <f t="array" ref="M1802">choice(Referentiel!E:E,1,Settings!$B$16)</f>
        <v/>
      </c>
      <c r="N1802" s="5" t="str" cm="1">
        <f t="array" ref="N1802">choice(Settings!K:K,1,Settings!$B$16)</f>
        <v/>
      </c>
      <c r="P1802" s="5">
        <f t="shared" si="116"/>
        <v>2</v>
      </c>
    </row>
    <row r="1803" spans="1:16" ht="15.75" customHeight="1" x14ac:dyDescent="0.25">
      <c r="A1803" s="6" t="s">
        <v>2155</v>
      </c>
      <c r="B1803" s="6" cm="1">
        <f t="array" ref="B1803">alea_int(Settings!$B$10,1,Settings!$B$16)</f>
        <v>3</v>
      </c>
      <c r="C1803" s="8">
        <v>46023</v>
      </c>
      <c r="D1803" s="8">
        <f t="shared" si="113"/>
        <v>46387</v>
      </c>
      <c r="E1803" s="6" t="str" cm="1">
        <f t="array" ref="E1803">choice(Groupes!A:A,1,Settings!$B$16)</f>
        <v>G29</v>
      </c>
      <c r="F1803" s="6" t="str">
        <f t="shared" si="114"/>
        <v>G29</v>
      </c>
      <c r="G1803" s="6" t="str">
        <f t="shared" si="115"/>
        <v>Prof53</v>
      </c>
      <c r="H1803" s="6" t="str" cm="1">
        <f t="array" ref="H1803">choice(Referentiel!A:A,1,Settings!$B$16)</f>
        <v>Design Vêtement</v>
      </c>
      <c r="I1803" s="6" t="str" cm="1">
        <f t="array" ref="I1803">choice(Referentiel!B:B,1,Settings!$B$16)</f>
        <v>2ème année Cinéma d'Animation S1</v>
      </c>
      <c r="J1803" s="6" t="str" cm="1">
        <f t="array" ref="J1803">choice(Referentiel!D:D,1,Settings!$B$16)</f>
        <v>M1</v>
      </c>
      <c r="K1803" s="6" t="str" cm="1">
        <f t="array" ref="K1803">choice(Professeurs!B:B,1,Settings!$B$16)</f>
        <v>Prof53</v>
      </c>
      <c r="L1803" s="5" t="str" cm="1">
        <f t="array" ref="L1803">choice(Referentiel!C:C,1,Settings!$B$16)</f>
        <v/>
      </c>
      <c r="M1803" s="5" t="str" cm="1">
        <f t="array" ref="M1803">choice(Referentiel!E:E,1,Settings!$B$16)</f>
        <v/>
      </c>
      <c r="N1803" s="5" t="str" cm="1">
        <f t="array" ref="N1803">choice(Settings!K:K,1,Settings!$B$16)</f>
        <v/>
      </c>
      <c r="P1803" s="5">
        <f t="shared" si="116"/>
        <v>3</v>
      </c>
    </row>
    <row r="1804" spans="1:16" ht="15.75" customHeight="1" x14ac:dyDescent="0.25">
      <c r="A1804" s="6" t="s">
        <v>2156</v>
      </c>
      <c r="B1804" s="6" cm="1">
        <f t="array" ref="B1804">alea_int(Settings!$B$10,1,Settings!$B$16)</f>
        <v>2</v>
      </c>
      <c r="C1804" s="8">
        <v>46023</v>
      </c>
      <c r="D1804" s="8">
        <f t="shared" si="113"/>
        <v>46387</v>
      </c>
      <c r="E1804" s="6" t="str" cm="1">
        <f t="array" ref="E1804">choice(Groupes!A:A,1,Settings!$B$16)</f>
        <v>G19</v>
      </c>
      <c r="F1804" s="6" t="str">
        <f t="shared" si="114"/>
        <v>G19</v>
      </c>
      <c r="G1804" s="6" t="str">
        <f t="shared" si="115"/>
        <v>Prof10</v>
      </c>
      <c r="H1804" s="6" t="str" cm="1">
        <f t="array" ref="H1804">choice(Referentiel!A:A,1,Settings!$B$16)</f>
        <v>Gr TERRITOIRES</v>
      </c>
      <c r="I1804" s="6" t="str" cm="1">
        <f t="array" ref="I1804">choice(Referentiel!B:B,1,Settings!$B$16)</f>
        <v>2ème année Design Vêtement S1</v>
      </c>
      <c r="J1804" s="6" t="str" cm="1">
        <f t="array" ref="J1804">choice(Referentiel!D:D,1,Settings!$B$16)</f>
        <v>M1</v>
      </c>
      <c r="K1804" s="6" t="str" cm="1">
        <f t="array" ref="K1804">choice(Professeurs!B:B,1,Settings!$B$16)</f>
        <v>Prof10</v>
      </c>
      <c r="L1804" s="5" t="str" cm="1">
        <f t="array" ref="L1804">choice(Referentiel!C:C,1,Settings!$B$16)</f>
        <v/>
      </c>
      <c r="M1804" s="5" t="str" cm="1">
        <f t="array" ref="M1804">choice(Referentiel!E:E,1,Settings!$B$16)</f>
        <v>Salle9</v>
      </c>
      <c r="N1804" s="5" t="str" cm="1">
        <f t="array" ref="N1804">choice(Settings!K:K,1,Settings!$B$16)</f>
        <v/>
      </c>
      <c r="P1804" s="5">
        <f t="shared" si="116"/>
        <v>4</v>
      </c>
    </row>
    <row r="1805" spans="1:16" ht="15.75" customHeight="1" x14ac:dyDescent="0.25">
      <c r="A1805" s="6" t="s">
        <v>2157</v>
      </c>
      <c r="B1805" s="6" cm="1">
        <f t="array" ref="B1805">alea_int(Settings!$B$10,1,Settings!$B$16)</f>
        <v>3</v>
      </c>
      <c r="C1805" s="8">
        <v>46023</v>
      </c>
      <c r="D1805" s="8">
        <f t="shared" si="113"/>
        <v>46387</v>
      </c>
      <c r="E1805" s="6" t="str" cm="1">
        <f t="array" ref="E1805">choice(Groupes!A:A,1,Settings!$B$16)</f>
        <v>G18</v>
      </c>
      <c r="F1805" s="6" t="str">
        <f t="shared" si="114"/>
        <v>G18</v>
      </c>
      <c r="G1805" s="6" t="str">
        <f t="shared" si="115"/>
        <v>Prof39</v>
      </c>
      <c r="H1805" s="6" t="str" cm="1">
        <f t="array" ref="H1805">choice(Referentiel!A:A,1,Settings!$B$16)</f>
        <v>Design des mondes insulaires</v>
      </c>
      <c r="I1805" s="6" t="str" cm="1">
        <f t="array" ref="I1805">choice(Referentiel!B:B,1,Settings!$B$16)</f>
        <v>2ème année Architecture Intérieure S2</v>
      </c>
      <c r="J1805" s="6" t="str" cm="1">
        <f t="array" ref="J1805">choice(Referentiel!D:D,1,Settings!$B$16)</f>
        <v>M2</v>
      </c>
      <c r="K1805" s="6" t="str" cm="1">
        <f t="array" ref="K1805">choice(Professeurs!B:B,1,Settings!$B$16)</f>
        <v>Prof39</v>
      </c>
      <c r="L1805" s="5" t="str" cm="1">
        <f t="array" ref="L1805">choice(Referentiel!C:C,1,Settings!$B$16)</f>
        <v/>
      </c>
      <c r="M1805" s="5" t="str" cm="1">
        <f t="array" ref="M1805">choice(Referentiel!E:E,1,Settings!$B$16)</f>
        <v/>
      </c>
      <c r="N1805" s="5" t="str" cm="1">
        <f t="array" ref="N1805">choice(Settings!K:K,1,Settings!$B$16)</f>
        <v/>
      </c>
      <c r="P1805" s="5">
        <f t="shared" si="116"/>
        <v>3</v>
      </c>
    </row>
    <row r="1806" spans="1:16" ht="15.75" customHeight="1" x14ac:dyDescent="0.25">
      <c r="A1806" s="6" t="s">
        <v>2158</v>
      </c>
      <c r="B1806" s="6" cm="1">
        <f t="array" ref="B1806">alea_int(Settings!$B$10,1,Settings!$B$16)</f>
        <v>3</v>
      </c>
      <c r="C1806" s="8">
        <v>46023</v>
      </c>
      <c r="D1806" s="8">
        <f t="shared" si="113"/>
        <v>46387</v>
      </c>
      <c r="E1806" s="6" t="str" cm="1">
        <f t="array" ref="E1806">choice(Groupes!A:A,1,Settings!$B$16)</f>
        <v>G23</v>
      </c>
      <c r="F1806" s="6" t="str">
        <f t="shared" si="114"/>
        <v>G23</v>
      </c>
      <c r="G1806" s="6" t="str">
        <f t="shared" si="115"/>
        <v>Prof35</v>
      </c>
      <c r="H1806" s="6" t="str" cm="1">
        <f t="array" ref="H1806">choice(Referentiel!A:A,1,Settings!$B$16)</f>
        <v>Design des mondes littoraux</v>
      </c>
      <c r="I1806" s="6" t="str" cm="1">
        <f t="array" ref="I1806">choice(Referentiel!B:B,1,Settings!$B$16)</f>
        <v>3ème année Cinéma d'Animation S1</v>
      </c>
      <c r="J1806" s="6" t="str" cm="1">
        <f t="array" ref="J1806">choice(Referentiel!D:D,1,Settings!$B$16)</f>
        <v>M1</v>
      </c>
      <c r="K1806" s="6" t="str" cm="1">
        <f t="array" ref="K1806">choice(Professeurs!B:B,1,Settings!$B$16)</f>
        <v>Prof35</v>
      </c>
      <c r="L1806" s="5" t="str" cm="1">
        <f t="array" ref="L1806">choice(Referentiel!C:C,1,Settings!$B$16)</f>
        <v/>
      </c>
      <c r="M1806" s="5" t="str" cm="1">
        <f t="array" ref="M1806">choice(Referentiel!E:E,1,Settings!$B$16)</f>
        <v/>
      </c>
      <c r="N1806" s="5" t="str" cm="1">
        <f t="array" ref="N1806">choice(Settings!K:K,1,Settings!$B$16)</f>
        <v>jeudi am</v>
      </c>
      <c r="P1806" s="5">
        <f t="shared" si="116"/>
        <v>5</v>
      </c>
    </row>
    <row r="1807" spans="1:16" ht="15.75" customHeight="1" x14ac:dyDescent="0.25">
      <c r="A1807" s="6" t="s">
        <v>2159</v>
      </c>
      <c r="B1807" s="6" cm="1">
        <f t="array" ref="B1807">alea_int(Settings!$B$10,1,Settings!$B$16)</f>
        <v>3</v>
      </c>
      <c r="C1807" s="8">
        <v>46023</v>
      </c>
      <c r="D1807" s="8">
        <f t="shared" si="113"/>
        <v>46387</v>
      </c>
      <c r="E1807" s="6" t="str" cm="1">
        <f t="array" ref="E1807">choice(Groupes!A:A,1,Settings!$B$16)</f>
        <v>G20</v>
      </c>
      <c r="F1807" s="6" t="str">
        <f t="shared" si="114"/>
        <v>G20</v>
      </c>
      <c r="G1807" s="6" t="str">
        <f t="shared" si="115"/>
        <v>Prof27</v>
      </c>
      <c r="H1807" s="6" t="str" cm="1">
        <f t="array" ref="H1807">choice(Referentiel!A:A,1,Settings!$B$16)</f>
        <v>Design des mondes montagneux</v>
      </c>
      <c r="I1807" s="6" t="str" cm="1">
        <f t="array" ref="I1807">choice(Referentiel!B:B,1,Settings!$B$16)</f>
        <v>4ème année Scénographie S1</v>
      </c>
      <c r="J1807" s="6" t="str" cm="1">
        <f t="array" ref="J1807">choice(Referentiel!D:D,1,Settings!$B$16)</f>
        <v>M1</v>
      </c>
      <c r="K1807" s="6" t="str" cm="1">
        <f t="array" ref="K1807">choice(Professeurs!B:B,1,Settings!$B$16)</f>
        <v>Prof27</v>
      </c>
      <c r="L1807" s="5" t="str" cm="1">
        <f t="array" ref="L1807">choice(Referentiel!C:C,1,Settings!$B$16)</f>
        <v/>
      </c>
      <c r="M1807" s="5" t="str" cm="1">
        <f t="array" ref="M1807">choice(Referentiel!E:E,1,Settings!$B$16)</f>
        <v/>
      </c>
      <c r="N1807" s="5" t="str" cm="1">
        <f t="array" ref="N1807">choice(Settings!K:K,1,Settings!$B$16)</f>
        <v/>
      </c>
      <c r="P1807" s="5">
        <f t="shared" si="116"/>
        <v>3</v>
      </c>
    </row>
    <row r="1808" spans="1:16" ht="15.75" customHeight="1" x14ac:dyDescent="0.25">
      <c r="A1808" s="6" t="s">
        <v>2160</v>
      </c>
      <c r="B1808" s="6" cm="1">
        <f t="array" ref="B1808">alea_int(Settings!$B$10,1,Settings!$B$16)</f>
        <v>1</v>
      </c>
      <c r="C1808" s="8">
        <v>46023</v>
      </c>
      <c r="D1808" s="8">
        <f t="shared" si="113"/>
        <v>46387</v>
      </c>
      <c r="E1808" s="6" t="str" cm="1">
        <f t="array" ref="E1808">choice(Groupes!A:A,1,Settings!$B$16)</f>
        <v>G20</v>
      </c>
      <c r="F1808" s="6" t="str">
        <f t="shared" si="114"/>
        <v>G20</v>
      </c>
      <c r="G1808" s="6" t="str">
        <f t="shared" si="115"/>
        <v>Prof27</v>
      </c>
      <c r="H1808" s="6" t="str" cm="1">
        <f t="array" ref="H1808">choice(Referentiel!A:A,1,Settings!$B$16)</f>
        <v>Design des mondes ruraux</v>
      </c>
      <c r="I1808" s="6" t="str" cm="1">
        <f t="array" ref="I1808">choice(Referentiel!B:B,1,Settings!$B$16)</f>
        <v>2ème année Scénographie S2</v>
      </c>
      <c r="J1808" s="6" t="str" cm="1">
        <f t="array" ref="J1808">choice(Referentiel!D:D,1,Settings!$B$16)</f>
        <v>M2</v>
      </c>
      <c r="K1808" s="6" t="str" cm="1">
        <f t="array" ref="K1808">choice(Professeurs!B:B,1,Settings!$B$16)</f>
        <v>Prof27</v>
      </c>
      <c r="L1808" s="5" t="str" cm="1">
        <f t="array" ref="L1808">choice(Referentiel!C:C,1,Settings!$B$16)</f>
        <v>fenetre</v>
      </c>
      <c r="M1808" s="5" t="str" cm="1">
        <f t="array" ref="M1808">choice(Referentiel!E:E,1,Settings!$B$16)</f>
        <v/>
      </c>
      <c r="N1808" s="5" t="str" cm="1">
        <f t="array" ref="N1808">choice(Settings!K:K,1,Settings!$B$16)</f>
        <v/>
      </c>
      <c r="P1808" s="5">
        <f t="shared" si="116"/>
        <v>1</v>
      </c>
    </row>
    <row r="1809" spans="1:16" ht="15.75" customHeight="1" x14ac:dyDescent="0.25">
      <c r="A1809" s="6" t="s">
        <v>2161</v>
      </c>
      <c r="B1809" s="6" cm="1">
        <f t="array" ref="B1809">alea_int(Settings!$B$10,1,Settings!$B$16)</f>
        <v>2</v>
      </c>
      <c r="C1809" s="8">
        <v>46023</v>
      </c>
      <c r="D1809" s="8">
        <f t="shared" si="113"/>
        <v>46387</v>
      </c>
      <c r="E1809" s="6" t="str" cm="1">
        <f t="array" ref="E1809">choice(Groupes!A:A,1,Settings!$B$16)</f>
        <v>G1</v>
      </c>
      <c r="F1809" s="6" t="str">
        <f t="shared" si="114"/>
        <v>G1</v>
      </c>
      <c r="G1809" s="6" t="str">
        <f t="shared" si="115"/>
        <v>Prof42</v>
      </c>
      <c r="H1809" s="6" t="str" cm="1">
        <f t="array" ref="H1809">choice(Referentiel!A:A,1,Settings!$B$16)</f>
        <v>Gr SYMBIOSE</v>
      </c>
      <c r="I1809" s="6" t="str" cm="1">
        <f t="array" ref="I1809">choice(Referentiel!B:B,1,Settings!$B$16)</f>
        <v>2ème année Art-Espace S1</v>
      </c>
      <c r="J1809" s="6" t="str" cm="1">
        <f t="array" ref="J1809">choice(Referentiel!D:D,1,Settings!$B$16)</f>
        <v>M2</v>
      </c>
      <c r="K1809" s="6" t="str" cm="1">
        <f t="array" ref="K1809">choice(Professeurs!B:B,1,Settings!$B$16)</f>
        <v>Prof42</v>
      </c>
      <c r="L1809" s="5" t="str" cm="1">
        <f t="array" ref="L1809">choice(Referentiel!C:C,1,Settings!$B$16)</f>
        <v/>
      </c>
      <c r="M1809" s="5" t="str" cm="1">
        <f t="array" ref="M1809">choice(Referentiel!E:E,1,Settings!$B$16)</f>
        <v/>
      </c>
      <c r="N1809" s="5" t="str" cm="1">
        <f t="array" ref="N1809">choice(Settings!K:K,1,Settings!$B$16)</f>
        <v/>
      </c>
      <c r="P1809" s="5">
        <f t="shared" si="116"/>
        <v>2</v>
      </c>
    </row>
    <row r="1810" spans="1:16" ht="15.75" customHeight="1" x14ac:dyDescent="0.25">
      <c r="A1810" s="6" t="s">
        <v>2162</v>
      </c>
      <c r="B1810" s="6" cm="1">
        <f t="array" ref="B1810">alea_int(Settings!$B$10,1,Settings!$B$16)</f>
        <v>3</v>
      </c>
      <c r="C1810" s="8">
        <v>46023</v>
      </c>
      <c r="D1810" s="8">
        <f t="shared" si="113"/>
        <v>46387</v>
      </c>
      <c r="E1810" s="6" t="str" cm="1">
        <f t="array" ref="E1810">choice(Groupes!A:A,1,Settings!$B$16)</f>
        <v>G27</v>
      </c>
      <c r="F1810" s="6" t="str">
        <f t="shared" si="114"/>
        <v>G27</v>
      </c>
      <c r="G1810" s="6" t="str">
        <f t="shared" si="115"/>
        <v>Prof52</v>
      </c>
      <c r="H1810" s="6" t="str" cm="1">
        <f t="array" ref="H1810">choice(Referentiel!A:A,1,Settings!$B$16)</f>
        <v>6ème ANNÉE STAGE</v>
      </c>
      <c r="I1810" s="6" t="str" cm="1">
        <f t="array" ref="I1810">choice(Referentiel!B:B,1,Settings!$B$16)</f>
        <v>3ème année Design Vêtement S2</v>
      </c>
      <c r="J1810" s="6" t="str" cm="1">
        <f t="array" ref="J1810">choice(Referentiel!D:D,1,Settings!$B$16)</f>
        <v>M1</v>
      </c>
      <c r="K1810" s="6" t="str" cm="1">
        <f t="array" ref="K1810">choice(Professeurs!B:B,1,Settings!$B$16)</f>
        <v>Prof52</v>
      </c>
      <c r="L1810" s="5" t="str" cm="1">
        <f t="array" ref="L1810">choice(Referentiel!C:C,1,Settings!$B$16)</f>
        <v/>
      </c>
      <c r="M1810" s="5" t="str" cm="1">
        <f t="array" ref="M1810">choice(Referentiel!E:E,1,Settings!$B$16)</f>
        <v/>
      </c>
      <c r="N1810" s="5" t="str" cm="1">
        <f t="array" ref="N1810">choice(Settings!K:K,1,Settings!$B$16)</f>
        <v/>
      </c>
      <c r="P1810" s="5">
        <f t="shared" si="116"/>
        <v>3</v>
      </c>
    </row>
    <row r="1811" spans="1:16" ht="15.75" customHeight="1" x14ac:dyDescent="0.25">
      <c r="A1811" s="6" t="s">
        <v>2163</v>
      </c>
      <c r="B1811" s="6" cm="1">
        <f t="array" ref="B1811">alea_int(Settings!$B$10,1,Settings!$B$16)</f>
        <v>3</v>
      </c>
      <c r="C1811" s="8">
        <v>46023</v>
      </c>
      <c r="D1811" s="8">
        <f t="shared" si="113"/>
        <v>46387</v>
      </c>
      <c r="E1811" s="6" t="str" cm="1">
        <f t="array" ref="E1811">choice(Groupes!A:A,1,Settings!$B$16)</f>
        <v>G8</v>
      </c>
      <c r="F1811" s="6" t="str">
        <f t="shared" si="114"/>
        <v>G8</v>
      </c>
      <c r="G1811" s="6" t="str">
        <f t="shared" si="115"/>
        <v>Prof5</v>
      </c>
      <c r="H1811" s="6" t="str" cm="1">
        <f t="array" ref="H1811">choice(Referentiel!A:A,1,Settings!$B$16)</f>
        <v>Gr SYMBIOSE</v>
      </c>
      <c r="I1811" s="6" t="str" cm="1">
        <f t="array" ref="I1811">choice(Referentiel!B:B,1,Settings!$B$16)</f>
        <v>5ème année Image Imprimée S2</v>
      </c>
      <c r="J1811" s="6" t="str" cm="1">
        <f t="array" ref="J1811">choice(Referentiel!D:D,1,Settings!$B$16)</f>
        <v>L3</v>
      </c>
      <c r="K1811" s="6" t="str" cm="1">
        <f t="array" ref="K1811">choice(Professeurs!B:B,1,Settings!$B$16)</f>
        <v>Prof5</v>
      </c>
      <c r="L1811" s="5" t="str" cm="1">
        <f t="array" ref="L1811">choice(Referentiel!C:C,1,Settings!$B$16)</f>
        <v/>
      </c>
      <c r="M1811" s="5" t="str" cm="1">
        <f t="array" ref="M1811">choice(Referentiel!E:E,1,Settings!$B$16)</f>
        <v/>
      </c>
      <c r="N1811" s="5" t="str" cm="1">
        <f t="array" ref="N1811">choice(Settings!K:K,1,Settings!$B$16)</f>
        <v>mercredi pm</v>
      </c>
      <c r="P1811" s="5">
        <f t="shared" si="116"/>
        <v>5</v>
      </c>
    </row>
    <row r="1812" spans="1:16" ht="15.75" customHeight="1" x14ac:dyDescent="0.25">
      <c r="A1812" s="6" t="s">
        <v>2164</v>
      </c>
      <c r="B1812" s="6" cm="1">
        <f t="array" ref="B1812">alea_int(Settings!$B$10,1,Settings!$B$16)</f>
        <v>1</v>
      </c>
      <c r="C1812" s="8">
        <v>46023</v>
      </c>
      <c r="D1812" s="8">
        <f t="shared" si="113"/>
        <v>46387</v>
      </c>
      <c r="E1812" s="6" t="str" cm="1">
        <f t="array" ref="E1812">choice(Groupes!A:A,1,Settings!$B$16)</f>
        <v>G12</v>
      </c>
      <c r="F1812" s="6" t="str">
        <f t="shared" si="114"/>
        <v>G12</v>
      </c>
      <c r="G1812" s="6" t="str">
        <f t="shared" si="115"/>
        <v>Prof5</v>
      </c>
      <c r="H1812" s="6" t="str" cm="1">
        <f t="array" ref="H1812">choice(Referentiel!A:A,1,Settings!$B$16)</f>
        <v>Gr SPATIAL MEDIA</v>
      </c>
      <c r="I1812" s="6" t="str" cm="1">
        <f t="array" ref="I1812">choice(Referentiel!B:B,1,Settings!$B$16)</f>
        <v>3ème année Cinéma d'Animation S1</v>
      </c>
      <c r="J1812" s="6" t="str" cm="1">
        <f t="array" ref="J1812">choice(Referentiel!D:D,1,Settings!$B$16)</f>
        <v>M2</v>
      </c>
      <c r="K1812" s="6" t="str" cm="1">
        <f t="array" ref="K1812">choice(Professeurs!B:B,1,Settings!$B$16)</f>
        <v>Prof5</v>
      </c>
      <c r="L1812" s="5" t="str" cm="1">
        <f t="array" ref="L1812">choice(Referentiel!C:C,1,Settings!$B$16)</f>
        <v/>
      </c>
      <c r="M1812" s="5" t="str" cm="1">
        <f t="array" ref="M1812">choice(Referentiel!E:E,1,Settings!$B$16)</f>
        <v/>
      </c>
      <c r="N1812" s="5" t="str" cm="1">
        <f t="array" ref="N1812">choice(Settings!K:K,1,Settings!$B$16)</f>
        <v/>
      </c>
      <c r="P1812" s="5">
        <f t="shared" si="116"/>
        <v>1</v>
      </c>
    </row>
    <row r="1813" spans="1:16" ht="15.75" customHeight="1" x14ac:dyDescent="0.25">
      <c r="A1813" s="6" t="s">
        <v>2165</v>
      </c>
      <c r="B1813" s="6" cm="1">
        <f t="array" ref="B1813">alea_int(Settings!$B$10,1,Settings!$B$16)</f>
        <v>3</v>
      </c>
      <c r="C1813" s="8">
        <v>46023</v>
      </c>
      <c r="D1813" s="8">
        <f t="shared" si="113"/>
        <v>46387</v>
      </c>
      <c r="E1813" s="6" t="str" cm="1">
        <f t="array" ref="E1813">choice(Groupes!A:A,1,Settings!$B$16)</f>
        <v>G9</v>
      </c>
      <c r="F1813" s="6" t="str">
        <f t="shared" si="114"/>
        <v>G9</v>
      </c>
      <c r="G1813" s="6" t="str">
        <f t="shared" si="115"/>
        <v>Prof20</v>
      </c>
      <c r="H1813" s="6" t="str" cm="1">
        <f t="array" ref="H1813">choice(Referentiel!A:A,1,Settings!$B$16)</f>
        <v>Gr SYMBIOSE</v>
      </c>
      <c r="I1813" s="6" t="str" cm="1">
        <f t="array" ref="I1813">choice(Referentiel!B:B,1,Settings!$B$16)</f>
        <v>5ème année Photo / Vidéo S2</v>
      </c>
      <c r="J1813" s="6" t="str" cm="1">
        <f t="array" ref="J1813">choice(Referentiel!D:D,1,Settings!$B$16)</f>
        <v>L1</v>
      </c>
      <c r="K1813" s="6" t="str" cm="1">
        <f t="array" ref="K1813">choice(Professeurs!B:B,1,Settings!$B$16)</f>
        <v>Prof20</v>
      </c>
      <c r="L1813" s="5" t="str" cm="1">
        <f t="array" ref="L1813">choice(Referentiel!C:C,1,Settings!$B$16)</f>
        <v/>
      </c>
      <c r="M1813" s="5" t="str" cm="1">
        <f t="array" ref="M1813">choice(Referentiel!E:E,1,Settings!$B$16)</f>
        <v/>
      </c>
      <c r="N1813" s="5" t="str" cm="1">
        <f t="array" ref="N1813">choice(Settings!K:K,1,Settings!$B$16)</f>
        <v/>
      </c>
      <c r="P1813" s="5">
        <f t="shared" si="116"/>
        <v>3</v>
      </c>
    </row>
    <row r="1814" spans="1:16" ht="15.75" customHeight="1" x14ac:dyDescent="0.25">
      <c r="A1814" s="6" t="s">
        <v>2166</v>
      </c>
      <c r="B1814" s="6" cm="1">
        <f t="array" ref="B1814">alea_int(Settings!$B$10,1,Settings!$B$16)</f>
        <v>3</v>
      </c>
      <c r="C1814" s="8">
        <v>46023</v>
      </c>
      <c r="D1814" s="8">
        <f t="shared" si="113"/>
        <v>46387</v>
      </c>
      <c r="E1814" s="6" t="str" cm="1">
        <f t="array" ref="E1814">choice(Groupes!A:A,1,Settings!$B$16)</f>
        <v>G1</v>
      </c>
      <c r="F1814" s="6" t="str">
        <f t="shared" si="114"/>
        <v>G1</v>
      </c>
      <c r="G1814" s="6" t="str">
        <f t="shared" si="115"/>
        <v>Prof18</v>
      </c>
      <c r="H1814" s="6" t="str" cm="1">
        <f t="array" ref="H1814">choice(Referentiel!A:A,1,Settings!$B$16)</f>
        <v>1ère année Groupe 2</v>
      </c>
      <c r="I1814" s="6" t="str" cm="1">
        <f t="array" ref="I1814">choice(Referentiel!B:B,1,Settings!$B$16)</f>
        <v>4ème année Scénographie S1</v>
      </c>
      <c r="J1814" s="6" t="str" cm="1">
        <f t="array" ref="J1814">choice(Referentiel!D:D,1,Settings!$B$16)</f>
        <v>L3</v>
      </c>
      <c r="K1814" s="6" t="str" cm="1">
        <f t="array" ref="K1814">choice(Professeurs!B:B,1,Settings!$B$16)</f>
        <v>Prof18</v>
      </c>
      <c r="L1814" s="5" t="str" cm="1">
        <f t="array" ref="L1814">choice(Referentiel!C:C,1,Settings!$B$16)</f>
        <v/>
      </c>
      <c r="M1814" s="5" t="str" cm="1">
        <f t="array" ref="M1814">choice(Referentiel!E:E,1,Settings!$B$16)</f>
        <v/>
      </c>
      <c r="N1814" s="5" t="str" cm="1">
        <f t="array" ref="N1814">choice(Settings!K:K,1,Settings!$B$16)</f>
        <v/>
      </c>
      <c r="P1814" s="5">
        <f t="shared" si="116"/>
        <v>3</v>
      </c>
    </row>
    <row r="1815" spans="1:16" ht="15.75" customHeight="1" x14ac:dyDescent="0.25">
      <c r="A1815" s="6" t="s">
        <v>2167</v>
      </c>
      <c r="B1815" s="6" cm="1">
        <f t="array" ref="B1815">alea_int(Settings!$B$10,1,Settings!$B$16)</f>
        <v>2</v>
      </c>
      <c r="C1815" s="8">
        <v>46023</v>
      </c>
      <c r="D1815" s="8">
        <f t="shared" si="113"/>
        <v>46387</v>
      </c>
      <c r="E1815" s="6" t="str" cm="1">
        <f t="array" ref="E1815">choice(Groupes!A:A,1,Settings!$B$16)</f>
        <v>G10</v>
      </c>
      <c r="F1815" s="6" t="str">
        <f t="shared" si="114"/>
        <v>G10</v>
      </c>
      <c r="G1815" s="6" t="str">
        <f t="shared" si="115"/>
        <v>Prof6</v>
      </c>
      <c r="H1815" s="6" t="str" cm="1">
        <f t="array" ref="H1815">choice(Referentiel!A:A,1,Settings!$B$16)</f>
        <v>Design Objet</v>
      </c>
      <c r="I1815" s="6" t="str" cm="1">
        <f t="array" ref="I1815">choice(Referentiel!B:B,1,Settings!$B$16)</f>
        <v>5ème année Design Vêtement S2</v>
      </c>
      <c r="J1815" s="6" t="str" cm="1">
        <f t="array" ref="J1815">choice(Referentiel!D:D,1,Settings!$B$16)</f>
        <v>M1</v>
      </c>
      <c r="K1815" s="6" t="str" cm="1">
        <f t="array" ref="K1815">choice(Professeurs!B:B,1,Settings!$B$16)</f>
        <v>Prof6</v>
      </c>
      <c r="L1815" s="5" t="str" cm="1">
        <f t="array" ref="L1815">choice(Referentiel!C:C,1,Settings!$B$16)</f>
        <v/>
      </c>
      <c r="M1815" s="5" t="str" cm="1">
        <f t="array" ref="M1815">choice(Referentiel!E:E,1,Settings!$B$16)</f>
        <v/>
      </c>
      <c r="N1815" s="5" t="str" cm="1">
        <f t="array" ref="N1815">choice(Settings!K:K,1,Settings!$B$16)</f>
        <v/>
      </c>
      <c r="P1815" s="5">
        <f t="shared" si="116"/>
        <v>2</v>
      </c>
    </row>
    <row r="1816" spans="1:16" ht="15.75" customHeight="1" x14ac:dyDescent="0.25">
      <c r="A1816" s="6" t="s">
        <v>2168</v>
      </c>
      <c r="B1816" s="6" cm="1">
        <f t="array" ref="B1816">alea_int(Settings!$B$10,1,Settings!$B$16)</f>
        <v>3</v>
      </c>
      <c r="C1816" s="8">
        <v>46023</v>
      </c>
      <c r="D1816" s="8">
        <f t="shared" si="113"/>
        <v>46387</v>
      </c>
      <c r="E1816" s="6" t="str" cm="1">
        <f t="array" ref="E1816">choice(Groupes!A:A,1,Settings!$B$16)</f>
        <v>G12</v>
      </c>
      <c r="F1816" s="6" t="str">
        <f t="shared" si="114"/>
        <v>G12</v>
      </c>
      <c r="G1816" s="6" t="str">
        <f t="shared" si="115"/>
        <v>Prof34</v>
      </c>
      <c r="H1816" s="6" t="str" cm="1">
        <f t="array" ref="H1816">choice(Referentiel!A:A,1,Settings!$B$16)</f>
        <v>Design Graphique</v>
      </c>
      <c r="I1816" s="6" t="str" cm="1">
        <f t="array" ref="I1816">choice(Referentiel!B:B,1,Settings!$B$16)</f>
        <v>4ème année Design Objet S2</v>
      </c>
      <c r="J1816" s="6" t="str" cm="1">
        <f t="array" ref="J1816">choice(Referentiel!D:D,1,Settings!$B$16)</f>
        <v>L1</v>
      </c>
      <c r="K1816" s="6" t="str" cm="1">
        <f t="array" ref="K1816">choice(Professeurs!B:B,1,Settings!$B$16)</f>
        <v>Prof34</v>
      </c>
      <c r="L1816" s="5" t="str" cm="1">
        <f t="array" ref="L1816">choice(Referentiel!C:C,1,Settings!$B$16)</f>
        <v/>
      </c>
      <c r="M1816" s="5" t="str" cm="1">
        <f t="array" ref="M1816">choice(Referentiel!E:E,1,Settings!$B$16)</f>
        <v/>
      </c>
      <c r="N1816" s="5" t="str" cm="1">
        <f t="array" ref="N1816">choice(Settings!K:K,1,Settings!$B$16)</f>
        <v>semaine</v>
      </c>
      <c r="P1816" s="5">
        <f t="shared" si="116"/>
        <v>5</v>
      </c>
    </row>
    <row r="1817" spans="1:16" ht="15.75" customHeight="1" x14ac:dyDescent="0.25">
      <c r="A1817" s="6" t="s">
        <v>2169</v>
      </c>
      <c r="B1817" s="6" cm="1">
        <f t="array" ref="B1817">alea_int(Settings!$B$10,1,Settings!$B$16)</f>
        <v>2</v>
      </c>
      <c r="C1817" s="8">
        <v>46023</v>
      </c>
      <c r="D1817" s="8">
        <f t="shared" si="113"/>
        <v>46387</v>
      </c>
      <c r="E1817" s="6" t="str" cm="1">
        <f t="array" ref="E1817">choice(Groupes!A:A,1,Settings!$B$16)</f>
        <v>G2</v>
      </c>
      <c r="F1817" s="6" t="str">
        <f t="shared" si="114"/>
        <v>G2</v>
      </c>
      <c r="G1817" s="6" t="str">
        <f t="shared" si="115"/>
        <v>Prof13</v>
      </c>
      <c r="H1817" s="6" t="str" cm="1">
        <f t="array" ref="H1817">choice(Referentiel!A:A,1,Settings!$B$16)</f>
        <v>Scénographie</v>
      </c>
      <c r="I1817" s="6" t="str" cm="1">
        <f t="array" ref="I1817">choice(Referentiel!B:B,1,Settings!$B$16)</f>
        <v>4ème année Photo / Vidéo S2</v>
      </c>
      <c r="J1817" s="6" t="str" cm="1">
        <f t="array" ref="J1817">choice(Referentiel!D:D,1,Settings!$B$16)</f>
        <v>L1</v>
      </c>
      <c r="K1817" s="6" t="str" cm="1">
        <f t="array" ref="K1817">choice(Professeurs!B:B,1,Settings!$B$16)</f>
        <v>Prof13</v>
      </c>
      <c r="L1817" s="5" t="str" cm="1">
        <f t="array" ref="L1817">choice(Referentiel!C:C,1,Settings!$B$16)</f>
        <v/>
      </c>
      <c r="M1817" s="5" t="str" cm="1">
        <f t="array" ref="M1817">choice(Referentiel!E:E,1,Settings!$B$16)</f>
        <v>Salle2</v>
      </c>
      <c r="N1817" s="5" t="str" cm="1">
        <f t="array" ref="N1817">choice(Settings!K:K,1,Settings!$B$16)</f>
        <v>mercredi pm</v>
      </c>
      <c r="P1817" s="5">
        <f t="shared" si="116"/>
        <v>6</v>
      </c>
    </row>
    <row r="1818" spans="1:16" ht="15.75" customHeight="1" x14ac:dyDescent="0.25">
      <c r="A1818" s="6" t="s">
        <v>2170</v>
      </c>
      <c r="B1818" s="6" cm="1">
        <f t="array" ref="B1818">alea_int(Settings!$B$10,1,Settings!$B$16)</f>
        <v>2</v>
      </c>
      <c r="C1818" s="8">
        <v>46023</v>
      </c>
      <c r="D1818" s="8">
        <f t="shared" si="113"/>
        <v>46387</v>
      </c>
      <c r="E1818" s="6" t="str" cm="1">
        <f t="array" ref="E1818">choice(Groupes!A:A,1,Settings!$B$16)</f>
        <v>G2</v>
      </c>
      <c r="F1818" s="6" t="str">
        <f t="shared" si="114"/>
        <v>G2</v>
      </c>
      <c r="G1818" s="6" t="str">
        <f t="shared" si="115"/>
        <v>Prof48</v>
      </c>
      <c r="H1818" s="6" t="str" cm="1">
        <f t="array" ref="H1818">choice(Referentiel!A:A,1,Settings!$B$16)</f>
        <v>Gr ART, DESIGN, SOCIETE</v>
      </c>
      <c r="I1818" s="6" t="str" cm="1">
        <f t="array" ref="I1818">choice(Referentiel!B:B,1,Settings!$B$16)</f>
        <v>Césure S1</v>
      </c>
      <c r="J1818" s="6" t="str" cm="1">
        <f t="array" ref="J1818">choice(Referentiel!D:D,1,Settings!$B$16)</f>
        <v>L2</v>
      </c>
      <c r="K1818" s="6" t="str" cm="1">
        <f t="array" ref="K1818">choice(Professeurs!B:B,1,Settings!$B$16)</f>
        <v>Prof48</v>
      </c>
      <c r="L1818" s="5" t="str" cm="1">
        <f t="array" ref="L1818">choice(Referentiel!C:C,1,Settings!$B$16)</f>
        <v/>
      </c>
      <c r="M1818" s="5" t="str" cm="1">
        <f t="array" ref="M1818">choice(Referentiel!E:E,1,Settings!$B$16)</f>
        <v/>
      </c>
      <c r="N1818" s="5" t="str" cm="1">
        <f t="array" ref="N1818">choice(Settings!K:K,1,Settings!$B$16)</f>
        <v/>
      </c>
      <c r="P1818" s="5">
        <f t="shared" si="116"/>
        <v>2</v>
      </c>
    </row>
    <row r="1819" spans="1:16" ht="15.75" customHeight="1" x14ac:dyDescent="0.25">
      <c r="A1819" s="6" t="s">
        <v>2171</v>
      </c>
      <c r="B1819" s="6" cm="1">
        <f t="array" ref="B1819">alea_int(Settings!$B$10,1,Settings!$B$16)</f>
        <v>3</v>
      </c>
      <c r="C1819" s="8">
        <v>46023</v>
      </c>
      <c r="D1819" s="8">
        <f t="shared" si="113"/>
        <v>46387</v>
      </c>
      <c r="E1819" s="6" t="str" cm="1">
        <f t="array" ref="E1819">choice(Groupes!A:A,1,Settings!$B$16)</f>
        <v>G2</v>
      </c>
      <c r="F1819" s="6" t="str">
        <f t="shared" si="114"/>
        <v>G2</v>
      </c>
      <c r="G1819" s="6" t="str">
        <f t="shared" si="115"/>
        <v>Prof5</v>
      </c>
      <c r="H1819" s="6" t="str" cm="1">
        <f t="array" ref="H1819">choice(Referentiel!A:A,1,Settings!$B$16)</f>
        <v>Art-Espace</v>
      </c>
      <c r="I1819" s="6" t="str" cm="1">
        <f t="array" ref="I1819">choice(Referentiel!B:B,1,Settings!$B$16)</f>
        <v>2ème année Design Graphique S2</v>
      </c>
      <c r="J1819" s="6" t="str" cm="1">
        <f t="array" ref="J1819">choice(Referentiel!D:D,1,Settings!$B$16)</f>
        <v>M2</v>
      </c>
      <c r="K1819" s="6" t="str" cm="1">
        <f t="array" ref="K1819">choice(Professeurs!B:B,1,Settings!$B$16)</f>
        <v>Prof5</v>
      </c>
      <c r="L1819" s="5" t="str" cm="1">
        <f t="array" ref="L1819">choice(Referentiel!C:C,1,Settings!$B$16)</f>
        <v>tablette</v>
      </c>
      <c r="M1819" s="5" t="str" cm="1">
        <f t="array" ref="M1819">choice(Referentiel!E:E,1,Settings!$B$16)</f>
        <v/>
      </c>
      <c r="N1819" s="5" t="str" cm="1">
        <f t="array" ref="N1819">choice(Settings!K:K,1,Settings!$B$16)</f>
        <v/>
      </c>
      <c r="P1819" s="5">
        <f t="shared" si="116"/>
        <v>3</v>
      </c>
    </row>
    <row r="1820" spans="1:16" ht="15.75" customHeight="1" x14ac:dyDescent="0.25">
      <c r="A1820" s="6" t="s">
        <v>2172</v>
      </c>
      <c r="B1820" s="6" cm="1">
        <f t="array" ref="B1820">alea_int(Settings!$B$10,1,Settings!$B$16)</f>
        <v>1</v>
      </c>
      <c r="C1820" s="8">
        <v>46023</v>
      </c>
      <c r="D1820" s="8">
        <f t="shared" si="113"/>
        <v>46387</v>
      </c>
      <c r="E1820" s="6" t="str" cm="1">
        <f t="array" ref="E1820">choice(Groupes!A:A,1,Settings!$B$16)</f>
        <v>G26</v>
      </c>
      <c r="F1820" s="6" t="str">
        <f t="shared" si="114"/>
        <v>G26</v>
      </c>
      <c r="G1820" s="6" t="str">
        <f t="shared" si="115"/>
        <v>Prof37</v>
      </c>
      <c r="H1820" s="6" t="str" cm="1">
        <f t="array" ref="H1820">choice(Referentiel!A:A,1,Settings!$B$16)</f>
        <v>Gr ART, DESIGN, SOCIETE</v>
      </c>
      <c r="I1820" s="6" t="str" cm="1">
        <f t="array" ref="I1820">choice(Referentiel!B:B,1,Settings!$B$16)</f>
        <v>2ème année Architecture Intérieure S2</v>
      </c>
      <c r="J1820" s="6" t="str" cm="1">
        <f t="array" ref="J1820">choice(Referentiel!D:D,1,Settings!$B$16)</f>
        <v>L3</v>
      </c>
      <c r="K1820" s="6" t="str" cm="1">
        <f t="array" ref="K1820">choice(Professeurs!B:B,1,Settings!$B$16)</f>
        <v>Prof37</v>
      </c>
      <c r="L1820" s="5" t="str" cm="1">
        <f t="array" ref="L1820">choice(Referentiel!C:C,1,Settings!$B$16)</f>
        <v/>
      </c>
      <c r="M1820" s="5" t="str" cm="1">
        <f t="array" ref="M1820">choice(Referentiel!E:E,1,Settings!$B$16)</f>
        <v/>
      </c>
      <c r="N1820" s="5" t="str" cm="1">
        <f t="array" ref="N1820">choice(Settings!K:K,1,Settings!$B$16)</f>
        <v/>
      </c>
      <c r="P1820" s="5">
        <f t="shared" si="116"/>
        <v>1</v>
      </c>
    </row>
    <row r="1821" spans="1:16" ht="15.75" customHeight="1" x14ac:dyDescent="0.25">
      <c r="A1821" s="6" t="s">
        <v>2173</v>
      </c>
      <c r="B1821" s="6" cm="1">
        <f t="array" ref="B1821">alea_int(Settings!$B$10,1,Settings!$B$16)</f>
        <v>2</v>
      </c>
      <c r="C1821" s="8">
        <v>46023</v>
      </c>
      <c r="D1821" s="8">
        <f t="shared" si="113"/>
        <v>46387</v>
      </c>
      <c r="E1821" s="6" t="str" cm="1">
        <f t="array" ref="E1821">choice(Groupes!A:A,1,Settings!$B$16)</f>
        <v>G2</v>
      </c>
      <c r="F1821" s="6" t="str">
        <f t="shared" si="114"/>
        <v>G2</v>
      </c>
      <c r="G1821" s="6" t="str">
        <f t="shared" si="115"/>
        <v>Prof35</v>
      </c>
      <c r="H1821" s="6" t="str" cm="1">
        <f t="array" ref="H1821">choice(Referentiel!A:A,1,Settings!$B$16)</f>
        <v>Design des mondes urbains</v>
      </c>
      <c r="I1821" s="6" t="str" cm="1">
        <f t="array" ref="I1821">choice(Referentiel!B:B,1,Settings!$B$16)</f>
        <v>5ème année Design Graphique S1</v>
      </c>
      <c r="J1821" s="6" t="str" cm="1">
        <f t="array" ref="J1821">choice(Referentiel!D:D,1,Settings!$B$16)</f>
        <v>L1</v>
      </c>
      <c r="K1821" s="6" t="str" cm="1">
        <f t="array" ref="K1821">choice(Professeurs!B:B,1,Settings!$B$16)</f>
        <v>Prof35</v>
      </c>
      <c r="L1821" s="5" t="str" cm="1">
        <f t="array" ref="L1821">choice(Referentiel!C:C,1,Settings!$B$16)</f>
        <v/>
      </c>
      <c r="M1821" s="5" t="str" cm="1">
        <f t="array" ref="M1821">choice(Referentiel!E:E,1,Settings!$B$16)</f>
        <v/>
      </c>
      <c r="N1821" s="5" t="str" cm="1">
        <f t="array" ref="N1821">choice(Settings!K:K,1,Settings!$B$16)</f>
        <v/>
      </c>
      <c r="P1821" s="5">
        <f t="shared" si="116"/>
        <v>2</v>
      </c>
    </row>
    <row r="1822" spans="1:16" ht="15.75" customHeight="1" x14ac:dyDescent="0.25">
      <c r="A1822" s="6" t="s">
        <v>2174</v>
      </c>
      <c r="B1822" s="6" cm="1">
        <f t="array" ref="B1822">alea_int(Settings!$B$10,1,Settings!$B$16)</f>
        <v>3</v>
      </c>
      <c r="C1822" s="8">
        <v>46023</v>
      </c>
      <c r="D1822" s="8">
        <f t="shared" si="113"/>
        <v>46387</v>
      </c>
      <c r="E1822" s="6" t="str" cm="1">
        <f t="array" ref="E1822">choice(Groupes!A:A,1,Settings!$B$16)</f>
        <v>G7</v>
      </c>
      <c r="F1822" s="6" t="str">
        <f t="shared" si="114"/>
        <v>G7</v>
      </c>
      <c r="G1822" s="6" t="str">
        <f t="shared" si="115"/>
        <v>Prof21</v>
      </c>
      <c r="H1822" s="6" t="str" cm="1">
        <f t="array" ref="H1822">choice(Referentiel!A:A,1,Settings!$B$16)</f>
        <v>Gr ART, DESIGN, SOCIETE</v>
      </c>
      <c r="I1822" s="6" t="str" cm="1">
        <f t="array" ref="I1822">choice(Referentiel!B:B,1,Settings!$B$16)</f>
        <v>5ème année Design Vêtement S2</v>
      </c>
      <c r="J1822" s="6" t="str" cm="1">
        <f t="array" ref="J1822">choice(Referentiel!D:D,1,Settings!$B$16)</f>
        <v>L1</v>
      </c>
      <c r="K1822" s="6" t="str" cm="1">
        <f t="array" ref="K1822">choice(Professeurs!B:B,1,Settings!$B$16)</f>
        <v>Prof21</v>
      </c>
      <c r="L1822" s="5" t="str" cm="1">
        <f t="array" ref="L1822">choice(Referentiel!C:C,1,Settings!$B$16)</f>
        <v/>
      </c>
      <c r="M1822" s="5" t="str" cm="1">
        <f t="array" ref="M1822">choice(Referentiel!E:E,1,Settings!$B$16)</f>
        <v/>
      </c>
      <c r="N1822" s="5" t="str" cm="1">
        <f t="array" ref="N1822">choice(Settings!K:K,1,Settings!$B$16)</f>
        <v/>
      </c>
      <c r="P1822" s="5">
        <f t="shared" si="116"/>
        <v>3</v>
      </c>
    </row>
    <row r="1823" spans="1:16" ht="15.75" customHeight="1" x14ac:dyDescent="0.25">
      <c r="A1823" s="6" t="s">
        <v>2175</v>
      </c>
      <c r="B1823" s="6" cm="1">
        <f t="array" ref="B1823">alea_int(Settings!$B$10,1,Settings!$B$16)</f>
        <v>1</v>
      </c>
      <c r="C1823" s="8">
        <v>46023</v>
      </c>
      <c r="D1823" s="8">
        <f t="shared" si="113"/>
        <v>46387</v>
      </c>
      <c r="E1823" s="6" t="str" cm="1">
        <f t="array" ref="E1823">choice(Groupes!A:A,1,Settings!$B$16)</f>
        <v>G8</v>
      </c>
      <c r="F1823" s="6" t="str">
        <f t="shared" si="114"/>
        <v>G8</v>
      </c>
      <c r="G1823" s="6" t="str">
        <f t="shared" si="115"/>
        <v>Prof2</v>
      </c>
      <c r="H1823" s="6" t="str" cm="1">
        <f t="array" ref="H1823">choice(Referentiel!A:A,1,Settings!$B$16)</f>
        <v>Architecture Intérieure</v>
      </c>
      <c r="I1823" s="6" t="str" cm="1">
        <f t="array" ref="I1823">choice(Referentiel!B:B,1,Settings!$B$16)</f>
        <v>1ère Année Groupe 1 S2</v>
      </c>
      <c r="J1823" s="6" t="str" cm="1">
        <f t="array" ref="J1823">choice(Referentiel!D:D,1,Settings!$B$16)</f>
        <v>M1</v>
      </c>
      <c r="K1823" s="6" t="str" cm="1">
        <f t="array" ref="K1823">choice(Professeurs!B:B,1,Settings!$B$16)</f>
        <v>Prof2</v>
      </c>
      <c r="L1823" s="5" t="str" cm="1">
        <f t="array" ref="L1823">choice(Referentiel!C:C,1,Settings!$B$16)</f>
        <v/>
      </c>
      <c r="M1823" s="5" t="str" cm="1">
        <f t="array" ref="M1823">choice(Referentiel!E:E,1,Settings!$B$16)</f>
        <v/>
      </c>
      <c r="N1823" s="5" t="str" cm="1">
        <f t="array" ref="N1823">choice(Settings!K:K,1,Settings!$B$16)</f>
        <v>jeudi am</v>
      </c>
      <c r="P1823" s="5">
        <f t="shared" si="116"/>
        <v>3</v>
      </c>
    </row>
    <row r="1824" spans="1:16" ht="15.75" customHeight="1" x14ac:dyDescent="0.25">
      <c r="A1824" s="6" t="s">
        <v>2176</v>
      </c>
      <c r="B1824" s="6" cm="1">
        <f t="array" ref="B1824">alea_int(Settings!$B$10,1,Settings!$B$16)</f>
        <v>3</v>
      </c>
      <c r="C1824" s="8">
        <v>46023</v>
      </c>
      <c r="D1824" s="8">
        <f t="shared" si="113"/>
        <v>46387</v>
      </c>
      <c r="E1824" s="6" t="str" cm="1">
        <f t="array" ref="E1824">choice(Groupes!A:A,1,Settings!$B$16)</f>
        <v>G12</v>
      </c>
      <c r="F1824" s="6" t="str">
        <f t="shared" si="114"/>
        <v>G12</v>
      </c>
      <c r="G1824" s="6" t="str">
        <f t="shared" si="115"/>
        <v>Prof25</v>
      </c>
      <c r="H1824" s="6" t="str" cm="1">
        <f t="array" ref="H1824">choice(Referentiel!A:A,1,Settings!$B$16)</f>
        <v>Design des mondes urbains</v>
      </c>
      <c r="I1824" s="6" t="str" cm="1">
        <f t="array" ref="I1824">choice(Referentiel!B:B,1,Settings!$B$16)</f>
        <v>4ème année Design Vêtement S2</v>
      </c>
      <c r="J1824" s="6" t="str" cm="1">
        <f t="array" ref="J1824">choice(Referentiel!D:D,1,Settings!$B$16)</f>
        <v>L1</v>
      </c>
      <c r="K1824" s="6" t="str" cm="1">
        <f t="array" ref="K1824">choice(Professeurs!B:B,1,Settings!$B$16)</f>
        <v>Prof25</v>
      </c>
      <c r="L1824" s="5" t="str" cm="1">
        <f t="array" ref="L1824">choice(Referentiel!C:C,1,Settings!$B$16)</f>
        <v/>
      </c>
      <c r="M1824" s="5" t="str" cm="1">
        <f t="array" ref="M1824">choice(Referentiel!E:E,1,Settings!$B$16)</f>
        <v/>
      </c>
      <c r="N1824" s="5" t="str" cm="1">
        <f t="array" ref="N1824">choice(Settings!K:K,1,Settings!$B$16)</f>
        <v/>
      </c>
      <c r="P1824" s="5">
        <f t="shared" si="116"/>
        <v>3</v>
      </c>
    </row>
    <row r="1825" spans="1:16" ht="15.75" customHeight="1" x14ac:dyDescent="0.25">
      <c r="A1825" s="6" t="s">
        <v>2177</v>
      </c>
      <c r="B1825" s="6" cm="1">
        <f t="array" ref="B1825">alea_int(Settings!$B$10,1,Settings!$B$16)</f>
        <v>3</v>
      </c>
      <c r="C1825" s="8">
        <v>46023</v>
      </c>
      <c r="D1825" s="8">
        <f t="shared" si="113"/>
        <v>46387</v>
      </c>
      <c r="E1825" s="6" t="str" cm="1">
        <f t="array" ref="E1825">choice(Groupes!A:A,1,Settings!$B$16)</f>
        <v>G23</v>
      </c>
      <c r="F1825" s="6" t="str">
        <f t="shared" si="114"/>
        <v>G23</v>
      </c>
      <c r="G1825" s="6" t="str">
        <f t="shared" si="115"/>
        <v>Prof9</v>
      </c>
      <c r="H1825" s="6" t="str" cm="1">
        <f t="array" ref="H1825">choice(Referentiel!A:A,1,Settings!$B$16)</f>
        <v>Gr REFLECTIVE INTERACTION</v>
      </c>
      <c r="I1825" s="6" t="str" cm="1">
        <f t="array" ref="I1825">choice(Referentiel!B:B,1,Settings!$B$16)</f>
        <v>1ère Année Groupe 2 S2</v>
      </c>
      <c r="J1825" s="6" t="str" cm="1">
        <f t="array" ref="J1825">choice(Referentiel!D:D,1,Settings!$B$16)</f>
        <v>M1</v>
      </c>
      <c r="K1825" s="6" t="str" cm="1">
        <f t="array" ref="K1825">choice(Professeurs!B:B,1,Settings!$B$16)</f>
        <v>Prof9</v>
      </c>
      <c r="L1825" s="5" t="str" cm="1">
        <f t="array" ref="L1825">choice(Referentiel!C:C,1,Settings!$B$16)</f>
        <v/>
      </c>
      <c r="M1825" s="5" t="str" cm="1">
        <f t="array" ref="M1825">choice(Referentiel!E:E,1,Settings!$B$16)</f>
        <v>Salle7</v>
      </c>
      <c r="N1825" s="5" t="str" cm="1">
        <f t="array" ref="N1825">choice(Settings!K:K,1,Settings!$B$16)</f>
        <v>mercredi pm</v>
      </c>
      <c r="P1825" s="5">
        <f t="shared" si="116"/>
        <v>7</v>
      </c>
    </row>
    <row r="1826" spans="1:16" ht="15.75" customHeight="1" x14ac:dyDescent="0.25">
      <c r="A1826" s="6" t="s">
        <v>2178</v>
      </c>
      <c r="B1826" s="6" cm="1">
        <f t="array" ref="B1826">alea_int(Settings!$B$10,1,Settings!$B$16)</f>
        <v>1</v>
      </c>
      <c r="C1826" s="8">
        <v>46023</v>
      </c>
      <c r="D1826" s="8">
        <f t="shared" si="113"/>
        <v>46387</v>
      </c>
      <c r="E1826" s="6" t="str" cm="1">
        <f t="array" ref="E1826">choice(Groupes!A:A,1,Settings!$B$16)</f>
        <v>G19</v>
      </c>
      <c r="F1826" s="6" t="str">
        <f t="shared" si="114"/>
        <v>G19</v>
      </c>
      <c r="G1826" s="6" t="str">
        <f t="shared" si="115"/>
        <v>Prof12</v>
      </c>
      <c r="H1826" s="6" t="str" cm="1">
        <f t="array" ref="H1826">choice(Referentiel!A:A,1,Settings!$B$16)</f>
        <v>Art-Espace</v>
      </c>
      <c r="I1826" s="6" t="str" cm="1">
        <f t="array" ref="I1826">choice(Referentiel!B:B,1,Settings!$B$16)</f>
        <v>4ème année Design Objet S1</v>
      </c>
      <c r="J1826" s="6" t="str" cm="1">
        <f t="array" ref="J1826">choice(Referentiel!D:D,1,Settings!$B$16)</f>
        <v>L2</v>
      </c>
      <c r="K1826" s="6" t="str" cm="1">
        <f t="array" ref="K1826">choice(Professeurs!B:B,1,Settings!$B$16)</f>
        <v>Prof12</v>
      </c>
      <c r="L1826" s="5" t="str" cm="1">
        <f t="array" ref="L1826">choice(Referentiel!C:C,1,Settings!$B$16)</f>
        <v/>
      </c>
      <c r="M1826" s="5" t="str" cm="1">
        <f t="array" ref="M1826">choice(Referentiel!E:E,1,Settings!$B$16)</f>
        <v>Salle9</v>
      </c>
      <c r="N1826" s="5" t="str" cm="1">
        <f t="array" ref="N1826">choice(Settings!K:K,1,Settings!$B$16)</f>
        <v>mercredi pm</v>
      </c>
      <c r="P1826" s="5">
        <f t="shared" si="116"/>
        <v>5</v>
      </c>
    </row>
    <row r="1827" spans="1:16" ht="15.75" customHeight="1" x14ac:dyDescent="0.25">
      <c r="A1827" s="6" t="s">
        <v>2179</v>
      </c>
      <c r="B1827" s="6" cm="1">
        <f t="array" ref="B1827">alea_int(Settings!$B$10,1,Settings!$B$16)</f>
        <v>2</v>
      </c>
      <c r="C1827" s="8">
        <v>46023</v>
      </c>
      <c r="D1827" s="8">
        <f t="shared" si="113"/>
        <v>46387</v>
      </c>
      <c r="E1827" s="6" t="str" cm="1">
        <f t="array" ref="E1827">choice(Groupes!A:A,1,Settings!$B$16)</f>
        <v>G29</v>
      </c>
      <c r="F1827" s="6" t="str">
        <f t="shared" si="114"/>
        <v>G29</v>
      </c>
      <c r="G1827" s="6" t="str">
        <f t="shared" si="115"/>
        <v>Prof21</v>
      </c>
      <c r="H1827" s="6" t="str" cm="1">
        <f t="array" ref="H1827">choice(Referentiel!A:A,1,Settings!$B$16)</f>
        <v>1ère année Groupe 2</v>
      </c>
      <c r="I1827" s="6" t="str" cm="1">
        <f t="array" ref="I1827">choice(Referentiel!B:B,1,Settings!$B$16)</f>
        <v>2ème année Scénographie S1</v>
      </c>
      <c r="J1827" s="6" t="str" cm="1">
        <f t="array" ref="J1827">choice(Referentiel!D:D,1,Settings!$B$16)</f>
        <v>L3</v>
      </c>
      <c r="K1827" s="6" t="str" cm="1">
        <f t="array" ref="K1827">choice(Professeurs!B:B,1,Settings!$B$16)</f>
        <v>Prof21</v>
      </c>
      <c r="L1827" s="5" t="str" cm="1">
        <f t="array" ref="L1827">choice(Referentiel!C:C,1,Settings!$B$16)</f>
        <v/>
      </c>
      <c r="M1827" s="5" t="str" cm="1">
        <f t="array" ref="M1827">choice(Referentiel!E:E,1,Settings!$B$16)</f>
        <v/>
      </c>
      <c r="N1827" s="5" t="str" cm="1">
        <f t="array" ref="N1827">choice(Settings!K:K,1,Settings!$B$16)</f>
        <v/>
      </c>
      <c r="P1827" s="5">
        <f t="shared" si="116"/>
        <v>2</v>
      </c>
    </row>
    <row r="1828" spans="1:16" ht="15.75" customHeight="1" x14ac:dyDescent="0.25">
      <c r="A1828" s="6" t="s">
        <v>2180</v>
      </c>
      <c r="B1828" s="6" cm="1">
        <f t="array" ref="B1828">alea_int(Settings!$B$10,1,Settings!$B$16)</f>
        <v>2</v>
      </c>
      <c r="C1828" s="8">
        <v>46023</v>
      </c>
      <c r="D1828" s="8">
        <f t="shared" si="113"/>
        <v>46387</v>
      </c>
      <c r="E1828" s="6" t="str" cm="1">
        <f t="array" ref="E1828">choice(Groupes!A:A,1,Settings!$B$16)</f>
        <v>G7</v>
      </c>
      <c r="F1828" s="6" t="str">
        <f t="shared" si="114"/>
        <v>G7</v>
      </c>
      <c r="G1828" s="6" t="str">
        <f t="shared" si="115"/>
        <v>Prof45</v>
      </c>
      <c r="H1828" s="6" t="str" cm="1">
        <f t="array" ref="H1828">choice(Referentiel!A:A,1,Settings!$B$16)</f>
        <v>6ème année atelier</v>
      </c>
      <c r="I1828" s="6" t="str" cm="1">
        <f t="array" ref="I1828">choice(Referentiel!B:B,1,Settings!$B$16)</f>
        <v>4ème année Design Vêtement S2</v>
      </c>
      <c r="J1828" s="6" t="str" cm="1">
        <f t="array" ref="J1828">choice(Referentiel!D:D,1,Settings!$B$16)</f>
        <v>L2</v>
      </c>
      <c r="K1828" s="6" t="str" cm="1">
        <f t="array" ref="K1828">choice(Professeurs!B:B,1,Settings!$B$16)</f>
        <v>Prof45</v>
      </c>
      <c r="L1828" s="5" t="str" cm="1">
        <f t="array" ref="L1828">choice(Referentiel!C:C,1,Settings!$B$16)</f>
        <v/>
      </c>
      <c r="M1828" s="5" t="str" cm="1">
        <f t="array" ref="M1828">choice(Referentiel!E:E,1,Settings!$B$16)</f>
        <v/>
      </c>
      <c r="N1828" s="5" t="str" cm="1">
        <f t="array" ref="N1828">choice(Settings!K:K,1,Settings!$B$16)</f>
        <v/>
      </c>
      <c r="P1828" s="5">
        <f t="shared" si="116"/>
        <v>2</v>
      </c>
    </row>
    <row r="1829" spans="1:16" ht="15.75" customHeight="1" x14ac:dyDescent="0.25">
      <c r="A1829" s="6" t="s">
        <v>2181</v>
      </c>
      <c r="B1829" s="6" cm="1">
        <f t="array" ref="B1829">alea_int(Settings!$B$10,1,Settings!$B$16)</f>
        <v>3</v>
      </c>
      <c r="C1829" s="8">
        <v>46023</v>
      </c>
      <c r="D1829" s="8">
        <f t="shared" si="113"/>
        <v>46387</v>
      </c>
      <c r="E1829" s="6" t="str" cm="1">
        <f t="array" ref="E1829">choice(Groupes!A:A,1,Settings!$B$16)</f>
        <v>G26</v>
      </c>
      <c r="F1829" s="6" t="str">
        <f t="shared" si="114"/>
        <v>G26</v>
      </c>
      <c r="G1829" s="6" t="str">
        <f t="shared" si="115"/>
        <v>Prof14</v>
      </c>
      <c r="H1829" s="6" t="str" cm="1">
        <f t="array" ref="H1829">choice(Referentiel!A:A,1,Settings!$B$16)</f>
        <v>Design des mondes forestiers</v>
      </c>
      <c r="I1829" s="6" t="str" cm="1">
        <f t="array" ref="I1829">choice(Referentiel!B:B,1,Settings!$B$16)</f>
        <v>4ème année Cinéma d'Animation S1</v>
      </c>
      <c r="J1829" s="6" t="str" cm="1">
        <f t="array" ref="J1829">choice(Referentiel!D:D,1,Settings!$B$16)</f>
        <v>L1</v>
      </c>
      <c r="K1829" s="6" t="str" cm="1">
        <f t="array" ref="K1829">choice(Professeurs!B:B,1,Settings!$B$16)</f>
        <v>Prof14</v>
      </c>
      <c r="L1829" s="5" t="str" cm="1">
        <f t="array" ref="L1829">choice(Referentiel!C:C,1,Settings!$B$16)</f>
        <v/>
      </c>
      <c r="M1829" s="5" t="str" cm="1">
        <f t="array" ref="M1829">choice(Referentiel!E:E,1,Settings!$B$16)</f>
        <v/>
      </c>
      <c r="N1829" s="5" t="str" cm="1">
        <f t="array" ref="N1829">choice(Settings!K:K,1,Settings!$B$16)</f>
        <v/>
      </c>
      <c r="P1829" s="5">
        <f t="shared" si="116"/>
        <v>3</v>
      </c>
    </row>
    <row r="1830" spans="1:16" ht="15.75" customHeight="1" x14ac:dyDescent="0.25">
      <c r="A1830" s="6" t="s">
        <v>2182</v>
      </c>
      <c r="B1830" s="6" cm="1">
        <f t="array" ref="B1830">alea_int(Settings!$B$10,1,Settings!$B$16)</f>
        <v>1</v>
      </c>
      <c r="C1830" s="8">
        <v>46023</v>
      </c>
      <c r="D1830" s="8">
        <f t="shared" si="113"/>
        <v>46387</v>
      </c>
      <c r="E1830" s="6" t="str" cm="1">
        <f t="array" ref="E1830">choice(Groupes!A:A,1,Settings!$B$16)</f>
        <v>G11</v>
      </c>
      <c r="F1830" s="6" t="str">
        <f t="shared" si="114"/>
        <v>G11</v>
      </c>
      <c r="G1830" s="6" t="str">
        <f t="shared" si="115"/>
        <v>Prof19</v>
      </c>
      <c r="H1830" s="6" t="str" cm="1">
        <f t="array" ref="H1830">choice(Referentiel!A:A,1,Settings!$B$16)</f>
        <v>Design des mondes urbains</v>
      </c>
      <c r="I1830" s="6" t="str" cm="1">
        <f t="array" ref="I1830">choice(Referentiel!B:B,1,Settings!$B$16)</f>
        <v>2ème année Design Textile et Matière S2</v>
      </c>
      <c r="J1830" s="6" t="str" cm="1">
        <f t="array" ref="J1830">choice(Referentiel!D:D,1,Settings!$B$16)</f>
        <v>L1</v>
      </c>
      <c r="K1830" s="6" t="str" cm="1">
        <f t="array" ref="K1830">choice(Professeurs!B:B,1,Settings!$B$16)</f>
        <v>Prof19</v>
      </c>
      <c r="L1830" s="5" t="str" cm="1">
        <f t="array" ref="L1830">choice(Referentiel!C:C,1,Settings!$B$16)</f>
        <v/>
      </c>
      <c r="M1830" s="5" t="str" cm="1">
        <f t="array" ref="M1830">choice(Referentiel!E:E,1,Settings!$B$16)</f>
        <v/>
      </c>
      <c r="N1830" s="5" t="str" cm="1">
        <f t="array" ref="N1830">choice(Settings!K:K,1,Settings!$B$16)</f>
        <v/>
      </c>
      <c r="P1830" s="5">
        <f t="shared" si="116"/>
        <v>1</v>
      </c>
    </row>
    <row r="1831" spans="1:16" ht="15.75" customHeight="1" x14ac:dyDescent="0.25">
      <c r="A1831" s="6" t="s">
        <v>2183</v>
      </c>
      <c r="B1831" s="6" cm="1">
        <f t="array" ref="B1831">alea_int(Settings!$B$10,1,Settings!$B$16)</f>
        <v>2</v>
      </c>
      <c r="C1831" s="8">
        <v>46023</v>
      </c>
      <c r="D1831" s="8">
        <f t="shared" si="113"/>
        <v>46387</v>
      </c>
      <c r="E1831" s="6" t="str" cm="1">
        <f t="array" ref="E1831">choice(Groupes!A:A,1,Settings!$B$16)</f>
        <v>G21</v>
      </c>
      <c r="F1831" s="6" t="str">
        <f t="shared" si="114"/>
        <v>G21</v>
      </c>
      <c r="G1831" s="6" t="str">
        <f t="shared" si="115"/>
        <v>Prof34</v>
      </c>
      <c r="H1831" s="6" t="str" cm="1">
        <f t="array" ref="H1831">choice(Referentiel!A:A,1,Settings!$B$16)</f>
        <v>Design Textile et Matière</v>
      </c>
      <c r="I1831" s="6" t="str" cm="1">
        <f t="array" ref="I1831">choice(Referentiel!B:B,1,Settings!$B$16)</f>
        <v>4ème année Scénographie S2</v>
      </c>
      <c r="J1831" s="6" t="str" cm="1">
        <f t="array" ref="J1831">choice(Referentiel!D:D,1,Settings!$B$16)</f>
        <v>L3</v>
      </c>
      <c r="K1831" s="6" t="str" cm="1">
        <f t="array" ref="K1831">choice(Professeurs!B:B,1,Settings!$B$16)</f>
        <v>Prof34</v>
      </c>
      <c r="L1831" s="5" t="str" cm="1">
        <f t="array" ref="L1831">choice(Referentiel!C:C,1,Settings!$B$16)</f>
        <v/>
      </c>
      <c r="M1831" s="5" t="str" cm="1">
        <f t="array" ref="M1831">choice(Referentiel!E:E,1,Settings!$B$16)</f>
        <v/>
      </c>
      <c r="N1831" s="5" t="str" cm="1">
        <f t="array" ref="N1831">choice(Settings!K:K,1,Settings!$B$16)</f>
        <v/>
      </c>
      <c r="P1831" s="5">
        <f t="shared" si="116"/>
        <v>2</v>
      </c>
    </row>
    <row r="1832" spans="1:16" ht="15.75" customHeight="1" x14ac:dyDescent="0.25">
      <c r="A1832" s="6" t="s">
        <v>2184</v>
      </c>
      <c r="B1832" s="6" cm="1">
        <f t="array" ref="B1832">alea_int(Settings!$B$10,1,Settings!$B$16)</f>
        <v>1</v>
      </c>
      <c r="C1832" s="8">
        <v>46023</v>
      </c>
      <c r="D1832" s="8">
        <f t="shared" si="113"/>
        <v>46387</v>
      </c>
      <c r="E1832" s="6" t="str" cm="1">
        <f t="array" ref="E1832">choice(Groupes!A:A,1,Settings!$B$16)</f>
        <v>G15</v>
      </c>
      <c r="F1832" s="6" t="str">
        <f t="shared" si="114"/>
        <v>G15</v>
      </c>
      <c r="G1832" s="6" t="str">
        <f t="shared" si="115"/>
        <v>Prof23</v>
      </c>
      <c r="H1832" s="6" t="str" cm="1">
        <f t="array" ref="H1832">choice(Referentiel!A:A,1,Settings!$B$16)</f>
        <v>Design des mondes montagneux</v>
      </c>
      <c r="I1832" s="6" t="str" cm="1">
        <f t="array" ref="I1832">choice(Referentiel!B:B,1,Settings!$B$16)</f>
        <v>2ème année Design Vêtement S1</v>
      </c>
      <c r="J1832" s="6" t="str" cm="1">
        <f t="array" ref="J1832">choice(Referentiel!D:D,1,Settings!$B$16)</f>
        <v>M2</v>
      </c>
      <c r="K1832" s="6" t="str" cm="1">
        <f t="array" ref="K1832">choice(Professeurs!B:B,1,Settings!$B$16)</f>
        <v>Prof23</v>
      </c>
      <c r="L1832" s="5" t="str" cm="1">
        <f t="array" ref="L1832">choice(Referentiel!C:C,1,Settings!$B$16)</f>
        <v/>
      </c>
      <c r="M1832" s="5" t="str" cm="1">
        <f t="array" ref="M1832">choice(Referentiel!E:E,1,Settings!$B$16)</f>
        <v/>
      </c>
      <c r="N1832" s="5" t="str" cm="1">
        <f t="array" ref="N1832">choice(Settings!K:K,1,Settings!$B$16)</f>
        <v>mardi am</v>
      </c>
      <c r="P1832" s="5">
        <f t="shared" si="116"/>
        <v>3</v>
      </c>
    </row>
    <row r="1833" spans="1:16" ht="15.75" customHeight="1" x14ac:dyDescent="0.25">
      <c r="A1833" s="6" t="s">
        <v>2185</v>
      </c>
      <c r="B1833" s="6" cm="1">
        <f t="array" ref="B1833">alea_int(Settings!$B$10,1,Settings!$B$16)</f>
        <v>3</v>
      </c>
      <c r="C1833" s="8">
        <v>46023</v>
      </c>
      <c r="D1833" s="8">
        <f t="shared" si="113"/>
        <v>46387</v>
      </c>
      <c r="E1833" s="6" t="str" cm="1">
        <f t="array" ref="E1833">choice(Groupes!A:A,1,Settings!$B$16)</f>
        <v>G23</v>
      </c>
      <c r="F1833" s="6" t="str">
        <f t="shared" si="114"/>
        <v>G23</v>
      </c>
      <c r="G1833" s="6" t="str">
        <f t="shared" si="115"/>
        <v>Prof3</v>
      </c>
      <c r="H1833" s="6" t="str" cm="1">
        <f t="array" ref="H1833">choice(Referentiel!A:A,1,Settings!$B$16)</f>
        <v>Gr REFLECTIVE INTERACTION</v>
      </c>
      <c r="I1833" s="6" t="str" cm="1">
        <f t="array" ref="I1833">choice(Referentiel!B:B,1,Settings!$B$16)</f>
        <v>4ème année Design Vêtement S2</v>
      </c>
      <c r="J1833" s="6" t="str" cm="1">
        <f t="array" ref="J1833">choice(Referentiel!D:D,1,Settings!$B$16)</f>
        <v>L3</v>
      </c>
      <c r="K1833" s="6" t="str" cm="1">
        <f t="array" ref="K1833">choice(Professeurs!B:B,1,Settings!$B$16)</f>
        <v>Prof3</v>
      </c>
      <c r="L1833" s="5" t="str" cm="1">
        <f t="array" ref="L1833">choice(Referentiel!C:C,1,Settings!$B$16)</f>
        <v/>
      </c>
      <c r="M1833" s="5" t="str" cm="1">
        <f t="array" ref="M1833">choice(Referentiel!E:E,1,Settings!$B$16)</f>
        <v/>
      </c>
      <c r="N1833" s="5" t="str" cm="1">
        <f t="array" ref="N1833">choice(Settings!K:K,1,Settings!$B$16)</f>
        <v>jeudi pm</v>
      </c>
      <c r="P1833" s="5">
        <f t="shared" si="116"/>
        <v>5</v>
      </c>
    </row>
    <row r="1834" spans="1:16" ht="15.75" customHeight="1" x14ac:dyDescent="0.25">
      <c r="A1834" s="6" t="s">
        <v>2186</v>
      </c>
      <c r="B1834" s="6" cm="1">
        <f t="array" ref="B1834">alea_int(Settings!$B$10,1,Settings!$B$16)</f>
        <v>1</v>
      </c>
      <c r="C1834" s="8">
        <v>46023</v>
      </c>
      <c r="D1834" s="8">
        <f t="shared" si="113"/>
        <v>46387</v>
      </c>
      <c r="E1834" s="6" t="str" cm="1">
        <f t="array" ref="E1834">choice(Groupes!A:A,1,Settings!$B$16)</f>
        <v>G21</v>
      </c>
      <c r="F1834" s="6" t="str">
        <f t="shared" si="114"/>
        <v>G21</v>
      </c>
      <c r="G1834" s="6" t="str">
        <f t="shared" si="115"/>
        <v>Prof36</v>
      </c>
      <c r="H1834" s="6" t="str" cm="1">
        <f t="array" ref="H1834">choice(Referentiel!A:A,1,Settings!$B$16)</f>
        <v>Design Objet</v>
      </c>
      <c r="I1834" s="6" t="str" cm="1">
        <f t="array" ref="I1834">choice(Referentiel!B:B,1,Settings!$B$16)</f>
        <v>2ème année Image Imprimée S1</v>
      </c>
      <c r="J1834" s="6" t="str" cm="1">
        <f t="array" ref="J1834">choice(Referentiel!D:D,1,Settings!$B$16)</f>
        <v>M2</v>
      </c>
      <c r="K1834" s="6" t="str" cm="1">
        <f t="array" ref="K1834">choice(Professeurs!B:B,1,Settings!$B$16)</f>
        <v>Prof36</v>
      </c>
      <c r="L1834" s="5" t="str" cm="1">
        <f t="array" ref="L1834">choice(Referentiel!C:C,1,Settings!$B$16)</f>
        <v/>
      </c>
      <c r="M1834" s="5" t="str" cm="1">
        <f t="array" ref="M1834">choice(Referentiel!E:E,1,Settings!$B$16)</f>
        <v/>
      </c>
      <c r="N1834" s="5" t="str" cm="1">
        <f t="array" ref="N1834">choice(Settings!K:K,1,Settings!$B$16)</f>
        <v>mercredi ap</v>
      </c>
      <c r="P1834" s="5">
        <f t="shared" si="116"/>
        <v>3</v>
      </c>
    </row>
    <row r="1835" spans="1:16" ht="15.75" customHeight="1" x14ac:dyDescent="0.25">
      <c r="A1835" s="6" t="s">
        <v>2187</v>
      </c>
      <c r="B1835" s="6" cm="1">
        <f t="array" ref="B1835">alea_int(Settings!$B$10,1,Settings!$B$16)</f>
        <v>3</v>
      </c>
      <c r="C1835" s="8">
        <v>46023</v>
      </c>
      <c r="D1835" s="8">
        <f t="shared" si="113"/>
        <v>46387</v>
      </c>
      <c r="E1835" s="6" t="str" cm="1">
        <f t="array" ref="E1835">choice(Groupes!A:A,1,Settings!$B$16)</f>
        <v>G3</v>
      </c>
      <c r="F1835" s="6" t="str">
        <f t="shared" si="114"/>
        <v>G3</v>
      </c>
      <c r="G1835" s="6" t="str">
        <f t="shared" si="115"/>
        <v>Prof24</v>
      </c>
      <c r="H1835" s="6" t="str" cm="1">
        <f t="array" ref="H1835">choice(Referentiel!A:A,1,Settings!$B$16)</f>
        <v>Design Graphique</v>
      </c>
      <c r="I1835" s="6" t="str" cm="1">
        <f t="array" ref="I1835">choice(Referentiel!B:B,1,Settings!$B$16)</f>
        <v>5ème année Design Textile et Matière S2</v>
      </c>
      <c r="J1835" s="6" t="str" cm="1">
        <f t="array" ref="J1835">choice(Referentiel!D:D,1,Settings!$B$16)</f>
        <v>M2</v>
      </c>
      <c r="K1835" s="6" t="str" cm="1">
        <f t="array" ref="K1835">choice(Professeurs!B:B,1,Settings!$B$16)</f>
        <v>Prof24</v>
      </c>
      <c r="L1835" s="5" t="str" cm="1">
        <f t="array" ref="L1835">choice(Referentiel!C:C,1,Settings!$B$16)</f>
        <v/>
      </c>
      <c r="M1835" s="5" t="str" cm="1">
        <f t="array" ref="M1835">choice(Referentiel!E:E,1,Settings!$B$16)</f>
        <v/>
      </c>
      <c r="N1835" s="5" t="str" cm="1">
        <f t="array" ref="N1835">choice(Settings!K:K,1,Settings!$B$16)</f>
        <v/>
      </c>
      <c r="P1835" s="5">
        <f t="shared" si="116"/>
        <v>3</v>
      </c>
    </row>
    <row r="1836" spans="1:16" ht="15.75" customHeight="1" x14ac:dyDescent="0.25">
      <c r="A1836" s="6" t="s">
        <v>2188</v>
      </c>
      <c r="B1836" s="6" cm="1">
        <f t="array" ref="B1836">alea_int(Settings!$B$10,1,Settings!$B$16)</f>
        <v>2</v>
      </c>
      <c r="C1836" s="8">
        <v>46023</v>
      </c>
      <c r="D1836" s="8">
        <f t="shared" si="113"/>
        <v>46387</v>
      </c>
      <c r="E1836" s="6" t="str" cm="1">
        <f t="array" ref="E1836">choice(Groupes!A:A,1,Settings!$B$16)</f>
        <v>G9</v>
      </c>
      <c r="F1836" s="6" t="str">
        <f t="shared" si="114"/>
        <v>G9</v>
      </c>
      <c r="G1836" s="6" t="str">
        <f t="shared" si="115"/>
        <v>Prof11</v>
      </c>
      <c r="H1836" s="6" t="str" cm="1">
        <f t="array" ref="H1836">choice(Referentiel!A:A,1,Settings!$B$16)</f>
        <v>Gr SPATIAL MEDIA</v>
      </c>
      <c r="I1836" s="6" t="str" cm="1">
        <f t="array" ref="I1836">choice(Referentiel!B:B,1,Settings!$B$16)</f>
        <v>5ème année Design Graphique S1</v>
      </c>
      <c r="J1836" s="6" t="str" cm="1">
        <f t="array" ref="J1836">choice(Referentiel!D:D,1,Settings!$B$16)</f>
        <v>M2</v>
      </c>
      <c r="K1836" s="6" t="str" cm="1">
        <f t="array" ref="K1836">choice(Professeurs!B:B,1,Settings!$B$16)</f>
        <v>Prof11</v>
      </c>
      <c r="L1836" s="5" t="str" cm="1">
        <f t="array" ref="L1836">choice(Referentiel!C:C,1,Settings!$B$16)</f>
        <v/>
      </c>
      <c r="M1836" s="5" t="str" cm="1">
        <f t="array" ref="M1836">choice(Referentiel!E:E,1,Settings!$B$16)</f>
        <v/>
      </c>
      <c r="N1836" s="5" t="str" cm="1">
        <f t="array" ref="N1836">choice(Settings!K:K,1,Settings!$B$16)</f>
        <v/>
      </c>
      <c r="P1836" s="5">
        <f t="shared" si="116"/>
        <v>2</v>
      </c>
    </row>
    <row r="1837" spans="1:16" ht="15.75" customHeight="1" x14ac:dyDescent="0.25">
      <c r="A1837" s="6" t="s">
        <v>2189</v>
      </c>
      <c r="B1837" s="6" cm="1">
        <f t="array" ref="B1837">alea_int(Settings!$B$10,1,Settings!$B$16)</f>
        <v>3</v>
      </c>
      <c r="C1837" s="8">
        <v>46023</v>
      </c>
      <c r="D1837" s="8">
        <f t="shared" si="113"/>
        <v>46387</v>
      </c>
      <c r="E1837" s="6" t="str" cm="1">
        <f t="array" ref="E1837">choice(Groupes!A:A,1,Settings!$B$16)</f>
        <v>G23</v>
      </c>
      <c r="F1837" s="6" t="str">
        <f t="shared" si="114"/>
        <v>G23</v>
      </c>
      <c r="G1837" s="6" t="str">
        <f t="shared" si="115"/>
        <v>Prof42</v>
      </c>
      <c r="H1837" s="6" t="str" cm="1">
        <f t="array" ref="H1837">choice(Referentiel!A:A,1,Settings!$B$16)</f>
        <v>6ème année atelier</v>
      </c>
      <c r="I1837" s="6" t="str" cm="1">
        <f t="array" ref="I1837">choice(Referentiel!B:B,1,Settings!$B$16)</f>
        <v>2ème année Design Textile et Matière S2</v>
      </c>
      <c r="J1837" s="6" t="str" cm="1">
        <f t="array" ref="J1837">choice(Referentiel!D:D,1,Settings!$B$16)</f>
        <v>M2</v>
      </c>
      <c r="K1837" s="6" t="str" cm="1">
        <f t="array" ref="K1837">choice(Professeurs!B:B,1,Settings!$B$16)</f>
        <v>Prof42</v>
      </c>
      <c r="L1837" s="5" t="str" cm="1">
        <f t="array" ref="L1837">choice(Referentiel!C:C,1,Settings!$B$16)</f>
        <v/>
      </c>
      <c r="M1837" s="5" t="str" cm="1">
        <f t="array" ref="M1837">choice(Referentiel!E:E,1,Settings!$B$16)</f>
        <v/>
      </c>
      <c r="N1837" s="5" t="str" cm="1">
        <f t="array" ref="N1837">choice(Settings!K:K,1,Settings!$B$16)</f>
        <v/>
      </c>
      <c r="P1837" s="5">
        <f t="shared" si="116"/>
        <v>3</v>
      </c>
    </row>
    <row r="1838" spans="1:16" ht="15.75" customHeight="1" x14ac:dyDescent="0.25">
      <c r="A1838" s="6" t="s">
        <v>2190</v>
      </c>
      <c r="B1838" s="6" cm="1">
        <f t="array" ref="B1838">alea_int(Settings!$B$10,1,Settings!$B$16)</f>
        <v>1</v>
      </c>
      <c r="C1838" s="8">
        <v>46023</v>
      </c>
      <c r="D1838" s="8">
        <f t="shared" si="113"/>
        <v>46387</v>
      </c>
      <c r="E1838" s="6" t="str" cm="1">
        <f t="array" ref="E1838">choice(Groupes!A:A,1,Settings!$B$16)</f>
        <v>G1</v>
      </c>
      <c r="F1838" s="6" t="str">
        <f t="shared" si="114"/>
        <v>G1</v>
      </c>
      <c r="G1838" s="6" t="str">
        <f t="shared" si="115"/>
        <v>Prof17</v>
      </c>
      <c r="H1838" s="6" t="str" cm="1">
        <f t="array" ref="H1838">choice(Referentiel!A:A,1,Settings!$B$16)</f>
        <v>1ère année Groupe 3</v>
      </c>
      <c r="I1838" s="6" t="str" cm="1">
        <f t="array" ref="I1838">choice(Referentiel!B:B,1,Settings!$B$16)</f>
        <v>2ème année Design Objet S1</v>
      </c>
      <c r="J1838" s="6" t="str" cm="1">
        <f t="array" ref="J1838">choice(Referentiel!D:D,1,Settings!$B$16)</f>
        <v>M2</v>
      </c>
      <c r="K1838" s="6" t="str" cm="1">
        <f t="array" ref="K1838">choice(Professeurs!B:B,1,Settings!$B$16)</f>
        <v>Prof17</v>
      </c>
      <c r="L1838" s="5" t="str" cm="1">
        <f t="array" ref="L1838">choice(Referentiel!C:C,1,Settings!$B$16)</f>
        <v/>
      </c>
      <c r="M1838" s="5" t="str" cm="1">
        <f t="array" ref="M1838">choice(Referentiel!E:E,1,Settings!$B$16)</f>
        <v/>
      </c>
      <c r="N1838" s="5" t="str" cm="1">
        <f t="array" ref="N1838">choice(Settings!K:K,1,Settings!$B$16)</f>
        <v>jeudi am</v>
      </c>
      <c r="P1838" s="5">
        <f t="shared" si="116"/>
        <v>3</v>
      </c>
    </row>
    <row r="1839" spans="1:16" ht="15.75" customHeight="1" x14ac:dyDescent="0.25">
      <c r="A1839" s="6" t="s">
        <v>2191</v>
      </c>
      <c r="B1839" s="6" cm="1">
        <f t="array" ref="B1839">alea_int(Settings!$B$10,1,Settings!$B$16)</f>
        <v>3</v>
      </c>
      <c r="C1839" s="8">
        <v>46023</v>
      </c>
      <c r="D1839" s="8">
        <f t="shared" si="113"/>
        <v>46387</v>
      </c>
      <c r="E1839" s="6" t="str" cm="1">
        <f t="array" ref="E1839">choice(Groupes!A:A,1,Settings!$B$16)</f>
        <v>G11</v>
      </c>
      <c r="F1839" s="6" t="str">
        <f t="shared" si="114"/>
        <v>G11</v>
      </c>
      <c r="G1839" s="6" t="str">
        <f t="shared" si="115"/>
        <v>Prof12</v>
      </c>
      <c r="H1839" s="6" t="str" cm="1">
        <f t="array" ref="H1839">choice(Referentiel!A:A,1,Settings!$B$16)</f>
        <v>Design des mondes insulaires</v>
      </c>
      <c r="I1839" s="6" t="str" cm="1">
        <f t="array" ref="I1839">choice(Referentiel!B:B,1,Settings!$B$16)</f>
        <v>3ème année Image Imprimée S2</v>
      </c>
      <c r="J1839" s="6" t="str" cm="1">
        <f t="array" ref="J1839">choice(Referentiel!D:D,1,Settings!$B$16)</f>
        <v>L3</v>
      </c>
      <c r="K1839" s="6" t="str" cm="1">
        <f t="array" ref="K1839">choice(Professeurs!B:B,1,Settings!$B$16)</f>
        <v>Prof12</v>
      </c>
      <c r="L1839" s="5" t="str" cm="1">
        <f t="array" ref="L1839">choice(Referentiel!C:C,1,Settings!$B$16)</f>
        <v/>
      </c>
      <c r="M1839" s="5" t="str" cm="1">
        <f t="array" ref="M1839">choice(Referentiel!E:E,1,Settings!$B$16)</f>
        <v/>
      </c>
      <c r="N1839" s="5" t="str" cm="1">
        <f t="array" ref="N1839">choice(Settings!K:K,1,Settings!$B$16)</f>
        <v/>
      </c>
      <c r="P1839" s="5">
        <f t="shared" si="116"/>
        <v>3</v>
      </c>
    </row>
    <row r="1840" spans="1:16" ht="15.75" customHeight="1" x14ac:dyDescent="0.25">
      <c r="A1840" s="6" t="s">
        <v>2192</v>
      </c>
      <c r="B1840" s="6" cm="1">
        <f t="array" ref="B1840">alea_int(Settings!$B$10,1,Settings!$B$16)</f>
        <v>3</v>
      </c>
      <c r="C1840" s="8">
        <v>46023</v>
      </c>
      <c r="D1840" s="8">
        <f t="shared" si="113"/>
        <v>46387</v>
      </c>
      <c r="E1840" s="6" t="str" cm="1">
        <f t="array" ref="E1840">choice(Groupes!A:A,1,Settings!$B$16)</f>
        <v>G11</v>
      </c>
      <c r="F1840" s="6" t="str">
        <f t="shared" si="114"/>
        <v>G11</v>
      </c>
      <c r="G1840" s="6" t="str">
        <f t="shared" si="115"/>
        <v>Prof21</v>
      </c>
      <c r="H1840" s="6" t="str" cm="1">
        <f t="array" ref="H1840">choice(Referentiel!A:A,1,Settings!$B$16)</f>
        <v>Design Graphique</v>
      </c>
      <c r="I1840" s="6" t="str" cm="1">
        <f t="array" ref="I1840">choice(Referentiel!B:B,1,Settings!$B$16)</f>
        <v>4ème année Scénographie S2</v>
      </c>
      <c r="J1840" s="6" t="str" cm="1">
        <f t="array" ref="J1840">choice(Referentiel!D:D,1,Settings!$B$16)</f>
        <v>M1</v>
      </c>
      <c r="K1840" s="6" t="str" cm="1">
        <f t="array" ref="K1840">choice(Professeurs!B:B,1,Settings!$B$16)</f>
        <v>Prof21</v>
      </c>
      <c r="L1840" s="5" t="str" cm="1">
        <f t="array" ref="L1840">choice(Referentiel!C:C,1,Settings!$B$16)</f>
        <v/>
      </c>
      <c r="M1840" s="5" t="str" cm="1">
        <f t="array" ref="M1840">choice(Referentiel!E:E,1,Settings!$B$16)</f>
        <v/>
      </c>
      <c r="N1840" s="5" t="str" cm="1">
        <f t="array" ref="N1840">choice(Settings!K:K,1,Settings!$B$16)</f>
        <v/>
      </c>
      <c r="P1840" s="5">
        <f t="shared" si="116"/>
        <v>3</v>
      </c>
    </row>
    <row r="1841" spans="1:16" ht="15.75" customHeight="1" x14ac:dyDescent="0.25">
      <c r="A1841" s="6" t="s">
        <v>2193</v>
      </c>
      <c r="B1841" s="6" cm="1">
        <f t="array" ref="B1841">alea_int(Settings!$B$10,1,Settings!$B$16)</f>
        <v>2</v>
      </c>
      <c r="C1841" s="8">
        <v>46023</v>
      </c>
      <c r="D1841" s="8">
        <f t="shared" si="113"/>
        <v>46387</v>
      </c>
      <c r="E1841" s="6" t="str" cm="1">
        <f t="array" ref="E1841">choice(Groupes!A:A,1,Settings!$B$16)</f>
        <v>G12</v>
      </c>
      <c r="F1841" s="6" t="str">
        <f t="shared" si="114"/>
        <v>G12</v>
      </c>
      <c r="G1841" s="6" t="str">
        <f t="shared" si="115"/>
        <v>Prof54</v>
      </c>
      <c r="H1841" s="6" t="str" cm="1">
        <f t="array" ref="H1841">choice(Referentiel!A:A,1,Settings!$B$16)</f>
        <v>Gr REFLECTIVE INTERACTION</v>
      </c>
      <c r="I1841" s="6" t="str" cm="1">
        <f t="array" ref="I1841">choice(Referentiel!B:B,1,Settings!$B$16)</f>
        <v>3ème année Design Graphique S1</v>
      </c>
      <c r="J1841" s="6" t="str" cm="1">
        <f t="array" ref="J1841">choice(Referentiel!D:D,1,Settings!$B$16)</f>
        <v>M2</v>
      </c>
      <c r="K1841" s="6" t="str" cm="1">
        <f t="array" ref="K1841">choice(Professeurs!B:B,1,Settings!$B$16)</f>
        <v>Prof54</v>
      </c>
      <c r="L1841" s="5" t="str" cm="1">
        <f t="array" ref="L1841">choice(Referentiel!C:C,1,Settings!$B$16)</f>
        <v/>
      </c>
      <c r="M1841" s="5" t="str" cm="1">
        <f t="array" ref="M1841">choice(Referentiel!E:E,1,Settings!$B$16)</f>
        <v/>
      </c>
      <c r="N1841" s="5" t="str" cm="1">
        <f t="array" ref="N1841">choice(Settings!K:K,1,Settings!$B$16)</f>
        <v>mardi pm</v>
      </c>
      <c r="P1841" s="5">
        <f t="shared" si="116"/>
        <v>4</v>
      </c>
    </row>
    <row r="1842" spans="1:16" ht="15.75" customHeight="1" x14ac:dyDescent="0.25">
      <c r="A1842" s="6" t="s">
        <v>2194</v>
      </c>
      <c r="B1842" s="6" cm="1">
        <f t="array" ref="B1842">alea_int(Settings!$B$10,1,Settings!$B$16)</f>
        <v>2</v>
      </c>
      <c r="C1842" s="8">
        <v>46023</v>
      </c>
      <c r="D1842" s="8">
        <f t="shared" si="113"/>
        <v>46387</v>
      </c>
      <c r="E1842" s="6" t="str" cm="1">
        <f t="array" ref="E1842">choice(Groupes!A:A,1,Settings!$B$16)</f>
        <v>G22</v>
      </c>
      <c r="F1842" s="6" t="str">
        <f t="shared" si="114"/>
        <v>G22</v>
      </c>
      <c r="G1842" s="6" t="str">
        <f t="shared" si="115"/>
        <v>Prof13</v>
      </c>
      <c r="H1842" s="6" t="str" cm="1">
        <f t="array" ref="H1842">choice(Referentiel!A:A,1,Settings!$B$16)</f>
        <v>Scénographie</v>
      </c>
      <c r="I1842" s="6" t="str" cm="1">
        <f t="array" ref="I1842">choice(Referentiel!B:B,1,Settings!$B$16)</f>
        <v>2ème année Design Textile et Matière S1</v>
      </c>
      <c r="J1842" s="6" t="str" cm="1">
        <f t="array" ref="J1842">choice(Referentiel!D:D,1,Settings!$B$16)</f>
        <v>M2</v>
      </c>
      <c r="K1842" s="6" t="str" cm="1">
        <f t="array" ref="K1842">choice(Professeurs!B:B,1,Settings!$B$16)</f>
        <v>Prof13</v>
      </c>
      <c r="L1842" s="5" t="str" cm="1">
        <f t="array" ref="L1842">choice(Referentiel!C:C,1,Settings!$B$16)</f>
        <v/>
      </c>
      <c r="M1842" s="5" t="str" cm="1">
        <f t="array" ref="M1842">choice(Referentiel!E:E,1,Settings!$B$16)</f>
        <v/>
      </c>
      <c r="N1842" s="5" t="str" cm="1">
        <f t="array" ref="N1842">choice(Settings!K:K,1,Settings!$B$16)</f>
        <v/>
      </c>
      <c r="P1842" s="5">
        <f t="shared" si="116"/>
        <v>2</v>
      </c>
    </row>
    <row r="1843" spans="1:16" ht="15.75" customHeight="1" x14ac:dyDescent="0.25">
      <c r="A1843" s="6" t="s">
        <v>2195</v>
      </c>
      <c r="B1843" s="6" cm="1">
        <f t="array" ref="B1843">alea_int(Settings!$B$10,1,Settings!$B$16)</f>
        <v>3</v>
      </c>
      <c r="C1843" s="8">
        <v>46023</v>
      </c>
      <c r="D1843" s="8">
        <f t="shared" si="113"/>
        <v>46387</v>
      </c>
      <c r="E1843" s="6" t="str" cm="1">
        <f t="array" ref="E1843">choice(Groupes!A:A,1,Settings!$B$16)</f>
        <v>G3</v>
      </c>
      <c r="F1843" s="6" t="str">
        <f t="shared" si="114"/>
        <v>G3</v>
      </c>
      <c r="G1843" s="6" t="str">
        <f t="shared" si="115"/>
        <v>Prof11</v>
      </c>
      <c r="H1843" s="6" t="str" cm="1">
        <f t="array" ref="H1843">choice(Referentiel!A:A,1,Settings!$B$16)</f>
        <v>Design des mondes insulaires</v>
      </c>
      <c r="I1843" s="6" t="str" cm="1">
        <f t="array" ref="I1843">choice(Referentiel!B:B,1,Settings!$B$16)</f>
        <v>3ème année Design Objet S1</v>
      </c>
      <c r="J1843" s="6" t="str" cm="1">
        <f t="array" ref="J1843">choice(Referentiel!D:D,1,Settings!$B$16)</f>
        <v>L1</v>
      </c>
      <c r="K1843" s="6" t="str" cm="1">
        <f t="array" ref="K1843">choice(Professeurs!B:B,1,Settings!$B$16)</f>
        <v>Prof11</v>
      </c>
      <c r="L1843" s="5" t="str" cm="1">
        <f t="array" ref="L1843">choice(Referentiel!C:C,1,Settings!$B$16)</f>
        <v/>
      </c>
      <c r="M1843" s="5" t="str" cm="1">
        <f t="array" ref="M1843">choice(Referentiel!E:E,1,Settings!$B$16)</f>
        <v/>
      </c>
      <c r="N1843" s="5" t="str" cm="1">
        <f t="array" ref="N1843">choice(Settings!K:K,1,Settings!$B$16)</f>
        <v/>
      </c>
      <c r="P1843" s="5">
        <f t="shared" si="116"/>
        <v>3</v>
      </c>
    </row>
    <row r="1844" spans="1:16" ht="15.75" customHeight="1" x14ac:dyDescent="0.25">
      <c r="A1844" s="6" t="s">
        <v>2196</v>
      </c>
      <c r="B1844" s="6" cm="1">
        <f t="array" ref="B1844">alea_int(Settings!$B$10,1,Settings!$B$16)</f>
        <v>3</v>
      </c>
      <c r="C1844" s="8">
        <v>46023</v>
      </c>
      <c r="D1844" s="8">
        <f t="shared" si="113"/>
        <v>46387</v>
      </c>
      <c r="E1844" s="6" t="str" cm="1">
        <f t="array" ref="E1844">choice(Groupes!A:A,1,Settings!$B$16)</f>
        <v>G6</v>
      </c>
      <c r="F1844" s="6" t="str">
        <f t="shared" si="114"/>
        <v>G6</v>
      </c>
      <c r="G1844" s="6" t="str">
        <f t="shared" si="115"/>
        <v>Prof18</v>
      </c>
      <c r="H1844" s="6" t="str" cm="1">
        <f t="array" ref="H1844">choice(Referentiel!A:A,1,Settings!$B$16)</f>
        <v>Cinéma d'Animation</v>
      </c>
      <c r="I1844" s="6" t="str" cm="1">
        <f t="array" ref="I1844">choice(Referentiel!B:B,1,Settings!$B$16)</f>
        <v>4ème année Image Imprimée S2</v>
      </c>
      <c r="J1844" s="6" t="str" cm="1">
        <f t="array" ref="J1844">choice(Referentiel!D:D,1,Settings!$B$16)</f>
        <v>L1</v>
      </c>
      <c r="K1844" s="6" t="str" cm="1">
        <f t="array" ref="K1844">choice(Professeurs!B:B,1,Settings!$B$16)</f>
        <v>Prof18</v>
      </c>
      <c r="L1844" s="5" t="str" cm="1">
        <f t="array" ref="L1844">choice(Referentiel!C:C,1,Settings!$B$16)</f>
        <v/>
      </c>
      <c r="M1844" s="5" t="str" cm="1">
        <f t="array" ref="M1844">choice(Referentiel!E:E,1,Settings!$B$16)</f>
        <v/>
      </c>
      <c r="N1844" s="5" t="str" cm="1">
        <f t="array" ref="N1844">choice(Settings!K:K,1,Settings!$B$16)</f>
        <v/>
      </c>
      <c r="P1844" s="5">
        <f t="shared" si="116"/>
        <v>3</v>
      </c>
    </row>
    <row r="1845" spans="1:16" ht="15.75" customHeight="1" x14ac:dyDescent="0.25">
      <c r="A1845" s="6" t="s">
        <v>2197</v>
      </c>
      <c r="B1845" s="6" cm="1">
        <f t="array" ref="B1845">alea_int(Settings!$B$10,1,Settings!$B$16)</f>
        <v>2</v>
      </c>
      <c r="C1845" s="8">
        <v>46023</v>
      </c>
      <c r="D1845" s="8">
        <f t="shared" si="113"/>
        <v>46387</v>
      </c>
      <c r="E1845" s="6" t="str" cm="1">
        <f t="array" ref="E1845">choice(Groupes!A:A,1,Settings!$B$16)</f>
        <v>G6</v>
      </c>
      <c r="F1845" s="6" t="str">
        <f t="shared" si="114"/>
        <v>G6</v>
      </c>
      <c r="G1845" s="6" t="str">
        <f t="shared" si="115"/>
        <v>Prof3</v>
      </c>
      <c r="H1845" s="6" t="str" cm="1">
        <f t="array" ref="H1845">choice(Referentiel!A:A,1,Settings!$B$16)</f>
        <v>Scénographie</v>
      </c>
      <c r="I1845" s="6" t="str" cm="1">
        <f t="array" ref="I1845">choice(Referentiel!B:B,1,Settings!$B$16)</f>
        <v>5ème année Architecture Intérieure S1</v>
      </c>
      <c r="J1845" s="6" t="str" cm="1">
        <f t="array" ref="J1845">choice(Referentiel!D:D,1,Settings!$B$16)</f>
        <v>M2</v>
      </c>
      <c r="K1845" s="6" t="str" cm="1">
        <f t="array" ref="K1845">choice(Professeurs!B:B,1,Settings!$B$16)</f>
        <v>Prof3</v>
      </c>
      <c r="L1845" s="5" t="str" cm="1">
        <f t="array" ref="L1845">choice(Referentiel!C:C,1,Settings!$B$16)</f>
        <v/>
      </c>
      <c r="M1845" s="5" t="str" cm="1">
        <f t="array" ref="M1845">choice(Referentiel!E:E,1,Settings!$B$16)</f>
        <v/>
      </c>
      <c r="N1845" s="5" t="str" cm="1">
        <f t="array" ref="N1845">choice(Settings!K:K,1,Settings!$B$16)</f>
        <v/>
      </c>
      <c r="P1845" s="5">
        <f t="shared" si="116"/>
        <v>2</v>
      </c>
    </row>
    <row r="1846" spans="1:16" ht="15.75" customHeight="1" x14ac:dyDescent="0.25">
      <c r="A1846" s="6" t="s">
        <v>2198</v>
      </c>
      <c r="B1846" s="6" cm="1">
        <f t="array" ref="B1846">alea_int(Settings!$B$10,1,Settings!$B$16)</f>
        <v>1</v>
      </c>
      <c r="C1846" s="8">
        <v>46023</v>
      </c>
      <c r="D1846" s="8">
        <f t="shared" si="113"/>
        <v>46387</v>
      </c>
      <c r="E1846" s="6" t="str" cm="1">
        <f t="array" ref="E1846">choice(Groupes!A:A,1,Settings!$B$16)</f>
        <v>G27</v>
      </c>
      <c r="F1846" s="6" t="str">
        <f t="shared" si="114"/>
        <v>G27</v>
      </c>
      <c r="G1846" s="6" t="str">
        <f t="shared" si="115"/>
        <v>Prof44</v>
      </c>
      <c r="H1846" s="6" t="str" cm="1">
        <f t="array" ref="H1846">choice(Referentiel!A:A,1,Settings!$B$16)</f>
        <v>Cinéma d'Animation</v>
      </c>
      <c r="I1846" s="6" t="str" cm="1">
        <f t="array" ref="I1846">choice(Referentiel!B:B,1,Settings!$B$16)</f>
        <v>1ère Année Groupe 4 S1</v>
      </c>
      <c r="J1846" s="6" t="str" cm="1">
        <f t="array" ref="J1846">choice(Referentiel!D:D,1,Settings!$B$16)</f>
        <v>L1</v>
      </c>
      <c r="K1846" s="6" t="str" cm="1">
        <f t="array" ref="K1846">choice(Professeurs!B:B,1,Settings!$B$16)</f>
        <v>Prof44</v>
      </c>
      <c r="L1846" s="5" t="str" cm="1">
        <f t="array" ref="L1846">choice(Referentiel!C:C,1,Settings!$B$16)</f>
        <v/>
      </c>
      <c r="M1846" s="5" t="str" cm="1">
        <f t="array" ref="M1846">choice(Referentiel!E:E,1,Settings!$B$16)</f>
        <v/>
      </c>
      <c r="N1846" s="5" t="str" cm="1">
        <f t="array" ref="N1846">choice(Settings!K:K,1,Settings!$B$16)</f>
        <v/>
      </c>
      <c r="P1846" s="5">
        <f t="shared" si="116"/>
        <v>1</v>
      </c>
    </row>
    <row r="1847" spans="1:16" ht="15.75" customHeight="1" x14ac:dyDescent="0.25">
      <c r="A1847" s="6" t="s">
        <v>2199</v>
      </c>
      <c r="B1847" s="6" cm="1">
        <f t="array" ref="B1847">alea_int(Settings!$B$10,1,Settings!$B$16)</f>
        <v>2</v>
      </c>
      <c r="C1847" s="8">
        <v>46023</v>
      </c>
      <c r="D1847" s="8">
        <f t="shared" si="113"/>
        <v>46387</v>
      </c>
      <c r="E1847" s="6" t="str" cm="1">
        <f t="array" ref="E1847">choice(Groupes!A:A,1,Settings!$B$16)</f>
        <v>G8</v>
      </c>
      <c r="F1847" s="6" t="str">
        <f t="shared" si="114"/>
        <v>G8</v>
      </c>
      <c r="G1847" s="6" t="str">
        <f t="shared" si="115"/>
        <v>Prof49</v>
      </c>
      <c r="H1847" s="6" t="str" cm="1">
        <f t="array" ref="H1847">choice(Referentiel!A:A,1,Settings!$B$16)</f>
        <v>Gr ART, DESIGN, SOCIETE</v>
      </c>
      <c r="I1847" s="6" t="str" cm="1">
        <f t="array" ref="I1847">choice(Referentiel!B:B,1,Settings!$B$16)</f>
        <v>4ème année Cinéma d'Animation S2</v>
      </c>
      <c r="J1847" s="6" t="str" cm="1">
        <f t="array" ref="J1847">choice(Referentiel!D:D,1,Settings!$B$16)</f>
        <v>M2</v>
      </c>
      <c r="K1847" s="6" t="str" cm="1">
        <f t="array" ref="K1847">choice(Professeurs!B:B,1,Settings!$B$16)</f>
        <v>Prof49</v>
      </c>
      <c r="L1847" s="5" t="str" cm="1">
        <f t="array" ref="L1847">choice(Referentiel!C:C,1,Settings!$B$16)</f>
        <v/>
      </c>
      <c r="M1847" s="5" t="str" cm="1">
        <f t="array" ref="M1847">choice(Referentiel!E:E,1,Settings!$B$16)</f>
        <v/>
      </c>
      <c r="N1847" s="5" t="str" cm="1">
        <f t="array" ref="N1847">choice(Settings!K:K,1,Settings!$B$16)</f>
        <v>mercredi ap</v>
      </c>
      <c r="P1847" s="5">
        <f t="shared" si="116"/>
        <v>4</v>
      </c>
    </row>
    <row r="1848" spans="1:16" ht="15.75" customHeight="1" x14ac:dyDescent="0.25">
      <c r="A1848" s="6" t="s">
        <v>2200</v>
      </c>
      <c r="B1848" s="6" cm="1">
        <f t="array" ref="B1848">alea_int(Settings!$B$10,1,Settings!$B$16)</f>
        <v>3</v>
      </c>
      <c r="C1848" s="8">
        <v>46023</v>
      </c>
      <c r="D1848" s="8">
        <f t="shared" si="113"/>
        <v>46387</v>
      </c>
      <c r="E1848" s="6" t="str" cm="1">
        <f t="array" ref="E1848">choice(Groupes!A:A,1,Settings!$B$16)</f>
        <v>G14</v>
      </c>
      <c r="F1848" s="6" t="str">
        <f t="shared" si="114"/>
        <v>G14</v>
      </c>
      <c r="G1848" s="6" t="str">
        <f t="shared" si="115"/>
        <v>Prof20</v>
      </c>
      <c r="H1848" s="6" t="str" cm="1">
        <f t="array" ref="H1848">choice(Referentiel!A:A,1,Settings!$B$16)</f>
        <v>Gr TERRITOIRES</v>
      </c>
      <c r="I1848" s="6" t="str" cm="1">
        <f t="array" ref="I1848">choice(Referentiel!B:B,1,Settings!$B$16)</f>
        <v>4ème année Scénographie S1</v>
      </c>
      <c r="J1848" s="6" t="str" cm="1">
        <f t="array" ref="J1848">choice(Referentiel!D:D,1,Settings!$B$16)</f>
        <v>M2</v>
      </c>
      <c r="K1848" s="6" t="str" cm="1">
        <f t="array" ref="K1848">choice(Professeurs!B:B,1,Settings!$B$16)</f>
        <v>Prof20</v>
      </c>
      <c r="L1848" s="5" t="str" cm="1">
        <f t="array" ref="L1848">choice(Referentiel!C:C,1,Settings!$B$16)</f>
        <v/>
      </c>
      <c r="M1848" s="5" t="str" cm="1">
        <f t="array" ref="M1848">choice(Referentiel!E:E,1,Settings!$B$16)</f>
        <v/>
      </c>
      <c r="N1848" s="5" t="str" cm="1">
        <f t="array" ref="N1848">choice(Settings!K:K,1,Settings!$B$16)</f>
        <v/>
      </c>
      <c r="P1848" s="5">
        <f t="shared" si="116"/>
        <v>3</v>
      </c>
    </row>
    <row r="1849" spans="1:16" ht="15.75" customHeight="1" x14ac:dyDescent="0.25">
      <c r="A1849" s="6" t="s">
        <v>2201</v>
      </c>
      <c r="B1849" s="6" cm="1">
        <f t="array" ref="B1849">alea_int(Settings!$B$10,1,Settings!$B$16)</f>
        <v>3</v>
      </c>
      <c r="C1849" s="8">
        <v>46023</v>
      </c>
      <c r="D1849" s="8">
        <f t="shared" si="113"/>
        <v>46387</v>
      </c>
      <c r="E1849" s="6" t="str" cm="1">
        <f t="array" ref="E1849">choice(Groupes!A:A,1,Settings!$B$16)</f>
        <v>G21</v>
      </c>
      <c r="F1849" s="6" t="str">
        <f t="shared" si="114"/>
        <v>G21</v>
      </c>
      <c r="G1849" s="6" t="str">
        <f t="shared" si="115"/>
        <v>Prof50</v>
      </c>
      <c r="H1849" s="6" t="str" cm="1">
        <f t="array" ref="H1849">choice(Referentiel!A:A,1,Settings!$B$16)</f>
        <v>Architecture Intérieure</v>
      </c>
      <c r="I1849" s="6" t="str" cm="1">
        <f t="array" ref="I1849">choice(Referentiel!B:B,1,Settings!$B$16)</f>
        <v>5ème année Photo / Vidéo S1</v>
      </c>
      <c r="J1849" s="6" t="str" cm="1">
        <f t="array" ref="J1849">choice(Referentiel!D:D,1,Settings!$B$16)</f>
        <v>L3</v>
      </c>
      <c r="K1849" s="6" t="str" cm="1">
        <f t="array" ref="K1849">choice(Professeurs!B:B,1,Settings!$B$16)</f>
        <v>Prof50</v>
      </c>
      <c r="L1849" s="5" t="str" cm="1">
        <f t="array" ref="L1849">choice(Referentiel!C:C,1,Settings!$B$16)</f>
        <v/>
      </c>
      <c r="M1849" s="5" t="str" cm="1">
        <f t="array" ref="M1849">choice(Referentiel!E:E,1,Settings!$B$16)</f>
        <v/>
      </c>
      <c r="N1849" s="5" t="str" cm="1">
        <f t="array" ref="N1849">choice(Settings!K:K,1,Settings!$B$16)</f>
        <v/>
      </c>
      <c r="P1849" s="5">
        <f t="shared" si="116"/>
        <v>3</v>
      </c>
    </row>
    <row r="1850" spans="1:16" ht="15.75" customHeight="1" x14ac:dyDescent="0.25">
      <c r="A1850" s="6" t="s">
        <v>2202</v>
      </c>
      <c r="B1850" s="6" cm="1">
        <f t="array" ref="B1850">alea_int(Settings!$B$10,1,Settings!$B$16)</f>
        <v>1</v>
      </c>
      <c r="C1850" s="8">
        <v>46023</v>
      </c>
      <c r="D1850" s="8">
        <f t="shared" si="113"/>
        <v>46387</v>
      </c>
      <c r="E1850" s="6" t="str" cm="1">
        <f t="array" ref="E1850">choice(Groupes!A:A,1,Settings!$B$16)</f>
        <v>G26</v>
      </c>
      <c r="F1850" s="6" t="str">
        <f t="shared" si="114"/>
        <v>G26</v>
      </c>
      <c r="G1850" s="6" t="str">
        <f t="shared" si="115"/>
        <v>Prof7</v>
      </c>
      <c r="H1850" s="6" t="str" cm="1">
        <f t="array" ref="H1850">choice(Referentiel!A:A,1,Settings!$B$16)</f>
        <v>Gr SOFT MATTERS</v>
      </c>
      <c r="I1850" s="6" t="str" cm="1">
        <f t="array" ref="I1850">choice(Referentiel!B:B,1,Settings!$B$16)</f>
        <v>2ème année Design Vêtement S2</v>
      </c>
      <c r="J1850" s="6" t="str" cm="1">
        <f t="array" ref="J1850">choice(Referentiel!D:D,1,Settings!$B$16)</f>
        <v>L1</v>
      </c>
      <c r="K1850" s="6" t="str" cm="1">
        <f t="array" ref="K1850">choice(Professeurs!B:B,1,Settings!$B$16)</f>
        <v>Prof7</v>
      </c>
      <c r="L1850" s="5" t="str" cm="1">
        <f t="array" ref="L1850">choice(Referentiel!C:C,1,Settings!$B$16)</f>
        <v/>
      </c>
      <c r="M1850" s="5" t="str" cm="1">
        <f t="array" ref="M1850">choice(Referentiel!E:E,1,Settings!$B$16)</f>
        <v/>
      </c>
      <c r="N1850" s="5" t="str" cm="1">
        <f t="array" ref="N1850">choice(Settings!K:K,1,Settings!$B$16)</f>
        <v>mercredi ap</v>
      </c>
      <c r="P1850" s="5">
        <f t="shared" si="116"/>
        <v>3</v>
      </c>
    </row>
    <row r="1851" spans="1:16" ht="15.75" customHeight="1" x14ac:dyDescent="0.25">
      <c r="A1851" s="6" t="s">
        <v>2203</v>
      </c>
      <c r="B1851" s="6" cm="1">
        <f t="array" ref="B1851">alea_int(Settings!$B$10,1,Settings!$B$16)</f>
        <v>2</v>
      </c>
      <c r="C1851" s="8">
        <v>46023</v>
      </c>
      <c r="D1851" s="8">
        <f t="shared" si="113"/>
        <v>46387</v>
      </c>
      <c r="E1851" s="6" t="str" cm="1">
        <f t="array" ref="E1851">choice(Groupes!A:A,1,Settings!$B$16)</f>
        <v>G10</v>
      </c>
      <c r="F1851" s="6" t="str">
        <f t="shared" si="114"/>
        <v>G10</v>
      </c>
      <c r="G1851" s="6" t="str">
        <f t="shared" si="115"/>
        <v>Prof11</v>
      </c>
      <c r="H1851" s="6" t="str" cm="1">
        <f t="array" ref="H1851">choice(Referentiel!A:A,1,Settings!$B$16)</f>
        <v>Photo / Vidéo</v>
      </c>
      <c r="I1851" s="6" t="str" cm="1">
        <f t="array" ref="I1851">choice(Referentiel!B:B,1,Settings!$B$16)</f>
        <v>3ème année Design Graphique S2</v>
      </c>
      <c r="J1851" s="6" t="str" cm="1">
        <f t="array" ref="J1851">choice(Referentiel!D:D,1,Settings!$B$16)</f>
        <v>M2</v>
      </c>
      <c r="K1851" s="6" t="str" cm="1">
        <f t="array" ref="K1851">choice(Professeurs!B:B,1,Settings!$B$16)</f>
        <v>Prof11</v>
      </c>
      <c r="L1851" s="5" t="str" cm="1">
        <f t="array" ref="L1851">choice(Referentiel!C:C,1,Settings!$B$16)</f>
        <v/>
      </c>
      <c r="M1851" s="5" t="str" cm="1">
        <f t="array" ref="M1851">choice(Referentiel!E:E,1,Settings!$B$16)</f>
        <v/>
      </c>
      <c r="N1851" s="5" t="str" cm="1">
        <f t="array" ref="N1851">choice(Settings!K:K,1,Settings!$B$16)</f>
        <v>mercredi pm</v>
      </c>
      <c r="P1851" s="5">
        <f t="shared" si="116"/>
        <v>4</v>
      </c>
    </row>
    <row r="1852" spans="1:16" ht="15.75" customHeight="1" x14ac:dyDescent="0.25">
      <c r="A1852" s="6" t="s">
        <v>2204</v>
      </c>
      <c r="B1852" s="6" cm="1">
        <f t="array" ref="B1852">alea_int(Settings!$B$10,1,Settings!$B$16)</f>
        <v>3</v>
      </c>
      <c r="C1852" s="8">
        <v>46023</v>
      </c>
      <c r="D1852" s="8">
        <f t="shared" si="113"/>
        <v>46387</v>
      </c>
      <c r="E1852" s="6" t="str" cm="1">
        <f t="array" ref="E1852">choice(Groupes!A:A,1,Settings!$B$16)</f>
        <v>G23</v>
      </c>
      <c r="F1852" s="6" t="str">
        <f t="shared" si="114"/>
        <v>G23</v>
      </c>
      <c r="G1852" s="6" t="str">
        <f t="shared" si="115"/>
        <v>Prof37</v>
      </c>
      <c r="H1852" s="6" t="str" cm="1">
        <f t="array" ref="H1852">choice(Referentiel!A:A,1,Settings!$B$16)</f>
        <v>Gr TERRITOIRES</v>
      </c>
      <c r="I1852" s="6" t="str" cm="1">
        <f t="array" ref="I1852">choice(Referentiel!B:B,1,Settings!$B$16)</f>
        <v>4ème année Design Graphique S2</v>
      </c>
      <c r="J1852" s="6" t="str" cm="1">
        <f t="array" ref="J1852">choice(Referentiel!D:D,1,Settings!$B$16)</f>
        <v>L3</v>
      </c>
      <c r="K1852" s="6" t="str" cm="1">
        <f t="array" ref="K1852">choice(Professeurs!B:B,1,Settings!$B$16)</f>
        <v>Prof37</v>
      </c>
      <c r="L1852" s="5" t="str" cm="1">
        <f t="array" ref="L1852">choice(Referentiel!C:C,1,Settings!$B$16)</f>
        <v/>
      </c>
      <c r="M1852" s="5" t="str" cm="1">
        <f t="array" ref="M1852">choice(Referentiel!E:E,1,Settings!$B$16)</f>
        <v/>
      </c>
      <c r="N1852" s="5" t="str" cm="1">
        <f t="array" ref="N1852">choice(Settings!K:K,1,Settings!$B$16)</f>
        <v/>
      </c>
      <c r="P1852" s="5">
        <f t="shared" si="116"/>
        <v>3</v>
      </c>
    </row>
    <row r="1853" spans="1:16" ht="15.75" customHeight="1" x14ac:dyDescent="0.25">
      <c r="A1853" s="6" t="s">
        <v>2205</v>
      </c>
      <c r="B1853" s="6" cm="1">
        <f t="array" ref="B1853">alea_int(Settings!$B$10,1,Settings!$B$16)</f>
        <v>2</v>
      </c>
      <c r="C1853" s="8">
        <v>46023</v>
      </c>
      <c r="D1853" s="8">
        <f t="shared" si="113"/>
        <v>46387</v>
      </c>
      <c r="E1853" s="6" t="str" cm="1">
        <f t="array" ref="E1853">choice(Groupes!A:A,1,Settings!$B$16)</f>
        <v>G25</v>
      </c>
      <c r="F1853" s="6" t="str">
        <f t="shared" si="114"/>
        <v>G25</v>
      </c>
      <c r="G1853" s="6" t="str">
        <f t="shared" si="115"/>
        <v>Prof19</v>
      </c>
      <c r="H1853" s="6" t="str" cm="1">
        <f t="array" ref="H1853">choice(Referentiel!A:A,1,Settings!$B$16)</f>
        <v>1ère année Groupe 3</v>
      </c>
      <c r="I1853" s="6" t="str" cm="1">
        <f t="array" ref="I1853">choice(Referentiel!B:B,1,Settings!$B$16)</f>
        <v>5ème année Image Imprimée S1</v>
      </c>
      <c r="J1853" s="6" t="str" cm="1">
        <f t="array" ref="J1853">choice(Referentiel!D:D,1,Settings!$B$16)</f>
        <v>L3</v>
      </c>
      <c r="K1853" s="6" t="str" cm="1">
        <f t="array" ref="K1853">choice(Professeurs!B:B,1,Settings!$B$16)</f>
        <v>Prof19</v>
      </c>
      <c r="L1853" s="5" t="str" cm="1">
        <f t="array" ref="L1853">choice(Referentiel!C:C,1,Settings!$B$16)</f>
        <v/>
      </c>
      <c r="M1853" s="5" t="str" cm="1">
        <f t="array" ref="M1853">choice(Referentiel!E:E,1,Settings!$B$16)</f>
        <v/>
      </c>
      <c r="N1853" s="5" t="str" cm="1">
        <f t="array" ref="N1853">choice(Settings!K:K,1,Settings!$B$16)</f>
        <v/>
      </c>
      <c r="P1853" s="5">
        <f t="shared" si="116"/>
        <v>2</v>
      </c>
    </row>
    <row r="1854" spans="1:16" ht="15.75" customHeight="1" x14ac:dyDescent="0.25">
      <c r="A1854" s="6" t="s">
        <v>2206</v>
      </c>
      <c r="B1854" s="6" cm="1">
        <f t="array" ref="B1854">alea_int(Settings!$B$10,1,Settings!$B$16)</f>
        <v>1</v>
      </c>
      <c r="C1854" s="8">
        <v>46023</v>
      </c>
      <c r="D1854" s="8">
        <f t="shared" si="113"/>
        <v>46387</v>
      </c>
      <c r="E1854" s="6" t="str" cm="1">
        <f t="array" ref="E1854">choice(Groupes!A:A,1,Settings!$B$16)</f>
        <v>G14</v>
      </c>
      <c r="F1854" s="6" t="str">
        <f t="shared" si="114"/>
        <v>G14</v>
      </c>
      <c r="G1854" s="6" t="str">
        <f t="shared" si="115"/>
        <v>Prof51</v>
      </c>
      <c r="H1854" s="6" t="str" cm="1">
        <f t="array" ref="H1854">choice(Referentiel!A:A,1,Settings!$B$16)</f>
        <v>Gr TERRITOIRES</v>
      </c>
      <c r="I1854" s="6" t="str" cm="1">
        <f t="array" ref="I1854">choice(Referentiel!B:B,1,Settings!$B$16)</f>
        <v>5ème année Design Vêtement S1</v>
      </c>
      <c r="J1854" s="6" t="str" cm="1">
        <f t="array" ref="J1854">choice(Referentiel!D:D,1,Settings!$B$16)</f>
        <v>M1</v>
      </c>
      <c r="K1854" s="6" t="str" cm="1">
        <f t="array" ref="K1854">choice(Professeurs!B:B,1,Settings!$B$16)</f>
        <v>Prof51</v>
      </c>
      <c r="L1854" s="5" t="str" cm="1">
        <f t="array" ref="L1854">choice(Referentiel!C:C,1,Settings!$B$16)</f>
        <v/>
      </c>
      <c r="M1854" s="5" t="str" cm="1">
        <f t="array" ref="M1854">choice(Referentiel!E:E,1,Settings!$B$16)</f>
        <v>Salle1</v>
      </c>
      <c r="N1854" s="5" t="str" cm="1">
        <f t="array" ref="N1854">choice(Settings!K:K,1,Settings!$B$16)</f>
        <v/>
      </c>
      <c r="P1854" s="5">
        <f t="shared" si="116"/>
        <v>3</v>
      </c>
    </row>
    <row r="1855" spans="1:16" ht="15.75" customHeight="1" x14ac:dyDescent="0.25">
      <c r="A1855" s="6" t="s">
        <v>2207</v>
      </c>
      <c r="B1855" s="6" cm="1">
        <f t="array" ref="B1855">alea_int(Settings!$B$10,1,Settings!$B$16)</f>
        <v>1</v>
      </c>
      <c r="C1855" s="8">
        <v>46023</v>
      </c>
      <c r="D1855" s="8">
        <f t="shared" si="113"/>
        <v>46387</v>
      </c>
      <c r="E1855" s="6" t="str" cm="1">
        <f t="array" ref="E1855">choice(Groupes!A:A,1,Settings!$B$16)</f>
        <v>G3</v>
      </c>
      <c r="F1855" s="6" t="str">
        <f t="shared" si="114"/>
        <v>G3</v>
      </c>
      <c r="G1855" s="6" t="str">
        <f t="shared" si="115"/>
        <v>Prof23</v>
      </c>
      <c r="H1855" s="6" t="str" cm="1">
        <f t="array" ref="H1855">choice(Referentiel!A:A,1,Settings!$B$16)</f>
        <v>Design des mondes insulaires</v>
      </c>
      <c r="I1855" s="6" t="str" cm="1">
        <f t="array" ref="I1855">choice(Referentiel!B:B,1,Settings!$B$16)</f>
        <v>5ème année Design Objet S2</v>
      </c>
      <c r="J1855" s="6" t="str" cm="1">
        <f t="array" ref="J1855">choice(Referentiel!D:D,1,Settings!$B$16)</f>
        <v>M2</v>
      </c>
      <c r="K1855" s="6" t="str" cm="1">
        <f t="array" ref="K1855">choice(Professeurs!B:B,1,Settings!$B$16)</f>
        <v>Prof23</v>
      </c>
      <c r="L1855" s="5" t="str" cm="1">
        <f t="array" ref="L1855">choice(Referentiel!C:C,1,Settings!$B$16)</f>
        <v/>
      </c>
      <c r="M1855" s="5" t="str" cm="1">
        <f t="array" ref="M1855">choice(Referentiel!E:E,1,Settings!$B$16)</f>
        <v/>
      </c>
      <c r="N1855" s="5" t="str" cm="1">
        <f t="array" ref="N1855">choice(Settings!K:K,1,Settings!$B$16)</f>
        <v/>
      </c>
      <c r="P1855" s="5">
        <f t="shared" si="116"/>
        <v>1</v>
      </c>
    </row>
    <row r="1856" spans="1:16" ht="15.75" customHeight="1" x14ac:dyDescent="0.25">
      <c r="A1856" s="6" t="s">
        <v>2208</v>
      </c>
      <c r="B1856" s="6" cm="1">
        <f t="array" ref="B1856">alea_int(Settings!$B$10,1,Settings!$B$16)</f>
        <v>1</v>
      </c>
      <c r="C1856" s="8">
        <v>46023</v>
      </c>
      <c r="D1856" s="8">
        <f t="shared" si="113"/>
        <v>46387</v>
      </c>
      <c r="E1856" s="6" t="str" cm="1">
        <f t="array" ref="E1856">choice(Groupes!A:A,1,Settings!$B$16)</f>
        <v>G26</v>
      </c>
      <c r="F1856" s="6" t="str">
        <f t="shared" si="114"/>
        <v>G26</v>
      </c>
      <c r="G1856" s="6" t="str">
        <f t="shared" si="115"/>
        <v>Prof7</v>
      </c>
      <c r="H1856" s="6" t="str" cm="1">
        <f t="array" ref="H1856">choice(Referentiel!A:A,1,Settings!$B$16)</f>
        <v>Design Graphique</v>
      </c>
      <c r="I1856" s="6" t="str" cm="1">
        <f t="array" ref="I1856">choice(Referentiel!B:B,1,Settings!$B$16)</f>
        <v>4ème année Architecture Intérieure S2</v>
      </c>
      <c r="J1856" s="6" t="str" cm="1">
        <f t="array" ref="J1856">choice(Referentiel!D:D,1,Settings!$B$16)</f>
        <v>L1</v>
      </c>
      <c r="K1856" s="6" t="str" cm="1">
        <f t="array" ref="K1856">choice(Professeurs!B:B,1,Settings!$B$16)</f>
        <v>Prof7</v>
      </c>
      <c r="L1856" s="5" t="str" cm="1">
        <f t="array" ref="L1856">choice(Referentiel!C:C,1,Settings!$B$16)</f>
        <v/>
      </c>
      <c r="M1856" s="5" t="str" cm="1">
        <f t="array" ref="M1856">choice(Referentiel!E:E,1,Settings!$B$16)</f>
        <v/>
      </c>
      <c r="N1856" s="5" t="str" cm="1">
        <f t="array" ref="N1856">choice(Settings!K:K,1,Settings!$B$16)</f>
        <v>mercredi pm</v>
      </c>
      <c r="P1856" s="5">
        <f t="shared" si="116"/>
        <v>3</v>
      </c>
    </row>
    <row r="1857" spans="1:16" ht="15.75" customHeight="1" x14ac:dyDescent="0.25">
      <c r="A1857" s="6" t="s">
        <v>2209</v>
      </c>
      <c r="B1857" s="6" cm="1">
        <f t="array" ref="B1857">alea_int(Settings!$B$10,1,Settings!$B$16)</f>
        <v>1</v>
      </c>
      <c r="C1857" s="8">
        <v>46023</v>
      </c>
      <c r="D1857" s="8">
        <f t="shared" si="113"/>
        <v>46387</v>
      </c>
      <c r="E1857" s="6" t="str" cm="1">
        <f t="array" ref="E1857">choice(Groupes!A:A,1,Settings!$B$16)</f>
        <v>G20</v>
      </c>
      <c r="F1857" s="6" t="str">
        <f t="shared" si="114"/>
        <v>G20</v>
      </c>
      <c r="G1857" s="6" t="str">
        <f t="shared" si="115"/>
        <v>Prof44</v>
      </c>
      <c r="H1857" s="6" t="str" cm="1">
        <f t="array" ref="H1857">choice(Referentiel!A:A,1,Settings!$B$16)</f>
        <v>Scénographie</v>
      </c>
      <c r="I1857" s="6" t="str" cm="1">
        <f t="array" ref="I1857">choice(Referentiel!B:B,1,Settings!$B$16)</f>
        <v>3ème année Architecture Intérieure S2</v>
      </c>
      <c r="J1857" s="6" t="str" cm="1">
        <f t="array" ref="J1857">choice(Referentiel!D:D,1,Settings!$B$16)</f>
        <v>M2</v>
      </c>
      <c r="K1857" s="6" t="str" cm="1">
        <f t="array" ref="K1857">choice(Professeurs!B:B,1,Settings!$B$16)</f>
        <v>Prof44</v>
      </c>
      <c r="L1857" s="5" t="str" cm="1">
        <f t="array" ref="L1857">choice(Referentiel!C:C,1,Settings!$B$16)</f>
        <v/>
      </c>
      <c r="M1857" s="5" t="str" cm="1">
        <f t="array" ref="M1857">choice(Referentiel!E:E,1,Settings!$B$16)</f>
        <v/>
      </c>
      <c r="N1857" s="5" t="str" cm="1">
        <f t="array" ref="N1857">choice(Settings!K:K,1,Settings!$B$16)</f>
        <v/>
      </c>
      <c r="P1857" s="5">
        <f t="shared" si="116"/>
        <v>1</v>
      </c>
    </row>
    <row r="1858" spans="1:16" ht="15.75" customHeight="1" x14ac:dyDescent="0.25">
      <c r="A1858" s="6" t="s">
        <v>2210</v>
      </c>
      <c r="B1858" s="6" cm="1">
        <f t="array" ref="B1858">alea_int(Settings!$B$10,1,Settings!$B$16)</f>
        <v>1</v>
      </c>
      <c r="C1858" s="8">
        <v>46023</v>
      </c>
      <c r="D1858" s="8">
        <f t="shared" si="113"/>
        <v>46387</v>
      </c>
      <c r="E1858" s="6" t="str" cm="1">
        <f t="array" ref="E1858">choice(Groupes!A:A,1,Settings!$B$16)</f>
        <v>G25</v>
      </c>
      <c r="F1858" s="6" t="str">
        <f t="shared" si="114"/>
        <v>G25</v>
      </c>
      <c r="G1858" s="6" t="str">
        <f t="shared" si="115"/>
        <v>Prof23</v>
      </c>
      <c r="H1858" s="6" t="str" cm="1">
        <f t="array" ref="H1858">choice(Referentiel!A:A,1,Settings!$B$16)</f>
        <v>Design des mondes forestiers</v>
      </c>
      <c r="I1858" s="6" t="str" cm="1">
        <f t="array" ref="I1858">choice(Referentiel!B:B,1,Settings!$B$16)</f>
        <v>1ère Année Groupe 3 S1</v>
      </c>
      <c r="J1858" s="6" t="str" cm="1">
        <f t="array" ref="J1858">choice(Referentiel!D:D,1,Settings!$B$16)</f>
        <v>L3</v>
      </c>
      <c r="K1858" s="6" t="str" cm="1">
        <f t="array" ref="K1858">choice(Professeurs!B:B,1,Settings!$B$16)</f>
        <v>Prof23</v>
      </c>
      <c r="L1858" s="5" t="str" cm="1">
        <f t="array" ref="L1858">choice(Referentiel!C:C,1,Settings!$B$16)</f>
        <v/>
      </c>
      <c r="M1858" s="5" t="str" cm="1">
        <f t="array" ref="M1858">choice(Referentiel!E:E,1,Settings!$B$16)</f>
        <v/>
      </c>
      <c r="N1858" s="5" t="str" cm="1">
        <f t="array" ref="N1858">choice(Settings!K:K,1,Settings!$B$16)</f>
        <v>jeudi am</v>
      </c>
      <c r="P1858" s="5">
        <f t="shared" si="116"/>
        <v>3</v>
      </c>
    </row>
    <row r="1859" spans="1:16" ht="15.75" customHeight="1" x14ac:dyDescent="0.25">
      <c r="A1859" s="6" t="s">
        <v>2211</v>
      </c>
      <c r="B1859" s="6" cm="1">
        <f t="array" ref="B1859">alea_int(Settings!$B$10,1,Settings!$B$16)</f>
        <v>2</v>
      </c>
      <c r="C1859" s="8">
        <v>46023</v>
      </c>
      <c r="D1859" s="8">
        <f t="shared" ref="D1859:D1922" si="117">C1859+364</f>
        <v>46387</v>
      </c>
      <c r="E1859" s="6" t="str" cm="1">
        <f t="array" ref="E1859">choice(Groupes!A:A,1,Settings!$B$16)</f>
        <v>G21</v>
      </c>
      <c r="F1859" s="6" t="str">
        <f t="shared" ref="F1859:F1922" si="118">E1859</f>
        <v>G21</v>
      </c>
      <c r="G1859" s="6" t="str">
        <f t="shared" ref="G1859:G1922" si="119">K1859</f>
        <v>Prof11</v>
      </c>
      <c r="H1859" s="6" t="str" cm="1">
        <f t="array" ref="H1859">choice(Referentiel!A:A,1,Settings!$B$16)</f>
        <v>Image Imprimée</v>
      </c>
      <c r="I1859" s="6" t="str" cm="1">
        <f t="array" ref="I1859">choice(Referentiel!B:B,1,Settings!$B$16)</f>
        <v>3ème année Photo / Vidéo S1</v>
      </c>
      <c r="J1859" s="6" t="str" cm="1">
        <f t="array" ref="J1859">choice(Referentiel!D:D,1,Settings!$B$16)</f>
        <v>M2</v>
      </c>
      <c r="K1859" s="6" t="str" cm="1">
        <f t="array" ref="K1859">choice(Professeurs!B:B,1,Settings!$B$16)</f>
        <v>Prof11</v>
      </c>
      <c r="L1859" s="5" t="str" cm="1">
        <f t="array" ref="L1859">choice(Referentiel!C:C,1,Settings!$B$16)</f>
        <v/>
      </c>
      <c r="M1859" s="5" t="str" cm="1">
        <f t="array" ref="M1859">choice(Referentiel!E:E,1,Settings!$B$16)</f>
        <v/>
      </c>
      <c r="N1859" s="5" t="str" cm="1">
        <f t="array" ref="N1859">choice(Settings!K:K,1,Settings!$B$16)</f>
        <v/>
      </c>
      <c r="P1859" s="5">
        <f t="shared" ref="P1859:P1922" si="120">B1859+IF(M1859&lt;&gt;"",2,0)+IF(N1859&lt;&gt;"",2,0)</f>
        <v>2</v>
      </c>
    </row>
    <row r="1860" spans="1:16" ht="15.75" customHeight="1" x14ac:dyDescent="0.25">
      <c r="A1860" s="6" t="s">
        <v>2212</v>
      </c>
      <c r="B1860" s="6" cm="1">
        <f t="array" ref="B1860">alea_int(Settings!$B$10,1,Settings!$B$16)</f>
        <v>1</v>
      </c>
      <c r="C1860" s="8">
        <v>46023</v>
      </c>
      <c r="D1860" s="8">
        <f t="shared" si="117"/>
        <v>46387</v>
      </c>
      <c r="E1860" s="6" t="str" cm="1">
        <f t="array" ref="E1860">choice(Groupes!A:A,1,Settings!$B$16)</f>
        <v>G4</v>
      </c>
      <c r="F1860" s="6" t="str">
        <f t="shared" si="118"/>
        <v>G4</v>
      </c>
      <c r="G1860" s="6" t="str">
        <f t="shared" si="119"/>
        <v>Prof37</v>
      </c>
      <c r="H1860" s="6" t="str" cm="1">
        <f t="array" ref="H1860">choice(Referentiel!A:A,1,Settings!$B$16)</f>
        <v>Scénographie</v>
      </c>
      <c r="I1860" s="6" t="str" cm="1">
        <f t="array" ref="I1860">choice(Referentiel!B:B,1,Settings!$B$16)</f>
        <v>5ème année Design Objet S1</v>
      </c>
      <c r="J1860" s="6" t="str" cm="1">
        <f t="array" ref="J1860">choice(Referentiel!D:D,1,Settings!$B$16)</f>
        <v>L2</v>
      </c>
      <c r="K1860" s="6" t="str" cm="1">
        <f t="array" ref="K1860">choice(Professeurs!B:B,1,Settings!$B$16)</f>
        <v>Prof37</v>
      </c>
      <c r="L1860" s="5" t="str" cm="1">
        <f t="array" ref="L1860">choice(Referentiel!C:C,1,Settings!$B$16)</f>
        <v/>
      </c>
      <c r="M1860" s="5" t="str" cm="1">
        <f t="array" ref="M1860">choice(Referentiel!E:E,1,Settings!$B$16)</f>
        <v/>
      </c>
      <c r="N1860" s="5" t="str" cm="1">
        <f t="array" ref="N1860">choice(Settings!K:K,1,Settings!$B$16)</f>
        <v/>
      </c>
      <c r="P1860" s="5">
        <f t="shared" si="120"/>
        <v>1</v>
      </c>
    </row>
    <row r="1861" spans="1:16" ht="15.75" customHeight="1" x14ac:dyDescent="0.25">
      <c r="A1861" s="6" t="s">
        <v>2213</v>
      </c>
      <c r="B1861" s="6" cm="1">
        <f t="array" ref="B1861">alea_int(Settings!$B$10,1,Settings!$B$16)</f>
        <v>3</v>
      </c>
      <c r="C1861" s="8">
        <v>46023</v>
      </c>
      <c r="D1861" s="8">
        <f t="shared" si="117"/>
        <v>46387</v>
      </c>
      <c r="E1861" s="6" t="str" cm="1">
        <f t="array" ref="E1861">choice(Groupes!A:A,1,Settings!$B$16)</f>
        <v>G6</v>
      </c>
      <c r="F1861" s="6" t="str">
        <f t="shared" si="118"/>
        <v>G6</v>
      </c>
      <c r="G1861" s="6" t="str">
        <f t="shared" si="119"/>
        <v>Prof9</v>
      </c>
      <c r="H1861" s="6" t="str" cm="1">
        <f t="array" ref="H1861">choice(Referentiel!A:A,1,Settings!$B$16)</f>
        <v>Gr SOFT MATTERS</v>
      </c>
      <c r="I1861" s="6" t="str" cm="1">
        <f t="array" ref="I1861">choice(Referentiel!B:B,1,Settings!$B$16)</f>
        <v>3ème année Design Vêtement S2</v>
      </c>
      <c r="J1861" s="6" t="str" cm="1">
        <f t="array" ref="J1861">choice(Referentiel!D:D,1,Settings!$B$16)</f>
        <v>M2</v>
      </c>
      <c r="K1861" s="6" t="str" cm="1">
        <f t="array" ref="K1861">choice(Professeurs!B:B,1,Settings!$B$16)</f>
        <v>Prof9</v>
      </c>
      <c r="L1861" s="5" t="str" cm="1">
        <f t="array" ref="L1861">choice(Referentiel!C:C,1,Settings!$B$16)</f>
        <v/>
      </c>
      <c r="M1861" s="5" t="str" cm="1">
        <f t="array" ref="M1861">choice(Referentiel!E:E,1,Settings!$B$16)</f>
        <v/>
      </c>
      <c r="N1861" s="5" t="str" cm="1">
        <f t="array" ref="N1861">choice(Settings!K:K,1,Settings!$B$16)</f>
        <v/>
      </c>
      <c r="P1861" s="5">
        <f t="shared" si="120"/>
        <v>3</v>
      </c>
    </row>
    <row r="1862" spans="1:16" ht="15.75" customHeight="1" x14ac:dyDescent="0.25">
      <c r="A1862" s="6" t="s">
        <v>2214</v>
      </c>
      <c r="B1862" s="6" cm="1">
        <f t="array" ref="B1862">alea_int(Settings!$B$10,1,Settings!$B$16)</f>
        <v>2</v>
      </c>
      <c r="C1862" s="8">
        <v>46023</v>
      </c>
      <c r="D1862" s="8">
        <f t="shared" si="117"/>
        <v>46387</v>
      </c>
      <c r="E1862" s="6" t="str" cm="1">
        <f t="array" ref="E1862">choice(Groupes!A:A,1,Settings!$B$16)</f>
        <v>G19</v>
      </c>
      <c r="F1862" s="6" t="str">
        <f t="shared" si="118"/>
        <v>G19</v>
      </c>
      <c r="G1862" s="6" t="str">
        <f t="shared" si="119"/>
        <v>Prof29</v>
      </c>
      <c r="H1862" s="6" t="str" cm="1">
        <f t="array" ref="H1862">choice(Referentiel!A:A,1,Settings!$B$16)</f>
        <v>Design Graphique</v>
      </c>
      <c r="I1862" s="6" t="str" cm="1">
        <f t="array" ref="I1862">choice(Referentiel!B:B,1,Settings!$B$16)</f>
        <v>1ère Année Groupe 4 S1</v>
      </c>
      <c r="J1862" s="6" t="str" cm="1">
        <f t="array" ref="J1862">choice(Referentiel!D:D,1,Settings!$B$16)</f>
        <v>M1</v>
      </c>
      <c r="K1862" s="6" t="str" cm="1">
        <f t="array" ref="K1862">choice(Professeurs!B:B,1,Settings!$B$16)</f>
        <v>Prof29</v>
      </c>
      <c r="L1862" s="5" t="str" cm="1">
        <f t="array" ref="L1862">choice(Referentiel!C:C,1,Settings!$B$16)</f>
        <v/>
      </c>
      <c r="M1862" s="5" t="str" cm="1">
        <f t="array" ref="M1862">choice(Referentiel!E:E,1,Settings!$B$16)</f>
        <v/>
      </c>
      <c r="N1862" s="5" t="str" cm="1">
        <f t="array" ref="N1862">choice(Settings!K:K,1,Settings!$B$16)</f>
        <v/>
      </c>
      <c r="P1862" s="5">
        <f t="shared" si="120"/>
        <v>2</v>
      </c>
    </row>
    <row r="1863" spans="1:16" ht="15.75" customHeight="1" x14ac:dyDescent="0.25">
      <c r="A1863" s="6" t="s">
        <v>2215</v>
      </c>
      <c r="B1863" s="6" cm="1">
        <f t="array" ref="B1863">alea_int(Settings!$B$10,1,Settings!$B$16)</f>
        <v>1</v>
      </c>
      <c r="C1863" s="8">
        <v>46023</v>
      </c>
      <c r="D1863" s="8">
        <f t="shared" si="117"/>
        <v>46387</v>
      </c>
      <c r="E1863" s="6" t="str" cm="1">
        <f t="array" ref="E1863">choice(Groupes!A:A,1,Settings!$B$16)</f>
        <v>G14</v>
      </c>
      <c r="F1863" s="6" t="str">
        <f t="shared" si="118"/>
        <v>G14</v>
      </c>
      <c r="G1863" s="6" t="str">
        <f t="shared" si="119"/>
        <v>Prof34</v>
      </c>
      <c r="H1863" s="6" t="str" cm="1">
        <f t="array" ref="H1863">choice(Referentiel!A:A,1,Settings!$B$16)</f>
        <v>Art-Espace</v>
      </c>
      <c r="I1863" s="6" t="str" cm="1">
        <f t="array" ref="I1863">choice(Referentiel!B:B,1,Settings!$B$16)</f>
        <v>3ème année Design Textile et Matière S2</v>
      </c>
      <c r="J1863" s="6" t="str" cm="1">
        <f t="array" ref="J1863">choice(Referentiel!D:D,1,Settings!$B$16)</f>
        <v>L1</v>
      </c>
      <c r="K1863" s="6" t="str" cm="1">
        <f t="array" ref="K1863">choice(Professeurs!B:B,1,Settings!$B$16)</f>
        <v>Prof34</v>
      </c>
      <c r="L1863" s="5" t="str" cm="1">
        <f t="array" ref="L1863">choice(Referentiel!C:C,1,Settings!$B$16)</f>
        <v/>
      </c>
      <c r="M1863" s="5" t="str" cm="1">
        <f t="array" ref="M1863">choice(Referentiel!E:E,1,Settings!$B$16)</f>
        <v/>
      </c>
      <c r="N1863" s="5" t="str" cm="1">
        <f t="array" ref="N1863">choice(Settings!K:K,1,Settings!$B$16)</f>
        <v>mercredi pm</v>
      </c>
      <c r="P1863" s="5">
        <f t="shared" si="120"/>
        <v>3</v>
      </c>
    </row>
    <row r="1864" spans="1:16" ht="15.75" customHeight="1" x14ac:dyDescent="0.25">
      <c r="A1864" s="6" t="s">
        <v>2216</v>
      </c>
      <c r="B1864" s="6" cm="1">
        <f t="array" ref="B1864">alea_int(Settings!$B$10,1,Settings!$B$16)</f>
        <v>2</v>
      </c>
      <c r="C1864" s="8">
        <v>46023</v>
      </c>
      <c r="D1864" s="8">
        <f t="shared" si="117"/>
        <v>46387</v>
      </c>
      <c r="E1864" s="6" t="str" cm="1">
        <f t="array" ref="E1864">choice(Groupes!A:A,1,Settings!$B$16)</f>
        <v>G28</v>
      </c>
      <c r="F1864" s="6" t="str">
        <f t="shared" si="118"/>
        <v>G28</v>
      </c>
      <c r="G1864" s="6" t="str">
        <f t="shared" si="119"/>
        <v>Prof13</v>
      </c>
      <c r="H1864" s="6" t="str" cm="1">
        <f t="array" ref="H1864">choice(Referentiel!A:A,1,Settings!$B$16)</f>
        <v>Design des mondes forestiers</v>
      </c>
      <c r="I1864" s="6" t="str" cm="1">
        <f t="array" ref="I1864">choice(Referentiel!B:B,1,Settings!$B$16)</f>
        <v>5ème année Art-Espace S1</v>
      </c>
      <c r="J1864" s="6" t="str" cm="1">
        <f t="array" ref="J1864">choice(Referentiel!D:D,1,Settings!$B$16)</f>
        <v>L1</v>
      </c>
      <c r="K1864" s="6" t="str" cm="1">
        <f t="array" ref="K1864">choice(Professeurs!B:B,1,Settings!$B$16)</f>
        <v>Prof13</v>
      </c>
      <c r="L1864" s="5" t="str" cm="1">
        <f t="array" ref="L1864">choice(Referentiel!C:C,1,Settings!$B$16)</f>
        <v/>
      </c>
      <c r="M1864" s="5" t="str" cm="1">
        <f t="array" ref="M1864">choice(Referentiel!E:E,1,Settings!$B$16)</f>
        <v/>
      </c>
      <c r="N1864" s="5" t="str" cm="1">
        <f t="array" ref="N1864">choice(Settings!K:K,1,Settings!$B$16)</f>
        <v/>
      </c>
      <c r="P1864" s="5">
        <f t="shared" si="120"/>
        <v>2</v>
      </c>
    </row>
    <row r="1865" spans="1:16" ht="15.75" customHeight="1" x14ac:dyDescent="0.25">
      <c r="A1865" s="6" t="s">
        <v>2217</v>
      </c>
      <c r="B1865" s="6" cm="1">
        <f t="array" ref="B1865">alea_int(Settings!$B$10,1,Settings!$B$16)</f>
        <v>3</v>
      </c>
      <c r="C1865" s="8">
        <v>46023</v>
      </c>
      <c r="D1865" s="8">
        <f t="shared" si="117"/>
        <v>46387</v>
      </c>
      <c r="E1865" s="6" t="str" cm="1">
        <f t="array" ref="E1865">choice(Groupes!A:A,1,Settings!$B$16)</f>
        <v>G18</v>
      </c>
      <c r="F1865" s="6" t="str">
        <f t="shared" si="118"/>
        <v>G18</v>
      </c>
      <c r="G1865" s="6" t="str">
        <f t="shared" si="119"/>
        <v>Prof47</v>
      </c>
      <c r="H1865" s="6" t="str" cm="1">
        <f t="array" ref="H1865">choice(Referentiel!A:A,1,Settings!$B$16)</f>
        <v>Design des mondes forestiers</v>
      </c>
      <c r="I1865" s="6" t="str" cm="1">
        <f t="array" ref="I1865">choice(Referentiel!B:B,1,Settings!$B$16)</f>
        <v>5ème année Cinéma d'Animation S1</v>
      </c>
      <c r="J1865" s="6" t="str" cm="1">
        <f t="array" ref="J1865">choice(Referentiel!D:D,1,Settings!$B$16)</f>
        <v>M2</v>
      </c>
      <c r="K1865" s="6" t="str" cm="1">
        <f t="array" ref="K1865">choice(Professeurs!B:B,1,Settings!$B$16)</f>
        <v>Prof47</v>
      </c>
      <c r="L1865" s="5" t="str" cm="1">
        <f t="array" ref="L1865">choice(Referentiel!C:C,1,Settings!$B$16)</f>
        <v/>
      </c>
      <c r="M1865" s="5" t="str" cm="1">
        <f t="array" ref="M1865">choice(Referentiel!E:E,1,Settings!$B$16)</f>
        <v>Salle14</v>
      </c>
      <c r="N1865" s="5" t="str" cm="1">
        <f t="array" ref="N1865">choice(Settings!K:K,1,Settings!$B$16)</f>
        <v/>
      </c>
      <c r="P1865" s="5">
        <f t="shared" si="120"/>
        <v>5</v>
      </c>
    </row>
    <row r="1866" spans="1:16" ht="15.75" customHeight="1" x14ac:dyDescent="0.25">
      <c r="A1866" s="6" t="s">
        <v>2218</v>
      </c>
      <c r="B1866" s="6" cm="1">
        <f t="array" ref="B1866">alea_int(Settings!$B$10,1,Settings!$B$16)</f>
        <v>2</v>
      </c>
      <c r="C1866" s="8">
        <v>46023</v>
      </c>
      <c r="D1866" s="8">
        <f t="shared" si="117"/>
        <v>46387</v>
      </c>
      <c r="E1866" s="6" t="str" cm="1">
        <f t="array" ref="E1866">choice(Groupes!A:A,1,Settings!$B$16)</f>
        <v>G11</v>
      </c>
      <c r="F1866" s="6" t="str">
        <f t="shared" si="118"/>
        <v>G11</v>
      </c>
      <c r="G1866" s="6" t="str">
        <f t="shared" si="119"/>
        <v>Prof48</v>
      </c>
      <c r="H1866" s="6" t="str" cm="1">
        <f t="array" ref="H1866">choice(Referentiel!A:A,1,Settings!$B$16)</f>
        <v>Design des mondes insulaires</v>
      </c>
      <c r="I1866" s="6" t="str" cm="1">
        <f t="array" ref="I1866">choice(Referentiel!B:B,1,Settings!$B$16)</f>
        <v>2ème année Image Imprimée S2</v>
      </c>
      <c r="J1866" s="6" t="str" cm="1">
        <f t="array" ref="J1866">choice(Referentiel!D:D,1,Settings!$B$16)</f>
        <v>L2</v>
      </c>
      <c r="K1866" s="6" t="str" cm="1">
        <f t="array" ref="K1866">choice(Professeurs!B:B,1,Settings!$B$16)</f>
        <v>Prof48</v>
      </c>
      <c r="L1866" s="5" t="str" cm="1">
        <f t="array" ref="L1866">choice(Referentiel!C:C,1,Settings!$B$16)</f>
        <v/>
      </c>
      <c r="M1866" s="5" t="str" cm="1">
        <f t="array" ref="M1866">choice(Referentiel!E:E,1,Settings!$B$16)</f>
        <v/>
      </c>
      <c r="N1866" s="5" t="str" cm="1">
        <f t="array" ref="N1866">choice(Settings!K:K,1,Settings!$B$16)</f>
        <v/>
      </c>
      <c r="P1866" s="5">
        <f t="shared" si="120"/>
        <v>2</v>
      </c>
    </row>
    <row r="1867" spans="1:16" ht="15.75" customHeight="1" x14ac:dyDescent="0.25">
      <c r="A1867" s="6" t="s">
        <v>2219</v>
      </c>
      <c r="B1867" s="6" cm="1">
        <f t="array" ref="B1867">alea_int(Settings!$B$10,1,Settings!$B$16)</f>
        <v>2</v>
      </c>
      <c r="C1867" s="8">
        <v>46023</v>
      </c>
      <c r="D1867" s="8">
        <f t="shared" si="117"/>
        <v>46387</v>
      </c>
      <c r="E1867" s="6" t="str" cm="1">
        <f t="array" ref="E1867">choice(Groupes!A:A,1,Settings!$B$16)</f>
        <v>G20</v>
      </c>
      <c r="F1867" s="6" t="str">
        <f t="shared" si="118"/>
        <v>G20</v>
      </c>
      <c r="G1867" s="6" t="str">
        <f t="shared" si="119"/>
        <v>Prof16</v>
      </c>
      <c r="H1867" s="6" t="str" cm="1">
        <f t="array" ref="H1867">choice(Referentiel!A:A,1,Settings!$B$16)</f>
        <v>Design Objet</v>
      </c>
      <c r="I1867" s="6" t="str" cm="1">
        <f t="array" ref="I1867">choice(Referentiel!B:B,1,Settings!$B$16)</f>
        <v>4ème année Art-Espace S2</v>
      </c>
      <c r="J1867" s="6" t="str" cm="1">
        <f t="array" ref="J1867">choice(Referentiel!D:D,1,Settings!$B$16)</f>
        <v>L2</v>
      </c>
      <c r="K1867" s="6" t="str" cm="1">
        <f t="array" ref="K1867">choice(Professeurs!B:B,1,Settings!$B$16)</f>
        <v>Prof16</v>
      </c>
      <c r="L1867" s="5" t="str" cm="1">
        <f t="array" ref="L1867">choice(Referentiel!C:C,1,Settings!$B$16)</f>
        <v/>
      </c>
      <c r="M1867" s="5" t="str" cm="1">
        <f t="array" ref="M1867">choice(Referentiel!E:E,1,Settings!$B$16)</f>
        <v/>
      </c>
      <c r="N1867" s="5" t="str" cm="1">
        <f t="array" ref="N1867">choice(Settings!K:K,1,Settings!$B$16)</f>
        <v/>
      </c>
      <c r="P1867" s="5">
        <f t="shared" si="120"/>
        <v>2</v>
      </c>
    </row>
    <row r="1868" spans="1:16" ht="15.75" customHeight="1" x14ac:dyDescent="0.25">
      <c r="A1868" s="6" t="s">
        <v>2220</v>
      </c>
      <c r="B1868" s="6" cm="1">
        <f t="array" ref="B1868">alea_int(Settings!$B$10,1,Settings!$B$16)</f>
        <v>2</v>
      </c>
      <c r="C1868" s="8">
        <v>46023</v>
      </c>
      <c r="D1868" s="8">
        <f t="shared" si="117"/>
        <v>46387</v>
      </c>
      <c r="E1868" s="6" t="str" cm="1">
        <f t="array" ref="E1868">choice(Groupes!A:A,1,Settings!$B$16)</f>
        <v>G8</v>
      </c>
      <c r="F1868" s="6" t="str">
        <f t="shared" si="118"/>
        <v>G8</v>
      </c>
      <c r="G1868" s="6" t="str">
        <f t="shared" si="119"/>
        <v>Prof55</v>
      </c>
      <c r="H1868" s="6" t="str" cm="1">
        <f t="array" ref="H1868">choice(Referentiel!A:A,1,Settings!$B$16)</f>
        <v>Design des mondes forestiers</v>
      </c>
      <c r="I1868" s="6" t="str" cm="1">
        <f t="array" ref="I1868">choice(Referentiel!B:B,1,Settings!$B$16)</f>
        <v>5ème année Architecture Intérieure S1</v>
      </c>
      <c r="J1868" s="6" t="str" cm="1">
        <f t="array" ref="J1868">choice(Referentiel!D:D,1,Settings!$B$16)</f>
        <v>M2</v>
      </c>
      <c r="K1868" s="6" t="str" cm="1">
        <f t="array" ref="K1868">choice(Professeurs!B:B,1,Settings!$B$16)</f>
        <v>Prof55</v>
      </c>
      <c r="L1868" s="5" t="str" cm="1">
        <f t="array" ref="L1868">choice(Referentiel!C:C,1,Settings!$B$16)</f>
        <v/>
      </c>
      <c r="M1868" s="5" t="str" cm="1">
        <f t="array" ref="M1868">choice(Referentiel!E:E,1,Settings!$B$16)</f>
        <v/>
      </c>
      <c r="N1868" s="5" t="str" cm="1">
        <f t="array" ref="N1868">choice(Settings!K:K,1,Settings!$B$16)</f>
        <v>vendredi am</v>
      </c>
      <c r="P1868" s="5">
        <f t="shared" si="120"/>
        <v>4</v>
      </c>
    </row>
    <row r="1869" spans="1:16" ht="15.75" customHeight="1" x14ac:dyDescent="0.25">
      <c r="A1869" s="6" t="s">
        <v>2221</v>
      </c>
      <c r="B1869" s="6" cm="1">
        <f t="array" ref="B1869">alea_int(Settings!$B$10,1,Settings!$B$16)</f>
        <v>3</v>
      </c>
      <c r="C1869" s="8">
        <v>46023</v>
      </c>
      <c r="D1869" s="8">
        <f t="shared" si="117"/>
        <v>46387</v>
      </c>
      <c r="E1869" s="6" t="str" cm="1">
        <f t="array" ref="E1869">choice(Groupes!A:A,1,Settings!$B$16)</f>
        <v>G4</v>
      </c>
      <c r="F1869" s="6" t="str">
        <f t="shared" si="118"/>
        <v>G4</v>
      </c>
      <c r="G1869" s="6" t="str">
        <f t="shared" si="119"/>
        <v>Prof16</v>
      </c>
      <c r="H1869" s="6" t="str" cm="1">
        <f t="array" ref="H1869">choice(Referentiel!A:A,1,Settings!$B$16)</f>
        <v>Scénographie</v>
      </c>
      <c r="I1869" s="6" t="str" cm="1">
        <f t="array" ref="I1869">choice(Referentiel!B:B,1,Settings!$B$16)</f>
        <v>2ème année Photo / Vidéo S1</v>
      </c>
      <c r="J1869" s="6" t="str" cm="1">
        <f t="array" ref="J1869">choice(Referentiel!D:D,1,Settings!$B$16)</f>
        <v>L2</v>
      </c>
      <c r="K1869" s="6" t="str" cm="1">
        <f t="array" ref="K1869">choice(Professeurs!B:B,1,Settings!$B$16)</f>
        <v>Prof16</v>
      </c>
      <c r="L1869" s="5" t="str" cm="1">
        <f t="array" ref="L1869">choice(Referentiel!C:C,1,Settings!$B$16)</f>
        <v/>
      </c>
      <c r="M1869" s="5" t="str" cm="1">
        <f t="array" ref="M1869">choice(Referentiel!E:E,1,Settings!$B$16)</f>
        <v/>
      </c>
      <c r="N1869" s="5" t="str" cm="1">
        <f t="array" ref="N1869">choice(Settings!K:K,1,Settings!$B$16)</f>
        <v>semaine</v>
      </c>
      <c r="P1869" s="5">
        <f t="shared" si="120"/>
        <v>5</v>
      </c>
    </row>
    <row r="1870" spans="1:16" ht="15.75" customHeight="1" x14ac:dyDescent="0.25">
      <c r="A1870" s="6" t="s">
        <v>2222</v>
      </c>
      <c r="B1870" s="6" cm="1">
        <f t="array" ref="B1870">alea_int(Settings!$B$10,1,Settings!$B$16)</f>
        <v>2</v>
      </c>
      <c r="C1870" s="8">
        <v>46023</v>
      </c>
      <c r="D1870" s="8">
        <f t="shared" si="117"/>
        <v>46387</v>
      </c>
      <c r="E1870" s="6" t="str" cm="1">
        <f t="array" ref="E1870">choice(Groupes!A:A,1,Settings!$B$16)</f>
        <v>G28</v>
      </c>
      <c r="F1870" s="6" t="str">
        <f t="shared" si="118"/>
        <v>G28</v>
      </c>
      <c r="G1870" s="6" t="str">
        <f t="shared" si="119"/>
        <v>Prof36</v>
      </c>
      <c r="H1870" s="6" t="str" cm="1">
        <f t="array" ref="H1870">choice(Referentiel!A:A,1,Settings!$B$16)</f>
        <v>Scénographie</v>
      </c>
      <c r="I1870" s="6" t="str" cm="1">
        <f t="array" ref="I1870">choice(Referentiel!B:B,1,Settings!$B$16)</f>
        <v>5ème année Scénographie S2</v>
      </c>
      <c r="J1870" s="6" t="str" cm="1">
        <f t="array" ref="J1870">choice(Referentiel!D:D,1,Settings!$B$16)</f>
        <v>M1</v>
      </c>
      <c r="K1870" s="6" t="str" cm="1">
        <f t="array" ref="K1870">choice(Professeurs!B:B,1,Settings!$B$16)</f>
        <v>Prof36</v>
      </c>
      <c r="L1870" s="5" t="str" cm="1">
        <f t="array" ref="L1870">choice(Referentiel!C:C,1,Settings!$B$16)</f>
        <v/>
      </c>
      <c r="M1870" s="5" t="str" cm="1">
        <f t="array" ref="M1870">choice(Referentiel!E:E,1,Settings!$B$16)</f>
        <v/>
      </c>
      <c r="N1870" s="5" t="str" cm="1">
        <f t="array" ref="N1870">choice(Settings!K:K,1,Settings!$B$16)</f>
        <v/>
      </c>
      <c r="P1870" s="5">
        <f t="shared" si="120"/>
        <v>2</v>
      </c>
    </row>
    <row r="1871" spans="1:16" ht="15.75" customHeight="1" x14ac:dyDescent="0.25">
      <c r="A1871" s="6" t="s">
        <v>2223</v>
      </c>
      <c r="B1871" s="6" cm="1">
        <f t="array" ref="B1871">alea_int(Settings!$B$10,1,Settings!$B$16)</f>
        <v>1</v>
      </c>
      <c r="C1871" s="8">
        <v>46023</v>
      </c>
      <c r="D1871" s="8">
        <f t="shared" si="117"/>
        <v>46387</v>
      </c>
      <c r="E1871" s="6" t="str" cm="1">
        <f t="array" ref="E1871">choice(Groupes!A:A,1,Settings!$B$16)</f>
        <v>G28</v>
      </c>
      <c r="F1871" s="6" t="str">
        <f t="shared" si="118"/>
        <v>G28</v>
      </c>
      <c r="G1871" s="6" t="str">
        <f t="shared" si="119"/>
        <v>Prof32</v>
      </c>
      <c r="H1871" s="6" t="str" cm="1">
        <f t="array" ref="H1871">choice(Referentiel!A:A,1,Settings!$B$16)</f>
        <v>Gr REFLECTIVE INTERACTION</v>
      </c>
      <c r="I1871" s="6" t="str" cm="1">
        <f t="array" ref="I1871">choice(Referentiel!B:B,1,Settings!$B$16)</f>
        <v>4ème année Architecture Intérieure S1</v>
      </c>
      <c r="J1871" s="6" t="str" cm="1">
        <f t="array" ref="J1871">choice(Referentiel!D:D,1,Settings!$B$16)</f>
        <v>L3</v>
      </c>
      <c r="K1871" s="6" t="str" cm="1">
        <f t="array" ref="K1871">choice(Professeurs!B:B,1,Settings!$B$16)</f>
        <v>Prof32</v>
      </c>
      <c r="L1871" s="5" t="str" cm="1">
        <f t="array" ref="L1871">choice(Referentiel!C:C,1,Settings!$B$16)</f>
        <v/>
      </c>
      <c r="M1871" s="5" t="str" cm="1">
        <f t="array" ref="M1871">choice(Referentiel!E:E,1,Settings!$B$16)</f>
        <v/>
      </c>
      <c r="N1871" s="5" t="str" cm="1">
        <f t="array" ref="N1871">choice(Settings!K:K,1,Settings!$B$16)</f>
        <v/>
      </c>
      <c r="P1871" s="5">
        <f t="shared" si="120"/>
        <v>1</v>
      </c>
    </row>
    <row r="1872" spans="1:16" ht="15.75" customHeight="1" x14ac:dyDescent="0.25">
      <c r="A1872" s="6" t="s">
        <v>2224</v>
      </c>
      <c r="B1872" s="6" cm="1">
        <f t="array" ref="B1872">alea_int(Settings!$B$10,1,Settings!$B$16)</f>
        <v>1</v>
      </c>
      <c r="C1872" s="8">
        <v>46023</v>
      </c>
      <c r="D1872" s="8">
        <f t="shared" si="117"/>
        <v>46387</v>
      </c>
      <c r="E1872" s="6" t="str" cm="1">
        <f t="array" ref="E1872">choice(Groupes!A:A,1,Settings!$B$16)</f>
        <v>G27</v>
      </c>
      <c r="F1872" s="6" t="str">
        <f t="shared" si="118"/>
        <v>G27</v>
      </c>
      <c r="G1872" s="6" t="str">
        <f t="shared" si="119"/>
        <v>Prof55</v>
      </c>
      <c r="H1872" s="6" t="str" cm="1">
        <f t="array" ref="H1872">choice(Referentiel!A:A,1,Settings!$B$16)</f>
        <v>Mode et Matière</v>
      </c>
      <c r="I1872" s="6" t="str" cm="1">
        <f t="array" ref="I1872">choice(Referentiel!B:B,1,Settings!$B$16)</f>
        <v>2ème année Design Vêtement S2</v>
      </c>
      <c r="J1872" s="6" t="str" cm="1">
        <f t="array" ref="J1872">choice(Referentiel!D:D,1,Settings!$B$16)</f>
        <v>L2</v>
      </c>
      <c r="K1872" s="6" t="str" cm="1">
        <f t="array" ref="K1872">choice(Professeurs!B:B,1,Settings!$B$16)</f>
        <v>Prof55</v>
      </c>
      <c r="L1872" s="5" t="str" cm="1">
        <f t="array" ref="L1872">choice(Referentiel!C:C,1,Settings!$B$16)</f>
        <v/>
      </c>
      <c r="M1872" s="5" t="str" cm="1">
        <f t="array" ref="M1872">choice(Referentiel!E:E,1,Settings!$B$16)</f>
        <v/>
      </c>
      <c r="N1872" s="5" t="str" cm="1">
        <f t="array" ref="N1872">choice(Settings!K:K,1,Settings!$B$16)</f>
        <v/>
      </c>
      <c r="P1872" s="5">
        <f t="shared" si="120"/>
        <v>1</v>
      </c>
    </row>
    <row r="1873" spans="1:16" ht="15.75" customHeight="1" x14ac:dyDescent="0.25">
      <c r="A1873" s="6" t="s">
        <v>2225</v>
      </c>
      <c r="B1873" s="6" cm="1">
        <f t="array" ref="B1873">alea_int(Settings!$B$10,1,Settings!$B$16)</f>
        <v>2</v>
      </c>
      <c r="C1873" s="8">
        <v>46023</v>
      </c>
      <c r="D1873" s="8">
        <f t="shared" si="117"/>
        <v>46387</v>
      </c>
      <c r="E1873" s="6" t="str" cm="1">
        <f t="array" ref="E1873">choice(Groupes!A:A,1,Settings!$B$16)</f>
        <v>G1</v>
      </c>
      <c r="F1873" s="6" t="str">
        <f t="shared" si="118"/>
        <v>G1</v>
      </c>
      <c r="G1873" s="6" t="str">
        <f t="shared" si="119"/>
        <v>Prof34</v>
      </c>
      <c r="H1873" s="6" t="str" cm="1">
        <f t="array" ref="H1873">choice(Referentiel!A:A,1,Settings!$B$16)</f>
        <v>Gr REFLECTIVE INTERACTION</v>
      </c>
      <c r="I1873" s="6" t="str" cm="1">
        <f t="array" ref="I1873">choice(Referentiel!B:B,1,Settings!$B$16)</f>
        <v>4ème année Architecture Intérieure S2</v>
      </c>
      <c r="J1873" s="6" t="str" cm="1">
        <f t="array" ref="J1873">choice(Referentiel!D:D,1,Settings!$B$16)</f>
        <v>L2</v>
      </c>
      <c r="K1873" s="6" t="str" cm="1">
        <f t="array" ref="K1873">choice(Professeurs!B:B,1,Settings!$B$16)</f>
        <v>Prof34</v>
      </c>
      <c r="L1873" s="5" t="str" cm="1">
        <f t="array" ref="L1873">choice(Referentiel!C:C,1,Settings!$B$16)</f>
        <v/>
      </c>
      <c r="M1873" s="5" t="str" cm="1">
        <f t="array" ref="M1873">choice(Referentiel!E:E,1,Settings!$B$16)</f>
        <v/>
      </c>
      <c r="N1873" s="5" t="str" cm="1">
        <f t="array" ref="N1873">choice(Settings!K:K,1,Settings!$B$16)</f>
        <v/>
      </c>
      <c r="P1873" s="5">
        <f t="shared" si="120"/>
        <v>2</v>
      </c>
    </row>
    <row r="1874" spans="1:16" ht="15.75" customHeight="1" x14ac:dyDescent="0.25">
      <c r="A1874" s="6" t="s">
        <v>2226</v>
      </c>
      <c r="B1874" s="6" cm="1">
        <f t="array" ref="B1874">alea_int(Settings!$B$10,1,Settings!$B$16)</f>
        <v>3</v>
      </c>
      <c r="C1874" s="8">
        <v>46023</v>
      </c>
      <c r="D1874" s="8">
        <f t="shared" si="117"/>
        <v>46387</v>
      </c>
      <c r="E1874" s="6" t="str" cm="1">
        <f t="array" ref="E1874">choice(Groupes!A:A,1,Settings!$B$16)</f>
        <v>G16</v>
      </c>
      <c r="F1874" s="6" t="str">
        <f t="shared" si="118"/>
        <v>G16</v>
      </c>
      <c r="G1874" s="6" t="str">
        <f t="shared" si="119"/>
        <v>Prof13</v>
      </c>
      <c r="H1874" s="6" t="str" cm="1">
        <f t="array" ref="H1874">choice(Referentiel!A:A,1,Settings!$B$16)</f>
        <v>Gr TERRITOIRES</v>
      </c>
      <c r="I1874" s="6" t="str" cm="1">
        <f t="array" ref="I1874">choice(Referentiel!B:B,1,Settings!$B$16)</f>
        <v>5ème année Architecture Intérieure S1</v>
      </c>
      <c r="J1874" s="6" t="str" cm="1">
        <f t="array" ref="J1874">choice(Referentiel!D:D,1,Settings!$B$16)</f>
        <v>L3</v>
      </c>
      <c r="K1874" s="6" t="str" cm="1">
        <f t="array" ref="K1874">choice(Professeurs!B:B,1,Settings!$B$16)</f>
        <v>Prof13</v>
      </c>
      <c r="L1874" s="5" t="str" cm="1">
        <f t="array" ref="L1874">choice(Referentiel!C:C,1,Settings!$B$16)</f>
        <v/>
      </c>
      <c r="M1874" s="5" t="str" cm="1">
        <f t="array" ref="M1874">choice(Referentiel!E:E,1,Settings!$B$16)</f>
        <v/>
      </c>
      <c r="N1874" s="5" t="str" cm="1">
        <f t="array" ref="N1874">choice(Settings!K:K,1,Settings!$B$16)</f>
        <v>lundi pm</v>
      </c>
      <c r="P1874" s="5">
        <f t="shared" si="120"/>
        <v>5</v>
      </c>
    </row>
    <row r="1875" spans="1:16" ht="15.75" customHeight="1" x14ac:dyDescent="0.25">
      <c r="A1875" s="6" t="s">
        <v>2227</v>
      </c>
      <c r="B1875" s="6" cm="1">
        <f t="array" ref="B1875">alea_int(Settings!$B$10,1,Settings!$B$16)</f>
        <v>1</v>
      </c>
      <c r="C1875" s="8">
        <v>46023</v>
      </c>
      <c r="D1875" s="8">
        <f t="shared" si="117"/>
        <v>46387</v>
      </c>
      <c r="E1875" s="6" t="str" cm="1">
        <f t="array" ref="E1875">choice(Groupes!A:A,1,Settings!$B$16)</f>
        <v>G25</v>
      </c>
      <c r="F1875" s="6" t="str">
        <f t="shared" si="118"/>
        <v>G25</v>
      </c>
      <c r="G1875" s="6" t="str">
        <f t="shared" si="119"/>
        <v>Prof22</v>
      </c>
      <c r="H1875" s="6" t="str" cm="1">
        <f t="array" ref="H1875">choice(Referentiel!A:A,1,Settings!$B$16)</f>
        <v>Architecture Intérieure</v>
      </c>
      <c r="I1875" s="6" t="str" cm="1">
        <f t="array" ref="I1875">choice(Referentiel!B:B,1,Settings!$B$16)</f>
        <v>3ème année Image Imprimée S1</v>
      </c>
      <c r="J1875" s="6" t="str" cm="1">
        <f t="array" ref="J1875">choice(Referentiel!D:D,1,Settings!$B$16)</f>
        <v>L1</v>
      </c>
      <c r="K1875" s="6" t="str" cm="1">
        <f t="array" ref="K1875">choice(Professeurs!B:B,1,Settings!$B$16)</f>
        <v>Prof22</v>
      </c>
      <c r="L1875" s="5" t="str" cm="1">
        <f t="array" ref="L1875">choice(Referentiel!C:C,1,Settings!$B$16)</f>
        <v/>
      </c>
      <c r="M1875" s="5" t="str" cm="1">
        <f t="array" ref="M1875">choice(Referentiel!E:E,1,Settings!$B$16)</f>
        <v/>
      </c>
      <c r="N1875" s="5" t="str" cm="1">
        <f t="array" ref="N1875">choice(Settings!K:K,1,Settings!$B$16)</f>
        <v>mercredi ap</v>
      </c>
      <c r="P1875" s="5">
        <f t="shared" si="120"/>
        <v>3</v>
      </c>
    </row>
    <row r="1876" spans="1:16" ht="15.75" customHeight="1" x14ac:dyDescent="0.25">
      <c r="A1876" s="6" t="s">
        <v>2228</v>
      </c>
      <c r="B1876" s="6" cm="1">
        <f t="array" ref="B1876">alea_int(Settings!$B$10,1,Settings!$B$16)</f>
        <v>1</v>
      </c>
      <c r="C1876" s="8">
        <v>46023</v>
      </c>
      <c r="D1876" s="8">
        <f t="shared" si="117"/>
        <v>46387</v>
      </c>
      <c r="E1876" s="6" t="str" cm="1">
        <f t="array" ref="E1876">choice(Groupes!A:A,1,Settings!$B$16)</f>
        <v>G27</v>
      </c>
      <c r="F1876" s="6" t="str">
        <f t="shared" si="118"/>
        <v>G27</v>
      </c>
      <c r="G1876" s="6" t="str">
        <f t="shared" si="119"/>
        <v>Prof36</v>
      </c>
      <c r="H1876" s="6" t="str" cm="1">
        <f t="array" ref="H1876">choice(Referentiel!A:A,1,Settings!$B$16)</f>
        <v>Design des mondes forestiers</v>
      </c>
      <c r="I1876" s="6" t="str" cm="1">
        <f t="array" ref="I1876">choice(Referentiel!B:B,1,Settings!$B$16)</f>
        <v>5ème année Design Graphique S2</v>
      </c>
      <c r="J1876" s="6" t="str" cm="1">
        <f t="array" ref="J1876">choice(Referentiel!D:D,1,Settings!$B$16)</f>
        <v>L2</v>
      </c>
      <c r="K1876" s="6" t="str" cm="1">
        <f t="array" ref="K1876">choice(Professeurs!B:B,1,Settings!$B$16)</f>
        <v>Prof36</v>
      </c>
      <c r="L1876" s="5" t="str" cm="1">
        <f t="array" ref="L1876">choice(Referentiel!C:C,1,Settings!$B$16)</f>
        <v/>
      </c>
      <c r="M1876" s="5" t="str" cm="1">
        <f t="array" ref="M1876">choice(Referentiel!E:E,1,Settings!$B$16)</f>
        <v/>
      </c>
      <c r="N1876" s="5" t="str" cm="1">
        <f t="array" ref="N1876">choice(Settings!K:K,1,Settings!$B$16)</f>
        <v>jeudi am</v>
      </c>
      <c r="P1876" s="5">
        <f t="shared" si="120"/>
        <v>3</v>
      </c>
    </row>
    <row r="1877" spans="1:16" ht="15.75" customHeight="1" x14ac:dyDescent="0.25">
      <c r="A1877" s="6" t="s">
        <v>2229</v>
      </c>
      <c r="B1877" s="6" cm="1">
        <f t="array" ref="B1877">alea_int(Settings!$B$10,1,Settings!$B$16)</f>
        <v>2</v>
      </c>
      <c r="C1877" s="8">
        <v>46023</v>
      </c>
      <c r="D1877" s="8">
        <f t="shared" si="117"/>
        <v>46387</v>
      </c>
      <c r="E1877" s="6" t="str" cm="1">
        <f t="array" ref="E1877">choice(Groupes!A:A,1,Settings!$B$16)</f>
        <v>G9</v>
      </c>
      <c r="F1877" s="6" t="str">
        <f t="shared" si="118"/>
        <v>G9</v>
      </c>
      <c r="G1877" s="6" t="str">
        <f t="shared" si="119"/>
        <v>Prof34</v>
      </c>
      <c r="H1877" s="6" t="str" cm="1">
        <f t="array" ref="H1877">choice(Referentiel!A:A,1,Settings!$B$16)</f>
        <v>Architecture Intérieure</v>
      </c>
      <c r="I1877" s="6" t="str" cm="1">
        <f t="array" ref="I1877">choice(Referentiel!B:B,1,Settings!$B$16)</f>
        <v>5ème année Cinéma d'Animation S2</v>
      </c>
      <c r="J1877" s="6" t="str" cm="1">
        <f t="array" ref="J1877">choice(Referentiel!D:D,1,Settings!$B$16)</f>
        <v>L3</v>
      </c>
      <c r="K1877" s="6" t="str" cm="1">
        <f t="array" ref="K1877">choice(Professeurs!B:B,1,Settings!$B$16)</f>
        <v>Prof34</v>
      </c>
      <c r="L1877" s="5" t="str" cm="1">
        <f t="array" ref="L1877">choice(Referentiel!C:C,1,Settings!$B$16)</f>
        <v/>
      </c>
      <c r="M1877" s="5" t="str" cm="1">
        <f t="array" ref="M1877">choice(Referentiel!E:E,1,Settings!$B$16)</f>
        <v/>
      </c>
      <c r="N1877" s="5" t="str" cm="1">
        <f t="array" ref="N1877">choice(Settings!K:K,1,Settings!$B$16)</f>
        <v>vendredi am</v>
      </c>
      <c r="P1877" s="5">
        <f t="shared" si="120"/>
        <v>4</v>
      </c>
    </row>
    <row r="1878" spans="1:16" ht="15.75" customHeight="1" x14ac:dyDescent="0.25">
      <c r="A1878" s="6" t="s">
        <v>2230</v>
      </c>
      <c r="B1878" s="6" cm="1">
        <f t="array" ref="B1878">alea_int(Settings!$B$10,1,Settings!$B$16)</f>
        <v>1</v>
      </c>
      <c r="C1878" s="8">
        <v>46023</v>
      </c>
      <c r="D1878" s="8">
        <f t="shared" si="117"/>
        <v>46387</v>
      </c>
      <c r="E1878" s="6" t="str" cm="1">
        <f t="array" ref="E1878">choice(Groupes!A:A,1,Settings!$B$16)</f>
        <v>G13</v>
      </c>
      <c r="F1878" s="6" t="str">
        <f t="shared" si="118"/>
        <v>G13</v>
      </c>
      <c r="G1878" s="6" t="str">
        <f t="shared" si="119"/>
        <v>Prof7</v>
      </c>
      <c r="H1878" s="6" t="str" cm="1">
        <f t="array" ref="H1878">choice(Referentiel!A:A,1,Settings!$B$16)</f>
        <v>Design des mondes littoraux</v>
      </c>
      <c r="I1878" s="6" t="str" cm="1">
        <f t="array" ref="I1878">choice(Referentiel!B:B,1,Settings!$B$16)</f>
        <v>3ème année Architecture Intérieure S2</v>
      </c>
      <c r="J1878" s="6" t="str" cm="1">
        <f t="array" ref="J1878">choice(Referentiel!D:D,1,Settings!$B$16)</f>
        <v>L2</v>
      </c>
      <c r="K1878" s="6" t="str" cm="1">
        <f t="array" ref="K1878">choice(Professeurs!B:B,1,Settings!$B$16)</f>
        <v>Prof7</v>
      </c>
      <c r="L1878" s="5" t="str" cm="1">
        <f t="array" ref="L1878">choice(Referentiel!C:C,1,Settings!$B$16)</f>
        <v/>
      </c>
      <c r="M1878" s="5" t="str" cm="1">
        <f t="array" ref="M1878">choice(Referentiel!E:E,1,Settings!$B$16)</f>
        <v/>
      </c>
      <c r="N1878" s="5" t="str" cm="1">
        <f t="array" ref="N1878">choice(Settings!K:K,1,Settings!$B$16)</f>
        <v/>
      </c>
      <c r="P1878" s="5">
        <f t="shared" si="120"/>
        <v>1</v>
      </c>
    </row>
    <row r="1879" spans="1:16" ht="15.75" customHeight="1" x14ac:dyDescent="0.25">
      <c r="A1879" s="6" t="s">
        <v>2231</v>
      </c>
      <c r="B1879" s="6" cm="1">
        <f t="array" ref="B1879">alea_int(Settings!$B$10,1,Settings!$B$16)</f>
        <v>2</v>
      </c>
      <c r="C1879" s="8">
        <v>46023</v>
      </c>
      <c r="D1879" s="8">
        <f t="shared" si="117"/>
        <v>46387</v>
      </c>
      <c r="E1879" s="6" t="str" cm="1">
        <f t="array" ref="E1879">choice(Groupes!A:A,1,Settings!$B$16)</f>
        <v>G2</v>
      </c>
      <c r="F1879" s="6" t="str">
        <f t="shared" si="118"/>
        <v>G2</v>
      </c>
      <c r="G1879" s="6" t="str">
        <f t="shared" si="119"/>
        <v>Prof4</v>
      </c>
      <c r="H1879" s="6" t="str" cm="1">
        <f t="array" ref="H1879">choice(Referentiel!A:A,1,Settings!$B$16)</f>
        <v>Design Vêtement</v>
      </c>
      <c r="I1879" s="6" t="str" cm="1">
        <f t="array" ref="I1879">choice(Referentiel!B:B,1,Settings!$B$16)</f>
        <v>2ème année Photo / Vidéo S2</v>
      </c>
      <c r="J1879" s="6" t="str" cm="1">
        <f t="array" ref="J1879">choice(Referentiel!D:D,1,Settings!$B$16)</f>
        <v>M1</v>
      </c>
      <c r="K1879" s="6" t="str" cm="1">
        <f t="array" ref="K1879">choice(Professeurs!B:B,1,Settings!$B$16)</f>
        <v>Prof4</v>
      </c>
      <c r="L1879" s="5" t="str" cm="1">
        <f t="array" ref="L1879">choice(Referentiel!C:C,1,Settings!$B$16)</f>
        <v/>
      </c>
      <c r="M1879" s="5" t="str" cm="1">
        <f t="array" ref="M1879">choice(Referentiel!E:E,1,Settings!$B$16)</f>
        <v/>
      </c>
      <c r="N1879" s="5" t="str" cm="1">
        <f t="array" ref="N1879">choice(Settings!K:K,1,Settings!$B$16)</f>
        <v/>
      </c>
      <c r="P1879" s="5">
        <f t="shared" si="120"/>
        <v>2</v>
      </c>
    </row>
    <row r="1880" spans="1:16" ht="15.75" customHeight="1" x14ac:dyDescent="0.25">
      <c r="A1880" s="6" t="s">
        <v>2232</v>
      </c>
      <c r="B1880" s="6" cm="1">
        <f t="array" ref="B1880">alea_int(Settings!$B$10,1,Settings!$B$16)</f>
        <v>1</v>
      </c>
      <c r="C1880" s="8">
        <v>46023</v>
      </c>
      <c r="D1880" s="8">
        <f t="shared" si="117"/>
        <v>46387</v>
      </c>
      <c r="E1880" s="6" t="str" cm="1">
        <f t="array" ref="E1880">choice(Groupes!A:A,1,Settings!$B$16)</f>
        <v>G23</v>
      </c>
      <c r="F1880" s="6" t="str">
        <f t="shared" si="118"/>
        <v>G23</v>
      </c>
      <c r="G1880" s="6" t="str">
        <f t="shared" si="119"/>
        <v>Prof52</v>
      </c>
      <c r="H1880" s="6" t="str" cm="1">
        <f t="array" ref="H1880">choice(Referentiel!A:A,1,Settings!$B$16)</f>
        <v>Architecture Intérieure</v>
      </c>
      <c r="I1880" s="6" t="str" cm="1">
        <f t="array" ref="I1880">choice(Referentiel!B:B,1,Settings!$B$16)</f>
        <v>5ème année Image Imprimée S1</v>
      </c>
      <c r="J1880" s="6" t="str" cm="1">
        <f t="array" ref="J1880">choice(Referentiel!D:D,1,Settings!$B$16)</f>
        <v>L3</v>
      </c>
      <c r="K1880" s="6" t="str" cm="1">
        <f t="array" ref="K1880">choice(Professeurs!B:B,1,Settings!$B$16)</f>
        <v>Prof52</v>
      </c>
      <c r="L1880" s="5" t="str" cm="1">
        <f t="array" ref="L1880">choice(Referentiel!C:C,1,Settings!$B$16)</f>
        <v/>
      </c>
      <c r="M1880" s="5" t="str" cm="1">
        <f t="array" ref="M1880">choice(Referentiel!E:E,1,Settings!$B$16)</f>
        <v/>
      </c>
      <c r="N1880" s="5" t="str" cm="1">
        <f t="array" ref="N1880">choice(Settings!K:K,1,Settings!$B$16)</f>
        <v/>
      </c>
      <c r="P1880" s="5">
        <f t="shared" si="120"/>
        <v>1</v>
      </c>
    </row>
    <row r="1881" spans="1:16" ht="15.75" customHeight="1" x14ac:dyDescent="0.25">
      <c r="A1881" s="6" t="s">
        <v>2233</v>
      </c>
      <c r="B1881" s="6" cm="1">
        <f t="array" ref="B1881">alea_int(Settings!$B$10,1,Settings!$B$16)</f>
        <v>2</v>
      </c>
      <c r="C1881" s="8">
        <v>46023</v>
      </c>
      <c r="D1881" s="8">
        <f t="shared" si="117"/>
        <v>46387</v>
      </c>
      <c r="E1881" s="6" t="str" cm="1">
        <f t="array" ref="E1881">choice(Groupes!A:A,1,Settings!$B$16)</f>
        <v>G22</v>
      </c>
      <c r="F1881" s="6" t="str">
        <f t="shared" si="118"/>
        <v>G22</v>
      </c>
      <c r="G1881" s="6" t="str">
        <f t="shared" si="119"/>
        <v>Prof39</v>
      </c>
      <c r="H1881" s="6" t="str" cm="1">
        <f t="array" ref="H1881">choice(Referentiel!A:A,1,Settings!$B$16)</f>
        <v>Design Graphique</v>
      </c>
      <c r="I1881" s="6" t="str" cm="1">
        <f t="array" ref="I1881">choice(Referentiel!B:B,1,Settings!$B$16)</f>
        <v>1ère Année Groupe 2 S2</v>
      </c>
      <c r="J1881" s="6" t="str" cm="1">
        <f t="array" ref="J1881">choice(Referentiel!D:D,1,Settings!$B$16)</f>
        <v>M1</v>
      </c>
      <c r="K1881" s="6" t="str" cm="1">
        <f t="array" ref="K1881">choice(Professeurs!B:B,1,Settings!$B$16)</f>
        <v>Prof39</v>
      </c>
      <c r="L1881" s="5" t="str" cm="1">
        <f t="array" ref="L1881">choice(Referentiel!C:C,1,Settings!$B$16)</f>
        <v/>
      </c>
      <c r="M1881" s="5" t="str" cm="1">
        <f t="array" ref="M1881">choice(Referentiel!E:E,1,Settings!$B$16)</f>
        <v/>
      </c>
      <c r="N1881" s="5" t="str" cm="1">
        <f t="array" ref="N1881">choice(Settings!K:K,1,Settings!$B$16)</f>
        <v/>
      </c>
      <c r="P1881" s="5">
        <f t="shared" si="120"/>
        <v>2</v>
      </c>
    </row>
    <row r="1882" spans="1:16" ht="15.75" customHeight="1" x14ac:dyDescent="0.25">
      <c r="A1882" s="6" t="s">
        <v>2234</v>
      </c>
      <c r="B1882" s="6" cm="1">
        <f t="array" ref="B1882">alea_int(Settings!$B$10,1,Settings!$B$16)</f>
        <v>3</v>
      </c>
      <c r="C1882" s="8">
        <v>46023</v>
      </c>
      <c r="D1882" s="8">
        <f t="shared" si="117"/>
        <v>46387</v>
      </c>
      <c r="E1882" s="6" t="str" cm="1">
        <f t="array" ref="E1882">choice(Groupes!A:A,1,Settings!$B$16)</f>
        <v>G25</v>
      </c>
      <c r="F1882" s="6" t="str">
        <f t="shared" si="118"/>
        <v>G25</v>
      </c>
      <c r="G1882" s="6" t="str">
        <f t="shared" si="119"/>
        <v>Prof55</v>
      </c>
      <c r="H1882" s="6" t="str" cm="1">
        <f t="array" ref="H1882">choice(Referentiel!A:A,1,Settings!$B$16)</f>
        <v>Design des mondes insulaires</v>
      </c>
      <c r="I1882" s="6" t="str" cm="1">
        <f t="array" ref="I1882">choice(Referentiel!B:B,1,Settings!$B$16)</f>
        <v>2ème année Design Graphique S2</v>
      </c>
      <c r="J1882" s="6" t="str" cm="1">
        <f t="array" ref="J1882">choice(Referentiel!D:D,1,Settings!$B$16)</f>
        <v>M1</v>
      </c>
      <c r="K1882" s="6" t="str" cm="1">
        <f t="array" ref="K1882">choice(Professeurs!B:B,1,Settings!$B$16)</f>
        <v>Prof55</v>
      </c>
      <c r="L1882" s="5" t="str" cm="1">
        <f t="array" ref="L1882">choice(Referentiel!C:C,1,Settings!$B$16)</f>
        <v/>
      </c>
      <c r="M1882" s="5" t="str" cm="1">
        <f t="array" ref="M1882">choice(Referentiel!E:E,1,Settings!$B$16)</f>
        <v/>
      </c>
      <c r="N1882" s="5" t="str" cm="1">
        <f t="array" ref="N1882">choice(Settings!K:K,1,Settings!$B$16)</f>
        <v/>
      </c>
      <c r="P1882" s="5">
        <f t="shared" si="120"/>
        <v>3</v>
      </c>
    </row>
    <row r="1883" spans="1:16" ht="15.75" customHeight="1" x14ac:dyDescent="0.25">
      <c r="A1883" s="6" t="s">
        <v>2235</v>
      </c>
      <c r="B1883" s="6" cm="1">
        <f t="array" ref="B1883">alea_int(Settings!$B$10,1,Settings!$B$16)</f>
        <v>2</v>
      </c>
      <c r="C1883" s="8">
        <v>46023</v>
      </c>
      <c r="D1883" s="8">
        <f t="shared" si="117"/>
        <v>46387</v>
      </c>
      <c r="E1883" s="6" t="str" cm="1">
        <f t="array" ref="E1883">choice(Groupes!A:A,1,Settings!$B$16)</f>
        <v>G3</v>
      </c>
      <c r="F1883" s="6" t="str">
        <f t="shared" si="118"/>
        <v>G3</v>
      </c>
      <c r="G1883" s="6" t="str">
        <f t="shared" si="119"/>
        <v>Prof37</v>
      </c>
      <c r="H1883" s="6" t="str" cm="1">
        <f t="array" ref="H1883">choice(Referentiel!A:A,1,Settings!$B$16)</f>
        <v>Cinéma d'Animation</v>
      </c>
      <c r="I1883" s="6" t="str" cm="1">
        <f t="array" ref="I1883">choice(Referentiel!B:B,1,Settings!$B$16)</f>
        <v>1ère Année Groupe 1 S2</v>
      </c>
      <c r="J1883" s="6" t="str" cm="1">
        <f t="array" ref="J1883">choice(Referentiel!D:D,1,Settings!$B$16)</f>
        <v>L3</v>
      </c>
      <c r="K1883" s="6" t="str" cm="1">
        <f t="array" ref="K1883">choice(Professeurs!B:B,1,Settings!$B$16)</f>
        <v>Prof37</v>
      </c>
      <c r="L1883" s="5" t="str" cm="1">
        <f t="array" ref="L1883">choice(Referentiel!C:C,1,Settings!$B$16)</f>
        <v/>
      </c>
      <c r="M1883" s="5" t="str" cm="1">
        <f t="array" ref="M1883">choice(Referentiel!E:E,1,Settings!$B$16)</f>
        <v/>
      </c>
      <c r="N1883" s="5" t="str" cm="1">
        <f t="array" ref="N1883">choice(Settings!K:K,1,Settings!$B$16)</f>
        <v/>
      </c>
      <c r="P1883" s="5">
        <f t="shared" si="120"/>
        <v>2</v>
      </c>
    </row>
    <row r="1884" spans="1:16" ht="15.75" customHeight="1" x14ac:dyDescent="0.25">
      <c r="A1884" s="6" t="s">
        <v>2236</v>
      </c>
      <c r="B1884" s="6" cm="1">
        <f t="array" ref="B1884">alea_int(Settings!$B$10,1,Settings!$B$16)</f>
        <v>3</v>
      </c>
      <c r="C1884" s="8">
        <v>46023</v>
      </c>
      <c r="D1884" s="8">
        <f t="shared" si="117"/>
        <v>46387</v>
      </c>
      <c r="E1884" s="6" t="str" cm="1">
        <f t="array" ref="E1884">choice(Groupes!A:A,1,Settings!$B$16)</f>
        <v>G3</v>
      </c>
      <c r="F1884" s="6" t="str">
        <f t="shared" si="118"/>
        <v>G3</v>
      </c>
      <c r="G1884" s="6" t="str">
        <f t="shared" si="119"/>
        <v>Prof6</v>
      </c>
      <c r="H1884" s="6" t="str" cm="1">
        <f t="array" ref="H1884">choice(Referentiel!A:A,1,Settings!$B$16)</f>
        <v>Image Imprimée</v>
      </c>
      <c r="I1884" s="6" t="str" cm="1">
        <f t="array" ref="I1884">choice(Referentiel!B:B,1,Settings!$B$16)</f>
        <v>5ème année Image Imprimée S2</v>
      </c>
      <c r="J1884" s="6" t="str" cm="1">
        <f t="array" ref="J1884">choice(Referentiel!D:D,1,Settings!$B$16)</f>
        <v>L2</v>
      </c>
      <c r="K1884" s="6" t="str" cm="1">
        <f t="array" ref="K1884">choice(Professeurs!B:B,1,Settings!$B$16)</f>
        <v>Prof6</v>
      </c>
      <c r="L1884" s="5" t="str" cm="1">
        <f t="array" ref="L1884">choice(Referentiel!C:C,1,Settings!$B$16)</f>
        <v/>
      </c>
      <c r="M1884" s="5" t="str" cm="1">
        <f t="array" ref="M1884">choice(Referentiel!E:E,1,Settings!$B$16)</f>
        <v/>
      </c>
      <c r="N1884" s="5" t="str" cm="1">
        <f t="array" ref="N1884">choice(Settings!K:K,1,Settings!$B$16)</f>
        <v/>
      </c>
      <c r="P1884" s="5">
        <f t="shared" si="120"/>
        <v>3</v>
      </c>
    </row>
    <row r="1885" spans="1:16" ht="15.75" customHeight="1" x14ac:dyDescent="0.25">
      <c r="A1885" s="6" t="s">
        <v>2237</v>
      </c>
      <c r="B1885" s="6" cm="1">
        <f t="array" ref="B1885">alea_int(Settings!$B$10,1,Settings!$B$16)</f>
        <v>2</v>
      </c>
      <c r="C1885" s="8">
        <v>46023</v>
      </c>
      <c r="D1885" s="8">
        <f t="shared" si="117"/>
        <v>46387</v>
      </c>
      <c r="E1885" s="6" t="str" cm="1">
        <f t="array" ref="E1885">choice(Groupes!A:A,1,Settings!$B$16)</f>
        <v>G1</v>
      </c>
      <c r="F1885" s="6" t="str">
        <f t="shared" si="118"/>
        <v>G1</v>
      </c>
      <c r="G1885" s="6" t="str">
        <f t="shared" si="119"/>
        <v>Prof51</v>
      </c>
      <c r="H1885" s="6" t="str" cm="1">
        <f t="array" ref="H1885">choice(Referentiel!A:A,1,Settings!$B$16)</f>
        <v>Gr TERRITOIRES</v>
      </c>
      <c r="I1885" s="6" t="str" cm="1">
        <f t="array" ref="I1885">choice(Referentiel!B:B,1,Settings!$B$16)</f>
        <v>4ème année Design Objet S1</v>
      </c>
      <c r="J1885" s="6" t="str" cm="1">
        <f t="array" ref="J1885">choice(Referentiel!D:D,1,Settings!$B$16)</f>
        <v>L3</v>
      </c>
      <c r="K1885" s="6" t="str" cm="1">
        <f t="array" ref="K1885">choice(Professeurs!B:B,1,Settings!$B$16)</f>
        <v>Prof51</v>
      </c>
      <c r="L1885" s="5" t="str" cm="1">
        <f t="array" ref="L1885">choice(Referentiel!C:C,1,Settings!$B$16)</f>
        <v>fenetre</v>
      </c>
      <c r="M1885" s="5" t="str" cm="1">
        <f t="array" ref="M1885">choice(Referentiel!E:E,1,Settings!$B$16)</f>
        <v/>
      </c>
      <c r="N1885" s="5" t="str" cm="1">
        <f t="array" ref="N1885">choice(Settings!K:K,1,Settings!$B$16)</f>
        <v/>
      </c>
      <c r="P1885" s="5">
        <f t="shared" si="120"/>
        <v>2</v>
      </c>
    </row>
    <row r="1886" spans="1:16" ht="15.75" customHeight="1" x14ac:dyDescent="0.25">
      <c r="A1886" s="6" t="s">
        <v>2238</v>
      </c>
      <c r="B1886" s="6" cm="1">
        <f t="array" ref="B1886">alea_int(Settings!$B$10,1,Settings!$B$16)</f>
        <v>2</v>
      </c>
      <c r="C1886" s="8">
        <v>46023</v>
      </c>
      <c r="D1886" s="8">
        <f t="shared" si="117"/>
        <v>46387</v>
      </c>
      <c r="E1886" s="6" t="str" cm="1">
        <f t="array" ref="E1886">choice(Groupes!A:A,1,Settings!$B$16)</f>
        <v>G12</v>
      </c>
      <c r="F1886" s="6" t="str">
        <f t="shared" si="118"/>
        <v>G12</v>
      </c>
      <c r="G1886" s="6" t="str">
        <f t="shared" si="119"/>
        <v>Prof17</v>
      </c>
      <c r="H1886" s="6" t="str" cm="1">
        <f t="array" ref="H1886">choice(Referentiel!A:A,1,Settings!$B$16)</f>
        <v>Scénographie</v>
      </c>
      <c r="I1886" s="6" t="str" cm="1">
        <f t="array" ref="I1886">choice(Referentiel!B:B,1,Settings!$B$16)</f>
        <v>3ème année Design Graphique S2</v>
      </c>
      <c r="J1886" s="6" t="str" cm="1">
        <f t="array" ref="J1886">choice(Referentiel!D:D,1,Settings!$B$16)</f>
        <v>L3</v>
      </c>
      <c r="K1886" s="6" t="str" cm="1">
        <f t="array" ref="K1886">choice(Professeurs!B:B,1,Settings!$B$16)</f>
        <v>Prof17</v>
      </c>
      <c r="L1886" s="5" t="str" cm="1">
        <f t="array" ref="L1886">choice(Referentiel!C:C,1,Settings!$B$16)</f>
        <v/>
      </c>
      <c r="M1886" s="5" t="str" cm="1">
        <f t="array" ref="M1886">choice(Referentiel!E:E,1,Settings!$B$16)</f>
        <v/>
      </c>
      <c r="N1886" s="5" t="str" cm="1">
        <f t="array" ref="N1886">choice(Settings!K:K,1,Settings!$B$16)</f>
        <v/>
      </c>
      <c r="P1886" s="5">
        <f t="shared" si="120"/>
        <v>2</v>
      </c>
    </row>
    <row r="1887" spans="1:16" ht="15.75" customHeight="1" x14ac:dyDescent="0.25">
      <c r="A1887" s="6" t="s">
        <v>2239</v>
      </c>
      <c r="B1887" s="6" cm="1">
        <f t="array" ref="B1887">alea_int(Settings!$B$10,1,Settings!$B$16)</f>
        <v>3</v>
      </c>
      <c r="C1887" s="8">
        <v>46023</v>
      </c>
      <c r="D1887" s="8">
        <f t="shared" si="117"/>
        <v>46387</v>
      </c>
      <c r="E1887" s="6" t="str" cm="1">
        <f t="array" ref="E1887">choice(Groupes!A:A,1,Settings!$B$16)</f>
        <v>G21</v>
      </c>
      <c r="F1887" s="6" t="str">
        <f t="shared" si="118"/>
        <v>G21</v>
      </c>
      <c r="G1887" s="6" t="str">
        <f t="shared" si="119"/>
        <v>Prof25</v>
      </c>
      <c r="H1887" s="6" t="str" cm="1">
        <f t="array" ref="H1887">choice(Referentiel!A:A,1,Settings!$B$16)</f>
        <v>Design des mondes urbains</v>
      </c>
      <c r="I1887" s="6" t="str" cm="1">
        <f t="array" ref="I1887">choice(Referentiel!B:B,1,Settings!$B$16)</f>
        <v>2ème année Design Graphique S2</v>
      </c>
      <c r="J1887" s="6" t="str" cm="1">
        <f t="array" ref="J1887">choice(Referentiel!D:D,1,Settings!$B$16)</f>
        <v>L1</v>
      </c>
      <c r="K1887" s="6" t="str" cm="1">
        <f t="array" ref="K1887">choice(Professeurs!B:B,1,Settings!$B$16)</f>
        <v>Prof25</v>
      </c>
      <c r="L1887" s="5" t="str" cm="1">
        <f t="array" ref="L1887">choice(Referentiel!C:C,1,Settings!$B$16)</f>
        <v/>
      </c>
      <c r="M1887" s="5" t="str" cm="1">
        <f t="array" ref="M1887">choice(Referentiel!E:E,1,Settings!$B$16)</f>
        <v/>
      </c>
      <c r="N1887" s="5" t="str" cm="1">
        <f t="array" ref="N1887">choice(Settings!K:K,1,Settings!$B$16)</f>
        <v/>
      </c>
      <c r="P1887" s="5">
        <f t="shared" si="120"/>
        <v>3</v>
      </c>
    </row>
    <row r="1888" spans="1:16" ht="15.75" customHeight="1" x14ac:dyDescent="0.25">
      <c r="A1888" s="6" t="s">
        <v>2240</v>
      </c>
      <c r="B1888" s="6" cm="1">
        <f t="array" ref="B1888">alea_int(Settings!$B$10,1,Settings!$B$16)</f>
        <v>3</v>
      </c>
      <c r="C1888" s="8">
        <v>46023</v>
      </c>
      <c r="D1888" s="8">
        <f t="shared" si="117"/>
        <v>46387</v>
      </c>
      <c r="E1888" s="6" t="str" cm="1">
        <f t="array" ref="E1888">choice(Groupes!A:A,1,Settings!$B$16)</f>
        <v>G29</v>
      </c>
      <c r="F1888" s="6" t="str">
        <f t="shared" si="118"/>
        <v>G29</v>
      </c>
      <c r="G1888" s="6" t="str">
        <f t="shared" si="119"/>
        <v>Prof44</v>
      </c>
      <c r="H1888" s="6" t="str" cm="1">
        <f t="array" ref="H1888">choice(Referentiel!A:A,1,Settings!$B$16)</f>
        <v>Design des mondes montagneux</v>
      </c>
      <c r="I1888" s="6" t="str" cm="1">
        <f t="array" ref="I1888">choice(Referentiel!B:B,1,Settings!$B$16)</f>
        <v>2ème année Design Vêtement S1</v>
      </c>
      <c r="J1888" s="6" t="str" cm="1">
        <f t="array" ref="J1888">choice(Referentiel!D:D,1,Settings!$B$16)</f>
        <v>M2</v>
      </c>
      <c r="K1888" s="6" t="str" cm="1">
        <f t="array" ref="K1888">choice(Professeurs!B:B,1,Settings!$B$16)</f>
        <v>Prof44</v>
      </c>
      <c r="L1888" s="5" t="str" cm="1">
        <f t="array" ref="L1888">choice(Referentiel!C:C,1,Settings!$B$16)</f>
        <v/>
      </c>
      <c r="M1888" s="5" t="str" cm="1">
        <f t="array" ref="M1888">choice(Referentiel!E:E,1,Settings!$B$16)</f>
        <v/>
      </c>
      <c r="N1888" s="5" t="str" cm="1">
        <f t="array" ref="N1888">choice(Settings!K:K,1,Settings!$B$16)</f>
        <v>mardi pm</v>
      </c>
      <c r="P1888" s="5">
        <f t="shared" si="120"/>
        <v>5</v>
      </c>
    </row>
    <row r="1889" spans="1:17" ht="15.75" customHeight="1" x14ac:dyDescent="0.25">
      <c r="A1889" s="6" t="s">
        <v>2241</v>
      </c>
      <c r="B1889" s="6" cm="1">
        <f t="array" ref="B1889">alea_int(Settings!$B$10,1,Settings!$B$16)</f>
        <v>3</v>
      </c>
      <c r="C1889" s="8">
        <v>46023</v>
      </c>
      <c r="D1889" s="8">
        <f t="shared" si="117"/>
        <v>46387</v>
      </c>
      <c r="E1889" s="6" t="str" cm="1">
        <f t="array" ref="E1889">choice(Groupes!A:A,1,Settings!$B$16)</f>
        <v>G30</v>
      </c>
      <c r="F1889" s="6" t="str">
        <f t="shared" si="118"/>
        <v>G30</v>
      </c>
      <c r="G1889" s="6" t="str">
        <f t="shared" si="119"/>
        <v>Prof16</v>
      </c>
      <c r="H1889" s="6" t="str" cm="1">
        <f t="array" ref="H1889">choice(Referentiel!A:A,1,Settings!$B$16)</f>
        <v>1ère année Groupe 4</v>
      </c>
      <c r="I1889" s="6" t="str" cm="1">
        <f t="array" ref="I1889">choice(Referentiel!B:B,1,Settings!$B$16)</f>
        <v>3ème année Architecture Intérieure S1</v>
      </c>
      <c r="J1889" s="6" t="str" cm="1">
        <f t="array" ref="J1889">choice(Referentiel!D:D,1,Settings!$B$16)</f>
        <v>M2</v>
      </c>
      <c r="K1889" s="6" t="str" cm="1">
        <f t="array" ref="K1889">choice(Professeurs!B:B,1,Settings!$B$16)</f>
        <v>Prof16</v>
      </c>
      <c r="L1889" s="5" t="str" cm="1">
        <f t="array" ref="L1889">choice(Referentiel!C:C,1,Settings!$B$16)</f>
        <v/>
      </c>
      <c r="M1889" s="5" t="str" cm="1">
        <f t="array" ref="M1889">choice(Referentiel!E:E,1,Settings!$B$16)</f>
        <v/>
      </c>
      <c r="N1889" s="5" t="str" cm="1">
        <f t="array" ref="N1889">choice(Settings!K:K,1,Settings!$B$16)</f>
        <v>jeudi pm</v>
      </c>
      <c r="P1889" s="5">
        <f t="shared" si="120"/>
        <v>5</v>
      </c>
    </row>
    <row r="1890" spans="1:17" ht="15.75" customHeight="1" x14ac:dyDescent="0.25">
      <c r="A1890" s="6" t="s">
        <v>2242</v>
      </c>
      <c r="B1890" s="6" cm="1">
        <f t="array" ref="B1890">alea_int(Settings!$B$10,1,Settings!$B$16)</f>
        <v>2</v>
      </c>
      <c r="C1890" s="8">
        <v>46023</v>
      </c>
      <c r="D1890" s="8">
        <f t="shared" si="117"/>
        <v>46387</v>
      </c>
      <c r="E1890" s="6" t="str" cm="1">
        <f t="array" ref="E1890">choice(Groupes!A:A,1,Settings!$B$16)</f>
        <v>G4</v>
      </c>
      <c r="F1890" s="6" t="str">
        <f t="shared" si="118"/>
        <v>G4</v>
      </c>
      <c r="G1890" s="6" t="str">
        <f t="shared" si="119"/>
        <v>Prof14</v>
      </c>
      <c r="H1890" s="6" t="str" cm="1">
        <f t="array" ref="H1890">choice(Referentiel!A:A,1,Settings!$B$16)</f>
        <v>Design Objet</v>
      </c>
      <c r="I1890" s="6" t="str" cm="1">
        <f t="array" ref="I1890">choice(Referentiel!B:B,1,Settings!$B$16)</f>
        <v>4ème année Photo / Vidéo S1</v>
      </c>
      <c r="J1890" s="6" t="str" cm="1">
        <f t="array" ref="J1890">choice(Referentiel!D:D,1,Settings!$B$16)</f>
        <v>M1</v>
      </c>
      <c r="K1890" s="6" t="str" cm="1">
        <f t="array" ref="K1890">choice(Professeurs!B:B,1,Settings!$B$16)</f>
        <v>Prof14</v>
      </c>
      <c r="L1890" s="5" t="str" cm="1">
        <f t="array" ref="L1890">choice(Referentiel!C:C,1,Settings!$B$16)</f>
        <v/>
      </c>
      <c r="M1890" s="5" t="str" cm="1">
        <f t="array" ref="M1890">choice(Referentiel!E:E,1,Settings!$B$16)</f>
        <v/>
      </c>
      <c r="N1890" s="5" t="str" cm="1">
        <f t="array" ref="N1890">choice(Settings!K:K,1,Settings!$B$16)</f>
        <v/>
      </c>
      <c r="P1890" s="5">
        <f t="shared" si="120"/>
        <v>2</v>
      </c>
    </row>
    <row r="1891" spans="1:17" ht="15.75" customHeight="1" x14ac:dyDescent="0.25">
      <c r="A1891" s="6" t="s">
        <v>2243</v>
      </c>
      <c r="B1891" s="6" cm="1">
        <f t="array" ref="B1891">alea_int(Settings!$B$10,1,Settings!$B$16)</f>
        <v>2</v>
      </c>
      <c r="C1891" s="8">
        <v>46023</v>
      </c>
      <c r="D1891" s="8">
        <f t="shared" si="117"/>
        <v>46387</v>
      </c>
      <c r="E1891" s="6" t="str" cm="1">
        <f t="array" ref="E1891">choice(Groupes!A:A,1,Settings!$B$16)</f>
        <v>G27</v>
      </c>
      <c r="F1891" s="6" t="str">
        <f t="shared" si="118"/>
        <v>G27</v>
      </c>
      <c r="G1891" s="6" t="str">
        <f t="shared" si="119"/>
        <v>Prof44</v>
      </c>
      <c r="H1891" s="6" t="str" cm="1">
        <f t="array" ref="H1891">choice(Referentiel!A:A,1,Settings!$B$16)</f>
        <v>Gr REFLECTIVE INTERACTION</v>
      </c>
      <c r="I1891" s="6" t="str" cm="1">
        <f t="array" ref="I1891">choice(Referentiel!B:B,1,Settings!$B$16)</f>
        <v>3ème année Scénographie S2</v>
      </c>
      <c r="J1891" s="6" t="str" cm="1">
        <f t="array" ref="J1891">choice(Referentiel!D:D,1,Settings!$B$16)</f>
        <v>L3</v>
      </c>
      <c r="K1891" s="6" t="str" cm="1">
        <f t="array" ref="K1891">choice(Professeurs!B:B,1,Settings!$B$16)</f>
        <v>Prof44</v>
      </c>
      <c r="L1891" s="5" t="str" cm="1">
        <f t="array" ref="L1891">choice(Referentiel!C:C,1,Settings!$B$16)</f>
        <v/>
      </c>
      <c r="M1891" s="5" t="str" cm="1">
        <f t="array" ref="M1891">choice(Referentiel!E:E,1,Settings!$B$16)</f>
        <v>Salle5</v>
      </c>
      <c r="N1891" s="5" t="str" cm="1">
        <f t="array" ref="N1891">choice(Settings!K:K,1,Settings!$B$16)</f>
        <v/>
      </c>
      <c r="P1891" s="5">
        <f t="shared" si="120"/>
        <v>4</v>
      </c>
    </row>
    <row r="1892" spans="1:17" ht="15.75" customHeight="1" x14ac:dyDescent="0.25">
      <c r="A1892" s="6" t="s">
        <v>2244</v>
      </c>
      <c r="B1892" s="6" cm="1">
        <f t="array" ref="B1892">alea_int(Settings!$B$10,1,Settings!$B$16)</f>
        <v>2</v>
      </c>
      <c r="C1892" s="8">
        <v>46023</v>
      </c>
      <c r="D1892" s="8">
        <f t="shared" si="117"/>
        <v>46387</v>
      </c>
      <c r="E1892" s="6" t="str" cm="1">
        <f t="array" ref="E1892">choice(Groupes!A:A,1,Settings!$B$16)</f>
        <v>G27</v>
      </c>
      <c r="F1892" s="6" t="str">
        <f t="shared" si="118"/>
        <v>G27</v>
      </c>
      <c r="G1892" s="6" t="str">
        <f t="shared" si="119"/>
        <v>Prof6</v>
      </c>
      <c r="H1892" s="6" t="str" cm="1">
        <f t="array" ref="H1892">choice(Referentiel!A:A,1,Settings!$B$16)</f>
        <v>Gr SOFT MATTERS</v>
      </c>
      <c r="I1892" s="6" t="str" cm="1">
        <f t="array" ref="I1892">choice(Referentiel!B:B,1,Settings!$B$16)</f>
        <v>1ère Année Groupe 2 S2</v>
      </c>
      <c r="J1892" s="6" t="str" cm="1">
        <f t="array" ref="J1892">choice(Referentiel!D:D,1,Settings!$B$16)</f>
        <v>M2</v>
      </c>
      <c r="K1892" s="6" t="str" cm="1">
        <f t="array" ref="K1892">choice(Professeurs!B:B,1,Settings!$B$16)</f>
        <v>Prof6</v>
      </c>
      <c r="L1892" s="5" t="str" cm="1">
        <f t="array" ref="L1892">choice(Referentiel!C:C,1,Settings!$B$16)</f>
        <v>fenetre</v>
      </c>
      <c r="M1892" s="5" t="str" cm="1">
        <f t="array" ref="M1892">choice(Referentiel!E:E,1,Settings!$B$16)</f>
        <v/>
      </c>
      <c r="N1892" s="5" t="str" cm="1">
        <f t="array" ref="N1892">choice(Settings!K:K,1,Settings!$B$16)</f>
        <v/>
      </c>
      <c r="P1892" s="5">
        <f t="shared" si="120"/>
        <v>2</v>
      </c>
    </row>
    <row r="1893" spans="1:17" ht="15.75" customHeight="1" x14ac:dyDescent="0.25">
      <c r="A1893" s="6" t="s">
        <v>2245</v>
      </c>
      <c r="B1893" s="6" cm="1">
        <f t="array" ref="B1893">alea_int(Settings!$B$10,1,Settings!$B$16)</f>
        <v>1</v>
      </c>
      <c r="C1893" s="8">
        <v>46023</v>
      </c>
      <c r="D1893" s="8">
        <f t="shared" si="117"/>
        <v>46387</v>
      </c>
      <c r="E1893" s="6" t="str" cm="1">
        <f t="array" ref="E1893">choice(Groupes!A:A,1,Settings!$B$16)</f>
        <v>G15</v>
      </c>
      <c r="F1893" s="6" t="str">
        <f t="shared" si="118"/>
        <v>G15</v>
      </c>
      <c r="G1893" s="6" t="str">
        <f t="shared" si="119"/>
        <v>Prof47</v>
      </c>
      <c r="H1893" s="6" t="str" cm="1">
        <f t="array" ref="H1893">choice(Referentiel!A:A,1,Settings!$B$16)</f>
        <v>Gr SPATIAL MEDIA</v>
      </c>
      <c r="I1893" s="6" t="str" cm="1">
        <f t="array" ref="I1893">choice(Referentiel!B:B,1,Settings!$B$16)</f>
        <v>2ème année Design Vêtement S2</v>
      </c>
      <c r="J1893" s="6" t="str" cm="1">
        <f t="array" ref="J1893">choice(Referentiel!D:D,1,Settings!$B$16)</f>
        <v>M1</v>
      </c>
      <c r="K1893" s="6" t="str" cm="1">
        <f t="array" ref="K1893">choice(Professeurs!B:B,1,Settings!$B$16)</f>
        <v>Prof47</v>
      </c>
      <c r="L1893" s="5" t="str" cm="1">
        <f t="array" ref="L1893">choice(Referentiel!C:C,1,Settings!$B$16)</f>
        <v/>
      </c>
      <c r="M1893" s="5" t="str" cm="1">
        <f t="array" ref="M1893">choice(Referentiel!E:E,1,Settings!$B$16)</f>
        <v/>
      </c>
      <c r="N1893" s="5" t="str" cm="1">
        <f t="array" ref="N1893">choice(Settings!K:K,1,Settings!$B$16)</f>
        <v>mercredi pm</v>
      </c>
      <c r="P1893" s="5">
        <f t="shared" si="120"/>
        <v>3</v>
      </c>
    </row>
    <row r="1894" spans="1:17" ht="15.75" customHeight="1" x14ac:dyDescent="0.25">
      <c r="A1894" s="6" t="s">
        <v>2246</v>
      </c>
      <c r="B1894" s="6" cm="1">
        <f t="array" ref="B1894">alea_int(Settings!$B$10,1,Settings!$B$16)</f>
        <v>1</v>
      </c>
      <c r="C1894" s="8">
        <v>46023</v>
      </c>
      <c r="D1894" s="8">
        <f t="shared" si="117"/>
        <v>46387</v>
      </c>
      <c r="E1894" s="6" t="str" cm="1">
        <f t="array" ref="E1894">choice(Groupes!A:A,1,Settings!$B$16)</f>
        <v>G4</v>
      </c>
      <c r="F1894" s="6" t="str">
        <f t="shared" si="118"/>
        <v>G4</v>
      </c>
      <c r="G1894" s="6" t="str">
        <f t="shared" si="119"/>
        <v>Prof13</v>
      </c>
      <c r="H1894" s="6" t="str" cm="1">
        <f t="array" ref="H1894">choice(Referentiel!A:A,1,Settings!$B$16)</f>
        <v>Design Textile et Matière</v>
      </c>
      <c r="I1894" s="6" t="str" cm="1">
        <f t="array" ref="I1894">choice(Referentiel!B:B,1,Settings!$B$16)</f>
        <v>4ème année Image Imprimée S1</v>
      </c>
      <c r="J1894" s="6" t="str" cm="1">
        <f t="array" ref="J1894">choice(Referentiel!D:D,1,Settings!$B$16)</f>
        <v>M1</v>
      </c>
      <c r="K1894" s="6" t="str" cm="1">
        <f t="array" ref="K1894">choice(Professeurs!B:B,1,Settings!$B$16)</f>
        <v>Prof13</v>
      </c>
      <c r="L1894" s="5" t="str" cm="1">
        <f t="array" ref="L1894">choice(Referentiel!C:C,1,Settings!$B$16)</f>
        <v>tablette</v>
      </c>
      <c r="M1894" s="5" t="str" cm="1">
        <f t="array" ref="M1894">choice(Referentiel!E:E,1,Settings!$B$16)</f>
        <v/>
      </c>
      <c r="N1894" s="5" t="str" cm="1">
        <f t="array" ref="N1894">choice(Settings!K:K,1,Settings!$B$16)</f>
        <v>mardi pm</v>
      </c>
      <c r="P1894" s="5">
        <f t="shared" si="120"/>
        <v>3</v>
      </c>
    </row>
    <row r="1895" spans="1:17" ht="15.75" customHeight="1" x14ac:dyDescent="0.25">
      <c r="A1895" s="6" t="s">
        <v>2247</v>
      </c>
      <c r="B1895" s="6" cm="1">
        <f t="array" ref="B1895">alea_int(Settings!$B$10,1,Settings!$B$16)</f>
        <v>3</v>
      </c>
      <c r="C1895" s="8">
        <v>46023</v>
      </c>
      <c r="D1895" s="8">
        <f t="shared" si="117"/>
        <v>46387</v>
      </c>
      <c r="E1895" s="6" t="str" cm="1">
        <f t="array" ref="E1895">choice(Groupes!A:A,1,Settings!$B$16)</f>
        <v>G30</v>
      </c>
      <c r="F1895" s="6" t="str">
        <f t="shared" si="118"/>
        <v>G30</v>
      </c>
      <c r="G1895" s="6" t="str">
        <f t="shared" si="119"/>
        <v>Prof20</v>
      </c>
      <c r="H1895" s="6" t="str" cm="1">
        <f t="array" ref="H1895">choice(Referentiel!A:A,1,Settings!$B$16)</f>
        <v>Design des mondes ruraux</v>
      </c>
      <c r="I1895" s="6" t="str" cm="1">
        <f t="array" ref="I1895">choice(Referentiel!B:B,1,Settings!$B$16)</f>
        <v>5ème année Design Textile et Matière S2</v>
      </c>
      <c r="J1895" s="6" t="str" cm="1">
        <f t="array" ref="J1895">choice(Referentiel!D:D,1,Settings!$B$16)</f>
        <v>M1</v>
      </c>
      <c r="K1895" s="6" t="str" cm="1">
        <f t="array" ref="K1895">choice(Professeurs!B:B,1,Settings!$B$16)</f>
        <v>Prof20</v>
      </c>
      <c r="L1895" s="5" t="str" cm="1">
        <f t="array" ref="L1895">choice(Referentiel!C:C,1,Settings!$B$16)</f>
        <v/>
      </c>
      <c r="M1895" s="5" t="str" cm="1">
        <f t="array" ref="M1895">choice(Referentiel!E:E,1,Settings!$B$16)</f>
        <v/>
      </c>
      <c r="N1895" s="5" t="str" cm="1">
        <f t="array" ref="N1895">choice(Settings!K:K,1,Settings!$B$16)</f>
        <v>mercredi ap</v>
      </c>
      <c r="P1895" s="5">
        <f t="shared" si="120"/>
        <v>5</v>
      </c>
    </row>
    <row r="1896" spans="1:17" ht="15.75" customHeight="1" x14ac:dyDescent="0.25">
      <c r="A1896" s="6" t="s">
        <v>2248</v>
      </c>
      <c r="B1896" s="6" cm="1">
        <f t="array" ref="B1896">alea_int(Settings!$B$10,1,Settings!$B$16)</f>
        <v>3</v>
      </c>
      <c r="C1896" s="8">
        <v>46023</v>
      </c>
      <c r="D1896" s="8">
        <f t="shared" si="117"/>
        <v>46387</v>
      </c>
      <c r="E1896" s="6" t="str" cm="1">
        <f t="array" ref="E1896">choice(Groupes!A:A,1,Settings!$B$16)</f>
        <v>G6</v>
      </c>
      <c r="F1896" s="6" t="str">
        <f t="shared" si="118"/>
        <v>G6</v>
      </c>
      <c r="G1896" s="6" t="str">
        <f t="shared" si="119"/>
        <v>Prof25</v>
      </c>
      <c r="H1896" s="6" t="str" cm="1">
        <f t="array" ref="H1896">choice(Referentiel!A:A,1,Settings!$B$16)</f>
        <v>Design Textile et Matière</v>
      </c>
      <c r="I1896" s="6" t="str" cm="1">
        <f t="array" ref="I1896">choice(Referentiel!B:B,1,Settings!$B$16)</f>
        <v>Césure S1</v>
      </c>
      <c r="J1896" s="6" t="str" cm="1">
        <f t="array" ref="J1896">choice(Referentiel!D:D,1,Settings!$B$16)</f>
        <v>L2</v>
      </c>
      <c r="K1896" s="6" t="str" cm="1">
        <f t="array" ref="K1896">choice(Professeurs!B:B,1,Settings!$B$16)</f>
        <v>Prof25</v>
      </c>
      <c r="L1896" s="5" t="str" cm="1">
        <f t="array" ref="L1896">choice(Referentiel!C:C,1,Settings!$B$16)</f>
        <v/>
      </c>
      <c r="M1896" s="5" t="str" cm="1">
        <f t="array" ref="M1896">choice(Referentiel!E:E,1,Settings!$B$16)</f>
        <v/>
      </c>
      <c r="N1896" s="5" t="str" cm="1">
        <f t="array" ref="N1896">choice(Settings!K:K,1,Settings!$B$16)</f>
        <v/>
      </c>
      <c r="P1896" s="5">
        <f t="shared" si="120"/>
        <v>3</v>
      </c>
    </row>
    <row r="1897" spans="1:17" ht="15.75" customHeight="1" x14ac:dyDescent="0.25">
      <c r="A1897" s="6" t="s">
        <v>2249</v>
      </c>
      <c r="B1897" s="6" cm="1">
        <f t="array" ref="B1897">alea_int(Settings!$B$10,1,Settings!$B$16)</f>
        <v>1</v>
      </c>
      <c r="C1897" s="8">
        <v>46023</v>
      </c>
      <c r="D1897" s="8">
        <f t="shared" si="117"/>
        <v>46387</v>
      </c>
      <c r="E1897" s="6" t="str" cm="1">
        <f t="array" ref="E1897">choice(Groupes!A:A,1,Settings!$B$16)</f>
        <v>G9</v>
      </c>
      <c r="F1897" s="6" t="str">
        <f t="shared" si="118"/>
        <v>G9</v>
      </c>
      <c r="G1897" s="6" t="str">
        <f t="shared" si="119"/>
        <v>Prof51</v>
      </c>
      <c r="H1897" s="6" t="str" cm="1">
        <f t="array" ref="H1897">choice(Referentiel!A:A,1,Settings!$B$16)</f>
        <v>Gr REFLECTIVE INTERACTION</v>
      </c>
      <c r="I1897" s="6" t="str" cm="1">
        <f t="array" ref="I1897">choice(Referentiel!B:B,1,Settings!$B$16)</f>
        <v>4ème année Design Vêtement S1</v>
      </c>
      <c r="J1897" s="6" t="str" cm="1">
        <f t="array" ref="J1897">choice(Referentiel!D:D,1,Settings!$B$16)</f>
        <v>L3</v>
      </c>
      <c r="K1897" s="6" t="str" cm="1">
        <f t="array" ref="K1897">choice(Professeurs!B:B,1,Settings!$B$16)</f>
        <v>Prof51</v>
      </c>
      <c r="L1897" s="5" t="str" cm="1">
        <f t="array" ref="L1897">choice(Referentiel!C:C,1,Settings!$B$16)</f>
        <v/>
      </c>
      <c r="M1897" s="5" t="str" cm="1">
        <f t="array" ref="M1897">choice(Referentiel!E:E,1,Settings!$B$16)</f>
        <v/>
      </c>
      <c r="N1897" s="5" t="str" cm="1">
        <f t="array" ref="N1897">choice(Settings!K:K,1,Settings!$B$16)</f>
        <v/>
      </c>
      <c r="P1897" s="5">
        <f t="shared" si="120"/>
        <v>1</v>
      </c>
      <c r="Q1897" s="24"/>
    </row>
    <row r="1898" spans="1:17" ht="15.75" customHeight="1" x14ac:dyDescent="0.25">
      <c r="A1898" s="6" t="s">
        <v>2250</v>
      </c>
      <c r="B1898" s="6" cm="1">
        <f t="array" ref="B1898">alea_int(Settings!$B$10,1,Settings!$B$16)</f>
        <v>2</v>
      </c>
      <c r="C1898" s="8">
        <v>46023</v>
      </c>
      <c r="D1898" s="8">
        <f t="shared" si="117"/>
        <v>46387</v>
      </c>
      <c r="E1898" s="6" t="str" cm="1">
        <f t="array" ref="E1898">choice(Groupes!A:A,1,Settings!$B$16)</f>
        <v>G17</v>
      </c>
      <c r="F1898" s="6" t="str">
        <f t="shared" si="118"/>
        <v>G17</v>
      </c>
      <c r="G1898" s="6" t="str">
        <f t="shared" si="119"/>
        <v>Prof19</v>
      </c>
      <c r="H1898" s="6" t="str" cm="1">
        <f t="array" ref="H1898">choice(Referentiel!A:A,1,Settings!$B$16)</f>
        <v>Design des mondes ruraux</v>
      </c>
      <c r="I1898" s="6" t="str" cm="1">
        <f t="array" ref="I1898">choice(Referentiel!B:B,1,Settings!$B$16)</f>
        <v>3ème année Image Imprimée S1</v>
      </c>
      <c r="J1898" s="6" t="str" cm="1">
        <f t="array" ref="J1898">choice(Referentiel!D:D,1,Settings!$B$16)</f>
        <v>L3</v>
      </c>
      <c r="K1898" s="6" t="str" cm="1">
        <f t="array" ref="K1898">choice(Professeurs!B:B,1,Settings!$B$16)</f>
        <v>Prof19</v>
      </c>
      <c r="L1898" s="5" t="str" cm="1">
        <f t="array" ref="L1898">choice(Referentiel!C:C,1,Settings!$B$16)</f>
        <v/>
      </c>
      <c r="M1898" s="5" t="str" cm="1">
        <f t="array" ref="M1898">choice(Referentiel!E:E,1,Settings!$B$16)</f>
        <v/>
      </c>
      <c r="N1898" s="5" t="str" cm="1">
        <f t="array" ref="N1898">choice(Settings!K:K,1,Settings!$B$16)</f>
        <v/>
      </c>
      <c r="P1898" s="5">
        <f t="shared" si="120"/>
        <v>2</v>
      </c>
    </row>
    <row r="1899" spans="1:17" ht="15.75" customHeight="1" x14ac:dyDescent="0.25">
      <c r="A1899" s="6" t="s">
        <v>2251</v>
      </c>
      <c r="B1899" s="6" cm="1">
        <f t="array" ref="B1899">alea_int(Settings!$B$10,1,Settings!$B$16)</f>
        <v>3</v>
      </c>
      <c r="C1899" s="8">
        <v>46023</v>
      </c>
      <c r="D1899" s="8">
        <f t="shared" si="117"/>
        <v>46387</v>
      </c>
      <c r="E1899" s="6" t="str" cm="1">
        <f t="array" ref="E1899">choice(Groupes!A:A,1,Settings!$B$16)</f>
        <v>G15</v>
      </c>
      <c r="F1899" s="6" t="str">
        <f t="shared" si="118"/>
        <v>G15</v>
      </c>
      <c r="G1899" s="6" t="str">
        <f t="shared" si="119"/>
        <v>Prof55</v>
      </c>
      <c r="H1899" s="6" t="str" cm="1">
        <f t="array" ref="H1899">choice(Referentiel!A:A,1,Settings!$B$16)</f>
        <v>Design Textile et Matière</v>
      </c>
      <c r="I1899" s="6" t="str" cm="1">
        <f t="array" ref="I1899">choice(Referentiel!B:B,1,Settings!$B$16)</f>
        <v>2ème année Design Vêtement S1</v>
      </c>
      <c r="J1899" s="6" t="str" cm="1">
        <f t="array" ref="J1899">choice(Referentiel!D:D,1,Settings!$B$16)</f>
        <v>L1</v>
      </c>
      <c r="K1899" s="6" t="str" cm="1">
        <f t="array" ref="K1899">choice(Professeurs!B:B,1,Settings!$B$16)</f>
        <v>Prof55</v>
      </c>
      <c r="L1899" s="5" t="str" cm="1">
        <f t="array" ref="L1899">choice(Referentiel!C:C,1,Settings!$B$16)</f>
        <v/>
      </c>
      <c r="M1899" s="5" t="str" cm="1">
        <f t="array" ref="M1899">choice(Referentiel!E:E,1,Settings!$B$16)</f>
        <v/>
      </c>
      <c r="N1899" s="5" t="str" cm="1">
        <f t="array" ref="N1899">choice(Settings!K:K,1,Settings!$B$16)</f>
        <v/>
      </c>
      <c r="P1899" s="5">
        <f t="shared" si="120"/>
        <v>3</v>
      </c>
    </row>
    <row r="1900" spans="1:17" ht="15.75" customHeight="1" x14ac:dyDescent="0.25">
      <c r="A1900" s="6" t="s">
        <v>2252</v>
      </c>
      <c r="B1900" s="6" cm="1">
        <f t="array" ref="B1900">alea_int(Settings!$B$10,1,Settings!$B$16)</f>
        <v>2</v>
      </c>
      <c r="C1900" s="8">
        <v>46023</v>
      </c>
      <c r="D1900" s="8">
        <f t="shared" si="117"/>
        <v>46387</v>
      </c>
      <c r="E1900" s="6" t="str" cm="1">
        <f t="array" ref="E1900">choice(Groupes!A:A,1,Settings!$B$16)</f>
        <v>G13</v>
      </c>
      <c r="F1900" s="6" t="str">
        <f t="shared" si="118"/>
        <v>G13</v>
      </c>
      <c r="G1900" s="6" t="str">
        <f t="shared" si="119"/>
        <v>Prof21</v>
      </c>
      <c r="H1900" s="6" t="str" cm="1">
        <f t="array" ref="H1900">choice(Referentiel!A:A,1,Settings!$B$16)</f>
        <v>6ème ANNÉE STAGE</v>
      </c>
      <c r="I1900" s="6" t="str" cm="1">
        <f t="array" ref="I1900">choice(Referentiel!B:B,1,Settings!$B$16)</f>
        <v>3ème année Cinéma d'Animation S2</v>
      </c>
      <c r="J1900" s="6" t="str" cm="1">
        <f t="array" ref="J1900">choice(Referentiel!D:D,1,Settings!$B$16)</f>
        <v>L3</v>
      </c>
      <c r="K1900" s="6" t="str" cm="1">
        <f t="array" ref="K1900">choice(Professeurs!B:B,1,Settings!$B$16)</f>
        <v>Prof21</v>
      </c>
      <c r="L1900" s="5" t="str" cm="1">
        <f t="array" ref="L1900">choice(Referentiel!C:C,1,Settings!$B$16)</f>
        <v/>
      </c>
      <c r="M1900" s="5" t="str" cm="1">
        <f t="array" ref="M1900">choice(Referentiel!E:E,1,Settings!$B$16)</f>
        <v/>
      </c>
      <c r="N1900" s="5" t="str" cm="1">
        <f t="array" ref="N1900">choice(Settings!K:K,1,Settings!$B$16)</f>
        <v/>
      </c>
      <c r="P1900" s="5">
        <f t="shared" si="120"/>
        <v>2</v>
      </c>
    </row>
    <row r="1901" spans="1:17" ht="15.75" customHeight="1" x14ac:dyDescent="0.25">
      <c r="A1901" s="6" t="s">
        <v>2253</v>
      </c>
      <c r="B1901" s="6" cm="1">
        <f t="array" ref="B1901">alea_int(Settings!$B$10,1,Settings!$B$16)</f>
        <v>2</v>
      </c>
      <c r="C1901" s="8">
        <v>46023</v>
      </c>
      <c r="D1901" s="8">
        <f t="shared" si="117"/>
        <v>46387</v>
      </c>
      <c r="E1901" s="6" t="str" cm="1">
        <f t="array" ref="E1901">choice(Groupes!A:A,1,Settings!$B$16)</f>
        <v>G28</v>
      </c>
      <c r="F1901" s="6" t="str">
        <f t="shared" si="118"/>
        <v>G28</v>
      </c>
      <c r="G1901" s="6" t="str">
        <f t="shared" si="119"/>
        <v>Prof38</v>
      </c>
      <c r="H1901" s="6" t="str" cm="1">
        <f t="array" ref="H1901">choice(Referentiel!A:A,1,Settings!$B$16)</f>
        <v>Gr SYMBIOSE</v>
      </c>
      <c r="I1901" s="6" t="str" cm="1">
        <f t="array" ref="I1901">choice(Referentiel!B:B,1,Settings!$B$16)</f>
        <v>5ème année Design Vêtement S1</v>
      </c>
      <c r="J1901" s="6" t="str" cm="1">
        <f t="array" ref="J1901">choice(Referentiel!D:D,1,Settings!$B$16)</f>
        <v>L3</v>
      </c>
      <c r="K1901" s="6" t="str" cm="1">
        <f t="array" ref="K1901">choice(Professeurs!B:B,1,Settings!$B$16)</f>
        <v>Prof38</v>
      </c>
      <c r="L1901" s="5" t="str" cm="1">
        <f t="array" ref="L1901">choice(Referentiel!C:C,1,Settings!$B$16)</f>
        <v/>
      </c>
      <c r="M1901" s="5" t="str" cm="1">
        <f t="array" ref="M1901">choice(Referentiel!E:E,1,Settings!$B$16)</f>
        <v/>
      </c>
      <c r="N1901" s="5" t="str" cm="1">
        <f t="array" ref="N1901">choice(Settings!K:K,1,Settings!$B$16)</f>
        <v/>
      </c>
      <c r="P1901" s="5">
        <f t="shared" si="120"/>
        <v>2</v>
      </c>
    </row>
    <row r="1902" spans="1:17" ht="15.75" customHeight="1" x14ac:dyDescent="0.25">
      <c r="A1902" s="6" t="s">
        <v>2254</v>
      </c>
      <c r="B1902" s="6" cm="1">
        <f t="array" ref="B1902">alea_int(Settings!$B$10,1,Settings!$B$16)</f>
        <v>3</v>
      </c>
      <c r="C1902" s="8">
        <v>46023</v>
      </c>
      <c r="D1902" s="8">
        <f t="shared" si="117"/>
        <v>46387</v>
      </c>
      <c r="E1902" s="6" t="str" cm="1">
        <f t="array" ref="E1902">choice(Groupes!A:A,1,Settings!$B$16)</f>
        <v>G25</v>
      </c>
      <c r="F1902" s="6" t="str">
        <f t="shared" si="118"/>
        <v>G25</v>
      </c>
      <c r="G1902" s="6" t="str">
        <f t="shared" si="119"/>
        <v>Prof53</v>
      </c>
      <c r="H1902" s="6" t="str" cm="1">
        <f t="array" ref="H1902">choice(Referentiel!A:A,1,Settings!$B$16)</f>
        <v>Design Objet</v>
      </c>
      <c r="I1902" s="6" t="str" cm="1">
        <f t="array" ref="I1902">choice(Referentiel!B:B,1,Settings!$B$16)</f>
        <v>5ème année Design Textile et Matière S1</v>
      </c>
      <c r="J1902" s="6" t="str" cm="1">
        <f t="array" ref="J1902">choice(Referentiel!D:D,1,Settings!$B$16)</f>
        <v>L2</v>
      </c>
      <c r="K1902" s="6" t="str" cm="1">
        <f t="array" ref="K1902">choice(Professeurs!B:B,1,Settings!$B$16)</f>
        <v>Prof53</v>
      </c>
      <c r="L1902" s="5" t="str" cm="1">
        <f t="array" ref="L1902">choice(Referentiel!C:C,1,Settings!$B$16)</f>
        <v/>
      </c>
      <c r="M1902" s="5" t="str" cm="1">
        <f t="array" ref="M1902">choice(Referentiel!E:E,1,Settings!$B$16)</f>
        <v>Salle7</v>
      </c>
      <c r="N1902" s="5" t="str" cm="1">
        <f t="array" ref="N1902">choice(Settings!K:K,1,Settings!$B$16)</f>
        <v/>
      </c>
      <c r="P1902" s="5">
        <f t="shared" si="120"/>
        <v>5</v>
      </c>
    </row>
    <row r="1903" spans="1:17" ht="15.75" customHeight="1" x14ac:dyDescent="0.25">
      <c r="A1903" s="6" t="s">
        <v>2255</v>
      </c>
      <c r="B1903" s="6" cm="1">
        <f t="array" ref="B1903">alea_int(Settings!$B$10,1,Settings!$B$16)</f>
        <v>1</v>
      </c>
      <c r="C1903" s="8">
        <v>46023</v>
      </c>
      <c r="D1903" s="8">
        <f t="shared" si="117"/>
        <v>46387</v>
      </c>
      <c r="E1903" s="6" t="str" cm="1">
        <f t="array" ref="E1903">choice(Groupes!A:A,1,Settings!$B$16)</f>
        <v>G29</v>
      </c>
      <c r="F1903" s="6" t="str">
        <f t="shared" si="118"/>
        <v>G29</v>
      </c>
      <c r="G1903" s="6" t="str">
        <f t="shared" si="119"/>
        <v>Prof50</v>
      </c>
      <c r="H1903" s="6" t="str" cm="1">
        <f t="array" ref="H1903">choice(Referentiel!A:A,1,Settings!$B$16)</f>
        <v>Gr SPATIAL MEDIA</v>
      </c>
      <c r="I1903" s="6" t="str" cm="1">
        <f t="array" ref="I1903">choice(Referentiel!B:B,1,Settings!$B$16)</f>
        <v>3ème année Cinéma d'Animation S1</v>
      </c>
      <c r="J1903" s="6" t="str" cm="1">
        <f t="array" ref="J1903">choice(Referentiel!D:D,1,Settings!$B$16)</f>
        <v>M1</v>
      </c>
      <c r="K1903" s="6" t="str" cm="1">
        <f t="array" ref="K1903">choice(Professeurs!B:B,1,Settings!$B$16)</f>
        <v>Prof50</v>
      </c>
      <c r="L1903" s="5" t="str" cm="1">
        <f t="array" ref="L1903">choice(Referentiel!C:C,1,Settings!$B$16)</f>
        <v/>
      </c>
      <c r="M1903" s="5" t="str" cm="1">
        <f t="array" ref="M1903">choice(Referentiel!E:E,1,Settings!$B$16)</f>
        <v/>
      </c>
      <c r="N1903" s="5" t="str" cm="1">
        <f t="array" ref="N1903">choice(Settings!K:K,1,Settings!$B$16)</f>
        <v/>
      </c>
      <c r="P1903" s="5">
        <f t="shared" si="120"/>
        <v>1</v>
      </c>
    </row>
    <row r="1904" spans="1:17" ht="15.75" customHeight="1" x14ac:dyDescent="0.25">
      <c r="A1904" s="6" t="s">
        <v>2256</v>
      </c>
      <c r="B1904" s="6" cm="1">
        <f t="array" ref="B1904">alea_int(Settings!$B$10,1,Settings!$B$16)</f>
        <v>1</v>
      </c>
      <c r="C1904" s="8">
        <v>46023</v>
      </c>
      <c r="D1904" s="8">
        <f t="shared" si="117"/>
        <v>46387</v>
      </c>
      <c r="E1904" s="6" t="str" cm="1">
        <f t="array" ref="E1904">choice(Groupes!A:A,1,Settings!$B$16)</f>
        <v>G6</v>
      </c>
      <c r="F1904" s="6" t="str">
        <f t="shared" si="118"/>
        <v>G6</v>
      </c>
      <c r="G1904" s="6" t="str">
        <f t="shared" si="119"/>
        <v>Prof51</v>
      </c>
      <c r="H1904" s="6" t="str" cm="1">
        <f t="array" ref="H1904">choice(Referentiel!A:A,1,Settings!$B$16)</f>
        <v>Design Objet</v>
      </c>
      <c r="I1904" s="6" t="str" cm="1">
        <f t="array" ref="I1904">choice(Referentiel!B:B,1,Settings!$B$16)</f>
        <v>5ème année Image Imprimée S1</v>
      </c>
      <c r="J1904" s="6" t="str" cm="1">
        <f t="array" ref="J1904">choice(Referentiel!D:D,1,Settings!$B$16)</f>
        <v>M2</v>
      </c>
      <c r="K1904" s="6" t="str" cm="1">
        <f t="array" ref="K1904">choice(Professeurs!B:B,1,Settings!$B$16)</f>
        <v>Prof51</v>
      </c>
      <c r="L1904" s="5" t="str" cm="1">
        <f t="array" ref="L1904">choice(Referentiel!C:C,1,Settings!$B$16)</f>
        <v/>
      </c>
      <c r="M1904" s="5" t="str" cm="1">
        <f t="array" ref="M1904">choice(Referentiel!E:E,1,Settings!$B$16)</f>
        <v/>
      </c>
      <c r="N1904" s="5" t="str" cm="1">
        <f t="array" ref="N1904">choice(Settings!K:K,1,Settings!$B$16)</f>
        <v/>
      </c>
      <c r="P1904" s="5">
        <f t="shared" si="120"/>
        <v>1</v>
      </c>
    </row>
    <row r="1905" spans="1:16" ht="15.75" customHeight="1" x14ac:dyDescent="0.25">
      <c r="A1905" s="6" t="s">
        <v>2257</v>
      </c>
      <c r="B1905" s="6" cm="1">
        <f t="array" ref="B1905">alea_int(Settings!$B$10,1,Settings!$B$16)</f>
        <v>3</v>
      </c>
      <c r="C1905" s="8">
        <v>46023</v>
      </c>
      <c r="D1905" s="8">
        <f t="shared" si="117"/>
        <v>46387</v>
      </c>
      <c r="E1905" s="6" t="str" cm="1">
        <f t="array" ref="E1905">choice(Groupes!A:A,1,Settings!$B$16)</f>
        <v>G1</v>
      </c>
      <c r="F1905" s="6" t="str">
        <f t="shared" si="118"/>
        <v>G1</v>
      </c>
      <c r="G1905" s="6" t="str">
        <f t="shared" si="119"/>
        <v>Prof47</v>
      </c>
      <c r="H1905" s="6" t="str" cm="1">
        <f t="array" ref="H1905">choice(Referentiel!A:A,1,Settings!$B$16)</f>
        <v>Design des mondes ruraux</v>
      </c>
      <c r="I1905" s="6" t="str" cm="1">
        <f t="array" ref="I1905">choice(Referentiel!B:B,1,Settings!$B$16)</f>
        <v>5ème année Design Graphique S2</v>
      </c>
      <c r="J1905" s="6" t="str" cm="1">
        <f t="array" ref="J1905">choice(Referentiel!D:D,1,Settings!$B$16)</f>
        <v>M2</v>
      </c>
      <c r="K1905" s="6" t="str" cm="1">
        <f t="array" ref="K1905">choice(Professeurs!B:B,1,Settings!$B$16)</f>
        <v>Prof47</v>
      </c>
      <c r="L1905" s="5" t="str" cm="1">
        <f t="array" ref="L1905">choice(Referentiel!C:C,1,Settings!$B$16)</f>
        <v/>
      </c>
      <c r="M1905" s="5" t="str" cm="1">
        <f t="array" ref="M1905">choice(Referentiel!E:E,1,Settings!$B$16)</f>
        <v/>
      </c>
      <c r="N1905" s="5" t="str" cm="1">
        <f t="array" ref="N1905">choice(Settings!K:K,1,Settings!$B$16)</f>
        <v>jeudi pm</v>
      </c>
      <c r="P1905" s="5">
        <f t="shared" si="120"/>
        <v>5</v>
      </c>
    </row>
    <row r="1906" spans="1:16" ht="15.75" customHeight="1" x14ac:dyDescent="0.25">
      <c r="A1906" s="6" t="s">
        <v>2258</v>
      </c>
      <c r="B1906" s="6" cm="1">
        <f t="array" ref="B1906">alea_int(Settings!$B$10,1,Settings!$B$16)</f>
        <v>2</v>
      </c>
      <c r="C1906" s="8">
        <v>46023</v>
      </c>
      <c r="D1906" s="8">
        <f t="shared" si="117"/>
        <v>46387</v>
      </c>
      <c r="E1906" s="6" t="str" cm="1">
        <f t="array" ref="E1906">choice(Groupes!A:A,1,Settings!$B$16)</f>
        <v>G4</v>
      </c>
      <c r="F1906" s="6" t="str">
        <f t="shared" si="118"/>
        <v>G4</v>
      </c>
      <c r="G1906" s="6" t="str">
        <f t="shared" si="119"/>
        <v>Prof17</v>
      </c>
      <c r="H1906" s="6" t="str" cm="1">
        <f t="array" ref="H1906">choice(Referentiel!A:A,1,Settings!$B$16)</f>
        <v>Gr REFLECTIVE INTERACTION</v>
      </c>
      <c r="I1906" s="6" t="str" cm="1">
        <f t="array" ref="I1906">choice(Referentiel!B:B,1,Settings!$B$16)</f>
        <v>3ème année Design Graphique S1</v>
      </c>
      <c r="J1906" s="6" t="str" cm="1">
        <f t="array" ref="J1906">choice(Referentiel!D:D,1,Settings!$B$16)</f>
        <v>L3</v>
      </c>
      <c r="K1906" s="6" t="str" cm="1">
        <f t="array" ref="K1906">choice(Professeurs!B:B,1,Settings!$B$16)</f>
        <v>Prof17</v>
      </c>
      <c r="L1906" s="5" t="str" cm="1">
        <f t="array" ref="L1906">choice(Referentiel!C:C,1,Settings!$B$16)</f>
        <v/>
      </c>
      <c r="M1906" s="5" t="str" cm="1">
        <f t="array" ref="M1906">choice(Referentiel!E:E,1,Settings!$B$16)</f>
        <v/>
      </c>
      <c r="N1906" s="5" t="str" cm="1">
        <f t="array" ref="N1906">choice(Settings!K:K,1,Settings!$B$16)</f>
        <v/>
      </c>
      <c r="P1906" s="5">
        <f t="shared" si="120"/>
        <v>2</v>
      </c>
    </row>
    <row r="1907" spans="1:16" ht="15.75" customHeight="1" x14ac:dyDescent="0.25">
      <c r="A1907" s="6" t="s">
        <v>2259</v>
      </c>
      <c r="B1907" s="6" cm="1">
        <f t="array" ref="B1907">alea_int(Settings!$B$10,1,Settings!$B$16)</f>
        <v>1</v>
      </c>
      <c r="C1907" s="8">
        <v>46023</v>
      </c>
      <c r="D1907" s="8">
        <f t="shared" si="117"/>
        <v>46387</v>
      </c>
      <c r="E1907" s="6" t="str" cm="1">
        <f t="array" ref="E1907">choice(Groupes!A:A,1,Settings!$B$16)</f>
        <v>G24</v>
      </c>
      <c r="F1907" s="6" t="str">
        <f t="shared" si="118"/>
        <v>G24</v>
      </c>
      <c r="G1907" s="6" t="str">
        <f t="shared" si="119"/>
        <v>Prof31</v>
      </c>
      <c r="H1907" s="6" t="str" cm="1">
        <f t="array" ref="H1907">choice(Referentiel!A:A,1,Settings!$B$16)</f>
        <v>Cinéma d'Animation</v>
      </c>
      <c r="I1907" s="6" t="str" cm="1">
        <f t="array" ref="I1907">choice(Referentiel!B:B,1,Settings!$B$16)</f>
        <v>2ème année Architecture Intérieure S1</v>
      </c>
      <c r="J1907" s="6" t="str" cm="1">
        <f t="array" ref="J1907">choice(Referentiel!D:D,1,Settings!$B$16)</f>
        <v>L3</v>
      </c>
      <c r="K1907" s="6" t="str" cm="1">
        <f t="array" ref="K1907">choice(Professeurs!B:B,1,Settings!$B$16)</f>
        <v>Prof31</v>
      </c>
      <c r="L1907" s="5" t="str" cm="1">
        <f t="array" ref="L1907">choice(Referentiel!C:C,1,Settings!$B$16)</f>
        <v/>
      </c>
      <c r="M1907" s="5" t="str" cm="1">
        <f t="array" ref="M1907">choice(Referentiel!E:E,1,Settings!$B$16)</f>
        <v/>
      </c>
      <c r="N1907" s="5" t="str" cm="1">
        <f t="array" ref="N1907">choice(Settings!K:K,1,Settings!$B$16)</f>
        <v/>
      </c>
      <c r="P1907" s="5">
        <f t="shared" si="120"/>
        <v>1</v>
      </c>
    </row>
    <row r="1908" spans="1:16" ht="15.75" customHeight="1" x14ac:dyDescent="0.25">
      <c r="A1908" s="6" t="s">
        <v>2260</v>
      </c>
      <c r="B1908" s="6" cm="1">
        <f t="array" ref="B1908">alea_int(Settings!$B$10,1,Settings!$B$16)</f>
        <v>3</v>
      </c>
      <c r="C1908" s="8">
        <v>46023</v>
      </c>
      <c r="D1908" s="8">
        <f t="shared" si="117"/>
        <v>46387</v>
      </c>
      <c r="E1908" s="6" t="str" cm="1">
        <f t="array" ref="E1908">choice(Groupes!A:A,1,Settings!$B$16)</f>
        <v>G20</v>
      </c>
      <c r="F1908" s="6" t="str">
        <f t="shared" si="118"/>
        <v>G20</v>
      </c>
      <c r="G1908" s="6" t="str">
        <f t="shared" si="119"/>
        <v>Prof31</v>
      </c>
      <c r="H1908" s="6" t="str" cm="1">
        <f t="array" ref="H1908">choice(Referentiel!A:A,1,Settings!$B$16)</f>
        <v>Gr SPATIAL MEDIA</v>
      </c>
      <c r="I1908" s="6" t="str" cm="1">
        <f t="array" ref="I1908">choice(Referentiel!B:B,1,Settings!$B$16)</f>
        <v>2ème année Image Imprimée S2</v>
      </c>
      <c r="J1908" s="6" t="str" cm="1">
        <f t="array" ref="J1908">choice(Referentiel!D:D,1,Settings!$B$16)</f>
        <v>L2</v>
      </c>
      <c r="K1908" s="6" t="str" cm="1">
        <f t="array" ref="K1908">choice(Professeurs!B:B,1,Settings!$B$16)</f>
        <v>Prof31</v>
      </c>
      <c r="L1908" s="5" t="str" cm="1">
        <f t="array" ref="L1908">choice(Referentiel!C:C,1,Settings!$B$16)</f>
        <v/>
      </c>
      <c r="M1908" s="5" t="str" cm="1">
        <f t="array" ref="M1908">choice(Referentiel!E:E,1,Settings!$B$16)</f>
        <v/>
      </c>
      <c r="N1908" s="5" t="str" cm="1">
        <f t="array" ref="N1908">choice(Settings!K:K,1,Settings!$B$16)</f>
        <v>mardi am</v>
      </c>
      <c r="P1908" s="5">
        <f t="shared" si="120"/>
        <v>5</v>
      </c>
    </row>
    <row r="1909" spans="1:16" ht="15.75" customHeight="1" x14ac:dyDescent="0.25">
      <c r="A1909" s="6" t="s">
        <v>2261</v>
      </c>
      <c r="B1909" s="6" cm="1">
        <f t="array" ref="B1909">alea_int(Settings!$B$10,1,Settings!$B$16)</f>
        <v>2</v>
      </c>
      <c r="C1909" s="8">
        <v>46023</v>
      </c>
      <c r="D1909" s="8">
        <f t="shared" si="117"/>
        <v>46387</v>
      </c>
      <c r="E1909" s="6" t="str" cm="1">
        <f t="array" ref="E1909">choice(Groupes!A:A,1,Settings!$B$16)</f>
        <v>G30</v>
      </c>
      <c r="F1909" s="6" t="str">
        <f t="shared" si="118"/>
        <v>G30</v>
      </c>
      <c r="G1909" s="6" t="str">
        <f t="shared" si="119"/>
        <v>Prof29</v>
      </c>
      <c r="H1909" s="6" t="str" cm="1">
        <f t="array" ref="H1909">choice(Referentiel!A:A,1,Settings!$B$16)</f>
        <v>Design Textile et Matière</v>
      </c>
      <c r="I1909" s="6" t="str" cm="1">
        <f t="array" ref="I1909">choice(Referentiel!B:B,1,Settings!$B$16)</f>
        <v>3ème année Image Imprimée S1</v>
      </c>
      <c r="J1909" s="6" t="str" cm="1">
        <f t="array" ref="J1909">choice(Referentiel!D:D,1,Settings!$B$16)</f>
        <v>M1</v>
      </c>
      <c r="K1909" s="6" t="str" cm="1">
        <f t="array" ref="K1909">choice(Professeurs!B:B,1,Settings!$B$16)</f>
        <v>Prof29</v>
      </c>
      <c r="L1909" s="5" t="str" cm="1">
        <f t="array" ref="L1909">choice(Referentiel!C:C,1,Settings!$B$16)</f>
        <v/>
      </c>
      <c r="M1909" s="5" t="str" cm="1">
        <f t="array" ref="M1909">choice(Referentiel!E:E,1,Settings!$B$16)</f>
        <v/>
      </c>
      <c r="N1909" s="5" t="str" cm="1">
        <f t="array" ref="N1909">choice(Settings!K:K,1,Settings!$B$16)</f>
        <v/>
      </c>
      <c r="P1909" s="5">
        <f t="shared" si="120"/>
        <v>2</v>
      </c>
    </row>
    <row r="1910" spans="1:16" ht="15.75" customHeight="1" x14ac:dyDescent="0.25">
      <c r="A1910" s="6" t="s">
        <v>2262</v>
      </c>
      <c r="B1910" s="6" cm="1">
        <f t="array" ref="B1910">alea_int(Settings!$B$10,1,Settings!$B$16)</f>
        <v>1</v>
      </c>
      <c r="C1910" s="8">
        <v>46023</v>
      </c>
      <c r="D1910" s="8">
        <f t="shared" si="117"/>
        <v>46387</v>
      </c>
      <c r="E1910" s="6" t="str" cm="1">
        <f t="array" ref="E1910">choice(Groupes!A:A,1,Settings!$B$16)</f>
        <v>G23</v>
      </c>
      <c r="F1910" s="6" t="str">
        <f t="shared" si="118"/>
        <v>G23</v>
      </c>
      <c r="G1910" s="6" t="str">
        <f t="shared" si="119"/>
        <v>Prof47</v>
      </c>
      <c r="H1910" s="6" t="str" cm="1">
        <f t="array" ref="H1910">choice(Referentiel!A:A,1,Settings!$B$16)</f>
        <v>1ère année Groupe 2</v>
      </c>
      <c r="I1910" s="6" t="str" cm="1">
        <f t="array" ref="I1910">choice(Referentiel!B:B,1,Settings!$B$16)</f>
        <v>3ème année Image Imprimée S2</v>
      </c>
      <c r="J1910" s="6" t="str" cm="1">
        <f t="array" ref="J1910">choice(Referentiel!D:D,1,Settings!$B$16)</f>
        <v>L1</v>
      </c>
      <c r="K1910" s="6" t="str" cm="1">
        <f t="array" ref="K1910">choice(Professeurs!B:B,1,Settings!$B$16)</f>
        <v>Prof47</v>
      </c>
      <c r="L1910" s="5" t="str" cm="1">
        <f t="array" ref="L1910">choice(Referentiel!C:C,1,Settings!$B$16)</f>
        <v/>
      </c>
      <c r="M1910" s="5" t="str" cm="1">
        <f t="array" ref="M1910">choice(Referentiel!E:E,1,Settings!$B$16)</f>
        <v/>
      </c>
      <c r="N1910" s="5" t="str" cm="1">
        <f t="array" ref="N1910">choice(Settings!K:K,1,Settings!$B$16)</f>
        <v/>
      </c>
      <c r="P1910" s="5">
        <f t="shared" si="120"/>
        <v>1</v>
      </c>
    </row>
    <row r="1911" spans="1:16" ht="15.75" customHeight="1" x14ac:dyDescent="0.25">
      <c r="A1911" s="6" t="s">
        <v>2263</v>
      </c>
      <c r="B1911" s="6" cm="1">
        <f t="array" ref="B1911">alea_int(Settings!$B$10,1,Settings!$B$16)</f>
        <v>3</v>
      </c>
      <c r="C1911" s="8">
        <v>46023</v>
      </c>
      <c r="D1911" s="8">
        <f t="shared" si="117"/>
        <v>46387</v>
      </c>
      <c r="E1911" s="6" t="str" cm="1">
        <f t="array" ref="E1911">choice(Groupes!A:A,1,Settings!$B$16)</f>
        <v>G26</v>
      </c>
      <c r="F1911" s="6" t="str">
        <f t="shared" si="118"/>
        <v>G26</v>
      </c>
      <c r="G1911" s="6" t="str">
        <f t="shared" si="119"/>
        <v>Prof9</v>
      </c>
      <c r="H1911" s="6" t="str" cm="1">
        <f t="array" ref="H1911">choice(Referentiel!A:A,1,Settings!$B$16)</f>
        <v>Design des mondes littoraux</v>
      </c>
      <c r="I1911" s="6" t="str" cm="1">
        <f t="array" ref="I1911">choice(Referentiel!B:B,1,Settings!$B$16)</f>
        <v>3ème année Design Textile et Matière S2</v>
      </c>
      <c r="J1911" s="6" t="str" cm="1">
        <f t="array" ref="J1911">choice(Referentiel!D:D,1,Settings!$B$16)</f>
        <v>L3</v>
      </c>
      <c r="K1911" s="6" t="str" cm="1">
        <f t="array" ref="K1911">choice(Professeurs!B:B,1,Settings!$B$16)</f>
        <v>Prof9</v>
      </c>
      <c r="L1911" s="5" t="str" cm="1">
        <f t="array" ref="L1911">choice(Referentiel!C:C,1,Settings!$B$16)</f>
        <v/>
      </c>
      <c r="M1911" s="5" t="str" cm="1">
        <f t="array" ref="M1911">choice(Referentiel!E:E,1,Settings!$B$16)</f>
        <v/>
      </c>
      <c r="N1911" s="5" t="str" cm="1">
        <f t="array" ref="N1911">choice(Settings!K:K,1,Settings!$B$16)</f>
        <v/>
      </c>
      <c r="P1911" s="5">
        <f t="shared" si="120"/>
        <v>3</v>
      </c>
    </row>
    <row r="1912" spans="1:16" ht="15.75" customHeight="1" x14ac:dyDescent="0.25">
      <c r="A1912" s="6" t="s">
        <v>2264</v>
      </c>
      <c r="B1912" s="6" cm="1">
        <f t="array" ref="B1912">alea_int(Settings!$B$10,1,Settings!$B$16)</f>
        <v>1</v>
      </c>
      <c r="C1912" s="8">
        <v>46023</v>
      </c>
      <c r="D1912" s="8">
        <f t="shared" si="117"/>
        <v>46387</v>
      </c>
      <c r="E1912" s="6" t="str" cm="1">
        <f t="array" ref="E1912">choice(Groupes!A:A,1,Settings!$B$16)</f>
        <v>G22</v>
      </c>
      <c r="F1912" s="6" t="str">
        <f t="shared" si="118"/>
        <v>G22</v>
      </c>
      <c r="G1912" s="6" t="str">
        <f t="shared" si="119"/>
        <v>Prof45</v>
      </c>
      <c r="H1912" s="6" t="str" cm="1">
        <f t="array" ref="H1912">choice(Referentiel!A:A,1,Settings!$B$16)</f>
        <v>1ère année Groupe 4</v>
      </c>
      <c r="I1912" s="6" t="str" cm="1">
        <f t="array" ref="I1912">choice(Referentiel!B:B,1,Settings!$B$16)</f>
        <v>3ème année Architecture Intérieure S2</v>
      </c>
      <c r="J1912" s="6" t="str" cm="1">
        <f t="array" ref="J1912">choice(Referentiel!D:D,1,Settings!$B$16)</f>
        <v>L3</v>
      </c>
      <c r="K1912" s="6" t="str" cm="1">
        <f t="array" ref="K1912">choice(Professeurs!B:B,1,Settings!$B$16)</f>
        <v>Prof45</v>
      </c>
      <c r="L1912" s="5" t="str" cm="1">
        <f t="array" ref="L1912">choice(Referentiel!C:C,1,Settings!$B$16)</f>
        <v/>
      </c>
      <c r="M1912" s="5" t="str" cm="1">
        <f t="array" ref="M1912">choice(Referentiel!E:E,1,Settings!$B$16)</f>
        <v/>
      </c>
      <c r="N1912" s="5" t="str" cm="1">
        <f t="array" ref="N1912">choice(Settings!K:K,1,Settings!$B$16)</f>
        <v/>
      </c>
      <c r="P1912" s="5">
        <f t="shared" si="120"/>
        <v>1</v>
      </c>
    </row>
    <row r="1913" spans="1:16" ht="15.75" customHeight="1" x14ac:dyDescent="0.25">
      <c r="A1913" s="6" t="s">
        <v>2265</v>
      </c>
      <c r="B1913" s="6" cm="1">
        <f t="array" ref="B1913">alea_int(Settings!$B$10,1,Settings!$B$16)</f>
        <v>1</v>
      </c>
      <c r="C1913" s="8">
        <v>46023</v>
      </c>
      <c r="D1913" s="8">
        <f t="shared" si="117"/>
        <v>46387</v>
      </c>
      <c r="E1913" s="6" t="str" cm="1">
        <f t="array" ref="E1913">choice(Groupes!A:A,1,Settings!$B$16)</f>
        <v>G10</v>
      </c>
      <c r="F1913" s="6" t="str">
        <f t="shared" si="118"/>
        <v>G10</v>
      </c>
      <c r="G1913" s="6" t="str">
        <f t="shared" si="119"/>
        <v>Prof21</v>
      </c>
      <c r="H1913" s="6" t="str" cm="1">
        <f t="array" ref="H1913">choice(Referentiel!A:A,1,Settings!$B$16)</f>
        <v>Scénographie</v>
      </c>
      <c r="I1913" s="6" t="str" cm="1">
        <f t="array" ref="I1913">choice(Referentiel!B:B,1,Settings!$B$16)</f>
        <v>5ème année Scénographie S2</v>
      </c>
      <c r="J1913" s="6" t="str" cm="1">
        <f t="array" ref="J1913">choice(Referentiel!D:D,1,Settings!$B$16)</f>
        <v>L2</v>
      </c>
      <c r="K1913" s="6" t="str" cm="1">
        <f t="array" ref="K1913">choice(Professeurs!B:B,1,Settings!$B$16)</f>
        <v>Prof21</v>
      </c>
      <c r="L1913" s="5" t="str" cm="1">
        <f t="array" ref="L1913">choice(Referentiel!C:C,1,Settings!$B$16)</f>
        <v/>
      </c>
      <c r="M1913" s="5" t="str" cm="1">
        <f t="array" ref="M1913">choice(Referentiel!E:E,1,Settings!$B$16)</f>
        <v/>
      </c>
      <c r="N1913" s="5" t="str" cm="1">
        <f t="array" ref="N1913">choice(Settings!K:K,1,Settings!$B$16)</f>
        <v/>
      </c>
      <c r="P1913" s="5">
        <f t="shared" si="120"/>
        <v>1</v>
      </c>
    </row>
    <row r="1914" spans="1:16" ht="15.75" customHeight="1" x14ac:dyDescent="0.25">
      <c r="A1914" s="6" t="s">
        <v>2266</v>
      </c>
      <c r="B1914" s="6" cm="1">
        <f t="array" ref="B1914">alea_int(Settings!$B$10,1,Settings!$B$16)</f>
        <v>1</v>
      </c>
      <c r="C1914" s="8">
        <v>46023</v>
      </c>
      <c r="D1914" s="8">
        <f t="shared" si="117"/>
        <v>46387</v>
      </c>
      <c r="E1914" s="6" t="str" cm="1">
        <f t="array" ref="E1914">choice(Groupes!A:A,1,Settings!$B$16)</f>
        <v>G21</v>
      </c>
      <c r="F1914" s="6" t="str">
        <f t="shared" si="118"/>
        <v>G21</v>
      </c>
      <c r="G1914" s="6" t="str">
        <f t="shared" si="119"/>
        <v>Prof19</v>
      </c>
      <c r="H1914" s="6" t="str" cm="1">
        <f t="array" ref="H1914">choice(Referentiel!A:A,1,Settings!$B$16)</f>
        <v>6ème année atelier</v>
      </c>
      <c r="I1914" s="6" t="str" cm="1">
        <f t="array" ref="I1914">choice(Referentiel!B:B,1,Settings!$B$16)</f>
        <v>2ème année Cinéma d'Animation S1</v>
      </c>
      <c r="J1914" s="6" t="str" cm="1">
        <f t="array" ref="J1914">choice(Referentiel!D:D,1,Settings!$B$16)</f>
        <v>M2</v>
      </c>
      <c r="K1914" s="6" t="str" cm="1">
        <f t="array" ref="K1914">choice(Professeurs!B:B,1,Settings!$B$16)</f>
        <v>Prof19</v>
      </c>
      <c r="L1914" s="5" t="str" cm="1">
        <f t="array" ref="L1914">choice(Referentiel!C:C,1,Settings!$B$16)</f>
        <v/>
      </c>
      <c r="M1914" s="5" t="str" cm="1">
        <f t="array" ref="M1914">choice(Referentiel!E:E,1,Settings!$B$16)</f>
        <v/>
      </c>
      <c r="N1914" s="5" t="str" cm="1">
        <f t="array" ref="N1914">choice(Settings!K:K,1,Settings!$B$16)</f>
        <v/>
      </c>
      <c r="P1914" s="5">
        <f t="shared" si="120"/>
        <v>1</v>
      </c>
    </row>
    <row r="1915" spans="1:16" ht="15.75" customHeight="1" x14ac:dyDescent="0.25">
      <c r="A1915" s="6" t="s">
        <v>2267</v>
      </c>
      <c r="B1915" s="6" cm="1">
        <f t="array" ref="B1915">alea_int(Settings!$B$10,1,Settings!$B$16)</f>
        <v>3</v>
      </c>
      <c r="C1915" s="8">
        <v>46023</v>
      </c>
      <c r="D1915" s="8">
        <f t="shared" si="117"/>
        <v>46387</v>
      </c>
      <c r="E1915" s="6" t="str" cm="1">
        <f t="array" ref="E1915">choice(Groupes!A:A,1,Settings!$B$16)</f>
        <v>G18</v>
      </c>
      <c r="F1915" s="6" t="str">
        <f t="shared" si="118"/>
        <v>G18</v>
      </c>
      <c r="G1915" s="6" t="str">
        <f t="shared" si="119"/>
        <v>Prof49</v>
      </c>
      <c r="H1915" s="6" t="str" cm="1">
        <f t="array" ref="H1915">choice(Referentiel!A:A,1,Settings!$B$16)</f>
        <v>Design des mondes forestiers</v>
      </c>
      <c r="I1915" s="6" t="str" cm="1">
        <f t="array" ref="I1915">choice(Referentiel!B:B,1,Settings!$B$16)</f>
        <v>5ème année Cinéma d'Animation S2</v>
      </c>
      <c r="J1915" s="6" t="str" cm="1">
        <f t="array" ref="J1915">choice(Referentiel!D:D,1,Settings!$B$16)</f>
        <v>M1</v>
      </c>
      <c r="K1915" s="6" t="str" cm="1">
        <f t="array" ref="K1915">choice(Professeurs!B:B,1,Settings!$B$16)</f>
        <v>Prof49</v>
      </c>
      <c r="L1915" s="5" t="str" cm="1">
        <f t="array" ref="L1915">choice(Referentiel!C:C,1,Settings!$B$16)</f>
        <v/>
      </c>
      <c r="M1915" s="5" t="str" cm="1">
        <f t="array" ref="M1915">choice(Referentiel!E:E,1,Settings!$B$16)</f>
        <v/>
      </c>
      <c r="N1915" s="5" t="str" cm="1">
        <f t="array" ref="N1915">choice(Settings!K:K,1,Settings!$B$16)</f>
        <v/>
      </c>
      <c r="P1915" s="5">
        <f t="shared" si="120"/>
        <v>3</v>
      </c>
    </row>
    <row r="1916" spans="1:16" ht="15.75" customHeight="1" x14ac:dyDescent="0.25">
      <c r="A1916" s="6" t="s">
        <v>2268</v>
      </c>
      <c r="B1916" s="6" cm="1">
        <f t="array" ref="B1916">alea_int(Settings!$B$10,1,Settings!$B$16)</f>
        <v>2</v>
      </c>
      <c r="C1916" s="8">
        <v>46023</v>
      </c>
      <c r="D1916" s="8">
        <f t="shared" si="117"/>
        <v>46387</v>
      </c>
      <c r="E1916" s="6" t="str" cm="1">
        <f t="array" ref="E1916">choice(Groupes!A:A,1,Settings!$B$16)</f>
        <v>G27</v>
      </c>
      <c r="F1916" s="6" t="str">
        <f t="shared" si="118"/>
        <v>G27</v>
      </c>
      <c r="G1916" s="6" t="str">
        <f t="shared" si="119"/>
        <v>Prof12</v>
      </c>
      <c r="H1916" s="6" t="str" cm="1">
        <f t="array" ref="H1916">choice(Referentiel!A:A,1,Settings!$B$16)</f>
        <v>Cinéma d'Animation</v>
      </c>
      <c r="I1916" s="6" t="str" cm="1">
        <f t="array" ref="I1916">choice(Referentiel!B:B,1,Settings!$B$16)</f>
        <v>1ère Année Groupe 3 S2</v>
      </c>
      <c r="J1916" s="6" t="str" cm="1">
        <f t="array" ref="J1916">choice(Referentiel!D:D,1,Settings!$B$16)</f>
        <v>L1</v>
      </c>
      <c r="K1916" s="6" t="str" cm="1">
        <f t="array" ref="K1916">choice(Professeurs!B:B,1,Settings!$B$16)</f>
        <v>Prof12</v>
      </c>
      <c r="L1916" s="5" t="str" cm="1">
        <f t="array" ref="L1916">choice(Referentiel!C:C,1,Settings!$B$16)</f>
        <v/>
      </c>
      <c r="M1916" s="5" t="str" cm="1">
        <f t="array" ref="M1916">choice(Referentiel!E:E,1,Settings!$B$16)</f>
        <v/>
      </c>
      <c r="N1916" s="5" t="str" cm="1">
        <f t="array" ref="N1916">choice(Settings!K:K,1,Settings!$B$16)</f>
        <v/>
      </c>
      <c r="P1916" s="5">
        <f t="shared" si="120"/>
        <v>2</v>
      </c>
    </row>
    <row r="1917" spans="1:16" ht="15.75" customHeight="1" x14ac:dyDescent="0.25">
      <c r="A1917" s="6" t="s">
        <v>2269</v>
      </c>
      <c r="B1917" s="6" cm="1">
        <f t="array" ref="B1917">alea_int(Settings!$B$10,1,Settings!$B$16)</f>
        <v>1</v>
      </c>
      <c r="C1917" s="8">
        <v>46023</v>
      </c>
      <c r="D1917" s="8">
        <f t="shared" si="117"/>
        <v>46387</v>
      </c>
      <c r="E1917" s="6" t="str" cm="1">
        <f t="array" ref="E1917">choice(Groupes!A:A,1,Settings!$B$16)</f>
        <v>G28</v>
      </c>
      <c r="F1917" s="6" t="str">
        <f t="shared" si="118"/>
        <v>G28</v>
      </c>
      <c r="G1917" s="6" t="str">
        <f t="shared" si="119"/>
        <v>Prof6</v>
      </c>
      <c r="H1917" s="6" t="str" cm="1">
        <f t="array" ref="H1917">choice(Referentiel!A:A,1,Settings!$B$16)</f>
        <v>Design Textile et Matière</v>
      </c>
      <c r="I1917" s="6" t="str" cm="1">
        <f t="array" ref="I1917">choice(Referentiel!B:B,1,Settings!$B$16)</f>
        <v>3ème année Scénographie S1</v>
      </c>
      <c r="J1917" s="6" t="str" cm="1">
        <f t="array" ref="J1917">choice(Referentiel!D:D,1,Settings!$B$16)</f>
        <v>L2</v>
      </c>
      <c r="K1917" s="6" t="str" cm="1">
        <f t="array" ref="K1917">choice(Professeurs!B:B,1,Settings!$B$16)</f>
        <v>Prof6</v>
      </c>
      <c r="L1917" s="5" t="str" cm="1">
        <f t="array" ref="L1917">choice(Referentiel!C:C,1,Settings!$B$16)</f>
        <v/>
      </c>
      <c r="M1917" s="5" t="str" cm="1">
        <f t="array" ref="M1917">choice(Referentiel!E:E,1,Settings!$B$16)</f>
        <v/>
      </c>
      <c r="N1917" s="5" t="str" cm="1">
        <f t="array" ref="N1917">choice(Settings!K:K,1,Settings!$B$16)</f>
        <v/>
      </c>
      <c r="P1917" s="5">
        <f t="shared" si="120"/>
        <v>1</v>
      </c>
    </row>
    <row r="1918" spans="1:16" ht="15.75" customHeight="1" x14ac:dyDescent="0.25">
      <c r="A1918" s="6" t="s">
        <v>2270</v>
      </c>
      <c r="B1918" s="6" cm="1">
        <f t="array" ref="B1918">alea_int(Settings!$B$10,1,Settings!$B$16)</f>
        <v>1</v>
      </c>
      <c r="C1918" s="8">
        <v>46023</v>
      </c>
      <c r="D1918" s="8">
        <f t="shared" si="117"/>
        <v>46387</v>
      </c>
      <c r="E1918" s="6" t="str" cm="1">
        <f t="array" ref="E1918">choice(Groupes!A:A,1,Settings!$B$16)</f>
        <v>G20</v>
      </c>
      <c r="F1918" s="6" t="str">
        <f t="shared" si="118"/>
        <v>G20</v>
      </c>
      <c r="G1918" s="6" t="str">
        <f t="shared" si="119"/>
        <v>Prof45</v>
      </c>
      <c r="H1918" s="6" t="str" cm="1">
        <f t="array" ref="H1918">choice(Referentiel!A:A,1,Settings!$B$16)</f>
        <v>Mode et Matière</v>
      </c>
      <c r="I1918" s="6" t="str" cm="1">
        <f t="array" ref="I1918">choice(Referentiel!B:B,1,Settings!$B$16)</f>
        <v>3ème année Scénographie S1</v>
      </c>
      <c r="J1918" s="6" t="str" cm="1">
        <f t="array" ref="J1918">choice(Referentiel!D:D,1,Settings!$B$16)</f>
        <v>L1</v>
      </c>
      <c r="K1918" s="6" t="str" cm="1">
        <f t="array" ref="K1918">choice(Professeurs!B:B,1,Settings!$B$16)</f>
        <v>Prof45</v>
      </c>
      <c r="L1918" s="5" t="str" cm="1">
        <f t="array" ref="L1918">choice(Referentiel!C:C,1,Settings!$B$16)</f>
        <v/>
      </c>
      <c r="M1918" s="5" t="str" cm="1">
        <f t="array" ref="M1918">choice(Referentiel!E:E,1,Settings!$B$16)</f>
        <v/>
      </c>
      <c r="N1918" s="5" t="str" cm="1">
        <f t="array" ref="N1918">choice(Settings!K:K,1,Settings!$B$16)</f>
        <v/>
      </c>
      <c r="P1918" s="5">
        <f t="shared" si="120"/>
        <v>1</v>
      </c>
    </row>
    <row r="1919" spans="1:16" ht="15.75" customHeight="1" x14ac:dyDescent="0.25">
      <c r="A1919" s="6" t="s">
        <v>2271</v>
      </c>
      <c r="B1919" s="6" cm="1">
        <f t="array" ref="B1919">alea_int(Settings!$B$10,1,Settings!$B$16)</f>
        <v>1</v>
      </c>
      <c r="C1919" s="8">
        <v>46023</v>
      </c>
      <c r="D1919" s="8">
        <f t="shared" si="117"/>
        <v>46387</v>
      </c>
      <c r="E1919" s="6" t="str" cm="1">
        <f t="array" ref="E1919">choice(Groupes!A:A,1,Settings!$B$16)</f>
        <v>G20</v>
      </c>
      <c r="F1919" s="6" t="str">
        <f t="shared" si="118"/>
        <v>G20</v>
      </c>
      <c r="G1919" s="6" t="str">
        <f t="shared" si="119"/>
        <v>Prof22</v>
      </c>
      <c r="H1919" s="6" t="str" cm="1">
        <f t="array" ref="H1919">choice(Referentiel!A:A,1,Settings!$B$16)</f>
        <v>Design Vêtement</v>
      </c>
      <c r="I1919" s="6" t="str" cm="1">
        <f t="array" ref="I1919">choice(Referentiel!B:B,1,Settings!$B$16)</f>
        <v>1ère Année Groupe 1 S2</v>
      </c>
      <c r="J1919" s="6" t="str" cm="1">
        <f t="array" ref="J1919">choice(Referentiel!D:D,1,Settings!$B$16)</f>
        <v>M1</v>
      </c>
      <c r="K1919" s="6" t="str" cm="1">
        <f t="array" ref="K1919">choice(Professeurs!B:B,1,Settings!$B$16)</f>
        <v>Prof22</v>
      </c>
      <c r="L1919" s="5" t="str" cm="1">
        <f t="array" ref="L1919">choice(Referentiel!C:C,1,Settings!$B$16)</f>
        <v/>
      </c>
      <c r="M1919" s="5" t="str" cm="1">
        <f t="array" ref="M1919">choice(Referentiel!E:E,1,Settings!$B$16)</f>
        <v/>
      </c>
      <c r="N1919" s="5" t="str" cm="1">
        <f t="array" ref="N1919">choice(Settings!K:K,1,Settings!$B$16)</f>
        <v>lundi pm</v>
      </c>
      <c r="P1919" s="5">
        <f t="shared" si="120"/>
        <v>3</v>
      </c>
    </row>
    <row r="1920" spans="1:16" ht="15.75" customHeight="1" x14ac:dyDescent="0.25">
      <c r="A1920" s="6" t="s">
        <v>2272</v>
      </c>
      <c r="B1920" s="6" cm="1">
        <f t="array" ref="B1920">alea_int(Settings!$B$10,1,Settings!$B$16)</f>
        <v>1</v>
      </c>
      <c r="C1920" s="8">
        <v>46023</v>
      </c>
      <c r="D1920" s="8">
        <f t="shared" si="117"/>
        <v>46387</v>
      </c>
      <c r="E1920" s="6" t="str" cm="1">
        <f t="array" ref="E1920">choice(Groupes!A:A,1,Settings!$B$16)</f>
        <v>G29</v>
      </c>
      <c r="F1920" s="6" t="str">
        <f t="shared" si="118"/>
        <v>G29</v>
      </c>
      <c r="G1920" s="6" t="str">
        <f t="shared" si="119"/>
        <v>Prof40</v>
      </c>
      <c r="H1920" s="6" t="str" cm="1">
        <f t="array" ref="H1920">choice(Referentiel!A:A,1,Settings!$B$16)</f>
        <v>Design Textile et Matière</v>
      </c>
      <c r="I1920" s="6" t="str" cm="1">
        <f t="array" ref="I1920">choice(Referentiel!B:B,1,Settings!$B$16)</f>
        <v>2ème année Image Imprimée S1</v>
      </c>
      <c r="J1920" s="6" t="str" cm="1">
        <f t="array" ref="J1920">choice(Referentiel!D:D,1,Settings!$B$16)</f>
        <v>L2</v>
      </c>
      <c r="K1920" s="6" t="str" cm="1">
        <f t="array" ref="K1920">choice(Professeurs!B:B,1,Settings!$B$16)</f>
        <v>Prof40</v>
      </c>
      <c r="L1920" s="5" t="str" cm="1">
        <f t="array" ref="L1920">choice(Referentiel!C:C,1,Settings!$B$16)</f>
        <v/>
      </c>
      <c r="M1920" s="5" t="str" cm="1">
        <f t="array" ref="M1920">choice(Referentiel!E:E,1,Settings!$B$16)</f>
        <v/>
      </c>
      <c r="N1920" s="5" t="str" cm="1">
        <f t="array" ref="N1920">choice(Settings!K:K,1,Settings!$B$16)</f>
        <v/>
      </c>
      <c r="P1920" s="5">
        <f t="shared" si="120"/>
        <v>1</v>
      </c>
    </row>
    <row r="1921" spans="1:16" ht="15.75" customHeight="1" x14ac:dyDescent="0.25">
      <c r="A1921" s="6" t="s">
        <v>2273</v>
      </c>
      <c r="B1921" s="6" cm="1">
        <f t="array" ref="B1921">alea_int(Settings!$B$10,1,Settings!$B$16)</f>
        <v>2</v>
      </c>
      <c r="C1921" s="8">
        <v>46023</v>
      </c>
      <c r="D1921" s="8">
        <f t="shared" si="117"/>
        <v>46387</v>
      </c>
      <c r="E1921" s="6" t="str" cm="1">
        <f t="array" ref="E1921">choice(Groupes!A:A,1,Settings!$B$16)</f>
        <v>G28</v>
      </c>
      <c r="F1921" s="6" t="str">
        <f t="shared" si="118"/>
        <v>G28</v>
      </c>
      <c r="G1921" s="6" t="str">
        <f t="shared" si="119"/>
        <v>Prof29</v>
      </c>
      <c r="H1921" s="6" t="str" cm="1">
        <f t="array" ref="H1921">choice(Referentiel!A:A,1,Settings!$B$16)</f>
        <v>Design des mondes insulaires</v>
      </c>
      <c r="I1921" s="6" t="str" cm="1">
        <f t="array" ref="I1921">choice(Referentiel!B:B,1,Settings!$B$16)</f>
        <v>2ème année Design Objet S2</v>
      </c>
      <c r="J1921" s="6" t="str" cm="1">
        <f t="array" ref="J1921">choice(Referentiel!D:D,1,Settings!$B$16)</f>
        <v>L1</v>
      </c>
      <c r="K1921" s="6" t="str" cm="1">
        <f t="array" ref="K1921">choice(Professeurs!B:B,1,Settings!$B$16)</f>
        <v>Prof29</v>
      </c>
      <c r="L1921" s="5" t="str" cm="1">
        <f t="array" ref="L1921">choice(Referentiel!C:C,1,Settings!$B$16)</f>
        <v/>
      </c>
      <c r="M1921" s="5" t="str" cm="1">
        <f t="array" ref="M1921">choice(Referentiel!E:E,1,Settings!$B$16)</f>
        <v/>
      </c>
      <c r="N1921" s="5" t="str" cm="1">
        <f t="array" ref="N1921">choice(Settings!K:K,1,Settings!$B$16)</f>
        <v/>
      </c>
      <c r="P1921" s="5">
        <f t="shared" si="120"/>
        <v>2</v>
      </c>
    </row>
    <row r="1922" spans="1:16" ht="15.75" customHeight="1" x14ac:dyDescent="0.25">
      <c r="A1922" s="6" t="s">
        <v>2274</v>
      </c>
      <c r="B1922" s="6" cm="1">
        <f t="array" ref="B1922">alea_int(Settings!$B$10,1,Settings!$B$16)</f>
        <v>3</v>
      </c>
      <c r="C1922" s="8">
        <v>46023</v>
      </c>
      <c r="D1922" s="8">
        <f t="shared" si="117"/>
        <v>46387</v>
      </c>
      <c r="E1922" s="6" t="str" cm="1">
        <f t="array" ref="E1922">choice(Groupes!A:A,1,Settings!$B$16)</f>
        <v>G24</v>
      </c>
      <c r="F1922" s="6" t="str">
        <f t="shared" si="118"/>
        <v>G24</v>
      </c>
      <c r="G1922" s="6" t="str">
        <f t="shared" si="119"/>
        <v>Prof19</v>
      </c>
      <c r="H1922" s="6" t="str" cm="1">
        <f t="array" ref="H1922">choice(Referentiel!A:A,1,Settings!$B$16)</f>
        <v>Design Graphique</v>
      </c>
      <c r="I1922" s="6" t="str" cm="1">
        <f t="array" ref="I1922">choice(Referentiel!B:B,1,Settings!$B$16)</f>
        <v>4ème année Design Vêtement S1</v>
      </c>
      <c r="J1922" s="6" t="str" cm="1">
        <f t="array" ref="J1922">choice(Referentiel!D:D,1,Settings!$B$16)</f>
        <v>L2</v>
      </c>
      <c r="K1922" s="6" t="str" cm="1">
        <f t="array" ref="K1922">choice(Professeurs!B:B,1,Settings!$B$16)</f>
        <v>Prof19</v>
      </c>
      <c r="L1922" s="5" t="str" cm="1">
        <f t="array" ref="L1922">choice(Referentiel!C:C,1,Settings!$B$16)</f>
        <v/>
      </c>
      <c r="M1922" s="5" t="str" cm="1">
        <f t="array" ref="M1922">choice(Referentiel!E:E,1,Settings!$B$16)</f>
        <v/>
      </c>
      <c r="N1922" s="5" t="str" cm="1">
        <f t="array" ref="N1922">choice(Settings!K:K,1,Settings!$B$16)</f>
        <v>vendredi pm</v>
      </c>
      <c r="P1922" s="5">
        <f t="shared" si="120"/>
        <v>5</v>
      </c>
    </row>
    <row r="1923" spans="1:16" ht="15.75" customHeight="1" x14ac:dyDescent="0.25">
      <c r="A1923" s="6" t="s">
        <v>2275</v>
      </c>
      <c r="B1923" s="6" cm="1">
        <f t="array" ref="B1923">alea_int(Settings!$B$10,1,Settings!$B$16)</f>
        <v>3</v>
      </c>
      <c r="C1923" s="8">
        <v>46023</v>
      </c>
      <c r="D1923" s="8">
        <f t="shared" ref="D1923:D1986" si="121">C1923+364</f>
        <v>46387</v>
      </c>
      <c r="E1923" s="6" t="str" cm="1">
        <f t="array" ref="E1923">choice(Groupes!A:A,1,Settings!$B$16)</f>
        <v>G23</v>
      </c>
      <c r="F1923" s="6" t="str">
        <f t="shared" ref="F1923:F1986" si="122">E1923</f>
        <v>G23</v>
      </c>
      <c r="G1923" s="6" t="str">
        <f t="shared" ref="G1923:G1986" si="123">K1923</f>
        <v>Prof31</v>
      </c>
      <c r="H1923" s="6" t="str" cm="1">
        <f t="array" ref="H1923">choice(Referentiel!A:A,1,Settings!$B$16)</f>
        <v>Gr REFLECTIVE INTERACTION</v>
      </c>
      <c r="I1923" s="6" t="str" cm="1">
        <f t="array" ref="I1923">choice(Referentiel!B:B,1,Settings!$B$16)</f>
        <v>3ème année Art-Espace S2</v>
      </c>
      <c r="J1923" s="6" t="str" cm="1">
        <f t="array" ref="J1923">choice(Referentiel!D:D,1,Settings!$B$16)</f>
        <v>L1</v>
      </c>
      <c r="K1923" s="6" t="str" cm="1">
        <f t="array" ref="K1923">choice(Professeurs!B:B,1,Settings!$B$16)</f>
        <v>Prof31</v>
      </c>
      <c r="L1923" s="5" t="str" cm="1">
        <f t="array" ref="L1923">choice(Referentiel!C:C,1,Settings!$B$16)</f>
        <v/>
      </c>
      <c r="M1923" s="5" t="str" cm="1">
        <f t="array" ref="M1923">choice(Referentiel!E:E,1,Settings!$B$16)</f>
        <v/>
      </c>
      <c r="N1923" s="5" t="str" cm="1">
        <f t="array" ref="N1923">choice(Settings!K:K,1,Settings!$B$16)</f>
        <v/>
      </c>
      <c r="P1923" s="5">
        <f t="shared" ref="P1923:P1986" si="124">B1923+IF(M1923&lt;&gt;"",2,0)+IF(N1923&lt;&gt;"",2,0)</f>
        <v>3</v>
      </c>
    </row>
    <row r="1924" spans="1:16" ht="15.75" customHeight="1" x14ac:dyDescent="0.25">
      <c r="A1924" s="6" t="s">
        <v>2276</v>
      </c>
      <c r="B1924" s="6" cm="1">
        <f t="array" ref="B1924">alea_int(Settings!$B$10,1,Settings!$B$16)</f>
        <v>1</v>
      </c>
      <c r="C1924" s="8">
        <v>46023</v>
      </c>
      <c r="D1924" s="8">
        <f t="shared" si="121"/>
        <v>46387</v>
      </c>
      <c r="E1924" s="6" t="str" cm="1">
        <f t="array" ref="E1924">choice(Groupes!A:A,1,Settings!$B$16)</f>
        <v>G25</v>
      </c>
      <c r="F1924" s="6" t="str">
        <f t="shared" si="122"/>
        <v>G25</v>
      </c>
      <c r="G1924" s="6" t="str">
        <f t="shared" si="123"/>
        <v>Prof55</v>
      </c>
      <c r="H1924" s="6" t="str" cm="1">
        <f t="array" ref="H1924">choice(Referentiel!A:A,1,Settings!$B$16)</f>
        <v>1ère année Groupe 1</v>
      </c>
      <c r="I1924" s="6" t="str" cm="1">
        <f t="array" ref="I1924">choice(Referentiel!B:B,1,Settings!$B$16)</f>
        <v>4ème année Image Imprimée S2</v>
      </c>
      <c r="J1924" s="6" t="str" cm="1">
        <f t="array" ref="J1924">choice(Referentiel!D:D,1,Settings!$B$16)</f>
        <v>M1</v>
      </c>
      <c r="K1924" s="6" t="str" cm="1">
        <f t="array" ref="K1924">choice(Professeurs!B:B,1,Settings!$B$16)</f>
        <v>Prof55</v>
      </c>
      <c r="L1924" s="5" t="str" cm="1">
        <f t="array" ref="L1924">choice(Referentiel!C:C,1,Settings!$B$16)</f>
        <v/>
      </c>
      <c r="M1924" s="5" t="str" cm="1">
        <f t="array" ref="M1924">choice(Referentiel!E:E,1,Settings!$B$16)</f>
        <v/>
      </c>
      <c r="N1924" s="5" t="str" cm="1">
        <f t="array" ref="N1924">choice(Settings!K:K,1,Settings!$B$16)</f>
        <v>vendredi am</v>
      </c>
      <c r="P1924" s="5">
        <f t="shared" si="124"/>
        <v>3</v>
      </c>
    </row>
    <row r="1925" spans="1:16" ht="15.75" customHeight="1" x14ac:dyDescent="0.25">
      <c r="A1925" s="6" t="s">
        <v>2277</v>
      </c>
      <c r="B1925" s="6" cm="1">
        <f t="array" ref="B1925">alea_int(Settings!$B$10,1,Settings!$B$16)</f>
        <v>2</v>
      </c>
      <c r="C1925" s="8">
        <v>46023</v>
      </c>
      <c r="D1925" s="8">
        <f t="shared" si="121"/>
        <v>46387</v>
      </c>
      <c r="E1925" s="6" t="str" cm="1">
        <f t="array" ref="E1925">choice(Groupes!A:A,1,Settings!$B$16)</f>
        <v>G6</v>
      </c>
      <c r="F1925" s="6" t="str">
        <f t="shared" si="122"/>
        <v>G6</v>
      </c>
      <c r="G1925" s="6" t="str">
        <f t="shared" si="123"/>
        <v>Prof41</v>
      </c>
      <c r="H1925" s="6" t="str" cm="1">
        <f t="array" ref="H1925">choice(Referentiel!A:A,1,Settings!$B$16)</f>
        <v>Gr SYMBIOSE</v>
      </c>
      <c r="I1925" s="6" t="str" cm="1">
        <f t="array" ref="I1925">choice(Referentiel!B:B,1,Settings!$B$16)</f>
        <v>3ème année Design Graphique S2</v>
      </c>
      <c r="J1925" s="6" t="str" cm="1">
        <f t="array" ref="J1925">choice(Referentiel!D:D,1,Settings!$B$16)</f>
        <v>L1</v>
      </c>
      <c r="K1925" s="6" t="str" cm="1">
        <f t="array" ref="K1925">choice(Professeurs!B:B,1,Settings!$B$16)</f>
        <v>Prof41</v>
      </c>
      <c r="L1925" s="5" t="str" cm="1">
        <f t="array" ref="L1925">choice(Referentiel!C:C,1,Settings!$B$16)</f>
        <v/>
      </c>
      <c r="M1925" s="5" t="str" cm="1">
        <f t="array" ref="M1925">choice(Referentiel!E:E,1,Settings!$B$16)</f>
        <v/>
      </c>
      <c r="N1925" s="5" t="str" cm="1">
        <f t="array" ref="N1925">choice(Settings!K:K,1,Settings!$B$16)</f>
        <v>lundi pm</v>
      </c>
      <c r="P1925" s="5">
        <f t="shared" si="124"/>
        <v>4</v>
      </c>
    </row>
    <row r="1926" spans="1:16" ht="15.75" customHeight="1" x14ac:dyDescent="0.25">
      <c r="A1926" s="6" t="s">
        <v>2278</v>
      </c>
      <c r="B1926" s="6" cm="1">
        <f t="array" ref="B1926">alea_int(Settings!$B$10,1,Settings!$B$16)</f>
        <v>2</v>
      </c>
      <c r="C1926" s="8">
        <v>46023</v>
      </c>
      <c r="D1926" s="8">
        <f t="shared" si="121"/>
        <v>46387</v>
      </c>
      <c r="E1926" s="6" t="str" cm="1">
        <f t="array" ref="E1926">choice(Groupes!A:A,1,Settings!$B$16)</f>
        <v>G23</v>
      </c>
      <c r="F1926" s="6" t="str">
        <f t="shared" si="122"/>
        <v>G23</v>
      </c>
      <c r="G1926" s="6" t="str">
        <f t="shared" si="123"/>
        <v>Prof34</v>
      </c>
      <c r="H1926" s="6" t="str" cm="1">
        <f t="array" ref="H1926">choice(Referentiel!A:A,1,Settings!$B$16)</f>
        <v>Image Imprimée</v>
      </c>
      <c r="I1926" s="6" t="str" cm="1">
        <f t="array" ref="I1926">choice(Referentiel!B:B,1,Settings!$B$16)</f>
        <v>4ème année Cinéma d'Animation S2</v>
      </c>
      <c r="J1926" s="6" t="str" cm="1">
        <f t="array" ref="J1926">choice(Referentiel!D:D,1,Settings!$B$16)</f>
        <v>L1</v>
      </c>
      <c r="K1926" s="6" t="str" cm="1">
        <f t="array" ref="K1926">choice(Professeurs!B:B,1,Settings!$B$16)</f>
        <v>Prof34</v>
      </c>
      <c r="L1926" s="5" t="str" cm="1">
        <f t="array" ref="L1926">choice(Referentiel!C:C,1,Settings!$B$16)</f>
        <v/>
      </c>
      <c r="M1926" s="5" t="str" cm="1">
        <f t="array" ref="M1926">choice(Referentiel!E:E,1,Settings!$B$16)</f>
        <v/>
      </c>
      <c r="N1926" s="5" t="str" cm="1">
        <f t="array" ref="N1926">choice(Settings!K:K,1,Settings!$B$16)</f>
        <v>lundi am</v>
      </c>
      <c r="P1926" s="5">
        <f t="shared" si="124"/>
        <v>4</v>
      </c>
    </row>
    <row r="1927" spans="1:16" ht="15.75" customHeight="1" x14ac:dyDescent="0.25">
      <c r="A1927" s="6" t="s">
        <v>2279</v>
      </c>
      <c r="B1927" s="6" cm="1">
        <f t="array" ref="B1927">alea_int(Settings!$B$10,1,Settings!$B$16)</f>
        <v>1</v>
      </c>
      <c r="C1927" s="8">
        <v>46023</v>
      </c>
      <c r="D1927" s="8">
        <f t="shared" si="121"/>
        <v>46387</v>
      </c>
      <c r="E1927" s="6" t="str" cm="1">
        <f t="array" ref="E1927">choice(Groupes!A:A,1,Settings!$B$16)</f>
        <v>G2</v>
      </c>
      <c r="F1927" s="6" t="str">
        <f t="shared" si="122"/>
        <v>G2</v>
      </c>
      <c r="G1927" s="6" t="str">
        <f t="shared" si="123"/>
        <v>Prof9</v>
      </c>
      <c r="H1927" s="6" t="str" cm="1">
        <f t="array" ref="H1927">choice(Referentiel!A:A,1,Settings!$B$16)</f>
        <v>Image Imprimée</v>
      </c>
      <c r="I1927" s="6" t="str" cm="1">
        <f t="array" ref="I1927">choice(Referentiel!B:B,1,Settings!$B$16)</f>
        <v>3ème année Photo / Vidéo S2</v>
      </c>
      <c r="J1927" s="6" t="str" cm="1">
        <f t="array" ref="J1927">choice(Referentiel!D:D,1,Settings!$B$16)</f>
        <v>L3</v>
      </c>
      <c r="K1927" s="6" t="str" cm="1">
        <f t="array" ref="K1927">choice(Professeurs!B:B,1,Settings!$B$16)</f>
        <v>Prof9</v>
      </c>
      <c r="L1927" s="5" t="str" cm="1">
        <f t="array" ref="L1927">choice(Referentiel!C:C,1,Settings!$B$16)</f>
        <v/>
      </c>
      <c r="M1927" s="5" t="str" cm="1">
        <f t="array" ref="M1927">choice(Referentiel!E:E,1,Settings!$B$16)</f>
        <v/>
      </c>
      <c r="N1927" s="5" t="str" cm="1">
        <f t="array" ref="N1927">choice(Settings!K:K,1,Settings!$B$16)</f>
        <v/>
      </c>
      <c r="P1927" s="5">
        <f t="shared" si="124"/>
        <v>1</v>
      </c>
    </row>
    <row r="1928" spans="1:16" ht="15.75" customHeight="1" x14ac:dyDescent="0.25">
      <c r="A1928" s="6" t="s">
        <v>2280</v>
      </c>
      <c r="B1928" s="6" cm="1">
        <f t="array" ref="B1928">alea_int(Settings!$B$10,1,Settings!$B$16)</f>
        <v>3</v>
      </c>
      <c r="C1928" s="8">
        <v>46023</v>
      </c>
      <c r="D1928" s="8">
        <f t="shared" si="121"/>
        <v>46387</v>
      </c>
      <c r="E1928" s="6" t="str" cm="1">
        <f t="array" ref="E1928">choice(Groupes!A:A,1,Settings!$B$16)</f>
        <v>G1</v>
      </c>
      <c r="F1928" s="6" t="str">
        <f t="shared" si="122"/>
        <v>G1</v>
      </c>
      <c r="G1928" s="6" t="str">
        <f t="shared" si="123"/>
        <v>Prof46</v>
      </c>
      <c r="H1928" s="6" t="str" cm="1">
        <f t="array" ref="H1928">choice(Referentiel!A:A,1,Settings!$B$16)</f>
        <v>Image Imprimée</v>
      </c>
      <c r="I1928" s="6" t="str" cm="1">
        <f t="array" ref="I1928">choice(Referentiel!B:B,1,Settings!$B$16)</f>
        <v>4ème année Art-Espace S2</v>
      </c>
      <c r="J1928" s="6" t="str" cm="1">
        <f t="array" ref="J1928">choice(Referentiel!D:D,1,Settings!$B$16)</f>
        <v>M1</v>
      </c>
      <c r="K1928" s="6" t="str" cm="1">
        <f t="array" ref="K1928">choice(Professeurs!B:B,1,Settings!$B$16)</f>
        <v>Prof46</v>
      </c>
      <c r="L1928" s="5" t="str" cm="1">
        <f t="array" ref="L1928">choice(Referentiel!C:C,1,Settings!$B$16)</f>
        <v/>
      </c>
      <c r="M1928" s="5" t="str" cm="1">
        <f t="array" ref="M1928">choice(Referentiel!E:E,1,Settings!$B$16)</f>
        <v/>
      </c>
      <c r="N1928" s="5" t="str" cm="1">
        <f t="array" ref="N1928">choice(Settings!K:K,1,Settings!$B$16)</f>
        <v/>
      </c>
      <c r="P1928" s="5">
        <f t="shared" si="124"/>
        <v>3</v>
      </c>
    </row>
    <row r="1929" spans="1:16" ht="15.75" customHeight="1" x14ac:dyDescent="0.25">
      <c r="A1929" s="6" t="s">
        <v>2281</v>
      </c>
      <c r="B1929" s="6" cm="1">
        <f t="array" ref="B1929">alea_int(Settings!$B$10,1,Settings!$B$16)</f>
        <v>2</v>
      </c>
      <c r="C1929" s="8">
        <v>46023</v>
      </c>
      <c r="D1929" s="8">
        <f t="shared" si="121"/>
        <v>46387</v>
      </c>
      <c r="E1929" s="6" t="str" cm="1">
        <f t="array" ref="E1929">choice(Groupes!A:A,1,Settings!$B$16)</f>
        <v>G3</v>
      </c>
      <c r="F1929" s="6" t="str">
        <f t="shared" si="122"/>
        <v>G3</v>
      </c>
      <c r="G1929" s="6" t="str">
        <f t="shared" si="123"/>
        <v>Prof34</v>
      </c>
      <c r="H1929" s="6" t="str" cm="1">
        <f t="array" ref="H1929">choice(Referentiel!A:A,1,Settings!$B$16)</f>
        <v>Mode et Matière</v>
      </c>
      <c r="I1929" s="6" t="str" cm="1">
        <f t="array" ref="I1929">choice(Referentiel!B:B,1,Settings!$B$16)</f>
        <v>2ème année Architecture Intérieure S2</v>
      </c>
      <c r="J1929" s="6" t="str" cm="1">
        <f t="array" ref="J1929">choice(Referentiel!D:D,1,Settings!$B$16)</f>
        <v>L1</v>
      </c>
      <c r="K1929" s="6" t="str" cm="1">
        <f t="array" ref="K1929">choice(Professeurs!B:B,1,Settings!$B$16)</f>
        <v>Prof34</v>
      </c>
      <c r="L1929" s="5" t="str" cm="1">
        <f t="array" ref="L1929">choice(Referentiel!C:C,1,Settings!$B$16)</f>
        <v/>
      </c>
      <c r="M1929" s="5" t="str" cm="1">
        <f t="array" ref="M1929">choice(Referentiel!E:E,1,Settings!$B$16)</f>
        <v/>
      </c>
      <c r="N1929" s="5" t="str" cm="1">
        <f t="array" ref="N1929">choice(Settings!K:K,1,Settings!$B$16)</f>
        <v/>
      </c>
      <c r="P1929" s="5">
        <f t="shared" si="124"/>
        <v>2</v>
      </c>
    </row>
    <row r="1930" spans="1:16" ht="15.75" customHeight="1" x14ac:dyDescent="0.25">
      <c r="A1930" s="6" t="s">
        <v>2282</v>
      </c>
      <c r="B1930" s="6" cm="1">
        <f t="array" ref="B1930">alea_int(Settings!$B$10,1,Settings!$B$16)</f>
        <v>3</v>
      </c>
      <c r="C1930" s="8">
        <v>46023</v>
      </c>
      <c r="D1930" s="8">
        <f t="shared" si="121"/>
        <v>46387</v>
      </c>
      <c r="E1930" s="6" t="str" cm="1">
        <f t="array" ref="E1930">choice(Groupes!A:A,1,Settings!$B$16)</f>
        <v>G4</v>
      </c>
      <c r="F1930" s="6" t="str">
        <f t="shared" si="122"/>
        <v>G4</v>
      </c>
      <c r="G1930" s="6" t="str">
        <f t="shared" si="123"/>
        <v>Prof32</v>
      </c>
      <c r="H1930" s="6" t="str" cm="1">
        <f t="array" ref="H1930">choice(Referentiel!A:A,1,Settings!$B$16)</f>
        <v>Design des mondes montagneux</v>
      </c>
      <c r="I1930" s="6" t="str" cm="1">
        <f t="array" ref="I1930">choice(Referentiel!B:B,1,Settings!$B$16)</f>
        <v>4ème année Photo / Vidéo S2</v>
      </c>
      <c r="J1930" s="6" t="str" cm="1">
        <f t="array" ref="J1930">choice(Referentiel!D:D,1,Settings!$B$16)</f>
        <v>M1</v>
      </c>
      <c r="K1930" s="6" t="str" cm="1">
        <f t="array" ref="K1930">choice(Professeurs!B:B,1,Settings!$B$16)</f>
        <v>Prof32</v>
      </c>
      <c r="L1930" s="5" t="str" cm="1">
        <f t="array" ref="L1930">choice(Referentiel!C:C,1,Settings!$B$16)</f>
        <v/>
      </c>
      <c r="M1930" s="5" t="str" cm="1">
        <f t="array" ref="M1930">choice(Referentiel!E:E,1,Settings!$B$16)</f>
        <v/>
      </c>
      <c r="N1930" s="5" t="str" cm="1">
        <f t="array" ref="N1930">choice(Settings!K:K,1,Settings!$B$16)</f>
        <v>vendredi am</v>
      </c>
      <c r="P1930" s="5">
        <f t="shared" si="124"/>
        <v>5</v>
      </c>
    </row>
    <row r="1931" spans="1:16" ht="15.75" customHeight="1" x14ac:dyDescent="0.25">
      <c r="A1931" s="6" t="s">
        <v>2283</v>
      </c>
      <c r="B1931" s="6" cm="1">
        <f t="array" ref="B1931">alea_int(Settings!$B$10,1,Settings!$B$16)</f>
        <v>3</v>
      </c>
      <c r="C1931" s="8">
        <v>46023</v>
      </c>
      <c r="D1931" s="8">
        <f t="shared" si="121"/>
        <v>46387</v>
      </c>
      <c r="E1931" s="6" t="str" cm="1">
        <f t="array" ref="E1931">choice(Groupes!A:A,1,Settings!$B$16)</f>
        <v>G18</v>
      </c>
      <c r="F1931" s="6" t="str">
        <f t="shared" si="122"/>
        <v>G18</v>
      </c>
      <c r="G1931" s="6" t="str">
        <f t="shared" si="123"/>
        <v>Prof22</v>
      </c>
      <c r="H1931" s="6" t="str" cm="1">
        <f t="array" ref="H1931">choice(Referentiel!A:A,1,Settings!$B$16)</f>
        <v>Design des mondes ruraux</v>
      </c>
      <c r="I1931" s="6" t="str" cm="1">
        <f t="array" ref="I1931">choice(Referentiel!B:B,1,Settings!$B$16)</f>
        <v>3ème année Image Imprimée S1</v>
      </c>
      <c r="J1931" s="6" t="str" cm="1">
        <f t="array" ref="J1931">choice(Referentiel!D:D,1,Settings!$B$16)</f>
        <v>M1</v>
      </c>
      <c r="K1931" s="6" t="str" cm="1">
        <f t="array" ref="K1931">choice(Professeurs!B:B,1,Settings!$B$16)</f>
        <v>Prof22</v>
      </c>
      <c r="L1931" s="5" t="str" cm="1">
        <f t="array" ref="L1931">choice(Referentiel!C:C,1,Settings!$B$16)</f>
        <v/>
      </c>
      <c r="M1931" s="5" t="str" cm="1">
        <f t="array" ref="M1931">choice(Referentiel!E:E,1,Settings!$B$16)</f>
        <v/>
      </c>
      <c r="N1931" s="5" t="str" cm="1">
        <f t="array" ref="N1931">choice(Settings!K:K,1,Settings!$B$16)</f>
        <v/>
      </c>
      <c r="P1931" s="5">
        <f t="shared" si="124"/>
        <v>3</v>
      </c>
    </row>
    <row r="1932" spans="1:16" ht="15.75" customHeight="1" x14ac:dyDescent="0.25">
      <c r="A1932" s="6" t="s">
        <v>2284</v>
      </c>
      <c r="B1932" s="6" cm="1">
        <f t="array" ref="B1932">alea_int(Settings!$B$10,1,Settings!$B$16)</f>
        <v>1</v>
      </c>
      <c r="C1932" s="8">
        <v>46023</v>
      </c>
      <c r="D1932" s="8">
        <f t="shared" si="121"/>
        <v>46387</v>
      </c>
      <c r="E1932" s="6" t="str" cm="1">
        <f t="array" ref="E1932">choice(Groupes!A:A,1,Settings!$B$16)</f>
        <v>G7</v>
      </c>
      <c r="F1932" s="6" t="str">
        <f t="shared" si="122"/>
        <v>G7</v>
      </c>
      <c r="G1932" s="6" t="str">
        <f t="shared" si="123"/>
        <v>Prof12</v>
      </c>
      <c r="H1932" s="6" t="str" cm="1">
        <f t="array" ref="H1932">choice(Referentiel!A:A,1,Settings!$B$16)</f>
        <v>Design des mondes montagneux</v>
      </c>
      <c r="I1932" s="6" t="str" cm="1">
        <f t="array" ref="I1932">choice(Referentiel!B:B,1,Settings!$B$16)</f>
        <v>5ème année Image Imprimée S1</v>
      </c>
      <c r="J1932" s="6" t="str" cm="1">
        <f t="array" ref="J1932">choice(Referentiel!D:D,1,Settings!$B$16)</f>
        <v>L1</v>
      </c>
      <c r="K1932" s="6" t="str" cm="1">
        <f t="array" ref="K1932">choice(Professeurs!B:B,1,Settings!$B$16)</f>
        <v>Prof12</v>
      </c>
      <c r="L1932" s="5" t="str" cm="1">
        <f t="array" ref="L1932">choice(Referentiel!C:C,1,Settings!$B$16)</f>
        <v/>
      </c>
      <c r="M1932" s="5" t="str" cm="1">
        <f t="array" ref="M1932">choice(Referentiel!E:E,1,Settings!$B$16)</f>
        <v/>
      </c>
      <c r="N1932" s="5" t="str" cm="1">
        <f t="array" ref="N1932">choice(Settings!K:K,1,Settings!$B$16)</f>
        <v/>
      </c>
      <c r="P1932" s="5">
        <f t="shared" si="124"/>
        <v>1</v>
      </c>
    </row>
    <row r="1933" spans="1:16" ht="15.75" customHeight="1" x14ac:dyDescent="0.25">
      <c r="A1933" s="6" t="s">
        <v>2285</v>
      </c>
      <c r="B1933" s="6" cm="1">
        <f t="array" ref="B1933">alea_int(Settings!$B$10,1,Settings!$B$16)</f>
        <v>3</v>
      </c>
      <c r="C1933" s="8">
        <v>46023</v>
      </c>
      <c r="D1933" s="8">
        <f t="shared" si="121"/>
        <v>46387</v>
      </c>
      <c r="E1933" s="6" t="str" cm="1">
        <f t="array" ref="E1933">choice(Groupes!A:A,1,Settings!$B$16)</f>
        <v>G23</v>
      </c>
      <c r="F1933" s="6" t="str">
        <f t="shared" si="122"/>
        <v>G23</v>
      </c>
      <c r="G1933" s="6" t="str">
        <f t="shared" si="123"/>
        <v>Prof20</v>
      </c>
      <c r="H1933" s="6" t="str" cm="1">
        <f t="array" ref="H1933">choice(Referentiel!A:A,1,Settings!$B$16)</f>
        <v>Cinéma d'Animation</v>
      </c>
      <c r="I1933" s="6" t="str" cm="1">
        <f t="array" ref="I1933">choice(Referentiel!B:B,1,Settings!$B$16)</f>
        <v>5ème année Scénographie S2</v>
      </c>
      <c r="J1933" s="6" t="str" cm="1">
        <f t="array" ref="J1933">choice(Referentiel!D:D,1,Settings!$B$16)</f>
        <v>L2</v>
      </c>
      <c r="K1933" s="6" t="str" cm="1">
        <f t="array" ref="K1933">choice(Professeurs!B:B,1,Settings!$B$16)</f>
        <v>Prof20</v>
      </c>
      <c r="L1933" s="5" t="str" cm="1">
        <f t="array" ref="L1933">choice(Referentiel!C:C,1,Settings!$B$16)</f>
        <v/>
      </c>
      <c r="M1933" s="5" t="str" cm="1">
        <f t="array" ref="M1933">choice(Referentiel!E:E,1,Settings!$B$16)</f>
        <v/>
      </c>
      <c r="N1933" s="5" t="str" cm="1">
        <f t="array" ref="N1933">choice(Settings!K:K,1,Settings!$B$16)</f>
        <v/>
      </c>
      <c r="P1933" s="5">
        <f t="shared" si="124"/>
        <v>3</v>
      </c>
    </row>
    <row r="1934" spans="1:16" ht="15.75" customHeight="1" x14ac:dyDescent="0.25">
      <c r="A1934" s="6" t="s">
        <v>2286</v>
      </c>
      <c r="B1934" s="6" cm="1">
        <f t="array" ref="B1934">alea_int(Settings!$B$10,1,Settings!$B$16)</f>
        <v>2</v>
      </c>
      <c r="C1934" s="8">
        <v>46023</v>
      </c>
      <c r="D1934" s="8">
        <f t="shared" si="121"/>
        <v>46387</v>
      </c>
      <c r="E1934" s="6" t="str" cm="1">
        <f t="array" ref="E1934">choice(Groupes!A:A,1,Settings!$B$16)</f>
        <v>G24</v>
      </c>
      <c r="F1934" s="6" t="str">
        <f t="shared" si="122"/>
        <v>G24</v>
      </c>
      <c r="G1934" s="6" t="str">
        <f t="shared" si="123"/>
        <v>Prof21</v>
      </c>
      <c r="H1934" s="6" t="str" cm="1">
        <f t="array" ref="H1934">choice(Referentiel!A:A,1,Settings!$B$16)</f>
        <v>1ère année Groupe 3</v>
      </c>
      <c r="I1934" s="6" t="str" cm="1">
        <f t="array" ref="I1934">choice(Referentiel!B:B,1,Settings!$B$16)</f>
        <v>4ème année Design Textile et Matière S1</v>
      </c>
      <c r="J1934" s="6" t="str" cm="1">
        <f t="array" ref="J1934">choice(Referentiel!D:D,1,Settings!$B$16)</f>
        <v>M2</v>
      </c>
      <c r="K1934" s="6" t="str" cm="1">
        <f t="array" ref="K1934">choice(Professeurs!B:B,1,Settings!$B$16)</f>
        <v>Prof21</v>
      </c>
      <c r="L1934" s="5" t="str" cm="1">
        <f t="array" ref="L1934">choice(Referentiel!C:C,1,Settings!$B$16)</f>
        <v/>
      </c>
      <c r="M1934" s="5" t="str" cm="1">
        <f t="array" ref="M1934">choice(Referentiel!E:E,1,Settings!$B$16)</f>
        <v/>
      </c>
      <c r="N1934" s="5" t="str" cm="1">
        <f t="array" ref="N1934">choice(Settings!K:K,1,Settings!$B$16)</f>
        <v/>
      </c>
      <c r="P1934" s="5">
        <f t="shared" si="124"/>
        <v>2</v>
      </c>
    </row>
    <row r="1935" spans="1:16" ht="15.75" customHeight="1" x14ac:dyDescent="0.25">
      <c r="A1935" s="6" t="s">
        <v>2287</v>
      </c>
      <c r="B1935" s="6" cm="1">
        <f t="array" ref="B1935">alea_int(Settings!$B$10,1,Settings!$B$16)</f>
        <v>2</v>
      </c>
      <c r="C1935" s="8">
        <v>46023</v>
      </c>
      <c r="D1935" s="8">
        <f t="shared" si="121"/>
        <v>46387</v>
      </c>
      <c r="E1935" s="6" t="str" cm="1">
        <f t="array" ref="E1935">choice(Groupes!A:A,1,Settings!$B$16)</f>
        <v>G17</v>
      </c>
      <c r="F1935" s="6" t="str">
        <f t="shared" si="122"/>
        <v>G17</v>
      </c>
      <c r="G1935" s="6" t="str">
        <f t="shared" si="123"/>
        <v>Prof3</v>
      </c>
      <c r="H1935" s="6" t="str" cm="1">
        <f t="array" ref="H1935">choice(Referentiel!A:A,1,Settings!$B$16)</f>
        <v>Design Textile et Matière</v>
      </c>
      <c r="I1935" s="6" t="str" cm="1">
        <f t="array" ref="I1935">choice(Referentiel!B:B,1,Settings!$B$16)</f>
        <v>4ème année Architecture Intérieure S2</v>
      </c>
      <c r="J1935" s="6" t="str" cm="1">
        <f t="array" ref="J1935">choice(Referentiel!D:D,1,Settings!$B$16)</f>
        <v>M1</v>
      </c>
      <c r="K1935" s="6" t="str" cm="1">
        <f t="array" ref="K1935">choice(Professeurs!B:B,1,Settings!$B$16)</f>
        <v>Prof3</v>
      </c>
      <c r="L1935" s="5" t="str" cm="1">
        <f t="array" ref="L1935">choice(Referentiel!C:C,1,Settings!$B$16)</f>
        <v/>
      </c>
      <c r="M1935" s="5" t="str" cm="1">
        <f t="array" ref="M1935">choice(Referentiel!E:E,1,Settings!$B$16)</f>
        <v/>
      </c>
      <c r="N1935" s="5" t="str" cm="1">
        <f t="array" ref="N1935">choice(Settings!K:K,1,Settings!$B$16)</f>
        <v>vendredi pm</v>
      </c>
      <c r="P1935" s="5">
        <f t="shared" si="124"/>
        <v>4</v>
      </c>
    </row>
    <row r="1936" spans="1:16" ht="15.75" customHeight="1" x14ac:dyDescent="0.25">
      <c r="A1936" s="6" t="s">
        <v>2288</v>
      </c>
      <c r="B1936" s="6" cm="1">
        <f t="array" ref="B1936">alea_int(Settings!$B$10,1,Settings!$B$16)</f>
        <v>1</v>
      </c>
      <c r="C1936" s="8">
        <v>46023</v>
      </c>
      <c r="D1936" s="8">
        <f t="shared" si="121"/>
        <v>46387</v>
      </c>
      <c r="E1936" s="6" t="str" cm="1">
        <f t="array" ref="E1936">choice(Groupes!A:A,1,Settings!$B$16)</f>
        <v>G17</v>
      </c>
      <c r="F1936" s="6" t="str">
        <f t="shared" si="122"/>
        <v>G17</v>
      </c>
      <c r="G1936" s="6" t="str">
        <f t="shared" si="123"/>
        <v>Prof33</v>
      </c>
      <c r="H1936" s="6" t="str" cm="1">
        <f t="array" ref="H1936">choice(Referentiel!A:A,1,Settings!$B$16)</f>
        <v>Scénographie</v>
      </c>
      <c r="I1936" s="6" t="str" cm="1">
        <f t="array" ref="I1936">choice(Referentiel!B:B,1,Settings!$B$16)</f>
        <v>5ème année Image Imprimée S1</v>
      </c>
      <c r="J1936" s="6" t="str" cm="1">
        <f t="array" ref="J1936">choice(Referentiel!D:D,1,Settings!$B$16)</f>
        <v>M1</v>
      </c>
      <c r="K1936" s="6" t="str" cm="1">
        <f t="array" ref="K1936">choice(Professeurs!B:B,1,Settings!$B$16)</f>
        <v>Prof33</v>
      </c>
      <c r="L1936" s="5" t="str" cm="1">
        <f t="array" ref="L1936">choice(Referentiel!C:C,1,Settings!$B$16)</f>
        <v/>
      </c>
      <c r="M1936" s="5" t="str" cm="1">
        <f t="array" ref="M1936">choice(Referentiel!E:E,1,Settings!$B$16)</f>
        <v/>
      </c>
      <c r="N1936" s="5" t="str" cm="1">
        <f t="array" ref="N1936">choice(Settings!K:K,1,Settings!$B$16)</f>
        <v/>
      </c>
      <c r="P1936" s="5">
        <f t="shared" si="124"/>
        <v>1</v>
      </c>
    </row>
    <row r="1937" spans="1:16" ht="15.75" customHeight="1" x14ac:dyDescent="0.25">
      <c r="A1937" s="6" t="s">
        <v>2289</v>
      </c>
      <c r="B1937" s="6" cm="1">
        <f t="array" ref="B1937">alea_int(Settings!$B$10,1,Settings!$B$16)</f>
        <v>1</v>
      </c>
      <c r="C1937" s="8">
        <v>46023</v>
      </c>
      <c r="D1937" s="8">
        <f t="shared" si="121"/>
        <v>46387</v>
      </c>
      <c r="E1937" s="6" t="str" cm="1">
        <f t="array" ref="E1937">choice(Groupes!A:A,1,Settings!$B$16)</f>
        <v>G5</v>
      </c>
      <c r="F1937" s="6" t="str">
        <f t="shared" si="122"/>
        <v>G5</v>
      </c>
      <c r="G1937" s="6" t="str">
        <f t="shared" si="123"/>
        <v>Prof16</v>
      </c>
      <c r="H1937" s="6" t="str" cm="1">
        <f t="array" ref="H1937">choice(Referentiel!A:A,1,Settings!$B$16)</f>
        <v>Gr REFLECTIVE INTERACTION</v>
      </c>
      <c r="I1937" s="6" t="str" cm="1">
        <f t="array" ref="I1937">choice(Referentiel!B:B,1,Settings!$B$16)</f>
        <v>2ème année Design Objet S2</v>
      </c>
      <c r="J1937" s="6" t="str" cm="1">
        <f t="array" ref="J1937">choice(Referentiel!D:D,1,Settings!$B$16)</f>
        <v>M1</v>
      </c>
      <c r="K1937" s="6" t="str" cm="1">
        <f t="array" ref="K1937">choice(Professeurs!B:B,1,Settings!$B$16)</f>
        <v>Prof16</v>
      </c>
      <c r="L1937" s="5" t="str" cm="1">
        <f t="array" ref="L1937">choice(Referentiel!C:C,1,Settings!$B$16)</f>
        <v/>
      </c>
      <c r="M1937" s="5" t="str" cm="1">
        <f t="array" ref="M1937">choice(Referentiel!E:E,1,Settings!$B$16)</f>
        <v/>
      </c>
      <c r="N1937" s="5" t="str" cm="1">
        <f t="array" ref="N1937">choice(Settings!K:K,1,Settings!$B$16)</f>
        <v/>
      </c>
      <c r="P1937" s="5">
        <f t="shared" si="124"/>
        <v>1</v>
      </c>
    </row>
    <row r="1938" spans="1:16" ht="15.75" customHeight="1" x14ac:dyDescent="0.25">
      <c r="A1938" s="6" t="s">
        <v>2290</v>
      </c>
      <c r="B1938" s="6" cm="1">
        <f t="array" ref="B1938">alea_int(Settings!$B$10,1,Settings!$B$16)</f>
        <v>2</v>
      </c>
      <c r="C1938" s="8">
        <v>46023</v>
      </c>
      <c r="D1938" s="8">
        <f t="shared" si="121"/>
        <v>46387</v>
      </c>
      <c r="E1938" s="6" t="str" cm="1">
        <f t="array" ref="E1938">choice(Groupes!A:A,1,Settings!$B$16)</f>
        <v>G23</v>
      </c>
      <c r="F1938" s="6" t="str">
        <f t="shared" si="122"/>
        <v>G23</v>
      </c>
      <c r="G1938" s="6" t="str">
        <f t="shared" si="123"/>
        <v>Prof38</v>
      </c>
      <c r="H1938" s="6" t="str" cm="1">
        <f t="array" ref="H1938">choice(Referentiel!A:A,1,Settings!$B$16)</f>
        <v>Gr SPATIAL MEDIA</v>
      </c>
      <c r="I1938" s="6" t="str" cm="1">
        <f t="array" ref="I1938">choice(Referentiel!B:B,1,Settings!$B$16)</f>
        <v>4ème année Art-Espace S2</v>
      </c>
      <c r="J1938" s="6" t="str" cm="1">
        <f t="array" ref="J1938">choice(Referentiel!D:D,1,Settings!$B$16)</f>
        <v>L1</v>
      </c>
      <c r="K1938" s="6" t="str" cm="1">
        <f t="array" ref="K1938">choice(Professeurs!B:B,1,Settings!$B$16)</f>
        <v>Prof38</v>
      </c>
      <c r="L1938" s="5" t="str" cm="1">
        <f t="array" ref="L1938">choice(Referentiel!C:C,1,Settings!$B$16)</f>
        <v/>
      </c>
      <c r="M1938" s="5" t="str" cm="1">
        <f t="array" ref="M1938">choice(Referentiel!E:E,1,Settings!$B$16)</f>
        <v/>
      </c>
      <c r="N1938" s="5" t="str" cm="1">
        <f t="array" ref="N1938">choice(Settings!K:K,1,Settings!$B$16)</f>
        <v>jeudi pm</v>
      </c>
      <c r="P1938" s="5">
        <f t="shared" si="124"/>
        <v>4</v>
      </c>
    </row>
    <row r="1939" spans="1:16" ht="15.75" customHeight="1" x14ac:dyDescent="0.25">
      <c r="A1939" s="6" t="s">
        <v>2291</v>
      </c>
      <c r="B1939" s="6" cm="1">
        <f t="array" ref="B1939">alea_int(Settings!$B$10,1,Settings!$B$16)</f>
        <v>1</v>
      </c>
      <c r="C1939" s="8">
        <v>46023</v>
      </c>
      <c r="D1939" s="8">
        <f t="shared" si="121"/>
        <v>46387</v>
      </c>
      <c r="E1939" s="6" t="str" cm="1">
        <f t="array" ref="E1939">choice(Groupes!A:A,1,Settings!$B$16)</f>
        <v>G9</v>
      </c>
      <c r="F1939" s="6" t="str">
        <f t="shared" si="122"/>
        <v>G9</v>
      </c>
      <c r="G1939" s="6" t="str">
        <f t="shared" si="123"/>
        <v>Prof8</v>
      </c>
      <c r="H1939" s="6" t="str" cm="1">
        <f t="array" ref="H1939">choice(Referentiel!A:A,1,Settings!$B$16)</f>
        <v>1ère année Groupe 2</v>
      </c>
      <c r="I1939" s="6" t="str" cm="1">
        <f t="array" ref="I1939">choice(Referentiel!B:B,1,Settings!$B$16)</f>
        <v>1ère Année Groupe 1 S2</v>
      </c>
      <c r="J1939" s="6" t="str" cm="1">
        <f t="array" ref="J1939">choice(Referentiel!D:D,1,Settings!$B$16)</f>
        <v>L1</v>
      </c>
      <c r="K1939" s="6" t="str" cm="1">
        <f t="array" ref="K1939">choice(Professeurs!B:B,1,Settings!$B$16)</f>
        <v>Prof8</v>
      </c>
      <c r="L1939" s="5" t="str" cm="1">
        <f t="array" ref="L1939">choice(Referentiel!C:C,1,Settings!$B$16)</f>
        <v>tablette</v>
      </c>
      <c r="M1939" s="5" t="str" cm="1">
        <f t="array" ref="M1939">choice(Referentiel!E:E,1,Settings!$B$16)</f>
        <v>Salle2</v>
      </c>
      <c r="N1939" s="5" t="str" cm="1">
        <f t="array" ref="N1939">choice(Settings!K:K,1,Settings!$B$16)</f>
        <v/>
      </c>
      <c r="P1939" s="5">
        <f t="shared" si="124"/>
        <v>3</v>
      </c>
    </row>
    <row r="1940" spans="1:16" ht="15.75" customHeight="1" x14ac:dyDescent="0.25">
      <c r="A1940" s="6" t="s">
        <v>2292</v>
      </c>
      <c r="B1940" s="6" cm="1">
        <f t="array" ref="B1940">alea_int(Settings!$B$10,1,Settings!$B$16)</f>
        <v>2</v>
      </c>
      <c r="C1940" s="8">
        <v>46023</v>
      </c>
      <c r="D1940" s="8">
        <f t="shared" si="121"/>
        <v>46387</v>
      </c>
      <c r="E1940" s="6" t="str" cm="1">
        <f t="array" ref="E1940">choice(Groupes!A:A,1,Settings!$B$16)</f>
        <v>G19</v>
      </c>
      <c r="F1940" s="6" t="str">
        <f t="shared" si="122"/>
        <v>G19</v>
      </c>
      <c r="G1940" s="6" t="str">
        <f t="shared" si="123"/>
        <v>Prof43</v>
      </c>
      <c r="H1940" s="6" t="str" cm="1">
        <f t="array" ref="H1940">choice(Referentiel!A:A,1,Settings!$B$16)</f>
        <v>Design des mondes urbains</v>
      </c>
      <c r="I1940" s="6" t="str" cm="1">
        <f t="array" ref="I1940">choice(Referentiel!B:B,1,Settings!$B$16)</f>
        <v>5ème année Scénographie S2</v>
      </c>
      <c r="J1940" s="6" t="str" cm="1">
        <f t="array" ref="J1940">choice(Referentiel!D:D,1,Settings!$B$16)</f>
        <v>L2</v>
      </c>
      <c r="K1940" s="6" t="str" cm="1">
        <f t="array" ref="K1940">choice(Professeurs!B:B,1,Settings!$B$16)</f>
        <v>Prof43</v>
      </c>
      <c r="L1940" s="5" t="str" cm="1">
        <f t="array" ref="L1940">choice(Referentiel!C:C,1,Settings!$B$16)</f>
        <v/>
      </c>
      <c r="M1940" s="5" t="str" cm="1">
        <f t="array" ref="M1940">choice(Referentiel!E:E,1,Settings!$B$16)</f>
        <v/>
      </c>
      <c r="N1940" s="5" t="str" cm="1">
        <f t="array" ref="N1940">choice(Settings!K:K,1,Settings!$B$16)</f>
        <v/>
      </c>
      <c r="P1940" s="5">
        <f t="shared" si="124"/>
        <v>2</v>
      </c>
    </row>
    <row r="1941" spans="1:16" ht="15.75" customHeight="1" x14ac:dyDescent="0.25">
      <c r="A1941" s="6" t="s">
        <v>2293</v>
      </c>
      <c r="B1941" s="6" cm="1">
        <f t="array" ref="B1941">alea_int(Settings!$B$10,1,Settings!$B$16)</f>
        <v>3</v>
      </c>
      <c r="C1941" s="8">
        <v>46023</v>
      </c>
      <c r="D1941" s="8">
        <f t="shared" si="121"/>
        <v>46387</v>
      </c>
      <c r="E1941" s="6" t="str" cm="1">
        <f t="array" ref="E1941">choice(Groupes!A:A,1,Settings!$B$16)</f>
        <v>G8</v>
      </c>
      <c r="F1941" s="6" t="str">
        <f t="shared" si="122"/>
        <v>G8</v>
      </c>
      <c r="G1941" s="6" t="str">
        <f t="shared" si="123"/>
        <v>Prof5</v>
      </c>
      <c r="H1941" s="6" t="str" cm="1">
        <f t="array" ref="H1941">choice(Referentiel!A:A,1,Settings!$B$16)</f>
        <v>Mode et Matière</v>
      </c>
      <c r="I1941" s="6" t="str" cm="1">
        <f t="array" ref="I1941">choice(Referentiel!B:B,1,Settings!$B$16)</f>
        <v>2ème année Design Objet S2</v>
      </c>
      <c r="J1941" s="6" t="str" cm="1">
        <f t="array" ref="J1941">choice(Referentiel!D:D,1,Settings!$B$16)</f>
        <v>M2</v>
      </c>
      <c r="K1941" s="6" t="str" cm="1">
        <f t="array" ref="K1941">choice(Professeurs!B:B,1,Settings!$B$16)</f>
        <v>Prof5</v>
      </c>
      <c r="L1941" s="5" t="str" cm="1">
        <f t="array" ref="L1941">choice(Referentiel!C:C,1,Settings!$B$16)</f>
        <v/>
      </c>
      <c r="M1941" s="5" t="str" cm="1">
        <f t="array" ref="M1941">choice(Referentiel!E:E,1,Settings!$B$16)</f>
        <v/>
      </c>
      <c r="N1941" s="5" t="str" cm="1">
        <f t="array" ref="N1941">choice(Settings!K:K,1,Settings!$B$16)</f>
        <v/>
      </c>
      <c r="P1941" s="5">
        <f t="shared" si="124"/>
        <v>3</v>
      </c>
    </row>
    <row r="1942" spans="1:16" ht="15.75" customHeight="1" x14ac:dyDescent="0.25">
      <c r="A1942" s="6" t="s">
        <v>2294</v>
      </c>
      <c r="B1942" s="6" cm="1">
        <f t="array" ref="B1942">alea_int(Settings!$B$10,1,Settings!$B$16)</f>
        <v>2</v>
      </c>
      <c r="C1942" s="8">
        <v>46023</v>
      </c>
      <c r="D1942" s="8">
        <f t="shared" si="121"/>
        <v>46387</v>
      </c>
      <c r="E1942" s="6" t="str" cm="1">
        <f t="array" ref="E1942">choice(Groupes!A:A,1,Settings!$B$16)</f>
        <v>G16</v>
      </c>
      <c r="F1942" s="6" t="str">
        <f t="shared" si="122"/>
        <v>G16</v>
      </c>
      <c r="G1942" s="6" t="str">
        <f t="shared" si="123"/>
        <v>Prof7</v>
      </c>
      <c r="H1942" s="6" t="str" cm="1">
        <f t="array" ref="H1942">choice(Referentiel!A:A,1,Settings!$B$16)</f>
        <v>1ère année Groupe 1</v>
      </c>
      <c r="I1942" s="6" t="str" cm="1">
        <f t="array" ref="I1942">choice(Referentiel!B:B,1,Settings!$B$16)</f>
        <v>1ère Année Groupe 3 S2</v>
      </c>
      <c r="J1942" s="6" t="str" cm="1">
        <f t="array" ref="J1942">choice(Referentiel!D:D,1,Settings!$B$16)</f>
        <v>L3</v>
      </c>
      <c r="K1942" s="6" t="str" cm="1">
        <f t="array" ref="K1942">choice(Professeurs!B:B,1,Settings!$B$16)</f>
        <v>Prof7</v>
      </c>
      <c r="L1942" s="5" t="str" cm="1">
        <f t="array" ref="L1942">choice(Referentiel!C:C,1,Settings!$B$16)</f>
        <v/>
      </c>
      <c r="M1942" s="5" t="str" cm="1">
        <f t="array" ref="M1942">choice(Referentiel!E:E,1,Settings!$B$16)</f>
        <v/>
      </c>
      <c r="N1942" s="5" t="str" cm="1">
        <f t="array" ref="N1942">choice(Settings!K:K,1,Settings!$B$16)</f>
        <v/>
      </c>
      <c r="P1942" s="5">
        <f t="shared" si="124"/>
        <v>2</v>
      </c>
    </row>
    <row r="1943" spans="1:16" ht="15.75" customHeight="1" x14ac:dyDescent="0.25">
      <c r="A1943" s="6" t="s">
        <v>2295</v>
      </c>
      <c r="B1943" s="6" cm="1">
        <f t="array" ref="B1943">alea_int(Settings!$B$10,1,Settings!$B$16)</f>
        <v>2</v>
      </c>
      <c r="C1943" s="8">
        <v>46023</v>
      </c>
      <c r="D1943" s="8">
        <f t="shared" si="121"/>
        <v>46387</v>
      </c>
      <c r="E1943" s="6" t="str" cm="1">
        <f t="array" ref="E1943">choice(Groupes!A:A,1,Settings!$B$16)</f>
        <v>G25</v>
      </c>
      <c r="F1943" s="6" t="str">
        <f t="shared" si="122"/>
        <v>G25</v>
      </c>
      <c r="G1943" s="6" t="str">
        <f t="shared" si="123"/>
        <v>Prof25</v>
      </c>
      <c r="H1943" s="6" t="str" cm="1">
        <f t="array" ref="H1943">choice(Referentiel!A:A,1,Settings!$B$16)</f>
        <v>Art-Espace</v>
      </c>
      <c r="I1943" s="6" t="str" cm="1">
        <f t="array" ref="I1943">choice(Referentiel!B:B,1,Settings!$B$16)</f>
        <v>5ème année Image Imprimée S1</v>
      </c>
      <c r="J1943" s="6" t="str" cm="1">
        <f t="array" ref="J1943">choice(Referentiel!D:D,1,Settings!$B$16)</f>
        <v>L1</v>
      </c>
      <c r="K1943" s="6" t="str" cm="1">
        <f t="array" ref="K1943">choice(Professeurs!B:B,1,Settings!$B$16)</f>
        <v>Prof25</v>
      </c>
      <c r="L1943" s="5" t="str" cm="1">
        <f t="array" ref="L1943">choice(Referentiel!C:C,1,Settings!$B$16)</f>
        <v/>
      </c>
      <c r="M1943" s="5" t="str" cm="1">
        <f t="array" ref="M1943">choice(Referentiel!E:E,1,Settings!$B$16)</f>
        <v>Salle10</v>
      </c>
      <c r="N1943" s="5" t="str" cm="1">
        <f t="array" ref="N1943">choice(Settings!K:K,1,Settings!$B$16)</f>
        <v>semaine</v>
      </c>
      <c r="P1943" s="5">
        <f t="shared" si="124"/>
        <v>6</v>
      </c>
    </row>
    <row r="1944" spans="1:16" ht="15.75" customHeight="1" x14ac:dyDescent="0.25">
      <c r="A1944" s="6" t="s">
        <v>2296</v>
      </c>
      <c r="B1944" s="6" cm="1">
        <f t="array" ref="B1944">alea_int(Settings!$B$10,1,Settings!$B$16)</f>
        <v>2</v>
      </c>
      <c r="C1944" s="8">
        <v>46023</v>
      </c>
      <c r="D1944" s="8">
        <f t="shared" si="121"/>
        <v>46387</v>
      </c>
      <c r="E1944" s="6" t="str" cm="1">
        <f t="array" ref="E1944">choice(Groupes!A:A,1,Settings!$B$16)</f>
        <v>G20</v>
      </c>
      <c r="F1944" s="6" t="str">
        <f t="shared" si="122"/>
        <v>G20</v>
      </c>
      <c r="G1944" s="6" t="str">
        <f t="shared" si="123"/>
        <v>Prof31</v>
      </c>
      <c r="H1944" s="6" t="str" cm="1">
        <f t="array" ref="H1944">choice(Referentiel!A:A,1,Settings!$B$16)</f>
        <v>Design des mondes forestiers</v>
      </c>
      <c r="I1944" s="6" t="str" cm="1">
        <f t="array" ref="I1944">choice(Referentiel!B:B,1,Settings!$B$16)</f>
        <v>4ème année Scénographie S2</v>
      </c>
      <c r="J1944" s="6" t="str" cm="1">
        <f t="array" ref="J1944">choice(Referentiel!D:D,1,Settings!$B$16)</f>
        <v>M1</v>
      </c>
      <c r="K1944" s="6" t="str" cm="1">
        <f t="array" ref="K1944">choice(Professeurs!B:B,1,Settings!$B$16)</f>
        <v>Prof31</v>
      </c>
      <c r="L1944" s="5" t="str" cm="1">
        <f t="array" ref="L1944">choice(Referentiel!C:C,1,Settings!$B$16)</f>
        <v/>
      </c>
      <c r="M1944" s="5" t="str" cm="1">
        <f t="array" ref="M1944">choice(Referentiel!E:E,1,Settings!$B$16)</f>
        <v/>
      </c>
      <c r="N1944" s="5" t="str" cm="1">
        <f t="array" ref="N1944">choice(Settings!K:K,1,Settings!$B$16)</f>
        <v/>
      </c>
      <c r="P1944" s="5">
        <f t="shared" si="124"/>
        <v>2</v>
      </c>
    </row>
    <row r="1945" spans="1:16" ht="15.75" customHeight="1" x14ac:dyDescent="0.25">
      <c r="A1945" s="6" t="s">
        <v>2297</v>
      </c>
      <c r="B1945" s="6" cm="1">
        <f t="array" ref="B1945">alea_int(Settings!$B$10,1,Settings!$B$16)</f>
        <v>1</v>
      </c>
      <c r="C1945" s="8">
        <v>46023</v>
      </c>
      <c r="D1945" s="8">
        <f t="shared" si="121"/>
        <v>46387</v>
      </c>
      <c r="E1945" s="6" t="str" cm="1">
        <f t="array" ref="E1945">choice(Groupes!A:A,1,Settings!$B$16)</f>
        <v>G11</v>
      </c>
      <c r="F1945" s="6" t="str">
        <f t="shared" si="122"/>
        <v>G11</v>
      </c>
      <c r="G1945" s="6" t="str">
        <f t="shared" si="123"/>
        <v>Prof3</v>
      </c>
      <c r="H1945" s="6" t="str" cm="1">
        <f t="array" ref="H1945">choice(Referentiel!A:A,1,Settings!$B$16)</f>
        <v>6ème année atelier</v>
      </c>
      <c r="I1945" s="6" t="str" cm="1">
        <f t="array" ref="I1945">choice(Referentiel!B:B,1,Settings!$B$16)</f>
        <v>3ème année Design Graphique S2</v>
      </c>
      <c r="J1945" s="6" t="str" cm="1">
        <f t="array" ref="J1945">choice(Referentiel!D:D,1,Settings!$B$16)</f>
        <v>M2</v>
      </c>
      <c r="K1945" s="6" t="str" cm="1">
        <f t="array" ref="K1945">choice(Professeurs!B:B,1,Settings!$B$16)</f>
        <v>Prof3</v>
      </c>
      <c r="L1945" s="5" t="str" cm="1">
        <f t="array" ref="L1945">choice(Referentiel!C:C,1,Settings!$B$16)</f>
        <v/>
      </c>
      <c r="M1945" s="5" t="str" cm="1">
        <f t="array" ref="M1945">choice(Referentiel!E:E,1,Settings!$B$16)</f>
        <v/>
      </c>
      <c r="N1945" s="5" t="str" cm="1">
        <f t="array" ref="N1945">choice(Settings!K:K,1,Settings!$B$16)</f>
        <v/>
      </c>
      <c r="P1945" s="5">
        <f t="shared" si="124"/>
        <v>1</v>
      </c>
    </row>
    <row r="1946" spans="1:16" ht="15.75" customHeight="1" x14ac:dyDescent="0.25">
      <c r="A1946" s="6" t="s">
        <v>2298</v>
      </c>
      <c r="B1946" s="6" cm="1">
        <f t="array" ref="B1946">alea_int(Settings!$B$10,1,Settings!$B$16)</f>
        <v>2</v>
      </c>
      <c r="C1946" s="8">
        <v>46023</v>
      </c>
      <c r="D1946" s="8">
        <f t="shared" si="121"/>
        <v>46387</v>
      </c>
      <c r="E1946" s="6" t="str" cm="1">
        <f t="array" ref="E1946">choice(Groupes!A:A,1,Settings!$B$16)</f>
        <v>G28</v>
      </c>
      <c r="F1946" s="6" t="str">
        <f t="shared" si="122"/>
        <v>G28</v>
      </c>
      <c r="G1946" s="6" t="str">
        <f t="shared" si="123"/>
        <v>Prof40</v>
      </c>
      <c r="H1946" s="6" t="str" cm="1">
        <f t="array" ref="H1946">choice(Referentiel!A:A,1,Settings!$B$16)</f>
        <v>1ère année Groupe 3</v>
      </c>
      <c r="I1946" s="6" t="str" cm="1">
        <f t="array" ref="I1946">choice(Referentiel!B:B,1,Settings!$B$16)</f>
        <v>Césure S2</v>
      </c>
      <c r="J1946" s="6" t="str" cm="1">
        <f t="array" ref="J1946">choice(Referentiel!D:D,1,Settings!$B$16)</f>
        <v>L3</v>
      </c>
      <c r="K1946" s="6" t="str" cm="1">
        <f t="array" ref="K1946">choice(Professeurs!B:B,1,Settings!$B$16)</f>
        <v>Prof40</v>
      </c>
      <c r="L1946" s="5" t="str" cm="1">
        <f t="array" ref="L1946">choice(Referentiel!C:C,1,Settings!$B$16)</f>
        <v/>
      </c>
      <c r="M1946" s="5" t="str" cm="1">
        <f t="array" ref="M1946">choice(Referentiel!E:E,1,Settings!$B$16)</f>
        <v/>
      </c>
      <c r="N1946" s="5" t="str" cm="1">
        <f t="array" ref="N1946">choice(Settings!K:K,1,Settings!$B$16)</f>
        <v/>
      </c>
      <c r="P1946" s="5">
        <f t="shared" si="124"/>
        <v>2</v>
      </c>
    </row>
    <row r="1947" spans="1:16" ht="15.75" customHeight="1" x14ac:dyDescent="0.25">
      <c r="A1947" s="6" t="s">
        <v>2299</v>
      </c>
      <c r="B1947" s="6" cm="1">
        <f t="array" ref="B1947">alea_int(Settings!$B$10,1,Settings!$B$16)</f>
        <v>1</v>
      </c>
      <c r="C1947" s="8">
        <v>46023</v>
      </c>
      <c r="D1947" s="8">
        <f t="shared" si="121"/>
        <v>46387</v>
      </c>
      <c r="E1947" s="6" t="str" cm="1">
        <f t="array" ref="E1947">choice(Groupes!A:A,1,Settings!$B$16)</f>
        <v>G25</v>
      </c>
      <c r="F1947" s="6" t="str">
        <f t="shared" si="122"/>
        <v>G25</v>
      </c>
      <c r="G1947" s="6" t="str">
        <f t="shared" si="123"/>
        <v>Prof45</v>
      </c>
      <c r="H1947" s="6" t="str" cm="1">
        <f t="array" ref="H1947">choice(Referentiel!A:A,1,Settings!$B$16)</f>
        <v>Gr TERRITOIRES</v>
      </c>
      <c r="I1947" s="6" t="str" cm="1">
        <f t="array" ref="I1947">choice(Referentiel!B:B,1,Settings!$B$16)</f>
        <v>3ème année Scénographie S1</v>
      </c>
      <c r="J1947" s="6" t="str" cm="1">
        <f t="array" ref="J1947">choice(Referentiel!D:D,1,Settings!$B$16)</f>
        <v>M1</v>
      </c>
      <c r="K1947" s="6" t="str" cm="1">
        <f t="array" ref="K1947">choice(Professeurs!B:B,1,Settings!$B$16)</f>
        <v>Prof45</v>
      </c>
      <c r="L1947" s="5" t="str" cm="1">
        <f t="array" ref="L1947">choice(Referentiel!C:C,1,Settings!$B$16)</f>
        <v/>
      </c>
      <c r="M1947" s="5" t="str" cm="1">
        <f t="array" ref="M1947">choice(Referentiel!E:E,1,Settings!$B$16)</f>
        <v/>
      </c>
      <c r="N1947" s="5" t="str" cm="1">
        <f t="array" ref="N1947">choice(Settings!K:K,1,Settings!$B$16)</f>
        <v/>
      </c>
      <c r="P1947" s="5">
        <f t="shared" si="124"/>
        <v>1</v>
      </c>
    </row>
    <row r="1948" spans="1:16" ht="15.75" customHeight="1" x14ac:dyDescent="0.25">
      <c r="A1948" s="6" t="s">
        <v>2300</v>
      </c>
      <c r="B1948" s="6" cm="1">
        <f t="array" ref="B1948">alea_int(Settings!$B$10,1,Settings!$B$16)</f>
        <v>2</v>
      </c>
      <c r="C1948" s="8">
        <v>46023</v>
      </c>
      <c r="D1948" s="8">
        <f t="shared" si="121"/>
        <v>46387</v>
      </c>
      <c r="E1948" s="6" t="str" cm="1">
        <f t="array" ref="E1948">choice(Groupes!A:A,1,Settings!$B$16)</f>
        <v>G7</v>
      </c>
      <c r="F1948" s="6" t="str">
        <f t="shared" si="122"/>
        <v>G7</v>
      </c>
      <c r="G1948" s="6" t="str">
        <f t="shared" si="123"/>
        <v>Prof51</v>
      </c>
      <c r="H1948" s="6" t="str" cm="1">
        <f t="array" ref="H1948">choice(Referentiel!A:A,1,Settings!$B$16)</f>
        <v>Image Imprimée</v>
      </c>
      <c r="I1948" s="6" t="str" cm="1">
        <f t="array" ref="I1948">choice(Referentiel!B:B,1,Settings!$B$16)</f>
        <v>2ème année Cinéma d'Animation S1</v>
      </c>
      <c r="J1948" s="6" t="str" cm="1">
        <f t="array" ref="J1948">choice(Referentiel!D:D,1,Settings!$B$16)</f>
        <v>M2</v>
      </c>
      <c r="K1948" s="6" t="str" cm="1">
        <f t="array" ref="K1948">choice(Professeurs!B:B,1,Settings!$B$16)</f>
        <v>Prof51</v>
      </c>
      <c r="L1948" s="5" t="str" cm="1">
        <f t="array" ref="L1948">choice(Referentiel!C:C,1,Settings!$B$16)</f>
        <v/>
      </c>
      <c r="M1948" s="5" t="str" cm="1">
        <f t="array" ref="M1948">choice(Referentiel!E:E,1,Settings!$B$16)</f>
        <v/>
      </c>
      <c r="N1948" s="5" t="str" cm="1">
        <f t="array" ref="N1948">choice(Settings!K:K,1,Settings!$B$16)</f>
        <v/>
      </c>
      <c r="P1948" s="5">
        <f t="shared" si="124"/>
        <v>2</v>
      </c>
    </row>
    <row r="1949" spans="1:16" ht="15.75" customHeight="1" x14ac:dyDescent="0.25">
      <c r="A1949" s="6" t="s">
        <v>2301</v>
      </c>
      <c r="B1949" s="6" cm="1">
        <f t="array" ref="B1949">alea_int(Settings!$B$10,1,Settings!$B$16)</f>
        <v>2</v>
      </c>
      <c r="C1949" s="8">
        <v>46023</v>
      </c>
      <c r="D1949" s="8">
        <f t="shared" si="121"/>
        <v>46387</v>
      </c>
      <c r="E1949" s="6" t="str" cm="1">
        <f t="array" ref="E1949">choice(Groupes!A:A,1,Settings!$B$16)</f>
        <v>G20</v>
      </c>
      <c r="F1949" s="6" t="str">
        <f t="shared" si="122"/>
        <v>G20</v>
      </c>
      <c r="G1949" s="6" t="str">
        <f t="shared" si="123"/>
        <v>Prof51</v>
      </c>
      <c r="H1949" s="6" t="str" cm="1">
        <f t="array" ref="H1949">choice(Referentiel!A:A,1,Settings!$B$16)</f>
        <v>Photo / Vidéo</v>
      </c>
      <c r="I1949" s="6" t="str" cm="1">
        <f t="array" ref="I1949">choice(Referentiel!B:B,1,Settings!$B$16)</f>
        <v>5ème année Photo / Vidéo S1</v>
      </c>
      <c r="J1949" s="6" t="str" cm="1">
        <f t="array" ref="J1949">choice(Referentiel!D:D,1,Settings!$B$16)</f>
        <v>L3</v>
      </c>
      <c r="K1949" s="6" t="str" cm="1">
        <f t="array" ref="K1949">choice(Professeurs!B:B,1,Settings!$B$16)</f>
        <v>Prof51</v>
      </c>
      <c r="L1949" s="5" t="str" cm="1">
        <f t="array" ref="L1949">choice(Referentiel!C:C,1,Settings!$B$16)</f>
        <v/>
      </c>
      <c r="M1949" s="5" t="str" cm="1">
        <f t="array" ref="M1949">choice(Referentiel!E:E,1,Settings!$B$16)</f>
        <v/>
      </c>
      <c r="N1949" s="5" t="str" cm="1">
        <f t="array" ref="N1949">choice(Settings!K:K,1,Settings!$B$16)</f>
        <v/>
      </c>
      <c r="P1949" s="5">
        <f t="shared" si="124"/>
        <v>2</v>
      </c>
    </row>
    <row r="1950" spans="1:16" ht="15.75" customHeight="1" x14ac:dyDescent="0.25">
      <c r="A1950" s="6" t="s">
        <v>2302</v>
      </c>
      <c r="B1950" s="6" cm="1">
        <f t="array" ref="B1950">alea_int(Settings!$B$10,1,Settings!$B$16)</f>
        <v>1</v>
      </c>
      <c r="C1950" s="8">
        <v>46023</v>
      </c>
      <c r="D1950" s="8">
        <f t="shared" si="121"/>
        <v>46387</v>
      </c>
      <c r="E1950" s="6" t="str" cm="1">
        <f t="array" ref="E1950">choice(Groupes!A:A,1,Settings!$B$16)</f>
        <v>G19</v>
      </c>
      <c r="F1950" s="6" t="str">
        <f t="shared" si="122"/>
        <v>G19</v>
      </c>
      <c r="G1950" s="6" t="str">
        <f t="shared" si="123"/>
        <v>Prof48</v>
      </c>
      <c r="H1950" s="6" t="str" cm="1">
        <f t="array" ref="H1950">choice(Referentiel!A:A,1,Settings!$B$16)</f>
        <v>Design Textile et Matière</v>
      </c>
      <c r="I1950" s="6" t="str" cm="1">
        <f t="array" ref="I1950">choice(Referentiel!B:B,1,Settings!$B$16)</f>
        <v>2ème année Architecture Intérieure S2</v>
      </c>
      <c r="J1950" s="6" t="str" cm="1">
        <f t="array" ref="J1950">choice(Referentiel!D:D,1,Settings!$B$16)</f>
        <v>L3</v>
      </c>
      <c r="K1950" s="6" t="str" cm="1">
        <f t="array" ref="K1950">choice(Professeurs!B:B,1,Settings!$B$16)</f>
        <v>Prof48</v>
      </c>
      <c r="L1950" s="5" t="str" cm="1">
        <f t="array" ref="L1950">choice(Referentiel!C:C,1,Settings!$B$16)</f>
        <v/>
      </c>
      <c r="M1950" s="5" t="str" cm="1">
        <f t="array" ref="M1950">choice(Referentiel!E:E,1,Settings!$B$16)</f>
        <v/>
      </c>
      <c r="N1950" s="5" t="str" cm="1">
        <f t="array" ref="N1950">choice(Settings!K:K,1,Settings!$B$16)</f>
        <v>mercredi pm</v>
      </c>
      <c r="P1950" s="5">
        <f t="shared" si="124"/>
        <v>3</v>
      </c>
    </row>
    <row r="1951" spans="1:16" ht="15.75" customHeight="1" x14ac:dyDescent="0.25">
      <c r="A1951" s="6" t="s">
        <v>2303</v>
      </c>
      <c r="B1951" s="6" cm="1">
        <f t="array" ref="B1951">alea_int(Settings!$B$10,1,Settings!$B$16)</f>
        <v>3</v>
      </c>
      <c r="C1951" s="8">
        <v>46023</v>
      </c>
      <c r="D1951" s="8">
        <f t="shared" si="121"/>
        <v>46387</v>
      </c>
      <c r="E1951" s="6" t="str" cm="1">
        <f t="array" ref="E1951">choice(Groupes!A:A,1,Settings!$B$16)</f>
        <v>G28</v>
      </c>
      <c r="F1951" s="6" t="str">
        <f t="shared" si="122"/>
        <v>G28</v>
      </c>
      <c r="G1951" s="6" t="str">
        <f t="shared" si="123"/>
        <v>Prof20</v>
      </c>
      <c r="H1951" s="6" t="str" cm="1">
        <f t="array" ref="H1951">choice(Referentiel!A:A,1,Settings!$B$16)</f>
        <v>Design Textile et Matière</v>
      </c>
      <c r="I1951" s="6" t="str" cm="1">
        <f t="array" ref="I1951">choice(Referentiel!B:B,1,Settings!$B$16)</f>
        <v>4ème année Design Graphique S2</v>
      </c>
      <c r="J1951" s="6" t="str" cm="1">
        <f t="array" ref="J1951">choice(Referentiel!D:D,1,Settings!$B$16)</f>
        <v>L2</v>
      </c>
      <c r="K1951" s="6" t="str" cm="1">
        <f t="array" ref="K1951">choice(Professeurs!B:B,1,Settings!$B$16)</f>
        <v>Prof20</v>
      </c>
      <c r="L1951" s="5" t="str" cm="1">
        <f t="array" ref="L1951">choice(Referentiel!C:C,1,Settings!$B$16)</f>
        <v/>
      </c>
      <c r="M1951" s="5" t="str" cm="1">
        <f t="array" ref="M1951">choice(Referentiel!E:E,1,Settings!$B$16)</f>
        <v/>
      </c>
      <c r="N1951" s="5" t="str" cm="1">
        <f t="array" ref="N1951">choice(Settings!K:K,1,Settings!$B$16)</f>
        <v>lundi pm</v>
      </c>
      <c r="P1951" s="5">
        <f t="shared" si="124"/>
        <v>5</v>
      </c>
    </row>
    <row r="1952" spans="1:16" ht="15.75" customHeight="1" x14ac:dyDescent="0.25">
      <c r="A1952" s="6" t="s">
        <v>2304</v>
      </c>
      <c r="B1952" s="6" cm="1">
        <f t="array" ref="B1952">alea_int(Settings!$B$10,1,Settings!$B$16)</f>
        <v>3</v>
      </c>
      <c r="C1952" s="8">
        <v>46023</v>
      </c>
      <c r="D1952" s="8">
        <f t="shared" si="121"/>
        <v>46387</v>
      </c>
      <c r="E1952" s="6" t="str" cm="1">
        <f t="array" ref="E1952">choice(Groupes!A:A,1,Settings!$B$16)</f>
        <v>G4</v>
      </c>
      <c r="F1952" s="6" t="str">
        <f t="shared" si="122"/>
        <v>G4</v>
      </c>
      <c r="G1952" s="6" t="str">
        <f t="shared" si="123"/>
        <v>Prof5</v>
      </c>
      <c r="H1952" s="6" t="str" cm="1">
        <f t="array" ref="H1952">choice(Referentiel!A:A,1,Settings!$B$16)</f>
        <v>6ème année atelier</v>
      </c>
      <c r="I1952" s="6" t="str" cm="1">
        <f t="array" ref="I1952">choice(Referentiel!B:B,1,Settings!$B$16)</f>
        <v>5ème année Scénographie S2</v>
      </c>
      <c r="J1952" s="6" t="str" cm="1">
        <f t="array" ref="J1952">choice(Referentiel!D:D,1,Settings!$B$16)</f>
        <v>L2</v>
      </c>
      <c r="K1952" s="6" t="str" cm="1">
        <f t="array" ref="K1952">choice(Professeurs!B:B,1,Settings!$B$16)</f>
        <v>Prof5</v>
      </c>
      <c r="L1952" s="5" t="str" cm="1">
        <f t="array" ref="L1952">choice(Referentiel!C:C,1,Settings!$B$16)</f>
        <v/>
      </c>
      <c r="M1952" s="5" t="str" cm="1">
        <f t="array" ref="M1952">choice(Referentiel!E:E,1,Settings!$B$16)</f>
        <v/>
      </c>
      <c r="N1952" s="5" t="str" cm="1">
        <f t="array" ref="N1952">choice(Settings!K:K,1,Settings!$B$16)</f>
        <v>mardi am</v>
      </c>
      <c r="P1952" s="5">
        <f t="shared" si="124"/>
        <v>5</v>
      </c>
    </row>
    <row r="1953" spans="1:16" ht="15.75" customHeight="1" x14ac:dyDescent="0.25">
      <c r="A1953" s="6" t="s">
        <v>2305</v>
      </c>
      <c r="B1953" s="6" cm="1">
        <f t="array" ref="B1953">alea_int(Settings!$B$10,1,Settings!$B$16)</f>
        <v>1</v>
      </c>
      <c r="C1953" s="8">
        <v>46023</v>
      </c>
      <c r="D1953" s="8">
        <f t="shared" si="121"/>
        <v>46387</v>
      </c>
      <c r="E1953" s="6" t="str" cm="1">
        <f t="array" ref="E1953">choice(Groupes!A:A,1,Settings!$B$16)</f>
        <v>G23</v>
      </c>
      <c r="F1953" s="6" t="str">
        <f t="shared" si="122"/>
        <v>G23</v>
      </c>
      <c r="G1953" s="6" t="str">
        <f t="shared" si="123"/>
        <v>Prof46</v>
      </c>
      <c r="H1953" s="6" t="str" cm="1">
        <f t="array" ref="H1953">choice(Referentiel!A:A,1,Settings!$B$16)</f>
        <v>Image Imprimée</v>
      </c>
      <c r="I1953" s="6" t="str" cm="1">
        <f t="array" ref="I1953">choice(Referentiel!B:B,1,Settings!$B$16)</f>
        <v>4ème année Scénographie S1</v>
      </c>
      <c r="J1953" s="6" t="str" cm="1">
        <f t="array" ref="J1953">choice(Referentiel!D:D,1,Settings!$B$16)</f>
        <v>M2</v>
      </c>
      <c r="K1953" s="6" t="str" cm="1">
        <f t="array" ref="K1953">choice(Professeurs!B:B,1,Settings!$B$16)</f>
        <v>Prof46</v>
      </c>
      <c r="L1953" s="5" t="str" cm="1">
        <f t="array" ref="L1953">choice(Referentiel!C:C,1,Settings!$B$16)</f>
        <v/>
      </c>
      <c r="M1953" s="5" t="str" cm="1">
        <f t="array" ref="M1953">choice(Referentiel!E:E,1,Settings!$B$16)</f>
        <v/>
      </c>
      <c r="N1953" s="5" t="str" cm="1">
        <f t="array" ref="N1953">choice(Settings!K:K,1,Settings!$B$16)</f>
        <v/>
      </c>
      <c r="P1953" s="5">
        <f t="shared" si="124"/>
        <v>1</v>
      </c>
    </row>
    <row r="1954" spans="1:16" ht="15.75" customHeight="1" x14ac:dyDescent="0.25">
      <c r="A1954" s="6" t="s">
        <v>2306</v>
      </c>
      <c r="B1954" s="6" cm="1">
        <f t="array" ref="B1954">alea_int(Settings!$B$10,1,Settings!$B$16)</f>
        <v>1</v>
      </c>
      <c r="C1954" s="8">
        <v>46023</v>
      </c>
      <c r="D1954" s="8">
        <f t="shared" si="121"/>
        <v>46387</v>
      </c>
      <c r="E1954" s="6" t="str" cm="1">
        <f t="array" ref="E1954">choice(Groupes!A:A,1,Settings!$B$16)</f>
        <v>G17</v>
      </c>
      <c r="F1954" s="6" t="str">
        <f t="shared" si="122"/>
        <v>G17</v>
      </c>
      <c r="G1954" s="6" t="str">
        <f t="shared" si="123"/>
        <v>Prof47</v>
      </c>
      <c r="H1954" s="6" t="str" cm="1">
        <f t="array" ref="H1954">choice(Referentiel!A:A,1,Settings!$B$16)</f>
        <v>1ère année Groupe 3</v>
      </c>
      <c r="I1954" s="6" t="str" cm="1">
        <f t="array" ref="I1954">choice(Referentiel!B:B,1,Settings!$B$16)</f>
        <v>2ème année Image Imprimée S1</v>
      </c>
      <c r="J1954" s="6" t="str" cm="1">
        <f t="array" ref="J1954">choice(Referentiel!D:D,1,Settings!$B$16)</f>
        <v>M1</v>
      </c>
      <c r="K1954" s="6" t="str" cm="1">
        <f t="array" ref="K1954">choice(Professeurs!B:B,1,Settings!$B$16)</f>
        <v>Prof47</v>
      </c>
      <c r="L1954" s="5" t="str" cm="1">
        <f t="array" ref="L1954">choice(Referentiel!C:C,1,Settings!$B$16)</f>
        <v/>
      </c>
      <c r="M1954" s="5" t="str" cm="1">
        <f t="array" ref="M1954">choice(Referentiel!E:E,1,Settings!$B$16)</f>
        <v/>
      </c>
      <c r="N1954" s="5" t="str" cm="1">
        <f t="array" ref="N1954">choice(Settings!K:K,1,Settings!$B$16)</f>
        <v/>
      </c>
      <c r="P1954" s="5">
        <f t="shared" si="124"/>
        <v>1</v>
      </c>
    </row>
    <row r="1955" spans="1:16" ht="15.75" customHeight="1" x14ac:dyDescent="0.25">
      <c r="A1955" s="6" t="s">
        <v>2307</v>
      </c>
      <c r="B1955" s="6" cm="1">
        <f t="array" ref="B1955">alea_int(Settings!$B$10,1,Settings!$B$16)</f>
        <v>3</v>
      </c>
      <c r="C1955" s="8">
        <v>46023</v>
      </c>
      <c r="D1955" s="8">
        <f t="shared" si="121"/>
        <v>46387</v>
      </c>
      <c r="E1955" s="6" t="str" cm="1">
        <f t="array" ref="E1955">choice(Groupes!A:A,1,Settings!$B$16)</f>
        <v>G28</v>
      </c>
      <c r="F1955" s="6" t="str">
        <f t="shared" si="122"/>
        <v>G28</v>
      </c>
      <c r="G1955" s="6" t="str">
        <f t="shared" si="123"/>
        <v>Prof26</v>
      </c>
      <c r="H1955" s="6" t="str" cm="1">
        <f t="array" ref="H1955">choice(Referentiel!A:A,1,Settings!$B$16)</f>
        <v>Design des mondes urbains</v>
      </c>
      <c r="I1955" s="6" t="str" cm="1">
        <f t="array" ref="I1955">choice(Referentiel!B:B,1,Settings!$B$16)</f>
        <v>5ème année Photo / Vidéo S1</v>
      </c>
      <c r="J1955" s="6" t="str" cm="1">
        <f t="array" ref="J1955">choice(Referentiel!D:D,1,Settings!$B$16)</f>
        <v>L3</v>
      </c>
      <c r="K1955" s="6" t="str" cm="1">
        <f t="array" ref="K1955">choice(Professeurs!B:B,1,Settings!$B$16)</f>
        <v>Prof26</v>
      </c>
      <c r="L1955" s="5" t="str" cm="1">
        <f t="array" ref="L1955">choice(Referentiel!C:C,1,Settings!$B$16)</f>
        <v/>
      </c>
      <c r="M1955" s="5" t="str" cm="1">
        <f t="array" ref="M1955">choice(Referentiel!E:E,1,Settings!$B$16)</f>
        <v/>
      </c>
      <c r="N1955" s="5" t="str" cm="1">
        <f t="array" ref="N1955">choice(Settings!K:K,1,Settings!$B$16)</f>
        <v>mercredi ap</v>
      </c>
      <c r="P1955" s="5">
        <f t="shared" si="124"/>
        <v>5</v>
      </c>
    </row>
    <row r="1956" spans="1:16" ht="15.75" customHeight="1" x14ac:dyDescent="0.25">
      <c r="A1956" s="6" t="s">
        <v>2308</v>
      </c>
      <c r="B1956" s="6" cm="1">
        <f t="array" ref="B1956">alea_int(Settings!$B$10,1,Settings!$B$16)</f>
        <v>2</v>
      </c>
      <c r="C1956" s="8">
        <v>46023</v>
      </c>
      <c r="D1956" s="8">
        <f t="shared" si="121"/>
        <v>46387</v>
      </c>
      <c r="E1956" s="6" t="str" cm="1">
        <f t="array" ref="E1956">choice(Groupes!A:A,1,Settings!$B$16)</f>
        <v>G16</v>
      </c>
      <c r="F1956" s="6" t="str">
        <f t="shared" si="122"/>
        <v>G16</v>
      </c>
      <c r="G1956" s="6" t="str">
        <f t="shared" si="123"/>
        <v>Prof33</v>
      </c>
      <c r="H1956" s="6" t="str" cm="1">
        <f t="array" ref="H1956">choice(Referentiel!A:A,1,Settings!$B$16)</f>
        <v>Gr SYMBIOSE</v>
      </c>
      <c r="I1956" s="6" t="str" cm="1">
        <f t="array" ref="I1956">choice(Referentiel!B:B,1,Settings!$B$16)</f>
        <v>3ème année Design Objet S1</v>
      </c>
      <c r="J1956" s="6" t="str" cm="1">
        <f t="array" ref="J1956">choice(Referentiel!D:D,1,Settings!$B$16)</f>
        <v>M1</v>
      </c>
      <c r="K1956" s="6" t="str" cm="1">
        <f t="array" ref="K1956">choice(Professeurs!B:B,1,Settings!$B$16)</f>
        <v>Prof33</v>
      </c>
      <c r="L1956" s="5" t="str" cm="1">
        <f t="array" ref="L1956">choice(Referentiel!C:C,1,Settings!$B$16)</f>
        <v/>
      </c>
      <c r="M1956" s="5" t="str" cm="1">
        <f t="array" ref="M1956">choice(Referentiel!E:E,1,Settings!$B$16)</f>
        <v/>
      </c>
      <c r="N1956" s="5" t="str" cm="1">
        <f t="array" ref="N1956">choice(Settings!K:K,1,Settings!$B$16)</f>
        <v>mardi pm</v>
      </c>
      <c r="P1956" s="5">
        <f t="shared" si="124"/>
        <v>4</v>
      </c>
    </row>
    <row r="1957" spans="1:16" ht="15.75" customHeight="1" x14ac:dyDescent="0.25">
      <c r="A1957" s="6" t="s">
        <v>2309</v>
      </c>
      <c r="B1957" s="6" cm="1">
        <f t="array" ref="B1957">alea_int(Settings!$B$10,1,Settings!$B$16)</f>
        <v>3</v>
      </c>
      <c r="C1957" s="8">
        <v>46023</v>
      </c>
      <c r="D1957" s="8">
        <f t="shared" si="121"/>
        <v>46387</v>
      </c>
      <c r="E1957" s="6" t="str" cm="1">
        <f t="array" ref="E1957">choice(Groupes!A:A,1,Settings!$B$16)</f>
        <v>G5</v>
      </c>
      <c r="F1957" s="6" t="str">
        <f t="shared" si="122"/>
        <v>G5</v>
      </c>
      <c r="G1957" s="6" t="str">
        <f t="shared" si="123"/>
        <v>Prof6</v>
      </c>
      <c r="H1957" s="6" t="str" cm="1">
        <f t="array" ref="H1957">choice(Referentiel!A:A,1,Settings!$B$16)</f>
        <v>Design des mondes montagneux</v>
      </c>
      <c r="I1957" s="6" t="str" cm="1">
        <f t="array" ref="I1957">choice(Referentiel!B:B,1,Settings!$B$16)</f>
        <v>3ème année Design Objet S1</v>
      </c>
      <c r="J1957" s="6" t="str" cm="1">
        <f t="array" ref="J1957">choice(Referentiel!D:D,1,Settings!$B$16)</f>
        <v>L3</v>
      </c>
      <c r="K1957" s="6" t="str" cm="1">
        <f t="array" ref="K1957">choice(Professeurs!B:B,1,Settings!$B$16)</f>
        <v>Prof6</v>
      </c>
      <c r="L1957" s="5" t="str" cm="1">
        <f t="array" ref="L1957">choice(Referentiel!C:C,1,Settings!$B$16)</f>
        <v/>
      </c>
      <c r="M1957" s="5" t="str" cm="1">
        <f t="array" ref="M1957">choice(Referentiel!E:E,1,Settings!$B$16)</f>
        <v/>
      </c>
      <c r="N1957" s="5" t="str" cm="1">
        <f t="array" ref="N1957">choice(Settings!K:K,1,Settings!$B$16)</f>
        <v>lundi am</v>
      </c>
      <c r="P1957" s="5">
        <f t="shared" si="124"/>
        <v>5</v>
      </c>
    </row>
    <row r="1958" spans="1:16" ht="15.75" customHeight="1" x14ac:dyDescent="0.25">
      <c r="A1958" s="6" t="s">
        <v>2310</v>
      </c>
      <c r="B1958" s="6" cm="1">
        <f t="array" ref="B1958">alea_int(Settings!$B$10,1,Settings!$B$16)</f>
        <v>2</v>
      </c>
      <c r="C1958" s="8">
        <v>46023</v>
      </c>
      <c r="D1958" s="8">
        <f t="shared" si="121"/>
        <v>46387</v>
      </c>
      <c r="E1958" s="6" t="str" cm="1">
        <f t="array" ref="E1958">choice(Groupes!A:A,1,Settings!$B$16)</f>
        <v>G9</v>
      </c>
      <c r="F1958" s="6" t="str">
        <f t="shared" si="122"/>
        <v>G9</v>
      </c>
      <c r="G1958" s="6" t="str">
        <f t="shared" si="123"/>
        <v>Prof12</v>
      </c>
      <c r="H1958" s="6" t="str" cm="1">
        <f t="array" ref="H1958">choice(Referentiel!A:A,1,Settings!$B$16)</f>
        <v>Gr ART, DESIGN, SOCIETE</v>
      </c>
      <c r="I1958" s="6" t="str" cm="1">
        <f t="array" ref="I1958">choice(Referentiel!B:B,1,Settings!$B$16)</f>
        <v>1ère Année Groupe 3 S2</v>
      </c>
      <c r="J1958" s="6" t="str" cm="1">
        <f t="array" ref="J1958">choice(Referentiel!D:D,1,Settings!$B$16)</f>
        <v>M2</v>
      </c>
      <c r="K1958" s="6" t="str" cm="1">
        <f t="array" ref="K1958">choice(Professeurs!B:B,1,Settings!$B$16)</f>
        <v>Prof12</v>
      </c>
      <c r="L1958" s="5" t="str" cm="1">
        <f t="array" ref="L1958">choice(Referentiel!C:C,1,Settings!$B$16)</f>
        <v/>
      </c>
      <c r="M1958" s="5" t="str" cm="1">
        <f t="array" ref="M1958">choice(Referentiel!E:E,1,Settings!$B$16)</f>
        <v/>
      </c>
      <c r="N1958" s="5" t="str" cm="1">
        <f t="array" ref="N1958">choice(Settings!K:K,1,Settings!$B$16)</f>
        <v>mercredi pm</v>
      </c>
      <c r="P1958" s="5">
        <f t="shared" si="124"/>
        <v>4</v>
      </c>
    </row>
    <row r="1959" spans="1:16" ht="15.75" customHeight="1" x14ac:dyDescent="0.25">
      <c r="A1959" s="6" t="s">
        <v>2311</v>
      </c>
      <c r="B1959" s="6" cm="1">
        <f t="array" ref="B1959">alea_int(Settings!$B$10,1,Settings!$B$16)</f>
        <v>2</v>
      </c>
      <c r="C1959" s="8">
        <v>46023</v>
      </c>
      <c r="D1959" s="8">
        <f t="shared" si="121"/>
        <v>46387</v>
      </c>
      <c r="E1959" s="6" t="str" cm="1">
        <f t="array" ref="E1959">choice(Groupes!A:A,1,Settings!$B$16)</f>
        <v>G28</v>
      </c>
      <c r="F1959" s="6" t="str">
        <f t="shared" si="122"/>
        <v>G28</v>
      </c>
      <c r="G1959" s="6" t="str">
        <f t="shared" si="123"/>
        <v>Prof42</v>
      </c>
      <c r="H1959" s="6" t="str" cm="1">
        <f t="array" ref="H1959">choice(Referentiel!A:A,1,Settings!$B$16)</f>
        <v>Gr ART, DESIGN, SOCIETE</v>
      </c>
      <c r="I1959" s="6" t="str" cm="1">
        <f t="array" ref="I1959">choice(Referentiel!B:B,1,Settings!$B$16)</f>
        <v>3ème année Scénographie S2</v>
      </c>
      <c r="J1959" s="6" t="str" cm="1">
        <f t="array" ref="J1959">choice(Referentiel!D:D,1,Settings!$B$16)</f>
        <v>M2</v>
      </c>
      <c r="K1959" s="6" t="str" cm="1">
        <f t="array" ref="K1959">choice(Professeurs!B:B,1,Settings!$B$16)</f>
        <v>Prof42</v>
      </c>
      <c r="L1959" s="5" t="str" cm="1">
        <f t="array" ref="L1959">choice(Referentiel!C:C,1,Settings!$B$16)</f>
        <v/>
      </c>
      <c r="M1959" s="5" t="str" cm="1">
        <f t="array" ref="M1959">choice(Referentiel!E:E,1,Settings!$B$16)</f>
        <v/>
      </c>
      <c r="N1959" s="5" t="str" cm="1">
        <f t="array" ref="N1959">choice(Settings!K:K,1,Settings!$B$16)</f>
        <v/>
      </c>
      <c r="P1959" s="5">
        <f t="shared" si="124"/>
        <v>2</v>
      </c>
    </row>
    <row r="1960" spans="1:16" ht="15.75" customHeight="1" x14ac:dyDescent="0.25">
      <c r="A1960" s="6" t="s">
        <v>2312</v>
      </c>
      <c r="B1960" s="6" cm="1">
        <f t="array" ref="B1960">alea_int(Settings!$B$10,1,Settings!$B$16)</f>
        <v>3</v>
      </c>
      <c r="C1960" s="8">
        <v>46023</v>
      </c>
      <c r="D1960" s="8">
        <f t="shared" si="121"/>
        <v>46387</v>
      </c>
      <c r="E1960" s="6" t="str" cm="1">
        <f t="array" ref="E1960">choice(Groupes!A:A,1,Settings!$B$16)</f>
        <v>G20</v>
      </c>
      <c r="F1960" s="6" t="str">
        <f t="shared" si="122"/>
        <v>G20</v>
      </c>
      <c r="G1960" s="6" t="str">
        <f t="shared" si="123"/>
        <v>Prof37</v>
      </c>
      <c r="H1960" s="6" t="str" cm="1">
        <f t="array" ref="H1960">choice(Referentiel!A:A,1,Settings!$B$16)</f>
        <v>1ère année Groupe 4</v>
      </c>
      <c r="I1960" s="6" t="str" cm="1">
        <f t="array" ref="I1960">choice(Referentiel!B:B,1,Settings!$B$16)</f>
        <v>5ème année Cinéma d'Animation S2</v>
      </c>
      <c r="J1960" s="6" t="str" cm="1">
        <f t="array" ref="J1960">choice(Referentiel!D:D,1,Settings!$B$16)</f>
        <v>L1</v>
      </c>
      <c r="K1960" s="6" t="str" cm="1">
        <f t="array" ref="K1960">choice(Professeurs!B:B,1,Settings!$B$16)</f>
        <v>Prof37</v>
      </c>
      <c r="L1960" s="5" t="str" cm="1">
        <f t="array" ref="L1960">choice(Referentiel!C:C,1,Settings!$B$16)</f>
        <v/>
      </c>
      <c r="M1960" s="5" t="str" cm="1">
        <f t="array" ref="M1960">choice(Referentiel!E:E,1,Settings!$B$16)</f>
        <v/>
      </c>
      <c r="N1960" s="5" t="str" cm="1">
        <f t="array" ref="N1960">choice(Settings!K:K,1,Settings!$B$16)</f>
        <v/>
      </c>
      <c r="P1960" s="5">
        <f t="shared" si="124"/>
        <v>3</v>
      </c>
    </row>
    <row r="1961" spans="1:16" ht="15.75" customHeight="1" x14ac:dyDescent="0.25">
      <c r="A1961" s="6" t="s">
        <v>2313</v>
      </c>
      <c r="B1961" s="6" cm="1">
        <f t="array" ref="B1961">alea_int(Settings!$B$10,1,Settings!$B$16)</f>
        <v>1</v>
      </c>
      <c r="C1961" s="8">
        <v>46023</v>
      </c>
      <c r="D1961" s="8">
        <f t="shared" si="121"/>
        <v>46387</v>
      </c>
      <c r="E1961" s="6" t="str" cm="1">
        <f t="array" ref="E1961">choice(Groupes!A:A,1,Settings!$B$16)</f>
        <v>G16</v>
      </c>
      <c r="F1961" s="6" t="str">
        <f t="shared" si="122"/>
        <v>G16</v>
      </c>
      <c r="G1961" s="6" t="str">
        <f t="shared" si="123"/>
        <v>Prof14</v>
      </c>
      <c r="H1961" s="6" t="str" cm="1">
        <f t="array" ref="H1961">choice(Referentiel!A:A,1,Settings!$B$16)</f>
        <v>Design des mondes insulaires</v>
      </c>
      <c r="I1961" s="6" t="str" cm="1">
        <f t="array" ref="I1961">choice(Referentiel!B:B,1,Settings!$B$16)</f>
        <v>1ère Année Groupe 4 S2</v>
      </c>
      <c r="J1961" s="6" t="str" cm="1">
        <f t="array" ref="J1961">choice(Referentiel!D:D,1,Settings!$B$16)</f>
        <v>M2</v>
      </c>
      <c r="K1961" s="6" t="str" cm="1">
        <f t="array" ref="K1961">choice(Professeurs!B:B,1,Settings!$B$16)</f>
        <v>Prof14</v>
      </c>
      <c r="L1961" s="5" t="str" cm="1">
        <f t="array" ref="L1961">choice(Referentiel!C:C,1,Settings!$B$16)</f>
        <v/>
      </c>
      <c r="M1961" s="5" t="str" cm="1">
        <f t="array" ref="M1961">choice(Referentiel!E:E,1,Settings!$B$16)</f>
        <v/>
      </c>
      <c r="N1961" s="5" t="str" cm="1">
        <f t="array" ref="N1961">choice(Settings!K:K,1,Settings!$B$16)</f>
        <v/>
      </c>
      <c r="P1961" s="5">
        <f t="shared" si="124"/>
        <v>1</v>
      </c>
    </row>
    <row r="1962" spans="1:16" ht="15.75" customHeight="1" x14ac:dyDescent="0.25">
      <c r="A1962" s="6" t="s">
        <v>2314</v>
      </c>
      <c r="B1962" s="6" cm="1">
        <f t="array" ref="B1962">alea_int(Settings!$B$10,1,Settings!$B$16)</f>
        <v>2</v>
      </c>
      <c r="C1962" s="8">
        <v>46023</v>
      </c>
      <c r="D1962" s="8">
        <f t="shared" si="121"/>
        <v>46387</v>
      </c>
      <c r="E1962" s="6" t="str" cm="1">
        <f t="array" ref="E1962">choice(Groupes!A:A,1,Settings!$B$16)</f>
        <v>G5</v>
      </c>
      <c r="F1962" s="6" t="str">
        <f t="shared" si="122"/>
        <v>G5</v>
      </c>
      <c r="G1962" s="6" t="str">
        <f t="shared" si="123"/>
        <v>Prof26</v>
      </c>
      <c r="H1962" s="6" t="str" cm="1">
        <f t="array" ref="H1962">choice(Referentiel!A:A,1,Settings!$B$16)</f>
        <v>Gr SYMBIOSE</v>
      </c>
      <c r="I1962" s="6" t="str" cm="1">
        <f t="array" ref="I1962">choice(Referentiel!B:B,1,Settings!$B$16)</f>
        <v>3ème année Design Textile et Matière S1</v>
      </c>
      <c r="J1962" s="6" t="str" cm="1">
        <f t="array" ref="J1962">choice(Referentiel!D:D,1,Settings!$B$16)</f>
        <v>M1</v>
      </c>
      <c r="K1962" s="6" t="str" cm="1">
        <f t="array" ref="K1962">choice(Professeurs!B:B,1,Settings!$B$16)</f>
        <v>Prof26</v>
      </c>
      <c r="L1962" s="5" t="str" cm="1">
        <f t="array" ref="L1962">choice(Referentiel!C:C,1,Settings!$B$16)</f>
        <v/>
      </c>
      <c r="M1962" s="5" t="str" cm="1">
        <f t="array" ref="M1962">choice(Referentiel!E:E,1,Settings!$B$16)</f>
        <v/>
      </c>
      <c r="N1962" s="5" t="str" cm="1">
        <f t="array" ref="N1962">choice(Settings!K:K,1,Settings!$B$16)</f>
        <v/>
      </c>
      <c r="P1962" s="5">
        <f t="shared" si="124"/>
        <v>2</v>
      </c>
    </row>
    <row r="1963" spans="1:16" ht="15.75" customHeight="1" x14ac:dyDescent="0.25">
      <c r="A1963" s="6" t="s">
        <v>2315</v>
      </c>
      <c r="B1963" s="6" cm="1">
        <f t="array" ref="B1963">alea_int(Settings!$B$10,1,Settings!$B$16)</f>
        <v>2</v>
      </c>
      <c r="C1963" s="8">
        <v>46023</v>
      </c>
      <c r="D1963" s="8">
        <f t="shared" si="121"/>
        <v>46387</v>
      </c>
      <c r="E1963" s="6" t="str" cm="1">
        <f t="array" ref="E1963">choice(Groupes!A:A,1,Settings!$B$16)</f>
        <v>G26</v>
      </c>
      <c r="F1963" s="6" t="str">
        <f t="shared" si="122"/>
        <v>G26</v>
      </c>
      <c r="G1963" s="6" t="str">
        <f t="shared" si="123"/>
        <v>Prof45</v>
      </c>
      <c r="H1963" s="6" t="str" cm="1">
        <f t="array" ref="H1963">choice(Referentiel!A:A,1,Settings!$B$16)</f>
        <v>Design Vêtement</v>
      </c>
      <c r="I1963" s="6" t="str" cm="1">
        <f t="array" ref="I1963">choice(Referentiel!B:B,1,Settings!$B$16)</f>
        <v>2ème année Design Vêtement S2</v>
      </c>
      <c r="J1963" s="6" t="str" cm="1">
        <f t="array" ref="J1963">choice(Referentiel!D:D,1,Settings!$B$16)</f>
        <v>L3</v>
      </c>
      <c r="K1963" s="6" t="str" cm="1">
        <f t="array" ref="K1963">choice(Professeurs!B:B,1,Settings!$B$16)</f>
        <v>Prof45</v>
      </c>
      <c r="L1963" s="5" t="str" cm="1">
        <f t="array" ref="L1963">choice(Referentiel!C:C,1,Settings!$B$16)</f>
        <v/>
      </c>
      <c r="M1963" s="5" t="str" cm="1">
        <f t="array" ref="M1963">choice(Referentiel!E:E,1,Settings!$B$16)</f>
        <v/>
      </c>
      <c r="N1963" s="5" t="str" cm="1">
        <f t="array" ref="N1963">choice(Settings!K:K,1,Settings!$B$16)</f>
        <v>lundi pm</v>
      </c>
      <c r="P1963" s="5">
        <f t="shared" si="124"/>
        <v>4</v>
      </c>
    </row>
    <row r="1964" spans="1:16" ht="15.75" customHeight="1" x14ac:dyDescent="0.25">
      <c r="A1964" s="6" t="s">
        <v>2316</v>
      </c>
      <c r="B1964" s="6" cm="1">
        <f t="array" ref="B1964">alea_int(Settings!$B$10,1,Settings!$B$16)</f>
        <v>2</v>
      </c>
      <c r="C1964" s="8">
        <v>46023</v>
      </c>
      <c r="D1964" s="8">
        <f t="shared" si="121"/>
        <v>46387</v>
      </c>
      <c r="E1964" s="6" t="str" cm="1">
        <f t="array" ref="E1964">choice(Groupes!A:A,1,Settings!$B$16)</f>
        <v>G26</v>
      </c>
      <c r="F1964" s="6" t="str">
        <f t="shared" si="122"/>
        <v>G26</v>
      </c>
      <c r="G1964" s="6" t="str">
        <f t="shared" si="123"/>
        <v>Prof38</v>
      </c>
      <c r="H1964" s="6" t="str" cm="1">
        <f t="array" ref="H1964">choice(Referentiel!A:A,1,Settings!$B$16)</f>
        <v>Design des mondes insulaires</v>
      </c>
      <c r="I1964" s="6" t="str" cm="1">
        <f t="array" ref="I1964">choice(Referentiel!B:B,1,Settings!$B$16)</f>
        <v>2ème année Design Graphique S1</v>
      </c>
      <c r="J1964" s="6" t="str" cm="1">
        <f t="array" ref="J1964">choice(Referentiel!D:D,1,Settings!$B$16)</f>
        <v>L1</v>
      </c>
      <c r="K1964" s="6" t="str" cm="1">
        <f t="array" ref="K1964">choice(Professeurs!B:B,1,Settings!$B$16)</f>
        <v>Prof38</v>
      </c>
      <c r="L1964" s="5" t="str" cm="1">
        <f t="array" ref="L1964">choice(Referentiel!C:C,1,Settings!$B$16)</f>
        <v/>
      </c>
      <c r="M1964" s="5" t="str" cm="1">
        <f t="array" ref="M1964">choice(Referentiel!E:E,1,Settings!$B$16)</f>
        <v/>
      </c>
      <c r="N1964" s="5" t="str" cm="1">
        <f t="array" ref="N1964">choice(Settings!K:K,1,Settings!$B$16)</f>
        <v/>
      </c>
      <c r="P1964" s="5">
        <f t="shared" si="124"/>
        <v>2</v>
      </c>
    </row>
    <row r="1965" spans="1:16" ht="15.75" customHeight="1" x14ac:dyDescent="0.25">
      <c r="A1965" s="6" t="s">
        <v>2317</v>
      </c>
      <c r="B1965" s="6" cm="1">
        <f t="array" ref="B1965">alea_int(Settings!$B$10,1,Settings!$B$16)</f>
        <v>3</v>
      </c>
      <c r="C1965" s="8">
        <v>46023</v>
      </c>
      <c r="D1965" s="8">
        <f t="shared" si="121"/>
        <v>46387</v>
      </c>
      <c r="E1965" s="6" t="str" cm="1">
        <f t="array" ref="E1965">choice(Groupes!A:A,1,Settings!$B$16)</f>
        <v>G5</v>
      </c>
      <c r="F1965" s="6" t="str">
        <f t="shared" si="122"/>
        <v>G5</v>
      </c>
      <c r="G1965" s="6" t="str">
        <f t="shared" si="123"/>
        <v>Prof46</v>
      </c>
      <c r="H1965" s="6" t="str" cm="1">
        <f t="array" ref="H1965">choice(Referentiel!A:A,1,Settings!$B$16)</f>
        <v>Art-Espace</v>
      </c>
      <c r="I1965" s="6" t="str" cm="1">
        <f t="array" ref="I1965">choice(Referentiel!B:B,1,Settings!$B$16)</f>
        <v>1ère Année Groupe 3 S1</v>
      </c>
      <c r="J1965" s="6" t="str" cm="1">
        <f t="array" ref="J1965">choice(Referentiel!D:D,1,Settings!$B$16)</f>
        <v>L1</v>
      </c>
      <c r="K1965" s="6" t="str" cm="1">
        <f t="array" ref="K1965">choice(Professeurs!B:B,1,Settings!$B$16)</f>
        <v>Prof46</v>
      </c>
      <c r="L1965" s="5" t="str" cm="1">
        <f t="array" ref="L1965">choice(Referentiel!C:C,1,Settings!$B$16)</f>
        <v/>
      </c>
      <c r="M1965" s="5" t="str" cm="1">
        <f t="array" ref="M1965">choice(Referentiel!E:E,1,Settings!$B$16)</f>
        <v/>
      </c>
      <c r="N1965" s="5" t="str" cm="1">
        <f t="array" ref="N1965">choice(Settings!K:K,1,Settings!$B$16)</f>
        <v/>
      </c>
      <c r="P1965" s="5">
        <f t="shared" si="124"/>
        <v>3</v>
      </c>
    </row>
    <row r="1966" spans="1:16" ht="15.75" customHeight="1" x14ac:dyDescent="0.25">
      <c r="A1966" s="6" t="s">
        <v>2318</v>
      </c>
      <c r="B1966" s="6" cm="1">
        <f t="array" ref="B1966">alea_int(Settings!$B$10,1,Settings!$B$16)</f>
        <v>2</v>
      </c>
      <c r="C1966" s="8">
        <v>46023</v>
      </c>
      <c r="D1966" s="8">
        <f t="shared" si="121"/>
        <v>46387</v>
      </c>
      <c r="E1966" s="6" t="str" cm="1">
        <f t="array" ref="E1966">choice(Groupes!A:A,1,Settings!$B$16)</f>
        <v>G30</v>
      </c>
      <c r="F1966" s="6" t="str">
        <f t="shared" si="122"/>
        <v>G30</v>
      </c>
      <c r="G1966" s="6" t="str">
        <f t="shared" si="123"/>
        <v>Prof51</v>
      </c>
      <c r="H1966" s="6" t="str" cm="1">
        <f t="array" ref="H1966">choice(Referentiel!A:A,1,Settings!$B$16)</f>
        <v>Design des mondes montagneux</v>
      </c>
      <c r="I1966" s="6" t="str" cm="1">
        <f t="array" ref="I1966">choice(Referentiel!B:B,1,Settings!$B$16)</f>
        <v>5ème année Photo / Vidéo S2</v>
      </c>
      <c r="J1966" s="6" t="str" cm="1">
        <f t="array" ref="J1966">choice(Referentiel!D:D,1,Settings!$B$16)</f>
        <v>L3</v>
      </c>
      <c r="K1966" s="6" t="str" cm="1">
        <f t="array" ref="K1966">choice(Professeurs!B:B,1,Settings!$B$16)</f>
        <v>Prof51</v>
      </c>
      <c r="L1966" s="5" t="str" cm="1">
        <f t="array" ref="L1966">choice(Referentiel!C:C,1,Settings!$B$16)</f>
        <v/>
      </c>
      <c r="M1966" s="5" t="str" cm="1">
        <f t="array" ref="M1966">choice(Referentiel!E:E,1,Settings!$B$16)</f>
        <v/>
      </c>
      <c r="N1966" s="5" t="str" cm="1">
        <f t="array" ref="N1966">choice(Settings!K:K,1,Settings!$B$16)</f>
        <v>mardi am</v>
      </c>
      <c r="P1966" s="5">
        <f t="shared" si="124"/>
        <v>4</v>
      </c>
    </row>
    <row r="1967" spans="1:16" ht="15.75" customHeight="1" x14ac:dyDescent="0.25">
      <c r="A1967" s="6" t="s">
        <v>2319</v>
      </c>
      <c r="B1967" s="6" cm="1">
        <f t="array" ref="B1967">alea_int(Settings!$B$10,1,Settings!$B$16)</f>
        <v>2</v>
      </c>
      <c r="C1967" s="8">
        <v>46023</v>
      </c>
      <c r="D1967" s="8">
        <f t="shared" si="121"/>
        <v>46387</v>
      </c>
      <c r="E1967" s="6" t="str" cm="1">
        <f t="array" ref="E1967">choice(Groupes!A:A,1,Settings!$B$16)</f>
        <v>G17</v>
      </c>
      <c r="F1967" s="6" t="str">
        <f t="shared" si="122"/>
        <v>G17</v>
      </c>
      <c r="G1967" s="6" t="str">
        <f t="shared" si="123"/>
        <v>Prof10</v>
      </c>
      <c r="H1967" s="6" t="str" cm="1">
        <f t="array" ref="H1967">choice(Referentiel!A:A,1,Settings!$B$16)</f>
        <v>1ère année Groupe 1</v>
      </c>
      <c r="I1967" s="6" t="str" cm="1">
        <f t="array" ref="I1967">choice(Referentiel!B:B,1,Settings!$B$16)</f>
        <v>3ème année Design Textile et Matière S2</v>
      </c>
      <c r="J1967" s="6" t="str" cm="1">
        <f t="array" ref="J1967">choice(Referentiel!D:D,1,Settings!$B$16)</f>
        <v>M2</v>
      </c>
      <c r="K1967" s="6" t="str" cm="1">
        <f t="array" ref="K1967">choice(Professeurs!B:B,1,Settings!$B$16)</f>
        <v>Prof10</v>
      </c>
      <c r="L1967" s="5" t="str" cm="1">
        <f t="array" ref="L1967">choice(Referentiel!C:C,1,Settings!$B$16)</f>
        <v/>
      </c>
      <c r="M1967" s="5" t="str" cm="1">
        <f t="array" ref="M1967">choice(Referentiel!E:E,1,Settings!$B$16)</f>
        <v/>
      </c>
      <c r="N1967" s="5" t="str" cm="1">
        <f t="array" ref="N1967">choice(Settings!K:K,1,Settings!$B$16)</f>
        <v>mercredi ap</v>
      </c>
      <c r="P1967" s="5">
        <f t="shared" si="124"/>
        <v>4</v>
      </c>
    </row>
    <row r="1968" spans="1:16" ht="15.75" customHeight="1" x14ac:dyDescent="0.25">
      <c r="A1968" s="6" t="s">
        <v>2320</v>
      </c>
      <c r="B1968" s="6" cm="1">
        <f t="array" ref="B1968">alea_int(Settings!$B$10,1,Settings!$B$16)</f>
        <v>3</v>
      </c>
      <c r="C1968" s="8">
        <v>46023</v>
      </c>
      <c r="D1968" s="8">
        <f t="shared" si="121"/>
        <v>46387</v>
      </c>
      <c r="E1968" s="6" t="str" cm="1">
        <f t="array" ref="E1968">choice(Groupes!A:A,1,Settings!$B$16)</f>
        <v>G1</v>
      </c>
      <c r="F1968" s="6" t="str">
        <f t="shared" si="122"/>
        <v>G1</v>
      </c>
      <c r="G1968" s="6" t="str">
        <f t="shared" si="123"/>
        <v>Prof19</v>
      </c>
      <c r="H1968" s="6" t="str" cm="1">
        <f t="array" ref="H1968">choice(Referentiel!A:A,1,Settings!$B$16)</f>
        <v>Design des mondes forestiers</v>
      </c>
      <c r="I1968" s="6" t="str" cm="1">
        <f t="array" ref="I1968">choice(Referentiel!B:B,1,Settings!$B$16)</f>
        <v>3ème année Scénographie S1</v>
      </c>
      <c r="J1968" s="6" t="str" cm="1">
        <f t="array" ref="J1968">choice(Referentiel!D:D,1,Settings!$B$16)</f>
        <v>L1</v>
      </c>
      <c r="K1968" s="6" t="str" cm="1">
        <f t="array" ref="K1968">choice(Professeurs!B:B,1,Settings!$B$16)</f>
        <v>Prof19</v>
      </c>
      <c r="L1968" s="5" t="str" cm="1">
        <f t="array" ref="L1968">choice(Referentiel!C:C,1,Settings!$B$16)</f>
        <v/>
      </c>
      <c r="M1968" s="5" t="str" cm="1">
        <f t="array" ref="M1968">choice(Referentiel!E:E,1,Settings!$B$16)</f>
        <v/>
      </c>
      <c r="N1968" s="5" t="str" cm="1">
        <f t="array" ref="N1968">choice(Settings!K:K,1,Settings!$B$16)</f>
        <v>jeudi am</v>
      </c>
      <c r="P1968" s="5">
        <f t="shared" si="124"/>
        <v>5</v>
      </c>
    </row>
    <row r="1969" spans="1:16" ht="15.75" customHeight="1" x14ac:dyDescent="0.25">
      <c r="A1969" s="6" t="s">
        <v>2321</v>
      </c>
      <c r="B1969" s="6" cm="1">
        <f t="array" ref="B1969">alea_int(Settings!$B$10,1,Settings!$B$16)</f>
        <v>3</v>
      </c>
      <c r="C1969" s="8">
        <v>46023</v>
      </c>
      <c r="D1969" s="8">
        <f t="shared" si="121"/>
        <v>46387</v>
      </c>
      <c r="E1969" s="6" t="str" cm="1">
        <f t="array" ref="E1969">choice(Groupes!A:A,1,Settings!$B$16)</f>
        <v>G18</v>
      </c>
      <c r="F1969" s="6" t="str">
        <f t="shared" si="122"/>
        <v>G18</v>
      </c>
      <c r="G1969" s="6" t="str">
        <f t="shared" si="123"/>
        <v>Prof48</v>
      </c>
      <c r="H1969" s="6" t="str" cm="1">
        <f t="array" ref="H1969">choice(Referentiel!A:A,1,Settings!$B$16)</f>
        <v>Gr SPATIAL MEDIA</v>
      </c>
      <c r="I1969" s="6" t="str" cm="1">
        <f t="array" ref="I1969">choice(Referentiel!B:B,1,Settings!$B$16)</f>
        <v>2ème année Art-Espace S1</v>
      </c>
      <c r="J1969" s="6" t="str" cm="1">
        <f t="array" ref="J1969">choice(Referentiel!D:D,1,Settings!$B$16)</f>
        <v>M2</v>
      </c>
      <c r="K1969" s="6" t="str" cm="1">
        <f t="array" ref="K1969">choice(Professeurs!B:B,1,Settings!$B$16)</f>
        <v>Prof48</v>
      </c>
      <c r="L1969" s="5" t="str" cm="1">
        <f t="array" ref="L1969">choice(Referentiel!C:C,1,Settings!$B$16)</f>
        <v/>
      </c>
      <c r="M1969" s="5" t="str" cm="1">
        <f t="array" ref="M1969">choice(Referentiel!E:E,1,Settings!$B$16)</f>
        <v/>
      </c>
      <c r="N1969" s="5" t="str" cm="1">
        <f t="array" ref="N1969">choice(Settings!K:K,1,Settings!$B$16)</f>
        <v>jeudi pm</v>
      </c>
      <c r="P1969" s="5">
        <f t="shared" si="124"/>
        <v>5</v>
      </c>
    </row>
    <row r="1970" spans="1:16" ht="15.75" customHeight="1" x14ac:dyDescent="0.25">
      <c r="A1970" s="6" t="s">
        <v>2322</v>
      </c>
      <c r="B1970" s="6" cm="1">
        <f t="array" ref="B1970">alea_int(Settings!$B$10,1,Settings!$B$16)</f>
        <v>2</v>
      </c>
      <c r="C1970" s="8">
        <v>46023</v>
      </c>
      <c r="D1970" s="8">
        <f t="shared" si="121"/>
        <v>46387</v>
      </c>
      <c r="E1970" s="6" t="str" cm="1">
        <f t="array" ref="E1970">choice(Groupes!A:A,1,Settings!$B$16)</f>
        <v>G17</v>
      </c>
      <c r="F1970" s="6" t="str">
        <f t="shared" si="122"/>
        <v>G17</v>
      </c>
      <c r="G1970" s="6" t="str">
        <f t="shared" si="123"/>
        <v>Prof4</v>
      </c>
      <c r="H1970" s="6" t="str" cm="1">
        <f t="array" ref="H1970">choice(Referentiel!A:A,1,Settings!$B$16)</f>
        <v>Design Textile et Matière</v>
      </c>
      <c r="I1970" s="6" t="str" cm="1">
        <f t="array" ref="I1970">choice(Referentiel!B:B,1,Settings!$B$16)</f>
        <v>2ème année Image Imprimée S2</v>
      </c>
      <c r="J1970" s="6" t="str" cm="1">
        <f t="array" ref="J1970">choice(Referentiel!D:D,1,Settings!$B$16)</f>
        <v>M1</v>
      </c>
      <c r="K1970" s="6" t="str" cm="1">
        <f t="array" ref="K1970">choice(Professeurs!B:B,1,Settings!$B$16)</f>
        <v>Prof4</v>
      </c>
      <c r="L1970" s="5" t="str" cm="1">
        <f t="array" ref="L1970">choice(Referentiel!C:C,1,Settings!$B$16)</f>
        <v/>
      </c>
      <c r="M1970" s="5" t="str" cm="1">
        <f t="array" ref="M1970">choice(Referentiel!E:E,1,Settings!$B$16)</f>
        <v/>
      </c>
      <c r="N1970" s="5" t="str" cm="1">
        <f t="array" ref="N1970">choice(Settings!K:K,1,Settings!$B$16)</f>
        <v>lundi pm</v>
      </c>
      <c r="P1970" s="5">
        <f t="shared" si="124"/>
        <v>4</v>
      </c>
    </row>
    <row r="1971" spans="1:16" ht="15.75" customHeight="1" x14ac:dyDescent="0.25">
      <c r="A1971" s="6" t="s">
        <v>2323</v>
      </c>
      <c r="B1971" s="6" cm="1">
        <f t="array" ref="B1971">alea_int(Settings!$B$10,1,Settings!$B$16)</f>
        <v>1</v>
      </c>
      <c r="C1971" s="8">
        <v>46023</v>
      </c>
      <c r="D1971" s="8">
        <f t="shared" si="121"/>
        <v>46387</v>
      </c>
      <c r="E1971" s="6" t="str" cm="1">
        <f t="array" ref="E1971">choice(Groupes!A:A,1,Settings!$B$16)</f>
        <v>G24</v>
      </c>
      <c r="F1971" s="6" t="str">
        <f t="shared" si="122"/>
        <v>G24</v>
      </c>
      <c r="G1971" s="6" t="str">
        <f t="shared" si="123"/>
        <v>Prof45</v>
      </c>
      <c r="H1971" s="6" t="str" cm="1">
        <f t="array" ref="H1971">choice(Referentiel!A:A,1,Settings!$B$16)</f>
        <v>1ère année Groupe 3</v>
      </c>
      <c r="I1971" s="6" t="str" cm="1">
        <f t="array" ref="I1971">choice(Referentiel!B:B,1,Settings!$B$16)</f>
        <v>3ème année Design Vêtement S2</v>
      </c>
      <c r="J1971" s="6" t="str" cm="1">
        <f t="array" ref="J1971">choice(Referentiel!D:D,1,Settings!$B$16)</f>
        <v>M1</v>
      </c>
      <c r="K1971" s="6" t="str" cm="1">
        <f t="array" ref="K1971">choice(Professeurs!B:B,1,Settings!$B$16)</f>
        <v>Prof45</v>
      </c>
      <c r="L1971" s="5" t="str" cm="1">
        <f t="array" ref="L1971">choice(Referentiel!C:C,1,Settings!$B$16)</f>
        <v/>
      </c>
      <c r="M1971" s="5" t="str" cm="1">
        <f t="array" ref="M1971">choice(Referentiel!E:E,1,Settings!$B$16)</f>
        <v/>
      </c>
      <c r="N1971" s="5" t="str" cm="1">
        <f t="array" ref="N1971">choice(Settings!K:K,1,Settings!$B$16)</f>
        <v/>
      </c>
      <c r="P1971" s="5">
        <f t="shared" si="124"/>
        <v>1</v>
      </c>
    </row>
    <row r="1972" spans="1:16" ht="15.75" customHeight="1" x14ac:dyDescent="0.25">
      <c r="A1972" s="6" t="s">
        <v>2324</v>
      </c>
      <c r="B1972" s="6" cm="1">
        <f t="array" ref="B1972">alea_int(Settings!$B$10,1,Settings!$B$16)</f>
        <v>1</v>
      </c>
      <c r="C1972" s="8">
        <v>46023</v>
      </c>
      <c r="D1972" s="8">
        <f t="shared" si="121"/>
        <v>46387</v>
      </c>
      <c r="E1972" s="6" t="str" cm="1">
        <f t="array" ref="E1972">choice(Groupes!A:A,1,Settings!$B$16)</f>
        <v>G3</v>
      </c>
      <c r="F1972" s="6" t="str">
        <f t="shared" si="122"/>
        <v>G3</v>
      </c>
      <c r="G1972" s="6" t="str">
        <f t="shared" si="123"/>
        <v>Prof8</v>
      </c>
      <c r="H1972" s="6" t="str" cm="1">
        <f t="array" ref="H1972">choice(Referentiel!A:A,1,Settings!$B$16)</f>
        <v>1ère année Groupe 4</v>
      </c>
      <c r="I1972" s="6" t="str" cm="1">
        <f t="array" ref="I1972">choice(Referentiel!B:B,1,Settings!$B$16)</f>
        <v>4ème année Scénographie S1</v>
      </c>
      <c r="J1972" s="6" t="str" cm="1">
        <f t="array" ref="J1972">choice(Referentiel!D:D,1,Settings!$B$16)</f>
        <v>M2</v>
      </c>
      <c r="K1972" s="6" t="str" cm="1">
        <f t="array" ref="K1972">choice(Professeurs!B:B,1,Settings!$B$16)</f>
        <v>Prof8</v>
      </c>
      <c r="L1972" s="5" t="str" cm="1">
        <f t="array" ref="L1972">choice(Referentiel!C:C,1,Settings!$B$16)</f>
        <v/>
      </c>
      <c r="M1972" s="5" t="str" cm="1">
        <f t="array" ref="M1972">choice(Referentiel!E:E,1,Settings!$B$16)</f>
        <v/>
      </c>
      <c r="N1972" s="5" t="str" cm="1">
        <f t="array" ref="N1972">choice(Settings!K:K,1,Settings!$B$16)</f>
        <v/>
      </c>
      <c r="P1972" s="5">
        <f t="shared" si="124"/>
        <v>1</v>
      </c>
    </row>
    <row r="1973" spans="1:16" ht="15.75" customHeight="1" x14ac:dyDescent="0.25">
      <c r="A1973" s="6" t="s">
        <v>2325</v>
      </c>
      <c r="B1973" s="6" cm="1">
        <f t="array" ref="B1973">alea_int(Settings!$B$10,1,Settings!$B$16)</f>
        <v>2</v>
      </c>
      <c r="C1973" s="8">
        <v>46023</v>
      </c>
      <c r="D1973" s="8">
        <f t="shared" si="121"/>
        <v>46387</v>
      </c>
      <c r="E1973" s="6" t="str" cm="1">
        <f t="array" ref="E1973">choice(Groupes!A:A,1,Settings!$B$16)</f>
        <v>G22</v>
      </c>
      <c r="F1973" s="6" t="str">
        <f t="shared" si="122"/>
        <v>G22</v>
      </c>
      <c r="G1973" s="6" t="str">
        <f t="shared" si="123"/>
        <v>Prof42</v>
      </c>
      <c r="H1973" s="6" t="str" cm="1">
        <f t="array" ref="H1973">choice(Referentiel!A:A,1,Settings!$B$16)</f>
        <v>1ère année Groupe 3</v>
      </c>
      <c r="I1973" s="6" t="str" cm="1">
        <f t="array" ref="I1973">choice(Referentiel!B:B,1,Settings!$B$16)</f>
        <v>4ème année Design Textile et Matière S2</v>
      </c>
      <c r="J1973" s="6" t="str" cm="1">
        <f t="array" ref="J1973">choice(Referentiel!D:D,1,Settings!$B$16)</f>
        <v>M1</v>
      </c>
      <c r="K1973" s="6" t="str" cm="1">
        <f t="array" ref="K1973">choice(Professeurs!B:B,1,Settings!$B$16)</f>
        <v>Prof42</v>
      </c>
      <c r="L1973" s="5" t="str" cm="1">
        <f t="array" ref="L1973">choice(Referentiel!C:C,1,Settings!$B$16)</f>
        <v/>
      </c>
      <c r="M1973" s="5" t="str" cm="1">
        <f t="array" ref="M1973">choice(Referentiel!E:E,1,Settings!$B$16)</f>
        <v/>
      </c>
      <c r="N1973" s="5" t="str" cm="1">
        <f t="array" ref="N1973">choice(Settings!K:K,1,Settings!$B$16)</f>
        <v/>
      </c>
      <c r="P1973" s="5">
        <f t="shared" si="124"/>
        <v>2</v>
      </c>
    </row>
    <row r="1974" spans="1:16" ht="15.75" customHeight="1" x14ac:dyDescent="0.25">
      <c r="A1974" s="6" t="s">
        <v>2326</v>
      </c>
      <c r="B1974" s="6" cm="1">
        <f t="array" ref="B1974">alea_int(Settings!$B$10,1,Settings!$B$16)</f>
        <v>3</v>
      </c>
      <c r="C1974" s="8">
        <v>46023</v>
      </c>
      <c r="D1974" s="8">
        <f t="shared" si="121"/>
        <v>46387</v>
      </c>
      <c r="E1974" s="6" t="str" cm="1">
        <f t="array" ref="E1974">choice(Groupes!A:A,1,Settings!$B$16)</f>
        <v>G8</v>
      </c>
      <c r="F1974" s="6" t="str">
        <f t="shared" si="122"/>
        <v>G8</v>
      </c>
      <c r="G1974" s="6" t="str">
        <f t="shared" si="123"/>
        <v>Prof40</v>
      </c>
      <c r="H1974" s="6" t="str" cm="1">
        <f t="array" ref="H1974">choice(Referentiel!A:A,1,Settings!$B$16)</f>
        <v>Mode et Matière</v>
      </c>
      <c r="I1974" s="6" t="str" cm="1">
        <f t="array" ref="I1974">choice(Referentiel!B:B,1,Settings!$B$16)</f>
        <v>5ème année Photo / Vidéo S1</v>
      </c>
      <c r="J1974" s="6" t="str" cm="1">
        <f t="array" ref="J1974">choice(Referentiel!D:D,1,Settings!$B$16)</f>
        <v>M1</v>
      </c>
      <c r="K1974" s="6" t="str" cm="1">
        <f t="array" ref="K1974">choice(Professeurs!B:B,1,Settings!$B$16)</f>
        <v>Prof40</v>
      </c>
      <c r="L1974" s="5" t="str" cm="1">
        <f t="array" ref="L1974">choice(Referentiel!C:C,1,Settings!$B$16)</f>
        <v/>
      </c>
      <c r="M1974" s="5" t="str" cm="1">
        <f t="array" ref="M1974">choice(Referentiel!E:E,1,Settings!$B$16)</f>
        <v/>
      </c>
      <c r="N1974" s="5" t="str" cm="1">
        <f t="array" ref="N1974">choice(Settings!K:K,1,Settings!$B$16)</f>
        <v/>
      </c>
      <c r="P1974" s="5">
        <f t="shared" si="124"/>
        <v>3</v>
      </c>
    </row>
    <row r="1975" spans="1:16" ht="15.75" customHeight="1" x14ac:dyDescent="0.25">
      <c r="A1975" s="6" t="s">
        <v>2327</v>
      </c>
      <c r="B1975" s="6" cm="1">
        <f t="array" ref="B1975">alea_int(Settings!$B$10,1,Settings!$B$16)</f>
        <v>2</v>
      </c>
      <c r="C1975" s="8">
        <v>46023</v>
      </c>
      <c r="D1975" s="8">
        <f t="shared" si="121"/>
        <v>46387</v>
      </c>
      <c r="E1975" s="6" t="str" cm="1">
        <f t="array" ref="E1975">choice(Groupes!A:A,1,Settings!$B$16)</f>
        <v>G3</v>
      </c>
      <c r="F1975" s="6" t="str">
        <f t="shared" si="122"/>
        <v>G3</v>
      </c>
      <c r="G1975" s="6" t="str">
        <f t="shared" si="123"/>
        <v>Prof45</v>
      </c>
      <c r="H1975" s="6" t="str" cm="1">
        <f t="array" ref="H1975">choice(Referentiel!A:A,1,Settings!$B$16)</f>
        <v>Gr REFLECTIVE INTERACTION</v>
      </c>
      <c r="I1975" s="6" t="str" cm="1">
        <f t="array" ref="I1975">choice(Referentiel!B:B,1,Settings!$B$16)</f>
        <v>3ème année Design Graphique S1</v>
      </c>
      <c r="J1975" s="6" t="str" cm="1">
        <f t="array" ref="J1975">choice(Referentiel!D:D,1,Settings!$B$16)</f>
        <v>L1</v>
      </c>
      <c r="K1975" s="6" t="str" cm="1">
        <f t="array" ref="K1975">choice(Professeurs!B:B,1,Settings!$B$16)</f>
        <v>Prof45</v>
      </c>
      <c r="L1975" s="5" t="str" cm="1">
        <f t="array" ref="L1975">choice(Referentiel!C:C,1,Settings!$B$16)</f>
        <v/>
      </c>
      <c r="M1975" s="5" t="str" cm="1">
        <f t="array" ref="M1975">choice(Referentiel!E:E,1,Settings!$B$16)</f>
        <v/>
      </c>
      <c r="N1975" s="5" t="str" cm="1">
        <f t="array" ref="N1975">choice(Settings!K:K,1,Settings!$B$16)</f>
        <v/>
      </c>
      <c r="P1975" s="5">
        <f t="shared" si="124"/>
        <v>2</v>
      </c>
    </row>
    <row r="1976" spans="1:16" ht="15.75" customHeight="1" x14ac:dyDescent="0.25">
      <c r="A1976" s="6" t="s">
        <v>2328</v>
      </c>
      <c r="B1976" s="6" cm="1">
        <f t="array" ref="B1976">alea_int(Settings!$B$10,1,Settings!$B$16)</f>
        <v>1</v>
      </c>
      <c r="C1976" s="8">
        <v>46023</v>
      </c>
      <c r="D1976" s="8">
        <f t="shared" si="121"/>
        <v>46387</v>
      </c>
      <c r="E1976" s="6" t="str" cm="1">
        <f t="array" ref="E1976">choice(Groupes!A:A,1,Settings!$B$16)</f>
        <v>G7</v>
      </c>
      <c r="F1976" s="6" t="str">
        <f t="shared" si="122"/>
        <v>G7</v>
      </c>
      <c r="G1976" s="6" t="str">
        <f t="shared" si="123"/>
        <v>Prof25</v>
      </c>
      <c r="H1976" s="6" t="str" cm="1">
        <f t="array" ref="H1976">choice(Referentiel!A:A,1,Settings!$B$16)</f>
        <v>Art-Espace</v>
      </c>
      <c r="I1976" s="6" t="str" cm="1">
        <f t="array" ref="I1976">choice(Referentiel!B:B,1,Settings!$B$16)</f>
        <v>3ème année Design Textile et Matière S1</v>
      </c>
      <c r="J1976" s="6" t="str" cm="1">
        <f t="array" ref="J1976">choice(Referentiel!D:D,1,Settings!$B$16)</f>
        <v>M2</v>
      </c>
      <c r="K1976" s="6" t="str" cm="1">
        <f t="array" ref="K1976">choice(Professeurs!B:B,1,Settings!$B$16)</f>
        <v>Prof25</v>
      </c>
      <c r="L1976" s="5" t="str" cm="1">
        <f t="array" ref="L1976">choice(Referentiel!C:C,1,Settings!$B$16)</f>
        <v/>
      </c>
      <c r="M1976" s="5" t="str" cm="1">
        <f t="array" ref="M1976">choice(Referentiel!E:E,1,Settings!$B$16)</f>
        <v/>
      </c>
      <c r="N1976" s="5" t="str" cm="1">
        <f t="array" ref="N1976">choice(Settings!K:K,1,Settings!$B$16)</f>
        <v/>
      </c>
      <c r="P1976" s="5">
        <f t="shared" si="124"/>
        <v>1</v>
      </c>
    </row>
    <row r="1977" spans="1:16" ht="15.75" customHeight="1" x14ac:dyDescent="0.25">
      <c r="A1977" s="6" t="s">
        <v>2329</v>
      </c>
      <c r="B1977" s="6" cm="1">
        <f t="array" ref="B1977">alea_int(Settings!$B$10,1,Settings!$B$16)</f>
        <v>2</v>
      </c>
      <c r="C1977" s="8">
        <v>46023</v>
      </c>
      <c r="D1977" s="8">
        <f t="shared" si="121"/>
        <v>46387</v>
      </c>
      <c r="E1977" s="6" t="str" cm="1">
        <f t="array" ref="E1977">choice(Groupes!A:A,1,Settings!$B$16)</f>
        <v>G8</v>
      </c>
      <c r="F1977" s="6" t="str">
        <f t="shared" si="122"/>
        <v>G8</v>
      </c>
      <c r="G1977" s="6" t="str">
        <f t="shared" si="123"/>
        <v>Prof42</v>
      </c>
      <c r="H1977" s="6" t="str" cm="1">
        <f t="array" ref="H1977">choice(Referentiel!A:A,1,Settings!$B$16)</f>
        <v>Architecture Intérieure</v>
      </c>
      <c r="I1977" s="6" t="str" cm="1">
        <f t="array" ref="I1977">choice(Referentiel!B:B,1,Settings!$B$16)</f>
        <v>4ème année Art-Espace S2</v>
      </c>
      <c r="J1977" s="6" t="str" cm="1">
        <f t="array" ref="J1977">choice(Referentiel!D:D,1,Settings!$B$16)</f>
        <v>M1</v>
      </c>
      <c r="K1977" s="6" t="str" cm="1">
        <f t="array" ref="K1977">choice(Professeurs!B:B,1,Settings!$B$16)</f>
        <v>Prof42</v>
      </c>
      <c r="L1977" s="5" t="str" cm="1">
        <f t="array" ref="L1977">choice(Referentiel!C:C,1,Settings!$B$16)</f>
        <v/>
      </c>
      <c r="M1977" s="5" t="str" cm="1">
        <f t="array" ref="M1977">choice(Referentiel!E:E,1,Settings!$B$16)</f>
        <v/>
      </c>
      <c r="N1977" s="5" t="str" cm="1">
        <f t="array" ref="N1977">choice(Settings!K:K,1,Settings!$B$16)</f>
        <v/>
      </c>
      <c r="P1977" s="5">
        <f t="shared" si="124"/>
        <v>2</v>
      </c>
    </row>
    <row r="1978" spans="1:16" ht="15.75" customHeight="1" x14ac:dyDescent="0.25">
      <c r="A1978" s="6" t="s">
        <v>2330</v>
      </c>
      <c r="B1978" s="6" cm="1">
        <f t="array" ref="B1978">alea_int(Settings!$B$10,1,Settings!$B$16)</f>
        <v>2</v>
      </c>
      <c r="C1978" s="8">
        <v>46023</v>
      </c>
      <c r="D1978" s="8">
        <f t="shared" si="121"/>
        <v>46387</v>
      </c>
      <c r="E1978" s="6" t="str" cm="1">
        <f t="array" ref="E1978">choice(Groupes!A:A,1,Settings!$B$16)</f>
        <v>G1</v>
      </c>
      <c r="F1978" s="6" t="str">
        <f t="shared" si="122"/>
        <v>G1</v>
      </c>
      <c r="G1978" s="6" t="str">
        <f t="shared" si="123"/>
        <v>Prof12</v>
      </c>
      <c r="H1978" s="6" t="str" cm="1">
        <f t="array" ref="H1978">choice(Referentiel!A:A,1,Settings!$B$16)</f>
        <v>1ère année Groupe 3</v>
      </c>
      <c r="I1978" s="6" t="str" cm="1">
        <f t="array" ref="I1978">choice(Referentiel!B:B,1,Settings!$B$16)</f>
        <v>2ème année Scénographie S1</v>
      </c>
      <c r="J1978" s="6" t="str" cm="1">
        <f t="array" ref="J1978">choice(Referentiel!D:D,1,Settings!$B$16)</f>
        <v>L1</v>
      </c>
      <c r="K1978" s="6" t="str" cm="1">
        <f t="array" ref="K1978">choice(Professeurs!B:B,1,Settings!$B$16)</f>
        <v>Prof12</v>
      </c>
      <c r="L1978" s="5" t="str" cm="1">
        <f t="array" ref="L1978">choice(Referentiel!C:C,1,Settings!$B$16)</f>
        <v/>
      </c>
      <c r="M1978" s="5" t="str" cm="1">
        <f t="array" ref="M1978">choice(Referentiel!E:E,1,Settings!$B$16)</f>
        <v/>
      </c>
      <c r="N1978" s="5" t="str" cm="1">
        <f t="array" ref="N1978">choice(Settings!K:K,1,Settings!$B$16)</f>
        <v>mercredi pm</v>
      </c>
      <c r="P1978" s="5">
        <f t="shared" si="124"/>
        <v>4</v>
      </c>
    </row>
    <row r="1979" spans="1:16" ht="15.75" customHeight="1" x14ac:dyDescent="0.25">
      <c r="A1979" s="6" t="s">
        <v>2331</v>
      </c>
      <c r="B1979" s="6" cm="1">
        <f t="array" ref="B1979">alea_int(Settings!$B$10,1,Settings!$B$16)</f>
        <v>1</v>
      </c>
      <c r="C1979" s="8">
        <v>46023</v>
      </c>
      <c r="D1979" s="8">
        <f t="shared" si="121"/>
        <v>46387</v>
      </c>
      <c r="E1979" s="6" t="str" cm="1">
        <f t="array" ref="E1979">choice(Groupes!A:A,1,Settings!$B$16)</f>
        <v>G19</v>
      </c>
      <c r="F1979" s="6" t="str">
        <f t="shared" si="122"/>
        <v>G19</v>
      </c>
      <c r="G1979" s="6" t="str">
        <f t="shared" si="123"/>
        <v>Prof37</v>
      </c>
      <c r="H1979" s="6" t="str" cm="1">
        <f t="array" ref="H1979">choice(Referentiel!A:A,1,Settings!$B$16)</f>
        <v>Scénographie</v>
      </c>
      <c r="I1979" s="6" t="str" cm="1">
        <f t="array" ref="I1979">choice(Referentiel!B:B,1,Settings!$B$16)</f>
        <v>5ème année Design Textile et Matière S1</v>
      </c>
      <c r="J1979" s="6" t="str" cm="1">
        <f t="array" ref="J1979">choice(Referentiel!D:D,1,Settings!$B$16)</f>
        <v>L1</v>
      </c>
      <c r="K1979" s="6" t="str" cm="1">
        <f t="array" ref="K1979">choice(Professeurs!B:B,1,Settings!$B$16)</f>
        <v>Prof37</v>
      </c>
      <c r="L1979" s="5" t="str" cm="1">
        <f t="array" ref="L1979">choice(Referentiel!C:C,1,Settings!$B$16)</f>
        <v/>
      </c>
      <c r="M1979" s="5" t="str" cm="1">
        <f t="array" ref="M1979">choice(Referentiel!E:E,1,Settings!$B$16)</f>
        <v/>
      </c>
      <c r="N1979" s="5" t="str" cm="1">
        <f t="array" ref="N1979">choice(Settings!K:K,1,Settings!$B$16)</f>
        <v/>
      </c>
      <c r="P1979" s="5">
        <f t="shared" si="124"/>
        <v>1</v>
      </c>
    </row>
    <row r="1980" spans="1:16" ht="15.75" customHeight="1" x14ac:dyDescent="0.25">
      <c r="A1980" s="6" t="s">
        <v>2332</v>
      </c>
      <c r="B1980" s="6" cm="1">
        <f t="array" ref="B1980">alea_int(Settings!$B$10,1,Settings!$B$16)</f>
        <v>3</v>
      </c>
      <c r="C1980" s="8">
        <v>46023</v>
      </c>
      <c r="D1980" s="8">
        <f t="shared" si="121"/>
        <v>46387</v>
      </c>
      <c r="E1980" s="6" t="str" cm="1">
        <f t="array" ref="E1980">choice(Groupes!A:A,1,Settings!$B$16)</f>
        <v>G10</v>
      </c>
      <c r="F1980" s="6" t="str">
        <f t="shared" si="122"/>
        <v>G10</v>
      </c>
      <c r="G1980" s="6" t="str">
        <f t="shared" si="123"/>
        <v>Prof45</v>
      </c>
      <c r="H1980" s="6" t="str" cm="1">
        <f t="array" ref="H1980">choice(Referentiel!A:A,1,Settings!$B$16)</f>
        <v>Design Vêtement</v>
      </c>
      <c r="I1980" s="6" t="str" cm="1">
        <f t="array" ref="I1980">choice(Referentiel!B:B,1,Settings!$B$16)</f>
        <v>2ème année Cinéma d'Animation S1</v>
      </c>
      <c r="J1980" s="6" t="str" cm="1">
        <f t="array" ref="J1980">choice(Referentiel!D:D,1,Settings!$B$16)</f>
        <v>L1</v>
      </c>
      <c r="K1980" s="6" t="str" cm="1">
        <f t="array" ref="K1980">choice(Professeurs!B:B,1,Settings!$B$16)</f>
        <v>Prof45</v>
      </c>
      <c r="L1980" s="5" t="str" cm="1">
        <f t="array" ref="L1980">choice(Referentiel!C:C,1,Settings!$B$16)</f>
        <v/>
      </c>
      <c r="M1980" s="5" t="str" cm="1">
        <f t="array" ref="M1980">choice(Referentiel!E:E,1,Settings!$B$16)</f>
        <v/>
      </c>
      <c r="N1980" s="5" t="str" cm="1">
        <f t="array" ref="N1980">choice(Settings!K:K,1,Settings!$B$16)</f>
        <v/>
      </c>
      <c r="P1980" s="5">
        <f t="shared" si="124"/>
        <v>3</v>
      </c>
    </row>
    <row r="1981" spans="1:16" ht="15.75" customHeight="1" x14ac:dyDescent="0.25">
      <c r="A1981" s="6" t="s">
        <v>2333</v>
      </c>
      <c r="B1981" s="6" cm="1">
        <f t="array" ref="B1981">alea_int(Settings!$B$10,1,Settings!$B$16)</f>
        <v>2</v>
      </c>
      <c r="C1981" s="8">
        <v>46023</v>
      </c>
      <c r="D1981" s="8">
        <f t="shared" si="121"/>
        <v>46387</v>
      </c>
      <c r="E1981" s="6" t="str" cm="1">
        <f t="array" ref="E1981">choice(Groupes!A:A,1,Settings!$B$16)</f>
        <v>G14</v>
      </c>
      <c r="F1981" s="6" t="str">
        <f t="shared" si="122"/>
        <v>G14</v>
      </c>
      <c r="G1981" s="6" t="str">
        <f t="shared" si="123"/>
        <v>Prof27</v>
      </c>
      <c r="H1981" s="6" t="str" cm="1">
        <f t="array" ref="H1981">choice(Referentiel!A:A,1,Settings!$B$16)</f>
        <v>Gr SPATIAL MEDIA</v>
      </c>
      <c r="I1981" s="6" t="str" cm="1">
        <f t="array" ref="I1981">choice(Referentiel!B:B,1,Settings!$B$16)</f>
        <v>4ème année Architecture Intérieure S2</v>
      </c>
      <c r="J1981" s="6" t="str" cm="1">
        <f t="array" ref="J1981">choice(Referentiel!D:D,1,Settings!$B$16)</f>
        <v>L3</v>
      </c>
      <c r="K1981" s="6" t="str" cm="1">
        <f t="array" ref="K1981">choice(Professeurs!B:B,1,Settings!$B$16)</f>
        <v>Prof27</v>
      </c>
      <c r="L1981" s="5" t="str" cm="1">
        <f t="array" ref="L1981">choice(Referentiel!C:C,1,Settings!$B$16)</f>
        <v/>
      </c>
      <c r="M1981" s="5" t="str" cm="1">
        <f t="array" ref="M1981">choice(Referentiel!E:E,1,Settings!$B$16)</f>
        <v/>
      </c>
      <c r="N1981" s="5" t="str" cm="1">
        <f t="array" ref="N1981">choice(Settings!K:K,1,Settings!$B$16)</f>
        <v/>
      </c>
      <c r="P1981" s="5">
        <f t="shared" si="124"/>
        <v>2</v>
      </c>
    </row>
    <row r="1982" spans="1:16" ht="15.75" customHeight="1" x14ac:dyDescent="0.25">
      <c r="A1982" s="6" t="s">
        <v>2334</v>
      </c>
      <c r="B1982" s="6" cm="1">
        <f t="array" ref="B1982">alea_int(Settings!$B$10,1,Settings!$B$16)</f>
        <v>1</v>
      </c>
      <c r="C1982" s="8">
        <v>46023</v>
      </c>
      <c r="D1982" s="8">
        <f t="shared" si="121"/>
        <v>46387</v>
      </c>
      <c r="E1982" s="6" t="str" cm="1">
        <f t="array" ref="E1982">choice(Groupes!A:A,1,Settings!$B$16)</f>
        <v>G11</v>
      </c>
      <c r="F1982" s="6" t="str">
        <f t="shared" si="122"/>
        <v>G11</v>
      </c>
      <c r="G1982" s="6" t="str">
        <f t="shared" si="123"/>
        <v>Prof31</v>
      </c>
      <c r="H1982" s="6" t="str" cm="1">
        <f t="array" ref="H1982">choice(Referentiel!A:A,1,Settings!$B$16)</f>
        <v>Gr REFLECTIVE INTERACTION</v>
      </c>
      <c r="I1982" s="6" t="str" cm="1">
        <f t="array" ref="I1982">choice(Referentiel!B:B,1,Settings!$B$16)</f>
        <v>4ème année Design Graphique S2</v>
      </c>
      <c r="J1982" s="6" t="str" cm="1">
        <f t="array" ref="J1982">choice(Referentiel!D:D,1,Settings!$B$16)</f>
        <v>M1</v>
      </c>
      <c r="K1982" s="6" t="str" cm="1">
        <f t="array" ref="K1982">choice(Professeurs!B:B,1,Settings!$B$16)</f>
        <v>Prof31</v>
      </c>
      <c r="L1982" s="5" t="str" cm="1">
        <f t="array" ref="L1982">choice(Referentiel!C:C,1,Settings!$B$16)</f>
        <v/>
      </c>
      <c r="M1982" s="5" t="str" cm="1">
        <f t="array" ref="M1982">choice(Referentiel!E:E,1,Settings!$B$16)</f>
        <v/>
      </c>
      <c r="N1982" s="5" t="str" cm="1">
        <f t="array" ref="N1982">choice(Settings!K:K,1,Settings!$B$16)</f>
        <v/>
      </c>
      <c r="P1982" s="5">
        <f t="shared" si="124"/>
        <v>1</v>
      </c>
    </row>
    <row r="1983" spans="1:16" ht="15.75" customHeight="1" x14ac:dyDescent="0.25">
      <c r="A1983" s="6" t="s">
        <v>2335</v>
      </c>
      <c r="B1983" s="6" cm="1">
        <f t="array" ref="B1983">alea_int(Settings!$B$10,1,Settings!$B$16)</f>
        <v>1</v>
      </c>
      <c r="C1983" s="8">
        <v>46023</v>
      </c>
      <c r="D1983" s="8">
        <f t="shared" si="121"/>
        <v>46387</v>
      </c>
      <c r="E1983" s="6" t="str" cm="1">
        <f t="array" ref="E1983">choice(Groupes!A:A,1,Settings!$B$16)</f>
        <v>G5</v>
      </c>
      <c r="F1983" s="6" t="str">
        <f t="shared" si="122"/>
        <v>G5</v>
      </c>
      <c r="G1983" s="6" t="str">
        <f t="shared" si="123"/>
        <v>Prof45</v>
      </c>
      <c r="H1983" s="6" t="str" cm="1">
        <f t="array" ref="H1983">choice(Referentiel!A:A,1,Settings!$B$16)</f>
        <v>Scénographie</v>
      </c>
      <c r="I1983" s="6" t="str" cm="1">
        <f t="array" ref="I1983">choice(Referentiel!B:B,1,Settings!$B$16)</f>
        <v>3ème année Design Textile et Matière S1</v>
      </c>
      <c r="J1983" s="6" t="str" cm="1">
        <f t="array" ref="J1983">choice(Referentiel!D:D,1,Settings!$B$16)</f>
        <v>L3</v>
      </c>
      <c r="K1983" s="6" t="str" cm="1">
        <f t="array" ref="K1983">choice(Professeurs!B:B,1,Settings!$B$16)</f>
        <v>Prof45</v>
      </c>
      <c r="L1983" s="5" t="str" cm="1">
        <f t="array" ref="L1983">choice(Referentiel!C:C,1,Settings!$B$16)</f>
        <v/>
      </c>
      <c r="M1983" s="5" t="str" cm="1">
        <f t="array" ref="M1983">choice(Referentiel!E:E,1,Settings!$B$16)</f>
        <v/>
      </c>
      <c r="N1983" s="5" t="str" cm="1">
        <f t="array" ref="N1983">choice(Settings!K:K,1,Settings!$B$16)</f>
        <v/>
      </c>
      <c r="P1983" s="5">
        <f t="shared" si="124"/>
        <v>1</v>
      </c>
    </row>
    <row r="1984" spans="1:16" ht="15.75" customHeight="1" x14ac:dyDescent="0.25">
      <c r="A1984" s="6" t="s">
        <v>2336</v>
      </c>
      <c r="B1984" s="6" cm="1">
        <f t="array" ref="B1984">alea_int(Settings!$B$10,1,Settings!$B$16)</f>
        <v>1</v>
      </c>
      <c r="C1984" s="8">
        <v>46023</v>
      </c>
      <c r="D1984" s="8">
        <f t="shared" si="121"/>
        <v>46387</v>
      </c>
      <c r="E1984" s="6" t="str" cm="1">
        <f t="array" ref="E1984">choice(Groupes!A:A,1,Settings!$B$16)</f>
        <v>G2</v>
      </c>
      <c r="F1984" s="6" t="str">
        <f t="shared" si="122"/>
        <v>G2</v>
      </c>
      <c r="G1984" s="6" t="str">
        <f t="shared" si="123"/>
        <v>Prof51</v>
      </c>
      <c r="H1984" s="6" t="str" cm="1">
        <f t="array" ref="H1984">choice(Referentiel!A:A,1,Settings!$B$16)</f>
        <v>Design des mondes montagneux</v>
      </c>
      <c r="I1984" s="6" t="str" cm="1">
        <f t="array" ref="I1984">choice(Referentiel!B:B,1,Settings!$B$16)</f>
        <v>5ème année Design Graphique S2</v>
      </c>
      <c r="J1984" s="6" t="str" cm="1">
        <f t="array" ref="J1984">choice(Referentiel!D:D,1,Settings!$B$16)</f>
        <v>L3</v>
      </c>
      <c r="K1984" s="6" t="str" cm="1">
        <f t="array" ref="K1984">choice(Professeurs!B:B,1,Settings!$B$16)</f>
        <v>Prof51</v>
      </c>
      <c r="L1984" s="5" t="str" cm="1">
        <f t="array" ref="L1984">choice(Referentiel!C:C,1,Settings!$B$16)</f>
        <v/>
      </c>
      <c r="M1984" s="5" t="str" cm="1">
        <f t="array" ref="M1984">choice(Referentiel!E:E,1,Settings!$B$16)</f>
        <v/>
      </c>
      <c r="N1984" s="5" t="str" cm="1">
        <f t="array" ref="N1984">choice(Settings!K:K,1,Settings!$B$16)</f>
        <v/>
      </c>
      <c r="P1984" s="5">
        <f t="shared" si="124"/>
        <v>1</v>
      </c>
    </row>
    <row r="1985" spans="1:17" ht="15.75" customHeight="1" x14ac:dyDescent="0.25">
      <c r="A1985" s="6" t="s">
        <v>2337</v>
      </c>
      <c r="B1985" s="6" cm="1">
        <f t="array" ref="B1985">alea_int(Settings!$B$10,1,Settings!$B$16)</f>
        <v>2</v>
      </c>
      <c r="C1985" s="8">
        <v>46023</v>
      </c>
      <c r="D1985" s="8">
        <f t="shared" si="121"/>
        <v>46387</v>
      </c>
      <c r="E1985" s="6" t="str" cm="1">
        <f t="array" ref="E1985">choice(Groupes!A:A,1,Settings!$B$16)</f>
        <v>G25</v>
      </c>
      <c r="F1985" s="6" t="str">
        <f t="shared" si="122"/>
        <v>G25</v>
      </c>
      <c r="G1985" s="6" t="str">
        <f t="shared" si="123"/>
        <v>Prof36</v>
      </c>
      <c r="H1985" s="6" t="str" cm="1">
        <f t="array" ref="H1985">choice(Referentiel!A:A,1,Settings!$B$16)</f>
        <v>Design des mondes littoraux</v>
      </c>
      <c r="I1985" s="6" t="str" cm="1">
        <f t="array" ref="I1985">choice(Referentiel!B:B,1,Settings!$B$16)</f>
        <v>3ème année Design Vêtement S1</v>
      </c>
      <c r="J1985" s="6" t="str" cm="1">
        <f t="array" ref="J1985">choice(Referentiel!D:D,1,Settings!$B$16)</f>
        <v>M1</v>
      </c>
      <c r="K1985" s="6" t="str" cm="1">
        <f t="array" ref="K1985">choice(Professeurs!B:B,1,Settings!$B$16)</f>
        <v>Prof36</v>
      </c>
      <c r="L1985" s="5" t="str" cm="1">
        <f t="array" ref="L1985">choice(Referentiel!C:C,1,Settings!$B$16)</f>
        <v/>
      </c>
      <c r="M1985" s="5" t="str" cm="1">
        <f t="array" ref="M1985">choice(Referentiel!E:E,1,Settings!$B$16)</f>
        <v/>
      </c>
      <c r="N1985" s="5" t="str" cm="1">
        <f t="array" ref="N1985">choice(Settings!K:K,1,Settings!$B$16)</f>
        <v/>
      </c>
      <c r="P1985" s="5">
        <f t="shared" si="124"/>
        <v>2</v>
      </c>
    </row>
    <row r="1986" spans="1:17" ht="15.75" customHeight="1" x14ac:dyDescent="0.25">
      <c r="A1986" s="6" t="s">
        <v>2338</v>
      </c>
      <c r="B1986" s="6" cm="1">
        <f t="array" ref="B1986">alea_int(Settings!$B$10,1,Settings!$B$16)</f>
        <v>1</v>
      </c>
      <c r="C1986" s="8">
        <v>46023</v>
      </c>
      <c r="D1986" s="8">
        <f t="shared" si="121"/>
        <v>46387</v>
      </c>
      <c r="E1986" s="6" t="str" cm="1">
        <f t="array" ref="E1986">choice(Groupes!A:A,1,Settings!$B$16)</f>
        <v>G21</v>
      </c>
      <c r="F1986" s="6" t="str">
        <f t="shared" si="122"/>
        <v>G21</v>
      </c>
      <c r="G1986" s="6" t="str">
        <f t="shared" si="123"/>
        <v>Prof34</v>
      </c>
      <c r="H1986" s="6" t="str" cm="1">
        <f t="array" ref="H1986">choice(Referentiel!A:A,1,Settings!$B$16)</f>
        <v>Gr SPATIAL MEDIA</v>
      </c>
      <c r="I1986" s="6" t="str" cm="1">
        <f t="array" ref="I1986">choice(Referentiel!B:B,1,Settings!$B$16)</f>
        <v>1ère Année Groupe 2 S1</v>
      </c>
      <c r="J1986" s="6" t="str" cm="1">
        <f t="array" ref="J1986">choice(Referentiel!D:D,1,Settings!$B$16)</f>
        <v>L2</v>
      </c>
      <c r="K1986" s="6" t="str" cm="1">
        <f t="array" ref="K1986">choice(Professeurs!B:B,1,Settings!$B$16)</f>
        <v>Prof34</v>
      </c>
      <c r="L1986" s="5" t="str" cm="1">
        <f t="array" ref="L1986">choice(Referentiel!C:C,1,Settings!$B$16)</f>
        <v/>
      </c>
      <c r="M1986" s="5" t="str" cm="1">
        <f t="array" ref="M1986">choice(Referentiel!E:E,1,Settings!$B$16)</f>
        <v/>
      </c>
      <c r="N1986" s="5" t="str" cm="1">
        <f t="array" ref="N1986">choice(Settings!K:K,1,Settings!$B$16)</f>
        <v/>
      </c>
      <c r="P1986" s="5">
        <f t="shared" si="124"/>
        <v>1</v>
      </c>
    </row>
    <row r="1987" spans="1:17" ht="15.75" customHeight="1" x14ac:dyDescent="0.25">
      <c r="A1987" s="6" t="s">
        <v>2339</v>
      </c>
      <c r="B1987" s="6" cm="1">
        <f t="array" ref="B1987">alea_int(Settings!$B$10,1,Settings!$B$16)</f>
        <v>3</v>
      </c>
      <c r="C1987" s="8">
        <v>46023</v>
      </c>
      <c r="D1987" s="8">
        <f t="shared" ref="D1987:D2001" si="125">C1987+364</f>
        <v>46387</v>
      </c>
      <c r="E1987" s="6" t="str" cm="1">
        <f t="array" ref="E1987">choice(Groupes!A:A,1,Settings!$B$16)</f>
        <v>G10</v>
      </c>
      <c r="F1987" s="6" t="str">
        <f t="shared" ref="F1987:F2001" si="126">E1987</f>
        <v>G10</v>
      </c>
      <c r="G1987" s="6" t="str">
        <f t="shared" ref="G1987:G2001" si="127">K1987</f>
        <v>Prof12</v>
      </c>
      <c r="H1987" s="6" t="str" cm="1">
        <f t="array" ref="H1987">choice(Referentiel!A:A,1,Settings!$B$16)</f>
        <v>1ère année Groupe 4</v>
      </c>
      <c r="I1987" s="6" t="str" cm="1">
        <f t="array" ref="I1987">choice(Referentiel!B:B,1,Settings!$B$16)</f>
        <v>4ème année Art-Espace S2</v>
      </c>
      <c r="J1987" s="6" t="str" cm="1">
        <f t="array" ref="J1987">choice(Referentiel!D:D,1,Settings!$B$16)</f>
        <v>L1</v>
      </c>
      <c r="K1987" s="6" t="str" cm="1">
        <f t="array" ref="K1987">choice(Professeurs!B:B,1,Settings!$B$16)</f>
        <v>Prof12</v>
      </c>
      <c r="L1987" s="5" t="str" cm="1">
        <f t="array" ref="L1987">choice(Referentiel!C:C,1,Settings!$B$16)</f>
        <v/>
      </c>
      <c r="M1987" s="5" t="str" cm="1">
        <f t="array" ref="M1987">choice(Referentiel!E:E,1,Settings!$B$16)</f>
        <v/>
      </c>
      <c r="N1987" s="5" t="str" cm="1">
        <f t="array" ref="N1987">choice(Settings!K:K,1,Settings!$B$16)</f>
        <v/>
      </c>
      <c r="P1987" s="5">
        <f t="shared" ref="P1987:P2001" si="128">B1987+IF(M1987&lt;&gt;"",2,0)+IF(N1987&lt;&gt;"",2,0)</f>
        <v>3</v>
      </c>
    </row>
    <row r="1988" spans="1:17" ht="15.75" customHeight="1" x14ac:dyDescent="0.25">
      <c r="A1988" s="6" t="s">
        <v>2340</v>
      </c>
      <c r="B1988" s="6" cm="1">
        <f t="array" ref="B1988">alea_int(Settings!$B$10,1,Settings!$B$16)</f>
        <v>3</v>
      </c>
      <c r="C1988" s="8">
        <v>46023</v>
      </c>
      <c r="D1988" s="8">
        <f t="shared" si="125"/>
        <v>46387</v>
      </c>
      <c r="E1988" s="6" t="str" cm="1">
        <f t="array" ref="E1988">choice(Groupes!A:A,1,Settings!$B$16)</f>
        <v>G3</v>
      </c>
      <c r="F1988" s="6" t="str">
        <f t="shared" si="126"/>
        <v>G3</v>
      </c>
      <c r="G1988" s="6" t="str">
        <f t="shared" si="127"/>
        <v>Prof37</v>
      </c>
      <c r="H1988" s="6" t="str" cm="1">
        <f t="array" ref="H1988">choice(Referentiel!A:A,1,Settings!$B$16)</f>
        <v>Design des mondes ruraux</v>
      </c>
      <c r="I1988" s="6" t="str" cm="1">
        <f t="array" ref="I1988">choice(Referentiel!B:B,1,Settings!$B$16)</f>
        <v>4ème année Photo / Vidéo S1</v>
      </c>
      <c r="J1988" s="6" t="str" cm="1">
        <f t="array" ref="J1988">choice(Referentiel!D:D,1,Settings!$B$16)</f>
        <v>L2</v>
      </c>
      <c r="K1988" s="6" t="str" cm="1">
        <f t="array" ref="K1988">choice(Professeurs!B:B,1,Settings!$B$16)</f>
        <v>Prof37</v>
      </c>
      <c r="L1988" s="5" t="str" cm="1">
        <f t="array" ref="L1988">choice(Referentiel!C:C,1,Settings!$B$16)</f>
        <v/>
      </c>
      <c r="M1988" s="5" t="str" cm="1">
        <f t="array" ref="M1988">choice(Referentiel!E:E,1,Settings!$B$16)</f>
        <v/>
      </c>
      <c r="N1988" s="5" t="str" cm="1">
        <f t="array" ref="N1988">choice(Settings!K:K,1,Settings!$B$16)</f>
        <v/>
      </c>
      <c r="P1988" s="5">
        <f t="shared" si="128"/>
        <v>3</v>
      </c>
    </row>
    <row r="1989" spans="1:17" ht="15.75" customHeight="1" x14ac:dyDescent="0.25">
      <c r="A1989" s="6" t="s">
        <v>2341</v>
      </c>
      <c r="B1989" s="6" cm="1">
        <f t="array" ref="B1989">alea_int(Settings!$B$10,1,Settings!$B$16)</f>
        <v>1</v>
      </c>
      <c r="C1989" s="8">
        <v>46023</v>
      </c>
      <c r="D1989" s="8">
        <f t="shared" si="125"/>
        <v>46387</v>
      </c>
      <c r="E1989" s="6" t="str" cm="1">
        <f t="array" ref="E1989">choice(Groupes!A:A,1,Settings!$B$16)</f>
        <v>G20</v>
      </c>
      <c r="F1989" s="6" t="str">
        <f t="shared" si="126"/>
        <v>G20</v>
      </c>
      <c r="G1989" s="6" t="str">
        <f t="shared" si="127"/>
        <v>Prof2</v>
      </c>
      <c r="H1989" s="6" t="str" cm="1">
        <f t="array" ref="H1989">choice(Referentiel!A:A,1,Settings!$B$16)</f>
        <v>Design Objet</v>
      </c>
      <c r="I1989" s="6" t="str" cm="1">
        <f t="array" ref="I1989">choice(Referentiel!B:B,1,Settings!$B$16)</f>
        <v>5ème année Art-Espace S1</v>
      </c>
      <c r="J1989" s="6" t="str" cm="1">
        <f t="array" ref="J1989">choice(Referentiel!D:D,1,Settings!$B$16)</f>
        <v>L1</v>
      </c>
      <c r="K1989" s="6" t="str" cm="1">
        <f t="array" ref="K1989">choice(Professeurs!B:B,1,Settings!$B$16)</f>
        <v>Prof2</v>
      </c>
      <c r="L1989" s="5" t="str" cm="1">
        <f t="array" ref="L1989">choice(Referentiel!C:C,1,Settings!$B$16)</f>
        <v/>
      </c>
      <c r="M1989" s="5" t="str" cm="1">
        <f t="array" ref="M1989">choice(Referentiel!E:E,1,Settings!$B$16)</f>
        <v/>
      </c>
      <c r="N1989" s="5" t="str" cm="1">
        <f t="array" ref="N1989">choice(Settings!K:K,1,Settings!$B$16)</f>
        <v/>
      </c>
      <c r="P1989" s="5">
        <f t="shared" si="128"/>
        <v>1</v>
      </c>
    </row>
    <row r="1990" spans="1:17" ht="15.75" customHeight="1" x14ac:dyDescent="0.25">
      <c r="A1990" s="6" t="s">
        <v>2342</v>
      </c>
      <c r="B1990" s="6" cm="1">
        <f t="array" ref="B1990">alea_int(Settings!$B$10,1,Settings!$B$16)</f>
        <v>1</v>
      </c>
      <c r="C1990" s="8">
        <v>46023</v>
      </c>
      <c r="D1990" s="8">
        <f t="shared" si="125"/>
        <v>46387</v>
      </c>
      <c r="E1990" s="6" t="str" cm="1">
        <f t="array" ref="E1990">choice(Groupes!A:A,1,Settings!$B$16)</f>
        <v>G10</v>
      </c>
      <c r="F1990" s="6" t="str">
        <f t="shared" si="126"/>
        <v>G10</v>
      </c>
      <c r="G1990" s="6" t="str">
        <f t="shared" si="127"/>
        <v>Prof31</v>
      </c>
      <c r="H1990" s="6" t="str" cm="1">
        <f t="array" ref="H1990">choice(Referentiel!A:A,1,Settings!$B$16)</f>
        <v>Architecture Intérieure</v>
      </c>
      <c r="I1990" s="6" t="str" cm="1">
        <f t="array" ref="I1990">choice(Referentiel!B:B,1,Settings!$B$16)</f>
        <v>1ère Année Groupe 4 S2</v>
      </c>
      <c r="J1990" s="6" t="str" cm="1">
        <f t="array" ref="J1990">choice(Referentiel!D:D,1,Settings!$B$16)</f>
        <v>L2</v>
      </c>
      <c r="K1990" s="6" t="str" cm="1">
        <f t="array" ref="K1990">choice(Professeurs!B:B,1,Settings!$B$16)</f>
        <v>Prof31</v>
      </c>
      <c r="L1990" s="5" t="str" cm="1">
        <f t="array" ref="L1990">choice(Referentiel!C:C,1,Settings!$B$16)</f>
        <v/>
      </c>
      <c r="M1990" s="5" t="str" cm="1">
        <f t="array" ref="M1990">choice(Referentiel!E:E,1,Settings!$B$16)</f>
        <v/>
      </c>
      <c r="N1990" s="5" t="str" cm="1">
        <f t="array" ref="N1990">choice(Settings!K:K,1,Settings!$B$16)</f>
        <v/>
      </c>
      <c r="P1990" s="5">
        <f t="shared" si="128"/>
        <v>1</v>
      </c>
    </row>
    <row r="1991" spans="1:17" ht="15.75" customHeight="1" x14ac:dyDescent="0.25">
      <c r="A1991" s="6" t="s">
        <v>2343</v>
      </c>
      <c r="B1991" s="6" cm="1">
        <f t="array" ref="B1991">alea_int(Settings!$B$10,1,Settings!$B$16)</f>
        <v>2</v>
      </c>
      <c r="C1991" s="8">
        <v>46023</v>
      </c>
      <c r="D1991" s="8">
        <f t="shared" si="125"/>
        <v>46387</v>
      </c>
      <c r="E1991" s="6" t="str" cm="1">
        <f t="array" ref="E1991">choice(Groupes!A:A,1,Settings!$B$16)</f>
        <v>G14</v>
      </c>
      <c r="F1991" s="6" t="str">
        <f t="shared" si="126"/>
        <v>G14</v>
      </c>
      <c r="G1991" s="6" t="str">
        <f t="shared" si="127"/>
        <v>Prof51</v>
      </c>
      <c r="H1991" s="6" t="str" cm="1">
        <f t="array" ref="H1991">choice(Referentiel!A:A,1,Settings!$B$16)</f>
        <v>Photo / Vidéo</v>
      </c>
      <c r="I1991" s="6" t="str" cm="1">
        <f t="array" ref="I1991">choice(Referentiel!B:B,1,Settings!$B$16)</f>
        <v>3ème année Photo / Vidéo S1</v>
      </c>
      <c r="J1991" s="6" t="str" cm="1">
        <f t="array" ref="J1991">choice(Referentiel!D:D,1,Settings!$B$16)</f>
        <v>M2</v>
      </c>
      <c r="K1991" s="6" t="str" cm="1">
        <f t="array" ref="K1991">choice(Professeurs!B:B,1,Settings!$B$16)</f>
        <v>Prof51</v>
      </c>
      <c r="L1991" s="5" t="str" cm="1">
        <f t="array" ref="L1991">choice(Referentiel!C:C,1,Settings!$B$16)</f>
        <v/>
      </c>
      <c r="M1991" s="5" t="str" cm="1">
        <f t="array" ref="M1991">choice(Referentiel!E:E,1,Settings!$B$16)</f>
        <v/>
      </c>
      <c r="N1991" s="5" t="str" cm="1">
        <f t="array" ref="N1991">choice(Settings!K:K,1,Settings!$B$16)</f>
        <v/>
      </c>
      <c r="P1991" s="5">
        <f t="shared" si="128"/>
        <v>2</v>
      </c>
    </row>
    <row r="1992" spans="1:17" ht="15.75" customHeight="1" x14ac:dyDescent="0.25">
      <c r="A1992" s="6" t="s">
        <v>2344</v>
      </c>
      <c r="B1992" s="6" cm="1">
        <f t="array" ref="B1992">alea_int(Settings!$B$10,1,Settings!$B$16)</f>
        <v>2</v>
      </c>
      <c r="C1992" s="8">
        <v>46023</v>
      </c>
      <c r="D1992" s="8">
        <f t="shared" si="125"/>
        <v>46387</v>
      </c>
      <c r="E1992" s="6" t="str" cm="1">
        <f t="array" ref="E1992">choice(Groupes!A:A,1,Settings!$B$16)</f>
        <v>G17</v>
      </c>
      <c r="F1992" s="6" t="str">
        <f t="shared" si="126"/>
        <v>G17</v>
      </c>
      <c r="G1992" s="6" t="str">
        <f t="shared" si="127"/>
        <v>Prof29</v>
      </c>
      <c r="H1992" s="6" t="str" cm="1">
        <f t="array" ref="H1992">choice(Referentiel!A:A,1,Settings!$B$16)</f>
        <v>Design Objet</v>
      </c>
      <c r="I1992" s="6" t="str" cm="1">
        <f t="array" ref="I1992">choice(Referentiel!B:B,1,Settings!$B$16)</f>
        <v>5ème année Image Imprimée S1</v>
      </c>
      <c r="J1992" s="6" t="str" cm="1">
        <f t="array" ref="J1992">choice(Referentiel!D:D,1,Settings!$B$16)</f>
        <v>L3</v>
      </c>
      <c r="K1992" s="6" t="str" cm="1">
        <f t="array" ref="K1992">choice(Professeurs!B:B,1,Settings!$B$16)</f>
        <v>Prof29</v>
      </c>
      <c r="L1992" s="5" t="str" cm="1">
        <f t="array" ref="L1992">choice(Referentiel!C:C,1,Settings!$B$16)</f>
        <v/>
      </c>
      <c r="M1992" s="5" t="str" cm="1">
        <f t="array" ref="M1992">choice(Referentiel!E:E,1,Settings!$B$16)</f>
        <v/>
      </c>
      <c r="N1992" s="5" t="str" cm="1">
        <f t="array" ref="N1992">choice(Settings!K:K,1,Settings!$B$16)</f>
        <v/>
      </c>
      <c r="P1992" s="5">
        <f t="shared" si="128"/>
        <v>2</v>
      </c>
    </row>
    <row r="1993" spans="1:17" ht="15.75" customHeight="1" x14ac:dyDescent="0.25">
      <c r="A1993" s="6" t="s">
        <v>2345</v>
      </c>
      <c r="B1993" s="6" cm="1">
        <f t="array" ref="B1993">alea_int(Settings!$B$10,1,Settings!$B$16)</f>
        <v>1</v>
      </c>
      <c r="C1993" s="8">
        <v>46023</v>
      </c>
      <c r="D1993" s="8">
        <f t="shared" si="125"/>
        <v>46387</v>
      </c>
      <c r="E1993" s="6" t="str" cm="1">
        <f t="array" ref="E1993">choice(Groupes!A:A,1,Settings!$B$16)</f>
        <v>G14</v>
      </c>
      <c r="F1993" s="6" t="str">
        <f t="shared" si="126"/>
        <v>G14</v>
      </c>
      <c r="G1993" s="6" t="str">
        <f t="shared" si="127"/>
        <v>Prof48</v>
      </c>
      <c r="H1993" s="6" t="str" cm="1">
        <f t="array" ref="H1993">choice(Referentiel!A:A,1,Settings!$B$16)</f>
        <v>Mode et Matière</v>
      </c>
      <c r="I1993" s="6" t="str" cm="1">
        <f t="array" ref="I1993">choice(Referentiel!B:B,1,Settings!$B$16)</f>
        <v>4ème année Design Textile et Matière S1</v>
      </c>
      <c r="J1993" s="6" t="str" cm="1">
        <f t="array" ref="J1993">choice(Referentiel!D:D,1,Settings!$B$16)</f>
        <v>M2</v>
      </c>
      <c r="K1993" s="6" t="str" cm="1">
        <f t="array" ref="K1993">choice(Professeurs!B:B,1,Settings!$B$16)</f>
        <v>Prof48</v>
      </c>
      <c r="L1993" s="5" t="str" cm="1">
        <f t="array" ref="L1993">choice(Referentiel!C:C,1,Settings!$B$16)</f>
        <v/>
      </c>
      <c r="M1993" s="5" t="str" cm="1">
        <f t="array" ref="M1993">choice(Referentiel!E:E,1,Settings!$B$16)</f>
        <v/>
      </c>
      <c r="N1993" s="5" t="str" cm="1">
        <f t="array" ref="N1993">choice(Settings!K:K,1,Settings!$B$16)</f>
        <v/>
      </c>
      <c r="P1993" s="5">
        <f t="shared" si="128"/>
        <v>1</v>
      </c>
    </row>
    <row r="1994" spans="1:17" ht="15.75" customHeight="1" x14ac:dyDescent="0.25">
      <c r="A1994" s="6" t="s">
        <v>2346</v>
      </c>
      <c r="B1994" s="6" cm="1">
        <f t="array" ref="B1994">alea_int(Settings!$B$10,1,Settings!$B$16)</f>
        <v>3</v>
      </c>
      <c r="C1994" s="8">
        <v>46023</v>
      </c>
      <c r="D1994" s="8">
        <f t="shared" si="125"/>
        <v>46387</v>
      </c>
      <c r="E1994" s="6" t="str" cm="1">
        <f t="array" ref="E1994">choice(Groupes!A:A,1,Settings!$B$16)</f>
        <v>G5</v>
      </c>
      <c r="F1994" s="6" t="str">
        <f t="shared" si="126"/>
        <v>G5</v>
      </c>
      <c r="G1994" s="6" t="str">
        <f t="shared" si="127"/>
        <v>Prof8</v>
      </c>
      <c r="H1994" s="6" t="str" cm="1">
        <f t="array" ref="H1994">choice(Referentiel!A:A,1,Settings!$B$16)</f>
        <v>Design Objet</v>
      </c>
      <c r="I1994" s="6" t="str" cm="1">
        <f t="array" ref="I1994">choice(Referentiel!B:B,1,Settings!$B$16)</f>
        <v>5ème année Architecture Intérieure S2</v>
      </c>
      <c r="J1994" s="6" t="str" cm="1">
        <f t="array" ref="J1994">choice(Referentiel!D:D,1,Settings!$B$16)</f>
        <v>L3</v>
      </c>
      <c r="K1994" s="6" t="str" cm="1">
        <f t="array" ref="K1994">choice(Professeurs!B:B,1,Settings!$B$16)</f>
        <v>Prof8</v>
      </c>
      <c r="L1994" s="5" t="str" cm="1">
        <f t="array" ref="L1994">choice(Referentiel!C:C,1,Settings!$B$16)</f>
        <v/>
      </c>
      <c r="M1994" s="5" t="str" cm="1">
        <f t="array" ref="M1994">choice(Referentiel!E:E,1,Settings!$B$16)</f>
        <v/>
      </c>
      <c r="N1994" s="5" t="str" cm="1">
        <f t="array" ref="N1994">choice(Settings!K:K,1,Settings!$B$16)</f>
        <v/>
      </c>
      <c r="P1994" s="5">
        <f t="shared" si="128"/>
        <v>3</v>
      </c>
    </row>
    <row r="1995" spans="1:17" ht="15.75" customHeight="1" x14ac:dyDescent="0.25">
      <c r="A1995" s="6" t="s">
        <v>2347</v>
      </c>
      <c r="B1995" s="6" cm="1">
        <f t="array" ref="B1995">alea_int(Settings!$B$10,1,Settings!$B$16)</f>
        <v>2</v>
      </c>
      <c r="C1995" s="8">
        <v>46023</v>
      </c>
      <c r="D1995" s="8">
        <f t="shared" si="125"/>
        <v>46387</v>
      </c>
      <c r="E1995" s="6" t="str" cm="1">
        <f t="array" ref="E1995">choice(Groupes!A:A,1,Settings!$B$16)</f>
        <v>G20</v>
      </c>
      <c r="F1995" s="6" t="str">
        <f t="shared" si="126"/>
        <v>G20</v>
      </c>
      <c r="G1995" s="6" t="str">
        <f t="shared" si="127"/>
        <v>Prof55</v>
      </c>
      <c r="H1995" s="6" t="str" cm="1">
        <f t="array" ref="H1995">choice(Referentiel!A:A,1,Settings!$B$16)</f>
        <v>Design Graphique</v>
      </c>
      <c r="I1995" s="6" t="str" cm="1">
        <f t="array" ref="I1995">choice(Referentiel!B:B,1,Settings!$B$16)</f>
        <v>3ème année Image Imprimée S2</v>
      </c>
      <c r="J1995" s="6" t="str" cm="1">
        <f t="array" ref="J1995">choice(Referentiel!D:D,1,Settings!$B$16)</f>
        <v>L1</v>
      </c>
      <c r="K1995" s="6" t="str" cm="1">
        <f t="array" ref="K1995">choice(Professeurs!B:B,1,Settings!$B$16)</f>
        <v>Prof55</v>
      </c>
      <c r="L1995" s="5" t="str" cm="1">
        <f t="array" ref="L1995">choice(Referentiel!C:C,1,Settings!$B$16)</f>
        <v/>
      </c>
      <c r="M1995" s="5" t="str" cm="1">
        <f t="array" ref="M1995">choice(Referentiel!E:E,1,Settings!$B$16)</f>
        <v/>
      </c>
      <c r="N1995" s="5" t="str" cm="1">
        <f t="array" ref="N1995">choice(Settings!K:K,1,Settings!$B$16)</f>
        <v/>
      </c>
      <c r="P1995" s="5">
        <f t="shared" si="128"/>
        <v>2</v>
      </c>
    </row>
    <row r="1996" spans="1:17" ht="15.75" customHeight="1" x14ac:dyDescent="0.25">
      <c r="A1996" s="6" t="s">
        <v>2348</v>
      </c>
      <c r="B1996" s="6" cm="1">
        <f t="array" ref="B1996">alea_int(Settings!$B$10,1,Settings!$B$16)</f>
        <v>3</v>
      </c>
      <c r="C1996" s="8">
        <v>46023</v>
      </c>
      <c r="D1996" s="8">
        <f t="shared" si="125"/>
        <v>46387</v>
      </c>
      <c r="E1996" s="6" t="str" cm="1">
        <f t="array" ref="E1996">choice(Groupes!A:A,1,Settings!$B$16)</f>
        <v>G9</v>
      </c>
      <c r="F1996" s="6" t="str">
        <f t="shared" si="126"/>
        <v>G9</v>
      </c>
      <c r="G1996" s="6" t="str">
        <f t="shared" si="127"/>
        <v>Prof55</v>
      </c>
      <c r="H1996" s="6" t="str" cm="1">
        <f t="array" ref="H1996">choice(Referentiel!A:A,1,Settings!$B$16)</f>
        <v>Image Imprimée</v>
      </c>
      <c r="I1996" s="6" t="str" cm="1">
        <f t="array" ref="I1996">choice(Referentiel!B:B,1,Settings!$B$16)</f>
        <v>3ème année Image Imprimée S1</v>
      </c>
      <c r="J1996" s="6" t="str" cm="1">
        <f t="array" ref="J1996">choice(Referentiel!D:D,1,Settings!$B$16)</f>
        <v>L2</v>
      </c>
      <c r="K1996" s="6" t="str" cm="1">
        <f t="array" ref="K1996">choice(Professeurs!B:B,1,Settings!$B$16)</f>
        <v>Prof55</v>
      </c>
      <c r="L1996" s="5" t="str" cm="1">
        <f t="array" ref="L1996">choice(Referentiel!C:C,1,Settings!$B$16)</f>
        <v/>
      </c>
      <c r="M1996" s="5" t="str" cm="1">
        <f t="array" ref="M1996">choice(Referentiel!E:E,1,Settings!$B$16)</f>
        <v/>
      </c>
      <c r="N1996" s="5" t="str" cm="1">
        <f t="array" ref="N1996">choice(Settings!K:K,1,Settings!$B$16)</f>
        <v/>
      </c>
      <c r="P1996" s="5">
        <f t="shared" si="128"/>
        <v>3</v>
      </c>
    </row>
    <row r="1997" spans="1:17" ht="15.75" customHeight="1" x14ac:dyDescent="0.25">
      <c r="A1997" s="6" t="s">
        <v>2349</v>
      </c>
      <c r="B1997" s="6" cm="1">
        <f t="array" ref="B1997">alea_int(Settings!$B$10,1,Settings!$B$16)</f>
        <v>3</v>
      </c>
      <c r="C1997" s="8">
        <v>46023</v>
      </c>
      <c r="D1997" s="8">
        <f t="shared" si="125"/>
        <v>46387</v>
      </c>
      <c r="E1997" s="6" t="str" cm="1">
        <f t="array" ref="E1997">choice(Groupes!A:A,1,Settings!$B$16)</f>
        <v>G11</v>
      </c>
      <c r="F1997" s="6" t="str">
        <f t="shared" si="126"/>
        <v>G11</v>
      </c>
      <c r="G1997" s="6" t="str">
        <f t="shared" si="127"/>
        <v>Prof47</v>
      </c>
      <c r="H1997" s="6" t="str" cm="1">
        <f t="array" ref="H1997">choice(Referentiel!A:A,1,Settings!$B$16)</f>
        <v>Design des mondes urbains</v>
      </c>
      <c r="I1997" s="6" t="str" cm="1">
        <f t="array" ref="I1997">choice(Referentiel!B:B,1,Settings!$B$16)</f>
        <v>1ère Année Groupe 3 S1</v>
      </c>
      <c r="J1997" s="6" t="str" cm="1">
        <f t="array" ref="J1997">choice(Referentiel!D:D,1,Settings!$B$16)</f>
        <v>M1</v>
      </c>
      <c r="K1997" s="6" t="str" cm="1">
        <f t="array" ref="K1997">choice(Professeurs!B:B,1,Settings!$B$16)</f>
        <v>Prof47</v>
      </c>
      <c r="L1997" s="5" t="str" cm="1">
        <f t="array" ref="L1997">choice(Referentiel!C:C,1,Settings!$B$16)</f>
        <v/>
      </c>
      <c r="M1997" s="5" t="str" cm="1">
        <f t="array" ref="M1997">choice(Referentiel!E:E,1,Settings!$B$16)</f>
        <v/>
      </c>
      <c r="N1997" s="5" t="str" cm="1">
        <f t="array" ref="N1997">choice(Settings!K:K,1,Settings!$B$16)</f>
        <v/>
      </c>
      <c r="P1997" s="5">
        <f t="shared" si="128"/>
        <v>3</v>
      </c>
    </row>
    <row r="1998" spans="1:17" ht="15.75" customHeight="1" x14ac:dyDescent="0.25">
      <c r="A1998" s="6" t="s">
        <v>2350</v>
      </c>
      <c r="B1998" s="6" cm="1">
        <f t="array" ref="B1998">alea_int(Settings!$B$10,1,Settings!$B$16)</f>
        <v>3</v>
      </c>
      <c r="C1998" s="8">
        <v>46023</v>
      </c>
      <c r="D1998" s="8">
        <f t="shared" si="125"/>
        <v>46387</v>
      </c>
      <c r="E1998" s="6" t="str" cm="1">
        <f t="array" ref="E1998">choice(Groupes!A:A,1,Settings!$B$16)</f>
        <v>G4</v>
      </c>
      <c r="F1998" s="6" t="str">
        <f t="shared" si="126"/>
        <v>G4</v>
      </c>
      <c r="G1998" s="6" t="str">
        <f t="shared" si="127"/>
        <v>Prof42</v>
      </c>
      <c r="H1998" s="6" t="str" cm="1">
        <f t="array" ref="H1998">choice(Referentiel!A:A,1,Settings!$B$16)</f>
        <v>Gr SPATIAL MEDIA</v>
      </c>
      <c r="I1998" s="6" t="str" cm="1">
        <f t="array" ref="I1998">choice(Referentiel!B:B,1,Settings!$B$16)</f>
        <v>2ème année Art-Espace S1</v>
      </c>
      <c r="J1998" s="6" t="str" cm="1">
        <f t="array" ref="J1998">choice(Referentiel!D:D,1,Settings!$B$16)</f>
        <v>L3</v>
      </c>
      <c r="K1998" s="6" t="str" cm="1">
        <f t="array" ref="K1998">choice(Professeurs!B:B,1,Settings!$B$16)</f>
        <v>Prof42</v>
      </c>
      <c r="L1998" s="5" t="str" cm="1">
        <f t="array" ref="L1998">choice(Referentiel!C:C,1,Settings!$B$16)</f>
        <v/>
      </c>
      <c r="M1998" s="5" t="str" cm="1">
        <f t="array" ref="M1998">choice(Referentiel!E:E,1,Settings!$B$16)</f>
        <v/>
      </c>
      <c r="N1998" s="5" t="str" cm="1">
        <f t="array" ref="N1998">choice(Settings!K:K,1,Settings!$B$16)</f>
        <v/>
      </c>
      <c r="P1998" s="5">
        <f t="shared" si="128"/>
        <v>3</v>
      </c>
      <c r="Q1998" s="24" t="s">
        <v>333</v>
      </c>
    </row>
    <row r="1999" spans="1:17" ht="15.75" customHeight="1" x14ac:dyDescent="0.25">
      <c r="A1999" s="6" t="s">
        <v>2351</v>
      </c>
      <c r="B1999" s="6" cm="1">
        <f t="array" ref="B1999">alea_int(Settings!$B$10,1,Settings!$B$16)</f>
        <v>1</v>
      </c>
      <c r="C1999" s="8">
        <v>46023</v>
      </c>
      <c r="D1999" s="8">
        <f t="shared" si="125"/>
        <v>46387</v>
      </c>
      <c r="E1999" s="6" t="str" cm="1">
        <f t="array" ref="E1999">choice(Groupes!A:A,1,Settings!$B$16)</f>
        <v>G11</v>
      </c>
      <c r="F1999" s="6" t="str">
        <f t="shared" si="126"/>
        <v>G11</v>
      </c>
      <c r="G1999" s="6" t="str">
        <f t="shared" si="127"/>
        <v>Prof1</v>
      </c>
      <c r="H1999" s="6" t="str" cm="1">
        <f t="array" ref="H1999">choice(Referentiel!A:A,1,Settings!$B$16)</f>
        <v>6ème ANNÉE STAGE</v>
      </c>
      <c r="I1999" s="6" t="str" cm="1">
        <f t="array" ref="I1999">choice(Referentiel!B:B,1,Settings!$B$16)</f>
        <v>4ème année Architecture Intérieure S2</v>
      </c>
      <c r="J1999" s="6" t="str" cm="1">
        <f t="array" ref="J1999">choice(Referentiel!D:D,1,Settings!$B$16)</f>
        <v>M2</v>
      </c>
      <c r="K1999" s="6" t="str" cm="1">
        <f t="array" ref="K1999">choice(Professeurs!B:B,1,Settings!$B$16)</f>
        <v>Prof1</v>
      </c>
      <c r="L1999" s="5" t="str" cm="1">
        <f t="array" ref="L1999">choice(Referentiel!C:C,1,Settings!$B$16)</f>
        <v/>
      </c>
      <c r="M1999" s="5" t="str" cm="1">
        <f t="array" ref="M1999">choice(Referentiel!E:E,1,Settings!$B$16)</f>
        <v/>
      </c>
      <c r="N1999" s="5" t="str" cm="1">
        <f t="array" ref="N1999">choice(Settings!K:K,1,Settings!$B$16)</f>
        <v/>
      </c>
      <c r="P1999" s="5">
        <f t="shared" si="128"/>
        <v>1</v>
      </c>
    </row>
    <row r="2000" spans="1:17" ht="15.75" customHeight="1" x14ac:dyDescent="0.25">
      <c r="A2000" s="6" t="s">
        <v>2352</v>
      </c>
      <c r="B2000" s="6" cm="1">
        <f t="array" ref="B2000">alea_int(Settings!$B$10,1,Settings!$B$16)</f>
        <v>2</v>
      </c>
      <c r="C2000" s="8">
        <v>46023</v>
      </c>
      <c r="D2000" s="8">
        <f t="shared" si="125"/>
        <v>46387</v>
      </c>
      <c r="E2000" s="6" t="str" cm="1">
        <f t="array" ref="E2000">choice(Groupes!A:A,1,Settings!$B$16)</f>
        <v>G16</v>
      </c>
      <c r="F2000" s="6" t="str">
        <f t="shared" si="126"/>
        <v>G16</v>
      </c>
      <c r="G2000" s="6" t="str">
        <f t="shared" si="127"/>
        <v>Prof15</v>
      </c>
      <c r="H2000" s="6" t="str" cm="1">
        <f t="array" ref="H2000">choice(Referentiel!A:A,1,Settings!$B$16)</f>
        <v>Design des mondes urbains</v>
      </c>
      <c r="I2000" s="6" t="str" cm="1">
        <f t="array" ref="I2000">choice(Referentiel!B:B,1,Settings!$B$16)</f>
        <v>4ème année Image Imprimée S1</v>
      </c>
      <c r="J2000" s="6" t="str" cm="1">
        <f t="array" ref="J2000">choice(Referentiel!D:D,1,Settings!$B$16)</f>
        <v>M1</v>
      </c>
      <c r="K2000" s="6" t="str" cm="1">
        <f t="array" ref="K2000">choice(Professeurs!B:B,1,Settings!$B$16)</f>
        <v>Prof15</v>
      </c>
      <c r="L2000" s="5" t="str" cm="1">
        <f t="array" ref="L2000">choice(Referentiel!C:C,1,Settings!$B$16)</f>
        <v/>
      </c>
      <c r="M2000" s="5" t="str" cm="1">
        <f t="array" ref="M2000">choice(Referentiel!E:E,1,Settings!$B$16)</f>
        <v/>
      </c>
      <c r="N2000" s="5" t="str" cm="1">
        <f t="array" ref="N2000">choice(Settings!K:K,1,Settings!$B$16)</f>
        <v/>
      </c>
      <c r="P2000" s="5">
        <f t="shared" si="128"/>
        <v>2</v>
      </c>
    </row>
    <row r="2001" spans="1:16" ht="15.75" customHeight="1" x14ac:dyDescent="0.25">
      <c r="A2001" s="6" t="s">
        <v>2353</v>
      </c>
      <c r="B2001" s="6" cm="1">
        <f t="array" ref="B2001">alea_int(Settings!$B$10,1,Settings!$B$16)</f>
        <v>1</v>
      </c>
      <c r="C2001" s="8">
        <v>46023</v>
      </c>
      <c r="D2001" s="8">
        <f t="shared" si="125"/>
        <v>46387</v>
      </c>
      <c r="E2001" s="6" t="str" cm="1">
        <f t="array" ref="E2001">choice(Groupes!A:A,1,Settings!$B$16)</f>
        <v>G4</v>
      </c>
      <c r="F2001" s="6" t="str">
        <f t="shared" si="126"/>
        <v>G4</v>
      </c>
      <c r="G2001" s="6" t="str">
        <f t="shared" si="127"/>
        <v>Prof25</v>
      </c>
      <c r="H2001" s="6" t="str" cm="1">
        <f t="array" ref="H2001">choice(Referentiel!A:A,1,Settings!$B$16)</f>
        <v>Mode et Matière</v>
      </c>
      <c r="I2001" s="6" t="str" cm="1">
        <f t="array" ref="I2001">choice(Referentiel!B:B,1,Settings!$B$16)</f>
        <v>2ème année Architecture Intérieure S2</v>
      </c>
      <c r="J2001" s="6" t="str" cm="1">
        <f t="array" ref="J2001">choice(Referentiel!D:D,1,Settings!$B$16)</f>
        <v>M1</v>
      </c>
      <c r="K2001" s="6" t="str" cm="1">
        <f t="array" ref="K2001">choice(Professeurs!B:B,1,Settings!$B$16)</f>
        <v>Prof25</v>
      </c>
      <c r="L2001" s="5" t="str" cm="1">
        <f t="array" ref="L2001">choice(Referentiel!C:C,1,Settings!$B$16)</f>
        <v/>
      </c>
      <c r="M2001" s="5" t="str" cm="1">
        <f t="array" ref="M2001">choice(Referentiel!E:E,1,Settings!$B$16)</f>
        <v>Salle8</v>
      </c>
      <c r="N2001" s="5" t="str" cm="1">
        <f t="array" ref="N2001">choice(Settings!K:K,1,Settings!$B$16)</f>
        <v>jeudi am</v>
      </c>
      <c r="P2001" s="5">
        <f t="shared" si="128"/>
        <v>5</v>
      </c>
    </row>
    <row r="2002" spans="1:16" ht="15.75" customHeight="1" x14ac:dyDescent="0.25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</row>
    <row r="2003" spans="1:16" ht="15.75" customHeight="1" x14ac:dyDescent="0.25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</row>
    <row r="2004" spans="1:16" ht="15.75" customHeight="1" x14ac:dyDescent="0.25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</row>
    <row r="2005" spans="1:16" ht="15.75" customHeight="1" x14ac:dyDescent="0.25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</row>
    <row r="2006" spans="1:16" ht="15.75" customHeight="1" x14ac:dyDescent="0.25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</row>
    <row r="2007" spans="1:16" ht="15.75" customHeight="1" x14ac:dyDescent="0.25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</row>
    <row r="2008" spans="1:16" ht="15.75" customHeight="1" x14ac:dyDescent="0.25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</row>
    <row r="2009" spans="1:16" ht="15.75" customHeight="1" x14ac:dyDescent="0.25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</row>
    <row r="2010" spans="1:16" ht="15.75" customHeight="1" x14ac:dyDescent="0.25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</row>
    <row r="2011" spans="1:16" ht="15.75" customHeight="1" x14ac:dyDescent="0.25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</row>
    <row r="2012" spans="1:16" ht="15.75" customHeight="1" x14ac:dyDescent="0.25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</row>
    <row r="2013" spans="1:16" ht="15.75" customHeight="1" x14ac:dyDescent="0.25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</row>
    <row r="2014" spans="1:16" ht="15.75" customHeight="1" x14ac:dyDescent="0.25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</row>
    <row r="2015" spans="1:16" ht="15.75" customHeight="1" x14ac:dyDescent="0.25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</row>
    <row r="2016" spans="1:16" ht="15.75" customHeight="1" x14ac:dyDescent="0.25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</row>
    <row r="2017" spans="1:11" ht="15.75" customHeight="1" x14ac:dyDescent="0.25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</row>
    <row r="2018" spans="1:11" ht="15.75" customHeight="1" x14ac:dyDescent="0.25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</row>
    <row r="2019" spans="1:11" ht="15.75" customHeight="1" x14ac:dyDescent="0.25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</row>
    <row r="2020" spans="1:11" ht="15.75" customHeight="1" x14ac:dyDescent="0.25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</row>
    <row r="2021" spans="1:11" ht="15.75" customHeight="1" x14ac:dyDescent="0.25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</row>
    <row r="2022" spans="1:11" ht="15.75" customHeight="1" x14ac:dyDescent="0.25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</row>
    <row r="2023" spans="1:11" ht="15.75" customHeight="1" x14ac:dyDescent="0.25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</row>
    <row r="2024" spans="1:11" ht="15.75" customHeight="1" x14ac:dyDescent="0.25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</row>
    <row r="2025" spans="1:11" ht="15.75" customHeight="1" x14ac:dyDescent="0.25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</row>
    <row r="2026" spans="1:11" ht="15.75" customHeight="1" x14ac:dyDescent="0.25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</row>
    <row r="2027" spans="1:11" ht="15.75" customHeight="1" x14ac:dyDescent="0.25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</row>
    <row r="2028" spans="1:11" ht="15.75" customHeight="1" x14ac:dyDescent="0.25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</row>
    <row r="2029" spans="1:11" ht="15.75" customHeight="1" x14ac:dyDescent="0.25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</row>
    <row r="2030" spans="1:11" ht="15.75" customHeight="1" x14ac:dyDescent="0.25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</row>
    <row r="2031" spans="1:11" ht="15.75" customHeight="1" x14ac:dyDescent="0.25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</row>
    <row r="2032" spans="1:11" ht="15.75" customHeight="1" x14ac:dyDescent="0.25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</row>
    <row r="2033" spans="1:11" ht="15.75" customHeight="1" x14ac:dyDescent="0.25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</row>
    <row r="2034" spans="1:11" ht="15.75" customHeight="1" x14ac:dyDescent="0.25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</row>
    <row r="2035" spans="1:11" ht="15.75" customHeight="1" x14ac:dyDescent="0.25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</row>
    <row r="2036" spans="1:11" ht="15.75" customHeight="1" x14ac:dyDescent="0.25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</row>
    <row r="2037" spans="1:11" ht="15.75" customHeight="1" x14ac:dyDescent="0.25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</row>
    <row r="2038" spans="1:11" ht="15.75" customHeight="1" x14ac:dyDescent="0.25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</row>
    <row r="2039" spans="1:11" ht="15.75" customHeight="1" x14ac:dyDescent="0.25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</row>
    <row r="2040" spans="1:11" ht="15.75" customHeight="1" x14ac:dyDescent="0.25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</row>
    <row r="2041" spans="1:11" ht="15.75" customHeight="1" x14ac:dyDescent="0.25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</row>
    <row r="2042" spans="1:11" ht="15.75" customHeight="1" x14ac:dyDescent="0.25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</row>
    <row r="2043" spans="1:11" ht="15.75" customHeight="1" x14ac:dyDescent="0.25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</row>
    <row r="2044" spans="1:11" ht="15.75" customHeight="1" x14ac:dyDescent="0.25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</row>
    <row r="2045" spans="1:11" ht="15.75" customHeight="1" x14ac:dyDescent="0.25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</row>
    <row r="2046" spans="1:11" ht="15.75" customHeight="1" x14ac:dyDescent="0.25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</row>
    <row r="2047" spans="1:11" ht="15.75" customHeight="1" x14ac:dyDescent="0.25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</row>
    <row r="2048" spans="1:11" ht="15.75" customHeight="1" x14ac:dyDescent="0.25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</row>
    <row r="2049" spans="1:11" ht="15.75" customHeight="1" x14ac:dyDescent="0.25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</row>
    <row r="2050" spans="1:11" ht="15.75" customHeight="1" x14ac:dyDescent="0.25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</row>
    <row r="2051" spans="1:11" ht="15.75" customHeight="1" x14ac:dyDescent="0.25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</row>
    <row r="2052" spans="1:11" ht="15.75" customHeight="1" x14ac:dyDescent="0.25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</row>
    <row r="2053" spans="1:11" ht="15.75" customHeight="1" x14ac:dyDescent="0.25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</row>
    <row r="2054" spans="1:11" ht="15.75" customHeight="1" x14ac:dyDescent="0.25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</row>
    <row r="2055" spans="1:11" ht="15.75" customHeight="1" x14ac:dyDescent="0.25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</row>
    <row r="2056" spans="1:11" ht="15.75" customHeight="1" x14ac:dyDescent="0.25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</row>
    <row r="2057" spans="1:11" ht="15.75" customHeight="1" x14ac:dyDescent="0.25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</row>
    <row r="2058" spans="1:11" ht="15.75" customHeight="1" x14ac:dyDescent="0.25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</row>
    <row r="2059" spans="1:11" ht="15.75" customHeight="1" x14ac:dyDescent="0.25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</row>
    <row r="2060" spans="1:11" ht="15.75" customHeight="1" x14ac:dyDescent="0.25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</row>
    <row r="2061" spans="1:11" ht="15.75" customHeight="1" x14ac:dyDescent="0.25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</row>
    <row r="2062" spans="1:11" ht="15.75" customHeight="1" x14ac:dyDescent="0.25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</row>
    <row r="2063" spans="1:11" ht="15.75" customHeight="1" x14ac:dyDescent="0.25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</row>
    <row r="2064" spans="1:11" ht="15.75" customHeight="1" x14ac:dyDescent="0.25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</row>
    <row r="2065" spans="1:11" ht="15.75" customHeight="1" x14ac:dyDescent="0.25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</row>
    <row r="2066" spans="1:11" ht="15.75" customHeight="1" x14ac:dyDescent="0.25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</row>
    <row r="2067" spans="1:11" ht="15.75" customHeight="1" x14ac:dyDescent="0.25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</row>
    <row r="2068" spans="1:11" ht="15.75" customHeight="1" x14ac:dyDescent="0.25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</row>
    <row r="2069" spans="1:11" ht="15.75" customHeight="1" x14ac:dyDescent="0.25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</row>
    <row r="2070" spans="1:11" ht="15.75" customHeight="1" x14ac:dyDescent="0.25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</row>
    <row r="2071" spans="1:11" ht="15.75" customHeight="1" x14ac:dyDescent="0.25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</row>
    <row r="2072" spans="1:11" ht="15.75" customHeight="1" x14ac:dyDescent="0.25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</row>
    <row r="2073" spans="1:11" ht="15.75" customHeight="1" x14ac:dyDescent="0.25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</row>
    <row r="2074" spans="1:11" ht="15.75" customHeight="1" x14ac:dyDescent="0.25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</row>
    <row r="2075" spans="1:11" ht="15.75" customHeight="1" x14ac:dyDescent="0.25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</row>
    <row r="2076" spans="1:11" ht="15.75" customHeight="1" x14ac:dyDescent="0.25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</row>
    <row r="2077" spans="1:11" ht="15.75" customHeight="1" x14ac:dyDescent="0.25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</row>
    <row r="2078" spans="1:11" ht="15.75" customHeight="1" x14ac:dyDescent="0.25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</row>
    <row r="2079" spans="1:11" ht="15.75" customHeight="1" x14ac:dyDescent="0.25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</row>
    <row r="2080" spans="1:11" ht="15.75" customHeight="1" x14ac:dyDescent="0.25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</row>
    <row r="2081" spans="1:11" ht="15.75" customHeight="1" x14ac:dyDescent="0.25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</row>
    <row r="2082" spans="1:11" ht="15.75" customHeight="1" x14ac:dyDescent="0.25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</row>
    <row r="2083" spans="1:11" ht="15.75" customHeight="1" x14ac:dyDescent="0.25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</row>
    <row r="2084" spans="1:11" ht="15.75" customHeight="1" x14ac:dyDescent="0.25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</row>
    <row r="2085" spans="1:11" ht="15.75" customHeight="1" x14ac:dyDescent="0.25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</row>
    <row r="2086" spans="1:11" ht="15.75" customHeight="1" x14ac:dyDescent="0.25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</row>
    <row r="2087" spans="1:11" ht="15.75" customHeight="1" x14ac:dyDescent="0.25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</row>
    <row r="2088" spans="1:11" ht="15.75" customHeight="1" x14ac:dyDescent="0.25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</row>
    <row r="2089" spans="1:11" ht="15.75" customHeight="1" x14ac:dyDescent="0.25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</row>
    <row r="2090" spans="1:11" ht="15.75" customHeight="1" x14ac:dyDescent="0.25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</row>
    <row r="2091" spans="1:11" ht="15.75" customHeight="1" x14ac:dyDescent="0.25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</row>
    <row r="2092" spans="1:11" ht="15.75" customHeight="1" x14ac:dyDescent="0.25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</row>
    <row r="2093" spans="1:11" ht="15.75" customHeight="1" x14ac:dyDescent="0.25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</row>
    <row r="2094" spans="1:11" ht="15.75" customHeight="1" x14ac:dyDescent="0.25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</row>
    <row r="2095" spans="1:11" ht="15.75" customHeight="1" x14ac:dyDescent="0.25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</row>
    <row r="2096" spans="1:11" ht="15.75" customHeight="1" x14ac:dyDescent="0.25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</row>
    <row r="2097" spans="1:11" ht="15.75" customHeight="1" x14ac:dyDescent="0.25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</row>
    <row r="2098" spans="1:11" ht="15.75" customHeight="1" x14ac:dyDescent="0.25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</row>
    <row r="2099" spans="1:11" ht="15.75" customHeight="1" x14ac:dyDescent="0.25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</row>
    <row r="2100" spans="1:11" ht="15.75" customHeight="1" x14ac:dyDescent="0.25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</row>
    <row r="2101" spans="1:11" ht="15.75" customHeight="1" x14ac:dyDescent="0.25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</row>
    <row r="2102" spans="1:11" ht="15.75" customHeight="1" x14ac:dyDescent="0.25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</row>
    <row r="2103" spans="1:11" ht="15.75" customHeight="1" x14ac:dyDescent="0.25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</row>
    <row r="2104" spans="1:11" ht="15.75" customHeight="1" x14ac:dyDescent="0.25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</row>
    <row r="2105" spans="1:11" ht="15.75" customHeight="1" x14ac:dyDescent="0.25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</row>
    <row r="2106" spans="1:11" ht="15.75" customHeight="1" x14ac:dyDescent="0.25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</row>
    <row r="2107" spans="1:11" ht="15.75" customHeight="1" x14ac:dyDescent="0.25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</row>
    <row r="2108" spans="1:11" ht="15.75" customHeight="1" x14ac:dyDescent="0.25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</row>
    <row r="2109" spans="1:11" ht="15.75" customHeight="1" x14ac:dyDescent="0.25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</row>
    <row r="2110" spans="1:11" ht="15.75" customHeight="1" x14ac:dyDescent="0.25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</row>
    <row r="2111" spans="1:11" ht="15.75" customHeight="1" x14ac:dyDescent="0.25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</row>
    <row r="2112" spans="1:11" ht="15.75" customHeight="1" x14ac:dyDescent="0.25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</row>
    <row r="2113" spans="1:11" ht="15.75" customHeight="1" x14ac:dyDescent="0.25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</row>
    <row r="2114" spans="1:11" ht="15.75" customHeight="1" x14ac:dyDescent="0.25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</row>
    <row r="2115" spans="1:11" ht="15.75" customHeight="1" x14ac:dyDescent="0.25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</row>
    <row r="2116" spans="1:11" ht="15.75" customHeight="1" x14ac:dyDescent="0.25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</row>
    <row r="2117" spans="1:11" ht="15.75" customHeight="1" x14ac:dyDescent="0.25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</row>
    <row r="2118" spans="1:11" ht="15.75" customHeight="1" x14ac:dyDescent="0.25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</row>
    <row r="2119" spans="1:11" ht="15.75" customHeight="1" x14ac:dyDescent="0.25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</row>
    <row r="2120" spans="1:11" ht="15.75" customHeight="1" x14ac:dyDescent="0.25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</row>
    <row r="2121" spans="1:11" ht="15.75" customHeight="1" x14ac:dyDescent="0.25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</row>
    <row r="2122" spans="1:11" ht="15.75" customHeight="1" x14ac:dyDescent="0.25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</row>
    <row r="2123" spans="1:11" ht="15.75" customHeight="1" x14ac:dyDescent="0.25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</row>
    <row r="2124" spans="1:11" ht="15.75" customHeight="1" x14ac:dyDescent="0.25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</row>
    <row r="2125" spans="1:11" ht="15.75" customHeight="1" x14ac:dyDescent="0.25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</row>
    <row r="2126" spans="1:11" ht="15.75" customHeight="1" x14ac:dyDescent="0.25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</row>
    <row r="2127" spans="1:11" ht="15.75" customHeight="1" x14ac:dyDescent="0.25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</row>
    <row r="2128" spans="1:11" ht="15.75" customHeight="1" x14ac:dyDescent="0.25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</row>
    <row r="2129" spans="1:11" ht="15.75" customHeight="1" x14ac:dyDescent="0.25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</row>
    <row r="2130" spans="1:11" ht="15.75" customHeight="1" x14ac:dyDescent="0.25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</row>
    <row r="2131" spans="1:11" ht="15.75" customHeight="1" x14ac:dyDescent="0.25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</row>
    <row r="2132" spans="1:11" ht="15.75" customHeight="1" x14ac:dyDescent="0.25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</row>
    <row r="2133" spans="1:11" ht="15.75" customHeight="1" x14ac:dyDescent="0.25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</row>
    <row r="2134" spans="1:11" ht="15.75" customHeight="1" x14ac:dyDescent="0.25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</row>
    <row r="2135" spans="1:11" ht="15.75" customHeight="1" x14ac:dyDescent="0.25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</row>
    <row r="2136" spans="1:11" ht="15.75" customHeight="1" x14ac:dyDescent="0.25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</row>
    <row r="2137" spans="1:11" ht="15.75" customHeight="1" x14ac:dyDescent="0.25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</row>
    <row r="2138" spans="1:11" ht="15.75" customHeight="1" x14ac:dyDescent="0.25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</row>
    <row r="2139" spans="1:11" ht="15.75" customHeight="1" x14ac:dyDescent="0.25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</row>
    <row r="2140" spans="1:11" ht="15.75" customHeight="1" x14ac:dyDescent="0.25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</row>
    <row r="2141" spans="1:11" ht="15.75" customHeight="1" x14ac:dyDescent="0.25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</row>
    <row r="2142" spans="1:11" ht="15.75" customHeight="1" x14ac:dyDescent="0.25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</row>
    <row r="2143" spans="1:11" ht="15.75" customHeight="1" x14ac:dyDescent="0.25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</row>
    <row r="2144" spans="1:11" ht="15.75" customHeight="1" x14ac:dyDescent="0.25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</row>
    <row r="2145" spans="1:11" ht="15.75" customHeight="1" x14ac:dyDescent="0.25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</row>
    <row r="2146" spans="1:11" ht="15.75" customHeight="1" x14ac:dyDescent="0.25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</row>
    <row r="2147" spans="1:11" ht="15.75" customHeight="1" x14ac:dyDescent="0.25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</row>
    <row r="2148" spans="1:11" ht="15.75" customHeight="1" x14ac:dyDescent="0.25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</row>
    <row r="2149" spans="1:11" ht="15.75" customHeight="1" x14ac:dyDescent="0.25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</row>
    <row r="2150" spans="1:11" ht="15.75" customHeight="1" x14ac:dyDescent="0.25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</row>
    <row r="2151" spans="1:11" ht="15.75" customHeight="1" x14ac:dyDescent="0.25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</row>
    <row r="2152" spans="1:11" ht="15.75" customHeight="1" x14ac:dyDescent="0.25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</row>
    <row r="2153" spans="1:11" ht="15.75" customHeight="1" x14ac:dyDescent="0.25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</row>
    <row r="2154" spans="1:11" ht="15.75" customHeight="1" x14ac:dyDescent="0.25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</row>
    <row r="2155" spans="1:11" ht="15.75" customHeight="1" x14ac:dyDescent="0.25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</row>
    <row r="2156" spans="1:11" ht="15.75" customHeight="1" x14ac:dyDescent="0.25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</row>
    <row r="2157" spans="1:11" ht="15.75" customHeight="1" x14ac:dyDescent="0.25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</row>
    <row r="2158" spans="1:11" ht="15.75" customHeight="1" x14ac:dyDescent="0.25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</row>
    <row r="2159" spans="1:11" ht="15.75" customHeight="1" x14ac:dyDescent="0.25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</row>
    <row r="2160" spans="1:11" ht="15.75" customHeight="1" x14ac:dyDescent="0.25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</row>
    <row r="2161" spans="1:11" ht="15.75" customHeight="1" x14ac:dyDescent="0.25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</row>
    <row r="2162" spans="1:11" ht="15.75" customHeight="1" x14ac:dyDescent="0.25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</row>
    <row r="2163" spans="1:11" ht="15.75" customHeight="1" x14ac:dyDescent="0.25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</row>
    <row r="2164" spans="1:11" ht="15.75" customHeight="1" x14ac:dyDescent="0.25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</row>
    <row r="2165" spans="1:11" ht="15.75" customHeight="1" x14ac:dyDescent="0.25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</row>
    <row r="2166" spans="1:11" ht="15.75" customHeight="1" x14ac:dyDescent="0.25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</row>
    <row r="2167" spans="1:11" ht="15.75" customHeight="1" x14ac:dyDescent="0.25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</row>
    <row r="2168" spans="1:11" ht="15.75" customHeight="1" x14ac:dyDescent="0.25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</row>
    <row r="2169" spans="1:11" ht="15.75" customHeight="1" x14ac:dyDescent="0.25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</row>
    <row r="2170" spans="1:11" ht="15.75" customHeight="1" x14ac:dyDescent="0.25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</row>
    <row r="2171" spans="1:11" ht="15.75" customHeight="1" x14ac:dyDescent="0.25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</row>
    <row r="2172" spans="1:11" ht="15.75" customHeight="1" x14ac:dyDescent="0.25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</row>
    <row r="2173" spans="1:11" ht="15.75" customHeight="1" x14ac:dyDescent="0.25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</row>
    <row r="2174" spans="1:11" ht="15.75" customHeight="1" x14ac:dyDescent="0.25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</row>
    <row r="2175" spans="1:11" ht="15.75" customHeight="1" x14ac:dyDescent="0.25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</row>
    <row r="2176" spans="1:11" ht="15.75" customHeight="1" x14ac:dyDescent="0.25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</row>
    <row r="2177" spans="1:11" ht="15.75" customHeight="1" x14ac:dyDescent="0.25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</row>
    <row r="2178" spans="1:11" ht="15.75" customHeight="1" x14ac:dyDescent="0.25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</row>
    <row r="2179" spans="1:11" ht="15.75" customHeight="1" x14ac:dyDescent="0.25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</row>
    <row r="2180" spans="1:11" ht="15.75" customHeight="1" x14ac:dyDescent="0.25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</row>
    <row r="2181" spans="1:11" ht="15.75" customHeight="1" x14ac:dyDescent="0.25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</row>
    <row r="2182" spans="1:11" ht="15.75" customHeight="1" x14ac:dyDescent="0.25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</row>
    <row r="2183" spans="1:11" ht="15.75" customHeight="1" x14ac:dyDescent="0.25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</row>
    <row r="2184" spans="1:11" ht="15.75" customHeight="1" x14ac:dyDescent="0.25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</row>
    <row r="2185" spans="1:11" ht="15.75" customHeight="1" x14ac:dyDescent="0.25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</row>
    <row r="2186" spans="1:11" ht="15.75" customHeight="1" x14ac:dyDescent="0.25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</row>
    <row r="2187" spans="1:11" ht="15.75" customHeight="1" x14ac:dyDescent="0.25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</row>
    <row r="2188" spans="1:11" ht="15.75" customHeight="1" x14ac:dyDescent="0.25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</row>
    <row r="2189" spans="1:11" ht="15.75" customHeight="1" x14ac:dyDescent="0.25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</row>
    <row r="2190" spans="1:11" ht="15.75" customHeight="1" x14ac:dyDescent="0.25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</row>
    <row r="2191" spans="1:11" ht="15.75" customHeight="1" x14ac:dyDescent="0.25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</row>
    <row r="2192" spans="1:11" ht="15.75" customHeight="1" x14ac:dyDescent="0.25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</row>
    <row r="2193" spans="1:11" ht="15.75" customHeight="1" x14ac:dyDescent="0.25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</row>
    <row r="2194" spans="1:11" ht="15.75" customHeight="1" x14ac:dyDescent="0.25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</row>
    <row r="2195" spans="1:11" ht="15.75" customHeight="1" x14ac:dyDescent="0.25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</row>
    <row r="2196" spans="1:11" ht="15.75" customHeight="1" x14ac:dyDescent="0.25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</row>
    <row r="2197" spans="1:11" ht="15.75" customHeight="1" x14ac:dyDescent="0.25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</row>
    <row r="2198" spans="1:11" ht="15.75" customHeight="1" x14ac:dyDescent="0.25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</row>
    <row r="2199" spans="1:11" ht="15.75" customHeight="1" x14ac:dyDescent="0.25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</row>
    <row r="2200" spans="1:11" ht="15.75" customHeight="1" x14ac:dyDescent="0.25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</row>
    <row r="2201" spans="1:11" ht="15.75" customHeight="1" x14ac:dyDescent="0.25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</row>
    <row r="2202" spans="1:11" ht="15.75" customHeight="1" x14ac:dyDescent="0.25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</row>
    <row r="2203" spans="1:11" ht="15.75" customHeight="1" x14ac:dyDescent="0.25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</row>
    <row r="2204" spans="1:11" ht="15.75" customHeight="1" x14ac:dyDescent="0.25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</row>
    <row r="2205" spans="1:11" ht="15.75" customHeight="1" x14ac:dyDescent="0.25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</row>
    <row r="2206" spans="1:11" ht="15.75" customHeight="1" x14ac:dyDescent="0.25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</row>
    <row r="2207" spans="1:11" ht="15.75" customHeight="1" x14ac:dyDescent="0.25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</row>
    <row r="2208" spans="1:11" ht="15.75" customHeight="1" x14ac:dyDescent="0.25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</row>
    <row r="2209" spans="1:11" ht="15.75" customHeight="1" x14ac:dyDescent="0.25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</row>
    <row r="2210" spans="1:11" ht="15.75" customHeight="1" x14ac:dyDescent="0.25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</row>
    <row r="2211" spans="1:11" ht="15.75" customHeight="1" x14ac:dyDescent="0.25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</row>
    <row r="2212" spans="1:11" ht="15.75" customHeight="1" x14ac:dyDescent="0.25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</row>
    <row r="2213" spans="1:11" ht="15.75" customHeight="1" x14ac:dyDescent="0.25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</row>
    <row r="2214" spans="1:11" ht="15.75" customHeight="1" x14ac:dyDescent="0.25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</row>
    <row r="2215" spans="1:11" ht="15.75" customHeight="1" x14ac:dyDescent="0.25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</row>
    <row r="2216" spans="1:11" ht="15.75" customHeight="1" x14ac:dyDescent="0.25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</row>
    <row r="2217" spans="1:11" ht="15.75" customHeight="1" x14ac:dyDescent="0.25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</row>
    <row r="2218" spans="1:11" ht="15.75" customHeight="1" x14ac:dyDescent="0.25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</row>
    <row r="2219" spans="1:11" ht="15.75" customHeight="1" x14ac:dyDescent="0.25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</row>
    <row r="2220" spans="1:11" ht="15.75" customHeight="1" x14ac:dyDescent="0.25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</row>
    <row r="2221" spans="1:11" ht="15.75" customHeight="1" x14ac:dyDescent="0.25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</row>
    <row r="2222" spans="1:11" ht="15.75" customHeight="1" x14ac:dyDescent="0.25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</row>
    <row r="2223" spans="1:11" ht="15.75" customHeight="1" x14ac:dyDescent="0.25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</row>
    <row r="2224" spans="1:11" ht="15.75" customHeight="1" x14ac:dyDescent="0.25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</row>
    <row r="2225" spans="1:11" ht="15.75" customHeight="1" x14ac:dyDescent="0.25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</row>
    <row r="2226" spans="1:11" ht="15.75" customHeight="1" x14ac:dyDescent="0.25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</row>
    <row r="2227" spans="1:11" ht="15.75" customHeight="1" x14ac:dyDescent="0.25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</row>
    <row r="2228" spans="1:11" ht="15.75" customHeight="1" x14ac:dyDescent="0.25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</row>
    <row r="2229" spans="1:11" ht="15.75" customHeight="1" x14ac:dyDescent="0.25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</row>
    <row r="2230" spans="1:11" ht="15.75" customHeight="1" x14ac:dyDescent="0.25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</row>
    <row r="2231" spans="1:11" ht="15.75" customHeight="1" x14ac:dyDescent="0.25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</row>
    <row r="2232" spans="1:11" ht="15.75" customHeight="1" x14ac:dyDescent="0.25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</row>
    <row r="2233" spans="1:11" ht="15.75" customHeight="1" x14ac:dyDescent="0.25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</row>
    <row r="2234" spans="1:11" ht="15.75" customHeight="1" x14ac:dyDescent="0.25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</row>
    <row r="2235" spans="1:11" ht="15.75" customHeight="1" x14ac:dyDescent="0.25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</row>
    <row r="2236" spans="1:11" ht="15.75" customHeight="1" x14ac:dyDescent="0.25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</row>
    <row r="2237" spans="1:11" ht="15.75" customHeight="1" x14ac:dyDescent="0.25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</row>
    <row r="2238" spans="1:11" ht="15.75" customHeight="1" x14ac:dyDescent="0.25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</row>
    <row r="2239" spans="1:11" ht="15.75" customHeight="1" x14ac:dyDescent="0.25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</row>
    <row r="2240" spans="1:11" ht="15.75" customHeight="1" x14ac:dyDescent="0.25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</row>
    <row r="2241" spans="1:11" ht="15.75" customHeight="1" x14ac:dyDescent="0.25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</row>
    <row r="2242" spans="1:11" ht="15.75" customHeight="1" x14ac:dyDescent="0.25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</row>
    <row r="2243" spans="1:11" ht="15.75" customHeight="1" x14ac:dyDescent="0.25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</row>
    <row r="2244" spans="1:11" ht="15.75" customHeight="1" x14ac:dyDescent="0.25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</row>
    <row r="2245" spans="1:11" ht="15.75" customHeight="1" x14ac:dyDescent="0.25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</row>
    <row r="2246" spans="1:11" ht="15.75" customHeight="1" x14ac:dyDescent="0.25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</row>
    <row r="2247" spans="1:11" ht="15.75" customHeight="1" x14ac:dyDescent="0.25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</row>
    <row r="2248" spans="1:11" ht="15.75" customHeight="1" x14ac:dyDescent="0.25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</row>
    <row r="2249" spans="1:11" ht="15.75" customHeight="1" x14ac:dyDescent="0.25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</row>
    <row r="2250" spans="1:11" ht="15.75" customHeight="1" x14ac:dyDescent="0.25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</row>
    <row r="2251" spans="1:11" ht="15.75" customHeight="1" x14ac:dyDescent="0.25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</row>
    <row r="2252" spans="1:11" ht="15.75" customHeight="1" x14ac:dyDescent="0.25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</row>
    <row r="2253" spans="1:11" ht="15.75" customHeight="1" x14ac:dyDescent="0.25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</row>
    <row r="2254" spans="1:11" ht="15.75" customHeight="1" x14ac:dyDescent="0.25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</row>
    <row r="2255" spans="1:11" ht="15.75" customHeight="1" x14ac:dyDescent="0.25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</row>
    <row r="2256" spans="1:11" ht="15.75" customHeight="1" x14ac:dyDescent="0.25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</row>
    <row r="2257" spans="1:11" ht="15.75" customHeight="1" x14ac:dyDescent="0.25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</row>
    <row r="2258" spans="1:11" ht="15.75" customHeight="1" x14ac:dyDescent="0.25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</row>
    <row r="2259" spans="1:11" ht="15.75" customHeight="1" x14ac:dyDescent="0.25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</row>
    <row r="2260" spans="1:11" ht="15.75" customHeight="1" x14ac:dyDescent="0.25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</row>
    <row r="2261" spans="1:11" ht="15.75" customHeight="1" x14ac:dyDescent="0.25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</row>
    <row r="2262" spans="1:11" ht="15.75" customHeight="1" x14ac:dyDescent="0.25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</row>
    <row r="2263" spans="1:11" ht="15.75" customHeight="1" x14ac:dyDescent="0.25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</row>
    <row r="2264" spans="1:11" ht="15.75" customHeight="1" x14ac:dyDescent="0.25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</row>
    <row r="2265" spans="1:11" ht="15.75" customHeight="1" x14ac:dyDescent="0.25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</row>
    <row r="2266" spans="1:11" ht="15.75" customHeight="1" x14ac:dyDescent="0.25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</row>
    <row r="2267" spans="1:11" ht="15.75" customHeight="1" x14ac:dyDescent="0.25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</row>
    <row r="2268" spans="1:11" ht="15.75" customHeight="1" x14ac:dyDescent="0.25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</row>
    <row r="2269" spans="1:11" ht="15.75" customHeight="1" x14ac:dyDescent="0.25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</row>
    <row r="2270" spans="1:11" ht="15.75" customHeight="1" x14ac:dyDescent="0.25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</row>
    <row r="2271" spans="1:11" ht="15.75" customHeight="1" x14ac:dyDescent="0.25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</row>
    <row r="2272" spans="1:11" ht="15.75" customHeight="1" x14ac:dyDescent="0.25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</row>
    <row r="2273" spans="1:11" ht="15.75" customHeight="1" x14ac:dyDescent="0.25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</row>
    <row r="2274" spans="1:11" ht="15.75" customHeight="1" x14ac:dyDescent="0.25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</row>
    <row r="2275" spans="1:11" ht="15.75" customHeight="1" x14ac:dyDescent="0.25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</row>
    <row r="2276" spans="1:11" ht="15.75" customHeight="1" x14ac:dyDescent="0.25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</row>
    <row r="2277" spans="1:11" ht="15.75" customHeight="1" x14ac:dyDescent="0.25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</row>
    <row r="2278" spans="1:11" ht="15.75" customHeight="1" x14ac:dyDescent="0.25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</row>
    <row r="2279" spans="1:11" ht="15.75" customHeight="1" x14ac:dyDescent="0.25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</row>
    <row r="2280" spans="1:11" ht="15.75" customHeight="1" x14ac:dyDescent="0.25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</row>
    <row r="2281" spans="1:11" ht="15.75" customHeight="1" x14ac:dyDescent="0.25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</row>
    <row r="2282" spans="1:11" ht="15.75" customHeight="1" x14ac:dyDescent="0.25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</row>
    <row r="2283" spans="1:11" ht="15.75" customHeight="1" x14ac:dyDescent="0.25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</row>
    <row r="2284" spans="1:11" ht="15.75" customHeight="1" x14ac:dyDescent="0.25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</row>
    <row r="2285" spans="1:11" ht="15.75" customHeight="1" x14ac:dyDescent="0.25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</row>
    <row r="2286" spans="1:11" ht="15.75" customHeight="1" x14ac:dyDescent="0.25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</row>
    <row r="2287" spans="1:11" ht="15.75" customHeight="1" x14ac:dyDescent="0.25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</row>
    <row r="2288" spans="1:11" ht="15.75" customHeight="1" x14ac:dyDescent="0.25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</row>
    <row r="2289" spans="1:11" ht="15.75" customHeight="1" x14ac:dyDescent="0.25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</row>
    <row r="2290" spans="1:11" ht="15.75" customHeight="1" x14ac:dyDescent="0.25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</row>
    <row r="2291" spans="1:11" ht="15.75" customHeight="1" x14ac:dyDescent="0.25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</row>
    <row r="2292" spans="1:11" ht="15.75" customHeight="1" x14ac:dyDescent="0.25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</row>
    <row r="2293" spans="1:11" ht="15.75" customHeight="1" x14ac:dyDescent="0.25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</row>
    <row r="2294" spans="1:11" ht="15.75" customHeight="1" x14ac:dyDescent="0.25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</row>
    <row r="2295" spans="1:11" ht="15.75" customHeight="1" x14ac:dyDescent="0.25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</row>
    <row r="2296" spans="1:11" ht="15.75" customHeight="1" x14ac:dyDescent="0.25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</row>
    <row r="2297" spans="1:11" ht="15.75" customHeight="1" x14ac:dyDescent="0.25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</row>
    <row r="2298" spans="1:11" ht="15.75" customHeight="1" x14ac:dyDescent="0.25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</row>
    <row r="2299" spans="1:11" ht="15.75" customHeight="1" x14ac:dyDescent="0.25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</row>
    <row r="2300" spans="1:11" ht="15.75" customHeight="1" x14ac:dyDescent="0.25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</row>
    <row r="2301" spans="1:11" ht="15.75" customHeight="1" x14ac:dyDescent="0.25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</row>
    <row r="2302" spans="1:11" ht="15.75" customHeight="1" x14ac:dyDescent="0.25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</row>
    <row r="2303" spans="1:11" ht="15.75" customHeight="1" x14ac:dyDescent="0.25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</row>
    <row r="2304" spans="1:11" ht="15.75" customHeight="1" x14ac:dyDescent="0.25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</row>
    <row r="2305" spans="1:11" ht="15.75" customHeight="1" x14ac:dyDescent="0.25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</row>
    <row r="2306" spans="1:11" ht="15.75" customHeight="1" x14ac:dyDescent="0.25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</row>
    <row r="2307" spans="1:11" ht="15.75" customHeight="1" x14ac:dyDescent="0.25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</row>
    <row r="2308" spans="1:11" ht="15.75" customHeight="1" x14ac:dyDescent="0.25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</row>
    <row r="2309" spans="1:11" ht="15.75" customHeight="1" x14ac:dyDescent="0.25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</row>
    <row r="2310" spans="1:11" ht="15.75" customHeight="1" x14ac:dyDescent="0.25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</row>
    <row r="2311" spans="1:11" ht="15.75" customHeight="1" x14ac:dyDescent="0.25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</row>
    <row r="2312" spans="1:11" ht="15.75" customHeight="1" x14ac:dyDescent="0.25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</row>
    <row r="2313" spans="1:11" ht="15.75" customHeight="1" x14ac:dyDescent="0.25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</row>
    <row r="2314" spans="1:11" ht="15.75" customHeight="1" x14ac:dyDescent="0.25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</row>
    <row r="2315" spans="1:11" ht="15.75" customHeight="1" x14ac:dyDescent="0.25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</row>
    <row r="2316" spans="1:11" ht="15.75" customHeight="1" x14ac:dyDescent="0.25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</row>
    <row r="2317" spans="1:11" ht="15.75" customHeight="1" x14ac:dyDescent="0.25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</row>
    <row r="2318" spans="1:11" ht="15.75" customHeight="1" x14ac:dyDescent="0.25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</row>
    <row r="2319" spans="1:11" ht="15.75" customHeight="1" x14ac:dyDescent="0.25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</row>
    <row r="2320" spans="1:11" ht="15.75" customHeight="1" x14ac:dyDescent="0.25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</row>
    <row r="2321" spans="1:11" ht="15.75" customHeight="1" x14ac:dyDescent="0.25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</row>
    <row r="2322" spans="1:11" ht="15.75" customHeight="1" x14ac:dyDescent="0.25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</row>
    <row r="2323" spans="1:11" ht="15.75" customHeight="1" x14ac:dyDescent="0.25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</row>
    <row r="2324" spans="1:11" ht="15.75" customHeight="1" x14ac:dyDescent="0.25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</row>
    <row r="2325" spans="1:11" ht="15.75" customHeight="1" x14ac:dyDescent="0.25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</row>
    <row r="2326" spans="1:11" ht="15.75" customHeight="1" x14ac:dyDescent="0.25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</row>
    <row r="2327" spans="1:11" ht="15.75" customHeight="1" x14ac:dyDescent="0.25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</row>
    <row r="2328" spans="1:11" ht="15.75" customHeight="1" x14ac:dyDescent="0.25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</row>
    <row r="2329" spans="1:11" ht="15.75" customHeight="1" x14ac:dyDescent="0.25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</row>
    <row r="2330" spans="1:11" ht="15.75" customHeight="1" x14ac:dyDescent="0.25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</row>
    <row r="2331" spans="1:11" ht="15.75" customHeight="1" x14ac:dyDescent="0.25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</row>
    <row r="2332" spans="1:11" ht="15.75" customHeight="1" x14ac:dyDescent="0.25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</row>
    <row r="2333" spans="1:11" ht="15.75" customHeight="1" x14ac:dyDescent="0.25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</row>
    <row r="2334" spans="1:11" ht="15.75" customHeight="1" x14ac:dyDescent="0.25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</row>
    <row r="2335" spans="1:11" ht="15.75" customHeight="1" x14ac:dyDescent="0.25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</row>
    <row r="2336" spans="1:11" ht="15.75" customHeight="1" x14ac:dyDescent="0.25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</row>
    <row r="2337" spans="1:11" ht="15.75" customHeight="1" x14ac:dyDescent="0.25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</row>
    <row r="2338" spans="1:11" ht="15.75" customHeight="1" x14ac:dyDescent="0.25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</row>
    <row r="2339" spans="1:11" ht="15.75" customHeight="1" x14ac:dyDescent="0.25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</row>
    <row r="2340" spans="1:11" ht="15.75" customHeight="1" x14ac:dyDescent="0.25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</row>
    <row r="2341" spans="1:11" ht="15.75" customHeight="1" x14ac:dyDescent="0.25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</row>
    <row r="2342" spans="1:11" ht="15.75" customHeight="1" x14ac:dyDescent="0.25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</row>
    <row r="2343" spans="1:11" ht="15.75" customHeight="1" x14ac:dyDescent="0.25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</row>
    <row r="2344" spans="1:11" ht="15.75" customHeight="1" x14ac:dyDescent="0.25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</row>
    <row r="2345" spans="1:11" ht="15.75" customHeight="1" x14ac:dyDescent="0.25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</row>
    <row r="2346" spans="1:11" ht="15.75" customHeight="1" x14ac:dyDescent="0.25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</row>
    <row r="2347" spans="1:11" ht="15.75" customHeight="1" x14ac:dyDescent="0.25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</row>
    <row r="2348" spans="1:11" ht="15.75" customHeight="1" x14ac:dyDescent="0.25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</row>
    <row r="2349" spans="1:11" ht="15.75" customHeight="1" x14ac:dyDescent="0.25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</row>
    <row r="2350" spans="1:11" ht="15.75" customHeight="1" x14ac:dyDescent="0.25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</row>
    <row r="2351" spans="1:11" ht="15.75" customHeight="1" x14ac:dyDescent="0.25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</row>
    <row r="2352" spans="1:11" ht="15.75" customHeight="1" x14ac:dyDescent="0.25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</row>
    <row r="2353" spans="1:11" ht="15.75" customHeight="1" x14ac:dyDescent="0.25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</row>
    <row r="2354" spans="1:11" ht="15.75" customHeight="1" x14ac:dyDescent="0.25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</row>
    <row r="2355" spans="1:11" ht="15.75" customHeight="1" x14ac:dyDescent="0.25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</row>
    <row r="2356" spans="1:11" ht="15.75" customHeight="1" x14ac:dyDescent="0.25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</row>
    <row r="2357" spans="1:11" ht="15.75" customHeight="1" x14ac:dyDescent="0.25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</row>
    <row r="2358" spans="1:11" ht="15.75" customHeight="1" x14ac:dyDescent="0.25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</row>
    <row r="2359" spans="1:11" ht="15.75" customHeight="1" x14ac:dyDescent="0.25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</row>
    <row r="2360" spans="1:11" ht="15.75" customHeight="1" x14ac:dyDescent="0.25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</row>
    <row r="2361" spans="1:11" ht="15.75" customHeight="1" x14ac:dyDescent="0.25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</row>
    <row r="2362" spans="1:11" ht="15.75" customHeight="1" x14ac:dyDescent="0.25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</row>
    <row r="2363" spans="1:11" ht="15.75" customHeight="1" x14ac:dyDescent="0.25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</row>
    <row r="2364" spans="1:11" ht="15.75" customHeight="1" x14ac:dyDescent="0.25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</row>
    <row r="2365" spans="1:11" ht="15.75" customHeight="1" x14ac:dyDescent="0.25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</row>
    <row r="2366" spans="1:11" ht="15.75" customHeight="1" x14ac:dyDescent="0.25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</row>
    <row r="2367" spans="1:11" ht="15.75" customHeight="1" x14ac:dyDescent="0.25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</row>
    <row r="2368" spans="1:11" ht="15.75" customHeight="1" x14ac:dyDescent="0.25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</row>
    <row r="2369" spans="1:11" ht="15.75" customHeight="1" x14ac:dyDescent="0.25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</row>
    <row r="2370" spans="1:11" ht="15.75" customHeight="1" x14ac:dyDescent="0.25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</row>
    <row r="2371" spans="1:11" ht="15.75" customHeight="1" x14ac:dyDescent="0.25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</row>
    <row r="2372" spans="1:11" ht="15.75" customHeight="1" x14ac:dyDescent="0.25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</row>
    <row r="2373" spans="1:11" ht="15.75" customHeight="1" x14ac:dyDescent="0.25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</row>
    <row r="2374" spans="1:11" ht="15.75" customHeight="1" x14ac:dyDescent="0.25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</row>
    <row r="2375" spans="1:11" ht="15.75" customHeight="1" x14ac:dyDescent="0.25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</row>
    <row r="2376" spans="1:11" ht="15.75" customHeight="1" x14ac:dyDescent="0.25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</row>
    <row r="2377" spans="1:11" ht="15.75" customHeight="1" x14ac:dyDescent="0.25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</row>
    <row r="2378" spans="1:11" ht="15.75" customHeight="1" x14ac:dyDescent="0.25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</row>
    <row r="2379" spans="1:11" ht="15.75" customHeight="1" x14ac:dyDescent="0.25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</row>
    <row r="2380" spans="1:11" ht="15.75" customHeight="1" x14ac:dyDescent="0.25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</row>
    <row r="2381" spans="1:11" ht="15.75" customHeight="1" x14ac:dyDescent="0.25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</row>
    <row r="2382" spans="1:11" ht="15.75" customHeight="1" x14ac:dyDescent="0.25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</row>
    <row r="2383" spans="1:11" ht="15.75" customHeight="1" x14ac:dyDescent="0.25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</row>
    <row r="2384" spans="1:11" ht="15.75" customHeight="1" x14ac:dyDescent="0.25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</row>
    <row r="2385" spans="1:11" ht="15.75" customHeight="1" x14ac:dyDescent="0.25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</row>
    <row r="2386" spans="1:11" ht="15.75" customHeight="1" x14ac:dyDescent="0.25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</row>
    <row r="2387" spans="1:11" ht="15.75" customHeight="1" x14ac:dyDescent="0.25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</row>
    <row r="2388" spans="1:11" ht="15.75" customHeight="1" x14ac:dyDescent="0.25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</row>
    <row r="2389" spans="1:11" ht="15.75" customHeight="1" x14ac:dyDescent="0.25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</row>
    <row r="2390" spans="1:11" ht="15.75" customHeight="1" x14ac:dyDescent="0.25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</row>
    <row r="2391" spans="1:11" ht="15.75" customHeight="1" x14ac:dyDescent="0.25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</row>
    <row r="2392" spans="1:11" ht="15.75" customHeight="1" x14ac:dyDescent="0.25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</row>
    <row r="2393" spans="1:11" ht="15.75" customHeight="1" x14ac:dyDescent="0.25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</row>
    <row r="2394" spans="1:11" ht="15.75" customHeight="1" x14ac:dyDescent="0.25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</row>
    <row r="2395" spans="1:11" ht="15.75" customHeight="1" x14ac:dyDescent="0.25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</row>
    <row r="2396" spans="1:11" ht="15.75" customHeight="1" x14ac:dyDescent="0.25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</row>
    <row r="2397" spans="1:11" ht="15.75" customHeight="1" x14ac:dyDescent="0.25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</row>
    <row r="2398" spans="1:11" ht="15.75" customHeight="1" x14ac:dyDescent="0.25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</row>
    <row r="2399" spans="1:11" ht="15.75" customHeight="1" x14ac:dyDescent="0.25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</row>
    <row r="2400" spans="1:11" ht="15.75" customHeight="1" x14ac:dyDescent="0.25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</row>
    <row r="2401" spans="1:11" ht="15.75" customHeight="1" x14ac:dyDescent="0.25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</row>
    <row r="2402" spans="1:11" ht="15.75" customHeight="1" x14ac:dyDescent="0.25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</row>
    <row r="2403" spans="1:11" ht="15.75" customHeight="1" x14ac:dyDescent="0.25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</row>
    <row r="2404" spans="1:11" ht="15.75" customHeight="1" x14ac:dyDescent="0.25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</row>
    <row r="2405" spans="1:11" ht="15.75" customHeight="1" x14ac:dyDescent="0.25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</row>
    <row r="2406" spans="1:11" ht="15.75" customHeight="1" x14ac:dyDescent="0.25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</row>
    <row r="2407" spans="1:11" ht="15.75" customHeight="1" x14ac:dyDescent="0.25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</row>
    <row r="2408" spans="1:11" ht="15.75" customHeight="1" x14ac:dyDescent="0.25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</row>
    <row r="2409" spans="1:11" ht="15.75" customHeight="1" x14ac:dyDescent="0.25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</row>
    <row r="2410" spans="1:11" ht="15.75" customHeight="1" x14ac:dyDescent="0.25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</row>
    <row r="2411" spans="1:11" ht="15.75" customHeight="1" x14ac:dyDescent="0.25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</row>
    <row r="2412" spans="1:11" ht="15.75" customHeight="1" x14ac:dyDescent="0.25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</row>
    <row r="2413" spans="1:11" ht="15.75" customHeight="1" x14ac:dyDescent="0.25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</row>
    <row r="2414" spans="1:11" ht="15.75" customHeight="1" x14ac:dyDescent="0.25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</row>
    <row r="2415" spans="1:11" ht="15.75" customHeight="1" x14ac:dyDescent="0.25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</row>
    <row r="2416" spans="1:11" ht="15.75" customHeight="1" x14ac:dyDescent="0.25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</row>
    <row r="2417" spans="1:11" ht="15.75" customHeight="1" x14ac:dyDescent="0.25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</row>
    <row r="2418" spans="1:11" ht="15.75" customHeight="1" x14ac:dyDescent="0.25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</row>
    <row r="2419" spans="1:11" ht="15.75" customHeight="1" x14ac:dyDescent="0.25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</row>
    <row r="2420" spans="1:11" ht="15.75" customHeight="1" x14ac:dyDescent="0.25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</row>
    <row r="2421" spans="1:11" ht="15.75" customHeight="1" x14ac:dyDescent="0.25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</row>
    <row r="2422" spans="1:11" ht="15.75" customHeight="1" x14ac:dyDescent="0.25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</row>
    <row r="2423" spans="1:11" ht="15.75" customHeight="1" x14ac:dyDescent="0.25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</row>
    <row r="2424" spans="1:11" ht="15.75" customHeight="1" x14ac:dyDescent="0.25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</row>
    <row r="2425" spans="1:11" ht="15.75" customHeight="1" x14ac:dyDescent="0.25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</row>
    <row r="2426" spans="1:11" ht="15.75" customHeight="1" x14ac:dyDescent="0.25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</row>
    <row r="2427" spans="1:11" ht="15.75" customHeight="1" x14ac:dyDescent="0.25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</row>
    <row r="2428" spans="1:11" ht="15.75" customHeight="1" x14ac:dyDescent="0.25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</row>
    <row r="2429" spans="1:11" ht="15.75" customHeight="1" x14ac:dyDescent="0.25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</row>
    <row r="2430" spans="1:11" ht="15.75" customHeight="1" x14ac:dyDescent="0.25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</row>
    <row r="2431" spans="1:11" ht="15.75" customHeight="1" x14ac:dyDescent="0.25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</row>
    <row r="2432" spans="1:11" ht="15.75" customHeight="1" x14ac:dyDescent="0.25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</row>
    <row r="2433" spans="1:11" ht="15.75" customHeight="1" x14ac:dyDescent="0.25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</row>
    <row r="2434" spans="1:11" ht="15.75" customHeight="1" x14ac:dyDescent="0.25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</row>
    <row r="2435" spans="1:11" ht="15.75" customHeight="1" x14ac:dyDescent="0.25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</row>
    <row r="2436" spans="1:11" ht="15.75" customHeight="1" x14ac:dyDescent="0.25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</row>
    <row r="2437" spans="1:11" ht="15.75" customHeight="1" x14ac:dyDescent="0.25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</row>
    <row r="2438" spans="1:11" ht="15.75" customHeight="1" x14ac:dyDescent="0.25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</row>
    <row r="2439" spans="1:11" ht="15.75" customHeight="1" x14ac:dyDescent="0.25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</row>
    <row r="2440" spans="1:11" ht="15.75" customHeight="1" x14ac:dyDescent="0.25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</row>
    <row r="2441" spans="1:11" ht="15.75" customHeight="1" x14ac:dyDescent="0.25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</row>
    <row r="2442" spans="1:11" ht="15.75" customHeight="1" x14ac:dyDescent="0.25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</row>
    <row r="2443" spans="1:11" ht="15.75" customHeight="1" x14ac:dyDescent="0.25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</row>
    <row r="2444" spans="1:11" ht="15.75" customHeight="1" x14ac:dyDescent="0.25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</row>
    <row r="2445" spans="1:11" ht="15.75" customHeight="1" x14ac:dyDescent="0.25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</row>
    <row r="2446" spans="1:11" ht="15.75" customHeight="1" x14ac:dyDescent="0.25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</row>
    <row r="2447" spans="1:11" ht="15.75" customHeight="1" x14ac:dyDescent="0.25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</row>
    <row r="2448" spans="1:11" ht="15.75" customHeight="1" x14ac:dyDescent="0.25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</row>
    <row r="2449" spans="1:11" ht="15.75" customHeight="1" x14ac:dyDescent="0.25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</row>
    <row r="2450" spans="1:11" ht="15.75" customHeight="1" x14ac:dyDescent="0.25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</row>
    <row r="2451" spans="1:11" ht="15.75" customHeight="1" x14ac:dyDescent="0.25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</row>
    <row r="2452" spans="1:11" ht="15.75" customHeight="1" x14ac:dyDescent="0.25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</row>
    <row r="2453" spans="1:11" ht="15.75" customHeight="1" x14ac:dyDescent="0.25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</row>
    <row r="2454" spans="1:11" ht="15.75" customHeight="1" x14ac:dyDescent="0.25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</row>
    <row r="2455" spans="1:11" ht="15.75" customHeight="1" x14ac:dyDescent="0.25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</row>
    <row r="2456" spans="1:11" ht="15.75" customHeight="1" x14ac:dyDescent="0.25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</row>
    <row r="2457" spans="1:11" ht="15.75" customHeight="1" x14ac:dyDescent="0.25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</row>
    <row r="2458" spans="1:11" ht="15.75" customHeight="1" x14ac:dyDescent="0.25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</row>
    <row r="2459" spans="1:11" ht="15.75" customHeight="1" x14ac:dyDescent="0.25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</row>
    <row r="2460" spans="1:11" ht="15.75" customHeight="1" x14ac:dyDescent="0.25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</row>
    <row r="2461" spans="1:11" ht="15.75" customHeight="1" x14ac:dyDescent="0.25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</row>
    <row r="2462" spans="1:11" ht="15.75" customHeight="1" x14ac:dyDescent="0.25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</row>
    <row r="2463" spans="1:11" ht="15.75" customHeight="1" x14ac:dyDescent="0.25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</row>
    <row r="2464" spans="1:11" ht="15.75" customHeight="1" x14ac:dyDescent="0.25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</row>
    <row r="2465" spans="1:11" ht="15.75" customHeight="1" x14ac:dyDescent="0.25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</row>
    <row r="2466" spans="1:11" ht="15.75" customHeight="1" x14ac:dyDescent="0.25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</row>
    <row r="2467" spans="1:11" ht="15.75" customHeight="1" x14ac:dyDescent="0.25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</row>
    <row r="2468" spans="1:11" ht="15.75" customHeight="1" x14ac:dyDescent="0.25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</row>
    <row r="2469" spans="1:11" ht="15.75" customHeight="1" x14ac:dyDescent="0.25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</row>
    <row r="2470" spans="1:11" ht="15.75" customHeight="1" x14ac:dyDescent="0.25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</row>
    <row r="2471" spans="1:11" ht="15.75" customHeight="1" x14ac:dyDescent="0.25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</row>
    <row r="2472" spans="1:11" ht="15.75" customHeight="1" x14ac:dyDescent="0.25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</row>
    <row r="2473" spans="1:11" ht="15.75" customHeight="1" x14ac:dyDescent="0.25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</row>
    <row r="2474" spans="1:11" ht="15.75" customHeight="1" x14ac:dyDescent="0.25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</row>
    <row r="2475" spans="1:11" ht="15.75" customHeight="1" x14ac:dyDescent="0.25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</row>
    <row r="2476" spans="1:11" ht="15.75" customHeight="1" x14ac:dyDescent="0.25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</row>
    <row r="2477" spans="1:11" ht="15.75" customHeight="1" x14ac:dyDescent="0.25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</row>
    <row r="2478" spans="1:11" ht="15.75" customHeight="1" x14ac:dyDescent="0.25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</row>
    <row r="2479" spans="1:11" ht="15.75" customHeight="1" x14ac:dyDescent="0.25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</row>
    <row r="2480" spans="1:11" ht="15.75" customHeight="1" x14ac:dyDescent="0.25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</row>
    <row r="2481" spans="1:11" ht="15.75" customHeight="1" x14ac:dyDescent="0.25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</row>
    <row r="2482" spans="1:11" ht="15.75" customHeight="1" x14ac:dyDescent="0.25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</row>
    <row r="2483" spans="1:11" ht="15.75" customHeight="1" x14ac:dyDescent="0.25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</row>
    <row r="2484" spans="1:11" ht="15.75" customHeight="1" x14ac:dyDescent="0.25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</row>
    <row r="2485" spans="1:11" ht="15.75" customHeight="1" x14ac:dyDescent="0.25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</row>
    <row r="2486" spans="1:11" ht="15.75" customHeight="1" x14ac:dyDescent="0.25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</row>
    <row r="2487" spans="1:11" ht="15.75" customHeight="1" x14ac:dyDescent="0.25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</row>
    <row r="2488" spans="1:11" ht="15.75" customHeight="1" x14ac:dyDescent="0.25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</row>
    <row r="2489" spans="1:11" ht="15.75" customHeight="1" x14ac:dyDescent="0.25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</row>
    <row r="2490" spans="1:11" ht="15.75" customHeight="1" x14ac:dyDescent="0.25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</row>
    <row r="2491" spans="1:11" ht="15.75" customHeight="1" x14ac:dyDescent="0.25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</row>
    <row r="2492" spans="1:11" ht="15.75" customHeight="1" x14ac:dyDescent="0.25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</row>
    <row r="2493" spans="1:11" ht="15.75" customHeight="1" x14ac:dyDescent="0.25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</row>
    <row r="2494" spans="1:11" ht="15.75" customHeight="1" x14ac:dyDescent="0.25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</row>
    <row r="2495" spans="1:11" ht="15.75" customHeight="1" x14ac:dyDescent="0.25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</row>
    <row r="2496" spans="1:11" ht="15.75" customHeight="1" x14ac:dyDescent="0.25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</row>
    <row r="2497" spans="1:11" ht="15.75" customHeight="1" x14ac:dyDescent="0.25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</row>
    <row r="2498" spans="1:11" ht="15.75" customHeight="1" x14ac:dyDescent="0.25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</row>
    <row r="2499" spans="1:11" ht="15.75" customHeight="1" x14ac:dyDescent="0.25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</row>
    <row r="2500" spans="1:11" ht="15.75" customHeight="1" x14ac:dyDescent="0.25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</row>
    <row r="2501" spans="1:11" ht="15.75" customHeight="1" x14ac:dyDescent="0.25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</row>
    <row r="2502" spans="1:11" ht="15.75" customHeight="1" x14ac:dyDescent="0.25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</row>
    <row r="2503" spans="1:11" ht="15.75" customHeight="1" x14ac:dyDescent="0.25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</row>
    <row r="2504" spans="1:11" ht="15.75" customHeight="1" x14ac:dyDescent="0.25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</row>
    <row r="2505" spans="1:11" ht="15.75" customHeight="1" x14ac:dyDescent="0.25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</row>
    <row r="2506" spans="1:11" ht="15.75" customHeight="1" x14ac:dyDescent="0.25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</row>
    <row r="2507" spans="1:11" ht="15.75" customHeight="1" x14ac:dyDescent="0.25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</row>
    <row r="2508" spans="1:11" ht="15.75" customHeight="1" x14ac:dyDescent="0.25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</row>
    <row r="2509" spans="1:11" ht="15.75" customHeight="1" x14ac:dyDescent="0.25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</row>
    <row r="2510" spans="1:11" ht="15.75" customHeight="1" x14ac:dyDescent="0.25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</row>
    <row r="2511" spans="1:11" ht="15.75" customHeight="1" x14ac:dyDescent="0.25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</row>
    <row r="2512" spans="1:11" ht="15.75" customHeight="1" x14ac:dyDescent="0.25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</row>
    <row r="2513" spans="1:11" ht="15.75" customHeight="1" x14ac:dyDescent="0.25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</row>
    <row r="2514" spans="1:11" ht="15.75" customHeight="1" x14ac:dyDescent="0.25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</row>
    <row r="2515" spans="1:11" ht="15.75" customHeight="1" x14ac:dyDescent="0.25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</row>
    <row r="2516" spans="1:11" ht="15.75" customHeight="1" x14ac:dyDescent="0.25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</row>
    <row r="2517" spans="1:11" ht="15.75" customHeight="1" x14ac:dyDescent="0.25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</row>
    <row r="2518" spans="1:11" ht="15.75" customHeight="1" x14ac:dyDescent="0.25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</row>
    <row r="2519" spans="1:11" ht="15.75" customHeight="1" x14ac:dyDescent="0.25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</row>
    <row r="2520" spans="1:11" ht="15.75" customHeight="1" x14ac:dyDescent="0.25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</row>
    <row r="2521" spans="1:11" ht="15.75" customHeight="1" x14ac:dyDescent="0.25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</row>
    <row r="2522" spans="1:11" ht="15.75" customHeight="1" x14ac:dyDescent="0.25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</row>
    <row r="2523" spans="1:11" ht="15.75" customHeight="1" x14ac:dyDescent="0.25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</row>
    <row r="2524" spans="1:11" ht="15.75" customHeight="1" x14ac:dyDescent="0.25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</row>
    <row r="2525" spans="1:11" ht="15.75" customHeight="1" x14ac:dyDescent="0.25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</row>
    <row r="2526" spans="1:11" ht="15.75" customHeight="1" x14ac:dyDescent="0.25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</row>
    <row r="2527" spans="1:11" ht="15.75" customHeight="1" x14ac:dyDescent="0.25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</row>
    <row r="2528" spans="1:11" ht="15.75" customHeight="1" x14ac:dyDescent="0.25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</row>
    <row r="2529" spans="1:11" ht="15.75" customHeight="1" x14ac:dyDescent="0.25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</row>
    <row r="2530" spans="1:11" ht="15.75" customHeight="1" x14ac:dyDescent="0.25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</row>
    <row r="2531" spans="1:11" ht="15.75" customHeight="1" x14ac:dyDescent="0.25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</row>
    <row r="2532" spans="1:11" ht="15.75" customHeight="1" x14ac:dyDescent="0.25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</row>
    <row r="2533" spans="1:11" ht="15.75" customHeight="1" x14ac:dyDescent="0.25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</row>
    <row r="2534" spans="1:11" ht="15.75" customHeight="1" x14ac:dyDescent="0.25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</row>
    <row r="2535" spans="1:11" ht="15.75" customHeight="1" x14ac:dyDescent="0.25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</row>
    <row r="2536" spans="1:11" ht="15.75" customHeight="1" x14ac:dyDescent="0.25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</row>
    <row r="2537" spans="1:11" ht="15.75" customHeight="1" x14ac:dyDescent="0.25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</row>
    <row r="2538" spans="1:11" ht="15.75" customHeight="1" x14ac:dyDescent="0.25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</row>
    <row r="2539" spans="1:11" ht="15.75" customHeight="1" x14ac:dyDescent="0.25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</row>
    <row r="2540" spans="1:11" ht="15.75" customHeight="1" x14ac:dyDescent="0.25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</row>
    <row r="2541" spans="1:11" ht="15.75" customHeight="1" x14ac:dyDescent="0.25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</row>
    <row r="2542" spans="1:11" ht="15.75" customHeight="1" x14ac:dyDescent="0.25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</row>
    <row r="2543" spans="1:11" ht="15.75" customHeight="1" x14ac:dyDescent="0.25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</row>
    <row r="2544" spans="1:11" ht="15.75" customHeight="1" x14ac:dyDescent="0.25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</row>
    <row r="2545" spans="1:11" ht="15.75" customHeight="1" x14ac:dyDescent="0.25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</row>
    <row r="2546" spans="1:11" ht="15.75" customHeight="1" x14ac:dyDescent="0.25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</row>
    <row r="2547" spans="1:11" ht="15.75" customHeight="1" x14ac:dyDescent="0.25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</row>
    <row r="2548" spans="1:11" ht="15.75" customHeight="1" x14ac:dyDescent="0.25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</row>
    <row r="2549" spans="1:11" ht="15.75" customHeight="1" x14ac:dyDescent="0.25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</row>
    <row r="2550" spans="1:11" ht="15.75" customHeight="1" x14ac:dyDescent="0.25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</row>
    <row r="2551" spans="1:11" ht="15.75" customHeight="1" x14ac:dyDescent="0.25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</row>
    <row r="2552" spans="1:11" ht="15.75" customHeight="1" x14ac:dyDescent="0.25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</row>
    <row r="2553" spans="1:11" ht="15.75" customHeight="1" x14ac:dyDescent="0.25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</row>
    <row r="2554" spans="1:11" ht="15.75" customHeight="1" x14ac:dyDescent="0.25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</row>
    <row r="2555" spans="1:11" ht="15.75" customHeight="1" x14ac:dyDescent="0.25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</row>
    <row r="2556" spans="1:11" ht="15.75" customHeight="1" x14ac:dyDescent="0.25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</row>
    <row r="2557" spans="1:11" ht="15.75" customHeight="1" x14ac:dyDescent="0.25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</row>
    <row r="2558" spans="1:11" ht="15.75" customHeight="1" x14ac:dyDescent="0.25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</row>
    <row r="2559" spans="1:11" ht="15.75" customHeight="1" x14ac:dyDescent="0.25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</row>
    <row r="2560" spans="1:11" ht="15.75" customHeight="1" x14ac:dyDescent="0.25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</row>
    <row r="2561" spans="1:11" ht="15.75" customHeight="1" x14ac:dyDescent="0.25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</row>
    <row r="2562" spans="1:11" ht="15.75" customHeight="1" x14ac:dyDescent="0.25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</row>
    <row r="2563" spans="1:11" ht="15.75" customHeight="1" x14ac:dyDescent="0.25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</row>
    <row r="2564" spans="1:11" ht="15.75" customHeight="1" x14ac:dyDescent="0.25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</row>
    <row r="2565" spans="1:11" ht="15.75" customHeight="1" x14ac:dyDescent="0.25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</row>
    <row r="2566" spans="1:11" ht="15.75" customHeight="1" x14ac:dyDescent="0.25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</row>
    <row r="2567" spans="1:11" ht="15.75" customHeight="1" x14ac:dyDescent="0.25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</row>
    <row r="2568" spans="1:11" ht="15.75" customHeight="1" x14ac:dyDescent="0.25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</row>
    <row r="2569" spans="1:11" ht="15.75" customHeight="1" x14ac:dyDescent="0.25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</row>
    <row r="2570" spans="1:11" ht="15.75" customHeight="1" x14ac:dyDescent="0.25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</row>
    <row r="2571" spans="1:11" ht="15.75" customHeight="1" x14ac:dyDescent="0.25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</row>
    <row r="2572" spans="1:11" ht="15.75" customHeight="1" x14ac:dyDescent="0.25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</row>
    <row r="2573" spans="1:11" ht="15.75" customHeight="1" x14ac:dyDescent="0.25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</row>
    <row r="2574" spans="1:11" ht="15.75" customHeight="1" x14ac:dyDescent="0.25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</row>
    <row r="2575" spans="1:11" ht="15.75" customHeight="1" x14ac:dyDescent="0.25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</row>
    <row r="2576" spans="1:11" ht="15.75" customHeight="1" x14ac:dyDescent="0.25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</row>
    <row r="2577" spans="1:11" ht="15.75" customHeight="1" x14ac:dyDescent="0.25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</row>
    <row r="2578" spans="1:11" ht="15.75" customHeight="1" x14ac:dyDescent="0.25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</row>
    <row r="2579" spans="1:11" ht="15.75" customHeight="1" x14ac:dyDescent="0.25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</row>
    <row r="2580" spans="1:11" ht="15.75" customHeight="1" x14ac:dyDescent="0.25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</row>
    <row r="2581" spans="1:11" ht="15.75" customHeight="1" x14ac:dyDescent="0.25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</row>
    <row r="2582" spans="1:11" ht="15.75" customHeight="1" x14ac:dyDescent="0.25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</row>
    <row r="2583" spans="1:11" ht="15.75" customHeight="1" x14ac:dyDescent="0.25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</row>
    <row r="2584" spans="1:11" ht="15.75" customHeight="1" x14ac:dyDescent="0.25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</row>
    <row r="2585" spans="1:11" ht="15.75" customHeight="1" x14ac:dyDescent="0.25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</row>
    <row r="2586" spans="1:11" ht="15.75" customHeight="1" x14ac:dyDescent="0.25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</row>
    <row r="2587" spans="1:11" ht="15.75" customHeight="1" x14ac:dyDescent="0.25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</row>
    <row r="2588" spans="1:11" ht="15.75" customHeight="1" x14ac:dyDescent="0.25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</row>
    <row r="2589" spans="1:11" ht="15.75" customHeight="1" x14ac:dyDescent="0.25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</row>
    <row r="2590" spans="1:11" ht="15.75" customHeight="1" x14ac:dyDescent="0.25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</row>
    <row r="2591" spans="1:11" ht="15.75" customHeight="1" x14ac:dyDescent="0.25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</row>
    <row r="2592" spans="1:11" ht="15.75" customHeight="1" x14ac:dyDescent="0.25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</row>
    <row r="2593" spans="1:11" ht="15.75" customHeight="1" x14ac:dyDescent="0.25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</row>
    <row r="2594" spans="1:11" ht="15.75" customHeight="1" x14ac:dyDescent="0.25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</row>
    <row r="2595" spans="1:11" ht="15.75" customHeight="1" x14ac:dyDescent="0.25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</row>
    <row r="2596" spans="1:11" ht="15.75" customHeight="1" x14ac:dyDescent="0.25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</row>
    <row r="2597" spans="1:11" ht="15.75" customHeight="1" x14ac:dyDescent="0.25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</row>
    <row r="2598" spans="1:11" ht="15.75" customHeight="1" x14ac:dyDescent="0.25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</row>
    <row r="2599" spans="1:11" ht="15.75" customHeight="1" x14ac:dyDescent="0.25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</row>
    <row r="2600" spans="1:11" ht="15.75" customHeight="1" x14ac:dyDescent="0.25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</row>
    <row r="2601" spans="1:11" ht="15.75" customHeight="1" x14ac:dyDescent="0.25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</row>
    <row r="2602" spans="1:11" ht="15.75" customHeight="1" x14ac:dyDescent="0.25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</row>
    <row r="2603" spans="1:11" ht="15.75" customHeight="1" x14ac:dyDescent="0.25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</row>
    <row r="2604" spans="1:11" ht="15.75" customHeight="1" x14ac:dyDescent="0.25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</row>
    <row r="2605" spans="1:11" ht="15.75" customHeight="1" x14ac:dyDescent="0.25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</row>
    <row r="2606" spans="1:11" ht="15.75" customHeight="1" x14ac:dyDescent="0.25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</row>
    <row r="2607" spans="1:11" ht="15.75" customHeight="1" x14ac:dyDescent="0.25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</row>
    <row r="2608" spans="1:11" ht="15.75" customHeight="1" x14ac:dyDescent="0.25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</row>
    <row r="2609" spans="1:11" ht="15.75" customHeight="1" x14ac:dyDescent="0.25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</row>
    <row r="2610" spans="1:11" ht="15.75" customHeight="1" x14ac:dyDescent="0.25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</row>
    <row r="2611" spans="1:11" ht="15.75" customHeight="1" x14ac:dyDescent="0.25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</row>
    <row r="2612" spans="1:11" ht="15.75" customHeight="1" x14ac:dyDescent="0.25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</row>
    <row r="2613" spans="1:11" ht="15.75" customHeight="1" x14ac:dyDescent="0.25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</row>
    <row r="2614" spans="1:11" ht="15.75" customHeight="1" x14ac:dyDescent="0.25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</row>
    <row r="2615" spans="1:11" ht="15.75" customHeight="1" x14ac:dyDescent="0.25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</row>
    <row r="2616" spans="1:11" ht="15.75" customHeight="1" x14ac:dyDescent="0.25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</row>
    <row r="2617" spans="1:11" ht="15.75" customHeight="1" x14ac:dyDescent="0.25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</row>
    <row r="2618" spans="1:11" ht="15.75" customHeight="1" x14ac:dyDescent="0.25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</row>
    <row r="2619" spans="1:11" ht="15.75" customHeight="1" x14ac:dyDescent="0.25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</row>
    <row r="2620" spans="1:11" ht="15.75" customHeight="1" x14ac:dyDescent="0.25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</row>
    <row r="2621" spans="1:11" ht="15.75" customHeight="1" x14ac:dyDescent="0.25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</row>
    <row r="2622" spans="1:11" ht="15.75" customHeight="1" x14ac:dyDescent="0.25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</row>
    <row r="2623" spans="1:11" ht="15.75" customHeight="1" x14ac:dyDescent="0.25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</row>
    <row r="2624" spans="1:11" ht="15.75" customHeight="1" x14ac:dyDescent="0.25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</row>
    <row r="2625" spans="1:11" ht="15.75" customHeight="1" x14ac:dyDescent="0.25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</row>
    <row r="2626" spans="1:11" ht="15.75" customHeight="1" x14ac:dyDescent="0.25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</row>
    <row r="2627" spans="1:11" ht="15.75" customHeight="1" x14ac:dyDescent="0.25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</row>
    <row r="2628" spans="1:11" ht="15.75" customHeight="1" x14ac:dyDescent="0.25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</row>
    <row r="2629" spans="1:11" ht="15.75" customHeight="1" x14ac:dyDescent="0.25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</row>
    <row r="2630" spans="1:11" ht="15.75" customHeight="1" x14ac:dyDescent="0.25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</row>
    <row r="2631" spans="1:11" ht="15.75" customHeight="1" x14ac:dyDescent="0.25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</row>
    <row r="2632" spans="1:11" ht="15.75" customHeight="1" x14ac:dyDescent="0.25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</row>
    <row r="2633" spans="1:11" ht="15.75" customHeight="1" x14ac:dyDescent="0.25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</row>
    <row r="2634" spans="1:11" ht="15.75" customHeight="1" x14ac:dyDescent="0.25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</row>
    <row r="2635" spans="1:11" ht="15.75" customHeight="1" x14ac:dyDescent="0.25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</row>
    <row r="2636" spans="1:11" ht="15.75" customHeight="1" x14ac:dyDescent="0.25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</row>
    <row r="2637" spans="1:11" ht="15.75" customHeight="1" x14ac:dyDescent="0.25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</row>
    <row r="2638" spans="1:11" ht="15.75" customHeight="1" x14ac:dyDescent="0.25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</row>
    <row r="2639" spans="1:11" ht="15.75" customHeight="1" x14ac:dyDescent="0.25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</row>
    <row r="2640" spans="1:11" ht="15.75" customHeight="1" x14ac:dyDescent="0.25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</row>
    <row r="2641" spans="1:11" ht="15.75" customHeight="1" x14ac:dyDescent="0.25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</row>
    <row r="2642" spans="1:11" ht="15.75" customHeight="1" x14ac:dyDescent="0.25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</row>
    <row r="2643" spans="1:11" ht="15.75" customHeight="1" x14ac:dyDescent="0.25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</row>
    <row r="2644" spans="1:11" ht="15.75" customHeight="1" x14ac:dyDescent="0.25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</row>
    <row r="2645" spans="1:11" ht="15.75" customHeight="1" x14ac:dyDescent="0.25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</row>
    <row r="2646" spans="1:11" ht="15.75" customHeight="1" x14ac:dyDescent="0.25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</row>
    <row r="2647" spans="1:11" ht="15.75" customHeight="1" x14ac:dyDescent="0.25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</row>
    <row r="2648" spans="1:11" ht="15.75" customHeight="1" x14ac:dyDescent="0.25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</row>
    <row r="2649" spans="1:11" ht="15.75" customHeight="1" x14ac:dyDescent="0.25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</row>
    <row r="2650" spans="1:11" ht="15.75" customHeight="1" x14ac:dyDescent="0.25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</row>
    <row r="2651" spans="1:11" ht="15.75" customHeight="1" x14ac:dyDescent="0.25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</row>
    <row r="2652" spans="1:11" ht="15.75" customHeight="1" x14ac:dyDescent="0.25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</row>
    <row r="2653" spans="1:11" ht="15.75" customHeight="1" x14ac:dyDescent="0.25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</row>
    <row r="2654" spans="1:11" ht="15.75" customHeight="1" x14ac:dyDescent="0.25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</row>
    <row r="2655" spans="1:11" ht="15.75" customHeight="1" x14ac:dyDescent="0.25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</row>
    <row r="2656" spans="1:11" ht="15.75" customHeight="1" x14ac:dyDescent="0.25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</row>
    <row r="2657" spans="1:11" ht="15.75" customHeight="1" x14ac:dyDescent="0.25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</row>
    <row r="2658" spans="1:11" ht="15.75" customHeight="1" x14ac:dyDescent="0.25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</row>
    <row r="2659" spans="1:11" ht="15.75" customHeight="1" x14ac:dyDescent="0.25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</row>
    <row r="2660" spans="1:11" ht="15.75" customHeight="1" x14ac:dyDescent="0.25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</row>
    <row r="2661" spans="1:11" ht="15.75" customHeight="1" x14ac:dyDescent="0.25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</row>
    <row r="2662" spans="1:11" ht="15.75" customHeight="1" x14ac:dyDescent="0.25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</row>
    <row r="2663" spans="1:11" ht="15.75" customHeight="1" x14ac:dyDescent="0.25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</row>
    <row r="2664" spans="1:11" ht="15.75" customHeight="1" x14ac:dyDescent="0.25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</row>
    <row r="2665" spans="1:11" ht="15.75" customHeight="1" x14ac:dyDescent="0.25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</row>
    <row r="2666" spans="1:11" ht="15.75" customHeight="1" x14ac:dyDescent="0.25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</row>
    <row r="2667" spans="1:11" ht="15.75" customHeight="1" x14ac:dyDescent="0.25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</row>
    <row r="2668" spans="1:11" ht="15.75" customHeight="1" x14ac:dyDescent="0.25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</row>
    <row r="2669" spans="1:11" ht="15.75" customHeight="1" x14ac:dyDescent="0.25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</row>
    <row r="2670" spans="1:11" ht="15.75" customHeight="1" x14ac:dyDescent="0.25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</row>
    <row r="2671" spans="1:11" ht="15.75" customHeight="1" x14ac:dyDescent="0.25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</row>
    <row r="2672" spans="1:11" ht="15.75" customHeight="1" x14ac:dyDescent="0.25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</row>
    <row r="2673" spans="1:11" ht="15.75" customHeight="1" x14ac:dyDescent="0.25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</row>
    <row r="2674" spans="1:11" ht="15.75" customHeight="1" x14ac:dyDescent="0.25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</row>
    <row r="2675" spans="1:11" ht="15.75" customHeight="1" x14ac:dyDescent="0.25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</row>
    <row r="2676" spans="1:11" ht="15.75" customHeight="1" x14ac:dyDescent="0.25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</row>
    <row r="2677" spans="1:11" ht="15.75" customHeight="1" x14ac:dyDescent="0.25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</row>
    <row r="2678" spans="1:11" ht="15.75" customHeight="1" x14ac:dyDescent="0.25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</row>
    <row r="2679" spans="1:11" ht="15.75" customHeight="1" x14ac:dyDescent="0.25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</row>
    <row r="2680" spans="1:11" ht="15.75" customHeight="1" x14ac:dyDescent="0.25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</row>
    <row r="2681" spans="1:11" ht="15.75" customHeight="1" x14ac:dyDescent="0.25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</row>
    <row r="2682" spans="1:11" ht="15.75" customHeight="1" x14ac:dyDescent="0.25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</row>
    <row r="2683" spans="1:11" ht="15.75" customHeight="1" x14ac:dyDescent="0.25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</row>
    <row r="2684" spans="1:11" ht="15.75" customHeight="1" x14ac:dyDescent="0.25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</row>
    <row r="2685" spans="1:11" ht="15.75" customHeight="1" x14ac:dyDescent="0.25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</row>
    <row r="2686" spans="1:11" ht="15.75" customHeight="1" x14ac:dyDescent="0.25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</row>
    <row r="2687" spans="1:11" ht="15.75" customHeight="1" x14ac:dyDescent="0.25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</row>
    <row r="2688" spans="1:11" ht="15.75" customHeight="1" x14ac:dyDescent="0.25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</row>
    <row r="2689" spans="1:11" ht="15.75" customHeight="1" x14ac:dyDescent="0.25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</row>
    <row r="2690" spans="1:11" ht="15.75" customHeight="1" x14ac:dyDescent="0.25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</row>
    <row r="2691" spans="1:11" ht="15.75" customHeight="1" x14ac:dyDescent="0.25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</row>
    <row r="2692" spans="1:11" ht="15.75" customHeight="1" x14ac:dyDescent="0.25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</row>
    <row r="2693" spans="1:11" ht="15.75" customHeight="1" x14ac:dyDescent="0.25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</row>
    <row r="2694" spans="1:11" ht="15.75" customHeight="1" x14ac:dyDescent="0.25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</row>
    <row r="2695" spans="1:11" ht="15.75" customHeight="1" x14ac:dyDescent="0.25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</row>
    <row r="2696" spans="1:11" ht="15.75" customHeight="1" x14ac:dyDescent="0.25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</row>
    <row r="2697" spans="1:11" ht="15.75" customHeight="1" x14ac:dyDescent="0.25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</row>
    <row r="2698" spans="1:11" ht="15.75" customHeight="1" x14ac:dyDescent="0.25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</row>
    <row r="2699" spans="1:11" ht="15.75" customHeight="1" x14ac:dyDescent="0.25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</row>
    <row r="2700" spans="1:11" ht="15.75" customHeight="1" x14ac:dyDescent="0.25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</row>
    <row r="2701" spans="1:11" ht="15.75" customHeight="1" x14ac:dyDescent="0.25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</row>
    <row r="2702" spans="1:11" ht="15.75" customHeight="1" x14ac:dyDescent="0.25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</row>
    <row r="2703" spans="1:11" ht="15.75" customHeight="1" x14ac:dyDescent="0.25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</row>
    <row r="2704" spans="1:11" ht="15.75" customHeight="1" x14ac:dyDescent="0.25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</row>
    <row r="2705" spans="1:11" ht="15.75" customHeight="1" x14ac:dyDescent="0.25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</row>
    <row r="2706" spans="1:11" ht="15.75" customHeight="1" x14ac:dyDescent="0.25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</row>
    <row r="2707" spans="1:11" ht="15.75" customHeight="1" x14ac:dyDescent="0.25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</row>
    <row r="2708" spans="1:11" ht="15.75" customHeight="1" x14ac:dyDescent="0.25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</row>
    <row r="2709" spans="1:11" ht="15.75" customHeight="1" x14ac:dyDescent="0.25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</row>
    <row r="2710" spans="1:11" ht="15.75" customHeight="1" x14ac:dyDescent="0.25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</row>
    <row r="2711" spans="1:11" ht="15.75" customHeight="1" x14ac:dyDescent="0.25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</row>
    <row r="2712" spans="1:11" ht="15.75" customHeight="1" x14ac:dyDescent="0.25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</row>
    <row r="2713" spans="1:11" ht="15.75" customHeight="1" x14ac:dyDescent="0.25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</row>
    <row r="2714" spans="1:11" ht="15.75" customHeight="1" x14ac:dyDescent="0.25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</row>
    <row r="2715" spans="1:11" ht="15.75" customHeight="1" x14ac:dyDescent="0.25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</row>
    <row r="2716" spans="1:11" ht="15.75" customHeight="1" x14ac:dyDescent="0.25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</row>
    <row r="2717" spans="1:11" ht="15.75" customHeight="1" x14ac:dyDescent="0.25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</row>
    <row r="2718" spans="1:11" ht="15.75" customHeight="1" x14ac:dyDescent="0.25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</row>
    <row r="2719" spans="1:11" ht="15.75" customHeight="1" x14ac:dyDescent="0.25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</row>
    <row r="2720" spans="1:11" ht="15.75" customHeight="1" x14ac:dyDescent="0.25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</row>
    <row r="2721" spans="1:11" ht="15.75" customHeight="1" x14ac:dyDescent="0.25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</row>
    <row r="2722" spans="1:11" ht="15.75" customHeight="1" x14ac:dyDescent="0.25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</row>
    <row r="2723" spans="1:11" ht="15.75" customHeight="1" x14ac:dyDescent="0.25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</row>
    <row r="2724" spans="1:11" ht="15.75" customHeight="1" x14ac:dyDescent="0.25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</row>
    <row r="2725" spans="1:11" ht="15.75" customHeight="1" x14ac:dyDescent="0.25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</row>
    <row r="2726" spans="1:11" ht="15.75" customHeight="1" x14ac:dyDescent="0.25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</row>
    <row r="2727" spans="1:11" ht="15.75" customHeight="1" x14ac:dyDescent="0.25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</row>
    <row r="2728" spans="1:11" ht="15.75" customHeight="1" x14ac:dyDescent="0.25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</row>
    <row r="2729" spans="1:11" ht="15.75" customHeight="1" x14ac:dyDescent="0.25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</row>
    <row r="2730" spans="1:11" ht="15.75" customHeight="1" x14ac:dyDescent="0.25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</row>
    <row r="2731" spans="1:11" ht="15.75" customHeight="1" x14ac:dyDescent="0.25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</row>
    <row r="2732" spans="1:11" ht="15.75" customHeight="1" x14ac:dyDescent="0.25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</row>
    <row r="2733" spans="1:11" ht="15.75" customHeight="1" x14ac:dyDescent="0.25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</row>
    <row r="2734" spans="1:11" ht="15.75" customHeight="1" x14ac:dyDescent="0.25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</row>
    <row r="2735" spans="1:11" ht="15.75" customHeight="1" x14ac:dyDescent="0.25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</row>
    <row r="2736" spans="1:11" ht="15.75" customHeight="1" x14ac:dyDescent="0.25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</row>
    <row r="2737" spans="1:11" ht="15.75" customHeight="1" x14ac:dyDescent="0.25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</row>
    <row r="2738" spans="1:11" ht="15.75" customHeight="1" x14ac:dyDescent="0.25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</row>
    <row r="2739" spans="1:11" ht="15.75" customHeight="1" x14ac:dyDescent="0.25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</row>
    <row r="2740" spans="1:11" ht="15.75" customHeight="1" x14ac:dyDescent="0.25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</row>
    <row r="2741" spans="1:11" ht="15.75" customHeight="1" x14ac:dyDescent="0.25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</row>
    <row r="2742" spans="1:11" ht="15.75" customHeight="1" x14ac:dyDescent="0.25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</row>
    <row r="2743" spans="1:11" ht="15.75" customHeight="1" x14ac:dyDescent="0.25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</row>
    <row r="2744" spans="1:11" ht="15.75" customHeight="1" x14ac:dyDescent="0.25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</row>
    <row r="2745" spans="1:11" ht="15.75" customHeight="1" x14ac:dyDescent="0.25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</row>
    <row r="2746" spans="1:11" ht="15.75" customHeight="1" x14ac:dyDescent="0.25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</row>
    <row r="2747" spans="1:11" ht="15.75" customHeight="1" x14ac:dyDescent="0.25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</row>
    <row r="2748" spans="1:11" ht="15.75" customHeight="1" x14ac:dyDescent="0.25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</row>
    <row r="2749" spans="1:11" ht="15.75" customHeight="1" x14ac:dyDescent="0.25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</row>
    <row r="2750" spans="1:11" ht="15.75" customHeight="1" x14ac:dyDescent="0.25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</row>
    <row r="2751" spans="1:11" ht="15.75" customHeight="1" x14ac:dyDescent="0.25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</row>
    <row r="2752" spans="1:11" ht="15.75" customHeight="1" x14ac:dyDescent="0.25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</row>
    <row r="2753" spans="1:11" ht="15.75" customHeight="1" x14ac:dyDescent="0.25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</row>
    <row r="2754" spans="1:11" ht="15.75" customHeight="1" x14ac:dyDescent="0.25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</row>
    <row r="2755" spans="1:11" ht="15.75" customHeight="1" x14ac:dyDescent="0.25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</row>
    <row r="2756" spans="1:11" ht="15.75" customHeight="1" x14ac:dyDescent="0.25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</row>
    <row r="2757" spans="1:11" ht="15.75" customHeight="1" x14ac:dyDescent="0.25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</row>
    <row r="2758" spans="1:11" ht="15.75" customHeight="1" x14ac:dyDescent="0.25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</row>
    <row r="2759" spans="1:11" ht="15.75" customHeight="1" x14ac:dyDescent="0.25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</row>
    <row r="2760" spans="1:11" ht="15.75" customHeight="1" x14ac:dyDescent="0.25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</row>
    <row r="2761" spans="1:11" ht="15.75" customHeight="1" x14ac:dyDescent="0.25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</row>
    <row r="2762" spans="1:11" ht="15.75" customHeight="1" x14ac:dyDescent="0.25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</row>
    <row r="2763" spans="1:11" ht="15.75" customHeight="1" x14ac:dyDescent="0.25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</row>
    <row r="2764" spans="1:11" ht="15.75" customHeight="1" x14ac:dyDescent="0.25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</row>
    <row r="2765" spans="1:11" ht="15.75" customHeight="1" x14ac:dyDescent="0.25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</row>
    <row r="2766" spans="1:11" ht="15.75" customHeight="1" x14ac:dyDescent="0.25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</row>
    <row r="2767" spans="1:11" ht="15.75" customHeight="1" x14ac:dyDescent="0.25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</row>
    <row r="2768" spans="1:11" ht="15.75" customHeight="1" x14ac:dyDescent="0.25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</row>
    <row r="2769" spans="1:11" ht="15.75" customHeight="1" x14ac:dyDescent="0.25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</row>
    <row r="2770" spans="1:11" ht="15.75" customHeight="1" x14ac:dyDescent="0.25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</row>
    <row r="2771" spans="1:11" ht="15.75" customHeight="1" x14ac:dyDescent="0.25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</row>
    <row r="2772" spans="1:11" ht="15.75" customHeight="1" x14ac:dyDescent="0.25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</row>
    <row r="2773" spans="1:11" ht="15.75" customHeight="1" x14ac:dyDescent="0.25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</row>
    <row r="2774" spans="1:11" ht="15.75" customHeight="1" x14ac:dyDescent="0.25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</row>
    <row r="2775" spans="1:11" ht="15.75" customHeight="1" x14ac:dyDescent="0.25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</row>
    <row r="2776" spans="1:11" ht="15.75" customHeight="1" x14ac:dyDescent="0.25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</row>
    <row r="2777" spans="1:11" ht="15.75" customHeight="1" x14ac:dyDescent="0.25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</row>
    <row r="2778" spans="1:11" ht="15.75" customHeight="1" x14ac:dyDescent="0.25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</row>
    <row r="2779" spans="1:11" ht="15.75" customHeight="1" x14ac:dyDescent="0.25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</row>
    <row r="2780" spans="1:11" ht="15.75" customHeight="1" x14ac:dyDescent="0.25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</row>
    <row r="2781" spans="1:11" ht="15.75" customHeight="1" x14ac:dyDescent="0.25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</row>
    <row r="2782" spans="1:11" ht="15.75" customHeight="1" x14ac:dyDescent="0.25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</row>
    <row r="2783" spans="1:11" ht="15.75" customHeight="1" x14ac:dyDescent="0.25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</row>
    <row r="2784" spans="1:11" ht="15.75" customHeight="1" x14ac:dyDescent="0.25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</row>
    <row r="2785" spans="1:11" ht="15.75" customHeight="1" x14ac:dyDescent="0.25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</row>
    <row r="2786" spans="1:11" ht="15.75" customHeight="1" x14ac:dyDescent="0.25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</row>
    <row r="2787" spans="1:11" ht="15.75" customHeight="1" x14ac:dyDescent="0.25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</row>
    <row r="2788" spans="1:11" ht="15.75" customHeight="1" x14ac:dyDescent="0.25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</row>
    <row r="2789" spans="1:11" ht="15.75" customHeight="1" x14ac:dyDescent="0.25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</row>
    <row r="2790" spans="1:11" ht="15.75" customHeight="1" x14ac:dyDescent="0.25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</row>
    <row r="2791" spans="1:11" ht="15.75" customHeight="1" x14ac:dyDescent="0.25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</row>
    <row r="2792" spans="1:11" ht="15.75" customHeight="1" x14ac:dyDescent="0.25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</row>
    <row r="2793" spans="1:11" ht="15.75" customHeight="1" x14ac:dyDescent="0.25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</row>
    <row r="2794" spans="1:11" ht="15.75" customHeight="1" x14ac:dyDescent="0.25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</row>
    <row r="2795" spans="1:11" ht="15.75" customHeight="1" x14ac:dyDescent="0.25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</row>
    <row r="2796" spans="1:11" ht="15.75" customHeight="1" x14ac:dyDescent="0.25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</row>
    <row r="2797" spans="1:11" ht="15.75" customHeight="1" x14ac:dyDescent="0.25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</row>
    <row r="2798" spans="1:11" ht="15.75" customHeight="1" x14ac:dyDescent="0.25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</row>
    <row r="2799" spans="1:11" ht="15.75" customHeight="1" x14ac:dyDescent="0.25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</row>
    <row r="2800" spans="1:11" ht="15.75" customHeight="1" x14ac:dyDescent="0.25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</row>
    <row r="2801" spans="1:11" ht="15.75" customHeight="1" x14ac:dyDescent="0.25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</row>
    <row r="2802" spans="1:11" ht="15.75" customHeight="1" x14ac:dyDescent="0.25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</row>
    <row r="2803" spans="1:11" ht="15.75" customHeight="1" x14ac:dyDescent="0.25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</row>
    <row r="2804" spans="1:11" ht="15.75" customHeight="1" x14ac:dyDescent="0.25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</row>
    <row r="2805" spans="1:11" ht="15.75" customHeight="1" x14ac:dyDescent="0.25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</row>
    <row r="2806" spans="1:11" ht="15.75" customHeight="1" x14ac:dyDescent="0.25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</row>
    <row r="2807" spans="1:11" ht="15.75" customHeight="1" x14ac:dyDescent="0.25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</row>
    <row r="2808" spans="1:11" ht="15.75" customHeight="1" x14ac:dyDescent="0.25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</row>
    <row r="2809" spans="1:11" ht="15.75" customHeight="1" x14ac:dyDescent="0.25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</row>
    <row r="2810" spans="1:11" ht="15.75" customHeight="1" x14ac:dyDescent="0.25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</row>
    <row r="2811" spans="1:11" ht="15.75" customHeight="1" x14ac:dyDescent="0.25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</row>
    <row r="2812" spans="1:11" ht="15.75" customHeight="1" x14ac:dyDescent="0.25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</row>
    <row r="2813" spans="1:11" ht="15.75" customHeight="1" x14ac:dyDescent="0.25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</row>
    <row r="2814" spans="1:11" ht="15.75" customHeight="1" x14ac:dyDescent="0.25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</row>
    <row r="2815" spans="1:11" ht="15.75" customHeight="1" x14ac:dyDescent="0.25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</row>
    <row r="2816" spans="1:11" ht="15.75" customHeight="1" x14ac:dyDescent="0.25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</row>
    <row r="2817" spans="1:11" ht="15.75" customHeight="1" x14ac:dyDescent="0.25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</row>
    <row r="2818" spans="1:11" ht="15.75" customHeight="1" x14ac:dyDescent="0.25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</row>
    <row r="2819" spans="1:11" ht="15.75" customHeight="1" x14ac:dyDescent="0.25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</row>
    <row r="2820" spans="1:11" ht="15.75" customHeight="1" x14ac:dyDescent="0.25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</row>
    <row r="2821" spans="1:11" ht="15.75" customHeight="1" x14ac:dyDescent="0.25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</row>
    <row r="2822" spans="1:11" ht="15.75" customHeight="1" x14ac:dyDescent="0.25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</row>
    <row r="2823" spans="1:11" ht="15.75" customHeight="1" x14ac:dyDescent="0.25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</row>
    <row r="2824" spans="1:11" ht="15.75" customHeight="1" x14ac:dyDescent="0.25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</row>
    <row r="2825" spans="1:11" ht="15.75" customHeight="1" x14ac:dyDescent="0.25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</row>
    <row r="2826" spans="1:11" ht="15.75" customHeight="1" x14ac:dyDescent="0.25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</row>
    <row r="2827" spans="1:11" ht="15.75" customHeight="1" x14ac:dyDescent="0.25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</row>
    <row r="2828" spans="1:11" ht="15.75" customHeight="1" x14ac:dyDescent="0.25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</row>
    <row r="2829" spans="1:11" ht="15.75" customHeight="1" x14ac:dyDescent="0.25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</row>
    <row r="2830" spans="1:11" ht="15.75" customHeight="1" x14ac:dyDescent="0.25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</row>
    <row r="2831" spans="1:11" ht="15.75" customHeight="1" x14ac:dyDescent="0.25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</row>
    <row r="2832" spans="1:11" ht="15.75" customHeight="1" x14ac:dyDescent="0.25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</row>
    <row r="2833" spans="1:11" ht="15.75" customHeight="1" x14ac:dyDescent="0.25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</row>
    <row r="2834" spans="1:11" ht="15.75" customHeight="1" x14ac:dyDescent="0.25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</row>
    <row r="2835" spans="1:11" ht="15.75" customHeight="1" x14ac:dyDescent="0.25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</row>
    <row r="2836" spans="1:11" ht="15.75" customHeight="1" x14ac:dyDescent="0.25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</row>
    <row r="2837" spans="1:11" ht="15.75" customHeight="1" x14ac:dyDescent="0.25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</row>
    <row r="2838" spans="1:11" ht="15.75" customHeight="1" x14ac:dyDescent="0.25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</row>
    <row r="2839" spans="1:11" ht="15.75" customHeight="1" x14ac:dyDescent="0.25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</row>
    <row r="2840" spans="1:11" ht="15.75" customHeight="1" x14ac:dyDescent="0.25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</row>
    <row r="2841" spans="1:11" ht="15.75" customHeight="1" x14ac:dyDescent="0.25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</row>
    <row r="2842" spans="1:11" ht="15.75" customHeight="1" x14ac:dyDescent="0.25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</row>
    <row r="2843" spans="1:11" ht="15.75" customHeight="1" x14ac:dyDescent="0.25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</row>
    <row r="2844" spans="1:11" ht="15.75" customHeight="1" x14ac:dyDescent="0.25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</row>
    <row r="2845" spans="1:11" ht="15.75" customHeight="1" x14ac:dyDescent="0.25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</row>
    <row r="2846" spans="1:11" ht="15.75" customHeight="1" x14ac:dyDescent="0.25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</row>
    <row r="2847" spans="1:11" ht="15.75" customHeight="1" x14ac:dyDescent="0.25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</row>
    <row r="2848" spans="1:11" ht="15.75" customHeight="1" x14ac:dyDescent="0.25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</row>
    <row r="2849" spans="1:11" ht="15.75" customHeight="1" x14ac:dyDescent="0.25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</row>
    <row r="2850" spans="1:11" ht="15.75" customHeight="1" x14ac:dyDescent="0.25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</row>
    <row r="2851" spans="1:11" ht="15.75" customHeight="1" x14ac:dyDescent="0.25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</row>
    <row r="2852" spans="1:11" ht="15.75" customHeight="1" x14ac:dyDescent="0.25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</row>
    <row r="2853" spans="1:11" ht="15.75" customHeight="1" x14ac:dyDescent="0.25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</row>
    <row r="2854" spans="1:11" ht="15.75" customHeight="1" x14ac:dyDescent="0.25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</row>
    <row r="2855" spans="1:11" ht="15.75" customHeight="1" x14ac:dyDescent="0.25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</row>
    <row r="2856" spans="1:11" ht="15.75" customHeight="1" x14ac:dyDescent="0.25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</row>
    <row r="2857" spans="1:11" ht="15.75" customHeight="1" x14ac:dyDescent="0.25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</row>
    <row r="2858" spans="1:11" ht="15.75" customHeight="1" x14ac:dyDescent="0.25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</row>
    <row r="2859" spans="1:11" ht="15.75" customHeight="1" x14ac:dyDescent="0.25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</row>
    <row r="2860" spans="1:11" ht="15.75" customHeight="1" x14ac:dyDescent="0.25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</row>
    <row r="2861" spans="1:11" ht="15.75" customHeight="1" x14ac:dyDescent="0.25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</row>
    <row r="2862" spans="1:11" ht="15.75" customHeight="1" x14ac:dyDescent="0.25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</row>
    <row r="2863" spans="1:11" ht="15.75" customHeight="1" x14ac:dyDescent="0.25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</row>
    <row r="2864" spans="1:11" ht="15.75" customHeight="1" x14ac:dyDescent="0.25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</row>
    <row r="2865" spans="1:11" ht="15.75" customHeight="1" x14ac:dyDescent="0.25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</row>
    <row r="2866" spans="1:11" ht="15.75" customHeight="1" x14ac:dyDescent="0.25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</row>
    <row r="2867" spans="1:11" ht="15.75" customHeight="1" x14ac:dyDescent="0.25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</row>
    <row r="2868" spans="1:11" ht="15.75" customHeight="1" x14ac:dyDescent="0.25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</row>
    <row r="2869" spans="1:11" ht="15.75" customHeight="1" x14ac:dyDescent="0.25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</row>
    <row r="2870" spans="1:11" ht="15.75" customHeight="1" x14ac:dyDescent="0.25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</row>
    <row r="2871" spans="1:11" ht="15.75" customHeight="1" x14ac:dyDescent="0.25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</row>
    <row r="2872" spans="1:11" ht="15.75" customHeight="1" x14ac:dyDescent="0.25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</row>
    <row r="2873" spans="1:11" ht="15.75" customHeight="1" x14ac:dyDescent="0.25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</row>
    <row r="2874" spans="1:11" ht="15.75" customHeight="1" x14ac:dyDescent="0.25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</row>
    <row r="2875" spans="1:11" ht="15.75" customHeight="1" x14ac:dyDescent="0.25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</row>
    <row r="2876" spans="1:11" ht="15.75" customHeight="1" x14ac:dyDescent="0.25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</row>
    <row r="2877" spans="1:11" ht="15.75" customHeight="1" x14ac:dyDescent="0.25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</row>
    <row r="2878" spans="1:11" ht="15.75" customHeight="1" x14ac:dyDescent="0.25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</row>
    <row r="2879" spans="1:11" ht="15.75" customHeight="1" x14ac:dyDescent="0.25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</row>
    <row r="2880" spans="1:11" ht="15.75" customHeight="1" x14ac:dyDescent="0.25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</row>
    <row r="2881" spans="1:11" ht="15.75" customHeight="1" x14ac:dyDescent="0.25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</row>
    <row r="2882" spans="1:11" ht="15.75" customHeight="1" x14ac:dyDescent="0.25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</row>
    <row r="2883" spans="1:11" ht="15.75" customHeight="1" x14ac:dyDescent="0.25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</row>
    <row r="2884" spans="1:11" ht="15.75" customHeight="1" x14ac:dyDescent="0.25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</row>
    <row r="2885" spans="1:11" ht="15.75" customHeight="1" x14ac:dyDescent="0.25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</row>
    <row r="2886" spans="1:11" ht="15.75" customHeight="1" x14ac:dyDescent="0.25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</row>
    <row r="2887" spans="1:11" ht="15.75" customHeight="1" x14ac:dyDescent="0.25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</row>
    <row r="2888" spans="1:11" ht="15.75" customHeight="1" x14ac:dyDescent="0.25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</row>
    <row r="2889" spans="1:11" ht="15.75" customHeight="1" x14ac:dyDescent="0.25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</row>
    <row r="2890" spans="1:11" ht="15.75" customHeight="1" x14ac:dyDescent="0.25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</row>
    <row r="2891" spans="1:11" ht="15.75" customHeight="1" x14ac:dyDescent="0.25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</row>
    <row r="2892" spans="1:11" ht="15.75" customHeight="1" x14ac:dyDescent="0.25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</row>
    <row r="2893" spans="1:11" ht="15.75" customHeight="1" x14ac:dyDescent="0.25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</row>
    <row r="2894" spans="1:11" ht="15.75" customHeight="1" x14ac:dyDescent="0.25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</row>
    <row r="2895" spans="1:11" ht="15.75" customHeight="1" x14ac:dyDescent="0.25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</row>
    <row r="2896" spans="1:11" ht="15.75" customHeight="1" x14ac:dyDescent="0.25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</row>
    <row r="2897" spans="1:11" ht="15.75" customHeight="1" x14ac:dyDescent="0.25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</row>
    <row r="2898" spans="1:11" ht="15.75" customHeight="1" x14ac:dyDescent="0.25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</row>
    <row r="2899" spans="1:11" ht="15.75" customHeight="1" x14ac:dyDescent="0.25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</row>
    <row r="2900" spans="1:11" ht="15.75" customHeight="1" x14ac:dyDescent="0.25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</row>
    <row r="2901" spans="1:11" ht="15.75" customHeight="1" x14ac:dyDescent="0.25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</row>
    <row r="2902" spans="1:11" ht="15.75" customHeight="1" x14ac:dyDescent="0.25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</row>
    <row r="2903" spans="1:11" ht="15.75" customHeight="1" x14ac:dyDescent="0.25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</row>
    <row r="2904" spans="1:11" ht="15.75" customHeight="1" x14ac:dyDescent="0.25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</row>
    <row r="2905" spans="1:11" ht="15.75" customHeight="1" x14ac:dyDescent="0.25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</row>
    <row r="2906" spans="1:11" ht="15.75" customHeight="1" x14ac:dyDescent="0.25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</row>
    <row r="2907" spans="1:11" ht="15.75" customHeight="1" x14ac:dyDescent="0.25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</row>
    <row r="2908" spans="1:11" ht="15.75" customHeight="1" x14ac:dyDescent="0.25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</row>
    <row r="2909" spans="1:11" ht="15.75" customHeight="1" x14ac:dyDescent="0.25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</row>
    <row r="2910" spans="1:11" ht="15.75" customHeight="1" x14ac:dyDescent="0.25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</row>
    <row r="2911" spans="1:11" ht="15.75" customHeight="1" x14ac:dyDescent="0.25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</row>
    <row r="2912" spans="1:11" ht="15.75" customHeight="1" x14ac:dyDescent="0.25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</row>
    <row r="2913" spans="1:11" ht="15.75" customHeight="1" x14ac:dyDescent="0.25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</row>
    <row r="2914" spans="1:11" ht="15.75" customHeight="1" x14ac:dyDescent="0.25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</row>
    <row r="2915" spans="1:11" ht="15.75" customHeight="1" x14ac:dyDescent="0.25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</row>
    <row r="2916" spans="1:11" ht="15.75" customHeight="1" x14ac:dyDescent="0.25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</row>
    <row r="2917" spans="1:11" ht="15.75" customHeight="1" x14ac:dyDescent="0.25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</row>
    <row r="2918" spans="1:11" ht="15.75" customHeight="1" x14ac:dyDescent="0.25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</row>
    <row r="2919" spans="1:11" ht="15.75" customHeight="1" x14ac:dyDescent="0.25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</row>
    <row r="2920" spans="1:11" ht="15.75" customHeight="1" x14ac:dyDescent="0.25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</row>
    <row r="2921" spans="1:11" ht="15.75" customHeight="1" x14ac:dyDescent="0.25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</row>
    <row r="2922" spans="1:11" ht="15.75" customHeight="1" x14ac:dyDescent="0.25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</row>
    <row r="2923" spans="1:11" ht="15.75" customHeight="1" x14ac:dyDescent="0.25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</row>
    <row r="2924" spans="1:11" ht="15.75" customHeight="1" x14ac:dyDescent="0.25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</row>
    <row r="2925" spans="1:11" ht="15.75" customHeight="1" x14ac:dyDescent="0.25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</row>
    <row r="2926" spans="1:11" ht="15.75" customHeight="1" x14ac:dyDescent="0.25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</row>
    <row r="2927" spans="1:11" ht="15.75" customHeight="1" x14ac:dyDescent="0.25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</row>
    <row r="2928" spans="1:11" ht="15.75" customHeight="1" x14ac:dyDescent="0.25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</row>
    <row r="2929" spans="1:11" ht="15.75" customHeight="1" x14ac:dyDescent="0.25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</row>
    <row r="2930" spans="1:11" ht="15.75" customHeight="1" x14ac:dyDescent="0.25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</row>
    <row r="2931" spans="1:11" ht="15.75" customHeight="1" x14ac:dyDescent="0.25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</row>
    <row r="2932" spans="1:11" ht="15.75" customHeight="1" x14ac:dyDescent="0.25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</row>
    <row r="2933" spans="1:11" ht="15.75" customHeight="1" x14ac:dyDescent="0.25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</row>
    <row r="2934" spans="1:11" ht="15.75" customHeight="1" x14ac:dyDescent="0.25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</row>
    <row r="2935" spans="1:11" ht="15.75" customHeight="1" x14ac:dyDescent="0.25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</row>
    <row r="2936" spans="1:11" ht="15.75" customHeight="1" x14ac:dyDescent="0.25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</row>
    <row r="2937" spans="1:11" ht="15.75" customHeight="1" x14ac:dyDescent="0.25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</row>
    <row r="2938" spans="1:11" ht="15.75" customHeight="1" x14ac:dyDescent="0.25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</row>
    <row r="2939" spans="1:11" ht="15.75" customHeight="1" x14ac:dyDescent="0.25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</row>
    <row r="2940" spans="1:11" ht="15.75" customHeight="1" x14ac:dyDescent="0.25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</row>
    <row r="2941" spans="1:11" ht="15.75" customHeight="1" x14ac:dyDescent="0.25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</row>
    <row r="2942" spans="1:11" ht="15.75" customHeight="1" x14ac:dyDescent="0.25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</row>
    <row r="2943" spans="1:11" ht="15.75" customHeight="1" x14ac:dyDescent="0.25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</row>
    <row r="2944" spans="1:11" ht="15.75" customHeight="1" x14ac:dyDescent="0.25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</row>
    <row r="2945" spans="1:11" ht="15.75" customHeight="1" x14ac:dyDescent="0.25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</row>
    <row r="2946" spans="1:11" ht="15.75" customHeight="1" x14ac:dyDescent="0.25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</row>
    <row r="2947" spans="1:11" ht="15.75" customHeight="1" x14ac:dyDescent="0.25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</row>
    <row r="2948" spans="1:11" ht="15.75" customHeight="1" x14ac:dyDescent="0.25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</row>
    <row r="2949" spans="1:11" ht="15.75" customHeight="1" x14ac:dyDescent="0.25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</row>
    <row r="2950" spans="1:11" ht="15.75" customHeight="1" x14ac:dyDescent="0.25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</row>
    <row r="2951" spans="1:11" ht="15.75" customHeight="1" x14ac:dyDescent="0.25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</row>
    <row r="2952" spans="1:11" ht="15.75" customHeight="1" x14ac:dyDescent="0.25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</row>
    <row r="2953" spans="1:11" ht="15.75" customHeight="1" x14ac:dyDescent="0.25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</row>
    <row r="2954" spans="1:11" ht="15.75" customHeight="1" x14ac:dyDescent="0.25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</row>
    <row r="2955" spans="1:11" ht="15.75" customHeight="1" x14ac:dyDescent="0.25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</row>
    <row r="2956" spans="1:11" ht="15.75" customHeight="1" x14ac:dyDescent="0.25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</row>
    <row r="2957" spans="1:11" ht="15.75" customHeight="1" x14ac:dyDescent="0.25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</row>
    <row r="2958" spans="1:11" ht="15.75" customHeight="1" x14ac:dyDescent="0.25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</row>
    <row r="2959" spans="1:11" ht="15.75" customHeight="1" x14ac:dyDescent="0.25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</row>
    <row r="2960" spans="1:11" ht="15.75" customHeight="1" x14ac:dyDescent="0.25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</row>
    <row r="2961" spans="1:11" ht="15.75" customHeight="1" x14ac:dyDescent="0.25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</row>
    <row r="2962" spans="1:11" ht="15.75" customHeight="1" x14ac:dyDescent="0.25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</row>
    <row r="2963" spans="1:11" ht="15.75" customHeight="1" x14ac:dyDescent="0.25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</row>
    <row r="2964" spans="1:11" ht="15.75" customHeight="1" x14ac:dyDescent="0.25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</row>
    <row r="2965" spans="1:11" ht="15.75" customHeight="1" x14ac:dyDescent="0.25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</row>
    <row r="2966" spans="1:11" ht="15.75" customHeight="1" x14ac:dyDescent="0.25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</row>
    <row r="2967" spans="1:11" ht="15.75" customHeight="1" x14ac:dyDescent="0.25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</row>
    <row r="2968" spans="1:11" ht="15.75" customHeight="1" x14ac:dyDescent="0.25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</row>
    <row r="2969" spans="1:11" ht="15.75" customHeight="1" x14ac:dyDescent="0.25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</row>
    <row r="2970" spans="1:11" ht="15.75" customHeight="1" x14ac:dyDescent="0.25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</row>
    <row r="2971" spans="1:11" ht="15.75" customHeight="1" x14ac:dyDescent="0.25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</row>
    <row r="2972" spans="1:11" ht="15.75" customHeight="1" x14ac:dyDescent="0.25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</row>
    <row r="2973" spans="1:11" ht="15.75" customHeight="1" x14ac:dyDescent="0.25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</row>
    <row r="2974" spans="1:11" ht="15.75" customHeight="1" x14ac:dyDescent="0.25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</row>
    <row r="2975" spans="1:11" ht="15.75" customHeight="1" x14ac:dyDescent="0.25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</row>
    <row r="2976" spans="1:11" ht="15.75" customHeight="1" x14ac:dyDescent="0.25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</row>
    <row r="2977" spans="1:11" ht="15.75" customHeight="1" x14ac:dyDescent="0.25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</row>
    <row r="2978" spans="1:11" ht="15.75" customHeight="1" x14ac:dyDescent="0.25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</row>
    <row r="2979" spans="1:11" ht="15.75" customHeight="1" x14ac:dyDescent="0.25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</row>
    <row r="2980" spans="1:11" ht="15.75" customHeight="1" x14ac:dyDescent="0.25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</row>
    <row r="2981" spans="1:11" ht="15.75" customHeight="1" x14ac:dyDescent="0.25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</row>
    <row r="2982" spans="1:11" ht="15.75" customHeight="1" x14ac:dyDescent="0.25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</row>
    <row r="2983" spans="1:11" ht="15.75" customHeight="1" x14ac:dyDescent="0.25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</row>
    <row r="2984" spans="1:11" ht="15.75" customHeight="1" x14ac:dyDescent="0.25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</row>
    <row r="2985" spans="1:11" ht="15.75" customHeight="1" x14ac:dyDescent="0.25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</row>
    <row r="2986" spans="1:11" ht="15.75" customHeight="1" x14ac:dyDescent="0.25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</row>
    <row r="2987" spans="1:11" ht="15.75" customHeight="1" x14ac:dyDescent="0.25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</row>
    <row r="2988" spans="1:11" ht="15.75" customHeight="1" x14ac:dyDescent="0.25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</row>
    <row r="2989" spans="1:11" ht="15.75" customHeight="1" x14ac:dyDescent="0.25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</row>
    <row r="2990" spans="1:11" ht="15.75" customHeight="1" x14ac:dyDescent="0.25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</row>
    <row r="2991" spans="1:11" ht="15.75" customHeight="1" x14ac:dyDescent="0.25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</row>
    <row r="2992" spans="1:11" ht="15.75" customHeight="1" x14ac:dyDescent="0.25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</row>
    <row r="2993" spans="1:11" ht="15.75" customHeight="1" x14ac:dyDescent="0.25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</row>
    <row r="2994" spans="1:11" ht="15.75" customHeight="1" x14ac:dyDescent="0.25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</row>
    <row r="2995" spans="1:11" ht="15.75" customHeight="1" x14ac:dyDescent="0.25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</row>
    <row r="2996" spans="1:11" ht="15.75" customHeight="1" x14ac:dyDescent="0.25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</row>
    <row r="2997" spans="1:11" ht="15.75" customHeight="1" x14ac:dyDescent="0.25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</row>
    <row r="2998" spans="1:11" ht="15.75" customHeight="1" x14ac:dyDescent="0.25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</row>
    <row r="2999" spans="1:11" ht="15.75" customHeight="1" x14ac:dyDescent="0.25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</row>
    <row r="3000" spans="1:11" ht="15.75" customHeight="1" x14ac:dyDescent="0.25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</row>
    <row r="3001" spans="1:11" ht="15.75" customHeight="1" x14ac:dyDescent="0.25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</row>
    <row r="3002" spans="1:11" ht="15.75" customHeight="1" x14ac:dyDescent="0.25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</row>
    <row r="3003" spans="1:11" ht="15.75" customHeight="1" x14ac:dyDescent="0.25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</row>
    <row r="3004" spans="1:11" ht="15.75" customHeight="1" x14ac:dyDescent="0.25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</row>
    <row r="3005" spans="1:11" ht="15.75" customHeight="1" x14ac:dyDescent="0.25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</row>
    <row r="3006" spans="1:11" ht="15.75" customHeight="1" x14ac:dyDescent="0.25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</row>
    <row r="3007" spans="1:11" ht="15.75" customHeight="1" x14ac:dyDescent="0.25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</row>
    <row r="3008" spans="1:11" ht="15.75" customHeight="1" x14ac:dyDescent="0.25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</row>
    <row r="3009" spans="1:11" ht="15.75" customHeight="1" x14ac:dyDescent="0.25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</row>
    <row r="3010" spans="1:11" ht="15.75" customHeight="1" x14ac:dyDescent="0.25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</row>
    <row r="3011" spans="1:11" ht="15.75" customHeight="1" x14ac:dyDescent="0.25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</row>
    <row r="3012" spans="1:11" ht="15.75" customHeight="1" x14ac:dyDescent="0.25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</row>
    <row r="3013" spans="1:11" ht="15.75" customHeight="1" x14ac:dyDescent="0.25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</row>
    <row r="3014" spans="1:11" ht="15.75" customHeight="1" x14ac:dyDescent="0.25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</row>
    <row r="3015" spans="1:11" ht="15.75" customHeight="1" x14ac:dyDescent="0.25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</row>
    <row r="3016" spans="1:11" ht="15.75" customHeight="1" x14ac:dyDescent="0.25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</row>
    <row r="3017" spans="1:11" ht="15.75" customHeight="1" x14ac:dyDescent="0.25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</row>
    <row r="3018" spans="1:11" ht="15.75" customHeight="1" x14ac:dyDescent="0.25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</row>
    <row r="3019" spans="1:11" ht="15.75" customHeight="1" x14ac:dyDescent="0.25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</row>
    <row r="3020" spans="1:11" ht="15.75" customHeight="1" x14ac:dyDescent="0.25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</row>
    <row r="3021" spans="1:11" ht="15.75" customHeight="1" x14ac:dyDescent="0.25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</row>
    <row r="3022" spans="1:11" ht="15.75" customHeight="1" x14ac:dyDescent="0.25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</row>
    <row r="3023" spans="1:11" ht="15.75" customHeight="1" x14ac:dyDescent="0.25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</row>
    <row r="3024" spans="1:11" ht="15.75" customHeight="1" x14ac:dyDescent="0.25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</row>
    <row r="3025" spans="1:11" ht="15.75" customHeight="1" x14ac:dyDescent="0.25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</row>
    <row r="3026" spans="1:11" ht="15.75" customHeight="1" x14ac:dyDescent="0.25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</row>
    <row r="3027" spans="1:11" ht="15.75" customHeight="1" x14ac:dyDescent="0.25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</row>
    <row r="3028" spans="1:11" ht="15.75" customHeight="1" x14ac:dyDescent="0.25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</row>
    <row r="3029" spans="1:11" ht="15.75" customHeight="1" x14ac:dyDescent="0.25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</row>
    <row r="3030" spans="1:11" ht="15.75" customHeight="1" x14ac:dyDescent="0.25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</row>
    <row r="3031" spans="1:11" ht="15.75" customHeight="1" x14ac:dyDescent="0.25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</row>
    <row r="3032" spans="1:11" ht="15.75" customHeight="1" x14ac:dyDescent="0.25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</row>
    <row r="3033" spans="1:11" ht="15.75" customHeight="1" x14ac:dyDescent="0.25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</row>
    <row r="3034" spans="1:11" ht="15.75" customHeight="1" x14ac:dyDescent="0.25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</row>
    <row r="3035" spans="1:11" ht="15.75" customHeight="1" x14ac:dyDescent="0.25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</row>
    <row r="3036" spans="1:11" ht="15.75" customHeight="1" x14ac:dyDescent="0.25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</row>
    <row r="3037" spans="1:11" ht="15.75" customHeight="1" x14ac:dyDescent="0.25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</row>
    <row r="3038" spans="1:11" ht="15.75" customHeight="1" x14ac:dyDescent="0.25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</row>
    <row r="3039" spans="1:11" ht="15.75" customHeight="1" x14ac:dyDescent="0.25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</row>
    <row r="3040" spans="1:11" ht="15.75" customHeight="1" x14ac:dyDescent="0.25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</row>
    <row r="3041" spans="1:11" ht="15.75" customHeight="1" x14ac:dyDescent="0.25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</row>
    <row r="3042" spans="1:11" ht="15.75" customHeight="1" x14ac:dyDescent="0.25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</row>
    <row r="3043" spans="1:11" ht="15.75" customHeight="1" x14ac:dyDescent="0.25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</row>
    <row r="3044" spans="1:11" ht="15.75" customHeight="1" x14ac:dyDescent="0.25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</row>
    <row r="3045" spans="1:11" ht="15.75" customHeight="1" x14ac:dyDescent="0.25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</row>
    <row r="3046" spans="1:11" ht="15.75" customHeight="1" x14ac:dyDescent="0.25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</row>
    <row r="3047" spans="1:11" ht="15.75" customHeight="1" x14ac:dyDescent="0.25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</row>
    <row r="3048" spans="1:11" ht="15.75" customHeight="1" x14ac:dyDescent="0.25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</row>
    <row r="3049" spans="1:11" ht="15.75" customHeight="1" x14ac:dyDescent="0.25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</row>
    <row r="3050" spans="1:11" ht="15.75" customHeight="1" x14ac:dyDescent="0.25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</row>
    <row r="3051" spans="1:11" ht="15.75" customHeight="1" x14ac:dyDescent="0.25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</row>
    <row r="3052" spans="1:11" ht="15.75" customHeight="1" x14ac:dyDescent="0.25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</row>
    <row r="3053" spans="1:11" ht="15.75" customHeight="1" x14ac:dyDescent="0.25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</row>
    <row r="3054" spans="1:11" ht="15.75" customHeight="1" x14ac:dyDescent="0.25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</row>
    <row r="3055" spans="1:11" ht="15.75" customHeight="1" x14ac:dyDescent="0.25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</row>
    <row r="3056" spans="1:11" ht="15.75" customHeight="1" x14ac:dyDescent="0.25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</row>
    <row r="3057" spans="1:11" ht="15.75" customHeight="1" x14ac:dyDescent="0.25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</row>
    <row r="3058" spans="1:11" ht="15.75" customHeight="1" x14ac:dyDescent="0.25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</row>
    <row r="3059" spans="1:11" ht="15.75" customHeight="1" x14ac:dyDescent="0.25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</row>
    <row r="3060" spans="1:11" ht="15.75" customHeight="1" x14ac:dyDescent="0.25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</row>
    <row r="3061" spans="1:11" ht="15.75" customHeight="1" x14ac:dyDescent="0.25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</row>
    <row r="3062" spans="1:11" ht="15.75" customHeight="1" x14ac:dyDescent="0.25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</row>
    <row r="3063" spans="1:11" ht="15.75" customHeight="1" x14ac:dyDescent="0.25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</row>
    <row r="3064" spans="1:11" ht="15.75" customHeight="1" x14ac:dyDescent="0.25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</row>
    <row r="3065" spans="1:11" ht="15.75" customHeight="1" x14ac:dyDescent="0.25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</row>
    <row r="3066" spans="1:11" ht="15.75" customHeight="1" x14ac:dyDescent="0.25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</row>
    <row r="3067" spans="1:11" ht="15.75" customHeight="1" x14ac:dyDescent="0.25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</row>
    <row r="3068" spans="1:11" ht="15.75" customHeight="1" x14ac:dyDescent="0.25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</row>
    <row r="3069" spans="1:11" ht="15.75" customHeight="1" x14ac:dyDescent="0.25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</row>
    <row r="3070" spans="1:11" ht="15.75" customHeight="1" x14ac:dyDescent="0.25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</row>
    <row r="3071" spans="1:11" ht="15.75" customHeight="1" x14ac:dyDescent="0.25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</row>
    <row r="3072" spans="1:11" ht="15.75" customHeight="1" x14ac:dyDescent="0.25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</row>
    <row r="3073" spans="1:11" ht="15.75" customHeight="1" x14ac:dyDescent="0.25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</row>
    <row r="3074" spans="1:11" ht="15.75" customHeight="1" x14ac:dyDescent="0.25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</row>
    <row r="3075" spans="1:11" ht="15.75" customHeight="1" x14ac:dyDescent="0.25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</row>
    <row r="3076" spans="1:11" ht="15.75" customHeight="1" x14ac:dyDescent="0.25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</row>
    <row r="3077" spans="1:11" ht="15.75" customHeight="1" x14ac:dyDescent="0.25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</row>
    <row r="3078" spans="1:11" ht="15.75" customHeight="1" x14ac:dyDescent="0.25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</row>
    <row r="3079" spans="1:11" ht="15.75" customHeight="1" x14ac:dyDescent="0.25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</row>
    <row r="3080" spans="1:11" ht="15.75" customHeight="1" x14ac:dyDescent="0.25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</row>
    <row r="3081" spans="1:11" ht="15.75" customHeight="1" x14ac:dyDescent="0.25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</row>
    <row r="3082" spans="1:11" ht="15.75" customHeight="1" x14ac:dyDescent="0.25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</row>
    <row r="3083" spans="1:11" ht="15.75" customHeight="1" x14ac:dyDescent="0.25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</row>
    <row r="3084" spans="1:11" ht="15.75" customHeight="1" x14ac:dyDescent="0.25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</row>
    <row r="3085" spans="1:11" ht="15.75" customHeight="1" x14ac:dyDescent="0.25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</row>
    <row r="3086" spans="1:11" ht="15.75" customHeight="1" x14ac:dyDescent="0.25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</row>
    <row r="3087" spans="1:11" ht="15.75" customHeight="1" x14ac:dyDescent="0.25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</row>
    <row r="3088" spans="1:11" ht="15.75" customHeight="1" x14ac:dyDescent="0.25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</row>
    <row r="3089" spans="1:11" ht="15.75" customHeight="1" x14ac:dyDescent="0.25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</row>
    <row r="3090" spans="1:11" ht="15.75" customHeight="1" x14ac:dyDescent="0.25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</row>
    <row r="3091" spans="1:11" ht="15.75" customHeight="1" x14ac:dyDescent="0.25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</row>
    <row r="3092" spans="1:11" ht="15.75" customHeight="1" x14ac:dyDescent="0.25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</row>
    <row r="3093" spans="1:11" ht="15.75" customHeight="1" x14ac:dyDescent="0.25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</row>
    <row r="3094" spans="1:11" ht="15.75" customHeight="1" x14ac:dyDescent="0.25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</row>
    <row r="3095" spans="1:11" ht="15.75" customHeight="1" x14ac:dyDescent="0.25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</row>
    <row r="3096" spans="1:11" ht="15.75" customHeight="1" x14ac:dyDescent="0.25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</row>
    <row r="3097" spans="1:11" ht="15.75" customHeight="1" x14ac:dyDescent="0.25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</row>
    <row r="3098" spans="1:11" ht="15.75" customHeight="1" x14ac:dyDescent="0.25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</row>
    <row r="3099" spans="1:11" ht="15.75" customHeight="1" x14ac:dyDescent="0.25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</row>
    <row r="3100" spans="1:11" ht="15.75" customHeight="1" x14ac:dyDescent="0.25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</row>
    <row r="3101" spans="1:11" ht="15.75" customHeight="1" x14ac:dyDescent="0.25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</row>
    <row r="3102" spans="1:11" ht="15.75" customHeight="1" x14ac:dyDescent="0.25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</row>
    <row r="3103" spans="1:11" ht="15.75" customHeight="1" x14ac:dyDescent="0.25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</row>
    <row r="3104" spans="1:11" ht="15.75" customHeight="1" x14ac:dyDescent="0.25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</row>
    <row r="3105" spans="1:11" ht="15.75" customHeight="1" x14ac:dyDescent="0.25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</row>
    <row r="3106" spans="1:11" ht="15.75" customHeight="1" x14ac:dyDescent="0.25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</row>
    <row r="3107" spans="1:11" ht="15.75" customHeight="1" x14ac:dyDescent="0.25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</row>
    <row r="3108" spans="1:11" ht="15.75" customHeight="1" x14ac:dyDescent="0.25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</row>
    <row r="3109" spans="1:11" ht="15.75" customHeight="1" x14ac:dyDescent="0.25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</row>
    <row r="3110" spans="1:11" ht="15.75" customHeight="1" x14ac:dyDescent="0.25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</row>
    <row r="3111" spans="1:11" ht="15.75" customHeight="1" x14ac:dyDescent="0.25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</row>
    <row r="3112" spans="1:11" ht="15.75" customHeight="1" x14ac:dyDescent="0.25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</row>
    <row r="3113" spans="1:11" ht="15.75" customHeight="1" x14ac:dyDescent="0.25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</row>
    <row r="3114" spans="1:11" ht="15.75" customHeight="1" x14ac:dyDescent="0.25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</row>
    <row r="3115" spans="1:11" ht="15.75" customHeight="1" x14ac:dyDescent="0.25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</row>
    <row r="3116" spans="1:11" ht="15.75" customHeight="1" x14ac:dyDescent="0.25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</row>
    <row r="3117" spans="1:11" ht="15.75" customHeight="1" x14ac:dyDescent="0.25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</row>
    <row r="3118" spans="1:11" ht="15.75" customHeight="1" x14ac:dyDescent="0.25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</row>
    <row r="3119" spans="1:11" ht="15.75" customHeight="1" x14ac:dyDescent="0.25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</row>
    <row r="3120" spans="1:11" ht="15.75" customHeight="1" x14ac:dyDescent="0.25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</row>
    <row r="3121" spans="1:11" ht="15.75" customHeight="1" x14ac:dyDescent="0.25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</row>
    <row r="3122" spans="1:11" ht="15.75" customHeight="1" x14ac:dyDescent="0.25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</row>
    <row r="3123" spans="1:11" ht="15.75" customHeight="1" x14ac:dyDescent="0.25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</row>
    <row r="3124" spans="1:11" ht="15.75" customHeight="1" x14ac:dyDescent="0.25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</row>
    <row r="3125" spans="1:11" ht="15.75" customHeight="1" x14ac:dyDescent="0.25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</row>
    <row r="3126" spans="1:11" ht="15.75" customHeight="1" x14ac:dyDescent="0.25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</row>
    <row r="3127" spans="1:11" ht="15.75" customHeight="1" x14ac:dyDescent="0.25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</row>
    <row r="3128" spans="1:11" ht="15.75" customHeight="1" x14ac:dyDescent="0.25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</row>
    <row r="3129" spans="1:11" ht="15.75" customHeight="1" x14ac:dyDescent="0.25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</row>
    <row r="3130" spans="1:11" ht="15.75" customHeight="1" x14ac:dyDescent="0.25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</row>
    <row r="3131" spans="1:11" ht="15.75" customHeight="1" x14ac:dyDescent="0.25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</row>
    <row r="3132" spans="1:11" ht="15.75" customHeight="1" x14ac:dyDescent="0.25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</row>
    <row r="3133" spans="1:11" ht="15.75" customHeight="1" x14ac:dyDescent="0.25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</row>
    <row r="3134" spans="1:11" ht="15.75" customHeight="1" x14ac:dyDescent="0.25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</row>
    <row r="3135" spans="1:11" ht="15.75" customHeight="1" x14ac:dyDescent="0.25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</row>
    <row r="3136" spans="1:11" ht="15.75" customHeight="1" x14ac:dyDescent="0.25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</row>
    <row r="3137" spans="1:11" ht="15.75" customHeight="1" x14ac:dyDescent="0.25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</row>
    <row r="3138" spans="1:11" ht="15.75" customHeight="1" x14ac:dyDescent="0.25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</row>
    <row r="3139" spans="1:11" ht="15.75" customHeight="1" x14ac:dyDescent="0.25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</row>
    <row r="3140" spans="1:11" ht="15.75" customHeight="1" x14ac:dyDescent="0.25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</row>
    <row r="3141" spans="1:11" ht="15.75" customHeight="1" x14ac:dyDescent="0.25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</row>
    <row r="3142" spans="1:11" ht="15.75" customHeight="1" x14ac:dyDescent="0.25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</row>
    <row r="3143" spans="1:11" ht="15.75" customHeight="1" x14ac:dyDescent="0.25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</row>
    <row r="3144" spans="1:11" ht="15.75" customHeight="1" x14ac:dyDescent="0.25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</row>
    <row r="3145" spans="1:11" ht="15.75" customHeight="1" x14ac:dyDescent="0.25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</row>
    <row r="3146" spans="1:11" ht="15.75" customHeight="1" x14ac:dyDescent="0.25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</row>
    <row r="3147" spans="1:11" ht="15.75" customHeight="1" x14ac:dyDescent="0.25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</row>
    <row r="3148" spans="1:11" ht="15.75" customHeight="1" x14ac:dyDescent="0.25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</row>
    <row r="3149" spans="1:11" ht="15.75" customHeight="1" x14ac:dyDescent="0.25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</row>
    <row r="3150" spans="1:11" ht="15.75" customHeight="1" x14ac:dyDescent="0.25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</row>
    <row r="3151" spans="1:11" ht="15.75" customHeight="1" x14ac:dyDescent="0.25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</row>
    <row r="3152" spans="1:11" ht="15.75" customHeight="1" x14ac:dyDescent="0.25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</row>
    <row r="3153" spans="1:11" ht="15.75" customHeight="1" x14ac:dyDescent="0.25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</row>
    <row r="3154" spans="1:11" ht="15.75" customHeight="1" x14ac:dyDescent="0.25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</row>
    <row r="3155" spans="1:11" ht="15.75" customHeight="1" x14ac:dyDescent="0.25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</row>
    <row r="3156" spans="1:11" ht="15.75" customHeight="1" x14ac:dyDescent="0.25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</row>
    <row r="3157" spans="1:11" ht="15.75" customHeight="1" x14ac:dyDescent="0.25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</row>
    <row r="3158" spans="1:11" ht="15.75" customHeight="1" x14ac:dyDescent="0.25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</row>
    <row r="3159" spans="1:11" ht="15.75" customHeight="1" x14ac:dyDescent="0.25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</row>
    <row r="3160" spans="1:11" ht="15.75" customHeight="1" x14ac:dyDescent="0.25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</row>
    <row r="3161" spans="1:11" ht="15.75" customHeight="1" x14ac:dyDescent="0.25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</row>
    <row r="3162" spans="1:11" ht="15.75" customHeight="1" x14ac:dyDescent="0.25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</row>
    <row r="3163" spans="1:11" ht="15.75" customHeight="1" x14ac:dyDescent="0.25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</row>
    <row r="3164" spans="1:11" ht="15.75" customHeight="1" x14ac:dyDescent="0.25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</row>
    <row r="3165" spans="1:11" ht="15.75" customHeight="1" x14ac:dyDescent="0.25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</row>
    <row r="3166" spans="1:11" ht="15.75" customHeight="1" x14ac:dyDescent="0.25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</row>
    <row r="3167" spans="1:11" ht="15.75" customHeight="1" x14ac:dyDescent="0.25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</row>
    <row r="3168" spans="1:11" ht="15.75" customHeight="1" x14ac:dyDescent="0.25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</row>
    <row r="3169" spans="1:11" ht="15.75" customHeight="1" x14ac:dyDescent="0.25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</row>
    <row r="3170" spans="1:11" ht="15.75" customHeight="1" x14ac:dyDescent="0.25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</row>
    <row r="3171" spans="1:11" ht="15.75" customHeight="1" x14ac:dyDescent="0.25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</row>
    <row r="3172" spans="1:11" ht="15.75" customHeight="1" x14ac:dyDescent="0.25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</row>
    <row r="3173" spans="1:11" ht="15.75" customHeight="1" x14ac:dyDescent="0.25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</row>
    <row r="3174" spans="1:11" ht="15.75" customHeight="1" x14ac:dyDescent="0.25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</row>
    <row r="3175" spans="1:11" ht="15.75" customHeight="1" x14ac:dyDescent="0.25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</row>
    <row r="3176" spans="1:11" ht="15.75" customHeight="1" x14ac:dyDescent="0.25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</row>
    <row r="3177" spans="1:11" ht="15.75" customHeight="1" x14ac:dyDescent="0.25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</row>
    <row r="3178" spans="1:11" ht="15.75" customHeight="1" x14ac:dyDescent="0.25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</row>
    <row r="3179" spans="1:11" ht="15.75" customHeight="1" x14ac:dyDescent="0.25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</row>
    <row r="3180" spans="1:11" ht="15.75" customHeight="1" x14ac:dyDescent="0.25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</row>
    <row r="3181" spans="1:11" ht="15.75" customHeight="1" x14ac:dyDescent="0.25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</row>
    <row r="3182" spans="1:11" ht="15.75" customHeight="1" x14ac:dyDescent="0.25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</row>
    <row r="3183" spans="1:11" ht="15.75" customHeight="1" x14ac:dyDescent="0.25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</row>
    <row r="3184" spans="1:11" ht="15.75" customHeight="1" x14ac:dyDescent="0.25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</row>
    <row r="3185" spans="1:11" ht="15.75" customHeight="1" x14ac:dyDescent="0.25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</row>
    <row r="3186" spans="1:11" ht="15.75" customHeight="1" x14ac:dyDescent="0.25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</row>
    <row r="3187" spans="1:11" ht="15.75" customHeight="1" x14ac:dyDescent="0.25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</row>
    <row r="3188" spans="1:11" ht="15.75" customHeight="1" x14ac:dyDescent="0.25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</row>
    <row r="3189" spans="1:11" ht="15.75" customHeight="1" x14ac:dyDescent="0.25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</row>
    <row r="3190" spans="1:11" ht="15.75" customHeight="1" x14ac:dyDescent="0.25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</row>
    <row r="3191" spans="1:11" ht="15.75" customHeight="1" x14ac:dyDescent="0.25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</row>
    <row r="3192" spans="1:11" ht="15.75" customHeight="1" x14ac:dyDescent="0.25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</row>
    <row r="3193" spans="1:11" ht="15.75" customHeight="1" x14ac:dyDescent="0.25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</row>
    <row r="3194" spans="1:11" ht="15.75" customHeight="1" x14ac:dyDescent="0.25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</row>
    <row r="3195" spans="1:11" ht="15.75" customHeight="1" x14ac:dyDescent="0.25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</row>
    <row r="3196" spans="1:11" ht="15.75" customHeight="1" x14ac:dyDescent="0.25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</row>
    <row r="3197" spans="1:11" ht="15.75" customHeight="1" x14ac:dyDescent="0.25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</row>
    <row r="3198" spans="1:11" ht="15.75" customHeight="1" x14ac:dyDescent="0.25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</row>
    <row r="3199" spans="1:11" ht="15.75" customHeight="1" x14ac:dyDescent="0.25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</row>
    <row r="3200" spans="1:11" ht="15.75" customHeight="1" x14ac:dyDescent="0.25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</row>
    <row r="3201" spans="1:11" ht="15.75" customHeight="1" x14ac:dyDescent="0.25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</row>
    <row r="3202" spans="1:11" ht="15.75" customHeight="1" x14ac:dyDescent="0.25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</row>
    <row r="3203" spans="1:11" ht="15.75" customHeight="1" x14ac:dyDescent="0.25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</row>
    <row r="3204" spans="1:11" ht="15.75" customHeight="1" x14ac:dyDescent="0.25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</row>
    <row r="3205" spans="1:11" ht="15.75" customHeight="1" x14ac:dyDescent="0.25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</row>
    <row r="3206" spans="1:11" ht="15.75" customHeight="1" x14ac:dyDescent="0.25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</row>
    <row r="3207" spans="1:11" ht="15.75" customHeight="1" x14ac:dyDescent="0.25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</row>
    <row r="3208" spans="1:11" ht="15.75" customHeight="1" x14ac:dyDescent="0.25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</row>
    <row r="3209" spans="1:11" ht="15.75" customHeight="1" x14ac:dyDescent="0.25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</row>
    <row r="3210" spans="1:11" ht="15.75" customHeight="1" x14ac:dyDescent="0.25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</row>
    <row r="3211" spans="1:11" ht="15.75" customHeight="1" x14ac:dyDescent="0.25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</row>
    <row r="3212" spans="1:11" ht="15.75" customHeight="1" x14ac:dyDescent="0.25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</row>
    <row r="3213" spans="1:11" ht="15.75" customHeight="1" x14ac:dyDescent="0.25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</row>
    <row r="3214" spans="1:11" ht="15.75" customHeight="1" x14ac:dyDescent="0.25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</row>
    <row r="3215" spans="1:11" ht="15.75" customHeight="1" x14ac:dyDescent="0.25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</row>
    <row r="3216" spans="1:11" ht="15.75" customHeight="1" x14ac:dyDescent="0.25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</row>
    <row r="3217" spans="1:11" ht="15.75" customHeight="1" x14ac:dyDescent="0.25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</row>
    <row r="3218" spans="1:11" ht="15.75" customHeight="1" x14ac:dyDescent="0.25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</row>
    <row r="3219" spans="1:11" ht="15.75" customHeight="1" x14ac:dyDescent="0.25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</row>
    <row r="3220" spans="1:11" ht="15.75" customHeight="1" x14ac:dyDescent="0.25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</row>
    <row r="3221" spans="1:11" ht="15.75" customHeight="1" x14ac:dyDescent="0.25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</row>
    <row r="3222" spans="1:11" ht="15.75" customHeight="1" x14ac:dyDescent="0.25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</row>
    <row r="3223" spans="1:11" ht="15.75" customHeight="1" x14ac:dyDescent="0.25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</row>
    <row r="3224" spans="1:11" ht="15.75" customHeight="1" x14ac:dyDescent="0.25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</row>
    <row r="3225" spans="1:11" ht="15.75" customHeight="1" x14ac:dyDescent="0.25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</row>
    <row r="3226" spans="1:11" ht="15.75" customHeight="1" x14ac:dyDescent="0.25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</row>
    <row r="3227" spans="1:11" ht="15.75" customHeight="1" x14ac:dyDescent="0.25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</row>
    <row r="3228" spans="1:11" ht="15.75" customHeight="1" x14ac:dyDescent="0.25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</row>
    <row r="3229" spans="1:11" ht="15.75" customHeight="1" x14ac:dyDescent="0.25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</row>
    <row r="3230" spans="1:11" ht="15.75" customHeight="1" x14ac:dyDescent="0.25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</row>
    <row r="3231" spans="1:11" ht="15.75" customHeight="1" x14ac:dyDescent="0.25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</row>
    <row r="3232" spans="1:11" ht="15.75" customHeight="1" x14ac:dyDescent="0.25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</row>
    <row r="3233" spans="1:11" ht="15.75" customHeight="1" x14ac:dyDescent="0.25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</row>
    <row r="3234" spans="1:11" ht="15.75" customHeight="1" x14ac:dyDescent="0.25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</row>
    <row r="3235" spans="1:11" ht="15.75" customHeight="1" x14ac:dyDescent="0.25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</row>
    <row r="3236" spans="1:11" ht="15.75" customHeight="1" x14ac:dyDescent="0.25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</row>
    <row r="3237" spans="1:11" ht="15.75" customHeight="1" x14ac:dyDescent="0.25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</row>
    <row r="3238" spans="1:11" ht="15.75" customHeight="1" x14ac:dyDescent="0.25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</row>
    <row r="3239" spans="1:11" ht="15.75" customHeight="1" x14ac:dyDescent="0.25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</row>
    <row r="3240" spans="1:11" ht="15.75" customHeight="1" x14ac:dyDescent="0.25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</row>
    <row r="3241" spans="1:11" ht="15.75" customHeight="1" x14ac:dyDescent="0.25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</row>
    <row r="3242" spans="1:11" ht="15.75" customHeight="1" x14ac:dyDescent="0.25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</row>
    <row r="3243" spans="1:11" ht="15.75" customHeight="1" x14ac:dyDescent="0.25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</row>
    <row r="3244" spans="1:11" ht="15.75" customHeight="1" x14ac:dyDescent="0.25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</row>
    <row r="3245" spans="1:11" ht="15.75" customHeight="1" x14ac:dyDescent="0.25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</row>
    <row r="3246" spans="1:11" ht="15.75" customHeight="1" x14ac:dyDescent="0.25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</row>
    <row r="3247" spans="1:11" ht="15.75" customHeight="1" x14ac:dyDescent="0.25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</row>
    <row r="3248" spans="1:11" ht="15.75" customHeight="1" x14ac:dyDescent="0.25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</row>
    <row r="3249" spans="1:11" ht="15.75" customHeight="1" x14ac:dyDescent="0.25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</row>
    <row r="3250" spans="1:11" ht="15.75" customHeight="1" x14ac:dyDescent="0.25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</row>
    <row r="3251" spans="1:11" ht="15.75" customHeight="1" x14ac:dyDescent="0.25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</row>
    <row r="3252" spans="1:11" ht="15.75" customHeight="1" x14ac:dyDescent="0.25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</row>
    <row r="3253" spans="1:11" ht="15.75" customHeight="1" x14ac:dyDescent="0.25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</row>
    <row r="3254" spans="1:11" ht="15.75" customHeight="1" x14ac:dyDescent="0.25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</row>
    <row r="3255" spans="1:11" ht="15.75" customHeight="1" x14ac:dyDescent="0.25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</row>
    <row r="3256" spans="1:11" ht="15.75" customHeight="1" x14ac:dyDescent="0.25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</row>
    <row r="3257" spans="1:11" ht="15.75" customHeight="1" x14ac:dyDescent="0.25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</row>
    <row r="3258" spans="1:11" ht="15.75" customHeight="1" x14ac:dyDescent="0.25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</row>
    <row r="3259" spans="1:11" ht="15.75" customHeight="1" x14ac:dyDescent="0.25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</row>
    <row r="3260" spans="1:11" ht="15.75" customHeight="1" x14ac:dyDescent="0.25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</row>
    <row r="3261" spans="1:11" ht="15.75" customHeight="1" x14ac:dyDescent="0.25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</row>
    <row r="3262" spans="1:11" ht="15.75" customHeight="1" x14ac:dyDescent="0.25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</row>
    <row r="3263" spans="1:11" ht="15.75" customHeight="1" x14ac:dyDescent="0.25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</row>
    <row r="3264" spans="1:11" ht="15.75" customHeight="1" x14ac:dyDescent="0.25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</row>
    <row r="3265" spans="1:11" ht="15.75" customHeight="1" x14ac:dyDescent="0.25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</row>
    <row r="3266" spans="1:11" ht="15.75" customHeight="1" x14ac:dyDescent="0.25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</row>
    <row r="3267" spans="1:11" ht="15.75" customHeight="1" x14ac:dyDescent="0.25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</row>
    <row r="3268" spans="1:11" ht="15.75" customHeight="1" x14ac:dyDescent="0.25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</row>
    <row r="3269" spans="1:11" ht="15.75" customHeight="1" x14ac:dyDescent="0.25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</row>
    <row r="3270" spans="1:11" ht="15.75" customHeight="1" x14ac:dyDescent="0.25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</row>
    <row r="3271" spans="1:11" ht="15.75" customHeight="1" x14ac:dyDescent="0.25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</row>
    <row r="3272" spans="1:11" ht="15.75" customHeight="1" x14ac:dyDescent="0.25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</row>
    <row r="3273" spans="1:11" ht="15.75" customHeight="1" x14ac:dyDescent="0.25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</row>
    <row r="3274" spans="1:11" ht="15.75" customHeight="1" x14ac:dyDescent="0.25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</row>
    <row r="3275" spans="1:11" ht="15.75" customHeight="1" x14ac:dyDescent="0.25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</row>
    <row r="3276" spans="1:11" ht="15.75" customHeight="1" x14ac:dyDescent="0.25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</row>
    <row r="3277" spans="1:11" ht="15.75" customHeight="1" x14ac:dyDescent="0.25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</row>
    <row r="3278" spans="1:11" ht="15.75" customHeight="1" x14ac:dyDescent="0.25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</row>
    <row r="3279" spans="1:11" ht="15.75" customHeight="1" x14ac:dyDescent="0.25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</row>
    <row r="3280" spans="1:11" ht="15.75" customHeight="1" x14ac:dyDescent="0.25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</row>
    <row r="3281" spans="1:11" ht="15.75" customHeight="1" x14ac:dyDescent="0.25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</row>
    <row r="3282" spans="1:11" ht="15.75" customHeight="1" x14ac:dyDescent="0.25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</row>
    <row r="3283" spans="1:11" ht="15.75" customHeight="1" x14ac:dyDescent="0.25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</row>
    <row r="3284" spans="1:11" ht="15.75" customHeight="1" x14ac:dyDescent="0.25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</row>
    <row r="3285" spans="1:11" ht="15.75" customHeight="1" x14ac:dyDescent="0.25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</row>
    <row r="3286" spans="1:11" ht="15.75" customHeight="1" x14ac:dyDescent="0.25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</row>
    <row r="3287" spans="1:11" ht="15.75" customHeight="1" x14ac:dyDescent="0.25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</row>
    <row r="3288" spans="1:11" ht="15.75" customHeight="1" x14ac:dyDescent="0.25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</row>
    <row r="3289" spans="1:11" ht="15.75" customHeight="1" x14ac:dyDescent="0.25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</row>
    <row r="3290" spans="1:11" ht="15.75" customHeight="1" x14ac:dyDescent="0.25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</row>
    <row r="3291" spans="1:11" ht="15.75" customHeight="1" x14ac:dyDescent="0.25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</row>
    <row r="3292" spans="1:11" ht="15.75" customHeight="1" x14ac:dyDescent="0.25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</row>
    <row r="3293" spans="1:11" ht="15.75" customHeight="1" x14ac:dyDescent="0.25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</row>
    <row r="3294" spans="1:11" ht="15.75" customHeight="1" x14ac:dyDescent="0.25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</row>
    <row r="3295" spans="1:11" ht="15.75" customHeight="1" x14ac:dyDescent="0.25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</row>
    <row r="3296" spans="1:11" ht="15.75" customHeight="1" x14ac:dyDescent="0.25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</row>
    <row r="3297" spans="1:11" ht="15.75" customHeight="1" x14ac:dyDescent="0.25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</row>
    <row r="3298" spans="1:11" ht="15.75" customHeight="1" x14ac:dyDescent="0.25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</row>
    <row r="3299" spans="1:11" ht="15.75" customHeight="1" x14ac:dyDescent="0.25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</row>
    <row r="3300" spans="1:11" ht="15.75" customHeight="1" x14ac:dyDescent="0.25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</row>
    <row r="3301" spans="1:11" ht="15.75" customHeight="1" x14ac:dyDescent="0.25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</row>
    <row r="3302" spans="1:11" ht="15.75" customHeight="1" x14ac:dyDescent="0.25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</row>
    <row r="3303" spans="1:11" ht="15.75" customHeight="1" x14ac:dyDescent="0.25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</row>
    <row r="3304" spans="1:11" ht="15.75" customHeight="1" x14ac:dyDescent="0.25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</row>
    <row r="3305" spans="1:11" ht="15.75" customHeight="1" x14ac:dyDescent="0.25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</row>
    <row r="3306" spans="1:11" ht="15.75" customHeight="1" x14ac:dyDescent="0.25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</row>
    <row r="3307" spans="1:11" ht="15.75" customHeight="1" x14ac:dyDescent="0.25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</row>
    <row r="3308" spans="1:11" ht="15.75" customHeight="1" x14ac:dyDescent="0.25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</row>
    <row r="3309" spans="1:11" ht="15.75" customHeight="1" x14ac:dyDescent="0.25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</row>
    <row r="3310" spans="1:11" ht="15.75" customHeight="1" x14ac:dyDescent="0.25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</row>
    <row r="3311" spans="1:11" ht="15.75" customHeight="1" x14ac:dyDescent="0.25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</row>
    <row r="3312" spans="1:11" ht="15.75" customHeight="1" x14ac:dyDescent="0.25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</row>
    <row r="3313" spans="1:11" ht="15.75" customHeight="1" x14ac:dyDescent="0.25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</row>
    <row r="3314" spans="1:11" ht="15.75" customHeight="1" x14ac:dyDescent="0.25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</row>
    <row r="3315" spans="1:11" ht="15.75" customHeight="1" x14ac:dyDescent="0.25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</row>
    <row r="3316" spans="1:11" ht="15.75" customHeight="1" x14ac:dyDescent="0.25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</row>
    <row r="3317" spans="1:11" ht="15.75" customHeight="1" x14ac:dyDescent="0.25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</row>
    <row r="3318" spans="1:11" ht="15.75" customHeight="1" x14ac:dyDescent="0.25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</row>
    <row r="3319" spans="1:11" ht="15.75" customHeight="1" x14ac:dyDescent="0.25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</row>
    <row r="3320" spans="1:11" ht="15.75" customHeight="1" x14ac:dyDescent="0.25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</row>
    <row r="3321" spans="1:11" ht="15.75" customHeight="1" x14ac:dyDescent="0.25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</row>
    <row r="3322" spans="1:11" ht="15.75" customHeight="1" x14ac:dyDescent="0.25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</row>
    <row r="3323" spans="1:11" ht="15.75" customHeight="1" x14ac:dyDescent="0.25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</row>
    <row r="3324" spans="1:11" ht="15.75" customHeight="1" x14ac:dyDescent="0.25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</row>
    <row r="3325" spans="1:11" ht="15.75" customHeight="1" x14ac:dyDescent="0.25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</row>
    <row r="3326" spans="1:11" ht="15.75" customHeight="1" x14ac:dyDescent="0.25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</row>
    <row r="3327" spans="1:11" ht="15.75" customHeight="1" x14ac:dyDescent="0.25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</row>
    <row r="3328" spans="1:11" ht="15.75" customHeight="1" x14ac:dyDescent="0.25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</row>
    <row r="3329" spans="1:11" ht="15.75" customHeight="1" x14ac:dyDescent="0.25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</row>
    <row r="3330" spans="1:11" ht="15.75" customHeight="1" x14ac:dyDescent="0.25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</row>
    <row r="3331" spans="1:11" ht="15.75" customHeight="1" x14ac:dyDescent="0.25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</row>
    <row r="3332" spans="1:11" ht="15.75" customHeight="1" x14ac:dyDescent="0.25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</row>
    <row r="3333" spans="1:11" ht="15.75" customHeight="1" x14ac:dyDescent="0.25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</row>
    <row r="3334" spans="1:11" ht="15.75" customHeight="1" x14ac:dyDescent="0.25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</row>
    <row r="3335" spans="1:11" ht="15.75" customHeight="1" x14ac:dyDescent="0.25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</row>
    <row r="3336" spans="1:11" ht="15.75" customHeight="1" x14ac:dyDescent="0.25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</row>
    <row r="3337" spans="1:11" ht="15.75" customHeight="1" x14ac:dyDescent="0.25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</row>
    <row r="3338" spans="1:11" ht="15.75" customHeight="1" x14ac:dyDescent="0.25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</row>
    <row r="3339" spans="1:11" ht="15.75" customHeight="1" x14ac:dyDescent="0.25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</row>
    <row r="3340" spans="1:11" ht="15.75" customHeight="1" x14ac:dyDescent="0.25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</row>
    <row r="3341" spans="1:11" ht="15.75" customHeight="1" x14ac:dyDescent="0.25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</row>
    <row r="3342" spans="1:11" ht="15.75" customHeight="1" x14ac:dyDescent="0.25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</row>
    <row r="3343" spans="1:11" ht="15.75" customHeight="1" x14ac:dyDescent="0.25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</row>
    <row r="3344" spans="1:11" ht="15.75" customHeight="1" x14ac:dyDescent="0.25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</row>
    <row r="3345" spans="1:11" ht="15.75" customHeight="1" x14ac:dyDescent="0.25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</row>
    <row r="3346" spans="1:11" ht="15.75" customHeight="1" x14ac:dyDescent="0.25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</row>
    <row r="3347" spans="1:11" ht="15.75" customHeight="1" x14ac:dyDescent="0.25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</row>
    <row r="3348" spans="1:11" ht="15.75" customHeight="1" x14ac:dyDescent="0.25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</row>
    <row r="3349" spans="1:11" ht="15.75" customHeight="1" x14ac:dyDescent="0.25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</row>
    <row r="3350" spans="1:11" ht="15.75" customHeight="1" x14ac:dyDescent="0.25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</row>
    <row r="3351" spans="1:11" ht="15.75" customHeight="1" x14ac:dyDescent="0.25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</row>
    <row r="3352" spans="1:11" ht="15.75" customHeight="1" x14ac:dyDescent="0.25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</row>
    <row r="3353" spans="1:11" ht="15.75" customHeight="1" x14ac:dyDescent="0.25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</row>
    <row r="3354" spans="1:11" ht="15.75" customHeight="1" x14ac:dyDescent="0.25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</row>
    <row r="3355" spans="1:11" ht="15.75" customHeight="1" x14ac:dyDescent="0.25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</row>
    <row r="3356" spans="1:11" ht="15.75" customHeight="1" x14ac:dyDescent="0.25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</row>
    <row r="3357" spans="1:11" ht="15.75" customHeight="1" x14ac:dyDescent="0.25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</row>
    <row r="3358" spans="1:11" ht="15.75" customHeight="1" x14ac:dyDescent="0.25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</row>
    <row r="3359" spans="1:11" ht="15.75" customHeight="1" x14ac:dyDescent="0.25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</row>
    <row r="3360" spans="1:11" ht="15.75" customHeight="1" x14ac:dyDescent="0.25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</row>
    <row r="3361" spans="1:11" ht="15.75" customHeight="1" x14ac:dyDescent="0.25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</row>
    <row r="3362" spans="1:11" ht="15.75" customHeight="1" x14ac:dyDescent="0.25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</row>
    <row r="3363" spans="1:11" ht="15.75" customHeight="1" x14ac:dyDescent="0.25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</row>
    <row r="3364" spans="1:11" ht="15.75" customHeight="1" x14ac:dyDescent="0.25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</row>
    <row r="3365" spans="1:11" ht="15.75" customHeight="1" x14ac:dyDescent="0.25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</row>
    <row r="3366" spans="1:11" ht="15.75" customHeight="1" x14ac:dyDescent="0.25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</row>
    <row r="3367" spans="1:11" ht="15.75" customHeight="1" x14ac:dyDescent="0.25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</row>
    <row r="3368" spans="1:11" ht="15.75" customHeight="1" x14ac:dyDescent="0.25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</row>
    <row r="3369" spans="1:11" ht="15.75" customHeight="1" x14ac:dyDescent="0.25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</row>
    <row r="3370" spans="1:11" ht="15.75" customHeight="1" x14ac:dyDescent="0.25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</row>
    <row r="3371" spans="1:11" ht="15.75" customHeight="1" x14ac:dyDescent="0.25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</row>
    <row r="3372" spans="1:11" ht="15.75" customHeight="1" x14ac:dyDescent="0.25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</row>
    <row r="3373" spans="1:11" ht="15.75" customHeight="1" x14ac:dyDescent="0.25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</row>
    <row r="3374" spans="1:11" ht="15.75" customHeight="1" x14ac:dyDescent="0.25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</row>
    <row r="3375" spans="1:11" ht="15.75" customHeight="1" x14ac:dyDescent="0.25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</row>
    <row r="3376" spans="1:11" ht="15.75" customHeight="1" x14ac:dyDescent="0.25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</row>
    <row r="3377" spans="1:11" ht="15.75" customHeight="1" x14ac:dyDescent="0.25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</row>
    <row r="3378" spans="1:11" ht="15.75" customHeight="1" x14ac:dyDescent="0.25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</row>
    <row r="3379" spans="1:11" ht="15.75" customHeight="1" x14ac:dyDescent="0.25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</row>
    <row r="3380" spans="1:11" ht="15.75" customHeight="1" x14ac:dyDescent="0.25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</row>
    <row r="3381" spans="1:11" ht="15.75" customHeight="1" x14ac:dyDescent="0.25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</row>
    <row r="3382" spans="1:11" ht="15.75" customHeight="1" x14ac:dyDescent="0.25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</row>
    <row r="3383" spans="1:11" ht="15.75" customHeight="1" x14ac:dyDescent="0.25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</row>
    <row r="3384" spans="1:11" ht="15.75" customHeight="1" x14ac:dyDescent="0.25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</row>
    <row r="3385" spans="1:11" ht="15.75" customHeight="1" x14ac:dyDescent="0.25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</row>
    <row r="3386" spans="1:11" ht="15.75" customHeight="1" x14ac:dyDescent="0.25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</row>
    <row r="3387" spans="1:11" ht="15.75" customHeight="1" x14ac:dyDescent="0.25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</row>
    <row r="3388" spans="1:11" ht="15.75" customHeight="1" x14ac:dyDescent="0.25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</row>
    <row r="3389" spans="1:11" ht="15.75" customHeight="1" x14ac:dyDescent="0.25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</row>
    <row r="3390" spans="1:11" ht="15.75" customHeight="1" x14ac:dyDescent="0.25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</row>
    <row r="3391" spans="1:11" ht="15.75" customHeight="1" x14ac:dyDescent="0.25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</row>
    <row r="3392" spans="1:11" ht="15.75" customHeight="1" x14ac:dyDescent="0.25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</row>
    <row r="3393" spans="1:11" ht="15.75" customHeight="1" x14ac:dyDescent="0.25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</row>
    <row r="3394" spans="1:11" ht="15.75" customHeight="1" x14ac:dyDescent="0.25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</row>
    <row r="3395" spans="1:11" ht="15.75" customHeight="1" x14ac:dyDescent="0.25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</row>
    <row r="3396" spans="1:11" ht="15.75" customHeight="1" x14ac:dyDescent="0.25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</row>
    <row r="3397" spans="1:11" ht="15.75" customHeight="1" x14ac:dyDescent="0.25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</row>
    <row r="3398" spans="1:11" ht="15.75" customHeight="1" x14ac:dyDescent="0.25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</row>
    <row r="3399" spans="1:11" ht="15.75" customHeight="1" x14ac:dyDescent="0.25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</row>
    <row r="3400" spans="1:11" ht="15.75" customHeight="1" x14ac:dyDescent="0.25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</row>
    <row r="3401" spans="1:11" ht="15.75" customHeight="1" x14ac:dyDescent="0.25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</row>
    <row r="3402" spans="1:11" ht="15.75" customHeight="1" x14ac:dyDescent="0.25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</row>
    <row r="3403" spans="1:11" ht="15.75" customHeight="1" x14ac:dyDescent="0.25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</row>
    <row r="3404" spans="1:11" ht="15.75" customHeight="1" x14ac:dyDescent="0.25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</row>
    <row r="3405" spans="1:11" ht="15.75" customHeight="1" x14ac:dyDescent="0.25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</row>
    <row r="3406" spans="1:11" ht="15.75" customHeight="1" x14ac:dyDescent="0.25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</row>
    <row r="3407" spans="1:11" ht="15.75" customHeight="1" x14ac:dyDescent="0.25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</row>
    <row r="3408" spans="1:11" ht="15.75" customHeight="1" x14ac:dyDescent="0.25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</row>
    <row r="3409" spans="1:11" ht="15.75" customHeight="1" x14ac:dyDescent="0.25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</row>
    <row r="3410" spans="1:11" ht="15.75" customHeight="1" x14ac:dyDescent="0.25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</row>
    <row r="3411" spans="1:11" ht="15.75" customHeight="1" x14ac:dyDescent="0.25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</row>
    <row r="3412" spans="1:11" ht="15.75" customHeight="1" x14ac:dyDescent="0.25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</row>
    <row r="3413" spans="1:11" ht="15.75" customHeight="1" x14ac:dyDescent="0.25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</row>
    <row r="3414" spans="1:11" ht="15.75" customHeight="1" x14ac:dyDescent="0.25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</row>
    <row r="3415" spans="1:11" ht="15.75" customHeight="1" x14ac:dyDescent="0.25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</row>
    <row r="3416" spans="1:11" ht="15.75" customHeight="1" x14ac:dyDescent="0.25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</row>
    <row r="3417" spans="1:11" ht="15.75" customHeight="1" x14ac:dyDescent="0.25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</row>
    <row r="3418" spans="1:11" ht="15.75" customHeight="1" x14ac:dyDescent="0.25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</row>
    <row r="3419" spans="1:11" ht="15.75" customHeight="1" x14ac:dyDescent="0.25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</row>
    <row r="3420" spans="1:11" ht="15.75" customHeight="1" x14ac:dyDescent="0.25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</row>
    <row r="3421" spans="1:11" ht="15.75" customHeight="1" x14ac:dyDescent="0.25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</row>
    <row r="3422" spans="1:11" ht="15.75" customHeight="1" x14ac:dyDescent="0.25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</row>
    <row r="3423" spans="1:11" ht="15.75" customHeight="1" x14ac:dyDescent="0.25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</row>
    <row r="3424" spans="1:11" ht="15.75" customHeight="1" x14ac:dyDescent="0.25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</row>
    <row r="3425" spans="1:11" ht="15.75" customHeight="1" x14ac:dyDescent="0.25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</row>
    <row r="3426" spans="1:11" ht="15.75" customHeight="1" x14ac:dyDescent="0.25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</row>
    <row r="3427" spans="1:11" ht="15.75" customHeight="1" x14ac:dyDescent="0.25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</row>
    <row r="3428" spans="1:11" ht="15.75" customHeight="1" x14ac:dyDescent="0.25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</row>
    <row r="3429" spans="1:11" ht="15.75" customHeight="1" x14ac:dyDescent="0.25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</row>
    <row r="3430" spans="1:11" ht="15.75" customHeight="1" x14ac:dyDescent="0.25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</row>
    <row r="3431" spans="1:11" ht="15.75" customHeight="1" x14ac:dyDescent="0.25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</row>
    <row r="3432" spans="1:11" ht="15.75" customHeight="1" x14ac:dyDescent="0.25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</row>
    <row r="3433" spans="1:11" ht="15.75" customHeight="1" x14ac:dyDescent="0.25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</row>
    <row r="3434" spans="1:11" ht="15.75" customHeight="1" x14ac:dyDescent="0.25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</row>
    <row r="3435" spans="1:11" ht="15.75" customHeight="1" x14ac:dyDescent="0.25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</row>
    <row r="3436" spans="1:11" ht="15.75" customHeight="1" x14ac:dyDescent="0.25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</row>
    <row r="3437" spans="1:11" ht="15.75" customHeight="1" x14ac:dyDescent="0.25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</row>
    <row r="3438" spans="1:11" ht="15.75" customHeight="1" x14ac:dyDescent="0.25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</row>
    <row r="3439" spans="1:11" ht="15.75" customHeight="1" x14ac:dyDescent="0.25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</row>
    <row r="3440" spans="1:11" ht="15.75" customHeight="1" x14ac:dyDescent="0.25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</row>
    <row r="3441" spans="1:11" ht="15.75" customHeight="1" x14ac:dyDescent="0.25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</row>
    <row r="3442" spans="1:11" ht="15.75" customHeight="1" x14ac:dyDescent="0.25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</row>
    <row r="3443" spans="1:11" ht="15.75" customHeight="1" x14ac:dyDescent="0.25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</row>
    <row r="3444" spans="1:11" ht="15.75" customHeight="1" x14ac:dyDescent="0.25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</row>
    <row r="3445" spans="1:11" ht="15.75" customHeight="1" x14ac:dyDescent="0.25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</row>
    <row r="3446" spans="1:11" ht="15.75" customHeight="1" x14ac:dyDescent="0.25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</row>
    <row r="3447" spans="1:11" ht="15.75" customHeight="1" x14ac:dyDescent="0.25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</row>
    <row r="3448" spans="1:11" ht="15.75" customHeight="1" x14ac:dyDescent="0.25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</row>
    <row r="3449" spans="1:11" ht="15.75" customHeight="1" x14ac:dyDescent="0.25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</row>
    <row r="3450" spans="1:11" ht="15.75" customHeight="1" x14ac:dyDescent="0.25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</row>
    <row r="3451" spans="1:11" ht="15.75" customHeight="1" x14ac:dyDescent="0.25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</row>
    <row r="3452" spans="1:11" ht="15.75" customHeight="1" x14ac:dyDescent="0.25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</row>
    <row r="3453" spans="1:11" ht="15.75" customHeight="1" x14ac:dyDescent="0.25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</row>
    <row r="3454" spans="1:11" ht="15.75" customHeight="1" x14ac:dyDescent="0.25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</row>
    <row r="3455" spans="1:11" ht="15.75" customHeight="1" x14ac:dyDescent="0.25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</row>
    <row r="3456" spans="1:11" ht="15.75" customHeight="1" x14ac:dyDescent="0.25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</row>
    <row r="3457" spans="1:11" ht="15.75" customHeight="1" x14ac:dyDescent="0.25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</row>
    <row r="3458" spans="1:11" ht="15.75" customHeight="1" x14ac:dyDescent="0.25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</row>
    <row r="3459" spans="1:11" ht="15.75" customHeight="1" x14ac:dyDescent="0.25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</row>
    <row r="3460" spans="1:11" ht="15.75" customHeight="1" x14ac:dyDescent="0.25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</row>
    <row r="3461" spans="1:11" ht="15.75" customHeight="1" x14ac:dyDescent="0.25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</row>
    <row r="3462" spans="1:11" ht="15.75" customHeight="1" x14ac:dyDescent="0.25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</row>
    <row r="3463" spans="1:11" ht="15.75" customHeight="1" x14ac:dyDescent="0.25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</row>
    <row r="3464" spans="1:11" ht="15.75" customHeight="1" x14ac:dyDescent="0.25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</row>
    <row r="3465" spans="1:11" ht="15.75" customHeight="1" x14ac:dyDescent="0.25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</row>
    <row r="3466" spans="1:11" ht="15.75" customHeight="1" x14ac:dyDescent="0.25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</row>
    <row r="3467" spans="1:11" ht="15.75" customHeight="1" x14ac:dyDescent="0.25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</row>
    <row r="3468" spans="1:11" ht="15.75" customHeight="1" x14ac:dyDescent="0.25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</row>
    <row r="3469" spans="1:11" ht="15.75" customHeight="1" x14ac:dyDescent="0.25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</row>
    <row r="3470" spans="1:11" ht="15.75" customHeight="1" x14ac:dyDescent="0.25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</row>
    <row r="3471" spans="1:11" ht="15.75" customHeight="1" x14ac:dyDescent="0.25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</row>
    <row r="3472" spans="1:11" ht="15.75" customHeight="1" x14ac:dyDescent="0.25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</row>
    <row r="3473" spans="1:11" ht="15.75" customHeight="1" x14ac:dyDescent="0.25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</row>
    <row r="3474" spans="1:11" ht="15.75" customHeight="1" x14ac:dyDescent="0.25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</row>
    <row r="3475" spans="1:11" ht="15.75" customHeight="1" x14ac:dyDescent="0.25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</row>
    <row r="3476" spans="1:11" ht="15.75" customHeight="1" x14ac:dyDescent="0.25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</row>
    <row r="3477" spans="1:11" ht="15.75" customHeight="1" x14ac:dyDescent="0.25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</row>
    <row r="3478" spans="1:11" ht="15.75" customHeight="1" x14ac:dyDescent="0.25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</row>
    <row r="3479" spans="1:11" ht="15.75" customHeight="1" x14ac:dyDescent="0.25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</row>
    <row r="3480" spans="1:11" ht="15.75" customHeight="1" x14ac:dyDescent="0.25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</row>
    <row r="3481" spans="1:11" ht="15.75" customHeight="1" x14ac:dyDescent="0.25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</row>
    <row r="3482" spans="1:11" ht="15.75" customHeight="1" x14ac:dyDescent="0.25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</row>
    <row r="3483" spans="1:11" ht="15.75" customHeight="1" x14ac:dyDescent="0.25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</row>
    <row r="3484" spans="1:11" ht="15.75" customHeight="1" x14ac:dyDescent="0.25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</row>
    <row r="3485" spans="1:11" ht="15.75" customHeight="1" x14ac:dyDescent="0.25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</row>
    <row r="3486" spans="1:11" ht="15.75" customHeight="1" x14ac:dyDescent="0.25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</row>
    <row r="3487" spans="1:11" ht="15.75" customHeight="1" x14ac:dyDescent="0.25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</row>
    <row r="3488" spans="1:11" ht="15.75" customHeight="1" x14ac:dyDescent="0.25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</row>
    <row r="3489" spans="1:11" ht="15.75" customHeight="1" x14ac:dyDescent="0.25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</row>
    <row r="3490" spans="1:11" ht="15.75" customHeight="1" x14ac:dyDescent="0.25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</row>
    <row r="3491" spans="1:11" ht="15.75" customHeight="1" x14ac:dyDescent="0.25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</row>
    <row r="3492" spans="1:11" ht="15.75" customHeight="1" x14ac:dyDescent="0.25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</row>
    <row r="3493" spans="1:11" ht="15.75" customHeight="1" x14ac:dyDescent="0.25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</row>
    <row r="3494" spans="1:11" ht="15.75" customHeight="1" x14ac:dyDescent="0.25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</row>
    <row r="3495" spans="1:11" ht="15.75" customHeight="1" x14ac:dyDescent="0.25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</row>
    <row r="3496" spans="1:11" ht="15.75" customHeight="1" x14ac:dyDescent="0.25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</row>
    <row r="3497" spans="1:11" ht="15.75" customHeight="1" x14ac:dyDescent="0.25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</row>
    <row r="3498" spans="1:11" ht="15.75" customHeight="1" x14ac:dyDescent="0.25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</row>
    <row r="3499" spans="1:11" ht="15.75" customHeight="1" x14ac:dyDescent="0.25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</row>
    <row r="3500" spans="1:11" ht="15.75" customHeight="1" x14ac:dyDescent="0.25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</row>
    <row r="3501" spans="1:11" ht="15.75" customHeight="1" x14ac:dyDescent="0.25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</row>
    <row r="3502" spans="1:11" ht="15.75" customHeight="1" x14ac:dyDescent="0.25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</row>
    <row r="3503" spans="1:11" ht="15.75" customHeight="1" x14ac:dyDescent="0.25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</row>
    <row r="3504" spans="1:11" ht="15.75" customHeight="1" x14ac:dyDescent="0.25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</row>
    <row r="3505" spans="1:11" ht="15.75" customHeight="1" x14ac:dyDescent="0.25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</row>
    <row r="3506" spans="1:11" ht="15.75" customHeight="1" x14ac:dyDescent="0.25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</row>
    <row r="3507" spans="1:11" ht="15.75" customHeight="1" x14ac:dyDescent="0.25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</row>
    <row r="3508" spans="1:11" ht="15.75" customHeight="1" x14ac:dyDescent="0.25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</row>
    <row r="3509" spans="1:11" ht="15.75" customHeight="1" x14ac:dyDescent="0.25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</row>
    <row r="3510" spans="1:11" ht="15.75" customHeight="1" x14ac:dyDescent="0.25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</row>
    <row r="3511" spans="1:11" ht="15.75" customHeight="1" x14ac:dyDescent="0.25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</row>
    <row r="3512" spans="1:11" ht="15.75" customHeight="1" x14ac:dyDescent="0.25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</row>
    <row r="3513" spans="1:11" ht="15.75" customHeight="1" x14ac:dyDescent="0.25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</row>
    <row r="3514" spans="1:11" ht="15.75" customHeight="1" x14ac:dyDescent="0.25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</row>
    <row r="3515" spans="1:11" ht="15.75" customHeight="1" x14ac:dyDescent="0.25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</row>
    <row r="3516" spans="1:11" ht="15.75" customHeight="1" x14ac:dyDescent="0.25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</row>
    <row r="3517" spans="1:11" ht="15.75" customHeight="1" x14ac:dyDescent="0.25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</row>
    <row r="3518" spans="1:11" ht="15.75" customHeight="1" x14ac:dyDescent="0.25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</row>
    <row r="3519" spans="1:11" ht="15.75" customHeight="1" x14ac:dyDescent="0.25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</row>
    <row r="3520" spans="1:11" ht="15.75" customHeight="1" x14ac:dyDescent="0.25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</row>
    <row r="3521" spans="1:11" ht="15.75" customHeight="1" x14ac:dyDescent="0.25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</row>
    <row r="3522" spans="1:11" ht="15.75" customHeight="1" x14ac:dyDescent="0.25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</row>
    <row r="3523" spans="1:11" ht="15.75" customHeight="1" x14ac:dyDescent="0.25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</row>
    <row r="3524" spans="1:11" ht="15.75" customHeight="1" x14ac:dyDescent="0.25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</row>
    <row r="3525" spans="1:11" ht="15.75" customHeight="1" x14ac:dyDescent="0.25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</row>
    <row r="3526" spans="1:11" ht="15.75" customHeight="1" x14ac:dyDescent="0.25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</row>
    <row r="3527" spans="1:11" ht="15.75" customHeight="1" x14ac:dyDescent="0.25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</row>
    <row r="3528" spans="1:11" ht="15.75" customHeight="1" x14ac:dyDescent="0.25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</row>
    <row r="3529" spans="1:11" ht="15.75" customHeight="1" x14ac:dyDescent="0.25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</row>
    <row r="3530" spans="1:11" ht="15.75" customHeight="1" x14ac:dyDescent="0.25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</row>
    <row r="3531" spans="1:11" ht="15.75" customHeight="1" x14ac:dyDescent="0.25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</row>
    <row r="3532" spans="1:11" ht="15.75" customHeight="1" x14ac:dyDescent="0.25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</row>
    <row r="3533" spans="1:11" ht="15.75" customHeight="1" x14ac:dyDescent="0.25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</row>
    <row r="3534" spans="1:11" ht="15.75" customHeight="1" x14ac:dyDescent="0.25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</row>
    <row r="3535" spans="1:11" ht="15.75" customHeight="1" x14ac:dyDescent="0.25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</row>
    <row r="3536" spans="1:11" ht="15.75" customHeight="1" x14ac:dyDescent="0.25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</row>
    <row r="3537" spans="1:11" ht="15.75" customHeight="1" x14ac:dyDescent="0.25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</row>
    <row r="3538" spans="1:11" ht="15.75" customHeight="1" x14ac:dyDescent="0.25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</row>
    <row r="3539" spans="1:11" ht="15.75" customHeight="1" x14ac:dyDescent="0.25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</row>
    <row r="3540" spans="1:11" ht="15.75" customHeight="1" x14ac:dyDescent="0.25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</row>
    <row r="3541" spans="1:11" ht="15.75" customHeight="1" x14ac:dyDescent="0.25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</row>
    <row r="3542" spans="1:11" ht="15.75" customHeight="1" x14ac:dyDescent="0.25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</row>
    <row r="3543" spans="1:11" ht="15.75" customHeight="1" x14ac:dyDescent="0.25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</row>
    <row r="3544" spans="1:11" ht="15.75" customHeight="1" x14ac:dyDescent="0.25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</row>
    <row r="3545" spans="1:11" ht="15.75" customHeight="1" x14ac:dyDescent="0.25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</row>
    <row r="3546" spans="1:11" ht="15.75" customHeight="1" x14ac:dyDescent="0.25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</row>
    <row r="3547" spans="1:11" ht="15.75" customHeight="1" x14ac:dyDescent="0.25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</row>
    <row r="3548" spans="1:11" ht="15.75" customHeight="1" x14ac:dyDescent="0.25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</row>
    <row r="3549" spans="1:11" ht="15.75" customHeight="1" x14ac:dyDescent="0.25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</row>
    <row r="3550" spans="1:11" ht="15.75" customHeight="1" x14ac:dyDescent="0.25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</row>
    <row r="3551" spans="1:11" ht="15.75" customHeight="1" x14ac:dyDescent="0.25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</row>
    <row r="3552" spans="1:11" ht="15.75" customHeight="1" x14ac:dyDescent="0.25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</row>
    <row r="3553" spans="1:11" ht="15.75" customHeight="1" x14ac:dyDescent="0.25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</row>
    <row r="3554" spans="1:11" ht="15.75" customHeight="1" x14ac:dyDescent="0.25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</row>
    <row r="3555" spans="1:11" ht="15.75" customHeight="1" x14ac:dyDescent="0.25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</row>
    <row r="3556" spans="1:11" ht="15.75" customHeight="1" x14ac:dyDescent="0.25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</row>
    <row r="3557" spans="1:11" ht="15.75" customHeight="1" x14ac:dyDescent="0.25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</row>
    <row r="3558" spans="1:11" ht="15.75" customHeight="1" x14ac:dyDescent="0.25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</row>
    <row r="3559" spans="1:11" ht="15.75" customHeight="1" x14ac:dyDescent="0.25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</row>
    <row r="3560" spans="1:11" ht="15.75" customHeight="1" x14ac:dyDescent="0.25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</row>
    <row r="3561" spans="1:11" ht="15.75" customHeight="1" x14ac:dyDescent="0.25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</row>
    <row r="3562" spans="1:11" ht="15.75" customHeight="1" x14ac:dyDescent="0.25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</row>
    <row r="3563" spans="1:11" ht="15.75" customHeight="1" x14ac:dyDescent="0.25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</row>
    <row r="3564" spans="1:11" ht="15.75" customHeight="1" x14ac:dyDescent="0.25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</row>
    <row r="3565" spans="1:11" ht="15.75" customHeight="1" x14ac:dyDescent="0.25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</row>
    <row r="3566" spans="1:11" ht="15.75" customHeight="1" x14ac:dyDescent="0.25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</row>
    <row r="3567" spans="1:11" ht="15.75" customHeight="1" x14ac:dyDescent="0.25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</row>
    <row r="3568" spans="1:11" ht="15.75" customHeight="1" x14ac:dyDescent="0.25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</row>
    <row r="3569" spans="1:11" ht="15.75" customHeight="1" x14ac:dyDescent="0.25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</row>
    <row r="3570" spans="1:11" ht="15.75" customHeight="1" x14ac:dyDescent="0.25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</row>
    <row r="3571" spans="1:11" ht="15.75" customHeight="1" x14ac:dyDescent="0.25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</row>
    <row r="3572" spans="1:11" ht="15.75" customHeight="1" x14ac:dyDescent="0.25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</row>
    <row r="3573" spans="1:11" ht="15.75" customHeight="1" x14ac:dyDescent="0.25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</row>
    <row r="3574" spans="1:11" ht="15.75" customHeight="1" x14ac:dyDescent="0.25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</row>
    <row r="3575" spans="1:11" ht="15.75" customHeight="1" x14ac:dyDescent="0.25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</row>
    <row r="3576" spans="1:11" ht="15.75" customHeight="1" x14ac:dyDescent="0.25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</row>
    <row r="3577" spans="1:11" ht="15.75" customHeight="1" x14ac:dyDescent="0.25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</row>
    <row r="3578" spans="1:11" ht="15.75" customHeight="1" x14ac:dyDescent="0.25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</row>
    <row r="3579" spans="1:11" ht="15.75" customHeight="1" x14ac:dyDescent="0.25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</row>
    <row r="3580" spans="1:11" ht="15.75" customHeight="1" x14ac:dyDescent="0.25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</row>
    <row r="3581" spans="1:11" ht="15.75" customHeight="1" x14ac:dyDescent="0.25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</row>
    <row r="3582" spans="1:11" ht="15.75" customHeight="1" x14ac:dyDescent="0.25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</row>
    <row r="3583" spans="1:11" ht="15.75" customHeight="1" x14ac:dyDescent="0.25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</row>
    <row r="3584" spans="1:11" ht="15.75" customHeight="1" x14ac:dyDescent="0.25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</row>
    <row r="3585" spans="1:11" ht="15.75" customHeight="1" x14ac:dyDescent="0.25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</row>
    <row r="3586" spans="1:11" ht="15.75" customHeight="1" x14ac:dyDescent="0.25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</row>
    <row r="3587" spans="1:11" ht="15.75" customHeight="1" x14ac:dyDescent="0.25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</row>
    <row r="3588" spans="1:11" ht="15.75" customHeight="1" x14ac:dyDescent="0.25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</row>
    <row r="3589" spans="1:11" ht="15.75" customHeight="1" x14ac:dyDescent="0.25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</row>
    <row r="3590" spans="1:11" ht="15.75" customHeight="1" x14ac:dyDescent="0.25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</row>
    <row r="3591" spans="1:11" ht="15.75" customHeight="1" x14ac:dyDescent="0.25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</row>
    <row r="3592" spans="1:11" ht="15.75" customHeight="1" x14ac:dyDescent="0.25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</row>
    <row r="3593" spans="1:11" ht="15.75" customHeight="1" x14ac:dyDescent="0.25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</row>
    <row r="3594" spans="1:11" ht="15.75" customHeight="1" x14ac:dyDescent="0.25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</row>
    <row r="3595" spans="1:11" ht="15.75" customHeight="1" x14ac:dyDescent="0.25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</row>
    <row r="3596" spans="1:11" ht="15.75" customHeight="1" x14ac:dyDescent="0.25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</row>
    <row r="3597" spans="1:11" ht="15.75" customHeight="1" x14ac:dyDescent="0.25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</row>
    <row r="3598" spans="1:11" ht="15.75" customHeight="1" x14ac:dyDescent="0.25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</row>
    <row r="3599" spans="1:11" ht="15.75" customHeight="1" x14ac:dyDescent="0.25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</row>
    <row r="3600" spans="1:11" ht="15.75" customHeight="1" x14ac:dyDescent="0.25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</row>
    <row r="3601" spans="1:11" ht="15.75" customHeight="1" x14ac:dyDescent="0.25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</row>
    <row r="3602" spans="1:11" ht="15.75" customHeight="1" x14ac:dyDescent="0.25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</row>
    <row r="3603" spans="1:11" ht="15.75" customHeight="1" x14ac:dyDescent="0.25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</row>
    <row r="3604" spans="1:11" ht="15.75" customHeight="1" x14ac:dyDescent="0.25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</row>
    <row r="3605" spans="1:11" ht="15.75" customHeight="1" x14ac:dyDescent="0.25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</row>
    <row r="3606" spans="1:11" ht="15.75" customHeight="1" x14ac:dyDescent="0.25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</row>
    <row r="3607" spans="1:11" ht="15.75" customHeight="1" x14ac:dyDescent="0.25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</row>
    <row r="3608" spans="1:11" ht="15.75" customHeight="1" x14ac:dyDescent="0.25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</row>
    <row r="3609" spans="1:11" ht="15.75" customHeight="1" x14ac:dyDescent="0.25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</row>
    <row r="3610" spans="1:11" ht="15.75" customHeight="1" x14ac:dyDescent="0.25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</row>
    <row r="3611" spans="1:11" ht="15.75" customHeight="1" x14ac:dyDescent="0.25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</row>
    <row r="3612" spans="1:11" ht="15.75" customHeight="1" x14ac:dyDescent="0.25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</row>
    <row r="3613" spans="1:11" ht="15.75" customHeight="1" x14ac:dyDescent="0.25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</row>
    <row r="3614" spans="1:11" ht="15.75" customHeight="1" x14ac:dyDescent="0.25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</row>
    <row r="3615" spans="1:11" ht="15.75" customHeight="1" x14ac:dyDescent="0.25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</row>
    <row r="3616" spans="1:11" ht="15.75" customHeight="1" x14ac:dyDescent="0.25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</row>
    <row r="3617" spans="1:11" ht="15.75" customHeight="1" x14ac:dyDescent="0.25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</row>
    <row r="3618" spans="1:11" ht="15.75" customHeight="1" x14ac:dyDescent="0.25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</row>
    <row r="3619" spans="1:11" ht="15.75" customHeight="1" x14ac:dyDescent="0.25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</row>
    <row r="3620" spans="1:11" ht="15.75" customHeight="1" x14ac:dyDescent="0.25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</row>
    <row r="3621" spans="1:11" ht="15.75" customHeight="1" x14ac:dyDescent="0.25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</row>
    <row r="3622" spans="1:11" ht="15.75" customHeight="1" x14ac:dyDescent="0.25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</row>
    <row r="3623" spans="1:11" ht="15.75" customHeight="1" x14ac:dyDescent="0.25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</row>
    <row r="3624" spans="1:11" ht="15.75" customHeight="1" x14ac:dyDescent="0.25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</row>
    <row r="3625" spans="1:11" ht="15.75" customHeight="1" x14ac:dyDescent="0.25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</row>
    <row r="3626" spans="1:11" ht="15.75" customHeight="1" x14ac:dyDescent="0.25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</row>
    <row r="3627" spans="1:11" ht="15.75" customHeight="1" x14ac:dyDescent="0.25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</row>
    <row r="3628" spans="1:11" ht="15.75" customHeight="1" x14ac:dyDescent="0.25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</row>
    <row r="3629" spans="1:11" ht="15.75" customHeight="1" x14ac:dyDescent="0.25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</row>
    <row r="3630" spans="1:11" ht="15.75" customHeight="1" x14ac:dyDescent="0.25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</row>
    <row r="3631" spans="1:11" ht="15.75" customHeight="1" x14ac:dyDescent="0.25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</row>
    <row r="3632" spans="1:11" ht="15.75" customHeight="1" x14ac:dyDescent="0.25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</row>
    <row r="3633" spans="1:11" ht="15.75" customHeight="1" x14ac:dyDescent="0.25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</row>
    <row r="3634" spans="1:11" ht="15.75" customHeight="1" x14ac:dyDescent="0.25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</row>
    <row r="3635" spans="1:11" ht="15.75" customHeight="1" x14ac:dyDescent="0.25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</row>
    <row r="3636" spans="1:11" ht="15.75" customHeight="1" x14ac:dyDescent="0.25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</row>
    <row r="3637" spans="1:11" ht="15.75" customHeight="1" x14ac:dyDescent="0.25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</row>
    <row r="3638" spans="1:11" ht="15.75" customHeight="1" x14ac:dyDescent="0.25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</row>
    <row r="3639" spans="1:11" ht="15.75" customHeight="1" x14ac:dyDescent="0.25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</row>
    <row r="3640" spans="1:11" ht="15.75" customHeight="1" x14ac:dyDescent="0.25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</row>
    <row r="3641" spans="1:11" ht="15.75" customHeight="1" x14ac:dyDescent="0.25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</row>
    <row r="3642" spans="1:11" ht="15.75" customHeight="1" x14ac:dyDescent="0.25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</row>
    <row r="3643" spans="1:11" ht="15.75" customHeight="1" x14ac:dyDescent="0.25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</row>
    <row r="3644" spans="1:11" ht="15.75" customHeight="1" x14ac:dyDescent="0.25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</row>
    <row r="3645" spans="1:11" ht="15.75" customHeight="1" x14ac:dyDescent="0.25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</row>
    <row r="3646" spans="1:11" ht="15.75" customHeight="1" x14ac:dyDescent="0.25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</row>
    <row r="3647" spans="1:11" ht="15.75" customHeight="1" x14ac:dyDescent="0.25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</row>
    <row r="3648" spans="1:11" ht="15.75" customHeight="1" x14ac:dyDescent="0.25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</row>
    <row r="3649" spans="1:11" ht="15.75" customHeight="1" x14ac:dyDescent="0.25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</row>
    <row r="3650" spans="1:11" ht="15.75" customHeight="1" x14ac:dyDescent="0.25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</row>
    <row r="3651" spans="1:11" ht="15.75" customHeight="1" x14ac:dyDescent="0.25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</row>
    <row r="3652" spans="1:11" ht="15.75" customHeight="1" x14ac:dyDescent="0.25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</row>
    <row r="3653" spans="1:11" ht="15.75" customHeight="1" x14ac:dyDescent="0.25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</row>
    <row r="3654" spans="1:11" ht="15.75" customHeight="1" x14ac:dyDescent="0.25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</row>
    <row r="3655" spans="1:11" ht="15.75" customHeight="1" x14ac:dyDescent="0.25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</row>
    <row r="3656" spans="1:11" ht="15.75" customHeight="1" x14ac:dyDescent="0.25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</row>
    <row r="3657" spans="1:11" ht="15.75" customHeight="1" x14ac:dyDescent="0.25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</row>
    <row r="3658" spans="1:11" ht="15.75" customHeight="1" x14ac:dyDescent="0.25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</row>
    <row r="3659" spans="1:11" ht="15.75" customHeight="1" x14ac:dyDescent="0.25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</row>
    <row r="3660" spans="1:11" ht="15.75" customHeight="1" x14ac:dyDescent="0.25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</row>
    <row r="3661" spans="1:11" ht="15.75" customHeight="1" x14ac:dyDescent="0.25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</row>
    <row r="3662" spans="1:11" ht="15.75" customHeight="1" x14ac:dyDescent="0.25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</row>
    <row r="3663" spans="1:11" ht="15.75" customHeight="1" x14ac:dyDescent="0.25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</row>
    <row r="3664" spans="1:11" ht="15.75" customHeight="1" x14ac:dyDescent="0.25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</row>
    <row r="3665" spans="1:11" ht="15.75" customHeight="1" x14ac:dyDescent="0.25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</row>
    <row r="3666" spans="1:11" ht="15.75" customHeight="1" x14ac:dyDescent="0.25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</row>
    <row r="3667" spans="1:11" ht="15.75" customHeight="1" x14ac:dyDescent="0.25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</row>
    <row r="3668" spans="1:11" ht="15.75" customHeight="1" x14ac:dyDescent="0.25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</row>
    <row r="3669" spans="1:11" ht="15.75" customHeight="1" x14ac:dyDescent="0.25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</row>
    <row r="3670" spans="1:11" ht="15.75" customHeight="1" x14ac:dyDescent="0.25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</row>
    <row r="3671" spans="1:11" ht="15.75" customHeight="1" x14ac:dyDescent="0.25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</row>
    <row r="3672" spans="1:11" ht="15.75" customHeight="1" x14ac:dyDescent="0.25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</row>
    <row r="3673" spans="1:11" ht="15.75" customHeight="1" x14ac:dyDescent="0.25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</row>
    <row r="3674" spans="1:11" ht="15.75" customHeight="1" x14ac:dyDescent="0.25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</row>
    <row r="3675" spans="1:11" ht="15.75" customHeight="1" x14ac:dyDescent="0.25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</row>
    <row r="3676" spans="1:11" ht="15.75" customHeight="1" x14ac:dyDescent="0.25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</row>
    <row r="3677" spans="1:11" ht="15.75" customHeight="1" x14ac:dyDescent="0.25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</row>
    <row r="3678" spans="1:11" ht="15.75" customHeight="1" x14ac:dyDescent="0.25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</row>
    <row r="3679" spans="1:11" ht="15.75" customHeight="1" x14ac:dyDescent="0.25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</row>
    <row r="3680" spans="1:11" ht="15.75" customHeight="1" x14ac:dyDescent="0.25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</row>
    <row r="3681" spans="1:11" ht="15.75" customHeight="1" x14ac:dyDescent="0.25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</row>
    <row r="3682" spans="1:11" ht="15.75" customHeight="1" x14ac:dyDescent="0.25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</row>
    <row r="3683" spans="1:11" ht="15.75" customHeight="1" x14ac:dyDescent="0.25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</row>
    <row r="3684" spans="1:11" ht="15.75" customHeight="1" x14ac:dyDescent="0.25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</row>
    <row r="3685" spans="1:11" ht="15.75" customHeight="1" x14ac:dyDescent="0.25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</row>
    <row r="3686" spans="1:11" ht="15.75" customHeight="1" x14ac:dyDescent="0.25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</row>
    <row r="3687" spans="1:11" ht="15.75" customHeight="1" x14ac:dyDescent="0.25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</row>
    <row r="3688" spans="1:11" ht="15.75" customHeight="1" x14ac:dyDescent="0.25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</row>
    <row r="3689" spans="1:11" ht="15.75" customHeight="1" x14ac:dyDescent="0.25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</row>
    <row r="3690" spans="1:11" ht="15.75" customHeight="1" x14ac:dyDescent="0.25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</row>
    <row r="3691" spans="1:11" ht="15.75" customHeight="1" x14ac:dyDescent="0.25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</row>
    <row r="3692" spans="1:11" ht="15.75" customHeight="1" x14ac:dyDescent="0.25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</row>
    <row r="3693" spans="1:11" ht="15.75" customHeight="1" x14ac:dyDescent="0.25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</row>
    <row r="3694" spans="1:11" ht="15.75" customHeight="1" x14ac:dyDescent="0.25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</row>
    <row r="3695" spans="1:11" ht="15.75" customHeight="1" x14ac:dyDescent="0.25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</row>
    <row r="3696" spans="1:11" ht="15.75" customHeight="1" x14ac:dyDescent="0.25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</row>
    <row r="3697" spans="1:11" ht="15.75" customHeight="1" x14ac:dyDescent="0.25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</row>
    <row r="3698" spans="1:11" ht="15.75" customHeight="1" x14ac:dyDescent="0.25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</row>
    <row r="3699" spans="1:11" ht="15.75" customHeight="1" x14ac:dyDescent="0.25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</row>
    <row r="3700" spans="1:11" ht="15.75" customHeight="1" x14ac:dyDescent="0.25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</row>
    <row r="3701" spans="1:11" ht="15.75" customHeight="1" x14ac:dyDescent="0.25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</row>
    <row r="3702" spans="1:11" ht="15.75" customHeight="1" x14ac:dyDescent="0.25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</row>
    <row r="3703" spans="1:11" ht="15.75" customHeight="1" x14ac:dyDescent="0.25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</row>
    <row r="3704" spans="1:11" ht="15.75" customHeight="1" x14ac:dyDescent="0.25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</row>
    <row r="3705" spans="1:11" ht="15.75" customHeight="1" x14ac:dyDescent="0.25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</row>
    <row r="3706" spans="1:11" ht="15.75" customHeight="1" x14ac:dyDescent="0.25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</row>
    <row r="3707" spans="1:11" ht="15.75" customHeight="1" x14ac:dyDescent="0.25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</row>
    <row r="3708" spans="1:11" ht="15.75" customHeight="1" x14ac:dyDescent="0.25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</row>
    <row r="3709" spans="1:11" ht="15.75" customHeight="1" x14ac:dyDescent="0.25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</row>
    <row r="3710" spans="1:11" ht="15.75" customHeight="1" x14ac:dyDescent="0.25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</row>
    <row r="3711" spans="1:11" ht="15.75" customHeight="1" x14ac:dyDescent="0.25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</row>
    <row r="3712" spans="1:11" ht="15.75" customHeight="1" x14ac:dyDescent="0.25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</row>
    <row r="3713" spans="1:11" ht="15.75" customHeight="1" x14ac:dyDescent="0.25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</row>
    <row r="3714" spans="1:11" ht="15.75" customHeight="1" x14ac:dyDescent="0.25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</row>
    <row r="3715" spans="1:11" ht="15.75" customHeight="1" x14ac:dyDescent="0.25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</row>
    <row r="3716" spans="1:11" ht="15.75" customHeight="1" x14ac:dyDescent="0.25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</row>
    <row r="3717" spans="1:11" ht="15.75" customHeight="1" x14ac:dyDescent="0.25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</row>
    <row r="3718" spans="1:11" ht="15.75" customHeight="1" x14ac:dyDescent="0.25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</row>
    <row r="3719" spans="1:11" ht="15.75" customHeight="1" x14ac:dyDescent="0.25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</row>
    <row r="3720" spans="1:11" ht="15.75" customHeight="1" x14ac:dyDescent="0.25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</row>
    <row r="3721" spans="1:11" ht="15.75" customHeight="1" x14ac:dyDescent="0.25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</row>
    <row r="3722" spans="1:11" ht="15.75" customHeight="1" x14ac:dyDescent="0.25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</row>
    <row r="3723" spans="1:11" ht="15.75" customHeight="1" x14ac:dyDescent="0.25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</row>
    <row r="3724" spans="1:11" ht="15.75" customHeight="1" x14ac:dyDescent="0.25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</row>
    <row r="3725" spans="1:11" ht="15.75" customHeight="1" x14ac:dyDescent="0.25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</row>
    <row r="3726" spans="1:11" ht="15.75" customHeight="1" x14ac:dyDescent="0.25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</row>
    <row r="3727" spans="1:11" ht="15.75" customHeight="1" x14ac:dyDescent="0.25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</row>
    <row r="3728" spans="1:11" ht="15.75" customHeight="1" x14ac:dyDescent="0.25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</row>
    <row r="3729" spans="1:11" ht="15.75" customHeight="1" x14ac:dyDescent="0.25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</row>
    <row r="3730" spans="1:11" ht="15.75" customHeight="1" x14ac:dyDescent="0.25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</row>
    <row r="3731" spans="1:11" ht="15.75" customHeight="1" x14ac:dyDescent="0.25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</row>
    <row r="3732" spans="1:11" ht="15.75" customHeight="1" x14ac:dyDescent="0.25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</row>
    <row r="3733" spans="1:11" ht="15.75" customHeight="1" x14ac:dyDescent="0.25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</row>
    <row r="3734" spans="1:11" ht="15.75" customHeight="1" x14ac:dyDescent="0.25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</row>
    <row r="3735" spans="1:11" ht="15.75" customHeight="1" x14ac:dyDescent="0.25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</row>
    <row r="3736" spans="1:11" ht="15.75" customHeight="1" x14ac:dyDescent="0.25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</row>
    <row r="3737" spans="1:11" ht="15.75" customHeight="1" x14ac:dyDescent="0.25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</row>
    <row r="3738" spans="1:11" ht="15.75" customHeight="1" x14ac:dyDescent="0.25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</row>
    <row r="3739" spans="1:11" ht="15.75" customHeight="1" x14ac:dyDescent="0.25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</row>
    <row r="3740" spans="1:11" ht="15.75" customHeight="1" x14ac:dyDescent="0.25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</row>
    <row r="3741" spans="1:11" ht="15.75" customHeight="1" x14ac:dyDescent="0.25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</row>
    <row r="3742" spans="1:11" ht="15.75" customHeight="1" x14ac:dyDescent="0.25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</row>
    <row r="3743" spans="1:11" ht="15.75" customHeight="1" x14ac:dyDescent="0.25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</row>
    <row r="3744" spans="1:11" ht="15.75" customHeight="1" x14ac:dyDescent="0.25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</row>
    <row r="3745" spans="1:11" ht="15.75" customHeight="1" x14ac:dyDescent="0.25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</row>
    <row r="3746" spans="1:11" ht="15.75" customHeight="1" x14ac:dyDescent="0.25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</row>
    <row r="3747" spans="1:11" ht="15.75" customHeight="1" x14ac:dyDescent="0.25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</row>
    <row r="3748" spans="1:11" ht="15.75" customHeight="1" x14ac:dyDescent="0.25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</row>
    <row r="3749" spans="1:11" ht="15.75" customHeight="1" x14ac:dyDescent="0.25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</row>
    <row r="3750" spans="1:11" ht="15.75" customHeight="1" x14ac:dyDescent="0.25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</row>
    <row r="3751" spans="1:11" ht="15.75" customHeight="1" x14ac:dyDescent="0.25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</row>
    <row r="3752" spans="1:11" ht="15.75" customHeight="1" x14ac:dyDescent="0.25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</row>
    <row r="3753" spans="1:11" ht="15.75" customHeight="1" x14ac:dyDescent="0.25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</row>
    <row r="3754" spans="1:11" ht="15.75" customHeight="1" x14ac:dyDescent="0.25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</row>
    <row r="3755" spans="1:11" ht="15.75" customHeight="1" x14ac:dyDescent="0.25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</row>
    <row r="3756" spans="1:11" ht="15.75" customHeight="1" x14ac:dyDescent="0.25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</row>
    <row r="3757" spans="1:11" ht="15.75" customHeight="1" x14ac:dyDescent="0.25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</row>
    <row r="3758" spans="1:11" ht="15.75" customHeight="1" x14ac:dyDescent="0.25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</row>
    <row r="3759" spans="1:11" ht="15.75" customHeight="1" x14ac:dyDescent="0.25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</row>
    <row r="3760" spans="1:11" ht="15.75" customHeight="1" x14ac:dyDescent="0.25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</row>
    <row r="3761" spans="1:11" ht="15.75" customHeight="1" x14ac:dyDescent="0.25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</row>
    <row r="3762" spans="1:11" ht="15.75" customHeight="1" x14ac:dyDescent="0.25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</row>
    <row r="3763" spans="1:11" ht="15.75" customHeight="1" x14ac:dyDescent="0.25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</row>
    <row r="3764" spans="1:11" ht="15.75" customHeight="1" x14ac:dyDescent="0.25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</row>
    <row r="3765" spans="1:11" ht="15.75" customHeight="1" x14ac:dyDescent="0.25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</row>
    <row r="3766" spans="1:11" ht="15.75" customHeight="1" x14ac:dyDescent="0.25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</row>
    <row r="3767" spans="1:11" ht="15.75" customHeight="1" x14ac:dyDescent="0.25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</row>
    <row r="3768" spans="1:11" ht="15.75" customHeight="1" x14ac:dyDescent="0.25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</row>
    <row r="3769" spans="1:11" ht="15.75" customHeight="1" x14ac:dyDescent="0.25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</row>
    <row r="3770" spans="1:11" ht="15.75" customHeight="1" x14ac:dyDescent="0.25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</row>
    <row r="3771" spans="1:11" ht="15.75" customHeight="1" x14ac:dyDescent="0.25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</row>
    <row r="3772" spans="1:11" ht="15.75" customHeight="1" x14ac:dyDescent="0.25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</row>
    <row r="3773" spans="1:11" ht="15.75" customHeight="1" x14ac:dyDescent="0.25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</row>
    <row r="3774" spans="1:11" ht="15.75" customHeight="1" x14ac:dyDescent="0.25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</row>
    <row r="3775" spans="1:11" ht="15.75" customHeight="1" x14ac:dyDescent="0.25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</row>
    <row r="3776" spans="1:11" ht="15.75" customHeight="1" x14ac:dyDescent="0.25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</row>
    <row r="3777" spans="1:11" ht="15.75" customHeight="1" x14ac:dyDescent="0.25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</row>
    <row r="3778" spans="1:11" ht="15.75" customHeight="1" x14ac:dyDescent="0.25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</row>
    <row r="3779" spans="1:11" ht="15.75" customHeight="1" x14ac:dyDescent="0.25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</row>
    <row r="3780" spans="1:11" ht="15.75" customHeight="1" x14ac:dyDescent="0.25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</row>
    <row r="3781" spans="1:11" ht="15.75" customHeight="1" x14ac:dyDescent="0.25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</row>
    <row r="3782" spans="1:11" ht="15.75" customHeight="1" x14ac:dyDescent="0.25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</row>
    <row r="3783" spans="1:11" ht="15.75" customHeight="1" x14ac:dyDescent="0.25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</row>
    <row r="3784" spans="1:11" ht="15.75" customHeight="1" x14ac:dyDescent="0.25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</row>
    <row r="3785" spans="1:11" ht="15.75" customHeight="1" x14ac:dyDescent="0.25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</row>
    <row r="3786" spans="1:11" ht="15.75" customHeight="1" x14ac:dyDescent="0.25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</row>
    <row r="3787" spans="1:11" ht="15.75" customHeight="1" x14ac:dyDescent="0.25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</row>
    <row r="3788" spans="1:11" ht="15.75" customHeight="1" x14ac:dyDescent="0.25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</row>
    <row r="3789" spans="1:11" ht="15.75" customHeight="1" x14ac:dyDescent="0.25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</row>
    <row r="3790" spans="1:11" ht="15.75" customHeight="1" x14ac:dyDescent="0.25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</row>
    <row r="3791" spans="1:11" ht="15.75" customHeight="1" x14ac:dyDescent="0.25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</row>
    <row r="3792" spans="1:11" ht="15.75" customHeight="1" x14ac:dyDescent="0.25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</row>
    <row r="3793" spans="1:11" ht="15.75" customHeight="1" x14ac:dyDescent="0.25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</row>
    <row r="3794" spans="1:11" ht="15.75" customHeight="1" x14ac:dyDescent="0.25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</row>
    <row r="3795" spans="1:11" ht="15.75" customHeight="1" x14ac:dyDescent="0.25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</row>
    <row r="3796" spans="1:11" ht="15.75" customHeight="1" x14ac:dyDescent="0.25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</row>
    <row r="3797" spans="1:11" ht="15.75" customHeight="1" x14ac:dyDescent="0.25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</row>
    <row r="3798" spans="1:11" ht="15.75" customHeight="1" x14ac:dyDescent="0.25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</row>
    <row r="3799" spans="1:11" ht="15.75" customHeight="1" x14ac:dyDescent="0.25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</row>
    <row r="3800" spans="1:11" ht="15.75" customHeight="1" x14ac:dyDescent="0.25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</row>
    <row r="3801" spans="1:11" ht="15.75" customHeight="1" x14ac:dyDescent="0.25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</row>
    <row r="3802" spans="1:11" ht="15.75" customHeight="1" x14ac:dyDescent="0.25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</row>
    <row r="3803" spans="1:11" ht="15.75" customHeight="1" x14ac:dyDescent="0.25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</row>
    <row r="3804" spans="1:11" ht="15.75" customHeight="1" x14ac:dyDescent="0.25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</row>
    <row r="3805" spans="1:11" ht="15.75" customHeight="1" x14ac:dyDescent="0.25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</row>
    <row r="3806" spans="1:11" ht="15.75" customHeight="1" x14ac:dyDescent="0.25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</row>
    <row r="3807" spans="1:11" ht="15.75" customHeight="1" x14ac:dyDescent="0.25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</row>
    <row r="3808" spans="1:11" ht="15.75" customHeight="1" x14ac:dyDescent="0.25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</row>
    <row r="3809" spans="1:11" ht="15.75" customHeight="1" x14ac:dyDescent="0.25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</row>
    <row r="3810" spans="1:11" ht="15.75" customHeight="1" x14ac:dyDescent="0.25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</row>
    <row r="3811" spans="1:11" ht="15.75" customHeight="1" x14ac:dyDescent="0.25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</row>
    <row r="3812" spans="1:11" ht="15.75" customHeight="1" x14ac:dyDescent="0.25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</row>
    <row r="3813" spans="1:11" ht="15.75" customHeight="1" x14ac:dyDescent="0.25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</row>
    <row r="3814" spans="1:11" ht="15.75" customHeight="1" x14ac:dyDescent="0.25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</row>
    <row r="3815" spans="1:11" ht="15.75" customHeight="1" x14ac:dyDescent="0.25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</row>
    <row r="3816" spans="1:11" ht="15.75" customHeight="1" x14ac:dyDescent="0.25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</row>
    <row r="3817" spans="1:11" ht="15.75" customHeight="1" x14ac:dyDescent="0.25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</row>
    <row r="3818" spans="1:11" ht="15.75" customHeight="1" x14ac:dyDescent="0.25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</row>
    <row r="3819" spans="1:11" ht="15.75" customHeight="1" x14ac:dyDescent="0.25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</row>
    <row r="3820" spans="1:11" ht="15.75" customHeight="1" x14ac:dyDescent="0.25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</row>
    <row r="3821" spans="1:11" ht="15.75" customHeight="1" x14ac:dyDescent="0.25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</row>
    <row r="3822" spans="1:11" ht="15.75" customHeight="1" x14ac:dyDescent="0.25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</row>
    <row r="3823" spans="1:11" ht="15.75" customHeight="1" x14ac:dyDescent="0.25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</row>
    <row r="3824" spans="1:11" ht="15.75" customHeight="1" x14ac:dyDescent="0.25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</row>
    <row r="3825" spans="1:11" ht="15.75" customHeight="1" x14ac:dyDescent="0.25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</row>
    <row r="3826" spans="1:11" ht="15.75" customHeight="1" x14ac:dyDescent="0.25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</row>
    <row r="3827" spans="1:11" ht="15.75" customHeight="1" x14ac:dyDescent="0.25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</row>
    <row r="3828" spans="1:11" ht="15.75" customHeight="1" x14ac:dyDescent="0.25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</row>
    <row r="3829" spans="1:11" ht="15.75" customHeight="1" x14ac:dyDescent="0.25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</row>
    <row r="3830" spans="1:11" ht="15.75" customHeight="1" x14ac:dyDescent="0.25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</row>
    <row r="3831" spans="1:11" ht="15.75" customHeight="1" x14ac:dyDescent="0.25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</row>
    <row r="3832" spans="1:11" ht="15.75" customHeight="1" x14ac:dyDescent="0.25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</row>
    <row r="3833" spans="1:11" ht="15.75" customHeight="1" x14ac:dyDescent="0.25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</row>
    <row r="3834" spans="1:11" ht="15.75" customHeight="1" x14ac:dyDescent="0.25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</row>
    <row r="3835" spans="1:11" ht="15.75" customHeight="1" x14ac:dyDescent="0.25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</row>
    <row r="3836" spans="1:11" ht="15.75" customHeight="1" x14ac:dyDescent="0.25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</row>
    <row r="3837" spans="1:11" ht="15.75" customHeight="1" x14ac:dyDescent="0.25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</row>
    <row r="3838" spans="1:11" ht="15.75" customHeight="1" x14ac:dyDescent="0.25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</row>
    <row r="3839" spans="1:11" ht="15.75" customHeight="1" x14ac:dyDescent="0.25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</row>
    <row r="3840" spans="1:11" ht="15.75" customHeight="1" x14ac:dyDescent="0.25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</row>
    <row r="3841" spans="1:11" ht="15.75" customHeight="1" x14ac:dyDescent="0.25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</row>
    <row r="3842" spans="1:11" ht="15.75" customHeight="1" x14ac:dyDescent="0.25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</row>
    <row r="3843" spans="1:11" ht="15.75" customHeight="1" x14ac:dyDescent="0.25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</row>
    <row r="3844" spans="1:11" ht="15.75" customHeight="1" x14ac:dyDescent="0.25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</row>
    <row r="3845" spans="1:11" ht="15.75" customHeight="1" x14ac:dyDescent="0.25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</row>
    <row r="3846" spans="1:11" ht="15.75" customHeight="1" x14ac:dyDescent="0.25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</row>
    <row r="3847" spans="1:11" ht="15.75" customHeight="1" x14ac:dyDescent="0.25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</row>
    <row r="3848" spans="1:11" ht="15.75" customHeight="1" x14ac:dyDescent="0.25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</row>
    <row r="3849" spans="1:11" ht="15.75" customHeight="1" x14ac:dyDescent="0.25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</row>
    <row r="3850" spans="1:11" ht="15.75" customHeight="1" x14ac:dyDescent="0.25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</row>
    <row r="3851" spans="1:11" ht="15.75" customHeight="1" x14ac:dyDescent="0.25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</row>
    <row r="3852" spans="1:11" ht="15.75" customHeight="1" x14ac:dyDescent="0.25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</row>
    <row r="3853" spans="1:11" ht="15.75" customHeight="1" x14ac:dyDescent="0.25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</row>
    <row r="3854" spans="1:11" ht="15.75" customHeight="1" x14ac:dyDescent="0.25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</row>
    <row r="3855" spans="1:11" ht="15.75" customHeight="1" x14ac:dyDescent="0.25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</row>
    <row r="3856" spans="1:11" ht="15.75" customHeight="1" x14ac:dyDescent="0.25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</row>
    <row r="3857" spans="1:11" ht="15.75" customHeight="1" x14ac:dyDescent="0.25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</row>
    <row r="3858" spans="1:11" ht="15.75" customHeight="1" x14ac:dyDescent="0.25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</row>
    <row r="3859" spans="1:11" ht="15.75" customHeight="1" x14ac:dyDescent="0.25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</row>
    <row r="3860" spans="1:11" ht="15.75" customHeight="1" x14ac:dyDescent="0.25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</row>
    <row r="3861" spans="1:11" ht="15.75" customHeight="1" x14ac:dyDescent="0.25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</row>
    <row r="3862" spans="1:11" ht="15.75" customHeight="1" x14ac:dyDescent="0.25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</row>
    <row r="3863" spans="1:11" ht="15.75" customHeight="1" x14ac:dyDescent="0.25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</row>
    <row r="3864" spans="1:11" ht="15.75" customHeight="1" x14ac:dyDescent="0.25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</row>
    <row r="3865" spans="1:11" ht="15.75" customHeight="1" x14ac:dyDescent="0.25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</row>
    <row r="3866" spans="1:11" ht="15.75" customHeight="1" x14ac:dyDescent="0.25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</row>
    <row r="3867" spans="1:11" ht="15.75" customHeight="1" x14ac:dyDescent="0.25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</row>
    <row r="3868" spans="1:11" ht="15.75" customHeight="1" x14ac:dyDescent="0.25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</row>
    <row r="3869" spans="1:11" ht="15.75" customHeight="1" x14ac:dyDescent="0.25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</row>
    <row r="3870" spans="1:11" ht="15.75" customHeight="1" x14ac:dyDescent="0.25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</row>
    <row r="3871" spans="1:11" ht="15.75" customHeight="1" x14ac:dyDescent="0.25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</row>
    <row r="3872" spans="1:11" ht="15.75" customHeight="1" x14ac:dyDescent="0.25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</row>
    <row r="3873" spans="1:11" ht="15.75" customHeight="1" x14ac:dyDescent="0.25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</row>
    <row r="3874" spans="1:11" ht="15.75" customHeight="1" x14ac:dyDescent="0.25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</row>
    <row r="3875" spans="1:11" ht="15.75" customHeight="1" x14ac:dyDescent="0.25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</row>
    <row r="3876" spans="1:11" ht="15.75" customHeight="1" x14ac:dyDescent="0.25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</row>
    <row r="3877" spans="1:11" ht="15.75" customHeight="1" x14ac:dyDescent="0.25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</row>
    <row r="3878" spans="1:11" ht="15.75" customHeight="1" x14ac:dyDescent="0.25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</row>
    <row r="3879" spans="1:11" ht="15.75" customHeight="1" x14ac:dyDescent="0.25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</row>
    <row r="3880" spans="1:11" ht="15.75" customHeight="1" x14ac:dyDescent="0.25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</row>
    <row r="3881" spans="1:11" ht="15.75" customHeight="1" x14ac:dyDescent="0.25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</row>
    <row r="3882" spans="1:11" ht="15.75" customHeight="1" x14ac:dyDescent="0.25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</row>
    <row r="3883" spans="1:11" ht="15.75" customHeight="1" x14ac:dyDescent="0.25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</row>
    <row r="3884" spans="1:11" ht="15.75" customHeight="1" x14ac:dyDescent="0.25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</row>
    <row r="3885" spans="1:11" ht="15.75" customHeight="1" x14ac:dyDescent="0.25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</row>
    <row r="3886" spans="1:11" ht="15.75" customHeight="1" x14ac:dyDescent="0.25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</row>
    <row r="3887" spans="1:11" ht="15.75" customHeight="1" x14ac:dyDescent="0.25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</row>
    <row r="3888" spans="1:11" ht="15.75" customHeight="1" x14ac:dyDescent="0.25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</row>
    <row r="3889" spans="1:11" ht="15.75" customHeight="1" x14ac:dyDescent="0.25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</row>
    <row r="3890" spans="1:11" ht="15.75" customHeight="1" x14ac:dyDescent="0.25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</row>
    <row r="3891" spans="1:11" ht="15.75" customHeight="1" x14ac:dyDescent="0.25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</row>
    <row r="3892" spans="1:11" ht="15.75" customHeight="1" x14ac:dyDescent="0.25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</row>
    <row r="3893" spans="1:11" ht="15.75" customHeight="1" x14ac:dyDescent="0.25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</row>
    <row r="3894" spans="1:11" ht="15.75" customHeight="1" x14ac:dyDescent="0.25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</row>
    <row r="3895" spans="1:11" ht="15.75" customHeight="1" x14ac:dyDescent="0.25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</row>
    <row r="3896" spans="1:11" ht="15.75" customHeight="1" x14ac:dyDescent="0.25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</row>
    <row r="3897" spans="1:11" ht="15.75" customHeight="1" x14ac:dyDescent="0.25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</row>
    <row r="3898" spans="1:11" ht="15.75" customHeight="1" x14ac:dyDescent="0.25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</row>
    <row r="3899" spans="1:11" ht="15.75" customHeight="1" x14ac:dyDescent="0.25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</row>
    <row r="3900" spans="1:11" ht="15.75" customHeight="1" x14ac:dyDescent="0.25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</row>
    <row r="3901" spans="1:11" ht="15.75" customHeight="1" x14ac:dyDescent="0.25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</row>
    <row r="3902" spans="1:11" ht="15.75" customHeight="1" x14ac:dyDescent="0.25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</row>
    <row r="3903" spans="1:11" ht="15.75" customHeight="1" x14ac:dyDescent="0.25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</row>
    <row r="3904" spans="1:11" ht="15.75" customHeight="1" x14ac:dyDescent="0.25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</row>
    <row r="3905" spans="1:11" ht="15.75" customHeight="1" x14ac:dyDescent="0.25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</row>
    <row r="3906" spans="1:11" ht="15.75" customHeight="1" x14ac:dyDescent="0.25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</row>
    <row r="3907" spans="1:11" ht="15.75" customHeight="1" x14ac:dyDescent="0.25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</row>
    <row r="3908" spans="1:11" ht="15.75" customHeight="1" x14ac:dyDescent="0.25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</row>
    <row r="3909" spans="1:11" ht="15.75" customHeight="1" x14ac:dyDescent="0.25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</row>
    <row r="3910" spans="1:11" ht="15.75" customHeight="1" x14ac:dyDescent="0.25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</row>
    <row r="3911" spans="1:11" ht="15.75" customHeight="1" x14ac:dyDescent="0.25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</row>
    <row r="3912" spans="1:11" ht="15.75" customHeight="1" x14ac:dyDescent="0.25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</row>
    <row r="3913" spans="1:11" ht="15.75" customHeight="1" x14ac:dyDescent="0.25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</row>
    <row r="3914" spans="1:11" ht="15.75" customHeight="1" x14ac:dyDescent="0.25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</row>
    <row r="3915" spans="1:11" ht="15.75" customHeight="1" x14ac:dyDescent="0.25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</row>
    <row r="3916" spans="1:11" ht="15.75" customHeight="1" x14ac:dyDescent="0.25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</row>
    <row r="3917" spans="1:11" ht="15.75" customHeight="1" x14ac:dyDescent="0.25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</row>
    <row r="3918" spans="1:11" ht="15.75" customHeight="1" x14ac:dyDescent="0.25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</row>
    <row r="3919" spans="1:11" ht="15.75" customHeight="1" x14ac:dyDescent="0.25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</row>
    <row r="3920" spans="1:11" ht="15.75" customHeight="1" x14ac:dyDescent="0.25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</row>
    <row r="3921" spans="1:11" ht="15.75" customHeight="1" x14ac:dyDescent="0.25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</row>
    <row r="3922" spans="1:11" ht="15.75" customHeight="1" x14ac:dyDescent="0.25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</row>
    <row r="3923" spans="1:11" ht="15.75" customHeight="1" x14ac:dyDescent="0.25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</row>
    <row r="3924" spans="1:11" ht="15.75" customHeight="1" x14ac:dyDescent="0.25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</row>
    <row r="3925" spans="1:11" ht="15.75" customHeight="1" x14ac:dyDescent="0.25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</row>
    <row r="3926" spans="1:11" ht="15.75" customHeight="1" x14ac:dyDescent="0.25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</row>
    <row r="3927" spans="1:11" ht="15.75" customHeight="1" x14ac:dyDescent="0.25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</row>
    <row r="3928" spans="1:11" ht="15.75" customHeight="1" x14ac:dyDescent="0.25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</row>
    <row r="3929" spans="1:11" ht="15.75" customHeight="1" x14ac:dyDescent="0.25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</row>
    <row r="3930" spans="1:11" ht="15.75" customHeight="1" x14ac:dyDescent="0.25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</row>
    <row r="3931" spans="1:11" ht="15.75" customHeight="1" x14ac:dyDescent="0.25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</row>
    <row r="3932" spans="1:11" ht="15.75" customHeight="1" x14ac:dyDescent="0.25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</row>
    <row r="3933" spans="1:11" ht="15.75" customHeight="1" x14ac:dyDescent="0.25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</row>
    <row r="3934" spans="1:11" ht="15.75" customHeight="1" x14ac:dyDescent="0.25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</row>
    <row r="3935" spans="1:11" ht="15.75" customHeight="1" x14ac:dyDescent="0.25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</row>
    <row r="3936" spans="1:11" ht="15.75" customHeight="1" x14ac:dyDescent="0.25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</row>
    <row r="3937" spans="1:11" ht="15.75" customHeight="1" x14ac:dyDescent="0.25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</row>
    <row r="3938" spans="1:11" ht="15.75" customHeight="1" x14ac:dyDescent="0.25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</row>
    <row r="3939" spans="1:11" ht="15.75" customHeight="1" x14ac:dyDescent="0.25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</row>
    <row r="3940" spans="1:11" ht="15.75" customHeight="1" x14ac:dyDescent="0.25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</row>
    <row r="3941" spans="1:11" ht="15.75" customHeight="1" x14ac:dyDescent="0.25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</row>
    <row r="3942" spans="1:11" ht="15.75" customHeight="1" x14ac:dyDescent="0.25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</row>
    <row r="3943" spans="1:11" ht="15.75" customHeight="1" x14ac:dyDescent="0.25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</row>
    <row r="3944" spans="1:11" ht="15.75" customHeight="1" x14ac:dyDescent="0.25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</row>
    <row r="3945" spans="1:11" ht="15.75" customHeight="1" x14ac:dyDescent="0.25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</row>
    <row r="3946" spans="1:11" ht="15.75" customHeight="1" x14ac:dyDescent="0.25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</row>
    <row r="3947" spans="1:11" ht="15.75" customHeight="1" x14ac:dyDescent="0.25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</row>
    <row r="3948" spans="1:11" ht="15.75" customHeight="1" x14ac:dyDescent="0.25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</row>
    <row r="3949" spans="1:11" ht="15.75" customHeight="1" x14ac:dyDescent="0.25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</row>
    <row r="3950" spans="1:11" ht="15.75" customHeight="1" x14ac:dyDescent="0.25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</row>
    <row r="3951" spans="1:11" ht="15.75" customHeight="1" x14ac:dyDescent="0.25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</row>
    <row r="3952" spans="1:11" ht="15.75" customHeight="1" x14ac:dyDescent="0.25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</row>
    <row r="3953" spans="1:11" ht="15.75" customHeight="1" x14ac:dyDescent="0.25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</row>
    <row r="3954" spans="1:11" ht="15.75" customHeight="1" x14ac:dyDescent="0.25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</row>
    <row r="3955" spans="1:11" ht="15.75" customHeight="1" x14ac:dyDescent="0.25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</row>
    <row r="3956" spans="1:11" ht="15.75" customHeight="1" x14ac:dyDescent="0.25">
      <c r="A3956" s="6"/>
      <c r="B3956" s="6"/>
      <c r="C3956" s="8"/>
      <c r="D3956" s="8"/>
      <c r="E3956" s="6"/>
      <c r="F3956" s="6"/>
      <c r="G3956" s="6"/>
      <c r="H3956" s="6"/>
      <c r="I3956" s="6"/>
      <c r="J3956" s="6"/>
      <c r="K3956" s="6"/>
    </row>
    <row r="3957" spans="1:11" ht="15.75" customHeight="1" x14ac:dyDescent="0.25">
      <c r="A3957" s="6"/>
      <c r="B3957" s="6"/>
      <c r="C3957" s="8"/>
      <c r="D3957" s="8"/>
      <c r="E3957" s="6"/>
      <c r="F3957" s="6"/>
      <c r="G3957" s="6"/>
      <c r="H3957" s="6"/>
      <c r="I3957" s="6"/>
      <c r="J3957" s="6"/>
      <c r="K3957" s="6"/>
    </row>
    <row r="3958" spans="1:11" ht="15.75" customHeight="1" x14ac:dyDescent="0.25">
      <c r="A3958" s="6"/>
      <c r="B3958" s="6"/>
      <c r="C3958" s="8"/>
      <c r="D3958" s="8"/>
      <c r="E3958" s="6"/>
      <c r="F3958" s="6"/>
      <c r="G3958" s="6"/>
      <c r="H3958" s="6"/>
      <c r="I3958" s="6"/>
      <c r="J3958" s="6"/>
      <c r="K3958" s="6"/>
    </row>
    <row r="3959" spans="1:11" ht="15.75" customHeight="1" x14ac:dyDescent="0.25">
      <c r="A3959" s="6"/>
      <c r="B3959" s="6"/>
      <c r="C3959" s="8"/>
      <c r="D3959" s="8"/>
      <c r="E3959" s="6"/>
      <c r="F3959" s="6"/>
      <c r="G3959" s="6"/>
      <c r="H3959" s="6"/>
      <c r="I3959" s="6"/>
      <c r="J3959" s="6"/>
      <c r="K3959" s="6"/>
    </row>
    <row r="3960" spans="1:11" ht="15.75" customHeight="1" x14ac:dyDescent="0.25">
      <c r="A3960" s="6"/>
      <c r="B3960" s="6"/>
      <c r="C3960" s="8"/>
      <c r="D3960" s="8"/>
      <c r="E3960" s="6"/>
      <c r="F3960" s="6"/>
      <c r="G3960" s="6"/>
      <c r="H3960" s="6"/>
      <c r="I3960" s="6"/>
      <c r="J3960" s="6"/>
      <c r="K3960" s="6"/>
    </row>
    <row r="3961" spans="1:11" ht="15.75" customHeight="1" x14ac:dyDescent="0.25">
      <c r="A3961" s="6"/>
      <c r="B3961" s="6"/>
      <c r="C3961" s="8"/>
      <c r="D3961" s="8"/>
      <c r="E3961" s="6"/>
      <c r="F3961" s="6"/>
      <c r="G3961" s="6"/>
      <c r="H3961" s="6"/>
      <c r="I3961" s="6"/>
      <c r="J3961" s="6"/>
      <c r="K3961" s="6"/>
    </row>
    <row r="3962" spans="1:11" ht="15.75" customHeight="1" x14ac:dyDescent="0.25">
      <c r="A3962" s="6"/>
      <c r="B3962" s="6"/>
      <c r="C3962" s="8"/>
      <c r="D3962" s="8"/>
      <c r="E3962" s="6"/>
      <c r="F3962" s="6"/>
      <c r="G3962" s="6"/>
      <c r="H3962" s="6"/>
      <c r="I3962" s="6"/>
      <c r="J3962" s="6"/>
      <c r="K3962" s="6"/>
    </row>
    <row r="3963" spans="1:11" ht="15.75" customHeight="1" x14ac:dyDescent="0.25">
      <c r="A3963" s="6"/>
      <c r="B3963" s="6"/>
      <c r="C3963" s="8"/>
      <c r="D3963" s="8"/>
      <c r="E3963" s="6"/>
      <c r="F3963" s="6"/>
      <c r="G3963" s="6"/>
      <c r="H3963" s="6"/>
      <c r="I3963" s="6"/>
      <c r="J3963" s="6"/>
      <c r="K3963" s="6"/>
    </row>
    <row r="3964" spans="1:11" ht="15.75" customHeight="1" x14ac:dyDescent="0.25">
      <c r="A3964" s="6"/>
      <c r="B3964" s="6"/>
      <c r="C3964" s="8"/>
      <c r="D3964" s="8"/>
      <c r="E3964" s="6"/>
      <c r="F3964" s="6"/>
      <c r="G3964" s="6"/>
      <c r="H3964" s="6"/>
      <c r="I3964" s="6"/>
      <c r="J3964" s="6"/>
      <c r="K3964" s="6"/>
    </row>
    <row r="3965" spans="1:11" ht="15.75" customHeight="1" x14ac:dyDescent="0.25">
      <c r="A3965" s="6"/>
      <c r="B3965" s="6"/>
      <c r="C3965" s="8"/>
      <c r="D3965" s="8"/>
      <c r="E3965" s="6"/>
      <c r="F3965" s="6"/>
      <c r="G3965" s="6"/>
      <c r="H3965" s="6"/>
      <c r="I3965" s="6"/>
      <c r="J3965" s="6"/>
      <c r="K3965" s="6"/>
    </row>
    <row r="3966" spans="1:11" ht="15.75" customHeight="1" x14ac:dyDescent="0.25">
      <c r="A3966" s="6"/>
      <c r="B3966" s="6"/>
      <c r="C3966" s="8"/>
      <c r="D3966" s="8"/>
      <c r="E3966" s="6"/>
      <c r="F3966" s="6"/>
      <c r="G3966" s="6"/>
      <c r="H3966" s="6"/>
      <c r="I3966" s="6"/>
      <c r="J3966" s="6"/>
      <c r="K3966" s="6"/>
    </row>
    <row r="3967" spans="1:11" ht="15.75" customHeight="1" x14ac:dyDescent="0.25">
      <c r="A3967" s="6"/>
      <c r="B3967" s="6"/>
      <c r="C3967" s="8"/>
      <c r="D3967" s="8"/>
      <c r="E3967" s="6"/>
      <c r="F3967" s="6"/>
      <c r="G3967" s="6"/>
      <c r="H3967" s="6"/>
      <c r="I3967" s="6"/>
      <c r="J3967" s="6"/>
      <c r="K3967" s="6"/>
    </row>
    <row r="3968" spans="1:11" ht="15.75" customHeight="1" x14ac:dyDescent="0.25">
      <c r="A3968" s="6"/>
      <c r="B3968" s="6"/>
      <c r="C3968" s="8"/>
      <c r="D3968" s="8"/>
      <c r="E3968" s="6"/>
      <c r="F3968" s="6"/>
      <c r="G3968" s="6"/>
      <c r="H3968" s="6"/>
      <c r="I3968" s="6"/>
      <c r="J3968" s="6"/>
      <c r="K3968" s="6"/>
    </row>
    <row r="3969" spans="1:11" ht="15.75" customHeight="1" x14ac:dyDescent="0.25">
      <c r="A3969" s="6"/>
      <c r="B3969" s="6"/>
      <c r="C3969" s="8"/>
      <c r="D3969" s="8"/>
      <c r="E3969" s="6"/>
      <c r="F3969" s="6"/>
      <c r="G3969" s="6"/>
      <c r="H3969" s="6"/>
      <c r="I3969" s="6"/>
      <c r="J3969" s="6"/>
      <c r="K3969" s="6"/>
    </row>
    <row r="3970" spans="1:11" ht="15.75" customHeight="1" x14ac:dyDescent="0.25">
      <c r="A3970" s="6"/>
      <c r="B3970" s="6"/>
      <c r="C3970" s="8"/>
      <c r="D3970" s="8"/>
      <c r="E3970" s="6"/>
      <c r="F3970" s="6"/>
      <c r="G3970" s="6"/>
      <c r="H3970" s="6"/>
      <c r="I3970" s="6"/>
      <c r="J3970" s="6"/>
      <c r="K3970" s="6"/>
    </row>
    <row r="3971" spans="1:11" ht="15.75" customHeight="1" x14ac:dyDescent="0.25">
      <c r="A3971" s="6"/>
      <c r="B3971" s="6"/>
      <c r="C3971" s="8"/>
      <c r="D3971" s="8"/>
      <c r="E3971" s="6"/>
      <c r="F3971" s="6"/>
      <c r="G3971" s="6"/>
      <c r="H3971" s="6"/>
      <c r="I3971" s="6"/>
      <c r="J3971" s="6"/>
      <c r="K3971" s="6"/>
    </row>
    <row r="3972" spans="1:11" ht="15.75" customHeight="1" x14ac:dyDescent="0.25">
      <c r="A3972" s="6"/>
      <c r="B3972" s="6"/>
      <c r="C3972" s="8"/>
      <c r="D3972" s="8"/>
      <c r="E3972" s="6"/>
      <c r="F3972" s="6"/>
      <c r="G3972" s="6"/>
      <c r="H3972" s="6"/>
      <c r="I3972" s="6"/>
      <c r="J3972" s="6"/>
      <c r="K3972" s="6"/>
    </row>
    <row r="3973" spans="1:11" ht="15.75" customHeight="1" x14ac:dyDescent="0.25">
      <c r="A3973" s="6"/>
      <c r="B3973" s="6"/>
      <c r="C3973" s="8"/>
      <c r="D3973" s="8"/>
      <c r="E3973" s="6"/>
      <c r="F3973" s="6"/>
      <c r="G3973" s="6"/>
      <c r="H3973" s="6"/>
      <c r="I3973" s="6"/>
      <c r="J3973" s="6"/>
      <c r="K3973" s="6"/>
    </row>
    <row r="3974" spans="1:11" ht="15.75" customHeight="1" x14ac:dyDescent="0.25">
      <c r="A3974" s="6"/>
      <c r="B3974" s="6"/>
      <c r="C3974" s="8"/>
      <c r="D3974" s="8"/>
      <c r="E3974" s="6"/>
      <c r="F3974" s="6"/>
      <c r="G3974" s="6"/>
      <c r="H3974" s="6"/>
      <c r="I3974" s="6"/>
      <c r="J3974" s="6"/>
      <c r="K3974" s="6"/>
    </row>
    <row r="3975" spans="1:11" ht="15.75" customHeight="1" x14ac:dyDescent="0.25">
      <c r="A3975" s="6"/>
      <c r="B3975" s="6"/>
      <c r="C3975" s="8"/>
      <c r="D3975" s="8"/>
      <c r="E3975" s="6"/>
      <c r="F3975" s="6"/>
      <c r="G3975" s="6"/>
      <c r="H3975" s="6"/>
      <c r="I3975" s="6"/>
      <c r="J3975" s="6"/>
      <c r="K3975" s="6"/>
    </row>
    <row r="3976" spans="1:11" ht="15.75" customHeight="1" x14ac:dyDescent="0.25">
      <c r="A3976" s="6"/>
      <c r="B3976" s="6"/>
      <c r="C3976" s="8"/>
      <c r="D3976" s="8"/>
      <c r="E3976" s="6"/>
      <c r="F3976" s="6"/>
      <c r="G3976" s="6"/>
      <c r="H3976" s="6"/>
      <c r="I3976" s="6"/>
      <c r="J3976" s="6"/>
      <c r="K3976" s="6"/>
    </row>
    <row r="3977" spans="1:11" ht="15.75" customHeight="1" x14ac:dyDescent="0.25">
      <c r="A3977" s="6"/>
      <c r="B3977" s="6"/>
      <c r="C3977" s="8"/>
      <c r="D3977" s="8"/>
      <c r="E3977" s="6"/>
      <c r="F3977" s="6"/>
      <c r="G3977" s="6"/>
      <c r="H3977" s="6"/>
      <c r="I3977" s="6"/>
      <c r="J3977" s="6"/>
      <c r="K3977" s="6"/>
    </row>
    <row r="3978" spans="1:11" ht="15.75" customHeight="1" x14ac:dyDescent="0.25">
      <c r="A3978" s="6"/>
      <c r="B3978" s="6"/>
      <c r="C3978" s="8"/>
      <c r="D3978" s="8"/>
      <c r="E3978" s="6"/>
      <c r="F3978" s="6"/>
      <c r="G3978" s="6"/>
      <c r="H3978" s="6"/>
      <c r="I3978" s="6"/>
      <c r="J3978" s="6"/>
      <c r="K3978" s="6"/>
    </row>
    <row r="3979" spans="1:11" ht="15.75" customHeight="1" x14ac:dyDescent="0.25">
      <c r="A3979" s="6"/>
      <c r="B3979" s="6"/>
      <c r="C3979" s="8"/>
      <c r="D3979" s="8"/>
      <c r="E3979" s="6"/>
      <c r="F3979" s="6"/>
      <c r="G3979" s="6"/>
      <c r="H3979" s="6"/>
      <c r="I3979" s="6"/>
      <c r="J3979" s="6"/>
      <c r="K3979" s="6"/>
    </row>
    <row r="3980" spans="1:11" ht="15.75" customHeight="1" x14ac:dyDescent="0.25">
      <c r="A3980" s="6"/>
      <c r="B3980" s="6"/>
      <c r="C3980" s="8"/>
      <c r="D3980" s="8"/>
      <c r="E3980" s="6"/>
      <c r="F3980" s="6"/>
      <c r="G3980" s="6"/>
      <c r="H3980" s="6"/>
      <c r="I3980" s="6"/>
      <c r="J3980" s="6"/>
      <c r="K3980" s="6"/>
    </row>
    <row r="3981" spans="1:11" ht="15.75" customHeight="1" x14ac:dyDescent="0.25">
      <c r="A3981" s="6"/>
      <c r="B3981" s="6"/>
      <c r="C3981" s="8"/>
      <c r="D3981" s="8"/>
      <c r="E3981" s="6"/>
      <c r="F3981" s="6"/>
      <c r="G3981" s="6"/>
      <c r="H3981" s="6"/>
      <c r="I3981" s="6"/>
      <c r="J3981" s="6"/>
      <c r="K3981" s="6"/>
    </row>
    <row r="3982" spans="1:11" ht="15.75" customHeight="1" x14ac:dyDescent="0.25">
      <c r="A3982" s="6"/>
      <c r="B3982" s="6"/>
      <c r="C3982" s="8"/>
      <c r="D3982" s="8"/>
      <c r="E3982" s="6"/>
      <c r="F3982" s="6"/>
      <c r="G3982" s="6"/>
      <c r="H3982" s="6"/>
      <c r="I3982" s="6"/>
      <c r="J3982" s="6"/>
      <c r="K3982" s="6"/>
    </row>
    <row r="3983" spans="1:11" ht="15.75" customHeight="1" x14ac:dyDescent="0.25">
      <c r="A3983" s="6"/>
      <c r="B3983" s="6"/>
      <c r="C3983" s="8"/>
      <c r="D3983" s="8"/>
      <c r="E3983" s="6"/>
      <c r="F3983" s="6"/>
      <c r="G3983" s="6"/>
      <c r="H3983" s="6"/>
      <c r="I3983" s="6"/>
      <c r="J3983" s="6"/>
      <c r="K3983" s="6"/>
    </row>
    <row r="3984" spans="1:11" ht="15.75" customHeight="1" x14ac:dyDescent="0.25">
      <c r="A3984" s="6"/>
      <c r="B3984" s="6"/>
      <c r="C3984" s="8"/>
      <c r="D3984" s="8"/>
      <c r="E3984" s="6"/>
      <c r="F3984" s="6"/>
      <c r="G3984" s="6"/>
      <c r="H3984" s="6"/>
      <c r="I3984" s="6"/>
      <c r="J3984" s="6"/>
      <c r="K3984" s="6"/>
    </row>
    <row r="3985" spans="1:11" ht="15.75" customHeight="1" x14ac:dyDescent="0.25">
      <c r="A3985" s="6"/>
      <c r="B3985" s="6"/>
      <c r="C3985" s="8"/>
      <c r="D3985" s="8"/>
      <c r="E3985" s="6"/>
      <c r="F3985" s="6"/>
      <c r="G3985" s="6"/>
      <c r="H3985" s="6"/>
      <c r="I3985" s="6"/>
      <c r="J3985" s="6"/>
      <c r="K3985" s="6"/>
    </row>
    <row r="3986" spans="1:11" ht="15.75" customHeight="1" x14ac:dyDescent="0.25">
      <c r="A3986" s="6"/>
      <c r="B3986" s="6"/>
      <c r="C3986" s="8"/>
      <c r="D3986" s="8"/>
      <c r="E3986" s="6"/>
      <c r="F3986" s="6"/>
      <c r="G3986" s="6"/>
      <c r="H3986" s="6"/>
      <c r="I3986" s="6"/>
      <c r="J3986" s="6"/>
      <c r="K3986" s="6"/>
    </row>
    <row r="3987" spans="1:11" ht="15.75" customHeight="1" x14ac:dyDescent="0.25">
      <c r="A3987" s="6"/>
      <c r="B3987" s="6"/>
      <c r="C3987" s="8"/>
      <c r="D3987" s="8"/>
      <c r="E3987" s="6"/>
      <c r="F3987" s="6"/>
      <c r="G3987" s="6"/>
      <c r="H3987" s="6"/>
      <c r="I3987" s="6"/>
      <c r="J3987" s="6"/>
      <c r="K3987" s="6"/>
    </row>
    <row r="3988" spans="1:11" ht="15.75" customHeight="1" x14ac:dyDescent="0.25">
      <c r="A3988" s="6"/>
      <c r="B3988" s="6"/>
      <c r="C3988" s="8"/>
      <c r="D3988" s="8"/>
      <c r="E3988" s="6"/>
      <c r="F3988" s="6"/>
      <c r="G3988" s="6"/>
      <c r="H3988" s="6"/>
      <c r="I3988" s="6"/>
      <c r="J3988" s="6"/>
      <c r="K3988" s="6"/>
    </row>
    <row r="3989" spans="1:11" ht="15.75" customHeight="1" x14ac:dyDescent="0.25">
      <c r="A3989" s="6"/>
      <c r="B3989" s="6"/>
      <c r="C3989" s="8"/>
      <c r="D3989" s="8"/>
      <c r="E3989" s="6"/>
      <c r="F3989" s="6"/>
      <c r="G3989" s="6"/>
      <c r="H3989" s="6"/>
      <c r="I3989" s="6"/>
      <c r="J3989" s="6"/>
      <c r="K3989" s="6"/>
    </row>
    <row r="3990" spans="1:11" ht="15.75" customHeight="1" x14ac:dyDescent="0.25">
      <c r="A3990" s="6"/>
      <c r="B3990" s="6"/>
      <c r="C3990" s="8"/>
      <c r="D3990" s="8"/>
      <c r="E3990" s="6"/>
      <c r="F3990" s="6"/>
      <c r="G3990" s="6"/>
      <c r="H3990" s="6"/>
      <c r="I3990" s="6"/>
      <c r="J3990" s="6"/>
      <c r="K3990" s="6"/>
    </row>
    <row r="3991" spans="1:11" ht="15.75" customHeight="1" x14ac:dyDescent="0.25">
      <c r="A3991" s="6"/>
      <c r="B3991" s="6"/>
      <c r="C3991" s="8"/>
      <c r="D3991" s="8"/>
      <c r="E3991" s="6"/>
      <c r="F3991" s="6"/>
      <c r="G3991" s="6"/>
      <c r="H3991" s="6"/>
      <c r="I3991" s="6"/>
      <c r="J3991" s="6"/>
      <c r="K3991" s="6"/>
    </row>
    <row r="3992" spans="1:11" ht="15.75" customHeight="1" x14ac:dyDescent="0.25">
      <c r="A3992" s="6"/>
      <c r="B3992" s="6"/>
      <c r="C3992" s="8"/>
      <c r="D3992" s="8"/>
      <c r="E3992" s="6"/>
      <c r="F3992" s="6"/>
      <c r="G3992" s="6"/>
      <c r="H3992" s="6"/>
      <c r="I3992" s="6"/>
      <c r="J3992" s="6"/>
      <c r="K3992" s="6"/>
    </row>
    <row r="3993" spans="1:11" ht="15.75" customHeight="1" x14ac:dyDescent="0.25">
      <c r="A3993" s="6"/>
      <c r="B3993" s="6"/>
      <c r="C3993" s="8"/>
      <c r="D3993" s="8"/>
      <c r="E3993" s="6"/>
      <c r="F3993" s="6"/>
      <c r="G3993" s="6"/>
      <c r="H3993" s="6"/>
      <c r="I3993" s="6"/>
      <c r="J3993" s="6"/>
      <c r="K3993" s="6"/>
    </row>
    <row r="3994" spans="1:11" ht="15.75" customHeight="1" x14ac:dyDescent="0.25">
      <c r="A3994" s="6"/>
      <c r="B3994" s="6"/>
      <c r="C3994" s="8"/>
      <c r="D3994" s="8"/>
      <c r="E3994" s="6"/>
      <c r="F3994" s="6"/>
      <c r="G3994" s="6"/>
      <c r="H3994" s="6"/>
      <c r="I3994" s="6"/>
      <c r="J3994" s="6"/>
      <c r="K3994" s="6"/>
    </row>
    <row r="3995" spans="1:11" ht="15.75" customHeight="1" x14ac:dyDescent="0.25">
      <c r="A3995" s="6"/>
      <c r="B3995" s="6"/>
      <c r="C3995" s="8"/>
      <c r="D3995" s="8"/>
      <c r="E3995" s="6"/>
      <c r="F3995" s="6"/>
      <c r="G3995" s="6"/>
      <c r="H3995" s="6"/>
      <c r="I3995" s="6"/>
      <c r="J3995" s="6"/>
      <c r="K3995" s="6"/>
    </row>
    <row r="3996" spans="1:11" ht="15.75" customHeight="1" x14ac:dyDescent="0.25">
      <c r="A3996" s="6"/>
      <c r="B3996" s="6"/>
      <c r="C3996" s="8"/>
      <c r="D3996" s="8"/>
      <c r="E3996" s="6"/>
      <c r="F3996" s="6"/>
      <c r="G3996" s="6"/>
      <c r="H3996" s="6"/>
      <c r="I3996" s="6"/>
      <c r="J3996" s="6"/>
      <c r="K3996" s="6"/>
    </row>
    <row r="3997" spans="1:11" ht="15.75" customHeight="1" x14ac:dyDescent="0.25">
      <c r="A3997" s="6"/>
      <c r="B3997" s="6"/>
      <c r="C3997" s="8"/>
      <c r="D3997" s="8"/>
      <c r="E3997" s="6"/>
      <c r="F3997" s="6"/>
      <c r="G3997" s="6"/>
      <c r="H3997" s="6"/>
      <c r="I3997" s="6"/>
      <c r="J3997" s="6"/>
      <c r="K3997" s="6"/>
    </row>
    <row r="3998" spans="1:11" ht="15.75" customHeight="1" x14ac:dyDescent="0.25">
      <c r="A3998" s="6"/>
      <c r="B3998" s="6"/>
      <c r="C3998" s="8"/>
      <c r="D3998" s="8"/>
      <c r="E3998" s="6"/>
      <c r="F3998" s="6"/>
      <c r="G3998" s="6"/>
      <c r="H3998" s="6"/>
      <c r="I3998" s="6"/>
      <c r="J3998" s="6"/>
      <c r="K3998" s="6"/>
    </row>
    <row r="3999" spans="1:11" ht="15.75" customHeight="1" x14ac:dyDescent="0.25">
      <c r="A3999" s="6"/>
      <c r="B3999" s="6"/>
      <c r="C3999" s="8"/>
      <c r="D3999" s="8"/>
      <c r="E3999" s="6"/>
      <c r="F3999" s="6"/>
      <c r="G3999" s="6"/>
      <c r="H3999" s="6"/>
      <c r="I3999" s="6"/>
      <c r="J3999" s="6"/>
      <c r="K3999" s="6"/>
    </row>
    <row r="4000" spans="1:11" ht="15.75" customHeight="1" x14ac:dyDescent="0.25">
      <c r="A4000" s="6"/>
      <c r="B4000" s="6"/>
      <c r="C4000" s="8"/>
      <c r="D4000" s="8"/>
      <c r="E4000" s="6"/>
      <c r="F4000" s="6"/>
      <c r="G4000" s="6"/>
      <c r="H4000" s="6"/>
      <c r="I4000" s="6"/>
      <c r="J4000" s="6"/>
      <c r="K4000" s="6"/>
    </row>
    <row r="4001" spans="3:4" ht="15.75" customHeight="1" x14ac:dyDescent="0.25">
      <c r="C4001" s="8"/>
      <c r="D4001" s="8"/>
    </row>
    <row r="4002" spans="3:4" ht="15.75" customHeight="1" x14ac:dyDescent="0.25">
      <c r="C4002" s="8"/>
      <c r="D4002" s="8"/>
    </row>
    <row r="4003" spans="3:4" ht="15.75" customHeight="1" x14ac:dyDescent="0.25">
      <c r="C4003" s="8"/>
      <c r="D4003" s="8"/>
    </row>
    <row r="4004" spans="3:4" ht="15.75" customHeight="1" x14ac:dyDescent="0.25">
      <c r="C4004" s="8"/>
      <c r="D4004" s="8"/>
    </row>
    <row r="4005" spans="3:4" ht="15.75" customHeight="1" x14ac:dyDescent="0.25">
      <c r="C4005" s="8"/>
      <c r="D4005" s="8"/>
    </row>
    <row r="4006" spans="3:4" ht="15.75" customHeight="1" x14ac:dyDescent="0.25">
      <c r="C4006" s="8"/>
      <c r="D4006" s="8"/>
    </row>
    <row r="4007" spans="3:4" ht="15.75" customHeight="1" x14ac:dyDescent="0.25">
      <c r="C4007" s="8"/>
      <c r="D4007" s="8"/>
    </row>
    <row r="4008" spans="3:4" ht="15.75" customHeight="1" x14ac:dyDescent="0.25">
      <c r="C4008" s="8"/>
      <c r="D4008" s="8"/>
    </row>
    <row r="4009" spans="3:4" ht="15.75" customHeight="1" x14ac:dyDescent="0.25">
      <c r="C4009" s="8"/>
      <c r="D4009" s="8"/>
    </row>
    <row r="4010" spans="3:4" ht="15.75" customHeight="1" x14ac:dyDescent="0.25">
      <c r="C4010" s="8"/>
      <c r="D4010" s="8"/>
    </row>
    <row r="4011" spans="3:4" ht="15.75" customHeight="1" x14ac:dyDescent="0.25">
      <c r="C4011" s="8"/>
      <c r="D4011" s="8"/>
    </row>
    <row r="4012" spans="3:4" ht="15.75" customHeight="1" x14ac:dyDescent="0.25">
      <c r="C4012" s="8"/>
      <c r="D4012" s="8"/>
    </row>
    <row r="4013" spans="3:4" ht="15.75" customHeight="1" x14ac:dyDescent="0.25">
      <c r="C4013" s="8"/>
      <c r="D4013" s="8"/>
    </row>
    <row r="4014" spans="3:4" ht="15.75" customHeight="1" x14ac:dyDescent="0.25">
      <c r="C4014" s="8"/>
      <c r="D4014" s="8"/>
    </row>
    <row r="4015" spans="3:4" ht="15.75" customHeight="1" x14ac:dyDescent="0.25">
      <c r="C4015" s="8"/>
      <c r="D4015" s="8"/>
    </row>
    <row r="4016" spans="3:4" ht="15.75" customHeight="1" x14ac:dyDescent="0.25">
      <c r="C4016" s="8"/>
      <c r="D4016" s="8"/>
    </row>
    <row r="4017" spans="3:4" ht="15.75" customHeight="1" x14ac:dyDescent="0.25">
      <c r="C4017" s="8"/>
      <c r="D4017" s="8"/>
    </row>
    <row r="4018" spans="3:4" ht="15.75" customHeight="1" x14ac:dyDescent="0.25">
      <c r="C4018" s="8"/>
      <c r="D4018" s="8"/>
    </row>
    <row r="4019" spans="3:4" ht="15.75" customHeight="1" x14ac:dyDescent="0.25">
      <c r="C4019" s="8"/>
      <c r="D4019" s="8"/>
    </row>
    <row r="4020" spans="3:4" ht="15.75" customHeight="1" x14ac:dyDescent="0.25">
      <c r="C4020" s="8"/>
      <c r="D4020" s="8"/>
    </row>
    <row r="4021" spans="3:4" ht="15.75" customHeight="1" x14ac:dyDescent="0.25">
      <c r="C4021" s="8"/>
      <c r="D4021" s="8"/>
    </row>
    <row r="4022" spans="3:4" ht="15.75" customHeight="1" x14ac:dyDescent="0.25">
      <c r="C4022" s="8"/>
      <c r="D4022" s="8"/>
    </row>
    <row r="4023" spans="3:4" ht="15.75" customHeight="1" x14ac:dyDescent="0.25">
      <c r="C4023" s="8"/>
      <c r="D4023" s="8"/>
    </row>
    <row r="4024" spans="3:4" ht="15.75" customHeight="1" x14ac:dyDescent="0.25">
      <c r="C4024" s="8"/>
      <c r="D4024" s="8"/>
    </row>
    <row r="4025" spans="3:4" ht="15.75" customHeight="1" x14ac:dyDescent="0.25">
      <c r="C4025" s="8"/>
      <c r="D4025" s="8"/>
    </row>
    <row r="4026" spans="3:4" ht="15.75" customHeight="1" x14ac:dyDescent="0.25">
      <c r="C4026" s="8"/>
      <c r="D4026" s="8"/>
    </row>
    <row r="4027" spans="3:4" ht="15.75" customHeight="1" x14ac:dyDescent="0.25">
      <c r="C4027" s="8"/>
      <c r="D4027" s="8"/>
    </row>
    <row r="4028" spans="3:4" ht="15.75" customHeight="1" x14ac:dyDescent="0.25">
      <c r="C4028" s="8"/>
      <c r="D4028" s="8"/>
    </row>
    <row r="4029" spans="3:4" ht="15.75" customHeight="1" x14ac:dyDescent="0.25">
      <c r="C4029" s="8"/>
      <c r="D4029" s="8"/>
    </row>
    <row r="4030" spans="3:4" ht="15.75" customHeight="1" x14ac:dyDescent="0.25">
      <c r="C4030" s="8"/>
      <c r="D4030" s="8"/>
    </row>
    <row r="4031" spans="3:4" ht="15.75" customHeight="1" x14ac:dyDescent="0.25">
      <c r="C4031" s="8"/>
      <c r="D4031" s="8"/>
    </row>
    <row r="4032" spans="3:4" ht="15.75" customHeight="1" x14ac:dyDescent="0.25">
      <c r="C4032" s="8"/>
      <c r="D4032" s="8"/>
    </row>
    <row r="4033" spans="3:4" ht="15.75" customHeight="1" x14ac:dyDescent="0.25">
      <c r="C4033" s="8"/>
      <c r="D4033" s="8"/>
    </row>
    <row r="4034" spans="3:4" ht="15.75" customHeight="1" x14ac:dyDescent="0.25">
      <c r="C4034" s="8"/>
      <c r="D4034" s="8"/>
    </row>
    <row r="4035" spans="3:4" ht="15.75" customHeight="1" x14ac:dyDescent="0.25">
      <c r="C4035" s="8"/>
      <c r="D4035" s="8"/>
    </row>
    <row r="4036" spans="3:4" ht="15.75" customHeight="1" x14ac:dyDescent="0.25">
      <c r="C4036" s="8"/>
      <c r="D4036" s="8"/>
    </row>
    <row r="4037" spans="3:4" ht="15.75" customHeight="1" x14ac:dyDescent="0.25">
      <c r="C4037" s="8"/>
      <c r="D4037" s="8"/>
    </row>
    <row r="4038" spans="3:4" ht="15.75" customHeight="1" x14ac:dyDescent="0.25">
      <c r="C4038" s="8"/>
      <c r="D4038" s="8"/>
    </row>
    <row r="4039" spans="3:4" ht="15.75" customHeight="1" x14ac:dyDescent="0.25">
      <c r="C4039" s="8"/>
      <c r="D4039" s="8"/>
    </row>
    <row r="4040" spans="3:4" ht="15.75" customHeight="1" x14ac:dyDescent="0.25">
      <c r="C4040" s="8"/>
      <c r="D4040" s="8"/>
    </row>
    <row r="4041" spans="3:4" ht="15.75" customHeight="1" x14ac:dyDescent="0.25">
      <c r="C4041" s="8"/>
      <c r="D4041" s="8"/>
    </row>
    <row r="4042" spans="3:4" ht="15.75" customHeight="1" x14ac:dyDescent="0.25">
      <c r="C4042" s="8"/>
      <c r="D4042" s="8"/>
    </row>
    <row r="4043" spans="3:4" ht="15.75" customHeight="1" x14ac:dyDescent="0.25">
      <c r="C4043" s="8"/>
      <c r="D4043" s="8"/>
    </row>
    <row r="4044" spans="3:4" ht="15.75" customHeight="1" x14ac:dyDescent="0.25">
      <c r="C4044" s="8"/>
      <c r="D4044" s="8"/>
    </row>
    <row r="4045" spans="3:4" ht="15.75" customHeight="1" x14ac:dyDescent="0.25">
      <c r="C4045" s="8"/>
      <c r="D4045" s="8"/>
    </row>
    <row r="4046" spans="3:4" ht="15.75" customHeight="1" x14ac:dyDescent="0.25">
      <c r="C4046" s="8"/>
      <c r="D4046" s="8"/>
    </row>
    <row r="4047" spans="3:4" ht="15.75" customHeight="1" x14ac:dyDescent="0.25">
      <c r="C4047" s="8"/>
      <c r="D4047" s="8"/>
    </row>
    <row r="4048" spans="3:4" ht="15.75" customHeight="1" x14ac:dyDescent="0.25">
      <c r="C4048" s="8"/>
      <c r="D4048" s="8"/>
    </row>
    <row r="4049" spans="3:4" ht="15.75" customHeight="1" x14ac:dyDescent="0.25">
      <c r="C4049" s="8"/>
      <c r="D4049" s="8"/>
    </row>
    <row r="4050" spans="3:4" ht="15.75" customHeight="1" x14ac:dyDescent="0.25">
      <c r="C4050" s="8"/>
      <c r="D4050" s="8"/>
    </row>
    <row r="4051" spans="3:4" ht="15.75" customHeight="1" x14ac:dyDescent="0.25">
      <c r="C4051" s="8"/>
      <c r="D4051" s="8"/>
    </row>
    <row r="4052" spans="3:4" ht="15.75" customHeight="1" x14ac:dyDescent="0.25">
      <c r="C4052" s="8"/>
      <c r="D4052" s="8"/>
    </row>
    <row r="4053" spans="3:4" ht="15.75" customHeight="1" x14ac:dyDescent="0.25">
      <c r="C4053" s="8"/>
      <c r="D4053" s="8"/>
    </row>
    <row r="4054" spans="3:4" ht="15.75" customHeight="1" x14ac:dyDescent="0.25">
      <c r="C4054" s="8"/>
      <c r="D4054" s="8"/>
    </row>
    <row r="4055" spans="3:4" ht="15.75" customHeight="1" x14ac:dyDescent="0.25">
      <c r="C4055" s="8"/>
      <c r="D4055" s="8"/>
    </row>
    <row r="4056" spans="3:4" ht="15.75" customHeight="1" x14ac:dyDescent="0.25">
      <c r="C4056" s="8"/>
      <c r="D4056" s="8"/>
    </row>
    <row r="4057" spans="3:4" ht="15.75" customHeight="1" x14ac:dyDescent="0.25">
      <c r="C4057" s="8"/>
      <c r="D4057" s="8"/>
    </row>
    <row r="4058" spans="3:4" ht="15.75" customHeight="1" x14ac:dyDescent="0.25">
      <c r="C4058" s="8"/>
      <c r="D4058" s="8"/>
    </row>
    <row r="4059" spans="3:4" ht="15.75" customHeight="1" x14ac:dyDescent="0.25">
      <c r="C4059" s="8"/>
      <c r="D4059" s="8"/>
    </row>
    <row r="4060" spans="3:4" ht="15.75" customHeight="1" x14ac:dyDescent="0.25">
      <c r="C4060" s="8"/>
      <c r="D4060" s="8"/>
    </row>
    <row r="4061" spans="3:4" ht="15.75" customHeight="1" x14ac:dyDescent="0.25">
      <c r="C4061" s="8"/>
      <c r="D4061" s="8"/>
    </row>
    <row r="4062" spans="3:4" ht="15.75" customHeight="1" x14ac:dyDescent="0.25">
      <c r="C4062" s="8"/>
      <c r="D4062" s="8"/>
    </row>
    <row r="4063" spans="3:4" ht="15.75" customHeight="1" x14ac:dyDescent="0.25">
      <c r="C4063" s="8"/>
      <c r="D4063" s="8"/>
    </row>
    <row r="4064" spans="3:4" ht="15.75" customHeight="1" x14ac:dyDescent="0.25">
      <c r="C4064" s="8"/>
      <c r="D4064" s="8"/>
    </row>
    <row r="4065" spans="3:4" ht="15.75" customHeight="1" x14ac:dyDescent="0.25">
      <c r="C4065" s="8"/>
      <c r="D4065" s="8"/>
    </row>
    <row r="4066" spans="3:4" ht="15.75" customHeight="1" x14ac:dyDescent="0.25">
      <c r="C4066" s="8"/>
      <c r="D4066" s="8"/>
    </row>
    <row r="4067" spans="3:4" ht="15.75" customHeight="1" x14ac:dyDescent="0.25">
      <c r="C4067" s="8"/>
      <c r="D4067" s="8"/>
    </row>
    <row r="4068" spans="3:4" ht="15.75" customHeight="1" x14ac:dyDescent="0.25">
      <c r="C4068" s="8"/>
      <c r="D4068" s="8"/>
    </row>
    <row r="4069" spans="3:4" ht="15.75" customHeight="1" x14ac:dyDescent="0.25">
      <c r="C4069" s="8"/>
      <c r="D4069" s="8"/>
    </row>
    <row r="4070" spans="3:4" ht="15.75" customHeight="1" x14ac:dyDescent="0.25">
      <c r="C4070" s="8"/>
      <c r="D4070" s="8"/>
    </row>
    <row r="4071" spans="3:4" ht="15.75" customHeight="1" x14ac:dyDescent="0.25">
      <c r="C4071" s="8"/>
      <c r="D4071" s="8"/>
    </row>
    <row r="4072" spans="3:4" ht="15.75" customHeight="1" x14ac:dyDescent="0.25">
      <c r="C4072" s="8"/>
      <c r="D4072" s="8"/>
    </row>
    <row r="4073" spans="3:4" ht="15.75" customHeight="1" x14ac:dyDescent="0.25">
      <c r="C4073" s="8"/>
      <c r="D4073" s="8"/>
    </row>
    <row r="4074" spans="3:4" ht="15.75" customHeight="1" x14ac:dyDescent="0.25">
      <c r="C4074" s="8"/>
      <c r="D4074" s="8"/>
    </row>
    <row r="4075" spans="3:4" ht="15.75" customHeight="1" x14ac:dyDescent="0.25">
      <c r="C4075" s="8"/>
      <c r="D4075" s="8"/>
    </row>
    <row r="4076" spans="3:4" ht="15.75" customHeight="1" x14ac:dyDescent="0.25">
      <c r="C4076" s="8"/>
      <c r="D4076" s="8"/>
    </row>
    <row r="4077" spans="3:4" ht="15.75" customHeight="1" x14ac:dyDescent="0.25">
      <c r="C4077" s="8"/>
      <c r="D4077" s="8"/>
    </row>
    <row r="4078" spans="3:4" ht="15.75" customHeight="1" x14ac:dyDescent="0.25">
      <c r="C4078" s="8"/>
      <c r="D4078" s="8"/>
    </row>
    <row r="4079" spans="3:4" ht="15.75" customHeight="1" x14ac:dyDescent="0.25">
      <c r="C4079" s="8"/>
      <c r="D4079" s="8"/>
    </row>
    <row r="4080" spans="3:4" ht="15.75" customHeight="1" x14ac:dyDescent="0.25">
      <c r="C4080" s="8"/>
      <c r="D4080" s="8"/>
    </row>
    <row r="4081" spans="3:4" ht="15.75" customHeight="1" x14ac:dyDescent="0.25">
      <c r="C4081" s="8"/>
      <c r="D4081" s="8"/>
    </row>
    <row r="4082" spans="3:4" ht="15.75" customHeight="1" x14ac:dyDescent="0.25">
      <c r="C4082" s="8"/>
      <c r="D4082" s="8"/>
    </row>
    <row r="4083" spans="3:4" ht="15.75" customHeight="1" x14ac:dyDescent="0.25">
      <c r="C4083" s="8"/>
      <c r="D4083" s="8"/>
    </row>
    <row r="4084" spans="3:4" ht="15.75" customHeight="1" x14ac:dyDescent="0.25">
      <c r="C4084" s="8"/>
      <c r="D4084" s="8"/>
    </row>
    <row r="4085" spans="3:4" ht="15.75" customHeight="1" x14ac:dyDescent="0.25">
      <c r="C4085" s="8"/>
      <c r="D4085" s="8"/>
    </row>
    <row r="4086" spans="3:4" ht="15.75" customHeight="1" x14ac:dyDescent="0.25">
      <c r="C4086" s="8"/>
      <c r="D4086" s="8"/>
    </row>
    <row r="4087" spans="3:4" ht="15.75" customHeight="1" x14ac:dyDescent="0.25">
      <c r="C4087" s="8"/>
      <c r="D4087" s="8"/>
    </row>
    <row r="4088" spans="3:4" ht="15.75" customHeight="1" x14ac:dyDescent="0.25">
      <c r="C4088" s="8"/>
      <c r="D4088" s="8"/>
    </row>
    <row r="4089" spans="3:4" ht="15.75" customHeight="1" x14ac:dyDescent="0.25">
      <c r="C4089" s="8"/>
      <c r="D4089" s="8"/>
    </row>
    <row r="4090" spans="3:4" ht="15.75" customHeight="1" x14ac:dyDescent="0.25">
      <c r="C4090" s="8"/>
      <c r="D4090" s="8"/>
    </row>
    <row r="4091" spans="3:4" ht="15.75" customHeight="1" x14ac:dyDescent="0.25">
      <c r="C4091" s="8"/>
      <c r="D4091" s="8"/>
    </row>
    <row r="4092" spans="3:4" ht="15.75" customHeight="1" x14ac:dyDescent="0.25">
      <c r="C4092" s="8"/>
      <c r="D4092" s="8"/>
    </row>
    <row r="4093" spans="3:4" ht="15.75" customHeight="1" x14ac:dyDescent="0.25">
      <c r="C4093" s="8"/>
      <c r="D4093" s="8"/>
    </row>
    <row r="4094" spans="3:4" ht="15.75" customHeight="1" x14ac:dyDescent="0.25">
      <c r="C4094" s="8"/>
      <c r="D4094" s="8"/>
    </row>
    <row r="4095" spans="3:4" ht="15.75" customHeight="1" x14ac:dyDescent="0.25">
      <c r="C4095" s="8"/>
      <c r="D4095" s="8"/>
    </row>
    <row r="4096" spans="3:4" ht="15.75" customHeight="1" x14ac:dyDescent="0.25">
      <c r="C4096" s="8"/>
      <c r="D4096" s="8"/>
    </row>
    <row r="4097" spans="3:4" ht="15.75" customHeight="1" x14ac:dyDescent="0.25">
      <c r="C4097" s="8"/>
      <c r="D4097" s="8"/>
    </row>
    <row r="4098" spans="3:4" ht="15.75" customHeight="1" x14ac:dyDescent="0.25">
      <c r="C4098" s="8"/>
      <c r="D4098" s="8"/>
    </row>
    <row r="4099" spans="3:4" ht="15.75" customHeight="1" x14ac:dyDescent="0.25">
      <c r="C4099" s="8"/>
      <c r="D4099" s="8"/>
    </row>
    <row r="4100" spans="3:4" ht="15.75" customHeight="1" x14ac:dyDescent="0.25">
      <c r="C4100" s="8"/>
      <c r="D4100" s="8"/>
    </row>
    <row r="4101" spans="3:4" ht="15.75" customHeight="1" x14ac:dyDescent="0.25">
      <c r="C4101" s="8"/>
      <c r="D4101" s="8"/>
    </row>
    <row r="4102" spans="3:4" ht="15.75" customHeight="1" x14ac:dyDescent="0.25">
      <c r="C4102" s="8"/>
      <c r="D4102" s="8"/>
    </row>
    <row r="4103" spans="3:4" ht="15.75" customHeight="1" x14ac:dyDescent="0.25">
      <c r="C4103" s="8"/>
      <c r="D4103" s="8"/>
    </row>
    <row r="4104" spans="3:4" ht="15.75" customHeight="1" x14ac:dyDescent="0.25">
      <c r="C4104" s="8"/>
      <c r="D4104" s="8"/>
    </row>
    <row r="4105" spans="3:4" ht="15.75" customHeight="1" x14ac:dyDescent="0.25">
      <c r="C4105" s="8"/>
      <c r="D4105" s="8"/>
    </row>
    <row r="4106" spans="3:4" ht="15.75" customHeight="1" x14ac:dyDescent="0.25">
      <c r="C4106" s="8"/>
      <c r="D4106" s="8"/>
    </row>
    <row r="4107" spans="3:4" ht="15.75" customHeight="1" x14ac:dyDescent="0.25">
      <c r="C4107" s="8"/>
      <c r="D4107" s="8"/>
    </row>
    <row r="4108" spans="3:4" ht="15.75" customHeight="1" x14ac:dyDescent="0.25">
      <c r="C4108" s="8"/>
      <c r="D4108" s="8"/>
    </row>
    <row r="4109" spans="3:4" ht="15.75" customHeight="1" x14ac:dyDescent="0.25">
      <c r="C4109" s="8"/>
      <c r="D4109" s="8"/>
    </row>
    <row r="4110" spans="3:4" ht="15.75" customHeight="1" x14ac:dyDescent="0.25">
      <c r="C4110" s="8"/>
      <c r="D4110" s="8"/>
    </row>
    <row r="4111" spans="3:4" ht="15.75" customHeight="1" x14ac:dyDescent="0.25">
      <c r="C4111" s="8"/>
      <c r="D4111" s="8"/>
    </row>
    <row r="4112" spans="3:4" ht="15.75" customHeight="1" x14ac:dyDescent="0.25">
      <c r="C4112" s="8"/>
      <c r="D4112" s="8"/>
    </row>
    <row r="4113" spans="3:4" ht="15.75" customHeight="1" x14ac:dyDescent="0.25">
      <c r="C4113" s="8"/>
      <c r="D4113" s="8"/>
    </row>
    <row r="4114" spans="3:4" ht="15.75" customHeight="1" x14ac:dyDescent="0.25">
      <c r="C4114" s="8"/>
      <c r="D4114" s="8"/>
    </row>
    <row r="4115" spans="3:4" ht="15.75" customHeight="1" x14ac:dyDescent="0.25">
      <c r="C4115" s="8"/>
      <c r="D4115" s="8"/>
    </row>
    <row r="4116" spans="3:4" ht="15.75" customHeight="1" x14ac:dyDescent="0.25">
      <c r="C4116" s="8"/>
      <c r="D4116" s="8"/>
    </row>
    <row r="4117" spans="3:4" ht="15.75" customHeight="1" x14ac:dyDescent="0.25">
      <c r="C4117" s="8"/>
      <c r="D4117" s="8"/>
    </row>
    <row r="4118" spans="3:4" ht="15.75" customHeight="1" x14ac:dyDescent="0.25">
      <c r="C4118" s="8"/>
      <c r="D4118" s="8"/>
    </row>
    <row r="4119" spans="3:4" ht="15.75" customHeight="1" x14ac:dyDescent="0.25">
      <c r="C4119" s="8"/>
      <c r="D4119" s="8"/>
    </row>
    <row r="4120" spans="3:4" ht="15.75" customHeight="1" x14ac:dyDescent="0.25">
      <c r="C4120" s="8"/>
      <c r="D4120" s="8"/>
    </row>
    <row r="4121" spans="3:4" ht="15.75" customHeight="1" x14ac:dyDescent="0.25">
      <c r="C4121" s="8"/>
      <c r="D4121" s="8"/>
    </row>
    <row r="4122" spans="3:4" ht="15.75" customHeight="1" x14ac:dyDescent="0.25">
      <c r="C4122" s="8"/>
      <c r="D4122" s="8"/>
    </row>
    <row r="4123" spans="3:4" ht="15.75" customHeight="1" x14ac:dyDescent="0.25">
      <c r="C4123" s="8"/>
      <c r="D4123" s="8"/>
    </row>
    <row r="4124" spans="3:4" ht="15.75" customHeight="1" x14ac:dyDescent="0.25">
      <c r="C4124" s="8"/>
      <c r="D4124" s="8"/>
    </row>
    <row r="4125" spans="3:4" ht="15.75" customHeight="1" x14ac:dyDescent="0.25">
      <c r="C4125" s="8"/>
      <c r="D4125" s="8"/>
    </row>
    <row r="4126" spans="3:4" ht="15.75" customHeight="1" x14ac:dyDescent="0.25">
      <c r="C4126" s="8"/>
      <c r="D4126" s="8"/>
    </row>
    <row r="4127" spans="3:4" ht="15.75" customHeight="1" x14ac:dyDescent="0.25">
      <c r="C4127" s="8"/>
      <c r="D4127" s="8"/>
    </row>
    <row r="4128" spans="3:4" ht="15.75" customHeight="1" x14ac:dyDescent="0.25">
      <c r="C4128" s="8"/>
      <c r="D4128" s="8"/>
    </row>
    <row r="4129" spans="3:4" ht="15.75" customHeight="1" x14ac:dyDescent="0.25">
      <c r="C4129" s="8"/>
      <c r="D4129" s="8"/>
    </row>
    <row r="4130" spans="3:4" ht="15.75" customHeight="1" x14ac:dyDescent="0.25">
      <c r="C4130" s="8"/>
      <c r="D4130" s="8"/>
    </row>
    <row r="4131" spans="3:4" ht="15.75" customHeight="1" x14ac:dyDescent="0.25">
      <c r="C4131" s="8"/>
      <c r="D4131" s="8"/>
    </row>
    <row r="4132" spans="3:4" ht="15.75" customHeight="1" x14ac:dyDescent="0.25">
      <c r="C4132" s="8"/>
      <c r="D4132" s="8"/>
    </row>
    <row r="4133" spans="3:4" ht="15.75" customHeight="1" x14ac:dyDescent="0.25">
      <c r="C4133" s="8"/>
      <c r="D4133" s="8"/>
    </row>
    <row r="4134" spans="3:4" ht="15.75" customHeight="1" x14ac:dyDescent="0.25">
      <c r="C4134" s="8"/>
      <c r="D4134" s="8"/>
    </row>
    <row r="4135" spans="3:4" ht="15.75" customHeight="1" x14ac:dyDescent="0.25">
      <c r="C4135" s="8"/>
      <c r="D4135" s="8"/>
    </row>
    <row r="4136" spans="3:4" ht="15.75" customHeight="1" x14ac:dyDescent="0.25">
      <c r="C4136" s="8"/>
      <c r="D4136" s="8"/>
    </row>
    <row r="4137" spans="3:4" ht="15.75" customHeight="1" x14ac:dyDescent="0.25">
      <c r="C4137" s="8"/>
      <c r="D4137" s="8"/>
    </row>
    <row r="4138" spans="3:4" ht="15.75" customHeight="1" x14ac:dyDescent="0.25">
      <c r="C4138" s="8"/>
      <c r="D4138" s="8"/>
    </row>
    <row r="4139" spans="3:4" ht="15.75" customHeight="1" x14ac:dyDescent="0.25">
      <c r="C4139" s="8"/>
      <c r="D4139" s="8"/>
    </row>
    <row r="4140" spans="3:4" ht="15.75" customHeight="1" x14ac:dyDescent="0.25">
      <c r="C4140" s="8"/>
      <c r="D4140" s="8"/>
    </row>
    <row r="4141" spans="3:4" ht="15.75" customHeight="1" x14ac:dyDescent="0.25">
      <c r="C4141" s="8"/>
      <c r="D4141" s="8"/>
    </row>
    <row r="4142" spans="3:4" ht="15.75" customHeight="1" x14ac:dyDescent="0.25">
      <c r="C4142" s="8"/>
      <c r="D4142" s="8"/>
    </row>
    <row r="4143" spans="3:4" ht="15.75" customHeight="1" x14ac:dyDescent="0.25">
      <c r="C4143" s="8"/>
      <c r="D4143" s="8"/>
    </row>
    <row r="4144" spans="3:4" ht="15.75" customHeight="1" x14ac:dyDescent="0.25">
      <c r="C4144" s="8"/>
      <c r="D4144" s="8"/>
    </row>
    <row r="4145" spans="3:4" ht="15.75" customHeight="1" x14ac:dyDescent="0.25">
      <c r="C4145" s="8"/>
      <c r="D4145" s="8"/>
    </row>
    <row r="4146" spans="3:4" ht="15.75" customHeight="1" x14ac:dyDescent="0.25">
      <c r="C4146" s="8"/>
      <c r="D4146" s="8"/>
    </row>
    <row r="4147" spans="3:4" ht="15.75" customHeight="1" x14ac:dyDescent="0.25">
      <c r="C4147" s="8"/>
      <c r="D4147" s="8"/>
    </row>
    <row r="4148" spans="3:4" ht="15.75" customHeight="1" x14ac:dyDescent="0.25">
      <c r="C4148" s="8"/>
      <c r="D4148" s="8"/>
    </row>
    <row r="4149" spans="3:4" ht="15.75" customHeight="1" x14ac:dyDescent="0.25">
      <c r="C4149" s="8"/>
      <c r="D4149" s="8"/>
    </row>
    <row r="4150" spans="3:4" ht="15.75" customHeight="1" x14ac:dyDescent="0.25">
      <c r="C4150" s="8"/>
      <c r="D4150" s="8"/>
    </row>
    <row r="4151" spans="3:4" ht="15.75" customHeight="1" x14ac:dyDescent="0.25">
      <c r="C4151" s="8"/>
      <c r="D4151" s="8"/>
    </row>
    <row r="4152" spans="3:4" ht="15.75" customHeight="1" x14ac:dyDescent="0.25">
      <c r="C4152" s="8"/>
      <c r="D4152" s="8"/>
    </row>
    <row r="4153" spans="3:4" ht="15.75" customHeight="1" x14ac:dyDescent="0.25">
      <c r="C4153" s="8"/>
      <c r="D4153" s="8"/>
    </row>
    <row r="4154" spans="3:4" ht="15.75" customHeight="1" x14ac:dyDescent="0.25">
      <c r="C4154" s="8"/>
      <c r="D4154" s="8"/>
    </row>
    <row r="4155" spans="3:4" ht="15.75" customHeight="1" x14ac:dyDescent="0.25">
      <c r="C4155" s="8"/>
      <c r="D4155" s="8"/>
    </row>
    <row r="4156" spans="3:4" ht="15.75" customHeight="1" x14ac:dyDescent="0.25">
      <c r="C4156" s="8"/>
      <c r="D4156" s="8"/>
    </row>
    <row r="4157" spans="3:4" ht="15.75" customHeight="1" x14ac:dyDescent="0.25">
      <c r="C4157" s="8"/>
      <c r="D4157" s="8"/>
    </row>
    <row r="4158" spans="3:4" ht="15.75" customHeight="1" x14ac:dyDescent="0.25">
      <c r="C4158" s="8"/>
      <c r="D4158" s="8"/>
    </row>
    <row r="4159" spans="3:4" ht="15.75" customHeight="1" x14ac:dyDescent="0.25">
      <c r="C4159" s="8"/>
      <c r="D4159" s="8"/>
    </row>
    <row r="4160" spans="3:4" ht="15.75" customHeight="1" x14ac:dyDescent="0.25">
      <c r="C4160" s="8"/>
      <c r="D4160" s="8"/>
    </row>
    <row r="4161" spans="3:4" ht="15.75" customHeight="1" x14ac:dyDescent="0.25">
      <c r="C4161" s="8"/>
      <c r="D4161" s="8"/>
    </row>
    <row r="4162" spans="3:4" ht="15.75" customHeight="1" x14ac:dyDescent="0.25">
      <c r="C4162" s="8"/>
      <c r="D4162" s="8"/>
    </row>
    <row r="4163" spans="3:4" ht="15.75" customHeight="1" x14ac:dyDescent="0.25">
      <c r="C4163" s="8"/>
      <c r="D4163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F258"/>
  <sheetViews>
    <sheetView workbookViewId="0">
      <selection activeCell="F2" sqref="F2"/>
    </sheetView>
  </sheetViews>
  <sheetFormatPr baseColWidth="10" defaultRowHeight="13.2" x14ac:dyDescent="0.25"/>
  <cols>
    <col min="1" max="1" width="40.21875" customWidth="1"/>
    <col min="2" max="2" width="42.44140625" customWidth="1"/>
  </cols>
  <sheetData>
    <row r="1" spans="1:6" s="15" customFormat="1" x14ac:dyDescent="0.25">
      <c r="A1" s="15" t="s">
        <v>131</v>
      </c>
      <c r="B1" s="15" t="s">
        <v>161</v>
      </c>
      <c r="C1" s="15" t="s">
        <v>304</v>
      </c>
      <c r="D1" s="15" t="s">
        <v>326</v>
      </c>
      <c r="E1" s="15" t="s">
        <v>332</v>
      </c>
      <c r="F1" s="15" t="s">
        <v>304</v>
      </c>
    </row>
    <row r="2" spans="1:6" ht="14.4" x14ac:dyDescent="0.3">
      <c r="A2" s="12" t="s">
        <v>132</v>
      </c>
      <c r="B2" s="12" t="s">
        <v>162</v>
      </c>
      <c r="C2" t="s">
        <v>305</v>
      </c>
      <c r="D2" t="s">
        <v>327</v>
      </c>
      <c r="E2" t="str">
        <f>Salles!A2</f>
        <v>Salle1</v>
      </c>
      <c r="F2" t="s">
        <v>305</v>
      </c>
    </row>
    <row r="3" spans="1:6" ht="14.4" x14ac:dyDescent="0.25">
      <c r="A3" s="14" t="s">
        <v>133</v>
      </c>
      <c r="B3" s="14" t="s">
        <v>163</v>
      </c>
      <c r="C3" t="s">
        <v>306</v>
      </c>
      <c r="D3" t="s">
        <v>328</v>
      </c>
      <c r="E3" t="str">
        <f>Salles!A3</f>
        <v>Salle2</v>
      </c>
      <c r="F3" t="s">
        <v>306</v>
      </c>
    </row>
    <row r="4" spans="1:6" ht="14.4" x14ac:dyDescent="0.25">
      <c r="A4" s="13" t="s">
        <v>134</v>
      </c>
      <c r="B4" s="13" t="s">
        <v>164</v>
      </c>
      <c r="C4" t="s">
        <v>307</v>
      </c>
      <c r="D4" t="s">
        <v>329</v>
      </c>
      <c r="E4" t="str">
        <f>Salles!A4</f>
        <v>Salle3</v>
      </c>
      <c r="F4" t="s">
        <v>307</v>
      </c>
    </row>
    <row r="5" spans="1:6" ht="14.4" x14ac:dyDescent="0.25">
      <c r="A5" s="14" t="s">
        <v>135</v>
      </c>
      <c r="B5" s="14" t="s">
        <v>165</v>
      </c>
      <c r="C5" t="s">
        <v>308</v>
      </c>
      <c r="D5" t="s">
        <v>330</v>
      </c>
      <c r="E5" t="str">
        <f>Salles!A5</f>
        <v>Salle4</v>
      </c>
      <c r="F5" t="s">
        <v>308</v>
      </c>
    </row>
    <row r="6" spans="1:6" ht="14.4" x14ac:dyDescent="0.25">
      <c r="A6" s="13" t="s">
        <v>136</v>
      </c>
      <c r="B6" s="13" t="s">
        <v>166</v>
      </c>
      <c r="C6" t="s">
        <v>309</v>
      </c>
      <c r="D6" t="s">
        <v>331</v>
      </c>
      <c r="E6" t="str">
        <f>Salles!A6</f>
        <v>Salle5</v>
      </c>
      <c r="F6" t="s">
        <v>309</v>
      </c>
    </row>
    <row r="7" spans="1:6" ht="14.4" x14ac:dyDescent="0.25">
      <c r="A7" s="14" t="s">
        <v>137</v>
      </c>
      <c r="B7" s="14" t="s">
        <v>167</v>
      </c>
      <c r="C7" s="23" t="s">
        <v>325</v>
      </c>
      <c r="E7" t="str">
        <f>Salles!A7</f>
        <v>Salle6</v>
      </c>
    </row>
    <row r="8" spans="1:6" ht="14.4" x14ac:dyDescent="0.25">
      <c r="A8" s="13" t="s">
        <v>138</v>
      </c>
      <c r="B8" s="13" t="s">
        <v>168</v>
      </c>
      <c r="C8" s="23" t="s">
        <v>325</v>
      </c>
      <c r="E8" t="str">
        <f>Salles!A8</f>
        <v>Salle7</v>
      </c>
    </row>
    <row r="9" spans="1:6" ht="14.4" x14ac:dyDescent="0.25">
      <c r="A9" s="14" t="s">
        <v>139</v>
      </c>
      <c r="B9" s="14" t="s">
        <v>169</v>
      </c>
      <c r="C9" s="23" t="s">
        <v>325</v>
      </c>
      <c r="E9" t="str">
        <f>Salles!A9</f>
        <v>Salle8</v>
      </c>
    </row>
    <row r="10" spans="1:6" ht="14.4" x14ac:dyDescent="0.25">
      <c r="A10" s="13" t="s">
        <v>140</v>
      </c>
      <c r="B10" s="13" t="s">
        <v>170</v>
      </c>
      <c r="C10" s="23" t="s">
        <v>325</v>
      </c>
      <c r="E10" t="str">
        <f>Salles!A10</f>
        <v>Salle9</v>
      </c>
    </row>
    <row r="11" spans="1:6" ht="14.4" x14ac:dyDescent="0.25">
      <c r="A11" s="14" t="s">
        <v>141</v>
      </c>
      <c r="B11" s="14" t="s">
        <v>171</v>
      </c>
      <c r="C11" s="23" t="s">
        <v>325</v>
      </c>
      <c r="E11" t="str">
        <f>Salles!A11</f>
        <v>Salle10</v>
      </c>
    </row>
    <row r="12" spans="1:6" ht="14.4" x14ac:dyDescent="0.25">
      <c r="A12" s="13" t="s">
        <v>142</v>
      </c>
      <c r="B12" s="13" t="s">
        <v>172</v>
      </c>
      <c r="C12" s="23" t="s">
        <v>325</v>
      </c>
      <c r="E12" t="str">
        <f>Salles!A12</f>
        <v>Salle11</v>
      </c>
    </row>
    <row r="13" spans="1:6" ht="14.4" x14ac:dyDescent="0.25">
      <c r="A13" s="14" t="s">
        <v>143</v>
      </c>
      <c r="B13" s="14" t="s">
        <v>173</v>
      </c>
      <c r="C13" s="23" t="s">
        <v>325</v>
      </c>
      <c r="E13" t="str">
        <f>Salles!A13</f>
        <v>Salle12</v>
      </c>
    </row>
    <row r="14" spans="1:6" ht="14.4" x14ac:dyDescent="0.25">
      <c r="A14" s="13" t="s">
        <v>144</v>
      </c>
      <c r="B14" s="13" t="s">
        <v>174</v>
      </c>
      <c r="C14" s="23" t="s">
        <v>325</v>
      </c>
      <c r="E14" t="str">
        <f>Salles!A14</f>
        <v>Salle13</v>
      </c>
    </row>
    <row r="15" spans="1:6" ht="14.4" x14ac:dyDescent="0.25">
      <c r="A15" s="14" t="s">
        <v>145</v>
      </c>
      <c r="B15" s="14" t="s">
        <v>175</v>
      </c>
      <c r="C15" s="23" t="s">
        <v>325</v>
      </c>
      <c r="E15" t="str">
        <f>Salles!A15</f>
        <v>Salle14</v>
      </c>
    </row>
    <row r="16" spans="1:6" ht="14.4" x14ac:dyDescent="0.25">
      <c r="A16" s="13" t="s">
        <v>146</v>
      </c>
      <c r="B16" s="13" t="s">
        <v>176</v>
      </c>
      <c r="C16" s="23" t="s">
        <v>325</v>
      </c>
      <c r="E16" t="s">
        <v>325</v>
      </c>
    </row>
    <row r="17" spans="1:5" ht="14.4" x14ac:dyDescent="0.25">
      <c r="A17" s="14" t="s">
        <v>147</v>
      </c>
      <c r="B17" s="14" t="s">
        <v>177</v>
      </c>
      <c r="C17" s="23" t="s">
        <v>325</v>
      </c>
      <c r="E17" t="s">
        <v>325</v>
      </c>
    </row>
    <row r="18" spans="1:5" ht="14.4" x14ac:dyDescent="0.25">
      <c r="A18" s="13" t="s">
        <v>148</v>
      </c>
      <c r="B18" s="13" t="s">
        <v>178</v>
      </c>
      <c r="C18" s="23" t="s">
        <v>325</v>
      </c>
      <c r="E18" t="s">
        <v>325</v>
      </c>
    </row>
    <row r="19" spans="1:5" ht="14.4" x14ac:dyDescent="0.25">
      <c r="A19" s="14" t="s">
        <v>149</v>
      </c>
      <c r="B19" s="14" t="s">
        <v>179</v>
      </c>
      <c r="C19" s="23" t="s">
        <v>325</v>
      </c>
      <c r="E19" t="s">
        <v>325</v>
      </c>
    </row>
    <row r="20" spans="1:5" ht="14.4" x14ac:dyDescent="0.25">
      <c r="A20" s="13" t="s">
        <v>150</v>
      </c>
      <c r="B20" s="13" t="s">
        <v>180</v>
      </c>
      <c r="C20" s="23" t="s">
        <v>325</v>
      </c>
      <c r="E20" t="s">
        <v>325</v>
      </c>
    </row>
    <row r="21" spans="1:5" ht="14.4" x14ac:dyDescent="0.25">
      <c r="A21" s="14" t="s">
        <v>151</v>
      </c>
      <c r="B21" s="14" t="s">
        <v>181</v>
      </c>
      <c r="C21" s="23" t="s">
        <v>325</v>
      </c>
      <c r="E21" t="s">
        <v>325</v>
      </c>
    </row>
    <row r="22" spans="1:5" ht="14.4" x14ac:dyDescent="0.25">
      <c r="A22" s="13" t="s">
        <v>152</v>
      </c>
      <c r="B22" s="13" t="s">
        <v>182</v>
      </c>
      <c r="C22" s="23" t="s">
        <v>325</v>
      </c>
      <c r="E22" t="s">
        <v>325</v>
      </c>
    </row>
    <row r="23" spans="1:5" ht="14.4" x14ac:dyDescent="0.25">
      <c r="A23" s="14" t="s">
        <v>153</v>
      </c>
      <c r="B23" s="14" t="s">
        <v>183</v>
      </c>
      <c r="C23" s="23" t="s">
        <v>325</v>
      </c>
      <c r="E23" t="s">
        <v>325</v>
      </c>
    </row>
    <row r="24" spans="1:5" ht="14.4" x14ac:dyDescent="0.25">
      <c r="A24" s="13" t="s">
        <v>154</v>
      </c>
      <c r="B24" s="13" t="s">
        <v>184</v>
      </c>
      <c r="C24" s="23" t="s">
        <v>325</v>
      </c>
      <c r="E24" t="s">
        <v>325</v>
      </c>
    </row>
    <row r="25" spans="1:5" ht="14.4" x14ac:dyDescent="0.25">
      <c r="A25" s="14" t="s">
        <v>155</v>
      </c>
      <c r="B25" s="14" t="s">
        <v>185</v>
      </c>
      <c r="C25" s="23" t="s">
        <v>325</v>
      </c>
      <c r="E25" t="s">
        <v>325</v>
      </c>
    </row>
    <row r="26" spans="1:5" ht="14.4" x14ac:dyDescent="0.25">
      <c r="A26" s="13" t="s">
        <v>156</v>
      </c>
      <c r="B26" s="13" t="s">
        <v>186</v>
      </c>
      <c r="C26" s="23" t="s">
        <v>325</v>
      </c>
      <c r="E26" t="s">
        <v>325</v>
      </c>
    </row>
    <row r="27" spans="1:5" ht="14.4" x14ac:dyDescent="0.25">
      <c r="A27" s="14" t="s">
        <v>157</v>
      </c>
      <c r="B27" s="14" t="s">
        <v>187</v>
      </c>
      <c r="C27" s="23" t="s">
        <v>325</v>
      </c>
      <c r="E27" t="s">
        <v>325</v>
      </c>
    </row>
    <row r="28" spans="1:5" ht="14.4" x14ac:dyDescent="0.25">
      <c r="A28" s="13" t="s">
        <v>158</v>
      </c>
      <c r="B28" s="13" t="s">
        <v>188</v>
      </c>
      <c r="C28" s="23" t="s">
        <v>325</v>
      </c>
      <c r="E28" t="s">
        <v>325</v>
      </c>
    </row>
    <row r="29" spans="1:5" ht="14.4" x14ac:dyDescent="0.25">
      <c r="A29" s="14" t="s">
        <v>159</v>
      </c>
      <c r="B29" s="14" t="s">
        <v>189</v>
      </c>
      <c r="C29" s="23" t="s">
        <v>325</v>
      </c>
      <c r="E29" t="s">
        <v>325</v>
      </c>
    </row>
    <row r="30" spans="1:5" ht="14.4" x14ac:dyDescent="0.25">
      <c r="A30" s="13" t="s">
        <v>160</v>
      </c>
      <c r="B30" s="13" t="s">
        <v>190</v>
      </c>
      <c r="C30" s="23" t="s">
        <v>325</v>
      </c>
      <c r="E30" t="s">
        <v>325</v>
      </c>
    </row>
    <row r="31" spans="1:5" ht="14.4" x14ac:dyDescent="0.25">
      <c r="B31" s="14" t="s">
        <v>191</v>
      </c>
      <c r="C31" s="23" t="s">
        <v>325</v>
      </c>
      <c r="E31" t="s">
        <v>325</v>
      </c>
    </row>
    <row r="32" spans="1:5" ht="14.4" x14ac:dyDescent="0.25">
      <c r="B32" s="13" t="s">
        <v>192</v>
      </c>
      <c r="C32" s="23" t="s">
        <v>325</v>
      </c>
      <c r="E32" t="s">
        <v>325</v>
      </c>
    </row>
    <row r="33" spans="2:5" ht="14.4" x14ac:dyDescent="0.25">
      <c r="B33" s="14" t="s">
        <v>193</v>
      </c>
      <c r="C33" s="23" t="s">
        <v>325</v>
      </c>
      <c r="E33" t="s">
        <v>325</v>
      </c>
    </row>
    <row r="34" spans="2:5" ht="14.4" x14ac:dyDescent="0.25">
      <c r="B34" s="13" t="s">
        <v>194</v>
      </c>
      <c r="C34" s="23" t="s">
        <v>325</v>
      </c>
      <c r="E34" t="s">
        <v>325</v>
      </c>
    </row>
    <row r="35" spans="2:5" ht="14.4" x14ac:dyDescent="0.25">
      <c r="B35" s="14" t="s">
        <v>195</v>
      </c>
      <c r="C35" s="23" t="s">
        <v>325</v>
      </c>
      <c r="E35" t="s">
        <v>325</v>
      </c>
    </row>
    <row r="36" spans="2:5" ht="14.4" x14ac:dyDescent="0.25">
      <c r="B36" s="13" t="s">
        <v>196</v>
      </c>
      <c r="C36" s="23" t="s">
        <v>325</v>
      </c>
      <c r="E36" t="s">
        <v>325</v>
      </c>
    </row>
    <row r="37" spans="2:5" ht="14.4" x14ac:dyDescent="0.25">
      <c r="B37" s="14" t="s">
        <v>197</v>
      </c>
      <c r="C37" s="23" t="s">
        <v>325</v>
      </c>
      <c r="E37" t="s">
        <v>325</v>
      </c>
    </row>
    <row r="38" spans="2:5" ht="14.4" x14ac:dyDescent="0.25">
      <c r="B38" s="13" t="s">
        <v>198</v>
      </c>
      <c r="C38" s="23" t="s">
        <v>325</v>
      </c>
      <c r="E38" t="s">
        <v>325</v>
      </c>
    </row>
    <row r="39" spans="2:5" ht="14.4" x14ac:dyDescent="0.25">
      <c r="B39" s="14" t="s">
        <v>199</v>
      </c>
      <c r="C39" s="23" t="s">
        <v>325</v>
      </c>
      <c r="E39" t="s">
        <v>325</v>
      </c>
    </row>
    <row r="40" spans="2:5" ht="14.4" x14ac:dyDescent="0.25">
      <c r="B40" s="13" t="s">
        <v>200</v>
      </c>
      <c r="C40" s="23" t="s">
        <v>325</v>
      </c>
      <c r="E40" t="s">
        <v>325</v>
      </c>
    </row>
    <row r="41" spans="2:5" ht="14.4" x14ac:dyDescent="0.25">
      <c r="B41" s="14" t="s">
        <v>201</v>
      </c>
      <c r="C41" s="23" t="s">
        <v>325</v>
      </c>
      <c r="E41" t="s">
        <v>325</v>
      </c>
    </row>
    <row r="42" spans="2:5" ht="14.4" x14ac:dyDescent="0.25">
      <c r="B42" s="13" t="s">
        <v>202</v>
      </c>
      <c r="C42" s="23" t="s">
        <v>325</v>
      </c>
      <c r="E42" t="s">
        <v>325</v>
      </c>
    </row>
    <row r="43" spans="2:5" ht="14.4" x14ac:dyDescent="0.25">
      <c r="B43" s="14" t="s">
        <v>203</v>
      </c>
      <c r="C43" s="23" t="s">
        <v>325</v>
      </c>
      <c r="E43" t="s">
        <v>325</v>
      </c>
    </row>
    <row r="44" spans="2:5" ht="14.4" x14ac:dyDescent="0.25">
      <c r="B44" s="13" t="s">
        <v>204</v>
      </c>
      <c r="C44" s="23" t="s">
        <v>325</v>
      </c>
      <c r="E44" t="s">
        <v>325</v>
      </c>
    </row>
    <row r="45" spans="2:5" ht="14.4" x14ac:dyDescent="0.25">
      <c r="B45" s="14" t="s">
        <v>205</v>
      </c>
      <c r="C45" s="23" t="s">
        <v>325</v>
      </c>
      <c r="E45" t="s">
        <v>325</v>
      </c>
    </row>
    <row r="46" spans="2:5" ht="14.4" x14ac:dyDescent="0.25">
      <c r="B46" s="13" t="s">
        <v>206</v>
      </c>
      <c r="C46" s="23" t="s">
        <v>325</v>
      </c>
      <c r="E46" t="s">
        <v>325</v>
      </c>
    </row>
    <row r="47" spans="2:5" ht="14.4" x14ac:dyDescent="0.25">
      <c r="B47" s="14" t="s">
        <v>207</v>
      </c>
      <c r="C47" s="23" t="s">
        <v>325</v>
      </c>
      <c r="E47" t="s">
        <v>325</v>
      </c>
    </row>
    <row r="48" spans="2:5" ht="14.4" x14ac:dyDescent="0.25">
      <c r="B48" s="13" t="s">
        <v>208</v>
      </c>
      <c r="C48" s="23" t="s">
        <v>325</v>
      </c>
      <c r="E48" t="s">
        <v>325</v>
      </c>
    </row>
    <row r="49" spans="2:5" ht="14.4" x14ac:dyDescent="0.25">
      <c r="B49" s="14" t="s">
        <v>209</v>
      </c>
      <c r="C49" s="23" t="s">
        <v>325</v>
      </c>
      <c r="E49" t="s">
        <v>325</v>
      </c>
    </row>
    <row r="50" spans="2:5" ht="14.4" x14ac:dyDescent="0.25">
      <c r="B50" s="13" t="s">
        <v>210</v>
      </c>
      <c r="C50" s="23" t="s">
        <v>325</v>
      </c>
      <c r="E50" t="s">
        <v>325</v>
      </c>
    </row>
    <row r="51" spans="2:5" ht="14.4" x14ac:dyDescent="0.25">
      <c r="B51" s="14" t="s">
        <v>211</v>
      </c>
      <c r="C51" s="23" t="s">
        <v>325</v>
      </c>
      <c r="E51" t="s">
        <v>325</v>
      </c>
    </row>
    <row r="52" spans="2:5" ht="14.4" x14ac:dyDescent="0.25">
      <c r="B52" s="13" t="s">
        <v>212</v>
      </c>
      <c r="C52" s="23" t="s">
        <v>325</v>
      </c>
      <c r="E52" t="s">
        <v>325</v>
      </c>
    </row>
    <row r="53" spans="2:5" ht="14.4" x14ac:dyDescent="0.25">
      <c r="B53" s="14" t="s">
        <v>213</v>
      </c>
      <c r="C53" s="23" t="s">
        <v>325</v>
      </c>
      <c r="E53" t="s">
        <v>325</v>
      </c>
    </row>
    <row r="54" spans="2:5" ht="14.4" x14ac:dyDescent="0.25">
      <c r="B54" s="13" t="s">
        <v>214</v>
      </c>
      <c r="C54" s="23" t="s">
        <v>325</v>
      </c>
      <c r="E54" t="s">
        <v>325</v>
      </c>
    </row>
    <row r="55" spans="2:5" ht="14.4" x14ac:dyDescent="0.25">
      <c r="B55" s="14" t="s">
        <v>215</v>
      </c>
      <c r="C55" s="23" t="s">
        <v>325</v>
      </c>
      <c r="E55" t="s">
        <v>325</v>
      </c>
    </row>
    <row r="56" spans="2:5" ht="14.4" x14ac:dyDescent="0.25">
      <c r="B56" s="13" t="s">
        <v>216</v>
      </c>
      <c r="C56" s="23" t="s">
        <v>325</v>
      </c>
      <c r="E56" t="s">
        <v>325</v>
      </c>
    </row>
    <row r="57" spans="2:5" ht="14.4" x14ac:dyDescent="0.25">
      <c r="B57" s="14" t="s">
        <v>217</v>
      </c>
      <c r="C57" s="23" t="s">
        <v>325</v>
      </c>
      <c r="E57" t="s">
        <v>325</v>
      </c>
    </row>
    <row r="58" spans="2:5" ht="14.4" x14ac:dyDescent="0.25">
      <c r="B58" s="13" t="s">
        <v>218</v>
      </c>
      <c r="C58" s="23" t="s">
        <v>325</v>
      </c>
      <c r="E58" t="s">
        <v>325</v>
      </c>
    </row>
    <row r="59" spans="2:5" ht="14.4" x14ac:dyDescent="0.25">
      <c r="B59" s="14" t="s">
        <v>219</v>
      </c>
      <c r="C59" s="23" t="s">
        <v>325</v>
      </c>
      <c r="E59" t="s">
        <v>325</v>
      </c>
    </row>
    <row r="60" spans="2:5" ht="14.4" x14ac:dyDescent="0.25">
      <c r="B60" s="13" t="s">
        <v>220</v>
      </c>
      <c r="C60" s="23" t="s">
        <v>325</v>
      </c>
      <c r="E60" t="s">
        <v>325</v>
      </c>
    </row>
    <row r="61" spans="2:5" ht="14.4" x14ac:dyDescent="0.25">
      <c r="B61" s="14" t="s">
        <v>221</v>
      </c>
      <c r="C61" s="23" t="s">
        <v>325</v>
      </c>
      <c r="E61" t="s">
        <v>325</v>
      </c>
    </row>
    <row r="62" spans="2:5" ht="14.4" x14ac:dyDescent="0.25">
      <c r="B62" s="13" t="s">
        <v>222</v>
      </c>
      <c r="C62" s="23" t="s">
        <v>325</v>
      </c>
      <c r="E62" t="s">
        <v>325</v>
      </c>
    </row>
    <row r="63" spans="2:5" ht="14.4" x14ac:dyDescent="0.25">
      <c r="B63" s="14" t="s">
        <v>223</v>
      </c>
      <c r="C63" s="23" t="s">
        <v>325</v>
      </c>
      <c r="E63" t="s">
        <v>325</v>
      </c>
    </row>
    <row r="64" spans="2:5" ht="14.4" x14ac:dyDescent="0.25">
      <c r="B64" s="13" t="s">
        <v>224</v>
      </c>
      <c r="C64" s="23" t="s">
        <v>325</v>
      </c>
      <c r="E64" t="s">
        <v>325</v>
      </c>
    </row>
    <row r="65" spans="2:5" ht="14.4" x14ac:dyDescent="0.25">
      <c r="B65" s="14" t="s">
        <v>225</v>
      </c>
      <c r="C65" s="23" t="s">
        <v>325</v>
      </c>
      <c r="E65" t="s">
        <v>325</v>
      </c>
    </row>
    <row r="66" spans="2:5" ht="14.4" x14ac:dyDescent="0.25">
      <c r="B66" s="13" t="s">
        <v>226</v>
      </c>
      <c r="C66" s="23" t="s">
        <v>325</v>
      </c>
      <c r="E66" t="s">
        <v>325</v>
      </c>
    </row>
    <row r="67" spans="2:5" ht="14.4" x14ac:dyDescent="0.25">
      <c r="B67" s="14" t="s">
        <v>227</v>
      </c>
      <c r="C67" s="23" t="s">
        <v>325</v>
      </c>
      <c r="E67" t="s">
        <v>325</v>
      </c>
    </row>
    <row r="68" spans="2:5" ht="14.4" x14ac:dyDescent="0.25">
      <c r="B68" s="13" t="s">
        <v>228</v>
      </c>
      <c r="C68" s="23" t="s">
        <v>325</v>
      </c>
      <c r="E68" t="s">
        <v>325</v>
      </c>
    </row>
    <row r="69" spans="2:5" ht="14.4" x14ac:dyDescent="0.25">
      <c r="B69" s="14" t="s">
        <v>229</v>
      </c>
      <c r="C69" s="23" t="s">
        <v>325</v>
      </c>
      <c r="E69" t="s">
        <v>325</v>
      </c>
    </row>
    <row r="70" spans="2:5" ht="14.4" x14ac:dyDescent="0.25">
      <c r="B70" s="13" t="s">
        <v>230</v>
      </c>
      <c r="C70" s="23" t="s">
        <v>325</v>
      </c>
      <c r="E70" t="s">
        <v>325</v>
      </c>
    </row>
    <row r="71" spans="2:5" ht="14.4" x14ac:dyDescent="0.25">
      <c r="B71" s="14" t="s">
        <v>231</v>
      </c>
      <c r="C71" s="23" t="s">
        <v>325</v>
      </c>
      <c r="E71" t="s">
        <v>325</v>
      </c>
    </row>
    <row r="72" spans="2:5" ht="14.4" x14ac:dyDescent="0.25">
      <c r="B72" s="13" t="s">
        <v>232</v>
      </c>
      <c r="C72" s="23" t="s">
        <v>325</v>
      </c>
      <c r="E72" t="s">
        <v>325</v>
      </c>
    </row>
    <row r="73" spans="2:5" ht="14.4" x14ac:dyDescent="0.25">
      <c r="B73" s="14" t="s">
        <v>233</v>
      </c>
      <c r="C73" s="23" t="s">
        <v>325</v>
      </c>
      <c r="E73" t="s">
        <v>325</v>
      </c>
    </row>
    <row r="74" spans="2:5" ht="14.4" x14ac:dyDescent="0.25">
      <c r="B74" s="13" t="s">
        <v>234</v>
      </c>
      <c r="C74" s="23" t="s">
        <v>325</v>
      </c>
      <c r="E74" t="s">
        <v>325</v>
      </c>
    </row>
    <row r="75" spans="2:5" ht="14.4" x14ac:dyDescent="0.25">
      <c r="B75" s="14" t="s">
        <v>235</v>
      </c>
      <c r="C75" s="23" t="s">
        <v>325</v>
      </c>
      <c r="E75" t="s">
        <v>325</v>
      </c>
    </row>
    <row r="76" spans="2:5" ht="14.4" x14ac:dyDescent="0.25">
      <c r="B76" s="13" t="s">
        <v>236</v>
      </c>
      <c r="C76" s="23" t="s">
        <v>325</v>
      </c>
      <c r="E76" t="s">
        <v>325</v>
      </c>
    </row>
    <row r="77" spans="2:5" ht="14.4" x14ac:dyDescent="0.25">
      <c r="B77" s="14" t="s">
        <v>237</v>
      </c>
      <c r="C77" s="23" t="s">
        <v>325</v>
      </c>
      <c r="E77" t="s">
        <v>325</v>
      </c>
    </row>
    <row r="78" spans="2:5" ht="14.4" x14ac:dyDescent="0.25">
      <c r="B78" s="13" t="s">
        <v>238</v>
      </c>
      <c r="C78" s="23" t="s">
        <v>325</v>
      </c>
      <c r="E78" t="s">
        <v>325</v>
      </c>
    </row>
    <row r="79" spans="2:5" ht="14.4" x14ac:dyDescent="0.25">
      <c r="B79" s="14" t="s">
        <v>239</v>
      </c>
      <c r="C79" s="23" t="s">
        <v>325</v>
      </c>
      <c r="E79" t="s">
        <v>325</v>
      </c>
    </row>
    <row r="80" spans="2:5" ht="14.4" x14ac:dyDescent="0.25">
      <c r="B80" s="13" t="s">
        <v>240</v>
      </c>
      <c r="C80" s="23" t="s">
        <v>325</v>
      </c>
      <c r="E80" t="s">
        <v>325</v>
      </c>
    </row>
    <row r="81" spans="2:5" ht="14.4" x14ac:dyDescent="0.25">
      <c r="B81" s="14" t="s">
        <v>241</v>
      </c>
      <c r="C81" s="23" t="s">
        <v>325</v>
      </c>
      <c r="E81" t="s">
        <v>325</v>
      </c>
    </row>
    <row r="82" spans="2:5" ht="14.4" x14ac:dyDescent="0.25">
      <c r="B82" s="13" t="s">
        <v>242</v>
      </c>
      <c r="C82" s="23" t="s">
        <v>325</v>
      </c>
      <c r="E82" t="s">
        <v>325</v>
      </c>
    </row>
    <row r="83" spans="2:5" ht="14.4" x14ac:dyDescent="0.25">
      <c r="B83" s="14" t="s">
        <v>243</v>
      </c>
      <c r="C83" s="23" t="s">
        <v>325</v>
      </c>
      <c r="E83" t="s">
        <v>325</v>
      </c>
    </row>
    <row r="84" spans="2:5" ht="14.4" x14ac:dyDescent="0.25">
      <c r="B84" s="13" t="s">
        <v>244</v>
      </c>
      <c r="C84" s="23" t="s">
        <v>325</v>
      </c>
      <c r="E84" t="s">
        <v>325</v>
      </c>
    </row>
    <row r="85" spans="2:5" ht="14.4" x14ac:dyDescent="0.25">
      <c r="B85" s="14" t="s">
        <v>245</v>
      </c>
      <c r="C85" s="23" t="s">
        <v>325</v>
      </c>
      <c r="E85" t="s">
        <v>325</v>
      </c>
    </row>
    <row r="86" spans="2:5" ht="14.4" x14ac:dyDescent="0.25">
      <c r="B86" s="13" t="s">
        <v>246</v>
      </c>
      <c r="C86" s="23" t="s">
        <v>325</v>
      </c>
      <c r="E86" t="s">
        <v>325</v>
      </c>
    </row>
    <row r="87" spans="2:5" ht="14.4" x14ac:dyDescent="0.25">
      <c r="B87" s="14" t="s">
        <v>247</v>
      </c>
      <c r="C87" s="23" t="s">
        <v>325</v>
      </c>
      <c r="E87" t="s">
        <v>325</v>
      </c>
    </row>
    <row r="88" spans="2:5" ht="14.4" x14ac:dyDescent="0.25">
      <c r="B88" s="13" t="s">
        <v>248</v>
      </c>
      <c r="C88" s="23" t="s">
        <v>325</v>
      </c>
      <c r="E88" t="s">
        <v>325</v>
      </c>
    </row>
    <row r="89" spans="2:5" ht="14.4" x14ac:dyDescent="0.25">
      <c r="B89" s="14" t="s">
        <v>249</v>
      </c>
      <c r="C89" s="23" t="s">
        <v>325</v>
      </c>
      <c r="E89" t="s">
        <v>325</v>
      </c>
    </row>
    <row r="90" spans="2:5" ht="14.4" x14ac:dyDescent="0.25">
      <c r="B90" s="13" t="s">
        <v>250</v>
      </c>
      <c r="C90" s="23" t="s">
        <v>325</v>
      </c>
      <c r="E90" t="s">
        <v>325</v>
      </c>
    </row>
    <row r="91" spans="2:5" ht="14.4" x14ac:dyDescent="0.25">
      <c r="B91" s="14" t="s">
        <v>251</v>
      </c>
      <c r="E91" t="s">
        <v>325</v>
      </c>
    </row>
    <row r="92" spans="2:5" x14ac:dyDescent="0.25">
      <c r="E92" t="s">
        <v>325</v>
      </c>
    </row>
    <row r="93" spans="2:5" x14ac:dyDescent="0.25">
      <c r="E93" t="s">
        <v>325</v>
      </c>
    </row>
    <row r="94" spans="2:5" x14ac:dyDescent="0.25">
      <c r="E94" t="s">
        <v>325</v>
      </c>
    </row>
    <row r="95" spans="2:5" x14ac:dyDescent="0.25">
      <c r="E95" t="s">
        <v>325</v>
      </c>
    </row>
    <row r="96" spans="2:5" x14ac:dyDescent="0.25">
      <c r="E96" t="s">
        <v>325</v>
      </c>
    </row>
    <row r="97" spans="5:5" x14ac:dyDescent="0.25">
      <c r="E97" t="s">
        <v>325</v>
      </c>
    </row>
    <row r="98" spans="5:5" x14ac:dyDescent="0.25">
      <c r="E98" t="s">
        <v>325</v>
      </c>
    </row>
    <row r="99" spans="5:5" x14ac:dyDescent="0.25">
      <c r="E99" t="s">
        <v>325</v>
      </c>
    </row>
    <row r="100" spans="5:5" x14ac:dyDescent="0.25">
      <c r="E100" t="s">
        <v>325</v>
      </c>
    </row>
    <row r="101" spans="5:5" x14ac:dyDescent="0.25">
      <c r="E101" t="s">
        <v>325</v>
      </c>
    </row>
    <row r="102" spans="5:5" x14ac:dyDescent="0.25">
      <c r="E102" t="s">
        <v>325</v>
      </c>
    </row>
    <row r="103" spans="5:5" x14ac:dyDescent="0.25">
      <c r="E103" t="s">
        <v>325</v>
      </c>
    </row>
    <row r="104" spans="5:5" x14ac:dyDescent="0.25">
      <c r="E104" t="s">
        <v>325</v>
      </c>
    </row>
    <row r="105" spans="5:5" x14ac:dyDescent="0.25">
      <c r="E105" t="s">
        <v>325</v>
      </c>
    </row>
    <row r="106" spans="5:5" x14ac:dyDescent="0.25">
      <c r="E106" t="s">
        <v>325</v>
      </c>
    </row>
    <row r="107" spans="5:5" x14ac:dyDescent="0.25">
      <c r="E107" t="s">
        <v>325</v>
      </c>
    </row>
    <row r="108" spans="5:5" x14ac:dyDescent="0.25">
      <c r="E108" t="s">
        <v>325</v>
      </c>
    </row>
    <row r="109" spans="5:5" x14ac:dyDescent="0.25">
      <c r="E109" t="s">
        <v>325</v>
      </c>
    </row>
    <row r="110" spans="5:5" x14ac:dyDescent="0.25">
      <c r="E110" t="s">
        <v>325</v>
      </c>
    </row>
    <row r="111" spans="5:5" x14ac:dyDescent="0.25">
      <c r="E111" t="s">
        <v>325</v>
      </c>
    </row>
    <row r="112" spans="5:5" x14ac:dyDescent="0.25">
      <c r="E112" t="s">
        <v>325</v>
      </c>
    </row>
    <row r="113" spans="5:5" x14ac:dyDescent="0.25">
      <c r="E113" t="s">
        <v>325</v>
      </c>
    </row>
    <row r="114" spans="5:5" x14ac:dyDescent="0.25">
      <c r="E114" t="s">
        <v>325</v>
      </c>
    </row>
    <row r="115" spans="5:5" x14ac:dyDescent="0.25">
      <c r="E115" t="s">
        <v>325</v>
      </c>
    </row>
    <row r="116" spans="5:5" x14ac:dyDescent="0.25">
      <c r="E116" t="s">
        <v>325</v>
      </c>
    </row>
    <row r="117" spans="5:5" x14ac:dyDescent="0.25">
      <c r="E117" t="s">
        <v>325</v>
      </c>
    </row>
    <row r="118" spans="5:5" x14ac:dyDescent="0.25">
      <c r="E118" t="s">
        <v>325</v>
      </c>
    </row>
    <row r="119" spans="5:5" x14ac:dyDescent="0.25">
      <c r="E119" t="s">
        <v>325</v>
      </c>
    </row>
    <row r="120" spans="5:5" x14ac:dyDescent="0.25">
      <c r="E120" t="s">
        <v>325</v>
      </c>
    </row>
    <row r="121" spans="5:5" x14ac:dyDescent="0.25">
      <c r="E121" t="s">
        <v>325</v>
      </c>
    </row>
    <row r="122" spans="5:5" x14ac:dyDescent="0.25">
      <c r="E122" t="s">
        <v>325</v>
      </c>
    </row>
    <row r="123" spans="5:5" x14ac:dyDescent="0.25">
      <c r="E123" t="s">
        <v>325</v>
      </c>
    </row>
    <row r="124" spans="5:5" x14ac:dyDescent="0.25">
      <c r="E124" t="s">
        <v>325</v>
      </c>
    </row>
    <row r="125" spans="5:5" x14ac:dyDescent="0.25">
      <c r="E125" t="s">
        <v>325</v>
      </c>
    </row>
    <row r="126" spans="5:5" x14ac:dyDescent="0.25">
      <c r="E126" t="s">
        <v>325</v>
      </c>
    </row>
    <row r="127" spans="5:5" x14ac:dyDescent="0.25">
      <c r="E127" t="s">
        <v>325</v>
      </c>
    </row>
    <row r="128" spans="5:5" x14ac:dyDescent="0.25">
      <c r="E128" t="s">
        <v>325</v>
      </c>
    </row>
    <row r="129" spans="5:5" x14ac:dyDescent="0.25">
      <c r="E129" t="s">
        <v>325</v>
      </c>
    </row>
    <row r="130" spans="5:5" x14ac:dyDescent="0.25">
      <c r="E130" t="s">
        <v>325</v>
      </c>
    </row>
    <row r="131" spans="5:5" x14ac:dyDescent="0.25">
      <c r="E131" t="s">
        <v>325</v>
      </c>
    </row>
    <row r="132" spans="5:5" x14ac:dyDescent="0.25">
      <c r="E132" t="s">
        <v>325</v>
      </c>
    </row>
    <row r="133" spans="5:5" x14ac:dyDescent="0.25">
      <c r="E133" t="s">
        <v>325</v>
      </c>
    </row>
    <row r="134" spans="5:5" x14ac:dyDescent="0.25">
      <c r="E134" t="s">
        <v>325</v>
      </c>
    </row>
    <row r="135" spans="5:5" x14ac:dyDescent="0.25">
      <c r="E135" t="s">
        <v>325</v>
      </c>
    </row>
    <row r="136" spans="5:5" x14ac:dyDescent="0.25">
      <c r="E136" t="s">
        <v>325</v>
      </c>
    </row>
    <row r="137" spans="5:5" x14ac:dyDescent="0.25">
      <c r="E137" t="s">
        <v>325</v>
      </c>
    </row>
    <row r="138" spans="5:5" x14ac:dyDescent="0.25">
      <c r="E138" t="s">
        <v>325</v>
      </c>
    </row>
    <row r="139" spans="5:5" x14ac:dyDescent="0.25">
      <c r="E139" t="s">
        <v>325</v>
      </c>
    </row>
    <row r="140" spans="5:5" x14ac:dyDescent="0.25">
      <c r="E140" t="s">
        <v>325</v>
      </c>
    </row>
    <row r="141" spans="5:5" x14ac:dyDescent="0.25">
      <c r="E141" t="s">
        <v>325</v>
      </c>
    </row>
    <row r="142" spans="5:5" x14ac:dyDescent="0.25">
      <c r="E142" t="s">
        <v>325</v>
      </c>
    </row>
    <row r="143" spans="5:5" x14ac:dyDescent="0.25">
      <c r="E143" t="s">
        <v>325</v>
      </c>
    </row>
    <row r="144" spans="5:5" x14ac:dyDescent="0.25">
      <c r="E144" t="s">
        <v>325</v>
      </c>
    </row>
    <row r="145" spans="5:5" x14ac:dyDescent="0.25">
      <c r="E145" t="s">
        <v>325</v>
      </c>
    </row>
    <row r="146" spans="5:5" x14ac:dyDescent="0.25">
      <c r="E146" t="s">
        <v>325</v>
      </c>
    </row>
    <row r="147" spans="5:5" x14ac:dyDescent="0.25">
      <c r="E147" t="s">
        <v>325</v>
      </c>
    </row>
    <row r="148" spans="5:5" x14ac:dyDescent="0.25">
      <c r="E148" t="s">
        <v>325</v>
      </c>
    </row>
    <row r="149" spans="5:5" x14ac:dyDescent="0.25">
      <c r="E149" t="s">
        <v>325</v>
      </c>
    </row>
    <row r="150" spans="5:5" x14ac:dyDescent="0.25">
      <c r="E150" t="s">
        <v>325</v>
      </c>
    </row>
    <row r="151" spans="5:5" x14ac:dyDescent="0.25">
      <c r="E151" t="s">
        <v>325</v>
      </c>
    </row>
    <row r="152" spans="5:5" x14ac:dyDescent="0.25">
      <c r="E152" t="s">
        <v>325</v>
      </c>
    </row>
    <row r="153" spans="5:5" x14ac:dyDescent="0.25">
      <c r="E153" t="s">
        <v>325</v>
      </c>
    </row>
    <row r="154" spans="5:5" x14ac:dyDescent="0.25">
      <c r="E154" t="s">
        <v>325</v>
      </c>
    </row>
    <row r="155" spans="5:5" x14ac:dyDescent="0.25">
      <c r="E155" t="s">
        <v>325</v>
      </c>
    </row>
    <row r="156" spans="5:5" x14ac:dyDescent="0.25">
      <c r="E156" t="s">
        <v>325</v>
      </c>
    </row>
    <row r="157" spans="5:5" x14ac:dyDescent="0.25">
      <c r="E157" t="s">
        <v>325</v>
      </c>
    </row>
    <row r="158" spans="5:5" x14ac:dyDescent="0.25">
      <c r="E158" t="s">
        <v>325</v>
      </c>
    </row>
    <row r="159" spans="5:5" x14ac:dyDescent="0.25">
      <c r="E159" t="s">
        <v>325</v>
      </c>
    </row>
    <row r="160" spans="5:5" x14ac:dyDescent="0.25">
      <c r="E160" t="s">
        <v>325</v>
      </c>
    </row>
    <row r="161" spans="5:5" x14ac:dyDescent="0.25">
      <c r="E161" t="s">
        <v>325</v>
      </c>
    </row>
    <row r="162" spans="5:5" x14ac:dyDescent="0.25">
      <c r="E162" t="s">
        <v>325</v>
      </c>
    </row>
    <row r="163" spans="5:5" x14ac:dyDescent="0.25">
      <c r="E163" t="s">
        <v>325</v>
      </c>
    </row>
    <row r="164" spans="5:5" x14ac:dyDescent="0.25">
      <c r="E164" t="s">
        <v>325</v>
      </c>
    </row>
    <row r="165" spans="5:5" x14ac:dyDescent="0.25">
      <c r="E165" t="s">
        <v>325</v>
      </c>
    </row>
    <row r="166" spans="5:5" x14ac:dyDescent="0.25">
      <c r="E166" t="s">
        <v>325</v>
      </c>
    </row>
    <row r="167" spans="5:5" x14ac:dyDescent="0.25">
      <c r="E167" t="s">
        <v>325</v>
      </c>
    </row>
    <row r="168" spans="5:5" x14ac:dyDescent="0.25">
      <c r="E168" t="s">
        <v>325</v>
      </c>
    </row>
    <row r="169" spans="5:5" x14ac:dyDescent="0.25">
      <c r="E169" t="s">
        <v>325</v>
      </c>
    </row>
    <row r="170" spans="5:5" x14ac:dyDescent="0.25">
      <c r="E170" t="s">
        <v>325</v>
      </c>
    </row>
    <row r="171" spans="5:5" x14ac:dyDescent="0.25">
      <c r="E171" t="s">
        <v>325</v>
      </c>
    </row>
    <row r="172" spans="5:5" x14ac:dyDescent="0.25">
      <c r="E172" t="s">
        <v>325</v>
      </c>
    </row>
    <row r="173" spans="5:5" x14ac:dyDescent="0.25">
      <c r="E173" t="s">
        <v>325</v>
      </c>
    </row>
    <row r="174" spans="5:5" x14ac:dyDescent="0.25">
      <c r="E174" t="s">
        <v>325</v>
      </c>
    </row>
    <row r="175" spans="5:5" x14ac:dyDescent="0.25">
      <c r="E175" t="s">
        <v>325</v>
      </c>
    </row>
    <row r="176" spans="5:5" x14ac:dyDescent="0.25">
      <c r="E176" t="s">
        <v>325</v>
      </c>
    </row>
    <row r="177" spans="5:5" x14ac:dyDescent="0.25">
      <c r="E177" t="s">
        <v>325</v>
      </c>
    </row>
    <row r="178" spans="5:5" x14ac:dyDescent="0.25">
      <c r="E178" t="s">
        <v>325</v>
      </c>
    </row>
    <row r="179" spans="5:5" x14ac:dyDescent="0.25">
      <c r="E179" t="s">
        <v>325</v>
      </c>
    </row>
    <row r="180" spans="5:5" x14ac:dyDescent="0.25">
      <c r="E180" t="s">
        <v>325</v>
      </c>
    </row>
    <row r="181" spans="5:5" x14ac:dyDescent="0.25">
      <c r="E181" t="s">
        <v>325</v>
      </c>
    </row>
    <row r="182" spans="5:5" x14ac:dyDescent="0.25">
      <c r="E182" t="s">
        <v>325</v>
      </c>
    </row>
    <row r="183" spans="5:5" x14ac:dyDescent="0.25">
      <c r="E183" t="s">
        <v>325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325</v>
      </c>
    </row>
    <row r="187" spans="5:5" x14ac:dyDescent="0.25">
      <c r="E187" t="s">
        <v>325</v>
      </c>
    </row>
    <row r="188" spans="5:5" x14ac:dyDescent="0.25">
      <c r="E188" t="s">
        <v>325</v>
      </c>
    </row>
    <row r="189" spans="5:5" x14ac:dyDescent="0.25">
      <c r="E189" t="s">
        <v>325</v>
      </c>
    </row>
    <row r="190" spans="5:5" x14ac:dyDescent="0.25">
      <c r="E190" t="s">
        <v>325</v>
      </c>
    </row>
    <row r="191" spans="5:5" x14ac:dyDescent="0.25">
      <c r="E191" t="s">
        <v>325</v>
      </c>
    </row>
    <row r="192" spans="5:5" x14ac:dyDescent="0.25">
      <c r="E192" t="s">
        <v>325</v>
      </c>
    </row>
    <row r="193" spans="5:5" x14ac:dyDescent="0.25">
      <c r="E193" t="s">
        <v>325</v>
      </c>
    </row>
    <row r="194" spans="5:5" x14ac:dyDescent="0.25">
      <c r="E194" t="s">
        <v>325</v>
      </c>
    </row>
    <row r="195" spans="5:5" x14ac:dyDescent="0.25">
      <c r="E195" t="s">
        <v>325</v>
      </c>
    </row>
    <row r="196" spans="5:5" x14ac:dyDescent="0.25">
      <c r="E196" t="s">
        <v>325</v>
      </c>
    </row>
    <row r="197" spans="5:5" x14ac:dyDescent="0.25">
      <c r="E197" t="s">
        <v>325</v>
      </c>
    </row>
    <row r="198" spans="5:5" x14ac:dyDescent="0.25">
      <c r="E198" t="s">
        <v>325</v>
      </c>
    </row>
    <row r="199" spans="5:5" x14ac:dyDescent="0.25">
      <c r="E199" t="s">
        <v>325</v>
      </c>
    </row>
    <row r="200" spans="5:5" x14ac:dyDescent="0.25">
      <c r="E200" t="s">
        <v>325</v>
      </c>
    </row>
    <row r="201" spans="5:5" x14ac:dyDescent="0.25">
      <c r="E201" t="s">
        <v>325</v>
      </c>
    </row>
    <row r="202" spans="5:5" x14ac:dyDescent="0.25">
      <c r="E202" t="s">
        <v>325</v>
      </c>
    </row>
    <row r="203" spans="5:5" x14ac:dyDescent="0.25">
      <c r="E203" t="s">
        <v>325</v>
      </c>
    </row>
    <row r="204" spans="5:5" x14ac:dyDescent="0.25">
      <c r="E204" t="s">
        <v>325</v>
      </c>
    </row>
    <row r="205" spans="5:5" x14ac:dyDescent="0.25">
      <c r="E205" t="s">
        <v>325</v>
      </c>
    </row>
    <row r="206" spans="5:5" x14ac:dyDescent="0.25">
      <c r="E206" t="s">
        <v>325</v>
      </c>
    </row>
    <row r="207" spans="5:5" x14ac:dyDescent="0.25">
      <c r="E207" t="s">
        <v>325</v>
      </c>
    </row>
    <row r="208" spans="5:5" x14ac:dyDescent="0.25">
      <c r="E208" t="s">
        <v>325</v>
      </c>
    </row>
    <row r="209" spans="5:5" x14ac:dyDescent="0.25">
      <c r="E209" t="s">
        <v>325</v>
      </c>
    </row>
    <row r="210" spans="5:5" x14ac:dyDescent="0.25">
      <c r="E210" t="s">
        <v>325</v>
      </c>
    </row>
    <row r="211" spans="5:5" x14ac:dyDescent="0.25">
      <c r="E211" t="s">
        <v>325</v>
      </c>
    </row>
    <row r="212" spans="5:5" x14ac:dyDescent="0.25">
      <c r="E212" t="s">
        <v>325</v>
      </c>
    </row>
    <row r="213" spans="5:5" x14ac:dyDescent="0.25">
      <c r="E213" t="s">
        <v>325</v>
      </c>
    </row>
    <row r="214" spans="5:5" x14ac:dyDescent="0.25">
      <c r="E214" t="s">
        <v>325</v>
      </c>
    </row>
    <row r="215" spans="5:5" x14ac:dyDescent="0.25">
      <c r="E215" t="s">
        <v>325</v>
      </c>
    </row>
    <row r="216" spans="5:5" x14ac:dyDescent="0.25">
      <c r="E216" t="s">
        <v>325</v>
      </c>
    </row>
    <row r="217" spans="5:5" x14ac:dyDescent="0.25">
      <c r="E217" t="s">
        <v>325</v>
      </c>
    </row>
    <row r="218" spans="5:5" x14ac:dyDescent="0.25">
      <c r="E218" t="s">
        <v>325</v>
      </c>
    </row>
    <row r="219" spans="5:5" x14ac:dyDescent="0.25">
      <c r="E219" t="s">
        <v>325</v>
      </c>
    </row>
    <row r="220" spans="5:5" x14ac:dyDescent="0.25">
      <c r="E220" t="s">
        <v>325</v>
      </c>
    </row>
    <row r="221" spans="5:5" x14ac:dyDescent="0.25">
      <c r="E221" t="s">
        <v>325</v>
      </c>
    </row>
    <row r="222" spans="5:5" x14ac:dyDescent="0.25">
      <c r="E222" t="s">
        <v>325</v>
      </c>
    </row>
    <row r="223" spans="5:5" x14ac:dyDescent="0.25">
      <c r="E223" t="s">
        <v>325</v>
      </c>
    </row>
    <row r="224" spans="5:5" x14ac:dyDescent="0.25">
      <c r="E224" t="s">
        <v>325</v>
      </c>
    </row>
    <row r="225" spans="5:5" x14ac:dyDescent="0.25">
      <c r="E225" t="s">
        <v>325</v>
      </c>
    </row>
    <row r="226" spans="5:5" x14ac:dyDescent="0.25">
      <c r="E226" t="s">
        <v>325</v>
      </c>
    </row>
    <row r="227" spans="5:5" x14ac:dyDescent="0.25">
      <c r="E227" t="s">
        <v>325</v>
      </c>
    </row>
    <row r="228" spans="5:5" x14ac:dyDescent="0.25">
      <c r="E228" t="s">
        <v>325</v>
      </c>
    </row>
    <row r="229" spans="5:5" x14ac:dyDescent="0.25">
      <c r="E229" t="s">
        <v>325</v>
      </c>
    </row>
    <row r="230" spans="5:5" x14ac:dyDescent="0.25">
      <c r="E230" t="s">
        <v>325</v>
      </c>
    </row>
    <row r="231" spans="5:5" x14ac:dyDescent="0.25">
      <c r="E231" t="s">
        <v>325</v>
      </c>
    </row>
    <row r="232" spans="5:5" x14ac:dyDescent="0.25">
      <c r="E232" t="s">
        <v>325</v>
      </c>
    </row>
    <row r="233" spans="5:5" x14ac:dyDescent="0.25">
      <c r="E233" t="s">
        <v>325</v>
      </c>
    </row>
    <row r="234" spans="5:5" x14ac:dyDescent="0.25">
      <c r="E234" t="s">
        <v>325</v>
      </c>
    </row>
    <row r="235" spans="5:5" x14ac:dyDescent="0.25">
      <c r="E235" t="s">
        <v>325</v>
      </c>
    </row>
    <row r="236" spans="5:5" x14ac:dyDescent="0.25">
      <c r="E236" t="s">
        <v>325</v>
      </c>
    </row>
    <row r="237" spans="5:5" x14ac:dyDescent="0.25">
      <c r="E237" t="s">
        <v>325</v>
      </c>
    </row>
    <row r="238" spans="5:5" x14ac:dyDescent="0.25">
      <c r="E238" t="s">
        <v>325</v>
      </c>
    </row>
    <row r="239" spans="5:5" x14ac:dyDescent="0.25">
      <c r="E239" t="s">
        <v>325</v>
      </c>
    </row>
    <row r="240" spans="5:5" x14ac:dyDescent="0.25">
      <c r="E240" t="s">
        <v>325</v>
      </c>
    </row>
    <row r="241" spans="5:5" x14ac:dyDescent="0.25">
      <c r="E241" t="s">
        <v>325</v>
      </c>
    </row>
    <row r="242" spans="5:5" x14ac:dyDescent="0.25">
      <c r="E242" t="s">
        <v>325</v>
      </c>
    </row>
    <row r="243" spans="5:5" x14ac:dyDescent="0.25">
      <c r="E243" t="s">
        <v>325</v>
      </c>
    </row>
    <row r="244" spans="5:5" x14ac:dyDescent="0.25">
      <c r="E244" t="s">
        <v>325</v>
      </c>
    </row>
    <row r="245" spans="5:5" x14ac:dyDescent="0.25">
      <c r="E245" t="s">
        <v>325</v>
      </c>
    </row>
    <row r="246" spans="5:5" x14ac:dyDescent="0.25">
      <c r="E246" t="s">
        <v>325</v>
      </c>
    </row>
    <row r="247" spans="5:5" x14ac:dyDescent="0.25">
      <c r="E247" t="s">
        <v>325</v>
      </c>
    </row>
    <row r="248" spans="5:5" x14ac:dyDescent="0.25">
      <c r="E248" t="s">
        <v>325</v>
      </c>
    </row>
    <row r="249" spans="5:5" x14ac:dyDescent="0.25">
      <c r="E249" t="s">
        <v>325</v>
      </c>
    </row>
    <row r="250" spans="5:5" x14ac:dyDescent="0.25">
      <c r="E250" t="s">
        <v>325</v>
      </c>
    </row>
    <row r="251" spans="5:5" x14ac:dyDescent="0.25">
      <c r="E251" t="s">
        <v>325</v>
      </c>
    </row>
    <row r="252" spans="5:5" x14ac:dyDescent="0.25">
      <c r="E252" t="s">
        <v>325</v>
      </c>
    </row>
    <row r="253" spans="5:5" x14ac:dyDescent="0.25">
      <c r="E253" t="s">
        <v>325</v>
      </c>
    </row>
    <row r="254" spans="5:5" x14ac:dyDescent="0.25">
      <c r="E254" t="s">
        <v>325</v>
      </c>
    </row>
    <row r="255" spans="5:5" x14ac:dyDescent="0.25">
      <c r="E255" t="s">
        <v>325</v>
      </c>
    </row>
    <row r="256" spans="5:5" x14ac:dyDescent="0.25">
      <c r="E256" t="s">
        <v>325</v>
      </c>
    </row>
    <row r="257" spans="5:5" x14ac:dyDescent="0.25">
      <c r="E257" t="s">
        <v>325</v>
      </c>
    </row>
    <row r="258" spans="5:5" x14ac:dyDescent="0.25">
      <c r="E258" t="s">
        <v>325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5" sqref="B5"/>
    </sheetView>
  </sheetViews>
  <sheetFormatPr baseColWidth="10" defaultRowHeight="13.2" x14ac:dyDescent="0.25"/>
  <cols>
    <col min="2" max="2" width="6.5546875" bestFit="1" customWidth="1"/>
  </cols>
  <sheetData>
    <row r="1" spans="1:2" s="7" customFormat="1" x14ac:dyDescent="0.25">
      <c r="A1" s="7" t="s">
        <v>101</v>
      </c>
      <c r="B1" s="7" t="s">
        <v>69</v>
      </c>
    </row>
    <row r="2" spans="1:2" x14ac:dyDescent="0.25">
      <c r="A2" t="s">
        <v>70</v>
      </c>
      <c r="B2">
        <f ca="1">RANDBETWEEN(1,30)</f>
        <v>27</v>
      </c>
    </row>
    <row r="3" spans="1:2" x14ac:dyDescent="0.25">
      <c r="A3" t="s">
        <v>71</v>
      </c>
      <c r="B3">
        <f t="shared" ref="B3:B31" ca="1" si="0">RANDBETWEEN(1,30)</f>
        <v>2</v>
      </c>
    </row>
    <row r="4" spans="1:2" x14ac:dyDescent="0.25">
      <c r="A4" t="s">
        <v>72</v>
      </c>
      <c r="B4">
        <f t="shared" ca="1" si="0"/>
        <v>9</v>
      </c>
    </row>
    <row r="5" spans="1:2" x14ac:dyDescent="0.25">
      <c r="A5" t="s">
        <v>73</v>
      </c>
      <c r="B5">
        <f t="shared" ca="1" si="0"/>
        <v>26</v>
      </c>
    </row>
    <row r="6" spans="1:2" x14ac:dyDescent="0.25">
      <c r="A6" t="s">
        <v>74</v>
      </c>
      <c r="B6">
        <f t="shared" ca="1" si="0"/>
        <v>28</v>
      </c>
    </row>
    <row r="7" spans="1:2" x14ac:dyDescent="0.25">
      <c r="A7" t="s">
        <v>75</v>
      </c>
      <c r="B7">
        <f t="shared" ca="1" si="0"/>
        <v>17</v>
      </c>
    </row>
    <row r="8" spans="1:2" x14ac:dyDescent="0.25">
      <c r="A8" t="s">
        <v>76</v>
      </c>
      <c r="B8">
        <f t="shared" ca="1" si="0"/>
        <v>3</v>
      </c>
    </row>
    <row r="9" spans="1:2" x14ac:dyDescent="0.25">
      <c r="A9" t="s">
        <v>77</v>
      </c>
      <c r="B9">
        <f t="shared" ca="1" si="0"/>
        <v>20</v>
      </c>
    </row>
    <row r="10" spans="1:2" x14ac:dyDescent="0.25">
      <c r="A10" t="s">
        <v>78</v>
      </c>
      <c r="B10">
        <f t="shared" ca="1" si="0"/>
        <v>30</v>
      </c>
    </row>
    <row r="11" spans="1:2" x14ac:dyDescent="0.25">
      <c r="A11" t="s">
        <v>79</v>
      </c>
      <c r="B11">
        <f t="shared" ca="1" si="0"/>
        <v>8</v>
      </c>
    </row>
    <row r="12" spans="1:2" x14ac:dyDescent="0.25">
      <c r="A12" t="s">
        <v>80</v>
      </c>
      <c r="B12">
        <f t="shared" ca="1" si="0"/>
        <v>25</v>
      </c>
    </row>
    <row r="13" spans="1:2" x14ac:dyDescent="0.25">
      <c r="A13" t="s">
        <v>81</v>
      </c>
      <c r="B13">
        <f t="shared" ca="1" si="0"/>
        <v>26</v>
      </c>
    </row>
    <row r="14" spans="1:2" x14ac:dyDescent="0.25">
      <c r="A14" t="s">
        <v>82</v>
      </c>
      <c r="B14">
        <f t="shared" ca="1" si="0"/>
        <v>12</v>
      </c>
    </row>
    <row r="15" spans="1:2" x14ac:dyDescent="0.25">
      <c r="A15" t="s">
        <v>83</v>
      </c>
      <c r="B15">
        <f t="shared" ca="1" si="0"/>
        <v>16</v>
      </c>
    </row>
    <row r="16" spans="1:2" x14ac:dyDescent="0.25">
      <c r="A16" t="s">
        <v>84</v>
      </c>
      <c r="B16">
        <f t="shared" ca="1" si="0"/>
        <v>6</v>
      </c>
    </row>
    <row r="17" spans="1:2" x14ac:dyDescent="0.25">
      <c r="A17" t="s">
        <v>85</v>
      </c>
      <c r="B17">
        <f t="shared" ca="1" si="0"/>
        <v>8</v>
      </c>
    </row>
    <row r="18" spans="1:2" x14ac:dyDescent="0.25">
      <c r="A18" t="s">
        <v>86</v>
      </c>
      <c r="B18">
        <f t="shared" ca="1" si="0"/>
        <v>11</v>
      </c>
    </row>
    <row r="19" spans="1:2" x14ac:dyDescent="0.25">
      <c r="A19" t="s">
        <v>87</v>
      </c>
      <c r="B19">
        <f t="shared" ca="1" si="0"/>
        <v>16</v>
      </c>
    </row>
    <row r="20" spans="1:2" x14ac:dyDescent="0.25">
      <c r="A20" t="s">
        <v>88</v>
      </c>
      <c r="B20">
        <f t="shared" ca="1" si="0"/>
        <v>2</v>
      </c>
    </row>
    <row r="21" spans="1:2" x14ac:dyDescent="0.25">
      <c r="A21" t="s">
        <v>89</v>
      </c>
      <c r="B21">
        <f t="shared" ca="1" si="0"/>
        <v>23</v>
      </c>
    </row>
    <row r="22" spans="1:2" x14ac:dyDescent="0.25">
      <c r="A22" t="s">
        <v>90</v>
      </c>
      <c r="B22">
        <f t="shared" ca="1" si="0"/>
        <v>18</v>
      </c>
    </row>
    <row r="23" spans="1:2" x14ac:dyDescent="0.25">
      <c r="A23" t="s">
        <v>91</v>
      </c>
      <c r="B23">
        <f t="shared" ca="1" si="0"/>
        <v>3</v>
      </c>
    </row>
    <row r="24" spans="1:2" x14ac:dyDescent="0.25">
      <c r="A24" t="s">
        <v>92</v>
      </c>
      <c r="B24">
        <f t="shared" ca="1" si="0"/>
        <v>23</v>
      </c>
    </row>
    <row r="25" spans="1:2" x14ac:dyDescent="0.25">
      <c r="A25" t="s">
        <v>93</v>
      </c>
      <c r="B25">
        <f t="shared" ca="1" si="0"/>
        <v>27</v>
      </c>
    </row>
    <row r="26" spans="1:2" x14ac:dyDescent="0.25">
      <c r="A26" t="s">
        <v>94</v>
      </c>
      <c r="B26">
        <f t="shared" ca="1" si="0"/>
        <v>26</v>
      </c>
    </row>
    <row r="27" spans="1:2" x14ac:dyDescent="0.25">
      <c r="A27" t="s">
        <v>95</v>
      </c>
      <c r="B27">
        <f t="shared" ca="1" si="0"/>
        <v>23</v>
      </c>
    </row>
    <row r="28" spans="1:2" x14ac:dyDescent="0.25">
      <c r="A28" t="s">
        <v>96</v>
      </c>
      <c r="B28">
        <f t="shared" ca="1" si="0"/>
        <v>22</v>
      </c>
    </row>
    <row r="29" spans="1:2" x14ac:dyDescent="0.25">
      <c r="A29" t="s">
        <v>97</v>
      </c>
      <c r="B29">
        <f t="shared" ca="1" si="0"/>
        <v>19</v>
      </c>
    </row>
    <row r="30" spans="1:2" x14ac:dyDescent="0.25">
      <c r="A30" t="s">
        <v>98</v>
      </c>
      <c r="B30">
        <f t="shared" ca="1" si="0"/>
        <v>4</v>
      </c>
    </row>
    <row r="31" spans="1:2" x14ac:dyDescent="0.25">
      <c r="A31" t="s">
        <v>99</v>
      </c>
      <c r="B31">
        <f t="shared" ca="1" si="0"/>
        <v>19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zoomScale="175" zoomScaleNormal="175" workbookViewId="0"/>
  </sheetViews>
  <sheetFormatPr baseColWidth="10" defaultRowHeight="13.2" x14ac:dyDescent="0.25"/>
  <sheetData>
    <row r="1" spans="1:3" x14ac:dyDescent="0.25">
      <c r="A1" s="1" t="s">
        <v>66</v>
      </c>
      <c r="B1" s="1" t="s">
        <v>67</v>
      </c>
      <c r="C1" s="1" t="s">
        <v>113</v>
      </c>
    </row>
    <row r="2" spans="1:3" x14ac:dyDescent="0.25">
      <c r="A2" t="e">
        <f ca="1">"Salle" &amp; RANDBETWEEN(1,Settings!$B$3)</f>
        <v>#NUM!</v>
      </c>
      <c r="B2" t="e">
        <f ca="1">"Salle" &amp; RANDBETWEEN(1,Settings!$B$3)</f>
        <v>#NUM!</v>
      </c>
      <c r="C2" t="e">
        <f ca="1">IF(A2=B2,0,RANDBETWEEN(5,500))</f>
        <v>#NUM!</v>
      </c>
    </row>
    <row r="3" spans="1:3" x14ac:dyDescent="0.25">
      <c r="A3" t="e">
        <f ca="1">"Salle" &amp; RANDBETWEEN(1,Settings!$B$3)</f>
        <v>#NUM!</v>
      </c>
      <c r="B3" t="e">
        <f ca="1">"Salle" &amp; RANDBETWEEN(1,Settings!$B$3)</f>
        <v>#NUM!</v>
      </c>
      <c r="C3" t="e">
        <f ca="1">IF(A3=B3,0,RANDBETWEEN(5,500))</f>
        <v>#NUM!</v>
      </c>
    </row>
    <row r="4" spans="1:3" x14ac:dyDescent="0.25">
      <c r="A4" t="e">
        <f ca="1">"Salle" &amp; RANDBETWEEN(1,Settings!$B$3)</f>
        <v>#NUM!</v>
      </c>
      <c r="B4" t="e">
        <f ca="1">"Salle" &amp; RANDBETWEEN(1,Settings!$B$3)</f>
        <v>#NUM!</v>
      </c>
      <c r="C4" t="e">
        <f t="shared" ref="C4:C25" ca="1" si="0">IF(A4=B4,0,RANDBETWEEN(5,500))</f>
        <v>#NUM!</v>
      </c>
    </row>
    <row r="5" spans="1:3" x14ac:dyDescent="0.25">
      <c r="A5" t="e">
        <f ca="1">"Salle" &amp; RANDBETWEEN(1,Settings!$B$3)</f>
        <v>#NUM!</v>
      </c>
      <c r="B5" t="e">
        <f ca="1">"Salle" &amp; RANDBETWEEN(1,Settings!$B$3)</f>
        <v>#NUM!</v>
      </c>
      <c r="C5" t="e">
        <f t="shared" ca="1" si="0"/>
        <v>#NUM!</v>
      </c>
    </row>
    <row r="6" spans="1:3" x14ac:dyDescent="0.25">
      <c r="A6" t="e">
        <f ca="1">"Salle" &amp; RANDBETWEEN(1,Settings!$B$3)</f>
        <v>#NUM!</v>
      </c>
      <c r="B6" t="e">
        <f ca="1">"Salle" &amp; RANDBETWEEN(1,Settings!$B$3)</f>
        <v>#NUM!</v>
      </c>
      <c r="C6" t="e">
        <f t="shared" ca="1" si="0"/>
        <v>#NUM!</v>
      </c>
    </row>
    <row r="7" spans="1:3" x14ac:dyDescent="0.25">
      <c r="A7" t="e">
        <f ca="1">"Salle" &amp; RANDBETWEEN(1,Settings!$B$3)</f>
        <v>#NUM!</v>
      </c>
      <c r="B7" t="e">
        <f ca="1">"Salle" &amp; RANDBETWEEN(1,Settings!$B$3)</f>
        <v>#NUM!</v>
      </c>
      <c r="C7" t="e">
        <f t="shared" ca="1" si="0"/>
        <v>#NUM!</v>
      </c>
    </row>
    <row r="8" spans="1:3" x14ac:dyDescent="0.25">
      <c r="A8" t="e">
        <f ca="1">"Salle" &amp; RANDBETWEEN(1,Settings!$B$3)</f>
        <v>#NUM!</v>
      </c>
      <c r="B8" t="e">
        <f ca="1">"Salle" &amp; RANDBETWEEN(1,Settings!$B$3)</f>
        <v>#NUM!</v>
      </c>
      <c r="C8" t="e">
        <f t="shared" ca="1" si="0"/>
        <v>#NUM!</v>
      </c>
    </row>
    <row r="9" spans="1:3" x14ac:dyDescent="0.25">
      <c r="A9" t="e">
        <f ca="1">"Salle" &amp; RANDBETWEEN(1,Settings!$B$3)</f>
        <v>#NUM!</v>
      </c>
      <c r="B9" t="e">
        <f ca="1">"Salle" &amp; RANDBETWEEN(1,Settings!$B$3)</f>
        <v>#NUM!</v>
      </c>
      <c r="C9" t="e">
        <f t="shared" ca="1" si="0"/>
        <v>#NUM!</v>
      </c>
    </row>
    <row r="10" spans="1:3" x14ac:dyDescent="0.25">
      <c r="A10" t="e">
        <f ca="1">"Salle" &amp; RANDBETWEEN(1,Settings!$B$3)</f>
        <v>#NUM!</v>
      </c>
      <c r="B10" t="e">
        <f ca="1">"Salle" &amp; RANDBETWEEN(1,Settings!$B$3)</f>
        <v>#NUM!</v>
      </c>
      <c r="C10" t="e">
        <f t="shared" ca="1" si="0"/>
        <v>#NUM!</v>
      </c>
    </row>
    <row r="11" spans="1:3" x14ac:dyDescent="0.25">
      <c r="A11" t="e">
        <f ca="1">"Salle" &amp; RANDBETWEEN(1,Settings!$B$3)</f>
        <v>#NUM!</v>
      </c>
      <c r="B11" t="e">
        <f ca="1">"Salle" &amp; RANDBETWEEN(1,Settings!$B$3)</f>
        <v>#NUM!</v>
      </c>
      <c r="C11" t="e">
        <f t="shared" ca="1" si="0"/>
        <v>#NUM!</v>
      </c>
    </row>
    <row r="12" spans="1:3" x14ac:dyDescent="0.25">
      <c r="A12" t="e">
        <f ca="1">"Salle" &amp; RANDBETWEEN(1,Settings!$B$3)</f>
        <v>#NUM!</v>
      </c>
      <c r="B12" t="e">
        <f ca="1">"Salle" &amp; RANDBETWEEN(1,Settings!$B$3)</f>
        <v>#NUM!</v>
      </c>
      <c r="C12" t="e">
        <f t="shared" ca="1" si="0"/>
        <v>#NUM!</v>
      </c>
    </row>
    <row r="13" spans="1:3" x14ac:dyDescent="0.25">
      <c r="A13" t="e">
        <f ca="1">"Salle" &amp; RANDBETWEEN(1,Settings!$B$3)</f>
        <v>#NUM!</v>
      </c>
      <c r="B13" t="e">
        <f ca="1">"Salle" &amp; RANDBETWEEN(1,Settings!$B$3)</f>
        <v>#NUM!</v>
      </c>
      <c r="C13" t="e">
        <f t="shared" ca="1" si="0"/>
        <v>#NUM!</v>
      </c>
    </row>
    <row r="14" spans="1:3" x14ac:dyDescent="0.25">
      <c r="A14" t="e">
        <f ca="1">"Salle" &amp; RANDBETWEEN(1,Settings!$B$3)</f>
        <v>#NUM!</v>
      </c>
      <c r="B14" t="e">
        <f ca="1">"Salle" &amp; RANDBETWEEN(1,Settings!$B$3)</f>
        <v>#NUM!</v>
      </c>
      <c r="C14" t="e">
        <f t="shared" ca="1" si="0"/>
        <v>#NUM!</v>
      </c>
    </row>
    <row r="15" spans="1:3" x14ac:dyDescent="0.25">
      <c r="A15" t="e">
        <f ca="1">"Salle" &amp; RANDBETWEEN(1,Settings!$B$3)</f>
        <v>#NUM!</v>
      </c>
      <c r="B15" t="e">
        <f ca="1">"Salle" &amp; RANDBETWEEN(1,Settings!$B$3)</f>
        <v>#NUM!</v>
      </c>
      <c r="C15" t="e">
        <f t="shared" ca="1" si="0"/>
        <v>#NUM!</v>
      </c>
    </row>
    <row r="16" spans="1:3" x14ac:dyDescent="0.25">
      <c r="A16" t="e">
        <f ca="1">"Salle" &amp; RANDBETWEEN(1,Settings!$B$3)</f>
        <v>#NUM!</v>
      </c>
      <c r="B16" t="e">
        <f ca="1">"Salle" &amp; RANDBETWEEN(1,Settings!$B$3)</f>
        <v>#NUM!</v>
      </c>
      <c r="C16" t="e">
        <f t="shared" ca="1" si="0"/>
        <v>#NUM!</v>
      </c>
    </row>
    <row r="17" spans="1:3" x14ac:dyDescent="0.25">
      <c r="A17" t="e">
        <f ca="1">"Salle" &amp; RANDBETWEEN(1,Settings!$B$3)</f>
        <v>#NUM!</v>
      </c>
      <c r="B17" t="e">
        <f ca="1">"Salle" &amp; RANDBETWEEN(1,Settings!$B$3)</f>
        <v>#NUM!</v>
      </c>
      <c r="C17" t="e">
        <f t="shared" ca="1" si="0"/>
        <v>#NUM!</v>
      </c>
    </row>
    <row r="18" spans="1:3" x14ac:dyDescent="0.25">
      <c r="A18" t="e">
        <f ca="1">"Salle" &amp; RANDBETWEEN(1,Settings!$B$3)</f>
        <v>#NUM!</v>
      </c>
      <c r="B18" t="e">
        <f ca="1">"Salle" &amp; RANDBETWEEN(1,Settings!$B$3)</f>
        <v>#NUM!</v>
      </c>
      <c r="C18" t="e">
        <f t="shared" ca="1" si="0"/>
        <v>#NUM!</v>
      </c>
    </row>
    <row r="19" spans="1:3" x14ac:dyDescent="0.25">
      <c r="A19" t="e">
        <f ca="1">"Salle" &amp; RANDBETWEEN(1,Settings!$B$3)</f>
        <v>#NUM!</v>
      </c>
      <c r="B19" t="e">
        <f ca="1">"Salle" &amp; RANDBETWEEN(1,Settings!$B$3)</f>
        <v>#NUM!</v>
      </c>
      <c r="C19" t="e">
        <f t="shared" ca="1" si="0"/>
        <v>#NUM!</v>
      </c>
    </row>
    <row r="20" spans="1:3" x14ac:dyDescent="0.25">
      <c r="A20" t="e">
        <f ca="1">"Salle" &amp; RANDBETWEEN(1,Settings!$B$3)</f>
        <v>#NUM!</v>
      </c>
      <c r="B20" t="e">
        <f ca="1">"Salle" &amp; RANDBETWEEN(1,Settings!$B$3)</f>
        <v>#NUM!</v>
      </c>
      <c r="C20" t="e">
        <f t="shared" ca="1" si="0"/>
        <v>#NUM!</v>
      </c>
    </row>
    <row r="21" spans="1:3" x14ac:dyDescent="0.25">
      <c r="A21" t="e">
        <f ca="1">"Salle" &amp; RANDBETWEEN(1,Settings!$B$3)</f>
        <v>#NUM!</v>
      </c>
      <c r="B21" t="e">
        <f ca="1">"Salle" &amp; RANDBETWEEN(1,Settings!$B$3)</f>
        <v>#NUM!</v>
      </c>
      <c r="C21" t="e">
        <f t="shared" ca="1" si="0"/>
        <v>#NUM!</v>
      </c>
    </row>
    <row r="22" spans="1:3" x14ac:dyDescent="0.25">
      <c r="A22" t="e">
        <f ca="1">"Salle" &amp; RANDBETWEEN(1,Settings!$B$3)</f>
        <v>#NUM!</v>
      </c>
      <c r="B22" t="e">
        <f ca="1">"Salle" &amp; RANDBETWEEN(1,Settings!$B$3)</f>
        <v>#NUM!</v>
      </c>
      <c r="C22" t="e">
        <f t="shared" ca="1" si="0"/>
        <v>#NUM!</v>
      </c>
    </row>
    <row r="23" spans="1:3" x14ac:dyDescent="0.25">
      <c r="A23" t="e">
        <f ca="1">"Salle" &amp; RANDBETWEEN(1,Settings!$B$3)</f>
        <v>#NUM!</v>
      </c>
      <c r="B23" t="e">
        <f ca="1">"Salle" &amp; RANDBETWEEN(1,Settings!$B$3)</f>
        <v>#NUM!</v>
      </c>
      <c r="C23" t="e">
        <f t="shared" ca="1" si="0"/>
        <v>#NUM!</v>
      </c>
    </row>
    <row r="24" spans="1:3" x14ac:dyDescent="0.25">
      <c r="A24" t="e">
        <f ca="1">"Salle" &amp; RANDBETWEEN(1,Settings!$B$3)</f>
        <v>#NUM!</v>
      </c>
      <c r="B24" t="e">
        <f ca="1">"Salle" &amp; RANDBETWEEN(1,Settings!$B$3)</f>
        <v>#NUM!</v>
      </c>
      <c r="C24" t="e">
        <f t="shared" ca="1" si="0"/>
        <v>#NUM!</v>
      </c>
    </row>
    <row r="25" spans="1:3" x14ac:dyDescent="0.25">
      <c r="A25" t="e">
        <f ca="1">"Salle" &amp; RANDBETWEEN(1,Settings!$B$3)</f>
        <v>#NUM!</v>
      </c>
      <c r="B25" t="e">
        <f ca="1">"Salle" &amp; RANDBETWEEN(1,Settings!$B$3)</f>
        <v>#NUM!</v>
      </c>
      <c r="C25" t="e">
        <f t="shared" ca="1" si="0"/>
        <v>#NUM!</v>
      </c>
    </row>
    <row r="26" spans="1:3" x14ac:dyDescent="0.25">
      <c r="A26" t="e">
        <f ca="1">"Salle" &amp; RANDBETWEEN(1,Settings!$B$3)</f>
        <v>#NUM!</v>
      </c>
      <c r="B26" t="e">
        <f ca="1">"Salle" &amp; RANDBETWEEN(1,Settings!$B$3)</f>
        <v>#NUM!</v>
      </c>
      <c r="C26" t="e">
        <f t="shared" ref="C26:C68" ca="1" si="1">IF(A26=B26,0,RANDBETWEEN(5,500))</f>
        <v>#NUM!</v>
      </c>
    </row>
    <row r="27" spans="1:3" x14ac:dyDescent="0.25">
      <c r="A27" t="e">
        <f ca="1">"Salle" &amp; RANDBETWEEN(1,Settings!$B$3)</f>
        <v>#NUM!</v>
      </c>
      <c r="B27" t="e">
        <f ca="1">"Salle" &amp; RANDBETWEEN(1,Settings!$B$3)</f>
        <v>#NUM!</v>
      </c>
      <c r="C27" t="e">
        <f t="shared" ca="1" si="1"/>
        <v>#NUM!</v>
      </c>
    </row>
    <row r="28" spans="1:3" x14ac:dyDescent="0.25">
      <c r="A28" t="e">
        <f ca="1">"Salle" &amp; RANDBETWEEN(1,Settings!$B$3)</f>
        <v>#NUM!</v>
      </c>
      <c r="B28" t="e">
        <f ca="1">"Salle" &amp; RANDBETWEEN(1,Settings!$B$3)</f>
        <v>#NUM!</v>
      </c>
      <c r="C28" t="e">
        <f t="shared" ca="1" si="1"/>
        <v>#NUM!</v>
      </c>
    </row>
    <row r="29" spans="1:3" x14ac:dyDescent="0.25">
      <c r="A29" t="e">
        <f ca="1">"Salle" &amp; RANDBETWEEN(1,Settings!$B$3)</f>
        <v>#NUM!</v>
      </c>
      <c r="B29" t="e">
        <f ca="1">"Salle" &amp; RANDBETWEEN(1,Settings!$B$3)</f>
        <v>#NUM!</v>
      </c>
      <c r="C29" t="e">
        <f t="shared" ca="1" si="1"/>
        <v>#NUM!</v>
      </c>
    </row>
    <row r="30" spans="1:3" x14ac:dyDescent="0.25">
      <c r="A30" t="e">
        <f ca="1">"Salle" &amp; RANDBETWEEN(1,Settings!$B$3)</f>
        <v>#NUM!</v>
      </c>
      <c r="B30" t="e">
        <f ca="1">"Salle" &amp; RANDBETWEEN(1,Settings!$B$3)</f>
        <v>#NUM!</v>
      </c>
      <c r="C30" t="e">
        <f t="shared" ca="1" si="1"/>
        <v>#NUM!</v>
      </c>
    </row>
    <row r="31" spans="1:3" x14ac:dyDescent="0.25">
      <c r="A31" t="e">
        <f ca="1">"Salle" &amp; RANDBETWEEN(1,Settings!$B$3)</f>
        <v>#NUM!</v>
      </c>
      <c r="B31" t="e">
        <f ca="1">"Salle" &amp; RANDBETWEEN(1,Settings!$B$3)</f>
        <v>#NUM!</v>
      </c>
      <c r="C31" t="e">
        <f t="shared" ca="1" si="1"/>
        <v>#NUM!</v>
      </c>
    </row>
    <row r="32" spans="1:3" x14ac:dyDescent="0.25">
      <c r="A32" t="e">
        <f ca="1">"Salle" &amp; RANDBETWEEN(1,Settings!$B$3)</f>
        <v>#NUM!</v>
      </c>
      <c r="B32" t="e">
        <f ca="1">"Salle" &amp; RANDBETWEEN(1,Settings!$B$3)</f>
        <v>#NUM!</v>
      </c>
      <c r="C32" t="e">
        <f t="shared" ca="1" si="1"/>
        <v>#NUM!</v>
      </c>
    </row>
    <row r="33" spans="1:3" x14ac:dyDescent="0.25">
      <c r="A33" t="e">
        <f ca="1">"Salle" &amp; RANDBETWEEN(1,Settings!$B$3)</f>
        <v>#NUM!</v>
      </c>
      <c r="B33" t="e">
        <f ca="1">"Salle" &amp; RANDBETWEEN(1,Settings!$B$3)</f>
        <v>#NUM!</v>
      </c>
      <c r="C33" t="e">
        <f t="shared" ca="1" si="1"/>
        <v>#NUM!</v>
      </c>
    </row>
    <row r="34" spans="1:3" x14ac:dyDescent="0.25">
      <c r="A34" t="e">
        <f ca="1">"Salle" &amp; RANDBETWEEN(1,Settings!$B$3)</f>
        <v>#NUM!</v>
      </c>
      <c r="B34" t="e">
        <f ca="1">"Salle" &amp; RANDBETWEEN(1,Settings!$B$3)</f>
        <v>#NUM!</v>
      </c>
      <c r="C34" t="e">
        <f t="shared" ca="1" si="1"/>
        <v>#NUM!</v>
      </c>
    </row>
    <row r="35" spans="1:3" x14ac:dyDescent="0.25">
      <c r="A35" t="e">
        <f ca="1">"Salle" &amp; RANDBETWEEN(1,Settings!$B$3)</f>
        <v>#NUM!</v>
      </c>
      <c r="B35" t="e">
        <f ca="1">"Salle" &amp; RANDBETWEEN(1,Settings!$B$3)</f>
        <v>#NUM!</v>
      </c>
      <c r="C35" t="e">
        <f t="shared" ca="1" si="1"/>
        <v>#NUM!</v>
      </c>
    </row>
    <row r="36" spans="1:3" x14ac:dyDescent="0.25">
      <c r="A36" t="e">
        <f ca="1">"Salle" &amp; RANDBETWEEN(1,Settings!$B$3)</f>
        <v>#NUM!</v>
      </c>
      <c r="B36" t="e">
        <f ca="1">"Salle" &amp; RANDBETWEEN(1,Settings!$B$3)</f>
        <v>#NUM!</v>
      </c>
      <c r="C36" t="e">
        <f t="shared" ca="1" si="1"/>
        <v>#NUM!</v>
      </c>
    </row>
    <row r="37" spans="1:3" x14ac:dyDescent="0.25">
      <c r="A37" t="e">
        <f ca="1">"Salle" &amp; RANDBETWEEN(1,Settings!$B$3)</f>
        <v>#NUM!</v>
      </c>
      <c r="B37" t="e">
        <f ca="1">"Salle" &amp; RANDBETWEEN(1,Settings!$B$3)</f>
        <v>#NUM!</v>
      </c>
      <c r="C37" t="e">
        <f t="shared" ca="1" si="1"/>
        <v>#NUM!</v>
      </c>
    </row>
    <row r="38" spans="1:3" x14ac:dyDescent="0.25">
      <c r="A38" t="e">
        <f ca="1">"Salle" &amp; RANDBETWEEN(1,Settings!$B$3)</f>
        <v>#NUM!</v>
      </c>
      <c r="B38" t="e">
        <f ca="1">"Salle" &amp; RANDBETWEEN(1,Settings!$B$3)</f>
        <v>#NUM!</v>
      </c>
      <c r="C38" t="e">
        <f t="shared" ca="1" si="1"/>
        <v>#NUM!</v>
      </c>
    </row>
    <row r="39" spans="1:3" x14ac:dyDescent="0.25">
      <c r="A39" t="e">
        <f ca="1">"Salle" &amp; RANDBETWEEN(1,Settings!$B$3)</f>
        <v>#NUM!</v>
      </c>
      <c r="B39" t="e">
        <f ca="1">"Salle" &amp; RANDBETWEEN(1,Settings!$B$3)</f>
        <v>#NUM!</v>
      </c>
      <c r="C39" t="e">
        <f t="shared" ca="1" si="1"/>
        <v>#NUM!</v>
      </c>
    </row>
    <row r="40" spans="1:3" x14ac:dyDescent="0.25">
      <c r="A40" t="e">
        <f ca="1">"Salle" &amp; RANDBETWEEN(1,Settings!$B$3)</f>
        <v>#NUM!</v>
      </c>
      <c r="B40" t="e">
        <f ca="1">"Salle" &amp; RANDBETWEEN(1,Settings!$B$3)</f>
        <v>#NUM!</v>
      </c>
      <c r="C40" t="e">
        <f t="shared" ca="1" si="1"/>
        <v>#NUM!</v>
      </c>
    </row>
    <row r="41" spans="1:3" x14ac:dyDescent="0.25">
      <c r="A41" t="e">
        <f ca="1">"Salle" &amp; RANDBETWEEN(1,Settings!$B$3)</f>
        <v>#NUM!</v>
      </c>
      <c r="B41" t="e">
        <f ca="1">"Salle" &amp; RANDBETWEEN(1,Settings!$B$3)</f>
        <v>#NUM!</v>
      </c>
      <c r="C41" t="e">
        <f t="shared" ca="1" si="1"/>
        <v>#NUM!</v>
      </c>
    </row>
    <row r="42" spans="1:3" x14ac:dyDescent="0.25">
      <c r="A42" t="e">
        <f ca="1">"Salle" &amp; RANDBETWEEN(1,Settings!$B$3)</f>
        <v>#NUM!</v>
      </c>
      <c r="B42" t="e">
        <f ca="1">"Salle" &amp; RANDBETWEEN(1,Settings!$B$3)</f>
        <v>#NUM!</v>
      </c>
      <c r="C42" t="e">
        <f t="shared" ca="1" si="1"/>
        <v>#NUM!</v>
      </c>
    </row>
    <row r="43" spans="1:3" x14ac:dyDescent="0.25">
      <c r="A43" t="e">
        <f ca="1">"Salle" &amp; RANDBETWEEN(1,Settings!$B$3)</f>
        <v>#NUM!</v>
      </c>
      <c r="B43" t="e">
        <f ca="1">"Salle" &amp; RANDBETWEEN(1,Settings!$B$3)</f>
        <v>#NUM!</v>
      </c>
      <c r="C43" t="e">
        <f t="shared" ca="1" si="1"/>
        <v>#NUM!</v>
      </c>
    </row>
    <row r="44" spans="1:3" x14ac:dyDescent="0.25">
      <c r="A44" t="e">
        <f ca="1">"Salle" &amp; RANDBETWEEN(1,Settings!$B$3)</f>
        <v>#NUM!</v>
      </c>
      <c r="B44" t="e">
        <f ca="1">"Salle" &amp; RANDBETWEEN(1,Settings!$B$3)</f>
        <v>#NUM!</v>
      </c>
      <c r="C44" t="e">
        <f t="shared" ca="1" si="1"/>
        <v>#NUM!</v>
      </c>
    </row>
    <row r="45" spans="1:3" x14ac:dyDescent="0.25">
      <c r="A45" t="e">
        <f ca="1">"Salle" &amp; RANDBETWEEN(1,Settings!$B$3)</f>
        <v>#NUM!</v>
      </c>
      <c r="B45" t="e">
        <f ca="1">"Salle" &amp; RANDBETWEEN(1,Settings!$B$3)</f>
        <v>#NUM!</v>
      </c>
      <c r="C45" t="e">
        <f t="shared" ca="1" si="1"/>
        <v>#NUM!</v>
      </c>
    </row>
    <row r="46" spans="1:3" x14ac:dyDescent="0.25">
      <c r="A46" t="e">
        <f ca="1">"Salle" &amp; RANDBETWEEN(1,Settings!$B$3)</f>
        <v>#NUM!</v>
      </c>
      <c r="B46" t="e">
        <f ca="1">"Salle" &amp; RANDBETWEEN(1,Settings!$B$3)</f>
        <v>#NUM!</v>
      </c>
      <c r="C46" t="e">
        <f t="shared" ca="1" si="1"/>
        <v>#NUM!</v>
      </c>
    </row>
    <row r="47" spans="1:3" x14ac:dyDescent="0.25">
      <c r="A47" t="e">
        <f ca="1">"Salle" &amp; RANDBETWEEN(1,Settings!$B$3)</f>
        <v>#NUM!</v>
      </c>
      <c r="B47" t="e">
        <f ca="1">"Salle" &amp; RANDBETWEEN(1,Settings!$B$3)</f>
        <v>#NUM!</v>
      </c>
      <c r="C47" t="e">
        <f t="shared" ca="1" si="1"/>
        <v>#NUM!</v>
      </c>
    </row>
    <row r="48" spans="1:3" x14ac:dyDescent="0.25">
      <c r="A48" t="e">
        <f ca="1">"Salle" &amp; RANDBETWEEN(1,Settings!$B$3)</f>
        <v>#NUM!</v>
      </c>
      <c r="B48" t="e">
        <f ca="1">"Salle" &amp; RANDBETWEEN(1,Settings!$B$3)</f>
        <v>#NUM!</v>
      </c>
      <c r="C48" t="e">
        <f t="shared" ca="1" si="1"/>
        <v>#NUM!</v>
      </c>
    </row>
    <row r="49" spans="1:3" x14ac:dyDescent="0.25">
      <c r="A49" t="e">
        <f ca="1">"Salle" &amp; RANDBETWEEN(1,Settings!$B$3)</f>
        <v>#NUM!</v>
      </c>
      <c r="B49" t="e">
        <f ca="1">"Salle" &amp; RANDBETWEEN(1,Settings!$B$3)</f>
        <v>#NUM!</v>
      </c>
      <c r="C49" t="e">
        <f t="shared" ca="1" si="1"/>
        <v>#NUM!</v>
      </c>
    </row>
    <row r="50" spans="1:3" x14ac:dyDescent="0.25">
      <c r="A50" t="e">
        <f ca="1">"Salle" &amp; RANDBETWEEN(1,Settings!$B$3)</f>
        <v>#NUM!</v>
      </c>
      <c r="B50" t="e">
        <f ca="1">"Salle" &amp; RANDBETWEEN(1,Settings!$B$3)</f>
        <v>#NUM!</v>
      </c>
      <c r="C50" t="e">
        <f t="shared" ca="1" si="1"/>
        <v>#NUM!</v>
      </c>
    </row>
    <row r="51" spans="1:3" x14ac:dyDescent="0.25">
      <c r="A51" t="e">
        <f ca="1">"Salle" &amp; RANDBETWEEN(1,Settings!$B$3)</f>
        <v>#NUM!</v>
      </c>
      <c r="B51" t="e">
        <f ca="1">"Salle" &amp; RANDBETWEEN(1,Settings!$B$3)</f>
        <v>#NUM!</v>
      </c>
      <c r="C51" t="e">
        <f t="shared" ca="1" si="1"/>
        <v>#NUM!</v>
      </c>
    </row>
    <row r="52" spans="1:3" x14ac:dyDescent="0.25">
      <c r="A52" t="e">
        <f ca="1">"Salle" &amp; RANDBETWEEN(1,Settings!$B$3)</f>
        <v>#NUM!</v>
      </c>
      <c r="B52" t="e">
        <f ca="1">"Salle" &amp; RANDBETWEEN(1,Settings!$B$3)</f>
        <v>#NUM!</v>
      </c>
      <c r="C52" t="e">
        <f t="shared" ca="1" si="1"/>
        <v>#NUM!</v>
      </c>
    </row>
    <row r="53" spans="1:3" x14ac:dyDescent="0.25">
      <c r="A53" t="e">
        <f ca="1">"Salle" &amp; RANDBETWEEN(1,Settings!$B$3)</f>
        <v>#NUM!</v>
      </c>
      <c r="B53" t="e">
        <f ca="1">"Salle" &amp; RANDBETWEEN(1,Settings!$B$3)</f>
        <v>#NUM!</v>
      </c>
      <c r="C53" t="e">
        <f t="shared" ca="1" si="1"/>
        <v>#NUM!</v>
      </c>
    </row>
    <row r="54" spans="1:3" x14ac:dyDescent="0.25">
      <c r="A54" t="e">
        <f ca="1">"Salle" &amp; RANDBETWEEN(1,Settings!$B$3)</f>
        <v>#NUM!</v>
      </c>
      <c r="B54" t="e">
        <f ca="1">"Salle" &amp; RANDBETWEEN(1,Settings!$B$3)</f>
        <v>#NUM!</v>
      </c>
      <c r="C54" t="e">
        <f t="shared" ca="1" si="1"/>
        <v>#NUM!</v>
      </c>
    </row>
    <row r="55" spans="1:3" x14ac:dyDescent="0.25">
      <c r="A55" t="e">
        <f ca="1">"Salle" &amp; RANDBETWEEN(1,Settings!$B$3)</f>
        <v>#NUM!</v>
      </c>
      <c r="B55" t="e">
        <f ca="1">"Salle" &amp; RANDBETWEEN(1,Settings!$B$3)</f>
        <v>#NUM!</v>
      </c>
      <c r="C55" t="e">
        <f t="shared" ca="1" si="1"/>
        <v>#NUM!</v>
      </c>
    </row>
    <row r="56" spans="1:3" x14ac:dyDescent="0.25">
      <c r="A56" t="e">
        <f ca="1">"Salle" &amp; RANDBETWEEN(1,Settings!$B$3)</f>
        <v>#NUM!</v>
      </c>
      <c r="B56" t="e">
        <f ca="1">"Salle" &amp; RANDBETWEEN(1,Settings!$B$3)</f>
        <v>#NUM!</v>
      </c>
      <c r="C56" t="e">
        <f t="shared" ca="1" si="1"/>
        <v>#NUM!</v>
      </c>
    </row>
    <row r="57" spans="1:3" x14ac:dyDescent="0.25">
      <c r="A57" t="e">
        <f ca="1">"Salle" &amp; RANDBETWEEN(1,Settings!$B$3)</f>
        <v>#NUM!</v>
      </c>
      <c r="B57" t="e">
        <f ca="1">"Salle" &amp; RANDBETWEEN(1,Settings!$B$3)</f>
        <v>#NUM!</v>
      </c>
      <c r="C57" t="e">
        <f t="shared" ca="1" si="1"/>
        <v>#NUM!</v>
      </c>
    </row>
    <row r="58" spans="1:3" x14ac:dyDescent="0.25">
      <c r="A58" t="e">
        <f ca="1">"Salle" &amp; RANDBETWEEN(1,Settings!$B$3)</f>
        <v>#NUM!</v>
      </c>
      <c r="B58" t="e">
        <f ca="1">"Salle" &amp; RANDBETWEEN(1,Settings!$B$3)</f>
        <v>#NUM!</v>
      </c>
      <c r="C58" t="e">
        <f t="shared" ca="1" si="1"/>
        <v>#NUM!</v>
      </c>
    </row>
    <row r="59" spans="1:3" x14ac:dyDescent="0.25">
      <c r="A59" t="e">
        <f ca="1">"Salle" &amp; RANDBETWEEN(1,Settings!$B$3)</f>
        <v>#NUM!</v>
      </c>
      <c r="B59" t="e">
        <f ca="1">"Salle" &amp; RANDBETWEEN(1,Settings!$B$3)</f>
        <v>#NUM!</v>
      </c>
      <c r="C59" t="e">
        <f t="shared" ca="1" si="1"/>
        <v>#NUM!</v>
      </c>
    </row>
    <row r="60" spans="1:3" x14ac:dyDescent="0.25">
      <c r="A60" t="e">
        <f ca="1">"Salle" &amp; RANDBETWEEN(1,Settings!$B$3)</f>
        <v>#NUM!</v>
      </c>
      <c r="B60" t="e">
        <f ca="1">"Salle" &amp; RANDBETWEEN(1,Settings!$B$3)</f>
        <v>#NUM!</v>
      </c>
      <c r="C60" t="e">
        <f t="shared" ca="1" si="1"/>
        <v>#NUM!</v>
      </c>
    </row>
    <row r="61" spans="1:3" x14ac:dyDescent="0.25">
      <c r="A61" t="e">
        <f ca="1">"Salle" &amp; RANDBETWEEN(1,Settings!$B$3)</f>
        <v>#NUM!</v>
      </c>
      <c r="B61" t="e">
        <f ca="1">"Salle" &amp; RANDBETWEEN(1,Settings!$B$3)</f>
        <v>#NUM!</v>
      </c>
      <c r="C61" t="e">
        <f t="shared" ca="1" si="1"/>
        <v>#NUM!</v>
      </c>
    </row>
    <row r="62" spans="1:3" x14ac:dyDescent="0.25">
      <c r="A62" t="e">
        <f ca="1">"Salle" &amp; RANDBETWEEN(1,Settings!$B$3)</f>
        <v>#NUM!</v>
      </c>
      <c r="B62" t="e">
        <f ca="1">"Salle" &amp; RANDBETWEEN(1,Settings!$B$3)</f>
        <v>#NUM!</v>
      </c>
      <c r="C62" t="e">
        <f t="shared" ca="1" si="1"/>
        <v>#NUM!</v>
      </c>
    </row>
    <row r="63" spans="1:3" x14ac:dyDescent="0.25">
      <c r="A63" t="e">
        <f ca="1">"Salle" &amp; RANDBETWEEN(1,Settings!$B$3)</f>
        <v>#NUM!</v>
      </c>
      <c r="B63" t="e">
        <f ca="1">"Salle" &amp; RANDBETWEEN(1,Settings!$B$3)</f>
        <v>#NUM!</v>
      </c>
      <c r="C63" t="e">
        <f t="shared" ca="1" si="1"/>
        <v>#NUM!</v>
      </c>
    </row>
    <row r="64" spans="1:3" x14ac:dyDescent="0.25">
      <c r="A64" t="e">
        <f ca="1">"Salle" &amp; RANDBETWEEN(1,Settings!$B$3)</f>
        <v>#NUM!</v>
      </c>
      <c r="B64" t="e">
        <f ca="1">"Salle" &amp; RANDBETWEEN(1,Settings!$B$3)</f>
        <v>#NUM!</v>
      </c>
      <c r="C64" t="e">
        <f t="shared" ca="1" si="1"/>
        <v>#NUM!</v>
      </c>
    </row>
    <row r="65" spans="1:3" x14ac:dyDescent="0.25">
      <c r="A65" t="e">
        <f ca="1">"Salle" &amp; RANDBETWEEN(1,Settings!$B$3)</f>
        <v>#NUM!</v>
      </c>
      <c r="B65" t="e">
        <f ca="1">"Salle" &amp; RANDBETWEEN(1,Settings!$B$3)</f>
        <v>#NUM!</v>
      </c>
      <c r="C65" t="e">
        <f t="shared" ca="1" si="1"/>
        <v>#NUM!</v>
      </c>
    </row>
    <row r="66" spans="1:3" x14ac:dyDescent="0.25">
      <c r="A66" t="e">
        <f ca="1">"Salle" &amp; RANDBETWEEN(1,Settings!$B$3)</f>
        <v>#NUM!</v>
      </c>
      <c r="B66" t="e">
        <f ca="1">"Salle" &amp; RANDBETWEEN(1,Settings!$B$3)</f>
        <v>#NUM!</v>
      </c>
      <c r="C66" t="e">
        <f t="shared" ca="1" si="1"/>
        <v>#NUM!</v>
      </c>
    </row>
    <row r="67" spans="1:3" x14ac:dyDescent="0.25">
      <c r="A67" t="e">
        <f ca="1">"Salle" &amp; RANDBETWEEN(1,Settings!$B$3)</f>
        <v>#NUM!</v>
      </c>
      <c r="B67" t="e">
        <f ca="1">"Salle" &amp; RANDBETWEEN(1,Settings!$B$3)</f>
        <v>#NUM!</v>
      </c>
      <c r="C67" t="e">
        <f t="shared" ca="1" si="1"/>
        <v>#NUM!</v>
      </c>
    </row>
    <row r="68" spans="1:3" x14ac:dyDescent="0.25">
      <c r="A68" t="e">
        <f ca="1">"Salle" &amp; RANDBETWEEN(1,Settings!$B$3)</f>
        <v>#NUM!</v>
      </c>
      <c r="B68" t="e">
        <f ca="1">"Salle" &amp; RANDBETWEEN(1,Settings!$B$3)</f>
        <v>#NUM!</v>
      </c>
      <c r="C68" t="e">
        <f t="shared" ca="1" si="1"/>
        <v>#NUM!</v>
      </c>
    </row>
    <row r="69" spans="1:3" x14ac:dyDescent="0.25">
      <c r="A69" t="e">
        <f ca="1">"Salle" &amp; RANDBETWEEN(1,Settings!$B$3)</f>
        <v>#NUM!</v>
      </c>
      <c r="B69" t="e">
        <f ca="1">"Salle" &amp; RANDBETWEEN(1,Settings!$B$3)</f>
        <v>#NUM!</v>
      </c>
      <c r="C69" t="e">
        <f t="shared" ref="C69:C132" ca="1" si="2">IF(A69=B69,0,RANDBETWEEN(5,500))</f>
        <v>#NUM!</v>
      </c>
    </row>
    <row r="70" spans="1:3" x14ac:dyDescent="0.25">
      <c r="A70" t="e">
        <f ca="1">"Salle" &amp; RANDBETWEEN(1,Settings!$B$3)</f>
        <v>#NUM!</v>
      </c>
      <c r="B70" t="e">
        <f ca="1">"Salle" &amp; RANDBETWEEN(1,Settings!$B$3)</f>
        <v>#NUM!</v>
      </c>
      <c r="C70" t="e">
        <f t="shared" ca="1" si="2"/>
        <v>#NUM!</v>
      </c>
    </row>
    <row r="71" spans="1:3" x14ac:dyDescent="0.25">
      <c r="A71" t="e">
        <f ca="1">"Salle" &amp; RANDBETWEEN(1,Settings!$B$3)</f>
        <v>#NUM!</v>
      </c>
      <c r="B71" t="e">
        <f ca="1">"Salle" &amp; RANDBETWEEN(1,Settings!$B$3)</f>
        <v>#NUM!</v>
      </c>
      <c r="C71" t="e">
        <f t="shared" ca="1" si="2"/>
        <v>#NUM!</v>
      </c>
    </row>
    <row r="72" spans="1:3" x14ac:dyDescent="0.25">
      <c r="A72" t="e">
        <f ca="1">"Salle" &amp; RANDBETWEEN(1,Settings!$B$3)</f>
        <v>#NUM!</v>
      </c>
      <c r="B72" t="e">
        <f ca="1">"Salle" &amp; RANDBETWEEN(1,Settings!$B$3)</f>
        <v>#NUM!</v>
      </c>
      <c r="C72" t="e">
        <f t="shared" ca="1" si="2"/>
        <v>#NUM!</v>
      </c>
    </row>
    <row r="73" spans="1:3" x14ac:dyDescent="0.25">
      <c r="A73" t="e">
        <f ca="1">"Salle" &amp; RANDBETWEEN(1,Settings!$B$3)</f>
        <v>#NUM!</v>
      </c>
      <c r="B73" t="e">
        <f ca="1">"Salle" &amp; RANDBETWEEN(1,Settings!$B$3)</f>
        <v>#NUM!</v>
      </c>
      <c r="C73" t="e">
        <f t="shared" ca="1" si="2"/>
        <v>#NUM!</v>
      </c>
    </row>
    <row r="74" spans="1:3" x14ac:dyDescent="0.25">
      <c r="A74" t="e">
        <f ca="1">"Salle" &amp; RANDBETWEEN(1,Settings!$B$3)</f>
        <v>#NUM!</v>
      </c>
      <c r="B74" t="e">
        <f ca="1">"Salle" &amp; RANDBETWEEN(1,Settings!$B$3)</f>
        <v>#NUM!</v>
      </c>
      <c r="C74" t="e">
        <f t="shared" ca="1" si="2"/>
        <v>#NUM!</v>
      </c>
    </row>
    <row r="75" spans="1:3" x14ac:dyDescent="0.25">
      <c r="A75" t="e">
        <f ca="1">"Salle" &amp; RANDBETWEEN(1,Settings!$B$3)</f>
        <v>#NUM!</v>
      </c>
      <c r="B75" t="e">
        <f ca="1">"Salle" &amp; RANDBETWEEN(1,Settings!$B$3)</f>
        <v>#NUM!</v>
      </c>
      <c r="C75" t="e">
        <f t="shared" ca="1" si="2"/>
        <v>#NUM!</v>
      </c>
    </row>
    <row r="76" spans="1:3" x14ac:dyDescent="0.25">
      <c r="A76" t="e">
        <f ca="1">"Salle" &amp; RANDBETWEEN(1,Settings!$B$3)</f>
        <v>#NUM!</v>
      </c>
      <c r="B76" t="e">
        <f ca="1">"Salle" &amp; RANDBETWEEN(1,Settings!$B$3)</f>
        <v>#NUM!</v>
      </c>
      <c r="C76" t="e">
        <f t="shared" ca="1" si="2"/>
        <v>#NUM!</v>
      </c>
    </row>
    <row r="77" spans="1:3" x14ac:dyDescent="0.25">
      <c r="A77" t="e">
        <f ca="1">"Salle" &amp; RANDBETWEEN(1,Settings!$B$3)</f>
        <v>#NUM!</v>
      </c>
      <c r="B77" t="e">
        <f ca="1">"Salle" &amp; RANDBETWEEN(1,Settings!$B$3)</f>
        <v>#NUM!</v>
      </c>
      <c r="C77" t="e">
        <f t="shared" ca="1" si="2"/>
        <v>#NUM!</v>
      </c>
    </row>
    <row r="78" spans="1:3" x14ac:dyDescent="0.25">
      <c r="A78" t="e">
        <f ca="1">"Salle" &amp; RANDBETWEEN(1,Settings!$B$3)</f>
        <v>#NUM!</v>
      </c>
      <c r="B78" t="e">
        <f ca="1">"Salle" &amp; RANDBETWEEN(1,Settings!$B$3)</f>
        <v>#NUM!</v>
      </c>
      <c r="C78" t="e">
        <f t="shared" ca="1" si="2"/>
        <v>#NUM!</v>
      </c>
    </row>
    <row r="79" spans="1:3" x14ac:dyDescent="0.25">
      <c r="A79" t="e">
        <f ca="1">"Salle" &amp; RANDBETWEEN(1,Settings!$B$3)</f>
        <v>#NUM!</v>
      </c>
      <c r="B79" t="e">
        <f ca="1">"Salle" &amp; RANDBETWEEN(1,Settings!$B$3)</f>
        <v>#NUM!</v>
      </c>
      <c r="C79" t="e">
        <f t="shared" ca="1" si="2"/>
        <v>#NUM!</v>
      </c>
    </row>
    <row r="80" spans="1:3" x14ac:dyDescent="0.25">
      <c r="A80" t="e">
        <f ca="1">"Salle" &amp; RANDBETWEEN(1,Settings!$B$3)</f>
        <v>#NUM!</v>
      </c>
      <c r="B80" t="e">
        <f ca="1">"Salle" &amp; RANDBETWEEN(1,Settings!$B$3)</f>
        <v>#NUM!</v>
      </c>
      <c r="C80" t="e">
        <f t="shared" ca="1" si="2"/>
        <v>#NUM!</v>
      </c>
    </row>
    <row r="81" spans="1:3" x14ac:dyDescent="0.25">
      <c r="A81" t="e">
        <f ca="1">"Salle" &amp; RANDBETWEEN(1,Settings!$B$3)</f>
        <v>#NUM!</v>
      </c>
      <c r="B81" t="e">
        <f ca="1">"Salle" &amp; RANDBETWEEN(1,Settings!$B$3)</f>
        <v>#NUM!</v>
      </c>
      <c r="C81" t="e">
        <f t="shared" ca="1" si="2"/>
        <v>#NUM!</v>
      </c>
    </row>
    <row r="82" spans="1:3" x14ac:dyDescent="0.25">
      <c r="A82" t="e">
        <f ca="1">"Salle" &amp; RANDBETWEEN(1,Settings!$B$3)</f>
        <v>#NUM!</v>
      </c>
      <c r="B82" t="e">
        <f ca="1">"Salle" &amp; RANDBETWEEN(1,Settings!$B$3)</f>
        <v>#NUM!</v>
      </c>
      <c r="C82" t="e">
        <f t="shared" ca="1" si="2"/>
        <v>#NUM!</v>
      </c>
    </row>
    <row r="83" spans="1:3" x14ac:dyDescent="0.25">
      <c r="A83" t="e">
        <f ca="1">"Salle" &amp; RANDBETWEEN(1,Settings!$B$3)</f>
        <v>#NUM!</v>
      </c>
      <c r="B83" t="e">
        <f ca="1">"Salle" &amp; RANDBETWEEN(1,Settings!$B$3)</f>
        <v>#NUM!</v>
      </c>
      <c r="C83" t="e">
        <f t="shared" ca="1" si="2"/>
        <v>#NUM!</v>
      </c>
    </row>
    <row r="84" spans="1:3" x14ac:dyDescent="0.25">
      <c r="A84" t="e">
        <f ca="1">"Salle" &amp; RANDBETWEEN(1,Settings!$B$3)</f>
        <v>#NUM!</v>
      </c>
      <c r="B84" t="e">
        <f ca="1">"Salle" &amp; RANDBETWEEN(1,Settings!$B$3)</f>
        <v>#NUM!</v>
      </c>
      <c r="C84" t="e">
        <f t="shared" ca="1" si="2"/>
        <v>#NUM!</v>
      </c>
    </row>
    <row r="85" spans="1:3" x14ac:dyDescent="0.25">
      <c r="A85" t="e">
        <f ca="1">"Salle" &amp; RANDBETWEEN(1,Settings!$B$3)</f>
        <v>#NUM!</v>
      </c>
      <c r="B85" t="e">
        <f ca="1">"Salle" &amp; RANDBETWEEN(1,Settings!$B$3)</f>
        <v>#NUM!</v>
      </c>
      <c r="C85" t="e">
        <f t="shared" ca="1" si="2"/>
        <v>#NUM!</v>
      </c>
    </row>
    <row r="86" spans="1:3" x14ac:dyDescent="0.25">
      <c r="A86" t="e">
        <f ca="1">"Salle" &amp; RANDBETWEEN(1,Settings!$B$3)</f>
        <v>#NUM!</v>
      </c>
      <c r="B86" t="e">
        <f ca="1">"Salle" &amp; RANDBETWEEN(1,Settings!$B$3)</f>
        <v>#NUM!</v>
      </c>
      <c r="C86" t="e">
        <f t="shared" ca="1" si="2"/>
        <v>#NUM!</v>
      </c>
    </row>
    <row r="87" spans="1:3" x14ac:dyDescent="0.25">
      <c r="A87" t="e">
        <f ca="1">"Salle" &amp; RANDBETWEEN(1,Settings!$B$3)</f>
        <v>#NUM!</v>
      </c>
      <c r="B87" t="e">
        <f ca="1">"Salle" &amp; RANDBETWEEN(1,Settings!$B$3)</f>
        <v>#NUM!</v>
      </c>
      <c r="C87" t="e">
        <f t="shared" ca="1" si="2"/>
        <v>#NUM!</v>
      </c>
    </row>
    <row r="88" spans="1:3" x14ac:dyDescent="0.25">
      <c r="A88" t="e">
        <f ca="1">"Salle" &amp; RANDBETWEEN(1,Settings!$B$3)</f>
        <v>#NUM!</v>
      </c>
      <c r="B88" t="e">
        <f ca="1">"Salle" &amp; RANDBETWEEN(1,Settings!$B$3)</f>
        <v>#NUM!</v>
      </c>
      <c r="C88" t="e">
        <f t="shared" ca="1" si="2"/>
        <v>#NUM!</v>
      </c>
    </row>
    <row r="89" spans="1:3" x14ac:dyDescent="0.25">
      <c r="A89" t="e">
        <f ca="1">"Salle" &amp; RANDBETWEEN(1,Settings!$B$3)</f>
        <v>#NUM!</v>
      </c>
      <c r="B89" t="e">
        <f ca="1">"Salle" &amp; RANDBETWEEN(1,Settings!$B$3)</f>
        <v>#NUM!</v>
      </c>
      <c r="C89" t="e">
        <f t="shared" ca="1" si="2"/>
        <v>#NUM!</v>
      </c>
    </row>
    <row r="90" spans="1:3" x14ac:dyDescent="0.25">
      <c r="A90" t="e">
        <f ca="1">"Salle" &amp; RANDBETWEEN(1,Settings!$B$3)</f>
        <v>#NUM!</v>
      </c>
      <c r="B90" t="e">
        <f ca="1">"Salle" &amp; RANDBETWEEN(1,Settings!$B$3)</f>
        <v>#NUM!</v>
      </c>
      <c r="C90" t="e">
        <f t="shared" ca="1" si="2"/>
        <v>#NUM!</v>
      </c>
    </row>
    <row r="91" spans="1:3" x14ac:dyDescent="0.25">
      <c r="A91" t="e">
        <f ca="1">"Salle" &amp; RANDBETWEEN(1,Settings!$B$3)</f>
        <v>#NUM!</v>
      </c>
      <c r="B91" t="e">
        <f ca="1">"Salle" &amp; RANDBETWEEN(1,Settings!$B$3)</f>
        <v>#NUM!</v>
      </c>
      <c r="C91" t="e">
        <f t="shared" ca="1" si="2"/>
        <v>#NUM!</v>
      </c>
    </row>
    <row r="92" spans="1:3" x14ac:dyDescent="0.25">
      <c r="A92" t="e">
        <f ca="1">"Salle" &amp; RANDBETWEEN(1,Settings!$B$3)</f>
        <v>#NUM!</v>
      </c>
      <c r="B92" t="e">
        <f ca="1">"Salle" &amp; RANDBETWEEN(1,Settings!$B$3)</f>
        <v>#NUM!</v>
      </c>
      <c r="C92" t="e">
        <f t="shared" ca="1" si="2"/>
        <v>#NUM!</v>
      </c>
    </row>
    <row r="93" spans="1:3" x14ac:dyDescent="0.25">
      <c r="A93" t="e">
        <f ca="1">"Salle" &amp; RANDBETWEEN(1,Settings!$B$3)</f>
        <v>#NUM!</v>
      </c>
      <c r="B93" t="e">
        <f ca="1">"Salle" &amp; RANDBETWEEN(1,Settings!$B$3)</f>
        <v>#NUM!</v>
      </c>
      <c r="C93" t="e">
        <f t="shared" ca="1" si="2"/>
        <v>#NUM!</v>
      </c>
    </row>
    <row r="94" spans="1:3" x14ac:dyDescent="0.25">
      <c r="A94" t="e">
        <f ca="1">"Salle" &amp; RANDBETWEEN(1,Settings!$B$3)</f>
        <v>#NUM!</v>
      </c>
      <c r="B94" t="e">
        <f ca="1">"Salle" &amp; RANDBETWEEN(1,Settings!$B$3)</f>
        <v>#NUM!</v>
      </c>
      <c r="C94" t="e">
        <f t="shared" ca="1" si="2"/>
        <v>#NUM!</v>
      </c>
    </row>
    <row r="95" spans="1:3" x14ac:dyDescent="0.25">
      <c r="A95" t="e">
        <f ca="1">"Salle" &amp; RANDBETWEEN(1,Settings!$B$3)</f>
        <v>#NUM!</v>
      </c>
      <c r="B95" t="e">
        <f ca="1">"Salle" &amp; RANDBETWEEN(1,Settings!$B$3)</f>
        <v>#NUM!</v>
      </c>
      <c r="C95" t="e">
        <f t="shared" ca="1" si="2"/>
        <v>#NUM!</v>
      </c>
    </row>
    <row r="96" spans="1:3" x14ac:dyDescent="0.25">
      <c r="A96" t="e">
        <f ca="1">"Salle" &amp; RANDBETWEEN(1,Settings!$B$3)</f>
        <v>#NUM!</v>
      </c>
      <c r="B96" t="e">
        <f ca="1">"Salle" &amp; RANDBETWEEN(1,Settings!$B$3)</f>
        <v>#NUM!</v>
      </c>
      <c r="C96" t="e">
        <f t="shared" ca="1" si="2"/>
        <v>#NUM!</v>
      </c>
    </row>
    <row r="97" spans="1:3" x14ac:dyDescent="0.25">
      <c r="A97" t="e">
        <f ca="1">"Salle" &amp; RANDBETWEEN(1,Settings!$B$3)</f>
        <v>#NUM!</v>
      </c>
      <c r="B97" t="e">
        <f ca="1">"Salle" &amp; RANDBETWEEN(1,Settings!$B$3)</f>
        <v>#NUM!</v>
      </c>
      <c r="C97" t="e">
        <f t="shared" ca="1" si="2"/>
        <v>#NUM!</v>
      </c>
    </row>
    <row r="98" spans="1:3" x14ac:dyDescent="0.25">
      <c r="A98" t="e">
        <f ca="1">"Salle" &amp; RANDBETWEEN(1,Settings!$B$3)</f>
        <v>#NUM!</v>
      </c>
      <c r="B98" t="e">
        <f ca="1">"Salle" &amp; RANDBETWEEN(1,Settings!$B$3)</f>
        <v>#NUM!</v>
      </c>
      <c r="C98" t="e">
        <f t="shared" ca="1" si="2"/>
        <v>#NUM!</v>
      </c>
    </row>
    <row r="99" spans="1:3" x14ac:dyDescent="0.25">
      <c r="A99" t="e">
        <f ca="1">"Salle" &amp; RANDBETWEEN(1,Settings!$B$3)</f>
        <v>#NUM!</v>
      </c>
      <c r="B99" t="e">
        <f ca="1">"Salle" &amp; RANDBETWEEN(1,Settings!$B$3)</f>
        <v>#NUM!</v>
      </c>
      <c r="C99" t="e">
        <f t="shared" ca="1" si="2"/>
        <v>#NUM!</v>
      </c>
    </row>
    <row r="100" spans="1:3" x14ac:dyDescent="0.25">
      <c r="A100" t="e">
        <f ca="1">"Salle" &amp; RANDBETWEEN(1,Settings!$B$3)</f>
        <v>#NUM!</v>
      </c>
      <c r="B100" t="e">
        <f ca="1">"Salle" &amp; RANDBETWEEN(1,Settings!$B$3)</f>
        <v>#NUM!</v>
      </c>
      <c r="C100" t="e">
        <f t="shared" ca="1" si="2"/>
        <v>#NUM!</v>
      </c>
    </row>
    <row r="101" spans="1:3" x14ac:dyDescent="0.25">
      <c r="A101" t="e">
        <f ca="1">"Salle" &amp; RANDBETWEEN(1,Settings!$B$3)</f>
        <v>#NUM!</v>
      </c>
      <c r="B101" t="e">
        <f ca="1">"Salle" &amp; RANDBETWEEN(1,Settings!$B$3)</f>
        <v>#NUM!</v>
      </c>
      <c r="C101" t="e">
        <f t="shared" ca="1" si="2"/>
        <v>#NUM!</v>
      </c>
    </row>
    <row r="102" spans="1:3" x14ac:dyDescent="0.25">
      <c r="A102" t="e">
        <f ca="1">"Salle" &amp; RANDBETWEEN(1,Settings!$B$3)</f>
        <v>#NUM!</v>
      </c>
      <c r="B102" t="e">
        <f ca="1">"Salle" &amp; RANDBETWEEN(1,Settings!$B$3)</f>
        <v>#NUM!</v>
      </c>
      <c r="C102" t="e">
        <f t="shared" ca="1" si="2"/>
        <v>#NUM!</v>
      </c>
    </row>
    <row r="103" spans="1:3" x14ac:dyDescent="0.25">
      <c r="A103" t="e">
        <f ca="1">"Salle" &amp; RANDBETWEEN(1,Settings!$B$3)</f>
        <v>#NUM!</v>
      </c>
      <c r="B103" t="e">
        <f ca="1">"Salle" &amp; RANDBETWEEN(1,Settings!$B$3)</f>
        <v>#NUM!</v>
      </c>
      <c r="C103" t="e">
        <f t="shared" ca="1" si="2"/>
        <v>#NUM!</v>
      </c>
    </row>
    <row r="104" spans="1:3" x14ac:dyDescent="0.25">
      <c r="A104" t="e">
        <f ca="1">"Salle" &amp; RANDBETWEEN(1,Settings!$B$3)</f>
        <v>#NUM!</v>
      </c>
      <c r="B104" t="e">
        <f ca="1">"Salle" &amp; RANDBETWEEN(1,Settings!$B$3)</f>
        <v>#NUM!</v>
      </c>
      <c r="C104" t="e">
        <f t="shared" ca="1" si="2"/>
        <v>#NUM!</v>
      </c>
    </row>
    <row r="105" spans="1:3" x14ac:dyDescent="0.25">
      <c r="A105" t="e">
        <f ca="1">"Salle" &amp; RANDBETWEEN(1,Settings!$B$3)</f>
        <v>#NUM!</v>
      </c>
      <c r="B105" t="e">
        <f ca="1">"Salle" &amp; RANDBETWEEN(1,Settings!$B$3)</f>
        <v>#NUM!</v>
      </c>
      <c r="C105" t="e">
        <f t="shared" ca="1" si="2"/>
        <v>#NUM!</v>
      </c>
    </row>
    <row r="106" spans="1:3" x14ac:dyDescent="0.25">
      <c r="A106" t="e">
        <f ca="1">"Salle" &amp; RANDBETWEEN(1,Settings!$B$3)</f>
        <v>#NUM!</v>
      </c>
      <c r="B106" t="e">
        <f ca="1">"Salle" &amp; RANDBETWEEN(1,Settings!$B$3)</f>
        <v>#NUM!</v>
      </c>
      <c r="C106" t="e">
        <f t="shared" ca="1" si="2"/>
        <v>#NUM!</v>
      </c>
    </row>
    <row r="107" spans="1:3" x14ac:dyDescent="0.25">
      <c r="A107" t="e">
        <f ca="1">"Salle" &amp; RANDBETWEEN(1,Settings!$B$3)</f>
        <v>#NUM!</v>
      </c>
      <c r="B107" t="e">
        <f ca="1">"Salle" &amp; RANDBETWEEN(1,Settings!$B$3)</f>
        <v>#NUM!</v>
      </c>
      <c r="C107" t="e">
        <f t="shared" ca="1" si="2"/>
        <v>#NUM!</v>
      </c>
    </row>
    <row r="108" spans="1:3" x14ac:dyDescent="0.25">
      <c r="A108" t="e">
        <f ca="1">"Salle" &amp; RANDBETWEEN(1,Settings!$B$3)</f>
        <v>#NUM!</v>
      </c>
      <c r="B108" t="e">
        <f ca="1">"Salle" &amp; RANDBETWEEN(1,Settings!$B$3)</f>
        <v>#NUM!</v>
      </c>
      <c r="C108" t="e">
        <f t="shared" ca="1" si="2"/>
        <v>#NUM!</v>
      </c>
    </row>
    <row r="109" spans="1:3" x14ac:dyDescent="0.25">
      <c r="A109" t="e">
        <f ca="1">"Salle" &amp; RANDBETWEEN(1,Settings!$B$3)</f>
        <v>#NUM!</v>
      </c>
      <c r="B109" t="e">
        <f ca="1">"Salle" &amp; RANDBETWEEN(1,Settings!$B$3)</f>
        <v>#NUM!</v>
      </c>
      <c r="C109" t="e">
        <f t="shared" ca="1" si="2"/>
        <v>#NUM!</v>
      </c>
    </row>
    <row r="110" spans="1:3" x14ac:dyDescent="0.25">
      <c r="A110" t="e">
        <f ca="1">"Salle" &amp; RANDBETWEEN(1,Settings!$B$3)</f>
        <v>#NUM!</v>
      </c>
      <c r="B110" t="e">
        <f ca="1">"Salle" &amp; RANDBETWEEN(1,Settings!$B$3)</f>
        <v>#NUM!</v>
      </c>
      <c r="C110" t="e">
        <f t="shared" ca="1" si="2"/>
        <v>#NUM!</v>
      </c>
    </row>
    <row r="111" spans="1:3" x14ac:dyDescent="0.25">
      <c r="A111" t="e">
        <f ca="1">"Salle" &amp; RANDBETWEEN(1,Settings!$B$3)</f>
        <v>#NUM!</v>
      </c>
      <c r="B111" t="e">
        <f ca="1">"Salle" &amp; RANDBETWEEN(1,Settings!$B$3)</f>
        <v>#NUM!</v>
      </c>
      <c r="C111" t="e">
        <f t="shared" ca="1" si="2"/>
        <v>#NUM!</v>
      </c>
    </row>
    <row r="112" spans="1:3" x14ac:dyDescent="0.25">
      <c r="A112" t="e">
        <f ca="1">"Salle" &amp; RANDBETWEEN(1,Settings!$B$3)</f>
        <v>#NUM!</v>
      </c>
      <c r="B112" t="e">
        <f ca="1">"Salle" &amp; RANDBETWEEN(1,Settings!$B$3)</f>
        <v>#NUM!</v>
      </c>
      <c r="C112" t="e">
        <f t="shared" ca="1" si="2"/>
        <v>#NUM!</v>
      </c>
    </row>
    <row r="113" spans="1:3" x14ac:dyDescent="0.25">
      <c r="A113" t="e">
        <f ca="1">"Salle" &amp; RANDBETWEEN(1,Settings!$B$3)</f>
        <v>#NUM!</v>
      </c>
      <c r="B113" t="e">
        <f ca="1">"Salle" &amp; RANDBETWEEN(1,Settings!$B$3)</f>
        <v>#NUM!</v>
      </c>
      <c r="C113" t="e">
        <f t="shared" ca="1" si="2"/>
        <v>#NUM!</v>
      </c>
    </row>
    <row r="114" spans="1:3" x14ac:dyDescent="0.25">
      <c r="A114" t="e">
        <f ca="1">"Salle" &amp; RANDBETWEEN(1,Settings!$B$3)</f>
        <v>#NUM!</v>
      </c>
      <c r="B114" t="e">
        <f ca="1">"Salle" &amp; RANDBETWEEN(1,Settings!$B$3)</f>
        <v>#NUM!</v>
      </c>
      <c r="C114" t="e">
        <f t="shared" ca="1" si="2"/>
        <v>#NUM!</v>
      </c>
    </row>
    <row r="115" spans="1:3" x14ac:dyDescent="0.25">
      <c r="A115" t="e">
        <f ca="1">"Salle" &amp; RANDBETWEEN(1,Settings!$B$3)</f>
        <v>#NUM!</v>
      </c>
      <c r="B115" t="e">
        <f ca="1">"Salle" &amp; RANDBETWEEN(1,Settings!$B$3)</f>
        <v>#NUM!</v>
      </c>
      <c r="C115" t="e">
        <f t="shared" ca="1" si="2"/>
        <v>#NUM!</v>
      </c>
    </row>
    <row r="116" spans="1:3" x14ac:dyDescent="0.25">
      <c r="A116" t="e">
        <f ca="1">"Salle" &amp; RANDBETWEEN(1,Settings!$B$3)</f>
        <v>#NUM!</v>
      </c>
      <c r="B116" t="e">
        <f ca="1">"Salle" &amp; RANDBETWEEN(1,Settings!$B$3)</f>
        <v>#NUM!</v>
      </c>
      <c r="C116" t="e">
        <f t="shared" ca="1" si="2"/>
        <v>#NUM!</v>
      </c>
    </row>
    <row r="117" spans="1:3" x14ac:dyDescent="0.25">
      <c r="A117" t="e">
        <f ca="1">"Salle" &amp; RANDBETWEEN(1,Settings!$B$3)</f>
        <v>#NUM!</v>
      </c>
      <c r="B117" t="e">
        <f ca="1">"Salle" &amp; RANDBETWEEN(1,Settings!$B$3)</f>
        <v>#NUM!</v>
      </c>
      <c r="C117" t="e">
        <f t="shared" ca="1" si="2"/>
        <v>#NUM!</v>
      </c>
    </row>
    <row r="118" spans="1:3" x14ac:dyDescent="0.25">
      <c r="A118" t="e">
        <f ca="1">"Salle" &amp; RANDBETWEEN(1,Settings!$B$3)</f>
        <v>#NUM!</v>
      </c>
      <c r="B118" t="e">
        <f ca="1">"Salle" &amp; RANDBETWEEN(1,Settings!$B$3)</f>
        <v>#NUM!</v>
      </c>
      <c r="C118" t="e">
        <f t="shared" ca="1" si="2"/>
        <v>#NUM!</v>
      </c>
    </row>
    <row r="119" spans="1:3" x14ac:dyDescent="0.25">
      <c r="A119" t="e">
        <f ca="1">"Salle" &amp; RANDBETWEEN(1,Settings!$B$3)</f>
        <v>#NUM!</v>
      </c>
      <c r="B119" t="e">
        <f ca="1">"Salle" &amp; RANDBETWEEN(1,Settings!$B$3)</f>
        <v>#NUM!</v>
      </c>
      <c r="C119" t="e">
        <f t="shared" ca="1" si="2"/>
        <v>#NUM!</v>
      </c>
    </row>
    <row r="120" spans="1:3" x14ac:dyDescent="0.25">
      <c r="A120" t="e">
        <f ca="1">"Salle" &amp; RANDBETWEEN(1,Settings!$B$3)</f>
        <v>#NUM!</v>
      </c>
      <c r="B120" t="e">
        <f ca="1">"Salle" &amp; RANDBETWEEN(1,Settings!$B$3)</f>
        <v>#NUM!</v>
      </c>
      <c r="C120" t="e">
        <f t="shared" ca="1" si="2"/>
        <v>#NUM!</v>
      </c>
    </row>
    <row r="121" spans="1:3" x14ac:dyDescent="0.25">
      <c r="A121" t="e">
        <f ca="1">"Salle" &amp; RANDBETWEEN(1,Settings!$B$3)</f>
        <v>#NUM!</v>
      </c>
      <c r="B121" t="e">
        <f ca="1">"Salle" &amp; RANDBETWEEN(1,Settings!$B$3)</f>
        <v>#NUM!</v>
      </c>
      <c r="C121" t="e">
        <f t="shared" ca="1" si="2"/>
        <v>#NUM!</v>
      </c>
    </row>
    <row r="122" spans="1:3" x14ac:dyDescent="0.25">
      <c r="A122" t="e">
        <f ca="1">"Salle" &amp; RANDBETWEEN(1,Settings!$B$3)</f>
        <v>#NUM!</v>
      </c>
      <c r="B122" t="e">
        <f ca="1">"Salle" &amp; RANDBETWEEN(1,Settings!$B$3)</f>
        <v>#NUM!</v>
      </c>
      <c r="C122" t="e">
        <f t="shared" ca="1" si="2"/>
        <v>#NUM!</v>
      </c>
    </row>
    <row r="123" spans="1:3" x14ac:dyDescent="0.25">
      <c r="A123" t="e">
        <f ca="1">"Salle" &amp; RANDBETWEEN(1,Settings!$B$3)</f>
        <v>#NUM!</v>
      </c>
      <c r="B123" t="e">
        <f ca="1">"Salle" &amp; RANDBETWEEN(1,Settings!$B$3)</f>
        <v>#NUM!</v>
      </c>
      <c r="C123" t="e">
        <f t="shared" ca="1" si="2"/>
        <v>#NUM!</v>
      </c>
    </row>
    <row r="124" spans="1:3" x14ac:dyDescent="0.25">
      <c r="A124" t="e">
        <f ca="1">"Salle" &amp; RANDBETWEEN(1,Settings!$B$3)</f>
        <v>#NUM!</v>
      </c>
      <c r="B124" t="e">
        <f ca="1">"Salle" &amp; RANDBETWEEN(1,Settings!$B$3)</f>
        <v>#NUM!</v>
      </c>
      <c r="C124" t="e">
        <f t="shared" ca="1" si="2"/>
        <v>#NUM!</v>
      </c>
    </row>
    <row r="125" spans="1:3" x14ac:dyDescent="0.25">
      <c r="A125" t="e">
        <f ca="1">"Salle" &amp; RANDBETWEEN(1,Settings!$B$3)</f>
        <v>#NUM!</v>
      </c>
      <c r="B125" t="e">
        <f ca="1">"Salle" &amp; RANDBETWEEN(1,Settings!$B$3)</f>
        <v>#NUM!</v>
      </c>
      <c r="C125" t="e">
        <f t="shared" ca="1" si="2"/>
        <v>#NUM!</v>
      </c>
    </row>
    <row r="126" spans="1:3" x14ac:dyDescent="0.25">
      <c r="A126" t="e">
        <f ca="1">"Salle" &amp; RANDBETWEEN(1,Settings!$B$3)</f>
        <v>#NUM!</v>
      </c>
      <c r="B126" t="e">
        <f ca="1">"Salle" &amp; RANDBETWEEN(1,Settings!$B$3)</f>
        <v>#NUM!</v>
      </c>
      <c r="C126" t="e">
        <f t="shared" ca="1" si="2"/>
        <v>#NUM!</v>
      </c>
    </row>
    <row r="127" spans="1:3" x14ac:dyDescent="0.25">
      <c r="A127" t="e">
        <f ca="1">"Salle" &amp; RANDBETWEEN(1,Settings!$B$3)</f>
        <v>#NUM!</v>
      </c>
      <c r="B127" t="e">
        <f ca="1">"Salle" &amp; RANDBETWEEN(1,Settings!$B$3)</f>
        <v>#NUM!</v>
      </c>
      <c r="C127" t="e">
        <f t="shared" ca="1" si="2"/>
        <v>#NUM!</v>
      </c>
    </row>
    <row r="128" spans="1:3" x14ac:dyDescent="0.25">
      <c r="A128" t="e">
        <f ca="1">"Salle" &amp; RANDBETWEEN(1,Settings!$B$3)</f>
        <v>#NUM!</v>
      </c>
      <c r="B128" t="e">
        <f ca="1">"Salle" &amp; RANDBETWEEN(1,Settings!$B$3)</f>
        <v>#NUM!</v>
      </c>
      <c r="C128" t="e">
        <f t="shared" ca="1" si="2"/>
        <v>#NUM!</v>
      </c>
    </row>
    <row r="129" spans="1:3" x14ac:dyDescent="0.25">
      <c r="A129" t="e">
        <f ca="1">"Salle" &amp; RANDBETWEEN(1,Settings!$B$3)</f>
        <v>#NUM!</v>
      </c>
      <c r="B129" t="e">
        <f ca="1">"Salle" &amp; RANDBETWEEN(1,Settings!$B$3)</f>
        <v>#NUM!</v>
      </c>
      <c r="C129" t="e">
        <f t="shared" ca="1" si="2"/>
        <v>#NUM!</v>
      </c>
    </row>
    <row r="130" spans="1:3" x14ac:dyDescent="0.25">
      <c r="A130" t="e">
        <f ca="1">"Salle" &amp; RANDBETWEEN(1,Settings!$B$3)</f>
        <v>#NUM!</v>
      </c>
      <c r="B130" t="e">
        <f ca="1">"Salle" &amp; RANDBETWEEN(1,Settings!$B$3)</f>
        <v>#NUM!</v>
      </c>
      <c r="C130" t="e">
        <f t="shared" ca="1" si="2"/>
        <v>#NUM!</v>
      </c>
    </row>
    <row r="131" spans="1:3" x14ac:dyDescent="0.25">
      <c r="A131" t="e">
        <f ca="1">"Salle" &amp; RANDBETWEEN(1,Settings!$B$3)</f>
        <v>#NUM!</v>
      </c>
      <c r="B131" t="e">
        <f ca="1">"Salle" &amp; RANDBETWEEN(1,Settings!$B$3)</f>
        <v>#NUM!</v>
      </c>
      <c r="C131" t="e">
        <f t="shared" ca="1" si="2"/>
        <v>#NUM!</v>
      </c>
    </row>
    <row r="132" spans="1:3" x14ac:dyDescent="0.25">
      <c r="A132" t="e">
        <f ca="1">"Salle" &amp; RANDBETWEEN(1,Settings!$B$3)</f>
        <v>#NUM!</v>
      </c>
      <c r="B132" t="e">
        <f ca="1">"Salle" &amp; RANDBETWEEN(1,Settings!$B$3)</f>
        <v>#NUM!</v>
      </c>
      <c r="C132" t="e">
        <f t="shared" ca="1" si="2"/>
        <v>#NUM!</v>
      </c>
    </row>
    <row r="133" spans="1:3" x14ac:dyDescent="0.25">
      <c r="A133" t="e">
        <f ca="1">"Salle" &amp; RANDBETWEEN(1,Settings!$B$3)</f>
        <v>#NUM!</v>
      </c>
      <c r="B133" t="e">
        <f ca="1">"Salle" &amp; RANDBETWEEN(1,Settings!$B$3)</f>
        <v>#NUM!</v>
      </c>
      <c r="C133" t="e">
        <f t="shared" ref="C133:C196" ca="1" si="3">IF(A133=B133,0,RANDBETWEEN(5,500))</f>
        <v>#NUM!</v>
      </c>
    </row>
    <row r="134" spans="1:3" x14ac:dyDescent="0.25">
      <c r="A134" t="e">
        <f ca="1">"Salle" &amp; RANDBETWEEN(1,Settings!$B$3)</f>
        <v>#NUM!</v>
      </c>
      <c r="B134" t="e">
        <f ca="1">"Salle" &amp; RANDBETWEEN(1,Settings!$B$3)</f>
        <v>#NUM!</v>
      </c>
      <c r="C134" t="e">
        <f t="shared" ca="1" si="3"/>
        <v>#NUM!</v>
      </c>
    </row>
    <row r="135" spans="1:3" x14ac:dyDescent="0.25">
      <c r="A135" t="e">
        <f ca="1">"Salle" &amp; RANDBETWEEN(1,Settings!$B$3)</f>
        <v>#NUM!</v>
      </c>
      <c r="B135" t="e">
        <f ca="1">"Salle" &amp; RANDBETWEEN(1,Settings!$B$3)</f>
        <v>#NUM!</v>
      </c>
      <c r="C135" t="e">
        <f t="shared" ca="1" si="3"/>
        <v>#NUM!</v>
      </c>
    </row>
    <row r="136" spans="1:3" x14ac:dyDescent="0.25">
      <c r="A136" t="e">
        <f ca="1">"Salle" &amp; RANDBETWEEN(1,Settings!$B$3)</f>
        <v>#NUM!</v>
      </c>
      <c r="B136" t="e">
        <f ca="1">"Salle" &amp; RANDBETWEEN(1,Settings!$B$3)</f>
        <v>#NUM!</v>
      </c>
      <c r="C136" t="e">
        <f t="shared" ca="1" si="3"/>
        <v>#NUM!</v>
      </c>
    </row>
    <row r="137" spans="1:3" x14ac:dyDescent="0.25">
      <c r="A137" t="e">
        <f ca="1">"Salle" &amp; RANDBETWEEN(1,Settings!$B$3)</f>
        <v>#NUM!</v>
      </c>
      <c r="B137" t="e">
        <f ca="1">"Salle" &amp; RANDBETWEEN(1,Settings!$B$3)</f>
        <v>#NUM!</v>
      </c>
      <c r="C137" t="e">
        <f t="shared" ca="1" si="3"/>
        <v>#NUM!</v>
      </c>
    </row>
    <row r="138" spans="1:3" x14ac:dyDescent="0.25">
      <c r="A138" t="e">
        <f ca="1">"Salle" &amp; RANDBETWEEN(1,Settings!$B$3)</f>
        <v>#NUM!</v>
      </c>
      <c r="B138" t="e">
        <f ca="1">"Salle" &amp; RANDBETWEEN(1,Settings!$B$3)</f>
        <v>#NUM!</v>
      </c>
      <c r="C138" t="e">
        <f t="shared" ca="1" si="3"/>
        <v>#NUM!</v>
      </c>
    </row>
    <row r="139" spans="1:3" x14ac:dyDescent="0.25">
      <c r="A139" t="e">
        <f ca="1">"Salle" &amp; RANDBETWEEN(1,Settings!$B$3)</f>
        <v>#NUM!</v>
      </c>
      <c r="B139" t="e">
        <f ca="1">"Salle" &amp; RANDBETWEEN(1,Settings!$B$3)</f>
        <v>#NUM!</v>
      </c>
      <c r="C139" t="e">
        <f t="shared" ca="1" si="3"/>
        <v>#NUM!</v>
      </c>
    </row>
    <row r="140" spans="1:3" x14ac:dyDescent="0.25">
      <c r="A140" t="e">
        <f ca="1">"Salle" &amp; RANDBETWEEN(1,Settings!$B$3)</f>
        <v>#NUM!</v>
      </c>
      <c r="B140" t="e">
        <f ca="1">"Salle" &amp; RANDBETWEEN(1,Settings!$B$3)</f>
        <v>#NUM!</v>
      </c>
      <c r="C140" t="e">
        <f t="shared" ca="1" si="3"/>
        <v>#NUM!</v>
      </c>
    </row>
    <row r="141" spans="1:3" x14ac:dyDescent="0.25">
      <c r="A141" t="e">
        <f ca="1">"Salle" &amp; RANDBETWEEN(1,Settings!$B$3)</f>
        <v>#NUM!</v>
      </c>
      <c r="B141" t="e">
        <f ca="1">"Salle" &amp; RANDBETWEEN(1,Settings!$B$3)</f>
        <v>#NUM!</v>
      </c>
      <c r="C141" t="e">
        <f t="shared" ca="1" si="3"/>
        <v>#NUM!</v>
      </c>
    </row>
    <row r="142" spans="1:3" x14ac:dyDescent="0.25">
      <c r="A142" t="e">
        <f ca="1">"Salle" &amp; RANDBETWEEN(1,Settings!$B$3)</f>
        <v>#NUM!</v>
      </c>
      <c r="B142" t="e">
        <f ca="1">"Salle" &amp; RANDBETWEEN(1,Settings!$B$3)</f>
        <v>#NUM!</v>
      </c>
      <c r="C142" t="e">
        <f t="shared" ca="1" si="3"/>
        <v>#NUM!</v>
      </c>
    </row>
    <row r="143" spans="1:3" x14ac:dyDescent="0.25">
      <c r="A143" t="e">
        <f ca="1">"Salle" &amp; RANDBETWEEN(1,Settings!$B$3)</f>
        <v>#NUM!</v>
      </c>
      <c r="B143" t="e">
        <f ca="1">"Salle" &amp; RANDBETWEEN(1,Settings!$B$3)</f>
        <v>#NUM!</v>
      </c>
      <c r="C143" t="e">
        <f t="shared" ca="1" si="3"/>
        <v>#NUM!</v>
      </c>
    </row>
    <row r="144" spans="1:3" x14ac:dyDescent="0.25">
      <c r="A144" t="e">
        <f ca="1">"Salle" &amp; RANDBETWEEN(1,Settings!$B$3)</f>
        <v>#NUM!</v>
      </c>
      <c r="B144" t="e">
        <f ca="1">"Salle" &amp; RANDBETWEEN(1,Settings!$B$3)</f>
        <v>#NUM!</v>
      </c>
      <c r="C144" t="e">
        <f t="shared" ca="1" si="3"/>
        <v>#NUM!</v>
      </c>
    </row>
    <row r="145" spans="1:3" x14ac:dyDescent="0.25">
      <c r="A145" t="e">
        <f ca="1">"Salle" &amp; RANDBETWEEN(1,Settings!$B$3)</f>
        <v>#NUM!</v>
      </c>
      <c r="B145" t="e">
        <f ca="1">"Salle" &amp; RANDBETWEEN(1,Settings!$B$3)</f>
        <v>#NUM!</v>
      </c>
      <c r="C145" t="e">
        <f t="shared" ca="1" si="3"/>
        <v>#NUM!</v>
      </c>
    </row>
    <row r="146" spans="1:3" x14ac:dyDescent="0.25">
      <c r="A146" t="e">
        <f ca="1">"Salle" &amp; RANDBETWEEN(1,Settings!$B$3)</f>
        <v>#NUM!</v>
      </c>
      <c r="B146" t="e">
        <f ca="1">"Salle" &amp; RANDBETWEEN(1,Settings!$B$3)</f>
        <v>#NUM!</v>
      </c>
      <c r="C146" t="e">
        <f t="shared" ca="1" si="3"/>
        <v>#NUM!</v>
      </c>
    </row>
    <row r="147" spans="1:3" x14ac:dyDescent="0.25">
      <c r="A147" t="e">
        <f ca="1">"Salle" &amp; RANDBETWEEN(1,Settings!$B$3)</f>
        <v>#NUM!</v>
      </c>
      <c r="B147" t="e">
        <f ca="1">"Salle" &amp; RANDBETWEEN(1,Settings!$B$3)</f>
        <v>#NUM!</v>
      </c>
      <c r="C147" t="e">
        <f t="shared" ca="1" si="3"/>
        <v>#NUM!</v>
      </c>
    </row>
    <row r="148" spans="1:3" x14ac:dyDescent="0.25">
      <c r="A148" t="e">
        <f ca="1">"Salle" &amp; RANDBETWEEN(1,Settings!$B$3)</f>
        <v>#NUM!</v>
      </c>
      <c r="B148" t="e">
        <f ca="1">"Salle" &amp; RANDBETWEEN(1,Settings!$B$3)</f>
        <v>#NUM!</v>
      </c>
      <c r="C148" t="e">
        <f t="shared" ca="1" si="3"/>
        <v>#NUM!</v>
      </c>
    </row>
    <row r="149" spans="1:3" x14ac:dyDescent="0.25">
      <c r="A149" t="e">
        <f ca="1">"Salle" &amp; RANDBETWEEN(1,Settings!$B$3)</f>
        <v>#NUM!</v>
      </c>
      <c r="B149" t="e">
        <f ca="1">"Salle" &amp; RANDBETWEEN(1,Settings!$B$3)</f>
        <v>#NUM!</v>
      </c>
      <c r="C149" t="e">
        <f t="shared" ca="1" si="3"/>
        <v>#NUM!</v>
      </c>
    </row>
    <row r="150" spans="1:3" x14ac:dyDescent="0.25">
      <c r="A150" t="e">
        <f ca="1">"Salle" &amp; RANDBETWEEN(1,Settings!$B$3)</f>
        <v>#NUM!</v>
      </c>
      <c r="B150" t="e">
        <f ca="1">"Salle" &amp; RANDBETWEEN(1,Settings!$B$3)</f>
        <v>#NUM!</v>
      </c>
      <c r="C150" t="e">
        <f t="shared" ca="1" si="3"/>
        <v>#NUM!</v>
      </c>
    </row>
    <row r="151" spans="1:3" x14ac:dyDescent="0.25">
      <c r="A151" t="e">
        <f ca="1">"Salle" &amp; RANDBETWEEN(1,Settings!$B$3)</f>
        <v>#NUM!</v>
      </c>
      <c r="B151" t="e">
        <f ca="1">"Salle" &amp; RANDBETWEEN(1,Settings!$B$3)</f>
        <v>#NUM!</v>
      </c>
      <c r="C151" t="e">
        <f t="shared" ca="1" si="3"/>
        <v>#NUM!</v>
      </c>
    </row>
    <row r="152" spans="1:3" x14ac:dyDescent="0.25">
      <c r="A152" t="e">
        <f ca="1">"Salle" &amp; RANDBETWEEN(1,Settings!$B$3)</f>
        <v>#NUM!</v>
      </c>
      <c r="B152" t="e">
        <f ca="1">"Salle" &amp; RANDBETWEEN(1,Settings!$B$3)</f>
        <v>#NUM!</v>
      </c>
      <c r="C152" t="e">
        <f t="shared" ca="1" si="3"/>
        <v>#NUM!</v>
      </c>
    </row>
    <row r="153" spans="1:3" x14ac:dyDescent="0.25">
      <c r="A153" t="e">
        <f ca="1">"Salle" &amp; RANDBETWEEN(1,Settings!$B$3)</f>
        <v>#NUM!</v>
      </c>
      <c r="B153" t="e">
        <f ca="1">"Salle" &amp; RANDBETWEEN(1,Settings!$B$3)</f>
        <v>#NUM!</v>
      </c>
      <c r="C153" t="e">
        <f t="shared" ca="1" si="3"/>
        <v>#NUM!</v>
      </c>
    </row>
    <row r="154" spans="1:3" x14ac:dyDescent="0.25">
      <c r="A154" t="e">
        <f ca="1">"Salle" &amp; RANDBETWEEN(1,Settings!$B$3)</f>
        <v>#NUM!</v>
      </c>
      <c r="B154" t="e">
        <f ca="1">"Salle" &amp; RANDBETWEEN(1,Settings!$B$3)</f>
        <v>#NUM!</v>
      </c>
      <c r="C154" t="e">
        <f t="shared" ca="1" si="3"/>
        <v>#NUM!</v>
      </c>
    </row>
    <row r="155" spans="1:3" x14ac:dyDescent="0.25">
      <c r="A155" t="e">
        <f ca="1">"Salle" &amp; RANDBETWEEN(1,Settings!$B$3)</f>
        <v>#NUM!</v>
      </c>
      <c r="B155" t="e">
        <f ca="1">"Salle" &amp; RANDBETWEEN(1,Settings!$B$3)</f>
        <v>#NUM!</v>
      </c>
      <c r="C155" t="e">
        <f t="shared" ca="1" si="3"/>
        <v>#NUM!</v>
      </c>
    </row>
    <row r="156" spans="1:3" x14ac:dyDescent="0.25">
      <c r="A156" t="e">
        <f ca="1">"Salle" &amp; RANDBETWEEN(1,Settings!$B$3)</f>
        <v>#NUM!</v>
      </c>
      <c r="B156" t="e">
        <f ca="1">"Salle" &amp; RANDBETWEEN(1,Settings!$B$3)</f>
        <v>#NUM!</v>
      </c>
      <c r="C156" t="e">
        <f t="shared" ca="1" si="3"/>
        <v>#NUM!</v>
      </c>
    </row>
    <row r="157" spans="1:3" x14ac:dyDescent="0.25">
      <c r="A157" t="e">
        <f ca="1">"Salle" &amp; RANDBETWEEN(1,Settings!$B$3)</f>
        <v>#NUM!</v>
      </c>
      <c r="B157" t="e">
        <f ca="1">"Salle" &amp; RANDBETWEEN(1,Settings!$B$3)</f>
        <v>#NUM!</v>
      </c>
      <c r="C157" t="e">
        <f t="shared" ca="1" si="3"/>
        <v>#NUM!</v>
      </c>
    </row>
    <row r="158" spans="1:3" x14ac:dyDescent="0.25">
      <c r="A158" t="e">
        <f ca="1">"Salle" &amp; RANDBETWEEN(1,Settings!$B$3)</f>
        <v>#NUM!</v>
      </c>
      <c r="B158" t="e">
        <f ca="1">"Salle" &amp; RANDBETWEEN(1,Settings!$B$3)</f>
        <v>#NUM!</v>
      </c>
      <c r="C158" t="e">
        <f t="shared" ca="1" si="3"/>
        <v>#NUM!</v>
      </c>
    </row>
    <row r="159" spans="1:3" x14ac:dyDescent="0.25">
      <c r="A159" t="e">
        <f ca="1">"Salle" &amp; RANDBETWEEN(1,Settings!$B$3)</f>
        <v>#NUM!</v>
      </c>
      <c r="B159" t="e">
        <f ca="1">"Salle" &amp; RANDBETWEEN(1,Settings!$B$3)</f>
        <v>#NUM!</v>
      </c>
      <c r="C159" t="e">
        <f t="shared" ca="1" si="3"/>
        <v>#NUM!</v>
      </c>
    </row>
    <row r="160" spans="1:3" x14ac:dyDescent="0.25">
      <c r="A160" t="e">
        <f ca="1">"Salle" &amp; RANDBETWEEN(1,Settings!$B$3)</f>
        <v>#NUM!</v>
      </c>
      <c r="B160" t="e">
        <f ca="1">"Salle" &amp; RANDBETWEEN(1,Settings!$B$3)</f>
        <v>#NUM!</v>
      </c>
      <c r="C160" t="e">
        <f t="shared" ca="1" si="3"/>
        <v>#NUM!</v>
      </c>
    </row>
    <row r="161" spans="1:3" x14ac:dyDescent="0.25">
      <c r="A161" t="e">
        <f ca="1">"Salle" &amp; RANDBETWEEN(1,Settings!$B$3)</f>
        <v>#NUM!</v>
      </c>
      <c r="B161" t="e">
        <f ca="1">"Salle" &amp; RANDBETWEEN(1,Settings!$B$3)</f>
        <v>#NUM!</v>
      </c>
      <c r="C161" t="e">
        <f t="shared" ca="1" si="3"/>
        <v>#NUM!</v>
      </c>
    </row>
    <row r="162" spans="1:3" x14ac:dyDescent="0.25">
      <c r="A162" t="e">
        <f ca="1">"Salle" &amp; RANDBETWEEN(1,Settings!$B$3)</f>
        <v>#NUM!</v>
      </c>
      <c r="B162" t="e">
        <f ca="1">"Salle" &amp; RANDBETWEEN(1,Settings!$B$3)</f>
        <v>#NUM!</v>
      </c>
      <c r="C162" t="e">
        <f t="shared" ca="1" si="3"/>
        <v>#NUM!</v>
      </c>
    </row>
    <row r="163" spans="1:3" x14ac:dyDescent="0.25">
      <c r="A163" t="e">
        <f ca="1">"Salle" &amp; RANDBETWEEN(1,Settings!$B$3)</f>
        <v>#NUM!</v>
      </c>
      <c r="B163" t="e">
        <f ca="1">"Salle" &amp; RANDBETWEEN(1,Settings!$B$3)</f>
        <v>#NUM!</v>
      </c>
      <c r="C163" t="e">
        <f t="shared" ca="1" si="3"/>
        <v>#NUM!</v>
      </c>
    </row>
    <row r="164" spans="1:3" x14ac:dyDescent="0.25">
      <c r="A164" t="e">
        <f ca="1">"Salle" &amp; RANDBETWEEN(1,Settings!$B$3)</f>
        <v>#NUM!</v>
      </c>
      <c r="B164" t="e">
        <f ca="1">"Salle" &amp; RANDBETWEEN(1,Settings!$B$3)</f>
        <v>#NUM!</v>
      </c>
      <c r="C164" t="e">
        <f t="shared" ca="1" si="3"/>
        <v>#NUM!</v>
      </c>
    </row>
    <row r="165" spans="1:3" x14ac:dyDescent="0.25">
      <c r="A165" t="e">
        <f ca="1">"Salle" &amp; RANDBETWEEN(1,Settings!$B$3)</f>
        <v>#NUM!</v>
      </c>
      <c r="B165" t="e">
        <f ca="1">"Salle" &amp; RANDBETWEEN(1,Settings!$B$3)</f>
        <v>#NUM!</v>
      </c>
      <c r="C165" t="e">
        <f t="shared" ca="1" si="3"/>
        <v>#NUM!</v>
      </c>
    </row>
    <row r="166" spans="1:3" x14ac:dyDescent="0.25">
      <c r="A166" t="e">
        <f ca="1">"Salle" &amp; RANDBETWEEN(1,Settings!$B$3)</f>
        <v>#NUM!</v>
      </c>
      <c r="B166" t="e">
        <f ca="1">"Salle" &amp; RANDBETWEEN(1,Settings!$B$3)</f>
        <v>#NUM!</v>
      </c>
      <c r="C166" t="e">
        <f t="shared" ca="1" si="3"/>
        <v>#NUM!</v>
      </c>
    </row>
    <row r="167" spans="1:3" x14ac:dyDescent="0.25">
      <c r="A167" t="e">
        <f ca="1">"Salle" &amp; RANDBETWEEN(1,Settings!$B$3)</f>
        <v>#NUM!</v>
      </c>
      <c r="B167" t="e">
        <f ca="1">"Salle" &amp; RANDBETWEEN(1,Settings!$B$3)</f>
        <v>#NUM!</v>
      </c>
      <c r="C167" t="e">
        <f t="shared" ca="1" si="3"/>
        <v>#NUM!</v>
      </c>
    </row>
    <row r="168" spans="1:3" x14ac:dyDescent="0.25">
      <c r="A168" t="e">
        <f ca="1">"Salle" &amp; RANDBETWEEN(1,Settings!$B$3)</f>
        <v>#NUM!</v>
      </c>
      <c r="B168" t="e">
        <f ca="1">"Salle" &amp; RANDBETWEEN(1,Settings!$B$3)</f>
        <v>#NUM!</v>
      </c>
      <c r="C168" t="e">
        <f t="shared" ca="1" si="3"/>
        <v>#NUM!</v>
      </c>
    </row>
    <row r="169" spans="1:3" x14ac:dyDescent="0.25">
      <c r="A169" t="e">
        <f ca="1">"Salle" &amp; RANDBETWEEN(1,Settings!$B$3)</f>
        <v>#NUM!</v>
      </c>
      <c r="B169" t="e">
        <f ca="1">"Salle" &amp; RANDBETWEEN(1,Settings!$B$3)</f>
        <v>#NUM!</v>
      </c>
      <c r="C169" t="e">
        <f t="shared" ca="1" si="3"/>
        <v>#NUM!</v>
      </c>
    </row>
    <row r="170" spans="1:3" x14ac:dyDescent="0.25">
      <c r="A170" t="e">
        <f ca="1">"Salle" &amp; RANDBETWEEN(1,Settings!$B$3)</f>
        <v>#NUM!</v>
      </c>
      <c r="B170" t="e">
        <f ca="1">"Salle" &amp; RANDBETWEEN(1,Settings!$B$3)</f>
        <v>#NUM!</v>
      </c>
      <c r="C170" t="e">
        <f t="shared" ca="1" si="3"/>
        <v>#NUM!</v>
      </c>
    </row>
    <row r="171" spans="1:3" x14ac:dyDescent="0.25">
      <c r="A171" t="e">
        <f ca="1">"Salle" &amp; RANDBETWEEN(1,Settings!$B$3)</f>
        <v>#NUM!</v>
      </c>
      <c r="B171" t="e">
        <f ca="1">"Salle" &amp; RANDBETWEEN(1,Settings!$B$3)</f>
        <v>#NUM!</v>
      </c>
      <c r="C171" t="e">
        <f t="shared" ca="1" si="3"/>
        <v>#NUM!</v>
      </c>
    </row>
    <row r="172" spans="1:3" x14ac:dyDescent="0.25">
      <c r="A172" t="e">
        <f ca="1">"Salle" &amp; RANDBETWEEN(1,Settings!$B$3)</f>
        <v>#NUM!</v>
      </c>
      <c r="B172" t="e">
        <f ca="1">"Salle" &amp; RANDBETWEEN(1,Settings!$B$3)</f>
        <v>#NUM!</v>
      </c>
      <c r="C172" t="e">
        <f t="shared" ca="1" si="3"/>
        <v>#NUM!</v>
      </c>
    </row>
    <row r="173" spans="1:3" x14ac:dyDescent="0.25">
      <c r="A173" t="e">
        <f ca="1">"Salle" &amp; RANDBETWEEN(1,Settings!$B$3)</f>
        <v>#NUM!</v>
      </c>
      <c r="B173" t="e">
        <f ca="1">"Salle" &amp; RANDBETWEEN(1,Settings!$B$3)</f>
        <v>#NUM!</v>
      </c>
      <c r="C173" t="e">
        <f t="shared" ca="1" si="3"/>
        <v>#NUM!</v>
      </c>
    </row>
    <row r="174" spans="1:3" x14ac:dyDescent="0.25">
      <c r="A174" t="e">
        <f ca="1">"Salle" &amp; RANDBETWEEN(1,Settings!$B$3)</f>
        <v>#NUM!</v>
      </c>
      <c r="B174" t="e">
        <f ca="1">"Salle" &amp; RANDBETWEEN(1,Settings!$B$3)</f>
        <v>#NUM!</v>
      </c>
      <c r="C174" t="e">
        <f t="shared" ca="1" si="3"/>
        <v>#NUM!</v>
      </c>
    </row>
    <row r="175" spans="1:3" x14ac:dyDescent="0.25">
      <c r="A175" t="e">
        <f ca="1">"Salle" &amp; RANDBETWEEN(1,Settings!$B$3)</f>
        <v>#NUM!</v>
      </c>
      <c r="B175" t="e">
        <f ca="1">"Salle" &amp; RANDBETWEEN(1,Settings!$B$3)</f>
        <v>#NUM!</v>
      </c>
      <c r="C175" t="e">
        <f t="shared" ca="1" si="3"/>
        <v>#NUM!</v>
      </c>
    </row>
    <row r="176" spans="1:3" x14ac:dyDescent="0.25">
      <c r="A176" t="e">
        <f ca="1">"Salle" &amp; RANDBETWEEN(1,Settings!$B$3)</f>
        <v>#NUM!</v>
      </c>
      <c r="B176" t="e">
        <f ca="1">"Salle" &amp; RANDBETWEEN(1,Settings!$B$3)</f>
        <v>#NUM!</v>
      </c>
      <c r="C176" t="e">
        <f t="shared" ca="1" si="3"/>
        <v>#NUM!</v>
      </c>
    </row>
    <row r="177" spans="1:3" x14ac:dyDescent="0.25">
      <c r="A177" t="e">
        <f ca="1">"Salle" &amp; RANDBETWEEN(1,Settings!$B$3)</f>
        <v>#NUM!</v>
      </c>
      <c r="B177" t="e">
        <f ca="1">"Salle" &amp; RANDBETWEEN(1,Settings!$B$3)</f>
        <v>#NUM!</v>
      </c>
      <c r="C177" t="e">
        <f t="shared" ca="1" si="3"/>
        <v>#NUM!</v>
      </c>
    </row>
    <row r="178" spans="1:3" x14ac:dyDescent="0.25">
      <c r="A178" t="e">
        <f ca="1">"Salle" &amp; RANDBETWEEN(1,Settings!$B$3)</f>
        <v>#NUM!</v>
      </c>
      <c r="B178" t="e">
        <f ca="1">"Salle" &amp; RANDBETWEEN(1,Settings!$B$3)</f>
        <v>#NUM!</v>
      </c>
      <c r="C178" t="e">
        <f t="shared" ca="1" si="3"/>
        <v>#NUM!</v>
      </c>
    </row>
    <row r="179" spans="1:3" x14ac:dyDescent="0.25">
      <c r="A179" t="e">
        <f ca="1">"Salle" &amp; RANDBETWEEN(1,Settings!$B$3)</f>
        <v>#NUM!</v>
      </c>
      <c r="B179" t="e">
        <f ca="1">"Salle" &amp; RANDBETWEEN(1,Settings!$B$3)</f>
        <v>#NUM!</v>
      </c>
      <c r="C179" t="e">
        <f t="shared" ca="1" si="3"/>
        <v>#NUM!</v>
      </c>
    </row>
    <row r="180" spans="1:3" x14ac:dyDescent="0.25">
      <c r="A180" t="e">
        <f ca="1">"Salle" &amp; RANDBETWEEN(1,Settings!$B$3)</f>
        <v>#NUM!</v>
      </c>
      <c r="B180" t="e">
        <f ca="1">"Salle" &amp; RANDBETWEEN(1,Settings!$B$3)</f>
        <v>#NUM!</v>
      </c>
      <c r="C180" t="e">
        <f t="shared" ca="1" si="3"/>
        <v>#NUM!</v>
      </c>
    </row>
    <row r="181" spans="1:3" x14ac:dyDescent="0.25">
      <c r="A181" t="e">
        <f ca="1">"Salle" &amp; RANDBETWEEN(1,Settings!$B$3)</f>
        <v>#NUM!</v>
      </c>
      <c r="B181" t="e">
        <f ca="1">"Salle" &amp; RANDBETWEEN(1,Settings!$B$3)</f>
        <v>#NUM!</v>
      </c>
      <c r="C181" t="e">
        <f t="shared" ca="1" si="3"/>
        <v>#NUM!</v>
      </c>
    </row>
    <row r="182" spans="1:3" x14ac:dyDescent="0.25">
      <c r="A182" t="e">
        <f ca="1">"Salle" &amp; RANDBETWEEN(1,Settings!$B$3)</f>
        <v>#NUM!</v>
      </c>
      <c r="B182" t="e">
        <f ca="1">"Salle" &amp; RANDBETWEEN(1,Settings!$B$3)</f>
        <v>#NUM!</v>
      </c>
      <c r="C182" t="e">
        <f t="shared" ca="1" si="3"/>
        <v>#NUM!</v>
      </c>
    </row>
    <row r="183" spans="1:3" x14ac:dyDescent="0.25">
      <c r="A183" t="e">
        <f ca="1">"Salle" &amp; RANDBETWEEN(1,Settings!$B$3)</f>
        <v>#NUM!</v>
      </c>
      <c r="B183" t="e">
        <f ca="1">"Salle" &amp; RANDBETWEEN(1,Settings!$B$3)</f>
        <v>#NUM!</v>
      </c>
      <c r="C183" t="e">
        <f t="shared" ca="1" si="3"/>
        <v>#NUM!</v>
      </c>
    </row>
    <row r="184" spans="1:3" x14ac:dyDescent="0.25">
      <c r="A184" t="e">
        <f ca="1">"Salle" &amp; RANDBETWEEN(1,Settings!$B$3)</f>
        <v>#NUM!</v>
      </c>
      <c r="B184" t="e">
        <f ca="1">"Salle" &amp; RANDBETWEEN(1,Settings!$B$3)</f>
        <v>#NUM!</v>
      </c>
      <c r="C184" t="e">
        <f t="shared" ca="1" si="3"/>
        <v>#NUM!</v>
      </c>
    </row>
    <row r="185" spans="1:3" x14ac:dyDescent="0.25">
      <c r="A185" t="e">
        <f ca="1">"Salle" &amp; RANDBETWEEN(1,Settings!$B$3)</f>
        <v>#NUM!</v>
      </c>
      <c r="B185" t="e">
        <f ca="1">"Salle" &amp; RANDBETWEEN(1,Settings!$B$3)</f>
        <v>#NUM!</v>
      </c>
      <c r="C185" t="e">
        <f t="shared" ca="1" si="3"/>
        <v>#NUM!</v>
      </c>
    </row>
    <row r="186" spans="1:3" x14ac:dyDescent="0.25">
      <c r="A186" t="e">
        <f ca="1">"Salle" &amp; RANDBETWEEN(1,Settings!$B$3)</f>
        <v>#NUM!</v>
      </c>
      <c r="B186" t="e">
        <f ca="1">"Salle" &amp; RANDBETWEEN(1,Settings!$B$3)</f>
        <v>#NUM!</v>
      </c>
      <c r="C186" t="e">
        <f t="shared" ca="1" si="3"/>
        <v>#NUM!</v>
      </c>
    </row>
    <row r="187" spans="1:3" x14ac:dyDescent="0.25">
      <c r="A187" t="e">
        <f ca="1">"Salle" &amp; RANDBETWEEN(1,Settings!$B$3)</f>
        <v>#NUM!</v>
      </c>
      <c r="B187" t="e">
        <f ca="1">"Salle" &amp; RANDBETWEEN(1,Settings!$B$3)</f>
        <v>#NUM!</v>
      </c>
      <c r="C187" t="e">
        <f t="shared" ca="1" si="3"/>
        <v>#NUM!</v>
      </c>
    </row>
    <row r="188" spans="1:3" x14ac:dyDescent="0.25">
      <c r="A188" t="e">
        <f ca="1">"Salle" &amp; RANDBETWEEN(1,Settings!$B$3)</f>
        <v>#NUM!</v>
      </c>
      <c r="B188" t="e">
        <f ca="1">"Salle" &amp; RANDBETWEEN(1,Settings!$B$3)</f>
        <v>#NUM!</v>
      </c>
      <c r="C188" t="e">
        <f t="shared" ca="1" si="3"/>
        <v>#NUM!</v>
      </c>
    </row>
    <row r="189" spans="1:3" x14ac:dyDescent="0.25">
      <c r="A189" t="e">
        <f ca="1">"Salle" &amp; RANDBETWEEN(1,Settings!$B$3)</f>
        <v>#NUM!</v>
      </c>
      <c r="B189" t="e">
        <f ca="1">"Salle" &amp; RANDBETWEEN(1,Settings!$B$3)</f>
        <v>#NUM!</v>
      </c>
      <c r="C189" t="e">
        <f t="shared" ca="1" si="3"/>
        <v>#NUM!</v>
      </c>
    </row>
    <row r="190" spans="1:3" x14ac:dyDescent="0.25">
      <c r="A190" t="e">
        <f ca="1">"Salle" &amp; RANDBETWEEN(1,Settings!$B$3)</f>
        <v>#NUM!</v>
      </c>
      <c r="B190" t="e">
        <f ca="1">"Salle" &amp; RANDBETWEEN(1,Settings!$B$3)</f>
        <v>#NUM!</v>
      </c>
      <c r="C190" t="e">
        <f t="shared" ca="1" si="3"/>
        <v>#NUM!</v>
      </c>
    </row>
    <row r="191" spans="1:3" x14ac:dyDescent="0.25">
      <c r="A191" t="e">
        <f ca="1">"Salle" &amp; RANDBETWEEN(1,Settings!$B$3)</f>
        <v>#NUM!</v>
      </c>
      <c r="B191" t="e">
        <f ca="1">"Salle" &amp; RANDBETWEEN(1,Settings!$B$3)</f>
        <v>#NUM!</v>
      </c>
      <c r="C191" t="e">
        <f t="shared" ca="1" si="3"/>
        <v>#NUM!</v>
      </c>
    </row>
    <row r="192" spans="1:3" x14ac:dyDescent="0.25">
      <c r="A192" t="e">
        <f ca="1">"Salle" &amp; RANDBETWEEN(1,Settings!$B$3)</f>
        <v>#NUM!</v>
      </c>
      <c r="B192" t="e">
        <f ca="1">"Salle" &amp; RANDBETWEEN(1,Settings!$B$3)</f>
        <v>#NUM!</v>
      </c>
      <c r="C192" t="e">
        <f t="shared" ca="1" si="3"/>
        <v>#NUM!</v>
      </c>
    </row>
    <row r="193" spans="1:3" x14ac:dyDescent="0.25">
      <c r="A193" t="e">
        <f ca="1">"Salle" &amp; RANDBETWEEN(1,Settings!$B$3)</f>
        <v>#NUM!</v>
      </c>
      <c r="B193" t="e">
        <f ca="1">"Salle" &amp; RANDBETWEEN(1,Settings!$B$3)</f>
        <v>#NUM!</v>
      </c>
      <c r="C193" t="e">
        <f t="shared" ca="1" si="3"/>
        <v>#NUM!</v>
      </c>
    </row>
    <row r="194" spans="1:3" x14ac:dyDescent="0.25">
      <c r="A194" t="e">
        <f ca="1">"Salle" &amp; RANDBETWEEN(1,Settings!$B$3)</f>
        <v>#NUM!</v>
      </c>
      <c r="B194" t="e">
        <f ca="1">"Salle" &amp; RANDBETWEEN(1,Settings!$B$3)</f>
        <v>#NUM!</v>
      </c>
      <c r="C194" t="e">
        <f t="shared" ca="1" si="3"/>
        <v>#NUM!</v>
      </c>
    </row>
    <row r="195" spans="1:3" x14ac:dyDescent="0.25">
      <c r="A195" t="e">
        <f ca="1">"Salle" &amp; RANDBETWEEN(1,Settings!$B$3)</f>
        <v>#NUM!</v>
      </c>
      <c r="B195" t="e">
        <f ca="1">"Salle" &amp; RANDBETWEEN(1,Settings!$B$3)</f>
        <v>#NUM!</v>
      </c>
      <c r="C195" t="e">
        <f t="shared" ca="1" si="3"/>
        <v>#NUM!</v>
      </c>
    </row>
    <row r="196" spans="1:3" x14ac:dyDescent="0.25">
      <c r="A196" t="e">
        <f ca="1">"Salle" &amp; RANDBETWEEN(1,Settings!$B$3)</f>
        <v>#NUM!</v>
      </c>
      <c r="B196" t="e">
        <f ca="1">"Salle" &amp; RANDBETWEEN(1,Settings!$B$3)</f>
        <v>#NUM!</v>
      </c>
      <c r="C196" t="e">
        <f t="shared" ca="1" si="3"/>
        <v>#NUM!</v>
      </c>
    </row>
    <row r="197" spans="1:3" x14ac:dyDescent="0.25">
      <c r="A197" t="e">
        <f ca="1">"Salle" &amp; RANDBETWEEN(1,Settings!$B$3)</f>
        <v>#NUM!</v>
      </c>
      <c r="B197" t="e">
        <f ca="1">"Salle" &amp; RANDBETWEEN(1,Settings!$B$3)</f>
        <v>#NUM!</v>
      </c>
      <c r="C197" t="e">
        <f t="shared" ref="C197:C224" ca="1" si="4">IF(A197=B197,0,RANDBETWEEN(5,500))</f>
        <v>#NUM!</v>
      </c>
    </row>
    <row r="198" spans="1:3" x14ac:dyDescent="0.25">
      <c r="A198" t="e">
        <f ca="1">"Salle" &amp; RANDBETWEEN(1,Settings!$B$3)</f>
        <v>#NUM!</v>
      </c>
      <c r="B198" t="e">
        <f ca="1">"Salle" &amp; RANDBETWEEN(1,Settings!$B$3)</f>
        <v>#NUM!</v>
      </c>
      <c r="C198" t="e">
        <f t="shared" ca="1" si="4"/>
        <v>#NUM!</v>
      </c>
    </row>
    <row r="199" spans="1:3" x14ac:dyDescent="0.25">
      <c r="A199" t="e">
        <f ca="1">"Salle" &amp; RANDBETWEEN(1,Settings!$B$3)</f>
        <v>#NUM!</v>
      </c>
      <c r="B199" t="e">
        <f ca="1">"Salle" &amp; RANDBETWEEN(1,Settings!$B$3)</f>
        <v>#NUM!</v>
      </c>
      <c r="C199" t="e">
        <f t="shared" ca="1" si="4"/>
        <v>#NUM!</v>
      </c>
    </row>
    <row r="200" spans="1:3" x14ac:dyDescent="0.25">
      <c r="A200" t="e">
        <f ca="1">"Salle" &amp; RANDBETWEEN(1,Settings!$B$3)</f>
        <v>#NUM!</v>
      </c>
      <c r="B200" t="e">
        <f ca="1">"Salle" &amp; RANDBETWEEN(1,Settings!$B$3)</f>
        <v>#NUM!</v>
      </c>
      <c r="C200" t="e">
        <f t="shared" ca="1" si="4"/>
        <v>#NUM!</v>
      </c>
    </row>
    <row r="201" spans="1:3" x14ac:dyDescent="0.25">
      <c r="A201" t="e">
        <f ca="1">"Salle" &amp; RANDBETWEEN(1,Settings!$B$3)</f>
        <v>#NUM!</v>
      </c>
      <c r="B201" t="e">
        <f ca="1">"Salle" &amp; RANDBETWEEN(1,Settings!$B$3)</f>
        <v>#NUM!</v>
      </c>
      <c r="C201" t="e">
        <f t="shared" ca="1" si="4"/>
        <v>#NUM!</v>
      </c>
    </row>
    <row r="202" spans="1:3" x14ac:dyDescent="0.25">
      <c r="A202" t="e">
        <f ca="1">"Salle" &amp; RANDBETWEEN(1,Settings!$B$3)</f>
        <v>#NUM!</v>
      </c>
      <c r="B202" t="e">
        <f ca="1">"Salle" &amp; RANDBETWEEN(1,Settings!$B$3)</f>
        <v>#NUM!</v>
      </c>
      <c r="C202" t="e">
        <f t="shared" ca="1" si="4"/>
        <v>#NUM!</v>
      </c>
    </row>
    <row r="203" spans="1:3" x14ac:dyDescent="0.25">
      <c r="A203" t="e">
        <f ca="1">"Salle" &amp; RANDBETWEEN(1,Settings!$B$3)</f>
        <v>#NUM!</v>
      </c>
      <c r="B203" t="e">
        <f ca="1">"Salle" &amp; RANDBETWEEN(1,Settings!$B$3)</f>
        <v>#NUM!</v>
      </c>
      <c r="C203" t="e">
        <f t="shared" ca="1" si="4"/>
        <v>#NUM!</v>
      </c>
    </row>
    <row r="204" spans="1:3" x14ac:dyDescent="0.25">
      <c r="A204" t="e">
        <f ca="1">"Salle" &amp; RANDBETWEEN(1,Settings!$B$3)</f>
        <v>#NUM!</v>
      </c>
      <c r="B204" t="e">
        <f ca="1">"Salle" &amp; RANDBETWEEN(1,Settings!$B$3)</f>
        <v>#NUM!</v>
      </c>
      <c r="C204" t="e">
        <f t="shared" ca="1" si="4"/>
        <v>#NUM!</v>
      </c>
    </row>
    <row r="205" spans="1:3" x14ac:dyDescent="0.25">
      <c r="A205" t="e">
        <f ca="1">"Salle" &amp; RANDBETWEEN(1,Settings!$B$3)</f>
        <v>#NUM!</v>
      </c>
      <c r="B205" t="e">
        <f ca="1">"Salle" &amp; RANDBETWEEN(1,Settings!$B$3)</f>
        <v>#NUM!</v>
      </c>
      <c r="C205" t="e">
        <f t="shared" ca="1" si="4"/>
        <v>#NUM!</v>
      </c>
    </row>
    <row r="206" spans="1:3" x14ac:dyDescent="0.25">
      <c r="A206" t="e">
        <f ca="1">"Salle" &amp; RANDBETWEEN(1,Settings!$B$3)</f>
        <v>#NUM!</v>
      </c>
      <c r="B206" t="e">
        <f ca="1">"Salle" &amp; RANDBETWEEN(1,Settings!$B$3)</f>
        <v>#NUM!</v>
      </c>
      <c r="C206" t="e">
        <f t="shared" ca="1" si="4"/>
        <v>#NUM!</v>
      </c>
    </row>
    <row r="207" spans="1:3" x14ac:dyDescent="0.25">
      <c r="A207" t="e">
        <f ca="1">"Salle" &amp; RANDBETWEEN(1,Settings!$B$3)</f>
        <v>#NUM!</v>
      </c>
      <c r="B207" t="e">
        <f ca="1">"Salle" &amp; RANDBETWEEN(1,Settings!$B$3)</f>
        <v>#NUM!</v>
      </c>
      <c r="C207" t="e">
        <f t="shared" ca="1" si="4"/>
        <v>#NUM!</v>
      </c>
    </row>
    <row r="208" spans="1:3" x14ac:dyDescent="0.25">
      <c r="A208" t="e">
        <f ca="1">"Salle" &amp; RANDBETWEEN(1,Settings!$B$3)</f>
        <v>#NUM!</v>
      </c>
      <c r="B208" t="e">
        <f ca="1">"Salle" &amp; RANDBETWEEN(1,Settings!$B$3)</f>
        <v>#NUM!</v>
      </c>
      <c r="C208" t="e">
        <f t="shared" ca="1" si="4"/>
        <v>#NUM!</v>
      </c>
    </row>
    <row r="209" spans="1:3" x14ac:dyDescent="0.25">
      <c r="A209" t="e">
        <f ca="1">"Salle" &amp; RANDBETWEEN(1,Settings!$B$3)</f>
        <v>#NUM!</v>
      </c>
      <c r="B209" t="e">
        <f ca="1">"Salle" &amp; RANDBETWEEN(1,Settings!$B$3)</f>
        <v>#NUM!</v>
      </c>
      <c r="C209" t="e">
        <f t="shared" ca="1" si="4"/>
        <v>#NUM!</v>
      </c>
    </row>
    <row r="210" spans="1:3" x14ac:dyDescent="0.25">
      <c r="A210" t="e">
        <f ca="1">"Salle" &amp; RANDBETWEEN(1,Settings!$B$3)</f>
        <v>#NUM!</v>
      </c>
      <c r="B210" t="e">
        <f ca="1">"Salle" &amp; RANDBETWEEN(1,Settings!$B$3)</f>
        <v>#NUM!</v>
      </c>
      <c r="C210" t="e">
        <f t="shared" ca="1" si="4"/>
        <v>#NUM!</v>
      </c>
    </row>
    <row r="211" spans="1:3" x14ac:dyDescent="0.25">
      <c r="A211" t="e">
        <f ca="1">"Salle" &amp; RANDBETWEEN(1,Settings!$B$3)</f>
        <v>#NUM!</v>
      </c>
      <c r="B211" t="e">
        <f ca="1">"Salle" &amp; RANDBETWEEN(1,Settings!$B$3)</f>
        <v>#NUM!</v>
      </c>
      <c r="C211" t="e">
        <f t="shared" ca="1" si="4"/>
        <v>#NUM!</v>
      </c>
    </row>
    <row r="212" spans="1:3" x14ac:dyDescent="0.25">
      <c r="A212" t="e">
        <f ca="1">"Salle" &amp; RANDBETWEEN(1,Settings!$B$3)</f>
        <v>#NUM!</v>
      </c>
      <c r="B212" t="e">
        <f ca="1">"Salle" &amp; RANDBETWEEN(1,Settings!$B$3)</f>
        <v>#NUM!</v>
      </c>
      <c r="C212" t="e">
        <f t="shared" ca="1" si="4"/>
        <v>#NUM!</v>
      </c>
    </row>
    <row r="213" spans="1:3" x14ac:dyDescent="0.25">
      <c r="A213" t="e">
        <f ca="1">"Salle" &amp; RANDBETWEEN(1,Settings!$B$3)</f>
        <v>#NUM!</v>
      </c>
      <c r="B213" t="e">
        <f ca="1">"Salle" &amp; RANDBETWEEN(1,Settings!$B$3)</f>
        <v>#NUM!</v>
      </c>
      <c r="C213" t="e">
        <f t="shared" ca="1" si="4"/>
        <v>#NUM!</v>
      </c>
    </row>
    <row r="214" spans="1:3" x14ac:dyDescent="0.25">
      <c r="A214" t="e">
        <f ca="1">"Salle" &amp; RANDBETWEEN(1,Settings!$B$3)</f>
        <v>#NUM!</v>
      </c>
      <c r="B214" t="e">
        <f ca="1">"Salle" &amp; RANDBETWEEN(1,Settings!$B$3)</f>
        <v>#NUM!</v>
      </c>
      <c r="C214" t="e">
        <f t="shared" ca="1" si="4"/>
        <v>#NUM!</v>
      </c>
    </row>
    <row r="215" spans="1:3" x14ac:dyDescent="0.25">
      <c r="A215" t="e">
        <f ca="1">"Salle" &amp; RANDBETWEEN(1,Settings!$B$3)</f>
        <v>#NUM!</v>
      </c>
      <c r="B215" t="e">
        <f ca="1">"Salle" &amp; RANDBETWEEN(1,Settings!$B$3)</f>
        <v>#NUM!</v>
      </c>
      <c r="C215" t="e">
        <f t="shared" ca="1" si="4"/>
        <v>#NUM!</v>
      </c>
    </row>
    <row r="216" spans="1:3" x14ac:dyDescent="0.25">
      <c r="A216" t="e">
        <f ca="1">"Salle" &amp; RANDBETWEEN(1,Settings!$B$3)</f>
        <v>#NUM!</v>
      </c>
      <c r="B216" t="e">
        <f ca="1">"Salle" &amp; RANDBETWEEN(1,Settings!$B$3)</f>
        <v>#NUM!</v>
      </c>
      <c r="C216" t="e">
        <f t="shared" ca="1" si="4"/>
        <v>#NUM!</v>
      </c>
    </row>
    <row r="217" spans="1:3" x14ac:dyDescent="0.25">
      <c r="A217" t="e">
        <f ca="1">"Salle" &amp; RANDBETWEEN(1,Settings!$B$3)</f>
        <v>#NUM!</v>
      </c>
      <c r="B217" t="e">
        <f ca="1">"Salle" &amp; RANDBETWEEN(1,Settings!$B$3)</f>
        <v>#NUM!</v>
      </c>
      <c r="C217" t="e">
        <f t="shared" ca="1" si="4"/>
        <v>#NUM!</v>
      </c>
    </row>
    <row r="218" spans="1:3" x14ac:dyDescent="0.25">
      <c r="A218" t="e">
        <f ca="1">"Salle" &amp; RANDBETWEEN(1,Settings!$B$3)</f>
        <v>#NUM!</v>
      </c>
      <c r="B218" t="e">
        <f ca="1">"Salle" &amp; RANDBETWEEN(1,Settings!$B$3)</f>
        <v>#NUM!</v>
      </c>
      <c r="C218" t="e">
        <f t="shared" ca="1" si="4"/>
        <v>#NUM!</v>
      </c>
    </row>
    <row r="219" spans="1:3" x14ac:dyDescent="0.25">
      <c r="A219" t="e">
        <f ca="1">"Salle" &amp; RANDBETWEEN(1,Settings!$B$3)</f>
        <v>#NUM!</v>
      </c>
      <c r="B219" t="e">
        <f ca="1">"Salle" &amp; RANDBETWEEN(1,Settings!$B$3)</f>
        <v>#NUM!</v>
      </c>
      <c r="C219" t="e">
        <f t="shared" ca="1" si="4"/>
        <v>#NUM!</v>
      </c>
    </row>
    <row r="220" spans="1:3" x14ac:dyDescent="0.25">
      <c r="A220" t="e">
        <f ca="1">"Salle" &amp; RANDBETWEEN(1,Settings!$B$3)</f>
        <v>#NUM!</v>
      </c>
      <c r="B220" t="e">
        <f ca="1">"Salle" &amp; RANDBETWEEN(1,Settings!$B$3)</f>
        <v>#NUM!</v>
      </c>
      <c r="C220" t="e">
        <f t="shared" ca="1" si="4"/>
        <v>#NUM!</v>
      </c>
    </row>
    <row r="221" spans="1:3" x14ac:dyDescent="0.25">
      <c r="A221" t="e">
        <f ca="1">"Salle" &amp; RANDBETWEEN(1,Settings!$B$3)</f>
        <v>#NUM!</v>
      </c>
      <c r="B221" t="e">
        <f ca="1">"Salle" &amp; RANDBETWEEN(1,Settings!$B$3)</f>
        <v>#NUM!</v>
      </c>
      <c r="C221" t="e">
        <f t="shared" ca="1" si="4"/>
        <v>#NUM!</v>
      </c>
    </row>
    <row r="222" spans="1:3" x14ac:dyDescent="0.25">
      <c r="A222" t="e">
        <f ca="1">"Salle" &amp; RANDBETWEEN(1,Settings!$B$3)</f>
        <v>#NUM!</v>
      </c>
      <c r="B222" t="e">
        <f ca="1">"Salle" &amp; RANDBETWEEN(1,Settings!$B$3)</f>
        <v>#NUM!</v>
      </c>
      <c r="C222" t="e">
        <f t="shared" ca="1" si="4"/>
        <v>#NUM!</v>
      </c>
    </row>
    <row r="223" spans="1:3" x14ac:dyDescent="0.25">
      <c r="A223" t="e">
        <f ca="1">"Salle" &amp; RANDBETWEEN(1,Settings!$B$3)</f>
        <v>#NUM!</v>
      </c>
      <c r="B223" t="e">
        <f ca="1">"Salle" &amp; RANDBETWEEN(1,Settings!$B$3)</f>
        <v>#NUM!</v>
      </c>
      <c r="C223" t="e">
        <f t="shared" ca="1" si="4"/>
        <v>#NUM!</v>
      </c>
    </row>
    <row r="224" spans="1:3" x14ac:dyDescent="0.25">
      <c r="A224" t="e">
        <f ca="1">"Salle" &amp; RANDBETWEEN(1,Settings!$B$3)</f>
        <v>#NUM!</v>
      </c>
      <c r="B224" t="e">
        <f ca="1">"Salle" &amp; RANDBETWEEN(1,Settings!$B$3)</f>
        <v>#NUM!</v>
      </c>
      <c r="C224" t="e">
        <f t="shared" ca="1" si="4"/>
        <v>#NUM!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34"/>
  <sheetViews>
    <sheetView tabSelected="1" zoomScale="115" zoomScaleNormal="115" workbookViewId="0">
      <selection activeCell="B16" sqref="B16"/>
    </sheetView>
  </sheetViews>
  <sheetFormatPr baseColWidth="10" defaultRowHeight="13.2" x14ac:dyDescent="0.25"/>
  <cols>
    <col min="1" max="1" width="26.88671875" customWidth="1"/>
  </cols>
  <sheetData>
    <row r="1" spans="1:12" ht="13.8" x14ac:dyDescent="0.25">
      <c r="A1" s="19"/>
      <c r="K1" s="19" t="s">
        <v>292</v>
      </c>
      <c r="L1" s="19" t="s">
        <v>255</v>
      </c>
    </row>
    <row r="2" spans="1:12" ht="13.8" x14ac:dyDescent="0.25">
      <c r="A2" s="19"/>
      <c r="K2" t="s">
        <v>293</v>
      </c>
      <c r="L2" t="s">
        <v>256</v>
      </c>
    </row>
    <row r="3" spans="1:12" ht="13.8" x14ac:dyDescent="0.25">
      <c r="A3" s="19"/>
      <c r="K3" t="s">
        <v>294</v>
      </c>
      <c r="L3" t="s">
        <v>257</v>
      </c>
    </row>
    <row r="4" spans="1:12" ht="13.8" x14ac:dyDescent="0.25">
      <c r="A4" s="19" t="s">
        <v>58</v>
      </c>
      <c r="B4">
        <v>28</v>
      </c>
      <c r="K4" t="s">
        <v>295</v>
      </c>
      <c r="L4" t="s">
        <v>258</v>
      </c>
    </row>
    <row r="5" spans="1:12" ht="13.8" x14ac:dyDescent="0.25">
      <c r="A5" s="19" t="s">
        <v>59</v>
      </c>
      <c r="B5">
        <v>12</v>
      </c>
      <c r="K5" t="s">
        <v>296</v>
      </c>
      <c r="L5" t="s">
        <v>259</v>
      </c>
    </row>
    <row r="6" spans="1:12" ht="13.8" x14ac:dyDescent="0.25">
      <c r="A6" s="19" t="s">
        <v>63</v>
      </c>
      <c r="B6">
        <v>19</v>
      </c>
      <c r="K6" t="s">
        <v>297</v>
      </c>
      <c r="L6" t="s">
        <v>260</v>
      </c>
    </row>
    <row r="7" spans="1:12" ht="13.8" x14ac:dyDescent="0.25">
      <c r="A7" s="19" t="s">
        <v>60</v>
      </c>
      <c r="B7">
        <v>80</v>
      </c>
      <c r="K7" t="s">
        <v>298</v>
      </c>
      <c r="L7" t="s">
        <v>325</v>
      </c>
    </row>
    <row r="8" spans="1:12" ht="13.8" x14ac:dyDescent="0.25">
      <c r="A8" s="19" t="s">
        <v>62</v>
      </c>
      <c r="B8">
        <v>8</v>
      </c>
      <c r="K8" t="s">
        <v>299</v>
      </c>
      <c r="L8" t="s">
        <v>325</v>
      </c>
    </row>
    <row r="9" spans="1:12" ht="13.8" x14ac:dyDescent="0.25">
      <c r="A9" s="19" t="s">
        <v>68</v>
      </c>
      <c r="B9">
        <v>100</v>
      </c>
      <c r="K9" t="s">
        <v>300</v>
      </c>
      <c r="L9" t="s">
        <v>325</v>
      </c>
    </row>
    <row r="10" spans="1:12" ht="13.8" x14ac:dyDescent="0.25">
      <c r="A10" s="19" t="s">
        <v>102</v>
      </c>
      <c r="B10">
        <v>3</v>
      </c>
      <c r="K10" t="s">
        <v>301</v>
      </c>
      <c r="L10" t="s">
        <v>325</v>
      </c>
    </row>
    <row r="11" spans="1:12" ht="13.8" x14ac:dyDescent="0.25">
      <c r="A11" s="19" t="s">
        <v>126</v>
      </c>
      <c r="B11" s="11">
        <v>46023</v>
      </c>
      <c r="K11" t="s">
        <v>302</v>
      </c>
      <c r="L11" t="s">
        <v>325</v>
      </c>
    </row>
    <row r="12" spans="1:12" ht="13.8" x14ac:dyDescent="0.25">
      <c r="A12" s="19" t="s">
        <v>127</v>
      </c>
      <c r="B12">
        <v>5</v>
      </c>
      <c r="K12" t="s">
        <v>325</v>
      </c>
      <c r="L12" t="s">
        <v>325</v>
      </c>
    </row>
    <row r="13" spans="1:12" ht="13.8" x14ac:dyDescent="0.25">
      <c r="A13" s="19" t="s">
        <v>255</v>
      </c>
      <c r="B13" t="s">
        <v>256</v>
      </c>
      <c r="C13" t="s">
        <v>257</v>
      </c>
      <c r="D13" t="s">
        <v>258</v>
      </c>
      <c r="E13" t="s">
        <v>259</v>
      </c>
      <c r="F13" t="s">
        <v>260</v>
      </c>
      <c r="K13" t="s">
        <v>325</v>
      </c>
      <c r="L13" t="s">
        <v>325</v>
      </c>
    </row>
    <row r="14" spans="1:12" ht="13.8" x14ac:dyDescent="0.25">
      <c r="A14" s="19" t="s">
        <v>261</v>
      </c>
      <c r="B14" t="s">
        <v>262</v>
      </c>
      <c r="C14" t="s">
        <v>263</v>
      </c>
      <c r="K14" t="s">
        <v>325</v>
      </c>
      <c r="L14" t="s">
        <v>325</v>
      </c>
    </row>
    <row r="15" spans="1:12" ht="13.8" x14ac:dyDescent="0.25">
      <c r="A15" s="19" t="s">
        <v>290</v>
      </c>
      <c r="B15">
        <f>YEAR(B11)</f>
        <v>2026</v>
      </c>
      <c r="K15" t="s">
        <v>325</v>
      </c>
      <c r="L15" t="s">
        <v>325</v>
      </c>
    </row>
    <row r="16" spans="1:12" ht="13.8" x14ac:dyDescent="0.25">
      <c r="A16" s="19" t="s">
        <v>324</v>
      </c>
      <c r="B16">
        <v>3</v>
      </c>
      <c r="K16" t="s">
        <v>325</v>
      </c>
      <c r="L16" t="s">
        <v>325</v>
      </c>
    </row>
    <row r="17" spans="1:12" x14ac:dyDescent="0.25">
      <c r="K17" t="s">
        <v>325</v>
      </c>
      <c r="L17" t="s">
        <v>325</v>
      </c>
    </row>
    <row r="18" spans="1:12" x14ac:dyDescent="0.25">
      <c r="K18" t="s">
        <v>325</v>
      </c>
      <c r="L18" t="s">
        <v>325</v>
      </c>
    </row>
    <row r="19" spans="1:12" ht="13.8" x14ac:dyDescent="0.25">
      <c r="A19" s="19" t="s">
        <v>354</v>
      </c>
      <c r="B19">
        <f>SUM(Cours!B:B)</f>
        <v>3989</v>
      </c>
      <c r="K19" t="s">
        <v>325</v>
      </c>
      <c r="L19" t="s">
        <v>325</v>
      </c>
    </row>
    <row r="20" spans="1:12" x14ac:dyDescent="0.25">
      <c r="K20" t="s">
        <v>325</v>
      </c>
      <c r="L20" t="s">
        <v>325</v>
      </c>
    </row>
    <row r="21" spans="1:12" x14ac:dyDescent="0.25">
      <c r="K21" t="s">
        <v>325</v>
      </c>
      <c r="L21" t="s">
        <v>325</v>
      </c>
    </row>
    <row r="22" spans="1:12" x14ac:dyDescent="0.25">
      <c r="K22" t="s">
        <v>325</v>
      </c>
      <c r="L22" t="s">
        <v>325</v>
      </c>
    </row>
    <row r="23" spans="1:12" x14ac:dyDescent="0.25">
      <c r="K23" t="s">
        <v>325</v>
      </c>
      <c r="L23" t="s">
        <v>325</v>
      </c>
    </row>
    <row r="24" spans="1:12" x14ac:dyDescent="0.25">
      <c r="K24" t="s">
        <v>325</v>
      </c>
      <c r="L24" t="s">
        <v>325</v>
      </c>
    </row>
    <row r="25" spans="1:12" x14ac:dyDescent="0.25">
      <c r="K25" t="s">
        <v>325</v>
      </c>
      <c r="L25" t="s">
        <v>325</v>
      </c>
    </row>
    <row r="26" spans="1:12" x14ac:dyDescent="0.25">
      <c r="K26" t="s">
        <v>325</v>
      </c>
      <c r="L26" t="s">
        <v>325</v>
      </c>
    </row>
    <row r="27" spans="1:12" x14ac:dyDescent="0.25">
      <c r="K27" t="s">
        <v>325</v>
      </c>
      <c r="L27" t="s">
        <v>325</v>
      </c>
    </row>
    <row r="28" spans="1:12" x14ac:dyDescent="0.25">
      <c r="K28" t="s">
        <v>325</v>
      </c>
      <c r="L28" t="s">
        <v>325</v>
      </c>
    </row>
    <row r="29" spans="1:12" x14ac:dyDescent="0.25">
      <c r="K29" t="s">
        <v>325</v>
      </c>
      <c r="L29" t="s">
        <v>325</v>
      </c>
    </row>
    <row r="30" spans="1:12" x14ac:dyDescent="0.25">
      <c r="K30" t="s">
        <v>325</v>
      </c>
      <c r="L30" t="s">
        <v>325</v>
      </c>
    </row>
    <row r="31" spans="1:12" x14ac:dyDescent="0.25">
      <c r="K31" t="s">
        <v>325</v>
      </c>
      <c r="L31" t="s">
        <v>325</v>
      </c>
    </row>
    <row r="32" spans="1:12" x14ac:dyDescent="0.25">
      <c r="K32" t="s">
        <v>325</v>
      </c>
      <c r="L32" t="s">
        <v>325</v>
      </c>
    </row>
    <row r="33" spans="11:12" x14ac:dyDescent="0.25">
      <c r="K33" t="s">
        <v>325</v>
      </c>
      <c r="L33" t="s">
        <v>325</v>
      </c>
    </row>
    <row r="34" spans="11:12" x14ac:dyDescent="0.25">
      <c r="K34" t="s">
        <v>264</v>
      </c>
      <c r="L34" t="s">
        <v>325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HOAREAU Hervé</cp:lastModifiedBy>
  <dcterms:created xsi:type="dcterms:W3CDTF">2026-02-19T15:10:35Z</dcterms:created>
  <dcterms:modified xsi:type="dcterms:W3CDTF">2026-03-15T08:54:31Z</dcterms:modified>
</cp:coreProperties>
</file>